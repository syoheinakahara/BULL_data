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0" yWindow="0" windowWidth="38400" windowHeight="21520" activeTab="1"/>
  </bookViews>
  <sheets>
    <sheet name="floors_drop_1_3" sheetId="2" r:id="rId1"/>
    <sheet name="enemy_habitats_drop_1_3" sheetId="1" r:id="rId2"/>
    <sheet name="floors_drop_1_3.tmp" sheetId="5" r:id="rId3"/>
    <sheet name="enemy_habitats_drop_1_3.tmp" sheetId="6" r:id="rId4"/>
  </sheets>
  <externalReferences>
    <externalReference r:id="rId5"/>
    <externalReference r:id="rId6"/>
    <externalReference r:id="rId7"/>
    <externalReference r:id="rId8"/>
  </externalReferences>
  <definedNames>
    <definedName name="_xlnm._FilterDatabase" localSheetId="1" hidden="1">enemy_habitats_drop_1_3!$B$1:$AE$61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44" i="6" l="1"/>
  <c r="R61" i="6"/>
  <c r="J59" i="6"/>
  <c r="T14" i="6"/>
  <c r="U14" i="6"/>
  <c r="R27" i="6"/>
  <c r="R28" i="6"/>
  <c r="R29" i="6"/>
  <c r="R30" i="6"/>
  <c r="R31" i="6"/>
  <c r="R32" i="6"/>
  <c r="R33" i="6"/>
  <c r="R34" i="6"/>
  <c r="R35" i="6"/>
  <c r="R36" i="6"/>
  <c r="R37" i="6"/>
  <c r="R38" i="6"/>
  <c r="R39" i="6"/>
  <c r="R40" i="6"/>
  <c r="R41" i="6"/>
  <c r="R42" i="6"/>
  <c r="R43" i="6"/>
  <c r="R45" i="6"/>
  <c r="R46" i="6"/>
  <c r="R47" i="6"/>
  <c r="R48" i="6"/>
  <c r="R49" i="6"/>
  <c r="R50" i="6"/>
  <c r="R51" i="6"/>
  <c r="R52" i="6"/>
  <c r="R53" i="6"/>
  <c r="R54" i="6"/>
  <c r="R55" i="6"/>
  <c r="R56" i="6"/>
  <c r="R57" i="6"/>
  <c r="R58" i="6"/>
  <c r="R59" i="6"/>
  <c r="R60" i="6"/>
  <c r="Z26" i="1"/>
  <c r="T2" i="1"/>
  <c r="S2" i="1"/>
  <c r="T58" i="1"/>
  <c r="T57" i="1"/>
  <c r="T52" i="1"/>
  <c r="S52" i="1"/>
  <c r="T53" i="1"/>
  <c r="S53" i="1"/>
  <c r="T54" i="1"/>
  <c r="S54" i="1"/>
  <c r="T55" i="1"/>
  <c r="S55" i="1"/>
  <c r="S56" i="1"/>
  <c r="S57" i="1"/>
  <c r="S58" i="1"/>
  <c r="S59" i="1"/>
  <c r="T60" i="1"/>
  <c r="S60" i="1"/>
  <c r="T48" i="1"/>
  <c r="Z39" i="1"/>
  <c r="Z3" i="1"/>
  <c r="AA3" i="1"/>
  <c r="AB3" i="1"/>
  <c r="Z4" i="1"/>
  <c r="AA4" i="1"/>
  <c r="AB4" i="1"/>
  <c r="Z5" i="1"/>
  <c r="AA5" i="1"/>
  <c r="AB5" i="1"/>
  <c r="Z6" i="1"/>
  <c r="AA6" i="1"/>
  <c r="AB6" i="1"/>
  <c r="Z7" i="1"/>
  <c r="AA7" i="1"/>
  <c r="AB7" i="1"/>
  <c r="Z8" i="1"/>
  <c r="AA8" i="1"/>
  <c r="AB8" i="1"/>
  <c r="Z9" i="1"/>
  <c r="AA9" i="1"/>
  <c r="AB9" i="1"/>
  <c r="Z10" i="1"/>
  <c r="AA10" i="1"/>
  <c r="AB10" i="1"/>
  <c r="Z11" i="1"/>
  <c r="AA11" i="1"/>
  <c r="AB11" i="1"/>
  <c r="Z12" i="1"/>
  <c r="AA12" i="1"/>
  <c r="AB12" i="1"/>
  <c r="Z13" i="1"/>
  <c r="AA13" i="1"/>
  <c r="AB13" i="1"/>
  <c r="Z14" i="1"/>
  <c r="AA14" i="1"/>
  <c r="AB14" i="1"/>
  <c r="Z15" i="1"/>
  <c r="AA15" i="1"/>
  <c r="AB15" i="1"/>
  <c r="Z16" i="1"/>
  <c r="AA16" i="1"/>
  <c r="AB16" i="1"/>
  <c r="Z17" i="1"/>
  <c r="AA17" i="1"/>
  <c r="AB17" i="1"/>
  <c r="Z18" i="1"/>
  <c r="AA18" i="1"/>
  <c r="AB18" i="1"/>
  <c r="Z19" i="1"/>
  <c r="AA19" i="1"/>
  <c r="AB19" i="1"/>
  <c r="Z20" i="1"/>
  <c r="AA20" i="1"/>
  <c r="AB20" i="1"/>
  <c r="Z21" i="1"/>
  <c r="AA21" i="1"/>
  <c r="AB21" i="1"/>
  <c r="Z22" i="1"/>
  <c r="AA22" i="1"/>
  <c r="AB22" i="1"/>
  <c r="Z23" i="1"/>
  <c r="AA23" i="1"/>
  <c r="AB23" i="1"/>
  <c r="Z24" i="1"/>
  <c r="AA24" i="1"/>
  <c r="AB24" i="1"/>
  <c r="Z25" i="1"/>
  <c r="AA25" i="1"/>
  <c r="AB25" i="1"/>
  <c r="AA26" i="1"/>
  <c r="AB26" i="1"/>
  <c r="Z27" i="1"/>
  <c r="AA27" i="1"/>
  <c r="AB27" i="1"/>
  <c r="Z28" i="1"/>
  <c r="AA28" i="1"/>
  <c r="AB28" i="1"/>
  <c r="Z29" i="1"/>
  <c r="AA29" i="1"/>
  <c r="AB29" i="1"/>
  <c r="Z30" i="1"/>
  <c r="AA30" i="1"/>
  <c r="AB30" i="1"/>
  <c r="Z31" i="1"/>
  <c r="AA31" i="1"/>
  <c r="AB31" i="1"/>
  <c r="Z32" i="1"/>
  <c r="AA32" i="1"/>
  <c r="AB32" i="1"/>
  <c r="Z33" i="1"/>
  <c r="AA33" i="1"/>
  <c r="AB33" i="1"/>
  <c r="Z34" i="1"/>
  <c r="AA34" i="1"/>
  <c r="AB34" i="1"/>
  <c r="Z35" i="1"/>
  <c r="AA35" i="1"/>
  <c r="AB35" i="1"/>
  <c r="Z36" i="1"/>
  <c r="AA36" i="1"/>
  <c r="AB36" i="1"/>
  <c r="Z37" i="1"/>
  <c r="AA37" i="1"/>
  <c r="AB37" i="1"/>
  <c r="Z38" i="1"/>
  <c r="AA38" i="1"/>
  <c r="AB38" i="1"/>
  <c r="AA39" i="1"/>
  <c r="AB39" i="1"/>
  <c r="Z40" i="1"/>
  <c r="AA40" i="1"/>
  <c r="AB40" i="1"/>
  <c r="Z41" i="1"/>
  <c r="AA41" i="1"/>
  <c r="AB41" i="1"/>
  <c r="Z42" i="1"/>
  <c r="AA42" i="1"/>
  <c r="AB42" i="1"/>
  <c r="Z43" i="1"/>
  <c r="AA43" i="1"/>
  <c r="AB43" i="1"/>
  <c r="Z44" i="1"/>
  <c r="AA44" i="1"/>
  <c r="AB44" i="1"/>
  <c r="Z45" i="1"/>
  <c r="AA45" i="1"/>
  <c r="AB45" i="1"/>
  <c r="Z46" i="1"/>
  <c r="AA46" i="1"/>
  <c r="AB46" i="1"/>
  <c r="Z47" i="1"/>
  <c r="AA47" i="1"/>
  <c r="AB47" i="1"/>
  <c r="Z48" i="1"/>
  <c r="AA48" i="1"/>
  <c r="AB48" i="1"/>
  <c r="Z49" i="1"/>
  <c r="AA49" i="1"/>
  <c r="AB49" i="1"/>
  <c r="Z50" i="1"/>
  <c r="AA50" i="1"/>
  <c r="AB50" i="1"/>
  <c r="Z51" i="1"/>
  <c r="AA51" i="1"/>
  <c r="AB51" i="1"/>
  <c r="Z52" i="1"/>
  <c r="AA52" i="1"/>
  <c r="AB52" i="1"/>
  <c r="Z53" i="1"/>
  <c r="AA53" i="1"/>
  <c r="AB53" i="1"/>
  <c r="Z54" i="1"/>
  <c r="AA54" i="1"/>
  <c r="AB54" i="1"/>
  <c r="Z55" i="1"/>
  <c r="AA55" i="1"/>
  <c r="AB55" i="1"/>
  <c r="Z56" i="1"/>
  <c r="AA56" i="1"/>
  <c r="AB56" i="1"/>
  <c r="Z57" i="1"/>
  <c r="AA57" i="1"/>
  <c r="AB57" i="1"/>
  <c r="Z58" i="1"/>
  <c r="AA58" i="1"/>
  <c r="AB58" i="1"/>
  <c r="Z59" i="1"/>
  <c r="AA59" i="1"/>
  <c r="AB59" i="1"/>
  <c r="Z60" i="1"/>
  <c r="AA60" i="1"/>
  <c r="AB60" i="1"/>
  <c r="X60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42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S48" i="1"/>
  <c r="T49" i="1"/>
  <c r="S49" i="1"/>
  <c r="T47" i="1"/>
  <c r="S47" i="1"/>
  <c r="T43" i="1"/>
  <c r="S43" i="1"/>
  <c r="T44" i="1"/>
  <c r="S44" i="1"/>
  <c r="T45" i="1"/>
  <c r="S45" i="1"/>
  <c r="T42" i="1"/>
  <c r="S42" i="1"/>
  <c r="T3" i="1"/>
  <c r="S3" i="1"/>
  <c r="T4" i="1"/>
  <c r="S4" i="1"/>
  <c r="T5" i="1"/>
  <c r="S5" i="1"/>
  <c r="T6" i="1"/>
  <c r="S6" i="1"/>
  <c r="T7" i="1"/>
  <c r="S7" i="1"/>
  <c r="T8" i="1"/>
  <c r="S8" i="1"/>
  <c r="T9" i="1"/>
  <c r="S9" i="1"/>
  <c r="T10" i="1"/>
  <c r="S10" i="1"/>
  <c r="T11" i="1"/>
  <c r="S11" i="1"/>
  <c r="T12" i="1"/>
  <c r="S12" i="1"/>
  <c r="T13" i="1"/>
  <c r="S13" i="1"/>
  <c r="T14" i="1"/>
  <c r="S14" i="1"/>
  <c r="T15" i="1"/>
  <c r="S15" i="1"/>
  <c r="T16" i="1"/>
  <c r="S16" i="1"/>
  <c r="T17" i="1"/>
  <c r="S17" i="1"/>
  <c r="T18" i="1"/>
  <c r="S18" i="1"/>
  <c r="T19" i="1"/>
  <c r="S19" i="1"/>
  <c r="T20" i="1"/>
  <c r="S20" i="1"/>
  <c r="T21" i="1"/>
  <c r="S21" i="1"/>
  <c r="T22" i="1"/>
  <c r="S22" i="1"/>
  <c r="T23" i="1"/>
  <c r="S23" i="1"/>
  <c r="T24" i="1"/>
  <c r="S24" i="1"/>
  <c r="T25" i="1"/>
  <c r="S25" i="1"/>
  <c r="T26" i="1"/>
  <c r="S26" i="1"/>
  <c r="T27" i="1"/>
  <c r="S27" i="1"/>
  <c r="T28" i="1"/>
  <c r="S28" i="1"/>
  <c r="T29" i="1"/>
  <c r="S29" i="1"/>
  <c r="T30" i="1"/>
  <c r="S30" i="1"/>
  <c r="T31" i="1"/>
  <c r="S31" i="1"/>
  <c r="T32" i="1"/>
  <c r="S32" i="1"/>
  <c r="T33" i="1"/>
  <c r="S33" i="1"/>
  <c r="T34" i="1"/>
  <c r="S34" i="1"/>
  <c r="T35" i="1"/>
  <c r="S35" i="1"/>
  <c r="T36" i="1"/>
  <c r="S36" i="1"/>
  <c r="T37" i="1"/>
  <c r="S37" i="1"/>
  <c r="T38" i="1"/>
  <c r="S38" i="1"/>
  <c r="T39" i="1"/>
  <c r="S39" i="1"/>
  <c r="T40" i="1"/>
  <c r="S40" i="1"/>
  <c r="J3" i="1"/>
  <c r="K3" i="1"/>
  <c r="L3" i="1"/>
  <c r="M3" i="1"/>
  <c r="N3" i="1"/>
  <c r="J4" i="1"/>
  <c r="K4" i="1"/>
  <c r="L4" i="1"/>
  <c r="M4" i="1"/>
  <c r="N4" i="1"/>
  <c r="J5" i="1"/>
  <c r="K5" i="1"/>
  <c r="L5" i="1"/>
  <c r="M5" i="1"/>
  <c r="N5" i="1"/>
  <c r="J6" i="1"/>
  <c r="K6" i="1"/>
  <c r="L6" i="1"/>
  <c r="M6" i="1"/>
  <c r="N6" i="1"/>
  <c r="J7" i="1"/>
  <c r="K7" i="1"/>
  <c r="L7" i="1"/>
  <c r="M7" i="1"/>
  <c r="N7" i="1"/>
  <c r="J8" i="1"/>
  <c r="K8" i="1"/>
  <c r="L8" i="1"/>
  <c r="M8" i="1"/>
  <c r="N8" i="1"/>
  <c r="J9" i="1"/>
  <c r="K9" i="1"/>
  <c r="L9" i="1"/>
  <c r="M9" i="1"/>
  <c r="N9" i="1"/>
  <c r="J10" i="1"/>
  <c r="K10" i="1"/>
  <c r="L10" i="1"/>
  <c r="M10" i="1"/>
  <c r="N10" i="1"/>
  <c r="J11" i="1"/>
  <c r="K11" i="1"/>
  <c r="L11" i="1"/>
  <c r="M11" i="1"/>
  <c r="N11" i="1"/>
  <c r="J12" i="1"/>
  <c r="K12" i="1"/>
  <c r="L12" i="1"/>
  <c r="M12" i="1"/>
  <c r="N12" i="1"/>
  <c r="J13" i="1"/>
  <c r="K13" i="1"/>
  <c r="L13" i="1"/>
  <c r="M13" i="1"/>
  <c r="N13" i="1"/>
  <c r="J14" i="1"/>
  <c r="K14" i="1"/>
  <c r="L14" i="1"/>
  <c r="M14" i="1"/>
  <c r="N14" i="1"/>
  <c r="J15" i="1"/>
  <c r="K15" i="1"/>
  <c r="L15" i="1"/>
  <c r="M15" i="1"/>
  <c r="N15" i="1"/>
  <c r="J16" i="1"/>
  <c r="K16" i="1"/>
  <c r="L16" i="1"/>
  <c r="M16" i="1"/>
  <c r="N16" i="1"/>
  <c r="J17" i="1"/>
  <c r="K17" i="1"/>
  <c r="L17" i="1"/>
  <c r="M17" i="1"/>
  <c r="N17" i="1"/>
  <c r="J18" i="1"/>
  <c r="K18" i="1"/>
  <c r="L18" i="1"/>
  <c r="M18" i="1"/>
  <c r="N18" i="1"/>
  <c r="J19" i="1"/>
  <c r="K19" i="1"/>
  <c r="L19" i="1"/>
  <c r="M19" i="1"/>
  <c r="N19" i="1"/>
  <c r="J20" i="1"/>
  <c r="K20" i="1"/>
  <c r="L20" i="1"/>
  <c r="M20" i="1"/>
  <c r="N20" i="1"/>
  <c r="J21" i="1"/>
  <c r="K21" i="1"/>
  <c r="L21" i="1"/>
  <c r="M21" i="1"/>
  <c r="N21" i="1"/>
  <c r="J22" i="1"/>
  <c r="K22" i="1"/>
  <c r="L22" i="1"/>
  <c r="M22" i="1"/>
  <c r="N22" i="1"/>
  <c r="J23" i="1"/>
  <c r="K23" i="1"/>
  <c r="L23" i="1"/>
  <c r="M23" i="1"/>
  <c r="N23" i="1"/>
  <c r="J24" i="1"/>
  <c r="K24" i="1"/>
  <c r="L24" i="1"/>
  <c r="M24" i="1"/>
  <c r="N24" i="1"/>
  <c r="J25" i="1"/>
  <c r="K25" i="1"/>
  <c r="L25" i="1"/>
  <c r="M25" i="1"/>
  <c r="N25" i="1"/>
  <c r="J26" i="1"/>
  <c r="K26" i="1"/>
  <c r="L26" i="1"/>
  <c r="M26" i="1"/>
  <c r="N26" i="1"/>
  <c r="J27" i="1"/>
  <c r="K27" i="1"/>
  <c r="L27" i="1"/>
  <c r="M27" i="1"/>
  <c r="N27" i="1"/>
  <c r="J28" i="1"/>
  <c r="K28" i="1"/>
  <c r="L28" i="1"/>
  <c r="M28" i="1"/>
  <c r="N28" i="1"/>
  <c r="J29" i="1"/>
  <c r="K29" i="1"/>
  <c r="L29" i="1"/>
  <c r="M29" i="1"/>
  <c r="N29" i="1"/>
  <c r="J30" i="1"/>
  <c r="K30" i="1"/>
  <c r="L30" i="1"/>
  <c r="M30" i="1"/>
  <c r="N30" i="1"/>
  <c r="J31" i="1"/>
  <c r="K31" i="1"/>
  <c r="L31" i="1"/>
  <c r="M31" i="1"/>
  <c r="N31" i="1"/>
  <c r="J32" i="1"/>
  <c r="K32" i="1"/>
  <c r="L32" i="1"/>
  <c r="M32" i="1"/>
  <c r="N32" i="1"/>
  <c r="J33" i="1"/>
  <c r="K33" i="1"/>
  <c r="L33" i="1"/>
  <c r="M33" i="1"/>
  <c r="N33" i="1"/>
  <c r="J34" i="1"/>
  <c r="K34" i="1"/>
  <c r="L34" i="1"/>
  <c r="M34" i="1"/>
  <c r="N34" i="1"/>
  <c r="J35" i="1"/>
  <c r="K35" i="1"/>
  <c r="L35" i="1"/>
  <c r="M35" i="1"/>
  <c r="N35" i="1"/>
  <c r="J36" i="1"/>
  <c r="K36" i="1"/>
  <c r="L36" i="1"/>
  <c r="M36" i="1"/>
  <c r="N36" i="1"/>
  <c r="J37" i="1"/>
  <c r="K37" i="1"/>
  <c r="L37" i="1"/>
  <c r="M37" i="1"/>
  <c r="N37" i="1"/>
  <c r="J38" i="1"/>
  <c r="K38" i="1"/>
  <c r="L38" i="1"/>
  <c r="M38" i="1"/>
  <c r="N38" i="1"/>
  <c r="J39" i="1"/>
  <c r="K39" i="1"/>
  <c r="L39" i="1"/>
  <c r="M39" i="1"/>
  <c r="N39" i="1"/>
  <c r="J40" i="1"/>
  <c r="K40" i="1"/>
  <c r="L40" i="1"/>
  <c r="M40" i="1"/>
  <c r="N40" i="1"/>
  <c r="J41" i="1"/>
  <c r="K41" i="1"/>
  <c r="L41" i="1"/>
  <c r="M41" i="1"/>
  <c r="N41" i="1"/>
  <c r="J42" i="1"/>
  <c r="K42" i="1"/>
  <c r="L42" i="1"/>
  <c r="M42" i="1"/>
  <c r="N42" i="1"/>
  <c r="J43" i="1"/>
  <c r="K43" i="1"/>
  <c r="L43" i="1"/>
  <c r="M43" i="1"/>
  <c r="N43" i="1"/>
  <c r="J44" i="1"/>
  <c r="K44" i="1"/>
  <c r="L44" i="1"/>
  <c r="M44" i="1"/>
  <c r="N44" i="1"/>
  <c r="J45" i="1"/>
  <c r="K45" i="1"/>
  <c r="L45" i="1"/>
  <c r="M45" i="1"/>
  <c r="N45" i="1"/>
  <c r="J46" i="1"/>
  <c r="K46" i="1"/>
  <c r="L46" i="1"/>
  <c r="M46" i="1"/>
  <c r="N46" i="1"/>
  <c r="J47" i="1"/>
  <c r="K47" i="1"/>
  <c r="L47" i="1"/>
  <c r="M47" i="1"/>
  <c r="N47" i="1"/>
  <c r="J48" i="1"/>
  <c r="K48" i="1"/>
  <c r="L48" i="1"/>
  <c r="M48" i="1"/>
  <c r="N48" i="1"/>
  <c r="J49" i="1"/>
  <c r="K49" i="1"/>
  <c r="L49" i="1"/>
  <c r="M49" i="1"/>
  <c r="N49" i="1"/>
  <c r="J50" i="1"/>
  <c r="K50" i="1"/>
  <c r="L50" i="1"/>
  <c r="M50" i="1"/>
  <c r="N50" i="1"/>
  <c r="J51" i="1"/>
  <c r="K51" i="1"/>
  <c r="L51" i="1"/>
  <c r="M51" i="1"/>
  <c r="N51" i="1"/>
  <c r="J52" i="1"/>
  <c r="K52" i="1"/>
  <c r="L52" i="1"/>
  <c r="M52" i="1"/>
  <c r="N52" i="1"/>
  <c r="J53" i="1"/>
  <c r="K53" i="1"/>
  <c r="L53" i="1"/>
  <c r="M53" i="1"/>
  <c r="N53" i="1"/>
  <c r="J54" i="1"/>
  <c r="K54" i="1"/>
  <c r="L54" i="1"/>
  <c r="M54" i="1"/>
  <c r="N54" i="1"/>
  <c r="J55" i="1"/>
  <c r="K55" i="1"/>
  <c r="L55" i="1"/>
  <c r="M55" i="1"/>
  <c r="N55" i="1"/>
  <c r="J56" i="1"/>
  <c r="K56" i="1"/>
  <c r="L56" i="1"/>
  <c r="M56" i="1"/>
  <c r="N56" i="1"/>
  <c r="J57" i="1"/>
  <c r="K57" i="1"/>
  <c r="L57" i="1"/>
  <c r="M57" i="1"/>
  <c r="N57" i="1"/>
  <c r="J58" i="1"/>
  <c r="K58" i="1"/>
  <c r="L58" i="1"/>
  <c r="M58" i="1"/>
  <c r="N58" i="1"/>
  <c r="J59" i="1"/>
  <c r="K59" i="1"/>
  <c r="L59" i="1"/>
  <c r="M59" i="1"/>
  <c r="N59" i="1"/>
  <c r="J60" i="1"/>
  <c r="K60" i="1"/>
  <c r="L60" i="1"/>
  <c r="M60" i="1"/>
  <c r="N60" i="1"/>
  <c r="AB2" i="1"/>
  <c r="AA2" i="1"/>
  <c r="Z2" i="1"/>
  <c r="X2" i="1"/>
  <c r="N2" i="1"/>
  <c r="M2" i="1"/>
  <c r="L2" i="1"/>
  <c r="K2" i="1"/>
  <c r="J2" i="1"/>
  <c r="A26" i="1"/>
  <c r="C1" i="6"/>
  <c r="A1" i="6"/>
  <c r="A60" i="1"/>
  <c r="A61" i="6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B1" i="6"/>
  <c r="W61" i="6"/>
  <c r="V61" i="6"/>
  <c r="U61" i="6"/>
  <c r="T61" i="6"/>
  <c r="S61" i="6"/>
  <c r="AD60" i="1"/>
  <c r="Q61" i="6"/>
  <c r="P61" i="6"/>
  <c r="O61" i="6"/>
  <c r="N61" i="6"/>
  <c r="M61" i="6"/>
  <c r="L61" i="6"/>
  <c r="K61" i="6"/>
  <c r="J61" i="6"/>
  <c r="I61" i="6"/>
  <c r="H61" i="6"/>
  <c r="G61" i="6"/>
  <c r="F61" i="6"/>
  <c r="E61" i="6"/>
  <c r="D61" i="6"/>
  <c r="C61" i="6"/>
  <c r="B61" i="6"/>
  <c r="A60" i="6"/>
  <c r="W60" i="6"/>
  <c r="V60" i="6"/>
  <c r="U60" i="6"/>
  <c r="T60" i="6"/>
  <c r="S60" i="6"/>
  <c r="AD59" i="1"/>
  <c r="Q60" i="6"/>
  <c r="P60" i="6"/>
  <c r="O60" i="6"/>
  <c r="N60" i="6"/>
  <c r="M60" i="6"/>
  <c r="L60" i="6"/>
  <c r="K60" i="6"/>
  <c r="J60" i="6"/>
  <c r="I60" i="6"/>
  <c r="H60" i="6"/>
  <c r="G60" i="6"/>
  <c r="F60" i="6"/>
  <c r="E60" i="6"/>
  <c r="D60" i="6"/>
  <c r="C60" i="6"/>
  <c r="B60" i="6"/>
  <c r="A59" i="6"/>
  <c r="W59" i="6"/>
  <c r="V59" i="6"/>
  <c r="U59" i="6"/>
  <c r="T59" i="6"/>
  <c r="S59" i="6"/>
  <c r="AD58" i="1"/>
  <c r="Q59" i="6"/>
  <c r="P59" i="6"/>
  <c r="O59" i="6"/>
  <c r="N59" i="6"/>
  <c r="M59" i="6"/>
  <c r="L59" i="6"/>
  <c r="K59" i="6"/>
  <c r="I59" i="6"/>
  <c r="H59" i="6"/>
  <c r="G59" i="6"/>
  <c r="F59" i="6"/>
  <c r="E59" i="6"/>
  <c r="D59" i="6"/>
  <c r="C59" i="6"/>
  <c r="B59" i="6"/>
  <c r="A58" i="6"/>
  <c r="W58" i="6"/>
  <c r="V58" i="6"/>
  <c r="U58" i="6"/>
  <c r="T58" i="6"/>
  <c r="S58" i="6"/>
  <c r="AD57" i="1"/>
  <c r="Q58" i="6"/>
  <c r="P58" i="6"/>
  <c r="O58" i="6"/>
  <c r="N58" i="6"/>
  <c r="M58" i="6"/>
  <c r="L58" i="6"/>
  <c r="K58" i="6"/>
  <c r="J58" i="6"/>
  <c r="I58" i="6"/>
  <c r="H58" i="6"/>
  <c r="G58" i="6"/>
  <c r="F58" i="6"/>
  <c r="E58" i="6"/>
  <c r="D58" i="6"/>
  <c r="C58" i="6"/>
  <c r="B58" i="6"/>
  <c r="A57" i="6"/>
  <c r="W57" i="6"/>
  <c r="V57" i="6"/>
  <c r="U57" i="6"/>
  <c r="T57" i="6"/>
  <c r="S57" i="6"/>
  <c r="AD56" i="1"/>
  <c r="Q57" i="6"/>
  <c r="P57" i="6"/>
  <c r="O57" i="6"/>
  <c r="N57" i="6"/>
  <c r="M57" i="6"/>
  <c r="L57" i="6"/>
  <c r="K57" i="6"/>
  <c r="J57" i="6"/>
  <c r="I57" i="6"/>
  <c r="H57" i="6"/>
  <c r="G57" i="6"/>
  <c r="F57" i="6"/>
  <c r="E57" i="6"/>
  <c r="D57" i="6"/>
  <c r="C57" i="6"/>
  <c r="B57" i="6"/>
  <c r="A56" i="6"/>
  <c r="W56" i="6"/>
  <c r="V56" i="6"/>
  <c r="U56" i="6"/>
  <c r="T56" i="6"/>
  <c r="S56" i="6"/>
  <c r="AD55" i="1"/>
  <c r="Q56" i="6"/>
  <c r="P56" i="6"/>
  <c r="O56" i="6"/>
  <c r="N56" i="6"/>
  <c r="M56" i="6"/>
  <c r="L56" i="6"/>
  <c r="K56" i="6"/>
  <c r="J56" i="6"/>
  <c r="I56" i="6"/>
  <c r="H56" i="6"/>
  <c r="G56" i="6"/>
  <c r="F56" i="6"/>
  <c r="E56" i="6"/>
  <c r="D56" i="6"/>
  <c r="C56" i="6"/>
  <c r="B56" i="6"/>
  <c r="A55" i="6"/>
  <c r="W55" i="6"/>
  <c r="V55" i="6"/>
  <c r="U55" i="6"/>
  <c r="T55" i="6"/>
  <c r="S55" i="6"/>
  <c r="AD54" i="1"/>
  <c r="Q55" i="6"/>
  <c r="P55" i="6"/>
  <c r="O55" i="6"/>
  <c r="N55" i="6"/>
  <c r="M55" i="6"/>
  <c r="L55" i="6"/>
  <c r="K55" i="6"/>
  <c r="J55" i="6"/>
  <c r="I55" i="6"/>
  <c r="H55" i="6"/>
  <c r="G55" i="6"/>
  <c r="F55" i="6"/>
  <c r="E55" i="6"/>
  <c r="D55" i="6"/>
  <c r="C55" i="6"/>
  <c r="B55" i="6"/>
  <c r="A54" i="6"/>
  <c r="W54" i="6"/>
  <c r="V54" i="6"/>
  <c r="U54" i="6"/>
  <c r="T54" i="6"/>
  <c r="S54" i="6"/>
  <c r="AD53" i="1"/>
  <c r="Q54" i="6"/>
  <c r="P54" i="6"/>
  <c r="O54" i="6"/>
  <c r="N54" i="6"/>
  <c r="M54" i="6"/>
  <c r="L54" i="6"/>
  <c r="K54" i="6"/>
  <c r="J54" i="6"/>
  <c r="I54" i="6"/>
  <c r="H54" i="6"/>
  <c r="G54" i="6"/>
  <c r="F54" i="6"/>
  <c r="E54" i="6"/>
  <c r="D54" i="6"/>
  <c r="C54" i="6"/>
  <c r="B54" i="6"/>
  <c r="A53" i="6"/>
  <c r="W53" i="6"/>
  <c r="V53" i="6"/>
  <c r="U53" i="6"/>
  <c r="T53" i="6"/>
  <c r="S53" i="6"/>
  <c r="AD52" i="1"/>
  <c r="Q53" i="6"/>
  <c r="P53" i="6"/>
  <c r="O53" i="6"/>
  <c r="N53" i="6"/>
  <c r="M53" i="6"/>
  <c r="L53" i="6"/>
  <c r="K53" i="6"/>
  <c r="J53" i="6"/>
  <c r="I53" i="6"/>
  <c r="H53" i="6"/>
  <c r="G53" i="6"/>
  <c r="F53" i="6"/>
  <c r="E53" i="6"/>
  <c r="D53" i="6"/>
  <c r="C53" i="6"/>
  <c r="B53" i="6"/>
  <c r="A52" i="6"/>
  <c r="W52" i="6"/>
  <c r="V52" i="6"/>
  <c r="U52" i="6"/>
  <c r="T52" i="6"/>
  <c r="S52" i="6"/>
  <c r="AD51" i="1"/>
  <c r="Q52" i="6"/>
  <c r="P52" i="6"/>
  <c r="O52" i="6"/>
  <c r="N52" i="6"/>
  <c r="M52" i="6"/>
  <c r="L52" i="6"/>
  <c r="K52" i="6"/>
  <c r="J52" i="6"/>
  <c r="I52" i="6"/>
  <c r="H52" i="6"/>
  <c r="G52" i="6"/>
  <c r="F52" i="6"/>
  <c r="E52" i="6"/>
  <c r="D52" i="6"/>
  <c r="C52" i="6"/>
  <c r="B52" i="6"/>
  <c r="A51" i="6"/>
  <c r="W51" i="6"/>
  <c r="V51" i="6"/>
  <c r="U51" i="6"/>
  <c r="T51" i="6"/>
  <c r="S51" i="6"/>
  <c r="AD50" i="1"/>
  <c r="Q51" i="6"/>
  <c r="P51" i="6"/>
  <c r="O51" i="6"/>
  <c r="N51" i="6"/>
  <c r="M51" i="6"/>
  <c r="L51" i="6"/>
  <c r="K51" i="6"/>
  <c r="J51" i="6"/>
  <c r="I51" i="6"/>
  <c r="H51" i="6"/>
  <c r="G51" i="6"/>
  <c r="F51" i="6"/>
  <c r="E51" i="6"/>
  <c r="D51" i="6"/>
  <c r="C51" i="6"/>
  <c r="B51" i="6"/>
  <c r="A50" i="6"/>
  <c r="W50" i="6"/>
  <c r="V50" i="6"/>
  <c r="U50" i="6"/>
  <c r="T50" i="6"/>
  <c r="S50" i="6"/>
  <c r="AD49" i="1"/>
  <c r="Q50" i="6"/>
  <c r="P50" i="6"/>
  <c r="O50" i="6"/>
  <c r="N50" i="6"/>
  <c r="M50" i="6"/>
  <c r="L50" i="6"/>
  <c r="K50" i="6"/>
  <c r="J50" i="6"/>
  <c r="I50" i="6"/>
  <c r="H50" i="6"/>
  <c r="G50" i="6"/>
  <c r="F50" i="6"/>
  <c r="E50" i="6"/>
  <c r="D50" i="6"/>
  <c r="C50" i="6"/>
  <c r="B50" i="6"/>
  <c r="A49" i="6"/>
  <c r="W49" i="6"/>
  <c r="V49" i="6"/>
  <c r="U49" i="6"/>
  <c r="T49" i="6"/>
  <c r="S49" i="6"/>
  <c r="AD48" i="1"/>
  <c r="Q49" i="6"/>
  <c r="P49" i="6"/>
  <c r="O49" i="6"/>
  <c r="N49" i="6"/>
  <c r="M49" i="6"/>
  <c r="L49" i="6"/>
  <c r="K49" i="6"/>
  <c r="J49" i="6"/>
  <c r="I49" i="6"/>
  <c r="H49" i="6"/>
  <c r="G49" i="6"/>
  <c r="F49" i="6"/>
  <c r="E49" i="6"/>
  <c r="D49" i="6"/>
  <c r="C49" i="6"/>
  <c r="B49" i="6"/>
  <c r="A48" i="6"/>
  <c r="W48" i="6"/>
  <c r="V48" i="6"/>
  <c r="U48" i="6"/>
  <c r="T48" i="6"/>
  <c r="S48" i="6"/>
  <c r="AD47" i="1"/>
  <c r="Q48" i="6"/>
  <c r="P48" i="6"/>
  <c r="O48" i="6"/>
  <c r="N48" i="6"/>
  <c r="M48" i="6"/>
  <c r="L48" i="6"/>
  <c r="K48" i="6"/>
  <c r="J48" i="6"/>
  <c r="I48" i="6"/>
  <c r="H48" i="6"/>
  <c r="G48" i="6"/>
  <c r="F48" i="6"/>
  <c r="E48" i="6"/>
  <c r="D48" i="6"/>
  <c r="C48" i="6"/>
  <c r="B48" i="6"/>
  <c r="A47" i="6"/>
  <c r="W47" i="6"/>
  <c r="V47" i="6"/>
  <c r="U47" i="6"/>
  <c r="T47" i="6"/>
  <c r="S47" i="6"/>
  <c r="AD46" i="1"/>
  <c r="Q47" i="6"/>
  <c r="P47" i="6"/>
  <c r="O47" i="6"/>
  <c r="N47" i="6"/>
  <c r="M47" i="6"/>
  <c r="L47" i="6"/>
  <c r="K47" i="6"/>
  <c r="J47" i="6"/>
  <c r="I47" i="6"/>
  <c r="H47" i="6"/>
  <c r="G47" i="6"/>
  <c r="F47" i="6"/>
  <c r="E47" i="6"/>
  <c r="D47" i="6"/>
  <c r="C47" i="6"/>
  <c r="B47" i="6"/>
  <c r="A46" i="6"/>
  <c r="W46" i="6"/>
  <c r="V46" i="6"/>
  <c r="U46" i="6"/>
  <c r="T46" i="6"/>
  <c r="S46" i="6"/>
  <c r="AD45" i="1"/>
  <c r="Q46" i="6"/>
  <c r="P46" i="6"/>
  <c r="O46" i="6"/>
  <c r="N46" i="6"/>
  <c r="M46" i="6"/>
  <c r="L46" i="6"/>
  <c r="K46" i="6"/>
  <c r="J46" i="6"/>
  <c r="I46" i="6"/>
  <c r="H46" i="6"/>
  <c r="G46" i="6"/>
  <c r="F46" i="6"/>
  <c r="E46" i="6"/>
  <c r="D46" i="6"/>
  <c r="C46" i="6"/>
  <c r="B46" i="6"/>
  <c r="A45" i="6"/>
  <c r="W45" i="6"/>
  <c r="V45" i="6"/>
  <c r="U45" i="6"/>
  <c r="T45" i="6"/>
  <c r="S45" i="6"/>
  <c r="AD44" i="1"/>
  <c r="Q45" i="6"/>
  <c r="P45" i="6"/>
  <c r="O45" i="6"/>
  <c r="N45" i="6"/>
  <c r="M45" i="6"/>
  <c r="L45" i="6"/>
  <c r="K45" i="6"/>
  <c r="J45" i="6"/>
  <c r="I45" i="6"/>
  <c r="H45" i="6"/>
  <c r="G45" i="6"/>
  <c r="F45" i="6"/>
  <c r="E45" i="6"/>
  <c r="D45" i="6"/>
  <c r="C45" i="6"/>
  <c r="B45" i="6"/>
  <c r="A44" i="6"/>
  <c r="W44" i="6"/>
  <c r="V44" i="6"/>
  <c r="U44" i="6"/>
  <c r="T44" i="6"/>
  <c r="S44" i="6"/>
  <c r="AD43" i="1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C44" i="6"/>
  <c r="B44" i="6"/>
  <c r="A43" i="6"/>
  <c r="W43" i="6"/>
  <c r="V43" i="6"/>
  <c r="U43" i="6"/>
  <c r="T43" i="6"/>
  <c r="S43" i="6"/>
  <c r="AD42" i="1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A42" i="6"/>
  <c r="W42" i="6"/>
  <c r="V42" i="6"/>
  <c r="U42" i="6"/>
  <c r="T42" i="6"/>
  <c r="S42" i="6"/>
  <c r="AD41" i="1"/>
  <c r="Q42" i="6"/>
  <c r="P42" i="6"/>
  <c r="O42" i="6"/>
  <c r="N42" i="6"/>
  <c r="M42" i="6"/>
  <c r="L42" i="6"/>
  <c r="K42" i="6"/>
  <c r="J42" i="6"/>
  <c r="I42" i="6"/>
  <c r="H42" i="6"/>
  <c r="G42" i="6"/>
  <c r="F42" i="6"/>
  <c r="E42" i="6"/>
  <c r="D42" i="6"/>
  <c r="C42" i="6"/>
  <c r="B42" i="6"/>
  <c r="A41" i="6"/>
  <c r="W41" i="6"/>
  <c r="V41" i="6"/>
  <c r="U41" i="6"/>
  <c r="T41" i="6"/>
  <c r="S41" i="6"/>
  <c r="AD40" i="1"/>
  <c r="Q41" i="6"/>
  <c r="P41" i="6"/>
  <c r="O41" i="6"/>
  <c r="N41" i="6"/>
  <c r="M41" i="6"/>
  <c r="L41" i="6"/>
  <c r="K41" i="6"/>
  <c r="J41" i="6"/>
  <c r="I41" i="6"/>
  <c r="H41" i="6"/>
  <c r="G41" i="6"/>
  <c r="F41" i="6"/>
  <c r="E41" i="6"/>
  <c r="D41" i="6"/>
  <c r="C41" i="6"/>
  <c r="B41" i="6"/>
  <c r="A40" i="6"/>
  <c r="W40" i="6"/>
  <c r="V40" i="6"/>
  <c r="U40" i="6"/>
  <c r="T40" i="6"/>
  <c r="S40" i="6"/>
  <c r="AD39" i="1"/>
  <c r="Q40" i="6"/>
  <c r="P40" i="6"/>
  <c r="O40" i="6"/>
  <c r="N40" i="6"/>
  <c r="M40" i="6"/>
  <c r="L40" i="6"/>
  <c r="K40" i="6"/>
  <c r="J40" i="6"/>
  <c r="I40" i="6"/>
  <c r="H40" i="6"/>
  <c r="G40" i="6"/>
  <c r="F40" i="6"/>
  <c r="E40" i="6"/>
  <c r="D40" i="6"/>
  <c r="C40" i="6"/>
  <c r="B40" i="6"/>
  <c r="A39" i="6"/>
  <c r="W39" i="6"/>
  <c r="V39" i="6"/>
  <c r="U39" i="6"/>
  <c r="T39" i="6"/>
  <c r="S39" i="6"/>
  <c r="AD38" i="1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39" i="6"/>
  <c r="B39" i="6"/>
  <c r="A38" i="6"/>
  <c r="W38" i="6"/>
  <c r="V38" i="6"/>
  <c r="U38" i="6"/>
  <c r="T38" i="6"/>
  <c r="S38" i="6"/>
  <c r="AD37" i="1"/>
  <c r="Q38" i="6"/>
  <c r="P38" i="6"/>
  <c r="O38" i="6"/>
  <c r="N38" i="6"/>
  <c r="M38" i="6"/>
  <c r="L38" i="6"/>
  <c r="K38" i="6"/>
  <c r="J38" i="6"/>
  <c r="I38" i="6"/>
  <c r="H38" i="6"/>
  <c r="G38" i="6"/>
  <c r="F38" i="6"/>
  <c r="E38" i="6"/>
  <c r="D38" i="6"/>
  <c r="C38" i="6"/>
  <c r="B38" i="6"/>
  <c r="A37" i="6"/>
  <c r="W37" i="6"/>
  <c r="V37" i="6"/>
  <c r="U37" i="6"/>
  <c r="T37" i="6"/>
  <c r="S37" i="6"/>
  <c r="AD36" i="1"/>
  <c r="Q37" i="6"/>
  <c r="P37" i="6"/>
  <c r="O37" i="6"/>
  <c r="N37" i="6"/>
  <c r="M37" i="6"/>
  <c r="L37" i="6"/>
  <c r="K37" i="6"/>
  <c r="J37" i="6"/>
  <c r="I37" i="6"/>
  <c r="H37" i="6"/>
  <c r="G37" i="6"/>
  <c r="F37" i="6"/>
  <c r="E37" i="6"/>
  <c r="D37" i="6"/>
  <c r="C37" i="6"/>
  <c r="B37" i="6"/>
  <c r="A36" i="6"/>
  <c r="W36" i="6"/>
  <c r="V36" i="6"/>
  <c r="U36" i="6"/>
  <c r="T36" i="6"/>
  <c r="S36" i="6"/>
  <c r="AD35" i="1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C36" i="6"/>
  <c r="B36" i="6"/>
  <c r="A35" i="6"/>
  <c r="W35" i="6"/>
  <c r="V35" i="6"/>
  <c r="U35" i="6"/>
  <c r="T35" i="6"/>
  <c r="S35" i="6"/>
  <c r="AD34" i="1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C35" i="6"/>
  <c r="B35" i="6"/>
  <c r="A34" i="6"/>
  <c r="W34" i="6"/>
  <c r="V34" i="6"/>
  <c r="U34" i="6"/>
  <c r="T34" i="6"/>
  <c r="S34" i="6"/>
  <c r="AD33" i="1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C34" i="6"/>
  <c r="B34" i="6"/>
  <c r="A33" i="6"/>
  <c r="W33" i="6"/>
  <c r="V33" i="6"/>
  <c r="U33" i="6"/>
  <c r="T33" i="6"/>
  <c r="S33" i="6"/>
  <c r="AD32" i="1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C33" i="6"/>
  <c r="B33" i="6"/>
  <c r="A32" i="6"/>
  <c r="W32" i="6"/>
  <c r="V32" i="6"/>
  <c r="U32" i="6"/>
  <c r="T32" i="6"/>
  <c r="S32" i="6"/>
  <c r="AD31" i="1"/>
  <c r="Q32" i="6"/>
  <c r="P32" i="6"/>
  <c r="O32" i="6"/>
  <c r="N32" i="6"/>
  <c r="M32" i="6"/>
  <c r="L32" i="6"/>
  <c r="K32" i="6"/>
  <c r="J32" i="6"/>
  <c r="I32" i="6"/>
  <c r="H32" i="6"/>
  <c r="G32" i="6"/>
  <c r="F32" i="6"/>
  <c r="E32" i="6"/>
  <c r="D32" i="6"/>
  <c r="C32" i="6"/>
  <c r="B32" i="6"/>
  <c r="A31" i="6"/>
  <c r="W31" i="6"/>
  <c r="V31" i="6"/>
  <c r="U31" i="6"/>
  <c r="T31" i="6"/>
  <c r="S31" i="6"/>
  <c r="AD30" i="1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D31" i="6"/>
  <c r="C31" i="6"/>
  <c r="B31" i="6"/>
  <c r="A30" i="6"/>
  <c r="W30" i="6"/>
  <c r="V30" i="6"/>
  <c r="U30" i="6"/>
  <c r="T30" i="6"/>
  <c r="S30" i="6"/>
  <c r="AD29" i="1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C30" i="6"/>
  <c r="B30" i="6"/>
  <c r="A29" i="6"/>
  <c r="W29" i="6"/>
  <c r="V29" i="6"/>
  <c r="U29" i="6"/>
  <c r="T29" i="6"/>
  <c r="S29" i="6"/>
  <c r="AD28" i="1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C29" i="6"/>
  <c r="B29" i="6"/>
  <c r="A28" i="6"/>
  <c r="W28" i="6"/>
  <c r="V28" i="6"/>
  <c r="U28" i="6"/>
  <c r="T28" i="6"/>
  <c r="S28" i="6"/>
  <c r="AD27" i="1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D28" i="6"/>
  <c r="C28" i="6"/>
  <c r="B28" i="6"/>
  <c r="A27" i="6"/>
  <c r="W27" i="6"/>
  <c r="V27" i="6"/>
  <c r="U27" i="6"/>
  <c r="T27" i="6"/>
  <c r="S27" i="6"/>
  <c r="AD26" i="1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C27" i="6"/>
  <c r="B27" i="6"/>
  <c r="A26" i="6"/>
  <c r="W26" i="6"/>
  <c r="V26" i="6"/>
  <c r="U26" i="6"/>
  <c r="T26" i="6"/>
  <c r="S26" i="6"/>
  <c r="R26" i="6"/>
  <c r="AD25" i="1"/>
  <c r="Q26" i="6"/>
  <c r="P26" i="6"/>
  <c r="O26" i="6"/>
  <c r="N26" i="6"/>
  <c r="M26" i="6"/>
  <c r="L26" i="6"/>
  <c r="K26" i="6"/>
  <c r="J26" i="6"/>
  <c r="I26" i="6"/>
  <c r="H26" i="6"/>
  <c r="G26" i="6"/>
  <c r="F26" i="6"/>
  <c r="E26" i="6"/>
  <c r="D26" i="6"/>
  <c r="C26" i="6"/>
  <c r="B26" i="6"/>
  <c r="A25" i="6"/>
  <c r="W25" i="6"/>
  <c r="V25" i="6"/>
  <c r="U25" i="6"/>
  <c r="T25" i="6"/>
  <c r="S25" i="6"/>
  <c r="R25" i="6"/>
  <c r="AD24" i="1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D25" i="6"/>
  <c r="C25" i="6"/>
  <c r="B25" i="6"/>
  <c r="A24" i="6"/>
  <c r="W24" i="6"/>
  <c r="V24" i="6"/>
  <c r="U24" i="6"/>
  <c r="T24" i="6"/>
  <c r="S24" i="6"/>
  <c r="R24" i="6"/>
  <c r="AD23" i="1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24" i="6"/>
  <c r="B24" i="6"/>
  <c r="A23" i="6"/>
  <c r="W23" i="6"/>
  <c r="V23" i="6"/>
  <c r="U23" i="6"/>
  <c r="T23" i="6"/>
  <c r="S23" i="6"/>
  <c r="R23" i="6"/>
  <c r="AD22" i="1"/>
  <c r="Q23" i="6"/>
  <c r="P23" i="6"/>
  <c r="O23" i="6"/>
  <c r="N23" i="6"/>
  <c r="M23" i="6"/>
  <c r="L23" i="6"/>
  <c r="K23" i="6"/>
  <c r="J23" i="6"/>
  <c r="I23" i="6"/>
  <c r="H23" i="6"/>
  <c r="G23" i="6"/>
  <c r="F23" i="6"/>
  <c r="E23" i="6"/>
  <c r="D23" i="6"/>
  <c r="C23" i="6"/>
  <c r="B23" i="6"/>
  <c r="A22" i="6"/>
  <c r="W22" i="6"/>
  <c r="V22" i="6"/>
  <c r="U22" i="6"/>
  <c r="T22" i="6"/>
  <c r="S22" i="6"/>
  <c r="R22" i="6"/>
  <c r="AD21" i="1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C22" i="6"/>
  <c r="B22" i="6"/>
  <c r="A21" i="6"/>
  <c r="W21" i="6"/>
  <c r="V21" i="6"/>
  <c r="U21" i="6"/>
  <c r="T21" i="6"/>
  <c r="S21" i="6"/>
  <c r="R21" i="6"/>
  <c r="AD20" i="1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B21" i="6"/>
  <c r="A20" i="6"/>
  <c r="W20" i="6"/>
  <c r="V20" i="6"/>
  <c r="U20" i="6"/>
  <c r="T20" i="6"/>
  <c r="S20" i="6"/>
  <c r="R20" i="6"/>
  <c r="AD19" i="1"/>
  <c r="Q20" i="6"/>
  <c r="P20" i="6"/>
  <c r="O20" i="6"/>
  <c r="N20" i="6"/>
  <c r="M20" i="6"/>
  <c r="L20" i="6"/>
  <c r="K20" i="6"/>
  <c r="J20" i="6"/>
  <c r="I20" i="6"/>
  <c r="H20" i="6"/>
  <c r="G20" i="6"/>
  <c r="F20" i="6"/>
  <c r="E20" i="6"/>
  <c r="D20" i="6"/>
  <c r="C20" i="6"/>
  <c r="B20" i="6"/>
  <c r="A19" i="6"/>
  <c r="W19" i="6"/>
  <c r="V19" i="6"/>
  <c r="U19" i="6"/>
  <c r="T19" i="6"/>
  <c r="S19" i="6"/>
  <c r="R19" i="6"/>
  <c r="AD18" i="1"/>
  <c r="Q19" i="6"/>
  <c r="P19" i="6"/>
  <c r="O19" i="6"/>
  <c r="N19" i="6"/>
  <c r="M19" i="6"/>
  <c r="L19" i="6"/>
  <c r="K19" i="6"/>
  <c r="J19" i="6"/>
  <c r="I19" i="6"/>
  <c r="H19" i="6"/>
  <c r="G19" i="6"/>
  <c r="F19" i="6"/>
  <c r="E19" i="6"/>
  <c r="D19" i="6"/>
  <c r="C19" i="6"/>
  <c r="B19" i="6"/>
  <c r="A18" i="6"/>
  <c r="W18" i="6"/>
  <c r="V18" i="6"/>
  <c r="U18" i="6"/>
  <c r="T18" i="6"/>
  <c r="S18" i="6"/>
  <c r="R18" i="6"/>
  <c r="AD17" i="1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C18" i="6"/>
  <c r="B18" i="6"/>
  <c r="A17" i="6"/>
  <c r="W17" i="6"/>
  <c r="V17" i="6"/>
  <c r="U17" i="6"/>
  <c r="T17" i="6"/>
  <c r="S17" i="6"/>
  <c r="R17" i="6"/>
  <c r="AD16" i="1"/>
  <c r="Q17" i="6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A16" i="6"/>
  <c r="W16" i="6"/>
  <c r="V16" i="6"/>
  <c r="U16" i="6"/>
  <c r="T16" i="6"/>
  <c r="S16" i="6"/>
  <c r="R16" i="6"/>
  <c r="AD15" i="1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B16" i="6"/>
  <c r="A15" i="6"/>
  <c r="W15" i="6"/>
  <c r="V15" i="6"/>
  <c r="U15" i="6"/>
  <c r="T15" i="6"/>
  <c r="S15" i="6"/>
  <c r="R15" i="6"/>
  <c r="AD14" i="1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B15" i="6"/>
  <c r="A14" i="6"/>
  <c r="W14" i="6"/>
  <c r="V14" i="6"/>
  <c r="S14" i="6"/>
  <c r="R14" i="6"/>
  <c r="AD13" i="1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A13" i="6"/>
  <c r="W13" i="6"/>
  <c r="V13" i="6"/>
  <c r="U13" i="6"/>
  <c r="T13" i="6"/>
  <c r="S13" i="6"/>
  <c r="R13" i="6"/>
  <c r="AD12" i="1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A12" i="6"/>
  <c r="W12" i="6"/>
  <c r="V12" i="6"/>
  <c r="U12" i="6"/>
  <c r="T12" i="6"/>
  <c r="S12" i="6"/>
  <c r="R12" i="6"/>
  <c r="AD11" i="1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A11" i="6"/>
  <c r="W11" i="6"/>
  <c r="V11" i="6"/>
  <c r="U11" i="6"/>
  <c r="T11" i="6"/>
  <c r="S11" i="6"/>
  <c r="R11" i="6"/>
  <c r="AD10" i="1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B11" i="6"/>
  <c r="A10" i="6"/>
  <c r="W10" i="6"/>
  <c r="V10" i="6"/>
  <c r="U10" i="6"/>
  <c r="T10" i="6"/>
  <c r="S10" i="6"/>
  <c r="R10" i="6"/>
  <c r="AD9" i="1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A9" i="6"/>
  <c r="W9" i="6"/>
  <c r="V9" i="6"/>
  <c r="U9" i="6"/>
  <c r="T9" i="6"/>
  <c r="S9" i="6"/>
  <c r="R9" i="6"/>
  <c r="AD8" i="1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9" i="6"/>
  <c r="A8" i="6"/>
  <c r="W8" i="6"/>
  <c r="V8" i="6"/>
  <c r="U8" i="6"/>
  <c r="T8" i="6"/>
  <c r="S8" i="6"/>
  <c r="R8" i="6"/>
  <c r="AD7" i="1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A7" i="6"/>
  <c r="W7" i="6"/>
  <c r="V7" i="6"/>
  <c r="U7" i="6"/>
  <c r="T7" i="6"/>
  <c r="S7" i="6"/>
  <c r="R7" i="6"/>
  <c r="AD6" i="1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B7" i="6"/>
  <c r="A6" i="6"/>
  <c r="W6" i="6"/>
  <c r="V6" i="6"/>
  <c r="U6" i="6"/>
  <c r="T6" i="6"/>
  <c r="S6" i="6"/>
  <c r="R6" i="6"/>
  <c r="AD5" i="1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B6" i="6"/>
  <c r="A5" i="6"/>
  <c r="W5" i="6"/>
  <c r="V5" i="6"/>
  <c r="U5" i="6"/>
  <c r="T5" i="6"/>
  <c r="S5" i="6"/>
  <c r="R5" i="6"/>
  <c r="AD4" i="1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5" i="6"/>
  <c r="A4" i="6"/>
  <c r="W4" i="6"/>
  <c r="V4" i="6"/>
  <c r="U4" i="6"/>
  <c r="T4" i="6"/>
  <c r="S4" i="6"/>
  <c r="R4" i="6"/>
  <c r="AD3" i="1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B4" i="6"/>
  <c r="H58" i="1"/>
  <c r="D58" i="1"/>
  <c r="F58" i="1"/>
  <c r="E58" i="1"/>
  <c r="H53" i="1"/>
  <c r="D53" i="1"/>
  <c r="F53" i="1"/>
  <c r="E53" i="1"/>
  <c r="H48" i="1"/>
  <c r="D48" i="1"/>
  <c r="F48" i="1"/>
  <c r="E48" i="1"/>
  <c r="H42" i="1"/>
  <c r="D42" i="1"/>
  <c r="F42" i="1"/>
  <c r="E42" i="1"/>
  <c r="H36" i="1"/>
  <c r="D36" i="1"/>
  <c r="F36" i="1"/>
  <c r="E36" i="1"/>
  <c r="H31" i="1"/>
  <c r="D31" i="1"/>
  <c r="F31" i="1"/>
  <c r="E31" i="1"/>
  <c r="H25" i="1"/>
  <c r="D25" i="1"/>
  <c r="F25" i="1"/>
  <c r="E25" i="1"/>
  <c r="H19" i="1"/>
  <c r="D19" i="1"/>
  <c r="F19" i="1"/>
  <c r="E19" i="1"/>
  <c r="H13" i="1"/>
  <c r="D13" i="1"/>
  <c r="F13" i="1"/>
  <c r="E13" i="1"/>
  <c r="H7" i="1"/>
  <c r="D7" i="1"/>
  <c r="F7" i="1"/>
  <c r="E7" i="1"/>
  <c r="A41" i="1"/>
  <c r="A59" i="1"/>
  <c r="G7" i="2"/>
  <c r="A3" i="6"/>
  <c r="I3" i="6"/>
  <c r="H3" i="6"/>
  <c r="G3" i="6"/>
  <c r="C1" i="5"/>
  <c r="A1" i="5"/>
  <c r="A17" i="5"/>
  <c r="B1" i="5"/>
  <c r="A7" i="2"/>
  <c r="F17" i="5"/>
  <c r="E17" i="5"/>
  <c r="D17" i="5"/>
  <c r="C17" i="5"/>
  <c r="B17" i="5"/>
  <c r="A16" i="5"/>
  <c r="F16" i="5"/>
  <c r="E16" i="5"/>
  <c r="D16" i="5"/>
  <c r="C16" i="5"/>
  <c r="B16" i="5"/>
  <c r="A15" i="5"/>
  <c r="F15" i="5"/>
  <c r="E15" i="5"/>
  <c r="D15" i="5"/>
  <c r="C15" i="5"/>
  <c r="B15" i="5"/>
  <c r="A14" i="5"/>
  <c r="F14" i="5"/>
  <c r="E14" i="5"/>
  <c r="D14" i="5"/>
  <c r="C14" i="5"/>
  <c r="B14" i="5"/>
  <c r="A13" i="5"/>
  <c r="F13" i="5"/>
  <c r="E13" i="5"/>
  <c r="D13" i="5"/>
  <c r="C13" i="5"/>
  <c r="B13" i="5"/>
  <c r="A12" i="5"/>
  <c r="F12" i="5"/>
  <c r="E12" i="5"/>
  <c r="D12" i="5"/>
  <c r="C12" i="5"/>
  <c r="B12" i="5"/>
  <c r="A11" i="5"/>
  <c r="F11" i="5"/>
  <c r="E11" i="5"/>
  <c r="D11" i="5"/>
  <c r="C11" i="5"/>
  <c r="B11" i="5"/>
  <c r="A10" i="5"/>
  <c r="F10" i="5"/>
  <c r="E10" i="5"/>
  <c r="D10" i="5"/>
  <c r="C10" i="5"/>
  <c r="B10" i="5"/>
  <c r="A9" i="5"/>
  <c r="F9" i="5"/>
  <c r="E9" i="5"/>
  <c r="D9" i="5"/>
  <c r="C9" i="5"/>
  <c r="B9" i="5"/>
  <c r="A8" i="5"/>
  <c r="F8" i="5"/>
  <c r="E8" i="5"/>
  <c r="D8" i="5"/>
  <c r="C8" i="5"/>
  <c r="B8" i="5"/>
  <c r="A7" i="5"/>
  <c r="F7" i="5"/>
  <c r="E7" i="5"/>
  <c r="D7" i="5"/>
  <c r="C7" i="5"/>
  <c r="B7" i="5"/>
  <c r="A6" i="5"/>
  <c r="F6" i="5"/>
  <c r="E6" i="5"/>
  <c r="D6" i="5"/>
  <c r="C6" i="5"/>
  <c r="B6" i="5"/>
  <c r="A5" i="5"/>
  <c r="F5" i="5"/>
  <c r="E5" i="5"/>
  <c r="D5" i="5"/>
  <c r="C5" i="5"/>
  <c r="B5" i="5"/>
  <c r="A4" i="5"/>
  <c r="F4" i="5"/>
  <c r="E4" i="5"/>
  <c r="D4" i="5"/>
  <c r="C4" i="5"/>
  <c r="B4" i="5"/>
  <c r="S41" i="1"/>
  <c r="S46" i="1"/>
  <c r="S50" i="1"/>
  <c r="S51" i="1"/>
  <c r="H60" i="1"/>
  <c r="D60" i="1"/>
  <c r="F60" i="1"/>
  <c r="E60" i="1"/>
  <c r="H59" i="1"/>
  <c r="D59" i="1"/>
  <c r="F59" i="1"/>
  <c r="E59" i="1"/>
  <c r="H57" i="1"/>
  <c r="D57" i="1"/>
  <c r="F57" i="1"/>
  <c r="E57" i="1"/>
  <c r="H56" i="1"/>
  <c r="D56" i="1"/>
  <c r="F56" i="1"/>
  <c r="E56" i="1"/>
  <c r="H55" i="1"/>
  <c r="D55" i="1"/>
  <c r="F55" i="1"/>
  <c r="E55" i="1"/>
  <c r="H54" i="1"/>
  <c r="D54" i="1"/>
  <c r="F54" i="1"/>
  <c r="E54" i="1"/>
  <c r="H52" i="1"/>
  <c r="D52" i="1"/>
  <c r="F52" i="1"/>
  <c r="E52" i="1"/>
  <c r="H51" i="1"/>
  <c r="D51" i="1"/>
  <c r="F51" i="1"/>
  <c r="E51" i="1"/>
  <c r="H50" i="1"/>
  <c r="D50" i="1"/>
  <c r="F50" i="1"/>
  <c r="E50" i="1"/>
  <c r="H49" i="1"/>
  <c r="D49" i="1"/>
  <c r="F49" i="1"/>
  <c r="E49" i="1"/>
  <c r="H46" i="1"/>
  <c r="D46" i="1"/>
  <c r="F46" i="1"/>
  <c r="E46" i="1"/>
  <c r="H47" i="1"/>
  <c r="D47" i="1"/>
  <c r="F47" i="1"/>
  <c r="E47" i="1"/>
  <c r="H45" i="1"/>
  <c r="D45" i="1"/>
  <c r="F45" i="1"/>
  <c r="E45" i="1"/>
  <c r="H44" i="1"/>
  <c r="D44" i="1"/>
  <c r="F44" i="1"/>
  <c r="E44" i="1"/>
  <c r="H41" i="1"/>
  <c r="D41" i="1"/>
  <c r="F41" i="1"/>
  <c r="E41" i="1"/>
  <c r="H40" i="1"/>
  <c r="D40" i="1"/>
  <c r="F40" i="1"/>
  <c r="E40" i="1"/>
  <c r="H39" i="1"/>
  <c r="D39" i="1"/>
  <c r="F39" i="1"/>
  <c r="E39" i="1"/>
  <c r="H38" i="1"/>
  <c r="D38" i="1"/>
  <c r="F38" i="1"/>
  <c r="E38" i="1"/>
  <c r="H37" i="1"/>
  <c r="D37" i="1"/>
  <c r="F37" i="1"/>
  <c r="E37" i="1"/>
  <c r="H35" i="1"/>
  <c r="D35" i="1"/>
  <c r="F35" i="1"/>
  <c r="E35" i="1"/>
  <c r="H34" i="1"/>
  <c r="D34" i="1"/>
  <c r="F34" i="1"/>
  <c r="E34" i="1"/>
  <c r="H33" i="1"/>
  <c r="D33" i="1"/>
  <c r="F33" i="1"/>
  <c r="E33" i="1"/>
  <c r="H32" i="1"/>
  <c r="D32" i="1"/>
  <c r="F32" i="1"/>
  <c r="E32" i="1"/>
  <c r="H30" i="1"/>
  <c r="D30" i="1"/>
  <c r="F30" i="1"/>
  <c r="E30" i="1"/>
  <c r="H43" i="1"/>
  <c r="D43" i="1"/>
  <c r="F43" i="1"/>
  <c r="E43" i="1"/>
  <c r="H29" i="1"/>
  <c r="D29" i="1"/>
  <c r="F29" i="1"/>
  <c r="E29" i="1"/>
  <c r="H28" i="1"/>
  <c r="D28" i="1"/>
  <c r="F28" i="1"/>
  <c r="E28" i="1"/>
  <c r="H27" i="1"/>
  <c r="D27" i="1"/>
  <c r="F27" i="1"/>
  <c r="E27" i="1"/>
  <c r="G16" i="2"/>
  <c r="H16" i="2"/>
  <c r="E16" i="2"/>
  <c r="D16" i="2"/>
  <c r="A16" i="2"/>
  <c r="H2" i="1"/>
  <c r="H3" i="1"/>
  <c r="H4" i="1"/>
  <c r="H5" i="1"/>
  <c r="H6" i="1"/>
  <c r="H8" i="1"/>
  <c r="H9" i="1"/>
  <c r="H10" i="1"/>
  <c r="H11" i="1"/>
  <c r="H12" i="1"/>
  <c r="H14" i="1"/>
  <c r="H15" i="1"/>
  <c r="H16" i="1"/>
  <c r="H17" i="1"/>
  <c r="H18" i="1"/>
  <c r="H20" i="1"/>
  <c r="H21" i="1"/>
  <c r="H22" i="1"/>
  <c r="H23" i="1"/>
  <c r="H24" i="1"/>
  <c r="H26" i="1"/>
  <c r="B16" i="2"/>
  <c r="G15" i="2"/>
  <c r="H15" i="2"/>
  <c r="E15" i="2"/>
  <c r="D15" i="2"/>
  <c r="A15" i="2"/>
  <c r="B15" i="2"/>
  <c r="G14" i="2"/>
  <c r="H14" i="2"/>
  <c r="E14" i="2"/>
  <c r="D14" i="2"/>
  <c r="A14" i="2"/>
  <c r="B14" i="2"/>
  <c r="G13" i="2"/>
  <c r="H13" i="2"/>
  <c r="E13" i="2"/>
  <c r="D13" i="2"/>
  <c r="A13" i="2"/>
  <c r="B13" i="2"/>
  <c r="G12" i="2"/>
  <c r="H12" i="2"/>
  <c r="E12" i="2"/>
  <c r="D12" i="2"/>
  <c r="A12" i="2"/>
  <c r="B12" i="2"/>
  <c r="G11" i="2"/>
  <c r="H11" i="2"/>
  <c r="E11" i="2"/>
  <c r="D11" i="2"/>
  <c r="A11" i="2"/>
  <c r="B11" i="2"/>
  <c r="G10" i="2"/>
  <c r="H10" i="2"/>
  <c r="E10" i="2"/>
  <c r="D10" i="2"/>
  <c r="A10" i="2"/>
  <c r="B10" i="2"/>
  <c r="G9" i="2"/>
  <c r="H9" i="2"/>
  <c r="E9" i="2"/>
  <c r="D9" i="2"/>
  <c r="A9" i="2"/>
  <c r="B9" i="2"/>
  <c r="G8" i="2"/>
  <c r="H8" i="2"/>
  <c r="E8" i="2"/>
  <c r="D8" i="2"/>
  <c r="A8" i="2"/>
  <c r="B8" i="2"/>
  <c r="H7" i="2"/>
  <c r="E7" i="2"/>
  <c r="D7" i="2"/>
  <c r="B7" i="2"/>
  <c r="G6" i="2"/>
  <c r="H6" i="2"/>
  <c r="E6" i="2"/>
  <c r="D6" i="2"/>
  <c r="A6" i="2"/>
  <c r="B6" i="2"/>
  <c r="G5" i="2"/>
  <c r="H5" i="2"/>
  <c r="E5" i="2"/>
  <c r="D5" i="2"/>
  <c r="A5" i="2"/>
  <c r="B5" i="2"/>
  <c r="G4" i="2"/>
  <c r="H4" i="2"/>
  <c r="E4" i="2"/>
  <c r="D4" i="2"/>
  <c r="A4" i="2"/>
  <c r="B4" i="2"/>
  <c r="G3" i="2"/>
  <c r="H3" i="2"/>
  <c r="E3" i="2"/>
  <c r="D3" i="2"/>
  <c r="A3" i="2"/>
  <c r="B3" i="2"/>
  <c r="G2" i="2"/>
  <c r="H2" i="2"/>
  <c r="E2" i="2"/>
  <c r="D2" i="2"/>
  <c r="A2" i="2"/>
  <c r="B2" i="2"/>
  <c r="D26" i="1"/>
  <c r="F26" i="1"/>
  <c r="E26" i="1"/>
  <c r="D24" i="1"/>
  <c r="F24" i="1"/>
  <c r="E24" i="1"/>
  <c r="D23" i="1"/>
  <c r="F23" i="1"/>
  <c r="E23" i="1"/>
  <c r="D22" i="1"/>
  <c r="F22" i="1"/>
  <c r="E22" i="1"/>
  <c r="D21" i="1"/>
  <c r="F21" i="1"/>
  <c r="E21" i="1"/>
  <c r="D20" i="1"/>
  <c r="F20" i="1"/>
  <c r="E20" i="1"/>
  <c r="D18" i="1"/>
  <c r="F18" i="1"/>
  <c r="E18" i="1"/>
  <c r="D17" i="1"/>
  <c r="F17" i="1"/>
  <c r="E17" i="1"/>
  <c r="D16" i="1"/>
  <c r="F16" i="1"/>
  <c r="E16" i="1"/>
  <c r="D15" i="1"/>
  <c r="F15" i="1"/>
  <c r="E15" i="1"/>
  <c r="D14" i="1"/>
  <c r="F14" i="1"/>
  <c r="E14" i="1"/>
  <c r="D12" i="1"/>
  <c r="F12" i="1"/>
  <c r="E12" i="1"/>
  <c r="D11" i="1"/>
  <c r="F11" i="1"/>
  <c r="E11" i="1"/>
  <c r="D10" i="1"/>
  <c r="F10" i="1"/>
  <c r="E10" i="1"/>
  <c r="D9" i="1"/>
  <c r="F9" i="1"/>
  <c r="E9" i="1"/>
  <c r="D8" i="1"/>
  <c r="F8" i="1"/>
  <c r="E8" i="1"/>
  <c r="D6" i="1"/>
  <c r="F6" i="1"/>
  <c r="E6" i="1"/>
  <c r="D5" i="1"/>
  <c r="F5" i="1"/>
  <c r="E5" i="1"/>
  <c r="D4" i="1"/>
  <c r="F4" i="1"/>
  <c r="E4" i="1"/>
  <c r="D3" i="1"/>
  <c r="F3" i="1"/>
  <c r="E3" i="1"/>
  <c r="D2" i="1"/>
  <c r="F2" i="1"/>
  <c r="W3" i="6"/>
  <c r="V3" i="6"/>
  <c r="U3" i="6"/>
  <c r="T3" i="6"/>
  <c r="S3" i="6"/>
  <c r="AD2" i="1"/>
  <c r="E2" i="1"/>
  <c r="A3" i="5"/>
  <c r="F3" i="5"/>
  <c r="E3" i="5"/>
  <c r="D3" i="5"/>
  <c r="C3" i="5"/>
  <c r="B3" i="5"/>
  <c r="B3" i="6"/>
  <c r="C3" i="6"/>
  <c r="D3" i="6"/>
  <c r="E3" i="6"/>
  <c r="F3" i="6"/>
  <c r="J3" i="6"/>
  <c r="K3" i="6"/>
  <c r="L3" i="6"/>
  <c r="M3" i="6"/>
  <c r="N3" i="6"/>
  <c r="O3" i="6"/>
  <c r="P3" i="6"/>
  <c r="Q3" i="6"/>
  <c r="R3" i="6"/>
</calcChain>
</file>

<file path=xl/sharedStrings.xml><?xml version="1.0" encoding="utf-8"?>
<sst xmlns="http://schemas.openxmlformats.org/spreadsheetml/2006/main" count="76" uniqueCount="55">
  <si>
    <t>quest_id</t>
  </si>
  <si>
    <t>stage_id</t>
  </si>
  <si>
    <t>character_id</t>
  </si>
  <si>
    <t>level</t>
  </si>
  <si>
    <t>skill_set_id</t>
    <phoneticPr fontId="4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</si>
  <si>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</si>
  <si>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</si>
  <si>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</si>
  <si>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</si>
  <si>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</si>
  <si>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</si>
  <si>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</si>
  <si>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</si>
  <si>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</si>
  <si>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</si>
  <si>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</si>
  <si>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4"/>
  </si>
  <si>
    <t>rare</t>
    <phoneticPr fontId="4"/>
  </si>
  <si>
    <t>name</t>
    <phoneticPr fontId="4"/>
  </si>
  <si>
    <t>floor_id</t>
    <phoneticPr fontId="4"/>
  </si>
  <si>
    <t>name</t>
    <phoneticPr fontId="4"/>
  </si>
  <si>
    <t>name</t>
    <phoneticPr fontId="4"/>
  </si>
  <si>
    <t>skill_set_id</t>
  </si>
  <si>
    <t>drop_label</t>
    <phoneticPr fontId="4"/>
  </si>
  <si>
    <t>color</t>
    <phoneticPr fontId="4"/>
  </si>
  <si>
    <t>size</t>
    <phoneticPr fontId="4"/>
  </si>
  <si>
    <t>character_main_tribe_id</t>
    <phoneticPr fontId="4"/>
  </si>
  <si>
    <t>drop_label</t>
    <phoneticPr fontId="6"/>
  </si>
  <si>
    <t>temp_stage</t>
    <phoneticPr fontId="4"/>
  </si>
  <si>
    <t>temp_habitats</t>
    <phoneticPr fontId="4"/>
  </si>
  <si>
    <t>temp_habitats</t>
    <phoneticPr fontId="4"/>
  </si>
  <si>
    <t>temp_floor</t>
    <phoneticPr fontId="4"/>
  </si>
  <si>
    <t>temp_floor</t>
    <phoneticPr fontId="4"/>
  </si>
  <si>
    <t>スキル</t>
    <phoneticPr fontId="4"/>
  </si>
  <si>
    <t>temp_stage</t>
    <phoneticPr fontId="4"/>
  </si>
  <si>
    <t>位置付け</t>
    <rPh sb="0" eb="3">
      <t>イチヅ</t>
    </rPh>
    <phoneticPr fontId="4"/>
  </si>
  <si>
    <t>name</t>
    <phoneticPr fontId="4"/>
  </si>
  <si>
    <t>temp_floor</t>
    <phoneticPr fontId="4"/>
  </si>
  <si>
    <t>status</t>
    <phoneticPr fontId="4"/>
  </si>
  <si>
    <t>hp_plus</t>
  </si>
  <si>
    <t>hp_plus</t>
    <phoneticPr fontId="4"/>
  </si>
  <si>
    <t>attack_plus</t>
  </si>
  <si>
    <t>attack_plus</t>
    <phoneticPr fontId="4"/>
  </si>
  <si>
    <t>defense_plus</t>
  </si>
  <si>
    <t>defense_plus</t>
    <phoneticPr fontId="4"/>
  </si>
  <si>
    <t>heal_plus</t>
  </si>
  <si>
    <t>heal_plus</t>
    <phoneticPr fontId="4"/>
  </si>
  <si>
    <t>bug</t>
  </si>
  <si>
    <t>bug</t>
    <phoneticPr fontId="4"/>
  </si>
  <si>
    <t>hp_coefficient</t>
    <phoneticPr fontId="4"/>
  </si>
  <si>
    <t>attack_coefficient</t>
    <phoneticPr fontId="4"/>
  </si>
  <si>
    <t>defense_correction</t>
    <phoneticPr fontId="4"/>
  </si>
  <si>
    <t>hp_coefficient</t>
  </si>
  <si>
    <t>attack_coefficient</t>
  </si>
  <si>
    <t>defense_correction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</si>
</sst>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&quot;$&quot;#&quot;:$&quot;#"/>
    <numFmt numFmtId="177" formatCode="0_);[Red]\(0\)"/>
    <numFmt numFmtId="178" formatCode="0.0"/>
  </numFmts>
  <fonts count="15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sz val="10"/>
      <name val="ＭＳ Ｐゴシック"/>
      <family val="3"/>
      <charset val="128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24"/>
      </patternFill>
    </fill>
    <fill>
      <patternFill patternType="solid">
        <fgColor rgb="FFFFFF00"/>
        <bgColor rgb="FF63AAFE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708">
    <xf numFmtId="0" fontId="0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45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5" fillId="5" borderId="3" xfId="0" applyFont="1" applyFill="1" applyBorder="1" applyAlignment="1">
      <alignment vertical="center"/>
    </xf>
    <xf numFmtId="0" fontId="7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1" xfId="0" applyFont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3" fillId="0" borderId="6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5" fillId="5" borderId="1" xfId="0" applyFont="1" applyFill="1" applyBorder="1" applyAlignment="1">
      <alignment vertical="center"/>
    </xf>
    <xf numFmtId="0" fontId="5" fillId="0" borderId="1" xfId="0" applyFont="1" applyFill="1" applyBorder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vertical="center"/>
    </xf>
    <xf numFmtId="0" fontId="2" fillId="6" borderId="0" xfId="11" applyFont="1" applyFill="1"/>
    <xf numFmtId="176" fontId="2" fillId="6" borderId="0" xfId="11" applyNumberFormat="1" applyFont="1" applyFill="1"/>
    <xf numFmtId="0" fontId="0" fillId="7" borderId="0" xfId="0" applyFill="1"/>
    <xf numFmtId="0" fontId="10" fillId="0" borderId="0" xfId="11" applyFont="1" applyFill="1" applyBorder="1"/>
    <xf numFmtId="0" fontId="3" fillId="3" borderId="7" xfId="0" applyFont="1" applyFill="1" applyBorder="1" applyAlignment="1">
      <alignment horizontal="center" vertical="center"/>
    </xf>
    <xf numFmtId="0" fontId="11" fillId="8" borderId="0" xfId="0" applyFont="1" applyFill="1" applyAlignment="1">
      <alignment vertical="center"/>
    </xf>
    <xf numFmtId="0" fontId="5" fillId="4" borderId="7" xfId="0" applyFont="1" applyFill="1" applyBorder="1" applyAlignment="1">
      <alignment horizontal="center" vertical="center"/>
    </xf>
    <xf numFmtId="0" fontId="12" fillId="8" borderId="0" xfId="0" applyFont="1" applyFill="1"/>
    <xf numFmtId="0" fontId="13" fillId="8" borderId="0" xfId="11" applyFont="1" applyFill="1" applyBorder="1"/>
    <xf numFmtId="0" fontId="3" fillId="3" borderId="8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vertical="center"/>
    </xf>
    <xf numFmtId="0" fontId="11" fillId="0" borderId="0" xfId="0" applyFont="1" applyFill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177" fontId="3" fillId="0" borderId="3" xfId="0" applyNumberFormat="1" applyFont="1" applyFill="1" applyBorder="1" applyAlignment="1">
      <alignment horizontal="center" vertical="center"/>
    </xf>
    <xf numFmtId="0" fontId="5" fillId="3" borderId="7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3" fillId="9" borderId="1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left" vertical="center"/>
    </xf>
    <xf numFmtId="178" fontId="7" fillId="0" borderId="4" xfId="0" applyNumberFormat="1" applyFont="1" applyBorder="1" applyAlignment="1">
      <alignment vertical="center"/>
    </xf>
    <xf numFmtId="0" fontId="1" fillId="6" borderId="0" xfId="11" applyFont="1" applyFill="1"/>
    <xf numFmtId="0" fontId="3" fillId="10" borderId="0" xfId="0" applyFont="1" applyFill="1" applyAlignment="1">
      <alignment vertical="center"/>
    </xf>
    <xf numFmtId="0" fontId="3" fillId="10" borderId="1" xfId="0" applyFont="1" applyFill="1" applyBorder="1" applyAlignment="1">
      <alignment horizontal="center" vertical="center"/>
    </xf>
    <xf numFmtId="0" fontId="5" fillId="11" borderId="3" xfId="0" applyFont="1" applyFill="1" applyBorder="1" applyAlignment="1">
      <alignment vertical="center"/>
    </xf>
    <xf numFmtId="0" fontId="14" fillId="12" borderId="11" xfId="0" applyFont="1" applyFill="1" applyBorder="1" applyAlignment="1">
      <alignment vertical="center"/>
    </xf>
    <xf numFmtId="0" fontId="3" fillId="13" borderId="6" xfId="0" applyFont="1" applyFill="1" applyBorder="1" applyAlignment="1">
      <alignment vertical="center"/>
    </xf>
  </cellXfs>
  <cellStyles count="708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標準" xfId="0" builtinId="0"/>
    <cellStyle name="標準 4" xfId="11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externalLink" Target="externalLinks/externalLink1.xml"/><Relationship Id="rId6" Type="http://schemas.openxmlformats.org/officeDocument/2006/relationships/externalLink" Target="externalLinks/externalLink2.xml"/><Relationship Id="rId7" Type="http://schemas.openxmlformats.org/officeDocument/2006/relationships/externalLink" Target="externalLinks/externalLink3.xml"/><Relationship Id="rId8" Type="http://schemas.openxmlformats.org/officeDocument/2006/relationships/externalLink" Target="externalLinks/externalLink4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12001</v>
          </cell>
        </row>
        <row r="89">
          <cell r="A89">
            <v>12002</v>
          </cell>
        </row>
        <row r="90">
          <cell r="A90">
            <v>12003</v>
          </cell>
        </row>
        <row r="91">
          <cell r="A91">
            <v>12004</v>
          </cell>
        </row>
        <row r="92">
          <cell r="A92">
            <v>13001</v>
          </cell>
        </row>
        <row r="93">
          <cell r="A93">
            <v>13101</v>
          </cell>
        </row>
        <row r="94">
          <cell r="A94">
            <v>13300</v>
          </cell>
        </row>
        <row r="95">
          <cell r="A95">
            <v>13301</v>
          </cell>
        </row>
        <row r="96">
          <cell r="A96">
            <v>13302</v>
          </cell>
        </row>
        <row r="97">
          <cell r="A97">
            <v>13400</v>
          </cell>
        </row>
        <row r="98">
          <cell r="A98">
            <v>14001</v>
          </cell>
        </row>
        <row r="99">
          <cell r="A99">
            <v>14002</v>
          </cell>
        </row>
        <row r="100">
          <cell r="A100">
            <v>14003</v>
          </cell>
        </row>
        <row r="101">
          <cell r="A101">
            <v>14004</v>
          </cell>
        </row>
        <row r="102">
          <cell r="A102">
            <v>14005</v>
          </cell>
        </row>
        <row r="103">
          <cell r="A103">
            <v>14006</v>
          </cell>
        </row>
        <row r="104">
          <cell r="A104">
            <v>15027</v>
          </cell>
        </row>
        <row r="105">
          <cell r="A105">
            <v>15028</v>
          </cell>
        </row>
        <row r="106">
          <cell r="A106">
            <v>15029</v>
          </cell>
        </row>
        <row r="107">
          <cell r="A107">
            <v>15030</v>
          </cell>
        </row>
        <row r="108">
          <cell r="A108">
            <v>15031</v>
          </cell>
        </row>
        <row r="109">
          <cell r="A109">
            <v>20001</v>
          </cell>
        </row>
        <row r="110">
          <cell r="A110">
            <v>20002</v>
          </cell>
        </row>
        <row r="111">
          <cell r="A111">
            <v>20003</v>
          </cell>
        </row>
        <row r="112">
          <cell r="A112">
            <v>20004</v>
          </cell>
        </row>
        <row r="113">
          <cell r="A113">
            <v>20005</v>
          </cell>
        </row>
        <row r="114">
          <cell r="A114">
            <v>20006</v>
          </cell>
        </row>
        <row r="115">
          <cell r="A115">
            <v>20007</v>
          </cell>
        </row>
        <row r="116">
          <cell r="A116">
            <v>20008</v>
          </cell>
        </row>
        <row r="117">
          <cell r="A117">
            <v>20009</v>
          </cell>
        </row>
        <row r="118">
          <cell r="A118">
            <v>20010</v>
          </cell>
        </row>
        <row r="119">
          <cell r="A119">
            <v>20011</v>
          </cell>
        </row>
        <row r="120">
          <cell r="A120">
            <v>20012</v>
          </cell>
        </row>
        <row r="121">
          <cell r="A121">
            <v>20013</v>
          </cell>
        </row>
        <row r="122">
          <cell r="A122">
            <v>20014</v>
          </cell>
        </row>
        <row r="123">
          <cell r="A123">
            <v>20015</v>
          </cell>
        </row>
        <row r="124">
          <cell r="A124">
            <v>20016</v>
          </cell>
        </row>
        <row r="125">
          <cell r="A125">
            <v>20017</v>
          </cell>
        </row>
        <row r="126">
          <cell r="A126">
            <v>20018</v>
          </cell>
        </row>
        <row r="127">
          <cell r="A127">
            <v>20019</v>
          </cell>
        </row>
        <row r="128">
          <cell r="A128">
            <v>20020</v>
          </cell>
        </row>
        <row r="129">
          <cell r="A129">
            <v>20021</v>
          </cell>
        </row>
        <row r="130">
          <cell r="A130">
            <v>20022</v>
          </cell>
        </row>
        <row r="131">
          <cell r="A131">
            <v>30001</v>
          </cell>
        </row>
        <row r="132">
          <cell r="A132">
            <v>30002</v>
          </cell>
        </row>
        <row r="133">
          <cell r="A133">
            <v>30003</v>
          </cell>
        </row>
        <row r="134">
          <cell r="A134">
            <v>30004</v>
          </cell>
        </row>
        <row r="135">
          <cell r="A135">
            <v>30005</v>
          </cell>
        </row>
        <row r="136">
          <cell r="A136">
            <v>30006</v>
          </cell>
        </row>
        <row r="137">
          <cell r="A137">
            <v>30007</v>
          </cell>
        </row>
        <row r="138">
          <cell r="A138">
            <v>30008</v>
          </cell>
        </row>
        <row r="139">
          <cell r="A139">
            <v>30009</v>
          </cell>
        </row>
        <row r="140">
          <cell r="A140">
            <v>30010</v>
          </cell>
        </row>
        <row r="141">
          <cell r="A141">
            <v>30011</v>
          </cell>
        </row>
        <row r="142">
          <cell r="A142">
            <v>30012</v>
          </cell>
        </row>
        <row r="143">
          <cell r="A143">
            <v>30013</v>
          </cell>
        </row>
        <row r="144">
          <cell r="A144">
            <v>30014</v>
          </cell>
        </row>
        <row r="145">
          <cell r="A145">
            <v>30015</v>
          </cell>
        </row>
        <row r="146">
          <cell r="A146">
            <v>30016</v>
          </cell>
        </row>
        <row r="147">
          <cell r="A147">
            <v>30017</v>
          </cell>
        </row>
        <row r="148">
          <cell r="A148">
            <v>30018</v>
          </cell>
        </row>
        <row r="149">
          <cell r="A149">
            <v>30019</v>
          </cell>
        </row>
        <row r="150">
          <cell r="A150">
            <v>30020</v>
          </cell>
        </row>
        <row r="151">
          <cell r="A151">
            <v>30021</v>
          </cell>
        </row>
        <row r="152">
          <cell r="A152">
            <v>30022</v>
          </cell>
        </row>
        <row r="153">
          <cell r="A153">
            <v>30023</v>
          </cell>
        </row>
        <row r="154">
          <cell r="A154">
            <v>30024</v>
          </cell>
        </row>
        <row r="155">
          <cell r="A155">
            <v>30025</v>
          </cell>
        </row>
        <row r="156">
          <cell r="A156">
            <v>30026</v>
          </cell>
        </row>
        <row r="157">
          <cell r="A157">
            <v>30027</v>
          </cell>
        </row>
        <row r="158">
          <cell r="A158">
            <v>30028</v>
          </cell>
        </row>
        <row r="159">
          <cell r="A159">
            <v>30029</v>
          </cell>
        </row>
        <row r="160">
          <cell r="A160">
            <v>30030</v>
          </cell>
        </row>
        <row r="161">
          <cell r="A161">
            <v>30031</v>
          </cell>
        </row>
        <row r="162">
          <cell r="A162">
            <v>30032</v>
          </cell>
        </row>
        <row r="163">
          <cell r="A163">
            <v>30033</v>
          </cell>
        </row>
        <row r="164">
          <cell r="A164">
            <v>30034</v>
          </cell>
        </row>
        <row r="165">
          <cell r="A165">
            <v>30035</v>
          </cell>
        </row>
        <row r="166">
          <cell r="A166">
            <v>30036</v>
          </cell>
        </row>
        <row r="167">
          <cell r="A167">
            <v>30037</v>
          </cell>
        </row>
        <row r="168">
          <cell r="A168">
            <v>30038</v>
          </cell>
        </row>
        <row r="169">
          <cell r="A169">
            <v>30039</v>
          </cell>
        </row>
        <row r="170">
          <cell r="A170">
            <v>30040</v>
          </cell>
        </row>
        <row r="171">
          <cell r="A171">
            <v>30041</v>
          </cell>
        </row>
        <row r="172">
          <cell r="A172">
            <v>30042</v>
          </cell>
        </row>
        <row r="173">
          <cell r="A173">
            <v>30043</v>
          </cell>
        </row>
        <row r="174">
          <cell r="A174">
            <v>30044</v>
          </cell>
        </row>
        <row r="175">
          <cell r="A175">
            <v>30045</v>
          </cell>
        </row>
        <row r="176">
          <cell r="A176">
            <v>30046</v>
          </cell>
        </row>
        <row r="177">
          <cell r="A177">
            <v>30047</v>
          </cell>
        </row>
        <row r="178">
          <cell r="A178">
            <v>30048</v>
          </cell>
        </row>
        <row r="179">
          <cell r="A179">
            <v>39001</v>
          </cell>
        </row>
        <row r="180">
          <cell r="A180">
            <v>39002</v>
          </cell>
        </row>
        <row r="181">
          <cell r="A181">
            <v>39003</v>
          </cell>
        </row>
        <row r="182">
          <cell r="A182">
            <v>39004</v>
          </cell>
        </row>
        <row r="183">
          <cell r="A183">
            <v>39005</v>
          </cell>
        </row>
        <row r="184">
          <cell r="A184">
            <v>39006</v>
          </cell>
        </row>
        <row r="185">
          <cell r="A185">
            <v>39007</v>
          </cell>
        </row>
        <row r="186">
          <cell r="A186">
            <v>39008</v>
          </cell>
        </row>
        <row r="187">
          <cell r="A187">
            <v>39009</v>
          </cell>
        </row>
        <row r="188">
          <cell r="A188">
            <v>39010</v>
          </cell>
        </row>
        <row r="189">
          <cell r="A189">
            <v>39011</v>
          </cell>
        </row>
        <row r="190">
          <cell r="A190">
            <v>39012</v>
          </cell>
        </row>
        <row r="191">
          <cell r="A191">
            <v>40001</v>
          </cell>
        </row>
        <row r="192">
          <cell r="A192">
            <v>40002</v>
          </cell>
        </row>
        <row r="193">
          <cell r="A193">
            <v>40003</v>
          </cell>
        </row>
        <row r="194">
          <cell r="A194">
            <v>40004</v>
          </cell>
        </row>
        <row r="195">
          <cell r="A195">
            <v>40005</v>
          </cell>
        </row>
        <row r="196">
          <cell r="A196">
            <v>40006</v>
          </cell>
        </row>
        <row r="197">
          <cell r="A197">
            <v>40007</v>
          </cell>
        </row>
        <row r="198">
          <cell r="A198">
            <v>40008</v>
          </cell>
        </row>
        <row r="199">
          <cell r="A199">
            <v>40009</v>
          </cell>
        </row>
        <row r="200">
          <cell r="A200">
            <v>40010</v>
          </cell>
        </row>
        <row r="201">
          <cell r="A201">
            <v>40011</v>
          </cell>
        </row>
        <row r="202">
          <cell r="A202">
            <v>40012</v>
          </cell>
        </row>
        <row r="203">
          <cell r="A203">
            <v>40013</v>
          </cell>
        </row>
        <row r="204">
          <cell r="A204">
            <v>40014</v>
          </cell>
        </row>
        <row r="205">
          <cell r="A205">
            <v>40015</v>
          </cell>
        </row>
        <row r="206">
          <cell r="A206">
            <v>40016</v>
          </cell>
        </row>
        <row r="207">
          <cell r="A207">
            <v>40017</v>
          </cell>
        </row>
        <row r="208">
          <cell r="A208">
            <v>40018</v>
          </cell>
        </row>
        <row r="209">
          <cell r="A209">
            <v>40019</v>
          </cell>
        </row>
        <row r="210">
          <cell r="A210">
            <v>40021</v>
          </cell>
        </row>
        <row r="211">
          <cell r="A211">
            <v>40022</v>
          </cell>
        </row>
        <row r="212">
          <cell r="A212">
            <v>40023</v>
          </cell>
        </row>
        <row r="213">
          <cell r="A213">
            <v>40024</v>
          </cell>
        </row>
        <row r="214">
          <cell r="A214">
            <v>40025</v>
          </cell>
        </row>
        <row r="215">
          <cell r="A215">
            <v>40026</v>
          </cell>
        </row>
        <row r="216">
          <cell r="A216">
            <v>40027</v>
          </cell>
        </row>
        <row r="217">
          <cell r="A217">
            <v>40028</v>
          </cell>
        </row>
        <row r="218">
          <cell r="A218">
            <v>40029</v>
          </cell>
        </row>
        <row r="219">
          <cell r="A219">
            <v>40030</v>
          </cell>
        </row>
        <row r="220">
          <cell r="A220">
            <v>40031</v>
          </cell>
        </row>
        <row r="221">
          <cell r="A221">
            <v>40032</v>
          </cell>
        </row>
        <row r="222">
          <cell r="A222">
            <v>40033</v>
          </cell>
        </row>
        <row r="223">
          <cell r="A223">
            <v>40034</v>
          </cell>
        </row>
        <row r="224">
          <cell r="A224">
            <v>40035</v>
          </cell>
        </row>
        <row r="225">
          <cell r="A225">
            <v>40036</v>
          </cell>
        </row>
        <row r="226">
          <cell r="A226">
            <v>40037</v>
          </cell>
        </row>
        <row r="227">
          <cell r="A227">
            <v>40038</v>
          </cell>
        </row>
        <row r="228">
          <cell r="A228">
            <v>40039</v>
          </cell>
        </row>
        <row r="229">
          <cell r="A229">
            <v>40040</v>
          </cell>
        </row>
        <row r="230">
          <cell r="A230">
            <v>40041</v>
          </cell>
        </row>
        <row r="231">
          <cell r="A231">
            <v>40042</v>
          </cell>
        </row>
        <row r="232">
          <cell r="A232">
            <v>40043</v>
          </cell>
        </row>
        <row r="233">
          <cell r="A233">
            <v>48001</v>
          </cell>
        </row>
        <row r="234">
          <cell r="A234">
            <v>48002</v>
          </cell>
        </row>
        <row r="235">
          <cell r="A235">
            <v>48003</v>
          </cell>
        </row>
        <row r="236">
          <cell r="A236">
            <v>48004</v>
          </cell>
        </row>
        <row r="237">
          <cell r="A237">
            <v>48005</v>
          </cell>
        </row>
        <row r="238">
          <cell r="A238">
            <v>48006</v>
          </cell>
        </row>
        <row r="239">
          <cell r="A239">
            <v>48007</v>
          </cell>
        </row>
        <row r="240">
          <cell r="A240">
            <v>48008</v>
          </cell>
        </row>
        <row r="241">
          <cell r="A241">
            <v>48009</v>
          </cell>
        </row>
        <row r="242">
          <cell r="A242">
            <v>48010</v>
          </cell>
        </row>
        <row r="243">
          <cell r="A243">
            <v>48011</v>
          </cell>
        </row>
        <row r="244">
          <cell r="A244">
            <v>48501</v>
          </cell>
        </row>
        <row r="245">
          <cell r="A245">
            <v>48502</v>
          </cell>
        </row>
        <row r="246">
          <cell r="A246">
            <v>48701</v>
          </cell>
        </row>
        <row r="247">
          <cell r="A247">
            <v>41001</v>
          </cell>
        </row>
        <row r="248">
          <cell r="A248">
            <v>41002</v>
          </cell>
        </row>
        <row r="249">
          <cell r="A249">
            <v>41003</v>
          </cell>
        </row>
        <row r="250">
          <cell r="A250">
            <v>41004</v>
          </cell>
        </row>
        <row r="251">
          <cell r="A251">
            <v>41005</v>
          </cell>
        </row>
        <row r="252">
          <cell r="A252">
            <v>41006</v>
          </cell>
        </row>
        <row r="253">
          <cell r="A253">
            <v>41007</v>
          </cell>
        </row>
        <row r="254">
          <cell r="A254">
            <v>41008</v>
          </cell>
        </row>
        <row r="255">
          <cell r="A255">
            <v>41009</v>
          </cell>
        </row>
        <row r="256">
          <cell r="A256">
            <v>41010</v>
          </cell>
        </row>
        <row r="257">
          <cell r="A257">
            <v>41011</v>
          </cell>
        </row>
        <row r="258">
          <cell r="A258">
            <v>41012</v>
          </cell>
        </row>
        <row r="259">
          <cell r="A259">
            <v>41013</v>
          </cell>
        </row>
        <row r="260">
          <cell r="A260">
            <v>41014</v>
          </cell>
        </row>
        <row r="261">
          <cell r="A261">
            <v>41015</v>
          </cell>
        </row>
        <row r="262">
          <cell r="A262">
            <v>47001</v>
          </cell>
        </row>
        <row r="263">
          <cell r="A263">
            <v>47002</v>
          </cell>
        </row>
        <row r="264">
          <cell r="A264">
            <v>47003</v>
          </cell>
        </row>
        <row r="265">
          <cell r="A265">
            <v>47004</v>
          </cell>
        </row>
        <row r="266">
          <cell r="A266">
            <v>47005</v>
          </cell>
        </row>
        <row r="267">
          <cell r="A267">
            <v>47006</v>
          </cell>
        </row>
        <row r="268">
          <cell r="A268">
            <v>47007</v>
          </cell>
        </row>
        <row r="269">
          <cell r="A269">
            <v>47008</v>
          </cell>
        </row>
        <row r="270">
          <cell r="A270">
            <v>47009</v>
          </cell>
        </row>
        <row r="271">
          <cell r="A271">
            <v>47010</v>
          </cell>
        </row>
        <row r="272">
          <cell r="A272">
            <v>47011</v>
          </cell>
        </row>
        <row r="273">
          <cell r="A273">
            <v>49001</v>
          </cell>
        </row>
        <row r="274">
          <cell r="A274">
            <v>49002</v>
          </cell>
        </row>
        <row r="275">
          <cell r="A275">
            <v>49003</v>
          </cell>
        </row>
        <row r="276">
          <cell r="A276">
            <v>49004</v>
          </cell>
        </row>
        <row r="277">
          <cell r="A277">
            <v>49005</v>
          </cell>
        </row>
        <row r="278">
          <cell r="A278">
            <v>49006</v>
          </cell>
        </row>
        <row r="279">
          <cell r="A279">
            <v>49007</v>
          </cell>
        </row>
        <row r="280">
          <cell r="A280">
            <v>49008</v>
          </cell>
        </row>
        <row r="281">
          <cell r="A281">
            <v>49009</v>
          </cell>
        </row>
        <row r="282">
          <cell r="A282">
            <v>49010</v>
          </cell>
        </row>
        <row r="283">
          <cell r="A283">
            <v>49011</v>
          </cell>
        </row>
        <row r="284">
          <cell r="A284">
            <v>49012</v>
          </cell>
        </row>
        <row r="285">
          <cell r="A285">
            <v>49013</v>
          </cell>
        </row>
        <row r="286">
          <cell r="A286">
            <v>49014</v>
          </cell>
        </row>
        <row r="287">
          <cell r="A287">
            <v>49015</v>
          </cell>
        </row>
        <row r="288">
          <cell r="A288">
            <v>50001</v>
          </cell>
        </row>
        <row r="289">
          <cell r="A289">
            <v>50002</v>
          </cell>
        </row>
        <row r="290">
          <cell r="A290">
            <v>50003</v>
          </cell>
        </row>
        <row r="291">
          <cell r="A291">
            <v>50004</v>
          </cell>
        </row>
        <row r="292">
          <cell r="A292">
            <v>50005</v>
          </cell>
        </row>
        <row r="293">
          <cell r="A293">
            <v>50006</v>
          </cell>
        </row>
        <row r="294">
          <cell r="A294">
            <v>50007</v>
          </cell>
        </row>
        <row r="295">
          <cell r="A295">
            <v>50008</v>
          </cell>
        </row>
        <row r="296">
          <cell r="A296">
            <v>50009</v>
          </cell>
        </row>
        <row r="297">
          <cell r="A297">
            <v>50010</v>
          </cell>
        </row>
        <row r="298">
          <cell r="A298">
            <v>50011</v>
          </cell>
        </row>
        <row r="299">
          <cell r="A299">
            <v>50012</v>
          </cell>
        </row>
        <row r="300">
          <cell r="A300">
            <v>50013</v>
          </cell>
        </row>
        <row r="301">
          <cell r="A301">
            <v>50014</v>
          </cell>
        </row>
        <row r="302">
          <cell r="A302">
            <v>51001</v>
          </cell>
        </row>
        <row r="303">
          <cell r="A303">
            <v>51002</v>
          </cell>
        </row>
        <row r="304">
          <cell r="A304">
            <v>58001</v>
          </cell>
        </row>
        <row r="305">
          <cell r="A305">
            <v>59001</v>
          </cell>
        </row>
        <row r="306">
          <cell r="A306">
            <v>59002</v>
          </cell>
        </row>
        <row r="307">
          <cell r="A307">
            <v>60001</v>
          </cell>
        </row>
        <row r="308">
          <cell r="A308">
            <v>60002</v>
          </cell>
        </row>
        <row r="309">
          <cell r="A309">
            <v>60003</v>
          </cell>
        </row>
        <row r="310">
          <cell r="A310">
            <v>60004</v>
          </cell>
        </row>
        <row r="311">
          <cell r="A311">
            <v>60005</v>
          </cell>
        </row>
        <row r="312">
          <cell r="A312">
            <v>60006</v>
          </cell>
        </row>
        <row r="313">
          <cell r="A313">
            <v>60007</v>
          </cell>
        </row>
        <row r="314">
          <cell r="A314">
            <v>60010</v>
          </cell>
        </row>
        <row r="315">
          <cell r="A315">
            <v>60011</v>
          </cell>
        </row>
        <row r="316">
          <cell r="A316">
            <v>61011</v>
          </cell>
        </row>
        <row r="317">
          <cell r="A317">
            <v>60012</v>
          </cell>
        </row>
        <row r="318">
          <cell r="A318">
            <v>60013</v>
          </cell>
        </row>
        <row r="319">
          <cell r="A319">
            <v>60014</v>
          </cell>
        </row>
        <row r="320">
          <cell r="A320">
            <v>60015</v>
          </cell>
        </row>
        <row r="321">
          <cell r="A321">
            <v>60016</v>
          </cell>
        </row>
        <row r="322">
          <cell r="A322">
            <v>60017</v>
          </cell>
        </row>
        <row r="323">
          <cell r="A323">
            <v>60018</v>
          </cell>
        </row>
        <row r="324">
          <cell r="A324">
            <v>60019</v>
          </cell>
        </row>
        <row r="325">
          <cell r="A325">
            <v>60020</v>
          </cell>
        </row>
        <row r="326">
          <cell r="A326">
            <v>60025</v>
          </cell>
        </row>
        <row r="327">
          <cell r="A327">
            <v>60026</v>
          </cell>
        </row>
        <row r="328">
          <cell r="A328">
            <v>60027</v>
          </cell>
        </row>
        <row r="329">
          <cell r="A329">
            <v>60028</v>
          </cell>
        </row>
        <row r="330">
          <cell r="A330">
            <v>65525</v>
          </cell>
        </row>
        <row r="331">
          <cell r="A331">
            <v>65526</v>
          </cell>
        </row>
        <row r="332">
          <cell r="A332">
            <v>65527</v>
          </cell>
        </row>
        <row r="333">
          <cell r="A333">
            <v>65528</v>
          </cell>
        </row>
        <row r="334">
          <cell r="A334">
            <v>65529</v>
          </cell>
        </row>
        <row r="335">
          <cell r="A335">
            <v>65530</v>
          </cell>
        </row>
        <row r="336">
          <cell r="A336">
            <v>65531</v>
          </cell>
        </row>
        <row r="337">
          <cell r="A337">
            <v>65532</v>
          </cell>
        </row>
        <row r="338">
          <cell r="A338">
            <v>65533</v>
          </cell>
        </row>
        <row r="339">
          <cell r="A339">
            <v>65534</v>
          </cell>
        </row>
        <row r="340">
          <cell r="A340">
            <v>65535</v>
          </cell>
        </row>
        <row r="341">
          <cell r="A341">
            <v>60021</v>
          </cell>
        </row>
        <row r="342">
          <cell r="A342">
            <v>60022</v>
          </cell>
        </row>
        <row r="343">
          <cell r="A343">
            <v>60023</v>
          </cell>
        </row>
        <row r="344">
          <cell r="A344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12001_1</v>
          </cell>
        </row>
        <row r="300">
          <cell r="A300" t="str">
            <v>12001_2</v>
          </cell>
        </row>
        <row r="301">
          <cell r="A301" t="str">
            <v>12001_3</v>
          </cell>
        </row>
        <row r="302">
          <cell r="A302" t="str">
            <v>12002_1</v>
          </cell>
        </row>
        <row r="303">
          <cell r="A303" t="str">
            <v>12002_2</v>
          </cell>
        </row>
        <row r="304">
          <cell r="A304" t="str">
            <v>12003_1</v>
          </cell>
        </row>
        <row r="305">
          <cell r="A305" t="str">
            <v>12003_2</v>
          </cell>
        </row>
        <row r="306">
          <cell r="A306" t="str">
            <v>12003_3</v>
          </cell>
        </row>
        <row r="307">
          <cell r="A307" t="str">
            <v>12003_4</v>
          </cell>
        </row>
        <row r="308">
          <cell r="A308" t="str">
            <v>12004_1</v>
          </cell>
        </row>
        <row r="309">
          <cell r="A309" t="str">
            <v>13001_1</v>
          </cell>
        </row>
        <row r="310">
          <cell r="A310" t="str">
            <v>13001_2</v>
          </cell>
        </row>
        <row r="311">
          <cell r="A311" t="str">
            <v>13001_3</v>
          </cell>
        </row>
        <row r="312">
          <cell r="A312" t="str">
            <v>13001_4</v>
          </cell>
        </row>
        <row r="313">
          <cell r="A313" t="str">
            <v>13001_5</v>
          </cell>
        </row>
        <row r="314">
          <cell r="A314" t="str">
            <v>13001_6</v>
          </cell>
        </row>
        <row r="315">
          <cell r="A315" t="str">
            <v>13001_7</v>
          </cell>
        </row>
        <row r="316">
          <cell r="A316" t="str">
            <v>13001_8</v>
          </cell>
        </row>
        <row r="317">
          <cell r="A317" t="str">
            <v>13001_9</v>
          </cell>
        </row>
        <row r="318">
          <cell r="A318" t="str">
            <v>13001_10</v>
          </cell>
        </row>
        <row r="319">
          <cell r="A319" t="str">
            <v>13001_11</v>
          </cell>
        </row>
        <row r="320">
          <cell r="A320" t="str">
            <v>13001_12</v>
          </cell>
        </row>
        <row r="321">
          <cell r="A321" t="str">
            <v>13001_13</v>
          </cell>
        </row>
        <row r="322">
          <cell r="A322" t="str">
            <v>13001_14</v>
          </cell>
        </row>
        <row r="323">
          <cell r="A323" t="str">
            <v>13001_15</v>
          </cell>
        </row>
        <row r="324">
          <cell r="A324" t="str">
            <v>13001_16</v>
          </cell>
        </row>
        <row r="325">
          <cell r="A325" t="str">
            <v>13001_17</v>
          </cell>
        </row>
        <row r="326">
          <cell r="A326" t="str">
            <v>13001_18</v>
          </cell>
        </row>
        <row r="327">
          <cell r="A327" t="str">
            <v>13001_19</v>
          </cell>
        </row>
        <row r="328">
          <cell r="A328" t="str">
            <v>13001_20</v>
          </cell>
        </row>
        <row r="329">
          <cell r="A329" t="str">
            <v>13001_21</v>
          </cell>
        </row>
        <row r="330">
          <cell r="A330" t="str">
            <v>13001_22</v>
          </cell>
        </row>
        <row r="331">
          <cell r="A331" t="str">
            <v>13001_23</v>
          </cell>
        </row>
        <row r="332">
          <cell r="A332" t="str">
            <v>13001_24</v>
          </cell>
        </row>
        <row r="333">
          <cell r="A333" t="str">
            <v>13001_25</v>
          </cell>
        </row>
        <row r="334">
          <cell r="A334" t="str">
            <v>13101_1</v>
          </cell>
        </row>
        <row r="335">
          <cell r="A335" t="str">
            <v>13101_2</v>
          </cell>
        </row>
        <row r="336">
          <cell r="A336" t="str">
            <v>13101_3</v>
          </cell>
        </row>
        <row r="337">
          <cell r="A337" t="str">
            <v>13101_4</v>
          </cell>
        </row>
        <row r="338">
          <cell r="A338" t="str">
            <v>13101_5</v>
          </cell>
        </row>
        <row r="339">
          <cell r="A339" t="str">
            <v>13101_6</v>
          </cell>
        </row>
        <row r="340">
          <cell r="A340" t="str">
            <v>13101_7</v>
          </cell>
        </row>
        <row r="341">
          <cell r="A341" t="str">
            <v>13101_8</v>
          </cell>
        </row>
        <row r="342">
          <cell r="A342" t="str">
            <v>13101_9</v>
          </cell>
        </row>
        <row r="343">
          <cell r="A343" t="str">
            <v>13101_10</v>
          </cell>
        </row>
        <row r="344">
          <cell r="A344" t="str">
            <v>13101_11</v>
          </cell>
        </row>
        <row r="345">
          <cell r="A345" t="str">
            <v>13101_12</v>
          </cell>
        </row>
        <row r="346">
          <cell r="A346" t="str">
            <v>13101_13</v>
          </cell>
        </row>
        <row r="347">
          <cell r="A347" t="str">
            <v>13101_14</v>
          </cell>
        </row>
        <row r="348">
          <cell r="A348" t="str">
            <v>13101_15</v>
          </cell>
        </row>
        <row r="349">
          <cell r="A349" t="str">
            <v>13101_16</v>
          </cell>
        </row>
        <row r="350">
          <cell r="A350" t="str">
            <v>13101_17</v>
          </cell>
        </row>
        <row r="351">
          <cell r="A351" t="str">
            <v>13101_18</v>
          </cell>
        </row>
        <row r="352">
          <cell r="A352" t="str">
            <v>13101_19</v>
          </cell>
        </row>
        <row r="353">
          <cell r="A353" t="str">
            <v>13101_20</v>
          </cell>
        </row>
        <row r="354">
          <cell r="A354" t="str">
            <v>13101_21</v>
          </cell>
        </row>
        <row r="355">
          <cell r="A355" t="str">
            <v>13101_22</v>
          </cell>
        </row>
        <row r="356">
          <cell r="A356" t="str">
            <v>13101_23</v>
          </cell>
        </row>
        <row r="357">
          <cell r="A357" t="str">
            <v>13101_24</v>
          </cell>
        </row>
        <row r="358">
          <cell r="A358" t="str">
            <v>13101_25</v>
          </cell>
        </row>
        <row r="359">
          <cell r="A359" t="str">
            <v>13300_1</v>
          </cell>
        </row>
        <row r="360">
          <cell r="A360" t="str">
            <v>13300_2</v>
          </cell>
        </row>
        <row r="361">
          <cell r="A361" t="str">
            <v>13300_3</v>
          </cell>
        </row>
        <row r="362">
          <cell r="A362" t="str">
            <v>13300_4</v>
          </cell>
        </row>
        <row r="363">
          <cell r="A363" t="str">
            <v>13300_5</v>
          </cell>
        </row>
        <row r="364">
          <cell r="A364" t="str">
            <v>13300_6</v>
          </cell>
        </row>
        <row r="365">
          <cell r="A365" t="str">
            <v>13300_7</v>
          </cell>
        </row>
        <row r="366">
          <cell r="A366" t="str">
            <v>13300_8</v>
          </cell>
        </row>
        <row r="367">
          <cell r="A367" t="str">
            <v>13300_9</v>
          </cell>
        </row>
        <row r="368">
          <cell r="A368" t="str">
            <v>13300_10</v>
          </cell>
        </row>
        <row r="369">
          <cell r="A369" t="str">
            <v>13300_11</v>
          </cell>
        </row>
        <row r="370">
          <cell r="A370" t="str">
            <v>13300_12</v>
          </cell>
        </row>
        <row r="371">
          <cell r="A371" t="str">
            <v>13300_13</v>
          </cell>
        </row>
        <row r="372">
          <cell r="A372" t="str">
            <v>13300_14</v>
          </cell>
        </row>
        <row r="373">
          <cell r="A373" t="str">
            <v>13300_15</v>
          </cell>
        </row>
        <row r="374">
          <cell r="A374" t="str">
            <v>13301_1</v>
          </cell>
        </row>
        <row r="375">
          <cell r="A375" t="str">
            <v>13301_2</v>
          </cell>
        </row>
        <row r="376">
          <cell r="A376" t="str">
            <v>13301_3</v>
          </cell>
        </row>
        <row r="377">
          <cell r="A377" t="str">
            <v>13301_4</v>
          </cell>
        </row>
        <row r="378">
          <cell r="A378" t="str">
            <v>13301_5</v>
          </cell>
        </row>
        <row r="379">
          <cell r="A379" t="str">
            <v>13301_6</v>
          </cell>
        </row>
        <row r="380">
          <cell r="A380" t="str">
            <v>13301_7</v>
          </cell>
        </row>
        <row r="381">
          <cell r="A381" t="str">
            <v>13301_8</v>
          </cell>
        </row>
        <row r="382">
          <cell r="A382" t="str">
            <v>13301_9</v>
          </cell>
        </row>
        <row r="383">
          <cell r="A383" t="str">
            <v>13301_10</v>
          </cell>
        </row>
        <row r="384">
          <cell r="A384" t="str">
            <v>13301_11</v>
          </cell>
        </row>
        <row r="385">
          <cell r="A385" t="str">
            <v>13301_12</v>
          </cell>
        </row>
        <row r="386">
          <cell r="A386" t="str">
            <v>13301_13</v>
          </cell>
        </row>
        <row r="387">
          <cell r="A387" t="str">
            <v>13301_14</v>
          </cell>
        </row>
        <row r="388">
          <cell r="A388" t="str">
            <v>13301_15</v>
          </cell>
        </row>
        <row r="389">
          <cell r="A389" t="str">
            <v>13302_1</v>
          </cell>
        </row>
        <row r="390">
          <cell r="A390" t="str">
            <v>13302_2</v>
          </cell>
        </row>
        <row r="391">
          <cell r="A391" t="str">
            <v>13302_3</v>
          </cell>
        </row>
        <row r="392">
          <cell r="A392" t="str">
            <v>13302_4</v>
          </cell>
        </row>
        <row r="393">
          <cell r="A393" t="str">
            <v>13302_5</v>
          </cell>
        </row>
        <row r="394">
          <cell r="A394" t="str">
            <v>13302_6</v>
          </cell>
        </row>
        <row r="395">
          <cell r="A395" t="str">
            <v>13302_7</v>
          </cell>
        </row>
        <row r="396">
          <cell r="A396" t="str">
            <v>13302_8</v>
          </cell>
        </row>
        <row r="397">
          <cell r="A397" t="str">
            <v>13302_9</v>
          </cell>
        </row>
        <row r="398">
          <cell r="A398" t="str">
            <v>13302_10</v>
          </cell>
        </row>
        <row r="399">
          <cell r="A399" t="str">
            <v>13302_11</v>
          </cell>
        </row>
        <row r="400">
          <cell r="A400" t="str">
            <v>13302_12</v>
          </cell>
        </row>
        <row r="401">
          <cell r="A401" t="str">
            <v>13302_13</v>
          </cell>
        </row>
        <row r="402">
          <cell r="A402" t="str">
            <v>13302_14</v>
          </cell>
        </row>
        <row r="403">
          <cell r="A403" t="str">
            <v>13302_15</v>
          </cell>
        </row>
        <row r="404">
          <cell r="A404" t="str">
            <v>13400_1</v>
          </cell>
        </row>
        <row r="405">
          <cell r="A405" t="str">
            <v>13400_2</v>
          </cell>
        </row>
        <row r="406">
          <cell r="A406" t="str">
            <v>13400_3</v>
          </cell>
        </row>
        <row r="407">
          <cell r="A407" t="str">
            <v>13400_4</v>
          </cell>
        </row>
        <row r="408">
          <cell r="A408" t="str">
            <v>13400_5</v>
          </cell>
        </row>
        <row r="409">
          <cell r="A409" t="str">
            <v>13400_6</v>
          </cell>
        </row>
        <row r="410">
          <cell r="A410" t="str">
            <v>13400_7</v>
          </cell>
        </row>
        <row r="411">
          <cell r="A411" t="str">
            <v>13400_8</v>
          </cell>
        </row>
        <row r="412">
          <cell r="A412" t="str">
            <v>13400_9</v>
          </cell>
        </row>
        <row r="413">
          <cell r="A413" t="str">
            <v>13400_10</v>
          </cell>
        </row>
        <row r="414">
          <cell r="A414" t="str">
            <v>13400_11</v>
          </cell>
        </row>
        <row r="415">
          <cell r="A415" t="str">
            <v>13400_12</v>
          </cell>
        </row>
        <row r="416">
          <cell r="A416" t="str">
            <v>13400_13</v>
          </cell>
        </row>
        <row r="417">
          <cell r="A417" t="str">
            <v>13400_14</v>
          </cell>
        </row>
        <row r="418">
          <cell r="A418" t="str">
            <v>13400_15</v>
          </cell>
        </row>
        <row r="419">
          <cell r="A419" t="str">
            <v>14001_1</v>
          </cell>
        </row>
        <row r="420">
          <cell r="A420" t="str">
            <v>14001_2</v>
          </cell>
        </row>
        <row r="421">
          <cell r="A421" t="str">
            <v>14001_3</v>
          </cell>
        </row>
        <row r="422">
          <cell r="A422" t="str">
            <v>14001_4</v>
          </cell>
        </row>
        <row r="423">
          <cell r="A423" t="str">
            <v>14001_5</v>
          </cell>
        </row>
        <row r="424">
          <cell r="A424" t="str">
            <v>14001_6</v>
          </cell>
        </row>
        <row r="425">
          <cell r="A425" t="str">
            <v>14001_7</v>
          </cell>
        </row>
        <row r="426">
          <cell r="A426" t="str">
            <v>14001_8</v>
          </cell>
        </row>
        <row r="427">
          <cell r="A427" t="str">
            <v>14002_1</v>
          </cell>
        </row>
        <row r="428">
          <cell r="A428" t="str">
            <v>14002_2</v>
          </cell>
        </row>
        <row r="429">
          <cell r="A429" t="str">
            <v>14003_1</v>
          </cell>
        </row>
        <row r="430">
          <cell r="A430" t="str">
            <v>14003_2</v>
          </cell>
        </row>
        <row r="431">
          <cell r="A431" t="str">
            <v>14003_3</v>
          </cell>
        </row>
        <row r="432">
          <cell r="A432" t="str">
            <v>14003_4</v>
          </cell>
        </row>
        <row r="433">
          <cell r="A433" t="str">
            <v>14004_1</v>
          </cell>
        </row>
        <row r="434">
          <cell r="A434" t="str">
            <v>14004_2</v>
          </cell>
        </row>
        <row r="435">
          <cell r="A435" t="str">
            <v>14004_3</v>
          </cell>
        </row>
        <row r="436">
          <cell r="A436" t="str">
            <v>14004_4</v>
          </cell>
        </row>
        <row r="437">
          <cell r="A437" t="str">
            <v>14005_1</v>
          </cell>
        </row>
        <row r="438">
          <cell r="A438" t="str">
            <v>14006_1</v>
          </cell>
        </row>
        <row r="439">
          <cell r="A439" t="str">
            <v>15027_1</v>
          </cell>
        </row>
        <row r="440">
          <cell r="A440" t="str">
            <v>15027_2</v>
          </cell>
        </row>
        <row r="441">
          <cell r="A441" t="str">
            <v>15027_3</v>
          </cell>
        </row>
        <row r="442">
          <cell r="A442" t="str">
            <v>15027_4</v>
          </cell>
        </row>
        <row r="443">
          <cell r="A443" t="str">
            <v>15028_1</v>
          </cell>
        </row>
        <row r="444">
          <cell r="A444" t="str">
            <v>15028_2</v>
          </cell>
        </row>
        <row r="445">
          <cell r="A445" t="str">
            <v>15028_3</v>
          </cell>
        </row>
        <row r="446">
          <cell r="A446" t="str">
            <v>15028_4</v>
          </cell>
        </row>
        <row r="447">
          <cell r="A447" t="str">
            <v>15029_1</v>
          </cell>
        </row>
        <row r="448">
          <cell r="A448" t="str">
            <v>15029_2</v>
          </cell>
        </row>
        <row r="449">
          <cell r="A449" t="str">
            <v>15029_3</v>
          </cell>
        </row>
        <row r="450">
          <cell r="A450" t="str">
            <v>15029_4</v>
          </cell>
        </row>
        <row r="451">
          <cell r="A451" t="str">
            <v>15030_1</v>
          </cell>
        </row>
        <row r="452">
          <cell r="A452" t="str">
            <v>15030_2</v>
          </cell>
        </row>
        <row r="453">
          <cell r="A453" t="str">
            <v>15030_3</v>
          </cell>
        </row>
        <row r="454">
          <cell r="A454" t="str">
            <v>15030_4</v>
          </cell>
        </row>
        <row r="455">
          <cell r="A455" t="str">
            <v>15031_1</v>
          </cell>
        </row>
        <row r="456">
          <cell r="A456" t="str">
            <v>15031_2</v>
          </cell>
        </row>
        <row r="457">
          <cell r="A457" t="str">
            <v>15031_3</v>
          </cell>
        </row>
        <row r="458">
          <cell r="A458" t="str">
            <v>15031_4</v>
          </cell>
        </row>
        <row r="459">
          <cell r="A459" t="str">
            <v>20001_1</v>
          </cell>
        </row>
        <row r="460">
          <cell r="A460" t="str">
            <v>20001_2</v>
          </cell>
        </row>
        <row r="461">
          <cell r="A461" t="str">
            <v>20001_3</v>
          </cell>
        </row>
        <row r="462">
          <cell r="A462" t="str">
            <v>20002_1</v>
          </cell>
        </row>
        <row r="463">
          <cell r="A463" t="str">
            <v>20002_2</v>
          </cell>
        </row>
        <row r="464">
          <cell r="A464" t="str">
            <v>20002_3</v>
          </cell>
        </row>
        <row r="465">
          <cell r="A465" t="str">
            <v>20003_1</v>
          </cell>
        </row>
        <row r="466">
          <cell r="A466" t="str">
            <v>20003_2</v>
          </cell>
        </row>
        <row r="467">
          <cell r="A467" t="str">
            <v>20003_3</v>
          </cell>
        </row>
        <row r="468">
          <cell r="A468" t="str">
            <v>20004_1</v>
          </cell>
        </row>
        <row r="469">
          <cell r="A469" t="str">
            <v>20004_2</v>
          </cell>
        </row>
        <row r="470">
          <cell r="A470" t="str">
            <v>20004_3</v>
          </cell>
        </row>
        <row r="471">
          <cell r="A471" t="str">
            <v>20005_1</v>
          </cell>
        </row>
        <row r="472">
          <cell r="A472" t="str">
            <v>20005_2</v>
          </cell>
        </row>
        <row r="473">
          <cell r="A473" t="str">
            <v>20005_3</v>
          </cell>
        </row>
        <row r="474">
          <cell r="A474" t="str">
            <v>20006_1</v>
          </cell>
        </row>
        <row r="475">
          <cell r="A475" t="str">
            <v>20006_2</v>
          </cell>
        </row>
        <row r="476">
          <cell r="A476" t="str">
            <v>20006_3</v>
          </cell>
        </row>
        <row r="477">
          <cell r="A477" t="str">
            <v>20007_1</v>
          </cell>
        </row>
        <row r="478">
          <cell r="A478" t="str">
            <v>20007_2</v>
          </cell>
        </row>
        <row r="479">
          <cell r="A479" t="str">
            <v>20007_3</v>
          </cell>
        </row>
        <row r="480">
          <cell r="A480" t="str">
            <v>20008_1</v>
          </cell>
        </row>
        <row r="481">
          <cell r="A481" t="str">
            <v>20008_2</v>
          </cell>
        </row>
        <row r="482">
          <cell r="A482" t="str">
            <v>20008_3</v>
          </cell>
        </row>
        <row r="483">
          <cell r="A483" t="str">
            <v>20009_1</v>
          </cell>
        </row>
        <row r="484">
          <cell r="A484" t="str">
            <v>20009_2</v>
          </cell>
        </row>
        <row r="485">
          <cell r="A485" t="str">
            <v>20009_3</v>
          </cell>
        </row>
        <row r="486">
          <cell r="A486" t="str">
            <v>20010_1</v>
          </cell>
        </row>
        <row r="487">
          <cell r="A487" t="str">
            <v>20010_2</v>
          </cell>
        </row>
        <row r="488">
          <cell r="A488" t="str">
            <v>20010_3</v>
          </cell>
        </row>
        <row r="489">
          <cell r="A489" t="str">
            <v>20011_1</v>
          </cell>
        </row>
        <row r="490">
          <cell r="A490" t="str">
            <v>20011_2</v>
          </cell>
        </row>
        <row r="491">
          <cell r="A491" t="str">
            <v>20011_3</v>
          </cell>
        </row>
        <row r="492">
          <cell r="A492" t="str">
            <v>20012_1</v>
          </cell>
        </row>
        <row r="493">
          <cell r="A493" t="str">
            <v>20012_2</v>
          </cell>
        </row>
        <row r="494">
          <cell r="A494" t="str">
            <v>20012_3</v>
          </cell>
        </row>
        <row r="495">
          <cell r="A495" t="str">
            <v>20013_1</v>
          </cell>
        </row>
        <row r="496">
          <cell r="A496" t="str">
            <v>20013_2</v>
          </cell>
        </row>
        <row r="497">
          <cell r="A497" t="str">
            <v>20013_3</v>
          </cell>
        </row>
        <row r="498">
          <cell r="A498" t="str">
            <v>20014_1</v>
          </cell>
        </row>
        <row r="499">
          <cell r="A499" t="str">
            <v>20014_2</v>
          </cell>
        </row>
        <row r="500">
          <cell r="A500" t="str">
            <v>20014_3</v>
          </cell>
        </row>
        <row r="501">
          <cell r="A501" t="str">
            <v>20015_1</v>
          </cell>
        </row>
        <row r="502">
          <cell r="A502" t="str">
            <v>20015_2</v>
          </cell>
        </row>
        <row r="503">
          <cell r="A503" t="str">
            <v>20015_3</v>
          </cell>
        </row>
        <row r="504">
          <cell r="A504" t="str">
            <v>20016_1</v>
          </cell>
        </row>
        <row r="505">
          <cell r="A505" t="str">
            <v>20016_2</v>
          </cell>
        </row>
        <row r="506">
          <cell r="A506" t="str">
            <v>20016_3</v>
          </cell>
        </row>
        <row r="507">
          <cell r="A507" t="str">
            <v>20017_1</v>
          </cell>
        </row>
        <row r="508">
          <cell r="A508" t="str">
            <v>20017_2</v>
          </cell>
        </row>
        <row r="509">
          <cell r="A509" t="str">
            <v>20017_3</v>
          </cell>
        </row>
        <row r="510">
          <cell r="A510" t="str">
            <v>20018_1</v>
          </cell>
        </row>
        <row r="511">
          <cell r="A511" t="str">
            <v>20018_2</v>
          </cell>
        </row>
        <row r="512">
          <cell r="A512" t="str">
            <v>20018_3</v>
          </cell>
        </row>
        <row r="513">
          <cell r="A513" t="str">
            <v>20019_1</v>
          </cell>
        </row>
        <row r="514">
          <cell r="A514" t="str">
            <v>20019_2</v>
          </cell>
        </row>
        <row r="515">
          <cell r="A515" t="str">
            <v>20019_3</v>
          </cell>
        </row>
        <row r="516">
          <cell r="A516" t="str">
            <v>20020_1</v>
          </cell>
        </row>
        <row r="517">
          <cell r="A517" t="str">
            <v>20020_2</v>
          </cell>
        </row>
        <row r="518">
          <cell r="A518" t="str">
            <v>20020_3</v>
          </cell>
        </row>
        <row r="519">
          <cell r="A519" t="str">
            <v>20021_1</v>
          </cell>
        </row>
        <row r="520">
          <cell r="A520" t="str">
            <v>20021_2</v>
          </cell>
        </row>
        <row r="521">
          <cell r="A521" t="str">
            <v>20021_3</v>
          </cell>
        </row>
        <row r="522">
          <cell r="A522" t="str">
            <v>20022_1</v>
          </cell>
        </row>
        <row r="523">
          <cell r="A523" t="str">
            <v>30001_1</v>
          </cell>
        </row>
        <row r="524">
          <cell r="A524" t="str">
            <v>30001_2</v>
          </cell>
        </row>
        <row r="525">
          <cell r="A525" t="str">
            <v>30001_3</v>
          </cell>
        </row>
        <row r="526">
          <cell r="A526" t="str">
            <v>30002_1</v>
          </cell>
        </row>
        <row r="527">
          <cell r="A527" t="str">
            <v>30002_2</v>
          </cell>
        </row>
        <row r="528">
          <cell r="A528" t="str">
            <v>30002_3</v>
          </cell>
        </row>
        <row r="529">
          <cell r="A529" t="str">
            <v>30003_1</v>
          </cell>
        </row>
        <row r="530">
          <cell r="A530" t="str">
            <v>30003_2</v>
          </cell>
        </row>
        <row r="531">
          <cell r="A531" t="str">
            <v>30003_3</v>
          </cell>
        </row>
        <row r="532">
          <cell r="A532" t="str">
            <v>30004_1</v>
          </cell>
        </row>
        <row r="533">
          <cell r="A533" t="str">
            <v>30004_2</v>
          </cell>
        </row>
        <row r="534">
          <cell r="A534" t="str">
            <v>30004_3</v>
          </cell>
        </row>
        <row r="535">
          <cell r="A535" t="str">
            <v>30005_1</v>
          </cell>
        </row>
        <row r="536">
          <cell r="A536" t="str">
            <v>30005_2</v>
          </cell>
        </row>
        <row r="537">
          <cell r="A537" t="str">
            <v>30005_3</v>
          </cell>
        </row>
        <row r="538">
          <cell r="A538" t="str">
            <v>30006_1</v>
          </cell>
        </row>
        <row r="539">
          <cell r="A539" t="str">
            <v>30006_2</v>
          </cell>
        </row>
        <row r="540">
          <cell r="A540" t="str">
            <v>30006_3</v>
          </cell>
        </row>
        <row r="541">
          <cell r="A541" t="str">
            <v>30007_1</v>
          </cell>
        </row>
        <row r="542">
          <cell r="A542" t="str">
            <v>30007_2</v>
          </cell>
        </row>
        <row r="543">
          <cell r="A543" t="str">
            <v>30007_3</v>
          </cell>
        </row>
        <row r="544">
          <cell r="A544" t="str">
            <v>30008_1</v>
          </cell>
        </row>
        <row r="545">
          <cell r="A545" t="str">
            <v>30008_2</v>
          </cell>
        </row>
        <row r="546">
          <cell r="A546" t="str">
            <v>30008_3</v>
          </cell>
        </row>
        <row r="547">
          <cell r="A547" t="str">
            <v>30009_3</v>
          </cell>
        </row>
        <row r="548">
          <cell r="A548" t="str">
            <v>30009_1</v>
          </cell>
        </row>
        <row r="549">
          <cell r="A549" t="str">
            <v>30009_2</v>
          </cell>
        </row>
        <row r="550">
          <cell r="A550" t="str">
            <v>30010_1</v>
          </cell>
        </row>
        <row r="551">
          <cell r="A551" t="str">
            <v>30010_2</v>
          </cell>
        </row>
        <row r="552">
          <cell r="A552" t="str">
            <v>30010_3</v>
          </cell>
        </row>
        <row r="553">
          <cell r="A553" t="str">
            <v>30011_1</v>
          </cell>
        </row>
        <row r="554">
          <cell r="A554" t="str">
            <v>30011_2</v>
          </cell>
        </row>
        <row r="555">
          <cell r="A555" t="str">
            <v>30011_3</v>
          </cell>
        </row>
        <row r="556">
          <cell r="A556" t="str">
            <v>30012_1</v>
          </cell>
        </row>
        <row r="557">
          <cell r="A557" t="str">
            <v>30012_2</v>
          </cell>
        </row>
        <row r="558">
          <cell r="A558" t="str">
            <v>30012_3</v>
          </cell>
        </row>
        <row r="559">
          <cell r="A559" t="str">
            <v>30013_1</v>
          </cell>
        </row>
        <row r="560">
          <cell r="A560" t="str">
            <v>30013_2</v>
          </cell>
        </row>
        <row r="561">
          <cell r="A561" t="str">
            <v>30014_1</v>
          </cell>
        </row>
        <row r="562">
          <cell r="A562" t="str">
            <v>30014_2</v>
          </cell>
        </row>
        <row r="563">
          <cell r="A563" t="str">
            <v>30015_1</v>
          </cell>
        </row>
        <row r="564">
          <cell r="A564" t="str">
            <v>30015_2</v>
          </cell>
        </row>
        <row r="565">
          <cell r="A565" t="str">
            <v>30016_1</v>
          </cell>
        </row>
        <row r="566">
          <cell r="A566" t="str">
            <v>30016_2</v>
          </cell>
        </row>
        <row r="567">
          <cell r="A567" t="str">
            <v>30017_1</v>
          </cell>
        </row>
        <row r="568">
          <cell r="A568" t="str">
            <v>30017_2</v>
          </cell>
        </row>
        <row r="569">
          <cell r="A569" t="str">
            <v>30018_1</v>
          </cell>
        </row>
        <row r="570">
          <cell r="A570" t="str">
            <v>30018_2</v>
          </cell>
        </row>
        <row r="571">
          <cell r="A571" t="str">
            <v>30019_1</v>
          </cell>
        </row>
        <row r="572">
          <cell r="A572" t="str">
            <v>30019_2</v>
          </cell>
        </row>
        <row r="573">
          <cell r="A573" t="str">
            <v>30020_1</v>
          </cell>
        </row>
        <row r="574">
          <cell r="A574" t="str">
            <v>30020_2</v>
          </cell>
        </row>
        <row r="575">
          <cell r="A575" t="str">
            <v>30021_1</v>
          </cell>
        </row>
        <row r="576">
          <cell r="A576" t="str">
            <v>30021_2</v>
          </cell>
        </row>
        <row r="577">
          <cell r="A577" t="str">
            <v>30021_3</v>
          </cell>
        </row>
        <row r="578">
          <cell r="A578" t="str">
            <v>30022_1</v>
          </cell>
        </row>
        <row r="579">
          <cell r="A579" t="str">
            <v>30022_2</v>
          </cell>
        </row>
        <row r="580">
          <cell r="A580" t="str">
            <v>30023_1</v>
          </cell>
        </row>
        <row r="581">
          <cell r="A581" t="str">
            <v>30023_2</v>
          </cell>
        </row>
        <row r="582">
          <cell r="A582" t="str">
            <v>30023_3</v>
          </cell>
        </row>
        <row r="583">
          <cell r="A583" t="str">
            <v>30024_1</v>
          </cell>
        </row>
        <row r="584">
          <cell r="A584" t="str">
            <v>30024_2</v>
          </cell>
        </row>
        <row r="585">
          <cell r="A585" t="str">
            <v>30024_3</v>
          </cell>
        </row>
        <row r="586">
          <cell r="A586" t="str">
            <v>30025_1</v>
          </cell>
        </row>
        <row r="587">
          <cell r="A587" t="str">
            <v>30025_2</v>
          </cell>
        </row>
        <row r="588">
          <cell r="A588" t="str">
            <v>30025_3</v>
          </cell>
        </row>
        <row r="589">
          <cell r="A589" t="str">
            <v>30026_1</v>
          </cell>
        </row>
        <row r="590">
          <cell r="A590" t="str">
            <v>30026_2</v>
          </cell>
        </row>
        <row r="591">
          <cell r="A591" t="str">
            <v>30026_3</v>
          </cell>
        </row>
        <row r="592">
          <cell r="A592" t="str">
            <v>30027_1</v>
          </cell>
        </row>
        <row r="593">
          <cell r="A593" t="str">
            <v>30027_2</v>
          </cell>
        </row>
        <row r="594">
          <cell r="A594" t="str">
            <v>30027_3</v>
          </cell>
        </row>
        <row r="595">
          <cell r="A595" t="str">
            <v>30028_1</v>
          </cell>
        </row>
        <row r="596">
          <cell r="A596" t="str">
            <v>30028_2</v>
          </cell>
        </row>
        <row r="597">
          <cell r="A597" t="str">
            <v>30028_3</v>
          </cell>
        </row>
        <row r="598">
          <cell r="A598" t="str">
            <v>30029_1</v>
          </cell>
        </row>
        <row r="599">
          <cell r="A599" t="str">
            <v>30029_2</v>
          </cell>
        </row>
        <row r="600">
          <cell r="A600" t="str">
            <v>30029_3</v>
          </cell>
        </row>
        <row r="601">
          <cell r="A601" t="str">
            <v>30030_1</v>
          </cell>
        </row>
        <row r="602">
          <cell r="A602" t="str">
            <v>30030_2</v>
          </cell>
        </row>
        <row r="603">
          <cell r="A603" t="str">
            <v>30030_3</v>
          </cell>
        </row>
        <row r="604">
          <cell r="A604" t="str">
            <v>30031_1</v>
          </cell>
        </row>
        <row r="605">
          <cell r="A605" t="str">
            <v>30031_2</v>
          </cell>
        </row>
        <row r="606">
          <cell r="A606" t="str">
            <v>30031_3</v>
          </cell>
        </row>
        <row r="607">
          <cell r="A607" t="str">
            <v>30032_1</v>
          </cell>
        </row>
        <row r="608">
          <cell r="A608" t="str">
            <v>30032_2</v>
          </cell>
        </row>
        <row r="609">
          <cell r="A609" t="str">
            <v>30032_3</v>
          </cell>
        </row>
        <row r="610">
          <cell r="A610" t="str">
            <v>30033_1</v>
          </cell>
        </row>
        <row r="611">
          <cell r="A611" t="str">
            <v>30033_2</v>
          </cell>
        </row>
        <row r="612">
          <cell r="A612" t="str">
            <v>30033_3</v>
          </cell>
        </row>
        <row r="613">
          <cell r="A613" t="str">
            <v>30034_1</v>
          </cell>
        </row>
        <row r="614">
          <cell r="A614" t="str">
            <v>30034_2</v>
          </cell>
        </row>
        <row r="615">
          <cell r="A615" t="str">
            <v>30034_3</v>
          </cell>
        </row>
        <row r="616">
          <cell r="A616" t="str">
            <v>30035_1</v>
          </cell>
        </row>
        <row r="617">
          <cell r="A617" t="str">
            <v>30035_2</v>
          </cell>
        </row>
        <row r="618">
          <cell r="A618" t="str">
            <v>30035_3</v>
          </cell>
        </row>
        <row r="619">
          <cell r="A619" t="str">
            <v>30036_1</v>
          </cell>
        </row>
        <row r="620">
          <cell r="A620" t="str">
            <v>30036_2</v>
          </cell>
        </row>
        <row r="621">
          <cell r="A621" t="str">
            <v>30036_3</v>
          </cell>
        </row>
        <row r="622">
          <cell r="A622" t="str">
            <v>30037_1</v>
          </cell>
        </row>
        <row r="623">
          <cell r="A623" t="str">
            <v>30037_2</v>
          </cell>
        </row>
        <row r="624">
          <cell r="A624" t="str">
            <v>30037_3</v>
          </cell>
        </row>
        <row r="625">
          <cell r="A625" t="str">
            <v>30038_1</v>
          </cell>
        </row>
        <row r="626">
          <cell r="A626" t="str">
            <v>30038_2</v>
          </cell>
        </row>
        <row r="627">
          <cell r="A627" t="str">
            <v>30038_3</v>
          </cell>
        </row>
        <row r="628">
          <cell r="A628" t="str">
            <v>30039_1</v>
          </cell>
        </row>
        <row r="629">
          <cell r="A629" t="str">
            <v>30039_2</v>
          </cell>
        </row>
        <row r="630">
          <cell r="A630" t="str">
            <v>30039_3</v>
          </cell>
        </row>
        <row r="631">
          <cell r="A631" t="str">
            <v>30040_1</v>
          </cell>
        </row>
        <row r="632">
          <cell r="A632" t="str">
            <v>30040_2</v>
          </cell>
        </row>
        <row r="633">
          <cell r="A633" t="str">
            <v>30040_3</v>
          </cell>
        </row>
        <row r="634">
          <cell r="A634" t="str">
            <v>30041_1</v>
          </cell>
        </row>
        <row r="635">
          <cell r="A635" t="str">
            <v>30041_2</v>
          </cell>
        </row>
        <row r="636">
          <cell r="A636" t="str">
            <v>30041_3</v>
          </cell>
        </row>
        <row r="637">
          <cell r="A637" t="str">
            <v>30042_1</v>
          </cell>
        </row>
        <row r="638">
          <cell r="A638" t="str">
            <v>30042_2</v>
          </cell>
        </row>
        <row r="639">
          <cell r="A639" t="str">
            <v>30042_3</v>
          </cell>
        </row>
        <row r="640">
          <cell r="A640" t="str">
            <v>30043_1</v>
          </cell>
        </row>
        <row r="641">
          <cell r="A641" t="str">
            <v>30043_2</v>
          </cell>
        </row>
        <row r="642">
          <cell r="A642" t="str">
            <v>30043_3</v>
          </cell>
        </row>
        <row r="643">
          <cell r="A643" t="str">
            <v>30044_1</v>
          </cell>
        </row>
        <row r="644">
          <cell r="A644" t="str">
            <v>30044_2</v>
          </cell>
        </row>
        <row r="645">
          <cell r="A645" t="str">
            <v>30044_3</v>
          </cell>
        </row>
        <row r="646">
          <cell r="A646" t="str">
            <v>30045_1</v>
          </cell>
        </row>
        <row r="647">
          <cell r="A647" t="str">
            <v>30045_2</v>
          </cell>
        </row>
        <row r="648">
          <cell r="A648" t="str">
            <v>30045_3</v>
          </cell>
        </row>
        <row r="649">
          <cell r="A649" t="str">
            <v>30046_1</v>
          </cell>
        </row>
        <row r="650">
          <cell r="A650" t="str">
            <v>30046_2</v>
          </cell>
        </row>
        <row r="651">
          <cell r="A651" t="str">
            <v>30046_3</v>
          </cell>
        </row>
        <row r="652">
          <cell r="A652" t="str">
            <v>30047_1</v>
          </cell>
        </row>
        <row r="653">
          <cell r="A653" t="str">
            <v>30047_2</v>
          </cell>
        </row>
        <row r="654">
          <cell r="A654" t="str">
            <v>30047_3</v>
          </cell>
        </row>
        <row r="655">
          <cell r="A655" t="str">
            <v>30048_1</v>
          </cell>
        </row>
        <row r="656">
          <cell r="A656" t="str">
            <v>30048_2</v>
          </cell>
        </row>
        <row r="657">
          <cell r="A657" t="str">
            <v>30048_3</v>
          </cell>
        </row>
        <row r="658">
          <cell r="A658" t="str">
            <v>39001_1</v>
          </cell>
        </row>
        <row r="659">
          <cell r="A659" t="str">
            <v>39001_2</v>
          </cell>
        </row>
        <row r="660">
          <cell r="A660" t="str">
            <v>39001_3</v>
          </cell>
        </row>
        <row r="661">
          <cell r="A661" t="str">
            <v>39001_4</v>
          </cell>
        </row>
        <row r="662">
          <cell r="A662" t="str">
            <v>39001_5</v>
          </cell>
        </row>
        <row r="663">
          <cell r="A663" t="str">
            <v>39002_1</v>
          </cell>
        </row>
        <row r="664">
          <cell r="A664" t="str">
            <v>39002_2</v>
          </cell>
        </row>
        <row r="665">
          <cell r="A665" t="str">
            <v>39002_3</v>
          </cell>
        </row>
        <row r="666">
          <cell r="A666" t="str">
            <v>39002_4</v>
          </cell>
        </row>
        <row r="667">
          <cell r="A667" t="str">
            <v>39003_1</v>
          </cell>
        </row>
        <row r="668">
          <cell r="A668" t="str">
            <v>39003_2</v>
          </cell>
        </row>
        <row r="669">
          <cell r="A669" t="str">
            <v>39003_3</v>
          </cell>
        </row>
        <row r="670">
          <cell r="A670" t="str">
            <v>39003_4</v>
          </cell>
        </row>
        <row r="671">
          <cell r="A671" t="str">
            <v>39004_1</v>
          </cell>
        </row>
        <row r="672">
          <cell r="A672" t="str">
            <v>39004_2</v>
          </cell>
        </row>
        <row r="673">
          <cell r="A673" t="str">
            <v>39004_3</v>
          </cell>
        </row>
        <row r="674">
          <cell r="A674" t="str">
            <v>39004_4</v>
          </cell>
        </row>
        <row r="675">
          <cell r="A675" t="str">
            <v>39005_1</v>
          </cell>
        </row>
        <row r="676">
          <cell r="A676" t="str">
            <v>39005_2</v>
          </cell>
        </row>
        <row r="677">
          <cell r="A677" t="str">
            <v>39005_3</v>
          </cell>
        </row>
        <row r="678">
          <cell r="A678" t="str">
            <v>39005_4</v>
          </cell>
        </row>
        <row r="679">
          <cell r="A679" t="str">
            <v>39005_5</v>
          </cell>
        </row>
        <row r="680">
          <cell r="A680" t="str">
            <v>39006_1</v>
          </cell>
        </row>
        <row r="681">
          <cell r="A681" t="str">
            <v>39006_2</v>
          </cell>
        </row>
        <row r="682">
          <cell r="A682" t="str">
            <v>39006_3</v>
          </cell>
        </row>
        <row r="683">
          <cell r="A683" t="str">
            <v>39006_4</v>
          </cell>
        </row>
        <row r="684">
          <cell r="A684" t="str">
            <v>39007_1</v>
          </cell>
        </row>
        <row r="685">
          <cell r="A685" t="str">
            <v>39007_2</v>
          </cell>
        </row>
        <row r="686">
          <cell r="A686" t="str">
            <v>39007_3</v>
          </cell>
        </row>
        <row r="687">
          <cell r="A687" t="str">
            <v>39007_4</v>
          </cell>
        </row>
        <row r="688">
          <cell r="A688" t="str">
            <v>39008_1</v>
          </cell>
        </row>
        <row r="689">
          <cell r="A689" t="str">
            <v>39008_2</v>
          </cell>
        </row>
        <row r="690">
          <cell r="A690" t="str">
            <v>39008_3</v>
          </cell>
        </row>
        <row r="691">
          <cell r="A691" t="str">
            <v>39008_4</v>
          </cell>
        </row>
        <row r="692">
          <cell r="A692" t="str">
            <v>39008_5</v>
          </cell>
        </row>
        <row r="693">
          <cell r="A693" t="str">
            <v>39009_1</v>
          </cell>
        </row>
        <row r="694">
          <cell r="A694" t="str">
            <v>39009_2</v>
          </cell>
        </row>
        <row r="695">
          <cell r="A695" t="str">
            <v>39009_3</v>
          </cell>
        </row>
        <row r="696">
          <cell r="A696" t="str">
            <v>39009_4</v>
          </cell>
        </row>
        <row r="697">
          <cell r="A697" t="str">
            <v>39009_5</v>
          </cell>
        </row>
        <row r="698">
          <cell r="A698" t="str">
            <v>39010_1</v>
          </cell>
        </row>
        <row r="699">
          <cell r="A699" t="str">
            <v>39010_2</v>
          </cell>
        </row>
        <row r="700">
          <cell r="A700" t="str">
            <v>39010_3</v>
          </cell>
        </row>
        <row r="701">
          <cell r="A701" t="str">
            <v>39010_4</v>
          </cell>
        </row>
        <row r="702">
          <cell r="A702" t="str">
            <v>39011_1</v>
          </cell>
        </row>
        <row r="703">
          <cell r="A703" t="str">
            <v>39011_2</v>
          </cell>
        </row>
        <row r="704">
          <cell r="A704" t="str">
            <v>39011_3</v>
          </cell>
        </row>
        <row r="705">
          <cell r="A705" t="str">
            <v>39011_4</v>
          </cell>
        </row>
        <row r="706">
          <cell r="A706" t="str">
            <v>39012_1</v>
          </cell>
        </row>
        <row r="707">
          <cell r="A707" t="str">
            <v>39012_2</v>
          </cell>
        </row>
        <row r="708">
          <cell r="A708" t="str">
            <v>39012_3</v>
          </cell>
        </row>
        <row r="709">
          <cell r="A709" t="str">
            <v>39012_4</v>
          </cell>
        </row>
        <row r="710">
          <cell r="A710" t="str">
            <v>39012_5</v>
          </cell>
        </row>
        <row r="711">
          <cell r="A711" t="str">
            <v>40001_1</v>
          </cell>
        </row>
        <row r="712">
          <cell r="A712" t="str">
            <v>40002_1</v>
          </cell>
        </row>
        <row r="713">
          <cell r="A713" t="str">
            <v>40002_2</v>
          </cell>
        </row>
        <row r="714">
          <cell r="A714" t="str">
            <v>40002_3</v>
          </cell>
        </row>
        <row r="715">
          <cell r="A715" t="str">
            <v>40003_1</v>
          </cell>
        </row>
        <row r="716">
          <cell r="A716" t="str">
            <v>40004_1</v>
          </cell>
        </row>
        <row r="717">
          <cell r="A717" t="str">
            <v>40005_1</v>
          </cell>
        </row>
        <row r="718">
          <cell r="A718" t="str">
            <v>40006_1</v>
          </cell>
        </row>
        <row r="719">
          <cell r="A719" t="str">
            <v>40007_1</v>
          </cell>
        </row>
        <row r="720">
          <cell r="A720" t="str">
            <v>40008_1</v>
          </cell>
        </row>
        <row r="721">
          <cell r="A721" t="str">
            <v>40009_1</v>
          </cell>
        </row>
        <row r="722">
          <cell r="A722" t="str">
            <v>40010_1</v>
          </cell>
        </row>
        <row r="723">
          <cell r="A723" t="str">
            <v>40011_1</v>
          </cell>
        </row>
        <row r="724">
          <cell r="A724" t="str">
            <v>40012_1</v>
          </cell>
        </row>
        <row r="725">
          <cell r="A725" t="str">
            <v>40013_1</v>
          </cell>
        </row>
        <row r="726">
          <cell r="A726" t="str">
            <v>40014_1</v>
          </cell>
        </row>
        <row r="727">
          <cell r="A727" t="str">
            <v>40015_1</v>
          </cell>
        </row>
        <row r="728">
          <cell r="A728" t="str">
            <v>40016_1</v>
          </cell>
        </row>
        <row r="729">
          <cell r="A729" t="str">
            <v>40016_2</v>
          </cell>
        </row>
        <row r="730">
          <cell r="A730" t="str">
            <v>40017_1</v>
          </cell>
        </row>
        <row r="731">
          <cell r="A731" t="str">
            <v>40017_2</v>
          </cell>
        </row>
        <row r="732">
          <cell r="A732" t="str">
            <v>40017_3</v>
          </cell>
        </row>
        <row r="733">
          <cell r="A733" t="str">
            <v>40018_1</v>
          </cell>
        </row>
        <row r="734">
          <cell r="A734" t="str">
            <v>40018_2</v>
          </cell>
        </row>
        <row r="735">
          <cell r="A735" t="str">
            <v>40018_3</v>
          </cell>
        </row>
        <row r="736">
          <cell r="A736" t="str">
            <v>40019_1</v>
          </cell>
        </row>
        <row r="737">
          <cell r="A737" t="str">
            <v>40019_2</v>
          </cell>
        </row>
        <row r="738">
          <cell r="A738" t="str">
            <v>40019_3</v>
          </cell>
        </row>
        <row r="739">
          <cell r="A739" t="str">
            <v>40021_1</v>
          </cell>
        </row>
        <row r="740">
          <cell r="A740" t="str">
            <v>40021_2</v>
          </cell>
        </row>
        <row r="741">
          <cell r="A741" t="str">
            <v>40022_1</v>
          </cell>
        </row>
        <row r="742">
          <cell r="A742" t="str">
            <v>40022_2</v>
          </cell>
        </row>
        <row r="743">
          <cell r="A743" t="str">
            <v>40023_1</v>
          </cell>
        </row>
        <row r="744">
          <cell r="A744" t="str">
            <v>40023_2</v>
          </cell>
        </row>
        <row r="745">
          <cell r="A745" t="str">
            <v>40024_1</v>
          </cell>
        </row>
        <row r="746">
          <cell r="A746" t="str">
            <v>40024_2</v>
          </cell>
        </row>
        <row r="747">
          <cell r="A747" t="str">
            <v>40025_1</v>
          </cell>
        </row>
        <row r="748">
          <cell r="A748" t="str">
            <v>40025_2</v>
          </cell>
        </row>
        <row r="749">
          <cell r="A749" t="str">
            <v>40026_1</v>
          </cell>
        </row>
        <row r="750">
          <cell r="A750" t="str">
            <v>40026_2</v>
          </cell>
        </row>
        <row r="751">
          <cell r="A751" t="str">
            <v>40027_1</v>
          </cell>
        </row>
        <row r="752">
          <cell r="A752" t="str">
            <v>40027_2</v>
          </cell>
        </row>
        <row r="753">
          <cell r="A753" t="str">
            <v>40028_1</v>
          </cell>
        </row>
        <row r="754">
          <cell r="A754" t="str">
            <v>40028_2</v>
          </cell>
        </row>
        <row r="755">
          <cell r="A755" t="str">
            <v>40029_1</v>
          </cell>
        </row>
        <row r="756">
          <cell r="A756" t="str">
            <v>40029_2</v>
          </cell>
        </row>
        <row r="757">
          <cell r="A757" t="str">
            <v>40030_1</v>
          </cell>
        </row>
        <row r="758">
          <cell r="A758" t="str">
            <v>40030_2</v>
          </cell>
        </row>
        <row r="759">
          <cell r="A759" t="str">
            <v>40031_1</v>
          </cell>
        </row>
        <row r="760">
          <cell r="A760" t="str">
            <v>40031_2</v>
          </cell>
        </row>
        <row r="761">
          <cell r="A761" t="str">
            <v>40032_1</v>
          </cell>
        </row>
        <row r="762">
          <cell r="A762" t="str">
            <v>40032_2</v>
          </cell>
        </row>
        <row r="763">
          <cell r="A763" t="str">
            <v>40033_1</v>
          </cell>
        </row>
        <row r="764">
          <cell r="A764" t="str">
            <v>40033_2</v>
          </cell>
        </row>
        <row r="765">
          <cell r="A765" t="str">
            <v>40034_1</v>
          </cell>
        </row>
        <row r="766">
          <cell r="A766" t="str">
            <v>40034_2</v>
          </cell>
        </row>
        <row r="767">
          <cell r="A767" t="str">
            <v>40035_1</v>
          </cell>
        </row>
        <row r="768">
          <cell r="A768" t="str">
            <v>40035_2</v>
          </cell>
        </row>
        <row r="769">
          <cell r="A769" t="str">
            <v>40036_1</v>
          </cell>
        </row>
        <row r="770">
          <cell r="A770" t="str">
            <v>40036_2</v>
          </cell>
        </row>
        <row r="771">
          <cell r="A771" t="str">
            <v>40037_1</v>
          </cell>
        </row>
        <row r="772">
          <cell r="A772" t="str">
            <v>40037_2</v>
          </cell>
        </row>
        <row r="773">
          <cell r="A773" t="str">
            <v>40038_1</v>
          </cell>
        </row>
        <row r="774">
          <cell r="A774" t="str">
            <v>40038_2</v>
          </cell>
        </row>
        <row r="775">
          <cell r="A775" t="str">
            <v>40039_1</v>
          </cell>
        </row>
        <row r="776">
          <cell r="A776" t="str">
            <v>40039_2</v>
          </cell>
        </row>
        <row r="777">
          <cell r="A777" t="str">
            <v>40040_1</v>
          </cell>
        </row>
        <row r="778">
          <cell r="A778" t="str">
            <v>40040_2</v>
          </cell>
        </row>
        <row r="779">
          <cell r="A779" t="str">
            <v>40041_1</v>
          </cell>
        </row>
        <row r="780">
          <cell r="A780" t="str">
            <v>40041_2</v>
          </cell>
        </row>
        <row r="781">
          <cell r="A781" t="str">
            <v>40042_1</v>
          </cell>
        </row>
        <row r="782">
          <cell r="A782" t="str">
            <v>40042_2</v>
          </cell>
        </row>
        <row r="783">
          <cell r="A783" t="str">
            <v>40043_1</v>
          </cell>
        </row>
        <row r="784">
          <cell r="A784" t="str">
            <v>40043_2</v>
          </cell>
        </row>
        <row r="785">
          <cell r="A785" t="str">
            <v>41001_1</v>
          </cell>
        </row>
        <row r="786">
          <cell r="A786" t="str">
            <v>41001_2</v>
          </cell>
        </row>
        <row r="787">
          <cell r="A787" t="str">
            <v>41001_3</v>
          </cell>
        </row>
        <row r="788">
          <cell r="A788" t="str">
            <v>41002_1</v>
          </cell>
        </row>
        <row r="789">
          <cell r="A789" t="str">
            <v>41002_2</v>
          </cell>
        </row>
        <row r="790">
          <cell r="A790" t="str">
            <v>41002_3</v>
          </cell>
        </row>
        <row r="791">
          <cell r="A791" t="str">
            <v>41003_1</v>
          </cell>
        </row>
        <row r="792">
          <cell r="A792" t="str">
            <v>41003_2</v>
          </cell>
        </row>
        <row r="793">
          <cell r="A793" t="str">
            <v>41003_3</v>
          </cell>
        </row>
        <row r="794">
          <cell r="A794" t="str">
            <v>41004_1</v>
          </cell>
        </row>
        <row r="795">
          <cell r="A795" t="str">
            <v>41004_2</v>
          </cell>
        </row>
        <row r="796">
          <cell r="A796" t="str">
            <v>41004_3</v>
          </cell>
        </row>
        <row r="797">
          <cell r="A797" t="str">
            <v>41005_1</v>
          </cell>
        </row>
        <row r="798">
          <cell r="A798" t="str">
            <v>41005_2</v>
          </cell>
        </row>
        <row r="799">
          <cell r="A799" t="str">
            <v>41005_3</v>
          </cell>
        </row>
        <row r="800">
          <cell r="A800" t="str">
            <v>41006_1</v>
          </cell>
        </row>
        <row r="801">
          <cell r="A801" t="str">
            <v>41006_2</v>
          </cell>
        </row>
        <row r="802">
          <cell r="A802" t="str">
            <v>41006_3</v>
          </cell>
        </row>
        <row r="803">
          <cell r="A803" t="str">
            <v>41007_1</v>
          </cell>
        </row>
        <row r="804">
          <cell r="A804" t="str">
            <v>41007_2</v>
          </cell>
        </row>
        <row r="805">
          <cell r="A805" t="str">
            <v>41007_3</v>
          </cell>
        </row>
        <row r="806">
          <cell r="A806" t="str">
            <v>41008_1</v>
          </cell>
        </row>
        <row r="807">
          <cell r="A807" t="str">
            <v>41008_2</v>
          </cell>
        </row>
        <row r="808">
          <cell r="A808" t="str">
            <v>41008_3</v>
          </cell>
        </row>
        <row r="809">
          <cell r="A809" t="str">
            <v>41009_1</v>
          </cell>
        </row>
        <row r="810">
          <cell r="A810" t="str">
            <v>41009_2</v>
          </cell>
        </row>
        <row r="811">
          <cell r="A811" t="str">
            <v>41009_3</v>
          </cell>
        </row>
        <row r="812">
          <cell r="A812" t="str">
            <v>41010_1</v>
          </cell>
        </row>
        <row r="813">
          <cell r="A813" t="str">
            <v>41010_2</v>
          </cell>
        </row>
        <row r="814">
          <cell r="A814" t="str">
            <v>41010_3</v>
          </cell>
        </row>
        <row r="815">
          <cell r="A815" t="str">
            <v>41011_1</v>
          </cell>
        </row>
        <row r="816">
          <cell r="A816" t="str">
            <v>41011_2</v>
          </cell>
        </row>
        <row r="817">
          <cell r="A817" t="str">
            <v>41012_1</v>
          </cell>
        </row>
        <row r="818">
          <cell r="A818" t="str">
            <v>41012_2</v>
          </cell>
        </row>
        <row r="819">
          <cell r="A819" t="str">
            <v>41013_1</v>
          </cell>
        </row>
        <row r="820">
          <cell r="A820" t="str">
            <v>41013_2</v>
          </cell>
        </row>
        <row r="821">
          <cell r="A821" t="str">
            <v>41014_1</v>
          </cell>
        </row>
        <row r="822">
          <cell r="A822" t="str">
            <v>41014_2</v>
          </cell>
        </row>
        <row r="823">
          <cell r="A823" t="str">
            <v>41015_1</v>
          </cell>
        </row>
        <row r="824">
          <cell r="A824" t="str">
            <v>41015_2</v>
          </cell>
        </row>
        <row r="825">
          <cell r="A825" t="str">
            <v>47001_1</v>
          </cell>
        </row>
        <row r="826">
          <cell r="A826" t="str">
            <v>47001_2</v>
          </cell>
        </row>
        <row r="827">
          <cell r="A827" t="str">
            <v>47002_1</v>
          </cell>
        </row>
        <row r="828">
          <cell r="A828" t="str">
            <v>47002_2</v>
          </cell>
        </row>
        <row r="829">
          <cell r="A829" t="str">
            <v>47003_1</v>
          </cell>
        </row>
        <row r="830">
          <cell r="A830" t="str">
            <v>47003_2</v>
          </cell>
        </row>
        <row r="831">
          <cell r="A831" t="str">
            <v>47003_3</v>
          </cell>
        </row>
        <row r="832">
          <cell r="A832" t="str">
            <v>47003_4</v>
          </cell>
        </row>
        <row r="833">
          <cell r="A833" t="str">
            <v>47004_1</v>
          </cell>
        </row>
        <row r="834">
          <cell r="A834" t="str">
            <v>47004_2</v>
          </cell>
        </row>
        <row r="835">
          <cell r="A835" t="str">
            <v>47004_3</v>
          </cell>
        </row>
        <row r="836">
          <cell r="A836" t="str">
            <v>47004_4</v>
          </cell>
        </row>
        <row r="837">
          <cell r="A837" t="str">
            <v>47005_1</v>
          </cell>
        </row>
        <row r="838">
          <cell r="A838" t="str">
            <v>47006_1</v>
          </cell>
        </row>
        <row r="839">
          <cell r="A839" t="str">
            <v>47006_2</v>
          </cell>
        </row>
        <row r="840">
          <cell r="A840" t="str">
            <v>47007_1</v>
          </cell>
        </row>
        <row r="841">
          <cell r="A841" t="str">
            <v>47007_2</v>
          </cell>
        </row>
        <row r="842">
          <cell r="A842" t="str">
            <v>47008_1</v>
          </cell>
        </row>
        <row r="843">
          <cell r="A843" t="str">
            <v>47008_2</v>
          </cell>
        </row>
        <row r="844">
          <cell r="A844" t="str">
            <v>47009_1</v>
          </cell>
        </row>
        <row r="845">
          <cell r="A845" t="str">
            <v>47009_2</v>
          </cell>
        </row>
        <row r="846">
          <cell r="A846" t="str">
            <v>47010_1</v>
          </cell>
        </row>
        <row r="847">
          <cell r="A847" t="str">
            <v>47010_2</v>
          </cell>
        </row>
        <row r="848">
          <cell r="A848" t="str">
            <v>47011_1</v>
          </cell>
        </row>
        <row r="849">
          <cell r="A849" t="str">
            <v>48001_1</v>
          </cell>
        </row>
        <row r="850">
          <cell r="A850" t="str">
            <v>48002_1</v>
          </cell>
        </row>
        <row r="851">
          <cell r="A851" t="str">
            <v>48002_2</v>
          </cell>
        </row>
        <row r="852">
          <cell r="A852" t="str">
            <v>48002_3</v>
          </cell>
        </row>
        <row r="853">
          <cell r="A853" t="str">
            <v>48003_1</v>
          </cell>
        </row>
        <row r="854">
          <cell r="A854" t="str">
            <v>48003_2</v>
          </cell>
        </row>
        <row r="855">
          <cell r="A855" t="str">
            <v>48004_1</v>
          </cell>
        </row>
        <row r="856">
          <cell r="A856" t="str">
            <v>48004_2</v>
          </cell>
        </row>
        <row r="857">
          <cell r="A857" t="str">
            <v>48005_1</v>
          </cell>
        </row>
        <row r="858">
          <cell r="A858" t="str">
            <v>48005_2</v>
          </cell>
        </row>
        <row r="859">
          <cell r="A859" t="str">
            <v>48006_1</v>
          </cell>
        </row>
        <row r="860">
          <cell r="A860" t="str">
            <v>48006_2</v>
          </cell>
        </row>
        <row r="861">
          <cell r="A861" t="str">
            <v>48007_1</v>
          </cell>
        </row>
        <row r="862">
          <cell r="A862" t="str">
            <v>48007_2</v>
          </cell>
        </row>
        <row r="863">
          <cell r="A863" t="str">
            <v>48008_1</v>
          </cell>
        </row>
        <row r="864">
          <cell r="A864" t="str">
            <v>48008_2</v>
          </cell>
        </row>
        <row r="865">
          <cell r="A865" t="str">
            <v>48009_1</v>
          </cell>
        </row>
        <row r="866">
          <cell r="A866" t="str">
            <v>48009_2</v>
          </cell>
        </row>
        <row r="867">
          <cell r="A867" t="str">
            <v>48010_1</v>
          </cell>
        </row>
        <row r="868">
          <cell r="A868" t="str">
            <v>48011_1</v>
          </cell>
        </row>
        <row r="869">
          <cell r="A869" t="str">
            <v>48011_2</v>
          </cell>
        </row>
        <row r="870">
          <cell r="A870" t="str">
            <v>48501_1</v>
          </cell>
        </row>
        <row r="871">
          <cell r="A871" t="str">
            <v>48501_2</v>
          </cell>
        </row>
        <row r="872">
          <cell r="A872" t="str">
            <v>48502_1</v>
          </cell>
        </row>
        <row r="873">
          <cell r="A873" t="str">
            <v>48502_2</v>
          </cell>
        </row>
        <row r="874">
          <cell r="A874" t="str">
            <v>48701_1</v>
          </cell>
        </row>
        <row r="875">
          <cell r="A875" t="str">
            <v>48701_2</v>
          </cell>
        </row>
        <row r="876">
          <cell r="A876" t="str">
            <v>49001_1</v>
          </cell>
        </row>
        <row r="877">
          <cell r="A877" t="str">
            <v>49002_1</v>
          </cell>
        </row>
        <row r="878">
          <cell r="A878" t="str">
            <v>49002_2</v>
          </cell>
        </row>
        <row r="879">
          <cell r="A879" t="str">
            <v>49003_1</v>
          </cell>
        </row>
        <row r="880">
          <cell r="A880" t="str">
            <v>49003_2</v>
          </cell>
        </row>
        <row r="881">
          <cell r="A881" t="str">
            <v>49004_1</v>
          </cell>
        </row>
        <row r="882">
          <cell r="A882" t="str">
            <v>49004_2</v>
          </cell>
        </row>
        <row r="883">
          <cell r="A883" t="str">
            <v>49004_3</v>
          </cell>
        </row>
        <row r="884">
          <cell r="A884" t="str">
            <v>49005_1</v>
          </cell>
        </row>
        <row r="885">
          <cell r="A885" t="str">
            <v>49006_1</v>
          </cell>
        </row>
        <row r="886">
          <cell r="A886" t="str">
            <v>49006_2</v>
          </cell>
        </row>
        <row r="887">
          <cell r="A887" t="str">
            <v>49007_1</v>
          </cell>
        </row>
        <row r="888">
          <cell r="A888" t="str">
            <v>49007_2</v>
          </cell>
        </row>
        <row r="889">
          <cell r="A889" t="str">
            <v>49007_3</v>
          </cell>
        </row>
        <row r="890">
          <cell r="A890" t="str">
            <v>49008_1</v>
          </cell>
        </row>
        <row r="891">
          <cell r="A891" t="str">
            <v>49009_1</v>
          </cell>
        </row>
        <row r="892">
          <cell r="A892" t="str">
            <v>49010_1</v>
          </cell>
        </row>
        <row r="893">
          <cell r="A893" t="str">
            <v>49011_1</v>
          </cell>
        </row>
        <row r="894">
          <cell r="A894" t="str">
            <v>49012_1</v>
          </cell>
        </row>
        <row r="895">
          <cell r="A895" t="str">
            <v>49013_1</v>
          </cell>
        </row>
        <row r="896">
          <cell r="A896" t="str">
            <v>49014_1</v>
          </cell>
        </row>
        <row r="897">
          <cell r="A897" t="str">
            <v>49014_2</v>
          </cell>
        </row>
        <row r="898">
          <cell r="A898" t="str">
            <v>49015_1</v>
          </cell>
        </row>
        <row r="899">
          <cell r="A899" t="str">
            <v>49015_2</v>
          </cell>
        </row>
        <row r="900">
          <cell r="A900" t="str">
            <v>49015_3</v>
          </cell>
        </row>
        <row r="901">
          <cell r="A901" t="str">
            <v>50001_1</v>
          </cell>
        </row>
        <row r="902">
          <cell r="A902" t="str">
            <v>50002_1</v>
          </cell>
        </row>
        <row r="903">
          <cell r="A903" t="str">
            <v>50003_1</v>
          </cell>
        </row>
        <row r="904">
          <cell r="A904" t="str">
            <v>50004_1</v>
          </cell>
        </row>
        <row r="905">
          <cell r="A905" t="str">
            <v>50005_1</v>
          </cell>
        </row>
        <row r="906">
          <cell r="A906" t="str">
            <v>50006_1</v>
          </cell>
        </row>
        <row r="907">
          <cell r="A907" t="str">
            <v>50007_1</v>
          </cell>
        </row>
        <row r="908">
          <cell r="A908" t="str">
            <v>50008_1</v>
          </cell>
        </row>
        <row r="909">
          <cell r="A909" t="str">
            <v>50009_1</v>
          </cell>
        </row>
        <row r="910">
          <cell r="A910" t="str">
            <v>50010_1</v>
          </cell>
        </row>
        <row r="911">
          <cell r="A911" t="str">
            <v>50011_1</v>
          </cell>
        </row>
        <row r="912">
          <cell r="A912" t="str">
            <v>50012_1</v>
          </cell>
        </row>
        <row r="913">
          <cell r="A913" t="str">
            <v>50013_1</v>
          </cell>
        </row>
        <row r="914">
          <cell r="A914" t="str">
            <v>50014_1</v>
          </cell>
        </row>
        <row r="915">
          <cell r="A915" t="str">
            <v>51001_1</v>
          </cell>
        </row>
        <row r="916">
          <cell r="A916" t="str">
            <v>51002_1</v>
          </cell>
        </row>
        <row r="917">
          <cell r="A917" t="str">
            <v>58001_1</v>
          </cell>
        </row>
        <row r="918">
          <cell r="A918" t="str">
            <v>59001_1</v>
          </cell>
        </row>
        <row r="919">
          <cell r="A919" t="str">
            <v>59002_1</v>
          </cell>
        </row>
        <row r="920">
          <cell r="A920" t="str">
            <v>60001_1</v>
          </cell>
        </row>
        <row r="921">
          <cell r="A921" t="str">
            <v>60002_1</v>
          </cell>
        </row>
        <row r="922">
          <cell r="A922" t="str">
            <v>60002_2</v>
          </cell>
        </row>
        <row r="923">
          <cell r="A923" t="str">
            <v>60003_1</v>
          </cell>
        </row>
        <row r="924">
          <cell r="A924" t="str">
            <v>60003_2</v>
          </cell>
        </row>
        <row r="925">
          <cell r="A925" t="str">
            <v>60003_3</v>
          </cell>
        </row>
        <row r="926">
          <cell r="A926" t="str">
            <v>60004_1</v>
          </cell>
        </row>
        <row r="927">
          <cell r="A927" t="str">
            <v>60005_1</v>
          </cell>
        </row>
        <row r="928">
          <cell r="A928" t="str">
            <v>60006_1</v>
          </cell>
        </row>
        <row r="929">
          <cell r="A929" t="str">
            <v>60006_2</v>
          </cell>
        </row>
        <row r="930">
          <cell r="A930" t="str">
            <v>60006_3</v>
          </cell>
        </row>
        <row r="931">
          <cell r="A931" t="str">
            <v>60007_1</v>
          </cell>
        </row>
        <row r="932">
          <cell r="A932" t="str">
            <v>60007_2</v>
          </cell>
        </row>
        <row r="933">
          <cell r="A933" t="str">
            <v>60007_3</v>
          </cell>
        </row>
        <row r="934">
          <cell r="A934" t="str">
            <v>60010_1</v>
          </cell>
        </row>
        <row r="935">
          <cell r="A935" t="str">
            <v>60011_1</v>
          </cell>
        </row>
        <row r="936">
          <cell r="A936" t="str">
            <v>60011_2</v>
          </cell>
        </row>
        <row r="937">
          <cell r="A937" t="str">
            <v>60012_1</v>
          </cell>
        </row>
        <row r="938">
          <cell r="A938" t="str">
            <v>60013_1</v>
          </cell>
        </row>
        <row r="939">
          <cell r="A939" t="str">
            <v>60013_2</v>
          </cell>
        </row>
        <row r="940">
          <cell r="A940" t="str">
            <v>60013_3</v>
          </cell>
        </row>
        <row r="941">
          <cell r="A941" t="str">
            <v>60014_1</v>
          </cell>
        </row>
        <row r="942">
          <cell r="A942" t="str">
            <v>60015_1</v>
          </cell>
        </row>
        <row r="943">
          <cell r="A943" t="str">
            <v>60016_1</v>
          </cell>
        </row>
        <row r="944">
          <cell r="A944" t="str">
            <v>60017_1</v>
          </cell>
        </row>
        <row r="945">
          <cell r="A945" t="str">
            <v>60018_1</v>
          </cell>
        </row>
        <row r="946">
          <cell r="A946" t="str">
            <v>60019_1</v>
          </cell>
        </row>
        <row r="947">
          <cell r="A947" t="str">
            <v>60020_1</v>
          </cell>
        </row>
        <row r="948">
          <cell r="A948" t="str">
            <v>60021_3</v>
          </cell>
        </row>
        <row r="949">
          <cell r="A949" t="str">
            <v>60022_3</v>
          </cell>
        </row>
        <row r="950">
          <cell r="A950" t="str">
            <v>60023_3</v>
          </cell>
        </row>
        <row r="951">
          <cell r="A951" t="str">
            <v>60024_3</v>
          </cell>
        </row>
        <row r="952">
          <cell r="A952" t="str">
            <v>60025_1</v>
          </cell>
        </row>
        <row r="953">
          <cell r="A953" t="str">
            <v>60026_1</v>
          </cell>
        </row>
        <row r="954">
          <cell r="A954" t="str">
            <v>61011_1</v>
          </cell>
        </row>
        <row r="955">
          <cell r="A955" t="str">
            <v>60027_1</v>
          </cell>
        </row>
        <row r="956">
          <cell r="A956" t="str">
            <v>60028_1</v>
          </cell>
        </row>
        <row r="957">
          <cell r="A957" t="str">
            <v>65525_1</v>
          </cell>
        </row>
        <row r="958">
          <cell r="A958" t="str">
            <v>65526_1</v>
          </cell>
        </row>
        <row r="959">
          <cell r="A959" t="str">
            <v>65526_2</v>
          </cell>
        </row>
        <row r="960">
          <cell r="A960" t="str">
            <v>65527_1</v>
          </cell>
        </row>
        <row r="961">
          <cell r="A961" t="str">
            <v>65528_1</v>
          </cell>
        </row>
        <row r="962">
          <cell r="A962" t="str">
            <v>65529_1</v>
          </cell>
        </row>
        <row r="963">
          <cell r="A963" t="str">
            <v>65530_1</v>
          </cell>
        </row>
        <row r="964">
          <cell r="A964" t="str">
            <v>65531_1</v>
          </cell>
        </row>
        <row r="965">
          <cell r="A965" t="str">
            <v>65531_2</v>
          </cell>
        </row>
        <row r="966">
          <cell r="A966" t="str">
            <v>65532_1</v>
          </cell>
        </row>
        <row r="967">
          <cell r="A967" t="str">
            <v>65532_2</v>
          </cell>
        </row>
        <row r="968">
          <cell r="A968" t="str">
            <v>65533_1</v>
          </cell>
        </row>
        <row r="969">
          <cell r="A969" t="str">
            <v>65533_2</v>
          </cell>
        </row>
        <row r="970">
          <cell r="A970" t="str">
            <v>65534_1</v>
          </cell>
        </row>
        <row r="971">
          <cell r="A971" t="str">
            <v>65534_2</v>
          </cell>
        </row>
        <row r="972">
          <cell r="A972" t="str">
            <v>65535_1</v>
          </cell>
        </row>
        <row r="973">
          <cell r="A973" t="str">
            <v>65535_2</v>
          </cell>
        </row>
        <row r="974">
          <cell r="A974" t="str">
            <v>65535_3</v>
          </cell>
        </row>
        <row r="975">
          <cell r="A975" t="str">
            <v>65535_4</v>
          </cell>
        </row>
        <row r="976">
          <cell r="A976" t="str">
            <v>65535_5</v>
          </cell>
        </row>
        <row r="977">
          <cell r="A977" t="str">
            <v>65535_6</v>
          </cell>
        </row>
        <row r="978">
          <cell r="A978" t="str">
            <v>65535_7</v>
          </cell>
        </row>
        <row r="979">
          <cell r="A979" t="str">
            <v>65535_8</v>
          </cell>
        </row>
        <row r="980">
          <cell r="A980" t="str">
            <v>65535_9</v>
          </cell>
        </row>
        <row r="981">
          <cell r="A981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1504</v>
          </cell>
        </row>
        <row r="1341">
          <cell r="A1341">
            <v>1505</v>
          </cell>
        </row>
        <row r="1342">
          <cell r="A1342">
            <v>1506</v>
          </cell>
        </row>
        <row r="1343">
          <cell r="A1343">
            <v>1507</v>
          </cell>
        </row>
        <row r="1344">
          <cell r="A1344">
            <v>1508</v>
          </cell>
        </row>
        <row r="1345">
          <cell r="A1345">
            <v>1509</v>
          </cell>
        </row>
        <row r="1346">
          <cell r="A1346">
            <v>1510</v>
          </cell>
        </row>
        <row r="1347">
          <cell r="A1347">
            <v>1511</v>
          </cell>
        </row>
        <row r="1348">
          <cell r="A1348">
            <v>1512</v>
          </cell>
        </row>
        <row r="1349">
          <cell r="A1349">
            <v>1523</v>
          </cell>
        </row>
        <row r="1350">
          <cell r="A1350">
            <v>1524</v>
          </cell>
        </row>
        <row r="1351">
          <cell r="A1351">
            <v>1525</v>
          </cell>
        </row>
        <row r="1352">
          <cell r="A1352">
            <v>1526</v>
          </cell>
        </row>
        <row r="1353">
          <cell r="A1353">
            <v>5001</v>
          </cell>
        </row>
        <row r="1354">
          <cell r="A1354">
            <v>5002</v>
          </cell>
        </row>
        <row r="1355">
          <cell r="A1355">
            <v>5003</v>
          </cell>
        </row>
        <row r="1356">
          <cell r="A1356">
            <v>5004</v>
          </cell>
        </row>
        <row r="1357">
          <cell r="A1357">
            <v>5005</v>
          </cell>
        </row>
        <row r="1358">
          <cell r="A1358">
            <v>5006</v>
          </cell>
        </row>
        <row r="1359">
          <cell r="A1359">
            <v>5007</v>
          </cell>
        </row>
        <row r="1360">
          <cell r="A1360">
            <v>5008</v>
          </cell>
        </row>
        <row r="1361">
          <cell r="A1361">
            <v>6001</v>
          </cell>
        </row>
        <row r="1362">
          <cell r="A1362">
            <v>6002</v>
          </cell>
        </row>
        <row r="1363">
          <cell r="A1363">
            <v>6003</v>
          </cell>
        </row>
        <row r="1364">
          <cell r="A1364">
            <v>6004</v>
          </cell>
        </row>
        <row r="1365">
          <cell r="A1365">
            <v>6005</v>
          </cell>
        </row>
        <row r="1366">
          <cell r="A1366">
            <v>6006</v>
          </cell>
        </row>
        <row r="1367">
          <cell r="A1367">
            <v>6007</v>
          </cell>
        </row>
        <row r="1368">
          <cell r="A1368">
            <v>6008</v>
          </cell>
        </row>
        <row r="1369">
          <cell r="A1369">
            <v>6009</v>
          </cell>
        </row>
        <row r="1370">
          <cell r="A1370">
            <v>6010</v>
          </cell>
        </row>
        <row r="1371">
          <cell r="A1371">
            <v>6011</v>
          </cell>
        </row>
        <row r="1372">
          <cell r="A1372">
            <v>6012</v>
          </cell>
        </row>
        <row r="1373">
          <cell r="A1373">
            <v>6013</v>
          </cell>
        </row>
        <row r="1374">
          <cell r="A1374">
            <v>6014</v>
          </cell>
        </row>
        <row r="1375">
          <cell r="A1375">
            <v>6015</v>
          </cell>
        </row>
        <row r="1376">
          <cell r="A1376">
            <v>6016</v>
          </cell>
        </row>
        <row r="1377">
          <cell r="A1377">
            <v>6017</v>
          </cell>
        </row>
        <row r="1378">
          <cell r="A1378">
            <v>6018</v>
          </cell>
        </row>
        <row r="1379">
          <cell r="A1379">
            <v>6019</v>
          </cell>
        </row>
        <row r="1380">
          <cell r="A1380">
            <v>6020</v>
          </cell>
        </row>
        <row r="1381">
          <cell r="A1381">
            <v>8001</v>
          </cell>
        </row>
        <row r="1382">
          <cell r="A1382">
            <v>8002</v>
          </cell>
        </row>
        <row r="1383">
          <cell r="A1383">
            <v>8003</v>
          </cell>
        </row>
        <row r="1384">
          <cell r="A1384">
            <v>8004</v>
          </cell>
        </row>
        <row r="1385">
          <cell r="A1385">
            <v>8005</v>
          </cell>
        </row>
        <row r="1386">
          <cell r="A1386">
            <v>8006</v>
          </cell>
        </row>
        <row r="1387">
          <cell r="A1387">
            <v>8007</v>
          </cell>
        </row>
        <row r="1388">
          <cell r="A1388">
            <v>8008</v>
          </cell>
        </row>
        <row r="1389">
          <cell r="A1389">
            <v>8009</v>
          </cell>
        </row>
        <row r="1390">
          <cell r="A1390">
            <v>8010</v>
          </cell>
        </row>
        <row r="1391">
          <cell r="A1391">
            <v>8011</v>
          </cell>
        </row>
        <row r="1392">
          <cell r="A1392">
            <v>8012</v>
          </cell>
        </row>
        <row r="1393">
          <cell r="A1393">
            <v>8013</v>
          </cell>
        </row>
        <row r="1394">
          <cell r="A1394">
            <v>8014</v>
          </cell>
        </row>
        <row r="1395">
          <cell r="A1395">
            <v>8015</v>
          </cell>
        </row>
        <row r="1396">
          <cell r="A1396">
            <v>8016</v>
          </cell>
        </row>
        <row r="1397">
          <cell r="A1397">
            <v>8017</v>
          </cell>
        </row>
        <row r="1398">
          <cell r="A1398">
            <v>8018</v>
          </cell>
        </row>
        <row r="1399">
          <cell r="A1399">
            <v>8019</v>
          </cell>
        </row>
        <row r="1400">
          <cell r="A1400">
            <v>8020</v>
          </cell>
        </row>
        <row r="1401">
          <cell r="A1401">
            <v>8021</v>
          </cell>
        </row>
        <row r="1402">
          <cell r="A1402">
            <v>8022</v>
          </cell>
        </row>
        <row r="1403">
          <cell r="A1403">
            <v>8023</v>
          </cell>
        </row>
        <row r="1404">
          <cell r="A1404">
            <v>8024</v>
          </cell>
        </row>
        <row r="1405">
          <cell r="A1405">
            <v>8025</v>
          </cell>
        </row>
        <row r="1406">
          <cell r="A1406">
            <v>8026</v>
          </cell>
        </row>
        <row r="1407">
          <cell r="A1407">
            <v>8027</v>
          </cell>
        </row>
        <row r="1408">
          <cell r="A1408">
            <v>8028</v>
          </cell>
        </row>
        <row r="1409">
          <cell r="A1409">
            <v>8029</v>
          </cell>
        </row>
        <row r="1410">
          <cell r="A1410">
            <v>8030</v>
          </cell>
        </row>
        <row r="1411">
          <cell r="A1411">
            <v>8031</v>
          </cell>
        </row>
        <row r="1412">
          <cell r="A1412">
            <v>8032</v>
          </cell>
        </row>
        <row r="1413">
          <cell r="A1413">
            <v>8033</v>
          </cell>
        </row>
        <row r="1414">
          <cell r="A1414">
            <v>8034</v>
          </cell>
        </row>
        <row r="1415">
          <cell r="A1415">
            <v>8035</v>
          </cell>
        </row>
        <row r="1416">
          <cell r="A1416">
            <v>8036</v>
          </cell>
        </row>
        <row r="1417">
          <cell r="A1417">
            <v>8037</v>
          </cell>
        </row>
        <row r="1418">
          <cell r="A1418">
            <v>8038</v>
          </cell>
        </row>
        <row r="1419">
          <cell r="A1419">
            <v>8039</v>
          </cell>
        </row>
        <row r="1420">
          <cell r="A1420">
            <v>8040</v>
          </cell>
        </row>
        <row r="1421">
          <cell r="A1421">
            <v>8041</v>
          </cell>
        </row>
        <row r="1422">
          <cell r="A1422">
            <v>8042</v>
          </cell>
        </row>
        <row r="1423">
          <cell r="A1423">
            <v>8043</v>
          </cell>
        </row>
        <row r="1424">
          <cell r="A1424">
            <v>8044</v>
          </cell>
        </row>
        <row r="1425">
          <cell r="A1425">
            <v>8045</v>
          </cell>
        </row>
        <row r="1426">
          <cell r="A1426">
            <v>8046</v>
          </cell>
        </row>
        <row r="1427">
          <cell r="A1427">
            <v>8047</v>
          </cell>
        </row>
        <row r="1428">
          <cell r="A1428">
            <v>8048</v>
          </cell>
        </row>
        <row r="1429">
          <cell r="A1429">
            <v>8049</v>
          </cell>
        </row>
        <row r="1430">
          <cell r="A1430">
            <v>8050</v>
          </cell>
        </row>
        <row r="1431">
          <cell r="A1431">
            <v>8051</v>
          </cell>
        </row>
        <row r="1432">
          <cell r="A1432">
            <v>8052</v>
          </cell>
        </row>
        <row r="1433">
          <cell r="A1433">
            <v>8053</v>
          </cell>
        </row>
        <row r="1434">
          <cell r="A1434">
            <v>8054</v>
          </cell>
        </row>
        <row r="1435">
          <cell r="A1435">
            <v>8055</v>
          </cell>
        </row>
        <row r="1436">
          <cell r="A1436">
            <v>8056</v>
          </cell>
        </row>
        <row r="1437">
          <cell r="A1437">
            <v>8057</v>
          </cell>
        </row>
        <row r="1438">
          <cell r="A1438">
            <v>8058</v>
          </cell>
        </row>
        <row r="1439">
          <cell r="A1439">
            <v>8059</v>
          </cell>
        </row>
        <row r="1440">
          <cell r="A1440">
            <v>8060</v>
          </cell>
        </row>
        <row r="1441">
          <cell r="A1441">
            <v>8061</v>
          </cell>
        </row>
        <row r="1442">
          <cell r="A1442">
            <v>8062</v>
          </cell>
        </row>
        <row r="1443">
          <cell r="A1443">
            <v>8063</v>
          </cell>
        </row>
        <row r="1444">
          <cell r="A1444">
            <v>8064</v>
          </cell>
        </row>
        <row r="1445">
          <cell r="A1445">
            <v>8065</v>
          </cell>
        </row>
        <row r="1446">
          <cell r="A1446">
            <v>8066</v>
          </cell>
        </row>
        <row r="1447">
          <cell r="A1447">
            <v>8067</v>
          </cell>
        </row>
        <row r="1448">
          <cell r="A1448">
            <v>8068</v>
          </cell>
        </row>
        <row r="1449">
          <cell r="A1449">
            <v>8069</v>
          </cell>
        </row>
        <row r="1450">
          <cell r="A1450">
            <v>8070</v>
          </cell>
        </row>
        <row r="1451">
          <cell r="A1451">
            <v>8071</v>
          </cell>
        </row>
        <row r="1452">
          <cell r="A1452">
            <v>8072</v>
          </cell>
        </row>
        <row r="1453">
          <cell r="A1453">
            <v>8073</v>
          </cell>
        </row>
        <row r="1454">
          <cell r="A1454">
            <v>8074</v>
          </cell>
        </row>
        <row r="1455">
          <cell r="A1455">
            <v>8077</v>
          </cell>
        </row>
        <row r="1456">
          <cell r="A1456">
            <v>8078</v>
          </cell>
        </row>
        <row r="1457">
          <cell r="A1457">
            <v>8079</v>
          </cell>
        </row>
        <row r="1458">
          <cell r="A1458">
            <v>8080</v>
          </cell>
        </row>
        <row r="1459">
          <cell r="A1459">
            <v>8081</v>
          </cell>
        </row>
        <row r="1460">
          <cell r="A1460">
            <v>8082</v>
          </cell>
        </row>
        <row r="1461">
          <cell r="A1461">
            <v>8083</v>
          </cell>
        </row>
        <row r="1462">
          <cell r="A1462">
            <v>8084</v>
          </cell>
        </row>
        <row r="1463">
          <cell r="A1463">
            <v>8087</v>
          </cell>
        </row>
        <row r="1464">
          <cell r="A1464">
            <v>8088</v>
          </cell>
        </row>
        <row r="1465">
          <cell r="A1465">
            <v>8089</v>
          </cell>
        </row>
        <row r="1466">
          <cell r="A1466">
            <v>8090</v>
          </cell>
        </row>
        <row r="1467">
          <cell r="A1467">
            <v>8095</v>
          </cell>
        </row>
        <row r="1468">
          <cell r="A1468">
            <v>8096</v>
          </cell>
        </row>
        <row r="1469">
          <cell r="A1469">
            <v>8097</v>
          </cell>
        </row>
        <row r="1470">
          <cell r="A1470">
            <v>8098</v>
          </cell>
        </row>
        <row r="1471">
          <cell r="A1471">
            <v>8099</v>
          </cell>
        </row>
        <row r="1472">
          <cell r="A1472">
            <v>9001</v>
          </cell>
        </row>
        <row r="1473">
          <cell r="A1473">
            <v>9002</v>
          </cell>
        </row>
        <row r="1474">
          <cell r="A1474">
            <v>9003</v>
          </cell>
        </row>
        <row r="1475">
          <cell r="A1475">
            <v>9004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</row>
        <row r="639">
          <cell r="A639">
            <v>638</v>
          </cell>
          <cell r="B639" t="str">
            <v>ja</v>
          </cell>
          <cell r="C639" t="str">
            <v>神様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</row>
        <row r="642">
          <cell r="A642">
            <v>641</v>
          </cell>
          <cell r="B642" t="str">
            <v>ja</v>
          </cell>
          <cell r="C642" t="str">
            <v>城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</row>
        <row r="1345">
          <cell r="A1345">
            <v>1344</v>
          </cell>
          <cell r="B1345" t="str">
            <v>ja</v>
          </cell>
          <cell r="C1345" t="str">
            <v>ネセバル</v>
          </cell>
          <cell r="H1345" t="str">
            <v>blue</v>
          </cell>
          <cell r="I1345">
            <v>5</v>
          </cell>
          <cell r="J1345" t="str">
            <v>PremiumSSw</v>
          </cell>
        </row>
        <row r="1346">
          <cell r="A1346">
            <v>1345</v>
          </cell>
          <cell r="B1346" t="str">
            <v>ja</v>
          </cell>
          <cell r="C1346" t="str">
            <v>碧影の聖跡 ネセバル</v>
          </cell>
          <cell r="H1346" t="str">
            <v>blue</v>
          </cell>
          <cell r="I1346">
            <v>6</v>
          </cell>
          <cell r="J1346" t="str">
            <v>PremiumSSw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H1372" t="str">
            <v>blue</v>
          </cell>
          <cell r="I1372">
            <v>5</v>
          </cell>
          <cell r="J1372" t="str">
            <v>PremiumSSS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H1373" t="str">
            <v>blue</v>
          </cell>
          <cell r="I1373">
            <v>6</v>
          </cell>
          <cell r="J1373" t="str">
            <v>PremiumSSS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H1374" t="str">
            <v>green</v>
          </cell>
          <cell r="I1374">
            <v>5</v>
          </cell>
          <cell r="J1374" t="str">
            <v>PremiumSSS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H1375" t="str">
            <v>green</v>
          </cell>
          <cell r="I1375">
            <v>6</v>
          </cell>
          <cell r="J1375" t="str">
            <v>PremiumSSS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H1376" t="str">
            <v>yellow</v>
          </cell>
          <cell r="I1376">
            <v>5</v>
          </cell>
          <cell r="J1376" t="str">
            <v>PremiumSSw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H1377" t="str">
            <v>yellow</v>
          </cell>
          <cell r="I1377">
            <v>6</v>
          </cell>
          <cell r="J1377" t="str">
            <v>PremiumSSw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H1378" t="str">
            <v>red</v>
          </cell>
          <cell r="I1378">
            <v>6</v>
          </cell>
          <cell r="J1378" t="str">
            <v>Drop2N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H1379" t="str">
            <v>green</v>
          </cell>
          <cell r="I1379">
            <v>6</v>
          </cell>
          <cell r="J1379" t="str">
            <v>Drop2N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H1380" t="str">
            <v>blue</v>
          </cell>
          <cell r="I1380">
            <v>6</v>
          </cell>
          <cell r="J1380" t="str">
            <v>Drop2N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H1381" t="str">
            <v>yellow</v>
          </cell>
          <cell r="I1381">
            <v>6</v>
          </cell>
          <cell r="J1381" t="str">
            <v>Drop2N</v>
          </cell>
        </row>
        <row r="1382">
          <cell r="A1382">
            <v>1407</v>
          </cell>
          <cell r="B1382" t="str">
            <v>ja</v>
          </cell>
          <cell r="C1382" t="str">
            <v>グリム・ザ・ダンディ</v>
          </cell>
          <cell r="H1382" t="str">
            <v>yellow</v>
          </cell>
          <cell r="I1382">
            <v>5</v>
          </cell>
          <cell r="J1382" t="str">
            <v>DropWizS</v>
          </cell>
        </row>
        <row r="1383">
          <cell r="A1383">
            <v>1408</v>
          </cell>
          <cell r="B1383" t="str">
            <v>ja</v>
          </cell>
          <cell r="C1383" t="str">
            <v>爽愛の求魂 グリム・ザ・ダンディ</v>
          </cell>
          <cell r="H1383" t="str">
            <v>yellow</v>
          </cell>
          <cell r="I1383">
            <v>6</v>
          </cell>
          <cell r="J1383" t="str">
            <v>DropWizS</v>
          </cell>
        </row>
        <row r="1384">
          <cell r="A1384">
            <v>1409</v>
          </cell>
          <cell r="B1384" t="str">
            <v>ja</v>
          </cell>
          <cell r="C1384" t="str">
            <v>マシロ</v>
          </cell>
          <cell r="H1384" t="str">
            <v>green</v>
          </cell>
          <cell r="I1384">
            <v>5</v>
          </cell>
          <cell r="J1384" t="str">
            <v>PremiumSS</v>
          </cell>
        </row>
        <row r="1385">
          <cell r="A1385">
            <v>1410</v>
          </cell>
          <cell r="B1385" t="str">
            <v>ja</v>
          </cell>
          <cell r="C1385" t="str">
            <v>浮遊する白恋 マシロ</v>
          </cell>
          <cell r="H1385" t="str">
            <v>green</v>
          </cell>
          <cell r="I1385">
            <v>6</v>
          </cell>
          <cell r="J1385" t="str">
            <v>PremiumSS</v>
          </cell>
        </row>
        <row r="1386">
          <cell r="A1386">
            <v>1411</v>
          </cell>
          <cell r="B1386" t="str">
            <v>ja</v>
          </cell>
          <cell r="C1386" t="str">
            <v>ピーターパン・イノセンス</v>
          </cell>
          <cell r="H1386" t="str">
            <v>blue</v>
          </cell>
          <cell r="I1386">
            <v>5</v>
          </cell>
          <cell r="J1386" t="str">
            <v>PremiumS</v>
          </cell>
        </row>
        <row r="1387">
          <cell r="A1387">
            <v>1412</v>
          </cell>
          <cell r="B1387" t="str">
            <v>ja</v>
          </cell>
          <cell r="C1387" t="str">
            <v>アレス・パッション</v>
          </cell>
          <cell r="H1387" t="str">
            <v>yellow</v>
          </cell>
          <cell r="I1387">
            <v>5</v>
          </cell>
          <cell r="J1387" t="str">
            <v>PremiumS</v>
          </cell>
        </row>
        <row r="1388">
          <cell r="A1388">
            <v>1413</v>
          </cell>
          <cell r="B1388" t="str">
            <v>ja</v>
          </cell>
          <cell r="C1388" t="str">
            <v>クリムト・ペリューシド</v>
          </cell>
          <cell r="H1388" t="str">
            <v>green</v>
          </cell>
          <cell r="I1388">
            <v>5</v>
          </cell>
          <cell r="J1388" t="str">
            <v>PremiumS</v>
          </cell>
        </row>
        <row r="1389">
          <cell r="A1389">
            <v>1414</v>
          </cell>
          <cell r="B1389" t="str">
            <v>ja</v>
          </cell>
          <cell r="C1389" t="str">
            <v>炎のミリオンダック 7</v>
          </cell>
          <cell r="D1389" t="str">
            <v>未定</v>
          </cell>
          <cell r="E1389" t="str">
            <v>執行者</v>
          </cell>
          <cell r="F1389" t="str">
            <v>格好いい</v>
          </cell>
          <cell r="G1389" t="str">
            <v>不明</v>
          </cell>
          <cell r="H1389" t="str">
            <v>red</v>
          </cell>
          <cell r="I1389">
            <v>6</v>
          </cell>
          <cell r="J1389" t="str">
            <v>Material</v>
          </cell>
        </row>
        <row r="1390">
          <cell r="A1390">
            <v>1415</v>
          </cell>
          <cell r="B1390" t="str">
            <v>ja</v>
          </cell>
          <cell r="C1390" t="str">
            <v>森のミリオンダック 7</v>
          </cell>
          <cell r="D1390" t="str">
            <v>未定</v>
          </cell>
          <cell r="E1390" t="str">
            <v>執行者</v>
          </cell>
          <cell r="F1390" t="str">
            <v>格好いい</v>
          </cell>
          <cell r="G1390" t="str">
            <v>不明</v>
          </cell>
          <cell r="H1390" t="str">
            <v>green</v>
          </cell>
          <cell r="I1390">
            <v>6</v>
          </cell>
          <cell r="J1390" t="str">
            <v>Material</v>
          </cell>
        </row>
        <row r="1391">
          <cell r="A1391">
            <v>1416</v>
          </cell>
          <cell r="B1391" t="str">
            <v>ja</v>
          </cell>
          <cell r="C1391" t="str">
            <v>水のミリオンダック 7</v>
          </cell>
          <cell r="D1391" t="str">
            <v>未定</v>
          </cell>
          <cell r="E1391" t="str">
            <v>執行者</v>
          </cell>
          <cell r="F1391" t="str">
            <v>格好いい</v>
          </cell>
          <cell r="G1391" t="str">
            <v>不明</v>
          </cell>
          <cell r="H1391" t="str">
            <v>blue</v>
          </cell>
          <cell r="I1391">
            <v>6</v>
          </cell>
          <cell r="J1391" t="str">
            <v>Material</v>
          </cell>
        </row>
        <row r="1392">
          <cell r="A1392">
            <v>1417</v>
          </cell>
          <cell r="B1392" t="str">
            <v>ja</v>
          </cell>
          <cell r="C1392" t="str">
            <v>雷のミリオンダック 7</v>
          </cell>
          <cell r="D1392" t="str">
            <v>未定</v>
          </cell>
          <cell r="E1392" t="str">
            <v>執行者</v>
          </cell>
          <cell r="F1392" t="str">
            <v>格好いい</v>
          </cell>
          <cell r="G1392" t="str">
            <v>不明</v>
          </cell>
          <cell r="H1392" t="str">
            <v>yellow</v>
          </cell>
          <cell r="I1392">
            <v>6</v>
          </cell>
          <cell r="J1392" t="str">
            <v>Material</v>
          </cell>
        </row>
        <row r="1393">
          <cell r="A1393">
            <v>1418</v>
          </cell>
          <cell r="B1393" t="str">
            <v>ja</v>
          </cell>
          <cell r="C1393" t="str">
            <v>擬潜送侵型メリッサ2.0</v>
          </cell>
          <cell r="H1393" t="str">
            <v>red</v>
          </cell>
          <cell r="I1393">
            <v>5</v>
          </cell>
          <cell r="J1393" t="str">
            <v>DropWizS</v>
          </cell>
        </row>
        <row r="1394">
          <cell r="A1394">
            <v>1419</v>
          </cell>
          <cell r="B1394" t="str">
            <v>ja</v>
          </cell>
          <cell r="C1394" t="str">
            <v>感潜する侵感 メリッサ</v>
          </cell>
          <cell r="H1394" t="str">
            <v>red</v>
          </cell>
          <cell r="I1394">
            <v>6</v>
          </cell>
          <cell r="J1394" t="str">
            <v>DropWizS</v>
          </cell>
        </row>
        <row r="1395">
          <cell r="A1395">
            <v>1420</v>
          </cell>
          <cell r="B1395" t="str">
            <v>ja</v>
          </cell>
          <cell r="C1395" t="str">
            <v>脆侵増殖型G・モリス</v>
          </cell>
          <cell r="H1395" t="str">
            <v>blue</v>
          </cell>
          <cell r="I1395">
            <v>5</v>
          </cell>
          <cell r="J1395" t="str">
            <v>DropWizS</v>
          </cell>
        </row>
        <row r="1396">
          <cell r="A1396">
            <v>1421</v>
          </cell>
          <cell r="B1396" t="str">
            <v>ja</v>
          </cell>
          <cell r="C1396" t="str">
            <v>拡勢する偽増 モリス</v>
          </cell>
          <cell r="H1396" t="str">
            <v>blue</v>
          </cell>
          <cell r="I1396">
            <v>6</v>
          </cell>
          <cell r="J1396" t="str">
            <v>DropWizS</v>
          </cell>
        </row>
        <row r="1397">
          <cell r="A1397">
            <v>1422</v>
          </cell>
          <cell r="B1397" t="str">
            <v>ja</v>
          </cell>
          <cell r="C1397" t="str">
            <v>解錠放散性ニムダE</v>
          </cell>
          <cell r="H1397" t="str">
            <v>yellow</v>
          </cell>
          <cell r="I1397">
            <v>5</v>
          </cell>
          <cell r="J1397" t="str">
            <v>DropWizS</v>
          </cell>
        </row>
        <row r="1398">
          <cell r="A1398">
            <v>1423</v>
          </cell>
          <cell r="B1398" t="str">
            <v>ja</v>
          </cell>
          <cell r="C1398" t="str">
            <v>電播する環染 ニムダ</v>
          </cell>
          <cell r="H1398" t="str">
            <v>yellow</v>
          </cell>
          <cell r="I1398">
            <v>6</v>
          </cell>
          <cell r="J1398" t="str">
            <v>DropWizS</v>
          </cell>
        </row>
        <row r="1399">
          <cell r="A1399">
            <v>1424</v>
          </cell>
          <cell r="B1399" t="str">
            <v>ja</v>
          </cell>
          <cell r="C1399" t="str">
            <v>波打際の宴麗 フロイト</v>
          </cell>
          <cell r="H1399" t="str">
            <v>blue</v>
          </cell>
          <cell r="I1399">
            <v>6</v>
          </cell>
          <cell r="J1399" t="str">
            <v>PremiumSSS</v>
          </cell>
        </row>
        <row r="1400">
          <cell r="A1400">
            <v>1425</v>
          </cell>
          <cell r="B1400" t="str">
            <v>ja</v>
          </cell>
          <cell r="C1400" t="str">
            <v>ヴォルタ</v>
          </cell>
          <cell r="D1400" t="str">
            <v>未定</v>
          </cell>
          <cell r="E1400" t="str">
            <v>アリス</v>
          </cell>
          <cell r="F1400" t="str">
            <v>世界観</v>
          </cell>
          <cell r="G1400" t="str">
            <v>不明</v>
          </cell>
          <cell r="H1400" t="str">
            <v>red</v>
          </cell>
          <cell r="I1400">
            <v>5</v>
          </cell>
          <cell r="J1400" t="str">
            <v>PremiumSSS</v>
          </cell>
        </row>
        <row r="1401">
          <cell r="A1401">
            <v>1426</v>
          </cell>
          <cell r="B1401" t="str">
            <v>ja</v>
          </cell>
          <cell r="C1401" t="str">
            <v>灼々たる電花 ヴォルタ</v>
          </cell>
          <cell r="D1401" t="str">
            <v>未定</v>
          </cell>
          <cell r="E1401" t="str">
            <v>アリス</v>
          </cell>
          <cell r="F1401" t="str">
            <v>世界観</v>
          </cell>
          <cell r="G1401" t="str">
            <v>不明</v>
          </cell>
          <cell r="H1401" t="str">
            <v>red</v>
          </cell>
          <cell r="I1401">
            <v>6</v>
          </cell>
          <cell r="J1401" t="str">
            <v>PremiumSSS</v>
          </cell>
        </row>
        <row r="1402">
          <cell r="A1402">
            <v>1433</v>
          </cell>
          <cell r="B1402" t="str">
            <v>ja</v>
          </cell>
          <cell r="C1402" t="str">
            <v>超越の果実</v>
          </cell>
          <cell r="D1402" t="str">
            <v>スキル進化素材</v>
          </cell>
          <cell r="E1402" t="str">
            <v>アリス</v>
          </cell>
          <cell r="F1402" t="str">
            <v>世界観</v>
          </cell>
          <cell r="G1402" t="str">
            <v>不明</v>
          </cell>
          <cell r="H1402" t="str">
            <v>yellow</v>
          </cell>
          <cell r="I1402">
            <v>3</v>
          </cell>
          <cell r="J1402" t="str">
            <v>Material</v>
          </cell>
        </row>
        <row r="1403">
          <cell r="A1403">
            <v>1434</v>
          </cell>
          <cell r="B1403" t="str">
            <v>ja</v>
          </cell>
          <cell r="C1403" t="str">
            <v>メガ超越の果実</v>
          </cell>
          <cell r="D1403" t="str">
            <v>スキル進化素材</v>
          </cell>
          <cell r="E1403" t="str">
            <v>アリス</v>
          </cell>
          <cell r="F1403" t="str">
            <v>世界観</v>
          </cell>
          <cell r="G1403" t="str">
            <v>不明</v>
          </cell>
          <cell r="H1403" t="str">
            <v>yellow</v>
          </cell>
          <cell r="I1403">
            <v>4</v>
          </cell>
          <cell r="J1403" t="str">
            <v>Material</v>
          </cell>
        </row>
        <row r="1404">
          <cell r="A1404">
            <v>1435</v>
          </cell>
          <cell r="B1404" t="str">
            <v>ja</v>
          </cell>
          <cell r="C1404" t="str">
            <v>ギガ超越の果実</v>
          </cell>
          <cell r="D1404" t="str">
            <v>スキル進化素材</v>
          </cell>
          <cell r="E1404" t="str">
            <v>アリス</v>
          </cell>
          <cell r="F1404" t="str">
            <v>世界観</v>
          </cell>
          <cell r="G1404" t="str">
            <v>不明</v>
          </cell>
          <cell r="H1404" t="str">
            <v>yellow</v>
          </cell>
          <cell r="I1404">
            <v>5</v>
          </cell>
          <cell r="J1404" t="str">
            <v>Material</v>
          </cell>
        </row>
        <row r="1405">
          <cell r="A1405">
            <v>1454</v>
          </cell>
          <cell r="B1405" t="str">
            <v>ja</v>
          </cell>
          <cell r="C1405" t="str">
            <v>ストレングス</v>
          </cell>
          <cell r="D1405" t="str">
            <v>未定</v>
          </cell>
          <cell r="E1405" t="str">
            <v>アリス</v>
          </cell>
          <cell r="F1405" t="str">
            <v>世界観</v>
          </cell>
          <cell r="G1405" t="str">
            <v>不明</v>
          </cell>
          <cell r="H1405" t="str">
            <v>red</v>
          </cell>
          <cell r="I1405">
            <v>5</v>
          </cell>
          <cell r="J1405" t="str">
            <v>PremiumSSS</v>
          </cell>
        </row>
        <row r="1406">
          <cell r="A1406">
            <v>1455</v>
          </cell>
          <cell r="B1406" t="str">
            <v>ja</v>
          </cell>
          <cell r="C1406" t="str">
            <v>豪毅なる征獣師 ストレングス</v>
          </cell>
          <cell r="D1406" t="str">
            <v>未定</v>
          </cell>
          <cell r="E1406" t="str">
            <v>アリス</v>
          </cell>
          <cell r="F1406" t="str">
            <v>世界観</v>
          </cell>
          <cell r="G1406" t="str">
            <v>不明</v>
          </cell>
          <cell r="H1406" t="str">
            <v>red</v>
          </cell>
          <cell r="I1406">
            <v>6</v>
          </cell>
          <cell r="J1406" t="str">
            <v>PremiumSSS</v>
          </cell>
        </row>
        <row r="1407">
          <cell r="A1407">
            <v>1458</v>
          </cell>
          <cell r="B1407" t="str">
            <v>ja</v>
          </cell>
          <cell r="C1407" t="str">
            <v>diamond01</v>
          </cell>
          <cell r="H1407" t="str">
            <v>red</v>
          </cell>
          <cell r="I1407">
            <v>5</v>
          </cell>
          <cell r="J1407" t="str">
            <v>PremiumSS</v>
          </cell>
        </row>
        <row r="1408">
          <cell r="A1408">
            <v>1459</v>
          </cell>
          <cell r="B1408" t="str">
            <v>ja</v>
          </cell>
          <cell r="C1408" t="str">
            <v>diamond02</v>
          </cell>
          <cell r="H1408" t="str">
            <v>red</v>
          </cell>
          <cell r="I1408">
            <v>6</v>
          </cell>
          <cell r="J1408" t="str">
            <v>PremiumSS</v>
          </cell>
        </row>
        <row r="1409">
          <cell r="A1409">
            <v>1460</v>
          </cell>
          <cell r="B1409" t="str">
            <v>ja</v>
          </cell>
          <cell r="C1409" t="str">
            <v>opal01</v>
          </cell>
          <cell r="H1409" t="str">
            <v>blue</v>
          </cell>
          <cell r="I1409">
            <v>4</v>
          </cell>
          <cell r="J1409" t="str">
            <v>PremiumS</v>
          </cell>
        </row>
        <row r="1410">
          <cell r="A1410">
            <v>1461</v>
          </cell>
          <cell r="B1410" t="str">
            <v>ja</v>
          </cell>
          <cell r="C1410" t="str">
            <v>opal02</v>
          </cell>
          <cell r="H1410" t="str">
            <v>blue</v>
          </cell>
          <cell r="I1410">
            <v>5</v>
          </cell>
          <cell r="J1410" t="str">
            <v>PremiumS</v>
          </cell>
        </row>
        <row r="1411">
          <cell r="A1411">
            <v>1462</v>
          </cell>
          <cell r="B1411" t="str">
            <v>ja</v>
          </cell>
          <cell r="C1411" t="str">
            <v>ruby01</v>
          </cell>
          <cell r="H1411" t="str">
            <v>yellow</v>
          </cell>
          <cell r="I1411">
            <v>5</v>
          </cell>
          <cell r="J1411" t="str">
            <v>PremiumSS</v>
          </cell>
        </row>
        <row r="1412">
          <cell r="A1412">
            <v>1463</v>
          </cell>
          <cell r="B1412" t="str">
            <v>ja</v>
          </cell>
          <cell r="C1412" t="str">
            <v>ruby02</v>
          </cell>
          <cell r="H1412" t="str">
            <v>yellow</v>
          </cell>
          <cell r="I1412">
            <v>6</v>
          </cell>
          <cell r="J1412" t="str">
            <v>PremiumSS</v>
          </cell>
        </row>
        <row r="1413">
          <cell r="A1413">
            <v>1464</v>
          </cell>
          <cell r="B1413" t="str">
            <v>ja</v>
          </cell>
          <cell r="C1413" t="str">
            <v>garnet01</v>
          </cell>
          <cell r="H1413" t="str">
            <v>yellow</v>
          </cell>
          <cell r="I1413">
            <v>5</v>
          </cell>
          <cell r="J1413" t="str">
            <v>PremiumSS</v>
          </cell>
        </row>
        <row r="1414">
          <cell r="A1414">
            <v>1465</v>
          </cell>
          <cell r="B1414" t="str">
            <v>ja</v>
          </cell>
          <cell r="C1414" t="str">
            <v>garnet02</v>
          </cell>
          <cell r="H1414" t="str">
            <v>yellow</v>
          </cell>
          <cell r="I1414">
            <v>6</v>
          </cell>
          <cell r="J1414" t="str">
            <v>PremiumSS</v>
          </cell>
        </row>
        <row r="1415">
          <cell r="A1415">
            <v>1466</v>
          </cell>
          <cell r="B1415" t="str">
            <v>ja</v>
          </cell>
          <cell r="C1415" t="str">
            <v>sapphire01</v>
          </cell>
          <cell r="H1415" t="str">
            <v>blue</v>
          </cell>
          <cell r="I1415">
            <v>5</v>
          </cell>
          <cell r="J1415" t="str">
            <v>DropWizS</v>
          </cell>
        </row>
        <row r="1416">
          <cell r="A1416">
            <v>1467</v>
          </cell>
          <cell r="B1416" t="str">
            <v>ja</v>
          </cell>
          <cell r="C1416" t="str">
            <v>sapphire02</v>
          </cell>
          <cell r="H1416" t="str">
            <v>blue</v>
          </cell>
          <cell r="I1416">
            <v>6</v>
          </cell>
          <cell r="J1416" t="str">
            <v>DropWizS</v>
          </cell>
        </row>
        <row r="1417">
          <cell r="A1417">
            <v>1468</v>
          </cell>
          <cell r="B1417" t="str">
            <v>ja</v>
          </cell>
          <cell r="C1417" t="str">
            <v>emerald01</v>
          </cell>
          <cell r="H1417" t="str">
            <v>green</v>
          </cell>
          <cell r="I1417">
            <v>5</v>
          </cell>
          <cell r="J1417" t="str">
            <v>Drop2N</v>
          </cell>
        </row>
        <row r="1418">
          <cell r="A1418">
            <v>1469</v>
          </cell>
          <cell r="B1418" t="str">
            <v>ja</v>
          </cell>
          <cell r="C1418" t="str">
            <v>aquamarine01</v>
          </cell>
          <cell r="H1418" t="str">
            <v>yellow</v>
          </cell>
          <cell r="I1418">
            <v>5</v>
          </cell>
          <cell r="J1418" t="str">
            <v>Drop2N</v>
          </cell>
        </row>
        <row r="1419">
          <cell r="A1419">
            <v>1470</v>
          </cell>
          <cell r="B1419" t="str">
            <v>ja</v>
          </cell>
          <cell r="C1419" t="str">
            <v>amethyst01</v>
          </cell>
          <cell r="H1419" t="str">
            <v>red</v>
          </cell>
          <cell r="I1419">
            <v>5</v>
          </cell>
          <cell r="J1419" t="str">
            <v>Drop2N</v>
          </cell>
        </row>
        <row r="1420">
          <cell r="A1420">
            <v>1488</v>
          </cell>
          <cell r="B1420" t="str">
            <v>ja</v>
          </cell>
          <cell r="C1420" t="str">
            <v>バクR5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green</v>
          </cell>
          <cell r="I1420">
            <v>5</v>
          </cell>
          <cell r="J1420" t="str">
            <v>PremiumSSS</v>
          </cell>
        </row>
        <row r="1421">
          <cell r="A1421">
            <v>1489</v>
          </cell>
          <cell r="B1421" t="str">
            <v>ja</v>
          </cell>
          <cell r="C1421" t="str">
            <v>バクR6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6</v>
          </cell>
          <cell r="J1421" t="str">
            <v>PremiumSSS</v>
          </cell>
        </row>
        <row r="1422">
          <cell r="A1422">
            <v>1504</v>
          </cell>
          <cell r="B1422" t="str">
            <v>ja</v>
          </cell>
          <cell r="C1422" t="str">
            <v>magenta01</v>
          </cell>
          <cell r="H1422" t="str">
            <v>red</v>
          </cell>
          <cell r="I1422">
            <v>1</v>
          </cell>
          <cell r="J1422" t="str">
            <v>Drop1T</v>
          </cell>
        </row>
        <row r="1423">
          <cell r="A1423">
            <v>1505</v>
          </cell>
          <cell r="B1423" t="str">
            <v>ja</v>
          </cell>
          <cell r="C1423" t="str">
            <v>amber01</v>
          </cell>
          <cell r="H1423" t="str">
            <v>green</v>
          </cell>
          <cell r="I1423">
            <v>1</v>
          </cell>
          <cell r="J1423" t="str">
            <v>Drop1T</v>
          </cell>
        </row>
        <row r="1424">
          <cell r="A1424">
            <v>1506</v>
          </cell>
          <cell r="B1424" t="str">
            <v>ja</v>
          </cell>
          <cell r="C1424" t="str">
            <v>pumpkin01</v>
          </cell>
          <cell r="H1424" t="str">
            <v>yellow</v>
          </cell>
          <cell r="I1424">
            <v>2</v>
          </cell>
          <cell r="J1424" t="str">
            <v>Drop1S</v>
          </cell>
        </row>
        <row r="1425">
          <cell r="A1425">
            <v>1507</v>
          </cell>
          <cell r="B1425" t="str">
            <v>ja</v>
          </cell>
          <cell r="C1425" t="str">
            <v>rose01</v>
          </cell>
          <cell r="H1425" t="str">
            <v>blue</v>
          </cell>
          <cell r="I1425">
            <v>3</v>
          </cell>
          <cell r="J1425" t="str">
            <v>Drop2N</v>
          </cell>
        </row>
        <row r="1426">
          <cell r="A1426">
            <v>1508</v>
          </cell>
          <cell r="B1426" t="str">
            <v>ja</v>
          </cell>
          <cell r="C1426" t="str">
            <v>burgundy01</v>
          </cell>
          <cell r="H1426" t="str">
            <v>red</v>
          </cell>
          <cell r="I1426">
            <v>4</v>
          </cell>
          <cell r="J1426" t="str">
            <v>Drop2N</v>
          </cell>
        </row>
        <row r="1427">
          <cell r="A1427">
            <v>1509</v>
          </cell>
          <cell r="B1427" t="str">
            <v>ja</v>
          </cell>
          <cell r="C1427" t="str">
            <v>cyan01</v>
          </cell>
          <cell r="H1427" t="str">
            <v>green</v>
          </cell>
          <cell r="I1427">
            <v>5</v>
          </cell>
          <cell r="J1427" t="str">
            <v>Drop2N</v>
          </cell>
        </row>
        <row r="1428">
          <cell r="A1428">
            <v>1510</v>
          </cell>
          <cell r="B1428" t="str">
            <v>ja</v>
          </cell>
          <cell r="C1428" t="str">
            <v>scarlet01</v>
          </cell>
          <cell r="H1428" t="str">
            <v>yellow</v>
          </cell>
          <cell r="I1428">
            <v>4</v>
          </cell>
          <cell r="J1428" t="str">
            <v>DropWizS</v>
          </cell>
        </row>
        <row r="1429">
          <cell r="A1429">
            <v>1511</v>
          </cell>
          <cell r="B1429" t="str">
            <v>ja</v>
          </cell>
          <cell r="C1429" t="str">
            <v>scarlet02</v>
          </cell>
          <cell r="H1429" t="str">
            <v>yellow</v>
          </cell>
          <cell r="I1429">
            <v>5</v>
          </cell>
          <cell r="J1429" t="str">
            <v>DropWizS</v>
          </cell>
        </row>
        <row r="1430">
          <cell r="A1430">
            <v>1512</v>
          </cell>
          <cell r="B1430" t="str">
            <v>ja</v>
          </cell>
          <cell r="C1430" t="str">
            <v>scarlet03</v>
          </cell>
          <cell r="H1430" t="str">
            <v>yellow</v>
          </cell>
          <cell r="I1430">
            <v>6</v>
          </cell>
          <cell r="J1430" t="str">
            <v>DropWizS</v>
          </cell>
        </row>
        <row r="1431">
          <cell r="A1431">
            <v>1513</v>
          </cell>
          <cell r="B1431" t="str">
            <v>ja</v>
          </cell>
          <cell r="C1431" t="str">
            <v>gold01</v>
          </cell>
          <cell r="H1431" t="str">
            <v>yellow</v>
          </cell>
          <cell r="I1431">
            <v>4</v>
          </cell>
          <cell r="J1431" t="str">
            <v>Material</v>
          </cell>
        </row>
        <row r="1432">
          <cell r="A1432">
            <v>1514</v>
          </cell>
          <cell r="B1432" t="str">
            <v>ja</v>
          </cell>
          <cell r="C1432" t="str">
            <v>gold02</v>
          </cell>
          <cell r="H1432" t="str">
            <v>yellow</v>
          </cell>
          <cell r="I1432">
            <v>5</v>
          </cell>
          <cell r="J1432" t="str">
            <v>Material</v>
          </cell>
        </row>
        <row r="1433">
          <cell r="A1433">
            <v>1515</v>
          </cell>
          <cell r="B1433" t="str">
            <v>ja</v>
          </cell>
          <cell r="C1433" t="str">
            <v>red01</v>
          </cell>
          <cell r="H1433" t="str">
            <v>red</v>
          </cell>
          <cell r="I1433">
            <v>4</v>
          </cell>
          <cell r="J1433" t="str">
            <v>Material</v>
          </cell>
        </row>
        <row r="1434">
          <cell r="A1434">
            <v>1516</v>
          </cell>
          <cell r="B1434" t="str">
            <v>ja</v>
          </cell>
          <cell r="C1434" t="str">
            <v>red02</v>
          </cell>
          <cell r="H1434" t="str">
            <v>red</v>
          </cell>
          <cell r="I1434">
            <v>5</v>
          </cell>
          <cell r="J1434" t="str">
            <v>Material</v>
          </cell>
        </row>
        <row r="1435">
          <cell r="A1435">
            <v>1517</v>
          </cell>
          <cell r="B1435" t="str">
            <v>ja</v>
          </cell>
          <cell r="C1435" t="str">
            <v>blue01</v>
          </cell>
          <cell r="H1435" t="str">
            <v>blue</v>
          </cell>
          <cell r="I1435">
            <v>4</v>
          </cell>
          <cell r="J1435" t="str">
            <v>Material</v>
          </cell>
        </row>
        <row r="1436">
          <cell r="A1436">
            <v>1518</v>
          </cell>
          <cell r="B1436" t="str">
            <v>ja</v>
          </cell>
          <cell r="C1436" t="str">
            <v>blue02</v>
          </cell>
          <cell r="H1436" t="str">
            <v>blue</v>
          </cell>
          <cell r="I1436">
            <v>5</v>
          </cell>
          <cell r="J1436" t="str">
            <v>Material</v>
          </cell>
        </row>
        <row r="1437">
          <cell r="A1437">
            <v>1519</v>
          </cell>
          <cell r="B1437" t="str">
            <v>ja</v>
          </cell>
          <cell r="C1437" t="str">
            <v>green01</v>
          </cell>
          <cell r="H1437" t="str">
            <v>green</v>
          </cell>
          <cell r="I1437">
            <v>4</v>
          </cell>
          <cell r="J1437" t="str">
            <v>Material</v>
          </cell>
        </row>
        <row r="1438">
          <cell r="A1438">
            <v>1520</v>
          </cell>
          <cell r="B1438" t="str">
            <v>ja</v>
          </cell>
          <cell r="C1438" t="str">
            <v>green02</v>
          </cell>
          <cell r="H1438" t="str">
            <v>green</v>
          </cell>
          <cell r="I1438">
            <v>5</v>
          </cell>
          <cell r="J1438" t="str">
            <v>Material</v>
          </cell>
        </row>
        <row r="1439">
          <cell r="A1439">
            <v>1521</v>
          </cell>
          <cell r="B1439" t="str">
            <v>ja</v>
          </cell>
          <cell r="C1439" t="str">
            <v>yellow01</v>
          </cell>
          <cell r="H1439" t="str">
            <v>yellow</v>
          </cell>
          <cell r="I1439">
            <v>4</v>
          </cell>
          <cell r="J1439" t="str">
            <v>Material</v>
          </cell>
        </row>
        <row r="1440">
          <cell r="A1440">
            <v>1522</v>
          </cell>
          <cell r="B1440" t="str">
            <v>ja</v>
          </cell>
          <cell r="C1440" t="str">
            <v>yellow02</v>
          </cell>
          <cell r="H1440" t="str">
            <v>yellow</v>
          </cell>
          <cell r="I1440">
            <v>5</v>
          </cell>
          <cell r="J1440" t="str">
            <v>Material</v>
          </cell>
        </row>
        <row r="1441">
          <cell r="A1441">
            <v>1523</v>
          </cell>
          <cell r="B1441" t="str">
            <v>ja</v>
          </cell>
          <cell r="C1441" t="str">
            <v>olive01</v>
          </cell>
          <cell r="H1441" t="str">
            <v>blue</v>
          </cell>
          <cell r="I1441">
            <v>5</v>
          </cell>
          <cell r="J1441" t="str">
            <v>DropWizS</v>
          </cell>
        </row>
        <row r="1442">
          <cell r="A1442">
            <v>1524</v>
          </cell>
          <cell r="B1442" t="str">
            <v>ja</v>
          </cell>
          <cell r="C1442" t="str">
            <v>olive02</v>
          </cell>
          <cell r="H1442" t="str">
            <v>blue</v>
          </cell>
          <cell r="I1442">
            <v>6</v>
          </cell>
          <cell r="J1442" t="str">
            <v>DropWizS</v>
          </cell>
        </row>
        <row r="1443">
          <cell r="A1443">
            <v>1525</v>
          </cell>
          <cell r="B1443" t="str">
            <v>ja</v>
          </cell>
          <cell r="C1443" t="str">
            <v>white01</v>
          </cell>
          <cell r="H1443" t="str">
            <v>red</v>
          </cell>
          <cell r="I1443">
            <v>5</v>
          </cell>
          <cell r="J1443" t="str">
            <v>DropWizSS</v>
          </cell>
        </row>
        <row r="1444">
          <cell r="A1444">
            <v>1526</v>
          </cell>
          <cell r="B1444" t="str">
            <v>ja</v>
          </cell>
          <cell r="C1444" t="str">
            <v>white02</v>
          </cell>
          <cell r="H1444" t="str">
            <v>red</v>
          </cell>
          <cell r="I1444">
            <v>6</v>
          </cell>
          <cell r="J1444" t="str">
            <v>DropWizSS</v>
          </cell>
        </row>
        <row r="1445">
          <cell r="A1445">
            <v>1527</v>
          </cell>
          <cell r="B1445" t="str">
            <v>ja</v>
          </cell>
          <cell r="C1445" t="str">
            <v>violet01</v>
          </cell>
          <cell r="H1445" t="str">
            <v>red</v>
          </cell>
          <cell r="I1445">
            <v>4</v>
          </cell>
          <cell r="J1445" t="str">
            <v>PremiumS</v>
          </cell>
        </row>
        <row r="1446">
          <cell r="A1446">
            <v>1528</v>
          </cell>
          <cell r="B1446" t="str">
            <v>ja</v>
          </cell>
          <cell r="C1446" t="str">
            <v>violet02</v>
          </cell>
          <cell r="H1446" t="str">
            <v>red</v>
          </cell>
          <cell r="I1446">
            <v>5</v>
          </cell>
          <cell r="J1446" t="str">
            <v>PremiumS</v>
          </cell>
        </row>
        <row r="1447">
          <cell r="A1447">
            <v>1529</v>
          </cell>
          <cell r="B1447" t="str">
            <v>ja</v>
          </cell>
          <cell r="C1447" t="str">
            <v>mint01</v>
          </cell>
          <cell r="H1447" t="str">
            <v>blue</v>
          </cell>
          <cell r="I1447">
            <v>4</v>
          </cell>
          <cell r="J1447" t="str">
            <v>PremiumS</v>
          </cell>
        </row>
        <row r="1448">
          <cell r="A1448">
            <v>1530</v>
          </cell>
          <cell r="B1448" t="str">
            <v>ja</v>
          </cell>
          <cell r="C1448" t="str">
            <v>mint02</v>
          </cell>
          <cell r="H1448" t="str">
            <v>blue</v>
          </cell>
          <cell r="I1448">
            <v>5</v>
          </cell>
          <cell r="J1448" t="str">
            <v>PremiumS</v>
          </cell>
        </row>
        <row r="1449">
          <cell r="A1449">
            <v>1531</v>
          </cell>
          <cell r="B1449" t="str">
            <v>ja</v>
          </cell>
          <cell r="C1449" t="str">
            <v>gray01</v>
          </cell>
          <cell r="H1449" t="str">
            <v>green</v>
          </cell>
          <cell r="I1449">
            <v>4</v>
          </cell>
          <cell r="J1449" t="str">
            <v>PremiumS</v>
          </cell>
        </row>
        <row r="1450">
          <cell r="A1450">
            <v>1532</v>
          </cell>
          <cell r="B1450" t="str">
            <v>ja</v>
          </cell>
          <cell r="C1450" t="str">
            <v>gray02</v>
          </cell>
          <cell r="H1450" t="str">
            <v>green</v>
          </cell>
          <cell r="I1450">
            <v>5</v>
          </cell>
          <cell r="J1450" t="str">
            <v>PremiumS</v>
          </cell>
        </row>
        <row r="1451">
          <cell r="A1451">
            <v>1533</v>
          </cell>
          <cell r="B1451" t="str">
            <v>ja</v>
          </cell>
          <cell r="C1451" t="str">
            <v>maroon01</v>
          </cell>
          <cell r="H1451" t="str">
            <v>yellow</v>
          </cell>
          <cell r="I1451">
            <v>4</v>
          </cell>
          <cell r="J1451" t="str">
            <v>PremiumS</v>
          </cell>
        </row>
        <row r="1452">
          <cell r="A1452">
            <v>1534</v>
          </cell>
          <cell r="B1452" t="str">
            <v>ja</v>
          </cell>
          <cell r="C1452" t="str">
            <v>maroon02</v>
          </cell>
          <cell r="H1452" t="str">
            <v>yellow</v>
          </cell>
          <cell r="I1452">
            <v>5</v>
          </cell>
          <cell r="J1452" t="str">
            <v>PremiumS</v>
          </cell>
        </row>
        <row r="1453">
          <cell r="A1453">
            <v>1535</v>
          </cell>
          <cell r="B1453" t="str">
            <v>ja</v>
          </cell>
          <cell r="C1453" t="str">
            <v>pink01</v>
          </cell>
          <cell r="H1453" t="str">
            <v>red</v>
          </cell>
          <cell r="I1453">
            <v>5</v>
          </cell>
          <cell r="J1453" t="str">
            <v>PremiumSS</v>
          </cell>
        </row>
        <row r="1454">
          <cell r="A1454">
            <v>1536</v>
          </cell>
          <cell r="B1454" t="str">
            <v>ja</v>
          </cell>
          <cell r="C1454" t="str">
            <v>pink02</v>
          </cell>
          <cell r="H1454" t="str">
            <v>red</v>
          </cell>
          <cell r="I1454">
            <v>6</v>
          </cell>
          <cell r="J1454" t="str">
            <v>PremiumSS</v>
          </cell>
        </row>
        <row r="1455">
          <cell r="A1455">
            <v>1537</v>
          </cell>
          <cell r="B1455" t="str">
            <v>ja</v>
          </cell>
          <cell r="C1455" t="str">
            <v>black01</v>
          </cell>
          <cell r="H1455" t="str">
            <v>blue</v>
          </cell>
          <cell r="I1455">
            <v>5</v>
          </cell>
          <cell r="J1455" t="str">
            <v>PremiumSSS</v>
          </cell>
        </row>
        <row r="1456">
          <cell r="A1456">
            <v>1538</v>
          </cell>
          <cell r="B1456" t="str">
            <v>ja</v>
          </cell>
          <cell r="C1456" t="str">
            <v>black02</v>
          </cell>
          <cell r="H1456" t="str">
            <v>blue</v>
          </cell>
          <cell r="I1456">
            <v>6</v>
          </cell>
          <cell r="J1456" t="str">
            <v>PremiumSSS</v>
          </cell>
        </row>
        <row r="1457">
          <cell r="A1457">
            <v>1539</v>
          </cell>
          <cell r="B1457" t="str">
            <v>ja</v>
          </cell>
          <cell r="C1457" t="str">
            <v>brown01</v>
          </cell>
          <cell r="H1457" t="str">
            <v>yellow</v>
          </cell>
          <cell r="I1457">
            <v>5</v>
          </cell>
          <cell r="J1457" t="str">
            <v>PremiumSS</v>
          </cell>
        </row>
        <row r="1458">
          <cell r="A1458">
            <v>1540</v>
          </cell>
          <cell r="B1458" t="str">
            <v>ja</v>
          </cell>
          <cell r="C1458" t="str">
            <v>brown02</v>
          </cell>
          <cell r="H1458" t="str">
            <v>yellow</v>
          </cell>
          <cell r="I1458">
            <v>6</v>
          </cell>
          <cell r="J1458" t="str">
            <v>PremiumSS</v>
          </cell>
        </row>
        <row r="1459">
          <cell r="A1459">
            <v>1541</v>
          </cell>
          <cell r="B1459" t="str">
            <v>ja</v>
          </cell>
          <cell r="C1459" t="str">
            <v>purple01</v>
          </cell>
          <cell r="H1459" t="str">
            <v>red</v>
          </cell>
          <cell r="I1459">
            <v>5</v>
          </cell>
          <cell r="J1459" t="str">
            <v>PremiumSSS</v>
          </cell>
        </row>
        <row r="1460">
          <cell r="A1460">
            <v>1542</v>
          </cell>
          <cell r="B1460" t="str">
            <v>ja</v>
          </cell>
          <cell r="C1460" t="str">
            <v>purple02</v>
          </cell>
          <cell r="H1460" t="str">
            <v>red</v>
          </cell>
          <cell r="I1460">
            <v>6</v>
          </cell>
          <cell r="J1460" t="str">
            <v>PremiumSSS</v>
          </cell>
        </row>
        <row r="1461">
          <cell r="A1461">
            <v>1543</v>
          </cell>
          <cell r="B1461" t="str">
            <v>ja</v>
          </cell>
          <cell r="C1461" t="str">
            <v>vanilla01</v>
          </cell>
          <cell r="H1461" t="str">
            <v>red</v>
          </cell>
          <cell r="I1461">
            <v>5</v>
          </cell>
          <cell r="J1461" t="str">
            <v>PremiumSS</v>
          </cell>
        </row>
        <row r="1462">
          <cell r="A1462">
            <v>1544</v>
          </cell>
          <cell r="B1462" t="str">
            <v>ja</v>
          </cell>
          <cell r="C1462" t="str">
            <v>vanilla02</v>
          </cell>
          <cell r="H1462" t="str">
            <v>red</v>
          </cell>
          <cell r="I1462">
            <v>6</v>
          </cell>
          <cell r="J1462" t="str">
            <v>PremiumSS</v>
          </cell>
        </row>
        <row r="1463">
          <cell r="A1463">
            <v>1545</v>
          </cell>
          <cell r="B1463" t="str">
            <v>ja</v>
          </cell>
          <cell r="C1463" t="str">
            <v>silver01</v>
          </cell>
          <cell r="H1463" t="str">
            <v>green</v>
          </cell>
          <cell r="I1463">
            <v>5</v>
          </cell>
          <cell r="J1463" t="str">
            <v>PremiumSS</v>
          </cell>
        </row>
        <row r="1464">
          <cell r="A1464">
            <v>1546</v>
          </cell>
          <cell r="B1464" t="str">
            <v>ja</v>
          </cell>
          <cell r="C1464" t="str">
            <v>silver02</v>
          </cell>
          <cell r="H1464" t="str">
            <v>green</v>
          </cell>
          <cell r="I1464">
            <v>6</v>
          </cell>
          <cell r="J1464" t="str">
            <v>PremiumSS</v>
          </cell>
        </row>
        <row r="1465">
          <cell r="A1465">
            <v>1547</v>
          </cell>
          <cell r="B1465" t="str">
            <v>ja</v>
          </cell>
          <cell r="C1465" t="str">
            <v>mauve01</v>
          </cell>
          <cell r="H1465" t="str">
            <v>green</v>
          </cell>
          <cell r="I1465">
            <v>4</v>
          </cell>
          <cell r="J1465" t="str">
            <v>Drop2N</v>
          </cell>
        </row>
        <row r="1466">
          <cell r="A1466">
            <v>1548</v>
          </cell>
          <cell r="B1466" t="str">
            <v>ja</v>
          </cell>
          <cell r="C1466" t="str">
            <v>mauve02</v>
          </cell>
          <cell r="H1466" t="str">
            <v>green</v>
          </cell>
          <cell r="I1466">
            <v>5</v>
          </cell>
          <cell r="J1466" t="str">
            <v>Drop2N</v>
          </cell>
        </row>
        <row r="1467">
          <cell r="A1467">
            <v>1549</v>
          </cell>
          <cell r="B1467" t="str">
            <v>ja</v>
          </cell>
          <cell r="C1467" t="str">
            <v>ochre01</v>
          </cell>
          <cell r="H1467" t="str">
            <v>green</v>
          </cell>
          <cell r="I1467">
            <v>5</v>
          </cell>
          <cell r="J1467" t="str">
            <v>DropWizS</v>
          </cell>
        </row>
        <row r="1468">
          <cell r="A1468">
            <v>1550</v>
          </cell>
          <cell r="B1468" t="str">
            <v>ja</v>
          </cell>
          <cell r="C1468" t="str">
            <v>ochre02</v>
          </cell>
          <cell r="H1468" t="str">
            <v>green</v>
          </cell>
          <cell r="I1468">
            <v>6</v>
          </cell>
          <cell r="J1468" t="str">
            <v>DropWizS</v>
          </cell>
        </row>
        <row r="1469">
          <cell r="A1469">
            <v>5001</v>
          </cell>
          <cell r="B1469" t="str">
            <v>ja</v>
          </cell>
          <cell r="C1469" t="str">
            <v>ガルーダ</v>
          </cell>
          <cell r="D1469" t="str">
            <v>ノーマルクエスト</v>
          </cell>
          <cell r="E1469" t="str">
            <v>QoH</v>
          </cell>
          <cell r="F1469" t="str">
            <v>世界観</v>
          </cell>
          <cell r="G1469" t="str">
            <v>不明</v>
          </cell>
          <cell r="H1469" t="str">
            <v>red</v>
          </cell>
          <cell r="I1469">
            <v>5</v>
          </cell>
          <cell r="J1469" t="str">
            <v>PremiumSSw</v>
          </cell>
        </row>
        <row r="1470">
          <cell r="A1470">
            <v>5002</v>
          </cell>
          <cell r="B1470" t="str">
            <v>ja</v>
          </cell>
          <cell r="C1470" t="str">
            <v>ガルーダ★６</v>
          </cell>
          <cell r="D1470" t="str">
            <v>ノーマルクエスト</v>
          </cell>
          <cell r="E1470" t="str">
            <v>アバター</v>
          </cell>
          <cell r="F1470" t="str">
            <v>世界観</v>
          </cell>
          <cell r="G1470" t="str">
            <v>男性</v>
          </cell>
          <cell r="H1470" t="str">
            <v>red</v>
          </cell>
          <cell r="I1470">
            <v>6</v>
          </cell>
          <cell r="J1470" t="str">
            <v>PremiumSSw</v>
          </cell>
        </row>
        <row r="1471">
          <cell r="A1471">
            <v>5003</v>
          </cell>
          <cell r="B1471" t="str">
            <v>ja</v>
          </cell>
          <cell r="C1471" t="str">
            <v>ナーガ</v>
          </cell>
          <cell r="D1471" t="str">
            <v>リンクガチャ:4神</v>
          </cell>
          <cell r="E1471" t="str">
            <v>守護神</v>
          </cell>
          <cell r="F1471" t="str">
            <v>格好いい</v>
          </cell>
          <cell r="G1471" t="str">
            <v>不明</v>
          </cell>
          <cell r="H1471" t="str">
            <v>green</v>
          </cell>
          <cell r="I1471">
            <v>5</v>
          </cell>
          <cell r="J1471" t="str">
            <v>DropWizS</v>
          </cell>
        </row>
        <row r="1472">
          <cell r="A1472">
            <v>5004</v>
          </cell>
          <cell r="B1472" t="str">
            <v>ja</v>
          </cell>
          <cell r="C1472" t="str">
            <v>ナーガ★６</v>
          </cell>
          <cell r="D1472" t="str">
            <v>ノーマルクエスト</v>
          </cell>
          <cell r="E1472" t="str">
            <v>アバター</v>
          </cell>
          <cell r="F1472" t="str">
            <v>世界観</v>
          </cell>
          <cell r="G1472" t="str">
            <v>不明</v>
          </cell>
          <cell r="H1472" t="str">
            <v>green</v>
          </cell>
          <cell r="I1472">
            <v>6</v>
          </cell>
          <cell r="J1472" t="str">
            <v>DropWizS</v>
          </cell>
        </row>
        <row r="1473">
          <cell r="A1473">
            <v>5005</v>
          </cell>
          <cell r="B1473" t="str">
            <v>ja</v>
          </cell>
          <cell r="C1473" t="str">
            <v>カーミラ</v>
          </cell>
          <cell r="D1473" t="str">
            <v>ノーマルクエスト</v>
          </cell>
          <cell r="E1473" t="str">
            <v>QoH</v>
          </cell>
          <cell r="F1473" t="str">
            <v>世界観</v>
          </cell>
          <cell r="G1473" t="str">
            <v>不明</v>
          </cell>
          <cell r="H1473" t="str">
            <v>green</v>
          </cell>
          <cell r="I1473">
            <v>5</v>
          </cell>
          <cell r="J1473" t="str">
            <v>PremiumSSw</v>
          </cell>
        </row>
        <row r="1474">
          <cell r="A1474">
            <v>5006</v>
          </cell>
          <cell r="B1474" t="str">
            <v>ja</v>
          </cell>
          <cell r="C1474" t="str">
            <v>カーミラ★６</v>
          </cell>
          <cell r="D1474" t="str">
            <v>ノーマルクエスト</v>
          </cell>
          <cell r="E1474" t="str">
            <v>アバター</v>
          </cell>
          <cell r="F1474" t="str">
            <v>世界観</v>
          </cell>
          <cell r="G1474" t="str">
            <v>男性</v>
          </cell>
          <cell r="H1474" t="str">
            <v>green</v>
          </cell>
          <cell r="I1474">
            <v>6</v>
          </cell>
          <cell r="J1474" t="str">
            <v>PremiumSSw</v>
          </cell>
        </row>
        <row r="1475">
          <cell r="A1475">
            <v>5007</v>
          </cell>
          <cell r="B1475" t="str">
            <v>ja</v>
          </cell>
          <cell r="C1475" t="str">
            <v>ヘルシング</v>
          </cell>
          <cell r="D1475" t="str">
            <v>リンクガチャ:4神</v>
          </cell>
          <cell r="E1475" t="str">
            <v>守護神</v>
          </cell>
          <cell r="F1475" t="str">
            <v>格好いい</v>
          </cell>
          <cell r="G1475" t="str">
            <v>不明</v>
          </cell>
          <cell r="H1475" t="str">
            <v>yellow</v>
          </cell>
          <cell r="I1475">
            <v>5</v>
          </cell>
          <cell r="J1475" t="str">
            <v>DropWizS</v>
          </cell>
        </row>
        <row r="1476">
          <cell r="A1476">
            <v>5008</v>
          </cell>
          <cell r="B1476" t="str">
            <v>ja</v>
          </cell>
          <cell r="C1476" t="str">
            <v>ヘルシング★６</v>
          </cell>
          <cell r="D1476" t="str">
            <v>ノーマルクエスト</v>
          </cell>
          <cell r="E1476" t="str">
            <v>アバター</v>
          </cell>
          <cell r="F1476" t="str">
            <v>世界観</v>
          </cell>
          <cell r="G1476" t="str">
            <v>不明</v>
          </cell>
          <cell r="H1476" t="str">
            <v>yellow</v>
          </cell>
          <cell r="I1476">
            <v>6</v>
          </cell>
          <cell r="J1476" t="str">
            <v>DropWizS</v>
          </cell>
        </row>
        <row r="1477">
          <cell r="A1477">
            <v>6001</v>
          </cell>
          <cell r="B1477" t="str">
            <v>ja</v>
          </cell>
          <cell r="C1477" t="str">
            <v>ジェリー</v>
          </cell>
          <cell r="D1477" t="str">
            <v>ノーマルクエスト</v>
          </cell>
          <cell r="E1477" t="str">
            <v>QoH</v>
          </cell>
          <cell r="F1477" t="str">
            <v>世界観</v>
          </cell>
          <cell r="G1477" t="str">
            <v>不明</v>
          </cell>
          <cell r="H1477" t="str">
            <v>red</v>
          </cell>
          <cell r="I1477">
            <v>1</v>
          </cell>
          <cell r="J1477" t="str">
            <v>Drop1T</v>
          </cell>
        </row>
        <row r="1478">
          <cell r="A1478">
            <v>6002</v>
          </cell>
          <cell r="B1478" t="str">
            <v>ja</v>
          </cell>
          <cell r="C1478" t="str">
            <v>ヨシタカ</v>
          </cell>
          <cell r="D1478" t="str">
            <v>ノーマルクエスト</v>
          </cell>
          <cell r="E1478" t="str">
            <v>アバター</v>
          </cell>
          <cell r="F1478" t="str">
            <v>世界観</v>
          </cell>
          <cell r="G1478" t="str">
            <v>男性</v>
          </cell>
          <cell r="H1478" t="str">
            <v>red</v>
          </cell>
          <cell r="I1478">
            <v>2</v>
          </cell>
          <cell r="J1478" t="str">
            <v>Drop1N</v>
          </cell>
        </row>
        <row r="1479">
          <cell r="A1479">
            <v>6003</v>
          </cell>
          <cell r="B1479" t="str">
            <v>ja</v>
          </cell>
          <cell r="C1479" t="str">
            <v>朱雀</v>
          </cell>
          <cell r="D1479" t="str">
            <v>リンクガチャ:4神</v>
          </cell>
          <cell r="E1479" t="str">
            <v>守護神</v>
          </cell>
          <cell r="F1479" t="str">
            <v>格好いい</v>
          </cell>
          <cell r="G1479" t="str">
            <v>不明</v>
          </cell>
          <cell r="H1479" t="str">
            <v>red</v>
          </cell>
          <cell r="I1479">
            <v>3</v>
          </cell>
          <cell r="J1479" t="str">
            <v>Drop2N</v>
          </cell>
        </row>
        <row r="1480">
          <cell r="A1480">
            <v>6004</v>
          </cell>
          <cell r="B1480" t="str">
            <v>ja</v>
          </cell>
          <cell r="C1480" t="str">
            <v>ブレット</v>
          </cell>
          <cell r="D1480" t="str">
            <v>ノーマルクエスト</v>
          </cell>
          <cell r="E1480" t="str">
            <v>アバター</v>
          </cell>
          <cell r="F1480" t="str">
            <v>世界観</v>
          </cell>
          <cell r="G1480" t="str">
            <v>不明</v>
          </cell>
          <cell r="H1480" t="str">
            <v>red</v>
          </cell>
          <cell r="I1480">
            <v>1</v>
          </cell>
          <cell r="J1480" t="str">
            <v>Drop1W</v>
          </cell>
        </row>
        <row r="1481">
          <cell r="A1481">
            <v>6005</v>
          </cell>
          <cell r="B1481" t="str">
            <v>ja</v>
          </cell>
          <cell r="C1481" t="str">
            <v>孤神 テティス</v>
          </cell>
          <cell r="D1481" t="str">
            <v>初期ガチャ</v>
          </cell>
          <cell r="E1481" t="str">
            <v>管理者</v>
          </cell>
          <cell r="F1481" t="str">
            <v>美しい</v>
          </cell>
          <cell r="G1481" t="str">
            <v>女性</v>
          </cell>
          <cell r="H1481" t="str">
            <v>blue</v>
          </cell>
          <cell r="I1481">
            <v>4</v>
          </cell>
          <cell r="J1481" t="str">
            <v>PremiumN</v>
          </cell>
        </row>
        <row r="1482">
          <cell r="A1482">
            <v>6006</v>
          </cell>
          <cell r="B1482" t="str">
            <v>ja</v>
          </cell>
          <cell r="C1482" t="str">
            <v>海底の孤高神 テティス</v>
          </cell>
          <cell r="D1482" t="str">
            <v>初期ガチャ</v>
          </cell>
          <cell r="E1482" t="str">
            <v>管理者</v>
          </cell>
          <cell r="F1482" t="str">
            <v>美しい</v>
          </cell>
          <cell r="G1482" t="str">
            <v>女性</v>
          </cell>
          <cell r="H1482" t="str">
            <v>blue</v>
          </cell>
          <cell r="I1482">
            <v>5</v>
          </cell>
          <cell r="J1482" t="str">
            <v>PremiumN</v>
          </cell>
        </row>
        <row r="1483">
          <cell r="A1483">
            <v>6007</v>
          </cell>
          <cell r="B1483" t="str">
            <v>ja</v>
          </cell>
          <cell r="C1483" t="str">
            <v>番犬 ケルベロス</v>
          </cell>
          <cell r="D1483" t="str">
            <v>初期ガチャ</v>
          </cell>
          <cell r="E1483" t="str">
            <v>破界者</v>
          </cell>
          <cell r="F1483" t="str">
            <v>可愛い</v>
          </cell>
          <cell r="G1483" t="str">
            <v>女性</v>
          </cell>
          <cell r="H1483" t="str">
            <v>red</v>
          </cell>
          <cell r="I1483">
            <v>4</v>
          </cell>
          <cell r="J1483" t="str">
            <v>PremiumN</v>
          </cell>
        </row>
        <row r="1484">
          <cell r="A1484">
            <v>6008</v>
          </cell>
          <cell r="B1484" t="str">
            <v>ja</v>
          </cell>
          <cell r="C1484" t="str">
            <v>焔神 プロメテウス</v>
          </cell>
          <cell r="D1484" t="str">
            <v>初期ガチャ</v>
          </cell>
          <cell r="E1484" t="str">
            <v>管理者</v>
          </cell>
          <cell r="F1484" t="str">
            <v>格好いい</v>
          </cell>
          <cell r="G1484" t="str">
            <v>男性</v>
          </cell>
          <cell r="H1484" t="str">
            <v>red</v>
          </cell>
          <cell r="I1484">
            <v>4</v>
          </cell>
          <cell r="J1484" t="str">
            <v>PremiumN</v>
          </cell>
        </row>
        <row r="1485">
          <cell r="A1485">
            <v>6009</v>
          </cell>
          <cell r="B1485" t="str">
            <v>ja</v>
          </cell>
          <cell r="C1485" t="str">
            <v>超越自我 ラグランジュ</v>
          </cell>
          <cell r="D1485" t="str">
            <v>ガチャ:フィーバーフェス02</v>
          </cell>
          <cell r="E1485" t="str">
            <v>執行者</v>
          </cell>
          <cell r="F1485" t="str">
            <v>格好いい</v>
          </cell>
          <cell r="G1485" t="str">
            <v>女性</v>
          </cell>
          <cell r="H1485" t="str">
            <v>red</v>
          </cell>
          <cell r="I1485">
            <v>5</v>
          </cell>
          <cell r="J1485" t="str">
            <v>PremiumSSS</v>
          </cell>
        </row>
        <row r="1486">
          <cell r="A1486">
            <v>6010</v>
          </cell>
          <cell r="B1486" t="str">
            <v>ja</v>
          </cell>
          <cell r="C1486" t="str">
            <v>超越凌駕 ラグランジュ</v>
          </cell>
          <cell r="D1486" t="str">
            <v>ガチャ:フィーバーフェス02</v>
          </cell>
          <cell r="E1486" t="str">
            <v>執行者</v>
          </cell>
          <cell r="F1486" t="str">
            <v>格好いい</v>
          </cell>
          <cell r="G1486" t="str">
            <v>女性</v>
          </cell>
          <cell r="H1486" t="str">
            <v>red</v>
          </cell>
          <cell r="I1486">
            <v>6</v>
          </cell>
          <cell r="J1486" t="str">
            <v>PremiumSSS</v>
          </cell>
        </row>
        <row r="1487">
          <cell r="A1487">
            <v>6011</v>
          </cell>
          <cell r="B1487" t="str">
            <v>ja</v>
          </cell>
          <cell r="C1487" t="str">
            <v>パトドッグリーダー ポチ</v>
          </cell>
          <cell r="D1487" t="str">
            <v>ガチャ:フィーバーフェス02</v>
          </cell>
          <cell r="E1487" t="str">
            <v>執行者</v>
          </cell>
          <cell r="F1487" t="str">
            <v>格好いい</v>
          </cell>
          <cell r="G1487" t="str">
            <v>男性</v>
          </cell>
          <cell r="H1487" t="str">
            <v>blue</v>
          </cell>
          <cell r="I1487">
            <v>2</v>
          </cell>
          <cell r="J1487" t="str">
            <v>Drop1T</v>
          </cell>
        </row>
        <row r="1488">
          <cell r="A1488">
            <v>6012</v>
          </cell>
          <cell r="B1488" t="str">
            <v>ja</v>
          </cell>
          <cell r="C1488" t="str">
            <v>ミミ</v>
          </cell>
          <cell r="D1488" t="str">
            <v>ガチャ:フィーバーフェス02</v>
          </cell>
          <cell r="E1488" t="str">
            <v>執行者</v>
          </cell>
          <cell r="F1488" t="str">
            <v>格好いい</v>
          </cell>
          <cell r="G1488" t="str">
            <v>男性</v>
          </cell>
          <cell r="H1488" t="str">
            <v>yellow</v>
          </cell>
          <cell r="I1488">
            <v>1</v>
          </cell>
          <cell r="J1488" t="str">
            <v>Drop1W</v>
          </cell>
        </row>
        <row r="1489">
          <cell r="A1489">
            <v>6013</v>
          </cell>
          <cell r="B1489" t="str">
            <v>ja</v>
          </cell>
          <cell r="C1489" t="str">
            <v>護衛機人 スケアクロウ</v>
          </cell>
          <cell r="D1489" t="str">
            <v>ガチャ:フィーバーフェス02</v>
          </cell>
          <cell r="E1489" t="str">
            <v>執行者</v>
          </cell>
          <cell r="F1489" t="str">
            <v>格好いい</v>
          </cell>
          <cell r="G1489" t="str">
            <v>男性</v>
          </cell>
          <cell r="H1489" t="str">
            <v>blue</v>
          </cell>
          <cell r="I1489">
            <v>2</v>
          </cell>
          <cell r="J1489" t="str">
            <v>Drop1N</v>
          </cell>
        </row>
        <row r="1490">
          <cell r="A1490">
            <v>6014</v>
          </cell>
          <cell r="B1490" t="str">
            <v>ja</v>
          </cell>
          <cell r="C1490" t="str">
            <v>月下の人狼 ローレンス</v>
          </cell>
          <cell r="D1490" t="str">
            <v>ガチャ:フィーバーフェス02</v>
          </cell>
          <cell r="E1490" t="str">
            <v>執行者</v>
          </cell>
          <cell r="F1490" t="str">
            <v>格好いい</v>
          </cell>
          <cell r="G1490" t="str">
            <v>男性</v>
          </cell>
          <cell r="H1490" t="str">
            <v>blue</v>
          </cell>
          <cell r="I1490">
            <v>4</v>
          </cell>
          <cell r="J1490" t="str">
            <v>PremiumW</v>
          </cell>
        </row>
        <row r="1491">
          <cell r="A1491">
            <v>6015</v>
          </cell>
          <cell r="B1491" t="str">
            <v>ja</v>
          </cell>
          <cell r="C1491" t="str">
            <v>フレイヤ</v>
          </cell>
          <cell r="D1491" t="str">
            <v>ガチャ:フィーバーフェス02</v>
          </cell>
          <cell r="E1491" t="str">
            <v>執行者</v>
          </cell>
          <cell r="F1491" t="str">
            <v>格好いい</v>
          </cell>
          <cell r="G1491" t="str">
            <v>男性</v>
          </cell>
          <cell r="H1491" t="str">
            <v>blue</v>
          </cell>
          <cell r="I1491">
            <v>4</v>
          </cell>
          <cell r="J1491" t="str">
            <v>PremiumSS</v>
          </cell>
        </row>
        <row r="1492">
          <cell r="A1492">
            <v>6016</v>
          </cell>
          <cell r="B1492" t="str">
            <v>ja</v>
          </cell>
          <cell r="C1492" t="str">
            <v>根原論理 ユークリッド</v>
          </cell>
          <cell r="D1492" t="str">
            <v>ガチャ:フィーバーフェス02</v>
          </cell>
          <cell r="E1492" t="str">
            <v>執行者</v>
          </cell>
          <cell r="F1492" t="str">
            <v>格好いい</v>
          </cell>
          <cell r="G1492" t="str">
            <v>男性</v>
          </cell>
          <cell r="H1492" t="str">
            <v>blue</v>
          </cell>
          <cell r="I1492">
            <v>5</v>
          </cell>
          <cell r="J1492" t="str">
            <v>PremiumSSS</v>
          </cell>
        </row>
        <row r="1493">
          <cell r="A1493">
            <v>6017</v>
          </cell>
          <cell r="B1493" t="str">
            <v>ja</v>
          </cell>
          <cell r="C1493" t="str">
            <v>不朽の極論 ユークリッド</v>
          </cell>
          <cell r="D1493" t="str">
            <v>ガチャ:フィーバーフェス02</v>
          </cell>
          <cell r="E1493" t="str">
            <v>執行者</v>
          </cell>
          <cell r="F1493" t="str">
            <v>格好いい</v>
          </cell>
          <cell r="G1493" t="str">
            <v>男性</v>
          </cell>
          <cell r="H1493" t="str">
            <v>blue</v>
          </cell>
          <cell r="I1493">
            <v>6</v>
          </cell>
          <cell r="J1493" t="str">
            <v>PremiumSSS</v>
          </cell>
        </row>
        <row r="1494">
          <cell r="A1494">
            <v>6018</v>
          </cell>
          <cell r="B1494" t="str">
            <v>ja</v>
          </cell>
          <cell r="C1494" t="str">
            <v>ハヅル</v>
          </cell>
          <cell r="D1494" t="str">
            <v>ガチャ:フィーバーフェス02</v>
          </cell>
          <cell r="E1494" t="str">
            <v>執行者</v>
          </cell>
          <cell r="F1494" t="str">
            <v>格好いい</v>
          </cell>
          <cell r="G1494" t="str">
            <v>男性</v>
          </cell>
          <cell r="H1494" t="str">
            <v>red</v>
          </cell>
          <cell r="I1494">
            <v>4</v>
          </cell>
          <cell r="J1494" t="str">
            <v>PremiumSS</v>
          </cell>
        </row>
        <row r="1495">
          <cell r="A1495">
            <v>6019</v>
          </cell>
          <cell r="B1495" t="str">
            <v>ja</v>
          </cell>
          <cell r="C1495" t="str">
            <v>天織羽鶴 ハヅル</v>
          </cell>
          <cell r="D1495" t="str">
            <v>ガチャ:フィーバーフェス02</v>
          </cell>
          <cell r="E1495" t="str">
            <v>執行者</v>
          </cell>
          <cell r="F1495" t="str">
            <v>格好いい</v>
          </cell>
          <cell r="G1495" t="str">
            <v>男性</v>
          </cell>
          <cell r="H1495" t="str">
            <v>red</v>
          </cell>
          <cell r="I1495">
            <v>5</v>
          </cell>
          <cell r="J1495" t="str">
            <v>PremiumSS</v>
          </cell>
        </row>
        <row r="1496">
          <cell r="A1496">
            <v>6020</v>
          </cell>
          <cell r="B1496" t="str">
            <v>ja</v>
          </cell>
          <cell r="C1496" t="str">
            <v>ミズチ</v>
          </cell>
          <cell r="D1496" t="str">
            <v>ガチャ:フィーバーフェス02</v>
          </cell>
          <cell r="E1496" t="str">
            <v>執行者</v>
          </cell>
          <cell r="F1496" t="str">
            <v>格好いい</v>
          </cell>
          <cell r="G1496" t="str">
            <v>男性</v>
          </cell>
          <cell r="H1496" t="str">
            <v>blue</v>
          </cell>
          <cell r="I1496">
            <v>4</v>
          </cell>
          <cell r="J1496" t="str">
            <v>PremiumS</v>
          </cell>
        </row>
        <row r="1497">
          <cell r="A1497">
            <v>8001</v>
          </cell>
          <cell r="B1497" t="str">
            <v>ja</v>
          </cell>
          <cell r="C1497" t="str">
            <v>媽祖</v>
          </cell>
          <cell r="D1497" t="str">
            <v>イベント:ミクコラボ01</v>
          </cell>
          <cell r="E1497" t="str">
            <v>執行者</v>
          </cell>
          <cell r="F1497" t="str">
            <v>格好いい</v>
          </cell>
          <cell r="G1497" t="str">
            <v>女性</v>
          </cell>
          <cell r="H1497" t="str">
            <v>yellow</v>
          </cell>
          <cell r="I1497">
            <v>5</v>
          </cell>
          <cell r="J1497" t="str">
            <v>PremiumSS</v>
          </cell>
        </row>
        <row r="1498">
          <cell r="A1498">
            <v>8002</v>
          </cell>
          <cell r="B1498" t="str">
            <v>ja</v>
          </cell>
          <cell r="C1498" t="str">
            <v>宣導する天海妃 媽祖</v>
          </cell>
          <cell r="D1498" t="str">
            <v>イベント:ミクコラボ01</v>
          </cell>
          <cell r="E1498" t="str">
            <v>執行者</v>
          </cell>
          <cell r="F1498" t="str">
            <v>格好いい</v>
          </cell>
          <cell r="G1498" t="str">
            <v>女性</v>
          </cell>
          <cell r="H1498" t="str">
            <v>yellow</v>
          </cell>
          <cell r="I1498">
            <v>6</v>
          </cell>
          <cell r="J1498" t="str">
            <v>PremiumSS</v>
          </cell>
        </row>
        <row r="1499">
          <cell r="A1499">
            <v>8003</v>
          </cell>
          <cell r="B1499" t="str">
            <v>ja</v>
          </cell>
          <cell r="C1499" t="str">
            <v>蛟龍</v>
          </cell>
          <cell r="D1499" t="str">
            <v>イベント:ミクコラボ01</v>
          </cell>
          <cell r="E1499" t="str">
            <v>執行者</v>
          </cell>
          <cell r="F1499" t="str">
            <v>格好いい</v>
          </cell>
          <cell r="G1499" t="str">
            <v>不明</v>
          </cell>
          <cell r="H1499" t="str">
            <v>blue</v>
          </cell>
          <cell r="I1499">
            <v>5</v>
          </cell>
          <cell r="J1499" t="str">
            <v>DropWizS</v>
          </cell>
        </row>
        <row r="1500">
          <cell r="A1500">
            <v>8004</v>
          </cell>
          <cell r="B1500" t="str">
            <v>ja</v>
          </cell>
          <cell r="C1500" t="str">
            <v>呼嵐の蒼棲龍 蛟龍</v>
          </cell>
          <cell r="D1500" t="str">
            <v>イベント:ミクコラボ01</v>
          </cell>
          <cell r="E1500" t="str">
            <v>執行者</v>
          </cell>
          <cell r="F1500" t="str">
            <v>格好いい</v>
          </cell>
          <cell r="G1500" t="str">
            <v>不明</v>
          </cell>
          <cell r="H1500" t="str">
            <v>blue</v>
          </cell>
          <cell r="I1500">
            <v>6</v>
          </cell>
          <cell r="J1500" t="str">
            <v>DropWizS</v>
          </cell>
        </row>
        <row r="1501">
          <cell r="A1501">
            <v>8005</v>
          </cell>
          <cell r="B1501" t="str">
            <v>ja</v>
          </cell>
          <cell r="C1501" t="str">
            <v>三蔵法師</v>
          </cell>
          <cell r="D1501" t="str">
            <v>イベント:ミクコラボ01</v>
          </cell>
          <cell r="E1501" t="str">
            <v>執行者</v>
          </cell>
          <cell r="F1501" t="str">
            <v>格好いい</v>
          </cell>
          <cell r="G1501" t="str">
            <v>不明</v>
          </cell>
          <cell r="H1501" t="str">
            <v>blue</v>
          </cell>
          <cell r="I1501">
            <v>5</v>
          </cell>
          <cell r="J1501" t="str">
            <v>PremiumSS</v>
          </cell>
        </row>
        <row r="1502">
          <cell r="A1502">
            <v>8006</v>
          </cell>
          <cell r="B1502" t="str">
            <v>ja</v>
          </cell>
          <cell r="C1502" t="str">
            <v>慈戒の呪封使 三蔵法師</v>
          </cell>
          <cell r="D1502" t="str">
            <v>イベント:ミクコラボ01</v>
          </cell>
          <cell r="E1502" t="str">
            <v>執行者</v>
          </cell>
          <cell r="F1502" t="str">
            <v>格好いい</v>
          </cell>
          <cell r="G1502" t="str">
            <v>不明</v>
          </cell>
          <cell r="H1502" t="str">
            <v>blue</v>
          </cell>
          <cell r="I1502">
            <v>6</v>
          </cell>
          <cell r="J1502" t="str">
            <v>PremiumSS</v>
          </cell>
        </row>
        <row r="1503">
          <cell r="A1503">
            <v>8007</v>
          </cell>
          <cell r="B1503" t="str">
            <v>ja</v>
          </cell>
          <cell r="C1503" t="str">
            <v>孫悟空</v>
          </cell>
          <cell r="D1503" t="str">
            <v>イベント:ミクコラボ01</v>
          </cell>
          <cell r="E1503" t="str">
            <v>執行者</v>
          </cell>
          <cell r="F1503" t="str">
            <v>格好いい</v>
          </cell>
          <cell r="G1503" t="str">
            <v>不明</v>
          </cell>
          <cell r="H1503" t="str">
            <v>red</v>
          </cell>
          <cell r="I1503">
            <v>5</v>
          </cell>
          <cell r="J1503" t="str">
            <v>DropWizS</v>
          </cell>
        </row>
        <row r="1504">
          <cell r="A1504">
            <v>8008</v>
          </cell>
          <cell r="B1504" t="str">
            <v>ja</v>
          </cell>
          <cell r="C1504" t="str">
            <v>花果の天猿仙人 孫悟空</v>
          </cell>
          <cell r="D1504" t="str">
            <v>イベント:ミクコラボ01</v>
          </cell>
          <cell r="E1504" t="str">
            <v>執行者</v>
          </cell>
          <cell r="F1504" t="str">
            <v>格好いい</v>
          </cell>
          <cell r="G1504" t="str">
            <v>不明</v>
          </cell>
          <cell r="H1504" t="str">
            <v>red</v>
          </cell>
          <cell r="I1504">
            <v>6</v>
          </cell>
          <cell r="J1504" t="str">
            <v>DropWizS</v>
          </cell>
        </row>
        <row r="1505">
          <cell r="A1505">
            <v>8009</v>
          </cell>
          <cell r="B1505" t="str">
            <v>ja</v>
          </cell>
          <cell r="C1505" t="str">
            <v>西王娘娘</v>
          </cell>
          <cell r="D1505" t="str">
            <v>イベント:ミクコラボ01</v>
          </cell>
          <cell r="E1505" t="str">
            <v>執行者</v>
          </cell>
          <cell r="F1505" t="str">
            <v>格好いい</v>
          </cell>
          <cell r="G1505" t="str">
            <v>不明</v>
          </cell>
          <cell r="H1505" t="str">
            <v>green</v>
          </cell>
          <cell r="I1505">
            <v>5</v>
          </cell>
          <cell r="J1505" t="str">
            <v>PremiumSS</v>
          </cell>
        </row>
        <row r="1506">
          <cell r="A1506">
            <v>8010</v>
          </cell>
          <cell r="B1506" t="str">
            <v>ja</v>
          </cell>
          <cell r="C1506" t="str">
            <v>極楽瑶池の聖母 西王娘娘</v>
          </cell>
          <cell r="D1506" t="str">
            <v>イベント:ミクコラボ01</v>
          </cell>
          <cell r="E1506" t="str">
            <v>執行者</v>
          </cell>
          <cell r="F1506" t="str">
            <v>格好いい</v>
          </cell>
          <cell r="G1506" t="str">
            <v>不明</v>
          </cell>
          <cell r="H1506" t="str">
            <v>green</v>
          </cell>
          <cell r="I1506">
            <v>6</v>
          </cell>
          <cell r="J1506" t="str">
            <v>PremiumSS</v>
          </cell>
        </row>
        <row r="1507">
          <cell r="A1507">
            <v>8011</v>
          </cell>
          <cell r="B1507" t="str">
            <v>ja</v>
          </cell>
          <cell r="C1507" t="str">
            <v>月下老人</v>
          </cell>
          <cell r="D1507" t="str">
            <v>イベント:ミクコラボ01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yellow</v>
          </cell>
          <cell r="I1507">
            <v>5</v>
          </cell>
          <cell r="J1507" t="str">
            <v>DropWizS</v>
          </cell>
        </row>
        <row r="1508">
          <cell r="A1508">
            <v>8012</v>
          </cell>
          <cell r="B1508" t="str">
            <v>ja</v>
          </cell>
          <cell r="C1508" t="str">
            <v>破戀斬る縁剣 月下老人</v>
          </cell>
          <cell r="D1508" t="str">
            <v>イベント:ミクコラボ01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yellow</v>
          </cell>
          <cell r="I1508">
            <v>6</v>
          </cell>
          <cell r="J1508" t="str">
            <v>DropWizS</v>
          </cell>
        </row>
        <row r="1509">
          <cell r="A1509">
            <v>8013</v>
          </cell>
          <cell r="B1509" t="str">
            <v>ja</v>
          </cell>
          <cell r="C1509" t="str">
            <v>初音ミクV3</v>
          </cell>
          <cell r="D1509" t="str">
            <v>初音ミクV3</v>
          </cell>
          <cell r="E1509" t="str">
            <v>執行者</v>
          </cell>
          <cell r="F1509" t="str">
            <v>格好いい</v>
          </cell>
          <cell r="G1509" t="str">
            <v>女性</v>
          </cell>
          <cell r="H1509" t="str">
            <v>yellow</v>
          </cell>
          <cell r="I1509">
            <v>4</v>
          </cell>
          <cell r="J1509" t="str">
            <v>DropWizS</v>
          </cell>
        </row>
        <row r="1510">
          <cell r="A1510">
            <v>8014</v>
          </cell>
          <cell r="B1510" t="str">
            <v>ja</v>
          </cell>
          <cell r="C1510" t="str">
            <v>初音ミクV3</v>
          </cell>
          <cell r="D1510" t="str">
            <v>初音ミクV3</v>
          </cell>
          <cell r="E1510" t="str">
            <v>執行者</v>
          </cell>
          <cell r="F1510" t="str">
            <v>格好いい</v>
          </cell>
          <cell r="G1510" t="str">
            <v>女性</v>
          </cell>
          <cell r="H1510" t="str">
            <v>yellow</v>
          </cell>
          <cell r="I1510">
            <v>5</v>
          </cell>
          <cell r="J1510" t="str">
            <v>DropWizS</v>
          </cell>
        </row>
        <row r="1511">
          <cell r="A1511">
            <v>8015</v>
          </cell>
          <cell r="B1511" t="str">
            <v>ja</v>
          </cell>
          <cell r="C1511" t="str">
            <v>初音ミク・アペンド</v>
          </cell>
          <cell r="D1511" t="str">
            <v>初音ミク・アペンド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green</v>
          </cell>
          <cell r="I1511">
            <v>4</v>
          </cell>
          <cell r="J1511" t="str">
            <v>PremiumSSS</v>
          </cell>
        </row>
        <row r="1512">
          <cell r="A1512">
            <v>8016</v>
          </cell>
          <cell r="B1512" t="str">
            <v>ja</v>
          </cell>
          <cell r="C1512" t="str">
            <v>初音ミク・アペンド</v>
          </cell>
          <cell r="D1512" t="str">
            <v>初音ミク・アペンド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green</v>
          </cell>
          <cell r="I1512">
            <v>5</v>
          </cell>
          <cell r="J1512" t="str">
            <v>PremiumSSS</v>
          </cell>
        </row>
        <row r="1513">
          <cell r="A1513">
            <v>8017</v>
          </cell>
          <cell r="B1513" t="str">
            <v>ja</v>
          </cell>
          <cell r="C1513" t="str">
            <v>初音ミク</v>
          </cell>
          <cell r="D1513" t="str">
            <v>初音ミク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green</v>
          </cell>
          <cell r="I1513">
            <v>4</v>
          </cell>
          <cell r="J1513" t="str">
            <v>PremiumSSS</v>
          </cell>
        </row>
        <row r="1514">
          <cell r="A1514">
            <v>8018</v>
          </cell>
          <cell r="B1514" t="str">
            <v>ja</v>
          </cell>
          <cell r="C1514" t="str">
            <v>初音ミク</v>
          </cell>
          <cell r="D1514" t="str">
            <v>初音ミク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green</v>
          </cell>
          <cell r="I1514">
            <v>5</v>
          </cell>
          <cell r="J1514" t="str">
            <v>PremiumSSS</v>
          </cell>
        </row>
        <row r="1515">
          <cell r="A1515">
            <v>8019</v>
          </cell>
          <cell r="B1515" t="str">
            <v>ja</v>
          </cell>
          <cell r="C1515" t="str">
            <v>鏡音リン</v>
          </cell>
          <cell r="D1515" t="str">
            <v>鏡音リン</v>
          </cell>
          <cell r="E1515" t="str">
            <v>執行者</v>
          </cell>
          <cell r="F1515" t="str">
            <v>格好いい</v>
          </cell>
          <cell r="G1515" t="str">
            <v>男性</v>
          </cell>
          <cell r="H1515" t="str">
            <v>yellow</v>
          </cell>
          <cell r="I1515">
            <v>4</v>
          </cell>
          <cell r="J1515" t="str">
            <v>PremiumSS</v>
          </cell>
        </row>
        <row r="1516">
          <cell r="A1516">
            <v>8020</v>
          </cell>
          <cell r="B1516" t="str">
            <v>ja</v>
          </cell>
          <cell r="C1516" t="str">
            <v>鏡音リン</v>
          </cell>
          <cell r="D1516" t="str">
            <v>鏡音リン</v>
          </cell>
          <cell r="E1516" t="str">
            <v>執行者</v>
          </cell>
          <cell r="F1516" t="str">
            <v>格好いい</v>
          </cell>
          <cell r="G1516" t="str">
            <v>男性</v>
          </cell>
          <cell r="H1516" t="str">
            <v>yellow</v>
          </cell>
          <cell r="I1516">
            <v>5</v>
          </cell>
          <cell r="J1516" t="str">
            <v>PremiumSS</v>
          </cell>
        </row>
        <row r="1517">
          <cell r="A1517">
            <v>8021</v>
          </cell>
          <cell r="B1517" t="str">
            <v>ja</v>
          </cell>
          <cell r="C1517" t="str">
            <v>鏡音レン</v>
          </cell>
          <cell r="D1517" t="str">
            <v>鏡音レン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yellow</v>
          </cell>
          <cell r="I1517">
            <v>4</v>
          </cell>
          <cell r="J1517" t="str">
            <v>PremiumSS</v>
          </cell>
        </row>
        <row r="1518">
          <cell r="A1518">
            <v>8022</v>
          </cell>
          <cell r="B1518" t="str">
            <v>ja</v>
          </cell>
          <cell r="C1518" t="str">
            <v>鏡音レン</v>
          </cell>
          <cell r="D1518" t="str">
            <v>鏡音レン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yellow</v>
          </cell>
          <cell r="I1518">
            <v>5</v>
          </cell>
          <cell r="J1518" t="str">
            <v>PremiumSS</v>
          </cell>
        </row>
        <row r="1519">
          <cell r="A1519">
            <v>8023</v>
          </cell>
          <cell r="B1519" t="str">
            <v>ja</v>
          </cell>
          <cell r="C1519" t="str">
            <v>巡音ルカ</v>
          </cell>
          <cell r="D1519" t="str">
            <v>巡音ルカ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red</v>
          </cell>
          <cell r="I1519">
            <v>3</v>
          </cell>
          <cell r="J1519" t="str">
            <v>PremiumS</v>
          </cell>
        </row>
        <row r="1520">
          <cell r="A1520">
            <v>8024</v>
          </cell>
          <cell r="B1520" t="str">
            <v>ja</v>
          </cell>
          <cell r="C1520" t="str">
            <v>巡音ルカ</v>
          </cell>
          <cell r="D1520" t="str">
            <v>巡音ルカ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red</v>
          </cell>
          <cell r="I1520">
            <v>4</v>
          </cell>
          <cell r="J1520" t="str">
            <v>PremiumS</v>
          </cell>
        </row>
        <row r="1521">
          <cell r="A1521">
            <v>8025</v>
          </cell>
          <cell r="B1521" t="str">
            <v>ja</v>
          </cell>
          <cell r="C1521" t="str">
            <v>MEIKO</v>
          </cell>
          <cell r="D1521" t="str">
            <v>MEIKO</v>
          </cell>
          <cell r="E1521" t="str">
            <v>執行者</v>
          </cell>
          <cell r="F1521" t="str">
            <v>格好いい</v>
          </cell>
          <cell r="G1521" t="str">
            <v>男性</v>
          </cell>
          <cell r="H1521" t="str">
            <v>red</v>
          </cell>
          <cell r="I1521">
            <v>3</v>
          </cell>
          <cell r="J1521" t="str">
            <v>PremiumS</v>
          </cell>
        </row>
        <row r="1522">
          <cell r="A1522">
            <v>8026</v>
          </cell>
          <cell r="B1522" t="str">
            <v>ja</v>
          </cell>
          <cell r="C1522" t="str">
            <v>MEIKO</v>
          </cell>
          <cell r="D1522" t="str">
            <v>MEIKO</v>
          </cell>
          <cell r="E1522" t="str">
            <v>執行者</v>
          </cell>
          <cell r="F1522" t="str">
            <v>格好いい</v>
          </cell>
          <cell r="G1522" t="str">
            <v>男性</v>
          </cell>
          <cell r="H1522" t="str">
            <v>red</v>
          </cell>
          <cell r="I1522">
            <v>4</v>
          </cell>
          <cell r="J1522" t="str">
            <v>PremiumS</v>
          </cell>
        </row>
        <row r="1523">
          <cell r="A1523">
            <v>8027</v>
          </cell>
          <cell r="B1523" t="str">
            <v>ja</v>
          </cell>
          <cell r="C1523" t="str">
            <v>KAITO</v>
          </cell>
          <cell r="D1523" t="str">
            <v>KAITO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blue</v>
          </cell>
          <cell r="I1523">
            <v>3</v>
          </cell>
          <cell r="J1523" t="str">
            <v>PremiumS</v>
          </cell>
        </row>
        <row r="1524">
          <cell r="A1524">
            <v>8028</v>
          </cell>
          <cell r="B1524" t="str">
            <v>ja</v>
          </cell>
          <cell r="C1524" t="str">
            <v>KAITO</v>
          </cell>
          <cell r="D1524" t="str">
            <v>KAITO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blue</v>
          </cell>
          <cell r="I1524">
            <v>4</v>
          </cell>
          <cell r="J1524" t="str">
            <v>PremiumS</v>
          </cell>
        </row>
        <row r="1525">
          <cell r="A1525">
            <v>8029</v>
          </cell>
          <cell r="B1525" t="str">
            <v>ja</v>
          </cell>
          <cell r="C1525" t="str">
            <v>Expoミク</v>
          </cell>
          <cell r="D1525" t="str">
            <v>Expoミク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blue</v>
          </cell>
          <cell r="I1525">
            <v>4</v>
          </cell>
          <cell r="J1525" t="str">
            <v>Drop2N</v>
          </cell>
        </row>
        <row r="1526">
          <cell r="A1526">
            <v>8030</v>
          </cell>
          <cell r="B1526" t="str">
            <v>ja</v>
          </cell>
          <cell r="C1526" t="str">
            <v>Expoミク</v>
          </cell>
          <cell r="D1526" t="str">
            <v>Expoミク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blue</v>
          </cell>
          <cell r="I1526">
            <v>5</v>
          </cell>
          <cell r="J1526" t="str">
            <v>Drop2N</v>
          </cell>
        </row>
        <row r="1527">
          <cell r="A1527">
            <v>8031</v>
          </cell>
          <cell r="B1527" t="str">
            <v>ja</v>
          </cell>
          <cell r="C1527" t="str">
            <v>閻羅王</v>
          </cell>
          <cell r="D1527" t="str">
            <v>Expoミク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red</v>
          </cell>
          <cell r="I1527">
            <v>5</v>
          </cell>
          <cell r="J1527" t="str">
            <v>PremiumSS</v>
          </cell>
        </row>
        <row r="1528">
          <cell r="A1528">
            <v>8032</v>
          </cell>
          <cell r="B1528" t="str">
            <v>ja</v>
          </cell>
          <cell r="C1528" t="str">
            <v>六道輪廻の絶獄 閻羅王</v>
          </cell>
          <cell r="D1528" t="str">
            <v>Expoミク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red</v>
          </cell>
          <cell r="I1528">
            <v>6</v>
          </cell>
          <cell r="J1528" t="str">
            <v>PremiumSS</v>
          </cell>
        </row>
        <row r="1529">
          <cell r="A1529">
            <v>8033</v>
          </cell>
          <cell r="B1529" t="str">
            <v>ja</v>
          </cell>
          <cell r="C1529" t="str">
            <v>牛頭馬面</v>
          </cell>
          <cell r="D1529" t="str">
            <v>Expoミク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green</v>
          </cell>
          <cell r="I1529">
            <v>5</v>
          </cell>
          <cell r="J1529" t="str">
            <v>DropWizS</v>
          </cell>
        </row>
        <row r="1530">
          <cell r="A1530">
            <v>8034</v>
          </cell>
          <cell r="B1530" t="str">
            <v>ja</v>
          </cell>
          <cell r="C1530" t="str">
            <v>冥府狩る魂使 牛頭馬面</v>
          </cell>
          <cell r="D1530" t="str">
            <v>Expoミク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green</v>
          </cell>
          <cell r="I1530">
            <v>6</v>
          </cell>
          <cell r="J1530" t="str">
            <v>DropWizS</v>
          </cell>
        </row>
        <row r="1531">
          <cell r="A1531">
            <v>8035</v>
          </cell>
          <cell r="B1531" t="str">
            <v>ja</v>
          </cell>
          <cell r="C1531" t="str">
            <v>飛衛</v>
          </cell>
          <cell r="D1531" t="str">
            <v>Expoミク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blue</v>
          </cell>
          <cell r="I1531">
            <v>5</v>
          </cell>
          <cell r="J1531" t="str">
            <v>PremiumSS</v>
          </cell>
        </row>
        <row r="1532">
          <cell r="A1532">
            <v>8036</v>
          </cell>
          <cell r="B1532" t="str">
            <v>ja</v>
          </cell>
          <cell r="C1532" t="str">
            <v>レア６飛衛</v>
          </cell>
          <cell r="D1532" t="str">
            <v>Expoミク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blue</v>
          </cell>
          <cell r="I1532">
            <v>6</v>
          </cell>
          <cell r="J1532" t="str">
            <v>PremiumSS</v>
          </cell>
        </row>
        <row r="1533">
          <cell r="A1533">
            <v>8037</v>
          </cell>
          <cell r="B1533" t="str">
            <v>ja</v>
          </cell>
          <cell r="C1533" t="str">
            <v>紀昌</v>
          </cell>
          <cell r="D1533" t="str">
            <v>Expoミク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red</v>
          </cell>
          <cell r="I1533">
            <v>5</v>
          </cell>
          <cell r="J1533" t="str">
            <v>DropWizS</v>
          </cell>
        </row>
        <row r="1534">
          <cell r="A1534">
            <v>8038</v>
          </cell>
          <cell r="B1534" t="str">
            <v>ja</v>
          </cell>
          <cell r="C1534" t="str">
            <v>レア６紀昌</v>
          </cell>
          <cell r="D1534" t="str">
            <v>Expoミク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red</v>
          </cell>
          <cell r="I1534">
            <v>6</v>
          </cell>
          <cell r="J1534" t="str">
            <v>DropWizS</v>
          </cell>
        </row>
        <row r="1535">
          <cell r="A1535">
            <v>8039</v>
          </cell>
          <cell r="B1535" t="str">
            <v>ja</v>
          </cell>
          <cell r="C1535" t="str">
            <v>何仙姑</v>
          </cell>
          <cell r="D1535" t="str">
            <v>Expoミク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yellow</v>
          </cell>
          <cell r="I1535">
            <v>5</v>
          </cell>
          <cell r="J1535" t="str">
            <v>PremiumSSw</v>
          </cell>
        </row>
        <row r="1536">
          <cell r="A1536">
            <v>8040</v>
          </cell>
          <cell r="B1536" t="str">
            <v>ja</v>
          </cell>
          <cell r="C1536" t="str">
            <v>レア６何仙姑</v>
          </cell>
          <cell r="D1536" t="str">
            <v>Expoミク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yellow</v>
          </cell>
          <cell r="I1536">
            <v>6</v>
          </cell>
          <cell r="J1536" t="str">
            <v>PremiumSSw</v>
          </cell>
        </row>
        <row r="1537">
          <cell r="A1537">
            <v>8041</v>
          </cell>
          <cell r="B1537" t="str">
            <v>ja</v>
          </cell>
          <cell r="C1537" t="str">
            <v>藍采和</v>
          </cell>
          <cell r="D1537" t="str">
            <v>Expoミク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blue</v>
          </cell>
          <cell r="I1537">
            <v>5</v>
          </cell>
          <cell r="J1537" t="str">
            <v>DropWizS</v>
          </cell>
        </row>
        <row r="1538">
          <cell r="A1538">
            <v>8042</v>
          </cell>
          <cell r="B1538" t="str">
            <v>ja</v>
          </cell>
          <cell r="C1538" t="str">
            <v>レア６藍采和</v>
          </cell>
          <cell r="D1538" t="str">
            <v>Expoミク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blue</v>
          </cell>
          <cell r="I1538">
            <v>6</v>
          </cell>
          <cell r="J1538" t="str">
            <v>DropWizS</v>
          </cell>
        </row>
        <row r="1539">
          <cell r="A1539">
            <v>8043</v>
          </cell>
          <cell r="B1539" t="str">
            <v>ja</v>
          </cell>
          <cell r="C1539" t="str">
            <v>サンリオキャラ大集合+アザゼル</v>
          </cell>
          <cell r="D1539" t="str">
            <v>サンリオキャラ大集合+アザゼル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green</v>
          </cell>
          <cell r="I1539">
            <v>5</v>
          </cell>
          <cell r="J1539" t="str">
            <v>DropWizS</v>
          </cell>
        </row>
        <row r="1540">
          <cell r="A1540">
            <v>8044</v>
          </cell>
          <cell r="B1540" t="str">
            <v>ja</v>
          </cell>
          <cell r="C1540" t="str">
            <v>サンリオキャラ大集合+アザゼル</v>
          </cell>
          <cell r="D1540" t="str">
            <v>サンリオキャラ大集合+アザゼル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green</v>
          </cell>
          <cell r="I1540">
            <v>6</v>
          </cell>
          <cell r="J1540" t="str">
            <v>DropWizS</v>
          </cell>
        </row>
        <row r="1541">
          <cell r="A1541">
            <v>8045</v>
          </cell>
          <cell r="B1541" t="str">
            <v>ja</v>
          </cell>
          <cell r="C1541" t="str">
            <v>ニムダ_サンリオキャラ混じり</v>
          </cell>
          <cell r="D1541" t="str">
            <v>ニムダ_サンリオキャラ混じり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yellow</v>
          </cell>
          <cell r="I1541">
            <v>4</v>
          </cell>
          <cell r="J1541" t="str">
            <v>Drop2N</v>
          </cell>
        </row>
        <row r="1542">
          <cell r="A1542">
            <v>8046</v>
          </cell>
          <cell r="B1542" t="str">
            <v>ja</v>
          </cell>
          <cell r="C1542" t="str">
            <v>ニムダ_サンリオキャラ混じり</v>
          </cell>
          <cell r="D1542" t="str">
            <v>ニムダ_サンリオキャラ混じり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yellow</v>
          </cell>
          <cell r="I1542">
            <v>5</v>
          </cell>
          <cell r="J1542" t="str">
            <v>Drop2N</v>
          </cell>
        </row>
        <row r="1543">
          <cell r="A1543">
            <v>8047</v>
          </cell>
          <cell r="B1543" t="str">
            <v>ja</v>
          </cell>
          <cell r="C1543" t="str">
            <v>ハローキティ</v>
          </cell>
          <cell r="D1543" t="str">
            <v>ハローキティ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red</v>
          </cell>
          <cell r="I1543">
            <v>4</v>
          </cell>
          <cell r="J1543" t="str">
            <v>Drop2N</v>
          </cell>
        </row>
        <row r="1544">
          <cell r="A1544">
            <v>8048</v>
          </cell>
          <cell r="B1544" t="str">
            <v>ja</v>
          </cell>
          <cell r="C1544" t="str">
            <v>ハローキティ</v>
          </cell>
          <cell r="D1544" t="str">
            <v>ハローキティ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red</v>
          </cell>
          <cell r="I1544">
            <v>5</v>
          </cell>
          <cell r="J1544" t="str">
            <v>Drop2N</v>
          </cell>
        </row>
        <row r="1545">
          <cell r="A1545">
            <v>8049</v>
          </cell>
          <cell r="B1545" t="str">
            <v>ja</v>
          </cell>
          <cell r="C1545" t="str">
            <v>KIRIMIちゃん</v>
          </cell>
          <cell r="D1545" t="str">
            <v>KIRIMIちゃん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red</v>
          </cell>
          <cell r="I1545">
            <v>4</v>
          </cell>
          <cell r="J1545" t="str">
            <v>Drop2N</v>
          </cell>
        </row>
        <row r="1546">
          <cell r="A1546">
            <v>8050</v>
          </cell>
          <cell r="B1546" t="str">
            <v>ja</v>
          </cell>
          <cell r="C1546" t="str">
            <v>KIRIMIちゃん</v>
          </cell>
          <cell r="D1546" t="str">
            <v>KIRIMIちゃん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red</v>
          </cell>
          <cell r="I1546">
            <v>5</v>
          </cell>
          <cell r="J1546" t="str">
            <v>Drop2N</v>
          </cell>
        </row>
        <row r="1547">
          <cell r="A1547">
            <v>8051</v>
          </cell>
          <cell r="B1547" t="str">
            <v>ja</v>
          </cell>
          <cell r="C1547" t="str">
            <v>ハローキティのリボン</v>
          </cell>
          <cell r="D1547" t="str">
            <v>ハローキティのリボン</v>
          </cell>
          <cell r="E1547" t="str">
            <v>執行者</v>
          </cell>
          <cell r="F1547" t="str">
            <v>格好いい</v>
          </cell>
          <cell r="G1547" t="str">
            <v>女性</v>
          </cell>
          <cell r="H1547" t="str">
            <v>red</v>
          </cell>
          <cell r="I1547">
            <v>5</v>
          </cell>
          <cell r="J1547" t="str">
            <v>Drop2N</v>
          </cell>
        </row>
        <row r="1548">
          <cell r="A1548">
            <v>8052</v>
          </cell>
          <cell r="B1548" t="str">
            <v>ja</v>
          </cell>
          <cell r="C1548" t="str">
            <v>ママの作ったアップルパイ</v>
          </cell>
          <cell r="D1548" t="str">
            <v>ママの作ったアップルパイ</v>
          </cell>
          <cell r="E1548" t="str">
            <v>執行者</v>
          </cell>
          <cell r="F1548" t="str">
            <v>格好いい</v>
          </cell>
          <cell r="G1548" t="str">
            <v>女性</v>
          </cell>
          <cell r="H1548" t="str">
            <v>red</v>
          </cell>
          <cell r="I1548">
            <v>4</v>
          </cell>
          <cell r="J1548" t="str">
            <v>Drop2N</v>
          </cell>
        </row>
        <row r="1549">
          <cell r="A1549">
            <v>8053</v>
          </cell>
          <cell r="B1549" t="str">
            <v>ja</v>
          </cell>
          <cell r="C1549" t="str">
            <v>D.R.T.H__キティコスプレ</v>
          </cell>
          <cell r="D1549" t="str">
            <v>D.R.T.H__キティコスプレ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red</v>
          </cell>
          <cell r="I1549">
            <v>5</v>
          </cell>
          <cell r="J1549" t="str">
            <v>PremiumSS</v>
          </cell>
        </row>
        <row r="1550">
          <cell r="A1550">
            <v>8054</v>
          </cell>
          <cell r="B1550" t="str">
            <v>ja</v>
          </cell>
          <cell r="C1550" t="str">
            <v>D.R.T.H__キティコスプレ</v>
          </cell>
          <cell r="D1550" t="str">
            <v>D.R.T.H__キティコスプレ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red</v>
          </cell>
          <cell r="I1550">
            <v>6</v>
          </cell>
          <cell r="J1550" t="str">
            <v>PremiumSS</v>
          </cell>
        </row>
        <row r="1551">
          <cell r="A1551">
            <v>8055</v>
          </cell>
          <cell r="B1551" t="str">
            <v>ja</v>
          </cell>
          <cell r="C1551" t="str">
            <v>マイメロディ</v>
          </cell>
          <cell r="D1551" t="str">
            <v>マイメロディ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red</v>
          </cell>
          <cell r="I1551">
            <v>4</v>
          </cell>
          <cell r="J1551" t="str">
            <v>PremiumS</v>
          </cell>
        </row>
        <row r="1552">
          <cell r="A1552">
            <v>8056</v>
          </cell>
          <cell r="B1552" t="str">
            <v>ja</v>
          </cell>
          <cell r="C1552" t="str">
            <v>マイメロディ</v>
          </cell>
          <cell r="D1552" t="str">
            <v>マイメロディ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red</v>
          </cell>
          <cell r="I1552">
            <v>5</v>
          </cell>
          <cell r="J1552" t="str">
            <v>PremiumS</v>
          </cell>
        </row>
        <row r="1553">
          <cell r="A1553">
            <v>8057</v>
          </cell>
          <cell r="B1553" t="str">
            <v>ja</v>
          </cell>
          <cell r="C1553" t="str">
            <v>ニーベルゲン_シナモロールコスプレ</v>
          </cell>
          <cell r="D1553" t="str">
            <v>ニーベルゲン_シナモロールコスプレ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green</v>
          </cell>
          <cell r="I1553">
            <v>4</v>
          </cell>
          <cell r="J1553" t="str">
            <v>PremiumS</v>
          </cell>
        </row>
        <row r="1554">
          <cell r="A1554">
            <v>8058</v>
          </cell>
          <cell r="B1554" t="str">
            <v>ja</v>
          </cell>
          <cell r="C1554" t="str">
            <v>ニーベルゲン_シナモロールコスプレ</v>
          </cell>
          <cell r="D1554" t="str">
            <v>ニーベルゲン_シナモロールコスプレ</v>
          </cell>
          <cell r="E1554" t="str">
            <v>執行者</v>
          </cell>
          <cell r="F1554" t="str">
            <v>格好いい</v>
          </cell>
          <cell r="G1554" t="str">
            <v>女性</v>
          </cell>
          <cell r="H1554" t="str">
            <v>green</v>
          </cell>
          <cell r="I1554">
            <v>5</v>
          </cell>
          <cell r="J1554" t="str">
            <v>PremiumS</v>
          </cell>
        </row>
        <row r="1555">
          <cell r="A1555">
            <v>8059</v>
          </cell>
          <cell r="B1555" t="str">
            <v>ja</v>
          </cell>
          <cell r="C1555" t="str">
            <v>カカシ_マイメロディコスプレ</v>
          </cell>
          <cell r="D1555" t="str">
            <v>カカシ_マイメロディコスプレ</v>
          </cell>
          <cell r="E1555" t="str">
            <v>執行者</v>
          </cell>
          <cell r="F1555" t="str">
            <v>格好いい</v>
          </cell>
          <cell r="G1555" t="str">
            <v>女性</v>
          </cell>
          <cell r="H1555" t="str">
            <v>green</v>
          </cell>
          <cell r="I1555">
            <v>4</v>
          </cell>
          <cell r="J1555" t="str">
            <v>PremiumS</v>
          </cell>
        </row>
        <row r="1556">
          <cell r="A1556">
            <v>8060</v>
          </cell>
          <cell r="B1556" t="str">
            <v>ja</v>
          </cell>
          <cell r="C1556" t="str">
            <v>カカシ_マイメロディコスプレ</v>
          </cell>
          <cell r="D1556" t="str">
            <v>カカシ_マイメロディコスプレ</v>
          </cell>
          <cell r="E1556" t="str">
            <v>執行者</v>
          </cell>
          <cell r="F1556" t="str">
            <v>格好いい</v>
          </cell>
          <cell r="G1556" t="str">
            <v>女性</v>
          </cell>
          <cell r="H1556" t="str">
            <v>green</v>
          </cell>
          <cell r="I1556">
            <v>5</v>
          </cell>
          <cell r="J1556" t="str">
            <v>PremiumS</v>
          </cell>
        </row>
        <row r="1557">
          <cell r="A1557">
            <v>8061</v>
          </cell>
          <cell r="B1557" t="str">
            <v>ja</v>
          </cell>
          <cell r="C1557" t="str">
            <v>ケロケロけろっぴ</v>
          </cell>
          <cell r="D1557" t="str">
            <v>ケロケロけろっぴ</v>
          </cell>
          <cell r="E1557" t="str">
            <v>執行者</v>
          </cell>
          <cell r="F1557" t="str">
            <v>格好いい</v>
          </cell>
          <cell r="G1557" t="str">
            <v>女性</v>
          </cell>
          <cell r="H1557" t="str">
            <v>green</v>
          </cell>
          <cell r="I1557">
            <v>3</v>
          </cell>
          <cell r="J1557" t="str">
            <v>PremiumS</v>
          </cell>
        </row>
        <row r="1558">
          <cell r="A1558">
            <v>8062</v>
          </cell>
          <cell r="B1558" t="str">
            <v>ja</v>
          </cell>
          <cell r="C1558" t="str">
            <v>ケロケロけろっぴ</v>
          </cell>
          <cell r="D1558" t="str">
            <v>ケロケロけろっぴ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green</v>
          </cell>
          <cell r="I1558">
            <v>4</v>
          </cell>
          <cell r="J1558" t="str">
            <v>PremiumS</v>
          </cell>
        </row>
        <row r="1559">
          <cell r="A1559">
            <v>8063</v>
          </cell>
          <cell r="B1559" t="str">
            <v>ja</v>
          </cell>
          <cell r="C1559" t="str">
            <v>モルドレッド_ポムポムプリンコスプレ</v>
          </cell>
          <cell r="D1559" t="str">
            <v>モルドレッド_ポムポムプリンコスプレ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blue</v>
          </cell>
          <cell r="I1559">
            <v>5</v>
          </cell>
          <cell r="J1559" t="str">
            <v>PremiumSS</v>
          </cell>
        </row>
        <row r="1560">
          <cell r="A1560">
            <v>8064</v>
          </cell>
          <cell r="B1560" t="str">
            <v>ja</v>
          </cell>
          <cell r="C1560" t="str">
            <v>モルドレッド_ポムポムプリンコスプレ</v>
          </cell>
          <cell r="D1560" t="str">
            <v>モルドレッド_ポムポムプリンコスプレ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blue</v>
          </cell>
          <cell r="I1560">
            <v>6</v>
          </cell>
          <cell r="J1560" t="str">
            <v>PremiumSS</v>
          </cell>
        </row>
        <row r="1561">
          <cell r="A1561">
            <v>8065</v>
          </cell>
          <cell r="B1561" t="str">
            <v>ja</v>
          </cell>
          <cell r="C1561" t="str">
            <v>クロミ</v>
          </cell>
          <cell r="D1561" t="str">
            <v>クロミ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blue</v>
          </cell>
          <cell r="I1561">
            <v>3</v>
          </cell>
          <cell r="J1561" t="str">
            <v>PremiumS</v>
          </cell>
        </row>
        <row r="1562">
          <cell r="A1562">
            <v>8066</v>
          </cell>
          <cell r="B1562" t="str">
            <v>ja</v>
          </cell>
          <cell r="C1562" t="str">
            <v>クロミ</v>
          </cell>
          <cell r="D1562" t="str">
            <v>クロミ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blue</v>
          </cell>
          <cell r="I1562">
            <v>4</v>
          </cell>
          <cell r="J1562" t="str">
            <v>PremiumS</v>
          </cell>
        </row>
        <row r="1563">
          <cell r="A1563">
            <v>8067</v>
          </cell>
          <cell r="B1563" t="str">
            <v>ja</v>
          </cell>
          <cell r="C1563" t="str">
            <v>バッドばつ丸</v>
          </cell>
          <cell r="D1563" t="str">
            <v>バッドばつ丸</v>
          </cell>
          <cell r="E1563" t="str">
            <v>執行者</v>
          </cell>
          <cell r="F1563" t="str">
            <v>格好いい</v>
          </cell>
          <cell r="G1563" t="str">
            <v>女性</v>
          </cell>
          <cell r="H1563" t="str">
            <v>blue</v>
          </cell>
          <cell r="I1563">
            <v>3</v>
          </cell>
          <cell r="J1563" t="str">
            <v>PremiumS</v>
          </cell>
        </row>
        <row r="1564">
          <cell r="A1564">
            <v>8068</v>
          </cell>
          <cell r="B1564" t="str">
            <v>ja</v>
          </cell>
          <cell r="C1564" t="str">
            <v>バッドばつ丸</v>
          </cell>
          <cell r="D1564" t="str">
            <v>バッドばつ丸</v>
          </cell>
          <cell r="E1564" t="str">
            <v>執行者</v>
          </cell>
          <cell r="F1564" t="str">
            <v>格好いい</v>
          </cell>
          <cell r="G1564" t="str">
            <v>女性</v>
          </cell>
          <cell r="H1564" t="str">
            <v>blue</v>
          </cell>
          <cell r="I1564">
            <v>4</v>
          </cell>
          <cell r="J1564" t="str">
            <v>PremiumS</v>
          </cell>
        </row>
        <row r="1565">
          <cell r="A1565">
            <v>8069</v>
          </cell>
          <cell r="B1565" t="str">
            <v>ja</v>
          </cell>
          <cell r="C1565" t="str">
            <v>シナモロール</v>
          </cell>
          <cell r="D1565" t="str">
            <v>シナモロール</v>
          </cell>
          <cell r="E1565" t="str">
            <v>執行者</v>
          </cell>
          <cell r="F1565" t="str">
            <v>格好いい</v>
          </cell>
          <cell r="G1565" t="str">
            <v>女性</v>
          </cell>
          <cell r="H1565" t="str">
            <v>yellow</v>
          </cell>
          <cell r="I1565">
            <v>4</v>
          </cell>
          <cell r="J1565" t="str">
            <v>PremiumS</v>
          </cell>
        </row>
        <row r="1566">
          <cell r="A1566">
            <v>8070</v>
          </cell>
          <cell r="B1566" t="str">
            <v>ja</v>
          </cell>
          <cell r="C1566" t="str">
            <v>シナモロール</v>
          </cell>
          <cell r="D1566" t="str">
            <v>シナモロール</v>
          </cell>
          <cell r="E1566" t="str">
            <v>執行者</v>
          </cell>
          <cell r="F1566" t="str">
            <v>格好いい</v>
          </cell>
          <cell r="G1566" t="str">
            <v>女性</v>
          </cell>
          <cell r="H1566" t="str">
            <v>yellow</v>
          </cell>
          <cell r="I1566">
            <v>5</v>
          </cell>
          <cell r="J1566" t="str">
            <v>PremiumS</v>
          </cell>
        </row>
        <row r="1567">
          <cell r="A1567">
            <v>8071</v>
          </cell>
          <cell r="B1567" t="str">
            <v>ja</v>
          </cell>
          <cell r="C1567" t="str">
            <v>ポムポムプリン</v>
          </cell>
          <cell r="D1567" t="str">
            <v>ポムポムプリン</v>
          </cell>
          <cell r="E1567" t="str">
            <v>執行者</v>
          </cell>
          <cell r="F1567" t="str">
            <v>格好いい</v>
          </cell>
          <cell r="G1567" t="str">
            <v>女性</v>
          </cell>
          <cell r="H1567" t="str">
            <v>yellow</v>
          </cell>
          <cell r="I1567">
            <v>3</v>
          </cell>
          <cell r="J1567" t="str">
            <v>PremiumS</v>
          </cell>
        </row>
        <row r="1568">
          <cell r="A1568">
            <v>8072</v>
          </cell>
          <cell r="B1568" t="str">
            <v>ja</v>
          </cell>
          <cell r="C1568" t="str">
            <v>ポムポムプリン</v>
          </cell>
          <cell r="D1568" t="str">
            <v>ポムポムプリン</v>
          </cell>
          <cell r="E1568" t="str">
            <v>執行者</v>
          </cell>
          <cell r="F1568" t="str">
            <v>格好いい</v>
          </cell>
          <cell r="G1568" t="str">
            <v>女性</v>
          </cell>
          <cell r="H1568" t="str">
            <v>yellow</v>
          </cell>
          <cell r="I1568">
            <v>4</v>
          </cell>
          <cell r="J1568" t="str">
            <v>PremiumS</v>
          </cell>
        </row>
        <row r="1569">
          <cell r="A1569">
            <v>8073</v>
          </cell>
          <cell r="B1569" t="str">
            <v>ja</v>
          </cell>
          <cell r="C1569" t="str">
            <v>星海祈る天光妃 媽祖</v>
          </cell>
          <cell r="D1569" t="str">
            <v>Expoミク</v>
          </cell>
          <cell r="E1569" t="str">
            <v>執行者</v>
          </cell>
          <cell r="F1569" t="str">
            <v>格好いい</v>
          </cell>
          <cell r="G1569" t="str">
            <v>女性</v>
          </cell>
          <cell r="H1569" t="str">
            <v>yellow</v>
          </cell>
          <cell r="I1569">
            <v>6</v>
          </cell>
          <cell r="J1569" t="str">
            <v>PremiumSS</v>
          </cell>
        </row>
        <row r="1570">
          <cell r="A1570">
            <v>8074</v>
          </cell>
          <cell r="B1570" t="str">
            <v>ja</v>
          </cell>
          <cell r="C1570" t="str">
            <v>海戀の絶龍姫 蛟龍</v>
          </cell>
          <cell r="D1570" t="str">
            <v>Expoミク</v>
          </cell>
          <cell r="E1570" t="str">
            <v>執行者</v>
          </cell>
          <cell r="F1570" t="str">
            <v>格好いい</v>
          </cell>
          <cell r="G1570" t="str">
            <v>女性</v>
          </cell>
          <cell r="H1570" t="str">
            <v>blue</v>
          </cell>
          <cell r="I1570">
            <v>6</v>
          </cell>
          <cell r="J1570" t="str">
            <v>DropWizS</v>
          </cell>
        </row>
        <row r="1571">
          <cell r="A1571">
            <v>8075</v>
          </cell>
          <cell r="B1571" t="str">
            <v>ja</v>
          </cell>
          <cell r="C1571" t="str">
            <v>三蔵法師_超覚醒</v>
          </cell>
          <cell r="D1571" t="str">
            <v>Expoミク</v>
          </cell>
          <cell r="E1571" t="str">
            <v>執行者</v>
          </cell>
          <cell r="F1571" t="str">
            <v>格好いい</v>
          </cell>
          <cell r="G1571" t="str">
            <v>女性</v>
          </cell>
          <cell r="H1571" t="str">
            <v>blue</v>
          </cell>
          <cell r="I1571">
            <v>6</v>
          </cell>
          <cell r="J1571" t="str">
            <v>PremiumSS</v>
          </cell>
        </row>
        <row r="1572">
          <cell r="A1572">
            <v>8076</v>
          </cell>
          <cell r="B1572" t="str">
            <v>ja</v>
          </cell>
          <cell r="C1572" t="str">
            <v>孫悟空_超覚醒</v>
          </cell>
          <cell r="D1572" t="str">
            <v>Expoミク</v>
          </cell>
          <cell r="E1572" t="str">
            <v>執行者</v>
          </cell>
          <cell r="F1572" t="str">
            <v>格好いい</v>
          </cell>
          <cell r="G1572" t="str">
            <v>女性</v>
          </cell>
          <cell r="H1572" t="str">
            <v>red</v>
          </cell>
          <cell r="I1572">
            <v>6</v>
          </cell>
          <cell r="J1572" t="str">
            <v>DropWizS</v>
          </cell>
        </row>
        <row r="1573">
          <cell r="A1573">
            <v>8077</v>
          </cell>
          <cell r="B1573" t="str">
            <v>ja</v>
          </cell>
          <cell r="C1573" t="str">
            <v>鄭成功</v>
          </cell>
          <cell r="D1573" t="str">
            <v>ポムポムプリン</v>
          </cell>
          <cell r="E1573" t="str">
            <v>執行者</v>
          </cell>
          <cell r="F1573" t="str">
            <v>格好いい</v>
          </cell>
          <cell r="G1573" t="str">
            <v>女性</v>
          </cell>
          <cell r="H1573" t="str">
            <v>blue</v>
          </cell>
          <cell r="I1573">
            <v>5</v>
          </cell>
          <cell r="J1573" t="str">
            <v>PremiumSS</v>
          </cell>
        </row>
        <row r="1574">
          <cell r="A1574">
            <v>8078</v>
          </cell>
          <cell r="B1574" t="str">
            <v>ja</v>
          </cell>
          <cell r="C1574" t="str">
            <v>レア６鄭成功</v>
          </cell>
          <cell r="D1574" t="str">
            <v>ポムポムプリン</v>
          </cell>
          <cell r="E1574" t="str">
            <v>執行者</v>
          </cell>
          <cell r="F1574" t="str">
            <v>格好いい</v>
          </cell>
          <cell r="G1574" t="str">
            <v>女性</v>
          </cell>
          <cell r="H1574" t="str">
            <v>blue</v>
          </cell>
          <cell r="I1574">
            <v>6</v>
          </cell>
          <cell r="J1574" t="str">
            <v>PremiumSS</v>
          </cell>
        </row>
        <row r="1575">
          <cell r="A1575">
            <v>8079</v>
          </cell>
          <cell r="B1575" t="str">
            <v>ja</v>
          </cell>
          <cell r="C1575" t="str">
            <v>赤鬼</v>
          </cell>
          <cell r="D1575" t="str">
            <v>ポムポムプリン</v>
          </cell>
          <cell r="E1575" t="str">
            <v>執行者</v>
          </cell>
          <cell r="F1575" t="str">
            <v>格好いい</v>
          </cell>
          <cell r="G1575" t="str">
            <v>女性</v>
          </cell>
          <cell r="H1575" t="str">
            <v>red</v>
          </cell>
          <cell r="I1575">
            <v>5</v>
          </cell>
          <cell r="J1575" t="str">
            <v>DropWizS</v>
          </cell>
        </row>
        <row r="1576">
          <cell r="A1576">
            <v>8080</v>
          </cell>
          <cell r="B1576" t="str">
            <v>ja</v>
          </cell>
          <cell r="C1576" t="str">
            <v>レア６赤鬼</v>
          </cell>
          <cell r="D1576" t="str">
            <v>ポムポムプリン</v>
          </cell>
          <cell r="E1576" t="str">
            <v>執行者</v>
          </cell>
          <cell r="F1576" t="str">
            <v>格好いい</v>
          </cell>
          <cell r="G1576" t="str">
            <v>女性</v>
          </cell>
          <cell r="H1576" t="str">
            <v>red</v>
          </cell>
          <cell r="I1576">
            <v>6</v>
          </cell>
          <cell r="J1576" t="str">
            <v>DropWizS</v>
          </cell>
        </row>
        <row r="1577">
          <cell r="A1577">
            <v>8081</v>
          </cell>
          <cell r="B1577" t="str">
            <v>ja</v>
          </cell>
          <cell r="C1577" t="str">
            <v>関羽</v>
          </cell>
          <cell r="H1577" t="str">
            <v>green</v>
          </cell>
          <cell r="I1577">
            <v>5</v>
          </cell>
          <cell r="J1577" t="str">
            <v>PremiumSSS</v>
          </cell>
        </row>
        <row r="1578">
          <cell r="A1578">
            <v>8082</v>
          </cell>
          <cell r="B1578" t="str">
            <v>ja</v>
          </cell>
          <cell r="C1578" t="str">
            <v>★６関羽</v>
          </cell>
          <cell r="H1578" t="str">
            <v>green</v>
          </cell>
          <cell r="I1578">
            <v>6</v>
          </cell>
          <cell r="J1578" t="str">
            <v>PremiumSSS</v>
          </cell>
        </row>
        <row r="1579">
          <cell r="A1579">
            <v>8083</v>
          </cell>
          <cell r="B1579" t="str">
            <v>ja</v>
          </cell>
          <cell r="C1579" t="str">
            <v>曹操</v>
          </cell>
          <cell r="H1579" t="str">
            <v>yellow</v>
          </cell>
          <cell r="I1579">
            <v>5</v>
          </cell>
          <cell r="J1579" t="str">
            <v>DropWizSS</v>
          </cell>
        </row>
        <row r="1580">
          <cell r="A1580">
            <v>8084</v>
          </cell>
          <cell r="B1580" t="str">
            <v>ja</v>
          </cell>
          <cell r="C1580" t="str">
            <v>★６曹操</v>
          </cell>
          <cell r="H1580" t="str">
            <v>yellow</v>
          </cell>
          <cell r="I1580">
            <v>6</v>
          </cell>
          <cell r="J1580" t="str">
            <v>DropWizSS</v>
          </cell>
        </row>
        <row r="1581">
          <cell r="A1581">
            <v>8087</v>
          </cell>
          <cell r="B1581" t="str">
            <v>ja</v>
          </cell>
          <cell r="C1581" t="str">
            <v>財神</v>
          </cell>
          <cell r="H1581" t="str">
            <v>red</v>
          </cell>
          <cell r="I1581">
            <v>5</v>
          </cell>
          <cell r="J1581" t="str">
            <v>PremiumSSS</v>
          </cell>
        </row>
        <row r="1582">
          <cell r="A1582">
            <v>8088</v>
          </cell>
          <cell r="B1582" t="str">
            <v>ja</v>
          </cell>
          <cell r="C1582" t="str">
            <v>★６財神</v>
          </cell>
          <cell r="H1582" t="str">
            <v>red</v>
          </cell>
          <cell r="I1582">
            <v>6</v>
          </cell>
          <cell r="J1582" t="str">
            <v>PremiumSSS</v>
          </cell>
        </row>
        <row r="1583">
          <cell r="A1583">
            <v>8089</v>
          </cell>
          <cell r="B1583" t="str">
            <v>ja</v>
          </cell>
          <cell r="C1583" t="str">
            <v>年獣</v>
          </cell>
          <cell r="H1583" t="str">
            <v>green</v>
          </cell>
          <cell r="I1583">
            <v>5</v>
          </cell>
          <cell r="J1583" t="str">
            <v>DropWizS</v>
          </cell>
        </row>
        <row r="1584">
          <cell r="A1584">
            <v>8090</v>
          </cell>
          <cell r="B1584" t="str">
            <v>ja</v>
          </cell>
          <cell r="C1584" t="str">
            <v>★６年獣</v>
          </cell>
          <cell r="H1584" t="str">
            <v>green</v>
          </cell>
          <cell r="I1584">
            <v>6</v>
          </cell>
          <cell r="J1584" t="str">
            <v>DropWizS</v>
          </cell>
        </row>
        <row r="1585">
          <cell r="A1585">
            <v>8095</v>
          </cell>
          <cell r="B1585" t="str">
            <v>ja</v>
          </cell>
          <cell r="C1585" t="str">
            <v>バハムートダック赤</v>
          </cell>
          <cell r="D1585" t="str">
            <v>ポムポムプリン</v>
          </cell>
          <cell r="E1585" t="str">
            <v>執行者</v>
          </cell>
          <cell r="F1585" t="str">
            <v>格好いい</v>
          </cell>
          <cell r="G1585" t="str">
            <v>女性</v>
          </cell>
          <cell r="H1585" t="str">
            <v>red</v>
          </cell>
          <cell r="I1585">
            <v>6</v>
          </cell>
          <cell r="J1585" t="str">
            <v>Material</v>
          </cell>
        </row>
        <row r="1586">
          <cell r="A1586">
            <v>8096</v>
          </cell>
          <cell r="B1586" t="str">
            <v>ja</v>
          </cell>
          <cell r="C1586" t="str">
            <v>バハムートダック緑</v>
          </cell>
          <cell r="D1586" t="str">
            <v>ポムポムプリン</v>
          </cell>
          <cell r="E1586" t="str">
            <v>執行者</v>
          </cell>
          <cell r="F1586" t="str">
            <v>格好いい</v>
          </cell>
          <cell r="G1586" t="str">
            <v>女性</v>
          </cell>
          <cell r="H1586" t="str">
            <v>green</v>
          </cell>
          <cell r="I1586">
            <v>6</v>
          </cell>
          <cell r="J1586" t="str">
            <v>Material</v>
          </cell>
        </row>
        <row r="1587">
          <cell r="A1587">
            <v>8097</v>
          </cell>
          <cell r="B1587" t="str">
            <v>ja</v>
          </cell>
          <cell r="C1587" t="str">
            <v>バハムートダック青</v>
          </cell>
          <cell r="D1587" t="str">
            <v>ポムポムプリン</v>
          </cell>
          <cell r="E1587" t="str">
            <v>執行者</v>
          </cell>
          <cell r="F1587" t="str">
            <v>格好いい</v>
          </cell>
          <cell r="G1587" t="str">
            <v>女性</v>
          </cell>
          <cell r="H1587" t="str">
            <v>blue</v>
          </cell>
          <cell r="I1587">
            <v>6</v>
          </cell>
          <cell r="J1587" t="str">
            <v>Material</v>
          </cell>
        </row>
        <row r="1588">
          <cell r="A1588">
            <v>8098</v>
          </cell>
          <cell r="B1588" t="str">
            <v>ja</v>
          </cell>
          <cell r="C1588" t="str">
            <v>バハムートダック黄</v>
          </cell>
          <cell r="D1588" t="str">
            <v>ポムポムプリン</v>
          </cell>
          <cell r="E1588" t="str">
            <v>執行者</v>
          </cell>
          <cell r="F1588" t="str">
            <v>格好いい</v>
          </cell>
          <cell r="G1588" t="str">
            <v>女性</v>
          </cell>
          <cell r="H1588" t="str">
            <v>yellow</v>
          </cell>
          <cell r="I1588">
            <v>6</v>
          </cell>
          <cell r="J1588" t="str">
            <v>Material</v>
          </cell>
        </row>
        <row r="1589">
          <cell r="A1589">
            <v>8099</v>
          </cell>
          <cell r="B1589" t="str">
            <v>ja</v>
          </cell>
          <cell r="C1589" t="str">
            <v>リトルハンプティ</v>
          </cell>
          <cell r="D1589" t="str">
            <v>各属性相性良3・黄・R455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green</v>
          </cell>
          <cell r="I1589">
            <v>6</v>
          </cell>
          <cell r="J1589" t="str">
            <v>Material</v>
          </cell>
        </row>
        <row r="1590">
          <cell r="A1590">
            <v>9001</v>
          </cell>
          <cell r="B1590" t="str">
            <v>ja</v>
          </cell>
          <cell r="C1590" t="str">
            <v>春香</v>
          </cell>
          <cell r="D1590" t="str">
            <v>ポムポムプリン</v>
          </cell>
          <cell r="E1590" t="str">
            <v>執行者</v>
          </cell>
          <cell r="F1590" t="str">
            <v>格好いい</v>
          </cell>
          <cell r="G1590" t="str">
            <v>女性</v>
          </cell>
          <cell r="H1590" t="str">
            <v>red</v>
          </cell>
          <cell r="I1590">
            <v>5</v>
          </cell>
          <cell r="J1590" t="str">
            <v>PremiumSSw</v>
          </cell>
        </row>
        <row r="1591">
          <cell r="A1591">
            <v>9002</v>
          </cell>
          <cell r="B1591" t="str">
            <v>ja</v>
          </cell>
          <cell r="C1591" t="str">
            <v>春香★６</v>
          </cell>
          <cell r="D1591" t="str">
            <v>ポムポムプリン</v>
          </cell>
          <cell r="E1591" t="str">
            <v>執行者</v>
          </cell>
          <cell r="F1591" t="str">
            <v>格好いい</v>
          </cell>
          <cell r="G1591" t="str">
            <v>女性</v>
          </cell>
          <cell r="H1591" t="str">
            <v>red</v>
          </cell>
          <cell r="I1591">
            <v>6</v>
          </cell>
          <cell r="J1591" t="str">
            <v>PremiumSSw</v>
          </cell>
        </row>
        <row r="1592">
          <cell r="A1592">
            <v>9003</v>
          </cell>
          <cell r="B1592" t="str">
            <v>ja</v>
          </cell>
          <cell r="C1592" t="str">
            <v>夢龍</v>
          </cell>
          <cell r="D1592" t="str">
            <v>ポムポムプリン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green</v>
          </cell>
          <cell r="I1592">
            <v>5</v>
          </cell>
          <cell r="J1592" t="str">
            <v>DropWizS</v>
          </cell>
        </row>
        <row r="1593">
          <cell r="A1593">
            <v>9004</v>
          </cell>
          <cell r="B1593" t="str">
            <v>ja</v>
          </cell>
          <cell r="C1593" t="str">
            <v>夢龍★６</v>
          </cell>
          <cell r="D1593" t="str">
            <v>各属性相性良3・黄・R455</v>
          </cell>
          <cell r="E1593" t="str">
            <v>執行者</v>
          </cell>
          <cell r="F1593" t="str">
            <v>格好いい</v>
          </cell>
          <cell r="G1593" t="str">
            <v>男性</v>
          </cell>
          <cell r="H1593" t="str">
            <v>green</v>
          </cell>
          <cell r="I1593">
            <v>6</v>
          </cell>
          <cell r="J1593" t="str">
            <v>DropWizS</v>
          </cell>
        </row>
        <row r="1594">
          <cell r="A1594">
            <v>10001</v>
          </cell>
          <cell r="B1594" t="str">
            <v>ja</v>
          </cell>
          <cell r="C1594" t="str">
            <v>テストユニット01</v>
          </cell>
          <cell r="H1594" t="str">
            <v>yellow</v>
          </cell>
          <cell r="I1594">
            <v>6</v>
          </cell>
          <cell r="J1594" t="str">
            <v>PremiumSS</v>
          </cell>
        </row>
        <row r="1595">
          <cell r="A1595">
            <v>10002</v>
          </cell>
          <cell r="B1595" t="str">
            <v>ja</v>
          </cell>
          <cell r="C1595" t="str">
            <v>テストユニット02</v>
          </cell>
          <cell r="H1595" t="str">
            <v>yellow</v>
          </cell>
          <cell r="I1595">
            <v>6</v>
          </cell>
          <cell r="J1595" t="str">
            <v>PremiumSS</v>
          </cell>
        </row>
      </sheetData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6"/>
  <sheetViews>
    <sheetView showGridLines="0" workbookViewId="0">
      <pane ySplit="1" topLeftCell="A2" activePane="bottomLeft" state="frozen"/>
      <selection activeCell="V2" sqref="V2:X34"/>
      <selection pane="bottomLeft" activeCell="M13" sqref="M13"/>
    </sheetView>
  </sheetViews>
  <sheetFormatPr baseColWidth="12" defaultColWidth="13" defaultRowHeight="21" customHeight="1" outlineLevelCol="1" x14ac:dyDescent="0.15"/>
  <cols>
    <col min="1" max="1" width="8.83203125" style="30" bestFit="1" customWidth="1"/>
    <col min="2" max="2" width="5" style="30" bestFit="1" customWidth="1"/>
    <col min="3" max="3" width="7.1640625" style="4" bestFit="1" customWidth="1"/>
    <col min="4" max="5" width="10.33203125" style="4" customWidth="1" outlineLevel="1"/>
    <col min="6" max="6" width="7" style="4" bestFit="1" customWidth="1"/>
    <col min="7" max="7" width="8.83203125" style="30" customWidth="1" outlineLevel="1"/>
    <col min="8" max="8" width="16.1640625" style="4" customWidth="1" outlineLevel="1"/>
    <col min="9" max="9" width="6.5" style="4" bestFit="1" customWidth="1"/>
    <col min="10" max="10" width="11" style="4" bestFit="1" customWidth="1"/>
    <col min="11" max="11" width="11.33203125" style="4" bestFit="1" customWidth="1"/>
    <col min="12" max="16384" width="13" style="4"/>
  </cols>
  <sheetData>
    <row r="1" spans="1:11" ht="21" customHeight="1" x14ac:dyDescent="0.15">
      <c r="A1" s="22" t="s">
        <v>31</v>
      </c>
      <c r="B1" s="22" t="s">
        <v>38</v>
      </c>
      <c r="C1" s="1" t="s">
        <v>0</v>
      </c>
      <c r="D1" s="2" t="s">
        <v>18</v>
      </c>
      <c r="E1" s="21" t="s">
        <v>35</v>
      </c>
      <c r="F1" s="1" t="s">
        <v>1</v>
      </c>
      <c r="G1" s="34" t="s">
        <v>34</v>
      </c>
      <c r="H1" s="21" t="s">
        <v>36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22" t="str">
        <f>G2&amp;"-"&amp;I2</f>
        <v>20003_1-1</v>
      </c>
      <c r="B2" s="22" t="str">
        <f>IF(COUNTIF(enemy_habitats_drop_1_3!$H:$H,A2),"OK","NG")</f>
        <v>OK</v>
      </c>
      <c r="C2" s="9">
        <v>20003</v>
      </c>
      <c r="D2" s="13" t="str">
        <f ca="1">VLOOKUP($C2,OFFSET([1]quests!$A$1,0,0,COUNTA([1]quests!$A:$A),MATCH(D$1,[1]quests!$1:$1,0)-MATCH($C$1,[1]quests!$1:$1,0)+1),MATCH(D$1,[1]quests!$1:$1,0)-MATCH($C$1,[1]quests!$1:$1,0)+1,FALSE)</f>
        <v>忍び寄る短剣</v>
      </c>
      <c r="E2" s="29" t="str">
        <f ca="1">VLOOKUP($C2,OFFSET([1]quests!$A$1,0,0,COUNTA([1]quests!$A:$A),MATCH(E$1,[1]quests!$1:$1,0)-MATCH($C$1,[1]quests!$1:$1,0)+1),MATCH(E$1,[1]quests!$1:$1,0)-MATCH($C$1,[1]quests!$1:$1,0)+1,FALSE)</f>
        <v>ドロップイベント1-3</v>
      </c>
      <c r="F2" s="32">
        <v>1</v>
      </c>
      <c r="G2" s="34" t="str">
        <f>C2&amp;"_"&amp;F2</f>
        <v>20003_1</v>
      </c>
      <c r="H2" s="21" t="str">
        <f ca="1">VLOOKUP($G2,OFFSET([1]stages!$A$1,0,0,COUNTA([1]stages!$A:$A),MATCH(H$1,[1]stages!$2:$2,0)-MATCH($G$1,[1]stages!$2:$2,0)+1),MATCH(H$1,[1]stages!$2:$2,0)-MATCH($G$1,[1]stages!$2:$2,0)+1,FALSE)</f>
        <v xml:space="preserve">【初級】忍び寄る短剣 </v>
      </c>
      <c r="I2" s="32">
        <v>1</v>
      </c>
      <c r="J2" s="14">
        <v>30</v>
      </c>
      <c r="K2" s="14">
        <v>30</v>
      </c>
    </row>
    <row r="3" spans="1:11" ht="21" customHeight="1" x14ac:dyDescent="0.15">
      <c r="A3" s="22" t="str">
        <f>G3&amp;"-"&amp;I3</f>
        <v>20003_1-2</v>
      </c>
      <c r="B3" s="22" t="str">
        <f>IF(COUNTIF(enemy_habitats_drop_1_3!$H:$H,A3),"OK","NG")</f>
        <v>OK</v>
      </c>
      <c r="C3" s="9">
        <v>20003</v>
      </c>
      <c r="D3" s="13" t="str">
        <f ca="1">VLOOKUP($C3,OFFSET([1]quests!$A$1,0,0,COUNTA([1]quests!$A:$A),MATCH(D$1,[1]quests!$1:$1,0)-MATCH($C$1,[1]quests!$1:$1,0)+1),MATCH(D$1,[1]quests!$1:$1,0)-MATCH($C$1,[1]quests!$1:$1,0)+1,FALSE)</f>
        <v>忍び寄る短剣</v>
      </c>
      <c r="E3" s="29" t="str">
        <f ca="1">VLOOKUP($C3,OFFSET([1]quests!$A$1,0,0,COUNTA([1]quests!$A:$A),MATCH(E$1,[1]quests!$1:$1,0)-MATCH($C$1,[1]quests!$1:$1,0)+1),MATCH(E$1,[1]quests!$1:$1,0)-MATCH($C$1,[1]quests!$1:$1,0)+1,FALSE)</f>
        <v>ドロップイベント1-3</v>
      </c>
      <c r="F3" s="32">
        <v>1</v>
      </c>
      <c r="G3" s="34" t="str">
        <f>C3&amp;"_"&amp;F3</f>
        <v>20003_1</v>
      </c>
      <c r="H3" s="21" t="str">
        <f ca="1">VLOOKUP($G3,OFFSET([1]stages!$A$1,0,0,COUNTA([1]stages!$A:$A),MATCH(H$1,[1]stages!$2:$2,0)-MATCH($G$1,[1]stages!$2:$2,0)+1),MATCH(H$1,[1]stages!$2:$2,0)-MATCH($G$1,[1]stages!$2:$2,0)+1,FALSE)</f>
        <v xml:space="preserve">【初級】忍び寄る短剣 </v>
      </c>
      <c r="I3" s="32">
        <v>2</v>
      </c>
      <c r="J3" s="14">
        <v>45</v>
      </c>
      <c r="K3" s="14">
        <v>45</v>
      </c>
    </row>
    <row r="4" spans="1:11" ht="21" customHeight="1" x14ac:dyDescent="0.15">
      <c r="A4" s="22" t="str">
        <f t="shared" ref="A4:A5" si="0">G4&amp;"-"&amp;I4</f>
        <v>20003_1-3</v>
      </c>
      <c r="B4" s="22" t="str">
        <f>IF(COUNTIF(enemy_habitats_drop_1_3!$H:$H,A4),"OK","NG")</f>
        <v>OK</v>
      </c>
      <c r="C4" s="9">
        <v>20003</v>
      </c>
      <c r="D4" s="13" t="str">
        <f ca="1">VLOOKUP($C4,OFFSET([1]quests!$A$1,0,0,COUNTA([1]quests!$A:$A),MATCH(D$1,[1]quests!$1:$1,0)-MATCH($C$1,[1]quests!$1:$1,0)+1),MATCH(D$1,[1]quests!$1:$1,0)-MATCH($C$1,[1]quests!$1:$1,0)+1,FALSE)</f>
        <v>忍び寄る短剣</v>
      </c>
      <c r="E4" s="29" t="str">
        <f ca="1">VLOOKUP($C4,OFFSET([1]quests!$A$1,0,0,COUNTA([1]quests!$A:$A),MATCH(E$1,[1]quests!$1:$1,0)-MATCH($C$1,[1]quests!$1:$1,0)+1),MATCH(E$1,[1]quests!$1:$1,0)-MATCH($C$1,[1]quests!$1:$1,0)+1,FALSE)</f>
        <v>ドロップイベント1-3</v>
      </c>
      <c r="F4" s="32">
        <v>1</v>
      </c>
      <c r="G4" s="34" t="str">
        <f t="shared" ref="G4:G5" si="1">C4&amp;"_"&amp;F4</f>
        <v>20003_1</v>
      </c>
      <c r="H4" s="21" t="str">
        <f ca="1">VLOOKUP($G4,OFFSET([1]stages!$A$1,0,0,COUNTA([1]stages!$A:$A),MATCH(H$1,[1]stages!$2:$2,0)-MATCH($G$1,[1]stages!$2:$2,0)+1),MATCH(H$1,[1]stages!$2:$2,0)-MATCH($G$1,[1]stages!$2:$2,0)+1,FALSE)</f>
        <v xml:space="preserve">【初級】忍び寄る短剣 </v>
      </c>
      <c r="I4" s="32">
        <v>3</v>
      </c>
      <c r="J4" s="14">
        <v>45</v>
      </c>
      <c r="K4" s="14">
        <v>45</v>
      </c>
    </row>
    <row r="5" spans="1:11" ht="21" customHeight="1" x14ac:dyDescent="0.15">
      <c r="A5" s="22" t="str">
        <f t="shared" si="0"/>
        <v>20003_1-4</v>
      </c>
      <c r="B5" s="22" t="str">
        <f>IF(COUNTIF(enemy_habitats_drop_1_3!$H:$H,A5),"OK","NG")</f>
        <v>OK</v>
      </c>
      <c r="C5" s="9">
        <v>20003</v>
      </c>
      <c r="D5" s="13" t="str">
        <f ca="1">VLOOKUP($C5,OFFSET([1]quests!$A$1,0,0,COUNTA([1]quests!$A:$A),MATCH(D$1,[1]quests!$1:$1,0)-MATCH($C$1,[1]quests!$1:$1,0)+1),MATCH(D$1,[1]quests!$1:$1,0)-MATCH($C$1,[1]quests!$1:$1,0)+1,FALSE)</f>
        <v>忍び寄る短剣</v>
      </c>
      <c r="E5" s="29" t="str">
        <f ca="1">VLOOKUP($C5,OFFSET([1]quests!$A$1,0,0,COUNTA([1]quests!$A:$A),MATCH(E$1,[1]quests!$1:$1,0)-MATCH($C$1,[1]quests!$1:$1,0)+1),MATCH(E$1,[1]quests!$1:$1,0)-MATCH($C$1,[1]quests!$1:$1,0)+1,FALSE)</f>
        <v>ドロップイベント1-3</v>
      </c>
      <c r="F5" s="32">
        <v>1</v>
      </c>
      <c r="G5" s="34" t="str">
        <f t="shared" si="1"/>
        <v>20003_1</v>
      </c>
      <c r="H5" s="21" t="str">
        <f ca="1">VLOOKUP($G5,OFFSET([1]stages!$A$1,0,0,COUNTA([1]stages!$A:$A),MATCH(H$1,[1]stages!$2:$2,0)-MATCH($G$1,[1]stages!$2:$2,0)+1),MATCH(H$1,[1]stages!$2:$2,0)-MATCH($G$1,[1]stages!$2:$2,0)+1,FALSE)</f>
        <v xml:space="preserve">【初級】忍び寄る短剣 </v>
      </c>
      <c r="I5" s="32">
        <v>4</v>
      </c>
      <c r="J5" s="14">
        <v>45</v>
      </c>
      <c r="K5" s="14">
        <v>45</v>
      </c>
    </row>
    <row r="6" spans="1:11" ht="21" customHeight="1" x14ac:dyDescent="0.15">
      <c r="A6" s="22" t="str">
        <f t="shared" ref="A6" si="2">G6&amp;"-"&amp;I6</f>
        <v>20003_1-5</v>
      </c>
      <c r="B6" s="22" t="str">
        <f>IF(COUNTIF(enemy_habitats_drop_1_3!$H:$H,A6),"OK","NG")</f>
        <v>OK</v>
      </c>
      <c r="C6" s="9">
        <v>20003</v>
      </c>
      <c r="D6" s="13" t="str">
        <f ca="1">VLOOKUP($C6,OFFSET([1]quests!$A$1,0,0,COUNTA([1]quests!$A:$A),MATCH(D$1,[1]quests!$1:$1,0)-MATCH($C$1,[1]quests!$1:$1,0)+1),MATCH(D$1,[1]quests!$1:$1,0)-MATCH($C$1,[1]quests!$1:$1,0)+1,FALSE)</f>
        <v>忍び寄る短剣</v>
      </c>
      <c r="E6" s="29" t="str">
        <f ca="1">VLOOKUP($C6,OFFSET([1]quests!$A$1,0,0,COUNTA([1]quests!$A:$A),MATCH(E$1,[1]quests!$1:$1,0)-MATCH($C$1,[1]quests!$1:$1,0)+1),MATCH(E$1,[1]quests!$1:$1,0)-MATCH($C$1,[1]quests!$1:$1,0)+1,FALSE)</f>
        <v>ドロップイベント1-3</v>
      </c>
      <c r="F6" s="32">
        <v>1</v>
      </c>
      <c r="G6" s="34" t="str">
        <f t="shared" ref="G6" si="3">C6&amp;"_"&amp;F6</f>
        <v>20003_1</v>
      </c>
      <c r="H6" s="21" t="str">
        <f ca="1">VLOOKUP($G6,OFFSET([1]stages!$A$1,0,0,COUNTA([1]stages!$A:$A),MATCH(H$1,[1]stages!$2:$2,0)-MATCH($G$1,[1]stages!$2:$2,0)+1),MATCH(H$1,[1]stages!$2:$2,0)-MATCH($G$1,[1]stages!$2:$2,0)+1,FALSE)</f>
        <v xml:space="preserve">【初級】忍び寄る短剣 </v>
      </c>
      <c r="I6" s="32">
        <v>5</v>
      </c>
      <c r="J6" s="14">
        <v>20</v>
      </c>
      <c r="K6" s="14">
        <v>20</v>
      </c>
    </row>
    <row r="7" spans="1:11" ht="21" customHeight="1" x14ac:dyDescent="0.15">
      <c r="A7" s="22" t="str">
        <f>G7&amp;"-"&amp;I7</f>
        <v>20003_2-1</v>
      </c>
      <c r="B7" s="22" t="str">
        <f>IF(COUNTIF(enemy_habitats_drop_1_3!$H:$H,A7),"OK","NG")</f>
        <v>OK</v>
      </c>
      <c r="C7" s="9">
        <v>20003</v>
      </c>
      <c r="D7" s="13" t="str">
        <f ca="1">VLOOKUP($C7,OFFSET([1]quests!$A$1,0,0,COUNTA([1]quests!$A:$A),MATCH(D$1,[1]quests!$1:$1,0)-MATCH($C$1,[1]quests!$1:$1,0)+1),MATCH(D$1,[1]quests!$1:$1,0)-MATCH($C$1,[1]quests!$1:$1,0)+1,FALSE)</f>
        <v>忍び寄る短剣</v>
      </c>
      <c r="E7" s="29" t="str">
        <f ca="1">VLOOKUP($C7,OFFSET([1]quests!$A$1,0,0,COUNTA([1]quests!$A:$A),MATCH(E$1,[1]quests!$1:$1,0)-MATCH($C$1,[1]quests!$1:$1,0)+1),MATCH(E$1,[1]quests!$1:$1,0)-MATCH($C$1,[1]quests!$1:$1,0)+1,FALSE)</f>
        <v>ドロップイベント1-3</v>
      </c>
      <c r="F7" s="32">
        <v>2</v>
      </c>
      <c r="G7" s="34" t="str">
        <f>C7&amp;"_"&amp;F7</f>
        <v>20003_2</v>
      </c>
      <c r="H7" s="21" t="str">
        <f ca="1">VLOOKUP($G7,OFFSET([1]stages!$A$1,0,0,COUNTA([1]stages!$A:$A),MATCH(H$1,[1]stages!$2:$2,0)-MATCH($G$1,[1]stages!$2:$2,0)+1),MATCH(H$1,[1]stages!$2:$2,0)-MATCH($G$1,[1]stages!$2:$2,0)+1,FALSE)</f>
        <v xml:space="preserve">【中級】忍び寄る短剣 </v>
      </c>
      <c r="I7" s="32">
        <v>1</v>
      </c>
      <c r="J7" s="14">
        <v>30</v>
      </c>
      <c r="K7" s="14">
        <v>45</v>
      </c>
    </row>
    <row r="8" spans="1:11" ht="21" customHeight="1" x14ac:dyDescent="0.15">
      <c r="A8" s="22" t="str">
        <f>G8&amp;"-"&amp;I8</f>
        <v>20003_2-2</v>
      </c>
      <c r="B8" s="22" t="str">
        <f>IF(COUNTIF(enemy_habitats_drop_1_3!$H:$H,A8),"OK","NG")</f>
        <v>OK</v>
      </c>
      <c r="C8" s="9">
        <v>20003</v>
      </c>
      <c r="D8" s="13" t="str">
        <f ca="1">VLOOKUP($C8,OFFSET([1]quests!$A$1,0,0,COUNTA([1]quests!$A:$A),MATCH(D$1,[1]quests!$1:$1,0)-MATCH($C$1,[1]quests!$1:$1,0)+1),MATCH(D$1,[1]quests!$1:$1,0)-MATCH($C$1,[1]quests!$1:$1,0)+1,FALSE)</f>
        <v>忍び寄る短剣</v>
      </c>
      <c r="E8" s="29" t="str">
        <f ca="1">VLOOKUP($C8,OFFSET([1]quests!$A$1,0,0,COUNTA([1]quests!$A:$A),MATCH(E$1,[1]quests!$1:$1,0)-MATCH($C$1,[1]quests!$1:$1,0)+1),MATCH(E$1,[1]quests!$1:$1,0)-MATCH($C$1,[1]quests!$1:$1,0)+1,FALSE)</f>
        <v>ドロップイベント1-3</v>
      </c>
      <c r="F8" s="32">
        <v>2</v>
      </c>
      <c r="G8" s="34" t="str">
        <f>C8&amp;"_"&amp;F8</f>
        <v>20003_2</v>
      </c>
      <c r="H8" s="21" t="str">
        <f ca="1">VLOOKUP($G8,OFFSET([1]stages!$A$1,0,0,COUNTA([1]stages!$A:$A),MATCH(H$1,[1]stages!$2:$2,0)-MATCH($G$1,[1]stages!$2:$2,0)+1),MATCH(H$1,[1]stages!$2:$2,0)-MATCH($G$1,[1]stages!$2:$2,0)+1,FALSE)</f>
        <v xml:space="preserve">【中級】忍び寄る短剣 </v>
      </c>
      <c r="I8" s="32">
        <v>2</v>
      </c>
      <c r="J8" s="14">
        <v>45</v>
      </c>
      <c r="K8" s="14">
        <v>45</v>
      </c>
    </row>
    <row r="9" spans="1:11" ht="21" customHeight="1" x14ac:dyDescent="0.15">
      <c r="A9" s="22" t="str">
        <f t="shared" ref="A9:A11" si="4">G9&amp;"-"&amp;I9</f>
        <v>20003_2-3</v>
      </c>
      <c r="B9" s="22" t="str">
        <f>IF(COUNTIF(enemy_habitats_drop_1_3!$H:$H,A9),"OK","NG")</f>
        <v>OK</v>
      </c>
      <c r="C9" s="9">
        <v>20003</v>
      </c>
      <c r="D9" s="13" t="str">
        <f ca="1">VLOOKUP($C9,OFFSET([1]quests!$A$1,0,0,COUNTA([1]quests!$A:$A),MATCH(D$1,[1]quests!$1:$1,0)-MATCH($C$1,[1]quests!$1:$1,0)+1),MATCH(D$1,[1]quests!$1:$1,0)-MATCH($C$1,[1]quests!$1:$1,0)+1,FALSE)</f>
        <v>忍び寄る短剣</v>
      </c>
      <c r="E9" s="29" t="str">
        <f ca="1">VLOOKUP($C9,OFFSET([1]quests!$A$1,0,0,COUNTA([1]quests!$A:$A),MATCH(E$1,[1]quests!$1:$1,0)-MATCH($C$1,[1]quests!$1:$1,0)+1),MATCH(E$1,[1]quests!$1:$1,0)-MATCH($C$1,[1]quests!$1:$1,0)+1,FALSE)</f>
        <v>ドロップイベント1-3</v>
      </c>
      <c r="F9" s="32">
        <v>2</v>
      </c>
      <c r="G9" s="34" t="str">
        <f t="shared" ref="G9:G11" si="5">C9&amp;"_"&amp;F9</f>
        <v>20003_2</v>
      </c>
      <c r="H9" s="21" t="str">
        <f ca="1">VLOOKUP($G9,OFFSET([1]stages!$A$1,0,0,COUNTA([1]stages!$A:$A),MATCH(H$1,[1]stages!$2:$2,0)-MATCH($G$1,[1]stages!$2:$2,0)+1),MATCH(H$1,[1]stages!$2:$2,0)-MATCH($G$1,[1]stages!$2:$2,0)+1,FALSE)</f>
        <v xml:space="preserve">【中級】忍び寄る短剣 </v>
      </c>
      <c r="I9" s="32">
        <v>3</v>
      </c>
      <c r="J9" s="14">
        <v>45</v>
      </c>
      <c r="K9" s="14">
        <v>45</v>
      </c>
    </row>
    <row r="10" spans="1:11" ht="21" customHeight="1" x14ac:dyDescent="0.15">
      <c r="A10" s="22" t="str">
        <f t="shared" si="4"/>
        <v>20003_2-4</v>
      </c>
      <c r="B10" s="22" t="str">
        <f>IF(COUNTIF(enemy_habitats_drop_1_3!$H:$H,A10),"OK","NG")</f>
        <v>OK</v>
      </c>
      <c r="C10" s="9">
        <v>20003</v>
      </c>
      <c r="D10" s="13" t="str">
        <f ca="1">VLOOKUP($C10,OFFSET([1]quests!$A$1,0,0,COUNTA([1]quests!$A:$A),MATCH(D$1,[1]quests!$1:$1,0)-MATCH($C$1,[1]quests!$1:$1,0)+1),MATCH(D$1,[1]quests!$1:$1,0)-MATCH($C$1,[1]quests!$1:$1,0)+1,FALSE)</f>
        <v>忍び寄る短剣</v>
      </c>
      <c r="E10" s="29" t="str">
        <f ca="1">VLOOKUP($C10,OFFSET([1]quests!$A$1,0,0,COUNTA([1]quests!$A:$A),MATCH(E$1,[1]quests!$1:$1,0)-MATCH($C$1,[1]quests!$1:$1,0)+1),MATCH(E$1,[1]quests!$1:$1,0)-MATCH($C$1,[1]quests!$1:$1,0)+1,FALSE)</f>
        <v>ドロップイベント1-3</v>
      </c>
      <c r="F10" s="32">
        <v>2</v>
      </c>
      <c r="G10" s="34" t="str">
        <f t="shared" si="5"/>
        <v>20003_2</v>
      </c>
      <c r="H10" s="21" t="str">
        <f ca="1">VLOOKUP($G10,OFFSET([1]stages!$A$1,0,0,COUNTA([1]stages!$A:$A),MATCH(H$1,[1]stages!$2:$2,0)-MATCH($G$1,[1]stages!$2:$2,0)+1),MATCH(H$1,[1]stages!$2:$2,0)-MATCH($G$1,[1]stages!$2:$2,0)+1,FALSE)</f>
        <v xml:space="preserve">【中級】忍び寄る短剣 </v>
      </c>
      <c r="I10" s="32">
        <v>4</v>
      </c>
      <c r="J10" s="14">
        <v>50</v>
      </c>
      <c r="K10" s="14">
        <v>50</v>
      </c>
    </row>
    <row r="11" spans="1:11" ht="21" customHeight="1" x14ac:dyDescent="0.15">
      <c r="A11" s="22" t="str">
        <f t="shared" si="4"/>
        <v>20003_2-5</v>
      </c>
      <c r="B11" s="22" t="str">
        <f>IF(COUNTIF(enemy_habitats_drop_1_3!$H:$H,A11),"OK","NG")</f>
        <v>OK</v>
      </c>
      <c r="C11" s="9">
        <v>20003</v>
      </c>
      <c r="D11" s="13" t="str">
        <f ca="1">VLOOKUP($C11,OFFSET([1]quests!$A$1,0,0,COUNTA([1]quests!$A:$A),MATCH(D$1,[1]quests!$1:$1,0)-MATCH($C$1,[1]quests!$1:$1,0)+1),MATCH(D$1,[1]quests!$1:$1,0)-MATCH($C$1,[1]quests!$1:$1,0)+1,FALSE)</f>
        <v>忍び寄る短剣</v>
      </c>
      <c r="E11" s="29" t="str">
        <f ca="1">VLOOKUP($C11,OFFSET([1]quests!$A$1,0,0,COUNTA([1]quests!$A:$A),MATCH(E$1,[1]quests!$1:$1,0)-MATCH($C$1,[1]quests!$1:$1,0)+1),MATCH(E$1,[1]quests!$1:$1,0)-MATCH($C$1,[1]quests!$1:$1,0)+1,FALSE)</f>
        <v>ドロップイベント1-3</v>
      </c>
      <c r="F11" s="32">
        <v>2</v>
      </c>
      <c r="G11" s="34" t="str">
        <f t="shared" si="5"/>
        <v>20003_2</v>
      </c>
      <c r="H11" s="21" t="str">
        <f ca="1">VLOOKUP($G11,OFFSET([1]stages!$A$1,0,0,COUNTA([1]stages!$A:$A),MATCH(H$1,[1]stages!$2:$2,0)-MATCH($G$1,[1]stages!$2:$2,0)+1),MATCH(H$1,[1]stages!$2:$2,0)-MATCH($G$1,[1]stages!$2:$2,0)+1,FALSE)</f>
        <v xml:space="preserve">【中級】忍び寄る短剣 </v>
      </c>
      <c r="I11" s="32">
        <v>5</v>
      </c>
      <c r="J11" s="14">
        <v>20</v>
      </c>
      <c r="K11" s="14">
        <v>20</v>
      </c>
    </row>
    <row r="12" spans="1:11" ht="21" customHeight="1" x14ac:dyDescent="0.15">
      <c r="A12" s="22" t="str">
        <f>G12&amp;"-"&amp;I12</f>
        <v>20003_3-1</v>
      </c>
      <c r="B12" s="22" t="str">
        <f>IF(COUNTIF(enemy_habitats_drop_1_3!$H:$H,A12),"OK","NG")</f>
        <v>OK</v>
      </c>
      <c r="C12" s="9">
        <v>20003</v>
      </c>
      <c r="D12" s="13" t="str">
        <f ca="1">VLOOKUP($C12,OFFSET([1]quests!$A$1,0,0,COUNTA([1]quests!$A:$A),MATCH(D$1,[1]quests!$1:$1,0)-MATCH($C$1,[1]quests!$1:$1,0)+1),MATCH(D$1,[1]quests!$1:$1,0)-MATCH($C$1,[1]quests!$1:$1,0)+1,FALSE)</f>
        <v>忍び寄る短剣</v>
      </c>
      <c r="E12" s="29" t="str">
        <f ca="1">VLOOKUP($C12,OFFSET([1]quests!$A$1,0,0,COUNTA([1]quests!$A:$A),MATCH(E$1,[1]quests!$1:$1,0)-MATCH($C$1,[1]quests!$1:$1,0)+1),MATCH(E$1,[1]quests!$1:$1,0)-MATCH($C$1,[1]quests!$1:$1,0)+1,FALSE)</f>
        <v>ドロップイベント1-3</v>
      </c>
      <c r="F12" s="32">
        <v>3</v>
      </c>
      <c r="G12" s="34" t="str">
        <f>C12&amp;"_"&amp;F12</f>
        <v>20003_3</v>
      </c>
      <c r="H12" s="21" t="str">
        <f ca="1">VLOOKUP($G12,OFFSET([1]stages!$A$1,0,0,COUNTA([1]stages!$A:$A),MATCH(H$1,[1]stages!$2:$2,0)-MATCH($G$1,[1]stages!$2:$2,0)+1),MATCH(H$1,[1]stages!$2:$2,0)-MATCH($G$1,[1]stages!$2:$2,0)+1,FALSE)</f>
        <v xml:space="preserve">【上級】忍び寄る短剣 </v>
      </c>
      <c r="I12" s="32">
        <v>1</v>
      </c>
      <c r="J12" s="14">
        <v>30</v>
      </c>
      <c r="K12" s="14">
        <v>45</v>
      </c>
    </row>
    <row r="13" spans="1:11" ht="21" customHeight="1" x14ac:dyDescent="0.15">
      <c r="A13" s="22" t="str">
        <f>G13&amp;"-"&amp;I13</f>
        <v>20003_3-2</v>
      </c>
      <c r="B13" s="22" t="str">
        <f>IF(COUNTIF(enemy_habitats_drop_1_3!$H:$H,A13),"OK","NG")</f>
        <v>OK</v>
      </c>
      <c r="C13" s="9">
        <v>20003</v>
      </c>
      <c r="D13" s="13" t="str">
        <f ca="1">VLOOKUP($C13,OFFSET([1]quests!$A$1,0,0,COUNTA([1]quests!$A:$A),MATCH(D$1,[1]quests!$1:$1,0)-MATCH($C$1,[1]quests!$1:$1,0)+1),MATCH(D$1,[1]quests!$1:$1,0)-MATCH($C$1,[1]quests!$1:$1,0)+1,FALSE)</f>
        <v>忍び寄る短剣</v>
      </c>
      <c r="E13" s="29" t="str">
        <f ca="1">VLOOKUP($C13,OFFSET([1]quests!$A$1,0,0,COUNTA([1]quests!$A:$A),MATCH(E$1,[1]quests!$1:$1,0)-MATCH($C$1,[1]quests!$1:$1,0)+1),MATCH(E$1,[1]quests!$1:$1,0)-MATCH($C$1,[1]quests!$1:$1,0)+1,FALSE)</f>
        <v>ドロップイベント1-3</v>
      </c>
      <c r="F13" s="32">
        <v>3</v>
      </c>
      <c r="G13" s="34" t="str">
        <f>C13&amp;"_"&amp;F13</f>
        <v>20003_3</v>
      </c>
      <c r="H13" s="21" t="str">
        <f ca="1">VLOOKUP($G13,OFFSET([1]stages!$A$1,0,0,COUNTA([1]stages!$A:$A),MATCH(H$1,[1]stages!$2:$2,0)-MATCH($G$1,[1]stages!$2:$2,0)+1),MATCH(H$1,[1]stages!$2:$2,0)-MATCH($G$1,[1]stages!$2:$2,0)+1,FALSE)</f>
        <v xml:space="preserve">【上級】忍び寄る短剣 </v>
      </c>
      <c r="I13" s="32">
        <v>2</v>
      </c>
      <c r="J13" s="14">
        <v>45</v>
      </c>
      <c r="K13" s="14">
        <v>45</v>
      </c>
    </row>
    <row r="14" spans="1:11" ht="21" customHeight="1" x14ac:dyDescent="0.15">
      <c r="A14" s="22" t="str">
        <f t="shared" ref="A14:A16" si="6">G14&amp;"-"&amp;I14</f>
        <v>20003_3-3</v>
      </c>
      <c r="B14" s="22" t="str">
        <f>IF(COUNTIF(enemy_habitats_drop_1_3!$H:$H,A14),"OK","NG")</f>
        <v>OK</v>
      </c>
      <c r="C14" s="9">
        <v>20003</v>
      </c>
      <c r="D14" s="13" t="str">
        <f ca="1">VLOOKUP($C14,OFFSET([1]quests!$A$1,0,0,COUNTA([1]quests!$A:$A),MATCH(D$1,[1]quests!$1:$1,0)-MATCH($C$1,[1]quests!$1:$1,0)+1),MATCH(D$1,[1]quests!$1:$1,0)-MATCH($C$1,[1]quests!$1:$1,0)+1,FALSE)</f>
        <v>忍び寄る短剣</v>
      </c>
      <c r="E14" s="29" t="str">
        <f ca="1">VLOOKUP($C14,OFFSET([1]quests!$A$1,0,0,COUNTA([1]quests!$A:$A),MATCH(E$1,[1]quests!$1:$1,0)-MATCH($C$1,[1]quests!$1:$1,0)+1),MATCH(E$1,[1]quests!$1:$1,0)-MATCH($C$1,[1]quests!$1:$1,0)+1,FALSE)</f>
        <v>ドロップイベント1-3</v>
      </c>
      <c r="F14" s="32">
        <v>3</v>
      </c>
      <c r="G14" s="34" t="str">
        <f t="shared" ref="G14:G16" si="7">C14&amp;"_"&amp;F14</f>
        <v>20003_3</v>
      </c>
      <c r="H14" s="21" t="str">
        <f ca="1">VLOOKUP($G14,OFFSET([1]stages!$A$1,0,0,COUNTA([1]stages!$A:$A),MATCH(H$1,[1]stages!$2:$2,0)-MATCH($G$1,[1]stages!$2:$2,0)+1),MATCH(H$1,[1]stages!$2:$2,0)-MATCH($G$1,[1]stages!$2:$2,0)+1,FALSE)</f>
        <v xml:space="preserve">【上級】忍び寄る短剣 </v>
      </c>
      <c r="I14" s="32">
        <v>3</v>
      </c>
      <c r="J14" s="14">
        <v>45</v>
      </c>
      <c r="K14" s="14">
        <v>45</v>
      </c>
    </row>
    <row r="15" spans="1:11" ht="21" customHeight="1" x14ac:dyDescent="0.15">
      <c r="A15" s="22" t="str">
        <f t="shared" si="6"/>
        <v>20003_3-4</v>
      </c>
      <c r="B15" s="22" t="str">
        <f>IF(COUNTIF(enemy_habitats_drop_1_3!$H:$H,A15),"OK","NG")</f>
        <v>OK</v>
      </c>
      <c r="C15" s="9">
        <v>20003</v>
      </c>
      <c r="D15" s="13" t="str">
        <f ca="1">VLOOKUP($C15,OFFSET([1]quests!$A$1,0,0,COUNTA([1]quests!$A:$A),MATCH(D$1,[1]quests!$1:$1,0)-MATCH($C$1,[1]quests!$1:$1,0)+1),MATCH(D$1,[1]quests!$1:$1,0)-MATCH($C$1,[1]quests!$1:$1,0)+1,FALSE)</f>
        <v>忍び寄る短剣</v>
      </c>
      <c r="E15" s="29" t="str">
        <f ca="1">VLOOKUP($C15,OFFSET([1]quests!$A$1,0,0,COUNTA([1]quests!$A:$A),MATCH(E$1,[1]quests!$1:$1,0)-MATCH($C$1,[1]quests!$1:$1,0)+1),MATCH(E$1,[1]quests!$1:$1,0)-MATCH($C$1,[1]quests!$1:$1,0)+1,FALSE)</f>
        <v>ドロップイベント1-3</v>
      </c>
      <c r="F15" s="32">
        <v>3</v>
      </c>
      <c r="G15" s="34" t="str">
        <f t="shared" si="7"/>
        <v>20003_3</v>
      </c>
      <c r="H15" s="21" t="str">
        <f ca="1">VLOOKUP($G15,OFFSET([1]stages!$A$1,0,0,COUNTA([1]stages!$A:$A),MATCH(H$1,[1]stages!$2:$2,0)-MATCH($G$1,[1]stages!$2:$2,0)+1),MATCH(H$1,[1]stages!$2:$2,0)-MATCH($G$1,[1]stages!$2:$2,0)+1,FALSE)</f>
        <v xml:space="preserve">【上級】忍び寄る短剣 </v>
      </c>
      <c r="I15" s="32">
        <v>4</v>
      </c>
      <c r="J15" s="14">
        <v>50</v>
      </c>
      <c r="K15" s="14">
        <v>50</v>
      </c>
    </row>
    <row r="16" spans="1:11" ht="21" customHeight="1" x14ac:dyDescent="0.15">
      <c r="A16" s="22" t="str">
        <f t="shared" si="6"/>
        <v>20003_3-5</v>
      </c>
      <c r="B16" s="22" t="str">
        <f>IF(COUNTIF(enemy_habitats_drop_1_3!$H:$H,A16),"OK","NG")</f>
        <v>OK</v>
      </c>
      <c r="C16" s="9">
        <v>20003</v>
      </c>
      <c r="D16" s="13" t="str">
        <f ca="1">VLOOKUP($C16,OFFSET([1]quests!$A$1,0,0,COUNTA([1]quests!$A:$A),MATCH(D$1,[1]quests!$1:$1,0)-MATCH($C$1,[1]quests!$1:$1,0)+1),MATCH(D$1,[1]quests!$1:$1,0)-MATCH($C$1,[1]quests!$1:$1,0)+1,FALSE)</f>
        <v>忍び寄る短剣</v>
      </c>
      <c r="E16" s="29" t="str">
        <f ca="1">VLOOKUP($C16,OFFSET([1]quests!$A$1,0,0,COUNTA([1]quests!$A:$A),MATCH(E$1,[1]quests!$1:$1,0)-MATCH($C$1,[1]quests!$1:$1,0)+1),MATCH(E$1,[1]quests!$1:$1,0)-MATCH($C$1,[1]quests!$1:$1,0)+1,FALSE)</f>
        <v>ドロップイベント1-3</v>
      </c>
      <c r="F16" s="32">
        <v>3</v>
      </c>
      <c r="G16" s="34" t="str">
        <f t="shared" si="7"/>
        <v>20003_3</v>
      </c>
      <c r="H16" s="21" t="str">
        <f ca="1">VLOOKUP($G16,OFFSET([1]stages!$A$1,0,0,COUNTA([1]stages!$A:$A),MATCH(H$1,[1]stages!$2:$2,0)-MATCH($G$1,[1]stages!$2:$2,0)+1),MATCH(H$1,[1]stages!$2:$2,0)-MATCH($G$1,[1]stages!$2:$2,0)+1,FALSE)</f>
        <v xml:space="preserve">【上級】忍び寄る短剣 </v>
      </c>
      <c r="I16" s="32">
        <v>5</v>
      </c>
      <c r="J16" s="14">
        <v>30</v>
      </c>
      <c r="K16" s="14">
        <v>30</v>
      </c>
    </row>
  </sheetData>
  <sheetProtection selectLockedCells="1" selectUnlockedCells="1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J68"/>
  <sheetViews>
    <sheetView showGridLines="0" tabSelected="1" zoomScale="75" zoomScaleNormal="75" zoomScalePageLayoutView="75" workbookViewId="0">
      <pane xSplit="14" ySplit="1" topLeftCell="AA36" activePane="bottomRight" state="frozen"/>
      <selection pane="topRight" activeCell="N1" sqref="N1"/>
      <selection pane="bottomLeft" activeCell="A2" sqref="A2"/>
      <selection pane="bottomRight" activeCell="G65" sqref="G65"/>
    </sheetView>
  </sheetViews>
  <sheetFormatPr baseColWidth="12" defaultColWidth="13" defaultRowHeight="21" customHeight="1" outlineLevelCol="1" x14ac:dyDescent="0.15"/>
  <cols>
    <col min="1" max="1" width="12.5" style="30" bestFit="1" customWidth="1"/>
    <col min="2" max="2" width="12.5" style="4" bestFit="1" customWidth="1"/>
    <col min="3" max="3" width="12.33203125" style="4" bestFit="1" customWidth="1" collapsed="1"/>
    <col min="4" max="4" width="14.6640625" style="16" hidden="1" customWidth="1" outlineLevel="1"/>
    <col min="5" max="6" width="15.6640625" style="4" hidden="1" customWidth="1" outlineLevel="1"/>
    <col min="7" max="7" width="11.83203125" style="4" bestFit="1" customWidth="1" collapsed="1"/>
    <col min="8" max="8" width="11.83203125" style="4" hidden="1" customWidth="1" outlineLevel="1"/>
    <col min="9" max="9" width="15.33203125" style="11" bestFit="1" customWidth="1"/>
    <col min="10" max="10" width="17.6640625" style="4" customWidth="1" outlineLevel="1"/>
    <col min="11" max="11" width="10.33203125" style="4" customWidth="1" outlineLevel="1"/>
    <col min="12" max="12" width="13.6640625" style="4" customWidth="1" outlineLevel="1"/>
    <col min="13" max="13" width="22.83203125" style="4" customWidth="1" outlineLevel="1"/>
    <col min="14" max="14" width="11.6640625" style="4" customWidth="1" outlineLevel="1"/>
    <col min="15" max="15" width="10.1640625" style="4" bestFit="1" customWidth="1"/>
    <col min="16" max="16" width="14.83203125" style="4" bestFit="1" customWidth="1"/>
    <col min="17" max="17" width="17.5" style="4" bestFit="1" customWidth="1"/>
    <col min="18" max="18" width="18.33203125" style="4" bestFit="1" customWidth="1"/>
    <col min="19" max="19" width="14" style="4" customWidth="1"/>
    <col min="20" max="20" width="14" style="4" customWidth="1" outlineLevel="1"/>
    <col min="21" max="21" width="13" style="4" bestFit="1" customWidth="1"/>
    <col min="22" max="22" width="13.5" style="4" bestFit="1" customWidth="1"/>
    <col min="23" max="23" width="12.33203125" style="4" bestFit="1" customWidth="1"/>
    <col min="24" max="24" width="12.83203125" style="4" bestFit="1" customWidth="1"/>
    <col min="25" max="25" width="14.83203125" style="4" bestFit="1" customWidth="1"/>
    <col min="26" max="26" width="17.6640625" style="15" customWidth="1" outlineLevel="1"/>
    <col min="27" max="28" width="13.6640625" style="16" customWidth="1" outlineLevel="1"/>
    <col min="29" max="29" width="16.83203125" style="12" bestFit="1" customWidth="1" collapsed="1"/>
    <col min="30" max="31" width="16.5" style="4" bestFit="1" customWidth="1"/>
    <col min="32" max="32" width="15.33203125" style="4" customWidth="1"/>
    <col min="33" max="16384" width="13" style="4"/>
  </cols>
  <sheetData>
    <row r="1" spans="1:36" ht="34" customHeight="1" x14ac:dyDescent="0.15">
      <c r="A1" s="22" t="s">
        <v>29</v>
      </c>
      <c r="B1" s="1" t="s">
        <v>0</v>
      </c>
      <c r="C1" s="1" t="s">
        <v>1</v>
      </c>
      <c r="D1" s="21" t="s">
        <v>28</v>
      </c>
      <c r="E1" s="2" t="s">
        <v>20</v>
      </c>
      <c r="F1" s="2" t="s">
        <v>20</v>
      </c>
      <c r="G1" s="1" t="s">
        <v>19</v>
      </c>
      <c r="H1" s="21" t="s">
        <v>37</v>
      </c>
      <c r="I1" s="1" t="s">
        <v>2</v>
      </c>
      <c r="J1" s="26" t="s">
        <v>21</v>
      </c>
      <c r="K1" s="21" t="s">
        <v>24</v>
      </c>
      <c r="L1" s="21" t="s">
        <v>23</v>
      </c>
      <c r="M1" s="28" t="s">
        <v>26</v>
      </c>
      <c r="N1" s="2" t="s">
        <v>25</v>
      </c>
      <c r="O1" s="1" t="s">
        <v>3</v>
      </c>
      <c r="P1" s="37" t="s">
        <v>49</v>
      </c>
      <c r="Q1" s="37" t="s">
        <v>50</v>
      </c>
      <c r="R1" s="37" t="s">
        <v>51</v>
      </c>
      <c r="S1" s="21" t="s">
        <v>33</v>
      </c>
      <c r="T1" s="1" t="s">
        <v>4</v>
      </c>
      <c r="U1" s="1" t="s">
        <v>5</v>
      </c>
      <c r="V1" s="1" t="s">
        <v>6</v>
      </c>
      <c r="W1" s="1" t="s">
        <v>7</v>
      </c>
      <c r="X1" s="1" t="s">
        <v>8</v>
      </c>
      <c r="Y1" s="3" t="s">
        <v>9</v>
      </c>
      <c r="Z1" s="23" t="s">
        <v>16</v>
      </c>
      <c r="AA1" s="23" t="s">
        <v>17</v>
      </c>
      <c r="AB1" s="23" t="s">
        <v>27</v>
      </c>
      <c r="AC1" s="3" t="s">
        <v>10</v>
      </c>
      <c r="AD1" s="1" t="s">
        <v>11</v>
      </c>
      <c r="AE1" s="1" t="s">
        <v>12</v>
      </c>
      <c r="AF1" s="1" t="s">
        <v>40</v>
      </c>
      <c r="AG1" s="1" t="s">
        <v>42</v>
      </c>
      <c r="AH1" s="1" t="s">
        <v>44</v>
      </c>
      <c r="AI1" s="1" t="s">
        <v>46</v>
      </c>
      <c r="AJ1" s="1" t="s">
        <v>48</v>
      </c>
    </row>
    <row r="2" spans="1:36" ht="21" customHeight="1" x14ac:dyDescent="0.15">
      <c r="A2" s="22" t="str">
        <f ca="1">B2&amp;"_"&amp;C2&amp;"-"&amp;G2&amp;"/"&amp;I2&amp;"&lt;lv"&amp;O2&amp;"&gt;s"&amp;X2</f>
        <v>20003_1-1/5&lt;lv16&gt;s3</v>
      </c>
      <c r="B2" s="33">
        <v>20003</v>
      </c>
      <c r="C2" s="32">
        <v>1</v>
      </c>
      <c r="D2" s="2" t="str">
        <f>B2&amp;"_"&amp;C2</f>
        <v>20003_1</v>
      </c>
      <c r="E2" s="5" t="str">
        <f ca="1">VLOOKUP($B2,OFFSET([1]quests!$A$1,0,0,COUNTA([1]quests!$A:$A),MATCH(E$1,[1]quests!$1:$1,0)-MATCH($B$1,[1]quests!$1:$1,0)+1),MATCH(E$1,[1]quests!$1:$1,0)-MATCH($B$1,[1]quests!$1:$1,0)+1,FALSE)</f>
        <v>忍び寄る短剣</v>
      </c>
      <c r="F2" s="5" t="str">
        <f ca="1">VLOOKUP($D2,OFFSET([1]stages!$A$1,0,0,COUNTA([1]stages!$A:$A),MATCH(F$1,[1]stages!$2:$2,0)-MATCH($D$1,[1]stages!$2:$2,0)+1),MATCH(F$1,[1]stages!$2:$2,0)-MATCH($D$1,[1]stages!$2:$2,0)+1,FALSE)</f>
        <v xml:space="preserve">【初級】忍び寄る短剣 </v>
      </c>
      <c r="G2" s="32">
        <v>1</v>
      </c>
      <c r="H2" s="21" t="str">
        <f>B2&amp;"_"&amp;C2&amp;"-"&amp;G2</f>
        <v>20003_1-1</v>
      </c>
      <c r="I2" s="31">
        <v>5</v>
      </c>
      <c r="J2" s="27" t="str">
        <f ca="1">VLOOKUP($I2,OFFSET([2]enemies!$A$1,0,0,COUNTA([2]enemies!$A:$A),MATCH(J$1,[2]enemies!$1:$1,0)-MATCH($I$1,[2]enemies!$1:$1,0)+1),MATCH(J$1,[2]enemies!$1:$1,0)-MATCH($I$1,[2]enemies!$1:$1,0)+1,FALSE)</f>
        <v>パトドッグ ポチ</v>
      </c>
      <c r="K2" s="27" t="str">
        <f ca="1">VLOOKUP($I2,OFFSET([2]enemies!$A$1,0,0,COUNTA([2]enemies!$A:$A),MATCH(K$1,[2]enemies!$1:$1,0)-MATCH($I$1,[2]enemies!$1:$1,0)+1),MATCH(K$1,[2]enemies!$1:$1,0)-MATCH($I$1,[2]enemies!$1:$1,0)+1,FALSE)</f>
        <v>blue</v>
      </c>
      <c r="L2" s="29" t="str">
        <f>VLOOKUP(I2,[3]characters!$A:$J,10,FALSE)</f>
        <v>Drop1T</v>
      </c>
      <c r="M2" s="27" t="str">
        <f ca="1">VLOOKUP($I2,OFFSET([2]enemies!$A$1,0,0,COUNTA([2]enemies!$A:$A),MATCH(M$1,[2]enemies!$1:$1,0)-MATCH($I$1,[2]enemies!$1:$1,0)+1),MATCH(M$1,[2]enemies!$1:$1,0)-MATCH($I$1,[2]enemies!$1:$1,0)+1,FALSE)</f>
        <v>unknown</v>
      </c>
      <c r="N2" s="27">
        <f ca="1">VLOOKUP($I2,OFFSET([2]enemies!$A$1,0,0,COUNTA([2]enemies!$A:$A),MATCH(N$1,[2]enemies!$1:$1,0)-MATCH($I$1,[2]enemies!$1:$1,0)+1),MATCH(N$1,[2]enemies!$1:$1,0)-MATCH($I$1,[2]enemies!$1:$1,0)+1,FALSE)</f>
        <v>15</v>
      </c>
      <c r="O2" s="6">
        <v>16</v>
      </c>
      <c r="P2" s="38">
        <v>1.5</v>
      </c>
      <c r="Q2" s="38">
        <v>1.2</v>
      </c>
      <c r="R2" s="6">
        <v>0</v>
      </c>
      <c r="S2" s="5" t="str">
        <f ca="1">VLOOKUP($T2,OFFSET([4]enemy_skill_sets!$B$1,0,0,COUNTA([4]enemy_skill_sets!$B:$B),MATCH(J$1,[4]enemy_skill_sets!$1:$1,0)-MATCH($T$1,[4]enemy_skill_sets!$1:$1,0)+2),MATCH(J$1,[4]enemy_skill_sets!$1:$1,0)-MATCH($T$1,[4]enemy_skill_sets!$1:$1,0)+2,FALSE)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" s="27">
        <f ca="1">VLOOKUP($I2,OFFSET([2]enemies!$A$1,0,0,COUNTA([2]enemies!$A:$A),MATCH(T$1,[2]enemies!$1:$1,0)-MATCH($I$1,[2]enemies!$1:$1,0)+1),MATCH(T$1,[2]enemies!$1:$1,0)-MATCH($I$1,[2]enemies!$1:$1,0)+1,FALSE)</f>
        <v>0</v>
      </c>
      <c r="U2" s="7">
        <v>0</v>
      </c>
      <c r="V2" s="7">
        <v>100</v>
      </c>
      <c r="W2" s="7">
        <v>0</v>
      </c>
      <c r="X2" s="27">
        <f ca="1">VLOOKUP($I2,OFFSET([2]enemies!$A$1,0,0,COUNTA([2]enemies!$A:$A),MATCH(X$1,[2]enemies!$1:$1,0)-MATCH($I$1,[2]enemies!$1:$1,0)+1),MATCH(X$1,[2]enemies!$1:$1,0)-MATCH($I$1,[2]enemies!$1:$1,0)+1,FALSE)</f>
        <v>3</v>
      </c>
      <c r="Y2" s="8">
        <v>5</v>
      </c>
      <c r="Z2" s="5" t="str">
        <f ca="1">IFERROR(VLOOKUP($Y2,OFFSET([3]characters!$A$1,0,0,COUNTA([3]characters!$A:$A),MATCH(Z$1,[3]characters!$1:$1,0)-MATCH("character_id",[3]characters!$1:$1,0)+1),MATCH(Z$1,[3]characters!$1:$1,0)-MATCH("character_id",[3]characters!$1:$1,0)+1,FALSE),"")</f>
        <v>パトドッグ ポチ</v>
      </c>
      <c r="AA2" s="5">
        <f ca="1">IFERROR(VLOOKUP($Y2,OFFSET([3]characters!$A$1,0,0,COUNTA([3]characters!$A:$A),MATCH(AA$1,[3]characters!$1:$1,0)-MATCH("character_id",[3]characters!$1:$1,0)+1),MATCH(AA$1,[3]characters!$1:$1,0)-MATCH("character_id",[3]characters!$1:$1,0)+1,FALSE),"")</f>
        <v>1</v>
      </c>
      <c r="AB2" s="5" t="str">
        <f ca="1">IFERROR(VLOOKUP($Y2,OFFSET([3]characters!$A$1,0,0,COUNTA([3]characters!$A:$A),MATCH(AB$1,[3]characters!$1:$1,0)-MATCH("character_id",[3]characters!$1:$1,0)+1),MATCH(AB$1,[3]characters!$1:$1,0)-MATCH("character_id",[3]characters!$1:$1,0)+1,FALSE),"")</f>
        <v>Drop1T</v>
      </c>
      <c r="AC2" s="9">
        <v>3</v>
      </c>
      <c r="AD2" s="35">
        <f ca="1">AA2</f>
        <v>1</v>
      </c>
      <c r="AE2" s="10">
        <v>25</v>
      </c>
      <c r="AF2" s="9">
        <v>0</v>
      </c>
      <c r="AG2" s="9">
        <v>0</v>
      </c>
      <c r="AH2" s="9">
        <v>0</v>
      </c>
      <c r="AI2" s="9">
        <v>0</v>
      </c>
      <c r="AJ2" s="9">
        <v>1</v>
      </c>
    </row>
    <row r="3" spans="1:36" ht="21" customHeight="1" x14ac:dyDescent="0.15">
      <c r="A3" s="22" t="str">
        <f t="shared" ref="A3:A4" ca="1" si="0">B3&amp;"_"&amp;C3&amp;"-"&amp;G3&amp;"/"&amp;I3&amp;"&lt;lv"&amp;O3&amp;"&gt;s"&amp;X3</f>
        <v>20003_1-1/17&lt;lv16&gt;s2</v>
      </c>
      <c r="B3" s="33">
        <v>20003</v>
      </c>
      <c r="C3" s="32">
        <v>1</v>
      </c>
      <c r="D3" s="2" t="str">
        <f t="shared" ref="D3:D4" si="1">B3&amp;"_"&amp;C3</f>
        <v>20003_1</v>
      </c>
      <c r="E3" s="5" t="str">
        <f ca="1">VLOOKUP($B3,OFFSET([1]quests!$A$1,0,0,COUNTA([1]quests!$A:$A),MATCH(E$1,[1]quests!$1:$1,0)-MATCH($B$1,[1]quests!$1:$1,0)+1),MATCH(E$1,[1]quests!$1:$1,0)-MATCH($B$1,[1]quests!$1:$1,0)+1,FALSE)</f>
        <v>忍び寄る短剣</v>
      </c>
      <c r="F3" s="5" t="str">
        <f ca="1">VLOOKUP($D3,OFFSET([1]stages!$A$1,0,0,COUNTA([1]stages!$A:$A),MATCH(F$1,[1]stages!$2:$2,0)-MATCH($D$1,[1]stages!$2:$2,0)+1),MATCH(F$1,[1]stages!$2:$2,0)-MATCH($D$1,[1]stages!$2:$2,0)+1,FALSE)</f>
        <v xml:space="preserve">【初級】忍び寄る短剣 </v>
      </c>
      <c r="G3" s="32">
        <v>1</v>
      </c>
      <c r="H3" s="21" t="str">
        <f t="shared" ref="H3:H4" si="2">B3&amp;"_"&amp;C3&amp;"-"&amp;G3</f>
        <v>20003_1-1</v>
      </c>
      <c r="I3" s="31">
        <v>17</v>
      </c>
      <c r="J3" s="27" t="str">
        <f ca="1">VLOOKUP($I3,OFFSET([2]enemies!$A$1,0,0,COUNTA([2]enemies!$A:$A),MATCH(J$1,[2]enemies!$1:$1,0)-MATCH($I$1,[2]enemies!$1:$1,0)+1),MATCH(J$1,[2]enemies!$1:$1,0)-MATCH($I$1,[2]enemies!$1:$1,0)+1,FALSE)</f>
        <v>リム</v>
      </c>
      <c r="K3" s="27" t="str">
        <f ca="1">VLOOKUP($I3,OFFSET([2]enemies!$A$1,0,0,COUNTA([2]enemies!$A:$A),MATCH(K$1,[2]enemies!$1:$1,0)-MATCH($I$1,[2]enemies!$1:$1,0)+1),MATCH(K$1,[2]enemies!$1:$1,0)-MATCH($I$1,[2]enemies!$1:$1,0)+1,FALSE)</f>
        <v>blue</v>
      </c>
      <c r="L3" s="29" t="str">
        <f>VLOOKUP(I3,[3]characters!$A:$J,10,FALSE)</f>
        <v>Drop1W</v>
      </c>
      <c r="M3" s="27" t="str">
        <f ca="1">VLOOKUP($I3,OFFSET([2]enemies!$A$1,0,0,COUNTA([2]enemies!$A:$A),MATCH(M$1,[2]enemies!$1:$1,0)-MATCH($I$1,[2]enemies!$1:$1,0)+1),MATCH(M$1,[2]enemies!$1:$1,0)-MATCH($I$1,[2]enemies!$1:$1,0)+1,FALSE)</f>
        <v>human</v>
      </c>
      <c r="N3" s="27">
        <f ca="1">VLOOKUP($I3,OFFSET([2]enemies!$A$1,0,0,COUNTA([2]enemies!$A:$A),MATCH(N$1,[2]enemies!$1:$1,0)-MATCH($I$1,[2]enemies!$1:$1,0)+1),MATCH(N$1,[2]enemies!$1:$1,0)-MATCH($I$1,[2]enemies!$1:$1,0)+1,FALSE)</f>
        <v>15</v>
      </c>
      <c r="O3" s="6">
        <v>16</v>
      </c>
      <c r="P3" s="38">
        <v>1.3</v>
      </c>
      <c r="Q3" s="38">
        <v>1.2</v>
      </c>
      <c r="R3" s="6">
        <v>0</v>
      </c>
      <c r="S3" s="5" t="str">
        <f ca="1">VLOOKUP($T3,OFFSET([4]enemy_skill_sets!$B$1,0,0,COUNTA([4]enemy_skill_sets!$B:$B),MATCH(J$1,[4]enemy_skill_sets!$1:$1,0)-MATCH($T$1,[4]enemy_skill_sets!$1:$1,0)+2),MATCH(J$1,[4]enemy_skill_sets!$1:$1,0)-MATCH($T$1,[4]enemy_skill_sets!$1:$1,0)+2,FALSE)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" s="27">
        <f ca="1">VLOOKUP($I3,OFFSET([2]enemies!$A$1,0,0,COUNTA([2]enemies!$A:$A),MATCH(T$1,[2]enemies!$1:$1,0)-MATCH($I$1,[2]enemies!$1:$1,0)+1),MATCH(T$1,[2]enemies!$1:$1,0)-MATCH($I$1,[2]enemies!$1:$1,0)+1,FALSE)</f>
        <v>0</v>
      </c>
      <c r="U3" s="7">
        <v>0</v>
      </c>
      <c r="V3" s="7">
        <v>100</v>
      </c>
      <c r="W3" s="7">
        <v>0</v>
      </c>
      <c r="X3" s="27">
        <f ca="1">VLOOKUP($I3,OFFSET([2]enemies!$A$1,0,0,COUNTA([2]enemies!$A:$A),MATCH(X$1,[2]enemies!$1:$1,0)-MATCH($I$1,[2]enemies!$1:$1,0)+1),MATCH(X$1,[2]enemies!$1:$1,0)-MATCH($I$1,[2]enemies!$1:$1,0)+1,FALSE)</f>
        <v>2</v>
      </c>
      <c r="Y3" s="8">
        <v>17</v>
      </c>
      <c r="Z3" s="5" t="str">
        <f ca="1">IFERROR(VLOOKUP($Y3,OFFSET([3]characters!$A$1,0,0,COUNTA([3]characters!$A:$A),MATCH(Z$1,[3]characters!$1:$1,0)-MATCH("character_id",[3]characters!$1:$1,0)+1),MATCH(Z$1,[3]characters!$1:$1,0)-MATCH("character_id",[3]characters!$1:$1,0)+1,FALSE),"")</f>
        <v>リム</v>
      </c>
      <c r="AA3" s="5">
        <f ca="1">IFERROR(VLOOKUP($Y3,OFFSET([3]characters!$A$1,0,0,COUNTA([3]characters!$A:$A),MATCH(AA$1,[3]characters!$1:$1,0)-MATCH("character_id",[3]characters!$1:$1,0)+1),MATCH(AA$1,[3]characters!$1:$1,0)-MATCH("character_id",[3]characters!$1:$1,0)+1,FALSE),"")</f>
        <v>1</v>
      </c>
      <c r="AB3" s="5" t="str">
        <f ca="1">IFERROR(VLOOKUP($Y3,OFFSET([3]characters!$A$1,0,0,COUNTA([3]characters!$A:$A),MATCH(AB$1,[3]characters!$1:$1,0)-MATCH("character_id",[3]characters!$1:$1,0)+1),MATCH(AB$1,[3]characters!$1:$1,0)-MATCH("character_id",[3]characters!$1:$1,0)+1,FALSE),"")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3" s="9">
        <v>1</v>
      </c>
      <c r="AD3" s="35">
        <f t="shared" ref="AD3:AD4" ca="1" si="3">AA3</f>
        <v>1</v>
      </c>
      <c r="AE3" s="10">
        <v>25</v>
      </c>
      <c r="AF3" s="9">
        <v>0</v>
      </c>
      <c r="AG3" s="9">
        <v>0</v>
      </c>
      <c r="AH3" s="9">
        <v>0</v>
      </c>
      <c r="AI3" s="9">
        <v>0</v>
      </c>
      <c r="AJ3" s="9">
        <v>1</v>
      </c>
    </row>
    <row r="4" spans="1:36" ht="21" customHeight="1" x14ac:dyDescent="0.15">
      <c r="A4" s="22" t="str">
        <f t="shared" ca="1" si="0"/>
        <v>20003_1-1/25&lt;lv16&gt;s3</v>
      </c>
      <c r="B4" s="33">
        <v>20003</v>
      </c>
      <c r="C4" s="32">
        <v>1</v>
      </c>
      <c r="D4" s="2" t="str">
        <f t="shared" si="1"/>
        <v>20003_1</v>
      </c>
      <c r="E4" s="5" t="str">
        <f ca="1">VLOOKUP($B4,OFFSET([1]quests!$A$1,0,0,COUNTA([1]quests!$A:$A),MATCH(E$1,[1]quests!$1:$1,0)-MATCH($B$1,[1]quests!$1:$1,0)+1),MATCH(E$1,[1]quests!$1:$1,0)-MATCH($B$1,[1]quests!$1:$1,0)+1,FALSE)</f>
        <v>忍び寄る短剣</v>
      </c>
      <c r="F4" s="5" t="str">
        <f ca="1">VLOOKUP($D4,OFFSET([1]stages!$A$1,0,0,COUNTA([1]stages!$A:$A),MATCH(F$1,[1]stages!$2:$2,0)-MATCH($D$1,[1]stages!$2:$2,0)+1),MATCH(F$1,[1]stages!$2:$2,0)-MATCH($D$1,[1]stages!$2:$2,0)+1,FALSE)</f>
        <v xml:space="preserve">【初級】忍び寄る短剣 </v>
      </c>
      <c r="G4" s="32">
        <v>1</v>
      </c>
      <c r="H4" s="21" t="str">
        <f t="shared" si="2"/>
        <v>20003_1-1</v>
      </c>
      <c r="I4" s="31">
        <v>25</v>
      </c>
      <c r="J4" s="27" t="str">
        <f ca="1">VLOOKUP($I4,OFFSET([2]enemies!$A$1,0,0,COUNTA([2]enemies!$A:$A),MATCH(J$1,[2]enemies!$1:$1,0)-MATCH($I$1,[2]enemies!$1:$1,0)+1),MATCH(J$1,[2]enemies!$1:$1,0)-MATCH($I$1,[2]enemies!$1:$1,0)+1,FALSE)</f>
        <v>ハチ</v>
      </c>
      <c r="K4" s="27" t="str">
        <f ca="1">VLOOKUP($I4,OFFSET([2]enemies!$A$1,0,0,COUNTA([2]enemies!$A:$A),MATCH(K$1,[2]enemies!$1:$1,0)-MATCH($I$1,[2]enemies!$1:$1,0)+1),MATCH(K$1,[2]enemies!$1:$1,0)-MATCH($I$1,[2]enemies!$1:$1,0)+1,FALSE)</f>
        <v>blue</v>
      </c>
      <c r="L4" s="29" t="str">
        <f>VLOOKUP(I4,[3]characters!$A:$J,10,FALSE)</f>
        <v>Drop1N</v>
      </c>
      <c r="M4" s="27" t="str">
        <f ca="1">VLOOKUP($I4,OFFSET([2]enemies!$A$1,0,0,COUNTA([2]enemies!$A:$A),MATCH(M$1,[2]enemies!$1:$1,0)-MATCH($I$1,[2]enemies!$1:$1,0)+1),MATCH(M$1,[2]enemies!$1:$1,0)-MATCH($I$1,[2]enemies!$1:$1,0)+1,FALSE)</f>
        <v>animal</v>
      </c>
      <c r="N4" s="27">
        <f ca="1">VLOOKUP($I4,OFFSET([2]enemies!$A$1,0,0,COUNTA([2]enemies!$A:$A),MATCH(N$1,[2]enemies!$1:$1,0)-MATCH($I$1,[2]enemies!$1:$1,0)+1),MATCH(N$1,[2]enemies!$1:$1,0)-MATCH($I$1,[2]enemies!$1:$1,0)+1,FALSE)</f>
        <v>15</v>
      </c>
      <c r="O4" s="6">
        <v>16</v>
      </c>
      <c r="P4" s="38">
        <v>1.3</v>
      </c>
      <c r="Q4" s="38">
        <v>1.2</v>
      </c>
      <c r="R4" s="6">
        <v>0</v>
      </c>
      <c r="S4" s="5" t="str">
        <f ca="1">VLOOKUP($T4,OFFSET([4]enemy_skill_sets!$B$1,0,0,COUNTA([4]enemy_skill_sets!$B:$B),MATCH(J$1,[4]enemy_skill_sets!$1:$1,0)-MATCH($T$1,[4]enemy_skill_sets!$1:$1,0)+2),MATCH(J$1,[4]enemy_skill_sets!$1:$1,0)-MATCH($T$1,[4]enemy_skill_sets!$1:$1,0)+2,FALSE)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" s="27">
        <f ca="1">VLOOKUP($I4,OFFSET([2]enemies!$A$1,0,0,COUNTA([2]enemies!$A:$A),MATCH(T$1,[2]enemies!$1:$1,0)-MATCH($I$1,[2]enemies!$1:$1,0)+1),MATCH(T$1,[2]enemies!$1:$1,0)-MATCH($I$1,[2]enemies!$1:$1,0)+1,FALSE)</f>
        <v>0</v>
      </c>
      <c r="U4" s="7">
        <v>0</v>
      </c>
      <c r="V4" s="7">
        <v>100</v>
      </c>
      <c r="W4" s="7">
        <v>0</v>
      </c>
      <c r="X4" s="27">
        <f ca="1">VLOOKUP($I4,OFFSET([2]enemies!$A$1,0,0,COUNTA([2]enemies!$A:$A),MATCH(X$1,[2]enemies!$1:$1,0)-MATCH($I$1,[2]enemies!$1:$1,0)+1),MATCH(X$1,[2]enemies!$1:$1,0)-MATCH($I$1,[2]enemies!$1:$1,0)+1,FALSE)</f>
        <v>3</v>
      </c>
      <c r="Y4" s="8">
        <v>25</v>
      </c>
      <c r="Z4" s="5" t="str">
        <f ca="1">IFERROR(VLOOKUP($Y4,OFFSET([3]characters!$A$1,0,0,COUNTA([3]characters!$A:$A),MATCH(Z$1,[3]characters!$1:$1,0)-MATCH("character_id",[3]characters!$1:$1,0)+1),MATCH(Z$1,[3]characters!$1:$1,0)-MATCH("character_id",[3]characters!$1:$1,0)+1,FALSE),"")</f>
        <v>ハチ</v>
      </c>
      <c r="AA4" s="5">
        <f ca="1">IFERROR(VLOOKUP($Y4,OFFSET([3]characters!$A$1,0,0,COUNTA([3]characters!$A:$A),MATCH(AA$1,[3]characters!$1:$1,0)-MATCH("character_id",[3]characters!$1:$1,0)+1),MATCH(AA$1,[3]characters!$1:$1,0)-MATCH("character_id",[3]characters!$1:$1,0)+1,FALSE),"")</f>
        <v>1</v>
      </c>
      <c r="AB4" s="5" t="str">
        <f ca="1">IFERROR(VLOOKUP($Y4,OFFSET([3]characters!$A$1,0,0,COUNTA([3]characters!$A:$A),MATCH(AB$1,[3]characters!$1:$1,0)-MATCH("character_id",[3]characters!$1:$1,0)+1),MATCH(AB$1,[3]characters!$1:$1,0)-MATCH("character_id",[3]characters!$1:$1,0)+1,FALSE),"")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" s="9">
        <v>1</v>
      </c>
      <c r="AD4" s="35">
        <f t="shared" ca="1" si="3"/>
        <v>1</v>
      </c>
      <c r="AE4" s="10">
        <v>25</v>
      </c>
      <c r="AF4" s="9">
        <v>0</v>
      </c>
      <c r="AG4" s="9">
        <v>0</v>
      </c>
      <c r="AH4" s="9">
        <v>0</v>
      </c>
      <c r="AI4" s="9">
        <v>0</v>
      </c>
      <c r="AJ4" s="9">
        <v>1</v>
      </c>
    </row>
    <row r="5" spans="1:36" ht="21" customHeight="1" x14ac:dyDescent="0.15">
      <c r="A5" s="22" t="str">
        <f t="shared" ref="A5:A6" ca="1" si="4">B5&amp;"_"&amp;C5&amp;"-"&amp;G5&amp;"/"&amp;I5&amp;"&lt;lv"&amp;O5&amp;"&gt;s"&amp;X5</f>
        <v>20003_1-1/29&lt;lv16&gt;s2</v>
      </c>
      <c r="B5" s="33">
        <v>20003</v>
      </c>
      <c r="C5" s="32">
        <v>1</v>
      </c>
      <c r="D5" s="2" t="str">
        <f t="shared" ref="D5:D6" si="5">B5&amp;"_"&amp;C5</f>
        <v>20003_1</v>
      </c>
      <c r="E5" s="5" t="str">
        <f ca="1">VLOOKUP($B5,OFFSET([1]quests!$A$1,0,0,COUNTA([1]quests!$A:$A),MATCH(E$1,[1]quests!$1:$1,0)-MATCH($B$1,[1]quests!$1:$1,0)+1),MATCH(E$1,[1]quests!$1:$1,0)-MATCH($B$1,[1]quests!$1:$1,0)+1,FALSE)</f>
        <v>忍び寄る短剣</v>
      </c>
      <c r="F5" s="5" t="str">
        <f ca="1">VLOOKUP($D5,OFFSET([1]stages!$A$1,0,0,COUNTA([1]stages!$A:$A),MATCH(F$1,[1]stages!$2:$2,0)-MATCH($D$1,[1]stages!$2:$2,0)+1),MATCH(F$1,[1]stages!$2:$2,0)-MATCH($D$1,[1]stages!$2:$2,0)+1,FALSE)</f>
        <v xml:space="preserve">【初級】忍び寄る短剣 </v>
      </c>
      <c r="G5" s="32">
        <v>1</v>
      </c>
      <c r="H5" s="21" t="str">
        <f t="shared" ref="H5:H6" si="6">B5&amp;"_"&amp;C5&amp;"-"&amp;G5</f>
        <v>20003_1-1</v>
      </c>
      <c r="I5" s="31">
        <v>29</v>
      </c>
      <c r="J5" s="27" t="str">
        <f ca="1">VLOOKUP($I5,OFFSET([2]enemies!$A$1,0,0,COUNTA([2]enemies!$A:$A),MATCH(J$1,[2]enemies!$1:$1,0)-MATCH($I$1,[2]enemies!$1:$1,0)+1),MATCH(J$1,[2]enemies!$1:$1,0)-MATCH($I$1,[2]enemies!$1:$1,0)+1,FALSE)</f>
        <v>スケアクロウ</v>
      </c>
      <c r="K5" s="27" t="str">
        <f ca="1">VLOOKUP($I5,OFFSET([2]enemies!$A$1,0,0,COUNTA([2]enemies!$A:$A),MATCH(K$1,[2]enemies!$1:$1,0)-MATCH($I$1,[2]enemies!$1:$1,0)+1),MATCH(K$1,[2]enemies!$1:$1,0)-MATCH($I$1,[2]enemies!$1:$1,0)+1,FALSE)</f>
        <v>blue</v>
      </c>
      <c r="L5" s="29" t="str">
        <f>VLOOKUP(I5,[3]characters!$A:$J,10,FALSE)</f>
        <v>Drop1N</v>
      </c>
      <c r="M5" s="27" t="str">
        <f ca="1">VLOOKUP($I5,OFFSET([2]enemies!$A$1,0,0,COUNTA([2]enemies!$A:$A),MATCH(M$1,[2]enemies!$1:$1,0)-MATCH($I$1,[2]enemies!$1:$1,0)+1),MATCH(M$1,[2]enemies!$1:$1,0)-MATCH($I$1,[2]enemies!$1:$1,0)+1,FALSE)</f>
        <v>machine</v>
      </c>
      <c r="N5" s="27">
        <f ca="1">VLOOKUP($I5,OFFSET([2]enemies!$A$1,0,0,COUNTA([2]enemies!$A:$A),MATCH(N$1,[2]enemies!$1:$1,0)-MATCH($I$1,[2]enemies!$1:$1,0)+1),MATCH(N$1,[2]enemies!$1:$1,0)-MATCH($I$1,[2]enemies!$1:$1,0)+1,FALSE)</f>
        <v>15</v>
      </c>
      <c r="O5" s="6">
        <v>16</v>
      </c>
      <c r="P5" s="38">
        <v>1.3</v>
      </c>
      <c r="Q5" s="38">
        <v>1.2</v>
      </c>
      <c r="R5" s="6">
        <v>0</v>
      </c>
      <c r="S5" s="5" t="str">
        <f ca="1">VLOOKUP($T5,OFFSET([4]enemy_skill_sets!$B$1,0,0,COUNTA([4]enemy_skill_sets!$B:$B),MATCH(J$1,[4]enemy_skill_sets!$1:$1,0)-MATCH($T$1,[4]enemy_skill_sets!$1:$1,0)+2),MATCH(J$1,[4]enemy_skill_sets!$1:$1,0)-MATCH($T$1,[4]enemy_skill_sets!$1:$1,0)+2,FALSE)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5" s="27">
        <f ca="1">VLOOKUP($I5,OFFSET([2]enemies!$A$1,0,0,COUNTA([2]enemies!$A:$A),MATCH(T$1,[2]enemies!$1:$1,0)-MATCH($I$1,[2]enemies!$1:$1,0)+1),MATCH(T$1,[2]enemies!$1:$1,0)-MATCH($I$1,[2]enemies!$1:$1,0)+1,FALSE)</f>
        <v>0</v>
      </c>
      <c r="U5" s="7">
        <v>0</v>
      </c>
      <c r="V5" s="7">
        <v>100</v>
      </c>
      <c r="W5" s="7">
        <v>0</v>
      </c>
      <c r="X5" s="27">
        <f ca="1">VLOOKUP($I5,OFFSET([2]enemies!$A$1,0,0,COUNTA([2]enemies!$A:$A),MATCH(X$1,[2]enemies!$1:$1,0)-MATCH($I$1,[2]enemies!$1:$1,0)+1),MATCH(X$1,[2]enemies!$1:$1,0)-MATCH($I$1,[2]enemies!$1:$1,0)+1,FALSE)</f>
        <v>2</v>
      </c>
      <c r="Y5" s="8">
        <v>29</v>
      </c>
      <c r="Z5" s="5" t="str">
        <f ca="1">IFERROR(VLOOKUP($Y5,OFFSET([3]characters!$A$1,0,0,COUNTA([3]characters!$A:$A),MATCH(Z$1,[3]characters!$1:$1,0)-MATCH("character_id",[3]characters!$1:$1,0)+1),MATCH(Z$1,[3]characters!$1:$1,0)-MATCH("character_id",[3]characters!$1:$1,0)+1,FALSE),"")</f>
        <v>スケアクロウ</v>
      </c>
      <c r="AA5" s="5">
        <f ca="1">IFERROR(VLOOKUP($Y5,OFFSET([3]characters!$A$1,0,0,COUNTA([3]characters!$A:$A),MATCH(AA$1,[3]characters!$1:$1,0)-MATCH("character_id",[3]characters!$1:$1,0)+1),MATCH(AA$1,[3]characters!$1:$1,0)-MATCH("character_id",[3]characters!$1:$1,0)+1,FALSE),"")</f>
        <v>1</v>
      </c>
      <c r="AB5" s="5" t="str">
        <f ca="1">IFERROR(VLOOKUP($Y5,OFFSET([3]characters!$A$1,0,0,COUNTA([3]characters!$A:$A),MATCH(AB$1,[3]characters!$1:$1,0)-MATCH("character_id",[3]characters!$1:$1,0)+1),MATCH(AB$1,[3]characters!$1:$1,0)-MATCH("character_id",[3]characters!$1:$1,0)+1,FALSE),"")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" s="9">
        <v>1</v>
      </c>
      <c r="AD5" s="35">
        <f t="shared" ref="AD5:AD6" ca="1" si="7">AA5</f>
        <v>1</v>
      </c>
      <c r="AE5" s="10">
        <v>25</v>
      </c>
      <c r="AF5" s="9">
        <v>0</v>
      </c>
      <c r="AG5" s="9">
        <v>0</v>
      </c>
      <c r="AH5" s="9">
        <v>0</v>
      </c>
      <c r="AI5" s="9">
        <v>0</v>
      </c>
      <c r="AJ5" s="9">
        <v>1</v>
      </c>
    </row>
    <row r="6" spans="1:36" ht="21" customHeight="1" x14ac:dyDescent="0.15">
      <c r="A6" s="22" t="str">
        <f t="shared" ca="1" si="4"/>
        <v>20003_1-1/45&lt;lv16&gt;s3</v>
      </c>
      <c r="B6" s="33">
        <v>20003</v>
      </c>
      <c r="C6" s="32">
        <v>1</v>
      </c>
      <c r="D6" s="2" t="str">
        <f t="shared" si="5"/>
        <v>20003_1</v>
      </c>
      <c r="E6" s="5" t="str">
        <f ca="1">VLOOKUP($B6,OFFSET([1]quests!$A$1,0,0,COUNTA([1]quests!$A:$A),MATCH(E$1,[1]quests!$1:$1,0)-MATCH($B$1,[1]quests!$1:$1,0)+1),MATCH(E$1,[1]quests!$1:$1,0)-MATCH($B$1,[1]quests!$1:$1,0)+1,FALSE)</f>
        <v>忍び寄る短剣</v>
      </c>
      <c r="F6" s="5" t="str">
        <f ca="1">VLOOKUP($D6,OFFSET([1]stages!$A$1,0,0,COUNTA([1]stages!$A:$A),MATCH(F$1,[1]stages!$2:$2,0)-MATCH($D$1,[1]stages!$2:$2,0)+1),MATCH(F$1,[1]stages!$2:$2,0)-MATCH($D$1,[1]stages!$2:$2,0)+1,FALSE)</f>
        <v xml:space="preserve">【初級】忍び寄る短剣 </v>
      </c>
      <c r="G6" s="32">
        <v>1</v>
      </c>
      <c r="H6" s="21" t="str">
        <f t="shared" si="6"/>
        <v>20003_1-1</v>
      </c>
      <c r="I6" s="31">
        <v>45</v>
      </c>
      <c r="J6" s="27" t="str">
        <f ca="1">VLOOKUP($I6,OFFSET([2]enemies!$A$1,0,0,COUNTA([2]enemies!$A:$A),MATCH(J$1,[2]enemies!$1:$1,0)-MATCH($I$1,[2]enemies!$1:$1,0)+1),MATCH(J$1,[2]enemies!$1:$1,0)-MATCH($I$1,[2]enemies!$1:$1,0)+1,FALSE)</f>
        <v>ショウイン</v>
      </c>
      <c r="K6" s="27" t="str">
        <f ca="1">VLOOKUP($I6,OFFSET([2]enemies!$A$1,0,0,COUNTA([2]enemies!$A:$A),MATCH(K$1,[2]enemies!$1:$1,0)-MATCH($I$1,[2]enemies!$1:$1,0)+1),MATCH(K$1,[2]enemies!$1:$1,0)-MATCH($I$1,[2]enemies!$1:$1,0)+1,FALSE)</f>
        <v>blue</v>
      </c>
      <c r="L6" s="29" t="str">
        <f>VLOOKUP(I6,[3]characters!$A:$J,10,FALSE)</f>
        <v>Drop1N</v>
      </c>
      <c r="M6" s="27" t="str">
        <f ca="1">VLOOKUP($I6,OFFSET([2]enemies!$A$1,0,0,COUNTA([2]enemies!$A:$A),MATCH(M$1,[2]enemies!$1:$1,0)-MATCH($I$1,[2]enemies!$1:$1,0)+1),MATCH(M$1,[2]enemies!$1:$1,0)-MATCH($I$1,[2]enemies!$1:$1,0)+1,FALSE)</f>
        <v>animal</v>
      </c>
      <c r="N6" s="27">
        <f ca="1">VLOOKUP($I6,OFFSET([2]enemies!$A$1,0,0,COUNTA([2]enemies!$A:$A),MATCH(N$1,[2]enemies!$1:$1,0)-MATCH($I$1,[2]enemies!$1:$1,0)+1),MATCH(N$1,[2]enemies!$1:$1,0)-MATCH($I$1,[2]enemies!$1:$1,0)+1,FALSE)</f>
        <v>15</v>
      </c>
      <c r="O6" s="6">
        <v>16</v>
      </c>
      <c r="P6" s="38">
        <v>1.3</v>
      </c>
      <c r="Q6" s="38">
        <v>1.2</v>
      </c>
      <c r="R6" s="6">
        <v>0</v>
      </c>
      <c r="S6" s="5" t="str">
        <f ca="1">VLOOKUP($T6,OFFSET([4]enemy_skill_sets!$B$1,0,0,COUNTA([4]enemy_skill_sets!$B:$B),MATCH(J$1,[4]enemy_skill_sets!$1:$1,0)-MATCH($T$1,[4]enemy_skill_sets!$1:$1,0)+2),MATCH(J$1,[4]enemy_skill_sets!$1:$1,0)-MATCH($T$1,[4]enemy_skill_sets!$1:$1,0)+2,FALSE)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6" s="27">
        <f ca="1">VLOOKUP($I6,OFFSET([2]enemies!$A$1,0,0,COUNTA([2]enemies!$A:$A),MATCH(T$1,[2]enemies!$1:$1,0)-MATCH($I$1,[2]enemies!$1:$1,0)+1),MATCH(T$1,[2]enemies!$1:$1,0)-MATCH($I$1,[2]enemies!$1:$1,0)+1,FALSE)</f>
        <v>0</v>
      </c>
      <c r="U6" s="7">
        <v>0</v>
      </c>
      <c r="V6" s="7">
        <v>100</v>
      </c>
      <c r="W6" s="7">
        <v>0</v>
      </c>
      <c r="X6" s="27">
        <f ca="1">VLOOKUP($I6,OFFSET([2]enemies!$A$1,0,0,COUNTA([2]enemies!$A:$A),MATCH(X$1,[2]enemies!$1:$1,0)-MATCH($I$1,[2]enemies!$1:$1,0)+1),MATCH(X$1,[2]enemies!$1:$1,0)-MATCH($I$1,[2]enemies!$1:$1,0)+1,FALSE)</f>
        <v>3</v>
      </c>
      <c r="Y6" s="8">
        <v>45</v>
      </c>
      <c r="Z6" s="5" t="str">
        <f ca="1">IFERROR(VLOOKUP($Y6,OFFSET([3]characters!$A$1,0,0,COUNTA([3]characters!$A:$A),MATCH(Z$1,[3]characters!$1:$1,0)-MATCH("character_id",[3]characters!$1:$1,0)+1),MATCH(Z$1,[3]characters!$1:$1,0)-MATCH("character_id",[3]characters!$1:$1,0)+1,FALSE),"")</f>
        <v>ショウイン</v>
      </c>
      <c r="AA6" s="5">
        <f ca="1">IFERROR(VLOOKUP($Y6,OFFSET([3]characters!$A$1,0,0,COUNTA([3]characters!$A:$A),MATCH(AA$1,[3]characters!$1:$1,0)-MATCH("character_id",[3]characters!$1:$1,0)+1),MATCH(AA$1,[3]characters!$1:$1,0)-MATCH("character_id",[3]characters!$1:$1,0)+1,FALSE),"")</f>
        <v>2</v>
      </c>
      <c r="AB6" s="5" t="str">
        <f ca="1">IFERROR(VLOOKUP($Y6,OFFSET([3]characters!$A$1,0,0,COUNTA([3]characters!$A:$A),MATCH(AB$1,[3]characters!$1:$1,0)-MATCH("character_id",[3]characters!$1:$1,0)+1),MATCH(AB$1,[3]characters!$1:$1,0)-MATCH("character_id",[3]characters!$1:$1,0)+1,FALSE),"")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6" s="9">
        <v>1</v>
      </c>
      <c r="AD6" s="35">
        <f t="shared" ca="1" si="7"/>
        <v>2</v>
      </c>
      <c r="AE6" s="10">
        <v>25</v>
      </c>
      <c r="AF6" s="9">
        <v>0</v>
      </c>
      <c r="AG6" s="9">
        <v>0</v>
      </c>
      <c r="AH6" s="9">
        <v>0</v>
      </c>
      <c r="AI6" s="9">
        <v>0</v>
      </c>
      <c r="AJ6" s="9">
        <v>1</v>
      </c>
    </row>
    <row r="7" spans="1:36" ht="21" customHeight="1" x14ac:dyDescent="0.15">
      <c r="A7" s="22" t="str">
        <f t="shared" ref="A7" ca="1" si="8">B7&amp;"_"&amp;C7&amp;"-"&amp;G7&amp;"/"&amp;I7&amp;"&lt;lv"&amp;O7&amp;"&gt;s"&amp;X7</f>
        <v>20003_1-1/71&lt;lv16&gt;s4</v>
      </c>
      <c r="B7" s="33">
        <v>20003</v>
      </c>
      <c r="C7" s="32">
        <v>1</v>
      </c>
      <c r="D7" s="2" t="str">
        <f t="shared" ref="D7" si="9">B7&amp;"_"&amp;C7</f>
        <v>20003_1</v>
      </c>
      <c r="E7" s="5" t="str">
        <f ca="1">VLOOKUP($B7,OFFSET([1]quests!$A$1,0,0,COUNTA([1]quests!$A:$A),MATCH(E$1,[1]quests!$1:$1,0)-MATCH($B$1,[1]quests!$1:$1,0)+1),MATCH(E$1,[1]quests!$1:$1,0)-MATCH($B$1,[1]quests!$1:$1,0)+1,FALSE)</f>
        <v>忍び寄る短剣</v>
      </c>
      <c r="F7" s="5" t="str">
        <f ca="1">VLOOKUP($D7,OFFSET([1]stages!$A$1,0,0,COUNTA([1]stages!$A:$A),MATCH(F$1,[1]stages!$2:$2,0)-MATCH($D$1,[1]stages!$2:$2,0)+1),MATCH(F$1,[1]stages!$2:$2,0)-MATCH($D$1,[1]stages!$2:$2,0)+1,FALSE)</f>
        <v xml:space="preserve">【初級】忍び寄る短剣 </v>
      </c>
      <c r="G7" s="32">
        <v>1</v>
      </c>
      <c r="H7" s="21" t="str">
        <f t="shared" ref="H7" si="10">B7&amp;"_"&amp;C7&amp;"-"&amp;G7</f>
        <v>20003_1-1</v>
      </c>
      <c r="I7" s="31">
        <v>71</v>
      </c>
      <c r="J7" s="27" t="str">
        <f ca="1">VLOOKUP($I7,OFFSET([2]enemies!$A$1,0,0,COUNTA([2]enemies!$A:$A),MATCH(J$1,[2]enemies!$1:$1,0)-MATCH($I$1,[2]enemies!$1:$1,0)+1),MATCH(J$1,[2]enemies!$1:$1,0)-MATCH($I$1,[2]enemies!$1:$1,0)+1,FALSE)</f>
        <v>ダックス</v>
      </c>
      <c r="K7" s="27" t="str">
        <f ca="1">VLOOKUP($I7,OFFSET([2]enemies!$A$1,0,0,COUNTA([2]enemies!$A:$A),MATCH(K$1,[2]enemies!$1:$1,0)-MATCH($I$1,[2]enemies!$1:$1,0)+1),MATCH(K$1,[2]enemies!$1:$1,0)-MATCH($I$1,[2]enemies!$1:$1,0)+1,FALSE)</f>
        <v>blue</v>
      </c>
      <c r="L7" s="29" t="str">
        <f>VLOOKUP(I7,[3]characters!$A:$J,10,FALSE)</f>
        <v>Drop1S</v>
      </c>
      <c r="M7" s="27" t="str">
        <f ca="1">VLOOKUP($I7,OFFSET([2]enemies!$A$1,0,0,COUNTA([2]enemies!$A:$A),MATCH(M$1,[2]enemies!$1:$1,0)-MATCH($I$1,[2]enemies!$1:$1,0)+1),MATCH(M$1,[2]enemies!$1:$1,0)-MATCH($I$1,[2]enemies!$1:$1,0)+1,FALSE)</f>
        <v>animal</v>
      </c>
      <c r="N7" s="27">
        <f ca="1">VLOOKUP($I7,OFFSET([2]enemies!$A$1,0,0,COUNTA([2]enemies!$A:$A),MATCH(N$1,[2]enemies!$1:$1,0)-MATCH($I$1,[2]enemies!$1:$1,0)+1),MATCH(N$1,[2]enemies!$1:$1,0)-MATCH($I$1,[2]enemies!$1:$1,0)+1,FALSE)</f>
        <v>15</v>
      </c>
      <c r="O7" s="6">
        <v>16</v>
      </c>
      <c r="P7" s="38">
        <v>1.3</v>
      </c>
      <c r="Q7" s="38">
        <v>0.8</v>
      </c>
      <c r="R7" s="6">
        <v>0</v>
      </c>
      <c r="S7" s="5" t="str">
        <f ca="1">VLOOKUP($T7,OFFSET([4]enemy_skill_sets!$B$1,0,0,COUNTA([4]enemy_skill_sets!$B:$B),MATCH(J$1,[4]enemy_skill_sets!$1:$1,0)-MATCH($T$1,[4]enemy_skill_sets!$1:$1,0)+2),MATCH(J$1,[4]enemy_skill_sets!$1:$1,0)-MATCH($T$1,[4]enemy_skill_sets!$1:$1,0)+2,FALSE)</f>
        <v>3ターン攻撃頻度が1ターンにUP</v>
      </c>
      <c r="T7" s="27">
        <f ca="1">VLOOKUP($I7,OFFSET([2]enemies!$A$1,0,0,COUNTA([2]enemies!$A:$A),MATCH(T$1,[2]enemies!$1:$1,0)-MATCH($I$1,[2]enemies!$1:$1,0)+1),MATCH(T$1,[2]enemies!$1:$1,0)-MATCH($I$1,[2]enemies!$1:$1,0)+1,FALSE)</f>
        <v>71</v>
      </c>
      <c r="U7" s="7">
        <v>0</v>
      </c>
      <c r="V7" s="7">
        <v>100</v>
      </c>
      <c r="W7" s="7">
        <v>0</v>
      </c>
      <c r="X7" s="27">
        <f ca="1">VLOOKUP($I7,OFFSET([2]enemies!$A$1,0,0,COUNTA([2]enemies!$A:$A),MATCH(X$1,[2]enemies!$1:$1,0)-MATCH($I$1,[2]enemies!$1:$1,0)+1),MATCH(X$1,[2]enemies!$1:$1,0)-MATCH($I$1,[2]enemies!$1:$1,0)+1,FALSE)</f>
        <v>4</v>
      </c>
      <c r="Y7" s="8">
        <v>71</v>
      </c>
      <c r="Z7" s="5" t="str">
        <f ca="1">IFERROR(VLOOKUP($Y7,OFFSET([3]characters!$A$1,0,0,COUNTA([3]characters!$A:$A),MATCH(Z$1,[3]characters!$1:$1,0)-MATCH("character_id",[3]characters!$1:$1,0)+1),MATCH(Z$1,[3]characters!$1:$1,0)-MATCH("character_id",[3]characters!$1:$1,0)+1,FALSE),"")</f>
        <v>ダックス</v>
      </c>
      <c r="AA7" s="5">
        <f ca="1">IFERROR(VLOOKUP($Y7,OFFSET([3]characters!$A$1,0,0,COUNTA([3]characters!$A:$A),MATCH(AA$1,[3]characters!$1:$1,0)-MATCH("character_id",[3]characters!$1:$1,0)+1),MATCH(AA$1,[3]characters!$1:$1,0)-MATCH("character_id",[3]characters!$1:$1,0)+1,FALSE),"")</f>
        <v>2</v>
      </c>
      <c r="AB7" s="5" t="str">
        <f ca="1">IFERROR(VLOOKUP($Y7,OFFSET([3]characters!$A$1,0,0,COUNTA([3]characters!$A:$A),MATCH(AB$1,[3]characters!$1:$1,0)-MATCH("character_id",[3]characters!$1:$1,0)+1),MATCH(AB$1,[3]characters!$1:$1,0)-MATCH("character_id",[3]characters!$1:$1,0)+1,FALSE),"")</f>
        <v>Drop1S</v>
      </c>
      <c r="AC7" s="9">
        <v>1</v>
      </c>
      <c r="AD7" s="35">
        <f t="shared" ref="AD7" ca="1" si="11">AA7</f>
        <v>2</v>
      </c>
      <c r="AE7" s="10">
        <v>15</v>
      </c>
      <c r="AF7" s="9">
        <v>0</v>
      </c>
      <c r="AG7" s="9">
        <v>0</v>
      </c>
      <c r="AH7" s="9">
        <v>0</v>
      </c>
      <c r="AI7" s="9">
        <v>0</v>
      </c>
      <c r="AJ7" s="9">
        <v>1</v>
      </c>
    </row>
    <row r="8" spans="1:36" ht="21" customHeight="1" x14ac:dyDescent="0.15">
      <c r="A8" s="22" t="str">
        <f ca="1">B8&amp;"_"&amp;C8&amp;"-"&amp;G8&amp;"/"&amp;I8&amp;"&lt;lv"&amp;O8&amp;"&gt;s"&amp;X8</f>
        <v>20003_1-2/5&lt;lv16&gt;s3</v>
      </c>
      <c r="B8" s="33">
        <v>20003</v>
      </c>
      <c r="C8" s="32">
        <v>1</v>
      </c>
      <c r="D8" s="2" t="str">
        <f>B8&amp;"_"&amp;C8</f>
        <v>20003_1</v>
      </c>
      <c r="E8" s="5" t="str">
        <f ca="1">VLOOKUP($B8,OFFSET([1]quests!$A$1,0,0,COUNTA([1]quests!$A:$A),MATCH(E$1,[1]quests!$1:$1,0)-MATCH($B$1,[1]quests!$1:$1,0)+1),MATCH(E$1,[1]quests!$1:$1,0)-MATCH($B$1,[1]quests!$1:$1,0)+1,FALSE)</f>
        <v>忍び寄る短剣</v>
      </c>
      <c r="F8" s="5" t="str">
        <f ca="1">VLOOKUP($D8,OFFSET([1]stages!$A$1,0,0,COUNTA([1]stages!$A:$A),MATCH(F$1,[1]stages!$2:$2,0)-MATCH($D$1,[1]stages!$2:$2,0)+1),MATCH(F$1,[1]stages!$2:$2,0)-MATCH($D$1,[1]stages!$2:$2,0)+1,FALSE)</f>
        <v xml:space="preserve">【初級】忍び寄る短剣 </v>
      </c>
      <c r="G8" s="36">
        <v>2</v>
      </c>
      <c r="H8" s="21" t="str">
        <f>B8&amp;"_"&amp;C8&amp;"-"&amp;G8</f>
        <v>20003_1-2</v>
      </c>
      <c r="I8" s="31">
        <v>5</v>
      </c>
      <c r="J8" s="27" t="str">
        <f ca="1">VLOOKUP($I8,OFFSET([2]enemies!$A$1,0,0,COUNTA([2]enemies!$A:$A),MATCH(J$1,[2]enemies!$1:$1,0)-MATCH($I$1,[2]enemies!$1:$1,0)+1),MATCH(J$1,[2]enemies!$1:$1,0)-MATCH($I$1,[2]enemies!$1:$1,0)+1,FALSE)</f>
        <v>パトドッグ ポチ</v>
      </c>
      <c r="K8" s="27" t="str">
        <f ca="1">VLOOKUP($I8,OFFSET([2]enemies!$A$1,0,0,COUNTA([2]enemies!$A:$A),MATCH(K$1,[2]enemies!$1:$1,0)-MATCH($I$1,[2]enemies!$1:$1,0)+1),MATCH(K$1,[2]enemies!$1:$1,0)-MATCH($I$1,[2]enemies!$1:$1,0)+1,FALSE)</f>
        <v>blue</v>
      </c>
      <c r="L8" s="29" t="str">
        <f>VLOOKUP(I8,[3]characters!$A:$J,10,FALSE)</f>
        <v>Drop1T</v>
      </c>
      <c r="M8" s="27" t="str">
        <f ca="1">VLOOKUP($I8,OFFSET([2]enemies!$A$1,0,0,COUNTA([2]enemies!$A:$A),MATCH(M$1,[2]enemies!$1:$1,0)-MATCH($I$1,[2]enemies!$1:$1,0)+1),MATCH(M$1,[2]enemies!$1:$1,0)-MATCH($I$1,[2]enemies!$1:$1,0)+1,FALSE)</f>
        <v>unknown</v>
      </c>
      <c r="N8" s="27">
        <f ca="1">VLOOKUP($I8,OFFSET([2]enemies!$A$1,0,0,COUNTA([2]enemies!$A:$A),MATCH(N$1,[2]enemies!$1:$1,0)-MATCH($I$1,[2]enemies!$1:$1,0)+1),MATCH(N$1,[2]enemies!$1:$1,0)-MATCH($I$1,[2]enemies!$1:$1,0)+1,FALSE)</f>
        <v>15</v>
      </c>
      <c r="O8" s="6">
        <v>16</v>
      </c>
      <c r="P8" s="38">
        <v>1.3</v>
      </c>
      <c r="Q8" s="38">
        <v>1.2</v>
      </c>
      <c r="R8" s="6">
        <v>0</v>
      </c>
      <c r="S8" s="5" t="str">
        <f ca="1">VLOOKUP($T8,OFFSET([4]enemy_skill_sets!$B$1,0,0,COUNTA([4]enemy_skill_sets!$B:$B),MATCH(J$1,[4]enemy_skill_sets!$1:$1,0)-MATCH($T$1,[4]enemy_skill_sets!$1:$1,0)+2),MATCH(J$1,[4]enemy_skill_sets!$1:$1,0)-MATCH($T$1,[4]enemy_skill_sets!$1:$1,0)+2,FALSE)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8" s="27">
        <f ca="1">VLOOKUP($I8,OFFSET([2]enemies!$A$1,0,0,COUNTA([2]enemies!$A:$A),MATCH(T$1,[2]enemies!$1:$1,0)-MATCH($I$1,[2]enemies!$1:$1,0)+1),MATCH(T$1,[2]enemies!$1:$1,0)-MATCH($I$1,[2]enemies!$1:$1,0)+1,FALSE)</f>
        <v>0</v>
      </c>
      <c r="U8" s="7">
        <v>0</v>
      </c>
      <c r="V8" s="7">
        <v>100</v>
      </c>
      <c r="W8" s="7">
        <v>0</v>
      </c>
      <c r="X8" s="27">
        <f ca="1">VLOOKUP($I8,OFFSET([2]enemies!$A$1,0,0,COUNTA([2]enemies!$A:$A),MATCH(X$1,[2]enemies!$1:$1,0)-MATCH($I$1,[2]enemies!$1:$1,0)+1),MATCH(X$1,[2]enemies!$1:$1,0)-MATCH($I$1,[2]enemies!$1:$1,0)+1,FALSE)</f>
        <v>3</v>
      </c>
      <c r="Y8" s="8">
        <v>5</v>
      </c>
      <c r="Z8" s="5" t="str">
        <f ca="1">IFERROR(VLOOKUP($Y8,OFFSET([3]characters!$A$1,0,0,COUNTA([3]characters!$A:$A),MATCH(Z$1,[3]characters!$1:$1,0)-MATCH("character_id",[3]characters!$1:$1,0)+1),MATCH(Z$1,[3]characters!$1:$1,0)-MATCH("character_id",[3]characters!$1:$1,0)+1,FALSE),"")</f>
        <v>パトドッグ ポチ</v>
      </c>
      <c r="AA8" s="5">
        <f ca="1">IFERROR(VLOOKUP($Y8,OFFSET([3]characters!$A$1,0,0,COUNTA([3]characters!$A:$A),MATCH(AA$1,[3]characters!$1:$1,0)-MATCH("character_id",[3]characters!$1:$1,0)+1),MATCH(AA$1,[3]characters!$1:$1,0)-MATCH("character_id",[3]characters!$1:$1,0)+1,FALSE),"")</f>
        <v>1</v>
      </c>
      <c r="AB8" s="5" t="str">
        <f ca="1">IFERROR(VLOOKUP($Y8,OFFSET([3]characters!$A$1,0,0,COUNTA([3]characters!$A:$A),MATCH(AB$1,[3]characters!$1:$1,0)-MATCH("character_id",[3]characters!$1:$1,0)+1),MATCH(AB$1,[3]characters!$1:$1,0)-MATCH("character_id",[3]characters!$1:$1,0)+1,FALSE),"")</f>
        <v>Drop1T</v>
      </c>
      <c r="AC8" s="9">
        <v>3</v>
      </c>
      <c r="AD8" s="35">
        <f ca="1">AA8</f>
        <v>1</v>
      </c>
      <c r="AE8" s="10">
        <v>25</v>
      </c>
      <c r="AF8" s="9">
        <v>0</v>
      </c>
      <c r="AG8" s="9">
        <v>0</v>
      </c>
      <c r="AH8" s="9">
        <v>0</v>
      </c>
      <c r="AI8" s="9">
        <v>0</v>
      </c>
      <c r="AJ8" s="9">
        <v>1</v>
      </c>
    </row>
    <row r="9" spans="1:36" ht="21" customHeight="1" x14ac:dyDescent="0.15">
      <c r="A9" s="22" t="str">
        <f t="shared" ref="A9:A13" ca="1" si="12">B9&amp;"_"&amp;C9&amp;"-"&amp;G9&amp;"/"&amp;I9&amp;"&lt;lv"&amp;O9&amp;"&gt;s"&amp;X9</f>
        <v>20003_1-2/17&lt;lv16&gt;s2</v>
      </c>
      <c r="B9" s="33">
        <v>20003</v>
      </c>
      <c r="C9" s="32">
        <v>1</v>
      </c>
      <c r="D9" s="2" t="str">
        <f t="shared" ref="D9:D13" si="13">B9&amp;"_"&amp;C9</f>
        <v>20003_1</v>
      </c>
      <c r="E9" s="5" t="str">
        <f ca="1">VLOOKUP($B9,OFFSET([1]quests!$A$1,0,0,COUNTA([1]quests!$A:$A),MATCH(E$1,[1]quests!$1:$1,0)-MATCH($B$1,[1]quests!$1:$1,0)+1),MATCH(E$1,[1]quests!$1:$1,0)-MATCH($B$1,[1]quests!$1:$1,0)+1,FALSE)</f>
        <v>忍び寄る短剣</v>
      </c>
      <c r="F9" s="5" t="str">
        <f ca="1">VLOOKUP($D9,OFFSET([1]stages!$A$1,0,0,COUNTA([1]stages!$A:$A),MATCH(F$1,[1]stages!$2:$2,0)-MATCH($D$1,[1]stages!$2:$2,0)+1),MATCH(F$1,[1]stages!$2:$2,0)-MATCH($D$1,[1]stages!$2:$2,0)+1,FALSE)</f>
        <v xml:space="preserve">【初級】忍び寄る短剣 </v>
      </c>
      <c r="G9" s="36">
        <v>2</v>
      </c>
      <c r="H9" s="21" t="str">
        <f t="shared" ref="H9:H13" si="14">B9&amp;"_"&amp;C9&amp;"-"&amp;G9</f>
        <v>20003_1-2</v>
      </c>
      <c r="I9" s="31">
        <v>17</v>
      </c>
      <c r="J9" s="27" t="str">
        <f ca="1">VLOOKUP($I9,OFFSET([2]enemies!$A$1,0,0,COUNTA([2]enemies!$A:$A),MATCH(J$1,[2]enemies!$1:$1,0)-MATCH($I$1,[2]enemies!$1:$1,0)+1),MATCH(J$1,[2]enemies!$1:$1,0)-MATCH($I$1,[2]enemies!$1:$1,0)+1,FALSE)</f>
        <v>リム</v>
      </c>
      <c r="K9" s="27" t="str">
        <f ca="1">VLOOKUP($I9,OFFSET([2]enemies!$A$1,0,0,COUNTA([2]enemies!$A:$A),MATCH(K$1,[2]enemies!$1:$1,0)-MATCH($I$1,[2]enemies!$1:$1,0)+1),MATCH(K$1,[2]enemies!$1:$1,0)-MATCH($I$1,[2]enemies!$1:$1,0)+1,FALSE)</f>
        <v>blue</v>
      </c>
      <c r="L9" s="29" t="str">
        <f>VLOOKUP(I9,[3]characters!$A:$J,10,FALSE)</f>
        <v>Drop1W</v>
      </c>
      <c r="M9" s="27" t="str">
        <f ca="1">VLOOKUP($I9,OFFSET([2]enemies!$A$1,0,0,COUNTA([2]enemies!$A:$A),MATCH(M$1,[2]enemies!$1:$1,0)-MATCH($I$1,[2]enemies!$1:$1,0)+1),MATCH(M$1,[2]enemies!$1:$1,0)-MATCH($I$1,[2]enemies!$1:$1,0)+1,FALSE)</f>
        <v>human</v>
      </c>
      <c r="N9" s="27">
        <f ca="1">VLOOKUP($I9,OFFSET([2]enemies!$A$1,0,0,COUNTA([2]enemies!$A:$A),MATCH(N$1,[2]enemies!$1:$1,0)-MATCH($I$1,[2]enemies!$1:$1,0)+1),MATCH(N$1,[2]enemies!$1:$1,0)-MATCH($I$1,[2]enemies!$1:$1,0)+1,FALSE)</f>
        <v>15</v>
      </c>
      <c r="O9" s="6">
        <v>16</v>
      </c>
      <c r="P9" s="38">
        <v>1.3</v>
      </c>
      <c r="Q9" s="38">
        <v>1.2</v>
      </c>
      <c r="R9" s="6">
        <v>0</v>
      </c>
      <c r="S9" s="5" t="str">
        <f ca="1">VLOOKUP($T9,OFFSET([4]enemy_skill_sets!$B$1,0,0,COUNTA([4]enemy_skill_sets!$B:$B),MATCH(J$1,[4]enemy_skill_sets!$1:$1,0)-MATCH($T$1,[4]enemy_skill_sets!$1:$1,0)+2),MATCH(J$1,[4]enemy_skill_sets!$1:$1,0)-MATCH($T$1,[4]enemy_skill_sets!$1:$1,0)+2,FALSE)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9" s="27">
        <f ca="1">VLOOKUP($I9,OFFSET([2]enemies!$A$1,0,0,COUNTA([2]enemies!$A:$A),MATCH(T$1,[2]enemies!$1:$1,0)-MATCH($I$1,[2]enemies!$1:$1,0)+1),MATCH(T$1,[2]enemies!$1:$1,0)-MATCH($I$1,[2]enemies!$1:$1,0)+1,FALSE)</f>
        <v>0</v>
      </c>
      <c r="U9" s="7">
        <v>0</v>
      </c>
      <c r="V9" s="7">
        <v>100</v>
      </c>
      <c r="W9" s="7">
        <v>0</v>
      </c>
      <c r="X9" s="27">
        <f ca="1">VLOOKUP($I9,OFFSET([2]enemies!$A$1,0,0,COUNTA([2]enemies!$A:$A),MATCH(X$1,[2]enemies!$1:$1,0)-MATCH($I$1,[2]enemies!$1:$1,0)+1),MATCH(X$1,[2]enemies!$1:$1,0)-MATCH($I$1,[2]enemies!$1:$1,0)+1,FALSE)</f>
        <v>2</v>
      </c>
      <c r="Y9" s="8">
        <v>17</v>
      </c>
      <c r="Z9" s="5" t="str">
        <f ca="1">IFERROR(VLOOKUP($Y9,OFFSET([3]characters!$A$1,0,0,COUNTA([3]characters!$A:$A),MATCH(Z$1,[3]characters!$1:$1,0)-MATCH("character_id",[3]characters!$1:$1,0)+1),MATCH(Z$1,[3]characters!$1:$1,0)-MATCH("character_id",[3]characters!$1:$1,0)+1,FALSE),"")</f>
        <v>リム</v>
      </c>
      <c r="AA9" s="5">
        <f ca="1">IFERROR(VLOOKUP($Y9,OFFSET([3]characters!$A$1,0,0,COUNTA([3]characters!$A:$A),MATCH(AA$1,[3]characters!$1:$1,0)-MATCH("character_id",[3]characters!$1:$1,0)+1),MATCH(AA$1,[3]characters!$1:$1,0)-MATCH("character_id",[3]characters!$1:$1,0)+1,FALSE),"")</f>
        <v>1</v>
      </c>
      <c r="AB9" s="5" t="str">
        <f ca="1">IFERROR(VLOOKUP($Y9,OFFSET([3]characters!$A$1,0,0,COUNTA([3]characters!$A:$A),MATCH(AB$1,[3]characters!$1:$1,0)-MATCH("character_id",[3]characters!$1:$1,0)+1),MATCH(AB$1,[3]characters!$1:$1,0)-MATCH("character_id",[3]characters!$1:$1,0)+1,FALSE),"")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9" s="9">
        <v>1</v>
      </c>
      <c r="AD9" s="35">
        <f t="shared" ref="AD9:AD13" ca="1" si="15">AA9</f>
        <v>1</v>
      </c>
      <c r="AE9" s="10">
        <v>25</v>
      </c>
      <c r="AF9" s="9">
        <v>0</v>
      </c>
      <c r="AG9" s="9">
        <v>0</v>
      </c>
      <c r="AH9" s="9">
        <v>0</v>
      </c>
      <c r="AI9" s="9">
        <v>0</v>
      </c>
      <c r="AJ9" s="9">
        <v>1</v>
      </c>
    </row>
    <row r="10" spans="1:36" ht="21" customHeight="1" x14ac:dyDescent="0.15">
      <c r="A10" s="22" t="str">
        <f t="shared" ca="1" si="12"/>
        <v>20003_1-2/25&lt;lv16&gt;s3</v>
      </c>
      <c r="B10" s="33">
        <v>20003</v>
      </c>
      <c r="C10" s="32">
        <v>1</v>
      </c>
      <c r="D10" s="2" t="str">
        <f t="shared" si="13"/>
        <v>20003_1</v>
      </c>
      <c r="E10" s="5" t="str">
        <f ca="1">VLOOKUP($B10,OFFSET([1]quests!$A$1,0,0,COUNTA([1]quests!$A:$A),MATCH(E$1,[1]quests!$1:$1,0)-MATCH($B$1,[1]quests!$1:$1,0)+1),MATCH(E$1,[1]quests!$1:$1,0)-MATCH($B$1,[1]quests!$1:$1,0)+1,FALSE)</f>
        <v>忍び寄る短剣</v>
      </c>
      <c r="F10" s="5" t="str">
        <f ca="1">VLOOKUP($D10,OFFSET([1]stages!$A$1,0,0,COUNTA([1]stages!$A:$A),MATCH(F$1,[1]stages!$2:$2,0)-MATCH($D$1,[1]stages!$2:$2,0)+1),MATCH(F$1,[1]stages!$2:$2,0)-MATCH($D$1,[1]stages!$2:$2,0)+1,FALSE)</f>
        <v xml:space="preserve">【初級】忍び寄る短剣 </v>
      </c>
      <c r="G10" s="36">
        <v>2</v>
      </c>
      <c r="H10" s="21" t="str">
        <f t="shared" si="14"/>
        <v>20003_1-2</v>
      </c>
      <c r="I10" s="31">
        <v>25</v>
      </c>
      <c r="J10" s="27" t="str">
        <f ca="1">VLOOKUP($I10,OFFSET([2]enemies!$A$1,0,0,COUNTA([2]enemies!$A:$A),MATCH(J$1,[2]enemies!$1:$1,0)-MATCH($I$1,[2]enemies!$1:$1,0)+1),MATCH(J$1,[2]enemies!$1:$1,0)-MATCH($I$1,[2]enemies!$1:$1,0)+1,FALSE)</f>
        <v>ハチ</v>
      </c>
      <c r="K10" s="27" t="str">
        <f ca="1">VLOOKUP($I10,OFFSET([2]enemies!$A$1,0,0,COUNTA([2]enemies!$A:$A),MATCH(K$1,[2]enemies!$1:$1,0)-MATCH($I$1,[2]enemies!$1:$1,0)+1),MATCH(K$1,[2]enemies!$1:$1,0)-MATCH($I$1,[2]enemies!$1:$1,0)+1,FALSE)</f>
        <v>blue</v>
      </c>
      <c r="L10" s="29" t="str">
        <f>VLOOKUP(I10,[3]characters!$A:$J,10,FALSE)</f>
        <v>Drop1N</v>
      </c>
      <c r="M10" s="27" t="str">
        <f ca="1">VLOOKUP($I10,OFFSET([2]enemies!$A$1,0,0,COUNTA([2]enemies!$A:$A),MATCH(M$1,[2]enemies!$1:$1,0)-MATCH($I$1,[2]enemies!$1:$1,0)+1),MATCH(M$1,[2]enemies!$1:$1,0)-MATCH($I$1,[2]enemies!$1:$1,0)+1,FALSE)</f>
        <v>animal</v>
      </c>
      <c r="N10" s="27">
        <f ca="1">VLOOKUP($I10,OFFSET([2]enemies!$A$1,0,0,COUNTA([2]enemies!$A:$A),MATCH(N$1,[2]enemies!$1:$1,0)-MATCH($I$1,[2]enemies!$1:$1,0)+1),MATCH(N$1,[2]enemies!$1:$1,0)-MATCH($I$1,[2]enemies!$1:$1,0)+1,FALSE)</f>
        <v>15</v>
      </c>
      <c r="O10" s="6">
        <v>16</v>
      </c>
      <c r="P10" s="38">
        <v>1.3</v>
      </c>
      <c r="Q10" s="38">
        <v>1.2</v>
      </c>
      <c r="R10" s="6">
        <v>0</v>
      </c>
      <c r="S10" s="5" t="str">
        <f ca="1">VLOOKUP($T10,OFFSET([4]enemy_skill_sets!$B$1,0,0,COUNTA([4]enemy_skill_sets!$B:$B),MATCH(J$1,[4]enemy_skill_sets!$1:$1,0)-MATCH($T$1,[4]enemy_skill_sets!$1:$1,0)+2),MATCH(J$1,[4]enemy_skill_sets!$1:$1,0)-MATCH($T$1,[4]enemy_skill_sets!$1:$1,0)+2,FALSE)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0" s="27">
        <f ca="1">VLOOKUP($I10,OFFSET([2]enemies!$A$1,0,0,COUNTA([2]enemies!$A:$A),MATCH(T$1,[2]enemies!$1:$1,0)-MATCH($I$1,[2]enemies!$1:$1,0)+1),MATCH(T$1,[2]enemies!$1:$1,0)-MATCH($I$1,[2]enemies!$1:$1,0)+1,FALSE)</f>
        <v>0</v>
      </c>
      <c r="U10" s="7">
        <v>0</v>
      </c>
      <c r="V10" s="7">
        <v>100</v>
      </c>
      <c r="W10" s="7">
        <v>0</v>
      </c>
      <c r="X10" s="27">
        <f ca="1">VLOOKUP($I10,OFFSET([2]enemies!$A$1,0,0,COUNTA([2]enemies!$A:$A),MATCH(X$1,[2]enemies!$1:$1,0)-MATCH($I$1,[2]enemies!$1:$1,0)+1),MATCH(X$1,[2]enemies!$1:$1,0)-MATCH($I$1,[2]enemies!$1:$1,0)+1,FALSE)</f>
        <v>3</v>
      </c>
      <c r="Y10" s="8">
        <v>25</v>
      </c>
      <c r="Z10" s="5" t="str">
        <f ca="1">IFERROR(VLOOKUP($Y10,OFFSET([3]characters!$A$1,0,0,COUNTA([3]characters!$A:$A),MATCH(Z$1,[3]characters!$1:$1,0)-MATCH("character_id",[3]characters!$1:$1,0)+1),MATCH(Z$1,[3]characters!$1:$1,0)-MATCH("character_id",[3]characters!$1:$1,0)+1,FALSE),"")</f>
        <v>ハチ</v>
      </c>
      <c r="AA10" s="5">
        <f ca="1">IFERROR(VLOOKUP($Y10,OFFSET([3]characters!$A$1,0,0,COUNTA([3]characters!$A:$A),MATCH(AA$1,[3]characters!$1:$1,0)-MATCH("character_id",[3]characters!$1:$1,0)+1),MATCH(AA$1,[3]characters!$1:$1,0)-MATCH("character_id",[3]characters!$1:$1,0)+1,FALSE),"")</f>
        <v>1</v>
      </c>
      <c r="AB10" s="5" t="str">
        <f ca="1">IFERROR(VLOOKUP($Y10,OFFSET([3]characters!$A$1,0,0,COUNTA([3]characters!$A:$A),MATCH(AB$1,[3]characters!$1:$1,0)-MATCH("character_id",[3]characters!$1:$1,0)+1),MATCH(AB$1,[3]characters!$1:$1,0)-MATCH("character_id",[3]characters!$1:$1,0)+1,FALSE),"")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10" s="9">
        <v>1</v>
      </c>
      <c r="AD10" s="35">
        <f t="shared" ca="1" si="15"/>
        <v>1</v>
      </c>
      <c r="AE10" s="10">
        <v>25</v>
      </c>
      <c r="AF10" s="9">
        <v>0</v>
      </c>
      <c r="AG10" s="9">
        <v>0</v>
      </c>
      <c r="AH10" s="9">
        <v>0</v>
      </c>
      <c r="AI10" s="9">
        <v>0</v>
      </c>
      <c r="AJ10" s="9">
        <v>1</v>
      </c>
    </row>
    <row r="11" spans="1:36" ht="21" customHeight="1" x14ac:dyDescent="0.15">
      <c r="A11" s="22" t="str">
        <f t="shared" ca="1" si="12"/>
        <v>20003_1-2/29&lt;lv16&gt;s2</v>
      </c>
      <c r="B11" s="33">
        <v>20003</v>
      </c>
      <c r="C11" s="32">
        <v>1</v>
      </c>
      <c r="D11" s="2" t="str">
        <f t="shared" si="13"/>
        <v>20003_1</v>
      </c>
      <c r="E11" s="5" t="str">
        <f ca="1">VLOOKUP($B11,OFFSET([1]quests!$A$1,0,0,COUNTA([1]quests!$A:$A),MATCH(E$1,[1]quests!$1:$1,0)-MATCH($B$1,[1]quests!$1:$1,0)+1),MATCH(E$1,[1]quests!$1:$1,0)-MATCH($B$1,[1]quests!$1:$1,0)+1,FALSE)</f>
        <v>忍び寄る短剣</v>
      </c>
      <c r="F11" s="5" t="str">
        <f ca="1">VLOOKUP($D11,OFFSET([1]stages!$A$1,0,0,COUNTA([1]stages!$A:$A),MATCH(F$1,[1]stages!$2:$2,0)-MATCH($D$1,[1]stages!$2:$2,0)+1),MATCH(F$1,[1]stages!$2:$2,0)-MATCH($D$1,[1]stages!$2:$2,0)+1,FALSE)</f>
        <v xml:space="preserve">【初級】忍び寄る短剣 </v>
      </c>
      <c r="G11" s="36">
        <v>2</v>
      </c>
      <c r="H11" s="21" t="str">
        <f t="shared" si="14"/>
        <v>20003_1-2</v>
      </c>
      <c r="I11" s="31">
        <v>29</v>
      </c>
      <c r="J11" s="27" t="str">
        <f ca="1">VLOOKUP($I11,OFFSET([2]enemies!$A$1,0,0,COUNTA([2]enemies!$A:$A),MATCH(J$1,[2]enemies!$1:$1,0)-MATCH($I$1,[2]enemies!$1:$1,0)+1),MATCH(J$1,[2]enemies!$1:$1,0)-MATCH($I$1,[2]enemies!$1:$1,0)+1,FALSE)</f>
        <v>スケアクロウ</v>
      </c>
      <c r="K11" s="27" t="str">
        <f ca="1">VLOOKUP($I11,OFFSET([2]enemies!$A$1,0,0,COUNTA([2]enemies!$A:$A),MATCH(K$1,[2]enemies!$1:$1,0)-MATCH($I$1,[2]enemies!$1:$1,0)+1),MATCH(K$1,[2]enemies!$1:$1,0)-MATCH($I$1,[2]enemies!$1:$1,0)+1,FALSE)</f>
        <v>blue</v>
      </c>
      <c r="L11" s="29" t="str">
        <f>VLOOKUP(I11,[3]characters!$A:$J,10,FALSE)</f>
        <v>Drop1N</v>
      </c>
      <c r="M11" s="27" t="str">
        <f ca="1">VLOOKUP($I11,OFFSET([2]enemies!$A$1,0,0,COUNTA([2]enemies!$A:$A),MATCH(M$1,[2]enemies!$1:$1,0)-MATCH($I$1,[2]enemies!$1:$1,0)+1),MATCH(M$1,[2]enemies!$1:$1,0)-MATCH($I$1,[2]enemies!$1:$1,0)+1,FALSE)</f>
        <v>machine</v>
      </c>
      <c r="N11" s="27">
        <f ca="1">VLOOKUP($I11,OFFSET([2]enemies!$A$1,0,0,COUNTA([2]enemies!$A:$A),MATCH(N$1,[2]enemies!$1:$1,0)-MATCH($I$1,[2]enemies!$1:$1,0)+1),MATCH(N$1,[2]enemies!$1:$1,0)-MATCH($I$1,[2]enemies!$1:$1,0)+1,FALSE)</f>
        <v>15</v>
      </c>
      <c r="O11" s="6">
        <v>16</v>
      </c>
      <c r="P11" s="38">
        <v>1.3</v>
      </c>
      <c r="Q11" s="38">
        <v>1.2</v>
      </c>
      <c r="R11" s="6">
        <v>0</v>
      </c>
      <c r="S11" s="5" t="str">
        <f ca="1">VLOOKUP($T11,OFFSET([4]enemy_skill_sets!$B$1,0,0,COUNTA([4]enemy_skill_sets!$B:$B),MATCH(J$1,[4]enemy_skill_sets!$1:$1,0)-MATCH($T$1,[4]enemy_skill_sets!$1:$1,0)+2),MATCH(J$1,[4]enemy_skill_sets!$1:$1,0)-MATCH($T$1,[4]enemy_skill_sets!$1:$1,0)+2,FALSE)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1" s="27">
        <f ca="1">VLOOKUP($I11,OFFSET([2]enemies!$A$1,0,0,COUNTA([2]enemies!$A:$A),MATCH(T$1,[2]enemies!$1:$1,0)-MATCH($I$1,[2]enemies!$1:$1,0)+1),MATCH(T$1,[2]enemies!$1:$1,0)-MATCH($I$1,[2]enemies!$1:$1,0)+1,FALSE)</f>
        <v>0</v>
      </c>
      <c r="U11" s="7">
        <v>0</v>
      </c>
      <c r="V11" s="7">
        <v>100</v>
      </c>
      <c r="W11" s="7">
        <v>0</v>
      </c>
      <c r="X11" s="27">
        <f ca="1">VLOOKUP($I11,OFFSET([2]enemies!$A$1,0,0,COUNTA([2]enemies!$A:$A),MATCH(X$1,[2]enemies!$1:$1,0)-MATCH($I$1,[2]enemies!$1:$1,0)+1),MATCH(X$1,[2]enemies!$1:$1,0)-MATCH($I$1,[2]enemies!$1:$1,0)+1,FALSE)</f>
        <v>2</v>
      </c>
      <c r="Y11" s="8">
        <v>29</v>
      </c>
      <c r="Z11" s="5" t="str">
        <f ca="1">IFERROR(VLOOKUP($Y11,OFFSET([3]characters!$A$1,0,0,COUNTA([3]characters!$A:$A),MATCH(Z$1,[3]characters!$1:$1,0)-MATCH("character_id",[3]characters!$1:$1,0)+1),MATCH(Z$1,[3]characters!$1:$1,0)-MATCH("character_id",[3]characters!$1:$1,0)+1,FALSE),"")</f>
        <v>スケアクロウ</v>
      </c>
      <c r="AA11" s="5">
        <f ca="1">IFERROR(VLOOKUP($Y11,OFFSET([3]characters!$A$1,0,0,COUNTA([3]characters!$A:$A),MATCH(AA$1,[3]characters!$1:$1,0)-MATCH("character_id",[3]characters!$1:$1,0)+1),MATCH(AA$1,[3]characters!$1:$1,0)-MATCH("character_id",[3]characters!$1:$1,0)+1,FALSE),"")</f>
        <v>1</v>
      </c>
      <c r="AB11" s="5" t="str">
        <f ca="1">IFERROR(VLOOKUP($Y11,OFFSET([3]characters!$A$1,0,0,COUNTA([3]characters!$A:$A),MATCH(AB$1,[3]characters!$1:$1,0)-MATCH("character_id",[3]characters!$1:$1,0)+1),MATCH(AB$1,[3]characters!$1:$1,0)-MATCH("character_id",[3]characters!$1:$1,0)+1,FALSE),"")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11" s="9">
        <v>1</v>
      </c>
      <c r="AD11" s="35">
        <f t="shared" ca="1" si="15"/>
        <v>1</v>
      </c>
      <c r="AE11" s="10">
        <v>25</v>
      </c>
      <c r="AF11" s="9">
        <v>0</v>
      </c>
      <c r="AG11" s="9">
        <v>0</v>
      </c>
      <c r="AH11" s="9">
        <v>0</v>
      </c>
      <c r="AI11" s="9">
        <v>0</v>
      </c>
      <c r="AJ11" s="9">
        <v>1</v>
      </c>
    </row>
    <row r="12" spans="1:36" ht="21" customHeight="1" x14ac:dyDescent="0.15">
      <c r="A12" s="22" t="str">
        <f t="shared" ca="1" si="12"/>
        <v>20003_1-2/45&lt;lv16&gt;s3</v>
      </c>
      <c r="B12" s="33">
        <v>20003</v>
      </c>
      <c r="C12" s="32">
        <v>1</v>
      </c>
      <c r="D12" s="2" t="str">
        <f t="shared" si="13"/>
        <v>20003_1</v>
      </c>
      <c r="E12" s="5" t="str">
        <f ca="1">VLOOKUP($B12,OFFSET([1]quests!$A$1,0,0,COUNTA([1]quests!$A:$A),MATCH(E$1,[1]quests!$1:$1,0)-MATCH($B$1,[1]quests!$1:$1,0)+1),MATCH(E$1,[1]quests!$1:$1,0)-MATCH($B$1,[1]quests!$1:$1,0)+1,FALSE)</f>
        <v>忍び寄る短剣</v>
      </c>
      <c r="F12" s="5" t="str">
        <f ca="1">VLOOKUP($D12,OFFSET([1]stages!$A$1,0,0,COUNTA([1]stages!$A:$A),MATCH(F$1,[1]stages!$2:$2,0)-MATCH($D$1,[1]stages!$2:$2,0)+1),MATCH(F$1,[1]stages!$2:$2,0)-MATCH($D$1,[1]stages!$2:$2,0)+1,FALSE)</f>
        <v xml:space="preserve">【初級】忍び寄る短剣 </v>
      </c>
      <c r="G12" s="36">
        <v>2</v>
      </c>
      <c r="H12" s="21" t="str">
        <f t="shared" si="14"/>
        <v>20003_1-2</v>
      </c>
      <c r="I12" s="31">
        <v>45</v>
      </c>
      <c r="J12" s="27" t="str">
        <f ca="1">VLOOKUP($I12,OFFSET([2]enemies!$A$1,0,0,COUNTA([2]enemies!$A:$A),MATCH(J$1,[2]enemies!$1:$1,0)-MATCH($I$1,[2]enemies!$1:$1,0)+1),MATCH(J$1,[2]enemies!$1:$1,0)-MATCH($I$1,[2]enemies!$1:$1,0)+1,FALSE)</f>
        <v>ショウイン</v>
      </c>
      <c r="K12" s="27" t="str">
        <f ca="1">VLOOKUP($I12,OFFSET([2]enemies!$A$1,0,0,COUNTA([2]enemies!$A:$A),MATCH(K$1,[2]enemies!$1:$1,0)-MATCH($I$1,[2]enemies!$1:$1,0)+1),MATCH(K$1,[2]enemies!$1:$1,0)-MATCH($I$1,[2]enemies!$1:$1,0)+1,FALSE)</f>
        <v>blue</v>
      </c>
      <c r="L12" s="29" t="str">
        <f>VLOOKUP(I12,[3]characters!$A:$J,10,FALSE)</f>
        <v>Drop1N</v>
      </c>
      <c r="M12" s="27" t="str">
        <f ca="1">VLOOKUP($I12,OFFSET([2]enemies!$A$1,0,0,COUNTA([2]enemies!$A:$A),MATCH(M$1,[2]enemies!$1:$1,0)-MATCH($I$1,[2]enemies!$1:$1,0)+1),MATCH(M$1,[2]enemies!$1:$1,0)-MATCH($I$1,[2]enemies!$1:$1,0)+1,FALSE)</f>
        <v>animal</v>
      </c>
      <c r="N12" s="27">
        <f ca="1">VLOOKUP($I12,OFFSET([2]enemies!$A$1,0,0,COUNTA([2]enemies!$A:$A),MATCH(N$1,[2]enemies!$1:$1,0)-MATCH($I$1,[2]enemies!$1:$1,0)+1),MATCH(N$1,[2]enemies!$1:$1,0)-MATCH($I$1,[2]enemies!$1:$1,0)+1,FALSE)</f>
        <v>15</v>
      </c>
      <c r="O12" s="6">
        <v>16</v>
      </c>
      <c r="P12" s="38">
        <v>1.3</v>
      </c>
      <c r="Q12" s="38">
        <v>1.2</v>
      </c>
      <c r="R12" s="6">
        <v>0</v>
      </c>
      <c r="S12" s="5" t="str">
        <f ca="1">VLOOKUP($T12,OFFSET([4]enemy_skill_sets!$B$1,0,0,COUNTA([4]enemy_skill_sets!$B:$B),MATCH(J$1,[4]enemy_skill_sets!$1:$1,0)-MATCH($T$1,[4]enemy_skill_sets!$1:$1,0)+2),MATCH(J$1,[4]enemy_skill_sets!$1:$1,0)-MATCH($T$1,[4]enemy_skill_sets!$1:$1,0)+2,FALSE)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2" s="27">
        <f ca="1">VLOOKUP($I12,OFFSET([2]enemies!$A$1,0,0,COUNTA([2]enemies!$A:$A),MATCH(T$1,[2]enemies!$1:$1,0)-MATCH($I$1,[2]enemies!$1:$1,0)+1),MATCH(T$1,[2]enemies!$1:$1,0)-MATCH($I$1,[2]enemies!$1:$1,0)+1,FALSE)</f>
        <v>0</v>
      </c>
      <c r="U12" s="7">
        <v>0</v>
      </c>
      <c r="V12" s="7">
        <v>100</v>
      </c>
      <c r="W12" s="7">
        <v>0</v>
      </c>
      <c r="X12" s="27">
        <f ca="1">VLOOKUP($I12,OFFSET([2]enemies!$A$1,0,0,COUNTA([2]enemies!$A:$A),MATCH(X$1,[2]enemies!$1:$1,0)-MATCH($I$1,[2]enemies!$1:$1,0)+1),MATCH(X$1,[2]enemies!$1:$1,0)-MATCH($I$1,[2]enemies!$1:$1,0)+1,FALSE)</f>
        <v>3</v>
      </c>
      <c r="Y12" s="8">
        <v>45</v>
      </c>
      <c r="Z12" s="5" t="str">
        <f ca="1">IFERROR(VLOOKUP($Y12,OFFSET([3]characters!$A$1,0,0,COUNTA([3]characters!$A:$A),MATCH(Z$1,[3]characters!$1:$1,0)-MATCH("character_id",[3]characters!$1:$1,0)+1),MATCH(Z$1,[3]characters!$1:$1,0)-MATCH("character_id",[3]characters!$1:$1,0)+1,FALSE),"")</f>
        <v>ショウイン</v>
      </c>
      <c r="AA12" s="5">
        <f ca="1">IFERROR(VLOOKUP($Y12,OFFSET([3]characters!$A$1,0,0,COUNTA([3]characters!$A:$A),MATCH(AA$1,[3]characters!$1:$1,0)-MATCH("character_id",[3]characters!$1:$1,0)+1),MATCH(AA$1,[3]characters!$1:$1,0)-MATCH("character_id",[3]characters!$1:$1,0)+1,FALSE),"")</f>
        <v>2</v>
      </c>
      <c r="AB12" s="5" t="str">
        <f ca="1">IFERROR(VLOOKUP($Y12,OFFSET([3]characters!$A$1,0,0,COUNTA([3]characters!$A:$A),MATCH(AB$1,[3]characters!$1:$1,0)-MATCH("character_id",[3]characters!$1:$1,0)+1),MATCH(AB$1,[3]characters!$1:$1,0)-MATCH("character_id",[3]characters!$1:$1,0)+1,FALSE),"")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12" s="9">
        <v>1</v>
      </c>
      <c r="AD12" s="35">
        <f t="shared" ca="1" si="15"/>
        <v>2</v>
      </c>
      <c r="AE12" s="10">
        <v>25</v>
      </c>
      <c r="AF12" s="9">
        <v>0</v>
      </c>
      <c r="AG12" s="9">
        <v>0</v>
      </c>
      <c r="AH12" s="9">
        <v>0</v>
      </c>
      <c r="AI12" s="9">
        <v>0</v>
      </c>
      <c r="AJ12" s="9">
        <v>1</v>
      </c>
    </row>
    <row r="13" spans="1:36" ht="21" customHeight="1" x14ac:dyDescent="0.15">
      <c r="A13" s="22" t="str">
        <f t="shared" ca="1" si="12"/>
        <v>20003_1-2/71&lt;lv16&gt;s4</v>
      </c>
      <c r="B13" s="33">
        <v>20003</v>
      </c>
      <c r="C13" s="32">
        <v>1</v>
      </c>
      <c r="D13" s="2" t="str">
        <f t="shared" si="13"/>
        <v>20003_1</v>
      </c>
      <c r="E13" s="5" t="str">
        <f ca="1">VLOOKUP($B13,OFFSET([1]quests!$A$1,0,0,COUNTA([1]quests!$A:$A),MATCH(E$1,[1]quests!$1:$1,0)-MATCH($B$1,[1]quests!$1:$1,0)+1),MATCH(E$1,[1]quests!$1:$1,0)-MATCH($B$1,[1]quests!$1:$1,0)+1,FALSE)</f>
        <v>忍び寄る短剣</v>
      </c>
      <c r="F13" s="5" t="str">
        <f ca="1">VLOOKUP($D13,OFFSET([1]stages!$A$1,0,0,COUNTA([1]stages!$A:$A),MATCH(F$1,[1]stages!$2:$2,0)-MATCH($D$1,[1]stages!$2:$2,0)+1),MATCH(F$1,[1]stages!$2:$2,0)-MATCH($D$1,[1]stages!$2:$2,0)+1,FALSE)</f>
        <v xml:space="preserve">【初級】忍び寄る短剣 </v>
      </c>
      <c r="G13" s="36">
        <v>2</v>
      </c>
      <c r="H13" s="21" t="str">
        <f t="shared" si="14"/>
        <v>20003_1-2</v>
      </c>
      <c r="I13" s="31">
        <v>71</v>
      </c>
      <c r="J13" s="27" t="str">
        <f ca="1">VLOOKUP($I13,OFFSET([2]enemies!$A$1,0,0,COUNTA([2]enemies!$A:$A),MATCH(J$1,[2]enemies!$1:$1,0)-MATCH($I$1,[2]enemies!$1:$1,0)+1),MATCH(J$1,[2]enemies!$1:$1,0)-MATCH($I$1,[2]enemies!$1:$1,0)+1,FALSE)</f>
        <v>ダックス</v>
      </c>
      <c r="K13" s="27" t="str">
        <f ca="1">VLOOKUP($I13,OFFSET([2]enemies!$A$1,0,0,COUNTA([2]enemies!$A:$A),MATCH(K$1,[2]enemies!$1:$1,0)-MATCH($I$1,[2]enemies!$1:$1,0)+1),MATCH(K$1,[2]enemies!$1:$1,0)-MATCH($I$1,[2]enemies!$1:$1,0)+1,FALSE)</f>
        <v>blue</v>
      </c>
      <c r="L13" s="29" t="str">
        <f>VLOOKUP(I13,[3]characters!$A:$J,10,FALSE)</f>
        <v>Drop1S</v>
      </c>
      <c r="M13" s="27" t="str">
        <f ca="1">VLOOKUP($I13,OFFSET([2]enemies!$A$1,0,0,COUNTA([2]enemies!$A:$A),MATCH(M$1,[2]enemies!$1:$1,0)-MATCH($I$1,[2]enemies!$1:$1,0)+1),MATCH(M$1,[2]enemies!$1:$1,0)-MATCH($I$1,[2]enemies!$1:$1,0)+1,FALSE)</f>
        <v>animal</v>
      </c>
      <c r="N13" s="27">
        <f ca="1">VLOOKUP($I13,OFFSET([2]enemies!$A$1,0,0,COUNTA([2]enemies!$A:$A),MATCH(N$1,[2]enemies!$1:$1,0)-MATCH($I$1,[2]enemies!$1:$1,0)+1),MATCH(N$1,[2]enemies!$1:$1,0)-MATCH($I$1,[2]enemies!$1:$1,0)+1,FALSE)</f>
        <v>15</v>
      </c>
      <c r="O13" s="6">
        <v>16</v>
      </c>
      <c r="P13" s="38">
        <v>1.3</v>
      </c>
      <c r="Q13" s="38">
        <v>0.8</v>
      </c>
      <c r="R13" s="6">
        <v>0</v>
      </c>
      <c r="S13" s="5" t="str">
        <f ca="1">VLOOKUP($T13,OFFSET([4]enemy_skill_sets!$B$1,0,0,COUNTA([4]enemy_skill_sets!$B:$B),MATCH(J$1,[4]enemy_skill_sets!$1:$1,0)-MATCH($T$1,[4]enemy_skill_sets!$1:$1,0)+2),MATCH(J$1,[4]enemy_skill_sets!$1:$1,0)-MATCH($T$1,[4]enemy_skill_sets!$1:$1,0)+2,FALSE)</f>
        <v>3ターン攻撃頻度が1ターンにUP</v>
      </c>
      <c r="T13" s="27">
        <f ca="1">VLOOKUP($I13,OFFSET([2]enemies!$A$1,0,0,COUNTA([2]enemies!$A:$A),MATCH(T$1,[2]enemies!$1:$1,0)-MATCH($I$1,[2]enemies!$1:$1,0)+1),MATCH(T$1,[2]enemies!$1:$1,0)-MATCH($I$1,[2]enemies!$1:$1,0)+1,FALSE)</f>
        <v>71</v>
      </c>
      <c r="U13" s="7">
        <v>1</v>
      </c>
      <c r="V13" s="7">
        <v>100</v>
      </c>
      <c r="W13" s="7">
        <v>0</v>
      </c>
      <c r="X13" s="27">
        <f ca="1">VLOOKUP($I13,OFFSET([2]enemies!$A$1,0,0,COUNTA([2]enemies!$A:$A),MATCH(X$1,[2]enemies!$1:$1,0)-MATCH($I$1,[2]enemies!$1:$1,0)+1),MATCH(X$1,[2]enemies!$1:$1,0)-MATCH($I$1,[2]enemies!$1:$1,0)+1,FALSE)</f>
        <v>4</v>
      </c>
      <c r="Y13" s="8">
        <v>71</v>
      </c>
      <c r="Z13" s="5" t="str">
        <f ca="1">IFERROR(VLOOKUP($Y13,OFFSET([3]characters!$A$1,0,0,COUNTA([3]characters!$A:$A),MATCH(Z$1,[3]characters!$1:$1,0)-MATCH("character_id",[3]characters!$1:$1,0)+1),MATCH(Z$1,[3]characters!$1:$1,0)-MATCH("character_id",[3]characters!$1:$1,0)+1,FALSE),"")</f>
        <v>ダックス</v>
      </c>
      <c r="AA13" s="5">
        <f ca="1">IFERROR(VLOOKUP($Y13,OFFSET([3]characters!$A$1,0,0,COUNTA([3]characters!$A:$A),MATCH(AA$1,[3]characters!$1:$1,0)-MATCH("character_id",[3]characters!$1:$1,0)+1),MATCH(AA$1,[3]characters!$1:$1,0)-MATCH("character_id",[3]characters!$1:$1,0)+1,FALSE),"")</f>
        <v>2</v>
      </c>
      <c r="AB13" s="5" t="str">
        <f ca="1">IFERROR(VLOOKUP($Y13,OFFSET([3]characters!$A$1,0,0,COUNTA([3]characters!$A:$A),MATCH(AB$1,[3]characters!$1:$1,0)-MATCH("character_id",[3]characters!$1:$1,0)+1),MATCH(AB$1,[3]characters!$1:$1,0)-MATCH("character_id",[3]characters!$1:$1,0)+1,FALSE),"")</f>
        <v>Drop1S</v>
      </c>
      <c r="AC13" s="9">
        <v>1</v>
      </c>
      <c r="AD13" s="35">
        <f t="shared" ca="1" si="15"/>
        <v>2</v>
      </c>
      <c r="AE13" s="10">
        <v>15</v>
      </c>
      <c r="AF13" s="9">
        <v>0</v>
      </c>
      <c r="AG13" s="9">
        <v>0</v>
      </c>
      <c r="AH13" s="9">
        <v>0</v>
      </c>
      <c r="AI13" s="9">
        <v>0</v>
      </c>
      <c r="AJ13" s="9">
        <v>1</v>
      </c>
    </row>
    <row r="14" spans="1:36" ht="21" customHeight="1" x14ac:dyDescent="0.15">
      <c r="A14" s="22" t="str">
        <f ca="1">B14&amp;"_"&amp;C14&amp;"-"&amp;G14&amp;"/"&amp;I14&amp;"&lt;lv"&amp;O14&amp;"&gt;s"&amp;X14</f>
        <v>20003_1-3/5&lt;lv16&gt;s3</v>
      </c>
      <c r="B14" s="33">
        <v>20003</v>
      </c>
      <c r="C14" s="32">
        <v>1</v>
      </c>
      <c r="D14" s="2" t="str">
        <f>B14&amp;"_"&amp;C14</f>
        <v>20003_1</v>
      </c>
      <c r="E14" s="5" t="str">
        <f ca="1">VLOOKUP($B14,OFFSET([1]quests!$A$1,0,0,COUNTA([1]quests!$A:$A),MATCH(E$1,[1]quests!$1:$1,0)-MATCH($B$1,[1]quests!$1:$1,0)+1),MATCH(E$1,[1]quests!$1:$1,0)-MATCH($B$1,[1]quests!$1:$1,0)+1,FALSE)</f>
        <v>忍び寄る短剣</v>
      </c>
      <c r="F14" s="5" t="str">
        <f ca="1">VLOOKUP($D14,OFFSET([1]stages!$A$1,0,0,COUNTA([1]stages!$A:$A),MATCH(F$1,[1]stages!$2:$2,0)-MATCH($D$1,[1]stages!$2:$2,0)+1),MATCH(F$1,[1]stages!$2:$2,0)-MATCH($D$1,[1]stages!$2:$2,0)+1,FALSE)</f>
        <v xml:space="preserve">【初級】忍び寄る短剣 </v>
      </c>
      <c r="G14" s="32">
        <v>3</v>
      </c>
      <c r="H14" s="21" t="str">
        <f>B14&amp;"_"&amp;C14&amp;"-"&amp;G14</f>
        <v>20003_1-3</v>
      </c>
      <c r="I14" s="31">
        <v>5</v>
      </c>
      <c r="J14" s="27" t="str">
        <f ca="1">VLOOKUP($I14,OFFSET([2]enemies!$A$1,0,0,COUNTA([2]enemies!$A:$A),MATCH(J$1,[2]enemies!$1:$1,0)-MATCH($I$1,[2]enemies!$1:$1,0)+1),MATCH(J$1,[2]enemies!$1:$1,0)-MATCH($I$1,[2]enemies!$1:$1,0)+1,FALSE)</f>
        <v>パトドッグ ポチ</v>
      </c>
      <c r="K14" s="27" t="str">
        <f ca="1">VLOOKUP($I14,OFFSET([2]enemies!$A$1,0,0,COUNTA([2]enemies!$A:$A),MATCH(K$1,[2]enemies!$1:$1,0)-MATCH($I$1,[2]enemies!$1:$1,0)+1),MATCH(K$1,[2]enemies!$1:$1,0)-MATCH($I$1,[2]enemies!$1:$1,0)+1,FALSE)</f>
        <v>blue</v>
      </c>
      <c r="L14" s="29" t="str">
        <f>VLOOKUP(I14,[3]characters!$A:$J,10,FALSE)</f>
        <v>Drop1T</v>
      </c>
      <c r="M14" s="27" t="str">
        <f ca="1">VLOOKUP($I14,OFFSET([2]enemies!$A$1,0,0,COUNTA([2]enemies!$A:$A),MATCH(M$1,[2]enemies!$1:$1,0)-MATCH($I$1,[2]enemies!$1:$1,0)+1),MATCH(M$1,[2]enemies!$1:$1,0)-MATCH($I$1,[2]enemies!$1:$1,0)+1,FALSE)</f>
        <v>unknown</v>
      </c>
      <c r="N14" s="27">
        <f ca="1">VLOOKUP($I14,OFFSET([2]enemies!$A$1,0,0,COUNTA([2]enemies!$A:$A),MATCH(N$1,[2]enemies!$1:$1,0)-MATCH($I$1,[2]enemies!$1:$1,0)+1),MATCH(N$1,[2]enemies!$1:$1,0)-MATCH($I$1,[2]enemies!$1:$1,0)+1,FALSE)</f>
        <v>15</v>
      </c>
      <c r="O14" s="6">
        <v>16</v>
      </c>
      <c r="P14" s="38">
        <v>1.3</v>
      </c>
      <c r="Q14" s="38">
        <v>1.2</v>
      </c>
      <c r="R14" s="6">
        <v>0</v>
      </c>
      <c r="S14" s="5" t="str">
        <f ca="1">VLOOKUP($T14,OFFSET([4]enemy_skill_sets!$B$1,0,0,COUNTA([4]enemy_skill_sets!$B:$B),MATCH(J$1,[4]enemy_skill_sets!$1:$1,0)-MATCH($T$1,[4]enemy_skill_sets!$1:$1,0)+2),MATCH(J$1,[4]enemy_skill_sets!$1:$1,0)-MATCH($T$1,[4]enemy_skill_sets!$1:$1,0)+2,FALSE)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4" s="27">
        <f ca="1">VLOOKUP($I14,OFFSET([2]enemies!$A$1,0,0,COUNTA([2]enemies!$A:$A),MATCH(T$1,[2]enemies!$1:$1,0)-MATCH($I$1,[2]enemies!$1:$1,0)+1),MATCH(T$1,[2]enemies!$1:$1,0)-MATCH($I$1,[2]enemies!$1:$1,0)+1,FALSE)</f>
        <v>0</v>
      </c>
      <c r="U14" s="7">
        <v>0</v>
      </c>
      <c r="V14" s="7">
        <v>100</v>
      </c>
      <c r="W14" s="7">
        <v>0</v>
      </c>
      <c r="X14" s="27">
        <f ca="1">VLOOKUP($I14,OFFSET([2]enemies!$A$1,0,0,COUNTA([2]enemies!$A:$A),MATCH(X$1,[2]enemies!$1:$1,0)-MATCH($I$1,[2]enemies!$1:$1,0)+1),MATCH(X$1,[2]enemies!$1:$1,0)-MATCH($I$1,[2]enemies!$1:$1,0)+1,FALSE)</f>
        <v>3</v>
      </c>
      <c r="Y14" s="8">
        <v>5</v>
      </c>
      <c r="Z14" s="5" t="str">
        <f ca="1">IFERROR(VLOOKUP($Y14,OFFSET([3]characters!$A$1,0,0,COUNTA([3]characters!$A:$A),MATCH(Z$1,[3]characters!$1:$1,0)-MATCH("character_id",[3]characters!$1:$1,0)+1),MATCH(Z$1,[3]characters!$1:$1,0)-MATCH("character_id",[3]characters!$1:$1,0)+1,FALSE),"")</f>
        <v>パトドッグ ポチ</v>
      </c>
      <c r="AA14" s="5">
        <f ca="1">IFERROR(VLOOKUP($Y14,OFFSET([3]characters!$A$1,0,0,COUNTA([3]characters!$A:$A),MATCH(AA$1,[3]characters!$1:$1,0)-MATCH("character_id",[3]characters!$1:$1,0)+1),MATCH(AA$1,[3]characters!$1:$1,0)-MATCH("character_id",[3]characters!$1:$1,0)+1,FALSE),"")</f>
        <v>1</v>
      </c>
      <c r="AB14" s="5" t="str">
        <f ca="1">IFERROR(VLOOKUP($Y14,OFFSET([3]characters!$A$1,0,0,COUNTA([3]characters!$A:$A),MATCH(AB$1,[3]characters!$1:$1,0)-MATCH("character_id",[3]characters!$1:$1,0)+1),MATCH(AB$1,[3]characters!$1:$1,0)-MATCH("character_id",[3]characters!$1:$1,0)+1,FALSE),"")</f>
        <v>Drop1T</v>
      </c>
      <c r="AC14" s="9">
        <v>3</v>
      </c>
      <c r="AD14" s="35">
        <f ca="1">AA14</f>
        <v>1</v>
      </c>
      <c r="AE14" s="10">
        <v>25</v>
      </c>
      <c r="AF14" s="9">
        <v>0</v>
      </c>
      <c r="AG14" s="9">
        <v>0</v>
      </c>
      <c r="AH14" s="9">
        <v>0</v>
      </c>
      <c r="AI14" s="9">
        <v>0</v>
      </c>
      <c r="AJ14" s="9">
        <v>1</v>
      </c>
    </row>
    <row r="15" spans="1:36" ht="21" customHeight="1" x14ac:dyDescent="0.15">
      <c r="A15" s="22" t="str">
        <f t="shared" ref="A15:A19" ca="1" si="16">B15&amp;"_"&amp;C15&amp;"-"&amp;G15&amp;"/"&amp;I15&amp;"&lt;lv"&amp;O15&amp;"&gt;s"&amp;X15</f>
        <v>20003_1-3/17&lt;lv16&gt;s2</v>
      </c>
      <c r="B15" s="33">
        <v>20003</v>
      </c>
      <c r="C15" s="32">
        <v>1</v>
      </c>
      <c r="D15" s="2" t="str">
        <f t="shared" ref="D15:D19" si="17">B15&amp;"_"&amp;C15</f>
        <v>20003_1</v>
      </c>
      <c r="E15" s="5" t="str">
        <f ca="1">VLOOKUP($B15,OFFSET([1]quests!$A$1,0,0,COUNTA([1]quests!$A:$A),MATCH(E$1,[1]quests!$1:$1,0)-MATCH($B$1,[1]quests!$1:$1,0)+1),MATCH(E$1,[1]quests!$1:$1,0)-MATCH($B$1,[1]quests!$1:$1,0)+1,FALSE)</f>
        <v>忍び寄る短剣</v>
      </c>
      <c r="F15" s="5" t="str">
        <f ca="1">VLOOKUP($D15,OFFSET([1]stages!$A$1,0,0,COUNTA([1]stages!$A:$A),MATCH(F$1,[1]stages!$2:$2,0)-MATCH($D$1,[1]stages!$2:$2,0)+1),MATCH(F$1,[1]stages!$2:$2,0)-MATCH($D$1,[1]stages!$2:$2,0)+1,FALSE)</f>
        <v xml:space="preserve">【初級】忍び寄る短剣 </v>
      </c>
      <c r="G15" s="32">
        <v>3</v>
      </c>
      <c r="H15" s="21" t="str">
        <f t="shared" ref="H15:H19" si="18">B15&amp;"_"&amp;C15&amp;"-"&amp;G15</f>
        <v>20003_1-3</v>
      </c>
      <c r="I15" s="31">
        <v>17</v>
      </c>
      <c r="J15" s="27" t="str">
        <f ca="1">VLOOKUP($I15,OFFSET([2]enemies!$A$1,0,0,COUNTA([2]enemies!$A:$A),MATCH(J$1,[2]enemies!$1:$1,0)-MATCH($I$1,[2]enemies!$1:$1,0)+1),MATCH(J$1,[2]enemies!$1:$1,0)-MATCH($I$1,[2]enemies!$1:$1,0)+1,FALSE)</f>
        <v>リム</v>
      </c>
      <c r="K15" s="27" t="str">
        <f ca="1">VLOOKUP($I15,OFFSET([2]enemies!$A$1,0,0,COUNTA([2]enemies!$A:$A),MATCH(K$1,[2]enemies!$1:$1,0)-MATCH($I$1,[2]enemies!$1:$1,0)+1),MATCH(K$1,[2]enemies!$1:$1,0)-MATCH($I$1,[2]enemies!$1:$1,0)+1,FALSE)</f>
        <v>blue</v>
      </c>
      <c r="L15" s="29" t="str">
        <f>VLOOKUP(I15,[3]characters!$A:$J,10,FALSE)</f>
        <v>Drop1W</v>
      </c>
      <c r="M15" s="27" t="str">
        <f ca="1">VLOOKUP($I15,OFFSET([2]enemies!$A$1,0,0,COUNTA([2]enemies!$A:$A),MATCH(M$1,[2]enemies!$1:$1,0)-MATCH($I$1,[2]enemies!$1:$1,0)+1),MATCH(M$1,[2]enemies!$1:$1,0)-MATCH($I$1,[2]enemies!$1:$1,0)+1,FALSE)</f>
        <v>human</v>
      </c>
      <c r="N15" s="27">
        <f ca="1">VLOOKUP($I15,OFFSET([2]enemies!$A$1,0,0,COUNTA([2]enemies!$A:$A),MATCH(N$1,[2]enemies!$1:$1,0)-MATCH($I$1,[2]enemies!$1:$1,0)+1),MATCH(N$1,[2]enemies!$1:$1,0)-MATCH($I$1,[2]enemies!$1:$1,0)+1,FALSE)</f>
        <v>15</v>
      </c>
      <c r="O15" s="6">
        <v>16</v>
      </c>
      <c r="P15" s="38">
        <v>1.3</v>
      </c>
      <c r="Q15" s="38">
        <v>1.2</v>
      </c>
      <c r="R15" s="6">
        <v>0</v>
      </c>
      <c r="S15" s="5" t="str">
        <f ca="1">VLOOKUP($T15,OFFSET([4]enemy_skill_sets!$B$1,0,0,COUNTA([4]enemy_skill_sets!$B:$B),MATCH(J$1,[4]enemy_skill_sets!$1:$1,0)-MATCH($T$1,[4]enemy_skill_sets!$1:$1,0)+2),MATCH(J$1,[4]enemy_skill_sets!$1:$1,0)-MATCH($T$1,[4]enemy_skill_sets!$1:$1,0)+2,FALSE)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5" s="27">
        <f ca="1">VLOOKUP($I15,OFFSET([2]enemies!$A$1,0,0,COUNTA([2]enemies!$A:$A),MATCH(T$1,[2]enemies!$1:$1,0)-MATCH($I$1,[2]enemies!$1:$1,0)+1),MATCH(T$1,[2]enemies!$1:$1,0)-MATCH($I$1,[2]enemies!$1:$1,0)+1,FALSE)</f>
        <v>0</v>
      </c>
      <c r="U15" s="7">
        <v>0</v>
      </c>
      <c r="V15" s="7">
        <v>100</v>
      </c>
      <c r="W15" s="7">
        <v>0</v>
      </c>
      <c r="X15" s="27">
        <f ca="1">VLOOKUP($I15,OFFSET([2]enemies!$A$1,0,0,COUNTA([2]enemies!$A:$A),MATCH(X$1,[2]enemies!$1:$1,0)-MATCH($I$1,[2]enemies!$1:$1,0)+1),MATCH(X$1,[2]enemies!$1:$1,0)-MATCH($I$1,[2]enemies!$1:$1,0)+1,FALSE)</f>
        <v>2</v>
      </c>
      <c r="Y15" s="8">
        <v>17</v>
      </c>
      <c r="Z15" s="5" t="str">
        <f ca="1">IFERROR(VLOOKUP($Y15,OFFSET([3]characters!$A$1,0,0,COUNTA([3]characters!$A:$A),MATCH(Z$1,[3]characters!$1:$1,0)-MATCH("character_id",[3]characters!$1:$1,0)+1),MATCH(Z$1,[3]characters!$1:$1,0)-MATCH("character_id",[3]characters!$1:$1,0)+1,FALSE),"")</f>
        <v>リム</v>
      </c>
      <c r="AA15" s="5">
        <f ca="1">IFERROR(VLOOKUP($Y15,OFFSET([3]characters!$A$1,0,0,COUNTA([3]characters!$A:$A),MATCH(AA$1,[3]characters!$1:$1,0)-MATCH("character_id",[3]characters!$1:$1,0)+1),MATCH(AA$1,[3]characters!$1:$1,0)-MATCH("character_id",[3]characters!$1:$1,0)+1,FALSE),"")</f>
        <v>1</v>
      </c>
      <c r="AB15" s="5" t="str">
        <f ca="1">IFERROR(VLOOKUP($Y15,OFFSET([3]characters!$A$1,0,0,COUNTA([3]characters!$A:$A),MATCH(AB$1,[3]characters!$1:$1,0)-MATCH("character_id",[3]characters!$1:$1,0)+1),MATCH(AB$1,[3]characters!$1:$1,0)-MATCH("character_id",[3]characters!$1:$1,0)+1,FALSE),"")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15" s="9">
        <v>1</v>
      </c>
      <c r="AD15" s="35">
        <f t="shared" ref="AD15:AD19" ca="1" si="19">AA15</f>
        <v>1</v>
      </c>
      <c r="AE15" s="10">
        <v>25</v>
      </c>
      <c r="AF15" s="9">
        <v>0</v>
      </c>
      <c r="AG15" s="9">
        <v>0</v>
      </c>
      <c r="AH15" s="9">
        <v>0</v>
      </c>
      <c r="AI15" s="9">
        <v>0</v>
      </c>
      <c r="AJ15" s="9">
        <v>1</v>
      </c>
    </row>
    <row r="16" spans="1:36" ht="21" customHeight="1" x14ac:dyDescent="0.15">
      <c r="A16" s="22" t="str">
        <f t="shared" ca="1" si="16"/>
        <v>20003_1-3/25&lt;lv16&gt;s3</v>
      </c>
      <c r="B16" s="33">
        <v>20003</v>
      </c>
      <c r="C16" s="32">
        <v>1</v>
      </c>
      <c r="D16" s="2" t="str">
        <f t="shared" si="17"/>
        <v>20003_1</v>
      </c>
      <c r="E16" s="5" t="str">
        <f ca="1">VLOOKUP($B16,OFFSET([1]quests!$A$1,0,0,COUNTA([1]quests!$A:$A),MATCH(E$1,[1]quests!$1:$1,0)-MATCH($B$1,[1]quests!$1:$1,0)+1),MATCH(E$1,[1]quests!$1:$1,0)-MATCH($B$1,[1]quests!$1:$1,0)+1,FALSE)</f>
        <v>忍び寄る短剣</v>
      </c>
      <c r="F16" s="5" t="str">
        <f ca="1">VLOOKUP($D16,OFFSET([1]stages!$A$1,0,0,COUNTA([1]stages!$A:$A),MATCH(F$1,[1]stages!$2:$2,0)-MATCH($D$1,[1]stages!$2:$2,0)+1),MATCH(F$1,[1]stages!$2:$2,0)-MATCH($D$1,[1]stages!$2:$2,0)+1,FALSE)</f>
        <v xml:space="preserve">【初級】忍び寄る短剣 </v>
      </c>
      <c r="G16" s="32">
        <v>3</v>
      </c>
      <c r="H16" s="21" t="str">
        <f t="shared" si="18"/>
        <v>20003_1-3</v>
      </c>
      <c r="I16" s="31">
        <v>25</v>
      </c>
      <c r="J16" s="27" t="str">
        <f ca="1">VLOOKUP($I16,OFFSET([2]enemies!$A$1,0,0,COUNTA([2]enemies!$A:$A),MATCH(J$1,[2]enemies!$1:$1,0)-MATCH($I$1,[2]enemies!$1:$1,0)+1),MATCH(J$1,[2]enemies!$1:$1,0)-MATCH($I$1,[2]enemies!$1:$1,0)+1,FALSE)</f>
        <v>ハチ</v>
      </c>
      <c r="K16" s="27" t="str">
        <f ca="1">VLOOKUP($I16,OFFSET([2]enemies!$A$1,0,0,COUNTA([2]enemies!$A:$A),MATCH(K$1,[2]enemies!$1:$1,0)-MATCH($I$1,[2]enemies!$1:$1,0)+1),MATCH(K$1,[2]enemies!$1:$1,0)-MATCH($I$1,[2]enemies!$1:$1,0)+1,FALSE)</f>
        <v>blue</v>
      </c>
      <c r="L16" s="29" t="str">
        <f>VLOOKUP(I16,[3]characters!$A:$J,10,FALSE)</f>
        <v>Drop1N</v>
      </c>
      <c r="M16" s="27" t="str">
        <f ca="1">VLOOKUP($I16,OFFSET([2]enemies!$A$1,0,0,COUNTA([2]enemies!$A:$A),MATCH(M$1,[2]enemies!$1:$1,0)-MATCH($I$1,[2]enemies!$1:$1,0)+1),MATCH(M$1,[2]enemies!$1:$1,0)-MATCH($I$1,[2]enemies!$1:$1,0)+1,FALSE)</f>
        <v>animal</v>
      </c>
      <c r="N16" s="27">
        <f ca="1">VLOOKUP($I16,OFFSET([2]enemies!$A$1,0,0,COUNTA([2]enemies!$A:$A),MATCH(N$1,[2]enemies!$1:$1,0)-MATCH($I$1,[2]enemies!$1:$1,0)+1),MATCH(N$1,[2]enemies!$1:$1,0)-MATCH($I$1,[2]enemies!$1:$1,0)+1,FALSE)</f>
        <v>15</v>
      </c>
      <c r="O16" s="6">
        <v>16</v>
      </c>
      <c r="P16" s="38">
        <v>1.3</v>
      </c>
      <c r="Q16" s="38">
        <v>1.2</v>
      </c>
      <c r="R16" s="6">
        <v>0</v>
      </c>
      <c r="S16" s="5" t="str">
        <f ca="1">VLOOKUP($T16,OFFSET([4]enemy_skill_sets!$B$1,0,0,COUNTA([4]enemy_skill_sets!$B:$B),MATCH(J$1,[4]enemy_skill_sets!$1:$1,0)-MATCH($T$1,[4]enemy_skill_sets!$1:$1,0)+2),MATCH(J$1,[4]enemy_skill_sets!$1:$1,0)-MATCH($T$1,[4]enemy_skill_sets!$1:$1,0)+2,FALSE)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6" s="27">
        <f ca="1">VLOOKUP($I16,OFFSET([2]enemies!$A$1,0,0,COUNTA([2]enemies!$A:$A),MATCH(T$1,[2]enemies!$1:$1,0)-MATCH($I$1,[2]enemies!$1:$1,0)+1),MATCH(T$1,[2]enemies!$1:$1,0)-MATCH($I$1,[2]enemies!$1:$1,0)+1,FALSE)</f>
        <v>0</v>
      </c>
      <c r="U16" s="7">
        <v>0</v>
      </c>
      <c r="V16" s="7">
        <v>100</v>
      </c>
      <c r="W16" s="7">
        <v>0</v>
      </c>
      <c r="X16" s="27">
        <f ca="1">VLOOKUP($I16,OFFSET([2]enemies!$A$1,0,0,COUNTA([2]enemies!$A:$A),MATCH(X$1,[2]enemies!$1:$1,0)-MATCH($I$1,[2]enemies!$1:$1,0)+1),MATCH(X$1,[2]enemies!$1:$1,0)-MATCH($I$1,[2]enemies!$1:$1,0)+1,FALSE)</f>
        <v>3</v>
      </c>
      <c r="Y16" s="8">
        <v>25</v>
      </c>
      <c r="Z16" s="5" t="str">
        <f ca="1">IFERROR(VLOOKUP($Y16,OFFSET([3]characters!$A$1,0,0,COUNTA([3]characters!$A:$A),MATCH(Z$1,[3]characters!$1:$1,0)-MATCH("character_id",[3]characters!$1:$1,0)+1),MATCH(Z$1,[3]characters!$1:$1,0)-MATCH("character_id",[3]characters!$1:$1,0)+1,FALSE),"")</f>
        <v>ハチ</v>
      </c>
      <c r="AA16" s="5">
        <f ca="1">IFERROR(VLOOKUP($Y16,OFFSET([3]characters!$A$1,0,0,COUNTA([3]characters!$A:$A),MATCH(AA$1,[3]characters!$1:$1,0)-MATCH("character_id",[3]characters!$1:$1,0)+1),MATCH(AA$1,[3]characters!$1:$1,0)-MATCH("character_id",[3]characters!$1:$1,0)+1,FALSE),"")</f>
        <v>1</v>
      </c>
      <c r="AB16" s="5" t="str">
        <f ca="1">IFERROR(VLOOKUP($Y16,OFFSET([3]characters!$A$1,0,0,COUNTA([3]characters!$A:$A),MATCH(AB$1,[3]characters!$1:$1,0)-MATCH("character_id",[3]characters!$1:$1,0)+1),MATCH(AB$1,[3]characters!$1:$1,0)-MATCH("character_id",[3]characters!$1:$1,0)+1,FALSE),"")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16" s="9">
        <v>1</v>
      </c>
      <c r="AD16" s="35">
        <f t="shared" ca="1" si="19"/>
        <v>1</v>
      </c>
      <c r="AE16" s="10">
        <v>25</v>
      </c>
      <c r="AF16" s="9">
        <v>0</v>
      </c>
      <c r="AG16" s="9">
        <v>0</v>
      </c>
      <c r="AH16" s="9">
        <v>0</v>
      </c>
      <c r="AI16" s="9">
        <v>0</v>
      </c>
      <c r="AJ16" s="9">
        <v>1</v>
      </c>
    </row>
    <row r="17" spans="1:36" ht="21" customHeight="1" x14ac:dyDescent="0.15">
      <c r="A17" s="22" t="str">
        <f t="shared" ca="1" si="16"/>
        <v>20003_1-3/29&lt;lv16&gt;s2</v>
      </c>
      <c r="B17" s="33">
        <v>20003</v>
      </c>
      <c r="C17" s="32">
        <v>1</v>
      </c>
      <c r="D17" s="2" t="str">
        <f t="shared" si="17"/>
        <v>20003_1</v>
      </c>
      <c r="E17" s="5" t="str">
        <f ca="1">VLOOKUP($B17,OFFSET([1]quests!$A$1,0,0,COUNTA([1]quests!$A:$A),MATCH(E$1,[1]quests!$1:$1,0)-MATCH($B$1,[1]quests!$1:$1,0)+1),MATCH(E$1,[1]quests!$1:$1,0)-MATCH($B$1,[1]quests!$1:$1,0)+1,FALSE)</f>
        <v>忍び寄る短剣</v>
      </c>
      <c r="F17" s="5" t="str">
        <f ca="1">VLOOKUP($D17,OFFSET([1]stages!$A$1,0,0,COUNTA([1]stages!$A:$A),MATCH(F$1,[1]stages!$2:$2,0)-MATCH($D$1,[1]stages!$2:$2,0)+1),MATCH(F$1,[1]stages!$2:$2,0)-MATCH($D$1,[1]stages!$2:$2,0)+1,FALSE)</f>
        <v xml:space="preserve">【初級】忍び寄る短剣 </v>
      </c>
      <c r="G17" s="32">
        <v>3</v>
      </c>
      <c r="H17" s="21" t="str">
        <f t="shared" si="18"/>
        <v>20003_1-3</v>
      </c>
      <c r="I17" s="31">
        <v>29</v>
      </c>
      <c r="J17" s="27" t="str">
        <f ca="1">VLOOKUP($I17,OFFSET([2]enemies!$A$1,0,0,COUNTA([2]enemies!$A:$A),MATCH(J$1,[2]enemies!$1:$1,0)-MATCH($I$1,[2]enemies!$1:$1,0)+1),MATCH(J$1,[2]enemies!$1:$1,0)-MATCH($I$1,[2]enemies!$1:$1,0)+1,FALSE)</f>
        <v>スケアクロウ</v>
      </c>
      <c r="K17" s="27" t="str">
        <f ca="1">VLOOKUP($I17,OFFSET([2]enemies!$A$1,0,0,COUNTA([2]enemies!$A:$A),MATCH(K$1,[2]enemies!$1:$1,0)-MATCH($I$1,[2]enemies!$1:$1,0)+1),MATCH(K$1,[2]enemies!$1:$1,0)-MATCH($I$1,[2]enemies!$1:$1,0)+1,FALSE)</f>
        <v>blue</v>
      </c>
      <c r="L17" s="29" t="str">
        <f>VLOOKUP(I17,[3]characters!$A:$J,10,FALSE)</f>
        <v>Drop1N</v>
      </c>
      <c r="M17" s="27" t="str">
        <f ca="1">VLOOKUP($I17,OFFSET([2]enemies!$A$1,0,0,COUNTA([2]enemies!$A:$A),MATCH(M$1,[2]enemies!$1:$1,0)-MATCH($I$1,[2]enemies!$1:$1,0)+1),MATCH(M$1,[2]enemies!$1:$1,0)-MATCH($I$1,[2]enemies!$1:$1,0)+1,FALSE)</f>
        <v>machine</v>
      </c>
      <c r="N17" s="27">
        <f ca="1">VLOOKUP($I17,OFFSET([2]enemies!$A$1,0,0,COUNTA([2]enemies!$A:$A),MATCH(N$1,[2]enemies!$1:$1,0)-MATCH($I$1,[2]enemies!$1:$1,0)+1),MATCH(N$1,[2]enemies!$1:$1,0)-MATCH($I$1,[2]enemies!$1:$1,0)+1,FALSE)</f>
        <v>15</v>
      </c>
      <c r="O17" s="6">
        <v>16</v>
      </c>
      <c r="P17" s="38">
        <v>1.3</v>
      </c>
      <c r="Q17" s="38">
        <v>1.2</v>
      </c>
      <c r="R17" s="6">
        <v>0</v>
      </c>
      <c r="S17" s="5" t="str">
        <f ca="1">VLOOKUP($T17,OFFSET([4]enemy_skill_sets!$B$1,0,0,COUNTA([4]enemy_skill_sets!$B:$B),MATCH(J$1,[4]enemy_skill_sets!$1:$1,0)-MATCH($T$1,[4]enemy_skill_sets!$1:$1,0)+2),MATCH(J$1,[4]enemy_skill_sets!$1:$1,0)-MATCH($T$1,[4]enemy_skill_sets!$1:$1,0)+2,FALSE)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7" s="27">
        <f ca="1">VLOOKUP($I17,OFFSET([2]enemies!$A$1,0,0,COUNTA([2]enemies!$A:$A),MATCH(T$1,[2]enemies!$1:$1,0)-MATCH($I$1,[2]enemies!$1:$1,0)+1),MATCH(T$1,[2]enemies!$1:$1,0)-MATCH($I$1,[2]enemies!$1:$1,0)+1,FALSE)</f>
        <v>0</v>
      </c>
      <c r="U17" s="7">
        <v>0</v>
      </c>
      <c r="V17" s="7">
        <v>100</v>
      </c>
      <c r="W17" s="7">
        <v>0</v>
      </c>
      <c r="X17" s="27">
        <f ca="1">VLOOKUP($I17,OFFSET([2]enemies!$A$1,0,0,COUNTA([2]enemies!$A:$A),MATCH(X$1,[2]enemies!$1:$1,0)-MATCH($I$1,[2]enemies!$1:$1,0)+1),MATCH(X$1,[2]enemies!$1:$1,0)-MATCH($I$1,[2]enemies!$1:$1,0)+1,FALSE)</f>
        <v>2</v>
      </c>
      <c r="Y17" s="8">
        <v>29</v>
      </c>
      <c r="Z17" s="5" t="str">
        <f ca="1">IFERROR(VLOOKUP($Y17,OFFSET([3]characters!$A$1,0,0,COUNTA([3]characters!$A:$A),MATCH(Z$1,[3]characters!$1:$1,0)-MATCH("character_id",[3]characters!$1:$1,0)+1),MATCH(Z$1,[3]characters!$1:$1,0)-MATCH("character_id",[3]characters!$1:$1,0)+1,FALSE),"")</f>
        <v>スケアクロウ</v>
      </c>
      <c r="AA17" s="5">
        <f ca="1">IFERROR(VLOOKUP($Y17,OFFSET([3]characters!$A$1,0,0,COUNTA([3]characters!$A:$A),MATCH(AA$1,[3]characters!$1:$1,0)-MATCH("character_id",[3]characters!$1:$1,0)+1),MATCH(AA$1,[3]characters!$1:$1,0)-MATCH("character_id",[3]characters!$1:$1,0)+1,FALSE),"")</f>
        <v>1</v>
      </c>
      <c r="AB17" s="5" t="str">
        <f ca="1">IFERROR(VLOOKUP($Y17,OFFSET([3]characters!$A$1,0,0,COUNTA([3]characters!$A:$A),MATCH(AB$1,[3]characters!$1:$1,0)-MATCH("character_id",[3]characters!$1:$1,0)+1),MATCH(AB$1,[3]characters!$1:$1,0)-MATCH("character_id",[3]characters!$1:$1,0)+1,FALSE),"")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17" s="9">
        <v>1</v>
      </c>
      <c r="AD17" s="35">
        <f t="shared" ca="1" si="19"/>
        <v>1</v>
      </c>
      <c r="AE17" s="10">
        <v>25</v>
      </c>
      <c r="AF17" s="9">
        <v>0</v>
      </c>
      <c r="AG17" s="9">
        <v>0</v>
      </c>
      <c r="AH17" s="9">
        <v>0</v>
      </c>
      <c r="AI17" s="9">
        <v>0</v>
      </c>
      <c r="AJ17" s="9">
        <v>1</v>
      </c>
    </row>
    <row r="18" spans="1:36" ht="21" customHeight="1" x14ac:dyDescent="0.15">
      <c r="A18" s="22" t="str">
        <f t="shared" ca="1" si="16"/>
        <v>20003_1-3/45&lt;lv16&gt;s3</v>
      </c>
      <c r="B18" s="33">
        <v>20003</v>
      </c>
      <c r="C18" s="32">
        <v>1</v>
      </c>
      <c r="D18" s="2" t="str">
        <f t="shared" si="17"/>
        <v>20003_1</v>
      </c>
      <c r="E18" s="5" t="str">
        <f ca="1">VLOOKUP($B18,OFFSET([1]quests!$A$1,0,0,COUNTA([1]quests!$A:$A),MATCH(E$1,[1]quests!$1:$1,0)-MATCH($B$1,[1]quests!$1:$1,0)+1),MATCH(E$1,[1]quests!$1:$1,0)-MATCH($B$1,[1]quests!$1:$1,0)+1,FALSE)</f>
        <v>忍び寄る短剣</v>
      </c>
      <c r="F18" s="5" t="str">
        <f ca="1">VLOOKUP($D18,OFFSET([1]stages!$A$1,0,0,COUNTA([1]stages!$A:$A),MATCH(F$1,[1]stages!$2:$2,0)-MATCH($D$1,[1]stages!$2:$2,0)+1),MATCH(F$1,[1]stages!$2:$2,0)-MATCH($D$1,[1]stages!$2:$2,0)+1,FALSE)</f>
        <v xml:space="preserve">【初級】忍び寄る短剣 </v>
      </c>
      <c r="G18" s="32">
        <v>3</v>
      </c>
      <c r="H18" s="21" t="str">
        <f t="shared" si="18"/>
        <v>20003_1-3</v>
      </c>
      <c r="I18" s="31">
        <v>45</v>
      </c>
      <c r="J18" s="27" t="str">
        <f ca="1">VLOOKUP($I18,OFFSET([2]enemies!$A$1,0,0,COUNTA([2]enemies!$A:$A),MATCH(J$1,[2]enemies!$1:$1,0)-MATCH($I$1,[2]enemies!$1:$1,0)+1),MATCH(J$1,[2]enemies!$1:$1,0)-MATCH($I$1,[2]enemies!$1:$1,0)+1,FALSE)</f>
        <v>ショウイン</v>
      </c>
      <c r="K18" s="27" t="str">
        <f ca="1">VLOOKUP($I18,OFFSET([2]enemies!$A$1,0,0,COUNTA([2]enemies!$A:$A),MATCH(K$1,[2]enemies!$1:$1,0)-MATCH($I$1,[2]enemies!$1:$1,0)+1),MATCH(K$1,[2]enemies!$1:$1,0)-MATCH($I$1,[2]enemies!$1:$1,0)+1,FALSE)</f>
        <v>blue</v>
      </c>
      <c r="L18" s="29" t="str">
        <f>VLOOKUP(I18,[3]characters!$A:$J,10,FALSE)</f>
        <v>Drop1N</v>
      </c>
      <c r="M18" s="27" t="str">
        <f ca="1">VLOOKUP($I18,OFFSET([2]enemies!$A$1,0,0,COUNTA([2]enemies!$A:$A),MATCH(M$1,[2]enemies!$1:$1,0)-MATCH($I$1,[2]enemies!$1:$1,0)+1),MATCH(M$1,[2]enemies!$1:$1,0)-MATCH($I$1,[2]enemies!$1:$1,0)+1,FALSE)</f>
        <v>animal</v>
      </c>
      <c r="N18" s="27">
        <f ca="1">VLOOKUP($I18,OFFSET([2]enemies!$A$1,0,0,COUNTA([2]enemies!$A:$A),MATCH(N$1,[2]enemies!$1:$1,0)-MATCH($I$1,[2]enemies!$1:$1,0)+1),MATCH(N$1,[2]enemies!$1:$1,0)-MATCH($I$1,[2]enemies!$1:$1,0)+1,FALSE)</f>
        <v>15</v>
      </c>
      <c r="O18" s="6">
        <v>16</v>
      </c>
      <c r="P18" s="38">
        <v>1.3</v>
      </c>
      <c r="Q18" s="38">
        <v>1.2</v>
      </c>
      <c r="R18" s="6">
        <v>0</v>
      </c>
      <c r="S18" s="5" t="str">
        <f ca="1">VLOOKUP($T18,OFFSET([4]enemy_skill_sets!$B$1,0,0,COUNTA([4]enemy_skill_sets!$B:$B),MATCH(J$1,[4]enemy_skill_sets!$1:$1,0)-MATCH($T$1,[4]enemy_skill_sets!$1:$1,0)+2),MATCH(J$1,[4]enemy_skill_sets!$1:$1,0)-MATCH($T$1,[4]enemy_skill_sets!$1:$1,0)+2,FALSE)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18" s="27">
        <f ca="1">VLOOKUP($I18,OFFSET([2]enemies!$A$1,0,0,COUNTA([2]enemies!$A:$A),MATCH(T$1,[2]enemies!$1:$1,0)-MATCH($I$1,[2]enemies!$1:$1,0)+1),MATCH(T$1,[2]enemies!$1:$1,0)-MATCH($I$1,[2]enemies!$1:$1,0)+1,FALSE)</f>
        <v>0</v>
      </c>
      <c r="U18" s="7">
        <v>0</v>
      </c>
      <c r="V18" s="7">
        <v>100</v>
      </c>
      <c r="W18" s="7">
        <v>0</v>
      </c>
      <c r="X18" s="27">
        <f ca="1">VLOOKUP($I18,OFFSET([2]enemies!$A$1,0,0,COUNTA([2]enemies!$A:$A),MATCH(X$1,[2]enemies!$1:$1,0)-MATCH($I$1,[2]enemies!$1:$1,0)+1),MATCH(X$1,[2]enemies!$1:$1,0)-MATCH($I$1,[2]enemies!$1:$1,0)+1,FALSE)</f>
        <v>3</v>
      </c>
      <c r="Y18" s="8">
        <v>45</v>
      </c>
      <c r="Z18" s="5" t="str">
        <f ca="1">IFERROR(VLOOKUP($Y18,OFFSET([3]characters!$A$1,0,0,COUNTA([3]characters!$A:$A),MATCH(Z$1,[3]characters!$1:$1,0)-MATCH("character_id",[3]characters!$1:$1,0)+1),MATCH(Z$1,[3]characters!$1:$1,0)-MATCH("character_id",[3]characters!$1:$1,0)+1,FALSE),"")</f>
        <v>ショウイン</v>
      </c>
      <c r="AA18" s="5">
        <f ca="1">IFERROR(VLOOKUP($Y18,OFFSET([3]characters!$A$1,0,0,COUNTA([3]characters!$A:$A),MATCH(AA$1,[3]characters!$1:$1,0)-MATCH("character_id",[3]characters!$1:$1,0)+1),MATCH(AA$1,[3]characters!$1:$1,0)-MATCH("character_id",[3]characters!$1:$1,0)+1,FALSE),"")</f>
        <v>2</v>
      </c>
      <c r="AB18" s="5" t="str">
        <f ca="1">IFERROR(VLOOKUP($Y18,OFFSET([3]characters!$A$1,0,0,COUNTA([3]characters!$A:$A),MATCH(AB$1,[3]characters!$1:$1,0)-MATCH("character_id",[3]characters!$1:$1,0)+1),MATCH(AB$1,[3]characters!$1:$1,0)-MATCH("character_id",[3]characters!$1:$1,0)+1,FALSE),"")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18" s="9">
        <v>1</v>
      </c>
      <c r="AD18" s="35">
        <f t="shared" ca="1" si="19"/>
        <v>2</v>
      </c>
      <c r="AE18" s="10">
        <v>25</v>
      </c>
      <c r="AF18" s="9">
        <v>0</v>
      </c>
      <c r="AG18" s="9">
        <v>0</v>
      </c>
      <c r="AH18" s="9">
        <v>0</v>
      </c>
      <c r="AI18" s="9">
        <v>0</v>
      </c>
      <c r="AJ18" s="9">
        <v>1</v>
      </c>
    </row>
    <row r="19" spans="1:36" ht="21" customHeight="1" x14ac:dyDescent="0.15">
      <c r="A19" s="22" t="str">
        <f t="shared" ca="1" si="16"/>
        <v>20003_1-3/71&lt;lv16&gt;s4</v>
      </c>
      <c r="B19" s="33">
        <v>20003</v>
      </c>
      <c r="C19" s="32">
        <v>1</v>
      </c>
      <c r="D19" s="2" t="str">
        <f t="shared" si="17"/>
        <v>20003_1</v>
      </c>
      <c r="E19" s="5" t="str">
        <f ca="1">VLOOKUP($B19,OFFSET([1]quests!$A$1,0,0,COUNTA([1]quests!$A:$A),MATCH(E$1,[1]quests!$1:$1,0)-MATCH($B$1,[1]quests!$1:$1,0)+1),MATCH(E$1,[1]quests!$1:$1,0)-MATCH($B$1,[1]quests!$1:$1,0)+1,FALSE)</f>
        <v>忍び寄る短剣</v>
      </c>
      <c r="F19" s="5" t="str">
        <f ca="1">VLOOKUP($D19,OFFSET([1]stages!$A$1,0,0,COUNTA([1]stages!$A:$A),MATCH(F$1,[1]stages!$2:$2,0)-MATCH($D$1,[1]stages!$2:$2,0)+1),MATCH(F$1,[1]stages!$2:$2,0)-MATCH($D$1,[1]stages!$2:$2,0)+1,FALSE)</f>
        <v xml:space="preserve">【初級】忍び寄る短剣 </v>
      </c>
      <c r="G19" s="32">
        <v>3</v>
      </c>
      <c r="H19" s="21" t="str">
        <f t="shared" si="18"/>
        <v>20003_1-3</v>
      </c>
      <c r="I19" s="31">
        <v>71</v>
      </c>
      <c r="J19" s="27" t="str">
        <f ca="1">VLOOKUP($I19,OFFSET([2]enemies!$A$1,0,0,COUNTA([2]enemies!$A:$A),MATCH(J$1,[2]enemies!$1:$1,0)-MATCH($I$1,[2]enemies!$1:$1,0)+1),MATCH(J$1,[2]enemies!$1:$1,0)-MATCH($I$1,[2]enemies!$1:$1,0)+1,FALSE)</f>
        <v>ダックス</v>
      </c>
      <c r="K19" s="27" t="str">
        <f ca="1">VLOOKUP($I19,OFFSET([2]enemies!$A$1,0,0,COUNTA([2]enemies!$A:$A),MATCH(K$1,[2]enemies!$1:$1,0)-MATCH($I$1,[2]enemies!$1:$1,0)+1),MATCH(K$1,[2]enemies!$1:$1,0)-MATCH($I$1,[2]enemies!$1:$1,0)+1,FALSE)</f>
        <v>blue</v>
      </c>
      <c r="L19" s="29" t="str">
        <f>VLOOKUP(I19,[3]characters!$A:$J,10,FALSE)</f>
        <v>Drop1S</v>
      </c>
      <c r="M19" s="27" t="str">
        <f ca="1">VLOOKUP($I19,OFFSET([2]enemies!$A$1,0,0,COUNTA([2]enemies!$A:$A),MATCH(M$1,[2]enemies!$1:$1,0)-MATCH($I$1,[2]enemies!$1:$1,0)+1),MATCH(M$1,[2]enemies!$1:$1,0)-MATCH($I$1,[2]enemies!$1:$1,0)+1,FALSE)</f>
        <v>animal</v>
      </c>
      <c r="N19" s="27">
        <f ca="1">VLOOKUP($I19,OFFSET([2]enemies!$A$1,0,0,COUNTA([2]enemies!$A:$A),MATCH(N$1,[2]enemies!$1:$1,0)-MATCH($I$1,[2]enemies!$1:$1,0)+1),MATCH(N$1,[2]enemies!$1:$1,0)-MATCH($I$1,[2]enemies!$1:$1,0)+1,FALSE)</f>
        <v>15</v>
      </c>
      <c r="O19" s="6">
        <v>16</v>
      </c>
      <c r="P19" s="38">
        <v>1.3</v>
      </c>
      <c r="Q19" s="38">
        <v>0.8</v>
      </c>
      <c r="R19" s="6">
        <v>0</v>
      </c>
      <c r="S19" s="5" t="str">
        <f ca="1">VLOOKUP($T19,OFFSET([4]enemy_skill_sets!$B$1,0,0,COUNTA([4]enemy_skill_sets!$B:$B),MATCH(J$1,[4]enemy_skill_sets!$1:$1,0)-MATCH($T$1,[4]enemy_skill_sets!$1:$1,0)+2),MATCH(J$1,[4]enemy_skill_sets!$1:$1,0)-MATCH($T$1,[4]enemy_skill_sets!$1:$1,0)+2,FALSE)</f>
        <v>3ターン攻撃頻度が1ターンにUP</v>
      </c>
      <c r="T19" s="27">
        <f ca="1">VLOOKUP($I19,OFFSET([2]enemies!$A$1,0,0,COUNTA([2]enemies!$A:$A),MATCH(T$1,[2]enemies!$1:$1,0)-MATCH($I$1,[2]enemies!$1:$1,0)+1),MATCH(T$1,[2]enemies!$1:$1,0)-MATCH($I$1,[2]enemies!$1:$1,0)+1,FALSE)</f>
        <v>71</v>
      </c>
      <c r="U19" s="7">
        <v>0</v>
      </c>
      <c r="V19" s="7">
        <v>100</v>
      </c>
      <c r="W19" s="7">
        <v>0</v>
      </c>
      <c r="X19" s="27">
        <f ca="1">VLOOKUP($I19,OFFSET([2]enemies!$A$1,0,0,COUNTA([2]enemies!$A:$A),MATCH(X$1,[2]enemies!$1:$1,0)-MATCH($I$1,[2]enemies!$1:$1,0)+1),MATCH(X$1,[2]enemies!$1:$1,0)-MATCH($I$1,[2]enemies!$1:$1,0)+1,FALSE)</f>
        <v>4</v>
      </c>
      <c r="Y19" s="8">
        <v>71</v>
      </c>
      <c r="Z19" s="5" t="str">
        <f ca="1">IFERROR(VLOOKUP($Y19,OFFSET([3]characters!$A$1,0,0,COUNTA([3]characters!$A:$A),MATCH(Z$1,[3]characters!$1:$1,0)-MATCH("character_id",[3]characters!$1:$1,0)+1),MATCH(Z$1,[3]characters!$1:$1,0)-MATCH("character_id",[3]characters!$1:$1,0)+1,FALSE),"")</f>
        <v>ダックス</v>
      </c>
      <c r="AA19" s="5">
        <f ca="1">IFERROR(VLOOKUP($Y19,OFFSET([3]characters!$A$1,0,0,COUNTA([3]characters!$A:$A),MATCH(AA$1,[3]characters!$1:$1,0)-MATCH("character_id",[3]characters!$1:$1,0)+1),MATCH(AA$1,[3]characters!$1:$1,0)-MATCH("character_id",[3]characters!$1:$1,0)+1,FALSE),"")</f>
        <v>2</v>
      </c>
      <c r="AB19" s="5" t="str">
        <f ca="1">IFERROR(VLOOKUP($Y19,OFFSET([3]characters!$A$1,0,0,COUNTA([3]characters!$A:$A),MATCH(AB$1,[3]characters!$1:$1,0)-MATCH("character_id",[3]characters!$1:$1,0)+1),MATCH(AB$1,[3]characters!$1:$1,0)-MATCH("character_id",[3]characters!$1:$1,0)+1,FALSE),"")</f>
        <v>Drop1S</v>
      </c>
      <c r="AC19" s="9">
        <v>1</v>
      </c>
      <c r="AD19" s="35">
        <f t="shared" ca="1" si="19"/>
        <v>2</v>
      </c>
      <c r="AE19" s="10">
        <v>15</v>
      </c>
      <c r="AF19" s="9">
        <v>0</v>
      </c>
      <c r="AG19" s="9">
        <v>0</v>
      </c>
      <c r="AH19" s="9">
        <v>0</v>
      </c>
      <c r="AI19" s="9">
        <v>0</v>
      </c>
      <c r="AJ19" s="9">
        <v>1</v>
      </c>
    </row>
    <row r="20" spans="1:36" ht="21" customHeight="1" x14ac:dyDescent="0.15">
      <c r="A20" s="22" t="str">
        <f ca="1">B20&amp;"_"&amp;C20&amp;"-"&amp;G20&amp;"/"&amp;I20&amp;"&lt;lv"&amp;O20&amp;"&gt;s"&amp;X20</f>
        <v>20003_1-4/5&lt;lv16&gt;s3</v>
      </c>
      <c r="B20" s="33">
        <v>20003</v>
      </c>
      <c r="C20" s="32">
        <v>1</v>
      </c>
      <c r="D20" s="2" t="str">
        <f>B20&amp;"_"&amp;C20</f>
        <v>20003_1</v>
      </c>
      <c r="E20" s="5" t="str">
        <f ca="1">VLOOKUP($B20,OFFSET([1]quests!$A$1,0,0,COUNTA([1]quests!$A:$A),MATCH(E$1,[1]quests!$1:$1,0)-MATCH($B$1,[1]quests!$1:$1,0)+1),MATCH(E$1,[1]quests!$1:$1,0)-MATCH($B$1,[1]quests!$1:$1,0)+1,FALSE)</f>
        <v>忍び寄る短剣</v>
      </c>
      <c r="F20" s="5" t="str">
        <f ca="1">VLOOKUP($D20,OFFSET([1]stages!$A$1,0,0,COUNTA([1]stages!$A:$A),MATCH(F$1,[1]stages!$2:$2,0)-MATCH($D$1,[1]stages!$2:$2,0)+1),MATCH(F$1,[1]stages!$2:$2,0)-MATCH($D$1,[1]stages!$2:$2,0)+1,FALSE)</f>
        <v xml:space="preserve">【初級】忍び寄る短剣 </v>
      </c>
      <c r="G20" s="36">
        <v>4</v>
      </c>
      <c r="H20" s="21" t="str">
        <f>B20&amp;"_"&amp;C20&amp;"-"&amp;G20</f>
        <v>20003_1-4</v>
      </c>
      <c r="I20" s="31">
        <v>5</v>
      </c>
      <c r="J20" s="27" t="str">
        <f ca="1">VLOOKUP($I20,OFFSET([2]enemies!$A$1,0,0,COUNTA([2]enemies!$A:$A),MATCH(J$1,[2]enemies!$1:$1,0)-MATCH($I$1,[2]enemies!$1:$1,0)+1),MATCH(J$1,[2]enemies!$1:$1,0)-MATCH($I$1,[2]enemies!$1:$1,0)+1,FALSE)</f>
        <v>パトドッグ ポチ</v>
      </c>
      <c r="K20" s="27" t="str">
        <f ca="1">VLOOKUP($I20,OFFSET([2]enemies!$A$1,0,0,COUNTA([2]enemies!$A:$A),MATCH(K$1,[2]enemies!$1:$1,0)-MATCH($I$1,[2]enemies!$1:$1,0)+1),MATCH(K$1,[2]enemies!$1:$1,0)-MATCH($I$1,[2]enemies!$1:$1,0)+1,FALSE)</f>
        <v>blue</v>
      </c>
      <c r="L20" s="29" t="str">
        <f>VLOOKUP(I20,[3]characters!$A:$J,10,FALSE)</f>
        <v>Drop1T</v>
      </c>
      <c r="M20" s="27" t="str">
        <f ca="1">VLOOKUP($I20,OFFSET([2]enemies!$A$1,0,0,COUNTA([2]enemies!$A:$A),MATCH(M$1,[2]enemies!$1:$1,0)-MATCH($I$1,[2]enemies!$1:$1,0)+1),MATCH(M$1,[2]enemies!$1:$1,0)-MATCH($I$1,[2]enemies!$1:$1,0)+1,FALSE)</f>
        <v>unknown</v>
      </c>
      <c r="N20" s="27">
        <f ca="1">VLOOKUP($I20,OFFSET([2]enemies!$A$1,0,0,COUNTA([2]enemies!$A:$A),MATCH(N$1,[2]enemies!$1:$1,0)-MATCH($I$1,[2]enemies!$1:$1,0)+1),MATCH(N$1,[2]enemies!$1:$1,0)-MATCH($I$1,[2]enemies!$1:$1,0)+1,FALSE)</f>
        <v>15</v>
      </c>
      <c r="O20" s="6">
        <v>16</v>
      </c>
      <c r="P20" s="38">
        <v>1.3</v>
      </c>
      <c r="Q20" s="38">
        <v>1.2</v>
      </c>
      <c r="R20" s="6">
        <v>0</v>
      </c>
      <c r="S20" s="5" t="str">
        <f ca="1">VLOOKUP($T20,OFFSET([4]enemy_skill_sets!$B$1,0,0,COUNTA([4]enemy_skill_sets!$B:$B),MATCH(J$1,[4]enemy_skill_sets!$1:$1,0)-MATCH($T$1,[4]enemy_skill_sets!$1:$1,0)+2),MATCH(J$1,[4]enemy_skill_sets!$1:$1,0)-MATCH($T$1,[4]enemy_skill_sets!$1:$1,0)+2,FALSE)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0" s="27">
        <f ca="1">VLOOKUP($I20,OFFSET([2]enemies!$A$1,0,0,COUNTA([2]enemies!$A:$A),MATCH(T$1,[2]enemies!$1:$1,0)-MATCH($I$1,[2]enemies!$1:$1,0)+1),MATCH(T$1,[2]enemies!$1:$1,0)-MATCH($I$1,[2]enemies!$1:$1,0)+1,FALSE)</f>
        <v>0</v>
      </c>
      <c r="U20" s="7">
        <v>0</v>
      </c>
      <c r="V20" s="7">
        <v>100</v>
      </c>
      <c r="W20" s="7">
        <v>0</v>
      </c>
      <c r="X20" s="27">
        <f ca="1">VLOOKUP($I20,OFFSET([2]enemies!$A$1,0,0,COUNTA([2]enemies!$A:$A),MATCH(X$1,[2]enemies!$1:$1,0)-MATCH($I$1,[2]enemies!$1:$1,0)+1),MATCH(X$1,[2]enemies!$1:$1,0)-MATCH($I$1,[2]enemies!$1:$1,0)+1,FALSE)</f>
        <v>3</v>
      </c>
      <c r="Y20" s="8">
        <v>5</v>
      </c>
      <c r="Z20" s="5" t="str">
        <f ca="1">IFERROR(VLOOKUP($Y20,OFFSET([3]characters!$A$1,0,0,COUNTA([3]characters!$A:$A),MATCH(Z$1,[3]characters!$1:$1,0)-MATCH("character_id",[3]characters!$1:$1,0)+1),MATCH(Z$1,[3]characters!$1:$1,0)-MATCH("character_id",[3]characters!$1:$1,0)+1,FALSE),"")</f>
        <v>パトドッグ ポチ</v>
      </c>
      <c r="AA20" s="5">
        <f ca="1">IFERROR(VLOOKUP($Y20,OFFSET([3]characters!$A$1,0,0,COUNTA([3]characters!$A:$A),MATCH(AA$1,[3]characters!$1:$1,0)-MATCH("character_id",[3]characters!$1:$1,0)+1),MATCH(AA$1,[3]characters!$1:$1,0)-MATCH("character_id",[3]characters!$1:$1,0)+1,FALSE),"")</f>
        <v>1</v>
      </c>
      <c r="AB20" s="5" t="str">
        <f ca="1">IFERROR(VLOOKUP($Y20,OFFSET([3]characters!$A$1,0,0,COUNTA([3]characters!$A:$A),MATCH(AB$1,[3]characters!$1:$1,0)-MATCH("character_id",[3]characters!$1:$1,0)+1),MATCH(AB$1,[3]characters!$1:$1,0)-MATCH("character_id",[3]characters!$1:$1,0)+1,FALSE),"")</f>
        <v>Drop1T</v>
      </c>
      <c r="AC20" s="9">
        <v>3</v>
      </c>
      <c r="AD20" s="35">
        <f ca="1">AA20</f>
        <v>1</v>
      </c>
      <c r="AE20" s="10">
        <v>25</v>
      </c>
      <c r="AF20" s="9">
        <v>0</v>
      </c>
      <c r="AG20" s="9">
        <v>0</v>
      </c>
      <c r="AH20" s="9">
        <v>0</v>
      </c>
      <c r="AI20" s="9">
        <v>0</v>
      </c>
      <c r="AJ20" s="9">
        <v>1</v>
      </c>
    </row>
    <row r="21" spans="1:36" ht="21" customHeight="1" x14ac:dyDescent="0.15">
      <c r="A21" s="22" t="str">
        <f t="shared" ref="A21:A25" ca="1" si="20">B21&amp;"_"&amp;C21&amp;"-"&amp;G21&amp;"/"&amp;I21&amp;"&lt;lv"&amp;O21&amp;"&gt;s"&amp;X21</f>
        <v>20003_1-4/17&lt;lv16&gt;s2</v>
      </c>
      <c r="B21" s="33">
        <v>20003</v>
      </c>
      <c r="C21" s="32">
        <v>1</v>
      </c>
      <c r="D21" s="2" t="str">
        <f t="shared" ref="D21:D25" si="21">B21&amp;"_"&amp;C21</f>
        <v>20003_1</v>
      </c>
      <c r="E21" s="5" t="str">
        <f ca="1">VLOOKUP($B21,OFFSET([1]quests!$A$1,0,0,COUNTA([1]quests!$A:$A),MATCH(E$1,[1]quests!$1:$1,0)-MATCH($B$1,[1]quests!$1:$1,0)+1),MATCH(E$1,[1]quests!$1:$1,0)-MATCH($B$1,[1]quests!$1:$1,0)+1,FALSE)</f>
        <v>忍び寄る短剣</v>
      </c>
      <c r="F21" s="5" t="str">
        <f ca="1">VLOOKUP($D21,OFFSET([1]stages!$A$1,0,0,COUNTA([1]stages!$A:$A),MATCH(F$1,[1]stages!$2:$2,0)-MATCH($D$1,[1]stages!$2:$2,0)+1),MATCH(F$1,[1]stages!$2:$2,0)-MATCH($D$1,[1]stages!$2:$2,0)+1,FALSE)</f>
        <v xml:space="preserve">【初級】忍び寄る短剣 </v>
      </c>
      <c r="G21" s="36">
        <v>4</v>
      </c>
      <c r="H21" s="21" t="str">
        <f t="shared" ref="H21:H25" si="22">B21&amp;"_"&amp;C21&amp;"-"&amp;G21</f>
        <v>20003_1-4</v>
      </c>
      <c r="I21" s="31">
        <v>17</v>
      </c>
      <c r="J21" s="27" t="str">
        <f ca="1">VLOOKUP($I21,OFFSET([2]enemies!$A$1,0,0,COUNTA([2]enemies!$A:$A),MATCH(J$1,[2]enemies!$1:$1,0)-MATCH($I$1,[2]enemies!$1:$1,0)+1),MATCH(J$1,[2]enemies!$1:$1,0)-MATCH($I$1,[2]enemies!$1:$1,0)+1,FALSE)</f>
        <v>リム</v>
      </c>
      <c r="K21" s="27" t="str">
        <f ca="1">VLOOKUP($I21,OFFSET([2]enemies!$A$1,0,0,COUNTA([2]enemies!$A:$A),MATCH(K$1,[2]enemies!$1:$1,0)-MATCH($I$1,[2]enemies!$1:$1,0)+1),MATCH(K$1,[2]enemies!$1:$1,0)-MATCH($I$1,[2]enemies!$1:$1,0)+1,FALSE)</f>
        <v>blue</v>
      </c>
      <c r="L21" s="29" t="str">
        <f>VLOOKUP(I21,[3]characters!$A:$J,10,FALSE)</f>
        <v>Drop1W</v>
      </c>
      <c r="M21" s="27" t="str">
        <f ca="1">VLOOKUP($I21,OFFSET([2]enemies!$A$1,0,0,COUNTA([2]enemies!$A:$A),MATCH(M$1,[2]enemies!$1:$1,0)-MATCH($I$1,[2]enemies!$1:$1,0)+1),MATCH(M$1,[2]enemies!$1:$1,0)-MATCH($I$1,[2]enemies!$1:$1,0)+1,FALSE)</f>
        <v>human</v>
      </c>
      <c r="N21" s="27">
        <f ca="1">VLOOKUP($I21,OFFSET([2]enemies!$A$1,0,0,COUNTA([2]enemies!$A:$A),MATCH(N$1,[2]enemies!$1:$1,0)-MATCH($I$1,[2]enemies!$1:$1,0)+1),MATCH(N$1,[2]enemies!$1:$1,0)-MATCH($I$1,[2]enemies!$1:$1,0)+1,FALSE)</f>
        <v>15</v>
      </c>
      <c r="O21" s="6">
        <v>16</v>
      </c>
      <c r="P21" s="38">
        <v>1.3</v>
      </c>
      <c r="Q21" s="38">
        <v>1.2</v>
      </c>
      <c r="R21" s="6">
        <v>0</v>
      </c>
      <c r="S21" s="5" t="str">
        <f ca="1">VLOOKUP($T21,OFFSET([4]enemy_skill_sets!$B$1,0,0,COUNTA([4]enemy_skill_sets!$B:$B),MATCH(J$1,[4]enemy_skill_sets!$1:$1,0)-MATCH($T$1,[4]enemy_skill_sets!$1:$1,0)+2),MATCH(J$1,[4]enemy_skill_sets!$1:$1,0)-MATCH($T$1,[4]enemy_skill_sets!$1:$1,0)+2,FALSE)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1" s="27">
        <f ca="1">VLOOKUP($I21,OFFSET([2]enemies!$A$1,0,0,COUNTA([2]enemies!$A:$A),MATCH(T$1,[2]enemies!$1:$1,0)-MATCH($I$1,[2]enemies!$1:$1,0)+1),MATCH(T$1,[2]enemies!$1:$1,0)-MATCH($I$1,[2]enemies!$1:$1,0)+1,FALSE)</f>
        <v>0</v>
      </c>
      <c r="U21" s="7">
        <v>0</v>
      </c>
      <c r="V21" s="7">
        <v>100</v>
      </c>
      <c r="W21" s="7">
        <v>0</v>
      </c>
      <c r="X21" s="27">
        <f ca="1">VLOOKUP($I21,OFFSET([2]enemies!$A$1,0,0,COUNTA([2]enemies!$A:$A),MATCH(X$1,[2]enemies!$1:$1,0)-MATCH($I$1,[2]enemies!$1:$1,0)+1),MATCH(X$1,[2]enemies!$1:$1,0)-MATCH($I$1,[2]enemies!$1:$1,0)+1,FALSE)</f>
        <v>2</v>
      </c>
      <c r="Y21" s="8">
        <v>17</v>
      </c>
      <c r="Z21" s="5" t="str">
        <f ca="1">IFERROR(VLOOKUP($Y21,OFFSET([3]characters!$A$1,0,0,COUNTA([3]characters!$A:$A),MATCH(Z$1,[3]characters!$1:$1,0)-MATCH("character_id",[3]characters!$1:$1,0)+1),MATCH(Z$1,[3]characters!$1:$1,0)-MATCH("character_id",[3]characters!$1:$1,0)+1,FALSE),"")</f>
        <v>リム</v>
      </c>
      <c r="AA21" s="5">
        <f ca="1">IFERROR(VLOOKUP($Y21,OFFSET([3]characters!$A$1,0,0,COUNTA([3]characters!$A:$A),MATCH(AA$1,[3]characters!$1:$1,0)-MATCH("character_id",[3]characters!$1:$1,0)+1),MATCH(AA$1,[3]characters!$1:$1,0)-MATCH("character_id",[3]characters!$1:$1,0)+1,FALSE),"")</f>
        <v>1</v>
      </c>
      <c r="AB21" s="5" t="str">
        <f ca="1">IFERROR(VLOOKUP($Y21,OFFSET([3]characters!$A$1,0,0,COUNTA([3]characters!$A:$A),MATCH(AB$1,[3]characters!$1:$1,0)-MATCH("character_id",[3]characters!$1:$1,0)+1),MATCH(AB$1,[3]characters!$1:$1,0)-MATCH("character_id",[3]characters!$1:$1,0)+1,FALSE),"")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21" s="9">
        <v>1</v>
      </c>
      <c r="AD21" s="35">
        <f t="shared" ref="AD21:AD25" ca="1" si="23">AA21</f>
        <v>1</v>
      </c>
      <c r="AE21" s="10">
        <v>25</v>
      </c>
      <c r="AF21" s="9">
        <v>0</v>
      </c>
      <c r="AG21" s="9">
        <v>0</v>
      </c>
      <c r="AH21" s="9">
        <v>0</v>
      </c>
      <c r="AI21" s="9">
        <v>0</v>
      </c>
      <c r="AJ21" s="9">
        <v>1</v>
      </c>
    </row>
    <row r="22" spans="1:36" ht="21" customHeight="1" x14ac:dyDescent="0.15">
      <c r="A22" s="22" t="str">
        <f t="shared" ca="1" si="20"/>
        <v>20003_1-4/25&lt;lv16&gt;s3</v>
      </c>
      <c r="B22" s="33">
        <v>20003</v>
      </c>
      <c r="C22" s="32">
        <v>1</v>
      </c>
      <c r="D22" s="2" t="str">
        <f t="shared" si="21"/>
        <v>20003_1</v>
      </c>
      <c r="E22" s="5" t="str">
        <f ca="1">VLOOKUP($B22,OFFSET([1]quests!$A$1,0,0,COUNTA([1]quests!$A:$A),MATCH(E$1,[1]quests!$1:$1,0)-MATCH($B$1,[1]quests!$1:$1,0)+1),MATCH(E$1,[1]quests!$1:$1,0)-MATCH($B$1,[1]quests!$1:$1,0)+1,FALSE)</f>
        <v>忍び寄る短剣</v>
      </c>
      <c r="F22" s="5" t="str">
        <f ca="1">VLOOKUP($D22,OFFSET([1]stages!$A$1,0,0,COUNTA([1]stages!$A:$A),MATCH(F$1,[1]stages!$2:$2,0)-MATCH($D$1,[1]stages!$2:$2,0)+1),MATCH(F$1,[1]stages!$2:$2,0)-MATCH($D$1,[1]stages!$2:$2,0)+1,FALSE)</f>
        <v xml:space="preserve">【初級】忍び寄る短剣 </v>
      </c>
      <c r="G22" s="36">
        <v>4</v>
      </c>
      <c r="H22" s="21" t="str">
        <f t="shared" si="22"/>
        <v>20003_1-4</v>
      </c>
      <c r="I22" s="31">
        <v>25</v>
      </c>
      <c r="J22" s="27" t="str">
        <f ca="1">VLOOKUP($I22,OFFSET([2]enemies!$A$1,0,0,COUNTA([2]enemies!$A:$A),MATCH(J$1,[2]enemies!$1:$1,0)-MATCH($I$1,[2]enemies!$1:$1,0)+1),MATCH(J$1,[2]enemies!$1:$1,0)-MATCH($I$1,[2]enemies!$1:$1,0)+1,FALSE)</f>
        <v>ハチ</v>
      </c>
      <c r="K22" s="27" t="str">
        <f ca="1">VLOOKUP($I22,OFFSET([2]enemies!$A$1,0,0,COUNTA([2]enemies!$A:$A),MATCH(K$1,[2]enemies!$1:$1,0)-MATCH($I$1,[2]enemies!$1:$1,0)+1),MATCH(K$1,[2]enemies!$1:$1,0)-MATCH($I$1,[2]enemies!$1:$1,0)+1,FALSE)</f>
        <v>blue</v>
      </c>
      <c r="L22" s="29" t="str">
        <f>VLOOKUP(I22,[3]characters!$A:$J,10,FALSE)</f>
        <v>Drop1N</v>
      </c>
      <c r="M22" s="27" t="str">
        <f ca="1">VLOOKUP($I22,OFFSET([2]enemies!$A$1,0,0,COUNTA([2]enemies!$A:$A),MATCH(M$1,[2]enemies!$1:$1,0)-MATCH($I$1,[2]enemies!$1:$1,0)+1),MATCH(M$1,[2]enemies!$1:$1,0)-MATCH($I$1,[2]enemies!$1:$1,0)+1,FALSE)</f>
        <v>animal</v>
      </c>
      <c r="N22" s="27">
        <f ca="1">VLOOKUP($I22,OFFSET([2]enemies!$A$1,0,0,COUNTA([2]enemies!$A:$A),MATCH(N$1,[2]enemies!$1:$1,0)-MATCH($I$1,[2]enemies!$1:$1,0)+1),MATCH(N$1,[2]enemies!$1:$1,0)-MATCH($I$1,[2]enemies!$1:$1,0)+1,FALSE)</f>
        <v>15</v>
      </c>
      <c r="O22" s="6">
        <v>16</v>
      </c>
      <c r="P22" s="38">
        <v>1.3</v>
      </c>
      <c r="Q22" s="38">
        <v>1.2</v>
      </c>
      <c r="R22" s="6">
        <v>0</v>
      </c>
      <c r="S22" s="5" t="str">
        <f ca="1">VLOOKUP($T22,OFFSET([4]enemy_skill_sets!$B$1,0,0,COUNTA([4]enemy_skill_sets!$B:$B),MATCH(J$1,[4]enemy_skill_sets!$1:$1,0)-MATCH($T$1,[4]enemy_skill_sets!$1:$1,0)+2),MATCH(J$1,[4]enemy_skill_sets!$1:$1,0)-MATCH($T$1,[4]enemy_skill_sets!$1:$1,0)+2,FALSE)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2" s="27">
        <f ca="1">VLOOKUP($I22,OFFSET([2]enemies!$A$1,0,0,COUNTA([2]enemies!$A:$A),MATCH(T$1,[2]enemies!$1:$1,0)-MATCH($I$1,[2]enemies!$1:$1,0)+1),MATCH(T$1,[2]enemies!$1:$1,0)-MATCH($I$1,[2]enemies!$1:$1,0)+1,FALSE)</f>
        <v>0</v>
      </c>
      <c r="U22" s="7">
        <v>0</v>
      </c>
      <c r="V22" s="7">
        <v>100</v>
      </c>
      <c r="W22" s="7">
        <v>0</v>
      </c>
      <c r="X22" s="27">
        <f ca="1">VLOOKUP($I22,OFFSET([2]enemies!$A$1,0,0,COUNTA([2]enemies!$A:$A),MATCH(X$1,[2]enemies!$1:$1,0)-MATCH($I$1,[2]enemies!$1:$1,0)+1),MATCH(X$1,[2]enemies!$1:$1,0)-MATCH($I$1,[2]enemies!$1:$1,0)+1,FALSE)</f>
        <v>3</v>
      </c>
      <c r="Y22" s="8">
        <v>25</v>
      </c>
      <c r="Z22" s="5" t="str">
        <f ca="1">IFERROR(VLOOKUP($Y22,OFFSET([3]characters!$A$1,0,0,COUNTA([3]characters!$A:$A),MATCH(Z$1,[3]characters!$1:$1,0)-MATCH("character_id",[3]characters!$1:$1,0)+1),MATCH(Z$1,[3]characters!$1:$1,0)-MATCH("character_id",[3]characters!$1:$1,0)+1,FALSE),"")</f>
        <v>ハチ</v>
      </c>
      <c r="AA22" s="5">
        <f ca="1">IFERROR(VLOOKUP($Y22,OFFSET([3]characters!$A$1,0,0,COUNTA([3]characters!$A:$A),MATCH(AA$1,[3]characters!$1:$1,0)-MATCH("character_id",[3]characters!$1:$1,0)+1),MATCH(AA$1,[3]characters!$1:$1,0)-MATCH("character_id",[3]characters!$1:$1,0)+1,FALSE),"")</f>
        <v>1</v>
      </c>
      <c r="AB22" s="5" t="str">
        <f ca="1">IFERROR(VLOOKUP($Y22,OFFSET([3]characters!$A$1,0,0,COUNTA([3]characters!$A:$A),MATCH(AB$1,[3]characters!$1:$1,0)-MATCH("character_id",[3]characters!$1:$1,0)+1),MATCH(AB$1,[3]characters!$1:$1,0)-MATCH("character_id",[3]characters!$1:$1,0)+1,FALSE),"")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2" s="9">
        <v>1</v>
      </c>
      <c r="AD22" s="35">
        <f t="shared" ca="1" si="23"/>
        <v>1</v>
      </c>
      <c r="AE22" s="10">
        <v>25</v>
      </c>
      <c r="AF22" s="9">
        <v>0</v>
      </c>
      <c r="AG22" s="9">
        <v>0</v>
      </c>
      <c r="AH22" s="9">
        <v>0</v>
      </c>
      <c r="AI22" s="9">
        <v>0</v>
      </c>
      <c r="AJ22" s="9">
        <v>1</v>
      </c>
    </row>
    <row r="23" spans="1:36" ht="21" customHeight="1" x14ac:dyDescent="0.15">
      <c r="A23" s="22" t="str">
        <f t="shared" ca="1" si="20"/>
        <v>20003_1-4/29&lt;lv16&gt;s2</v>
      </c>
      <c r="B23" s="33">
        <v>20003</v>
      </c>
      <c r="C23" s="32">
        <v>1</v>
      </c>
      <c r="D23" s="2" t="str">
        <f t="shared" si="21"/>
        <v>20003_1</v>
      </c>
      <c r="E23" s="5" t="str">
        <f ca="1">VLOOKUP($B23,OFFSET([1]quests!$A$1,0,0,COUNTA([1]quests!$A:$A),MATCH(E$1,[1]quests!$1:$1,0)-MATCH($B$1,[1]quests!$1:$1,0)+1),MATCH(E$1,[1]quests!$1:$1,0)-MATCH($B$1,[1]quests!$1:$1,0)+1,FALSE)</f>
        <v>忍び寄る短剣</v>
      </c>
      <c r="F23" s="5" t="str">
        <f ca="1">VLOOKUP($D23,OFFSET([1]stages!$A$1,0,0,COUNTA([1]stages!$A:$A),MATCH(F$1,[1]stages!$2:$2,0)-MATCH($D$1,[1]stages!$2:$2,0)+1),MATCH(F$1,[1]stages!$2:$2,0)-MATCH($D$1,[1]stages!$2:$2,0)+1,FALSE)</f>
        <v xml:space="preserve">【初級】忍び寄る短剣 </v>
      </c>
      <c r="G23" s="36">
        <v>4</v>
      </c>
      <c r="H23" s="21" t="str">
        <f t="shared" si="22"/>
        <v>20003_1-4</v>
      </c>
      <c r="I23" s="31">
        <v>29</v>
      </c>
      <c r="J23" s="27" t="str">
        <f ca="1">VLOOKUP($I23,OFFSET([2]enemies!$A$1,0,0,COUNTA([2]enemies!$A:$A),MATCH(J$1,[2]enemies!$1:$1,0)-MATCH($I$1,[2]enemies!$1:$1,0)+1),MATCH(J$1,[2]enemies!$1:$1,0)-MATCH($I$1,[2]enemies!$1:$1,0)+1,FALSE)</f>
        <v>スケアクロウ</v>
      </c>
      <c r="K23" s="27" t="str">
        <f ca="1">VLOOKUP($I23,OFFSET([2]enemies!$A$1,0,0,COUNTA([2]enemies!$A:$A),MATCH(K$1,[2]enemies!$1:$1,0)-MATCH($I$1,[2]enemies!$1:$1,0)+1),MATCH(K$1,[2]enemies!$1:$1,0)-MATCH($I$1,[2]enemies!$1:$1,0)+1,FALSE)</f>
        <v>blue</v>
      </c>
      <c r="L23" s="29" t="str">
        <f>VLOOKUP(I23,[3]characters!$A:$J,10,FALSE)</f>
        <v>Drop1N</v>
      </c>
      <c r="M23" s="27" t="str">
        <f ca="1">VLOOKUP($I23,OFFSET([2]enemies!$A$1,0,0,COUNTA([2]enemies!$A:$A),MATCH(M$1,[2]enemies!$1:$1,0)-MATCH($I$1,[2]enemies!$1:$1,0)+1),MATCH(M$1,[2]enemies!$1:$1,0)-MATCH($I$1,[2]enemies!$1:$1,0)+1,FALSE)</f>
        <v>machine</v>
      </c>
      <c r="N23" s="27">
        <f ca="1">VLOOKUP($I23,OFFSET([2]enemies!$A$1,0,0,COUNTA([2]enemies!$A:$A),MATCH(N$1,[2]enemies!$1:$1,0)-MATCH($I$1,[2]enemies!$1:$1,0)+1),MATCH(N$1,[2]enemies!$1:$1,0)-MATCH($I$1,[2]enemies!$1:$1,0)+1,FALSE)</f>
        <v>15</v>
      </c>
      <c r="O23" s="6">
        <v>16</v>
      </c>
      <c r="P23" s="38">
        <v>1.3</v>
      </c>
      <c r="Q23" s="38">
        <v>1.2</v>
      </c>
      <c r="R23" s="6">
        <v>0</v>
      </c>
      <c r="S23" s="5" t="str">
        <f ca="1">VLOOKUP($T23,OFFSET([4]enemy_skill_sets!$B$1,0,0,COUNTA([4]enemy_skill_sets!$B:$B),MATCH(J$1,[4]enemy_skill_sets!$1:$1,0)-MATCH($T$1,[4]enemy_skill_sets!$1:$1,0)+2),MATCH(J$1,[4]enemy_skill_sets!$1:$1,0)-MATCH($T$1,[4]enemy_skill_sets!$1:$1,0)+2,FALSE)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3" s="27">
        <f ca="1">VLOOKUP($I23,OFFSET([2]enemies!$A$1,0,0,COUNTA([2]enemies!$A:$A),MATCH(T$1,[2]enemies!$1:$1,0)-MATCH($I$1,[2]enemies!$1:$1,0)+1),MATCH(T$1,[2]enemies!$1:$1,0)-MATCH($I$1,[2]enemies!$1:$1,0)+1,FALSE)</f>
        <v>0</v>
      </c>
      <c r="U23" s="7">
        <v>0</v>
      </c>
      <c r="V23" s="7">
        <v>100</v>
      </c>
      <c r="W23" s="7">
        <v>0</v>
      </c>
      <c r="X23" s="27">
        <f ca="1">VLOOKUP($I23,OFFSET([2]enemies!$A$1,0,0,COUNTA([2]enemies!$A:$A),MATCH(X$1,[2]enemies!$1:$1,0)-MATCH($I$1,[2]enemies!$1:$1,0)+1),MATCH(X$1,[2]enemies!$1:$1,0)-MATCH($I$1,[2]enemies!$1:$1,0)+1,FALSE)</f>
        <v>2</v>
      </c>
      <c r="Y23" s="8">
        <v>29</v>
      </c>
      <c r="Z23" s="5" t="str">
        <f ca="1">IFERROR(VLOOKUP($Y23,OFFSET([3]characters!$A$1,0,0,COUNTA([3]characters!$A:$A),MATCH(Z$1,[3]characters!$1:$1,0)-MATCH("character_id",[3]characters!$1:$1,0)+1),MATCH(Z$1,[3]characters!$1:$1,0)-MATCH("character_id",[3]characters!$1:$1,0)+1,FALSE),"")</f>
        <v>スケアクロウ</v>
      </c>
      <c r="AA23" s="5">
        <f ca="1">IFERROR(VLOOKUP($Y23,OFFSET([3]characters!$A$1,0,0,COUNTA([3]characters!$A:$A),MATCH(AA$1,[3]characters!$1:$1,0)-MATCH("character_id",[3]characters!$1:$1,0)+1),MATCH(AA$1,[3]characters!$1:$1,0)-MATCH("character_id",[3]characters!$1:$1,0)+1,FALSE),"")</f>
        <v>1</v>
      </c>
      <c r="AB23" s="5" t="str">
        <f ca="1">IFERROR(VLOOKUP($Y23,OFFSET([3]characters!$A$1,0,0,COUNTA([3]characters!$A:$A),MATCH(AB$1,[3]characters!$1:$1,0)-MATCH("character_id",[3]characters!$1:$1,0)+1),MATCH(AB$1,[3]characters!$1:$1,0)-MATCH("character_id",[3]characters!$1:$1,0)+1,FALSE),"")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3" s="9">
        <v>1</v>
      </c>
      <c r="AD23" s="35">
        <f t="shared" ca="1" si="23"/>
        <v>1</v>
      </c>
      <c r="AE23" s="10">
        <v>25</v>
      </c>
      <c r="AF23" s="9">
        <v>0</v>
      </c>
      <c r="AG23" s="9">
        <v>0</v>
      </c>
      <c r="AH23" s="9">
        <v>0</v>
      </c>
      <c r="AI23" s="9">
        <v>0</v>
      </c>
      <c r="AJ23" s="9">
        <v>1</v>
      </c>
    </row>
    <row r="24" spans="1:36" ht="21" customHeight="1" x14ac:dyDescent="0.15">
      <c r="A24" s="22" t="str">
        <f t="shared" ca="1" si="20"/>
        <v>20003_1-4/45&lt;lv16&gt;s3</v>
      </c>
      <c r="B24" s="33">
        <v>20003</v>
      </c>
      <c r="C24" s="32">
        <v>1</v>
      </c>
      <c r="D24" s="2" t="str">
        <f t="shared" si="21"/>
        <v>20003_1</v>
      </c>
      <c r="E24" s="5" t="str">
        <f ca="1">VLOOKUP($B24,OFFSET([1]quests!$A$1,0,0,COUNTA([1]quests!$A:$A),MATCH(E$1,[1]quests!$1:$1,0)-MATCH($B$1,[1]quests!$1:$1,0)+1),MATCH(E$1,[1]quests!$1:$1,0)-MATCH($B$1,[1]quests!$1:$1,0)+1,FALSE)</f>
        <v>忍び寄る短剣</v>
      </c>
      <c r="F24" s="5" t="str">
        <f ca="1">VLOOKUP($D24,OFFSET([1]stages!$A$1,0,0,COUNTA([1]stages!$A:$A),MATCH(F$1,[1]stages!$2:$2,0)-MATCH($D$1,[1]stages!$2:$2,0)+1),MATCH(F$1,[1]stages!$2:$2,0)-MATCH($D$1,[1]stages!$2:$2,0)+1,FALSE)</f>
        <v xml:space="preserve">【初級】忍び寄る短剣 </v>
      </c>
      <c r="G24" s="36">
        <v>4</v>
      </c>
      <c r="H24" s="21" t="str">
        <f t="shared" si="22"/>
        <v>20003_1-4</v>
      </c>
      <c r="I24" s="31">
        <v>45</v>
      </c>
      <c r="J24" s="27" t="str">
        <f ca="1">VLOOKUP($I24,OFFSET([2]enemies!$A$1,0,0,COUNTA([2]enemies!$A:$A),MATCH(J$1,[2]enemies!$1:$1,0)-MATCH($I$1,[2]enemies!$1:$1,0)+1),MATCH(J$1,[2]enemies!$1:$1,0)-MATCH($I$1,[2]enemies!$1:$1,0)+1,FALSE)</f>
        <v>ショウイン</v>
      </c>
      <c r="K24" s="27" t="str">
        <f ca="1">VLOOKUP($I24,OFFSET([2]enemies!$A$1,0,0,COUNTA([2]enemies!$A:$A),MATCH(K$1,[2]enemies!$1:$1,0)-MATCH($I$1,[2]enemies!$1:$1,0)+1),MATCH(K$1,[2]enemies!$1:$1,0)-MATCH($I$1,[2]enemies!$1:$1,0)+1,FALSE)</f>
        <v>blue</v>
      </c>
      <c r="L24" s="29" t="str">
        <f>VLOOKUP(I24,[3]characters!$A:$J,10,FALSE)</f>
        <v>Drop1N</v>
      </c>
      <c r="M24" s="27" t="str">
        <f ca="1">VLOOKUP($I24,OFFSET([2]enemies!$A$1,0,0,COUNTA([2]enemies!$A:$A),MATCH(M$1,[2]enemies!$1:$1,0)-MATCH($I$1,[2]enemies!$1:$1,0)+1),MATCH(M$1,[2]enemies!$1:$1,0)-MATCH($I$1,[2]enemies!$1:$1,0)+1,FALSE)</f>
        <v>animal</v>
      </c>
      <c r="N24" s="27">
        <f ca="1">VLOOKUP($I24,OFFSET([2]enemies!$A$1,0,0,COUNTA([2]enemies!$A:$A),MATCH(N$1,[2]enemies!$1:$1,0)-MATCH($I$1,[2]enemies!$1:$1,0)+1),MATCH(N$1,[2]enemies!$1:$1,0)-MATCH($I$1,[2]enemies!$1:$1,0)+1,FALSE)</f>
        <v>15</v>
      </c>
      <c r="O24" s="6">
        <v>16</v>
      </c>
      <c r="P24" s="38">
        <v>1.3</v>
      </c>
      <c r="Q24" s="38">
        <v>1.2</v>
      </c>
      <c r="R24" s="6">
        <v>0</v>
      </c>
      <c r="S24" s="5" t="str">
        <f ca="1">VLOOKUP($T24,OFFSET([4]enemy_skill_sets!$B$1,0,0,COUNTA([4]enemy_skill_sets!$B:$B),MATCH(J$1,[4]enemy_skill_sets!$1:$1,0)-MATCH($T$1,[4]enemy_skill_sets!$1:$1,0)+2),MATCH(J$1,[4]enemy_skill_sets!$1:$1,0)-MATCH($T$1,[4]enemy_skill_sets!$1:$1,0)+2,FALSE)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4" s="27">
        <f ca="1">VLOOKUP($I24,OFFSET([2]enemies!$A$1,0,0,COUNTA([2]enemies!$A:$A),MATCH(T$1,[2]enemies!$1:$1,0)-MATCH($I$1,[2]enemies!$1:$1,0)+1),MATCH(T$1,[2]enemies!$1:$1,0)-MATCH($I$1,[2]enemies!$1:$1,0)+1,FALSE)</f>
        <v>0</v>
      </c>
      <c r="U24" s="7">
        <v>1</v>
      </c>
      <c r="V24" s="7">
        <v>100</v>
      </c>
      <c r="W24" s="7">
        <v>0</v>
      </c>
      <c r="X24" s="27">
        <f ca="1">VLOOKUP($I24,OFFSET([2]enemies!$A$1,0,0,COUNTA([2]enemies!$A:$A),MATCH(X$1,[2]enemies!$1:$1,0)-MATCH($I$1,[2]enemies!$1:$1,0)+1),MATCH(X$1,[2]enemies!$1:$1,0)-MATCH($I$1,[2]enemies!$1:$1,0)+1,FALSE)</f>
        <v>3</v>
      </c>
      <c r="Y24" s="8">
        <v>45</v>
      </c>
      <c r="Z24" s="5" t="str">
        <f ca="1">IFERROR(VLOOKUP($Y24,OFFSET([3]characters!$A$1,0,0,COUNTA([3]characters!$A:$A),MATCH(Z$1,[3]characters!$1:$1,0)-MATCH("character_id",[3]characters!$1:$1,0)+1),MATCH(Z$1,[3]characters!$1:$1,0)-MATCH("character_id",[3]characters!$1:$1,0)+1,FALSE),"")</f>
        <v>ショウイン</v>
      </c>
      <c r="AA24" s="5">
        <f ca="1">IFERROR(VLOOKUP($Y24,OFFSET([3]characters!$A$1,0,0,COUNTA([3]characters!$A:$A),MATCH(AA$1,[3]characters!$1:$1,0)-MATCH("character_id",[3]characters!$1:$1,0)+1),MATCH(AA$1,[3]characters!$1:$1,0)-MATCH("character_id",[3]characters!$1:$1,0)+1,FALSE),"")</f>
        <v>2</v>
      </c>
      <c r="AB24" s="5" t="str">
        <f ca="1">IFERROR(VLOOKUP($Y24,OFFSET([3]characters!$A$1,0,0,COUNTA([3]characters!$A:$A),MATCH(AB$1,[3]characters!$1:$1,0)-MATCH("character_id",[3]characters!$1:$1,0)+1),MATCH(AB$1,[3]characters!$1:$1,0)-MATCH("character_id",[3]characters!$1:$1,0)+1,FALSE),"")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4" s="9">
        <v>1</v>
      </c>
      <c r="AD24" s="35">
        <f t="shared" ca="1" si="23"/>
        <v>2</v>
      </c>
      <c r="AE24" s="10">
        <v>25</v>
      </c>
      <c r="AF24" s="9">
        <v>0</v>
      </c>
      <c r="AG24" s="9">
        <v>0</v>
      </c>
      <c r="AH24" s="9">
        <v>0</v>
      </c>
      <c r="AI24" s="9">
        <v>0</v>
      </c>
      <c r="AJ24" s="9">
        <v>1</v>
      </c>
    </row>
    <row r="25" spans="1:36" ht="21" customHeight="1" x14ac:dyDescent="0.15">
      <c r="A25" s="22" t="str">
        <f t="shared" ca="1" si="20"/>
        <v>20003_1-4/71&lt;lv16&gt;s4</v>
      </c>
      <c r="B25" s="33">
        <v>20003</v>
      </c>
      <c r="C25" s="32">
        <v>1</v>
      </c>
      <c r="D25" s="2" t="str">
        <f t="shared" si="21"/>
        <v>20003_1</v>
      </c>
      <c r="E25" s="5" t="str">
        <f ca="1">VLOOKUP($B25,OFFSET([1]quests!$A$1,0,0,COUNTA([1]quests!$A:$A),MATCH(E$1,[1]quests!$1:$1,0)-MATCH($B$1,[1]quests!$1:$1,0)+1),MATCH(E$1,[1]quests!$1:$1,0)-MATCH($B$1,[1]quests!$1:$1,0)+1,FALSE)</f>
        <v>忍び寄る短剣</v>
      </c>
      <c r="F25" s="5" t="str">
        <f ca="1">VLOOKUP($D25,OFFSET([1]stages!$A$1,0,0,COUNTA([1]stages!$A:$A),MATCH(F$1,[1]stages!$2:$2,0)-MATCH($D$1,[1]stages!$2:$2,0)+1),MATCH(F$1,[1]stages!$2:$2,0)-MATCH($D$1,[1]stages!$2:$2,0)+1,FALSE)</f>
        <v xml:space="preserve">【初級】忍び寄る短剣 </v>
      </c>
      <c r="G25" s="36">
        <v>4</v>
      </c>
      <c r="H25" s="21" t="str">
        <f t="shared" si="22"/>
        <v>20003_1-4</v>
      </c>
      <c r="I25" s="31">
        <v>71</v>
      </c>
      <c r="J25" s="27" t="str">
        <f ca="1">VLOOKUP($I25,OFFSET([2]enemies!$A$1,0,0,COUNTA([2]enemies!$A:$A),MATCH(J$1,[2]enemies!$1:$1,0)-MATCH($I$1,[2]enemies!$1:$1,0)+1),MATCH(J$1,[2]enemies!$1:$1,0)-MATCH($I$1,[2]enemies!$1:$1,0)+1,FALSE)</f>
        <v>ダックス</v>
      </c>
      <c r="K25" s="27" t="str">
        <f ca="1">VLOOKUP($I25,OFFSET([2]enemies!$A$1,0,0,COUNTA([2]enemies!$A:$A),MATCH(K$1,[2]enemies!$1:$1,0)-MATCH($I$1,[2]enemies!$1:$1,0)+1),MATCH(K$1,[2]enemies!$1:$1,0)-MATCH($I$1,[2]enemies!$1:$1,0)+1,FALSE)</f>
        <v>blue</v>
      </c>
      <c r="L25" s="29" t="str">
        <f>VLOOKUP(I25,[3]characters!$A:$J,10,FALSE)</f>
        <v>Drop1S</v>
      </c>
      <c r="M25" s="27" t="str">
        <f ca="1">VLOOKUP($I25,OFFSET([2]enemies!$A$1,0,0,COUNTA([2]enemies!$A:$A),MATCH(M$1,[2]enemies!$1:$1,0)-MATCH($I$1,[2]enemies!$1:$1,0)+1),MATCH(M$1,[2]enemies!$1:$1,0)-MATCH($I$1,[2]enemies!$1:$1,0)+1,FALSE)</f>
        <v>animal</v>
      </c>
      <c r="N25" s="27">
        <f ca="1">VLOOKUP($I25,OFFSET([2]enemies!$A$1,0,0,COUNTA([2]enemies!$A:$A),MATCH(N$1,[2]enemies!$1:$1,0)-MATCH($I$1,[2]enemies!$1:$1,0)+1),MATCH(N$1,[2]enemies!$1:$1,0)-MATCH($I$1,[2]enemies!$1:$1,0)+1,FALSE)</f>
        <v>15</v>
      </c>
      <c r="O25" s="6">
        <v>16</v>
      </c>
      <c r="P25" s="38">
        <v>1.3</v>
      </c>
      <c r="Q25" s="38">
        <v>0.8</v>
      </c>
      <c r="R25" s="6">
        <v>0</v>
      </c>
      <c r="S25" s="5" t="str">
        <f ca="1">VLOOKUP($T25,OFFSET([4]enemy_skill_sets!$B$1,0,0,COUNTA([4]enemy_skill_sets!$B:$B),MATCH(J$1,[4]enemy_skill_sets!$1:$1,0)-MATCH($T$1,[4]enemy_skill_sets!$1:$1,0)+2),MATCH(J$1,[4]enemy_skill_sets!$1:$1,0)-MATCH($T$1,[4]enemy_skill_sets!$1:$1,0)+2,FALSE)</f>
        <v>3ターン攻撃頻度が1ターンにUP</v>
      </c>
      <c r="T25" s="27">
        <f ca="1">VLOOKUP($I25,OFFSET([2]enemies!$A$1,0,0,COUNTA([2]enemies!$A:$A),MATCH(T$1,[2]enemies!$1:$1,0)-MATCH($I$1,[2]enemies!$1:$1,0)+1),MATCH(T$1,[2]enemies!$1:$1,0)-MATCH($I$1,[2]enemies!$1:$1,0)+1,FALSE)</f>
        <v>71</v>
      </c>
      <c r="U25" s="7">
        <v>1</v>
      </c>
      <c r="V25" s="7">
        <v>100</v>
      </c>
      <c r="W25" s="7">
        <v>0</v>
      </c>
      <c r="X25" s="27">
        <f ca="1">VLOOKUP($I25,OFFSET([2]enemies!$A$1,0,0,COUNTA([2]enemies!$A:$A),MATCH(X$1,[2]enemies!$1:$1,0)-MATCH($I$1,[2]enemies!$1:$1,0)+1),MATCH(X$1,[2]enemies!$1:$1,0)-MATCH($I$1,[2]enemies!$1:$1,0)+1,FALSE)</f>
        <v>4</v>
      </c>
      <c r="Y25" s="8">
        <v>71</v>
      </c>
      <c r="Z25" s="5" t="str">
        <f ca="1">IFERROR(VLOOKUP($Y25,OFFSET([3]characters!$A$1,0,0,COUNTA([3]characters!$A:$A),MATCH(Z$1,[3]characters!$1:$1,0)-MATCH("character_id",[3]characters!$1:$1,0)+1),MATCH(Z$1,[3]characters!$1:$1,0)-MATCH("character_id",[3]characters!$1:$1,0)+1,FALSE),"")</f>
        <v>ダックス</v>
      </c>
      <c r="AA25" s="5">
        <f ca="1">IFERROR(VLOOKUP($Y25,OFFSET([3]characters!$A$1,0,0,COUNTA([3]characters!$A:$A),MATCH(AA$1,[3]characters!$1:$1,0)-MATCH("character_id",[3]characters!$1:$1,0)+1),MATCH(AA$1,[3]characters!$1:$1,0)-MATCH("character_id",[3]characters!$1:$1,0)+1,FALSE),"")</f>
        <v>2</v>
      </c>
      <c r="AB25" s="5" t="str">
        <f ca="1">IFERROR(VLOOKUP($Y25,OFFSET([3]characters!$A$1,0,0,COUNTA([3]characters!$A:$A),MATCH(AB$1,[3]characters!$1:$1,0)-MATCH("character_id",[3]characters!$1:$1,0)+1),MATCH(AB$1,[3]characters!$1:$1,0)-MATCH("character_id",[3]characters!$1:$1,0)+1,FALSE),"")</f>
        <v>Drop1S</v>
      </c>
      <c r="AC25" s="9">
        <v>1</v>
      </c>
      <c r="AD25" s="35">
        <f t="shared" ca="1" si="23"/>
        <v>2</v>
      </c>
      <c r="AE25" s="10">
        <v>15</v>
      </c>
      <c r="AF25" s="9">
        <v>0</v>
      </c>
      <c r="AG25" s="9">
        <v>0</v>
      </c>
      <c r="AH25" s="9">
        <v>0</v>
      </c>
      <c r="AI25" s="9">
        <v>0</v>
      </c>
      <c r="AJ25" s="9">
        <v>1</v>
      </c>
    </row>
    <row r="26" spans="1:36" ht="21" customHeight="1" x14ac:dyDescent="0.15">
      <c r="A26" s="22" t="str">
        <f t="shared" ref="A26" ca="1" si="24">B26&amp;"_"&amp;C26&amp;"-"&amp;G26&amp;"/"&amp;I26&amp;"&lt;lv"&amp;O26&amp;"&gt;s"&amp;X26</f>
        <v>20003_1-5/266&lt;lv19&gt;s2</v>
      </c>
      <c r="B26" s="33">
        <v>20003</v>
      </c>
      <c r="C26" s="32">
        <v>1</v>
      </c>
      <c r="D26" s="2" t="str">
        <f t="shared" ref="D26" si="25">B26&amp;"_"&amp;C26</f>
        <v>20003_1</v>
      </c>
      <c r="E26" s="5" t="str">
        <f ca="1">VLOOKUP($B26,OFFSET([1]quests!$A$1,0,0,COUNTA([1]quests!$A:$A),MATCH(E$1,[1]quests!$1:$1,0)-MATCH($B$1,[1]quests!$1:$1,0)+1),MATCH(E$1,[1]quests!$1:$1,0)-MATCH($B$1,[1]quests!$1:$1,0)+1,FALSE)</f>
        <v>忍び寄る短剣</v>
      </c>
      <c r="F26" s="5" t="str">
        <f ca="1">VLOOKUP($D26,OFFSET([1]stages!$A$1,0,0,COUNTA([1]stages!$A:$A),MATCH(F$1,[1]stages!$2:$2,0)-MATCH($D$1,[1]stages!$2:$2,0)+1),MATCH(F$1,[1]stages!$2:$2,0)-MATCH($D$1,[1]stages!$2:$2,0)+1,FALSE)</f>
        <v xml:space="preserve">【初級】忍び寄る短剣 </v>
      </c>
      <c r="G26" s="36">
        <v>5</v>
      </c>
      <c r="H26" s="21" t="str">
        <f t="shared" ref="H26" si="26">B26&amp;"_"&amp;C26&amp;"-"&amp;G26</f>
        <v>20003_1-5</v>
      </c>
      <c r="I26" s="31">
        <v>266</v>
      </c>
      <c r="J26" s="27" t="str">
        <f ca="1">VLOOKUP($I26,OFFSET([2]enemies!$A$1,0,0,COUNTA([2]enemies!$A:$A),MATCH(J$1,[2]enemies!$1:$1,0)-MATCH($I$1,[2]enemies!$1:$1,0)+1),MATCH(J$1,[2]enemies!$1:$1,0)-MATCH($I$1,[2]enemies!$1:$1,0)+1,FALSE)</f>
        <v>リリアンブルー</v>
      </c>
      <c r="K26" s="27" t="str">
        <f ca="1">VLOOKUP($I26,OFFSET([2]enemies!$A$1,0,0,COUNTA([2]enemies!$A:$A),MATCH(K$1,[2]enemies!$1:$1,0)-MATCH($I$1,[2]enemies!$1:$1,0)+1),MATCH(K$1,[2]enemies!$1:$1,0)-MATCH($I$1,[2]enemies!$1:$1,0)+1,FALSE)</f>
        <v>blue</v>
      </c>
      <c r="L26" s="29" t="str">
        <f>VLOOKUP(I26,[3]characters!$A:$J,10,FALSE)</f>
        <v>Drop2W</v>
      </c>
      <c r="M26" s="27" t="str">
        <f ca="1">VLOOKUP($I26,OFFSET([2]enemies!$A$1,0,0,COUNTA([2]enemies!$A:$A),MATCH(M$1,[2]enemies!$1:$1,0)-MATCH($I$1,[2]enemies!$1:$1,0)+1),MATCH(M$1,[2]enemies!$1:$1,0)-MATCH($I$1,[2]enemies!$1:$1,0)+1,FALSE)</f>
        <v>animal</v>
      </c>
      <c r="N26" s="27">
        <f ca="1">VLOOKUP($I26,OFFSET([2]enemies!$A$1,0,0,COUNTA([2]enemies!$A:$A),MATCH(N$1,[2]enemies!$1:$1,0)-MATCH($I$1,[2]enemies!$1:$1,0)+1),MATCH(N$1,[2]enemies!$1:$1,0)-MATCH($I$1,[2]enemies!$1:$1,0)+1,FALSE)</f>
        <v>20</v>
      </c>
      <c r="O26" s="6">
        <v>19</v>
      </c>
      <c r="P26" s="38">
        <v>2.7</v>
      </c>
      <c r="Q26" s="38">
        <v>0.8</v>
      </c>
      <c r="R26" s="6">
        <v>0</v>
      </c>
      <c r="S26" s="5" t="str">
        <f ca="1">VLOOKUP($T26,OFFSET([4]enemy_skill_sets!$B$1,0,0,COUNTA([4]enemy_skill_sets!$B:$B),MATCH(J$1,[4]enemy_skill_sets!$1:$1,0)-MATCH($T$1,[4]enemy_skill_sets!$1:$1,0)+2),MATCH(J$1,[4]enemy_skill_sets!$1:$1,0)-MATCH($T$1,[4]enemy_skill_sets!$1:$1,0)+2,FALSE)</f>
        <v>この戦闘ではスキルが使えない！</v>
      </c>
      <c r="T26" s="27">
        <f ca="1">VLOOKUP($I26,OFFSET([2]enemies!$A$1,0,0,COUNTA([2]enemies!$A:$A),MATCH(T$1,[2]enemies!$1:$1,0)-MATCH($I$1,[2]enemies!$1:$1,0)+1),MATCH(T$1,[2]enemies!$1:$1,0)-MATCH($I$1,[2]enemies!$1:$1,0)+1,FALSE)</f>
        <v>266</v>
      </c>
      <c r="U26" s="7">
        <v>1</v>
      </c>
      <c r="V26" s="7">
        <v>100</v>
      </c>
      <c r="W26" s="7">
        <v>1</v>
      </c>
      <c r="X26" s="27">
        <f ca="1">VLOOKUP($I26,OFFSET([2]enemies!$A$1,0,0,COUNTA([2]enemies!$A:$A),MATCH(X$1,[2]enemies!$1:$1,0)-MATCH($I$1,[2]enemies!$1:$1,0)+1),MATCH(X$1,[2]enemies!$1:$1,0)-MATCH($I$1,[2]enemies!$1:$1,0)+1,FALSE)</f>
        <v>2</v>
      </c>
      <c r="Y26" s="8">
        <v>266</v>
      </c>
      <c r="Z26" s="5" t="str">
        <f ca="1">IFERROR(VLOOKUP($Y26,OFFSET([3]characters!$A$1,0,0,COUNTA([3]characters!$A:$A),MATCH(Z$1,[3]characters!$1:$1,0)-MATCH("character_id",[3]characters!$1:$1,0)+1),MATCH(Z$1,[3]characters!$1:$1,0)-MATCH("character_id",[3]characters!$1:$1,0)+1,FALSE),"")</f>
        <v>リリアンブルー</v>
      </c>
      <c r="AA26" s="5">
        <f ca="1">IFERROR(VLOOKUP($Y26,OFFSET([3]characters!$A$1,0,0,COUNTA([3]characters!$A:$A),MATCH(AA$1,[3]characters!$1:$1,0)-MATCH("character_id",[3]characters!$1:$1,0)+1),MATCH(AA$1,[3]characters!$1:$1,0)-MATCH("character_id",[3]characters!$1:$1,0)+1,FALSE),"")</f>
        <v>3</v>
      </c>
      <c r="AB26" s="5" t="str">
        <f ca="1">IFERROR(VLOOKUP($Y26,OFFSET([3]characters!$A$1,0,0,COUNTA([3]characters!$A:$A),MATCH(AB$1,[3]characters!$1:$1,0)-MATCH("character_id",[3]characters!$1:$1,0)+1),MATCH(AB$1,[3]characters!$1:$1,0)-MATCH("character_id",[3]characters!$1:$1,0)+1,FALSE),"")</f>
        <v>Drop2W</v>
      </c>
      <c r="AC26" s="9">
        <v>1</v>
      </c>
      <c r="AD26" s="35">
        <f t="shared" ref="AD26" ca="1" si="27">AA26</f>
        <v>3</v>
      </c>
      <c r="AE26" s="44">
        <v>20</v>
      </c>
      <c r="AF26" s="9">
        <v>0</v>
      </c>
      <c r="AG26" s="9">
        <v>0</v>
      </c>
      <c r="AH26" s="9">
        <v>0</v>
      </c>
      <c r="AI26" s="9">
        <v>0</v>
      </c>
      <c r="AJ26" s="9">
        <v>1</v>
      </c>
    </row>
    <row r="27" spans="1:36" ht="21" customHeight="1" x14ac:dyDescent="0.15">
      <c r="A27" s="22" t="str">
        <f ca="1">B27&amp;"_"&amp;C27&amp;"-"&amp;G27&amp;"/"&amp;I27&amp;"&lt;lv"&amp;O27&amp;"&gt;s"&amp;X27</f>
        <v>20003_2-1/6&lt;lv24&gt;s3</v>
      </c>
      <c r="B27" s="33">
        <v>20003</v>
      </c>
      <c r="C27" s="32">
        <v>2</v>
      </c>
      <c r="D27" s="2" t="str">
        <f>B27&amp;"_"&amp;C27</f>
        <v>20003_2</v>
      </c>
      <c r="E27" s="5" t="str">
        <f ca="1">VLOOKUP($B27,OFFSET([1]quests!$A$1,0,0,COUNTA([1]quests!$A:$A),MATCH(E$1,[1]quests!$1:$1,0)-MATCH($B$1,[1]quests!$1:$1,0)+1),MATCH(E$1,[1]quests!$1:$1,0)-MATCH($B$1,[1]quests!$1:$1,0)+1,FALSE)</f>
        <v>忍び寄る短剣</v>
      </c>
      <c r="F27" s="5" t="str">
        <f ca="1">VLOOKUP($D27,OFFSET([1]stages!$A$1,0,0,COUNTA([1]stages!$A:$A),MATCH(F$1,[1]stages!$2:$2,0)-MATCH($D$1,[1]stages!$2:$2,0)+1),MATCH(F$1,[1]stages!$2:$2,0)-MATCH($D$1,[1]stages!$2:$2,0)+1,FALSE)</f>
        <v xml:space="preserve">【中級】忍び寄る短剣 </v>
      </c>
      <c r="G27" s="32">
        <v>1</v>
      </c>
      <c r="H27" s="21" t="str">
        <f>B27&amp;"_"&amp;C27&amp;"-"&amp;G27</f>
        <v>20003_2-1</v>
      </c>
      <c r="I27" s="31">
        <v>6</v>
      </c>
      <c r="J27" s="27" t="str">
        <f ca="1">VLOOKUP($I27,OFFSET([2]enemies!$A$1,0,0,COUNTA([2]enemies!$A:$A),MATCH(J$1,[2]enemies!$1:$1,0)-MATCH($I$1,[2]enemies!$1:$1,0)+1),MATCH(J$1,[2]enemies!$1:$1,0)-MATCH($I$1,[2]enemies!$1:$1,0)+1,FALSE)</f>
        <v>パトドッグリーダー ポチ</v>
      </c>
      <c r="K27" s="27" t="str">
        <f ca="1">VLOOKUP($I27,OFFSET([2]enemies!$A$1,0,0,COUNTA([2]enemies!$A:$A),MATCH(K$1,[2]enemies!$1:$1,0)-MATCH($I$1,[2]enemies!$1:$1,0)+1),MATCH(K$1,[2]enemies!$1:$1,0)-MATCH($I$1,[2]enemies!$1:$1,0)+1,FALSE)</f>
        <v>blue</v>
      </c>
      <c r="L27" s="29" t="str">
        <f>VLOOKUP(I27,[3]characters!$A:$J,10,FALSE)</f>
        <v>Drop1T</v>
      </c>
      <c r="M27" s="27" t="str">
        <f ca="1">VLOOKUP($I27,OFFSET([2]enemies!$A$1,0,0,COUNTA([2]enemies!$A:$A),MATCH(M$1,[2]enemies!$1:$1,0)-MATCH($I$1,[2]enemies!$1:$1,0)+1),MATCH(M$1,[2]enemies!$1:$1,0)-MATCH($I$1,[2]enemies!$1:$1,0)+1,FALSE)</f>
        <v>unknown</v>
      </c>
      <c r="N27" s="27">
        <f ca="1">VLOOKUP($I27,OFFSET([2]enemies!$A$1,0,0,COUNTA([2]enemies!$A:$A),MATCH(N$1,[2]enemies!$1:$1,0)-MATCH($I$1,[2]enemies!$1:$1,0)+1),MATCH(N$1,[2]enemies!$1:$1,0)-MATCH($I$1,[2]enemies!$1:$1,0)+1,FALSE)</f>
        <v>15</v>
      </c>
      <c r="O27" s="6">
        <v>24</v>
      </c>
      <c r="P27" s="38">
        <v>2.2000000000000002</v>
      </c>
      <c r="Q27" s="38">
        <v>1</v>
      </c>
      <c r="R27" s="6">
        <v>0</v>
      </c>
      <c r="S27" s="5" t="str">
        <f ca="1">VLOOKUP($T27,OFFSET([4]enemy_skill_sets!$B$1,0,0,COUNTA([4]enemy_skill_sets!$B:$B),MATCH(J$1,[4]enemy_skill_sets!$1:$1,0)-MATCH($T$1,[4]enemy_skill_sets!$1:$1,0)+2),MATCH(J$1,[4]enemy_skill_sets!$1:$1,0)-MATCH($T$1,[4]enemy_skill_sets!$1:$1,0)+2,FALSE)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7" s="27">
        <f ca="1">VLOOKUP($I27,OFFSET([2]enemies!$A$1,0,0,COUNTA([2]enemies!$A:$A),MATCH(T$1,[2]enemies!$1:$1,0)-MATCH($I$1,[2]enemies!$1:$1,0)+1),MATCH(T$1,[2]enemies!$1:$1,0)-MATCH($I$1,[2]enemies!$1:$1,0)+1,FALSE)</f>
        <v>0</v>
      </c>
      <c r="U27" s="7">
        <v>0</v>
      </c>
      <c r="V27" s="7">
        <v>100</v>
      </c>
      <c r="W27" s="7">
        <v>0</v>
      </c>
      <c r="X27" s="27">
        <f ca="1">VLOOKUP($I27,OFFSET([2]enemies!$A$1,0,0,COUNTA([2]enemies!$A:$A),MATCH(X$1,[2]enemies!$1:$1,0)-MATCH($I$1,[2]enemies!$1:$1,0)+1),MATCH(X$1,[2]enemies!$1:$1,0)-MATCH($I$1,[2]enemies!$1:$1,0)+1,FALSE)</f>
        <v>3</v>
      </c>
      <c r="Y27" s="8">
        <v>6</v>
      </c>
      <c r="Z27" s="5" t="str">
        <f ca="1">IFERROR(VLOOKUP($Y27,OFFSET([3]characters!$A$1,0,0,COUNTA([3]characters!$A:$A),MATCH(Z$1,[3]characters!$1:$1,0)-MATCH("character_id",[3]characters!$1:$1,0)+1),MATCH(Z$1,[3]characters!$1:$1,0)-MATCH("character_id",[3]characters!$1:$1,0)+1,FALSE),"")</f>
        <v>パトドッグリーダー ポチ</v>
      </c>
      <c r="AA27" s="5">
        <f ca="1">IFERROR(VLOOKUP($Y27,OFFSET([3]characters!$A$1,0,0,COUNTA([3]characters!$A:$A),MATCH(AA$1,[3]characters!$1:$1,0)-MATCH("character_id",[3]characters!$1:$1,0)+1),MATCH(AA$1,[3]characters!$1:$1,0)-MATCH("character_id",[3]characters!$1:$1,0)+1,FALSE),"")</f>
        <v>2</v>
      </c>
      <c r="AB27" s="5" t="str">
        <f ca="1">IFERROR(VLOOKUP($Y27,OFFSET([3]characters!$A$1,0,0,COUNTA([3]characters!$A:$A),MATCH(AB$1,[3]characters!$1:$1,0)-MATCH("character_id",[3]characters!$1:$1,0)+1),MATCH(AB$1,[3]characters!$1:$1,0)-MATCH("character_id",[3]characters!$1:$1,0)+1,FALSE),"")</f>
        <v>Drop1T</v>
      </c>
      <c r="AC27" s="9">
        <v>6</v>
      </c>
      <c r="AD27" s="35">
        <f ca="1">AA27</f>
        <v>2</v>
      </c>
      <c r="AE27" s="10">
        <v>10</v>
      </c>
      <c r="AF27" s="9">
        <v>0</v>
      </c>
      <c r="AG27" s="9">
        <v>0</v>
      </c>
      <c r="AH27" s="9">
        <v>0</v>
      </c>
      <c r="AI27" s="9">
        <v>0</v>
      </c>
      <c r="AJ27" s="9">
        <v>1</v>
      </c>
    </row>
    <row r="28" spans="1:36" ht="21" customHeight="1" x14ac:dyDescent="0.15">
      <c r="A28" s="22" t="str">
        <f t="shared" ref="A28:A29" ca="1" si="28">B28&amp;"_"&amp;C28&amp;"-"&amp;G28&amp;"/"&amp;I28&amp;"&lt;lv"&amp;O28&amp;"&gt;s"&amp;X28</f>
        <v>20003_2-1/17&lt;lv26&gt;s2</v>
      </c>
      <c r="B28" s="33">
        <v>20003</v>
      </c>
      <c r="C28" s="32">
        <v>2</v>
      </c>
      <c r="D28" s="2" t="str">
        <f t="shared" ref="D28:D29" si="29">B28&amp;"_"&amp;C28</f>
        <v>20003_2</v>
      </c>
      <c r="E28" s="5" t="str">
        <f ca="1">VLOOKUP($B28,OFFSET([1]quests!$A$1,0,0,COUNTA([1]quests!$A:$A),MATCH(E$1,[1]quests!$1:$1,0)-MATCH($B$1,[1]quests!$1:$1,0)+1),MATCH(E$1,[1]quests!$1:$1,0)-MATCH($B$1,[1]quests!$1:$1,0)+1,FALSE)</f>
        <v>忍び寄る短剣</v>
      </c>
      <c r="F28" s="5" t="str">
        <f ca="1">VLOOKUP($D28,OFFSET([1]stages!$A$1,0,0,COUNTA([1]stages!$A:$A),MATCH(F$1,[1]stages!$2:$2,0)-MATCH($D$1,[1]stages!$2:$2,0)+1),MATCH(F$1,[1]stages!$2:$2,0)-MATCH($D$1,[1]stages!$2:$2,0)+1,FALSE)</f>
        <v xml:space="preserve">【中級】忍び寄る短剣 </v>
      </c>
      <c r="G28" s="32">
        <v>1</v>
      </c>
      <c r="H28" s="21" t="str">
        <f t="shared" ref="H28:H29" si="30">B28&amp;"_"&amp;C28&amp;"-"&amp;G28</f>
        <v>20003_2-1</v>
      </c>
      <c r="I28" s="31">
        <v>17</v>
      </c>
      <c r="J28" s="27" t="str">
        <f ca="1">VLOOKUP($I28,OFFSET([2]enemies!$A$1,0,0,COUNTA([2]enemies!$A:$A),MATCH(J$1,[2]enemies!$1:$1,0)-MATCH($I$1,[2]enemies!$1:$1,0)+1),MATCH(J$1,[2]enemies!$1:$1,0)-MATCH($I$1,[2]enemies!$1:$1,0)+1,FALSE)</f>
        <v>リム</v>
      </c>
      <c r="K28" s="27" t="str">
        <f ca="1">VLOOKUP($I28,OFFSET([2]enemies!$A$1,0,0,COUNTA([2]enemies!$A:$A),MATCH(K$1,[2]enemies!$1:$1,0)-MATCH($I$1,[2]enemies!$1:$1,0)+1),MATCH(K$1,[2]enemies!$1:$1,0)-MATCH($I$1,[2]enemies!$1:$1,0)+1,FALSE)</f>
        <v>blue</v>
      </c>
      <c r="L28" s="29" t="str">
        <f>VLOOKUP(I28,[3]characters!$A:$J,10,FALSE)</f>
        <v>Drop1W</v>
      </c>
      <c r="M28" s="27" t="str">
        <f ca="1">VLOOKUP($I28,OFFSET([2]enemies!$A$1,0,0,COUNTA([2]enemies!$A:$A),MATCH(M$1,[2]enemies!$1:$1,0)-MATCH($I$1,[2]enemies!$1:$1,0)+1),MATCH(M$1,[2]enemies!$1:$1,0)-MATCH($I$1,[2]enemies!$1:$1,0)+1,FALSE)</f>
        <v>human</v>
      </c>
      <c r="N28" s="27">
        <f ca="1">VLOOKUP($I28,OFFSET([2]enemies!$A$1,0,0,COUNTA([2]enemies!$A:$A),MATCH(N$1,[2]enemies!$1:$1,0)-MATCH($I$1,[2]enemies!$1:$1,0)+1),MATCH(N$1,[2]enemies!$1:$1,0)-MATCH($I$1,[2]enemies!$1:$1,0)+1,FALSE)</f>
        <v>15</v>
      </c>
      <c r="O28" s="6">
        <v>26</v>
      </c>
      <c r="P28" s="38">
        <v>2.2000000000000002</v>
      </c>
      <c r="Q28" s="38">
        <v>1</v>
      </c>
      <c r="R28" s="6">
        <v>0</v>
      </c>
      <c r="S28" s="5" t="str">
        <f ca="1">VLOOKUP($T28,OFFSET([4]enemy_skill_sets!$B$1,0,0,COUNTA([4]enemy_skill_sets!$B:$B),MATCH(J$1,[4]enemy_skill_sets!$1:$1,0)-MATCH($T$1,[4]enemy_skill_sets!$1:$1,0)+2),MATCH(J$1,[4]enemy_skill_sets!$1:$1,0)-MATCH($T$1,[4]enemy_skill_sets!$1:$1,0)+2,FALSE)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8" s="27">
        <f ca="1">VLOOKUP($I28,OFFSET([2]enemies!$A$1,0,0,COUNTA([2]enemies!$A:$A),MATCH(T$1,[2]enemies!$1:$1,0)-MATCH($I$1,[2]enemies!$1:$1,0)+1),MATCH(T$1,[2]enemies!$1:$1,0)-MATCH($I$1,[2]enemies!$1:$1,0)+1,FALSE)</f>
        <v>0</v>
      </c>
      <c r="U28" s="7">
        <v>0</v>
      </c>
      <c r="V28" s="7">
        <v>100</v>
      </c>
      <c r="W28" s="7">
        <v>0</v>
      </c>
      <c r="X28" s="27">
        <f ca="1">VLOOKUP($I28,OFFSET([2]enemies!$A$1,0,0,COUNTA([2]enemies!$A:$A),MATCH(X$1,[2]enemies!$1:$1,0)-MATCH($I$1,[2]enemies!$1:$1,0)+1),MATCH(X$1,[2]enemies!$1:$1,0)-MATCH($I$1,[2]enemies!$1:$1,0)+1,FALSE)</f>
        <v>2</v>
      </c>
      <c r="Y28" s="8">
        <v>17</v>
      </c>
      <c r="Z28" s="5" t="str">
        <f ca="1">IFERROR(VLOOKUP($Y28,OFFSET([3]characters!$A$1,0,0,COUNTA([3]characters!$A:$A),MATCH(Z$1,[3]characters!$1:$1,0)-MATCH("character_id",[3]characters!$1:$1,0)+1),MATCH(Z$1,[3]characters!$1:$1,0)-MATCH("character_id",[3]characters!$1:$1,0)+1,FALSE),"")</f>
        <v>リム</v>
      </c>
      <c r="AA28" s="5">
        <f ca="1">IFERROR(VLOOKUP($Y28,OFFSET([3]characters!$A$1,0,0,COUNTA([3]characters!$A:$A),MATCH(AA$1,[3]characters!$1:$1,0)-MATCH("character_id",[3]characters!$1:$1,0)+1),MATCH(AA$1,[3]characters!$1:$1,0)-MATCH("character_id",[3]characters!$1:$1,0)+1,FALSE),"")</f>
        <v>1</v>
      </c>
      <c r="AB28" s="5" t="str">
        <f ca="1">IFERROR(VLOOKUP($Y28,OFFSET([3]characters!$A$1,0,0,COUNTA([3]characters!$A:$A),MATCH(AB$1,[3]characters!$1:$1,0)-MATCH("character_id",[3]characters!$1:$1,0)+1),MATCH(AB$1,[3]characters!$1:$1,0)-MATCH("character_id",[3]characters!$1:$1,0)+1,FALSE),"")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28" s="9">
        <v>4</v>
      </c>
      <c r="AD28" s="35">
        <f t="shared" ref="AD28:AD29" ca="1" si="31">AA28</f>
        <v>1</v>
      </c>
      <c r="AE28" s="10">
        <v>15</v>
      </c>
      <c r="AF28" s="9">
        <v>0</v>
      </c>
      <c r="AG28" s="9">
        <v>0</v>
      </c>
      <c r="AH28" s="9">
        <v>0</v>
      </c>
      <c r="AI28" s="9">
        <v>0</v>
      </c>
      <c r="AJ28" s="9">
        <v>1</v>
      </c>
    </row>
    <row r="29" spans="1:36" ht="21" customHeight="1" x14ac:dyDescent="0.15">
      <c r="A29" s="22" t="str">
        <f t="shared" ca="1" si="28"/>
        <v>20003_2-1/25&lt;lv26&gt;s3</v>
      </c>
      <c r="B29" s="33">
        <v>20003</v>
      </c>
      <c r="C29" s="32">
        <v>2</v>
      </c>
      <c r="D29" s="2" t="str">
        <f t="shared" si="29"/>
        <v>20003_2</v>
      </c>
      <c r="E29" s="5" t="str">
        <f ca="1">VLOOKUP($B29,OFFSET([1]quests!$A$1,0,0,COUNTA([1]quests!$A:$A),MATCH(E$1,[1]quests!$1:$1,0)-MATCH($B$1,[1]quests!$1:$1,0)+1),MATCH(E$1,[1]quests!$1:$1,0)-MATCH($B$1,[1]quests!$1:$1,0)+1,FALSE)</f>
        <v>忍び寄る短剣</v>
      </c>
      <c r="F29" s="5" t="str">
        <f ca="1">VLOOKUP($D29,OFFSET([1]stages!$A$1,0,0,COUNTA([1]stages!$A:$A),MATCH(F$1,[1]stages!$2:$2,0)-MATCH($D$1,[1]stages!$2:$2,0)+1),MATCH(F$1,[1]stages!$2:$2,0)-MATCH($D$1,[1]stages!$2:$2,0)+1,FALSE)</f>
        <v xml:space="preserve">【中級】忍び寄る短剣 </v>
      </c>
      <c r="G29" s="32">
        <v>1</v>
      </c>
      <c r="H29" s="21" t="str">
        <f t="shared" si="30"/>
        <v>20003_2-1</v>
      </c>
      <c r="I29" s="31">
        <v>25</v>
      </c>
      <c r="J29" s="27" t="str">
        <f ca="1">VLOOKUP($I29,OFFSET([2]enemies!$A$1,0,0,COUNTA([2]enemies!$A:$A),MATCH(J$1,[2]enemies!$1:$1,0)-MATCH($I$1,[2]enemies!$1:$1,0)+1),MATCH(J$1,[2]enemies!$1:$1,0)-MATCH($I$1,[2]enemies!$1:$1,0)+1,FALSE)</f>
        <v>ハチ</v>
      </c>
      <c r="K29" s="27" t="str">
        <f ca="1">VLOOKUP($I29,OFFSET([2]enemies!$A$1,0,0,COUNTA([2]enemies!$A:$A),MATCH(K$1,[2]enemies!$1:$1,0)-MATCH($I$1,[2]enemies!$1:$1,0)+1),MATCH(K$1,[2]enemies!$1:$1,0)-MATCH($I$1,[2]enemies!$1:$1,0)+1,FALSE)</f>
        <v>blue</v>
      </c>
      <c r="L29" s="29" t="str">
        <f>VLOOKUP(I29,[3]characters!$A:$J,10,FALSE)</f>
        <v>Drop1N</v>
      </c>
      <c r="M29" s="27" t="str">
        <f ca="1">VLOOKUP($I29,OFFSET([2]enemies!$A$1,0,0,COUNTA([2]enemies!$A:$A),MATCH(M$1,[2]enemies!$1:$1,0)-MATCH($I$1,[2]enemies!$1:$1,0)+1),MATCH(M$1,[2]enemies!$1:$1,0)-MATCH($I$1,[2]enemies!$1:$1,0)+1,FALSE)</f>
        <v>animal</v>
      </c>
      <c r="N29" s="27">
        <f ca="1">VLOOKUP($I29,OFFSET([2]enemies!$A$1,0,0,COUNTA([2]enemies!$A:$A),MATCH(N$1,[2]enemies!$1:$1,0)-MATCH($I$1,[2]enemies!$1:$1,0)+1),MATCH(N$1,[2]enemies!$1:$1,0)-MATCH($I$1,[2]enemies!$1:$1,0)+1,FALSE)</f>
        <v>15</v>
      </c>
      <c r="O29" s="6">
        <v>26</v>
      </c>
      <c r="P29" s="38">
        <v>2.2000000000000002</v>
      </c>
      <c r="Q29" s="38">
        <v>1</v>
      </c>
      <c r="R29" s="6">
        <v>0</v>
      </c>
      <c r="S29" s="5" t="str">
        <f ca="1">VLOOKUP($T29,OFFSET([4]enemy_skill_sets!$B$1,0,0,COUNTA([4]enemy_skill_sets!$B:$B),MATCH(J$1,[4]enemy_skill_sets!$1:$1,0)-MATCH($T$1,[4]enemy_skill_sets!$1:$1,0)+2),MATCH(J$1,[4]enemy_skill_sets!$1:$1,0)-MATCH($T$1,[4]enemy_skill_sets!$1:$1,0)+2,FALSE)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29" s="27">
        <f ca="1">VLOOKUP($I29,OFFSET([2]enemies!$A$1,0,0,COUNTA([2]enemies!$A:$A),MATCH(T$1,[2]enemies!$1:$1,0)-MATCH($I$1,[2]enemies!$1:$1,0)+1),MATCH(T$1,[2]enemies!$1:$1,0)-MATCH($I$1,[2]enemies!$1:$1,0)+1,FALSE)</f>
        <v>0</v>
      </c>
      <c r="U29" s="7">
        <v>0</v>
      </c>
      <c r="V29" s="7">
        <v>100</v>
      </c>
      <c r="W29" s="7">
        <v>0</v>
      </c>
      <c r="X29" s="27">
        <f ca="1">VLOOKUP($I29,OFFSET([2]enemies!$A$1,0,0,COUNTA([2]enemies!$A:$A),MATCH(X$1,[2]enemies!$1:$1,0)-MATCH($I$1,[2]enemies!$1:$1,0)+1),MATCH(X$1,[2]enemies!$1:$1,0)-MATCH($I$1,[2]enemies!$1:$1,0)+1,FALSE)</f>
        <v>3</v>
      </c>
      <c r="Y29" s="8">
        <v>25</v>
      </c>
      <c r="Z29" s="5" t="str">
        <f ca="1">IFERROR(VLOOKUP($Y29,OFFSET([3]characters!$A$1,0,0,COUNTA([3]characters!$A:$A),MATCH(Z$1,[3]characters!$1:$1,0)-MATCH("character_id",[3]characters!$1:$1,0)+1),MATCH(Z$1,[3]characters!$1:$1,0)-MATCH("character_id",[3]characters!$1:$1,0)+1,FALSE),"")</f>
        <v>ハチ</v>
      </c>
      <c r="AA29" s="5">
        <f ca="1">IFERROR(VLOOKUP($Y29,OFFSET([3]characters!$A$1,0,0,COUNTA([3]characters!$A:$A),MATCH(AA$1,[3]characters!$1:$1,0)-MATCH("character_id",[3]characters!$1:$1,0)+1),MATCH(AA$1,[3]characters!$1:$1,0)-MATCH("character_id",[3]characters!$1:$1,0)+1,FALSE),"")</f>
        <v>1</v>
      </c>
      <c r="AB29" s="5" t="str">
        <f ca="1">IFERROR(VLOOKUP($Y29,OFFSET([3]characters!$A$1,0,0,COUNTA([3]characters!$A:$A),MATCH(AB$1,[3]characters!$1:$1,0)-MATCH("character_id",[3]characters!$1:$1,0)+1),MATCH(AB$1,[3]characters!$1:$1,0)-MATCH("character_id",[3]characters!$1:$1,0)+1,FALSE),"")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29" s="9">
        <v>2</v>
      </c>
      <c r="AD29" s="35">
        <f t="shared" ca="1" si="31"/>
        <v>1</v>
      </c>
      <c r="AE29" s="10">
        <v>15</v>
      </c>
      <c r="AF29" s="9">
        <v>0</v>
      </c>
      <c r="AG29" s="9">
        <v>0</v>
      </c>
      <c r="AH29" s="9">
        <v>0</v>
      </c>
      <c r="AI29" s="9">
        <v>0</v>
      </c>
      <c r="AJ29" s="9">
        <v>1</v>
      </c>
    </row>
    <row r="30" spans="1:36" ht="21" customHeight="1" x14ac:dyDescent="0.15">
      <c r="A30" s="22" t="str">
        <f t="shared" ref="A30:A31" ca="1" si="32">B30&amp;"_"&amp;C30&amp;"-"&amp;G30&amp;"/"&amp;I30&amp;"&lt;lv"&amp;O30&amp;"&gt;s"&amp;X30</f>
        <v>20003_2-1/45&lt;lv26&gt;s3</v>
      </c>
      <c r="B30" s="33">
        <v>20003</v>
      </c>
      <c r="C30" s="32">
        <v>2</v>
      </c>
      <c r="D30" s="2" t="str">
        <f t="shared" ref="D30:D31" si="33">B30&amp;"_"&amp;C30</f>
        <v>20003_2</v>
      </c>
      <c r="E30" s="5" t="str">
        <f ca="1">VLOOKUP($B30,OFFSET([1]quests!$A$1,0,0,COUNTA([1]quests!$A:$A),MATCH(E$1,[1]quests!$1:$1,0)-MATCH($B$1,[1]quests!$1:$1,0)+1),MATCH(E$1,[1]quests!$1:$1,0)-MATCH($B$1,[1]quests!$1:$1,0)+1,FALSE)</f>
        <v>忍び寄る短剣</v>
      </c>
      <c r="F30" s="5" t="str">
        <f ca="1">VLOOKUP($D30,OFFSET([1]stages!$A$1,0,0,COUNTA([1]stages!$A:$A),MATCH(F$1,[1]stages!$2:$2,0)-MATCH($D$1,[1]stages!$2:$2,0)+1),MATCH(F$1,[1]stages!$2:$2,0)-MATCH($D$1,[1]stages!$2:$2,0)+1,FALSE)</f>
        <v xml:space="preserve">【中級】忍び寄る短剣 </v>
      </c>
      <c r="G30" s="32">
        <v>1</v>
      </c>
      <c r="H30" s="21" t="str">
        <f t="shared" ref="H30:H31" si="34">B30&amp;"_"&amp;C30&amp;"-"&amp;G30</f>
        <v>20003_2-1</v>
      </c>
      <c r="I30" s="31">
        <v>45</v>
      </c>
      <c r="J30" s="27" t="str">
        <f ca="1">VLOOKUP($I30,OFFSET([2]enemies!$A$1,0,0,COUNTA([2]enemies!$A:$A),MATCH(J$1,[2]enemies!$1:$1,0)-MATCH($I$1,[2]enemies!$1:$1,0)+1),MATCH(J$1,[2]enemies!$1:$1,0)-MATCH($I$1,[2]enemies!$1:$1,0)+1,FALSE)</f>
        <v>ショウイン</v>
      </c>
      <c r="K30" s="27" t="str">
        <f ca="1">VLOOKUP($I30,OFFSET([2]enemies!$A$1,0,0,COUNTA([2]enemies!$A:$A),MATCH(K$1,[2]enemies!$1:$1,0)-MATCH($I$1,[2]enemies!$1:$1,0)+1),MATCH(K$1,[2]enemies!$1:$1,0)-MATCH($I$1,[2]enemies!$1:$1,0)+1,FALSE)</f>
        <v>blue</v>
      </c>
      <c r="L30" s="29" t="str">
        <f>VLOOKUP(I30,[3]characters!$A:$J,10,FALSE)</f>
        <v>Drop1N</v>
      </c>
      <c r="M30" s="27" t="str">
        <f ca="1">VLOOKUP($I30,OFFSET([2]enemies!$A$1,0,0,COUNTA([2]enemies!$A:$A),MATCH(M$1,[2]enemies!$1:$1,0)-MATCH($I$1,[2]enemies!$1:$1,0)+1),MATCH(M$1,[2]enemies!$1:$1,0)-MATCH($I$1,[2]enemies!$1:$1,0)+1,FALSE)</f>
        <v>animal</v>
      </c>
      <c r="N30" s="27">
        <f ca="1">VLOOKUP($I30,OFFSET([2]enemies!$A$1,0,0,COUNTA([2]enemies!$A:$A),MATCH(N$1,[2]enemies!$1:$1,0)-MATCH($I$1,[2]enemies!$1:$1,0)+1),MATCH(N$1,[2]enemies!$1:$1,0)-MATCH($I$1,[2]enemies!$1:$1,0)+1,FALSE)</f>
        <v>15</v>
      </c>
      <c r="O30" s="6">
        <v>26</v>
      </c>
      <c r="P30" s="38">
        <v>2.2000000000000002</v>
      </c>
      <c r="Q30" s="38">
        <v>1</v>
      </c>
      <c r="R30" s="6">
        <v>0</v>
      </c>
      <c r="S30" s="5" t="str">
        <f ca="1">VLOOKUP($T30,OFFSET([4]enemy_skill_sets!$B$1,0,0,COUNTA([4]enemy_skill_sets!$B:$B),MATCH(J$1,[4]enemy_skill_sets!$1:$1,0)-MATCH($T$1,[4]enemy_skill_sets!$1:$1,0)+2),MATCH(J$1,[4]enemy_skill_sets!$1:$1,0)-MATCH($T$1,[4]enemy_skill_sets!$1:$1,0)+2,FALSE)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0" s="27">
        <f ca="1">VLOOKUP($I30,OFFSET([2]enemies!$A$1,0,0,COUNTA([2]enemies!$A:$A),MATCH(T$1,[2]enemies!$1:$1,0)-MATCH($I$1,[2]enemies!$1:$1,0)+1),MATCH(T$1,[2]enemies!$1:$1,0)-MATCH($I$1,[2]enemies!$1:$1,0)+1,FALSE)</f>
        <v>0</v>
      </c>
      <c r="U30" s="7">
        <v>0</v>
      </c>
      <c r="V30" s="7">
        <v>100</v>
      </c>
      <c r="W30" s="7">
        <v>0</v>
      </c>
      <c r="X30" s="27">
        <f ca="1">VLOOKUP($I30,OFFSET([2]enemies!$A$1,0,0,COUNTA([2]enemies!$A:$A),MATCH(X$1,[2]enemies!$1:$1,0)-MATCH($I$1,[2]enemies!$1:$1,0)+1),MATCH(X$1,[2]enemies!$1:$1,0)-MATCH($I$1,[2]enemies!$1:$1,0)+1,FALSE)</f>
        <v>3</v>
      </c>
      <c r="Y30" s="8">
        <v>45</v>
      </c>
      <c r="Z30" s="5" t="str">
        <f ca="1">IFERROR(VLOOKUP($Y30,OFFSET([3]characters!$A$1,0,0,COUNTA([3]characters!$A:$A),MATCH(Z$1,[3]characters!$1:$1,0)-MATCH("character_id",[3]characters!$1:$1,0)+1),MATCH(Z$1,[3]characters!$1:$1,0)-MATCH("character_id",[3]characters!$1:$1,0)+1,FALSE),"")</f>
        <v>ショウイン</v>
      </c>
      <c r="AA30" s="5">
        <f ca="1">IFERROR(VLOOKUP($Y30,OFFSET([3]characters!$A$1,0,0,COUNTA([3]characters!$A:$A),MATCH(AA$1,[3]characters!$1:$1,0)-MATCH("character_id",[3]characters!$1:$1,0)+1),MATCH(AA$1,[3]characters!$1:$1,0)-MATCH("character_id",[3]characters!$1:$1,0)+1,FALSE),"")</f>
        <v>2</v>
      </c>
      <c r="AB30" s="5" t="str">
        <f ca="1">IFERROR(VLOOKUP($Y30,OFFSET([3]characters!$A$1,0,0,COUNTA([3]characters!$A:$A),MATCH(AB$1,[3]characters!$1:$1,0)-MATCH("character_id",[3]characters!$1:$1,0)+1),MATCH(AB$1,[3]characters!$1:$1,0)-MATCH("character_id",[3]characters!$1:$1,0)+1,FALSE),"")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0" s="9">
        <v>2</v>
      </c>
      <c r="AD30" s="35">
        <f t="shared" ref="AD30:AD31" ca="1" si="35">AA30</f>
        <v>2</v>
      </c>
      <c r="AE30" s="10">
        <v>15</v>
      </c>
      <c r="AF30" s="9">
        <v>0</v>
      </c>
      <c r="AG30" s="9">
        <v>0</v>
      </c>
      <c r="AH30" s="9">
        <v>0</v>
      </c>
      <c r="AI30" s="9">
        <v>0</v>
      </c>
      <c r="AJ30" s="9">
        <v>1</v>
      </c>
    </row>
    <row r="31" spans="1:36" ht="21" customHeight="1" x14ac:dyDescent="0.15">
      <c r="A31" s="22" t="str">
        <f t="shared" ca="1" si="32"/>
        <v>20003_2-1/71&lt;lv26&gt;s4</v>
      </c>
      <c r="B31" s="33">
        <v>20003</v>
      </c>
      <c r="C31" s="32">
        <v>2</v>
      </c>
      <c r="D31" s="2" t="str">
        <f t="shared" si="33"/>
        <v>20003_2</v>
      </c>
      <c r="E31" s="5" t="str">
        <f ca="1">VLOOKUP($B31,OFFSET([1]quests!$A$1,0,0,COUNTA([1]quests!$A:$A),MATCH(E$1,[1]quests!$1:$1,0)-MATCH($B$1,[1]quests!$1:$1,0)+1),MATCH(E$1,[1]quests!$1:$1,0)-MATCH($B$1,[1]quests!$1:$1,0)+1,FALSE)</f>
        <v>忍び寄る短剣</v>
      </c>
      <c r="F31" s="5" t="str">
        <f ca="1">VLOOKUP($D31,OFFSET([1]stages!$A$1,0,0,COUNTA([1]stages!$A:$A),MATCH(F$1,[1]stages!$2:$2,0)-MATCH($D$1,[1]stages!$2:$2,0)+1),MATCH(F$1,[1]stages!$2:$2,0)-MATCH($D$1,[1]stages!$2:$2,0)+1,FALSE)</f>
        <v xml:space="preserve">【中級】忍び寄る短剣 </v>
      </c>
      <c r="G31" s="32">
        <v>1</v>
      </c>
      <c r="H31" s="21" t="str">
        <f t="shared" si="34"/>
        <v>20003_2-1</v>
      </c>
      <c r="I31" s="31">
        <v>71</v>
      </c>
      <c r="J31" s="27" t="str">
        <f ca="1">VLOOKUP($I31,OFFSET([2]enemies!$A$1,0,0,COUNTA([2]enemies!$A:$A),MATCH(J$1,[2]enemies!$1:$1,0)-MATCH($I$1,[2]enemies!$1:$1,0)+1),MATCH(J$1,[2]enemies!$1:$1,0)-MATCH($I$1,[2]enemies!$1:$1,0)+1,FALSE)</f>
        <v>ダックス</v>
      </c>
      <c r="K31" s="27" t="str">
        <f ca="1">VLOOKUP($I31,OFFSET([2]enemies!$A$1,0,0,COUNTA([2]enemies!$A:$A),MATCH(K$1,[2]enemies!$1:$1,0)-MATCH($I$1,[2]enemies!$1:$1,0)+1),MATCH(K$1,[2]enemies!$1:$1,0)-MATCH($I$1,[2]enemies!$1:$1,0)+1,FALSE)</f>
        <v>blue</v>
      </c>
      <c r="L31" s="29" t="str">
        <f>VLOOKUP(I31,[3]characters!$A:$J,10,FALSE)</f>
        <v>Drop1S</v>
      </c>
      <c r="M31" s="27" t="str">
        <f ca="1">VLOOKUP($I31,OFFSET([2]enemies!$A$1,0,0,COUNTA([2]enemies!$A:$A),MATCH(M$1,[2]enemies!$1:$1,0)-MATCH($I$1,[2]enemies!$1:$1,0)+1),MATCH(M$1,[2]enemies!$1:$1,0)-MATCH($I$1,[2]enemies!$1:$1,0)+1,FALSE)</f>
        <v>animal</v>
      </c>
      <c r="N31" s="27">
        <f ca="1">VLOOKUP($I31,OFFSET([2]enemies!$A$1,0,0,COUNTA([2]enemies!$A:$A),MATCH(N$1,[2]enemies!$1:$1,0)-MATCH($I$1,[2]enemies!$1:$1,0)+1),MATCH(N$1,[2]enemies!$1:$1,0)-MATCH($I$1,[2]enemies!$1:$1,0)+1,FALSE)</f>
        <v>15</v>
      </c>
      <c r="O31" s="6">
        <v>26</v>
      </c>
      <c r="P31" s="38">
        <v>2.2000000000000002</v>
      </c>
      <c r="Q31" s="38">
        <v>0.8</v>
      </c>
      <c r="R31" s="6">
        <v>0</v>
      </c>
      <c r="S31" s="5" t="str">
        <f ca="1">VLOOKUP($T31,OFFSET([4]enemy_skill_sets!$B$1,0,0,COUNTA([4]enemy_skill_sets!$B:$B),MATCH(J$1,[4]enemy_skill_sets!$1:$1,0)-MATCH($T$1,[4]enemy_skill_sets!$1:$1,0)+2),MATCH(J$1,[4]enemy_skill_sets!$1:$1,0)-MATCH($T$1,[4]enemy_skill_sets!$1:$1,0)+2,FALSE)</f>
        <v>3ターン攻撃頻度が1ターンにUP</v>
      </c>
      <c r="T31" s="27">
        <f ca="1">VLOOKUP($I31,OFFSET([2]enemies!$A$1,0,0,COUNTA([2]enemies!$A:$A),MATCH(T$1,[2]enemies!$1:$1,0)-MATCH($I$1,[2]enemies!$1:$1,0)+1),MATCH(T$1,[2]enemies!$1:$1,0)-MATCH($I$1,[2]enemies!$1:$1,0)+1,FALSE)</f>
        <v>71</v>
      </c>
      <c r="U31" s="7">
        <v>0</v>
      </c>
      <c r="V31" s="7">
        <v>100</v>
      </c>
      <c r="W31" s="7">
        <v>0</v>
      </c>
      <c r="X31" s="27">
        <f ca="1">VLOOKUP($I31,OFFSET([2]enemies!$A$1,0,0,COUNTA([2]enemies!$A:$A),MATCH(X$1,[2]enemies!$1:$1,0)-MATCH($I$1,[2]enemies!$1:$1,0)+1),MATCH(X$1,[2]enemies!$1:$1,0)-MATCH($I$1,[2]enemies!$1:$1,0)+1,FALSE)</f>
        <v>4</v>
      </c>
      <c r="Y31" s="8">
        <v>71</v>
      </c>
      <c r="Z31" s="5" t="str">
        <f ca="1">IFERROR(VLOOKUP($Y31,OFFSET([3]characters!$A$1,0,0,COUNTA([3]characters!$A:$A),MATCH(Z$1,[3]characters!$1:$1,0)-MATCH("character_id",[3]characters!$1:$1,0)+1),MATCH(Z$1,[3]characters!$1:$1,0)-MATCH("character_id",[3]characters!$1:$1,0)+1,FALSE),"")</f>
        <v>ダックス</v>
      </c>
      <c r="AA31" s="5">
        <f ca="1">IFERROR(VLOOKUP($Y31,OFFSET([3]characters!$A$1,0,0,COUNTA([3]characters!$A:$A),MATCH(AA$1,[3]characters!$1:$1,0)-MATCH("character_id",[3]characters!$1:$1,0)+1),MATCH(AA$1,[3]characters!$1:$1,0)-MATCH("character_id",[3]characters!$1:$1,0)+1,FALSE),"")</f>
        <v>2</v>
      </c>
      <c r="AB31" s="5" t="str">
        <f ca="1">IFERROR(VLOOKUP($Y31,OFFSET([3]characters!$A$1,0,0,COUNTA([3]characters!$A:$A),MATCH(AB$1,[3]characters!$1:$1,0)-MATCH("character_id",[3]characters!$1:$1,0)+1),MATCH(AB$1,[3]characters!$1:$1,0)-MATCH("character_id",[3]characters!$1:$1,0)+1,FALSE),"")</f>
        <v>Drop1S</v>
      </c>
      <c r="AC31" s="9">
        <v>1</v>
      </c>
      <c r="AD31" s="35">
        <f t="shared" ca="1" si="35"/>
        <v>2</v>
      </c>
      <c r="AE31" s="10">
        <v>10</v>
      </c>
      <c r="AF31" s="9">
        <v>0</v>
      </c>
      <c r="AG31" s="9">
        <v>0</v>
      </c>
      <c r="AH31" s="9">
        <v>0</v>
      </c>
      <c r="AI31" s="9">
        <v>0</v>
      </c>
      <c r="AJ31" s="9">
        <v>1</v>
      </c>
    </row>
    <row r="32" spans="1:36" ht="21" customHeight="1" x14ac:dyDescent="0.15">
      <c r="A32" s="22" t="str">
        <f ca="1">B32&amp;"_"&amp;C32&amp;"-"&amp;G32&amp;"/"&amp;I32&amp;"&lt;lv"&amp;O32&amp;"&gt;s"&amp;X32</f>
        <v>20003_2-2/6&lt;lv26&gt;s3</v>
      </c>
      <c r="B32" s="33">
        <v>20003</v>
      </c>
      <c r="C32" s="32">
        <v>2</v>
      </c>
      <c r="D32" s="2" t="str">
        <f>B32&amp;"_"&amp;C32</f>
        <v>20003_2</v>
      </c>
      <c r="E32" s="5" t="str">
        <f ca="1">VLOOKUP($B32,OFFSET([1]quests!$A$1,0,0,COUNTA([1]quests!$A:$A),MATCH(E$1,[1]quests!$1:$1,0)-MATCH($B$1,[1]quests!$1:$1,0)+1),MATCH(E$1,[1]quests!$1:$1,0)-MATCH($B$1,[1]quests!$1:$1,0)+1,FALSE)</f>
        <v>忍び寄る短剣</v>
      </c>
      <c r="F32" s="5" t="str">
        <f ca="1">VLOOKUP($D32,OFFSET([1]stages!$A$1,0,0,COUNTA([1]stages!$A:$A),MATCH(F$1,[1]stages!$2:$2,0)-MATCH($D$1,[1]stages!$2:$2,0)+1),MATCH(F$1,[1]stages!$2:$2,0)-MATCH($D$1,[1]stages!$2:$2,0)+1,FALSE)</f>
        <v xml:space="preserve">【中級】忍び寄る短剣 </v>
      </c>
      <c r="G32" s="36">
        <v>2</v>
      </c>
      <c r="H32" s="21" t="str">
        <f>B32&amp;"_"&amp;C32&amp;"-"&amp;G32</f>
        <v>20003_2-2</v>
      </c>
      <c r="I32" s="31">
        <v>6</v>
      </c>
      <c r="J32" s="27" t="str">
        <f ca="1">VLOOKUP($I32,OFFSET([2]enemies!$A$1,0,0,COUNTA([2]enemies!$A:$A),MATCH(J$1,[2]enemies!$1:$1,0)-MATCH($I$1,[2]enemies!$1:$1,0)+1),MATCH(J$1,[2]enemies!$1:$1,0)-MATCH($I$1,[2]enemies!$1:$1,0)+1,FALSE)</f>
        <v>パトドッグリーダー ポチ</v>
      </c>
      <c r="K32" s="27" t="str">
        <f ca="1">VLOOKUP($I32,OFFSET([2]enemies!$A$1,0,0,COUNTA([2]enemies!$A:$A),MATCH(K$1,[2]enemies!$1:$1,0)-MATCH($I$1,[2]enemies!$1:$1,0)+1),MATCH(K$1,[2]enemies!$1:$1,0)-MATCH($I$1,[2]enemies!$1:$1,0)+1,FALSE)</f>
        <v>blue</v>
      </c>
      <c r="L32" s="29" t="str">
        <f>VLOOKUP(I32,[3]characters!$A:$J,10,FALSE)</f>
        <v>Drop1T</v>
      </c>
      <c r="M32" s="27" t="str">
        <f ca="1">VLOOKUP($I32,OFFSET([2]enemies!$A$1,0,0,COUNTA([2]enemies!$A:$A),MATCH(M$1,[2]enemies!$1:$1,0)-MATCH($I$1,[2]enemies!$1:$1,0)+1),MATCH(M$1,[2]enemies!$1:$1,0)-MATCH($I$1,[2]enemies!$1:$1,0)+1,FALSE)</f>
        <v>unknown</v>
      </c>
      <c r="N32" s="27">
        <f ca="1">VLOOKUP($I32,OFFSET([2]enemies!$A$1,0,0,COUNTA([2]enemies!$A:$A),MATCH(N$1,[2]enemies!$1:$1,0)-MATCH($I$1,[2]enemies!$1:$1,0)+1),MATCH(N$1,[2]enemies!$1:$1,0)-MATCH($I$1,[2]enemies!$1:$1,0)+1,FALSE)</f>
        <v>15</v>
      </c>
      <c r="O32" s="6">
        <v>26</v>
      </c>
      <c r="P32" s="38">
        <v>2.2000000000000002</v>
      </c>
      <c r="Q32" s="38">
        <v>1</v>
      </c>
      <c r="R32" s="6">
        <v>0</v>
      </c>
      <c r="S32" s="5" t="str">
        <f ca="1">VLOOKUP($T32,OFFSET([4]enemy_skill_sets!$B$1,0,0,COUNTA([4]enemy_skill_sets!$B:$B),MATCH(J$1,[4]enemy_skill_sets!$1:$1,0)-MATCH($T$1,[4]enemy_skill_sets!$1:$1,0)+2),MATCH(J$1,[4]enemy_skill_sets!$1:$1,0)-MATCH($T$1,[4]enemy_skill_sets!$1:$1,0)+2,FALSE)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2" s="27">
        <f ca="1">VLOOKUP($I32,OFFSET([2]enemies!$A$1,0,0,COUNTA([2]enemies!$A:$A),MATCH(T$1,[2]enemies!$1:$1,0)-MATCH($I$1,[2]enemies!$1:$1,0)+1),MATCH(T$1,[2]enemies!$1:$1,0)-MATCH($I$1,[2]enemies!$1:$1,0)+1,FALSE)</f>
        <v>0</v>
      </c>
      <c r="U32" s="7">
        <v>0</v>
      </c>
      <c r="V32" s="7">
        <v>100</v>
      </c>
      <c r="W32" s="7">
        <v>0</v>
      </c>
      <c r="X32" s="27">
        <f ca="1">VLOOKUP($I32,OFFSET([2]enemies!$A$1,0,0,COUNTA([2]enemies!$A:$A),MATCH(X$1,[2]enemies!$1:$1,0)-MATCH($I$1,[2]enemies!$1:$1,0)+1),MATCH(X$1,[2]enemies!$1:$1,0)-MATCH($I$1,[2]enemies!$1:$1,0)+1,FALSE)</f>
        <v>3</v>
      </c>
      <c r="Y32" s="8">
        <v>6</v>
      </c>
      <c r="Z32" s="5" t="str">
        <f ca="1">IFERROR(VLOOKUP($Y32,OFFSET([3]characters!$A$1,0,0,COUNTA([3]characters!$A:$A),MATCH(Z$1,[3]characters!$1:$1,0)-MATCH("character_id",[3]characters!$1:$1,0)+1),MATCH(Z$1,[3]characters!$1:$1,0)-MATCH("character_id",[3]characters!$1:$1,0)+1,FALSE),"")</f>
        <v>パトドッグリーダー ポチ</v>
      </c>
      <c r="AA32" s="5">
        <f ca="1">IFERROR(VLOOKUP($Y32,OFFSET([3]characters!$A$1,0,0,COUNTA([3]characters!$A:$A),MATCH(AA$1,[3]characters!$1:$1,0)-MATCH("character_id",[3]characters!$1:$1,0)+1),MATCH(AA$1,[3]characters!$1:$1,0)-MATCH("character_id",[3]characters!$1:$1,0)+1,FALSE),"")</f>
        <v>2</v>
      </c>
      <c r="AB32" s="5" t="str">
        <f ca="1">IFERROR(VLOOKUP($Y32,OFFSET([3]characters!$A$1,0,0,COUNTA([3]characters!$A:$A),MATCH(AB$1,[3]characters!$1:$1,0)-MATCH("character_id",[3]characters!$1:$1,0)+1),MATCH(AB$1,[3]characters!$1:$1,0)-MATCH("character_id",[3]characters!$1:$1,0)+1,FALSE),"")</f>
        <v>Drop1T</v>
      </c>
      <c r="AC32" s="9">
        <v>6</v>
      </c>
      <c r="AD32" s="35">
        <f ca="1">AA32</f>
        <v>2</v>
      </c>
      <c r="AE32" s="10">
        <v>10</v>
      </c>
      <c r="AF32" s="9">
        <v>0</v>
      </c>
      <c r="AG32" s="9">
        <v>0</v>
      </c>
      <c r="AH32" s="9">
        <v>0</v>
      </c>
      <c r="AI32" s="9">
        <v>0</v>
      </c>
      <c r="AJ32" s="9">
        <v>1</v>
      </c>
    </row>
    <row r="33" spans="1:36" ht="21" customHeight="1" x14ac:dyDescent="0.15">
      <c r="A33" s="22" t="str">
        <f t="shared" ref="A33:A36" ca="1" si="36">B33&amp;"_"&amp;C33&amp;"-"&amp;G33&amp;"/"&amp;I33&amp;"&lt;lv"&amp;O33&amp;"&gt;s"&amp;X33</f>
        <v>20003_2-2/17&lt;lv26&gt;s2</v>
      </c>
      <c r="B33" s="33">
        <v>20003</v>
      </c>
      <c r="C33" s="32">
        <v>2</v>
      </c>
      <c r="D33" s="2" t="str">
        <f t="shared" ref="D33:D36" si="37">B33&amp;"_"&amp;C33</f>
        <v>20003_2</v>
      </c>
      <c r="E33" s="5" t="str">
        <f ca="1">VLOOKUP($B33,OFFSET([1]quests!$A$1,0,0,COUNTA([1]quests!$A:$A),MATCH(E$1,[1]quests!$1:$1,0)-MATCH($B$1,[1]quests!$1:$1,0)+1),MATCH(E$1,[1]quests!$1:$1,0)-MATCH($B$1,[1]quests!$1:$1,0)+1,FALSE)</f>
        <v>忍び寄る短剣</v>
      </c>
      <c r="F33" s="5" t="str">
        <f ca="1">VLOOKUP($D33,OFFSET([1]stages!$A$1,0,0,COUNTA([1]stages!$A:$A),MATCH(F$1,[1]stages!$2:$2,0)-MATCH($D$1,[1]stages!$2:$2,0)+1),MATCH(F$1,[1]stages!$2:$2,0)-MATCH($D$1,[1]stages!$2:$2,0)+1,FALSE)</f>
        <v xml:space="preserve">【中級】忍び寄る短剣 </v>
      </c>
      <c r="G33" s="36">
        <v>2</v>
      </c>
      <c r="H33" s="21" t="str">
        <f t="shared" ref="H33:H36" si="38">B33&amp;"_"&amp;C33&amp;"-"&amp;G33</f>
        <v>20003_2-2</v>
      </c>
      <c r="I33" s="31">
        <v>17</v>
      </c>
      <c r="J33" s="27" t="str">
        <f ca="1">VLOOKUP($I33,OFFSET([2]enemies!$A$1,0,0,COUNTA([2]enemies!$A:$A),MATCH(J$1,[2]enemies!$1:$1,0)-MATCH($I$1,[2]enemies!$1:$1,0)+1),MATCH(J$1,[2]enemies!$1:$1,0)-MATCH($I$1,[2]enemies!$1:$1,0)+1,FALSE)</f>
        <v>リム</v>
      </c>
      <c r="K33" s="27" t="str">
        <f ca="1">VLOOKUP($I33,OFFSET([2]enemies!$A$1,0,0,COUNTA([2]enemies!$A:$A),MATCH(K$1,[2]enemies!$1:$1,0)-MATCH($I$1,[2]enemies!$1:$1,0)+1),MATCH(K$1,[2]enemies!$1:$1,0)-MATCH($I$1,[2]enemies!$1:$1,0)+1,FALSE)</f>
        <v>blue</v>
      </c>
      <c r="L33" s="29" t="str">
        <f>VLOOKUP(I33,[3]characters!$A:$J,10,FALSE)</f>
        <v>Drop1W</v>
      </c>
      <c r="M33" s="27" t="str">
        <f ca="1">VLOOKUP($I33,OFFSET([2]enemies!$A$1,0,0,COUNTA([2]enemies!$A:$A),MATCH(M$1,[2]enemies!$1:$1,0)-MATCH($I$1,[2]enemies!$1:$1,0)+1),MATCH(M$1,[2]enemies!$1:$1,0)-MATCH($I$1,[2]enemies!$1:$1,0)+1,FALSE)</f>
        <v>human</v>
      </c>
      <c r="N33" s="27">
        <f ca="1">VLOOKUP($I33,OFFSET([2]enemies!$A$1,0,0,COUNTA([2]enemies!$A:$A),MATCH(N$1,[2]enemies!$1:$1,0)-MATCH($I$1,[2]enemies!$1:$1,0)+1),MATCH(N$1,[2]enemies!$1:$1,0)-MATCH($I$1,[2]enemies!$1:$1,0)+1,FALSE)</f>
        <v>15</v>
      </c>
      <c r="O33" s="6">
        <v>26</v>
      </c>
      <c r="P33" s="38">
        <v>2.2000000000000002</v>
      </c>
      <c r="Q33" s="38">
        <v>1</v>
      </c>
      <c r="R33" s="6">
        <v>0</v>
      </c>
      <c r="S33" s="5" t="str">
        <f ca="1">VLOOKUP($T33,OFFSET([4]enemy_skill_sets!$B$1,0,0,COUNTA([4]enemy_skill_sets!$B:$B),MATCH(J$1,[4]enemy_skill_sets!$1:$1,0)-MATCH($T$1,[4]enemy_skill_sets!$1:$1,0)+2),MATCH(J$1,[4]enemy_skill_sets!$1:$1,0)-MATCH($T$1,[4]enemy_skill_sets!$1:$1,0)+2,FALSE)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3" s="27">
        <f ca="1">VLOOKUP($I33,OFFSET([2]enemies!$A$1,0,0,COUNTA([2]enemies!$A:$A),MATCH(T$1,[2]enemies!$1:$1,0)-MATCH($I$1,[2]enemies!$1:$1,0)+1),MATCH(T$1,[2]enemies!$1:$1,0)-MATCH($I$1,[2]enemies!$1:$1,0)+1,FALSE)</f>
        <v>0</v>
      </c>
      <c r="U33" s="7">
        <v>0</v>
      </c>
      <c r="V33" s="7">
        <v>100</v>
      </c>
      <c r="W33" s="7">
        <v>0</v>
      </c>
      <c r="X33" s="27">
        <f ca="1">VLOOKUP($I33,OFFSET([2]enemies!$A$1,0,0,COUNTA([2]enemies!$A:$A),MATCH(X$1,[2]enemies!$1:$1,0)-MATCH($I$1,[2]enemies!$1:$1,0)+1),MATCH(X$1,[2]enemies!$1:$1,0)-MATCH($I$1,[2]enemies!$1:$1,0)+1,FALSE)</f>
        <v>2</v>
      </c>
      <c r="Y33" s="8">
        <v>17</v>
      </c>
      <c r="Z33" s="5" t="str">
        <f ca="1">IFERROR(VLOOKUP($Y33,OFFSET([3]characters!$A$1,0,0,COUNTA([3]characters!$A:$A),MATCH(Z$1,[3]characters!$1:$1,0)-MATCH("character_id",[3]characters!$1:$1,0)+1),MATCH(Z$1,[3]characters!$1:$1,0)-MATCH("character_id",[3]characters!$1:$1,0)+1,FALSE),"")</f>
        <v>リム</v>
      </c>
      <c r="AA33" s="5">
        <f ca="1">IFERROR(VLOOKUP($Y33,OFFSET([3]characters!$A$1,0,0,COUNTA([3]characters!$A:$A),MATCH(AA$1,[3]characters!$1:$1,0)-MATCH("character_id",[3]characters!$1:$1,0)+1),MATCH(AA$1,[3]characters!$1:$1,0)-MATCH("character_id",[3]characters!$1:$1,0)+1,FALSE),"")</f>
        <v>1</v>
      </c>
      <c r="AB33" s="5" t="str">
        <f ca="1">IFERROR(VLOOKUP($Y33,OFFSET([3]characters!$A$1,0,0,COUNTA([3]characters!$A:$A),MATCH(AB$1,[3]characters!$1:$1,0)-MATCH("character_id",[3]characters!$1:$1,0)+1),MATCH(AB$1,[3]characters!$1:$1,0)-MATCH("character_id",[3]characters!$1:$1,0)+1,FALSE),"")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33" s="9">
        <v>4</v>
      </c>
      <c r="AD33" s="35">
        <f t="shared" ref="AD33:AD36" ca="1" si="39">AA33</f>
        <v>1</v>
      </c>
      <c r="AE33" s="10">
        <v>15</v>
      </c>
      <c r="AF33" s="9">
        <v>0</v>
      </c>
      <c r="AG33" s="9">
        <v>0</v>
      </c>
      <c r="AH33" s="9">
        <v>0</v>
      </c>
      <c r="AI33" s="9">
        <v>0</v>
      </c>
      <c r="AJ33" s="9">
        <v>1</v>
      </c>
    </row>
    <row r="34" spans="1:36" ht="21" customHeight="1" x14ac:dyDescent="0.15">
      <c r="A34" s="22" t="str">
        <f t="shared" ca="1" si="36"/>
        <v>20003_2-2/25&lt;lv26&gt;s3</v>
      </c>
      <c r="B34" s="33">
        <v>20003</v>
      </c>
      <c r="C34" s="32">
        <v>2</v>
      </c>
      <c r="D34" s="2" t="str">
        <f t="shared" si="37"/>
        <v>20003_2</v>
      </c>
      <c r="E34" s="5" t="str">
        <f ca="1">VLOOKUP($B34,OFFSET([1]quests!$A$1,0,0,COUNTA([1]quests!$A:$A),MATCH(E$1,[1]quests!$1:$1,0)-MATCH($B$1,[1]quests!$1:$1,0)+1),MATCH(E$1,[1]quests!$1:$1,0)-MATCH($B$1,[1]quests!$1:$1,0)+1,FALSE)</f>
        <v>忍び寄る短剣</v>
      </c>
      <c r="F34" s="5" t="str">
        <f ca="1">VLOOKUP($D34,OFFSET([1]stages!$A$1,0,0,COUNTA([1]stages!$A:$A),MATCH(F$1,[1]stages!$2:$2,0)-MATCH($D$1,[1]stages!$2:$2,0)+1),MATCH(F$1,[1]stages!$2:$2,0)-MATCH($D$1,[1]stages!$2:$2,0)+1,FALSE)</f>
        <v xml:space="preserve">【中級】忍び寄る短剣 </v>
      </c>
      <c r="G34" s="36">
        <v>2</v>
      </c>
      <c r="H34" s="21" t="str">
        <f t="shared" si="38"/>
        <v>20003_2-2</v>
      </c>
      <c r="I34" s="31">
        <v>25</v>
      </c>
      <c r="J34" s="27" t="str">
        <f ca="1">VLOOKUP($I34,OFFSET([2]enemies!$A$1,0,0,COUNTA([2]enemies!$A:$A),MATCH(J$1,[2]enemies!$1:$1,0)-MATCH($I$1,[2]enemies!$1:$1,0)+1),MATCH(J$1,[2]enemies!$1:$1,0)-MATCH($I$1,[2]enemies!$1:$1,0)+1,FALSE)</f>
        <v>ハチ</v>
      </c>
      <c r="K34" s="27" t="str">
        <f ca="1">VLOOKUP($I34,OFFSET([2]enemies!$A$1,0,0,COUNTA([2]enemies!$A:$A),MATCH(K$1,[2]enemies!$1:$1,0)-MATCH($I$1,[2]enemies!$1:$1,0)+1),MATCH(K$1,[2]enemies!$1:$1,0)-MATCH($I$1,[2]enemies!$1:$1,0)+1,FALSE)</f>
        <v>blue</v>
      </c>
      <c r="L34" s="29" t="str">
        <f>VLOOKUP(I34,[3]characters!$A:$J,10,FALSE)</f>
        <v>Drop1N</v>
      </c>
      <c r="M34" s="27" t="str">
        <f ca="1">VLOOKUP($I34,OFFSET([2]enemies!$A$1,0,0,COUNTA([2]enemies!$A:$A),MATCH(M$1,[2]enemies!$1:$1,0)-MATCH($I$1,[2]enemies!$1:$1,0)+1),MATCH(M$1,[2]enemies!$1:$1,0)-MATCH($I$1,[2]enemies!$1:$1,0)+1,FALSE)</f>
        <v>animal</v>
      </c>
      <c r="N34" s="27">
        <f ca="1">VLOOKUP($I34,OFFSET([2]enemies!$A$1,0,0,COUNTA([2]enemies!$A:$A),MATCH(N$1,[2]enemies!$1:$1,0)-MATCH($I$1,[2]enemies!$1:$1,0)+1),MATCH(N$1,[2]enemies!$1:$1,0)-MATCH($I$1,[2]enemies!$1:$1,0)+1,FALSE)</f>
        <v>15</v>
      </c>
      <c r="O34" s="6">
        <v>26</v>
      </c>
      <c r="P34" s="38">
        <v>2.2000000000000002</v>
      </c>
      <c r="Q34" s="38">
        <v>1</v>
      </c>
      <c r="R34" s="6">
        <v>0</v>
      </c>
      <c r="S34" s="5" t="str">
        <f ca="1">VLOOKUP($T34,OFFSET([4]enemy_skill_sets!$B$1,0,0,COUNTA([4]enemy_skill_sets!$B:$B),MATCH(J$1,[4]enemy_skill_sets!$1:$1,0)-MATCH($T$1,[4]enemy_skill_sets!$1:$1,0)+2),MATCH(J$1,[4]enemy_skill_sets!$1:$1,0)-MATCH($T$1,[4]enemy_skill_sets!$1:$1,0)+2,FALSE)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4" s="27">
        <f ca="1">VLOOKUP($I34,OFFSET([2]enemies!$A$1,0,0,COUNTA([2]enemies!$A:$A),MATCH(T$1,[2]enemies!$1:$1,0)-MATCH($I$1,[2]enemies!$1:$1,0)+1),MATCH(T$1,[2]enemies!$1:$1,0)-MATCH($I$1,[2]enemies!$1:$1,0)+1,FALSE)</f>
        <v>0</v>
      </c>
      <c r="U34" s="7">
        <v>0</v>
      </c>
      <c r="V34" s="7">
        <v>100</v>
      </c>
      <c r="W34" s="7">
        <v>0</v>
      </c>
      <c r="X34" s="27">
        <f ca="1">VLOOKUP($I34,OFFSET([2]enemies!$A$1,0,0,COUNTA([2]enemies!$A:$A),MATCH(X$1,[2]enemies!$1:$1,0)-MATCH($I$1,[2]enemies!$1:$1,0)+1),MATCH(X$1,[2]enemies!$1:$1,0)-MATCH($I$1,[2]enemies!$1:$1,0)+1,FALSE)</f>
        <v>3</v>
      </c>
      <c r="Y34" s="8">
        <v>25</v>
      </c>
      <c r="Z34" s="5" t="str">
        <f ca="1">IFERROR(VLOOKUP($Y34,OFFSET([3]characters!$A$1,0,0,COUNTA([3]characters!$A:$A),MATCH(Z$1,[3]characters!$1:$1,0)-MATCH("character_id",[3]characters!$1:$1,0)+1),MATCH(Z$1,[3]characters!$1:$1,0)-MATCH("character_id",[3]characters!$1:$1,0)+1,FALSE),"")</f>
        <v>ハチ</v>
      </c>
      <c r="AA34" s="5">
        <f ca="1">IFERROR(VLOOKUP($Y34,OFFSET([3]characters!$A$1,0,0,COUNTA([3]characters!$A:$A),MATCH(AA$1,[3]characters!$1:$1,0)-MATCH("character_id",[3]characters!$1:$1,0)+1),MATCH(AA$1,[3]characters!$1:$1,0)-MATCH("character_id",[3]characters!$1:$1,0)+1,FALSE),"")</f>
        <v>1</v>
      </c>
      <c r="AB34" s="5" t="str">
        <f ca="1">IFERROR(VLOOKUP($Y34,OFFSET([3]characters!$A$1,0,0,COUNTA([3]characters!$A:$A),MATCH(AB$1,[3]characters!$1:$1,0)-MATCH("character_id",[3]characters!$1:$1,0)+1),MATCH(AB$1,[3]characters!$1:$1,0)-MATCH("character_id",[3]characters!$1:$1,0)+1,FALSE),"")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4" s="9">
        <v>2</v>
      </c>
      <c r="AD34" s="35">
        <f t="shared" ca="1" si="39"/>
        <v>1</v>
      </c>
      <c r="AE34" s="10">
        <v>15</v>
      </c>
      <c r="AF34" s="9">
        <v>0</v>
      </c>
      <c r="AG34" s="9">
        <v>0</v>
      </c>
      <c r="AH34" s="9">
        <v>0</v>
      </c>
      <c r="AI34" s="9">
        <v>0</v>
      </c>
      <c r="AJ34" s="9">
        <v>1</v>
      </c>
    </row>
    <row r="35" spans="1:36" ht="21" customHeight="1" x14ac:dyDescent="0.15">
      <c r="A35" s="22" t="str">
        <f t="shared" ca="1" si="36"/>
        <v>20003_2-2/45&lt;lv26&gt;s3</v>
      </c>
      <c r="B35" s="33">
        <v>20003</v>
      </c>
      <c r="C35" s="32">
        <v>2</v>
      </c>
      <c r="D35" s="2" t="str">
        <f t="shared" si="37"/>
        <v>20003_2</v>
      </c>
      <c r="E35" s="5" t="str">
        <f ca="1">VLOOKUP($B35,OFFSET([1]quests!$A$1,0,0,COUNTA([1]quests!$A:$A),MATCH(E$1,[1]quests!$1:$1,0)-MATCH($B$1,[1]quests!$1:$1,0)+1),MATCH(E$1,[1]quests!$1:$1,0)-MATCH($B$1,[1]quests!$1:$1,0)+1,FALSE)</f>
        <v>忍び寄る短剣</v>
      </c>
      <c r="F35" s="5" t="str">
        <f ca="1">VLOOKUP($D35,OFFSET([1]stages!$A$1,0,0,COUNTA([1]stages!$A:$A),MATCH(F$1,[1]stages!$2:$2,0)-MATCH($D$1,[1]stages!$2:$2,0)+1),MATCH(F$1,[1]stages!$2:$2,0)-MATCH($D$1,[1]stages!$2:$2,0)+1,FALSE)</f>
        <v xml:space="preserve">【中級】忍び寄る短剣 </v>
      </c>
      <c r="G35" s="36">
        <v>2</v>
      </c>
      <c r="H35" s="21" t="str">
        <f t="shared" si="38"/>
        <v>20003_2-2</v>
      </c>
      <c r="I35" s="31">
        <v>45</v>
      </c>
      <c r="J35" s="27" t="str">
        <f ca="1">VLOOKUP($I35,OFFSET([2]enemies!$A$1,0,0,COUNTA([2]enemies!$A:$A),MATCH(J$1,[2]enemies!$1:$1,0)-MATCH($I$1,[2]enemies!$1:$1,0)+1),MATCH(J$1,[2]enemies!$1:$1,0)-MATCH($I$1,[2]enemies!$1:$1,0)+1,FALSE)</f>
        <v>ショウイン</v>
      </c>
      <c r="K35" s="27" t="str">
        <f ca="1">VLOOKUP($I35,OFFSET([2]enemies!$A$1,0,0,COUNTA([2]enemies!$A:$A),MATCH(K$1,[2]enemies!$1:$1,0)-MATCH($I$1,[2]enemies!$1:$1,0)+1),MATCH(K$1,[2]enemies!$1:$1,0)-MATCH($I$1,[2]enemies!$1:$1,0)+1,FALSE)</f>
        <v>blue</v>
      </c>
      <c r="L35" s="29" t="str">
        <f>VLOOKUP(I35,[3]characters!$A:$J,10,FALSE)</f>
        <v>Drop1N</v>
      </c>
      <c r="M35" s="27" t="str">
        <f ca="1">VLOOKUP($I35,OFFSET([2]enemies!$A$1,0,0,COUNTA([2]enemies!$A:$A),MATCH(M$1,[2]enemies!$1:$1,0)-MATCH($I$1,[2]enemies!$1:$1,0)+1),MATCH(M$1,[2]enemies!$1:$1,0)-MATCH($I$1,[2]enemies!$1:$1,0)+1,FALSE)</f>
        <v>animal</v>
      </c>
      <c r="N35" s="27">
        <f ca="1">VLOOKUP($I35,OFFSET([2]enemies!$A$1,0,0,COUNTA([2]enemies!$A:$A),MATCH(N$1,[2]enemies!$1:$1,0)-MATCH($I$1,[2]enemies!$1:$1,0)+1),MATCH(N$1,[2]enemies!$1:$1,0)-MATCH($I$1,[2]enemies!$1:$1,0)+1,FALSE)</f>
        <v>15</v>
      </c>
      <c r="O35" s="6">
        <v>26</v>
      </c>
      <c r="P35" s="38">
        <v>2.2000000000000002</v>
      </c>
      <c r="Q35" s="38">
        <v>1</v>
      </c>
      <c r="R35" s="6">
        <v>0</v>
      </c>
      <c r="S35" s="5" t="str">
        <f ca="1">VLOOKUP($T35,OFFSET([4]enemy_skill_sets!$B$1,0,0,COUNTA([4]enemy_skill_sets!$B:$B),MATCH(J$1,[4]enemy_skill_sets!$1:$1,0)-MATCH($T$1,[4]enemy_skill_sets!$1:$1,0)+2),MATCH(J$1,[4]enemy_skill_sets!$1:$1,0)-MATCH($T$1,[4]enemy_skill_sets!$1:$1,0)+2,FALSE)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5" s="27">
        <f ca="1">VLOOKUP($I35,OFFSET([2]enemies!$A$1,0,0,COUNTA([2]enemies!$A:$A),MATCH(T$1,[2]enemies!$1:$1,0)-MATCH($I$1,[2]enemies!$1:$1,0)+1),MATCH(T$1,[2]enemies!$1:$1,0)-MATCH($I$1,[2]enemies!$1:$1,0)+1,FALSE)</f>
        <v>0</v>
      </c>
      <c r="U35" s="7">
        <v>0</v>
      </c>
      <c r="V35" s="7">
        <v>100</v>
      </c>
      <c r="W35" s="7">
        <v>0</v>
      </c>
      <c r="X35" s="27">
        <f ca="1">VLOOKUP($I35,OFFSET([2]enemies!$A$1,0,0,COUNTA([2]enemies!$A:$A),MATCH(X$1,[2]enemies!$1:$1,0)-MATCH($I$1,[2]enemies!$1:$1,0)+1),MATCH(X$1,[2]enemies!$1:$1,0)-MATCH($I$1,[2]enemies!$1:$1,0)+1,FALSE)</f>
        <v>3</v>
      </c>
      <c r="Y35" s="8">
        <v>45</v>
      </c>
      <c r="Z35" s="5" t="str">
        <f ca="1">IFERROR(VLOOKUP($Y35,OFFSET([3]characters!$A$1,0,0,COUNTA([3]characters!$A:$A),MATCH(Z$1,[3]characters!$1:$1,0)-MATCH("character_id",[3]characters!$1:$1,0)+1),MATCH(Z$1,[3]characters!$1:$1,0)-MATCH("character_id",[3]characters!$1:$1,0)+1,FALSE),"")</f>
        <v>ショウイン</v>
      </c>
      <c r="AA35" s="5">
        <f ca="1">IFERROR(VLOOKUP($Y35,OFFSET([3]characters!$A$1,0,0,COUNTA([3]characters!$A:$A),MATCH(AA$1,[3]characters!$1:$1,0)-MATCH("character_id",[3]characters!$1:$1,0)+1),MATCH(AA$1,[3]characters!$1:$1,0)-MATCH("character_id",[3]characters!$1:$1,0)+1,FALSE),"")</f>
        <v>2</v>
      </c>
      <c r="AB35" s="5" t="str">
        <f ca="1">IFERROR(VLOOKUP($Y35,OFFSET([3]characters!$A$1,0,0,COUNTA([3]characters!$A:$A),MATCH(AB$1,[3]characters!$1:$1,0)-MATCH("character_id",[3]characters!$1:$1,0)+1),MATCH(AB$1,[3]characters!$1:$1,0)-MATCH("character_id",[3]characters!$1:$1,0)+1,FALSE),"")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5" s="9">
        <v>2</v>
      </c>
      <c r="AD35" s="35">
        <f t="shared" ca="1" si="39"/>
        <v>2</v>
      </c>
      <c r="AE35" s="10">
        <v>15</v>
      </c>
      <c r="AF35" s="9">
        <v>0</v>
      </c>
      <c r="AG35" s="9">
        <v>0</v>
      </c>
      <c r="AH35" s="9">
        <v>0</v>
      </c>
      <c r="AI35" s="9">
        <v>0</v>
      </c>
      <c r="AJ35" s="9">
        <v>1</v>
      </c>
    </row>
    <row r="36" spans="1:36" ht="21" customHeight="1" x14ac:dyDescent="0.15">
      <c r="A36" s="22" t="str">
        <f t="shared" ca="1" si="36"/>
        <v>20003_2-2/71&lt;lv26&gt;s4</v>
      </c>
      <c r="B36" s="33">
        <v>20003</v>
      </c>
      <c r="C36" s="32">
        <v>2</v>
      </c>
      <c r="D36" s="2" t="str">
        <f t="shared" si="37"/>
        <v>20003_2</v>
      </c>
      <c r="E36" s="5" t="str">
        <f ca="1">VLOOKUP($B36,OFFSET([1]quests!$A$1,0,0,COUNTA([1]quests!$A:$A),MATCH(E$1,[1]quests!$1:$1,0)-MATCH($B$1,[1]quests!$1:$1,0)+1),MATCH(E$1,[1]quests!$1:$1,0)-MATCH($B$1,[1]quests!$1:$1,0)+1,FALSE)</f>
        <v>忍び寄る短剣</v>
      </c>
      <c r="F36" s="5" t="str">
        <f ca="1">VLOOKUP($D36,OFFSET([1]stages!$A$1,0,0,COUNTA([1]stages!$A:$A),MATCH(F$1,[1]stages!$2:$2,0)-MATCH($D$1,[1]stages!$2:$2,0)+1),MATCH(F$1,[1]stages!$2:$2,0)-MATCH($D$1,[1]stages!$2:$2,0)+1,FALSE)</f>
        <v xml:space="preserve">【中級】忍び寄る短剣 </v>
      </c>
      <c r="G36" s="36">
        <v>2</v>
      </c>
      <c r="H36" s="21" t="str">
        <f t="shared" si="38"/>
        <v>20003_2-2</v>
      </c>
      <c r="I36" s="31">
        <v>71</v>
      </c>
      <c r="J36" s="27" t="str">
        <f ca="1">VLOOKUP($I36,OFFSET([2]enemies!$A$1,0,0,COUNTA([2]enemies!$A:$A),MATCH(J$1,[2]enemies!$1:$1,0)-MATCH($I$1,[2]enemies!$1:$1,0)+1),MATCH(J$1,[2]enemies!$1:$1,0)-MATCH($I$1,[2]enemies!$1:$1,0)+1,FALSE)</f>
        <v>ダックス</v>
      </c>
      <c r="K36" s="27" t="str">
        <f ca="1">VLOOKUP($I36,OFFSET([2]enemies!$A$1,0,0,COUNTA([2]enemies!$A:$A),MATCH(K$1,[2]enemies!$1:$1,0)-MATCH($I$1,[2]enemies!$1:$1,0)+1),MATCH(K$1,[2]enemies!$1:$1,0)-MATCH($I$1,[2]enemies!$1:$1,0)+1,FALSE)</f>
        <v>blue</v>
      </c>
      <c r="L36" s="29" t="str">
        <f>VLOOKUP(I36,[3]characters!$A:$J,10,FALSE)</f>
        <v>Drop1S</v>
      </c>
      <c r="M36" s="27" t="str">
        <f ca="1">VLOOKUP($I36,OFFSET([2]enemies!$A$1,0,0,COUNTA([2]enemies!$A:$A),MATCH(M$1,[2]enemies!$1:$1,0)-MATCH($I$1,[2]enemies!$1:$1,0)+1),MATCH(M$1,[2]enemies!$1:$1,0)-MATCH($I$1,[2]enemies!$1:$1,0)+1,FALSE)</f>
        <v>animal</v>
      </c>
      <c r="N36" s="27">
        <f ca="1">VLOOKUP($I36,OFFSET([2]enemies!$A$1,0,0,COUNTA([2]enemies!$A:$A),MATCH(N$1,[2]enemies!$1:$1,0)-MATCH($I$1,[2]enemies!$1:$1,0)+1),MATCH(N$1,[2]enemies!$1:$1,0)-MATCH($I$1,[2]enemies!$1:$1,0)+1,FALSE)</f>
        <v>15</v>
      </c>
      <c r="O36" s="6">
        <v>26</v>
      </c>
      <c r="P36" s="38">
        <v>2.2000000000000002</v>
      </c>
      <c r="Q36" s="38">
        <v>0.8</v>
      </c>
      <c r="R36" s="6">
        <v>0</v>
      </c>
      <c r="S36" s="5" t="str">
        <f ca="1">VLOOKUP($T36,OFFSET([4]enemy_skill_sets!$B$1,0,0,COUNTA([4]enemy_skill_sets!$B:$B),MATCH(J$1,[4]enemy_skill_sets!$1:$1,0)-MATCH($T$1,[4]enemy_skill_sets!$1:$1,0)+2),MATCH(J$1,[4]enemy_skill_sets!$1:$1,0)-MATCH($T$1,[4]enemy_skill_sets!$1:$1,0)+2,FALSE)</f>
        <v>3ターン攻撃頻度が1ターンにUP</v>
      </c>
      <c r="T36" s="27">
        <f ca="1">VLOOKUP($I36,OFFSET([2]enemies!$A$1,0,0,COUNTA([2]enemies!$A:$A),MATCH(T$1,[2]enemies!$1:$1,0)-MATCH($I$1,[2]enemies!$1:$1,0)+1),MATCH(T$1,[2]enemies!$1:$1,0)-MATCH($I$1,[2]enemies!$1:$1,0)+1,FALSE)</f>
        <v>71</v>
      </c>
      <c r="U36" s="7">
        <v>1</v>
      </c>
      <c r="V36" s="7">
        <v>100</v>
      </c>
      <c r="W36" s="7">
        <v>0</v>
      </c>
      <c r="X36" s="27">
        <f ca="1">VLOOKUP($I36,OFFSET([2]enemies!$A$1,0,0,COUNTA([2]enemies!$A:$A),MATCH(X$1,[2]enemies!$1:$1,0)-MATCH($I$1,[2]enemies!$1:$1,0)+1),MATCH(X$1,[2]enemies!$1:$1,0)-MATCH($I$1,[2]enemies!$1:$1,0)+1,FALSE)</f>
        <v>4</v>
      </c>
      <c r="Y36" s="8">
        <v>71</v>
      </c>
      <c r="Z36" s="5" t="str">
        <f ca="1">IFERROR(VLOOKUP($Y36,OFFSET([3]characters!$A$1,0,0,COUNTA([3]characters!$A:$A),MATCH(Z$1,[3]characters!$1:$1,0)-MATCH("character_id",[3]characters!$1:$1,0)+1),MATCH(Z$1,[3]characters!$1:$1,0)-MATCH("character_id",[3]characters!$1:$1,0)+1,FALSE),"")</f>
        <v>ダックス</v>
      </c>
      <c r="AA36" s="5">
        <f ca="1">IFERROR(VLOOKUP($Y36,OFFSET([3]characters!$A$1,0,0,COUNTA([3]characters!$A:$A),MATCH(AA$1,[3]characters!$1:$1,0)-MATCH("character_id",[3]characters!$1:$1,0)+1),MATCH(AA$1,[3]characters!$1:$1,0)-MATCH("character_id",[3]characters!$1:$1,0)+1,FALSE),"")</f>
        <v>2</v>
      </c>
      <c r="AB36" s="5" t="str">
        <f ca="1">IFERROR(VLOOKUP($Y36,OFFSET([3]characters!$A$1,0,0,COUNTA([3]characters!$A:$A),MATCH(AB$1,[3]characters!$1:$1,0)-MATCH("character_id",[3]characters!$1:$1,0)+1),MATCH(AB$1,[3]characters!$1:$1,0)-MATCH("character_id",[3]characters!$1:$1,0)+1,FALSE),"")</f>
        <v>Drop1S</v>
      </c>
      <c r="AC36" s="9">
        <v>1</v>
      </c>
      <c r="AD36" s="35">
        <f t="shared" ca="1" si="39"/>
        <v>2</v>
      </c>
      <c r="AE36" s="10">
        <v>10</v>
      </c>
      <c r="AF36" s="9">
        <v>0</v>
      </c>
      <c r="AG36" s="9">
        <v>0</v>
      </c>
      <c r="AH36" s="9">
        <v>0</v>
      </c>
      <c r="AI36" s="9">
        <v>0</v>
      </c>
      <c r="AJ36" s="9">
        <v>1</v>
      </c>
    </row>
    <row r="37" spans="1:36" ht="21" customHeight="1" x14ac:dyDescent="0.15">
      <c r="A37" s="22" t="str">
        <f t="shared" ref="A37:A39" ca="1" si="40">B37&amp;"_"&amp;C37&amp;"-"&amp;G37&amp;"/"&amp;I37&amp;"&lt;lv"&amp;O37&amp;"&gt;s"&amp;X37</f>
        <v>20003_2-3/25&lt;lv26&gt;s3</v>
      </c>
      <c r="B37" s="33">
        <v>20003</v>
      </c>
      <c r="C37" s="32">
        <v>2</v>
      </c>
      <c r="D37" s="2" t="str">
        <f t="shared" ref="D37:D39" si="41">B37&amp;"_"&amp;C37</f>
        <v>20003_2</v>
      </c>
      <c r="E37" s="5" t="str">
        <f ca="1">VLOOKUP($B37,OFFSET([1]quests!$A$1,0,0,COUNTA([1]quests!$A:$A),MATCH(E$1,[1]quests!$1:$1,0)-MATCH($B$1,[1]quests!$1:$1,0)+1),MATCH(E$1,[1]quests!$1:$1,0)-MATCH($B$1,[1]quests!$1:$1,0)+1,FALSE)</f>
        <v>忍び寄る短剣</v>
      </c>
      <c r="F37" s="5" t="str">
        <f ca="1">VLOOKUP($D37,OFFSET([1]stages!$A$1,0,0,COUNTA([1]stages!$A:$A),MATCH(F$1,[1]stages!$2:$2,0)-MATCH($D$1,[1]stages!$2:$2,0)+1),MATCH(F$1,[1]stages!$2:$2,0)-MATCH($D$1,[1]stages!$2:$2,0)+1,FALSE)</f>
        <v xml:space="preserve">【中級】忍び寄る短剣 </v>
      </c>
      <c r="G37" s="32">
        <v>3</v>
      </c>
      <c r="H37" s="21" t="str">
        <f t="shared" ref="H37:H39" si="42">B37&amp;"_"&amp;C37&amp;"-"&amp;G37</f>
        <v>20003_2-3</v>
      </c>
      <c r="I37" s="31">
        <v>25</v>
      </c>
      <c r="J37" s="27" t="str">
        <f ca="1">VLOOKUP($I37,OFFSET([2]enemies!$A$1,0,0,COUNTA([2]enemies!$A:$A),MATCH(J$1,[2]enemies!$1:$1,0)-MATCH($I$1,[2]enemies!$1:$1,0)+1),MATCH(J$1,[2]enemies!$1:$1,0)-MATCH($I$1,[2]enemies!$1:$1,0)+1,FALSE)</f>
        <v>ハチ</v>
      </c>
      <c r="K37" s="27" t="str">
        <f ca="1">VLOOKUP($I37,OFFSET([2]enemies!$A$1,0,0,COUNTA([2]enemies!$A:$A),MATCH(K$1,[2]enemies!$1:$1,0)-MATCH($I$1,[2]enemies!$1:$1,0)+1),MATCH(K$1,[2]enemies!$1:$1,0)-MATCH($I$1,[2]enemies!$1:$1,0)+1,FALSE)</f>
        <v>blue</v>
      </c>
      <c r="L37" s="29" t="str">
        <f>VLOOKUP(I37,[3]characters!$A:$J,10,FALSE)</f>
        <v>Drop1N</v>
      </c>
      <c r="M37" s="27" t="str">
        <f ca="1">VLOOKUP($I37,OFFSET([2]enemies!$A$1,0,0,COUNTA([2]enemies!$A:$A),MATCH(M$1,[2]enemies!$1:$1,0)-MATCH($I$1,[2]enemies!$1:$1,0)+1),MATCH(M$1,[2]enemies!$1:$1,0)-MATCH($I$1,[2]enemies!$1:$1,0)+1,FALSE)</f>
        <v>animal</v>
      </c>
      <c r="N37" s="27">
        <f ca="1">VLOOKUP($I37,OFFSET([2]enemies!$A$1,0,0,COUNTA([2]enemies!$A:$A),MATCH(N$1,[2]enemies!$1:$1,0)-MATCH($I$1,[2]enemies!$1:$1,0)+1),MATCH(N$1,[2]enemies!$1:$1,0)-MATCH($I$1,[2]enemies!$1:$1,0)+1,FALSE)</f>
        <v>15</v>
      </c>
      <c r="O37" s="6">
        <v>26</v>
      </c>
      <c r="P37" s="38">
        <v>2.2000000000000002</v>
      </c>
      <c r="Q37" s="38">
        <v>1</v>
      </c>
      <c r="R37" s="6">
        <v>0</v>
      </c>
      <c r="S37" s="5" t="str">
        <f ca="1">VLOOKUP($T37,OFFSET([4]enemy_skill_sets!$B$1,0,0,COUNTA([4]enemy_skill_sets!$B:$B),MATCH(J$1,[4]enemy_skill_sets!$1:$1,0)-MATCH($T$1,[4]enemy_skill_sets!$1:$1,0)+2),MATCH(J$1,[4]enemy_skill_sets!$1:$1,0)-MATCH($T$1,[4]enemy_skill_sets!$1:$1,0)+2,FALSE)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7" s="27">
        <f ca="1">VLOOKUP($I37,OFFSET([2]enemies!$A$1,0,0,COUNTA([2]enemies!$A:$A),MATCH(T$1,[2]enemies!$1:$1,0)-MATCH($I$1,[2]enemies!$1:$1,0)+1),MATCH(T$1,[2]enemies!$1:$1,0)-MATCH($I$1,[2]enemies!$1:$1,0)+1,FALSE)</f>
        <v>0</v>
      </c>
      <c r="U37" s="7">
        <v>1</v>
      </c>
      <c r="V37" s="7">
        <v>100</v>
      </c>
      <c r="W37" s="7">
        <v>0</v>
      </c>
      <c r="X37" s="27">
        <f ca="1">VLOOKUP($I37,OFFSET([2]enemies!$A$1,0,0,COUNTA([2]enemies!$A:$A),MATCH(X$1,[2]enemies!$1:$1,0)-MATCH($I$1,[2]enemies!$1:$1,0)+1),MATCH(X$1,[2]enemies!$1:$1,0)-MATCH($I$1,[2]enemies!$1:$1,0)+1,FALSE)</f>
        <v>3</v>
      </c>
      <c r="Y37" s="8">
        <v>25</v>
      </c>
      <c r="Z37" s="5" t="str">
        <f ca="1">IFERROR(VLOOKUP($Y37,OFFSET([3]characters!$A$1,0,0,COUNTA([3]characters!$A:$A),MATCH(Z$1,[3]characters!$1:$1,0)-MATCH("character_id",[3]characters!$1:$1,0)+1),MATCH(Z$1,[3]characters!$1:$1,0)-MATCH("character_id",[3]characters!$1:$1,0)+1,FALSE),"")</f>
        <v>ハチ</v>
      </c>
      <c r="AA37" s="5">
        <f ca="1">IFERROR(VLOOKUP($Y37,OFFSET([3]characters!$A$1,0,0,COUNTA([3]characters!$A:$A),MATCH(AA$1,[3]characters!$1:$1,0)-MATCH("character_id",[3]characters!$1:$1,0)+1),MATCH(AA$1,[3]characters!$1:$1,0)-MATCH("character_id",[3]characters!$1:$1,0)+1,FALSE),"")</f>
        <v>1</v>
      </c>
      <c r="AB37" s="5" t="str">
        <f ca="1">IFERROR(VLOOKUP($Y37,OFFSET([3]characters!$A$1,0,0,COUNTA([3]characters!$A:$A),MATCH(AB$1,[3]characters!$1:$1,0)-MATCH("character_id",[3]characters!$1:$1,0)+1),MATCH(AB$1,[3]characters!$1:$1,0)-MATCH("character_id",[3]characters!$1:$1,0)+1,FALSE),"")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7" s="9">
        <v>2</v>
      </c>
      <c r="AD37" s="35">
        <f t="shared" ref="AD37:AD39" ca="1" si="43">AA37</f>
        <v>1</v>
      </c>
      <c r="AE37" s="10">
        <v>15</v>
      </c>
      <c r="AF37" s="9">
        <v>0</v>
      </c>
      <c r="AG37" s="9">
        <v>0</v>
      </c>
      <c r="AH37" s="9">
        <v>0</v>
      </c>
      <c r="AI37" s="9">
        <v>0</v>
      </c>
      <c r="AJ37" s="9">
        <v>1</v>
      </c>
    </row>
    <row r="38" spans="1:36" ht="21" customHeight="1" x14ac:dyDescent="0.15">
      <c r="A38" s="22" t="str">
        <f t="shared" ca="1" si="40"/>
        <v>20003_2-3/61&lt;lv26&gt;s2</v>
      </c>
      <c r="B38" s="33">
        <v>20003</v>
      </c>
      <c r="C38" s="32">
        <v>2</v>
      </c>
      <c r="D38" s="2" t="str">
        <f t="shared" si="41"/>
        <v>20003_2</v>
      </c>
      <c r="E38" s="5" t="str">
        <f ca="1">VLOOKUP($B38,OFFSET([1]quests!$A$1,0,0,COUNTA([1]quests!$A:$A),MATCH(E$1,[1]quests!$1:$1,0)-MATCH($B$1,[1]quests!$1:$1,0)+1),MATCH(E$1,[1]quests!$1:$1,0)-MATCH($B$1,[1]quests!$1:$1,0)+1,FALSE)</f>
        <v>忍び寄る短剣</v>
      </c>
      <c r="F38" s="5" t="str">
        <f ca="1">VLOOKUP($D38,OFFSET([1]stages!$A$1,0,0,COUNTA([1]stages!$A:$A),MATCH(F$1,[1]stages!$2:$2,0)-MATCH($D$1,[1]stages!$2:$2,0)+1),MATCH(F$1,[1]stages!$2:$2,0)-MATCH($D$1,[1]stages!$2:$2,0)+1,FALSE)</f>
        <v xml:space="preserve">【中級】忍び寄る短剣 </v>
      </c>
      <c r="G38" s="32">
        <v>3</v>
      </c>
      <c r="H38" s="21" t="str">
        <f t="shared" si="42"/>
        <v>20003_2-3</v>
      </c>
      <c r="I38" s="31">
        <v>61</v>
      </c>
      <c r="J38" s="27" t="str">
        <f ca="1">VLOOKUP($I38,OFFSET([2]enemies!$A$1,0,0,COUNTA([2]enemies!$A:$A),MATCH(J$1,[2]enemies!$1:$1,0)-MATCH($I$1,[2]enemies!$1:$1,0)+1),MATCH(J$1,[2]enemies!$1:$1,0)-MATCH($I$1,[2]enemies!$1:$1,0)+1,FALSE)</f>
        <v>クロウ</v>
      </c>
      <c r="K38" s="27" t="str">
        <f ca="1">VLOOKUP($I38,OFFSET([2]enemies!$A$1,0,0,COUNTA([2]enemies!$A:$A),MATCH(K$1,[2]enemies!$1:$1,0)-MATCH($I$1,[2]enemies!$1:$1,0)+1),MATCH(K$1,[2]enemies!$1:$1,0)-MATCH($I$1,[2]enemies!$1:$1,0)+1,FALSE)</f>
        <v>blue</v>
      </c>
      <c r="L38" s="29" t="str">
        <f>VLOOKUP(I38,[3]characters!$A:$J,10,FALSE)</f>
        <v>Drop1N</v>
      </c>
      <c r="M38" s="27" t="str">
        <f ca="1">VLOOKUP($I38,OFFSET([2]enemies!$A$1,0,0,COUNTA([2]enemies!$A:$A),MATCH(M$1,[2]enemies!$1:$1,0)-MATCH($I$1,[2]enemies!$1:$1,0)+1),MATCH(M$1,[2]enemies!$1:$1,0)-MATCH($I$1,[2]enemies!$1:$1,0)+1,FALSE)</f>
        <v>animal</v>
      </c>
      <c r="N38" s="27">
        <f ca="1">VLOOKUP($I38,OFFSET([2]enemies!$A$1,0,0,COUNTA([2]enemies!$A:$A),MATCH(N$1,[2]enemies!$1:$1,0)-MATCH($I$1,[2]enemies!$1:$1,0)+1),MATCH(N$1,[2]enemies!$1:$1,0)-MATCH($I$1,[2]enemies!$1:$1,0)+1,FALSE)</f>
        <v>15</v>
      </c>
      <c r="O38" s="6">
        <v>26</v>
      </c>
      <c r="P38" s="38">
        <v>2.2000000000000002</v>
      </c>
      <c r="Q38" s="38">
        <v>1</v>
      </c>
      <c r="R38" s="6">
        <v>0</v>
      </c>
      <c r="S38" s="5" t="str">
        <f ca="1">VLOOKUP($T38,OFFSET([4]enemy_skill_sets!$B$1,0,0,COUNTA([4]enemy_skill_sets!$B:$B),MATCH(J$1,[4]enemy_skill_sets!$1:$1,0)-MATCH($T$1,[4]enemy_skill_sets!$1:$1,0)+2),MATCH(J$1,[4]enemy_skill_sets!$1:$1,0)-MATCH($T$1,[4]enemy_skill_sets!$1:$1,0)+2,FALSE)</f>
        <v>回復</v>
      </c>
      <c r="T38" s="27">
        <f ca="1">VLOOKUP($I38,OFFSET([2]enemies!$A$1,0,0,COUNTA([2]enemies!$A:$A),MATCH(T$1,[2]enemies!$1:$1,0)-MATCH($I$1,[2]enemies!$1:$1,0)+1),MATCH(T$1,[2]enemies!$1:$1,0)-MATCH($I$1,[2]enemies!$1:$1,0)+1,FALSE)</f>
        <v>61</v>
      </c>
      <c r="U38" s="7">
        <v>1</v>
      </c>
      <c r="V38" s="7">
        <v>100</v>
      </c>
      <c r="W38" s="7">
        <v>0</v>
      </c>
      <c r="X38" s="27">
        <f ca="1">VLOOKUP($I38,OFFSET([2]enemies!$A$1,0,0,COUNTA([2]enemies!$A:$A),MATCH(X$1,[2]enemies!$1:$1,0)-MATCH($I$1,[2]enemies!$1:$1,0)+1),MATCH(X$1,[2]enemies!$1:$1,0)-MATCH($I$1,[2]enemies!$1:$1,0)+1,FALSE)</f>
        <v>2</v>
      </c>
      <c r="Y38" s="8">
        <v>61</v>
      </c>
      <c r="Z38" s="5" t="str">
        <f ca="1">IFERROR(VLOOKUP($Y38,OFFSET([3]characters!$A$1,0,0,COUNTA([3]characters!$A:$A),MATCH(Z$1,[3]characters!$1:$1,0)-MATCH("character_id",[3]characters!$1:$1,0)+1),MATCH(Z$1,[3]characters!$1:$1,0)-MATCH("character_id",[3]characters!$1:$1,0)+1,FALSE),"")</f>
        <v>クロウ</v>
      </c>
      <c r="AA38" s="5">
        <f ca="1">IFERROR(VLOOKUP($Y38,OFFSET([3]characters!$A$1,0,0,COUNTA([3]characters!$A:$A),MATCH(AA$1,[3]characters!$1:$1,0)-MATCH("character_id",[3]characters!$1:$1,0)+1),MATCH(AA$1,[3]characters!$1:$1,0)-MATCH("character_id",[3]characters!$1:$1,0)+1,FALSE),"")</f>
        <v>2</v>
      </c>
      <c r="AB38" s="5" t="str">
        <f ca="1">IFERROR(VLOOKUP($Y38,OFFSET([3]characters!$A$1,0,0,COUNTA([3]characters!$A:$A),MATCH(AB$1,[3]characters!$1:$1,0)-MATCH("character_id",[3]characters!$1:$1,0)+1),MATCH(AB$1,[3]characters!$1:$1,0)-MATCH("character_id",[3]characters!$1:$1,0)+1,FALSE),"")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8" s="9">
        <v>2</v>
      </c>
      <c r="AD38" s="35">
        <f t="shared" ca="1" si="43"/>
        <v>2</v>
      </c>
      <c r="AE38" s="10">
        <v>15</v>
      </c>
      <c r="AF38" s="9">
        <v>0</v>
      </c>
      <c r="AG38" s="9">
        <v>0</v>
      </c>
      <c r="AH38" s="9">
        <v>0</v>
      </c>
      <c r="AI38" s="9">
        <v>0</v>
      </c>
      <c r="AJ38" s="9">
        <v>1</v>
      </c>
    </row>
    <row r="39" spans="1:36" ht="18" customHeight="1" x14ac:dyDescent="0.15">
      <c r="A39" s="22" t="str">
        <f t="shared" ca="1" si="40"/>
        <v>20003_2-3/45&lt;lv26&gt;s3</v>
      </c>
      <c r="B39" s="33">
        <v>20003</v>
      </c>
      <c r="C39" s="32">
        <v>2</v>
      </c>
      <c r="D39" s="2" t="str">
        <f t="shared" si="41"/>
        <v>20003_2</v>
      </c>
      <c r="E39" s="5" t="str">
        <f ca="1">VLOOKUP($B39,OFFSET([1]quests!$A$1,0,0,COUNTA([1]quests!$A:$A),MATCH(E$1,[1]quests!$1:$1,0)-MATCH($B$1,[1]quests!$1:$1,0)+1),MATCH(E$1,[1]quests!$1:$1,0)-MATCH($B$1,[1]quests!$1:$1,0)+1,FALSE)</f>
        <v>忍び寄る短剣</v>
      </c>
      <c r="F39" s="5" t="str">
        <f ca="1">VLOOKUP($D39,OFFSET([1]stages!$A$1,0,0,COUNTA([1]stages!$A:$A),MATCH(F$1,[1]stages!$2:$2,0)-MATCH($D$1,[1]stages!$2:$2,0)+1),MATCH(F$1,[1]stages!$2:$2,0)-MATCH($D$1,[1]stages!$2:$2,0)+1,FALSE)</f>
        <v xml:space="preserve">【中級】忍び寄る短剣 </v>
      </c>
      <c r="G39" s="32">
        <v>3</v>
      </c>
      <c r="H39" s="21" t="str">
        <f t="shared" si="42"/>
        <v>20003_2-3</v>
      </c>
      <c r="I39" s="31">
        <v>45</v>
      </c>
      <c r="J39" s="27" t="str">
        <f ca="1">VLOOKUP($I39,OFFSET([2]enemies!$A$1,0,0,COUNTA([2]enemies!$A:$A),MATCH(J$1,[2]enemies!$1:$1,0)-MATCH($I$1,[2]enemies!$1:$1,0)+1),MATCH(J$1,[2]enemies!$1:$1,0)-MATCH($I$1,[2]enemies!$1:$1,0)+1,FALSE)</f>
        <v>ショウイン</v>
      </c>
      <c r="K39" s="27" t="str">
        <f ca="1">VLOOKUP($I39,OFFSET([2]enemies!$A$1,0,0,COUNTA([2]enemies!$A:$A),MATCH(K$1,[2]enemies!$1:$1,0)-MATCH($I$1,[2]enemies!$1:$1,0)+1),MATCH(K$1,[2]enemies!$1:$1,0)-MATCH($I$1,[2]enemies!$1:$1,0)+1,FALSE)</f>
        <v>blue</v>
      </c>
      <c r="L39" s="29" t="str">
        <f>VLOOKUP(I39,[3]characters!$A:$J,10,FALSE)</f>
        <v>Drop1N</v>
      </c>
      <c r="M39" s="27" t="str">
        <f ca="1">VLOOKUP($I39,OFFSET([2]enemies!$A$1,0,0,COUNTA([2]enemies!$A:$A),MATCH(M$1,[2]enemies!$1:$1,0)-MATCH($I$1,[2]enemies!$1:$1,0)+1),MATCH(M$1,[2]enemies!$1:$1,0)-MATCH($I$1,[2]enemies!$1:$1,0)+1,FALSE)</f>
        <v>animal</v>
      </c>
      <c r="N39" s="27">
        <f ca="1">VLOOKUP($I39,OFFSET([2]enemies!$A$1,0,0,COUNTA([2]enemies!$A:$A),MATCH(N$1,[2]enemies!$1:$1,0)-MATCH($I$1,[2]enemies!$1:$1,0)+1),MATCH(N$1,[2]enemies!$1:$1,0)-MATCH($I$1,[2]enemies!$1:$1,0)+1,FALSE)</f>
        <v>15</v>
      </c>
      <c r="O39" s="6">
        <v>26</v>
      </c>
      <c r="P39" s="38">
        <v>2.2000000000000002</v>
      </c>
      <c r="Q39" s="38">
        <v>1</v>
      </c>
      <c r="R39" s="6">
        <v>0</v>
      </c>
      <c r="S39" s="5" t="str">
        <f ca="1">VLOOKUP($T39,OFFSET([4]enemy_skill_sets!$B$1,0,0,COUNTA([4]enemy_skill_sets!$B:$B),MATCH(J$1,[4]enemy_skill_sets!$1:$1,0)-MATCH($T$1,[4]enemy_skill_sets!$1:$1,0)+2),MATCH(J$1,[4]enemy_skill_sets!$1:$1,0)-MATCH($T$1,[4]enemy_skill_sets!$1:$1,0)+2,FALSE)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39" s="27">
        <f ca="1">VLOOKUP($I39,OFFSET([2]enemies!$A$1,0,0,COUNTA([2]enemies!$A:$A),MATCH(T$1,[2]enemies!$1:$1,0)-MATCH($I$1,[2]enemies!$1:$1,0)+1),MATCH(T$1,[2]enemies!$1:$1,0)-MATCH($I$1,[2]enemies!$1:$1,0)+1,FALSE)</f>
        <v>0</v>
      </c>
      <c r="U39" s="7">
        <v>1</v>
      </c>
      <c r="V39" s="7">
        <v>100</v>
      </c>
      <c r="W39" s="7">
        <v>0</v>
      </c>
      <c r="X39" s="27">
        <f ca="1">VLOOKUP($I39,OFFSET([2]enemies!$A$1,0,0,COUNTA([2]enemies!$A:$A),MATCH(X$1,[2]enemies!$1:$1,0)-MATCH($I$1,[2]enemies!$1:$1,0)+1),MATCH(X$1,[2]enemies!$1:$1,0)-MATCH($I$1,[2]enemies!$1:$1,0)+1,FALSE)</f>
        <v>3</v>
      </c>
      <c r="Y39" s="8">
        <v>45</v>
      </c>
      <c r="Z39" s="5" t="str">
        <f ca="1">IFERROR(VLOOKUP($Y39,OFFSET([3]characters!$A$1,0,0,COUNTA([3]characters!$A:$A),MATCH(Z$1,[3]characters!$1:$1,0)-MATCH("character_id",[3]characters!$1:$1,0)+1),MATCH(Z$1,[3]characters!$1:$1,0)-MATCH("character_id",[3]characters!$1:$1,0)+1,FALSE),"")</f>
        <v>ショウイン</v>
      </c>
      <c r="AA39" s="5">
        <f ca="1">IFERROR(VLOOKUP($Y39,OFFSET([3]characters!$A$1,0,0,COUNTA([3]characters!$A:$A),MATCH(AA$1,[3]characters!$1:$1,0)-MATCH("character_id",[3]characters!$1:$1,0)+1),MATCH(AA$1,[3]characters!$1:$1,0)-MATCH("character_id",[3]characters!$1:$1,0)+1,FALSE),"")</f>
        <v>2</v>
      </c>
      <c r="AB39" s="5" t="str">
        <f ca="1">IFERROR(VLOOKUP($Y39,OFFSET([3]characters!$A$1,0,0,COUNTA([3]characters!$A:$A),MATCH(AB$1,[3]characters!$1:$1,0)-MATCH("character_id",[3]characters!$1:$1,0)+1),MATCH(AB$1,[3]characters!$1:$1,0)-MATCH("character_id",[3]characters!$1:$1,0)+1,FALSE),"")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39" s="9">
        <v>2</v>
      </c>
      <c r="AD39" s="35">
        <f t="shared" ca="1" si="43"/>
        <v>2</v>
      </c>
      <c r="AE39" s="10">
        <v>15</v>
      </c>
      <c r="AF39" s="9">
        <v>0</v>
      </c>
      <c r="AG39" s="9">
        <v>0</v>
      </c>
      <c r="AH39" s="9">
        <v>0</v>
      </c>
      <c r="AI39" s="9">
        <v>0</v>
      </c>
      <c r="AJ39" s="9">
        <v>1</v>
      </c>
    </row>
    <row r="40" spans="1:36" ht="21" customHeight="1" x14ac:dyDescent="0.15">
      <c r="A40" s="22" t="str">
        <f t="shared" ref="A40:A42" ca="1" si="44">B40&amp;"_"&amp;C40&amp;"-"&amp;G40&amp;"/"&amp;I40&amp;"&lt;lv"&amp;O40&amp;"&gt;s"&amp;X40</f>
        <v>20003_2-4/17&lt;lv26&gt;s2</v>
      </c>
      <c r="B40" s="33">
        <v>20003</v>
      </c>
      <c r="C40" s="32">
        <v>2</v>
      </c>
      <c r="D40" s="2" t="str">
        <f t="shared" ref="D40:D42" si="45">B40&amp;"_"&amp;C40</f>
        <v>20003_2</v>
      </c>
      <c r="E40" s="5" t="str">
        <f ca="1">VLOOKUP($B40,OFFSET([1]quests!$A$1,0,0,COUNTA([1]quests!$A:$A),MATCH(E$1,[1]quests!$1:$1,0)-MATCH($B$1,[1]quests!$1:$1,0)+1),MATCH(E$1,[1]quests!$1:$1,0)-MATCH($B$1,[1]quests!$1:$1,0)+1,FALSE)</f>
        <v>忍び寄る短剣</v>
      </c>
      <c r="F40" s="5" t="str">
        <f ca="1">VLOOKUP($D40,OFFSET([1]stages!$A$1,0,0,COUNTA([1]stages!$A:$A),MATCH(F$1,[1]stages!$2:$2,0)-MATCH($D$1,[1]stages!$2:$2,0)+1),MATCH(F$1,[1]stages!$2:$2,0)-MATCH($D$1,[1]stages!$2:$2,0)+1,FALSE)</f>
        <v xml:space="preserve">【中級】忍び寄る短剣 </v>
      </c>
      <c r="G40" s="36">
        <v>4</v>
      </c>
      <c r="H40" s="21" t="str">
        <f t="shared" ref="H40:H42" si="46">B40&amp;"_"&amp;C40&amp;"-"&amp;G40</f>
        <v>20003_2-4</v>
      </c>
      <c r="I40" s="31">
        <v>17</v>
      </c>
      <c r="J40" s="27" t="str">
        <f ca="1">VLOOKUP($I40,OFFSET([2]enemies!$A$1,0,0,COUNTA([2]enemies!$A:$A),MATCH(J$1,[2]enemies!$1:$1,0)-MATCH($I$1,[2]enemies!$1:$1,0)+1),MATCH(J$1,[2]enemies!$1:$1,0)-MATCH($I$1,[2]enemies!$1:$1,0)+1,FALSE)</f>
        <v>リム</v>
      </c>
      <c r="K40" s="27" t="str">
        <f ca="1">VLOOKUP($I40,OFFSET([2]enemies!$A$1,0,0,COUNTA([2]enemies!$A:$A),MATCH(K$1,[2]enemies!$1:$1,0)-MATCH($I$1,[2]enemies!$1:$1,0)+1),MATCH(K$1,[2]enemies!$1:$1,0)-MATCH($I$1,[2]enemies!$1:$1,0)+1,FALSE)</f>
        <v>blue</v>
      </c>
      <c r="L40" s="29" t="str">
        <f>VLOOKUP(I40,[3]characters!$A:$J,10,FALSE)</f>
        <v>Drop1W</v>
      </c>
      <c r="M40" s="27" t="str">
        <f ca="1">VLOOKUP($I40,OFFSET([2]enemies!$A$1,0,0,COUNTA([2]enemies!$A:$A),MATCH(M$1,[2]enemies!$1:$1,0)-MATCH($I$1,[2]enemies!$1:$1,0)+1),MATCH(M$1,[2]enemies!$1:$1,0)-MATCH($I$1,[2]enemies!$1:$1,0)+1,FALSE)</f>
        <v>human</v>
      </c>
      <c r="N40" s="27">
        <f ca="1">VLOOKUP($I40,OFFSET([2]enemies!$A$1,0,0,COUNTA([2]enemies!$A:$A),MATCH(N$1,[2]enemies!$1:$1,0)-MATCH($I$1,[2]enemies!$1:$1,0)+1),MATCH(N$1,[2]enemies!$1:$1,0)-MATCH($I$1,[2]enemies!$1:$1,0)+1,FALSE)</f>
        <v>15</v>
      </c>
      <c r="O40" s="6">
        <v>26</v>
      </c>
      <c r="P40" s="38">
        <v>2.2000000000000002</v>
      </c>
      <c r="Q40" s="38">
        <v>1</v>
      </c>
      <c r="R40" s="6">
        <v>0</v>
      </c>
      <c r="S40" s="5" t="str">
        <f ca="1">VLOOKUP($T40,OFFSET([4]enemy_skill_sets!$B$1,0,0,COUNTA([4]enemy_skill_sets!$B:$B),MATCH(J$1,[4]enemy_skill_sets!$1:$1,0)-MATCH($T$1,[4]enemy_skill_sets!$1:$1,0)+2),MATCH(J$1,[4]enemy_skill_sets!$1:$1,0)-MATCH($T$1,[4]enemy_skill_sets!$1:$1,0)+2,FALSE)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0" s="27">
        <f ca="1">VLOOKUP($I40,OFFSET([2]enemies!$A$1,0,0,COUNTA([2]enemies!$A:$A),MATCH(T$1,[2]enemies!$1:$1,0)-MATCH($I$1,[2]enemies!$1:$1,0)+1),MATCH(T$1,[2]enemies!$1:$1,0)-MATCH($I$1,[2]enemies!$1:$1,0)+1,FALSE)</f>
        <v>0</v>
      </c>
      <c r="U40" s="7">
        <v>1</v>
      </c>
      <c r="V40" s="7">
        <v>100</v>
      </c>
      <c r="W40" s="7">
        <v>0</v>
      </c>
      <c r="X40" s="27">
        <f ca="1">VLOOKUP($I40,OFFSET([2]enemies!$A$1,0,0,COUNTA([2]enemies!$A:$A),MATCH(X$1,[2]enemies!$1:$1,0)-MATCH($I$1,[2]enemies!$1:$1,0)+1),MATCH(X$1,[2]enemies!$1:$1,0)-MATCH($I$1,[2]enemies!$1:$1,0)+1,FALSE)</f>
        <v>2</v>
      </c>
      <c r="Y40" s="8">
        <v>17</v>
      </c>
      <c r="Z40" s="5" t="str">
        <f ca="1">IFERROR(VLOOKUP($Y40,OFFSET([3]characters!$A$1,0,0,COUNTA([3]characters!$A:$A),MATCH(Z$1,[3]characters!$1:$1,0)-MATCH("character_id",[3]characters!$1:$1,0)+1),MATCH(Z$1,[3]characters!$1:$1,0)-MATCH("character_id",[3]characters!$1:$1,0)+1,FALSE),"")</f>
        <v>リム</v>
      </c>
      <c r="AA40" s="5">
        <f ca="1">IFERROR(VLOOKUP($Y40,OFFSET([3]characters!$A$1,0,0,COUNTA([3]characters!$A:$A),MATCH(AA$1,[3]characters!$1:$1,0)-MATCH("character_id",[3]characters!$1:$1,0)+1),MATCH(AA$1,[3]characters!$1:$1,0)-MATCH("character_id",[3]characters!$1:$1,0)+1,FALSE),"")</f>
        <v>1</v>
      </c>
      <c r="AB40" s="5" t="str">
        <f ca="1">IFERROR(VLOOKUP($Y40,OFFSET([3]characters!$A$1,0,0,COUNTA([3]characters!$A:$A),MATCH(AB$1,[3]characters!$1:$1,0)-MATCH("character_id",[3]characters!$1:$1,0)+1),MATCH(AB$1,[3]characters!$1:$1,0)-MATCH("character_id",[3]characters!$1:$1,0)+1,FALSE),"")</f>
        <v>Drop1W</v>
      </c>
      <c r="AC40" s="9">
        <v>4</v>
      </c>
      <c r="AD40" s="35">
        <f t="shared" ref="AD40:AD42" ca="1" si="47">AA40</f>
        <v>1</v>
      </c>
      <c r="AE40" s="10">
        <v>15</v>
      </c>
      <c r="AF40" s="9">
        <v>0</v>
      </c>
      <c r="AG40" s="9">
        <v>0</v>
      </c>
      <c r="AH40" s="9">
        <v>0</v>
      </c>
      <c r="AI40" s="9">
        <v>0</v>
      </c>
      <c r="AJ40" s="9">
        <v>1</v>
      </c>
    </row>
    <row r="41" spans="1:36" ht="21" customHeight="1" x14ac:dyDescent="0.15">
      <c r="A41" s="22" t="str">
        <f t="shared" si="44"/>
        <v>20003_2-4/123&lt;lv26&gt;s3</v>
      </c>
      <c r="B41" s="33">
        <v>20003</v>
      </c>
      <c r="C41" s="32">
        <v>2</v>
      </c>
      <c r="D41" s="2" t="str">
        <f t="shared" si="45"/>
        <v>20003_2</v>
      </c>
      <c r="E41" s="5" t="str">
        <f ca="1">VLOOKUP($B41,OFFSET([1]quests!$A$1,0,0,COUNTA([1]quests!$A:$A),MATCH(E$1,[1]quests!$1:$1,0)-MATCH($B$1,[1]quests!$1:$1,0)+1),MATCH(E$1,[1]quests!$1:$1,0)-MATCH($B$1,[1]quests!$1:$1,0)+1,FALSE)</f>
        <v>忍び寄る短剣</v>
      </c>
      <c r="F41" s="5" t="str">
        <f ca="1">VLOOKUP($D41,OFFSET([1]stages!$A$1,0,0,COUNTA([1]stages!$A:$A),MATCH(F$1,[1]stages!$2:$2,0)-MATCH($D$1,[1]stages!$2:$2,0)+1),MATCH(F$1,[1]stages!$2:$2,0)-MATCH($D$1,[1]stages!$2:$2,0)+1,FALSE)</f>
        <v xml:space="preserve">【中級】忍び寄る短剣 </v>
      </c>
      <c r="G41" s="36">
        <v>4</v>
      </c>
      <c r="H41" s="21" t="str">
        <f t="shared" si="46"/>
        <v>20003_2-4</v>
      </c>
      <c r="I41" s="31">
        <v>123</v>
      </c>
      <c r="J41" s="27" t="str">
        <f ca="1">VLOOKUP($I41,OFFSET([2]enemies!$A$1,0,0,COUNTA([2]enemies!$A:$A),MATCH(J$1,[2]enemies!$1:$1,0)-MATCH($I$1,[2]enemies!$1:$1,0)+1),MATCH(J$1,[2]enemies!$1:$1,0)-MATCH($I$1,[2]enemies!$1:$1,0)+1,FALSE)</f>
        <v>癒しの果実</v>
      </c>
      <c r="K41" s="27" t="str">
        <f ca="1">VLOOKUP($I41,OFFSET([2]enemies!$A$1,0,0,COUNTA([2]enemies!$A:$A),MATCH(K$1,[2]enemies!$1:$1,0)-MATCH($I$1,[2]enemies!$1:$1,0)+1),MATCH(K$1,[2]enemies!$1:$1,0)-MATCH($I$1,[2]enemies!$1:$1,0)+1,FALSE)</f>
        <v>blue</v>
      </c>
      <c r="L41" s="29" t="str">
        <f>VLOOKUP(I41,[3]characters!$A:$J,10,FALSE)</f>
        <v>Material</v>
      </c>
      <c r="M41" s="27" t="str">
        <f ca="1">VLOOKUP($I41,OFFSET([2]enemies!$A$1,0,0,COUNTA([2]enemies!$A:$A),MATCH(M$1,[2]enemies!$1:$1,0)-MATCH($I$1,[2]enemies!$1:$1,0)+1),MATCH(M$1,[2]enemies!$1:$1,0)-MATCH($I$1,[2]enemies!$1:$1,0)+1,FALSE)</f>
        <v>unknown</v>
      </c>
      <c r="N41" s="27">
        <f ca="1">VLOOKUP($I41,OFFSET([2]enemies!$A$1,0,0,COUNTA([2]enemies!$A:$A),MATCH(N$1,[2]enemies!$1:$1,0)-MATCH($I$1,[2]enemies!$1:$1,0)+1),MATCH(N$1,[2]enemies!$1:$1,0)-MATCH($I$1,[2]enemies!$1:$1,0)+1,FALSE)</f>
        <v>20</v>
      </c>
      <c r="O41" s="6">
        <v>26</v>
      </c>
      <c r="P41" s="38">
        <v>2.2000000000000002</v>
      </c>
      <c r="Q41" s="38">
        <v>1</v>
      </c>
      <c r="R41" s="6">
        <v>0</v>
      </c>
      <c r="S41" s="5" t="str">
        <f ca="1">VLOOKUP($T41,OFFSET([4]enemy_skill_sets!$B$1,0,0,COUNTA([4]enemy_skill_sets!$B:$B),MATCH("name",[4]enemy_skill_sets!$1:$1,0)-MATCH($T$1,[4]enemy_skill_sets!$1:$1,0)+2),MATCH("name",[4]enemy_skill_sets!$1:$1,0)-MATCH($T$1,[4]enemy_skill_sets!$1:$1,0)+2,FALSE)</f>
        <v>回復</v>
      </c>
      <c r="T41" s="42">
        <v>1231</v>
      </c>
      <c r="U41" s="7">
        <v>1</v>
      </c>
      <c r="V41" s="7">
        <v>100</v>
      </c>
      <c r="W41" s="7">
        <v>1</v>
      </c>
      <c r="X41" s="42">
        <v>3</v>
      </c>
      <c r="Y41" s="8">
        <v>123</v>
      </c>
      <c r="Z41" s="5" t="str">
        <f ca="1">IFERROR(VLOOKUP($Y41,OFFSET([3]characters!$A$1,0,0,COUNTA([3]characters!$A:$A),MATCH(Z$1,[3]characters!$1:$1,0)-MATCH("character_id",[3]characters!$1:$1,0)+1),MATCH(Z$1,[3]characters!$1:$1,0)-MATCH("character_id",[3]characters!$1:$1,0)+1,FALSE),"")</f>
        <v>癒しの果実</v>
      </c>
      <c r="AA41" s="5">
        <f ca="1">IFERROR(VLOOKUP($Y41,OFFSET([3]characters!$A$1,0,0,COUNTA([3]characters!$A:$A),MATCH(AA$1,[3]characters!$1:$1,0)-MATCH("character_id",[3]characters!$1:$1,0)+1),MATCH(AA$1,[3]characters!$1:$1,0)-MATCH("character_id",[3]characters!$1:$1,0)+1,FALSE),"")</f>
        <v>3</v>
      </c>
      <c r="AB41" s="5" t="str">
        <f ca="1">IFERROR(VLOOKUP($Y41,OFFSET([3]characters!$A$1,0,0,COUNTA([3]characters!$A:$A),MATCH(AB$1,[3]characters!$1:$1,0)-MATCH("character_id",[3]characters!$1:$1,0)+1),MATCH(AB$1,[3]characters!$1:$1,0)-MATCH("character_id",[3]characters!$1:$1,0)+1,FALSE),"")</f>
        <v>Material</v>
      </c>
      <c r="AC41" s="9">
        <v>1</v>
      </c>
      <c r="AD41" s="35">
        <f t="shared" ca="1" si="47"/>
        <v>3</v>
      </c>
      <c r="AE41" s="10">
        <v>15</v>
      </c>
      <c r="AF41" s="9">
        <v>0</v>
      </c>
      <c r="AG41" s="9">
        <v>0</v>
      </c>
      <c r="AH41" s="9">
        <v>0</v>
      </c>
      <c r="AI41" s="9">
        <v>0</v>
      </c>
      <c r="AJ41" s="9">
        <v>1</v>
      </c>
    </row>
    <row r="42" spans="1:36" ht="21" customHeight="1" x14ac:dyDescent="0.15">
      <c r="A42" s="22" t="str">
        <f t="shared" ca="1" si="44"/>
        <v>20003_2-4/71&lt;lv26&gt;s4</v>
      </c>
      <c r="B42" s="33">
        <v>20003</v>
      </c>
      <c r="C42" s="32">
        <v>2</v>
      </c>
      <c r="D42" s="2" t="str">
        <f t="shared" si="45"/>
        <v>20003_2</v>
      </c>
      <c r="E42" s="5" t="str">
        <f ca="1">VLOOKUP($B42,OFFSET([1]quests!$A$1,0,0,COUNTA([1]quests!$A:$A),MATCH(E$1,[1]quests!$1:$1,0)-MATCH($B$1,[1]quests!$1:$1,0)+1),MATCH(E$1,[1]quests!$1:$1,0)-MATCH($B$1,[1]quests!$1:$1,0)+1,FALSE)</f>
        <v>忍び寄る短剣</v>
      </c>
      <c r="F42" s="5" t="str">
        <f ca="1">VLOOKUP($D42,OFFSET([1]stages!$A$1,0,0,COUNTA([1]stages!$A:$A),MATCH(F$1,[1]stages!$2:$2,0)-MATCH($D$1,[1]stages!$2:$2,0)+1),MATCH(F$1,[1]stages!$2:$2,0)-MATCH($D$1,[1]stages!$2:$2,0)+1,FALSE)</f>
        <v xml:space="preserve">【中級】忍び寄る短剣 </v>
      </c>
      <c r="G42" s="36">
        <v>4</v>
      </c>
      <c r="H42" s="21" t="str">
        <f t="shared" si="46"/>
        <v>20003_2-4</v>
      </c>
      <c r="I42" s="31">
        <v>71</v>
      </c>
      <c r="J42" s="27" t="str">
        <f ca="1">VLOOKUP($I42,OFFSET([2]enemies!$A$1,0,0,COUNTA([2]enemies!$A:$A),MATCH(J$1,[2]enemies!$1:$1,0)-MATCH($I$1,[2]enemies!$1:$1,0)+1),MATCH(J$1,[2]enemies!$1:$1,0)-MATCH($I$1,[2]enemies!$1:$1,0)+1,FALSE)</f>
        <v>ダックス</v>
      </c>
      <c r="K42" s="27" t="str">
        <f ca="1">VLOOKUP($I42,OFFSET([2]enemies!$A$1,0,0,COUNTA([2]enemies!$A:$A),MATCH(K$1,[2]enemies!$1:$1,0)-MATCH($I$1,[2]enemies!$1:$1,0)+1),MATCH(K$1,[2]enemies!$1:$1,0)-MATCH($I$1,[2]enemies!$1:$1,0)+1,FALSE)</f>
        <v>blue</v>
      </c>
      <c r="L42" s="29" t="str">
        <f>VLOOKUP(I42,[3]characters!$A:$J,10,FALSE)</f>
        <v>Drop1S</v>
      </c>
      <c r="M42" s="27" t="str">
        <f ca="1">VLOOKUP($I42,OFFSET([2]enemies!$A$1,0,0,COUNTA([2]enemies!$A:$A),MATCH(M$1,[2]enemies!$1:$1,0)-MATCH($I$1,[2]enemies!$1:$1,0)+1),MATCH(M$1,[2]enemies!$1:$1,0)-MATCH($I$1,[2]enemies!$1:$1,0)+1,FALSE)</f>
        <v>animal</v>
      </c>
      <c r="N42" s="27">
        <f ca="1">VLOOKUP($I42,OFFSET([2]enemies!$A$1,0,0,COUNTA([2]enemies!$A:$A),MATCH(N$1,[2]enemies!$1:$1,0)-MATCH($I$1,[2]enemies!$1:$1,0)+1),MATCH(N$1,[2]enemies!$1:$1,0)-MATCH($I$1,[2]enemies!$1:$1,0)+1,FALSE)</f>
        <v>15</v>
      </c>
      <c r="O42" s="6">
        <v>26</v>
      </c>
      <c r="P42" s="38">
        <v>2.2000000000000002</v>
      </c>
      <c r="Q42" s="38">
        <v>0.8</v>
      </c>
      <c r="R42" s="6">
        <v>0</v>
      </c>
      <c r="S42" s="5" t="str">
        <f ca="1">VLOOKUP($T42,OFFSET([4]enemy_skill_sets!$B$1,0,0,COUNTA([4]enemy_skill_sets!$B:$B),MATCH(J$1,[4]enemy_skill_sets!$1:$1,0)-MATCH($T$1,[4]enemy_skill_sets!$1:$1,0)+2),MATCH(J$1,[4]enemy_skill_sets!$1:$1,0)-MATCH($T$1,[4]enemy_skill_sets!$1:$1,0)+2,FALSE)</f>
        <v>3ターン攻撃頻度が1ターンにUP</v>
      </c>
      <c r="T42" s="27">
        <f ca="1">VLOOKUP($I42,OFFSET([2]enemies!$A$1,0,0,COUNTA([2]enemies!$A:$A),MATCH(T$1,[2]enemies!$1:$1,0)-MATCH($I$1,[2]enemies!$1:$1,0)+1),MATCH(T$1,[2]enemies!$1:$1,0)-MATCH($I$1,[2]enemies!$1:$1,0)+1,FALSE)</f>
        <v>71</v>
      </c>
      <c r="U42" s="7">
        <v>1</v>
      </c>
      <c r="V42" s="7">
        <v>100</v>
      </c>
      <c r="W42" s="7">
        <v>0</v>
      </c>
      <c r="X42" s="27">
        <f ca="1">VLOOKUP($I42,OFFSET([2]enemies!$A$1,0,0,COUNTA([2]enemies!$A:$A),MATCH(X$1,[2]enemies!$1:$1,0)-MATCH($I$1,[2]enemies!$1:$1,0)+1),MATCH(X$1,[2]enemies!$1:$1,0)-MATCH($I$1,[2]enemies!$1:$1,0)+1,FALSE)</f>
        <v>4</v>
      </c>
      <c r="Y42" s="8">
        <v>71</v>
      </c>
      <c r="Z42" s="5" t="str">
        <f ca="1">IFERROR(VLOOKUP($Y42,OFFSET([3]characters!$A$1,0,0,COUNTA([3]characters!$A:$A),MATCH(Z$1,[3]characters!$1:$1,0)-MATCH("character_id",[3]characters!$1:$1,0)+1),MATCH(Z$1,[3]characters!$1:$1,0)-MATCH("character_id",[3]characters!$1:$1,0)+1,FALSE),"")</f>
        <v>ダックス</v>
      </c>
      <c r="AA42" s="5">
        <f ca="1">IFERROR(VLOOKUP($Y42,OFFSET([3]characters!$A$1,0,0,COUNTA([3]characters!$A:$A),MATCH(AA$1,[3]characters!$1:$1,0)-MATCH("character_id",[3]characters!$1:$1,0)+1),MATCH(AA$1,[3]characters!$1:$1,0)-MATCH("character_id",[3]characters!$1:$1,0)+1,FALSE),"")</f>
        <v>2</v>
      </c>
      <c r="AB42" s="5" t="str">
        <f ca="1">IFERROR(VLOOKUP($Y42,OFFSET([3]characters!$A$1,0,0,COUNTA([3]characters!$A:$A),MATCH(AB$1,[3]characters!$1:$1,0)-MATCH("character_id",[3]characters!$1:$1,0)+1),MATCH(AB$1,[3]characters!$1:$1,0)-MATCH("character_id",[3]characters!$1:$1,0)+1,FALSE),"")</f>
        <v>Drop1S</v>
      </c>
      <c r="AC42" s="9">
        <v>1</v>
      </c>
      <c r="AD42" s="35">
        <f t="shared" ca="1" si="47"/>
        <v>2</v>
      </c>
      <c r="AE42" s="10">
        <v>10</v>
      </c>
      <c r="AF42" s="9">
        <v>0</v>
      </c>
      <c r="AG42" s="9">
        <v>0</v>
      </c>
      <c r="AH42" s="9">
        <v>0</v>
      </c>
      <c r="AI42" s="9">
        <v>0</v>
      </c>
      <c r="AJ42" s="9">
        <v>1</v>
      </c>
    </row>
    <row r="43" spans="1:36" ht="21" customHeight="1" x14ac:dyDescent="0.15">
      <c r="A43" s="22" t="str">
        <f t="shared" ref="A43" ca="1" si="48">B43&amp;"_"&amp;C43&amp;"-"&amp;G43&amp;"/"&amp;I43&amp;"&lt;lv"&amp;O43&amp;"&gt;s"&amp;X43</f>
        <v>20003_2-5/266&lt;lv37&gt;s2</v>
      </c>
      <c r="B43" s="33">
        <v>20003</v>
      </c>
      <c r="C43" s="32">
        <v>2</v>
      </c>
      <c r="D43" s="2" t="str">
        <f t="shared" ref="D43" si="49">B43&amp;"_"&amp;C43</f>
        <v>20003_2</v>
      </c>
      <c r="E43" s="5" t="str">
        <f ca="1">VLOOKUP($B43,OFFSET([1]quests!$A$1,0,0,COUNTA([1]quests!$A:$A),MATCH(E$1,[1]quests!$1:$1,0)-MATCH($B$1,[1]quests!$1:$1,0)+1),MATCH(E$1,[1]quests!$1:$1,0)-MATCH($B$1,[1]quests!$1:$1,0)+1,FALSE)</f>
        <v>忍び寄る短剣</v>
      </c>
      <c r="F43" s="5" t="str">
        <f ca="1">VLOOKUP($D43,OFFSET([1]stages!$A$1,0,0,COUNTA([1]stages!$A:$A),MATCH(F$1,[1]stages!$2:$2,0)-MATCH($D$1,[1]stages!$2:$2,0)+1),MATCH(F$1,[1]stages!$2:$2,0)-MATCH($D$1,[1]stages!$2:$2,0)+1,FALSE)</f>
        <v xml:space="preserve">【中級】忍び寄る短剣 </v>
      </c>
      <c r="G43" s="36">
        <v>5</v>
      </c>
      <c r="H43" s="21" t="str">
        <f t="shared" ref="H43" si="50">B43&amp;"_"&amp;C43&amp;"-"&amp;G43</f>
        <v>20003_2-5</v>
      </c>
      <c r="I43" s="31">
        <v>266</v>
      </c>
      <c r="J43" s="27" t="str">
        <f ca="1">VLOOKUP($I43,OFFSET([2]enemies!$A$1,0,0,COUNTA([2]enemies!$A:$A),MATCH(J$1,[2]enemies!$1:$1,0)-MATCH($I$1,[2]enemies!$1:$1,0)+1),MATCH(J$1,[2]enemies!$1:$1,0)-MATCH($I$1,[2]enemies!$1:$1,0)+1,FALSE)</f>
        <v>リリアンブルー</v>
      </c>
      <c r="K43" s="27" t="str">
        <f ca="1">VLOOKUP($I43,OFFSET([2]enemies!$A$1,0,0,COUNTA([2]enemies!$A:$A),MATCH(K$1,[2]enemies!$1:$1,0)-MATCH($I$1,[2]enemies!$1:$1,0)+1),MATCH(K$1,[2]enemies!$1:$1,0)-MATCH($I$1,[2]enemies!$1:$1,0)+1,FALSE)</f>
        <v>blue</v>
      </c>
      <c r="L43" s="29" t="str">
        <f>VLOOKUP(I43,[3]characters!$A:$J,10,FALSE)</f>
        <v>Drop2W</v>
      </c>
      <c r="M43" s="27" t="str">
        <f ca="1">VLOOKUP($I43,OFFSET([2]enemies!$A$1,0,0,COUNTA([2]enemies!$A:$A),MATCH(M$1,[2]enemies!$1:$1,0)-MATCH($I$1,[2]enemies!$1:$1,0)+1),MATCH(M$1,[2]enemies!$1:$1,0)-MATCH($I$1,[2]enemies!$1:$1,0)+1,FALSE)</f>
        <v>animal</v>
      </c>
      <c r="N43" s="27">
        <f ca="1">VLOOKUP($I43,OFFSET([2]enemies!$A$1,0,0,COUNTA([2]enemies!$A:$A),MATCH(N$1,[2]enemies!$1:$1,0)-MATCH($I$1,[2]enemies!$1:$1,0)+1),MATCH(N$1,[2]enemies!$1:$1,0)-MATCH($I$1,[2]enemies!$1:$1,0)+1,FALSE)</f>
        <v>20</v>
      </c>
      <c r="O43" s="6">
        <v>37</v>
      </c>
      <c r="P43" s="38">
        <v>2.7</v>
      </c>
      <c r="Q43" s="38">
        <v>0.9</v>
      </c>
      <c r="R43" s="6">
        <v>0</v>
      </c>
      <c r="S43" s="5" t="str">
        <f ca="1">VLOOKUP($T43,OFFSET([4]enemy_skill_sets!$B$1,0,0,COUNTA([4]enemy_skill_sets!$B:$B),MATCH(J$1,[4]enemy_skill_sets!$1:$1,0)-MATCH($T$1,[4]enemy_skill_sets!$1:$1,0)+2),MATCH(J$1,[4]enemy_skill_sets!$1:$1,0)-MATCH($T$1,[4]enemy_skill_sets!$1:$1,0)+2,FALSE)</f>
        <v>この戦闘ではスキルが使えない！</v>
      </c>
      <c r="T43" s="27">
        <f ca="1">VLOOKUP($I43,OFFSET([2]enemies!$A$1,0,0,COUNTA([2]enemies!$A:$A),MATCH(T$1,[2]enemies!$1:$1,0)-MATCH($I$1,[2]enemies!$1:$1,0)+1),MATCH(T$1,[2]enemies!$1:$1,0)-MATCH($I$1,[2]enemies!$1:$1,0)+1,FALSE)</f>
        <v>266</v>
      </c>
      <c r="U43" s="7">
        <v>1</v>
      </c>
      <c r="V43" s="7">
        <v>100</v>
      </c>
      <c r="W43" s="7">
        <v>1</v>
      </c>
      <c r="X43" s="27">
        <f ca="1">VLOOKUP($I43,OFFSET([2]enemies!$A$1,0,0,COUNTA([2]enemies!$A:$A),MATCH(X$1,[2]enemies!$1:$1,0)-MATCH($I$1,[2]enemies!$1:$1,0)+1),MATCH(X$1,[2]enemies!$1:$1,0)-MATCH($I$1,[2]enemies!$1:$1,0)+1,FALSE)</f>
        <v>2</v>
      </c>
      <c r="Y43" s="8">
        <v>266</v>
      </c>
      <c r="Z43" s="5" t="str">
        <f ca="1">IFERROR(VLOOKUP($Y43,OFFSET([3]characters!$A$1,0,0,COUNTA([3]characters!$A:$A),MATCH(Z$1,[3]characters!$1:$1,0)-MATCH("character_id",[3]characters!$1:$1,0)+1),MATCH(Z$1,[3]characters!$1:$1,0)-MATCH("character_id",[3]characters!$1:$1,0)+1,FALSE),"")</f>
        <v>リリアンブルー</v>
      </c>
      <c r="AA43" s="5">
        <f ca="1">IFERROR(VLOOKUP($Y43,OFFSET([3]characters!$A$1,0,0,COUNTA([3]characters!$A:$A),MATCH(AA$1,[3]characters!$1:$1,0)-MATCH("character_id",[3]characters!$1:$1,0)+1),MATCH(AA$1,[3]characters!$1:$1,0)-MATCH("character_id",[3]characters!$1:$1,0)+1,FALSE),"")</f>
        <v>3</v>
      </c>
      <c r="AB43" s="5" t="str">
        <f ca="1">IFERROR(VLOOKUP($Y43,OFFSET([3]characters!$A$1,0,0,COUNTA([3]characters!$A:$A),MATCH(AB$1,[3]characters!$1:$1,0)-MATCH("character_id",[3]characters!$1:$1,0)+1),MATCH(AB$1,[3]characters!$1:$1,0)-MATCH("character_id",[3]characters!$1:$1,0)+1,FALSE),"")</f>
        <v>Drop2W</v>
      </c>
      <c r="AC43" s="9">
        <v>1</v>
      </c>
      <c r="AD43" s="35">
        <f t="shared" ref="AD43" ca="1" si="51">AA43</f>
        <v>3</v>
      </c>
      <c r="AE43" s="44">
        <v>50</v>
      </c>
      <c r="AF43" s="9">
        <v>0</v>
      </c>
      <c r="AG43" s="9">
        <v>0</v>
      </c>
      <c r="AH43" s="9">
        <v>0</v>
      </c>
      <c r="AI43" s="9">
        <v>0</v>
      </c>
      <c r="AJ43" s="9">
        <v>1</v>
      </c>
    </row>
    <row r="44" spans="1:36" ht="21" customHeight="1" x14ac:dyDescent="0.15">
      <c r="A44" s="22" t="str">
        <f ca="1">B44&amp;"_"&amp;C44&amp;"-"&amp;G44&amp;"/"&amp;I44&amp;"&lt;lv"&amp;O44&amp;"&gt;s"&amp;X44</f>
        <v>20003_3-1/6&lt;lv48&gt;s3</v>
      </c>
      <c r="B44" s="33">
        <v>20003</v>
      </c>
      <c r="C44" s="32">
        <v>3</v>
      </c>
      <c r="D44" s="2" t="str">
        <f>B44&amp;"_"&amp;C44</f>
        <v>20003_3</v>
      </c>
      <c r="E44" s="5" t="str">
        <f ca="1">VLOOKUP($B44,OFFSET([1]quests!$A$1,0,0,COUNTA([1]quests!$A:$A),MATCH(E$1,[1]quests!$1:$1,0)-MATCH($B$1,[1]quests!$1:$1,0)+1),MATCH(E$1,[1]quests!$1:$1,0)-MATCH($B$1,[1]quests!$1:$1,0)+1,FALSE)</f>
        <v>忍び寄る短剣</v>
      </c>
      <c r="F44" s="5" t="str">
        <f ca="1">VLOOKUP($D44,OFFSET([1]stages!$A$1,0,0,COUNTA([1]stages!$A:$A),MATCH(F$1,[1]stages!$2:$2,0)-MATCH($D$1,[1]stages!$2:$2,0)+1),MATCH(F$1,[1]stages!$2:$2,0)-MATCH($D$1,[1]stages!$2:$2,0)+1,FALSE)</f>
        <v xml:space="preserve">【上級】忍び寄る短剣 </v>
      </c>
      <c r="G44" s="32">
        <v>1</v>
      </c>
      <c r="H44" s="21" t="str">
        <f>B44&amp;"_"&amp;C44&amp;"-"&amp;G44</f>
        <v>20003_3-1</v>
      </c>
      <c r="I44" s="31">
        <v>6</v>
      </c>
      <c r="J44" s="27" t="str">
        <f ca="1">VLOOKUP($I44,OFFSET([2]enemies!$A$1,0,0,COUNTA([2]enemies!$A:$A),MATCH(J$1,[2]enemies!$1:$1,0)-MATCH($I$1,[2]enemies!$1:$1,0)+1),MATCH(J$1,[2]enemies!$1:$1,0)-MATCH($I$1,[2]enemies!$1:$1,0)+1,FALSE)</f>
        <v>パトドッグリーダー ポチ</v>
      </c>
      <c r="K44" s="27" t="str">
        <f ca="1">VLOOKUP($I44,OFFSET([2]enemies!$A$1,0,0,COUNTA([2]enemies!$A:$A),MATCH(K$1,[2]enemies!$1:$1,0)-MATCH($I$1,[2]enemies!$1:$1,0)+1),MATCH(K$1,[2]enemies!$1:$1,0)-MATCH($I$1,[2]enemies!$1:$1,0)+1,FALSE)</f>
        <v>blue</v>
      </c>
      <c r="L44" s="29" t="str">
        <f>VLOOKUP(I44,[3]characters!$A:$J,10,FALSE)</f>
        <v>Drop1T</v>
      </c>
      <c r="M44" s="27" t="str">
        <f ca="1">VLOOKUP($I44,OFFSET([2]enemies!$A$1,0,0,COUNTA([2]enemies!$A:$A),MATCH(M$1,[2]enemies!$1:$1,0)-MATCH($I$1,[2]enemies!$1:$1,0)+1),MATCH(M$1,[2]enemies!$1:$1,0)-MATCH($I$1,[2]enemies!$1:$1,0)+1,FALSE)</f>
        <v>unknown</v>
      </c>
      <c r="N44" s="27">
        <f ca="1">VLOOKUP($I44,OFFSET([2]enemies!$A$1,0,0,COUNTA([2]enemies!$A:$A),MATCH(N$1,[2]enemies!$1:$1,0)-MATCH($I$1,[2]enemies!$1:$1,0)+1),MATCH(N$1,[2]enemies!$1:$1,0)-MATCH($I$1,[2]enemies!$1:$1,0)+1,FALSE)</f>
        <v>15</v>
      </c>
      <c r="O44" s="6">
        <v>48</v>
      </c>
      <c r="P44" s="38">
        <v>1.9</v>
      </c>
      <c r="Q44" s="38">
        <v>1</v>
      </c>
      <c r="R44" s="6">
        <v>0</v>
      </c>
      <c r="S44" s="5" t="str">
        <f ca="1">VLOOKUP($T44,OFFSET([4]enemy_skill_sets!$B$1,0,0,COUNTA([4]enemy_skill_sets!$B:$B),MATCH(J$1,[4]enemy_skill_sets!$1:$1,0)-MATCH($T$1,[4]enemy_skill_sets!$1:$1,0)+2),MATCH(J$1,[4]enemy_skill_sets!$1:$1,0)-MATCH($T$1,[4]enemy_skill_sets!$1:$1,0)+2,FALSE)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4" s="27">
        <f ca="1">VLOOKUP($I44,OFFSET([2]enemies!$A$1,0,0,COUNTA([2]enemies!$A:$A),MATCH(T$1,[2]enemies!$1:$1,0)-MATCH($I$1,[2]enemies!$1:$1,0)+1),MATCH(T$1,[2]enemies!$1:$1,0)-MATCH($I$1,[2]enemies!$1:$1,0)+1,FALSE)</f>
        <v>0</v>
      </c>
      <c r="U44" s="7">
        <v>0</v>
      </c>
      <c r="V44" s="7">
        <v>100</v>
      </c>
      <c r="W44" s="7">
        <v>0</v>
      </c>
      <c r="X44" s="27">
        <f ca="1">VLOOKUP($I44,OFFSET([2]enemies!$A$1,0,0,COUNTA([2]enemies!$A:$A),MATCH(X$1,[2]enemies!$1:$1,0)-MATCH($I$1,[2]enemies!$1:$1,0)+1),MATCH(X$1,[2]enemies!$1:$1,0)-MATCH($I$1,[2]enemies!$1:$1,0)+1,FALSE)</f>
        <v>3</v>
      </c>
      <c r="Y44" s="8">
        <v>6</v>
      </c>
      <c r="Z44" s="5" t="str">
        <f ca="1">IFERROR(VLOOKUP($Y44,OFFSET([3]characters!$A$1,0,0,COUNTA([3]characters!$A:$A),MATCH(Z$1,[3]characters!$1:$1,0)-MATCH("character_id",[3]characters!$1:$1,0)+1),MATCH(Z$1,[3]characters!$1:$1,0)-MATCH("character_id",[3]characters!$1:$1,0)+1,FALSE),"")</f>
        <v>パトドッグリーダー ポチ</v>
      </c>
      <c r="AA44" s="5">
        <f ca="1">IFERROR(VLOOKUP($Y44,OFFSET([3]characters!$A$1,0,0,COUNTA([3]characters!$A:$A),MATCH(AA$1,[3]characters!$1:$1,0)-MATCH("character_id",[3]characters!$1:$1,0)+1),MATCH(AA$1,[3]characters!$1:$1,0)-MATCH("character_id",[3]characters!$1:$1,0)+1,FALSE),"")</f>
        <v>2</v>
      </c>
      <c r="AB44" s="5" t="str">
        <f ca="1">IFERROR(VLOOKUP($Y44,OFFSET([3]characters!$A$1,0,0,COUNTA([3]characters!$A:$A),MATCH(AB$1,[3]characters!$1:$1,0)-MATCH("character_id",[3]characters!$1:$1,0)+1),MATCH(AB$1,[3]characters!$1:$1,0)-MATCH("character_id",[3]characters!$1:$1,0)+1,FALSE),"")</f>
        <v>Drop1T</v>
      </c>
      <c r="AC44" s="9">
        <v>9</v>
      </c>
      <c r="AD44" s="35">
        <f ca="1">AA44</f>
        <v>2</v>
      </c>
      <c r="AE44" s="10">
        <v>10</v>
      </c>
      <c r="AF44" s="9">
        <v>0</v>
      </c>
      <c r="AG44" s="9">
        <v>0</v>
      </c>
      <c r="AH44" s="9">
        <v>0</v>
      </c>
      <c r="AI44" s="9">
        <v>0</v>
      </c>
      <c r="AJ44" s="9">
        <v>1</v>
      </c>
    </row>
    <row r="45" spans="1:36" ht="21" customHeight="1" x14ac:dyDescent="0.15">
      <c r="A45" s="22" t="str">
        <f t="shared" ref="A45:A46" ca="1" si="52">B45&amp;"_"&amp;C45&amp;"-"&amp;G45&amp;"/"&amp;I45&amp;"&lt;lv"&amp;O45&amp;"&gt;s"&amp;X45</f>
        <v>20003_3-1/45&lt;lv40&gt;s3</v>
      </c>
      <c r="B45" s="33">
        <v>20003</v>
      </c>
      <c r="C45" s="32">
        <v>3</v>
      </c>
      <c r="D45" s="2" t="str">
        <f t="shared" ref="D45:D46" si="53">B45&amp;"_"&amp;C45</f>
        <v>20003_3</v>
      </c>
      <c r="E45" s="5" t="str">
        <f ca="1">VLOOKUP($B45,OFFSET([1]quests!$A$1,0,0,COUNTA([1]quests!$A:$A),MATCH(E$1,[1]quests!$1:$1,0)-MATCH($B$1,[1]quests!$1:$1,0)+1),MATCH(E$1,[1]quests!$1:$1,0)-MATCH($B$1,[1]quests!$1:$1,0)+1,FALSE)</f>
        <v>忍び寄る短剣</v>
      </c>
      <c r="F45" s="5" t="str">
        <f ca="1">VLOOKUP($D45,OFFSET([1]stages!$A$1,0,0,COUNTA([1]stages!$A:$A),MATCH(F$1,[1]stages!$2:$2,0)-MATCH($D$1,[1]stages!$2:$2,0)+1),MATCH(F$1,[1]stages!$2:$2,0)-MATCH($D$1,[1]stages!$2:$2,0)+1,FALSE)</f>
        <v xml:space="preserve">【上級】忍び寄る短剣 </v>
      </c>
      <c r="G45" s="32">
        <v>1</v>
      </c>
      <c r="H45" s="21" t="str">
        <f t="shared" ref="H45:H46" si="54">B45&amp;"_"&amp;C45&amp;"-"&amp;G45</f>
        <v>20003_3-1</v>
      </c>
      <c r="I45" s="31">
        <v>45</v>
      </c>
      <c r="J45" s="27" t="str">
        <f ca="1">VLOOKUP($I45,OFFSET([2]enemies!$A$1,0,0,COUNTA([2]enemies!$A:$A),MATCH(J$1,[2]enemies!$1:$1,0)-MATCH($I$1,[2]enemies!$1:$1,0)+1),MATCH(J$1,[2]enemies!$1:$1,0)-MATCH($I$1,[2]enemies!$1:$1,0)+1,FALSE)</f>
        <v>ショウイン</v>
      </c>
      <c r="K45" s="27" t="str">
        <f ca="1">VLOOKUP($I45,OFFSET([2]enemies!$A$1,0,0,COUNTA([2]enemies!$A:$A),MATCH(K$1,[2]enemies!$1:$1,0)-MATCH($I$1,[2]enemies!$1:$1,0)+1),MATCH(K$1,[2]enemies!$1:$1,0)-MATCH($I$1,[2]enemies!$1:$1,0)+1,FALSE)</f>
        <v>blue</v>
      </c>
      <c r="L45" s="29" t="str">
        <f>VLOOKUP(I45,[3]characters!$A:$J,10,FALSE)</f>
        <v>Drop1N</v>
      </c>
      <c r="M45" s="27" t="str">
        <f ca="1">VLOOKUP($I45,OFFSET([2]enemies!$A$1,0,0,COUNTA([2]enemies!$A:$A),MATCH(M$1,[2]enemies!$1:$1,0)-MATCH($I$1,[2]enemies!$1:$1,0)+1),MATCH(M$1,[2]enemies!$1:$1,0)-MATCH($I$1,[2]enemies!$1:$1,0)+1,FALSE)</f>
        <v>animal</v>
      </c>
      <c r="N45" s="27">
        <f ca="1">VLOOKUP($I45,OFFSET([2]enemies!$A$1,0,0,COUNTA([2]enemies!$A:$A),MATCH(N$1,[2]enemies!$1:$1,0)-MATCH($I$1,[2]enemies!$1:$1,0)+1),MATCH(N$1,[2]enemies!$1:$1,0)-MATCH($I$1,[2]enemies!$1:$1,0)+1,FALSE)</f>
        <v>15</v>
      </c>
      <c r="O45" s="6">
        <v>40</v>
      </c>
      <c r="P45" s="38">
        <v>1.9</v>
      </c>
      <c r="Q45" s="38">
        <v>1.2</v>
      </c>
      <c r="R45" s="6">
        <v>0</v>
      </c>
      <c r="S45" s="5" t="str">
        <f ca="1">VLOOKUP($T45,OFFSET([4]enemy_skill_sets!$B$1,0,0,COUNTA([4]enemy_skill_sets!$B:$B),MATCH(J$1,[4]enemy_skill_sets!$1:$1,0)-MATCH($T$1,[4]enemy_skill_sets!$1:$1,0)+2),MATCH(J$1,[4]enemy_skill_sets!$1:$1,0)-MATCH($T$1,[4]enemy_skill_sets!$1:$1,0)+2,FALSE)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5" s="27">
        <f ca="1">VLOOKUP($I45,OFFSET([2]enemies!$A$1,0,0,COUNTA([2]enemies!$A:$A),MATCH(T$1,[2]enemies!$1:$1,0)-MATCH($I$1,[2]enemies!$1:$1,0)+1),MATCH(T$1,[2]enemies!$1:$1,0)-MATCH($I$1,[2]enemies!$1:$1,0)+1,FALSE)</f>
        <v>0</v>
      </c>
      <c r="U45" s="7">
        <v>0</v>
      </c>
      <c r="V45" s="7">
        <v>100</v>
      </c>
      <c r="W45" s="7">
        <v>0</v>
      </c>
      <c r="X45" s="27">
        <f ca="1">VLOOKUP($I45,OFFSET([2]enemies!$A$1,0,0,COUNTA([2]enemies!$A:$A),MATCH(X$1,[2]enemies!$1:$1,0)-MATCH($I$1,[2]enemies!$1:$1,0)+1),MATCH(X$1,[2]enemies!$1:$1,0)-MATCH($I$1,[2]enemies!$1:$1,0)+1,FALSE)</f>
        <v>3</v>
      </c>
      <c r="Y45" s="8">
        <v>45</v>
      </c>
      <c r="Z45" s="5" t="str">
        <f ca="1">IFERROR(VLOOKUP($Y45,OFFSET([3]characters!$A$1,0,0,COUNTA([3]characters!$A:$A),MATCH(Z$1,[3]characters!$1:$1,0)-MATCH("character_id",[3]characters!$1:$1,0)+1),MATCH(Z$1,[3]characters!$1:$1,0)-MATCH("character_id",[3]characters!$1:$1,0)+1,FALSE),"")</f>
        <v>ショウイン</v>
      </c>
      <c r="AA45" s="5">
        <f ca="1">IFERROR(VLOOKUP($Y45,OFFSET([3]characters!$A$1,0,0,COUNTA([3]characters!$A:$A),MATCH(AA$1,[3]characters!$1:$1,0)-MATCH("character_id",[3]characters!$1:$1,0)+1),MATCH(AA$1,[3]characters!$1:$1,0)-MATCH("character_id",[3]characters!$1:$1,0)+1,FALSE),"")</f>
        <v>2</v>
      </c>
      <c r="AB45" s="5" t="str">
        <f ca="1">IFERROR(VLOOKUP($Y45,OFFSET([3]characters!$A$1,0,0,COUNTA([3]characters!$A:$A),MATCH(AB$1,[3]characters!$1:$1,0)-MATCH("character_id",[3]characters!$1:$1,0)+1),MATCH(AB$1,[3]characters!$1:$1,0)-MATCH("character_id",[3]characters!$1:$1,0)+1,FALSE),"")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5" s="9">
        <v>5</v>
      </c>
      <c r="AD45" s="35">
        <f t="shared" ref="AD45:AD46" ca="1" si="55">AA45</f>
        <v>2</v>
      </c>
      <c r="AE45" s="10">
        <v>15</v>
      </c>
      <c r="AF45" s="9">
        <v>0</v>
      </c>
      <c r="AG45" s="9">
        <v>0</v>
      </c>
      <c r="AH45" s="9">
        <v>0</v>
      </c>
      <c r="AI45" s="9">
        <v>0</v>
      </c>
      <c r="AJ45" s="9">
        <v>1</v>
      </c>
    </row>
    <row r="46" spans="1:36" ht="21" customHeight="1" x14ac:dyDescent="0.15">
      <c r="A46" s="22" t="str">
        <f t="shared" ca="1" si="52"/>
        <v>20003_3-1/53&lt;lv40&gt;s2</v>
      </c>
      <c r="B46" s="33">
        <v>20003</v>
      </c>
      <c r="C46" s="32">
        <v>3</v>
      </c>
      <c r="D46" s="2" t="str">
        <f t="shared" si="53"/>
        <v>20003_3</v>
      </c>
      <c r="E46" s="5" t="str">
        <f ca="1">VLOOKUP($B46,OFFSET([1]quests!$A$1,0,0,COUNTA([1]quests!$A:$A),MATCH(E$1,[1]quests!$1:$1,0)-MATCH($B$1,[1]quests!$1:$1,0)+1),MATCH(E$1,[1]quests!$1:$1,0)-MATCH($B$1,[1]quests!$1:$1,0)+1,FALSE)</f>
        <v>忍び寄る短剣</v>
      </c>
      <c r="F46" s="5" t="str">
        <f ca="1">VLOOKUP($D46,OFFSET([1]stages!$A$1,0,0,COUNTA([1]stages!$A:$A),MATCH(F$1,[1]stages!$2:$2,0)-MATCH($D$1,[1]stages!$2:$2,0)+1),MATCH(F$1,[1]stages!$2:$2,0)-MATCH($D$1,[1]stages!$2:$2,0)+1,FALSE)</f>
        <v xml:space="preserve">【上級】忍び寄る短剣 </v>
      </c>
      <c r="G46" s="32">
        <v>1</v>
      </c>
      <c r="H46" s="21" t="str">
        <f t="shared" si="54"/>
        <v>20003_3-1</v>
      </c>
      <c r="I46" s="31">
        <v>53</v>
      </c>
      <c r="J46" s="27" t="str">
        <f ca="1">VLOOKUP($I46,OFFSET([2]enemies!$A$1,0,0,COUNTA([2]enemies!$A:$A),MATCH(J$1,[2]enemies!$1:$1,0)-MATCH($I$1,[2]enemies!$1:$1,0)+1),MATCH(J$1,[2]enemies!$1:$1,0)-MATCH($I$1,[2]enemies!$1:$1,0)+1,FALSE)</f>
        <v>ケンジ</v>
      </c>
      <c r="K46" s="27" t="str">
        <f ca="1">VLOOKUP($I46,OFFSET([2]enemies!$A$1,0,0,COUNTA([2]enemies!$A:$A),MATCH(K$1,[2]enemies!$1:$1,0)-MATCH($I$1,[2]enemies!$1:$1,0)+1),MATCH(K$1,[2]enemies!$1:$1,0)-MATCH($I$1,[2]enemies!$1:$1,0)+1,FALSE)</f>
        <v>blue</v>
      </c>
      <c r="L46" s="29" t="str">
        <f>VLOOKUP(I46,[3]characters!$A:$J,10,FALSE)</f>
        <v>Drop1N</v>
      </c>
      <c r="M46" s="27" t="str">
        <f ca="1">VLOOKUP($I46,OFFSET([2]enemies!$A$1,0,0,COUNTA([2]enemies!$A:$A),MATCH(M$1,[2]enemies!$1:$1,0)-MATCH($I$1,[2]enemies!$1:$1,0)+1),MATCH(M$1,[2]enemies!$1:$1,0)-MATCH($I$1,[2]enemies!$1:$1,0)+1,FALSE)</f>
        <v>human</v>
      </c>
      <c r="N46" s="27">
        <f ca="1">VLOOKUP($I46,OFFSET([2]enemies!$A$1,0,0,COUNTA([2]enemies!$A:$A),MATCH(N$1,[2]enemies!$1:$1,0)-MATCH($I$1,[2]enemies!$1:$1,0)+1),MATCH(N$1,[2]enemies!$1:$1,0)-MATCH($I$1,[2]enemies!$1:$1,0)+1,FALSE)</f>
        <v>15</v>
      </c>
      <c r="O46" s="6">
        <v>40</v>
      </c>
      <c r="P46" s="38">
        <v>1.9</v>
      </c>
      <c r="Q46" s="38">
        <v>0.9</v>
      </c>
      <c r="R46" s="6">
        <v>0</v>
      </c>
      <c r="S46" s="5" t="str">
        <f ca="1">VLOOKUP($T46,OFFSET([4]enemy_skill_sets!$B$1,0,0,COUNTA([4]enemy_skill_sets!$B:$B),MATCH("name",[4]enemy_skill_sets!$1:$1,0)-MATCH($T$1,[4]enemy_skill_sets!$1:$1,0)+2),MATCH("name",[4]enemy_skill_sets!$1:$1,0)-MATCH($T$1,[4]enemy_skill_sets!$1:$1,0)+2,FALSE)</f>
        <v>2ターンスキルが使えない！</v>
      </c>
      <c r="T46" s="42">
        <v>2666</v>
      </c>
      <c r="U46" s="7">
        <v>1</v>
      </c>
      <c r="V46" s="7">
        <v>100</v>
      </c>
      <c r="W46" s="7">
        <v>0</v>
      </c>
      <c r="X46" s="27">
        <f ca="1">VLOOKUP($I46,OFFSET([2]enemies!$A$1,0,0,COUNTA([2]enemies!$A:$A),MATCH(X$1,[2]enemies!$1:$1,0)-MATCH($I$1,[2]enemies!$1:$1,0)+1),MATCH(X$1,[2]enemies!$1:$1,0)-MATCH($I$1,[2]enemies!$1:$1,0)+1,FALSE)</f>
        <v>2</v>
      </c>
      <c r="Y46" s="8">
        <v>53</v>
      </c>
      <c r="Z46" s="5" t="str">
        <f ca="1">IFERROR(VLOOKUP($Y46,OFFSET([3]characters!$A$1,0,0,COUNTA([3]characters!$A:$A),MATCH(Z$1,[3]characters!$1:$1,0)-MATCH("character_id",[3]characters!$1:$1,0)+1),MATCH(Z$1,[3]characters!$1:$1,0)-MATCH("character_id",[3]characters!$1:$1,0)+1,FALSE),"")</f>
        <v>ケンジ</v>
      </c>
      <c r="AA46" s="5">
        <f ca="1">IFERROR(VLOOKUP($Y46,OFFSET([3]characters!$A$1,0,0,COUNTA([3]characters!$A:$A),MATCH(AA$1,[3]characters!$1:$1,0)-MATCH("character_id",[3]characters!$1:$1,0)+1),MATCH(AA$1,[3]characters!$1:$1,0)-MATCH("character_id",[3]characters!$1:$1,0)+1,FALSE),"")</f>
        <v>2</v>
      </c>
      <c r="AB46" s="5" t="str">
        <f ca="1">IFERROR(VLOOKUP($Y46,OFFSET([3]characters!$A$1,0,0,COUNTA([3]characters!$A:$A),MATCH(AB$1,[3]characters!$1:$1,0)-MATCH("character_id",[3]characters!$1:$1,0)+1),MATCH(AB$1,[3]characters!$1:$1,0)-MATCH("character_id",[3]characters!$1:$1,0)+1,FALSE),"")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6" s="9">
        <v>5</v>
      </c>
      <c r="AD46" s="35">
        <f t="shared" ca="1" si="55"/>
        <v>2</v>
      </c>
      <c r="AE46" s="10">
        <v>15</v>
      </c>
      <c r="AF46" s="9">
        <v>0</v>
      </c>
      <c r="AG46" s="9">
        <v>0</v>
      </c>
      <c r="AH46" s="9">
        <v>0</v>
      </c>
      <c r="AI46" s="9">
        <v>0</v>
      </c>
      <c r="AJ46" s="9">
        <v>1</v>
      </c>
    </row>
    <row r="47" spans="1:36" ht="21" customHeight="1" x14ac:dyDescent="0.15">
      <c r="A47" s="22" t="str">
        <f t="shared" ref="A47:A48" ca="1" si="56">B47&amp;"_"&amp;C47&amp;"-"&amp;G47&amp;"/"&amp;I47&amp;"&lt;lv"&amp;O47&amp;"&gt;s"&amp;X47</f>
        <v>20003_3-1/29&lt;lv40&gt;s2</v>
      </c>
      <c r="B47" s="33">
        <v>20003</v>
      </c>
      <c r="C47" s="32">
        <v>3</v>
      </c>
      <c r="D47" s="2" t="str">
        <f t="shared" ref="D47:D48" si="57">B47&amp;"_"&amp;C47</f>
        <v>20003_3</v>
      </c>
      <c r="E47" s="5" t="str">
        <f ca="1">VLOOKUP($B47,OFFSET([1]quests!$A$1,0,0,COUNTA([1]quests!$A:$A),MATCH(E$1,[1]quests!$1:$1,0)-MATCH($B$1,[1]quests!$1:$1,0)+1),MATCH(E$1,[1]quests!$1:$1,0)-MATCH($B$1,[1]quests!$1:$1,0)+1,FALSE)</f>
        <v>忍び寄る短剣</v>
      </c>
      <c r="F47" s="5" t="str">
        <f ca="1">VLOOKUP($D47,OFFSET([1]stages!$A$1,0,0,COUNTA([1]stages!$A:$A),MATCH(F$1,[1]stages!$2:$2,0)-MATCH($D$1,[1]stages!$2:$2,0)+1),MATCH(F$1,[1]stages!$2:$2,0)-MATCH($D$1,[1]stages!$2:$2,0)+1,FALSE)</f>
        <v xml:space="preserve">【上級】忍び寄る短剣 </v>
      </c>
      <c r="G47" s="32">
        <v>1</v>
      </c>
      <c r="H47" s="21" t="str">
        <f t="shared" ref="H47:H48" si="58">B47&amp;"_"&amp;C47&amp;"-"&amp;G47</f>
        <v>20003_3-1</v>
      </c>
      <c r="I47" s="31">
        <v>29</v>
      </c>
      <c r="J47" s="27" t="str">
        <f ca="1">VLOOKUP($I47,OFFSET([2]enemies!$A$1,0,0,COUNTA([2]enemies!$A:$A),MATCH(J$1,[2]enemies!$1:$1,0)-MATCH($I$1,[2]enemies!$1:$1,0)+1),MATCH(J$1,[2]enemies!$1:$1,0)-MATCH($I$1,[2]enemies!$1:$1,0)+1,FALSE)</f>
        <v>スケアクロウ</v>
      </c>
      <c r="K47" s="27" t="str">
        <f ca="1">VLOOKUP($I47,OFFSET([2]enemies!$A$1,0,0,COUNTA([2]enemies!$A:$A),MATCH(K$1,[2]enemies!$1:$1,0)-MATCH($I$1,[2]enemies!$1:$1,0)+1),MATCH(K$1,[2]enemies!$1:$1,0)-MATCH($I$1,[2]enemies!$1:$1,0)+1,FALSE)</f>
        <v>blue</v>
      </c>
      <c r="L47" s="29" t="str">
        <f>VLOOKUP(I47,[3]characters!$A:$J,10,FALSE)</f>
        <v>Drop1N</v>
      </c>
      <c r="M47" s="27" t="str">
        <f ca="1">VLOOKUP($I47,OFFSET([2]enemies!$A$1,0,0,COUNTA([2]enemies!$A:$A),MATCH(M$1,[2]enemies!$1:$1,0)-MATCH($I$1,[2]enemies!$1:$1,0)+1),MATCH(M$1,[2]enemies!$1:$1,0)-MATCH($I$1,[2]enemies!$1:$1,0)+1,FALSE)</f>
        <v>machine</v>
      </c>
      <c r="N47" s="27">
        <f ca="1">VLOOKUP($I47,OFFSET([2]enemies!$A$1,0,0,COUNTA([2]enemies!$A:$A),MATCH(N$1,[2]enemies!$1:$1,0)-MATCH($I$1,[2]enemies!$1:$1,0)+1),MATCH(N$1,[2]enemies!$1:$1,0)-MATCH($I$1,[2]enemies!$1:$1,0)+1,FALSE)</f>
        <v>15</v>
      </c>
      <c r="O47" s="6">
        <v>40</v>
      </c>
      <c r="P47" s="38">
        <v>1.9</v>
      </c>
      <c r="Q47" s="38">
        <v>1.2</v>
      </c>
      <c r="R47" s="6">
        <v>0</v>
      </c>
      <c r="S47" s="5" t="str">
        <f ca="1">VLOOKUP($T47,OFFSET([4]enemy_skill_sets!$B$1,0,0,COUNTA([4]enemy_skill_sets!$B:$B),MATCH(J$1,[4]enemy_skill_sets!$1:$1,0)-MATCH($T$1,[4]enemy_skill_sets!$1:$1,0)+2),MATCH(J$1,[4]enemy_skill_sets!$1:$1,0)-MATCH($T$1,[4]enemy_skill_sets!$1:$1,0)+2,FALSE)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7" s="27">
        <f ca="1">VLOOKUP($I47,OFFSET([2]enemies!$A$1,0,0,COUNTA([2]enemies!$A:$A),MATCH(T$1,[2]enemies!$1:$1,0)-MATCH($I$1,[2]enemies!$1:$1,0)+1),MATCH(T$1,[2]enemies!$1:$1,0)-MATCH($I$1,[2]enemies!$1:$1,0)+1,FALSE)</f>
        <v>0</v>
      </c>
      <c r="U47" s="7">
        <v>0</v>
      </c>
      <c r="V47" s="7">
        <v>100</v>
      </c>
      <c r="W47" s="7">
        <v>0</v>
      </c>
      <c r="X47" s="27">
        <f ca="1">VLOOKUP($I47,OFFSET([2]enemies!$A$1,0,0,COUNTA([2]enemies!$A:$A),MATCH(X$1,[2]enemies!$1:$1,0)-MATCH($I$1,[2]enemies!$1:$1,0)+1),MATCH(X$1,[2]enemies!$1:$1,0)-MATCH($I$1,[2]enemies!$1:$1,0)+1,FALSE)</f>
        <v>2</v>
      </c>
      <c r="Y47" s="8">
        <v>29</v>
      </c>
      <c r="Z47" s="5" t="str">
        <f ca="1">IFERROR(VLOOKUP($Y47,OFFSET([3]characters!$A$1,0,0,COUNTA([3]characters!$A:$A),MATCH(Z$1,[3]characters!$1:$1,0)-MATCH("character_id",[3]characters!$1:$1,0)+1),MATCH(Z$1,[3]characters!$1:$1,0)-MATCH("character_id",[3]characters!$1:$1,0)+1,FALSE),"")</f>
        <v>スケアクロウ</v>
      </c>
      <c r="AA47" s="5">
        <f ca="1">IFERROR(VLOOKUP($Y47,OFFSET([3]characters!$A$1,0,0,COUNTA([3]characters!$A:$A),MATCH(AA$1,[3]characters!$1:$1,0)-MATCH("character_id",[3]characters!$1:$1,0)+1),MATCH(AA$1,[3]characters!$1:$1,0)-MATCH("character_id",[3]characters!$1:$1,0)+1,FALSE),"")</f>
        <v>1</v>
      </c>
      <c r="AB47" s="5" t="str">
        <f ca="1">IFERROR(VLOOKUP($Y47,OFFSET([3]characters!$A$1,0,0,COUNTA([3]characters!$A:$A),MATCH(AB$1,[3]characters!$1:$1,0)-MATCH("character_id",[3]characters!$1:$1,0)+1),MATCH(AB$1,[3]characters!$1:$1,0)-MATCH("character_id",[3]characters!$1:$1,0)+1,FALSE),"")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47" s="9">
        <v>5</v>
      </c>
      <c r="AD47" s="35">
        <f t="shared" ref="AD47:AD48" ca="1" si="59">AA47</f>
        <v>1</v>
      </c>
      <c r="AE47" s="10">
        <v>15</v>
      </c>
      <c r="AF47" s="9">
        <v>0</v>
      </c>
      <c r="AG47" s="9">
        <v>0</v>
      </c>
      <c r="AH47" s="9">
        <v>0</v>
      </c>
      <c r="AI47" s="9">
        <v>0</v>
      </c>
      <c r="AJ47" s="9">
        <v>1</v>
      </c>
    </row>
    <row r="48" spans="1:36" ht="21" customHeight="1" x14ac:dyDescent="0.15">
      <c r="A48" s="22" t="str">
        <f t="shared" ca="1" si="56"/>
        <v>20003_3-1/71&lt;lv40&gt;s4</v>
      </c>
      <c r="B48" s="33">
        <v>20003</v>
      </c>
      <c r="C48" s="32">
        <v>3</v>
      </c>
      <c r="D48" s="2" t="str">
        <f t="shared" si="57"/>
        <v>20003_3</v>
      </c>
      <c r="E48" s="5" t="str">
        <f ca="1">VLOOKUP($B48,OFFSET([1]quests!$A$1,0,0,COUNTA([1]quests!$A:$A),MATCH(E$1,[1]quests!$1:$1,0)-MATCH($B$1,[1]quests!$1:$1,0)+1),MATCH(E$1,[1]quests!$1:$1,0)-MATCH($B$1,[1]quests!$1:$1,0)+1,FALSE)</f>
        <v>忍び寄る短剣</v>
      </c>
      <c r="F48" s="5" t="str">
        <f ca="1">VLOOKUP($D48,OFFSET([1]stages!$A$1,0,0,COUNTA([1]stages!$A:$A),MATCH(F$1,[1]stages!$2:$2,0)-MATCH($D$1,[1]stages!$2:$2,0)+1),MATCH(F$1,[1]stages!$2:$2,0)-MATCH($D$1,[1]stages!$2:$2,0)+1,FALSE)</f>
        <v xml:space="preserve">【上級】忍び寄る短剣 </v>
      </c>
      <c r="G48" s="41">
        <v>1</v>
      </c>
      <c r="H48" s="21" t="str">
        <f t="shared" si="58"/>
        <v>20003_3-1</v>
      </c>
      <c r="I48" s="31">
        <v>71</v>
      </c>
      <c r="J48" s="27" t="str">
        <f ca="1">VLOOKUP($I48,OFFSET([2]enemies!$A$1,0,0,COUNTA([2]enemies!$A:$A),MATCH(J$1,[2]enemies!$1:$1,0)-MATCH($I$1,[2]enemies!$1:$1,0)+1),MATCH(J$1,[2]enemies!$1:$1,0)-MATCH($I$1,[2]enemies!$1:$1,0)+1,FALSE)</f>
        <v>ダックス</v>
      </c>
      <c r="K48" s="27" t="str">
        <f ca="1">VLOOKUP($I48,OFFSET([2]enemies!$A$1,0,0,COUNTA([2]enemies!$A:$A),MATCH(K$1,[2]enemies!$1:$1,0)-MATCH($I$1,[2]enemies!$1:$1,0)+1),MATCH(K$1,[2]enemies!$1:$1,0)-MATCH($I$1,[2]enemies!$1:$1,0)+1,FALSE)</f>
        <v>blue</v>
      </c>
      <c r="L48" s="29" t="str">
        <f>VLOOKUP(I48,[3]characters!$A:$J,10,FALSE)</f>
        <v>Drop1S</v>
      </c>
      <c r="M48" s="27" t="str">
        <f ca="1">VLOOKUP($I48,OFFSET([2]enemies!$A$1,0,0,COUNTA([2]enemies!$A:$A),MATCH(M$1,[2]enemies!$1:$1,0)-MATCH($I$1,[2]enemies!$1:$1,0)+1),MATCH(M$1,[2]enemies!$1:$1,0)-MATCH($I$1,[2]enemies!$1:$1,0)+1,FALSE)</f>
        <v>animal</v>
      </c>
      <c r="N48" s="27">
        <f ca="1">VLOOKUP($I48,OFFSET([2]enemies!$A$1,0,0,COUNTA([2]enemies!$A:$A),MATCH(N$1,[2]enemies!$1:$1,0)-MATCH($I$1,[2]enemies!$1:$1,0)+1),MATCH(N$1,[2]enemies!$1:$1,0)-MATCH($I$1,[2]enemies!$1:$1,0)+1,FALSE)</f>
        <v>15</v>
      </c>
      <c r="O48" s="6">
        <v>40</v>
      </c>
      <c r="P48" s="38">
        <v>2.2999999999999998</v>
      </c>
      <c r="Q48" s="38">
        <v>0.9</v>
      </c>
      <c r="R48" s="6">
        <v>0</v>
      </c>
      <c r="S48" s="5" t="str">
        <f ca="1">VLOOKUP($T48,OFFSET([4]enemy_skill_sets!$B$1,0,0,COUNTA([4]enemy_skill_sets!$B:$B),MATCH(J$1,[4]enemy_skill_sets!$1:$1,0)-MATCH($T$1,[4]enemy_skill_sets!$1:$1,0)+2),MATCH(J$1,[4]enemy_skill_sets!$1:$1,0)-MATCH($T$1,[4]enemy_skill_sets!$1:$1,0)+2,FALSE)</f>
        <v>3ターン攻撃頻度が1ターンにUP</v>
      </c>
      <c r="T48" s="27">
        <f ca="1">VLOOKUP($I48,OFFSET([2]enemies!$A$1,0,0,COUNTA([2]enemies!$A:$A),MATCH(T$1,[2]enemies!$1:$1,0)-MATCH($I$1,[2]enemies!$1:$1,0)+1),MATCH(T$1,[2]enemies!$1:$1,0)-MATCH($I$1,[2]enemies!$1:$1,0)+1,FALSE)</f>
        <v>71</v>
      </c>
      <c r="U48" s="7">
        <v>0</v>
      </c>
      <c r="V48" s="7">
        <v>100</v>
      </c>
      <c r="W48" s="7">
        <v>0</v>
      </c>
      <c r="X48" s="27">
        <f ca="1">VLOOKUP($I48,OFFSET([2]enemies!$A$1,0,0,COUNTA([2]enemies!$A:$A),MATCH(X$1,[2]enemies!$1:$1,0)-MATCH($I$1,[2]enemies!$1:$1,0)+1),MATCH(X$1,[2]enemies!$1:$1,0)-MATCH($I$1,[2]enemies!$1:$1,0)+1,FALSE)</f>
        <v>4</v>
      </c>
      <c r="Y48" s="8">
        <v>71</v>
      </c>
      <c r="Z48" s="5" t="str">
        <f ca="1">IFERROR(VLOOKUP($Y48,OFFSET([3]characters!$A$1,0,0,COUNTA([3]characters!$A:$A),MATCH(Z$1,[3]characters!$1:$1,0)-MATCH("character_id",[3]characters!$1:$1,0)+1),MATCH(Z$1,[3]characters!$1:$1,0)-MATCH("character_id",[3]characters!$1:$1,0)+1,FALSE),"")</f>
        <v>ダックス</v>
      </c>
      <c r="AA48" s="5">
        <f ca="1">IFERROR(VLOOKUP($Y48,OFFSET([3]characters!$A$1,0,0,COUNTA([3]characters!$A:$A),MATCH(AA$1,[3]characters!$1:$1,0)-MATCH("character_id",[3]characters!$1:$1,0)+1),MATCH(AA$1,[3]characters!$1:$1,0)-MATCH("character_id",[3]characters!$1:$1,0)+1,FALSE),"")</f>
        <v>2</v>
      </c>
      <c r="AB48" s="5" t="str">
        <f ca="1">IFERROR(VLOOKUP($Y48,OFFSET([3]characters!$A$1,0,0,COUNTA([3]characters!$A:$A),MATCH(AB$1,[3]characters!$1:$1,0)-MATCH("character_id",[3]characters!$1:$1,0)+1),MATCH(AB$1,[3]characters!$1:$1,0)-MATCH("character_id",[3]characters!$1:$1,0)+1,FALSE),"")</f>
        <v>Drop1S</v>
      </c>
      <c r="AC48" s="9">
        <v>3</v>
      </c>
      <c r="AD48" s="35">
        <f t="shared" ca="1" si="59"/>
        <v>2</v>
      </c>
      <c r="AE48" s="10">
        <v>10</v>
      </c>
      <c r="AF48" s="9">
        <v>0</v>
      </c>
      <c r="AG48" s="9">
        <v>0</v>
      </c>
      <c r="AH48" s="9">
        <v>0</v>
      </c>
      <c r="AI48" s="9">
        <v>0</v>
      </c>
      <c r="AJ48" s="9">
        <v>1</v>
      </c>
    </row>
    <row r="49" spans="1:36" ht="21" customHeight="1" x14ac:dyDescent="0.15">
      <c r="A49" s="22" t="str">
        <f ca="1">B49&amp;"_"&amp;C49&amp;"-"&amp;G49&amp;"/"&amp;I49&amp;"&lt;lv"&amp;O49&amp;"&gt;s"&amp;X49</f>
        <v>20003_3-2/6&lt;lv40&gt;s3</v>
      </c>
      <c r="B49" s="33">
        <v>20003</v>
      </c>
      <c r="C49" s="32">
        <v>3</v>
      </c>
      <c r="D49" s="2" t="str">
        <f>B49&amp;"_"&amp;C49</f>
        <v>20003_3</v>
      </c>
      <c r="E49" s="5" t="str">
        <f ca="1">VLOOKUP($B49,OFFSET([1]quests!$A$1,0,0,COUNTA([1]quests!$A:$A),MATCH(E$1,[1]quests!$1:$1,0)-MATCH($B$1,[1]quests!$1:$1,0)+1),MATCH(E$1,[1]quests!$1:$1,0)-MATCH($B$1,[1]quests!$1:$1,0)+1,FALSE)</f>
        <v>忍び寄る短剣</v>
      </c>
      <c r="F49" s="5" t="str">
        <f ca="1">VLOOKUP($D49,OFFSET([1]stages!$A$1,0,0,COUNTA([1]stages!$A:$A),MATCH(F$1,[1]stages!$2:$2,0)-MATCH($D$1,[1]stages!$2:$2,0)+1),MATCH(F$1,[1]stages!$2:$2,0)-MATCH($D$1,[1]stages!$2:$2,0)+1,FALSE)</f>
        <v xml:space="preserve">【上級】忍び寄る短剣 </v>
      </c>
      <c r="G49" s="36">
        <v>2</v>
      </c>
      <c r="H49" s="21" t="str">
        <f>B49&amp;"_"&amp;C49&amp;"-"&amp;G49</f>
        <v>20003_3-2</v>
      </c>
      <c r="I49" s="31">
        <v>6</v>
      </c>
      <c r="J49" s="27" t="str">
        <f ca="1">VLOOKUP($I49,OFFSET([2]enemies!$A$1,0,0,COUNTA([2]enemies!$A:$A),MATCH(J$1,[2]enemies!$1:$1,0)-MATCH($I$1,[2]enemies!$1:$1,0)+1),MATCH(J$1,[2]enemies!$1:$1,0)-MATCH($I$1,[2]enemies!$1:$1,0)+1,FALSE)</f>
        <v>パトドッグリーダー ポチ</v>
      </c>
      <c r="K49" s="27" t="str">
        <f ca="1">VLOOKUP($I49,OFFSET([2]enemies!$A$1,0,0,COUNTA([2]enemies!$A:$A),MATCH(K$1,[2]enemies!$1:$1,0)-MATCH($I$1,[2]enemies!$1:$1,0)+1),MATCH(K$1,[2]enemies!$1:$1,0)-MATCH($I$1,[2]enemies!$1:$1,0)+1,FALSE)</f>
        <v>blue</v>
      </c>
      <c r="L49" s="29" t="str">
        <f>VLOOKUP(I49,[3]characters!$A:$J,10,FALSE)</f>
        <v>Drop1T</v>
      </c>
      <c r="M49" s="27" t="str">
        <f ca="1">VLOOKUP($I49,OFFSET([2]enemies!$A$1,0,0,COUNTA([2]enemies!$A:$A),MATCH(M$1,[2]enemies!$1:$1,0)-MATCH($I$1,[2]enemies!$1:$1,0)+1),MATCH(M$1,[2]enemies!$1:$1,0)-MATCH($I$1,[2]enemies!$1:$1,0)+1,FALSE)</f>
        <v>unknown</v>
      </c>
      <c r="N49" s="27">
        <f ca="1">VLOOKUP($I49,OFFSET([2]enemies!$A$1,0,0,COUNTA([2]enemies!$A:$A),MATCH(N$1,[2]enemies!$1:$1,0)-MATCH($I$1,[2]enemies!$1:$1,0)+1),MATCH(N$1,[2]enemies!$1:$1,0)-MATCH($I$1,[2]enemies!$1:$1,0)+1,FALSE)</f>
        <v>15</v>
      </c>
      <c r="O49" s="6">
        <v>40</v>
      </c>
      <c r="P49" s="38">
        <v>1.9</v>
      </c>
      <c r="Q49" s="38">
        <v>1.2</v>
      </c>
      <c r="R49" s="6">
        <v>0</v>
      </c>
      <c r="S49" s="5" t="str">
        <f ca="1">VLOOKUP($T49,OFFSET([4]enemy_skill_sets!$B$1,0,0,COUNTA([4]enemy_skill_sets!$B:$B),MATCH(J$1,[4]enemy_skill_sets!$1:$1,0)-MATCH($T$1,[4]enemy_skill_sets!$1:$1,0)+2),MATCH(J$1,[4]enemy_skill_sets!$1:$1,0)-MATCH($T$1,[4]enemy_skill_sets!$1:$1,0)+2,FALSE)</f>
        <v>なし</v>
      </c>
      <c r="T49" s="27">
        <f ca="1">VLOOKUP($I49,OFFSET([2]enemies!$A$1,0,0,COUNTA([2]enemies!$A:$A),MATCH(T$1,[2]enemies!$1:$1,0)-MATCH($I$1,[2]enemies!$1:$1,0)+1),MATCH(T$1,[2]enemies!$1:$1,0)-MATCH($I$1,[2]enemies!$1:$1,0)+1,FALSE)</f>
        <v>0</v>
      </c>
      <c r="U49" s="7">
        <v>0</v>
      </c>
      <c r="V49" s="7">
        <v>100</v>
      </c>
      <c r="W49" s="7">
        <v>0</v>
      </c>
      <c r="X49" s="27">
        <f ca="1">VLOOKUP($I49,OFFSET([2]enemies!$A$1,0,0,COUNTA([2]enemies!$A:$A),MATCH(X$1,[2]enemies!$1:$1,0)-MATCH($I$1,[2]enemies!$1:$1,0)+1),MATCH(X$1,[2]enemies!$1:$1,0)-MATCH($I$1,[2]enemies!$1:$1,0)+1,FALSE)</f>
        <v>3</v>
      </c>
      <c r="Y49" s="8">
        <v>6</v>
      </c>
      <c r="Z49" s="5" t="str">
        <f ca="1">IFERROR(VLOOKUP($Y49,OFFSET([3]characters!$A$1,0,0,COUNTA([3]characters!$A:$A),MATCH(Z$1,[3]characters!$1:$1,0)-MATCH("character_id",[3]characters!$1:$1,0)+1),MATCH(Z$1,[3]characters!$1:$1,0)-MATCH("character_id",[3]characters!$1:$1,0)+1,FALSE),"")</f>
        <v>パトドッグリーダー ポチ</v>
      </c>
      <c r="AA49" s="5">
        <f ca="1">IFERROR(VLOOKUP($Y49,OFFSET([3]characters!$A$1,0,0,COUNTA([3]characters!$A:$A),MATCH(AA$1,[3]characters!$1:$1,0)-MATCH("character_id",[3]characters!$1:$1,0)+1),MATCH(AA$1,[3]characters!$1:$1,0)-MATCH("character_id",[3]characters!$1:$1,0)+1,FALSE),"")</f>
        <v>2</v>
      </c>
      <c r="AB49" s="5" t="str">
        <f ca="1">IFERROR(VLOOKUP($Y49,OFFSET([3]characters!$A$1,0,0,COUNTA([3]characters!$A:$A),MATCH(AB$1,[3]characters!$1:$1,0)-MATCH("character_id",[3]characters!$1:$1,0)+1),MATCH(AB$1,[3]characters!$1:$1,0)-MATCH("character_id",[3]characters!$1:$1,0)+1,FALSE),"")</f>
        <v>Drop1T</v>
      </c>
      <c r="AC49" s="9">
        <v>9</v>
      </c>
      <c r="AD49" s="35">
        <f ca="1">AA49</f>
        <v>2</v>
      </c>
      <c r="AE49" s="10">
        <v>10</v>
      </c>
      <c r="AF49" s="9">
        <v>0</v>
      </c>
      <c r="AG49" s="9">
        <v>0</v>
      </c>
      <c r="AH49" s="9">
        <v>0</v>
      </c>
      <c r="AI49" s="9">
        <v>0</v>
      </c>
      <c r="AJ49" s="9">
        <v>1</v>
      </c>
    </row>
    <row r="50" spans="1:36" ht="21" customHeight="1" x14ac:dyDescent="0.15">
      <c r="A50" s="22" t="str">
        <f t="shared" ref="A50:A53" ca="1" si="60">B50&amp;"_"&amp;C50&amp;"-"&amp;G50&amp;"/"&amp;I50&amp;"&lt;lv"&amp;O50&amp;"&gt;s"&amp;X50</f>
        <v>20003_3-2/45&lt;lv40&gt;s3</v>
      </c>
      <c r="B50" s="33">
        <v>20003</v>
      </c>
      <c r="C50" s="32">
        <v>3</v>
      </c>
      <c r="D50" s="2" t="str">
        <f t="shared" ref="D50:D53" si="61">B50&amp;"_"&amp;C50</f>
        <v>20003_3</v>
      </c>
      <c r="E50" s="5" t="str">
        <f ca="1">VLOOKUP($B50,OFFSET([1]quests!$A$1,0,0,COUNTA([1]quests!$A:$A),MATCH(E$1,[1]quests!$1:$1,0)-MATCH($B$1,[1]quests!$1:$1,0)+1),MATCH(E$1,[1]quests!$1:$1,0)-MATCH($B$1,[1]quests!$1:$1,0)+1,FALSE)</f>
        <v>忍び寄る短剣</v>
      </c>
      <c r="F50" s="5" t="str">
        <f ca="1">VLOOKUP($D50,OFFSET([1]stages!$A$1,0,0,COUNTA([1]stages!$A:$A),MATCH(F$1,[1]stages!$2:$2,0)-MATCH($D$1,[1]stages!$2:$2,0)+1),MATCH(F$1,[1]stages!$2:$2,0)-MATCH($D$1,[1]stages!$2:$2,0)+1,FALSE)</f>
        <v xml:space="preserve">【上級】忍び寄る短剣 </v>
      </c>
      <c r="G50" s="36">
        <v>2</v>
      </c>
      <c r="H50" s="21" t="str">
        <f t="shared" ref="H50:H53" si="62">B50&amp;"_"&amp;C50&amp;"-"&amp;G50</f>
        <v>20003_3-2</v>
      </c>
      <c r="I50" s="31">
        <v>45</v>
      </c>
      <c r="J50" s="27" t="str">
        <f ca="1">VLOOKUP($I50,OFFSET([2]enemies!$A$1,0,0,COUNTA([2]enemies!$A:$A),MATCH(J$1,[2]enemies!$1:$1,0)-MATCH($I$1,[2]enemies!$1:$1,0)+1),MATCH(J$1,[2]enemies!$1:$1,0)-MATCH($I$1,[2]enemies!$1:$1,0)+1,FALSE)</f>
        <v>ショウイン</v>
      </c>
      <c r="K50" s="27" t="str">
        <f ca="1">VLOOKUP($I50,OFFSET([2]enemies!$A$1,0,0,COUNTA([2]enemies!$A:$A),MATCH(K$1,[2]enemies!$1:$1,0)-MATCH($I$1,[2]enemies!$1:$1,0)+1),MATCH(K$1,[2]enemies!$1:$1,0)-MATCH($I$1,[2]enemies!$1:$1,0)+1,FALSE)</f>
        <v>blue</v>
      </c>
      <c r="L50" s="29" t="str">
        <f>VLOOKUP(I50,[3]characters!$A:$J,10,FALSE)</f>
        <v>Drop1N</v>
      </c>
      <c r="M50" s="27" t="str">
        <f ca="1">VLOOKUP($I50,OFFSET([2]enemies!$A$1,0,0,COUNTA([2]enemies!$A:$A),MATCH(M$1,[2]enemies!$1:$1,0)-MATCH($I$1,[2]enemies!$1:$1,0)+1),MATCH(M$1,[2]enemies!$1:$1,0)-MATCH($I$1,[2]enemies!$1:$1,0)+1,FALSE)</f>
        <v>animal</v>
      </c>
      <c r="N50" s="27">
        <f ca="1">VLOOKUP($I50,OFFSET([2]enemies!$A$1,0,0,COUNTA([2]enemies!$A:$A),MATCH(N$1,[2]enemies!$1:$1,0)-MATCH($I$1,[2]enemies!$1:$1,0)+1),MATCH(N$1,[2]enemies!$1:$1,0)-MATCH($I$1,[2]enemies!$1:$1,0)+1,FALSE)</f>
        <v>15</v>
      </c>
      <c r="O50" s="6">
        <v>40</v>
      </c>
      <c r="P50" s="38">
        <v>1.9</v>
      </c>
      <c r="Q50" s="38">
        <v>1.2</v>
      </c>
      <c r="R50" s="6">
        <v>0</v>
      </c>
      <c r="S50" s="5" t="str">
        <f ca="1">VLOOKUP($T50,OFFSET([4]enemy_skill_sets!$B$1,0,0,COUNTA([4]enemy_skill_sets!$B:$B),MATCH("name",[4]enemy_skill_sets!$1:$1,0)-MATCH($T$1,[4]enemy_skill_sets!$1:$1,0)+2),MATCH("name",[4]enemy_skill_sets!$1:$1,0)-MATCH($T$1,[4]enemy_skill_sets!$1:$1,0)+2,FALSE)</f>
        <v>なし</v>
      </c>
      <c r="T50" s="43">
        <v>0</v>
      </c>
      <c r="U50" s="7">
        <v>1</v>
      </c>
      <c r="V50" s="7">
        <v>100</v>
      </c>
      <c r="W50" s="7">
        <v>0</v>
      </c>
      <c r="X50" s="27">
        <f ca="1">VLOOKUP($I50,OFFSET([2]enemies!$A$1,0,0,COUNTA([2]enemies!$A:$A),MATCH(X$1,[2]enemies!$1:$1,0)-MATCH($I$1,[2]enemies!$1:$1,0)+1),MATCH(X$1,[2]enemies!$1:$1,0)-MATCH($I$1,[2]enemies!$1:$1,0)+1,FALSE)</f>
        <v>3</v>
      </c>
      <c r="Y50" s="8">
        <v>45</v>
      </c>
      <c r="Z50" s="5" t="str">
        <f ca="1">IFERROR(VLOOKUP($Y50,OFFSET([3]characters!$A$1,0,0,COUNTA([3]characters!$A:$A),MATCH(Z$1,[3]characters!$1:$1,0)-MATCH("character_id",[3]characters!$1:$1,0)+1),MATCH(Z$1,[3]characters!$1:$1,0)-MATCH("character_id",[3]characters!$1:$1,0)+1,FALSE),"")</f>
        <v>ショウイン</v>
      </c>
      <c r="AA50" s="5">
        <f ca="1">IFERROR(VLOOKUP($Y50,OFFSET([3]characters!$A$1,0,0,COUNTA([3]characters!$A:$A),MATCH(AA$1,[3]characters!$1:$1,0)-MATCH("character_id",[3]characters!$1:$1,0)+1),MATCH(AA$1,[3]characters!$1:$1,0)-MATCH("character_id",[3]characters!$1:$1,0)+1,FALSE),"")</f>
        <v>2</v>
      </c>
      <c r="AB50" s="5" t="str">
        <f ca="1">IFERROR(VLOOKUP($Y50,OFFSET([3]characters!$A$1,0,0,COUNTA([3]characters!$A:$A),MATCH(AB$1,[3]characters!$1:$1,0)-MATCH("character_id",[3]characters!$1:$1,0)+1),MATCH(AB$1,[3]characters!$1:$1,0)-MATCH("character_id",[3]characters!$1:$1,0)+1,FALSE),"")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0" s="9">
        <v>5</v>
      </c>
      <c r="AD50" s="35">
        <f t="shared" ref="AD50:AD53" ca="1" si="63">AA50</f>
        <v>2</v>
      </c>
      <c r="AE50" s="10">
        <v>15</v>
      </c>
      <c r="AF50" s="9">
        <v>0</v>
      </c>
      <c r="AG50" s="9">
        <v>0</v>
      </c>
      <c r="AH50" s="9">
        <v>0</v>
      </c>
      <c r="AI50" s="9">
        <v>0</v>
      </c>
      <c r="AJ50" s="9">
        <v>1</v>
      </c>
    </row>
    <row r="51" spans="1:36" ht="21" customHeight="1" x14ac:dyDescent="0.15">
      <c r="A51" s="22" t="str">
        <f t="shared" ca="1" si="60"/>
        <v>20003_3-2/53&lt;lv40&gt;s2</v>
      </c>
      <c r="B51" s="33">
        <v>20003</v>
      </c>
      <c r="C51" s="32">
        <v>3</v>
      </c>
      <c r="D51" s="2" t="str">
        <f t="shared" si="61"/>
        <v>20003_3</v>
      </c>
      <c r="E51" s="5" t="str">
        <f ca="1">VLOOKUP($B51,OFFSET([1]quests!$A$1,0,0,COUNTA([1]quests!$A:$A),MATCH(E$1,[1]quests!$1:$1,0)-MATCH($B$1,[1]quests!$1:$1,0)+1),MATCH(E$1,[1]quests!$1:$1,0)-MATCH($B$1,[1]quests!$1:$1,0)+1,FALSE)</f>
        <v>忍び寄る短剣</v>
      </c>
      <c r="F51" s="5" t="str">
        <f ca="1">VLOOKUP($D51,OFFSET([1]stages!$A$1,0,0,COUNTA([1]stages!$A:$A),MATCH(F$1,[1]stages!$2:$2,0)-MATCH($D$1,[1]stages!$2:$2,0)+1),MATCH(F$1,[1]stages!$2:$2,0)-MATCH($D$1,[1]stages!$2:$2,0)+1,FALSE)</f>
        <v xml:space="preserve">【上級】忍び寄る短剣 </v>
      </c>
      <c r="G51" s="36">
        <v>2</v>
      </c>
      <c r="H51" s="21" t="str">
        <f t="shared" si="62"/>
        <v>20003_3-2</v>
      </c>
      <c r="I51" s="31">
        <v>53</v>
      </c>
      <c r="J51" s="27" t="str">
        <f ca="1">VLOOKUP($I51,OFFSET([2]enemies!$A$1,0,0,COUNTA([2]enemies!$A:$A),MATCH(J$1,[2]enemies!$1:$1,0)-MATCH($I$1,[2]enemies!$1:$1,0)+1),MATCH(J$1,[2]enemies!$1:$1,0)-MATCH($I$1,[2]enemies!$1:$1,0)+1,FALSE)</f>
        <v>ケンジ</v>
      </c>
      <c r="K51" s="27" t="str">
        <f ca="1">VLOOKUP($I51,OFFSET([2]enemies!$A$1,0,0,COUNTA([2]enemies!$A:$A),MATCH(K$1,[2]enemies!$1:$1,0)-MATCH($I$1,[2]enemies!$1:$1,0)+1),MATCH(K$1,[2]enemies!$1:$1,0)-MATCH($I$1,[2]enemies!$1:$1,0)+1,FALSE)</f>
        <v>blue</v>
      </c>
      <c r="L51" s="29" t="str">
        <f>VLOOKUP(I51,[3]characters!$A:$J,10,FALSE)</f>
        <v>Drop1N</v>
      </c>
      <c r="M51" s="27" t="str">
        <f ca="1">VLOOKUP($I51,OFFSET([2]enemies!$A$1,0,0,COUNTA([2]enemies!$A:$A),MATCH(M$1,[2]enemies!$1:$1,0)-MATCH($I$1,[2]enemies!$1:$1,0)+1),MATCH(M$1,[2]enemies!$1:$1,0)-MATCH($I$1,[2]enemies!$1:$1,0)+1,FALSE)</f>
        <v>human</v>
      </c>
      <c r="N51" s="27">
        <f ca="1">VLOOKUP($I51,OFFSET([2]enemies!$A$1,0,0,COUNTA([2]enemies!$A:$A),MATCH(N$1,[2]enemies!$1:$1,0)-MATCH($I$1,[2]enemies!$1:$1,0)+1),MATCH(N$1,[2]enemies!$1:$1,0)-MATCH($I$1,[2]enemies!$1:$1,0)+1,FALSE)</f>
        <v>15</v>
      </c>
      <c r="O51" s="6">
        <v>40</v>
      </c>
      <c r="P51" s="38">
        <v>1.9</v>
      </c>
      <c r="Q51" s="38">
        <v>0.9</v>
      </c>
      <c r="R51" s="6">
        <v>0</v>
      </c>
      <c r="S51" s="5" t="str">
        <f ca="1">VLOOKUP($T51,OFFSET([4]enemy_skill_sets!$B$1,0,0,COUNTA([4]enemy_skill_sets!$B:$B),MATCH("name",[4]enemy_skill_sets!$1:$1,0)-MATCH($T$1,[4]enemy_skill_sets!$1:$1,0)+2),MATCH("name",[4]enemy_skill_sets!$1:$1,0)-MATCH($T$1,[4]enemy_skill_sets!$1:$1,0)+2,FALSE)</f>
        <v>2ターンスキルが使えない！</v>
      </c>
      <c r="T51" s="42">
        <v>2666</v>
      </c>
      <c r="U51" s="7">
        <v>0</v>
      </c>
      <c r="V51" s="7">
        <v>100</v>
      </c>
      <c r="W51" s="7">
        <v>0</v>
      </c>
      <c r="X51" s="27">
        <f ca="1">VLOOKUP($I51,OFFSET([2]enemies!$A$1,0,0,COUNTA([2]enemies!$A:$A),MATCH(X$1,[2]enemies!$1:$1,0)-MATCH($I$1,[2]enemies!$1:$1,0)+1),MATCH(X$1,[2]enemies!$1:$1,0)-MATCH($I$1,[2]enemies!$1:$1,0)+1,FALSE)</f>
        <v>2</v>
      </c>
      <c r="Y51" s="8">
        <v>53</v>
      </c>
      <c r="Z51" s="5" t="str">
        <f ca="1">IFERROR(VLOOKUP($Y51,OFFSET([3]characters!$A$1,0,0,COUNTA([3]characters!$A:$A),MATCH(Z$1,[3]characters!$1:$1,0)-MATCH("character_id",[3]characters!$1:$1,0)+1),MATCH(Z$1,[3]characters!$1:$1,0)-MATCH("character_id",[3]characters!$1:$1,0)+1,FALSE),"")</f>
        <v>ケンジ</v>
      </c>
      <c r="AA51" s="5">
        <f ca="1">IFERROR(VLOOKUP($Y51,OFFSET([3]characters!$A$1,0,0,COUNTA([3]characters!$A:$A),MATCH(AA$1,[3]characters!$1:$1,0)-MATCH("character_id",[3]characters!$1:$1,0)+1),MATCH(AA$1,[3]characters!$1:$1,0)-MATCH("character_id",[3]characters!$1:$1,0)+1,FALSE),"")</f>
        <v>2</v>
      </c>
      <c r="AB51" s="5" t="str">
        <f ca="1">IFERROR(VLOOKUP($Y51,OFFSET([3]characters!$A$1,0,0,COUNTA([3]characters!$A:$A),MATCH(AB$1,[3]characters!$1:$1,0)-MATCH("character_id",[3]characters!$1:$1,0)+1),MATCH(AB$1,[3]characters!$1:$1,0)-MATCH("character_id",[3]characters!$1:$1,0)+1,FALSE),"")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1" s="9">
        <v>5</v>
      </c>
      <c r="AD51" s="35">
        <f t="shared" ca="1" si="63"/>
        <v>2</v>
      </c>
      <c r="AE51" s="10">
        <v>15</v>
      </c>
      <c r="AF51" s="9">
        <v>0</v>
      </c>
      <c r="AG51" s="9">
        <v>0</v>
      </c>
      <c r="AH51" s="9">
        <v>0</v>
      </c>
      <c r="AI51" s="9">
        <v>0</v>
      </c>
      <c r="AJ51" s="9">
        <v>1</v>
      </c>
    </row>
    <row r="52" spans="1:36" ht="21" customHeight="1" x14ac:dyDescent="0.15">
      <c r="A52" s="22" t="str">
        <f t="shared" ca="1" si="60"/>
        <v>20003_3-2/29&lt;lv40&gt;s2</v>
      </c>
      <c r="B52" s="33">
        <v>20003</v>
      </c>
      <c r="C52" s="32">
        <v>3</v>
      </c>
      <c r="D52" s="2" t="str">
        <f t="shared" si="61"/>
        <v>20003_3</v>
      </c>
      <c r="E52" s="5" t="str">
        <f ca="1">VLOOKUP($B52,OFFSET([1]quests!$A$1,0,0,COUNTA([1]quests!$A:$A),MATCH(E$1,[1]quests!$1:$1,0)-MATCH($B$1,[1]quests!$1:$1,0)+1),MATCH(E$1,[1]quests!$1:$1,0)-MATCH($B$1,[1]quests!$1:$1,0)+1,FALSE)</f>
        <v>忍び寄る短剣</v>
      </c>
      <c r="F52" s="5" t="str">
        <f ca="1">VLOOKUP($D52,OFFSET([1]stages!$A$1,0,0,COUNTA([1]stages!$A:$A),MATCH(F$1,[1]stages!$2:$2,0)-MATCH($D$1,[1]stages!$2:$2,0)+1),MATCH(F$1,[1]stages!$2:$2,0)-MATCH($D$1,[1]stages!$2:$2,0)+1,FALSE)</f>
        <v xml:space="preserve">【上級】忍び寄る短剣 </v>
      </c>
      <c r="G52" s="36">
        <v>2</v>
      </c>
      <c r="H52" s="21" t="str">
        <f t="shared" si="62"/>
        <v>20003_3-2</v>
      </c>
      <c r="I52" s="31">
        <v>29</v>
      </c>
      <c r="J52" s="27" t="str">
        <f ca="1">VLOOKUP($I52,OFFSET([2]enemies!$A$1,0,0,COUNTA([2]enemies!$A:$A),MATCH(J$1,[2]enemies!$1:$1,0)-MATCH($I$1,[2]enemies!$1:$1,0)+1),MATCH(J$1,[2]enemies!$1:$1,0)-MATCH($I$1,[2]enemies!$1:$1,0)+1,FALSE)</f>
        <v>スケアクロウ</v>
      </c>
      <c r="K52" s="27" t="str">
        <f ca="1">VLOOKUP($I52,OFFSET([2]enemies!$A$1,0,0,COUNTA([2]enemies!$A:$A),MATCH(K$1,[2]enemies!$1:$1,0)-MATCH($I$1,[2]enemies!$1:$1,0)+1),MATCH(K$1,[2]enemies!$1:$1,0)-MATCH($I$1,[2]enemies!$1:$1,0)+1,FALSE)</f>
        <v>blue</v>
      </c>
      <c r="L52" s="29" t="str">
        <f>VLOOKUP(I52,[3]characters!$A:$J,10,FALSE)</f>
        <v>Drop1N</v>
      </c>
      <c r="M52" s="27" t="str">
        <f ca="1">VLOOKUP($I52,OFFSET([2]enemies!$A$1,0,0,COUNTA([2]enemies!$A:$A),MATCH(M$1,[2]enemies!$1:$1,0)-MATCH($I$1,[2]enemies!$1:$1,0)+1),MATCH(M$1,[2]enemies!$1:$1,0)-MATCH($I$1,[2]enemies!$1:$1,0)+1,FALSE)</f>
        <v>machine</v>
      </c>
      <c r="N52" s="27">
        <f ca="1">VLOOKUP($I52,OFFSET([2]enemies!$A$1,0,0,COUNTA([2]enemies!$A:$A),MATCH(N$1,[2]enemies!$1:$1,0)-MATCH($I$1,[2]enemies!$1:$1,0)+1),MATCH(N$1,[2]enemies!$1:$1,0)-MATCH($I$1,[2]enemies!$1:$1,0)+1,FALSE)</f>
        <v>15</v>
      </c>
      <c r="O52" s="6">
        <v>40</v>
      </c>
      <c r="P52" s="38">
        <v>1.9</v>
      </c>
      <c r="Q52" s="38">
        <v>1.2</v>
      </c>
      <c r="R52" s="6">
        <v>0</v>
      </c>
      <c r="S52" s="5" t="str">
        <f ca="1">VLOOKUP($T52,OFFSET([4]enemy_skill_sets!$B$1,0,0,COUNTA([4]enemy_skill_sets!$B:$B),MATCH("name",[4]enemy_skill_sets!$1:$1,0)-MATCH($T$1,[4]enemy_skill_sets!$1:$1,0)+2),MATCH("name",[4]enemy_skill_sets!$1:$1,0)-MATCH($T$1,[4]enemy_skill_sets!$1:$1,0)+2,FALSE)</f>
        <v>なし</v>
      </c>
      <c r="T52" s="27">
        <f ca="1">VLOOKUP($I52,OFFSET([2]enemies!$A$1,0,0,COUNTA([2]enemies!$A:$A),MATCH(T$1,[2]enemies!$1:$1,0)-MATCH($I$1,[2]enemies!$1:$1,0)+1),MATCH(T$1,[2]enemies!$1:$1,0)-MATCH($I$1,[2]enemies!$1:$1,0)+1,FALSE)</f>
        <v>0</v>
      </c>
      <c r="U52" s="7">
        <v>0</v>
      </c>
      <c r="V52" s="7">
        <v>100</v>
      </c>
      <c r="W52" s="7">
        <v>0</v>
      </c>
      <c r="X52" s="27">
        <f ca="1">VLOOKUP($I52,OFFSET([2]enemies!$A$1,0,0,COUNTA([2]enemies!$A:$A),MATCH(X$1,[2]enemies!$1:$1,0)-MATCH($I$1,[2]enemies!$1:$1,0)+1),MATCH(X$1,[2]enemies!$1:$1,0)-MATCH($I$1,[2]enemies!$1:$1,0)+1,FALSE)</f>
        <v>2</v>
      </c>
      <c r="Y52" s="8">
        <v>29</v>
      </c>
      <c r="Z52" s="5" t="str">
        <f ca="1">IFERROR(VLOOKUP($Y52,OFFSET([3]characters!$A$1,0,0,COUNTA([3]characters!$A:$A),MATCH(Z$1,[3]characters!$1:$1,0)-MATCH("character_id",[3]characters!$1:$1,0)+1),MATCH(Z$1,[3]characters!$1:$1,0)-MATCH("character_id",[3]characters!$1:$1,0)+1,FALSE),"")</f>
        <v>スケアクロウ</v>
      </c>
      <c r="AA52" s="5">
        <f ca="1">IFERROR(VLOOKUP($Y52,OFFSET([3]characters!$A$1,0,0,COUNTA([3]characters!$A:$A),MATCH(AA$1,[3]characters!$1:$1,0)-MATCH("character_id",[3]characters!$1:$1,0)+1),MATCH(AA$1,[3]characters!$1:$1,0)-MATCH("character_id",[3]characters!$1:$1,0)+1,FALSE),"")</f>
        <v>1</v>
      </c>
      <c r="AB52" s="5" t="str">
        <f ca="1">IFERROR(VLOOKUP($Y52,OFFSET([3]characters!$A$1,0,0,COUNTA([3]characters!$A:$A),MATCH(AB$1,[3]characters!$1:$1,0)-MATCH("character_id",[3]characters!$1:$1,0)+1),MATCH(AB$1,[3]characters!$1:$1,0)-MATCH("character_id",[3]characters!$1:$1,0)+1,FALSE),"")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2" s="9">
        <v>5</v>
      </c>
      <c r="AD52" s="35">
        <f t="shared" ca="1" si="63"/>
        <v>1</v>
      </c>
      <c r="AE52" s="10">
        <v>15</v>
      </c>
      <c r="AF52" s="9">
        <v>0</v>
      </c>
      <c r="AG52" s="9">
        <v>0</v>
      </c>
      <c r="AH52" s="9">
        <v>0</v>
      </c>
      <c r="AI52" s="9">
        <v>0</v>
      </c>
      <c r="AJ52" s="9">
        <v>1</v>
      </c>
    </row>
    <row r="53" spans="1:36" ht="21" customHeight="1" x14ac:dyDescent="0.15">
      <c r="A53" s="22" t="str">
        <f t="shared" ca="1" si="60"/>
        <v>20003_3-2/71&lt;lv40&gt;s4</v>
      </c>
      <c r="B53" s="33">
        <v>20003</v>
      </c>
      <c r="C53" s="32">
        <v>3</v>
      </c>
      <c r="D53" s="2" t="str">
        <f t="shared" si="61"/>
        <v>20003_3</v>
      </c>
      <c r="E53" s="5" t="str">
        <f ca="1">VLOOKUP($B53,OFFSET([1]quests!$A$1,0,0,COUNTA([1]quests!$A:$A),MATCH(E$1,[1]quests!$1:$1,0)-MATCH($B$1,[1]quests!$1:$1,0)+1),MATCH(E$1,[1]quests!$1:$1,0)-MATCH($B$1,[1]quests!$1:$1,0)+1,FALSE)</f>
        <v>忍び寄る短剣</v>
      </c>
      <c r="F53" s="5" t="str">
        <f ca="1">VLOOKUP($D53,OFFSET([1]stages!$A$1,0,0,COUNTA([1]stages!$A:$A),MATCH(F$1,[1]stages!$2:$2,0)-MATCH($D$1,[1]stages!$2:$2,0)+1),MATCH(F$1,[1]stages!$2:$2,0)-MATCH($D$1,[1]stages!$2:$2,0)+1,FALSE)</f>
        <v xml:space="preserve">【上級】忍び寄る短剣 </v>
      </c>
      <c r="G53" s="36">
        <v>2</v>
      </c>
      <c r="H53" s="21" t="str">
        <f t="shared" si="62"/>
        <v>20003_3-2</v>
      </c>
      <c r="I53" s="31">
        <v>71</v>
      </c>
      <c r="J53" s="27" t="str">
        <f ca="1">VLOOKUP($I53,OFFSET([2]enemies!$A$1,0,0,COUNTA([2]enemies!$A:$A),MATCH(J$1,[2]enemies!$1:$1,0)-MATCH($I$1,[2]enemies!$1:$1,0)+1),MATCH(J$1,[2]enemies!$1:$1,0)-MATCH($I$1,[2]enemies!$1:$1,0)+1,FALSE)</f>
        <v>ダックス</v>
      </c>
      <c r="K53" s="27" t="str">
        <f ca="1">VLOOKUP($I53,OFFSET([2]enemies!$A$1,0,0,COUNTA([2]enemies!$A:$A),MATCH(K$1,[2]enemies!$1:$1,0)-MATCH($I$1,[2]enemies!$1:$1,0)+1),MATCH(K$1,[2]enemies!$1:$1,0)-MATCH($I$1,[2]enemies!$1:$1,0)+1,FALSE)</f>
        <v>blue</v>
      </c>
      <c r="L53" s="29" t="str">
        <f>VLOOKUP(I53,[3]characters!$A:$J,10,FALSE)</f>
        <v>Drop1S</v>
      </c>
      <c r="M53" s="27" t="str">
        <f ca="1">VLOOKUP($I53,OFFSET([2]enemies!$A$1,0,0,COUNTA([2]enemies!$A:$A),MATCH(M$1,[2]enemies!$1:$1,0)-MATCH($I$1,[2]enemies!$1:$1,0)+1),MATCH(M$1,[2]enemies!$1:$1,0)-MATCH($I$1,[2]enemies!$1:$1,0)+1,FALSE)</f>
        <v>animal</v>
      </c>
      <c r="N53" s="27">
        <f ca="1">VLOOKUP($I53,OFFSET([2]enemies!$A$1,0,0,COUNTA([2]enemies!$A:$A),MATCH(N$1,[2]enemies!$1:$1,0)-MATCH($I$1,[2]enemies!$1:$1,0)+1),MATCH(N$1,[2]enemies!$1:$1,0)-MATCH($I$1,[2]enemies!$1:$1,0)+1,FALSE)</f>
        <v>15</v>
      </c>
      <c r="O53" s="6">
        <v>40</v>
      </c>
      <c r="P53" s="38">
        <v>2.2999999999999998</v>
      </c>
      <c r="Q53" s="38">
        <v>0.9</v>
      </c>
      <c r="R53" s="6">
        <v>0</v>
      </c>
      <c r="S53" s="5" t="str">
        <f ca="1">VLOOKUP($T53,OFFSET([4]enemy_skill_sets!$B$1,0,0,COUNTA([4]enemy_skill_sets!$B:$B),MATCH("name",[4]enemy_skill_sets!$1:$1,0)-MATCH($T$1,[4]enemy_skill_sets!$1:$1,0)+2),MATCH("name",[4]enemy_skill_sets!$1:$1,0)-MATCH($T$1,[4]enemy_skill_sets!$1:$1,0)+2,FALSE)</f>
        <v>3ターン攻撃頻度が1ターンにUP</v>
      </c>
      <c r="T53" s="27">
        <f ca="1">VLOOKUP($I53,OFFSET([2]enemies!$A$1,0,0,COUNTA([2]enemies!$A:$A),MATCH(T$1,[2]enemies!$1:$1,0)-MATCH($I$1,[2]enemies!$1:$1,0)+1),MATCH(T$1,[2]enemies!$1:$1,0)-MATCH($I$1,[2]enemies!$1:$1,0)+1,FALSE)</f>
        <v>71</v>
      </c>
      <c r="U53" s="7">
        <v>1</v>
      </c>
      <c r="V53" s="7">
        <v>100</v>
      </c>
      <c r="W53" s="7">
        <v>0</v>
      </c>
      <c r="X53" s="27">
        <f ca="1">VLOOKUP($I53,OFFSET([2]enemies!$A$1,0,0,COUNTA([2]enemies!$A:$A),MATCH(X$1,[2]enemies!$1:$1,0)-MATCH($I$1,[2]enemies!$1:$1,0)+1),MATCH(X$1,[2]enemies!$1:$1,0)-MATCH($I$1,[2]enemies!$1:$1,0)+1,FALSE)</f>
        <v>4</v>
      </c>
      <c r="Y53" s="8">
        <v>71</v>
      </c>
      <c r="Z53" s="5" t="str">
        <f ca="1">IFERROR(VLOOKUP($Y53,OFFSET([3]characters!$A$1,0,0,COUNTA([3]characters!$A:$A),MATCH(Z$1,[3]characters!$1:$1,0)-MATCH("character_id",[3]characters!$1:$1,0)+1),MATCH(Z$1,[3]characters!$1:$1,0)-MATCH("character_id",[3]characters!$1:$1,0)+1,FALSE),"")</f>
        <v>ダックス</v>
      </c>
      <c r="AA53" s="5">
        <f ca="1">IFERROR(VLOOKUP($Y53,OFFSET([3]characters!$A$1,0,0,COUNTA([3]characters!$A:$A),MATCH(AA$1,[3]characters!$1:$1,0)-MATCH("character_id",[3]characters!$1:$1,0)+1),MATCH(AA$1,[3]characters!$1:$1,0)-MATCH("character_id",[3]characters!$1:$1,0)+1,FALSE),"")</f>
        <v>2</v>
      </c>
      <c r="AB53" s="5" t="str">
        <f ca="1">IFERROR(VLOOKUP($Y53,OFFSET([3]characters!$A$1,0,0,COUNTA([3]characters!$A:$A),MATCH(AB$1,[3]characters!$1:$1,0)-MATCH("character_id",[3]characters!$1:$1,0)+1),MATCH(AB$1,[3]characters!$1:$1,0)-MATCH("character_id",[3]characters!$1:$1,0)+1,FALSE),"")</f>
        <v>Drop1S</v>
      </c>
      <c r="AC53" s="9">
        <v>3</v>
      </c>
      <c r="AD53" s="35">
        <f t="shared" ca="1" si="63"/>
        <v>2</v>
      </c>
      <c r="AE53" s="10">
        <v>10</v>
      </c>
      <c r="AF53" s="9">
        <v>0</v>
      </c>
      <c r="AG53" s="9">
        <v>0</v>
      </c>
      <c r="AH53" s="9">
        <v>0</v>
      </c>
      <c r="AI53" s="9">
        <v>0</v>
      </c>
      <c r="AJ53" s="9">
        <v>1</v>
      </c>
    </row>
    <row r="54" spans="1:36" ht="21" customHeight="1" x14ac:dyDescent="0.15">
      <c r="A54" s="22" t="str">
        <f t="shared" ref="A54:A56" ca="1" si="64">B54&amp;"_"&amp;C54&amp;"-"&amp;G54&amp;"/"&amp;I54&amp;"&lt;lv"&amp;O54&amp;"&gt;s"&amp;X54</f>
        <v>20003_3-3/61&lt;lv40&gt;s2</v>
      </c>
      <c r="B54" s="33">
        <v>20003</v>
      </c>
      <c r="C54" s="32">
        <v>3</v>
      </c>
      <c r="D54" s="2" t="str">
        <f t="shared" ref="D54:D56" si="65">B54&amp;"_"&amp;C54</f>
        <v>20003_3</v>
      </c>
      <c r="E54" s="5" t="str">
        <f ca="1">VLOOKUP($B54,OFFSET([1]quests!$A$1,0,0,COUNTA([1]quests!$A:$A),MATCH(E$1,[1]quests!$1:$1,0)-MATCH($B$1,[1]quests!$1:$1,0)+1),MATCH(E$1,[1]quests!$1:$1,0)-MATCH($B$1,[1]quests!$1:$1,0)+1,FALSE)</f>
        <v>忍び寄る短剣</v>
      </c>
      <c r="F54" s="5" t="str">
        <f ca="1">VLOOKUP($D54,OFFSET([1]stages!$A$1,0,0,COUNTA([1]stages!$A:$A),MATCH(F$1,[1]stages!$2:$2,0)-MATCH($D$1,[1]stages!$2:$2,0)+1),MATCH(F$1,[1]stages!$2:$2,0)-MATCH($D$1,[1]stages!$2:$2,0)+1,FALSE)</f>
        <v xml:space="preserve">【上級】忍び寄る短剣 </v>
      </c>
      <c r="G54" s="32">
        <v>3</v>
      </c>
      <c r="H54" s="21" t="str">
        <f t="shared" ref="H54:H56" si="66">B54&amp;"_"&amp;C54&amp;"-"&amp;G54</f>
        <v>20003_3-3</v>
      </c>
      <c r="I54" s="31">
        <v>61</v>
      </c>
      <c r="J54" s="27" t="str">
        <f ca="1">VLOOKUP($I54,OFFSET([2]enemies!$A$1,0,0,COUNTA([2]enemies!$A:$A),MATCH(J$1,[2]enemies!$1:$1,0)-MATCH($I$1,[2]enemies!$1:$1,0)+1),MATCH(J$1,[2]enemies!$1:$1,0)-MATCH($I$1,[2]enemies!$1:$1,0)+1,FALSE)</f>
        <v>クロウ</v>
      </c>
      <c r="K54" s="27" t="str">
        <f ca="1">VLOOKUP($I54,OFFSET([2]enemies!$A$1,0,0,COUNTA([2]enemies!$A:$A),MATCH(K$1,[2]enemies!$1:$1,0)-MATCH($I$1,[2]enemies!$1:$1,0)+1),MATCH(K$1,[2]enemies!$1:$1,0)-MATCH($I$1,[2]enemies!$1:$1,0)+1,FALSE)</f>
        <v>blue</v>
      </c>
      <c r="L54" s="29" t="str">
        <f>VLOOKUP(I54,[3]characters!$A:$J,10,FALSE)</f>
        <v>Drop1N</v>
      </c>
      <c r="M54" s="27" t="str">
        <f ca="1">VLOOKUP($I54,OFFSET([2]enemies!$A$1,0,0,COUNTA([2]enemies!$A:$A),MATCH(M$1,[2]enemies!$1:$1,0)-MATCH($I$1,[2]enemies!$1:$1,0)+1),MATCH(M$1,[2]enemies!$1:$1,0)-MATCH($I$1,[2]enemies!$1:$1,0)+1,FALSE)</f>
        <v>animal</v>
      </c>
      <c r="N54" s="27">
        <f ca="1">VLOOKUP($I54,OFFSET([2]enemies!$A$1,0,0,COUNTA([2]enemies!$A:$A),MATCH(N$1,[2]enemies!$1:$1,0)-MATCH($I$1,[2]enemies!$1:$1,0)+1),MATCH(N$1,[2]enemies!$1:$1,0)-MATCH($I$1,[2]enemies!$1:$1,0)+1,FALSE)</f>
        <v>15</v>
      </c>
      <c r="O54" s="6">
        <v>40</v>
      </c>
      <c r="P54" s="38">
        <v>1.9</v>
      </c>
      <c r="Q54" s="38">
        <v>1.2</v>
      </c>
      <c r="R54" s="6">
        <v>0</v>
      </c>
      <c r="S54" s="5" t="str">
        <f ca="1">VLOOKUP($T54,OFFSET([4]enemy_skill_sets!$B$1,0,0,COUNTA([4]enemy_skill_sets!$B:$B),MATCH("name",[4]enemy_skill_sets!$1:$1,0)-MATCH($T$1,[4]enemy_skill_sets!$1:$1,0)+2),MATCH("name",[4]enemy_skill_sets!$1:$1,0)-MATCH($T$1,[4]enemy_skill_sets!$1:$1,0)+2,FALSE)</f>
        <v>回復</v>
      </c>
      <c r="T54" s="27">
        <f ca="1">VLOOKUP($I54,OFFSET([2]enemies!$A$1,0,0,COUNTA([2]enemies!$A:$A),MATCH(T$1,[2]enemies!$1:$1,0)-MATCH($I$1,[2]enemies!$1:$1,0)+1),MATCH(T$1,[2]enemies!$1:$1,0)-MATCH($I$1,[2]enemies!$1:$1,0)+1,FALSE)</f>
        <v>61</v>
      </c>
      <c r="U54" s="7">
        <v>1</v>
      </c>
      <c r="V54" s="7">
        <v>100</v>
      </c>
      <c r="W54" s="7">
        <v>0</v>
      </c>
      <c r="X54" s="27">
        <f ca="1">VLOOKUP($I54,OFFSET([2]enemies!$A$1,0,0,COUNTA([2]enemies!$A:$A),MATCH(X$1,[2]enemies!$1:$1,0)-MATCH($I$1,[2]enemies!$1:$1,0)+1),MATCH(X$1,[2]enemies!$1:$1,0)-MATCH($I$1,[2]enemies!$1:$1,0)+1,FALSE)</f>
        <v>2</v>
      </c>
      <c r="Y54" s="8">
        <v>61</v>
      </c>
      <c r="Z54" s="5" t="str">
        <f ca="1">IFERROR(VLOOKUP($Y54,OFFSET([3]characters!$A$1,0,0,COUNTA([3]characters!$A:$A),MATCH(Z$1,[3]characters!$1:$1,0)-MATCH("character_id",[3]characters!$1:$1,0)+1),MATCH(Z$1,[3]characters!$1:$1,0)-MATCH("character_id",[3]characters!$1:$1,0)+1,FALSE),"")</f>
        <v>クロウ</v>
      </c>
      <c r="AA54" s="5">
        <f ca="1">IFERROR(VLOOKUP($Y54,OFFSET([3]characters!$A$1,0,0,COUNTA([3]characters!$A:$A),MATCH(AA$1,[3]characters!$1:$1,0)-MATCH("character_id",[3]characters!$1:$1,0)+1),MATCH(AA$1,[3]characters!$1:$1,0)-MATCH("character_id",[3]characters!$1:$1,0)+1,FALSE),"")</f>
        <v>2</v>
      </c>
      <c r="AB54" s="5" t="str">
        <f ca="1">IFERROR(VLOOKUP($Y54,OFFSET([3]characters!$A$1,0,0,COUNTA([3]characters!$A:$A),MATCH(AB$1,[3]characters!$1:$1,0)-MATCH("character_id",[3]characters!$1:$1,0)+1),MATCH(AB$1,[3]characters!$1:$1,0)-MATCH("character_id",[3]characters!$1:$1,0)+1,FALSE),"")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4" s="9">
        <v>5</v>
      </c>
      <c r="AD54" s="35">
        <f t="shared" ref="AD54:AD56" ca="1" si="67">AA54</f>
        <v>2</v>
      </c>
      <c r="AE54" s="10">
        <v>15</v>
      </c>
      <c r="AF54" s="9">
        <v>0</v>
      </c>
      <c r="AG54" s="9">
        <v>0</v>
      </c>
      <c r="AH54" s="9">
        <v>0</v>
      </c>
      <c r="AI54" s="9">
        <v>0</v>
      </c>
      <c r="AJ54" s="9">
        <v>1</v>
      </c>
    </row>
    <row r="55" spans="1:36" ht="21" customHeight="1" x14ac:dyDescent="0.15">
      <c r="A55" s="22" t="str">
        <f t="shared" ca="1" si="64"/>
        <v>20003_3-3/45&lt;lv40&gt;s3</v>
      </c>
      <c r="B55" s="33">
        <v>20003</v>
      </c>
      <c r="C55" s="32">
        <v>3</v>
      </c>
      <c r="D55" s="2" t="str">
        <f t="shared" si="65"/>
        <v>20003_3</v>
      </c>
      <c r="E55" s="5" t="str">
        <f ca="1">VLOOKUP($B55,OFFSET([1]quests!$A$1,0,0,COUNTA([1]quests!$A:$A),MATCH(E$1,[1]quests!$1:$1,0)-MATCH($B$1,[1]quests!$1:$1,0)+1),MATCH(E$1,[1]quests!$1:$1,0)-MATCH($B$1,[1]quests!$1:$1,0)+1,FALSE)</f>
        <v>忍び寄る短剣</v>
      </c>
      <c r="F55" s="5" t="str">
        <f ca="1">VLOOKUP($D55,OFFSET([1]stages!$A$1,0,0,COUNTA([1]stages!$A:$A),MATCH(F$1,[1]stages!$2:$2,0)-MATCH($D$1,[1]stages!$2:$2,0)+1),MATCH(F$1,[1]stages!$2:$2,0)-MATCH($D$1,[1]stages!$2:$2,0)+1,FALSE)</f>
        <v xml:space="preserve">【上級】忍び寄る短剣 </v>
      </c>
      <c r="G55" s="32">
        <v>3</v>
      </c>
      <c r="H55" s="21" t="str">
        <f t="shared" si="66"/>
        <v>20003_3-3</v>
      </c>
      <c r="I55" s="31">
        <v>45</v>
      </c>
      <c r="J55" s="27" t="str">
        <f ca="1">VLOOKUP($I55,OFFSET([2]enemies!$A$1,0,0,COUNTA([2]enemies!$A:$A),MATCH(J$1,[2]enemies!$1:$1,0)-MATCH($I$1,[2]enemies!$1:$1,0)+1),MATCH(J$1,[2]enemies!$1:$1,0)-MATCH($I$1,[2]enemies!$1:$1,0)+1,FALSE)</f>
        <v>ショウイン</v>
      </c>
      <c r="K55" s="27" t="str">
        <f ca="1">VLOOKUP($I55,OFFSET([2]enemies!$A$1,0,0,COUNTA([2]enemies!$A:$A),MATCH(K$1,[2]enemies!$1:$1,0)-MATCH($I$1,[2]enemies!$1:$1,0)+1),MATCH(K$1,[2]enemies!$1:$1,0)-MATCH($I$1,[2]enemies!$1:$1,0)+1,FALSE)</f>
        <v>blue</v>
      </c>
      <c r="L55" s="29" t="str">
        <f>VLOOKUP(I55,[3]characters!$A:$J,10,FALSE)</f>
        <v>Drop1N</v>
      </c>
      <c r="M55" s="27" t="str">
        <f ca="1">VLOOKUP($I55,OFFSET([2]enemies!$A$1,0,0,COUNTA([2]enemies!$A:$A),MATCH(M$1,[2]enemies!$1:$1,0)-MATCH($I$1,[2]enemies!$1:$1,0)+1),MATCH(M$1,[2]enemies!$1:$1,0)-MATCH($I$1,[2]enemies!$1:$1,0)+1,FALSE)</f>
        <v>animal</v>
      </c>
      <c r="N55" s="27">
        <f ca="1">VLOOKUP($I55,OFFSET([2]enemies!$A$1,0,0,COUNTA([2]enemies!$A:$A),MATCH(N$1,[2]enemies!$1:$1,0)-MATCH($I$1,[2]enemies!$1:$1,0)+1),MATCH(N$1,[2]enemies!$1:$1,0)-MATCH($I$1,[2]enemies!$1:$1,0)+1,FALSE)</f>
        <v>15</v>
      </c>
      <c r="O55" s="6">
        <v>40</v>
      </c>
      <c r="P55" s="38">
        <v>1.9</v>
      </c>
      <c r="Q55" s="38">
        <v>1.2</v>
      </c>
      <c r="R55" s="6">
        <v>0</v>
      </c>
      <c r="S55" s="5" t="str">
        <f ca="1">VLOOKUP($T55,OFFSET([4]enemy_skill_sets!$B$1,0,0,COUNTA([4]enemy_skill_sets!$B:$B),MATCH("name",[4]enemy_skill_sets!$1:$1,0)-MATCH($T$1,[4]enemy_skill_sets!$1:$1,0)+2),MATCH("name",[4]enemy_skill_sets!$1:$1,0)-MATCH($T$1,[4]enemy_skill_sets!$1:$1,0)+2,FALSE)</f>
        <v>なし</v>
      </c>
      <c r="T55" s="27">
        <f ca="1">VLOOKUP($I55,OFFSET([2]enemies!$A$1,0,0,COUNTA([2]enemies!$A:$A),MATCH(T$1,[2]enemies!$1:$1,0)-MATCH($I$1,[2]enemies!$1:$1,0)+1),MATCH(T$1,[2]enemies!$1:$1,0)-MATCH($I$1,[2]enemies!$1:$1,0)+1,FALSE)</f>
        <v>0</v>
      </c>
      <c r="U55" s="7">
        <v>1</v>
      </c>
      <c r="V55" s="7">
        <v>100</v>
      </c>
      <c r="W55" s="7">
        <v>0</v>
      </c>
      <c r="X55" s="27">
        <f ca="1">VLOOKUP($I55,OFFSET([2]enemies!$A$1,0,0,COUNTA([2]enemies!$A:$A),MATCH(X$1,[2]enemies!$1:$1,0)-MATCH($I$1,[2]enemies!$1:$1,0)+1),MATCH(X$1,[2]enemies!$1:$1,0)-MATCH($I$1,[2]enemies!$1:$1,0)+1,FALSE)</f>
        <v>3</v>
      </c>
      <c r="Y55" s="8">
        <v>45</v>
      </c>
      <c r="Z55" s="5" t="str">
        <f ca="1">IFERROR(VLOOKUP($Y55,OFFSET([3]characters!$A$1,0,0,COUNTA([3]characters!$A:$A),MATCH(Z$1,[3]characters!$1:$1,0)-MATCH("character_id",[3]characters!$1:$1,0)+1),MATCH(Z$1,[3]characters!$1:$1,0)-MATCH("character_id",[3]characters!$1:$1,0)+1,FALSE),"")</f>
        <v>ショウイン</v>
      </c>
      <c r="AA55" s="5">
        <f ca="1">IFERROR(VLOOKUP($Y55,OFFSET([3]characters!$A$1,0,0,COUNTA([3]characters!$A:$A),MATCH(AA$1,[3]characters!$1:$1,0)-MATCH("character_id",[3]characters!$1:$1,0)+1),MATCH(AA$1,[3]characters!$1:$1,0)-MATCH("character_id",[3]characters!$1:$1,0)+1,FALSE),"")</f>
        <v>2</v>
      </c>
      <c r="AB55" s="5" t="str">
        <f ca="1">IFERROR(VLOOKUP($Y55,OFFSET([3]characters!$A$1,0,0,COUNTA([3]characters!$A:$A),MATCH(AB$1,[3]characters!$1:$1,0)-MATCH("character_id",[3]characters!$1:$1,0)+1),MATCH(AB$1,[3]characters!$1:$1,0)-MATCH("character_id",[3]characters!$1:$1,0)+1,FALSE),"")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5" s="9">
        <v>5</v>
      </c>
      <c r="AD55" s="35">
        <f t="shared" ca="1" si="67"/>
        <v>2</v>
      </c>
      <c r="AE55" s="10">
        <v>15</v>
      </c>
      <c r="AF55" s="9">
        <v>0</v>
      </c>
      <c r="AG55" s="9">
        <v>0</v>
      </c>
      <c r="AH55" s="9">
        <v>0</v>
      </c>
      <c r="AI55" s="9">
        <v>0</v>
      </c>
      <c r="AJ55" s="9">
        <v>1</v>
      </c>
    </row>
    <row r="56" spans="1:36" ht="21" customHeight="1" x14ac:dyDescent="0.15">
      <c r="A56" s="22" t="str">
        <f t="shared" ca="1" si="64"/>
        <v>20003_3-3/53&lt;lv40&gt;s2</v>
      </c>
      <c r="B56" s="33">
        <v>20003</v>
      </c>
      <c r="C56" s="32">
        <v>3</v>
      </c>
      <c r="D56" s="2" t="str">
        <f t="shared" si="65"/>
        <v>20003_3</v>
      </c>
      <c r="E56" s="5" t="str">
        <f ca="1">VLOOKUP($B56,OFFSET([1]quests!$A$1,0,0,COUNTA([1]quests!$A:$A),MATCH(E$1,[1]quests!$1:$1,0)-MATCH($B$1,[1]quests!$1:$1,0)+1),MATCH(E$1,[1]quests!$1:$1,0)-MATCH($B$1,[1]quests!$1:$1,0)+1,FALSE)</f>
        <v>忍び寄る短剣</v>
      </c>
      <c r="F56" s="5" t="str">
        <f ca="1">VLOOKUP($D56,OFFSET([1]stages!$A$1,0,0,COUNTA([1]stages!$A:$A),MATCH(F$1,[1]stages!$2:$2,0)-MATCH($D$1,[1]stages!$2:$2,0)+1),MATCH(F$1,[1]stages!$2:$2,0)-MATCH($D$1,[1]stages!$2:$2,0)+1,FALSE)</f>
        <v xml:space="preserve">【上級】忍び寄る短剣 </v>
      </c>
      <c r="G56" s="32">
        <v>3</v>
      </c>
      <c r="H56" s="21" t="str">
        <f t="shared" si="66"/>
        <v>20003_3-3</v>
      </c>
      <c r="I56" s="31">
        <v>53</v>
      </c>
      <c r="J56" s="27" t="str">
        <f ca="1">VLOOKUP($I56,OFFSET([2]enemies!$A$1,0,0,COUNTA([2]enemies!$A:$A),MATCH(J$1,[2]enemies!$1:$1,0)-MATCH($I$1,[2]enemies!$1:$1,0)+1),MATCH(J$1,[2]enemies!$1:$1,0)-MATCH($I$1,[2]enemies!$1:$1,0)+1,FALSE)</f>
        <v>ケンジ</v>
      </c>
      <c r="K56" s="27" t="str">
        <f ca="1">VLOOKUP($I56,OFFSET([2]enemies!$A$1,0,0,COUNTA([2]enemies!$A:$A),MATCH(K$1,[2]enemies!$1:$1,0)-MATCH($I$1,[2]enemies!$1:$1,0)+1),MATCH(K$1,[2]enemies!$1:$1,0)-MATCH($I$1,[2]enemies!$1:$1,0)+1,FALSE)</f>
        <v>blue</v>
      </c>
      <c r="L56" s="29" t="str">
        <f>VLOOKUP(I56,[3]characters!$A:$J,10,FALSE)</f>
        <v>Drop1N</v>
      </c>
      <c r="M56" s="27" t="str">
        <f ca="1">VLOOKUP($I56,OFFSET([2]enemies!$A$1,0,0,COUNTA([2]enemies!$A:$A),MATCH(M$1,[2]enemies!$1:$1,0)-MATCH($I$1,[2]enemies!$1:$1,0)+1),MATCH(M$1,[2]enemies!$1:$1,0)-MATCH($I$1,[2]enemies!$1:$1,0)+1,FALSE)</f>
        <v>human</v>
      </c>
      <c r="N56" s="27">
        <f ca="1">VLOOKUP($I56,OFFSET([2]enemies!$A$1,0,0,COUNTA([2]enemies!$A:$A),MATCH(N$1,[2]enemies!$1:$1,0)-MATCH($I$1,[2]enemies!$1:$1,0)+1),MATCH(N$1,[2]enemies!$1:$1,0)-MATCH($I$1,[2]enemies!$1:$1,0)+1,FALSE)</f>
        <v>15</v>
      </c>
      <c r="O56" s="6">
        <v>40</v>
      </c>
      <c r="P56" s="38">
        <v>1.9</v>
      </c>
      <c r="Q56" s="38">
        <v>0.9</v>
      </c>
      <c r="R56" s="6">
        <v>0</v>
      </c>
      <c r="S56" s="5" t="str">
        <f ca="1">VLOOKUP($T56,OFFSET([4]enemy_skill_sets!$B$1,0,0,COUNTA([4]enemy_skill_sets!$B:$B),MATCH("name",[4]enemy_skill_sets!$1:$1,0)-MATCH($T$1,[4]enemy_skill_sets!$1:$1,0)+2),MATCH("name",[4]enemy_skill_sets!$1:$1,0)-MATCH($T$1,[4]enemy_skill_sets!$1:$1,0)+2,FALSE)</f>
        <v>2ターンスキルが使えない！</v>
      </c>
      <c r="T56" s="42">
        <v>2666</v>
      </c>
      <c r="U56" s="7">
        <v>1</v>
      </c>
      <c r="V56" s="7">
        <v>100</v>
      </c>
      <c r="W56" s="7">
        <v>0</v>
      </c>
      <c r="X56" s="27">
        <f ca="1">VLOOKUP($I56,OFFSET([2]enemies!$A$1,0,0,COUNTA([2]enemies!$A:$A),MATCH(X$1,[2]enemies!$1:$1,0)-MATCH($I$1,[2]enemies!$1:$1,0)+1),MATCH(X$1,[2]enemies!$1:$1,0)-MATCH($I$1,[2]enemies!$1:$1,0)+1,FALSE)</f>
        <v>2</v>
      </c>
      <c r="Y56" s="8">
        <v>53</v>
      </c>
      <c r="Z56" s="5" t="str">
        <f ca="1">IFERROR(VLOOKUP($Y56,OFFSET([3]characters!$A$1,0,0,COUNTA([3]characters!$A:$A),MATCH(Z$1,[3]characters!$1:$1,0)-MATCH("character_id",[3]characters!$1:$1,0)+1),MATCH(Z$1,[3]characters!$1:$1,0)-MATCH("character_id",[3]characters!$1:$1,0)+1,FALSE),"")</f>
        <v>ケンジ</v>
      </c>
      <c r="AA56" s="5">
        <f ca="1">IFERROR(VLOOKUP($Y56,OFFSET([3]characters!$A$1,0,0,COUNTA([3]characters!$A:$A),MATCH(AA$1,[3]characters!$1:$1,0)-MATCH("character_id",[3]characters!$1:$1,0)+1),MATCH(AA$1,[3]characters!$1:$1,0)-MATCH("character_id",[3]characters!$1:$1,0)+1,FALSE),"")</f>
        <v>2</v>
      </c>
      <c r="AB56" s="5" t="str">
        <f ca="1">IFERROR(VLOOKUP($Y56,OFFSET([3]characters!$A$1,0,0,COUNTA([3]characters!$A:$A),MATCH(AB$1,[3]characters!$1:$1,0)-MATCH("character_id",[3]characters!$1:$1,0)+1),MATCH(AB$1,[3]characters!$1:$1,0)-MATCH("character_id",[3]characters!$1:$1,0)+1,FALSE),"")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6" s="9">
        <v>5</v>
      </c>
      <c r="AD56" s="35">
        <f t="shared" ca="1" si="67"/>
        <v>2</v>
      </c>
      <c r="AE56" s="10">
        <v>15</v>
      </c>
      <c r="AF56" s="9">
        <v>0</v>
      </c>
      <c r="AG56" s="9">
        <v>0</v>
      </c>
      <c r="AH56" s="9">
        <v>0</v>
      </c>
      <c r="AI56" s="9">
        <v>0</v>
      </c>
      <c r="AJ56" s="9">
        <v>1</v>
      </c>
    </row>
    <row r="57" spans="1:36" ht="21" customHeight="1" x14ac:dyDescent="0.15">
      <c r="A57" s="22" t="str">
        <f t="shared" ref="A57:A59" ca="1" si="68">B57&amp;"_"&amp;C57&amp;"-"&amp;G57&amp;"/"&amp;I57&amp;"&lt;lv"&amp;O57&amp;"&gt;s"&amp;X57</f>
        <v>20003_3-4/29&lt;lv40&gt;s2</v>
      </c>
      <c r="B57" s="33">
        <v>20003</v>
      </c>
      <c r="C57" s="32">
        <v>3</v>
      </c>
      <c r="D57" s="2" t="str">
        <f t="shared" ref="D57:D59" si="69">B57&amp;"_"&amp;C57</f>
        <v>20003_3</v>
      </c>
      <c r="E57" s="5" t="str">
        <f ca="1">VLOOKUP($B57,OFFSET([1]quests!$A$1,0,0,COUNTA([1]quests!$A:$A),MATCH(E$1,[1]quests!$1:$1,0)-MATCH($B$1,[1]quests!$1:$1,0)+1),MATCH(E$1,[1]quests!$1:$1,0)-MATCH($B$1,[1]quests!$1:$1,0)+1,FALSE)</f>
        <v>忍び寄る短剣</v>
      </c>
      <c r="F57" s="5" t="str">
        <f ca="1">VLOOKUP($D57,OFFSET([1]stages!$A$1,0,0,COUNTA([1]stages!$A:$A),MATCH(F$1,[1]stages!$2:$2,0)-MATCH($D$1,[1]stages!$2:$2,0)+1),MATCH(F$1,[1]stages!$2:$2,0)-MATCH($D$1,[1]stages!$2:$2,0)+1,FALSE)</f>
        <v xml:space="preserve">【上級】忍び寄る短剣 </v>
      </c>
      <c r="G57" s="36">
        <v>4</v>
      </c>
      <c r="H57" s="21" t="str">
        <f t="shared" ref="H57:H59" si="70">B57&amp;"_"&amp;C57&amp;"-"&amp;G57</f>
        <v>20003_3-4</v>
      </c>
      <c r="I57" s="31">
        <v>29</v>
      </c>
      <c r="J57" s="27" t="str">
        <f ca="1">VLOOKUP($I57,OFFSET([2]enemies!$A$1,0,0,COUNTA([2]enemies!$A:$A),MATCH(J$1,[2]enemies!$1:$1,0)-MATCH($I$1,[2]enemies!$1:$1,0)+1),MATCH(J$1,[2]enemies!$1:$1,0)-MATCH($I$1,[2]enemies!$1:$1,0)+1,FALSE)</f>
        <v>スケアクロウ</v>
      </c>
      <c r="K57" s="27" t="str">
        <f ca="1">VLOOKUP($I57,OFFSET([2]enemies!$A$1,0,0,COUNTA([2]enemies!$A:$A),MATCH(K$1,[2]enemies!$1:$1,0)-MATCH($I$1,[2]enemies!$1:$1,0)+1),MATCH(K$1,[2]enemies!$1:$1,0)-MATCH($I$1,[2]enemies!$1:$1,0)+1,FALSE)</f>
        <v>blue</v>
      </c>
      <c r="L57" s="29" t="str">
        <f>VLOOKUP(I57,[3]characters!$A:$J,10,FALSE)</f>
        <v>Drop1N</v>
      </c>
      <c r="M57" s="27" t="str">
        <f ca="1">VLOOKUP($I57,OFFSET([2]enemies!$A$1,0,0,COUNTA([2]enemies!$A:$A),MATCH(M$1,[2]enemies!$1:$1,0)-MATCH($I$1,[2]enemies!$1:$1,0)+1),MATCH(M$1,[2]enemies!$1:$1,0)-MATCH($I$1,[2]enemies!$1:$1,0)+1,FALSE)</f>
        <v>machine</v>
      </c>
      <c r="N57" s="27">
        <f ca="1">VLOOKUP($I57,OFFSET([2]enemies!$A$1,0,0,COUNTA([2]enemies!$A:$A),MATCH(N$1,[2]enemies!$1:$1,0)-MATCH($I$1,[2]enemies!$1:$1,0)+1),MATCH(N$1,[2]enemies!$1:$1,0)-MATCH($I$1,[2]enemies!$1:$1,0)+1,FALSE)</f>
        <v>15</v>
      </c>
      <c r="O57" s="6">
        <v>40</v>
      </c>
      <c r="P57" s="38">
        <v>1.9</v>
      </c>
      <c r="Q57" s="38">
        <v>1.2</v>
      </c>
      <c r="R57" s="6">
        <v>0</v>
      </c>
      <c r="S57" s="5" t="str">
        <f ca="1">VLOOKUP($T57,OFFSET([4]enemy_skill_sets!$B$1,0,0,COUNTA([4]enemy_skill_sets!$B:$B),MATCH("name",[4]enemy_skill_sets!$1:$1,0)-MATCH($T$1,[4]enemy_skill_sets!$1:$1,0)+2),MATCH("name",[4]enemy_skill_sets!$1:$1,0)-MATCH($T$1,[4]enemy_skill_sets!$1:$1,0)+2,FALSE)</f>
        <v>なし</v>
      </c>
      <c r="T57" s="27">
        <f ca="1">VLOOKUP($I57,OFFSET([2]enemies!$A$1,0,0,COUNTA([2]enemies!$A:$A),MATCH(T$1,[2]enemies!$1:$1,0)-MATCH($I$1,[2]enemies!$1:$1,0)+1),MATCH(T$1,[2]enemies!$1:$1,0)-MATCH($I$1,[2]enemies!$1:$1,0)+1,FALSE)</f>
        <v>0</v>
      </c>
      <c r="U57" s="7">
        <v>1</v>
      </c>
      <c r="V57" s="7">
        <v>50</v>
      </c>
      <c r="W57" s="7">
        <v>0</v>
      </c>
      <c r="X57" s="27">
        <f ca="1">VLOOKUP($I57,OFFSET([2]enemies!$A$1,0,0,COUNTA([2]enemies!$A:$A),MATCH(X$1,[2]enemies!$1:$1,0)-MATCH($I$1,[2]enemies!$1:$1,0)+1),MATCH(X$1,[2]enemies!$1:$1,0)-MATCH($I$1,[2]enemies!$1:$1,0)+1,FALSE)</f>
        <v>2</v>
      </c>
      <c r="Y57" s="8">
        <v>29</v>
      </c>
      <c r="Z57" s="5" t="str">
        <f ca="1">IFERROR(VLOOKUP($Y57,OFFSET([3]characters!$A$1,0,0,COUNTA([3]characters!$A:$A),MATCH(Z$1,[3]characters!$1:$1,0)-MATCH("character_id",[3]characters!$1:$1,0)+1),MATCH(Z$1,[3]characters!$1:$1,0)-MATCH("character_id",[3]characters!$1:$1,0)+1,FALSE),"")</f>
        <v>スケアクロウ</v>
      </c>
      <c r="AA57" s="5">
        <f ca="1">IFERROR(VLOOKUP($Y57,OFFSET([3]characters!$A$1,0,0,COUNTA([3]characters!$A:$A),MATCH(AA$1,[3]characters!$1:$1,0)-MATCH("character_id",[3]characters!$1:$1,0)+1),MATCH(AA$1,[3]characters!$1:$1,0)-MATCH("character_id",[3]characters!$1:$1,0)+1,FALSE),"")</f>
        <v>1</v>
      </c>
      <c r="AB57" s="5" t="str">
        <f ca="1">IFERROR(VLOOKUP($Y57,OFFSET([3]characters!$A$1,0,0,COUNTA([3]characters!$A:$A),MATCH(AB$1,[3]characters!$1:$1,0)-MATCH("character_id",[3]characters!$1:$1,0)+1),MATCH(AB$1,[3]characters!$1:$1,0)-MATCH("character_id",[3]characters!$1:$1,0)+1,FALSE),"")</f>
        <v>Drop1N</v>
      </c>
      <c r="AC57" s="9">
        <v>5</v>
      </c>
      <c r="AD57" s="35">
        <f t="shared" ref="AD57:AD59" ca="1" si="71">AA57</f>
        <v>1</v>
      </c>
      <c r="AE57" s="10">
        <v>15</v>
      </c>
      <c r="AF57" s="9">
        <v>0</v>
      </c>
      <c r="AG57" s="9">
        <v>0</v>
      </c>
      <c r="AH57" s="9">
        <v>0</v>
      </c>
      <c r="AI57" s="9">
        <v>0</v>
      </c>
      <c r="AJ57" s="9">
        <v>1</v>
      </c>
    </row>
    <row r="58" spans="1:36" ht="21" customHeight="1" x14ac:dyDescent="0.15">
      <c r="A58" s="22" t="str">
        <f t="shared" ca="1" si="68"/>
        <v>20003_3-4/71&lt;lv40&gt;s4</v>
      </c>
      <c r="B58" s="33">
        <v>20003</v>
      </c>
      <c r="C58" s="32">
        <v>3</v>
      </c>
      <c r="D58" s="2" t="str">
        <f t="shared" si="69"/>
        <v>20003_3</v>
      </c>
      <c r="E58" s="5" t="str">
        <f ca="1">VLOOKUP($B58,OFFSET([1]quests!$A$1,0,0,COUNTA([1]quests!$A:$A),MATCH(E$1,[1]quests!$1:$1,0)-MATCH($B$1,[1]quests!$1:$1,0)+1),MATCH(E$1,[1]quests!$1:$1,0)-MATCH($B$1,[1]quests!$1:$1,0)+1,FALSE)</f>
        <v>忍び寄る短剣</v>
      </c>
      <c r="F58" s="5" t="str">
        <f ca="1">VLOOKUP($D58,OFFSET([1]stages!$A$1,0,0,COUNTA([1]stages!$A:$A),MATCH(F$1,[1]stages!$2:$2,0)-MATCH($D$1,[1]stages!$2:$2,0)+1),MATCH(F$1,[1]stages!$2:$2,0)-MATCH($D$1,[1]stages!$2:$2,0)+1,FALSE)</f>
        <v xml:space="preserve">【上級】忍び寄る短剣 </v>
      </c>
      <c r="G58" s="36">
        <v>4</v>
      </c>
      <c r="H58" s="21" t="str">
        <f t="shared" si="70"/>
        <v>20003_3-4</v>
      </c>
      <c r="I58" s="31">
        <v>71</v>
      </c>
      <c r="J58" s="27" t="str">
        <f ca="1">VLOOKUP($I58,OFFSET([2]enemies!$A$1,0,0,COUNTA([2]enemies!$A:$A),MATCH(J$1,[2]enemies!$1:$1,0)-MATCH($I$1,[2]enemies!$1:$1,0)+1),MATCH(J$1,[2]enemies!$1:$1,0)-MATCH($I$1,[2]enemies!$1:$1,0)+1,FALSE)</f>
        <v>ダックス</v>
      </c>
      <c r="K58" s="27" t="str">
        <f ca="1">VLOOKUP($I58,OFFSET([2]enemies!$A$1,0,0,COUNTA([2]enemies!$A:$A),MATCH(K$1,[2]enemies!$1:$1,0)-MATCH($I$1,[2]enemies!$1:$1,0)+1),MATCH(K$1,[2]enemies!$1:$1,0)-MATCH($I$1,[2]enemies!$1:$1,0)+1,FALSE)</f>
        <v>blue</v>
      </c>
      <c r="L58" s="29" t="str">
        <f>VLOOKUP(I58,[3]characters!$A:$J,10,FALSE)</f>
        <v>Drop1S</v>
      </c>
      <c r="M58" s="27" t="str">
        <f ca="1">VLOOKUP($I58,OFFSET([2]enemies!$A$1,0,0,COUNTA([2]enemies!$A:$A),MATCH(M$1,[2]enemies!$1:$1,0)-MATCH($I$1,[2]enemies!$1:$1,0)+1),MATCH(M$1,[2]enemies!$1:$1,0)-MATCH($I$1,[2]enemies!$1:$1,0)+1,FALSE)</f>
        <v>animal</v>
      </c>
      <c r="N58" s="27">
        <f ca="1">VLOOKUP($I58,OFFSET([2]enemies!$A$1,0,0,COUNTA([2]enemies!$A:$A),MATCH(N$1,[2]enemies!$1:$1,0)-MATCH($I$1,[2]enemies!$1:$1,0)+1),MATCH(N$1,[2]enemies!$1:$1,0)-MATCH($I$1,[2]enemies!$1:$1,0)+1,FALSE)</f>
        <v>15</v>
      </c>
      <c r="O58" s="6">
        <v>40</v>
      </c>
      <c r="P58" s="38">
        <v>2.2999999999999998</v>
      </c>
      <c r="Q58" s="38">
        <v>0.9</v>
      </c>
      <c r="R58" s="6">
        <v>0</v>
      </c>
      <c r="S58" s="5" t="str">
        <f ca="1">VLOOKUP($T58,OFFSET([4]enemy_skill_sets!$B$1,0,0,COUNTA([4]enemy_skill_sets!$B:$B),MATCH("name",[4]enemy_skill_sets!$1:$1,0)-MATCH($T$1,[4]enemy_skill_sets!$1:$1,0)+2),MATCH("name",[4]enemy_skill_sets!$1:$1,0)-MATCH($T$1,[4]enemy_skill_sets!$1:$1,0)+2,FALSE)</f>
        <v>3ターン攻撃頻度が1ターンにUP</v>
      </c>
      <c r="T58" s="27">
        <f ca="1">VLOOKUP($I58,OFFSET([2]enemies!$A$1,0,0,COUNTA([2]enemies!$A:$A),MATCH(T$1,[2]enemies!$1:$1,0)-MATCH($I$1,[2]enemies!$1:$1,0)+1),MATCH(T$1,[2]enemies!$1:$1,0)-MATCH($I$1,[2]enemies!$1:$1,0)+1,FALSE)</f>
        <v>71</v>
      </c>
      <c r="U58" s="7">
        <v>1</v>
      </c>
      <c r="V58" s="7">
        <v>100</v>
      </c>
      <c r="W58" s="7">
        <v>0</v>
      </c>
      <c r="X58" s="27">
        <f ca="1">VLOOKUP($I58,OFFSET([2]enemies!$A$1,0,0,COUNTA([2]enemies!$A:$A),MATCH(X$1,[2]enemies!$1:$1,0)-MATCH($I$1,[2]enemies!$1:$1,0)+1),MATCH(X$1,[2]enemies!$1:$1,0)-MATCH($I$1,[2]enemies!$1:$1,0)+1,FALSE)</f>
        <v>4</v>
      </c>
      <c r="Y58" s="8">
        <v>71</v>
      </c>
      <c r="Z58" s="5" t="str">
        <f ca="1">IFERROR(VLOOKUP($Y58,OFFSET([3]characters!$A$1,0,0,COUNTA([3]characters!$A:$A),MATCH(Z$1,[3]characters!$1:$1,0)-MATCH("character_id",[3]characters!$1:$1,0)+1),MATCH(Z$1,[3]characters!$1:$1,0)-MATCH("character_id",[3]characters!$1:$1,0)+1,FALSE),"")</f>
        <v>ダックス</v>
      </c>
      <c r="AA58" s="5">
        <f ca="1">IFERROR(VLOOKUP($Y58,OFFSET([3]characters!$A$1,0,0,COUNTA([3]characters!$A:$A),MATCH(AA$1,[3]characters!$1:$1,0)-MATCH("character_id",[3]characters!$1:$1,0)+1),MATCH(AA$1,[3]characters!$1:$1,0)-MATCH("character_id",[3]characters!$1:$1,0)+1,FALSE),"")</f>
        <v>2</v>
      </c>
      <c r="AB58" s="5" t="str">
        <f ca="1">IFERROR(VLOOKUP($Y58,OFFSET([3]characters!$A$1,0,0,COUNTA([3]characters!$A:$A),MATCH(AB$1,[3]characters!$1:$1,0)-MATCH("character_id",[3]characters!$1:$1,0)+1),MATCH(AB$1,[3]characters!$1:$1,0)-MATCH("character_id",[3]characters!$1:$1,0)+1,FALSE),"")</f>
        <v>Drop1S</v>
      </c>
      <c r="AC58" s="9">
        <v>3</v>
      </c>
      <c r="AD58" s="35">
        <f t="shared" ca="1" si="71"/>
        <v>2</v>
      </c>
      <c r="AE58" s="10">
        <v>10</v>
      </c>
      <c r="AF58" s="9">
        <v>0</v>
      </c>
      <c r="AG58" s="9">
        <v>0</v>
      </c>
      <c r="AH58" s="9">
        <v>0</v>
      </c>
      <c r="AI58" s="9">
        <v>0</v>
      </c>
      <c r="AJ58" s="9">
        <v>1</v>
      </c>
    </row>
    <row r="59" spans="1:36" ht="21" customHeight="1" x14ac:dyDescent="0.15">
      <c r="A59" s="22" t="str">
        <f t="shared" si="68"/>
        <v>20003_3-4/123&lt;lv40&gt;s3</v>
      </c>
      <c r="B59" s="33">
        <v>20003</v>
      </c>
      <c r="C59" s="32">
        <v>3</v>
      </c>
      <c r="D59" s="2" t="str">
        <f t="shared" si="69"/>
        <v>20003_3</v>
      </c>
      <c r="E59" s="5" t="str">
        <f ca="1">VLOOKUP($B59,OFFSET([1]quests!$A$1,0,0,COUNTA([1]quests!$A:$A),MATCH(E$1,[1]quests!$1:$1,0)-MATCH($B$1,[1]quests!$1:$1,0)+1),MATCH(E$1,[1]quests!$1:$1,0)-MATCH($B$1,[1]quests!$1:$1,0)+1,FALSE)</f>
        <v>忍び寄る短剣</v>
      </c>
      <c r="F59" s="5" t="str">
        <f ca="1">VLOOKUP($D59,OFFSET([1]stages!$A$1,0,0,COUNTA([1]stages!$A:$A),MATCH(F$1,[1]stages!$2:$2,0)-MATCH($D$1,[1]stages!$2:$2,0)+1),MATCH(F$1,[1]stages!$2:$2,0)-MATCH($D$1,[1]stages!$2:$2,0)+1,FALSE)</f>
        <v xml:space="preserve">【上級】忍び寄る短剣 </v>
      </c>
      <c r="G59" s="36">
        <v>4</v>
      </c>
      <c r="H59" s="21" t="str">
        <f t="shared" si="70"/>
        <v>20003_3-4</v>
      </c>
      <c r="I59" s="31">
        <v>123</v>
      </c>
      <c r="J59" s="27" t="str">
        <f ca="1">VLOOKUP($I59,OFFSET([2]enemies!$A$1,0,0,COUNTA([2]enemies!$A:$A),MATCH(J$1,[2]enemies!$1:$1,0)-MATCH($I$1,[2]enemies!$1:$1,0)+1),MATCH(J$1,[2]enemies!$1:$1,0)-MATCH($I$1,[2]enemies!$1:$1,0)+1,FALSE)</f>
        <v>癒しの果実</v>
      </c>
      <c r="K59" s="27" t="str">
        <f ca="1">VLOOKUP($I59,OFFSET([2]enemies!$A$1,0,0,COUNTA([2]enemies!$A:$A),MATCH(K$1,[2]enemies!$1:$1,0)-MATCH($I$1,[2]enemies!$1:$1,0)+1),MATCH(K$1,[2]enemies!$1:$1,0)-MATCH($I$1,[2]enemies!$1:$1,0)+1,FALSE)</f>
        <v>blue</v>
      </c>
      <c r="L59" s="29" t="str">
        <f>VLOOKUP(I59,[3]characters!$A:$J,10,FALSE)</f>
        <v>Material</v>
      </c>
      <c r="M59" s="27" t="str">
        <f ca="1">VLOOKUP($I59,OFFSET([2]enemies!$A$1,0,0,COUNTA([2]enemies!$A:$A),MATCH(M$1,[2]enemies!$1:$1,0)-MATCH($I$1,[2]enemies!$1:$1,0)+1),MATCH(M$1,[2]enemies!$1:$1,0)-MATCH($I$1,[2]enemies!$1:$1,0)+1,FALSE)</f>
        <v>unknown</v>
      </c>
      <c r="N59" s="27">
        <f ca="1">VLOOKUP($I59,OFFSET([2]enemies!$A$1,0,0,COUNTA([2]enemies!$A:$A),MATCH(N$1,[2]enemies!$1:$1,0)-MATCH($I$1,[2]enemies!$1:$1,0)+1),MATCH(N$1,[2]enemies!$1:$1,0)-MATCH($I$1,[2]enemies!$1:$1,0)+1,FALSE)</f>
        <v>20</v>
      </c>
      <c r="O59" s="6">
        <v>40</v>
      </c>
      <c r="P59" s="38">
        <v>0.8</v>
      </c>
      <c r="Q59" s="38">
        <v>1.2</v>
      </c>
      <c r="R59" s="6">
        <v>0</v>
      </c>
      <c r="S59" s="5" t="str">
        <f ca="1">VLOOKUP($T59,OFFSET([4]enemy_skill_sets!$B$1,0,0,COUNTA([4]enemy_skill_sets!$B:$B),MATCH("name",[4]enemy_skill_sets!$1:$1,0)-MATCH($T$1,[4]enemy_skill_sets!$1:$1,0)+2),MATCH("name",[4]enemy_skill_sets!$1:$1,0)-MATCH($T$1,[4]enemy_skill_sets!$1:$1,0)+2,FALSE)</f>
        <v>回復</v>
      </c>
      <c r="T59" s="42">
        <v>1231</v>
      </c>
      <c r="U59" s="7">
        <v>1</v>
      </c>
      <c r="V59" s="7">
        <v>100</v>
      </c>
      <c r="W59" s="7">
        <v>1</v>
      </c>
      <c r="X59" s="42">
        <v>3</v>
      </c>
      <c r="Y59" s="8">
        <v>123</v>
      </c>
      <c r="Z59" s="5" t="str">
        <f ca="1">IFERROR(VLOOKUP($Y59,OFFSET([3]characters!$A$1,0,0,COUNTA([3]characters!$A:$A),MATCH(Z$1,[3]characters!$1:$1,0)-MATCH("character_id",[3]characters!$1:$1,0)+1),MATCH(Z$1,[3]characters!$1:$1,0)-MATCH("character_id",[3]characters!$1:$1,0)+1,FALSE),"")</f>
        <v>癒しの果実</v>
      </c>
      <c r="AA59" s="5">
        <f ca="1">IFERROR(VLOOKUP($Y59,OFFSET([3]characters!$A$1,0,0,COUNTA([3]characters!$A:$A),MATCH(AA$1,[3]characters!$1:$1,0)-MATCH("character_id",[3]characters!$1:$1,0)+1),MATCH(AA$1,[3]characters!$1:$1,0)-MATCH("character_id",[3]characters!$1:$1,0)+1,FALSE),"")</f>
        <v>3</v>
      </c>
      <c r="AB59" s="5" t="str">
        <f ca="1">IFERROR(VLOOKUP($Y59,OFFSET([3]characters!$A$1,0,0,COUNTA([3]characters!$A:$A),MATCH(AB$1,[3]characters!$1:$1,0)-MATCH("character_id",[3]characters!$1:$1,0)+1),MATCH(AB$1,[3]characters!$1:$1,0)-MATCH("character_id",[3]characters!$1:$1,0)+1,FALSE),"")</f>
        <v>Material</v>
      </c>
      <c r="AC59" s="9">
        <v>1</v>
      </c>
      <c r="AD59" s="35">
        <f t="shared" ca="1" si="71"/>
        <v>3</v>
      </c>
      <c r="AE59" s="10">
        <v>20</v>
      </c>
      <c r="AF59" s="9">
        <v>0</v>
      </c>
      <c r="AG59" s="9">
        <v>0</v>
      </c>
      <c r="AH59" s="9">
        <v>0</v>
      </c>
      <c r="AI59" s="9">
        <v>0</v>
      </c>
      <c r="AJ59" s="9">
        <v>1</v>
      </c>
    </row>
    <row r="60" spans="1:36" ht="21" customHeight="1" x14ac:dyDescent="0.15">
      <c r="A60" s="22" t="str">
        <f t="shared" ref="A60" ca="1" si="72">B60&amp;"_"&amp;C60&amp;"-"&amp;G60&amp;"/"&amp;I60&amp;"&lt;lv"&amp;O60&amp;"&gt;s"&amp;X60</f>
        <v>20003_3-5/267&lt;lv50&gt;s2</v>
      </c>
      <c r="B60" s="33">
        <v>20003</v>
      </c>
      <c r="C60" s="32">
        <v>3</v>
      </c>
      <c r="D60" s="2" t="str">
        <f t="shared" ref="D60" si="73">B60&amp;"_"&amp;C60</f>
        <v>20003_3</v>
      </c>
      <c r="E60" s="5" t="str">
        <f ca="1">VLOOKUP($B60,OFFSET([1]quests!$A$1,0,0,COUNTA([1]quests!$A:$A),MATCH(E$1,[1]quests!$1:$1,0)-MATCH($B$1,[1]quests!$1:$1,0)+1),MATCH(E$1,[1]quests!$1:$1,0)-MATCH($B$1,[1]quests!$1:$1,0)+1,FALSE)</f>
        <v>忍び寄る短剣</v>
      </c>
      <c r="F60" s="5" t="str">
        <f ca="1">VLOOKUP($D60,OFFSET([1]stages!$A$1,0,0,COUNTA([1]stages!$A:$A),MATCH(F$1,[1]stages!$2:$2,0)-MATCH($D$1,[1]stages!$2:$2,0)+1),MATCH(F$1,[1]stages!$2:$2,0)-MATCH($D$1,[1]stages!$2:$2,0)+1,FALSE)</f>
        <v xml:space="preserve">【上級】忍び寄る短剣 </v>
      </c>
      <c r="G60" s="36">
        <v>5</v>
      </c>
      <c r="H60" s="21" t="str">
        <f t="shared" ref="H60" si="74">B60&amp;"_"&amp;C60&amp;"-"&amp;G60</f>
        <v>20003_3-5</v>
      </c>
      <c r="I60" s="31">
        <v>267</v>
      </c>
      <c r="J60" s="27" t="str">
        <f ca="1">VLOOKUP($I60,OFFSET([2]enemies!$A$1,0,0,COUNTA([2]enemies!$A:$A),MATCH(J$1,[2]enemies!$1:$1,0)-MATCH($I$1,[2]enemies!$1:$1,0)+1),MATCH(J$1,[2]enemies!$1:$1,0)-MATCH($I$1,[2]enemies!$1:$1,0)+1,FALSE)</f>
        <v>奇術猫 リリアンブルー</v>
      </c>
      <c r="K60" s="27" t="str">
        <f ca="1">VLOOKUP($I60,OFFSET([2]enemies!$A$1,0,0,COUNTA([2]enemies!$A:$A),MATCH(K$1,[2]enemies!$1:$1,0)-MATCH($I$1,[2]enemies!$1:$1,0)+1),MATCH(K$1,[2]enemies!$1:$1,0)-MATCH($I$1,[2]enemies!$1:$1,0)+1,FALSE)</f>
        <v>blue</v>
      </c>
      <c r="L60" s="29" t="str">
        <f>VLOOKUP(I60,[3]characters!$A:$J,10,FALSE)</f>
        <v>Drop2W</v>
      </c>
      <c r="M60" s="27" t="str">
        <f ca="1">VLOOKUP($I60,OFFSET([2]enemies!$A$1,0,0,COUNTA([2]enemies!$A:$A),MATCH(M$1,[2]enemies!$1:$1,0)-MATCH($I$1,[2]enemies!$1:$1,0)+1),MATCH(M$1,[2]enemies!$1:$1,0)-MATCH($I$1,[2]enemies!$1:$1,0)+1,FALSE)</f>
        <v>animal</v>
      </c>
      <c r="N60" s="27">
        <f ca="1">VLOOKUP($I60,OFFSET([2]enemies!$A$1,0,0,COUNTA([2]enemies!$A:$A),MATCH(N$1,[2]enemies!$1:$1,0)-MATCH($I$1,[2]enemies!$1:$1,0)+1),MATCH(N$1,[2]enemies!$1:$1,0)-MATCH($I$1,[2]enemies!$1:$1,0)+1,FALSE)</f>
        <v>30</v>
      </c>
      <c r="O60" s="6">
        <v>50</v>
      </c>
      <c r="P60" s="38">
        <v>2.2000000000000002</v>
      </c>
      <c r="Q60" s="38">
        <v>0.8</v>
      </c>
      <c r="R60" s="6">
        <v>0</v>
      </c>
      <c r="S60" s="5" t="str">
        <f ca="1">VLOOKUP($T60,OFFSET([4]enemy_skill_sets!$B$1,0,0,COUNTA([4]enemy_skill_sets!$B:$B),MATCH("name",[4]enemy_skill_sets!$1:$1,0)-MATCH($T$1,[4]enemy_skill_sets!$1:$1,0)+2),MATCH("name",[4]enemy_skill_sets!$1:$1,0)-MATCH($T$1,[4]enemy_skill_sets!$1:$1,0)+2,FALSE)</f>
        <v>この戦闘ではスキルが使えない！</v>
      </c>
      <c r="T60" s="27">
        <f ca="1">VLOOKUP($I60,OFFSET([2]enemies!$A$1,0,0,COUNTA([2]enemies!$A:$A),MATCH(T$1,[2]enemies!$1:$1,0)-MATCH($I$1,[2]enemies!$1:$1,0)+1),MATCH(T$1,[2]enemies!$1:$1,0)-MATCH($I$1,[2]enemies!$1:$1,0)+1,FALSE)</f>
        <v>266</v>
      </c>
      <c r="U60" s="7">
        <v>1</v>
      </c>
      <c r="V60" s="7">
        <v>100</v>
      </c>
      <c r="W60" s="7">
        <v>1</v>
      </c>
      <c r="X60" s="27">
        <f ca="1">VLOOKUP($I60,OFFSET([2]enemies!$A$1,0,0,COUNTA([2]enemies!$A:$A),MATCH(X$1,[2]enemies!$1:$1,0)-MATCH($I$1,[2]enemies!$1:$1,0)+1),MATCH(X$1,[2]enemies!$1:$1,0)-MATCH($I$1,[2]enemies!$1:$1,0)+1,FALSE)</f>
        <v>2</v>
      </c>
      <c r="Y60" s="8">
        <v>266</v>
      </c>
      <c r="Z60" s="5" t="str">
        <f ca="1">IFERROR(VLOOKUP($Y60,OFFSET([3]characters!$A$1,0,0,COUNTA([3]characters!$A:$A),MATCH(Z$1,[3]characters!$1:$1,0)-MATCH("character_id",[3]characters!$1:$1,0)+1),MATCH(Z$1,[3]characters!$1:$1,0)-MATCH("character_id",[3]characters!$1:$1,0)+1,FALSE),"")</f>
        <v>リリアンブルー</v>
      </c>
      <c r="AA60" s="5">
        <f ca="1">IFERROR(VLOOKUP($Y60,OFFSET([3]characters!$A$1,0,0,COUNTA([3]characters!$A:$A),MATCH(AA$1,[3]characters!$1:$1,0)-MATCH("character_id",[3]characters!$1:$1,0)+1),MATCH(AA$1,[3]characters!$1:$1,0)-MATCH("character_id",[3]characters!$1:$1,0)+1,FALSE),"")</f>
        <v>3</v>
      </c>
      <c r="AB60" s="5" t="str">
        <f ca="1">IFERROR(VLOOKUP($Y60,OFFSET([3]characters!$A$1,0,0,COUNTA([3]characters!$A:$A),MATCH(AB$1,[3]characters!$1:$1,0)-MATCH("character_id",[3]characters!$1:$1,0)+1),MATCH(AB$1,[3]characters!$1:$1,0)-MATCH("character_id",[3]characters!$1:$1,0)+1,FALSE),"")</f>
        <v>Drop2W</v>
      </c>
      <c r="AC60" s="9">
        <v>1</v>
      </c>
      <c r="AD60" s="35">
        <f t="shared" ref="AD60" ca="1" si="75">AA60</f>
        <v>3</v>
      </c>
      <c r="AE60" s="44">
        <v>100</v>
      </c>
      <c r="AF60" s="9">
        <v>0</v>
      </c>
      <c r="AG60" s="9">
        <v>0</v>
      </c>
      <c r="AH60" s="9">
        <v>0</v>
      </c>
      <c r="AI60" s="9">
        <v>0</v>
      </c>
      <c r="AJ60" s="9">
        <v>1</v>
      </c>
    </row>
    <row r="68" spans="17:17" ht="21" customHeight="1" x14ac:dyDescent="0.15">
      <c r="Q68" s="40"/>
    </row>
  </sheetData>
  <sheetProtection selectLockedCells="1" selectUnlockedCells="1"/>
  <autoFilter ref="B1:AE61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F17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baseColWidth="12" defaultRowHeight="15" x14ac:dyDescent="0.15"/>
  <cols>
    <col min="1" max="1" width="10.1640625" style="24" bestFit="1" customWidth="1"/>
    <col min="2" max="2" width="8.1640625" bestFit="1" customWidth="1"/>
    <col min="3" max="3" width="10.33203125" bestFit="1" customWidth="1"/>
    <col min="4" max="4" width="7.33203125" bestFit="1" customWidth="1"/>
    <col min="5" max="5" width="12.6640625" bestFit="1" customWidth="1"/>
    <col min="6" max="6" width="13.1640625" bestFit="1" customWidth="1"/>
  </cols>
  <sheetData>
    <row r="1" spans="1:6" s="17" customFormat="1" x14ac:dyDescent="0.15">
      <c r="A1" s="17">
        <f>MATCH(A2,INDIRECT(C1&amp;"!A:A"),0)-2</f>
        <v>-1</v>
      </c>
      <c r="B1" s="18" t="str">
        <f>"$"&amp;2+$A$1&amp;":$"&amp;2+$A$1</f>
        <v>$1:$1</v>
      </c>
      <c r="C1" s="17" t="str">
        <f>SUBSTITUTE(RIGHT(CELL("filename",$C$1),LEN(CELL("filename",$C$1))-FIND("]",CELL("filename",$C$1))),".tmp","")</f>
        <v>floors_drop_1_3</v>
      </c>
    </row>
    <row r="2" spans="1:6" s="19" customFormat="1" x14ac:dyDescent="0.15">
      <c r="A2" s="24" t="s">
        <v>32</v>
      </c>
      <c r="B2" s="19" t="s">
        <v>0</v>
      </c>
      <c r="C2" s="19" t="s">
        <v>1</v>
      </c>
      <c r="D2" s="19" t="s">
        <v>13</v>
      </c>
      <c r="E2" s="19" t="s">
        <v>14</v>
      </c>
      <c r="F2" s="19" t="s">
        <v>15</v>
      </c>
    </row>
    <row r="3" spans="1:6" x14ac:dyDescent="0.15">
      <c r="A3" s="25" t="str">
        <f t="shared" ref="A3:A17" si="0">INDIRECT(ADDRESS(ROW()+$A$1,COLUMN(),1,TRUE,$C$1))</f>
        <v>20003_1-1</v>
      </c>
      <c r="B3" s="20">
        <f t="shared" ref="B3:F17" si="1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20003</v>
      </c>
      <c r="C3" s="20">
        <f t="shared" si="1"/>
        <v>1</v>
      </c>
      <c r="D3" s="20">
        <f t="shared" si="1"/>
        <v>1</v>
      </c>
      <c r="E3" s="20">
        <f t="shared" si="1"/>
        <v>30</v>
      </c>
      <c r="F3" s="20">
        <f t="shared" si="1"/>
        <v>30</v>
      </c>
    </row>
    <row r="4" spans="1:6" x14ac:dyDescent="0.15">
      <c r="A4" s="25" t="str">
        <f t="shared" si="0"/>
        <v>20003_1-2</v>
      </c>
      <c r="B4" s="20">
        <f t="shared" si="1"/>
        <v>20003</v>
      </c>
      <c r="C4" s="20">
        <f t="shared" si="1"/>
        <v>1</v>
      </c>
      <c r="D4" s="20">
        <f t="shared" si="1"/>
        <v>2</v>
      </c>
      <c r="E4" s="20">
        <f t="shared" si="1"/>
        <v>45</v>
      </c>
      <c r="F4" s="20">
        <f t="shared" si="1"/>
        <v>45</v>
      </c>
    </row>
    <row r="5" spans="1:6" x14ac:dyDescent="0.15">
      <c r="A5" s="25" t="str">
        <f t="shared" si="0"/>
        <v>20003_1-3</v>
      </c>
      <c r="B5" s="20">
        <f t="shared" si="1"/>
        <v>20003</v>
      </c>
      <c r="C5" s="20">
        <f t="shared" si="1"/>
        <v>1</v>
      </c>
      <c r="D5" s="20">
        <f t="shared" si="1"/>
        <v>3</v>
      </c>
      <c r="E5" s="20">
        <f t="shared" si="1"/>
        <v>45</v>
      </c>
      <c r="F5" s="20">
        <f t="shared" si="1"/>
        <v>45</v>
      </c>
    </row>
    <row r="6" spans="1:6" x14ac:dyDescent="0.15">
      <c r="A6" s="25" t="str">
        <f t="shared" si="0"/>
        <v>20003_1-4</v>
      </c>
      <c r="B6" s="20">
        <f t="shared" si="1"/>
        <v>20003</v>
      </c>
      <c r="C6" s="20">
        <f t="shared" si="1"/>
        <v>1</v>
      </c>
      <c r="D6" s="20">
        <f t="shared" si="1"/>
        <v>4</v>
      </c>
      <c r="E6" s="20">
        <f t="shared" si="1"/>
        <v>45</v>
      </c>
      <c r="F6" s="20">
        <f t="shared" si="1"/>
        <v>45</v>
      </c>
    </row>
    <row r="7" spans="1:6" x14ac:dyDescent="0.15">
      <c r="A7" s="25" t="str">
        <f t="shared" si="0"/>
        <v>20003_1-5</v>
      </c>
      <c r="B7" s="20">
        <f t="shared" si="1"/>
        <v>20003</v>
      </c>
      <c r="C7" s="20">
        <f t="shared" si="1"/>
        <v>1</v>
      </c>
      <c r="D7" s="20">
        <f t="shared" si="1"/>
        <v>5</v>
      </c>
      <c r="E7" s="20">
        <f t="shared" si="1"/>
        <v>20</v>
      </c>
      <c r="F7" s="20">
        <f t="shared" si="1"/>
        <v>20</v>
      </c>
    </row>
    <row r="8" spans="1:6" x14ac:dyDescent="0.15">
      <c r="A8" s="25" t="str">
        <f t="shared" si="0"/>
        <v>20003_2-1</v>
      </c>
      <c r="B8" s="20">
        <f t="shared" si="1"/>
        <v>20003</v>
      </c>
      <c r="C8" s="20">
        <f t="shared" si="1"/>
        <v>2</v>
      </c>
      <c r="D8" s="20">
        <f t="shared" si="1"/>
        <v>1</v>
      </c>
      <c r="E8" s="20">
        <f t="shared" si="1"/>
        <v>30</v>
      </c>
      <c r="F8" s="20">
        <f t="shared" si="1"/>
        <v>45</v>
      </c>
    </row>
    <row r="9" spans="1:6" x14ac:dyDescent="0.15">
      <c r="A9" s="25" t="str">
        <f t="shared" si="0"/>
        <v>20003_2-2</v>
      </c>
      <c r="B9" s="20">
        <f t="shared" si="1"/>
        <v>20003</v>
      </c>
      <c r="C9" s="20">
        <f t="shared" si="1"/>
        <v>2</v>
      </c>
      <c r="D9" s="20">
        <f t="shared" si="1"/>
        <v>2</v>
      </c>
      <c r="E9" s="20">
        <f t="shared" si="1"/>
        <v>45</v>
      </c>
      <c r="F9" s="20">
        <f t="shared" si="1"/>
        <v>45</v>
      </c>
    </row>
    <row r="10" spans="1:6" x14ac:dyDescent="0.15">
      <c r="A10" s="25" t="str">
        <f t="shared" si="0"/>
        <v>20003_2-3</v>
      </c>
      <c r="B10" s="20">
        <f t="shared" si="1"/>
        <v>20003</v>
      </c>
      <c r="C10" s="20">
        <f t="shared" si="1"/>
        <v>2</v>
      </c>
      <c r="D10" s="20">
        <f t="shared" si="1"/>
        <v>3</v>
      </c>
      <c r="E10" s="20">
        <f t="shared" si="1"/>
        <v>45</v>
      </c>
      <c r="F10" s="20">
        <f t="shared" si="1"/>
        <v>45</v>
      </c>
    </row>
    <row r="11" spans="1:6" x14ac:dyDescent="0.15">
      <c r="A11" s="25" t="str">
        <f t="shared" si="0"/>
        <v>20003_2-4</v>
      </c>
      <c r="B11" s="20">
        <f t="shared" si="1"/>
        <v>20003</v>
      </c>
      <c r="C11" s="20">
        <f t="shared" si="1"/>
        <v>2</v>
      </c>
      <c r="D11" s="20">
        <f t="shared" si="1"/>
        <v>4</v>
      </c>
      <c r="E11" s="20">
        <f t="shared" si="1"/>
        <v>50</v>
      </c>
      <c r="F11" s="20">
        <f t="shared" si="1"/>
        <v>50</v>
      </c>
    </row>
    <row r="12" spans="1:6" x14ac:dyDescent="0.15">
      <c r="A12" s="25" t="str">
        <f t="shared" si="0"/>
        <v>20003_2-5</v>
      </c>
      <c r="B12" s="20">
        <f t="shared" si="1"/>
        <v>20003</v>
      </c>
      <c r="C12" s="20">
        <f t="shared" si="1"/>
        <v>2</v>
      </c>
      <c r="D12" s="20">
        <f t="shared" si="1"/>
        <v>5</v>
      </c>
      <c r="E12" s="20">
        <f t="shared" si="1"/>
        <v>20</v>
      </c>
      <c r="F12" s="20">
        <f t="shared" si="1"/>
        <v>20</v>
      </c>
    </row>
    <row r="13" spans="1:6" x14ac:dyDescent="0.15">
      <c r="A13" s="25" t="str">
        <f t="shared" si="0"/>
        <v>20003_3-1</v>
      </c>
      <c r="B13" s="20">
        <f t="shared" si="1"/>
        <v>20003</v>
      </c>
      <c r="C13" s="20">
        <f t="shared" si="1"/>
        <v>3</v>
      </c>
      <c r="D13" s="20">
        <f t="shared" si="1"/>
        <v>1</v>
      </c>
      <c r="E13" s="20">
        <f t="shared" si="1"/>
        <v>30</v>
      </c>
      <c r="F13" s="20">
        <f t="shared" si="1"/>
        <v>45</v>
      </c>
    </row>
    <row r="14" spans="1:6" x14ac:dyDescent="0.15">
      <c r="A14" s="25" t="str">
        <f t="shared" si="0"/>
        <v>20003_3-2</v>
      </c>
      <c r="B14" s="20">
        <f t="shared" si="1"/>
        <v>20003</v>
      </c>
      <c r="C14" s="20">
        <f t="shared" si="1"/>
        <v>3</v>
      </c>
      <c r="D14" s="20">
        <f t="shared" si="1"/>
        <v>2</v>
      </c>
      <c r="E14" s="20">
        <f t="shared" si="1"/>
        <v>45</v>
      </c>
      <c r="F14" s="20">
        <f t="shared" si="1"/>
        <v>45</v>
      </c>
    </row>
    <row r="15" spans="1:6" x14ac:dyDescent="0.15">
      <c r="A15" s="25" t="str">
        <f t="shared" si="0"/>
        <v>20003_3-3</v>
      </c>
      <c r="B15" s="20">
        <f t="shared" si="1"/>
        <v>20003</v>
      </c>
      <c r="C15" s="20">
        <f t="shared" si="1"/>
        <v>3</v>
      </c>
      <c r="D15" s="20">
        <f t="shared" si="1"/>
        <v>3</v>
      </c>
      <c r="E15" s="20">
        <f t="shared" si="1"/>
        <v>45</v>
      </c>
      <c r="F15" s="20">
        <f t="shared" si="1"/>
        <v>45</v>
      </c>
    </row>
    <row r="16" spans="1:6" x14ac:dyDescent="0.15">
      <c r="A16" s="25" t="str">
        <f t="shared" si="0"/>
        <v>20003_3-4</v>
      </c>
      <c r="B16" s="20">
        <f t="shared" si="1"/>
        <v>20003</v>
      </c>
      <c r="C16" s="20">
        <f t="shared" si="1"/>
        <v>3</v>
      </c>
      <c r="D16" s="20">
        <f t="shared" si="1"/>
        <v>4</v>
      </c>
      <c r="E16" s="20">
        <f t="shared" si="1"/>
        <v>50</v>
      </c>
      <c r="F16" s="20">
        <f t="shared" si="1"/>
        <v>50</v>
      </c>
    </row>
    <row r="17" spans="1:6" x14ac:dyDescent="0.15">
      <c r="A17" s="25" t="str">
        <f t="shared" si="0"/>
        <v>20003_3-5</v>
      </c>
      <c r="B17" s="20">
        <f t="shared" si="1"/>
        <v>20003</v>
      </c>
      <c r="C17" s="20">
        <f t="shared" si="1"/>
        <v>3</v>
      </c>
      <c r="D17" s="20">
        <f t="shared" si="1"/>
        <v>5</v>
      </c>
      <c r="E17" s="20">
        <f t="shared" si="1"/>
        <v>30</v>
      </c>
      <c r="F17" s="20">
        <f t="shared" si="1"/>
        <v>30</v>
      </c>
    </row>
  </sheetData>
  <phoneticPr fontId="4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W73"/>
  <sheetViews>
    <sheetView zoomScale="75" zoomScaleNormal="75" zoomScalePageLayoutView="75" workbookViewId="0">
      <pane xSplit="1" ySplit="2" topLeftCell="B7" activePane="bottomRight" state="frozen"/>
      <selection pane="topRight" activeCell="B1" sqref="B1"/>
      <selection pane="bottomLeft" activeCell="A3" sqref="A3"/>
      <selection pane="bottomRight" activeCell="E66" sqref="E66"/>
    </sheetView>
  </sheetViews>
  <sheetFormatPr baseColWidth="12" defaultRowHeight="15" x14ac:dyDescent="0.15"/>
  <cols>
    <col min="1" max="1" width="13" style="24" bestFit="1" customWidth="1"/>
    <col min="2" max="2" width="8.1640625" bestFit="1" customWidth="1"/>
    <col min="3" max="3" width="18.33203125" bestFit="1" customWidth="1"/>
    <col min="4" max="4" width="7.33203125" bestFit="1" customWidth="1"/>
    <col min="5" max="5" width="11.6640625" bestFit="1" customWidth="1"/>
    <col min="6" max="6" width="5.33203125" bestFit="1" customWidth="1"/>
    <col min="7" max="7" width="13.5" bestFit="1" customWidth="1"/>
    <col min="8" max="8" width="16.6640625" bestFit="1" customWidth="1"/>
    <col min="9" max="9" width="17.6640625" bestFit="1" customWidth="1"/>
    <col min="10" max="10" width="10" bestFit="1" customWidth="1"/>
    <col min="11" max="11" width="8.83203125" bestFit="1" customWidth="1"/>
    <col min="12" max="12" width="9.5" bestFit="1" customWidth="1"/>
    <col min="13" max="13" width="8" bestFit="1" customWidth="1"/>
    <col min="14" max="14" width="6.5" bestFit="1" customWidth="1"/>
    <col min="15" max="15" width="11" bestFit="1" customWidth="1"/>
    <col min="16" max="16" width="13.5" bestFit="1" customWidth="1"/>
    <col min="17" max="18" width="13" bestFit="1" customWidth="1"/>
  </cols>
  <sheetData>
    <row r="1" spans="1:23" s="17" customFormat="1" x14ac:dyDescent="0.15">
      <c r="A1" s="17">
        <f>MATCH(A2,INDIRECT(C1&amp;"!A:A"),0)-2</f>
        <v>-1</v>
      </c>
      <c r="B1" s="18" t="str">
        <f>"$"&amp;2+$A$1&amp;":$"&amp;2+$A$1</f>
        <v>$1:$1</v>
      </c>
      <c r="C1" s="17" t="str">
        <f>SUBSTITUTE(RIGHT(CELL("filename",$C$1),LEN(CELL("filename",$C$1))-FIND("]",CELL("filename",$C$1))),".tmp","")</f>
        <v>enemy_habitats_drop_1_3</v>
      </c>
      <c r="G1" s="39"/>
      <c r="H1" s="39"/>
      <c r="I1" s="39"/>
    </row>
    <row r="2" spans="1:23" s="19" customFormat="1" x14ac:dyDescent="0.15">
      <c r="A2" s="24" t="s">
        <v>30</v>
      </c>
      <c r="B2" s="19" t="s">
        <v>0</v>
      </c>
      <c r="C2" s="19" t="s">
        <v>1</v>
      </c>
      <c r="D2" s="19" t="s">
        <v>13</v>
      </c>
      <c r="E2" s="19" t="s">
        <v>2</v>
      </c>
      <c r="F2" s="19" t="s">
        <v>3</v>
      </c>
      <c r="G2" s="19" t="s">
        <v>52</v>
      </c>
      <c r="H2" s="19" t="s">
        <v>53</v>
      </c>
      <c r="I2" s="19" t="s">
        <v>54</v>
      </c>
      <c r="J2" s="19" t="s">
        <v>22</v>
      </c>
      <c r="K2" s="19" t="s">
        <v>5</v>
      </c>
      <c r="L2" s="19" t="s">
        <v>6</v>
      </c>
      <c r="M2" s="19" t="s">
        <v>7</v>
      </c>
      <c r="N2" s="19" t="s">
        <v>8</v>
      </c>
      <c r="O2" s="19" t="s">
        <v>9</v>
      </c>
      <c r="P2" s="19" t="s">
        <v>10</v>
      </c>
      <c r="Q2" s="19" t="s">
        <v>11</v>
      </c>
      <c r="R2" s="19" t="s">
        <v>12</v>
      </c>
      <c r="S2" s="19" t="s">
        <v>39</v>
      </c>
      <c r="T2" s="19" t="s">
        <v>41</v>
      </c>
      <c r="U2" s="19" t="s">
        <v>43</v>
      </c>
      <c r="V2" s="19" t="s">
        <v>45</v>
      </c>
      <c r="W2" s="19" t="s">
        <v>47</v>
      </c>
    </row>
    <row r="3" spans="1:23" x14ac:dyDescent="0.15">
      <c r="A3" s="25" t="str">
        <f>INDIRECT(ADDRESS(ROW()+$A$1,COLUMN(),1,TRUE,$C$1))</f>
        <v>20003_1-1/5&lt;lv16&gt;s3</v>
      </c>
      <c r="B3" s="20">
        <f t="shared" ref="B3:W16" si="0">VLOOKUP($A3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20003</v>
      </c>
      <c r="C3" s="20">
        <f t="shared" si="0"/>
        <v>1</v>
      </c>
      <c r="D3" s="20">
        <f t="shared" si="0"/>
        <v>1</v>
      </c>
      <c r="E3" s="20">
        <f t="shared" si="0"/>
        <v>5</v>
      </c>
      <c r="F3" s="20">
        <f t="shared" si="0"/>
        <v>16</v>
      </c>
      <c r="G3" s="20">
        <f t="shared" ref="G3:I18" si="1">VLOOKUP($A3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1.5</v>
      </c>
      <c r="H3" s="20">
        <f t="shared" si="1"/>
        <v>1.2</v>
      </c>
      <c r="I3" s="20">
        <f t="shared" si="1"/>
        <v>0</v>
      </c>
      <c r="J3" s="20">
        <f t="shared" si="0"/>
        <v>0</v>
      </c>
      <c r="K3" s="20">
        <f t="shared" si="0"/>
        <v>0</v>
      </c>
      <c r="L3" s="20">
        <f t="shared" si="0"/>
        <v>100</v>
      </c>
      <c r="M3" s="20">
        <f t="shared" si="0"/>
        <v>0</v>
      </c>
      <c r="N3" s="20">
        <f t="shared" si="0"/>
        <v>3</v>
      </c>
      <c r="O3" s="20">
        <f t="shared" si="0"/>
        <v>5</v>
      </c>
      <c r="P3" s="20">
        <f t="shared" si="0"/>
        <v>3</v>
      </c>
      <c r="Q3" s="20">
        <f t="shared" si="0"/>
        <v>1</v>
      </c>
      <c r="R3" s="20">
        <f t="shared" si="0"/>
        <v>25</v>
      </c>
      <c r="S3" s="20">
        <f t="shared" si="0"/>
        <v>0</v>
      </c>
      <c r="T3" s="20">
        <f t="shared" si="0"/>
        <v>0</v>
      </c>
      <c r="U3" s="20">
        <f t="shared" si="0"/>
        <v>0</v>
      </c>
      <c r="V3" s="20">
        <f t="shared" si="0"/>
        <v>0</v>
      </c>
      <c r="W3" s="20">
        <f t="shared" si="0"/>
        <v>1</v>
      </c>
    </row>
    <row r="4" spans="1:23" x14ac:dyDescent="0.15">
      <c r="A4" s="25" t="str">
        <f t="shared" ref="A4:A61" si="2">INDIRECT(ADDRESS(ROW()+$A$1,COLUMN(),1,TRUE,$C$1))</f>
        <v>20003_1-1/17&lt;lv16&gt;s2</v>
      </c>
      <c r="B4" s="20">
        <f t="shared" si="0"/>
        <v>20003</v>
      </c>
      <c r="C4" s="20">
        <f t="shared" si="0"/>
        <v>1</v>
      </c>
      <c r="D4" s="20">
        <f t="shared" si="0"/>
        <v>1</v>
      </c>
      <c r="E4" s="20">
        <f t="shared" si="0"/>
        <v>17</v>
      </c>
      <c r="F4" s="20">
        <f t="shared" si="0"/>
        <v>16</v>
      </c>
      <c r="G4" s="20">
        <f t="shared" si="1"/>
        <v>1.3</v>
      </c>
      <c r="H4" s="20">
        <f t="shared" si="1"/>
        <v>1.2</v>
      </c>
      <c r="I4" s="20">
        <f t="shared" si="1"/>
        <v>0</v>
      </c>
      <c r="J4" s="20">
        <f t="shared" si="0"/>
        <v>0</v>
      </c>
      <c r="K4" s="20">
        <f t="shared" si="0"/>
        <v>0</v>
      </c>
      <c r="L4" s="20">
        <f t="shared" si="0"/>
        <v>100</v>
      </c>
      <c r="M4" s="20">
        <f t="shared" si="0"/>
        <v>0</v>
      </c>
      <c r="N4" s="20">
        <f t="shared" si="0"/>
        <v>2</v>
      </c>
      <c r="O4" s="20">
        <f t="shared" si="0"/>
        <v>17</v>
      </c>
      <c r="P4" s="20">
        <f t="shared" si="0"/>
        <v>1</v>
      </c>
      <c r="Q4" s="20">
        <f t="shared" si="0"/>
        <v>1</v>
      </c>
      <c r="R4" s="20">
        <f t="shared" si="0"/>
        <v>25</v>
      </c>
      <c r="S4" s="20">
        <f t="shared" si="0"/>
        <v>0</v>
      </c>
      <c r="T4" s="20">
        <f t="shared" si="0"/>
        <v>0</v>
      </c>
      <c r="U4" s="20">
        <f t="shared" si="0"/>
        <v>0</v>
      </c>
      <c r="V4" s="20">
        <f t="shared" si="0"/>
        <v>0</v>
      </c>
      <c r="W4" s="20">
        <f t="shared" si="0"/>
        <v>1</v>
      </c>
    </row>
    <row r="5" spans="1:23" x14ac:dyDescent="0.15">
      <c r="A5" s="25" t="str">
        <f t="shared" si="2"/>
        <v>20003_1-1/25&lt;lv16&gt;s3</v>
      </c>
      <c r="B5" s="20">
        <f t="shared" si="0"/>
        <v>20003</v>
      </c>
      <c r="C5" s="20">
        <f t="shared" si="0"/>
        <v>1</v>
      </c>
      <c r="D5" s="20">
        <f t="shared" si="0"/>
        <v>1</v>
      </c>
      <c r="E5" s="20">
        <f t="shared" si="0"/>
        <v>25</v>
      </c>
      <c r="F5" s="20">
        <f t="shared" si="0"/>
        <v>16</v>
      </c>
      <c r="G5" s="20">
        <f t="shared" si="1"/>
        <v>1.3</v>
      </c>
      <c r="H5" s="20">
        <f t="shared" si="1"/>
        <v>1.2</v>
      </c>
      <c r="I5" s="20">
        <f t="shared" si="1"/>
        <v>0</v>
      </c>
      <c r="J5" s="20">
        <f t="shared" si="0"/>
        <v>0</v>
      </c>
      <c r="K5" s="20">
        <f t="shared" si="0"/>
        <v>0</v>
      </c>
      <c r="L5" s="20">
        <f t="shared" si="0"/>
        <v>100</v>
      </c>
      <c r="M5" s="20">
        <f t="shared" si="0"/>
        <v>0</v>
      </c>
      <c r="N5" s="20">
        <f t="shared" si="0"/>
        <v>3</v>
      </c>
      <c r="O5" s="20">
        <f t="shared" si="0"/>
        <v>25</v>
      </c>
      <c r="P5" s="20">
        <f t="shared" si="0"/>
        <v>1</v>
      </c>
      <c r="Q5" s="20">
        <f t="shared" si="0"/>
        <v>1</v>
      </c>
      <c r="R5" s="20">
        <f t="shared" si="0"/>
        <v>25</v>
      </c>
      <c r="S5" s="20">
        <f t="shared" si="0"/>
        <v>0</v>
      </c>
      <c r="T5" s="20">
        <f t="shared" si="0"/>
        <v>0</v>
      </c>
      <c r="U5" s="20">
        <f t="shared" si="0"/>
        <v>0</v>
      </c>
      <c r="V5" s="20">
        <f t="shared" si="0"/>
        <v>0</v>
      </c>
      <c r="W5" s="20">
        <f t="shared" si="0"/>
        <v>1</v>
      </c>
    </row>
    <row r="6" spans="1:23" x14ac:dyDescent="0.15">
      <c r="A6" s="25" t="str">
        <f t="shared" si="2"/>
        <v>20003_1-1/29&lt;lv16&gt;s2</v>
      </c>
      <c r="B6" s="20">
        <f t="shared" si="0"/>
        <v>20003</v>
      </c>
      <c r="C6" s="20">
        <f t="shared" si="0"/>
        <v>1</v>
      </c>
      <c r="D6" s="20">
        <f t="shared" si="0"/>
        <v>1</v>
      </c>
      <c r="E6" s="20">
        <f t="shared" si="0"/>
        <v>29</v>
      </c>
      <c r="F6" s="20">
        <f t="shared" si="0"/>
        <v>16</v>
      </c>
      <c r="G6" s="20">
        <f t="shared" si="1"/>
        <v>1.3</v>
      </c>
      <c r="H6" s="20">
        <f t="shared" si="1"/>
        <v>1.2</v>
      </c>
      <c r="I6" s="20">
        <f t="shared" si="1"/>
        <v>0</v>
      </c>
      <c r="J6" s="20">
        <f t="shared" si="0"/>
        <v>0</v>
      </c>
      <c r="K6" s="20">
        <f t="shared" si="0"/>
        <v>0</v>
      </c>
      <c r="L6" s="20">
        <f t="shared" si="0"/>
        <v>100</v>
      </c>
      <c r="M6" s="20">
        <f t="shared" si="0"/>
        <v>0</v>
      </c>
      <c r="N6" s="20">
        <f t="shared" si="0"/>
        <v>2</v>
      </c>
      <c r="O6" s="20">
        <f t="shared" si="0"/>
        <v>29</v>
      </c>
      <c r="P6" s="20">
        <f t="shared" si="0"/>
        <v>1</v>
      </c>
      <c r="Q6" s="20">
        <f t="shared" si="0"/>
        <v>1</v>
      </c>
      <c r="R6" s="20">
        <f t="shared" si="0"/>
        <v>25</v>
      </c>
      <c r="S6" s="20">
        <f t="shared" si="0"/>
        <v>0</v>
      </c>
      <c r="T6" s="20">
        <f t="shared" si="0"/>
        <v>0</v>
      </c>
      <c r="U6" s="20">
        <f t="shared" si="0"/>
        <v>0</v>
      </c>
      <c r="V6" s="20">
        <f t="shared" si="0"/>
        <v>0</v>
      </c>
      <c r="W6" s="20">
        <f t="shared" si="0"/>
        <v>1</v>
      </c>
    </row>
    <row r="7" spans="1:23" x14ac:dyDescent="0.15">
      <c r="A7" s="25" t="str">
        <f t="shared" si="2"/>
        <v>20003_1-1/45&lt;lv16&gt;s3</v>
      </c>
      <c r="B7" s="20">
        <f t="shared" si="0"/>
        <v>20003</v>
      </c>
      <c r="C7" s="20">
        <f t="shared" si="0"/>
        <v>1</v>
      </c>
      <c r="D7" s="20">
        <f t="shared" si="0"/>
        <v>1</v>
      </c>
      <c r="E7" s="20">
        <f t="shared" si="0"/>
        <v>45</v>
      </c>
      <c r="F7" s="20">
        <f t="shared" si="0"/>
        <v>16</v>
      </c>
      <c r="G7" s="20">
        <f t="shared" si="1"/>
        <v>1.3</v>
      </c>
      <c r="H7" s="20">
        <f t="shared" si="1"/>
        <v>1.2</v>
      </c>
      <c r="I7" s="20">
        <f t="shared" si="1"/>
        <v>0</v>
      </c>
      <c r="J7" s="20">
        <f t="shared" si="0"/>
        <v>0</v>
      </c>
      <c r="K7" s="20">
        <f t="shared" si="0"/>
        <v>0</v>
      </c>
      <c r="L7" s="20">
        <f t="shared" si="0"/>
        <v>100</v>
      </c>
      <c r="M7" s="20">
        <f t="shared" si="0"/>
        <v>0</v>
      </c>
      <c r="N7" s="20">
        <f t="shared" si="0"/>
        <v>3</v>
      </c>
      <c r="O7" s="20">
        <f t="shared" si="0"/>
        <v>45</v>
      </c>
      <c r="P7" s="20">
        <f t="shared" si="0"/>
        <v>1</v>
      </c>
      <c r="Q7" s="20">
        <f t="shared" si="0"/>
        <v>2</v>
      </c>
      <c r="R7" s="20">
        <f t="shared" si="0"/>
        <v>25</v>
      </c>
      <c r="S7" s="20">
        <f t="shared" si="0"/>
        <v>0</v>
      </c>
      <c r="T7" s="20">
        <f t="shared" si="0"/>
        <v>0</v>
      </c>
      <c r="U7" s="20">
        <f t="shared" si="0"/>
        <v>0</v>
      </c>
      <c r="V7" s="20">
        <f t="shared" si="0"/>
        <v>0</v>
      </c>
      <c r="W7" s="20">
        <f t="shared" si="0"/>
        <v>1</v>
      </c>
    </row>
    <row r="8" spans="1:23" x14ac:dyDescent="0.15">
      <c r="A8" s="25" t="str">
        <f t="shared" si="2"/>
        <v>20003_1-1/71&lt;lv16&gt;s4</v>
      </c>
      <c r="B8" s="20">
        <f t="shared" si="0"/>
        <v>20003</v>
      </c>
      <c r="C8" s="20">
        <f t="shared" si="0"/>
        <v>1</v>
      </c>
      <c r="D8" s="20">
        <f t="shared" si="0"/>
        <v>1</v>
      </c>
      <c r="E8" s="20">
        <f t="shared" si="0"/>
        <v>71</v>
      </c>
      <c r="F8" s="20">
        <f t="shared" si="0"/>
        <v>16</v>
      </c>
      <c r="G8" s="20">
        <f t="shared" si="1"/>
        <v>1.3</v>
      </c>
      <c r="H8" s="20">
        <f t="shared" si="1"/>
        <v>0.8</v>
      </c>
      <c r="I8" s="20">
        <f t="shared" si="1"/>
        <v>0</v>
      </c>
      <c r="J8" s="20">
        <f t="shared" si="0"/>
        <v>71</v>
      </c>
      <c r="K8" s="20">
        <f t="shared" si="0"/>
        <v>0</v>
      </c>
      <c r="L8" s="20">
        <f t="shared" si="0"/>
        <v>100</v>
      </c>
      <c r="M8" s="20">
        <f t="shared" si="0"/>
        <v>0</v>
      </c>
      <c r="N8" s="20">
        <f t="shared" si="0"/>
        <v>4</v>
      </c>
      <c r="O8" s="20">
        <f t="shared" si="0"/>
        <v>71</v>
      </c>
      <c r="P8" s="20">
        <f t="shared" si="0"/>
        <v>1</v>
      </c>
      <c r="Q8" s="20">
        <f t="shared" si="0"/>
        <v>2</v>
      </c>
      <c r="R8" s="20">
        <f t="shared" si="0"/>
        <v>15</v>
      </c>
      <c r="S8" s="20">
        <f t="shared" si="0"/>
        <v>0</v>
      </c>
      <c r="T8" s="20">
        <f t="shared" si="0"/>
        <v>0</v>
      </c>
      <c r="U8" s="20">
        <f t="shared" si="0"/>
        <v>0</v>
      </c>
      <c r="V8" s="20">
        <f t="shared" si="0"/>
        <v>0</v>
      </c>
      <c r="W8" s="20">
        <f t="shared" si="0"/>
        <v>1</v>
      </c>
    </row>
    <row r="9" spans="1:23" x14ac:dyDescent="0.15">
      <c r="A9" s="25" t="str">
        <f t="shared" si="2"/>
        <v>20003_1-2/5&lt;lv16&gt;s3</v>
      </c>
      <c r="B9" s="20">
        <f t="shared" si="0"/>
        <v>20003</v>
      </c>
      <c r="C9" s="20">
        <f t="shared" si="0"/>
        <v>1</v>
      </c>
      <c r="D9" s="20">
        <f t="shared" si="0"/>
        <v>2</v>
      </c>
      <c r="E9" s="20">
        <f t="shared" si="0"/>
        <v>5</v>
      </c>
      <c r="F9" s="20">
        <f t="shared" si="0"/>
        <v>16</v>
      </c>
      <c r="G9" s="20">
        <f t="shared" si="1"/>
        <v>1.3</v>
      </c>
      <c r="H9" s="20">
        <f t="shared" si="1"/>
        <v>1.2</v>
      </c>
      <c r="I9" s="20">
        <f t="shared" si="1"/>
        <v>0</v>
      </c>
      <c r="J9" s="20">
        <f t="shared" si="0"/>
        <v>0</v>
      </c>
      <c r="K9" s="20">
        <f t="shared" si="0"/>
        <v>0</v>
      </c>
      <c r="L9" s="20">
        <f t="shared" si="0"/>
        <v>100</v>
      </c>
      <c r="M9" s="20">
        <f t="shared" si="0"/>
        <v>0</v>
      </c>
      <c r="N9" s="20">
        <f t="shared" si="0"/>
        <v>3</v>
      </c>
      <c r="O9" s="20">
        <f t="shared" si="0"/>
        <v>5</v>
      </c>
      <c r="P9" s="20">
        <f t="shared" si="0"/>
        <v>3</v>
      </c>
      <c r="Q9" s="20">
        <f t="shared" si="0"/>
        <v>1</v>
      </c>
      <c r="R9" s="20">
        <f t="shared" si="0"/>
        <v>25</v>
      </c>
      <c r="S9" s="20">
        <f t="shared" si="0"/>
        <v>0</v>
      </c>
      <c r="T9" s="20">
        <f t="shared" si="0"/>
        <v>0</v>
      </c>
      <c r="U9" s="20">
        <f t="shared" si="0"/>
        <v>0</v>
      </c>
      <c r="V9" s="20">
        <f t="shared" si="0"/>
        <v>0</v>
      </c>
      <c r="W9" s="20">
        <f t="shared" si="0"/>
        <v>1</v>
      </c>
    </row>
    <row r="10" spans="1:23" x14ac:dyDescent="0.15">
      <c r="A10" s="25" t="str">
        <f t="shared" si="2"/>
        <v>20003_1-2/17&lt;lv16&gt;s2</v>
      </c>
      <c r="B10" s="20">
        <f t="shared" si="0"/>
        <v>20003</v>
      </c>
      <c r="C10" s="20">
        <f t="shared" si="0"/>
        <v>1</v>
      </c>
      <c r="D10" s="20">
        <f t="shared" si="0"/>
        <v>2</v>
      </c>
      <c r="E10" s="20">
        <f t="shared" si="0"/>
        <v>17</v>
      </c>
      <c r="F10" s="20">
        <f t="shared" si="0"/>
        <v>16</v>
      </c>
      <c r="G10" s="20">
        <f t="shared" si="1"/>
        <v>1.3</v>
      </c>
      <c r="H10" s="20">
        <f t="shared" si="1"/>
        <v>1.2</v>
      </c>
      <c r="I10" s="20">
        <f t="shared" si="1"/>
        <v>0</v>
      </c>
      <c r="J10" s="20">
        <f t="shared" si="0"/>
        <v>0</v>
      </c>
      <c r="K10" s="20">
        <f t="shared" si="0"/>
        <v>0</v>
      </c>
      <c r="L10" s="20">
        <f t="shared" si="0"/>
        <v>100</v>
      </c>
      <c r="M10" s="20">
        <f t="shared" si="0"/>
        <v>0</v>
      </c>
      <c r="N10" s="20">
        <f t="shared" si="0"/>
        <v>2</v>
      </c>
      <c r="O10" s="20">
        <f t="shared" si="0"/>
        <v>17</v>
      </c>
      <c r="P10" s="20">
        <f t="shared" si="0"/>
        <v>1</v>
      </c>
      <c r="Q10" s="20">
        <f t="shared" si="0"/>
        <v>1</v>
      </c>
      <c r="R10" s="20">
        <f t="shared" si="0"/>
        <v>25</v>
      </c>
      <c r="S10" s="20">
        <f t="shared" si="0"/>
        <v>0</v>
      </c>
      <c r="T10" s="20">
        <f t="shared" si="0"/>
        <v>0</v>
      </c>
      <c r="U10" s="20">
        <f t="shared" si="0"/>
        <v>0</v>
      </c>
      <c r="V10" s="20">
        <f t="shared" si="0"/>
        <v>0</v>
      </c>
      <c r="W10" s="20">
        <f t="shared" si="0"/>
        <v>1</v>
      </c>
    </row>
    <row r="11" spans="1:23" x14ac:dyDescent="0.15">
      <c r="A11" s="25" t="str">
        <f t="shared" si="2"/>
        <v>20003_1-2/25&lt;lv16&gt;s3</v>
      </c>
      <c r="B11" s="20">
        <f t="shared" si="0"/>
        <v>20003</v>
      </c>
      <c r="C11" s="20">
        <f t="shared" si="0"/>
        <v>1</v>
      </c>
      <c r="D11" s="20">
        <f t="shared" si="0"/>
        <v>2</v>
      </c>
      <c r="E11" s="20">
        <f t="shared" si="0"/>
        <v>25</v>
      </c>
      <c r="F11" s="20">
        <f t="shared" si="0"/>
        <v>16</v>
      </c>
      <c r="G11" s="20">
        <f t="shared" si="1"/>
        <v>1.3</v>
      </c>
      <c r="H11" s="20">
        <f t="shared" si="1"/>
        <v>1.2</v>
      </c>
      <c r="I11" s="20">
        <f t="shared" si="1"/>
        <v>0</v>
      </c>
      <c r="J11" s="20">
        <f t="shared" si="0"/>
        <v>0</v>
      </c>
      <c r="K11" s="20">
        <f t="shared" si="0"/>
        <v>0</v>
      </c>
      <c r="L11" s="20">
        <f t="shared" si="0"/>
        <v>100</v>
      </c>
      <c r="M11" s="20">
        <f t="shared" si="0"/>
        <v>0</v>
      </c>
      <c r="N11" s="20">
        <f t="shared" si="0"/>
        <v>3</v>
      </c>
      <c r="O11" s="20">
        <f t="shared" si="0"/>
        <v>25</v>
      </c>
      <c r="P11" s="20">
        <f t="shared" si="0"/>
        <v>1</v>
      </c>
      <c r="Q11" s="20">
        <f t="shared" si="0"/>
        <v>1</v>
      </c>
      <c r="R11" s="20">
        <f t="shared" si="0"/>
        <v>25</v>
      </c>
      <c r="S11" s="20">
        <f t="shared" si="0"/>
        <v>0</v>
      </c>
      <c r="T11" s="20">
        <f t="shared" si="0"/>
        <v>0</v>
      </c>
      <c r="U11" s="20">
        <f t="shared" si="0"/>
        <v>0</v>
      </c>
      <c r="V11" s="20">
        <f t="shared" si="0"/>
        <v>0</v>
      </c>
      <c r="W11" s="20">
        <f t="shared" si="0"/>
        <v>1</v>
      </c>
    </row>
    <row r="12" spans="1:23" x14ac:dyDescent="0.15">
      <c r="A12" s="25" t="str">
        <f t="shared" si="2"/>
        <v>20003_1-2/29&lt;lv16&gt;s2</v>
      </c>
      <c r="B12" s="20">
        <f t="shared" si="0"/>
        <v>20003</v>
      </c>
      <c r="C12" s="20">
        <f t="shared" si="0"/>
        <v>1</v>
      </c>
      <c r="D12" s="20">
        <f t="shared" si="0"/>
        <v>2</v>
      </c>
      <c r="E12" s="20">
        <f t="shared" si="0"/>
        <v>29</v>
      </c>
      <c r="F12" s="20">
        <f t="shared" si="0"/>
        <v>16</v>
      </c>
      <c r="G12" s="20">
        <f t="shared" si="1"/>
        <v>1.3</v>
      </c>
      <c r="H12" s="20">
        <f t="shared" si="1"/>
        <v>1.2</v>
      </c>
      <c r="I12" s="20">
        <f t="shared" si="1"/>
        <v>0</v>
      </c>
      <c r="J12" s="20">
        <f t="shared" si="0"/>
        <v>0</v>
      </c>
      <c r="K12" s="20">
        <f t="shared" si="0"/>
        <v>0</v>
      </c>
      <c r="L12" s="20">
        <f t="shared" si="0"/>
        <v>100</v>
      </c>
      <c r="M12" s="20">
        <f t="shared" si="0"/>
        <v>0</v>
      </c>
      <c r="N12" s="20">
        <f t="shared" si="0"/>
        <v>2</v>
      </c>
      <c r="O12" s="20">
        <f t="shared" si="0"/>
        <v>29</v>
      </c>
      <c r="P12" s="20">
        <f t="shared" si="0"/>
        <v>1</v>
      </c>
      <c r="Q12" s="20">
        <f t="shared" si="0"/>
        <v>1</v>
      </c>
      <c r="R12" s="20">
        <f t="shared" si="0"/>
        <v>25</v>
      </c>
      <c r="S12" s="20">
        <f t="shared" si="0"/>
        <v>0</v>
      </c>
      <c r="T12" s="20">
        <f t="shared" si="0"/>
        <v>0</v>
      </c>
      <c r="U12" s="20">
        <f t="shared" si="0"/>
        <v>0</v>
      </c>
      <c r="V12" s="20">
        <f t="shared" si="0"/>
        <v>0</v>
      </c>
      <c r="W12" s="20">
        <f t="shared" si="0"/>
        <v>1</v>
      </c>
    </row>
    <row r="13" spans="1:23" x14ac:dyDescent="0.15">
      <c r="A13" s="25" t="str">
        <f t="shared" si="2"/>
        <v>20003_1-2/45&lt;lv16&gt;s3</v>
      </c>
      <c r="B13" s="20">
        <f t="shared" si="0"/>
        <v>20003</v>
      </c>
      <c r="C13" s="20">
        <f t="shared" si="0"/>
        <v>1</v>
      </c>
      <c r="D13" s="20">
        <f t="shared" si="0"/>
        <v>2</v>
      </c>
      <c r="E13" s="20">
        <f t="shared" si="0"/>
        <v>45</v>
      </c>
      <c r="F13" s="20">
        <f t="shared" si="0"/>
        <v>16</v>
      </c>
      <c r="G13" s="20">
        <f t="shared" si="1"/>
        <v>1.3</v>
      </c>
      <c r="H13" s="20">
        <f t="shared" si="1"/>
        <v>1.2</v>
      </c>
      <c r="I13" s="20">
        <f t="shared" si="1"/>
        <v>0</v>
      </c>
      <c r="J13" s="20">
        <f t="shared" si="0"/>
        <v>0</v>
      </c>
      <c r="K13" s="20">
        <f t="shared" si="0"/>
        <v>0</v>
      </c>
      <c r="L13" s="20">
        <f t="shared" si="0"/>
        <v>100</v>
      </c>
      <c r="M13" s="20">
        <f t="shared" si="0"/>
        <v>0</v>
      </c>
      <c r="N13" s="20">
        <f t="shared" si="0"/>
        <v>3</v>
      </c>
      <c r="O13" s="20">
        <f t="shared" si="0"/>
        <v>45</v>
      </c>
      <c r="P13" s="20">
        <f t="shared" si="0"/>
        <v>1</v>
      </c>
      <c r="Q13" s="20">
        <f t="shared" si="0"/>
        <v>2</v>
      </c>
      <c r="R13" s="20">
        <f t="shared" si="0"/>
        <v>25</v>
      </c>
      <c r="S13" s="20">
        <f t="shared" si="0"/>
        <v>0</v>
      </c>
      <c r="T13" s="20">
        <f t="shared" si="0"/>
        <v>0</v>
      </c>
      <c r="U13" s="20">
        <f t="shared" si="0"/>
        <v>0</v>
      </c>
      <c r="V13" s="20">
        <f t="shared" si="0"/>
        <v>0</v>
      </c>
      <c r="W13" s="20">
        <f t="shared" si="0"/>
        <v>1</v>
      </c>
    </row>
    <row r="14" spans="1:23" x14ac:dyDescent="0.15">
      <c r="A14" s="25" t="str">
        <f t="shared" si="2"/>
        <v>20003_1-2/71&lt;lv16&gt;s4</v>
      </c>
      <c r="B14" s="20">
        <f t="shared" si="0"/>
        <v>20003</v>
      </c>
      <c r="C14" s="20">
        <f t="shared" si="0"/>
        <v>1</v>
      </c>
      <c r="D14" s="20">
        <f t="shared" si="0"/>
        <v>2</v>
      </c>
      <c r="E14" s="20">
        <f t="shared" si="0"/>
        <v>71</v>
      </c>
      <c r="F14" s="20">
        <f t="shared" si="0"/>
        <v>16</v>
      </c>
      <c r="G14" s="20">
        <f t="shared" si="1"/>
        <v>1.3</v>
      </c>
      <c r="H14" s="20">
        <f t="shared" si="1"/>
        <v>0.8</v>
      </c>
      <c r="I14" s="20">
        <f t="shared" si="1"/>
        <v>0</v>
      </c>
      <c r="J14" s="20">
        <f t="shared" si="0"/>
        <v>71</v>
      </c>
      <c r="K14" s="20">
        <f t="shared" si="0"/>
        <v>1</v>
      </c>
      <c r="L14" s="20">
        <f t="shared" si="0"/>
        <v>100</v>
      </c>
      <c r="M14" s="20">
        <f t="shared" si="0"/>
        <v>0</v>
      </c>
      <c r="N14" s="20">
        <f t="shared" si="0"/>
        <v>4</v>
      </c>
      <c r="O14" s="20">
        <f t="shared" si="0"/>
        <v>71</v>
      </c>
      <c r="P14" s="20">
        <f t="shared" si="0"/>
        <v>1</v>
      </c>
      <c r="Q14" s="20">
        <f t="shared" si="0"/>
        <v>2</v>
      </c>
      <c r="R14" s="20">
        <f t="shared" si="0"/>
        <v>15</v>
      </c>
      <c r="S14" s="20">
        <f t="shared" si="0"/>
        <v>0</v>
      </c>
      <c r="T14" s="20">
        <f>VLOOKUP($A14,OFFSET(INDIRECT($C$1&amp;"!$A1"),0,0,COUNTA(INDIRECT($C$1&amp;"!$A:$A"))+1,MATCH(T$2,INDIRECT($C$1&amp;"!"&amp;$B$1),0)-MATCH($A$2,INDIRECT($C$1&amp;"!"&amp;$B$1),0)+1),MATCH(T$2,INDIRECT($C$1&amp;"!"&amp;$B$1),0)-MATCH($A$2,INDIRECT($C$1&amp;"!"&amp;$B$1),0)+1,FALSE)</f>
        <v>0</v>
      </c>
      <c r="U14" s="20">
        <f>VLOOKUP($A14,OFFSET(INDIRECT($C$1&amp;"!$A1"),0,0,COUNTA(INDIRECT($C$1&amp;"!$A:$A"))+1,MATCH(U$2,INDIRECT($C$1&amp;"!"&amp;$B$1),0)-MATCH($A$2,INDIRECT($C$1&amp;"!"&amp;$B$1),0)+1),MATCH(U$2,INDIRECT($C$1&amp;"!"&amp;$B$1),0)-MATCH($A$2,INDIRECT($C$1&amp;"!"&amp;$B$1),0)+1,FALSE)</f>
        <v>0</v>
      </c>
      <c r="V14" s="20">
        <f t="shared" si="0"/>
        <v>0</v>
      </c>
      <c r="W14" s="20">
        <f t="shared" si="0"/>
        <v>1</v>
      </c>
    </row>
    <row r="15" spans="1:23" x14ac:dyDescent="0.15">
      <c r="A15" s="25" t="str">
        <f t="shared" si="2"/>
        <v>20003_1-3/5&lt;lv16&gt;s3</v>
      </c>
      <c r="B15" s="20">
        <f t="shared" si="0"/>
        <v>20003</v>
      </c>
      <c r="C15" s="20">
        <f t="shared" si="0"/>
        <v>1</v>
      </c>
      <c r="D15" s="20">
        <f t="shared" si="0"/>
        <v>3</v>
      </c>
      <c r="E15" s="20">
        <f t="shared" si="0"/>
        <v>5</v>
      </c>
      <c r="F15" s="20">
        <f t="shared" si="0"/>
        <v>16</v>
      </c>
      <c r="G15" s="20">
        <f t="shared" si="1"/>
        <v>1.3</v>
      </c>
      <c r="H15" s="20">
        <f t="shared" si="1"/>
        <v>1.2</v>
      </c>
      <c r="I15" s="20">
        <f t="shared" si="1"/>
        <v>0</v>
      </c>
      <c r="J15" s="20">
        <f t="shared" si="0"/>
        <v>0</v>
      </c>
      <c r="K15" s="20">
        <f t="shared" si="0"/>
        <v>0</v>
      </c>
      <c r="L15" s="20">
        <f t="shared" si="0"/>
        <v>100</v>
      </c>
      <c r="M15" s="20">
        <f t="shared" si="0"/>
        <v>0</v>
      </c>
      <c r="N15" s="20">
        <f t="shared" si="0"/>
        <v>3</v>
      </c>
      <c r="O15" s="20">
        <f t="shared" si="0"/>
        <v>5</v>
      </c>
      <c r="P15" s="20">
        <f t="shared" si="0"/>
        <v>3</v>
      </c>
      <c r="Q15" s="20">
        <f t="shared" si="0"/>
        <v>1</v>
      </c>
      <c r="R15" s="20">
        <f t="shared" si="0"/>
        <v>25</v>
      </c>
      <c r="S15" s="20">
        <f t="shared" si="0"/>
        <v>0</v>
      </c>
      <c r="T15" s="20">
        <f t="shared" si="0"/>
        <v>0</v>
      </c>
      <c r="U15" s="20">
        <f t="shared" si="0"/>
        <v>0</v>
      </c>
      <c r="V15" s="20">
        <f t="shared" si="0"/>
        <v>0</v>
      </c>
      <c r="W15" s="20">
        <f t="shared" si="0"/>
        <v>1</v>
      </c>
    </row>
    <row r="16" spans="1:23" x14ac:dyDescent="0.15">
      <c r="A16" s="25" t="str">
        <f t="shared" si="2"/>
        <v>20003_1-3/17&lt;lv16&gt;s2</v>
      </c>
      <c r="B16" s="20">
        <f t="shared" si="0"/>
        <v>20003</v>
      </c>
      <c r="C16" s="20">
        <f t="shared" si="0"/>
        <v>1</v>
      </c>
      <c r="D16" s="20">
        <f t="shared" si="0"/>
        <v>3</v>
      </c>
      <c r="E16" s="20">
        <f t="shared" si="0"/>
        <v>17</v>
      </c>
      <c r="F16" s="20">
        <f t="shared" si="0"/>
        <v>16</v>
      </c>
      <c r="G16" s="20">
        <f t="shared" si="1"/>
        <v>1.3</v>
      </c>
      <c r="H16" s="20">
        <f t="shared" si="1"/>
        <v>1.2</v>
      </c>
      <c r="I16" s="20">
        <f t="shared" si="1"/>
        <v>0</v>
      </c>
      <c r="J16" s="20">
        <f t="shared" si="0"/>
        <v>0</v>
      </c>
      <c r="K16" s="20">
        <f t="shared" si="0"/>
        <v>0</v>
      </c>
      <c r="L16" s="20">
        <f t="shared" si="0"/>
        <v>100</v>
      </c>
      <c r="M16" s="20">
        <f t="shared" ref="M16:W52" si="3">VLOOKUP($A16,OFFSET(INDIRECT($C$1&amp;"!$A1"),0,0,COUNTA(INDIRECT($C$1&amp;"!$A:$A"))+1,MATCH(M$2,INDIRECT($C$1&amp;"!"&amp;$B$1),0)-MATCH($A$2,INDIRECT($C$1&amp;"!"&amp;$B$1),0)+1),MATCH(M$2,INDIRECT($C$1&amp;"!"&amp;$B$1),0)-MATCH($A$2,INDIRECT($C$1&amp;"!"&amp;$B$1),0)+1,FALSE)</f>
        <v>0</v>
      </c>
      <c r="N16" s="20">
        <f t="shared" si="3"/>
        <v>2</v>
      </c>
      <c r="O16" s="20">
        <f t="shared" si="3"/>
        <v>17</v>
      </c>
      <c r="P16" s="20">
        <f t="shared" si="3"/>
        <v>1</v>
      </c>
      <c r="Q16" s="20">
        <f t="shared" si="3"/>
        <v>1</v>
      </c>
      <c r="R16" s="20">
        <f t="shared" si="3"/>
        <v>25</v>
      </c>
      <c r="S16" s="20">
        <f t="shared" si="3"/>
        <v>0</v>
      </c>
      <c r="T16" s="20">
        <f t="shared" si="3"/>
        <v>0</v>
      </c>
      <c r="U16" s="20">
        <f t="shared" si="3"/>
        <v>0</v>
      </c>
      <c r="V16" s="20">
        <f t="shared" si="3"/>
        <v>0</v>
      </c>
      <c r="W16" s="20">
        <f t="shared" si="3"/>
        <v>1</v>
      </c>
    </row>
    <row r="17" spans="1:23" x14ac:dyDescent="0.15">
      <c r="A17" s="25" t="str">
        <f t="shared" si="2"/>
        <v>20003_1-3/25&lt;lv16&gt;s3</v>
      </c>
      <c r="B17" s="20">
        <f t="shared" ref="B17:Q33" si="4">VLOOKUP($A17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20003</v>
      </c>
      <c r="C17" s="20">
        <f t="shared" si="4"/>
        <v>1</v>
      </c>
      <c r="D17" s="20">
        <f t="shared" si="4"/>
        <v>3</v>
      </c>
      <c r="E17" s="20">
        <f t="shared" si="4"/>
        <v>25</v>
      </c>
      <c r="F17" s="20">
        <f t="shared" si="4"/>
        <v>16</v>
      </c>
      <c r="G17" s="20">
        <f t="shared" si="1"/>
        <v>1.3</v>
      </c>
      <c r="H17" s="20">
        <f t="shared" si="1"/>
        <v>1.2</v>
      </c>
      <c r="I17" s="20">
        <f t="shared" si="1"/>
        <v>0</v>
      </c>
      <c r="J17" s="20">
        <f t="shared" si="4"/>
        <v>0</v>
      </c>
      <c r="K17" s="20">
        <f t="shared" si="4"/>
        <v>0</v>
      </c>
      <c r="L17" s="20">
        <f t="shared" si="4"/>
        <v>100</v>
      </c>
      <c r="M17" s="20">
        <f t="shared" si="4"/>
        <v>0</v>
      </c>
      <c r="N17" s="20">
        <f t="shared" si="4"/>
        <v>3</v>
      </c>
      <c r="O17" s="20">
        <f t="shared" si="4"/>
        <v>25</v>
      </c>
      <c r="P17" s="20">
        <f t="shared" si="4"/>
        <v>1</v>
      </c>
      <c r="Q17" s="20">
        <f t="shared" si="4"/>
        <v>1</v>
      </c>
      <c r="R17" s="20">
        <f t="shared" si="3"/>
        <v>25</v>
      </c>
      <c r="S17" s="20">
        <f t="shared" si="3"/>
        <v>0</v>
      </c>
      <c r="T17" s="20">
        <f t="shared" si="3"/>
        <v>0</v>
      </c>
      <c r="U17" s="20">
        <f t="shared" si="3"/>
        <v>0</v>
      </c>
      <c r="V17" s="20">
        <f t="shared" si="3"/>
        <v>0</v>
      </c>
      <c r="W17" s="20">
        <f t="shared" si="3"/>
        <v>1</v>
      </c>
    </row>
    <row r="18" spans="1:23" x14ac:dyDescent="0.15">
      <c r="A18" s="25" t="str">
        <f t="shared" si="2"/>
        <v>20003_1-3/29&lt;lv16&gt;s2</v>
      </c>
      <c r="B18" s="20">
        <f t="shared" si="4"/>
        <v>20003</v>
      </c>
      <c r="C18" s="20">
        <f t="shared" si="4"/>
        <v>1</v>
      </c>
      <c r="D18" s="20">
        <f t="shared" si="4"/>
        <v>3</v>
      </c>
      <c r="E18" s="20">
        <f t="shared" si="4"/>
        <v>29</v>
      </c>
      <c r="F18" s="20">
        <f t="shared" si="4"/>
        <v>16</v>
      </c>
      <c r="G18" s="20">
        <f t="shared" si="1"/>
        <v>1.3</v>
      </c>
      <c r="H18" s="20">
        <f t="shared" si="1"/>
        <v>1.2</v>
      </c>
      <c r="I18" s="20">
        <f t="shared" si="1"/>
        <v>0</v>
      </c>
      <c r="J18" s="20">
        <f t="shared" si="4"/>
        <v>0</v>
      </c>
      <c r="K18" s="20">
        <f t="shared" si="4"/>
        <v>0</v>
      </c>
      <c r="L18" s="20">
        <f t="shared" si="4"/>
        <v>100</v>
      </c>
      <c r="M18" s="20">
        <f t="shared" si="4"/>
        <v>0</v>
      </c>
      <c r="N18" s="20">
        <f t="shared" si="4"/>
        <v>2</v>
      </c>
      <c r="O18" s="20">
        <f t="shared" si="4"/>
        <v>29</v>
      </c>
      <c r="P18" s="20">
        <f t="shared" si="4"/>
        <v>1</v>
      </c>
      <c r="Q18" s="20">
        <f t="shared" si="4"/>
        <v>1</v>
      </c>
      <c r="R18" s="20">
        <f t="shared" si="3"/>
        <v>25</v>
      </c>
      <c r="S18" s="20">
        <f t="shared" si="3"/>
        <v>0</v>
      </c>
      <c r="T18" s="20">
        <f t="shared" si="3"/>
        <v>0</v>
      </c>
      <c r="U18" s="20">
        <f t="shared" si="3"/>
        <v>0</v>
      </c>
      <c r="V18" s="20">
        <f t="shared" si="3"/>
        <v>0</v>
      </c>
      <c r="W18" s="20">
        <f t="shared" si="3"/>
        <v>1</v>
      </c>
    </row>
    <row r="19" spans="1:23" x14ac:dyDescent="0.15">
      <c r="A19" s="25" t="str">
        <f t="shared" si="2"/>
        <v>20003_1-3/45&lt;lv16&gt;s3</v>
      </c>
      <c r="B19" s="20">
        <f t="shared" si="4"/>
        <v>20003</v>
      </c>
      <c r="C19" s="20">
        <f t="shared" si="4"/>
        <v>1</v>
      </c>
      <c r="D19" s="20">
        <f t="shared" si="4"/>
        <v>3</v>
      </c>
      <c r="E19" s="20">
        <f t="shared" si="4"/>
        <v>45</v>
      </c>
      <c r="F19" s="20">
        <f t="shared" si="4"/>
        <v>16</v>
      </c>
      <c r="G19" s="20">
        <f t="shared" si="4"/>
        <v>1.3</v>
      </c>
      <c r="H19" s="20">
        <f t="shared" si="4"/>
        <v>1.2</v>
      </c>
      <c r="I19" s="20">
        <f t="shared" si="4"/>
        <v>0</v>
      </c>
      <c r="J19" s="20">
        <f t="shared" si="4"/>
        <v>0</v>
      </c>
      <c r="K19" s="20">
        <f t="shared" si="4"/>
        <v>0</v>
      </c>
      <c r="L19" s="20">
        <f t="shared" si="4"/>
        <v>100</v>
      </c>
      <c r="M19" s="20">
        <f t="shared" si="4"/>
        <v>0</v>
      </c>
      <c r="N19" s="20">
        <f t="shared" si="4"/>
        <v>3</v>
      </c>
      <c r="O19" s="20">
        <f t="shared" si="4"/>
        <v>45</v>
      </c>
      <c r="P19" s="20">
        <f t="shared" si="4"/>
        <v>1</v>
      </c>
      <c r="Q19" s="20">
        <f t="shared" si="4"/>
        <v>2</v>
      </c>
      <c r="R19" s="20">
        <f t="shared" si="3"/>
        <v>25</v>
      </c>
      <c r="S19" s="20">
        <f t="shared" si="3"/>
        <v>0</v>
      </c>
      <c r="T19" s="20">
        <f t="shared" si="3"/>
        <v>0</v>
      </c>
      <c r="U19" s="20">
        <f t="shared" si="3"/>
        <v>0</v>
      </c>
      <c r="V19" s="20">
        <f t="shared" si="3"/>
        <v>0</v>
      </c>
      <c r="W19" s="20">
        <f t="shared" si="3"/>
        <v>1</v>
      </c>
    </row>
    <row r="20" spans="1:23" x14ac:dyDescent="0.15">
      <c r="A20" s="25" t="str">
        <f t="shared" si="2"/>
        <v>20003_1-3/71&lt;lv16&gt;s4</v>
      </c>
      <c r="B20" s="20">
        <f t="shared" si="4"/>
        <v>20003</v>
      </c>
      <c r="C20" s="20">
        <f t="shared" si="4"/>
        <v>1</v>
      </c>
      <c r="D20" s="20">
        <f t="shared" si="4"/>
        <v>3</v>
      </c>
      <c r="E20" s="20">
        <f t="shared" si="4"/>
        <v>71</v>
      </c>
      <c r="F20" s="20">
        <f t="shared" si="4"/>
        <v>16</v>
      </c>
      <c r="G20" s="20">
        <f t="shared" si="4"/>
        <v>1.3</v>
      </c>
      <c r="H20" s="20">
        <f t="shared" si="4"/>
        <v>0.8</v>
      </c>
      <c r="I20" s="20">
        <f t="shared" si="4"/>
        <v>0</v>
      </c>
      <c r="J20" s="20">
        <f t="shared" si="4"/>
        <v>71</v>
      </c>
      <c r="K20" s="20">
        <f t="shared" si="4"/>
        <v>0</v>
      </c>
      <c r="L20" s="20">
        <f t="shared" si="4"/>
        <v>100</v>
      </c>
      <c r="M20" s="20">
        <f t="shared" si="4"/>
        <v>0</v>
      </c>
      <c r="N20" s="20">
        <f t="shared" si="4"/>
        <v>4</v>
      </c>
      <c r="O20" s="20">
        <f t="shared" si="4"/>
        <v>71</v>
      </c>
      <c r="P20" s="20">
        <f t="shared" si="4"/>
        <v>1</v>
      </c>
      <c r="Q20" s="20">
        <f t="shared" si="4"/>
        <v>2</v>
      </c>
      <c r="R20" s="20">
        <f t="shared" si="3"/>
        <v>15</v>
      </c>
      <c r="S20" s="20">
        <f t="shared" si="3"/>
        <v>0</v>
      </c>
      <c r="T20" s="20">
        <f t="shared" si="3"/>
        <v>0</v>
      </c>
      <c r="U20" s="20">
        <f t="shared" si="3"/>
        <v>0</v>
      </c>
      <c r="V20" s="20">
        <f t="shared" si="3"/>
        <v>0</v>
      </c>
      <c r="W20" s="20">
        <f t="shared" si="3"/>
        <v>1</v>
      </c>
    </row>
    <row r="21" spans="1:23" x14ac:dyDescent="0.15">
      <c r="A21" s="25" t="str">
        <f t="shared" si="2"/>
        <v>20003_1-4/5&lt;lv16&gt;s3</v>
      </c>
      <c r="B21" s="20">
        <f t="shared" si="4"/>
        <v>20003</v>
      </c>
      <c r="C21" s="20">
        <f t="shared" si="4"/>
        <v>1</v>
      </c>
      <c r="D21" s="20">
        <f t="shared" si="4"/>
        <v>4</v>
      </c>
      <c r="E21" s="20">
        <f t="shared" si="4"/>
        <v>5</v>
      </c>
      <c r="F21" s="20">
        <f t="shared" si="4"/>
        <v>16</v>
      </c>
      <c r="G21" s="20">
        <f t="shared" si="4"/>
        <v>1.3</v>
      </c>
      <c r="H21" s="20">
        <f t="shared" si="4"/>
        <v>1.2</v>
      </c>
      <c r="I21" s="20">
        <f t="shared" si="4"/>
        <v>0</v>
      </c>
      <c r="J21" s="20">
        <f t="shared" si="4"/>
        <v>0</v>
      </c>
      <c r="K21" s="20">
        <f t="shared" si="4"/>
        <v>0</v>
      </c>
      <c r="L21" s="20">
        <f t="shared" si="4"/>
        <v>100</v>
      </c>
      <c r="M21" s="20">
        <f t="shared" si="4"/>
        <v>0</v>
      </c>
      <c r="N21" s="20">
        <f t="shared" si="4"/>
        <v>3</v>
      </c>
      <c r="O21" s="20">
        <f t="shared" si="4"/>
        <v>5</v>
      </c>
      <c r="P21" s="20">
        <f t="shared" si="4"/>
        <v>3</v>
      </c>
      <c r="Q21" s="20">
        <f t="shared" si="4"/>
        <v>1</v>
      </c>
      <c r="R21" s="20">
        <f t="shared" si="3"/>
        <v>25</v>
      </c>
      <c r="S21" s="20">
        <f t="shared" si="3"/>
        <v>0</v>
      </c>
      <c r="T21" s="20">
        <f t="shared" si="3"/>
        <v>0</v>
      </c>
      <c r="U21" s="20">
        <f t="shared" si="3"/>
        <v>0</v>
      </c>
      <c r="V21" s="20">
        <f t="shared" si="3"/>
        <v>0</v>
      </c>
      <c r="W21" s="20">
        <f t="shared" si="3"/>
        <v>1</v>
      </c>
    </row>
    <row r="22" spans="1:23" x14ac:dyDescent="0.15">
      <c r="A22" s="25" t="str">
        <f t="shared" si="2"/>
        <v>20003_1-4/17&lt;lv16&gt;s2</v>
      </c>
      <c r="B22" s="20">
        <f t="shared" si="4"/>
        <v>20003</v>
      </c>
      <c r="C22" s="20">
        <f t="shared" si="4"/>
        <v>1</v>
      </c>
      <c r="D22" s="20">
        <f t="shared" si="4"/>
        <v>4</v>
      </c>
      <c r="E22" s="20">
        <f t="shared" si="4"/>
        <v>17</v>
      </c>
      <c r="F22" s="20">
        <f t="shared" si="4"/>
        <v>16</v>
      </c>
      <c r="G22" s="20">
        <f t="shared" si="4"/>
        <v>1.3</v>
      </c>
      <c r="H22" s="20">
        <f t="shared" si="4"/>
        <v>1.2</v>
      </c>
      <c r="I22" s="20">
        <f t="shared" si="4"/>
        <v>0</v>
      </c>
      <c r="J22" s="20">
        <f t="shared" si="4"/>
        <v>0</v>
      </c>
      <c r="K22" s="20">
        <f t="shared" si="4"/>
        <v>0</v>
      </c>
      <c r="L22" s="20">
        <f t="shared" si="4"/>
        <v>100</v>
      </c>
      <c r="M22" s="20">
        <f t="shared" si="4"/>
        <v>0</v>
      </c>
      <c r="N22" s="20">
        <f t="shared" si="4"/>
        <v>2</v>
      </c>
      <c r="O22" s="20">
        <f t="shared" si="4"/>
        <v>17</v>
      </c>
      <c r="P22" s="20">
        <f t="shared" si="4"/>
        <v>1</v>
      </c>
      <c r="Q22" s="20">
        <f t="shared" si="4"/>
        <v>1</v>
      </c>
      <c r="R22" s="20">
        <f t="shared" si="3"/>
        <v>25</v>
      </c>
      <c r="S22" s="20">
        <f t="shared" si="3"/>
        <v>0</v>
      </c>
      <c r="T22" s="20">
        <f t="shared" si="3"/>
        <v>0</v>
      </c>
      <c r="U22" s="20">
        <f t="shared" si="3"/>
        <v>0</v>
      </c>
      <c r="V22" s="20">
        <f t="shared" si="3"/>
        <v>0</v>
      </c>
      <c r="W22" s="20">
        <f t="shared" si="3"/>
        <v>1</v>
      </c>
    </row>
    <row r="23" spans="1:23" x14ac:dyDescent="0.15">
      <c r="A23" s="25" t="str">
        <f t="shared" si="2"/>
        <v>20003_1-4/25&lt;lv16&gt;s3</v>
      </c>
      <c r="B23" s="20">
        <f t="shared" si="4"/>
        <v>20003</v>
      </c>
      <c r="C23" s="20">
        <f t="shared" si="4"/>
        <v>1</v>
      </c>
      <c r="D23" s="20">
        <f t="shared" si="4"/>
        <v>4</v>
      </c>
      <c r="E23" s="20">
        <f t="shared" si="4"/>
        <v>25</v>
      </c>
      <c r="F23" s="20">
        <f t="shared" si="4"/>
        <v>16</v>
      </c>
      <c r="G23" s="20">
        <f t="shared" si="4"/>
        <v>1.3</v>
      </c>
      <c r="H23" s="20">
        <f t="shared" si="4"/>
        <v>1.2</v>
      </c>
      <c r="I23" s="20">
        <f t="shared" si="4"/>
        <v>0</v>
      </c>
      <c r="J23" s="20">
        <f t="shared" si="4"/>
        <v>0</v>
      </c>
      <c r="K23" s="20">
        <f t="shared" si="4"/>
        <v>0</v>
      </c>
      <c r="L23" s="20">
        <f t="shared" si="4"/>
        <v>100</v>
      </c>
      <c r="M23" s="20">
        <f t="shared" si="4"/>
        <v>0</v>
      </c>
      <c r="N23" s="20">
        <f t="shared" si="4"/>
        <v>3</v>
      </c>
      <c r="O23" s="20">
        <f t="shared" si="4"/>
        <v>25</v>
      </c>
      <c r="P23" s="20">
        <f t="shared" si="4"/>
        <v>1</v>
      </c>
      <c r="Q23" s="20">
        <f t="shared" si="4"/>
        <v>1</v>
      </c>
      <c r="R23" s="20">
        <f t="shared" si="3"/>
        <v>25</v>
      </c>
      <c r="S23" s="20">
        <f t="shared" si="3"/>
        <v>0</v>
      </c>
      <c r="T23" s="20">
        <f t="shared" si="3"/>
        <v>0</v>
      </c>
      <c r="U23" s="20">
        <f t="shared" si="3"/>
        <v>0</v>
      </c>
      <c r="V23" s="20">
        <f t="shared" si="3"/>
        <v>0</v>
      </c>
      <c r="W23" s="20">
        <f t="shared" si="3"/>
        <v>1</v>
      </c>
    </row>
    <row r="24" spans="1:23" x14ac:dyDescent="0.15">
      <c r="A24" s="25" t="str">
        <f t="shared" si="2"/>
        <v>20003_1-4/29&lt;lv16&gt;s2</v>
      </c>
      <c r="B24" s="20">
        <f t="shared" si="4"/>
        <v>20003</v>
      </c>
      <c r="C24" s="20">
        <f t="shared" si="4"/>
        <v>1</v>
      </c>
      <c r="D24" s="20">
        <f t="shared" si="4"/>
        <v>4</v>
      </c>
      <c r="E24" s="20">
        <f t="shared" si="4"/>
        <v>29</v>
      </c>
      <c r="F24" s="20">
        <f t="shared" si="4"/>
        <v>16</v>
      </c>
      <c r="G24" s="20">
        <f t="shared" si="4"/>
        <v>1.3</v>
      </c>
      <c r="H24" s="20">
        <f t="shared" si="4"/>
        <v>1.2</v>
      </c>
      <c r="I24" s="20">
        <f t="shared" si="4"/>
        <v>0</v>
      </c>
      <c r="J24" s="20">
        <f t="shared" si="4"/>
        <v>0</v>
      </c>
      <c r="K24" s="20">
        <f t="shared" si="4"/>
        <v>0</v>
      </c>
      <c r="L24" s="20">
        <f t="shared" si="4"/>
        <v>100</v>
      </c>
      <c r="M24" s="20">
        <f t="shared" si="4"/>
        <v>0</v>
      </c>
      <c r="N24" s="20">
        <f t="shared" si="4"/>
        <v>2</v>
      </c>
      <c r="O24" s="20">
        <f t="shared" si="4"/>
        <v>29</v>
      </c>
      <c r="P24" s="20">
        <f t="shared" si="4"/>
        <v>1</v>
      </c>
      <c r="Q24" s="20">
        <f t="shared" si="4"/>
        <v>1</v>
      </c>
      <c r="R24" s="20">
        <f t="shared" si="3"/>
        <v>25</v>
      </c>
      <c r="S24" s="20">
        <f t="shared" si="3"/>
        <v>0</v>
      </c>
      <c r="T24" s="20">
        <f t="shared" si="3"/>
        <v>0</v>
      </c>
      <c r="U24" s="20">
        <f t="shared" si="3"/>
        <v>0</v>
      </c>
      <c r="V24" s="20">
        <f t="shared" si="3"/>
        <v>0</v>
      </c>
      <c r="W24" s="20">
        <f t="shared" si="3"/>
        <v>1</v>
      </c>
    </row>
    <row r="25" spans="1:23" x14ac:dyDescent="0.15">
      <c r="A25" s="25" t="str">
        <f t="shared" si="2"/>
        <v>20003_1-4/45&lt;lv16&gt;s3</v>
      </c>
      <c r="B25" s="20">
        <f t="shared" si="4"/>
        <v>20003</v>
      </c>
      <c r="C25" s="20">
        <f t="shared" si="4"/>
        <v>1</v>
      </c>
      <c r="D25" s="20">
        <f t="shared" si="4"/>
        <v>4</v>
      </c>
      <c r="E25" s="20">
        <f t="shared" si="4"/>
        <v>45</v>
      </c>
      <c r="F25" s="20">
        <f t="shared" si="4"/>
        <v>16</v>
      </c>
      <c r="G25" s="20">
        <f t="shared" si="4"/>
        <v>1.3</v>
      </c>
      <c r="H25" s="20">
        <f t="shared" si="4"/>
        <v>1.2</v>
      </c>
      <c r="I25" s="20">
        <f t="shared" si="4"/>
        <v>0</v>
      </c>
      <c r="J25" s="20">
        <f t="shared" si="4"/>
        <v>0</v>
      </c>
      <c r="K25" s="20">
        <f t="shared" si="4"/>
        <v>1</v>
      </c>
      <c r="L25" s="20">
        <f t="shared" si="4"/>
        <v>100</v>
      </c>
      <c r="M25" s="20">
        <f t="shared" si="4"/>
        <v>0</v>
      </c>
      <c r="N25" s="20">
        <f t="shared" si="4"/>
        <v>3</v>
      </c>
      <c r="O25" s="20">
        <f t="shared" si="4"/>
        <v>45</v>
      </c>
      <c r="P25" s="20">
        <f t="shared" si="4"/>
        <v>1</v>
      </c>
      <c r="Q25" s="20">
        <f t="shared" si="4"/>
        <v>2</v>
      </c>
      <c r="R25" s="20">
        <f t="shared" si="3"/>
        <v>25</v>
      </c>
      <c r="S25" s="20">
        <f t="shared" si="3"/>
        <v>0</v>
      </c>
      <c r="T25" s="20">
        <f t="shared" si="3"/>
        <v>0</v>
      </c>
      <c r="U25" s="20">
        <f t="shared" si="3"/>
        <v>0</v>
      </c>
      <c r="V25" s="20">
        <f t="shared" si="3"/>
        <v>0</v>
      </c>
      <c r="W25" s="20">
        <f t="shared" si="3"/>
        <v>1</v>
      </c>
    </row>
    <row r="26" spans="1:23" x14ac:dyDescent="0.15">
      <c r="A26" s="25" t="str">
        <f t="shared" si="2"/>
        <v>20003_1-4/71&lt;lv16&gt;s4</v>
      </c>
      <c r="B26" s="20">
        <f t="shared" si="4"/>
        <v>20003</v>
      </c>
      <c r="C26" s="20">
        <f t="shared" si="4"/>
        <v>1</v>
      </c>
      <c r="D26" s="20">
        <f t="shared" si="4"/>
        <v>4</v>
      </c>
      <c r="E26" s="20">
        <f t="shared" si="4"/>
        <v>71</v>
      </c>
      <c r="F26" s="20">
        <f t="shared" si="4"/>
        <v>16</v>
      </c>
      <c r="G26" s="20">
        <f t="shared" si="4"/>
        <v>1.3</v>
      </c>
      <c r="H26" s="20">
        <f t="shared" si="4"/>
        <v>0.8</v>
      </c>
      <c r="I26" s="20">
        <f t="shared" si="4"/>
        <v>0</v>
      </c>
      <c r="J26" s="20">
        <f t="shared" si="4"/>
        <v>71</v>
      </c>
      <c r="K26" s="20">
        <f t="shared" si="4"/>
        <v>1</v>
      </c>
      <c r="L26" s="20">
        <f t="shared" si="4"/>
        <v>100</v>
      </c>
      <c r="M26" s="20">
        <f t="shared" si="4"/>
        <v>0</v>
      </c>
      <c r="N26" s="20">
        <f t="shared" si="4"/>
        <v>4</v>
      </c>
      <c r="O26" s="20">
        <f t="shared" si="4"/>
        <v>71</v>
      </c>
      <c r="P26" s="20">
        <f t="shared" si="4"/>
        <v>1</v>
      </c>
      <c r="Q26" s="20">
        <f t="shared" si="4"/>
        <v>2</v>
      </c>
      <c r="R26" s="20">
        <f t="shared" si="3"/>
        <v>15</v>
      </c>
      <c r="S26" s="20">
        <f t="shared" si="3"/>
        <v>0</v>
      </c>
      <c r="T26" s="20">
        <f t="shared" si="3"/>
        <v>0</v>
      </c>
      <c r="U26" s="20">
        <f t="shared" si="3"/>
        <v>0</v>
      </c>
      <c r="V26" s="20">
        <f t="shared" si="3"/>
        <v>0</v>
      </c>
      <c r="W26" s="20">
        <f t="shared" si="3"/>
        <v>1</v>
      </c>
    </row>
    <row r="27" spans="1:23" x14ac:dyDescent="0.15">
      <c r="A27" s="25" t="str">
        <f t="shared" si="2"/>
        <v>20003_1-5/266&lt;lv19&gt;s2</v>
      </c>
      <c r="B27" s="20">
        <f t="shared" si="4"/>
        <v>20003</v>
      </c>
      <c r="C27" s="20">
        <f t="shared" si="4"/>
        <v>1</v>
      </c>
      <c r="D27" s="20">
        <f t="shared" si="4"/>
        <v>5</v>
      </c>
      <c r="E27" s="20">
        <f t="shared" si="4"/>
        <v>266</v>
      </c>
      <c r="F27" s="20">
        <f t="shared" si="4"/>
        <v>19</v>
      </c>
      <c r="G27" s="20">
        <f t="shared" si="4"/>
        <v>2.7</v>
      </c>
      <c r="H27" s="20">
        <f t="shared" si="4"/>
        <v>0.8</v>
      </c>
      <c r="I27" s="20">
        <f t="shared" si="4"/>
        <v>0</v>
      </c>
      <c r="J27" s="20">
        <f t="shared" si="4"/>
        <v>266</v>
      </c>
      <c r="K27" s="20">
        <f t="shared" si="4"/>
        <v>1</v>
      </c>
      <c r="L27" s="20">
        <f t="shared" si="4"/>
        <v>100</v>
      </c>
      <c r="M27" s="20">
        <f t="shared" si="4"/>
        <v>1</v>
      </c>
      <c r="N27" s="20">
        <f t="shared" si="4"/>
        <v>2</v>
      </c>
      <c r="O27" s="20">
        <f t="shared" si="4"/>
        <v>266</v>
      </c>
      <c r="P27" s="20">
        <f t="shared" si="4"/>
        <v>1</v>
      </c>
      <c r="Q27" s="20">
        <f t="shared" si="4"/>
        <v>3</v>
      </c>
      <c r="R27" s="20">
        <f>VLOOKUP($A27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20</v>
      </c>
      <c r="S27" s="20">
        <f t="shared" si="3"/>
        <v>0</v>
      </c>
      <c r="T27" s="20">
        <f t="shared" si="3"/>
        <v>0</v>
      </c>
      <c r="U27" s="20">
        <f t="shared" si="3"/>
        <v>0</v>
      </c>
      <c r="V27" s="20">
        <f t="shared" si="3"/>
        <v>0</v>
      </c>
      <c r="W27" s="20">
        <f t="shared" si="3"/>
        <v>1</v>
      </c>
    </row>
    <row r="28" spans="1:23" x14ac:dyDescent="0.15">
      <c r="A28" s="25" t="str">
        <f t="shared" si="2"/>
        <v>20003_2-1/6&lt;lv24&gt;s3</v>
      </c>
      <c r="B28" s="20">
        <f t="shared" si="4"/>
        <v>20003</v>
      </c>
      <c r="C28" s="20">
        <f t="shared" si="4"/>
        <v>2</v>
      </c>
      <c r="D28" s="20">
        <f t="shared" si="4"/>
        <v>1</v>
      </c>
      <c r="E28" s="20">
        <f t="shared" si="4"/>
        <v>6</v>
      </c>
      <c r="F28" s="20">
        <f t="shared" si="4"/>
        <v>24</v>
      </c>
      <c r="G28" s="20">
        <f t="shared" si="4"/>
        <v>2.2000000000000002</v>
      </c>
      <c r="H28" s="20">
        <f t="shared" si="4"/>
        <v>1</v>
      </c>
      <c r="I28" s="20">
        <f t="shared" si="4"/>
        <v>0</v>
      </c>
      <c r="J28" s="20">
        <f t="shared" si="4"/>
        <v>0</v>
      </c>
      <c r="K28" s="20">
        <f t="shared" si="4"/>
        <v>0</v>
      </c>
      <c r="L28" s="20">
        <f t="shared" si="4"/>
        <v>100</v>
      </c>
      <c r="M28" s="20">
        <f t="shared" si="4"/>
        <v>0</v>
      </c>
      <c r="N28" s="20">
        <f t="shared" si="4"/>
        <v>3</v>
      </c>
      <c r="O28" s="20">
        <f t="shared" si="4"/>
        <v>6</v>
      </c>
      <c r="P28" s="20">
        <f t="shared" si="4"/>
        <v>6</v>
      </c>
      <c r="Q28" s="20">
        <f t="shared" si="4"/>
        <v>2</v>
      </c>
      <c r="R28" s="20">
        <f t="shared" si="3"/>
        <v>10</v>
      </c>
      <c r="S28" s="20">
        <f t="shared" si="3"/>
        <v>0</v>
      </c>
      <c r="T28" s="20">
        <f t="shared" si="3"/>
        <v>0</v>
      </c>
      <c r="U28" s="20">
        <f t="shared" si="3"/>
        <v>0</v>
      </c>
      <c r="V28" s="20">
        <f t="shared" si="3"/>
        <v>0</v>
      </c>
      <c r="W28" s="20">
        <f t="shared" si="3"/>
        <v>1</v>
      </c>
    </row>
    <row r="29" spans="1:23" x14ac:dyDescent="0.15">
      <c r="A29" s="25" t="str">
        <f t="shared" si="2"/>
        <v>20003_2-1/17&lt;lv26&gt;s2</v>
      </c>
      <c r="B29" s="20">
        <f t="shared" si="4"/>
        <v>20003</v>
      </c>
      <c r="C29" s="20">
        <f t="shared" si="4"/>
        <v>2</v>
      </c>
      <c r="D29" s="20">
        <f t="shared" si="4"/>
        <v>1</v>
      </c>
      <c r="E29" s="20">
        <f t="shared" si="4"/>
        <v>17</v>
      </c>
      <c r="F29" s="20">
        <f t="shared" si="4"/>
        <v>26</v>
      </c>
      <c r="G29" s="20">
        <f t="shared" si="4"/>
        <v>2.2000000000000002</v>
      </c>
      <c r="H29" s="20">
        <f t="shared" si="4"/>
        <v>1</v>
      </c>
      <c r="I29" s="20">
        <f t="shared" si="4"/>
        <v>0</v>
      </c>
      <c r="J29" s="20">
        <f t="shared" si="4"/>
        <v>0</v>
      </c>
      <c r="K29" s="20">
        <f t="shared" si="4"/>
        <v>0</v>
      </c>
      <c r="L29" s="20">
        <f t="shared" si="4"/>
        <v>100</v>
      </c>
      <c r="M29" s="20">
        <f t="shared" si="4"/>
        <v>0</v>
      </c>
      <c r="N29" s="20">
        <f t="shared" si="4"/>
        <v>2</v>
      </c>
      <c r="O29" s="20">
        <f t="shared" si="4"/>
        <v>17</v>
      </c>
      <c r="P29" s="20">
        <f t="shared" si="4"/>
        <v>4</v>
      </c>
      <c r="Q29" s="20">
        <f t="shared" si="4"/>
        <v>1</v>
      </c>
      <c r="R29" s="20">
        <f t="shared" si="3"/>
        <v>15</v>
      </c>
      <c r="S29" s="20">
        <f t="shared" si="3"/>
        <v>0</v>
      </c>
      <c r="T29" s="20">
        <f t="shared" si="3"/>
        <v>0</v>
      </c>
      <c r="U29" s="20">
        <f t="shared" si="3"/>
        <v>0</v>
      </c>
      <c r="V29" s="20">
        <f t="shared" si="3"/>
        <v>0</v>
      </c>
      <c r="W29" s="20">
        <f t="shared" si="3"/>
        <v>1</v>
      </c>
    </row>
    <row r="30" spans="1:23" x14ac:dyDescent="0.15">
      <c r="A30" s="25" t="str">
        <f t="shared" si="2"/>
        <v>20003_2-1/25&lt;lv26&gt;s3</v>
      </c>
      <c r="B30" s="20">
        <f t="shared" si="4"/>
        <v>20003</v>
      </c>
      <c r="C30" s="20">
        <f t="shared" si="4"/>
        <v>2</v>
      </c>
      <c r="D30" s="20">
        <f t="shared" si="4"/>
        <v>1</v>
      </c>
      <c r="E30" s="20">
        <f t="shared" si="4"/>
        <v>25</v>
      </c>
      <c r="F30" s="20">
        <f t="shared" si="4"/>
        <v>26</v>
      </c>
      <c r="G30" s="20">
        <f t="shared" si="4"/>
        <v>2.2000000000000002</v>
      </c>
      <c r="H30" s="20">
        <f t="shared" si="4"/>
        <v>1</v>
      </c>
      <c r="I30" s="20">
        <f t="shared" si="4"/>
        <v>0</v>
      </c>
      <c r="J30" s="20">
        <f t="shared" si="4"/>
        <v>0</v>
      </c>
      <c r="K30" s="20">
        <f t="shared" si="4"/>
        <v>0</v>
      </c>
      <c r="L30" s="20">
        <f t="shared" si="4"/>
        <v>100</v>
      </c>
      <c r="M30" s="20">
        <f t="shared" si="4"/>
        <v>0</v>
      </c>
      <c r="N30" s="20">
        <f t="shared" si="4"/>
        <v>3</v>
      </c>
      <c r="O30" s="20">
        <f t="shared" si="4"/>
        <v>25</v>
      </c>
      <c r="P30" s="20">
        <f t="shared" si="4"/>
        <v>2</v>
      </c>
      <c r="Q30" s="20">
        <f t="shared" si="4"/>
        <v>1</v>
      </c>
      <c r="R30" s="20">
        <f t="shared" si="3"/>
        <v>15</v>
      </c>
      <c r="S30" s="20">
        <f t="shared" si="3"/>
        <v>0</v>
      </c>
      <c r="T30" s="20">
        <f t="shared" si="3"/>
        <v>0</v>
      </c>
      <c r="U30" s="20">
        <f t="shared" si="3"/>
        <v>0</v>
      </c>
      <c r="V30" s="20">
        <f t="shared" si="3"/>
        <v>0</v>
      </c>
      <c r="W30" s="20">
        <f t="shared" si="3"/>
        <v>1</v>
      </c>
    </row>
    <row r="31" spans="1:23" x14ac:dyDescent="0.15">
      <c r="A31" s="25" t="str">
        <f t="shared" si="2"/>
        <v>20003_2-1/45&lt;lv26&gt;s3</v>
      </c>
      <c r="B31" s="20">
        <f t="shared" si="4"/>
        <v>20003</v>
      </c>
      <c r="C31" s="20">
        <f t="shared" si="4"/>
        <v>2</v>
      </c>
      <c r="D31" s="20">
        <f t="shared" si="4"/>
        <v>1</v>
      </c>
      <c r="E31" s="20">
        <f t="shared" si="4"/>
        <v>45</v>
      </c>
      <c r="F31" s="20">
        <f t="shared" si="4"/>
        <v>26</v>
      </c>
      <c r="G31" s="20">
        <f t="shared" si="4"/>
        <v>2.2000000000000002</v>
      </c>
      <c r="H31" s="20">
        <f t="shared" si="4"/>
        <v>1</v>
      </c>
      <c r="I31" s="20">
        <f t="shared" si="4"/>
        <v>0</v>
      </c>
      <c r="J31" s="20">
        <f t="shared" si="4"/>
        <v>0</v>
      </c>
      <c r="K31" s="20">
        <f t="shared" si="4"/>
        <v>0</v>
      </c>
      <c r="L31" s="20">
        <f t="shared" si="4"/>
        <v>100</v>
      </c>
      <c r="M31" s="20">
        <f t="shared" si="4"/>
        <v>0</v>
      </c>
      <c r="N31" s="20">
        <f t="shared" si="4"/>
        <v>3</v>
      </c>
      <c r="O31" s="20">
        <f t="shared" si="4"/>
        <v>45</v>
      </c>
      <c r="P31" s="20">
        <f t="shared" si="4"/>
        <v>2</v>
      </c>
      <c r="Q31" s="20">
        <f t="shared" si="4"/>
        <v>2</v>
      </c>
      <c r="R31" s="20">
        <f t="shared" si="3"/>
        <v>15</v>
      </c>
      <c r="S31" s="20">
        <f t="shared" si="3"/>
        <v>0</v>
      </c>
      <c r="T31" s="20">
        <f t="shared" si="3"/>
        <v>0</v>
      </c>
      <c r="U31" s="20">
        <f t="shared" si="3"/>
        <v>0</v>
      </c>
      <c r="V31" s="20">
        <f t="shared" si="3"/>
        <v>0</v>
      </c>
      <c r="W31" s="20">
        <f t="shared" si="3"/>
        <v>1</v>
      </c>
    </row>
    <row r="32" spans="1:23" x14ac:dyDescent="0.15">
      <c r="A32" s="25" t="str">
        <f t="shared" si="2"/>
        <v>20003_2-1/71&lt;lv26&gt;s4</v>
      </c>
      <c r="B32" s="20">
        <f t="shared" si="4"/>
        <v>20003</v>
      </c>
      <c r="C32" s="20">
        <f t="shared" si="4"/>
        <v>2</v>
      </c>
      <c r="D32" s="20">
        <f t="shared" si="4"/>
        <v>1</v>
      </c>
      <c r="E32" s="20">
        <f t="shared" si="4"/>
        <v>71</v>
      </c>
      <c r="F32" s="20">
        <f t="shared" si="4"/>
        <v>26</v>
      </c>
      <c r="G32" s="20">
        <f t="shared" si="4"/>
        <v>2.2000000000000002</v>
      </c>
      <c r="H32" s="20">
        <f t="shared" si="4"/>
        <v>0.8</v>
      </c>
      <c r="I32" s="20">
        <f t="shared" si="4"/>
        <v>0</v>
      </c>
      <c r="J32" s="20">
        <f t="shared" si="4"/>
        <v>71</v>
      </c>
      <c r="K32" s="20">
        <f t="shared" si="4"/>
        <v>0</v>
      </c>
      <c r="L32" s="20">
        <f t="shared" si="4"/>
        <v>100</v>
      </c>
      <c r="M32" s="20">
        <f t="shared" si="4"/>
        <v>0</v>
      </c>
      <c r="N32" s="20">
        <f t="shared" si="4"/>
        <v>4</v>
      </c>
      <c r="O32" s="20">
        <f t="shared" si="4"/>
        <v>71</v>
      </c>
      <c r="P32" s="20">
        <f t="shared" si="4"/>
        <v>1</v>
      </c>
      <c r="Q32" s="20">
        <f t="shared" si="4"/>
        <v>2</v>
      </c>
      <c r="R32" s="20">
        <f t="shared" si="3"/>
        <v>10</v>
      </c>
      <c r="S32" s="20">
        <f t="shared" si="3"/>
        <v>0</v>
      </c>
      <c r="T32" s="20">
        <f t="shared" si="3"/>
        <v>0</v>
      </c>
      <c r="U32" s="20">
        <f t="shared" si="3"/>
        <v>0</v>
      </c>
      <c r="V32" s="20">
        <f t="shared" si="3"/>
        <v>0</v>
      </c>
      <c r="W32" s="20">
        <f t="shared" si="3"/>
        <v>1</v>
      </c>
    </row>
    <row r="33" spans="1:23" x14ac:dyDescent="0.15">
      <c r="A33" s="25" t="str">
        <f t="shared" si="2"/>
        <v>20003_2-2/6&lt;lv26&gt;s3</v>
      </c>
      <c r="B33" s="20">
        <f t="shared" si="4"/>
        <v>20003</v>
      </c>
      <c r="C33" s="20">
        <f t="shared" si="4"/>
        <v>2</v>
      </c>
      <c r="D33" s="20">
        <f t="shared" si="4"/>
        <v>2</v>
      </c>
      <c r="E33" s="20">
        <f t="shared" si="4"/>
        <v>6</v>
      </c>
      <c r="F33" s="20">
        <f t="shared" si="4"/>
        <v>26</v>
      </c>
      <c r="G33" s="20">
        <f t="shared" ref="G33:V61" si="5">VLOOKUP($A33,OFFSET(INDIRECT($C$1&amp;"!$A1"),0,0,COUNTA(INDIRECT($C$1&amp;"!$A:$A"))+1,MATCH(G$2,INDIRECT($C$1&amp;"!"&amp;$B$1),0)-MATCH($A$2,INDIRECT($C$1&amp;"!"&amp;$B$1),0)+1),MATCH(G$2,INDIRECT($C$1&amp;"!"&amp;$B$1),0)-MATCH($A$2,INDIRECT($C$1&amp;"!"&amp;$B$1),0)+1,FALSE)</f>
        <v>2.2000000000000002</v>
      </c>
      <c r="H33" s="20">
        <f t="shared" si="5"/>
        <v>1</v>
      </c>
      <c r="I33" s="20">
        <f t="shared" si="5"/>
        <v>0</v>
      </c>
      <c r="J33" s="20">
        <f t="shared" si="5"/>
        <v>0</v>
      </c>
      <c r="K33" s="20">
        <f t="shared" si="5"/>
        <v>0</v>
      </c>
      <c r="L33" s="20">
        <f t="shared" si="5"/>
        <v>100</v>
      </c>
      <c r="M33" s="20">
        <f t="shared" si="5"/>
        <v>0</v>
      </c>
      <c r="N33" s="20">
        <f t="shared" si="5"/>
        <v>3</v>
      </c>
      <c r="O33" s="20">
        <f t="shared" si="5"/>
        <v>6</v>
      </c>
      <c r="P33" s="20">
        <f t="shared" si="5"/>
        <v>6</v>
      </c>
      <c r="Q33" s="20">
        <f t="shared" si="5"/>
        <v>2</v>
      </c>
      <c r="R33" s="20">
        <f t="shared" si="5"/>
        <v>10</v>
      </c>
      <c r="S33" s="20">
        <f t="shared" si="5"/>
        <v>0</v>
      </c>
      <c r="T33" s="20">
        <f t="shared" si="5"/>
        <v>0</v>
      </c>
      <c r="U33" s="20">
        <f t="shared" si="5"/>
        <v>0</v>
      </c>
      <c r="V33" s="20">
        <f t="shared" si="5"/>
        <v>0</v>
      </c>
      <c r="W33" s="20">
        <f t="shared" si="3"/>
        <v>1</v>
      </c>
    </row>
    <row r="34" spans="1:23" x14ac:dyDescent="0.15">
      <c r="A34" s="25" t="str">
        <f t="shared" si="2"/>
        <v>20003_2-2/17&lt;lv26&gt;s2</v>
      </c>
      <c r="B34" s="20">
        <f t="shared" ref="B34:Q53" si="6">VLOOKUP($A34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20003</v>
      </c>
      <c r="C34" s="20">
        <f t="shared" si="6"/>
        <v>2</v>
      </c>
      <c r="D34" s="20">
        <f t="shared" si="6"/>
        <v>2</v>
      </c>
      <c r="E34" s="20">
        <f t="shared" si="6"/>
        <v>17</v>
      </c>
      <c r="F34" s="20">
        <f t="shared" si="6"/>
        <v>26</v>
      </c>
      <c r="G34" s="20">
        <f t="shared" si="5"/>
        <v>2.2000000000000002</v>
      </c>
      <c r="H34" s="20">
        <f t="shared" si="5"/>
        <v>1</v>
      </c>
      <c r="I34" s="20">
        <f t="shared" si="5"/>
        <v>0</v>
      </c>
      <c r="J34" s="20">
        <f t="shared" si="6"/>
        <v>0</v>
      </c>
      <c r="K34" s="20">
        <f t="shared" si="6"/>
        <v>0</v>
      </c>
      <c r="L34" s="20">
        <f t="shared" si="6"/>
        <v>100</v>
      </c>
      <c r="M34" s="20">
        <f t="shared" si="6"/>
        <v>0</v>
      </c>
      <c r="N34" s="20">
        <f t="shared" si="6"/>
        <v>2</v>
      </c>
      <c r="O34" s="20">
        <f t="shared" si="6"/>
        <v>17</v>
      </c>
      <c r="P34" s="20">
        <f t="shared" si="6"/>
        <v>4</v>
      </c>
      <c r="Q34" s="20">
        <f t="shared" si="6"/>
        <v>1</v>
      </c>
      <c r="R34" s="20">
        <f t="shared" si="5"/>
        <v>15</v>
      </c>
      <c r="S34" s="20">
        <f t="shared" si="5"/>
        <v>0</v>
      </c>
      <c r="T34" s="20">
        <f t="shared" si="5"/>
        <v>0</v>
      </c>
      <c r="U34" s="20">
        <f t="shared" si="5"/>
        <v>0</v>
      </c>
      <c r="V34" s="20">
        <f t="shared" si="5"/>
        <v>0</v>
      </c>
      <c r="W34" s="20">
        <f t="shared" si="3"/>
        <v>1</v>
      </c>
    </row>
    <row r="35" spans="1:23" x14ac:dyDescent="0.15">
      <c r="A35" s="25" t="str">
        <f t="shared" si="2"/>
        <v>20003_2-2/25&lt;lv26&gt;s3</v>
      </c>
      <c r="B35" s="20">
        <f t="shared" si="6"/>
        <v>20003</v>
      </c>
      <c r="C35" s="20">
        <f t="shared" si="6"/>
        <v>2</v>
      </c>
      <c r="D35" s="20">
        <f t="shared" si="6"/>
        <v>2</v>
      </c>
      <c r="E35" s="20">
        <f t="shared" si="6"/>
        <v>25</v>
      </c>
      <c r="F35" s="20">
        <f t="shared" si="6"/>
        <v>26</v>
      </c>
      <c r="G35" s="20">
        <f t="shared" si="5"/>
        <v>2.2000000000000002</v>
      </c>
      <c r="H35" s="20">
        <f t="shared" si="5"/>
        <v>1</v>
      </c>
      <c r="I35" s="20">
        <f t="shared" si="5"/>
        <v>0</v>
      </c>
      <c r="J35" s="20">
        <f t="shared" si="6"/>
        <v>0</v>
      </c>
      <c r="K35" s="20">
        <f t="shared" si="6"/>
        <v>0</v>
      </c>
      <c r="L35" s="20">
        <f t="shared" si="6"/>
        <v>100</v>
      </c>
      <c r="M35" s="20">
        <f t="shared" si="6"/>
        <v>0</v>
      </c>
      <c r="N35" s="20">
        <f t="shared" si="6"/>
        <v>3</v>
      </c>
      <c r="O35" s="20">
        <f t="shared" si="6"/>
        <v>25</v>
      </c>
      <c r="P35" s="20">
        <f t="shared" si="6"/>
        <v>2</v>
      </c>
      <c r="Q35" s="20">
        <f t="shared" si="6"/>
        <v>1</v>
      </c>
      <c r="R35" s="20">
        <f t="shared" si="5"/>
        <v>15</v>
      </c>
      <c r="S35" s="20">
        <f t="shared" si="5"/>
        <v>0</v>
      </c>
      <c r="T35" s="20">
        <f t="shared" si="5"/>
        <v>0</v>
      </c>
      <c r="U35" s="20">
        <f t="shared" si="5"/>
        <v>0</v>
      </c>
      <c r="V35" s="20">
        <f t="shared" si="5"/>
        <v>0</v>
      </c>
      <c r="W35" s="20">
        <f t="shared" si="3"/>
        <v>1</v>
      </c>
    </row>
    <row r="36" spans="1:23" x14ac:dyDescent="0.15">
      <c r="A36" s="25" t="str">
        <f t="shared" si="2"/>
        <v>20003_2-2/45&lt;lv26&gt;s3</v>
      </c>
      <c r="B36" s="20">
        <f t="shared" si="6"/>
        <v>20003</v>
      </c>
      <c r="C36" s="20">
        <f t="shared" si="6"/>
        <v>2</v>
      </c>
      <c r="D36" s="20">
        <f t="shared" si="6"/>
        <v>2</v>
      </c>
      <c r="E36" s="20">
        <f t="shared" si="6"/>
        <v>45</v>
      </c>
      <c r="F36" s="20">
        <f t="shared" si="6"/>
        <v>26</v>
      </c>
      <c r="G36" s="20">
        <f t="shared" si="5"/>
        <v>2.2000000000000002</v>
      </c>
      <c r="H36" s="20">
        <f t="shared" si="5"/>
        <v>1</v>
      </c>
      <c r="I36" s="20">
        <f t="shared" si="5"/>
        <v>0</v>
      </c>
      <c r="J36" s="20">
        <f t="shared" si="6"/>
        <v>0</v>
      </c>
      <c r="K36" s="20">
        <f t="shared" si="6"/>
        <v>0</v>
      </c>
      <c r="L36" s="20">
        <f t="shared" si="6"/>
        <v>100</v>
      </c>
      <c r="M36" s="20">
        <f t="shared" si="6"/>
        <v>0</v>
      </c>
      <c r="N36" s="20">
        <f t="shared" si="6"/>
        <v>3</v>
      </c>
      <c r="O36" s="20">
        <f t="shared" si="6"/>
        <v>45</v>
      </c>
      <c r="P36" s="20">
        <f t="shared" si="6"/>
        <v>2</v>
      </c>
      <c r="Q36" s="20">
        <f t="shared" si="6"/>
        <v>2</v>
      </c>
      <c r="R36" s="20">
        <f t="shared" si="5"/>
        <v>15</v>
      </c>
      <c r="S36" s="20">
        <f t="shared" si="5"/>
        <v>0</v>
      </c>
      <c r="T36" s="20">
        <f t="shared" si="5"/>
        <v>0</v>
      </c>
      <c r="U36" s="20">
        <f t="shared" si="5"/>
        <v>0</v>
      </c>
      <c r="V36" s="20">
        <f t="shared" si="5"/>
        <v>0</v>
      </c>
      <c r="W36" s="20">
        <f t="shared" si="3"/>
        <v>1</v>
      </c>
    </row>
    <row r="37" spans="1:23" x14ac:dyDescent="0.15">
      <c r="A37" s="25" t="str">
        <f t="shared" si="2"/>
        <v>20003_2-2/71&lt;lv26&gt;s4</v>
      </c>
      <c r="B37" s="20">
        <f t="shared" si="6"/>
        <v>20003</v>
      </c>
      <c r="C37" s="20">
        <f t="shared" si="6"/>
        <v>2</v>
      </c>
      <c r="D37" s="20">
        <f t="shared" si="6"/>
        <v>2</v>
      </c>
      <c r="E37" s="20">
        <f t="shared" si="6"/>
        <v>71</v>
      </c>
      <c r="F37" s="20">
        <f t="shared" si="6"/>
        <v>26</v>
      </c>
      <c r="G37" s="20">
        <f t="shared" si="5"/>
        <v>2.2000000000000002</v>
      </c>
      <c r="H37" s="20">
        <f t="shared" si="5"/>
        <v>0.8</v>
      </c>
      <c r="I37" s="20">
        <f t="shared" si="5"/>
        <v>0</v>
      </c>
      <c r="J37" s="20">
        <f t="shared" si="6"/>
        <v>71</v>
      </c>
      <c r="K37" s="20">
        <f t="shared" si="6"/>
        <v>1</v>
      </c>
      <c r="L37" s="20">
        <f t="shared" si="6"/>
        <v>100</v>
      </c>
      <c r="M37" s="20">
        <f t="shared" si="6"/>
        <v>0</v>
      </c>
      <c r="N37" s="20">
        <f t="shared" si="6"/>
        <v>4</v>
      </c>
      <c r="O37" s="20">
        <f t="shared" si="6"/>
        <v>71</v>
      </c>
      <c r="P37" s="20">
        <f t="shared" si="6"/>
        <v>1</v>
      </c>
      <c r="Q37" s="20">
        <f t="shared" si="6"/>
        <v>2</v>
      </c>
      <c r="R37" s="20">
        <f t="shared" si="5"/>
        <v>10</v>
      </c>
      <c r="S37" s="20">
        <f t="shared" si="5"/>
        <v>0</v>
      </c>
      <c r="T37" s="20">
        <f t="shared" si="5"/>
        <v>0</v>
      </c>
      <c r="U37" s="20">
        <f t="shared" si="5"/>
        <v>0</v>
      </c>
      <c r="V37" s="20">
        <f t="shared" si="5"/>
        <v>0</v>
      </c>
      <c r="W37" s="20">
        <f t="shared" si="3"/>
        <v>1</v>
      </c>
    </row>
    <row r="38" spans="1:23" x14ac:dyDescent="0.15">
      <c r="A38" s="25" t="str">
        <f t="shared" si="2"/>
        <v>20003_2-3/25&lt;lv26&gt;s3</v>
      </c>
      <c r="B38" s="20">
        <f t="shared" si="6"/>
        <v>20003</v>
      </c>
      <c r="C38" s="20">
        <f t="shared" si="6"/>
        <v>2</v>
      </c>
      <c r="D38" s="20">
        <f t="shared" si="6"/>
        <v>3</v>
      </c>
      <c r="E38" s="20">
        <f t="shared" si="6"/>
        <v>25</v>
      </c>
      <c r="F38" s="20">
        <f t="shared" si="6"/>
        <v>26</v>
      </c>
      <c r="G38" s="20">
        <f t="shared" si="5"/>
        <v>2.2000000000000002</v>
      </c>
      <c r="H38" s="20">
        <f t="shared" si="5"/>
        <v>1</v>
      </c>
      <c r="I38" s="20">
        <f t="shared" si="5"/>
        <v>0</v>
      </c>
      <c r="J38" s="20">
        <f t="shared" si="6"/>
        <v>0</v>
      </c>
      <c r="K38" s="20">
        <f t="shared" si="6"/>
        <v>1</v>
      </c>
      <c r="L38" s="20">
        <f t="shared" si="6"/>
        <v>100</v>
      </c>
      <c r="M38" s="20">
        <f t="shared" si="6"/>
        <v>0</v>
      </c>
      <c r="N38" s="20">
        <f t="shared" si="6"/>
        <v>3</v>
      </c>
      <c r="O38" s="20">
        <f t="shared" si="6"/>
        <v>25</v>
      </c>
      <c r="P38" s="20">
        <f t="shared" si="6"/>
        <v>2</v>
      </c>
      <c r="Q38" s="20">
        <f t="shared" si="6"/>
        <v>1</v>
      </c>
      <c r="R38" s="20">
        <f t="shared" si="5"/>
        <v>15</v>
      </c>
      <c r="S38" s="20">
        <f t="shared" si="5"/>
        <v>0</v>
      </c>
      <c r="T38" s="20">
        <f t="shared" si="5"/>
        <v>0</v>
      </c>
      <c r="U38" s="20">
        <f t="shared" si="5"/>
        <v>0</v>
      </c>
      <c r="V38" s="20">
        <f t="shared" si="5"/>
        <v>0</v>
      </c>
      <c r="W38" s="20">
        <f t="shared" si="3"/>
        <v>1</v>
      </c>
    </row>
    <row r="39" spans="1:23" x14ac:dyDescent="0.15">
      <c r="A39" s="25" t="str">
        <f t="shared" si="2"/>
        <v>20003_2-3/61&lt;lv26&gt;s2</v>
      </c>
      <c r="B39" s="20">
        <f t="shared" si="6"/>
        <v>20003</v>
      </c>
      <c r="C39" s="20">
        <f t="shared" si="6"/>
        <v>2</v>
      </c>
      <c r="D39" s="20">
        <f t="shared" si="6"/>
        <v>3</v>
      </c>
      <c r="E39" s="20">
        <f t="shared" si="6"/>
        <v>61</v>
      </c>
      <c r="F39" s="20">
        <f t="shared" si="6"/>
        <v>26</v>
      </c>
      <c r="G39" s="20">
        <f t="shared" si="5"/>
        <v>2.2000000000000002</v>
      </c>
      <c r="H39" s="20">
        <f t="shared" si="5"/>
        <v>1</v>
      </c>
      <c r="I39" s="20">
        <f t="shared" si="5"/>
        <v>0</v>
      </c>
      <c r="J39" s="20">
        <f t="shared" si="6"/>
        <v>61</v>
      </c>
      <c r="K39" s="20">
        <f t="shared" si="6"/>
        <v>1</v>
      </c>
      <c r="L39" s="20">
        <f t="shared" si="6"/>
        <v>100</v>
      </c>
      <c r="M39" s="20">
        <f t="shared" si="6"/>
        <v>0</v>
      </c>
      <c r="N39" s="20">
        <f t="shared" si="6"/>
        <v>2</v>
      </c>
      <c r="O39" s="20">
        <f t="shared" si="6"/>
        <v>61</v>
      </c>
      <c r="P39" s="20">
        <f t="shared" si="6"/>
        <v>2</v>
      </c>
      <c r="Q39" s="20">
        <f t="shared" si="6"/>
        <v>2</v>
      </c>
      <c r="R39" s="20">
        <f t="shared" si="5"/>
        <v>15</v>
      </c>
      <c r="S39" s="20">
        <f t="shared" si="5"/>
        <v>0</v>
      </c>
      <c r="T39" s="20">
        <f t="shared" si="5"/>
        <v>0</v>
      </c>
      <c r="U39" s="20">
        <f t="shared" si="5"/>
        <v>0</v>
      </c>
      <c r="V39" s="20">
        <f t="shared" si="5"/>
        <v>0</v>
      </c>
      <c r="W39" s="20">
        <f t="shared" si="3"/>
        <v>1</v>
      </c>
    </row>
    <row r="40" spans="1:23" x14ac:dyDescent="0.15">
      <c r="A40" s="25" t="str">
        <f t="shared" si="2"/>
        <v>20003_2-3/45&lt;lv26&gt;s3</v>
      </c>
      <c r="B40" s="20">
        <f t="shared" si="6"/>
        <v>20003</v>
      </c>
      <c r="C40" s="20">
        <f t="shared" si="6"/>
        <v>2</v>
      </c>
      <c r="D40" s="20">
        <f t="shared" si="6"/>
        <v>3</v>
      </c>
      <c r="E40" s="20">
        <f t="shared" si="6"/>
        <v>45</v>
      </c>
      <c r="F40" s="20">
        <f t="shared" si="6"/>
        <v>26</v>
      </c>
      <c r="G40" s="20">
        <f t="shared" si="5"/>
        <v>2.2000000000000002</v>
      </c>
      <c r="H40" s="20">
        <f t="shared" si="5"/>
        <v>1</v>
      </c>
      <c r="I40" s="20">
        <f t="shared" si="5"/>
        <v>0</v>
      </c>
      <c r="J40" s="20">
        <f t="shared" si="6"/>
        <v>0</v>
      </c>
      <c r="K40" s="20">
        <f t="shared" si="6"/>
        <v>1</v>
      </c>
      <c r="L40" s="20">
        <f t="shared" si="6"/>
        <v>100</v>
      </c>
      <c r="M40" s="20">
        <f t="shared" si="6"/>
        <v>0</v>
      </c>
      <c r="N40" s="20">
        <f t="shared" si="6"/>
        <v>3</v>
      </c>
      <c r="O40" s="20">
        <f t="shared" si="6"/>
        <v>45</v>
      </c>
      <c r="P40" s="20">
        <f t="shared" si="6"/>
        <v>2</v>
      </c>
      <c r="Q40" s="20">
        <f t="shared" si="6"/>
        <v>2</v>
      </c>
      <c r="R40" s="20">
        <f t="shared" si="5"/>
        <v>15</v>
      </c>
      <c r="S40" s="20">
        <f t="shared" si="5"/>
        <v>0</v>
      </c>
      <c r="T40" s="20">
        <f t="shared" si="5"/>
        <v>0</v>
      </c>
      <c r="U40" s="20">
        <f t="shared" si="5"/>
        <v>0</v>
      </c>
      <c r="V40" s="20">
        <f t="shared" si="5"/>
        <v>0</v>
      </c>
      <c r="W40" s="20">
        <f t="shared" si="3"/>
        <v>1</v>
      </c>
    </row>
    <row r="41" spans="1:23" x14ac:dyDescent="0.15">
      <c r="A41" s="25" t="str">
        <f t="shared" si="2"/>
        <v>20003_2-4/17&lt;lv26&gt;s2</v>
      </c>
      <c r="B41" s="20">
        <f t="shared" si="6"/>
        <v>20003</v>
      </c>
      <c r="C41" s="20">
        <f t="shared" si="6"/>
        <v>2</v>
      </c>
      <c r="D41" s="20">
        <f t="shared" si="6"/>
        <v>4</v>
      </c>
      <c r="E41" s="20">
        <f t="shared" si="6"/>
        <v>17</v>
      </c>
      <c r="F41" s="20">
        <f t="shared" si="6"/>
        <v>26</v>
      </c>
      <c r="G41" s="20">
        <f t="shared" si="5"/>
        <v>2.2000000000000002</v>
      </c>
      <c r="H41" s="20">
        <f t="shared" si="5"/>
        <v>1</v>
      </c>
      <c r="I41" s="20">
        <f t="shared" si="5"/>
        <v>0</v>
      </c>
      <c r="J41" s="20">
        <f t="shared" si="6"/>
        <v>0</v>
      </c>
      <c r="K41" s="20">
        <f t="shared" si="6"/>
        <v>1</v>
      </c>
      <c r="L41" s="20">
        <f t="shared" si="6"/>
        <v>100</v>
      </c>
      <c r="M41" s="20">
        <f t="shared" si="6"/>
        <v>0</v>
      </c>
      <c r="N41" s="20">
        <f t="shared" si="6"/>
        <v>2</v>
      </c>
      <c r="O41" s="20">
        <f t="shared" si="6"/>
        <v>17</v>
      </c>
      <c r="P41" s="20">
        <f t="shared" si="6"/>
        <v>4</v>
      </c>
      <c r="Q41" s="20">
        <f t="shared" si="6"/>
        <v>1</v>
      </c>
      <c r="R41" s="20">
        <f t="shared" si="5"/>
        <v>15</v>
      </c>
      <c r="S41" s="20">
        <f t="shared" si="5"/>
        <v>0</v>
      </c>
      <c r="T41" s="20">
        <f t="shared" si="5"/>
        <v>0</v>
      </c>
      <c r="U41" s="20">
        <f t="shared" si="5"/>
        <v>0</v>
      </c>
      <c r="V41" s="20">
        <f t="shared" si="5"/>
        <v>0</v>
      </c>
      <c r="W41" s="20">
        <f t="shared" si="3"/>
        <v>1</v>
      </c>
    </row>
    <row r="42" spans="1:23" x14ac:dyDescent="0.15">
      <c r="A42" s="25" t="str">
        <f t="shared" si="2"/>
        <v>20003_2-4/123&lt;lv26&gt;s3</v>
      </c>
      <c r="B42" s="20">
        <f t="shared" si="6"/>
        <v>20003</v>
      </c>
      <c r="C42" s="20">
        <f t="shared" si="6"/>
        <v>2</v>
      </c>
      <c r="D42" s="20">
        <f t="shared" si="6"/>
        <v>4</v>
      </c>
      <c r="E42" s="20">
        <f t="shared" si="6"/>
        <v>123</v>
      </c>
      <c r="F42" s="20">
        <f t="shared" si="6"/>
        <v>26</v>
      </c>
      <c r="G42" s="20">
        <f t="shared" si="5"/>
        <v>2.2000000000000002</v>
      </c>
      <c r="H42" s="20">
        <f t="shared" si="5"/>
        <v>1</v>
      </c>
      <c r="I42" s="20">
        <f t="shared" si="5"/>
        <v>0</v>
      </c>
      <c r="J42" s="20">
        <f t="shared" si="6"/>
        <v>1231</v>
      </c>
      <c r="K42" s="20">
        <f t="shared" si="6"/>
        <v>1</v>
      </c>
      <c r="L42" s="20">
        <f t="shared" si="6"/>
        <v>100</v>
      </c>
      <c r="M42" s="20">
        <f t="shared" si="6"/>
        <v>1</v>
      </c>
      <c r="N42" s="20">
        <f t="shared" si="6"/>
        <v>3</v>
      </c>
      <c r="O42" s="20">
        <f t="shared" si="6"/>
        <v>123</v>
      </c>
      <c r="P42" s="20">
        <f t="shared" si="6"/>
        <v>1</v>
      </c>
      <c r="Q42" s="20">
        <f t="shared" si="6"/>
        <v>3</v>
      </c>
      <c r="R42" s="20">
        <f t="shared" si="5"/>
        <v>15</v>
      </c>
      <c r="S42" s="20">
        <f t="shared" si="5"/>
        <v>0</v>
      </c>
      <c r="T42" s="20">
        <f t="shared" si="5"/>
        <v>0</v>
      </c>
      <c r="U42" s="20">
        <f t="shared" si="5"/>
        <v>0</v>
      </c>
      <c r="V42" s="20">
        <f t="shared" si="5"/>
        <v>0</v>
      </c>
      <c r="W42" s="20">
        <f t="shared" si="3"/>
        <v>1</v>
      </c>
    </row>
    <row r="43" spans="1:23" x14ac:dyDescent="0.15">
      <c r="A43" s="25" t="str">
        <f t="shared" si="2"/>
        <v>20003_2-4/71&lt;lv26&gt;s4</v>
      </c>
      <c r="B43" s="20">
        <f t="shared" si="6"/>
        <v>20003</v>
      </c>
      <c r="C43" s="20">
        <f t="shared" si="6"/>
        <v>2</v>
      </c>
      <c r="D43" s="20">
        <f t="shared" si="6"/>
        <v>4</v>
      </c>
      <c r="E43" s="20">
        <f t="shared" si="6"/>
        <v>71</v>
      </c>
      <c r="F43" s="20">
        <f t="shared" si="6"/>
        <v>26</v>
      </c>
      <c r="G43" s="20">
        <f t="shared" si="5"/>
        <v>2.2000000000000002</v>
      </c>
      <c r="H43" s="20">
        <f t="shared" si="5"/>
        <v>0.8</v>
      </c>
      <c r="I43" s="20">
        <f t="shared" si="5"/>
        <v>0</v>
      </c>
      <c r="J43" s="20">
        <f t="shared" si="6"/>
        <v>71</v>
      </c>
      <c r="K43" s="20">
        <f t="shared" si="6"/>
        <v>1</v>
      </c>
      <c r="L43" s="20">
        <f t="shared" si="6"/>
        <v>100</v>
      </c>
      <c r="M43" s="20">
        <f t="shared" si="6"/>
        <v>0</v>
      </c>
      <c r="N43" s="20">
        <f t="shared" si="6"/>
        <v>4</v>
      </c>
      <c r="O43" s="20">
        <f t="shared" si="6"/>
        <v>71</v>
      </c>
      <c r="P43" s="20">
        <f t="shared" si="6"/>
        <v>1</v>
      </c>
      <c r="Q43" s="20">
        <f t="shared" si="6"/>
        <v>2</v>
      </c>
      <c r="R43" s="20">
        <f t="shared" si="5"/>
        <v>10</v>
      </c>
      <c r="S43" s="20">
        <f t="shared" si="5"/>
        <v>0</v>
      </c>
      <c r="T43" s="20">
        <f t="shared" si="5"/>
        <v>0</v>
      </c>
      <c r="U43" s="20">
        <f t="shared" si="5"/>
        <v>0</v>
      </c>
      <c r="V43" s="20">
        <f t="shared" si="5"/>
        <v>0</v>
      </c>
      <c r="W43" s="20">
        <f t="shared" si="3"/>
        <v>1</v>
      </c>
    </row>
    <row r="44" spans="1:23" x14ac:dyDescent="0.15">
      <c r="A44" s="25" t="str">
        <f t="shared" si="2"/>
        <v>20003_2-5/266&lt;lv37&gt;s2</v>
      </c>
      <c r="B44" s="20">
        <f t="shared" si="6"/>
        <v>20003</v>
      </c>
      <c r="C44" s="20">
        <f t="shared" si="6"/>
        <v>2</v>
      </c>
      <c r="D44" s="20">
        <f t="shared" si="6"/>
        <v>5</v>
      </c>
      <c r="E44" s="20">
        <f t="shared" si="6"/>
        <v>266</v>
      </c>
      <c r="F44" s="20">
        <f t="shared" si="6"/>
        <v>37</v>
      </c>
      <c r="G44" s="20">
        <f t="shared" si="5"/>
        <v>2.7</v>
      </c>
      <c r="H44" s="20">
        <f t="shared" si="5"/>
        <v>0.9</v>
      </c>
      <c r="I44" s="20">
        <f t="shared" si="5"/>
        <v>0</v>
      </c>
      <c r="J44" s="20">
        <f t="shared" si="6"/>
        <v>266</v>
      </c>
      <c r="K44" s="20">
        <f t="shared" si="6"/>
        <v>1</v>
      </c>
      <c r="L44" s="20">
        <f t="shared" si="6"/>
        <v>100</v>
      </c>
      <c r="M44" s="20">
        <f t="shared" si="6"/>
        <v>1</v>
      </c>
      <c r="N44" s="20">
        <f t="shared" si="6"/>
        <v>2</v>
      </c>
      <c r="O44" s="20">
        <f t="shared" si="6"/>
        <v>266</v>
      </c>
      <c r="P44" s="20">
        <f t="shared" si="6"/>
        <v>1</v>
      </c>
      <c r="Q44" s="20">
        <f t="shared" si="6"/>
        <v>3</v>
      </c>
      <c r="R44" s="20">
        <f>VLOOKUP($A44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50</v>
      </c>
      <c r="S44" s="20">
        <f t="shared" si="5"/>
        <v>0</v>
      </c>
      <c r="T44" s="20">
        <f t="shared" si="5"/>
        <v>0</v>
      </c>
      <c r="U44" s="20">
        <f t="shared" si="5"/>
        <v>0</v>
      </c>
      <c r="V44" s="20">
        <f t="shared" si="5"/>
        <v>0</v>
      </c>
      <c r="W44" s="20">
        <f t="shared" si="3"/>
        <v>1</v>
      </c>
    </row>
    <row r="45" spans="1:23" x14ac:dyDescent="0.15">
      <c r="A45" s="25" t="str">
        <f t="shared" si="2"/>
        <v>20003_3-1/6&lt;lv48&gt;s3</v>
      </c>
      <c r="B45" s="20">
        <f t="shared" si="6"/>
        <v>20003</v>
      </c>
      <c r="C45" s="20">
        <f t="shared" si="6"/>
        <v>3</v>
      </c>
      <c r="D45" s="20">
        <f t="shared" si="6"/>
        <v>1</v>
      </c>
      <c r="E45" s="20">
        <f t="shared" si="6"/>
        <v>6</v>
      </c>
      <c r="F45" s="20">
        <f t="shared" si="6"/>
        <v>48</v>
      </c>
      <c r="G45" s="20">
        <f t="shared" si="5"/>
        <v>1.9</v>
      </c>
      <c r="H45" s="20">
        <f t="shared" si="5"/>
        <v>1</v>
      </c>
      <c r="I45" s="20">
        <f t="shared" si="5"/>
        <v>0</v>
      </c>
      <c r="J45" s="20">
        <f t="shared" si="6"/>
        <v>0</v>
      </c>
      <c r="K45" s="20">
        <f t="shared" si="6"/>
        <v>0</v>
      </c>
      <c r="L45" s="20">
        <f t="shared" si="6"/>
        <v>100</v>
      </c>
      <c r="M45" s="20">
        <f t="shared" si="6"/>
        <v>0</v>
      </c>
      <c r="N45" s="20">
        <f t="shared" si="6"/>
        <v>3</v>
      </c>
      <c r="O45" s="20">
        <f t="shared" si="6"/>
        <v>6</v>
      </c>
      <c r="P45" s="20">
        <f t="shared" si="6"/>
        <v>9</v>
      </c>
      <c r="Q45" s="20">
        <f t="shared" si="6"/>
        <v>2</v>
      </c>
      <c r="R45" s="20">
        <f t="shared" si="5"/>
        <v>10</v>
      </c>
      <c r="S45" s="20">
        <f t="shared" si="5"/>
        <v>0</v>
      </c>
      <c r="T45" s="20">
        <f t="shared" si="5"/>
        <v>0</v>
      </c>
      <c r="U45" s="20">
        <f t="shared" si="5"/>
        <v>0</v>
      </c>
      <c r="V45" s="20">
        <f t="shared" si="5"/>
        <v>0</v>
      </c>
      <c r="W45" s="20">
        <f t="shared" si="3"/>
        <v>1</v>
      </c>
    </row>
    <row r="46" spans="1:23" x14ac:dyDescent="0.15">
      <c r="A46" s="25" t="str">
        <f t="shared" si="2"/>
        <v>20003_3-1/45&lt;lv40&gt;s3</v>
      </c>
      <c r="B46" s="20">
        <f t="shared" si="6"/>
        <v>20003</v>
      </c>
      <c r="C46" s="20">
        <f t="shared" si="6"/>
        <v>3</v>
      </c>
      <c r="D46" s="20">
        <f t="shared" si="6"/>
        <v>1</v>
      </c>
      <c r="E46" s="20">
        <f t="shared" si="6"/>
        <v>45</v>
      </c>
      <c r="F46" s="20">
        <f t="shared" si="6"/>
        <v>40</v>
      </c>
      <c r="G46" s="20">
        <f t="shared" si="5"/>
        <v>1.9</v>
      </c>
      <c r="H46" s="20">
        <f t="shared" si="5"/>
        <v>1.2</v>
      </c>
      <c r="I46" s="20">
        <f t="shared" si="5"/>
        <v>0</v>
      </c>
      <c r="J46" s="20">
        <f t="shared" si="6"/>
        <v>0</v>
      </c>
      <c r="K46" s="20">
        <f t="shared" si="6"/>
        <v>0</v>
      </c>
      <c r="L46" s="20">
        <f t="shared" si="6"/>
        <v>100</v>
      </c>
      <c r="M46" s="20">
        <f t="shared" si="6"/>
        <v>0</v>
      </c>
      <c r="N46" s="20">
        <f t="shared" si="6"/>
        <v>3</v>
      </c>
      <c r="O46" s="20">
        <f t="shared" si="6"/>
        <v>45</v>
      </c>
      <c r="P46" s="20">
        <f t="shared" si="6"/>
        <v>5</v>
      </c>
      <c r="Q46" s="20">
        <f t="shared" si="6"/>
        <v>2</v>
      </c>
      <c r="R46" s="20">
        <f t="shared" si="5"/>
        <v>15</v>
      </c>
      <c r="S46" s="20">
        <f t="shared" si="5"/>
        <v>0</v>
      </c>
      <c r="T46" s="20">
        <f t="shared" si="5"/>
        <v>0</v>
      </c>
      <c r="U46" s="20">
        <f t="shared" si="5"/>
        <v>0</v>
      </c>
      <c r="V46" s="20">
        <f t="shared" si="5"/>
        <v>0</v>
      </c>
      <c r="W46" s="20">
        <f t="shared" si="3"/>
        <v>1</v>
      </c>
    </row>
    <row r="47" spans="1:23" x14ac:dyDescent="0.15">
      <c r="A47" s="25" t="str">
        <f t="shared" si="2"/>
        <v>20003_3-1/53&lt;lv40&gt;s2</v>
      </c>
      <c r="B47" s="20">
        <f t="shared" si="6"/>
        <v>20003</v>
      </c>
      <c r="C47" s="20">
        <f t="shared" si="6"/>
        <v>3</v>
      </c>
      <c r="D47" s="20">
        <f t="shared" si="6"/>
        <v>1</v>
      </c>
      <c r="E47" s="20">
        <f t="shared" si="6"/>
        <v>53</v>
      </c>
      <c r="F47" s="20">
        <f t="shared" si="6"/>
        <v>40</v>
      </c>
      <c r="G47" s="20">
        <f t="shared" si="5"/>
        <v>1.9</v>
      </c>
      <c r="H47" s="20">
        <f t="shared" si="5"/>
        <v>0.9</v>
      </c>
      <c r="I47" s="20">
        <f t="shared" si="5"/>
        <v>0</v>
      </c>
      <c r="J47" s="20">
        <f t="shared" si="6"/>
        <v>2666</v>
      </c>
      <c r="K47" s="20">
        <f t="shared" si="6"/>
        <v>1</v>
      </c>
      <c r="L47" s="20">
        <f t="shared" si="6"/>
        <v>100</v>
      </c>
      <c r="M47" s="20">
        <f t="shared" si="6"/>
        <v>0</v>
      </c>
      <c r="N47" s="20">
        <f t="shared" si="6"/>
        <v>2</v>
      </c>
      <c r="O47" s="20">
        <f t="shared" si="6"/>
        <v>53</v>
      </c>
      <c r="P47" s="20">
        <f t="shared" si="6"/>
        <v>5</v>
      </c>
      <c r="Q47" s="20">
        <f t="shared" si="6"/>
        <v>2</v>
      </c>
      <c r="R47" s="20">
        <f t="shared" si="5"/>
        <v>15</v>
      </c>
      <c r="S47" s="20">
        <f t="shared" si="5"/>
        <v>0</v>
      </c>
      <c r="T47" s="20">
        <f t="shared" si="5"/>
        <v>0</v>
      </c>
      <c r="U47" s="20">
        <f t="shared" si="5"/>
        <v>0</v>
      </c>
      <c r="V47" s="20">
        <f t="shared" si="5"/>
        <v>0</v>
      </c>
      <c r="W47" s="20">
        <f t="shared" si="3"/>
        <v>1</v>
      </c>
    </row>
    <row r="48" spans="1:23" x14ac:dyDescent="0.15">
      <c r="A48" s="25" t="str">
        <f t="shared" si="2"/>
        <v>20003_3-1/29&lt;lv40&gt;s2</v>
      </c>
      <c r="B48" s="20">
        <f t="shared" si="6"/>
        <v>20003</v>
      </c>
      <c r="C48" s="20">
        <f t="shared" si="6"/>
        <v>3</v>
      </c>
      <c r="D48" s="20">
        <f t="shared" si="6"/>
        <v>1</v>
      </c>
      <c r="E48" s="20">
        <f t="shared" si="6"/>
        <v>29</v>
      </c>
      <c r="F48" s="20">
        <f t="shared" si="6"/>
        <v>40</v>
      </c>
      <c r="G48" s="20">
        <f t="shared" si="5"/>
        <v>1.9</v>
      </c>
      <c r="H48" s="20">
        <f t="shared" si="5"/>
        <v>1.2</v>
      </c>
      <c r="I48" s="20">
        <f t="shared" si="5"/>
        <v>0</v>
      </c>
      <c r="J48" s="20">
        <f t="shared" si="6"/>
        <v>0</v>
      </c>
      <c r="K48" s="20">
        <f t="shared" si="6"/>
        <v>0</v>
      </c>
      <c r="L48" s="20">
        <f t="shared" si="6"/>
        <v>100</v>
      </c>
      <c r="M48" s="20">
        <f t="shared" si="6"/>
        <v>0</v>
      </c>
      <c r="N48" s="20">
        <f t="shared" si="6"/>
        <v>2</v>
      </c>
      <c r="O48" s="20">
        <f t="shared" si="6"/>
        <v>29</v>
      </c>
      <c r="P48" s="20">
        <f t="shared" si="6"/>
        <v>5</v>
      </c>
      <c r="Q48" s="20">
        <f t="shared" si="6"/>
        <v>1</v>
      </c>
      <c r="R48" s="20">
        <f t="shared" si="5"/>
        <v>15</v>
      </c>
      <c r="S48" s="20">
        <f t="shared" si="5"/>
        <v>0</v>
      </c>
      <c r="T48" s="20">
        <f t="shared" si="5"/>
        <v>0</v>
      </c>
      <c r="U48" s="20">
        <f t="shared" si="5"/>
        <v>0</v>
      </c>
      <c r="V48" s="20">
        <f t="shared" si="5"/>
        <v>0</v>
      </c>
      <c r="W48" s="20">
        <f t="shared" si="3"/>
        <v>1</v>
      </c>
    </row>
    <row r="49" spans="1:23" x14ac:dyDescent="0.15">
      <c r="A49" s="25" t="str">
        <f t="shared" si="2"/>
        <v>20003_3-1/71&lt;lv40&gt;s4</v>
      </c>
      <c r="B49" s="20">
        <f t="shared" si="6"/>
        <v>20003</v>
      </c>
      <c r="C49" s="20">
        <f t="shared" si="6"/>
        <v>3</v>
      </c>
      <c r="D49" s="20">
        <f t="shared" si="6"/>
        <v>1</v>
      </c>
      <c r="E49" s="20">
        <f t="shared" si="6"/>
        <v>71</v>
      </c>
      <c r="F49" s="20">
        <f t="shared" si="6"/>
        <v>40</v>
      </c>
      <c r="G49" s="20">
        <f t="shared" si="5"/>
        <v>2.2999999999999998</v>
      </c>
      <c r="H49" s="20">
        <f t="shared" si="5"/>
        <v>0.9</v>
      </c>
      <c r="I49" s="20">
        <f t="shared" si="5"/>
        <v>0</v>
      </c>
      <c r="J49" s="20">
        <f t="shared" si="6"/>
        <v>71</v>
      </c>
      <c r="K49" s="20">
        <f t="shared" si="6"/>
        <v>0</v>
      </c>
      <c r="L49" s="20">
        <f t="shared" si="6"/>
        <v>100</v>
      </c>
      <c r="M49" s="20">
        <f t="shared" si="6"/>
        <v>0</v>
      </c>
      <c r="N49" s="20">
        <f t="shared" si="6"/>
        <v>4</v>
      </c>
      <c r="O49" s="20">
        <f t="shared" si="6"/>
        <v>71</v>
      </c>
      <c r="P49" s="20">
        <f t="shared" si="6"/>
        <v>3</v>
      </c>
      <c r="Q49" s="20">
        <f t="shared" si="6"/>
        <v>2</v>
      </c>
      <c r="R49" s="20">
        <f t="shared" si="5"/>
        <v>10</v>
      </c>
      <c r="S49" s="20">
        <f t="shared" si="5"/>
        <v>0</v>
      </c>
      <c r="T49" s="20">
        <f t="shared" si="5"/>
        <v>0</v>
      </c>
      <c r="U49" s="20">
        <f t="shared" si="5"/>
        <v>0</v>
      </c>
      <c r="V49" s="20">
        <f t="shared" si="5"/>
        <v>0</v>
      </c>
      <c r="W49" s="20">
        <f t="shared" si="3"/>
        <v>1</v>
      </c>
    </row>
    <row r="50" spans="1:23" x14ac:dyDescent="0.15">
      <c r="A50" s="25" t="str">
        <f t="shared" si="2"/>
        <v>20003_3-2/6&lt;lv40&gt;s3</v>
      </c>
      <c r="B50" s="20">
        <f t="shared" si="6"/>
        <v>20003</v>
      </c>
      <c r="C50" s="20">
        <f t="shared" si="6"/>
        <v>3</v>
      </c>
      <c r="D50" s="20">
        <f t="shared" si="6"/>
        <v>2</v>
      </c>
      <c r="E50" s="20">
        <f t="shared" si="6"/>
        <v>6</v>
      </c>
      <c r="F50" s="20">
        <f t="shared" si="6"/>
        <v>40</v>
      </c>
      <c r="G50" s="20">
        <f t="shared" si="5"/>
        <v>1.9</v>
      </c>
      <c r="H50" s="20">
        <f t="shared" si="5"/>
        <v>1.2</v>
      </c>
      <c r="I50" s="20">
        <f t="shared" si="5"/>
        <v>0</v>
      </c>
      <c r="J50" s="20">
        <f t="shared" si="6"/>
        <v>0</v>
      </c>
      <c r="K50" s="20">
        <f t="shared" si="6"/>
        <v>0</v>
      </c>
      <c r="L50" s="20">
        <f t="shared" si="6"/>
        <v>100</v>
      </c>
      <c r="M50" s="20">
        <f t="shared" si="6"/>
        <v>0</v>
      </c>
      <c r="N50" s="20">
        <f t="shared" si="6"/>
        <v>3</v>
      </c>
      <c r="O50" s="20">
        <f t="shared" si="6"/>
        <v>6</v>
      </c>
      <c r="P50" s="20">
        <f t="shared" si="6"/>
        <v>9</v>
      </c>
      <c r="Q50" s="20">
        <f t="shared" si="6"/>
        <v>2</v>
      </c>
      <c r="R50" s="20">
        <f t="shared" si="5"/>
        <v>10</v>
      </c>
      <c r="S50" s="20">
        <f t="shared" si="5"/>
        <v>0</v>
      </c>
      <c r="T50" s="20">
        <f t="shared" si="5"/>
        <v>0</v>
      </c>
      <c r="U50" s="20">
        <f t="shared" si="5"/>
        <v>0</v>
      </c>
      <c r="V50" s="20">
        <f t="shared" si="5"/>
        <v>0</v>
      </c>
      <c r="W50" s="20">
        <f t="shared" si="3"/>
        <v>1</v>
      </c>
    </row>
    <row r="51" spans="1:23" x14ac:dyDescent="0.15">
      <c r="A51" s="25" t="str">
        <f t="shared" si="2"/>
        <v>20003_3-2/45&lt;lv40&gt;s3</v>
      </c>
      <c r="B51" s="20">
        <f t="shared" si="6"/>
        <v>20003</v>
      </c>
      <c r="C51" s="20">
        <f t="shared" si="6"/>
        <v>3</v>
      </c>
      <c r="D51" s="20">
        <f t="shared" si="6"/>
        <v>2</v>
      </c>
      <c r="E51" s="20">
        <f t="shared" si="6"/>
        <v>45</v>
      </c>
      <c r="F51" s="20">
        <f t="shared" si="6"/>
        <v>40</v>
      </c>
      <c r="G51" s="20">
        <f t="shared" si="5"/>
        <v>1.9</v>
      </c>
      <c r="H51" s="20">
        <f t="shared" si="5"/>
        <v>1.2</v>
      </c>
      <c r="I51" s="20">
        <f t="shared" si="5"/>
        <v>0</v>
      </c>
      <c r="J51" s="20">
        <f t="shared" si="6"/>
        <v>0</v>
      </c>
      <c r="K51" s="20">
        <f t="shared" si="6"/>
        <v>1</v>
      </c>
      <c r="L51" s="20">
        <f t="shared" si="6"/>
        <v>100</v>
      </c>
      <c r="M51" s="20">
        <f t="shared" si="6"/>
        <v>0</v>
      </c>
      <c r="N51" s="20">
        <f t="shared" si="6"/>
        <v>3</v>
      </c>
      <c r="O51" s="20">
        <f t="shared" si="6"/>
        <v>45</v>
      </c>
      <c r="P51" s="20">
        <f t="shared" si="6"/>
        <v>5</v>
      </c>
      <c r="Q51" s="20">
        <f t="shared" si="6"/>
        <v>2</v>
      </c>
      <c r="R51" s="20">
        <f t="shared" si="5"/>
        <v>15</v>
      </c>
      <c r="S51" s="20">
        <f t="shared" si="5"/>
        <v>0</v>
      </c>
      <c r="T51" s="20">
        <f t="shared" si="5"/>
        <v>0</v>
      </c>
      <c r="U51" s="20">
        <f t="shared" si="5"/>
        <v>0</v>
      </c>
      <c r="V51" s="20">
        <f t="shared" si="5"/>
        <v>0</v>
      </c>
      <c r="W51" s="20">
        <f t="shared" si="3"/>
        <v>1</v>
      </c>
    </row>
    <row r="52" spans="1:23" x14ac:dyDescent="0.15">
      <c r="A52" s="25" t="str">
        <f t="shared" si="2"/>
        <v>20003_3-2/53&lt;lv40&gt;s2</v>
      </c>
      <c r="B52" s="20">
        <f t="shared" si="6"/>
        <v>20003</v>
      </c>
      <c r="C52" s="20">
        <f t="shared" si="6"/>
        <v>3</v>
      </c>
      <c r="D52" s="20">
        <f t="shared" si="6"/>
        <v>2</v>
      </c>
      <c r="E52" s="20">
        <f t="shared" si="6"/>
        <v>53</v>
      </c>
      <c r="F52" s="20">
        <f t="shared" si="6"/>
        <v>40</v>
      </c>
      <c r="G52" s="20">
        <f t="shared" si="5"/>
        <v>1.9</v>
      </c>
      <c r="H52" s="20">
        <f t="shared" si="5"/>
        <v>0.9</v>
      </c>
      <c r="I52" s="20">
        <f t="shared" si="5"/>
        <v>0</v>
      </c>
      <c r="J52" s="20">
        <f t="shared" si="6"/>
        <v>2666</v>
      </c>
      <c r="K52" s="20">
        <f t="shared" si="6"/>
        <v>0</v>
      </c>
      <c r="L52" s="20">
        <f t="shared" si="6"/>
        <v>100</v>
      </c>
      <c r="M52" s="20">
        <f t="shared" si="6"/>
        <v>0</v>
      </c>
      <c r="N52" s="20">
        <f t="shared" si="6"/>
        <v>2</v>
      </c>
      <c r="O52" s="20">
        <f t="shared" si="6"/>
        <v>53</v>
      </c>
      <c r="P52" s="20">
        <f t="shared" si="6"/>
        <v>5</v>
      </c>
      <c r="Q52" s="20">
        <f t="shared" si="6"/>
        <v>2</v>
      </c>
      <c r="R52" s="20">
        <f t="shared" si="5"/>
        <v>15</v>
      </c>
      <c r="S52" s="20">
        <f t="shared" si="5"/>
        <v>0</v>
      </c>
      <c r="T52" s="20">
        <f t="shared" si="5"/>
        <v>0</v>
      </c>
      <c r="U52" s="20">
        <f t="shared" si="5"/>
        <v>0</v>
      </c>
      <c r="V52" s="20">
        <f t="shared" si="5"/>
        <v>0</v>
      </c>
      <c r="W52" s="20">
        <f t="shared" si="3"/>
        <v>1</v>
      </c>
    </row>
    <row r="53" spans="1:23" x14ac:dyDescent="0.15">
      <c r="A53" s="25" t="str">
        <f t="shared" si="2"/>
        <v>20003_3-2/29&lt;lv40&gt;s2</v>
      </c>
      <c r="B53" s="20">
        <f t="shared" si="6"/>
        <v>20003</v>
      </c>
      <c r="C53" s="20">
        <f t="shared" si="6"/>
        <v>3</v>
      </c>
      <c r="D53" s="20">
        <f t="shared" si="6"/>
        <v>2</v>
      </c>
      <c r="E53" s="20">
        <f t="shared" si="6"/>
        <v>29</v>
      </c>
      <c r="F53" s="20">
        <f t="shared" si="6"/>
        <v>40</v>
      </c>
      <c r="G53" s="20">
        <f t="shared" si="5"/>
        <v>1.9</v>
      </c>
      <c r="H53" s="20">
        <f t="shared" si="5"/>
        <v>1.2</v>
      </c>
      <c r="I53" s="20">
        <f t="shared" si="5"/>
        <v>0</v>
      </c>
      <c r="J53" s="20">
        <f t="shared" si="6"/>
        <v>0</v>
      </c>
      <c r="K53" s="20">
        <f t="shared" si="6"/>
        <v>0</v>
      </c>
      <c r="L53" s="20">
        <f t="shared" si="6"/>
        <v>100</v>
      </c>
      <c r="M53" s="20">
        <f t="shared" ref="M53:W61" si="7">VLOOKUP($A53,OFFSET(INDIRECT($C$1&amp;"!$A1"),0,0,COUNTA(INDIRECT($C$1&amp;"!$A:$A"))+1,MATCH(M$2,INDIRECT($C$1&amp;"!"&amp;$B$1),0)-MATCH($A$2,INDIRECT($C$1&amp;"!"&amp;$B$1),0)+1),MATCH(M$2,INDIRECT($C$1&amp;"!"&amp;$B$1),0)-MATCH($A$2,INDIRECT($C$1&amp;"!"&amp;$B$1),0)+1,FALSE)</f>
        <v>0</v>
      </c>
      <c r="N53" s="20">
        <f t="shared" si="7"/>
        <v>2</v>
      </c>
      <c r="O53" s="20">
        <f t="shared" si="7"/>
        <v>29</v>
      </c>
      <c r="P53" s="20">
        <f t="shared" si="7"/>
        <v>5</v>
      </c>
      <c r="Q53" s="20">
        <f t="shared" si="7"/>
        <v>1</v>
      </c>
      <c r="R53" s="20">
        <f t="shared" si="7"/>
        <v>15</v>
      </c>
      <c r="S53" s="20">
        <f t="shared" si="7"/>
        <v>0</v>
      </c>
      <c r="T53" s="20">
        <f t="shared" si="7"/>
        <v>0</v>
      </c>
      <c r="U53" s="20">
        <f t="shared" si="7"/>
        <v>0</v>
      </c>
      <c r="V53" s="20">
        <f t="shared" si="7"/>
        <v>0</v>
      </c>
      <c r="W53" s="20">
        <f t="shared" si="7"/>
        <v>1</v>
      </c>
    </row>
    <row r="54" spans="1:23" x14ac:dyDescent="0.15">
      <c r="A54" s="25" t="str">
        <f t="shared" si="2"/>
        <v>20003_3-2/71&lt;lv40&gt;s4</v>
      </c>
      <c r="B54" s="20">
        <f t="shared" ref="B54:Q61" si="8">VLOOKUP($A54,OFFSET(INDIRECT($C$1&amp;"!$A1"),0,0,COUNTA(INDIRECT($C$1&amp;"!$A:$A"))+1,MATCH(B$2,INDIRECT($C$1&amp;"!"&amp;$B$1),0)-MATCH($A$2,INDIRECT($C$1&amp;"!"&amp;$B$1),0)+1),MATCH(B$2,INDIRECT($C$1&amp;"!"&amp;$B$1),0)-MATCH($A$2,INDIRECT($C$1&amp;"!"&amp;$B$1),0)+1,FALSE)</f>
        <v>20003</v>
      </c>
      <c r="C54" s="20">
        <f t="shared" si="8"/>
        <v>3</v>
      </c>
      <c r="D54" s="20">
        <f t="shared" si="8"/>
        <v>2</v>
      </c>
      <c r="E54" s="20">
        <f t="shared" si="8"/>
        <v>71</v>
      </c>
      <c r="F54" s="20">
        <f t="shared" si="8"/>
        <v>40</v>
      </c>
      <c r="G54" s="20">
        <f t="shared" si="5"/>
        <v>2.2999999999999998</v>
      </c>
      <c r="H54" s="20">
        <f t="shared" si="5"/>
        <v>0.9</v>
      </c>
      <c r="I54" s="20">
        <f t="shared" si="5"/>
        <v>0</v>
      </c>
      <c r="J54" s="20">
        <f t="shared" si="8"/>
        <v>71</v>
      </c>
      <c r="K54" s="20">
        <f t="shared" si="8"/>
        <v>1</v>
      </c>
      <c r="L54" s="20">
        <f t="shared" si="8"/>
        <v>100</v>
      </c>
      <c r="M54" s="20">
        <f t="shared" si="8"/>
        <v>0</v>
      </c>
      <c r="N54" s="20">
        <f t="shared" si="8"/>
        <v>4</v>
      </c>
      <c r="O54" s="20">
        <f t="shared" si="8"/>
        <v>71</v>
      </c>
      <c r="P54" s="20">
        <f t="shared" si="8"/>
        <v>3</v>
      </c>
      <c r="Q54" s="20">
        <f t="shared" si="8"/>
        <v>2</v>
      </c>
      <c r="R54" s="20">
        <f t="shared" si="7"/>
        <v>10</v>
      </c>
      <c r="S54" s="20">
        <f t="shared" si="7"/>
        <v>0</v>
      </c>
      <c r="T54" s="20">
        <f t="shared" si="7"/>
        <v>0</v>
      </c>
      <c r="U54" s="20">
        <f t="shared" si="7"/>
        <v>0</v>
      </c>
      <c r="V54" s="20">
        <f t="shared" si="7"/>
        <v>0</v>
      </c>
      <c r="W54" s="20">
        <f t="shared" si="7"/>
        <v>1</v>
      </c>
    </row>
    <row r="55" spans="1:23" x14ac:dyDescent="0.15">
      <c r="A55" s="25" t="str">
        <f t="shared" si="2"/>
        <v>20003_3-3/61&lt;lv40&gt;s2</v>
      </c>
      <c r="B55" s="20">
        <f t="shared" si="8"/>
        <v>20003</v>
      </c>
      <c r="C55" s="20">
        <f t="shared" si="8"/>
        <v>3</v>
      </c>
      <c r="D55" s="20">
        <f t="shared" si="8"/>
        <v>3</v>
      </c>
      <c r="E55" s="20">
        <f t="shared" si="8"/>
        <v>61</v>
      </c>
      <c r="F55" s="20">
        <f t="shared" si="8"/>
        <v>40</v>
      </c>
      <c r="G55" s="20">
        <f t="shared" si="5"/>
        <v>1.9</v>
      </c>
      <c r="H55" s="20">
        <f t="shared" si="5"/>
        <v>1.2</v>
      </c>
      <c r="I55" s="20">
        <f t="shared" si="5"/>
        <v>0</v>
      </c>
      <c r="J55" s="20">
        <f t="shared" si="8"/>
        <v>61</v>
      </c>
      <c r="K55" s="20">
        <f t="shared" si="8"/>
        <v>1</v>
      </c>
      <c r="L55" s="20">
        <f t="shared" si="8"/>
        <v>100</v>
      </c>
      <c r="M55" s="20">
        <f t="shared" si="8"/>
        <v>0</v>
      </c>
      <c r="N55" s="20">
        <f t="shared" si="8"/>
        <v>2</v>
      </c>
      <c r="O55" s="20">
        <f t="shared" si="8"/>
        <v>61</v>
      </c>
      <c r="P55" s="20">
        <f t="shared" si="8"/>
        <v>5</v>
      </c>
      <c r="Q55" s="20">
        <f t="shared" si="8"/>
        <v>2</v>
      </c>
      <c r="R55" s="20">
        <f t="shared" si="7"/>
        <v>15</v>
      </c>
      <c r="S55" s="20">
        <f t="shared" si="7"/>
        <v>0</v>
      </c>
      <c r="T55" s="20">
        <f t="shared" si="7"/>
        <v>0</v>
      </c>
      <c r="U55" s="20">
        <f t="shared" si="7"/>
        <v>0</v>
      </c>
      <c r="V55" s="20">
        <f t="shared" si="7"/>
        <v>0</v>
      </c>
      <c r="W55" s="20">
        <f t="shared" si="7"/>
        <v>1</v>
      </c>
    </row>
    <row r="56" spans="1:23" x14ac:dyDescent="0.15">
      <c r="A56" s="25" t="str">
        <f t="shared" si="2"/>
        <v>20003_3-3/45&lt;lv40&gt;s3</v>
      </c>
      <c r="B56" s="20">
        <f t="shared" si="8"/>
        <v>20003</v>
      </c>
      <c r="C56" s="20">
        <f t="shared" si="8"/>
        <v>3</v>
      </c>
      <c r="D56" s="20">
        <f t="shared" si="8"/>
        <v>3</v>
      </c>
      <c r="E56" s="20">
        <f t="shared" si="8"/>
        <v>45</v>
      </c>
      <c r="F56" s="20">
        <f t="shared" si="8"/>
        <v>40</v>
      </c>
      <c r="G56" s="20">
        <f t="shared" si="5"/>
        <v>1.9</v>
      </c>
      <c r="H56" s="20">
        <f t="shared" si="5"/>
        <v>1.2</v>
      </c>
      <c r="I56" s="20">
        <f t="shared" si="5"/>
        <v>0</v>
      </c>
      <c r="J56" s="20">
        <f t="shared" si="8"/>
        <v>0</v>
      </c>
      <c r="K56" s="20">
        <f t="shared" si="8"/>
        <v>1</v>
      </c>
      <c r="L56" s="20">
        <f t="shared" si="8"/>
        <v>100</v>
      </c>
      <c r="M56" s="20">
        <f t="shared" si="8"/>
        <v>0</v>
      </c>
      <c r="N56" s="20">
        <f t="shared" si="8"/>
        <v>3</v>
      </c>
      <c r="O56" s="20">
        <f t="shared" si="8"/>
        <v>45</v>
      </c>
      <c r="P56" s="20">
        <f t="shared" si="8"/>
        <v>5</v>
      </c>
      <c r="Q56" s="20">
        <f t="shared" si="8"/>
        <v>2</v>
      </c>
      <c r="R56" s="20">
        <f t="shared" si="7"/>
        <v>15</v>
      </c>
      <c r="S56" s="20">
        <f t="shared" si="7"/>
        <v>0</v>
      </c>
      <c r="T56" s="20">
        <f t="shared" si="7"/>
        <v>0</v>
      </c>
      <c r="U56" s="20">
        <f t="shared" si="7"/>
        <v>0</v>
      </c>
      <c r="V56" s="20">
        <f t="shared" si="7"/>
        <v>0</v>
      </c>
      <c r="W56" s="20">
        <f t="shared" si="7"/>
        <v>1</v>
      </c>
    </row>
    <row r="57" spans="1:23" x14ac:dyDescent="0.15">
      <c r="A57" s="25" t="str">
        <f t="shared" si="2"/>
        <v>20003_3-3/53&lt;lv40&gt;s2</v>
      </c>
      <c r="B57" s="20">
        <f t="shared" si="8"/>
        <v>20003</v>
      </c>
      <c r="C57" s="20">
        <f t="shared" si="8"/>
        <v>3</v>
      </c>
      <c r="D57" s="20">
        <f t="shared" si="8"/>
        <v>3</v>
      </c>
      <c r="E57" s="20">
        <f t="shared" si="8"/>
        <v>53</v>
      </c>
      <c r="F57" s="20">
        <f t="shared" si="8"/>
        <v>40</v>
      </c>
      <c r="G57" s="20">
        <f t="shared" si="5"/>
        <v>1.9</v>
      </c>
      <c r="H57" s="20">
        <f t="shared" si="5"/>
        <v>0.9</v>
      </c>
      <c r="I57" s="20">
        <f t="shared" si="5"/>
        <v>0</v>
      </c>
      <c r="J57" s="20">
        <f t="shared" si="8"/>
        <v>2666</v>
      </c>
      <c r="K57" s="20">
        <f t="shared" si="8"/>
        <v>1</v>
      </c>
      <c r="L57" s="20">
        <f t="shared" si="8"/>
        <v>100</v>
      </c>
      <c r="M57" s="20">
        <f t="shared" si="8"/>
        <v>0</v>
      </c>
      <c r="N57" s="20">
        <f t="shared" si="8"/>
        <v>2</v>
      </c>
      <c r="O57" s="20">
        <f t="shared" si="8"/>
        <v>53</v>
      </c>
      <c r="P57" s="20">
        <f t="shared" si="8"/>
        <v>5</v>
      </c>
      <c r="Q57" s="20">
        <f t="shared" si="8"/>
        <v>2</v>
      </c>
      <c r="R57" s="20">
        <f t="shared" si="7"/>
        <v>15</v>
      </c>
      <c r="S57" s="20">
        <f t="shared" si="7"/>
        <v>0</v>
      </c>
      <c r="T57" s="20">
        <f t="shared" si="7"/>
        <v>0</v>
      </c>
      <c r="U57" s="20">
        <f t="shared" si="7"/>
        <v>0</v>
      </c>
      <c r="V57" s="20">
        <f t="shared" si="7"/>
        <v>0</v>
      </c>
      <c r="W57" s="20">
        <f t="shared" si="7"/>
        <v>1</v>
      </c>
    </row>
    <row r="58" spans="1:23" x14ac:dyDescent="0.15">
      <c r="A58" s="25" t="str">
        <f t="shared" si="2"/>
        <v>20003_3-4/29&lt;lv40&gt;s2</v>
      </c>
      <c r="B58" s="20">
        <f t="shared" si="8"/>
        <v>20003</v>
      </c>
      <c r="C58" s="20">
        <f t="shared" si="8"/>
        <v>3</v>
      </c>
      <c r="D58" s="20">
        <f t="shared" si="8"/>
        <v>4</v>
      </c>
      <c r="E58" s="20">
        <f t="shared" si="8"/>
        <v>29</v>
      </c>
      <c r="F58" s="20">
        <f t="shared" si="8"/>
        <v>40</v>
      </c>
      <c r="G58" s="20">
        <f t="shared" si="5"/>
        <v>1.9</v>
      </c>
      <c r="H58" s="20">
        <f t="shared" si="5"/>
        <v>1.2</v>
      </c>
      <c r="I58" s="20">
        <f t="shared" si="5"/>
        <v>0</v>
      </c>
      <c r="J58" s="20">
        <f t="shared" si="8"/>
        <v>0</v>
      </c>
      <c r="K58" s="20">
        <f t="shared" si="8"/>
        <v>1</v>
      </c>
      <c r="L58" s="20">
        <f t="shared" si="8"/>
        <v>50</v>
      </c>
      <c r="M58" s="20">
        <f t="shared" si="8"/>
        <v>0</v>
      </c>
      <c r="N58" s="20">
        <f t="shared" si="8"/>
        <v>2</v>
      </c>
      <c r="O58" s="20">
        <f t="shared" si="8"/>
        <v>29</v>
      </c>
      <c r="P58" s="20">
        <f t="shared" si="8"/>
        <v>5</v>
      </c>
      <c r="Q58" s="20">
        <f t="shared" si="8"/>
        <v>1</v>
      </c>
      <c r="R58" s="20">
        <f t="shared" si="7"/>
        <v>15</v>
      </c>
      <c r="S58" s="20">
        <f t="shared" si="7"/>
        <v>0</v>
      </c>
      <c r="T58" s="20">
        <f t="shared" si="7"/>
        <v>0</v>
      </c>
      <c r="U58" s="20">
        <f t="shared" si="7"/>
        <v>0</v>
      </c>
      <c r="V58" s="20">
        <f t="shared" si="7"/>
        <v>0</v>
      </c>
      <c r="W58" s="20">
        <f t="shared" si="7"/>
        <v>1</v>
      </c>
    </row>
    <row r="59" spans="1:23" x14ac:dyDescent="0.15">
      <c r="A59" s="25" t="str">
        <f t="shared" si="2"/>
        <v>20003_3-4/71&lt;lv40&gt;s4</v>
      </c>
      <c r="B59" s="20">
        <f t="shared" si="8"/>
        <v>20003</v>
      </c>
      <c r="C59" s="20">
        <f t="shared" si="8"/>
        <v>3</v>
      </c>
      <c r="D59" s="20">
        <f t="shared" si="8"/>
        <v>4</v>
      </c>
      <c r="E59" s="20">
        <f t="shared" si="8"/>
        <v>71</v>
      </c>
      <c r="F59" s="20">
        <f t="shared" si="8"/>
        <v>40</v>
      </c>
      <c r="G59" s="20">
        <f t="shared" si="5"/>
        <v>2.2999999999999998</v>
      </c>
      <c r="H59" s="20">
        <f t="shared" si="5"/>
        <v>0.9</v>
      </c>
      <c r="I59" s="20">
        <f t="shared" si="5"/>
        <v>0</v>
      </c>
      <c r="J59" s="20">
        <f>VLOOKUP($A59,OFFSET(INDIRECT($C$1&amp;"!$A1"),0,0,COUNTA(INDIRECT($C$1&amp;"!$A:$A"))+1,MATCH(J$2,INDIRECT($C$1&amp;"!"&amp;$B$1),0)-MATCH($A$2,INDIRECT($C$1&amp;"!"&amp;$B$1),0)+1),MATCH(J$2,INDIRECT($C$1&amp;"!"&amp;$B$1),0)-MATCH($A$2,INDIRECT($C$1&amp;"!"&amp;$B$1),0)+1,FALSE)</f>
        <v>71</v>
      </c>
      <c r="K59" s="20">
        <f t="shared" si="8"/>
        <v>1</v>
      </c>
      <c r="L59" s="20">
        <f t="shared" si="8"/>
        <v>100</v>
      </c>
      <c r="M59" s="20">
        <f t="shared" si="8"/>
        <v>0</v>
      </c>
      <c r="N59" s="20">
        <f t="shared" si="8"/>
        <v>4</v>
      </c>
      <c r="O59" s="20">
        <f t="shared" si="8"/>
        <v>71</v>
      </c>
      <c r="P59" s="20">
        <f t="shared" si="8"/>
        <v>3</v>
      </c>
      <c r="Q59" s="20">
        <f t="shared" si="8"/>
        <v>2</v>
      </c>
      <c r="R59" s="20">
        <f t="shared" si="7"/>
        <v>10</v>
      </c>
      <c r="S59" s="20">
        <f t="shared" si="7"/>
        <v>0</v>
      </c>
      <c r="T59" s="20">
        <f t="shared" si="7"/>
        <v>0</v>
      </c>
      <c r="U59" s="20">
        <f t="shared" si="7"/>
        <v>0</v>
      </c>
      <c r="V59" s="20">
        <f t="shared" si="7"/>
        <v>0</v>
      </c>
      <c r="W59" s="20">
        <f t="shared" si="7"/>
        <v>1</v>
      </c>
    </row>
    <row r="60" spans="1:23" x14ac:dyDescent="0.15">
      <c r="A60" s="25" t="str">
        <f t="shared" si="2"/>
        <v>20003_3-4/123&lt;lv40&gt;s3</v>
      </c>
      <c r="B60" s="20">
        <f t="shared" si="8"/>
        <v>20003</v>
      </c>
      <c r="C60" s="20">
        <f t="shared" si="8"/>
        <v>3</v>
      </c>
      <c r="D60" s="20">
        <f t="shared" si="8"/>
        <v>4</v>
      </c>
      <c r="E60" s="20">
        <f t="shared" si="8"/>
        <v>123</v>
      </c>
      <c r="F60" s="20">
        <f t="shared" si="8"/>
        <v>40</v>
      </c>
      <c r="G60" s="20">
        <f t="shared" si="5"/>
        <v>0.8</v>
      </c>
      <c r="H60" s="20">
        <f t="shared" si="5"/>
        <v>1.2</v>
      </c>
      <c r="I60" s="20">
        <f t="shared" si="5"/>
        <v>0</v>
      </c>
      <c r="J60" s="20">
        <f t="shared" si="8"/>
        <v>1231</v>
      </c>
      <c r="K60" s="20">
        <f t="shared" si="8"/>
        <v>1</v>
      </c>
      <c r="L60" s="20">
        <f t="shared" si="8"/>
        <v>100</v>
      </c>
      <c r="M60" s="20">
        <f t="shared" si="8"/>
        <v>1</v>
      </c>
      <c r="N60" s="20">
        <f t="shared" si="8"/>
        <v>3</v>
      </c>
      <c r="O60" s="20">
        <f t="shared" si="8"/>
        <v>123</v>
      </c>
      <c r="P60" s="20">
        <f t="shared" si="8"/>
        <v>1</v>
      </c>
      <c r="Q60" s="20">
        <f t="shared" si="8"/>
        <v>3</v>
      </c>
      <c r="R60" s="20">
        <f t="shared" si="7"/>
        <v>20</v>
      </c>
      <c r="S60" s="20">
        <f t="shared" si="7"/>
        <v>0</v>
      </c>
      <c r="T60" s="20">
        <f t="shared" si="7"/>
        <v>0</v>
      </c>
      <c r="U60" s="20">
        <f t="shared" si="7"/>
        <v>0</v>
      </c>
      <c r="V60" s="20">
        <f t="shared" si="7"/>
        <v>0</v>
      </c>
      <c r="W60" s="20">
        <f t="shared" si="7"/>
        <v>1</v>
      </c>
    </row>
    <row r="61" spans="1:23" x14ac:dyDescent="0.15">
      <c r="A61" s="25" t="str">
        <f t="shared" si="2"/>
        <v>20003_3-5/267&lt;lv50&gt;s2</v>
      </c>
      <c r="B61" s="20">
        <f t="shared" si="8"/>
        <v>20003</v>
      </c>
      <c r="C61" s="20">
        <f t="shared" si="8"/>
        <v>3</v>
      </c>
      <c r="D61" s="20">
        <f t="shared" si="8"/>
        <v>5</v>
      </c>
      <c r="E61" s="20">
        <f t="shared" si="8"/>
        <v>267</v>
      </c>
      <c r="F61" s="20">
        <f t="shared" si="8"/>
        <v>50</v>
      </c>
      <c r="G61" s="20">
        <f t="shared" si="5"/>
        <v>2.2000000000000002</v>
      </c>
      <c r="H61" s="20">
        <f t="shared" si="5"/>
        <v>0.8</v>
      </c>
      <c r="I61" s="20">
        <f t="shared" si="5"/>
        <v>0</v>
      </c>
      <c r="J61" s="20">
        <f t="shared" si="8"/>
        <v>266</v>
      </c>
      <c r="K61" s="20">
        <f t="shared" si="8"/>
        <v>1</v>
      </c>
      <c r="L61" s="20">
        <f t="shared" si="8"/>
        <v>100</v>
      </c>
      <c r="M61" s="20">
        <f t="shared" si="8"/>
        <v>1</v>
      </c>
      <c r="N61" s="20">
        <f t="shared" si="8"/>
        <v>2</v>
      </c>
      <c r="O61" s="20">
        <f t="shared" si="8"/>
        <v>266</v>
      </c>
      <c r="P61" s="20">
        <f t="shared" si="8"/>
        <v>1</v>
      </c>
      <c r="Q61" s="20">
        <f t="shared" si="8"/>
        <v>3</v>
      </c>
      <c r="R61" s="20">
        <f>VLOOKUP($A61,OFFSET(INDIRECT($C$1&amp;"!$A1"),0,0,COUNTA(INDIRECT($C$1&amp;"!$A:$A"))+1,MATCH(R$2,INDIRECT($C$1&amp;"!"&amp;$B$1),0)-MATCH($A$2,INDIRECT($C$1&amp;"!"&amp;$B$1),0)+1),MATCH(R$2,INDIRECT($C$1&amp;"!"&amp;$B$1),0)-MATCH($A$2,INDIRECT($C$1&amp;"!"&amp;$B$1),0)+1,FALSE)</f>
        <v>100</v>
      </c>
      <c r="S61" s="20">
        <f t="shared" si="7"/>
        <v>0</v>
      </c>
      <c r="T61" s="20">
        <f t="shared" si="7"/>
        <v>0</v>
      </c>
      <c r="U61" s="20">
        <f t="shared" si="7"/>
        <v>0</v>
      </c>
      <c r="V61" s="20">
        <f t="shared" si="7"/>
        <v>0</v>
      </c>
      <c r="W61" s="20">
        <f t="shared" si="7"/>
        <v>1</v>
      </c>
    </row>
    <row r="62" spans="1:23" x14ac:dyDescent="0.15">
      <c r="A62"/>
    </row>
    <row r="63" spans="1:23" x14ac:dyDescent="0.15">
      <c r="A63"/>
    </row>
    <row r="64" spans="1:23" x14ac:dyDescent="0.15">
      <c r="A64"/>
    </row>
    <row r="65" spans="1:1" x14ac:dyDescent="0.15">
      <c r="A65"/>
    </row>
    <row r="66" spans="1:1" x14ac:dyDescent="0.15">
      <c r="A66"/>
    </row>
    <row r="67" spans="1:1" x14ac:dyDescent="0.15">
      <c r="A67"/>
    </row>
    <row r="68" spans="1:1" x14ac:dyDescent="0.15">
      <c r="A68"/>
    </row>
    <row r="69" spans="1:1" x14ac:dyDescent="0.15">
      <c r="A69"/>
    </row>
    <row r="70" spans="1:1" x14ac:dyDescent="0.15">
      <c r="A70"/>
    </row>
    <row r="71" spans="1:1" x14ac:dyDescent="0.15">
      <c r="A71"/>
    </row>
    <row r="72" spans="1:1" x14ac:dyDescent="0.15">
      <c r="A72"/>
    </row>
    <row r="73" spans="1:1" x14ac:dyDescent="0.15">
      <c r="A73"/>
    </row>
  </sheetData>
  <phoneticPr fontId="4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floors_drop_1_3</vt:lpstr>
      <vt:lpstr>enemy_habitats_drop_1_3</vt:lpstr>
      <vt:lpstr>floors_drop_1_3.tmp</vt:lpstr>
      <vt:lpstr>enemy_habitats_drop_1_3.tmp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cp:lastPrinted>2015-07-07T08:43:11Z</cp:lastPrinted>
  <dcterms:created xsi:type="dcterms:W3CDTF">2015-01-30T13:36:44Z</dcterms:created>
  <dcterms:modified xsi:type="dcterms:W3CDTF">2017-03-08T03:56:13Z</dcterms:modified>
</cp:coreProperties>
</file>