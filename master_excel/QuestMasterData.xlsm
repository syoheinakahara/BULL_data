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6960" yWindow="5500" windowWidth="29500" windowHeight="19540" tabRatio="968" activeTab="3"/>
  </bookViews>
  <sheets>
    <sheet name="output" sheetId="43" r:id="rId1"/>
    <sheet name="マスタ" sheetId="10" r:id="rId2"/>
    <sheet name="quests" sheetId="14" r:id="rId3"/>
    <sheet name="stages" sheetId="17" r:id="rId4"/>
    <sheet name="weekly_quests" sheetId="22" r:id="rId5"/>
    <sheet name="rank_quests" sheetId="20" r:id="rId6"/>
    <sheet name="event_quests" sheetId="15" r:id="rId7"/>
    <sheet name="banners" sheetId="44" r:id="rId8"/>
    <sheet name="guerilla_quests" sheetId="16" r:id="rId9"/>
    <sheet name="noon_guerilla_times" sheetId="26" r:id="rId10"/>
    <sheet name="night_guerilla_times" sheetId="25" r:id="rId11"/>
    <sheet name="automatic_quest_bonuses" sheetId="19" r:id="rId12"/>
  </sheets>
  <externalReferences>
    <externalReference r:id="rId13"/>
    <externalReference r:id="rId14"/>
  </externalReferences>
  <definedNames>
    <definedName name="_xlnm._FilterDatabase" localSheetId="11" hidden="1">automatic_quest_bonuses!$B$1:$J$97</definedName>
    <definedName name="_xlnm._FilterDatabase" localSheetId="3" hidden="1">stages!$A$2:$AK$1066</definedName>
    <definedName name="Excel_BuiltIn__FilterDatabase_4" localSheetId="6">#REF!</definedName>
    <definedName name="Excel_BuiltIn__FilterDatabase_4" localSheetId="8">#REF!</definedName>
    <definedName name="Excel_BuiltIn__FilterDatabase_4" localSheetId="10">#REF!</definedName>
    <definedName name="Excel_BuiltIn__FilterDatabase_4" localSheetId="9">#REF!</definedName>
    <definedName name="Excel_BuiltIn__FilterDatabase_4" localSheetId="5">#REF!</definedName>
    <definedName name="Excel_BuiltIn__FilterDatabase_5" localSheetId="6">#REF!</definedName>
    <definedName name="Excel_BuiltIn__FilterDatabase_5" localSheetId="8">#REF!</definedName>
    <definedName name="Excel_BuiltIn__FilterDatabase_5" localSheetId="10">#REF!</definedName>
    <definedName name="Excel_BuiltIn__FilterDatabase_5" localSheetId="9">#REF!</definedName>
    <definedName name="Excel_BuiltIn__FilterDatabase_5" localSheetId="5">#REF!</definedName>
    <definedName name="Excel_BuiltIn__FilterDatabase_6_1" localSheetId="11">[1]unit_skills!#REF!</definedName>
    <definedName name="Excel_BuiltIn__FilterDatabase_6_1" localSheetId="6">[1]unit_skills!#REF!</definedName>
    <definedName name="Excel_BuiltIn__FilterDatabase_6_1" localSheetId="8">[1]unit_skills!#REF!</definedName>
    <definedName name="Excel_BuiltIn__FilterDatabase_6_1" localSheetId="10">[1]unit_skills!#REF!</definedName>
    <definedName name="Excel_BuiltIn__FilterDatabase_6_1" localSheetId="9">[1]unit_skills!#REF!</definedName>
    <definedName name="Excel_BuiltIn__FilterDatabase_6_1" localSheetId="5">[1]unit_skills!#REF!</definedName>
    <definedName name="Excel_BuiltIn__FilterDatabase_7" localSheetId="6">#REF!</definedName>
    <definedName name="Excel_BuiltIn__FilterDatabase_7" localSheetId="8">#REF!</definedName>
    <definedName name="Excel_BuiltIn__FilterDatabase_7" localSheetId="10">#REF!</definedName>
    <definedName name="Excel_BuiltIn__FilterDatabase_7" localSheetId="9">#REF!</definedName>
    <definedName name="Excel_BuiltIn__FilterDatabase_7" localSheetId="5">#REF!</definedName>
    <definedName name="Excel_BuiltIn__FilterDatabase_8" localSheetId="6">#REF!</definedName>
    <definedName name="Excel_BuiltIn__FilterDatabase_8" localSheetId="8">#REF!</definedName>
    <definedName name="Excel_BuiltIn__FilterDatabase_8" localSheetId="10">#REF!</definedName>
    <definedName name="Excel_BuiltIn__FilterDatabase_8" localSheetId="9">#REF!</definedName>
    <definedName name="Excel_BuiltIn__FilterDatabase_8" localSheetId="5">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71" i="15" l="1"/>
  <c r="E271" i="15"/>
  <c r="D271" i="15"/>
  <c r="C271" i="15"/>
  <c r="B271" i="15"/>
  <c r="G134" i="44"/>
  <c r="D134" i="44"/>
  <c r="C134" i="44"/>
  <c r="B203" i="15"/>
  <c r="G202" i="15"/>
  <c r="E202" i="15"/>
  <c r="D202" i="15"/>
  <c r="C202" i="15"/>
  <c r="B202" i="15"/>
  <c r="M265" i="14"/>
  <c r="D936" i="17"/>
  <c r="AA935" i="17"/>
  <c r="Z935" i="17"/>
  <c r="Y935" i="17"/>
  <c r="X935" i="17"/>
  <c r="W935" i="17"/>
  <c r="E935" i="17"/>
  <c r="D935" i="17"/>
  <c r="A935" i="17"/>
  <c r="AA812" i="17"/>
  <c r="Z812" i="17"/>
  <c r="Y812" i="17"/>
  <c r="X812" i="17"/>
  <c r="W812" i="17"/>
  <c r="E812" i="17"/>
  <c r="D812" i="17"/>
  <c r="A812" i="17"/>
  <c r="G127" i="44"/>
  <c r="C127" i="44"/>
  <c r="G196" i="15"/>
  <c r="E196" i="15"/>
  <c r="D196" i="15"/>
  <c r="C196" i="15"/>
  <c r="B196" i="15"/>
  <c r="B197" i="15"/>
  <c r="C197" i="15"/>
  <c r="D197" i="15"/>
  <c r="E197" i="15"/>
  <c r="G197" i="15"/>
  <c r="AA921" i="17"/>
  <c r="Z921" i="17"/>
  <c r="Y921" i="17"/>
  <c r="X921" i="17"/>
  <c r="W921" i="17"/>
  <c r="E921" i="17"/>
  <c r="D921" i="17"/>
  <c r="A921" i="17"/>
  <c r="AA920" i="17"/>
  <c r="Z920" i="17"/>
  <c r="Y920" i="17"/>
  <c r="X920" i="17"/>
  <c r="W920" i="17"/>
  <c r="E920" i="17"/>
  <c r="D920" i="17"/>
  <c r="A920" i="17"/>
  <c r="M258" i="14"/>
  <c r="AA816" i="17"/>
  <c r="Z816" i="17"/>
  <c r="Y816" i="17"/>
  <c r="X816" i="17"/>
  <c r="W816" i="17"/>
  <c r="E816" i="17"/>
  <c r="D816" i="17"/>
  <c r="A816" i="17"/>
  <c r="AA820" i="17"/>
  <c r="Z820" i="17"/>
  <c r="Y820" i="17"/>
  <c r="X820" i="17"/>
  <c r="W820" i="17"/>
  <c r="E820" i="17"/>
  <c r="D820" i="17"/>
  <c r="A820" i="17"/>
  <c r="D162" i="44"/>
  <c r="C162" i="44"/>
  <c r="G266" i="15"/>
  <c r="E266" i="15"/>
  <c r="D266" i="15"/>
  <c r="C266" i="15"/>
  <c r="B266" i="15"/>
  <c r="AA1037" i="17"/>
  <c r="Z1037" i="17"/>
  <c r="Y1037" i="17"/>
  <c r="X1037" i="17"/>
  <c r="W1037" i="17"/>
  <c r="E1037" i="17"/>
  <c r="D1037" i="17"/>
  <c r="A1037" i="17"/>
  <c r="AA1036" i="17"/>
  <c r="Z1036" i="17"/>
  <c r="Y1036" i="17"/>
  <c r="X1036" i="17"/>
  <c r="W1036" i="17"/>
  <c r="E1036" i="17"/>
  <c r="D1036" i="17"/>
  <c r="A1036" i="17"/>
  <c r="AA1035" i="17"/>
  <c r="Z1035" i="17"/>
  <c r="Y1035" i="17"/>
  <c r="X1035" i="17"/>
  <c r="W1035" i="17"/>
  <c r="E1035" i="17"/>
  <c r="D1035" i="17"/>
  <c r="A1035" i="17"/>
  <c r="AA1034" i="17"/>
  <c r="Z1034" i="17"/>
  <c r="Y1034" i="17"/>
  <c r="X1034" i="17"/>
  <c r="W1034" i="17"/>
  <c r="E1034" i="17"/>
  <c r="D1034" i="17"/>
  <c r="A1034" i="17"/>
  <c r="AA1033" i="17"/>
  <c r="Z1033" i="17"/>
  <c r="Y1033" i="17"/>
  <c r="X1033" i="17"/>
  <c r="W1033" i="17"/>
  <c r="E1033" i="17"/>
  <c r="D1033" i="17"/>
  <c r="A1033" i="17"/>
  <c r="AA1032" i="17"/>
  <c r="Z1032" i="17"/>
  <c r="Y1032" i="17"/>
  <c r="X1032" i="17"/>
  <c r="W1032" i="17"/>
  <c r="E1032" i="17"/>
  <c r="D1032" i="17"/>
  <c r="A1032" i="17"/>
  <c r="M366" i="14"/>
  <c r="AA1031" i="17"/>
  <c r="Z1031" i="17"/>
  <c r="Y1031" i="17"/>
  <c r="X1031" i="17"/>
  <c r="W1031" i="17"/>
  <c r="E1031" i="17"/>
  <c r="D1031" i="17"/>
  <c r="A1031" i="17"/>
  <c r="G132" i="44"/>
  <c r="D132" i="44"/>
  <c r="C132" i="44"/>
  <c r="G200" i="15"/>
  <c r="E200" i="15"/>
  <c r="D200" i="15"/>
  <c r="C200" i="15"/>
  <c r="B200" i="15"/>
  <c r="AA931" i="17"/>
  <c r="Z931" i="17"/>
  <c r="Y931" i="17"/>
  <c r="X931" i="17"/>
  <c r="W931" i="17"/>
  <c r="E931" i="17"/>
  <c r="D931" i="17"/>
  <c r="A931" i="17"/>
  <c r="AA930" i="17"/>
  <c r="Z930" i="17"/>
  <c r="Y930" i="17"/>
  <c r="X930" i="17"/>
  <c r="W930" i="17"/>
  <c r="E930" i="17"/>
  <c r="D930" i="17"/>
  <c r="A930" i="17"/>
  <c r="M263" i="14"/>
  <c r="D122" i="44"/>
  <c r="D161" i="44"/>
  <c r="C161" i="44"/>
  <c r="G265" i="15"/>
  <c r="E265" i="15"/>
  <c r="D265" i="15"/>
  <c r="C265" i="15"/>
  <c r="B265" i="15"/>
  <c r="AA1030" i="17"/>
  <c r="Z1030" i="17"/>
  <c r="Y1030" i="17"/>
  <c r="X1030" i="17"/>
  <c r="W1030" i="17"/>
  <c r="D1030" i="17"/>
  <c r="H1030" i="17"/>
  <c r="E1030" i="17"/>
  <c r="A1030" i="17"/>
  <c r="M365" i="14"/>
  <c r="G126" i="44"/>
  <c r="C126" i="44"/>
  <c r="G195" i="15"/>
  <c r="E195" i="15"/>
  <c r="D195" i="15"/>
  <c r="C195" i="15"/>
  <c r="B195" i="15"/>
  <c r="AA919" i="17"/>
  <c r="Z919" i="17"/>
  <c r="Y919" i="17"/>
  <c r="X919" i="17"/>
  <c r="W919" i="17"/>
  <c r="E919" i="17"/>
  <c r="D919" i="17"/>
  <c r="A919" i="17"/>
  <c r="AA918" i="17"/>
  <c r="Z918" i="17"/>
  <c r="Y918" i="17"/>
  <c r="X918" i="17"/>
  <c r="W918" i="17"/>
  <c r="E918" i="17"/>
  <c r="D918" i="17"/>
  <c r="A918" i="17"/>
  <c r="M257" i="14"/>
  <c r="D37" i="44"/>
  <c r="C37" i="44"/>
  <c r="G186" i="15"/>
  <c r="E186" i="15"/>
  <c r="D186" i="15"/>
  <c r="C186" i="15"/>
  <c r="B186" i="15"/>
  <c r="AA887" i="17"/>
  <c r="Z887" i="17"/>
  <c r="Y887" i="17"/>
  <c r="X887" i="17"/>
  <c r="W887" i="17"/>
  <c r="E887" i="17"/>
  <c r="D887" i="17"/>
  <c r="A887" i="17"/>
  <c r="AA886" i="17"/>
  <c r="Z886" i="17"/>
  <c r="Y886" i="17"/>
  <c r="X886" i="17"/>
  <c r="W886" i="17"/>
  <c r="E886" i="17"/>
  <c r="D886" i="17"/>
  <c r="A886" i="17"/>
  <c r="AA885" i="17"/>
  <c r="Z885" i="17"/>
  <c r="Y885" i="17"/>
  <c r="X885" i="17"/>
  <c r="W885" i="17"/>
  <c r="E885" i="17"/>
  <c r="D885" i="17"/>
  <c r="A885" i="17"/>
  <c r="M296" i="14"/>
  <c r="D38" i="44"/>
  <c r="C38" i="44"/>
  <c r="G187" i="15"/>
  <c r="E187" i="15"/>
  <c r="D187" i="15"/>
  <c r="C187" i="15"/>
  <c r="B187" i="15"/>
  <c r="AA890" i="17"/>
  <c r="Z890" i="17"/>
  <c r="Y890" i="17"/>
  <c r="X890" i="17"/>
  <c r="W890" i="17"/>
  <c r="E890" i="17"/>
  <c r="D890" i="17"/>
  <c r="A890" i="17"/>
  <c r="AA889" i="17"/>
  <c r="Z889" i="17"/>
  <c r="Y889" i="17"/>
  <c r="X889" i="17"/>
  <c r="W889" i="17"/>
  <c r="E889" i="17"/>
  <c r="D889" i="17"/>
  <c r="A889" i="17"/>
  <c r="AA888" i="17"/>
  <c r="Z888" i="17"/>
  <c r="Y888" i="17"/>
  <c r="X888" i="17"/>
  <c r="W888" i="17"/>
  <c r="E888" i="17"/>
  <c r="D888" i="17"/>
  <c r="A888" i="17"/>
  <c r="M297" i="14"/>
  <c r="E984" i="17"/>
  <c r="AA727" i="17"/>
  <c r="Z727" i="17"/>
  <c r="Y727" i="17"/>
  <c r="X727" i="17"/>
  <c r="W727" i="17"/>
  <c r="E727" i="17"/>
  <c r="D727" i="17"/>
  <c r="A727" i="17"/>
  <c r="G95" i="44"/>
  <c r="D95" i="44"/>
  <c r="C95" i="44"/>
  <c r="G238" i="15"/>
  <c r="E238" i="15"/>
  <c r="D238" i="15"/>
  <c r="C238" i="15"/>
  <c r="B238" i="15"/>
  <c r="AA984" i="17"/>
  <c r="Z984" i="17"/>
  <c r="Y984" i="17"/>
  <c r="X984" i="17"/>
  <c r="W984" i="17"/>
  <c r="D984" i="17"/>
  <c r="A984" i="17"/>
  <c r="M334" i="14"/>
  <c r="G78" i="44"/>
  <c r="D78" i="44"/>
  <c r="C78" i="44"/>
  <c r="G99" i="15"/>
  <c r="E99" i="15"/>
  <c r="D99" i="15"/>
  <c r="C99" i="15"/>
  <c r="B99" i="15"/>
  <c r="AA669" i="17"/>
  <c r="Z669" i="17"/>
  <c r="Y669" i="17"/>
  <c r="X669" i="17"/>
  <c r="W669" i="17"/>
  <c r="E669" i="17"/>
  <c r="D669" i="17"/>
  <c r="A669" i="17"/>
  <c r="AA668" i="17"/>
  <c r="Z668" i="17"/>
  <c r="Y668" i="17"/>
  <c r="X668" i="17"/>
  <c r="W668" i="17"/>
  <c r="E668" i="17"/>
  <c r="D668" i="17"/>
  <c r="A668" i="17"/>
  <c r="AA667" i="17"/>
  <c r="Z667" i="17"/>
  <c r="Y667" i="17"/>
  <c r="X667" i="17"/>
  <c r="W667" i="17"/>
  <c r="E667" i="17"/>
  <c r="D667" i="17"/>
  <c r="A667" i="17"/>
  <c r="M183" i="14"/>
  <c r="D36" i="44"/>
  <c r="C36" i="44"/>
  <c r="G185" i="15"/>
  <c r="E185" i="15"/>
  <c r="D185" i="15"/>
  <c r="C185" i="15"/>
  <c r="B185" i="15"/>
  <c r="AA884" i="17"/>
  <c r="Z884" i="17"/>
  <c r="Y884" i="17"/>
  <c r="X884" i="17"/>
  <c r="W884" i="17"/>
  <c r="E884" i="17"/>
  <c r="D884" i="17"/>
  <c r="A884" i="17"/>
  <c r="AA883" i="17"/>
  <c r="Z883" i="17"/>
  <c r="Y883" i="17"/>
  <c r="X883" i="17"/>
  <c r="W883" i="17"/>
  <c r="E883" i="17"/>
  <c r="D883" i="17"/>
  <c r="A883" i="17"/>
  <c r="AA882" i="17"/>
  <c r="Z882" i="17"/>
  <c r="Y882" i="17"/>
  <c r="X882" i="17"/>
  <c r="W882" i="17"/>
  <c r="E882" i="17"/>
  <c r="D882" i="17"/>
  <c r="A882" i="17"/>
  <c r="M295" i="14"/>
  <c r="G128" i="44"/>
  <c r="D128" i="44"/>
  <c r="C128" i="44"/>
  <c r="AA923" i="17"/>
  <c r="Z923" i="17"/>
  <c r="Y923" i="17"/>
  <c r="X923" i="17"/>
  <c r="W923" i="17"/>
  <c r="E923" i="17"/>
  <c r="D923" i="17"/>
  <c r="A923" i="17"/>
  <c r="AA922" i="17"/>
  <c r="Z922" i="17"/>
  <c r="Y922" i="17"/>
  <c r="X922" i="17"/>
  <c r="W922" i="17"/>
  <c r="E922" i="17"/>
  <c r="D922" i="17"/>
  <c r="A922" i="17"/>
  <c r="M259" i="14"/>
  <c r="G274" i="15"/>
  <c r="E274" i="15"/>
  <c r="D274" i="15"/>
  <c r="C274" i="15"/>
  <c r="B274" i="15"/>
  <c r="G94" i="44"/>
  <c r="D94" i="44"/>
  <c r="C94" i="44"/>
  <c r="G239" i="15"/>
  <c r="E239" i="15"/>
  <c r="D239" i="15"/>
  <c r="C239" i="15"/>
  <c r="B239" i="15"/>
  <c r="AA985" i="17"/>
  <c r="Z985" i="17"/>
  <c r="Y985" i="17"/>
  <c r="X985" i="17"/>
  <c r="W985" i="17"/>
  <c r="E985" i="17"/>
  <c r="D985" i="17"/>
  <c r="A985" i="17"/>
  <c r="M335" i="14"/>
  <c r="D154" i="44"/>
  <c r="C154" i="44"/>
  <c r="G242" i="15"/>
  <c r="E242" i="15"/>
  <c r="D242" i="15"/>
  <c r="C242" i="15"/>
  <c r="B242" i="15"/>
  <c r="E664" i="17"/>
  <c r="E665" i="17"/>
  <c r="E666" i="17"/>
  <c r="AA881" i="17"/>
  <c r="Z881" i="17"/>
  <c r="Y881" i="17"/>
  <c r="X881" i="17"/>
  <c r="W881" i="17"/>
  <c r="E881" i="17"/>
  <c r="D881" i="17"/>
  <c r="A881" i="17"/>
  <c r="AA880" i="17"/>
  <c r="Z880" i="17"/>
  <c r="Y880" i="17"/>
  <c r="X880" i="17"/>
  <c r="W880" i="17"/>
  <c r="E880" i="17"/>
  <c r="D880" i="17"/>
  <c r="A880" i="17"/>
  <c r="G264" i="15"/>
  <c r="E264" i="15"/>
  <c r="D264" i="15"/>
  <c r="C264" i="15"/>
  <c r="B264" i="15"/>
  <c r="D160" i="44"/>
  <c r="C160" i="44"/>
  <c r="M364" i="14"/>
  <c r="AA1029" i="17"/>
  <c r="Z1029" i="17"/>
  <c r="Y1029" i="17"/>
  <c r="X1029" i="17"/>
  <c r="W1029" i="17"/>
  <c r="D1029" i="17"/>
  <c r="H1029" i="17"/>
  <c r="E1029" i="17"/>
  <c r="A1029" i="17"/>
  <c r="G131" i="44"/>
  <c r="D131" i="44"/>
  <c r="C131" i="44"/>
  <c r="G125" i="44"/>
  <c r="D125" i="44"/>
  <c r="C125" i="44"/>
  <c r="G194" i="15"/>
  <c r="E194" i="15"/>
  <c r="D194" i="15"/>
  <c r="C194" i="15"/>
  <c r="B194" i="15"/>
  <c r="G199" i="15"/>
  <c r="E199" i="15"/>
  <c r="D199" i="15"/>
  <c r="C199" i="15"/>
  <c r="B199" i="15"/>
  <c r="AA929" i="17"/>
  <c r="Z929" i="17"/>
  <c r="Y929" i="17"/>
  <c r="X929" i="17"/>
  <c r="W929" i="17"/>
  <c r="E929" i="17"/>
  <c r="D929" i="17"/>
  <c r="A929" i="17"/>
  <c r="AA928" i="17"/>
  <c r="Z928" i="17"/>
  <c r="Y928" i="17"/>
  <c r="X928" i="17"/>
  <c r="W928" i="17"/>
  <c r="E928" i="17"/>
  <c r="D928" i="17"/>
  <c r="A928" i="17"/>
  <c r="AA917" i="17"/>
  <c r="Z917" i="17"/>
  <c r="Y917" i="17"/>
  <c r="X917" i="17"/>
  <c r="W917" i="17"/>
  <c r="E917" i="17"/>
  <c r="D917" i="17"/>
  <c r="A917" i="17"/>
  <c r="AA916" i="17"/>
  <c r="Z916" i="17"/>
  <c r="Y916" i="17"/>
  <c r="X916" i="17"/>
  <c r="W916" i="17"/>
  <c r="E916" i="17"/>
  <c r="D916" i="17"/>
  <c r="A916" i="17"/>
  <c r="M262" i="14"/>
  <c r="M256" i="14"/>
  <c r="G272" i="15"/>
  <c r="E272" i="15"/>
  <c r="D272" i="15"/>
  <c r="C272" i="15"/>
  <c r="B272" i="15"/>
  <c r="G193" i="15"/>
  <c r="E193" i="15"/>
  <c r="D193" i="15"/>
  <c r="C193" i="15"/>
  <c r="B193" i="15"/>
  <c r="G124" i="44"/>
  <c r="D124" i="44"/>
  <c r="C124" i="44"/>
  <c r="AA915" i="17"/>
  <c r="Z915" i="17"/>
  <c r="Y915" i="17"/>
  <c r="X915" i="17"/>
  <c r="W915" i="17"/>
  <c r="E915" i="17"/>
  <c r="D915" i="17"/>
  <c r="A915" i="17"/>
  <c r="AA914" i="17"/>
  <c r="Z914" i="17"/>
  <c r="Y914" i="17"/>
  <c r="X914" i="17"/>
  <c r="W914" i="17"/>
  <c r="E914" i="17"/>
  <c r="D914" i="17"/>
  <c r="A914" i="17"/>
  <c r="M255" i="14"/>
  <c r="G77" i="44"/>
  <c r="D77" i="44"/>
  <c r="C77" i="44"/>
  <c r="G98" i="15"/>
  <c r="E98" i="15"/>
  <c r="D98" i="15"/>
  <c r="C98" i="15"/>
  <c r="B98" i="15"/>
  <c r="AA666" i="17"/>
  <c r="Z666" i="17"/>
  <c r="Y666" i="17"/>
  <c r="X666" i="17"/>
  <c r="W666" i="17"/>
  <c r="D666" i="17"/>
  <c r="A666" i="17"/>
  <c r="AA665" i="17"/>
  <c r="Z665" i="17"/>
  <c r="Y665" i="17"/>
  <c r="X665" i="17"/>
  <c r="W665" i="17"/>
  <c r="D665" i="17"/>
  <c r="A665" i="17"/>
  <c r="AA664" i="17"/>
  <c r="Z664" i="17"/>
  <c r="Y664" i="17"/>
  <c r="X664" i="17"/>
  <c r="W664" i="17"/>
  <c r="D664" i="17"/>
  <c r="A664" i="17"/>
  <c r="M182" i="14"/>
  <c r="G93" i="44"/>
  <c r="D93" i="44"/>
  <c r="C93" i="44"/>
  <c r="G237" i="15"/>
  <c r="E237" i="15"/>
  <c r="D237" i="15"/>
  <c r="C237" i="15"/>
  <c r="B237" i="15"/>
  <c r="AA983" i="17"/>
  <c r="Z983" i="17"/>
  <c r="Y983" i="17"/>
  <c r="X983" i="17"/>
  <c r="W983" i="17"/>
  <c r="E983" i="17"/>
  <c r="D983" i="17"/>
  <c r="A983" i="17"/>
  <c r="M333" i="14"/>
  <c r="D159" i="44"/>
  <c r="C159" i="44"/>
  <c r="G263" i="15"/>
  <c r="E263" i="15"/>
  <c r="D263" i="15"/>
  <c r="C263" i="15"/>
  <c r="B263" i="15"/>
  <c r="E1028" i="17"/>
  <c r="D1028" i="17"/>
  <c r="AA1028" i="17"/>
  <c r="Z1028" i="17"/>
  <c r="Y1028" i="17"/>
  <c r="X1028" i="17"/>
  <c r="W1028" i="17"/>
  <c r="A1028" i="17"/>
  <c r="M363" i="14"/>
  <c r="G117" i="44"/>
  <c r="D117" i="44"/>
  <c r="C117" i="44"/>
  <c r="G156" i="15"/>
  <c r="E156" i="15"/>
  <c r="D156" i="15"/>
  <c r="C156" i="15"/>
  <c r="B156" i="15"/>
  <c r="AA808" i="17"/>
  <c r="Z808" i="17"/>
  <c r="Y808" i="17"/>
  <c r="X808" i="17"/>
  <c r="W808" i="17"/>
  <c r="E808" i="17"/>
  <c r="D808" i="17"/>
  <c r="A808" i="17"/>
  <c r="AA807" i="17"/>
  <c r="Z807" i="17"/>
  <c r="Y807" i="17"/>
  <c r="X807" i="17"/>
  <c r="W807" i="17"/>
  <c r="E807" i="17"/>
  <c r="D807" i="17"/>
  <c r="A807" i="17"/>
  <c r="M242" i="14"/>
  <c r="G91" i="44"/>
  <c r="D91" i="44"/>
  <c r="C91" i="44"/>
  <c r="G233" i="15"/>
  <c r="E233" i="15"/>
  <c r="D233" i="15"/>
  <c r="C233" i="15"/>
  <c r="B233" i="15"/>
  <c r="AA979" i="17"/>
  <c r="Z979" i="17"/>
  <c r="Y979" i="17"/>
  <c r="X979" i="17"/>
  <c r="W979" i="17"/>
  <c r="E979" i="17"/>
  <c r="D979" i="17"/>
  <c r="A979" i="17"/>
  <c r="M329" i="14"/>
  <c r="G153" i="44"/>
  <c r="D153" i="44"/>
  <c r="C153" i="44"/>
  <c r="G111" i="15"/>
  <c r="E111" i="15"/>
  <c r="D111" i="15"/>
  <c r="C111" i="15"/>
  <c r="B111" i="15"/>
  <c r="A728" i="17"/>
  <c r="AA728" i="17"/>
  <c r="Z728" i="17"/>
  <c r="Y728" i="17"/>
  <c r="X728" i="17"/>
  <c r="W728" i="17"/>
  <c r="E728" i="17"/>
  <c r="D728" i="17"/>
  <c r="M197" i="14"/>
  <c r="G152" i="44"/>
  <c r="D152" i="44"/>
  <c r="C152" i="44"/>
  <c r="G217" i="15"/>
  <c r="E217" i="15"/>
  <c r="D217" i="15"/>
  <c r="C217" i="15"/>
  <c r="B217" i="15"/>
  <c r="AA963" i="17"/>
  <c r="Z963" i="17"/>
  <c r="Y963" i="17"/>
  <c r="X963" i="17"/>
  <c r="W963" i="17"/>
  <c r="E963" i="17"/>
  <c r="D963" i="17"/>
  <c r="A963" i="17"/>
  <c r="AA962" i="17"/>
  <c r="Z962" i="17"/>
  <c r="Y962" i="17"/>
  <c r="X962" i="17"/>
  <c r="W962" i="17"/>
  <c r="E962" i="17"/>
  <c r="D962" i="17"/>
  <c r="A962" i="17"/>
  <c r="M313" i="14"/>
  <c r="G151" i="44"/>
  <c r="C151" i="44"/>
  <c r="G110" i="15"/>
  <c r="E110" i="15"/>
  <c r="D110" i="15"/>
  <c r="C110" i="15"/>
  <c r="B110" i="15"/>
  <c r="D725" i="17"/>
  <c r="AA726" i="17"/>
  <c r="Z726" i="17"/>
  <c r="Y726" i="17"/>
  <c r="X726" i="17"/>
  <c r="W726" i="17"/>
  <c r="E726" i="17"/>
  <c r="D726" i="17"/>
  <c r="A726" i="17"/>
  <c r="AA725" i="17"/>
  <c r="Z725" i="17"/>
  <c r="Y725" i="17"/>
  <c r="X725" i="17"/>
  <c r="W725" i="17"/>
  <c r="E725" i="17"/>
  <c r="A725" i="17"/>
  <c r="AA724" i="17"/>
  <c r="Z724" i="17"/>
  <c r="Y724" i="17"/>
  <c r="X724" i="17"/>
  <c r="W724" i="17"/>
  <c r="E724" i="17"/>
  <c r="D724" i="17"/>
  <c r="A724" i="17"/>
  <c r="AA723" i="17"/>
  <c r="Z723" i="17"/>
  <c r="Y723" i="17"/>
  <c r="X723" i="17"/>
  <c r="W723" i="17"/>
  <c r="E723" i="17"/>
  <c r="D723" i="17"/>
  <c r="A723" i="17"/>
  <c r="M196" i="14"/>
  <c r="AA989" i="17"/>
  <c r="Z989" i="17"/>
  <c r="Y989" i="17"/>
  <c r="X989" i="17"/>
  <c r="W989" i="17"/>
  <c r="E989" i="17"/>
  <c r="D989" i="17"/>
  <c r="A989" i="17"/>
  <c r="AA988" i="17"/>
  <c r="Z988" i="17"/>
  <c r="Y988" i="17"/>
  <c r="X988" i="17"/>
  <c r="W988" i="17"/>
  <c r="E988" i="17"/>
  <c r="D988" i="17"/>
  <c r="A988" i="17"/>
  <c r="M338" i="14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9" i="17"/>
  <c r="A810" i="17"/>
  <c r="A811" i="17"/>
  <c r="A813" i="17"/>
  <c r="A814" i="17"/>
  <c r="A815" i="17"/>
  <c r="A817" i="17"/>
  <c r="A818" i="17"/>
  <c r="A819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24" i="17"/>
  <c r="A925" i="17"/>
  <c r="A926" i="17"/>
  <c r="A927" i="17"/>
  <c r="A932" i="17"/>
  <c r="A933" i="17"/>
  <c r="A934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80" i="17"/>
  <c r="A981" i="17"/>
  <c r="A982" i="17"/>
  <c r="A986" i="17"/>
  <c r="A987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38" i="17"/>
  <c r="A1039" i="17"/>
  <c r="A1040" i="17"/>
  <c r="A1041" i="17"/>
  <c r="A1042" i="17"/>
  <c r="A1043" i="17"/>
  <c r="A1044" i="17"/>
  <c r="A1045" i="17"/>
  <c r="A1046" i="17"/>
  <c r="A1047" i="17"/>
  <c r="A1048" i="17"/>
  <c r="A1049" i="17"/>
  <c r="A1050" i="17"/>
  <c r="A1051" i="17"/>
  <c r="A1052" i="17"/>
  <c r="A1053" i="17"/>
  <c r="A1054" i="17"/>
  <c r="A1055" i="17"/>
  <c r="A1056" i="17"/>
  <c r="A1057" i="17"/>
  <c r="A1058" i="17"/>
  <c r="A1059" i="17"/>
  <c r="A1060" i="17"/>
  <c r="A1061" i="17"/>
  <c r="A1062" i="17"/>
  <c r="A1063" i="17"/>
  <c r="A1064" i="17"/>
  <c r="A1065" i="17"/>
  <c r="A1066" i="17"/>
  <c r="D3" i="17"/>
  <c r="E3" i="17"/>
  <c r="D4" i="17"/>
  <c r="E4" i="17"/>
  <c r="D5" i="17"/>
  <c r="E5" i="17"/>
  <c r="D6" i="17"/>
  <c r="E6" i="17"/>
  <c r="D7" i="17"/>
  <c r="E7" i="17"/>
  <c r="D8" i="17"/>
  <c r="E8" i="17"/>
  <c r="D9" i="17"/>
  <c r="E9" i="17"/>
  <c r="D10" i="17"/>
  <c r="E10" i="17"/>
  <c r="D11" i="17"/>
  <c r="E11" i="17"/>
  <c r="D12" i="17"/>
  <c r="E12" i="17"/>
  <c r="D13" i="17"/>
  <c r="E13" i="17"/>
  <c r="D14" i="17"/>
  <c r="E14" i="17"/>
  <c r="D15" i="17"/>
  <c r="E15" i="17"/>
  <c r="D16" i="17"/>
  <c r="E16" i="17"/>
  <c r="D17" i="17"/>
  <c r="E17" i="17"/>
  <c r="D18" i="17"/>
  <c r="E18" i="17"/>
  <c r="D19" i="17"/>
  <c r="E19" i="17"/>
  <c r="D20" i="17"/>
  <c r="E20" i="17"/>
  <c r="D21" i="17"/>
  <c r="E21" i="17"/>
  <c r="D22" i="17"/>
  <c r="E22" i="17"/>
  <c r="D23" i="17"/>
  <c r="E23" i="17"/>
  <c r="D24" i="17"/>
  <c r="E24" i="17"/>
  <c r="D25" i="17"/>
  <c r="E25" i="17"/>
  <c r="D26" i="17"/>
  <c r="E26" i="17"/>
  <c r="D27" i="17"/>
  <c r="E27" i="17"/>
  <c r="D28" i="17"/>
  <c r="E28" i="17"/>
  <c r="D29" i="17"/>
  <c r="E29" i="17"/>
  <c r="D30" i="17"/>
  <c r="E30" i="17"/>
  <c r="D31" i="17"/>
  <c r="E31" i="17"/>
  <c r="D32" i="17"/>
  <c r="E32" i="17"/>
  <c r="D33" i="17"/>
  <c r="E33" i="17"/>
  <c r="D34" i="17"/>
  <c r="E34" i="17"/>
  <c r="D35" i="17"/>
  <c r="E35" i="17"/>
  <c r="D36" i="17"/>
  <c r="E36" i="17"/>
  <c r="D37" i="17"/>
  <c r="E37" i="17"/>
  <c r="D38" i="17"/>
  <c r="E38" i="17"/>
  <c r="D39" i="17"/>
  <c r="E39" i="17"/>
  <c r="D40" i="17"/>
  <c r="E40" i="17"/>
  <c r="D41" i="17"/>
  <c r="E41" i="17"/>
  <c r="D42" i="17"/>
  <c r="E42" i="17"/>
  <c r="D43" i="17"/>
  <c r="E43" i="17"/>
  <c r="D44" i="17"/>
  <c r="E44" i="17"/>
  <c r="D45" i="17"/>
  <c r="E45" i="17"/>
  <c r="D46" i="17"/>
  <c r="E46" i="17"/>
  <c r="D47" i="17"/>
  <c r="E47" i="17"/>
  <c r="D48" i="17"/>
  <c r="E48" i="17"/>
  <c r="D49" i="17"/>
  <c r="E49" i="17"/>
  <c r="D50" i="17"/>
  <c r="E50" i="17"/>
  <c r="D51" i="17"/>
  <c r="E51" i="17"/>
  <c r="D52" i="17"/>
  <c r="E52" i="17"/>
  <c r="D53" i="17"/>
  <c r="E53" i="17"/>
  <c r="D54" i="17"/>
  <c r="E54" i="17"/>
  <c r="D55" i="17"/>
  <c r="E55" i="17"/>
  <c r="D56" i="17"/>
  <c r="E56" i="17"/>
  <c r="D57" i="17"/>
  <c r="E57" i="17"/>
  <c r="D58" i="17"/>
  <c r="E58" i="17"/>
  <c r="D59" i="17"/>
  <c r="E59" i="17"/>
  <c r="D60" i="17"/>
  <c r="E60" i="17"/>
  <c r="D61" i="17"/>
  <c r="E61" i="17"/>
  <c r="D62" i="17"/>
  <c r="E62" i="17"/>
  <c r="D63" i="17"/>
  <c r="E63" i="17"/>
  <c r="D64" i="17"/>
  <c r="E64" i="17"/>
  <c r="D65" i="17"/>
  <c r="E65" i="17"/>
  <c r="D66" i="17"/>
  <c r="E66" i="17"/>
  <c r="D67" i="17"/>
  <c r="E67" i="17"/>
  <c r="D68" i="17"/>
  <c r="E68" i="17"/>
  <c r="D69" i="17"/>
  <c r="E69" i="17"/>
  <c r="D70" i="17"/>
  <c r="E70" i="17"/>
  <c r="D71" i="17"/>
  <c r="E71" i="17"/>
  <c r="D72" i="17"/>
  <c r="E72" i="17"/>
  <c r="D73" i="17"/>
  <c r="E73" i="17"/>
  <c r="D74" i="17"/>
  <c r="E74" i="17"/>
  <c r="D75" i="17"/>
  <c r="E75" i="17"/>
  <c r="D76" i="17"/>
  <c r="E76" i="17"/>
  <c r="D77" i="17"/>
  <c r="E77" i="17"/>
  <c r="D78" i="17"/>
  <c r="E78" i="17"/>
  <c r="D79" i="17"/>
  <c r="E79" i="17"/>
  <c r="D80" i="17"/>
  <c r="E80" i="17"/>
  <c r="D81" i="17"/>
  <c r="E81" i="17"/>
  <c r="D82" i="17"/>
  <c r="E82" i="17"/>
  <c r="D83" i="17"/>
  <c r="E83" i="17"/>
  <c r="D84" i="17"/>
  <c r="E84" i="17"/>
  <c r="D85" i="17"/>
  <c r="E85" i="17"/>
  <c r="D86" i="17"/>
  <c r="E86" i="17"/>
  <c r="D87" i="17"/>
  <c r="E87" i="17"/>
  <c r="D88" i="17"/>
  <c r="E88" i="17"/>
  <c r="D89" i="17"/>
  <c r="E89" i="17"/>
  <c r="D90" i="17"/>
  <c r="E90" i="17"/>
  <c r="D91" i="17"/>
  <c r="E91" i="17"/>
  <c r="D92" i="17"/>
  <c r="E92" i="17"/>
  <c r="D93" i="17"/>
  <c r="E93" i="17"/>
  <c r="D94" i="17"/>
  <c r="E94" i="17"/>
  <c r="D95" i="17"/>
  <c r="E95" i="17"/>
  <c r="D96" i="17"/>
  <c r="E96" i="17"/>
  <c r="D97" i="17"/>
  <c r="E97" i="17"/>
  <c r="D98" i="17"/>
  <c r="E98" i="17"/>
  <c r="D99" i="17"/>
  <c r="E99" i="17"/>
  <c r="D100" i="17"/>
  <c r="E100" i="17"/>
  <c r="D101" i="17"/>
  <c r="E101" i="17"/>
  <c r="D102" i="17"/>
  <c r="E102" i="17"/>
  <c r="D103" i="17"/>
  <c r="E103" i="17"/>
  <c r="D104" i="17"/>
  <c r="E104" i="17"/>
  <c r="D105" i="17"/>
  <c r="E105" i="17"/>
  <c r="D106" i="17"/>
  <c r="E106" i="17"/>
  <c r="D107" i="17"/>
  <c r="E107" i="17"/>
  <c r="D108" i="17"/>
  <c r="E108" i="17"/>
  <c r="D109" i="17"/>
  <c r="E109" i="17"/>
  <c r="D110" i="17"/>
  <c r="E110" i="17"/>
  <c r="D111" i="17"/>
  <c r="E111" i="17"/>
  <c r="D112" i="17"/>
  <c r="E112" i="17"/>
  <c r="D113" i="17"/>
  <c r="E113" i="17"/>
  <c r="D114" i="17"/>
  <c r="E114" i="17"/>
  <c r="D115" i="17"/>
  <c r="E115" i="17"/>
  <c r="D116" i="17"/>
  <c r="E116" i="17"/>
  <c r="D117" i="17"/>
  <c r="E117" i="17"/>
  <c r="D118" i="17"/>
  <c r="E118" i="17"/>
  <c r="D119" i="17"/>
  <c r="E119" i="17"/>
  <c r="D120" i="17"/>
  <c r="E120" i="17"/>
  <c r="D121" i="17"/>
  <c r="E121" i="17"/>
  <c r="D122" i="17"/>
  <c r="E122" i="17"/>
  <c r="D123" i="17"/>
  <c r="E123" i="17"/>
  <c r="D124" i="17"/>
  <c r="E124" i="17"/>
  <c r="D125" i="17"/>
  <c r="E125" i="17"/>
  <c r="D126" i="17"/>
  <c r="E126" i="17"/>
  <c r="D127" i="17"/>
  <c r="E127" i="17"/>
  <c r="D128" i="17"/>
  <c r="E128" i="17"/>
  <c r="D129" i="17"/>
  <c r="E129" i="17"/>
  <c r="D130" i="17"/>
  <c r="E130" i="17"/>
  <c r="D131" i="17"/>
  <c r="E131" i="17"/>
  <c r="D132" i="17"/>
  <c r="E132" i="17"/>
  <c r="D133" i="17"/>
  <c r="E133" i="17"/>
  <c r="D134" i="17"/>
  <c r="E134" i="17"/>
  <c r="D135" i="17"/>
  <c r="E135" i="17"/>
  <c r="D136" i="17"/>
  <c r="E136" i="17"/>
  <c r="D137" i="17"/>
  <c r="E137" i="17"/>
  <c r="D138" i="17"/>
  <c r="E138" i="17"/>
  <c r="D139" i="17"/>
  <c r="E139" i="17"/>
  <c r="D140" i="17"/>
  <c r="E140" i="17"/>
  <c r="D141" i="17"/>
  <c r="E141" i="17"/>
  <c r="D142" i="17"/>
  <c r="E142" i="17"/>
  <c r="D143" i="17"/>
  <c r="E143" i="17"/>
  <c r="D144" i="17"/>
  <c r="E144" i="17"/>
  <c r="D145" i="17"/>
  <c r="E145" i="17"/>
  <c r="D146" i="17"/>
  <c r="E146" i="17"/>
  <c r="D147" i="17"/>
  <c r="E147" i="17"/>
  <c r="D148" i="17"/>
  <c r="E148" i="17"/>
  <c r="D149" i="17"/>
  <c r="E149" i="17"/>
  <c r="D150" i="17"/>
  <c r="E150" i="17"/>
  <c r="D151" i="17"/>
  <c r="E151" i="17"/>
  <c r="D152" i="17"/>
  <c r="E152" i="17"/>
  <c r="D153" i="17"/>
  <c r="E153" i="17"/>
  <c r="D154" i="17"/>
  <c r="E154" i="17"/>
  <c r="D155" i="17"/>
  <c r="E155" i="17"/>
  <c r="D156" i="17"/>
  <c r="E156" i="17"/>
  <c r="D157" i="17"/>
  <c r="E157" i="17"/>
  <c r="D158" i="17"/>
  <c r="E158" i="17"/>
  <c r="D159" i="17"/>
  <c r="E159" i="17"/>
  <c r="D160" i="17"/>
  <c r="E160" i="17"/>
  <c r="D161" i="17"/>
  <c r="E161" i="17"/>
  <c r="D162" i="17"/>
  <c r="E162" i="17"/>
  <c r="D163" i="17"/>
  <c r="E163" i="17"/>
  <c r="D164" i="17"/>
  <c r="E164" i="17"/>
  <c r="D165" i="17"/>
  <c r="E165" i="17"/>
  <c r="D166" i="17"/>
  <c r="E166" i="17"/>
  <c r="D167" i="17"/>
  <c r="E167" i="17"/>
  <c r="D168" i="17"/>
  <c r="E168" i="17"/>
  <c r="D169" i="17"/>
  <c r="E169" i="17"/>
  <c r="D170" i="17"/>
  <c r="E170" i="17"/>
  <c r="D171" i="17"/>
  <c r="E171" i="17"/>
  <c r="D172" i="17"/>
  <c r="E172" i="17"/>
  <c r="D173" i="17"/>
  <c r="E173" i="17"/>
  <c r="D174" i="17"/>
  <c r="E174" i="17"/>
  <c r="D175" i="17"/>
  <c r="E175" i="17"/>
  <c r="D176" i="17"/>
  <c r="E176" i="17"/>
  <c r="D177" i="17"/>
  <c r="E177" i="17"/>
  <c r="D178" i="17"/>
  <c r="E178" i="17"/>
  <c r="D179" i="17"/>
  <c r="E179" i="17"/>
  <c r="D180" i="17"/>
  <c r="E180" i="17"/>
  <c r="D181" i="17"/>
  <c r="E181" i="17"/>
  <c r="D182" i="17"/>
  <c r="E182" i="17"/>
  <c r="D183" i="17"/>
  <c r="E183" i="17"/>
  <c r="D184" i="17"/>
  <c r="E184" i="17"/>
  <c r="D185" i="17"/>
  <c r="E185" i="17"/>
  <c r="D186" i="17"/>
  <c r="E186" i="17"/>
  <c r="D187" i="17"/>
  <c r="E187" i="17"/>
  <c r="D188" i="17"/>
  <c r="E188" i="17"/>
  <c r="D189" i="17"/>
  <c r="E189" i="17"/>
  <c r="D190" i="17"/>
  <c r="E190" i="17"/>
  <c r="D191" i="17"/>
  <c r="E191" i="17"/>
  <c r="D192" i="17"/>
  <c r="E192" i="17"/>
  <c r="D193" i="17"/>
  <c r="E193" i="17"/>
  <c r="D194" i="17"/>
  <c r="E194" i="17"/>
  <c r="D195" i="17"/>
  <c r="E195" i="17"/>
  <c r="D196" i="17"/>
  <c r="E196" i="17"/>
  <c r="D197" i="17"/>
  <c r="E197" i="17"/>
  <c r="D198" i="17"/>
  <c r="E198" i="17"/>
  <c r="D199" i="17"/>
  <c r="E199" i="17"/>
  <c r="D200" i="17"/>
  <c r="E200" i="17"/>
  <c r="D201" i="17"/>
  <c r="E201" i="17"/>
  <c r="D202" i="17"/>
  <c r="E202" i="17"/>
  <c r="D203" i="17"/>
  <c r="E203" i="17"/>
  <c r="D204" i="17"/>
  <c r="E204" i="17"/>
  <c r="D205" i="17"/>
  <c r="E205" i="17"/>
  <c r="D206" i="17"/>
  <c r="E206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3" i="17"/>
  <c r="E213" i="17"/>
  <c r="D214" i="17"/>
  <c r="E214" i="17"/>
  <c r="D215" i="17"/>
  <c r="E215" i="17"/>
  <c r="D216" i="17"/>
  <c r="E216" i="17"/>
  <c r="D217" i="17"/>
  <c r="E217" i="17"/>
  <c r="D218" i="17"/>
  <c r="E218" i="17"/>
  <c r="D219" i="17"/>
  <c r="E219" i="17"/>
  <c r="D220" i="17"/>
  <c r="E220" i="17"/>
  <c r="D221" i="17"/>
  <c r="E221" i="17"/>
  <c r="D222" i="17"/>
  <c r="E222" i="17"/>
  <c r="D223" i="17"/>
  <c r="E223" i="17"/>
  <c r="D224" i="17"/>
  <c r="E224" i="17"/>
  <c r="D225" i="17"/>
  <c r="E225" i="17"/>
  <c r="D226" i="17"/>
  <c r="E226" i="17"/>
  <c r="D227" i="17"/>
  <c r="E227" i="17"/>
  <c r="D228" i="17"/>
  <c r="E228" i="17"/>
  <c r="D229" i="17"/>
  <c r="E229" i="17"/>
  <c r="D230" i="17"/>
  <c r="E230" i="17"/>
  <c r="D231" i="17"/>
  <c r="E231" i="17"/>
  <c r="D232" i="17"/>
  <c r="E232" i="17"/>
  <c r="D233" i="17"/>
  <c r="E233" i="17"/>
  <c r="D234" i="17"/>
  <c r="E234" i="17"/>
  <c r="D235" i="17"/>
  <c r="E235" i="17"/>
  <c r="D236" i="17"/>
  <c r="E236" i="17"/>
  <c r="D237" i="17"/>
  <c r="E237" i="17"/>
  <c r="D238" i="17"/>
  <c r="E238" i="17"/>
  <c r="D239" i="17"/>
  <c r="E239" i="17"/>
  <c r="D240" i="17"/>
  <c r="E240" i="17"/>
  <c r="D241" i="17"/>
  <c r="E241" i="17"/>
  <c r="D242" i="17"/>
  <c r="E242" i="17"/>
  <c r="D243" i="17"/>
  <c r="E243" i="17"/>
  <c r="D244" i="17"/>
  <c r="E244" i="17"/>
  <c r="D245" i="17"/>
  <c r="E245" i="17"/>
  <c r="D246" i="17"/>
  <c r="E246" i="17"/>
  <c r="D247" i="17"/>
  <c r="E247" i="17"/>
  <c r="D248" i="17"/>
  <c r="E248" i="17"/>
  <c r="D249" i="17"/>
  <c r="E249" i="17"/>
  <c r="D250" i="17"/>
  <c r="E250" i="17"/>
  <c r="D251" i="17"/>
  <c r="E251" i="17"/>
  <c r="D252" i="17"/>
  <c r="E252" i="17"/>
  <c r="D253" i="17"/>
  <c r="E253" i="17"/>
  <c r="D254" i="17"/>
  <c r="E254" i="17"/>
  <c r="D255" i="17"/>
  <c r="E255" i="17"/>
  <c r="D256" i="17"/>
  <c r="E256" i="17"/>
  <c r="D257" i="17"/>
  <c r="E257" i="17"/>
  <c r="D258" i="17"/>
  <c r="E258" i="17"/>
  <c r="D259" i="17"/>
  <c r="E259" i="17"/>
  <c r="D260" i="17"/>
  <c r="E260" i="17"/>
  <c r="D261" i="17"/>
  <c r="E261" i="17"/>
  <c r="D262" i="17"/>
  <c r="E262" i="17"/>
  <c r="D263" i="17"/>
  <c r="E263" i="17"/>
  <c r="D264" i="17"/>
  <c r="E264" i="17"/>
  <c r="D265" i="17"/>
  <c r="E265" i="17"/>
  <c r="D266" i="17"/>
  <c r="E266" i="17"/>
  <c r="D267" i="17"/>
  <c r="E267" i="17"/>
  <c r="D268" i="17"/>
  <c r="E268" i="17"/>
  <c r="D269" i="17"/>
  <c r="E269" i="17"/>
  <c r="D270" i="17"/>
  <c r="E270" i="17"/>
  <c r="D271" i="17"/>
  <c r="E271" i="17"/>
  <c r="D272" i="17"/>
  <c r="E272" i="17"/>
  <c r="D273" i="17"/>
  <c r="E273" i="17"/>
  <c r="D274" i="17"/>
  <c r="E274" i="17"/>
  <c r="D275" i="17"/>
  <c r="E275" i="17"/>
  <c r="D276" i="17"/>
  <c r="E276" i="17"/>
  <c r="D277" i="17"/>
  <c r="E277" i="17"/>
  <c r="D278" i="17"/>
  <c r="E278" i="17"/>
  <c r="D279" i="17"/>
  <c r="E279" i="17"/>
  <c r="D280" i="17"/>
  <c r="E280" i="17"/>
  <c r="D281" i="17"/>
  <c r="E281" i="17"/>
  <c r="D282" i="17"/>
  <c r="E282" i="17"/>
  <c r="D283" i="17"/>
  <c r="E283" i="17"/>
  <c r="D284" i="17"/>
  <c r="E284" i="17"/>
  <c r="D285" i="17"/>
  <c r="E285" i="17"/>
  <c r="D286" i="17"/>
  <c r="E286" i="17"/>
  <c r="D288" i="17"/>
  <c r="E288" i="17"/>
  <c r="D289" i="17"/>
  <c r="E289" i="17"/>
  <c r="D290" i="17"/>
  <c r="E290" i="17"/>
  <c r="D291" i="17"/>
  <c r="E291" i="17"/>
  <c r="D292" i="17"/>
  <c r="E292" i="17"/>
  <c r="D293" i="17"/>
  <c r="E293" i="17"/>
  <c r="D294" i="17"/>
  <c r="E294" i="17"/>
  <c r="D295" i="17"/>
  <c r="E295" i="17"/>
  <c r="D296" i="17"/>
  <c r="E296" i="17"/>
  <c r="D297" i="17"/>
  <c r="E297" i="17"/>
  <c r="D298" i="17"/>
  <c r="E298" i="17"/>
  <c r="D299" i="17"/>
  <c r="E299" i="17"/>
  <c r="D300" i="17"/>
  <c r="E300" i="17"/>
  <c r="D301" i="17"/>
  <c r="E301" i="17"/>
  <c r="D302" i="17"/>
  <c r="E302" i="17"/>
  <c r="D303" i="17"/>
  <c r="E303" i="17"/>
  <c r="D304" i="17"/>
  <c r="E304" i="17"/>
  <c r="D305" i="17"/>
  <c r="E305" i="17"/>
  <c r="D306" i="17"/>
  <c r="E306" i="17"/>
  <c r="D307" i="17"/>
  <c r="E307" i="17"/>
  <c r="D308" i="17"/>
  <c r="E308" i="17"/>
  <c r="D309" i="17"/>
  <c r="E309" i="17"/>
  <c r="D310" i="17"/>
  <c r="E310" i="17"/>
  <c r="D311" i="17"/>
  <c r="E311" i="17"/>
  <c r="D312" i="17"/>
  <c r="E312" i="17"/>
  <c r="D313" i="17"/>
  <c r="E313" i="17"/>
  <c r="D314" i="17"/>
  <c r="E314" i="17"/>
  <c r="D315" i="17"/>
  <c r="E315" i="17"/>
  <c r="D316" i="17"/>
  <c r="E316" i="17"/>
  <c r="D317" i="17"/>
  <c r="E317" i="17"/>
  <c r="D318" i="17"/>
  <c r="E318" i="17"/>
  <c r="D319" i="17"/>
  <c r="E319" i="17"/>
  <c r="D320" i="17"/>
  <c r="E320" i="17"/>
  <c r="D321" i="17"/>
  <c r="E321" i="17"/>
  <c r="D322" i="17"/>
  <c r="E322" i="17"/>
  <c r="D323" i="17"/>
  <c r="E323" i="17"/>
  <c r="D324" i="17"/>
  <c r="E324" i="17"/>
  <c r="D325" i="17"/>
  <c r="E325" i="17"/>
  <c r="D326" i="17"/>
  <c r="E326" i="17"/>
  <c r="D327" i="17"/>
  <c r="E327" i="17"/>
  <c r="D328" i="17"/>
  <c r="E328" i="17"/>
  <c r="D329" i="17"/>
  <c r="E329" i="17"/>
  <c r="D330" i="17"/>
  <c r="E330" i="17"/>
  <c r="D331" i="17"/>
  <c r="E331" i="17"/>
  <c r="D332" i="17"/>
  <c r="E332" i="17"/>
  <c r="D333" i="17"/>
  <c r="E333" i="17"/>
  <c r="D334" i="17"/>
  <c r="E334" i="17"/>
  <c r="D335" i="17"/>
  <c r="E335" i="17"/>
  <c r="D336" i="17"/>
  <c r="E336" i="17"/>
  <c r="D337" i="17"/>
  <c r="E337" i="17"/>
  <c r="D338" i="17"/>
  <c r="E338" i="17"/>
  <c r="D339" i="17"/>
  <c r="E339" i="17"/>
  <c r="D340" i="17"/>
  <c r="E340" i="17"/>
  <c r="D341" i="17"/>
  <c r="E341" i="17"/>
  <c r="D342" i="17"/>
  <c r="E342" i="17"/>
  <c r="D343" i="17"/>
  <c r="E343" i="17"/>
  <c r="D344" i="17"/>
  <c r="E344" i="17"/>
  <c r="D345" i="17"/>
  <c r="E345" i="17"/>
  <c r="D346" i="17"/>
  <c r="E346" i="17"/>
  <c r="D347" i="17"/>
  <c r="E347" i="17"/>
  <c r="D348" i="17"/>
  <c r="E348" i="17"/>
  <c r="D349" i="17"/>
  <c r="E349" i="17"/>
  <c r="D350" i="17"/>
  <c r="E350" i="17"/>
  <c r="D351" i="17"/>
  <c r="E351" i="17"/>
  <c r="D352" i="17"/>
  <c r="E352" i="17"/>
  <c r="D353" i="17"/>
  <c r="E353" i="17"/>
  <c r="D354" i="17"/>
  <c r="E354" i="17"/>
  <c r="D355" i="17"/>
  <c r="E355" i="17"/>
  <c r="D356" i="17"/>
  <c r="E356" i="17"/>
  <c r="D357" i="17"/>
  <c r="E357" i="17"/>
  <c r="D358" i="17"/>
  <c r="E358" i="17"/>
  <c r="D359" i="17"/>
  <c r="E359" i="17"/>
  <c r="D360" i="17"/>
  <c r="E360" i="17"/>
  <c r="D361" i="17"/>
  <c r="E361" i="17"/>
  <c r="D362" i="17"/>
  <c r="E362" i="17"/>
  <c r="D363" i="17"/>
  <c r="E363" i="17"/>
  <c r="D364" i="17"/>
  <c r="E364" i="17"/>
  <c r="D365" i="17"/>
  <c r="E365" i="17"/>
  <c r="D366" i="17"/>
  <c r="E366" i="17"/>
  <c r="D367" i="17"/>
  <c r="E367" i="17"/>
  <c r="D368" i="17"/>
  <c r="E368" i="17"/>
  <c r="D369" i="17"/>
  <c r="E369" i="17"/>
  <c r="D370" i="17"/>
  <c r="E370" i="17"/>
  <c r="D371" i="17"/>
  <c r="E371" i="17"/>
  <c r="D372" i="17"/>
  <c r="E372" i="17"/>
  <c r="D373" i="17"/>
  <c r="E373" i="17"/>
  <c r="D374" i="17"/>
  <c r="E374" i="17"/>
  <c r="D375" i="17"/>
  <c r="E375" i="17"/>
  <c r="D376" i="17"/>
  <c r="E376" i="17"/>
  <c r="D377" i="17"/>
  <c r="E377" i="17"/>
  <c r="D378" i="17"/>
  <c r="E378" i="17"/>
  <c r="D379" i="17"/>
  <c r="E379" i="17"/>
  <c r="D380" i="17"/>
  <c r="E380" i="17"/>
  <c r="D381" i="17"/>
  <c r="E381" i="17"/>
  <c r="D382" i="17"/>
  <c r="E382" i="17"/>
  <c r="D383" i="17"/>
  <c r="E383" i="17"/>
  <c r="D384" i="17"/>
  <c r="E384" i="17"/>
  <c r="D385" i="17"/>
  <c r="E385" i="17"/>
  <c r="D386" i="17"/>
  <c r="E386" i="17"/>
  <c r="D387" i="17"/>
  <c r="E387" i="17"/>
  <c r="D388" i="17"/>
  <c r="E388" i="17"/>
  <c r="D389" i="17"/>
  <c r="E389" i="17"/>
  <c r="D390" i="17"/>
  <c r="E390" i="17"/>
  <c r="D391" i="17"/>
  <c r="E391" i="17"/>
  <c r="D392" i="17"/>
  <c r="E392" i="17"/>
  <c r="D393" i="17"/>
  <c r="E393" i="17"/>
  <c r="D394" i="17"/>
  <c r="E394" i="17"/>
  <c r="D395" i="17"/>
  <c r="E395" i="17"/>
  <c r="D396" i="17"/>
  <c r="E396" i="17"/>
  <c r="D397" i="17"/>
  <c r="E397" i="17"/>
  <c r="D398" i="17"/>
  <c r="E398" i="17"/>
  <c r="D399" i="17"/>
  <c r="E399" i="17"/>
  <c r="D400" i="17"/>
  <c r="E400" i="17"/>
  <c r="D401" i="17"/>
  <c r="E401" i="17"/>
  <c r="D402" i="17"/>
  <c r="E402" i="17"/>
  <c r="D403" i="17"/>
  <c r="E403" i="17"/>
  <c r="D404" i="17"/>
  <c r="E404" i="17"/>
  <c r="D405" i="17"/>
  <c r="E405" i="17"/>
  <c r="D406" i="17"/>
  <c r="E406" i="17"/>
  <c r="D407" i="17"/>
  <c r="E407" i="17"/>
  <c r="D408" i="17"/>
  <c r="E408" i="17"/>
  <c r="D409" i="17"/>
  <c r="E409" i="17"/>
  <c r="D410" i="17"/>
  <c r="E410" i="17"/>
  <c r="D411" i="17"/>
  <c r="E411" i="17"/>
  <c r="D412" i="17"/>
  <c r="E412" i="17"/>
  <c r="D413" i="17"/>
  <c r="E413" i="17"/>
  <c r="D414" i="17"/>
  <c r="E414" i="17"/>
  <c r="D415" i="17"/>
  <c r="E415" i="17"/>
  <c r="D416" i="17"/>
  <c r="E416" i="17"/>
  <c r="D417" i="17"/>
  <c r="E417" i="17"/>
  <c r="D418" i="17"/>
  <c r="E418" i="17"/>
  <c r="D419" i="17"/>
  <c r="E419" i="17"/>
  <c r="D420" i="17"/>
  <c r="E420" i="17"/>
  <c r="D421" i="17"/>
  <c r="E421" i="17"/>
  <c r="D422" i="17"/>
  <c r="E422" i="17"/>
  <c r="D423" i="17"/>
  <c r="E423" i="17"/>
  <c r="D424" i="17"/>
  <c r="E424" i="17"/>
  <c r="D425" i="17"/>
  <c r="E425" i="17"/>
  <c r="D426" i="17"/>
  <c r="E426" i="17"/>
  <c r="D427" i="17"/>
  <c r="E427" i="17"/>
  <c r="D428" i="17"/>
  <c r="E428" i="17"/>
  <c r="D429" i="17"/>
  <c r="E429" i="17"/>
  <c r="D430" i="17"/>
  <c r="E430" i="17"/>
  <c r="D431" i="17"/>
  <c r="E431" i="17"/>
  <c r="D432" i="17"/>
  <c r="E432" i="17"/>
  <c r="D433" i="17"/>
  <c r="E433" i="17"/>
  <c r="D434" i="17"/>
  <c r="E434" i="17"/>
  <c r="D435" i="17"/>
  <c r="E435" i="17"/>
  <c r="D436" i="17"/>
  <c r="E436" i="17"/>
  <c r="D437" i="17"/>
  <c r="E437" i="17"/>
  <c r="D438" i="17"/>
  <c r="E438" i="17"/>
  <c r="D439" i="17"/>
  <c r="E439" i="17"/>
  <c r="D440" i="17"/>
  <c r="E440" i="17"/>
  <c r="D441" i="17"/>
  <c r="E441" i="17"/>
  <c r="D442" i="17"/>
  <c r="E442" i="17"/>
  <c r="D443" i="17"/>
  <c r="E443" i="17"/>
  <c r="D444" i="17"/>
  <c r="E444" i="17"/>
  <c r="D445" i="17"/>
  <c r="E445" i="17"/>
  <c r="D446" i="17"/>
  <c r="E446" i="17"/>
  <c r="D447" i="17"/>
  <c r="E447" i="17"/>
  <c r="D448" i="17"/>
  <c r="E448" i="17"/>
  <c r="D449" i="17"/>
  <c r="E449" i="17"/>
  <c r="D450" i="17"/>
  <c r="E450" i="17"/>
  <c r="D451" i="17"/>
  <c r="E451" i="17"/>
  <c r="D452" i="17"/>
  <c r="E452" i="17"/>
  <c r="D453" i="17"/>
  <c r="E453" i="17"/>
  <c r="D454" i="17"/>
  <c r="E454" i="17"/>
  <c r="D455" i="17"/>
  <c r="E455" i="17"/>
  <c r="D456" i="17"/>
  <c r="E456" i="17"/>
  <c r="D457" i="17"/>
  <c r="E457" i="17"/>
  <c r="D458" i="17"/>
  <c r="E458" i="17"/>
  <c r="D459" i="17"/>
  <c r="E459" i="17"/>
  <c r="D460" i="17"/>
  <c r="E460" i="17"/>
  <c r="D461" i="17"/>
  <c r="E461" i="17"/>
  <c r="D462" i="17"/>
  <c r="E462" i="17"/>
  <c r="D463" i="17"/>
  <c r="E463" i="17"/>
  <c r="D464" i="17"/>
  <c r="E464" i="17"/>
  <c r="D465" i="17"/>
  <c r="E465" i="17"/>
  <c r="D466" i="17"/>
  <c r="E466" i="17"/>
  <c r="D467" i="17"/>
  <c r="E467" i="17"/>
  <c r="D468" i="17"/>
  <c r="E468" i="17"/>
  <c r="D469" i="17"/>
  <c r="E469" i="17"/>
  <c r="D470" i="17"/>
  <c r="E470" i="17"/>
  <c r="D471" i="17"/>
  <c r="E471" i="17"/>
  <c r="D472" i="17"/>
  <c r="E472" i="17"/>
  <c r="D473" i="17"/>
  <c r="E473" i="17"/>
  <c r="D474" i="17"/>
  <c r="E474" i="17"/>
  <c r="D475" i="17"/>
  <c r="E475" i="17"/>
  <c r="D476" i="17"/>
  <c r="E476" i="17"/>
  <c r="D477" i="17"/>
  <c r="E477" i="17"/>
  <c r="D478" i="17"/>
  <c r="E478" i="17"/>
  <c r="D479" i="17"/>
  <c r="E479" i="17"/>
  <c r="D480" i="17"/>
  <c r="E480" i="17"/>
  <c r="D481" i="17"/>
  <c r="E481" i="17"/>
  <c r="D482" i="17"/>
  <c r="E482" i="17"/>
  <c r="D483" i="17"/>
  <c r="E483" i="17"/>
  <c r="D484" i="17"/>
  <c r="E484" i="17"/>
  <c r="D485" i="17"/>
  <c r="E485" i="17"/>
  <c r="D486" i="17"/>
  <c r="E486" i="17"/>
  <c r="D487" i="17"/>
  <c r="E487" i="17"/>
  <c r="D488" i="17"/>
  <c r="E488" i="17"/>
  <c r="D489" i="17"/>
  <c r="E489" i="17"/>
  <c r="D490" i="17"/>
  <c r="E490" i="17"/>
  <c r="D491" i="17"/>
  <c r="E491" i="17"/>
  <c r="D492" i="17"/>
  <c r="E492" i="17"/>
  <c r="D493" i="17"/>
  <c r="E493" i="17"/>
  <c r="D494" i="17"/>
  <c r="E494" i="17"/>
  <c r="D495" i="17"/>
  <c r="E495" i="17"/>
  <c r="D496" i="17"/>
  <c r="E496" i="17"/>
  <c r="D497" i="17"/>
  <c r="E497" i="17"/>
  <c r="D498" i="17"/>
  <c r="E498" i="17"/>
  <c r="D499" i="17"/>
  <c r="E499" i="17"/>
  <c r="D500" i="17"/>
  <c r="E500" i="17"/>
  <c r="D501" i="17"/>
  <c r="E501" i="17"/>
  <c r="D502" i="17"/>
  <c r="E502" i="17"/>
  <c r="D503" i="17"/>
  <c r="E503" i="17"/>
  <c r="D504" i="17"/>
  <c r="E504" i="17"/>
  <c r="D505" i="17"/>
  <c r="E505" i="17"/>
  <c r="D506" i="17"/>
  <c r="E506" i="17"/>
  <c r="D507" i="17"/>
  <c r="E507" i="17"/>
  <c r="D508" i="17"/>
  <c r="E508" i="17"/>
  <c r="D509" i="17"/>
  <c r="E509" i="17"/>
  <c r="D510" i="17"/>
  <c r="E510" i="17"/>
  <c r="D511" i="17"/>
  <c r="E511" i="17"/>
  <c r="D512" i="17"/>
  <c r="E512" i="17"/>
  <c r="D513" i="17"/>
  <c r="E513" i="17"/>
  <c r="D514" i="17"/>
  <c r="E514" i="17"/>
  <c r="D515" i="17"/>
  <c r="E515" i="17"/>
  <c r="D516" i="17"/>
  <c r="E516" i="17"/>
  <c r="D517" i="17"/>
  <c r="E517" i="17"/>
  <c r="D518" i="17"/>
  <c r="E518" i="17"/>
  <c r="D519" i="17"/>
  <c r="E519" i="17"/>
  <c r="D520" i="17"/>
  <c r="E520" i="17"/>
  <c r="D521" i="17"/>
  <c r="E521" i="17"/>
  <c r="D522" i="17"/>
  <c r="E522" i="17"/>
  <c r="D523" i="17"/>
  <c r="E523" i="17"/>
  <c r="D524" i="17"/>
  <c r="E524" i="17"/>
  <c r="D525" i="17"/>
  <c r="E525" i="17"/>
  <c r="D526" i="17"/>
  <c r="E526" i="17"/>
  <c r="D527" i="17"/>
  <c r="E527" i="17"/>
  <c r="D528" i="17"/>
  <c r="E528" i="17"/>
  <c r="D529" i="17"/>
  <c r="E529" i="17"/>
  <c r="D530" i="17"/>
  <c r="E530" i="17"/>
  <c r="D531" i="17"/>
  <c r="E531" i="17"/>
  <c r="D532" i="17"/>
  <c r="E532" i="17"/>
  <c r="D533" i="17"/>
  <c r="E533" i="17"/>
  <c r="D534" i="17"/>
  <c r="E534" i="17"/>
  <c r="D535" i="17"/>
  <c r="E535" i="17"/>
  <c r="D536" i="17"/>
  <c r="E536" i="17"/>
  <c r="D537" i="17"/>
  <c r="E537" i="17"/>
  <c r="D538" i="17"/>
  <c r="E538" i="17"/>
  <c r="D539" i="17"/>
  <c r="E539" i="17"/>
  <c r="D540" i="17"/>
  <c r="E540" i="17"/>
  <c r="D541" i="17"/>
  <c r="E541" i="17"/>
  <c r="D542" i="17"/>
  <c r="E542" i="17"/>
  <c r="D543" i="17"/>
  <c r="E543" i="17"/>
  <c r="D544" i="17"/>
  <c r="E544" i="17"/>
  <c r="D545" i="17"/>
  <c r="E545" i="17"/>
  <c r="D546" i="17"/>
  <c r="E546" i="17"/>
  <c r="D547" i="17"/>
  <c r="E547" i="17"/>
  <c r="D548" i="17"/>
  <c r="E548" i="17"/>
  <c r="D549" i="17"/>
  <c r="E549" i="17"/>
  <c r="D550" i="17"/>
  <c r="E550" i="17"/>
  <c r="D551" i="17"/>
  <c r="E551" i="17"/>
  <c r="D552" i="17"/>
  <c r="E552" i="17"/>
  <c r="D553" i="17"/>
  <c r="E553" i="17"/>
  <c r="D554" i="17"/>
  <c r="E554" i="17"/>
  <c r="D555" i="17"/>
  <c r="E555" i="17"/>
  <c r="D556" i="17"/>
  <c r="E556" i="17"/>
  <c r="D557" i="17"/>
  <c r="E557" i="17"/>
  <c r="D558" i="17"/>
  <c r="E558" i="17"/>
  <c r="D559" i="17"/>
  <c r="E559" i="17"/>
  <c r="D560" i="17"/>
  <c r="E560" i="17"/>
  <c r="D561" i="17"/>
  <c r="E561" i="17"/>
  <c r="D562" i="17"/>
  <c r="E562" i="17"/>
  <c r="D563" i="17"/>
  <c r="E563" i="17"/>
  <c r="D564" i="17"/>
  <c r="E564" i="17"/>
  <c r="D565" i="17"/>
  <c r="E565" i="17"/>
  <c r="D566" i="17"/>
  <c r="E566" i="17"/>
  <c r="D567" i="17"/>
  <c r="E567" i="17"/>
  <c r="D568" i="17"/>
  <c r="E568" i="17"/>
  <c r="D569" i="17"/>
  <c r="E569" i="17"/>
  <c r="D570" i="17"/>
  <c r="E570" i="17"/>
  <c r="D571" i="17"/>
  <c r="E571" i="17"/>
  <c r="D572" i="17"/>
  <c r="E572" i="17"/>
  <c r="D573" i="17"/>
  <c r="E573" i="17"/>
  <c r="D574" i="17"/>
  <c r="E574" i="17"/>
  <c r="D575" i="17"/>
  <c r="E575" i="17"/>
  <c r="D576" i="17"/>
  <c r="E576" i="17"/>
  <c r="D577" i="17"/>
  <c r="E577" i="17"/>
  <c r="D578" i="17"/>
  <c r="E578" i="17"/>
  <c r="D579" i="17"/>
  <c r="E579" i="17"/>
  <c r="D580" i="17"/>
  <c r="E580" i="17"/>
  <c r="D581" i="17"/>
  <c r="E581" i="17"/>
  <c r="D582" i="17"/>
  <c r="E582" i="17"/>
  <c r="D583" i="17"/>
  <c r="E583" i="17"/>
  <c r="D584" i="17"/>
  <c r="E584" i="17"/>
  <c r="D585" i="17"/>
  <c r="E585" i="17"/>
  <c r="D586" i="17"/>
  <c r="E586" i="17"/>
  <c r="D587" i="17"/>
  <c r="E587" i="17"/>
  <c r="D588" i="17"/>
  <c r="E588" i="17"/>
  <c r="D589" i="17"/>
  <c r="E589" i="17"/>
  <c r="D590" i="17"/>
  <c r="E590" i="17"/>
  <c r="D591" i="17"/>
  <c r="E591" i="17"/>
  <c r="D592" i="17"/>
  <c r="E592" i="17"/>
  <c r="D593" i="17"/>
  <c r="E593" i="17"/>
  <c r="D594" i="17"/>
  <c r="E594" i="17"/>
  <c r="D595" i="17"/>
  <c r="E595" i="17"/>
  <c r="D596" i="17"/>
  <c r="E596" i="17"/>
  <c r="D597" i="17"/>
  <c r="E597" i="17"/>
  <c r="D598" i="17"/>
  <c r="E598" i="17"/>
  <c r="D599" i="17"/>
  <c r="E599" i="17"/>
  <c r="D600" i="17"/>
  <c r="E600" i="17"/>
  <c r="D601" i="17"/>
  <c r="E601" i="17"/>
  <c r="D602" i="17"/>
  <c r="E602" i="17"/>
  <c r="D603" i="17"/>
  <c r="E603" i="17"/>
  <c r="D604" i="17"/>
  <c r="E604" i="17"/>
  <c r="D605" i="17"/>
  <c r="E605" i="17"/>
  <c r="D606" i="17"/>
  <c r="E606" i="17"/>
  <c r="D607" i="17"/>
  <c r="E607" i="17"/>
  <c r="D608" i="17"/>
  <c r="E608" i="17"/>
  <c r="D609" i="17"/>
  <c r="E609" i="17"/>
  <c r="D610" i="17"/>
  <c r="E610" i="17"/>
  <c r="D611" i="17"/>
  <c r="E611" i="17"/>
  <c r="D612" i="17"/>
  <c r="E612" i="17"/>
  <c r="D613" i="17"/>
  <c r="E613" i="17"/>
  <c r="D614" i="17"/>
  <c r="E614" i="17"/>
  <c r="D615" i="17"/>
  <c r="E615" i="17"/>
  <c r="D616" i="17"/>
  <c r="E616" i="17"/>
  <c r="D617" i="17"/>
  <c r="E617" i="17"/>
  <c r="D618" i="17"/>
  <c r="E618" i="17"/>
  <c r="D619" i="17"/>
  <c r="E619" i="17"/>
  <c r="D620" i="17"/>
  <c r="E620" i="17"/>
  <c r="D621" i="17"/>
  <c r="E621" i="17"/>
  <c r="D622" i="17"/>
  <c r="E622" i="17"/>
  <c r="D623" i="17"/>
  <c r="E623" i="17"/>
  <c r="D624" i="17"/>
  <c r="E624" i="17"/>
  <c r="D625" i="17"/>
  <c r="E625" i="17"/>
  <c r="D626" i="17"/>
  <c r="E626" i="17"/>
  <c r="D627" i="17"/>
  <c r="E627" i="17"/>
  <c r="D628" i="17"/>
  <c r="E628" i="17"/>
  <c r="D629" i="17"/>
  <c r="E629" i="17"/>
  <c r="D630" i="17"/>
  <c r="E630" i="17"/>
  <c r="D631" i="17"/>
  <c r="E631" i="17"/>
  <c r="D632" i="17"/>
  <c r="E632" i="17"/>
  <c r="D633" i="17"/>
  <c r="E633" i="17"/>
  <c r="D634" i="17"/>
  <c r="E634" i="17"/>
  <c r="D635" i="17"/>
  <c r="E635" i="17"/>
  <c r="D636" i="17"/>
  <c r="E636" i="17"/>
  <c r="D637" i="17"/>
  <c r="E637" i="17"/>
  <c r="D638" i="17"/>
  <c r="E638" i="17"/>
  <c r="D639" i="17"/>
  <c r="E639" i="17"/>
  <c r="D640" i="17"/>
  <c r="E640" i="17"/>
  <c r="D641" i="17"/>
  <c r="E641" i="17"/>
  <c r="D642" i="17"/>
  <c r="E642" i="17"/>
  <c r="D643" i="17"/>
  <c r="E643" i="17"/>
  <c r="D644" i="17"/>
  <c r="E644" i="17"/>
  <c r="D645" i="17"/>
  <c r="E645" i="17"/>
  <c r="D646" i="17"/>
  <c r="E646" i="17"/>
  <c r="D647" i="17"/>
  <c r="E647" i="17"/>
  <c r="D648" i="17"/>
  <c r="E648" i="17"/>
  <c r="D649" i="17"/>
  <c r="E649" i="17"/>
  <c r="D650" i="17"/>
  <c r="E650" i="17"/>
  <c r="D651" i="17"/>
  <c r="E651" i="17"/>
  <c r="D652" i="17"/>
  <c r="E652" i="17"/>
  <c r="D653" i="17"/>
  <c r="E653" i="17"/>
  <c r="D654" i="17"/>
  <c r="E654" i="17"/>
  <c r="D655" i="17"/>
  <c r="E655" i="17"/>
  <c r="D656" i="17"/>
  <c r="E656" i="17"/>
  <c r="D657" i="17"/>
  <c r="E657" i="17"/>
  <c r="D658" i="17"/>
  <c r="E658" i="17"/>
  <c r="D659" i="17"/>
  <c r="E659" i="17"/>
  <c r="D660" i="17"/>
  <c r="E660" i="17"/>
  <c r="D661" i="17"/>
  <c r="E661" i="17"/>
  <c r="D662" i="17"/>
  <c r="E662" i="17"/>
  <c r="D663" i="17"/>
  <c r="E663" i="17"/>
  <c r="D670" i="17"/>
  <c r="E670" i="17"/>
  <c r="D671" i="17"/>
  <c r="E671" i="17"/>
  <c r="D672" i="17"/>
  <c r="E672" i="17"/>
  <c r="D673" i="17"/>
  <c r="E673" i="17"/>
  <c r="D674" i="17"/>
  <c r="E674" i="17"/>
  <c r="D675" i="17"/>
  <c r="E675" i="17"/>
  <c r="D676" i="17"/>
  <c r="E676" i="17"/>
  <c r="D677" i="17"/>
  <c r="E677" i="17"/>
  <c r="D678" i="17"/>
  <c r="E678" i="17"/>
  <c r="D679" i="17"/>
  <c r="E679" i="17"/>
  <c r="D680" i="17"/>
  <c r="E680" i="17"/>
  <c r="D681" i="17"/>
  <c r="E681" i="17"/>
  <c r="D682" i="17"/>
  <c r="E682" i="17"/>
  <c r="D683" i="17"/>
  <c r="E683" i="17"/>
  <c r="D684" i="17"/>
  <c r="E684" i="17"/>
  <c r="D685" i="17"/>
  <c r="E685" i="17"/>
  <c r="D686" i="17"/>
  <c r="E686" i="17"/>
  <c r="D687" i="17"/>
  <c r="E687" i="17"/>
  <c r="D688" i="17"/>
  <c r="E688" i="17"/>
  <c r="D689" i="17"/>
  <c r="E689" i="17"/>
  <c r="D690" i="17"/>
  <c r="E690" i="17"/>
  <c r="D691" i="17"/>
  <c r="E691" i="17"/>
  <c r="D692" i="17"/>
  <c r="E692" i="17"/>
  <c r="D693" i="17"/>
  <c r="E693" i="17"/>
  <c r="D694" i="17"/>
  <c r="E694" i="17"/>
  <c r="D695" i="17"/>
  <c r="E695" i="17"/>
  <c r="D696" i="17"/>
  <c r="E696" i="17"/>
  <c r="D697" i="17"/>
  <c r="E697" i="17"/>
  <c r="D698" i="17"/>
  <c r="E698" i="17"/>
  <c r="D699" i="17"/>
  <c r="E699" i="17"/>
  <c r="D700" i="17"/>
  <c r="E700" i="17"/>
  <c r="D701" i="17"/>
  <c r="E701" i="17"/>
  <c r="D702" i="17"/>
  <c r="E702" i="17"/>
  <c r="D703" i="17"/>
  <c r="E703" i="17"/>
  <c r="D704" i="17"/>
  <c r="E704" i="17"/>
  <c r="D705" i="17"/>
  <c r="E705" i="17"/>
  <c r="D706" i="17"/>
  <c r="E706" i="17"/>
  <c r="D707" i="17"/>
  <c r="E707" i="17"/>
  <c r="D708" i="17"/>
  <c r="E708" i="17"/>
  <c r="D709" i="17"/>
  <c r="E709" i="17"/>
  <c r="D710" i="17"/>
  <c r="E710" i="17"/>
  <c r="D711" i="17"/>
  <c r="E711" i="17"/>
  <c r="D712" i="17"/>
  <c r="E712" i="17"/>
  <c r="D713" i="17"/>
  <c r="E713" i="17"/>
  <c r="D714" i="17"/>
  <c r="E714" i="17"/>
  <c r="D715" i="17"/>
  <c r="E715" i="17"/>
  <c r="D716" i="17"/>
  <c r="E716" i="17"/>
  <c r="D717" i="17"/>
  <c r="E717" i="17"/>
  <c r="D718" i="17"/>
  <c r="E718" i="17"/>
  <c r="D719" i="17"/>
  <c r="E719" i="17"/>
  <c r="D720" i="17"/>
  <c r="E720" i="17"/>
  <c r="D721" i="17"/>
  <c r="E721" i="17"/>
  <c r="D722" i="17"/>
  <c r="E722" i="17"/>
  <c r="D729" i="17"/>
  <c r="E729" i="17"/>
  <c r="D730" i="17"/>
  <c r="E730" i="17"/>
  <c r="D731" i="17"/>
  <c r="E731" i="17"/>
  <c r="D732" i="17"/>
  <c r="E732" i="17"/>
  <c r="D733" i="17"/>
  <c r="E733" i="17"/>
  <c r="D734" i="17"/>
  <c r="E734" i="17"/>
  <c r="D735" i="17"/>
  <c r="E735" i="17"/>
  <c r="D736" i="17"/>
  <c r="E736" i="17"/>
  <c r="D737" i="17"/>
  <c r="E737" i="17"/>
  <c r="D738" i="17"/>
  <c r="E738" i="17"/>
  <c r="D739" i="17"/>
  <c r="E739" i="17"/>
  <c r="D740" i="17"/>
  <c r="E740" i="17"/>
  <c r="D741" i="17"/>
  <c r="E741" i="17"/>
  <c r="D742" i="17"/>
  <c r="E742" i="17"/>
  <c r="D743" i="17"/>
  <c r="E743" i="17"/>
  <c r="D744" i="17"/>
  <c r="E744" i="17"/>
  <c r="D745" i="17"/>
  <c r="E745" i="17"/>
  <c r="D746" i="17"/>
  <c r="E746" i="17"/>
  <c r="D747" i="17"/>
  <c r="E747" i="17"/>
  <c r="D748" i="17"/>
  <c r="E748" i="17"/>
  <c r="D749" i="17"/>
  <c r="E749" i="17"/>
  <c r="D750" i="17"/>
  <c r="E750" i="17"/>
  <c r="D751" i="17"/>
  <c r="E751" i="17"/>
  <c r="D752" i="17"/>
  <c r="E752" i="17"/>
  <c r="D753" i="17"/>
  <c r="E753" i="17"/>
  <c r="D754" i="17"/>
  <c r="E754" i="17"/>
  <c r="D755" i="17"/>
  <c r="E755" i="17"/>
  <c r="D756" i="17"/>
  <c r="E756" i="17"/>
  <c r="D757" i="17"/>
  <c r="E757" i="17"/>
  <c r="D758" i="17"/>
  <c r="E758" i="17"/>
  <c r="D759" i="17"/>
  <c r="E759" i="17"/>
  <c r="D760" i="17"/>
  <c r="E760" i="17"/>
  <c r="D761" i="17"/>
  <c r="E761" i="17"/>
  <c r="D762" i="17"/>
  <c r="E762" i="17"/>
  <c r="D763" i="17"/>
  <c r="E763" i="17"/>
  <c r="D764" i="17"/>
  <c r="E764" i="17"/>
  <c r="D765" i="17"/>
  <c r="E765" i="17"/>
  <c r="D766" i="17"/>
  <c r="E766" i="17"/>
  <c r="D767" i="17"/>
  <c r="E767" i="17"/>
  <c r="D768" i="17"/>
  <c r="E768" i="17"/>
  <c r="D769" i="17"/>
  <c r="E769" i="17"/>
  <c r="D770" i="17"/>
  <c r="E770" i="17"/>
  <c r="D771" i="17"/>
  <c r="E771" i="17"/>
  <c r="D772" i="17"/>
  <c r="E772" i="17"/>
  <c r="D773" i="17"/>
  <c r="E773" i="17"/>
  <c r="D774" i="17"/>
  <c r="E774" i="17"/>
  <c r="D775" i="17"/>
  <c r="E775" i="17"/>
  <c r="D776" i="17"/>
  <c r="E776" i="17"/>
  <c r="D777" i="17"/>
  <c r="E777" i="17"/>
  <c r="D778" i="17"/>
  <c r="E778" i="17"/>
  <c r="D779" i="17"/>
  <c r="E779" i="17"/>
  <c r="D780" i="17"/>
  <c r="E780" i="17"/>
  <c r="D781" i="17"/>
  <c r="E781" i="17"/>
  <c r="D782" i="17"/>
  <c r="E782" i="17"/>
  <c r="D783" i="17"/>
  <c r="E783" i="17"/>
  <c r="D784" i="17"/>
  <c r="E784" i="17"/>
  <c r="D785" i="17"/>
  <c r="E785" i="17"/>
  <c r="D786" i="17"/>
  <c r="E786" i="17"/>
  <c r="D787" i="17"/>
  <c r="E787" i="17"/>
  <c r="D788" i="17"/>
  <c r="E788" i="17"/>
  <c r="D789" i="17"/>
  <c r="E789" i="17"/>
  <c r="D790" i="17"/>
  <c r="E790" i="17"/>
  <c r="D791" i="17"/>
  <c r="E791" i="17"/>
  <c r="D792" i="17"/>
  <c r="E792" i="17"/>
  <c r="D793" i="17"/>
  <c r="E793" i="17"/>
  <c r="D794" i="17"/>
  <c r="E794" i="17"/>
  <c r="D795" i="17"/>
  <c r="E795" i="17"/>
  <c r="D796" i="17"/>
  <c r="E796" i="17"/>
  <c r="D797" i="17"/>
  <c r="E797" i="17"/>
  <c r="D798" i="17"/>
  <c r="E798" i="17"/>
  <c r="D799" i="17"/>
  <c r="E799" i="17"/>
  <c r="D800" i="17"/>
  <c r="E800" i="17"/>
  <c r="D801" i="17"/>
  <c r="E801" i="17"/>
  <c r="D802" i="17"/>
  <c r="E802" i="17"/>
  <c r="D803" i="17"/>
  <c r="E803" i="17"/>
  <c r="D804" i="17"/>
  <c r="E804" i="17"/>
  <c r="D805" i="17"/>
  <c r="E805" i="17"/>
  <c r="D806" i="17"/>
  <c r="E806" i="17"/>
  <c r="D809" i="17"/>
  <c r="E809" i="17"/>
  <c r="D810" i="17"/>
  <c r="E810" i="17"/>
  <c r="D811" i="17"/>
  <c r="E811" i="17"/>
  <c r="D813" i="17"/>
  <c r="E813" i="17"/>
  <c r="D814" i="17"/>
  <c r="E814" i="17"/>
  <c r="D815" i="17"/>
  <c r="E815" i="17"/>
  <c r="D817" i="17"/>
  <c r="E817" i="17"/>
  <c r="D818" i="17"/>
  <c r="E818" i="17"/>
  <c r="D819" i="17"/>
  <c r="E819" i="17"/>
  <c r="D821" i="17"/>
  <c r="E821" i="17"/>
  <c r="D822" i="17"/>
  <c r="E822" i="17"/>
  <c r="D823" i="17"/>
  <c r="E823" i="17"/>
  <c r="D824" i="17"/>
  <c r="E824" i="17"/>
  <c r="D825" i="17"/>
  <c r="E825" i="17"/>
  <c r="D826" i="17"/>
  <c r="E826" i="17"/>
  <c r="D827" i="17"/>
  <c r="E827" i="17"/>
  <c r="D828" i="17"/>
  <c r="E828" i="17"/>
  <c r="D829" i="17"/>
  <c r="E829" i="17"/>
  <c r="D830" i="17"/>
  <c r="E830" i="17"/>
  <c r="D831" i="17"/>
  <c r="E831" i="17"/>
  <c r="D832" i="17"/>
  <c r="E832" i="17"/>
  <c r="D833" i="17"/>
  <c r="E833" i="17"/>
  <c r="D834" i="17"/>
  <c r="E834" i="17"/>
  <c r="D835" i="17"/>
  <c r="E835" i="17"/>
  <c r="D836" i="17"/>
  <c r="E836" i="17"/>
  <c r="D837" i="17"/>
  <c r="E837" i="17"/>
  <c r="D838" i="17"/>
  <c r="E838" i="17"/>
  <c r="D839" i="17"/>
  <c r="E839" i="17"/>
  <c r="D840" i="17"/>
  <c r="E840" i="17"/>
  <c r="D841" i="17"/>
  <c r="E841" i="17"/>
  <c r="D842" i="17"/>
  <c r="E842" i="17"/>
  <c r="D843" i="17"/>
  <c r="E843" i="17"/>
  <c r="D844" i="17"/>
  <c r="E844" i="17"/>
  <c r="D845" i="17"/>
  <c r="E845" i="17"/>
  <c r="D846" i="17"/>
  <c r="E846" i="17"/>
  <c r="D847" i="17"/>
  <c r="E847" i="17"/>
  <c r="D848" i="17"/>
  <c r="E848" i="17"/>
  <c r="D849" i="17"/>
  <c r="E849" i="17"/>
  <c r="D850" i="17"/>
  <c r="E850" i="17"/>
  <c r="D851" i="17"/>
  <c r="E851" i="17"/>
  <c r="D852" i="17"/>
  <c r="E852" i="17"/>
  <c r="D853" i="17"/>
  <c r="E853" i="17"/>
  <c r="D854" i="17"/>
  <c r="E854" i="17"/>
  <c r="D855" i="17"/>
  <c r="E855" i="17"/>
  <c r="D856" i="17"/>
  <c r="E856" i="17"/>
  <c r="D857" i="17"/>
  <c r="E857" i="17"/>
  <c r="D858" i="17"/>
  <c r="E858" i="17"/>
  <c r="D859" i="17"/>
  <c r="E859" i="17"/>
  <c r="D860" i="17"/>
  <c r="E860" i="17"/>
  <c r="D861" i="17"/>
  <c r="E861" i="17"/>
  <c r="D862" i="17"/>
  <c r="E862" i="17"/>
  <c r="D863" i="17"/>
  <c r="E863" i="17"/>
  <c r="D864" i="17"/>
  <c r="E864" i="17"/>
  <c r="D865" i="17"/>
  <c r="E865" i="17"/>
  <c r="D866" i="17"/>
  <c r="E866" i="17"/>
  <c r="D867" i="17"/>
  <c r="E867" i="17"/>
  <c r="D868" i="17"/>
  <c r="E868" i="17"/>
  <c r="D869" i="17"/>
  <c r="E869" i="17"/>
  <c r="D870" i="17"/>
  <c r="E870" i="17"/>
  <c r="D871" i="17"/>
  <c r="E871" i="17"/>
  <c r="D872" i="17"/>
  <c r="E872" i="17"/>
  <c r="D873" i="17"/>
  <c r="E873" i="17"/>
  <c r="D874" i="17"/>
  <c r="E874" i="17"/>
  <c r="D875" i="17"/>
  <c r="E875" i="17"/>
  <c r="D876" i="17"/>
  <c r="E876" i="17"/>
  <c r="D877" i="17"/>
  <c r="E877" i="17"/>
  <c r="D878" i="17"/>
  <c r="E878" i="17"/>
  <c r="D879" i="17"/>
  <c r="E879" i="17"/>
  <c r="D891" i="17"/>
  <c r="E891" i="17"/>
  <c r="D892" i="17"/>
  <c r="E892" i="17"/>
  <c r="D893" i="17"/>
  <c r="E893" i="17"/>
  <c r="D894" i="17"/>
  <c r="E894" i="17"/>
  <c r="D895" i="17"/>
  <c r="E895" i="17"/>
  <c r="D896" i="17"/>
  <c r="E896" i="17"/>
  <c r="D897" i="17"/>
  <c r="E897" i="17"/>
  <c r="D898" i="17"/>
  <c r="E898" i="17"/>
  <c r="D899" i="17"/>
  <c r="E899" i="17"/>
  <c r="D900" i="17"/>
  <c r="E900" i="17"/>
  <c r="D901" i="17"/>
  <c r="E901" i="17"/>
  <c r="D902" i="17"/>
  <c r="E902" i="17"/>
  <c r="D903" i="17"/>
  <c r="E903" i="17"/>
  <c r="D904" i="17"/>
  <c r="E904" i="17"/>
  <c r="D905" i="17"/>
  <c r="E905" i="17"/>
  <c r="D906" i="17"/>
  <c r="E906" i="17"/>
  <c r="D907" i="17"/>
  <c r="E907" i="17"/>
  <c r="D908" i="17"/>
  <c r="E908" i="17"/>
  <c r="D909" i="17"/>
  <c r="E909" i="17"/>
  <c r="D910" i="17"/>
  <c r="E910" i="17"/>
  <c r="D911" i="17"/>
  <c r="E911" i="17"/>
  <c r="D912" i="17"/>
  <c r="E912" i="17"/>
  <c r="D913" i="17"/>
  <c r="E913" i="17"/>
  <c r="D924" i="17"/>
  <c r="E924" i="17"/>
  <c r="D925" i="17"/>
  <c r="E925" i="17"/>
  <c r="D926" i="17"/>
  <c r="E926" i="17"/>
  <c r="D927" i="17"/>
  <c r="E927" i="17"/>
  <c r="D932" i="17"/>
  <c r="E932" i="17"/>
  <c r="D933" i="17"/>
  <c r="E933" i="17"/>
  <c r="D934" i="17"/>
  <c r="E934" i="17"/>
  <c r="E936" i="17"/>
  <c r="D937" i="17"/>
  <c r="E937" i="17"/>
  <c r="D938" i="17"/>
  <c r="E938" i="17"/>
  <c r="D939" i="17"/>
  <c r="E939" i="17"/>
  <c r="D940" i="17"/>
  <c r="E940" i="17"/>
  <c r="D941" i="17"/>
  <c r="E941" i="17"/>
  <c r="D942" i="17"/>
  <c r="E942" i="17"/>
  <c r="D943" i="17"/>
  <c r="E943" i="17"/>
  <c r="D944" i="17"/>
  <c r="E944" i="17"/>
  <c r="D945" i="17"/>
  <c r="E945" i="17"/>
  <c r="D946" i="17"/>
  <c r="E946" i="17"/>
  <c r="D947" i="17"/>
  <c r="E947" i="17"/>
  <c r="D948" i="17"/>
  <c r="E948" i="17"/>
  <c r="D949" i="17"/>
  <c r="E949" i="17"/>
  <c r="D950" i="17"/>
  <c r="E950" i="17"/>
  <c r="D951" i="17"/>
  <c r="E951" i="17"/>
  <c r="D952" i="17"/>
  <c r="E952" i="17"/>
  <c r="D953" i="17"/>
  <c r="E953" i="17"/>
  <c r="D954" i="17"/>
  <c r="E954" i="17"/>
  <c r="D955" i="17"/>
  <c r="E955" i="17"/>
  <c r="D956" i="17"/>
  <c r="E956" i="17"/>
  <c r="D957" i="17"/>
  <c r="E957" i="17"/>
  <c r="D958" i="17"/>
  <c r="E958" i="17"/>
  <c r="D959" i="17"/>
  <c r="E959" i="17"/>
  <c r="D960" i="17"/>
  <c r="E960" i="17"/>
  <c r="D961" i="17"/>
  <c r="E961" i="17"/>
  <c r="D964" i="17"/>
  <c r="E964" i="17"/>
  <c r="D965" i="17"/>
  <c r="E965" i="17"/>
  <c r="D966" i="17"/>
  <c r="E966" i="17"/>
  <c r="D967" i="17"/>
  <c r="E967" i="17"/>
  <c r="D968" i="17"/>
  <c r="E968" i="17"/>
  <c r="D969" i="17"/>
  <c r="E969" i="17"/>
  <c r="D970" i="17"/>
  <c r="E970" i="17"/>
  <c r="D971" i="17"/>
  <c r="E971" i="17"/>
  <c r="D972" i="17"/>
  <c r="E972" i="17"/>
  <c r="D973" i="17"/>
  <c r="E973" i="17"/>
  <c r="D974" i="17"/>
  <c r="E974" i="17"/>
  <c r="D975" i="17"/>
  <c r="E975" i="17"/>
  <c r="D976" i="17"/>
  <c r="E976" i="17"/>
  <c r="D977" i="17"/>
  <c r="E977" i="17"/>
  <c r="D978" i="17"/>
  <c r="E978" i="17"/>
  <c r="D980" i="17"/>
  <c r="E980" i="17"/>
  <c r="D981" i="17"/>
  <c r="E981" i="17"/>
  <c r="D982" i="17"/>
  <c r="E982" i="17"/>
  <c r="D986" i="17"/>
  <c r="E986" i="17"/>
  <c r="D987" i="17"/>
  <c r="E987" i="17"/>
  <c r="D990" i="17"/>
  <c r="E990" i="17"/>
  <c r="D991" i="17"/>
  <c r="E991" i="17"/>
  <c r="D992" i="17"/>
  <c r="E992" i="17"/>
  <c r="D993" i="17"/>
  <c r="E993" i="17"/>
  <c r="D994" i="17"/>
  <c r="E994" i="17"/>
  <c r="D995" i="17"/>
  <c r="E995" i="17"/>
  <c r="D996" i="17"/>
  <c r="E996" i="17"/>
  <c r="D997" i="17"/>
  <c r="E997" i="17"/>
  <c r="D998" i="17"/>
  <c r="E998" i="17"/>
  <c r="D999" i="17"/>
  <c r="E999" i="17"/>
  <c r="D1000" i="17"/>
  <c r="E1000" i="17"/>
  <c r="D1001" i="17"/>
  <c r="E1001" i="17"/>
  <c r="D1002" i="17"/>
  <c r="E1002" i="17"/>
  <c r="D1003" i="17"/>
  <c r="E1003" i="17"/>
  <c r="D1004" i="17"/>
  <c r="E1004" i="17"/>
  <c r="D1005" i="17"/>
  <c r="E1005" i="17"/>
  <c r="D1006" i="17"/>
  <c r="E1006" i="17"/>
  <c r="D1007" i="17"/>
  <c r="E1007" i="17"/>
  <c r="D1008" i="17"/>
  <c r="E1008" i="17"/>
  <c r="D1009" i="17"/>
  <c r="E1009" i="17"/>
  <c r="D1010" i="17"/>
  <c r="E1010" i="17"/>
  <c r="D1011" i="17"/>
  <c r="E1011" i="17"/>
  <c r="D1012" i="17"/>
  <c r="E1012" i="17"/>
  <c r="D1013" i="17"/>
  <c r="E1013" i="17"/>
  <c r="D1014" i="17"/>
  <c r="E1014" i="17"/>
  <c r="D1015" i="17"/>
  <c r="E1015" i="17"/>
  <c r="D1016" i="17"/>
  <c r="E1016" i="17"/>
  <c r="D1017" i="17"/>
  <c r="E1017" i="17"/>
  <c r="D1018" i="17"/>
  <c r="E1018" i="17"/>
  <c r="D1019" i="17"/>
  <c r="E1019" i="17"/>
  <c r="D1020" i="17"/>
  <c r="E1020" i="17"/>
  <c r="D1021" i="17"/>
  <c r="E1021" i="17"/>
  <c r="D1022" i="17"/>
  <c r="E1022" i="17"/>
  <c r="D1023" i="17"/>
  <c r="E1023" i="17"/>
  <c r="D1024" i="17"/>
  <c r="E1024" i="17"/>
  <c r="D1025" i="17"/>
  <c r="E1025" i="17"/>
  <c r="D1026" i="17"/>
  <c r="E1026" i="17"/>
  <c r="D1027" i="17"/>
  <c r="E1027" i="17"/>
  <c r="D1038" i="17"/>
  <c r="E1038" i="17"/>
  <c r="D1039" i="17"/>
  <c r="E1039" i="17"/>
  <c r="D1040" i="17"/>
  <c r="E1040" i="17"/>
  <c r="D1041" i="17"/>
  <c r="E1041" i="17"/>
  <c r="D1042" i="17"/>
  <c r="E1042" i="17"/>
  <c r="D1043" i="17"/>
  <c r="E1043" i="17"/>
  <c r="D1044" i="17"/>
  <c r="E1044" i="17"/>
  <c r="D1045" i="17"/>
  <c r="E1045" i="17"/>
  <c r="D1046" i="17"/>
  <c r="E1046" i="17"/>
  <c r="D1047" i="17"/>
  <c r="E1047" i="17"/>
  <c r="D1048" i="17"/>
  <c r="E1048" i="17"/>
  <c r="D1049" i="17"/>
  <c r="E1049" i="17"/>
  <c r="D1050" i="17"/>
  <c r="E1050" i="17"/>
  <c r="D1051" i="17"/>
  <c r="E1051" i="17"/>
  <c r="D1052" i="17"/>
  <c r="E1052" i="17"/>
  <c r="D1053" i="17"/>
  <c r="E1053" i="17"/>
  <c r="D1054" i="17"/>
  <c r="E1054" i="17"/>
  <c r="D1055" i="17"/>
  <c r="E1055" i="17"/>
  <c r="D1056" i="17"/>
  <c r="E1056" i="17"/>
  <c r="D1057" i="17"/>
  <c r="E1057" i="17"/>
  <c r="D1058" i="17"/>
  <c r="E1058" i="17"/>
  <c r="D1059" i="17"/>
  <c r="E1059" i="17"/>
  <c r="D1060" i="17"/>
  <c r="E1060" i="17"/>
  <c r="D1061" i="17"/>
  <c r="E1061" i="17"/>
  <c r="D1062" i="17"/>
  <c r="E1062" i="17"/>
  <c r="D1063" i="17"/>
  <c r="E1063" i="17"/>
  <c r="D1064" i="17"/>
  <c r="E1064" i="17"/>
  <c r="D1065" i="17"/>
  <c r="E1065" i="17"/>
  <c r="D1066" i="17"/>
  <c r="E1066" i="17"/>
  <c r="D97" i="15"/>
  <c r="D35" i="44"/>
  <c r="C35" i="44"/>
  <c r="G184" i="15"/>
  <c r="E184" i="15"/>
  <c r="D184" i="15"/>
  <c r="C184" i="15"/>
  <c r="B184" i="15"/>
  <c r="AA879" i="17"/>
  <c r="Z879" i="17"/>
  <c r="Y879" i="17"/>
  <c r="X879" i="17"/>
  <c r="W879" i="17"/>
  <c r="AA878" i="17"/>
  <c r="Z878" i="17"/>
  <c r="Y878" i="17"/>
  <c r="X878" i="17"/>
  <c r="W878" i="17"/>
  <c r="M294" i="14"/>
  <c r="AA1039" i="17"/>
  <c r="Z1039" i="17"/>
  <c r="Y1039" i="17"/>
  <c r="X1039" i="17"/>
  <c r="W1039" i="17"/>
  <c r="AA1040" i="17"/>
  <c r="Z1040" i="17"/>
  <c r="Y1040" i="17"/>
  <c r="X1040" i="17"/>
  <c r="W1040" i="17"/>
  <c r="AA1042" i="17"/>
  <c r="Z1042" i="17"/>
  <c r="Y1042" i="17"/>
  <c r="X1042" i="17"/>
  <c r="W1042" i="17"/>
  <c r="AA1041" i="17"/>
  <c r="Z1041" i="17"/>
  <c r="Y1041" i="17"/>
  <c r="X1041" i="17"/>
  <c r="W1041" i="17"/>
  <c r="G268" i="15"/>
  <c r="E268" i="15"/>
  <c r="D268" i="15"/>
  <c r="C268" i="15"/>
  <c r="B268" i="15"/>
  <c r="M368" i="14"/>
  <c r="G267" i="15"/>
  <c r="E267" i="15"/>
  <c r="D267" i="15"/>
  <c r="C267" i="15"/>
  <c r="B267" i="15"/>
  <c r="W1038" i="17"/>
  <c r="X1038" i="17"/>
  <c r="Y1038" i="17"/>
  <c r="Z1038" i="17"/>
  <c r="AA1038" i="17"/>
  <c r="M367" i="14"/>
  <c r="G135" i="44"/>
  <c r="D135" i="44"/>
  <c r="C135" i="44"/>
  <c r="G203" i="15"/>
  <c r="E203" i="15"/>
  <c r="D203" i="15"/>
  <c r="C203" i="15"/>
  <c r="AA936" i="17"/>
  <c r="Z936" i="17"/>
  <c r="Y936" i="17"/>
  <c r="X936" i="17"/>
  <c r="W936" i="17"/>
  <c r="AA934" i="17"/>
  <c r="Z934" i="17"/>
  <c r="Y934" i="17"/>
  <c r="X934" i="17"/>
  <c r="W934" i="17"/>
  <c r="M266" i="14"/>
  <c r="G158" i="44"/>
  <c r="C158" i="44"/>
  <c r="E262" i="15"/>
  <c r="D262" i="15"/>
  <c r="C262" i="15"/>
  <c r="B262" i="15"/>
  <c r="AA1027" i="17"/>
  <c r="Z1027" i="17"/>
  <c r="Y1027" i="17"/>
  <c r="X1027" i="17"/>
  <c r="W1027" i="17"/>
  <c r="M362" i="14"/>
  <c r="G155" i="15"/>
  <c r="E155" i="15"/>
  <c r="D155" i="15"/>
  <c r="C155" i="15"/>
  <c r="B155" i="15"/>
  <c r="G116" i="44"/>
  <c r="D116" i="44"/>
  <c r="C116" i="44"/>
  <c r="AA806" i="17"/>
  <c r="Z806" i="17"/>
  <c r="Y806" i="17"/>
  <c r="X806" i="17"/>
  <c r="W806" i="17"/>
  <c r="AA805" i="17"/>
  <c r="Z805" i="17"/>
  <c r="Y805" i="17"/>
  <c r="X805" i="17"/>
  <c r="W805" i="17"/>
  <c r="M241" i="14"/>
  <c r="G76" i="44"/>
  <c r="D76" i="44"/>
  <c r="C76" i="44"/>
  <c r="G97" i="15"/>
  <c r="E97" i="15"/>
  <c r="C97" i="15"/>
  <c r="B97" i="15"/>
  <c r="W661" i="17"/>
  <c r="X661" i="17"/>
  <c r="Y661" i="17"/>
  <c r="Z661" i="17"/>
  <c r="AA661" i="17"/>
  <c r="W662" i="17"/>
  <c r="X662" i="17"/>
  <c r="Y662" i="17"/>
  <c r="Z662" i="17"/>
  <c r="AA662" i="17"/>
  <c r="W663" i="17"/>
  <c r="X663" i="17"/>
  <c r="Y663" i="17"/>
  <c r="Z663" i="17"/>
  <c r="AA663" i="17"/>
  <c r="M181" i="14"/>
  <c r="G90" i="44"/>
  <c r="D90" i="44"/>
  <c r="C90" i="44"/>
  <c r="G232" i="15"/>
  <c r="E232" i="15"/>
  <c r="D232" i="15"/>
  <c r="C232" i="15"/>
  <c r="B232" i="15"/>
  <c r="AA978" i="17"/>
  <c r="Z978" i="17"/>
  <c r="Y978" i="17"/>
  <c r="X978" i="17"/>
  <c r="W978" i="17"/>
  <c r="M328" i="14"/>
  <c r="G115" i="44"/>
  <c r="D115" i="44"/>
  <c r="C115" i="44"/>
  <c r="G154" i="15"/>
  <c r="E154" i="15"/>
  <c r="D154" i="15"/>
  <c r="C154" i="15"/>
  <c r="B154" i="15"/>
  <c r="AA804" i="17"/>
  <c r="Z804" i="17"/>
  <c r="Y804" i="17"/>
  <c r="X804" i="17"/>
  <c r="W804" i="17"/>
  <c r="AA803" i="17"/>
  <c r="Z803" i="17"/>
  <c r="Y803" i="17"/>
  <c r="X803" i="17"/>
  <c r="W803" i="17"/>
  <c r="M240" i="14"/>
  <c r="B270" i="15"/>
  <c r="C270" i="15"/>
  <c r="D270" i="15"/>
  <c r="E270" i="15"/>
  <c r="G270" i="15"/>
  <c r="D166" i="44"/>
  <c r="C166" i="44"/>
  <c r="B308" i="15"/>
  <c r="C308" i="15"/>
  <c r="D308" i="15"/>
  <c r="E308" i="15"/>
  <c r="W301" i="17"/>
  <c r="X301" i="17"/>
  <c r="Y301" i="17"/>
  <c r="Z301" i="17"/>
  <c r="AA301" i="17"/>
  <c r="M89" i="14"/>
  <c r="D34" i="44"/>
  <c r="C34" i="44"/>
  <c r="G183" i="15"/>
  <c r="E183" i="15"/>
  <c r="D183" i="15"/>
  <c r="C183" i="15"/>
  <c r="B183" i="15"/>
  <c r="AA877" i="17"/>
  <c r="Z877" i="17"/>
  <c r="Y877" i="17"/>
  <c r="X877" i="17"/>
  <c r="W877" i="17"/>
  <c r="AA876" i="17"/>
  <c r="Z876" i="17"/>
  <c r="Y876" i="17"/>
  <c r="X876" i="17"/>
  <c r="W876" i="17"/>
  <c r="M293" i="14"/>
  <c r="G123" i="44"/>
  <c r="D123" i="44"/>
  <c r="C123" i="44"/>
  <c r="G192" i="15"/>
  <c r="E192" i="15"/>
  <c r="D192" i="15"/>
  <c r="C192" i="15"/>
  <c r="B192" i="15"/>
  <c r="AA913" i="17"/>
  <c r="Z913" i="17"/>
  <c r="Y913" i="17"/>
  <c r="X913" i="17"/>
  <c r="W913" i="17"/>
  <c r="AA912" i="17"/>
  <c r="Z912" i="17"/>
  <c r="Y912" i="17"/>
  <c r="X912" i="17"/>
  <c r="W912" i="17"/>
  <c r="M254" i="14"/>
  <c r="C3" i="20"/>
  <c r="C4" i="20"/>
  <c r="C5" i="20"/>
  <c r="C6" i="20"/>
  <c r="C7" i="20"/>
  <c r="C8" i="20"/>
  <c r="C9" i="20"/>
  <c r="C10" i="20"/>
  <c r="C11" i="20"/>
  <c r="C12" i="20"/>
  <c r="C13" i="20"/>
  <c r="C14" i="20"/>
  <c r="C2" i="20"/>
  <c r="C165" i="44"/>
  <c r="E307" i="15"/>
  <c r="D307" i="15"/>
  <c r="C307" i="15"/>
  <c r="B307" i="15"/>
  <c r="AA300" i="17"/>
  <c r="Z300" i="17"/>
  <c r="Y300" i="17"/>
  <c r="X300" i="17"/>
  <c r="W300" i="17"/>
  <c r="AA299" i="17"/>
  <c r="Z299" i="17"/>
  <c r="Y299" i="17"/>
  <c r="X299" i="17"/>
  <c r="W299" i="17"/>
  <c r="M88" i="14"/>
  <c r="G216" i="15"/>
  <c r="E216" i="15"/>
  <c r="D216" i="15"/>
  <c r="C216" i="15"/>
  <c r="B216" i="15"/>
  <c r="G150" i="44"/>
  <c r="C150" i="44"/>
  <c r="G133" i="44"/>
  <c r="D133" i="44"/>
  <c r="C133" i="44"/>
  <c r="G201" i="15"/>
  <c r="E201" i="15"/>
  <c r="D201" i="15"/>
  <c r="C201" i="15"/>
  <c r="B201" i="15"/>
  <c r="AA932" i="17"/>
  <c r="Z932" i="17"/>
  <c r="Y932" i="17"/>
  <c r="X932" i="17"/>
  <c r="W932" i="17"/>
  <c r="AA933" i="17"/>
  <c r="Z933" i="17"/>
  <c r="Y933" i="17"/>
  <c r="X933" i="17"/>
  <c r="W933" i="17"/>
  <c r="M264" i="14"/>
  <c r="AA961" i="17"/>
  <c r="Z961" i="17"/>
  <c r="Y961" i="17"/>
  <c r="X961" i="17"/>
  <c r="W961" i="17"/>
  <c r="AA960" i="17"/>
  <c r="Z960" i="17"/>
  <c r="Y960" i="17"/>
  <c r="X960" i="17"/>
  <c r="W960" i="17"/>
  <c r="AA959" i="17"/>
  <c r="Z959" i="17"/>
  <c r="Y959" i="17"/>
  <c r="X959" i="17"/>
  <c r="W959" i="17"/>
  <c r="M312" i="14"/>
  <c r="G269" i="15"/>
  <c r="G273" i="15"/>
  <c r="B269" i="15"/>
  <c r="C269" i="15"/>
  <c r="D269" i="15"/>
  <c r="E269" i="15"/>
  <c r="X1057" i="17"/>
  <c r="Y1057" i="17"/>
  <c r="Z1057" i="17"/>
  <c r="AA1057" i="17"/>
  <c r="X1058" i="17"/>
  <c r="Y1058" i="17"/>
  <c r="Z1058" i="17"/>
  <c r="AA1058" i="17"/>
  <c r="X1059" i="17"/>
  <c r="Y1059" i="17"/>
  <c r="Z1059" i="17"/>
  <c r="AA1059" i="17"/>
  <c r="X1060" i="17"/>
  <c r="Y1060" i="17"/>
  <c r="Z1060" i="17"/>
  <c r="AA1060" i="17"/>
  <c r="X1061" i="17"/>
  <c r="Y1061" i="17"/>
  <c r="Z1061" i="17"/>
  <c r="AA1061" i="17"/>
  <c r="X1062" i="17"/>
  <c r="Y1062" i="17"/>
  <c r="Z1062" i="17"/>
  <c r="AA1062" i="17"/>
  <c r="X1063" i="17"/>
  <c r="Y1063" i="17"/>
  <c r="Z1063" i="17"/>
  <c r="AA1063" i="17"/>
  <c r="X1064" i="17"/>
  <c r="Y1064" i="17"/>
  <c r="Z1064" i="17"/>
  <c r="AA1064" i="17"/>
  <c r="X1065" i="17"/>
  <c r="Y1065" i="17"/>
  <c r="Z1065" i="17"/>
  <c r="AA1065" i="17"/>
  <c r="X1066" i="17"/>
  <c r="Y1066" i="17"/>
  <c r="Z1066" i="17"/>
  <c r="AA1066" i="17"/>
  <c r="D32" i="44"/>
  <c r="C32" i="44"/>
  <c r="G191" i="15"/>
  <c r="E191" i="15"/>
  <c r="D191" i="15"/>
  <c r="C191" i="15"/>
  <c r="B191" i="15"/>
  <c r="G157" i="44"/>
  <c r="C157" i="44"/>
  <c r="E261" i="15"/>
  <c r="D261" i="15"/>
  <c r="C261" i="15"/>
  <c r="B261" i="15"/>
  <c r="AA1026" i="17"/>
  <c r="Z1026" i="17"/>
  <c r="Y1026" i="17"/>
  <c r="X1026" i="17"/>
  <c r="W1026" i="17"/>
  <c r="M361" i="14"/>
  <c r="E181" i="15"/>
  <c r="D181" i="15"/>
  <c r="C181" i="15"/>
  <c r="B181" i="15"/>
  <c r="E273" i="15"/>
  <c r="D273" i="15"/>
  <c r="C273" i="15"/>
  <c r="B273" i="15"/>
  <c r="D33" i="44"/>
  <c r="C33" i="44"/>
  <c r="G182" i="15"/>
  <c r="E182" i="15"/>
  <c r="D182" i="15"/>
  <c r="C182" i="15"/>
  <c r="B182" i="15"/>
  <c r="AA875" i="17"/>
  <c r="Z875" i="17"/>
  <c r="Y875" i="17"/>
  <c r="X875" i="17"/>
  <c r="W875" i="17"/>
  <c r="M292" i="14"/>
  <c r="C164" i="44"/>
  <c r="E306" i="15"/>
  <c r="D306" i="15"/>
  <c r="C306" i="15"/>
  <c r="B306" i="15"/>
  <c r="AA298" i="17"/>
  <c r="Z298" i="17"/>
  <c r="Y298" i="17"/>
  <c r="X298" i="17"/>
  <c r="W298" i="17"/>
  <c r="M87" i="14"/>
  <c r="E180" i="15"/>
  <c r="D180" i="15"/>
  <c r="C180" i="15"/>
  <c r="B180" i="15"/>
  <c r="AA874" i="17"/>
  <c r="Z874" i="17"/>
  <c r="Y874" i="17"/>
  <c r="X874" i="17"/>
  <c r="W874" i="17"/>
  <c r="AA873" i="17"/>
  <c r="Z873" i="17"/>
  <c r="Y873" i="17"/>
  <c r="X873" i="17"/>
  <c r="W873" i="17"/>
  <c r="M291" i="14"/>
  <c r="AA872" i="17"/>
  <c r="Z872" i="17"/>
  <c r="Y872" i="17"/>
  <c r="X872" i="17"/>
  <c r="W872" i="17"/>
  <c r="AA871" i="17"/>
  <c r="Z871" i="17"/>
  <c r="Y871" i="17"/>
  <c r="X871" i="17"/>
  <c r="W871" i="17"/>
  <c r="M290" i="14"/>
  <c r="D106" i="44"/>
  <c r="C106" i="44"/>
  <c r="G25" i="15"/>
  <c r="E25" i="15"/>
  <c r="D25" i="15"/>
  <c r="C25" i="15"/>
  <c r="B25" i="15"/>
  <c r="G130" i="44"/>
  <c r="D130" i="44"/>
  <c r="C130" i="44"/>
  <c r="AA927" i="17"/>
  <c r="Z927" i="17"/>
  <c r="Y927" i="17"/>
  <c r="X927" i="17"/>
  <c r="W927" i="17"/>
  <c r="AA926" i="17"/>
  <c r="Z926" i="17"/>
  <c r="Y926" i="17"/>
  <c r="X926" i="17"/>
  <c r="W926" i="17"/>
  <c r="M261" i="14"/>
  <c r="AA223" i="17"/>
  <c r="Z223" i="17"/>
  <c r="Y223" i="17"/>
  <c r="X223" i="17"/>
  <c r="W223" i="17"/>
  <c r="G215" i="15"/>
  <c r="G241" i="15"/>
  <c r="E241" i="15"/>
  <c r="D241" i="15"/>
  <c r="C241" i="15"/>
  <c r="B241" i="15"/>
  <c r="E215" i="15"/>
  <c r="D215" i="15"/>
  <c r="C215" i="15"/>
  <c r="B215" i="15"/>
  <c r="C149" i="44"/>
  <c r="G148" i="44"/>
  <c r="C148" i="44"/>
  <c r="G92" i="44"/>
  <c r="D92" i="44"/>
  <c r="C92" i="44"/>
  <c r="G236" i="15"/>
  <c r="E236" i="15"/>
  <c r="D236" i="15"/>
  <c r="C236" i="15"/>
  <c r="B236" i="15"/>
  <c r="AA982" i="17"/>
  <c r="Z982" i="17"/>
  <c r="Y982" i="17"/>
  <c r="X982" i="17"/>
  <c r="W982" i="17"/>
  <c r="M332" i="14"/>
  <c r="G297" i="15"/>
  <c r="D305" i="15"/>
  <c r="C163" i="44"/>
  <c r="D147" i="44"/>
  <c r="G109" i="15"/>
  <c r="B109" i="15"/>
  <c r="C109" i="15"/>
  <c r="D109" i="15"/>
  <c r="E109" i="15"/>
  <c r="C147" i="44"/>
  <c r="G147" i="44"/>
  <c r="W718" i="17"/>
  <c r="X718" i="17"/>
  <c r="Y718" i="17"/>
  <c r="Z718" i="17"/>
  <c r="AA718" i="17"/>
  <c r="W719" i="17"/>
  <c r="X719" i="17"/>
  <c r="Y719" i="17"/>
  <c r="Z719" i="17"/>
  <c r="AA719" i="17"/>
  <c r="W720" i="17"/>
  <c r="X720" i="17"/>
  <c r="Y720" i="17"/>
  <c r="Z720" i="17"/>
  <c r="AA720" i="17"/>
  <c r="W721" i="17"/>
  <c r="X721" i="17"/>
  <c r="Y721" i="17"/>
  <c r="Z721" i="17"/>
  <c r="AA721" i="17"/>
  <c r="W722" i="17"/>
  <c r="X722" i="17"/>
  <c r="Y722" i="17"/>
  <c r="Z722" i="17"/>
  <c r="AA722" i="17"/>
  <c r="M195" i="14"/>
  <c r="AA987" i="17"/>
  <c r="Z987" i="17"/>
  <c r="Y987" i="17"/>
  <c r="X987" i="17"/>
  <c r="W987" i="17"/>
  <c r="M337" i="14"/>
  <c r="E305" i="15"/>
  <c r="C305" i="15"/>
  <c r="B305" i="15"/>
  <c r="AA958" i="17"/>
  <c r="Z958" i="17"/>
  <c r="Y958" i="17"/>
  <c r="X958" i="17"/>
  <c r="W958" i="17"/>
  <c r="AA957" i="17"/>
  <c r="Z957" i="17"/>
  <c r="Y957" i="17"/>
  <c r="X957" i="17"/>
  <c r="W957" i="17"/>
  <c r="M311" i="14"/>
  <c r="AA297" i="17"/>
  <c r="Z297" i="17"/>
  <c r="Y297" i="17"/>
  <c r="X297" i="17"/>
  <c r="W297" i="17"/>
  <c r="M86" i="14"/>
  <c r="G153" i="15"/>
  <c r="E153" i="15"/>
  <c r="D153" i="15"/>
  <c r="C153" i="15"/>
  <c r="B153" i="15"/>
  <c r="G114" i="44"/>
  <c r="D114" i="44"/>
  <c r="C114" i="44"/>
  <c r="H1023" i="17"/>
  <c r="AA421" i="17"/>
  <c r="Z421" i="17"/>
  <c r="Y421" i="17"/>
  <c r="X421" i="17"/>
  <c r="W421" i="17"/>
  <c r="AA420" i="17"/>
  <c r="Z420" i="17"/>
  <c r="Y420" i="17"/>
  <c r="X420" i="17"/>
  <c r="W420" i="17"/>
  <c r="AA419" i="17"/>
  <c r="Z419" i="17"/>
  <c r="Y419" i="17"/>
  <c r="X419" i="17"/>
  <c r="W419" i="17"/>
  <c r="AA418" i="17"/>
  <c r="Z418" i="17"/>
  <c r="Y418" i="17"/>
  <c r="X418" i="17"/>
  <c r="W418" i="17"/>
  <c r="AA417" i="17"/>
  <c r="Z417" i="17"/>
  <c r="Y417" i="17"/>
  <c r="X417" i="17"/>
  <c r="W417" i="17"/>
  <c r="AA416" i="17"/>
  <c r="Z416" i="17"/>
  <c r="Y416" i="17"/>
  <c r="X416" i="17"/>
  <c r="W416" i="17"/>
  <c r="AA415" i="17"/>
  <c r="Z415" i="17"/>
  <c r="Y415" i="17"/>
  <c r="X415" i="17"/>
  <c r="W415" i="17"/>
  <c r="AA414" i="17"/>
  <c r="Z414" i="17"/>
  <c r="Y414" i="17"/>
  <c r="X414" i="17"/>
  <c r="W414" i="17"/>
  <c r="AA413" i="17"/>
  <c r="Z413" i="17"/>
  <c r="Y413" i="17"/>
  <c r="X413" i="17"/>
  <c r="W413" i="17"/>
  <c r="AA412" i="17"/>
  <c r="Z412" i="17"/>
  <c r="Y412" i="17"/>
  <c r="X412" i="17"/>
  <c r="W412" i="17"/>
  <c r="AA411" i="17"/>
  <c r="Z411" i="17"/>
  <c r="Y411" i="17"/>
  <c r="X411" i="17"/>
  <c r="W411" i="17"/>
  <c r="AA410" i="17"/>
  <c r="Z410" i="17"/>
  <c r="Y410" i="17"/>
  <c r="X410" i="17"/>
  <c r="W410" i="17"/>
  <c r="AA409" i="17"/>
  <c r="Z409" i="17"/>
  <c r="Y409" i="17"/>
  <c r="X409" i="17"/>
  <c r="W409" i="17"/>
  <c r="AA408" i="17"/>
  <c r="Z408" i="17"/>
  <c r="Y408" i="17"/>
  <c r="X408" i="17"/>
  <c r="W408" i="17"/>
  <c r="AA407" i="17"/>
  <c r="Z407" i="17"/>
  <c r="Y407" i="17"/>
  <c r="X407" i="17"/>
  <c r="W407" i="17"/>
  <c r="M99" i="14"/>
  <c r="A45" i="44"/>
  <c r="G29" i="44"/>
  <c r="D29" i="44"/>
  <c r="C29" i="44"/>
  <c r="G179" i="15"/>
  <c r="E179" i="15"/>
  <c r="D179" i="15"/>
  <c r="C179" i="15"/>
  <c r="B179" i="15"/>
  <c r="AA870" i="17"/>
  <c r="Z870" i="17"/>
  <c r="Y870" i="17"/>
  <c r="X870" i="17"/>
  <c r="W870" i="17"/>
  <c r="AA869" i="17"/>
  <c r="Z869" i="17"/>
  <c r="Y869" i="17"/>
  <c r="X869" i="17"/>
  <c r="W869" i="17"/>
  <c r="M289" i="14"/>
  <c r="G89" i="44"/>
  <c r="D89" i="44"/>
  <c r="C89" i="44"/>
  <c r="G231" i="15"/>
  <c r="E231" i="15"/>
  <c r="D231" i="15"/>
  <c r="C231" i="15"/>
  <c r="B231" i="15"/>
  <c r="AA977" i="17"/>
  <c r="Z977" i="17"/>
  <c r="Y977" i="17"/>
  <c r="X977" i="17"/>
  <c r="W977" i="17"/>
  <c r="M327" i="14"/>
  <c r="G56" i="15"/>
  <c r="AA802" i="17"/>
  <c r="Z802" i="17"/>
  <c r="Y802" i="17"/>
  <c r="X802" i="17"/>
  <c r="W802" i="17"/>
  <c r="AA801" i="17"/>
  <c r="Z801" i="17"/>
  <c r="Y801" i="17"/>
  <c r="X801" i="17"/>
  <c r="W801" i="17"/>
  <c r="M239" i="14"/>
  <c r="G28" i="44"/>
  <c r="D28" i="44"/>
  <c r="C28" i="44"/>
  <c r="G178" i="15"/>
  <c r="E178" i="15"/>
  <c r="D178" i="15"/>
  <c r="C178" i="15"/>
  <c r="B178" i="15"/>
  <c r="AA868" i="17"/>
  <c r="Z868" i="17"/>
  <c r="Y868" i="17"/>
  <c r="X868" i="17"/>
  <c r="W868" i="17"/>
  <c r="AA867" i="17"/>
  <c r="Z867" i="17"/>
  <c r="Y867" i="17"/>
  <c r="X867" i="17"/>
  <c r="W867" i="17"/>
  <c r="M288" i="14"/>
  <c r="G75" i="44"/>
  <c r="D75" i="44"/>
  <c r="C75" i="44"/>
  <c r="G96" i="15"/>
  <c r="E96" i="15"/>
  <c r="D96" i="15"/>
  <c r="C96" i="15"/>
  <c r="B96" i="15"/>
  <c r="AA660" i="17"/>
  <c r="Z660" i="17"/>
  <c r="Y660" i="17"/>
  <c r="X660" i="17"/>
  <c r="W660" i="17"/>
  <c r="AA659" i="17"/>
  <c r="Z659" i="17"/>
  <c r="Y659" i="17"/>
  <c r="X659" i="17"/>
  <c r="W659" i="17"/>
  <c r="AA658" i="17"/>
  <c r="Z658" i="17"/>
  <c r="Y658" i="17"/>
  <c r="X658" i="17"/>
  <c r="W658" i="17"/>
  <c r="M180" i="14"/>
  <c r="D137" i="44"/>
  <c r="G259" i="15"/>
  <c r="E259" i="15"/>
  <c r="D259" i="15"/>
  <c r="C259" i="15"/>
  <c r="B259" i="15"/>
  <c r="G88" i="44"/>
  <c r="D88" i="44"/>
  <c r="C88" i="44"/>
  <c r="G230" i="15"/>
  <c r="E230" i="15"/>
  <c r="D230" i="15"/>
  <c r="C230" i="15"/>
  <c r="B230" i="15"/>
  <c r="AA911" i="17"/>
  <c r="Z911" i="17"/>
  <c r="Y911" i="17"/>
  <c r="X911" i="17"/>
  <c r="W911" i="17"/>
  <c r="AA910" i="17"/>
  <c r="Z910" i="17"/>
  <c r="Y910" i="17"/>
  <c r="X910" i="17"/>
  <c r="W910" i="17"/>
  <c r="M253" i="14"/>
  <c r="G74" i="44"/>
  <c r="D74" i="44"/>
  <c r="C74" i="44"/>
  <c r="G95" i="15"/>
  <c r="E95" i="15"/>
  <c r="D95" i="15"/>
  <c r="C95" i="15"/>
  <c r="B95" i="15"/>
  <c r="G113" i="44"/>
  <c r="D113" i="44"/>
  <c r="C113" i="44"/>
  <c r="G152" i="15"/>
  <c r="E152" i="15"/>
  <c r="D152" i="15"/>
  <c r="C152" i="15"/>
  <c r="B152" i="15"/>
  <c r="AA1047" i="17"/>
  <c r="Z1047" i="17"/>
  <c r="Y1047" i="17"/>
  <c r="X1047" i="17"/>
  <c r="W1047" i="17"/>
  <c r="G295" i="15"/>
  <c r="C19" i="44"/>
  <c r="G19" i="44"/>
  <c r="B48" i="15"/>
  <c r="C48" i="15"/>
  <c r="D48" i="15"/>
  <c r="E48" i="15"/>
  <c r="E260" i="15"/>
  <c r="D260" i="15"/>
  <c r="C260" i="15"/>
  <c r="B260" i="15"/>
  <c r="M132" i="14"/>
  <c r="AA525" i="17"/>
  <c r="Z525" i="17"/>
  <c r="Y525" i="17"/>
  <c r="X525" i="17"/>
  <c r="W525" i="17"/>
  <c r="G176" i="15"/>
  <c r="E176" i="15"/>
  <c r="D176" i="15"/>
  <c r="C176" i="15"/>
  <c r="B176" i="15"/>
  <c r="AA1045" i="17"/>
  <c r="Z1045" i="17"/>
  <c r="Y1045" i="17"/>
  <c r="X1045" i="17"/>
  <c r="W1045" i="17"/>
  <c r="G27" i="44"/>
  <c r="D27" i="44"/>
  <c r="C27" i="44"/>
  <c r="G177" i="15"/>
  <c r="E177" i="15"/>
  <c r="D177" i="15"/>
  <c r="C177" i="15"/>
  <c r="B177" i="15"/>
  <c r="G73" i="44"/>
  <c r="D73" i="44"/>
  <c r="C73" i="44"/>
  <c r="G94" i="15"/>
  <c r="E94" i="15"/>
  <c r="D94" i="15"/>
  <c r="C94" i="15"/>
  <c r="B94" i="15"/>
  <c r="AA1048" i="17"/>
  <c r="Z1048" i="17"/>
  <c r="Y1048" i="17"/>
  <c r="X1048" i="17"/>
  <c r="W1048" i="17"/>
  <c r="W1049" i="17"/>
  <c r="X1049" i="17"/>
  <c r="Y1049" i="17"/>
  <c r="Z1049" i="17"/>
  <c r="AA1049" i="17"/>
  <c r="G205" i="15"/>
  <c r="AA976" i="17"/>
  <c r="Z976" i="17"/>
  <c r="Y976" i="17"/>
  <c r="X976" i="17"/>
  <c r="W976" i="17"/>
  <c r="M326" i="14"/>
  <c r="AA1025" i="17"/>
  <c r="Z1025" i="17"/>
  <c r="Y1025" i="17"/>
  <c r="X1025" i="17"/>
  <c r="W1025" i="17"/>
  <c r="H1025" i="17"/>
  <c r="G156" i="44"/>
  <c r="C156" i="44"/>
  <c r="M360" i="14"/>
  <c r="AA866" i="17"/>
  <c r="Z866" i="17"/>
  <c r="Y866" i="17"/>
  <c r="X866" i="17"/>
  <c r="W866" i="17"/>
  <c r="G129" i="44"/>
  <c r="D129" i="44"/>
  <c r="C129" i="44"/>
  <c r="D155" i="44"/>
  <c r="C155" i="44"/>
  <c r="AA1023" i="17"/>
  <c r="Z1023" i="17"/>
  <c r="Y1023" i="17"/>
  <c r="X1023" i="17"/>
  <c r="W1023" i="17"/>
  <c r="M359" i="14"/>
  <c r="M179" i="14"/>
  <c r="AA657" i="17"/>
  <c r="Z657" i="17"/>
  <c r="Y657" i="17"/>
  <c r="X657" i="17"/>
  <c r="W657" i="17"/>
  <c r="AA656" i="17"/>
  <c r="Z656" i="17"/>
  <c r="Y656" i="17"/>
  <c r="X656" i="17"/>
  <c r="W656" i="17"/>
  <c r="AA655" i="17"/>
  <c r="Z655" i="17"/>
  <c r="Y655" i="17"/>
  <c r="X655" i="17"/>
  <c r="W655" i="17"/>
  <c r="AA800" i="17"/>
  <c r="Z800" i="17"/>
  <c r="Y800" i="17"/>
  <c r="X800" i="17"/>
  <c r="W800" i="17"/>
  <c r="AA799" i="17"/>
  <c r="Z799" i="17"/>
  <c r="Y799" i="17"/>
  <c r="X799" i="17"/>
  <c r="W799" i="17"/>
  <c r="M238" i="14"/>
  <c r="G198" i="15"/>
  <c r="E198" i="15"/>
  <c r="D198" i="15"/>
  <c r="C198" i="15"/>
  <c r="B198" i="15"/>
  <c r="G188" i="15"/>
  <c r="E188" i="15"/>
  <c r="D188" i="15"/>
  <c r="C188" i="15"/>
  <c r="B188" i="15"/>
  <c r="G122" i="44"/>
  <c r="C122" i="44"/>
  <c r="G119" i="44"/>
  <c r="D119" i="44"/>
  <c r="C119" i="44"/>
  <c r="D87" i="44"/>
  <c r="G87" i="44"/>
  <c r="C87" i="44"/>
  <c r="E229" i="15"/>
  <c r="D229" i="15"/>
  <c r="C229" i="15"/>
  <c r="B229" i="15"/>
  <c r="AA975" i="17"/>
  <c r="Z975" i="17"/>
  <c r="Y975" i="17"/>
  <c r="X975" i="17"/>
  <c r="W975" i="17"/>
  <c r="M325" i="14"/>
  <c r="AA1051" i="17"/>
  <c r="Z1051" i="17"/>
  <c r="Y1051" i="17"/>
  <c r="X1051" i="17"/>
  <c r="W1051" i="17"/>
  <c r="AA1053" i="17"/>
  <c r="Z1053" i="17"/>
  <c r="Y1053" i="17"/>
  <c r="X1053" i="17"/>
  <c r="W1053" i="17"/>
  <c r="AA865" i="17"/>
  <c r="Z865" i="17"/>
  <c r="Y865" i="17"/>
  <c r="X865" i="17"/>
  <c r="W865" i="17"/>
  <c r="M287" i="14"/>
  <c r="C103" i="44"/>
  <c r="E22" i="15"/>
  <c r="D22" i="15"/>
  <c r="C22" i="15"/>
  <c r="B22" i="15"/>
  <c r="G146" i="44"/>
  <c r="C146" i="44"/>
  <c r="G145" i="44"/>
  <c r="C145" i="44"/>
  <c r="G144" i="44"/>
  <c r="C144" i="44"/>
  <c r="G143" i="44"/>
  <c r="C143" i="44"/>
  <c r="E108" i="15"/>
  <c r="D108" i="15"/>
  <c r="C108" i="15"/>
  <c r="B108" i="15"/>
  <c r="E107" i="15"/>
  <c r="D107" i="15"/>
  <c r="C107" i="15"/>
  <c r="B107" i="15"/>
  <c r="E214" i="15"/>
  <c r="D214" i="15"/>
  <c r="C214" i="15"/>
  <c r="B214" i="15"/>
  <c r="E213" i="15"/>
  <c r="D213" i="15"/>
  <c r="C213" i="15"/>
  <c r="B213" i="15"/>
  <c r="AA956" i="17"/>
  <c r="Z956" i="17"/>
  <c r="Y956" i="17"/>
  <c r="X956" i="17"/>
  <c r="W956" i="17"/>
  <c r="AA955" i="17"/>
  <c r="Z955" i="17"/>
  <c r="Y955" i="17"/>
  <c r="X955" i="17"/>
  <c r="W955" i="17"/>
  <c r="AA717" i="17"/>
  <c r="Z717" i="17"/>
  <c r="Y717" i="17"/>
  <c r="X717" i="17"/>
  <c r="W717" i="17"/>
  <c r="AA716" i="17"/>
  <c r="Z716" i="17"/>
  <c r="Y716" i="17"/>
  <c r="X716" i="17"/>
  <c r="W716" i="17"/>
  <c r="AA715" i="17"/>
  <c r="Z715" i="17"/>
  <c r="Y715" i="17"/>
  <c r="X715" i="17"/>
  <c r="W715" i="17"/>
  <c r="AA714" i="17"/>
  <c r="Z714" i="17"/>
  <c r="Y714" i="17"/>
  <c r="X714" i="17"/>
  <c r="W714" i="17"/>
  <c r="AA713" i="17"/>
  <c r="Z713" i="17"/>
  <c r="Y713" i="17"/>
  <c r="X713" i="17"/>
  <c r="W713" i="17"/>
  <c r="AA712" i="17"/>
  <c r="Z712" i="17"/>
  <c r="Y712" i="17"/>
  <c r="X712" i="17"/>
  <c r="W712" i="17"/>
  <c r="AA711" i="17"/>
  <c r="Z711" i="17"/>
  <c r="Y711" i="17"/>
  <c r="X711" i="17"/>
  <c r="W711" i="17"/>
  <c r="AA710" i="17"/>
  <c r="Z710" i="17"/>
  <c r="Y710" i="17"/>
  <c r="X710" i="17"/>
  <c r="W710" i="17"/>
  <c r="M310" i="14"/>
  <c r="M309" i="14"/>
  <c r="M194" i="14"/>
  <c r="M193" i="14"/>
  <c r="W864" i="17"/>
  <c r="X864" i="17"/>
  <c r="Y864" i="17"/>
  <c r="Z864" i="17"/>
  <c r="AA864" i="17"/>
  <c r="M286" i="14"/>
  <c r="M252" i="14"/>
  <c r="AA909" i="17"/>
  <c r="Z909" i="17"/>
  <c r="Y909" i="17"/>
  <c r="X909" i="17"/>
  <c r="W909" i="17"/>
  <c r="AA908" i="17"/>
  <c r="Z908" i="17"/>
  <c r="Y908" i="17"/>
  <c r="X908" i="17"/>
  <c r="W908" i="17"/>
  <c r="AA907" i="17"/>
  <c r="Z907" i="17"/>
  <c r="Y907" i="17"/>
  <c r="X907" i="17"/>
  <c r="W907" i="17"/>
  <c r="M251" i="14"/>
  <c r="W1050" i="17"/>
  <c r="X1050" i="17"/>
  <c r="Y1050" i="17"/>
  <c r="Z1050" i="17"/>
  <c r="AA1050" i="17"/>
  <c r="W1052" i="17"/>
  <c r="X1052" i="17"/>
  <c r="Y1052" i="17"/>
  <c r="Z1052" i="17"/>
  <c r="AA1052" i="17"/>
  <c r="G112" i="44"/>
  <c r="D112" i="44"/>
  <c r="C112" i="44"/>
  <c r="AA925" i="17"/>
  <c r="Z925" i="17"/>
  <c r="Y925" i="17"/>
  <c r="X925" i="17"/>
  <c r="W925" i="17"/>
  <c r="AA924" i="17"/>
  <c r="Z924" i="17"/>
  <c r="Y924" i="17"/>
  <c r="X924" i="17"/>
  <c r="W924" i="17"/>
  <c r="M260" i="14"/>
  <c r="G240" i="15"/>
  <c r="E240" i="15"/>
  <c r="D240" i="15"/>
  <c r="C240" i="15"/>
  <c r="B240" i="15"/>
  <c r="G212" i="15"/>
  <c r="E212" i="15"/>
  <c r="D212" i="15"/>
  <c r="C212" i="15"/>
  <c r="B212" i="15"/>
  <c r="G211" i="15"/>
  <c r="E211" i="15"/>
  <c r="D211" i="15"/>
  <c r="C211" i="15"/>
  <c r="B211" i="15"/>
  <c r="D142" i="44"/>
  <c r="C142" i="44"/>
  <c r="G141" i="44"/>
  <c r="D141" i="44"/>
  <c r="C141" i="44"/>
  <c r="G140" i="44"/>
  <c r="D140" i="44"/>
  <c r="C140" i="44"/>
  <c r="G139" i="44"/>
  <c r="D139" i="44"/>
  <c r="C139" i="44"/>
  <c r="G136" i="44"/>
  <c r="C136" i="44"/>
  <c r="G137" i="44"/>
  <c r="C137" i="44"/>
  <c r="G106" i="15"/>
  <c r="E106" i="15"/>
  <c r="D106" i="15"/>
  <c r="C106" i="15"/>
  <c r="B106" i="15"/>
  <c r="G258" i="15"/>
  <c r="G257" i="15"/>
  <c r="AA406" i="17"/>
  <c r="Z406" i="17"/>
  <c r="Y406" i="17"/>
  <c r="X406" i="17"/>
  <c r="W406" i="17"/>
  <c r="AA405" i="17"/>
  <c r="Z405" i="17"/>
  <c r="Y405" i="17"/>
  <c r="X405" i="17"/>
  <c r="W405" i="17"/>
  <c r="AA404" i="17"/>
  <c r="Z404" i="17"/>
  <c r="Y404" i="17"/>
  <c r="X404" i="17"/>
  <c r="W404" i="17"/>
  <c r="AA403" i="17"/>
  <c r="Z403" i="17"/>
  <c r="Y403" i="17"/>
  <c r="X403" i="17"/>
  <c r="W403" i="17"/>
  <c r="AA402" i="17"/>
  <c r="Z402" i="17"/>
  <c r="Y402" i="17"/>
  <c r="X402" i="17"/>
  <c r="W402" i="17"/>
  <c r="AA401" i="17"/>
  <c r="Z401" i="17"/>
  <c r="Y401" i="17"/>
  <c r="X401" i="17"/>
  <c r="W401" i="17"/>
  <c r="AA400" i="17"/>
  <c r="Z400" i="17"/>
  <c r="Y400" i="17"/>
  <c r="X400" i="17"/>
  <c r="W400" i="17"/>
  <c r="AA399" i="17"/>
  <c r="Z399" i="17"/>
  <c r="Y399" i="17"/>
  <c r="X399" i="17"/>
  <c r="W399" i="17"/>
  <c r="AA398" i="17"/>
  <c r="Z398" i="17"/>
  <c r="Y398" i="17"/>
  <c r="X398" i="17"/>
  <c r="W398" i="17"/>
  <c r="AA397" i="17"/>
  <c r="Z397" i="17"/>
  <c r="Y397" i="17"/>
  <c r="X397" i="17"/>
  <c r="W397" i="17"/>
  <c r="AA396" i="17"/>
  <c r="Z396" i="17"/>
  <c r="Y396" i="17"/>
  <c r="X396" i="17"/>
  <c r="W396" i="17"/>
  <c r="AA395" i="17"/>
  <c r="Z395" i="17"/>
  <c r="Y395" i="17"/>
  <c r="X395" i="17"/>
  <c r="W395" i="17"/>
  <c r="AA394" i="17"/>
  <c r="Z394" i="17"/>
  <c r="Y394" i="17"/>
  <c r="X394" i="17"/>
  <c r="W394" i="17"/>
  <c r="AA393" i="17"/>
  <c r="Z393" i="17"/>
  <c r="Y393" i="17"/>
  <c r="X393" i="17"/>
  <c r="W393" i="17"/>
  <c r="AA392" i="17"/>
  <c r="Z392" i="17"/>
  <c r="Y392" i="17"/>
  <c r="X392" i="17"/>
  <c r="W392" i="17"/>
  <c r="M98" i="14"/>
  <c r="B151" i="15"/>
  <c r="C151" i="15"/>
  <c r="D151" i="15"/>
  <c r="E151" i="15"/>
  <c r="G151" i="15"/>
  <c r="M237" i="14"/>
  <c r="G210" i="15"/>
  <c r="E210" i="15"/>
  <c r="D210" i="15"/>
  <c r="C210" i="15"/>
  <c r="B210" i="15"/>
  <c r="C121" i="44"/>
  <c r="D121" i="44"/>
  <c r="G121" i="44"/>
  <c r="B190" i="15"/>
  <c r="C190" i="15"/>
  <c r="D190" i="15"/>
  <c r="E190" i="15"/>
  <c r="G190" i="15"/>
  <c r="G120" i="44"/>
  <c r="D120" i="44"/>
  <c r="C120" i="44"/>
  <c r="G189" i="15"/>
  <c r="E189" i="15"/>
  <c r="D189" i="15"/>
  <c r="C189" i="15"/>
  <c r="B189" i="15"/>
  <c r="G26" i="44"/>
  <c r="D26" i="44"/>
  <c r="C26" i="44"/>
  <c r="AA798" i="17"/>
  <c r="Z798" i="17"/>
  <c r="Y798" i="17"/>
  <c r="X798" i="17"/>
  <c r="W798" i="17"/>
  <c r="AA797" i="17"/>
  <c r="Z797" i="17"/>
  <c r="Y797" i="17"/>
  <c r="X797" i="17"/>
  <c r="W797" i="17"/>
  <c r="AA709" i="17"/>
  <c r="Z709" i="17"/>
  <c r="Y709" i="17"/>
  <c r="X709" i="17"/>
  <c r="W709" i="17"/>
  <c r="AA708" i="17"/>
  <c r="Z708" i="17"/>
  <c r="Y708" i="17"/>
  <c r="X708" i="17"/>
  <c r="W708" i="17"/>
  <c r="AA707" i="17"/>
  <c r="Z707" i="17"/>
  <c r="Y707" i="17"/>
  <c r="X707" i="17"/>
  <c r="W707" i="17"/>
  <c r="AA706" i="17"/>
  <c r="Z706" i="17"/>
  <c r="Y706" i="17"/>
  <c r="X706" i="17"/>
  <c r="W706" i="17"/>
  <c r="AA705" i="17"/>
  <c r="Z705" i="17"/>
  <c r="Y705" i="17"/>
  <c r="X705" i="17"/>
  <c r="W705" i="17"/>
  <c r="M192" i="14"/>
  <c r="AA954" i="17"/>
  <c r="Z954" i="17"/>
  <c r="Y954" i="17"/>
  <c r="X954" i="17"/>
  <c r="W954" i="17"/>
  <c r="M308" i="14"/>
  <c r="M307" i="14"/>
  <c r="AA953" i="17"/>
  <c r="Z953" i="17"/>
  <c r="Y953" i="17"/>
  <c r="X953" i="17"/>
  <c r="W953" i="17"/>
  <c r="AA986" i="17"/>
  <c r="Z986" i="17"/>
  <c r="Y986" i="17"/>
  <c r="X986" i="17"/>
  <c r="W986" i="17"/>
  <c r="M336" i="14"/>
  <c r="G25" i="44"/>
  <c r="G24" i="44"/>
  <c r="D25" i="44"/>
  <c r="C25" i="44"/>
  <c r="G175" i="15"/>
  <c r="E175" i="15"/>
  <c r="D175" i="15"/>
  <c r="C175" i="15"/>
  <c r="B175" i="15"/>
  <c r="AA863" i="17"/>
  <c r="Z863" i="17"/>
  <c r="Y863" i="17"/>
  <c r="X863" i="17"/>
  <c r="W863" i="17"/>
  <c r="AA862" i="17"/>
  <c r="Z862" i="17"/>
  <c r="Y862" i="17"/>
  <c r="X862" i="17"/>
  <c r="W862" i="17"/>
  <c r="AA861" i="17"/>
  <c r="Z861" i="17"/>
  <c r="Y861" i="17"/>
  <c r="X861" i="17"/>
  <c r="W861" i="17"/>
  <c r="AA860" i="17"/>
  <c r="Z860" i="17"/>
  <c r="Y860" i="17"/>
  <c r="X860" i="17"/>
  <c r="W860" i="17"/>
  <c r="M285" i="14"/>
  <c r="AA952" i="17"/>
  <c r="Z952" i="17"/>
  <c r="Y952" i="17"/>
  <c r="X952" i="17"/>
  <c r="W952" i="17"/>
  <c r="M306" i="14"/>
  <c r="G118" i="44"/>
  <c r="D118" i="44"/>
  <c r="C118" i="44"/>
  <c r="E258" i="15"/>
  <c r="D258" i="15"/>
  <c r="C258" i="15"/>
  <c r="B258" i="15"/>
  <c r="AA1022" i="17"/>
  <c r="Z1022" i="17"/>
  <c r="Y1022" i="17"/>
  <c r="X1022" i="17"/>
  <c r="W1022" i="17"/>
  <c r="H1022" i="17"/>
  <c r="M358" i="14"/>
  <c r="W1046" i="17"/>
  <c r="X1046" i="17"/>
  <c r="Y1046" i="17"/>
  <c r="Z1046" i="17"/>
  <c r="AA1046" i="17"/>
  <c r="G111" i="44"/>
  <c r="D111" i="44"/>
  <c r="C111" i="44"/>
  <c r="B150" i="15"/>
  <c r="C150" i="15"/>
  <c r="D150" i="15"/>
  <c r="E150" i="15"/>
  <c r="G150" i="15"/>
  <c r="AA796" i="17"/>
  <c r="Z796" i="17"/>
  <c r="Y796" i="17"/>
  <c r="X796" i="17"/>
  <c r="W796" i="17"/>
  <c r="AA795" i="17"/>
  <c r="Z795" i="17"/>
  <c r="Y795" i="17"/>
  <c r="X795" i="17"/>
  <c r="W795" i="17"/>
  <c r="M236" i="14"/>
  <c r="G227" i="15"/>
  <c r="E227" i="15"/>
  <c r="D227" i="15"/>
  <c r="C227" i="15"/>
  <c r="B227" i="15"/>
  <c r="G85" i="44"/>
  <c r="D85" i="44"/>
  <c r="C85" i="44"/>
  <c r="AA654" i="17"/>
  <c r="Z654" i="17"/>
  <c r="Y654" i="17"/>
  <c r="X654" i="17"/>
  <c r="W654" i="17"/>
  <c r="AA653" i="17"/>
  <c r="Z653" i="17"/>
  <c r="Y653" i="17"/>
  <c r="X653" i="17"/>
  <c r="W653" i="17"/>
  <c r="AA652" i="17"/>
  <c r="Z652" i="17"/>
  <c r="Y652" i="17"/>
  <c r="X652" i="17"/>
  <c r="W652" i="17"/>
  <c r="M178" i="14"/>
  <c r="AA906" i="17"/>
  <c r="Z906" i="17"/>
  <c r="Y906" i="17"/>
  <c r="X906" i="17"/>
  <c r="W906" i="17"/>
  <c r="AA905" i="17"/>
  <c r="Z905" i="17"/>
  <c r="Y905" i="17"/>
  <c r="X905" i="17"/>
  <c r="W905" i="17"/>
  <c r="M250" i="14"/>
  <c r="C72" i="44"/>
  <c r="D72" i="44"/>
  <c r="G72" i="44"/>
  <c r="B93" i="15"/>
  <c r="C93" i="15"/>
  <c r="D93" i="15"/>
  <c r="E93" i="15"/>
  <c r="G93" i="15"/>
  <c r="C104" i="44"/>
  <c r="G86" i="44"/>
  <c r="C86" i="44"/>
  <c r="E228" i="15"/>
  <c r="D228" i="15"/>
  <c r="C228" i="15"/>
  <c r="B228" i="15"/>
  <c r="AA974" i="17"/>
  <c r="Z974" i="17"/>
  <c r="Y974" i="17"/>
  <c r="X974" i="17"/>
  <c r="W974" i="17"/>
  <c r="M324" i="14"/>
  <c r="G149" i="15"/>
  <c r="E149" i="15"/>
  <c r="D149" i="15"/>
  <c r="C149" i="15"/>
  <c r="B149" i="15"/>
  <c r="G110" i="44"/>
  <c r="D110" i="44"/>
  <c r="C110" i="44"/>
  <c r="E23" i="15"/>
  <c r="D23" i="15"/>
  <c r="C23" i="15"/>
  <c r="B23" i="15"/>
  <c r="AA391" i="17"/>
  <c r="Z391" i="17"/>
  <c r="Y391" i="17"/>
  <c r="X391" i="17"/>
  <c r="W391" i="17"/>
  <c r="AA390" i="17"/>
  <c r="Z390" i="17"/>
  <c r="Y390" i="17"/>
  <c r="X390" i="17"/>
  <c r="W390" i="17"/>
  <c r="AA389" i="17"/>
  <c r="Z389" i="17"/>
  <c r="Y389" i="17"/>
  <c r="X389" i="17"/>
  <c r="W389" i="17"/>
  <c r="AA388" i="17"/>
  <c r="Z388" i="17"/>
  <c r="Y388" i="17"/>
  <c r="X388" i="17"/>
  <c r="W388" i="17"/>
  <c r="AA387" i="17"/>
  <c r="Z387" i="17"/>
  <c r="Y387" i="17"/>
  <c r="X387" i="17"/>
  <c r="W387" i="17"/>
  <c r="AA386" i="17"/>
  <c r="Z386" i="17"/>
  <c r="Y386" i="17"/>
  <c r="X386" i="17"/>
  <c r="W386" i="17"/>
  <c r="AA385" i="17"/>
  <c r="Z385" i="17"/>
  <c r="Y385" i="17"/>
  <c r="X385" i="17"/>
  <c r="W385" i="17"/>
  <c r="AA384" i="17"/>
  <c r="Z384" i="17"/>
  <c r="Y384" i="17"/>
  <c r="X384" i="17"/>
  <c r="W384" i="17"/>
  <c r="AA383" i="17"/>
  <c r="Z383" i="17"/>
  <c r="Y383" i="17"/>
  <c r="X383" i="17"/>
  <c r="W383" i="17"/>
  <c r="AA382" i="17"/>
  <c r="Z382" i="17"/>
  <c r="Y382" i="17"/>
  <c r="X382" i="17"/>
  <c r="W382" i="17"/>
  <c r="AA381" i="17"/>
  <c r="Z381" i="17"/>
  <c r="Y381" i="17"/>
  <c r="X381" i="17"/>
  <c r="W381" i="17"/>
  <c r="AA380" i="17"/>
  <c r="Z380" i="17"/>
  <c r="Y380" i="17"/>
  <c r="X380" i="17"/>
  <c r="W380" i="17"/>
  <c r="AA379" i="17"/>
  <c r="Z379" i="17"/>
  <c r="Y379" i="17"/>
  <c r="X379" i="17"/>
  <c r="W379" i="17"/>
  <c r="AA378" i="17"/>
  <c r="Z378" i="17"/>
  <c r="Y378" i="17"/>
  <c r="X378" i="17"/>
  <c r="W378" i="17"/>
  <c r="AA377" i="17"/>
  <c r="Z377" i="17"/>
  <c r="Y377" i="17"/>
  <c r="X377" i="17"/>
  <c r="W377" i="17"/>
  <c r="M97" i="14"/>
  <c r="C138" i="44"/>
  <c r="G138" i="44"/>
  <c r="B209" i="15"/>
  <c r="C209" i="15"/>
  <c r="D209" i="15"/>
  <c r="E209" i="15"/>
  <c r="AA951" i="17"/>
  <c r="Z951" i="17"/>
  <c r="Y951" i="17"/>
  <c r="X951" i="17"/>
  <c r="W951" i="17"/>
  <c r="M305" i="14"/>
  <c r="B105" i="15"/>
  <c r="C105" i="15"/>
  <c r="D105" i="15"/>
  <c r="E105" i="15"/>
  <c r="AA704" i="17"/>
  <c r="Z704" i="17"/>
  <c r="Y704" i="17"/>
  <c r="X704" i="17"/>
  <c r="W704" i="17"/>
  <c r="AA703" i="17"/>
  <c r="Z703" i="17"/>
  <c r="Y703" i="17"/>
  <c r="X703" i="17"/>
  <c r="W703" i="17"/>
  <c r="AA702" i="17"/>
  <c r="Z702" i="17"/>
  <c r="Y702" i="17"/>
  <c r="X702" i="17"/>
  <c r="W702" i="17"/>
  <c r="AA701" i="17"/>
  <c r="Z701" i="17"/>
  <c r="Y701" i="17"/>
  <c r="X701" i="17"/>
  <c r="W701" i="17"/>
  <c r="AA700" i="17"/>
  <c r="Z700" i="17"/>
  <c r="Y700" i="17"/>
  <c r="X700" i="17"/>
  <c r="W700" i="17"/>
  <c r="M191" i="14"/>
  <c r="G109" i="44"/>
  <c r="D109" i="44"/>
  <c r="C109" i="44"/>
  <c r="G148" i="15"/>
  <c r="E148" i="15"/>
  <c r="D148" i="15"/>
  <c r="C148" i="15"/>
  <c r="B148" i="15"/>
  <c r="M234" i="14"/>
  <c r="AA792" i="17"/>
  <c r="Z792" i="17"/>
  <c r="Y792" i="17"/>
  <c r="X792" i="17"/>
  <c r="W792" i="17"/>
  <c r="AA791" i="17"/>
  <c r="Z791" i="17"/>
  <c r="Y791" i="17"/>
  <c r="X791" i="17"/>
  <c r="W791" i="17"/>
  <c r="AA973" i="17"/>
  <c r="Z973" i="17"/>
  <c r="Y973" i="17"/>
  <c r="X973" i="17"/>
  <c r="W973" i="17"/>
  <c r="M323" i="14"/>
  <c r="G108" i="44"/>
  <c r="D108" i="44"/>
  <c r="C108" i="44"/>
  <c r="G146" i="15"/>
  <c r="E146" i="15"/>
  <c r="D146" i="15"/>
  <c r="C146" i="15"/>
  <c r="B146" i="15"/>
  <c r="AA794" i="17"/>
  <c r="Z794" i="17"/>
  <c r="Y794" i="17"/>
  <c r="X794" i="17"/>
  <c r="W794" i="17"/>
  <c r="AA793" i="17"/>
  <c r="Z793" i="17"/>
  <c r="Y793" i="17"/>
  <c r="X793" i="17"/>
  <c r="W793" i="17"/>
  <c r="M235" i="14"/>
  <c r="W649" i="17"/>
  <c r="X649" i="17"/>
  <c r="Y649" i="17"/>
  <c r="Z649" i="17"/>
  <c r="AA649" i="17"/>
  <c r="W650" i="17"/>
  <c r="X650" i="17"/>
  <c r="Y650" i="17"/>
  <c r="Z650" i="17"/>
  <c r="AA650" i="17"/>
  <c r="W651" i="17"/>
  <c r="X651" i="17"/>
  <c r="Y651" i="17"/>
  <c r="Z651" i="17"/>
  <c r="AA651" i="17"/>
  <c r="M177" i="14"/>
  <c r="G107" i="44"/>
  <c r="D107" i="44"/>
  <c r="C107" i="44"/>
  <c r="E257" i="15"/>
  <c r="D257" i="15"/>
  <c r="C257" i="15"/>
  <c r="B257" i="15"/>
  <c r="AA1017" i="17"/>
  <c r="Z1017" i="17"/>
  <c r="Y1017" i="17"/>
  <c r="X1017" i="17"/>
  <c r="W1017" i="17"/>
  <c r="H1017" i="17"/>
  <c r="M357" i="14"/>
  <c r="G71" i="44"/>
  <c r="D71" i="44"/>
  <c r="C71" i="44"/>
  <c r="G92" i="15"/>
  <c r="E92" i="15"/>
  <c r="D92" i="15"/>
  <c r="C92" i="15"/>
  <c r="B92" i="15"/>
  <c r="D105" i="44"/>
  <c r="C105" i="44"/>
  <c r="AA904" i="17"/>
  <c r="Z904" i="17"/>
  <c r="Y904" i="17"/>
  <c r="X904" i="17"/>
  <c r="W904" i="17"/>
  <c r="AA903" i="17"/>
  <c r="Z903" i="17"/>
  <c r="Y903" i="17"/>
  <c r="X903" i="17"/>
  <c r="W903" i="17"/>
  <c r="M249" i="14"/>
  <c r="G102" i="44"/>
  <c r="D102" i="44"/>
  <c r="C102" i="44"/>
  <c r="E256" i="15"/>
  <c r="D256" i="15"/>
  <c r="C256" i="15"/>
  <c r="B256" i="15"/>
  <c r="AA1016" i="17"/>
  <c r="Z1016" i="17"/>
  <c r="Y1016" i="17"/>
  <c r="X1016" i="17"/>
  <c r="W1016" i="17"/>
  <c r="H1016" i="17"/>
  <c r="M356" i="14"/>
  <c r="D24" i="44"/>
  <c r="C24" i="44"/>
  <c r="G174" i="15"/>
  <c r="E174" i="15"/>
  <c r="D174" i="15"/>
  <c r="C174" i="15"/>
  <c r="B174" i="15"/>
  <c r="G84" i="44"/>
  <c r="D84" i="44"/>
  <c r="C84" i="44"/>
  <c r="G226" i="15"/>
  <c r="E226" i="15"/>
  <c r="D226" i="15"/>
  <c r="C226" i="15"/>
  <c r="B226" i="15"/>
  <c r="C101" i="44"/>
  <c r="D101" i="44"/>
  <c r="G101" i="44"/>
  <c r="B147" i="15"/>
  <c r="C147" i="15"/>
  <c r="D147" i="15"/>
  <c r="E147" i="15"/>
  <c r="G147" i="15"/>
  <c r="M233" i="14"/>
  <c r="AA790" i="17"/>
  <c r="Z790" i="17"/>
  <c r="Y790" i="17"/>
  <c r="X790" i="17"/>
  <c r="W790" i="17"/>
  <c r="AA789" i="17"/>
  <c r="Z789" i="17"/>
  <c r="Y789" i="17"/>
  <c r="X789" i="17"/>
  <c r="W789" i="17"/>
  <c r="AA972" i="17"/>
  <c r="Z972" i="17"/>
  <c r="Y972" i="17"/>
  <c r="X972" i="17"/>
  <c r="W972" i="17"/>
  <c r="M322" i="14"/>
  <c r="M232" i="14"/>
  <c r="AA788" i="17"/>
  <c r="Z788" i="17"/>
  <c r="Y788" i="17"/>
  <c r="X788" i="17"/>
  <c r="W788" i="17"/>
  <c r="AA787" i="17"/>
  <c r="Z787" i="17"/>
  <c r="Y787" i="17"/>
  <c r="X787" i="17"/>
  <c r="W787" i="17"/>
  <c r="H1012" i="17"/>
  <c r="AA1044" i="17"/>
  <c r="Z1044" i="17"/>
  <c r="Y1044" i="17"/>
  <c r="X1044" i="17"/>
  <c r="W1044" i="17"/>
  <c r="AA648" i="17"/>
  <c r="Z648" i="17"/>
  <c r="Y648" i="17"/>
  <c r="X648" i="17"/>
  <c r="W648" i="17"/>
  <c r="AA647" i="17"/>
  <c r="Z647" i="17"/>
  <c r="Y647" i="17"/>
  <c r="X647" i="17"/>
  <c r="W647" i="17"/>
  <c r="AA646" i="17"/>
  <c r="Z646" i="17"/>
  <c r="Y646" i="17"/>
  <c r="X646" i="17"/>
  <c r="W646" i="17"/>
  <c r="M176" i="14"/>
  <c r="G70" i="44"/>
  <c r="D70" i="44"/>
  <c r="C70" i="44"/>
  <c r="G91" i="15"/>
  <c r="E91" i="15"/>
  <c r="D91" i="15"/>
  <c r="C91" i="15"/>
  <c r="B91" i="15"/>
  <c r="G97" i="44"/>
  <c r="D97" i="44"/>
  <c r="C97" i="44"/>
  <c r="G143" i="15"/>
  <c r="E143" i="15"/>
  <c r="D143" i="15"/>
  <c r="C143" i="15"/>
  <c r="B143" i="15"/>
  <c r="G144" i="15"/>
  <c r="E144" i="15"/>
  <c r="D144" i="15"/>
  <c r="C144" i="15"/>
  <c r="B144" i="15"/>
  <c r="G145" i="15"/>
  <c r="E145" i="15"/>
  <c r="D145" i="15"/>
  <c r="C145" i="15"/>
  <c r="B145" i="15"/>
  <c r="G99" i="44"/>
  <c r="D99" i="44"/>
  <c r="C99" i="44"/>
  <c r="AA859" i="17"/>
  <c r="Z859" i="17"/>
  <c r="Y859" i="17"/>
  <c r="X859" i="17"/>
  <c r="W859" i="17"/>
  <c r="AA858" i="17"/>
  <c r="Z858" i="17"/>
  <c r="Y858" i="17"/>
  <c r="X858" i="17"/>
  <c r="W858" i="17"/>
  <c r="AA857" i="17"/>
  <c r="Z857" i="17"/>
  <c r="Y857" i="17"/>
  <c r="X857" i="17"/>
  <c r="W857" i="17"/>
  <c r="AA856" i="17"/>
  <c r="Z856" i="17"/>
  <c r="Y856" i="17"/>
  <c r="X856" i="17"/>
  <c r="W856" i="17"/>
  <c r="M284" i="14"/>
  <c r="E24" i="15"/>
  <c r="D24" i="15"/>
  <c r="C24" i="15"/>
  <c r="B24" i="15"/>
  <c r="E21" i="15"/>
  <c r="D21" i="15"/>
  <c r="C21" i="15"/>
  <c r="B21" i="15"/>
  <c r="M231" i="14"/>
  <c r="AA786" i="17"/>
  <c r="Z786" i="17"/>
  <c r="Y786" i="17"/>
  <c r="X786" i="17"/>
  <c r="W786" i="17"/>
  <c r="AA785" i="17"/>
  <c r="Z785" i="17"/>
  <c r="Y785" i="17"/>
  <c r="X785" i="17"/>
  <c r="W785" i="17"/>
  <c r="G100" i="44"/>
  <c r="D100" i="44"/>
  <c r="C100" i="44"/>
  <c r="E255" i="15"/>
  <c r="D255" i="15"/>
  <c r="C255" i="15"/>
  <c r="B255" i="15"/>
  <c r="AA1015" i="17"/>
  <c r="Z1015" i="17"/>
  <c r="Y1015" i="17"/>
  <c r="X1015" i="17"/>
  <c r="W1015" i="17"/>
  <c r="H1015" i="17"/>
  <c r="M355" i="14"/>
  <c r="G98" i="44"/>
  <c r="D98" i="44"/>
  <c r="C98" i="44"/>
  <c r="W783" i="17"/>
  <c r="X783" i="17"/>
  <c r="Y783" i="17"/>
  <c r="Z783" i="17"/>
  <c r="AA783" i="17"/>
  <c r="W784" i="17"/>
  <c r="X784" i="17"/>
  <c r="Y784" i="17"/>
  <c r="Z784" i="17"/>
  <c r="AA784" i="17"/>
  <c r="M230" i="14"/>
  <c r="AA645" i="17"/>
  <c r="Z645" i="17"/>
  <c r="Y645" i="17"/>
  <c r="X645" i="17"/>
  <c r="W645" i="17"/>
  <c r="AA644" i="17"/>
  <c r="Z644" i="17"/>
  <c r="Y644" i="17"/>
  <c r="X644" i="17"/>
  <c r="W644" i="17"/>
  <c r="AA643" i="17"/>
  <c r="Z643" i="17"/>
  <c r="Y643" i="17"/>
  <c r="X643" i="17"/>
  <c r="W643" i="17"/>
  <c r="M175" i="14"/>
  <c r="C96" i="44"/>
  <c r="G96" i="44"/>
  <c r="G83" i="44"/>
  <c r="D83" i="44"/>
  <c r="C83" i="44"/>
  <c r="G225" i="15"/>
  <c r="E225" i="15"/>
  <c r="D225" i="15"/>
  <c r="C225" i="15"/>
  <c r="B225" i="15"/>
  <c r="AA971" i="17"/>
  <c r="Z971" i="17"/>
  <c r="Y971" i="17"/>
  <c r="X971" i="17"/>
  <c r="W971" i="17"/>
  <c r="M321" i="14"/>
  <c r="B254" i="15"/>
  <c r="C254" i="15"/>
  <c r="D254" i="15"/>
  <c r="E254" i="15"/>
  <c r="AA782" i="17"/>
  <c r="Z782" i="17"/>
  <c r="Y782" i="17"/>
  <c r="X782" i="17"/>
  <c r="W782" i="17"/>
  <c r="AA781" i="17"/>
  <c r="Z781" i="17"/>
  <c r="Y781" i="17"/>
  <c r="X781" i="17"/>
  <c r="W781" i="17"/>
  <c r="M229" i="14"/>
  <c r="H1014" i="17"/>
  <c r="W1014" i="17"/>
  <c r="X1014" i="17"/>
  <c r="Y1014" i="17"/>
  <c r="Z1014" i="17"/>
  <c r="AA1014" i="17"/>
  <c r="M354" i="14"/>
  <c r="G82" i="44"/>
  <c r="D82" i="44"/>
  <c r="C82" i="44"/>
  <c r="G139" i="15"/>
  <c r="E139" i="15"/>
  <c r="D139" i="15"/>
  <c r="C139" i="15"/>
  <c r="B139" i="15"/>
  <c r="C81" i="44"/>
  <c r="D81" i="44"/>
  <c r="G285" i="15"/>
  <c r="E285" i="15"/>
  <c r="D285" i="15"/>
  <c r="C285" i="15"/>
  <c r="B285" i="15"/>
  <c r="AA236" i="17"/>
  <c r="Z236" i="17"/>
  <c r="Y236" i="17"/>
  <c r="X236" i="17"/>
  <c r="W236" i="17"/>
  <c r="M66" i="14"/>
  <c r="G79" i="44"/>
  <c r="D79" i="44"/>
  <c r="C79" i="44"/>
  <c r="G141" i="15"/>
  <c r="E141" i="15"/>
  <c r="D141" i="15"/>
  <c r="C141" i="15"/>
  <c r="B141" i="15"/>
  <c r="AA778" i="17"/>
  <c r="Z778" i="17"/>
  <c r="Y778" i="17"/>
  <c r="X778" i="17"/>
  <c r="W778" i="17"/>
  <c r="AA777" i="17"/>
  <c r="Z777" i="17"/>
  <c r="Y777" i="17"/>
  <c r="X777" i="17"/>
  <c r="W777" i="17"/>
  <c r="M227" i="14"/>
  <c r="G80" i="44"/>
  <c r="D80" i="44"/>
  <c r="C80" i="44"/>
  <c r="G142" i="15"/>
  <c r="E142" i="15"/>
  <c r="D142" i="15"/>
  <c r="C142" i="15"/>
  <c r="B142" i="15"/>
  <c r="AA780" i="17"/>
  <c r="Z780" i="17"/>
  <c r="Y780" i="17"/>
  <c r="X780" i="17"/>
  <c r="W780" i="17"/>
  <c r="AA779" i="17"/>
  <c r="Z779" i="17"/>
  <c r="Y779" i="17"/>
  <c r="X779" i="17"/>
  <c r="W779" i="17"/>
  <c r="M228" i="14"/>
  <c r="G69" i="44"/>
  <c r="D69" i="44"/>
  <c r="C69" i="44"/>
  <c r="G90" i="15"/>
  <c r="E90" i="15"/>
  <c r="D90" i="15"/>
  <c r="C90" i="15"/>
  <c r="B90" i="15"/>
  <c r="AA642" i="17"/>
  <c r="Z642" i="17"/>
  <c r="Y642" i="17"/>
  <c r="X642" i="17"/>
  <c r="W642" i="17"/>
  <c r="AA641" i="17"/>
  <c r="Z641" i="17"/>
  <c r="Y641" i="17"/>
  <c r="X641" i="17"/>
  <c r="W641" i="17"/>
  <c r="AA640" i="17"/>
  <c r="Z640" i="17"/>
  <c r="Y640" i="17"/>
  <c r="X640" i="17"/>
  <c r="W640" i="17"/>
  <c r="M174" i="14"/>
  <c r="G68" i="44"/>
  <c r="D68" i="44"/>
  <c r="C68" i="44"/>
  <c r="G47" i="15"/>
  <c r="E47" i="15"/>
  <c r="D47" i="15"/>
  <c r="C47" i="15"/>
  <c r="B47" i="15"/>
  <c r="G67" i="44"/>
  <c r="D67" i="44"/>
  <c r="C67" i="44"/>
  <c r="G138" i="15"/>
  <c r="E138" i="15"/>
  <c r="D138" i="15"/>
  <c r="C138" i="15"/>
  <c r="B138" i="15"/>
  <c r="G66" i="44"/>
  <c r="D66" i="44"/>
  <c r="C66" i="44"/>
  <c r="G89" i="15"/>
  <c r="E89" i="15"/>
  <c r="D89" i="15"/>
  <c r="C89" i="15"/>
  <c r="B89" i="15"/>
  <c r="AA1043" i="17"/>
  <c r="Z1043" i="17"/>
  <c r="Y1043" i="17"/>
  <c r="X1043" i="17"/>
  <c r="W1043" i="17"/>
  <c r="W1065" i="17"/>
  <c r="W1066" i="17"/>
  <c r="G65" i="44"/>
  <c r="D65" i="44"/>
  <c r="C65" i="44"/>
  <c r="B140" i="15"/>
  <c r="C140" i="15"/>
  <c r="D140" i="15"/>
  <c r="E140" i="15"/>
  <c r="G140" i="15"/>
  <c r="AA776" i="17"/>
  <c r="Z776" i="17"/>
  <c r="Y776" i="17"/>
  <c r="X776" i="17"/>
  <c r="W776" i="17"/>
  <c r="AA775" i="17"/>
  <c r="Z775" i="17"/>
  <c r="Y775" i="17"/>
  <c r="X775" i="17"/>
  <c r="W775" i="17"/>
  <c r="M226" i="14"/>
  <c r="G64" i="44"/>
  <c r="D64" i="44"/>
  <c r="C64" i="44"/>
  <c r="G63" i="44"/>
  <c r="D63" i="44"/>
  <c r="C63" i="44"/>
  <c r="E253" i="15"/>
  <c r="D253" i="15"/>
  <c r="C253" i="15"/>
  <c r="B253" i="15"/>
  <c r="G224" i="15"/>
  <c r="E224" i="15"/>
  <c r="D224" i="15"/>
  <c r="C224" i="15"/>
  <c r="B224" i="15"/>
  <c r="AA774" i="17"/>
  <c r="Z774" i="17"/>
  <c r="Y774" i="17"/>
  <c r="X774" i="17"/>
  <c r="W774" i="17"/>
  <c r="AA773" i="17"/>
  <c r="Z773" i="17"/>
  <c r="Y773" i="17"/>
  <c r="X773" i="17"/>
  <c r="W773" i="17"/>
  <c r="M225" i="14"/>
  <c r="M224" i="14"/>
  <c r="AA772" i="17"/>
  <c r="Z772" i="17"/>
  <c r="Y772" i="17"/>
  <c r="X772" i="17"/>
  <c r="W772" i="17"/>
  <c r="AA771" i="17"/>
  <c r="Z771" i="17"/>
  <c r="Y771" i="17"/>
  <c r="X771" i="17"/>
  <c r="W771" i="17"/>
  <c r="AA376" i="17"/>
  <c r="Z376" i="17"/>
  <c r="Y376" i="17"/>
  <c r="X376" i="17"/>
  <c r="W376" i="17"/>
  <c r="AA375" i="17"/>
  <c r="Z375" i="17"/>
  <c r="Y375" i="17"/>
  <c r="X375" i="17"/>
  <c r="W375" i="17"/>
  <c r="AA374" i="17"/>
  <c r="Z374" i="17"/>
  <c r="Y374" i="17"/>
  <c r="X374" i="17"/>
  <c r="W374" i="17"/>
  <c r="AA373" i="17"/>
  <c r="Z373" i="17"/>
  <c r="Y373" i="17"/>
  <c r="X373" i="17"/>
  <c r="W373" i="17"/>
  <c r="AA372" i="17"/>
  <c r="Z372" i="17"/>
  <c r="Y372" i="17"/>
  <c r="X372" i="17"/>
  <c r="W372" i="17"/>
  <c r="AA371" i="17"/>
  <c r="Z371" i="17"/>
  <c r="Y371" i="17"/>
  <c r="X371" i="17"/>
  <c r="W371" i="17"/>
  <c r="AA370" i="17"/>
  <c r="Z370" i="17"/>
  <c r="Y370" i="17"/>
  <c r="X370" i="17"/>
  <c r="W370" i="17"/>
  <c r="AA369" i="17"/>
  <c r="Z369" i="17"/>
  <c r="Y369" i="17"/>
  <c r="X369" i="17"/>
  <c r="W369" i="17"/>
  <c r="AA368" i="17"/>
  <c r="Z368" i="17"/>
  <c r="Y368" i="17"/>
  <c r="X368" i="17"/>
  <c r="W368" i="17"/>
  <c r="AA367" i="17"/>
  <c r="Z367" i="17"/>
  <c r="Y367" i="17"/>
  <c r="X367" i="17"/>
  <c r="W367" i="17"/>
  <c r="AA366" i="17"/>
  <c r="Z366" i="17"/>
  <c r="Y366" i="17"/>
  <c r="X366" i="17"/>
  <c r="W366" i="17"/>
  <c r="AA365" i="17"/>
  <c r="Z365" i="17"/>
  <c r="Y365" i="17"/>
  <c r="X365" i="17"/>
  <c r="W365" i="17"/>
  <c r="AA364" i="17"/>
  <c r="Z364" i="17"/>
  <c r="Y364" i="17"/>
  <c r="X364" i="17"/>
  <c r="W364" i="17"/>
  <c r="AA363" i="17"/>
  <c r="Z363" i="17"/>
  <c r="Y363" i="17"/>
  <c r="X363" i="17"/>
  <c r="W363" i="17"/>
  <c r="AA362" i="17"/>
  <c r="Z362" i="17"/>
  <c r="Y362" i="17"/>
  <c r="X362" i="17"/>
  <c r="W362" i="17"/>
  <c r="M96" i="14"/>
  <c r="AA639" i="17"/>
  <c r="Z639" i="17"/>
  <c r="Y639" i="17"/>
  <c r="X639" i="17"/>
  <c r="W639" i="17"/>
  <c r="AA638" i="17"/>
  <c r="Z638" i="17"/>
  <c r="Y638" i="17"/>
  <c r="X638" i="17"/>
  <c r="W638" i="17"/>
  <c r="AA637" i="17"/>
  <c r="Z637" i="17"/>
  <c r="Y637" i="17"/>
  <c r="X637" i="17"/>
  <c r="W637" i="17"/>
  <c r="M173" i="14"/>
  <c r="G135" i="15"/>
  <c r="E135" i="15"/>
  <c r="D135" i="15"/>
  <c r="C135" i="15"/>
  <c r="B135" i="15"/>
  <c r="G62" i="44"/>
  <c r="D62" i="44"/>
  <c r="C62" i="44"/>
  <c r="AA524" i="17"/>
  <c r="Z524" i="17"/>
  <c r="Y524" i="17"/>
  <c r="X524" i="17"/>
  <c r="W524" i="17"/>
  <c r="AA523" i="17"/>
  <c r="Z523" i="17"/>
  <c r="Y523" i="17"/>
  <c r="X523" i="17"/>
  <c r="W523" i="17"/>
  <c r="AA522" i="17"/>
  <c r="Z522" i="17"/>
  <c r="Y522" i="17"/>
  <c r="X522" i="17"/>
  <c r="W522" i="17"/>
  <c r="M131" i="14"/>
  <c r="G46" i="15"/>
  <c r="E46" i="15"/>
  <c r="D46" i="15"/>
  <c r="C46" i="15"/>
  <c r="B46" i="15"/>
  <c r="G61" i="44"/>
  <c r="D61" i="44"/>
  <c r="C61" i="44"/>
  <c r="G88" i="15"/>
  <c r="E88" i="15"/>
  <c r="D88" i="15"/>
  <c r="C88" i="15"/>
  <c r="B88" i="15"/>
  <c r="G60" i="44"/>
  <c r="D60" i="44"/>
  <c r="C60" i="44"/>
  <c r="B137" i="15"/>
  <c r="C137" i="15"/>
  <c r="D137" i="15"/>
  <c r="E137" i="15"/>
  <c r="G137" i="15"/>
  <c r="C59" i="44"/>
  <c r="D59" i="44"/>
  <c r="G59" i="44"/>
  <c r="W769" i="17"/>
  <c r="X769" i="17"/>
  <c r="Y769" i="17"/>
  <c r="Z769" i="17"/>
  <c r="AA769" i="17"/>
  <c r="W770" i="17"/>
  <c r="X770" i="17"/>
  <c r="Y770" i="17"/>
  <c r="Z770" i="17"/>
  <c r="AA770" i="17"/>
  <c r="M223" i="14"/>
  <c r="M222" i="14"/>
  <c r="G58" i="44"/>
  <c r="D58" i="44"/>
  <c r="C58" i="44"/>
  <c r="G136" i="15"/>
  <c r="E136" i="15"/>
  <c r="D136" i="15"/>
  <c r="C136" i="15"/>
  <c r="B136" i="15"/>
  <c r="AA768" i="17"/>
  <c r="Z768" i="17"/>
  <c r="Y768" i="17"/>
  <c r="X768" i="17"/>
  <c r="W768" i="17"/>
  <c r="AA767" i="17"/>
  <c r="Z767" i="17"/>
  <c r="Y767" i="17"/>
  <c r="X767" i="17"/>
  <c r="W767" i="17"/>
  <c r="AA1013" i="17"/>
  <c r="Z1013" i="17"/>
  <c r="Y1013" i="17"/>
  <c r="X1013" i="17"/>
  <c r="W1013" i="17"/>
  <c r="H1013" i="17"/>
  <c r="M353" i="14"/>
  <c r="C50" i="44"/>
  <c r="D50" i="44"/>
  <c r="G50" i="44"/>
  <c r="E252" i="15"/>
  <c r="D252" i="15"/>
  <c r="C252" i="15"/>
  <c r="B252" i="15"/>
  <c r="G57" i="44"/>
  <c r="D57" i="44"/>
  <c r="C57" i="44"/>
  <c r="AA1012" i="17"/>
  <c r="Z1012" i="17"/>
  <c r="Y1012" i="17"/>
  <c r="X1012" i="17"/>
  <c r="W1012" i="17"/>
  <c r="M352" i="14"/>
  <c r="AA902" i="17"/>
  <c r="Z902" i="17"/>
  <c r="Y902" i="17"/>
  <c r="X902" i="17"/>
  <c r="W902" i="17"/>
  <c r="AA901" i="17"/>
  <c r="Z901" i="17"/>
  <c r="Y901" i="17"/>
  <c r="X901" i="17"/>
  <c r="W901" i="17"/>
  <c r="M248" i="14"/>
  <c r="AA296" i="17"/>
  <c r="Z296" i="17"/>
  <c r="Y296" i="17"/>
  <c r="X296" i="17"/>
  <c r="W296" i="17"/>
  <c r="M247" i="14"/>
  <c r="AA900" i="17"/>
  <c r="Z900" i="17"/>
  <c r="Y900" i="17"/>
  <c r="X900" i="17"/>
  <c r="W900" i="17"/>
  <c r="AA899" i="17"/>
  <c r="Z899" i="17"/>
  <c r="Y899" i="17"/>
  <c r="X899" i="17"/>
  <c r="W899" i="17"/>
  <c r="G26" i="15"/>
  <c r="E26" i="15"/>
  <c r="D26" i="15"/>
  <c r="C26" i="15"/>
  <c r="B26" i="15"/>
  <c r="AA361" i="17"/>
  <c r="Z361" i="17"/>
  <c r="Y361" i="17"/>
  <c r="X361" i="17"/>
  <c r="W361" i="17"/>
  <c r="AA360" i="17"/>
  <c r="Z360" i="17"/>
  <c r="Y360" i="17"/>
  <c r="X360" i="17"/>
  <c r="W360" i="17"/>
  <c r="AA359" i="17"/>
  <c r="Z359" i="17"/>
  <c r="Y359" i="17"/>
  <c r="X359" i="17"/>
  <c r="W359" i="17"/>
  <c r="AA358" i="17"/>
  <c r="Z358" i="17"/>
  <c r="Y358" i="17"/>
  <c r="X358" i="17"/>
  <c r="W358" i="17"/>
  <c r="AA357" i="17"/>
  <c r="Z357" i="17"/>
  <c r="Y357" i="17"/>
  <c r="X357" i="17"/>
  <c r="W357" i="17"/>
  <c r="AA356" i="17"/>
  <c r="Z356" i="17"/>
  <c r="Y356" i="17"/>
  <c r="X356" i="17"/>
  <c r="W356" i="17"/>
  <c r="AA355" i="17"/>
  <c r="Z355" i="17"/>
  <c r="Y355" i="17"/>
  <c r="X355" i="17"/>
  <c r="W355" i="17"/>
  <c r="AA354" i="17"/>
  <c r="Z354" i="17"/>
  <c r="Y354" i="17"/>
  <c r="X354" i="17"/>
  <c r="W354" i="17"/>
  <c r="AA353" i="17"/>
  <c r="Z353" i="17"/>
  <c r="Y353" i="17"/>
  <c r="X353" i="17"/>
  <c r="W353" i="17"/>
  <c r="AA352" i="17"/>
  <c r="Z352" i="17"/>
  <c r="Y352" i="17"/>
  <c r="X352" i="17"/>
  <c r="W352" i="17"/>
  <c r="AA351" i="17"/>
  <c r="Z351" i="17"/>
  <c r="Y351" i="17"/>
  <c r="X351" i="17"/>
  <c r="W351" i="17"/>
  <c r="AA350" i="17"/>
  <c r="Z350" i="17"/>
  <c r="Y350" i="17"/>
  <c r="X350" i="17"/>
  <c r="W350" i="17"/>
  <c r="AA349" i="17"/>
  <c r="Z349" i="17"/>
  <c r="Y349" i="17"/>
  <c r="X349" i="17"/>
  <c r="W349" i="17"/>
  <c r="AA348" i="17"/>
  <c r="Z348" i="17"/>
  <c r="Y348" i="17"/>
  <c r="X348" i="17"/>
  <c r="W348" i="17"/>
  <c r="AA347" i="17"/>
  <c r="Z347" i="17"/>
  <c r="Y347" i="17"/>
  <c r="X347" i="17"/>
  <c r="W347" i="17"/>
  <c r="AA346" i="17"/>
  <c r="Z346" i="17"/>
  <c r="Y346" i="17"/>
  <c r="X346" i="17"/>
  <c r="W346" i="17"/>
  <c r="AA345" i="17"/>
  <c r="Z345" i="17"/>
  <c r="Y345" i="17"/>
  <c r="X345" i="17"/>
  <c r="W345" i="17"/>
  <c r="AA344" i="17"/>
  <c r="Z344" i="17"/>
  <c r="Y344" i="17"/>
  <c r="X344" i="17"/>
  <c r="W344" i="17"/>
  <c r="AA343" i="17"/>
  <c r="Z343" i="17"/>
  <c r="Y343" i="17"/>
  <c r="X343" i="17"/>
  <c r="W343" i="17"/>
  <c r="AA342" i="17"/>
  <c r="Z342" i="17"/>
  <c r="Y342" i="17"/>
  <c r="X342" i="17"/>
  <c r="W342" i="17"/>
  <c r="AA341" i="17"/>
  <c r="Z341" i="17"/>
  <c r="Y341" i="17"/>
  <c r="X341" i="17"/>
  <c r="W341" i="17"/>
  <c r="AA340" i="17"/>
  <c r="Z340" i="17"/>
  <c r="Y340" i="17"/>
  <c r="X340" i="17"/>
  <c r="W340" i="17"/>
  <c r="AA339" i="17"/>
  <c r="Z339" i="17"/>
  <c r="Y339" i="17"/>
  <c r="X339" i="17"/>
  <c r="W339" i="17"/>
  <c r="AA338" i="17"/>
  <c r="Z338" i="17"/>
  <c r="Y338" i="17"/>
  <c r="X338" i="17"/>
  <c r="W338" i="17"/>
  <c r="AA337" i="17"/>
  <c r="Z337" i="17"/>
  <c r="Y337" i="17"/>
  <c r="X337" i="17"/>
  <c r="W337" i="17"/>
  <c r="M95" i="14"/>
  <c r="C55" i="44"/>
  <c r="D55" i="44"/>
  <c r="G55" i="44"/>
  <c r="C56" i="44"/>
  <c r="D56" i="44"/>
  <c r="G56" i="44"/>
  <c r="B133" i="15"/>
  <c r="C133" i="15"/>
  <c r="D133" i="15"/>
  <c r="E133" i="15"/>
  <c r="G133" i="15"/>
  <c r="B134" i="15"/>
  <c r="C134" i="15"/>
  <c r="D134" i="15"/>
  <c r="E134" i="15"/>
  <c r="G134" i="15"/>
  <c r="AA766" i="17"/>
  <c r="Z766" i="17"/>
  <c r="Y766" i="17"/>
  <c r="X766" i="17"/>
  <c r="W766" i="17"/>
  <c r="AA765" i="17"/>
  <c r="Z765" i="17"/>
  <c r="Y765" i="17"/>
  <c r="X765" i="17"/>
  <c r="W765" i="17"/>
  <c r="M221" i="14"/>
  <c r="AA970" i="17"/>
  <c r="Z970" i="17"/>
  <c r="Y970" i="17"/>
  <c r="X970" i="17"/>
  <c r="W970" i="17"/>
  <c r="M320" i="14"/>
  <c r="G87" i="15"/>
  <c r="E87" i="15"/>
  <c r="D87" i="15"/>
  <c r="C87" i="15"/>
  <c r="B87" i="15"/>
  <c r="G54" i="44"/>
  <c r="D54" i="44"/>
  <c r="C54" i="44"/>
  <c r="H1010" i="17"/>
  <c r="G304" i="15"/>
  <c r="E304" i="15"/>
  <c r="D304" i="15"/>
  <c r="C304" i="15"/>
  <c r="B304" i="15"/>
  <c r="G303" i="15"/>
  <c r="AA295" i="17"/>
  <c r="Z295" i="17"/>
  <c r="Y295" i="17"/>
  <c r="X295" i="17"/>
  <c r="W295" i="17"/>
  <c r="M85" i="14"/>
  <c r="M220" i="14"/>
  <c r="AA764" i="17"/>
  <c r="Z764" i="17"/>
  <c r="Y764" i="17"/>
  <c r="X764" i="17"/>
  <c r="W764" i="17"/>
  <c r="AA763" i="17"/>
  <c r="Z763" i="17"/>
  <c r="Y763" i="17"/>
  <c r="X763" i="17"/>
  <c r="W763" i="17"/>
  <c r="AA636" i="17"/>
  <c r="Z636" i="17"/>
  <c r="Y636" i="17"/>
  <c r="X636" i="17"/>
  <c r="W636" i="17"/>
  <c r="AA635" i="17"/>
  <c r="Z635" i="17"/>
  <c r="Y635" i="17"/>
  <c r="X635" i="17"/>
  <c r="W635" i="17"/>
  <c r="AA634" i="17"/>
  <c r="Z634" i="17"/>
  <c r="Y634" i="17"/>
  <c r="X634" i="17"/>
  <c r="W634" i="17"/>
  <c r="W670" i="17"/>
  <c r="X670" i="17"/>
  <c r="Y670" i="17"/>
  <c r="Z670" i="17"/>
  <c r="AA670" i="17"/>
  <c r="M172" i="14"/>
  <c r="W519" i="17"/>
  <c r="X519" i="17"/>
  <c r="Y519" i="17"/>
  <c r="Z519" i="17"/>
  <c r="AA519" i="17"/>
  <c r="W520" i="17"/>
  <c r="X520" i="17"/>
  <c r="Y520" i="17"/>
  <c r="Z520" i="17"/>
  <c r="AA520" i="17"/>
  <c r="W521" i="17"/>
  <c r="X521" i="17"/>
  <c r="Y521" i="17"/>
  <c r="Z521" i="17"/>
  <c r="AA521" i="17"/>
  <c r="M130" i="14"/>
  <c r="AA762" i="17"/>
  <c r="Z762" i="17"/>
  <c r="Y762" i="17"/>
  <c r="X762" i="17"/>
  <c r="W762" i="17"/>
  <c r="AA761" i="17"/>
  <c r="Z761" i="17"/>
  <c r="Y761" i="17"/>
  <c r="X761" i="17"/>
  <c r="W761" i="17"/>
  <c r="M219" i="14"/>
  <c r="AA950" i="17"/>
  <c r="Z950" i="17"/>
  <c r="Y950" i="17"/>
  <c r="X950" i="17"/>
  <c r="W950" i="17"/>
  <c r="AA949" i="17"/>
  <c r="Z949" i="17"/>
  <c r="Y949" i="17"/>
  <c r="X949" i="17"/>
  <c r="W949" i="17"/>
  <c r="AA948" i="17"/>
  <c r="Z948" i="17"/>
  <c r="Y948" i="17"/>
  <c r="X948" i="17"/>
  <c r="W948" i="17"/>
  <c r="AA699" i="17"/>
  <c r="Z699" i="17"/>
  <c r="Y699" i="17"/>
  <c r="X699" i="17"/>
  <c r="W699" i="17"/>
  <c r="AA698" i="17"/>
  <c r="Z698" i="17"/>
  <c r="Y698" i="17"/>
  <c r="X698" i="17"/>
  <c r="W698" i="17"/>
  <c r="AA697" i="17"/>
  <c r="Z697" i="17"/>
  <c r="Y697" i="17"/>
  <c r="X697" i="17"/>
  <c r="W697" i="17"/>
  <c r="AA696" i="17"/>
  <c r="Z696" i="17"/>
  <c r="Y696" i="17"/>
  <c r="X696" i="17"/>
  <c r="W696" i="17"/>
  <c r="M304" i="14"/>
  <c r="M190" i="14"/>
  <c r="G46" i="44"/>
  <c r="D46" i="44"/>
  <c r="C46" i="44"/>
  <c r="E251" i="15"/>
  <c r="D251" i="15"/>
  <c r="C251" i="15"/>
  <c r="B251" i="15"/>
  <c r="AA1055" i="17"/>
  <c r="Z1055" i="17"/>
  <c r="Y1055" i="17"/>
  <c r="X1055" i="17"/>
  <c r="W1055" i="17"/>
  <c r="AA1054" i="17"/>
  <c r="Z1054" i="17"/>
  <c r="Y1054" i="17"/>
  <c r="X1054" i="17"/>
  <c r="W1054" i="17"/>
  <c r="G21" i="44"/>
  <c r="D21" i="44"/>
  <c r="C21" i="44"/>
  <c r="B223" i="15"/>
  <c r="G223" i="15"/>
  <c r="E223" i="15"/>
  <c r="D223" i="15"/>
  <c r="C223" i="15"/>
  <c r="G171" i="15"/>
  <c r="E171" i="15"/>
  <c r="D171" i="15"/>
  <c r="C171" i="15"/>
  <c r="B171" i="15"/>
  <c r="D44" i="44"/>
  <c r="C44" i="44"/>
  <c r="G44" i="44"/>
  <c r="AA633" i="17"/>
  <c r="Z633" i="17"/>
  <c r="Y633" i="17"/>
  <c r="X633" i="17"/>
  <c r="W633" i="17"/>
  <c r="AA632" i="17"/>
  <c r="Z632" i="17"/>
  <c r="Y632" i="17"/>
  <c r="X632" i="17"/>
  <c r="W632" i="17"/>
  <c r="AA631" i="17"/>
  <c r="Z631" i="17"/>
  <c r="Y631" i="17"/>
  <c r="X631" i="17"/>
  <c r="W631" i="17"/>
  <c r="M171" i="14"/>
  <c r="AA1056" i="17"/>
  <c r="Z1056" i="17"/>
  <c r="Y1056" i="17"/>
  <c r="X1056" i="17"/>
  <c r="W1056" i="17"/>
  <c r="G53" i="44"/>
  <c r="D53" i="44"/>
  <c r="C53" i="44"/>
  <c r="G45" i="15"/>
  <c r="E45" i="15"/>
  <c r="D45" i="15"/>
  <c r="C45" i="15"/>
  <c r="B45" i="15"/>
  <c r="AA518" i="17"/>
  <c r="Z518" i="17"/>
  <c r="Y518" i="17"/>
  <c r="X518" i="17"/>
  <c r="W518" i="17"/>
  <c r="AA517" i="17"/>
  <c r="Z517" i="17"/>
  <c r="Y517" i="17"/>
  <c r="X517" i="17"/>
  <c r="W517" i="17"/>
  <c r="AA516" i="17"/>
  <c r="Z516" i="17"/>
  <c r="Y516" i="17"/>
  <c r="X516" i="17"/>
  <c r="W516" i="17"/>
  <c r="M129" i="14"/>
  <c r="D52" i="44"/>
  <c r="C52" i="44"/>
  <c r="AA898" i="17"/>
  <c r="Z898" i="17"/>
  <c r="Y898" i="17"/>
  <c r="X898" i="17"/>
  <c r="W898" i="17"/>
  <c r="G284" i="15"/>
  <c r="E284" i="15"/>
  <c r="D284" i="15"/>
  <c r="C284" i="15"/>
  <c r="B284" i="15"/>
  <c r="G51" i="44"/>
  <c r="D51" i="44"/>
  <c r="C51" i="44"/>
  <c r="G132" i="15"/>
  <c r="E132" i="15"/>
  <c r="D132" i="15"/>
  <c r="C132" i="15"/>
  <c r="B132" i="15"/>
  <c r="B170" i="15"/>
  <c r="C170" i="15"/>
  <c r="D170" i="15"/>
  <c r="E170" i="15"/>
  <c r="G170" i="15"/>
  <c r="C43" i="44"/>
  <c r="D43" i="44"/>
  <c r="G43" i="44"/>
  <c r="AA897" i="17"/>
  <c r="Z897" i="17"/>
  <c r="Y897" i="17"/>
  <c r="X897" i="17"/>
  <c r="W897" i="17"/>
  <c r="M246" i="14"/>
  <c r="D48" i="44"/>
  <c r="C48" i="44"/>
  <c r="D49" i="44"/>
  <c r="C49" i="44"/>
  <c r="G49" i="44"/>
  <c r="G48" i="44"/>
  <c r="E208" i="15"/>
  <c r="E207" i="15"/>
  <c r="D208" i="15"/>
  <c r="D207" i="15"/>
  <c r="C208" i="15"/>
  <c r="C207" i="15"/>
  <c r="B208" i="15"/>
  <c r="G208" i="15"/>
  <c r="D104" i="15"/>
  <c r="C104" i="15"/>
  <c r="B104" i="15"/>
  <c r="E104" i="15"/>
  <c r="G104" i="15"/>
  <c r="AA235" i="17"/>
  <c r="Z235" i="17"/>
  <c r="Y235" i="17"/>
  <c r="X235" i="17"/>
  <c r="W235" i="17"/>
  <c r="M65" i="14"/>
  <c r="B86" i="15"/>
  <c r="C86" i="15"/>
  <c r="D86" i="15"/>
  <c r="E86" i="15"/>
  <c r="G86" i="15"/>
  <c r="G47" i="44"/>
  <c r="D47" i="44"/>
  <c r="C47" i="44"/>
  <c r="M351" i="14"/>
  <c r="AA1011" i="17"/>
  <c r="Z1011" i="17"/>
  <c r="Y1011" i="17"/>
  <c r="X1011" i="17"/>
  <c r="W1011" i="17"/>
  <c r="AA896" i="17"/>
  <c r="Z896" i="17"/>
  <c r="Y896" i="17"/>
  <c r="X896" i="17"/>
  <c r="W896" i="17"/>
  <c r="AA895" i="17"/>
  <c r="Z895" i="17"/>
  <c r="Y895" i="17"/>
  <c r="X895" i="17"/>
  <c r="W895" i="17"/>
  <c r="M245" i="14"/>
  <c r="M281" i="14"/>
  <c r="AA851" i="17"/>
  <c r="Z851" i="17"/>
  <c r="Y851" i="17"/>
  <c r="X851" i="17"/>
  <c r="AA850" i="17"/>
  <c r="Z850" i="17"/>
  <c r="Y850" i="17"/>
  <c r="X850" i="17"/>
  <c r="AA969" i="17"/>
  <c r="Z969" i="17"/>
  <c r="Y969" i="17"/>
  <c r="X969" i="17"/>
  <c r="W969" i="17"/>
  <c r="M319" i="14"/>
  <c r="A7" i="44"/>
  <c r="G7" i="44"/>
  <c r="D7" i="44"/>
  <c r="C7" i="44"/>
  <c r="G44" i="15"/>
  <c r="E44" i="15"/>
  <c r="D44" i="15"/>
  <c r="C44" i="15"/>
  <c r="B44" i="15"/>
  <c r="G169" i="15"/>
  <c r="E169" i="15"/>
  <c r="D169" i="15"/>
  <c r="C169" i="15"/>
  <c r="B169" i="15"/>
  <c r="G42" i="44"/>
  <c r="D42" i="44"/>
  <c r="C42" i="44"/>
  <c r="AA849" i="17"/>
  <c r="Z849" i="17"/>
  <c r="Y849" i="17"/>
  <c r="X849" i="17"/>
  <c r="W849" i="17"/>
  <c r="AA848" i="17"/>
  <c r="Z848" i="17"/>
  <c r="Y848" i="17"/>
  <c r="X848" i="17"/>
  <c r="W848" i="17"/>
  <c r="M280" i="14"/>
  <c r="G45" i="44"/>
  <c r="D45" i="44"/>
  <c r="C45" i="44"/>
  <c r="E250" i="15"/>
  <c r="D250" i="15"/>
  <c r="C250" i="15"/>
  <c r="B250" i="15"/>
  <c r="AA1009" i="17"/>
  <c r="Z1009" i="17"/>
  <c r="Y1009" i="17"/>
  <c r="X1009" i="17"/>
  <c r="W1009" i="17"/>
  <c r="H1009" i="17"/>
  <c r="AA1008" i="17"/>
  <c r="Z1008" i="17"/>
  <c r="Y1008" i="17"/>
  <c r="X1008" i="17"/>
  <c r="W1008" i="17"/>
  <c r="H1008" i="17"/>
  <c r="AA1010" i="17"/>
  <c r="Z1010" i="17"/>
  <c r="Y1010" i="17"/>
  <c r="X1010" i="17"/>
  <c r="W1010" i="17"/>
  <c r="M350" i="14"/>
  <c r="G168" i="15"/>
  <c r="E168" i="15"/>
  <c r="D168" i="15"/>
  <c r="C168" i="15"/>
  <c r="B168" i="15"/>
  <c r="G167" i="15"/>
  <c r="E167" i="15"/>
  <c r="D167" i="15"/>
  <c r="C167" i="15"/>
  <c r="B167" i="15"/>
  <c r="G166" i="15"/>
  <c r="E166" i="15"/>
  <c r="D166" i="15"/>
  <c r="C166" i="15"/>
  <c r="B166" i="15"/>
  <c r="G165" i="15"/>
  <c r="E165" i="15"/>
  <c r="D165" i="15"/>
  <c r="C165" i="15"/>
  <c r="B165" i="15"/>
  <c r="D41" i="44"/>
  <c r="C41" i="44"/>
  <c r="D40" i="44"/>
  <c r="C40" i="44"/>
  <c r="G40" i="44"/>
  <c r="G41" i="44"/>
  <c r="AA847" i="17"/>
  <c r="Z847" i="17"/>
  <c r="Y847" i="17"/>
  <c r="X847" i="17"/>
  <c r="AA846" i="17"/>
  <c r="Z846" i="17"/>
  <c r="Y846" i="17"/>
  <c r="X846" i="17"/>
  <c r="M279" i="14"/>
  <c r="G39" i="44"/>
  <c r="D39" i="44"/>
  <c r="C39" i="44"/>
  <c r="G30" i="44"/>
  <c r="D30" i="44"/>
  <c r="C30" i="44"/>
  <c r="G23" i="44"/>
  <c r="D23" i="44"/>
  <c r="C23" i="44"/>
  <c r="G173" i="15"/>
  <c r="E173" i="15"/>
  <c r="D173" i="15"/>
  <c r="C173" i="15"/>
  <c r="B173" i="15"/>
  <c r="M218" i="14"/>
  <c r="AA759" i="17"/>
  <c r="Z759" i="17"/>
  <c r="Y759" i="17"/>
  <c r="X759" i="17"/>
  <c r="W759" i="17"/>
  <c r="AA760" i="17"/>
  <c r="Z760" i="17"/>
  <c r="Y760" i="17"/>
  <c r="X760" i="17"/>
  <c r="W760" i="17"/>
  <c r="AA630" i="17"/>
  <c r="Z630" i="17"/>
  <c r="Y630" i="17"/>
  <c r="X630" i="17"/>
  <c r="W630" i="17"/>
  <c r="AA629" i="17"/>
  <c r="Z629" i="17"/>
  <c r="Y629" i="17"/>
  <c r="X629" i="17"/>
  <c r="W629" i="17"/>
  <c r="AA628" i="17"/>
  <c r="Z628" i="17"/>
  <c r="Y628" i="17"/>
  <c r="X628" i="17"/>
  <c r="W628" i="17"/>
  <c r="M170" i="14"/>
  <c r="E249" i="15"/>
  <c r="D249" i="15"/>
  <c r="C249" i="15"/>
  <c r="B249" i="15"/>
  <c r="O9" i="22"/>
  <c r="C9" i="22"/>
  <c r="B9" i="22"/>
  <c r="O8" i="22"/>
  <c r="C8" i="22"/>
  <c r="B8" i="22"/>
  <c r="G247" i="15"/>
  <c r="G248" i="15"/>
  <c r="E248" i="15"/>
  <c r="D248" i="15"/>
  <c r="C248" i="15"/>
  <c r="B248" i="15"/>
  <c r="AA1024" i="17"/>
  <c r="Z1024" i="17"/>
  <c r="Y1024" i="17"/>
  <c r="X1024" i="17"/>
  <c r="W1024" i="17"/>
  <c r="M348" i="14"/>
  <c r="H1001" i="17"/>
  <c r="H1002" i="17"/>
  <c r="H1003" i="17"/>
  <c r="H1004" i="17"/>
  <c r="AA1007" i="17"/>
  <c r="Z1007" i="17"/>
  <c r="Y1007" i="17"/>
  <c r="X1007" i="17"/>
  <c r="W1007" i="17"/>
  <c r="M349" i="14"/>
  <c r="AA1006" i="17"/>
  <c r="Z1006" i="17"/>
  <c r="Y1006" i="17"/>
  <c r="X1006" i="17"/>
  <c r="W1006" i="17"/>
  <c r="AA233" i="17"/>
  <c r="Z233" i="17"/>
  <c r="Y233" i="17"/>
  <c r="X233" i="17"/>
  <c r="W233" i="17"/>
  <c r="AA232" i="17"/>
  <c r="Z232" i="17"/>
  <c r="Y232" i="17"/>
  <c r="X232" i="17"/>
  <c r="W232" i="17"/>
  <c r="AA231" i="17"/>
  <c r="Z231" i="17"/>
  <c r="Y231" i="17"/>
  <c r="X231" i="17"/>
  <c r="W231" i="17"/>
  <c r="AA230" i="17"/>
  <c r="Z230" i="17"/>
  <c r="Y230" i="17"/>
  <c r="X230" i="17"/>
  <c r="W230" i="17"/>
  <c r="AA229" i="17"/>
  <c r="Z229" i="17"/>
  <c r="Y229" i="17"/>
  <c r="X229" i="17"/>
  <c r="W229" i="17"/>
  <c r="AA227" i="17"/>
  <c r="Z227" i="17"/>
  <c r="Y227" i="17"/>
  <c r="X227" i="17"/>
  <c r="W227" i="17"/>
  <c r="AA228" i="17"/>
  <c r="Z228" i="17"/>
  <c r="Y228" i="17"/>
  <c r="X228" i="17"/>
  <c r="W228" i="17"/>
  <c r="AA226" i="17"/>
  <c r="Z226" i="17"/>
  <c r="Y226" i="17"/>
  <c r="X226" i="17"/>
  <c r="W226" i="17"/>
  <c r="AA225" i="17"/>
  <c r="Z225" i="17"/>
  <c r="Y225" i="17"/>
  <c r="X225" i="17"/>
  <c r="W225" i="17"/>
  <c r="AA224" i="17"/>
  <c r="Z224" i="17"/>
  <c r="Y224" i="17"/>
  <c r="X224" i="17"/>
  <c r="W224" i="17"/>
  <c r="W261" i="17"/>
  <c r="X261" i="17"/>
  <c r="Y261" i="17"/>
  <c r="Z261" i="17"/>
  <c r="AA261" i="17"/>
  <c r="W262" i="17"/>
  <c r="X262" i="17"/>
  <c r="Y262" i="17"/>
  <c r="Z262" i="17"/>
  <c r="AA262" i="17"/>
  <c r="W263" i="17"/>
  <c r="X263" i="17"/>
  <c r="Y263" i="17"/>
  <c r="Z263" i="17"/>
  <c r="AA263" i="17"/>
  <c r="W264" i="17"/>
  <c r="X264" i="17"/>
  <c r="Y264" i="17"/>
  <c r="Z264" i="17"/>
  <c r="AA264" i="17"/>
  <c r="W265" i="17"/>
  <c r="X265" i="17"/>
  <c r="Y265" i="17"/>
  <c r="Z265" i="17"/>
  <c r="AA265" i="17"/>
  <c r="W266" i="17"/>
  <c r="X266" i="17"/>
  <c r="Y266" i="17"/>
  <c r="Z266" i="17"/>
  <c r="AA266" i="17"/>
  <c r="M56" i="14"/>
  <c r="M55" i="14"/>
  <c r="G280" i="15"/>
  <c r="G279" i="15"/>
  <c r="G278" i="15"/>
  <c r="G277" i="15"/>
  <c r="G276" i="15"/>
  <c r="C5" i="22"/>
  <c r="C4" i="22"/>
  <c r="C3" i="22"/>
  <c r="C2" i="22"/>
  <c r="D15" i="44"/>
  <c r="G22" i="44"/>
  <c r="D22" i="44"/>
  <c r="C22" i="44"/>
  <c r="G131" i="15"/>
  <c r="E131" i="15"/>
  <c r="D131" i="15"/>
  <c r="C131" i="15"/>
  <c r="B131" i="15"/>
  <c r="AA515" i="17"/>
  <c r="Z515" i="17"/>
  <c r="Y515" i="17"/>
  <c r="X515" i="17"/>
  <c r="W515" i="17"/>
  <c r="AA514" i="17"/>
  <c r="Z514" i="17"/>
  <c r="Y514" i="17"/>
  <c r="X514" i="17"/>
  <c r="W514" i="17"/>
  <c r="AA513" i="17"/>
  <c r="Z513" i="17"/>
  <c r="Y513" i="17"/>
  <c r="X513" i="17"/>
  <c r="W513" i="17"/>
  <c r="M128" i="14"/>
  <c r="AA294" i="17"/>
  <c r="Z294" i="17"/>
  <c r="Y294" i="17"/>
  <c r="X294" i="17"/>
  <c r="W294" i="17"/>
  <c r="AA293" i="17"/>
  <c r="Z293" i="17"/>
  <c r="Y293" i="17"/>
  <c r="X293" i="17"/>
  <c r="W293" i="17"/>
  <c r="AA292" i="17"/>
  <c r="Z292" i="17"/>
  <c r="Y292" i="17"/>
  <c r="X292" i="17"/>
  <c r="W292" i="17"/>
  <c r="AA291" i="17"/>
  <c r="Z291" i="17"/>
  <c r="Y291" i="17"/>
  <c r="X291" i="17"/>
  <c r="W291" i="17"/>
  <c r="AA290" i="17"/>
  <c r="Z290" i="17"/>
  <c r="Y290" i="17"/>
  <c r="X290" i="17"/>
  <c r="W290" i="17"/>
  <c r="AA289" i="17"/>
  <c r="Z289" i="17"/>
  <c r="Y289" i="17"/>
  <c r="X289" i="17"/>
  <c r="W289" i="17"/>
  <c r="AA288" i="17"/>
  <c r="Z288" i="17"/>
  <c r="Y288" i="17"/>
  <c r="X288" i="17"/>
  <c r="W288" i="17"/>
  <c r="M283" i="14"/>
  <c r="AA854" i="17"/>
  <c r="Z854" i="17"/>
  <c r="Y854" i="17"/>
  <c r="X854" i="17"/>
  <c r="W854" i="17"/>
  <c r="AA855" i="17"/>
  <c r="Z855" i="17"/>
  <c r="Y855" i="17"/>
  <c r="X855" i="17"/>
  <c r="W855" i="17"/>
  <c r="G222" i="15"/>
  <c r="E222" i="15"/>
  <c r="D222" i="15"/>
  <c r="C222" i="15"/>
  <c r="B222" i="15"/>
  <c r="G20" i="44"/>
  <c r="D20" i="44"/>
  <c r="C20" i="44"/>
  <c r="M277" i="14"/>
  <c r="X842" i="17"/>
  <c r="X843" i="17"/>
  <c r="Y842" i="17"/>
  <c r="Z842" i="17"/>
  <c r="AA842" i="17"/>
  <c r="AA843" i="17"/>
  <c r="Z843" i="17"/>
  <c r="Y843" i="17"/>
  <c r="M278" i="14"/>
  <c r="AA845" i="17"/>
  <c r="Z845" i="17"/>
  <c r="Y845" i="17"/>
  <c r="X845" i="17"/>
  <c r="AA844" i="17"/>
  <c r="Z844" i="17"/>
  <c r="Y844" i="17"/>
  <c r="X844" i="17"/>
  <c r="E303" i="15"/>
  <c r="D303" i="15"/>
  <c r="C303" i="15"/>
  <c r="B303" i="15"/>
  <c r="AA946" i="17"/>
  <c r="Z946" i="17"/>
  <c r="Y946" i="17"/>
  <c r="X946" i="17"/>
  <c r="W946" i="17"/>
  <c r="AA947" i="17"/>
  <c r="Z947" i="17"/>
  <c r="Y947" i="17"/>
  <c r="X947" i="17"/>
  <c r="W947" i="17"/>
  <c r="C121" i="19"/>
  <c r="A121" i="19"/>
  <c r="C120" i="19"/>
  <c r="A120" i="19"/>
  <c r="G43" i="15"/>
  <c r="E43" i="15"/>
  <c r="D43" i="15"/>
  <c r="C43" i="15"/>
  <c r="B43" i="15"/>
  <c r="G18" i="44"/>
  <c r="D18" i="44"/>
  <c r="C18" i="44"/>
  <c r="G17" i="44"/>
  <c r="D17" i="44"/>
  <c r="C17" i="44"/>
  <c r="G85" i="15"/>
  <c r="E85" i="15"/>
  <c r="D85" i="15"/>
  <c r="C85" i="15"/>
  <c r="B85" i="15"/>
  <c r="G16" i="44"/>
  <c r="D16" i="44"/>
  <c r="C16" i="44"/>
  <c r="G172" i="15"/>
  <c r="E172" i="15"/>
  <c r="D172" i="15"/>
  <c r="C172" i="15"/>
  <c r="B172" i="15"/>
  <c r="C15" i="44"/>
  <c r="W287" i="17"/>
  <c r="X287" i="17"/>
  <c r="Y287" i="17"/>
  <c r="Z287" i="17"/>
  <c r="AA287" i="17"/>
  <c r="M84" i="14"/>
  <c r="M282" i="14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C128" i="19"/>
  <c r="A128" i="19"/>
  <c r="C127" i="19"/>
  <c r="A127" i="19"/>
  <c r="C126" i="19"/>
  <c r="A126" i="19"/>
  <c r="C125" i="19"/>
  <c r="A125" i="19"/>
  <c r="C124" i="19"/>
  <c r="A124" i="19"/>
  <c r="C123" i="19"/>
  <c r="A123" i="19"/>
  <c r="C122" i="19"/>
  <c r="A122" i="19"/>
  <c r="C119" i="19"/>
  <c r="A119" i="19"/>
  <c r="C118" i="19"/>
  <c r="A118" i="19"/>
  <c r="C117" i="19"/>
  <c r="A117" i="19"/>
  <c r="C116" i="19"/>
  <c r="A116" i="19"/>
  <c r="C115" i="19"/>
  <c r="A115" i="19"/>
  <c r="C114" i="19"/>
  <c r="A114" i="19"/>
  <c r="C113" i="19"/>
  <c r="A113" i="19"/>
  <c r="C112" i="19"/>
  <c r="A112" i="19"/>
  <c r="C111" i="19"/>
  <c r="A111" i="19"/>
  <c r="C110" i="19"/>
  <c r="A110" i="19"/>
  <c r="C109" i="19"/>
  <c r="A109" i="19"/>
  <c r="C108" i="19"/>
  <c r="A108" i="19"/>
  <c r="C107" i="19"/>
  <c r="A107" i="19"/>
  <c r="C106" i="19"/>
  <c r="A106" i="19"/>
  <c r="C105" i="19"/>
  <c r="A105" i="19"/>
  <c r="C104" i="19"/>
  <c r="A104" i="19"/>
  <c r="C103" i="19"/>
  <c r="A103" i="19"/>
  <c r="C102" i="19"/>
  <c r="A102" i="19"/>
  <c r="C101" i="19"/>
  <c r="A101" i="19"/>
  <c r="C100" i="19"/>
  <c r="A100" i="19"/>
  <c r="C99" i="19"/>
  <c r="A99" i="19"/>
  <c r="C98" i="19"/>
  <c r="A98" i="19"/>
  <c r="AA758" i="17"/>
  <c r="Z758" i="17"/>
  <c r="Y758" i="17"/>
  <c r="X758" i="17"/>
  <c r="W758" i="17"/>
  <c r="AA757" i="17"/>
  <c r="Z757" i="17"/>
  <c r="Y757" i="17"/>
  <c r="X757" i="17"/>
  <c r="W757" i="17"/>
  <c r="M217" i="14"/>
  <c r="AA627" i="17"/>
  <c r="Z627" i="17"/>
  <c r="Y627" i="17"/>
  <c r="X627" i="17"/>
  <c r="W627" i="17"/>
  <c r="AA626" i="17"/>
  <c r="Z626" i="17"/>
  <c r="Y626" i="17"/>
  <c r="X626" i="17"/>
  <c r="W626" i="17"/>
  <c r="AA625" i="17"/>
  <c r="Z625" i="17"/>
  <c r="Y625" i="17"/>
  <c r="X625" i="17"/>
  <c r="W625" i="17"/>
  <c r="M169" i="14"/>
  <c r="H612" i="17"/>
  <c r="H609" i="17"/>
  <c r="H603" i="17"/>
  <c r="H606" i="17"/>
  <c r="H600" i="17"/>
  <c r="H597" i="17"/>
  <c r="H588" i="17"/>
  <c r="H594" i="17"/>
  <c r="H591" i="17"/>
  <c r="H585" i="17"/>
  <c r="G14" i="44"/>
  <c r="D14" i="44"/>
  <c r="C14" i="44"/>
  <c r="G84" i="15"/>
  <c r="E84" i="15"/>
  <c r="D84" i="15"/>
  <c r="C84" i="15"/>
  <c r="B84" i="15"/>
  <c r="G13" i="44"/>
  <c r="D13" i="44"/>
  <c r="C13" i="44"/>
  <c r="G42" i="15"/>
  <c r="E42" i="15"/>
  <c r="D42" i="15"/>
  <c r="C42" i="15"/>
  <c r="B42" i="15"/>
  <c r="G12" i="44"/>
  <c r="D12" i="44"/>
  <c r="C12" i="44"/>
  <c r="G130" i="15"/>
  <c r="E130" i="15"/>
  <c r="D130" i="15"/>
  <c r="C130" i="15"/>
  <c r="B130" i="15"/>
  <c r="G302" i="15"/>
  <c r="D302" i="15"/>
  <c r="C302" i="15"/>
  <c r="B302" i="15"/>
  <c r="E302" i="15"/>
  <c r="AA841" i="17"/>
  <c r="Z841" i="17"/>
  <c r="Y841" i="17"/>
  <c r="X841" i="17"/>
  <c r="AA840" i="17"/>
  <c r="Z840" i="17"/>
  <c r="Y840" i="17"/>
  <c r="X840" i="17"/>
  <c r="AA839" i="17"/>
  <c r="Z839" i="17"/>
  <c r="Y839" i="17"/>
  <c r="X839" i="17"/>
  <c r="M276" i="14"/>
  <c r="E247" i="15"/>
  <c r="D247" i="15"/>
  <c r="C247" i="15"/>
  <c r="B247" i="15"/>
  <c r="G11" i="44"/>
  <c r="D11" i="44"/>
  <c r="C11" i="44"/>
  <c r="AA968" i="17"/>
  <c r="Z968" i="17"/>
  <c r="Y968" i="17"/>
  <c r="X968" i="17"/>
  <c r="W968" i="17"/>
  <c r="M318" i="14"/>
  <c r="AA853" i="17"/>
  <c r="Z853" i="17"/>
  <c r="Y853" i="17"/>
  <c r="X853" i="17"/>
  <c r="W853" i="17"/>
  <c r="AA852" i="17"/>
  <c r="Z852" i="17"/>
  <c r="Y852" i="17"/>
  <c r="X852" i="17"/>
  <c r="W852" i="17"/>
  <c r="M127" i="14"/>
  <c r="AA512" i="17"/>
  <c r="Z512" i="17"/>
  <c r="Y512" i="17"/>
  <c r="X512" i="17"/>
  <c r="W512" i="17"/>
  <c r="AA511" i="17"/>
  <c r="Z511" i="17"/>
  <c r="Y511" i="17"/>
  <c r="X511" i="17"/>
  <c r="W511" i="17"/>
  <c r="AA510" i="17"/>
  <c r="Z510" i="17"/>
  <c r="Y510" i="17"/>
  <c r="X510" i="17"/>
  <c r="W510" i="17"/>
  <c r="W892" i="17"/>
  <c r="X892" i="17"/>
  <c r="Y892" i="17"/>
  <c r="Z892" i="17"/>
  <c r="AA892" i="17"/>
  <c r="W893" i="17"/>
  <c r="X893" i="17"/>
  <c r="Y893" i="17"/>
  <c r="Z893" i="17"/>
  <c r="AA893" i="17"/>
  <c r="W894" i="17"/>
  <c r="X894" i="17"/>
  <c r="Y894" i="17"/>
  <c r="Z894" i="17"/>
  <c r="AA894" i="17"/>
  <c r="M244" i="14"/>
  <c r="G164" i="15"/>
  <c r="E164" i="15"/>
  <c r="D164" i="15"/>
  <c r="C164" i="15"/>
  <c r="B164" i="15"/>
  <c r="G163" i="15"/>
  <c r="E163" i="15"/>
  <c r="D163" i="15"/>
  <c r="C163" i="15"/>
  <c r="B163" i="15"/>
  <c r="AA838" i="17"/>
  <c r="Z838" i="17"/>
  <c r="Y838" i="17"/>
  <c r="X838" i="17"/>
  <c r="AA837" i="17"/>
  <c r="Z837" i="17"/>
  <c r="Y837" i="17"/>
  <c r="X837" i="17"/>
  <c r="AA836" i="17"/>
  <c r="Z836" i="17"/>
  <c r="Y836" i="17"/>
  <c r="X836" i="17"/>
  <c r="M275" i="14"/>
  <c r="C10" i="44"/>
  <c r="D10" i="44"/>
  <c r="G10" i="44"/>
  <c r="W286" i="17"/>
  <c r="X286" i="17"/>
  <c r="Y286" i="17"/>
  <c r="Z286" i="17"/>
  <c r="AA286" i="17"/>
  <c r="M189" i="14"/>
  <c r="AA695" i="17"/>
  <c r="Z695" i="17"/>
  <c r="Y695" i="17"/>
  <c r="X695" i="17"/>
  <c r="W695" i="17"/>
  <c r="AA694" i="17"/>
  <c r="Z694" i="17"/>
  <c r="Y694" i="17"/>
  <c r="X694" i="17"/>
  <c r="W694" i="17"/>
  <c r="AA693" i="17"/>
  <c r="Z693" i="17"/>
  <c r="Y693" i="17"/>
  <c r="X693" i="17"/>
  <c r="W693" i="17"/>
  <c r="AA692" i="17"/>
  <c r="Z692" i="17"/>
  <c r="Y692" i="17"/>
  <c r="X692" i="17"/>
  <c r="W692" i="17"/>
  <c r="M303" i="14"/>
  <c r="AA1005" i="17"/>
  <c r="Z1005" i="17"/>
  <c r="Y1005" i="17"/>
  <c r="X1005" i="17"/>
  <c r="W1005" i="17"/>
  <c r="M347" i="14"/>
  <c r="AA832" i="17"/>
  <c r="Z832" i="17"/>
  <c r="Y832" i="17"/>
  <c r="X832" i="17"/>
  <c r="AA831" i="17"/>
  <c r="Z831" i="17"/>
  <c r="Y831" i="17"/>
  <c r="X831" i="17"/>
  <c r="AA830" i="17"/>
  <c r="Z830" i="17"/>
  <c r="Y830" i="17"/>
  <c r="X830" i="17"/>
  <c r="M273" i="14"/>
  <c r="G129" i="15"/>
  <c r="B129" i="15"/>
  <c r="C129" i="15"/>
  <c r="D129" i="15"/>
  <c r="E129" i="15"/>
  <c r="G8" i="44"/>
  <c r="G9" i="44"/>
  <c r="D9" i="44"/>
  <c r="C9" i="44"/>
  <c r="C8" i="44"/>
  <c r="C6" i="44"/>
  <c r="D8" i="44"/>
  <c r="B162" i="15"/>
  <c r="G162" i="15"/>
  <c r="C162" i="15"/>
  <c r="D162" i="15"/>
  <c r="E162" i="15"/>
  <c r="AA756" i="17"/>
  <c r="Z756" i="17"/>
  <c r="Y756" i="17"/>
  <c r="X756" i="17"/>
  <c r="W756" i="17"/>
  <c r="AA755" i="17"/>
  <c r="Z755" i="17"/>
  <c r="Y755" i="17"/>
  <c r="X755" i="17"/>
  <c r="W755" i="17"/>
  <c r="AA754" i="17"/>
  <c r="Z754" i="17"/>
  <c r="Y754" i="17"/>
  <c r="X754" i="17"/>
  <c r="W754" i="17"/>
  <c r="M216" i="14"/>
  <c r="AA835" i="17"/>
  <c r="Z835" i="17"/>
  <c r="Y835" i="17"/>
  <c r="X835" i="17"/>
  <c r="AA834" i="17"/>
  <c r="Z834" i="17"/>
  <c r="Y834" i="17"/>
  <c r="X834" i="17"/>
  <c r="AA833" i="17"/>
  <c r="Z833" i="17"/>
  <c r="Y833" i="17"/>
  <c r="X833" i="17"/>
  <c r="M274" i="14"/>
  <c r="A6" i="44"/>
  <c r="G6" i="44"/>
  <c r="A2" i="44"/>
  <c r="A4" i="44"/>
  <c r="H998" i="17"/>
  <c r="H999" i="17"/>
  <c r="H1000" i="17"/>
  <c r="AA945" i="17"/>
  <c r="Z945" i="17"/>
  <c r="Y945" i="17"/>
  <c r="X945" i="17"/>
  <c r="W945" i="17"/>
  <c r="W1064" i="17"/>
  <c r="W1063" i="17"/>
  <c r="W1062" i="17"/>
  <c r="W1061" i="17"/>
  <c r="E13" i="43"/>
  <c r="E14" i="43"/>
  <c r="E15" i="43"/>
  <c r="E16" i="43"/>
  <c r="E17" i="43"/>
  <c r="D6" i="44"/>
  <c r="A5" i="44"/>
  <c r="G5" i="44"/>
  <c r="C5" i="44"/>
  <c r="D5" i="44"/>
  <c r="G4" i="44"/>
  <c r="C4" i="44"/>
  <c r="D4" i="44"/>
  <c r="A3" i="44"/>
  <c r="G3" i="44"/>
  <c r="D3" i="44"/>
  <c r="C3" i="44"/>
  <c r="C2" i="44"/>
  <c r="D2" i="44"/>
  <c r="G2" i="44"/>
  <c r="W1060" i="17"/>
  <c r="AA891" i="17"/>
  <c r="Z891" i="17"/>
  <c r="Y891" i="17"/>
  <c r="X891" i="17"/>
  <c r="W891" i="17"/>
  <c r="M243" i="14"/>
  <c r="AA691" i="17"/>
  <c r="Z691" i="17"/>
  <c r="Y691" i="17"/>
  <c r="X691" i="17"/>
  <c r="W691" i="17"/>
  <c r="AA690" i="17"/>
  <c r="Z690" i="17"/>
  <c r="Y690" i="17"/>
  <c r="X690" i="17"/>
  <c r="W690" i="17"/>
  <c r="AA689" i="17"/>
  <c r="Z689" i="17"/>
  <c r="Y689" i="17"/>
  <c r="X689" i="17"/>
  <c r="W689" i="17"/>
  <c r="AA688" i="17"/>
  <c r="Z688" i="17"/>
  <c r="Y688" i="17"/>
  <c r="X688" i="17"/>
  <c r="W688" i="17"/>
  <c r="AA687" i="17"/>
  <c r="Z687" i="17"/>
  <c r="Y687" i="17"/>
  <c r="X687" i="17"/>
  <c r="W687" i="17"/>
  <c r="M188" i="14"/>
  <c r="M302" i="14"/>
  <c r="AA829" i="17"/>
  <c r="Z829" i="17"/>
  <c r="Y829" i="17"/>
  <c r="X829" i="17"/>
  <c r="AA828" i="17"/>
  <c r="Z828" i="17"/>
  <c r="Y828" i="17"/>
  <c r="X828" i="17"/>
  <c r="AA827" i="17"/>
  <c r="Z827" i="17"/>
  <c r="Y827" i="17"/>
  <c r="X827" i="17"/>
  <c r="M272" i="14"/>
  <c r="AA753" i="17"/>
  <c r="Z753" i="17"/>
  <c r="Y753" i="17"/>
  <c r="X753" i="17"/>
  <c r="W753" i="17"/>
  <c r="AA752" i="17"/>
  <c r="Z752" i="17"/>
  <c r="Y752" i="17"/>
  <c r="X752" i="17"/>
  <c r="W752" i="17"/>
  <c r="AA751" i="17"/>
  <c r="Z751" i="17"/>
  <c r="Y751" i="17"/>
  <c r="X751" i="17"/>
  <c r="W751" i="17"/>
  <c r="M215" i="14"/>
  <c r="B83" i="15"/>
  <c r="C83" i="15"/>
  <c r="D83" i="15"/>
  <c r="E83" i="15"/>
  <c r="G83" i="15"/>
  <c r="B103" i="15"/>
  <c r="C103" i="15"/>
  <c r="D103" i="15"/>
  <c r="E103" i="15"/>
  <c r="G103" i="15"/>
  <c r="B207" i="15"/>
  <c r="G207" i="15"/>
  <c r="AA944" i="17"/>
  <c r="Z944" i="17"/>
  <c r="Y944" i="17"/>
  <c r="X944" i="17"/>
  <c r="W944" i="17"/>
  <c r="AA509" i="17"/>
  <c r="Z509" i="17"/>
  <c r="Y509" i="17"/>
  <c r="X509" i="17"/>
  <c r="W509" i="17"/>
  <c r="AA508" i="17"/>
  <c r="Z508" i="17"/>
  <c r="Y508" i="17"/>
  <c r="X508" i="17"/>
  <c r="W508" i="17"/>
  <c r="AA507" i="17"/>
  <c r="Z507" i="17"/>
  <c r="Y507" i="17"/>
  <c r="X507" i="17"/>
  <c r="W507" i="17"/>
  <c r="M126" i="14"/>
  <c r="B161" i="15"/>
  <c r="C161" i="15"/>
  <c r="D161" i="15"/>
  <c r="E161" i="15"/>
  <c r="G161" i="15"/>
  <c r="X824" i="17"/>
  <c r="X825" i="17"/>
  <c r="X826" i="17"/>
  <c r="Y824" i="17"/>
  <c r="Z824" i="17"/>
  <c r="AA824" i="17"/>
  <c r="Y825" i="17"/>
  <c r="Z825" i="17"/>
  <c r="AA825" i="17"/>
  <c r="Y826" i="17"/>
  <c r="Z826" i="17"/>
  <c r="AA826" i="17"/>
  <c r="M271" i="14"/>
  <c r="B41" i="15"/>
  <c r="C41" i="15"/>
  <c r="D41" i="15"/>
  <c r="E41" i="15"/>
  <c r="G41" i="15"/>
  <c r="B234" i="15"/>
  <c r="C234" i="15"/>
  <c r="D234" i="15"/>
  <c r="E234" i="15"/>
  <c r="G234" i="15"/>
  <c r="B235" i="15"/>
  <c r="C235" i="15"/>
  <c r="D235" i="15"/>
  <c r="E235" i="15"/>
  <c r="G235" i="15"/>
  <c r="B221" i="15"/>
  <c r="C221" i="15"/>
  <c r="D221" i="15"/>
  <c r="E221" i="15"/>
  <c r="G221" i="15"/>
  <c r="AA624" i="17"/>
  <c r="Z624" i="17"/>
  <c r="Y624" i="17"/>
  <c r="X624" i="17"/>
  <c r="W624" i="17"/>
  <c r="AA623" i="17"/>
  <c r="Z623" i="17"/>
  <c r="Y623" i="17"/>
  <c r="X623" i="17"/>
  <c r="W623" i="17"/>
  <c r="AA622" i="17"/>
  <c r="Z622" i="17"/>
  <c r="Y622" i="17"/>
  <c r="X622" i="17"/>
  <c r="W622" i="17"/>
  <c r="M168" i="14"/>
  <c r="AA621" i="17"/>
  <c r="Z621" i="17"/>
  <c r="Y621" i="17"/>
  <c r="X621" i="17"/>
  <c r="W621" i="17"/>
  <c r="AA620" i="17"/>
  <c r="Z620" i="17"/>
  <c r="Y620" i="17"/>
  <c r="X620" i="17"/>
  <c r="W620" i="17"/>
  <c r="AA619" i="17"/>
  <c r="Z619" i="17"/>
  <c r="Y619" i="17"/>
  <c r="X619" i="17"/>
  <c r="W619" i="17"/>
  <c r="M167" i="14"/>
  <c r="M187" i="14"/>
  <c r="AA686" i="17"/>
  <c r="Z686" i="17"/>
  <c r="Y686" i="17"/>
  <c r="X686" i="17"/>
  <c r="W686" i="17"/>
  <c r="AA685" i="17"/>
  <c r="Z685" i="17"/>
  <c r="Y685" i="17"/>
  <c r="X685" i="17"/>
  <c r="W685" i="17"/>
  <c r="AA684" i="17"/>
  <c r="Z684" i="17"/>
  <c r="Y684" i="17"/>
  <c r="X684" i="17"/>
  <c r="W684" i="17"/>
  <c r="AA683" i="17"/>
  <c r="Z683" i="17"/>
  <c r="Y683" i="17"/>
  <c r="X683" i="17"/>
  <c r="W683" i="17"/>
  <c r="M301" i="14"/>
  <c r="AA943" i="17"/>
  <c r="Z943" i="17"/>
  <c r="Y943" i="17"/>
  <c r="X943" i="17"/>
  <c r="W943" i="17"/>
  <c r="AA942" i="17"/>
  <c r="Z942" i="17"/>
  <c r="Y942" i="17"/>
  <c r="X942" i="17"/>
  <c r="W942" i="17"/>
  <c r="AA428" i="17"/>
  <c r="Z428" i="17"/>
  <c r="Y428" i="17"/>
  <c r="X428" i="17"/>
  <c r="W428" i="17"/>
  <c r="AA429" i="17"/>
  <c r="Z429" i="17"/>
  <c r="Y429" i="17"/>
  <c r="X429" i="17"/>
  <c r="W429" i="17"/>
  <c r="AA427" i="17"/>
  <c r="Z427" i="17"/>
  <c r="Y427" i="17"/>
  <c r="X427" i="17"/>
  <c r="W427" i="17"/>
  <c r="W426" i="17"/>
  <c r="X426" i="17"/>
  <c r="Y426" i="17"/>
  <c r="Z426" i="17"/>
  <c r="AA426" i="17"/>
  <c r="M331" i="14"/>
  <c r="AA981" i="17"/>
  <c r="Z981" i="17"/>
  <c r="Y981" i="17"/>
  <c r="X981" i="17"/>
  <c r="W981" i="17"/>
  <c r="AA967" i="17"/>
  <c r="Z967" i="17"/>
  <c r="Y967" i="17"/>
  <c r="X967" i="17"/>
  <c r="W967" i="17"/>
  <c r="M317" i="14"/>
  <c r="AA306" i="17"/>
  <c r="Z306" i="17"/>
  <c r="Y306" i="17"/>
  <c r="X306" i="17"/>
  <c r="W306" i="17"/>
  <c r="AA304" i="17"/>
  <c r="Z304" i="17"/>
  <c r="Y304" i="17"/>
  <c r="X304" i="17"/>
  <c r="W304" i="17"/>
  <c r="M330" i="14"/>
  <c r="AA980" i="17"/>
  <c r="Z980" i="17"/>
  <c r="Y980" i="17"/>
  <c r="X980" i="17"/>
  <c r="W980" i="17"/>
  <c r="AA504" i="17"/>
  <c r="Z504" i="17"/>
  <c r="Y504" i="17"/>
  <c r="X504" i="17"/>
  <c r="W504" i="17"/>
  <c r="AA505" i="17"/>
  <c r="Z505" i="17"/>
  <c r="Y505" i="17"/>
  <c r="X505" i="17"/>
  <c r="W505" i="17"/>
  <c r="AA506" i="17"/>
  <c r="Z506" i="17"/>
  <c r="Y506" i="17"/>
  <c r="X506" i="17"/>
  <c r="W506" i="17"/>
  <c r="M125" i="14"/>
  <c r="W998" i="17"/>
  <c r="X998" i="17"/>
  <c r="Y998" i="17"/>
  <c r="Z998" i="17"/>
  <c r="AA998" i="17"/>
  <c r="W999" i="17"/>
  <c r="X999" i="17"/>
  <c r="Y999" i="17"/>
  <c r="Z999" i="17"/>
  <c r="AA999" i="17"/>
  <c r="G244" i="15"/>
  <c r="G245" i="15"/>
  <c r="AA434" i="17"/>
  <c r="Z434" i="17"/>
  <c r="Y434" i="17"/>
  <c r="X434" i="17"/>
  <c r="W434" i="17"/>
  <c r="AA435" i="17"/>
  <c r="Z435" i="17"/>
  <c r="Y435" i="17"/>
  <c r="X435" i="17"/>
  <c r="W435" i="17"/>
  <c r="AA433" i="17"/>
  <c r="Z433" i="17"/>
  <c r="Y433" i="17"/>
  <c r="X433" i="17"/>
  <c r="W433" i="17"/>
  <c r="AA431" i="17"/>
  <c r="Z431" i="17"/>
  <c r="Y431" i="17"/>
  <c r="X431" i="17"/>
  <c r="W431" i="17"/>
  <c r="AA251" i="17"/>
  <c r="Z251" i="17"/>
  <c r="Y251" i="17"/>
  <c r="X251" i="17"/>
  <c r="W251" i="17"/>
  <c r="AA241" i="17"/>
  <c r="Z241" i="17"/>
  <c r="Y241" i="17"/>
  <c r="X241" i="17"/>
  <c r="W241" i="17"/>
  <c r="AA210" i="17"/>
  <c r="Z210" i="17"/>
  <c r="Y210" i="17"/>
  <c r="X210" i="17"/>
  <c r="W210" i="17"/>
  <c r="AA200" i="17"/>
  <c r="Z200" i="17"/>
  <c r="Y200" i="17"/>
  <c r="X200" i="17"/>
  <c r="W200" i="17"/>
  <c r="E245" i="15"/>
  <c r="D245" i="15"/>
  <c r="C245" i="15"/>
  <c r="B245" i="15"/>
  <c r="AA1003" i="17"/>
  <c r="Z1003" i="17"/>
  <c r="Y1003" i="17"/>
  <c r="X1003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583" i="17"/>
  <c r="H584" i="17"/>
  <c r="H586" i="17"/>
  <c r="H587" i="17"/>
  <c r="H589" i="17"/>
  <c r="H590" i="17"/>
  <c r="H592" i="17"/>
  <c r="H593" i="17"/>
  <c r="H595" i="17"/>
  <c r="H596" i="17"/>
  <c r="H598" i="17"/>
  <c r="H599" i="17"/>
  <c r="H601" i="17"/>
  <c r="H602" i="17"/>
  <c r="H604" i="17"/>
  <c r="H605" i="17"/>
  <c r="H607" i="17"/>
  <c r="H608" i="17"/>
  <c r="H610" i="17"/>
  <c r="H611" i="17"/>
  <c r="W1003" i="17"/>
  <c r="AA1002" i="17"/>
  <c r="Z1002" i="17"/>
  <c r="Y1002" i="17"/>
  <c r="X1002" i="17"/>
  <c r="W1002" i="17"/>
  <c r="AA1001" i="17"/>
  <c r="Z1001" i="17"/>
  <c r="Y1001" i="17"/>
  <c r="X1001" i="17"/>
  <c r="W1001" i="17"/>
  <c r="M345" i="14"/>
  <c r="AA941" i="17"/>
  <c r="Z941" i="17"/>
  <c r="Y941" i="17"/>
  <c r="X941" i="17"/>
  <c r="W941" i="17"/>
  <c r="AA939" i="17"/>
  <c r="Z939" i="17"/>
  <c r="Y939" i="17"/>
  <c r="X939" i="17"/>
  <c r="W939" i="17"/>
  <c r="AA256" i="17"/>
  <c r="Z256" i="17"/>
  <c r="Y256" i="17"/>
  <c r="X256" i="17"/>
  <c r="W256" i="17"/>
  <c r="AA246" i="17"/>
  <c r="Z246" i="17"/>
  <c r="Y246" i="17"/>
  <c r="X246" i="17"/>
  <c r="W246" i="17"/>
  <c r="G246" i="15"/>
  <c r="D246" i="15"/>
  <c r="B246" i="15"/>
  <c r="E246" i="15"/>
  <c r="C246" i="15"/>
  <c r="B160" i="15"/>
  <c r="B159" i="15"/>
  <c r="G160" i="15"/>
  <c r="E160" i="15"/>
  <c r="D160" i="15"/>
  <c r="C160" i="15"/>
  <c r="G159" i="15"/>
  <c r="E159" i="15"/>
  <c r="D159" i="15"/>
  <c r="C159" i="15"/>
  <c r="C102" i="15"/>
  <c r="C101" i="15"/>
  <c r="C205" i="15"/>
  <c r="C206" i="15"/>
  <c r="AA823" i="17"/>
  <c r="Z823" i="17"/>
  <c r="Y823" i="17"/>
  <c r="X823" i="17"/>
  <c r="W823" i="17"/>
  <c r="AA822" i="17"/>
  <c r="Z822" i="17"/>
  <c r="Y822" i="17"/>
  <c r="X822" i="17"/>
  <c r="W822" i="17"/>
  <c r="AA821" i="17"/>
  <c r="Z821" i="17"/>
  <c r="Y821" i="17"/>
  <c r="X821" i="17"/>
  <c r="W821" i="17"/>
  <c r="M270" i="14"/>
  <c r="AA819" i="17"/>
  <c r="Z819" i="17"/>
  <c r="Y819" i="17"/>
  <c r="X819" i="17"/>
  <c r="W819" i="17"/>
  <c r="AA818" i="17"/>
  <c r="Z818" i="17"/>
  <c r="Y818" i="17"/>
  <c r="X818" i="17"/>
  <c r="W818" i="17"/>
  <c r="AA817" i="17"/>
  <c r="Z817" i="17"/>
  <c r="Y817" i="17"/>
  <c r="X817" i="17"/>
  <c r="W817" i="17"/>
  <c r="M269" i="14"/>
  <c r="AA1004" i="17"/>
  <c r="Z1004" i="17"/>
  <c r="Y1004" i="17"/>
  <c r="X1004" i="17"/>
  <c r="W1004" i="17"/>
  <c r="M346" i="14"/>
  <c r="AA215" i="17"/>
  <c r="Z215" i="17"/>
  <c r="Y215" i="17"/>
  <c r="X215" i="17"/>
  <c r="W215" i="17"/>
  <c r="AA205" i="17"/>
  <c r="Z205" i="17"/>
  <c r="Y205" i="17"/>
  <c r="X205" i="17"/>
  <c r="W205" i="17"/>
  <c r="G158" i="15"/>
  <c r="G157" i="15"/>
  <c r="E158" i="15"/>
  <c r="E157" i="15"/>
  <c r="D128" i="15"/>
  <c r="D158" i="15"/>
  <c r="D157" i="15"/>
  <c r="C158" i="15"/>
  <c r="C157" i="15"/>
  <c r="B158" i="15"/>
  <c r="B157" i="15"/>
  <c r="B301" i="15"/>
  <c r="G220" i="15"/>
  <c r="D220" i="15"/>
  <c r="C220" i="15"/>
  <c r="B220" i="15"/>
  <c r="E220" i="15"/>
  <c r="G206" i="15"/>
  <c r="E206" i="15"/>
  <c r="E205" i="15"/>
  <c r="D206" i="15"/>
  <c r="D205" i="15"/>
  <c r="B206" i="15"/>
  <c r="B205" i="15"/>
  <c r="G102" i="15"/>
  <c r="D101" i="15"/>
  <c r="B102" i="15"/>
  <c r="B101" i="15"/>
  <c r="E102" i="15"/>
  <c r="D102" i="15"/>
  <c r="E101" i="15"/>
  <c r="G300" i="15"/>
  <c r="E300" i="15"/>
  <c r="D300" i="15"/>
  <c r="C300" i="15"/>
  <c r="B300" i="15"/>
  <c r="AA284" i="17"/>
  <c r="Z284" i="17"/>
  <c r="Y284" i="17"/>
  <c r="X284" i="17"/>
  <c r="W284" i="17"/>
  <c r="M82" i="14"/>
  <c r="G128" i="15"/>
  <c r="E128" i="15"/>
  <c r="C128" i="15"/>
  <c r="B128" i="15"/>
  <c r="G82" i="15"/>
  <c r="E82" i="15"/>
  <c r="D82" i="15"/>
  <c r="C82" i="15"/>
  <c r="B82" i="15"/>
  <c r="G40" i="15"/>
  <c r="E40" i="15"/>
  <c r="D40" i="15"/>
  <c r="C40" i="15"/>
  <c r="B40" i="15"/>
  <c r="AA748" i="17"/>
  <c r="Z748" i="17"/>
  <c r="Y748" i="17"/>
  <c r="X748" i="17"/>
  <c r="W748" i="17"/>
  <c r="AA750" i="17"/>
  <c r="Z750" i="17"/>
  <c r="Y750" i="17"/>
  <c r="X750" i="17"/>
  <c r="W750" i="17"/>
  <c r="AA749" i="17"/>
  <c r="Z749" i="17"/>
  <c r="Y749" i="17"/>
  <c r="X749" i="17"/>
  <c r="W749" i="17"/>
  <c r="AA618" i="17"/>
  <c r="Z618" i="17"/>
  <c r="Y618" i="17"/>
  <c r="X618" i="17"/>
  <c r="W618" i="17"/>
  <c r="AA617" i="17"/>
  <c r="Z617" i="17"/>
  <c r="Y617" i="17"/>
  <c r="X617" i="17"/>
  <c r="W617" i="17"/>
  <c r="AA616" i="17"/>
  <c r="Z616" i="17"/>
  <c r="Y616" i="17"/>
  <c r="X616" i="17"/>
  <c r="W616" i="17"/>
  <c r="AA503" i="17"/>
  <c r="Z503" i="17"/>
  <c r="Y503" i="17"/>
  <c r="X503" i="17"/>
  <c r="W503" i="17"/>
  <c r="AA502" i="17"/>
  <c r="Z502" i="17"/>
  <c r="Y502" i="17"/>
  <c r="X502" i="17"/>
  <c r="W502" i="17"/>
  <c r="AA501" i="17"/>
  <c r="Z501" i="17"/>
  <c r="Y501" i="17"/>
  <c r="X501" i="17"/>
  <c r="W501" i="17"/>
  <c r="M214" i="14"/>
  <c r="M166" i="14"/>
  <c r="M124" i="14"/>
  <c r="G39" i="15"/>
  <c r="B127" i="15"/>
  <c r="G127" i="15"/>
  <c r="E127" i="15"/>
  <c r="D127" i="15"/>
  <c r="C127" i="15"/>
  <c r="C39" i="15"/>
  <c r="B39" i="15"/>
  <c r="E39" i="15"/>
  <c r="D39" i="15"/>
  <c r="D81" i="15"/>
  <c r="C81" i="15"/>
  <c r="B81" i="15"/>
  <c r="E81" i="15"/>
  <c r="G81" i="15"/>
  <c r="AA747" i="17"/>
  <c r="Z747" i="17"/>
  <c r="Y747" i="17"/>
  <c r="X747" i="17"/>
  <c r="W747" i="17"/>
  <c r="AA255" i="17"/>
  <c r="Z255" i="17"/>
  <c r="Y255" i="17"/>
  <c r="X255" i="17"/>
  <c r="W255" i="17"/>
  <c r="AA250" i="17"/>
  <c r="Z250" i="17"/>
  <c r="Y250" i="17"/>
  <c r="X250" i="17"/>
  <c r="W250" i="17"/>
  <c r="AA245" i="17"/>
  <c r="Z245" i="17"/>
  <c r="Y245" i="17"/>
  <c r="X245" i="17"/>
  <c r="W245" i="17"/>
  <c r="AA240" i="17"/>
  <c r="Z240" i="17"/>
  <c r="Y240" i="17"/>
  <c r="X240" i="17"/>
  <c r="W240" i="17"/>
  <c r="AA214" i="17"/>
  <c r="Z214" i="17"/>
  <c r="Y214" i="17"/>
  <c r="X214" i="17"/>
  <c r="W214" i="17"/>
  <c r="AA209" i="17"/>
  <c r="Z209" i="17"/>
  <c r="Y209" i="17"/>
  <c r="X209" i="17"/>
  <c r="W209" i="17"/>
  <c r="AA204" i="17"/>
  <c r="Z204" i="17"/>
  <c r="Y204" i="17"/>
  <c r="X204" i="17"/>
  <c r="W204" i="17"/>
  <c r="AA199" i="17"/>
  <c r="Z199" i="17"/>
  <c r="Y199" i="17"/>
  <c r="X199" i="17"/>
  <c r="W199" i="17"/>
  <c r="M268" i="14"/>
  <c r="AA815" i="17"/>
  <c r="Z815" i="17"/>
  <c r="Y815" i="17"/>
  <c r="X815" i="17"/>
  <c r="W815" i="17"/>
  <c r="AA814" i="17"/>
  <c r="Z814" i="17"/>
  <c r="Y814" i="17"/>
  <c r="X814" i="17"/>
  <c r="W814" i="17"/>
  <c r="AA813" i="17"/>
  <c r="Z813" i="17"/>
  <c r="Y813" i="17"/>
  <c r="X813" i="17"/>
  <c r="W813" i="17"/>
  <c r="AA811" i="17"/>
  <c r="Z811" i="17"/>
  <c r="Y811" i="17"/>
  <c r="X811" i="17"/>
  <c r="W811" i="17"/>
  <c r="AA810" i="17"/>
  <c r="Z810" i="17"/>
  <c r="Y810" i="17"/>
  <c r="X810" i="17"/>
  <c r="W810" i="17"/>
  <c r="M267" i="14"/>
  <c r="AA809" i="17"/>
  <c r="Z809" i="17"/>
  <c r="Y809" i="17"/>
  <c r="X809" i="17"/>
  <c r="W809" i="17"/>
  <c r="B244" i="15"/>
  <c r="C244" i="15"/>
  <c r="D244" i="15"/>
  <c r="E244" i="15"/>
  <c r="B126" i="15"/>
  <c r="C126" i="15"/>
  <c r="D126" i="15"/>
  <c r="E126" i="15"/>
  <c r="G126" i="15"/>
  <c r="AA1021" i="17"/>
  <c r="Z1021" i="17"/>
  <c r="Y1021" i="17"/>
  <c r="X1021" i="17"/>
  <c r="W1021" i="17"/>
  <c r="AA1020" i="17"/>
  <c r="Z1020" i="17"/>
  <c r="Y1020" i="17"/>
  <c r="X1020" i="17"/>
  <c r="W1020" i="17"/>
  <c r="AA1019" i="17"/>
  <c r="Z1019" i="17"/>
  <c r="Y1019" i="17"/>
  <c r="X1019" i="17"/>
  <c r="W1019" i="17"/>
  <c r="M383" i="14"/>
  <c r="M382" i="14"/>
  <c r="M381" i="14"/>
  <c r="M344" i="14"/>
  <c r="AA1000" i="17"/>
  <c r="Z1000" i="17"/>
  <c r="Y1000" i="17"/>
  <c r="X1000" i="17"/>
  <c r="W1000" i="17"/>
  <c r="AA746" i="17"/>
  <c r="Z746" i="17"/>
  <c r="Y746" i="17"/>
  <c r="X746" i="17"/>
  <c r="W746" i="17"/>
  <c r="AA966" i="17"/>
  <c r="Z966" i="17"/>
  <c r="Y966" i="17"/>
  <c r="X966" i="17"/>
  <c r="W966" i="17"/>
  <c r="M316" i="14"/>
  <c r="G243" i="15"/>
  <c r="E243" i="15"/>
  <c r="D243" i="15"/>
  <c r="C243" i="15"/>
  <c r="B243" i="15"/>
  <c r="AA500" i="17"/>
  <c r="Z500" i="17"/>
  <c r="Y500" i="17"/>
  <c r="X500" i="17"/>
  <c r="W500" i="17"/>
  <c r="AA499" i="17"/>
  <c r="Z499" i="17"/>
  <c r="Y499" i="17"/>
  <c r="X499" i="17"/>
  <c r="W499" i="17"/>
  <c r="AA498" i="17"/>
  <c r="Z498" i="17"/>
  <c r="Y498" i="17"/>
  <c r="X498" i="17"/>
  <c r="W498" i="17"/>
  <c r="M213" i="14"/>
  <c r="AA615" i="17"/>
  <c r="Z615" i="17"/>
  <c r="Y615" i="17"/>
  <c r="X615" i="17"/>
  <c r="W615" i="17"/>
  <c r="AA614" i="17"/>
  <c r="Z614" i="17"/>
  <c r="Y614" i="17"/>
  <c r="X614" i="17"/>
  <c r="W614" i="17"/>
  <c r="AA613" i="17"/>
  <c r="Z613" i="17"/>
  <c r="Y613" i="17"/>
  <c r="X613" i="17"/>
  <c r="W613" i="17"/>
  <c r="M165" i="14"/>
  <c r="M123" i="14"/>
  <c r="AA997" i="17"/>
  <c r="Z997" i="17"/>
  <c r="Y997" i="17"/>
  <c r="X997" i="17"/>
  <c r="W997" i="17"/>
  <c r="M343" i="14"/>
  <c r="AA940" i="17"/>
  <c r="Z940" i="17"/>
  <c r="Y940" i="17"/>
  <c r="X940" i="17"/>
  <c r="W940" i="17"/>
  <c r="AA938" i="17"/>
  <c r="Z938" i="17"/>
  <c r="Y938" i="17"/>
  <c r="X938" i="17"/>
  <c r="W938" i="17"/>
  <c r="M300" i="14"/>
  <c r="M299" i="14"/>
  <c r="AA682" i="17"/>
  <c r="Z682" i="17"/>
  <c r="Y682" i="17"/>
  <c r="X682" i="17"/>
  <c r="W682" i="17"/>
  <c r="AA681" i="17"/>
  <c r="Z681" i="17"/>
  <c r="Y681" i="17"/>
  <c r="X681" i="17"/>
  <c r="W681" i="17"/>
  <c r="AA680" i="17"/>
  <c r="Z680" i="17"/>
  <c r="Y680" i="17"/>
  <c r="X680" i="17"/>
  <c r="W680" i="17"/>
  <c r="AA679" i="17"/>
  <c r="Z679" i="17"/>
  <c r="Y679" i="17"/>
  <c r="X679" i="17"/>
  <c r="W679" i="17"/>
  <c r="AA678" i="17"/>
  <c r="Z678" i="17"/>
  <c r="Y678" i="17"/>
  <c r="X678" i="17"/>
  <c r="W678" i="17"/>
  <c r="AA677" i="17"/>
  <c r="Z677" i="17"/>
  <c r="Y677" i="17"/>
  <c r="X677" i="17"/>
  <c r="W677" i="17"/>
  <c r="AA676" i="17"/>
  <c r="Z676" i="17"/>
  <c r="Y676" i="17"/>
  <c r="X676" i="17"/>
  <c r="W676" i="17"/>
  <c r="AA675" i="17"/>
  <c r="Z675" i="17"/>
  <c r="Y675" i="17"/>
  <c r="X675" i="17"/>
  <c r="W675" i="17"/>
  <c r="M186" i="14"/>
  <c r="M185" i="14"/>
  <c r="AA745" i="17"/>
  <c r="Z745" i="17"/>
  <c r="Y745" i="17"/>
  <c r="X745" i="17"/>
  <c r="W745" i="17"/>
  <c r="M212" i="14"/>
  <c r="B80" i="15"/>
  <c r="C80" i="15"/>
  <c r="D80" i="15"/>
  <c r="E80" i="15"/>
  <c r="G80" i="15"/>
  <c r="B77" i="15"/>
  <c r="C77" i="15"/>
  <c r="D77" i="15"/>
  <c r="E77" i="15"/>
  <c r="G77" i="15"/>
  <c r="B78" i="15"/>
  <c r="C78" i="15"/>
  <c r="D78" i="15"/>
  <c r="E78" i="15"/>
  <c r="G78" i="15"/>
  <c r="B79" i="15"/>
  <c r="C79" i="15"/>
  <c r="D79" i="15"/>
  <c r="E79" i="15"/>
  <c r="G79" i="15"/>
  <c r="B125" i="15"/>
  <c r="C125" i="15"/>
  <c r="D125" i="15"/>
  <c r="E125" i="15"/>
  <c r="G125" i="15"/>
  <c r="B124" i="15"/>
  <c r="C124" i="15"/>
  <c r="D124" i="15"/>
  <c r="E124" i="15"/>
  <c r="G124" i="15"/>
  <c r="E9" i="43"/>
  <c r="G301" i="15"/>
  <c r="E301" i="15"/>
  <c r="D301" i="15"/>
  <c r="C301" i="15"/>
  <c r="AA285" i="17"/>
  <c r="Z285" i="17"/>
  <c r="Y285" i="17"/>
  <c r="X285" i="17"/>
  <c r="W285" i="17"/>
  <c r="M81" i="14"/>
  <c r="AA995" i="17"/>
  <c r="Z995" i="17"/>
  <c r="Y995" i="17"/>
  <c r="X995" i="17"/>
  <c r="W995" i="17"/>
  <c r="AA994" i="17"/>
  <c r="Z994" i="17"/>
  <c r="Y994" i="17"/>
  <c r="X994" i="17"/>
  <c r="W994" i="17"/>
  <c r="AA992" i="17"/>
  <c r="Z992" i="17"/>
  <c r="Y992" i="17"/>
  <c r="X992" i="17"/>
  <c r="W992" i="17"/>
  <c r="M342" i="14"/>
  <c r="M341" i="14"/>
  <c r="M340" i="14"/>
  <c r="AA996" i="17"/>
  <c r="Z996" i="17"/>
  <c r="Y996" i="17"/>
  <c r="X996" i="17"/>
  <c r="W996" i="17"/>
  <c r="AA993" i="17"/>
  <c r="Z993" i="17"/>
  <c r="Y993" i="17"/>
  <c r="X993" i="17"/>
  <c r="W993" i="17"/>
  <c r="AA991" i="17"/>
  <c r="Z991" i="17"/>
  <c r="Y991" i="17"/>
  <c r="X991" i="17"/>
  <c r="W991" i="17"/>
  <c r="M210" i="14"/>
  <c r="AA743" i="17"/>
  <c r="Z743" i="17"/>
  <c r="Y743" i="17"/>
  <c r="X743" i="17"/>
  <c r="W743" i="17"/>
  <c r="AA612" i="17"/>
  <c r="Z612" i="17"/>
  <c r="Y612" i="17"/>
  <c r="X612" i="17"/>
  <c r="W612" i="17"/>
  <c r="AA611" i="17"/>
  <c r="Z611" i="17"/>
  <c r="Y611" i="17"/>
  <c r="X611" i="17"/>
  <c r="W611" i="17"/>
  <c r="AA610" i="17"/>
  <c r="Z610" i="17"/>
  <c r="Y610" i="17"/>
  <c r="X610" i="17"/>
  <c r="W610" i="17"/>
  <c r="AA609" i="17"/>
  <c r="Z609" i="17"/>
  <c r="Y609" i="17"/>
  <c r="X609" i="17"/>
  <c r="W609" i="17"/>
  <c r="AA608" i="17"/>
  <c r="Z608" i="17"/>
  <c r="Y608" i="17"/>
  <c r="X608" i="17"/>
  <c r="W608" i="17"/>
  <c r="AA607" i="17"/>
  <c r="Z607" i="17"/>
  <c r="Y607" i="17"/>
  <c r="X607" i="17"/>
  <c r="W607" i="17"/>
  <c r="AA606" i="17"/>
  <c r="Z606" i="17"/>
  <c r="Y606" i="17"/>
  <c r="X606" i="17"/>
  <c r="W606" i="17"/>
  <c r="AA605" i="17"/>
  <c r="Z605" i="17"/>
  <c r="Y605" i="17"/>
  <c r="X605" i="17"/>
  <c r="W605" i="17"/>
  <c r="AA604" i="17"/>
  <c r="Z604" i="17"/>
  <c r="Y604" i="17"/>
  <c r="X604" i="17"/>
  <c r="W604" i="17"/>
  <c r="M164" i="14"/>
  <c r="M163" i="14"/>
  <c r="M162" i="14"/>
  <c r="M211" i="14"/>
  <c r="AA744" i="17"/>
  <c r="Z744" i="17"/>
  <c r="Y744" i="17"/>
  <c r="X744" i="17"/>
  <c r="W744" i="17"/>
  <c r="G299" i="15"/>
  <c r="E299" i="15"/>
  <c r="D299" i="15"/>
  <c r="C299" i="15"/>
  <c r="B299" i="15"/>
  <c r="M80" i="14"/>
  <c r="AA283" i="17"/>
  <c r="Z283" i="17"/>
  <c r="Y283" i="17"/>
  <c r="X283" i="17"/>
  <c r="W283" i="17"/>
  <c r="Z602" i="17"/>
  <c r="M161" i="14"/>
  <c r="AA603" i="17"/>
  <c r="Z603" i="17"/>
  <c r="Y603" i="17"/>
  <c r="X603" i="17"/>
  <c r="W603" i="17"/>
  <c r="AA602" i="17"/>
  <c r="Y602" i="17"/>
  <c r="X602" i="17"/>
  <c r="W602" i="17"/>
  <c r="AA601" i="17"/>
  <c r="Z601" i="17"/>
  <c r="Y601" i="17"/>
  <c r="X601" i="17"/>
  <c r="W601" i="17"/>
  <c r="B75" i="15"/>
  <c r="C75" i="15"/>
  <c r="D75" i="15"/>
  <c r="E75" i="15"/>
  <c r="G75" i="15"/>
  <c r="B76" i="15"/>
  <c r="C76" i="15"/>
  <c r="D76" i="15"/>
  <c r="E76" i="15"/>
  <c r="G76" i="15"/>
  <c r="B121" i="15"/>
  <c r="C121" i="15"/>
  <c r="D121" i="15"/>
  <c r="E121" i="15"/>
  <c r="G121" i="15"/>
  <c r="B122" i="15"/>
  <c r="C122" i="15"/>
  <c r="D122" i="15"/>
  <c r="E122" i="15"/>
  <c r="G122" i="15"/>
  <c r="B123" i="15"/>
  <c r="C123" i="15"/>
  <c r="D123" i="15"/>
  <c r="E123" i="15"/>
  <c r="G123" i="15"/>
  <c r="B315" i="15"/>
  <c r="C315" i="15"/>
  <c r="D315" i="15"/>
  <c r="E315" i="15"/>
  <c r="AA600" i="17"/>
  <c r="Z600" i="17"/>
  <c r="Y600" i="17"/>
  <c r="X600" i="17"/>
  <c r="W600" i="17"/>
  <c r="AA599" i="17"/>
  <c r="Z599" i="17"/>
  <c r="Y599" i="17"/>
  <c r="X599" i="17"/>
  <c r="W599" i="17"/>
  <c r="AA598" i="17"/>
  <c r="Z598" i="17"/>
  <c r="Y598" i="17"/>
  <c r="X598" i="17"/>
  <c r="W598" i="17"/>
  <c r="M160" i="14"/>
  <c r="M380" i="14"/>
  <c r="AA1018" i="17"/>
  <c r="Z1018" i="17"/>
  <c r="Y1018" i="17"/>
  <c r="X1018" i="17"/>
  <c r="W1018" i="17"/>
  <c r="AA461" i="17"/>
  <c r="Z461" i="17"/>
  <c r="Y461" i="17"/>
  <c r="X461" i="17"/>
  <c r="W461" i="17"/>
  <c r="AA460" i="17"/>
  <c r="Z460" i="17"/>
  <c r="Y460" i="17"/>
  <c r="X460" i="17"/>
  <c r="W460" i="17"/>
  <c r="AA459" i="17"/>
  <c r="Z459" i="17"/>
  <c r="Y459" i="17"/>
  <c r="X459" i="17"/>
  <c r="W459" i="17"/>
  <c r="AA458" i="17"/>
  <c r="Z458" i="17"/>
  <c r="Y458" i="17"/>
  <c r="X458" i="17"/>
  <c r="W458" i="17"/>
  <c r="AA457" i="17"/>
  <c r="Z457" i="17"/>
  <c r="Y457" i="17"/>
  <c r="X457" i="17"/>
  <c r="W457" i="17"/>
  <c r="AA456" i="17"/>
  <c r="Z456" i="17"/>
  <c r="Y456" i="17"/>
  <c r="X456" i="17"/>
  <c r="W456" i="17"/>
  <c r="AA455" i="17"/>
  <c r="Z455" i="17"/>
  <c r="Y455" i="17"/>
  <c r="X455" i="17"/>
  <c r="W455" i="17"/>
  <c r="AA454" i="17"/>
  <c r="Z454" i="17"/>
  <c r="Y454" i="17"/>
  <c r="X454" i="17"/>
  <c r="W454" i="17"/>
  <c r="AA453" i="17"/>
  <c r="Z453" i="17"/>
  <c r="Y453" i="17"/>
  <c r="X453" i="17"/>
  <c r="W453" i="17"/>
  <c r="AA452" i="17"/>
  <c r="Z452" i="17"/>
  <c r="Y452" i="17"/>
  <c r="X452" i="17"/>
  <c r="W452" i="17"/>
  <c r="AA451" i="17"/>
  <c r="Z451" i="17"/>
  <c r="Y451" i="17"/>
  <c r="X451" i="17"/>
  <c r="W451" i="17"/>
  <c r="AA450" i="17"/>
  <c r="Z450" i="17"/>
  <c r="Y450" i="17"/>
  <c r="X450" i="17"/>
  <c r="W450" i="17"/>
  <c r="AA449" i="17"/>
  <c r="Z449" i="17"/>
  <c r="Y449" i="17"/>
  <c r="X449" i="17"/>
  <c r="W449" i="17"/>
  <c r="AA448" i="17"/>
  <c r="Z448" i="17"/>
  <c r="Y448" i="17"/>
  <c r="X448" i="17"/>
  <c r="W448" i="17"/>
  <c r="AA447" i="17"/>
  <c r="Z447" i="17"/>
  <c r="Y447" i="17"/>
  <c r="X447" i="17"/>
  <c r="W447" i="17"/>
  <c r="AA446" i="17"/>
  <c r="Z446" i="17"/>
  <c r="Y446" i="17"/>
  <c r="X446" i="17"/>
  <c r="W446" i="17"/>
  <c r="AA445" i="17"/>
  <c r="Z445" i="17"/>
  <c r="Y445" i="17"/>
  <c r="X445" i="17"/>
  <c r="W445" i="17"/>
  <c r="AA444" i="17"/>
  <c r="Z444" i="17"/>
  <c r="Y444" i="17"/>
  <c r="X444" i="17"/>
  <c r="W444" i="17"/>
  <c r="AA443" i="17"/>
  <c r="Z443" i="17"/>
  <c r="Y443" i="17"/>
  <c r="X443" i="17"/>
  <c r="W443" i="17"/>
  <c r="AA442" i="17"/>
  <c r="Z442" i="17"/>
  <c r="Y442" i="17"/>
  <c r="X442" i="17"/>
  <c r="W442" i="17"/>
  <c r="M110" i="14"/>
  <c r="M109" i="14"/>
  <c r="M108" i="14"/>
  <c r="M107" i="14"/>
  <c r="M106" i="14"/>
  <c r="M339" i="14"/>
  <c r="W990" i="17"/>
  <c r="X990" i="17"/>
  <c r="Y990" i="17"/>
  <c r="Z990" i="17"/>
  <c r="AA990" i="17"/>
  <c r="AA742" i="17"/>
  <c r="Z742" i="17"/>
  <c r="Y742" i="17"/>
  <c r="X742" i="17"/>
  <c r="W742" i="17"/>
  <c r="M209" i="14"/>
  <c r="B74" i="15"/>
  <c r="C74" i="15"/>
  <c r="D74" i="15"/>
  <c r="E74" i="15"/>
  <c r="G74" i="15"/>
  <c r="B20" i="15"/>
  <c r="AA741" i="17"/>
  <c r="Z741" i="17"/>
  <c r="Y741" i="17"/>
  <c r="X741" i="17"/>
  <c r="W741" i="17"/>
  <c r="M208" i="14"/>
  <c r="B73" i="15"/>
  <c r="C73" i="15"/>
  <c r="D73" i="15"/>
  <c r="E73" i="15"/>
  <c r="G73" i="15"/>
  <c r="B219" i="15"/>
  <c r="C219" i="15"/>
  <c r="D219" i="15"/>
  <c r="E219" i="15"/>
  <c r="G219" i="15"/>
  <c r="AA597" i="17"/>
  <c r="Z597" i="17"/>
  <c r="Y597" i="17"/>
  <c r="X597" i="17"/>
  <c r="W597" i="17"/>
  <c r="AA596" i="17"/>
  <c r="Z596" i="17"/>
  <c r="Y596" i="17"/>
  <c r="X596" i="17"/>
  <c r="W596" i="17"/>
  <c r="AA595" i="17"/>
  <c r="Z595" i="17"/>
  <c r="Y595" i="17"/>
  <c r="X595" i="17"/>
  <c r="W595" i="17"/>
  <c r="M159" i="14"/>
  <c r="C20" i="15"/>
  <c r="D20" i="15"/>
  <c r="E20" i="15"/>
  <c r="W311" i="17"/>
  <c r="X311" i="17"/>
  <c r="Y311" i="17"/>
  <c r="Z311" i="17"/>
  <c r="AA311" i="17"/>
  <c r="M93" i="14"/>
  <c r="G298" i="15"/>
  <c r="E298" i="15"/>
  <c r="D298" i="15"/>
  <c r="C298" i="15"/>
  <c r="B298" i="15"/>
  <c r="AA282" i="17"/>
  <c r="Z282" i="17"/>
  <c r="Y282" i="17"/>
  <c r="X282" i="17"/>
  <c r="W282" i="17"/>
  <c r="M79" i="14"/>
  <c r="M207" i="14"/>
  <c r="AA740" i="17"/>
  <c r="Z740" i="17"/>
  <c r="Y740" i="17"/>
  <c r="X740" i="17"/>
  <c r="W740" i="17"/>
  <c r="B120" i="15"/>
  <c r="C120" i="15"/>
  <c r="D120" i="15"/>
  <c r="E120" i="15"/>
  <c r="G120" i="15"/>
  <c r="M158" i="14"/>
  <c r="AA594" i="17"/>
  <c r="Z594" i="17"/>
  <c r="Y594" i="17"/>
  <c r="X594" i="17"/>
  <c r="W594" i="17"/>
  <c r="AA593" i="17"/>
  <c r="Z593" i="17"/>
  <c r="Y593" i="17"/>
  <c r="X593" i="17"/>
  <c r="W593" i="17"/>
  <c r="AA592" i="17"/>
  <c r="Z592" i="17"/>
  <c r="Y592" i="17"/>
  <c r="X592" i="17"/>
  <c r="W592" i="17"/>
  <c r="G314" i="15"/>
  <c r="E314" i="15"/>
  <c r="D314" i="15"/>
  <c r="C314" i="15"/>
  <c r="B314" i="15"/>
  <c r="G312" i="15"/>
  <c r="E312" i="15"/>
  <c r="D312" i="15"/>
  <c r="C312" i="15"/>
  <c r="B312" i="15"/>
  <c r="G310" i="15"/>
  <c r="E310" i="15"/>
  <c r="D310" i="15"/>
  <c r="C310" i="15"/>
  <c r="B310" i="15"/>
  <c r="G313" i="15"/>
  <c r="E313" i="15"/>
  <c r="D313" i="15"/>
  <c r="C313" i="15"/>
  <c r="B313" i="15"/>
  <c r="G311" i="15"/>
  <c r="E311" i="15"/>
  <c r="D311" i="15"/>
  <c r="C311" i="15"/>
  <c r="B311" i="15"/>
  <c r="G309" i="15"/>
  <c r="E309" i="15"/>
  <c r="D309" i="15"/>
  <c r="C309" i="15"/>
  <c r="B309" i="15"/>
  <c r="AA441" i="17"/>
  <c r="Z441" i="17"/>
  <c r="Y441" i="17"/>
  <c r="X441" i="17"/>
  <c r="W441" i="17"/>
  <c r="AA440" i="17"/>
  <c r="Z440" i="17"/>
  <c r="Y440" i="17"/>
  <c r="X440" i="17"/>
  <c r="W440" i="17"/>
  <c r="AA439" i="17"/>
  <c r="Z439" i="17"/>
  <c r="Y439" i="17"/>
  <c r="X439" i="17"/>
  <c r="W439" i="17"/>
  <c r="AA438" i="17"/>
  <c r="Z438" i="17"/>
  <c r="Y438" i="17"/>
  <c r="X438" i="17"/>
  <c r="W438" i="17"/>
  <c r="AA437" i="17"/>
  <c r="Z437" i="17"/>
  <c r="Y437" i="17"/>
  <c r="X437" i="17"/>
  <c r="W437" i="17"/>
  <c r="AA436" i="17"/>
  <c r="Z436" i="17"/>
  <c r="Y436" i="17"/>
  <c r="X436" i="17"/>
  <c r="W436" i="17"/>
  <c r="M105" i="14"/>
  <c r="M104" i="14"/>
  <c r="M103" i="14"/>
  <c r="B72" i="15"/>
  <c r="C72" i="15"/>
  <c r="D72" i="15"/>
  <c r="E72" i="15"/>
  <c r="G72" i="15"/>
  <c r="B119" i="15"/>
  <c r="C119" i="15"/>
  <c r="D119" i="15"/>
  <c r="E119" i="15"/>
  <c r="G119" i="15"/>
  <c r="AA591" i="17"/>
  <c r="Z591" i="17"/>
  <c r="Y591" i="17"/>
  <c r="X591" i="17"/>
  <c r="W591" i="17"/>
  <c r="AA590" i="17"/>
  <c r="Z590" i="17"/>
  <c r="Y590" i="17"/>
  <c r="X590" i="17"/>
  <c r="W590" i="17"/>
  <c r="AA589" i="17"/>
  <c r="Z589" i="17"/>
  <c r="Y589" i="17"/>
  <c r="X589" i="17"/>
  <c r="W589" i="17"/>
  <c r="M157" i="14"/>
  <c r="AA965" i="17"/>
  <c r="Z965" i="17"/>
  <c r="Y965" i="17"/>
  <c r="X965" i="17"/>
  <c r="W965" i="17"/>
  <c r="M315" i="14"/>
  <c r="M206" i="14"/>
  <c r="AA739" i="17"/>
  <c r="Z739" i="17"/>
  <c r="Y739" i="17"/>
  <c r="X739" i="17"/>
  <c r="W739" i="17"/>
  <c r="E297" i="15"/>
  <c r="D297" i="15"/>
  <c r="C297" i="15"/>
  <c r="B297" i="15"/>
  <c r="AA281" i="17"/>
  <c r="Z281" i="17"/>
  <c r="Y281" i="17"/>
  <c r="X281" i="17"/>
  <c r="W281" i="17"/>
  <c r="M78" i="14"/>
  <c r="B71" i="15"/>
  <c r="C71" i="15"/>
  <c r="D71" i="15"/>
  <c r="E71" i="15"/>
  <c r="G71" i="15"/>
  <c r="AA937" i="17"/>
  <c r="Z937" i="17"/>
  <c r="Y937" i="17"/>
  <c r="X937" i="17"/>
  <c r="AA964" i="17"/>
  <c r="Z964" i="17"/>
  <c r="Y964" i="17"/>
  <c r="X964" i="17"/>
  <c r="AA738" i="17"/>
  <c r="Z738" i="17"/>
  <c r="Y738" i="17"/>
  <c r="X738" i="17"/>
  <c r="AA737" i="17"/>
  <c r="Z737" i="17"/>
  <c r="Y737" i="17"/>
  <c r="X737" i="17"/>
  <c r="AA736" i="17"/>
  <c r="Z736" i="17"/>
  <c r="Y736" i="17"/>
  <c r="X736" i="17"/>
  <c r="AA735" i="17"/>
  <c r="Z735" i="17"/>
  <c r="Y735" i="17"/>
  <c r="X735" i="17"/>
  <c r="AA734" i="17"/>
  <c r="Z734" i="17"/>
  <c r="Y734" i="17"/>
  <c r="X734" i="17"/>
  <c r="AA733" i="17"/>
  <c r="Z733" i="17"/>
  <c r="Y733" i="17"/>
  <c r="X733" i="17"/>
  <c r="AA732" i="17"/>
  <c r="Z732" i="17"/>
  <c r="Y732" i="17"/>
  <c r="X732" i="17"/>
  <c r="AA731" i="17"/>
  <c r="Z731" i="17"/>
  <c r="Y731" i="17"/>
  <c r="X731" i="17"/>
  <c r="AA730" i="17"/>
  <c r="Z730" i="17"/>
  <c r="Y730" i="17"/>
  <c r="X730" i="17"/>
  <c r="AA729" i="17"/>
  <c r="Z729" i="17"/>
  <c r="Y729" i="17"/>
  <c r="X729" i="17"/>
  <c r="AA674" i="17"/>
  <c r="Z674" i="17"/>
  <c r="Y674" i="17"/>
  <c r="X674" i="17"/>
  <c r="AA673" i="17"/>
  <c r="Z673" i="17"/>
  <c r="Y673" i="17"/>
  <c r="X673" i="17"/>
  <c r="AA672" i="17"/>
  <c r="Z672" i="17"/>
  <c r="Y672" i="17"/>
  <c r="X672" i="17"/>
  <c r="AA671" i="17"/>
  <c r="Z671" i="17"/>
  <c r="Y671" i="17"/>
  <c r="X671" i="17"/>
  <c r="AA588" i="17"/>
  <c r="Z588" i="17"/>
  <c r="Y588" i="17"/>
  <c r="X588" i="17"/>
  <c r="AA587" i="17"/>
  <c r="Z587" i="17"/>
  <c r="Y587" i="17"/>
  <c r="X587" i="17"/>
  <c r="AA586" i="17"/>
  <c r="Z586" i="17"/>
  <c r="Y586" i="17"/>
  <c r="X586" i="17"/>
  <c r="AA585" i="17"/>
  <c r="Z585" i="17"/>
  <c r="Y585" i="17"/>
  <c r="X585" i="17"/>
  <c r="AA584" i="17"/>
  <c r="Z584" i="17"/>
  <c r="Y584" i="17"/>
  <c r="X584" i="17"/>
  <c r="AA583" i="17"/>
  <c r="Z583" i="17"/>
  <c r="Y583" i="17"/>
  <c r="X583" i="17"/>
  <c r="AA582" i="17"/>
  <c r="Z582" i="17"/>
  <c r="Y582" i="17"/>
  <c r="X582" i="17"/>
  <c r="AA581" i="17"/>
  <c r="Z581" i="17"/>
  <c r="Y581" i="17"/>
  <c r="X581" i="17"/>
  <c r="AA580" i="17"/>
  <c r="Z580" i="17"/>
  <c r="Y580" i="17"/>
  <c r="X580" i="17"/>
  <c r="AA579" i="17"/>
  <c r="Z579" i="17"/>
  <c r="Y579" i="17"/>
  <c r="X579" i="17"/>
  <c r="AA578" i="17"/>
  <c r="Z578" i="17"/>
  <c r="Y578" i="17"/>
  <c r="X578" i="17"/>
  <c r="AA577" i="17"/>
  <c r="Z577" i="17"/>
  <c r="Y577" i="17"/>
  <c r="X577" i="17"/>
  <c r="AA576" i="17"/>
  <c r="Z576" i="17"/>
  <c r="Y576" i="17"/>
  <c r="X576" i="17"/>
  <c r="AA575" i="17"/>
  <c r="Z575" i="17"/>
  <c r="Y575" i="17"/>
  <c r="X575" i="17"/>
  <c r="AA574" i="17"/>
  <c r="Z574" i="17"/>
  <c r="Y574" i="17"/>
  <c r="X574" i="17"/>
  <c r="AA573" i="17"/>
  <c r="Z573" i="17"/>
  <c r="Y573" i="17"/>
  <c r="X573" i="17"/>
  <c r="AA572" i="17"/>
  <c r="Z572" i="17"/>
  <c r="Y572" i="17"/>
  <c r="X572" i="17"/>
  <c r="AA571" i="17"/>
  <c r="Z571" i="17"/>
  <c r="Y571" i="17"/>
  <c r="X571" i="17"/>
  <c r="AA570" i="17"/>
  <c r="Z570" i="17"/>
  <c r="Y570" i="17"/>
  <c r="X570" i="17"/>
  <c r="AA569" i="17"/>
  <c r="Z569" i="17"/>
  <c r="Y569" i="17"/>
  <c r="X569" i="17"/>
  <c r="AA568" i="17"/>
  <c r="Z568" i="17"/>
  <c r="Y568" i="17"/>
  <c r="X568" i="17"/>
  <c r="AA567" i="17"/>
  <c r="Z567" i="17"/>
  <c r="Y567" i="17"/>
  <c r="X567" i="17"/>
  <c r="AA566" i="17"/>
  <c r="Z566" i="17"/>
  <c r="Y566" i="17"/>
  <c r="X566" i="17"/>
  <c r="AA565" i="17"/>
  <c r="Z565" i="17"/>
  <c r="Y565" i="17"/>
  <c r="X565" i="17"/>
  <c r="AA564" i="17"/>
  <c r="Z564" i="17"/>
  <c r="Y564" i="17"/>
  <c r="X564" i="17"/>
  <c r="AA563" i="17"/>
  <c r="Z563" i="17"/>
  <c r="Y563" i="17"/>
  <c r="X563" i="17"/>
  <c r="AA562" i="17"/>
  <c r="Z562" i="17"/>
  <c r="Y562" i="17"/>
  <c r="X562" i="17"/>
  <c r="AA561" i="17"/>
  <c r="Z561" i="17"/>
  <c r="Y561" i="17"/>
  <c r="X561" i="17"/>
  <c r="AA560" i="17"/>
  <c r="Z560" i="17"/>
  <c r="Y560" i="17"/>
  <c r="X560" i="17"/>
  <c r="AA559" i="17"/>
  <c r="Z559" i="17"/>
  <c r="Y559" i="17"/>
  <c r="X559" i="17"/>
  <c r="AA558" i="17"/>
  <c r="Z558" i="17"/>
  <c r="Y558" i="17"/>
  <c r="X558" i="17"/>
  <c r="AA557" i="17"/>
  <c r="Z557" i="17"/>
  <c r="Y557" i="17"/>
  <c r="X557" i="17"/>
  <c r="AA556" i="17"/>
  <c r="Z556" i="17"/>
  <c r="Y556" i="17"/>
  <c r="X556" i="17"/>
  <c r="AA555" i="17"/>
  <c r="Z555" i="17"/>
  <c r="Y555" i="17"/>
  <c r="X555" i="17"/>
  <c r="AA554" i="17"/>
  <c r="Z554" i="17"/>
  <c r="Y554" i="17"/>
  <c r="X554" i="17"/>
  <c r="AA553" i="17"/>
  <c r="Z553" i="17"/>
  <c r="Y553" i="17"/>
  <c r="X553" i="17"/>
  <c r="AA552" i="17"/>
  <c r="Z552" i="17"/>
  <c r="Y552" i="17"/>
  <c r="X552" i="17"/>
  <c r="AA551" i="17"/>
  <c r="Z551" i="17"/>
  <c r="Y551" i="17"/>
  <c r="X551" i="17"/>
  <c r="AA550" i="17"/>
  <c r="Z550" i="17"/>
  <c r="Y550" i="17"/>
  <c r="X550" i="17"/>
  <c r="AA549" i="17"/>
  <c r="Z549" i="17"/>
  <c r="Y549" i="17"/>
  <c r="X549" i="17"/>
  <c r="AA548" i="17"/>
  <c r="Z548" i="17"/>
  <c r="Y548" i="17"/>
  <c r="X548" i="17"/>
  <c r="AA547" i="17"/>
  <c r="Z547" i="17"/>
  <c r="Y547" i="17"/>
  <c r="X547" i="17"/>
  <c r="AA546" i="17"/>
  <c r="Z546" i="17"/>
  <c r="Y546" i="17"/>
  <c r="X546" i="17"/>
  <c r="AA545" i="17"/>
  <c r="Z545" i="17"/>
  <c r="Y545" i="17"/>
  <c r="X545" i="17"/>
  <c r="AA544" i="17"/>
  <c r="Z544" i="17"/>
  <c r="Y544" i="17"/>
  <c r="X544" i="17"/>
  <c r="AA543" i="17"/>
  <c r="Z543" i="17"/>
  <c r="Y543" i="17"/>
  <c r="X543" i="17"/>
  <c r="AA542" i="17"/>
  <c r="Z542" i="17"/>
  <c r="Y542" i="17"/>
  <c r="X542" i="17"/>
  <c r="AA541" i="17"/>
  <c r="Z541" i="17"/>
  <c r="Y541" i="17"/>
  <c r="X541" i="17"/>
  <c r="AA540" i="17"/>
  <c r="Z540" i="17"/>
  <c r="Y540" i="17"/>
  <c r="X540" i="17"/>
  <c r="AA539" i="17"/>
  <c r="Z539" i="17"/>
  <c r="Y539" i="17"/>
  <c r="X539" i="17"/>
  <c r="AA538" i="17"/>
  <c r="Z538" i="17"/>
  <c r="Y538" i="17"/>
  <c r="X538" i="17"/>
  <c r="AA537" i="17"/>
  <c r="Z537" i="17"/>
  <c r="Y537" i="17"/>
  <c r="X537" i="17"/>
  <c r="AA536" i="17"/>
  <c r="Z536" i="17"/>
  <c r="Y536" i="17"/>
  <c r="X536" i="17"/>
  <c r="AA535" i="17"/>
  <c r="Z535" i="17"/>
  <c r="Y535" i="17"/>
  <c r="X535" i="17"/>
  <c r="AA534" i="17"/>
  <c r="Z534" i="17"/>
  <c r="Y534" i="17"/>
  <c r="X534" i="17"/>
  <c r="AA533" i="17"/>
  <c r="Z533" i="17"/>
  <c r="Y533" i="17"/>
  <c r="X533" i="17"/>
  <c r="AA532" i="17"/>
  <c r="Z532" i="17"/>
  <c r="Y532" i="17"/>
  <c r="X532" i="17"/>
  <c r="AA531" i="17"/>
  <c r="Z531" i="17"/>
  <c r="Y531" i="17"/>
  <c r="X531" i="17"/>
  <c r="AA530" i="17"/>
  <c r="Z530" i="17"/>
  <c r="Y530" i="17"/>
  <c r="X530" i="17"/>
  <c r="AA529" i="17"/>
  <c r="Z529" i="17"/>
  <c r="Y529" i="17"/>
  <c r="X529" i="17"/>
  <c r="AA528" i="17"/>
  <c r="Z528" i="17"/>
  <c r="Y528" i="17"/>
  <c r="X528" i="17"/>
  <c r="AA527" i="17"/>
  <c r="Z527" i="17"/>
  <c r="Y527" i="17"/>
  <c r="X527" i="17"/>
  <c r="AA526" i="17"/>
  <c r="Z526" i="17"/>
  <c r="Y526" i="17"/>
  <c r="X526" i="17"/>
  <c r="AA497" i="17"/>
  <c r="Z497" i="17"/>
  <c r="Y497" i="17"/>
  <c r="X497" i="17"/>
  <c r="AA496" i="17"/>
  <c r="Z496" i="17"/>
  <c r="Y496" i="17"/>
  <c r="X496" i="17"/>
  <c r="AA495" i="17"/>
  <c r="Z495" i="17"/>
  <c r="Y495" i="17"/>
  <c r="X495" i="17"/>
  <c r="AA494" i="17"/>
  <c r="Z494" i="17"/>
  <c r="Y494" i="17"/>
  <c r="X494" i="17"/>
  <c r="AA493" i="17"/>
  <c r="Z493" i="17"/>
  <c r="Y493" i="17"/>
  <c r="X493" i="17"/>
  <c r="AA492" i="17"/>
  <c r="Z492" i="17"/>
  <c r="Y492" i="17"/>
  <c r="X492" i="17"/>
  <c r="AA491" i="17"/>
  <c r="Z491" i="17"/>
  <c r="Y491" i="17"/>
  <c r="X491" i="17"/>
  <c r="AA490" i="17"/>
  <c r="Z490" i="17"/>
  <c r="Y490" i="17"/>
  <c r="X490" i="17"/>
  <c r="AA489" i="17"/>
  <c r="Z489" i="17"/>
  <c r="Y489" i="17"/>
  <c r="X489" i="17"/>
  <c r="AA488" i="17"/>
  <c r="Z488" i="17"/>
  <c r="Y488" i="17"/>
  <c r="X488" i="17"/>
  <c r="AA487" i="17"/>
  <c r="Z487" i="17"/>
  <c r="Y487" i="17"/>
  <c r="X487" i="17"/>
  <c r="AA486" i="17"/>
  <c r="Z486" i="17"/>
  <c r="Y486" i="17"/>
  <c r="X486" i="17"/>
  <c r="AA485" i="17"/>
  <c r="Z485" i="17"/>
  <c r="Y485" i="17"/>
  <c r="X485" i="17"/>
  <c r="AA484" i="17"/>
  <c r="Z484" i="17"/>
  <c r="Y484" i="17"/>
  <c r="X484" i="17"/>
  <c r="AA483" i="17"/>
  <c r="Z483" i="17"/>
  <c r="Y483" i="17"/>
  <c r="X483" i="17"/>
  <c r="AA482" i="17"/>
  <c r="Z482" i="17"/>
  <c r="Y482" i="17"/>
  <c r="X482" i="17"/>
  <c r="AA481" i="17"/>
  <c r="Z481" i="17"/>
  <c r="Y481" i="17"/>
  <c r="X481" i="17"/>
  <c r="AA480" i="17"/>
  <c r="Z480" i="17"/>
  <c r="Y480" i="17"/>
  <c r="X480" i="17"/>
  <c r="AA479" i="17"/>
  <c r="Z479" i="17"/>
  <c r="Y479" i="17"/>
  <c r="X479" i="17"/>
  <c r="AA478" i="17"/>
  <c r="Z478" i="17"/>
  <c r="Y478" i="17"/>
  <c r="X478" i="17"/>
  <c r="AA477" i="17"/>
  <c r="Z477" i="17"/>
  <c r="Y477" i="17"/>
  <c r="X477" i="17"/>
  <c r="AA476" i="17"/>
  <c r="Z476" i="17"/>
  <c r="Y476" i="17"/>
  <c r="X476" i="17"/>
  <c r="AA475" i="17"/>
  <c r="Z475" i="17"/>
  <c r="Y475" i="17"/>
  <c r="X475" i="17"/>
  <c r="AA474" i="17"/>
  <c r="Z474" i="17"/>
  <c r="Y474" i="17"/>
  <c r="X474" i="17"/>
  <c r="AA473" i="17"/>
  <c r="Z473" i="17"/>
  <c r="Y473" i="17"/>
  <c r="X473" i="17"/>
  <c r="AA472" i="17"/>
  <c r="Z472" i="17"/>
  <c r="Y472" i="17"/>
  <c r="X472" i="17"/>
  <c r="AA471" i="17"/>
  <c r="Z471" i="17"/>
  <c r="Y471" i="17"/>
  <c r="X471" i="17"/>
  <c r="AA470" i="17"/>
  <c r="Z470" i="17"/>
  <c r="Y470" i="17"/>
  <c r="X470" i="17"/>
  <c r="AA469" i="17"/>
  <c r="Z469" i="17"/>
  <c r="Y469" i="17"/>
  <c r="X469" i="17"/>
  <c r="AA468" i="17"/>
  <c r="Z468" i="17"/>
  <c r="Y468" i="17"/>
  <c r="X468" i="17"/>
  <c r="AA467" i="17"/>
  <c r="Z467" i="17"/>
  <c r="Y467" i="17"/>
  <c r="X467" i="17"/>
  <c r="AA466" i="17"/>
  <c r="Z466" i="17"/>
  <c r="Y466" i="17"/>
  <c r="X466" i="17"/>
  <c r="AA465" i="17"/>
  <c r="Z465" i="17"/>
  <c r="Y465" i="17"/>
  <c r="X465" i="17"/>
  <c r="AA464" i="17"/>
  <c r="Z464" i="17"/>
  <c r="Y464" i="17"/>
  <c r="X464" i="17"/>
  <c r="AA463" i="17"/>
  <c r="Z463" i="17"/>
  <c r="Y463" i="17"/>
  <c r="X463" i="17"/>
  <c r="AA462" i="17"/>
  <c r="Z462" i="17"/>
  <c r="Y462" i="17"/>
  <c r="X462" i="17"/>
  <c r="AA432" i="17"/>
  <c r="Z432" i="17"/>
  <c r="Y432" i="17"/>
  <c r="X432" i="17"/>
  <c r="AA430" i="17"/>
  <c r="Z430" i="17"/>
  <c r="Y430" i="17"/>
  <c r="X430" i="17"/>
  <c r="AA425" i="17"/>
  <c r="Z425" i="17"/>
  <c r="Y425" i="17"/>
  <c r="X425" i="17"/>
  <c r="AA424" i="17"/>
  <c r="Z424" i="17"/>
  <c r="Y424" i="17"/>
  <c r="X424" i="17"/>
  <c r="AA423" i="17"/>
  <c r="Z423" i="17"/>
  <c r="Y423" i="17"/>
  <c r="X423" i="17"/>
  <c r="AA422" i="17"/>
  <c r="Z422" i="17"/>
  <c r="Y422" i="17"/>
  <c r="X422" i="17"/>
  <c r="AA336" i="17"/>
  <c r="Z336" i="17"/>
  <c r="Y336" i="17"/>
  <c r="X336" i="17"/>
  <c r="AA335" i="17"/>
  <c r="Z335" i="17"/>
  <c r="Y335" i="17"/>
  <c r="X335" i="17"/>
  <c r="AA334" i="17"/>
  <c r="Z334" i="17"/>
  <c r="Y334" i="17"/>
  <c r="X334" i="17"/>
  <c r="AA333" i="17"/>
  <c r="Z333" i="17"/>
  <c r="Y333" i="17"/>
  <c r="X333" i="17"/>
  <c r="AA332" i="17"/>
  <c r="Z332" i="17"/>
  <c r="Y332" i="17"/>
  <c r="X332" i="17"/>
  <c r="AA331" i="17"/>
  <c r="Z331" i="17"/>
  <c r="Y331" i="17"/>
  <c r="X331" i="17"/>
  <c r="AA330" i="17"/>
  <c r="Z330" i="17"/>
  <c r="Y330" i="17"/>
  <c r="X330" i="17"/>
  <c r="AA329" i="17"/>
  <c r="Z329" i="17"/>
  <c r="Y329" i="17"/>
  <c r="X329" i="17"/>
  <c r="AA328" i="17"/>
  <c r="Z328" i="17"/>
  <c r="Y328" i="17"/>
  <c r="X328" i="17"/>
  <c r="AA327" i="17"/>
  <c r="Z327" i="17"/>
  <c r="Y327" i="17"/>
  <c r="X327" i="17"/>
  <c r="AA326" i="17"/>
  <c r="Z326" i="17"/>
  <c r="Y326" i="17"/>
  <c r="X326" i="17"/>
  <c r="AA325" i="17"/>
  <c r="Z325" i="17"/>
  <c r="Y325" i="17"/>
  <c r="X325" i="17"/>
  <c r="AA324" i="17"/>
  <c r="Z324" i="17"/>
  <c r="Y324" i="17"/>
  <c r="X324" i="17"/>
  <c r="AA323" i="17"/>
  <c r="Z323" i="17"/>
  <c r="Y323" i="17"/>
  <c r="X323" i="17"/>
  <c r="AA322" i="17"/>
  <c r="Z322" i="17"/>
  <c r="Y322" i="17"/>
  <c r="X322" i="17"/>
  <c r="AA321" i="17"/>
  <c r="Z321" i="17"/>
  <c r="Y321" i="17"/>
  <c r="X321" i="17"/>
  <c r="AA320" i="17"/>
  <c r="Z320" i="17"/>
  <c r="Y320" i="17"/>
  <c r="X320" i="17"/>
  <c r="AA319" i="17"/>
  <c r="Z319" i="17"/>
  <c r="Y319" i="17"/>
  <c r="X319" i="17"/>
  <c r="AA318" i="17"/>
  <c r="Z318" i="17"/>
  <c r="Y318" i="17"/>
  <c r="X318" i="17"/>
  <c r="AA317" i="17"/>
  <c r="Z317" i="17"/>
  <c r="Y317" i="17"/>
  <c r="X317" i="17"/>
  <c r="AA316" i="17"/>
  <c r="Z316" i="17"/>
  <c r="Y316" i="17"/>
  <c r="X316" i="17"/>
  <c r="AA315" i="17"/>
  <c r="Z315" i="17"/>
  <c r="Y315" i="17"/>
  <c r="X315" i="17"/>
  <c r="AA314" i="17"/>
  <c r="Z314" i="17"/>
  <c r="Y314" i="17"/>
  <c r="X314" i="17"/>
  <c r="AA313" i="17"/>
  <c r="Z313" i="17"/>
  <c r="Y313" i="17"/>
  <c r="X313" i="17"/>
  <c r="AA312" i="17"/>
  <c r="Z312" i="17"/>
  <c r="Y312" i="17"/>
  <c r="X312" i="17"/>
  <c r="AA310" i="17"/>
  <c r="Z310" i="17"/>
  <c r="Y310" i="17"/>
  <c r="X310" i="17"/>
  <c r="AA309" i="17"/>
  <c r="Z309" i="17"/>
  <c r="Y309" i="17"/>
  <c r="X309" i="17"/>
  <c r="AA308" i="17"/>
  <c r="Z308" i="17"/>
  <c r="Y308" i="17"/>
  <c r="X308" i="17"/>
  <c r="AA307" i="17"/>
  <c r="Z307" i="17"/>
  <c r="Y307" i="17"/>
  <c r="X307" i="17"/>
  <c r="AA305" i="17"/>
  <c r="Z305" i="17"/>
  <c r="Y305" i="17"/>
  <c r="X305" i="17"/>
  <c r="AA303" i="17"/>
  <c r="Z303" i="17"/>
  <c r="Y303" i="17"/>
  <c r="X303" i="17"/>
  <c r="AA302" i="17"/>
  <c r="Z302" i="17"/>
  <c r="Y302" i="17"/>
  <c r="X302" i="17"/>
  <c r="AA280" i="17"/>
  <c r="Z280" i="17"/>
  <c r="Y280" i="17"/>
  <c r="X280" i="17"/>
  <c r="AA279" i="17"/>
  <c r="Z279" i="17"/>
  <c r="Y279" i="17"/>
  <c r="X279" i="17"/>
  <c r="AA278" i="17"/>
  <c r="Z278" i="17"/>
  <c r="Y278" i="17"/>
  <c r="X278" i="17"/>
  <c r="AA277" i="17"/>
  <c r="Z277" i="17"/>
  <c r="Y277" i="17"/>
  <c r="X277" i="17"/>
  <c r="AA276" i="17"/>
  <c r="Z276" i="17"/>
  <c r="Y276" i="17"/>
  <c r="X276" i="17"/>
  <c r="AA275" i="17"/>
  <c r="Z275" i="17"/>
  <c r="Y275" i="17"/>
  <c r="X275" i="17"/>
  <c r="AA274" i="17"/>
  <c r="Z274" i="17"/>
  <c r="Y274" i="17"/>
  <c r="X274" i="17"/>
  <c r="AA273" i="17"/>
  <c r="Z273" i="17"/>
  <c r="Y273" i="17"/>
  <c r="X273" i="17"/>
  <c r="AA272" i="17"/>
  <c r="Z272" i="17"/>
  <c r="Y272" i="17"/>
  <c r="X272" i="17"/>
  <c r="AA271" i="17"/>
  <c r="Z271" i="17"/>
  <c r="Y271" i="17"/>
  <c r="X271" i="17"/>
  <c r="AA270" i="17"/>
  <c r="Z270" i="17"/>
  <c r="Y270" i="17"/>
  <c r="X270" i="17"/>
  <c r="AA269" i="17"/>
  <c r="Z269" i="17"/>
  <c r="Y269" i="17"/>
  <c r="X269" i="17"/>
  <c r="AA268" i="17"/>
  <c r="Z268" i="17"/>
  <c r="Y268" i="17"/>
  <c r="X268" i="17"/>
  <c r="AA267" i="17"/>
  <c r="Z267" i="17"/>
  <c r="Y267" i="17"/>
  <c r="X267" i="17"/>
  <c r="AA234" i="17"/>
  <c r="Z234" i="17"/>
  <c r="Y234" i="17"/>
  <c r="X234" i="17"/>
  <c r="AA260" i="17"/>
  <c r="Z260" i="17"/>
  <c r="Y260" i="17"/>
  <c r="X260" i="17"/>
  <c r="AA259" i="17"/>
  <c r="Z259" i="17"/>
  <c r="Y259" i="17"/>
  <c r="X259" i="17"/>
  <c r="AA258" i="17"/>
  <c r="Z258" i="17"/>
  <c r="Y258" i="17"/>
  <c r="X258" i="17"/>
  <c r="AA257" i="17"/>
  <c r="Z257" i="17"/>
  <c r="Y257" i="17"/>
  <c r="X257" i="17"/>
  <c r="AA254" i="17"/>
  <c r="Z254" i="17"/>
  <c r="Y254" i="17"/>
  <c r="X254" i="17"/>
  <c r="AA253" i="17"/>
  <c r="Z253" i="17"/>
  <c r="Y253" i="17"/>
  <c r="X253" i="17"/>
  <c r="AA252" i="17"/>
  <c r="Z252" i="17"/>
  <c r="Y252" i="17"/>
  <c r="X252" i="17"/>
  <c r="AA249" i="17"/>
  <c r="Z249" i="17"/>
  <c r="Y249" i="17"/>
  <c r="X249" i="17"/>
  <c r="AA248" i="17"/>
  <c r="Z248" i="17"/>
  <c r="Y248" i="17"/>
  <c r="X248" i="17"/>
  <c r="AA247" i="17"/>
  <c r="Z247" i="17"/>
  <c r="Y247" i="17"/>
  <c r="X247" i="17"/>
  <c r="AA244" i="17"/>
  <c r="Z244" i="17"/>
  <c r="Y244" i="17"/>
  <c r="X244" i="17"/>
  <c r="AA243" i="17"/>
  <c r="Z243" i="17"/>
  <c r="Y243" i="17"/>
  <c r="X243" i="17"/>
  <c r="AA242" i="17"/>
  <c r="Z242" i="17"/>
  <c r="Y242" i="17"/>
  <c r="X242" i="17"/>
  <c r="AA239" i="17"/>
  <c r="Z239" i="17"/>
  <c r="Y239" i="17"/>
  <c r="X239" i="17"/>
  <c r="AA238" i="17"/>
  <c r="Z238" i="17"/>
  <c r="Y238" i="17"/>
  <c r="X238" i="17"/>
  <c r="AA237" i="17"/>
  <c r="Z237" i="17"/>
  <c r="Y237" i="17"/>
  <c r="X237" i="17"/>
  <c r="AA222" i="17"/>
  <c r="Z222" i="17"/>
  <c r="Y222" i="17"/>
  <c r="X222" i="17"/>
  <c r="AA221" i="17"/>
  <c r="Z221" i="17"/>
  <c r="Y221" i="17"/>
  <c r="X221" i="17"/>
  <c r="AA220" i="17"/>
  <c r="Z220" i="17"/>
  <c r="Y220" i="17"/>
  <c r="X220" i="17"/>
  <c r="AA219" i="17"/>
  <c r="Z219" i="17"/>
  <c r="Y219" i="17"/>
  <c r="X219" i="17"/>
  <c r="AA218" i="17"/>
  <c r="Z218" i="17"/>
  <c r="Y218" i="17"/>
  <c r="X218" i="17"/>
  <c r="AA217" i="17"/>
  <c r="Z217" i="17"/>
  <c r="Y217" i="17"/>
  <c r="X217" i="17"/>
  <c r="AA216" i="17"/>
  <c r="Z216" i="17"/>
  <c r="Y216" i="17"/>
  <c r="X216" i="17"/>
  <c r="AA213" i="17"/>
  <c r="Z213" i="17"/>
  <c r="Y213" i="17"/>
  <c r="X213" i="17"/>
  <c r="AA212" i="17"/>
  <c r="Z212" i="17"/>
  <c r="Y212" i="17"/>
  <c r="X212" i="17"/>
  <c r="AA211" i="17"/>
  <c r="Z211" i="17"/>
  <c r="Y211" i="17"/>
  <c r="X211" i="17"/>
  <c r="AA208" i="17"/>
  <c r="Z208" i="17"/>
  <c r="Y208" i="17"/>
  <c r="X208" i="17"/>
  <c r="AA207" i="17"/>
  <c r="Z207" i="17"/>
  <c r="Y207" i="17"/>
  <c r="X207" i="17"/>
  <c r="AA206" i="17"/>
  <c r="Z206" i="17"/>
  <c r="Y206" i="17"/>
  <c r="X206" i="17"/>
  <c r="AA203" i="17"/>
  <c r="Z203" i="17"/>
  <c r="Y203" i="17"/>
  <c r="X203" i="17"/>
  <c r="AA202" i="17"/>
  <c r="Z202" i="17"/>
  <c r="Y202" i="17"/>
  <c r="X202" i="17"/>
  <c r="AA201" i="17"/>
  <c r="Z201" i="17"/>
  <c r="Y201" i="17"/>
  <c r="X201" i="17"/>
  <c r="AA198" i="17"/>
  <c r="Z198" i="17"/>
  <c r="Y198" i="17"/>
  <c r="X198" i="17"/>
  <c r="AA197" i="17"/>
  <c r="Z197" i="17"/>
  <c r="Y197" i="17"/>
  <c r="X197" i="17"/>
  <c r="AA196" i="17"/>
  <c r="Z196" i="17"/>
  <c r="Y196" i="17"/>
  <c r="X196" i="17"/>
  <c r="AA195" i="17"/>
  <c r="Z195" i="17"/>
  <c r="Y195" i="17"/>
  <c r="X195" i="17"/>
  <c r="AA194" i="17"/>
  <c r="Z194" i="17"/>
  <c r="Y194" i="17"/>
  <c r="X194" i="17"/>
  <c r="AA193" i="17"/>
  <c r="Z193" i="17"/>
  <c r="Y193" i="17"/>
  <c r="X193" i="17"/>
  <c r="AA192" i="17"/>
  <c r="Z192" i="17"/>
  <c r="Y192" i="17"/>
  <c r="X192" i="17"/>
  <c r="AA191" i="17"/>
  <c r="Z191" i="17"/>
  <c r="Y191" i="17"/>
  <c r="X191" i="17"/>
  <c r="AA190" i="17"/>
  <c r="Z190" i="17"/>
  <c r="Y190" i="17"/>
  <c r="X190" i="17"/>
  <c r="AA189" i="17"/>
  <c r="Z189" i="17"/>
  <c r="Y189" i="17"/>
  <c r="X189" i="17"/>
  <c r="AA188" i="17"/>
  <c r="Z188" i="17"/>
  <c r="Y188" i="17"/>
  <c r="X188" i="17"/>
  <c r="AA187" i="17"/>
  <c r="Z187" i="17"/>
  <c r="Y187" i="17"/>
  <c r="X187" i="17"/>
  <c r="AA186" i="17"/>
  <c r="Z186" i="17"/>
  <c r="Y186" i="17"/>
  <c r="X186" i="17"/>
  <c r="AA185" i="17"/>
  <c r="Z185" i="17"/>
  <c r="Y185" i="17"/>
  <c r="X185" i="17"/>
  <c r="AA184" i="17"/>
  <c r="Z184" i="17"/>
  <c r="Y184" i="17"/>
  <c r="X184" i="17"/>
  <c r="AA183" i="17"/>
  <c r="Z183" i="17"/>
  <c r="Y183" i="17"/>
  <c r="X183" i="17"/>
  <c r="AA182" i="17"/>
  <c r="Z182" i="17"/>
  <c r="Y182" i="17"/>
  <c r="X182" i="17"/>
  <c r="AA181" i="17"/>
  <c r="Z181" i="17"/>
  <c r="Y181" i="17"/>
  <c r="X181" i="17"/>
  <c r="AA180" i="17"/>
  <c r="Z180" i="17"/>
  <c r="Y180" i="17"/>
  <c r="X180" i="17"/>
  <c r="AA179" i="17"/>
  <c r="Z179" i="17"/>
  <c r="Y179" i="17"/>
  <c r="X179" i="17"/>
  <c r="AA178" i="17"/>
  <c r="Z178" i="17"/>
  <c r="Y178" i="17"/>
  <c r="X178" i="17"/>
  <c r="AA177" i="17"/>
  <c r="Z177" i="17"/>
  <c r="Y177" i="17"/>
  <c r="X177" i="17"/>
  <c r="AA176" i="17"/>
  <c r="Z176" i="17"/>
  <c r="Y176" i="17"/>
  <c r="X176" i="17"/>
  <c r="AA175" i="17"/>
  <c r="Z175" i="17"/>
  <c r="Y175" i="17"/>
  <c r="X175" i="17"/>
  <c r="AA174" i="17"/>
  <c r="Z174" i="17"/>
  <c r="Y174" i="17"/>
  <c r="X174" i="17"/>
  <c r="AA173" i="17"/>
  <c r="Z173" i="17"/>
  <c r="Y173" i="17"/>
  <c r="X173" i="17"/>
  <c r="AA172" i="17"/>
  <c r="Z172" i="17"/>
  <c r="Y172" i="17"/>
  <c r="X172" i="17"/>
  <c r="AA171" i="17"/>
  <c r="Z171" i="17"/>
  <c r="Y171" i="17"/>
  <c r="X171" i="17"/>
  <c r="AA170" i="17"/>
  <c r="Z170" i="17"/>
  <c r="Y170" i="17"/>
  <c r="X170" i="17"/>
  <c r="AA169" i="17"/>
  <c r="Z169" i="17"/>
  <c r="Y169" i="17"/>
  <c r="X169" i="17"/>
  <c r="AA168" i="17"/>
  <c r="Z168" i="17"/>
  <c r="Y168" i="17"/>
  <c r="X168" i="17"/>
  <c r="AA167" i="17"/>
  <c r="Z167" i="17"/>
  <c r="Y167" i="17"/>
  <c r="X167" i="17"/>
  <c r="AA166" i="17"/>
  <c r="Z166" i="17"/>
  <c r="Y166" i="17"/>
  <c r="X166" i="17"/>
  <c r="AA165" i="17"/>
  <c r="Z165" i="17"/>
  <c r="Y165" i="17"/>
  <c r="X165" i="17"/>
  <c r="AA164" i="17"/>
  <c r="Z164" i="17"/>
  <c r="Y164" i="17"/>
  <c r="X164" i="17"/>
  <c r="AA163" i="17"/>
  <c r="Z163" i="17"/>
  <c r="Y163" i="17"/>
  <c r="X163" i="17"/>
  <c r="AA162" i="17"/>
  <c r="Z162" i="17"/>
  <c r="Y162" i="17"/>
  <c r="X162" i="17"/>
  <c r="AA161" i="17"/>
  <c r="Z161" i="17"/>
  <c r="Y161" i="17"/>
  <c r="X161" i="17"/>
  <c r="AA160" i="17"/>
  <c r="Z160" i="17"/>
  <c r="Y160" i="17"/>
  <c r="X160" i="17"/>
  <c r="AA159" i="17"/>
  <c r="Z159" i="17"/>
  <c r="Y159" i="17"/>
  <c r="X159" i="17"/>
  <c r="AA158" i="17"/>
  <c r="Z158" i="17"/>
  <c r="Y158" i="17"/>
  <c r="X158" i="17"/>
  <c r="AA157" i="17"/>
  <c r="Z157" i="17"/>
  <c r="Y157" i="17"/>
  <c r="X157" i="17"/>
  <c r="AA156" i="17"/>
  <c r="Z156" i="17"/>
  <c r="Y156" i="17"/>
  <c r="X156" i="17"/>
  <c r="AA155" i="17"/>
  <c r="Z155" i="17"/>
  <c r="Y155" i="17"/>
  <c r="X155" i="17"/>
  <c r="AA154" i="17"/>
  <c r="Z154" i="17"/>
  <c r="Y154" i="17"/>
  <c r="X154" i="17"/>
  <c r="AA153" i="17"/>
  <c r="Z153" i="17"/>
  <c r="Y153" i="17"/>
  <c r="X153" i="17"/>
  <c r="AA152" i="17"/>
  <c r="Z152" i="17"/>
  <c r="Y152" i="17"/>
  <c r="X152" i="17"/>
  <c r="AA151" i="17"/>
  <c r="Z151" i="17"/>
  <c r="Y151" i="17"/>
  <c r="X151" i="17"/>
  <c r="AA150" i="17"/>
  <c r="Z150" i="17"/>
  <c r="Y150" i="17"/>
  <c r="X150" i="17"/>
  <c r="AA149" i="17"/>
  <c r="Z149" i="17"/>
  <c r="Y149" i="17"/>
  <c r="X149" i="17"/>
  <c r="AA148" i="17"/>
  <c r="Z148" i="17"/>
  <c r="Y148" i="17"/>
  <c r="X148" i="17"/>
  <c r="AA147" i="17"/>
  <c r="Z147" i="17"/>
  <c r="Y147" i="17"/>
  <c r="X147" i="17"/>
  <c r="AA146" i="17"/>
  <c r="Z146" i="17"/>
  <c r="Y146" i="17"/>
  <c r="X146" i="17"/>
  <c r="AA145" i="17"/>
  <c r="Z145" i="17"/>
  <c r="Y145" i="17"/>
  <c r="X145" i="17"/>
  <c r="AA144" i="17"/>
  <c r="Z144" i="17"/>
  <c r="Y144" i="17"/>
  <c r="X144" i="17"/>
  <c r="AA143" i="17"/>
  <c r="Z143" i="17"/>
  <c r="Y143" i="17"/>
  <c r="X143" i="17"/>
  <c r="AA142" i="17"/>
  <c r="Z142" i="17"/>
  <c r="Y142" i="17"/>
  <c r="X142" i="17"/>
  <c r="AA141" i="17"/>
  <c r="Z141" i="17"/>
  <c r="Y141" i="17"/>
  <c r="X141" i="17"/>
  <c r="AA140" i="17"/>
  <c r="Z140" i="17"/>
  <c r="Y140" i="17"/>
  <c r="X140" i="17"/>
  <c r="AA139" i="17"/>
  <c r="Z139" i="17"/>
  <c r="Y139" i="17"/>
  <c r="X139" i="17"/>
  <c r="AA138" i="17"/>
  <c r="Z138" i="17"/>
  <c r="Y138" i="17"/>
  <c r="X138" i="17"/>
  <c r="AA137" i="17"/>
  <c r="Z137" i="17"/>
  <c r="Y137" i="17"/>
  <c r="X137" i="17"/>
  <c r="AA136" i="17"/>
  <c r="Z136" i="17"/>
  <c r="Y136" i="17"/>
  <c r="X136" i="17"/>
  <c r="AA135" i="17"/>
  <c r="Z135" i="17"/>
  <c r="Y135" i="17"/>
  <c r="X135" i="17"/>
  <c r="AA134" i="17"/>
  <c r="Z134" i="17"/>
  <c r="Y134" i="17"/>
  <c r="X134" i="17"/>
  <c r="AA133" i="17"/>
  <c r="Z133" i="17"/>
  <c r="Y133" i="17"/>
  <c r="X133" i="17"/>
  <c r="AA132" i="17"/>
  <c r="Z132" i="17"/>
  <c r="Y132" i="17"/>
  <c r="X132" i="17"/>
  <c r="AA131" i="17"/>
  <c r="Z131" i="17"/>
  <c r="Y131" i="17"/>
  <c r="X131" i="17"/>
  <c r="AA130" i="17"/>
  <c r="Z130" i="17"/>
  <c r="Y130" i="17"/>
  <c r="X130" i="17"/>
  <c r="AA129" i="17"/>
  <c r="Z129" i="17"/>
  <c r="Y129" i="17"/>
  <c r="X129" i="17"/>
  <c r="AA128" i="17"/>
  <c r="Z128" i="17"/>
  <c r="Y128" i="17"/>
  <c r="X128" i="17"/>
  <c r="AA127" i="17"/>
  <c r="Z127" i="17"/>
  <c r="Y127" i="17"/>
  <c r="X127" i="17"/>
  <c r="AA126" i="17"/>
  <c r="Z126" i="17"/>
  <c r="Y126" i="17"/>
  <c r="X126" i="17"/>
  <c r="AA125" i="17"/>
  <c r="Z125" i="17"/>
  <c r="Y125" i="17"/>
  <c r="X125" i="17"/>
  <c r="AA124" i="17"/>
  <c r="Z124" i="17"/>
  <c r="Y124" i="17"/>
  <c r="X124" i="17"/>
  <c r="AA123" i="17"/>
  <c r="Z123" i="17"/>
  <c r="Y123" i="17"/>
  <c r="X123" i="17"/>
  <c r="AA122" i="17"/>
  <c r="Z122" i="17"/>
  <c r="Y122" i="17"/>
  <c r="X122" i="17"/>
  <c r="AA121" i="17"/>
  <c r="Z121" i="17"/>
  <c r="Y121" i="17"/>
  <c r="X121" i="17"/>
  <c r="AA120" i="17"/>
  <c r="Z120" i="17"/>
  <c r="Y120" i="17"/>
  <c r="X120" i="17"/>
  <c r="AA119" i="17"/>
  <c r="Z119" i="17"/>
  <c r="Y119" i="17"/>
  <c r="X119" i="17"/>
  <c r="AA118" i="17"/>
  <c r="Z118" i="17"/>
  <c r="Y118" i="17"/>
  <c r="X118" i="17"/>
  <c r="AA117" i="17"/>
  <c r="Z117" i="17"/>
  <c r="Y117" i="17"/>
  <c r="X117" i="17"/>
  <c r="AA116" i="17"/>
  <c r="Z116" i="17"/>
  <c r="Y116" i="17"/>
  <c r="X116" i="17"/>
  <c r="AA115" i="17"/>
  <c r="Z115" i="17"/>
  <c r="Y115" i="17"/>
  <c r="X115" i="17"/>
  <c r="AA114" i="17"/>
  <c r="Z114" i="17"/>
  <c r="Y114" i="17"/>
  <c r="X114" i="17"/>
  <c r="AA113" i="17"/>
  <c r="Z113" i="17"/>
  <c r="Y113" i="17"/>
  <c r="X113" i="17"/>
  <c r="AA112" i="17"/>
  <c r="Z112" i="17"/>
  <c r="Y112" i="17"/>
  <c r="X112" i="17"/>
  <c r="AA111" i="17"/>
  <c r="Z111" i="17"/>
  <c r="Y111" i="17"/>
  <c r="X111" i="17"/>
  <c r="AA110" i="17"/>
  <c r="Z110" i="17"/>
  <c r="Y110" i="17"/>
  <c r="X110" i="17"/>
  <c r="AA109" i="17"/>
  <c r="Z109" i="17"/>
  <c r="Y109" i="17"/>
  <c r="X109" i="17"/>
  <c r="AA108" i="17"/>
  <c r="Z108" i="17"/>
  <c r="Y108" i="17"/>
  <c r="X108" i="17"/>
  <c r="AA107" i="17"/>
  <c r="Z107" i="17"/>
  <c r="Y107" i="17"/>
  <c r="X107" i="17"/>
  <c r="AA106" i="17"/>
  <c r="Z106" i="17"/>
  <c r="Y106" i="17"/>
  <c r="X106" i="17"/>
  <c r="AA105" i="17"/>
  <c r="Z105" i="17"/>
  <c r="Y105" i="17"/>
  <c r="X105" i="17"/>
  <c r="AA104" i="17"/>
  <c r="Z104" i="17"/>
  <c r="Y104" i="17"/>
  <c r="X104" i="17"/>
  <c r="AA103" i="17"/>
  <c r="Z103" i="17"/>
  <c r="Y103" i="17"/>
  <c r="X103" i="17"/>
  <c r="AA102" i="17"/>
  <c r="Z102" i="17"/>
  <c r="Y102" i="17"/>
  <c r="X102" i="17"/>
  <c r="AA101" i="17"/>
  <c r="Z101" i="17"/>
  <c r="Y101" i="17"/>
  <c r="X101" i="17"/>
  <c r="AA100" i="17"/>
  <c r="Z100" i="17"/>
  <c r="Y100" i="17"/>
  <c r="X100" i="17"/>
  <c r="AA99" i="17"/>
  <c r="Z99" i="17"/>
  <c r="Y99" i="17"/>
  <c r="X99" i="17"/>
  <c r="AA98" i="17"/>
  <c r="Z98" i="17"/>
  <c r="Y98" i="17"/>
  <c r="X98" i="17"/>
  <c r="AA97" i="17"/>
  <c r="Z97" i="17"/>
  <c r="Y97" i="17"/>
  <c r="X97" i="17"/>
  <c r="AA96" i="17"/>
  <c r="Z96" i="17"/>
  <c r="Y96" i="17"/>
  <c r="X96" i="17"/>
  <c r="AA95" i="17"/>
  <c r="Z95" i="17"/>
  <c r="Y95" i="17"/>
  <c r="X95" i="17"/>
  <c r="AA94" i="17"/>
  <c r="Z94" i="17"/>
  <c r="Y94" i="17"/>
  <c r="X94" i="17"/>
  <c r="AA93" i="17"/>
  <c r="Z93" i="17"/>
  <c r="Y93" i="17"/>
  <c r="X93" i="17"/>
  <c r="AA92" i="17"/>
  <c r="Z92" i="17"/>
  <c r="Y92" i="17"/>
  <c r="X92" i="17"/>
  <c r="AA91" i="17"/>
  <c r="Z91" i="17"/>
  <c r="Y91" i="17"/>
  <c r="X91" i="17"/>
  <c r="AA90" i="17"/>
  <c r="Z90" i="17"/>
  <c r="Y90" i="17"/>
  <c r="X90" i="17"/>
  <c r="AA89" i="17"/>
  <c r="Z89" i="17"/>
  <c r="Y89" i="17"/>
  <c r="X89" i="17"/>
  <c r="AA88" i="17"/>
  <c r="Z88" i="17"/>
  <c r="Y88" i="17"/>
  <c r="X88" i="17"/>
  <c r="AA87" i="17"/>
  <c r="Z87" i="17"/>
  <c r="Y87" i="17"/>
  <c r="X87" i="17"/>
  <c r="AA86" i="17"/>
  <c r="Z86" i="17"/>
  <c r="Y86" i="17"/>
  <c r="X86" i="17"/>
  <c r="AA85" i="17"/>
  <c r="Z85" i="17"/>
  <c r="Y85" i="17"/>
  <c r="X85" i="17"/>
  <c r="AA84" i="17"/>
  <c r="Z84" i="17"/>
  <c r="Y84" i="17"/>
  <c r="X84" i="17"/>
  <c r="AA83" i="17"/>
  <c r="Z83" i="17"/>
  <c r="Y83" i="17"/>
  <c r="X83" i="17"/>
  <c r="AA82" i="17"/>
  <c r="Z82" i="17"/>
  <c r="Y82" i="17"/>
  <c r="X82" i="17"/>
  <c r="AA81" i="17"/>
  <c r="Z81" i="17"/>
  <c r="Y81" i="17"/>
  <c r="X81" i="17"/>
  <c r="AA80" i="17"/>
  <c r="Z80" i="17"/>
  <c r="Y80" i="17"/>
  <c r="X80" i="17"/>
  <c r="AA79" i="17"/>
  <c r="Z79" i="17"/>
  <c r="Y79" i="17"/>
  <c r="X79" i="17"/>
  <c r="AA78" i="17"/>
  <c r="Z78" i="17"/>
  <c r="Y78" i="17"/>
  <c r="X78" i="17"/>
  <c r="AA77" i="17"/>
  <c r="Z77" i="17"/>
  <c r="Y77" i="17"/>
  <c r="X77" i="17"/>
  <c r="AA76" i="17"/>
  <c r="Z76" i="17"/>
  <c r="Y76" i="17"/>
  <c r="X76" i="17"/>
  <c r="AA75" i="17"/>
  <c r="Z75" i="17"/>
  <c r="Y75" i="17"/>
  <c r="X75" i="17"/>
  <c r="AA74" i="17"/>
  <c r="Z74" i="17"/>
  <c r="Y74" i="17"/>
  <c r="X74" i="17"/>
  <c r="AA73" i="17"/>
  <c r="Z73" i="17"/>
  <c r="Y73" i="17"/>
  <c r="X73" i="17"/>
  <c r="AA72" i="17"/>
  <c r="Z72" i="17"/>
  <c r="Y72" i="17"/>
  <c r="X72" i="17"/>
  <c r="AA71" i="17"/>
  <c r="Z71" i="17"/>
  <c r="Y71" i="17"/>
  <c r="X71" i="17"/>
  <c r="AA70" i="17"/>
  <c r="Z70" i="17"/>
  <c r="Y70" i="17"/>
  <c r="X70" i="17"/>
  <c r="AA69" i="17"/>
  <c r="Z69" i="17"/>
  <c r="Y69" i="17"/>
  <c r="X69" i="17"/>
  <c r="AA68" i="17"/>
  <c r="Z68" i="17"/>
  <c r="Y68" i="17"/>
  <c r="X68" i="17"/>
  <c r="AA67" i="17"/>
  <c r="Z67" i="17"/>
  <c r="Y67" i="17"/>
  <c r="X67" i="17"/>
  <c r="AA66" i="17"/>
  <c r="Z66" i="17"/>
  <c r="Y66" i="17"/>
  <c r="X66" i="17"/>
  <c r="AA65" i="17"/>
  <c r="Z65" i="17"/>
  <c r="Y65" i="17"/>
  <c r="X65" i="17"/>
  <c r="AA64" i="17"/>
  <c r="Z64" i="17"/>
  <c r="Y64" i="17"/>
  <c r="X64" i="17"/>
  <c r="AA63" i="17"/>
  <c r="Z63" i="17"/>
  <c r="Y63" i="17"/>
  <c r="X63" i="17"/>
  <c r="AA62" i="17"/>
  <c r="Z62" i="17"/>
  <c r="Y62" i="17"/>
  <c r="X62" i="17"/>
  <c r="AA61" i="17"/>
  <c r="Z61" i="17"/>
  <c r="Y61" i="17"/>
  <c r="X61" i="17"/>
  <c r="AA60" i="17"/>
  <c r="Z60" i="17"/>
  <c r="Y60" i="17"/>
  <c r="X60" i="17"/>
  <c r="AA59" i="17"/>
  <c r="Z59" i="17"/>
  <c r="Y59" i="17"/>
  <c r="X59" i="17"/>
  <c r="AA58" i="17"/>
  <c r="Z58" i="17"/>
  <c r="Y58" i="17"/>
  <c r="X58" i="17"/>
  <c r="AA57" i="17"/>
  <c r="Z57" i="17"/>
  <c r="Y57" i="17"/>
  <c r="X57" i="17"/>
  <c r="AA56" i="17"/>
  <c r="Z56" i="17"/>
  <c r="Y56" i="17"/>
  <c r="X56" i="17"/>
  <c r="AA55" i="17"/>
  <c r="Z55" i="17"/>
  <c r="Y55" i="17"/>
  <c r="X55" i="17"/>
  <c r="AA54" i="17"/>
  <c r="Z54" i="17"/>
  <c r="Y54" i="17"/>
  <c r="X54" i="17"/>
  <c r="AA53" i="17"/>
  <c r="Z53" i="17"/>
  <c r="Y53" i="17"/>
  <c r="X53" i="17"/>
  <c r="AA52" i="17"/>
  <c r="Z52" i="17"/>
  <c r="Y52" i="17"/>
  <c r="X52" i="17"/>
  <c r="AA51" i="17"/>
  <c r="Z51" i="17"/>
  <c r="Y51" i="17"/>
  <c r="X51" i="17"/>
  <c r="AA50" i="17"/>
  <c r="Z50" i="17"/>
  <c r="Y50" i="17"/>
  <c r="X50" i="17"/>
  <c r="AA49" i="17"/>
  <c r="Z49" i="17"/>
  <c r="Y49" i="17"/>
  <c r="X49" i="17"/>
  <c r="AA48" i="17"/>
  <c r="Z48" i="17"/>
  <c r="Y48" i="17"/>
  <c r="X48" i="17"/>
  <c r="AA47" i="17"/>
  <c r="Z47" i="17"/>
  <c r="Y47" i="17"/>
  <c r="X47" i="17"/>
  <c r="AA46" i="17"/>
  <c r="Z46" i="17"/>
  <c r="Y46" i="17"/>
  <c r="X46" i="17"/>
  <c r="AA45" i="17"/>
  <c r="Z45" i="17"/>
  <c r="Y45" i="17"/>
  <c r="X45" i="17"/>
  <c r="AA44" i="17"/>
  <c r="Z44" i="17"/>
  <c r="Y44" i="17"/>
  <c r="X44" i="17"/>
  <c r="AA43" i="17"/>
  <c r="Z43" i="17"/>
  <c r="Y43" i="17"/>
  <c r="X43" i="17"/>
  <c r="AA42" i="17"/>
  <c r="Z42" i="17"/>
  <c r="Y42" i="17"/>
  <c r="X42" i="17"/>
  <c r="AA41" i="17"/>
  <c r="Z41" i="17"/>
  <c r="Y41" i="17"/>
  <c r="X41" i="17"/>
  <c r="AA40" i="17"/>
  <c r="Z40" i="17"/>
  <c r="Y40" i="17"/>
  <c r="X40" i="17"/>
  <c r="AA39" i="17"/>
  <c r="Z39" i="17"/>
  <c r="Y39" i="17"/>
  <c r="X39" i="17"/>
  <c r="AA38" i="17"/>
  <c r="Z38" i="17"/>
  <c r="Y38" i="17"/>
  <c r="X38" i="17"/>
  <c r="AA37" i="17"/>
  <c r="Z37" i="17"/>
  <c r="Y37" i="17"/>
  <c r="X37" i="17"/>
  <c r="AA36" i="17"/>
  <c r="Z36" i="17"/>
  <c r="Y36" i="17"/>
  <c r="X36" i="17"/>
  <c r="AA35" i="17"/>
  <c r="Z35" i="17"/>
  <c r="Y35" i="17"/>
  <c r="X35" i="17"/>
  <c r="AA34" i="17"/>
  <c r="Z34" i="17"/>
  <c r="Y34" i="17"/>
  <c r="X34" i="17"/>
  <c r="AA33" i="17"/>
  <c r="Z33" i="17"/>
  <c r="Y33" i="17"/>
  <c r="X33" i="17"/>
  <c r="AA32" i="17"/>
  <c r="Z32" i="17"/>
  <c r="Y32" i="17"/>
  <c r="X32" i="17"/>
  <c r="AA31" i="17"/>
  <c r="Z31" i="17"/>
  <c r="Y31" i="17"/>
  <c r="X31" i="17"/>
  <c r="AA30" i="17"/>
  <c r="Z30" i="17"/>
  <c r="Y30" i="17"/>
  <c r="X30" i="17"/>
  <c r="AA29" i="17"/>
  <c r="Z29" i="17"/>
  <c r="Y29" i="17"/>
  <c r="X29" i="17"/>
  <c r="AA28" i="17"/>
  <c r="Z28" i="17"/>
  <c r="Y28" i="17"/>
  <c r="X28" i="17"/>
  <c r="AA27" i="17"/>
  <c r="Z27" i="17"/>
  <c r="Y27" i="17"/>
  <c r="X27" i="17"/>
  <c r="AA26" i="17"/>
  <c r="Z26" i="17"/>
  <c r="Y26" i="17"/>
  <c r="X26" i="17"/>
  <c r="AA25" i="17"/>
  <c r="Z25" i="17"/>
  <c r="Y25" i="17"/>
  <c r="X25" i="17"/>
  <c r="AA24" i="17"/>
  <c r="Z24" i="17"/>
  <c r="Y24" i="17"/>
  <c r="X24" i="17"/>
  <c r="AA23" i="17"/>
  <c r="Z23" i="17"/>
  <c r="Y23" i="17"/>
  <c r="X23" i="17"/>
  <c r="AA22" i="17"/>
  <c r="Z22" i="17"/>
  <c r="Y22" i="17"/>
  <c r="X22" i="17"/>
  <c r="AA21" i="17"/>
  <c r="Z21" i="17"/>
  <c r="Y21" i="17"/>
  <c r="X21" i="17"/>
  <c r="AA20" i="17"/>
  <c r="Z20" i="17"/>
  <c r="Y20" i="17"/>
  <c r="X20" i="17"/>
  <c r="AA19" i="17"/>
  <c r="Z19" i="17"/>
  <c r="Y19" i="17"/>
  <c r="X19" i="17"/>
  <c r="AA18" i="17"/>
  <c r="Z18" i="17"/>
  <c r="Y18" i="17"/>
  <c r="X18" i="17"/>
  <c r="AA17" i="17"/>
  <c r="Z17" i="17"/>
  <c r="Y17" i="17"/>
  <c r="X17" i="17"/>
  <c r="AA16" i="17"/>
  <c r="Z16" i="17"/>
  <c r="Y16" i="17"/>
  <c r="X16" i="17"/>
  <c r="AA15" i="17"/>
  <c r="Z15" i="17"/>
  <c r="Y15" i="17"/>
  <c r="X15" i="17"/>
  <c r="AA14" i="17"/>
  <c r="Z14" i="17"/>
  <c r="Y14" i="17"/>
  <c r="X14" i="17"/>
  <c r="AA13" i="17"/>
  <c r="Z13" i="17"/>
  <c r="Y13" i="17"/>
  <c r="X13" i="17"/>
  <c r="AA12" i="17"/>
  <c r="Z12" i="17"/>
  <c r="Y12" i="17"/>
  <c r="X12" i="17"/>
  <c r="AA11" i="17"/>
  <c r="Z11" i="17"/>
  <c r="Y11" i="17"/>
  <c r="X11" i="17"/>
  <c r="AA10" i="17"/>
  <c r="Z10" i="17"/>
  <c r="Y10" i="17"/>
  <c r="X10" i="17"/>
  <c r="AA9" i="17"/>
  <c r="Z9" i="17"/>
  <c r="Y9" i="17"/>
  <c r="X9" i="17"/>
  <c r="AA8" i="17"/>
  <c r="Z8" i="17"/>
  <c r="Y8" i="17"/>
  <c r="X8" i="17"/>
  <c r="AA7" i="17"/>
  <c r="Z7" i="17"/>
  <c r="Y7" i="17"/>
  <c r="X7" i="17"/>
  <c r="AA6" i="17"/>
  <c r="Z6" i="17"/>
  <c r="Y6" i="17"/>
  <c r="X6" i="17"/>
  <c r="AA5" i="17"/>
  <c r="Z5" i="17"/>
  <c r="Y5" i="17"/>
  <c r="X5" i="17"/>
  <c r="AA4" i="17"/>
  <c r="Z4" i="17"/>
  <c r="Y4" i="17"/>
  <c r="X4" i="17"/>
  <c r="AA3" i="17"/>
  <c r="Z3" i="17"/>
  <c r="Y3" i="17"/>
  <c r="X3" i="17"/>
  <c r="G118" i="15"/>
  <c r="E118" i="15"/>
  <c r="D118" i="15"/>
  <c r="C118" i="15"/>
  <c r="B118" i="15"/>
  <c r="W588" i="17"/>
  <c r="W587" i="17"/>
  <c r="W586" i="17"/>
  <c r="M156" i="14"/>
  <c r="B204" i="15"/>
  <c r="C204" i="15"/>
  <c r="D204" i="15"/>
  <c r="E204" i="15"/>
  <c r="G204" i="15"/>
  <c r="B100" i="15"/>
  <c r="C100" i="15"/>
  <c r="D100" i="15"/>
  <c r="E100" i="15"/>
  <c r="G100" i="15"/>
  <c r="B70" i="15"/>
  <c r="C70" i="15"/>
  <c r="D70" i="15"/>
  <c r="E70" i="15"/>
  <c r="G70" i="15"/>
  <c r="W432" i="17"/>
  <c r="W430" i="17"/>
  <c r="W425" i="17"/>
  <c r="W424" i="17"/>
  <c r="W423" i="17"/>
  <c r="W422" i="17"/>
  <c r="M102" i="14"/>
  <c r="M101" i="14"/>
  <c r="M100" i="14"/>
  <c r="W738" i="17"/>
  <c r="M205" i="14"/>
  <c r="M155" i="14"/>
  <c r="W583" i="17"/>
  <c r="W584" i="17"/>
  <c r="W585" i="17"/>
  <c r="G69" i="15"/>
  <c r="E69" i="15"/>
  <c r="D69" i="15"/>
  <c r="C69" i="15"/>
  <c r="B69" i="15"/>
  <c r="W674" i="17"/>
  <c r="W673" i="17"/>
  <c r="W672" i="17"/>
  <c r="W671" i="17"/>
  <c r="M184" i="14"/>
  <c r="W937" i="17"/>
  <c r="M298" i="14"/>
  <c r="W737" i="17"/>
  <c r="M204" i="14"/>
  <c r="W582" i="17"/>
  <c r="W581" i="17"/>
  <c r="M154" i="14"/>
  <c r="G117" i="15"/>
  <c r="E117" i="15"/>
  <c r="D117" i="15"/>
  <c r="C117" i="15"/>
  <c r="B117" i="15"/>
  <c r="G68" i="15"/>
  <c r="E68" i="15"/>
  <c r="D68" i="15"/>
  <c r="C68" i="15"/>
  <c r="B68" i="15"/>
  <c r="M153" i="14"/>
  <c r="W578" i="17"/>
  <c r="W580" i="17"/>
  <c r="W579" i="17"/>
  <c r="B295" i="15"/>
  <c r="C295" i="15"/>
  <c r="D295" i="15"/>
  <c r="E295" i="15"/>
  <c r="B296" i="15"/>
  <c r="C296" i="15"/>
  <c r="D296" i="15"/>
  <c r="E296" i="15"/>
  <c r="G296" i="15"/>
  <c r="W280" i="17"/>
  <c r="W279" i="17"/>
  <c r="M77" i="14"/>
  <c r="M76" i="14"/>
  <c r="B116" i="15"/>
  <c r="C116" i="15"/>
  <c r="D116" i="15"/>
  <c r="E116" i="15"/>
  <c r="G116" i="15"/>
  <c r="B67" i="15"/>
  <c r="C67" i="15"/>
  <c r="D67" i="15"/>
  <c r="E67" i="15"/>
  <c r="G67" i="15"/>
  <c r="B294" i="15"/>
  <c r="C294" i="15"/>
  <c r="D294" i="15"/>
  <c r="E294" i="15"/>
  <c r="G294" i="15"/>
  <c r="C8" i="16"/>
  <c r="C9" i="16"/>
  <c r="M75" i="14"/>
  <c r="G66" i="15"/>
  <c r="E66" i="15"/>
  <c r="D66" i="15"/>
  <c r="C66" i="15"/>
  <c r="B66" i="15"/>
  <c r="B37" i="15"/>
  <c r="B38" i="15"/>
  <c r="C37" i="15"/>
  <c r="D37" i="15"/>
  <c r="E37" i="15"/>
  <c r="C38" i="15"/>
  <c r="D38" i="15"/>
  <c r="E38" i="15"/>
  <c r="B2" i="15"/>
  <c r="B3" i="15"/>
  <c r="B4" i="15"/>
  <c r="B5" i="15"/>
  <c r="C2" i="15"/>
  <c r="D2" i="15"/>
  <c r="E2" i="15"/>
  <c r="C3" i="15"/>
  <c r="D3" i="15"/>
  <c r="E3" i="15"/>
  <c r="C4" i="15"/>
  <c r="D4" i="15"/>
  <c r="E4" i="15"/>
  <c r="C5" i="15"/>
  <c r="D5" i="15"/>
  <c r="E5" i="15"/>
  <c r="B6" i="15"/>
  <c r="C6" i="15"/>
  <c r="D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B34" i="15"/>
  <c r="C34" i="15"/>
  <c r="D34" i="15"/>
  <c r="E34" i="15"/>
  <c r="B35" i="15"/>
  <c r="C35" i="15"/>
  <c r="D35" i="15"/>
  <c r="E35" i="15"/>
  <c r="B36" i="15"/>
  <c r="C36" i="15"/>
  <c r="D36" i="15"/>
  <c r="E36" i="15"/>
  <c r="B49" i="15"/>
  <c r="C49" i="15"/>
  <c r="D49" i="15"/>
  <c r="E49" i="15"/>
  <c r="B50" i="15"/>
  <c r="C50" i="15"/>
  <c r="D50" i="15"/>
  <c r="E50" i="15"/>
  <c r="B51" i="15"/>
  <c r="C51" i="15"/>
  <c r="D51" i="15"/>
  <c r="E51" i="15"/>
  <c r="B52" i="15"/>
  <c r="C52" i="15"/>
  <c r="D52" i="15"/>
  <c r="E52" i="15"/>
  <c r="B53" i="15"/>
  <c r="C53" i="15"/>
  <c r="D53" i="15"/>
  <c r="E53" i="15"/>
  <c r="B54" i="15"/>
  <c r="C54" i="15"/>
  <c r="D54" i="15"/>
  <c r="E54" i="15"/>
  <c r="B55" i="15"/>
  <c r="C55" i="15"/>
  <c r="D55" i="15"/>
  <c r="E55" i="15"/>
  <c r="B56" i="15"/>
  <c r="C56" i="15"/>
  <c r="D56" i="15"/>
  <c r="E56" i="15"/>
  <c r="B57" i="15"/>
  <c r="C57" i="15"/>
  <c r="D57" i="15"/>
  <c r="E57" i="15"/>
  <c r="B58" i="15"/>
  <c r="C58" i="15"/>
  <c r="D58" i="15"/>
  <c r="E58" i="15"/>
  <c r="B59" i="15"/>
  <c r="C59" i="15"/>
  <c r="D59" i="15"/>
  <c r="E59" i="15"/>
  <c r="B60" i="15"/>
  <c r="C60" i="15"/>
  <c r="D60" i="15"/>
  <c r="E60" i="15"/>
  <c r="B61" i="15"/>
  <c r="C61" i="15"/>
  <c r="D61" i="15"/>
  <c r="E61" i="15"/>
  <c r="B62" i="15"/>
  <c r="C62" i="15"/>
  <c r="D62" i="15"/>
  <c r="E62" i="15"/>
  <c r="B63" i="15"/>
  <c r="C63" i="15"/>
  <c r="D63" i="15"/>
  <c r="E63" i="15"/>
  <c r="B64" i="15"/>
  <c r="C64" i="15"/>
  <c r="D64" i="15"/>
  <c r="E64" i="15"/>
  <c r="B65" i="15"/>
  <c r="C65" i="15"/>
  <c r="D65" i="15"/>
  <c r="E65" i="15"/>
  <c r="G58" i="15"/>
  <c r="B112" i="15"/>
  <c r="C112" i="15"/>
  <c r="D112" i="15"/>
  <c r="E112" i="15"/>
  <c r="B113" i="15"/>
  <c r="C113" i="15"/>
  <c r="D113" i="15"/>
  <c r="E113" i="15"/>
  <c r="B114" i="15"/>
  <c r="C114" i="15"/>
  <c r="D114" i="15"/>
  <c r="E114" i="15"/>
  <c r="B115" i="15"/>
  <c r="C115" i="15"/>
  <c r="D115" i="15"/>
  <c r="E115" i="15"/>
  <c r="B218" i="15"/>
  <c r="C218" i="15"/>
  <c r="D218" i="15"/>
  <c r="E218" i="15"/>
  <c r="B275" i="15"/>
  <c r="C275" i="15"/>
  <c r="D275" i="15"/>
  <c r="E275" i="15"/>
  <c r="B276" i="15"/>
  <c r="C276" i="15"/>
  <c r="D276" i="15"/>
  <c r="E276" i="15"/>
  <c r="B277" i="15"/>
  <c r="C277" i="15"/>
  <c r="D277" i="15"/>
  <c r="E277" i="15"/>
  <c r="B278" i="15"/>
  <c r="C278" i="15"/>
  <c r="D278" i="15"/>
  <c r="E278" i="15"/>
  <c r="B279" i="15"/>
  <c r="C279" i="15"/>
  <c r="D279" i="15"/>
  <c r="E279" i="15"/>
  <c r="B280" i="15"/>
  <c r="C280" i="15"/>
  <c r="D280" i="15"/>
  <c r="E280" i="15"/>
  <c r="B281" i="15"/>
  <c r="C281" i="15"/>
  <c r="D281" i="15"/>
  <c r="E281" i="15"/>
  <c r="B282" i="15"/>
  <c r="C282" i="15"/>
  <c r="D282" i="15"/>
  <c r="E282" i="15"/>
  <c r="B283" i="15"/>
  <c r="C283" i="15"/>
  <c r="D283" i="15"/>
  <c r="E283" i="15"/>
  <c r="B286" i="15"/>
  <c r="C286" i="15"/>
  <c r="D286" i="15"/>
  <c r="E286" i="15"/>
  <c r="B287" i="15"/>
  <c r="C287" i="15"/>
  <c r="D287" i="15"/>
  <c r="E287" i="15"/>
  <c r="B288" i="15"/>
  <c r="C288" i="15"/>
  <c r="D288" i="15"/>
  <c r="E288" i="15"/>
  <c r="B289" i="15"/>
  <c r="C289" i="15"/>
  <c r="D289" i="15"/>
  <c r="E289" i="15"/>
  <c r="B290" i="15"/>
  <c r="C290" i="15"/>
  <c r="D290" i="15"/>
  <c r="E290" i="15"/>
  <c r="B291" i="15"/>
  <c r="C291" i="15"/>
  <c r="D291" i="15"/>
  <c r="E291" i="15"/>
  <c r="B292" i="15"/>
  <c r="C292" i="15"/>
  <c r="D292" i="15"/>
  <c r="E292" i="15"/>
  <c r="B293" i="15"/>
  <c r="C293" i="15"/>
  <c r="D293" i="15"/>
  <c r="E293" i="15"/>
  <c r="M133" i="14"/>
  <c r="M203" i="14"/>
  <c r="W736" i="17"/>
  <c r="G18" i="15"/>
  <c r="W577" i="17"/>
  <c r="W576" i="17"/>
  <c r="M152" i="14"/>
  <c r="G60" i="15"/>
  <c r="G59" i="15"/>
  <c r="G57" i="15"/>
  <c r="G55" i="15"/>
  <c r="G54" i="15"/>
  <c r="G53" i="15"/>
  <c r="G52" i="15"/>
  <c r="G51" i="15"/>
  <c r="G50" i="15"/>
  <c r="G4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93" i="15"/>
  <c r="W278" i="17"/>
  <c r="W1059" i="17"/>
  <c r="W1058" i="17"/>
  <c r="W1057" i="17"/>
  <c r="W964" i="17"/>
  <c r="W735" i="17"/>
  <c r="W734" i="17"/>
  <c r="W733" i="17"/>
  <c r="W732" i="17"/>
  <c r="W731" i="17"/>
  <c r="W730" i="17"/>
  <c r="W729" i="17"/>
  <c r="W575" i="17"/>
  <c r="W574" i="17"/>
  <c r="W573" i="17"/>
  <c r="W572" i="17"/>
  <c r="W571" i="17"/>
  <c r="W570" i="17"/>
  <c r="W569" i="17"/>
  <c r="W568" i="17"/>
  <c r="W567" i="17"/>
  <c r="W566" i="17"/>
  <c r="W565" i="17"/>
  <c r="W564" i="17"/>
  <c r="W563" i="17"/>
  <c r="W562" i="17"/>
  <c r="W561" i="17"/>
  <c r="W560" i="17"/>
  <c r="W559" i="17"/>
  <c r="W558" i="17"/>
  <c r="W557" i="17"/>
  <c r="W556" i="17"/>
  <c r="W555" i="17"/>
  <c r="W554" i="17"/>
  <c r="W553" i="17"/>
  <c r="W552" i="17"/>
  <c r="W551" i="17"/>
  <c r="W550" i="17"/>
  <c r="W549" i="17"/>
  <c r="W548" i="17"/>
  <c r="W547" i="17"/>
  <c r="W546" i="17"/>
  <c r="W545" i="17"/>
  <c r="W544" i="17"/>
  <c r="W543" i="17"/>
  <c r="W542" i="17"/>
  <c r="W541" i="17"/>
  <c r="W540" i="17"/>
  <c r="W539" i="17"/>
  <c r="W538" i="17"/>
  <c r="W537" i="17"/>
  <c r="W536" i="17"/>
  <c r="W535" i="17"/>
  <c r="W534" i="17"/>
  <c r="W533" i="17"/>
  <c r="W532" i="17"/>
  <c r="W531" i="17"/>
  <c r="W530" i="17"/>
  <c r="W529" i="17"/>
  <c r="W528" i="17"/>
  <c r="W527" i="17"/>
  <c r="W526" i="17"/>
  <c r="W497" i="17"/>
  <c r="W496" i="17"/>
  <c r="W495" i="17"/>
  <c r="W494" i="17"/>
  <c r="W493" i="17"/>
  <c r="W492" i="17"/>
  <c r="W491" i="17"/>
  <c r="W490" i="17"/>
  <c r="W489" i="17"/>
  <c r="W488" i="17"/>
  <c r="W487" i="17"/>
  <c r="W486" i="17"/>
  <c r="W485" i="17"/>
  <c r="W484" i="17"/>
  <c r="W483" i="17"/>
  <c r="W482" i="17"/>
  <c r="W481" i="17"/>
  <c r="W480" i="17"/>
  <c r="W479" i="17"/>
  <c r="W478" i="17"/>
  <c r="W477" i="17"/>
  <c r="W476" i="17"/>
  <c r="W475" i="17"/>
  <c r="W474" i="17"/>
  <c r="W473" i="17"/>
  <c r="W472" i="17"/>
  <c r="W471" i="17"/>
  <c r="W470" i="17"/>
  <c r="W469" i="17"/>
  <c r="W468" i="17"/>
  <c r="W467" i="17"/>
  <c r="W466" i="17"/>
  <c r="W465" i="17"/>
  <c r="W464" i="17"/>
  <c r="W463" i="17"/>
  <c r="W462" i="17"/>
  <c r="W336" i="17"/>
  <c r="W335" i="17"/>
  <c r="W334" i="17"/>
  <c r="W333" i="17"/>
  <c r="W332" i="17"/>
  <c r="W331" i="17"/>
  <c r="W330" i="17"/>
  <c r="W329" i="17"/>
  <c r="W328" i="17"/>
  <c r="W327" i="17"/>
  <c r="W326" i="17"/>
  <c r="W325" i="17"/>
  <c r="W324" i="17"/>
  <c r="W323" i="17"/>
  <c r="W322" i="17"/>
  <c r="W321" i="17"/>
  <c r="W320" i="17"/>
  <c r="W319" i="17"/>
  <c r="W318" i="17"/>
  <c r="W317" i="17"/>
  <c r="W316" i="17"/>
  <c r="W315" i="17"/>
  <c r="W314" i="17"/>
  <c r="W313" i="17"/>
  <c r="W312" i="17"/>
  <c r="W310" i="17"/>
  <c r="W309" i="17"/>
  <c r="W308" i="17"/>
  <c r="W307" i="17"/>
  <c r="W305" i="17"/>
  <c r="W303" i="17"/>
  <c r="W302" i="17"/>
  <c r="W277" i="17"/>
  <c r="W275" i="17"/>
  <c r="W274" i="17"/>
  <c r="W273" i="17"/>
  <c r="W272" i="17"/>
  <c r="W271" i="17"/>
  <c r="W270" i="17"/>
  <c r="W269" i="17"/>
  <c r="W268" i="17"/>
  <c r="W267" i="17"/>
  <c r="W234" i="17"/>
  <c r="W260" i="17"/>
  <c r="W259" i="17"/>
  <c r="W258" i="17"/>
  <c r="W257" i="17"/>
  <c r="W254" i="17"/>
  <c r="W253" i="17"/>
  <c r="W252" i="17"/>
  <c r="W249" i="17"/>
  <c r="W248" i="17"/>
  <c r="W247" i="17"/>
  <c r="W244" i="17"/>
  <c r="W243" i="17"/>
  <c r="W242" i="17"/>
  <c r="W239" i="17"/>
  <c r="W238" i="17"/>
  <c r="W237" i="17"/>
  <c r="W222" i="17"/>
  <c r="W221" i="17"/>
  <c r="W220" i="17"/>
  <c r="W219" i="17"/>
  <c r="W218" i="17"/>
  <c r="W217" i="17"/>
  <c r="W216" i="17"/>
  <c r="W213" i="17"/>
  <c r="W212" i="17"/>
  <c r="W211" i="17"/>
  <c r="W208" i="17"/>
  <c r="W207" i="17"/>
  <c r="W206" i="17"/>
  <c r="W203" i="17"/>
  <c r="W202" i="17"/>
  <c r="W201" i="17"/>
  <c r="W198" i="17"/>
  <c r="W197" i="17"/>
  <c r="W196" i="17"/>
  <c r="W195" i="17"/>
  <c r="W194" i="17"/>
  <c r="W193" i="17"/>
  <c r="W192" i="17"/>
  <c r="W191" i="17"/>
  <c r="W190" i="17"/>
  <c r="W189" i="17"/>
  <c r="W188" i="17"/>
  <c r="W187" i="17"/>
  <c r="W186" i="17"/>
  <c r="W185" i="17"/>
  <c r="W184" i="17"/>
  <c r="W183" i="17"/>
  <c r="W182" i="17"/>
  <c r="W181" i="17"/>
  <c r="W180" i="17"/>
  <c r="W179" i="17"/>
  <c r="W178" i="17"/>
  <c r="W177" i="17"/>
  <c r="W176" i="17"/>
  <c r="W175" i="17"/>
  <c r="W174" i="17"/>
  <c r="W173" i="17"/>
  <c r="W172" i="17"/>
  <c r="W171" i="17"/>
  <c r="W170" i="17"/>
  <c r="W169" i="17"/>
  <c r="W168" i="17"/>
  <c r="W167" i="17"/>
  <c r="W166" i="17"/>
  <c r="W165" i="17"/>
  <c r="W164" i="17"/>
  <c r="W163" i="17"/>
  <c r="W162" i="17"/>
  <c r="W161" i="17"/>
  <c r="W160" i="17"/>
  <c r="W159" i="17"/>
  <c r="W158" i="17"/>
  <c r="W157" i="17"/>
  <c r="W156" i="17"/>
  <c r="W155" i="17"/>
  <c r="W154" i="17"/>
  <c r="W153" i="17"/>
  <c r="W152" i="17"/>
  <c r="W151" i="17"/>
  <c r="W150" i="17"/>
  <c r="W149" i="17"/>
  <c r="W148" i="17"/>
  <c r="W147" i="17"/>
  <c r="W146" i="17"/>
  <c r="W145" i="17"/>
  <c r="W144" i="17"/>
  <c r="W143" i="17"/>
  <c r="W142" i="17"/>
  <c r="W141" i="17"/>
  <c r="W140" i="17"/>
  <c r="W139" i="17"/>
  <c r="W138" i="17"/>
  <c r="W137" i="17"/>
  <c r="W136" i="17"/>
  <c r="W135" i="17"/>
  <c r="W134" i="17"/>
  <c r="W133" i="17"/>
  <c r="W132" i="17"/>
  <c r="W131" i="17"/>
  <c r="W130" i="17"/>
  <c r="W129" i="17"/>
  <c r="W128" i="17"/>
  <c r="W127" i="17"/>
  <c r="W126" i="17"/>
  <c r="W125" i="17"/>
  <c r="W124" i="17"/>
  <c r="W123" i="17"/>
  <c r="W122" i="17"/>
  <c r="W121" i="17"/>
  <c r="W120" i="17"/>
  <c r="W119" i="17"/>
  <c r="W118" i="17"/>
  <c r="W117" i="17"/>
  <c r="W116" i="17"/>
  <c r="W115" i="17"/>
  <c r="W114" i="17"/>
  <c r="W113" i="17"/>
  <c r="W112" i="17"/>
  <c r="W111" i="17"/>
  <c r="W110" i="17"/>
  <c r="W109" i="17"/>
  <c r="W108" i="17"/>
  <c r="W107" i="17"/>
  <c r="W106" i="17"/>
  <c r="W105" i="17"/>
  <c r="W104" i="17"/>
  <c r="W103" i="17"/>
  <c r="W102" i="17"/>
  <c r="W101" i="17"/>
  <c r="W100" i="17"/>
  <c r="W99" i="17"/>
  <c r="W98" i="17"/>
  <c r="W97" i="17"/>
  <c r="W96" i="17"/>
  <c r="W95" i="17"/>
  <c r="W94" i="17"/>
  <c r="W93" i="17"/>
  <c r="W92" i="17"/>
  <c r="W91" i="17"/>
  <c r="W90" i="17"/>
  <c r="W89" i="17"/>
  <c r="W88" i="17"/>
  <c r="W87" i="17"/>
  <c r="W86" i="17"/>
  <c r="W85" i="17"/>
  <c r="W84" i="17"/>
  <c r="W83" i="17"/>
  <c r="W82" i="17"/>
  <c r="W81" i="17"/>
  <c r="W80" i="17"/>
  <c r="W79" i="17"/>
  <c r="W78" i="17"/>
  <c r="W77" i="17"/>
  <c r="W76" i="17"/>
  <c r="W75" i="17"/>
  <c r="W74" i="17"/>
  <c r="W73" i="17"/>
  <c r="W72" i="17"/>
  <c r="W71" i="17"/>
  <c r="W70" i="17"/>
  <c r="W69" i="17"/>
  <c r="W68" i="17"/>
  <c r="W67" i="17"/>
  <c r="W66" i="17"/>
  <c r="W65" i="17"/>
  <c r="W64" i="17"/>
  <c r="W63" i="17"/>
  <c r="W62" i="17"/>
  <c r="W61" i="17"/>
  <c r="W60" i="17"/>
  <c r="W59" i="17"/>
  <c r="W58" i="17"/>
  <c r="W57" i="17"/>
  <c r="W56" i="17"/>
  <c r="W55" i="17"/>
  <c r="W54" i="17"/>
  <c r="W53" i="17"/>
  <c r="W52" i="17"/>
  <c r="W51" i="17"/>
  <c r="W50" i="17"/>
  <c r="W49" i="17"/>
  <c r="W48" i="17"/>
  <c r="W47" i="17"/>
  <c r="W46" i="17"/>
  <c r="W45" i="17"/>
  <c r="W44" i="17"/>
  <c r="W43" i="17"/>
  <c r="W42" i="17"/>
  <c r="W41" i="17"/>
  <c r="W40" i="17"/>
  <c r="W39" i="17"/>
  <c r="W38" i="17"/>
  <c r="W37" i="17"/>
  <c r="W36" i="17"/>
  <c r="W35" i="17"/>
  <c r="W34" i="17"/>
  <c r="W33" i="17"/>
  <c r="W32" i="17"/>
  <c r="W31" i="17"/>
  <c r="W30" i="17"/>
  <c r="W29" i="17"/>
  <c r="W28" i="17"/>
  <c r="W27" i="17"/>
  <c r="W26" i="17"/>
  <c r="W25" i="17"/>
  <c r="W24" i="17"/>
  <c r="W23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W7" i="17"/>
  <c r="W6" i="17"/>
  <c r="W5" i="17"/>
  <c r="W4" i="17"/>
  <c r="W3" i="17"/>
  <c r="W276" i="17"/>
  <c r="M74" i="14"/>
  <c r="G218" i="15"/>
  <c r="M202" i="14"/>
  <c r="M151" i="14"/>
  <c r="M92" i="14"/>
  <c r="M67" i="14"/>
  <c r="M68" i="14"/>
  <c r="M69" i="14"/>
  <c r="M71" i="14"/>
  <c r="M72" i="14"/>
  <c r="M73" i="14"/>
  <c r="M90" i="14"/>
  <c r="M91" i="14"/>
  <c r="M70" i="14"/>
  <c r="M94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98" i="14"/>
  <c r="M199" i="14"/>
  <c r="M200" i="14"/>
  <c r="M201" i="14"/>
  <c r="M314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7" i="14"/>
  <c r="M58" i="14"/>
  <c r="M59" i="14"/>
  <c r="M60" i="14"/>
  <c r="M61" i="14"/>
  <c r="M62" i="14"/>
  <c r="M63" i="14"/>
  <c r="M64" i="14"/>
  <c r="M2" i="14"/>
  <c r="E3" i="43"/>
  <c r="E4" i="43"/>
  <c r="E2" i="43"/>
  <c r="G65" i="15"/>
  <c r="G64" i="15"/>
  <c r="C7" i="16"/>
  <c r="C6" i="16"/>
  <c r="G62" i="15"/>
  <c r="G292" i="15"/>
  <c r="G283" i="15"/>
  <c r="C5" i="16"/>
  <c r="C4" i="16"/>
  <c r="G291" i="15"/>
  <c r="G289" i="15"/>
  <c r="G3" i="15"/>
  <c r="G4" i="15"/>
  <c r="G5" i="15"/>
  <c r="G6" i="15"/>
  <c r="G7" i="15"/>
  <c r="G8" i="15"/>
  <c r="G9" i="15"/>
  <c r="G10" i="15"/>
  <c r="G11" i="15"/>
  <c r="G12" i="15"/>
  <c r="G13" i="15"/>
  <c r="G2" i="15"/>
  <c r="G17" i="15"/>
  <c r="G115" i="15"/>
  <c r="G286" i="15"/>
  <c r="E8" i="43"/>
  <c r="E10" i="43"/>
  <c r="E11" i="43"/>
  <c r="E12" i="43"/>
  <c r="E7" i="43"/>
  <c r="E6" i="43"/>
  <c r="E5" i="43"/>
  <c r="G288" i="15"/>
  <c r="G287" i="15"/>
  <c r="G275" i="15"/>
  <c r="C6" i="22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97" i="19"/>
  <c r="F97" i="19"/>
  <c r="G96" i="19"/>
  <c r="F96" i="19"/>
  <c r="G95" i="19"/>
  <c r="F95" i="19"/>
  <c r="G94" i="19"/>
  <c r="F94" i="19"/>
  <c r="G93" i="19"/>
  <c r="F93" i="19"/>
  <c r="G92" i="19"/>
  <c r="F92" i="19"/>
  <c r="G91" i="19"/>
  <c r="F91" i="19"/>
  <c r="G90" i="19"/>
  <c r="F90" i="19"/>
  <c r="G89" i="19"/>
  <c r="F89" i="19"/>
  <c r="G88" i="19"/>
  <c r="F88" i="19"/>
  <c r="G87" i="19"/>
  <c r="F87" i="19"/>
  <c r="G86" i="19"/>
  <c r="F86" i="19"/>
  <c r="G85" i="19"/>
  <c r="F85" i="19"/>
  <c r="G84" i="19"/>
  <c r="F84" i="19"/>
  <c r="G83" i="19"/>
  <c r="F83" i="19"/>
  <c r="G82" i="19"/>
  <c r="F82" i="19"/>
  <c r="G81" i="19"/>
  <c r="F81" i="19"/>
  <c r="G80" i="19"/>
  <c r="F80" i="19"/>
  <c r="G79" i="19"/>
  <c r="F79" i="19"/>
  <c r="G78" i="19"/>
  <c r="F78" i="19"/>
  <c r="G77" i="19"/>
  <c r="F77" i="19"/>
  <c r="G76" i="19"/>
  <c r="F76" i="19"/>
  <c r="G75" i="19"/>
  <c r="F75" i="19"/>
  <c r="G74" i="19"/>
  <c r="F74" i="19"/>
  <c r="G73" i="19"/>
  <c r="F73" i="19"/>
  <c r="G72" i="19"/>
  <c r="F72" i="19"/>
  <c r="G71" i="19"/>
  <c r="F71" i="19"/>
  <c r="G70" i="19"/>
  <c r="F70" i="19"/>
  <c r="G69" i="19"/>
  <c r="F69" i="19"/>
  <c r="G68" i="19"/>
  <c r="F68" i="19"/>
  <c r="G67" i="19"/>
  <c r="F67" i="19"/>
  <c r="G66" i="19"/>
  <c r="F66" i="19"/>
  <c r="G65" i="19"/>
  <c r="F65" i="19"/>
  <c r="G64" i="19"/>
  <c r="F64" i="19"/>
  <c r="G63" i="19"/>
  <c r="F63" i="19"/>
  <c r="G62" i="19"/>
  <c r="F62" i="19"/>
  <c r="G61" i="19"/>
  <c r="F61" i="19"/>
  <c r="G60" i="19"/>
  <c r="F60" i="19"/>
  <c r="G59" i="19"/>
  <c r="F59" i="19"/>
  <c r="G58" i="19"/>
  <c r="F58" i="19"/>
  <c r="G57" i="19"/>
  <c r="F57" i="19"/>
  <c r="G56" i="19"/>
  <c r="F56" i="19"/>
  <c r="G55" i="19"/>
  <c r="F55" i="19"/>
  <c r="G54" i="19"/>
  <c r="F54" i="19"/>
  <c r="G53" i="19"/>
  <c r="F53" i="19"/>
  <c r="G52" i="19"/>
  <c r="F52" i="19"/>
  <c r="G51" i="19"/>
  <c r="F51" i="19"/>
  <c r="G50" i="19"/>
  <c r="F50" i="19"/>
  <c r="G49" i="19"/>
  <c r="F49" i="19"/>
  <c r="G48" i="19"/>
  <c r="F48" i="19"/>
  <c r="G47" i="19"/>
  <c r="F47" i="19"/>
  <c r="G46" i="19"/>
  <c r="F46" i="19"/>
  <c r="G45" i="19"/>
  <c r="F45" i="19"/>
  <c r="G44" i="19"/>
  <c r="F44" i="19"/>
  <c r="G43" i="19"/>
  <c r="F43" i="19"/>
  <c r="G42" i="19"/>
  <c r="F42" i="19"/>
  <c r="G41" i="19"/>
  <c r="F41" i="19"/>
  <c r="G40" i="19"/>
  <c r="F40" i="19"/>
  <c r="G39" i="19"/>
  <c r="F39" i="19"/>
  <c r="G38" i="19"/>
  <c r="F38" i="19"/>
  <c r="G37" i="19"/>
  <c r="F37" i="19"/>
  <c r="G36" i="19"/>
  <c r="F36" i="19"/>
  <c r="G35" i="19"/>
  <c r="F35" i="19"/>
  <c r="G34" i="19"/>
  <c r="F34" i="19"/>
  <c r="G33" i="19"/>
  <c r="F33" i="19"/>
  <c r="G32" i="19"/>
  <c r="F32" i="19"/>
  <c r="G31" i="19"/>
  <c r="F31" i="19"/>
  <c r="G30" i="19"/>
  <c r="F30" i="19"/>
  <c r="G29" i="19"/>
  <c r="F29" i="19"/>
  <c r="G28" i="19"/>
  <c r="F28" i="19"/>
  <c r="G27" i="19"/>
  <c r="F27" i="19"/>
  <c r="G26" i="19"/>
  <c r="F26" i="19"/>
  <c r="G25" i="19"/>
  <c r="F25" i="19"/>
  <c r="G24" i="19"/>
  <c r="F24" i="19"/>
  <c r="G23" i="19"/>
  <c r="F23" i="19"/>
  <c r="G22" i="19"/>
  <c r="F22" i="19"/>
  <c r="G21" i="19"/>
  <c r="F21" i="19"/>
  <c r="G20" i="19"/>
  <c r="F20" i="19"/>
  <c r="G19" i="19"/>
  <c r="F19" i="19"/>
  <c r="G18" i="19"/>
  <c r="F18" i="19"/>
  <c r="G17" i="19"/>
  <c r="F17" i="19"/>
  <c r="G16" i="19"/>
  <c r="F16" i="19"/>
  <c r="G15" i="19"/>
  <c r="F15" i="19"/>
  <c r="G14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G3" i="19"/>
  <c r="F3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1" i="19"/>
  <c r="I40" i="19"/>
  <c r="I39" i="19"/>
  <c r="I38" i="19"/>
  <c r="I23" i="19"/>
  <c r="I22" i="19"/>
  <c r="I21" i="19"/>
  <c r="I20" i="19"/>
  <c r="I5" i="19"/>
  <c r="I4" i="19"/>
  <c r="I3" i="19"/>
  <c r="I2" i="19"/>
  <c r="G2" i="19"/>
  <c r="F2" i="19"/>
  <c r="I43" i="19"/>
  <c r="I42" i="19"/>
  <c r="I37" i="19"/>
  <c r="I36" i="19"/>
  <c r="I35" i="19"/>
  <c r="I34" i="19"/>
  <c r="I33" i="19"/>
  <c r="I32" i="19"/>
  <c r="I31" i="19"/>
  <c r="I30" i="19"/>
  <c r="I29" i="19"/>
  <c r="I28" i="19"/>
  <c r="I27" i="19"/>
  <c r="I19" i="19"/>
  <c r="I18" i="19"/>
  <c r="I16" i="19"/>
  <c r="I15" i="19"/>
  <c r="I13" i="19"/>
  <c r="I12" i="19"/>
  <c r="I10" i="19"/>
  <c r="I9" i="19"/>
  <c r="I25" i="19"/>
  <c r="I24" i="19"/>
  <c r="I7" i="19"/>
  <c r="C3" i="16"/>
  <c r="C2" i="16"/>
  <c r="O7" i="22"/>
  <c r="O6" i="22"/>
  <c r="O5" i="22"/>
  <c r="O4" i="22"/>
  <c r="O3" i="22"/>
  <c r="O2" i="22"/>
  <c r="B7" i="22"/>
  <c r="B6" i="22"/>
  <c r="B5" i="22"/>
  <c r="B4" i="22"/>
  <c r="B3" i="22"/>
  <c r="B2" i="22"/>
  <c r="I6" i="19"/>
  <c r="I26" i="19"/>
  <c r="I17" i="19"/>
  <c r="I14" i="19"/>
  <c r="I11" i="19"/>
  <c r="I8" i="19"/>
</calcChain>
</file>

<file path=xl/comments1.xml><?xml version="1.0" encoding="utf-8"?>
<comments xmlns="http://schemas.openxmlformats.org/spreadsheetml/2006/main">
  <authors>
    <author>鷲見 政明</author>
    <author>吉澤 曜祐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'tutorial','normal','event','guerilla','weekly'</t>
        </r>
      </text>
    </comment>
    <comment ref="D69" authorId="1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開催するキャンペーンごとに書き換えるのを忘れずに！</t>
        </r>
      </text>
    </comment>
  </commentList>
</comments>
</file>

<file path=xl/comments2.xml><?xml version="1.0" encoding="utf-8"?>
<comments xmlns="http://schemas.openxmlformats.org/spreadsheetml/2006/main">
  <authors>
    <author>鷲見 政明</author>
    <author>Microsoft Office ユーザー</author>
    <author>吉澤 曜祐</author>
  </authors>
  <commentList>
    <comment ref="J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リストのセルに表示するサムネイルのキャラクタID</t>
        </r>
      </text>
    </comment>
    <comment ref="S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'character','polygon','bit','link'</t>
        </r>
      </text>
    </comment>
    <comment ref="U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開放条件となる一つ前のクエストID</t>
        </r>
      </text>
    </comment>
    <comment ref="V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開放条件となる一つ前のステージID</t>
        </r>
      </text>
    </comment>
    <comment ref="AB2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クリア可能回数
'anytime','once'</t>
        </r>
      </text>
    </comment>
    <comment ref="F200" authorId="1">
      <text>
        <r>
          <rPr>
            <sz val="11"/>
            <color indexed="81"/>
            <rFont val="ＭＳ Ｐゴシック"/>
            <family val="3"/>
            <charset val="128"/>
          </rPr>
          <t xml:space="preserve">●20160420
・編集者：LBユウガ
stage_idは余裕を持って取得しました。
（WPN加藤雅さん指示）
クエスト追加の際には、5〜9を優先的に使ってください
</t>
        </r>
      </text>
    </comment>
    <comment ref="F205" authorId="1">
      <text>
        <r>
          <rPr>
            <sz val="11"/>
            <color indexed="81"/>
            <rFont val="ＭＳ Ｐゴシック"/>
            <family val="3"/>
            <charset val="128"/>
          </rPr>
          <t xml:space="preserve">●20160420
・編集者：LBユウガ
stage_idは余裕を持って取得しました。
（WPN加藤雅さん指示）
クエスト追加の際には、5〜9を優先的に使ってください
</t>
        </r>
      </text>
    </comment>
    <comment ref="F210" authorId="1">
      <text>
        <r>
          <rPr>
            <sz val="11"/>
            <color indexed="81"/>
            <rFont val="ＭＳ Ｐゴシック"/>
            <family val="3"/>
            <charset val="128"/>
          </rPr>
          <t xml:space="preserve">●20160420
・編集者：LBユウガ
stage_idは余裕を持って取得しました。
（WPN加藤雅さん指示）
クエスト追加の際には、5〜9を優先的に使ってください
</t>
        </r>
      </text>
    </comment>
    <comment ref="F215" authorId="1">
      <text>
        <r>
          <rPr>
            <b/>
            <sz val="11"/>
            <color indexed="81"/>
            <rFont val="ＭＳ Ｐゴシック"/>
            <family val="3"/>
            <charset val="128"/>
          </rPr>
          <t>●20160420
・編集者：LBユウガ
stage_idは余裕を持って取得しました。
（WPN加藤雅さん指示）
クエスト追加の際には、5〜9を優先的に使ってください</t>
        </r>
        <r>
          <rPr>
            <sz val="11"/>
            <color indexed="81"/>
            <rFont val="ＭＳ Ｐゴシック"/>
            <family val="3"/>
            <charset val="128"/>
          </rPr>
          <t xml:space="preserve">
</t>
        </r>
      </text>
    </comment>
    <comment ref="F241" authorId="1">
      <text>
        <r>
          <rPr>
            <b/>
            <sz val="11"/>
            <color indexed="81"/>
            <rFont val="ＭＳ Ｐゴシック"/>
            <family val="3"/>
            <charset val="128"/>
          </rPr>
          <t>●20160420
・編集者：LBユウガ
stage_idは余裕を持って取得しました。
（WPN加藤雅さん指示）
クエスト追加の際には、5〜9を優先的に使ってください</t>
        </r>
        <r>
          <rPr>
            <sz val="11"/>
            <color indexed="81"/>
            <rFont val="ＭＳ Ｐゴシック"/>
            <family val="3"/>
            <charset val="128"/>
          </rPr>
          <t xml:space="preserve">
</t>
        </r>
      </text>
    </comment>
    <comment ref="F246" authorId="1">
      <text>
        <r>
          <rPr>
            <sz val="11"/>
            <color indexed="81"/>
            <rFont val="ＭＳ Ｐゴシック"/>
            <family val="3"/>
            <charset val="128"/>
          </rPr>
          <t xml:space="preserve">●20160420
・編集者：LBユウガ
stage_idは余裕を持って取得しました。
（WPN加藤雅さん指示）
クエスト追加の際には、5〜9を優先的に使ってください
</t>
        </r>
      </text>
    </comment>
    <comment ref="F251" authorId="1">
      <text>
        <r>
          <rPr>
            <b/>
            <sz val="11"/>
            <color indexed="81"/>
            <rFont val="ＭＳ Ｐゴシック"/>
            <family val="3"/>
            <charset val="128"/>
          </rPr>
          <t>●20160420
・編集者：LBユウガ
stage_idは余裕を持って取得しました。
（WPN加藤雅さん指示）
クエスト追加の際には、5〜9を優先的に使ってください</t>
        </r>
        <r>
          <rPr>
            <sz val="11"/>
            <color indexed="81"/>
            <rFont val="ＭＳ Ｐゴシック"/>
            <family val="3"/>
            <charset val="128"/>
          </rPr>
          <t xml:space="preserve">
</t>
        </r>
      </text>
    </comment>
    <comment ref="F256" authorId="1">
      <text>
        <r>
          <rPr>
            <b/>
            <sz val="11"/>
            <color indexed="81"/>
            <rFont val="ＭＳ Ｐゴシック"/>
            <family val="3"/>
            <charset val="128"/>
          </rPr>
          <t>●20160420
・編集者：LBユウガ
stage_idは余裕を持って取得しました。
（WPN加藤雅さん指示）
クエスト追加の際には、5〜9を優先的に使ってください</t>
        </r>
        <r>
          <rPr>
            <sz val="11"/>
            <color indexed="81"/>
            <rFont val="ＭＳ Ｐゴシック"/>
            <family val="3"/>
            <charset val="128"/>
          </rPr>
          <t xml:space="preserve">
</t>
        </r>
      </text>
    </comment>
    <comment ref="H282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300万以降は「ミリオンダックより愛をこめて」と表記したい。
バナーも合わせること。</t>
        </r>
      </text>
    </comment>
    <comment ref="H286" authorId="2">
      <text>
        <r>
          <rPr>
            <b/>
            <sz val="10"/>
            <color indexed="81"/>
            <rFont val="ＭＳ Ｐゴシック"/>
            <family val="3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300万以降は「ミリオンダックより愛をこめて」と表記したい。
バナーも合わせること。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C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イベント右のアイコンファイル名</t>
        </r>
      </text>
    </commen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ステージの表示順
'asc' or 'desc'</t>
        </r>
      </text>
    </commen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表示する優先度(値が大きいほど上に表示)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E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‘everyone’,’multionly’,’singleonly’</t>
        </r>
      </text>
    </comment>
    <comment ref="F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表示する優先度(値が大きいほど上に表示)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E1" authorId="0">
      <text>
        <r>
          <rPr>
            <b/>
            <sz val="10"/>
            <color indexed="81"/>
            <rFont val="ＭＳ Ｐゴシック"/>
            <family val="3"/>
            <charset val="128"/>
          </rPr>
          <t>不要につき削除対象</t>
        </r>
      </text>
    </commen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イベント右のアイコンファイル名</t>
        </r>
      </text>
    </comment>
    <comment ref="I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表示する優先度(値が大きいほど上に表示)</t>
        </r>
      </text>
    </comment>
  </commentList>
</comments>
</file>

<file path=xl/comments6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quest_bannerの表示ランク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おまじない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D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'sun','mon','tue','wed','thu','fri','sat'</t>
        </r>
      </text>
    </comment>
    <comment ref="H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'experience','bit','drop','stamina','link'</t>
        </r>
      </text>
    </comment>
  </commentList>
</comments>
</file>

<file path=xl/sharedStrings.xml><?xml version="1.0" encoding="utf-8"?>
<sst xmlns="http://schemas.openxmlformats.org/spreadsheetml/2006/main" count="16418" uniqueCount="2429">
  <si>
    <t>AM</t>
  </si>
  <si>
    <t>PM</t>
  </si>
  <si>
    <t>end_date</t>
  </si>
  <si>
    <t>valid_flg</t>
  </si>
  <si>
    <t>stamina</t>
  </si>
  <si>
    <t>rank_exp</t>
  </si>
  <si>
    <t>red_flg</t>
  </si>
  <si>
    <t>blue_flg</t>
  </si>
  <si>
    <t>green_flg</t>
  </si>
  <si>
    <t>heal_flg</t>
  </si>
  <si>
    <t>treasure_type</t>
  </si>
  <si>
    <t>treasure_value</t>
  </si>
  <si>
    <t>visibility</t>
  </si>
  <si>
    <t>start_time</t>
  </si>
  <si>
    <t>end_time</t>
  </si>
  <si>
    <t>benefit_type</t>
  </si>
  <si>
    <t>benefit_value</t>
  </si>
  <si>
    <t>午前 or 午後</t>
  </si>
  <si>
    <t>drop</t>
  </si>
  <si>
    <t>意味</t>
  </si>
  <si>
    <t>なし</t>
  </si>
  <si>
    <t>quest_id</t>
  </si>
  <si>
    <t>event_target</t>
  </si>
  <si>
    <t>image_filename</t>
  </si>
  <si>
    <t>sun</t>
  </si>
  <si>
    <t>mon</t>
  </si>
  <si>
    <t>tue</t>
  </si>
  <si>
    <t>wed</t>
  </si>
  <si>
    <t>thu</t>
  </si>
  <si>
    <t>fri</t>
  </si>
  <si>
    <t>sat</t>
  </si>
  <si>
    <t>stage_sort</t>
  </si>
  <si>
    <t>priority</t>
  </si>
  <si>
    <t>stage_id</t>
  </si>
  <si>
    <t>thumbnail_character_id</t>
  </si>
  <si>
    <t>yellow_flg</t>
  </si>
  <si>
    <t>attack_count</t>
  </si>
  <si>
    <t>クエスト名</t>
    <rPh sb="4" eb="5">
      <t>メイ</t>
    </rPh>
    <phoneticPr fontId="44"/>
  </si>
  <si>
    <t>bonus_type</t>
  </si>
  <si>
    <t>mon</t>
    <phoneticPr fontId="44"/>
  </si>
  <si>
    <t>wed</t>
    <phoneticPr fontId="44"/>
  </si>
  <si>
    <t>quest_id</t>
    <phoneticPr fontId="44"/>
  </si>
  <si>
    <t>bonus_type</t>
    <phoneticPr fontId="44"/>
  </si>
  <si>
    <t>experience</t>
    <phoneticPr fontId="44"/>
  </si>
  <si>
    <t>bit</t>
    <phoneticPr fontId="44"/>
  </si>
  <si>
    <t>stamina</t>
    <phoneticPr fontId="44"/>
  </si>
  <si>
    <t>備考</t>
    <rPh sb="0" eb="2">
      <t>ビコウ</t>
    </rPh>
    <phoneticPr fontId="44"/>
  </si>
  <si>
    <t>赤属性進化素材</t>
    <rPh sb="0" eb="1">
      <t>アカ</t>
    </rPh>
    <rPh sb="1" eb="3">
      <t>ゾクセイ</t>
    </rPh>
    <rPh sb="3" eb="7">
      <t>シンカソザイ</t>
    </rPh>
    <phoneticPr fontId="44"/>
  </si>
  <si>
    <t>青属性進化素材</t>
    <rPh sb="0" eb="1">
      <t>アオ</t>
    </rPh>
    <rPh sb="1" eb="3">
      <t>ゾクセイ</t>
    </rPh>
    <rPh sb="3" eb="7">
      <t>シンカソザイ</t>
    </rPh>
    <phoneticPr fontId="44"/>
  </si>
  <si>
    <t>緑属性進化素材</t>
    <rPh sb="0" eb="1">
      <t>ミドリ</t>
    </rPh>
    <rPh sb="1" eb="3">
      <t>ゾクセイ</t>
    </rPh>
    <rPh sb="3" eb="7">
      <t>シンカソザイ</t>
    </rPh>
    <phoneticPr fontId="44"/>
  </si>
  <si>
    <t>R5進化素材</t>
    <phoneticPr fontId="44"/>
  </si>
  <si>
    <t>黄属性進化素材</t>
    <rPh sb="0" eb="1">
      <t>キイロ</t>
    </rPh>
    <rPh sb="1" eb="3">
      <t>ゾクセイ</t>
    </rPh>
    <rPh sb="3" eb="7">
      <t>シンカソザイ</t>
    </rPh>
    <phoneticPr fontId="44"/>
  </si>
  <si>
    <t>ビット取得</t>
    <rPh sb="3" eb="5">
      <t>シュトク</t>
    </rPh>
    <phoneticPr fontId="44"/>
  </si>
  <si>
    <t>desc</t>
    <phoneticPr fontId="44"/>
  </si>
  <si>
    <t>ゲリラクエスト</t>
    <phoneticPr fontId="44"/>
  </si>
  <si>
    <t>guerilla</t>
  </si>
  <si>
    <t>anytime</t>
    <phoneticPr fontId="44"/>
  </si>
  <si>
    <t>completable_time</t>
    <phoneticPr fontId="44"/>
  </si>
  <si>
    <t>初級</t>
    <rPh sb="0" eb="2">
      <t>ショキュウ</t>
    </rPh>
    <phoneticPr fontId="44"/>
  </si>
  <si>
    <t>中級</t>
    <rPh sb="0" eb="2">
      <t>チュウキュウ</t>
    </rPh>
    <phoneticPr fontId="44"/>
  </si>
  <si>
    <t>上級</t>
    <rPh sb="0" eb="2">
      <t>ジョウキュウ</t>
    </rPh>
    <phoneticPr fontId="44"/>
  </si>
  <si>
    <t>地獄級</t>
    <rPh sb="0" eb="3">
      <t>ジゴクキュウ</t>
    </rPh>
    <phoneticPr fontId="44"/>
  </si>
  <si>
    <t>once</t>
    <phoneticPr fontId="44"/>
  </si>
  <si>
    <t>経験値ゲリラ</t>
    <rPh sb="0" eb="3">
      <t>ケイケンチ</t>
    </rPh>
    <phoneticPr fontId="44"/>
  </si>
  <si>
    <t>クリア目標となるクエスト（シングルプレイのみ）</t>
    <rPh sb="3" eb="5">
      <t>モクヒョウ</t>
    </rPh>
    <phoneticPr fontId="44"/>
  </si>
  <si>
    <t>desc</t>
    <phoneticPr fontId="44"/>
  </si>
  <si>
    <t>detail</t>
    <phoneticPr fontId="44"/>
  </si>
  <si>
    <t>赤R5</t>
    <rPh sb="0" eb="1">
      <t>アカ</t>
    </rPh>
    <phoneticPr fontId="44"/>
  </si>
  <si>
    <t>緑R5</t>
    <rPh sb="0" eb="1">
      <t>ミドリ</t>
    </rPh>
    <phoneticPr fontId="44"/>
  </si>
  <si>
    <t>青R5</t>
    <rPh sb="0" eb="1">
      <t>アオ</t>
    </rPh>
    <phoneticPr fontId="44"/>
  </si>
  <si>
    <t>黄R5</t>
    <rPh sb="0" eb="1">
      <t>キイロ</t>
    </rPh>
    <phoneticPr fontId="44"/>
  </si>
  <si>
    <t>混色DL0</t>
  </si>
  <si>
    <t>anytime</t>
  </si>
  <si>
    <t>ボーナスステージ</t>
  </si>
  <si>
    <t>once</t>
  </si>
  <si>
    <t>ランク開放クエスト Lv15</t>
  </si>
  <si>
    <t>ランク開放クエスト Lv20</t>
  </si>
  <si>
    <t>ランク開放クエスト Lv90</t>
  </si>
  <si>
    <t>ランク開放クエスト Lv100</t>
  </si>
  <si>
    <t>none</t>
  </si>
  <si>
    <t>normal</t>
  </si>
  <si>
    <t>event</t>
  </si>
  <si>
    <t>weekly</t>
  </si>
  <si>
    <t>赤DL1</t>
  </si>
  <si>
    <t>緑DL1</t>
  </si>
  <si>
    <t>黄DL1</t>
  </si>
  <si>
    <t>青DL1</t>
  </si>
  <si>
    <t>混色DL1</t>
  </si>
  <si>
    <t>緑DL2</t>
  </si>
  <si>
    <t>黄DL2</t>
  </si>
  <si>
    <t>青DL2</t>
  </si>
  <si>
    <t>赤DL2</t>
  </si>
  <si>
    <t>混色DL2</t>
  </si>
  <si>
    <t>黄DL3</t>
  </si>
  <si>
    <t>青DL3</t>
  </si>
  <si>
    <t>赤DL3</t>
  </si>
  <si>
    <t>緑DL3</t>
  </si>
  <si>
    <t>混色DL3</t>
  </si>
  <si>
    <t>青DL4</t>
  </si>
  <si>
    <t>赤DL4</t>
  </si>
  <si>
    <t>緑DL4</t>
  </si>
  <si>
    <t>黄DL4</t>
  </si>
  <si>
    <t>混色DL4</t>
  </si>
  <si>
    <t>赤DL5</t>
  </si>
  <si>
    <t>緑DL5</t>
  </si>
  <si>
    <t>黄DL5</t>
  </si>
  <si>
    <t>青DL5</t>
  </si>
  <si>
    <t>混色DL5</t>
  </si>
  <si>
    <t>緑DL6</t>
  </si>
  <si>
    <t>黄DL6</t>
  </si>
  <si>
    <t>青DL6</t>
  </si>
  <si>
    <t>赤DL6</t>
  </si>
  <si>
    <t>混色DL6</t>
  </si>
  <si>
    <t>月曜クエスト</t>
  </si>
  <si>
    <t>曜日クエスト</t>
  </si>
  <si>
    <t>火曜クエスト</t>
  </si>
  <si>
    <t>水曜クエスト</t>
  </si>
  <si>
    <t>木曜クエスト</t>
  </si>
  <si>
    <t>金曜クエスト</t>
  </si>
  <si>
    <t>土日クエスト</t>
  </si>
  <si>
    <t>ゲリラクエスト</t>
  </si>
  <si>
    <t>prev_quest_id</t>
  </si>
  <si>
    <t>prev_stage_id</t>
  </si>
  <si>
    <t>background</t>
  </si>
  <si>
    <t>completable_time</t>
  </si>
  <si>
    <t>language</t>
  </si>
  <si>
    <t>name</t>
  </si>
  <si>
    <t>DL6緑ステージ1</t>
  </si>
  <si>
    <t>DL6緑ステージ2</t>
  </si>
  <si>
    <t>DL6緑ステージ3</t>
  </si>
  <si>
    <t>DL6緑ステージ4</t>
  </si>
  <si>
    <t>DL6緑ステージ5</t>
  </si>
  <si>
    <t>DL6黄ステージ1</t>
  </si>
  <si>
    <t>DL6黄ステージ2</t>
  </si>
  <si>
    <t>DL6黄ステージ3</t>
  </si>
  <si>
    <t>DL6黄ステージ4</t>
  </si>
  <si>
    <t>DL6黄ステージ5</t>
  </si>
  <si>
    <t>DL6青ステージ1</t>
  </si>
  <si>
    <t>DL6青ステージ2</t>
  </si>
  <si>
    <t>DL6青ステージ3</t>
  </si>
  <si>
    <t>DL6青ステージ4</t>
  </si>
  <si>
    <t>DL6青ステージ5</t>
  </si>
  <si>
    <t>DL6赤ステージ1</t>
  </si>
  <si>
    <t>DL6赤ステージ2</t>
  </si>
  <si>
    <t>DL6赤ステージ3</t>
  </si>
  <si>
    <t>DL6赤ステージ4</t>
  </si>
  <si>
    <t>DL6赤ステージ5</t>
  </si>
  <si>
    <t>DL6混色ステージ1</t>
  </si>
  <si>
    <t>DL6混色ステージ2</t>
  </si>
  <si>
    <t>DL6混色ステージ3</t>
  </si>
  <si>
    <t>DL6混色ステージ4</t>
  </si>
  <si>
    <t>DL6混色ステージ5</t>
  </si>
  <si>
    <t>rank</t>
  </si>
  <si>
    <t>guerilla_type</t>
    <phoneticPr fontId="44"/>
  </si>
  <si>
    <t>start_time</t>
    <phoneticPr fontId="44"/>
  </si>
  <si>
    <t>end_time</t>
    <phoneticPr fontId="44"/>
  </si>
  <si>
    <t>guerilla_id</t>
    <phoneticPr fontId="44"/>
  </si>
  <si>
    <t>quest_id</t>
    <phoneticPr fontId="44"/>
  </si>
  <si>
    <t>appearance_time</t>
    <phoneticPr fontId="44"/>
  </si>
  <si>
    <t>night</t>
    <phoneticPr fontId="44"/>
  </si>
  <si>
    <t>noon</t>
    <phoneticPr fontId="44"/>
  </si>
  <si>
    <t>ローンチ1ヶ月目から追加</t>
    <rPh sb="5" eb="7">
      <t>カゲツ</t>
    </rPh>
    <rPh sb="7" eb="8">
      <t>メ</t>
    </rPh>
    <rPh sb="10" eb="12">
      <t>ツイカ</t>
    </rPh>
    <phoneticPr fontId="44"/>
  </si>
  <si>
    <t>ローンチ2ヶ月目から追加</t>
    <rPh sb="5" eb="7">
      <t>カゲツ</t>
    </rPh>
    <rPh sb="7" eb="8">
      <t>メ</t>
    </rPh>
    <rPh sb="10" eb="12">
      <t>ツイカ</t>
    </rPh>
    <phoneticPr fontId="44"/>
  </si>
  <si>
    <t>位置付け</t>
    <rPh sb="0" eb="3">
      <t>イチヅ</t>
    </rPh>
    <phoneticPr fontId="44"/>
  </si>
  <si>
    <t>ボーナス</t>
  </si>
  <si>
    <t>ボーナス</t>
    <phoneticPr fontId="44"/>
  </si>
  <si>
    <t>quest_id</t>
    <phoneticPr fontId="55"/>
  </si>
  <si>
    <t>quest_type</t>
    <phoneticPr fontId="55"/>
  </si>
  <si>
    <t>valid_flg</t>
    <phoneticPr fontId="55"/>
  </si>
  <si>
    <t>NULL</t>
    <phoneticPr fontId="44"/>
  </si>
  <si>
    <t>language</t>
    <phoneticPr fontId="55"/>
  </si>
  <si>
    <t>start_date</t>
    <phoneticPr fontId="44"/>
  </si>
  <si>
    <t>name</t>
    <phoneticPr fontId="44"/>
  </si>
  <si>
    <t>name</t>
    <phoneticPr fontId="44"/>
  </si>
  <si>
    <t>name</t>
    <phoneticPr fontId="44"/>
  </si>
  <si>
    <t>quest_id</t>
    <phoneticPr fontId="44"/>
  </si>
  <si>
    <t>rank</t>
    <phoneticPr fontId="44"/>
  </si>
  <si>
    <t>quest_id</t>
    <phoneticPr fontId="44"/>
  </si>
  <si>
    <t>NULL</t>
    <phoneticPr fontId="44"/>
  </si>
  <si>
    <t>name</t>
    <phoneticPr fontId="55"/>
  </si>
  <si>
    <t>stage_sort</t>
    <phoneticPr fontId="44"/>
  </si>
  <si>
    <t>priority</t>
    <phoneticPr fontId="44"/>
  </si>
  <si>
    <t>name</t>
    <phoneticPr fontId="44"/>
  </si>
  <si>
    <t>guerilla_id</t>
  </si>
  <si>
    <t>appearance_time</t>
  </si>
  <si>
    <t>guerilla_type</t>
  </si>
  <si>
    <t>name</t>
    <phoneticPr fontId="44"/>
  </si>
  <si>
    <t>end_date</t>
    <phoneticPr fontId="44"/>
  </si>
  <si>
    <t>priority</t>
    <phoneticPr fontId="44"/>
  </si>
  <si>
    <t>備考</t>
    <rPh sb="0" eb="2">
      <t>ビコウ</t>
    </rPh>
    <phoneticPr fontId="44"/>
  </si>
  <si>
    <t>temp_stage</t>
    <phoneticPr fontId="44"/>
  </si>
  <si>
    <t>チュートリアル後の教育</t>
    <rPh sb="7" eb="8">
      <t>ゴ</t>
    </rPh>
    <rPh sb="9" eb="11">
      <t>キョウイク</t>
    </rPh>
    <phoneticPr fontId="44"/>
  </si>
  <si>
    <t>チュートリアル</t>
    <phoneticPr fontId="44"/>
  </si>
  <si>
    <t>チュートリアル</t>
    <phoneticPr fontId="44"/>
  </si>
  <si>
    <t>チュートリアル</t>
    <phoneticPr fontId="44"/>
  </si>
  <si>
    <t>チュートリアル</t>
    <phoneticPr fontId="44"/>
  </si>
  <si>
    <t>教育</t>
    <rPh sb="0" eb="2">
      <t>キョウイク</t>
    </rPh>
    <phoneticPr fontId="44"/>
  </si>
  <si>
    <t>bonus_value</t>
    <phoneticPr fontId="44"/>
  </si>
  <si>
    <r>
      <rPr>
        <sz val="12"/>
        <color theme="1"/>
        <rFont val="ＭＳ Ｐゴシック"/>
        <family val="2"/>
        <charset val="128"/>
        <scheme val="minor"/>
      </rPr>
      <t>bonus</t>
    </r>
    <r>
      <rPr>
        <sz val="12"/>
        <color theme="1"/>
        <rFont val="ＭＳ Ｐゴシック"/>
        <family val="2"/>
        <charset val="128"/>
        <scheme val="minor"/>
      </rPr>
      <t>_value</t>
    </r>
    <phoneticPr fontId="44"/>
  </si>
  <si>
    <t>tutorial</t>
    <phoneticPr fontId="44"/>
  </si>
  <si>
    <t>NULL</t>
    <phoneticPr fontId="44"/>
  </si>
  <si>
    <t>name</t>
    <phoneticPr fontId="44"/>
  </si>
  <si>
    <t>ランク開放クエスト Lv10</t>
    <phoneticPr fontId="44"/>
  </si>
  <si>
    <t>攻略用ユニットの入手</t>
    <rPh sb="0" eb="2">
      <t>コウリャク</t>
    </rPh>
    <rPh sb="2" eb="3">
      <t>ヨウ</t>
    </rPh>
    <rPh sb="8" eb="10">
      <t>ニュウシュ</t>
    </rPh>
    <phoneticPr fontId="44"/>
  </si>
  <si>
    <t>チュートリアル</t>
  </si>
  <si>
    <t>1．ALICEの入り口</t>
    <rPh sb="8" eb="9">
      <t>イ</t>
    </rPh>
    <rPh sb="10" eb="11">
      <t>グチ</t>
    </rPh>
    <phoneticPr fontId="22"/>
  </si>
  <si>
    <t>2．火之柄神社</t>
  </si>
  <si>
    <t>3．グリーンモール</t>
  </si>
  <si>
    <t>4．イエロープラント</t>
  </si>
  <si>
    <t>5．ウォーターランド</t>
  </si>
  <si>
    <t>6．ドリームパーク</t>
  </si>
  <si>
    <t>7．ローガ密林</t>
    <rPh sb="5" eb="7">
      <t>ミツリン</t>
    </rPh>
    <phoneticPr fontId="22"/>
  </si>
  <si>
    <t>8．ヴィクリー砂漠</t>
    <rPh sb="7" eb="9">
      <t>サバク</t>
    </rPh>
    <phoneticPr fontId="22"/>
  </si>
  <si>
    <t>9．ラバーズ氷河</t>
    <rPh sb="6" eb="8">
      <t>ヒョウガ</t>
    </rPh>
    <phoneticPr fontId="22"/>
  </si>
  <si>
    <t>10．奥散水の紅葉岩</t>
  </si>
  <si>
    <t>11．ディープソート戦場跡</t>
    <rPh sb="10" eb="12">
      <t>センジョウ</t>
    </rPh>
    <rPh sb="12" eb="13">
      <t>アト</t>
    </rPh>
    <phoneticPr fontId="22"/>
  </si>
  <si>
    <t>12．電脳街アキハバラ2.0</t>
    <rPh sb="3" eb="5">
      <t>デンノウ</t>
    </rPh>
    <rPh sb="5" eb="6">
      <t>ガイ</t>
    </rPh>
    <phoneticPr fontId="22"/>
  </si>
  <si>
    <t>13．天空城マドーラ</t>
    <rPh sb="3" eb="5">
      <t>テンクウジョウ</t>
    </rPh>
    <rPh sb="5" eb="6">
      <t>ジョウ</t>
    </rPh>
    <phoneticPr fontId="22"/>
  </si>
  <si>
    <t>14．機械都市マッシュ</t>
    <rPh sb="3" eb="5">
      <t>キカイ</t>
    </rPh>
    <rPh sb="5" eb="7">
      <t>トシ</t>
    </rPh>
    <phoneticPr fontId="22"/>
  </si>
  <si>
    <t>15．ハイサイスタジアム</t>
  </si>
  <si>
    <t>16．H&amp;Gスイートハウス</t>
  </si>
  <si>
    <t>17．エナリオス海中神殿</t>
    <rPh sb="8" eb="12">
      <t>カイチュウシンデン</t>
    </rPh>
    <phoneticPr fontId="22"/>
  </si>
  <si>
    <t>18．アリスボウル</t>
  </si>
  <si>
    <t>19．アレイスター王立図書館</t>
    <rPh sb="9" eb="11">
      <t>オウリツ</t>
    </rPh>
    <rPh sb="11" eb="14">
      <t>トショカン</t>
    </rPh>
    <phoneticPr fontId="22"/>
  </si>
  <si>
    <t>20．コロシアム</t>
  </si>
  <si>
    <t>21．胡蝶舞う植物園</t>
    <rPh sb="3" eb="5">
      <t>コチョウ</t>
    </rPh>
    <rPh sb="5" eb="6">
      <t>マ</t>
    </rPh>
    <rPh sb="7" eb="10">
      <t>ショクブツエン</t>
    </rPh>
    <phoneticPr fontId="22"/>
  </si>
  <si>
    <t>練習でクラッシュ！</t>
    <rPh sb="0" eb="2">
      <t>レンシュウ</t>
    </rPh>
    <phoneticPr fontId="22"/>
  </si>
  <si>
    <t>はじめてのクラッシュ</t>
  </si>
  <si>
    <t>sun</t>
    <phoneticPr fontId="44"/>
  </si>
  <si>
    <t>thu</t>
    <phoneticPr fontId="44"/>
  </si>
  <si>
    <t>PM</t>
    <phoneticPr fontId="44"/>
  </si>
  <si>
    <t>tue</t>
    <phoneticPr fontId="44"/>
  </si>
  <si>
    <t>thu</t>
    <phoneticPr fontId="44"/>
  </si>
  <si>
    <t>sat</t>
    <phoneticPr fontId="44"/>
  </si>
  <si>
    <t>bit</t>
    <phoneticPr fontId="44"/>
  </si>
  <si>
    <t>temp_id</t>
    <phoneticPr fontId="44"/>
  </si>
  <si>
    <t>試練の塔</t>
    <rPh sb="0" eb="2">
      <t>シレン</t>
    </rPh>
    <rPh sb="3" eb="4">
      <t>トウ</t>
    </rPh>
    <phoneticPr fontId="44"/>
  </si>
  <si>
    <t>紅き執行者</t>
    <rPh sb="0" eb="1">
      <t>アカ</t>
    </rPh>
    <rPh sb="2" eb="5">
      <t>シッコウシャ</t>
    </rPh>
    <phoneticPr fontId="20"/>
  </si>
  <si>
    <t>忍び寄る短剣</t>
    <rPh sb="0" eb="1">
      <t>シノ</t>
    </rPh>
    <rPh sb="2" eb="3">
      <t>ヨ</t>
    </rPh>
    <rPh sb="4" eb="6">
      <t>タンケン</t>
    </rPh>
    <phoneticPr fontId="20"/>
  </si>
  <si>
    <t>ドロップイベント3</t>
  </si>
  <si>
    <t>ドロップイベント3（マルチ専用）</t>
  </si>
  <si>
    <t>アマテラス襲来！</t>
    <rPh sb="5" eb="7">
      <t>シュウライ</t>
    </rPh>
    <phoneticPr fontId="20"/>
  </si>
  <si>
    <t>降臨1</t>
  </si>
  <si>
    <t>アザゼル襲来！</t>
    <rPh sb="4" eb="6">
      <t>シュウライ</t>
    </rPh>
    <phoneticPr fontId="20"/>
  </si>
  <si>
    <t>降臨2</t>
  </si>
  <si>
    <t>ジャンヌ襲来！</t>
    <rPh sb="4" eb="6">
      <t>シュウライ</t>
    </rPh>
    <phoneticPr fontId="20"/>
  </si>
  <si>
    <t>降臨3</t>
  </si>
  <si>
    <t>ランク開放クエスト Lv25</t>
    <phoneticPr fontId="44"/>
  </si>
  <si>
    <t>ランク開放クエスト Lv30</t>
    <phoneticPr fontId="44"/>
  </si>
  <si>
    <t>ランク開放クエスト Lv35</t>
    <phoneticPr fontId="44"/>
  </si>
  <si>
    <t>ランク開放クエスト Lv40</t>
    <phoneticPr fontId="44"/>
  </si>
  <si>
    <t>ランク開放クエスト Lv45</t>
    <phoneticPr fontId="44"/>
  </si>
  <si>
    <t>ランク開放クエスト Lv50</t>
    <phoneticPr fontId="44"/>
  </si>
  <si>
    <t>チャレンジタワー</t>
    <phoneticPr fontId="22"/>
  </si>
  <si>
    <t>チャレンジタワー 2F</t>
  </si>
  <si>
    <t>チャレンジタワー 3F</t>
  </si>
  <si>
    <t>チャレンジタワー 4F</t>
  </si>
  <si>
    <t>チャレンジタワー 5F</t>
  </si>
  <si>
    <t>チャレンジタワー 6F</t>
  </si>
  <si>
    <t>チャレンジタワー 7F</t>
  </si>
  <si>
    <t>チャレンジタワー 8F</t>
  </si>
  <si>
    <t>チャレンジタワー 9F</t>
  </si>
  <si>
    <t>チャレンジタワー 10F</t>
  </si>
  <si>
    <t>チャレンジタワー 11F</t>
  </si>
  <si>
    <t>チャレンジタワー 12F</t>
  </si>
  <si>
    <t>チャレンジタワー 13F</t>
  </si>
  <si>
    <t>チャレンジタワー 14F</t>
  </si>
  <si>
    <t>チャレンジタワー 15F</t>
  </si>
  <si>
    <t>チャレンジタワー 16F</t>
  </si>
  <si>
    <t>チャレンジタワー 17F</t>
  </si>
  <si>
    <t>チャレンジタワー 18F</t>
  </si>
  <si>
    <t>チャレンジタワー 19F</t>
  </si>
  <si>
    <t>チャレンジタワー 20F</t>
  </si>
  <si>
    <t>character</t>
    <phoneticPr fontId="44"/>
  </si>
  <si>
    <t>character</t>
    <phoneticPr fontId="44"/>
  </si>
  <si>
    <t>ID</t>
    <phoneticPr fontId="44"/>
  </si>
  <si>
    <t>fri</t>
    <phoneticPr fontId="44"/>
  </si>
  <si>
    <t>333,337,341,345</t>
    <phoneticPr fontId="44"/>
  </si>
  <si>
    <t>polygon</t>
    <phoneticPr fontId="44"/>
  </si>
  <si>
    <t>NULL</t>
  </si>
  <si>
    <t>1-2. 手荒い出迎え</t>
    <rPh sb="5" eb="7">
      <t>テアラ</t>
    </rPh>
    <rPh sb="8" eb="10">
      <t>デムカ</t>
    </rPh>
    <phoneticPr fontId="55"/>
  </si>
  <si>
    <t>1-3. ゲートの番犬</t>
    <rPh sb="9" eb="11">
      <t>バンケン</t>
    </rPh>
    <phoneticPr fontId="55"/>
  </si>
  <si>
    <t>2-1. 悪戯な炎</t>
  </si>
  <si>
    <t>2-2. 火線のファンタジスタ</t>
    <rPh sb="5" eb="7">
      <t>カセン</t>
    </rPh>
    <phoneticPr fontId="55"/>
  </si>
  <si>
    <t>2-3. 妖炎の誘い</t>
    <rPh sb="5" eb="6">
      <t>アヤ</t>
    </rPh>
    <rPh sb="6" eb="7">
      <t>ホノオ</t>
    </rPh>
    <rPh sb="8" eb="9">
      <t>イザナ</t>
    </rPh>
    <phoneticPr fontId="55"/>
  </si>
  <si>
    <t>3-1. 緑の警備員</t>
    <rPh sb="5" eb="6">
      <t>ミドリ</t>
    </rPh>
    <rPh sb="7" eb="10">
      <t>ケイビイン</t>
    </rPh>
    <phoneticPr fontId="55"/>
  </si>
  <si>
    <t>3-3. 舞い散る木の葉</t>
  </si>
  <si>
    <t>4-1. 花弁にひそむ妖精</t>
    <rPh sb="5" eb="7">
      <t>カベン</t>
    </rPh>
    <rPh sb="11" eb="13">
      <t>ヨウセイ</t>
    </rPh>
    <phoneticPr fontId="55"/>
  </si>
  <si>
    <t>4-2. 振りかざされる木槌</t>
    <rPh sb="5" eb="6">
      <t>フ</t>
    </rPh>
    <rPh sb="12" eb="14">
      <t>キヅチ</t>
    </rPh>
    <phoneticPr fontId="55"/>
  </si>
  <si>
    <t>4-3. 晩夏の狐</t>
    <rPh sb="5" eb="7">
      <t>バンカ</t>
    </rPh>
    <rPh sb="8" eb="9">
      <t>キツネ</t>
    </rPh>
    <phoneticPr fontId="55"/>
  </si>
  <si>
    <t>5-1. 水面を凍らす咆哮</t>
    <rPh sb="5" eb="7">
      <t>ミナモ</t>
    </rPh>
    <rPh sb="8" eb="9">
      <t>コオ</t>
    </rPh>
    <rPh sb="11" eb="13">
      <t>ホウコウ</t>
    </rPh>
    <phoneticPr fontId="55"/>
  </si>
  <si>
    <t>5-2. 波をさばく剣豪</t>
    <rPh sb="5" eb="6">
      <t>ナミ</t>
    </rPh>
    <rPh sb="10" eb="12">
      <t>ケンゴウ</t>
    </rPh>
    <phoneticPr fontId="55"/>
  </si>
  <si>
    <t>5-3. 水天一碧の凪刀</t>
    <rPh sb="5" eb="9">
      <t>スイテンイ</t>
    </rPh>
    <rPh sb="10" eb="11">
      <t>ナギ</t>
    </rPh>
    <rPh sb="11" eb="12">
      <t>ナギナタ</t>
    </rPh>
    <phoneticPr fontId="55"/>
  </si>
  <si>
    <t>6-1. 虚構の国</t>
    <rPh sb="5" eb="7">
      <t>キョコウ</t>
    </rPh>
    <rPh sb="8" eb="9">
      <t>クニ</t>
    </rPh>
    <phoneticPr fontId="55"/>
  </si>
  <si>
    <t>6-2. 夢の国の洗礼</t>
    <rPh sb="5" eb="6">
      <t>ユメ</t>
    </rPh>
    <rPh sb="7" eb="8">
      <t>クニ</t>
    </rPh>
    <rPh sb="9" eb="11">
      <t>センレイ</t>
    </rPh>
    <phoneticPr fontId="55"/>
  </si>
  <si>
    <t>6-3. 正体不明のきぐるみ</t>
    <rPh sb="5" eb="9">
      <t>ショウタイフメイ</t>
    </rPh>
    <phoneticPr fontId="55"/>
  </si>
  <si>
    <t>6-4. 悪夢へのスイッチ</t>
    <rPh sb="5" eb="7">
      <t>アクム</t>
    </rPh>
    <phoneticPr fontId="55"/>
  </si>
  <si>
    <t>6-5. 来園者の末路</t>
    <rPh sb="5" eb="8">
      <t>ライエンシャ</t>
    </rPh>
    <rPh sb="9" eb="11">
      <t>マツロ</t>
    </rPh>
    <phoneticPr fontId="55"/>
  </si>
  <si>
    <t>7-1. 密林の防衛者</t>
    <rPh sb="5" eb="7">
      <t>ミツリン</t>
    </rPh>
    <rPh sb="8" eb="10">
      <t>ボウエイシャ</t>
    </rPh>
    <rPh sb="10" eb="11">
      <t>シャ</t>
    </rPh>
    <phoneticPr fontId="55"/>
  </si>
  <si>
    <t>7-2. さまよう怪影</t>
    <rPh sb="9" eb="10">
      <t>カイゾウ</t>
    </rPh>
    <rPh sb="10" eb="11">
      <t>カゲ</t>
    </rPh>
    <phoneticPr fontId="55"/>
  </si>
  <si>
    <t>7-3. 野生児の急襲</t>
    <rPh sb="5" eb="8">
      <t>ヤセイジ</t>
    </rPh>
    <rPh sb="9" eb="11">
      <t>キュウシュウ</t>
    </rPh>
    <phoneticPr fontId="55"/>
  </si>
  <si>
    <t>7-4. この森通せんぼ</t>
    <rPh sb="7" eb="8">
      <t>モリ</t>
    </rPh>
    <rPh sb="8" eb="9">
      <t>トオ</t>
    </rPh>
    <phoneticPr fontId="55"/>
  </si>
  <si>
    <t>7-5. 聖なる巨岩</t>
    <rPh sb="5" eb="6">
      <t>セイ</t>
    </rPh>
    <rPh sb="8" eb="10">
      <t>キョガン</t>
    </rPh>
    <phoneticPr fontId="55"/>
  </si>
  <si>
    <t>8-1. 黄砂のスピードスター</t>
    <rPh sb="5" eb="7">
      <t>コウサ</t>
    </rPh>
    <phoneticPr fontId="55"/>
  </si>
  <si>
    <t>8-2. 遭難の仕掛け人</t>
    <rPh sb="5" eb="7">
      <t>ソウナン</t>
    </rPh>
    <rPh sb="8" eb="10">
      <t>シカ</t>
    </rPh>
    <rPh sb="11" eb="12">
      <t>ニン</t>
    </rPh>
    <phoneticPr fontId="55"/>
  </si>
  <si>
    <t>8-3. 逃げ場無き狩場</t>
    <rPh sb="5" eb="6">
      <t>ニ</t>
    </rPh>
    <rPh sb="7" eb="8">
      <t>バ</t>
    </rPh>
    <rPh sb="8" eb="9">
      <t>ナ</t>
    </rPh>
    <rPh sb="10" eb="12">
      <t>カリバ</t>
    </rPh>
    <phoneticPr fontId="55"/>
  </si>
  <si>
    <t>8-4. スピードスターの真髄</t>
    <rPh sb="13" eb="15">
      <t>シンズイ</t>
    </rPh>
    <phoneticPr fontId="55"/>
  </si>
  <si>
    <t>8-5. 聖なる渇牙</t>
    <rPh sb="5" eb="6">
      <t>セイ</t>
    </rPh>
    <rPh sb="8" eb="9">
      <t>カワ</t>
    </rPh>
    <rPh sb="9" eb="10">
      <t>キバ</t>
    </rPh>
    <phoneticPr fontId="55"/>
  </si>
  <si>
    <t>9-1. 春を待つ奏者</t>
    <rPh sb="5" eb="6">
      <t>ハル</t>
    </rPh>
    <rPh sb="7" eb="8">
      <t>マ</t>
    </rPh>
    <rPh sb="9" eb="11">
      <t>ソウシャ</t>
    </rPh>
    <phoneticPr fontId="55"/>
  </si>
  <si>
    <t>9-2. 氷結への案内</t>
    <rPh sb="5" eb="7">
      <t>ヒョウケツ</t>
    </rPh>
    <rPh sb="9" eb="11">
      <t>アンナイ</t>
    </rPh>
    <phoneticPr fontId="55"/>
  </si>
  <si>
    <t>9-3. 大いなる狼拳</t>
    <rPh sb="5" eb="6">
      <t>オオ</t>
    </rPh>
    <rPh sb="9" eb="10">
      <t>ロウケン</t>
    </rPh>
    <rPh sb="10" eb="11">
      <t>コブシ</t>
    </rPh>
    <phoneticPr fontId="55"/>
  </si>
  <si>
    <t>9-4. 溶けゆく氷塊</t>
    <rPh sb="5" eb="6">
      <t>ト</t>
    </rPh>
    <rPh sb="9" eb="11">
      <t>ヒョウカイ</t>
    </rPh>
    <phoneticPr fontId="55"/>
  </si>
  <si>
    <t>9-5. 聖なる渦爪</t>
    <rPh sb="5" eb="6">
      <t>セイ</t>
    </rPh>
    <rPh sb="8" eb="9">
      <t>ウズ</t>
    </rPh>
    <rPh sb="9" eb="10">
      <t>ツメ</t>
    </rPh>
    <phoneticPr fontId="55"/>
  </si>
  <si>
    <t>10-1. ほろ酔い紅葉狩り</t>
    <rPh sb="8" eb="9">
      <t>ヨ</t>
    </rPh>
    <rPh sb="10" eb="13">
      <t>モミジガ</t>
    </rPh>
    <phoneticPr fontId="55"/>
  </si>
  <si>
    <t>10-2. 岩陰からの襲来</t>
    <rPh sb="6" eb="8">
      <t>イワカゲ</t>
    </rPh>
    <rPh sb="11" eb="13">
      <t>シュウライ</t>
    </rPh>
    <phoneticPr fontId="55"/>
  </si>
  <si>
    <t>10-3. ３つの眼孔</t>
    <rPh sb="9" eb="11">
      <t>ガンコウ</t>
    </rPh>
    <phoneticPr fontId="55"/>
  </si>
  <si>
    <t>10-4. 覚醒の泥酔者</t>
    <rPh sb="6" eb="8">
      <t>カクセイ</t>
    </rPh>
    <rPh sb="9" eb="12">
      <t>デイスイシャ</t>
    </rPh>
    <phoneticPr fontId="55"/>
  </si>
  <si>
    <t>10-5. 聖なる炎翼</t>
    <rPh sb="6" eb="7">
      <t>セイ</t>
    </rPh>
    <rPh sb="9" eb="10">
      <t>ホノオ</t>
    </rPh>
    <rPh sb="10" eb="11">
      <t>ツバサ</t>
    </rPh>
    <phoneticPr fontId="55"/>
  </si>
  <si>
    <t>11-1. 記憶の扉</t>
    <rPh sb="6" eb="8">
      <t>キオク</t>
    </rPh>
    <rPh sb="9" eb="10">
      <t>トビラ</t>
    </rPh>
    <phoneticPr fontId="55"/>
  </si>
  <si>
    <t>11-2. 兵どもの夢の跡</t>
    <rPh sb="6" eb="7">
      <t>ツワモノ</t>
    </rPh>
    <rPh sb="10" eb="11">
      <t>ユメ</t>
    </rPh>
    <rPh sb="12" eb="13">
      <t>アト</t>
    </rPh>
    <phoneticPr fontId="55"/>
  </si>
  <si>
    <t>11-3. 繰り返される戦争</t>
    <rPh sb="6" eb="7">
      <t>ク</t>
    </rPh>
    <rPh sb="8" eb="9">
      <t>カエ</t>
    </rPh>
    <rPh sb="12" eb="14">
      <t>センソウ</t>
    </rPh>
    <phoneticPr fontId="55"/>
  </si>
  <si>
    <t>11-4. チェックメイトへの布石</t>
    <rPh sb="15" eb="17">
      <t>フセキ</t>
    </rPh>
    <phoneticPr fontId="55"/>
  </si>
  <si>
    <t>11-5. 訓練された生存者</t>
    <rPh sb="6" eb="8">
      <t>クンレン</t>
    </rPh>
    <rPh sb="11" eb="14">
      <t>セイゾンシャ</t>
    </rPh>
    <phoneticPr fontId="55"/>
  </si>
  <si>
    <t>12-1. 電気街を駆ける働き者</t>
    <rPh sb="6" eb="9">
      <t>デンキガイ</t>
    </rPh>
    <rPh sb="10" eb="13">
      <t>×</t>
    </rPh>
    <rPh sb="13" eb="14">
      <t>ハタラ</t>
    </rPh>
    <rPh sb="15" eb="16">
      <t>モノ</t>
    </rPh>
    <phoneticPr fontId="55"/>
  </si>
  <si>
    <t>12-2. アーケードの迅雷</t>
    <rPh sb="12" eb="14">
      <t>ジンライ</t>
    </rPh>
    <phoneticPr fontId="55"/>
  </si>
  <si>
    <t>12-3. 裏道の大鎌</t>
    <rPh sb="6" eb="8">
      <t>ウラミチ</t>
    </rPh>
    <rPh sb="9" eb="11">
      <t>オオガマ</t>
    </rPh>
    <phoneticPr fontId="55"/>
  </si>
  <si>
    <t>12-4. トリック縦横無尽</t>
    <rPh sb="10" eb="14">
      <t>ジュウオウムジン</t>
    </rPh>
    <phoneticPr fontId="55"/>
  </si>
  <si>
    <t>12-5. 強蹴の働き者</t>
    <rPh sb="6" eb="7">
      <t>キョウシュウ</t>
    </rPh>
    <rPh sb="7" eb="8">
      <t>ケ</t>
    </rPh>
    <rPh sb="9" eb="10">
      <t>ハタラ</t>
    </rPh>
    <rPh sb="11" eb="12">
      <t>モノ</t>
    </rPh>
    <phoneticPr fontId="55"/>
  </si>
  <si>
    <t>13-1. 甘く切ないメロウ</t>
  </si>
  <si>
    <t>13-2. 天上の書家</t>
    <rPh sb="6" eb="8">
      <t>テンジョウ</t>
    </rPh>
    <rPh sb="9" eb="11">
      <t>ショカ</t>
    </rPh>
    <phoneticPr fontId="55"/>
  </si>
  <si>
    <t>13-3. 雲海の司令塔</t>
    <rPh sb="6" eb="8">
      <t>ウンカイ</t>
    </rPh>
    <rPh sb="9" eb="12">
      <t>シレイトウ</t>
    </rPh>
    <phoneticPr fontId="55"/>
  </si>
  <si>
    <t>13-4. 生命吹き込む旋律</t>
    <rPh sb="6" eb="8">
      <t>イノチ</t>
    </rPh>
    <rPh sb="8" eb="9">
      <t>フ</t>
    </rPh>
    <rPh sb="10" eb="11">
      <t>コ</t>
    </rPh>
    <rPh sb="12" eb="14">
      <t>センリツ</t>
    </rPh>
    <phoneticPr fontId="55"/>
  </si>
  <si>
    <t>13-5. ローレライの導き</t>
  </si>
  <si>
    <t>14-1. 爆煙を起こす者</t>
    <rPh sb="6" eb="8">
      <t>バクエン</t>
    </rPh>
    <rPh sb="9" eb="10">
      <t>オ</t>
    </rPh>
    <rPh sb="12" eb="13">
      <t>モノ</t>
    </rPh>
    <phoneticPr fontId="55"/>
  </si>
  <si>
    <t>14-2. 燃える息</t>
    <rPh sb="6" eb="7">
      <t>モ</t>
    </rPh>
    <rPh sb="9" eb="10">
      <t>イキ</t>
    </rPh>
    <phoneticPr fontId="55"/>
  </si>
  <si>
    <t>14-3. 力隠す門番</t>
    <rPh sb="6" eb="7">
      <t>チカラ</t>
    </rPh>
    <rPh sb="7" eb="8">
      <t>カク</t>
    </rPh>
    <rPh sb="9" eb="11">
      <t>モンバン</t>
    </rPh>
    <phoneticPr fontId="55"/>
  </si>
  <si>
    <t>14-4. 不規則な酒乱</t>
    <rPh sb="6" eb="9">
      <t>フキソク</t>
    </rPh>
    <rPh sb="10" eb="12">
      <t>シュラン</t>
    </rPh>
    <phoneticPr fontId="55"/>
  </si>
  <si>
    <t>14-5. 重機駆ける逆徒</t>
    <rPh sb="6" eb="8">
      <t>ジュウキ</t>
    </rPh>
    <rPh sb="8" eb="9">
      <t>カ</t>
    </rPh>
    <rPh sb="11" eb="13">
      <t>ギャクト</t>
    </rPh>
    <phoneticPr fontId="55"/>
  </si>
  <si>
    <t>15-1. 先駆けの乱打</t>
    <rPh sb="6" eb="8">
      <t>サキガ</t>
    </rPh>
    <rPh sb="10" eb="12">
      <t>ランダ</t>
    </rPh>
    <phoneticPr fontId="55"/>
  </si>
  <si>
    <t>15-2. 異星の参戦</t>
    <rPh sb="6" eb="8">
      <t>イセイ</t>
    </rPh>
    <rPh sb="9" eb="11">
      <t>サンセン</t>
    </rPh>
    <phoneticPr fontId="55"/>
  </si>
  <si>
    <t>15-3. シューティングレンジの美女</t>
    <rPh sb="17" eb="19">
      <t>ビジョ</t>
    </rPh>
    <phoneticPr fontId="55"/>
  </si>
  <si>
    <t>15-4. 無邪気な来客</t>
    <rPh sb="6" eb="9">
      <t>ムジャキ</t>
    </rPh>
    <rPh sb="10" eb="12">
      <t>ライキャク</t>
    </rPh>
    <phoneticPr fontId="55"/>
  </si>
  <si>
    <t>15-5. 縁舞のメインイベント</t>
    <rPh sb="6" eb="7">
      <t>エンブ</t>
    </rPh>
    <rPh sb="7" eb="8">
      <t>マ</t>
    </rPh>
    <phoneticPr fontId="55"/>
  </si>
  <si>
    <t>16-1. 侵入スイートハウス</t>
    <rPh sb="6" eb="8">
      <t>シンニュウ</t>
    </rPh>
    <phoneticPr fontId="55"/>
  </si>
  <si>
    <t>16-2. ベタつく扉</t>
    <rPh sb="10" eb="11">
      <t>トビラ</t>
    </rPh>
    <phoneticPr fontId="55"/>
  </si>
  <si>
    <t>16-3. 甘くて危険な空間</t>
    <rPh sb="6" eb="7">
      <t>アマ</t>
    </rPh>
    <rPh sb="9" eb="11">
      <t>キケン</t>
    </rPh>
    <rPh sb="12" eb="14">
      <t>クウカン</t>
    </rPh>
    <phoneticPr fontId="55"/>
  </si>
  <si>
    <t>16-4. 戦慄のシュガーハイ</t>
    <rPh sb="6" eb="8">
      <t>センリツ</t>
    </rPh>
    <phoneticPr fontId="55"/>
  </si>
  <si>
    <t>16-5. プディングに狂気を添えて</t>
  </si>
  <si>
    <t>17-1. 見捨てられた神殿</t>
    <rPh sb="6" eb="8">
      <t>ミス</t>
    </rPh>
    <rPh sb="12" eb="14">
      <t>シンデン</t>
    </rPh>
    <phoneticPr fontId="55"/>
  </si>
  <si>
    <t>17-2. 窒息クライシス</t>
    <rPh sb="6" eb="8">
      <t>チッソク</t>
    </rPh>
    <phoneticPr fontId="55"/>
  </si>
  <si>
    <t>17-3. 激流の守護龍</t>
    <rPh sb="6" eb="8">
      <t>ゲキリュウ</t>
    </rPh>
    <rPh sb="9" eb="11">
      <t>シュゴ</t>
    </rPh>
    <rPh sb="11" eb="12">
      <t>リュウ</t>
    </rPh>
    <phoneticPr fontId="55"/>
  </si>
  <si>
    <t>17-4. 正確無比の弾道</t>
    <rPh sb="6" eb="10">
      <t>セイカクムヒ</t>
    </rPh>
    <rPh sb="11" eb="13">
      <t>ダンドウ</t>
    </rPh>
    <phoneticPr fontId="55"/>
  </si>
  <si>
    <t>17-5. 水面に映る月閃</t>
  </si>
  <si>
    <t>18-1. 幽閉されし者</t>
    <rPh sb="6" eb="8">
      <t>ユウヘイ</t>
    </rPh>
    <rPh sb="11" eb="12">
      <t>モノ</t>
    </rPh>
    <phoneticPr fontId="55"/>
  </si>
  <si>
    <t>18-2. ストライクへの道</t>
    <rPh sb="13" eb="14">
      <t>ミチ</t>
    </rPh>
    <phoneticPr fontId="55"/>
  </si>
  <si>
    <t>18-3. 猛熱の試練</t>
    <rPh sb="6" eb="7">
      <t>モウショ</t>
    </rPh>
    <rPh sb="7" eb="8">
      <t>ネツ</t>
    </rPh>
    <rPh sb="9" eb="11">
      <t>シレン</t>
    </rPh>
    <phoneticPr fontId="55"/>
  </si>
  <si>
    <t>18-4. 不可避の弾丸</t>
    <rPh sb="6" eb="9">
      <t>フカヒ</t>
    </rPh>
    <rPh sb="10" eb="12">
      <t>ダンガン</t>
    </rPh>
    <phoneticPr fontId="55"/>
  </si>
  <si>
    <t>18-5. 解き放たれし焔神</t>
    <rPh sb="6" eb="7">
      <t>ト</t>
    </rPh>
    <rPh sb="8" eb="9">
      <t>ハナ</t>
    </rPh>
    <rPh sb="12" eb="13">
      <t>ホノオ</t>
    </rPh>
    <rPh sb="13" eb="14">
      <t>カミ</t>
    </rPh>
    <phoneticPr fontId="55"/>
  </si>
  <si>
    <t>19-1. 庭園の主</t>
    <rPh sb="6" eb="8">
      <t>テイエン</t>
    </rPh>
    <rPh sb="9" eb="10">
      <t>ヌシ</t>
    </rPh>
    <phoneticPr fontId="55"/>
  </si>
  <si>
    <t>19-2. 館内はお静かに</t>
    <rPh sb="6" eb="8">
      <t>カンナイ</t>
    </rPh>
    <rPh sb="10" eb="11">
      <t>シズ</t>
    </rPh>
    <phoneticPr fontId="55"/>
  </si>
  <si>
    <t>19-3. 動かざる者</t>
    <rPh sb="6" eb="7">
      <t>ウゴ</t>
    </rPh>
    <rPh sb="10" eb="11">
      <t>モノ</t>
    </rPh>
    <phoneticPr fontId="55"/>
  </si>
  <si>
    <t>19-4. けたたましい来館</t>
    <rPh sb="12" eb="13">
      <t>ライジョウシャ</t>
    </rPh>
    <rPh sb="13" eb="14">
      <t>カン</t>
    </rPh>
    <phoneticPr fontId="55"/>
  </si>
  <si>
    <t>19-5. 庭園主の包囲網</t>
    <rPh sb="6" eb="9">
      <t>テイエンヌシ</t>
    </rPh>
    <rPh sb="10" eb="13">
      <t>ホウイモウ</t>
    </rPh>
    <phoneticPr fontId="55"/>
  </si>
  <si>
    <t>20-1. 星空からの降臨</t>
    <rPh sb="6" eb="8">
      <t>ホシゾラ</t>
    </rPh>
    <rPh sb="11" eb="13">
      <t>コウリン</t>
    </rPh>
    <phoneticPr fontId="55"/>
  </si>
  <si>
    <t>20-2. 終わりなき連戦</t>
    <rPh sb="6" eb="7">
      <t>オ</t>
    </rPh>
    <rPh sb="11" eb="13">
      <t>レンセン</t>
    </rPh>
    <phoneticPr fontId="55"/>
  </si>
  <si>
    <t>20-3. 身の凍る眼力</t>
    <rPh sb="6" eb="7">
      <t>ミ</t>
    </rPh>
    <rPh sb="8" eb="9">
      <t>コオ</t>
    </rPh>
    <rPh sb="10" eb="12">
      <t>ガンリキ</t>
    </rPh>
    <phoneticPr fontId="55"/>
  </si>
  <si>
    <t>20-4. 悪魔と踊る輪舞曲</t>
  </si>
  <si>
    <t>20-5. 空から降る数多の星</t>
    <rPh sb="6" eb="7">
      <t>ソラ</t>
    </rPh>
    <rPh sb="9" eb="10">
      <t>フ</t>
    </rPh>
    <rPh sb="11" eb="13">
      <t>アマタ</t>
    </rPh>
    <phoneticPr fontId="55"/>
  </si>
  <si>
    <t>21-1. 花園の誘い</t>
    <rPh sb="6" eb="8">
      <t>ハナゾノ</t>
    </rPh>
    <rPh sb="9" eb="10">
      <t>イザナ</t>
    </rPh>
    <phoneticPr fontId="55"/>
  </si>
  <si>
    <t>21-2. 華やかなる迎撃</t>
    <rPh sb="6" eb="7">
      <t>ハナ</t>
    </rPh>
    <rPh sb="11" eb="13">
      <t>ゲイゲキ</t>
    </rPh>
    <phoneticPr fontId="55"/>
  </si>
  <si>
    <t>21-3. 物言わぬ猛攻</t>
    <rPh sb="6" eb="8">
      <t>モノイ</t>
    </rPh>
    <rPh sb="10" eb="12">
      <t>モウコウ</t>
    </rPh>
    <phoneticPr fontId="55"/>
  </si>
  <si>
    <t>21-4. 虹彩の軍団</t>
    <rPh sb="6" eb="8">
      <t>コウサイ</t>
    </rPh>
    <rPh sb="9" eb="11">
      <t>グンダン</t>
    </rPh>
    <phoneticPr fontId="55"/>
  </si>
  <si>
    <t>21-5. マスターオブエデン</t>
  </si>
  <si>
    <t>1-1. はじまりの外壁</t>
    <rPh sb="10" eb="12">
      <t>ガイヘキ</t>
    </rPh>
    <phoneticPr fontId="55"/>
  </si>
  <si>
    <t>3-2. 買い物好きの刺客</t>
    <rPh sb="5" eb="6">
      <t>カ</t>
    </rPh>
    <rPh sb="7" eb="9">
      <t>モノズ</t>
    </rPh>
    <rPh sb="11" eb="13">
      <t>■</t>
    </rPh>
    <phoneticPr fontId="55"/>
  </si>
  <si>
    <t>【月曜限定】 黄の素材</t>
    <rPh sb="3" eb="5">
      <t>ゲンテイ</t>
    </rPh>
    <rPh sb="7" eb="8">
      <t>キイロ</t>
    </rPh>
    <rPh sb="9" eb="11">
      <t>ソザイ</t>
    </rPh>
    <phoneticPr fontId="22"/>
  </si>
  <si>
    <t>【火曜限定】 赤の素材</t>
    <rPh sb="7" eb="8">
      <t>アカキ</t>
    </rPh>
    <rPh sb="9" eb="11">
      <t>ソザイ</t>
    </rPh>
    <phoneticPr fontId="22"/>
  </si>
  <si>
    <t>【水曜限定】 青の素材</t>
    <rPh sb="7" eb="8">
      <t>アオ</t>
    </rPh>
    <rPh sb="9" eb="11">
      <t>ソザイ</t>
    </rPh>
    <phoneticPr fontId="22"/>
  </si>
  <si>
    <t>【木曜限定】 緑の素材</t>
    <rPh sb="7" eb="8">
      <t>ミドリ</t>
    </rPh>
    <rPh sb="9" eb="11">
      <t>ソザイ</t>
    </rPh>
    <phoneticPr fontId="22"/>
  </si>
  <si>
    <t>【金曜限定】 帽子屋を追え！</t>
    <rPh sb="7" eb="10">
      <t>ボウシヤ</t>
    </rPh>
    <rPh sb="11" eb="12">
      <t>オ</t>
    </rPh>
    <phoneticPr fontId="22"/>
  </si>
  <si>
    <t>【土日限定】 ゴールドカジノ</t>
    <rPh sb="1" eb="3">
      <t>ドニチ</t>
    </rPh>
    <phoneticPr fontId="22"/>
  </si>
  <si>
    <t>detail</t>
    <phoneticPr fontId="55"/>
  </si>
  <si>
    <t>ja</t>
    <phoneticPr fontId="44"/>
  </si>
  <si>
    <t>超級</t>
    <rPh sb="0" eb="2">
      <t>チョウキュウ</t>
    </rPh>
    <phoneticPr fontId="44"/>
  </si>
  <si>
    <t>polygon</t>
    <phoneticPr fontId="44"/>
  </si>
  <si>
    <t>polygon</t>
    <phoneticPr fontId="44"/>
  </si>
  <si>
    <t>345,345</t>
    <phoneticPr fontId="44"/>
  </si>
  <si>
    <t>333,333</t>
    <phoneticPr fontId="44"/>
  </si>
  <si>
    <t>337,337</t>
    <phoneticPr fontId="44"/>
  </si>
  <si>
    <t>346,345</t>
    <phoneticPr fontId="44"/>
  </si>
  <si>
    <t>342,341</t>
    <phoneticPr fontId="44"/>
  </si>
  <si>
    <t>334,333</t>
    <phoneticPr fontId="44"/>
  </si>
  <si>
    <t>337,337,338</t>
    <phoneticPr fontId="44"/>
  </si>
  <si>
    <t>346,333,337,341</t>
    <phoneticPr fontId="44"/>
  </si>
  <si>
    <t>346,346</t>
    <phoneticPr fontId="44"/>
  </si>
  <si>
    <t>342,342</t>
    <phoneticPr fontId="44"/>
  </si>
  <si>
    <t>338,338</t>
    <phoneticPr fontId="44"/>
  </si>
  <si>
    <t>334,334</t>
    <phoneticPr fontId="44"/>
  </si>
  <si>
    <t>316</t>
    <phoneticPr fontId="44"/>
  </si>
  <si>
    <t>338,338,337</t>
    <phoneticPr fontId="44"/>
  </si>
  <si>
    <t>346,346,345</t>
    <phoneticPr fontId="44"/>
  </si>
  <si>
    <t>334,334,333</t>
    <phoneticPr fontId="44"/>
  </si>
  <si>
    <t>342,342,341</t>
    <phoneticPr fontId="44"/>
  </si>
  <si>
    <t>318</t>
    <phoneticPr fontId="44"/>
  </si>
  <si>
    <t>image_filename</t>
    <phoneticPr fontId="44"/>
  </si>
  <si>
    <t>image_filename</t>
    <phoneticPr fontId="44"/>
  </si>
  <si>
    <t>polygon</t>
    <phoneticPr fontId="44"/>
  </si>
  <si>
    <t>polygon</t>
    <phoneticPr fontId="44"/>
  </si>
  <si>
    <t>チャレンジタワー(ソロ専用)</t>
    <rPh sb="11" eb="13">
      <t>センヨウ</t>
    </rPh>
    <phoneticPr fontId="22"/>
  </si>
  <si>
    <t>【緊急！！】 アヒル捕獲作戦</t>
    <rPh sb="1" eb="3">
      <t>キンキュウ</t>
    </rPh>
    <rPh sb="10" eb="14">
      <t>ホカクサクセン</t>
    </rPh>
    <phoneticPr fontId="22"/>
  </si>
  <si>
    <t>ドロップイベント1-1</t>
    <phoneticPr fontId="44"/>
  </si>
  <si>
    <t>ドロップイベント1-3</t>
    <phoneticPr fontId="44"/>
  </si>
  <si>
    <t>ドロップイベント1-4</t>
    <phoneticPr fontId="44"/>
  </si>
  <si>
    <t>ドロップイベント1-2</t>
    <phoneticPr fontId="44"/>
  </si>
  <si>
    <t>ドロップイベント1-2（マルチ専用）</t>
    <phoneticPr fontId="44"/>
  </si>
  <si>
    <t>ドロップイベント1-3（マルチ専用）</t>
    <phoneticPr fontId="44"/>
  </si>
  <si>
    <t>ドロップイベント1-4（マルチ専用）</t>
    <phoneticPr fontId="44"/>
  </si>
  <si>
    <t>NULL</t>
    <phoneticPr fontId="44"/>
  </si>
  <si>
    <t>期間限定クエスト</t>
    <rPh sb="0" eb="4">
      <t>キカンゲンテイ</t>
    </rPh>
    <phoneticPr fontId="44"/>
  </si>
  <si>
    <t>襲来クエスト</t>
    <rPh sb="0" eb="2">
      <t>シュウライ</t>
    </rPh>
    <phoneticPr fontId="44"/>
  </si>
  <si>
    <t>21:00:00</t>
    <phoneticPr fontId="44"/>
  </si>
  <si>
    <t>12:00:00</t>
    <phoneticPr fontId="44"/>
  </si>
  <si>
    <t>12:30:00</t>
    <phoneticPr fontId="44"/>
  </si>
  <si>
    <t>13:00:00</t>
    <phoneticPr fontId="44"/>
  </si>
  <si>
    <t>13:00:00</t>
    <phoneticPr fontId="44"/>
  </si>
  <si>
    <t>19:00:00</t>
    <phoneticPr fontId="44"/>
  </si>
  <si>
    <t>14:00:00</t>
    <phoneticPr fontId="44"/>
  </si>
  <si>
    <t>13:30:00</t>
    <phoneticPr fontId="44"/>
  </si>
  <si>
    <t>20:00:00</t>
    <phoneticPr fontId="44"/>
  </si>
  <si>
    <t>22:00:00</t>
    <phoneticPr fontId="44"/>
  </si>
  <si>
    <t>21:00:00</t>
    <phoneticPr fontId="44"/>
  </si>
  <si>
    <t>23:00:00</t>
    <phoneticPr fontId="44"/>
  </si>
  <si>
    <t>ドロップイベント2-1（マルチ専用）</t>
    <phoneticPr fontId="44"/>
  </si>
  <si>
    <t>ドロップイベント2-4（マルチ専用）</t>
    <phoneticPr fontId="44"/>
  </si>
  <si>
    <t>ドロップイベント2-2</t>
    <phoneticPr fontId="44"/>
  </si>
  <si>
    <t>ドロップイベント2-4</t>
    <phoneticPr fontId="44"/>
  </si>
  <si>
    <t>ドロップイベント2-1</t>
    <phoneticPr fontId="44"/>
  </si>
  <si>
    <t>ドロップイベント2-3</t>
    <phoneticPr fontId="44"/>
  </si>
  <si>
    <t>ドロップイベント2-2（マルチ専用）</t>
    <phoneticPr fontId="44"/>
  </si>
  <si>
    <t>ドロップイベント2-3（マルチ専用）</t>
    <phoneticPr fontId="44"/>
  </si>
  <si>
    <t>ランク開放クエスト Lv55</t>
    <phoneticPr fontId="44"/>
  </si>
  <si>
    <t>ランク開放クエスト Lv60</t>
    <phoneticPr fontId="44"/>
  </si>
  <si>
    <t>チャレンジタワー 21F</t>
    <phoneticPr fontId="44"/>
  </si>
  <si>
    <t>チャレンジタワー 22F</t>
    <phoneticPr fontId="44"/>
  </si>
  <si>
    <t>チャレンジタワー 23F</t>
    <phoneticPr fontId="44"/>
  </si>
  <si>
    <t>チャレンジタワー 24F</t>
    <phoneticPr fontId="44"/>
  </si>
  <si>
    <t>チャレンジタワー 25F</t>
    <phoneticPr fontId="44"/>
  </si>
  <si>
    <t>ランク開放クエスト Lv65</t>
    <phoneticPr fontId="44"/>
  </si>
  <si>
    <t>ハンター・オブ・ハンター</t>
    <phoneticPr fontId="44"/>
  </si>
  <si>
    <t>トリックスター</t>
    <phoneticPr fontId="44"/>
  </si>
  <si>
    <t>打ち下ろされる砕棒</t>
    <rPh sb="0" eb="1">
      <t>ウ</t>
    </rPh>
    <rPh sb="2" eb="3">
      <t>オ</t>
    </rPh>
    <rPh sb="7" eb="8">
      <t>ハサイ</t>
    </rPh>
    <rPh sb="8" eb="9">
      <t>ボウ</t>
    </rPh>
    <phoneticPr fontId="20"/>
  </si>
  <si>
    <t>危険な仲裁者</t>
    <rPh sb="0" eb="2">
      <t>キケン</t>
    </rPh>
    <rPh sb="3" eb="5">
      <t>チュウサイ</t>
    </rPh>
    <rPh sb="5" eb="6">
      <t>シャ</t>
    </rPh>
    <phoneticPr fontId="20"/>
  </si>
  <si>
    <t>ドロップイベント1-1（マルチ専用）</t>
    <phoneticPr fontId="44"/>
  </si>
  <si>
    <t>368</t>
    <phoneticPr fontId="44"/>
  </si>
  <si>
    <t>341,341</t>
    <phoneticPr fontId="44"/>
  </si>
  <si>
    <t>335</t>
    <phoneticPr fontId="44"/>
  </si>
  <si>
    <t>339</t>
    <phoneticPr fontId="44"/>
  </si>
  <si>
    <t>347</t>
    <phoneticPr fontId="44"/>
  </si>
  <si>
    <t>343</t>
    <phoneticPr fontId="44"/>
  </si>
  <si>
    <t>334,335,335</t>
    <phoneticPr fontId="44"/>
  </si>
  <si>
    <t>338,339,339</t>
    <phoneticPr fontId="44"/>
  </si>
  <si>
    <t>346,347,347</t>
    <phoneticPr fontId="44"/>
  </si>
  <si>
    <t>342,343,343</t>
    <phoneticPr fontId="44"/>
  </si>
  <si>
    <t>ニンゲンにしてあげる☆</t>
    <phoneticPr fontId="20"/>
  </si>
  <si>
    <t>それはお前を食べるためさ</t>
    <rPh sb="4" eb="5">
      <t>マエ</t>
    </rPh>
    <rPh sb="6" eb="7">
      <t>タ</t>
    </rPh>
    <phoneticPr fontId="20"/>
  </si>
  <si>
    <t>ガラスの靴は私のもの</t>
    <rPh sb="4" eb="5">
      <t>クツ</t>
    </rPh>
    <rPh sb="6" eb="7">
      <t>ワタシ</t>
    </rPh>
    <phoneticPr fontId="20"/>
  </si>
  <si>
    <t>わたしの嫁を返してもらおう</t>
    <rPh sb="4" eb="5">
      <t>ヨメ</t>
    </rPh>
    <rPh sb="6" eb="7">
      <t>カエ</t>
    </rPh>
    <phoneticPr fontId="20"/>
  </si>
  <si>
    <t>検証</t>
    <rPh sb="0" eb="2">
      <t>ケンショウ</t>
    </rPh>
    <phoneticPr fontId="44"/>
  </si>
  <si>
    <t>検証</t>
    <rPh sb="0" eb="2">
      <t>ケンショウ</t>
    </rPh>
    <phoneticPr fontId="44"/>
  </si>
  <si>
    <t>NULL</t>
    <phoneticPr fontId="44"/>
  </si>
  <si>
    <t>22．紫炎の例大祭</t>
    <rPh sb="3" eb="5">
      <t>シエン</t>
    </rPh>
    <rPh sb="6" eb="9">
      <t>レイタイサイ</t>
    </rPh>
    <phoneticPr fontId="55"/>
  </si>
  <si>
    <t>23．ファングフォレスト</t>
    <phoneticPr fontId="55"/>
  </si>
  <si>
    <t>24．バトルフィールドヘヴン</t>
    <phoneticPr fontId="55"/>
  </si>
  <si>
    <t>25．サディスティックパーティ</t>
    <phoneticPr fontId="55"/>
  </si>
  <si>
    <t>26．クラブ クラッシュビーツ</t>
    <phoneticPr fontId="55"/>
  </si>
  <si>
    <t>22-1．開宴の遠吠え</t>
    <rPh sb="5" eb="7">
      <t>カイエン</t>
    </rPh>
    <rPh sb="8" eb="10">
      <t>トオボ</t>
    </rPh>
    <phoneticPr fontId="55"/>
  </si>
  <si>
    <t>22-2．排他的な案内人</t>
    <rPh sb="5" eb="8">
      <t>ハイタテキ</t>
    </rPh>
    <rPh sb="9" eb="11">
      <t>アンナイ</t>
    </rPh>
    <rPh sb="11" eb="12">
      <t>ニン</t>
    </rPh>
    <phoneticPr fontId="55"/>
  </si>
  <si>
    <t>22-3．誘眠の鼓音</t>
    <rPh sb="5" eb="7">
      <t>ユウミンザイ</t>
    </rPh>
    <rPh sb="8" eb="10">
      <t>ツヅミネ</t>
    </rPh>
    <phoneticPr fontId="55"/>
  </si>
  <si>
    <t>22-4．聖火の啼き声</t>
    <rPh sb="5" eb="7">
      <t>セイカ</t>
    </rPh>
    <rPh sb="8" eb="9">
      <t>ナ</t>
    </rPh>
    <rPh sb="10" eb="11">
      <t>ゴエ</t>
    </rPh>
    <phoneticPr fontId="55"/>
  </si>
  <si>
    <t>22-5．真宴の月光</t>
    <rPh sb="5" eb="6">
      <t>シンエン</t>
    </rPh>
    <rPh sb="6" eb="7">
      <t>ウタゲ</t>
    </rPh>
    <rPh sb="8" eb="10">
      <t>ゲッコウ</t>
    </rPh>
    <phoneticPr fontId="55"/>
  </si>
  <si>
    <t>23-1．牙森の子どもたち</t>
    <rPh sb="5" eb="6">
      <t>キバ</t>
    </rPh>
    <rPh sb="6" eb="7">
      <t>モリ</t>
    </rPh>
    <rPh sb="8" eb="9">
      <t>コ</t>
    </rPh>
    <phoneticPr fontId="55"/>
  </si>
  <si>
    <t>23-2．微笑みの猛蛇</t>
    <rPh sb="5" eb="7">
      <t>ホホエ</t>
    </rPh>
    <rPh sb="9" eb="10">
      <t>タケダケ</t>
    </rPh>
    <rPh sb="10" eb="11">
      <t>ドクダ</t>
    </rPh>
    <phoneticPr fontId="55"/>
  </si>
  <si>
    <t>23-3．震える大地</t>
    <rPh sb="5" eb="6">
      <t>フル</t>
    </rPh>
    <rPh sb="8" eb="10">
      <t>ダイチ</t>
    </rPh>
    <phoneticPr fontId="55"/>
  </si>
  <si>
    <t>23-4．森は咬み千切る</t>
    <rPh sb="5" eb="6">
      <t>モリ</t>
    </rPh>
    <rPh sb="7" eb="8">
      <t>カ</t>
    </rPh>
    <rPh sb="9" eb="11">
      <t>チギ</t>
    </rPh>
    <phoneticPr fontId="55"/>
  </si>
  <si>
    <t>23-5．目醒めの子どもたち</t>
    <rPh sb="5" eb="6">
      <t>メザ</t>
    </rPh>
    <rPh sb="6" eb="7">
      <t>サ</t>
    </rPh>
    <rPh sb="9" eb="10">
      <t>コ</t>
    </rPh>
    <phoneticPr fontId="55"/>
  </si>
  <si>
    <t>24-1．開戦の電磁</t>
    <rPh sb="5" eb="7">
      <t>カイセン</t>
    </rPh>
    <rPh sb="8" eb="10">
      <t>デンジ</t>
    </rPh>
    <phoneticPr fontId="55"/>
  </si>
  <si>
    <t>24-2．奇襲と増援</t>
    <rPh sb="5" eb="7">
      <t>キシュウ</t>
    </rPh>
    <rPh sb="8" eb="10">
      <t>ゾウエン</t>
    </rPh>
    <phoneticPr fontId="55"/>
  </si>
  <si>
    <t>24-3．武器を花に変えて</t>
    <rPh sb="5" eb="7">
      <t>ブキ</t>
    </rPh>
    <rPh sb="8" eb="9">
      <t>ハナ</t>
    </rPh>
    <rPh sb="10" eb="11">
      <t>カ</t>
    </rPh>
    <phoneticPr fontId="55"/>
  </si>
  <si>
    <t>24-4．肉弾の虎将</t>
    <rPh sb="5" eb="7">
      <t>ニクダン</t>
    </rPh>
    <rPh sb="8" eb="10">
      <t>トラショウグン</t>
    </rPh>
    <phoneticPr fontId="55"/>
  </si>
  <si>
    <t>24-5．決戦のヘヴン</t>
    <rPh sb="5" eb="7">
      <t>ケッセン</t>
    </rPh>
    <phoneticPr fontId="55"/>
  </si>
  <si>
    <t>25-1．血塗られた招待状</t>
    <rPh sb="5" eb="7">
      <t>チヌ</t>
    </rPh>
    <rPh sb="10" eb="13">
      <t>ショウタイジョウ</t>
    </rPh>
    <phoneticPr fontId="55"/>
  </si>
  <si>
    <t>25-2．剣の舞</t>
    <rPh sb="5" eb="6">
      <t>ツルギ</t>
    </rPh>
    <rPh sb="7" eb="8">
      <t>マイ</t>
    </rPh>
    <phoneticPr fontId="55"/>
  </si>
  <si>
    <t>25-3．暗闇との対話</t>
    <rPh sb="5" eb="7">
      <t>クラヤミ</t>
    </rPh>
    <rPh sb="9" eb="11">
      <t>タイワ</t>
    </rPh>
    <phoneticPr fontId="55"/>
  </si>
  <si>
    <t>25-4．許されぬ休息</t>
    <rPh sb="5" eb="6">
      <t>ユル</t>
    </rPh>
    <rPh sb="9" eb="11">
      <t>キュウソク</t>
    </rPh>
    <phoneticPr fontId="55"/>
  </si>
  <si>
    <t>25-5．君はサディスティック</t>
    <rPh sb="5" eb="6">
      <t>キミ</t>
    </rPh>
    <phoneticPr fontId="55"/>
  </si>
  <si>
    <t>26-1．無愛想なフロント</t>
    <rPh sb="5" eb="8">
      <t>ブアイソウ</t>
    </rPh>
    <phoneticPr fontId="55"/>
  </si>
  <si>
    <t>26-2．フロアジャック</t>
    <phoneticPr fontId="55"/>
  </si>
  <si>
    <t>26-3．荒ぶる電飾</t>
    <rPh sb="5" eb="6">
      <t>アラ</t>
    </rPh>
    <rPh sb="8" eb="10">
      <t>デンショク</t>
    </rPh>
    <phoneticPr fontId="55"/>
  </si>
  <si>
    <t>26-4．今夜はダークナイト</t>
    <rPh sb="5" eb="7">
      <t>コンヤ</t>
    </rPh>
    <phoneticPr fontId="55"/>
  </si>
  <si>
    <t>26-5．踊る強奪者</t>
    <rPh sb="5" eb="6">
      <t>オド</t>
    </rPh>
    <rPh sb="7" eb="10">
      <t>ゴウダツシャ</t>
    </rPh>
    <phoneticPr fontId="55"/>
  </si>
  <si>
    <t>event</t>
    <phoneticPr fontId="44"/>
  </si>
  <si>
    <t>【キャンペーン限定】 ゴールドカジノ</t>
    <phoneticPr fontId="22"/>
  </si>
  <si>
    <t>黄属性進化素材(キャンペーン開放）</t>
    <rPh sb="0" eb="1">
      <t>キイロ</t>
    </rPh>
    <rPh sb="1" eb="3">
      <t>ゾクセイ</t>
    </rPh>
    <rPh sb="3" eb="7">
      <t>シンカソザイ</t>
    </rPh>
    <rPh sb="14" eb="16">
      <t>カイホウ</t>
    </rPh>
    <phoneticPr fontId="44"/>
  </si>
  <si>
    <t>赤属性進化素材(キャンペーン開放）</t>
    <rPh sb="0" eb="1">
      <t>アカ</t>
    </rPh>
    <phoneticPr fontId="44"/>
  </si>
  <si>
    <t>青属性進化素材（キャンペーン開放）</t>
    <rPh sb="0" eb="1">
      <t>アオ</t>
    </rPh>
    <rPh sb="1" eb="3">
      <t>ゾクセイ</t>
    </rPh>
    <rPh sb="3" eb="7">
      <t>シンカソザイ</t>
    </rPh>
    <rPh sb="14" eb="16">
      <t>カイホウ</t>
    </rPh>
    <phoneticPr fontId="44"/>
  </si>
  <si>
    <t>緑属性進化素材（キャンペーン開放)</t>
    <rPh sb="0" eb="1">
      <t>ミドリ</t>
    </rPh>
    <rPh sb="1" eb="3">
      <t>ゾクセイ</t>
    </rPh>
    <rPh sb="3" eb="7">
      <t>シンカソザイ</t>
    </rPh>
    <rPh sb="14" eb="16">
      <t>カイホウ</t>
    </rPh>
    <phoneticPr fontId="44"/>
  </si>
  <si>
    <t>R5進化素材（キャンペーン開放）</t>
    <rPh sb="13" eb="15">
      <t>カイホウ</t>
    </rPh>
    <phoneticPr fontId="44"/>
  </si>
  <si>
    <t>ビット取得（キャンペーン開放）</t>
    <rPh sb="3" eb="5">
      <t>シュトク</t>
    </rPh>
    <rPh sb="12" eb="14">
      <t>カイホウ</t>
    </rPh>
    <phoneticPr fontId="44"/>
  </si>
  <si>
    <t>土日クエスト1</t>
    <phoneticPr fontId="44"/>
  </si>
  <si>
    <t>土日クエスト2</t>
    <phoneticPr fontId="44"/>
  </si>
  <si>
    <t>quest11006.png</t>
  </si>
  <si>
    <t>quest11006.png</t>
    <phoneticPr fontId="44"/>
  </si>
  <si>
    <t>限界突破素材とスキル素材</t>
    <rPh sb="0" eb="4">
      <t>ゲンカイトッパ</t>
    </rPh>
    <rPh sb="4" eb="6">
      <t>ソザイ</t>
    </rPh>
    <rPh sb="10" eb="12">
      <t>ソザイ</t>
    </rPh>
    <phoneticPr fontId="44"/>
  </si>
  <si>
    <t>期間限定クエスト</t>
    <rPh sb="0" eb="2">
      <t>キカン</t>
    </rPh>
    <rPh sb="2" eb="4">
      <t>ゲンテイ</t>
    </rPh>
    <phoneticPr fontId="44"/>
  </si>
  <si>
    <t>ボーナス</t>
    <phoneticPr fontId="44"/>
  </si>
  <si>
    <t>果実達の大宴会</t>
    <rPh sb="0" eb="2">
      <t>カジツ</t>
    </rPh>
    <rPh sb="2" eb="3">
      <t>タチ</t>
    </rPh>
    <rPh sb="4" eb="7">
      <t>ダイエンカイ</t>
    </rPh>
    <phoneticPr fontId="22"/>
  </si>
  <si>
    <t>stamina</t>
    <phoneticPr fontId="44"/>
  </si>
  <si>
    <t>stage_target</t>
  </si>
  <si>
    <t>stage_target</t>
    <phoneticPr fontId="44"/>
  </si>
  <si>
    <t>everyone</t>
    <phoneticPr fontId="44"/>
  </si>
  <si>
    <t>crash_panel_materials</t>
  </si>
  <si>
    <t>crash_panel_materials</t>
    <phoneticPr fontId="44"/>
  </si>
  <si>
    <t>singleonly</t>
    <phoneticPr fontId="44"/>
  </si>
  <si>
    <t>NULL</t>
    <phoneticPr fontId="44"/>
  </si>
  <si>
    <t>超級</t>
    <rPh sb="0" eb="1">
      <t>チョウ</t>
    </rPh>
    <rPh sb="1" eb="2">
      <t>ジゴクキュウ</t>
    </rPh>
    <phoneticPr fontId="44"/>
  </si>
  <si>
    <t>超絶級</t>
    <rPh sb="0" eb="2">
      <t>チョウゼツ</t>
    </rPh>
    <rPh sb="2" eb="3">
      <t>ジゴクキュウ</t>
    </rPh>
    <phoneticPr fontId="44"/>
  </si>
  <si>
    <t>polygon</t>
    <phoneticPr fontId="44"/>
  </si>
  <si>
    <t>polygon</t>
    <phoneticPr fontId="44"/>
  </si>
  <si>
    <t>ランクアップクエスト</t>
    <phoneticPr fontId="44"/>
  </si>
  <si>
    <t>character</t>
    <phoneticPr fontId="44"/>
  </si>
  <si>
    <t>character</t>
    <phoneticPr fontId="44"/>
  </si>
  <si>
    <t>NULL</t>
    <phoneticPr fontId="44"/>
  </si>
  <si>
    <t>NULL</t>
    <phoneticPr fontId="44"/>
  </si>
  <si>
    <t>NULL</t>
    <phoneticPr fontId="44"/>
  </si>
  <si>
    <t>超絶級</t>
    <rPh sb="0" eb="3">
      <t>チョウゼツキュウ</t>
    </rPh>
    <phoneticPr fontId="44"/>
  </si>
  <si>
    <t>bgm</t>
    <phoneticPr fontId="44"/>
  </si>
  <si>
    <t>bgm_boss</t>
    <phoneticPr fontId="44"/>
  </si>
  <si>
    <t>continue_limit</t>
    <phoneticPr fontId="44"/>
  </si>
  <si>
    <t>continue_limit</t>
    <phoneticPr fontId="44"/>
  </si>
  <si>
    <t>start_date</t>
    <phoneticPr fontId="44"/>
  </si>
  <si>
    <t>天翔ける金轟機龍</t>
    <rPh sb="0" eb="1">
      <t>テン</t>
    </rPh>
    <rPh sb="1" eb="2">
      <t>カ</t>
    </rPh>
    <rPh sb="4" eb="5">
      <t>コンゴウ</t>
    </rPh>
    <rPh sb="5" eb="6">
      <t>トドロ</t>
    </rPh>
    <rPh sb="6" eb="7">
      <t>キ</t>
    </rPh>
    <rPh sb="7" eb="8">
      <t>リュウ</t>
    </rPh>
    <phoneticPr fontId="44"/>
  </si>
  <si>
    <t>multionly</t>
    <phoneticPr fontId="44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</si>
  <si>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</si>
  <si>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</si>
  <si>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</si>
  <si>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</si>
  <si>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</si>
  <si>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</si>
  <si>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.csv</t>
    <phoneticPr fontId="55"/>
  </si>
  <si>
    <t>.csv</t>
    <phoneticPr fontId="55"/>
  </si>
  <si>
    <t>.csv</t>
    <phoneticPr fontId="55"/>
  </si>
  <si>
    <t>quests</t>
  </si>
  <si>
    <t>quests</t>
    <phoneticPr fontId="55"/>
  </si>
  <si>
    <t>quests_i18n</t>
    <phoneticPr fontId="55"/>
  </si>
  <si>
    <t>stages</t>
  </si>
  <si>
    <t>stages</t>
    <phoneticPr fontId="55"/>
  </si>
  <si>
    <t>stages_i18n</t>
    <phoneticPr fontId="55"/>
  </si>
  <si>
    <t>weekly_quests</t>
  </si>
  <si>
    <t>weekly_quests</t>
    <phoneticPr fontId="55"/>
  </si>
  <si>
    <t>rank_quests</t>
  </si>
  <si>
    <t>rank_quests</t>
    <phoneticPr fontId="55"/>
  </si>
  <si>
    <t>event_quests</t>
  </si>
  <si>
    <t>guerilla_quests</t>
    <phoneticPr fontId="44"/>
  </si>
  <si>
    <t>noon_guerilla_times</t>
    <phoneticPr fontId="44"/>
  </si>
  <si>
    <t>night_guerilla_times</t>
    <phoneticPr fontId="44"/>
  </si>
  <si>
    <t>automatic_quest_bonuses</t>
    <phoneticPr fontId="44"/>
  </si>
  <si>
    <t>event_quests</t>
    <phoneticPr fontId="44"/>
  </si>
  <si>
    <t>language</t>
    <phoneticPr fontId="44"/>
  </si>
  <si>
    <t>ja</t>
    <phoneticPr fontId="44"/>
  </si>
  <si>
    <t>language</t>
    <phoneticPr fontId="44"/>
  </si>
  <si>
    <t>ja</t>
    <phoneticPr fontId="44"/>
  </si>
  <si>
    <t>ドロップイベント4（マルチ専用）</t>
    <phoneticPr fontId="44"/>
  </si>
  <si>
    <t>降臨4</t>
    <phoneticPr fontId="44"/>
  </si>
  <si>
    <t>2015-03-27 00:00:00</t>
  </si>
  <si>
    <t>2970-01-01 09:00:00</t>
  </si>
  <si>
    <t>priority</t>
    <phoneticPr fontId="44"/>
  </si>
  <si>
    <t>超級</t>
    <rPh sb="0" eb="2">
      <t>チョウゼツキュウ</t>
    </rPh>
    <phoneticPr fontId="44"/>
  </si>
  <si>
    <t>出力flg</t>
    <rPh sb="0" eb="2">
      <t>シュツリョク</t>
    </rPh>
    <phoneticPr fontId="55"/>
  </si>
  <si>
    <t>old</t>
    <phoneticPr fontId="44"/>
  </si>
  <si>
    <t>ランク開放クエスト Lv8</t>
    <phoneticPr fontId="44"/>
  </si>
  <si>
    <t>ランク開放クエスト</t>
    <phoneticPr fontId="44"/>
  </si>
  <si>
    <t>ドロップイベント4（マルチ専用）</t>
    <phoneticPr fontId="44"/>
  </si>
  <si>
    <t>麒麟襲来！</t>
    <rPh sb="0" eb="2">
      <t>キリン</t>
    </rPh>
    <rPh sb="2" eb="4">
      <t>シュウライ</t>
    </rPh>
    <phoneticPr fontId="20"/>
  </si>
  <si>
    <t>超地獄級</t>
    <rPh sb="0" eb="1">
      <t>チョウ</t>
    </rPh>
    <rPh sb="1" eb="4">
      <t>ジゴクキュウ</t>
    </rPh>
    <phoneticPr fontId="44"/>
  </si>
  <si>
    <t>決戦・竜宮城</t>
    <phoneticPr fontId="44"/>
  </si>
  <si>
    <t>超級ゲリラ</t>
    <rPh sb="0" eb="2">
      <t>チョウキュウ</t>
    </rPh>
    <phoneticPr fontId="44"/>
  </si>
  <si>
    <t>singleonly</t>
    <phoneticPr fontId="44"/>
  </si>
  <si>
    <t>quest11210.png</t>
  </si>
  <si>
    <t>quest30013_2.png</t>
    <phoneticPr fontId="44"/>
  </si>
  <si>
    <t>親指を突き立てろ！</t>
    <rPh sb="0" eb="2">
      <t>オヤユビ</t>
    </rPh>
    <rPh sb="3" eb="4">
      <t>ツ</t>
    </rPh>
    <rPh sb="5" eb="6">
      <t>タ</t>
    </rPh>
    <phoneticPr fontId="44"/>
  </si>
  <si>
    <t>テンプレート</t>
    <phoneticPr fontId="44"/>
  </si>
  <si>
    <t>ミリオンダックより愛をこめて</t>
    <rPh sb="9" eb="14">
      <t>アイ</t>
    </rPh>
    <phoneticPr fontId="44"/>
  </si>
  <si>
    <t>100万DL記念限定クエスト</t>
    <rPh sb="3" eb="4">
      <t>マン</t>
    </rPh>
    <rPh sb="6" eb="8">
      <t>キネン</t>
    </rPh>
    <rPh sb="8" eb="10">
      <t>ゲンテイ</t>
    </rPh>
    <phoneticPr fontId="44"/>
  </si>
  <si>
    <t>once</t>
    <phoneticPr fontId="44"/>
  </si>
  <si>
    <t>detail</t>
    <phoneticPr fontId="44"/>
  </si>
  <si>
    <t>※欠番</t>
    <rPh sb="1" eb="3">
      <t>ケツバン</t>
    </rPh>
    <phoneticPr fontId="22"/>
  </si>
  <si>
    <t>100万DL記念★特別クエスト</t>
    <rPh sb="3" eb="4">
      <t>マン</t>
    </rPh>
    <rPh sb="6" eb="8">
      <t>キネン</t>
    </rPh>
    <rPh sb="9" eb="11">
      <t>トクベツ</t>
    </rPh>
    <phoneticPr fontId="44"/>
  </si>
  <si>
    <t>★100万DL★ビット取得（キャンペーン開放）</t>
    <rPh sb="4" eb="5">
      <t>マン</t>
    </rPh>
    <rPh sb="11" eb="13">
      <t>シュトク</t>
    </rPh>
    <rPh sb="20" eb="22">
      <t>カイホウ</t>
    </rPh>
    <phoneticPr fontId="44"/>
  </si>
  <si>
    <t>multionly</t>
    <phoneticPr fontId="44"/>
  </si>
  <si>
    <t>宮本武蔵襲来！</t>
    <rPh sb="0" eb="2">
      <t>ミヤモt</t>
    </rPh>
    <rPh sb="2" eb="4">
      <t>ムサシ</t>
    </rPh>
    <rPh sb="4" eb="6">
      <t>シュウライ</t>
    </rPh>
    <phoneticPr fontId="20"/>
  </si>
  <si>
    <t>超級カジノ</t>
    <rPh sb="0" eb="2">
      <t>チョウキュウ</t>
    </rPh>
    <phoneticPr fontId="44"/>
  </si>
  <si>
    <t>孤高の一角獣</t>
    <rPh sb="0" eb="2">
      <t>ココウ</t>
    </rPh>
    <rPh sb="3" eb="6">
      <t>イッカクジュウ</t>
    </rPh>
    <phoneticPr fontId="20"/>
  </si>
  <si>
    <t>雷雲からの刺客</t>
    <rPh sb="0" eb="2">
      <t>ライウン</t>
    </rPh>
    <rPh sb="5" eb="7">
      <t>□</t>
    </rPh>
    <phoneticPr fontId="20"/>
  </si>
  <si>
    <t>ザ・キャノン</t>
    <phoneticPr fontId="44"/>
  </si>
  <si>
    <t>スチール・プレデター</t>
    <phoneticPr fontId="44"/>
  </si>
  <si>
    <t>女王陛下の処刑龍</t>
    <rPh sb="0" eb="4">
      <t>ジョオウヘイカ</t>
    </rPh>
    <rPh sb="5" eb="7">
      <t>ショケイ</t>
    </rPh>
    <rPh sb="7" eb="8">
      <t>リュウ</t>
    </rPh>
    <phoneticPr fontId="44"/>
  </si>
  <si>
    <t>迫り来る窒息</t>
    <phoneticPr fontId="44"/>
  </si>
  <si>
    <t>悪夢の一目惚れ</t>
    <phoneticPr fontId="44"/>
  </si>
  <si>
    <t>すべてが灰になる</t>
    <phoneticPr fontId="44"/>
  </si>
  <si>
    <t>罪と劇薬</t>
    <phoneticPr fontId="44"/>
  </si>
  <si>
    <t>復活の捕食者</t>
    <rPh sb="0" eb="2">
      <t>フッカツ</t>
    </rPh>
    <rPh sb="3" eb="6">
      <t>チョウテンホショクシャ</t>
    </rPh>
    <phoneticPr fontId="55"/>
  </si>
  <si>
    <t>最大最凶</t>
    <phoneticPr fontId="55"/>
  </si>
  <si>
    <t>気怠い巨読者</t>
    <rPh sb="0" eb="2">
      <t>ケダル</t>
    </rPh>
    <rPh sb="3" eb="4">
      <t>キョダイ</t>
    </rPh>
    <rPh sb="4" eb="6">
      <t>ドクシャ</t>
    </rPh>
    <phoneticPr fontId="55"/>
  </si>
  <si>
    <t>100万DL記念★育成ブースト！</t>
    <rPh sb="3" eb="4">
      <t>マン</t>
    </rPh>
    <rPh sb="6" eb="8">
      <t>キネン</t>
    </rPh>
    <rPh sb="9" eb="11">
      <t>イクセイ</t>
    </rPh>
    <phoneticPr fontId="44"/>
  </si>
  <si>
    <t>ソロ限定ゲリラクエスト※欠番</t>
    <rPh sb="2" eb="4">
      <t>ゲン</t>
    </rPh>
    <rPh sb="12" eb="14">
      <t>ケツバン</t>
    </rPh>
    <phoneticPr fontId="44"/>
  </si>
  <si>
    <t>100万DL記念★ミリオンダック</t>
    <rPh sb="3" eb="4">
      <t>マン</t>
    </rPh>
    <rPh sb="6" eb="8">
      <t>キネン</t>
    </rPh>
    <phoneticPr fontId="44"/>
  </si>
  <si>
    <t>マルチ専用ゲリラ</t>
    <rPh sb="3" eb="5">
      <t>センヨウ</t>
    </rPh>
    <phoneticPr fontId="44"/>
  </si>
  <si>
    <t>ユニット育成クエスト</t>
    <rPh sb="4" eb="6">
      <t>イクセイ</t>
    </rPh>
    <phoneticPr fontId="44"/>
  </si>
  <si>
    <t>ドロップイベント5（マルチ専用）</t>
    <phoneticPr fontId="44"/>
  </si>
  <si>
    <t>本当にマルチ専用</t>
    <rPh sb="0" eb="2">
      <t>ホントウ</t>
    </rPh>
    <rPh sb="6" eb="8">
      <t>センヨウ</t>
    </rPh>
    <phoneticPr fontId="44"/>
  </si>
  <si>
    <t>quest40001_3.png</t>
    <phoneticPr fontId="55"/>
  </si>
  <si>
    <t>quest40002_3.png</t>
    <phoneticPr fontId="55"/>
  </si>
  <si>
    <t>ドロップイベント5（マルチ専用）</t>
    <phoneticPr fontId="44"/>
  </si>
  <si>
    <t>私がワニの天敵よ？</t>
    <phoneticPr fontId="44"/>
  </si>
  <si>
    <t>兄妹の大冒険</t>
    <phoneticPr fontId="44"/>
  </si>
  <si>
    <t>attribute_red</t>
  </si>
  <si>
    <t>attribute_blue</t>
    <phoneticPr fontId="44"/>
  </si>
  <si>
    <t>attribute_green</t>
    <phoneticPr fontId="44"/>
  </si>
  <si>
    <t>attribute_yellow</t>
    <phoneticPr fontId="44"/>
  </si>
  <si>
    <t>attribute_red</t>
    <phoneticPr fontId="44"/>
  </si>
  <si>
    <t>story</t>
    <phoneticPr fontId="44"/>
  </si>
  <si>
    <t>story</t>
    <phoneticPr fontId="44"/>
  </si>
  <si>
    <t>story文字数</t>
    <rPh sb="5" eb="8">
      <t>モジスウ</t>
    </rPh>
    <phoneticPr fontId="44"/>
  </si>
  <si>
    <t>quest30015_2.png</t>
    <phoneticPr fontId="44"/>
  </si>
  <si>
    <t>quest11210.png</t>
    <phoneticPr fontId="44"/>
  </si>
  <si>
    <t>オズ襲来！</t>
    <rPh sb="2" eb="4">
      <t>シュウライ</t>
    </rPh>
    <phoneticPr fontId="20"/>
  </si>
  <si>
    <t>降臨5</t>
    <phoneticPr fontId="44"/>
  </si>
  <si>
    <t>超降臨1</t>
    <rPh sb="0" eb="1">
      <t>チョ</t>
    </rPh>
    <phoneticPr fontId="44"/>
  </si>
  <si>
    <t>底なしの胃袋</t>
    <phoneticPr fontId="44"/>
  </si>
  <si>
    <t>1ターンに4タップ可能！</t>
    <rPh sb="9" eb="11">
      <t>カノウ</t>
    </rPh>
    <phoneticPr fontId="44"/>
  </si>
  <si>
    <t>1ターンに2タップしかできない！</t>
    <phoneticPr fontId="44"/>
  </si>
  <si>
    <t>5チェインでCパネルができる！</t>
    <phoneticPr fontId="44"/>
  </si>
  <si>
    <t>7チェインしないとCパネルができない！</t>
    <phoneticPr fontId="44"/>
  </si>
  <si>
    <t>コンテニューは1回のみ！</t>
    <rPh sb="8" eb="9">
      <t>イッカイ</t>
    </rPh>
    <phoneticPr fontId="44"/>
  </si>
  <si>
    <t>old</t>
    <phoneticPr fontId="44"/>
  </si>
  <si>
    <t>old</t>
    <phoneticPr fontId="44"/>
  </si>
  <si>
    <t>2015年クリスマスクエスト</t>
    <rPh sb="4" eb="5">
      <t>ネン</t>
    </rPh>
    <phoneticPr fontId="44"/>
  </si>
  <si>
    <t>狩人の挽歌</t>
    <rPh sb="0" eb="2">
      <t>カリウド</t>
    </rPh>
    <rPh sb="3" eb="5">
      <t>バンカ</t>
    </rPh>
    <phoneticPr fontId="44"/>
  </si>
  <si>
    <t>狙撃は終わらない</t>
    <rPh sb="0" eb="2">
      <t>ソゲキ</t>
    </rPh>
    <rPh sb="3" eb="4">
      <t>オ</t>
    </rPh>
    <phoneticPr fontId="44"/>
  </si>
  <si>
    <t>若造よ、身の程を知れ</t>
    <rPh sb="0" eb="2">
      <t>ワカゾウ</t>
    </rPh>
    <rPh sb="4" eb="5">
      <t>ミ</t>
    </rPh>
    <rPh sb="6" eb="7">
      <t>ホド</t>
    </rPh>
    <rPh sb="8" eb="9">
      <t>シ</t>
    </rPh>
    <phoneticPr fontId="44"/>
  </si>
  <si>
    <t>バックストリートファイト</t>
    <phoneticPr fontId="44"/>
  </si>
  <si>
    <t>ランク8開放</t>
    <phoneticPr fontId="44"/>
  </si>
  <si>
    <t>ランク10開放</t>
    <phoneticPr fontId="44"/>
  </si>
  <si>
    <t>ランク15開放</t>
    <rPh sb="5" eb="7">
      <t>カイホ</t>
    </rPh>
    <phoneticPr fontId="44"/>
  </si>
  <si>
    <t>ランク20開放</t>
    <phoneticPr fontId="44"/>
  </si>
  <si>
    <t>ランク25開放</t>
    <phoneticPr fontId="44"/>
  </si>
  <si>
    <t>ランク30開放</t>
    <phoneticPr fontId="44"/>
  </si>
  <si>
    <t>ランク35開放</t>
    <phoneticPr fontId="44"/>
  </si>
  <si>
    <t>ランク40開放</t>
    <phoneticPr fontId="44"/>
  </si>
  <si>
    <t>ランク45開放</t>
    <phoneticPr fontId="44"/>
  </si>
  <si>
    <t>ランク50開放</t>
    <phoneticPr fontId="44"/>
  </si>
  <si>
    <t>ランク55開放</t>
    <phoneticPr fontId="44"/>
  </si>
  <si>
    <t>ランク60開放</t>
    <phoneticPr fontId="44"/>
  </si>
  <si>
    <t>マルチプレイ限定！仲間と挑め！</t>
    <rPh sb="6" eb="8">
      <t>ゲン</t>
    </rPh>
    <rPh sb="9" eb="11">
      <t>ナk</t>
    </rPh>
    <rPh sb="11" eb="14">
      <t>トモダt</t>
    </rPh>
    <phoneticPr fontId="44"/>
  </si>
  <si>
    <t>【マルチ専用1/2】 アヒル捕獲作戦</t>
    <rPh sb="4" eb="6">
      <t>センヨウ</t>
    </rPh>
    <phoneticPr fontId="44"/>
  </si>
  <si>
    <t>クリスマス★特別クエスト</t>
    <rPh sb="6" eb="8">
      <t>トクベツ</t>
    </rPh>
    <phoneticPr fontId="44"/>
  </si>
  <si>
    <t>【超級】カジノ</t>
    <phoneticPr fontId="44"/>
  </si>
  <si>
    <t>【超級】カジノ</t>
    <phoneticPr fontId="44"/>
  </si>
  <si>
    <t>【超級】ゲリラ※欠番</t>
    <rPh sb="8" eb="10">
      <t>ケツバン</t>
    </rPh>
    <phoneticPr fontId="44"/>
  </si>
  <si>
    <t>【初級】雷のチェシャ猫</t>
    <rPh sb="1" eb="3">
      <t>ショキュ</t>
    </rPh>
    <rPh sb="10" eb="11">
      <t>ネコ</t>
    </rPh>
    <phoneticPr fontId="22"/>
  </si>
  <si>
    <t>【中級】雷のウサギ</t>
    <rPh sb="1" eb="3">
      <t>チュ</t>
    </rPh>
    <rPh sb="4" eb="5">
      <t>カミナリ</t>
    </rPh>
    <phoneticPr fontId="22"/>
  </si>
  <si>
    <t>【上級】雷のイモムシ</t>
    <rPh sb="1" eb="3">
      <t>ジョ</t>
    </rPh>
    <phoneticPr fontId="22"/>
  </si>
  <si>
    <t xml:space="preserve">【初級】火のチェシャ猫 </t>
    <rPh sb="1" eb="3">
      <t>ショキュ</t>
    </rPh>
    <rPh sb="4" eb="5">
      <t>ヒ</t>
    </rPh>
    <rPh sb="10" eb="11">
      <t>ネコ</t>
    </rPh>
    <phoneticPr fontId="22"/>
  </si>
  <si>
    <t xml:space="preserve">【中級】火のウサギ </t>
    <rPh sb="1" eb="3">
      <t>チュ</t>
    </rPh>
    <rPh sb="4" eb="5">
      <t>ヒ</t>
    </rPh>
    <phoneticPr fontId="22"/>
  </si>
  <si>
    <t xml:space="preserve">【上級】火のイモムシ </t>
    <rPh sb="1" eb="3">
      <t>ジョ</t>
    </rPh>
    <rPh sb="4" eb="5">
      <t>ヒ</t>
    </rPh>
    <phoneticPr fontId="22"/>
  </si>
  <si>
    <t>【初級】水のチェシャ猫</t>
    <rPh sb="1" eb="3">
      <t>ショキュ</t>
    </rPh>
    <rPh sb="4" eb="5">
      <t>ミズ</t>
    </rPh>
    <rPh sb="10" eb="11">
      <t>ネk</t>
    </rPh>
    <phoneticPr fontId="22"/>
  </si>
  <si>
    <t xml:space="preserve">【中級】水のウサギ </t>
    <rPh sb="1" eb="3">
      <t>チュ</t>
    </rPh>
    <rPh sb="4" eb="5">
      <t>ミズ</t>
    </rPh>
    <phoneticPr fontId="22"/>
  </si>
  <si>
    <t>【上級】水のイモムシ</t>
    <rPh sb="1" eb="3">
      <t>ジョ</t>
    </rPh>
    <rPh sb="4" eb="5">
      <t>ミズ</t>
    </rPh>
    <phoneticPr fontId="22"/>
  </si>
  <si>
    <t xml:space="preserve">【初級】樹のチェシャ猫 </t>
    <rPh sb="1" eb="3">
      <t>ショキュ</t>
    </rPh>
    <rPh sb="4" eb="5">
      <t>キ</t>
    </rPh>
    <rPh sb="10" eb="11">
      <t>ネコ</t>
    </rPh>
    <phoneticPr fontId="22"/>
  </si>
  <si>
    <t>【中級】樹のウサギ</t>
    <rPh sb="1" eb="3">
      <t>チュ</t>
    </rPh>
    <rPh sb="4" eb="5">
      <t>キ</t>
    </rPh>
    <phoneticPr fontId="22"/>
  </si>
  <si>
    <t xml:space="preserve">【上級】樹のイモムシ </t>
    <rPh sb="1" eb="3">
      <t>ジョ</t>
    </rPh>
    <rPh sb="4" eb="5">
      <t>ジュモク</t>
    </rPh>
    <phoneticPr fontId="22"/>
  </si>
  <si>
    <t xml:space="preserve">【超級】火の帽子屋 </t>
    <rPh sb="1" eb="3">
      <t>チョ</t>
    </rPh>
    <rPh sb="4" eb="5">
      <t>ヒ</t>
    </rPh>
    <rPh sb="6" eb="9">
      <t>ボウシヤ</t>
    </rPh>
    <phoneticPr fontId="28"/>
  </si>
  <si>
    <t xml:space="preserve">【超級】樹の帽子屋 </t>
    <rPh sb="1" eb="3">
      <t>チョ</t>
    </rPh>
    <rPh sb="4" eb="5">
      <t>ジュモク</t>
    </rPh>
    <rPh sb="6" eb="9">
      <t>ボウシヤ</t>
    </rPh>
    <phoneticPr fontId="28"/>
  </si>
  <si>
    <t xml:space="preserve">【超級】水の帽子屋 </t>
    <rPh sb="1" eb="3">
      <t>チョ</t>
    </rPh>
    <rPh sb="4" eb="5">
      <t>ミズ</t>
    </rPh>
    <rPh sb="6" eb="9">
      <t>ボウシヤ</t>
    </rPh>
    <phoneticPr fontId="28"/>
  </si>
  <si>
    <t>【超級】雷の帽子屋</t>
    <rPh sb="1" eb="3">
      <t>チョ</t>
    </rPh>
    <rPh sb="4" eb="5">
      <t>カミナリ</t>
    </rPh>
    <rPh sb="6" eb="9">
      <t>ボウシヤ</t>
    </rPh>
    <phoneticPr fontId="28"/>
  </si>
  <si>
    <t xml:space="preserve">【中級】ゴールドカジノ </t>
    <rPh sb="1" eb="3">
      <t>チュ</t>
    </rPh>
    <phoneticPr fontId="44"/>
  </si>
  <si>
    <t xml:space="preserve">【上級】ゴールドカジノ </t>
    <rPh sb="1" eb="3">
      <t>ジョ</t>
    </rPh>
    <phoneticPr fontId="22"/>
  </si>
  <si>
    <t xml:space="preserve">【中級】雷のウサギ </t>
    <rPh sb="1" eb="3">
      <t>チュ</t>
    </rPh>
    <rPh sb="4" eb="5">
      <t>カミナリ</t>
    </rPh>
    <phoneticPr fontId="22"/>
  </si>
  <si>
    <t>【初級】水のチェシャ猫</t>
    <rPh sb="1" eb="3">
      <t>ショキュ</t>
    </rPh>
    <rPh sb="4" eb="5">
      <t>ミズ</t>
    </rPh>
    <rPh sb="10" eb="11">
      <t>ネコ</t>
    </rPh>
    <phoneticPr fontId="22"/>
  </si>
  <si>
    <t xml:space="preserve">【上級】水のイモムシ </t>
    <rPh sb="1" eb="3">
      <t>ジョ</t>
    </rPh>
    <rPh sb="4" eb="5">
      <t>ミズ</t>
    </rPh>
    <phoneticPr fontId="22"/>
  </si>
  <si>
    <t xml:space="preserve">【中級】樹のウサギ </t>
    <rPh sb="1" eb="3">
      <t>チュ</t>
    </rPh>
    <rPh sb="4" eb="5">
      <t>キ</t>
    </rPh>
    <phoneticPr fontId="22"/>
  </si>
  <si>
    <t>【上級】樹のイモムシ</t>
    <rPh sb="1" eb="3">
      <t>ジョ</t>
    </rPh>
    <rPh sb="4" eb="5">
      <t>ジュモク</t>
    </rPh>
    <phoneticPr fontId="22"/>
  </si>
  <si>
    <t>【超級】樹の帽子屋</t>
    <rPh sb="1" eb="3">
      <t>チョ</t>
    </rPh>
    <rPh sb="4" eb="5">
      <t>ジュモク</t>
    </rPh>
    <rPh sb="6" eb="9">
      <t>ボウシヤ</t>
    </rPh>
    <phoneticPr fontId="28"/>
  </si>
  <si>
    <t xml:space="preserve">【超級】雷の帽子屋 </t>
    <rPh sb="1" eb="3">
      <t>チョ</t>
    </rPh>
    <rPh sb="4" eb="5">
      <t>カミナリ</t>
    </rPh>
    <rPh sb="6" eb="9">
      <t>ボウシヤ</t>
    </rPh>
    <phoneticPr fontId="28"/>
  </si>
  <si>
    <t xml:space="preserve">【初級】ゴールドカジノ </t>
    <rPh sb="1" eb="3">
      <t>ショキュ</t>
    </rPh>
    <phoneticPr fontId="44"/>
  </si>
  <si>
    <t xml:space="preserve">【中級】ゴールドカジノ </t>
    <rPh sb="1" eb="2">
      <t>チュ</t>
    </rPh>
    <rPh sb="2" eb="3">
      <t>チョ</t>
    </rPh>
    <phoneticPr fontId="44"/>
  </si>
  <si>
    <t>【初級】ゴールドカジノ</t>
    <rPh sb="1" eb="3">
      <t>ショキュウ</t>
    </rPh>
    <phoneticPr fontId="44"/>
  </si>
  <si>
    <t>【上級】果実達の大宴会</t>
    <rPh sb="1" eb="3">
      <t>ジョ</t>
    </rPh>
    <rPh sb="4" eb="6">
      <t>カジツ</t>
    </rPh>
    <rPh sb="6" eb="7">
      <t>タチ</t>
    </rPh>
    <rPh sb="8" eb="11">
      <t>ダイエンカイ</t>
    </rPh>
    <phoneticPr fontId="22"/>
  </si>
  <si>
    <t>【超級】果実達の大宴会</t>
    <rPh sb="1" eb="3">
      <t>チョ</t>
    </rPh>
    <rPh sb="4" eb="6">
      <t>カジツ</t>
    </rPh>
    <rPh sb="6" eb="7">
      <t>タチ</t>
    </rPh>
    <rPh sb="8" eb="11">
      <t>ダイエンカイ</t>
    </rPh>
    <phoneticPr fontId="22"/>
  </si>
  <si>
    <t>ゲリラ【超級】</t>
    <rPh sb="4" eb="6">
      <t>チョ</t>
    </rPh>
    <phoneticPr fontId="44"/>
  </si>
  <si>
    <t>ゲリラ【超級】</t>
    <phoneticPr fontId="44"/>
  </si>
  <si>
    <t>ゲリラ【超級】</t>
    <phoneticPr fontId="44"/>
  </si>
  <si>
    <t>【超級】雷のジェントルを追え！</t>
    <rPh sb="4" eb="5">
      <t>カミナリ</t>
    </rPh>
    <rPh sb="12" eb="13">
      <t>オ</t>
    </rPh>
    <phoneticPr fontId="44"/>
  </si>
  <si>
    <t>【超級】水のジェントルを追え！</t>
    <rPh sb="4" eb="5">
      <t>ミズ</t>
    </rPh>
    <rPh sb="12" eb="13">
      <t>オ</t>
    </rPh>
    <phoneticPr fontId="44"/>
  </si>
  <si>
    <t>【超級】森のジェントルを追え！</t>
    <rPh sb="4" eb="5">
      <t>モリ</t>
    </rPh>
    <rPh sb="12" eb="13">
      <t>オ</t>
    </rPh>
    <phoneticPr fontId="44"/>
  </si>
  <si>
    <t>【超級】炎のジェントルを追え！</t>
    <rPh sb="4" eb="5">
      <t>ホノオ</t>
    </rPh>
    <rPh sb="12" eb="13">
      <t>オ</t>
    </rPh>
    <phoneticPr fontId="44"/>
  </si>
  <si>
    <t xml:space="preserve">【初級】メタルダックを捕獲せよ！ </t>
    <rPh sb="1" eb="3">
      <t>ショキュ</t>
    </rPh>
    <rPh sb="11" eb="13">
      <t>ホカク</t>
    </rPh>
    <phoneticPr fontId="22"/>
  </si>
  <si>
    <t xml:space="preserve">【上級】メタルダックを捕獲せよ！ </t>
    <rPh sb="1" eb="3">
      <t>ジョ</t>
    </rPh>
    <rPh sb="11" eb="13">
      <t>ホカク</t>
    </rPh>
    <phoneticPr fontId="22"/>
  </si>
  <si>
    <t>チャレンジタワー 1F</t>
    <phoneticPr fontId="22"/>
  </si>
  <si>
    <t>試練の塔</t>
    <rPh sb="0" eb="4">
      <t>シレンン</t>
    </rPh>
    <phoneticPr fontId="44"/>
  </si>
  <si>
    <t xml:space="preserve">【初級】紅き執行者 </t>
    <rPh sb="1" eb="3">
      <t>ショキュ</t>
    </rPh>
    <phoneticPr fontId="44"/>
  </si>
  <si>
    <t>【中級】紅き執行者</t>
    <rPh sb="1" eb="3">
      <t>チュ</t>
    </rPh>
    <phoneticPr fontId="44"/>
  </si>
  <si>
    <t xml:space="preserve">【上級】紅き執行者 </t>
    <rPh sb="1" eb="3">
      <t>ジョ</t>
    </rPh>
    <phoneticPr fontId="44"/>
  </si>
  <si>
    <t xml:space="preserve">【初級】忍び寄る短剣 </t>
    <rPh sb="1" eb="3">
      <t>ショキュ</t>
    </rPh>
    <phoneticPr fontId="44"/>
  </si>
  <si>
    <t xml:space="preserve">【中級】忍び寄る短剣 </t>
    <rPh sb="1" eb="3">
      <t>チュ</t>
    </rPh>
    <phoneticPr fontId="44"/>
  </si>
  <si>
    <t xml:space="preserve">【上級】忍び寄る短剣 </t>
    <rPh sb="1" eb="3">
      <t>ジョ</t>
    </rPh>
    <phoneticPr fontId="44"/>
  </si>
  <si>
    <t>【初級】ザ・キャノン(4タップ）</t>
    <rPh sb="1" eb="3">
      <t>ショキュ</t>
    </rPh>
    <phoneticPr fontId="44"/>
  </si>
  <si>
    <t>【中級】ザ・キャノン(4タップ)</t>
    <rPh sb="1" eb="3">
      <t>チュ</t>
    </rPh>
    <phoneticPr fontId="44"/>
  </si>
  <si>
    <t>【上級】ザ・キャノン(4タップ)</t>
    <rPh sb="1" eb="3">
      <t>ジョ</t>
    </rPh>
    <phoneticPr fontId="44"/>
  </si>
  <si>
    <t>【初級】スチール・プレデター</t>
    <rPh sb="1" eb="3">
      <t>ショキュ</t>
    </rPh>
    <phoneticPr fontId="44"/>
  </si>
  <si>
    <t>【中級】スチール・プレデター</t>
    <rPh sb="1" eb="3">
      <t>チュ</t>
    </rPh>
    <phoneticPr fontId="44"/>
  </si>
  <si>
    <t>【上級】スチール・プレデター</t>
    <rPh sb="1" eb="3">
      <t>ジョ</t>
    </rPh>
    <phoneticPr fontId="44"/>
  </si>
  <si>
    <t>【初級】天翔ける金轟機龍</t>
    <rPh sb="1" eb="3">
      <t>ショキュ</t>
    </rPh>
    <phoneticPr fontId="44"/>
  </si>
  <si>
    <t>【中級】天翔ける金轟機龍</t>
    <rPh sb="1" eb="3">
      <t>チュ</t>
    </rPh>
    <phoneticPr fontId="44"/>
  </si>
  <si>
    <t>【上級】天翔ける金轟機龍</t>
    <rPh sb="1" eb="3">
      <t>ジョ</t>
    </rPh>
    <phoneticPr fontId="44"/>
  </si>
  <si>
    <t>【初級】迫り来る窒息</t>
    <rPh sb="1" eb="3">
      <t>ショキュ</t>
    </rPh>
    <phoneticPr fontId="44"/>
  </si>
  <si>
    <t>【中級】迫り来る窒息</t>
    <rPh sb="1" eb="3">
      <t>チュ</t>
    </rPh>
    <phoneticPr fontId="44"/>
  </si>
  <si>
    <t>【上級】迫り来る窒息</t>
    <rPh sb="1" eb="3">
      <t>ジョ</t>
    </rPh>
    <phoneticPr fontId="44"/>
  </si>
  <si>
    <t>【初級】悪夢の一目惚れ</t>
    <rPh sb="1" eb="3">
      <t>ショキュ</t>
    </rPh>
    <phoneticPr fontId="44"/>
  </si>
  <si>
    <t>【中級】悪夢の一目惚れ</t>
    <rPh sb="1" eb="3">
      <t>チュ</t>
    </rPh>
    <phoneticPr fontId="44"/>
  </si>
  <si>
    <t>【上級】悪夢の一目惚れ</t>
    <rPh sb="1" eb="3">
      <t>ジョ</t>
    </rPh>
    <phoneticPr fontId="44"/>
  </si>
  <si>
    <t>【初級】すべてが灰になる</t>
    <rPh sb="1" eb="3">
      <t>ショキュ</t>
    </rPh>
    <phoneticPr fontId="44"/>
  </si>
  <si>
    <t>【中級】すべてが灰になる</t>
    <rPh sb="1" eb="3">
      <t>チュ</t>
    </rPh>
    <phoneticPr fontId="44"/>
  </si>
  <si>
    <t>【上級】すべてが灰になる</t>
    <rPh sb="1" eb="3">
      <t>ジョ</t>
    </rPh>
    <phoneticPr fontId="44"/>
  </si>
  <si>
    <t>【初級】罪と劇薬</t>
    <rPh sb="1" eb="3">
      <t>ショキュ</t>
    </rPh>
    <phoneticPr fontId="44"/>
  </si>
  <si>
    <t>【中級】罪と劇薬</t>
    <rPh sb="1" eb="3">
      <t>チュ</t>
    </rPh>
    <phoneticPr fontId="44"/>
  </si>
  <si>
    <t>【上級】罪と劇薬</t>
    <rPh sb="1" eb="3">
      <t>ジョ</t>
    </rPh>
    <phoneticPr fontId="44"/>
  </si>
  <si>
    <t xml:space="preserve">【中級】ハンター・オブ・ハンター </t>
    <rPh sb="1" eb="3">
      <t>チュ</t>
    </rPh>
    <phoneticPr fontId="44"/>
  </si>
  <si>
    <t xml:space="preserve">【上級】ハンター・オブ・ハンター </t>
    <rPh sb="1" eb="3">
      <t>ジョ</t>
    </rPh>
    <phoneticPr fontId="44"/>
  </si>
  <si>
    <t xml:space="preserve">【中級】トリックスター </t>
    <rPh sb="1" eb="3">
      <t>チュ</t>
    </rPh>
    <phoneticPr fontId="44"/>
  </si>
  <si>
    <t xml:space="preserve">【上級】トリックスター </t>
    <rPh sb="1" eb="3">
      <t>ジョ</t>
    </rPh>
    <phoneticPr fontId="44"/>
  </si>
  <si>
    <t xml:space="preserve">【中級】打ち下ろされる砕棒 </t>
    <rPh sb="1" eb="3">
      <t>チュ</t>
    </rPh>
    <phoneticPr fontId="44"/>
  </si>
  <si>
    <t>【上級】打ち下ろされる砕棒</t>
    <rPh sb="1" eb="3">
      <t>ジョ</t>
    </rPh>
    <rPh sb="4" eb="5">
      <t>ウ</t>
    </rPh>
    <rPh sb="6" eb="7">
      <t>オ</t>
    </rPh>
    <rPh sb="11" eb="12">
      <t>クダ</t>
    </rPh>
    <rPh sb="12" eb="13">
      <t>ボ</t>
    </rPh>
    <phoneticPr fontId="44"/>
  </si>
  <si>
    <t xml:space="preserve">【中級】危険な仲裁者 </t>
    <rPh sb="1" eb="3">
      <t>チュ</t>
    </rPh>
    <phoneticPr fontId="44"/>
  </si>
  <si>
    <t xml:space="preserve">【上級】危険な仲裁者 </t>
    <rPh sb="1" eb="3">
      <t>ジョ</t>
    </rPh>
    <phoneticPr fontId="44"/>
  </si>
  <si>
    <t xml:space="preserve">【中級】ニンゲンにしてあげる </t>
    <rPh sb="1" eb="3">
      <t>チュ</t>
    </rPh>
    <phoneticPr fontId="44"/>
  </si>
  <si>
    <t xml:space="preserve">【上級】ニンゲンにしてあげる </t>
    <rPh sb="1" eb="3">
      <t>ジョ</t>
    </rPh>
    <phoneticPr fontId="44"/>
  </si>
  <si>
    <t>【中級】それはお前を食べるためさ</t>
    <rPh sb="1" eb="3">
      <t>チュ</t>
    </rPh>
    <rPh sb="8" eb="9">
      <t>マエ</t>
    </rPh>
    <rPh sb="10" eb="11">
      <t>タ</t>
    </rPh>
    <phoneticPr fontId="44"/>
  </si>
  <si>
    <t>【上級】それはお前を食べるためさ</t>
    <rPh sb="1" eb="3">
      <t>ジョ</t>
    </rPh>
    <rPh sb="8" eb="9">
      <t>マエ</t>
    </rPh>
    <rPh sb="10" eb="11">
      <t>タ</t>
    </rPh>
    <phoneticPr fontId="44"/>
  </si>
  <si>
    <t xml:space="preserve">【中級】ガラスの靴は私のもの </t>
    <rPh sb="1" eb="3">
      <t>チュ</t>
    </rPh>
    <phoneticPr fontId="44"/>
  </si>
  <si>
    <t>【超級】それはお前を食べるためさ</t>
    <rPh sb="8" eb="9">
      <t>マエ</t>
    </rPh>
    <rPh sb="10" eb="11">
      <t>タ</t>
    </rPh>
    <phoneticPr fontId="44"/>
  </si>
  <si>
    <t>【上級】ガラスの靴は私のもの</t>
    <rPh sb="1" eb="3">
      <t>ジョ</t>
    </rPh>
    <phoneticPr fontId="44"/>
  </si>
  <si>
    <t>【中級】わたしの嫁を返してもらおう</t>
    <rPh sb="1" eb="3">
      <t>チュ</t>
    </rPh>
    <rPh sb="8" eb="9">
      <t>ヨメ</t>
    </rPh>
    <rPh sb="10" eb="11">
      <t>カエ</t>
    </rPh>
    <phoneticPr fontId="44"/>
  </si>
  <si>
    <t>【上級】わたしの嫁を返してもらおう</t>
    <rPh sb="1" eb="3">
      <t>ジョ</t>
    </rPh>
    <phoneticPr fontId="44"/>
  </si>
  <si>
    <t>【超級】わたしの嫁を返してもらおう</t>
    <rPh sb="1" eb="3">
      <t>チョ</t>
    </rPh>
    <phoneticPr fontId="44"/>
  </si>
  <si>
    <t>【上級】復活の捕食者</t>
    <rPh sb="1" eb="3">
      <t>ジョ</t>
    </rPh>
    <rPh sb="4" eb="6">
      <t>フッカツ</t>
    </rPh>
    <rPh sb="7" eb="10">
      <t>ホショクシャ</t>
    </rPh>
    <phoneticPr fontId="44"/>
  </si>
  <si>
    <t>【超絶級】復活の捕食者</t>
    <rPh sb="1" eb="4">
      <t>チョ</t>
    </rPh>
    <phoneticPr fontId="44"/>
  </si>
  <si>
    <t>【上級】最大最凶</t>
    <rPh sb="1" eb="3">
      <t>ジョ</t>
    </rPh>
    <rPh sb="4" eb="6">
      <t>サイダイ</t>
    </rPh>
    <rPh sb="6" eb="7">
      <t>モット</t>
    </rPh>
    <rPh sb="7" eb="8">
      <t>キョウアク</t>
    </rPh>
    <phoneticPr fontId="44"/>
  </si>
  <si>
    <t>【超級】最大最凶</t>
    <rPh sb="4" eb="6">
      <t>サイダイ</t>
    </rPh>
    <rPh sb="6" eb="7">
      <t>モット</t>
    </rPh>
    <rPh sb="7" eb="8">
      <t>サイキョウアク</t>
    </rPh>
    <phoneticPr fontId="44"/>
  </si>
  <si>
    <t>【超絶級】最大最凶</t>
    <rPh sb="1" eb="4">
      <t>チョウゼツky</t>
    </rPh>
    <rPh sb="5" eb="7">
      <t>サイダイ</t>
    </rPh>
    <rPh sb="7" eb="9">
      <t>サイキョウアク</t>
    </rPh>
    <phoneticPr fontId="44"/>
  </si>
  <si>
    <t>【上級】気怠い巨読者</t>
    <rPh sb="1" eb="3">
      <t>ジョ</t>
    </rPh>
    <rPh sb="4" eb="5">
      <t>キモ</t>
    </rPh>
    <rPh sb="5" eb="6">
      <t>キンタイ</t>
    </rPh>
    <rPh sb="7" eb="10">
      <t>キョドクシャ</t>
    </rPh>
    <phoneticPr fontId="44"/>
  </si>
  <si>
    <t>【超級】気怠い巨読者</t>
    <rPh sb="4" eb="5">
      <t>キモ</t>
    </rPh>
    <rPh sb="5" eb="6">
      <t>キンタイ</t>
    </rPh>
    <rPh sb="7" eb="10">
      <t>キョドクシャ</t>
    </rPh>
    <phoneticPr fontId="44"/>
  </si>
  <si>
    <t>【超絶級】気怠い巨読者</t>
    <rPh sb="1" eb="4">
      <t>チョ</t>
    </rPh>
    <rPh sb="5" eb="6">
      <t>キモ</t>
    </rPh>
    <rPh sb="6" eb="7">
      <t>キンタイ</t>
    </rPh>
    <rPh sb="8" eb="11">
      <t>キョドクシャ</t>
    </rPh>
    <phoneticPr fontId="44"/>
  </si>
  <si>
    <t>【上級】底なしの胃袋</t>
    <rPh sb="1" eb="3">
      <t>ジョ</t>
    </rPh>
    <phoneticPr fontId="44"/>
  </si>
  <si>
    <t>【超級】底なしの胃袋</t>
    <rPh sb="1" eb="3">
      <t>チョ</t>
    </rPh>
    <phoneticPr fontId="44"/>
  </si>
  <si>
    <t>【超絶級】底なしの胃袋</t>
    <rPh sb="1" eb="4">
      <t>チョ</t>
    </rPh>
    <phoneticPr fontId="44"/>
  </si>
  <si>
    <t>【超絶級】決戦・竜宮城</t>
    <rPh sb="1" eb="4">
      <t>チョ</t>
    </rPh>
    <phoneticPr fontId="44"/>
  </si>
  <si>
    <t>【超絶級】親指を突き立てろ！</t>
    <rPh sb="1" eb="4">
      <t>チョ</t>
    </rPh>
    <phoneticPr fontId="44"/>
  </si>
  <si>
    <t>【超絶級】兄妹の大冒険</t>
    <rPh sb="1" eb="4">
      <t>チョウゼツky</t>
    </rPh>
    <phoneticPr fontId="44"/>
  </si>
  <si>
    <t>【超級】私がワニの天敵よ？</t>
    <rPh sb="4" eb="6">
      <t>ワタs</t>
    </rPh>
    <rPh sb="9" eb="13">
      <t>テンテk</t>
    </rPh>
    <phoneticPr fontId="44"/>
  </si>
  <si>
    <t>【超絶級】私がワニの天敵よ？</t>
    <rPh sb="1" eb="4">
      <t>チョ</t>
    </rPh>
    <phoneticPr fontId="44"/>
  </si>
  <si>
    <t>【超級】狩人の挽歌</t>
    <rPh sb="1" eb="3">
      <t>チョ</t>
    </rPh>
    <rPh sb="4" eb="7">
      <t>カr</t>
    </rPh>
    <rPh sb="7" eb="9">
      <t>バンk</t>
    </rPh>
    <phoneticPr fontId="44"/>
  </si>
  <si>
    <t>【超絶級】狩人の挽歌</t>
    <rPh sb="1" eb="4">
      <t>チョ</t>
    </rPh>
    <rPh sb="5" eb="8">
      <t>カr</t>
    </rPh>
    <rPh sb="8" eb="10">
      <t>バンk</t>
    </rPh>
    <phoneticPr fontId="44"/>
  </si>
  <si>
    <t>【超級】バックストリートファイト</t>
    <rPh sb="1" eb="3">
      <t>チョ</t>
    </rPh>
    <phoneticPr fontId="44"/>
  </si>
  <si>
    <t>【超絶級】バックストリートファイト</t>
    <rPh sb="1" eb="4">
      <t>チョ</t>
    </rPh>
    <phoneticPr fontId="44"/>
  </si>
  <si>
    <t>【超級】狙撃は終わらない</t>
    <rPh sb="1" eb="3">
      <t>チョ</t>
    </rPh>
    <rPh sb="4" eb="12">
      <t>ソゲk</t>
    </rPh>
    <phoneticPr fontId="44"/>
  </si>
  <si>
    <t>【超絶級】狙撃は終わらない</t>
    <rPh sb="1" eb="4">
      <t>チョ</t>
    </rPh>
    <rPh sb="5" eb="8">
      <t>ソゲk</t>
    </rPh>
    <rPh sb="8" eb="13">
      <t>オワr</t>
    </rPh>
    <phoneticPr fontId="44"/>
  </si>
  <si>
    <t>【超級】若造よ、身の程を知れ</t>
    <rPh sb="1" eb="3">
      <t>チョ</t>
    </rPh>
    <rPh sb="4" eb="8">
      <t>ワカゾウヨ</t>
    </rPh>
    <rPh sb="8" eb="14">
      <t>ミン</t>
    </rPh>
    <phoneticPr fontId="44"/>
  </si>
  <si>
    <t>【超絶級】若造よ、身の程を知れ</t>
    <rPh sb="1" eb="4">
      <t>チョ</t>
    </rPh>
    <rPh sb="5" eb="8">
      <t>ワカゾ</t>
    </rPh>
    <rPh sb="9" eb="15">
      <t>ミン</t>
    </rPh>
    <phoneticPr fontId="44"/>
  </si>
  <si>
    <t xml:space="preserve">【ウィザード級】アマテラス襲来 </t>
    <rPh sb="6" eb="7">
      <t>キュ</t>
    </rPh>
    <phoneticPr fontId="22"/>
  </si>
  <si>
    <t xml:space="preserve">【超級】アザゼル襲来 </t>
    <rPh sb="1" eb="3">
      <t>チョ</t>
    </rPh>
    <phoneticPr fontId="44"/>
  </si>
  <si>
    <t>【超絶級】アザゼル襲来</t>
    <rPh sb="1" eb="4">
      <t>チョ</t>
    </rPh>
    <phoneticPr fontId="44"/>
  </si>
  <si>
    <t xml:space="preserve">【ウィザード級】アザゼル襲来 </t>
    <rPh sb="6" eb="7">
      <t>キュ</t>
    </rPh>
    <phoneticPr fontId="44"/>
  </si>
  <si>
    <t xml:space="preserve">【ウィザード級】ジャンヌ襲来 </t>
    <rPh sb="6" eb="7">
      <t>キュ</t>
    </rPh>
    <rPh sb="12" eb="14">
      <t>シュウライ</t>
    </rPh>
    <phoneticPr fontId="44"/>
  </si>
  <si>
    <t xml:space="preserve">【ウィザード級】宮本武蔵襲来 </t>
    <rPh sb="6" eb="7">
      <t>キュ</t>
    </rPh>
    <rPh sb="8" eb="10">
      <t>ミヤモt</t>
    </rPh>
    <rPh sb="10" eb="12">
      <t>ムサシ</t>
    </rPh>
    <rPh sb="12" eb="14">
      <t>シュウライ</t>
    </rPh>
    <phoneticPr fontId="44"/>
  </si>
  <si>
    <t xml:space="preserve">【ウィザード級】オズ襲来 </t>
    <rPh sb="6" eb="7">
      <t>キュ</t>
    </rPh>
    <rPh sb="10" eb="12">
      <t>シュウライ</t>
    </rPh>
    <phoneticPr fontId="44"/>
  </si>
  <si>
    <t xml:space="preserve">【超ウィザード級】麒麟襲来 </t>
    <rPh sb="1" eb="8">
      <t>チョウw</t>
    </rPh>
    <rPh sb="9" eb="11">
      <t>キリン</t>
    </rPh>
    <rPh sb="11" eb="13">
      <t>シュウライ</t>
    </rPh>
    <phoneticPr fontId="44"/>
  </si>
  <si>
    <t xml:space="preserve">【ウィザード級】アーサー襲来 </t>
    <rPh sb="6" eb="7">
      <t>キュ</t>
    </rPh>
    <rPh sb="12" eb="14">
      <t>シュウライ</t>
    </rPh>
    <phoneticPr fontId="44"/>
  </si>
  <si>
    <t>降臨6</t>
    <phoneticPr fontId="44"/>
  </si>
  <si>
    <t>アーサー襲来！</t>
    <rPh sb="4" eb="6">
      <t>シュウライ</t>
    </rPh>
    <phoneticPr fontId="20"/>
  </si>
  <si>
    <t>プロメテウスの恋</t>
    <phoneticPr fontId="44"/>
  </si>
  <si>
    <t xml:space="preserve">【超級】ゴールドカジノ </t>
  </si>
  <si>
    <t xml:space="preserve">【超級】ハンター・オブ・ハンター </t>
  </si>
  <si>
    <t xml:space="preserve">【超級】トリックスター </t>
  </si>
  <si>
    <t xml:space="preserve">【超級】打ち下ろされる砕棒 </t>
  </si>
  <si>
    <t xml:space="preserve">【超級】危険な仲裁者 </t>
  </si>
  <si>
    <t>【超級】ニンゲンにしてあげる</t>
  </si>
  <si>
    <t xml:space="preserve">【超級】ガラスの靴は私のもの </t>
  </si>
  <si>
    <t>【超級】復活の捕食者</t>
  </si>
  <si>
    <t>【超級】決戦・竜宮城</t>
  </si>
  <si>
    <t>【超級】親指を突き立てろ！</t>
  </si>
  <si>
    <t>【超級】兄妹の大冒険</t>
  </si>
  <si>
    <t>quest40003_3.png</t>
    <phoneticPr fontId="55"/>
  </si>
  <si>
    <t>ハートが出現しない！</t>
  </si>
  <si>
    <t>ハートが出現しない！</t>
    <rPh sb="4" eb="9">
      <t>sh</t>
    </rPh>
    <phoneticPr fontId="44"/>
  </si>
  <si>
    <t>赤パネルが出現しない！</t>
    <rPh sb="0" eb="4">
      <t>アk</t>
    </rPh>
    <rPh sb="5" eb="10">
      <t>sh</t>
    </rPh>
    <phoneticPr fontId="44"/>
  </si>
  <si>
    <t>緑パネルが出現しない！</t>
    <phoneticPr fontId="44"/>
  </si>
  <si>
    <t>singleonly</t>
    <phoneticPr fontId="44"/>
  </si>
  <si>
    <t>【ストーリー前編】勢いまかせ</t>
    <rPh sb="6" eb="8">
      <t>ゼンペン</t>
    </rPh>
    <rPh sb="9" eb="10">
      <t>イキオ</t>
    </rPh>
    <phoneticPr fontId="22"/>
  </si>
  <si>
    <t>【ストーリー後編】フィーバーの力</t>
    <rPh sb="6" eb="8">
      <t>コウヘン</t>
    </rPh>
    <rPh sb="15" eb="16">
      <t>チカラ</t>
    </rPh>
    <phoneticPr fontId="22"/>
  </si>
  <si>
    <t>character</t>
    <phoneticPr fontId="44"/>
  </si>
  <si>
    <t>none</t>
    <phoneticPr fontId="44"/>
  </si>
  <si>
    <t>【上級】サンタダックを捕獲せよ！</t>
    <rPh sb="1" eb="3">
      <t>ジョウキュウ</t>
    </rPh>
    <rPh sb="11" eb="13">
      <t>ホカク</t>
    </rPh>
    <phoneticPr fontId="22"/>
  </si>
  <si>
    <t>クリスマス★特別ゲリラ</t>
    <rPh sb="6" eb="8">
      <t>トクベツ</t>
    </rPh>
    <phoneticPr fontId="44"/>
  </si>
  <si>
    <t>2015年クリスマスゲリラクエスト</t>
    <rPh sb="4" eb="5">
      <t>ネン</t>
    </rPh>
    <phoneticPr fontId="44"/>
  </si>
  <si>
    <t>noon</t>
    <phoneticPr fontId="44"/>
  </si>
  <si>
    <t>【マルチ】サンタダックを捕獲せよ！</t>
    <rPh sb="12" eb="14">
      <t>ホカク</t>
    </rPh>
    <phoneticPr fontId="44"/>
  </si>
  <si>
    <t>none</t>
    <phoneticPr fontId="44"/>
  </si>
  <si>
    <t>guerilla</t>
    <phoneticPr fontId="44"/>
  </si>
  <si>
    <t>multionly</t>
    <phoneticPr fontId="44"/>
  </si>
  <si>
    <t>520,521,522,523</t>
    <phoneticPr fontId="44"/>
  </si>
  <si>
    <t>【マルチ専用1/2】 ゴールドカジノ</t>
    <rPh sb="4" eb="6">
      <t>センヨウ</t>
    </rPh>
    <phoneticPr fontId="22"/>
  </si>
  <si>
    <t>multionly</t>
  </si>
  <si>
    <t>multionly</t>
    <phoneticPr fontId="44"/>
  </si>
  <si>
    <t>event</t>
    <phoneticPr fontId="44"/>
  </si>
  <si>
    <t>2016年あけおめクエスト</t>
    <rPh sb="4" eb="5">
      <t>ネン</t>
    </rPh>
    <phoneticPr fontId="44"/>
  </si>
  <si>
    <t>2015年年忘れクエスト</t>
    <rPh sb="4" eb="5">
      <t>ネン</t>
    </rPh>
    <rPh sb="5" eb="7">
      <t>トシワス</t>
    </rPh>
    <phoneticPr fontId="44"/>
  </si>
  <si>
    <t>2016年あけおめクエスト</t>
    <rPh sb="4" eb="5">
      <t>ネン</t>
    </rPh>
    <phoneticPr fontId="44"/>
  </si>
  <si>
    <t>年明け★特別クエスト</t>
    <rPh sb="0" eb="2">
      <t>トシア</t>
    </rPh>
    <rPh sb="4" eb="6">
      <t>トクベツ</t>
    </rPh>
    <phoneticPr fontId="44"/>
  </si>
  <si>
    <t>あけおめダックのお年玉</t>
    <rPh sb="9" eb="11">
      <t>トシダマ</t>
    </rPh>
    <phoneticPr fontId="22"/>
  </si>
  <si>
    <t>上級</t>
    <rPh sb="0" eb="2">
      <t>jy</t>
    </rPh>
    <phoneticPr fontId="44"/>
  </si>
  <si>
    <t>中級</t>
    <rPh sb="0" eb="2">
      <t>チュ</t>
    </rPh>
    <phoneticPr fontId="44"/>
  </si>
  <si>
    <t>超級</t>
    <rPh sb="0" eb="2">
      <t>チョ</t>
    </rPh>
    <phoneticPr fontId="44"/>
  </si>
  <si>
    <t>none</t>
    <phoneticPr fontId="44"/>
  </si>
  <si>
    <t>ドロップイベント6（マルチ専用）</t>
    <phoneticPr fontId="44"/>
  </si>
  <si>
    <t>【上級】年を越える宴（ハートなし）</t>
    <rPh sb="1" eb="3">
      <t>ジョウキュウ</t>
    </rPh>
    <rPh sb="4" eb="5">
      <t>トシ</t>
    </rPh>
    <rPh sb="6" eb="7">
      <t>コ</t>
    </rPh>
    <rPh sb="9" eb="10">
      <t>ウタゲ</t>
    </rPh>
    <phoneticPr fontId="22"/>
  </si>
  <si>
    <t>【ストーリー中編】恋の奥義</t>
    <rPh sb="6" eb="8">
      <t>チュウヘン</t>
    </rPh>
    <rPh sb="9" eb="10">
      <t>コイ</t>
    </rPh>
    <rPh sb="11" eb="13">
      <t>オウギ</t>
    </rPh>
    <phoneticPr fontId="22"/>
  </si>
  <si>
    <t>polygon</t>
    <phoneticPr fontId="44"/>
  </si>
  <si>
    <t>年越し★特別クエスト</t>
    <rPh sb="0" eb="2">
      <t>トシコ</t>
    </rPh>
    <rPh sb="4" eb="6">
      <t>トクベツ</t>
    </rPh>
    <phoneticPr fontId="44"/>
  </si>
  <si>
    <t>2015年年越しクエスト</t>
    <rPh sb="4" eb="5">
      <t>ネン</t>
    </rPh>
    <rPh sb="5" eb="7">
      <t>トシコ</t>
    </rPh>
    <phoneticPr fontId="44"/>
  </si>
  <si>
    <t>once</t>
    <phoneticPr fontId="44"/>
  </si>
  <si>
    <t>凶鼠ネコを咬む</t>
    <rPh sb="0" eb="1">
      <t>ダイキョウ</t>
    </rPh>
    <rPh sb="1" eb="2">
      <t>キュウソ</t>
    </rPh>
    <rPh sb="5" eb="6">
      <t>カ</t>
    </rPh>
    <phoneticPr fontId="44"/>
  </si>
  <si>
    <t>【超級】凶鼠ネコを咬む</t>
    <rPh sb="1" eb="3">
      <t>チョウキュウ</t>
    </rPh>
    <rPh sb="4" eb="5">
      <t>ダイキョウ</t>
    </rPh>
    <rPh sb="5" eb="6">
      <t>ネズミ</t>
    </rPh>
    <rPh sb="9" eb="10">
      <t>カ</t>
    </rPh>
    <phoneticPr fontId="44"/>
  </si>
  <si>
    <t>【超絶級】凶鼠ネコを咬む</t>
    <rPh sb="2" eb="3">
      <t>ゼツ</t>
    </rPh>
    <phoneticPr fontId="44"/>
  </si>
  <si>
    <t>polygon</t>
    <phoneticPr fontId="44"/>
  </si>
  <si>
    <t>グリム襲来！</t>
    <rPh sb="3" eb="5">
      <t>シュウライ</t>
    </rPh>
    <phoneticPr fontId="20"/>
  </si>
  <si>
    <t>降臨7</t>
    <phoneticPr fontId="44"/>
  </si>
  <si>
    <t xml:space="preserve">【ウィザード級】グリム襲来 </t>
    <rPh sb="6" eb="7">
      <t>キュ</t>
    </rPh>
    <rPh sb="11" eb="13">
      <t>シュウライ</t>
    </rPh>
    <phoneticPr fontId="44"/>
  </si>
  <si>
    <t>コラボ降臨1</t>
    <phoneticPr fontId="44"/>
  </si>
  <si>
    <t>地獄級</t>
    <rPh sb="0" eb="2">
      <t>ジg</t>
    </rPh>
    <rPh sb="2" eb="3">
      <t>ジゴクキュウ</t>
    </rPh>
    <phoneticPr fontId="44"/>
  </si>
  <si>
    <t>雪の歌姫</t>
    <rPh sb="0" eb="1">
      <t>ユキ</t>
    </rPh>
    <rPh sb="2" eb="4">
      <t>ウタヒメ</t>
    </rPh>
    <phoneticPr fontId="44"/>
  </si>
  <si>
    <t>コラボクエスト</t>
    <phoneticPr fontId="44"/>
  </si>
  <si>
    <t>【初級】雪の歌姫</t>
    <rPh sb="1" eb="2">
      <t>ハツ</t>
    </rPh>
    <rPh sb="2" eb="3">
      <t>キュウ</t>
    </rPh>
    <rPh sb="4" eb="5">
      <t>ユキ</t>
    </rPh>
    <rPh sb="6" eb="8">
      <t>ウタヒメ</t>
    </rPh>
    <phoneticPr fontId="44"/>
  </si>
  <si>
    <t>【中級】雪の歌姫</t>
    <rPh sb="1" eb="2">
      <t>チュウ</t>
    </rPh>
    <rPh sb="2" eb="3">
      <t>ジョ</t>
    </rPh>
    <phoneticPr fontId="44"/>
  </si>
  <si>
    <t>【上級】雪の歌姫</t>
    <rPh sb="1" eb="2">
      <t>ウエ</t>
    </rPh>
    <rPh sb="2" eb="3">
      <t>チョ</t>
    </rPh>
    <phoneticPr fontId="44"/>
  </si>
  <si>
    <t>【超級】雪の歌姫</t>
    <rPh sb="1" eb="3">
      <t>チョウキュウ</t>
    </rPh>
    <phoneticPr fontId="44"/>
  </si>
  <si>
    <t>【超絶級】雪の歌姫</t>
    <rPh sb="2" eb="3">
      <t>ゼツ</t>
    </rPh>
    <phoneticPr fontId="44"/>
  </si>
  <si>
    <t>初級</t>
    <rPh sb="0" eb="1">
      <t>ハツ</t>
    </rPh>
    <rPh sb="1" eb="2">
      <t>チュ</t>
    </rPh>
    <phoneticPr fontId="44"/>
  </si>
  <si>
    <t>野獣死すべしっ！</t>
    <rPh sb="0" eb="8">
      <t>ヤジュ</t>
    </rPh>
    <phoneticPr fontId="44"/>
  </si>
  <si>
    <t>【超緊急！！】メタルジェントルを追え</t>
    <rPh sb="1" eb="2">
      <t>チョウ</t>
    </rPh>
    <rPh sb="2" eb="4">
      <t>キンキュウ</t>
    </rPh>
    <rPh sb="16" eb="17">
      <t>オ</t>
    </rPh>
    <phoneticPr fontId="44"/>
  </si>
  <si>
    <t>ゲリラクエスト</t>
    <phoneticPr fontId="44"/>
  </si>
  <si>
    <t>隔離からのエスケイプ</t>
    <phoneticPr fontId="44"/>
  </si>
  <si>
    <t>降臨8</t>
    <phoneticPr fontId="44"/>
  </si>
  <si>
    <t>1-4. 【1回のみ】ボーナスステージ</t>
    <phoneticPr fontId="44"/>
  </si>
  <si>
    <t>2-4. 【1回のみ】ボーナスステージ</t>
    <phoneticPr fontId="44"/>
  </si>
  <si>
    <t>3-4. 【1回のみ】ボーナスステージ</t>
    <phoneticPr fontId="44"/>
  </si>
  <si>
    <t>4-4. 【1回のみ】ボーナスステージ</t>
    <phoneticPr fontId="44"/>
  </si>
  <si>
    <t>5-4. 【1回のみ】ボーナスステージ</t>
    <phoneticPr fontId="44"/>
  </si>
  <si>
    <t>6-6. 【1回のみ】ボーナスステージ</t>
    <phoneticPr fontId="44"/>
  </si>
  <si>
    <t>7-6. 【1回のみ】ボーナスステージ</t>
    <phoneticPr fontId="44"/>
  </si>
  <si>
    <t>8-6.【1回のみ】ボーナスステージ</t>
    <phoneticPr fontId="44"/>
  </si>
  <si>
    <t>9-6. 【1回のみ】ボーナスステージ</t>
    <phoneticPr fontId="44"/>
  </si>
  <si>
    <t>10-6. 【1回のみ】ボーナスステージ</t>
    <phoneticPr fontId="44"/>
  </si>
  <si>
    <t>11-6. 【1回のみ】ボーナスステージ</t>
    <phoneticPr fontId="44"/>
  </si>
  <si>
    <t>12-6. 【1回のみ】ボーナスステージ</t>
    <phoneticPr fontId="44"/>
  </si>
  <si>
    <t>13-6. 【1回のみ】ボーナスステージ</t>
    <phoneticPr fontId="44"/>
  </si>
  <si>
    <t>14-6. 【1回のみ】ボーナスステージ</t>
    <phoneticPr fontId="44"/>
  </si>
  <si>
    <t>15-6. 【1回のみ】ボーナスステージ</t>
    <phoneticPr fontId="44"/>
  </si>
  <si>
    <t>16-6. 【1回のみ】ボーナスステージ</t>
    <phoneticPr fontId="44"/>
  </si>
  <si>
    <t>17-6. 【1回のみ】ボーナスステージ</t>
    <phoneticPr fontId="44"/>
  </si>
  <si>
    <t>18-6. 【1回のみ】ボーナスステージ</t>
    <phoneticPr fontId="44"/>
  </si>
  <si>
    <t>19-6. 【1回のみ】ボーナスステージ</t>
    <phoneticPr fontId="44"/>
  </si>
  <si>
    <t>20-6. 【1回のみ】ボーナスステージ</t>
    <phoneticPr fontId="44"/>
  </si>
  <si>
    <t>21-6. 【1回のみ】ボーナスステージ</t>
    <phoneticPr fontId="44"/>
  </si>
  <si>
    <t>22-6．【1回のみ】ボーナスステージ</t>
    <phoneticPr fontId="44"/>
  </si>
  <si>
    <t>23-6．【1回のみ】ボーナスステージ</t>
    <phoneticPr fontId="44"/>
  </si>
  <si>
    <t>24-6．【1回のみ】ボーナスステージ</t>
    <phoneticPr fontId="44"/>
  </si>
  <si>
    <t>25-6．【1回のみ】ボーナスステージ</t>
    <phoneticPr fontId="44"/>
  </si>
  <si>
    <t>【1回のみ】ボーナスステージ</t>
    <phoneticPr fontId="44"/>
  </si>
  <si>
    <t>【1回のみ】ボーナスステージ</t>
    <phoneticPr fontId="44"/>
  </si>
  <si>
    <t>【1回のみ】ボーナスステージ</t>
    <phoneticPr fontId="44"/>
  </si>
  <si>
    <t>【超級】野獣死すべしっ！</t>
    <rPh sb="1" eb="3">
      <t>チョ</t>
    </rPh>
    <rPh sb="4" eb="12">
      <t>ヤジュ</t>
    </rPh>
    <phoneticPr fontId="44"/>
  </si>
  <si>
    <t>【中級】野獣死すべしっ！</t>
    <rPh sb="1" eb="3">
      <t>チュ</t>
    </rPh>
    <rPh sb="4" eb="6">
      <t>ヤジュ</t>
    </rPh>
    <rPh sb="6" eb="10">
      <t>シs</t>
    </rPh>
    <phoneticPr fontId="44"/>
  </si>
  <si>
    <t>【上級】野獣死すべしっ！</t>
    <rPh sb="1" eb="3">
      <t>ジョ</t>
    </rPh>
    <rPh sb="4" eb="6">
      <t>ヤジュ</t>
    </rPh>
    <rPh sb="6" eb="12">
      <t>シs</t>
    </rPh>
    <phoneticPr fontId="44"/>
  </si>
  <si>
    <t>【ロッククエスト】経験値</t>
  </si>
  <si>
    <t>【ロッククエスト】ビット</t>
    <phoneticPr fontId="44"/>
  </si>
  <si>
    <t>【ロッククエスト】限界突破</t>
    <rPh sb="9" eb="13">
      <t>ゲンk</t>
    </rPh>
    <phoneticPr fontId="44"/>
  </si>
  <si>
    <t>【超級】ハイローラー（ハートなし）</t>
    <rPh sb="0" eb="3">
      <t>｢チョウキュウ</t>
    </rPh>
    <phoneticPr fontId="44"/>
  </si>
  <si>
    <t>【超級】雷ファミリー（ハートなし）</t>
    <rPh sb="4" eb="5">
      <t>カミナリ</t>
    </rPh>
    <phoneticPr fontId="44"/>
  </si>
  <si>
    <t>【超級】水ファミリー（ハートなし）</t>
    <rPh sb="4" eb="5">
      <t>ミズ</t>
    </rPh>
    <phoneticPr fontId="44"/>
  </si>
  <si>
    <t>【超級】森ファミリー（ハートなし）</t>
    <rPh sb="4" eb="5">
      <t>モリ</t>
    </rPh>
    <phoneticPr fontId="44"/>
  </si>
  <si>
    <t>【超級】炎ファミリー（ハートなし）</t>
    <rPh sb="4" eb="5">
      <t>ホノオ</t>
    </rPh>
    <phoneticPr fontId="44"/>
  </si>
  <si>
    <t>【超級】果実の楽園（ハートなし）</t>
    <rPh sb="1" eb="3">
      <t>チョ</t>
    </rPh>
    <rPh sb="4" eb="6">
      <t>カジツ</t>
    </rPh>
    <rPh sb="7" eb="9">
      <t>ラクエン</t>
    </rPh>
    <phoneticPr fontId="22"/>
  </si>
  <si>
    <t>options</t>
    <phoneticPr fontId="44"/>
  </si>
  <si>
    <t>options</t>
    <phoneticPr fontId="44"/>
  </si>
  <si>
    <t>ドロップイベント7（マルチ専用）</t>
    <phoneticPr fontId="44"/>
  </si>
  <si>
    <t>bgm_boss_last</t>
    <phoneticPr fontId="44"/>
  </si>
  <si>
    <r>
      <t>bgm_boss</t>
    </r>
    <r>
      <rPr>
        <sz val="12"/>
        <color theme="1"/>
        <rFont val="ＭＳ Ｐゴシック"/>
        <family val="2"/>
        <charset val="128"/>
        <scheme val="minor"/>
      </rPr>
      <t>_last</t>
    </r>
    <phoneticPr fontId="44"/>
  </si>
  <si>
    <t>lock</t>
    <phoneticPr fontId="44"/>
  </si>
  <si>
    <t>pay_limit_time</t>
    <phoneticPr fontId="44"/>
  </si>
  <si>
    <t>need_rank</t>
    <phoneticPr fontId="44"/>
  </si>
  <si>
    <t>need_rank</t>
    <phoneticPr fontId="44"/>
  </si>
  <si>
    <t>熱唱！初音ミクV3</t>
    <phoneticPr fontId="20"/>
  </si>
  <si>
    <t>【ウィザード級】熱唱！初音ミクV3</t>
    <rPh sb="1" eb="7">
      <t>チョウw</t>
    </rPh>
    <phoneticPr fontId="44"/>
  </si>
  <si>
    <t>初音ミク コラボクエスト</t>
    <rPh sb="0" eb="2">
      <t>ハツネ</t>
    </rPh>
    <phoneticPr fontId="44"/>
  </si>
  <si>
    <t>バレンタイン★特別クエスト</t>
    <rPh sb="7" eb="9">
      <t>トクベツ</t>
    </rPh>
    <phoneticPr fontId="44"/>
  </si>
  <si>
    <t>2016年バレンタインクエスト</t>
    <rPh sb="4" eb="5">
      <t>ネン</t>
    </rPh>
    <phoneticPr fontId="44"/>
  </si>
  <si>
    <t>ストーリー</t>
    <phoneticPr fontId="44"/>
  </si>
  <si>
    <t>サンドボックス</t>
    <phoneticPr fontId="44"/>
  </si>
  <si>
    <t>ユニット</t>
    <phoneticPr fontId="44"/>
  </si>
  <si>
    <t>ポリゴン</t>
    <phoneticPr fontId="44"/>
  </si>
  <si>
    <t>ビット</t>
    <phoneticPr fontId="44"/>
  </si>
  <si>
    <t>リンク</t>
    <phoneticPr fontId="44"/>
  </si>
  <si>
    <t>polygon</t>
    <phoneticPr fontId="44"/>
  </si>
  <si>
    <t>character</t>
    <phoneticPr fontId="44"/>
  </si>
  <si>
    <t xml:space="preserve">【ウィザード級】フギンとムニン襲来 </t>
    <rPh sb="6" eb="7">
      <t>キュ</t>
    </rPh>
    <rPh sb="15" eb="17">
      <t>シュウライ</t>
    </rPh>
    <phoneticPr fontId="44"/>
  </si>
  <si>
    <t>フギンとムニン襲来！</t>
    <rPh sb="7" eb="9">
      <t>シュウライ</t>
    </rPh>
    <phoneticPr fontId="20"/>
  </si>
  <si>
    <t>降臨9</t>
    <phoneticPr fontId="44"/>
  </si>
  <si>
    <t>Gスター襲来！</t>
    <rPh sb="4" eb="6">
      <t>シュウライ</t>
    </rPh>
    <phoneticPr fontId="20"/>
  </si>
  <si>
    <t xml:space="preserve">【ウィザード級】Gスター襲来 </t>
    <rPh sb="6" eb="7">
      <t>キュ</t>
    </rPh>
    <rPh sb="12" eb="14">
      <t>シュウライ</t>
    </rPh>
    <phoneticPr fontId="44"/>
  </si>
  <si>
    <t>オーディン襲来！</t>
    <rPh sb="5" eb="7">
      <t>シュ</t>
    </rPh>
    <phoneticPr fontId="20"/>
  </si>
  <si>
    <t>超降臨2</t>
    <rPh sb="0" eb="1">
      <t>チョ</t>
    </rPh>
    <phoneticPr fontId="44"/>
  </si>
  <si>
    <t xml:space="preserve">【超ウィザード級】オーディン襲来 </t>
    <rPh sb="1" eb="8">
      <t>チョウw</t>
    </rPh>
    <rPh sb="14" eb="16">
      <t>シュウライ</t>
    </rPh>
    <phoneticPr fontId="44"/>
  </si>
  <si>
    <t>雷鎚の選定</t>
    <phoneticPr fontId="44"/>
  </si>
  <si>
    <t>lineonly</t>
    <phoneticPr fontId="44"/>
  </si>
  <si>
    <t>【ロック】経験値/ソロ</t>
    <rPh sb="5" eb="8">
      <t>ケイケンチ</t>
    </rPh>
    <phoneticPr fontId="44"/>
  </si>
  <si>
    <t>【ロック】ビット/ソロ</t>
    <phoneticPr fontId="44"/>
  </si>
  <si>
    <t>【ロック】限界突破/ソロ</t>
    <rPh sb="5" eb="9">
      <t>ゲンカイトッパ</t>
    </rPh>
    <phoneticPr fontId="44"/>
  </si>
  <si>
    <t>【ロック】経験値/LINEマルチ</t>
    <rPh sb="5" eb="8">
      <t>ケイケンチ</t>
    </rPh>
    <phoneticPr fontId="44"/>
  </si>
  <si>
    <t>【ロック】ビット/LINEマルチ</t>
    <phoneticPr fontId="44"/>
  </si>
  <si>
    <t>【ロック】限界突破/LINEマルチ</t>
    <rPh sb="5" eb="9">
      <t>ゲンカイトッパ</t>
    </rPh>
    <phoneticPr fontId="44"/>
  </si>
  <si>
    <t>【ロック】ビット/LINEマルチ</t>
    <phoneticPr fontId="44"/>
  </si>
  <si>
    <t>【1回のみ】幸せのカタチ</t>
    <rPh sb="2" eb="3">
      <t>カイ</t>
    </rPh>
    <phoneticPr fontId="44"/>
  </si>
  <si>
    <t>【1回のみ】幼女増殖！！</t>
    <rPh sb="2" eb="3">
      <t>カイ</t>
    </rPh>
    <phoneticPr fontId="44"/>
  </si>
  <si>
    <t>【1回のみ】静かなる混乱</t>
    <rPh sb="2" eb="3">
      <t>カイ</t>
    </rPh>
    <phoneticPr fontId="44"/>
  </si>
  <si>
    <t>【1回のみ】紅き侵入者</t>
    <rPh sb="2" eb="3">
      <t>カイ</t>
    </rPh>
    <phoneticPr fontId="44"/>
  </si>
  <si>
    <t>【1回のみ】イブとトモダチと狼男</t>
    <rPh sb="2" eb="3">
      <t>カイ</t>
    </rPh>
    <rPh sb="14" eb="15">
      <t>オオカミ</t>
    </rPh>
    <rPh sb="15" eb="16">
      <t>オトコ</t>
    </rPh>
    <phoneticPr fontId="22"/>
  </si>
  <si>
    <t>【1回のみ】陸と海</t>
    <rPh sb="2" eb="3">
      <t>カイ</t>
    </rPh>
    <rPh sb="6" eb="7">
      <t>リク</t>
    </rPh>
    <rPh sb="8" eb="9">
      <t>ウミ</t>
    </rPh>
    <phoneticPr fontId="22"/>
  </si>
  <si>
    <t>【1回のみ】二人の関係は？</t>
    <rPh sb="2" eb="3">
      <t>カイ</t>
    </rPh>
    <rPh sb="6" eb="8">
      <t>フタリ</t>
    </rPh>
    <rPh sb="9" eb="11">
      <t>カンケイ</t>
    </rPh>
    <phoneticPr fontId="22"/>
  </si>
  <si>
    <t>【1回のみ】大地の杖</t>
    <rPh sb="2" eb="3">
      <t>カイ</t>
    </rPh>
    <phoneticPr fontId="44"/>
  </si>
  <si>
    <t>【1回のみ】迅雷</t>
    <rPh sb="2" eb="3">
      <t>カイ</t>
    </rPh>
    <rPh sb="6" eb="8">
      <t>ジンライ</t>
    </rPh>
    <phoneticPr fontId="22"/>
  </si>
  <si>
    <t>【1回のみ】噛み合わない二柱</t>
    <rPh sb="2" eb="3">
      <t>カイ</t>
    </rPh>
    <rPh sb="6" eb="7">
      <t>カ</t>
    </rPh>
    <rPh sb="8" eb="9">
      <t>アワ</t>
    </rPh>
    <rPh sb="12" eb="13">
      <t>フタリ</t>
    </rPh>
    <rPh sb="13" eb="14">
      <t>ハシラ</t>
    </rPh>
    <phoneticPr fontId="22"/>
  </si>
  <si>
    <t>【1回のみ】美女と美獣</t>
    <rPh sb="2" eb="3">
      <t>カイ</t>
    </rPh>
    <rPh sb="6" eb="8">
      <t>ビジョ</t>
    </rPh>
    <rPh sb="9" eb="11">
      <t>ビジュウ</t>
    </rPh>
    <phoneticPr fontId="44"/>
  </si>
  <si>
    <t>【1回のみ】東と西の女神</t>
    <rPh sb="2" eb="3">
      <t>カイ</t>
    </rPh>
    <rPh sb="6" eb="7">
      <t>ヒガシ</t>
    </rPh>
    <rPh sb="8" eb="9">
      <t>ニシ</t>
    </rPh>
    <rPh sb="10" eb="12">
      <t>メガミ</t>
    </rPh>
    <phoneticPr fontId="44"/>
  </si>
  <si>
    <t>【ランク65開放】【1回のみ】 奪還！太陽神！【仮開放】</t>
    <rPh sb="11" eb="12">
      <t>カイ</t>
    </rPh>
    <rPh sb="16" eb="18">
      <t>ダッカン</t>
    </rPh>
    <rPh sb="19" eb="21">
      <t>タイヨウ</t>
    </rPh>
    <rPh sb="21" eb="22">
      <t>カミ</t>
    </rPh>
    <rPh sb="24" eb="25">
      <t>カリ</t>
    </rPh>
    <phoneticPr fontId="44"/>
  </si>
  <si>
    <t>【ランク90開放】【1回のみ】 星の降る夜に</t>
    <rPh sb="11" eb="12">
      <t>カイ</t>
    </rPh>
    <rPh sb="16" eb="17">
      <t>ホシノ</t>
    </rPh>
    <rPh sb="18" eb="19">
      <t>フ</t>
    </rPh>
    <rPh sb="20" eb="21">
      <t>ヨル</t>
    </rPh>
    <phoneticPr fontId="22"/>
  </si>
  <si>
    <t>【ランク100開放】【1回のみ】 お前のものは誰のもの？</t>
    <rPh sb="12" eb="13">
      <t>カイ</t>
    </rPh>
    <rPh sb="18" eb="19">
      <t>マエ</t>
    </rPh>
    <rPh sb="23" eb="24">
      <t>ダレ</t>
    </rPh>
    <phoneticPr fontId="22"/>
  </si>
  <si>
    <t xml:space="preserve">【ウィザード級】フレイ襲来 </t>
    <rPh sb="6" eb="7">
      <t>キュ</t>
    </rPh>
    <rPh sb="11" eb="13">
      <t>シュウライ</t>
    </rPh>
    <phoneticPr fontId="44"/>
  </si>
  <si>
    <t>フレイ襲来！</t>
    <rPh sb="3" eb="5">
      <t>シュウライ</t>
    </rPh>
    <phoneticPr fontId="20"/>
  </si>
  <si>
    <t>降臨10</t>
    <phoneticPr fontId="44"/>
  </si>
  <si>
    <t>200万DL記念★特別クエスト</t>
    <rPh sb="3" eb="4">
      <t>マン</t>
    </rPh>
    <rPh sb="6" eb="8">
      <t>キネン</t>
    </rPh>
    <rPh sb="9" eb="11">
      <t>トクベツ</t>
    </rPh>
    <phoneticPr fontId="44"/>
  </si>
  <si>
    <t>200万DL記念限定クエスト</t>
    <rPh sb="3" eb="4">
      <t>マン</t>
    </rPh>
    <rPh sb="6" eb="8">
      <t>キネン</t>
    </rPh>
    <rPh sb="8" eb="10">
      <t>ゲンテイ</t>
    </rPh>
    <phoneticPr fontId="44"/>
  </si>
  <si>
    <t>【ストーリー】バレンタイン狂想曲</t>
    <rPh sb="14" eb="15">
      <t>オモ</t>
    </rPh>
    <phoneticPr fontId="22"/>
  </si>
  <si>
    <t>スタートダッシュキャンペーンクエスト</t>
    <phoneticPr fontId="44"/>
  </si>
  <si>
    <t>スタートダッシュキャンペーンクエスト</t>
    <phoneticPr fontId="44"/>
  </si>
  <si>
    <t>ゲリラ【初級】＆カジノ【初級】</t>
    <rPh sb="4" eb="6">
      <t>ショキュウ</t>
    </rPh>
    <rPh sb="12" eb="14">
      <t>ショキュウ</t>
    </rPh>
    <phoneticPr fontId="44"/>
  </si>
  <si>
    <t>真実の探求者</t>
    <rPh sb="0" eb="3">
      <t>シン</t>
    </rPh>
    <rPh sb="3" eb="6">
      <t>タン</t>
    </rPh>
    <phoneticPr fontId="44"/>
  </si>
  <si>
    <t>ja</t>
    <phoneticPr fontId="44"/>
  </si>
  <si>
    <t>ja</t>
    <phoneticPr fontId="44"/>
  </si>
  <si>
    <t>ja</t>
    <phoneticPr fontId="44"/>
  </si>
  <si>
    <t>everyone</t>
    <phoneticPr fontId="44"/>
  </si>
  <si>
    <t>anytime</t>
    <phoneticPr fontId="44"/>
  </si>
  <si>
    <t>【上級】メタルフロッグをもとめて</t>
    <rPh sb="1" eb="3">
      <t>ジョウキュウ</t>
    </rPh>
    <phoneticPr fontId="44"/>
  </si>
  <si>
    <t>イベントクエスト</t>
    <phoneticPr fontId="44"/>
  </si>
  <si>
    <t>イベントクエスト</t>
    <phoneticPr fontId="44"/>
  </si>
  <si>
    <t>経験値イベント</t>
    <rPh sb="0" eb="3">
      <t>ケイケンチ</t>
    </rPh>
    <phoneticPr fontId="44"/>
  </si>
  <si>
    <t>event</t>
    <phoneticPr fontId="44"/>
  </si>
  <si>
    <t>降臨11</t>
    <phoneticPr fontId="44"/>
  </si>
  <si>
    <t>ミリオンダックより愛を込めて 2</t>
    <rPh sb="9" eb="11">
      <t>アイ</t>
    </rPh>
    <rPh sb="11" eb="12">
      <t>コ</t>
    </rPh>
    <phoneticPr fontId="44"/>
  </si>
  <si>
    <t>200万DL記念★ミリオンダック2</t>
    <rPh sb="3" eb="4">
      <t>マン</t>
    </rPh>
    <rPh sb="6" eb="8">
      <t>キネン</t>
    </rPh>
    <phoneticPr fontId="44"/>
  </si>
  <si>
    <t>quest12004.png</t>
    <phoneticPr fontId="44"/>
  </si>
  <si>
    <t>メタルフロッグをもとめて</t>
    <phoneticPr fontId="44"/>
  </si>
  <si>
    <t>道を阻む妖精夫婦</t>
    <phoneticPr fontId="44"/>
  </si>
  <si>
    <t>ショウキ襲来！</t>
    <rPh sb="4" eb="6">
      <t>シュウライ</t>
    </rPh>
    <phoneticPr fontId="20"/>
  </si>
  <si>
    <t>降臨12</t>
    <phoneticPr fontId="44"/>
  </si>
  <si>
    <t xml:space="preserve">【ウィザード級】ショウキ襲来 </t>
    <rPh sb="6" eb="7">
      <t>キュ</t>
    </rPh>
    <rPh sb="12" eb="14">
      <t>シュウライ</t>
    </rPh>
    <phoneticPr fontId="44"/>
  </si>
  <si>
    <t>ヘンペルチャレンジ</t>
    <phoneticPr fontId="20"/>
  </si>
  <si>
    <t>ランキング1</t>
    <phoneticPr fontId="44"/>
  </si>
  <si>
    <t>ja</t>
    <phoneticPr fontId="44"/>
  </si>
  <si>
    <t>ランキング</t>
    <phoneticPr fontId="44"/>
  </si>
  <si>
    <t>none</t>
    <phoneticPr fontId="44"/>
  </si>
  <si>
    <t>黄青DL6</t>
    <rPh sb="0" eb="1">
      <t>キイロ</t>
    </rPh>
    <rPh sb="1" eb="2">
      <t>アオ</t>
    </rPh>
    <phoneticPr fontId="44"/>
  </si>
  <si>
    <t>赤緑DL6</t>
    <rPh sb="0" eb="1">
      <t>アカ</t>
    </rPh>
    <rPh sb="1" eb="2">
      <t>ミドリ</t>
    </rPh>
    <phoneticPr fontId="44"/>
  </si>
  <si>
    <t>緑黄DL6</t>
    <rPh sb="0" eb="1">
      <t>ミドリ</t>
    </rPh>
    <rPh sb="1" eb="2">
      <t>キイロ</t>
    </rPh>
    <phoneticPr fontId="44"/>
  </si>
  <si>
    <t>赤青DL6</t>
    <rPh sb="1" eb="2">
      <t>アオ</t>
    </rPh>
    <phoneticPr fontId="44"/>
  </si>
  <si>
    <t>【月曜限定】 黄の素材verハンプ検証</t>
    <rPh sb="3" eb="5">
      <t>ゲンテイ</t>
    </rPh>
    <rPh sb="7" eb="8">
      <t>キイロ</t>
    </rPh>
    <rPh sb="9" eb="11">
      <t>ソザイ</t>
    </rPh>
    <rPh sb="17" eb="19">
      <t>ケンショ</t>
    </rPh>
    <phoneticPr fontId="22"/>
  </si>
  <si>
    <t>ちびハンプティ検証</t>
    <rPh sb="7" eb="9">
      <t>ケンショ</t>
    </rPh>
    <phoneticPr fontId="44"/>
  </si>
  <si>
    <t>event</t>
    <phoneticPr fontId="44"/>
  </si>
  <si>
    <t>ドロップイベント8（マルチ専用）</t>
    <phoneticPr fontId="44"/>
  </si>
  <si>
    <t>quest11001.png</t>
    <phoneticPr fontId="44"/>
  </si>
  <si>
    <t>検証</t>
    <rPh sb="0" eb="2">
      <t>ケンショ</t>
    </rPh>
    <phoneticPr fontId="44"/>
  </si>
  <si>
    <t>【上級】ハンプティ検証</t>
    <rPh sb="1" eb="3">
      <t>ジョ</t>
    </rPh>
    <rPh sb="9" eb="11">
      <t>ケンショ</t>
    </rPh>
    <phoneticPr fontId="22"/>
  </si>
  <si>
    <t>ranking</t>
    <phoneticPr fontId="44"/>
  </si>
  <si>
    <t>anytime</t>
    <phoneticPr fontId="44"/>
  </si>
  <si>
    <t>singleonly</t>
    <phoneticPr fontId="44"/>
  </si>
  <si>
    <t>凍りつくまで愛してあげる</t>
    <phoneticPr fontId="44"/>
  </si>
  <si>
    <t>ホワイトデー★特別クエスト</t>
    <rPh sb="7" eb="9">
      <t>トクベt</t>
    </rPh>
    <phoneticPr fontId="44"/>
  </si>
  <si>
    <t>2016年ホワイトデークエスト</t>
    <rPh sb="4" eb="5">
      <t>ネン</t>
    </rPh>
    <phoneticPr fontId="44"/>
  </si>
  <si>
    <t>【ストーリー】ホワイトデー独騒曲</t>
    <rPh sb="13" eb="14">
      <t>ヒt</t>
    </rPh>
    <rPh sb="14" eb="15">
      <t>サw</t>
    </rPh>
    <rPh sb="15" eb="16">
      <t>キョk</t>
    </rPh>
    <phoneticPr fontId="44"/>
  </si>
  <si>
    <t xml:space="preserve">【ウィザード級】シヴァ襲来 </t>
    <rPh sb="6" eb="7">
      <t>キュ</t>
    </rPh>
    <rPh sb="11" eb="13">
      <t>シュウライ</t>
    </rPh>
    <phoneticPr fontId="44"/>
  </si>
  <si>
    <t>シヴァ襲来！</t>
    <rPh sb="3" eb="5">
      <t>シュウライ</t>
    </rPh>
    <phoneticPr fontId="20"/>
  </si>
  <si>
    <t>降臨14</t>
    <phoneticPr fontId="44"/>
  </si>
  <si>
    <t>ヨミ襲来！</t>
    <phoneticPr fontId="20"/>
  </si>
  <si>
    <t xml:space="preserve">【ウィザード級】ヨミ襲来 </t>
    <rPh sb="6" eb="7">
      <t>キュ</t>
    </rPh>
    <phoneticPr fontId="44"/>
  </si>
  <si>
    <t>円卓2（マルチ専用）</t>
    <rPh sb="0" eb="2">
      <t>エンタク</t>
    </rPh>
    <phoneticPr fontId="44"/>
  </si>
  <si>
    <t>カーマ襲来！</t>
    <rPh sb="3" eb="5">
      <t>シュウライ</t>
    </rPh>
    <phoneticPr fontId="20"/>
  </si>
  <si>
    <t>降臨13</t>
    <phoneticPr fontId="44"/>
  </si>
  <si>
    <t>最悪の刺客</t>
    <rPh sb="0" eb="2">
      <t>サイアk</t>
    </rPh>
    <rPh sb="3" eb="5">
      <t>シky</t>
    </rPh>
    <phoneticPr fontId="44"/>
  </si>
  <si>
    <t>ランキングクエスト テスト2</t>
    <phoneticPr fontId="44"/>
  </si>
  <si>
    <t>ランキングクエスト テスト1</t>
    <phoneticPr fontId="44"/>
  </si>
  <si>
    <t>ランキングクエスト テスト3</t>
    <phoneticPr fontId="44"/>
  </si>
  <si>
    <t>ランキングクエスト テスト4</t>
    <phoneticPr fontId="44"/>
  </si>
  <si>
    <t>ja</t>
    <phoneticPr fontId="44"/>
  </si>
  <si>
    <t>[ウィザード] 第一回</t>
    <rPh sb="8" eb="11">
      <t>ダ</t>
    </rPh>
    <phoneticPr fontId="44"/>
  </si>
  <si>
    <t>[超級] 第2回　※Wizと難易度は同じ</t>
    <rPh sb="1" eb="3">
      <t>チョ</t>
    </rPh>
    <rPh sb="5" eb="8">
      <t>ダ</t>
    </rPh>
    <rPh sb="14" eb="18">
      <t>ナンイd</t>
    </rPh>
    <rPh sb="18" eb="20">
      <t>オナj</t>
    </rPh>
    <phoneticPr fontId="44"/>
  </si>
  <si>
    <t>[ウィザード] 第2回　※Wizと難易度は同じ</t>
    <rPh sb="8" eb="11">
      <t>ダ</t>
    </rPh>
    <rPh sb="17" eb="21">
      <t>ナンイd</t>
    </rPh>
    <rPh sb="21" eb="23">
      <t>オナj</t>
    </rPh>
    <phoneticPr fontId="44"/>
  </si>
  <si>
    <t>once</t>
    <phoneticPr fontId="44"/>
  </si>
  <si>
    <t>新生活★応援クエスト</t>
    <rPh sb="0" eb="3">
      <t>シンセイカツ</t>
    </rPh>
    <rPh sb="4" eb="6">
      <t>オウエン</t>
    </rPh>
    <phoneticPr fontId="44"/>
  </si>
  <si>
    <t>2016年卒業クエスト</t>
    <rPh sb="4" eb="5">
      <t>ネン</t>
    </rPh>
    <rPh sb="5" eb="7">
      <t>ソツギョウ</t>
    </rPh>
    <phoneticPr fontId="44"/>
  </si>
  <si>
    <t xml:space="preserve">【ウィザード級】カーマ襲来 </t>
    <rPh sb="6" eb="7">
      <t>キュ</t>
    </rPh>
    <rPh sb="11" eb="13">
      <t>シュウライ</t>
    </rPh>
    <phoneticPr fontId="44"/>
  </si>
  <si>
    <t>[中級] 第3回　</t>
    <rPh sb="1" eb="2">
      <t>チュ</t>
    </rPh>
    <rPh sb="2" eb="3">
      <t>チョ</t>
    </rPh>
    <rPh sb="5" eb="8">
      <t>ダ</t>
    </rPh>
    <phoneticPr fontId="44"/>
  </si>
  <si>
    <t>[超級] 第3回　</t>
    <rPh sb="1" eb="3">
      <t>チョ</t>
    </rPh>
    <rPh sb="5" eb="8">
      <t>ダ</t>
    </rPh>
    <phoneticPr fontId="44"/>
  </si>
  <si>
    <t>[ウィザード] 第3回　</t>
    <rPh sb="8" eb="11">
      <t>ダ</t>
    </rPh>
    <phoneticPr fontId="44"/>
  </si>
  <si>
    <t>[ウィザード] 第4回　</t>
    <rPh sb="8" eb="11">
      <t>ダ</t>
    </rPh>
    <phoneticPr fontId="44"/>
  </si>
  <si>
    <t>全ては主のために</t>
    <phoneticPr fontId="44"/>
  </si>
  <si>
    <t>language</t>
    <phoneticPr fontId="44"/>
  </si>
  <si>
    <t>ja</t>
    <phoneticPr fontId="44"/>
  </si>
  <si>
    <r>
      <t>event_quests</t>
    </r>
    <r>
      <rPr>
        <sz val="12"/>
        <color theme="1"/>
        <rFont val="ＭＳ Ｐゴシック"/>
        <family val="2"/>
        <charset val="128"/>
        <scheme val="minor"/>
      </rPr>
      <t>_i18n</t>
    </r>
    <phoneticPr fontId="44"/>
  </si>
  <si>
    <t>language</t>
    <phoneticPr fontId="44"/>
  </si>
  <si>
    <t>【ストーリー】桜舞い散る樹の下で</t>
    <rPh sb="7" eb="9">
      <t>サクラマ</t>
    </rPh>
    <rPh sb="10" eb="11">
      <t>チ</t>
    </rPh>
    <rPh sb="12" eb="13">
      <t>キ</t>
    </rPh>
    <rPh sb="14" eb="15">
      <t>シタ</t>
    </rPh>
    <phoneticPr fontId="44"/>
  </si>
  <si>
    <t>ガレス襲来！</t>
    <rPh sb="3" eb="5">
      <t>シュウライ</t>
    </rPh>
    <phoneticPr fontId="20"/>
  </si>
  <si>
    <t>降臨15</t>
    <phoneticPr fontId="44"/>
  </si>
  <si>
    <t xml:space="preserve">【ウィザード級】ガレス襲来 </t>
    <rPh sb="6" eb="7">
      <t>キュ</t>
    </rPh>
    <rPh sb="11" eb="13">
      <t>シュウライ</t>
    </rPh>
    <phoneticPr fontId="44"/>
  </si>
  <si>
    <t>NULL</t>
    <phoneticPr fontId="44"/>
  </si>
  <si>
    <t>NULL</t>
    <phoneticPr fontId="44"/>
  </si>
  <si>
    <t>コラボ降臨2</t>
  </si>
  <si>
    <t>コラボ降臨3</t>
  </si>
  <si>
    <t>ここは誰の箱庭じゃ？</t>
    <rPh sb="3" eb="9">
      <t>ダレン</t>
    </rPh>
    <phoneticPr fontId="44"/>
  </si>
  <si>
    <t>ランキングクエスト テスト5</t>
    <phoneticPr fontId="44"/>
  </si>
  <si>
    <t>[ウィザード] 第5回　</t>
    <rPh sb="8" eb="11">
      <t>ダ</t>
    </rPh>
    <phoneticPr fontId="44"/>
  </si>
  <si>
    <t>オイラーチャレンジ</t>
    <phoneticPr fontId="20"/>
  </si>
  <si>
    <t>力への羨望</t>
    <phoneticPr fontId="44"/>
  </si>
  <si>
    <t>ドロップイベント9（マルチ専用）</t>
    <phoneticPr fontId="44"/>
  </si>
  <si>
    <t>ドロップイベント10（マルチ専用）</t>
  </si>
  <si>
    <t>valid_flg</t>
    <phoneticPr fontId="44"/>
  </si>
  <si>
    <t>戦国１</t>
    <rPh sb="0" eb="2">
      <t>センゴク</t>
    </rPh>
    <phoneticPr fontId="44"/>
  </si>
  <si>
    <t>降臨16</t>
    <rPh sb="0" eb="2">
      <t>kouriンン</t>
    </rPh>
    <phoneticPr fontId="44"/>
  </si>
  <si>
    <t>織田信長襲来！</t>
    <rPh sb="0" eb="4">
      <t>オd</t>
    </rPh>
    <rPh sb="4" eb="7">
      <t>シュ</t>
    </rPh>
    <phoneticPr fontId="20"/>
  </si>
  <si>
    <t>超降臨3</t>
    <rPh sb="0" eb="1">
      <t>チョ</t>
    </rPh>
    <phoneticPr fontId="44"/>
  </si>
  <si>
    <t>武田信玄襲来！</t>
    <rPh sb="0" eb="4">
      <t>タケd</t>
    </rPh>
    <rPh sb="4" eb="6">
      <t>シュ</t>
    </rPh>
    <phoneticPr fontId="20"/>
  </si>
  <si>
    <t xml:space="preserve">【ウィザード級】武田信玄襲来 </t>
    <rPh sb="6" eb="7">
      <t>キュ</t>
    </rPh>
    <rPh sb="8" eb="12">
      <t>タケd</t>
    </rPh>
    <rPh sb="12" eb="14">
      <t>シュウライ</t>
    </rPh>
    <phoneticPr fontId="44"/>
  </si>
  <si>
    <t>ランキングクエスト</t>
    <phoneticPr fontId="44"/>
  </si>
  <si>
    <t>ランキング1（本番実装用）</t>
    <rPh sb="7" eb="9">
      <t>ホンバン</t>
    </rPh>
    <rPh sb="9" eb="12">
      <t>ジッソウヨウ</t>
    </rPh>
    <phoneticPr fontId="44"/>
  </si>
  <si>
    <t>chat_type</t>
  </si>
  <si>
    <t>normal</t>
    <phoneticPr fontId="44"/>
  </si>
  <si>
    <t>strategy</t>
    <phoneticPr fontId="44"/>
  </si>
  <si>
    <t>赤き竜の制裁</t>
    <phoneticPr fontId="44"/>
  </si>
  <si>
    <t>【火曜限定】 赤の素材verハンプ検証</t>
    <rPh sb="1" eb="2">
      <t>ヒ</t>
    </rPh>
    <rPh sb="3" eb="5">
      <t>ゲンテイ</t>
    </rPh>
    <rPh sb="7" eb="8">
      <t>アカ</t>
    </rPh>
    <rPh sb="9" eb="11">
      <t>ソザイ</t>
    </rPh>
    <rPh sb="17" eb="19">
      <t>ケンショ</t>
    </rPh>
    <phoneticPr fontId="22"/>
  </si>
  <si>
    <t>【水曜限定】 青の素材verハンプ検証</t>
    <rPh sb="1" eb="2">
      <t>ミズ</t>
    </rPh>
    <rPh sb="3" eb="5">
      <t>ゲンテイ</t>
    </rPh>
    <rPh sb="7" eb="8">
      <t>アオ</t>
    </rPh>
    <rPh sb="9" eb="11">
      <t>ソザイ</t>
    </rPh>
    <rPh sb="17" eb="19">
      <t>ケンショ</t>
    </rPh>
    <phoneticPr fontId="22"/>
  </si>
  <si>
    <t>【木曜限定】 緑の素材verハンプ検証</t>
    <rPh sb="1" eb="2">
      <t>モク</t>
    </rPh>
    <rPh sb="3" eb="5">
      <t>ゲンテイ</t>
    </rPh>
    <rPh sb="7" eb="8">
      <t>ミドリ</t>
    </rPh>
    <rPh sb="9" eb="11">
      <t>ソザイ</t>
    </rPh>
    <rPh sb="17" eb="19">
      <t>ケンショ</t>
    </rPh>
    <phoneticPr fontId="22"/>
  </si>
  <si>
    <t>超絶級</t>
    <rPh sb="0" eb="2">
      <t>チョウゼt</t>
    </rPh>
    <rPh sb="2" eb="3">
      <t>ジゴクキュウ</t>
    </rPh>
    <phoneticPr fontId="44"/>
  </si>
  <si>
    <t>【初級】天の時、地の利、人の和</t>
    <rPh sb="1" eb="3">
      <t>ショキュウ</t>
    </rPh>
    <phoneticPr fontId="44"/>
  </si>
  <si>
    <t>【中級】天の時、地の利、人の和</t>
    <rPh sb="1" eb="2">
      <t>ナカ</t>
    </rPh>
    <rPh sb="2" eb="3">
      <t>ジョ</t>
    </rPh>
    <phoneticPr fontId="44"/>
  </si>
  <si>
    <t>【上級】天の時、地の利、人の和</t>
    <rPh sb="1" eb="3">
      <t>ジョ</t>
    </rPh>
    <phoneticPr fontId="44"/>
  </si>
  <si>
    <t>天の時、地の利、人の和</t>
    <phoneticPr fontId="44"/>
  </si>
  <si>
    <t>期間限定クエスト</t>
    <phoneticPr fontId="44"/>
  </si>
  <si>
    <t>ドロップイベント4</t>
    <phoneticPr fontId="44"/>
  </si>
  <si>
    <t>御館様の懐刀</t>
    <phoneticPr fontId="44"/>
  </si>
  <si>
    <t>【中級】御館様の懐刀</t>
    <rPh sb="1" eb="2">
      <t>ナカ</t>
    </rPh>
    <rPh sb="2" eb="3">
      <t>ショキュウ</t>
    </rPh>
    <phoneticPr fontId="44"/>
  </si>
  <si>
    <t>【上級】御館様の懐刀</t>
    <rPh sb="1" eb="2">
      <t>ウエ</t>
    </rPh>
    <rPh sb="2" eb="3">
      <t>チョウキュウ</t>
    </rPh>
    <phoneticPr fontId="44"/>
  </si>
  <si>
    <t>【超級】御館様の懐刀</t>
    <rPh sb="1" eb="2">
      <t>チョウ</t>
    </rPh>
    <rPh sb="2" eb="3">
      <t>チョウキュウ</t>
    </rPh>
    <phoneticPr fontId="44"/>
  </si>
  <si>
    <t>27-2. 霊峰の守護者</t>
    <phoneticPr fontId="44"/>
  </si>
  <si>
    <t>27-3. 山岳の王者</t>
    <phoneticPr fontId="44"/>
  </si>
  <si>
    <t>26-6．【1回のみ】ボーナスステージ</t>
    <phoneticPr fontId="44"/>
  </si>
  <si>
    <t>28. 暴風と灼熱の罪浄</t>
    <phoneticPr fontId="44"/>
  </si>
  <si>
    <t>28-1. 轟翼のかまど</t>
    <phoneticPr fontId="44"/>
  </si>
  <si>
    <t>28-2. 空の寝殿</t>
    <phoneticPr fontId="44"/>
  </si>
  <si>
    <t>28-3. 縛風の洞窟</t>
    <rPh sb="9" eb="11">
      <t>ドウクツ</t>
    </rPh>
    <phoneticPr fontId="44"/>
  </si>
  <si>
    <t>27-4. 【1回のみ】ボーナスステージ</t>
    <phoneticPr fontId="44"/>
  </si>
  <si>
    <t>ヘンペルチャレンジ</t>
    <phoneticPr fontId="20"/>
  </si>
  <si>
    <t>ウィザード級</t>
    <rPh sb="0" eb="6">
      <t>ウ</t>
    </rPh>
    <phoneticPr fontId="44"/>
  </si>
  <si>
    <t>襲来クエスト</t>
    <phoneticPr fontId="44"/>
  </si>
  <si>
    <t xml:space="preserve">【ノーコンテニュー】武田信玄襲来 </t>
    <rPh sb="10" eb="14">
      <t>タケd</t>
    </rPh>
    <rPh sb="14" eb="16">
      <t>シュウライ</t>
    </rPh>
    <phoneticPr fontId="44"/>
  </si>
  <si>
    <t>天使と悪魔</t>
    <rPh sb="0" eb="2">
      <t>テンシトアクマ</t>
    </rPh>
    <phoneticPr fontId="44"/>
  </si>
  <si>
    <t>天使と悪魔編1</t>
    <rPh sb="0" eb="2">
      <t>テンシトアクマ</t>
    </rPh>
    <rPh sb="5" eb="6">
      <t>ヘン</t>
    </rPh>
    <phoneticPr fontId="44"/>
  </si>
  <si>
    <t>降臨17</t>
    <rPh sb="0" eb="2">
      <t>kouriンン</t>
    </rPh>
    <phoneticPr fontId="44"/>
  </si>
  <si>
    <t>ベルゼブブ襲来！</t>
    <rPh sb="5" eb="7">
      <t>シュ</t>
    </rPh>
    <phoneticPr fontId="20"/>
  </si>
  <si>
    <t>記念クエスト</t>
    <rPh sb="0" eb="2">
      <t>キネンクエスト</t>
    </rPh>
    <phoneticPr fontId="44"/>
  </si>
  <si>
    <t>28-4. 【1回のみ】ボーナスステージ</t>
    <phoneticPr fontId="44"/>
  </si>
  <si>
    <t>ブルースクウェアを追え！</t>
  </si>
  <si>
    <t>折原臨也襲来！</t>
  </si>
  <si>
    <t>【初級】黄巾賊の暴走を止めろ</t>
    <rPh sb="1" eb="2">
      <t>ハツ</t>
    </rPh>
    <rPh sb="2" eb="3">
      <t>キュウ</t>
    </rPh>
    <phoneticPr fontId="44"/>
  </si>
  <si>
    <t>【中級】黄巾賊の暴走を止めろ</t>
    <rPh sb="1" eb="2">
      <t>チュウ</t>
    </rPh>
    <rPh sb="2" eb="3">
      <t>ジョ</t>
    </rPh>
    <phoneticPr fontId="44"/>
  </si>
  <si>
    <t>【上級】黄巾賊の暴走を止めろ</t>
    <rPh sb="1" eb="2">
      <t>ウエ</t>
    </rPh>
    <rPh sb="2" eb="3">
      <t>チョ</t>
    </rPh>
    <phoneticPr fontId="44"/>
  </si>
  <si>
    <t>【超級】黄巾賊の暴走を止めろ</t>
    <rPh sb="1" eb="3">
      <t>チョウキュウ</t>
    </rPh>
    <phoneticPr fontId="44"/>
  </si>
  <si>
    <t>【初級】ブルースクウェアを追え！</t>
    <rPh sb="1" eb="2">
      <t>ハツ</t>
    </rPh>
    <rPh sb="2" eb="3">
      <t>キュウ</t>
    </rPh>
    <phoneticPr fontId="44"/>
  </si>
  <si>
    <t>【中級】ブルースクウェアを追え！</t>
    <rPh sb="1" eb="2">
      <t>チュウ</t>
    </rPh>
    <rPh sb="2" eb="3">
      <t>ジョ</t>
    </rPh>
    <phoneticPr fontId="44"/>
  </si>
  <si>
    <t>【上級】ブルースクウェアを追え！</t>
    <rPh sb="1" eb="2">
      <t>ウエ</t>
    </rPh>
    <rPh sb="2" eb="3">
      <t>チョ</t>
    </rPh>
    <phoneticPr fontId="44"/>
  </si>
  <si>
    <t>【超級】ブルースクウェアを追え！</t>
    <rPh sb="1" eb="3">
      <t>チョウキュウ</t>
    </rPh>
    <phoneticPr fontId="44"/>
  </si>
  <si>
    <t>【ウィザード級】園原杏里襲来</t>
    <rPh sb="1" eb="7">
      <t>チョウw</t>
    </rPh>
    <phoneticPr fontId="44"/>
  </si>
  <si>
    <t>【ウィザード級】折原臨也襲来</t>
    <rPh sb="1" eb="7">
      <t>チョウw</t>
    </rPh>
    <phoneticPr fontId="44"/>
  </si>
  <si>
    <t>27. 雷雨の登山道</t>
    <phoneticPr fontId="44"/>
  </si>
  <si>
    <t>29. 雪の望郷</t>
    <phoneticPr fontId="44"/>
  </si>
  <si>
    <t>超絶級（★6覚醒素材）</t>
    <rPh sb="0" eb="2">
      <t>チョウゼツ</t>
    </rPh>
    <rPh sb="2" eb="3">
      <t>キュウ</t>
    </rPh>
    <phoneticPr fontId="44"/>
  </si>
  <si>
    <t>超絶級（★6覚醒素材）</t>
    <phoneticPr fontId="44"/>
  </si>
  <si>
    <t>【超絶級】ジャンヌ襲来</t>
    <rPh sb="1" eb="3">
      <t>チョ</t>
    </rPh>
    <rPh sb="3" eb="4">
      <t>キュ</t>
    </rPh>
    <phoneticPr fontId="22"/>
  </si>
  <si>
    <t>【ウィザード級】ジャンヌ襲来</t>
    <rPh sb="6" eb="7">
      <t>キュ</t>
    </rPh>
    <phoneticPr fontId="22"/>
  </si>
  <si>
    <t>【ノーコンテニュー】ジャンヌ襲来</t>
    <phoneticPr fontId="22"/>
  </si>
  <si>
    <t>デュラララ!!　コラボクエスト</t>
    <phoneticPr fontId="44"/>
  </si>
  <si>
    <t>【ノーコンテニュー】折原臨也襲来</t>
    <phoneticPr fontId="44"/>
  </si>
  <si>
    <t>29-1. 雪の中のケモノたち</t>
    <phoneticPr fontId="44"/>
  </si>
  <si>
    <t>29-2. ねこみみマフラー</t>
    <phoneticPr fontId="44"/>
  </si>
  <si>
    <t>29-3. 仕立屋と兄妹</t>
    <phoneticPr fontId="44"/>
  </si>
  <si>
    <t>29-4. 【1回のみ】ボーナスステージ</t>
    <phoneticPr fontId="44"/>
  </si>
  <si>
    <t>30-1. 月夜に煌めく刃</t>
    <phoneticPr fontId="44"/>
  </si>
  <si>
    <t>30-2. 深夜のお茶会</t>
    <phoneticPr fontId="44"/>
  </si>
  <si>
    <t>none</t>
    <phoneticPr fontId="44"/>
  </si>
  <si>
    <t>NULL</t>
    <phoneticPr fontId="44"/>
  </si>
  <si>
    <t>NULL</t>
    <phoneticPr fontId="44"/>
  </si>
  <si>
    <t>黄巾賊の暴走を止めろ！</t>
    <phoneticPr fontId="44"/>
  </si>
  <si>
    <t>【超絶級】醒電の眠りネズミ</t>
    <rPh sb="1" eb="3">
      <t>チョ</t>
    </rPh>
    <phoneticPr fontId="44"/>
  </si>
  <si>
    <t>【超絶級】炎上のドードー</t>
    <rPh sb="1" eb="3">
      <t>チョ</t>
    </rPh>
    <phoneticPr fontId="44"/>
  </si>
  <si>
    <t>【超絶級】千風のグリフォン</t>
    <rPh sb="1" eb="3">
      <t>チョ</t>
    </rPh>
    <phoneticPr fontId="44"/>
  </si>
  <si>
    <t>【超絶級】深淵の代用ウミガメ</t>
    <rPh sb="1" eb="3">
      <t>チョ</t>
    </rPh>
    <phoneticPr fontId="44"/>
  </si>
  <si>
    <t xml:space="preserve">【超絶級】ベルゼブブ襲来 </t>
    <rPh sb="1" eb="3">
      <t>チョウゼツ</t>
    </rPh>
    <rPh sb="3" eb="4">
      <t>キュ</t>
    </rPh>
    <rPh sb="10" eb="12">
      <t>シュウライ</t>
    </rPh>
    <phoneticPr fontId="44"/>
  </si>
  <si>
    <t>【ウィザード級】ベルゼブブ襲来</t>
    <rPh sb="6" eb="7">
      <t>キュ</t>
    </rPh>
    <phoneticPr fontId="44"/>
  </si>
  <si>
    <t>【超絶級】アマテラス襲来</t>
    <rPh sb="1" eb="3">
      <t>チョ</t>
    </rPh>
    <rPh sb="3" eb="4">
      <t>キュ</t>
    </rPh>
    <phoneticPr fontId="22"/>
  </si>
  <si>
    <t>【ウィザード級】アマテラス襲来</t>
    <rPh sb="6" eb="7">
      <t>キュ</t>
    </rPh>
    <phoneticPr fontId="22"/>
  </si>
  <si>
    <t>【ノーコンテニュー】アマテラス襲来</t>
    <phoneticPr fontId="22"/>
  </si>
  <si>
    <t>【超絶級】アザゼル襲来</t>
    <rPh sb="1" eb="3">
      <t>チョ</t>
    </rPh>
    <rPh sb="3" eb="4">
      <t>キュ</t>
    </rPh>
    <phoneticPr fontId="22"/>
  </si>
  <si>
    <t>【ウィザード級】アザゼル襲来</t>
    <rPh sb="6" eb="7">
      <t>キュ</t>
    </rPh>
    <phoneticPr fontId="22"/>
  </si>
  <si>
    <t xml:space="preserve">【超ウィザード級】織田信長襲来 </t>
    <rPh sb="1" eb="8">
      <t>チョウw</t>
    </rPh>
    <rPh sb="9" eb="13">
      <t>オd</t>
    </rPh>
    <rPh sb="13" eb="15">
      <t>シュウライ</t>
    </rPh>
    <phoneticPr fontId="44"/>
  </si>
  <si>
    <t>ランキング1（改修版）</t>
    <rPh sb="7" eb="9">
      <t>カイシュウ</t>
    </rPh>
    <rPh sb="9" eb="10">
      <t>バン</t>
    </rPh>
    <phoneticPr fontId="44"/>
  </si>
  <si>
    <t>27-1. 登山道入口</t>
    <phoneticPr fontId="44"/>
  </si>
  <si>
    <t>30. 月夜のオールドシティ</t>
    <phoneticPr fontId="44"/>
  </si>
  <si>
    <t>31. 桜花乱城</t>
    <phoneticPr fontId="44"/>
  </si>
  <si>
    <t>30-4. 【1回のみ】ボーナスステージ</t>
    <phoneticPr fontId="44"/>
  </si>
  <si>
    <t>30-3. 月影の襲撃者</t>
    <phoneticPr fontId="44"/>
  </si>
  <si>
    <t>31-1. 忍び寄る影</t>
    <phoneticPr fontId="44"/>
  </si>
  <si>
    <t>31-2. 赤鉄の将</t>
    <phoneticPr fontId="44"/>
  </si>
  <si>
    <t>31-3. 神域の試練</t>
    <phoneticPr fontId="44"/>
  </si>
  <si>
    <t>31-4. 【1回のみ】ボーナスステージ</t>
    <phoneticPr fontId="44"/>
  </si>
  <si>
    <t>valid_flg</t>
    <phoneticPr fontId="44"/>
  </si>
  <si>
    <t>asc</t>
    <phoneticPr fontId="44"/>
  </si>
  <si>
    <t>【上級】ゴールドカジノ （ハートなし）</t>
    <rPh sb="1" eb="3">
      <t>ジョ</t>
    </rPh>
    <phoneticPr fontId="22"/>
  </si>
  <si>
    <t>quest39002_2.png</t>
    <phoneticPr fontId="44"/>
  </si>
  <si>
    <t>魅了する歌声</t>
    <phoneticPr fontId="44"/>
  </si>
  <si>
    <t>【初級】魅了する歌声</t>
    <rPh sb="1" eb="3">
      <t>ショキュウ</t>
    </rPh>
    <phoneticPr fontId="44"/>
  </si>
  <si>
    <t>【中級】魅了する歌声</t>
    <rPh sb="1" eb="2">
      <t>ナカ</t>
    </rPh>
    <rPh sb="2" eb="3">
      <t>ジョ</t>
    </rPh>
    <phoneticPr fontId="44"/>
  </si>
  <si>
    <t>【上級】魅了する歌声</t>
    <rPh sb="1" eb="3">
      <t>ジョ</t>
    </rPh>
    <phoneticPr fontId="44"/>
  </si>
  <si>
    <t>4チェインでCパネルができる！</t>
    <phoneticPr fontId="44"/>
  </si>
  <si>
    <t>【初級】ゴールドカジノ</t>
    <rPh sb="1" eb="3">
      <t>ショキュ</t>
    </rPh>
    <phoneticPr fontId="44"/>
  </si>
  <si>
    <t>曜日クエスト(ハートなし)</t>
    <phoneticPr fontId="44"/>
  </si>
  <si>
    <t>曜日クエスト(ハートなし)</t>
    <phoneticPr fontId="44"/>
  </si>
  <si>
    <t>期間限定クエスト（ハートなし）</t>
    <rPh sb="0" eb="2">
      <t>キカン</t>
    </rPh>
    <rPh sb="2" eb="4">
      <t>ゲンテイ</t>
    </rPh>
    <phoneticPr fontId="44"/>
  </si>
  <si>
    <t>【初級】メタルダックを捕獲せよ！</t>
    <rPh sb="1" eb="3">
      <t>ショキュ</t>
    </rPh>
    <rPh sb="11" eb="13">
      <t>ホカク</t>
    </rPh>
    <phoneticPr fontId="22"/>
  </si>
  <si>
    <t>【上級】メタルダックを捕獲せよ！</t>
    <rPh sb="1" eb="3">
      <t>ジョ</t>
    </rPh>
    <rPh sb="11" eb="13">
      <t>ホカク</t>
    </rPh>
    <phoneticPr fontId="22"/>
  </si>
  <si>
    <t>ゲリラクエスト(ハートなし)</t>
    <phoneticPr fontId="44"/>
  </si>
  <si>
    <t>【初級】女王陛下の処刑龍</t>
    <rPh sb="1" eb="3">
      <t>ショキュ</t>
    </rPh>
    <phoneticPr fontId="44"/>
  </si>
  <si>
    <t>【中級】女王陛下の処刑龍</t>
    <rPh sb="1" eb="3">
      <t>チュ</t>
    </rPh>
    <phoneticPr fontId="44"/>
  </si>
  <si>
    <t>【上級】女王陛下の処刑龍</t>
    <rPh sb="1" eb="3">
      <t>ジョ</t>
    </rPh>
    <phoneticPr fontId="44"/>
  </si>
  <si>
    <t>【中級】雷雲からの刺客</t>
    <rPh sb="1" eb="3">
      <t>チュウキュ</t>
    </rPh>
    <phoneticPr fontId="44"/>
  </si>
  <si>
    <t>【上級】雷雲からの刺客</t>
    <rPh sb="1" eb="3">
      <t>ジョ</t>
    </rPh>
    <phoneticPr fontId="44"/>
  </si>
  <si>
    <t>【初級】雷雲からの刺客</t>
    <rPh sb="1" eb="3">
      <t>ショキュ</t>
    </rPh>
    <phoneticPr fontId="44"/>
  </si>
  <si>
    <t>【初級】孤高の一角獣</t>
    <rPh sb="1" eb="3">
      <t>ショキュ</t>
    </rPh>
    <phoneticPr fontId="44"/>
  </si>
  <si>
    <t>【中級】孤高の一角獣</t>
    <rPh sb="1" eb="3">
      <t>チュ</t>
    </rPh>
    <phoneticPr fontId="44"/>
  </si>
  <si>
    <t>【上級】孤高の一角獣</t>
    <rPh sb="1" eb="3">
      <t>ジョ</t>
    </rPh>
    <phoneticPr fontId="44"/>
  </si>
  <si>
    <t>おとぎ話シリーズ3</t>
    <phoneticPr fontId="44"/>
  </si>
  <si>
    <t xml:space="preserve">【超級】メタルダックを捕獲せよ！ </t>
    <rPh sb="1" eb="3">
      <t>チョウキュウ</t>
    </rPh>
    <rPh sb="11" eb="13">
      <t>ホカク</t>
    </rPh>
    <phoneticPr fontId="22"/>
  </si>
  <si>
    <t>ルシファー襲来！</t>
    <rPh sb="5" eb="8">
      <t>シュ</t>
    </rPh>
    <phoneticPr fontId="20"/>
  </si>
  <si>
    <t>超降臨4</t>
    <rPh sb="0" eb="1">
      <t>チョ</t>
    </rPh>
    <phoneticPr fontId="44"/>
  </si>
  <si>
    <t xml:space="preserve">【超ウィザード級】ルシファー襲来 </t>
    <rPh sb="1" eb="8">
      <t>チョウw</t>
    </rPh>
    <rPh sb="14" eb="16">
      <t>シュウライ</t>
    </rPh>
    <phoneticPr fontId="44"/>
  </si>
  <si>
    <t>【超ウィザード級】オーディン襲来</t>
    <rPh sb="1" eb="8">
      <t>チョウw</t>
    </rPh>
    <rPh sb="14" eb="16">
      <t>シュウライ</t>
    </rPh>
    <phoneticPr fontId="44"/>
  </si>
  <si>
    <t>【超絶級】雷のサミット（ハートなし）</t>
    <rPh sb="1" eb="4">
      <t>チョウゼツキュウ</t>
    </rPh>
    <rPh sb="5" eb="6">
      <t>カミナリ</t>
    </rPh>
    <phoneticPr fontId="22"/>
  </si>
  <si>
    <t>【超絶級】水のサミット（ハートなし）</t>
    <rPh sb="1" eb="4">
      <t>チョウゼツキュウ</t>
    </rPh>
    <rPh sb="5" eb="6">
      <t>ミズ</t>
    </rPh>
    <phoneticPr fontId="22"/>
  </si>
  <si>
    <t>【超絶級】森のサミット（ハートなし）</t>
    <rPh sb="1" eb="4">
      <t>チョウゼツキュウ</t>
    </rPh>
    <rPh sb="5" eb="6">
      <t>モリ</t>
    </rPh>
    <phoneticPr fontId="22"/>
  </si>
  <si>
    <t>【超絶級】炎のサミット（ハートなし）</t>
    <rPh sb="1" eb="4">
      <t>チョウゼツキュウ</t>
    </rPh>
    <rPh sb="5" eb="6">
      <t>ホノオ</t>
    </rPh>
    <phoneticPr fontId="22"/>
  </si>
  <si>
    <t>コラボ降臨4</t>
    <phoneticPr fontId="44"/>
  </si>
  <si>
    <t>コラボクエスト</t>
    <phoneticPr fontId="44"/>
  </si>
  <si>
    <t>TVCM放送記念★特別クエスト</t>
    <rPh sb="4" eb="6">
      <t>ホウソウ</t>
    </rPh>
    <rPh sb="9" eb="11">
      <t>トクベツクエスト</t>
    </rPh>
    <phoneticPr fontId="44"/>
  </si>
  <si>
    <t>【超絶級】宮本武蔵襲来</t>
    <rPh sb="1" eb="3">
      <t>チョ</t>
    </rPh>
    <rPh sb="3" eb="4">
      <t>キュ</t>
    </rPh>
    <rPh sb="5" eb="7">
      <t>ミヤモト</t>
    </rPh>
    <rPh sb="7" eb="9">
      <t>ムサシ</t>
    </rPh>
    <phoneticPr fontId="22"/>
  </si>
  <si>
    <t>【ウィザード級】宮本武蔵襲来</t>
    <rPh sb="6" eb="7">
      <t>キュ</t>
    </rPh>
    <rPh sb="8" eb="10">
      <t>ミヤモト</t>
    </rPh>
    <phoneticPr fontId="22"/>
  </si>
  <si>
    <t>【ノーコンテニュー】宮本武蔵襲来</t>
    <rPh sb="10" eb="12">
      <t>ミヤモト</t>
    </rPh>
    <phoneticPr fontId="22"/>
  </si>
  <si>
    <t>宮本武蔵襲来！</t>
    <rPh sb="0" eb="2">
      <t>ミヤモト</t>
    </rPh>
    <rPh sb="2" eb="4">
      <t>ムサシ</t>
    </rPh>
    <rPh sb="4" eb="6">
      <t>シュウライ</t>
    </rPh>
    <phoneticPr fontId="20"/>
  </si>
  <si>
    <t>【期間限定】 黄の素材</t>
    <rPh sb="1" eb="3">
      <t>キカン</t>
    </rPh>
    <rPh sb="3" eb="5">
      <t>ゲンテイ</t>
    </rPh>
    <rPh sb="7" eb="8">
      <t>キイロ</t>
    </rPh>
    <rPh sb="9" eb="11">
      <t>ソザイ</t>
    </rPh>
    <phoneticPr fontId="22"/>
  </si>
  <si>
    <t>【期間限定】 赤の素材</t>
    <rPh sb="1" eb="3">
      <t>キカン</t>
    </rPh>
    <rPh sb="3" eb="5">
      <t>ゲンテイ</t>
    </rPh>
    <rPh sb="7" eb="8">
      <t>アカキ</t>
    </rPh>
    <rPh sb="9" eb="11">
      <t>ソザイ</t>
    </rPh>
    <phoneticPr fontId="22"/>
  </si>
  <si>
    <t>【期間限定】 青の素材</t>
    <rPh sb="1" eb="5">
      <t>キカンゲンテイ</t>
    </rPh>
    <rPh sb="7" eb="8">
      <t>アオ</t>
    </rPh>
    <rPh sb="9" eb="11">
      <t>ソザイ</t>
    </rPh>
    <phoneticPr fontId="22"/>
  </si>
  <si>
    <t>【期間限定】 緑の素材</t>
    <rPh sb="1" eb="5">
      <t>キカンゲンテイ</t>
    </rPh>
    <rPh sb="7" eb="8">
      <t>ミドリ</t>
    </rPh>
    <rPh sb="9" eb="11">
      <t>ソザイ</t>
    </rPh>
    <phoneticPr fontId="22"/>
  </si>
  <si>
    <t>【期間限定】 帽子屋を追え！</t>
    <rPh sb="1" eb="3">
      <t>キカン</t>
    </rPh>
    <rPh sb="3" eb="5">
      <t>ゲンテイ</t>
    </rPh>
    <rPh sb="7" eb="10">
      <t>ボウシヤ</t>
    </rPh>
    <rPh sb="11" eb="12">
      <t>オ</t>
    </rPh>
    <phoneticPr fontId="22"/>
  </si>
  <si>
    <t>孤高の焔翼</t>
    <rPh sb="0" eb="2">
      <t>ココウ</t>
    </rPh>
    <rPh sb="3" eb="5">
      <t>エンヨク</t>
    </rPh>
    <phoneticPr fontId="44"/>
  </si>
  <si>
    <t>【中級】孤高の焔翼</t>
    <rPh sb="1" eb="2">
      <t>ナカ</t>
    </rPh>
    <rPh sb="2" eb="3">
      <t>ショキュウ</t>
    </rPh>
    <rPh sb="4" eb="6">
      <t>ココウ</t>
    </rPh>
    <phoneticPr fontId="44"/>
  </si>
  <si>
    <t>【上級】孤高の焔翼</t>
    <rPh sb="1" eb="2">
      <t>ジョウ</t>
    </rPh>
    <rPh sb="2" eb="3">
      <t>ジョ</t>
    </rPh>
    <phoneticPr fontId="44"/>
  </si>
  <si>
    <t>【超級】孤高の焔翼</t>
    <rPh sb="1" eb="3">
      <t>チョウキュウ</t>
    </rPh>
    <phoneticPr fontId="44"/>
  </si>
  <si>
    <t>multionly</t>
    <phoneticPr fontId="44"/>
  </si>
  <si>
    <t>大鯨の呼び声</t>
    <rPh sb="0" eb="2">
      <t>タイゲイ</t>
    </rPh>
    <rPh sb="3" eb="4">
      <t>ヨビゴエ</t>
    </rPh>
    <phoneticPr fontId="44"/>
  </si>
  <si>
    <t>童話シリーズ3本目</t>
    <rPh sb="0" eb="2">
      <t>ドウワシリーズ</t>
    </rPh>
    <rPh sb="7" eb="8">
      <t>ホン</t>
    </rPh>
    <rPh sb="8" eb="9">
      <t>サクメ</t>
    </rPh>
    <phoneticPr fontId="44"/>
  </si>
  <si>
    <t>【中級】大鯨の呼び声</t>
    <rPh sb="1" eb="2">
      <t>ナカ</t>
    </rPh>
    <rPh sb="2" eb="3">
      <t>ショキュウ</t>
    </rPh>
    <rPh sb="4" eb="6">
      <t>タイゲイノ</t>
    </rPh>
    <rPh sb="7" eb="8">
      <t>ヨビゴエ</t>
    </rPh>
    <phoneticPr fontId="44"/>
  </si>
  <si>
    <t>【上級】大鯨の呼び声</t>
    <rPh sb="1" eb="2">
      <t>ジョウ</t>
    </rPh>
    <rPh sb="2" eb="3">
      <t>ジョ</t>
    </rPh>
    <phoneticPr fontId="44"/>
  </si>
  <si>
    <t>【超級】大鯨の呼び声</t>
    <rPh sb="1" eb="3">
      <t>チョウキュウ</t>
    </rPh>
    <phoneticPr fontId="44"/>
  </si>
  <si>
    <t>strategy</t>
    <phoneticPr fontId="44"/>
  </si>
  <si>
    <t>log</t>
    <phoneticPr fontId="44"/>
  </si>
  <si>
    <t>【初級】妄執とり憑く美貌の妃</t>
    <rPh sb="1" eb="3">
      <t>ショキュウ</t>
    </rPh>
    <phoneticPr fontId="44"/>
  </si>
  <si>
    <t>【中級】妄執とり憑く美貌の妃</t>
    <rPh sb="1" eb="3">
      <t>チュウキュウ</t>
    </rPh>
    <phoneticPr fontId="44"/>
  </si>
  <si>
    <t>【上級】妄執とり憑く美貌の妃</t>
    <rPh sb="1" eb="3">
      <t>ジョ</t>
    </rPh>
    <phoneticPr fontId="44"/>
  </si>
  <si>
    <t>妄執とり憑く美貌の妃</t>
    <phoneticPr fontId="44"/>
  </si>
  <si>
    <t>オズ襲来！</t>
    <phoneticPr fontId="44"/>
  </si>
  <si>
    <t>【超絶級】オズ襲来</t>
    <rPh sb="1" eb="3">
      <t>チョ</t>
    </rPh>
    <rPh sb="3" eb="4">
      <t>キュ</t>
    </rPh>
    <phoneticPr fontId="22"/>
  </si>
  <si>
    <t>【ウィザード級】オズ襲来</t>
    <rPh sb="6" eb="7">
      <t>キュ</t>
    </rPh>
    <phoneticPr fontId="22"/>
  </si>
  <si>
    <t>【ノーコンテニュー】オズ襲来</t>
    <phoneticPr fontId="22"/>
  </si>
  <si>
    <t>ギリシャ神話01</t>
    <phoneticPr fontId="44"/>
  </si>
  <si>
    <t>ラグランジュチャレンジ</t>
    <phoneticPr fontId="20"/>
  </si>
  <si>
    <t>ランキング2（ラグランジュ）</t>
    <phoneticPr fontId="44"/>
  </si>
  <si>
    <t>降臨18</t>
    <rPh sb="0" eb="2">
      <t>kouriンン</t>
    </rPh>
    <phoneticPr fontId="44"/>
  </si>
  <si>
    <t>ジーナ襲来！</t>
    <rPh sb="3" eb="5">
      <t>シュ</t>
    </rPh>
    <phoneticPr fontId="20"/>
  </si>
  <si>
    <t>【ノーコンテニュー】ベルゼブブ襲来</t>
    <phoneticPr fontId="44"/>
  </si>
  <si>
    <t xml:space="preserve">【超絶級】ジーナ襲来 </t>
    <rPh sb="1" eb="3">
      <t>チョウゼツ</t>
    </rPh>
    <rPh sb="3" eb="4">
      <t>キュ</t>
    </rPh>
    <rPh sb="8" eb="10">
      <t>シュウライ</t>
    </rPh>
    <phoneticPr fontId="44"/>
  </si>
  <si>
    <t>【ウィザード級】ジーナ襲来</t>
    <rPh sb="6" eb="7">
      <t>キュ</t>
    </rPh>
    <phoneticPr fontId="44"/>
  </si>
  <si>
    <t>【ノーコンテニュー】ジーナ襲来</t>
    <phoneticPr fontId="44"/>
  </si>
  <si>
    <t xml:space="preserve">ニムダのおきにいり♪ </t>
    <phoneticPr fontId="44"/>
  </si>
  <si>
    <t xml:space="preserve">【初級】ニムダのおきにいり♪ </t>
    <rPh sb="1" eb="2">
      <t>ハツ</t>
    </rPh>
    <rPh sb="2" eb="3">
      <t>キュウ</t>
    </rPh>
    <phoneticPr fontId="44"/>
  </si>
  <si>
    <t xml:space="preserve">【中級】ニムダのおきにいり♪ </t>
    <rPh sb="1" eb="2">
      <t>チュウ</t>
    </rPh>
    <rPh sb="2" eb="3">
      <t>ジョ</t>
    </rPh>
    <phoneticPr fontId="44"/>
  </si>
  <si>
    <t xml:space="preserve">【上級】ニムダのおきにいり♪ </t>
    <rPh sb="1" eb="2">
      <t>ウエ</t>
    </rPh>
    <rPh sb="2" eb="3">
      <t>チョ</t>
    </rPh>
    <phoneticPr fontId="44"/>
  </si>
  <si>
    <t xml:space="preserve">【超級】ニムダのおきにいり♪ </t>
    <rPh sb="1" eb="3">
      <t>チョウキュウ</t>
    </rPh>
    <phoneticPr fontId="44"/>
  </si>
  <si>
    <t>アーサー襲来！</t>
    <phoneticPr fontId="44"/>
  </si>
  <si>
    <t>【超絶級】アーサー襲来</t>
    <rPh sb="1" eb="3">
      <t>チョ</t>
    </rPh>
    <rPh sb="3" eb="4">
      <t>キュ</t>
    </rPh>
    <phoneticPr fontId="22"/>
  </si>
  <si>
    <t>【ウィザード級】アーサー襲来</t>
    <rPh sb="6" eb="7">
      <t>キュ</t>
    </rPh>
    <phoneticPr fontId="22"/>
  </si>
  <si>
    <t>【ノーコンテニュー】アーサー襲来</t>
    <phoneticPr fontId="22"/>
  </si>
  <si>
    <t>コラボ降臨5</t>
    <phoneticPr fontId="44"/>
  </si>
  <si>
    <t>蛟龍襲来！</t>
    <rPh sb="2" eb="4">
      <t>シュ</t>
    </rPh>
    <phoneticPr fontId="20"/>
  </si>
  <si>
    <t>台湾版降臨1</t>
    <rPh sb="3" eb="5">
      <t>kouriンン</t>
    </rPh>
    <phoneticPr fontId="44"/>
  </si>
  <si>
    <t>【ウィザード級】蛟龍襲来</t>
    <rPh sb="6" eb="7">
      <t>キュ</t>
    </rPh>
    <phoneticPr fontId="44"/>
  </si>
  <si>
    <t>banner_no</t>
  </si>
  <si>
    <t>jump_to</t>
    <phoneticPr fontId="44"/>
  </si>
  <si>
    <t>quest_schedule_id</t>
    <phoneticPr fontId="55"/>
  </si>
  <si>
    <t>language</t>
    <phoneticPr fontId="55"/>
  </si>
  <si>
    <t>image_filename</t>
    <phoneticPr fontId="55"/>
  </si>
  <si>
    <t>gacha_schedule_id</t>
    <phoneticPr fontId="55"/>
  </si>
  <si>
    <t>start_rank</t>
    <phoneticPr fontId="44"/>
  </si>
  <si>
    <t>end_rank</t>
    <phoneticPr fontId="44"/>
  </si>
  <si>
    <t>priority</t>
    <phoneticPr fontId="44"/>
  </si>
  <si>
    <t>上級</t>
    <phoneticPr fontId="55"/>
  </si>
  <si>
    <t>超級</t>
    <phoneticPr fontId="55"/>
  </si>
  <si>
    <t>超絶</t>
    <phoneticPr fontId="55"/>
  </si>
  <si>
    <t>超ウィザード</t>
    <phoneticPr fontId="55"/>
  </si>
  <si>
    <t>ランキング</t>
    <phoneticPr fontId="55"/>
  </si>
  <si>
    <t>start_rankのルール</t>
    <phoneticPr fontId="44"/>
  </si>
  <si>
    <t>banner_noのルール</t>
    <phoneticPr fontId="44"/>
  </si>
  <si>
    <t>ランキング</t>
    <phoneticPr fontId="44"/>
  </si>
  <si>
    <t>超ウィザード</t>
    <phoneticPr fontId="44"/>
  </si>
  <si>
    <t>ウィザード</t>
    <phoneticPr fontId="44"/>
  </si>
  <si>
    <t>コラボなど特殊クエスト</t>
    <phoneticPr fontId="44"/>
  </si>
  <si>
    <t>49xx</t>
    <phoneticPr fontId="44"/>
  </si>
  <si>
    <t>4xxx</t>
    <phoneticPr fontId="44"/>
  </si>
  <si>
    <t>超絶/超級</t>
    <phoneticPr fontId="44"/>
  </si>
  <si>
    <t>3xxx</t>
    <phoneticPr fontId="44"/>
  </si>
  <si>
    <t>上級</t>
    <phoneticPr fontId="44"/>
  </si>
  <si>
    <t>2xxx</t>
    <phoneticPr fontId="44"/>
  </si>
  <si>
    <t>定常</t>
    <phoneticPr fontId="44"/>
  </si>
  <si>
    <t>1xxx</t>
    <phoneticPr fontId="44"/>
  </si>
  <si>
    <t>null</t>
    <phoneticPr fontId="44"/>
  </si>
  <si>
    <t>quest60006</t>
    <phoneticPr fontId="55"/>
  </si>
  <si>
    <t>↓以下idのルール（列増やす度に乱れると思うので、適度になおして下さい）</t>
    <phoneticPr fontId="44"/>
  </si>
  <si>
    <t>null</t>
    <phoneticPr fontId="44"/>
  </si>
  <si>
    <t>quest50004</t>
  </si>
  <si>
    <t>quest40017</t>
    <phoneticPr fontId="55"/>
  </si>
  <si>
    <t>quest30035</t>
  </si>
  <si>
    <t>quest20015</t>
    <phoneticPr fontId="55"/>
  </si>
  <si>
    <t>.tmp</t>
    <phoneticPr fontId="55"/>
  </si>
  <si>
    <t>jump_to</t>
    <phoneticPr fontId="55"/>
  </si>
  <si>
    <t>gacha_schedule_id</t>
    <phoneticPr fontId="55"/>
  </si>
  <si>
    <t>mypage_banners_i18n</t>
    <phoneticPr fontId="55"/>
  </si>
  <si>
    <t>language</t>
    <phoneticPr fontId="55"/>
  </si>
  <si>
    <t>image_filename</t>
    <phoneticPr fontId="55"/>
  </si>
  <si>
    <t>start_rank</t>
    <phoneticPr fontId="44"/>
  </si>
  <si>
    <t>end_rank</t>
    <phoneticPr fontId="44"/>
  </si>
  <si>
    <t>quest_banners_i18n</t>
    <phoneticPr fontId="55"/>
  </si>
  <si>
    <t>language</t>
    <phoneticPr fontId="55"/>
  </si>
  <si>
    <t>image_filename</t>
    <phoneticPr fontId="44"/>
  </si>
  <si>
    <t>_quest</t>
    <phoneticPr fontId="55"/>
  </si>
  <si>
    <t>_quest</t>
    <phoneticPr fontId="55"/>
  </si>
  <si>
    <t>banners</t>
    <phoneticPr fontId="55"/>
  </si>
  <si>
    <t>5xxx</t>
    <phoneticPr fontId="44"/>
  </si>
  <si>
    <t>6xxx</t>
    <phoneticPr fontId="44"/>
  </si>
  <si>
    <t>mypage_banners_data</t>
    <phoneticPr fontId="55"/>
  </si>
  <si>
    <t>quest_banners_data</t>
    <phoneticPr fontId="55"/>
  </si>
  <si>
    <t>フリーズジャンヌ</t>
    <phoneticPr fontId="44"/>
  </si>
  <si>
    <t>ウィルスジャンヌ</t>
    <phoneticPr fontId="44"/>
  </si>
  <si>
    <t>お邪魔ジャンヌ</t>
    <phoneticPr fontId="44"/>
  </si>
  <si>
    <t>テスト</t>
    <phoneticPr fontId="44"/>
  </si>
  <si>
    <t>爆風ジャンヌ</t>
    <rPh sb="0" eb="2">
      <t>バクh</t>
    </rPh>
    <phoneticPr fontId="44"/>
  </si>
  <si>
    <t>襲来クエスト</t>
    <phoneticPr fontId="20"/>
  </si>
  <si>
    <t>【初級】ポ</t>
    <rPh sb="1" eb="2">
      <t>ハツ</t>
    </rPh>
    <rPh sb="2" eb="3">
      <t>キュウ</t>
    </rPh>
    <phoneticPr fontId="44"/>
  </si>
  <si>
    <t>【中級】ポ</t>
    <rPh sb="1" eb="2">
      <t>チュウ</t>
    </rPh>
    <rPh sb="2" eb="3">
      <t>ジョ</t>
    </rPh>
    <phoneticPr fontId="44"/>
  </si>
  <si>
    <t>【上級】ポ</t>
    <rPh sb="1" eb="2">
      <t>ウエ</t>
    </rPh>
    <rPh sb="2" eb="3">
      <t>チョ</t>
    </rPh>
    <phoneticPr fontId="44"/>
  </si>
  <si>
    <t>【超級】ポ</t>
    <rPh sb="1" eb="3">
      <t>チョウキュウ</t>
    </rPh>
    <phoneticPr fontId="44"/>
  </si>
  <si>
    <t>【超絶級】ポ</t>
    <rPh sb="2" eb="3">
      <t>ゼツ</t>
    </rPh>
    <phoneticPr fontId="44"/>
  </si>
  <si>
    <t xml:space="preserve">ポ </t>
    <phoneticPr fontId="44"/>
  </si>
  <si>
    <t>【ウィザード級】襲来クエスト</t>
    <rPh sb="1" eb="7">
      <t>チョウw</t>
    </rPh>
    <phoneticPr fontId="44"/>
  </si>
  <si>
    <t>Gスター襲来！</t>
    <rPh sb="4" eb="6">
      <t>シュウライ</t>
    </rPh>
    <phoneticPr fontId="44"/>
  </si>
  <si>
    <t>【超絶級】Gスター襲来</t>
    <rPh sb="1" eb="3">
      <t>チョ</t>
    </rPh>
    <rPh sb="3" eb="4">
      <t>キュ</t>
    </rPh>
    <phoneticPr fontId="22"/>
  </si>
  <si>
    <t>【ウィザード級】Gスター襲来</t>
    <rPh sb="6" eb="7">
      <t>キュ</t>
    </rPh>
    <phoneticPr fontId="22"/>
  </si>
  <si>
    <t>【ノーコンテニュー】Gスター襲来</t>
    <phoneticPr fontId="22"/>
  </si>
  <si>
    <t>テュポーン襲来！</t>
    <rPh sb="5" eb="7">
      <t>シュ</t>
    </rPh>
    <phoneticPr fontId="20"/>
  </si>
  <si>
    <t>降臨19</t>
    <rPh sb="0" eb="2">
      <t>kouriンン</t>
    </rPh>
    <phoneticPr fontId="44"/>
  </si>
  <si>
    <t xml:space="preserve">【超絶級】テュポーン襲来 </t>
    <rPh sb="1" eb="3">
      <t>チョウゼツ</t>
    </rPh>
    <rPh sb="3" eb="4">
      <t>キュ</t>
    </rPh>
    <rPh sb="10" eb="12">
      <t>シュウライ</t>
    </rPh>
    <phoneticPr fontId="44"/>
  </si>
  <si>
    <t>【ウィザード級】テュポーン襲来</t>
    <rPh sb="6" eb="7">
      <t>キュ</t>
    </rPh>
    <phoneticPr fontId="44"/>
  </si>
  <si>
    <t>【ノーコンテニュー】テュポーン襲来</t>
    <phoneticPr fontId="44"/>
  </si>
  <si>
    <t>log</t>
    <phoneticPr fontId="44"/>
  </si>
  <si>
    <t>log</t>
    <phoneticPr fontId="44"/>
  </si>
  <si>
    <t>quest40018</t>
    <phoneticPr fontId="44"/>
  </si>
  <si>
    <t>【ノーコンテニュー】園原杏里襲来</t>
    <phoneticPr fontId="44"/>
  </si>
  <si>
    <t>【超絶】サンリオ好きなのだーれだ♪</t>
    <phoneticPr fontId="44"/>
  </si>
  <si>
    <t>【ﾉｰｺﾝ】サンリオ好きなのだーれだ♪</t>
    <phoneticPr fontId="44"/>
  </si>
  <si>
    <t>グリム襲来！</t>
    <rPh sb="3" eb="5">
      <t>シュウライ</t>
    </rPh>
    <phoneticPr fontId="44"/>
  </si>
  <si>
    <t>【超絶級】グリム襲来</t>
    <rPh sb="1" eb="3">
      <t>チョ</t>
    </rPh>
    <rPh sb="3" eb="4">
      <t>キュ</t>
    </rPh>
    <phoneticPr fontId="22"/>
  </si>
  <si>
    <t>【ウィザード級】グリム襲来</t>
    <rPh sb="6" eb="7">
      <t>キュ</t>
    </rPh>
    <phoneticPr fontId="22"/>
  </si>
  <si>
    <t>【ノーコンテニュー】グリム襲来</t>
    <phoneticPr fontId="22"/>
  </si>
  <si>
    <t>猛然たる炎獣使い</t>
    <phoneticPr fontId="44"/>
  </si>
  <si>
    <t>ユークリッドチャレンジ</t>
    <phoneticPr fontId="20"/>
  </si>
  <si>
    <t>ランキング3（ユークリッド）</t>
    <phoneticPr fontId="44"/>
  </si>
  <si>
    <t>quest60010</t>
    <phoneticPr fontId="44"/>
  </si>
  <si>
    <t>サンリオ好きなのだーれだ♪</t>
    <phoneticPr fontId="44"/>
  </si>
  <si>
    <t>コラボ降臨6</t>
    <phoneticPr fontId="44"/>
  </si>
  <si>
    <t>400万DL記念★特別クエスト</t>
    <rPh sb="3" eb="4">
      <t>マン</t>
    </rPh>
    <rPh sb="6" eb="8">
      <t>キネン</t>
    </rPh>
    <rPh sb="9" eb="11">
      <t>トクベツ</t>
    </rPh>
    <phoneticPr fontId="44"/>
  </si>
  <si>
    <t>ja</t>
    <phoneticPr fontId="44"/>
  </si>
  <si>
    <t>400万DL記念限定クエスト</t>
    <rPh sb="3" eb="4">
      <t>マン</t>
    </rPh>
    <rPh sb="6" eb="8">
      <t>キネン</t>
    </rPh>
    <rPh sb="8" eb="10">
      <t>ゲンテイ</t>
    </rPh>
    <phoneticPr fontId="44"/>
  </si>
  <si>
    <t>quest11225</t>
    <phoneticPr fontId="44"/>
  </si>
  <si>
    <t>null</t>
    <phoneticPr fontId="44"/>
  </si>
  <si>
    <t>園原杏里襲来！</t>
    <phoneticPr fontId="44"/>
  </si>
  <si>
    <t>【超絶級】フギンとムニン襲来</t>
    <rPh sb="1" eb="3">
      <t>チョ</t>
    </rPh>
    <rPh sb="3" eb="4">
      <t>キュ</t>
    </rPh>
    <phoneticPr fontId="22"/>
  </si>
  <si>
    <t>【ウィザード級】フギンとムニン襲来</t>
    <rPh sb="6" eb="7">
      <t>キュ</t>
    </rPh>
    <phoneticPr fontId="22"/>
  </si>
  <si>
    <t>【ノーコンテニュー】フギンとムニン襲来</t>
    <phoneticPr fontId="22"/>
  </si>
  <si>
    <t>台湾版降臨2</t>
    <rPh sb="3" eb="5">
      <t>kouriンン</t>
    </rPh>
    <phoneticPr fontId="44"/>
  </si>
  <si>
    <t>孫悟空襲来！</t>
    <rPh sb="0" eb="3">
      <t>ソンゴクウ</t>
    </rPh>
    <rPh sb="3" eb="5">
      <t>シュ</t>
    </rPh>
    <phoneticPr fontId="20"/>
  </si>
  <si>
    <t>【超絶級】孫悟空襲来</t>
    <rPh sb="1" eb="3">
      <t>チョウゼツ</t>
    </rPh>
    <rPh sb="3" eb="4">
      <t>キュ</t>
    </rPh>
    <rPh sb="5" eb="8">
      <t>ソンゴクウ</t>
    </rPh>
    <phoneticPr fontId="44"/>
  </si>
  <si>
    <t>【ウィザード級】孫悟空襲来</t>
    <rPh sb="6" eb="7">
      <t>キュ</t>
    </rPh>
    <rPh sb="8" eb="11">
      <t>ソンゴクウ</t>
    </rPh>
    <phoneticPr fontId="44"/>
  </si>
  <si>
    <t>【ノーコンテニュー】孫悟空襲来</t>
    <rPh sb="10" eb="13">
      <t>ソンゴクウ</t>
    </rPh>
    <phoneticPr fontId="44"/>
  </si>
  <si>
    <t>フランス革命01</t>
    <phoneticPr fontId="44"/>
  </si>
  <si>
    <t>彦星襲来！</t>
    <rPh sb="2" eb="4">
      <t>シュ</t>
    </rPh>
    <phoneticPr fontId="20"/>
  </si>
  <si>
    <t>【ウィザード級】彦星襲来</t>
    <phoneticPr fontId="44"/>
  </si>
  <si>
    <t>【超絶級】彦星襲来</t>
    <phoneticPr fontId="44"/>
  </si>
  <si>
    <t>treasure_type</t>
    <phoneticPr fontId="44"/>
  </si>
  <si>
    <t>chat_type</t>
    <phoneticPr fontId="44"/>
  </si>
  <si>
    <t>ゼウス襲来！</t>
    <rPh sb="3" eb="6">
      <t>シュ</t>
    </rPh>
    <phoneticPr fontId="20"/>
  </si>
  <si>
    <t>超降臨5</t>
    <rPh sb="0" eb="1">
      <t>チョ</t>
    </rPh>
    <phoneticPr fontId="44"/>
  </si>
  <si>
    <t>【超ウィザード級】ゼウス襲来</t>
    <rPh sb="1" eb="8">
      <t>チョウw</t>
    </rPh>
    <rPh sb="12" eb="14">
      <t>シュウライ</t>
    </rPh>
    <phoneticPr fontId="44"/>
  </si>
  <si>
    <t>quest60011</t>
    <phoneticPr fontId="44"/>
  </si>
  <si>
    <t>ミリオンダックより愛をこめて 4</t>
    <rPh sb="9" eb="11">
      <t>アイ</t>
    </rPh>
    <phoneticPr fontId="44"/>
  </si>
  <si>
    <t>【超絶級】フレイ襲来</t>
    <rPh sb="1" eb="3">
      <t>チョ</t>
    </rPh>
    <rPh sb="3" eb="4">
      <t>キュ</t>
    </rPh>
    <phoneticPr fontId="22"/>
  </si>
  <si>
    <t>【ウィザード級】フレイ襲来</t>
    <rPh sb="6" eb="7">
      <t>キュ</t>
    </rPh>
    <phoneticPr fontId="22"/>
  </si>
  <si>
    <t>【ノーコンテニュー】フレイ襲来</t>
    <phoneticPr fontId="22"/>
  </si>
  <si>
    <t>quest40019</t>
    <phoneticPr fontId="44"/>
  </si>
  <si>
    <t>寡黙な翼竜の侵攻</t>
    <phoneticPr fontId="44"/>
  </si>
  <si>
    <t>【初級】寡黙な翼竜の侵攻</t>
    <rPh sb="1" eb="3">
      <t>ショキュウ</t>
    </rPh>
    <phoneticPr fontId="44"/>
  </si>
  <si>
    <t>【中級】寡黙な翼竜の侵攻</t>
    <rPh sb="1" eb="3">
      <t>チュウキュウ</t>
    </rPh>
    <phoneticPr fontId="44"/>
  </si>
  <si>
    <t>【上級】寡黙な翼竜の侵攻</t>
    <rPh sb="1" eb="3">
      <t>ジョ</t>
    </rPh>
    <phoneticPr fontId="44"/>
  </si>
  <si>
    <t>quest20016</t>
    <phoneticPr fontId="44"/>
  </si>
  <si>
    <t>quest30036</t>
    <phoneticPr fontId="44"/>
  </si>
  <si>
    <t>【中級】猛然たる炎獣使い</t>
    <rPh sb="1" eb="2">
      <t>ナカ</t>
    </rPh>
    <rPh sb="2" eb="3">
      <t>ショキュウ</t>
    </rPh>
    <phoneticPr fontId="44"/>
  </si>
  <si>
    <t>【上級】猛然たる炎獣使い</t>
    <rPh sb="1" eb="2">
      <t>ジョウ</t>
    </rPh>
    <rPh sb="2" eb="3">
      <t>ジョ</t>
    </rPh>
    <phoneticPr fontId="44"/>
  </si>
  <si>
    <t>【超級】猛然たる炎獣使い</t>
    <rPh sb="1" eb="3">
      <t>チョウキュウ</t>
    </rPh>
    <phoneticPr fontId="44"/>
  </si>
  <si>
    <t>フランス革命シリーズ超級</t>
    <phoneticPr fontId="44"/>
  </si>
  <si>
    <t>ルイ16世襲来！</t>
    <rPh sb="5" eb="7">
      <t>シュ</t>
    </rPh>
    <phoneticPr fontId="20"/>
  </si>
  <si>
    <t>降臨21</t>
    <rPh sb="0" eb="2">
      <t>kouriンン</t>
    </rPh>
    <phoneticPr fontId="44"/>
  </si>
  <si>
    <t xml:space="preserve">【超絶級】ルイ16世襲来 </t>
    <rPh sb="1" eb="3">
      <t>チョウゼツ</t>
    </rPh>
    <rPh sb="3" eb="4">
      <t>キュ</t>
    </rPh>
    <rPh sb="10" eb="12">
      <t>シュウライ</t>
    </rPh>
    <phoneticPr fontId="44"/>
  </si>
  <si>
    <t>【ウィザード級】ルイ16世襲来</t>
    <rPh sb="6" eb="7">
      <t>キュ</t>
    </rPh>
    <phoneticPr fontId="44"/>
  </si>
  <si>
    <t>fri</t>
    <phoneticPr fontId="44"/>
  </si>
  <si>
    <t>N/A</t>
    <phoneticPr fontId="44"/>
  </si>
  <si>
    <t>sat</t>
    <phoneticPr fontId="44"/>
  </si>
  <si>
    <t>15:00:00</t>
    <phoneticPr fontId="44"/>
  </si>
  <si>
    <t>23:59:59</t>
    <phoneticPr fontId="44"/>
  </si>
  <si>
    <t>0:00:00</t>
    <phoneticPr fontId="44"/>
  </si>
  <si>
    <t>季節イベント</t>
    <phoneticPr fontId="44"/>
  </si>
  <si>
    <t>400万DL記念★ミリオンダック4</t>
    <rPh sb="3" eb="4">
      <t>マン</t>
    </rPh>
    <rPh sb="6" eb="8">
      <t>キネン</t>
    </rPh>
    <phoneticPr fontId="44"/>
  </si>
  <si>
    <t>1周年記念★特別クエスト</t>
    <phoneticPr fontId="44"/>
  </si>
  <si>
    <t>1周年記念★特別クエスト</t>
    <phoneticPr fontId="44"/>
  </si>
  <si>
    <t>1周年記念限定クエスト</t>
    <phoneticPr fontId="44"/>
  </si>
  <si>
    <t>quest11226</t>
    <phoneticPr fontId="44"/>
  </si>
  <si>
    <t>null</t>
    <phoneticPr fontId="44"/>
  </si>
  <si>
    <t>null</t>
    <phoneticPr fontId="44"/>
  </si>
  <si>
    <t>季節イベントウィザード</t>
    <phoneticPr fontId="44"/>
  </si>
  <si>
    <t>47xx</t>
    <phoneticPr fontId="44"/>
  </si>
  <si>
    <t>quest47001</t>
    <phoneticPr fontId="44"/>
  </si>
  <si>
    <t>灯り火の麗人</t>
    <phoneticPr fontId="44"/>
  </si>
  <si>
    <t>【中級】灯り火の麗人</t>
    <rPh sb="1" eb="2">
      <t>ナカ</t>
    </rPh>
    <rPh sb="2" eb="3">
      <t>ショキュウ</t>
    </rPh>
    <phoneticPr fontId="44"/>
  </si>
  <si>
    <t>【上級】灯り火の麗人</t>
    <rPh sb="1" eb="2">
      <t>ジョウ</t>
    </rPh>
    <rPh sb="2" eb="3">
      <t>ジョ</t>
    </rPh>
    <phoneticPr fontId="44"/>
  </si>
  <si>
    <t>【超級】灯り火の麗人</t>
    <rPh sb="1" eb="3">
      <t>チョウキュウ</t>
    </rPh>
    <phoneticPr fontId="44"/>
  </si>
  <si>
    <t>【初級】隻腕の提督</t>
    <rPh sb="1" eb="3">
      <t>ショキュウ</t>
    </rPh>
    <phoneticPr fontId="44"/>
  </si>
  <si>
    <t>【中級】隻腕の提督</t>
    <rPh sb="1" eb="3">
      <t>チュウキュウ</t>
    </rPh>
    <phoneticPr fontId="44"/>
  </si>
  <si>
    <t>【上級】隻腕の提督</t>
    <rPh sb="1" eb="3">
      <t>ジョ</t>
    </rPh>
    <phoneticPr fontId="44"/>
  </si>
  <si>
    <t>quest30037</t>
    <phoneticPr fontId="44"/>
  </si>
  <si>
    <t>隻腕の提督</t>
    <phoneticPr fontId="44"/>
  </si>
  <si>
    <t>quest20017</t>
    <phoneticPr fontId="44"/>
  </si>
  <si>
    <t>黄パネルが出現しない！</t>
    <phoneticPr fontId="44"/>
  </si>
  <si>
    <t>14:59:59</t>
  </si>
  <si>
    <t>1周年のキセキ</t>
    <phoneticPr fontId="44"/>
  </si>
  <si>
    <t>【超絶級】ショウキ襲来</t>
    <rPh sb="1" eb="3">
      <t>チョ</t>
    </rPh>
    <rPh sb="3" eb="4">
      <t>キュ</t>
    </rPh>
    <phoneticPr fontId="22"/>
  </si>
  <si>
    <t>【ウィザード級】ショウキ襲来</t>
    <rPh sb="6" eb="7">
      <t>キュ</t>
    </rPh>
    <phoneticPr fontId="22"/>
  </si>
  <si>
    <t>ウィザード級</t>
    <phoneticPr fontId="44"/>
  </si>
  <si>
    <t>quest50005</t>
    <phoneticPr fontId="44"/>
  </si>
  <si>
    <t>【超絶級】夏☆襲来</t>
    <rPh sb="1" eb="3">
      <t>チョウゼツ</t>
    </rPh>
    <rPh sb="5" eb="6">
      <t>ナツ</t>
    </rPh>
    <phoneticPr fontId="44"/>
  </si>
  <si>
    <t>【ウィザード級】夏☆襲来</t>
    <rPh sb="8" eb="9">
      <t>ナツ</t>
    </rPh>
    <phoneticPr fontId="44"/>
  </si>
  <si>
    <t>夏☆襲来！</t>
    <rPh sb="0" eb="1">
      <t>ナツ</t>
    </rPh>
    <rPh sb="2" eb="4">
      <t>シュ</t>
    </rPh>
    <phoneticPr fontId="20"/>
  </si>
  <si>
    <t>【クリスマス前編】勢いまかせ</t>
    <rPh sb="6" eb="8">
      <t>ゼンペン</t>
    </rPh>
    <rPh sb="9" eb="10">
      <t>イキオ</t>
    </rPh>
    <phoneticPr fontId="22"/>
  </si>
  <si>
    <t>【クリスマス後編】フィーバーの力</t>
    <rPh sb="6" eb="8">
      <t>コウヘン</t>
    </rPh>
    <rPh sb="15" eb="16">
      <t>チカラ</t>
    </rPh>
    <phoneticPr fontId="22"/>
  </si>
  <si>
    <t>once</t>
    <phoneticPr fontId="44"/>
  </si>
  <si>
    <t>エジプト01</t>
    <phoneticPr fontId="44"/>
  </si>
  <si>
    <t>ウィザード</t>
    <phoneticPr fontId="55"/>
  </si>
  <si>
    <t>【土曜限定】 赤と緑の素材</t>
    <rPh sb="3" eb="5">
      <t>キカンゲンテイ</t>
    </rPh>
    <rPh sb="9" eb="10">
      <t>ミドリ</t>
    </rPh>
    <rPh sb="11" eb="13">
      <t>ソザイ</t>
    </rPh>
    <phoneticPr fontId="22"/>
  </si>
  <si>
    <t>【日曜限定】 青と黄の素材</t>
    <rPh sb="3" eb="5">
      <t>ゲンテイ</t>
    </rPh>
    <phoneticPr fontId="22"/>
  </si>
  <si>
    <t>土曜クエスト</t>
    <phoneticPr fontId="44"/>
  </si>
  <si>
    <t>日曜クエスト</t>
    <phoneticPr fontId="44"/>
  </si>
  <si>
    <t>赤と緑の覚醒素材</t>
    <phoneticPr fontId="44"/>
  </si>
  <si>
    <t>青と黄の覚醒素材</t>
    <phoneticPr fontId="44"/>
  </si>
  <si>
    <t>超級（★5覚醒素材）</t>
    <phoneticPr fontId="44"/>
  </si>
  <si>
    <t xml:space="preserve">【初級】火と樹のチェシャ猫 </t>
    <rPh sb="1" eb="3">
      <t>ショキュ</t>
    </rPh>
    <rPh sb="4" eb="5">
      <t>ヒ</t>
    </rPh>
    <rPh sb="12" eb="13">
      <t>ネコ</t>
    </rPh>
    <phoneticPr fontId="22"/>
  </si>
  <si>
    <t xml:space="preserve">【中級】火と樹のウサギ </t>
    <rPh sb="1" eb="3">
      <t>チュ</t>
    </rPh>
    <rPh sb="4" eb="5">
      <t>ヒ</t>
    </rPh>
    <phoneticPr fontId="22"/>
  </si>
  <si>
    <t xml:space="preserve">【上級】火と樹のイモムシ </t>
    <rPh sb="1" eb="3">
      <t>ジョ</t>
    </rPh>
    <rPh sb="4" eb="5">
      <t>ヒ</t>
    </rPh>
    <phoneticPr fontId="22"/>
  </si>
  <si>
    <t xml:space="preserve">【超級】火と樹の帽子屋 </t>
    <rPh sb="1" eb="3">
      <t>チョ</t>
    </rPh>
    <rPh sb="4" eb="5">
      <t>ヒ</t>
    </rPh>
    <rPh sb="8" eb="11">
      <t>ボウシヤ</t>
    </rPh>
    <phoneticPr fontId="28"/>
  </si>
  <si>
    <t>【超絶級】ドードーとグリフォン</t>
    <rPh sb="1" eb="3">
      <t>チョ</t>
    </rPh>
    <phoneticPr fontId="44"/>
  </si>
  <si>
    <t xml:space="preserve">【初級】水と雷のチェシャ猫 </t>
    <rPh sb="1" eb="3">
      <t>ショキュ</t>
    </rPh>
    <rPh sb="12" eb="13">
      <t>ネコ</t>
    </rPh>
    <phoneticPr fontId="22"/>
  </si>
  <si>
    <t xml:space="preserve">【中級】水と雷のウサギ </t>
    <rPh sb="1" eb="3">
      <t>チュ</t>
    </rPh>
    <phoneticPr fontId="22"/>
  </si>
  <si>
    <t xml:space="preserve">【上級】水と雷のイモムシ </t>
    <rPh sb="1" eb="3">
      <t>ジョ</t>
    </rPh>
    <phoneticPr fontId="22"/>
  </si>
  <si>
    <t xml:space="preserve">【超級】水と雷の帽子屋 </t>
    <rPh sb="1" eb="3">
      <t>チョ</t>
    </rPh>
    <rPh sb="8" eb="11">
      <t>ボウシヤ</t>
    </rPh>
    <phoneticPr fontId="28"/>
  </si>
  <si>
    <t>【超絶級】ウミガメとネズミ</t>
    <rPh sb="1" eb="3">
      <t>チョ</t>
    </rPh>
    <phoneticPr fontId="44"/>
  </si>
  <si>
    <t>超絶級</t>
    <phoneticPr fontId="44"/>
  </si>
  <si>
    <t>ウィザード級</t>
    <phoneticPr fontId="44"/>
  </si>
  <si>
    <t>ユークリッドチャレンジ</t>
    <phoneticPr fontId="20"/>
  </si>
  <si>
    <t>ユークリッドチャレンジコピー</t>
    <phoneticPr fontId="20"/>
  </si>
  <si>
    <t>ウィザード級コピー</t>
    <phoneticPr fontId="44"/>
  </si>
  <si>
    <t>ユークリッドチャレンジ</t>
    <phoneticPr fontId="44"/>
  </si>
  <si>
    <t>quest60011.png</t>
  </si>
  <si>
    <t>エジプト神話シリーズ超級</t>
    <rPh sb="4" eb="6">
      <t>シンワ</t>
    </rPh>
    <phoneticPr fontId="44"/>
  </si>
  <si>
    <t>【初級】魂を屠る黒影</t>
    <rPh sb="1" eb="3">
      <t>ショキュウ</t>
    </rPh>
    <phoneticPr fontId="44"/>
  </si>
  <si>
    <t>【中級】魂を屠る黒影</t>
    <rPh sb="1" eb="3">
      <t>チュウキュウ</t>
    </rPh>
    <phoneticPr fontId="44"/>
  </si>
  <si>
    <t>【上級】魂を屠る黒影</t>
    <rPh sb="1" eb="3">
      <t>ジョ</t>
    </rPh>
    <phoneticPr fontId="44"/>
  </si>
  <si>
    <t>【ウィザード級】オシリス襲来</t>
    <rPh sb="6" eb="7">
      <t>キュ</t>
    </rPh>
    <phoneticPr fontId="44"/>
  </si>
  <si>
    <t>オシリス襲来！</t>
    <rPh sb="4" eb="6">
      <t>シュ</t>
    </rPh>
    <phoneticPr fontId="20"/>
  </si>
  <si>
    <t>降臨22</t>
    <rPh sb="0" eb="2">
      <t>kouriンン</t>
    </rPh>
    <phoneticPr fontId="44"/>
  </si>
  <si>
    <t xml:space="preserve">【超絶級】オシリス襲来 </t>
    <rPh sb="1" eb="3">
      <t>チョウゼツ</t>
    </rPh>
    <rPh sb="3" eb="4">
      <t>キュ</t>
    </rPh>
    <rPh sb="9" eb="11">
      <t>シュウライ</t>
    </rPh>
    <phoneticPr fontId="44"/>
  </si>
  <si>
    <t>quest47002</t>
    <phoneticPr fontId="44"/>
  </si>
  <si>
    <t>quest41009</t>
    <phoneticPr fontId="44"/>
  </si>
  <si>
    <t>毒絶神の願い</t>
    <phoneticPr fontId="44"/>
  </si>
  <si>
    <t>【中級】毒絶神の願い</t>
    <rPh sb="1" eb="2">
      <t>ナカ</t>
    </rPh>
    <rPh sb="2" eb="3">
      <t>ショキュウ</t>
    </rPh>
    <phoneticPr fontId="44"/>
  </si>
  <si>
    <t>【上級】毒絶神の願い</t>
    <rPh sb="1" eb="2">
      <t>ジョウ</t>
    </rPh>
    <rPh sb="2" eb="3">
      <t>ジョ</t>
    </rPh>
    <phoneticPr fontId="44"/>
  </si>
  <si>
    <t>【超級】毒絶神の願い</t>
    <rPh sb="1" eb="3">
      <t>チョウキュウ</t>
    </rPh>
    <phoneticPr fontId="44"/>
  </si>
  <si>
    <t>quest41010</t>
    <phoneticPr fontId="44"/>
  </si>
  <si>
    <t>【超絶級】カーマ襲来</t>
    <rPh sb="1" eb="3">
      <t>チョ</t>
    </rPh>
    <rPh sb="3" eb="4">
      <t>キュ</t>
    </rPh>
    <phoneticPr fontId="22"/>
  </si>
  <si>
    <t>【ウィザード級】カーマ襲来</t>
    <rPh sb="6" eb="7">
      <t>キュ</t>
    </rPh>
    <phoneticPr fontId="22"/>
  </si>
  <si>
    <t>quest41011</t>
    <phoneticPr fontId="44"/>
  </si>
  <si>
    <t>quest41012</t>
    <phoneticPr fontId="44"/>
  </si>
  <si>
    <t>ランキング1（再開催版）</t>
    <rPh sb="7" eb="10">
      <t>サイカイサイ</t>
    </rPh>
    <rPh sb="10" eb="11">
      <t>バン</t>
    </rPh>
    <phoneticPr fontId="44"/>
  </si>
  <si>
    <t>ヨミ襲来！</t>
    <phoneticPr fontId="44"/>
  </si>
  <si>
    <t>【超絶級】ヨミ襲来</t>
    <rPh sb="1" eb="3">
      <t>チョ</t>
    </rPh>
    <rPh sb="3" eb="4">
      <t>キュ</t>
    </rPh>
    <phoneticPr fontId="22"/>
  </si>
  <si>
    <t>【ウィザード級】ヨミ襲来</t>
    <phoneticPr fontId="22"/>
  </si>
  <si>
    <t>quest60013</t>
    <phoneticPr fontId="55"/>
  </si>
  <si>
    <t>quest60013.png</t>
    <phoneticPr fontId="44"/>
  </si>
  <si>
    <t>【超級】攻めの極意（ハートなし）</t>
    <rPh sb="1" eb="3">
      <t>チョウゼツキュウ</t>
    </rPh>
    <rPh sb="4" eb="5">
      <t>セメノゴクイ</t>
    </rPh>
    <phoneticPr fontId="22"/>
  </si>
  <si>
    <t>【超級】癒しの極意（ハートなし）</t>
    <rPh sb="1" eb="3">
      <t>チョウゼツキュウ</t>
    </rPh>
    <rPh sb="4" eb="5">
      <t>イヤシノ</t>
    </rPh>
    <rPh sb="7" eb="9">
      <t>ゴクイ</t>
    </rPh>
    <phoneticPr fontId="22"/>
  </si>
  <si>
    <t>【超級】生命の極意（ハートなし）</t>
    <rPh sb="1" eb="3">
      <t>チョウゼツキュウ</t>
    </rPh>
    <rPh sb="7" eb="9">
      <t>ゴクイ</t>
    </rPh>
    <phoneticPr fontId="22"/>
  </si>
  <si>
    <t>シヴァ襲来！</t>
    <phoneticPr fontId="44"/>
  </si>
  <si>
    <t>【超絶級】シヴァ襲来</t>
    <phoneticPr fontId="44"/>
  </si>
  <si>
    <t>【ウィザード級】シヴァ襲来</t>
    <phoneticPr fontId="44"/>
  </si>
  <si>
    <t>地獄級</t>
    <phoneticPr fontId="44"/>
  </si>
  <si>
    <t>quest41013</t>
    <phoneticPr fontId="44"/>
  </si>
  <si>
    <t>quest20018</t>
    <phoneticPr fontId="55"/>
  </si>
  <si>
    <t>セト襲来！</t>
    <rPh sb="2" eb="5">
      <t>シュ</t>
    </rPh>
    <phoneticPr fontId="20"/>
  </si>
  <si>
    <t>超降臨6</t>
    <rPh sb="0" eb="1">
      <t>チョ</t>
    </rPh>
    <phoneticPr fontId="44"/>
  </si>
  <si>
    <t>【超ウィザード級】セト襲来</t>
    <rPh sb="1" eb="8">
      <t>チョウw</t>
    </rPh>
    <rPh sb="11" eb="13">
      <t>シュウライ</t>
    </rPh>
    <phoneticPr fontId="44"/>
  </si>
  <si>
    <t>【超絶級】ガレス襲来</t>
    <rPh sb="1" eb="3">
      <t>チョ</t>
    </rPh>
    <rPh sb="3" eb="4">
      <t>キュ</t>
    </rPh>
    <phoneticPr fontId="22"/>
  </si>
  <si>
    <t>【ウィザード級】ガレス襲来</t>
    <rPh sb="6" eb="7">
      <t>キュ</t>
    </rPh>
    <phoneticPr fontId="22"/>
  </si>
  <si>
    <t>月下老人襲来！</t>
    <rPh sb="4" eb="6">
      <t>シュ</t>
    </rPh>
    <phoneticPr fontId="20"/>
  </si>
  <si>
    <t>台湾版降臨4</t>
    <rPh sb="3" eb="5">
      <t>kouriンン</t>
    </rPh>
    <phoneticPr fontId="44"/>
  </si>
  <si>
    <t>【超絶級】月下老人襲来</t>
    <rPh sb="1" eb="3">
      <t>チョウゼツ</t>
    </rPh>
    <rPh sb="3" eb="4">
      <t>キュ</t>
    </rPh>
    <phoneticPr fontId="44"/>
  </si>
  <si>
    <t>【ウィザード級】月下老人襲来</t>
    <rPh sb="6" eb="7">
      <t>キュ</t>
    </rPh>
    <phoneticPr fontId="44"/>
  </si>
  <si>
    <t>ランキング4（クロネッカー）</t>
    <phoneticPr fontId="44"/>
  </si>
  <si>
    <t>log</t>
    <phoneticPr fontId="44"/>
  </si>
  <si>
    <t>shingeki</t>
    <phoneticPr fontId="44"/>
  </si>
  <si>
    <t>quest30038</t>
    <phoneticPr fontId="44"/>
  </si>
  <si>
    <t>quest39006</t>
    <phoneticPr fontId="44"/>
  </si>
  <si>
    <t>quest49006</t>
    <phoneticPr fontId="44"/>
  </si>
  <si>
    <t>台湾版降臨5</t>
    <rPh sb="3" eb="5">
      <t>kouriンン</t>
    </rPh>
    <phoneticPr fontId="44"/>
  </si>
  <si>
    <t>quest_id 48001 v2化</t>
    <phoneticPr fontId="44"/>
  </si>
  <si>
    <t>【上級】リトルハンプティを追え！</t>
    <rPh sb="1" eb="3">
      <t>ジョ</t>
    </rPh>
    <phoneticPr fontId="44"/>
  </si>
  <si>
    <t>期間限定クエスト</t>
    <phoneticPr fontId="44"/>
  </si>
  <si>
    <t>超大型巨人襲来！</t>
    <phoneticPr fontId="20"/>
  </si>
  <si>
    <t>quest41014</t>
    <phoneticPr fontId="44"/>
  </si>
  <si>
    <t>シガンシナ区攻防戦</t>
    <phoneticPr fontId="44"/>
  </si>
  <si>
    <t>【初級】シガンシナ区攻防戦</t>
    <rPh sb="1" eb="2">
      <t>ハツ</t>
    </rPh>
    <rPh sb="2" eb="3">
      <t>キュウ</t>
    </rPh>
    <phoneticPr fontId="44"/>
  </si>
  <si>
    <t>【中級】シガンシナ区攻防戦</t>
    <rPh sb="1" eb="2">
      <t>チュウ</t>
    </rPh>
    <rPh sb="2" eb="3">
      <t>ジョ</t>
    </rPh>
    <phoneticPr fontId="44"/>
  </si>
  <si>
    <t>【上級】シガンシナ区攻防戦</t>
    <rPh sb="1" eb="2">
      <t>ウエ</t>
    </rPh>
    <rPh sb="2" eb="3">
      <t>チョ</t>
    </rPh>
    <phoneticPr fontId="44"/>
  </si>
  <si>
    <t>【超級】シガンシナ区攻防戦</t>
    <rPh sb="1" eb="3">
      <t>チョウキュウ</t>
    </rPh>
    <phoneticPr fontId="44"/>
  </si>
  <si>
    <t>【超絶級】超大型巨人襲来</t>
    <rPh sb="1" eb="3">
      <t>チョ</t>
    </rPh>
    <rPh sb="3" eb="4">
      <t>チョウw</t>
    </rPh>
    <phoneticPr fontId="44"/>
  </si>
  <si>
    <t>【ウィザード級】超大型巨人襲来</t>
    <rPh sb="1" eb="7">
      <t>チョウw</t>
    </rPh>
    <phoneticPr fontId="44"/>
  </si>
  <si>
    <t>【期間限定】リトルハンプティを追え！</t>
    <phoneticPr fontId="22"/>
  </si>
  <si>
    <t>quest40021</t>
    <phoneticPr fontId="44"/>
  </si>
  <si>
    <t>quest40022</t>
    <phoneticPr fontId="44"/>
  </si>
  <si>
    <t>quest11017</t>
    <phoneticPr fontId="44"/>
  </si>
  <si>
    <t>null</t>
    <phoneticPr fontId="44"/>
  </si>
  <si>
    <t>魂を屠る黒影</t>
    <phoneticPr fontId="44"/>
  </si>
  <si>
    <t>平安01</t>
    <phoneticPr fontId="44"/>
  </si>
  <si>
    <t>quest20019</t>
    <phoneticPr fontId="44"/>
  </si>
  <si>
    <t>期間限定クエスト（ハートなし）</t>
    <phoneticPr fontId="44"/>
  </si>
  <si>
    <t>平安シリーズ超級</t>
    <rPh sb="0" eb="2">
      <t>ヘイアン</t>
    </rPh>
    <rPh sb="6" eb="8">
      <t>チョウキュウ</t>
    </rPh>
    <phoneticPr fontId="44"/>
  </si>
  <si>
    <t>【中級】ゼロワン・ゲーム</t>
    <rPh sb="1" eb="2">
      <t>ナカ</t>
    </rPh>
    <rPh sb="2" eb="3">
      <t>ショキュウ</t>
    </rPh>
    <phoneticPr fontId="44"/>
  </si>
  <si>
    <t>【上級】ゼロワン・ゲーム</t>
    <rPh sb="1" eb="2">
      <t>ジョウ</t>
    </rPh>
    <rPh sb="2" eb="3">
      <t>ジョ</t>
    </rPh>
    <phoneticPr fontId="44"/>
  </si>
  <si>
    <t>【超級】ゼロワン・ゲーム</t>
    <rPh sb="1" eb="3">
      <t>チョウキュウ</t>
    </rPh>
    <phoneticPr fontId="44"/>
  </si>
  <si>
    <t>ゼロワン・ゲーム</t>
    <phoneticPr fontId="44"/>
  </si>
  <si>
    <t>灼熱の舞姫</t>
    <phoneticPr fontId="44"/>
  </si>
  <si>
    <t>【初級】灼熱の舞姫</t>
    <rPh sb="1" eb="3">
      <t>ショキュウ</t>
    </rPh>
    <phoneticPr fontId="44"/>
  </si>
  <si>
    <t>【中級】灼熱の舞姫</t>
    <rPh sb="1" eb="3">
      <t>チュウキュウ</t>
    </rPh>
    <phoneticPr fontId="44"/>
  </si>
  <si>
    <t>【上級】灼熱の舞姫</t>
    <rPh sb="1" eb="3">
      <t>ジョ</t>
    </rPh>
    <phoneticPr fontId="44"/>
  </si>
  <si>
    <t>quest41015</t>
    <phoneticPr fontId="44"/>
  </si>
  <si>
    <t>quest50006</t>
    <phoneticPr fontId="44"/>
  </si>
  <si>
    <t>【程塚】検証クエスト</t>
    <phoneticPr fontId="44"/>
  </si>
  <si>
    <t>quest60014</t>
    <phoneticPr fontId="55"/>
  </si>
  <si>
    <t>ニムダ（台）</t>
    <phoneticPr fontId="44"/>
  </si>
  <si>
    <t>アザゼル（台）</t>
    <phoneticPr fontId="44"/>
  </si>
  <si>
    <t>【初級】ニムダ（台）</t>
    <rPh sb="1" eb="2">
      <t>ハツ</t>
    </rPh>
    <rPh sb="2" eb="3">
      <t>キュウ</t>
    </rPh>
    <phoneticPr fontId="44"/>
  </si>
  <si>
    <t>【中級】ニムダ（台）</t>
    <rPh sb="1" eb="2">
      <t>チュウ</t>
    </rPh>
    <rPh sb="2" eb="3">
      <t>ジョ</t>
    </rPh>
    <phoneticPr fontId="44"/>
  </si>
  <si>
    <t>【上級】ニムダ（台）</t>
    <rPh sb="1" eb="2">
      <t>ウエ</t>
    </rPh>
    <rPh sb="2" eb="3">
      <t>チョ</t>
    </rPh>
    <phoneticPr fontId="44"/>
  </si>
  <si>
    <t>【超級】ニムダ（台）</t>
    <rPh sb="1" eb="3">
      <t>チョウキュウ</t>
    </rPh>
    <phoneticPr fontId="44"/>
  </si>
  <si>
    <t>【超絶】アザゼル（台）</t>
    <phoneticPr fontId="44"/>
  </si>
  <si>
    <t>【ｳｨｻﾞ】アザゼル（台）</t>
    <phoneticPr fontId="44"/>
  </si>
  <si>
    <t>【ﾉｰｺﾝ】アザゼル（台）</t>
    <phoneticPr fontId="44"/>
  </si>
  <si>
    <t>降臨23</t>
    <rPh sb="0" eb="2">
      <t>kouriンン</t>
    </rPh>
    <phoneticPr fontId="44"/>
  </si>
  <si>
    <t>メソポタミア01</t>
    <phoneticPr fontId="44"/>
  </si>
  <si>
    <t>初級</t>
    <phoneticPr fontId="44"/>
  </si>
  <si>
    <t>中級</t>
    <phoneticPr fontId="44"/>
  </si>
  <si>
    <t>上級</t>
    <phoneticPr fontId="44"/>
  </si>
  <si>
    <t>ja</t>
    <phoneticPr fontId="44"/>
  </si>
  <si>
    <t>メソポタミア文明シリーズ超級</t>
    <rPh sb="12" eb="14">
      <t>チョウキュウ</t>
    </rPh>
    <phoneticPr fontId="44"/>
  </si>
  <si>
    <t>降臨24</t>
    <rPh sb="0" eb="2">
      <t>kouriンン</t>
    </rPh>
    <phoneticPr fontId="44"/>
  </si>
  <si>
    <t>quest60014.png</t>
    <phoneticPr fontId="44"/>
  </si>
  <si>
    <t>クロネッカーチャレンジ</t>
    <phoneticPr fontId="44"/>
  </si>
  <si>
    <t xml:space="preserve">クロネッカーチャレンジ </t>
    <phoneticPr fontId="20"/>
  </si>
  <si>
    <t>ヒューマン・マシンキラー注意！</t>
    <phoneticPr fontId="44"/>
  </si>
  <si>
    <t>quest30039</t>
    <phoneticPr fontId="44"/>
  </si>
  <si>
    <t>ギルガメッシュ襲来！</t>
    <rPh sb="7" eb="10">
      <t>シュ</t>
    </rPh>
    <phoneticPr fontId="20"/>
  </si>
  <si>
    <t>超降臨7</t>
    <rPh sb="0" eb="1">
      <t>チョ</t>
    </rPh>
    <phoneticPr fontId="44"/>
  </si>
  <si>
    <t>ティアマト襲来！</t>
    <rPh sb="5" eb="7">
      <t>シュ</t>
    </rPh>
    <phoneticPr fontId="20"/>
  </si>
  <si>
    <t>降臨25</t>
    <rPh sb="0" eb="2">
      <t>kouriンン</t>
    </rPh>
    <phoneticPr fontId="44"/>
  </si>
  <si>
    <t>【超絶級】ティアマト襲来</t>
    <rPh sb="1" eb="3">
      <t>チョウゼツ</t>
    </rPh>
    <rPh sb="3" eb="4">
      <t>キュ</t>
    </rPh>
    <phoneticPr fontId="44"/>
  </si>
  <si>
    <t>【ウィザード級】ティアマト襲来</t>
    <rPh sb="6" eb="7">
      <t>キュ</t>
    </rPh>
    <phoneticPr fontId="44"/>
  </si>
  <si>
    <t>アトラス襲来！</t>
    <rPh sb="4" eb="6">
      <t>シュウライ</t>
    </rPh>
    <phoneticPr fontId="20"/>
  </si>
  <si>
    <t>quest40023</t>
    <phoneticPr fontId="44"/>
  </si>
  <si>
    <t>quest40024</t>
    <phoneticPr fontId="44"/>
  </si>
  <si>
    <t>リセット型チャレンジタワー</t>
    <phoneticPr fontId="44"/>
  </si>
  <si>
    <t>チャレンジタワー</t>
    <phoneticPr fontId="22"/>
  </si>
  <si>
    <t>quest13001_26.png</t>
    <phoneticPr fontId="44"/>
  </si>
  <si>
    <t>孫悟空襲来！</t>
    <rPh sb="3" eb="5">
      <t>シュ</t>
    </rPh>
    <phoneticPr fontId="20"/>
  </si>
  <si>
    <t>台湾版降臨6</t>
    <rPh sb="3" eb="5">
      <t>kouriンン</t>
    </rPh>
    <phoneticPr fontId="44"/>
  </si>
  <si>
    <t>quest_id 48002 v2化</t>
    <phoneticPr fontId="44"/>
  </si>
  <si>
    <t>牛頭馬面襲来！</t>
    <rPh sb="4" eb="6">
      <t>シュ</t>
    </rPh>
    <phoneticPr fontId="20"/>
  </si>
  <si>
    <t>台湾版降臨7</t>
    <rPh sb="3" eb="5">
      <t>kouriンン</t>
    </rPh>
    <phoneticPr fontId="44"/>
  </si>
  <si>
    <t>【超絶級】牛頭馬面襲来</t>
    <rPh sb="3" eb="4">
      <t>キュ</t>
    </rPh>
    <phoneticPr fontId="44"/>
  </si>
  <si>
    <t>【ウィザード級】牛頭馬面襲来</t>
    <phoneticPr fontId="44"/>
  </si>
  <si>
    <t>TVCM第2弾放送記念★特別クエスト</t>
    <rPh sb="12" eb="14">
      <t>トクベツクエスト</t>
    </rPh>
    <phoneticPr fontId="44"/>
  </si>
  <si>
    <t>…勘違いじゃないよ。</t>
    <phoneticPr fontId="44"/>
  </si>
  <si>
    <t>【ALICE日常編】…勘違いじゃないよ。</t>
    <phoneticPr fontId="44"/>
  </si>
  <si>
    <t>幻と化したボツステージ</t>
    <phoneticPr fontId="44"/>
  </si>
  <si>
    <t>幻と化したボツステージ</t>
    <phoneticPr fontId="44"/>
  </si>
  <si>
    <t>ランキング2（再開催）</t>
    <rPh sb="7" eb="10">
      <t>サイカ</t>
    </rPh>
    <phoneticPr fontId="44"/>
  </si>
  <si>
    <t>quest60015</t>
    <phoneticPr fontId="44"/>
  </si>
  <si>
    <t>quest60015.png</t>
    <phoneticPr fontId="44"/>
  </si>
  <si>
    <t>武蔵坊弁慶襲来！</t>
    <rPh sb="0" eb="3">
      <t>ムサシボウ</t>
    </rPh>
    <rPh sb="3" eb="5">
      <t>ベンケイ</t>
    </rPh>
    <rPh sb="5" eb="7">
      <t>シュ</t>
    </rPh>
    <phoneticPr fontId="20"/>
  </si>
  <si>
    <t xml:space="preserve">【超絶級】武蔵坊弁慶襲来 </t>
    <rPh sb="1" eb="3">
      <t>チョウゼツ</t>
    </rPh>
    <rPh sb="3" eb="4">
      <t>キュ</t>
    </rPh>
    <rPh sb="5" eb="8">
      <t>ムサシボウ</t>
    </rPh>
    <rPh sb="8" eb="10">
      <t>ベンケイ</t>
    </rPh>
    <rPh sb="10" eb="12">
      <t>シュウライ</t>
    </rPh>
    <phoneticPr fontId="44"/>
  </si>
  <si>
    <t>【ウィザード級】武蔵坊弁慶襲来</t>
    <rPh sb="6" eb="7">
      <t>キュ</t>
    </rPh>
    <rPh sb="8" eb="11">
      <t>ムサシボウ</t>
    </rPh>
    <rPh sb="11" eb="13">
      <t>ベンケイ</t>
    </rPh>
    <phoneticPr fontId="44"/>
  </si>
  <si>
    <t>quest11227</t>
    <phoneticPr fontId="44"/>
  </si>
  <si>
    <t>null</t>
    <phoneticPr fontId="44"/>
  </si>
  <si>
    <t>シュレディンガーチャレンジ</t>
    <phoneticPr fontId="20"/>
  </si>
  <si>
    <t>ランキング5（シュレディンガー）</t>
    <phoneticPr fontId="44"/>
  </si>
  <si>
    <t>【超絶級】ミケランジェロ襲来</t>
    <rPh sb="1" eb="3">
      <t>チョウゼツ</t>
    </rPh>
    <rPh sb="3" eb="4">
      <t>キュ</t>
    </rPh>
    <phoneticPr fontId="44"/>
  </si>
  <si>
    <t>【ウィザード級】ミケランジェロ襲来</t>
    <rPh sb="6" eb="7">
      <t>キュ</t>
    </rPh>
    <phoneticPr fontId="44"/>
  </si>
  <si>
    <t>quest40026</t>
    <phoneticPr fontId="44"/>
  </si>
  <si>
    <t>ミケランジェロ襲来！</t>
    <rPh sb="7" eb="9">
      <t>シュ</t>
    </rPh>
    <phoneticPr fontId="20"/>
  </si>
  <si>
    <t>降臨26</t>
    <rPh sb="0" eb="2">
      <t>kouriンン</t>
    </rPh>
    <phoneticPr fontId="44"/>
  </si>
  <si>
    <t>降臨27</t>
    <rPh sb="0" eb="2">
      <t>kouriンン</t>
    </rPh>
    <phoneticPr fontId="44"/>
  </si>
  <si>
    <t>コルキス襲来！</t>
    <rPh sb="4" eb="6">
      <t>シュ</t>
    </rPh>
    <phoneticPr fontId="20"/>
  </si>
  <si>
    <t>【超絶級】アトラス襲来</t>
    <rPh sb="1" eb="3">
      <t>チョウゼツ</t>
    </rPh>
    <rPh sb="3" eb="4">
      <t>キュ</t>
    </rPh>
    <rPh sb="9" eb="11">
      <t>シュウライ</t>
    </rPh>
    <phoneticPr fontId="44"/>
  </si>
  <si>
    <t>【ウィザード級】アトラス襲来</t>
    <rPh sb="6" eb="7">
      <t>キュ</t>
    </rPh>
    <rPh sb="12" eb="14">
      <t>シュウライ</t>
    </rPh>
    <phoneticPr fontId="44"/>
  </si>
  <si>
    <t>【超絶級】コルキス襲来</t>
    <rPh sb="1" eb="3">
      <t>チョウゼツ</t>
    </rPh>
    <rPh sb="3" eb="4">
      <t>キュ</t>
    </rPh>
    <rPh sb="9" eb="11">
      <t>シュウライ</t>
    </rPh>
    <phoneticPr fontId="44"/>
  </si>
  <si>
    <t>【ウィザード級】コルキス襲来</t>
    <rPh sb="6" eb="7">
      <t>キュ</t>
    </rPh>
    <rPh sb="12" eb="14">
      <t>シュウライ</t>
    </rPh>
    <phoneticPr fontId="44"/>
  </si>
  <si>
    <t>quest40027</t>
    <phoneticPr fontId="44"/>
  </si>
  <si>
    <t>変幻自在の風</t>
    <phoneticPr fontId="44"/>
  </si>
  <si>
    <t>【初級】変幻自在の風</t>
    <phoneticPr fontId="44"/>
  </si>
  <si>
    <t>【中級】変幻自在の風</t>
    <phoneticPr fontId="44"/>
  </si>
  <si>
    <t>【上級】変幻自在の風</t>
    <phoneticPr fontId="44"/>
  </si>
  <si>
    <t>quest20020</t>
    <phoneticPr fontId="44"/>
  </si>
  <si>
    <t>赤パネルが出現しない！</t>
    <rPh sb="0" eb="1">
      <t>アｋ</t>
    </rPh>
    <phoneticPr fontId="44"/>
  </si>
  <si>
    <t>闇ヨリ出ル魔獣</t>
    <phoneticPr fontId="44"/>
  </si>
  <si>
    <r>
      <t>【中級】</t>
    </r>
    <r>
      <rPr>
        <b/>
        <sz val="10"/>
        <rFont val="ＭＳ Ｐゴシック"/>
        <family val="3"/>
        <charset val="128"/>
        <scheme val="minor"/>
      </rPr>
      <t>闇ヨリ出ル魔獣</t>
    </r>
    <rPh sb="1" eb="2">
      <t>ナカ</t>
    </rPh>
    <rPh sb="2" eb="3">
      <t>ショキュウ</t>
    </rPh>
    <phoneticPr fontId="44"/>
  </si>
  <si>
    <t>【上級】闇ヨリ出ル魔獣</t>
    <rPh sb="1" eb="2">
      <t>ジョウ</t>
    </rPh>
    <rPh sb="2" eb="3">
      <t>ジョ</t>
    </rPh>
    <phoneticPr fontId="44"/>
  </si>
  <si>
    <t>【超級】闇ヨリ出ル魔獣</t>
    <rPh sb="1" eb="3">
      <t>チョウキュウ</t>
    </rPh>
    <phoneticPr fontId="44"/>
  </si>
  <si>
    <t>quest30040</t>
    <phoneticPr fontId="44"/>
  </si>
  <si>
    <t>画家シリーズ01</t>
    <rPh sb="0" eb="2">
      <t>ガｋ</t>
    </rPh>
    <phoneticPr fontId="44"/>
  </si>
  <si>
    <t>quest40025</t>
    <phoneticPr fontId="44"/>
  </si>
  <si>
    <t>【ウィザード級】孫悟空襲来</t>
    <phoneticPr fontId="44"/>
  </si>
  <si>
    <t>【超絶級】孫悟空襲来</t>
    <rPh sb="3" eb="4">
      <t>キュ</t>
    </rPh>
    <phoneticPr fontId="44"/>
  </si>
  <si>
    <t>画家シリーズ超級</t>
    <rPh sb="6" eb="8">
      <t>チョウキュウ</t>
    </rPh>
    <phoneticPr fontId="44"/>
  </si>
  <si>
    <t>降臨28</t>
    <rPh sb="0" eb="2">
      <t>kouriンン</t>
    </rPh>
    <phoneticPr fontId="44"/>
  </si>
  <si>
    <t>降臨29</t>
    <rPh sb="0" eb="2">
      <t>kouriンン</t>
    </rPh>
    <phoneticPr fontId="44"/>
  </si>
  <si>
    <t>【超絶級】カスケード襲来</t>
    <rPh sb="1" eb="3">
      <t>チョウゼツ</t>
    </rPh>
    <rPh sb="3" eb="4">
      <t>キュ</t>
    </rPh>
    <rPh sb="10" eb="12">
      <t>シュウライ</t>
    </rPh>
    <phoneticPr fontId="44"/>
  </si>
  <si>
    <t>【ウィザード級】カスケード襲来</t>
    <rPh sb="6" eb="7">
      <t>キュ</t>
    </rPh>
    <rPh sb="13" eb="15">
      <t>シュウライ</t>
    </rPh>
    <phoneticPr fontId="44"/>
  </si>
  <si>
    <t>quest50007</t>
    <phoneticPr fontId="44"/>
  </si>
  <si>
    <t>quest60016</t>
    <phoneticPr fontId="44"/>
  </si>
  <si>
    <t>【超ウィザ】ギルガメッシュ襲来</t>
    <rPh sb="1" eb="5">
      <t>チョウw</t>
    </rPh>
    <rPh sb="13" eb="15">
      <t>シュウライ</t>
    </rPh>
    <phoneticPr fontId="44"/>
  </si>
  <si>
    <t>エリス襲来！</t>
    <rPh sb="3" eb="5">
      <t>シュウラ</t>
    </rPh>
    <phoneticPr fontId="20"/>
  </si>
  <si>
    <t>降臨30</t>
    <rPh sb="0" eb="2">
      <t>kouriンン</t>
    </rPh>
    <phoneticPr fontId="44"/>
  </si>
  <si>
    <t>襲来クエスト</t>
    <phoneticPr fontId="44"/>
  </si>
  <si>
    <t>【超絶級】エリス襲来</t>
    <rPh sb="1" eb="3">
      <t>チョウゼツ</t>
    </rPh>
    <rPh sb="3" eb="4">
      <t>キュ</t>
    </rPh>
    <rPh sb="8" eb="10">
      <t>シュウライ</t>
    </rPh>
    <phoneticPr fontId="44"/>
  </si>
  <si>
    <t>【ウィザード級】エリス襲来</t>
    <rPh sb="6" eb="7">
      <t>キュ</t>
    </rPh>
    <rPh sb="11" eb="13">
      <t>シュウライ</t>
    </rPh>
    <phoneticPr fontId="44"/>
  </si>
  <si>
    <t>quest40030</t>
    <phoneticPr fontId="44"/>
  </si>
  <si>
    <t>本気プロテクトジャンヌ</t>
    <phoneticPr fontId="44"/>
  </si>
  <si>
    <t>本気ウィルスミケランジェロ</t>
    <phoneticPr fontId="44"/>
  </si>
  <si>
    <t>【LB田邉】検証クエスト</t>
    <rPh sb="3" eb="5">
      <t>タナベ</t>
    </rPh>
    <phoneticPr fontId="44"/>
  </si>
  <si>
    <t>【LB田邉】アニメーション検証</t>
    <rPh sb="3" eb="5">
      <t>タナベ</t>
    </rPh>
    <phoneticPr fontId="44"/>
  </si>
  <si>
    <t>パラノイア・アート</t>
    <phoneticPr fontId="44"/>
  </si>
  <si>
    <r>
      <t>【中級】</t>
    </r>
    <r>
      <rPr>
        <b/>
        <sz val="10"/>
        <rFont val="ＭＳ Ｐゴシック"/>
        <family val="3"/>
        <charset val="128"/>
        <scheme val="minor"/>
      </rPr>
      <t>パラノイア・アート</t>
    </r>
    <rPh sb="1" eb="2">
      <t>ナカ</t>
    </rPh>
    <rPh sb="2" eb="3">
      <t>ショキュウ</t>
    </rPh>
    <phoneticPr fontId="44"/>
  </si>
  <si>
    <t>【上級】パラノイア・アート</t>
    <rPh sb="1" eb="2">
      <t>ジョウ</t>
    </rPh>
    <rPh sb="2" eb="3">
      <t>ジョ</t>
    </rPh>
    <phoneticPr fontId="44"/>
  </si>
  <si>
    <t>【超級】パラノイア・アート</t>
    <rPh sb="1" eb="3">
      <t>チョウキュウ</t>
    </rPh>
    <phoneticPr fontId="44"/>
  </si>
  <si>
    <t>quest30041</t>
    <phoneticPr fontId="44"/>
  </si>
  <si>
    <t>quest60016.png</t>
    <phoneticPr fontId="44"/>
  </si>
  <si>
    <t>quest40028</t>
    <phoneticPr fontId="44"/>
  </si>
  <si>
    <t>【超絶級】ルピカ襲来</t>
    <rPh sb="1" eb="3">
      <t>チョウゼツ</t>
    </rPh>
    <rPh sb="3" eb="4">
      <t>キュ</t>
    </rPh>
    <rPh sb="8" eb="10">
      <t>シュウライ</t>
    </rPh>
    <phoneticPr fontId="44"/>
  </si>
  <si>
    <t>【ウィザード級】ルピカ襲来</t>
    <rPh sb="6" eb="7">
      <t>キュ</t>
    </rPh>
    <rPh sb="11" eb="13">
      <t>シュウライ</t>
    </rPh>
    <phoneticPr fontId="44"/>
  </si>
  <si>
    <t>ルピカ襲来！</t>
    <rPh sb="3" eb="5">
      <t>シュ</t>
    </rPh>
    <phoneticPr fontId="20"/>
  </si>
  <si>
    <t>カスケード襲来！</t>
    <rPh sb="5" eb="7">
      <t>シュ</t>
    </rPh>
    <phoneticPr fontId="20"/>
  </si>
  <si>
    <t>襲来クエスト</t>
    <phoneticPr fontId="44"/>
  </si>
  <si>
    <t>【初級】ペインター・オブ・ラブ</t>
    <phoneticPr fontId="44"/>
  </si>
  <si>
    <t>【中級】ペインター・オブ・ラブ</t>
    <phoneticPr fontId="44"/>
  </si>
  <si>
    <t>【上級】ペインター・オブ・ラブ</t>
    <phoneticPr fontId="44"/>
  </si>
  <si>
    <t>ペインター・オブ・ラブ</t>
    <phoneticPr fontId="44"/>
  </si>
  <si>
    <t>quest20021</t>
    <phoneticPr fontId="44"/>
  </si>
  <si>
    <t>三国志シリーズ超級</t>
    <rPh sb="7" eb="9">
      <t>チョウキュウ</t>
    </rPh>
    <phoneticPr fontId="44"/>
  </si>
  <si>
    <t>quest30042</t>
    <phoneticPr fontId="44"/>
  </si>
  <si>
    <t>貂蝉襲来！</t>
    <rPh sb="2" eb="4">
      <t>シュウラ</t>
    </rPh>
    <phoneticPr fontId="20"/>
  </si>
  <si>
    <t>降臨32</t>
    <rPh sb="0" eb="2">
      <t>kouriンン</t>
    </rPh>
    <phoneticPr fontId="44"/>
  </si>
  <si>
    <t>【超絶級】貂蝉襲来</t>
    <rPh sb="1" eb="3">
      <t>チョウゼツ</t>
    </rPh>
    <rPh sb="3" eb="4">
      <t>キュ</t>
    </rPh>
    <rPh sb="7" eb="9">
      <t>シュウライ</t>
    </rPh>
    <phoneticPr fontId="44"/>
  </si>
  <si>
    <t>【ウィザード級】貂蝉襲来</t>
    <rPh sb="6" eb="7">
      <t>キュ</t>
    </rPh>
    <rPh sb="10" eb="12">
      <t>シュウライ</t>
    </rPh>
    <phoneticPr fontId="44"/>
  </si>
  <si>
    <t>quest40032</t>
    <phoneticPr fontId="44"/>
  </si>
  <si>
    <t>董卓襲来！</t>
    <rPh sb="2" eb="4">
      <t>シュウラ</t>
    </rPh>
    <phoneticPr fontId="20"/>
  </si>
  <si>
    <t>降臨31</t>
    <rPh sb="0" eb="2">
      <t>kouriンン</t>
    </rPh>
    <phoneticPr fontId="44"/>
  </si>
  <si>
    <t>【超絶級】董卓襲来</t>
    <rPh sb="1" eb="3">
      <t>チョウゼツ</t>
    </rPh>
    <rPh sb="3" eb="4">
      <t>キュ</t>
    </rPh>
    <rPh sb="7" eb="9">
      <t>シュウライ</t>
    </rPh>
    <phoneticPr fontId="44"/>
  </si>
  <si>
    <t>【ウィザード級】董卓襲来</t>
    <rPh sb="6" eb="7">
      <t>キュ</t>
    </rPh>
    <rPh sb="10" eb="12">
      <t>シュウライ</t>
    </rPh>
    <phoneticPr fontId="44"/>
  </si>
  <si>
    <t>quest40031</t>
    <phoneticPr fontId="44"/>
  </si>
  <si>
    <t>quest11018</t>
    <phoneticPr fontId="44"/>
  </si>
  <si>
    <t>【エナジー1/2】 ゴールドカジノ</t>
    <phoneticPr fontId="22"/>
  </si>
  <si>
    <t>【超絶級】蛟龍襲来</t>
    <rPh sb="3" eb="4">
      <t>キュ</t>
    </rPh>
    <phoneticPr fontId="44"/>
  </si>
  <si>
    <t>quest40029</t>
    <phoneticPr fontId="44"/>
  </si>
  <si>
    <t>青パネルが出現しない！</t>
    <rPh sb="0" eb="1">
      <t>アオ</t>
    </rPh>
    <phoneticPr fontId="44"/>
  </si>
  <si>
    <t>ユークリッドチャレンジ</t>
    <phoneticPr fontId="20"/>
  </si>
  <si>
    <t>ランキング3（再開催）</t>
    <rPh sb="7" eb="8">
      <t>サイ</t>
    </rPh>
    <rPh sb="8" eb="10">
      <t>サイカイサイ</t>
    </rPh>
    <phoneticPr fontId="44"/>
  </si>
  <si>
    <t>アテナ襲来！</t>
    <rPh sb="3" eb="5">
      <t>シュウラ</t>
    </rPh>
    <phoneticPr fontId="20"/>
  </si>
  <si>
    <t>降臨33</t>
    <rPh sb="0" eb="2">
      <t>kouriンン</t>
    </rPh>
    <phoneticPr fontId="44"/>
  </si>
  <si>
    <t>【超絶級】アテナ襲来</t>
    <rPh sb="1" eb="3">
      <t>チョウゼツ</t>
    </rPh>
    <rPh sb="3" eb="4">
      <t>キュ</t>
    </rPh>
    <rPh sb="8" eb="10">
      <t>シュウライ</t>
    </rPh>
    <phoneticPr fontId="44"/>
  </si>
  <si>
    <t>【ウィザード級】アテナ襲来</t>
    <rPh sb="6" eb="7">
      <t>キュ</t>
    </rPh>
    <rPh sb="11" eb="13">
      <t>シュウライ</t>
    </rPh>
    <phoneticPr fontId="44"/>
  </si>
  <si>
    <t>ハートが出現しない！</t>
    <phoneticPr fontId="44"/>
  </si>
  <si>
    <t>ソロ限定（ハートなし）</t>
    <rPh sb="2" eb="4">
      <t>ゲンテイ</t>
    </rPh>
    <phoneticPr fontId="44"/>
  </si>
  <si>
    <t>singleonly</t>
    <phoneticPr fontId="44"/>
  </si>
  <si>
    <t>馬中に赤兎あり！</t>
    <phoneticPr fontId="44"/>
  </si>
  <si>
    <t>【中級】馬中に赤兎あり！</t>
    <rPh sb="1" eb="2">
      <t>ナカ</t>
    </rPh>
    <rPh sb="2" eb="3">
      <t>ショキュウ</t>
    </rPh>
    <phoneticPr fontId="44"/>
  </si>
  <si>
    <t>【上級】馬中に赤兎あり！</t>
    <rPh sb="1" eb="2">
      <t>ジョウ</t>
    </rPh>
    <rPh sb="2" eb="3">
      <t>ジョ</t>
    </rPh>
    <phoneticPr fontId="44"/>
  </si>
  <si>
    <t>【超級】馬中に赤兎あり！</t>
    <rPh sb="1" eb="3">
      <t>チョウキュウ</t>
    </rPh>
    <phoneticPr fontId="44"/>
  </si>
  <si>
    <t>quest_schedule_id</t>
    <phoneticPr fontId="55"/>
  </si>
  <si>
    <t>呂布襲来！</t>
    <rPh sb="0" eb="2">
      <t>リョｆ</t>
    </rPh>
    <rPh sb="2" eb="5">
      <t>シュ</t>
    </rPh>
    <phoneticPr fontId="20"/>
  </si>
  <si>
    <t>超降臨8</t>
    <rPh sb="0" eb="1">
      <t>チョ</t>
    </rPh>
    <phoneticPr fontId="44"/>
  </si>
  <si>
    <t>quest50008</t>
    <phoneticPr fontId="44"/>
  </si>
  <si>
    <t>【LB田邉】検証クエスト</t>
    <phoneticPr fontId="44"/>
  </si>
  <si>
    <t>quest60017</t>
    <phoneticPr fontId="44"/>
  </si>
  <si>
    <t>quest60011.png</t>
    <phoneticPr fontId="44"/>
  </si>
  <si>
    <t>quest60011.png</t>
    <phoneticPr fontId="44"/>
  </si>
  <si>
    <t>カーリー襲来！</t>
    <rPh sb="4" eb="6">
      <t>シュウラ</t>
    </rPh>
    <phoneticPr fontId="20"/>
  </si>
  <si>
    <t>降臨34</t>
    <rPh sb="0" eb="2">
      <t>kouriンン</t>
    </rPh>
    <phoneticPr fontId="44"/>
  </si>
  <si>
    <t>【超絶級】カーリー襲来</t>
    <rPh sb="1" eb="3">
      <t>チョウゼツ</t>
    </rPh>
    <rPh sb="3" eb="4">
      <t>キュ</t>
    </rPh>
    <rPh sb="9" eb="11">
      <t>シュウライ</t>
    </rPh>
    <phoneticPr fontId="44"/>
  </si>
  <si>
    <t>【ウィザード級】カーリー襲来</t>
    <rPh sb="6" eb="7">
      <t>キュ</t>
    </rPh>
    <rPh sb="12" eb="14">
      <t>シュウライ</t>
    </rPh>
    <phoneticPr fontId="44"/>
  </si>
  <si>
    <t>チューリングチャレンジ</t>
    <phoneticPr fontId="20"/>
  </si>
  <si>
    <t>ランキング6</t>
    <phoneticPr fontId="44"/>
  </si>
  <si>
    <t>quest60018</t>
    <phoneticPr fontId="44"/>
  </si>
  <si>
    <t>【超絶級】ブラフマー襲来</t>
    <rPh sb="1" eb="3">
      <t>チョウゼツ</t>
    </rPh>
    <rPh sb="3" eb="4">
      <t>キュ</t>
    </rPh>
    <rPh sb="10" eb="12">
      <t>シュウライ</t>
    </rPh>
    <phoneticPr fontId="44"/>
  </si>
  <si>
    <t>【ウィザード級】ブラフマー襲来</t>
    <rPh sb="6" eb="7">
      <t>キュ</t>
    </rPh>
    <rPh sb="13" eb="15">
      <t>シュウライ</t>
    </rPh>
    <phoneticPr fontId="44"/>
  </si>
  <si>
    <t>ブラフマー襲来！</t>
    <rPh sb="5" eb="7">
      <t>シュウラ</t>
    </rPh>
    <phoneticPr fontId="20"/>
  </si>
  <si>
    <t>降臨35</t>
    <rPh sb="0" eb="2">
      <t>kouriンン</t>
    </rPh>
    <phoneticPr fontId="44"/>
  </si>
  <si>
    <t>quest13300.png</t>
    <phoneticPr fontId="44"/>
  </si>
  <si>
    <t>treasure_bug</t>
  </si>
  <si>
    <t>null</t>
    <phoneticPr fontId="44"/>
  </si>
  <si>
    <t>treasure_bug</t>
    <phoneticPr fontId="44"/>
  </si>
  <si>
    <t>help_myself</t>
    <phoneticPr fontId="44"/>
  </si>
  <si>
    <t>preview_end_date</t>
    <phoneticPr fontId="44"/>
  </si>
  <si>
    <t>preview_start_date</t>
    <phoneticPr fontId="44"/>
  </si>
  <si>
    <t>preview_end_date</t>
    <phoneticPr fontId="44"/>
  </si>
  <si>
    <t>NULL</t>
    <phoneticPr fontId="44"/>
  </si>
  <si>
    <t>NULL</t>
    <phoneticPr fontId="44"/>
  </si>
  <si>
    <t>quest40035</t>
    <phoneticPr fontId="44"/>
  </si>
  <si>
    <t>小さな破壊竜</t>
    <phoneticPr fontId="44"/>
  </si>
  <si>
    <t>【中級】小さな破壊竜</t>
    <rPh sb="1" eb="2">
      <t>ナカ</t>
    </rPh>
    <rPh sb="2" eb="3">
      <t>ショキュウ</t>
    </rPh>
    <phoneticPr fontId="44"/>
  </si>
  <si>
    <t>【上級】小さな破壊竜</t>
    <rPh sb="1" eb="2">
      <t>ジョウ</t>
    </rPh>
    <rPh sb="2" eb="3">
      <t>ジョ</t>
    </rPh>
    <phoneticPr fontId="44"/>
  </si>
  <si>
    <t>【超級】小さな破壊竜</t>
    <rPh sb="1" eb="3">
      <t>チョウキュウ</t>
    </rPh>
    <phoneticPr fontId="44"/>
  </si>
  <si>
    <t>quest40033</t>
    <phoneticPr fontId="44"/>
  </si>
  <si>
    <t>quest30043</t>
    <phoneticPr fontId="44"/>
  </si>
  <si>
    <t>コスト54以下ユニット限定！</t>
    <phoneticPr fontId="44"/>
  </si>
  <si>
    <t>青パネルが出現しない！</t>
    <phoneticPr fontId="44"/>
  </si>
  <si>
    <t>everyone</t>
  </si>
  <si>
    <t>character</t>
    <phoneticPr fontId="44"/>
  </si>
  <si>
    <t>character</t>
    <phoneticPr fontId="44"/>
  </si>
  <si>
    <t xml:space="preserve"> </t>
    <phoneticPr fontId="44"/>
  </si>
  <si>
    <t>ギリシャ神話シリーズ超級</t>
    <phoneticPr fontId="44"/>
  </si>
  <si>
    <t>ヒンドゥー神話第二弾超級</t>
    <phoneticPr fontId="44"/>
  </si>
  <si>
    <t>ギリシャ神話第二弾超級</t>
    <phoneticPr fontId="44"/>
  </si>
  <si>
    <t>【LB加藤】検証クエスト</t>
    <rPh sb="3" eb="5">
      <t>カト</t>
    </rPh>
    <phoneticPr fontId="44"/>
  </si>
  <si>
    <t>quest60018.png</t>
    <phoneticPr fontId="44"/>
  </si>
  <si>
    <t>ウラヌス襲来！</t>
    <rPh sb="4" eb="6">
      <t>シュウラ</t>
    </rPh>
    <phoneticPr fontId="20"/>
  </si>
  <si>
    <t>降臨36</t>
    <rPh sb="0" eb="2">
      <t>kouriンン</t>
    </rPh>
    <phoneticPr fontId="44"/>
  </si>
  <si>
    <t>【超絶級】ウラヌス襲来</t>
    <rPh sb="1" eb="3">
      <t>チョウゼツ</t>
    </rPh>
    <rPh sb="3" eb="4">
      <t>キュ</t>
    </rPh>
    <rPh sb="9" eb="11">
      <t>シュウライ</t>
    </rPh>
    <phoneticPr fontId="44"/>
  </si>
  <si>
    <t>【ウィザード級】ウラヌス襲来</t>
    <rPh sb="6" eb="7">
      <t>キュ</t>
    </rPh>
    <rPh sb="12" eb="14">
      <t>シュウライ</t>
    </rPh>
    <phoneticPr fontId="44"/>
  </si>
  <si>
    <t>種族ゴッド限定！</t>
    <rPh sb="0" eb="2">
      <t>シュゾク</t>
    </rPh>
    <rPh sb="5" eb="7">
      <t>ゲンテイ</t>
    </rPh>
    <phoneticPr fontId="44"/>
  </si>
  <si>
    <t>ヘラ襲来！</t>
    <rPh sb="2" eb="5">
      <t>シュ</t>
    </rPh>
    <phoneticPr fontId="20"/>
  </si>
  <si>
    <t>超降臨9</t>
    <rPh sb="0" eb="1">
      <t>チョ</t>
    </rPh>
    <phoneticPr fontId="44"/>
  </si>
  <si>
    <t>【超絶級】デルピュネー襲来</t>
    <rPh sb="1" eb="3">
      <t>チョウゼツ</t>
    </rPh>
    <rPh sb="3" eb="4">
      <t>キュ</t>
    </rPh>
    <rPh sb="11" eb="13">
      <t>シュウライ</t>
    </rPh>
    <phoneticPr fontId="44"/>
  </si>
  <si>
    <t>【ウィザード級】デルピュネー襲来</t>
    <rPh sb="6" eb="7">
      <t>キュ</t>
    </rPh>
    <rPh sb="14" eb="16">
      <t>シュウライ</t>
    </rPh>
    <phoneticPr fontId="44"/>
  </si>
  <si>
    <t>デルピュネー襲来！</t>
    <rPh sb="6" eb="8">
      <t>シュウラ</t>
    </rPh>
    <phoneticPr fontId="20"/>
  </si>
  <si>
    <t>降臨37</t>
    <rPh sb="0" eb="2">
      <t>kouriンン</t>
    </rPh>
    <phoneticPr fontId="44"/>
  </si>
  <si>
    <t>ja</t>
  </si>
  <si>
    <t>quest40037</t>
    <phoneticPr fontId="44"/>
  </si>
  <si>
    <t>【超ウィザード級】呂布襲来</t>
    <rPh sb="9" eb="11">
      <t>リョｆ</t>
    </rPh>
    <rPh sb="11" eb="13">
      <t>シュウライ</t>
    </rPh>
    <phoneticPr fontId="44"/>
  </si>
  <si>
    <t>【超ウィザード級】ヘラ襲来</t>
    <rPh sb="11" eb="13">
      <t>シュウライ</t>
    </rPh>
    <phoneticPr fontId="44"/>
  </si>
  <si>
    <t>character</t>
    <phoneticPr fontId="44"/>
  </si>
  <si>
    <t>character</t>
    <phoneticPr fontId="44"/>
  </si>
  <si>
    <t>タワーオブザクイーン</t>
    <phoneticPr fontId="44"/>
  </si>
  <si>
    <t>タワーオブザクイーン</t>
    <phoneticPr fontId="44"/>
  </si>
  <si>
    <t>タワーオブザクイーン</t>
    <phoneticPr fontId="44"/>
  </si>
  <si>
    <t>タワーオブザクイーン</t>
    <phoneticPr fontId="44"/>
  </si>
  <si>
    <t>タワーオブザクイーン</t>
    <phoneticPr fontId="44"/>
  </si>
  <si>
    <t>タワーオブザクイーン</t>
    <phoneticPr fontId="44"/>
  </si>
  <si>
    <t>タワーオブザクイーン</t>
    <phoneticPr fontId="44"/>
  </si>
  <si>
    <t>タワーオブザクイーン1本目</t>
    <rPh sb="11" eb="12">
      <t>ポン</t>
    </rPh>
    <rPh sb="12" eb="13">
      <t>メ</t>
    </rPh>
    <phoneticPr fontId="44"/>
  </si>
  <si>
    <t>quest50009</t>
    <phoneticPr fontId="44"/>
  </si>
  <si>
    <t>１２３４５６７８９０１２３４５６７８９０１２３４５６７８９０</t>
    <phoneticPr fontId="44"/>
  </si>
  <si>
    <t>ハロウィンナイトパニック！</t>
    <phoneticPr fontId="20"/>
  </si>
  <si>
    <t>【上級】ハロウィンナイトパニック！</t>
    <phoneticPr fontId="44"/>
  </si>
  <si>
    <t>【超級】ハロウィンナイトパニック！</t>
    <phoneticPr fontId="44"/>
  </si>
  <si>
    <t>【超絶】ハロウィンナイトパニック！</t>
    <phoneticPr fontId="44"/>
  </si>
  <si>
    <t>thumbnail_character_id</t>
    <phoneticPr fontId="44"/>
  </si>
  <si>
    <t>character</t>
    <phoneticPr fontId="44"/>
  </si>
  <si>
    <t>quest47003</t>
    <phoneticPr fontId="44"/>
  </si>
  <si>
    <t>ヘンペルチャレンジ</t>
    <phoneticPr fontId="20"/>
  </si>
  <si>
    <t>ランキング7</t>
    <phoneticPr fontId="44"/>
  </si>
  <si>
    <t>quest60019</t>
    <phoneticPr fontId="44"/>
  </si>
  <si>
    <t>2016-10-31 14:59:59</t>
    <phoneticPr fontId="44"/>
  </si>
  <si>
    <t>2016-11-06 14:59:59</t>
    <phoneticPr fontId="44"/>
  </si>
  <si>
    <t>2016-10-31 15:00:00</t>
    <phoneticPr fontId="44"/>
  </si>
  <si>
    <t>紅鬼襲来！</t>
    <rPh sb="2" eb="4">
      <t>シュ</t>
    </rPh>
    <phoneticPr fontId="20"/>
  </si>
  <si>
    <t>台湾版降臨8</t>
    <rPh sb="3" eb="5">
      <t>kouriンン</t>
    </rPh>
    <phoneticPr fontId="44"/>
  </si>
  <si>
    <t>【超絶級】紅鬼襲来</t>
    <rPh sb="3" eb="4">
      <t>キュ</t>
    </rPh>
    <phoneticPr fontId="44"/>
  </si>
  <si>
    <t>【ウィザード級】紅鬼襲来</t>
    <phoneticPr fontId="44"/>
  </si>
  <si>
    <t>タワーオブザクイーン -アヴァルシア-</t>
    <phoneticPr fontId="22"/>
  </si>
  <si>
    <t>タワーオブザクイーン(ソロ専用)</t>
    <phoneticPr fontId="22"/>
  </si>
  <si>
    <t>1114</t>
    <phoneticPr fontId="44"/>
  </si>
  <si>
    <t>1階 コスト制限なし</t>
    <phoneticPr fontId="44"/>
  </si>
  <si>
    <t>2階 コスト制限なし</t>
    <phoneticPr fontId="44"/>
  </si>
  <si>
    <t>3階 コスト制限なし</t>
    <phoneticPr fontId="44"/>
  </si>
  <si>
    <t>4階 コスト制限なし</t>
    <phoneticPr fontId="44"/>
  </si>
  <si>
    <t>5階 コスト30以下限定</t>
    <phoneticPr fontId="44"/>
  </si>
  <si>
    <t>6階 コスト30以下ヒューマン限定</t>
    <phoneticPr fontId="44"/>
  </si>
  <si>
    <t>7階 コスト制限なし</t>
    <phoneticPr fontId="44"/>
  </si>
  <si>
    <t>8階 コスト28以下限定</t>
    <phoneticPr fontId="44"/>
  </si>
  <si>
    <t>9階 コスト28以下ヒューマン限定</t>
    <phoneticPr fontId="44"/>
  </si>
  <si>
    <t>10階 ボナンザ 現る！</t>
    <phoneticPr fontId="44"/>
  </si>
  <si>
    <t>11階 コスト30以下限定</t>
    <phoneticPr fontId="44"/>
  </si>
  <si>
    <t>12階 コスト30以下ヒューマン限定</t>
    <phoneticPr fontId="44"/>
  </si>
  <si>
    <t>13階 コスト制限なし</t>
    <phoneticPr fontId="44"/>
  </si>
  <si>
    <t>14階 コスト制限なし</t>
    <phoneticPr fontId="44"/>
  </si>
  <si>
    <t>15階 アヴァルシアの女王 ボナンザ</t>
    <phoneticPr fontId="44"/>
  </si>
  <si>
    <t>quest13300</t>
    <phoneticPr fontId="44"/>
  </si>
  <si>
    <t>冷酷なる遂行者</t>
    <phoneticPr fontId="44"/>
  </si>
  <si>
    <t>種族アニマル限定！</t>
    <phoneticPr fontId="44"/>
  </si>
  <si>
    <t>【中級】冷酷なる遂行者</t>
    <rPh sb="1" eb="2">
      <t>ナカ</t>
    </rPh>
    <rPh sb="2" eb="3">
      <t>ショキュウ</t>
    </rPh>
    <phoneticPr fontId="44"/>
  </si>
  <si>
    <t>【上級】冷酷なる遂行者</t>
    <rPh sb="1" eb="2">
      <t>ジョウ</t>
    </rPh>
    <rPh sb="2" eb="3">
      <t>ジョ</t>
    </rPh>
    <phoneticPr fontId="44"/>
  </si>
  <si>
    <t>【超級】冷酷なる遂行者</t>
    <rPh sb="1" eb="3">
      <t>チョウキュウ</t>
    </rPh>
    <phoneticPr fontId="44"/>
  </si>
  <si>
    <t>quest30044</t>
    <phoneticPr fontId="44"/>
  </si>
  <si>
    <t>ランキング5（再開催）</t>
    <rPh sb="7" eb="10">
      <t>サ</t>
    </rPh>
    <phoneticPr fontId="44"/>
  </si>
  <si>
    <t>quest60020</t>
    <phoneticPr fontId="44"/>
  </si>
  <si>
    <t>文豪シリーズ　超級</t>
    <phoneticPr fontId="44"/>
  </si>
  <si>
    <t>none</t>
    <phoneticPr fontId="44"/>
  </si>
  <si>
    <t>降臨39</t>
    <rPh sb="0" eb="2">
      <t>kouriンン</t>
    </rPh>
    <phoneticPr fontId="44"/>
  </si>
  <si>
    <t>シェイクスピア襲来！</t>
    <rPh sb="7" eb="9">
      <t>シュウラ</t>
    </rPh>
    <phoneticPr fontId="20"/>
  </si>
  <si>
    <t>quest40036</t>
    <phoneticPr fontId="44"/>
  </si>
  <si>
    <t>カフカ襲来！</t>
    <rPh sb="3" eb="6">
      <t>シュ</t>
    </rPh>
    <phoneticPr fontId="20"/>
  </si>
  <si>
    <t>超降臨10</t>
    <rPh sb="0" eb="1">
      <t>チョ</t>
    </rPh>
    <phoneticPr fontId="44"/>
  </si>
  <si>
    <t>【超ウィザード級】カフカ襲来</t>
    <rPh sb="12" eb="14">
      <t>シュウライ</t>
    </rPh>
    <phoneticPr fontId="44"/>
  </si>
  <si>
    <t>降臨38</t>
    <rPh sb="0" eb="2">
      <t>kouriンン</t>
    </rPh>
    <phoneticPr fontId="44"/>
  </si>
  <si>
    <t>【超絶級】シェイクスピア襲来</t>
    <rPh sb="1" eb="3">
      <t>チョウゼツ</t>
    </rPh>
    <rPh sb="3" eb="4">
      <t>キュ</t>
    </rPh>
    <rPh sb="12" eb="14">
      <t>シュウライ</t>
    </rPh>
    <phoneticPr fontId="44"/>
  </si>
  <si>
    <t>【ウィザード級】シェイクスピア襲来</t>
    <rPh sb="6" eb="7">
      <t>キュ</t>
    </rPh>
    <rPh sb="15" eb="17">
      <t>シュウライ</t>
    </rPh>
    <phoneticPr fontId="44"/>
  </si>
  <si>
    <t>quest40038</t>
    <phoneticPr fontId="44"/>
  </si>
  <si>
    <t>復刻コラボクエスト</t>
    <rPh sb="0" eb="2">
      <t>フッコク</t>
    </rPh>
    <phoneticPr fontId="44"/>
  </si>
  <si>
    <t>347,347,347,837</t>
    <phoneticPr fontId="44"/>
  </si>
  <si>
    <t>837,610,125</t>
    <phoneticPr fontId="44"/>
  </si>
  <si>
    <t>612,612,355</t>
    <phoneticPr fontId="44"/>
  </si>
  <si>
    <t>613,613,353</t>
    <phoneticPr fontId="44"/>
  </si>
  <si>
    <t>611,611,349</t>
    <phoneticPr fontId="44"/>
  </si>
  <si>
    <t>2</t>
    <phoneticPr fontId="44"/>
  </si>
  <si>
    <t>polygon</t>
    <phoneticPr fontId="44"/>
  </si>
  <si>
    <t>612,612,612,351</t>
    <phoneticPr fontId="44"/>
  </si>
  <si>
    <t>614,611,334,334</t>
    <phoneticPr fontId="44"/>
  </si>
  <si>
    <t>335,335,335,334</t>
    <phoneticPr fontId="44"/>
  </si>
  <si>
    <t>343,343,343,342</t>
    <phoneticPr fontId="44"/>
  </si>
  <si>
    <t>613,613,613,346</t>
    <phoneticPr fontId="44"/>
  </si>
  <si>
    <t>339,339,339,338</t>
    <phoneticPr fontId="44"/>
  </si>
  <si>
    <t>611,611,611,338</t>
    <phoneticPr fontId="44"/>
  </si>
  <si>
    <t>タワーオブザクイーン1本目(2回目)</t>
    <rPh sb="11" eb="12">
      <t>ポン</t>
    </rPh>
    <rPh sb="12" eb="13">
      <t>メ</t>
    </rPh>
    <phoneticPr fontId="44"/>
  </si>
  <si>
    <t>quest13300.png</t>
    <phoneticPr fontId="44"/>
  </si>
  <si>
    <t>コンティニュー不可の極悪難易度！！</t>
    <phoneticPr fontId="44"/>
  </si>
  <si>
    <t>コンティニュー不可の極悪難易度！！</t>
    <phoneticPr fontId="44"/>
  </si>
  <si>
    <t>コンティニュー不可の極悪難易度！！</t>
    <phoneticPr fontId="44"/>
  </si>
  <si>
    <t>コンティニュー不可の極悪難易度！！</t>
    <phoneticPr fontId="44"/>
  </si>
  <si>
    <t>quest40039</t>
    <phoneticPr fontId="44"/>
  </si>
  <si>
    <t>太宰治襲来！</t>
    <rPh sb="0" eb="3">
      <t>ダザイオサム</t>
    </rPh>
    <rPh sb="3" eb="5">
      <t>シュウラ</t>
    </rPh>
    <phoneticPr fontId="20"/>
  </si>
  <si>
    <t>【超絶級】太宰治襲来</t>
    <rPh sb="1" eb="3">
      <t>チョウゼツ</t>
    </rPh>
    <rPh sb="3" eb="4">
      <t>キュ</t>
    </rPh>
    <rPh sb="5" eb="8">
      <t>ダザイオサム</t>
    </rPh>
    <rPh sb="8" eb="10">
      <t>シュウライ</t>
    </rPh>
    <phoneticPr fontId="44"/>
  </si>
  <si>
    <t>【ウィザード級】太宰治襲来</t>
    <rPh sb="6" eb="7">
      <t>キュ</t>
    </rPh>
    <rPh sb="8" eb="11">
      <t>ダザイオサム</t>
    </rPh>
    <rPh sb="11" eb="13">
      <t>シュウライ</t>
    </rPh>
    <phoneticPr fontId="44"/>
  </si>
  <si>
    <t>quest50011</t>
    <phoneticPr fontId="44"/>
  </si>
  <si>
    <t>quest50009.png</t>
    <phoneticPr fontId="44"/>
  </si>
  <si>
    <t>quest50009.png</t>
    <phoneticPr fontId="44"/>
  </si>
  <si>
    <t>quest13301</t>
    <phoneticPr fontId="44"/>
  </si>
  <si>
    <t>837,610,125</t>
    <phoneticPr fontId="44"/>
  </si>
  <si>
    <t>quest13300.png</t>
    <phoneticPr fontId="44"/>
  </si>
  <si>
    <t>347,837,347</t>
    <phoneticPr fontId="44"/>
  </si>
  <si>
    <t>343,343,343</t>
    <phoneticPr fontId="44"/>
  </si>
  <si>
    <t>335,335,335</t>
    <phoneticPr fontId="44"/>
  </si>
  <si>
    <t>339,339,339</t>
    <phoneticPr fontId="44"/>
  </si>
  <si>
    <t>613,613,613</t>
    <phoneticPr fontId="44"/>
  </si>
  <si>
    <t>611,611,611</t>
    <phoneticPr fontId="44"/>
  </si>
  <si>
    <t>612,612,612</t>
    <phoneticPr fontId="44"/>
  </si>
  <si>
    <t>614,611,351</t>
    <phoneticPr fontId="44"/>
  </si>
  <si>
    <t>れもん色の衝動</t>
    <phoneticPr fontId="44"/>
  </si>
  <si>
    <t>quest60019.png</t>
    <phoneticPr fontId="44"/>
  </si>
  <si>
    <t>【中級】れもん色の衝動</t>
    <rPh sb="1" eb="2">
      <t>ナカ</t>
    </rPh>
    <rPh sb="2" eb="3">
      <t>ショキュウ</t>
    </rPh>
    <phoneticPr fontId="44"/>
  </si>
  <si>
    <t>【上級】れもん色の衝動</t>
    <rPh sb="1" eb="2">
      <t>ジョウ</t>
    </rPh>
    <rPh sb="2" eb="3">
      <t>ジョ</t>
    </rPh>
    <phoneticPr fontId="44"/>
  </si>
  <si>
    <t>【超級】れもん色の衝動</t>
    <rPh sb="1" eb="3">
      <t>チョウキュウ</t>
    </rPh>
    <phoneticPr fontId="44"/>
  </si>
  <si>
    <t>quest30045</t>
    <phoneticPr fontId="44"/>
  </si>
  <si>
    <t>紀昌襲来！</t>
    <rPh sb="2" eb="4">
      <t>シュ</t>
    </rPh>
    <phoneticPr fontId="20"/>
  </si>
  <si>
    <t>台湾版降臨9</t>
    <rPh sb="3" eb="5">
      <t>kouriンン</t>
    </rPh>
    <phoneticPr fontId="44"/>
  </si>
  <si>
    <t>【超絶級】紀昌襲来</t>
    <rPh sb="3" eb="4">
      <t>キュ</t>
    </rPh>
    <phoneticPr fontId="44"/>
  </si>
  <si>
    <t>【ウィザード級】紀昌襲来</t>
    <phoneticPr fontId="44"/>
  </si>
  <si>
    <t>戦国シリーズ第二弾　超級</t>
    <phoneticPr fontId="44"/>
  </si>
  <si>
    <t>quest50010</t>
    <phoneticPr fontId="44"/>
  </si>
  <si>
    <t>ハートパネルが出現しない！</t>
    <phoneticPr fontId="44"/>
  </si>
  <si>
    <t>null</t>
    <phoneticPr fontId="44"/>
  </si>
  <si>
    <t>竹中半兵衛襲来！</t>
    <rPh sb="0" eb="2">
      <t>タケナカ</t>
    </rPh>
    <rPh sb="2" eb="5">
      <t>ハンベエ</t>
    </rPh>
    <rPh sb="5" eb="7">
      <t>シュウラ</t>
    </rPh>
    <phoneticPr fontId="20"/>
  </si>
  <si>
    <t>降臨40</t>
    <rPh sb="0" eb="2">
      <t>kouriンン</t>
    </rPh>
    <phoneticPr fontId="44"/>
  </si>
  <si>
    <t>【超絶級】竹中半兵衛襲来</t>
    <rPh sb="1" eb="3">
      <t>チョウゼツ</t>
    </rPh>
    <rPh sb="3" eb="4">
      <t>キュ</t>
    </rPh>
    <rPh sb="5" eb="7">
      <t>タケナカ</t>
    </rPh>
    <rPh sb="7" eb="10">
      <t>ハンベエ</t>
    </rPh>
    <rPh sb="10" eb="12">
      <t>シュウライ</t>
    </rPh>
    <phoneticPr fontId="44"/>
  </si>
  <si>
    <t>【ウィザード級】竹中半兵衛襲来</t>
    <rPh sb="6" eb="7">
      <t>キュ</t>
    </rPh>
    <rPh sb="8" eb="13">
      <t>タケナカハンベエ</t>
    </rPh>
    <rPh sb="13" eb="15">
      <t>シュウライ</t>
    </rPh>
    <phoneticPr fontId="44"/>
  </si>
  <si>
    <t>quest40040</t>
    <phoneticPr fontId="44"/>
  </si>
  <si>
    <t>マリアチャレンジ</t>
    <phoneticPr fontId="20"/>
  </si>
  <si>
    <t>ランキング8</t>
    <phoneticPr fontId="44"/>
  </si>
  <si>
    <t>quest60025</t>
    <phoneticPr fontId="44"/>
  </si>
  <si>
    <t>コラボ降臨7</t>
    <phoneticPr fontId="44"/>
  </si>
  <si>
    <t>quest47004</t>
    <phoneticPr fontId="44"/>
  </si>
  <si>
    <t>コラボ超降臨1</t>
    <rPh sb="3" eb="4">
      <t>チョウ</t>
    </rPh>
    <rPh sb="4" eb="6">
      <t>コウリン</t>
    </rPh>
    <phoneticPr fontId="44"/>
  </si>
  <si>
    <t>コラボ降臨8</t>
    <phoneticPr fontId="44"/>
  </si>
  <si>
    <t>コラボ降臨9</t>
    <phoneticPr fontId="44"/>
  </si>
  <si>
    <t>quest47005</t>
    <phoneticPr fontId="44"/>
  </si>
  <si>
    <t>quest48004</t>
    <phoneticPr fontId="44"/>
  </si>
  <si>
    <t>quest_id 48005でv2化により　こちらは旧版となります</t>
    <rPh sb="26" eb="28">
      <t>kyuuban</t>
    </rPh>
    <phoneticPr fontId="44"/>
  </si>
  <si>
    <t>quest48005</t>
    <phoneticPr fontId="44"/>
  </si>
  <si>
    <t>聖なる夜に祝福を</t>
    <phoneticPr fontId="20"/>
  </si>
  <si>
    <t>【上級】聖なる夜に祝福を</t>
    <phoneticPr fontId="44"/>
  </si>
  <si>
    <t>【超絶級】聖なる夜に祝福を</t>
    <phoneticPr fontId="44"/>
  </si>
  <si>
    <t>【ウィザード級】聖なる夜に祝福を</t>
    <phoneticPr fontId="44"/>
  </si>
  <si>
    <t>ポーラとダニー襲来！</t>
    <rPh sb="7" eb="9">
      <t>シュウラ</t>
    </rPh>
    <phoneticPr fontId="20"/>
  </si>
  <si>
    <t>降臨41</t>
    <rPh sb="0" eb="2">
      <t>kouriンン</t>
    </rPh>
    <phoneticPr fontId="44"/>
  </si>
  <si>
    <t>タワーオブザクイーン1本目(3回目)</t>
    <rPh sb="11" eb="12">
      <t>ポン</t>
    </rPh>
    <rPh sb="12" eb="13">
      <t>メ</t>
    </rPh>
    <phoneticPr fontId="44"/>
  </si>
  <si>
    <t>preview_start_date</t>
    <phoneticPr fontId="44"/>
  </si>
  <si>
    <t>NULL</t>
    <phoneticPr fontId="44"/>
  </si>
  <si>
    <t>1階 コスト制限なし</t>
    <phoneticPr fontId="44"/>
  </si>
  <si>
    <t>【超級】聖なる夜に祝福を</t>
    <phoneticPr fontId="44"/>
  </si>
  <si>
    <t>quest49010</t>
  </si>
  <si>
    <t>quest49009</t>
    <phoneticPr fontId="44"/>
  </si>
  <si>
    <t>quest49011</t>
  </si>
  <si>
    <t>quest59001</t>
    <phoneticPr fontId="44"/>
  </si>
  <si>
    <t>treasure_value</t>
    <phoneticPr fontId="44"/>
  </si>
  <si>
    <t>343,343,125</t>
    <phoneticPr fontId="44"/>
  </si>
  <si>
    <t>339,339,125</t>
    <phoneticPr fontId="44"/>
  </si>
  <si>
    <t>335,335,125</t>
    <phoneticPr fontId="44"/>
  </si>
  <si>
    <t>837,610,610</t>
    <phoneticPr fontId="44"/>
  </si>
  <si>
    <t>837,614,351</t>
    <phoneticPr fontId="44"/>
  </si>
  <si>
    <t>7</t>
    <phoneticPr fontId="44"/>
  </si>
  <si>
    <t>loop</t>
    <phoneticPr fontId="44"/>
  </si>
  <si>
    <t>quest_type</t>
    <phoneticPr fontId="44"/>
  </si>
  <si>
    <t>ナーガ襲来！</t>
    <rPh sb="3" eb="5">
      <t>シュ</t>
    </rPh>
    <phoneticPr fontId="20"/>
  </si>
  <si>
    <t>グローバル版降臨1</t>
    <rPh sb="6" eb="8">
      <t>kouriンン</t>
    </rPh>
    <phoneticPr fontId="44"/>
  </si>
  <si>
    <t>【超絶級】ナーガ襲来</t>
    <rPh sb="3" eb="4">
      <t>キュ</t>
    </rPh>
    <phoneticPr fontId="44"/>
  </si>
  <si>
    <t>【ウィザード級】ナーガ襲来</t>
    <phoneticPr fontId="44"/>
  </si>
  <si>
    <t>quest40041</t>
    <phoneticPr fontId="44"/>
  </si>
  <si>
    <t>【LB塚本】検証クエスト</t>
    <phoneticPr fontId="44"/>
  </si>
  <si>
    <t>【LB山川】検証クエスト</t>
    <phoneticPr fontId="44"/>
  </si>
  <si>
    <t>上級</t>
    <phoneticPr fontId="44"/>
  </si>
  <si>
    <t>超級</t>
    <phoneticPr fontId="44"/>
  </si>
  <si>
    <t>超絶級</t>
    <phoneticPr fontId="44"/>
  </si>
  <si>
    <t>台湾版降臨10</t>
    <rPh sb="3" eb="5">
      <t>kouriンン</t>
    </rPh>
    <phoneticPr fontId="44"/>
  </si>
  <si>
    <t>藍采和襲来！</t>
    <rPh sb="3" eb="5">
      <t>シュ</t>
    </rPh>
    <phoneticPr fontId="20"/>
  </si>
  <si>
    <t>【超絶級】藍采和襲来</t>
    <rPh sb="3" eb="4">
      <t>キュ</t>
    </rPh>
    <phoneticPr fontId="44"/>
  </si>
  <si>
    <t>【ウィザード級】藍采和襲来</t>
    <phoneticPr fontId="44"/>
  </si>
  <si>
    <t>614,614</t>
    <phoneticPr fontId="44"/>
  </si>
  <si>
    <t>台湾バハムート記念限定クエスト</t>
    <rPh sb="7" eb="9">
      <t>キネン</t>
    </rPh>
    <rPh sb="9" eb="11">
      <t>ゲンテイ</t>
    </rPh>
    <phoneticPr fontId="44"/>
  </si>
  <si>
    <t>バハムートダックより祝福を</t>
    <phoneticPr fontId="44"/>
  </si>
  <si>
    <t>バハムートダックより祝福を</t>
    <phoneticPr fontId="20"/>
  </si>
  <si>
    <t>襲来クエスト</t>
    <phoneticPr fontId="44"/>
  </si>
  <si>
    <t>台湾バハムート記念限定クエスト</t>
    <phoneticPr fontId="44"/>
  </si>
  <si>
    <t>【ウィザード級】年を越える儀式</t>
    <phoneticPr fontId="44"/>
  </si>
  <si>
    <t>コラボクエスト（復刻）</t>
    <rPh sb="8" eb="10">
      <t>フッコク</t>
    </rPh>
    <phoneticPr fontId="44"/>
  </si>
  <si>
    <t>コラボ降臨2（復刻）</t>
    <rPh sb="7" eb="9">
      <t>フッコク</t>
    </rPh>
    <phoneticPr fontId="44"/>
  </si>
  <si>
    <t>コラボ降臨3（復刻）</t>
    <phoneticPr fontId="44"/>
  </si>
  <si>
    <t>quest39010</t>
    <phoneticPr fontId="44"/>
  </si>
  <si>
    <t>quest39011</t>
  </si>
  <si>
    <t>quest49012</t>
    <phoneticPr fontId="44"/>
  </si>
  <si>
    <t>quest49013</t>
  </si>
  <si>
    <t>quest13302</t>
    <phoneticPr fontId="44"/>
  </si>
  <si>
    <t>酉の初めはたまごから</t>
    <rPh sb="2" eb="3">
      <t>ハジメハ</t>
    </rPh>
    <phoneticPr fontId="44"/>
  </si>
  <si>
    <t>黄パネルが出現しない！</t>
    <phoneticPr fontId="44"/>
  </si>
  <si>
    <t>【LB山川】検証</t>
    <rPh sb="3" eb="5">
      <t>ヤマカワ</t>
    </rPh>
    <phoneticPr fontId="44"/>
  </si>
  <si>
    <t>【LB塚本】検証</t>
    <rPh sb="3" eb="5">
      <t>ツカモト</t>
    </rPh>
    <phoneticPr fontId="44"/>
  </si>
  <si>
    <t>【LB山川】検証プレイ用</t>
    <rPh sb="3" eb="5">
      <t>ヤマカワ</t>
    </rPh>
    <phoneticPr fontId="44"/>
  </si>
  <si>
    <t>【LB塚本】検証プレイ用</t>
    <rPh sb="3" eb="5">
      <t>ツカモト</t>
    </rPh>
    <phoneticPr fontId="44"/>
  </si>
  <si>
    <t>超降臨11</t>
    <rPh sb="0" eb="1">
      <t>チョ</t>
    </rPh>
    <phoneticPr fontId="44"/>
  </si>
  <si>
    <t>quest50012.png</t>
    <phoneticPr fontId="44"/>
  </si>
  <si>
    <t>quest50012</t>
    <phoneticPr fontId="44"/>
  </si>
  <si>
    <t>quest48003</t>
    <phoneticPr fontId="44"/>
  </si>
  <si>
    <t>quest48006</t>
    <phoneticPr fontId="44"/>
  </si>
  <si>
    <t>ヘル襲来！</t>
    <rPh sb="2" eb="4">
      <t>シュウラ</t>
    </rPh>
    <phoneticPr fontId="20"/>
  </si>
  <si>
    <t>降臨42</t>
    <rPh sb="0" eb="2">
      <t>kouriンン</t>
    </rPh>
    <phoneticPr fontId="44"/>
  </si>
  <si>
    <t>【超絶級】ヘル襲来</t>
    <rPh sb="1" eb="3">
      <t>チョウゼツ</t>
    </rPh>
    <rPh sb="3" eb="4">
      <t>キュ</t>
    </rPh>
    <rPh sb="7" eb="9">
      <t>シュウライ</t>
    </rPh>
    <phoneticPr fontId="44"/>
  </si>
  <si>
    <t>【ウィザード級】ヘル襲来</t>
    <rPh sb="6" eb="7">
      <t>キュ</t>
    </rPh>
    <rPh sb="10" eb="12">
      <t>シュウライ</t>
    </rPh>
    <phoneticPr fontId="44"/>
  </si>
  <si>
    <t>北欧シリーズ第三弾　超級</t>
    <rPh sb="0" eb="2">
      <t>ホクオウ</t>
    </rPh>
    <rPh sb="7" eb="8">
      <t>⑶</t>
    </rPh>
    <phoneticPr fontId="44"/>
  </si>
  <si>
    <t>ハップルチャレンジ</t>
    <phoneticPr fontId="20"/>
  </si>
  <si>
    <t>ランキング9</t>
    <phoneticPr fontId="44"/>
  </si>
  <si>
    <t>quest60026</t>
    <phoneticPr fontId="44"/>
  </si>
  <si>
    <t>quest48501</t>
    <phoneticPr fontId="44"/>
  </si>
  <si>
    <t>ランキング6（再開催）</t>
    <rPh sb="7" eb="10">
      <t>サ</t>
    </rPh>
    <phoneticPr fontId="44"/>
  </si>
  <si>
    <t>quest60027</t>
    <phoneticPr fontId="44"/>
  </si>
  <si>
    <t>ロキ襲来！</t>
    <rPh sb="2" eb="5">
      <t>シュ</t>
    </rPh>
    <phoneticPr fontId="20"/>
  </si>
  <si>
    <t>超降臨12</t>
    <rPh sb="0" eb="1">
      <t>チョ</t>
    </rPh>
    <phoneticPr fontId="44"/>
  </si>
  <si>
    <t>【超ウィザード級】ロキ襲来</t>
    <rPh sb="11" eb="13">
      <t>シュウライ</t>
    </rPh>
    <phoneticPr fontId="44"/>
  </si>
  <si>
    <t>【初級】黄巾賊の暴走を止めろ！</t>
    <rPh sb="1" eb="2">
      <t>ハツ</t>
    </rPh>
    <rPh sb="2" eb="3">
      <t>キュウ</t>
    </rPh>
    <phoneticPr fontId="44"/>
  </si>
  <si>
    <t>【中級】黄巾賊の暴走を止めろ！</t>
    <rPh sb="1" eb="2">
      <t>チュウ</t>
    </rPh>
    <rPh sb="2" eb="3">
      <t>ジョ</t>
    </rPh>
    <phoneticPr fontId="44"/>
  </si>
  <si>
    <t>【上級】黄巾賊の暴走を止めろ！</t>
    <rPh sb="1" eb="2">
      <t>ウエ</t>
    </rPh>
    <rPh sb="2" eb="3">
      <t>チョ</t>
    </rPh>
    <phoneticPr fontId="44"/>
  </si>
  <si>
    <t>【超級】黄巾賊の暴走を止めろ！</t>
    <rPh sb="1" eb="3">
      <t>チョウキュウ</t>
    </rPh>
    <phoneticPr fontId="44"/>
  </si>
  <si>
    <t>quest39003.png</t>
    <phoneticPr fontId="44"/>
  </si>
  <si>
    <t>quest49002.png</t>
    <phoneticPr fontId="44"/>
  </si>
  <si>
    <t>quest49003.png</t>
  </si>
  <si>
    <t>【LB渡邉】検証クエスト</t>
    <phoneticPr fontId="44"/>
  </si>
  <si>
    <t>【LB渡邉】検証クエスト</t>
    <phoneticPr fontId="44"/>
  </si>
  <si>
    <t>【LB渡邉】検証</t>
    <phoneticPr fontId="44"/>
  </si>
  <si>
    <t>年を越える儀式</t>
    <phoneticPr fontId="44"/>
  </si>
  <si>
    <t>千利の道も一歩から！</t>
    <phoneticPr fontId="44"/>
  </si>
  <si>
    <t>【中級】千利の道も一歩から！</t>
    <rPh sb="1" eb="2">
      <t>ナカ</t>
    </rPh>
    <rPh sb="2" eb="3">
      <t>ショキュウ</t>
    </rPh>
    <phoneticPr fontId="44"/>
  </si>
  <si>
    <t>【上級】千利の道も一歩から！</t>
    <rPh sb="1" eb="2">
      <t>ジョウ</t>
    </rPh>
    <rPh sb="2" eb="3">
      <t>ジョ</t>
    </rPh>
    <phoneticPr fontId="44"/>
  </si>
  <si>
    <t>【超級】千利の道も一歩から！</t>
    <rPh sb="1" eb="3">
      <t>チョウキュウ</t>
    </rPh>
    <phoneticPr fontId="44"/>
  </si>
  <si>
    <t>quest30046</t>
    <phoneticPr fontId="44"/>
  </si>
  <si>
    <t>quest60018.png</t>
  </si>
  <si>
    <t>【超ウィザード級】豊臣秀吉襲来</t>
    <rPh sb="9" eb="13">
      <t>トヨトミヒ</t>
    </rPh>
    <rPh sb="13" eb="15">
      <t>シュウライ</t>
    </rPh>
    <phoneticPr fontId="44"/>
  </si>
  <si>
    <t>豊臣秀吉襲来！</t>
    <rPh sb="0" eb="4">
      <t>トヨト</t>
    </rPh>
    <rPh sb="4" eb="7">
      <t>シュ</t>
    </rPh>
    <phoneticPr fontId="20"/>
  </si>
  <si>
    <t>【超絶】酉の初めはたまごから</t>
    <rPh sb="4" eb="5">
      <t>トリノ</t>
    </rPh>
    <phoneticPr fontId="44"/>
  </si>
  <si>
    <t>【ｳｨｻﾞ】酉の初めはたまごから</t>
    <rPh sb="6" eb="7">
      <t>トリノ</t>
    </rPh>
    <phoneticPr fontId="44"/>
  </si>
  <si>
    <t>quest47006</t>
    <phoneticPr fontId="44"/>
  </si>
  <si>
    <t>【LB加藤】ハップル仮実装</t>
    <rPh sb="3" eb="5">
      <t>カト</t>
    </rPh>
    <rPh sb="10" eb="13">
      <t>カｒ</t>
    </rPh>
    <phoneticPr fontId="44"/>
  </si>
  <si>
    <t>【LB加藤】検証</t>
    <rPh sb="3" eb="5">
      <t>カト</t>
    </rPh>
    <rPh sb="6" eb="8">
      <t>ケｎ</t>
    </rPh>
    <phoneticPr fontId="44"/>
  </si>
  <si>
    <t>季節イベント</t>
    <phoneticPr fontId="44"/>
  </si>
  <si>
    <t>年越し★特別クエスト</t>
    <phoneticPr fontId="44"/>
  </si>
  <si>
    <t>2016年年忘れクエスト</t>
    <rPh sb="4" eb="5">
      <t>ネン</t>
    </rPh>
    <rPh sb="5" eb="7">
      <t>トシワス</t>
    </rPh>
    <phoneticPr fontId="44"/>
  </si>
  <si>
    <t>年を越える宴</t>
    <phoneticPr fontId="44"/>
  </si>
  <si>
    <t>quest11216.png</t>
    <phoneticPr fontId="44"/>
  </si>
  <si>
    <t>quest20022</t>
    <phoneticPr fontId="44"/>
  </si>
  <si>
    <t>quest11216.png</t>
    <phoneticPr fontId="44"/>
  </si>
  <si>
    <t>【LB保堂】検証クエスト</t>
    <rPh sb="3" eb="5">
      <t>ホドウ</t>
    </rPh>
    <phoneticPr fontId="44"/>
  </si>
  <si>
    <t>【LB保堂】検証</t>
    <rPh sb="3" eb="5">
      <t>ホドウ</t>
    </rPh>
    <phoneticPr fontId="44"/>
  </si>
  <si>
    <t>終末の旋律</t>
    <phoneticPr fontId="44"/>
  </si>
  <si>
    <t>【中級】終末の旋律</t>
    <rPh sb="1" eb="2">
      <t>ナカ</t>
    </rPh>
    <rPh sb="2" eb="3">
      <t>ショキュウ</t>
    </rPh>
    <phoneticPr fontId="44"/>
  </si>
  <si>
    <t>【上級】終末の旋律</t>
    <rPh sb="1" eb="2">
      <t>ジョウ</t>
    </rPh>
    <rPh sb="2" eb="3">
      <t>ジョ</t>
    </rPh>
    <phoneticPr fontId="44"/>
  </si>
  <si>
    <t>【超級】終末の旋律</t>
    <rPh sb="1" eb="3">
      <t>チョウキュウ</t>
    </rPh>
    <phoneticPr fontId="44"/>
  </si>
  <si>
    <t>quest40042</t>
    <phoneticPr fontId="44"/>
  </si>
  <si>
    <t>quest30047</t>
    <phoneticPr fontId="44"/>
  </si>
  <si>
    <t>台湾版降臨11</t>
    <rPh sb="3" eb="5">
      <t>kouriンン</t>
    </rPh>
    <phoneticPr fontId="44"/>
  </si>
  <si>
    <t>【超絶級】年獣襲来</t>
    <rPh sb="3" eb="4">
      <t>キュ</t>
    </rPh>
    <phoneticPr fontId="44"/>
  </si>
  <si>
    <t>【ウィザード級】年獣襲来</t>
    <phoneticPr fontId="44"/>
  </si>
  <si>
    <t>quest50013</t>
    <phoneticPr fontId="44"/>
  </si>
  <si>
    <t>miku</t>
    <phoneticPr fontId="44"/>
  </si>
  <si>
    <t>miku</t>
    <phoneticPr fontId="44"/>
  </si>
  <si>
    <t>miku</t>
    <phoneticPr fontId="44"/>
  </si>
  <si>
    <t>miku</t>
    <phoneticPr fontId="44"/>
  </si>
  <si>
    <t>miku</t>
    <phoneticPr fontId="44"/>
  </si>
  <si>
    <t>miku</t>
    <phoneticPr fontId="44"/>
  </si>
  <si>
    <t>log,miku</t>
    <phoneticPr fontId="44"/>
  </si>
  <si>
    <t>星空の歌姫</t>
    <phoneticPr fontId="44"/>
  </si>
  <si>
    <t>雪の歌姫</t>
    <phoneticPr fontId="44"/>
  </si>
  <si>
    <t>熱唱！初音ミクV3</t>
    <phoneticPr fontId="20"/>
  </si>
  <si>
    <t>電子音協奏曲</t>
    <phoneticPr fontId="44"/>
  </si>
  <si>
    <t>走り抜けろ！ALICE GP</t>
    <phoneticPr fontId="44"/>
  </si>
  <si>
    <t>秘密のイベント潜入作戦</t>
    <phoneticPr fontId="44"/>
  </si>
  <si>
    <t>電子歌姫の堕天使</t>
    <phoneticPr fontId="44"/>
  </si>
  <si>
    <t>【初級】星空の歌姫</t>
    <rPh sb="1" eb="2">
      <t>ハツ</t>
    </rPh>
    <rPh sb="2" eb="3">
      <t>キュウ</t>
    </rPh>
    <phoneticPr fontId="44"/>
  </si>
  <si>
    <t>【中級】星空の歌姫</t>
    <rPh sb="1" eb="2">
      <t>チュウ</t>
    </rPh>
    <rPh sb="2" eb="3">
      <t>ジョ</t>
    </rPh>
    <phoneticPr fontId="44"/>
  </si>
  <si>
    <t>【上級】星空の歌姫</t>
    <rPh sb="1" eb="2">
      <t>ウエ</t>
    </rPh>
    <rPh sb="2" eb="3">
      <t>チョ</t>
    </rPh>
    <phoneticPr fontId="44"/>
  </si>
  <si>
    <t>【超級】星空の歌姫</t>
    <rPh sb="1" eb="3">
      <t>チョウキュウ</t>
    </rPh>
    <phoneticPr fontId="44"/>
  </si>
  <si>
    <t>【超絶級】星空の歌姫</t>
    <rPh sb="2" eb="3">
      <t>ゼツ</t>
    </rPh>
    <phoneticPr fontId="44"/>
  </si>
  <si>
    <t>【初級】雪の歌姫</t>
    <rPh sb="1" eb="2">
      <t>ハツ</t>
    </rPh>
    <rPh sb="2" eb="3">
      <t>キュウ</t>
    </rPh>
    <phoneticPr fontId="44"/>
  </si>
  <si>
    <t>【ウィザード級】電子音協奏曲</t>
    <rPh sb="1" eb="7">
      <t>チョウw</t>
    </rPh>
    <phoneticPr fontId="44"/>
  </si>
  <si>
    <t>【ｳｨｻﾞ】サンリオ好きなのだーれだ♪</t>
    <phoneticPr fontId="44"/>
  </si>
  <si>
    <t>【ｳｨｻﾞ】走り抜けろ！ALICE GP</t>
    <phoneticPr fontId="44"/>
  </si>
  <si>
    <t>【ｳｨｻﾞ】秘密のイベント潜入作戦</t>
    <phoneticPr fontId="44"/>
  </si>
  <si>
    <t>jump_to</t>
    <phoneticPr fontId="44"/>
  </si>
  <si>
    <t>quest39009</t>
    <phoneticPr fontId="44"/>
  </si>
  <si>
    <t>quest49008</t>
    <phoneticPr fontId="44"/>
  </si>
  <si>
    <t>quest39008</t>
    <phoneticPr fontId="44"/>
  </si>
  <si>
    <t>【超ウィザード級】電子歌姫の堕天使</t>
    <phoneticPr fontId="44"/>
  </si>
  <si>
    <t>quest39001.png</t>
    <phoneticPr fontId="44"/>
  </si>
  <si>
    <t>quest49001.png</t>
    <phoneticPr fontId="44"/>
  </si>
  <si>
    <t>quest39001.png</t>
    <phoneticPr fontId="44"/>
  </si>
  <si>
    <t>日本神話シリーズ　超級</t>
    <rPh sb="0" eb="4">
      <t>ニホンシンワ</t>
    </rPh>
    <phoneticPr fontId="44"/>
  </si>
  <si>
    <t>quest30048</t>
    <phoneticPr fontId="44"/>
  </si>
  <si>
    <t>緑パネルが出現しない！</t>
    <rPh sb="0" eb="1">
      <t>ミドリ</t>
    </rPh>
    <phoneticPr fontId="44"/>
  </si>
  <si>
    <t>quest47007</t>
    <phoneticPr fontId="44"/>
  </si>
  <si>
    <t>ワカヒルメ襲来！</t>
    <rPh sb="5" eb="7">
      <t>シュウラ</t>
    </rPh>
    <phoneticPr fontId="20"/>
  </si>
  <si>
    <t>降臨43</t>
    <rPh sb="0" eb="2">
      <t>kouriンン</t>
    </rPh>
    <phoneticPr fontId="44"/>
  </si>
  <si>
    <t>【超絶級】ワカヒルメ襲来</t>
    <rPh sb="1" eb="3">
      <t>チョウゼツ</t>
    </rPh>
    <rPh sb="3" eb="4">
      <t>キュ</t>
    </rPh>
    <rPh sb="10" eb="12">
      <t>シュウライ</t>
    </rPh>
    <phoneticPr fontId="44"/>
  </si>
  <si>
    <t>【ウィザード級】ワカヒルメ襲来</t>
    <rPh sb="6" eb="7">
      <t>キュ</t>
    </rPh>
    <rPh sb="13" eb="15">
      <t>シュウライ</t>
    </rPh>
    <phoneticPr fontId="44"/>
  </si>
  <si>
    <t>コンティニュー不可！ハート無し！</t>
    <rPh sb="7" eb="9">
      <t>フk</t>
    </rPh>
    <rPh sb="13" eb="14">
      <t>ナ</t>
    </rPh>
    <phoneticPr fontId="44"/>
  </si>
  <si>
    <t>コンティニュー不可！！</t>
    <rPh sb="7" eb="9">
      <t>フk</t>
    </rPh>
    <phoneticPr fontId="44"/>
  </si>
  <si>
    <t>コンティニューは1回のみ！</t>
    <rPh sb="9" eb="10">
      <t>イッカイ</t>
    </rPh>
    <phoneticPr fontId="44"/>
  </si>
  <si>
    <t>スサノオ襲来！</t>
    <rPh sb="4" eb="7">
      <t>シュ</t>
    </rPh>
    <phoneticPr fontId="20"/>
  </si>
  <si>
    <t>超降臨13</t>
    <rPh sb="0" eb="1">
      <t>チョ</t>
    </rPh>
    <phoneticPr fontId="44"/>
  </si>
  <si>
    <t>【超ウィザード級】スサノオ襲来</t>
    <rPh sb="13" eb="15">
      <t>シュウライ</t>
    </rPh>
    <phoneticPr fontId="44"/>
  </si>
  <si>
    <t>quest50014</t>
    <phoneticPr fontId="44"/>
  </si>
  <si>
    <t>初音ミク コラボクエスト</t>
    <phoneticPr fontId="44"/>
  </si>
  <si>
    <t>初音ミク コラボクエスト</t>
    <phoneticPr fontId="44"/>
  </si>
  <si>
    <t>初音ミク コラボクエスト</t>
    <phoneticPr fontId="44"/>
  </si>
  <si>
    <t>初音ミク コラボクエスト</t>
    <phoneticPr fontId="44"/>
  </si>
  <si>
    <t>初音ミク コラボクエスト</t>
    <phoneticPr fontId="44"/>
  </si>
  <si>
    <t>黄パネルが出現しない！</t>
    <rPh sb="0" eb="1">
      <t>キ</t>
    </rPh>
    <phoneticPr fontId="44"/>
  </si>
  <si>
    <t>quest47008</t>
    <phoneticPr fontId="44"/>
  </si>
  <si>
    <t>年獣襲来！</t>
    <phoneticPr fontId="20"/>
  </si>
  <si>
    <t>タワーオブザクイーン2本目</t>
    <rPh sb="11" eb="12">
      <t>ポン</t>
    </rPh>
    <rPh sb="12" eb="13">
      <t>メ</t>
    </rPh>
    <phoneticPr fontId="44"/>
  </si>
  <si>
    <t>2017-01-26 15:00:00</t>
    <phoneticPr fontId="44"/>
  </si>
  <si>
    <t>惑乱の双神使！？</t>
    <phoneticPr fontId="44"/>
  </si>
  <si>
    <t>【中級】惑乱の双神使！？</t>
    <rPh sb="1" eb="2">
      <t>ナカ</t>
    </rPh>
    <rPh sb="2" eb="3">
      <t>ショキュウ</t>
    </rPh>
    <phoneticPr fontId="44"/>
  </si>
  <si>
    <t>【上級】惑乱の双神使！？</t>
    <rPh sb="1" eb="2">
      <t>ジョウ</t>
    </rPh>
    <rPh sb="2" eb="3">
      <t>ジョ</t>
    </rPh>
    <phoneticPr fontId="44"/>
  </si>
  <si>
    <t>【超級】惑乱の双神使！？</t>
    <rPh sb="1" eb="3">
      <t>チョウキュウ</t>
    </rPh>
    <phoneticPr fontId="44"/>
  </si>
  <si>
    <t>quest40043</t>
    <phoneticPr fontId="44"/>
  </si>
  <si>
    <t>ツンデレ少女の恋心</t>
    <phoneticPr fontId="44"/>
  </si>
  <si>
    <t>ふんわり少女の恋心</t>
    <phoneticPr fontId="44"/>
  </si>
  <si>
    <t>【上級】ツンデレ少女の恋心</t>
    <rPh sb="1" eb="2">
      <t>ジョウ</t>
    </rPh>
    <rPh sb="2" eb="3">
      <t>キュウ</t>
    </rPh>
    <rPh sb="8" eb="10">
      <t>ショウジョノ</t>
    </rPh>
    <rPh sb="11" eb="13">
      <t>コイゴコロ</t>
    </rPh>
    <phoneticPr fontId="44"/>
  </si>
  <si>
    <t>【ウィザード級】ツンデレ少女の恋心</t>
    <rPh sb="6" eb="7">
      <t>キュウ</t>
    </rPh>
    <rPh sb="12" eb="14">
      <t>ショウジョ</t>
    </rPh>
    <rPh sb="15" eb="17">
      <t>コイゴコロ</t>
    </rPh>
    <phoneticPr fontId="44"/>
  </si>
  <si>
    <t>【ｳｨｻﾞ】ハロウィンナイトパニック！</t>
    <phoneticPr fontId="44"/>
  </si>
  <si>
    <t>【上級】ふんわり少女の恋心</t>
    <rPh sb="1" eb="2">
      <t>ジョウ</t>
    </rPh>
    <rPh sb="2" eb="3">
      <t>キュウ</t>
    </rPh>
    <rPh sb="8" eb="10">
      <t>ショウジョノ</t>
    </rPh>
    <rPh sb="11" eb="13">
      <t>コイゴコロ</t>
    </rPh>
    <phoneticPr fontId="44"/>
  </si>
  <si>
    <t>【ウィザード級】ふんわり少女の恋心</t>
    <rPh sb="6" eb="7">
      <t>キュウ</t>
    </rPh>
    <rPh sb="12" eb="14">
      <t>ショウジョ</t>
    </rPh>
    <rPh sb="15" eb="17">
      <t>コイゴコロ</t>
    </rPh>
    <phoneticPr fontId="44"/>
  </si>
  <si>
    <t>2016年バレンタインクエスト復刻</t>
    <rPh sb="4" eb="5">
      <t>ネン</t>
    </rPh>
    <rPh sb="15" eb="17">
      <t>フッコク</t>
    </rPh>
    <phoneticPr fontId="44"/>
  </si>
  <si>
    <t>tab_no</t>
    <phoneticPr fontId="44"/>
  </si>
  <si>
    <t>tab_noの振り分け</t>
    <rPh sb="7" eb="8">
      <t>フリワk</t>
    </rPh>
    <phoneticPr fontId="44"/>
  </si>
  <si>
    <t>初級~超絶級</t>
    <rPh sb="0" eb="2">
      <t>ショキュ</t>
    </rPh>
    <rPh sb="3" eb="6">
      <t>チョ</t>
    </rPh>
    <phoneticPr fontId="44"/>
  </si>
  <si>
    <t>スペシャル(ミクコラボ、バレンタイン、タワー等期間限定系)</t>
    <rPh sb="22" eb="23">
      <t>ト</t>
    </rPh>
    <rPh sb="23" eb="28">
      <t>キカn</t>
    </rPh>
    <phoneticPr fontId="44"/>
  </si>
  <si>
    <t>コラボ降臨10</t>
    <phoneticPr fontId="44"/>
  </si>
  <si>
    <t>コラボ超降臨2</t>
    <rPh sb="3" eb="4">
      <t>チョウ</t>
    </rPh>
    <rPh sb="4" eb="6">
      <t>コウリン</t>
    </rPh>
    <phoneticPr fontId="44"/>
  </si>
  <si>
    <t>コラボクエスト</t>
    <phoneticPr fontId="44"/>
  </si>
  <si>
    <t>normal</t>
    <phoneticPr fontId="44"/>
  </si>
  <si>
    <t>normal</t>
    <phoneticPr fontId="44"/>
  </si>
  <si>
    <t>strategy</t>
    <phoneticPr fontId="44"/>
  </si>
  <si>
    <t>quest39012</t>
    <phoneticPr fontId="44"/>
  </si>
  <si>
    <t>quest11228</t>
    <phoneticPr fontId="44"/>
  </si>
  <si>
    <t>quest11218.png</t>
    <phoneticPr fontId="44"/>
  </si>
  <si>
    <t>【超ウィザード級】曹操襲来</t>
    <rPh sb="1" eb="8">
      <t>チョウw</t>
    </rPh>
    <rPh sb="9" eb="11">
      <t>ソウソ</t>
    </rPh>
    <rPh sb="11" eb="13">
      <t>シュウライ</t>
    </rPh>
    <phoneticPr fontId="44"/>
  </si>
  <si>
    <t>quest40034</t>
    <phoneticPr fontId="44"/>
  </si>
  <si>
    <t>quest58001</t>
    <phoneticPr fontId="44"/>
  </si>
  <si>
    <t>曹操襲来！</t>
    <rPh sb="0" eb="2">
      <t>ソウソ</t>
    </rPh>
    <rPh sb="2" eb="4">
      <t>ｓｙ</t>
    </rPh>
    <phoneticPr fontId="20"/>
  </si>
  <si>
    <t>quest49014</t>
    <phoneticPr fontId="44"/>
  </si>
  <si>
    <t>quest59002</t>
    <phoneticPr fontId="44"/>
  </si>
  <si>
    <t>quest59002.png</t>
    <phoneticPr fontId="44"/>
  </si>
  <si>
    <t>quest49014.png</t>
    <phoneticPr fontId="44"/>
  </si>
  <si>
    <t xml:space="preserve">【超級】ゴールドカジノ </t>
    <rPh sb="1" eb="2">
      <t>チョウ</t>
    </rPh>
    <rPh sb="2" eb="3">
      <t>ジョ</t>
    </rPh>
    <phoneticPr fontId="22"/>
  </si>
  <si>
    <t>ヘルシング襲来！</t>
    <rPh sb="5" eb="7">
      <t>シュ</t>
    </rPh>
    <phoneticPr fontId="20"/>
  </si>
  <si>
    <t>グローバル版降臨2</t>
    <rPh sb="6" eb="8">
      <t>kouriンン</t>
    </rPh>
    <phoneticPr fontId="44"/>
  </si>
  <si>
    <t>【超絶級】ヘルシング襲来</t>
    <rPh sb="3" eb="4">
      <t>キュ</t>
    </rPh>
    <phoneticPr fontId="44"/>
  </si>
  <si>
    <t>【ウィザード級】ヘルシング襲来</t>
    <phoneticPr fontId="44"/>
  </si>
  <si>
    <t>quest48502</t>
    <phoneticPr fontId="44"/>
  </si>
  <si>
    <t>quest13400</t>
    <phoneticPr fontId="44"/>
  </si>
  <si>
    <t>（復刻）季節イベント</t>
    <rPh sb="1" eb="3">
      <t>フッコク</t>
    </rPh>
    <phoneticPr fontId="44"/>
  </si>
  <si>
    <t>季節イベント</t>
    <phoneticPr fontId="44"/>
  </si>
  <si>
    <t>繁体字版超降臨1</t>
    <rPh sb="0" eb="4">
      <t>ハンタ</t>
    </rPh>
    <rPh sb="4" eb="7">
      <t>チョウコウリｎ</t>
    </rPh>
    <phoneticPr fontId="44"/>
  </si>
  <si>
    <t>quest47002.png</t>
    <phoneticPr fontId="44"/>
  </si>
  <si>
    <t>2016年ホワイトデークエスト復刻</t>
    <rPh sb="4" eb="5">
      <t>ネン</t>
    </rPh>
    <rPh sb="15" eb="17">
      <t>フッコク</t>
    </rPh>
    <phoneticPr fontId="44"/>
  </si>
  <si>
    <t>quest11229</t>
    <phoneticPr fontId="44"/>
  </si>
  <si>
    <t>quest11220.png</t>
  </si>
  <si>
    <t>quest47009</t>
  </si>
  <si>
    <t>夏☆襲来！</t>
  </si>
  <si>
    <t>null</t>
  </si>
  <si>
    <t>quest47011</t>
    <phoneticPr fontId="44"/>
  </si>
  <si>
    <t>null</t>
    <phoneticPr fontId="44"/>
  </si>
  <si>
    <t>quest47010.png</t>
    <phoneticPr fontId="44"/>
  </si>
  <si>
    <t>ランキング4（再開催）</t>
    <rPh sb="7" eb="10">
      <t>サ</t>
    </rPh>
    <phoneticPr fontId="44"/>
  </si>
  <si>
    <t>quest60028</t>
    <phoneticPr fontId="55"/>
  </si>
  <si>
    <t>gold_casino_new.png</t>
    <phoneticPr fontId="44"/>
  </si>
  <si>
    <t>僕の愛よあの子にとどけ！</t>
    <phoneticPr fontId="44"/>
  </si>
  <si>
    <t>ツンデレ少女にお返しを！</t>
    <phoneticPr fontId="44"/>
  </si>
  <si>
    <t>ツンデレ少女にお返しを！</t>
    <rPh sb="4" eb="6">
      <t>ショウジョニ</t>
    </rPh>
    <phoneticPr fontId="44"/>
  </si>
  <si>
    <t>【ｳｨｻﾞ】僕の愛よあの子にとどけ！</t>
    <rPh sb="6" eb="7">
      <t>ボクノ</t>
    </rPh>
    <rPh sb="8" eb="9">
      <t>アイ</t>
    </rPh>
    <phoneticPr fontId="44"/>
  </si>
  <si>
    <t>【上級】僕の愛よあの子にとどけ！</t>
    <rPh sb="4" eb="5">
      <t>ボクノ</t>
    </rPh>
    <rPh sb="6" eb="7">
      <t>アイヨ</t>
    </rPh>
    <phoneticPr fontId="44"/>
  </si>
  <si>
    <t>singleonly</t>
    <phoneticPr fontId="44"/>
  </si>
  <si>
    <t>quest47010</t>
    <phoneticPr fontId="44"/>
  </si>
  <si>
    <t>quest60028.png</t>
    <phoneticPr fontId="44"/>
  </si>
  <si>
    <t>item</t>
    <phoneticPr fontId="44"/>
  </si>
  <si>
    <t>コラボ降臨11</t>
    <phoneticPr fontId="44"/>
  </si>
  <si>
    <t>M.Dragon襲来！</t>
    <rPh sb="8" eb="10">
      <t>シュ</t>
    </rPh>
    <phoneticPr fontId="44"/>
  </si>
  <si>
    <t>韓国版降臨1</t>
    <rPh sb="0" eb="3">
      <t>カンコk</t>
    </rPh>
    <rPh sb="3" eb="5">
      <t>コウリン</t>
    </rPh>
    <phoneticPr fontId="44"/>
  </si>
  <si>
    <t>【超絶級】M.Dragon襲来</t>
    <rPh sb="3" eb="4">
      <t>キュ</t>
    </rPh>
    <phoneticPr fontId="44"/>
  </si>
  <si>
    <t>【ウィザード級】M.Dragon襲来</t>
    <phoneticPr fontId="44"/>
  </si>
  <si>
    <t>quest48701</t>
    <phoneticPr fontId="44"/>
  </si>
  <si>
    <t>5階 バランスタイプ限定</t>
    <phoneticPr fontId="44"/>
  </si>
  <si>
    <t>6階 コスト制限なし</t>
    <phoneticPr fontId="44"/>
  </si>
  <si>
    <t>10階 ローズ 現る！</t>
    <phoneticPr fontId="44"/>
  </si>
  <si>
    <t>11階 コスト制限なし</t>
    <phoneticPr fontId="44"/>
  </si>
  <si>
    <t>12階 コスト制限なし</t>
    <phoneticPr fontId="44"/>
  </si>
  <si>
    <t>7階 コスト30以下限定</t>
    <phoneticPr fontId="44"/>
  </si>
  <si>
    <t>13階 コスト30以下限定</t>
    <phoneticPr fontId="44"/>
  </si>
  <si>
    <t>347,837,347</t>
  </si>
  <si>
    <t>343,343,125</t>
  </si>
  <si>
    <t>335,335,125</t>
  </si>
  <si>
    <t>339,339,125</t>
  </si>
  <si>
    <t>837,610,610</t>
  </si>
  <si>
    <t>612,612,355</t>
  </si>
  <si>
    <t>613,613,353</t>
  </si>
  <si>
    <t>611,611,349</t>
  </si>
  <si>
    <t>837,614,351</t>
  </si>
  <si>
    <t>7</t>
  </si>
  <si>
    <t>612,612,612</t>
  </si>
  <si>
    <t>613,613,613</t>
  </si>
  <si>
    <t>611,611,611</t>
  </si>
  <si>
    <t>614,614</t>
  </si>
  <si>
    <t>quest49015</t>
    <phoneticPr fontId="44"/>
  </si>
  <si>
    <t>quest49015.png</t>
    <phoneticPr fontId="44"/>
  </si>
  <si>
    <t>8階 ハートパネルが出現しない！</t>
    <rPh sb="10" eb="12">
      <t>シュツゲンシナイ</t>
    </rPh>
    <phoneticPr fontId="44"/>
  </si>
  <si>
    <t>2017年エイプリルフールクエスト</t>
    <rPh sb="4" eb="5">
      <t>ネン</t>
    </rPh>
    <phoneticPr fontId="44"/>
  </si>
  <si>
    <t>quest11230.png</t>
    <phoneticPr fontId="44"/>
  </si>
  <si>
    <t>quest11230</t>
    <phoneticPr fontId="44"/>
  </si>
  <si>
    <t>quest11230.png</t>
    <phoneticPr fontId="44"/>
  </si>
  <si>
    <t>347,347,347,347,347,125</t>
    <phoneticPr fontId="44"/>
  </si>
  <si>
    <t>339,339,339,339,339,125</t>
    <phoneticPr fontId="44"/>
  </si>
  <si>
    <t>335,335,335,335,335,125</t>
    <phoneticPr fontId="44"/>
  </si>
  <si>
    <t>347,347,347,347,347</t>
    <phoneticPr fontId="44"/>
  </si>
  <si>
    <t>106,107,108,357,837</t>
    <phoneticPr fontId="44"/>
  </si>
  <si>
    <t>335,335,335,335,335,122</t>
    <phoneticPr fontId="44"/>
  </si>
  <si>
    <t>335,335,335,335,335,123</t>
    <phoneticPr fontId="44"/>
  </si>
  <si>
    <t>343,343,343,343,343,121</t>
    <phoneticPr fontId="44"/>
  </si>
  <si>
    <t>343,343,343,343,343,122</t>
    <phoneticPr fontId="44"/>
  </si>
  <si>
    <t>347,347,347,347,347,122</t>
    <phoneticPr fontId="44"/>
  </si>
  <si>
    <t>339,339,339,339,339,123</t>
    <phoneticPr fontId="44"/>
  </si>
  <si>
    <t>335,335,335,335,335,121</t>
    <phoneticPr fontId="44"/>
  </si>
  <si>
    <t>347,347,347,347,347,123</t>
    <phoneticPr fontId="44"/>
  </si>
  <si>
    <t>339,339,339,339,339,121</t>
    <phoneticPr fontId="44"/>
  </si>
  <si>
    <t>343,343,343,343,343,123</t>
    <phoneticPr fontId="44"/>
  </si>
  <si>
    <t>347,347,347,347,347,121</t>
    <phoneticPr fontId="44"/>
  </si>
  <si>
    <t>339,339,339,339,339,122</t>
    <phoneticPr fontId="44"/>
  </si>
  <si>
    <t>335,335,335,335,335,123</t>
    <phoneticPr fontId="44"/>
  </si>
  <si>
    <t>343,343,343,343,343,121</t>
    <phoneticPr fontId="44"/>
  </si>
  <si>
    <t>347,347,347,347,347,122</t>
    <phoneticPr fontId="44"/>
  </si>
  <si>
    <t>335,335,335,335,335,121</t>
    <phoneticPr fontId="44"/>
  </si>
  <si>
    <t>343,343,343,343,343,608</t>
    <phoneticPr fontId="44"/>
  </si>
  <si>
    <t>347,347,347,347,347,609</t>
    <phoneticPr fontId="44"/>
  </si>
  <si>
    <t>343,343,343,343,343,607,608,609</t>
    <phoneticPr fontId="44"/>
  </si>
  <si>
    <t>335,335,335,335,335,607,608,609</t>
    <phoneticPr fontId="44"/>
  </si>
  <si>
    <t>339,339,339,339,339,607</t>
    <phoneticPr fontId="44"/>
  </si>
  <si>
    <t>singleonly</t>
  </si>
  <si>
    <t>削除</t>
    <rPh sb="0" eb="2">
      <t>サクｊ</t>
    </rPh>
    <phoneticPr fontId="44"/>
  </si>
  <si>
    <t>null</t>
    <phoneticPr fontId="44"/>
  </si>
  <si>
    <t>ネコムート襲来！</t>
    <phoneticPr fontId="44"/>
  </si>
  <si>
    <t>狂乱のネコ降臨</t>
    <phoneticPr fontId="20"/>
  </si>
  <si>
    <t>侵略！？にゃんこ軍団現る！</t>
    <phoneticPr fontId="44"/>
  </si>
  <si>
    <t>【上級】侵略！？にゃんこ軍団現る！</t>
    <rPh sb="1" eb="2">
      <t>ウエ</t>
    </rPh>
    <rPh sb="2" eb="3">
      <t>チョ</t>
    </rPh>
    <phoneticPr fontId="44"/>
  </si>
  <si>
    <t>【中級】侵略！？にゃんこ軍団現る！</t>
    <phoneticPr fontId="44"/>
  </si>
  <si>
    <t>【初級】侵略！？にゃんこ軍団現る！</t>
    <phoneticPr fontId="44"/>
  </si>
  <si>
    <t>item</t>
    <phoneticPr fontId="44"/>
  </si>
  <si>
    <t>【超上級】侵略！？にゃんこ軍団現る！</t>
    <rPh sb="1" eb="4">
      <t>チョウキュウ</t>
    </rPh>
    <phoneticPr fontId="44"/>
  </si>
  <si>
    <t>【激ムズ】侵略！？にゃんこ軍団現る！</t>
    <rPh sb="1" eb="2">
      <t>ゲキ</t>
    </rPh>
    <phoneticPr fontId="44"/>
  </si>
  <si>
    <t>【極ムズ】狂乱のネコ降臨</t>
    <rPh sb="1" eb="2">
      <t>キワミ</t>
    </rPh>
    <rPh sb="5" eb="7">
      <t>キョウランノネコ</t>
    </rPh>
    <rPh sb="10" eb="12">
      <t>コウリン</t>
    </rPh>
    <phoneticPr fontId="44"/>
  </si>
  <si>
    <t>にゃんこ大戦争　コラボクエスト</t>
    <phoneticPr fontId="44"/>
  </si>
  <si>
    <t>にゃんこ大戦争　コラボクエスト</t>
    <phoneticPr fontId="44"/>
  </si>
  <si>
    <t>log,nyanko</t>
    <phoneticPr fontId="44"/>
  </si>
  <si>
    <t>log,nyanko</t>
    <phoneticPr fontId="44"/>
  </si>
  <si>
    <t>log,nyanko</t>
    <phoneticPr fontId="44"/>
  </si>
  <si>
    <t>張果老襲来！</t>
    <phoneticPr fontId="20"/>
  </si>
  <si>
    <t>台湾版降臨12</t>
    <rPh sb="3" eb="5">
      <t>kouriンン</t>
    </rPh>
    <phoneticPr fontId="44"/>
  </si>
  <si>
    <t>【超絶級】張果老襲来</t>
    <rPh sb="3" eb="4">
      <t>キュ</t>
    </rPh>
    <phoneticPr fontId="44"/>
  </si>
  <si>
    <t>【ウィザード級】張果老襲来</t>
    <phoneticPr fontId="44"/>
  </si>
  <si>
    <t>quest48012</t>
    <phoneticPr fontId="44"/>
  </si>
  <si>
    <t>9階 攻撃タイプ限定</t>
    <rPh sb="3" eb="5">
      <t>コウゲｋ</t>
    </rPh>
    <phoneticPr fontId="44"/>
  </si>
  <si>
    <t>quest47012</t>
    <phoneticPr fontId="44"/>
  </si>
  <si>
    <t>お花見★特別クエスト</t>
    <rPh sb="4" eb="6">
      <t>トクベt</t>
    </rPh>
    <phoneticPr fontId="44"/>
  </si>
  <si>
    <t>2017年お花見ストーリークエスト</t>
    <rPh sb="4" eb="5">
      <t>ネン</t>
    </rPh>
    <phoneticPr fontId="44"/>
  </si>
  <si>
    <t>2017年お花見クエスト</t>
    <rPh sb="4" eb="5">
      <t>ネン</t>
    </rPh>
    <phoneticPr fontId="44"/>
  </si>
  <si>
    <t>NULL</t>
    <phoneticPr fontId="44"/>
  </si>
  <si>
    <t>quest11231.png</t>
    <phoneticPr fontId="44"/>
  </si>
  <si>
    <t>quest11231</t>
    <phoneticPr fontId="44"/>
  </si>
  <si>
    <t>15階 エルフラムの女王 ローズ</t>
    <phoneticPr fontId="44"/>
  </si>
  <si>
    <t>15階 アヴァルシアの女王 ボナンザ</t>
    <phoneticPr fontId="44"/>
  </si>
  <si>
    <t>タワーオブザクイーン -エルフラム-</t>
    <phoneticPr fontId="22"/>
  </si>
  <si>
    <t>降臨44</t>
    <rPh sb="0" eb="2">
      <t>kouriンン</t>
    </rPh>
    <phoneticPr fontId="44"/>
  </si>
  <si>
    <t>quest40044</t>
    <phoneticPr fontId="44"/>
  </si>
  <si>
    <t>未知のウィルス大捜査！</t>
    <phoneticPr fontId="44"/>
  </si>
  <si>
    <t>【前編】未知のウィルス大捜査</t>
    <rPh sb="1" eb="3">
      <t>ゼンペン</t>
    </rPh>
    <rPh sb="4" eb="6">
      <t>ミチノ</t>
    </rPh>
    <rPh sb="11" eb="14">
      <t>ダイソウサ</t>
    </rPh>
    <phoneticPr fontId="44"/>
  </si>
  <si>
    <t>【後編】未知のウィルス大捜査</t>
    <rPh sb="1" eb="3">
      <t>コウヘn</t>
    </rPh>
    <rPh sb="4" eb="6">
      <t>ミチノ</t>
    </rPh>
    <rPh sb="11" eb="14">
      <t>ダイソウサ</t>
    </rPh>
    <phoneticPr fontId="44"/>
  </si>
  <si>
    <t>春呼ぶキミの行方</t>
    <rPh sb="0" eb="2">
      <t>ハルヨブ</t>
    </rPh>
    <rPh sb="6" eb="8">
      <t>ユクエ</t>
    </rPh>
    <phoneticPr fontId="44"/>
  </si>
  <si>
    <t>【上級】春呼ぶキミの行方</t>
    <rPh sb="1" eb="2">
      <t>ジョウ</t>
    </rPh>
    <rPh sb="2" eb="3">
      <t>キュウ</t>
    </rPh>
    <rPh sb="4" eb="5">
      <t>ハル</t>
    </rPh>
    <rPh sb="5" eb="6">
      <t>ヨブ</t>
    </rPh>
    <rPh sb="10" eb="12">
      <t>ユクエ</t>
    </rPh>
    <phoneticPr fontId="44"/>
  </si>
  <si>
    <t>【ウィザード級】春呼ぶキミの行方</t>
    <rPh sb="6" eb="7">
      <t>キュウ</t>
    </rPh>
    <phoneticPr fontId="44"/>
  </si>
  <si>
    <t>アンデルセン襲来！</t>
    <rPh sb="6" eb="9">
      <t>シュ</t>
    </rPh>
    <phoneticPr fontId="20"/>
  </si>
  <si>
    <t>超降臨14</t>
    <rPh sb="0" eb="1">
      <t>チョ</t>
    </rPh>
    <phoneticPr fontId="44"/>
  </si>
  <si>
    <t>【超ウィザード級】アンデルセン襲来</t>
    <rPh sb="15" eb="17">
      <t>シュウライ</t>
    </rPh>
    <phoneticPr fontId="44"/>
  </si>
  <si>
    <t>quest50015</t>
    <phoneticPr fontId="44"/>
  </si>
  <si>
    <t>童話シリーズ　超級</t>
    <rPh sb="0" eb="2">
      <t>ドウワ</t>
    </rPh>
    <phoneticPr fontId="44"/>
  </si>
  <si>
    <t>quest30049</t>
    <phoneticPr fontId="44"/>
  </si>
  <si>
    <t>【超級】スリーピギーズ（仮）</t>
    <rPh sb="1" eb="3">
      <t>チョウキュウ</t>
    </rPh>
    <phoneticPr fontId="44"/>
  </si>
  <si>
    <t>お花見★特別クエスト</t>
    <rPh sb="1" eb="3">
      <t>ハナミ</t>
    </rPh>
    <rPh sb="4" eb="6">
      <t>トクベt</t>
    </rPh>
    <phoneticPr fontId="44"/>
  </si>
  <si>
    <t>服部半蔵襲来！</t>
    <rPh sb="0" eb="4">
      <t>ハットリハン</t>
    </rPh>
    <rPh sb="4" eb="6">
      <t>シュウラ</t>
    </rPh>
    <phoneticPr fontId="20"/>
  </si>
  <si>
    <t>降臨45</t>
    <rPh sb="0" eb="2">
      <t>kouriンン</t>
    </rPh>
    <phoneticPr fontId="44"/>
  </si>
  <si>
    <t>【超絶級】服部半蔵襲来</t>
    <rPh sb="1" eb="3">
      <t>チョウゼツ</t>
    </rPh>
    <rPh sb="3" eb="4">
      <t>キュ</t>
    </rPh>
    <rPh sb="5" eb="9">
      <t>ハットr</t>
    </rPh>
    <rPh sb="9" eb="11">
      <t>シュウライ</t>
    </rPh>
    <phoneticPr fontId="44"/>
  </si>
  <si>
    <t>【ウィザード級】服部半蔵襲来</t>
    <rPh sb="6" eb="7">
      <t>キュ</t>
    </rPh>
    <rPh sb="12" eb="14">
      <t>シュウライ</t>
    </rPh>
    <phoneticPr fontId="44"/>
  </si>
  <si>
    <t>quest40045</t>
    <phoneticPr fontId="44"/>
  </si>
  <si>
    <t>anytime</t>
    <phoneticPr fontId="44"/>
  </si>
  <si>
    <t>24時間限定</t>
    <phoneticPr fontId="44"/>
  </si>
  <si>
    <t xml:space="preserve">オイラーチャレンジ </t>
    <phoneticPr fontId="20"/>
  </si>
  <si>
    <t>ランキング1（3回目）</t>
    <phoneticPr fontId="44"/>
  </si>
  <si>
    <t>オイラーチャレンジ</t>
    <phoneticPr fontId="44"/>
  </si>
  <si>
    <t>quest60029.png</t>
    <phoneticPr fontId="44"/>
  </si>
  <si>
    <t>quest60029</t>
    <phoneticPr fontId="55"/>
  </si>
  <si>
    <t>quest60029.png</t>
    <phoneticPr fontId="44"/>
  </si>
  <si>
    <t>item</t>
    <phoneticPr fontId="44"/>
  </si>
  <si>
    <t>韓国版降臨2</t>
    <rPh sb="0" eb="3">
      <t>カンコk</t>
    </rPh>
    <rPh sb="3" eb="5">
      <t>コウリン</t>
    </rPh>
    <phoneticPr fontId="44"/>
  </si>
  <si>
    <t>田禹治襲来！</t>
    <rPh sb="3" eb="5">
      <t>シュ</t>
    </rPh>
    <phoneticPr fontId="44"/>
  </si>
  <si>
    <t>quest48702</t>
    <phoneticPr fontId="44"/>
  </si>
  <si>
    <t>桜姫の招待状</t>
    <phoneticPr fontId="44"/>
  </si>
  <si>
    <t>【ストーリー】桜姫の招待状</t>
    <rPh sb="7" eb="9">
      <t>サクラヒメ</t>
    </rPh>
    <rPh sb="10" eb="13">
      <t>ショウタイジョウ</t>
    </rPh>
    <phoneticPr fontId="44"/>
  </si>
  <si>
    <t>上級</t>
    <rPh sb="0" eb="1">
      <t>ウ</t>
    </rPh>
    <rPh sb="1" eb="2">
      <t>チョ</t>
    </rPh>
    <phoneticPr fontId="44"/>
  </si>
  <si>
    <t>ジキル&amp;ハイド襲来！</t>
    <rPh sb="7" eb="9">
      <t>シュウラ</t>
    </rPh>
    <phoneticPr fontId="20"/>
  </si>
  <si>
    <t>【超絶級】ジキル&amp;ハイド襲来</t>
    <rPh sb="1" eb="3">
      <t>チョウゼツ</t>
    </rPh>
    <rPh sb="3" eb="4">
      <t>キュ</t>
    </rPh>
    <rPh sb="12" eb="14">
      <t>シュウライ</t>
    </rPh>
    <phoneticPr fontId="44"/>
  </si>
  <si>
    <t>【ウィザード級】ジキル&amp;ハイド襲来</t>
    <rPh sb="6" eb="7">
      <t>キュ</t>
    </rPh>
    <rPh sb="15" eb="17">
      <t>シュウライ</t>
    </rPh>
    <phoneticPr fontId="44"/>
  </si>
  <si>
    <t>中級</t>
    <rPh sb="0" eb="1">
      <t>チュ</t>
    </rPh>
    <rPh sb="1" eb="2">
      <t>チョ</t>
    </rPh>
    <phoneticPr fontId="44"/>
  </si>
  <si>
    <t>上級</t>
    <rPh sb="0" eb="1">
      <t>jou</t>
    </rPh>
    <rPh sb="1" eb="2">
      <t>チョ</t>
    </rPh>
    <phoneticPr fontId="44"/>
  </si>
  <si>
    <t>【LB尾崎】検証クエスト</t>
    <rPh sb="3" eb="5">
      <t>オザk</t>
    </rPh>
    <rPh sb="6" eb="8">
      <t>ケンショ</t>
    </rPh>
    <phoneticPr fontId="44"/>
  </si>
  <si>
    <t>【LB田頭】検証クエスト</t>
    <rPh sb="3" eb="5">
      <t>タガシr</t>
    </rPh>
    <phoneticPr fontId="44"/>
  </si>
  <si>
    <t>【LB田頭】検証クエスト</t>
    <phoneticPr fontId="44"/>
  </si>
  <si>
    <t>【上級】スリーピギーズ（仮）</t>
    <rPh sb="1" eb="2">
      <t>ウ</t>
    </rPh>
    <rPh sb="2" eb="3">
      <t>チョウキュウ</t>
    </rPh>
    <phoneticPr fontId="44"/>
  </si>
  <si>
    <t>スカルズ襲来！</t>
    <rPh sb="4" eb="6">
      <t>シュウライ</t>
    </rPh>
    <phoneticPr fontId="44"/>
  </si>
  <si>
    <t>1000億パネル破壊記念イベント</t>
    <rPh sb="4" eb="5">
      <t>オク</t>
    </rPh>
    <rPh sb="8" eb="10">
      <t>ハカイ</t>
    </rPh>
    <rPh sb="10" eb="12">
      <t>キネン</t>
    </rPh>
    <phoneticPr fontId="44"/>
  </si>
  <si>
    <t>quest47013</t>
    <phoneticPr fontId="44"/>
  </si>
  <si>
    <t>【超絶級】田禹治襲来</t>
    <rPh sb="3" eb="4">
      <t>キュ</t>
    </rPh>
    <phoneticPr fontId="44"/>
  </si>
  <si>
    <t>【ウィザード級】田禹治襲来</t>
    <phoneticPr fontId="44"/>
  </si>
  <si>
    <t>鉄壁の子豚要塞</t>
    <phoneticPr fontId="44"/>
  </si>
  <si>
    <t>【中級】鉄壁の子豚要塞</t>
    <rPh sb="1" eb="2">
      <t>ナカ</t>
    </rPh>
    <rPh sb="2" eb="3">
      <t>ショキュウ</t>
    </rPh>
    <phoneticPr fontId="44"/>
  </si>
  <si>
    <t>【上級】鉄壁の子豚要塞</t>
    <rPh sb="1" eb="2">
      <t>ジョウ</t>
    </rPh>
    <rPh sb="2" eb="3">
      <t>ジョ</t>
    </rPh>
    <phoneticPr fontId="44"/>
  </si>
  <si>
    <t>【超級】鉄壁の子豚要塞</t>
    <rPh sb="1" eb="3">
      <t>チョウキュウ</t>
    </rPh>
    <phoneticPr fontId="44"/>
  </si>
  <si>
    <t>log,particle</t>
    <phoneticPr fontId="44"/>
  </si>
  <si>
    <t>コラボ超降臨3</t>
    <rPh sb="3" eb="4">
      <t>チョウ</t>
    </rPh>
    <rPh sb="4" eb="6">
      <t>コウリン</t>
    </rPh>
    <phoneticPr fontId="44"/>
  </si>
  <si>
    <t>log</t>
    <phoneticPr fontId="44"/>
  </si>
  <si>
    <t>兄左</t>
    <rPh sb="0" eb="1">
      <t>アニ</t>
    </rPh>
    <rPh sb="1" eb="2">
      <t>ヒダr</t>
    </rPh>
    <phoneticPr fontId="44"/>
  </si>
  <si>
    <t>【初級】兄左</t>
    <rPh sb="1" eb="3">
      <t>ショキュ</t>
    </rPh>
    <rPh sb="4" eb="6">
      <t>アn</t>
    </rPh>
    <phoneticPr fontId="44"/>
  </si>
  <si>
    <t>【中級】兄左</t>
    <rPh sb="1" eb="3">
      <t>チュ</t>
    </rPh>
    <rPh sb="4" eb="6">
      <t>アn</t>
    </rPh>
    <phoneticPr fontId="44"/>
  </si>
  <si>
    <t>【上級】兄左</t>
    <rPh sb="1" eb="3">
      <t>ジョ</t>
    </rPh>
    <rPh sb="4" eb="6">
      <t>アn</t>
    </rPh>
    <phoneticPr fontId="44"/>
  </si>
  <si>
    <t>【超級】兄左</t>
    <rPh sb="1" eb="3">
      <t>チョ</t>
    </rPh>
    <rPh sb="4" eb="6">
      <t>アn</t>
    </rPh>
    <phoneticPr fontId="44"/>
  </si>
  <si>
    <t>初級</t>
    <rPh sb="0" eb="2">
      <t>ショキュ</t>
    </rPh>
    <phoneticPr fontId="44"/>
  </si>
  <si>
    <t>上級</t>
    <rPh sb="0" eb="2">
      <t>ジョ</t>
    </rPh>
    <phoneticPr fontId="44"/>
  </si>
  <si>
    <t>quest39013</t>
    <phoneticPr fontId="44"/>
  </si>
  <si>
    <t>quest39013.png</t>
    <phoneticPr fontId="44"/>
  </si>
  <si>
    <t>栗転</t>
    <rPh sb="0" eb="2">
      <t>クリテン</t>
    </rPh>
    <phoneticPr fontId="44"/>
  </si>
  <si>
    <t>コラボ降臨12</t>
    <phoneticPr fontId="44"/>
  </si>
  <si>
    <t>【ウィザード級】栗転</t>
    <rPh sb="8" eb="10">
      <t>クリテン</t>
    </rPh>
    <phoneticPr fontId="44"/>
  </si>
  <si>
    <t>【超絶級】栗転</t>
    <rPh sb="3" eb="4">
      <t>キュウ</t>
    </rPh>
    <phoneticPr fontId="44"/>
  </si>
  <si>
    <t>quest49016</t>
    <phoneticPr fontId="44"/>
  </si>
  <si>
    <t>【超級】金券</t>
    <rPh sb="1" eb="3">
      <t>チョ</t>
    </rPh>
    <rPh sb="4" eb="6">
      <t>キンケn</t>
    </rPh>
    <phoneticPr fontId="44"/>
  </si>
  <si>
    <t>quest39014</t>
    <phoneticPr fontId="44"/>
  </si>
  <si>
    <t>金券</t>
    <rPh sb="0" eb="2">
      <t>キンケン</t>
    </rPh>
    <phoneticPr fontId="44"/>
  </si>
  <si>
    <t>風雷</t>
    <phoneticPr fontId="20"/>
  </si>
  <si>
    <t>【ウィザード級】風雷</t>
    <phoneticPr fontId="44"/>
  </si>
  <si>
    <t>【超ウィザード級】風雷</t>
    <phoneticPr fontId="44"/>
  </si>
  <si>
    <t>アレキサンダー襲来！</t>
    <rPh sb="7" eb="10">
      <t>シュ</t>
    </rPh>
    <phoneticPr fontId="20"/>
  </si>
  <si>
    <t>超降臨15</t>
    <rPh sb="0" eb="1">
      <t>チョ</t>
    </rPh>
    <phoneticPr fontId="44"/>
  </si>
  <si>
    <t>【超ウィザ】アレキサンダー襲来</t>
    <rPh sb="13" eb="15">
      <t>シュウライ</t>
    </rPh>
    <phoneticPr fontId="44"/>
  </si>
  <si>
    <t>quest50016</t>
    <phoneticPr fontId="44"/>
  </si>
  <si>
    <t>ゼノビア襲来！</t>
    <rPh sb="4" eb="6">
      <t>シュウラ</t>
    </rPh>
    <phoneticPr fontId="20"/>
  </si>
  <si>
    <t>降臨46</t>
    <rPh sb="0" eb="2">
      <t>kouriンン</t>
    </rPh>
    <phoneticPr fontId="44"/>
  </si>
  <si>
    <t>【超絶級】ゼノビア襲来</t>
    <rPh sb="1" eb="3">
      <t>チョウゼツ</t>
    </rPh>
    <rPh sb="3" eb="4">
      <t>キュ</t>
    </rPh>
    <rPh sb="9" eb="11">
      <t>シュウライ</t>
    </rPh>
    <phoneticPr fontId="44"/>
  </si>
  <si>
    <t>【ウィザード級】ゼノビア襲来</t>
    <rPh sb="6" eb="7">
      <t>キュ</t>
    </rPh>
    <rPh sb="12" eb="14">
      <t>シュウライ</t>
    </rPh>
    <phoneticPr fontId="44"/>
  </si>
  <si>
    <t>quest40046</t>
    <phoneticPr fontId="44"/>
  </si>
  <si>
    <t xml:space="preserve">フロイトチャレンジ </t>
    <phoneticPr fontId="20"/>
  </si>
  <si>
    <t>ランキング10</t>
    <phoneticPr fontId="44"/>
  </si>
  <si>
    <t>フロイトチャレンジ</t>
    <phoneticPr fontId="44"/>
  </si>
  <si>
    <t>quest60030</t>
    <phoneticPr fontId="44"/>
  </si>
  <si>
    <t>始皇贏政襲来！</t>
    <rPh sb="4" eb="6">
      <t>ｓｙ</t>
    </rPh>
    <phoneticPr fontId="20"/>
  </si>
  <si>
    <t>繁体字版超降臨2</t>
    <rPh sb="0" eb="4">
      <t>ハンタ</t>
    </rPh>
    <rPh sb="4" eb="7">
      <t>チョウコウリｎ</t>
    </rPh>
    <phoneticPr fontId="44"/>
  </si>
  <si>
    <t>【超ウィザード級】始皇贏政襲来</t>
    <rPh sb="1" eb="8">
      <t>チョウw</t>
    </rPh>
    <rPh sb="13" eb="15">
      <t>シュウライ</t>
    </rPh>
    <phoneticPr fontId="44"/>
  </si>
  <si>
    <t>quest58002</t>
    <phoneticPr fontId="44"/>
  </si>
  <si>
    <t>英傑シリーズ　超級</t>
    <rPh sb="0" eb="2">
      <t>エイケツ</t>
    </rPh>
    <rPh sb="7" eb="9">
      <t>チョ</t>
    </rPh>
    <phoneticPr fontId="44"/>
  </si>
  <si>
    <t>quest30050</t>
    <phoneticPr fontId="44"/>
  </si>
  <si>
    <t>台湾版降臨13</t>
    <rPh sb="3" eb="5">
      <t>kouriンン</t>
    </rPh>
    <phoneticPr fontId="44"/>
  </si>
  <si>
    <t>法海襲来！</t>
    <rPh sb="0" eb="1">
      <t>ホ</t>
    </rPh>
    <rPh sb="1" eb="2">
      <t>ウm</t>
    </rPh>
    <phoneticPr fontId="20"/>
  </si>
  <si>
    <t>【超絶級】法海襲来</t>
    <rPh sb="3" eb="4">
      <t>キュ</t>
    </rPh>
    <rPh sb="5" eb="6">
      <t>h</t>
    </rPh>
    <rPh sb="6" eb="7">
      <t>ウm</t>
    </rPh>
    <phoneticPr fontId="44"/>
  </si>
  <si>
    <t>【ウィザード級】法海襲来</t>
    <phoneticPr fontId="44"/>
  </si>
  <si>
    <t>quest48013</t>
    <phoneticPr fontId="44"/>
  </si>
  <si>
    <t>ニュータイガンアオ祭典用</t>
    <phoneticPr fontId="44"/>
  </si>
  <si>
    <t>quest48014</t>
    <phoneticPr fontId="44"/>
  </si>
  <si>
    <t>quest48503</t>
    <phoneticPr fontId="44"/>
  </si>
  <si>
    <t xml:space="preserve">ヘンペルチャレンジ </t>
    <phoneticPr fontId="20"/>
  </si>
  <si>
    <t>ランキング7（再開催）</t>
    <rPh sb="7" eb="10">
      <t>サイカイサイ</t>
    </rPh>
    <phoneticPr fontId="44"/>
  </si>
  <si>
    <t>quest60031</t>
    <phoneticPr fontId="44"/>
  </si>
  <si>
    <t>グローバル版降臨3</t>
    <rPh sb="6" eb="8">
      <t>kouriンン</t>
    </rPh>
    <phoneticPr fontId="44"/>
  </si>
  <si>
    <t>stage_type</t>
  </si>
  <si>
    <t>score_attack</t>
  </si>
  <si>
    <t>stage_type</t>
    <phoneticPr fontId="44"/>
  </si>
  <si>
    <t>忍耐と服従</t>
    <rPh sb="0" eb="2">
      <t>ニンタ</t>
    </rPh>
    <rPh sb="3" eb="5">
      <t>フクジュ</t>
    </rPh>
    <phoneticPr fontId="44"/>
  </si>
  <si>
    <t>【中級】忍耐と服従</t>
    <rPh sb="1" eb="2">
      <t>ナカ</t>
    </rPh>
    <rPh sb="2" eb="3">
      <t>ショキュウ</t>
    </rPh>
    <rPh sb="4" eb="6">
      <t>ニンタイ</t>
    </rPh>
    <rPh sb="7" eb="9">
      <t>フクジュ</t>
    </rPh>
    <phoneticPr fontId="44"/>
  </si>
  <si>
    <t>【上級】忍耐と服従</t>
    <rPh sb="1" eb="2">
      <t>ウ</t>
    </rPh>
    <rPh sb="2" eb="3">
      <t>ショキュウ</t>
    </rPh>
    <phoneticPr fontId="44"/>
  </si>
  <si>
    <t>【超級】忍耐と服従</t>
    <rPh sb="1" eb="2">
      <t>チョ</t>
    </rPh>
    <rPh sb="2" eb="3">
      <t>ショキュウ</t>
    </rPh>
    <phoneticPr fontId="44"/>
  </si>
  <si>
    <t>襲来クエスト/スコアアタック</t>
    <phoneticPr fontId="44"/>
  </si>
  <si>
    <t>quest59003</t>
    <phoneticPr fontId="44"/>
  </si>
  <si>
    <t>【LB石川】検証クエスト</t>
    <rPh sb="3" eb="5">
      <t>イシカワ</t>
    </rPh>
    <phoneticPr fontId="44"/>
  </si>
  <si>
    <t>使用可能番号は65523〜65534</t>
    <phoneticPr fontId="44"/>
  </si>
  <si>
    <t>【LB大野】検証クエスト</t>
    <rPh sb="3" eb="5">
      <t>オオノ</t>
    </rPh>
    <phoneticPr fontId="44"/>
  </si>
  <si>
    <t>【LB大野】検証</t>
    <rPh sb="3" eb="5">
      <t>オオノ</t>
    </rPh>
    <rPh sb="6" eb="8">
      <t>ケンショウ</t>
    </rPh>
    <phoneticPr fontId="44"/>
  </si>
  <si>
    <t>【LB石川】検証</t>
    <rPh sb="3" eb="5">
      <t>イシカワ</t>
    </rPh>
    <phoneticPr fontId="44"/>
  </si>
  <si>
    <t>路西法襲来！</t>
    <rPh sb="3" eb="5">
      <t>ｓｙ</t>
    </rPh>
    <phoneticPr fontId="20"/>
  </si>
  <si>
    <t>繁体字版コラボ超降臨1</t>
    <rPh sb="0" eb="4">
      <t>ハンタ</t>
    </rPh>
    <phoneticPr fontId="44"/>
  </si>
  <si>
    <t>【超ウィザード級】路西法襲来</t>
    <rPh sb="1" eb="8">
      <t>チョウw</t>
    </rPh>
    <rPh sb="12" eb="14">
      <t>シュウライ</t>
    </rPh>
    <phoneticPr fontId="44"/>
  </si>
  <si>
    <t>quest58101</t>
    <phoneticPr fontId="44"/>
  </si>
  <si>
    <t>喀耳刻襲来！</t>
    <rPh sb="3" eb="5">
      <t>シュ</t>
    </rPh>
    <phoneticPr fontId="20"/>
  </si>
  <si>
    <t>ケルゲーコラボイベント</t>
    <phoneticPr fontId="44"/>
  </si>
  <si>
    <t>【超絶級】喀耳刻襲来</t>
    <rPh sb="3" eb="4">
      <t>キュ</t>
    </rPh>
    <phoneticPr fontId="44"/>
  </si>
  <si>
    <t>【ウィザード級】喀耳刻襲来</t>
    <phoneticPr fontId="44"/>
  </si>
  <si>
    <t>quest48101</t>
    <phoneticPr fontId="44"/>
  </si>
  <si>
    <t>ヘルレイザー襲来！</t>
    <rPh sb="6" eb="8">
      <t>シュウラ</t>
    </rPh>
    <phoneticPr fontId="44"/>
  </si>
  <si>
    <t>襲来クエスト</t>
    <phoneticPr fontId="44"/>
  </si>
  <si>
    <t>800万ダウンロード記念イベント</t>
    <rPh sb="3" eb="4">
      <t>マｎ</t>
    </rPh>
    <phoneticPr fontId="44"/>
  </si>
  <si>
    <t>quest47014</t>
    <phoneticPr fontId="44"/>
  </si>
  <si>
    <t>ハートパネルが出現しない</t>
    <phoneticPr fontId="44"/>
  </si>
  <si>
    <t>台湾版コラボ降臨1</t>
    <rPh sb="6" eb="8">
      <t>kouriンン</t>
    </rPh>
    <phoneticPr fontId="44"/>
  </si>
  <si>
    <t>スカー襲来！</t>
    <rPh sb="3" eb="5">
      <t>シュウライ</t>
    </rPh>
    <phoneticPr fontId="44"/>
  </si>
  <si>
    <t>安多</t>
    <rPh sb="0" eb="1">
      <t>アン</t>
    </rPh>
    <rPh sb="1" eb="2">
      <t>タ</t>
    </rPh>
    <phoneticPr fontId="44"/>
  </si>
  <si>
    <t>台湾版コラボ降臨1　超級</t>
    <rPh sb="10" eb="12">
      <t>チョ</t>
    </rPh>
    <phoneticPr fontId="44"/>
  </si>
  <si>
    <t>【中級】安多</t>
    <rPh sb="1" eb="2">
      <t>チュウ</t>
    </rPh>
    <rPh sb="2" eb="3">
      <t>ショキュウ</t>
    </rPh>
    <rPh sb="4" eb="5">
      <t>アン</t>
    </rPh>
    <rPh sb="5" eb="6">
      <t>タ</t>
    </rPh>
    <phoneticPr fontId="44"/>
  </si>
  <si>
    <t>【上級】安多</t>
    <rPh sb="1" eb="2">
      <t>jyou</t>
    </rPh>
    <rPh sb="2" eb="3">
      <t>ショキュウ</t>
    </rPh>
    <phoneticPr fontId="44"/>
  </si>
  <si>
    <t>【超級】安多</t>
    <rPh sb="1" eb="2">
      <t>チョ</t>
    </rPh>
    <rPh sb="2" eb="3">
      <t>ショキュウ</t>
    </rPh>
    <phoneticPr fontId="44"/>
  </si>
  <si>
    <t>中級</t>
    <rPh sb="0" eb="1">
      <t>チュウ</t>
    </rPh>
    <rPh sb="1" eb="2">
      <t>チョ</t>
    </rPh>
    <phoneticPr fontId="44"/>
  </si>
  <si>
    <t>上級</t>
    <rPh sb="0" eb="1">
      <t>ジョウ</t>
    </rPh>
    <rPh sb="1" eb="2">
      <t>チョ</t>
    </rPh>
    <phoneticPr fontId="44"/>
  </si>
  <si>
    <t>quest38101</t>
    <phoneticPr fontId="44"/>
  </si>
  <si>
    <t>曹操襲来！</t>
    <rPh sb="0" eb="2">
      <t>ソウソウ</t>
    </rPh>
    <rPh sb="2" eb="4">
      <t>シュウライ</t>
    </rPh>
    <phoneticPr fontId="44"/>
  </si>
  <si>
    <t>国内開催用の難易度下方修正バージョン</t>
    <rPh sb="0" eb="2">
      <t>コクナイ</t>
    </rPh>
    <rPh sb="2" eb="4">
      <t>カイサイ</t>
    </rPh>
    <rPh sb="4" eb="5">
      <t>センヨウ</t>
    </rPh>
    <rPh sb="6" eb="9">
      <t>ナンイド</t>
    </rPh>
    <rPh sb="9" eb="13">
      <t>カホウシュウセイ</t>
    </rPh>
    <phoneticPr fontId="44"/>
  </si>
  <si>
    <t>【超ウィザード級】曹操襲来</t>
    <rPh sb="1" eb="8">
      <t>チョウw</t>
    </rPh>
    <rPh sb="9" eb="11">
      <t>ソウソウ</t>
    </rPh>
    <rPh sb="11" eb="13">
      <t>シュウライ</t>
    </rPh>
    <phoneticPr fontId="44"/>
  </si>
  <si>
    <t>quest58003</t>
    <phoneticPr fontId="44"/>
  </si>
  <si>
    <t>【超級】金券(スコアアタック)</t>
    <rPh sb="1" eb="3">
      <t>チョ</t>
    </rPh>
    <rPh sb="4" eb="6">
      <t>キンケn</t>
    </rPh>
    <phoneticPr fontId="44"/>
  </si>
  <si>
    <t>【超級】スカー襲来</t>
    <rPh sb="1" eb="2">
      <t>tyou</t>
    </rPh>
    <phoneticPr fontId="44"/>
  </si>
  <si>
    <t>【上級】スカー襲来</t>
    <rPh sb="1" eb="2">
      <t>jou</t>
    </rPh>
    <phoneticPr fontId="44"/>
  </si>
  <si>
    <t>【ウィザード級】スカー襲来</t>
    <phoneticPr fontId="44"/>
  </si>
  <si>
    <t>【激ムズ】ネコムート襲来</t>
    <rPh sb="1" eb="2">
      <t>ゲキムズ</t>
    </rPh>
    <rPh sb="10" eb="12">
      <t>シュウライ</t>
    </rPh>
    <phoneticPr fontId="44"/>
  </si>
  <si>
    <t>【超激ムズ】ネコムート襲来</t>
    <rPh sb="1" eb="2">
      <t>チョウ</t>
    </rPh>
    <rPh sb="2" eb="3">
      <t>ゲキ</t>
    </rPh>
    <rPh sb="11" eb="13">
      <t>シュウライ</t>
    </rPh>
    <phoneticPr fontId="44"/>
  </si>
  <si>
    <t>【ウィザード級】ヘルレイザー襲来</t>
    <rPh sb="6" eb="7">
      <t>キュ</t>
    </rPh>
    <rPh sb="14" eb="16">
      <t>シュウライ</t>
    </rPh>
    <phoneticPr fontId="44"/>
  </si>
  <si>
    <t>【超絶級】ヘルレイザー襲来</t>
    <rPh sb="1" eb="4">
      <t>チョ</t>
    </rPh>
    <rPh sb="11" eb="13">
      <t>シュウライ</t>
    </rPh>
    <phoneticPr fontId="44"/>
  </si>
  <si>
    <t>【上級】ヘルレイザー襲来</t>
    <rPh sb="1" eb="3">
      <t>ジョ</t>
    </rPh>
    <rPh sb="10" eb="12">
      <t>シュウライ</t>
    </rPh>
    <phoneticPr fontId="44"/>
  </si>
  <si>
    <t>【スコアアタック】スカルズ襲来</t>
    <rPh sb="13" eb="15">
      <t>シュウライ</t>
    </rPh>
    <phoneticPr fontId="44"/>
  </si>
  <si>
    <t>【スコア超絶】スカルズ襲来</t>
    <rPh sb="4" eb="6">
      <t>チョウゼツ</t>
    </rPh>
    <rPh sb="11" eb="13">
      <t>シュウライ</t>
    </rPh>
    <phoneticPr fontId="44"/>
  </si>
  <si>
    <t>【ウィザード級】スカルズ襲来</t>
    <rPh sb="6" eb="7">
      <t>キュウ</t>
    </rPh>
    <rPh sb="12" eb="14">
      <t>シュウライ</t>
    </rPh>
    <phoneticPr fontId="44"/>
  </si>
  <si>
    <t>【超絶級】スカルズ襲来</t>
    <rPh sb="1" eb="3">
      <t>チョウゼツ</t>
    </rPh>
    <rPh sb="3" eb="4">
      <t>キュウ</t>
    </rPh>
    <rPh sb="9" eb="11">
      <t>シュウライ</t>
    </rPh>
    <phoneticPr fontId="44"/>
  </si>
  <si>
    <t>【超絶級】ポーラとダニー襲来</t>
    <phoneticPr fontId="44"/>
  </si>
  <si>
    <t>【ｳｨｻﾞ】ポーラとダニー襲来</t>
    <phoneticPr fontId="44"/>
  </si>
  <si>
    <t>【超ウザード級】ウザリーマン襲来</t>
    <rPh sb="1" eb="2">
      <t>チョウ</t>
    </rPh>
    <rPh sb="14" eb="16">
      <t>シュウライ</t>
    </rPh>
    <phoneticPr fontId="44"/>
  </si>
  <si>
    <t>鋼の錬金術師　コラボクエスト</t>
    <phoneticPr fontId="44"/>
  </si>
  <si>
    <t>score_attack</t>
    <phoneticPr fontId="44"/>
  </si>
  <si>
    <t>quest47015</t>
    <phoneticPr fontId="44"/>
  </si>
  <si>
    <t>quest47016</t>
    <phoneticPr fontId="44"/>
  </si>
  <si>
    <t>quest48015</t>
    <phoneticPr fontId="44"/>
  </si>
  <si>
    <t>嫁入り道具はチェーンソー</t>
    <phoneticPr fontId="44"/>
  </si>
  <si>
    <t>【上級】嫁入り道具はチェーンソー</t>
    <rPh sb="1" eb="3">
      <t>ジョ</t>
    </rPh>
    <phoneticPr fontId="44"/>
  </si>
  <si>
    <t>【超級】嫁入り道具はチェーンソー</t>
    <rPh sb="1" eb="3">
      <t>チョ</t>
    </rPh>
    <phoneticPr fontId="44"/>
  </si>
  <si>
    <t>【ｳｨｻﾞ】嫁入り道具はチェーンソー</t>
    <phoneticPr fontId="44"/>
  </si>
  <si>
    <t xml:space="preserve">ラグランジュチャレンジ </t>
    <phoneticPr fontId="20"/>
  </si>
  <si>
    <t>ランキング2（再開催）</t>
    <rPh sb="7" eb="10">
      <t>サイカイサイ</t>
    </rPh>
    <phoneticPr fontId="44"/>
  </si>
  <si>
    <t>quest60032</t>
    <phoneticPr fontId="44"/>
  </si>
  <si>
    <t>character</t>
  </si>
  <si>
    <t>【上級】後光射す白無垢装束</t>
    <rPh sb="1" eb="3">
      <t>ジョ</t>
    </rPh>
    <phoneticPr fontId="44"/>
  </si>
  <si>
    <t>【超級】後光射す白無垢装束</t>
    <rPh sb="1" eb="3">
      <t>チョ</t>
    </rPh>
    <phoneticPr fontId="44"/>
  </si>
  <si>
    <t>【ｳｨｻﾞ】後光射す白無垢装束</t>
    <phoneticPr fontId="44"/>
  </si>
  <si>
    <t>後光射す白無垢装束</t>
  </si>
  <si>
    <t>quest48006.png</t>
    <phoneticPr fontId="44"/>
  </si>
  <si>
    <t>グローバル版降臨4</t>
    <rPh sb="6" eb="8">
      <t>kouriンン</t>
    </rPh>
    <phoneticPr fontId="44"/>
  </si>
  <si>
    <t>【超絶級】サン＝テグジュペリ襲来</t>
    <rPh sb="3" eb="4">
      <t>キュ</t>
    </rPh>
    <phoneticPr fontId="44"/>
  </si>
  <si>
    <t>【ウィザード級】サン＝テグジュペリ襲来</t>
    <phoneticPr fontId="44"/>
  </si>
  <si>
    <t>サン＝テグジュペリ襲来！</t>
    <rPh sb="9" eb="11">
      <t>シュ</t>
    </rPh>
    <phoneticPr fontId="20"/>
  </si>
  <si>
    <t>quest48504</t>
    <phoneticPr fontId="44"/>
  </si>
  <si>
    <t>団結クエスト</t>
    <rPh sb="0" eb="2">
      <t>ダンケツ</t>
    </rPh>
    <phoneticPr fontId="44"/>
  </si>
  <si>
    <t>団結クエスト</t>
    <rPh sb="0" eb="2">
      <t>ダンケツクエスト</t>
    </rPh>
    <phoneticPr fontId="44"/>
  </si>
  <si>
    <t>団結クエスト1</t>
    <rPh sb="0" eb="2">
      <t>ダンケツクエスト</t>
    </rPh>
    <phoneticPr fontId="44"/>
  </si>
  <si>
    <t>団結クエストA</t>
    <rPh sb="0" eb="2">
      <t>ダンケツ</t>
    </rPh>
    <phoneticPr fontId="44"/>
  </si>
  <si>
    <t>団結クエストB</t>
    <rPh sb="0" eb="2">
      <t>ダンケツ</t>
    </rPh>
    <phoneticPr fontId="44"/>
  </si>
  <si>
    <t>団結クエストC1</t>
    <rPh sb="0" eb="2">
      <t>ダンケツ</t>
    </rPh>
    <phoneticPr fontId="44"/>
  </si>
  <si>
    <t>団結クエストC2</t>
    <rPh sb="0" eb="2">
      <t>ダンケツ</t>
    </rPh>
    <phoneticPr fontId="44"/>
  </si>
  <si>
    <t>団結クエストC3</t>
    <rPh sb="0" eb="2">
      <t>ダンケツ</t>
    </rPh>
    <phoneticPr fontId="44"/>
  </si>
  <si>
    <t>団結クエストC4</t>
    <rPh sb="0" eb="2">
      <t>ダンケツ</t>
    </rPh>
    <phoneticPr fontId="44"/>
  </si>
  <si>
    <t>団結クエストD</t>
    <rPh sb="0" eb="2">
      <t>ダンケツ</t>
    </rPh>
    <phoneticPr fontId="44"/>
  </si>
  <si>
    <t>quest61001</t>
    <phoneticPr fontId="44"/>
  </si>
  <si>
    <t>【スコアアタック】ジャンヌ襲来</t>
    <phoneticPr fontId="22"/>
  </si>
  <si>
    <t>【ノーコンテニュー】アザゼル襲来</t>
    <phoneticPr fontId="22"/>
  </si>
  <si>
    <t>【スコアアタック】アザゼル襲来</t>
    <phoneticPr fontId="22"/>
  </si>
  <si>
    <t>ソウコッキュウ襲来！</t>
    <rPh sb="7" eb="9">
      <t>シュ</t>
    </rPh>
    <phoneticPr fontId="20"/>
  </si>
  <si>
    <t>【ウィザード級】ソウコッキュウ襲来</t>
    <phoneticPr fontId="44"/>
  </si>
  <si>
    <t>【超絶級】ソウコッキュウ襲来</t>
    <rPh sb="3" eb="4">
      <t>キュ</t>
    </rPh>
    <phoneticPr fontId="44"/>
  </si>
  <si>
    <t>quest48016</t>
    <phoneticPr fontId="44"/>
  </si>
  <si>
    <t>quest48016.png</t>
    <phoneticPr fontId="44"/>
  </si>
  <si>
    <t>【スコアアタック】アマテラス襲来</t>
    <phoneticPr fontId="22"/>
  </si>
  <si>
    <t>【ウィザード級】紅蓮襲来</t>
    <rPh sb="8" eb="10">
      <t>グレn</t>
    </rPh>
    <phoneticPr fontId="44"/>
  </si>
  <si>
    <t>紅蓮襲来！</t>
    <rPh sb="0" eb="2">
      <t>グレn</t>
    </rPh>
    <rPh sb="2" eb="4">
      <t>シュ</t>
    </rPh>
    <phoneticPr fontId="44"/>
  </si>
  <si>
    <t>韓国版降臨3</t>
    <rPh sb="0" eb="3">
      <t>カンコk</t>
    </rPh>
    <rPh sb="3" eb="5">
      <t>コウリン</t>
    </rPh>
    <phoneticPr fontId="44"/>
  </si>
  <si>
    <t>quest48703</t>
    <phoneticPr fontId="44"/>
  </si>
  <si>
    <t>ジューンブライド☆特別クエスト</t>
    <phoneticPr fontId="44"/>
  </si>
  <si>
    <t>【LB中原】検証クエスト</t>
    <rPh sb="3" eb="5">
      <t>ナk</t>
    </rPh>
    <phoneticPr fontId="44"/>
  </si>
  <si>
    <t>【LB中原】検証クエスト</t>
    <rPh sb="3" eb="5">
      <t>ナカハr</t>
    </rPh>
    <phoneticPr fontId="44"/>
  </si>
  <si>
    <t>【LB中原】検証</t>
    <rPh sb="3" eb="5">
      <t>ナカハr</t>
    </rPh>
    <phoneticPr fontId="4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</si>
</sst>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6" x14ac:knownFonts="1">
    <font>
      <sz val="10"/>
      <color indexed="8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8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2"/>
      <charset val="128"/>
    </font>
    <font>
      <b/>
      <sz val="10"/>
      <color indexed="81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9"/>
      <color indexed="8"/>
      <name val="Arial"/>
      <family val="2"/>
    </font>
    <font>
      <sz val="10"/>
      <color theme="0"/>
      <name val="ＭＳ Ｐゴシック"/>
      <family val="3"/>
      <charset val="128"/>
    </font>
    <font>
      <sz val="10"/>
      <name val="Arial"/>
      <family val="2"/>
    </font>
    <font>
      <sz val="1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theme="6" tint="-0.499984740745262"/>
      <name val="ＭＳ Ｐゴシック"/>
      <family val="3"/>
      <charset val="128"/>
    </font>
    <font>
      <b/>
      <sz val="1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</font>
  </fonts>
  <fills count="50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31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3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indexed="3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3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600"/>
        <bgColor indexed="3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8688">
    <xf numFmtId="0" fontId="0" fillId="0" borderId="0"/>
    <xf numFmtId="0" fontId="43" fillId="2" borderId="1" applyNumberFormat="0" applyAlignment="0" applyProtection="0"/>
    <xf numFmtId="0" fontId="28" fillId="3" borderId="0" applyNumberFormat="0" applyBorder="0" applyAlignment="0" applyProtection="0"/>
    <xf numFmtId="0" fontId="39" fillId="4" borderId="2" applyNumberFormat="0" applyAlignment="0" applyProtection="0"/>
    <xf numFmtId="0" fontId="38" fillId="0" borderId="0" applyNumberFormat="0" applyFill="0" applyBorder="0" applyAlignment="0" applyProtection="0"/>
    <xf numFmtId="0" fontId="29" fillId="5" borderId="0" applyNumberFormat="0" applyBorder="0" applyAlignment="0" applyProtection="0"/>
    <xf numFmtId="0" fontId="26" fillId="6" borderId="3" applyNumberFormat="0" applyAlignment="0" applyProtection="0"/>
    <xf numFmtId="0" fontId="25" fillId="0" borderId="0" applyNumberFormat="0" applyFill="0" applyBorder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4" fillId="0" borderId="0" applyNumberFormat="0" applyFill="0" applyBorder="0" applyAlignment="0" applyProtection="0"/>
    <xf numFmtId="0" fontId="23" fillId="4" borderId="0" applyNumberFormat="0" applyBorder="0" applyAlignment="0" applyProtection="0"/>
    <xf numFmtId="0" fontId="23" fillId="3" borderId="0" applyNumberFormat="0" applyBorder="0" applyAlignment="0" applyProtection="0"/>
    <xf numFmtId="0" fontId="23" fillId="7" borderId="0" applyNumberFormat="0" applyBorder="0" applyAlignment="0" applyProtection="0"/>
    <xf numFmtId="0" fontId="23" fillId="4" borderId="0" applyNumberFormat="0" applyBorder="0" applyAlignment="0" applyProtection="0"/>
    <xf numFmtId="0" fontId="23" fillId="8" borderId="0" applyNumberFormat="0" applyBorder="0" applyAlignment="0" applyProtection="0"/>
    <xf numFmtId="0" fontId="23" fillId="2" borderId="0" applyNumberFormat="0" applyBorder="0" applyAlignment="0" applyProtection="0"/>
    <xf numFmtId="0" fontId="23" fillId="4" borderId="0" applyNumberFormat="0" applyBorder="0" applyAlignment="0" applyProtection="0"/>
    <xf numFmtId="0" fontId="23" fillId="9" borderId="0" applyNumberFormat="0" applyBorder="0" applyAlignment="0" applyProtection="0"/>
    <xf numFmtId="0" fontId="23" fillId="7" borderId="0" applyNumberFormat="0" applyBorder="0" applyAlignment="0" applyProtection="0"/>
    <xf numFmtId="0" fontId="23" fillId="4" borderId="0" applyNumberFormat="0" applyBorder="0" applyAlignment="0" applyProtection="0"/>
    <xf numFmtId="0" fontId="23" fillId="10" borderId="0" applyNumberFormat="0" applyBorder="0" applyAlignment="0" applyProtection="0"/>
    <xf numFmtId="0" fontId="23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9" borderId="0" applyNumberFormat="0" applyBorder="0" applyAlignment="0" applyProtection="0"/>
    <xf numFmtId="0" fontId="24" fillId="7" borderId="0" applyNumberFormat="0" applyBorder="0" applyAlignment="0" applyProtection="0"/>
    <xf numFmtId="0" fontId="24" fillId="4" borderId="0" applyNumberFormat="0" applyBorder="0" applyAlignment="0" applyProtection="0"/>
    <xf numFmtId="0" fontId="24" fillId="11" borderId="0" applyNumberFormat="0" applyBorder="0" applyAlignment="0" applyProtection="0"/>
    <xf numFmtId="0" fontId="24" fillId="3" borderId="0" applyNumberFormat="0" applyBorder="0" applyAlignment="0" applyProtection="0"/>
    <xf numFmtId="0" fontId="38" fillId="0" borderId="0" applyNumberFormat="0" applyFill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7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9" borderId="0" applyNumberFormat="0" applyBorder="0" applyAlignment="0" applyProtection="0"/>
    <xf numFmtId="0" fontId="40" fillId="14" borderId="0" applyNumberFormat="0" applyBorder="0" applyAlignment="0" applyProtection="0"/>
    <xf numFmtId="0" fontId="28" fillId="3" borderId="0" applyNumberFormat="0" applyBorder="0" applyAlignment="0" applyProtection="0"/>
    <xf numFmtId="0" fontId="57" fillId="0" borderId="0" applyNumberFormat="0" applyFill="0" applyBorder="0" applyAlignment="0" applyProtection="0"/>
    <xf numFmtId="0" fontId="27" fillId="0" borderId="7" applyNumberFormat="0" applyFill="0" applyAlignment="0" applyProtection="0"/>
    <xf numFmtId="0" fontId="37" fillId="4" borderId="8" applyNumberFormat="0" applyAlignment="0" applyProtection="0"/>
    <xf numFmtId="0" fontId="37" fillId="15" borderId="8" applyNumberFormat="0" applyAlignment="0" applyProtection="0"/>
    <xf numFmtId="0" fontId="39" fillId="3" borderId="2" applyNumberFormat="0" applyAlignment="0" applyProtection="0"/>
    <xf numFmtId="0" fontId="36" fillId="0" borderId="9" applyNumberFormat="0" applyFill="0" applyAlignment="0" applyProtection="0"/>
    <xf numFmtId="0" fontId="30" fillId="15" borderId="2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5" fillId="0" borderId="10" applyNumberFormat="0" applyFill="0" applyAlignment="0" applyProtection="0"/>
    <xf numFmtId="38" fontId="48" fillId="0" borderId="0" applyFill="0" applyBorder="0" applyAlignment="0" applyProtection="0"/>
    <xf numFmtId="0" fontId="49" fillId="16" borderId="0" applyNumberFormat="0" applyBorder="0" applyAlignment="0" applyProtection="0"/>
    <xf numFmtId="0" fontId="47" fillId="17" borderId="0" applyNumberFormat="0" applyBorder="0" applyAlignment="0" applyProtection="0"/>
    <xf numFmtId="0" fontId="23" fillId="0" borderId="0"/>
    <xf numFmtId="0" fontId="41" fillId="0" borderId="0"/>
    <xf numFmtId="0" fontId="51" fillId="0" borderId="0"/>
    <xf numFmtId="0" fontId="46" fillId="17" borderId="0" applyNumberFormat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9" fillId="0" borderId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42" fillId="0" borderId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</cellStyleXfs>
  <cellXfs count="33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2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52" fillId="0" borderId="13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Font="1" applyFill="1" applyBorder="1" applyAlignment="1">
      <alignment vertical="center"/>
    </xf>
    <xf numFmtId="0" fontId="54" fillId="0" borderId="0" xfId="54" applyFont="1" applyAlignment="1">
      <alignment vertical="center"/>
    </xf>
    <xf numFmtId="0" fontId="54" fillId="0" borderId="13" xfId="54" applyFont="1" applyBorder="1" applyAlignment="1">
      <alignment vertical="center"/>
    </xf>
    <xf numFmtId="0" fontId="54" fillId="0" borderId="14" xfId="54" applyFont="1" applyBorder="1" applyAlignment="1">
      <alignment vertical="center"/>
    </xf>
    <xf numFmtId="0" fontId="52" fillId="18" borderId="13" xfId="0" applyFont="1" applyFill="1" applyBorder="1" applyAlignment="1">
      <alignment horizontal="center" vertical="center"/>
    </xf>
    <xf numFmtId="0" fontId="52" fillId="19" borderId="13" xfId="0" applyFont="1" applyFill="1" applyBorder="1" applyAlignment="1">
      <alignment horizontal="center" vertical="center"/>
    </xf>
    <xf numFmtId="0" fontId="52" fillId="0" borderId="0" xfId="0" applyFont="1"/>
    <xf numFmtId="0" fontId="52" fillId="0" borderId="16" xfId="0" applyFont="1" applyBorder="1" applyAlignment="1">
      <alignment vertical="center"/>
    </xf>
    <xf numFmtId="0" fontId="52" fillId="0" borderId="13" xfId="0" applyFont="1" applyBorder="1" applyAlignment="1">
      <alignment vertical="center" wrapText="1"/>
    </xf>
    <xf numFmtId="0" fontId="53" fillId="0" borderId="0" xfId="0" applyFont="1"/>
    <xf numFmtId="0" fontId="53" fillId="18" borderId="13" xfId="0" applyFont="1" applyFill="1" applyBorder="1" applyAlignment="1">
      <alignment horizontal="center" vertical="center"/>
    </xf>
    <xf numFmtId="0" fontId="54" fillId="0" borderId="0" xfId="54" applyFont="1" applyAlignment="1">
      <alignment horizontal="center" vertical="center"/>
    </xf>
    <xf numFmtId="0" fontId="54" fillId="0" borderId="14" xfId="54" applyFont="1" applyFill="1" applyBorder="1" applyAlignment="1">
      <alignment vertical="center"/>
    </xf>
    <xf numFmtId="0" fontId="54" fillId="0" borderId="13" xfId="54" applyFont="1" applyFill="1" applyBorder="1" applyAlignment="1">
      <alignment vertical="center"/>
    </xf>
    <xf numFmtId="0" fontId="42" fillId="20" borderId="11" xfId="0" applyFont="1" applyFill="1" applyBorder="1" applyAlignment="1">
      <alignment horizontal="center" vertical="center" wrapText="1"/>
    </xf>
    <xf numFmtId="0" fontId="0" fillId="20" borderId="11" xfId="0" applyFont="1" applyFill="1" applyBorder="1" applyAlignment="1">
      <alignment horizontal="center" vertical="center" wrapText="1"/>
    </xf>
    <xf numFmtId="0" fontId="0" fillId="22" borderId="11" xfId="0" applyFont="1" applyFill="1" applyBorder="1" applyAlignment="1">
      <alignment horizontal="center" vertical="center"/>
    </xf>
    <xf numFmtId="0" fontId="42" fillId="2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54" fillId="19" borderId="13" xfId="54" applyFont="1" applyFill="1" applyBorder="1" applyAlignment="1">
      <alignment horizontal="center" vertical="center"/>
    </xf>
    <xf numFmtId="0" fontId="53" fillId="19" borderId="13" xfId="0" applyFont="1" applyFill="1" applyBorder="1" applyAlignment="1">
      <alignment horizontal="center" vertical="center"/>
    </xf>
    <xf numFmtId="0" fontId="52" fillId="0" borderId="13" xfId="0" applyFont="1" applyFill="1" applyBorder="1" applyAlignment="1">
      <alignment vertical="center"/>
    </xf>
    <xf numFmtId="0" fontId="52" fillId="0" borderId="13" xfId="0" applyFont="1" applyFill="1" applyBorder="1" applyAlignment="1">
      <alignment vertical="center" wrapText="1"/>
    </xf>
    <xf numFmtId="0" fontId="0" fillId="24" borderId="13" xfId="0" applyFill="1" applyBorder="1" applyAlignment="1">
      <alignment vertical="center"/>
    </xf>
    <xf numFmtId="0" fontId="0" fillId="0" borderId="15" xfId="0" applyBorder="1" applyAlignment="1">
      <alignment vertical="center"/>
    </xf>
    <xf numFmtId="0" fontId="54" fillId="24" borderId="0" xfId="54" applyFont="1" applyFill="1" applyAlignment="1">
      <alignment vertical="center"/>
    </xf>
    <xf numFmtId="0" fontId="52" fillId="0" borderId="18" xfId="0" applyFont="1" applyBorder="1" applyAlignment="1">
      <alignment vertical="center"/>
    </xf>
    <xf numFmtId="0" fontId="54" fillId="0" borderId="15" xfId="54" applyFont="1" applyBorder="1" applyAlignment="1">
      <alignment vertical="center"/>
    </xf>
    <xf numFmtId="0" fontId="52" fillId="24" borderId="13" xfId="0" applyFont="1" applyFill="1" applyBorder="1" applyAlignment="1">
      <alignment vertical="center"/>
    </xf>
    <xf numFmtId="0" fontId="54" fillId="24" borderId="13" xfId="54" applyFont="1" applyFill="1" applyBorder="1" applyAlignment="1">
      <alignment vertical="center"/>
    </xf>
    <xf numFmtId="0" fontId="52" fillId="0" borderId="16" xfId="0" applyNumberFormat="1" applyFont="1" applyBorder="1" applyAlignment="1">
      <alignment vertical="center"/>
    </xf>
    <xf numFmtId="0" fontId="56" fillId="27" borderId="0" xfId="54" applyFont="1" applyFill="1" applyAlignment="1">
      <alignment horizontal="center" vertical="center"/>
    </xf>
    <xf numFmtId="0" fontId="56" fillId="27" borderId="0" xfId="54" applyFont="1" applyFill="1" applyAlignment="1">
      <alignment vertical="center"/>
    </xf>
    <xf numFmtId="0" fontId="0" fillId="22" borderId="11" xfId="0" applyFont="1" applyFill="1" applyBorder="1" applyAlignment="1">
      <alignment horizontal="center" vertical="center" wrapText="1"/>
    </xf>
    <xf numFmtId="0" fontId="54" fillId="19" borderId="13" xfId="54" applyFont="1" applyFill="1" applyBorder="1" applyAlignment="1">
      <alignment vertical="center"/>
    </xf>
    <xf numFmtId="0" fontId="54" fillId="19" borderId="0" xfId="54" applyFont="1" applyFill="1" applyAlignment="1">
      <alignment vertical="center"/>
    </xf>
    <xf numFmtId="0" fontId="52" fillId="19" borderId="13" xfId="0" applyFont="1" applyFill="1" applyBorder="1" applyAlignment="1">
      <alignment vertical="center" wrapText="1"/>
    </xf>
    <xf numFmtId="0" fontId="52" fillId="19" borderId="14" xfId="0" applyFont="1" applyFill="1" applyBorder="1" applyAlignment="1">
      <alignment vertical="center"/>
    </xf>
    <xf numFmtId="0" fontId="0" fillId="19" borderId="14" xfId="0" applyFont="1" applyFill="1" applyBorder="1" applyAlignment="1">
      <alignment vertical="center"/>
    </xf>
    <xf numFmtId="0" fontId="54" fillId="19" borderId="14" xfId="54" applyFont="1" applyFill="1" applyBorder="1" applyAlignment="1">
      <alignment vertical="center"/>
    </xf>
    <xf numFmtId="0" fontId="59" fillId="28" borderId="13" xfId="0" applyFont="1" applyFill="1" applyBorder="1" applyAlignment="1">
      <alignment horizontal="center" vertical="center"/>
    </xf>
    <xf numFmtId="0" fontId="59" fillId="28" borderId="19" xfId="0" applyFont="1" applyFill="1" applyBorder="1" applyAlignment="1">
      <alignment horizontal="center" vertical="center"/>
    </xf>
    <xf numFmtId="0" fontId="0" fillId="21" borderId="11" xfId="0" applyFill="1" applyBorder="1" applyAlignment="1">
      <alignment vertical="center"/>
    </xf>
    <xf numFmtId="0" fontId="0" fillId="19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18" borderId="11" xfId="0" applyFont="1" applyFill="1" applyBorder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54" fillId="23" borderId="13" xfId="54" applyFont="1" applyFill="1" applyBorder="1" applyAlignment="1">
      <alignment horizontal="center" vertical="center"/>
    </xf>
    <xf numFmtId="0" fontId="52" fillId="23" borderId="13" xfId="0" applyFont="1" applyFill="1" applyBorder="1" applyAlignment="1">
      <alignment horizontal="center" vertical="center"/>
    </xf>
    <xf numFmtId="0" fontId="52" fillId="19" borderId="16" xfId="0" applyFont="1" applyFill="1" applyBorder="1" applyAlignment="1">
      <alignment vertical="center"/>
    </xf>
    <xf numFmtId="0" fontId="54" fillId="19" borderId="0" xfId="54" applyFont="1" applyFill="1" applyAlignment="1">
      <alignment horizontal="center" vertical="center"/>
    </xf>
    <xf numFmtId="0" fontId="0" fillId="24" borderId="19" xfId="0" applyFont="1" applyFill="1" applyBorder="1" applyAlignment="1">
      <alignment vertical="center"/>
    </xf>
    <xf numFmtId="0" fontId="60" fillId="23" borderId="13" xfId="0" applyFont="1" applyFill="1" applyBorder="1" applyAlignment="1">
      <alignment horizontal="right" vertical="center"/>
    </xf>
    <xf numFmtId="0" fontId="53" fillId="0" borderId="13" xfId="0" applyFont="1" applyFill="1" applyBorder="1" applyAlignment="1">
      <alignment horizontal="right" vertical="center"/>
    </xf>
    <xf numFmtId="0" fontId="60" fillId="0" borderId="13" xfId="0" applyFont="1" applyFill="1" applyBorder="1" applyAlignment="1">
      <alignment horizontal="right" vertical="center"/>
    </xf>
    <xf numFmtId="0" fontId="61" fillId="0" borderId="13" xfId="0" applyFont="1" applyBorder="1" applyAlignment="1">
      <alignment vertical="center"/>
    </xf>
    <xf numFmtId="0" fontId="62" fillId="27" borderId="0" xfId="0" applyFont="1" applyFill="1" applyAlignment="1">
      <alignment vertical="center"/>
    </xf>
    <xf numFmtId="0" fontId="52" fillId="19" borderId="16" xfId="0" applyNumberFormat="1" applyFont="1" applyFill="1" applyBorder="1" applyAlignment="1">
      <alignment vertical="center"/>
    </xf>
    <xf numFmtId="0" fontId="54" fillId="0" borderId="13" xfId="0" applyFont="1" applyFill="1" applyBorder="1" applyAlignment="1">
      <alignment vertical="center"/>
    </xf>
    <xf numFmtId="56" fontId="54" fillId="0" borderId="13" xfId="0" applyNumberFormat="1" applyFont="1" applyFill="1" applyBorder="1" applyAlignment="1">
      <alignment vertical="center"/>
    </xf>
    <xf numFmtId="0" fontId="54" fillId="0" borderId="0" xfId="54" applyFont="1" applyFill="1" applyAlignment="1">
      <alignment vertical="center"/>
    </xf>
    <xf numFmtId="49" fontId="52" fillId="0" borderId="13" xfId="0" quotePrefix="1" applyNumberFormat="1" applyFont="1" applyBorder="1" applyAlignment="1">
      <alignment vertical="center" wrapText="1"/>
    </xf>
    <xf numFmtId="49" fontId="54" fillId="0" borderId="13" xfId="54" quotePrefix="1" applyNumberFormat="1" applyFont="1" applyBorder="1" applyAlignment="1">
      <alignment vertical="center"/>
    </xf>
    <xf numFmtId="0" fontId="52" fillId="25" borderId="13" xfId="0" applyFont="1" applyFill="1" applyBorder="1" applyAlignment="1">
      <alignment vertical="center"/>
    </xf>
    <xf numFmtId="0" fontId="52" fillId="25" borderId="13" xfId="0" applyFont="1" applyFill="1" applyBorder="1" applyAlignment="1">
      <alignment vertical="center" wrapText="1"/>
    </xf>
    <xf numFmtId="0" fontId="54" fillId="25" borderId="13" xfId="54" applyFont="1" applyFill="1" applyBorder="1" applyAlignment="1">
      <alignment vertical="center"/>
    </xf>
    <xf numFmtId="0" fontId="52" fillId="24" borderId="16" xfId="0" applyNumberFormat="1" applyFont="1" applyFill="1" applyBorder="1" applyAlignment="1">
      <alignment vertical="center"/>
    </xf>
    <xf numFmtId="0" fontId="52" fillId="24" borderId="13" xfId="0" applyFont="1" applyFill="1" applyBorder="1" applyAlignment="1">
      <alignment vertical="center" wrapText="1"/>
    </xf>
    <xf numFmtId="49" fontId="0" fillId="0" borderId="13" xfId="0" applyNumberFormat="1" applyFont="1" applyFill="1" applyBorder="1" applyAlignment="1">
      <alignment horizontal="right" vertical="center"/>
    </xf>
    <xf numFmtId="0" fontId="64" fillId="0" borderId="13" xfId="0" applyFont="1" applyFill="1" applyBorder="1" applyAlignment="1">
      <alignment vertical="center"/>
    </xf>
    <xf numFmtId="0" fontId="64" fillId="0" borderId="13" xfId="0" applyFont="1" applyFill="1" applyBorder="1" applyAlignment="1">
      <alignment vertical="center" wrapText="1"/>
    </xf>
    <xf numFmtId="0" fontId="64" fillId="0" borderId="13" xfId="54" applyFont="1" applyFill="1" applyBorder="1" applyAlignment="1">
      <alignment vertical="center"/>
    </xf>
    <xf numFmtId="0" fontId="64" fillId="0" borderId="0" xfId="54" applyFont="1" applyFill="1" applyAlignment="1">
      <alignment vertical="center"/>
    </xf>
    <xf numFmtId="0" fontId="52" fillId="0" borderId="16" xfId="0" applyFont="1" applyFill="1" applyBorder="1" applyAlignment="1">
      <alignment vertical="center"/>
    </xf>
    <xf numFmtId="0" fontId="52" fillId="29" borderId="16" xfId="0" applyFont="1" applyFill="1" applyBorder="1" applyAlignment="1">
      <alignment vertical="center"/>
    </xf>
    <xf numFmtId="0" fontId="52" fillId="29" borderId="13" xfId="0" applyFont="1" applyFill="1" applyBorder="1" applyAlignment="1">
      <alignment vertical="center" wrapText="1"/>
    </xf>
    <xf numFmtId="0" fontId="54" fillId="29" borderId="13" xfId="54" applyFont="1" applyFill="1" applyBorder="1" applyAlignment="1">
      <alignment vertical="center"/>
    </xf>
    <xf numFmtId="0" fontId="52" fillId="25" borderId="16" xfId="0" applyFont="1" applyFill="1" applyBorder="1" applyAlignment="1">
      <alignment vertical="center"/>
    </xf>
    <xf numFmtId="0" fontId="62" fillId="27" borderId="0" xfId="54" applyFont="1" applyFill="1" applyAlignment="1">
      <alignment vertical="center"/>
    </xf>
    <xf numFmtId="0" fontId="62" fillId="27" borderId="13" xfId="54" applyFont="1" applyFill="1" applyBorder="1" applyAlignment="1">
      <alignment vertical="center"/>
    </xf>
    <xf numFmtId="0" fontId="62" fillId="27" borderId="13" xfId="0" applyFont="1" applyFill="1" applyBorder="1" applyAlignment="1">
      <alignment vertical="center"/>
    </xf>
    <xf numFmtId="0" fontId="62" fillId="27" borderId="14" xfId="0" applyFont="1" applyFill="1" applyBorder="1" applyAlignment="1">
      <alignment vertical="center"/>
    </xf>
    <xf numFmtId="0" fontId="62" fillId="27" borderId="13" xfId="0" applyFont="1" applyFill="1" applyBorder="1" applyAlignment="1">
      <alignment horizontal="right" vertical="center"/>
    </xf>
    <xf numFmtId="0" fontId="62" fillId="30" borderId="13" xfId="0" applyFont="1" applyFill="1" applyBorder="1" applyAlignment="1">
      <alignment vertical="center"/>
    </xf>
    <xf numFmtId="0" fontId="54" fillId="0" borderId="13" xfId="54" applyFont="1" applyBorder="1" applyAlignment="1">
      <alignment vertical="center" wrapText="1"/>
    </xf>
    <xf numFmtId="0" fontId="0" fillId="31" borderId="13" xfId="0" applyFill="1" applyBorder="1" applyAlignment="1">
      <alignment vertical="center"/>
    </xf>
    <xf numFmtId="0" fontId="66" fillId="32" borderId="13" xfId="6968" applyFont="1" applyFill="1" applyBorder="1"/>
    <xf numFmtId="0" fontId="15" fillId="32" borderId="13" xfId="6968" applyFill="1" applyBorder="1"/>
    <xf numFmtId="0" fontId="15" fillId="0" borderId="0" xfId="6968"/>
    <xf numFmtId="0" fontId="15" fillId="0" borderId="13" xfId="6968" applyBorder="1"/>
    <xf numFmtId="0" fontId="54" fillId="18" borderId="13" xfId="54" applyFont="1" applyFill="1" applyBorder="1" applyAlignment="1">
      <alignment horizontal="left"/>
    </xf>
    <xf numFmtId="0" fontId="51" fillId="18" borderId="13" xfId="54" applyFont="1" applyFill="1" applyBorder="1" applyAlignment="1">
      <alignment horizontal="left"/>
    </xf>
    <xf numFmtId="0" fontId="17" fillId="18" borderId="13" xfId="54" applyFont="1" applyFill="1" applyBorder="1" applyAlignment="1">
      <alignment horizontal="left"/>
    </xf>
    <xf numFmtId="0" fontId="16" fillId="18" borderId="13" xfId="54" applyFont="1" applyFill="1" applyBorder="1" applyAlignment="1">
      <alignment horizontal="left"/>
    </xf>
    <xf numFmtId="0" fontId="18" fillId="18" borderId="13" xfId="54" applyFont="1" applyFill="1" applyBorder="1" applyAlignment="1">
      <alignment horizontal="left"/>
    </xf>
    <xf numFmtId="0" fontId="51" fillId="18" borderId="13" xfId="54" applyNumberFormat="1" applyFont="1" applyFill="1" applyBorder="1" applyAlignment="1">
      <alignment horizontal="left"/>
    </xf>
    <xf numFmtId="0" fontId="22" fillId="18" borderId="13" xfId="54" applyNumberFormat="1" applyFont="1" applyFill="1" applyBorder="1" applyAlignment="1">
      <alignment horizontal="left"/>
    </xf>
    <xf numFmtId="0" fontId="21" fillId="18" borderId="13" xfId="54" applyNumberFormat="1" applyFont="1" applyFill="1" applyBorder="1" applyAlignment="1">
      <alignment horizontal="left"/>
    </xf>
    <xf numFmtId="0" fontId="15" fillId="0" borderId="13" xfId="6968" applyFont="1" applyFill="1" applyBorder="1"/>
    <xf numFmtId="0" fontId="15" fillId="0" borderId="13" xfId="6968" applyFill="1" applyBorder="1"/>
    <xf numFmtId="0" fontId="15" fillId="26" borderId="13" xfId="6968" applyFill="1" applyBorder="1"/>
    <xf numFmtId="0" fontId="51" fillId="0" borderId="13" xfId="54" applyFont="1" applyFill="1" applyBorder="1" applyAlignment="1">
      <alignment horizontal="left"/>
    </xf>
    <xf numFmtId="0" fontId="16" fillId="0" borderId="13" xfId="54" applyFont="1" applyFill="1" applyBorder="1" applyAlignment="1">
      <alignment horizontal="left"/>
    </xf>
    <xf numFmtId="0" fontId="0" fillId="0" borderId="13" xfId="6969" applyNumberFormat="1" applyFont="1" applyFill="1" applyBorder="1" applyAlignment="1">
      <alignment horizontal="left"/>
    </xf>
    <xf numFmtId="0" fontId="14" fillId="18" borderId="13" xfId="54" applyFont="1" applyFill="1" applyBorder="1" applyAlignment="1">
      <alignment horizontal="left"/>
    </xf>
    <xf numFmtId="0" fontId="66" fillId="32" borderId="13" xfId="0" applyFont="1" applyFill="1" applyBorder="1"/>
    <xf numFmtId="0" fontId="13" fillId="0" borderId="13" xfId="6968" applyFont="1" applyBorder="1"/>
    <xf numFmtId="0" fontId="54" fillId="24" borderId="14" xfId="54" applyFont="1" applyFill="1" applyBorder="1" applyAlignment="1">
      <alignment vertical="center"/>
    </xf>
    <xf numFmtId="0" fontId="56" fillId="27" borderId="21" xfId="0" applyFont="1" applyFill="1" applyBorder="1" applyAlignment="1">
      <alignment vertical="center"/>
    </xf>
    <xf numFmtId="0" fontId="56" fillId="27" borderId="22" xfId="0" applyFont="1" applyFill="1" applyBorder="1" applyAlignment="1">
      <alignment vertical="center" wrapText="1"/>
    </xf>
    <xf numFmtId="0" fontId="56" fillId="27" borderId="22" xfId="54" applyFont="1" applyFill="1" applyBorder="1" applyAlignment="1">
      <alignment vertical="center"/>
    </xf>
    <xf numFmtId="0" fontId="54" fillId="33" borderId="13" xfId="54" applyFont="1" applyFill="1" applyBorder="1" applyAlignment="1">
      <alignment vertical="center"/>
    </xf>
    <xf numFmtId="0" fontId="52" fillId="33" borderId="14" xfId="0" applyFont="1" applyFill="1" applyBorder="1" applyAlignment="1">
      <alignment vertical="center"/>
    </xf>
    <xf numFmtId="0" fontId="0" fillId="33" borderId="14" xfId="0" applyFont="1" applyFill="1" applyBorder="1" applyAlignment="1">
      <alignment vertical="center"/>
    </xf>
    <xf numFmtId="0" fontId="0" fillId="33" borderId="13" xfId="0" applyFill="1" applyBorder="1" applyAlignment="1">
      <alignment vertical="center"/>
    </xf>
    <xf numFmtId="0" fontId="0" fillId="34" borderId="13" xfId="0" applyFill="1" applyBorder="1" applyAlignment="1">
      <alignment vertical="center"/>
    </xf>
    <xf numFmtId="0" fontId="56" fillId="33" borderId="0" xfId="54" applyFont="1" applyFill="1" applyAlignment="1">
      <alignment vertical="center"/>
    </xf>
    <xf numFmtId="0" fontId="0" fillId="33" borderId="15" xfId="0" applyFill="1" applyBorder="1" applyAlignment="1">
      <alignment vertical="center"/>
    </xf>
    <xf numFmtId="0" fontId="54" fillId="33" borderId="0" xfId="54" applyFont="1" applyFill="1" applyAlignment="1">
      <alignment vertical="center"/>
    </xf>
    <xf numFmtId="0" fontId="52" fillId="19" borderId="24" xfId="0" applyFont="1" applyFill="1" applyBorder="1" applyAlignment="1">
      <alignment vertical="center"/>
    </xf>
    <xf numFmtId="0" fontId="67" fillId="0" borderId="13" xfId="54" applyFont="1" applyFill="1" applyBorder="1" applyAlignment="1">
      <alignment vertical="center"/>
    </xf>
    <xf numFmtId="0" fontId="12" fillId="23" borderId="13" xfId="6968" applyFont="1" applyFill="1" applyBorder="1"/>
    <xf numFmtId="0" fontId="12" fillId="35" borderId="13" xfId="6968" applyFont="1" applyFill="1" applyBorder="1"/>
    <xf numFmtId="0" fontId="12" fillId="36" borderId="13" xfId="6968" applyFont="1" applyFill="1" applyBorder="1"/>
    <xf numFmtId="0" fontId="52" fillId="26" borderId="16" xfId="0" applyFont="1" applyFill="1" applyBorder="1" applyAlignment="1">
      <alignment vertical="center"/>
    </xf>
    <xf numFmtId="0" fontId="52" fillId="26" borderId="13" xfId="0" applyFont="1" applyFill="1" applyBorder="1" applyAlignment="1">
      <alignment vertical="center" wrapText="1"/>
    </xf>
    <xf numFmtId="0" fontId="54" fillId="26" borderId="13" xfId="54" applyFont="1" applyFill="1" applyBorder="1" applyAlignment="1">
      <alignment vertical="center"/>
    </xf>
    <xf numFmtId="0" fontId="56" fillId="32" borderId="0" xfId="54" applyFont="1" applyFill="1" applyAlignment="1">
      <alignment vertical="center"/>
    </xf>
    <xf numFmtId="0" fontId="54" fillId="32" borderId="13" xfId="54" applyFont="1" applyFill="1" applyBorder="1" applyAlignment="1">
      <alignment vertical="center"/>
    </xf>
    <xf numFmtId="0" fontId="52" fillId="32" borderId="14" xfId="0" applyFont="1" applyFill="1" applyBorder="1" applyAlignment="1">
      <alignment vertical="center"/>
    </xf>
    <xf numFmtId="0" fontId="0" fillId="32" borderId="14" xfId="0" applyFont="1" applyFill="1" applyBorder="1" applyAlignment="1">
      <alignment vertical="center"/>
    </xf>
    <xf numFmtId="0" fontId="0" fillId="32" borderId="13" xfId="0" applyFill="1" applyBorder="1" applyAlignment="1">
      <alignment vertical="center"/>
    </xf>
    <xf numFmtId="0" fontId="54" fillId="32" borderId="0" xfId="54" applyFont="1" applyFill="1" applyAlignment="1">
      <alignment vertical="center"/>
    </xf>
    <xf numFmtId="0" fontId="11" fillId="0" borderId="13" xfId="6968" applyFont="1" applyBorder="1"/>
    <xf numFmtId="0" fontId="54" fillId="27" borderId="13" xfId="54" applyFont="1" applyFill="1" applyBorder="1" applyAlignment="1">
      <alignment vertical="center"/>
    </xf>
    <xf numFmtId="0" fontId="52" fillId="33" borderId="18" xfId="0" applyFont="1" applyFill="1" applyBorder="1" applyAlignment="1">
      <alignment vertical="center"/>
    </xf>
    <xf numFmtId="0" fontId="54" fillId="33" borderId="15" xfId="54" applyFont="1" applyFill="1" applyBorder="1" applyAlignment="1">
      <alignment vertical="center"/>
    </xf>
    <xf numFmtId="3" fontId="0" fillId="33" borderId="13" xfId="0" applyNumberFormat="1" applyFill="1" applyBorder="1" applyAlignment="1">
      <alignment vertical="center"/>
    </xf>
    <xf numFmtId="0" fontId="54" fillId="26" borderId="0" xfId="54" applyFont="1" applyFill="1" applyAlignment="1">
      <alignment vertical="center"/>
    </xf>
    <xf numFmtId="0" fontId="56" fillId="26" borderId="0" xfId="54" applyFont="1" applyFill="1" applyAlignment="1">
      <alignment vertical="center"/>
    </xf>
    <xf numFmtId="0" fontId="52" fillId="26" borderId="14" xfId="0" applyFont="1" applyFill="1" applyBorder="1" applyAlignment="1">
      <alignment vertical="center"/>
    </xf>
    <xf numFmtId="0" fontId="0" fillId="26" borderId="14" xfId="0" applyFont="1" applyFill="1" applyBorder="1" applyAlignment="1">
      <alignment vertical="center"/>
    </xf>
    <xf numFmtId="0" fontId="0" fillId="26" borderId="13" xfId="0" applyFill="1" applyBorder="1" applyAlignment="1">
      <alignment vertical="center"/>
    </xf>
    <xf numFmtId="0" fontId="0" fillId="37" borderId="13" xfId="0" applyFill="1" applyBorder="1" applyAlignment="1">
      <alignment vertical="center"/>
    </xf>
    <xf numFmtId="0" fontId="52" fillId="26" borderId="18" xfId="0" applyFont="1" applyFill="1" applyBorder="1" applyAlignment="1">
      <alignment vertical="center"/>
    </xf>
    <xf numFmtId="0" fontId="0" fillId="26" borderId="15" xfId="0" applyFill="1" applyBorder="1" applyAlignment="1">
      <alignment vertical="center"/>
    </xf>
    <xf numFmtId="0" fontId="54" fillId="26" borderId="15" xfId="54" applyFont="1" applyFill="1" applyBorder="1" applyAlignment="1">
      <alignment vertical="center"/>
    </xf>
    <xf numFmtId="0" fontId="59" fillId="0" borderId="13" xfId="0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10" fillId="23" borderId="13" xfId="6968" applyFont="1" applyFill="1" applyBorder="1"/>
    <xf numFmtId="0" fontId="54" fillId="23" borderId="13" xfId="54" applyFont="1" applyFill="1" applyBorder="1" applyAlignment="1">
      <alignment vertical="center"/>
    </xf>
    <xf numFmtId="0" fontId="56" fillId="38" borderId="23" xfId="54" applyFont="1" applyFill="1" applyBorder="1" applyAlignment="1">
      <alignment vertical="center"/>
    </xf>
    <xf numFmtId="0" fontId="9" fillId="18" borderId="13" xfId="54" applyFont="1" applyFill="1" applyBorder="1" applyAlignment="1">
      <alignment horizontal="left"/>
    </xf>
    <xf numFmtId="0" fontId="12" fillId="18" borderId="13" xfId="6968" applyFont="1" applyFill="1" applyBorder="1"/>
    <xf numFmtId="0" fontId="8" fillId="18" borderId="13" xfId="6968" applyFont="1" applyFill="1" applyBorder="1"/>
    <xf numFmtId="0" fontId="8" fillId="18" borderId="13" xfId="54" applyFont="1" applyFill="1" applyBorder="1" applyAlignment="1">
      <alignment horizontal="left"/>
    </xf>
    <xf numFmtId="0" fontId="0" fillId="0" borderId="13" xfId="0" applyFill="1" applyBorder="1" applyAlignment="1">
      <alignment vertical="center"/>
    </xf>
    <xf numFmtId="0" fontId="52" fillId="0" borderId="15" xfId="0" applyFont="1" applyFill="1" applyBorder="1" applyAlignment="1">
      <alignment vertical="center"/>
    </xf>
    <xf numFmtId="0" fontId="52" fillId="0" borderId="15" xfId="0" applyFont="1" applyFill="1" applyBorder="1" applyAlignment="1">
      <alignment vertical="center" wrapText="1"/>
    </xf>
    <xf numFmtId="0" fontId="54" fillId="0" borderId="15" xfId="54" applyFont="1" applyFill="1" applyBorder="1" applyAlignment="1">
      <alignment vertical="center"/>
    </xf>
    <xf numFmtId="0" fontId="54" fillId="0" borderId="13" xfId="0" applyFont="1" applyBorder="1" applyAlignment="1">
      <alignment vertical="center" wrapText="1"/>
    </xf>
    <xf numFmtId="0" fontId="52" fillId="0" borderId="18" xfId="0" applyFont="1" applyFill="1" applyBorder="1" applyAlignment="1">
      <alignment vertical="center"/>
    </xf>
    <xf numFmtId="0" fontId="54" fillId="0" borderId="13" xfId="0" applyFont="1" applyFill="1" applyBorder="1" applyAlignment="1">
      <alignment vertical="center" wrapText="1"/>
    </xf>
    <xf numFmtId="0" fontId="68" fillId="0" borderId="13" xfId="0" applyFont="1" applyFill="1" applyBorder="1" applyAlignment="1">
      <alignment vertical="center"/>
    </xf>
    <xf numFmtId="0" fontId="56" fillId="39" borderId="0" xfId="54" applyFont="1" applyFill="1" applyAlignment="1">
      <alignment vertical="center"/>
    </xf>
    <xf numFmtId="0" fontId="54" fillId="39" borderId="13" xfId="54" applyFont="1" applyFill="1" applyBorder="1" applyAlignment="1">
      <alignment vertical="center"/>
    </xf>
    <xf numFmtId="0" fontId="52" fillId="39" borderId="13" xfId="0" applyFont="1" applyFill="1" applyBorder="1" applyAlignment="1">
      <alignment vertical="center"/>
    </xf>
    <xf numFmtId="0" fontId="52" fillId="39" borderId="14" xfId="0" applyFont="1" applyFill="1" applyBorder="1" applyAlignment="1">
      <alignment vertical="center"/>
    </xf>
    <xf numFmtId="0" fontId="0" fillId="39" borderId="14" xfId="0" applyFont="1" applyFill="1" applyBorder="1" applyAlignment="1">
      <alignment vertical="center"/>
    </xf>
    <xf numFmtId="0" fontId="0" fillId="39" borderId="13" xfId="0" applyFill="1" applyBorder="1" applyAlignment="1">
      <alignment vertical="center"/>
    </xf>
    <xf numFmtId="0" fontId="60" fillId="39" borderId="13" xfId="0" applyFont="1" applyFill="1" applyBorder="1" applyAlignment="1">
      <alignment horizontal="right" vertical="center"/>
    </xf>
    <xf numFmtId="0" fontId="0" fillId="40" borderId="13" xfId="0" applyFill="1" applyBorder="1" applyAlignment="1">
      <alignment vertical="center"/>
    </xf>
    <xf numFmtId="0" fontId="54" fillId="39" borderId="0" xfId="54" applyFont="1" applyFill="1" applyAlignment="1">
      <alignment vertical="center"/>
    </xf>
    <xf numFmtId="3" fontId="0" fillId="0" borderId="13" xfId="0" quotePrefix="1" applyNumberFormat="1" applyFill="1" applyBorder="1" applyAlignment="1">
      <alignment vertical="center"/>
    </xf>
    <xf numFmtId="0" fontId="0" fillId="0" borderId="19" xfId="0" applyFill="1" applyBorder="1" applyAlignment="1">
      <alignment vertical="center"/>
    </xf>
    <xf numFmtId="0" fontId="65" fillId="0" borderId="13" xfId="0" applyFont="1" applyFill="1" applyBorder="1"/>
    <xf numFmtId="0" fontId="63" fillId="0" borderId="13" xfId="0" applyFont="1" applyFill="1" applyBorder="1" applyAlignment="1">
      <alignment vertical="center"/>
    </xf>
    <xf numFmtId="0" fontId="42" fillId="0" borderId="13" xfId="0" applyFont="1" applyFill="1" applyBorder="1" applyAlignment="1">
      <alignment vertical="center"/>
    </xf>
    <xf numFmtId="3" fontId="42" fillId="0" borderId="13" xfId="0" applyNumberFormat="1" applyFont="1" applyFill="1" applyBorder="1" applyAlignment="1">
      <alignment vertical="center"/>
    </xf>
    <xf numFmtId="0" fontId="0" fillId="0" borderId="19" xfId="0" applyFont="1" applyFill="1" applyBorder="1" applyAlignment="1">
      <alignment vertical="center"/>
    </xf>
    <xf numFmtId="49" fontId="0" fillId="0" borderId="13" xfId="0" applyNumberFormat="1" applyFill="1" applyBorder="1" applyAlignment="1">
      <alignment vertical="center"/>
    </xf>
    <xf numFmtId="0" fontId="59" fillId="0" borderId="13" xfId="0" applyFont="1" applyFill="1" applyBorder="1" applyAlignment="1">
      <alignment vertical="center"/>
    </xf>
    <xf numFmtId="0" fontId="59" fillId="0" borderId="19" xfId="0" applyFont="1" applyFill="1" applyBorder="1" applyAlignment="1">
      <alignment vertical="center"/>
    </xf>
    <xf numFmtId="0" fontId="59" fillId="0" borderId="14" xfId="0" applyFont="1" applyFill="1" applyBorder="1" applyAlignment="1">
      <alignment vertical="center"/>
    </xf>
    <xf numFmtId="0" fontId="59" fillId="0" borderId="20" xfId="0" applyFont="1" applyFill="1" applyBorder="1" applyAlignment="1">
      <alignment vertical="center"/>
    </xf>
    <xf numFmtId="0" fontId="0" fillId="31" borderId="15" xfId="0" applyFill="1" applyBorder="1" applyAlignment="1">
      <alignment vertical="center"/>
    </xf>
    <xf numFmtId="0" fontId="52" fillId="0" borderId="25" xfId="0" applyFont="1" applyFill="1" applyBorder="1" applyAlignment="1">
      <alignment vertical="center"/>
    </xf>
    <xf numFmtId="0" fontId="52" fillId="32" borderId="13" xfId="0" applyFont="1" applyFill="1" applyBorder="1" applyAlignment="1">
      <alignment vertical="center"/>
    </xf>
    <xf numFmtId="0" fontId="64" fillId="32" borderId="13" xfId="54" applyFont="1" applyFill="1" applyBorder="1" applyAlignment="1">
      <alignment vertical="center"/>
    </xf>
    <xf numFmtId="0" fontId="52" fillId="0" borderId="14" xfId="0" applyFont="1" applyFill="1" applyBorder="1" applyAlignment="1">
      <alignment vertical="center"/>
    </xf>
    <xf numFmtId="0" fontId="7" fillId="0" borderId="13" xfId="6968" applyFont="1" applyBorder="1"/>
    <xf numFmtId="0" fontId="7" fillId="18" borderId="13" xfId="54" applyFont="1" applyFill="1" applyBorder="1" applyAlignment="1">
      <alignment horizontal="left"/>
    </xf>
    <xf numFmtId="0" fontId="0" fillId="0" borderId="14" xfId="0" applyFont="1" applyFill="1" applyBorder="1" applyAlignment="1">
      <alignment vertical="center"/>
    </xf>
    <xf numFmtId="0" fontId="54" fillId="31" borderId="13" xfId="54" applyFont="1" applyFill="1" applyBorder="1" applyAlignment="1">
      <alignment vertical="center"/>
    </xf>
    <xf numFmtId="0" fontId="64" fillId="0" borderId="13" xfId="54" applyFont="1" applyFill="1" applyBorder="1" applyAlignment="1">
      <alignment vertical="center" wrapText="1"/>
    </xf>
    <xf numFmtId="0" fontId="52" fillId="0" borderId="19" xfId="0" applyFont="1" applyFill="1" applyBorder="1" applyAlignment="1">
      <alignment vertical="center"/>
    </xf>
    <xf numFmtId="0" fontId="64" fillId="31" borderId="13" xfId="54" applyFont="1" applyFill="1" applyBorder="1" applyAlignment="1">
      <alignment vertical="center"/>
    </xf>
    <xf numFmtId="0" fontId="54" fillId="0" borderId="15" xfId="54" applyNumberFormat="1" applyFont="1" applyBorder="1" applyAlignment="1">
      <alignment vertical="center"/>
    </xf>
    <xf numFmtId="0" fontId="54" fillId="24" borderId="13" xfId="54" applyFont="1" applyFill="1" applyBorder="1" applyAlignment="1">
      <alignment vertical="center" wrapText="1"/>
    </xf>
    <xf numFmtId="0" fontId="54" fillId="24" borderId="15" xfId="54" applyFont="1" applyFill="1" applyBorder="1" applyAlignment="1">
      <alignment vertical="center" wrapText="1"/>
    </xf>
    <xf numFmtId="0" fontId="54" fillId="0" borderId="13" xfId="54" applyFont="1" applyFill="1" applyBorder="1" applyAlignment="1">
      <alignment vertical="center" wrapText="1"/>
    </xf>
    <xf numFmtId="0" fontId="64" fillId="0" borderId="15" xfId="54" applyFont="1" applyFill="1" applyBorder="1" applyAlignment="1">
      <alignment vertical="center"/>
    </xf>
    <xf numFmtId="0" fontId="71" fillId="18" borderId="14" xfId="1092" applyFont="1" applyFill="1" applyBorder="1" applyAlignment="1">
      <alignment horizontal="center"/>
    </xf>
    <xf numFmtId="0" fontId="0" fillId="41" borderId="14" xfId="0" applyFill="1" applyBorder="1" applyAlignment="1">
      <alignment horizontal="center" vertical="center"/>
    </xf>
    <xf numFmtId="0" fontId="72" fillId="29" borderId="13" xfId="53" applyFont="1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29" borderId="13" xfId="0" applyFill="1" applyBorder="1" applyAlignment="1">
      <alignment vertical="center"/>
    </xf>
    <xf numFmtId="0" fontId="0" fillId="0" borderId="13" xfId="0" applyBorder="1"/>
    <xf numFmtId="0" fontId="54" fillId="29" borderId="13" xfId="0" applyFont="1" applyFill="1" applyBorder="1" applyAlignment="1">
      <alignment horizontal="center"/>
    </xf>
    <xf numFmtId="0" fontId="0" fillId="29" borderId="13" xfId="0" applyFont="1" applyFill="1" applyBorder="1"/>
    <xf numFmtId="0" fontId="6" fillId="18" borderId="13" xfId="6969" applyNumberFormat="1" applyFont="1" applyFill="1" applyBorder="1" applyAlignment="1">
      <alignment horizontal="left"/>
    </xf>
    <xf numFmtId="0" fontId="71" fillId="18" borderId="13" xfId="1092" applyFont="1" applyFill="1" applyBorder="1" applyAlignment="1">
      <alignment horizontal="center"/>
    </xf>
    <xf numFmtId="0" fontId="0" fillId="18" borderId="13" xfId="6969" applyNumberFormat="1" applyFont="1" applyFill="1" applyBorder="1" applyAlignment="1">
      <alignment horizontal="left"/>
    </xf>
    <xf numFmtId="0" fontId="71" fillId="0" borderId="0" xfId="1092" applyFont="1" applyAlignment="1">
      <alignment vertical="center"/>
    </xf>
    <xf numFmtId="0" fontId="71" fillId="18" borderId="0" xfId="1092" applyFont="1" applyFill="1" applyBorder="1" applyAlignment="1">
      <alignment vertical="center"/>
    </xf>
    <xf numFmtId="0" fontId="54" fillId="31" borderId="15" xfId="54" applyFont="1" applyFill="1" applyBorder="1" applyAlignment="1">
      <alignment vertical="center"/>
    </xf>
    <xf numFmtId="21" fontId="0" fillId="0" borderId="11" xfId="0" quotePrefix="1" applyNumberFormat="1" applyFill="1" applyBorder="1" applyAlignment="1">
      <alignment vertical="center"/>
    </xf>
    <xf numFmtId="20" fontId="0" fillId="0" borderId="11" xfId="0" quotePrefix="1" applyNumberFormat="1" applyFill="1" applyBorder="1" applyAlignment="1">
      <alignment vertical="center"/>
    </xf>
    <xf numFmtId="0" fontId="73" fillId="23" borderId="11" xfId="0" applyFont="1" applyFill="1" applyBorder="1" applyAlignment="1">
      <alignment horizontal="center" vertical="center"/>
    </xf>
    <xf numFmtId="0" fontId="56" fillId="19" borderId="0" xfId="54" applyFont="1" applyFill="1" applyAlignment="1">
      <alignment vertical="center"/>
    </xf>
    <xf numFmtId="0" fontId="52" fillId="19" borderId="13" xfId="0" applyFont="1" applyFill="1" applyBorder="1" applyAlignment="1">
      <alignment vertical="center"/>
    </xf>
    <xf numFmtId="0" fontId="0" fillId="19" borderId="13" xfId="0" applyFill="1" applyBorder="1" applyAlignment="1">
      <alignment vertical="center"/>
    </xf>
    <xf numFmtId="0" fontId="60" fillId="19" borderId="13" xfId="0" applyFont="1" applyFill="1" applyBorder="1" applyAlignment="1">
      <alignment horizontal="right" vertical="center"/>
    </xf>
    <xf numFmtId="0" fontId="52" fillId="19" borderId="15" xfId="0" applyFont="1" applyFill="1" applyBorder="1" applyAlignment="1">
      <alignment vertical="center"/>
    </xf>
    <xf numFmtId="0" fontId="52" fillId="19" borderId="15" xfId="0" applyFont="1" applyFill="1" applyBorder="1" applyAlignment="1">
      <alignment vertical="center" wrapText="1"/>
    </xf>
    <xf numFmtId="0" fontId="54" fillId="19" borderId="15" xfId="54" applyFont="1" applyFill="1" applyBorder="1" applyAlignment="1">
      <alignment vertical="center"/>
    </xf>
    <xf numFmtId="0" fontId="64" fillId="19" borderId="13" xfId="54" applyFont="1" applyFill="1" applyBorder="1" applyAlignment="1">
      <alignment vertical="center"/>
    </xf>
    <xf numFmtId="0" fontId="54" fillId="0" borderId="14" xfId="54" quotePrefix="1" applyFont="1" applyFill="1" applyBorder="1" applyAlignment="1">
      <alignment vertical="center"/>
    </xf>
    <xf numFmtId="0" fontId="60" fillId="0" borderId="13" xfId="0" applyFont="1" applyBorder="1" applyAlignment="1">
      <alignment horizontal="right" vertical="center"/>
    </xf>
    <xf numFmtId="0" fontId="0" fillId="0" borderId="26" xfId="0" applyFill="1" applyBorder="1" applyAlignment="1">
      <alignment vertical="center"/>
    </xf>
    <xf numFmtId="0" fontId="0" fillId="25" borderId="13" xfId="0" applyFill="1" applyBorder="1" applyAlignment="1">
      <alignment vertical="center"/>
    </xf>
    <xf numFmtId="0" fontId="64" fillId="24" borderId="13" xfId="54" applyFont="1" applyFill="1" applyBorder="1" applyAlignment="1">
      <alignment vertical="center"/>
    </xf>
    <xf numFmtId="0" fontId="56" fillId="0" borderId="0" xfId="54" applyFont="1" applyAlignment="1">
      <alignment vertical="center"/>
    </xf>
    <xf numFmtId="0" fontId="56" fillId="27" borderId="13" xfId="54" applyFont="1" applyFill="1" applyBorder="1" applyAlignment="1">
      <alignment vertical="center"/>
    </xf>
    <xf numFmtId="0" fontId="56" fillId="27" borderId="13" xfId="0" applyFont="1" applyFill="1" applyBorder="1" applyAlignment="1">
      <alignment vertical="center"/>
    </xf>
    <xf numFmtId="0" fontId="56" fillId="27" borderId="14" xfId="0" applyFont="1" applyFill="1" applyBorder="1" applyAlignment="1">
      <alignment vertical="center"/>
    </xf>
    <xf numFmtId="0" fontId="0" fillId="0" borderId="13" xfId="0" applyFill="1" applyBorder="1" applyAlignment="1">
      <alignment horizontal="right" vertical="center"/>
    </xf>
    <xf numFmtId="0" fontId="64" fillId="25" borderId="13" xfId="0" applyFont="1" applyFill="1" applyBorder="1" applyAlignment="1">
      <alignment vertical="center"/>
    </xf>
    <xf numFmtId="0" fontId="64" fillId="25" borderId="13" xfId="54" applyFont="1" applyFill="1" applyBorder="1" applyAlignment="1">
      <alignment vertical="center"/>
    </xf>
    <xf numFmtId="0" fontId="54" fillId="24" borderId="15" xfId="54" applyFont="1" applyFill="1" applyBorder="1" applyAlignment="1">
      <alignment vertical="center"/>
    </xf>
    <xf numFmtId="0" fontId="60" fillId="24" borderId="13" xfId="0" applyFont="1" applyFill="1" applyBorder="1" applyAlignment="1">
      <alignment horizontal="right" vertical="center"/>
    </xf>
    <xf numFmtId="49" fontId="0" fillId="24" borderId="13" xfId="0" applyNumberFormat="1" applyFill="1" applyBorder="1" applyAlignment="1">
      <alignment vertical="center"/>
    </xf>
    <xf numFmtId="0" fontId="0" fillId="42" borderId="13" xfId="0" applyFill="1" applyBorder="1" applyAlignment="1">
      <alignment vertical="center"/>
    </xf>
    <xf numFmtId="0" fontId="54" fillId="43" borderId="15" xfId="54" applyFont="1" applyFill="1" applyBorder="1" applyAlignment="1">
      <alignment vertical="center"/>
    </xf>
    <xf numFmtId="0" fontId="0" fillId="44" borderId="13" xfId="0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24" borderId="0" xfId="0" quotePrefix="1" applyFill="1" applyAlignment="1">
      <alignment vertical="center"/>
    </xf>
    <xf numFmtId="0" fontId="52" fillId="25" borderId="18" xfId="0" applyFont="1" applyFill="1" applyBorder="1" applyAlignment="1">
      <alignment vertical="center"/>
    </xf>
    <xf numFmtId="0" fontId="62" fillId="27" borderId="16" xfId="0" applyFont="1" applyFill="1" applyBorder="1" applyAlignment="1">
      <alignment vertical="center"/>
    </xf>
    <xf numFmtId="0" fontId="59" fillId="32" borderId="13" xfId="0" applyFont="1" applyFill="1" applyBorder="1" applyAlignment="1">
      <alignment vertical="center"/>
    </xf>
    <xf numFmtId="0" fontId="59" fillId="32" borderId="19" xfId="0" applyFont="1" applyFill="1" applyBorder="1" applyAlignment="1">
      <alignment vertical="center"/>
    </xf>
    <xf numFmtId="0" fontId="54" fillId="18" borderId="13" xfId="54" applyFont="1" applyFill="1" applyBorder="1" applyAlignment="1">
      <alignment horizontal="center" vertical="center"/>
    </xf>
    <xf numFmtId="0" fontId="5" fillId="0" borderId="13" xfId="6968" applyFont="1" applyBorder="1"/>
    <xf numFmtId="0" fontId="4" fillId="23" borderId="13" xfId="6968" applyFont="1" applyFill="1" applyBorder="1"/>
    <xf numFmtId="0" fontId="4" fillId="0" borderId="13" xfId="6968" applyFont="1" applyBorder="1"/>
    <xf numFmtId="0" fontId="54" fillId="0" borderId="13" xfId="54" quotePrefix="1" applyFont="1" applyBorder="1" applyAlignment="1">
      <alignment vertical="center"/>
    </xf>
    <xf numFmtId="0" fontId="59" fillId="0" borderId="14" xfId="0" applyFont="1" applyBorder="1" applyAlignment="1">
      <alignment vertical="center"/>
    </xf>
    <xf numFmtId="49" fontId="56" fillId="27" borderId="22" xfId="54" applyNumberFormat="1" applyFont="1" applyFill="1" applyBorder="1" applyAlignment="1">
      <alignment vertical="center"/>
    </xf>
    <xf numFmtId="0" fontId="54" fillId="24" borderId="14" xfId="54" quotePrefix="1" applyFont="1" applyFill="1" applyBorder="1" applyAlignment="1">
      <alignment vertical="center"/>
    </xf>
    <xf numFmtId="0" fontId="0" fillId="24" borderId="13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67" fillId="0" borderId="15" xfId="54" applyFont="1" applyFill="1" applyBorder="1" applyAlignment="1">
      <alignment vertical="center"/>
    </xf>
    <xf numFmtId="0" fontId="64" fillId="0" borderId="13" xfId="54" applyFont="1" applyBorder="1" applyAlignment="1">
      <alignment vertical="center"/>
    </xf>
    <xf numFmtId="0" fontId="64" fillId="19" borderId="13" xfId="54" applyFont="1" applyFill="1" applyBorder="1" applyAlignment="1">
      <alignment vertical="center" wrapText="1"/>
    </xf>
    <xf numFmtId="0" fontId="0" fillId="29" borderId="13" xfId="0" applyFont="1" applyFill="1" applyBorder="1" applyAlignment="1">
      <alignment vertical="center"/>
    </xf>
    <xf numFmtId="0" fontId="75" fillId="24" borderId="13" xfId="0" applyFont="1" applyFill="1" applyBorder="1" applyAlignment="1">
      <alignment vertical="center"/>
    </xf>
    <xf numFmtId="0" fontId="54" fillId="19" borderId="14" xfId="54" quotePrefix="1" applyFont="1" applyFill="1" applyBorder="1" applyAlignment="1">
      <alignment vertical="center"/>
    </xf>
    <xf numFmtId="0" fontId="54" fillId="24" borderId="0" xfId="54" applyFont="1" applyFill="1" applyBorder="1" applyAlignment="1">
      <alignment vertical="center"/>
    </xf>
    <xf numFmtId="0" fontId="0" fillId="24" borderId="0" xfId="0" applyFill="1" applyAlignment="1">
      <alignment vertical="center"/>
    </xf>
    <xf numFmtId="0" fontId="54" fillId="24" borderId="13" xfId="54" quotePrefix="1" applyFont="1" applyFill="1" applyBorder="1" applyAlignment="1">
      <alignment vertical="center"/>
    </xf>
    <xf numFmtId="0" fontId="64" fillId="24" borderId="13" xfId="0" applyFont="1" applyFill="1" applyBorder="1" applyAlignment="1">
      <alignment vertical="center"/>
    </xf>
    <xf numFmtId="0" fontId="52" fillId="24" borderId="15" xfId="0" applyFont="1" applyFill="1" applyBorder="1" applyAlignment="1">
      <alignment vertical="center"/>
    </xf>
    <xf numFmtId="0" fontId="54" fillId="31" borderId="14" xfId="54" applyFont="1" applyFill="1" applyBorder="1" applyAlignment="1">
      <alignment vertical="center"/>
    </xf>
    <xf numFmtId="0" fontId="0" fillId="31" borderId="0" xfId="0" applyFill="1" applyAlignment="1">
      <alignment vertical="center"/>
    </xf>
    <xf numFmtId="0" fontId="3" fillId="18" borderId="13" xfId="54" applyFont="1" applyFill="1" applyBorder="1" applyAlignment="1">
      <alignment horizontal="left"/>
    </xf>
    <xf numFmtId="0" fontId="54" fillId="18" borderId="0" xfId="54" applyFont="1" applyFill="1" applyAlignment="1">
      <alignment horizontal="center" vertical="center"/>
    </xf>
    <xf numFmtId="0" fontId="54" fillId="0" borderId="0" xfId="54" applyFont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0" borderId="19" xfId="0" applyFont="1" applyBorder="1" applyAlignment="1">
      <alignment vertical="center"/>
    </xf>
    <xf numFmtId="0" fontId="59" fillId="46" borderId="0" xfId="0" applyFont="1" applyFill="1" applyAlignment="1">
      <alignment vertical="center"/>
    </xf>
    <xf numFmtId="0" fontId="59" fillId="45" borderId="0" xfId="0" applyFont="1" applyFill="1" applyAlignment="1">
      <alignment vertical="center"/>
    </xf>
    <xf numFmtId="0" fontId="59" fillId="0" borderId="0" xfId="0" applyFont="1" applyAlignment="1">
      <alignment vertical="center"/>
    </xf>
    <xf numFmtId="0" fontId="53" fillId="29" borderId="13" xfId="0" applyFont="1" applyFill="1" applyBorder="1" applyAlignment="1">
      <alignment horizontal="right" vertical="center"/>
    </xf>
    <xf numFmtId="0" fontId="52" fillId="0" borderId="13" xfId="0" applyFont="1" applyFill="1" applyBorder="1" applyAlignment="1">
      <alignment horizontal="right" vertical="center"/>
    </xf>
    <xf numFmtId="0" fontId="52" fillId="0" borderId="13" xfId="0" applyNumberFormat="1" applyFont="1" applyBorder="1" applyAlignment="1">
      <alignment vertical="center"/>
    </xf>
    <xf numFmtId="0" fontId="52" fillId="47" borderId="13" xfId="0" applyFont="1" applyFill="1" applyBorder="1" applyAlignment="1">
      <alignment horizontal="right" vertical="center"/>
    </xf>
    <xf numFmtId="0" fontId="52" fillId="19" borderId="26" xfId="0" applyFont="1" applyFill="1" applyBorder="1" applyAlignment="1">
      <alignment vertical="center"/>
    </xf>
    <xf numFmtId="0" fontId="52" fillId="0" borderId="26" xfId="0" applyFont="1" applyFill="1" applyBorder="1" applyAlignment="1">
      <alignment vertical="center"/>
    </xf>
    <xf numFmtId="0" fontId="54" fillId="0" borderId="26" xfId="54" applyFont="1" applyBorder="1" applyAlignment="1">
      <alignment vertical="center"/>
    </xf>
    <xf numFmtId="0" fontId="56" fillId="27" borderId="28" xfId="0" applyFont="1" applyFill="1" applyBorder="1" applyAlignment="1">
      <alignment vertical="center"/>
    </xf>
    <xf numFmtId="0" fontId="56" fillId="27" borderId="28" xfId="54" applyFont="1" applyFill="1" applyBorder="1" applyAlignment="1">
      <alignment vertical="center"/>
    </xf>
    <xf numFmtId="0" fontId="54" fillId="24" borderId="26" xfId="54" applyFont="1" applyFill="1" applyBorder="1" applyAlignment="1">
      <alignment vertical="center"/>
    </xf>
    <xf numFmtId="0" fontId="56" fillId="27" borderId="29" xfId="0" applyFont="1" applyFill="1" applyBorder="1" applyAlignment="1">
      <alignment vertical="center"/>
    </xf>
    <xf numFmtId="0" fontId="56" fillId="27" borderId="29" xfId="54" applyFont="1" applyFill="1" applyBorder="1" applyAlignment="1">
      <alignment vertical="center"/>
    </xf>
    <xf numFmtId="0" fontId="54" fillId="0" borderId="19" xfId="54" applyFont="1" applyBorder="1" applyAlignment="1">
      <alignment vertical="center"/>
    </xf>
    <xf numFmtId="0" fontId="56" fillId="27" borderId="30" xfId="0" applyFont="1" applyFill="1" applyBorder="1" applyAlignment="1">
      <alignment vertical="center"/>
    </xf>
    <xf numFmtId="0" fontId="56" fillId="27" borderId="31" xfId="0" applyFont="1" applyFill="1" applyBorder="1" applyAlignment="1">
      <alignment vertical="center" wrapText="1"/>
    </xf>
    <xf numFmtId="0" fontId="56" fillId="27" borderId="31" xfId="54" applyFont="1" applyFill="1" applyBorder="1" applyAlignment="1">
      <alignment vertical="center"/>
    </xf>
    <xf numFmtId="0" fontId="56" fillId="27" borderId="14" xfId="54" applyFont="1" applyFill="1" applyBorder="1" applyAlignment="1">
      <alignment vertical="center"/>
    </xf>
    <xf numFmtId="0" fontId="56" fillId="38" borderId="32" xfId="54" applyFont="1" applyFill="1" applyBorder="1" applyAlignment="1">
      <alignment vertical="center"/>
    </xf>
    <xf numFmtId="0" fontId="54" fillId="27" borderId="14" xfId="54" applyFont="1" applyFill="1" applyBorder="1" applyAlignment="1">
      <alignment vertical="center"/>
    </xf>
    <xf numFmtId="0" fontId="56" fillId="27" borderId="33" xfId="0" applyFont="1" applyFill="1" applyBorder="1" applyAlignment="1">
      <alignment vertical="center"/>
    </xf>
    <xf numFmtId="0" fontId="56" fillId="27" borderId="33" xfId="0" applyFont="1" applyFill="1" applyBorder="1" applyAlignment="1">
      <alignment vertical="center" wrapText="1"/>
    </xf>
    <xf numFmtId="0" fontId="56" fillId="27" borderId="33" xfId="54" applyFont="1" applyFill="1" applyBorder="1" applyAlignment="1">
      <alignment vertical="center"/>
    </xf>
    <xf numFmtId="0" fontId="67" fillId="0" borderId="13" xfId="54" applyFont="1" applyBorder="1" applyAlignment="1">
      <alignment vertical="center"/>
    </xf>
    <xf numFmtId="0" fontId="67" fillId="0" borderId="13" xfId="0" applyFont="1" applyBorder="1" applyAlignment="1">
      <alignment vertical="center"/>
    </xf>
    <xf numFmtId="0" fontId="2" fillId="0" borderId="13" xfId="6968" applyFont="1" applyBorder="1"/>
    <xf numFmtId="0" fontId="67" fillId="18" borderId="13" xfId="0" applyFont="1" applyFill="1" applyBorder="1"/>
    <xf numFmtId="0" fontId="75" fillId="24" borderId="0" xfId="0" applyFont="1" applyFill="1" applyAlignment="1">
      <alignment vertical="center"/>
    </xf>
    <xf numFmtId="0" fontId="52" fillId="26" borderId="13" xfId="0" applyFont="1" applyFill="1" applyBorder="1" applyAlignment="1">
      <alignment vertical="center"/>
    </xf>
    <xf numFmtId="0" fontId="60" fillId="26" borderId="13" xfId="0" applyFont="1" applyFill="1" applyBorder="1" applyAlignment="1">
      <alignment horizontal="right" vertical="center"/>
    </xf>
    <xf numFmtId="0" fontId="67" fillId="26" borderId="13" xfId="0" applyFont="1" applyFill="1" applyBorder="1" applyAlignment="1">
      <alignment vertical="center"/>
    </xf>
    <xf numFmtId="0" fontId="75" fillId="48" borderId="13" xfId="0" applyFont="1" applyFill="1" applyBorder="1" applyAlignment="1">
      <alignment vertical="center"/>
    </xf>
    <xf numFmtId="0" fontId="67" fillId="27" borderId="13" xfId="0" applyFont="1" applyFill="1" applyBorder="1" applyAlignment="1">
      <alignment vertical="center"/>
    </xf>
    <xf numFmtId="0" fontId="54" fillId="49" borderId="13" xfId="54" applyFont="1" applyFill="1" applyBorder="1" applyAlignment="1">
      <alignment vertical="center"/>
    </xf>
    <xf numFmtId="0" fontId="0" fillId="18" borderId="13" xfId="0" applyFill="1" applyBorder="1" applyAlignment="1">
      <alignment vertical="center"/>
    </xf>
    <xf numFmtId="0" fontId="75" fillId="27" borderId="13" xfId="0" applyFont="1" applyFill="1" applyBorder="1" applyAlignment="1">
      <alignment horizontal="right" vertical="center"/>
    </xf>
    <xf numFmtId="0" fontId="54" fillId="23" borderId="24" xfId="54" applyFont="1" applyFill="1" applyBorder="1" applyAlignment="1">
      <alignment horizontal="center" vertical="center"/>
    </xf>
    <xf numFmtId="0" fontId="54" fillId="23" borderId="27" xfId="54" applyFont="1" applyFill="1" applyBorder="1" applyAlignment="1">
      <alignment horizontal="center" vertical="center"/>
    </xf>
  </cellXfs>
  <cellStyles count="8688">
    <cellStyle name="20% - ANZg1" xfId="12"/>
    <cellStyle name="20% - ANZg2" xfId="13"/>
    <cellStyle name="20% - ANZg3" xfId="14"/>
    <cellStyle name="20% - ANZg4" xfId="15"/>
    <cellStyle name="20% - ANZg5" xfId="16"/>
    <cellStyle name="20% - ANZg6" xfId="17"/>
    <cellStyle name="40% - ANZg1" xfId="18"/>
    <cellStyle name="40% - ANZg2" xfId="19"/>
    <cellStyle name="40% - ANZg3" xfId="20"/>
    <cellStyle name="40% - ANZg4" xfId="21"/>
    <cellStyle name="40% - ANZg5" xfId="22"/>
    <cellStyle name="40% - ANZg6" xfId="23"/>
    <cellStyle name="60% - ANZg1" xfId="24"/>
    <cellStyle name="60% - ANZg2" xfId="25"/>
    <cellStyle name="60% - ANZg3" xfId="26"/>
    <cellStyle name="60% - ANZg4" xfId="27"/>
    <cellStyle name="60% - ANZg5" xfId="28"/>
    <cellStyle name="60% - ANZg6" xfId="29"/>
    <cellStyle name="Excel Built-in Normal" xfId="6971"/>
    <cellStyle name="^Cg" xfId="7"/>
    <cellStyle name="`FbN Z" xfId="6"/>
    <cellStyle name="ANZg 1" xfId="31"/>
    <cellStyle name="ANZg 2" xfId="32"/>
    <cellStyle name="ANZg 3" xfId="33"/>
    <cellStyle name="ANZg 4" xfId="34"/>
    <cellStyle name="ANZg 5" xfId="35"/>
    <cellStyle name="ANZg 6" xfId="36"/>
    <cellStyle name="" xfId="1"/>
    <cellStyle name="N Z" xfId="40"/>
    <cellStyle name="_" xfId="2"/>
    <cellStyle name="«¢" xfId="5"/>
    <cellStyle name="vZ" xfId="45"/>
    <cellStyle name="x÷" xfId="47"/>
    <cellStyle name="x¶" xfId="46"/>
    <cellStyle name="ýo_ 1" xfId="48"/>
    <cellStyle name="©oµ 1" xfId="8"/>
    <cellStyle name="©oµ 2" xfId="9"/>
    <cellStyle name="©oµ 3" xfId="10"/>
    <cellStyle name="©oµ 4" xfId="11"/>
    <cellStyle name="v" xfId="44"/>
    <cellStyle name="o_" xfId="41"/>
    <cellStyle name="oÍ" xfId="42"/>
    <cellStyle name="__÷" xfId="4"/>
    <cellStyle name="à¾¶" xfId="30"/>
    <cellStyle name="__" xfId="3"/>
    <cellStyle name="üÍ" xfId="43"/>
    <cellStyle name="Ê" xfId="38"/>
    <cellStyle name="Ç¢" xfId="37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39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78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6" builtinId="8" hidden="1"/>
    <cellStyle name="ハイパーリンク" xfId="3038" builtinId="8" hidden="1"/>
    <cellStyle name="ハイパーリンク" xfId="3040" builtinId="8" hidden="1"/>
    <cellStyle name="ハイパーリンク" xfId="3042" builtinId="8" hidden="1"/>
    <cellStyle name="ハイパーリンク" xfId="3044" builtinId="8" hidden="1"/>
    <cellStyle name="ハイパーリンク" xfId="3046" builtinId="8" hidden="1"/>
    <cellStyle name="ハイパーリンク" xfId="3048" builtinId="8" hidden="1"/>
    <cellStyle name="ハイパーリンク" xfId="3050" builtinId="8" hidden="1"/>
    <cellStyle name="ハイパーリンク" xfId="3052" builtinId="8" hidden="1"/>
    <cellStyle name="ハイパーリンク" xfId="3054" builtinId="8" hidden="1"/>
    <cellStyle name="ハイパーリンク" xfId="3056" builtinId="8" hidden="1"/>
    <cellStyle name="ハイパーリンク" xfId="3058" builtinId="8" hidden="1"/>
    <cellStyle name="ハイパーリンク" xfId="3060" builtinId="8" hidden="1"/>
    <cellStyle name="ハイパーリンク" xfId="3062" builtinId="8" hidden="1"/>
    <cellStyle name="ハイパーリンク" xfId="3064" builtinId="8" hidden="1"/>
    <cellStyle name="ハイパーリンク" xfId="3066" builtinId="8" hidden="1"/>
    <cellStyle name="ハイパーリンク" xfId="3068" builtinId="8" hidden="1"/>
    <cellStyle name="ハイパーリンク" xfId="3070" builtinId="8" hidden="1"/>
    <cellStyle name="ハイパーリンク" xfId="3072" builtinId="8" hidden="1"/>
    <cellStyle name="ハイパーリンク" xfId="3074" builtinId="8" hidden="1"/>
    <cellStyle name="ハイパーリンク" xfId="3076" builtinId="8" hidden="1"/>
    <cellStyle name="ハイパーリンク" xfId="3078" builtinId="8" hidden="1"/>
    <cellStyle name="ハイパーリンク" xfId="3080" builtinId="8" hidden="1"/>
    <cellStyle name="ハイパーリンク" xfId="3082" builtinId="8" hidden="1"/>
    <cellStyle name="ハイパーリンク" xfId="3084" builtinId="8" hidden="1"/>
    <cellStyle name="ハイパーリンク" xfId="3086" builtinId="8" hidden="1"/>
    <cellStyle name="ハイパーリンク" xfId="3088" builtinId="8" hidden="1"/>
    <cellStyle name="ハイパーリンク" xfId="3090" builtinId="8" hidden="1"/>
    <cellStyle name="ハイパーリンク" xfId="3092" builtinId="8" hidden="1"/>
    <cellStyle name="ハイパーリンク" xfId="3094" builtinId="8" hidden="1"/>
    <cellStyle name="ハイパーリンク" xfId="3096" builtinId="8" hidden="1"/>
    <cellStyle name="ハイパーリンク" xfId="3098" builtinId="8" hidden="1"/>
    <cellStyle name="ハイパーリンク" xfId="3100" builtinId="8" hidden="1"/>
    <cellStyle name="ハイパーリンク" xfId="3102" builtinId="8" hidden="1"/>
    <cellStyle name="ハイパーリンク" xfId="3104" builtinId="8" hidden="1"/>
    <cellStyle name="ハイパーリンク" xfId="3106" builtinId="8" hidden="1"/>
    <cellStyle name="ハイパーリンク" xfId="3108" builtinId="8" hidden="1"/>
    <cellStyle name="ハイパーリンク" xfId="3110" builtinId="8" hidden="1"/>
    <cellStyle name="ハイパーリンク" xfId="3112" builtinId="8" hidden="1"/>
    <cellStyle name="ハイパーリンク" xfId="3114" builtinId="8" hidden="1"/>
    <cellStyle name="ハイパーリンク" xfId="3116" builtinId="8" hidden="1"/>
    <cellStyle name="ハイパーリンク" xfId="3118" builtinId="8" hidden="1"/>
    <cellStyle name="ハイパーリンク" xfId="3120" builtinId="8" hidden="1"/>
    <cellStyle name="ハイパーリンク" xfId="3122" builtinId="8" hidden="1"/>
    <cellStyle name="ハイパーリンク" xfId="3124" builtinId="8" hidden="1"/>
    <cellStyle name="ハイパーリンク" xfId="3126" builtinId="8" hidden="1"/>
    <cellStyle name="ハイパーリンク" xfId="3128" builtinId="8" hidden="1"/>
    <cellStyle name="ハイパーリンク" xfId="3130" builtinId="8" hidden="1"/>
    <cellStyle name="ハイパーリンク" xfId="3132" builtinId="8" hidden="1"/>
    <cellStyle name="ハイパーリンク" xfId="3134" builtinId="8" hidden="1"/>
    <cellStyle name="ハイパーリンク" xfId="3136" builtinId="8" hidden="1"/>
    <cellStyle name="ハイパーリンク" xfId="3138" builtinId="8" hidden="1"/>
    <cellStyle name="ハイパーリンク" xfId="3140" builtinId="8" hidden="1"/>
    <cellStyle name="ハイパーリンク" xfId="3142" builtinId="8" hidden="1"/>
    <cellStyle name="ハイパーリンク" xfId="3144" builtinId="8" hidden="1"/>
    <cellStyle name="ハイパーリンク" xfId="3146" builtinId="8" hidden="1"/>
    <cellStyle name="ハイパーリンク" xfId="3148" builtinId="8" hidden="1"/>
    <cellStyle name="ハイパーリンク" xfId="3150" builtinId="8" hidden="1"/>
    <cellStyle name="ハイパーリンク" xfId="3152" builtinId="8" hidden="1"/>
    <cellStyle name="ハイパーリンク" xfId="3154" builtinId="8" hidden="1"/>
    <cellStyle name="ハイパーリンク" xfId="3156" builtinId="8" hidden="1"/>
    <cellStyle name="ハイパーリンク" xfId="3158" builtinId="8" hidden="1"/>
    <cellStyle name="ハイパーリンク" xfId="3160" builtinId="8" hidden="1"/>
    <cellStyle name="ハイパーリンク" xfId="3162" builtinId="8" hidden="1"/>
    <cellStyle name="ハイパーリンク" xfId="3164" builtinId="8" hidden="1"/>
    <cellStyle name="ハイパーリンク" xfId="3166" builtinId="8" hidden="1"/>
    <cellStyle name="ハイパーリンク" xfId="3168" builtinId="8" hidden="1"/>
    <cellStyle name="ハイパーリンク" xfId="3170" builtinId="8" hidden="1"/>
    <cellStyle name="ハイパーリンク" xfId="3172" builtinId="8" hidden="1"/>
    <cellStyle name="ハイパーリンク" xfId="3174" builtinId="8" hidden="1"/>
    <cellStyle name="ハイパーリンク" xfId="3176" builtinId="8" hidden="1"/>
    <cellStyle name="ハイパーリンク" xfId="3178" builtinId="8" hidden="1"/>
    <cellStyle name="ハイパーリンク" xfId="3180" builtinId="8" hidden="1"/>
    <cellStyle name="ハイパーリンク" xfId="3182" builtinId="8" hidden="1"/>
    <cellStyle name="ハイパーリンク" xfId="3184" builtinId="8" hidden="1"/>
    <cellStyle name="ハイパーリンク" xfId="3186" builtinId="8" hidden="1"/>
    <cellStyle name="ハイパーリンク" xfId="3188" builtinId="8" hidden="1"/>
    <cellStyle name="ハイパーリンク" xfId="3190" builtinId="8" hidden="1"/>
    <cellStyle name="ハイパーリンク" xfId="3192" builtinId="8" hidden="1"/>
    <cellStyle name="ハイパーリンク" xfId="3194" builtinId="8" hidden="1"/>
    <cellStyle name="ハイパーリンク" xfId="3196" builtinId="8" hidden="1"/>
    <cellStyle name="ハイパーリンク" xfId="3198" builtinId="8" hidden="1"/>
    <cellStyle name="ハイパーリンク" xfId="3200" builtinId="8" hidden="1"/>
    <cellStyle name="ハイパーリンク" xfId="3202" builtinId="8" hidden="1"/>
    <cellStyle name="ハイパーリンク" xfId="3204" builtinId="8" hidden="1"/>
    <cellStyle name="ハイパーリンク" xfId="3206" builtinId="8" hidden="1"/>
    <cellStyle name="ハイパーリンク" xfId="3208" builtinId="8" hidden="1"/>
    <cellStyle name="ハイパーリンク" xfId="3210" builtinId="8" hidden="1"/>
    <cellStyle name="ハイパーリンク" xfId="3212" builtinId="8" hidden="1"/>
    <cellStyle name="ハイパーリンク" xfId="3214" builtinId="8" hidden="1"/>
    <cellStyle name="ハイパーリンク" xfId="3216" builtinId="8" hidden="1"/>
    <cellStyle name="ハイパーリンク" xfId="3218" builtinId="8" hidden="1"/>
    <cellStyle name="ハイパーリンク" xfId="3220" builtinId="8" hidden="1"/>
    <cellStyle name="ハイパーリンク" xfId="3222" builtinId="8" hidden="1"/>
    <cellStyle name="ハイパーリンク" xfId="3224" builtinId="8" hidden="1"/>
    <cellStyle name="ハイパーリンク" xfId="3226" builtinId="8" hidden="1"/>
    <cellStyle name="ハイパーリンク" xfId="3228" builtinId="8" hidden="1"/>
    <cellStyle name="ハイパーリンク" xfId="3230" builtinId="8" hidden="1"/>
    <cellStyle name="ハイパーリンク" xfId="3232" builtinId="8" hidden="1"/>
    <cellStyle name="ハイパーリンク" xfId="3234" builtinId="8" hidden="1"/>
    <cellStyle name="ハイパーリンク" xfId="3236" builtinId="8" hidden="1"/>
    <cellStyle name="ハイパーリンク" xfId="3238" builtinId="8" hidden="1"/>
    <cellStyle name="ハイパーリンク" xfId="3240" builtinId="8" hidden="1"/>
    <cellStyle name="ハイパーリンク" xfId="3242" builtinId="8" hidden="1"/>
    <cellStyle name="ハイパーリンク" xfId="3244" builtinId="8" hidden="1"/>
    <cellStyle name="ハイパーリンク" xfId="3246" builtinId="8" hidden="1"/>
    <cellStyle name="ハイパーリンク" xfId="3248" builtinId="8" hidden="1"/>
    <cellStyle name="ハイパーリンク" xfId="3250" builtinId="8" hidden="1"/>
    <cellStyle name="ハイパーリンク" xfId="3252" builtinId="8" hidden="1"/>
    <cellStyle name="ハイパーリンク" xfId="3254" builtinId="8" hidden="1"/>
    <cellStyle name="ハイパーリンク" xfId="3256" builtinId="8" hidden="1"/>
    <cellStyle name="ハイパーリンク" xfId="3258" builtinId="8" hidden="1"/>
    <cellStyle name="ハイパーリンク" xfId="3260" builtinId="8" hidden="1"/>
    <cellStyle name="ハイパーリンク" xfId="3262" builtinId="8" hidden="1"/>
    <cellStyle name="ハイパーリンク" xfId="3264" builtinId="8" hidden="1"/>
    <cellStyle name="ハイパーリンク" xfId="3266" builtinId="8" hidden="1"/>
    <cellStyle name="ハイパーリンク" xfId="3268" builtinId="8" hidden="1"/>
    <cellStyle name="ハイパーリンク" xfId="3270" builtinId="8" hidden="1"/>
    <cellStyle name="ハイパーリンク" xfId="3272" builtinId="8" hidden="1"/>
    <cellStyle name="ハイパーリンク" xfId="3274" builtinId="8" hidden="1"/>
    <cellStyle name="ハイパーリンク" xfId="3276" builtinId="8" hidden="1"/>
    <cellStyle name="ハイパーリンク" xfId="3278" builtinId="8" hidden="1"/>
    <cellStyle name="ハイパーリンク" xfId="3280" builtinId="8" hidden="1"/>
    <cellStyle name="ハイパーリンク" xfId="3282" builtinId="8" hidden="1"/>
    <cellStyle name="ハイパーリンク" xfId="3284" builtinId="8" hidden="1"/>
    <cellStyle name="ハイパーリンク" xfId="3286" builtinId="8" hidden="1"/>
    <cellStyle name="ハイパーリンク" xfId="3288" builtinId="8" hidden="1"/>
    <cellStyle name="ハイパーリンク" xfId="3290" builtinId="8" hidden="1"/>
    <cellStyle name="ハイパーリンク" xfId="3292" builtinId="8" hidden="1"/>
    <cellStyle name="ハイパーリンク" xfId="3294" builtinId="8" hidden="1"/>
    <cellStyle name="ハイパーリンク" xfId="3296" builtinId="8" hidden="1"/>
    <cellStyle name="ハイパーリンク" xfId="3298" builtinId="8" hidden="1"/>
    <cellStyle name="ハイパーリンク" xfId="3300" builtinId="8" hidden="1"/>
    <cellStyle name="ハイパーリンク" xfId="3302" builtinId="8" hidden="1"/>
    <cellStyle name="ハイパーリンク" xfId="3304" builtinId="8" hidden="1"/>
    <cellStyle name="ハイパーリンク" xfId="3306" builtinId="8" hidden="1"/>
    <cellStyle name="ハイパーリンク" xfId="3308" builtinId="8" hidden="1"/>
    <cellStyle name="ハイパーリンク" xfId="3310" builtinId="8" hidden="1"/>
    <cellStyle name="ハイパーリンク" xfId="3312" builtinId="8" hidden="1"/>
    <cellStyle name="ハイパーリンク" xfId="3314" builtinId="8" hidden="1"/>
    <cellStyle name="ハイパーリンク" xfId="3316" builtinId="8" hidden="1"/>
    <cellStyle name="ハイパーリンク" xfId="3318" builtinId="8" hidden="1"/>
    <cellStyle name="ハイパーリンク" xfId="3320" builtinId="8" hidden="1"/>
    <cellStyle name="ハイパーリンク" xfId="3322" builtinId="8" hidden="1"/>
    <cellStyle name="ハイパーリンク" xfId="3324" builtinId="8" hidden="1"/>
    <cellStyle name="ハイパーリンク" xfId="3326" builtinId="8" hidden="1"/>
    <cellStyle name="ハイパーリンク" xfId="3328" builtinId="8" hidden="1"/>
    <cellStyle name="ハイパーリンク" xfId="3330" builtinId="8" hidden="1"/>
    <cellStyle name="ハイパーリンク" xfId="3332" builtinId="8" hidden="1"/>
    <cellStyle name="ハイパーリンク" xfId="3334" builtinId="8" hidden="1"/>
    <cellStyle name="ハイパーリンク" xfId="3336" builtinId="8" hidden="1"/>
    <cellStyle name="ハイパーリンク" xfId="3338" builtinId="8" hidden="1"/>
    <cellStyle name="ハイパーリンク" xfId="3340" builtinId="8" hidden="1"/>
    <cellStyle name="ハイパーリンク" xfId="3342" builtinId="8" hidden="1"/>
    <cellStyle name="ハイパーリンク" xfId="3344" builtinId="8" hidden="1"/>
    <cellStyle name="ハイパーリンク" xfId="3346" builtinId="8" hidden="1"/>
    <cellStyle name="ハイパーリンク" xfId="3348" builtinId="8" hidden="1"/>
    <cellStyle name="ハイパーリンク" xfId="3350" builtinId="8" hidden="1"/>
    <cellStyle name="ハイパーリンク" xfId="3352" builtinId="8" hidden="1"/>
    <cellStyle name="ハイパーリンク" xfId="3354" builtinId="8" hidden="1"/>
    <cellStyle name="ハイパーリンク" xfId="3356" builtinId="8" hidden="1"/>
    <cellStyle name="ハイパーリンク" xfId="3358" builtinId="8" hidden="1"/>
    <cellStyle name="ハイパーリンク" xfId="3360" builtinId="8" hidden="1"/>
    <cellStyle name="ハイパーリンク" xfId="3362" builtinId="8" hidden="1"/>
    <cellStyle name="ハイパーリンク" xfId="3364" builtinId="8" hidden="1"/>
    <cellStyle name="ハイパーリンク" xfId="3366" builtinId="8" hidden="1"/>
    <cellStyle name="ハイパーリンク" xfId="3368" builtinId="8" hidden="1"/>
    <cellStyle name="ハイパーリンク" xfId="3370" builtinId="8" hidden="1"/>
    <cellStyle name="ハイパーリンク" xfId="3372" builtinId="8" hidden="1"/>
    <cellStyle name="ハイパーリンク" xfId="3374" builtinId="8" hidden="1"/>
    <cellStyle name="ハイパーリンク" xfId="3376" builtinId="8" hidden="1"/>
    <cellStyle name="ハイパーリンク" xfId="3378" builtinId="8" hidden="1"/>
    <cellStyle name="ハイパーリンク" xfId="3380" builtinId="8" hidden="1"/>
    <cellStyle name="ハイパーリンク" xfId="3382" builtinId="8" hidden="1"/>
    <cellStyle name="ハイパーリンク" xfId="3384" builtinId="8" hidden="1"/>
    <cellStyle name="ハイパーリンク" xfId="3386" builtinId="8" hidden="1"/>
    <cellStyle name="ハイパーリンク" xfId="3388" builtinId="8" hidden="1"/>
    <cellStyle name="ハイパーリンク" xfId="3390" builtinId="8" hidden="1"/>
    <cellStyle name="ハイパーリンク" xfId="3392" builtinId="8" hidden="1"/>
    <cellStyle name="ハイパーリンク" xfId="3394" builtinId="8" hidden="1"/>
    <cellStyle name="ハイパーリンク" xfId="3396" builtinId="8" hidden="1"/>
    <cellStyle name="ハイパーリンク" xfId="3398" builtinId="8" hidden="1"/>
    <cellStyle name="ハイパーリンク" xfId="3400" builtinId="8" hidden="1"/>
    <cellStyle name="ハイパーリンク" xfId="3402" builtinId="8" hidden="1"/>
    <cellStyle name="ハイパーリンク" xfId="3404" builtinId="8" hidden="1"/>
    <cellStyle name="ハイパーリンク" xfId="3406" builtinId="8" hidden="1"/>
    <cellStyle name="ハイパーリンク" xfId="3408" builtinId="8" hidden="1"/>
    <cellStyle name="ハイパーリンク" xfId="3410" builtinId="8" hidden="1"/>
    <cellStyle name="ハイパーリンク" xfId="3412" builtinId="8" hidden="1"/>
    <cellStyle name="ハイパーリンク" xfId="3414" builtinId="8" hidden="1"/>
    <cellStyle name="ハイパーリンク" xfId="3416" builtinId="8" hidden="1"/>
    <cellStyle name="ハイパーリンク" xfId="3418" builtinId="8" hidden="1"/>
    <cellStyle name="ハイパーリンク" xfId="3420" builtinId="8" hidden="1"/>
    <cellStyle name="ハイパーリンク" xfId="3422" builtinId="8" hidden="1"/>
    <cellStyle name="ハイパーリンク" xfId="3424" builtinId="8" hidden="1"/>
    <cellStyle name="ハイパーリンク" xfId="3426" builtinId="8" hidden="1"/>
    <cellStyle name="ハイパーリンク" xfId="3428" builtinId="8" hidden="1"/>
    <cellStyle name="ハイパーリンク" xfId="3430" builtinId="8" hidden="1"/>
    <cellStyle name="ハイパーリンク" xfId="3432" builtinId="8" hidden="1"/>
    <cellStyle name="ハイパーリンク" xfId="3434" builtinId="8" hidden="1"/>
    <cellStyle name="ハイパーリンク" xfId="3436" builtinId="8" hidden="1"/>
    <cellStyle name="ハイパーリンク" xfId="3438" builtinId="8" hidden="1"/>
    <cellStyle name="ハイパーリンク" xfId="3440" builtinId="8" hidden="1"/>
    <cellStyle name="ハイパーリンク" xfId="3442" builtinId="8" hidden="1"/>
    <cellStyle name="ハイパーリンク" xfId="3444" builtinId="8" hidden="1"/>
    <cellStyle name="ハイパーリンク" xfId="3446" builtinId="8" hidden="1"/>
    <cellStyle name="ハイパーリンク" xfId="3448" builtinId="8" hidden="1"/>
    <cellStyle name="ハイパーリンク" xfId="3450" builtinId="8" hidden="1"/>
    <cellStyle name="ハイパーリンク" xfId="3452" builtinId="8" hidden="1"/>
    <cellStyle name="ハイパーリンク" xfId="3454" builtinId="8" hidden="1"/>
    <cellStyle name="ハイパーリンク" xfId="3456" builtinId="8" hidden="1"/>
    <cellStyle name="ハイパーリンク" xfId="3458" builtinId="8" hidden="1"/>
    <cellStyle name="ハイパーリンク" xfId="3460" builtinId="8" hidden="1"/>
    <cellStyle name="ハイパーリンク" xfId="3462" builtinId="8" hidden="1"/>
    <cellStyle name="ハイパーリンク" xfId="3464" builtinId="8" hidden="1"/>
    <cellStyle name="ハイパーリンク" xfId="3466" builtinId="8" hidden="1"/>
    <cellStyle name="ハイパーリンク" xfId="3468" builtinId="8" hidden="1"/>
    <cellStyle name="ハイパーリンク" xfId="3470" builtinId="8" hidden="1"/>
    <cellStyle name="ハイパーリンク" xfId="3472" builtinId="8" hidden="1"/>
    <cellStyle name="ハイパーリンク" xfId="3474" builtinId="8" hidden="1"/>
    <cellStyle name="ハイパーリンク" xfId="3476" builtinId="8" hidden="1"/>
    <cellStyle name="ハイパーリンク" xfId="3478" builtinId="8" hidden="1"/>
    <cellStyle name="ハイパーリンク" xfId="3480" builtinId="8" hidden="1"/>
    <cellStyle name="ハイパーリンク" xfId="3482" builtinId="8" hidden="1"/>
    <cellStyle name="ハイパーリンク" xfId="3484" builtinId="8" hidden="1"/>
    <cellStyle name="ハイパーリンク" xfId="3486" builtinId="8" hidden="1"/>
    <cellStyle name="ハイパーリンク" xfId="3488" builtinId="8" hidden="1"/>
    <cellStyle name="ハイパーリンク" xfId="3490" builtinId="8" hidden="1"/>
    <cellStyle name="ハイパーリンク" xfId="3492" builtinId="8" hidden="1"/>
    <cellStyle name="ハイパーリンク" xfId="3494" builtinId="8" hidden="1"/>
    <cellStyle name="ハイパーリンク" xfId="3496" builtinId="8" hidden="1"/>
    <cellStyle name="ハイパーリンク" xfId="3498" builtinId="8" hidden="1"/>
    <cellStyle name="ハイパーリンク" xfId="3500" builtinId="8" hidden="1"/>
    <cellStyle name="ハイパーリンク" xfId="3502" builtinId="8" hidden="1"/>
    <cellStyle name="ハイパーリンク" xfId="3504" builtinId="8" hidden="1"/>
    <cellStyle name="ハイパーリンク" xfId="3506" builtinId="8" hidden="1"/>
    <cellStyle name="ハイパーリンク" xfId="3508" builtinId="8" hidden="1"/>
    <cellStyle name="ハイパーリンク" xfId="3510" builtinId="8" hidden="1"/>
    <cellStyle name="ハイパーリンク" xfId="3512" builtinId="8" hidden="1"/>
    <cellStyle name="ハイパーリンク" xfId="3514" builtinId="8" hidden="1"/>
    <cellStyle name="ハイパーリンク" xfId="3516" builtinId="8" hidden="1"/>
    <cellStyle name="ハイパーリンク" xfId="3518" builtinId="8" hidden="1"/>
    <cellStyle name="ハイパーリンク" xfId="3520" builtinId="8" hidden="1"/>
    <cellStyle name="ハイパーリンク" xfId="3522" builtinId="8" hidden="1"/>
    <cellStyle name="ハイパーリンク" xfId="3524" builtinId="8" hidden="1"/>
    <cellStyle name="ハイパーリンク" xfId="3526" builtinId="8" hidden="1"/>
    <cellStyle name="ハイパーリンク" xfId="3528" builtinId="8" hidden="1"/>
    <cellStyle name="ハイパーリンク" xfId="3530" builtinId="8" hidden="1"/>
    <cellStyle name="ハイパーリンク" xfId="3532" builtinId="8" hidden="1"/>
    <cellStyle name="ハイパーリンク" xfId="3534" builtinId="8" hidden="1"/>
    <cellStyle name="ハイパーリンク" xfId="3536" builtinId="8" hidden="1"/>
    <cellStyle name="ハイパーリンク" xfId="3538" builtinId="8" hidden="1"/>
    <cellStyle name="ハイパーリンク" xfId="3540" builtinId="8" hidden="1"/>
    <cellStyle name="ハイパーリンク" xfId="3542" builtinId="8" hidden="1"/>
    <cellStyle name="ハイパーリンク" xfId="3544" builtinId="8" hidden="1"/>
    <cellStyle name="ハイパーリンク" xfId="3546" builtinId="8" hidden="1"/>
    <cellStyle name="ハイパーリンク" xfId="3548" builtinId="8" hidden="1"/>
    <cellStyle name="ハイパーリンク" xfId="3550" builtinId="8" hidden="1"/>
    <cellStyle name="ハイパーリンク" xfId="3552" builtinId="8" hidden="1"/>
    <cellStyle name="ハイパーリンク" xfId="3554" builtinId="8" hidden="1"/>
    <cellStyle name="ハイパーリンク" xfId="3556" builtinId="8" hidden="1"/>
    <cellStyle name="ハイパーリンク" xfId="3558" builtinId="8" hidden="1"/>
    <cellStyle name="ハイパーリンク" xfId="3560" builtinId="8" hidden="1"/>
    <cellStyle name="ハイパーリンク" xfId="3562" builtinId="8" hidden="1"/>
    <cellStyle name="ハイパーリンク" xfId="3564" builtinId="8" hidden="1"/>
    <cellStyle name="ハイパーリンク" xfId="3566" builtinId="8" hidden="1"/>
    <cellStyle name="ハイパーリンク" xfId="3568" builtinId="8" hidden="1"/>
    <cellStyle name="ハイパーリンク" xfId="3570" builtinId="8" hidden="1"/>
    <cellStyle name="ハイパーリンク" xfId="3572" builtinId="8" hidden="1"/>
    <cellStyle name="ハイパーリンク" xfId="3574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2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ハイパーリンク" xfId="3672" builtinId="8" hidden="1"/>
    <cellStyle name="ハイパーリンク" xfId="3674" builtinId="8" hidden="1"/>
    <cellStyle name="ハイパーリンク" xfId="3676" builtinId="8" hidden="1"/>
    <cellStyle name="ハイパーリンク" xfId="3678" builtinId="8" hidden="1"/>
    <cellStyle name="ハイパーリンク" xfId="3680" builtinId="8" hidden="1"/>
    <cellStyle name="ハイパーリンク" xfId="3682" builtinId="8" hidden="1"/>
    <cellStyle name="ハイパーリンク" xfId="3684" builtinId="8" hidden="1"/>
    <cellStyle name="ハイパーリンク" xfId="3686" builtinId="8" hidden="1"/>
    <cellStyle name="ハイパーリンク" xfId="3688" builtinId="8" hidden="1"/>
    <cellStyle name="ハイパーリンク" xfId="3690" builtinId="8" hidden="1"/>
    <cellStyle name="ハイパーリンク" xfId="3692" builtinId="8" hidden="1"/>
    <cellStyle name="ハイパーリンク" xfId="3694" builtinId="8" hidden="1"/>
    <cellStyle name="ハイパーリンク" xfId="3696" builtinId="8" hidden="1"/>
    <cellStyle name="ハイパーリンク" xfId="3698" builtinId="8" hidden="1"/>
    <cellStyle name="ハイパーリンク" xfId="3700" builtinId="8" hidden="1"/>
    <cellStyle name="ハイパーリンク" xfId="3702" builtinId="8" hidden="1"/>
    <cellStyle name="ハイパーリンク" xfId="3704" builtinId="8" hidden="1"/>
    <cellStyle name="ハイパーリンク" xfId="3706" builtinId="8" hidden="1"/>
    <cellStyle name="ハイパーリンク" xfId="3708" builtinId="8" hidden="1"/>
    <cellStyle name="ハイパーリンク" xfId="3710" builtinId="8" hidden="1"/>
    <cellStyle name="ハイパーリンク" xfId="3712" builtinId="8" hidden="1"/>
    <cellStyle name="ハイパーリンク" xfId="3714" builtinId="8" hidden="1"/>
    <cellStyle name="ハイパーリンク" xfId="3716" builtinId="8" hidden="1"/>
    <cellStyle name="ハイパーリンク" xfId="3718" builtinId="8" hidden="1"/>
    <cellStyle name="ハイパーリンク" xfId="3720" builtinId="8" hidden="1"/>
    <cellStyle name="ハイパーリンク" xfId="3722" builtinId="8" hidden="1"/>
    <cellStyle name="ハイパーリンク" xfId="3724" builtinId="8" hidden="1"/>
    <cellStyle name="ハイパーリンク" xfId="3726" builtinId="8" hidden="1"/>
    <cellStyle name="ハイパーリンク" xfId="3728" builtinId="8" hidden="1"/>
    <cellStyle name="ハイパーリンク" xfId="3730" builtinId="8" hidden="1"/>
    <cellStyle name="ハイパーリンク" xfId="3732" builtinId="8" hidden="1"/>
    <cellStyle name="ハイパーリンク" xfId="3734" builtinId="8" hidden="1"/>
    <cellStyle name="ハイパーリンク" xfId="3736" builtinId="8" hidden="1"/>
    <cellStyle name="ハイパーリンク" xfId="3738" builtinId="8" hidden="1"/>
    <cellStyle name="ハイパーリンク" xfId="3740" builtinId="8" hidden="1"/>
    <cellStyle name="ハイパーリンク" xfId="3742" builtinId="8" hidden="1"/>
    <cellStyle name="ハイパーリンク" xfId="3744" builtinId="8" hidden="1"/>
    <cellStyle name="ハイパーリンク" xfId="3746" builtinId="8" hidden="1"/>
    <cellStyle name="ハイパーリンク" xfId="3748" builtinId="8" hidden="1"/>
    <cellStyle name="ハイパーリンク" xfId="3750" builtinId="8" hidden="1"/>
    <cellStyle name="ハイパーリンク" xfId="3752" builtinId="8" hidden="1"/>
    <cellStyle name="ハイパーリンク" xfId="3754" builtinId="8" hidden="1"/>
    <cellStyle name="ハイパーリンク" xfId="3756" builtinId="8" hidden="1"/>
    <cellStyle name="ハイパーリンク" xfId="3758" builtinId="8" hidden="1"/>
    <cellStyle name="ハイパーリンク" xfId="3760" builtinId="8" hidden="1"/>
    <cellStyle name="ハイパーリンク" xfId="3762" builtinId="8" hidden="1"/>
    <cellStyle name="ハイパーリンク" xfId="3764" builtinId="8" hidden="1"/>
    <cellStyle name="ハイパーリンク" xfId="3766" builtinId="8" hidden="1"/>
    <cellStyle name="ハイパーリンク" xfId="3768" builtinId="8" hidden="1"/>
    <cellStyle name="ハイパーリンク" xfId="3770" builtinId="8" hidden="1"/>
    <cellStyle name="ハイパーリンク" xfId="3772" builtinId="8" hidden="1"/>
    <cellStyle name="ハイパーリンク" xfId="3774" builtinId="8" hidden="1"/>
    <cellStyle name="ハイパーリンク" xfId="3776" builtinId="8" hidden="1"/>
    <cellStyle name="ハイパーリンク" xfId="3778" builtinId="8" hidden="1"/>
    <cellStyle name="ハイパーリンク" xfId="3780" builtinId="8" hidden="1"/>
    <cellStyle name="ハイパーリンク" xfId="3782" builtinId="8" hidden="1"/>
    <cellStyle name="ハイパーリンク" xfId="3784" builtinId="8" hidden="1"/>
    <cellStyle name="ハイパーリンク" xfId="3786" builtinId="8" hidden="1"/>
    <cellStyle name="ハイパーリンク" xfId="3788" builtinId="8" hidden="1"/>
    <cellStyle name="ハイパーリンク" xfId="3790" builtinId="8" hidden="1"/>
    <cellStyle name="ハイパーリンク" xfId="3792" builtinId="8" hidden="1"/>
    <cellStyle name="ハイパーリンク" xfId="3794" builtinId="8" hidden="1"/>
    <cellStyle name="ハイパーリンク" xfId="3796" builtinId="8" hidden="1"/>
    <cellStyle name="ハイパーリンク" xfId="3798" builtinId="8" hidden="1"/>
    <cellStyle name="ハイパーリンク" xfId="3800" builtinId="8" hidden="1"/>
    <cellStyle name="ハイパーリンク" xfId="3802" builtinId="8" hidden="1"/>
    <cellStyle name="ハイパーリンク" xfId="3804" builtinId="8" hidden="1"/>
    <cellStyle name="ハイパーリンク" xfId="3806" builtinId="8" hidden="1"/>
    <cellStyle name="ハイパーリンク" xfId="3808" builtinId="8" hidden="1"/>
    <cellStyle name="ハイパーリンク" xfId="3810" builtinId="8" hidden="1"/>
    <cellStyle name="ハイパーリンク" xfId="3812" builtinId="8" hidden="1"/>
    <cellStyle name="ハイパーリンク" xfId="3814" builtinId="8" hidden="1"/>
    <cellStyle name="ハイパーリンク" xfId="3816" builtinId="8" hidden="1"/>
    <cellStyle name="ハイパーリンク" xfId="3818" builtinId="8" hidden="1"/>
    <cellStyle name="ハイパーリンク" xfId="3820" builtinId="8" hidden="1"/>
    <cellStyle name="ハイパーリンク" xfId="3822" builtinId="8" hidden="1"/>
    <cellStyle name="ハイパーリンク" xfId="3824" builtinId="8" hidden="1"/>
    <cellStyle name="ハイパーリンク" xfId="3826" builtinId="8" hidden="1"/>
    <cellStyle name="ハイパーリンク" xfId="3828" builtinId="8" hidden="1"/>
    <cellStyle name="ハイパーリンク" xfId="3830" builtinId="8" hidden="1"/>
    <cellStyle name="ハイパーリンク" xfId="3832" builtinId="8" hidden="1"/>
    <cellStyle name="ハイパーリンク" xfId="3834" builtinId="8" hidden="1"/>
    <cellStyle name="ハイパーリンク" xfId="3836" builtinId="8" hidden="1"/>
    <cellStyle name="ハイパーリンク" xfId="3838" builtinId="8" hidden="1"/>
    <cellStyle name="ハイパーリンク" xfId="3840" builtinId="8" hidden="1"/>
    <cellStyle name="ハイパーリンク" xfId="3842" builtinId="8" hidden="1"/>
    <cellStyle name="ハイパーリンク" xfId="3844" builtinId="8" hidden="1"/>
    <cellStyle name="ハイパーリンク" xfId="3846" builtinId="8" hidden="1"/>
    <cellStyle name="ハイパーリンク" xfId="3848" builtinId="8" hidden="1"/>
    <cellStyle name="ハイパーリンク" xfId="3850" builtinId="8" hidden="1"/>
    <cellStyle name="ハイパーリンク" xfId="3852" builtinId="8" hidden="1"/>
    <cellStyle name="ハイパーリンク" xfId="3854" builtinId="8" hidden="1"/>
    <cellStyle name="ハイパーリンク" xfId="3856" builtinId="8" hidden="1"/>
    <cellStyle name="ハイパーリンク" xfId="3858" builtinId="8" hidden="1"/>
    <cellStyle name="ハイパーリンク" xfId="3860" builtinId="8" hidden="1"/>
    <cellStyle name="ハイパーリンク" xfId="3862" builtinId="8" hidden="1"/>
    <cellStyle name="ハイパーリンク" xfId="3864" builtinId="8" hidden="1"/>
    <cellStyle name="ハイパーリンク" xfId="3866" builtinId="8" hidden="1"/>
    <cellStyle name="ハイパーリンク" xfId="3868" builtinId="8" hidden="1"/>
    <cellStyle name="ハイパーリンク" xfId="3870" builtinId="8" hidden="1"/>
    <cellStyle name="ハイパーリンク" xfId="3872" builtinId="8" hidden="1"/>
    <cellStyle name="ハイパーリンク" xfId="3874" builtinId="8" hidden="1"/>
    <cellStyle name="ハイパーリンク" xfId="3876" builtinId="8" hidden="1"/>
    <cellStyle name="ハイパーリンク" xfId="3878" builtinId="8" hidden="1"/>
    <cellStyle name="ハイパーリンク" xfId="3880" builtinId="8" hidden="1"/>
    <cellStyle name="ハイパーリンク" xfId="3882" builtinId="8" hidden="1"/>
    <cellStyle name="ハイパーリンク" xfId="3884" builtinId="8" hidden="1"/>
    <cellStyle name="ハイパーリンク" xfId="3886" builtinId="8" hidden="1"/>
    <cellStyle name="ハイパーリンク" xfId="3888" builtinId="8" hidden="1"/>
    <cellStyle name="ハイパーリンク" xfId="3890" builtinId="8" hidden="1"/>
    <cellStyle name="ハイパーリンク" xfId="3892" builtinId="8" hidden="1"/>
    <cellStyle name="ハイパーリンク" xfId="3894" builtinId="8" hidden="1"/>
    <cellStyle name="ハイパーリンク" xfId="3896" builtinId="8" hidden="1"/>
    <cellStyle name="ハイパーリンク" xfId="3898" builtinId="8" hidden="1"/>
    <cellStyle name="ハイパーリンク" xfId="3900" builtinId="8" hidden="1"/>
    <cellStyle name="ハイパーリンク" xfId="3902" builtinId="8" hidden="1"/>
    <cellStyle name="ハイパーリンク" xfId="3904" builtinId="8" hidden="1"/>
    <cellStyle name="ハイパーリンク" xfId="3906" builtinId="8" hidden="1"/>
    <cellStyle name="ハイパーリンク" xfId="3908" builtinId="8" hidden="1"/>
    <cellStyle name="ハイパーリンク" xfId="3910" builtinId="8" hidden="1"/>
    <cellStyle name="ハイパーリンク" xfId="3912" builtinId="8" hidden="1"/>
    <cellStyle name="ハイパーリンク" xfId="3914" builtinId="8" hidden="1"/>
    <cellStyle name="ハイパーリンク" xfId="3916" builtinId="8" hidden="1"/>
    <cellStyle name="ハイパーリンク" xfId="3918" builtinId="8" hidden="1"/>
    <cellStyle name="ハイパーリンク" xfId="3920" builtinId="8" hidden="1"/>
    <cellStyle name="ハイパーリンク" xfId="3922" builtinId="8" hidden="1"/>
    <cellStyle name="ハイパーリンク" xfId="3924" builtinId="8" hidden="1"/>
    <cellStyle name="ハイパーリンク" xfId="3926" builtinId="8" hidden="1"/>
    <cellStyle name="ハイパーリンク" xfId="3928" builtinId="8" hidden="1"/>
    <cellStyle name="ハイパーリンク" xfId="3930" builtinId="8" hidden="1"/>
    <cellStyle name="ハイパーリンク" xfId="3932" builtinId="8" hidden="1"/>
    <cellStyle name="ハイパーリンク" xfId="3934" builtinId="8" hidden="1"/>
    <cellStyle name="ハイパーリンク" xfId="3936" builtinId="8" hidden="1"/>
    <cellStyle name="ハイパーリンク" xfId="3938" builtinId="8" hidden="1"/>
    <cellStyle name="ハイパーリンク" xfId="3940" builtinId="8" hidden="1"/>
    <cellStyle name="ハイパーリンク" xfId="3942" builtinId="8" hidden="1"/>
    <cellStyle name="ハイパーリンク" xfId="3944" builtinId="8" hidden="1"/>
    <cellStyle name="ハイパーリンク" xfId="3946" builtinId="8" hidden="1"/>
    <cellStyle name="ハイパーリンク" xfId="3948" builtinId="8" hidden="1"/>
    <cellStyle name="ハイパーリンク" xfId="3950" builtinId="8" hidden="1"/>
    <cellStyle name="ハイパーリンク" xfId="3952" builtinId="8" hidden="1"/>
    <cellStyle name="ハイパーリンク" xfId="3954" builtinId="8" hidden="1"/>
    <cellStyle name="ハイパーリンク" xfId="3956" builtinId="8" hidden="1"/>
    <cellStyle name="ハイパーリンク" xfId="3958" builtinId="8" hidden="1"/>
    <cellStyle name="ハイパーリンク" xfId="3960" builtinId="8" hidden="1"/>
    <cellStyle name="ハイパーリンク" xfId="3962" builtinId="8" hidden="1"/>
    <cellStyle name="ハイパーリンク" xfId="3964" builtinId="8" hidden="1"/>
    <cellStyle name="ハイパーリンク" xfId="3966" builtinId="8" hidden="1"/>
    <cellStyle name="ハイパーリンク" xfId="3968" builtinId="8" hidden="1"/>
    <cellStyle name="ハイパーリンク" xfId="3970" builtinId="8" hidden="1"/>
    <cellStyle name="ハイパーリンク" xfId="3972" builtinId="8" hidden="1"/>
    <cellStyle name="ハイパーリンク" xfId="3974" builtinId="8" hidden="1"/>
    <cellStyle name="ハイパーリンク" xfId="3976" builtinId="8" hidden="1"/>
    <cellStyle name="ハイパーリンク" xfId="3978" builtinId="8" hidden="1"/>
    <cellStyle name="ハイパーリンク" xfId="3980" builtinId="8" hidden="1"/>
    <cellStyle name="ハイパーリンク" xfId="3982" builtinId="8" hidden="1"/>
    <cellStyle name="ハイパーリンク" xfId="3984" builtinId="8" hidden="1"/>
    <cellStyle name="ハイパーリンク" xfId="3986" builtinId="8" hidden="1"/>
    <cellStyle name="ハイパーリンク" xfId="3988" builtinId="8" hidden="1"/>
    <cellStyle name="ハイパーリンク" xfId="3990" builtinId="8" hidden="1"/>
    <cellStyle name="ハイパーリンク" xfId="3992" builtinId="8" hidden="1"/>
    <cellStyle name="ハイパーリンク" xfId="3994" builtinId="8" hidden="1"/>
    <cellStyle name="ハイパーリンク" xfId="3996" builtinId="8" hidden="1"/>
    <cellStyle name="ハイパーリンク" xfId="3998" builtinId="8" hidden="1"/>
    <cellStyle name="ハイパーリンク" xfId="4000" builtinId="8" hidden="1"/>
    <cellStyle name="ハイパーリンク" xfId="4002" builtinId="8" hidden="1"/>
    <cellStyle name="ハイパーリンク" xfId="4004" builtinId="8" hidden="1"/>
    <cellStyle name="ハイパーリンク" xfId="4006" builtinId="8" hidden="1"/>
    <cellStyle name="ハイパーリンク" xfId="4008" builtinId="8" hidden="1"/>
    <cellStyle name="ハイパーリンク" xfId="4010" builtinId="8" hidden="1"/>
    <cellStyle name="ハイパーリンク" xfId="4012" builtinId="8" hidden="1"/>
    <cellStyle name="ハイパーリンク" xfId="4014" builtinId="8" hidden="1"/>
    <cellStyle name="ハイパーリンク" xfId="4016" builtinId="8" hidden="1"/>
    <cellStyle name="ハイパーリンク" xfId="4018" builtinId="8" hidden="1"/>
    <cellStyle name="ハイパーリンク" xfId="4020" builtinId="8" hidden="1"/>
    <cellStyle name="ハイパーリンク" xfId="4022" builtinId="8" hidden="1"/>
    <cellStyle name="ハイパーリンク" xfId="4024" builtinId="8" hidden="1"/>
    <cellStyle name="ハイパーリンク" xfId="4026" builtinId="8" hidden="1"/>
    <cellStyle name="ハイパーリンク" xfId="4028" builtinId="8" hidden="1"/>
    <cellStyle name="ハイパーリンク" xfId="4030" builtinId="8" hidden="1"/>
    <cellStyle name="ハイパーリンク" xfId="4032" builtinId="8" hidden="1"/>
    <cellStyle name="ハイパーリンク" xfId="4034" builtinId="8" hidden="1"/>
    <cellStyle name="ハイパーリンク" xfId="4036" builtinId="8" hidden="1"/>
    <cellStyle name="ハイパーリンク" xfId="4038" builtinId="8" hidden="1"/>
    <cellStyle name="ハイパーリンク" xfId="4040" builtinId="8" hidden="1"/>
    <cellStyle name="ハイパーリンク" xfId="4042" builtinId="8" hidden="1"/>
    <cellStyle name="ハイパーリンク" xfId="4044" builtinId="8" hidden="1"/>
    <cellStyle name="ハイパーリンク" xfId="4046" builtinId="8" hidden="1"/>
    <cellStyle name="ハイパーリンク" xfId="4048" builtinId="8" hidden="1"/>
    <cellStyle name="ハイパーリンク" xfId="4050" builtinId="8" hidden="1"/>
    <cellStyle name="ハイパーリンク" xfId="4052" builtinId="8" hidden="1"/>
    <cellStyle name="ハイパーリンク" xfId="4054" builtinId="8" hidden="1"/>
    <cellStyle name="ハイパーリンク" xfId="4056" builtinId="8" hidden="1"/>
    <cellStyle name="ハイパーリンク" xfId="4058" builtinId="8" hidden="1"/>
    <cellStyle name="ハイパーリンク" xfId="4060" builtinId="8" hidden="1"/>
    <cellStyle name="ハイパーリンク" xfId="4062" builtinId="8" hidden="1"/>
    <cellStyle name="ハイパーリンク" xfId="4064" builtinId="8" hidden="1"/>
    <cellStyle name="ハイパーリンク" xfId="4066" builtinId="8" hidden="1"/>
    <cellStyle name="ハイパーリンク" xfId="4068" builtinId="8" hidden="1"/>
    <cellStyle name="ハイパーリンク" xfId="4070" builtinId="8" hidden="1"/>
    <cellStyle name="ハイパーリンク" xfId="4072" builtinId="8" hidden="1"/>
    <cellStyle name="ハイパーリンク" xfId="4074" builtinId="8" hidden="1"/>
    <cellStyle name="ハイパーリンク" xfId="4076" builtinId="8" hidden="1"/>
    <cellStyle name="ハイパーリンク" xfId="4078" builtinId="8" hidden="1"/>
    <cellStyle name="ハイパーリンク" xfId="4080" builtinId="8" hidden="1"/>
    <cellStyle name="ハイパーリンク" xfId="4082" builtinId="8" hidden="1"/>
    <cellStyle name="ハイパーリンク" xfId="4084" builtinId="8" hidden="1"/>
    <cellStyle name="ハイパーリンク" xfId="4086" builtinId="8" hidden="1"/>
    <cellStyle name="ハイパーリンク" xfId="4088" builtinId="8" hidden="1"/>
    <cellStyle name="ハイパーリンク" xfId="4090" builtinId="8" hidden="1"/>
    <cellStyle name="ハイパーリンク" xfId="4092" builtinId="8" hidden="1"/>
    <cellStyle name="ハイパーリンク" xfId="4094" builtinId="8" hidden="1"/>
    <cellStyle name="ハイパーリンク" xfId="4096" builtinId="8" hidden="1"/>
    <cellStyle name="ハイパーリンク" xfId="4098" builtinId="8" hidden="1"/>
    <cellStyle name="ハイパーリンク" xfId="4100" builtinId="8" hidden="1"/>
    <cellStyle name="ハイパーリンク" xfId="4102" builtinId="8" hidden="1"/>
    <cellStyle name="ハイパーリンク" xfId="4104" builtinId="8" hidden="1"/>
    <cellStyle name="ハイパーリンク" xfId="4106" builtinId="8" hidden="1"/>
    <cellStyle name="ハイパーリンク" xfId="4108" builtinId="8" hidden="1"/>
    <cellStyle name="ハイパーリンク" xfId="4110" builtinId="8" hidden="1"/>
    <cellStyle name="ハイパーリンク" xfId="4112" builtinId="8" hidden="1"/>
    <cellStyle name="ハイパーリンク" xfId="4114" builtinId="8" hidden="1"/>
    <cellStyle name="ハイパーリンク" xfId="4116" builtinId="8" hidden="1"/>
    <cellStyle name="ハイパーリンク" xfId="4118" builtinId="8" hidden="1"/>
    <cellStyle name="ハイパーリンク" xfId="4120" builtinId="8" hidden="1"/>
    <cellStyle name="ハイパーリンク" xfId="4122" builtinId="8" hidden="1"/>
    <cellStyle name="ハイパーリンク" xfId="4124" builtinId="8" hidden="1"/>
    <cellStyle name="ハイパーリンク" xfId="4126" builtinId="8" hidden="1"/>
    <cellStyle name="ハイパーリンク" xfId="4128" builtinId="8" hidden="1"/>
    <cellStyle name="ハイパーリンク" xfId="4130" builtinId="8" hidden="1"/>
    <cellStyle name="ハイパーリンク" xfId="4132" builtinId="8" hidden="1"/>
    <cellStyle name="ハイパーリンク" xfId="4134" builtinId="8" hidden="1"/>
    <cellStyle name="ハイパーリンク" xfId="4136" builtinId="8" hidden="1"/>
    <cellStyle name="ハイパーリンク" xfId="4138" builtinId="8" hidden="1"/>
    <cellStyle name="ハイパーリンク" xfId="4140" builtinId="8" hidden="1"/>
    <cellStyle name="ハイパーリンク" xfId="4142" builtinId="8" hidden="1"/>
    <cellStyle name="ハイパーリンク" xfId="4144" builtinId="8" hidden="1"/>
    <cellStyle name="ハイパーリンク" xfId="4146" builtinId="8" hidden="1"/>
    <cellStyle name="ハイパーリンク" xfId="4148" builtinId="8" hidden="1"/>
    <cellStyle name="ハイパーリンク" xfId="4150" builtinId="8" hidden="1"/>
    <cellStyle name="ハイパーリンク" xfId="4152" builtinId="8" hidden="1"/>
    <cellStyle name="ハイパーリンク" xfId="4154" builtinId="8" hidden="1"/>
    <cellStyle name="ハイパーリンク" xfId="4156" builtinId="8" hidden="1"/>
    <cellStyle name="ハイパーリンク" xfId="4158" builtinId="8" hidden="1"/>
    <cellStyle name="ハイパーリンク" xfId="4160" builtinId="8" hidden="1"/>
    <cellStyle name="ハイパーリンク" xfId="4162" builtinId="8" hidden="1"/>
    <cellStyle name="ハイパーリンク" xfId="4164" builtinId="8" hidden="1"/>
    <cellStyle name="ハイパーリンク" xfId="4166" builtinId="8" hidden="1"/>
    <cellStyle name="ハイパーリンク" xfId="4168" builtinId="8" hidden="1"/>
    <cellStyle name="ハイパーリンク" xfId="4170" builtinId="8" hidden="1"/>
    <cellStyle name="ハイパーリンク" xfId="4172" builtinId="8" hidden="1"/>
    <cellStyle name="ハイパーリンク" xfId="4174" builtinId="8" hidden="1"/>
    <cellStyle name="ハイパーリンク" xfId="4176" builtinId="8" hidden="1"/>
    <cellStyle name="ハイパーリンク" xfId="4178" builtinId="8" hidden="1"/>
    <cellStyle name="ハイパーリンク" xfId="4180" builtinId="8" hidden="1"/>
    <cellStyle name="ハイパーリンク" xfId="4182" builtinId="8" hidden="1"/>
    <cellStyle name="ハイパーリンク" xfId="4184" builtinId="8" hidden="1"/>
    <cellStyle name="ハイパーリンク" xfId="4186" builtinId="8" hidden="1"/>
    <cellStyle name="ハイパーリンク" xfId="4188" builtinId="8" hidden="1"/>
    <cellStyle name="ハイパーリンク" xfId="4190" builtinId="8" hidden="1"/>
    <cellStyle name="ハイパーリンク" xfId="4192" builtinId="8" hidden="1"/>
    <cellStyle name="ハイパーリンク" xfId="4194" builtinId="8" hidden="1"/>
    <cellStyle name="ハイパーリンク" xfId="4196" builtinId="8" hidden="1"/>
    <cellStyle name="ハイパーリンク" xfId="4198" builtinId="8" hidden="1"/>
    <cellStyle name="ハイパーリンク" xfId="4200" builtinId="8" hidden="1"/>
    <cellStyle name="ハイパーリンク" xfId="4202" builtinId="8" hidden="1"/>
    <cellStyle name="ハイパーリンク" xfId="4204" builtinId="8" hidden="1"/>
    <cellStyle name="ハイパーリンク" xfId="4206" builtinId="8" hidden="1"/>
    <cellStyle name="ハイパーリンク" xfId="4208" builtinId="8" hidden="1"/>
    <cellStyle name="ハイパーリンク" xfId="4210" builtinId="8" hidden="1"/>
    <cellStyle name="ハイパーリンク" xfId="4212" builtinId="8" hidden="1"/>
    <cellStyle name="ハイパーリンク" xfId="4214" builtinId="8" hidden="1"/>
    <cellStyle name="ハイパーリンク" xfId="4216" builtinId="8" hidden="1"/>
    <cellStyle name="ハイパーリンク" xfId="4218" builtinId="8" hidden="1"/>
    <cellStyle name="ハイパーリンク" xfId="4220" builtinId="8" hidden="1"/>
    <cellStyle name="ハイパーリンク" xfId="4222" builtinId="8" hidden="1"/>
    <cellStyle name="ハイパーリンク" xfId="4224" builtinId="8" hidden="1"/>
    <cellStyle name="ハイパーリンク" xfId="4226" builtinId="8" hidden="1"/>
    <cellStyle name="ハイパーリンク" xfId="4228" builtinId="8" hidden="1"/>
    <cellStyle name="ハイパーリンク" xfId="4230" builtinId="8" hidden="1"/>
    <cellStyle name="ハイパーリンク" xfId="4232" builtinId="8" hidden="1"/>
    <cellStyle name="ハイパーリンク" xfId="4234" builtinId="8" hidden="1"/>
    <cellStyle name="ハイパーリンク" xfId="4236" builtinId="8" hidden="1"/>
    <cellStyle name="ハイパーリンク" xfId="4238" builtinId="8" hidden="1"/>
    <cellStyle name="ハイパーリンク" xfId="4240" builtinId="8" hidden="1"/>
    <cellStyle name="ハイパーリンク" xfId="4242" builtinId="8" hidden="1"/>
    <cellStyle name="ハイパーリンク" xfId="4244" builtinId="8" hidden="1"/>
    <cellStyle name="ハイパーリンク" xfId="4246" builtinId="8" hidden="1"/>
    <cellStyle name="ハイパーリンク" xfId="4248" builtinId="8" hidden="1"/>
    <cellStyle name="ハイパーリンク" xfId="4250" builtinId="8" hidden="1"/>
    <cellStyle name="ハイパーリンク" xfId="4252" builtinId="8" hidden="1"/>
    <cellStyle name="ハイパーリンク" xfId="4254" builtinId="8" hidden="1"/>
    <cellStyle name="ハイパーリンク" xfId="4256" builtinId="8" hidden="1"/>
    <cellStyle name="ハイパーリンク" xfId="4258" builtinId="8" hidden="1"/>
    <cellStyle name="ハイパーリンク" xfId="4260" builtinId="8" hidden="1"/>
    <cellStyle name="ハイパーリンク" xfId="4262" builtinId="8" hidden="1"/>
    <cellStyle name="ハイパーリンク" xfId="4264" builtinId="8" hidden="1"/>
    <cellStyle name="ハイパーリンク" xfId="4266" builtinId="8" hidden="1"/>
    <cellStyle name="ハイパーリンク" xfId="4268" builtinId="8" hidden="1"/>
    <cellStyle name="ハイパーリンク" xfId="4270" builtinId="8" hidden="1"/>
    <cellStyle name="ハイパーリンク" xfId="4272" builtinId="8" hidden="1"/>
    <cellStyle name="ハイパーリンク" xfId="4274" builtinId="8" hidden="1"/>
    <cellStyle name="ハイパーリンク" xfId="4276" builtinId="8" hidden="1"/>
    <cellStyle name="ハイパーリンク" xfId="4278" builtinId="8" hidden="1"/>
    <cellStyle name="ハイパーリンク" xfId="4280" builtinId="8" hidden="1"/>
    <cellStyle name="ハイパーリンク" xfId="4282" builtinId="8" hidden="1"/>
    <cellStyle name="ハイパーリンク" xfId="4284" builtinId="8" hidden="1"/>
    <cellStyle name="ハイパーリンク" xfId="4286" builtinId="8" hidden="1"/>
    <cellStyle name="ハイパーリンク" xfId="4288" builtinId="8" hidden="1"/>
    <cellStyle name="ハイパーリンク" xfId="4290" builtinId="8" hidden="1"/>
    <cellStyle name="ハイパーリンク" xfId="4292" builtinId="8" hidden="1"/>
    <cellStyle name="ハイパーリンク" xfId="4294" builtinId="8" hidden="1"/>
    <cellStyle name="ハイパーリンク" xfId="4296" builtinId="8" hidden="1"/>
    <cellStyle name="ハイパーリンク" xfId="4298" builtinId="8" hidden="1"/>
    <cellStyle name="ハイパーリンク" xfId="4300" builtinId="8" hidden="1"/>
    <cellStyle name="ハイパーリンク" xfId="4302" builtinId="8" hidden="1"/>
    <cellStyle name="ハイパーリンク" xfId="4304" builtinId="8" hidden="1"/>
    <cellStyle name="ハイパーリンク" xfId="4306" builtinId="8" hidden="1"/>
    <cellStyle name="ハイパーリンク" xfId="4308" builtinId="8" hidden="1"/>
    <cellStyle name="ハイパーリンク" xfId="4310" builtinId="8" hidden="1"/>
    <cellStyle name="ハイパーリンク" xfId="4312" builtinId="8" hidden="1"/>
    <cellStyle name="ハイパーリンク" xfId="4314" builtinId="8" hidden="1"/>
    <cellStyle name="ハイパーリンク" xfId="4316" builtinId="8" hidden="1"/>
    <cellStyle name="ハイパーリンク" xfId="4318" builtinId="8" hidden="1"/>
    <cellStyle name="ハイパーリンク" xfId="4320" builtinId="8" hidden="1"/>
    <cellStyle name="ハイパーリンク" xfId="4322" builtinId="8" hidden="1"/>
    <cellStyle name="ハイパーリンク" xfId="4324" builtinId="8" hidden="1"/>
    <cellStyle name="ハイパーリンク" xfId="4326" builtinId="8" hidden="1"/>
    <cellStyle name="ハイパーリンク" xfId="4328" builtinId="8" hidden="1"/>
    <cellStyle name="ハイパーリンク" xfId="4330" builtinId="8" hidden="1"/>
    <cellStyle name="ハイパーリンク" xfId="4332" builtinId="8" hidden="1"/>
    <cellStyle name="ハイパーリンク" xfId="4334" builtinId="8" hidden="1"/>
    <cellStyle name="ハイパーリンク" xfId="4336" builtinId="8" hidden="1"/>
    <cellStyle name="ハイパーリンク" xfId="4338" builtinId="8" hidden="1"/>
    <cellStyle name="ハイパーリンク" xfId="4340" builtinId="8" hidden="1"/>
    <cellStyle name="ハイパーリンク" xfId="4342" builtinId="8" hidden="1"/>
    <cellStyle name="ハイパーリンク" xfId="4344" builtinId="8" hidden="1"/>
    <cellStyle name="ハイパーリンク" xfId="4346" builtinId="8" hidden="1"/>
    <cellStyle name="ハイパーリンク" xfId="4348" builtinId="8" hidden="1"/>
    <cellStyle name="ハイパーリンク" xfId="4350" builtinId="8" hidden="1"/>
    <cellStyle name="ハイパーリンク" xfId="4352" builtinId="8" hidden="1"/>
    <cellStyle name="ハイパーリンク" xfId="4354" builtinId="8" hidden="1"/>
    <cellStyle name="ハイパーリンク" xfId="4356" builtinId="8" hidden="1"/>
    <cellStyle name="ハイパーリンク" xfId="4358" builtinId="8" hidden="1"/>
    <cellStyle name="ハイパーリンク" xfId="4360" builtinId="8" hidden="1"/>
    <cellStyle name="ハイパーリンク" xfId="4362" builtinId="8" hidden="1"/>
    <cellStyle name="ハイパーリンク" xfId="4364" builtinId="8" hidden="1"/>
    <cellStyle name="ハイパーリンク" xfId="4366" builtinId="8" hidden="1"/>
    <cellStyle name="ハイパーリンク" xfId="4368" builtinId="8" hidden="1"/>
    <cellStyle name="ハイパーリンク" xfId="4370" builtinId="8" hidden="1"/>
    <cellStyle name="ハイパーリンク" xfId="4372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ハイパーリンク" xfId="4824" builtinId="8" hidden="1"/>
    <cellStyle name="ハイパーリンク" xfId="4826" builtinId="8" hidden="1"/>
    <cellStyle name="ハイパーリンク" xfId="4828" builtinId="8" hidden="1"/>
    <cellStyle name="ハイパーリンク" xfId="4830" builtinId="8" hidden="1"/>
    <cellStyle name="ハイパーリンク" xfId="4832" builtinId="8" hidden="1"/>
    <cellStyle name="ハイパーリンク" xfId="4834" builtinId="8" hidden="1"/>
    <cellStyle name="ハイパーリンク" xfId="4836" builtinId="8" hidden="1"/>
    <cellStyle name="ハイパーリンク" xfId="4838" builtinId="8" hidden="1"/>
    <cellStyle name="ハイパーリンク" xfId="4840" builtinId="8" hidden="1"/>
    <cellStyle name="ハイパーリンク" xfId="4842" builtinId="8" hidden="1"/>
    <cellStyle name="ハイパーリンク" xfId="4844" builtinId="8" hidden="1"/>
    <cellStyle name="ハイパーリンク" xfId="4846" builtinId="8" hidden="1"/>
    <cellStyle name="ハイパーリンク" xfId="4848" builtinId="8" hidden="1"/>
    <cellStyle name="ハイパーリンク" xfId="4850" builtinId="8" hidden="1"/>
    <cellStyle name="ハイパーリンク" xfId="4852" builtinId="8" hidden="1"/>
    <cellStyle name="ハイパーリンク" xfId="4854" builtinId="8" hidden="1"/>
    <cellStyle name="ハイパーリンク" xfId="4856" builtinId="8" hidden="1"/>
    <cellStyle name="ハイパーリンク" xfId="4858" builtinId="8" hidden="1"/>
    <cellStyle name="ハイパーリンク" xfId="4860" builtinId="8" hidden="1"/>
    <cellStyle name="ハイパーリンク" xfId="4862" builtinId="8" hidden="1"/>
    <cellStyle name="ハイパーリンク" xfId="4864" builtinId="8" hidden="1"/>
    <cellStyle name="ハイパーリンク" xfId="4866" builtinId="8" hidden="1"/>
    <cellStyle name="ハイパーリンク" xfId="4868" builtinId="8" hidden="1"/>
    <cellStyle name="ハイパーリンク" xfId="4870" builtinId="8" hidden="1"/>
    <cellStyle name="ハイパーリンク" xfId="4872" builtinId="8" hidden="1"/>
    <cellStyle name="ハイパーリンク" xfId="4874" builtinId="8" hidden="1"/>
    <cellStyle name="ハイパーリンク" xfId="4876" builtinId="8" hidden="1"/>
    <cellStyle name="ハイパーリンク" xfId="4878" builtinId="8" hidden="1"/>
    <cellStyle name="ハイパーリンク" xfId="4880" builtinId="8" hidden="1"/>
    <cellStyle name="ハイパーリンク" xfId="4882" builtinId="8" hidden="1"/>
    <cellStyle name="ハイパーリンク" xfId="4884" builtinId="8" hidden="1"/>
    <cellStyle name="ハイパーリンク" xfId="4886" builtinId="8" hidden="1"/>
    <cellStyle name="ハイパーリンク" xfId="4888" builtinId="8" hidden="1"/>
    <cellStyle name="ハイパーリンク" xfId="4890" builtinId="8" hidden="1"/>
    <cellStyle name="ハイパーリンク" xfId="4892" builtinId="8" hidden="1"/>
    <cellStyle name="ハイパーリンク" xfId="4894" builtinId="8" hidden="1"/>
    <cellStyle name="ハイパーリンク" xfId="4896" builtinId="8" hidden="1"/>
    <cellStyle name="ハイパーリンク" xfId="4898" builtinId="8" hidden="1"/>
    <cellStyle name="ハイパーリンク" xfId="4900" builtinId="8" hidden="1"/>
    <cellStyle name="ハイパーリンク" xfId="4902" builtinId="8" hidden="1"/>
    <cellStyle name="ハイパーリンク" xfId="4904" builtinId="8" hidden="1"/>
    <cellStyle name="ハイパーリンク" xfId="4906" builtinId="8" hidden="1"/>
    <cellStyle name="ハイパーリンク" xfId="4908" builtinId="8" hidden="1"/>
    <cellStyle name="ハイパーリンク" xfId="4910" builtinId="8" hidden="1"/>
    <cellStyle name="ハイパーリンク" xfId="4912" builtinId="8" hidden="1"/>
    <cellStyle name="ハイパーリンク" xfId="4914" builtinId="8" hidden="1"/>
    <cellStyle name="ハイパーリンク" xfId="4916" builtinId="8" hidden="1"/>
    <cellStyle name="ハイパーリンク" xfId="4918" builtinId="8" hidden="1"/>
    <cellStyle name="ハイパーリンク" xfId="4920" builtinId="8" hidden="1"/>
    <cellStyle name="ハイパーリンク" xfId="4922" builtinId="8" hidden="1"/>
    <cellStyle name="ハイパーリンク" xfId="4924" builtinId="8" hidden="1"/>
    <cellStyle name="ハイパーリンク" xfId="4926" builtinId="8" hidden="1"/>
    <cellStyle name="ハイパーリンク" xfId="4928" builtinId="8" hidden="1"/>
    <cellStyle name="ハイパーリンク" xfId="4930" builtinId="8" hidden="1"/>
    <cellStyle name="ハイパーリンク" xfId="4932" builtinId="8" hidden="1"/>
    <cellStyle name="ハイパーリンク" xfId="4934" builtinId="8" hidden="1"/>
    <cellStyle name="ハイパーリンク" xfId="4936" builtinId="8" hidden="1"/>
    <cellStyle name="ハイパーリンク" xfId="4938" builtinId="8" hidden="1"/>
    <cellStyle name="ハイパーリンク" xfId="4940" builtinId="8" hidden="1"/>
    <cellStyle name="ハイパーリンク" xfId="4942" builtinId="8" hidden="1"/>
    <cellStyle name="ハイパーリンク" xfId="4944" builtinId="8" hidden="1"/>
    <cellStyle name="ハイパーリンク" xfId="4946" builtinId="8" hidden="1"/>
    <cellStyle name="ハイパーリンク" xfId="4948" builtinId="8" hidden="1"/>
    <cellStyle name="ハイパーリンク" xfId="4950" builtinId="8" hidden="1"/>
    <cellStyle name="ハイパーリンク" xfId="4952" builtinId="8" hidden="1"/>
    <cellStyle name="ハイパーリンク" xfId="4954" builtinId="8" hidden="1"/>
    <cellStyle name="ハイパーリンク" xfId="4956" builtinId="8" hidden="1"/>
    <cellStyle name="ハイパーリンク" xfId="4958" builtinId="8" hidden="1"/>
    <cellStyle name="ハイパーリンク" xfId="4960" builtinId="8" hidden="1"/>
    <cellStyle name="ハイパーリンク" xfId="4962" builtinId="8" hidden="1"/>
    <cellStyle name="ハイパーリンク" xfId="4964" builtinId="8" hidden="1"/>
    <cellStyle name="ハイパーリンク" xfId="4966" builtinId="8" hidden="1"/>
    <cellStyle name="ハイパーリンク" xfId="4968" builtinId="8" hidden="1"/>
    <cellStyle name="ハイパーリンク" xfId="4970" builtinId="8" hidden="1"/>
    <cellStyle name="ハイパーリンク" xfId="4972" builtinId="8" hidden="1"/>
    <cellStyle name="ハイパーリンク" xfId="4974" builtinId="8" hidden="1"/>
    <cellStyle name="ハイパーリンク" xfId="4976" builtinId="8" hidden="1"/>
    <cellStyle name="ハイパーリンク" xfId="4978" builtinId="8" hidden="1"/>
    <cellStyle name="ハイパーリンク" xfId="4980" builtinId="8" hidden="1"/>
    <cellStyle name="ハイパーリンク" xfId="4982" builtinId="8" hidden="1"/>
    <cellStyle name="ハイパーリンク" xfId="4984" builtinId="8" hidden="1"/>
    <cellStyle name="ハイパーリンク" xfId="4986" builtinId="8" hidden="1"/>
    <cellStyle name="ハイパーリンク" xfId="4988" builtinId="8" hidden="1"/>
    <cellStyle name="ハイパーリンク" xfId="4990" builtinId="8" hidden="1"/>
    <cellStyle name="ハイパーリンク" xfId="4992" builtinId="8" hidden="1"/>
    <cellStyle name="ハイパーリンク" xfId="4994" builtinId="8" hidden="1"/>
    <cellStyle name="ハイパーリンク" xfId="4996" builtinId="8" hidden="1"/>
    <cellStyle name="ハイパーリンク" xfId="4998" builtinId="8" hidden="1"/>
    <cellStyle name="ハイパーリンク" xfId="5000" builtinId="8" hidden="1"/>
    <cellStyle name="ハイパーリンク" xfId="5002" builtinId="8" hidden="1"/>
    <cellStyle name="ハイパーリンク" xfId="5004" builtinId="8" hidden="1"/>
    <cellStyle name="ハイパーリンク" xfId="5006" builtinId="8" hidden="1"/>
    <cellStyle name="ハイパーリンク" xfId="5008" builtinId="8" hidden="1"/>
    <cellStyle name="ハイパーリンク" xfId="5010" builtinId="8" hidden="1"/>
    <cellStyle name="ハイパーリンク" xfId="5012" builtinId="8" hidden="1"/>
    <cellStyle name="ハイパーリンク" xfId="5014" builtinId="8" hidden="1"/>
    <cellStyle name="ハイパーリンク" xfId="5016" builtinId="8" hidden="1"/>
    <cellStyle name="ハイパーリンク" xfId="5018" builtinId="8" hidden="1"/>
    <cellStyle name="ハイパーリンク" xfId="5020" builtinId="8" hidden="1"/>
    <cellStyle name="ハイパーリンク" xfId="5022" builtinId="8" hidden="1"/>
    <cellStyle name="ハイパーリンク" xfId="5024" builtinId="8" hidden="1"/>
    <cellStyle name="ハイパーリンク" xfId="5026" builtinId="8" hidden="1"/>
    <cellStyle name="ハイパーリンク" xfId="5028" builtinId="8" hidden="1"/>
    <cellStyle name="ハイパーリンク" xfId="5030" builtinId="8" hidden="1"/>
    <cellStyle name="ハイパーリンク" xfId="5032" builtinId="8" hidden="1"/>
    <cellStyle name="ハイパーリンク" xfId="5034" builtinId="8" hidden="1"/>
    <cellStyle name="ハイパーリンク" xfId="5036" builtinId="8" hidden="1"/>
    <cellStyle name="ハイパーリンク" xfId="5038" builtinId="8" hidden="1"/>
    <cellStyle name="ハイパーリンク" xfId="5040" builtinId="8" hidden="1"/>
    <cellStyle name="ハイパーリンク" xfId="5042" builtinId="8" hidden="1"/>
    <cellStyle name="ハイパーリンク" xfId="5044" builtinId="8" hidden="1"/>
    <cellStyle name="ハイパーリンク" xfId="5046" builtinId="8" hidden="1"/>
    <cellStyle name="ハイパーリンク" xfId="5048" builtinId="8" hidden="1"/>
    <cellStyle name="ハイパーリンク" xfId="5050" builtinId="8" hidden="1"/>
    <cellStyle name="ハイパーリンク" xfId="5052" builtinId="8" hidden="1"/>
    <cellStyle name="ハイパーリンク" xfId="5054" builtinId="8" hidden="1"/>
    <cellStyle name="ハイパーリンク" xfId="5056" builtinId="8" hidden="1"/>
    <cellStyle name="ハイパーリンク" xfId="5058" builtinId="8" hidden="1"/>
    <cellStyle name="ハイパーリンク" xfId="5060" builtinId="8" hidden="1"/>
    <cellStyle name="ハイパーリンク" xfId="5062" builtinId="8" hidden="1"/>
    <cellStyle name="ハイパーリンク" xfId="5064" builtinId="8" hidden="1"/>
    <cellStyle name="ハイパーリンク" xfId="5066" builtinId="8" hidden="1"/>
    <cellStyle name="ハイパーリンク" xfId="5068" builtinId="8" hidden="1"/>
    <cellStyle name="ハイパーリンク" xfId="5070" builtinId="8" hidden="1"/>
    <cellStyle name="ハイパーリンク" xfId="5072" builtinId="8" hidden="1"/>
    <cellStyle name="ハイパーリンク" xfId="5074" builtinId="8" hidden="1"/>
    <cellStyle name="ハイパーリンク" xfId="5076" builtinId="8" hidden="1"/>
    <cellStyle name="ハイパーリンク" xfId="5078" builtinId="8" hidden="1"/>
    <cellStyle name="ハイパーリンク" xfId="5080" builtinId="8" hidden="1"/>
    <cellStyle name="ハイパーリンク" xfId="5082" builtinId="8" hidden="1"/>
    <cellStyle name="ハイパーリンク" xfId="5084" builtinId="8" hidden="1"/>
    <cellStyle name="ハイパーリンク" xfId="5086" builtinId="8" hidden="1"/>
    <cellStyle name="ハイパーリンク" xfId="5088" builtinId="8" hidden="1"/>
    <cellStyle name="ハイパーリンク" xfId="5090" builtinId="8" hidden="1"/>
    <cellStyle name="ハイパーリンク" xfId="5092" builtinId="8" hidden="1"/>
    <cellStyle name="ハイパーリンク" xfId="5094" builtinId="8" hidden="1"/>
    <cellStyle name="ハイパーリンク" xfId="5096" builtinId="8" hidden="1"/>
    <cellStyle name="ハイパーリンク" xfId="5098" builtinId="8" hidden="1"/>
    <cellStyle name="ハイパーリンク" xfId="5100" builtinId="8" hidden="1"/>
    <cellStyle name="ハイパーリンク" xfId="5102" builtinId="8" hidden="1"/>
    <cellStyle name="ハイパーリンク" xfId="5104" builtinId="8" hidden="1"/>
    <cellStyle name="ハイパーリンク" xfId="5106" builtinId="8" hidden="1"/>
    <cellStyle name="ハイパーリンク" xfId="5108" builtinId="8" hidden="1"/>
    <cellStyle name="ハイパーリンク" xfId="5110" builtinId="8" hidden="1"/>
    <cellStyle name="ハイパーリンク" xfId="5112" builtinId="8" hidden="1"/>
    <cellStyle name="ハイパーリンク" xfId="5114" builtinId="8" hidden="1"/>
    <cellStyle name="ハイパーリンク" xfId="5116" builtinId="8" hidden="1"/>
    <cellStyle name="ハイパーリンク" xfId="5118" builtinId="8" hidden="1"/>
    <cellStyle name="ハイパーリンク" xfId="5120" builtinId="8" hidden="1"/>
    <cellStyle name="ハイパーリンク" xfId="5122" builtinId="8" hidden="1"/>
    <cellStyle name="ハイパーリンク" xfId="5124" builtinId="8" hidden="1"/>
    <cellStyle name="ハイパーリンク" xfId="5126" builtinId="8" hidden="1"/>
    <cellStyle name="ハイパーリンク" xfId="5128" builtinId="8" hidden="1"/>
    <cellStyle name="ハイパーリンク" xfId="5130" builtinId="8" hidden="1"/>
    <cellStyle name="ハイパーリンク" xfId="5132" builtinId="8" hidden="1"/>
    <cellStyle name="ハイパーリンク" xfId="5134" builtinId="8" hidden="1"/>
    <cellStyle name="ハイパーリンク" xfId="5136" builtinId="8" hidden="1"/>
    <cellStyle name="ハイパーリンク" xfId="5138" builtinId="8" hidden="1"/>
    <cellStyle name="ハイパーリンク" xfId="5140" builtinId="8" hidden="1"/>
    <cellStyle name="ハイパーリンク" xfId="5142" builtinId="8" hidden="1"/>
    <cellStyle name="ハイパーリンク" xfId="5144" builtinId="8" hidden="1"/>
    <cellStyle name="ハイパーリンク" xfId="5146" builtinId="8" hidden="1"/>
    <cellStyle name="ハイパーリンク" xfId="5148" builtinId="8" hidden="1"/>
    <cellStyle name="ハイパーリンク" xfId="5150" builtinId="8" hidden="1"/>
    <cellStyle name="ハイパーリンク" xfId="5152" builtinId="8" hidden="1"/>
    <cellStyle name="ハイパーリンク" xfId="5154" builtinId="8" hidden="1"/>
    <cellStyle name="ハイパーリンク" xfId="5156" builtinId="8" hidden="1"/>
    <cellStyle name="ハイパーリンク" xfId="5158" builtinId="8" hidden="1"/>
    <cellStyle name="ハイパーリンク" xfId="5160" builtinId="8" hidden="1"/>
    <cellStyle name="ハイパーリンク" xfId="5162" builtinId="8" hidden="1"/>
    <cellStyle name="ハイパーリンク" xfId="5164" builtinId="8" hidden="1"/>
    <cellStyle name="ハイパーリンク" xfId="5166" builtinId="8" hidden="1"/>
    <cellStyle name="ハイパーリンク" xfId="5168" builtinId="8" hidden="1"/>
    <cellStyle name="ハイパーリンク" xfId="5170" builtinId="8" hidden="1"/>
    <cellStyle name="ハイパーリンク" xfId="5172" builtinId="8" hidden="1"/>
    <cellStyle name="ハイパーリンク" xfId="5174" builtinId="8" hidden="1"/>
    <cellStyle name="ハイパーリンク" xfId="5176" builtinId="8" hidden="1"/>
    <cellStyle name="ハイパーリンク" xfId="5178" builtinId="8" hidden="1"/>
    <cellStyle name="ハイパーリンク" xfId="5180" builtinId="8" hidden="1"/>
    <cellStyle name="ハイパーリンク" xfId="5182" builtinId="8" hidden="1"/>
    <cellStyle name="ハイパーリンク" xfId="5184" builtinId="8" hidden="1"/>
    <cellStyle name="ハイパーリンク" xfId="5186" builtinId="8" hidden="1"/>
    <cellStyle name="ハイパーリンク" xfId="5188" builtinId="8" hidden="1"/>
    <cellStyle name="ハイパーリンク" xfId="5190" builtinId="8" hidden="1"/>
    <cellStyle name="ハイパーリンク" xfId="5192" builtinId="8" hidden="1"/>
    <cellStyle name="ハイパーリンク" xfId="5194" builtinId="8" hidden="1"/>
    <cellStyle name="ハイパーリンク" xfId="5196" builtinId="8" hidden="1"/>
    <cellStyle name="ハイパーリンク" xfId="5198" builtinId="8" hidden="1"/>
    <cellStyle name="ハイパーリンク" xfId="5200" builtinId="8" hidden="1"/>
    <cellStyle name="ハイパーリンク" xfId="5202" builtinId="8" hidden="1"/>
    <cellStyle name="ハイパーリンク" xfId="5204" builtinId="8" hidden="1"/>
    <cellStyle name="ハイパーリンク" xfId="5206" builtinId="8" hidden="1"/>
    <cellStyle name="ハイパーリンク" xfId="5208" builtinId="8" hidden="1"/>
    <cellStyle name="ハイパーリンク" xfId="5210" builtinId="8" hidden="1"/>
    <cellStyle name="ハイパーリンク" xfId="5212" builtinId="8" hidden="1"/>
    <cellStyle name="ハイパーリンク" xfId="5214" builtinId="8" hidden="1"/>
    <cellStyle name="ハイパーリンク" xfId="5216" builtinId="8" hidden="1"/>
    <cellStyle name="ハイパーリンク" xfId="5218" builtinId="8" hidden="1"/>
    <cellStyle name="ハイパーリンク" xfId="5220" builtinId="8" hidden="1"/>
    <cellStyle name="ハイパーリンク" xfId="5222" builtinId="8" hidden="1"/>
    <cellStyle name="ハイパーリンク" xfId="5224" builtinId="8" hidden="1"/>
    <cellStyle name="ハイパーリンク" xfId="5226" builtinId="8" hidden="1"/>
    <cellStyle name="ハイパーリンク" xfId="5228" builtinId="8" hidden="1"/>
    <cellStyle name="ハイパーリンク" xfId="5230" builtinId="8" hidden="1"/>
    <cellStyle name="ハイパーリンク" xfId="5232" builtinId="8" hidden="1"/>
    <cellStyle name="ハイパーリンク" xfId="5234" builtinId="8" hidden="1"/>
    <cellStyle name="ハイパーリンク" xfId="5236" builtinId="8" hidden="1"/>
    <cellStyle name="ハイパーリンク" xfId="5238" builtinId="8" hidden="1"/>
    <cellStyle name="ハイパーリンク" xfId="5240" builtinId="8" hidden="1"/>
    <cellStyle name="ハイパーリンク" xfId="5242" builtinId="8" hidden="1"/>
    <cellStyle name="ハイパーリンク" xfId="5244" builtinId="8" hidden="1"/>
    <cellStyle name="ハイパーリンク" xfId="5246" builtinId="8" hidden="1"/>
    <cellStyle name="ハイパーリンク" xfId="5248" builtinId="8" hidden="1"/>
    <cellStyle name="ハイパーリンク" xfId="5250" builtinId="8" hidden="1"/>
    <cellStyle name="ハイパーリンク" xfId="5252" builtinId="8" hidden="1"/>
    <cellStyle name="ハイパーリンク" xfId="5254" builtinId="8" hidden="1"/>
    <cellStyle name="ハイパーリンク" xfId="5256" builtinId="8" hidden="1"/>
    <cellStyle name="ハイパーリンク" xfId="5258" builtinId="8" hidden="1"/>
    <cellStyle name="ハイパーリンク" xfId="5260" builtinId="8" hidden="1"/>
    <cellStyle name="ハイパーリンク" xfId="5262" builtinId="8" hidden="1"/>
    <cellStyle name="ハイパーリンク" xfId="5264" builtinId="8" hidden="1"/>
    <cellStyle name="ハイパーリンク" xfId="5266" builtinId="8" hidden="1"/>
    <cellStyle name="ハイパーリンク" xfId="5268" builtinId="8" hidden="1"/>
    <cellStyle name="ハイパーリンク" xfId="5270" builtinId="8" hidden="1"/>
    <cellStyle name="ハイパーリンク" xfId="5272" builtinId="8" hidden="1"/>
    <cellStyle name="ハイパーリンク" xfId="5274" builtinId="8" hidden="1"/>
    <cellStyle name="ハイパーリンク" xfId="5276" builtinId="8" hidden="1"/>
    <cellStyle name="ハイパーリンク" xfId="5278" builtinId="8" hidden="1"/>
    <cellStyle name="ハイパーリンク" xfId="5280" builtinId="8" hidden="1"/>
    <cellStyle name="ハイパーリンク" xfId="5282" builtinId="8" hidden="1"/>
    <cellStyle name="ハイパーリンク" xfId="5284" builtinId="8" hidden="1"/>
    <cellStyle name="ハイパーリンク" xfId="5286" builtinId="8" hidden="1"/>
    <cellStyle name="ハイパーリンク" xfId="5288" builtinId="8" hidden="1"/>
    <cellStyle name="ハイパーリンク" xfId="5290" builtinId="8" hidden="1"/>
    <cellStyle name="ハイパーリンク" xfId="5292" builtinId="8" hidden="1"/>
    <cellStyle name="ハイパーリンク" xfId="5294" builtinId="8" hidden="1"/>
    <cellStyle name="ハイパーリンク" xfId="5296" builtinId="8" hidden="1"/>
    <cellStyle name="ハイパーリンク" xfId="5298" builtinId="8" hidden="1"/>
    <cellStyle name="ハイパーリンク" xfId="5300" builtinId="8" hidden="1"/>
    <cellStyle name="ハイパーリンク" xfId="5302" builtinId="8" hidden="1"/>
    <cellStyle name="ハイパーリンク" xfId="5304" builtinId="8" hidden="1"/>
    <cellStyle name="ハイパーリンク" xfId="5306" builtinId="8" hidden="1"/>
    <cellStyle name="ハイパーリンク" xfId="5308" builtinId="8" hidden="1"/>
    <cellStyle name="ハイパーリンク" xfId="5310" builtinId="8" hidden="1"/>
    <cellStyle name="ハイパーリンク" xfId="5312" builtinId="8" hidden="1"/>
    <cellStyle name="ハイパーリンク" xfId="5314" builtinId="8" hidden="1"/>
    <cellStyle name="ハイパーリンク" xfId="5316" builtinId="8" hidden="1"/>
    <cellStyle name="ハイパーリンク" xfId="5318" builtinId="8" hidden="1"/>
    <cellStyle name="ハイパーリンク" xfId="5320" builtinId="8" hidden="1"/>
    <cellStyle name="ハイパーリンク" xfId="5322" builtinId="8" hidden="1"/>
    <cellStyle name="ハイパーリンク" xfId="5324" builtinId="8" hidden="1"/>
    <cellStyle name="ハイパーリンク" xfId="5326" builtinId="8" hidden="1"/>
    <cellStyle name="ハイパーリンク" xfId="5328" builtinId="8" hidden="1"/>
    <cellStyle name="ハイパーリンク" xfId="5330" builtinId="8" hidden="1"/>
    <cellStyle name="ハイパーリンク" xfId="5332" builtinId="8" hidden="1"/>
    <cellStyle name="ハイパーリンク" xfId="5334" builtinId="8" hidden="1"/>
    <cellStyle name="ハイパーリンク" xfId="5336" builtinId="8" hidden="1"/>
    <cellStyle name="ハイパーリンク" xfId="5338" builtinId="8" hidden="1"/>
    <cellStyle name="ハイパーリンク" xfId="5340" builtinId="8" hidden="1"/>
    <cellStyle name="ハイパーリンク" xfId="5342" builtinId="8" hidden="1"/>
    <cellStyle name="ハイパーリンク" xfId="5344" builtinId="8" hidden="1"/>
    <cellStyle name="ハイパーリンク" xfId="5346" builtinId="8" hidden="1"/>
    <cellStyle name="ハイパーリンク" xfId="5348" builtinId="8" hidden="1"/>
    <cellStyle name="ハイパーリンク" xfId="5350" builtinId="8" hidden="1"/>
    <cellStyle name="ハイパーリンク" xfId="5352" builtinId="8" hidden="1"/>
    <cellStyle name="ハイパーリンク" xfId="5354" builtinId="8" hidden="1"/>
    <cellStyle name="ハイパーリンク" xfId="5356" builtinId="8" hidden="1"/>
    <cellStyle name="ハイパーリンク" xfId="5358" builtinId="8" hidden="1"/>
    <cellStyle name="ハイパーリンク" xfId="5360" builtinId="8" hidden="1"/>
    <cellStyle name="ハイパーリンク" xfId="5362" builtinId="8" hidden="1"/>
    <cellStyle name="ハイパーリンク" xfId="5364" builtinId="8" hidden="1"/>
    <cellStyle name="ハイパーリンク" xfId="5366" builtinId="8" hidden="1"/>
    <cellStyle name="ハイパーリンク" xfId="5368" builtinId="8" hidden="1"/>
    <cellStyle name="ハイパーリンク" xfId="5370" builtinId="8" hidden="1"/>
    <cellStyle name="ハイパーリンク" xfId="5372" builtinId="8" hidden="1"/>
    <cellStyle name="ハイパーリンク" xfId="5374" builtinId="8" hidden="1"/>
    <cellStyle name="ハイパーリンク" xfId="5376" builtinId="8" hidden="1"/>
    <cellStyle name="ハイパーリンク" xfId="5378" builtinId="8" hidden="1"/>
    <cellStyle name="ハイパーリンク" xfId="5380" builtinId="8" hidden="1"/>
    <cellStyle name="ハイパーリンク" xfId="5382" builtinId="8" hidden="1"/>
    <cellStyle name="ハイパーリンク" xfId="5384" builtinId="8" hidden="1"/>
    <cellStyle name="ハイパーリンク" xfId="5386" builtinId="8" hidden="1"/>
    <cellStyle name="ハイパーリンク" xfId="5388" builtinId="8" hidden="1"/>
    <cellStyle name="ハイパーリンク" xfId="5390" builtinId="8" hidden="1"/>
    <cellStyle name="ハイパーリンク" xfId="5392" builtinId="8" hidden="1"/>
    <cellStyle name="ハイパーリンク" xfId="5394" builtinId="8" hidden="1"/>
    <cellStyle name="ハイパーリンク" xfId="5396" builtinId="8" hidden="1"/>
    <cellStyle name="ハイパーリンク" xfId="5398" builtinId="8" hidden="1"/>
    <cellStyle name="ハイパーリンク" xfId="5400" builtinId="8" hidden="1"/>
    <cellStyle name="ハイパーリンク" xfId="5402" builtinId="8" hidden="1"/>
    <cellStyle name="ハイパーリンク" xfId="5404" builtinId="8" hidden="1"/>
    <cellStyle name="ハイパーリンク" xfId="5406" builtinId="8" hidden="1"/>
    <cellStyle name="ハイパーリンク" xfId="5408" builtinId="8" hidden="1"/>
    <cellStyle name="ハイパーリンク" xfId="5410" builtinId="8" hidden="1"/>
    <cellStyle name="ハイパーリンク" xfId="5412" builtinId="8" hidden="1"/>
    <cellStyle name="ハイパーリンク" xfId="5414" builtinId="8" hidden="1"/>
    <cellStyle name="ハイパーリンク" xfId="5416" builtinId="8" hidden="1"/>
    <cellStyle name="ハイパーリンク" xfId="5418" builtinId="8" hidden="1"/>
    <cellStyle name="ハイパーリンク" xfId="5420" builtinId="8" hidden="1"/>
    <cellStyle name="ハイパーリンク" xfId="5422" builtinId="8" hidden="1"/>
    <cellStyle name="ハイパーリンク" xfId="5424" builtinId="8" hidden="1"/>
    <cellStyle name="ハイパーリンク" xfId="5426" builtinId="8" hidden="1"/>
    <cellStyle name="ハイパーリンク" xfId="5428" builtinId="8" hidden="1"/>
    <cellStyle name="ハイパーリンク" xfId="5430" builtinId="8" hidden="1"/>
    <cellStyle name="ハイパーリンク" xfId="5432" builtinId="8" hidden="1"/>
    <cellStyle name="ハイパーリンク" xfId="5434" builtinId="8" hidden="1"/>
    <cellStyle name="ハイパーリンク" xfId="5436" builtinId="8" hidden="1"/>
    <cellStyle name="ハイパーリンク" xfId="5438" builtinId="8" hidden="1"/>
    <cellStyle name="ハイパーリンク" xfId="5440" builtinId="8" hidden="1"/>
    <cellStyle name="ハイパーリンク" xfId="5442" builtinId="8" hidden="1"/>
    <cellStyle name="ハイパーリンク" xfId="5444" builtinId="8" hidden="1"/>
    <cellStyle name="ハイパーリンク" xfId="5446" builtinId="8" hidden="1"/>
    <cellStyle name="ハイパーリンク" xfId="5448" builtinId="8" hidden="1"/>
    <cellStyle name="ハイパーリンク" xfId="5450" builtinId="8" hidden="1"/>
    <cellStyle name="ハイパーリンク" xfId="5452" builtinId="8" hidden="1"/>
    <cellStyle name="ハイパーリンク" xfId="5454" builtinId="8" hidden="1"/>
    <cellStyle name="ハイパーリンク" xfId="5456" builtinId="8" hidden="1"/>
    <cellStyle name="ハイパーリンク" xfId="5458" builtinId="8" hidden="1"/>
    <cellStyle name="ハイパーリンク" xfId="5460" builtinId="8" hidden="1"/>
    <cellStyle name="ハイパーリンク" xfId="5462" builtinId="8" hidden="1"/>
    <cellStyle name="ハイパーリンク" xfId="5464" builtinId="8" hidden="1"/>
    <cellStyle name="ハイパーリンク" xfId="5466" builtinId="8" hidden="1"/>
    <cellStyle name="ハイパーリンク" xfId="5468" builtinId="8" hidden="1"/>
    <cellStyle name="ハイパーリンク" xfId="5470" builtinId="8" hidden="1"/>
    <cellStyle name="ハイパーリンク" xfId="5472" builtinId="8" hidden="1"/>
    <cellStyle name="ハイパーリンク" xfId="5474" builtinId="8" hidden="1"/>
    <cellStyle name="ハイパーリンク" xfId="5476" builtinId="8" hidden="1"/>
    <cellStyle name="ハイパーリンク" xfId="5478" builtinId="8" hidden="1"/>
    <cellStyle name="ハイパーリンク" xfId="5480" builtinId="8" hidden="1"/>
    <cellStyle name="ハイパーリンク" xfId="5482" builtinId="8" hidden="1"/>
    <cellStyle name="ハイパーリンク" xfId="5484" builtinId="8" hidden="1"/>
    <cellStyle name="ハイパーリンク" xfId="5486" builtinId="8" hidden="1"/>
    <cellStyle name="ハイパーリンク" xfId="5488" builtinId="8" hidden="1"/>
    <cellStyle name="ハイパーリンク" xfId="5490" builtinId="8" hidden="1"/>
    <cellStyle name="ハイパーリンク" xfId="5492" builtinId="8" hidden="1"/>
    <cellStyle name="ハイパーリンク" xfId="5494" builtinId="8" hidden="1"/>
    <cellStyle name="ハイパーリンク" xfId="5496" builtinId="8" hidden="1"/>
    <cellStyle name="ハイパーリンク" xfId="5498" builtinId="8" hidden="1"/>
    <cellStyle name="ハイパーリンク" xfId="5500" builtinId="8" hidden="1"/>
    <cellStyle name="ハイパーリンク" xfId="5502" builtinId="8" hidden="1"/>
    <cellStyle name="ハイパーリンク" xfId="5504" builtinId="8" hidden="1"/>
    <cellStyle name="ハイパーリンク" xfId="5506" builtinId="8" hidden="1"/>
    <cellStyle name="ハイパーリンク" xfId="5508" builtinId="8" hidden="1"/>
    <cellStyle name="ハイパーリンク" xfId="5510" builtinId="8" hidden="1"/>
    <cellStyle name="ハイパーリンク" xfId="5512" builtinId="8" hidden="1"/>
    <cellStyle name="ハイパーリンク" xfId="5514" builtinId="8" hidden="1"/>
    <cellStyle name="ハイパーリンク" xfId="5516" builtinId="8" hidden="1"/>
    <cellStyle name="ハイパーリンク" xfId="5518" builtinId="8" hidden="1"/>
    <cellStyle name="ハイパーリンク" xfId="5520" builtinId="8" hidden="1"/>
    <cellStyle name="ハイパーリンク" xfId="5522" builtinId="8" hidden="1"/>
    <cellStyle name="ハイパーリンク" xfId="5524" builtinId="8" hidden="1"/>
    <cellStyle name="ハイパーリンク" xfId="5526" builtinId="8" hidden="1"/>
    <cellStyle name="ハイパーリンク" xfId="5528" builtinId="8" hidden="1"/>
    <cellStyle name="ハイパーリンク" xfId="5530" builtinId="8" hidden="1"/>
    <cellStyle name="ハイパーリンク" xfId="5532" builtinId="8" hidden="1"/>
    <cellStyle name="ハイパーリンク" xfId="5534" builtinId="8" hidden="1"/>
    <cellStyle name="ハイパーリンク" xfId="5536" builtinId="8" hidden="1"/>
    <cellStyle name="ハイパーリンク" xfId="5538" builtinId="8" hidden="1"/>
    <cellStyle name="ハイパーリンク" xfId="5540" builtinId="8" hidden="1"/>
    <cellStyle name="ハイパーリンク" xfId="5542" builtinId="8" hidden="1"/>
    <cellStyle name="ハイパーリンク" xfId="5544" builtinId="8" hidden="1"/>
    <cellStyle name="ハイパーリンク" xfId="5546" builtinId="8" hidden="1"/>
    <cellStyle name="ハイパーリンク" xfId="5548" builtinId="8" hidden="1"/>
    <cellStyle name="ハイパーリンク" xfId="5550" builtinId="8" hidden="1"/>
    <cellStyle name="ハイパーリンク" xfId="5552" builtinId="8" hidden="1"/>
    <cellStyle name="ハイパーリンク" xfId="5554" builtinId="8" hidden="1"/>
    <cellStyle name="ハイパーリンク" xfId="5556" builtinId="8" hidden="1"/>
    <cellStyle name="ハイパーリンク" xfId="5558" builtinId="8" hidden="1"/>
    <cellStyle name="ハイパーリンク" xfId="5560" builtinId="8" hidden="1"/>
    <cellStyle name="ハイパーリンク" xfId="5562" builtinId="8" hidden="1"/>
    <cellStyle name="ハイパーリンク" xfId="5564" builtinId="8" hidden="1"/>
    <cellStyle name="ハイパーリンク" xfId="5566" builtinId="8" hidden="1"/>
    <cellStyle name="ハイパーリンク" xfId="5568" builtinId="8" hidden="1"/>
    <cellStyle name="ハイパーリンク" xfId="5570" builtinId="8" hidden="1"/>
    <cellStyle name="ハイパーリンク" xfId="5572" builtinId="8" hidden="1"/>
    <cellStyle name="ハイパーリンク" xfId="5574" builtinId="8" hidden="1"/>
    <cellStyle name="ハイパーリンク" xfId="5576" builtinId="8" hidden="1"/>
    <cellStyle name="ハイパーリンク" xfId="5578" builtinId="8" hidden="1"/>
    <cellStyle name="ハイパーリンク" xfId="5580" builtinId="8" hidden="1"/>
    <cellStyle name="ハイパーリンク" xfId="5582" builtinId="8" hidden="1"/>
    <cellStyle name="ハイパーリンク" xfId="5584" builtinId="8" hidden="1"/>
    <cellStyle name="ハイパーリンク" xfId="5586" builtinId="8" hidden="1"/>
    <cellStyle name="ハイパーリンク" xfId="5588" builtinId="8" hidden="1"/>
    <cellStyle name="ハイパーリンク" xfId="5590" builtinId="8" hidden="1"/>
    <cellStyle name="ハイパーリンク" xfId="5592" builtinId="8" hidden="1"/>
    <cellStyle name="ハイパーリンク" xfId="5594" builtinId="8" hidden="1"/>
    <cellStyle name="ハイパーリンク" xfId="5596" builtinId="8" hidden="1"/>
    <cellStyle name="ハイパーリンク" xfId="5598" builtinId="8" hidden="1"/>
    <cellStyle name="ハイパーリンク" xfId="5600" builtinId="8" hidden="1"/>
    <cellStyle name="ハイパーリンク" xfId="5602" builtinId="8" hidden="1"/>
    <cellStyle name="ハイパーリンク" xfId="5604" builtinId="8" hidden="1"/>
    <cellStyle name="ハイパーリンク" xfId="5606" builtinId="8" hidden="1"/>
    <cellStyle name="ハイパーリンク" xfId="5608" builtinId="8" hidden="1"/>
    <cellStyle name="ハイパーリンク" xfId="5610" builtinId="8" hidden="1"/>
    <cellStyle name="ハイパーリンク" xfId="5612" builtinId="8" hidden="1"/>
    <cellStyle name="ハイパーリンク" xfId="5614" builtinId="8" hidden="1"/>
    <cellStyle name="ハイパーリンク" xfId="5616" builtinId="8" hidden="1"/>
    <cellStyle name="ハイパーリンク" xfId="5618" builtinId="8" hidden="1"/>
    <cellStyle name="ハイパーリンク" xfId="5620" builtinId="8" hidden="1"/>
    <cellStyle name="ハイパーリンク" xfId="5622" builtinId="8" hidden="1"/>
    <cellStyle name="ハイパーリンク" xfId="5624" builtinId="8" hidden="1"/>
    <cellStyle name="ハイパーリンク" xfId="5626" builtinId="8" hidden="1"/>
    <cellStyle name="ハイパーリンク" xfId="5628" builtinId="8" hidden="1"/>
    <cellStyle name="ハイパーリンク" xfId="5630" builtinId="8" hidden="1"/>
    <cellStyle name="ハイパーリンク" xfId="5632" builtinId="8" hidden="1"/>
    <cellStyle name="ハイパーリンク" xfId="5634" builtinId="8" hidden="1"/>
    <cellStyle name="ハイパーリンク" xfId="5636" builtinId="8" hidden="1"/>
    <cellStyle name="ハイパーリンク" xfId="5638" builtinId="8" hidden="1"/>
    <cellStyle name="ハイパーリンク" xfId="5640" builtinId="8" hidden="1"/>
    <cellStyle name="ハイパーリンク" xfId="5642" builtinId="8" hidden="1"/>
    <cellStyle name="ハイパーリンク" xfId="5644" builtinId="8" hidden="1"/>
    <cellStyle name="ハイパーリンク" xfId="5646" builtinId="8" hidden="1"/>
    <cellStyle name="ハイパーリンク" xfId="5648" builtinId="8" hidden="1"/>
    <cellStyle name="ハイパーリンク" xfId="5650" builtinId="8" hidden="1"/>
    <cellStyle name="ハイパーリンク" xfId="5652" builtinId="8" hidden="1"/>
    <cellStyle name="ハイパーリンク" xfId="5654" builtinId="8" hidden="1"/>
    <cellStyle name="ハイパーリンク" xfId="5656" builtinId="8" hidden="1"/>
    <cellStyle name="ハイパーリンク" xfId="5658" builtinId="8" hidden="1"/>
    <cellStyle name="ハイパーリンク" xfId="5660" builtinId="8" hidden="1"/>
    <cellStyle name="ハイパーリンク" xfId="5662" builtinId="8" hidden="1"/>
    <cellStyle name="ハイパーリンク" xfId="5664" builtinId="8" hidden="1"/>
    <cellStyle name="ハイパーリンク" xfId="5666" builtinId="8" hidden="1"/>
    <cellStyle name="ハイパーリンク" xfId="5668" builtinId="8" hidden="1"/>
    <cellStyle name="ハイパーリンク" xfId="5670" builtinId="8" hidden="1"/>
    <cellStyle name="ハイパーリンク" xfId="5672" builtinId="8" hidden="1"/>
    <cellStyle name="ハイパーリンク" xfId="5674" builtinId="8" hidden="1"/>
    <cellStyle name="ハイパーリンク" xfId="5676" builtinId="8" hidden="1"/>
    <cellStyle name="ハイパーリンク" xfId="5678" builtinId="8" hidden="1"/>
    <cellStyle name="ハイパーリンク" xfId="5680" builtinId="8" hidden="1"/>
    <cellStyle name="ハイパーリンク" xfId="5682" builtinId="8" hidden="1"/>
    <cellStyle name="ハイパーリンク" xfId="5684" builtinId="8" hidden="1"/>
    <cellStyle name="ハイパーリンク" xfId="5686" builtinId="8" hidden="1"/>
    <cellStyle name="ハイパーリンク" xfId="5688" builtinId="8" hidden="1"/>
    <cellStyle name="ハイパーリンク" xfId="5690" builtinId="8" hidden="1"/>
    <cellStyle name="ハイパーリンク" xfId="5692" builtinId="8" hidden="1"/>
    <cellStyle name="ハイパーリンク" xfId="5694" builtinId="8" hidden="1"/>
    <cellStyle name="ハイパーリンク" xfId="5696" builtinId="8" hidden="1"/>
    <cellStyle name="ハイパーリンク" xfId="5698" builtinId="8" hidden="1"/>
    <cellStyle name="ハイパーリンク" xfId="5700" builtinId="8" hidden="1"/>
    <cellStyle name="ハイパーリンク" xfId="5702" builtinId="8" hidden="1"/>
    <cellStyle name="ハイパーリンク" xfId="5704" builtinId="8" hidden="1"/>
    <cellStyle name="ハイパーリンク" xfId="5706" builtinId="8" hidden="1"/>
    <cellStyle name="ハイパーリンク" xfId="5708" builtinId="8" hidden="1"/>
    <cellStyle name="ハイパーリンク" xfId="5710" builtinId="8" hidden="1"/>
    <cellStyle name="ハイパーリンク" xfId="5712" builtinId="8" hidden="1"/>
    <cellStyle name="ハイパーリンク" xfId="5714" builtinId="8" hidden="1"/>
    <cellStyle name="ハイパーリンク" xfId="5716" builtinId="8" hidden="1"/>
    <cellStyle name="ハイパーリンク" xfId="5718" builtinId="8" hidden="1"/>
    <cellStyle name="ハイパーリンク" xfId="5720" builtinId="8" hidden="1"/>
    <cellStyle name="ハイパーリンク" xfId="5722" builtinId="8" hidden="1"/>
    <cellStyle name="ハイパーリンク" xfId="5724" builtinId="8" hidden="1"/>
    <cellStyle name="ハイパーリンク" xfId="5726" builtinId="8" hidden="1"/>
    <cellStyle name="ハイパーリンク" xfId="5728" builtinId="8" hidden="1"/>
    <cellStyle name="ハイパーリンク" xfId="5730" builtinId="8" hidden="1"/>
    <cellStyle name="ハイパーリンク" xfId="5732" builtinId="8" hidden="1"/>
    <cellStyle name="ハイパーリンク" xfId="5734" builtinId="8" hidden="1"/>
    <cellStyle name="ハイパーリンク" xfId="5736" builtinId="8" hidden="1"/>
    <cellStyle name="ハイパーリンク" xfId="5738" builtinId="8" hidden="1"/>
    <cellStyle name="ハイパーリンク" xfId="5740" builtinId="8" hidden="1"/>
    <cellStyle name="ハイパーリンク" xfId="5742" builtinId="8" hidden="1"/>
    <cellStyle name="ハイパーリンク" xfId="5744" builtinId="8" hidden="1"/>
    <cellStyle name="ハイパーリンク" xfId="5746" builtinId="8" hidden="1"/>
    <cellStyle name="ハイパーリンク" xfId="5748" builtinId="8" hidden="1"/>
    <cellStyle name="ハイパーリンク" xfId="5750" builtinId="8" hidden="1"/>
    <cellStyle name="ハイパーリンク" xfId="5752" builtinId="8" hidden="1"/>
    <cellStyle name="ハイパーリンク" xfId="5754" builtinId="8" hidden="1"/>
    <cellStyle name="ハイパーリンク" xfId="5756" builtinId="8" hidden="1"/>
    <cellStyle name="ハイパーリンク" xfId="5758" builtinId="8" hidden="1"/>
    <cellStyle name="ハイパーリンク" xfId="5760" builtinId="8" hidden="1"/>
    <cellStyle name="ハイパーリンク" xfId="5762" builtinId="8" hidden="1"/>
    <cellStyle name="ハイパーリンク" xfId="5764" builtinId="8" hidden="1"/>
    <cellStyle name="ハイパーリンク" xfId="5766" builtinId="8" hidden="1"/>
    <cellStyle name="ハイパーリンク" xfId="5768" builtinId="8" hidden="1"/>
    <cellStyle name="ハイパーリンク" xfId="5770" builtinId="8" hidden="1"/>
    <cellStyle name="ハイパーリンク" xfId="5772" builtinId="8" hidden="1"/>
    <cellStyle name="ハイパーリンク" xfId="5774" builtinId="8" hidden="1"/>
    <cellStyle name="ハイパーリンク" xfId="5776" builtinId="8" hidden="1"/>
    <cellStyle name="ハイパーリンク" xfId="5778" builtinId="8" hidden="1"/>
    <cellStyle name="ハイパーリンク" xfId="5780" builtinId="8" hidden="1"/>
    <cellStyle name="ハイパーリンク" xfId="5782" builtinId="8" hidden="1"/>
    <cellStyle name="ハイパーリンク" xfId="5784" builtinId="8" hidden="1"/>
    <cellStyle name="ハイパーリンク" xfId="5786" builtinId="8" hidden="1"/>
    <cellStyle name="ハイパーリンク" xfId="5788" builtinId="8" hidden="1"/>
    <cellStyle name="ハイパーリンク" xfId="5790" builtinId="8" hidden="1"/>
    <cellStyle name="ハイパーリンク" xfId="5792" builtinId="8" hidden="1"/>
    <cellStyle name="ハイパーリンク" xfId="5794" builtinId="8" hidden="1"/>
    <cellStyle name="ハイパーリンク" xfId="5796" builtinId="8" hidden="1"/>
    <cellStyle name="ハイパーリンク" xfId="5798" builtinId="8" hidden="1"/>
    <cellStyle name="ハイパーリンク" xfId="5800" builtinId="8" hidden="1"/>
    <cellStyle name="ハイパーリンク" xfId="5802" builtinId="8" hidden="1"/>
    <cellStyle name="ハイパーリンク" xfId="5804" builtinId="8" hidden="1"/>
    <cellStyle name="ハイパーリンク" xfId="5806" builtinId="8" hidden="1"/>
    <cellStyle name="ハイパーリンク" xfId="5808" builtinId="8" hidden="1"/>
    <cellStyle name="ハイパーリンク" xfId="5810" builtinId="8" hidden="1"/>
    <cellStyle name="ハイパーリンク" xfId="5812" builtinId="8" hidden="1"/>
    <cellStyle name="ハイパーリンク" xfId="5814" builtinId="8" hidden="1"/>
    <cellStyle name="ハイパーリンク" xfId="5816" builtinId="8" hidden="1"/>
    <cellStyle name="ハイパーリンク" xfId="5818" builtinId="8" hidden="1"/>
    <cellStyle name="ハイパーリンク" xfId="5820" builtinId="8" hidden="1"/>
    <cellStyle name="ハイパーリンク" xfId="5822" builtinId="8" hidden="1"/>
    <cellStyle name="ハイパーリンク" xfId="5824" builtinId="8" hidden="1"/>
    <cellStyle name="ハイパーリンク" xfId="5826" builtinId="8" hidden="1"/>
    <cellStyle name="ハイパーリンク" xfId="5828" builtinId="8" hidden="1"/>
    <cellStyle name="ハイパーリンク" xfId="5830" builtinId="8" hidden="1"/>
    <cellStyle name="ハイパーリンク" xfId="5832" builtinId="8" hidden="1"/>
    <cellStyle name="ハイパーリンク" xfId="5834" builtinId="8" hidden="1"/>
    <cellStyle name="ハイパーリンク" xfId="5836" builtinId="8" hidden="1"/>
    <cellStyle name="ハイパーリンク" xfId="5838" builtinId="8" hidden="1"/>
    <cellStyle name="ハイパーリンク" xfId="5840" builtinId="8" hidden="1"/>
    <cellStyle name="ハイパーリンク" xfId="5842" builtinId="8" hidden="1"/>
    <cellStyle name="ハイパーリンク" xfId="5844" builtinId="8" hidden="1"/>
    <cellStyle name="ハイパーリンク" xfId="5846" builtinId="8" hidden="1"/>
    <cellStyle name="ハイパーリンク" xfId="5848" builtinId="8" hidden="1"/>
    <cellStyle name="ハイパーリンク" xfId="5850" builtinId="8" hidden="1"/>
    <cellStyle name="ハイパーリンク" xfId="5852" builtinId="8" hidden="1"/>
    <cellStyle name="ハイパーリンク" xfId="5854" builtinId="8" hidden="1"/>
    <cellStyle name="ハイパーリンク" xfId="5856" builtinId="8" hidden="1"/>
    <cellStyle name="ハイパーリンク" xfId="5858" builtinId="8" hidden="1"/>
    <cellStyle name="ハイパーリンク" xfId="5860" builtinId="8" hidden="1"/>
    <cellStyle name="ハイパーリンク" xfId="5862" builtinId="8" hidden="1"/>
    <cellStyle name="ハイパーリンク" xfId="5864" builtinId="8" hidden="1"/>
    <cellStyle name="ハイパーリンク" xfId="5866" builtinId="8" hidden="1"/>
    <cellStyle name="ハイパーリンク" xfId="5868" builtinId="8" hidden="1"/>
    <cellStyle name="ハイパーリンク" xfId="5870" builtinId="8" hidden="1"/>
    <cellStyle name="ハイパーリンク" xfId="5872" builtinId="8" hidden="1"/>
    <cellStyle name="ハイパーリンク" xfId="5874" builtinId="8" hidden="1"/>
    <cellStyle name="ハイパーリンク" xfId="5876" builtinId="8" hidden="1"/>
    <cellStyle name="ハイパーリンク" xfId="5878" builtinId="8" hidden="1"/>
    <cellStyle name="ハイパーリンク" xfId="5880" builtinId="8" hidden="1"/>
    <cellStyle name="ハイパーリンク" xfId="5882" builtinId="8" hidden="1"/>
    <cellStyle name="ハイパーリンク" xfId="5884" builtinId="8" hidden="1"/>
    <cellStyle name="ハイパーリンク" xfId="5886" builtinId="8" hidden="1"/>
    <cellStyle name="ハイパーリンク" xfId="5888" builtinId="8" hidden="1"/>
    <cellStyle name="ハイパーリンク" xfId="5890" builtinId="8" hidden="1"/>
    <cellStyle name="ハイパーリンク" xfId="5892" builtinId="8" hidden="1"/>
    <cellStyle name="ハイパーリンク" xfId="5894" builtinId="8" hidden="1"/>
    <cellStyle name="ハイパーリンク" xfId="5896" builtinId="8" hidden="1"/>
    <cellStyle name="ハイパーリンク" xfId="5898" builtinId="8" hidden="1"/>
    <cellStyle name="ハイパーリンク" xfId="5900" builtinId="8" hidden="1"/>
    <cellStyle name="ハイパーリンク" xfId="5902" builtinId="8" hidden="1"/>
    <cellStyle name="ハイパーリンク" xfId="5904" builtinId="8" hidden="1"/>
    <cellStyle name="ハイパーリンク" xfId="5906" builtinId="8" hidden="1"/>
    <cellStyle name="ハイパーリンク" xfId="5908" builtinId="8" hidden="1"/>
    <cellStyle name="ハイパーリンク" xfId="5910" builtinId="8" hidden="1"/>
    <cellStyle name="ハイパーリンク" xfId="5912" builtinId="8" hidden="1"/>
    <cellStyle name="ハイパーリンク" xfId="5914" builtinId="8" hidden="1"/>
    <cellStyle name="ハイパーリンク" xfId="5916" builtinId="8" hidden="1"/>
    <cellStyle name="ハイパーリンク" xfId="5918" builtinId="8" hidden="1"/>
    <cellStyle name="ハイパーリンク" xfId="5920" builtinId="8" hidden="1"/>
    <cellStyle name="ハイパーリンク" xfId="5922" builtinId="8" hidden="1"/>
    <cellStyle name="ハイパーリンク" xfId="5924" builtinId="8" hidden="1"/>
    <cellStyle name="ハイパーリンク" xfId="5926" builtinId="8" hidden="1"/>
    <cellStyle name="ハイパーリンク" xfId="5928" builtinId="8" hidden="1"/>
    <cellStyle name="ハイパーリンク" xfId="5930" builtinId="8" hidden="1"/>
    <cellStyle name="ハイパーリンク" xfId="5932" builtinId="8" hidden="1"/>
    <cellStyle name="ハイパーリンク" xfId="5934" builtinId="8" hidden="1"/>
    <cellStyle name="ハイパーリンク" xfId="5936" builtinId="8" hidden="1"/>
    <cellStyle name="ハイパーリンク" xfId="5938" builtinId="8" hidden="1"/>
    <cellStyle name="ハイパーリンク" xfId="5940" builtinId="8" hidden="1"/>
    <cellStyle name="ハイパーリンク" xfId="5942" builtinId="8" hidden="1"/>
    <cellStyle name="ハイパーリンク" xfId="5944" builtinId="8" hidden="1"/>
    <cellStyle name="ハイパーリンク" xfId="5946" builtinId="8" hidden="1"/>
    <cellStyle name="ハイパーリンク" xfId="5948" builtinId="8" hidden="1"/>
    <cellStyle name="ハイパーリンク" xfId="5950" builtinId="8" hidden="1"/>
    <cellStyle name="ハイパーリンク" xfId="5952" builtinId="8" hidden="1"/>
    <cellStyle name="ハイパーリンク" xfId="5954" builtinId="8" hidden="1"/>
    <cellStyle name="ハイパーリンク" xfId="5956" builtinId="8" hidden="1"/>
    <cellStyle name="ハイパーリンク" xfId="5958" builtinId="8" hidden="1"/>
    <cellStyle name="ハイパーリンク" xfId="5960" builtinId="8" hidden="1"/>
    <cellStyle name="ハイパーリンク" xfId="5962" builtinId="8" hidden="1"/>
    <cellStyle name="ハイパーリンク" xfId="5964" builtinId="8" hidden="1"/>
    <cellStyle name="ハイパーリンク" xfId="5966" builtinId="8" hidden="1"/>
    <cellStyle name="ハイパーリンク" xfId="5968" builtinId="8" hidden="1"/>
    <cellStyle name="ハイパーリンク" xfId="5970" builtinId="8" hidden="1"/>
    <cellStyle name="ハイパーリンク" xfId="5972" builtinId="8" hidden="1"/>
    <cellStyle name="ハイパーリンク" xfId="5974" builtinId="8" hidden="1"/>
    <cellStyle name="ハイパーリンク" xfId="5976" builtinId="8" hidden="1"/>
    <cellStyle name="ハイパーリンク" xfId="5978" builtinId="8" hidden="1"/>
    <cellStyle name="ハイパーリンク" xfId="5980" builtinId="8" hidden="1"/>
    <cellStyle name="ハイパーリンク" xfId="5982" builtinId="8" hidden="1"/>
    <cellStyle name="ハイパーリンク" xfId="5984" builtinId="8" hidden="1"/>
    <cellStyle name="ハイパーリンク" xfId="5986" builtinId="8" hidden="1"/>
    <cellStyle name="ハイパーリンク" xfId="5988" builtinId="8" hidden="1"/>
    <cellStyle name="ハイパーリンク" xfId="5990" builtinId="8" hidden="1"/>
    <cellStyle name="ハイパーリンク" xfId="5992" builtinId="8" hidden="1"/>
    <cellStyle name="ハイパーリンク" xfId="5994" builtinId="8" hidden="1"/>
    <cellStyle name="ハイパーリンク" xfId="5996" builtinId="8" hidden="1"/>
    <cellStyle name="ハイパーリンク" xfId="5998" builtinId="8" hidden="1"/>
    <cellStyle name="ハイパーリンク" xfId="6000" builtinId="8" hidden="1"/>
    <cellStyle name="ハイパーリンク" xfId="6002" builtinId="8" hidden="1"/>
    <cellStyle name="ハイパーリンク" xfId="6004" builtinId="8" hidden="1"/>
    <cellStyle name="ハイパーリンク" xfId="6006" builtinId="8" hidden="1"/>
    <cellStyle name="ハイパーリンク" xfId="6008" builtinId="8" hidden="1"/>
    <cellStyle name="ハイパーリンク" xfId="6010" builtinId="8" hidden="1"/>
    <cellStyle name="ハイパーリンク" xfId="6012" builtinId="8" hidden="1"/>
    <cellStyle name="ハイパーリンク" xfId="6014" builtinId="8" hidden="1"/>
    <cellStyle name="ハイパーリンク" xfId="6016" builtinId="8" hidden="1"/>
    <cellStyle name="ハイパーリンク" xfId="6018" builtinId="8" hidden="1"/>
    <cellStyle name="ハイパーリンク" xfId="6020" builtinId="8" hidden="1"/>
    <cellStyle name="ハイパーリンク" xfId="6022" builtinId="8" hidden="1"/>
    <cellStyle name="ハイパーリンク" xfId="6024" builtinId="8" hidden="1"/>
    <cellStyle name="ハイパーリンク" xfId="6026" builtinId="8" hidden="1"/>
    <cellStyle name="ハイパーリンク" xfId="6028" builtinId="8" hidden="1"/>
    <cellStyle name="ハイパーリンク" xfId="6030" builtinId="8" hidden="1"/>
    <cellStyle name="ハイパーリンク" xfId="6032" builtinId="8" hidden="1"/>
    <cellStyle name="ハイパーリンク" xfId="6034" builtinId="8" hidden="1"/>
    <cellStyle name="ハイパーリンク" xfId="6036" builtinId="8" hidden="1"/>
    <cellStyle name="ハイパーリンク" xfId="6038" builtinId="8" hidden="1"/>
    <cellStyle name="ハイパーリンク" xfId="6040" builtinId="8" hidden="1"/>
    <cellStyle name="ハイパーリンク" xfId="6042" builtinId="8" hidden="1"/>
    <cellStyle name="ハイパーリンク" xfId="6044" builtinId="8" hidden="1"/>
    <cellStyle name="ハイパーリンク" xfId="6046" builtinId="8" hidden="1"/>
    <cellStyle name="ハイパーリンク" xfId="6048" builtinId="8" hidden="1"/>
    <cellStyle name="ハイパーリンク" xfId="6050" builtinId="8" hidden="1"/>
    <cellStyle name="ハイパーリンク" xfId="6052" builtinId="8" hidden="1"/>
    <cellStyle name="ハイパーリンク" xfId="6054" builtinId="8" hidden="1"/>
    <cellStyle name="ハイパーリンク" xfId="6056" builtinId="8" hidden="1"/>
    <cellStyle name="ハイパーリンク" xfId="6058" builtinId="8" hidden="1"/>
    <cellStyle name="ハイパーリンク" xfId="6060" builtinId="8" hidden="1"/>
    <cellStyle name="ハイパーリンク" xfId="6062" builtinId="8" hidden="1"/>
    <cellStyle name="ハイパーリンク" xfId="6064" builtinId="8" hidden="1"/>
    <cellStyle name="ハイパーリンク" xfId="6066" builtinId="8" hidden="1"/>
    <cellStyle name="ハイパーリンク" xfId="6068" builtinId="8" hidden="1"/>
    <cellStyle name="ハイパーリンク" xfId="6070" builtinId="8" hidden="1"/>
    <cellStyle name="ハイパーリンク" xfId="6072" builtinId="8" hidden="1"/>
    <cellStyle name="ハイパーリンク" xfId="6074" builtinId="8" hidden="1"/>
    <cellStyle name="ハイパーリンク" xfId="6076" builtinId="8" hidden="1"/>
    <cellStyle name="ハイパーリンク" xfId="6078" builtinId="8" hidden="1"/>
    <cellStyle name="ハイパーリンク" xfId="6080" builtinId="8" hidden="1"/>
    <cellStyle name="ハイパーリンク" xfId="6082" builtinId="8" hidden="1"/>
    <cellStyle name="ハイパーリンク" xfId="6084" builtinId="8" hidden="1"/>
    <cellStyle name="ハイパーリンク" xfId="6086" builtinId="8" hidden="1"/>
    <cellStyle name="ハイパーリンク" xfId="6088" builtinId="8" hidden="1"/>
    <cellStyle name="ハイパーリンク" xfId="6090" builtinId="8" hidden="1"/>
    <cellStyle name="ハイパーリンク" xfId="6092" builtinId="8" hidden="1"/>
    <cellStyle name="ハイパーリンク" xfId="6094" builtinId="8" hidden="1"/>
    <cellStyle name="ハイパーリンク" xfId="6096" builtinId="8" hidden="1"/>
    <cellStyle name="ハイパーリンク" xfId="6098" builtinId="8" hidden="1"/>
    <cellStyle name="ハイパーリンク" xfId="6100" builtinId="8" hidden="1"/>
    <cellStyle name="ハイパーリンク" xfId="6102" builtinId="8" hidden="1"/>
    <cellStyle name="ハイパーリンク" xfId="6104" builtinId="8" hidden="1"/>
    <cellStyle name="ハイパーリンク" xfId="6106" builtinId="8" hidden="1"/>
    <cellStyle name="ハイパーリンク" xfId="6108" builtinId="8" hidden="1"/>
    <cellStyle name="ハイパーリンク" xfId="6110" builtinId="8" hidden="1"/>
    <cellStyle name="ハイパーリンク" xfId="6112" builtinId="8" hidden="1"/>
    <cellStyle name="ハイパーリンク" xfId="6114" builtinId="8" hidden="1"/>
    <cellStyle name="ハイパーリンク" xfId="6116" builtinId="8" hidden="1"/>
    <cellStyle name="ハイパーリンク" xfId="6118" builtinId="8" hidden="1"/>
    <cellStyle name="ハイパーリンク" xfId="6120" builtinId="8" hidden="1"/>
    <cellStyle name="ハイパーリンク" xfId="6122" builtinId="8" hidden="1"/>
    <cellStyle name="ハイパーリンク" xfId="6124" builtinId="8" hidden="1"/>
    <cellStyle name="ハイパーリンク" xfId="6126" builtinId="8" hidden="1"/>
    <cellStyle name="ハイパーリンク" xfId="6128" builtinId="8" hidden="1"/>
    <cellStyle name="ハイパーリンク" xfId="6130" builtinId="8" hidden="1"/>
    <cellStyle name="ハイパーリンク" xfId="6132" builtinId="8" hidden="1"/>
    <cellStyle name="ハイパーリンク" xfId="6134" builtinId="8" hidden="1"/>
    <cellStyle name="ハイパーリンク" xfId="6136" builtinId="8" hidden="1"/>
    <cellStyle name="ハイパーリンク" xfId="6138" builtinId="8" hidden="1"/>
    <cellStyle name="ハイパーリンク" xfId="6140" builtinId="8" hidden="1"/>
    <cellStyle name="ハイパーリンク" xfId="6142" builtinId="8" hidden="1"/>
    <cellStyle name="ハイパーリンク" xfId="6144" builtinId="8" hidden="1"/>
    <cellStyle name="ハイパーリンク" xfId="6146" builtinId="8" hidden="1"/>
    <cellStyle name="ハイパーリンク" xfId="6148" builtinId="8" hidden="1"/>
    <cellStyle name="ハイパーリンク" xfId="6150" builtinId="8" hidden="1"/>
    <cellStyle name="ハイパーリンク" xfId="6152" builtinId="8" hidden="1"/>
    <cellStyle name="ハイパーリンク" xfId="6154" builtinId="8" hidden="1"/>
    <cellStyle name="ハイパーリンク" xfId="6156" builtinId="8" hidden="1"/>
    <cellStyle name="ハイパーリンク" xfId="6158" builtinId="8" hidden="1"/>
    <cellStyle name="ハイパーリンク" xfId="6160" builtinId="8" hidden="1"/>
    <cellStyle name="ハイパーリンク" xfId="6162" builtinId="8" hidden="1"/>
    <cellStyle name="ハイパーリンク" xfId="6164" builtinId="8" hidden="1"/>
    <cellStyle name="ハイパーリンク" xfId="6166" builtinId="8" hidden="1"/>
    <cellStyle name="ハイパーリンク" xfId="6168" builtinId="8" hidden="1"/>
    <cellStyle name="ハイパーリンク" xfId="6170" builtinId="8" hidden="1"/>
    <cellStyle name="ハイパーリンク" xfId="6172" builtinId="8" hidden="1"/>
    <cellStyle name="ハイパーリンク" xfId="6174" builtinId="8" hidden="1"/>
    <cellStyle name="ハイパーリンク" xfId="6176" builtinId="8" hidden="1"/>
    <cellStyle name="ハイパーリンク" xfId="6178" builtinId="8" hidden="1"/>
    <cellStyle name="ハイパーリンク" xfId="6180" builtinId="8" hidden="1"/>
    <cellStyle name="ハイパーリンク" xfId="6182" builtinId="8" hidden="1"/>
    <cellStyle name="ハイパーリンク" xfId="6184" builtinId="8" hidden="1"/>
    <cellStyle name="ハイパーリンク" xfId="6186" builtinId="8" hidden="1"/>
    <cellStyle name="ハイパーリンク" xfId="6188" builtinId="8" hidden="1"/>
    <cellStyle name="ハイパーリンク" xfId="6190" builtinId="8" hidden="1"/>
    <cellStyle name="ハイパーリンク" xfId="6192" builtinId="8" hidden="1"/>
    <cellStyle name="ハイパーリンク" xfId="6194" builtinId="8" hidden="1"/>
    <cellStyle name="ハイパーリンク" xfId="6196" builtinId="8" hidden="1"/>
    <cellStyle name="ハイパーリンク" xfId="6198" builtinId="8" hidden="1"/>
    <cellStyle name="ハイパーリンク" xfId="6200" builtinId="8" hidden="1"/>
    <cellStyle name="ハイパーリンク" xfId="6202" builtinId="8" hidden="1"/>
    <cellStyle name="ハイパーリンク" xfId="6204" builtinId="8" hidden="1"/>
    <cellStyle name="ハイパーリンク" xfId="6206" builtinId="8" hidden="1"/>
    <cellStyle name="ハイパーリンク" xfId="6208" builtinId="8" hidden="1"/>
    <cellStyle name="ハイパーリンク" xfId="6210" builtinId="8" hidden="1"/>
    <cellStyle name="ハイパーリンク" xfId="6212" builtinId="8" hidden="1"/>
    <cellStyle name="ハイパーリンク" xfId="6214" builtinId="8" hidden="1"/>
    <cellStyle name="ハイパーリンク" xfId="6216" builtinId="8" hidden="1"/>
    <cellStyle name="ハイパーリンク" xfId="6218" builtinId="8" hidden="1"/>
    <cellStyle name="ハイパーリンク" xfId="6220" builtinId="8" hidden="1"/>
    <cellStyle name="ハイパーリンク" xfId="6222" builtinId="8" hidden="1"/>
    <cellStyle name="ハイパーリンク" xfId="6224" builtinId="8" hidden="1"/>
    <cellStyle name="ハイパーリンク" xfId="6226" builtinId="8" hidden="1"/>
    <cellStyle name="ハイパーリンク" xfId="6228" builtinId="8" hidden="1"/>
    <cellStyle name="ハイパーリンク" xfId="6230" builtinId="8" hidden="1"/>
    <cellStyle name="ハイパーリンク" xfId="6232" builtinId="8" hidden="1"/>
    <cellStyle name="ハイパーリンク" xfId="6234" builtinId="8" hidden="1"/>
    <cellStyle name="ハイパーリンク" xfId="6236" builtinId="8" hidden="1"/>
    <cellStyle name="ハイパーリンク" xfId="6238" builtinId="8" hidden="1"/>
    <cellStyle name="ハイパーリンク" xfId="6240" builtinId="8" hidden="1"/>
    <cellStyle name="ハイパーリンク" xfId="6242" builtinId="8" hidden="1"/>
    <cellStyle name="ハイパーリンク" xfId="6244" builtinId="8" hidden="1"/>
    <cellStyle name="ハイパーリンク" xfId="6246" builtinId="8" hidden="1"/>
    <cellStyle name="ハイパーリンク" xfId="6248" builtinId="8" hidden="1"/>
    <cellStyle name="ハイパーリンク" xfId="6250" builtinId="8" hidden="1"/>
    <cellStyle name="ハイパーリンク" xfId="6252" builtinId="8" hidden="1"/>
    <cellStyle name="ハイパーリンク" xfId="6254" builtinId="8" hidden="1"/>
    <cellStyle name="ハイパーリンク" xfId="6256" builtinId="8" hidden="1"/>
    <cellStyle name="ハイパーリンク" xfId="6258" builtinId="8" hidden="1"/>
    <cellStyle name="ハイパーリンク" xfId="6260" builtinId="8" hidden="1"/>
    <cellStyle name="ハイパーリンク" xfId="6262" builtinId="8" hidden="1"/>
    <cellStyle name="ハイパーリンク" xfId="6264" builtinId="8" hidden="1"/>
    <cellStyle name="ハイパーリンク" xfId="6266" builtinId="8" hidden="1"/>
    <cellStyle name="ハイパーリンク" xfId="6268" builtinId="8" hidden="1"/>
    <cellStyle name="ハイパーリンク" xfId="6270" builtinId="8" hidden="1"/>
    <cellStyle name="ハイパーリンク" xfId="6272" builtinId="8" hidden="1"/>
    <cellStyle name="ハイパーリンク" xfId="6274" builtinId="8" hidden="1"/>
    <cellStyle name="ハイパーリンク" xfId="6276" builtinId="8" hidden="1"/>
    <cellStyle name="ハイパーリンク" xfId="6278" builtinId="8" hidden="1"/>
    <cellStyle name="ハイパーリンク" xfId="6280" builtinId="8" hidden="1"/>
    <cellStyle name="ハイパーリンク" xfId="6282" builtinId="8" hidden="1"/>
    <cellStyle name="ハイパーリンク" xfId="6284" builtinId="8" hidden="1"/>
    <cellStyle name="ハイパーリンク" xfId="6286" builtinId="8" hidden="1"/>
    <cellStyle name="ハイパーリンク" xfId="6288" builtinId="8" hidden="1"/>
    <cellStyle name="ハイパーリンク" xfId="6290" builtinId="8" hidden="1"/>
    <cellStyle name="ハイパーリンク" xfId="6292" builtinId="8" hidden="1"/>
    <cellStyle name="ハイパーリンク" xfId="6294" builtinId="8" hidden="1"/>
    <cellStyle name="ハイパーリンク" xfId="6296" builtinId="8" hidden="1"/>
    <cellStyle name="ハイパーリンク" xfId="6298" builtinId="8" hidden="1"/>
    <cellStyle name="ハイパーリンク" xfId="6300" builtinId="8" hidden="1"/>
    <cellStyle name="ハイパーリンク" xfId="6302" builtinId="8" hidden="1"/>
    <cellStyle name="ハイパーリンク" xfId="6304" builtinId="8" hidden="1"/>
    <cellStyle name="ハイパーリンク" xfId="6306" builtinId="8" hidden="1"/>
    <cellStyle name="ハイパーリンク" xfId="6308" builtinId="8" hidden="1"/>
    <cellStyle name="ハイパーリンク" xfId="6310" builtinId="8" hidden="1"/>
    <cellStyle name="ハイパーリンク" xfId="6312" builtinId="8" hidden="1"/>
    <cellStyle name="ハイパーリンク" xfId="6314" builtinId="8" hidden="1"/>
    <cellStyle name="ハイパーリンク" xfId="6316" builtinId="8" hidden="1"/>
    <cellStyle name="ハイパーリンク" xfId="6318" builtinId="8" hidden="1"/>
    <cellStyle name="ハイパーリンク" xfId="6320" builtinId="8" hidden="1"/>
    <cellStyle name="ハイパーリンク" xfId="6322" builtinId="8" hidden="1"/>
    <cellStyle name="ハイパーリンク" xfId="6324" builtinId="8" hidden="1"/>
    <cellStyle name="ハイパーリンク" xfId="6326" builtinId="8" hidden="1"/>
    <cellStyle name="ハイパーリンク" xfId="6328" builtinId="8" hidden="1"/>
    <cellStyle name="ハイパーリンク" xfId="6330" builtinId="8" hidden="1"/>
    <cellStyle name="ハイパーリンク" xfId="6332" builtinId="8" hidden="1"/>
    <cellStyle name="ハイパーリンク" xfId="6334" builtinId="8" hidden="1"/>
    <cellStyle name="ハイパーリンク" xfId="6336" builtinId="8" hidden="1"/>
    <cellStyle name="ハイパーリンク" xfId="6338" builtinId="8" hidden="1"/>
    <cellStyle name="ハイパーリンク" xfId="6340" builtinId="8" hidden="1"/>
    <cellStyle name="ハイパーリンク" xfId="6342" builtinId="8" hidden="1"/>
    <cellStyle name="ハイパーリンク" xfId="6344" builtinId="8" hidden="1"/>
    <cellStyle name="ハイパーリンク" xfId="6346" builtinId="8" hidden="1"/>
    <cellStyle name="ハイパーリンク" xfId="6348" builtinId="8" hidden="1"/>
    <cellStyle name="ハイパーリンク" xfId="6350" builtinId="8" hidden="1"/>
    <cellStyle name="ハイパーリンク" xfId="6352" builtinId="8" hidden="1"/>
    <cellStyle name="ハイパーリンク" xfId="6354" builtinId="8" hidden="1"/>
    <cellStyle name="ハイパーリンク" xfId="6356" builtinId="8" hidden="1"/>
    <cellStyle name="ハイパーリンク" xfId="6358" builtinId="8" hidden="1"/>
    <cellStyle name="ハイパーリンク" xfId="6360" builtinId="8" hidden="1"/>
    <cellStyle name="ハイパーリンク" xfId="6362" builtinId="8" hidden="1"/>
    <cellStyle name="ハイパーリンク" xfId="6364" builtinId="8" hidden="1"/>
    <cellStyle name="ハイパーリンク" xfId="6366" builtinId="8" hidden="1"/>
    <cellStyle name="ハイパーリンク" xfId="6368" builtinId="8" hidden="1"/>
    <cellStyle name="ハイパーリンク" xfId="6370" builtinId="8" hidden="1"/>
    <cellStyle name="ハイパーリンク" xfId="6372" builtinId="8" hidden="1"/>
    <cellStyle name="ハイパーリンク" xfId="6374" builtinId="8" hidden="1"/>
    <cellStyle name="ハイパーリンク" xfId="6376" builtinId="8" hidden="1"/>
    <cellStyle name="ハイパーリンク" xfId="6378" builtinId="8" hidden="1"/>
    <cellStyle name="ハイパーリンク" xfId="6380" builtinId="8" hidden="1"/>
    <cellStyle name="ハイパーリンク" xfId="6382" builtinId="8" hidden="1"/>
    <cellStyle name="ハイパーリンク" xfId="6384" builtinId="8" hidden="1"/>
    <cellStyle name="ハイパーリンク" xfId="6386" builtinId="8" hidden="1"/>
    <cellStyle name="ハイパーリンク" xfId="6388" builtinId="8" hidden="1"/>
    <cellStyle name="ハイパーリンク" xfId="6390" builtinId="8" hidden="1"/>
    <cellStyle name="ハイパーリンク" xfId="6392" builtinId="8" hidden="1"/>
    <cellStyle name="ハイパーリンク" xfId="6394" builtinId="8" hidden="1"/>
    <cellStyle name="ハイパーリンク" xfId="6396" builtinId="8" hidden="1"/>
    <cellStyle name="ハイパーリンク" xfId="6398" builtinId="8" hidden="1"/>
    <cellStyle name="ハイパーリンク" xfId="6400" builtinId="8" hidden="1"/>
    <cellStyle name="ハイパーリンク" xfId="6402" builtinId="8" hidden="1"/>
    <cellStyle name="ハイパーリンク" xfId="6404" builtinId="8" hidden="1"/>
    <cellStyle name="ハイパーリンク" xfId="6406" builtinId="8" hidden="1"/>
    <cellStyle name="ハイパーリンク" xfId="6408" builtinId="8" hidden="1"/>
    <cellStyle name="ハイパーリンク" xfId="6410" builtinId="8" hidden="1"/>
    <cellStyle name="ハイパーリンク" xfId="6412" builtinId="8" hidden="1"/>
    <cellStyle name="ハイパーリンク" xfId="6414" builtinId="8" hidden="1"/>
    <cellStyle name="ハイパーリンク" xfId="6416" builtinId="8" hidden="1"/>
    <cellStyle name="ハイパーリンク" xfId="6418" builtinId="8" hidden="1"/>
    <cellStyle name="ハイパーリンク" xfId="6420" builtinId="8" hidden="1"/>
    <cellStyle name="ハイパーリンク" xfId="6422" builtinId="8" hidden="1"/>
    <cellStyle name="ハイパーリンク" xfId="6424" builtinId="8" hidden="1"/>
    <cellStyle name="ハイパーリンク" xfId="6426" builtinId="8" hidden="1"/>
    <cellStyle name="ハイパーリンク" xfId="6428" builtinId="8" hidden="1"/>
    <cellStyle name="ハイパーリンク" xfId="6430" builtinId="8" hidden="1"/>
    <cellStyle name="ハイパーリンク" xfId="6432" builtinId="8" hidden="1"/>
    <cellStyle name="ハイパーリンク" xfId="6434" builtinId="8" hidden="1"/>
    <cellStyle name="ハイパーリンク" xfId="6436" builtinId="8" hidden="1"/>
    <cellStyle name="ハイパーリンク" xfId="6438" builtinId="8" hidden="1"/>
    <cellStyle name="ハイパーリンク" xfId="6440" builtinId="8" hidden="1"/>
    <cellStyle name="ハイパーリンク" xfId="6442" builtinId="8" hidden="1"/>
    <cellStyle name="ハイパーリンク" xfId="6444" builtinId="8" hidden="1"/>
    <cellStyle name="ハイパーリンク" xfId="6446" builtinId="8" hidden="1"/>
    <cellStyle name="ハイパーリンク" xfId="6448" builtinId="8" hidden="1"/>
    <cellStyle name="ハイパーリンク" xfId="6450" builtinId="8" hidden="1"/>
    <cellStyle name="ハイパーリンク" xfId="6452" builtinId="8" hidden="1"/>
    <cellStyle name="ハイパーリンク" xfId="6454" builtinId="8" hidden="1"/>
    <cellStyle name="ハイパーリンク" xfId="6456" builtinId="8" hidden="1"/>
    <cellStyle name="ハイパーリンク" xfId="6458" builtinId="8" hidden="1"/>
    <cellStyle name="ハイパーリンク" xfId="6460" builtinId="8" hidden="1"/>
    <cellStyle name="ハイパーリンク" xfId="6462" builtinId="8" hidden="1"/>
    <cellStyle name="ハイパーリンク" xfId="6464" builtinId="8" hidden="1"/>
    <cellStyle name="ハイパーリンク" xfId="6466" builtinId="8" hidden="1"/>
    <cellStyle name="ハイパーリンク" xfId="6468" builtinId="8" hidden="1"/>
    <cellStyle name="ハイパーリンク" xfId="6470" builtinId="8" hidden="1"/>
    <cellStyle name="ハイパーリンク" xfId="6472" builtinId="8" hidden="1"/>
    <cellStyle name="ハイパーリンク" xfId="6474" builtinId="8" hidden="1"/>
    <cellStyle name="ハイパーリンク" xfId="6476" builtinId="8" hidden="1"/>
    <cellStyle name="ハイパーリンク" xfId="6478" builtinId="8" hidden="1"/>
    <cellStyle name="ハイパーリンク" xfId="6480" builtinId="8" hidden="1"/>
    <cellStyle name="ハイパーリンク" xfId="6482" builtinId="8" hidden="1"/>
    <cellStyle name="ハイパーリンク" xfId="6484" builtinId="8" hidden="1"/>
    <cellStyle name="ハイパーリンク" xfId="6486" builtinId="8" hidden="1"/>
    <cellStyle name="ハイパーリンク" xfId="6488" builtinId="8" hidden="1"/>
    <cellStyle name="ハイパーリンク" xfId="6490" builtinId="8" hidden="1"/>
    <cellStyle name="ハイパーリンク" xfId="6492" builtinId="8" hidden="1"/>
    <cellStyle name="ハイパーリンク" xfId="6494" builtinId="8" hidden="1"/>
    <cellStyle name="ハイパーリンク" xfId="6496" builtinId="8" hidden="1"/>
    <cellStyle name="ハイパーリンク" xfId="6498" builtinId="8" hidden="1"/>
    <cellStyle name="ハイパーリンク" xfId="6500" builtinId="8" hidden="1"/>
    <cellStyle name="ハイパーリンク" xfId="6502" builtinId="8" hidden="1"/>
    <cellStyle name="ハイパーリンク" xfId="6504" builtinId="8" hidden="1"/>
    <cellStyle name="ハイパーリンク" xfId="6506" builtinId="8" hidden="1"/>
    <cellStyle name="ハイパーリンク" xfId="6508" builtinId="8" hidden="1"/>
    <cellStyle name="ハイパーリンク" xfId="6510" builtinId="8" hidden="1"/>
    <cellStyle name="ハイパーリンク" xfId="6512" builtinId="8" hidden="1"/>
    <cellStyle name="ハイパーリンク" xfId="6514" builtinId="8" hidden="1"/>
    <cellStyle name="ハイパーリンク" xfId="6516" builtinId="8" hidden="1"/>
    <cellStyle name="ハイパーリンク" xfId="6518" builtinId="8" hidden="1"/>
    <cellStyle name="ハイパーリンク" xfId="6520" builtinId="8" hidden="1"/>
    <cellStyle name="ハイパーリンク" xfId="6522" builtinId="8" hidden="1"/>
    <cellStyle name="ハイパーリンク" xfId="6524" builtinId="8" hidden="1"/>
    <cellStyle name="ハイパーリンク" xfId="6526" builtinId="8" hidden="1"/>
    <cellStyle name="ハイパーリンク" xfId="6528" builtinId="8" hidden="1"/>
    <cellStyle name="ハイパーリンク" xfId="6530" builtinId="8" hidden="1"/>
    <cellStyle name="ハイパーリンク" xfId="6532" builtinId="8" hidden="1"/>
    <cellStyle name="ハイパーリンク" xfId="6534" builtinId="8" hidden="1"/>
    <cellStyle name="ハイパーリンク" xfId="6536" builtinId="8" hidden="1"/>
    <cellStyle name="ハイパーリンク" xfId="6538" builtinId="8" hidden="1"/>
    <cellStyle name="ハイパーリンク" xfId="6540" builtinId="8" hidden="1"/>
    <cellStyle name="ハイパーリンク" xfId="6542" builtinId="8" hidden="1"/>
    <cellStyle name="ハイパーリンク" xfId="6544" builtinId="8" hidden="1"/>
    <cellStyle name="ハイパーリンク" xfId="6546" builtinId="8" hidden="1"/>
    <cellStyle name="ハイパーリンク" xfId="6548" builtinId="8" hidden="1"/>
    <cellStyle name="ハイパーリンク" xfId="6550" builtinId="8" hidden="1"/>
    <cellStyle name="ハイパーリンク" xfId="6552" builtinId="8" hidden="1"/>
    <cellStyle name="ハイパーリンク" xfId="6554" builtinId="8" hidden="1"/>
    <cellStyle name="ハイパーリンク" xfId="6556" builtinId="8" hidden="1"/>
    <cellStyle name="ハイパーリンク" xfId="6558" builtinId="8" hidden="1"/>
    <cellStyle name="ハイパーリンク" xfId="6560" builtinId="8" hidden="1"/>
    <cellStyle name="ハイパーリンク" xfId="6562" builtinId="8" hidden="1"/>
    <cellStyle name="ハイパーリンク" xfId="6564" builtinId="8" hidden="1"/>
    <cellStyle name="ハイパーリンク" xfId="6566" builtinId="8" hidden="1"/>
    <cellStyle name="ハイパーリンク" xfId="6568" builtinId="8" hidden="1"/>
    <cellStyle name="ハイパーリンク" xfId="6570" builtinId="8" hidden="1"/>
    <cellStyle name="ハイパーリンク" xfId="6572" builtinId="8" hidden="1"/>
    <cellStyle name="ハイパーリンク" xfId="6574" builtinId="8" hidden="1"/>
    <cellStyle name="ハイパーリンク" xfId="6576" builtinId="8" hidden="1"/>
    <cellStyle name="ハイパーリンク" xfId="6578" builtinId="8" hidden="1"/>
    <cellStyle name="ハイパーリンク" xfId="6580" builtinId="8" hidden="1"/>
    <cellStyle name="ハイパーリンク" xfId="6582" builtinId="8" hidden="1"/>
    <cellStyle name="ハイパーリンク" xfId="6584" builtinId="8" hidden="1"/>
    <cellStyle name="ハイパーリンク" xfId="6586" builtinId="8" hidden="1"/>
    <cellStyle name="ハイパーリンク" xfId="6588" builtinId="8" hidden="1"/>
    <cellStyle name="ハイパーリンク" xfId="6590" builtinId="8" hidden="1"/>
    <cellStyle name="ハイパーリンク" xfId="6592" builtinId="8" hidden="1"/>
    <cellStyle name="ハイパーリンク" xfId="6594" builtinId="8" hidden="1"/>
    <cellStyle name="ハイパーリンク" xfId="6596" builtinId="8" hidden="1"/>
    <cellStyle name="ハイパーリンク" xfId="6598" builtinId="8" hidden="1"/>
    <cellStyle name="ハイパーリンク" xfId="6600" builtinId="8" hidden="1"/>
    <cellStyle name="ハイパーリンク" xfId="6602" builtinId="8" hidden="1"/>
    <cellStyle name="ハイパーリンク" xfId="6604" builtinId="8" hidden="1"/>
    <cellStyle name="ハイパーリンク" xfId="6606" builtinId="8" hidden="1"/>
    <cellStyle name="ハイパーリンク" xfId="6608" builtinId="8" hidden="1"/>
    <cellStyle name="ハイパーリンク" xfId="6610" builtinId="8" hidden="1"/>
    <cellStyle name="ハイパーリンク" xfId="6612" builtinId="8" hidden="1"/>
    <cellStyle name="ハイパーリンク" xfId="6614" builtinId="8" hidden="1"/>
    <cellStyle name="ハイパーリンク" xfId="6616" builtinId="8" hidden="1"/>
    <cellStyle name="ハイパーリンク" xfId="6618" builtinId="8" hidden="1"/>
    <cellStyle name="ハイパーリンク" xfId="6620" builtinId="8" hidden="1"/>
    <cellStyle name="ハイパーリンク" xfId="6622" builtinId="8" hidden="1"/>
    <cellStyle name="ハイパーリンク" xfId="6624" builtinId="8" hidden="1"/>
    <cellStyle name="ハイパーリンク" xfId="6626" builtinId="8" hidden="1"/>
    <cellStyle name="ハイパーリンク" xfId="6628" builtinId="8" hidden="1"/>
    <cellStyle name="ハイパーリンク" xfId="6630" builtinId="8" hidden="1"/>
    <cellStyle name="ハイパーリンク" xfId="6632" builtinId="8" hidden="1"/>
    <cellStyle name="ハイパーリンク" xfId="6634" builtinId="8" hidden="1"/>
    <cellStyle name="ハイパーリンク" xfId="6636" builtinId="8" hidden="1"/>
    <cellStyle name="ハイパーリンク" xfId="6638" builtinId="8" hidden="1"/>
    <cellStyle name="ハイパーリンク" xfId="6640" builtinId="8" hidden="1"/>
    <cellStyle name="ハイパーリンク" xfId="6642" builtinId="8" hidden="1"/>
    <cellStyle name="ハイパーリンク" xfId="6644" builtinId="8" hidden="1"/>
    <cellStyle name="ハイパーリンク" xfId="6646" builtinId="8" hidden="1"/>
    <cellStyle name="ハイパーリンク" xfId="6648" builtinId="8" hidden="1"/>
    <cellStyle name="ハイパーリンク" xfId="6650" builtinId="8" hidden="1"/>
    <cellStyle name="ハイパーリンク" xfId="6652" builtinId="8" hidden="1"/>
    <cellStyle name="ハイパーリンク" xfId="6654" builtinId="8" hidden="1"/>
    <cellStyle name="ハイパーリンク" xfId="6656" builtinId="8" hidden="1"/>
    <cellStyle name="ハイパーリンク" xfId="6658" builtinId="8" hidden="1"/>
    <cellStyle name="ハイパーリンク" xfId="6660" builtinId="8" hidden="1"/>
    <cellStyle name="ハイパーリンク" xfId="6662" builtinId="8" hidden="1"/>
    <cellStyle name="ハイパーリンク" xfId="6664" builtinId="8" hidden="1"/>
    <cellStyle name="ハイパーリンク" xfId="6666" builtinId="8" hidden="1"/>
    <cellStyle name="ハイパーリンク" xfId="6668" builtinId="8" hidden="1"/>
    <cellStyle name="ハイパーリンク" xfId="6670" builtinId="8" hidden="1"/>
    <cellStyle name="ハイパーリンク" xfId="6672" builtinId="8" hidden="1"/>
    <cellStyle name="ハイパーリンク" xfId="6674" builtinId="8" hidden="1"/>
    <cellStyle name="ハイパーリンク" xfId="6676" builtinId="8" hidden="1"/>
    <cellStyle name="ハイパーリンク" xfId="6678" builtinId="8" hidden="1"/>
    <cellStyle name="ハイパーリンク" xfId="6680" builtinId="8" hidden="1"/>
    <cellStyle name="ハイパーリンク" xfId="6682" builtinId="8" hidden="1"/>
    <cellStyle name="ハイパーリンク" xfId="6684" builtinId="8" hidden="1"/>
    <cellStyle name="ハイパーリンク" xfId="6686" builtinId="8" hidden="1"/>
    <cellStyle name="ハイパーリンク" xfId="6688" builtinId="8" hidden="1"/>
    <cellStyle name="ハイパーリンク" xfId="6690" builtinId="8" hidden="1"/>
    <cellStyle name="ハイパーリンク" xfId="6692" builtinId="8" hidden="1"/>
    <cellStyle name="ハイパーリンク" xfId="6694" builtinId="8" hidden="1"/>
    <cellStyle name="ハイパーリンク" xfId="6696" builtinId="8" hidden="1"/>
    <cellStyle name="ハイパーリンク" xfId="6698" builtinId="8" hidden="1"/>
    <cellStyle name="ハイパーリンク" xfId="6700" builtinId="8" hidden="1"/>
    <cellStyle name="ハイパーリンク" xfId="6702" builtinId="8" hidden="1"/>
    <cellStyle name="ハイパーリンク" xfId="6704" builtinId="8" hidden="1"/>
    <cellStyle name="ハイパーリンク" xfId="6706" builtinId="8" hidden="1"/>
    <cellStyle name="ハイパーリンク" xfId="6708" builtinId="8" hidden="1"/>
    <cellStyle name="ハイパーリンク" xfId="6710" builtinId="8" hidden="1"/>
    <cellStyle name="ハイパーリンク" xfId="6712" builtinId="8" hidden="1"/>
    <cellStyle name="ハイパーリンク" xfId="6714" builtinId="8" hidden="1"/>
    <cellStyle name="ハイパーリンク" xfId="6716" builtinId="8" hidden="1"/>
    <cellStyle name="ハイパーリンク" xfId="6718" builtinId="8" hidden="1"/>
    <cellStyle name="ハイパーリンク" xfId="6720" builtinId="8" hidden="1"/>
    <cellStyle name="ハイパーリンク" xfId="6722" builtinId="8" hidden="1"/>
    <cellStyle name="ハイパーリンク" xfId="6724" builtinId="8" hidden="1"/>
    <cellStyle name="ハイパーリンク" xfId="6726" builtinId="8" hidden="1"/>
    <cellStyle name="ハイパーリンク" xfId="6728" builtinId="8" hidden="1"/>
    <cellStyle name="ハイパーリンク" xfId="6730" builtinId="8" hidden="1"/>
    <cellStyle name="ハイパーリンク" xfId="6732" builtinId="8" hidden="1"/>
    <cellStyle name="ハイパーリンク" xfId="6734" builtinId="8" hidden="1"/>
    <cellStyle name="ハイパーリンク" xfId="6736" builtinId="8" hidden="1"/>
    <cellStyle name="ハイパーリンク" xfId="6738" builtinId="8" hidden="1"/>
    <cellStyle name="ハイパーリンク" xfId="6740" builtinId="8" hidden="1"/>
    <cellStyle name="ハイパーリンク" xfId="6742" builtinId="8" hidden="1"/>
    <cellStyle name="ハイパーリンク" xfId="6744" builtinId="8" hidden="1"/>
    <cellStyle name="ハイパーリンク" xfId="6746" builtinId="8" hidden="1"/>
    <cellStyle name="ハイパーリンク" xfId="6748" builtinId="8" hidden="1"/>
    <cellStyle name="ハイパーリンク" xfId="6750" builtinId="8" hidden="1"/>
    <cellStyle name="ハイパーリンク" xfId="6752" builtinId="8" hidden="1"/>
    <cellStyle name="ハイパーリンク" xfId="6754" builtinId="8" hidden="1"/>
    <cellStyle name="ハイパーリンク" xfId="6756" builtinId="8" hidden="1"/>
    <cellStyle name="ハイパーリンク" xfId="6758" builtinId="8" hidden="1"/>
    <cellStyle name="ハイパーリンク" xfId="6760" builtinId="8" hidden="1"/>
    <cellStyle name="ハイパーリンク" xfId="6762" builtinId="8" hidden="1"/>
    <cellStyle name="ハイパーリンク" xfId="6764" builtinId="8" hidden="1"/>
    <cellStyle name="ハイパーリンク" xfId="6766" builtinId="8" hidden="1"/>
    <cellStyle name="ハイパーリンク" xfId="6768" builtinId="8" hidden="1"/>
    <cellStyle name="ハイパーリンク" xfId="6770" builtinId="8" hidden="1"/>
    <cellStyle name="ハイパーリンク" xfId="6772" builtinId="8" hidden="1"/>
    <cellStyle name="ハイパーリンク" xfId="6774" builtinId="8" hidden="1"/>
    <cellStyle name="ハイパーリンク" xfId="6776" builtinId="8" hidden="1"/>
    <cellStyle name="ハイパーリンク" xfId="6778" builtinId="8" hidden="1"/>
    <cellStyle name="ハイパーリンク" xfId="6780" builtinId="8" hidden="1"/>
    <cellStyle name="ハイパーリンク" xfId="6782" builtinId="8" hidden="1"/>
    <cellStyle name="ハイパーリンク" xfId="6784" builtinId="8" hidden="1"/>
    <cellStyle name="ハイパーリンク" xfId="6786" builtinId="8" hidden="1"/>
    <cellStyle name="ハイパーリンク" xfId="6788" builtinId="8" hidden="1"/>
    <cellStyle name="ハイパーリンク" xfId="6790" builtinId="8" hidden="1"/>
    <cellStyle name="ハイパーリンク" xfId="6792" builtinId="8" hidden="1"/>
    <cellStyle name="ハイパーリンク" xfId="6794" builtinId="8" hidden="1"/>
    <cellStyle name="ハイパーリンク" xfId="6796" builtinId="8" hidden="1"/>
    <cellStyle name="ハイパーリンク" xfId="6798" builtinId="8" hidden="1"/>
    <cellStyle name="ハイパーリンク" xfId="6800" builtinId="8" hidden="1"/>
    <cellStyle name="ハイパーリンク" xfId="6802" builtinId="8" hidden="1"/>
    <cellStyle name="ハイパーリンク" xfId="6804" builtinId="8" hidden="1"/>
    <cellStyle name="ハイパーリンク" xfId="6806" builtinId="8" hidden="1"/>
    <cellStyle name="ハイパーリンク" xfId="6808" builtinId="8" hidden="1"/>
    <cellStyle name="ハイパーリンク" xfId="6810" builtinId="8" hidden="1"/>
    <cellStyle name="ハイパーリンク" xfId="6812" builtinId="8" hidden="1"/>
    <cellStyle name="ハイパーリンク" xfId="6814" builtinId="8" hidden="1"/>
    <cellStyle name="ハイパーリンク" xfId="6816" builtinId="8" hidden="1"/>
    <cellStyle name="ハイパーリンク" xfId="6818" builtinId="8" hidden="1"/>
    <cellStyle name="ハイパーリンク" xfId="6820" builtinId="8" hidden="1"/>
    <cellStyle name="ハイパーリンク" xfId="6822" builtinId="8" hidden="1"/>
    <cellStyle name="ハイパーリンク" xfId="6824" builtinId="8" hidden="1"/>
    <cellStyle name="ハイパーリンク" xfId="6826" builtinId="8" hidden="1"/>
    <cellStyle name="ハイパーリンク" xfId="6828" builtinId="8" hidden="1"/>
    <cellStyle name="ハイパーリンク" xfId="6830" builtinId="8" hidden="1"/>
    <cellStyle name="ハイパーリンク" xfId="6832" builtinId="8" hidden="1"/>
    <cellStyle name="ハイパーリンク" xfId="6834" builtinId="8" hidden="1"/>
    <cellStyle name="ハイパーリンク" xfId="6836" builtinId="8" hidden="1"/>
    <cellStyle name="ハイパーリンク" xfId="6838" builtinId="8" hidden="1"/>
    <cellStyle name="ハイパーリンク" xfId="6840" builtinId="8" hidden="1"/>
    <cellStyle name="ハイパーリンク" xfId="6842" builtinId="8" hidden="1"/>
    <cellStyle name="ハイパーリンク" xfId="6844" builtinId="8" hidden="1"/>
    <cellStyle name="ハイパーリンク" xfId="6846" builtinId="8" hidden="1"/>
    <cellStyle name="ハイパーリンク" xfId="6848" builtinId="8" hidden="1"/>
    <cellStyle name="ハイパーリンク" xfId="6850" builtinId="8" hidden="1"/>
    <cellStyle name="ハイパーリンク" xfId="6852" builtinId="8" hidden="1"/>
    <cellStyle name="ハイパーリンク" xfId="6854" builtinId="8" hidden="1"/>
    <cellStyle name="ハイパーリンク" xfId="6856" builtinId="8" hidden="1"/>
    <cellStyle name="ハイパーリンク" xfId="6858" builtinId="8" hidden="1"/>
    <cellStyle name="ハイパーリンク" xfId="6860" builtinId="8" hidden="1"/>
    <cellStyle name="ハイパーリンク" xfId="6862" builtinId="8" hidden="1"/>
    <cellStyle name="ハイパーリンク" xfId="6864" builtinId="8" hidden="1"/>
    <cellStyle name="ハイパーリンク" xfId="6866" builtinId="8" hidden="1"/>
    <cellStyle name="ハイパーリンク" xfId="6868" builtinId="8" hidden="1"/>
    <cellStyle name="ハイパーリンク" xfId="6870" builtinId="8" hidden="1"/>
    <cellStyle name="ハイパーリンク" xfId="6872" builtinId="8" hidden="1"/>
    <cellStyle name="ハイパーリンク" xfId="6874" builtinId="8" hidden="1"/>
    <cellStyle name="ハイパーリンク" xfId="6876" builtinId="8" hidden="1"/>
    <cellStyle name="ハイパーリンク" xfId="6878" builtinId="8" hidden="1"/>
    <cellStyle name="ハイパーリンク" xfId="6880" builtinId="8" hidden="1"/>
    <cellStyle name="ハイパーリンク" xfId="6882" builtinId="8" hidden="1"/>
    <cellStyle name="ハイパーリンク" xfId="6884" builtinId="8" hidden="1"/>
    <cellStyle name="ハイパーリンク" xfId="6886" builtinId="8" hidden="1"/>
    <cellStyle name="ハイパーリンク" xfId="6888" builtinId="8" hidden="1"/>
    <cellStyle name="ハイパーリンク" xfId="6890" builtinId="8" hidden="1"/>
    <cellStyle name="ハイパーリンク" xfId="6892" builtinId="8" hidden="1"/>
    <cellStyle name="ハイパーリンク" xfId="6894" builtinId="8" hidden="1"/>
    <cellStyle name="ハイパーリンク" xfId="6896" builtinId="8" hidden="1"/>
    <cellStyle name="ハイパーリンク" xfId="6898" builtinId="8" hidden="1"/>
    <cellStyle name="ハイパーリンク" xfId="6900" builtinId="8" hidden="1"/>
    <cellStyle name="ハイパーリンク" xfId="6902" builtinId="8" hidden="1"/>
    <cellStyle name="ハイパーリンク" xfId="6904" builtinId="8" hidden="1"/>
    <cellStyle name="ハイパーリンク" xfId="6906" builtinId="8" hidden="1"/>
    <cellStyle name="ハイパーリンク" xfId="6908" builtinId="8" hidden="1"/>
    <cellStyle name="ハイパーリンク" xfId="6910" builtinId="8" hidden="1"/>
    <cellStyle name="ハイパーリンク" xfId="6912" builtinId="8" hidden="1"/>
    <cellStyle name="ハイパーリンク" xfId="6914" builtinId="8" hidden="1"/>
    <cellStyle name="ハイパーリンク" xfId="6916" builtinId="8" hidden="1"/>
    <cellStyle name="ハイパーリンク" xfId="6918" builtinId="8" hidden="1"/>
    <cellStyle name="ハイパーリンク" xfId="6920" builtinId="8" hidden="1"/>
    <cellStyle name="ハイパーリンク" xfId="6922" builtinId="8" hidden="1"/>
    <cellStyle name="ハイパーリンク" xfId="6924" builtinId="8" hidden="1"/>
    <cellStyle name="ハイパーリンク" xfId="6926" builtinId="8" hidden="1"/>
    <cellStyle name="ハイパーリンク" xfId="6928" builtinId="8" hidden="1"/>
    <cellStyle name="ハイパーリンク" xfId="6930" builtinId="8" hidden="1"/>
    <cellStyle name="ハイパーリンク" xfId="6932" builtinId="8" hidden="1"/>
    <cellStyle name="ハイパーリンク" xfId="6934" builtinId="8" hidden="1"/>
    <cellStyle name="ハイパーリンク" xfId="6936" builtinId="8" hidden="1"/>
    <cellStyle name="ハイパーリンク" xfId="6938" builtinId="8" hidden="1"/>
    <cellStyle name="ハイパーリンク" xfId="6940" builtinId="8" hidden="1"/>
    <cellStyle name="ハイパーリンク" xfId="6942" builtinId="8" hidden="1"/>
    <cellStyle name="ハイパーリンク" xfId="6944" builtinId="8" hidden="1"/>
    <cellStyle name="ハイパーリンク" xfId="6946" builtinId="8" hidden="1"/>
    <cellStyle name="ハイパーリンク" xfId="6948" builtinId="8" hidden="1"/>
    <cellStyle name="ハイパーリンク" xfId="6950" builtinId="8" hidden="1"/>
    <cellStyle name="ハイパーリンク" xfId="6952" builtinId="8" hidden="1"/>
    <cellStyle name="ハイパーリンク" xfId="6954" builtinId="8" hidden="1"/>
    <cellStyle name="ハイパーリンク" xfId="6956" builtinId="8" hidden="1"/>
    <cellStyle name="ハイパーリンク" xfId="6958" builtinId="8" hidden="1"/>
    <cellStyle name="ハイパーリンク" xfId="6960" builtinId="8" hidden="1"/>
    <cellStyle name="ハイパーリンク" xfId="6962" builtinId="8" hidden="1"/>
    <cellStyle name="ハイパーリンク" xfId="6964" builtinId="8" hidden="1"/>
    <cellStyle name="ハイパーリンク" xfId="6966" builtinId="8" hidden="1"/>
    <cellStyle name="ハイパーリンク" xfId="6972" builtinId="8" hidden="1"/>
    <cellStyle name="ハイパーリンク" xfId="6974" builtinId="8" hidden="1"/>
    <cellStyle name="ハイパーリンク" xfId="6976" builtinId="8" hidden="1"/>
    <cellStyle name="ハイパーリンク" xfId="6978" builtinId="8" hidden="1"/>
    <cellStyle name="ハイパーリンク" xfId="6980" builtinId="8" hidden="1"/>
    <cellStyle name="ハイパーリンク" xfId="6982" builtinId="8" hidden="1"/>
    <cellStyle name="ハイパーリンク" xfId="6984" builtinId="8" hidden="1"/>
    <cellStyle name="ハイパーリンク" xfId="6986" builtinId="8" hidden="1"/>
    <cellStyle name="ハイパーリンク" xfId="6988" builtinId="8" hidden="1"/>
    <cellStyle name="ハイパーリンク" xfId="6990" builtinId="8" hidden="1"/>
    <cellStyle name="ハイパーリンク" xfId="6992" builtinId="8" hidden="1"/>
    <cellStyle name="ハイパーリンク" xfId="6994" builtinId="8" hidden="1"/>
    <cellStyle name="ハイパーリンク" xfId="6996" builtinId="8" hidden="1"/>
    <cellStyle name="ハイパーリンク" xfId="6998" builtinId="8" hidden="1"/>
    <cellStyle name="ハイパーリンク" xfId="7000" builtinId="8" hidden="1"/>
    <cellStyle name="ハイパーリンク" xfId="7002" builtinId="8" hidden="1"/>
    <cellStyle name="ハイパーリンク" xfId="7004" builtinId="8" hidden="1"/>
    <cellStyle name="ハイパーリンク" xfId="7006" builtinId="8" hidden="1"/>
    <cellStyle name="ハイパーリンク" xfId="7008" builtinId="8" hidden="1"/>
    <cellStyle name="ハイパーリンク" xfId="7010" builtinId="8" hidden="1"/>
    <cellStyle name="ハイパーリンク" xfId="7012" builtinId="8" hidden="1"/>
    <cellStyle name="ハイパーリンク" xfId="7014" builtinId="8" hidden="1"/>
    <cellStyle name="ハイパーリンク" xfId="7016" builtinId="8" hidden="1"/>
    <cellStyle name="ハイパーリンク" xfId="7018" builtinId="8" hidden="1"/>
    <cellStyle name="ハイパーリンク" xfId="7020" builtinId="8" hidden="1"/>
    <cellStyle name="ハイパーリンク" xfId="7022" builtinId="8" hidden="1"/>
    <cellStyle name="ハイパーリンク" xfId="7024" builtinId="8" hidden="1"/>
    <cellStyle name="ハイパーリンク" xfId="7026" builtinId="8" hidden="1"/>
    <cellStyle name="ハイパーリンク" xfId="7028" builtinId="8" hidden="1"/>
    <cellStyle name="ハイパーリンク" xfId="7030" builtinId="8" hidden="1"/>
    <cellStyle name="ハイパーリンク" xfId="7032" builtinId="8" hidden="1"/>
    <cellStyle name="ハイパーリンク" xfId="7034" builtinId="8" hidden="1"/>
    <cellStyle name="ハイパーリンク" xfId="7036" builtinId="8" hidden="1"/>
    <cellStyle name="ハイパーリンク" xfId="7038" builtinId="8" hidden="1"/>
    <cellStyle name="ハイパーリンク" xfId="7040" builtinId="8" hidden="1"/>
    <cellStyle name="ハイパーリンク" xfId="7042" builtinId="8" hidden="1"/>
    <cellStyle name="ハイパーリンク" xfId="7044" builtinId="8" hidden="1"/>
    <cellStyle name="ハイパーリンク" xfId="7046" builtinId="8" hidden="1"/>
    <cellStyle name="ハイパーリンク" xfId="7048" builtinId="8" hidden="1"/>
    <cellStyle name="ハイパーリンク" xfId="7050" builtinId="8" hidden="1"/>
    <cellStyle name="ハイパーリンク" xfId="7052" builtinId="8" hidden="1"/>
    <cellStyle name="ハイパーリンク" xfId="7054" builtinId="8" hidden="1"/>
    <cellStyle name="ハイパーリンク" xfId="7056" builtinId="8" hidden="1"/>
    <cellStyle name="ハイパーリンク" xfId="7058" builtinId="8" hidden="1"/>
    <cellStyle name="ハイパーリンク" xfId="7060" builtinId="8" hidden="1"/>
    <cellStyle name="ハイパーリンク" xfId="7062" builtinId="8" hidden="1"/>
    <cellStyle name="ハイパーリンク" xfId="7064" builtinId="8" hidden="1"/>
    <cellStyle name="ハイパーリンク" xfId="7066" builtinId="8" hidden="1"/>
    <cellStyle name="ハイパーリンク" xfId="7068" builtinId="8" hidden="1"/>
    <cellStyle name="ハイパーリンク" xfId="7070" builtinId="8" hidden="1"/>
    <cellStyle name="ハイパーリンク" xfId="7072" builtinId="8" hidden="1"/>
    <cellStyle name="ハイパーリンク" xfId="7074" builtinId="8" hidden="1"/>
    <cellStyle name="ハイパーリンク" xfId="7076" builtinId="8" hidden="1"/>
    <cellStyle name="ハイパーリンク" xfId="7078" builtinId="8" hidden="1"/>
    <cellStyle name="ハイパーリンク" xfId="7080" builtinId="8" hidden="1"/>
    <cellStyle name="ハイパーリンク" xfId="7082" builtinId="8" hidden="1"/>
    <cellStyle name="ハイパーリンク" xfId="7084" builtinId="8" hidden="1"/>
    <cellStyle name="ハイパーリンク" xfId="7086" builtinId="8" hidden="1"/>
    <cellStyle name="ハイパーリンク" xfId="7088" builtinId="8" hidden="1"/>
    <cellStyle name="ハイパーリンク" xfId="7090" builtinId="8" hidden="1"/>
    <cellStyle name="ハイパーリンク" xfId="7092" builtinId="8" hidden="1"/>
    <cellStyle name="ハイパーリンク" xfId="7094" builtinId="8" hidden="1"/>
    <cellStyle name="ハイパーリンク" xfId="7096" builtinId="8" hidden="1"/>
    <cellStyle name="ハイパーリンク" xfId="7098" builtinId="8" hidden="1"/>
    <cellStyle name="ハイパーリンク" xfId="7100" builtinId="8" hidden="1"/>
    <cellStyle name="ハイパーリンク" xfId="7102" builtinId="8" hidden="1"/>
    <cellStyle name="ハイパーリンク" xfId="7104" builtinId="8" hidden="1"/>
    <cellStyle name="ハイパーリンク" xfId="7106" builtinId="8" hidden="1"/>
    <cellStyle name="ハイパーリンク" xfId="7108" builtinId="8" hidden="1"/>
    <cellStyle name="ハイパーリンク" xfId="7110" builtinId="8" hidden="1"/>
    <cellStyle name="ハイパーリンク" xfId="7112" builtinId="8" hidden="1"/>
    <cellStyle name="ハイパーリンク" xfId="7114" builtinId="8" hidden="1"/>
    <cellStyle name="ハイパーリンク" xfId="7116" builtinId="8" hidden="1"/>
    <cellStyle name="ハイパーリンク" xfId="7118" builtinId="8" hidden="1"/>
    <cellStyle name="ハイパーリンク" xfId="7120" builtinId="8" hidden="1"/>
    <cellStyle name="ハイパーリンク" xfId="7122" builtinId="8" hidden="1"/>
    <cellStyle name="ハイパーリンク" xfId="7124" builtinId="8" hidden="1"/>
    <cellStyle name="ハイパーリンク" xfId="7126" builtinId="8" hidden="1"/>
    <cellStyle name="ハイパーリンク" xfId="7128" builtinId="8" hidden="1"/>
    <cellStyle name="ハイパーリンク" xfId="7130" builtinId="8" hidden="1"/>
    <cellStyle name="ハイパーリンク" xfId="7132" builtinId="8" hidden="1"/>
    <cellStyle name="ハイパーリンク" xfId="7134" builtinId="8" hidden="1"/>
    <cellStyle name="ハイパーリンク" xfId="7136" builtinId="8" hidden="1"/>
    <cellStyle name="ハイパーリンク" xfId="7138" builtinId="8" hidden="1"/>
    <cellStyle name="ハイパーリンク" xfId="7140" builtinId="8" hidden="1"/>
    <cellStyle name="ハイパーリンク" xfId="7142" builtinId="8" hidden="1"/>
    <cellStyle name="ハイパーリンク" xfId="7144" builtinId="8" hidden="1"/>
    <cellStyle name="ハイパーリンク" xfId="7146" builtinId="8" hidden="1"/>
    <cellStyle name="ハイパーリンク" xfId="7148" builtinId="8" hidden="1"/>
    <cellStyle name="ハイパーリンク" xfId="7150" builtinId="8" hidden="1"/>
    <cellStyle name="ハイパーリンク" xfId="7152" builtinId="8" hidden="1"/>
    <cellStyle name="ハイパーリンク" xfId="7154" builtinId="8" hidden="1"/>
    <cellStyle name="ハイパーリンク" xfId="7156" builtinId="8" hidden="1"/>
    <cellStyle name="ハイパーリンク" xfId="7158" builtinId="8" hidden="1"/>
    <cellStyle name="ハイパーリンク" xfId="7160" builtinId="8" hidden="1"/>
    <cellStyle name="ハイパーリンク" xfId="7162" builtinId="8" hidden="1"/>
    <cellStyle name="ハイパーリンク" xfId="7164" builtinId="8" hidden="1"/>
    <cellStyle name="ハイパーリンク" xfId="7166" builtinId="8" hidden="1"/>
    <cellStyle name="ハイパーリンク" xfId="7168" builtinId="8" hidden="1"/>
    <cellStyle name="ハイパーリンク" xfId="7170" builtinId="8" hidden="1"/>
    <cellStyle name="ハイパーリンク" xfId="7172" builtinId="8" hidden="1"/>
    <cellStyle name="ハイパーリンク" xfId="7174" builtinId="8" hidden="1"/>
    <cellStyle name="ハイパーリンク" xfId="7176" builtinId="8" hidden="1"/>
    <cellStyle name="ハイパーリンク" xfId="7178" builtinId="8" hidden="1"/>
    <cellStyle name="ハイパーリンク" xfId="7180" builtinId="8" hidden="1"/>
    <cellStyle name="ハイパーリンク" xfId="7182" builtinId="8" hidden="1"/>
    <cellStyle name="ハイパーリンク" xfId="7184" builtinId="8" hidden="1"/>
    <cellStyle name="ハイパーリンク" xfId="7186" builtinId="8" hidden="1"/>
    <cellStyle name="ハイパーリンク" xfId="7188" builtinId="8" hidden="1"/>
    <cellStyle name="ハイパーリンク" xfId="7190" builtinId="8" hidden="1"/>
    <cellStyle name="ハイパーリンク" xfId="7192" builtinId="8" hidden="1"/>
    <cellStyle name="ハイパーリンク" xfId="7194" builtinId="8" hidden="1"/>
    <cellStyle name="ハイパーリンク" xfId="7196" builtinId="8" hidden="1"/>
    <cellStyle name="ハイパーリンク" xfId="7198" builtinId="8" hidden="1"/>
    <cellStyle name="ハイパーリンク" xfId="7200" builtinId="8" hidden="1"/>
    <cellStyle name="ハイパーリンク" xfId="7202" builtinId="8" hidden="1"/>
    <cellStyle name="ハイパーリンク" xfId="7204" builtinId="8" hidden="1"/>
    <cellStyle name="ハイパーリンク" xfId="7206" builtinId="8" hidden="1"/>
    <cellStyle name="ハイパーリンク" xfId="7208" builtinId="8" hidden="1"/>
    <cellStyle name="ハイパーリンク" xfId="7210" builtinId="8" hidden="1"/>
    <cellStyle name="ハイパーリンク" xfId="7212" builtinId="8" hidden="1"/>
    <cellStyle name="ハイパーリンク" xfId="7214" builtinId="8" hidden="1"/>
    <cellStyle name="ハイパーリンク" xfId="7216" builtinId="8" hidden="1"/>
    <cellStyle name="ハイパーリンク" xfId="7218" builtinId="8" hidden="1"/>
    <cellStyle name="ハイパーリンク" xfId="7220" builtinId="8" hidden="1"/>
    <cellStyle name="ハイパーリンク" xfId="7222" builtinId="8" hidden="1"/>
    <cellStyle name="ハイパーリンク" xfId="7224" builtinId="8" hidden="1"/>
    <cellStyle name="ハイパーリンク" xfId="7226" builtinId="8" hidden="1"/>
    <cellStyle name="ハイパーリンク" xfId="7228" builtinId="8" hidden="1"/>
    <cellStyle name="ハイパーリンク" xfId="7230" builtinId="8" hidden="1"/>
    <cellStyle name="ハイパーリンク" xfId="7232" builtinId="8" hidden="1"/>
    <cellStyle name="ハイパーリンク" xfId="7234" builtinId="8" hidden="1"/>
    <cellStyle name="ハイパーリンク" xfId="7236" builtinId="8" hidden="1"/>
    <cellStyle name="ハイパーリンク" xfId="7238" builtinId="8" hidden="1"/>
    <cellStyle name="ハイパーリンク" xfId="7240" builtinId="8" hidden="1"/>
    <cellStyle name="ハイパーリンク" xfId="7242" builtinId="8" hidden="1"/>
    <cellStyle name="ハイパーリンク" xfId="7244" builtinId="8" hidden="1"/>
    <cellStyle name="ハイパーリンク" xfId="7246" builtinId="8" hidden="1"/>
    <cellStyle name="ハイパーリンク" xfId="7248" builtinId="8" hidden="1"/>
    <cellStyle name="ハイパーリンク" xfId="7250" builtinId="8" hidden="1"/>
    <cellStyle name="ハイパーリンク" xfId="7252" builtinId="8" hidden="1"/>
    <cellStyle name="ハイパーリンク" xfId="7254" builtinId="8" hidden="1"/>
    <cellStyle name="ハイパーリンク" xfId="7256" builtinId="8" hidden="1"/>
    <cellStyle name="ハイパーリンク" xfId="7258" builtinId="8" hidden="1"/>
    <cellStyle name="ハイパーリンク" xfId="7260" builtinId="8" hidden="1"/>
    <cellStyle name="ハイパーリンク" xfId="7262" builtinId="8" hidden="1"/>
    <cellStyle name="ハイパーリンク" xfId="7264" builtinId="8" hidden="1"/>
    <cellStyle name="ハイパーリンク" xfId="7266" builtinId="8" hidden="1"/>
    <cellStyle name="ハイパーリンク" xfId="7268" builtinId="8" hidden="1"/>
    <cellStyle name="ハイパーリンク" xfId="7270" builtinId="8" hidden="1"/>
    <cellStyle name="ハイパーリンク" xfId="7272" builtinId="8" hidden="1"/>
    <cellStyle name="ハイパーリンク" xfId="7274" builtinId="8" hidden="1"/>
    <cellStyle name="ハイパーリンク" xfId="7276" builtinId="8" hidden="1"/>
    <cellStyle name="ハイパーリンク" xfId="7278" builtinId="8" hidden="1"/>
    <cellStyle name="ハイパーリンク" xfId="7280" builtinId="8" hidden="1"/>
    <cellStyle name="ハイパーリンク" xfId="7282" builtinId="8" hidden="1"/>
    <cellStyle name="ハイパーリンク" xfId="7284" builtinId="8" hidden="1"/>
    <cellStyle name="ハイパーリンク" xfId="7286" builtinId="8" hidden="1"/>
    <cellStyle name="ハイパーリンク" xfId="7288" builtinId="8" hidden="1"/>
    <cellStyle name="ハイパーリンク" xfId="7290" builtinId="8" hidden="1"/>
    <cellStyle name="ハイパーリンク" xfId="7292" builtinId="8" hidden="1"/>
    <cellStyle name="ハイパーリンク" xfId="7294" builtinId="8" hidden="1"/>
    <cellStyle name="ハイパーリンク" xfId="7296" builtinId="8" hidden="1"/>
    <cellStyle name="ハイパーリンク" xfId="7298" builtinId="8" hidden="1"/>
    <cellStyle name="ハイパーリンク" xfId="7300" builtinId="8" hidden="1"/>
    <cellStyle name="ハイパーリンク" xfId="7302" builtinId="8" hidden="1"/>
    <cellStyle name="ハイパーリンク" xfId="7304" builtinId="8" hidden="1"/>
    <cellStyle name="ハイパーリンク" xfId="7306" builtinId="8" hidden="1"/>
    <cellStyle name="ハイパーリンク" xfId="7308" builtinId="8" hidden="1"/>
    <cellStyle name="ハイパーリンク" xfId="7310" builtinId="8" hidden="1"/>
    <cellStyle name="ハイパーリンク" xfId="7312" builtinId="8" hidden="1"/>
    <cellStyle name="ハイパーリンク" xfId="7314" builtinId="8" hidden="1"/>
    <cellStyle name="ハイパーリンク" xfId="7316" builtinId="8" hidden="1"/>
    <cellStyle name="ハイパーリンク" xfId="7318" builtinId="8" hidden="1"/>
    <cellStyle name="ハイパーリンク" xfId="7320" builtinId="8" hidden="1"/>
    <cellStyle name="ハイパーリンク" xfId="7322" builtinId="8" hidden="1"/>
    <cellStyle name="ハイパーリンク" xfId="7324" builtinId="8" hidden="1"/>
    <cellStyle name="ハイパーリンク" xfId="7326" builtinId="8" hidden="1"/>
    <cellStyle name="ハイパーリンク" xfId="7328" builtinId="8" hidden="1"/>
    <cellStyle name="ハイパーリンク" xfId="7330" builtinId="8" hidden="1"/>
    <cellStyle name="ハイパーリンク" xfId="7332" builtinId="8" hidden="1"/>
    <cellStyle name="ハイパーリンク" xfId="7334" builtinId="8" hidden="1"/>
    <cellStyle name="ハイパーリンク" xfId="7336" builtinId="8" hidden="1"/>
    <cellStyle name="ハイパーリンク" xfId="7338" builtinId="8" hidden="1"/>
    <cellStyle name="ハイパーリンク" xfId="7340" builtinId="8" hidden="1"/>
    <cellStyle name="ハイパーリンク" xfId="7342" builtinId="8" hidden="1"/>
    <cellStyle name="ハイパーリンク" xfId="7344" builtinId="8" hidden="1"/>
    <cellStyle name="ハイパーリンク" xfId="7346" builtinId="8" hidden="1"/>
    <cellStyle name="ハイパーリンク" xfId="7348" builtinId="8" hidden="1"/>
    <cellStyle name="ハイパーリンク" xfId="7350" builtinId="8" hidden="1"/>
    <cellStyle name="ハイパーリンク" xfId="7352" builtinId="8" hidden="1"/>
    <cellStyle name="ハイパーリンク" xfId="7354" builtinId="8" hidden="1"/>
    <cellStyle name="ハイパーリンク" xfId="7356" builtinId="8" hidden="1"/>
    <cellStyle name="ハイパーリンク" xfId="7358" builtinId="8" hidden="1"/>
    <cellStyle name="ハイパーリンク" xfId="7360" builtinId="8" hidden="1"/>
    <cellStyle name="ハイパーリンク" xfId="7362" builtinId="8" hidden="1"/>
    <cellStyle name="ハイパーリンク" xfId="7364" builtinId="8" hidden="1"/>
    <cellStyle name="ハイパーリンク" xfId="7366" builtinId="8" hidden="1"/>
    <cellStyle name="ハイパーリンク" xfId="7368" builtinId="8" hidden="1"/>
    <cellStyle name="ハイパーリンク" xfId="7370" builtinId="8" hidden="1"/>
    <cellStyle name="ハイパーリンク" xfId="7372" builtinId="8" hidden="1"/>
    <cellStyle name="ハイパーリンク" xfId="7374" builtinId="8" hidden="1"/>
    <cellStyle name="ハイパーリンク" xfId="7376" builtinId="8" hidden="1"/>
    <cellStyle name="ハイパーリンク" xfId="7378" builtinId="8" hidden="1"/>
    <cellStyle name="ハイパーリンク" xfId="7380" builtinId="8" hidden="1"/>
    <cellStyle name="ハイパーリンク" xfId="7382" builtinId="8" hidden="1"/>
    <cellStyle name="ハイパーリンク" xfId="7384" builtinId="8" hidden="1"/>
    <cellStyle name="ハイパーリンク" xfId="7386" builtinId="8" hidden="1"/>
    <cellStyle name="ハイパーリンク" xfId="7388" builtinId="8" hidden="1"/>
    <cellStyle name="ハイパーリンク" xfId="7390" builtinId="8" hidden="1"/>
    <cellStyle name="ハイパーリンク" xfId="7392" builtinId="8" hidden="1"/>
    <cellStyle name="ハイパーリンク" xfId="7394" builtinId="8" hidden="1"/>
    <cellStyle name="ハイパーリンク" xfId="7396" builtinId="8" hidden="1"/>
    <cellStyle name="ハイパーリンク" xfId="7398" builtinId="8" hidden="1"/>
    <cellStyle name="ハイパーリンク" xfId="7400" builtinId="8" hidden="1"/>
    <cellStyle name="ハイパーリンク" xfId="7402" builtinId="8" hidden="1"/>
    <cellStyle name="ハイパーリンク" xfId="7404" builtinId="8" hidden="1"/>
    <cellStyle name="ハイパーリンク" xfId="7406" builtinId="8" hidden="1"/>
    <cellStyle name="ハイパーリンク" xfId="7408" builtinId="8" hidden="1"/>
    <cellStyle name="ハイパーリンク" xfId="7410" builtinId="8" hidden="1"/>
    <cellStyle name="ハイパーリンク" xfId="7412" builtinId="8" hidden="1"/>
    <cellStyle name="ハイパーリンク" xfId="7414" builtinId="8" hidden="1"/>
    <cellStyle name="ハイパーリンク" xfId="7416" builtinId="8" hidden="1"/>
    <cellStyle name="ハイパーリンク" xfId="7418" builtinId="8" hidden="1"/>
    <cellStyle name="ハイパーリンク" xfId="7420" builtinId="8" hidden="1"/>
    <cellStyle name="ハイパーリンク" xfId="7422" builtinId="8" hidden="1"/>
    <cellStyle name="ハイパーリンク" xfId="7424" builtinId="8" hidden="1"/>
    <cellStyle name="ハイパーリンク" xfId="7426" builtinId="8" hidden="1"/>
    <cellStyle name="ハイパーリンク" xfId="7428" builtinId="8" hidden="1"/>
    <cellStyle name="ハイパーリンク" xfId="7430" builtinId="8" hidden="1"/>
    <cellStyle name="ハイパーリンク" xfId="7432" builtinId="8" hidden="1"/>
    <cellStyle name="ハイパーリンク" xfId="7434" builtinId="8" hidden="1"/>
    <cellStyle name="ハイパーリンク" xfId="7436" builtinId="8" hidden="1"/>
    <cellStyle name="ハイパーリンク" xfId="7438" builtinId="8" hidden="1"/>
    <cellStyle name="ハイパーリンク" xfId="7440" builtinId="8" hidden="1"/>
    <cellStyle name="ハイパーリンク" xfId="7442" builtinId="8" hidden="1"/>
    <cellStyle name="ハイパーリンク" xfId="7444" builtinId="8" hidden="1"/>
    <cellStyle name="ハイパーリンク" xfId="7446" builtinId="8" hidden="1"/>
    <cellStyle name="ハイパーリンク" xfId="7448" builtinId="8" hidden="1"/>
    <cellStyle name="ハイパーリンク" xfId="7450" builtinId="8" hidden="1"/>
    <cellStyle name="ハイパーリンク" xfId="7452" builtinId="8" hidden="1"/>
    <cellStyle name="ハイパーリンク" xfId="7454" builtinId="8" hidden="1"/>
    <cellStyle name="ハイパーリンク" xfId="7456" builtinId="8" hidden="1"/>
    <cellStyle name="ハイパーリンク" xfId="7458" builtinId="8" hidden="1"/>
    <cellStyle name="ハイパーリンク" xfId="7460" builtinId="8" hidden="1"/>
    <cellStyle name="ハイパーリンク" xfId="7462" builtinId="8" hidden="1"/>
    <cellStyle name="ハイパーリンク" xfId="7464" builtinId="8" hidden="1"/>
    <cellStyle name="ハイパーリンク" xfId="7466" builtinId="8" hidden="1"/>
    <cellStyle name="ハイパーリンク" xfId="7468" builtinId="8" hidden="1"/>
    <cellStyle name="ハイパーリンク" xfId="7470" builtinId="8" hidden="1"/>
    <cellStyle name="ハイパーリンク" xfId="7472" builtinId="8" hidden="1"/>
    <cellStyle name="ハイパーリンク" xfId="7474" builtinId="8" hidden="1"/>
    <cellStyle name="ハイパーリンク" xfId="7476" builtinId="8" hidden="1"/>
    <cellStyle name="ハイパーリンク" xfId="7478" builtinId="8" hidden="1"/>
    <cellStyle name="ハイパーリンク" xfId="7480" builtinId="8" hidden="1"/>
    <cellStyle name="ハイパーリンク" xfId="7482" builtinId="8" hidden="1"/>
    <cellStyle name="ハイパーリンク" xfId="7484" builtinId="8" hidden="1"/>
    <cellStyle name="ハイパーリンク" xfId="7486" builtinId="8" hidden="1"/>
    <cellStyle name="ハイパーリンク" xfId="7488" builtinId="8" hidden="1"/>
    <cellStyle name="ハイパーリンク" xfId="7490" builtinId="8" hidden="1"/>
    <cellStyle name="ハイパーリンク" xfId="7492" builtinId="8" hidden="1"/>
    <cellStyle name="ハイパーリンク" xfId="7494" builtinId="8" hidden="1"/>
    <cellStyle name="ハイパーリンク" xfId="7496" builtinId="8" hidden="1"/>
    <cellStyle name="ハイパーリンク" xfId="7498" builtinId="8" hidden="1"/>
    <cellStyle name="ハイパーリンク" xfId="7500" builtinId="8" hidden="1"/>
    <cellStyle name="ハイパーリンク" xfId="7502" builtinId="8" hidden="1"/>
    <cellStyle name="ハイパーリンク" xfId="7504" builtinId="8" hidden="1"/>
    <cellStyle name="ハイパーリンク" xfId="7506" builtinId="8" hidden="1"/>
    <cellStyle name="ハイパーリンク" xfId="7508" builtinId="8" hidden="1"/>
    <cellStyle name="ハイパーリンク" xfId="7510" builtinId="8" hidden="1"/>
    <cellStyle name="ハイパーリンク" xfId="7512" builtinId="8" hidden="1"/>
    <cellStyle name="ハイパーリンク" xfId="7514" builtinId="8" hidden="1"/>
    <cellStyle name="ハイパーリンク" xfId="7516" builtinId="8" hidden="1"/>
    <cellStyle name="ハイパーリンク" xfId="7518" builtinId="8" hidden="1"/>
    <cellStyle name="ハイパーリンク" xfId="7520" builtinId="8" hidden="1"/>
    <cellStyle name="ハイパーリンク" xfId="7522" builtinId="8" hidden="1"/>
    <cellStyle name="ハイパーリンク" xfId="7524" builtinId="8" hidden="1"/>
    <cellStyle name="ハイパーリンク" xfId="7526" builtinId="8" hidden="1"/>
    <cellStyle name="ハイパーリンク" xfId="7528" builtinId="8" hidden="1"/>
    <cellStyle name="ハイパーリンク" xfId="7530" builtinId="8" hidden="1"/>
    <cellStyle name="ハイパーリンク" xfId="7532" builtinId="8" hidden="1"/>
    <cellStyle name="ハイパーリンク" xfId="7534" builtinId="8" hidden="1"/>
    <cellStyle name="ハイパーリンク" xfId="7536" builtinId="8" hidden="1"/>
    <cellStyle name="ハイパーリンク" xfId="7538" builtinId="8" hidden="1"/>
    <cellStyle name="ハイパーリンク" xfId="7540" builtinId="8" hidden="1"/>
    <cellStyle name="ハイパーリンク" xfId="7542" builtinId="8" hidden="1"/>
    <cellStyle name="ハイパーリンク" xfId="7544" builtinId="8" hidden="1"/>
    <cellStyle name="ハイパーリンク" xfId="7546" builtinId="8" hidden="1"/>
    <cellStyle name="ハイパーリンク" xfId="7548" builtinId="8" hidden="1"/>
    <cellStyle name="ハイパーリンク" xfId="7550" builtinId="8" hidden="1"/>
    <cellStyle name="ハイパーリンク" xfId="7552" builtinId="8" hidden="1"/>
    <cellStyle name="ハイパーリンク" xfId="7554" builtinId="8" hidden="1"/>
    <cellStyle name="ハイパーリンク" xfId="7556" builtinId="8" hidden="1"/>
    <cellStyle name="ハイパーリンク" xfId="7558" builtinId="8" hidden="1"/>
    <cellStyle name="ハイパーリンク" xfId="7560" builtinId="8" hidden="1"/>
    <cellStyle name="ハイパーリンク" xfId="7562" builtinId="8" hidden="1"/>
    <cellStyle name="ハイパーリンク" xfId="7564" builtinId="8" hidden="1"/>
    <cellStyle name="ハイパーリンク" xfId="7566" builtinId="8" hidden="1"/>
    <cellStyle name="ハイパーリンク" xfId="7568" builtinId="8" hidden="1"/>
    <cellStyle name="ハイパーリンク" xfId="7570" builtinId="8" hidden="1"/>
    <cellStyle name="ハイパーリンク" xfId="7572" builtinId="8" hidden="1"/>
    <cellStyle name="ハイパーリンク" xfId="7574" builtinId="8" hidden="1"/>
    <cellStyle name="ハイパーリンク" xfId="7576" builtinId="8" hidden="1"/>
    <cellStyle name="ハイパーリンク" xfId="7578" builtinId="8" hidden="1"/>
    <cellStyle name="ハイパーリンク" xfId="7580" builtinId="8" hidden="1"/>
    <cellStyle name="ハイパーリンク" xfId="7582" builtinId="8" hidden="1"/>
    <cellStyle name="ハイパーリンク" xfId="7584" builtinId="8" hidden="1"/>
    <cellStyle name="ハイパーリンク" xfId="7586" builtinId="8" hidden="1"/>
    <cellStyle name="ハイパーリンク" xfId="7588" builtinId="8" hidden="1"/>
    <cellStyle name="ハイパーリンク" xfId="7590" builtinId="8" hidden="1"/>
    <cellStyle name="ハイパーリンク" xfId="7592" builtinId="8" hidden="1"/>
    <cellStyle name="ハイパーリンク" xfId="7594" builtinId="8" hidden="1"/>
    <cellStyle name="ハイパーリンク" xfId="7596" builtinId="8" hidden="1"/>
    <cellStyle name="ハイパーリンク" xfId="7598" builtinId="8" hidden="1"/>
    <cellStyle name="ハイパーリンク" xfId="7600" builtinId="8" hidden="1"/>
    <cellStyle name="ハイパーリンク" xfId="7602" builtinId="8" hidden="1"/>
    <cellStyle name="ハイパーリンク" xfId="7604" builtinId="8" hidden="1"/>
    <cellStyle name="ハイパーリンク" xfId="7606" builtinId="8" hidden="1"/>
    <cellStyle name="ハイパーリンク" xfId="7608" builtinId="8" hidden="1"/>
    <cellStyle name="ハイパーリンク" xfId="7610" builtinId="8" hidden="1"/>
    <cellStyle name="ハイパーリンク" xfId="7612" builtinId="8" hidden="1"/>
    <cellStyle name="ハイパーリンク" xfId="7614" builtinId="8" hidden="1"/>
    <cellStyle name="ハイパーリンク" xfId="7616" builtinId="8" hidden="1"/>
    <cellStyle name="ハイパーリンク" xfId="7618" builtinId="8" hidden="1"/>
    <cellStyle name="ハイパーリンク" xfId="7620" builtinId="8" hidden="1"/>
    <cellStyle name="ハイパーリンク" xfId="7622" builtinId="8" hidden="1"/>
    <cellStyle name="ハイパーリンク" xfId="7624" builtinId="8" hidden="1"/>
    <cellStyle name="ハイパーリンク" xfId="7626" builtinId="8" hidden="1"/>
    <cellStyle name="ハイパーリンク" xfId="7628" builtinId="8" hidden="1"/>
    <cellStyle name="ハイパーリンク" xfId="7630" builtinId="8" hidden="1"/>
    <cellStyle name="ハイパーリンク" xfId="7632" builtinId="8" hidden="1"/>
    <cellStyle name="ハイパーリンク" xfId="7634" builtinId="8" hidden="1"/>
    <cellStyle name="ハイパーリンク" xfId="7636" builtinId="8" hidden="1"/>
    <cellStyle name="ハイパーリンク" xfId="7638" builtinId="8" hidden="1"/>
    <cellStyle name="ハイパーリンク" xfId="7640" builtinId="8" hidden="1"/>
    <cellStyle name="ハイパーリンク" xfId="7642" builtinId="8" hidden="1"/>
    <cellStyle name="ハイパーリンク" xfId="7644" builtinId="8" hidden="1"/>
    <cellStyle name="ハイパーリンク" xfId="7646" builtinId="8" hidden="1"/>
    <cellStyle name="ハイパーリンク" xfId="7648" builtinId="8" hidden="1"/>
    <cellStyle name="ハイパーリンク" xfId="7650" builtinId="8" hidden="1"/>
    <cellStyle name="ハイパーリンク" xfId="7652" builtinId="8" hidden="1"/>
    <cellStyle name="ハイパーリンク" xfId="7654" builtinId="8" hidden="1"/>
    <cellStyle name="ハイパーリンク" xfId="7656" builtinId="8" hidden="1"/>
    <cellStyle name="ハイパーリンク" xfId="7658" builtinId="8" hidden="1"/>
    <cellStyle name="ハイパーリンク" xfId="7660" builtinId="8" hidden="1"/>
    <cellStyle name="ハイパーリンク" xfId="7662" builtinId="8" hidden="1"/>
    <cellStyle name="ハイパーリンク" xfId="7664" builtinId="8" hidden="1"/>
    <cellStyle name="ハイパーリンク" xfId="7666" builtinId="8" hidden="1"/>
    <cellStyle name="ハイパーリンク" xfId="7668" builtinId="8" hidden="1"/>
    <cellStyle name="ハイパーリンク" xfId="7670" builtinId="8" hidden="1"/>
    <cellStyle name="ハイパーリンク" xfId="7672" builtinId="8" hidden="1"/>
    <cellStyle name="ハイパーリンク" xfId="7674" builtinId="8" hidden="1"/>
    <cellStyle name="ハイパーリンク" xfId="7676" builtinId="8" hidden="1"/>
    <cellStyle name="ハイパーリンク" xfId="7678" builtinId="8" hidden="1"/>
    <cellStyle name="ハイパーリンク" xfId="7680" builtinId="8" hidden="1"/>
    <cellStyle name="ハイパーリンク" xfId="7682" builtinId="8" hidden="1"/>
    <cellStyle name="ハイパーリンク" xfId="7684" builtinId="8" hidden="1"/>
    <cellStyle name="ハイパーリンク" xfId="7686" builtinId="8" hidden="1"/>
    <cellStyle name="ハイパーリンク" xfId="7688" builtinId="8" hidden="1"/>
    <cellStyle name="ハイパーリンク" xfId="7690" builtinId="8" hidden="1"/>
    <cellStyle name="ハイパーリンク" xfId="7692" builtinId="8" hidden="1"/>
    <cellStyle name="ハイパーリンク" xfId="7694" builtinId="8" hidden="1"/>
    <cellStyle name="ハイパーリンク" xfId="7696" builtinId="8" hidden="1"/>
    <cellStyle name="ハイパーリンク" xfId="7698" builtinId="8" hidden="1"/>
    <cellStyle name="ハイパーリンク" xfId="7700" builtinId="8" hidden="1"/>
    <cellStyle name="ハイパーリンク" xfId="7702" builtinId="8" hidden="1"/>
    <cellStyle name="ハイパーリンク" xfId="7704" builtinId="8" hidden="1"/>
    <cellStyle name="ハイパーリンク" xfId="7706" builtinId="8" hidden="1"/>
    <cellStyle name="ハイパーリンク" xfId="7708" builtinId="8" hidden="1"/>
    <cellStyle name="ハイパーリンク" xfId="7710" builtinId="8" hidden="1"/>
    <cellStyle name="ハイパーリンク" xfId="7712" builtinId="8" hidden="1"/>
    <cellStyle name="ハイパーリンク" xfId="7714" builtinId="8" hidden="1"/>
    <cellStyle name="ハイパーリンク" xfId="7716" builtinId="8" hidden="1"/>
    <cellStyle name="ハイパーリンク" xfId="7718" builtinId="8" hidden="1"/>
    <cellStyle name="ハイパーリンク" xfId="7720" builtinId="8" hidden="1"/>
    <cellStyle name="ハイパーリンク" xfId="7722" builtinId="8" hidden="1"/>
    <cellStyle name="ハイパーリンク" xfId="7724" builtinId="8" hidden="1"/>
    <cellStyle name="ハイパーリンク" xfId="7726" builtinId="8" hidden="1"/>
    <cellStyle name="ハイパーリンク" xfId="7728" builtinId="8" hidden="1"/>
    <cellStyle name="ハイパーリンク" xfId="7730" builtinId="8" hidden="1"/>
    <cellStyle name="ハイパーリンク" xfId="7732" builtinId="8" hidden="1"/>
    <cellStyle name="ハイパーリンク" xfId="7734" builtinId="8" hidden="1"/>
    <cellStyle name="ハイパーリンク" xfId="7736" builtinId="8" hidden="1"/>
    <cellStyle name="ハイパーリンク" xfId="7738" builtinId="8" hidden="1"/>
    <cellStyle name="ハイパーリンク" xfId="7740" builtinId="8" hidden="1"/>
    <cellStyle name="ハイパーリンク" xfId="7742" builtinId="8" hidden="1"/>
    <cellStyle name="ハイパーリンク" xfId="7744" builtinId="8" hidden="1"/>
    <cellStyle name="ハイパーリンク" xfId="7746" builtinId="8" hidden="1"/>
    <cellStyle name="ハイパーリンク" xfId="7748" builtinId="8" hidden="1"/>
    <cellStyle name="ハイパーリンク" xfId="7750" builtinId="8" hidden="1"/>
    <cellStyle name="ハイパーリンク" xfId="7752" builtinId="8" hidden="1"/>
    <cellStyle name="ハイパーリンク" xfId="7754" builtinId="8" hidden="1"/>
    <cellStyle name="ハイパーリンク" xfId="7756" builtinId="8" hidden="1"/>
    <cellStyle name="ハイパーリンク" xfId="7758" builtinId="8" hidden="1"/>
    <cellStyle name="ハイパーリンク" xfId="7760" builtinId="8" hidden="1"/>
    <cellStyle name="ハイパーリンク" xfId="7762" builtinId="8" hidden="1"/>
    <cellStyle name="ハイパーリンク" xfId="7764" builtinId="8" hidden="1"/>
    <cellStyle name="ハイパーリンク" xfId="7766" builtinId="8" hidden="1"/>
    <cellStyle name="ハイパーリンク" xfId="7768" builtinId="8" hidden="1"/>
    <cellStyle name="ハイパーリンク" xfId="7770" builtinId="8" hidden="1"/>
    <cellStyle name="ハイパーリンク" xfId="7772" builtinId="8" hidden="1"/>
    <cellStyle name="ハイパーリンク" xfId="7774" builtinId="8" hidden="1"/>
    <cellStyle name="ハイパーリンク" xfId="7776" builtinId="8" hidden="1"/>
    <cellStyle name="ハイパーリンク" xfId="7778" builtinId="8" hidden="1"/>
    <cellStyle name="ハイパーリンク" xfId="7780" builtinId="8" hidden="1"/>
    <cellStyle name="ハイパーリンク" xfId="7782" builtinId="8" hidden="1"/>
    <cellStyle name="ハイパーリンク" xfId="7784" builtinId="8" hidden="1"/>
    <cellStyle name="ハイパーリンク" xfId="7786" builtinId="8" hidden="1"/>
    <cellStyle name="ハイパーリンク" xfId="7788" builtinId="8" hidden="1"/>
    <cellStyle name="ハイパーリンク" xfId="7790" builtinId="8" hidden="1"/>
    <cellStyle name="ハイパーリンク" xfId="7792" builtinId="8" hidden="1"/>
    <cellStyle name="ハイパーリンク" xfId="7794" builtinId="8" hidden="1"/>
    <cellStyle name="ハイパーリンク" xfId="7796" builtinId="8" hidden="1"/>
    <cellStyle name="ハイパーリンク" xfId="7798" builtinId="8" hidden="1"/>
    <cellStyle name="ハイパーリンク" xfId="7800" builtinId="8" hidden="1"/>
    <cellStyle name="ハイパーリンク" xfId="7802" builtinId="8" hidden="1"/>
    <cellStyle name="ハイパーリンク" xfId="7804" builtinId="8" hidden="1"/>
    <cellStyle name="ハイパーリンク" xfId="7806" builtinId="8" hidden="1"/>
    <cellStyle name="ハイパーリンク" xfId="7808" builtinId="8" hidden="1"/>
    <cellStyle name="ハイパーリンク" xfId="7810" builtinId="8" hidden="1"/>
    <cellStyle name="ハイパーリンク" xfId="7812" builtinId="8" hidden="1"/>
    <cellStyle name="ハイパーリンク" xfId="7814" builtinId="8" hidden="1"/>
    <cellStyle name="ハイパーリンク" xfId="7816" builtinId="8" hidden="1"/>
    <cellStyle name="ハイパーリンク" xfId="7818" builtinId="8" hidden="1"/>
    <cellStyle name="ハイパーリンク" xfId="7820" builtinId="8" hidden="1"/>
    <cellStyle name="ハイパーリンク" xfId="7822" builtinId="8" hidden="1"/>
    <cellStyle name="ハイパーリンク" xfId="7824" builtinId="8" hidden="1"/>
    <cellStyle name="ハイパーリンク" xfId="7826" builtinId="8" hidden="1"/>
    <cellStyle name="ハイパーリンク" xfId="7828" builtinId="8" hidden="1"/>
    <cellStyle name="ハイパーリンク" xfId="7830" builtinId="8" hidden="1"/>
    <cellStyle name="ハイパーリンク" xfId="7832" builtinId="8" hidden="1"/>
    <cellStyle name="ハイパーリンク" xfId="7834" builtinId="8" hidden="1"/>
    <cellStyle name="ハイパーリンク" xfId="7836" builtinId="8" hidden="1"/>
    <cellStyle name="ハイパーリンク" xfId="7838" builtinId="8" hidden="1"/>
    <cellStyle name="ハイパーリンク" xfId="7840" builtinId="8" hidden="1"/>
    <cellStyle name="ハイパーリンク" xfId="7842" builtinId="8" hidden="1"/>
    <cellStyle name="ハイパーリンク" xfId="7844" builtinId="8" hidden="1"/>
    <cellStyle name="ハイパーリンク" xfId="7846" builtinId="8" hidden="1"/>
    <cellStyle name="ハイパーリンク" xfId="7848" builtinId="8" hidden="1"/>
    <cellStyle name="ハイパーリンク" xfId="7850" builtinId="8" hidden="1"/>
    <cellStyle name="ハイパーリンク" xfId="7852" builtinId="8" hidden="1"/>
    <cellStyle name="ハイパーリンク" xfId="7854" builtinId="8" hidden="1"/>
    <cellStyle name="ハイパーリンク" xfId="7856" builtinId="8" hidden="1"/>
    <cellStyle name="ハイパーリンク" xfId="7858" builtinId="8" hidden="1"/>
    <cellStyle name="ハイパーリンク" xfId="7860" builtinId="8" hidden="1"/>
    <cellStyle name="ハイパーリンク" xfId="7862" builtinId="8" hidden="1"/>
    <cellStyle name="ハイパーリンク" xfId="7864" builtinId="8" hidden="1"/>
    <cellStyle name="ハイパーリンク" xfId="7866" builtinId="8" hidden="1"/>
    <cellStyle name="ハイパーリンク" xfId="7868" builtinId="8" hidden="1"/>
    <cellStyle name="ハイパーリンク" xfId="7870" builtinId="8" hidden="1"/>
    <cellStyle name="ハイパーリンク" xfId="7872" builtinId="8" hidden="1"/>
    <cellStyle name="ハイパーリンク" xfId="7874" builtinId="8" hidden="1"/>
    <cellStyle name="ハイパーリンク" xfId="7876" builtinId="8" hidden="1"/>
    <cellStyle name="ハイパーリンク" xfId="7878" builtinId="8" hidden="1"/>
    <cellStyle name="ハイパーリンク" xfId="7880" builtinId="8" hidden="1"/>
    <cellStyle name="ハイパーリンク" xfId="7882" builtinId="8" hidden="1"/>
    <cellStyle name="ハイパーリンク" xfId="7884" builtinId="8" hidden="1"/>
    <cellStyle name="ハイパーリンク" xfId="7886" builtinId="8" hidden="1"/>
    <cellStyle name="ハイパーリンク" xfId="7888" builtinId="8" hidden="1"/>
    <cellStyle name="ハイパーリンク" xfId="7890" builtinId="8" hidden="1"/>
    <cellStyle name="ハイパーリンク" xfId="7892" builtinId="8" hidden="1"/>
    <cellStyle name="ハイパーリンク" xfId="7894" builtinId="8" hidden="1"/>
    <cellStyle name="ハイパーリンク" xfId="7896" builtinId="8" hidden="1"/>
    <cellStyle name="ハイパーリンク" xfId="7898" builtinId="8" hidden="1"/>
    <cellStyle name="ハイパーリンク" xfId="7900" builtinId="8" hidden="1"/>
    <cellStyle name="ハイパーリンク" xfId="7902" builtinId="8" hidden="1"/>
    <cellStyle name="ハイパーリンク" xfId="7904" builtinId="8" hidden="1"/>
    <cellStyle name="ハイパーリンク" xfId="7906" builtinId="8" hidden="1"/>
    <cellStyle name="ハイパーリンク" xfId="7908" builtinId="8" hidden="1"/>
    <cellStyle name="ハイパーリンク" xfId="7910" builtinId="8" hidden="1"/>
    <cellStyle name="ハイパーリンク" xfId="7912" builtinId="8" hidden="1"/>
    <cellStyle name="ハイパーリンク" xfId="7914" builtinId="8" hidden="1"/>
    <cellStyle name="ハイパーリンク" xfId="7916" builtinId="8" hidden="1"/>
    <cellStyle name="ハイパーリンク" xfId="7918" builtinId="8" hidden="1"/>
    <cellStyle name="ハイパーリンク" xfId="7920" builtinId="8" hidden="1"/>
    <cellStyle name="ハイパーリンク" xfId="7922" builtinId="8" hidden="1"/>
    <cellStyle name="ハイパーリンク" xfId="7924" builtinId="8" hidden="1"/>
    <cellStyle name="ハイパーリンク" xfId="7926" builtinId="8" hidden="1"/>
    <cellStyle name="ハイパーリンク" xfId="7928" builtinId="8" hidden="1"/>
    <cellStyle name="ハイパーリンク" xfId="7930" builtinId="8" hidden="1"/>
    <cellStyle name="ハイパーリンク" xfId="7932" builtinId="8" hidden="1"/>
    <cellStyle name="ハイパーリンク" xfId="7934" builtinId="8" hidden="1"/>
    <cellStyle name="ハイパーリンク" xfId="7936" builtinId="8" hidden="1"/>
    <cellStyle name="ハイパーリンク" xfId="7938" builtinId="8" hidden="1"/>
    <cellStyle name="ハイパーリンク" xfId="7940" builtinId="8" hidden="1"/>
    <cellStyle name="ハイパーリンク" xfId="7942" builtinId="8" hidden="1"/>
    <cellStyle name="ハイパーリンク" xfId="7944" builtinId="8" hidden="1"/>
    <cellStyle name="ハイパーリンク" xfId="7946" builtinId="8" hidden="1"/>
    <cellStyle name="ハイパーリンク" xfId="7948" builtinId="8" hidden="1"/>
    <cellStyle name="ハイパーリンク" xfId="7950" builtinId="8" hidden="1"/>
    <cellStyle name="ハイパーリンク" xfId="7952" builtinId="8" hidden="1"/>
    <cellStyle name="ハイパーリンク" xfId="7954" builtinId="8" hidden="1"/>
    <cellStyle name="ハイパーリンク" xfId="7956" builtinId="8" hidden="1"/>
    <cellStyle name="ハイパーリンク" xfId="7958" builtinId="8" hidden="1"/>
    <cellStyle name="ハイパーリンク" xfId="7960" builtinId="8" hidden="1"/>
    <cellStyle name="ハイパーリンク" xfId="7962" builtinId="8" hidden="1"/>
    <cellStyle name="ハイパーリンク" xfId="7964" builtinId="8" hidden="1"/>
    <cellStyle name="ハイパーリンク" xfId="7966" builtinId="8" hidden="1"/>
    <cellStyle name="ハイパーリンク" xfId="7968" builtinId="8" hidden="1"/>
    <cellStyle name="ハイパーリンク" xfId="7970" builtinId="8" hidden="1"/>
    <cellStyle name="ハイパーリンク" xfId="7972" builtinId="8" hidden="1"/>
    <cellStyle name="ハイパーリンク" xfId="7974" builtinId="8" hidden="1"/>
    <cellStyle name="ハイパーリンク" xfId="7976" builtinId="8" hidden="1"/>
    <cellStyle name="ハイパーリンク" xfId="7978" builtinId="8" hidden="1"/>
    <cellStyle name="ハイパーリンク" xfId="7980" builtinId="8" hidden="1"/>
    <cellStyle name="ハイパーリンク" xfId="7982" builtinId="8" hidden="1"/>
    <cellStyle name="ハイパーリンク" xfId="7984" builtinId="8" hidden="1"/>
    <cellStyle name="ハイパーリンク" xfId="7986" builtinId="8" hidden="1"/>
    <cellStyle name="ハイパーリンク" xfId="7988" builtinId="8" hidden="1"/>
    <cellStyle name="ハイパーリンク" xfId="7990" builtinId="8" hidden="1"/>
    <cellStyle name="ハイパーリンク" xfId="7992" builtinId="8" hidden="1"/>
    <cellStyle name="ハイパーリンク" xfId="7994" builtinId="8" hidden="1"/>
    <cellStyle name="ハイパーリンク" xfId="7996" builtinId="8" hidden="1"/>
    <cellStyle name="ハイパーリンク" xfId="7998" builtinId="8" hidden="1"/>
    <cellStyle name="ハイパーリンク" xfId="8000" builtinId="8" hidden="1"/>
    <cellStyle name="ハイパーリンク" xfId="8002" builtinId="8" hidden="1"/>
    <cellStyle name="ハイパーリンク" xfId="8004" builtinId="8" hidden="1"/>
    <cellStyle name="ハイパーリンク" xfId="8006" builtinId="8" hidden="1"/>
    <cellStyle name="ハイパーリンク" xfId="8008" builtinId="8" hidden="1"/>
    <cellStyle name="ハイパーリンク" xfId="8010" builtinId="8" hidden="1"/>
    <cellStyle name="ハイパーリンク" xfId="8012" builtinId="8" hidden="1"/>
    <cellStyle name="ハイパーリンク" xfId="8014" builtinId="8" hidden="1"/>
    <cellStyle name="ハイパーリンク" xfId="8016" builtinId="8" hidden="1"/>
    <cellStyle name="ハイパーリンク" xfId="8018" builtinId="8" hidden="1"/>
    <cellStyle name="ハイパーリンク" xfId="8020" builtinId="8" hidden="1"/>
    <cellStyle name="ハイパーリンク" xfId="8022" builtinId="8" hidden="1"/>
    <cellStyle name="ハイパーリンク" xfId="8024" builtinId="8" hidden="1"/>
    <cellStyle name="ハイパーリンク" xfId="8026" builtinId="8" hidden="1"/>
    <cellStyle name="ハイパーリンク" xfId="8028" builtinId="8" hidden="1"/>
    <cellStyle name="ハイパーリンク" xfId="8030" builtinId="8" hidden="1"/>
    <cellStyle name="ハイパーリンク" xfId="8032" builtinId="8" hidden="1"/>
    <cellStyle name="ハイパーリンク" xfId="8034" builtinId="8" hidden="1"/>
    <cellStyle name="ハイパーリンク" xfId="8036" builtinId="8" hidden="1"/>
    <cellStyle name="ハイパーリンク" xfId="8038" builtinId="8" hidden="1"/>
    <cellStyle name="ハイパーリンク" xfId="8040" builtinId="8" hidden="1"/>
    <cellStyle name="ハイパーリンク" xfId="8042" builtinId="8" hidden="1"/>
    <cellStyle name="ハイパーリンク" xfId="8044" builtinId="8" hidden="1"/>
    <cellStyle name="ハイパーリンク" xfId="8046" builtinId="8" hidden="1"/>
    <cellStyle name="ハイパーリンク" xfId="8048" builtinId="8" hidden="1"/>
    <cellStyle name="ハイパーリンク" xfId="8050" builtinId="8" hidden="1"/>
    <cellStyle name="ハイパーリンク" xfId="8052" builtinId="8" hidden="1"/>
    <cellStyle name="ハイパーリンク" xfId="8054" builtinId="8" hidden="1"/>
    <cellStyle name="ハイパーリンク" xfId="8056" builtinId="8" hidden="1"/>
    <cellStyle name="ハイパーリンク" xfId="8058" builtinId="8" hidden="1"/>
    <cellStyle name="ハイパーリンク" xfId="8060" builtinId="8" hidden="1"/>
    <cellStyle name="ハイパーリンク" xfId="8062" builtinId="8" hidden="1"/>
    <cellStyle name="ハイパーリンク" xfId="8064" builtinId="8" hidden="1"/>
    <cellStyle name="ハイパーリンク" xfId="8066" builtinId="8" hidden="1"/>
    <cellStyle name="ハイパーリンク" xfId="8068" builtinId="8" hidden="1"/>
    <cellStyle name="ハイパーリンク" xfId="8070" builtinId="8" hidden="1"/>
    <cellStyle name="ハイパーリンク" xfId="8072" builtinId="8" hidden="1"/>
    <cellStyle name="ハイパーリンク" xfId="8074" builtinId="8" hidden="1"/>
    <cellStyle name="ハイパーリンク" xfId="8076" builtinId="8" hidden="1"/>
    <cellStyle name="ハイパーリンク" xfId="8078" builtinId="8" hidden="1"/>
    <cellStyle name="ハイパーリンク" xfId="8080" builtinId="8" hidden="1"/>
    <cellStyle name="ハイパーリンク" xfId="8082" builtinId="8" hidden="1"/>
    <cellStyle name="ハイパーリンク" xfId="8084" builtinId="8" hidden="1"/>
    <cellStyle name="ハイパーリンク" xfId="8086" builtinId="8" hidden="1"/>
    <cellStyle name="ハイパーリンク" xfId="8088" builtinId="8" hidden="1"/>
    <cellStyle name="ハイパーリンク" xfId="8090" builtinId="8" hidden="1"/>
    <cellStyle name="ハイパーリンク" xfId="8092" builtinId="8" hidden="1"/>
    <cellStyle name="ハイパーリンク" xfId="8094" builtinId="8" hidden="1"/>
    <cellStyle name="ハイパーリンク" xfId="8096" builtinId="8" hidden="1"/>
    <cellStyle name="ハイパーリンク" xfId="8098" builtinId="8" hidden="1"/>
    <cellStyle name="ハイパーリンク" xfId="8100" builtinId="8" hidden="1"/>
    <cellStyle name="ハイパーリンク" xfId="8102" builtinId="8" hidden="1"/>
    <cellStyle name="ハイパーリンク" xfId="8104" builtinId="8" hidden="1"/>
    <cellStyle name="ハイパーリンク" xfId="8106" builtinId="8" hidden="1"/>
    <cellStyle name="ハイパーリンク" xfId="8108" builtinId="8" hidden="1"/>
    <cellStyle name="ハイパーリンク" xfId="8110" builtinId="8" hidden="1"/>
    <cellStyle name="ハイパーリンク" xfId="8112" builtinId="8" hidden="1"/>
    <cellStyle name="ハイパーリンク" xfId="8114" builtinId="8" hidden="1"/>
    <cellStyle name="ハイパーリンク" xfId="8116" builtinId="8" hidden="1"/>
    <cellStyle name="ハイパーリンク" xfId="8118" builtinId="8" hidden="1"/>
    <cellStyle name="ハイパーリンク" xfId="8120" builtinId="8" hidden="1"/>
    <cellStyle name="ハイパーリンク" xfId="8122" builtinId="8" hidden="1"/>
    <cellStyle name="ハイパーリンク" xfId="8124" builtinId="8" hidden="1"/>
    <cellStyle name="ハイパーリンク" xfId="8126" builtinId="8" hidden="1"/>
    <cellStyle name="ハイパーリンク" xfId="8128" builtinId="8" hidden="1"/>
    <cellStyle name="ハイパーリンク" xfId="8130" builtinId="8" hidden="1"/>
    <cellStyle name="ハイパーリンク" xfId="8132" builtinId="8" hidden="1"/>
    <cellStyle name="ハイパーリンク" xfId="8134" builtinId="8" hidden="1"/>
    <cellStyle name="ハイパーリンク" xfId="8136" builtinId="8" hidden="1"/>
    <cellStyle name="ハイパーリンク" xfId="8138" builtinId="8" hidden="1"/>
    <cellStyle name="ハイパーリンク" xfId="8140" builtinId="8" hidden="1"/>
    <cellStyle name="ハイパーリンク" xfId="8142" builtinId="8" hidden="1"/>
    <cellStyle name="ハイパーリンク" xfId="8144" builtinId="8" hidden="1"/>
    <cellStyle name="ハイパーリンク" xfId="8146" builtinId="8" hidden="1"/>
    <cellStyle name="ハイパーリンク" xfId="8148" builtinId="8" hidden="1"/>
    <cellStyle name="ハイパーリンク" xfId="8150" builtinId="8" hidden="1"/>
    <cellStyle name="ハイパーリンク" xfId="8152" builtinId="8" hidden="1"/>
    <cellStyle name="ハイパーリンク" xfId="8154" builtinId="8" hidden="1"/>
    <cellStyle name="ハイパーリンク" xfId="8156" builtinId="8" hidden="1"/>
    <cellStyle name="ハイパーリンク" xfId="8158" builtinId="8" hidden="1"/>
    <cellStyle name="ハイパーリンク" xfId="8160" builtinId="8" hidden="1"/>
    <cellStyle name="ハイパーリンク" xfId="8162" builtinId="8" hidden="1"/>
    <cellStyle name="ハイパーリンク" xfId="8164" builtinId="8" hidden="1"/>
    <cellStyle name="ハイパーリンク" xfId="8166" builtinId="8" hidden="1"/>
    <cellStyle name="ハイパーリンク" xfId="8168" builtinId="8" hidden="1"/>
    <cellStyle name="ハイパーリンク" xfId="8170" builtinId="8" hidden="1"/>
    <cellStyle name="ハイパーリンク" xfId="8172" builtinId="8" hidden="1"/>
    <cellStyle name="ハイパーリンク" xfId="8174" builtinId="8" hidden="1"/>
    <cellStyle name="ハイパーリンク" xfId="8176" builtinId="8" hidden="1"/>
    <cellStyle name="ハイパーリンク" xfId="8178" builtinId="8" hidden="1"/>
    <cellStyle name="ハイパーリンク" xfId="8180" builtinId="8" hidden="1"/>
    <cellStyle name="ハイパーリンク" xfId="8182" builtinId="8" hidden="1"/>
    <cellStyle name="ハイパーリンク" xfId="8184" builtinId="8" hidden="1"/>
    <cellStyle name="ハイパーリンク" xfId="8186" builtinId="8" hidden="1"/>
    <cellStyle name="ハイパーリンク" xfId="8188" builtinId="8" hidden="1"/>
    <cellStyle name="ハイパーリンク" xfId="8190" builtinId="8" hidden="1"/>
    <cellStyle name="ハイパーリンク" xfId="8192" builtinId="8" hidden="1"/>
    <cellStyle name="ハイパーリンク" xfId="8194" builtinId="8" hidden="1"/>
    <cellStyle name="ハイパーリンク" xfId="8196" builtinId="8" hidden="1"/>
    <cellStyle name="ハイパーリンク" xfId="8198" builtinId="8" hidden="1"/>
    <cellStyle name="ハイパーリンク" xfId="8200" builtinId="8" hidden="1"/>
    <cellStyle name="ハイパーリンク" xfId="8202" builtinId="8" hidden="1"/>
    <cellStyle name="ハイパーリンク" xfId="8204" builtinId="8" hidden="1"/>
    <cellStyle name="ハイパーリンク" xfId="8206" builtinId="8" hidden="1"/>
    <cellStyle name="ハイパーリンク" xfId="8208" builtinId="8" hidden="1"/>
    <cellStyle name="ハイパーリンク" xfId="8210" builtinId="8" hidden="1"/>
    <cellStyle name="ハイパーリンク" xfId="8212" builtinId="8" hidden="1"/>
    <cellStyle name="ハイパーリンク" xfId="8214" builtinId="8" hidden="1"/>
    <cellStyle name="ハイパーリンク" xfId="8216" builtinId="8" hidden="1"/>
    <cellStyle name="ハイパーリンク" xfId="8218" builtinId="8" hidden="1"/>
    <cellStyle name="ハイパーリンク" xfId="8220" builtinId="8" hidden="1"/>
    <cellStyle name="ハイパーリンク" xfId="8222" builtinId="8" hidden="1"/>
    <cellStyle name="ハイパーリンク" xfId="8224" builtinId="8" hidden="1"/>
    <cellStyle name="ハイパーリンク" xfId="8226" builtinId="8" hidden="1"/>
    <cellStyle name="ハイパーリンク" xfId="8228" builtinId="8" hidden="1"/>
    <cellStyle name="ハイパーリンク" xfId="8230" builtinId="8" hidden="1"/>
    <cellStyle name="ハイパーリンク" xfId="8232" builtinId="8" hidden="1"/>
    <cellStyle name="ハイパーリンク" xfId="8234" builtinId="8" hidden="1"/>
    <cellStyle name="ハイパーリンク" xfId="8236" builtinId="8" hidden="1"/>
    <cellStyle name="ハイパーリンク" xfId="8238" builtinId="8" hidden="1"/>
    <cellStyle name="ハイパーリンク" xfId="8240" builtinId="8" hidden="1"/>
    <cellStyle name="ハイパーリンク" xfId="8242" builtinId="8" hidden="1"/>
    <cellStyle name="ハイパーリンク" xfId="8244" builtinId="8" hidden="1"/>
    <cellStyle name="ハイパーリンク" xfId="8246" builtinId="8" hidden="1"/>
    <cellStyle name="ハイパーリンク" xfId="8248" builtinId="8" hidden="1"/>
    <cellStyle name="ハイパーリンク" xfId="8250" builtinId="8" hidden="1"/>
    <cellStyle name="ハイパーリンク" xfId="8252" builtinId="8" hidden="1"/>
    <cellStyle name="ハイパーリンク" xfId="8254" builtinId="8" hidden="1"/>
    <cellStyle name="ハイパーリンク" xfId="8256" builtinId="8" hidden="1"/>
    <cellStyle name="ハイパーリンク" xfId="8258" builtinId="8" hidden="1"/>
    <cellStyle name="ハイパーリンク" xfId="8260" builtinId="8" hidden="1"/>
    <cellStyle name="ハイパーリンク" xfId="8262" builtinId="8" hidden="1"/>
    <cellStyle name="ハイパーリンク" xfId="8264" builtinId="8" hidden="1"/>
    <cellStyle name="ハイパーリンク" xfId="8266" builtinId="8" hidden="1"/>
    <cellStyle name="ハイパーリンク" xfId="8268" builtinId="8" hidden="1"/>
    <cellStyle name="ハイパーリンク" xfId="8270" builtinId="8" hidden="1"/>
    <cellStyle name="ハイパーリンク" xfId="8272" builtinId="8" hidden="1"/>
    <cellStyle name="ハイパーリンク" xfId="8274" builtinId="8" hidden="1"/>
    <cellStyle name="ハイパーリンク" xfId="8276" builtinId="8" hidden="1"/>
    <cellStyle name="ハイパーリンク" xfId="8278" builtinId="8" hidden="1"/>
    <cellStyle name="ハイパーリンク" xfId="8280" builtinId="8" hidden="1"/>
    <cellStyle name="ハイパーリンク" xfId="8282" builtinId="8" hidden="1"/>
    <cellStyle name="ハイパーリンク" xfId="8284" builtinId="8" hidden="1"/>
    <cellStyle name="ハイパーリンク" xfId="8286" builtinId="8" hidden="1"/>
    <cellStyle name="ハイパーリンク" xfId="8288" builtinId="8" hidden="1"/>
    <cellStyle name="ハイパーリンク" xfId="8290" builtinId="8" hidden="1"/>
    <cellStyle name="ハイパーリンク" xfId="8292" builtinId="8" hidden="1"/>
    <cellStyle name="ハイパーリンク" xfId="8294" builtinId="8" hidden="1"/>
    <cellStyle name="ハイパーリンク" xfId="8296" builtinId="8" hidden="1"/>
    <cellStyle name="ハイパーリンク" xfId="8298" builtinId="8" hidden="1"/>
    <cellStyle name="ハイパーリンク" xfId="8300" builtinId="8" hidden="1"/>
    <cellStyle name="ハイパーリンク" xfId="8302" builtinId="8" hidden="1"/>
    <cellStyle name="ハイパーリンク" xfId="8304" builtinId="8" hidden="1"/>
    <cellStyle name="ハイパーリンク" xfId="8306" builtinId="8" hidden="1"/>
    <cellStyle name="ハイパーリンク" xfId="8308" builtinId="8" hidden="1"/>
    <cellStyle name="ハイパーリンク" xfId="8310" builtinId="8" hidden="1"/>
    <cellStyle name="ハイパーリンク" xfId="8312" builtinId="8" hidden="1"/>
    <cellStyle name="ハイパーリンク" xfId="8314" builtinId="8" hidden="1"/>
    <cellStyle name="ハイパーリンク" xfId="8316" builtinId="8" hidden="1"/>
    <cellStyle name="ハイパーリンク" xfId="8318" builtinId="8" hidden="1"/>
    <cellStyle name="ハイパーリンク" xfId="8320" builtinId="8" hidden="1"/>
    <cellStyle name="ハイパーリンク" xfId="8322" builtinId="8" hidden="1"/>
    <cellStyle name="ハイパーリンク" xfId="8324" builtinId="8" hidden="1"/>
    <cellStyle name="ハイパーリンク" xfId="8326" builtinId="8" hidden="1"/>
    <cellStyle name="ハイパーリンク" xfId="8328" builtinId="8" hidden="1"/>
    <cellStyle name="ハイパーリンク" xfId="8330" builtinId="8" hidden="1"/>
    <cellStyle name="ハイパーリンク" xfId="8332" builtinId="8" hidden="1"/>
    <cellStyle name="ハイパーリンク" xfId="8334" builtinId="8" hidden="1"/>
    <cellStyle name="ハイパーリンク" xfId="8336" builtinId="8" hidden="1"/>
    <cellStyle name="ハイパーリンク" xfId="8338" builtinId="8" hidden="1"/>
    <cellStyle name="ハイパーリンク" xfId="8340" builtinId="8" hidden="1"/>
    <cellStyle name="ハイパーリンク" xfId="8342" builtinId="8" hidden="1"/>
    <cellStyle name="ハイパーリンク" xfId="8344" builtinId="8" hidden="1"/>
    <cellStyle name="ハイパーリンク" xfId="8346" builtinId="8" hidden="1"/>
    <cellStyle name="ハイパーリンク" xfId="8348" builtinId="8" hidden="1"/>
    <cellStyle name="ハイパーリンク" xfId="8350" builtinId="8" hidden="1"/>
    <cellStyle name="ハイパーリンク" xfId="8352" builtinId="8" hidden="1"/>
    <cellStyle name="ハイパーリンク" xfId="8354" builtinId="8" hidden="1"/>
    <cellStyle name="ハイパーリンク" xfId="8356" builtinId="8" hidden="1"/>
    <cellStyle name="ハイパーリンク" xfId="8358" builtinId="8" hidden="1"/>
    <cellStyle name="ハイパーリンク" xfId="8360" builtinId="8" hidden="1"/>
    <cellStyle name="ハイパーリンク" xfId="8362" builtinId="8" hidden="1"/>
    <cellStyle name="ハイパーリンク" xfId="8364" builtinId="8" hidden="1"/>
    <cellStyle name="ハイパーリンク" xfId="8366" builtinId="8" hidden="1"/>
    <cellStyle name="ハイパーリンク" xfId="8368" builtinId="8" hidden="1"/>
    <cellStyle name="ハイパーリンク" xfId="8370" builtinId="8" hidden="1"/>
    <cellStyle name="ハイパーリンク" xfId="8372" builtinId="8" hidden="1"/>
    <cellStyle name="ハイパーリンク" xfId="8374" builtinId="8" hidden="1"/>
    <cellStyle name="ハイパーリンク" xfId="8376" builtinId="8" hidden="1"/>
    <cellStyle name="ハイパーリンク" xfId="8378" builtinId="8" hidden="1"/>
    <cellStyle name="ハイパーリンク" xfId="8380" builtinId="8" hidden="1"/>
    <cellStyle name="ハイパーリンク" xfId="8382" builtinId="8" hidden="1"/>
    <cellStyle name="ハイパーリンク" xfId="8384" builtinId="8" hidden="1"/>
    <cellStyle name="ハイパーリンク" xfId="8386" builtinId="8" hidden="1"/>
    <cellStyle name="ハイパーリンク" xfId="8388" builtinId="8" hidden="1"/>
    <cellStyle name="ハイパーリンク" xfId="8390" builtinId="8" hidden="1"/>
    <cellStyle name="ハイパーリンク" xfId="8392" builtinId="8" hidden="1"/>
    <cellStyle name="ハイパーリンク" xfId="8394" builtinId="8" hidden="1"/>
    <cellStyle name="ハイパーリンク" xfId="8396" builtinId="8" hidden="1"/>
    <cellStyle name="ハイパーリンク" xfId="8398" builtinId="8" hidden="1"/>
    <cellStyle name="ハイパーリンク" xfId="8400" builtinId="8" hidden="1"/>
    <cellStyle name="ハイパーリンク" xfId="8402" builtinId="8" hidden="1"/>
    <cellStyle name="ハイパーリンク" xfId="8404" builtinId="8" hidden="1"/>
    <cellStyle name="ハイパーリンク" xfId="8406" builtinId="8" hidden="1"/>
    <cellStyle name="ハイパーリンク" xfId="8408" builtinId="8" hidden="1"/>
    <cellStyle name="ハイパーリンク" xfId="8410" builtinId="8" hidden="1"/>
    <cellStyle name="ハイパーリンク" xfId="8412" builtinId="8" hidden="1"/>
    <cellStyle name="ハイパーリンク" xfId="8414" builtinId="8" hidden="1"/>
    <cellStyle name="ハイパーリンク" xfId="8416" builtinId="8" hidden="1"/>
    <cellStyle name="ハイパーリンク" xfId="8418" builtinId="8" hidden="1"/>
    <cellStyle name="ハイパーリンク" xfId="8420" builtinId="8" hidden="1"/>
    <cellStyle name="ハイパーリンク" xfId="8422" builtinId="8" hidden="1"/>
    <cellStyle name="ハイパーリンク" xfId="8424" builtinId="8" hidden="1"/>
    <cellStyle name="ハイパーリンク" xfId="8426" builtinId="8" hidden="1"/>
    <cellStyle name="ハイパーリンク" xfId="8428" builtinId="8" hidden="1"/>
    <cellStyle name="ハイパーリンク" xfId="8430" builtinId="8" hidden="1"/>
    <cellStyle name="ハイパーリンク" xfId="8432" builtinId="8" hidden="1"/>
    <cellStyle name="ハイパーリンク" xfId="8434" builtinId="8" hidden="1"/>
    <cellStyle name="ハイパーリンク" xfId="8436" builtinId="8" hidden="1"/>
    <cellStyle name="ハイパーリンク" xfId="8438" builtinId="8" hidden="1"/>
    <cellStyle name="ハイパーリンク" xfId="8440" builtinId="8" hidden="1"/>
    <cellStyle name="ハイパーリンク" xfId="8442" builtinId="8" hidden="1"/>
    <cellStyle name="ハイパーリンク" xfId="8444" builtinId="8" hidden="1"/>
    <cellStyle name="ハイパーリンク" xfId="8446" builtinId="8" hidden="1"/>
    <cellStyle name="ハイパーリンク" xfId="8448" builtinId="8" hidden="1"/>
    <cellStyle name="ハイパーリンク" xfId="8450" builtinId="8" hidden="1"/>
    <cellStyle name="ハイパーリンク" xfId="8452" builtinId="8" hidden="1"/>
    <cellStyle name="ハイパーリンク" xfId="8454" builtinId="8" hidden="1"/>
    <cellStyle name="ハイパーリンク" xfId="8456" builtinId="8" hidden="1"/>
    <cellStyle name="ハイパーリンク" xfId="8458" builtinId="8" hidden="1"/>
    <cellStyle name="ハイパーリンク" xfId="8460" builtinId="8" hidden="1"/>
    <cellStyle name="ハイパーリンク" xfId="8462" builtinId="8" hidden="1"/>
    <cellStyle name="ハイパーリンク" xfId="8464" builtinId="8" hidden="1"/>
    <cellStyle name="ハイパーリンク" xfId="8466" builtinId="8" hidden="1"/>
    <cellStyle name="ハイパーリンク" xfId="8468" builtinId="8" hidden="1"/>
    <cellStyle name="ハイパーリンク" xfId="8470" builtinId="8" hidden="1"/>
    <cellStyle name="ハイパーリンク" xfId="8472" builtinId="8" hidden="1"/>
    <cellStyle name="ハイパーリンク" xfId="8474" builtinId="8" hidden="1"/>
    <cellStyle name="ハイパーリンク" xfId="8476" builtinId="8" hidden="1"/>
    <cellStyle name="ハイパーリンク" xfId="8478" builtinId="8" hidden="1"/>
    <cellStyle name="ハイパーリンク" xfId="8480" builtinId="8" hidden="1"/>
    <cellStyle name="ハイパーリンク" xfId="8482" builtinId="8" hidden="1"/>
    <cellStyle name="ハイパーリンク" xfId="8484" builtinId="8" hidden="1"/>
    <cellStyle name="ハイパーリンク" xfId="8486" builtinId="8" hidden="1"/>
    <cellStyle name="ハイパーリンク" xfId="8488" builtinId="8" hidden="1"/>
    <cellStyle name="ハイパーリンク" xfId="8490" builtinId="8" hidden="1"/>
    <cellStyle name="ハイパーリンク" xfId="8492" builtinId="8" hidden="1"/>
    <cellStyle name="ハイパーリンク" xfId="8494" builtinId="8" hidden="1"/>
    <cellStyle name="ハイパーリンク" xfId="8496" builtinId="8" hidden="1"/>
    <cellStyle name="ハイパーリンク" xfId="8498" builtinId="8" hidden="1"/>
    <cellStyle name="ハイパーリンク" xfId="8500" builtinId="8" hidden="1"/>
    <cellStyle name="ハイパーリンク" xfId="8502" builtinId="8" hidden="1"/>
    <cellStyle name="ハイパーリンク" xfId="8504" builtinId="8" hidden="1"/>
    <cellStyle name="ハイパーリンク" xfId="8506" builtinId="8" hidden="1"/>
    <cellStyle name="ハイパーリンク" xfId="8508" builtinId="8" hidden="1"/>
    <cellStyle name="ハイパーリンク" xfId="8510" builtinId="8" hidden="1"/>
    <cellStyle name="ハイパーリンク" xfId="8512" builtinId="8" hidden="1"/>
    <cellStyle name="ハイパーリンク" xfId="8514" builtinId="8" hidden="1"/>
    <cellStyle name="ハイパーリンク" xfId="8516" builtinId="8" hidden="1"/>
    <cellStyle name="ハイパーリンク" xfId="8518" builtinId="8" hidden="1"/>
    <cellStyle name="ハイパーリンク" xfId="8520" builtinId="8" hidden="1"/>
    <cellStyle name="ハイパーリンク" xfId="8522" builtinId="8" hidden="1"/>
    <cellStyle name="ハイパーリンク" xfId="8524" builtinId="8" hidden="1"/>
    <cellStyle name="ハイパーリンク" xfId="8526" builtinId="8" hidden="1"/>
    <cellStyle name="ハイパーリンク" xfId="8528" builtinId="8" hidden="1"/>
    <cellStyle name="ハイパーリンク" xfId="8530" builtinId="8" hidden="1"/>
    <cellStyle name="ハイパーリンク" xfId="8532" builtinId="8" hidden="1"/>
    <cellStyle name="ハイパーリンク" xfId="8534" builtinId="8" hidden="1"/>
    <cellStyle name="ハイパーリンク" xfId="8536" builtinId="8" hidden="1"/>
    <cellStyle name="ハイパーリンク" xfId="8538" builtinId="8" hidden="1"/>
    <cellStyle name="ハイパーリンク" xfId="8540" builtinId="8" hidden="1"/>
    <cellStyle name="ハイパーリンク" xfId="8542" builtinId="8" hidden="1"/>
    <cellStyle name="ハイパーリンク" xfId="8544" builtinId="8" hidden="1"/>
    <cellStyle name="ハイパーリンク" xfId="8546" builtinId="8" hidden="1"/>
    <cellStyle name="ハイパーリンク" xfId="8548" builtinId="8" hidden="1"/>
    <cellStyle name="ハイパーリンク" xfId="8550" builtinId="8" hidden="1"/>
    <cellStyle name="ハイパーリンク" xfId="8552" builtinId="8" hidden="1"/>
    <cellStyle name="ハイパーリンク" xfId="8554" builtinId="8" hidden="1"/>
    <cellStyle name="ハイパーリンク" xfId="8556" builtinId="8" hidden="1"/>
    <cellStyle name="ハイパーリンク" xfId="8558" builtinId="8" hidden="1"/>
    <cellStyle name="ハイパーリンク" xfId="8560" builtinId="8" hidden="1"/>
    <cellStyle name="ハイパーリンク" xfId="8562" builtinId="8" hidden="1"/>
    <cellStyle name="ハイパーリンク" xfId="8564" builtinId="8" hidden="1"/>
    <cellStyle name="ハイパーリンク" xfId="8566" builtinId="8" hidden="1"/>
    <cellStyle name="ハイパーリンク" xfId="8568" builtinId="8" hidden="1"/>
    <cellStyle name="ハイパーリンク" xfId="8570" builtinId="8" hidden="1"/>
    <cellStyle name="ハイパーリンク" xfId="8572" builtinId="8" hidden="1"/>
    <cellStyle name="ハイパーリンク" xfId="8574" builtinId="8" hidden="1"/>
    <cellStyle name="ハイパーリンク" xfId="8576" builtinId="8" hidden="1"/>
    <cellStyle name="ハイパーリンク" xfId="8578" builtinId="8" hidden="1"/>
    <cellStyle name="ハイパーリンク" xfId="8580" builtinId="8" hidden="1"/>
    <cellStyle name="ハイパーリンク" xfId="8582" builtinId="8" hidden="1"/>
    <cellStyle name="ハイパーリンク" xfId="8584" builtinId="8" hidden="1"/>
    <cellStyle name="ハイパーリンク" xfId="8586" builtinId="8" hidden="1"/>
    <cellStyle name="ハイパーリンク" xfId="8588" builtinId="8" hidden="1"/>
    <cellStyle name="ハイパーリンク" xfId="8590" builtinId="8" hidden="1"/>
    <cellStyle name="ハイパーリンク" xfId="8592" builtinId="8" hidden="1"/>
    <cellStyle name="ハイパーリンク" xfId="8594" builtinId="8" hidden="1"/>
    <cellStyle name="ハイパーリンク" xfId="8596" builtinId="8" hidden="1"/>
    <cellStyle name="ハイパーリンク" xfId="8598" builtinId="8" hidden="1"/>
    <cellStyle name="ハイパーリンク" xfId="8600" builtinId="8" hidden="1"/>
    <cellStyle name="ハイパーリンク" xfId="8602" builtinId="8" hidden="1"/>
    <cellStyle name="ハイパーリンク" xfId="8604" builtinId="8" hidden="1"/>
    <cellStyle name="ハイパーリンク" xfId="8606" builtinId="8" hidden="1"/>
    <cellStyle name="ハイパーリンク" xfId="8608" builtinId="8" hidden="1"/>
    <cellStyle name="ハイパーリンク" xfId="8610" builtinId="8" hidden="1"/>
    <cellStyle name="ハイパーリンク" xfId="8612" builtinId="8" hidden="1"/>
    <cellStyle name="ハイパーリンク" xfId="8614" builtinId="8" hidden="1"/>
    <cellStyle name="ハイパーリンク" xfId="8616" builtinId="8" hidden="1"/>
    <cellStyle name="ハイパーリンク" xfId="8618" builtinId="8" hidden="1"/>
    <cellStyle name="ハイパーリンク" xfId="8620" builtinId="8" hidden="1"/>
    <cellStyle name="ハイパーリンク" xfId="8622" builtinId="8" hidden="1"/>
    <cellStyle name="ハイパーリンク" xfId="8624" builtinId="8" hidden="1"/>
    <cellStyle name="ハイパーリンク" xfId="8626" builtinId="8" hidden="1"/>
    <cellStyle name="ハイパーリンク" xfId="8628" builtinId="8" hidden="1"/>
    <cellStyle name="ハイパーリンク" xfId="8630" builtinId="8" hidden="1"/>
    <cellStyle name="ハイパーリンク" xfId="8632" builtinId="8" hidden="1"/>
    <cellStyle name="ハイパーリンク" xfId="8634" builtinId="8" hidden="1"/>
    <cellStyle name="ハイパーリンク" xfId="8636" builtinId="8" hidden="1"/>
    <cellStyle name="ハイパーリンク" xfId="8638" builtinId="8" hidden="1"/>
    <cellStyle name="ハイパーリンク" xfId="8640" builtinId="8" hidden="1"/>
    <cellStyle name="ハイパーリンク" xfId="8642" builtinId="8" hidden="1"/>
    <cellStyle name="ハイパーリンク" xfId="8644" builtinId="8" hidden="1"/>
    <cellStyle name="ハイパーリンク" xfId="8646" builtinId="8" hidden="1"/>
    <cellStyle name="ハイパーリンク" xfId="8648" builtinId="8" hidden="1"/>
    <cellStyle name="ハイパーリンク" xfId="8650" builtinId="8" hidden="1"/>
    <cellStyle name="ハイパーリンク" xfId="8652" builtinId="8" hidden="1"/>
    <cellStyle name="ハイパーリンク" xfId="8654" builtinId="8" hidden="1"/>
    <cellStyle name="ハイパーリンク" xfId="8656" builtinId="8" hidden="1"/>
    <cellStyle name="ハイパーリンク" xfId="8658" builtinId="8" hidden="1"/>
    <cellStyle name="ハイパーリンク" xfId="8660" builtinId="8" hidden="1"/>
    <cellStyle name="ハイパーリンク" xfId="8662" builtinId="8" hidden="1"/>
    <cellStyle name="ハイパーリンク" xfId="8664" builtinId="8" hidden="1"/>
    <cellStyle name="ハイパーリンク" xfId="8666" builtinId="8" hidden="1"/>
    <cellStyle name="ハイパーリンク" xfId="8668" builtinId="8" hidden="1"/>
    <cellStyle name="ハイパーリンク" xfId="8670" builtinId="8" hidden="1"/>
    <cellStyle name="ハイパーリンク" xfId="8672" builtinId="8" hidden="1"/>
    <cellStyle name="ハイパーリンク" xfId="8674" builtinId="8" hidden="1"/>
    <cellStyle name="ハイパーリンク" xfId="8676" builtinId="8" hidden="1"/>
    <cellStyle name="ハイパーリンク" xfId="8678" builtinId="8" hidden="1"/>
    <cellStyle name="ハイパーリンク" xfId="8680" builtinId="8" hidden="1"/>
    <cellStyle name="ハイパーリンク" xfId="8682" builtinId="8" hidden="1"/>
    <cellStyle name="ハイパーリンク" xfId="8684" builtinId="8" hidden="1"/>
    <cellStyle name="ハイパーリンク" xfId="8686" builtinId="8" hidden="1"/>
    <cellStyle name="桁区切り 2" xfId="49"/>
    <cellStyle name="標準" xfId="0" builtinId="0"/>
    <cellStyle name="標準 2" xfId="52"/>
    <cellStyle name="標準 3" xfId="53"/>
    <cellStyle name="標準 4" xfId="54"/>
    <cellStyle name="標準 4 2" xfId="6969"/>
    <cellStyle name="標準 5" xfId="1092"/>
    <cellStyle name="標準 5 2" xfId="6970"/>
    <cellStyle name="標準 6" xfId="6968"/>
    <cellStyle name="無題1" xfId="55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79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7" builtinId="9" hidden="1"/>
    <cellStyle name="表示済みのハイパーリンク" xfId="3039" builtinId="9" hidden="1"/>
    <cellStyle name="表示済みのハイパーリンク" xfId="3041" builtinId="9" hidden="1"/>
    <cellStyle name="表示済みのハイパーリンク" xfId="3043" builtinId="9" hidden="1"/>
    <cellStyle name="表示済みのハイパーリンク" xfId="3045" builtinId="9" hidden="1"/>
    <cellStyle name="表示済みのハイパーリンク" xfId="3047" builtinId="9" hidden="1"/>
    <cellStyle name="表示済みのハイパーリンク" xfId="3049" builtinId="9" hidden="1"/>
    <cellStyle name="表示済みのハイパーリンク" xfId="3051" builtinId="9" hidden="1"/>
    <cellStyle name="表示済みのハイパーリンク" xfId="3053" builtinId="9" hidden="1"/>
    <cellStyle name="表示済みのハイパーリンク" xfId="3055" builtinId="9" hidden="1"/>
    <cellStyle name="表示済みのハイパーリンク" xfId="3057" builtinId="9" hidden="1"/>
    <cellStyle name="表示済みのハイパーリンク" xfId="3059" builtinId="9" hidden="1"/>
    <cellStyle name="表示済みのハイパーリンク" xfId="3061" builtinId="9" hidden="1"/>
    <cellStyle name="表示済みのハイパーリンク" xfId="3063" builtinId="9" hidden="1"/>
    <cellStyle name="表示済みのハイパーリンク" xfId="3065" builtinId="9" hidden="1"/>
    <cellStyle name="表示済みのハイパーリンク" xfId="3067" builtinId="9" hidden="1"/>
    <cellStyle name="表示済みのハイパーリンク" xfId="3069" builtinId="9" hidden="1"/>
    <cellStyle name="表示済みのハイパーリンク" xfId="3071" builtinId="9" hidden="1"/>
    <cellStyle name="表示済みのハイパーリンク" xfId="3073" builtinId="9" hidden="1"/>
    <cellStyle name="表示済みのハイパーリンク" xfId="3075" builtinId="9" hidden="1"/>
    <cellStyle name="表示済みのハイパーリンク" xfId="3077" builtinId="9" hidden="1"/>
    <cellStyle name="表示済みのハイパーリンク" xfId="3079" builtinId="9" hidden="1"/>
    <cellStyle name="表示済みのハイパーリンク" xfId="3081" builtinId="9" hidden="1"/>
    <cellStyle name="表示済みのハイパーリンク" xfId="3083" builtinId="9" hidden="1"/>
    <cellStyle name="表示済みのハイパーリンク" xfId="3085" builtinId="9" hidden="1"/>
    <cellStyle name="表示済みのハイパーリンク" xfId="3087" builtinId="9" hidden="1"/>
    <cellStyle name="表示済みのハイパーリンク" xfId="3089" builtinId="9" hidden="1"/>
    <cellStyle name="表示済みのハイパーリンク" xfId="3091" builtinId="9" hidden="1"/>
    <cellStyle name="表示済みのハイパーリンク" xfId="3093" builtinId="9" hidden="1"/>
    <cellStyle name="表示済みのハイパーリンク" xfId="3095" builtinId="9" hidden="1"/>
    <cellStyle name="表示済みのハイパーリンク" xfId="3097" builtinId="9" hidden="1"/>
    <cellStyle name="表示済みのハイパーリンク" xfId="3099" builtinId="9" hidden="1"/>
    <cellStyle name="表示済みのハイパーリンク" xfId="3101" builtinId="9" hidden="1"/>
    <cellStyle name="表示済みのハイパーリンク" xfId="3103" builtinId="9" hidden="1"/>
    <cellStyle name="表示済みのハイパーリンク" xfId="3105" builtinId="9" hidden="1"/>
    <cellStyle name="表示済みのハイパーリンク" xfId="3107" builtinId="9" hidden="1"/>
    <cellStyle name="表示済みのハイパーリンク" xfId="3109" builtinId="9" hidden="1"/>
    <cellStyle name="表示済みのハイパーリンク" xfId="3111" builtinId="9" hidden="1"/>
    <cellStyle name="表示済みのハイパーリンク" xfId="3113" builtinId="9" hidden="1"/>
    <cellStyle name="表示済みのハイパーリンク" xfId="3115" builtinId="9" hidden="1"/>
    <cellStyle name="表示済みのハイパーリンク" xfId="3117" builtinId="9" hidden="1"/>
    <cellStyle name="表示済みのハイパーリンク" xfId="3119" builtinId="9" hidden="1"/>
    <cellStyle name="表示済みのハイパーリンク" xfId="3121" builtinId="9" hidden="1"/>
    <cellStyle name="表示済みのハイパーリンク" xfId="3123" builtinId="9" hidden="1"/>
    <cellStyle name="表示済みのハイパーリンク" xfId="3125" builtinId="9" hidden="1"/>
    <cellStyle name="表示済みのハイパーリンク" xfId="3127" builtinId="9" hidden="1"/>
    <cellStyle name="表示済みのハイパーリンク" xfId="3129" builtinId="9" hidden="1"/>
    <cellStyle name="表示済みのハイパーリンク" xfId="3131" builtinId="9" hidden="1"/>
    <cellStyle name="表示済みのハイパーリンク" xfId="3133" builtinId="9" hidden="1"/>
    <cellStyle name="表示済みのハイパーリンク" xfId="3135" builtinId="9" hidden="1"/>
    <cellStyle name="表示済みのハイパーリンク" xfId="3137" builtinId="9" hidden="1"/>
    <cellStyle name="表示済みのハイパーリンク" xfId="3139" builtinId="9" hidden="1"/>
    <cellStyle name="表示済みのハイパーリンク" xfId="3141" builtinId="9" hidden="1"/>
    <cellStyle name="表示済みのハイパーリンク" xfId="3143" builtinId="9" hidden="1"/>
    <cellStyle name="表示済みのハイパーリンク" xfId="3145" builtinId="9" hidden="1"/>
    <cellStyle name="表示済みのハイパーリンク" xfId="3147" builtinId="9" hidden="1"/>
    <cellStyle name="表示済みのハイパーリンク" xfId="3149" builtinId="9" hidden="1"/>
    <cellStyle name="表示済みのハイパーリンク" xfId="3151" builtinId="9" hidden="1"/>
    <cellStyle name="表示済みのハイパーリンク" xfId="3153" builtinId="9" hidden="1"/>
    <cellStyle name="表示済みのハイパーリンク" xfId="3155" builtinId="9" hidden="1"/>
    <cellStyle name="表示済みのハイパーリンク" xfId="3157" builtinId="9" hidden="1"/>
    <cellStyle name="表示済みのハイパーリンク" xfId="3159" builtinId="9" hidden="1"/>
    <cellStyle name="表示済みのハイパーリンク" xfId="3161" builtinId="9" hidden="1"/>
    <cellStyle name="表示済みのハイパーリンク" xfId="3163" builtinId="9" hidden="1"/>
    <cellStyle name="表示済みのハイパーリンク" xfId="3165" builtinId="9" hidden="1"/>
    <cellStyle name="表示済みのハイパーリンク" xfId="3167" builtinId="9" hidden="1"/>
    <cellStyle name="表示済みのハイパーリンク" xfId="3169" builtinId="9" hidden="1"/>
    <cellStyle name="表示済みのハイパーリンク" xfId="3171" builtinId="9" hidden="1"/>
    <cellStyle name="表示済みのハイパーリンク" xfId="3173" builtinId="9" hidden="1"/>
    <cellStyle name="表示済みのハイパーリンク" xfId="3175" builtinId="9" hidden="1"/>
    <cellStyle name="表示済みのハイパーリンク" xfId="3177" builtinId="9" hidden="1"/>
    <cellStyle name="表示済みのハイパーリンク" xfId="3179" builtinId="9" hidden="1"/>
    <cellStyle name="表示済みのハイパーリンク" xfId="3181" builtinId="9" hidden="1"/>
    <cellStyle name="表示済みのハイパーリンク" xfId="3183" builtinId="9" hidden="1"/>
    <cellStyle name="表示済みのハイパーリンク" xfId="3185" builtinId="9" hidden="1"/>
    <cellStyle name="表示済みのハイパーリンク" xfId="3187" builtinId="9" hidden="1"/>
    <cellStyle name="表示済みのハイパーリンク" xfId="3189" builtinId="9" hidden="1"/>
    <cellStyle name="表示済みのハイパーリンク" xfId="3191" builtinId="9" hidden="1"/>
    <cellStyle name="表示済みのハイパーリンク" xfId="3193" builtinId="9" hidden="1"/>
    <cellStyle name="表示済みのハイパーリンク" xfId="3195" builtinId="9" hidden="1"/>
    <cellStyle name="表示済みのハイパーリンク" xfId="3197" builtinId="9" hidden="1"/>
    <cellStyle name="表示済みのハイパーリンク" xfId="3199" builtinId="9" hidden="1"/>
    <cellStyle name="表示済みのハイパーリンク" xfId="3201" builtinId="9" hidden="1"/>
    <cellStyle name="表示済みのハイパーリンク" xfId="3203" builtinId="9" hidden="1"/>
    <cellStyle name="表示済みのハイパーリンク" xfId="3205" builtinId="9" hidden="1"/>
    <cellStyle name="表示済みのハイパーリンク" xfId="3207" builtinId="9" hidden="1"/>
    <cellStyle name="表示済みのハイパーリンク" xfId="3209" builtinId="9" hidden="1"/>
    <cellStyle name="表示済みのハイパーリンク" xfId="3211" builtinId="9" hidden="1"/>
    <cellStyle name="表示済みのハイパーリンク" xfId="3213" builtinId="9" hidden="1"/>
    <cellStyle name="表示済みのハイパーリンク" xfId="3215" builtinId="9" hidden="1"/>
    <cellStyle name="表示済みのハイパーリンク" xfId="3217" builtinId="9" hidden="1"/>
    <cellStyle name="表示済みのハイパーリンク" xfId="3219" builtinId="9" hidden="1"/>
    <cellStyle name="表示済みのハイパーリンク" xfId="3221" builtinId="9" hidden="1"/>
    <cellStyle name="表示済みのハイパーリンク" xfId="3223" builtinId="9" hidden="1"/>
    <cellStyle name="表示済みのハイパーリンク" xfId="3225" builtinId="9" hidden="1"/>
    <cellStyle name="表示済みのハイパーリンク" xfId="3227" builtinId="9" hidden="1"/>
    <cellStyle name="表示済みのハイパーリンク" xfId="3229" builtinId="9" hidden="1"/>
    <cellStyle name="表示済みのハイパーリンク" xfId="3231" builtinId="9" hidden="1"/>
    <cellStyle name="表示済みのハイパーリンク" xfId="3233" builtinId="9" hidden="1"/>
    <cellStyle name="表示済みのハイパーリンク" xfId="3235" builtinId="9" hidden="1"/>
    <cellStyle name="表示済みのハイパーリンク" xfId="3237" builtinId="9" hidden="1"/>
    <cellStyle name="表示済みのハイパーリンク" xfId="3239" builtinId="9" hidden="1"/>
    <cellStyle name="表示済みのハイパーリンク" xfId="3241" builtinId="9" hidden="1"/>
    <cellStyle name="表示済みのハイパーリンク" xfId="3243" builtinId="9" hidden="1"/>
    <cellStyle name="表示済みのハイパーリンク" xfId="3245" builtinId="9" hidden="1"/>
    <cellStyle name="表示済みのハイパーリンク" xfId="3247" builtinId="9" hidden="1"/>
    <cellStyle name="表示済みのハイパーリンク" xfId="3249" builtinId="9" hidden="1"/>
    <cellStyle name="表示済みのハイパーリンク" xfId="3251" builtinId="9" hidden="1"/>
    <cellStyle name="表示済みのハイパーリンク" xfId="3253" builtinId="9" hidden="1"/>
    <cellStyle name="表示済みのハイパーリンク" xfId="3255" builtinId="9" hidden="1"/>
    <cellStyle name="表示済みのハイパーリンク" xfId="3257" builtinId="9" hidden="1"/>
    <cellStyle name="表示済みのハイパーリンク" xfId="3259" builtinId="9" hidden="1"/>
    <cellStyle name="表示済みのハイパーリンク" xfId="3261" builtinId="9" hidden="1"/>
    <cellStyle name="表示済みのハイパーリンク" xfId="3263" builtinId="9" hidden="1"/>
    <cellStyle name="表示済みのハイパーリンク" xfId="3265" builtinId="9" hidden="1"/>
    <cellStyle name="表示済みのハイパーリンク" xfId="3267" builtinId="9" hidden="1"/>
    <cellStyle name="表示済みのハイパーリンク" xfId="3269" builtinId="9" hidden="1"/>
    <cellStyle name="表示済みのハイパーリンク" xfId="3271" builtinId="9" hidden="1"/>
    <cellStyle name="表示済みのハイパーリンク" xfId="3273" builtinId="9" hidden="1"/>
    <cellStyle name="表示済みのハイパーリンク" xfId="3275" builtinId="9" hidden="1"/>
    <cellStyle name="表示済みのハイパーリンク" xfId="3277" builtinId="9" hidden="1"/>
    <cellStyle name="表示済みのハイパーリンク" xfId="3279" builtinId="9" hidden="1"/>
    <cellStyle name="表示済みのハイパーリンク" xfId="3281" builtinId="9" hidden="1"/>
    <cellStyle name="表示済みのハイパーリンク" xfId="3283" builtinId="9" hidden="1"/>
    <cellStyle name="表示済みのハイパーリンク" xfId="3285" builtinId="9" hidden="1"/>
    <cellStyle name="表示済みのハイパーリンク" xfId="3287" builtinId="9" hidden="1"/>
    <cellStyle name="表示済みのハイパーリンク" xfId="3289" builtinId="9" hidden="1"/>
    <cellStyle name="表示済みのハイパーリンク" xfId="3291" builtinId="9" hidden="1"/>
    <cellStyle name="表示済みのハイパーリンク" xfId="3293" builtinId="9" hidden="1"/>
    <cellStyle name="表示済みのハイパーリンク" xfId="3295" builtinId="9" hidden="1"/>
    <cellStyle name="表示済みのハイパーリンク" xfId="3297" builtinId="9" hidden="1"/>
    <cellStyle name="表示済みのハイパーリンク" xfId="3299" builtinId="9" hidden="1"/>
    <cellStyle name="表示済みのハイパーリンク" xfId="3301" builtinId="9" hidden="1"/>
    <cellStyle name="表示済みのハイパーリンク" xfId="3303" builtinId="9" hidden="1"/>
    <cellStyle name="表示済みのハイパーリンク" xfId="3305" builtinId="9" hidden="1"/>
    <cellStyle name="表示済みのハイパーリンク" xfId="3307" builtinId="9" hidden="1"/>
    <cellStyle name="表示済みのハイパーリンク" xfId="3309" builtinId="9" hidden="1"/>
    <cellStyle name="表示済みのハイパーリンク" xfId="3311" builtinId="9" hidden="1"/>
    <cellStyle name="表示済みのハイパーリンク" xfId="3313" builtinId="9" hidden="1"/>
    <cellStyle name="表示済みのハイパーリンク" xfId="3315" builtinId="9" hidden="1"/>
    <cellStyle name="表示済みのハイパーリンク" xfId="3317" builtinId="9" hidden="1"/>
    <cellStyle name="表示済みのハイパーリンク" xfId="3319" builtinId="9" hidden="1"/>
    <cellStyle name="表示済みのハイパーリンク" xfId="3321" builtinId="9" hidden="1"/>
    <cellStyle name="表示済みのハイパーリンク" xfId="3323" builtinId="9" hidden="1"/>
    <cellStyle name="表示済みのハイパーリンク" xfId="3325" builtinId="9" hidden="1"/>
    <cellStyle name="表示済みのハイパーリンク" xfId="3327" builtinId="9" hidden="1"/>
    <cellStyle name="表示済みのハイパーリンク" xfId="3329" builtinId="9" hidden="1"/>
    <cellStyle name="表示済みのハイパーリンク" xfId="3331" builtinId="9" hidden="1"/>
    <cellStyle name="表示済みのハイパーリンク" xfId="3333" builtinId="9" hidden="1"/>
    <cellStyle name="表示済みのハイパーリンク" xfId="3335" builtinId="9" hidden="1"/>
    <cellStyle name="表示済みのハイパーリンク" xfId="3337" builtinId="9" hidden="1"/>
    <cellStyle name="表示済みのハイパーリンク" xfId="3339" builtinId="9" hidden="1"/>
    <cellStyle name="表示済みのハイパーリンク" xfId="3341" builtinId="9" hidden="1"/>
    <cellStyle name="表示済みのハイパーリンク" xfId="3343" builtinId="9" hidden="1"/>
    <cellStyle name="表示済みのハイパーリンク" xfId="3345" builtinId="9" hidden="1"/>
    <cellStyle name="表示済みのハイパーリンク" xfId="3347" builtinId="9" hidden="1"/>
    <cellStyle name="表示済みのハイパーリンク" xfId="3349" builtinId="9" hidden="1"/>
    <cellStyle name="表示済みのハイパーリンク" xfId="3351" builtinId="9" hidden="1"/>
    <cellStyle name="表示済みのハイパーリンク" xfId="3353" builtinId="9" hidden="1"/>
    <cellStyle name="表示済みのハイパーリンク" xfId="3355" builtinId="9" hidden="1"/>
    <cellStyle name="表示済みのハイパーリンク" xfId="3357" builtinId="9" hidden="1"/>
    <cellStyle name="表示済みのハイパーリンク" xfId="3359" builtinId="9" hidden="1"/>
    <cellStyle name="表示済みのハイパーリンク" xfId="3361" builtinId="9" hidden="1"/>
    <cellStyle name="表示済みのハイパーリンク" xfId="3363" builtinId="9" hidden="1"/>
    <cellStyle name="表示済みのハイパーリンク" xfId="3365" builtinId="9" hidden="1"/>
    <cellStyle name="表示済みのハイパーリンク" xfId="3367" builtinId="9" hidden="1"/>
    <cellStyle name="表示済みのハイパーリンク" xfId="3369" builtinId="9" hidden="1"/>
    <cellStyle name="表示済みのハイパーリンク" xfId="3371" builtinId="9" hidden="1"/>
    <cellStyle name="表示済みのハイパーリンク" xfId="3373" builtinId="9" hidden="1"/>
    <cellStyle name="表示済みのハイパーリンク" xfId="3375" builtinId="9" hidden="1"/>
    <cellStyle name="表示済みのハイパーリンク" xfId="3377" builtinId="9" hidden="1"/>
    <cellStyle name="表示済みのハイパーリンク" xfId="3379" builtinId="9" hidden="1"/>
    <cellStyle name="表示済みのハイパーリンク" xfId="3381" builtinId="9" hidden="1"/>
    <cellStyle name="表示済みのハイパーリンク" xfId="3383" builtinId="9" hidden="1"/>
    <cellStyle name="表示済みのハイパーリンク" xfId="3385" builtinId="9" hidden="1"/>
    <cellStyle name="表示済みのハイパーリンク" xfId="3387" builtinId="9" hidden="1"/>
    <cellStyle name="表示済みのハイパーリンク" xfId="3389" builtinId="9" hidden="1"/>
    <cellStyle name="表示済みのハイパーリンク" xfId="3391" builtinId="9" hidden="1"/>
    <cellStyle name="表示済みのハイパーリンク" xfId="3393" builtinId="9" hidden="1"/>
    <cellStyle name="表示済みのハイパーリンク" xfId="3395" builtinId="9" hidden="1"/>
    <cellStyle name="表示済みのハイパーリンク" xfId="3397" builtinId="9" hidden="1"/>
    <cellStyle name="表示済みのハイパーリンク" xfId="3399" builtinId="9" hidden="1"/>
    <cellStyle name="表示済みのハイパーリンク" xfId="3401" builtinId="9" hidden="1"/>
    <cellStyle name="表示済みのハイパーリンク" xfId="3403" builtinId="9" hidden="1"/>
    <cellStyle name="表示済みのハイパーリンク" xfId="3405" builtinId="9" hidden="1"/>
    <cellStyle name="表示済みのハイパーリンク" xfId="3407" builtinId="9" hidden="1"/>
    <cellStyle name="表示済みのハイパーリンク" xfId="3409" builtinId="9" hidden="1"/>
    <cellStyle name="表示済みのハイパーリンク" xfId="3411" builtinId="9" hidden="1"/>
    <cellStyle name="表示済みのハイパーリンク" xfId="3413" builtinId="9" hidden="1"/>
    <cellStyle name="表示済みのハイパーリンク" xfId="3415" builtinId="9" hidden="1"/>
    <cellStyle name="表示済みのハイパーリンク" xfId="3417" builtinId="9" hidden="1"/>
    <cellStyle name="表示済みのハイパーリンク" xfId="3419" builtinId="9" hidden="1"/>
    <cellStyle name="表示済みのハイパーリンク" xfId="3421" builtinId="9" hidden="1"/>
    <cellStyle name="表示済みのハイパーリンク" xfId="3423" builtinId="9" hidden="1"/>
    <cellStyle name="表示済みのハイパーリンク" xfId="3425" builtinId="9" hidden="1"/>
    <cellStyle name="表示済みのハイパーリンク" xfId="3427" builtinId="9" hidden="1"/>
    <cellStyle name="表示済みのハイパーリンク" xfId="3429" builtinId="9" hidden="1"/>
    <cellStyle name="表示済みのハイパーリンク" xfId="3431" builtinId="9" hidden="1"/>
    <cellStyle name="表示済みのハイパーリンク" xfId="3433" builtinId="9" hidden="1"/>
    <cellStyle name="表示済みのハイパーリンク" xfId="3435" builtinId="9" hidden="1"/>
    <cellStyle name="表示済みのハイパーリンク" xfId="3437" builtinId="9" hidden="1"/>
    <cellStyle name="表示済みのハイパーリンク" xfId="3439" builtinId="9" hidden="1"/>
    <cellStyle name="表示済みのハイパーリンク" xfId="3441" builtinId="9" hidden="1"/>
    <cellStyle name="表示済みのハイパーリンク" xfId="3443" builtinId="9" hidden="1"/>
    <cellStyle name="表示済みのハイパーリンク" xfId="3445" builtinId="9" hidden="1"/>
    <cellStyle name="表示済みのハイパーリンク" xfId="3447" builtinId="9" hidden="1"/>
    <cellStyle name="表示済みのハイパーリンク" xfId="3449" builtinId="9" hidden="1"/>
    <cellStyle name="表示済みのハイパーリンク" xfId="3451" builtinId="9" hidden="1"/>
    <cellStyle name="表示済みのハイパーリンク" xfId="3453" builtinId="9" hidden="1"/>
    <cellStyle name="表示済みのハイパーリンク" xfId="3455" builtinId="9" hidden="1"/>
    <cellStyle name="表示済みのハイパーリンク" xfId="3457" builtinId="9" hidden="1"/>
    <cellStyle name="表示済みのハイパーリンク" xfId="3459" builtinId="9" hidden="1"/>
    <cellStyle name="表示済みのハイパーリンク" xfId="3461" builtinId="9" hidden="1"/>
    <cellStyle name="表示済みのハイパーリンク" xfId="3463" builtinId="9" hidden="1"/>
    <cellStyle name="表示済みのハイパーリンク" xfId="3465" builtinId="9" hidden="1"/>
    <cellStyle name="表示済みのハイパーリンク" xfId="3467" builtinId="9" hidden="1"/>
    <cellStyle name="表示済みのハイパーリンク" xfId="3469" builtinId="9" hidden="1"/>
    <cellStyle name="表示済みのハイパーリンク" xfId="3471" builtinId="9" hidden="1"/>
    <cellStyle name="表示済みのハイパーリンク" xfId="3473" builtinId="9" hidden="1"/>
    <cellStyle name="表示済みのハイパーリンク" xfId="3475" builtinId="9" hidden="1"/>
    <cellStyle name="表示済みのハイパーリンク" xfId="3477" builtinId="9" hidden="1"/>
    <cellStyle name="表示済みのハイパーリンク" xfId="3479" builtinId="9" hidden="1"/>
    <cellStyle name="表示済みのハイパーリンク" xfId="3481" builtinId="9" hidden="1"/>
    <cellStyle name="表示済みのハイパーリンク" xfId="3483" builtinId="9" hidden="1"/>
    <cellStyle name="表示済みのハイパーリンク" xfId="3485" builtinId="9" hidden="1"/>
    <cellStyle name="表示済みのハイパーリンク" xfId="3487" builtinId="9" hidden="1"/>
    <cellStyle name="表示済みのハイパーリンク" xfId="3489" builtinId="9" hidden="1"/>
    <cellStyle name="表示済みのハイパーリンク" xfId="3491" builtinId="9" hidden="1"/>
    <cellStyle name="表示済みのハイパーリンク" xfId="3493" builtinId="9" hidden="1"/>
    <cellStyle name="表示済みのハイパーリンク" xfId="3495" builtinId="9" hidden="1"/>
    <cellStyle name="表示済みのハイパーリンク" xfId="3497" builtinId="9" hidden="1"/>
    <cellStyle name="表示済みのハイパーリンク" xfId="3499" builtinId="9" hidden="1"/>
    <cellStyle name="表示済みのハイパーリンク" xfId="3501" builtinId="9" hidden="1"/>
    <cellStyle name="表示済みのハイパーリンク" xfId="3503" builtinId="9" hidden="1"/>
    <cellStyle name="表示済みのハイパーリンク" xfId="3505" builtinId="9" hidden="1"/>
    <cellStyle name="表示済みのハイパーリンク" xfId="3507" builtinId="9" hidden="1"/>
    <cellStyle name="表示済みのハイパーリンク" xfId="3509" builtinId="9" hidden="1"/>
    <cellStyle name="表示済みのハイパーリンク" xfId="3511" builtinId="9" hidden="1"/>
    <cellStyle name="表示済みのハイパーリンク" xfId="3513" builtinId="9" hidden="1"/>
    <cellStyle name="表示済みのハイパーリンク" xfId="3515" builtinId="9" hidden="1"/>
    <cellStyle name="表示済みのハイパーリンク" xfId="3517" builtinId="9" hidden="1"/>
    <cellStyle name="表示済みのハイパーリンク" xfId="3519" builtinId="9" hidden="1"/>
    <cellStyle name="表示済みのハイパーリンク" xfId="3521" builtinId="9" hidden="1"/>
    <cellStyle name="表示済みのハイパーリンク" xfId="3523" builtinId="9" hidden="1"/>
    <cellStyle name="表示済みのハイパーリンク" xfId="3525" builtinId="9" hidden="1"/>
    <cellStyle name="表示済みのハイパーリンク" xfId="3527" builtinId="9" hidden="1"/>
    <cellStyle name="表示済みのハイパーリンク" xfId="3529" builtinId="9" hidden="1"/>
    <cellStyle name="表示済みのハイパーリンク" xfId="3531" builtinId="9" hidden="1"/>
    <cellStyle name="表示済みのハイパーリンク" xfId="3533" builtinId="9" hidden="1"/>
    <cellStyle name="表示済みのハイパーリンク" xfId="3535" builtinId="9" hidden="1"/>
    <cellStyle name="表示済みのハイパーリンク" xfId="3537" builtinId="9" hidden="1"/>
    <cellStyle name="表示済みのハイパーリンク" xfId="3539" builtinId="9" hidden="1"/>
    <cellStyle name="表示済みのハイパーリンク" xfId="3541" builtinId="9" hidden="1"/>
    <cellStyle name="表示済みのハイパーリンク" xfId="3543" builtinId="9" hidden="1"/>
    <cellStyle name="表示済みのハイパーリンク" xfId="3545" builtinId="9" hidden="1"/>
    <cellStyle name="表示済みのハイパーリンク" xfId="3547" builtinId="9" hidden="1"/>
    <cellStyle name="表示済みのハイパーリンク" xfId="3549" builtinId="9" hidden="1"/>
    <cellStyle name="表示済みのハイパーリンク" xfId="3551" builtinId="9" hidden="1"/>
    <cellStyle name="表示済みのハイパーリンク" xfId="3553" builtinId="9" hidden="1"/>
    <cellStyle name="表示済みのハイパーリンク" xfId="3555" builtinId="9" hidden="1"/>
    <cellStyle name="表示済みのハイパーリンク" xfId="3557" builtinId="9" hidden="1"/>
    <cellStyle name="表示済みのハイパーリンク" xfId="3559" builtinId="9" hidden="1"/>
    <cellStyle name="表示済みのハイパーリンク" xfId="3561" builtinId="9" hidden="1"/>
    <cellStyle name="表示済みのハイパーリンク" xfId="3563" builtinId="9" hidden="1"/>
    <cellStyle name="表示済みのハイパーリンク" xfId="3565" builtinId="9" hidden="1"/>
    <cellStyle name="表示済みのハイパーリンク" xfId="3567" builtinId="9" hidden="1"/>
    <cellStyle name="表示済みのハイパーリンク" xfId="3569" builtinId="9" hidden="1"/>
    <cellStyle name="表示済みのハイパーリンク" xfId="3571" builtinId="9" hidden="1"/>
    <cellStyle name="表示済みのハイパーリンク" xfId="3573" builtinId="9" hidden="1"/>
    <cellStyle name="表示済みのハイパーリンク" xfId="3575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3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表示済みのハイパーリンク" xfId="3673" builtinId="9" hidden="1"/>
    <cellStyle name="表示済みのハイパーリンク" xfId="3675" builtinId="9" hidden="1"/>
    <cellStyle name="表示済みのハイパーリンク" xfId="3677" builtinId="9" hidden="1"/>
    <cellStyle name="表示済みのハイパーリンク" xfId="3679" builtinId="9" hidden="1"/>
    <cellStyle name="表示済みのハイパーリンク" xfId="3681" builtinId="9" hidden="1"/>
    <cellStyle name="表示済みのハイパーリンク" xfId="3683" builtinId="9" hidden="1"/>
    <cellStyle name="表示済みのハイパーリンク" xfId="3685" builtinId="9" hidden="1"/>
    <cellStyle name="表示済みのハイパーリンク" xfId="3687" builtinId="9" hidden="1"/>
    <cellStyle name="表示済みのハイパーリンク" xfId="3689" builtinId="9" hidden="1"/>
    <cellStyle name="表示済みのハイパーリンク" xfId="3691" builtinId="9" hidden="1"/>
    <cellStyle name="表示済みのハイパーリンク" xfId="3693" builtinId="9" hidden="1"/>
    <cellStyle name="表示済みのハイパーリンク" xfId="3695" builtinId="9" hidden="1"/>
    <cellStyle name="表示済みのハイパーリンク" xfId="3697" builtinId="9" hidden="1"/>
    <cellStyle name="表示済みのハイパーリンク" xfId="3699" builtinId="9" hidden="1"/>
    <cellStyle name="表示済みのハイパーリンク" xfId="3701" builtinId="9" hidden="1"/>
    <cellStyle name="表示済みのハイパーリンク" xfId="3703" builtinId="9" hidden="1"/>
    <cellStyle name="表示済みのハイパーリンク" xfId="3705" builtinId="9" hidden="1"/>
    <cellStyle name="表示済みのハイパーリンク" xfId="3707" builtinId="9" hidden="1"/>
    <cellStyle name="表示済みのハイパーリンク" xfId="3709" builtinId="9" hidden="1"/>
    <cellStyle name="表示済みのハイパーリンク" xfId="3711" builtinId="9" hidden="1"/>
    <cellStyle name="表示済みのハイパーリンク" xfId="3713" builtinId="9" hidden="1"/>
    <cellStyle name="表示済みのハイパーリンク" xfId="3715" builtinId="9" hidden="1"/>
    <cellStyle name="表示済みのハイパーリンク" xfId="3717" builtinId="9" hidden="1"/>
    <cellStyle name="表示済みのハイパーリンク" xfId="3719" builtinId="9" hidden="1"/>
    <cellStyle name="表示済みのハイパーリンク" xfId="3721" builtinId="9" hidden="1"/>
    <cellStyle name="表示済みのハイパーリンク" xfId="3723" builtinId="9" hidden="1"/>
    <cellStyle name="表示済みのハイパーリンク" xfId="3725" builtinId="9" hidden="1"/>
    <cellStyle name="表示済みのハイパーリンク" xfId="3727" builtinId="9" hidden="1"/>
    <cellStyle name="表示済みのハイパーリンク" xfId="3729" builtinId="9" hidden="1"/>
    <cellStyle name="表示済みのハイパーリンク" xfId="3731" builtinId="9" hidden="1"/>
    <cellStyle name="表示済みのハイパーリンク" xfId="3733" builtinId="9" hidden="1"/>
    <cellStyle name="表示済みのハイパーリンク" xfId="3735" builtinId="9" hidden="1"/>
    <cellStyle name="表示済みのハイパーリンク" xfId="3737" builtinId="9" hidden="1"/>
    <cellStyle name="表示済みのハイパーリンク" xfId="3739" builtinId="9" hidden="1"/>
    <cellStyle name="表示済みのハイパーリンク" xfId="3741" builtinId="9" hidden="1"/>
    <cellStyle name="表示済みのハイパーリンク" xfId="3743" builtinId="9" hidden="1"/>
    <cellStyle name="表示済みのハイパーリンク" xfId="3745" builtinId="9" hidden="1"/>
    <cellStyle name="表示済みのハイパーリンク" xfId="3747" builtinId="9" hidden="1"/>
    <cellStyle name="表示済みのハイパーリンク" xfId="3749" builtinId="9" hidden="1"/>
    <cellStyle name="表示済みのハイパーリンク" xfId="3751" builtinId="9" hidden="1"/>
    <cellStyle name="表示済みのハイパーリンク" xfId="3753" builtinId="9" hidden="1"/>
    <cellStyle name="表示済みのハイパーリンク" xfId="3755" builtinId="9" hidden="1"/>
    <cellStyle name="表示済みのハイパーリンク" xfId="3757" builtinId="9" hidden="1"/>
    <cellStyle name="表示済みのハイパーリンク" xfId="3759" builtinId="9" hidden="1"/>
    <cellStyle name="表示済みのハイパーリンク" xfId="3761" builtinId="9" hidden="1"/>
    <cellStyle name="表示済みのハイパーリンク" xfId="3763" builtinId="9" hidden="1"/>
    <cellStyle name="表示済みのハイパーリンク" xfId="3765" builtinId="9" hidden="1"/>
    <cellStyle name="表示済みのハイパーリンク" xfId="3767" builtinId="9" hidden="1"/>
    <cellStyle name="表示済みのハイパーリンク" xfId="3769" builtinId="9" hidden="1"/>
    <cellStyle name="表示済みのハイパーリンク" xfId="3771" builtinId="9" hidden="1"/>
    <cellStyle name="表示済みのハイパーリンク" xfId="3773" builtinId="9" hidden="1"/>
    <cellStyle name="表示済みのハイパーリンク" xfId="3775" builtinId="9" hidden="1"/>
    <cellStyle name="表示済みのハイパーリンク" xfId="3777" builtinId="9" hidden="1"/>
    <cellStyle name="表示済みのハイパーリンク" xfId="3779" builtinId="9" hidden="1"/>
    <cellStyle name="表示済みのハイパーリンク" xfId="3781" builtinId="9" hidden="1"/>
    <cellStyle name="表示済みのハイパーリンク" xfId="3783" builtinId="9" hidden="1"/>
    <cellStyle name="表示済みのハイパーリンク" xfId="3785" builtinId="9" hidden="1"/>
    <cellStyle name="表示済みのハイパーリンク" xfId="3787" builtinId="9" hidden="1"/>
    <cellStyle name="表示済みのハイパーリンク" xfId="3789" builtinId="9" hidden="1"/>
    <cellStyle name="表示済みのハイパーリンク" xfId="3791" builtinId="9" hidden="1"/>
    <cellStyle name="表示済みのハイパーリンク" xfId="3793" builtinId="9" hidden="1"/>
    <cellStyle name="表示済みのハイパーリンク" xfId="3795" builtinId="9" hidden="1"/>
    <cellStyle name="表示済みのハイパーリンク" xfId="3797" builtinId="9" hidden="1"/>
    <cellStyle name="表示済みのハイパーリンク" xfId="3799" builtinId="9" hidden="1"/>
    <cellStyle name="表示済みのハイパーリンク" xfId="3801" builtinId="9" hidden="1"/>
    <cellStyle name="表示済みのハイパーリンク" xfId="3803" builtinId="9" hidden="1"/>
    <cellStyle name="表示済みのハイパーリンク" xfId="3805" builtinId="9" hidden="1"/>
    <cellStyle name="表示済みのハイパーリンク" xfId="3807" builtinId="9" hidden="1"/>
    <cellStyle name="表示済みのハイパーリンク" xfId="3809" builtinId="9" hidden="1"/>
    <cellStyle name="表示済みのハイパーリンク" xfId="3811" builtinId="9" hidden="1"/>
    <cellStyle name="表示済みのハイパーリンク" xfId="3813" builtinId="9" hidden="1"/>
    <cellStyle name="表示済みのハイパーリンク" xfId="3815" builtinId="9" hidden="1"/>
    <cellStyle name="表示済みのハイパーリンク" xfId="3817" builtinId="9" hidden="1"/>
    <cellStyle name="表示済みのハイパーリンク" xfId="3819" builtinId="9" hidden="1"/>
    <cellStyle name="表示済みのハイパーリンク" xfId="3821" builtinId="9" hidden="1"/>
    <cellStyle name="表示済みのハイパーリンク" xfId="3823" builtinId="9" hidden="1"/>
    <cellStyle name="表示済みのハイパーリンク" xfId="3825" builtinId="9" hidden="1"/>
    <cellStyle name="表示済みのハイパーリンク" xfId="3827" builtinId="9" hidden="1"/>
    <cellStyle name="表示済みのハイパーリンク" xfId="3829" builtinId="9" hidden="1"/>
    <cellStyle name="表示済みのハイパーリンク" xfId="3831" builtinId="9" hidden="1"/>
    <cellStyle name="表示済みのハイパーリンク" xfId="3833" builtinId="9" hidden="1"/>
    <cellStyle name="表示済みのハイパーリンク" xfId="3835" builtinId="9" hidden="1"/>
    <cellStyle name="表示済みのハイパーリンク" xfId="3837" builtinId="9" hidden="1"/>
    <cellStyle name="表示済みのハイパーリンク" xfId="3839" builtinId="9" hidden="1"/>
    <cellStyle name="表示済みのハイパーリンク" xfId="3841" builtinId="9" hidden="1"/>
    <cellStyle name="表示済みのハイパーリンク" xfId="3843" builtinId="9" hidden="1"/>
    <cellStyle name="表示済みのハイパーリンク" xfId="3845" builtinId="9" hidden="1"/>
    <cellStyle name="表示済みのハイパーリンク" xfId="3847" builtinId="9" hidden="1"/>
    <cellStyle name="表示済みのハイパーリンク" xfId="3849" builtinId="9" hidden="1"/>
    <cellStyle name="表示済みのハイパーリンク" xfId="3851" builtinId="9" hidden="1"/>
    <cellStyle name="表示済みのハイパーリンク" xfId="3853" builtinId="9" hidden="1"/>
    <cellStyle name="表示済みのハイパーリンク" xfId="3855" builtinId="9" hidden="1"/>
    <cellStyle name="表示済みのハイパーリンク" xfId="3857" builtinId="9" hidden="1"/>
    <cellStyle name="表示済みのハイパーリンク" xfId="3859" builtinId="9" hidden="1"/>
    <cellStyle name="表示済みのハイパーリンク" xfId="3861" builtinId="9" hidden="1"/>
    <cellStyle name="表示済みのハイパーリンク" xfId="3863" builtinId="9" hidden="1"/>
    <cellStyle name="表示済みのハイパーリンク" xfId="3865" builtinId="9" hidden="1"/>
    <cellStyle name="表示済みのハイパーリンク" xfId="3867" builtinId="9" hidden="1"/>
    <cellStyle name="表示済みのハイパーリンク" xfId="3869" builtinId="9" hidden="1"/>
    <cellStyle name="表示済みのハイパーリンク" xfId="3871" builtinId="9" hidden="1"/>
    <cellStyle name="表示済みのハイパーリンク" xfId="3873" builtinId="9" hidden="1"/>
    <cellStyle name="表示済みのハイパーリンク" xfId="3875" builtinId="9" hidden="1"/>
    <cellStyle name="表示済みのハイパーリンク" xfId="3877" builtinId="9" hidden="1"/>
    <cellStyle name="表示済みのハイパーリンク" xfId="3879" builtinId="9" hidden="1"/>
    <cellStyle name="表示済みのハイパーリンク" xfId="3881" builtinId="9" hidden="1"/>
    <cellStyle name="表示済みのハイパーリンク" xfId="3883" builtinId="9" hidden="1"/>
    <cellStyle name="表示済みのハイパーリンク" xfId="3885" builtinId="9" hidden="1"/>
    <cellStyle name="表示済みのハイパーリンク" xfId="3887" builtinId="9" hidden="1"/>
    <cellStyle name="表示済みのハイパーリンク" xfId="3889" builtinId="9" hidden="1"/>
    <cellStyle name="表示済みのハイパーリンク" xfId="3891" builtinId="9" hidden="1"/>
    <cellStyle name="表示済みのハイパーリンク" xfId="3893" builtinId="9" hidden="1"/>
    <cellStyle name="表示済みのハイパーリンク" xfId="3895" builtinId="9" hidden="1"/>
    <cellStyle name="表示済みのハイパーリンク" xfId="3897" builtinId="9" hidden="1"/>
    <cellStyle name="表示済みのハイパーリンク" xfId="3899" builtinId="9" hidden="1"/>
    <cellStyle name="表示済みのハイパーリンク" xfId="3901" builtinId="9" hidden="1"/>
    <cellStyle name="表示済みのハイパーリンク" xfId="3903" builtinId="9" hidden="1"/>
    <cellStyle name="表示済みのハイパーリンク" xfId="3905" builtinId="9" hidden="1"/>
    <cellStyle name="表示済みのハイパーリンク" xfId="3907" builtinId="9" hidden="1"/>
    <cellStyle name="表示済みのハイパーリンク" xfId="3909" builtinId="9" hidden="1"/>
    <cellStyle name="表示済みのハイパーリンク" xfId="3911" builtinId="9" hidden="1"/>
    <cellStyle name="表示済みのハイパーリンク" xfId="3913" builtinId="9" hidden="1"/>
    <cellStyle name="表示済みのハイパーリンク" xfId="3915" builtinId="9" hidden="1"/>
    <cellStyle name="表示済みのハイパーリンク" xfId="3917" builtinId="9" hidden="1"/>
    <cellStyle name="表示済みのハイパーリンク" xfId="3919" builtinId="9" hidden="1"/>
    <cellStyle name="表示済みのハイパーリンク" xfId="3921" builtinId="9" hidden="1"/>
    <cellStyle name="表示済みのハイパーリンク" xfId="3923" builtinId="9" hidden="1"/>
    <cellStyle name="表示済みのハイパーリンク" xfId="3925" builtinId="9" hidden="1"/>
    <cellStyle name="表示済みのハイパーリンク" xfId="3927" builtinId="9" hidden="1"/>
    <cellStyle name="表示済みのハイパーリンク" xfId="3929" builtinId="9" hidden="1"/>
    <cellStyle name="表示済みのハイパーリンク" xfId="3931" builtinId="9" hidden="1"/>
    <cellStyle name="表示済みのハイパーリンク" xfId="3933" builtinId="9" hidden="1"/>
    <cellStyle name="表示済みのハイパーリンク" xfId="3935" builtinId="9" hidden="1"/>
    <cellStyle name="表示済みのハイパーリンク" xfId="3937" builtinId="9" hidden="1"/>
    <cellStyle name="表示済みのハイパーリンク" xfId="3939" builtinId="9" hidden="1"/>
    <cellStyle name="表示済みのハイパーリンク" xfId="3941" builtinId="9" hidden="1"/>
    <cellStyle name="表示済みのハイパーリンク" xfId="3943" builtinId="9" hidden="1"/>
    <cellStyle name="表示済みのハイパーリンク" xfId="3945" builtinId="9" hidden="1"/>
    <cellStyle name="表示済みのハイパーリンク" xfId="3947" builtinId="9" hidden="1"/>
    <cellStyle name="表示済みのハイパーリンク" xfId="3949" builtinId="9" hidden="1"/>
    <cellStyle name="表示済みのハイパーリンク" xfId="3951" builtinId="9" hidden="1"/>
    <cellStyle name="表示済みのハイパーリンク" xfId="3953" builtinId="9" hidden="1"/>
    <cellStyle name="表示済みのハイパーリンク" xfId="3955" builtinId="9" hidden="1"/>
    <cellStyle name="表示済みのハイパーリンク" xfId="3957" builtinId="9" hidden="1"/>
    <cellStyle name="表示済みのハイパーリンク" xfId="3959" builtinId="9" hidden="1"/>
    <cellStyle name="表示済みのハイパーリンク" xfId="3961" builtinId="9" hidden="1"/>
    <cellStyle name="表示済みのハイパーリンク" xfId="3963" builtinId="9" hidden="1"/>
    <cellStyle name="表示済みのハイパーリンク" xfId="3965" builtinId="9" hidden="1"/>
    <cellStyle name="表示済みのハイパーリンク" xfId="3967" builtinId="9" hidden="1"/>
    <cellStyle name="表示済みのハイパーリンク" xfId="3969" builtinId="9" hidden="1"/>
    <cellStyle name="表示済みのハイパーリンク" xfId="3971" builtinId="9" hidden="1"/>
    <cellStyle name="表示済みのハイパーリンク" xfId="3973" builtinId="9" hidden="1"/>
    <cellStyle name="表示済みのハイパーリンク" xfId="3975" builtinId="9" hidden="1"/>
    <cellStyle name="表示済みのハイパーリンク" xfId="3977" builtinId="9" hidden="1"/>
    <cellStyle name="表示済みのハイパーリンク" xfId="3979" builtinId="9" hidden="1"/>
    <cellStyle name="表示済みのハイパーリンク" xfId="3981" builtinId="9" hidden="1"/>
    <cellStyle name="表示済みのハイパーリンク" xfId="3983" builtinId="9" hidden="1"/>
    <cellStyle name="表示済みのハイパーリンク" xfId="3985" builtinId="9" hidden="1"/>
    <cellStyle name="表示済みのハイパーリンク" xfId="3987" builtinId="9" hidden="1"/>
    <cellStyle name="表示済みのハイパーリンク" xfId="3989" builtinId="9" hidden="1"/>
    <cellStyle name="表示済みのハイパーリンク" xfId="3991" builtinId="9" hidden="1"/>
    <cellStyle name="表示済みのハイパーリンク" xfId="3993" builtinId="9" hidden="1"/>
    <cellStyle name="表示済みのハイパーリンク" xfId="3995" builtinId="9" hidden="1"/>
    <cellStyle name="表示済みのハイパーリンク" xfId="3997" builtinId="9" hidden="1"/>
    <cellStyle name="表示済みのハイパーリンク" xfId="3999" builtinId="9" hidden="1"/>
    <cellStyle name="表示済みのハイパーリンク" xfId="4001" builtinId="9" hidden="1"/>
    <cellStyle name="表示済みのハイパーリンク" xfId="4003" builtinId="9" hidden="1"/>
    <cellStyle name="表示済みのハイパーリンク" xfId="4005" builtinId="9" hidden="1"/>
    <cellStyle name="表示済みのハイパーリンク" xfId="4007" builtinId="9" hidden="1"/>
    <cellStyle name="表示済みのハイパーリンク" xfId="4009" builtinId="9" hidden="1"/>
    <cellStyle name="表示済みのハイパーリンク" xfId="4011" builtinId="9" hidden="1"/>
    <cellStyle name="表示済みのハイパーリンク" xfId="4013" builtinId="9" hidden="1"/>
    <cellStyle name="表示済みのハイパーリンク" xfId="4015" builtinId="9" hidden="1"/>
    <cellStyle name="表示済みのハイパーリンク" xfId="4017" builtinId="9" hidden="1"/>
    <cellStyle name="表示済みのハイパーリンク" xfId="4019" builtinId="9" hidden="1"/>
    <cellStyle name="表示済みのハイパーリンク" xfId="4021" builtinId="9" hidden="1"/>
    <cellStyle name="表示済みのハイパーリンク" xfId="4023" builtinId="9" hidden="1"/>
    <cellStyle name="表示済みのハイパーリンク" xfId="4025" builtinId="9" hidden="1"/>
    <cellStyle name="表示済みのハイパーリンク" xfId="4027" builtinId="9" hidden="1"/>
    <cellStyle name="表示済みのハイパーリンク" xfId="4029" builtinId="9" hidden="1"/>
    <cellStyle name="表示済みのハイパーリンク" xfId="4031" builtinId="9" hidden="1"/>
    <cellStyle name="表示済みのハイパーリンク" xfId="4033" builtinId="9" hidden="1"/>
    <cellStyle name="表示済みのハイパーリンク" xfId="4035" builtinId="9" hidden="1"/>
    <cellStyle name="表示済みのハイパーリンク" xfId="4037" builtinId="9" hidden="1"/>
    <cellStyle name="表示済みのハイパーリンク" xfId="4039" builtinId="9" hidden="1"/>
    <cellStyle name="表示済みのハイパーリンク" xfId="4041" builtinId="9" hidden="1"/>
    <cellStyle name="表示済みのハイパーリンク" xfId="4043" builtinId="9" hidden="1"/>
    <cellStyle name="表示済みのハイパーリンク" xfId="4045" builtinId="9" hidden="1"/>
    <cellStyle name="表示済みのハイパーリンク" xfId="4047" builtinId="9" hidden="1"/>
    <cellStyle name="表示済みのハイパーリンク" xfId="4049" builtinId="9" hidden="1"/>
    <cellStyle name="表示済みのハイパーリンク" xfId="4051" builtinId="9" hidden="1"/>
    <cellStyle name="表示済みのハイパーリンク" xfId="4053" builtinId="9" hidden="1"/>
    <cellStyle name="表示済みのハイパーリンク" xfId="4055" builtinId="9" hidden="1"/>
    <cellStyle name="表示済みのハイパーリンク" xfId="4057" builtinId="9" hidden="1"/>
    <cellStyle name="表示済みのハイパーリンク" xfId="4059" builtinId="9" hidden="1"/>
    <cellStyle name="表示済みのハイパーリンク" xfId="4061" builtinId="9" hidden="1"/>
    <cellStyle name="表示済みのハイパーリンク" xfId="4063" builtinId="9" hidden="1"/>
    <cellStyle name="表示済みのハイパーリンク" xfId="4065" builtinId="9" hidden="1"/>
    <cellStyle name="表示済みのハイパーリンク" xfId="4067" builtinId="9" hidden="1"/>
    <cellStyle name="表示済みのハイパーリンク" xfId="4069" builtinId="9" hidden="1"/>
    <cellStyle name="表示済みのハイパーリンク" xfId="4071" builtinId="9" hidden="1"/>
    <cellStyle name="表示済みのハイパーリンク" xfId="4073" builtinId="9" hidden="1"/>
    <cellStyle name="表示済みのハイパーリンク" xfId="4075" builtinId="9" hidden="1"/>
    <cellStyle name="表示済みのハイパーリンク" xfId="4077" builtinId="9" hidden="1"/>
    <cellStyle name="表示済みのハイパーリンク" xfId="4079" builtinId="9" hidden="1"/>
    <cellStyle name="表示済みのハイパーリンク" xfId="4081" builtinId="9" hidden="1"/>
    <cellStyle name="表示済みのハイパーリンク" xfId="4083" builtinId="9" hidden="1"/>
    <cellStyle name="表示済みのハイパーリンク" xfId="4085" builtinId="9" hidden="1"/>
    <cellStyle name="表示済みのハイパーリンク" xfId="4087" builtinId="9" hidden="1"/>
    <cellStyle name="表示済みのハイパーリンク" xfId="4089" builtinId="9" hidden="1"/>
    <cellStyle name="表示済みのハイパーリンク" xfId="4091" builtinId="9" hidden="1"/>
    <cellStyle name="表示済みのハイパーリンク" xfId="4093" builtinId="9" hidden="1"/>
    <cellStyle name="表示済みのハイパーリンク" xfId="4095" builtinId="9" hidden="1"/>
    <cellStyle name="表示済みのハイパーリンク" xfId="4097" builtinId="9" hidden="1"/>
    <cellStyle name="表示済みのハイパーリンク" xfId="4099" builtinId="9" hidden="1"/>
    <cellStyle name="表示済みのハイパーリンク" xfId="4101" builtinId="9" hidden="1"/>
    <cellStyle name="表示済みのハイパーリンク" xfId="4103" builtinId="9" hidden="1"/>
    <cellStyle name="表示済みのハイパーリンク" xfId="4105" builtinId="9" hidden="1"/>
    <cellStyle name="表示済みのハイパーリンク" xfId="4107" builtinId="9" hidden="1"/>
    <cellStyle name="表示済みのハイパーリンク" xfId="4109" builtinId="9" hidden="1"/>
    <cellStyle name="表示済みのハイパーリンク" xfId="4111" builtinId="9" hidden="1"/>
    <cellStyle name="表示済みのハイパーリンク" xfId="4113" builtinId="9" hidden="1"/>
    <cellStyle name="表示済みのハイパーリンク" xfId="4115" builtinId="9" hidden="1"/>
    <cellStyle name="表示済みのハイパーリンク" xfId="4117" builtinId="9" hidden="1"/>
    <cellStyle name="表示済みのハイパーリンク" xfId="4119" builtinId="9" hidden="1"/>
    <cellStyle name="表示済みのハイパーリンク" xfId="4121" builtinId="9" hidden="1"/>
    <cellStyle name="表示済みのハイパーリンク" xfId="4123" builtinId="9" hidden="1"/>
    <cellStyle name="表示済みのハイパーリンク" xfId="4125" builtinId="9" hidden="1"/>
    <cellStyle name="表示済みのハイパーリンク" xfId="4127" builtinId="9" hidden="1"/>
    <cellStyle name="表示済みのハイパーリンク" xfId="4129" builtinId="9" hidden="1"/>
    <cellStyle name="表示済みのハイパーリンク" xfId="4131" builtinId="9" hidden="1"/>
    <cellStyle name="表示済みのハイパーリンク" xfId="4133" builtinId="9" hidden="1"/>
    <cellStyle name="表示済みのハイパーリンク" xfId="4135" builtinId="9" hidden="1"/>
    <cellStyle name="表示済みのハイパーリンク" xfId="4137" builtinId="9" hidden="1"/>
    <cellStyle name="表示済みのハイパーリンク" xfId="4139" builtinId="9" hidden="1"/>
    <cellStyle name="表示済みのハイパーリンク" xfId="4141" builtinId="9" hidden="1"/>
    <cellStyle name="表示済みのハイパーリンク" xfId="4143" builtinId="9" hidden="1"/>
    <cellStyle name="表示済みのハイパーリンク" xfId="4145" builtinId="9" hidden="1"/>
    <cellStyle name="表示済みのハイパーリンク" xfId="4147" builtinId="9" hidden="1"/>
    <cellStyle name="表示済みのハイパーリンク" xfId="4149" builtinId="9" hidden="1"/>
    <cellStyle name="表示済みのハイパーリンク" xfId="4151" builtinId="9" hidden="1"/>
    <cellStyle name="表示済みのハイパーリンク" xfId="4153" builtinId="9" hidden="1"/>
    <cellStyle name="表示済みのハイパーリンク" xfId="4155" builtinId="9" hidden="1"/>
    <cellStyle name="表示済みのハイパーリンク" xfId="4157" builtinId="9" hidden="1"/>
    <cellStyle name="表示済みのハイパーリンク" xfId="4159" builtinId="9" hidden="1"/>
    <cellStyle name="表示済みのハイパーリンク" xfId="4161" builtinId="9" hidden="1"/>
    <cellStyle name="表示済みのハイパーリンク" xfId="4163" builtinId="9" hidden="1"/>
    <cellStyle name="表示済みのハイパーリンク" xfId="4165" builtinId="9" hidden="1"/>
    <cellStyle name="表示済みのハイパーリンク" xfId="4167" builtinId="9" hidden="1"/>
    <cellStyle name="表示済みのハイパーリンク" xfId="4169" builtinId="9" hidden="1"/>
    <cellStyle name="表示済みのハイパーリンク" xfId="4171" builtinId="9" hidden="1"/>
    <cellStyle name="表示済みのハイパーリンク" xfId="4173" builtinId="9" hidden="1"/>
    <cellStyle name="表示済みのハイパーリンク" xfId="4175" builtinId="9" hidden="1"/>
    <cellStyle name="表示済みのハイパーリンク" xfId="4177" builtinId="9" hidden="1"/>
    <cellStyle name="表示済みのハイパーリンク" xfId="4179" builtinId="9" hidden="1"/>
    <cellStyle name="表示済みのハイパーリンク" xfId="4181" builtinId="9" hidden="1"/>
    <cellStyle name="表示済みのハイパーリンク" xfId="4183" builtinId="9" hidden="1"/>
    <cellStyle name="表示済みのハイパーリンク" xfId="4185" builtinId="9" hidden="1"/>
    <cellStyle name="表示済みのハイパーリンク" xfId="4187" builtinId="9" hidden="1"/>
    <cellStyle name="表示済みのハイパーリンク" xfId="4189" builtinId="9" hidden="1"/>
    <cellStyle name="表示済みのハイパーリンク" xfId="4191" builtinId="9" hidden="1"/>
    <cellStyle name="表示済みのハイパーリンク" xfId="4193" builtinId="9" hidden="1"/>
    <cellStyle name="表示済みのハイパーリンク" xfId="4195" builtinId="9" hidden="1"/>
    <cellStyle name="表示済みのハイパーリンク" xfId="4197" builtinId="9" hidden="1"/>
    <cellStyle name="表示済みのハイパーリンク" xfId="4199" builtinId="9" hidden="1"/>
    <cellStyle name="表示済みのハイパーリンク" xfId="4201" builtinId="9" hidden="1"/>
    <cellStyle name="表示済みのハイパーリンク" xfId="4203" builtinId="9" hidden="1"/>
    <cellStyle name="表示済みのハイパーリンク" xfId="4205" builtinId="9" hidden="1"/>
    <cellStyle name="表示済みのハイパーリンク" xfId="4207" builtinId="9" hidden="1"/>
    <cellStyle name="表示済みのハイパーリンク" xfId="4209" builtinId="9" hidden="1"/>
    <cellStyle name="表示済みのハイパーリンク" xfId="4211" builtinId="9" hidden="1"/>
    <cellStyle name="表示済みのハイパーリンク" xfId="4213" builtinId="9" hidden="1"/>
    <cellStyle name="表示済みのハイパーリンク" xfId="4215" builtinId="9" hidden="1"/>
    <cellStyle name="表示済みのハイパーリンク" xfId="4217" builtinId="9" hidden="1"/>
    <cellStyle name="表示済みのハイパーリンク" xfId="4219" builtinId="9" hidden="1"/>
    <cellStyle name="表示済みのハイパーリンク" xfId="4221" builtinId="9" hidden="1"/>
    <cellStyle name="表示済みのハイパーリンク" xfId="4223" builtinId="9" hidden="1"/>
    <cellStyle name="表示済みのハイパーリンク" xfId="4225" builtinId="9" hidden="1"/>
    <cellStyle name="表示済みのハイパーリンク" xfId="4227" builtinId="9" hidden="1"/>
    <cellStyle name="表示済みのハイパーリンク" xfId="4229" builtinId="9" hidden="1"/>
    <cellStyle name="表示済みのハイパーリンク" xfId="4231" builtinId="9" hidden="1"/>
    <cellStyle name="表示済みのハイパーリンク" xfId="4233" builtinId="9" hidden="1"/>
    <cellStyle name="表示済みのハイパーリンク" xfId="4235" builtinId="9" hidden="1"/>
    <cellStyle name="表示済みのハイパーリンク" xfId="4237" builtinId="9" hidden="1"/>
    <cellStyle name="表示済みのハイパーリンク" xfId="4239" builtinId="9" hidden="1"/>
    <cellStyle name="表示済みのハイパーリンク" xfId="4241" builtinId="9" hidden="1"/>
    <cellStyle name="表示済みのハイパーリンク" xfId="4243" builtinId="9" hidden="1"/>
    <cellStyle name="表示済みのハイパーリンク" xfId="4245" builtinId="9" hidden="1"/>
    <cellStyle name="表示済みのハイパーリンク" xfId="4247" builtinId="9" hidden="1"/>
    <cellStyle name="表示済みのハイパーリンク" xfId="4249" builtinId="9" hidden="1"/>
    <cellStyle name="表示済みのハイパーリンク" xfId="4251" builtinId="9" hidden="1"/>
    <cellStyle name="表示済みのハイパーリンク" xfId="4253" builtinId="9" hidden="1"/>
    <cellStyle name="表示済みのハイパーリンク" xfId="4255" builtinId="9" hidden="1"/>
    <cellStyle name="表示済みのハイパーリンク" xfId="4257" builtinId="9" hidden="1"/>
    <cellStyle name="表示済みのハイパーリンク" xfId="4259" builtinId="9" hidden="1"/>
    <cellStyle name="表示済みのハイパーリンク" xfId="4261" builtinId="9" hidden="1"/>
    <cellStyle name="表示済みのハイパーリンク" xfId="4263" builtinId="9" hidden="1"/>
    <cellStyle name="表示済みのハイパーリンク" xfId="4265" builtinId="9" hidden="1"/>
    <cellStyle name="表示済みのハイパーリンク" xfId="4267" builtinId="9" hidden="1"/>
    <cellStyle name="表示済みのハイパーリンク" xfId="4269" builtinId="9" hidden="1"/>
    <cellStyle name="表示済みのハイパーリンク" xfId="4271" builtinId="9" hidden="1"/>
    <cellStyle name="表示済みのハイパーリンク" xfId="4273" builtinId="9" hidden="1"/>
    <cellStyle name="表示済みのハイパーリンク" xfId="4275" builtinId="9" hidden="1"/>
    <cellStyle name="表示済みのハイパーリンク" xfId="4277" builtinId="9" hidden="1"/>
    <cellStyle name="表示済みのハイパーリンク" xfId="4279" builtinId="9" hidden="1"/>
    <cellStyle name="表示済みのハイパーリンク" xfId="4281" builtinId="9" hidden="1"/>
    <cellStyle name="表示済みのハイパーリンク" xfId="4283" builtinId="9" hidden="1"/>
    <cellStyle name="表示済みのハイパーリンク" xfId="4285" builtinId="9" hidden="1"/>
    <cellStyle name="表示済みのハイパーリンク" xfId="4287" builtinId="9" hidden="1"/>
    <cellStyle name="表示済みのハイパーリンク" xfId="4289" builtinId="9" hidden="1"/>
    <cellStyle name="表示済みのハイパーリンク" xfId="4291" builtinId="9" hidden="1"/>
    <cellStyle name="表示済みのハイパーリンク" xfId="4293" builtinId="9" hidden="1"/>
    <cellStyle name="表示済みのハイパーリンク" xfId="4295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1" builtinId="9" hidden="1"/>
    <cellStyle name="表示済みのハイパーリンク" xfId="4303" builtinId="9" hidden="1"/>
    <cellStyle name="表示済みのハイパーリンク" xfId="4305" builtinId="9" hidden="1"/>
    <cellStyle name="表示済みのハイパーリンク" xfId="4307" builtinId="9" hidden="1"/>
    <cellStyle name="表示済みのハイパーリンク" xfId="4309" builtinId="9" hidden="1"/>
    <cellStyle name="表示済みのハイパーリンク" xfId="4311" builtinId="9" hidden="1"/>
    <cellStyle name="表示済みのハイパーリンク" xfId="4313" builtinId="9" hidden="1"/>
    <cellStyle name="表示済みのハイパーリンク" xfId="4315" builtinId="9" hidden="1"/>
    <cellStyle name="表示済みのハイパーリンク" xfId="4317" builtinId="9" hidden="1"/>
    <cellStyle name="表示済みのハイパーリンク" xfId="4319" builtinId="9" hidden="1"/>
    <cellStyle name="表示済みのハイパーリンク" xfId="4321" builtinId="9" hidden="1"/>
    <cellStyle name="表示済みのハイパーリンク" xfId="4323" builtinId="9" hidden="1"/>
    <cellStyle name="表示済みのハイパーリンク" xfId="4325" builtinId="9" hidden="1"/>
    <cellStyle name="表示済みのハイパーリンク" xfId="4327" builtinId="9" hidden="1"/>
    <cellStyle name="表示済みのハイパーリンク" xfId="4329" builtinId="9" hidden="1"/>
    <cellStyle name="表示済みのハイパーリンク" xfId="4331" builtinId="9" hidden="1"/>
    <cellStyle name="表示済みのハイパーリンク" xfId="4333" builtinId="9" hidden="1"/>
    <cellStyle name="表示済みのハイパーリンク" xfId="4335" builtinId="9" hidden="1"/>
    <cellStyle name="表示済みのハイパーリンク" xfId="4337" builtinId="9" hidden="1"/>
    <cellStyle name="表示済みのハイパーリンク" xfId="4339" builtinId="9" hidden="1"/>
    <cellStyle name="表示済みのハイパーリンク" xfId="4341" builtinId="9" hidden="1"/>
    <cellStyle name="表示済みのハイパーリンク" xfId="4343" builtinId="9" hidden="1"/>
    <cellStyle name="表示済みのハイパーリンク" xfId="4345" builtinId="9" hidden="1"/>
    <cellStyle name="表示済みのハイパーリンク" xfId="4347" builtinId="9" hidden="1"/>
    <cellStyle name="表示済みのハイパーリンク" xfId="4349" builtinId="9" hidden="1"/>
    <cellStyle name="表示済みのハイパーリンク" xfId="4351" builtinId="9" hidden="1"/>
    <cellStyle name="表示済みのハイパーリンク" xfId="4353" builtinId="9" hidden="1"/>
    <cellStyle name="表示済みのハイパーリンク" xfId="4355" builtinId="9" hidden="1"/>
    <cellStyle name="表示済みのハイパーリンク" xfId="4357" builtinId="9" hidden="1"/>
    <cellStyle name="表示済みのハイパーリンク" xfId="4359" builtinId="9" hidden="1"/>
    <cellStyle name="表示済みのハイパーリンク" xfId="4361" builtinId="9" hidden="1"/>
    <cellStyle name="表示済みのハイパーリンク" xfId="4363" builtinId="9" hidden="1"/>
    <cellStyle name="表示済みのハイパーリンク" xfId="4365" builtinId="9" hidden="1"/>
    <cellStyle name="表示済みのハイパーリンク" xfId="4367" builtinId="9" hidden="1"/>
    <cellStyle name="表示済みのハイパーリンク" xfId="4369" builtinId="9" hidden="1"/>
    <cellStyle name="表示済みのハイパーリンク" xfId="4371" builtinId="9" hidden="1"/>
    <cellStyle name="表示済みのハイパーリンク" xfId="4373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表示済みのハイパーリンク" xfId="4825" builtinId="9" hidden="1"/>
    <cellStyle name="表示済みのハイパーリンク" xfId="4827" builtinId="9" hidden="1"/>
    <cellStyle name="表示済みのハイパーリンク" xfId="4829" builtinId="9" hidden="1"/>
    <cellStyle name="表示済みのハイパーリンク" xfId="4831" builtinId="9" hidden="1"/>
    <cellStyle name="表示済みのハイパーリンク" xfId="4833" builtinId="9" hidden="1"/>
    <cellStyle name="表示済みのハイパーリンク" xfId="4835" builtinId="9" hidden="1"/>
    <cellStyle name="表示済みのハイパーリンク" xfId="4837" builtinId="9" hidden="1"/>
    <cellStyle name="表示済みのハイパーリンク" xfId="4839" builtinId="9" hidden="1"/>
    <cellStyle name="表示済みのハイパーリンク" xfId="4841" builtinId="9" hidden="1"/>
    <cellStyle name="表示済みのハイパーリンク" xfId="4843" builtinId="9" hidden="1"/>
    <cellStyle name="表示済みのハイパーリンク" xfId="4845" builtinId="9" hidden="1"/>
    <cellStyle name="表示済みのハイパーリンク" xfId="4847" builtinId="9" hidden="1"/>
    <cellStyle name="表示済みのハイパーリンク" xfId="4849" builtinId="9" hidden="1"/>
    <cellStyle name="表示済みのハイパーリンク" xfId="4851" builtinId="9" hidden="1"/>
    <cellStyle name="表示済みのハイパーリンク" xfId="4853" builtinId="9" hidden="1"/>
    <cellStyle name="表示済みのハイパーリンク" xfId="4855" builtinId="9" hidden="1"/>
    <cellStyle name="表示済みのハイパーリンク" xfId="4857" builtinId="9" hidden="1"/>
    <cellStyle name="表示済みのハイパーリンク" xfId="4859" builtinId="9" hidden="1"/>
    <cellStyle name="表示済みのハイパーリンク" xfId="4861" builtinId="9" hidden="1"/>
    <cellStyle name="表示済みのハイパーリンク" xfId="4863" builtinId="9" hidden="1"/>
    <cellStyle name="表示済みのハイパーリンク" xfId="4865" builtinId="9" hidden="1"/>
    <cellStyle name="表示済みのハイパーリンク" xfId="4867" builtinId="9" hidden="1"/>
    <cellStyle name="表示済みのハイパーリンク" xfId="4869" builtinId="9" hidden="1"/>
    <cellStyle name="表示済みのハイパーリンク" xfId="4871" builtinId="9" hidden="1"/>
    <cellStyle name="表示済みのハイパーリンク" xfId="4873" builtinId="9" hidden="1"/>
    <cellStyle name="表示済みのハイパーリンク" xfId="4875" builtinId="9" hidden="1"/>
    <cellStyle name="表示済みのハイパーリンク" xfId="4877" builtinId="9" hidden="1"/>
    <cellStyle name="表示済みのハイパーリンク" xfId="4879" builtinId="9" hidden="1"/>
    <cellStyle name="表示済みのハイパーリンク" xfId="4881" builtinId="9" hidden="1"/>
    <cellStyle name="表示済みのハイパーリンク" xfId="4883" builtinId="9" hidden="1"/>
    <cellStyle name="表示済みのハイパーリンク" xfId="4885" builtinId="9" hidden="1"/>
    <cellStyle name="表示済みのハイパーリンク" xfId="4887" builtinId="9" hidden="1"/>
    <cellStyle name="表示済みのハイパーリンク" xfId="4889" builtinId="9" hidden="1"/>
    <cellStyle name="表示済みのハイパーリンク" xfId="4891" builtinId="9" hidden="1"/>
    <cellStyle name="表示済みのハイパーリンク" xfId="4893" builtinId="9" hidden="1"/>
    <cellStyle name="表示済みのハイパーリンク" xfId="4895" builtinId="9" hidden="1"/>
    <cellStyle name="表示済みのハイパーリンク" xfId="4897" builtinId="9" hidden="1"/>
    <cellStyle name="表示済みのハイパーリンク" xfId="4899" builtinId="9" hidden="1"/>
    <cellStyle name="表示済みのハイパーリンク" xfId="4901" builtinId="9" hidden="1"/>
    <cellStyle name="表示済みのハイパーリンク" xfId="4903" builtinId="9" hidden="1"/>
    <cellStyle name="表示済みのハイパーリンク" xfId="4905" builtinId="9" hidden="1"/>
    <cellStyle name="表示済みのハイパーリンク" xfId="4907" builtinId="9" hidden="1"/>
    <cellStyle name="表示済みのハイパーリンク" xfId="4909" builtinId="9" hidden="1"/>
    <cellStyle name="表示済みのハイパーリンク" xfId="4911" builtinId="9" hidden="1"/>
    <cellStyle name="表示済みのハイパーリンク" xfId="4913" builtinId="9" hidden="1"/>
    <cellStyle name="表示済みのハイパーリンク" xfId="4915" builtinId="9" hidden="1"/>
    <cellStyle name="表示済みのハイパーリンク" xfId="4917" builtinId="9" hidden="1"/>
    <cellStyle name="表示済みのハイパーリンク" xfId="4919" builtinId="9" hidden="1"/>
    <cellStyle name="表示済みのハイパーリンク" xfId="4921" builtinId="9" hidden="1"/>
    <cellStyle name="表示済みのハイパーリンク" xfId="4923" builtinId="9" hidden="1"/>
    <cellStyle name="表示済みのハイパーリンク" xfId="4925" builtinId="9" hidden="1"/>
    <cellStyle name="表示済みのハイパーリンク" xfId="4927" builtinId="9" hidden="1"/>
    <cellStyle name="表示済みのハイパーリンク" xfId="4929" builtinId="9" hidden="1"/>
    <cellStyle name="表示済みのハイパーリンク" xfId="4931" builtinId="9" hidden="1"/>
    <cellStyle name="表示済みのハイパーリンク" xfId="4933" builtinId="9" hidden="1"/>
    <cellStyle name="表示済みのハイパーリンク" xfId="4935" builtinId="9" hidden="1"/>
    <cellStyle name="表示済みのハイパーリンク" xfId="4937" builtinId="9" hidden="1"/>
    <cellStyle name="表示済みのハイパーリンク" xfId="4939" builtinId="9" hidden="1"/>
    <cellStyle name="表示済みのハイパーリンク" xfId="4941" builtinId="9" hidden="1"/>
    <cellStyle name="表示済みのハイパーリンク" xfId="4943" builtinId="9" hidden="1"/>
    <cellStyle name="表示済みのハイパーリンク" xfId="4945" builtinId="9" hidden="1"/>
    <cellStyle name="表示済みのハイパーリンク" xfId="4947" builtinId="9" hidden="1"/>
    <cellStyle name="表示済みのハイパーリンク" xfId="4949" builtinId="9" hidden="1"/>
    <cellStyle name="表示済みのハイパーリンク" xfId="4951" builtinId="9" hidden="1"/>
    <cellStyle name="表示済みのハイパーリンク" xfId="4953" builtinId="9" hidden="1"/>
    <cellStyle name="表示済みのハイパーリンク" xfId="4955" builtinId="9" hidden="1"/>
    <cellStyle name="表示済みのハイパーリンク" xfId="4957" builtinId="9" hidden="1"/>
    <cellStyle name="表示済みのハイパーリンク" xfId="4959" builtinId="9" hidden="1"/>
    <cellStyle name="表示済みのハイパーリンク" xfId="4961" builtinId="9" hidden="1"/>
    <cellStyle name="表示済みのハイパーリンク" xfId="4963" builtinId="9" hidden="1"/>
    <cellStyle name="表示済みのハイパーリンク" xfId="4965" builtinId="9" hidden="1"/>
    <cellStyle name="表示済みのハイパーリンク" xfId="4967" builtinId="9" hidden="1"/>
    <cellStyle name="表示済みのハイパーリンク" xfId="4969" builtinId="9" hidden="1"/>
    <cellStyle name="表示済みのハイパーリンク" xfId="4971" builtinId="9" hidden="1"/>
    <cellStyle name="表示済みのハイパーリンク" xfId="4973" builtinId="9" hidden="1"/>
    <cellStyle name="表示済みのハイパーリンク" xfId="4975" builtinId="9" hidden="1"/>
    <cellStyle name="表示済みのハイパーリンク" xfId="4977" builtinId="9" hidden="1"/>
    <cellStyle name="表示済みのハイパーリンク" xfId="4979" builtinId="9" hidden="1"/>
    <cellStyle name="表示済みのハイパーリンク" xfId="4981" builtinId="9" hidden="1"/>
    <cellStyle name="表示済みのハイパーリンク" xfId="4983" builtinId="9" hidden="1"/>
    <cellStyle name="表示済みのハイパーリンク" xfId="4985" builtinId="9" hidden="1"/>
    <cellStyle name="表示済みのハイパーリンク" xfId="4987" builtinId="9" hidden="1"/>
    <cellStyle name="表示済みのハイパーリンク" xfId="4989" builtinId="9" hidden="1"/>
    <cellStyle name="表示済みのハイパーリンク" xfId="4991" builtinId="9" hidden="1"/>
    <cellStyle name="表示済みのハイパーリンク" xfId="4993" builtinId="9" hidden="1"/>
    <cellStyle name="表示済みのハイパーリンク" xfId="4995" builtinId="9" hidden="1"/>
    <cellStyle name="表示済みのハイパーリンク" xfId="4997" builtinId="9" hidden="1"/>
    <cellStyle name="表示済みのハイパーリンク" xfId="4999" builtinId="9" hidden="1"/>
    <cellStyle name="表示済みのハイパーリンク" xfId="5001" builtinId="9" hidden="1"/>
    <cellStyle name="表示済みのハイパーリンク" xfId="5003" builtinId="9" hidden="1"/>
    <cellStyle name="表示済みのハイパーリンク" xfId="5005" builtinId="9" hidden="1"/>
    <cellStyle name="表示済みのハイパーリンク" xfId="5007" builtinId="9" hidden="1"/>
    <cellStyle name="表示済みのハイパーリンク" xfId="5009" builtinId="9" hidden="1"/>
    <cellStyle name="表示済みのハイパーリンク" xfId="5011" builtinId="9" hidden="1"/>
    <cellStyle name="表示済みのハイパーリンク" xfId="5013" builtinId="9" hidden="1"/>
    <cellStyle name="表示済みのハイパーリンク" xfId="5015" builtinId="9" hidden="1"/>
    <cellStyle name="表示済みのハイパーリンク" xfId="5017" builtinId="9" hidden="1"/>
    <cellStyle name="表示済みのハイパーリンク" xfId="5019" builtinId="9" hidden="1"/>
    <cellStyle name="表示済みのハイパーリンク" xfId="5021" builtinId="9" hidden="1"/>
    <cellStyle name="表示済みのハイパーリンク" xfId="5023" builtinId="9" hidden="1"/>
    <cellStyle name="表示済みのハイパーリンク" xfId="5025" builtinId="9" hidden="1"/>
    <cellStyle name="表示済みのハイパーリンク" xfId="5027" builtinId="9" hidden="1"/>
    <cellStyle name="表示済みのハイパーリンク" xfId="5029" builtinId="9" hidden="1"/>
    <cellStyle name="表示済みのハイパーリンク" xfId="5031" builtinId="9" hidden="1"/>
    <cellStyle name="表示済みのハイパーリンク" xfId="5033" builtinId="9" hidden="1"/>
    <cellStyle name="表示済みのハイパーリンク" xfId="5035" builtinId="9" hidden="1"/>
    <cellStyle name="表示済みのハイパーリンク" xfId="5037" builtinId="9" hidden="1"/>
    <cellStyle name="表示済みのハイパーリンク" xfId="5039" builtinId="9" hidden="1"/>
    <cellStyle name="表示済みのハイパーリンク" xfId="5041" builtinId="9" hidden="1"/>
    <cellStyle name="表示済みのハイパーリンク" xfId="5043" builtinId="9" hidden="1"/>
    <cellStyle name="表示済みのハイパーリンク" xfId="5045" builtinId="9" hidden="1"/>
    <cellStyle name="表示済みのハイパーリンク" xfId="5047" builtinId="9" hidden="1"/>
    <cellStyle name="表示済みのハイパーリンク" xfId="5049" builtinId="9" hidden="1"/>
    <cellStyle name="表示済みのハイパーリンク" xfId="5051" builtinId="9" hidden="1"/>
    <cellStyle name="表示済みのハイパーリンク" xfId="5053" builtinId="9" hidden="1"/>
    <cellStyle name="表示済みのハイパーリンク" xfId="5055" builtinId="9" hidden="1"/>
    <cellStyle name="表示済みのハイパーリンク" xfId="5057" builtinId="9" hidden="1"/>
    <cellStyle name="表示済みのハイパーリンク" xfId="5059" builtinId="9" hidden="1"/>
    <cellStyle name="表示済みのハイパーリンク" xfId="5061" builtinId="9" hidden="1"/>
    <cellStyle name="表示済みのハイパーリンク" xfId="5063" builtinId="9" hidden="1"/>
    <cellStyle name="表示済みのハイパーリンク" xfId="5065" builtinId="9" hidden="1"/>
    <cellStyle name="表示済みのハイパーリンク" xfId="5067" builtinId="9" hidden="1"/>
    <cellStyle name="表示済みのハイパーリンク" xfId="5069" builtinId="9" hidden="1"/>
    <cellStyle name="表示済みのハイパーリンク" xfId="5071" builtinId="9" hidden="1"/>
    <cellStyle name="表示済みのハイパーリンク" xfId="5073" builtinId="9" hidden="1"/>
    <cellStyle name="表示済みのハイパーリンク" xfId="5075" builtinId="9" hidden="1"/>
    <cellStyle name="表示済みのハイパーリンク" xfId="5077" builtinId="9" hidden="1"/>
    <cellStyle name="表示済みのハイパーリンク" xfId="5079" builtinId="9" hidden="1"/>
    <cellStyle name="表示済みのハイパーリンク" xfId="5081" builtinId="9" hidden="1"/>
    <cellStyle name="表示済みのハイパーリンク" xfId="5083" builtinId="9" hidden="1"/>
    <cellStyle name="表示済みのハイパーリンク" xfId="5085" builtinId="9" hidden="1"/>
    <cellStyle name="表示済みのハイパーリンク" xfId="5087" builtinId="9" hidden="1"/>
    <cellStyle name="表示済みのハイパーリンク" xfId="5089" builtinId="9" hidden="1"/>
    <cellStyle name="表示済みのハイパーリンク" xfId="5091" builtinId="9" hidden="1"/>
    <cellStyle name="表示済みのハイパーリンク" xfId="5093" builtinId="9" hidden="1"/>
    <cellStyle name="表示済みのハイパーリンク" xfId="5095" builtinId="9" hidden="1"/>
    <cellStyle name="表示済みのハイパーリンク" xfId="5097" builtinId="9" hidden="1"/>
    <cellStyle name="表示済みのハイパーリンク" xfId="5099" builtinId="9" hidden="1"/>
    <cellStyle name="表示済みのハイパーリンク" xfId="5101" builtinId="9" hidden="1"/>
    <cellStyle name="表示済みのハイパーリンク" xfId="5103" builtinId="9" hidden="1"/>
    <cellStyle name="表示済みのハイパーリンク" xfId="5105" builtinId="9" hidden="1"/>
    <cellStyle name="表示済みのハイパーリンク" xfId="5107" builtinId="9" hidden="1"/>
    <cellStyle name="表示済みのハイパーリンク" xfId="5109" builtinId="9" hidden="1"/>
    <cellStyle name="表示済みのハイパーリンク" xfId="5111" builtinId="9" hidden="1"/>
    <cellStyle name="表示済みのハイパーリンク" xfId="5113" builtinId="9" hidden="1"/>
    <cellStyle name="表示済みのハイパーリンク" xfId="5115" builtinId="9" hidden="1"/>
    <cellStyle name="表示済みのハイパーリンク" xfId="5117" builtinId="9" hidden="1"/>
    <cellStyle name="表示済みのハイパーリンク" xfId="5119" builtinId="9" hidden="1"/>
    <cellStyle name="表示済みのハイパーリンク" xfId="5121" builtinId="9" hidden="1"/>
    <cellStyle name="表示済みのハイパーリンク" xfId="5123" builtinId="9" hidden="1"/>
    <cellStyle name="表示済みのハイパーリンク" xfId="5125" builtinId="9" hidden="1"/>
    <cellStyle name="表示済みのハイパーリンク" xfId="5127" builtinId="9" hidden="1"/>
    <cellStyle name="表示済みのハイパーリンク" xfId="5129" builtinId="9" hidden="1"/>
    <cellStyle name="表示済みのハイパーリンク" xfId="5131" builtinId="9" hidden="1"/>
    <cellStyle name="表示済みのハイパーリンク" xfId="5133" builtinId="9" hidden="1"/>
    <cellStyle name="表示済みのハイパーリンク" xfId="5135" builtinId="9" hidden="1"/>
    <cellStyle name="表示済みのハイパーリンク" xfId="5137" builtinId="9" hidden="1"/>
    <cellStyle name="表示済みのハイパーリンク" xfId="5139" builtinId="9" hidden="1"/>
    <cellStyle name="表示済みのハイパーリンク" xfId="5141" builtinId="9" hidden="1"/>
    <cellStyle name="表示済みのハイパーリンク" xfId="5143" builtinId="9" hidden="1"/>
    <cellStyle name="表示済みのハイパーリンク" xfId="5145" builtinId="9" hidden="1"/>
    <cellStyle name="表示済みのハイパーリンク" xfId="5147" builtinId="9" hidden="1"/>
    <cellStyle name="表示済みのハイパーリンク" xfId="5149" builtinId="9" hidden="1"/>
    <cellStyle name="表示済みのハイパーリンク" xfId="5151" builtinId="9" hidden="1"/>
    <cellStyle name="表示済みのハイパーリンク" xfId="5153" builtinId="9" hidden="1"/>
    <cellStyle name="表示済みのハイパーリンク" xfId="5155" builtinId="9" hidden="1"/>
    <cellStyle name="表示済みのハイパーリンク" xfId="5157" builtinId="9" hidden="1"/>
    <cellStyle name="表示済みのハイパーリンク" xfId="5159" builtinId="9" hidden="1"/>
    <cellStyle name="表示済みのハイパーリンク" xfId="5161" builtinId="9" hidden="1"/>
    <cellStyle name="表示済みのハイパーリンク" xfId="5163" builtinId="9" hidden="1"/>
    <cellStyle name="表示済みのハイパーリンク" xfId="5165" builtinId="9" hidden="1"/>
    <cellStyle name="表示済みのハイパーリンク" xfId="5167" builtinId="9" hidden="1"/>
    <cellStyle name="表示済みのハイパーリンク" xfId="5169" builtinId="9" hidden="1"/>
    <cellStyle name="表示済みのハイパーリンク" xfId="5171" builtinId="9" hidden="1"/>
    <cellStyle name="表示済みのハイパーリンク" xfId="5173" builtinId="9" hidden="1"/>
    <cellStyle name="表示済みのハイパーリンク" xfId="5175" builtinId="9" hidden="1"/>
    <cellStyle name="表示済みのハイパーリンク" xfId="5177" builtinId="9" hidden="1"/>
    <cellStyle name="表示済みのハイパーリンク" xfId="5179" builtinId="9" hidden="1"/>
    <cellStyle name="表示済みのハイパーリンク" xfId="5181" builtinId="9" hidden="1"/>
    <cellStyle name="表示済みのハイパーリンク" xfId="5183" builtinId="9" hidden="1"/>
    <cellStyle name="表示済みのハイパーリンク" xfId="5185" builtinId="9" hidden="1"/>
    <cellStyle name="表示済みのハイパーリンク" xfId="5187" builtinId="9" hidden="1"/>
    <cellStyle name="表示済みのハイパーリンク" xfId="5189" builtinId="9" hidden="1"/>
    <cellStyle name="表示済みのハイパーリンク" xfId="5191" builtinId="9" hidden="1"/>
    <cellStyle name="表示済みのハイパーリンク" xfId="5193" builtinId="9" hidden="1"/>
    <cellStyle name="表示済みのハイパーリンク" xfId="5195" builtinId="9" hidden="1"/>
    <cellStyle name="表示済みのハイパーリンク" xfId="5197" builtinId="9" hidden="1"/>
    <cellStyle name="表示済みのハイパーリンク" xfId="5199" builtinId="9" hidden="1"/>
    <cellStyle name="表示済みのハイパーリンク" xfId="5201" builtinId="9" hidden="1"/>
    <cellStyle name="表示済みのハイパーリンク" xfId="5203" builtinId="9" hidden="1"/>
    <cellStyle name="表示済みのハイパーリンク" xfId="5205" builtinId="9" hidden="1"/>
    <cellStyle name="表示済みのハイパーリンク" xfId="5207" builtinId="9" hidden="1"/>
    <cellStyle name="表示済みのハイパーリンク" xfId="5209" builtinId="9" hidden="1"/>
    <cellStyle name="表示済みのハイパーリンク" xfId="5211" builtinId="9" hidden="1"/>
    <cellStyle name="表示済みのハイパーリンク" xfId="5213" builtinId="9" hidden="1"/>
    <cellStyle name="表示済みのハイパーリンク" xfId="5215" builtinId="9" hidden="1"/>
    <cellStyle name="表示済みのハイパーリンク" xfId="5217" builtinId="9" hidden="1"/>
    <cellStyle name="表示済みのハイパーリンク" xfId="5219" builtinId="9" hidden="1"/>
    <cellStyle name="表示済みのハイパーリンク" xfId="5221" builtinId="9" hidden="1"/>
    <cellStyle name="表示済みのハイパーリンク" xfId="5223" builtinId="9" hidden="1"/>
    <cellStyle name="表示済みのハイパーリンク" xfId="5225" builtinId="9" hidden="1"/>
    <cellStyle name="表示済みのハイパーリンク" xfId="5227" builtinId="9" hidden="1"/>
    <cellStyle name="表示済みのハイパーリンク" xfId="5229" builtinId="9" hidden="1"/>
    <cellStyle name="表示済みのハイパーリンク" xfId="5231" builtinId="9" hidden="1"/>
    <cellStyle name="表示済みのハイパーリンク" xfId="5233" builtinId="9" hidden="1"/>
    <cellStyle name="表示済みのハイパーリンク" xfId="5235" builtinId="9" hidden="1"/>
    <cellStyle name="表示済みのハイパーリンク" xfId="5237" builtinId="9" hidden="1"/>
    <cellStyle name="表示済みのハイパーリンク" xfId="5239" builtinId="9" hidden="1"/>
    <cellStyle name="表示済みのハイパーリンク" xfId="5241" builtinId="9" hidden="1"/>
    <cellStyle name="表示済みのハイパーリンク" xfId="5243" builtinId="9" hidden="1"/>
    <cellStyle name="表示済みのハイパーリンク" xfId="5245" builtinId="9" hidden="1"/>
    <cellStyle name="表示済みのハイパーリンク" xfId="5247" builtinId="9" hidden="1"/>
    <cellStyle name="表示済みのハイパーリンク" xfId="5249" builtinId="9" hidden="1"/>
    <cellStyle name="表示済みのハイパーリンク" xfId="5251" builtinId="9" hidden="1"/>
    <cellStyle name="表示済みのハイパーリンク" xfId="5253" builtinId="9" hidden="1"/>
    <cellStyle name="表示済みのハイパーリンク" xfId="5255" builtinId="9" hidden="1"/>
    <cellStyle name="表示済みのハイパーリンク" xfId="5257" builtinId="9" hidden="1"/>
    <cellStyle name="表示済みのハイパーリンク" xfId="5259" builtinId="9" hidden="1"/>
    <cellStyle name="表示済みのハイパーリンク" xfId="5261" builtinId="9" hidden="1"/>
    <cellStyle name="表示済みのハイパーリンク" xfId="5263" builtinId="9" hidden="1"/>
    <cellStyle name="表示済みのハイパーリンク" xfId="5265" builtinId="9" hidden="1"/>
    <cellStyle name="表示済みのハイパーリンク" xfId="5267" builtinId="9" hidden="1"/>
    <cellStyle name="表示済みのハイパーリンク" xfId="5269" builtinId="9" hidden="1"/>
    <cellStyle name="表示済みのハイパーリンク" xfId="5271" builtinId="9" hidden="1"/>
    <cellStyle name="表示済みのハイパーリンク" xfId="5273" builtinId="9" hidden="1"/>
    <cellStyle name="表示済みのハイパーリンク" xfId="5275" builtinId="9" hidden="1"/>
    <cellStyle name="表示済みのハイパーリンク" xfId="5277" builtinId="9" hidden="1"/>
    <cellStyle name="表示済みのハイパーリンク" xfId="5279" builtinId="9" hidden="1"/>
    <cellStyle name="表示済みのハイパーリンク" xfId="5281" builtinId="9" hidden="1"/>
    <cellStyle name="表示済みのハイパーリンク" xfId="5283" builtinId="9" hidden="1"/>
    <cellStyle name="表示済みのハイパーリンク" xfId="5285" builtinId="9" hidden="1"/>
    <cellStyle name="表示済みのハイパーリンク" xfId="5287" builtinId="9" hidden="1"/>
    <cellStyle name="表示済みのハイパーリンク" xfId="5289" builtinId="9" hidden="1"/>
    <cellStyle name="表示済みのハイパーリンク" xfId="5291" builtinId="9" hidden="1"/>
    <cellStyle name="表示済みのハイパーリンク" xfId="5293" builtinId="9" hidden="1"/>
    <cellStyle name="表示済みのハイパーリンク" xfId="5295" builtinId="9" hidden="1"/>
    <cellStyle name="表示済みのハイパーリンク" xfId="5297" builtinId="9" hidden="1"/>
    <cellStyle name="表示済みのハイパーリンク" xfId="5299" builtinId="9" hidden="1"/>
    <cellStyle name="表示済みのハイパーリンク" xfId="5301" builtinId="9" hidden="1"/>
    <cellStyle name="表示済みのハイパーリンク" xfId="5303" builtinId="9" hidden="1"/>
    <cellStyle name="表示済みのハイパーリンク" xfId="5305" builtinId="9" hidden="1"/>
    <cellStyle name="表示済みのハイパーリンク" xfId="5307" builtinId="9" hidden="1"/>
    <cellStyle name="表示済みのハイパーリンク" xfId="5309" builtinId="9" hidden="1"/>
    <cellStyle name="表示済みのハイパーリンク" xfId="5311" builtinId="9" hidden="1"/>
    <cellStyle name="表示済みのハイパーリンク" xfId="5313" builtinId="9" hidden="1"/>
    <cellStyle name="表示済みのハイパーリンク" xfId="5315" builtinId="9" hidden="1"/>
    <cellStyle name="表示済みのハイパーリンク" xfId="5317" builtinId="9" hidden="1"/>
    <cellStyle name="表示済みのハイパーリンク" xfId="5319" builtinId="9" hidden="1"/>
    <cellStyle name="表示済みのハイパーリンク" xfId="5321" builtinId="9" hidden="1"/>
    <cellStyle name="表示済みのハイパーリンク" xfId="5323" builtinId="9" hidden="1"/>
    <cellStyle name="表示済みのハイパーリンク" xfId="5325" builtinId="9" hidden="1"/>
    <cellStyle name="表示済みのハイパーリンク" xfId="5327" builtinId="9" hidden="1"/>
    <cellStyle name="表示済みのハイパーリンク" xfId="5329" builtinId="9" hidden="1"/>
    <cellStyle name="表示済みのハイパーリンク" xfId="5331" builtinId="9" hidden="1"/>
    <cellStyle name="表示済みのハイパーリンク" xfId="5333" builtinId="9" hidden="1"/>
    <cellStyle name="表示済みのハイパーリンク" xfId="5335" builtinId="9" hidden="1"/>
    <cellStyle name="表示済みのハイパーリンク" xfId="5337" builtinId="9" hidden="1"/>
    <cellStyle name="表示済みのハイパーリンク" xfId="5339" builtinId="9" hidden="1"/>
    <cellStyle name="表示済みのハイパーリンク" xfId="5341" builtinId="9" hidden="1"/>
    <cellStyle name="表示済みのハイパーリンク" xfId="5343" builtinId="9" hidden="1"/>
    <cellStyle name="表示済みのハイパーリンク" xfId="5345" builtinId="9" hidden="1"/>
    <cellStyle name="表示済みのハイパーリンク" xfId="5347" builtinId="9" hidden="1"/>
    <cellStyle name="表示済みのハイパーリンク" xfId="5349" builtinId="9" hidden="1"/>
    <cellStyle name="表示済みのハイパーリンク" xfId="5351" builtinId="9" hidden="1"/>
    <cellStyle name="表示済みのハイパーリンク" xfId="5353" builtinId="9" hidden="1"/>
    <cellStyle name="表示済みのハイパーリンク" xfId="5355" builtinId="9" hidden="1"/>
    <cellStyle name="表示済みのハイパーリンク" xfId="5357" builtinId="9" hidden="1"/>
    <cellStyle name="表示済みのハイパーリンク" xfId="5359" builtinId="9" hidden="1"/>
    <cellStyle name="表示済みのハイパーリンク" xfId="5361" builtinId="9" hidden="1"/>
    <cellStyle name="表示済みのハイパーリンク" xfId="5363" builtinId="9" hidden="1"/>
    <cellStyle name="表示済みのハイパーリンク" xfId="5365" builtinId="9" hidden="1"/>
    <cellStyle name="表示済みのハイパーリンク" xfId="5367" builtinId="9" hidden="1"/>
    <cellStyle name="表示済みのハイパーリンク" xfId="5369" builtinId="9" hidden="1"/>
    <cellStyle name="表示済みのハイパーリンク" xfId="5371" builtinId="9" hidden="1"/>
    <cellStyle name="表示済みのハイパーリンク" xfId="5373" builtinId="9" hidden="1"/>
    <cellStyle name="表示済みのハイパーリンク" xfId="5375" builtinId="9" hidden="1"/>
    <cellStyle name="表示済みのハイパーリンク" xfId="5377" builtinId="9" hidden="1"/>
    <cellStyle name="表示済みのハイパーリンク" xfId="5379" builtinId="9" hidden="1"/>
    <cellStyle name="表示済みのハイパーリンク" xfId="5381" builtinId="9" hidden="1"/>
    <cellStyle name="表示済みのハイパーリンク" xfId="5383" builtinId="9" hidden="1"/>
    <cellStyle name="表示済みのハイパーリンク" xfId="5385" builtinId="9" hidden="1"/>
    <cellStyle name="表示済みのハイパーリンク" xfId="5387" builtinId="9" hidden="1"/>
    <cellStyle name="表示済みのハイパーリンク" xfId="5389" builtinId="9" hidden="1"/>
    <cellStyle name="表示済みのハイパーリンク" xfId="5391" builtinId="9" hidden="1"/>
    <cellStyle name="表示済みのハイパーリンク" xfId="5393" builtinId="9" hidden="1"/>
    <cellStyle name="表示済みのハイパーリンク" xfId="5395" builtinId="9" hidden="1"/>
    <cellStyle name="表示済みのハイパーリンク" xfId="5397" builtinId="9" hidden="1"/>
    <cellStyle name="表示済みのハイパーリンク" xfId="5399" builtinId="9" hidden="1"/>
    <cellStyle name="表示済みのハイパーリンク" xfId="5401" builtinId="9" hidden="1"/>
    <cellStyle name="表示済みのハイパーリンク" xfId="5403" builtinId="9" hidden="1"/>
    <cellStyle name="表示済みのハイパーリンク" xfId="5405" builtinId="9" hidden="1"/>
    <cellStyle name="表示済みのハイパーリンク" xfId="5407" builtinId="9" hidden="1"/>
    <cellStyle name="表示済みのハイパーリンク" xfId="5409" builtinId="9" hidden="1"/>
    <cellStyle name="表示済みのハイパーリンク" xfId="5411" builtinId="9" hidden="1"/>
    <cellStyle name="表示済みのハイパーリンク" xfId="5413" builtinId="9" hidden="1"/>
    <cellStyle name="表示済みのハイパーリンク" xfId="5415" builtinId="9" hidden="1"/>
    <cellStyle name="表示済みのハイパーリンク" xfId="5417" builtinId="9" hidden="1"/>
    <cellStyle name="表示済みのハイパーリンク" xfId="5419" builtinId="9" hidden="1"/>
    <cellStyle name="表示済みのハイパーリンク" xfId="5421" builtinId="9" hidden="1"/>
    <cellStyle name="表示済みのハイパーリンク" xfId="5423" builtinId="9" hidden="1"/>
    <cellStyle name="表示済みのハイパーリンク" xfId="5425" builtinId="9" hidden="1"/>
    <cellStyle name="表示済みのハイパーリンク" xfId="5427" builtinId="9" hidden="1"/>
    <cellStyle name="表示済みのハイパーリンク" xfId="5429" builtinId="9" hidden="1"/>
    <cellStyle name="表示済みのハイパーリンク" xfId="5431" builtinId="9" hidden="1"/>
    <cellStyle name="表示済みのハイパーリンク" xfId="5433" builtinId="9" hidden="1"/>
    <cellStyle name="表示済みのハイパーリンク" xfId="5435" builtinId="9" hidden="1"/>
    <cellStyle name="表示済みのハイパーリンク" xfId="5437" builtinId="9" hidden="1"/>
    <cellStyle name="表示済みのハイパーリンク" xfId="5439" builtinId="9" hidden="1"/>
    <cellStyle name="表示済みのハイパーリンク" xfId="5441" builtinId="9" hidden="1"/>
    <cellStyle name="表示済みのハイパーリンク" xfId="5443" builtinId="9" hidden="1"/>
    <cellStyle name="表示済みのハイパーリンク" xfId="5445" builtinId="9" hidden="1"/>
    <cellStyle name="表示済みのハイパーリンク" xfId="5447" builtinId="9" hidden="1"/>
    <cellStyle name="表示済みのハイパーリンク" xfId="5449" builtinId="9" hidden="1"/>
    <cellStyle name="表示済みのハイパーリンク" xfId="5451" builtinId="9" hidden="1"/>
    <cellStyle name="表示済みのハイパーリンク" xfId="5453" builtinId="9" hidden="1"/>
    <cellStyle name="表示済みのハイパーリンク" xfId="5455" builtinId="9" hidden="1"/>
    <cellStyle name="表示済みのハイパーリンク" xfId="5457" builtinId="9" hidden="1"/>
    <cellStyle name="表示済みのハイパーリンク" xfId="5459" builtinId="9" hidden="1"/>
    <cellStyle name="表示済みのハイパーリンク" xfId="5461" builtinId="9" hidden="1"/>
    <cellStyle name="表示済みのハイパーリンク" xfId="5463" builtinId="9" hidden="1"/>
    <cellStyle name="表示済みのハイパーリンク" xfId="5465" builtinId="9" hidden="1"/>
    <cellStyle name="表示済みのハイパーリンク" xfId="5467" builtinId="9" hidden="1"/>
    <cellStyle name="表示済みのハイパーリンク" xfId="5469" builtinId="9" hidden="1"/>
    <cellStyle name="表示済みのハイパーリンク" xfId="5471" builtinId="9" hidden="1"/>
    <cellStyle name="表示済みのハイパーリンク" xfId="5473" builtinId="9" hidden="1"/>
    <cellStyle name="表示済みのハイパーリンク" xfId="5475" builtinId="9" hidden="1"/>
    <cellStyle name="表示済みのハイパーリンク" xfId="5477" builtinId="9" hidden="1"/>
    <cellStyle name="表示済みのハイパーリンク" xfId="5479" builtinId="9" hidden="1"/>
    <cellStyle name="表示済みのハイパーリンク" xfId="5481" builtinId="9" hidden="1"/>
    <cellStyle name="表示済みのハイパーリンク" xfId="5483" builtinId="9" hidden="1"/>
    <cellStyle name="表示済みのハイパーリンク" xfId="5485" builtinId="9" hidden="1"/>
    <cellStyle name="表示済みのハイパーリンク" xfId="5487" builtinId="9" hidden="1"/>
    <cellStyle name="表示済みのハイパーリンク" xfId="5489" builtinId="9" hidden="1"/>
    <cellStyle name="表示済みのハイパーリンク" xfId="5491" builtinId="9" hidden="1"/>
    <cellStyle name="表示済みのハイパーリンク" xfId="5493" builtinId="9" hidden="1"/>
    <cellStyle name="表示済みのハイパーリンク" xfId="5495" builtinId="9" hidden="1"/>
    <cellStyle name="表示済みのハイパーリンク" xfId="5497" builtinId="9" hidden="1"/>
    <cellStyle name="表示済みのハイパーリンク" xfId="5499" builtinId="9" hidden="1"/>
    <cellStyle name="表示済みのハイパーリンク" xfId="5501" builtinId="9" hidden="1"/>
    <cellStyle name="表示済みのハイパーリンク" xfId="5503" builtinId="9" hidden="1"/>
    <cellStyle name="表示済みのハイパーリンク" xfId="5505" builtinId="9" hidden="1"/>
    <cellStyle name="表示済みのハイパーリンク" xfId="5507" builtinId="9" hidden="1"/>
    <cellStyle name="表示済みのハイパーリンク" xfId="5509" builtinId="9" hidden="1"/>
    <cellStyle name="表示済みのハイパーリンク" xfId="5511" builtinId="9" hidden="1"/>
    <cellStyle name="表示済みのハイパーリンク" xfId="5513" builtinId="9" hidden="1"/>
    <cellStyle name="表示済みのハイパーリンク" xfId="5515" builtinId="9" hidden="1"/>
    <cellStyle name="表示済みのハイパーリンク" xfId="5517" builtinId="9" hidden="1"/>
    <cellStyle name="表示済みのハイパーリンク" xfId="5519" builtinId="9" hidden="1"/>
    <cellStyle name="表示済みのハイパーリンク" xfId="5521" builtinId="9" hidden="1"/>
    <cellStyle name="表示済みのハイパーリンク" xfId="5523" builtinId="9" hidden="1"/>
    <cellStyle name="表示済みのハイパーリンク" xfId="5525" builtinId="9" hidden="1"/>
    <cellStyle name="表示済みのハイパーリンク" xfId="5527" builtinId="9" hidden="1"/>
    <cellStyle name="表示済みのハイパーリンク" xfId="5529" builtinId="9" hidden="1"/>
    <cellStyle name="表示済みのハイパーリンク" xfId="5531" builtinId="9" hidden="1"/>
    <cellStyle name="表示済みのハイパーリンク" xfId="5533" builtinId="9" hidden="1"/>
    <cellStyle name="表示済みのハイパーリンク" xfId="5535" builtinId="9" hidden="1"/>
    <cellStyle name="表示済みのハイパーリンク" xfId="5537" builtinId="9" hidden="1"/>
    <cellStyle name="表示済みのハイパーリンク" xfId="5539" builtinId="9" hidden="1"/>
    <cellStyle name="表示済みのハイパーリンク" xfId="5541" builtinId="9" hidden="1"/>
    <cellStyle name="表示済みのハイパーリンク" xfId="5543" builtinId="9" hidden="1"/>
    <cellStyle name="表示済みのハイパーリンク" xfId="5545" builtinId="9" hidden="1"/>
    <cellStyle name="表示済みのハイパーリンク" xfId="5547" builtinId="9" hidden="1"/>
    <cellStyle name="表示済みのハイパーリンク" xfId="5549" builtinId="9" hidden="1"/>
    <cellStyle name="表示済みのハイパーリンク" xfId="5551" builtinId="9" hidden="1"/>
    <cellStyle name="表示済みのハイパーリンク" xfId="5553" builtinId="9" hidden="1"/>
    <cellStyle name="表示済みのハイパーリンク" xfId="5555" builtinId="9" hidden="1"/>
    <cellStyle name="表示済みのハイパーリンク" xfId="5557" builtinId="9" hidden="1"/>
    <cellStyle name="表示済みのハイパーリンク" xfId="5559" builtinId="9" hidden="1"/>
    <cellStyle name="表示済みのハイパーリンク" xfId="5561" builtinId="9" hidden="1"/>
    <cellStyle name="表示済みのハイパーリンク" xfId="5563" builtinId="9" hidden="1"/>
    <cellStyle name="表示済みのハイパーリンク" xfId="5565" builtinId="9" hidden="1"/>
    <cellStyle name="表示済みのハイパーリンク" xfId="5567" builtinId="9" hidden="1"/>
    <cellStyle name="表示済みのハイパーリンク" xfId="5569" builtinId="9" hidden="1"/>
    <cellStyle name="表示済みのハイパーリンク" xfId="5571" builtinId="9" hidden="1"/>
    <cellStyle name="表示済みのハイパーリンク" xfId="5573" builtinId="9" hidden="1"/>
    <cellStyle name="表示済みのハイパーリンク" xfId="5575" builtinId="9" hidden="1"/>
    <cellStyle name="表示済みのハイパーリンク" xfId="5577" builtinId="9" hidden="1"/>
    <cellStyle name="表示済みのハイパーリンク" xfId="5579" builtinId="9" hidden="1"/>
    <cellStyle name="表示済みのハイパーリンク" xfId="5581" builtinId="9" hidden="1"/>
    <cellStyle name="表示済みのハイパーリンク" xfId="5583" builtinId="9" hidden="1"/>
    <cellStyle name="表示済みのハイパーリンク" xfId="5585" builtinId="9" hidden="1"/>
    <cellStyle name="表示済みのハイパーリンク" xfId="5587" builtinId="9" hidden="1"/>
    <cellStyle name="表示済みのハイパーリンク" xfId="5589" builtinId="9" hidden="1"/>
    <cellStyle name="表示済みのハイパーリンク" xfId="5591" builtinId="9" hidden="1"/>
    <cellStyle name="表示済みのハイパーリンク" xfId="5593" builtinId="9" hidden="1"/>
    <cellStyle name="表示済みのハイパーリンク" xfId="5595" builtinId="9" hidden="1"/>
    <cellStyle name="表示済みのハイパーリンク" xfId="5597" builtinId="9" hidden="1"/>
    <cellStyle name="表示済みのハイパーリンク" xfId="5599" builtinId="9" hidden="1"/>
    <cellStyle name="表示済みのハイパーリンク" xfId="5601" builtinId="9" hidden="1"/>
    <cellStyle name="表示済みのハイパーリンク" xfId="5603" builtinId="9" hidden="1"/>
    <cellStyle name="表示済みのハイパーリンク" xfId="5605" builtinId="9" hidden="1"/>
    <cellStyle name="表示済みのハイパーリンク" xfId="5607" builtinId="9" hidden="1"/>
    <cellStyle name="表示済みのハイパーリンク" xfId="5609" builtinId="9" hidden="1"/>
    <cellStyle name="表示済みのハイパーリンク" xfId="5611" builtinId="9" hidden="1"/>
    <cellStyle name="表示済みのハイパーリンク" xfId="5613" builtinId="9" hidden="1"/>
    <cellStyle name="表示済みのハイパーリンク" xfId="5615" builtinId="9" hidden="1"/>
    <cellStyle name="表示済みのハイパーリンク" xfId="5617" builtinId="9" hidden="1"/>
    <cellStyle name="表示済みのハイパーリンク" xfId="5619" builtinId="9" hidden="1"/>
    <cellStyle name="表示済みのハイパーリンク" xfId="5621" builtinId="9" hidden="1"/>
    <cellStyle name="表示済みのハイパーリンク" xfId="5623" builtinId="9" hidden="1"/>
    <cellStyle name="表示済みのハイパーリンク" xfId="5625" builtinId="9" hidden="1"/>
    <cellStyle name="表示済みのハイパーリンク" xfId="5627" builtinId="9" hidden="1"/>
    <cellStyle name="表示済みのハイパーリンク" xfId="5629" builtinId="9" hidden="1"/>
    <cellStyle name="表示済みのハイパーリンク" xfId="5631" builtinId="9" hidden="1"/>
    <cellStyle name="表示済みのハイパーリンク" xfId="5633" builtinId="9" hidden="1"/>
    <cellStyle name="表示済みのハイパーリンク" xfId="5635" builtinId="9" hidden="1"/>
    <cellStyle name="表示済みのハイパーリンク" xfId="5637" builtinId="9" hidden="1"/>
    <cellStyle name="表示済みのハイパーリンク" xfId="5639" builtinId="9" hidden="1"/>
    <cellStyle name="表示済みのハイパーリンク" xfId="5641" builtinId="9" hidden="1"/>
    <cellStyle name="表示済みのハイパーリンク" xfId="5643" builtinId="9" hidden="1"/>
    <cellStyle name="表示済みのハイパーリンク" xfId="5645" builtinId="9" hidden="1"/>
    <cellStyle name="表示済みのハイパーリンク" xfId="5647" builtinId="9" hidden="1"/>
    <cellStyle name="表示済みのハイパーリンク" xfId="5649" builtinId="9" hidden="1"/>
    <cellStyle name="表示済みのハイパーリンク" xfId="5651" builtinId="9" hidden="1"/>
    <cellStyle name="表示済みのハイパーリンク" xfId="5653" builtinId="9" hidden="1"/>
    <cellStyle name="表示済みのハイパーリンク" xfId="5655" builtinId="9" hidden="1"/>
    <cellStyle name="表示済みのハイパーリンク" xfId="5657" builtinId="9" hidden="1"/>
    <cellStyle name="表示済みのハイパーリンク" xfId="5659" builtinId="9" hidden="1"/>
    <cellStyle name="表示済みのハイパーリンク" xfId="5661" builtinId="9" hidden="1"/>
    <cellStyle name="表示済みのハイパーリンク" xfId="5663" builtinId="9" hidden="1"/>
    <cellStyle name="表示済みのハイパーリンク" xfId="5665" builtinId="9" hidden="1"/>
    <cellStyle name="表示済みのハイパーリンク" xfId="5667" builtinId="9" hidden="1"/>
    <cellStyle name="表示済みのハイパーリンク" xfId="5669" builtinId="9" hidden="1"/>
    <cellStyle name="表示済みのハイパーリンク" xfId="5671" builtinId="9" hidden="1"/>
    <cellStyle name="表示済みのハイパーリンク" xfId="5673" builtinId="9" hidden="1"/>
    <cellStyle name="表示済みのハイパーリンク" xfId="5675" builtinId="9" hidden="1"/>
    <cellStyle name="表示済みのハイパーリンク" xfId="5677" builtinId="9" hidden="1"/>
    <cellStyle name="表示済みのハイパーリンク" xfId="5679" builtinId="9" hidden="1"/>
    <cellStyle name="表示済みのハイパーリンク" xfId="5681" builtinId="9" hidden="1"/>
    <cellStyle name="表示済みのハイパーリンク" xfId="5683" builtinId="9" hidden="1"/>
    <cellStyle name="表示済みのハイパーリンク" xfId="5685" builtinId="9" hidden="1"/>
    <cellStyle name="表示済みのハイパーリンク" xfId="5687" builtinId="9" hidden="1"/>
    <cellStyle name="表示済みのハイパーリンク" xfId="5689" builtinId="9" hidden="1"/>
    <cellStyle name="表示済みのハイパーリンク" xfId="5691" builtinId="9" hidden="1"/>
    <cellStyle name="表示済みのハイパーリンク" xfId="5693" builtinId="9" hidden="1"/>
    <cellStyle name="表示済みのハイパーリンク" xfId="5695" builtinId="9" hidden="1"/>
    <cellStyle name="表示済みのハイパーリンク" xfId="5697" builtinId="9" hidden="1"/>
    <cellStyle name="表示済みのハイパーリンク" xfId="5699" builtinId="9" hidden="1"/>
    <cellStyle name="表示済みのハイパーリンク" xfId="5701" builtinId="9" hidden="1"/>
    <cellStyle name="表示済みのハイパーリンク" xfId="5703" builtinId="9" hidden="1"/>
    <cellStyle name="表示済みのハイパーリンク" xfId="5705" builtinId="9" hidden="1"/>
    <cellStyle name="表示済みのハイパーリンク" xfId="5707" builtinId="9" hidden="1"/>
    <cellStyle name="表示済みのハイパーリンク" xfId="5709" builtinId="9" hidden="1"/>
    <cellStyle name="表示済みのハイパーリンク" xfId="5711" builtinId="9" hidden="1"/>
    <cellStyle name="表示済みのハイパーリンク" xfId="5713" builtinId="9" hidden="1"/>
    <cellStyle name="表示済みのハイパーリンク" xfId="5715" builtinId="9" hidden="1"/>
    <cellStyle name="表示済みのハイパーリンク" xfId="5717" builtinId="9" hidden="1"/>
    <cellStyle name="表示済みのハイパーリンク" xfId="5719" builtinId="9" hidden="1"/>
    <cellStyle name="表示済みのハイパーリンク" xfId="5721" builtinId="9" hidden="1"/>
    <cellStyle name="表示済みのハイパーリンク" xfId="5723" builtinId="9" hidden="1"/>
    <cellStyle name="表示済みのハイパーリンク" xfId="5725" builtinId="9" hidden="1"/>
    <cellStyle name="表示済みのハイパーリンク" xfId="5727" builtinId="9" hidden="1"/>
    <cellStyle name="表示済みのハイパーリンク" xfId="5729" builtinId="9" hidden="1"/>
    <cellStyle name="表示済みのハイパーリンク" xfId="5731" builtinId="9" hidden="1"/>
    <cellStyle name="表示済みのハイパーリンク" xfId="5733" builtinId="9" hidden="1"/>
    <cellStyle name="表示済みのハイパーリンク" xfId="5735" builtinId="9" hidden="1"/>
    <cellStyle name="表示済みのハイパーリンク" xfId="5737" builtinId="9" hidden="1"/>
    <cellStyle name="表示済みのハイパーリンク" xfId="5739" builtinId="9" hidden="1"/>
    <cellStyle name="表示済みのハイパーリンク" xfId="5741" builtinId="9" hidden="1"/>
    <cellStyle name="表示済みのハイパーリンク" xfId="5743" builtinId="9" hidden="1"/>
    <cellStyle name="表示済みのハイパーリンク" xfId="5745" builtinId="9" hidden="1"/>
    <cellStyle name="表示済みのハイパーリンク" xfId="5747" builtinId="9" hidden="1"/>
    <cellStyle name="表示済みのハイパーリンク" xfId="5749" builtinId="9" hidden="1"/>
    <cellStyle name="表示済みのハイパーリンク" xfId="5751" builtinId="9" hidden="1"/>
    <cellStyle name="表示済みのハイパーリンク" xfId="5753" builtinId="9" hidden="1"/>
    <cellStyle name="表示済みのハイパーリンク" xfId="5755" builtinId="9" hidden="1"/>
    <cellStyle name="表示済みのハイパーリンク" xfId="5757" builtinId="9" hidden="1"/>
    <cellStyle name="表示済みのハイパーリンク" xfId="5759" builtinId="9" hidden="1"/>
    <cellStyle name="表示済みのハイパーリンク" xfId="5761" builtinId="9" hidden="1"/>
    <cellStyle name="表示済みのハイパーリンク" xfId="5763" builtinId="9" hidden="1"/>
    <cellStyle name="表示済みのハイパーリンク" xfId="5765" builtinId="9" hidden="1"/>
    <cellStyle name="表示済みのハイパーリンク" xfId="5767" builtinId="9" hidden="1"/>
    <cellStyle name="表示済みのハイパーリンク" xfId="5769" builtinId="9" hidden="1"/>
    <cellStyle name="表示済みのハイパーリンク" xfId="5771" builtinId="9" hidden="1"/>
    <cellStyle name="表示済みのハイパーリンク" xfId="5773" builtinId="9" hidden="1"/>
    <cellStyle name="表示済みのハイパーリンク" xfId="5775" builtinId="9" hidden="1"/>
    <cellStyle name="表示済みのハイパーリンク" xfId="5777" builtinId="9" hidden="1"/>
    <cellStyle name="表示済みのハイパーリンク" xfId="5779" builtinId="9" hidden="1"/>
    <cellStyle name="表示済みのハイパーリンク" xfId="5781" builtinId="9" hidden="1"/>
    <cellStyle name="表示済みのハイパーリンク" xfId="5783" builtinId="9" hidden="1"/>
    <cellStyle name="表示済みのハイパーリンク" xfId="5785" builtinId="9" hidden="1"/>
    <cellStyle name="表示済みのハイパーリンク" xfId="5787" builtinId="9" hidden="1"/>
    <cellStyle name="表示済みのハイパーリンク" xfId="5789" builtinId="9" hidden="1"/>
    <cellStyle name="表示済みのハイパーリンク" xfId="5791" builtinId="9" hidden="1"/>
    <cellStyle name="表示済みのハイパーリンク" xfId="5793" builtinId="9" hidden="1"/>
    <cellStyle name="表示済みのハイパーリンク" xfId="5795" builtinId="9" hidden="1"/>
    <cellStyle name="表示済みのハイパーリンク" xfId="5797" builtinId="9" hidden="1"/>
    <cellStyle name="表示済みのハイパーリンク" xfId="5799" builtinId="9" hidden="1"/>
    <cellStyle name="表示済みのハイパーリンク" xfId="5801" builtinId="9" hidden="1"/>
    <cellStyle name="表示済みのハイパーリンク" xfId="5803" builtinId="9" hidden="1"/>
    <cellStyle name="表示済みのハイパーリンク" xfId="5805" builtinId="9" hidden="1"/>
    <cellStyle name="表示済みのハイパーリンク" xfId="5807" builtinId="9" hidden="1"/>
    <cellStyle name="表示済みのハイパーリンク" xfId="5809" builtinId="9" hidden="1"/>
    <cellStyle name="表示済みのハイパーリンク" xfId="5811" builtinId="9" hidden="1"/>
    <cellStyle name="表示済みのハイパーリンク" xfId="5813" builtinId="9" hidden="1"/>
    <cellStyle name="表示済みのハイパーリンク" xfId="5815" builtinId="9" hidden="1"/>
    <cellStyle name="表示済みのハイパーリンク" xfId="5817" builtinId="9" hidden="1"/>
    <cellStyle name="表示済みのハイパーリンク" xfId="5819" builtinId="9" hidden="1"/>
    <cellStyle name="表示済みのハイパーリンク" xfId="5821" builtinId="9" hidden="1"/>
    <cellStyle name="表示済みのハイパーリンク" xfId="5823" builtinId="9" hidden="1"/>
    <cellStyle name="表示済みのハイパーリンク" xfId="5825" builtinId="9" hidden="1"/>
    <cellStyle name="表示済みのハイパーリンク" xfId="5827" builtinId="9" hidden="1"/>
    <cellStyle name="表示済みのハイパーリンク" xfId="5829" builtinId="9" hidden="1"/>
    <cellStyle name="表示済みのハイパーリンク" xfId="5831" builtinId="9" hidden="1"/>
    <cellStyle name="表示済みのハイパーリンク" xfId="5833" builtinId="9" hidden="1"/>
    <cellStyle name="表示済みのハイパーリンク" xfId="5835" builtinId="9" hidden="1"/>
    <cellStyle name="表示済みのハイパーリンク" xfId="5837" builtinId="9" hidden="1"/>
    <cellStyle name="表示済みのハイパーリンク" xfId="5839" builtinId="9" hidden="1"/>
    <cellStyle name="表示済みのハイパーリンク" xfId="5841" builtinId="9" hidden="1"/>
    <cellStyle name="表示済みのハイパーリンク" xfId="5843" builtinId="9" hidden="1"/>
    <cellStyle name="表示済みのハイパーリンク" xfId="5845" builtinId="9" hidden="1"/>
    <cellStyle name="表示済みのハイパーリンク" xfId="5847" builtinId="9" hidden="1"/>
    <cellStyle name="表示済みのハイパーリンク" xfId="5849" builtinId="9" hidden="1"/>
    <cellStyle name="表示済みのハイパーリンク" xfId="5851" builtinId="9" hidden="1"/>
    <cellStyle name="表示済みのハイパーリンク" xfId="5853" builtinId="9" hidden="1"/>
    <cellStyle name="表示済みのハイパーリンク" xfId="5855" builtinId="9" hidden="1"/>
    <cellStyle name="表示済みのハイパーリンク" xfId="5857" builtinId="9" hidden="1"/>
    <cellStyle name="表示済みのハイパーリンク" xfId="5859" builtinId="9" hidden="1"/>
    <cellStyle name="表示済みのハイパーリンク" xfId="5861" builtinId="9" hidden="1"/>
    <cellStyle name="表示済みのハイパーリンク" xfId="5863" builtinId="9" hidden="1"/>
    <cellStyle name="表示済みのハイパーリンク" xfId="5865" builtinId="9" hidden="1"/>
    <cellStyle name="表示済みのハイパーリンク" xfId="5867" builtinId="9" hidden="1"/>
    <cellStyle name="表示済みのハイパーリンク" xfId="5869" builtinId="9" hidden="1"/>
    <cellStyle name="表示済みのハイパーリンク" xfId="5871" builtinId="9" hidden="1"/>
    <cellStyle name="表示済みのハイパーリンク" xfId="5873" builtinId="9" hidden="1"/>
    <cellStyle name="表示済みのハイパーリンク" xfId="5875" builtinId="9" hidden="1"/>
    <cellStyle name="表示済みのハイパーリンク" xfId="5877" builtinId="9" hidden="1"/>
    <cellStyle name="表示済みのハイパーリンク" xfId="5879" builtinId="9" hidden="1"/>
    <cellStyle name="表示済みのハイパーリンク" xfId="5881" builtinId="9" hidden="1"/>
    <cellStyle name="表示済みのハイパーリンク" xfId="5883" builtinId="9" hidden="1"/>
    <cellStyle name="表示済みのハイパーリンク" xfId="5885" builtinId="9" hidden="1"/>
    <cellStyle name="表示済みのハイパーリンク" xfId="5887" builtinId="9" hidden="1"/>
    <cellStyle name="表示済みのハイパーリンク" xfId="5889" builtinId="9" hidden="1"/>
    <cellStyle name="表示済みのハイパーリンク" xfId="5891" builtinId="9" hidden="1"/>
    <cellStyle name="表示済みのハイパーリンク" xfId="5893" builtinId="9" hidden="1"/>
    <cellStyle name="表示済みのハイパーリンク" xfId="5895" builtinId="9" hidden="1"/>
    <cellStyle name="表示済みのハイパーリンク" xfId="5897" builtinId="9" hidden="1"/>
    <cellStyle name="表示済みのハイパーリンク" xfId="5899" builtinId="9" hidden="1"/>
    <cellStyle name="表示済みのハイパーリンク" xfId="5901" builtinId="9" hidden="1"/>
    <cellStyle name="表示済みのハイパーリンク" xfId="5903" builtinId="9" hidden="1"/>
    <cellStyle name="表示済みのハイパーリンク" xfId="5905" builtinId="9" hidden="1"/>
    <cellStyle name="表示済みのハイパーリンク" xfId="5907" builtinId="9" hidden="1"/>
    <cellStyle name="表示済みのハイパーリンク" xfId="5909" builtinId="9" hidden="1"/>
    <cellStyle name="表示済みのハイパーリンク" xfId="5911" builtinId="9" hidden="1"/>
    <cellStyle name="表示済みのハイパーリンク" xfId="5913" builtinId="9" hidden="1"/>
    <cellStyle name="表示済みのハイパーリンク" xfId="5915" builtinId="9" hidden="1"/>
    <cellStyle name="表示済みのハイパーリンク" xfId="5917" builtinId="9" hidden="1"/>
    <cellStyle name="表示済みのハイパーリンク" xfId="5919" builtinId="9" hidden="1"/>
    <cellStyle name="表示済みのハイパーリンク" xfId="5921" builtinId="9" hidden="1"/>
    <cellStyle name="表示済みのハイパーリンク" xfId="5923" builtinId="9" hidden="1"/>
    <cellStyle name="表示済みのハイパーリンク" xfId="5925" builtinId="9" hidden="1"/>
    <cellStyle name="表示済みのハイパーリンク" xfId="5927" builtinId="9" hidden="1"/>
    <cellStyle name="表示済みのハイパーリンク" xfId="5929" builtinId="9" hidden="1"/>
    <cellStyle name="表示済みのハイパーリンク" xfId="5931" builtinId="9" hidden="1"/>
    <cellStyle name="表示済みのハイパーリンク" xfId="5933" builtinId="9" hidden="1"/>
    <cellStyle name="表示済みのハイパーリンク" xfId="5935" builtinId="9" hidden="1"/>
    <cellStyle name="表示済みのハイパーリンク" xfId="5937" builtinId="9" hidden="1"/>
    <cellStyle name="表示済みのハイパーリンク" xfId="5939" builtinId="9" hidden="1"/>
    <cellStyle name="表示済みのハイパーリンク" xfId="5941" builtinId="9" hidden="1"/>
    <cellStyle name="表示済みのハイパーリンク" xfId="5943" builtinId="9" hidden="1"/>
    <cellStyle name="表示済みのハイパーリンク" xfId="5945" builtinId="9" hidden="1"/>
    <cellStyle name="表示済みのハイパーリンク" xfId="5947" builtinId="9" hidden="1"/>
    <cellStyle name="表示済みのハイパーリンク" xfId="5949" builtinId="9" hidden="1"/>
    <cellStyle name="表示済みのハイパーリンク" xfId="5951" builtinId="9" hidden="1"/>
    <cellStyle name="表示済みのハイパーリンク" xfId="5953" builtinId="9" hidden="1"/>
    <cellStyle name="表示済みのハイパーリンク" xfId="5955" builtinId="9" hidden="1"/>
    <cellStyle name="表示済みのハイパーリンク" xfId="5957" builtinId="9" hidden="1"/>
    <cellStyle name="表示済みのハイパーリンク" xfId="5959" builtinId="9" hidden="1"/>
    <cellStyle name="表示済みのハイパーリンク" xfId="5961" builtinId="9" hidden="1"/>
    <cellStyle name="表示済みのハイパーリンク" xfId="5963" builtinId="9" hidden="1"/>
    <cellStyle name="表示済みのハイパーリンク" xfId="5965" builtinId="9" hidden="1"/>
    <cellStyle name="表示済みのハイパーリンク" xfId="5967" builtinId="9" hidden="1"/>
    <cellStyle name="表示済みのハイパーリンク" xfId="5969" builtinId="9" hidden="1"/>
    <cellStyle name="表示済みのハイパーリンク" xfId="5971" builtinId="9" hidden="1"/>
    <cellStyle name="表示済みのハイパーリンク" xfId="5973" builtinId="9" hidden="1"/>
    <cellStyle name="表示済みのハイパーリンク" xfId="5975" builtinId="9" hidden="1"/>
    <cellStyle name="表示済みのハイパーリンク" xfId="5977" builtinId="9" hidden="1"/>
    <cellStyle name="表示済みのハイパーリンク" xfId="5979" builtinId="9" hidden="1"/>
    <cellStyle name="表示済みのハイパーリンク" xfId="5981" builtinId="9" hidden="1"/>
    <cellStyle name="表示済みのハイパーリンク" xfId="5983" builtinId="9" hidden="1"/>
    <cellStyle name="表示済みのハイパーリンク" xfId="5985" builtinId="9" hidden="1"/>
    <cellStyle name="表示済みのハイパーリンク" xfId="5987" builtinId="9" hidden="1"/>
    <cellStyle name="表示済みのハイパーリンク" xfId="5989" builtinId="9" hidden="1"/>
    <cellStyle name="表示済みのハイパーリンク" xfId="5991" builtinId="9" hidden="1"/>
    <cellStyle name="表示済みのハイパーリンク" xfId="5993" builtinId="9" hidden="1"/>
    <cellStyle name="表示済みのハイパーリンク" xfId="5995" builtinId="9" hidden="1"/>
    <cellStyle name="表示済みのハイパーリンク" xfId="5997" builtinId="9" hidden="1"/>
    <cellStyle name="表示済みのハイパーリンク" xfId="5999" builtinId="9" hidden="1"/>
    <cellStyle name="表示済みのハイパーリンク" xfId="6001" builtinId="9" hidden="1"/>
    <cellStyle name="表示済みのハイパーリンク" xfId="6003" builtinId="9" hidden="1"/>
    <cellStyle name="表示済みのハイパーリンク" xfId="6005" builtinId="9" hidden="1"/>
    <cellStyle name="表示済みのハイパーリンク" xfId="6007" builtinId="9" hidden="1"/>
    <cellStyle name="表示済みのハイパーリンク" xfId="6009" builtinId="9" hidden="1"/>
    <cellStyle name="表示済みのハイパーリンク" xfId="6011" builtinId="9" hidden="1"/>
    <cellStyle name="表示済みのハイパーリンク" xfId="6013" builtinId="9" hidden="1"/>
    <cellStyle name="表示済みのハイパーリンク" xfId="6015" builtinId="9" hidden="1"/>
    <cellStyle name="表示済みのハイパーリンク" xfId="6017" builtinId="9" hidden="1"/>
    <cellStyle name="表示済みのハイパーリンク" xfId="6019" builtinId="9" hidden="1"/>
    <cellStyle name="表示済みのハイパーリンク" xfId="6021" builtinId="9" hidden="1"/>
    <cellStyle name="表示済みのハイパーリンク" xfId="6023" builtinId="9" hidden="1"/>
    <cellStyle name="表示済みのハイパーリンク" xfId="6025" builtinId="9" hidden="1"/>
    <cellStyle name="表示済みのハイパーリンク" xfId="6027" builtinId="9" hidden="1"/>
    <cellStyle name="表示済みのハイパーリンク" xfId="6029" builtinId="9" hidden="1"/>
    <cellStyle name="表示済みのハイパーリンク" xfId="6031" builtinId="9" hidden="1"/>
    <cellStyle name="表示済みのハイパーリンク" xfId="6033" builtinId="9" hidden="1"/>
    <cellStyle name="表示済みのハイパーリンク" xfId="6035" builtinId="9" hidden="1"/>
    <cellStyle name="表示済みのハイパーリンク" xfId="6037" builtinId="9" hidden="1"/>
    <cellStyle name="表示済みのハイパーリンク" xfId="6039" builtinId="9" hidden="1"/>
    <cellStyle name="表示済みのハイパーリンク" xfId="6041" builtinId="9" hidden="1"/>
    <cellStyle name="表示済みのハイパーリンク" xfId="6043" builtinId="9" hidden="1"/>
    <cellStyle name="表示済みのハイパーリンク" xfId="6045" builtinId="9" hidden="1"/>
    <cellStyle name="表示済みのハイパーリンク" xfId="6047" builtinId="9" hidden="1"/>
    <cellStyle name="表示済みのハイパーリンク" xfId="6049" builtinId="9" hidden="1"/>
    <cellStyle name="表示済みのハイパーリンク" xfId="6051" builtinId="9" hidden="1"/>
    <cellStyle name="表示済みのハイパーリンク" xfId="6053" builtinId="9" hidden="1"/>
    <cellStyle name="表示済みのハイパーリンク" xfId="6055" builtinId="9" hidden="1"/>
    <cellStyle name="表示済みのハイパーリンク" xfId="6057" builtinId="9" hidden="1"/>
    <cellStyle name="表示済みのハイパーリンク" xfId="6059" builtinId="9" hidden="1"/>
    <cellStyle name="表示済みのハイパーリンク" xfId="6061" builtinId="9" hidden="1"/>
    <cellStyle name="表示済みのハイパーリンク" xfId="6063" builtinId="9" hidden="1"/>
    <cellStyle name="表示済みのハイパーリンク" xfId="6065" builtinId="9" hidden="1"/>
    <cellStyle name="表示済みのハイパーリンク" xfId="6067" builtinId="9" hidden="1"/>
    <cellStyle name="表示済みのハイパーリンク" xfId="6069" builtinId="9" hidden="1"/>
    <cellStyle name="表示済みのハイパーリンク" xfId="6071" builtinId="9" hidden="1"/>
    <cellStyle name="表示済みのハイパーリンク" xfId="6073" builtinId="9" hidden="1"/>
    <cellStyle name="表示済みのハイパーリンク" xfId="6075" builtinId="9" hidden="1"/>
    <cellStyle name="表示済みのハイパーリンク" xfId="6077" builtinId="9" hidden="1"/>
    <cellStyle name="表示済みのハイパーリンク" xfId="6079" builtinId="9" hidden="1"/>
    <cellStyle name="表示済みのハイパーリンク" xfId="6081" builtinId="9" hidden="1"/>
    <cellStyle name="表示済みのハイパーリンク" xfId="6083" builtinId="9" hidden="1"/>
    <cellStyle name="表示済みのハイパーリンク" xfId="6085" builtinId="9" hidden="1"/>
    <cellStyle name="表示済みのハイパーリンク" xfId="6087" builtinId="9" hidden="1"/>
    <cellStyle name="表示済みのハイパーリンク" xfId="6089" builtinId="9" hidden="1"/>
    <cellStyle name="表示済みのハイパーリンク" xfId="6091" builtinId="9" hidden="1"/>
    <cellStyle name="表示済みのハイパーリンク" xfId="6093" builtinId="9" hidden="1"/>
    <cellStyle name="表示済みのハイパーリンク" xfId="6095" builtinId="9" hidden="1"/>
    <cellStyle name="表示済みのハイパーリンク" xfId="6097" builtinId="9" hidden="1"/>
    <cellStyle name="表示済みのハイパーリンク" xfId="6099" builtinId="9" hidden="1"/>
    <cellStyle name="表示済みのハイパーリンク" xfId="6101" builtinId="9" hidden="1"/>
    <cellStyle name="表示済みのハイパーリンク" xfId="6103" builtinId="9" hidden="1"/>
    <cellStyle name="表示済みのハイパーリンク" xfId="6105" builtinId="9" hidden="1"/>
    <cellStyle name="表示済みのハイパーリンク" xfId="6107" builtinId="9" hidden="1"/>
    <cellStyle name="表示済みのハイパーリンク" xfId="6109" builtinId="9" hidden="1"/>
    <cellStyle name="表示済みのハイパーリンク" xfId="6111" builtinId="9" hidden="1"/>
    <cellStyle name="表示済みのハイパーリンク" xfId="6113" builtinId="9" hidden="1"/>
    <cellStyle name="表示済みのハイパーリンク" xfId="6115" builtinId="9" hidden="1"/>
    <cellStyle name="表示済みのハイパーリンク" xfId="6117" builtinId="9" hidden="1"/>
    <cellStyle name="表示済みのハイパーリンク" xfId="6119" builtinId="9" hidden="1"/>
    <cellStyle name="表示済みのハイパーリンク" xfId="6121" builtinId="9" hidden="1"/>
    <cellStyle name="表示済みのハイパーリンク" xfId="6123" builtinId="9" hidden="1"/>
    <cellStyle name="表示済みのハイパーリンク" xfId="6125" builtinId="9" hidden="1"/>
    <cellStyle name="表示済みのハイパーリンク" xfId="6127" builtinId="9" hidden="1"/>
    <cellStyle name="表示済みのハイパーリンク" xfId="6129" builtinId="9" hidden="1"/>
    <cellStyle name="表示済みのハイパーリンク" xfId="6131" builtinId="9" hidden="1"/>
    <cellStyle name="表示済みのハイパーリンク" xfId="6133" builtinId="9" hidden="1"/>
    <cellStyle name="表示済みのハイパーリンク" xfId="6135" builtinId="9" hidden="1"/>
    <cellStyle name="表示済みのハイパーリンク" xfId="6137" builtinId="9" hidden="1"/>
    <cellStyle name="表示済みのハイパーリンク" xfId="6139" builtinId="9" hidden="1"/>
    <cellStyle name="表示済みのハイパーリンク" xfId="6141" builtinId="9" hidden="1"/>
    <cellStyle name="表示済みのハイパーリンク" xfId="6143" builtinId="9" hidden="1"/>
    <cellStyle name="表示済みのハイパーリンク" xfId="6145" builtinId="9" hidden="1"/>
    <cellStyle name="表示済みのハイパーリンク" xfId="6147" builtinId="9" hidden="1"/>
    <cellStyle name="表示済みのハイパーリンク" xfId="6149" builtinId="9" hidden="1"/>
    <cellStyle name="表示済みのハイパーリンク" xfId="6151" builtinId="9" hidden="1"/>
    <cellStyle name="表示済みのハイパーリンク" xfId="6153" builtinId="9" hidden="1"/>
    <cellStyle name="表示済みのハイパーリンク" xfId="6155" builtinId="9" hidden="1"/>
    <cellStyle name="表示済みのハイパーリンク" xfId="6157" builtinId="9" hidden="1"/>
    <cellStyle name="表示済みのハイパーリンク" xfId="6159" builtinId="9" hidden="1"/>
    <cellStyle name="表示済みのハイパーリンク" xfId="6161" builtinId="9" hidden="1"/>
    <cellStyle name="表示済みのハイパーリンク" xfId="6163" builtinId="9" hidden="1"/>
    <cellStyle name="表示済みのハイパーリンク" xfId="6165" builtinId="9" hidden="1"/>
    <cellStyle name="表示済みのハイパーリンク" xfId="6167" builtinId="9" hidden="1"/>
    <cellStyle name="表示済みのハイパーリンク" xfId="6169" builtinId="9" hidden="1"/>
    <cellStyle name="表示済みのハイパーリンク" xfId="6171" builtinId="9" hidden="1"/>
    <cellStyle name="表示済みのハイパーリンク" xfId="6173" builtinId="9" hidden="1"/>
    <cellStyle name="表示済みのハイパーリンク" xfId="6175" builtinId="9" hidden="1"/>
    <cellStyle name="表示済みのハイパーリンク" xfId="6177" builtinId="9" hidden="1"/>
    <cellStyle name="表示済みのハイパーリンク" xfId="6179" builtinId="9" hidden="1"/>
    <cellStyle name="表示済みのハイパーリンク" xfId="6181" builtinId="9" hidden="1"/>
    <cellStyle name="表示済みのハイパーリンク" xfId="6183" builtinId="9" hidden="1"/>
    <cellStyle name="表示済みのハイパーリンク" xfId="6185" builtinId="9" hidden="1"/>
    <cellStyle name="表示済みのハイパーリンク" xfId="6187" builtinId="9" hidden="1"/>
    <cellStyle name="表示済みのハイパーリンク" xfId="6189" builtinId="9" hidden="1"/>
    <cellStyle name="表示済みのハイパーリンク" xfId="6191" builtinId="9" hidden="1"/>
    <cellStyle name="表示済みのハイパーリンク" xfId="6193" builtinId="9" hidden="1"/>
    <cellStyle name="表示済みのハイパーリンク" xfId="6195" builtinId="9" hidden="1"/>
    <cellStyle name="表示済みのハイパーリンク" xfId="6197" builtinId="9" hidden="1"/>
    <cellStyle name="表示済みのハイパーリンク" xfId="6199" builtinId="9" hidden="1"/>
    <cellStyle name="表示済みのハイパーリンク" xfId="6201" builtinId="9" hidden="1"/>
    <cellStyle name="表示済みのハイパーリンク" xfId="6203" builtinId="9" hidden="1"/>
    <cellStyle name="表示済みのハイパーリンク" xfId="6205" builtinId="9" hidden="1"/>
    <cellStyle name="表示済みのハイパーリンク" xfId="6207" builtinId="9" hidden="1"/>
    <cellStyle name="表示済みのハイパーリンク" xfId="6209" builtinId="9" hidden="1"/>
    <cellStyle name="表示済みのハイパーリンク" xfId="6211" builtinId="9" hidden="1"/>
    <cellStyle name="表示済みのハイパーリンク" xfId="6213" builtinId="9" hidden="1"/>
    <cellStyle name="表示済みのハイパーリンク" xfId="6215" builtinId="9" hidden="1"/>
    <cellStyle name="表示済みのハイパーリンク" xfId="6217" builtinId="9" hidden="1"/>
    <cellStyle name="表示済みのハイパーリンク" xfId="6219" builtinId="9" hidden="1"/>
    <cellStyle name="表示済みのハイパーリンク" xfId="6221" builtinId="9" hidden="1"/>
    <cellStyle name="表示済みのハイパーリンク" xfId="6223" builtinId="9" hidden="1"/>
    <cellStyle name="表示済みのハイパーリンク" xfId="6225" builtinId="9" hidden="1"/>
    <cellStyle name="表示済みのハイパーリンク" xfId="6227" builtinId="9" hidden="1"/>
    <cellStyle name="表示済みのハイパーリンク" xfId="6229" builtinId="9" hidden="1"/>
    <cellStyle name="表示済みのハイパーリンク" xfId="6231" builtinId="9" hidden="1"/>
    <cellStyle name="表示済みのハイパーリンク" xfId="6233" builtinId="9" hidden="1"/>
    <cellStyle name="表示済みのハイパーリンク" xfId="6235" builtinId="9" hidden="1"/>
    <cellStyle name="表示済みのハイパーリンク" xfId="6237" builtinId="9" hidden="1"/>
    <cellStyle name="表示済みのハイパーリンク" xfId="6239" builtinId="9" hidden="1"/>
    <cellStyle name="表示済みのハイパーリンク" xfId="6241" builtinId="9" hidden="1"/>
    <cellStyle name="表示済みのハイパーリンク" xfId="6243" builtinId="9" hidden="1"/>
    <cellStyle name="表示済みのハイパーリンク" xfId="6245" builtinId="9" hidden="1"/>
    <cellStyle name="表示済みのハイパーリンク" xfId="6247" builtinId="9" hidden="1"/>
    <cellStyle name="表示済みのハイパーリンク" xfId="6249" builtinId="9" hidden="1"/>
    <cellStyle name="表示済みのハイパーリンク" xfId="6251" builtinId="9" hidden="1"/>
    <cellStyle name="表示済みのハイパーリンク" xfId="6253" builtinId="9" hidden="1"/>
    <cellStyle name="表示済みのハイパーリンク" xfId="6255" builtinId="9" hidden="1"/>
    <cellStyle name="表示済みのハイパーリンク" xfId="6257" builtinId="9" hidden="1"/>
    <cellStyle name="表示済みのハイパーリンク" xfId="6259" builtinId="9" hidden="1"/>
    <cellStyle name="表示済みのハイパーリンク" xfId="6261" builtinId="9" hidden="1"/>
    <cellStyle name="表示済みのハイパーリンク" xfId="6263" builtinId="9" hidden="1"/>
    <cellStyle name="表示済みのハイパーリンク" xfId="6265" builtinId="9" hidden="1"/>
    <cellStyle name="表示済みのハイパーリンク" xfId="6267" builtinId="9" hidden="1"/>
    <cellStyle name="表示済みのハイパーリンク" xfId="6269" builtinId="9" hidden="1"/>
    <cellStyle name="表示済みのハイパーリンク" xfId="6271" builtinId="9" hidden="1"/>
    <cellStyle name="表示済みのハイパーリンク" xfId="6273" builtinId="9" hidden="1"/>
    <cellStyle name="表示済みのハイパーリンク" xfId="6275" builtinId="9" hidden="1"/>
    <cellStyle name="表示済みのハイパーリンク" xfId="6277" builtinId="9" hidden="1"/>
    <cellStyle name="表示済みのハイパーリンク" xfId="6279" builtinId="9" hidden="1"/>
    <cellStyle name="表示済みのハイパーリンク" xfId="6281" builtinId="9" hidden="1"/>
    <cellStyle name="表示済みのハイパーリンク" xfId="6283" builtinId="9" hidden="1"/>
    <cellStyle name="表示済みのハイパーリンク" xfId="6285" builtinId="9" hidden="1"/>
    <cellStyle name="表示済みのハイパーリンク" xfId="6287" builtinId="9" hidden="1"/>
    <cellStyle name="表示済みのハイパーリンク" xfId="6289" builtinId="9" hidden="1"/>
    <cellStyle name="表示済みのハイパーリンク" xfId="6291" builtinId="9" hidden="1"/>
    <cellStyle name="表示済みのハイパーリンク" xfId="6293" builtinId="9" hidden="1"/>
    <cellStyle name="表示済みのハイパーリンク" xfId="6295" builtinId="9" hidden="1"/>
    <cellStyle name="表示済みのハイパーリンク" xfId="6297" builtinId="9" hidden="1"/>
    <cellStyle name="表示済みのハイパーリンク" xfId="6299" builtinId="9" hidden="1"/>
    <cellStyle name="表示済みのハイパーリンク" xfId="6301" builtinId="9" hidden="1"/>
    <cellStyle name="表示済みのハイパーリンク" xfId="6303" builtinId="9" hidden="1"/>
    <cellStyle name="表示済みのハイパーリンク" xfId="6305" builtinId="9" hidden="1"/>
    <cellStyle name="表示済みのハイパーリンク" xfId="6307" builtinId="9" hidden="1"/>
    <cellStyle name="表示済みのハイパーリンク" xfId="6309" builtinId="9" hidden="1"/>
    <cellStyle name="表示済みのハイパーリンク" xfId="6311" builtinId="9" hidden="1"/>
    <cellStyle name="表示済みのハイパーリンク" xfId="6313" builtinId="9" hidden="1"/>
    <cellStyle name="表示済みのハイパーリンク" xfId="6315" builtinId="9" hidden="1"/>
    <cellStyle name="表示済みのハイパーリンク" xfId="6317" builtinId="9" hidden="1"/>
    <cellStyle name="表示済みのハイパーリンク" xfId="6319" builtinId="9" hidden="1"/>
    <cellStyle name="表示済みのハイパーリンク" xfId="6321" builtinId="9" hidden="1"/>
    <cellStyle name="表示済みのハイパーリンク" xfId="6323" builtinId="9" hidden="1"/>
    <cellStyle name="表示済みのハイパーリンク" xfId="6325" builtinId="9" hidden="1"/>
    <cellStyle name="表示済みのハイパーリンク" xfId="6327" builtinId="9" hidden="1"/>
    <cellStyle name="表示済みのハイパーリンク" xfId="6329" builtinId="9" hidden="1"/>
    <cellStyle name="表示済みのハイパーリンク" xfId="6331" builtinId="9" hidden="1"/>
    <cellStyle name="表示済みのハイパーリンク" xfId="6333" builtinId="9" hidden="1"/>
    <cellStyle name="表示済みのハイパーリンク" xfId="6335" builtinId="9" hidden="1"/>
    <cellStyle name="表示済みのハイパーリンク" xfId="6337" builtinId="9" hidden="1"/>
    <cellStyle name="表示済みのハイパーリンク" xfId="6339" builtinId="9" hidden="1"/>
    <cellStyle name="表示済みのハイパーリンク" xfId="6341" builtinId="9" hidden="1"/>
    <cellStyle name="表示済みのハイパーリンク" xfId="6343" builtinId="9" hidden="1"/>
    <cellStyle name="表示済みのハイパーリンク" xfId="6345" builtinId="9" hidden="1"/>
    <cellStyle name="表示済みのハイパーリンク" xfId="6347" builtinId="9" hidden="1"/>
    <cellStyle name="表示済みのハイパーリンク" xfId="6349" builtinId="9" hidden="1"/>
    <cellStyle name="表示済みのハイパーリンク" xfId="6351" builtinId="9" hidden="1"/>
    <cellStyle name="表示済みのハイパーリンク" xfId="6353" builtinId="9" hidden="1"/>
    <cellStyle name="表示済みのハイパーリンク" xfId="6355" builtinId="9" hidden="1"/>
    <cellStyle name="表示済みのハイパーリンク" xfId="6357" builtinId="9" hidden="1"/>
    <cellStyle name="表示済みのハイパーリンク" xfId="6359" builtinId="9" hidden="1"/>
    <cellStyle name="表示済みのハイパーリンク" xfId="6361" builtinId="9" hidden="1"/>
    <cellStyle name="表示済みのハイパーリンク" xfId="6363" builtinId="9" hidden="1"/>
    <cellStyle name="表示済みのハイパーリンク" xfId="6365" builtinId="9" hidden="1"/>
    <cellStyle name="表示済みのハイパーリンク" xfId="6367" builtinId="9" hidden="1"/>
    <cellStyle name="表示済みのハイパーリンク" xfId="6369" builtinId="9" hidden="1"/>
    <cellStyle name="表示済みのハイパーリンク" xfId="6371" builtinId="9" hidden="1"/>
    <cellStyle name="表示済みのハイパーリンク" xfId="6373" builtinId="9" hidden="1"/>
    <cellStyle name="表示済みのハイパーリンク" xfId="6375" builtinId="9" hidden="1"/>
    <cellStyle name="表示済みのハイパーリンク" xfId="6377" builtinId="9" hidden="1"/>
    <cellStyle name="表示済みのハイパーリンク" xfId="6379" builtinId="9" hidden="1"/>
    <cellStyle name="表示済みのハイパーリンク" xfId="6381" builtinId="9" hidden="1"/>
    <cellStyle name="表示済みのハイパーリンク" xfId="6383" builtinId="9" hidden="1"/>
    <cellStyle name="表示済みのハイパーリンク" xfId="6385" builtinId="9" hidden="1"/>
    <cellStyle name="表示済みのハイパーリンク" xfId="6387" builtinId="9" hidden="1"/>
    <cellStyle name="表示済みのハイパーリンク" xfId="6389" builtinId="9" hidden="1"/>
    <cellStyle name="表示済みのハイパーリンク" xfId="6391" builtinId="9" hidden="1"/>
    <cellStyle name="表示済みのハイパーリンク" xfId="6393" builtinId="9" hidden="1"/>
    <cellStyle name="表示済みのハイパーリンク" xfId="6395" builtinId="9" hidden="1"/>
    <cellStyle name="表示済みのハイパーリンク" xfId="6397" builtinId="9" hidden="1"/>
    <cellStyle name="表示済みのハイパーリンク" xfId="6399" builtinId="9" hidden="1"/>
    <cellStyle name="表示済みのハイパーリンク" xfId="6401" builtinId="9" hidden="1"/>
    <cellStyle name="表示済みのハイパーリンク" xfId="6403" builtinId="9" hidden="1"/>
    <cellStyle name="表示済みのハイパーリンク" xfId="6405" builtinId="9" hidden="1"/>
    <cellStyle name="表示済みのハイパーリンク" xfId="6407" builtinId="9" hidden="1"/>
    <cellStyle name="表示済みのハイパーリンク" xfId="6409" builtinId="9" hidden="1"/>
    <cellStyle name="表示済みのハイパーリンク" xfId="6411" builtinId="9" hidden="1"/>
    <cellStyle name="表示済みのハイパーリンク" xfId="6413" builtinId="9" hidden="1"/>
    <cellStyle name="表示済みのハイパーリンク" xfId="6415" builtinId="9" hidden="1"/>
    <cellStyle name="表示済みのハイパーリンク" xfId="6417" builtinId="9" hidden="1"/>
    <cellStyle name="表示済みのハイパーリンク" xfId="6419" builtinId="9" hidden="1"/>
    <cellStyle name="表示済みのハイパーリンク" xfId="6421" builtinId="9" hidden="1"/>
    <cellStyle name="表示済みのハイパーリンク" xfId="6423" builtinId="9" hidden="1"/>
    <cellStyle name="表示済みのハイパーリンク" xfId="6425" builtinId="9" hidden="1"/>
    <cellStyle name="表示済みのハイパーリンク" xfId="6427" builtinId="9" hidden="1"/>
    <cellStyle name="表示済みのハイパーリンク" xfId="6429" builtinId="9" hidden="1"/>
    <cellStyle name="表示済みのハイパーリンク" xfId="6431" builtinId="9" hidden="1"/>
    <cellStyle name="表示済みのハイパーリンク" xfId="6433" builtinId="9" hidden="1"/>
    <cellStyle name="表示済みのハイパーリンク" xfId="6435" builtinId="9" hidden="1"/>
    <cellStyle name="表示済みのハイパーリンク" xfId="6437" builtinId="9" hidden="1"/>
    <cellStyle name="表示済みのハイパーリンク" xfId="6439" builtinId="9" hidden="1"/>
    <cellStyle name="表示済みのハイパーリンク" xfId="6441" builtinId="9" hidden="1"/>
    <cellStyle name="表示済みのハイパーリンク" xfId="6443" builtinId="9" hidden="1"/>
    <cellStyle name="表示済みのハイパーリンク" xfId="6445" builtinId="9" hidden="1"/>
    <cellStyle name="表示済みのハイパーリンク" xfId="6447" builtinId="9" hidden="1"/>
    <cellStyle name="表示済みのハイパーリンク" xfId="6449" builtinId="9" hidden="1"/>
    <cellStyle name="表示済みのハイパーリンク" xfId="6451" builtinId="9" hidden="1"/>
    <cellStyle name="表示済みのハイパーリンク" xfId="6453" builtinId="9" hidden="1"/>
    <cellStyle name="表示済みのハイパーリンク" xfId="6455" builtinId="9" hidden="1"/>
    <cellStyle name="表示済みのハイパーリンク" xfId="6457" builtinId="9" hidden="1"/>
    <cellStyle name="表示済みのハイパーリンク" xfId="6459" builtinId="9" hidden="1"/>
    <cellStyle name="表示済みのハイパーリンク" xfId="6461" builtinId="9" hidden="1"/>
    <cellStyle name="表示済みのハイパーリンク" xfId="6463" builtinId="9" hidden="1"/>
    <cellStyle name="表示済みのハイパーリンク" xfId="6465" builtinId="9" hidden="1"/>
    <cellStyle name="表示済みのハイパーリンク" xfId="6467" builtinId="9" hidden="1"/>
    <cellStyle name="表示済みのハイパーリンク" xfId="6469" builtinId="9" hidden="1"/>
    <cellStyle name="表示済みのハイパーリンク" xfId="6471" builtinId="9" hidden="1"/>
    <cellStyle name="表示済みのハイパーリンク" xfId="6473" builtinId="9" hidden="1"/>
    <cellStyle name="表示済みのハイパーリンク" xfId="6475" builtinId="9" hidden="1"/>
    <cellStyle name="表示済みのハイパーリンク" xfId="6477" builtinId="9" hidden="1"/>
    <cellStyle name="表示済みのハイパーリンク" xfId="6479" builtinId="9" hidden="1"/>
    <cellStyle name="表示済みのハイパーリンク" xfId="6481" builtinId="9" hidden="1"/>
    <cellStyle name="表示済みのハイパーリンク" xfId="6483" builtinId="9" hidden="1"/>
    <cellStyle name="表示済みのハイパーリンク" xfId="6485" builtinId="9" hidden="1"/>
    <cellStyle name="表示済みのハイパーリンク" xfId="6487" builtinId="9" hidden="1"/>
    <cellStyle name="表示済みのハイパーリンク" xfId="6489" builtinId="9" hidden="1"/>
    <cellStyle name="表示済みのハイパーリンク" xfId="6491" builtinId="9" hidden="1"/>
    <cellStyle name="表示済みのハイパーリンク" xfId="6493" builtinId="9" hidden="1"/>
    <cellStyle name="表示済みのハイパーリンク" xfId="6495" builtinId="9" hidden="1"/>
    <cellStyle name="表示済みのハイパーリンク" xfId="6497" builtinId="9" hidden="1"/>
    <cellStyle name="表示済みのハイパーリンク" xfId="6499" builtinId="9" hidden="1"/>
    <cellStyle name="表示済みのハイパーリンク" xfId="6501" builtinId="9" hidden="1"/>
    <cellStyle name="表示済みのハイパーリンク" xfId="6503" builtinId="9" hidden="1"/>
    <cellStyle name="表示済みのハイパーリンク" xfId="6505" builtinId="9" hidden="1"/>
    <cellStyle name="表示済みのハイパーリンク" xfId="6507" builtinId="9" hidden="1"/>
    <cellStyle name="表示済みのハイパーリンク" xfId="6509" builtinId="9" hidden="1"/>
    <cellStyle name="表示済みのハイパーリンク" xfId="6511" builtinId="9" hidden="1"/>
    <cellStyle name="表示済みのハイパーリンク" xfId="6513" builtinId="9" hidden="1"/>
    <cellStyle name="表示済みのハイパーリンク" xfId="6515" builtinId="9" hidden="1"/>
    <cellStyle name="表示済みのハイパーリンク" xfId="6517" builtinId="9" hidden="1"/>
    <cellStyle name="表示済みのハイパーリンク" xfId="6519" builtinId="9" hidden="1"/>
    <cellStyle name="表示済みのハイパーリンク" xfId="6521" builtinId="9" hidden="1"/>
    <cellStyle name="表示済みのハイパーリンク" xfId="6523" builtinId="9" hidden="1"/>
    <cellStyle name="表示済みのハイパーリンク" xfId="6525" builtinId="9" hidden="1"/>
    <cellStyle name="表示済みのハイパーリンク" xfId="6527" builtinId="9" hidden="1"/>
    <cellStyle name="表示済みのハイパーリンク" xfId="6529" builtinId="9" hidden="1"/>
    <cellStyle name="表示済みのハイパーリンク" xfId="6531" builtinId="9" hidden="1"/>
    <cellStyle name="表示済みのハイパーリンク" xfId="6533" builtinId="9" hidden="1"/>
    <cellStyle name="表示済みのハイパーリンク" xfId="6535" builtinId="9" hidden="1"/>
    <cellStyle name="表示済みのハイパーリンク" xfId="6537" builtinId="9" hidden="1"/>
    <cellStyle name="表示済みのハイパーリンク" xfId="6539" builtinId="9" hidden="1"/>
    <cellStyle name="表示済みのハイパーリンク" xfId="6541" builtinId="9" hidden="1"/>
    <cellStyle name="表示済みのハイパーリンク" xfId="6543" builtinId="9" hidden="1"/>
    <cellStyle name="表示済みのハイパーリンク" xfId="6545" builtinId="9" hidden="1"/>
    <cellStyle name="表示済みのハイパーリンク" xfId="6547" builtinId="9" hidden="1"/>
    <cellStyle name="表示済みのハイパーリンク" xfId="6549" builtinId="9" hidden="1"/>
    <cellStyle name="表示済みのハイパーリンク" xfId="6551" builtinId="9" hidden="1"/>
    <cellStyle name="表示済みのハイパーリンク" xfId="6553" builtinId="9" hidden="1"/>
    <cellStyle name="表示済みのハイパーリンク" xfId="6555" builtinId="9" hidden="1"/>
    <cellStyle name="表示済みのハイパーリンク" xfId="6557" builtinId="9" hidden="1"/>
    <cellStyle name="表示済みのハイパーリンク" xfId="6559" builtinId="9" hidden="1"/>
    <cellStyle name="表示済みのハイパーリンク" xfId="6561" builtinId="9" hidden="1"/>
    <cellStyle name="表示済みのハイパーリンク" xfId="6563" builtinId="9" hidden="1"/>
    <cellStyle name="表示済みのハイパーリンク" xfId="6565" builtinId="9" hidden="1"/>
    <cellStyle name="表示済みのハイパーリンク" xfId="6567" builtinId="9" hidden="1"/>
    <cellStyle name="表示済みのハイパーリンク" xfId="6569" builtinId="9" hidden="1"/>
    <cellStyle name="表示済みのハイパーリンク" xfId="6571" builtinId="9" hidden="1"/>
    <cellStyle name="表示済みのハイパーリンク" xfId="6573" builtinId="9" hidden="1"/>
    <cellStyle name="表示済みのハイパーリンク" xfId="6575" builtinId="9" hidden="1"/>
    <cellStyle name="表示済みのハイパーリンク" xfId="6577" builtinId="9" hidden="1"/>
    <cellStyle name="表示済みのハイパーリンク" xfId="6579" builtinId="9" hidden="1"/>
    <cellStyle name="表示済みのハイパーリンク" xfId="6581" builtinId="9" hidden="1"/>
    <cellStyle name="表示済みのハイパーリンク" xfId="6583" builtinId="9" hidden="1"/>
    <cellStyle name="表示済みのハイパーリンク" xfId="6585" builtinId="9" hidden="1"/>
    <cellStyle name="表示済みのハイパーリンク" xfId="6587" builtinId="9" hidden="1"/>
    <cellStyle name="表示済みのハイパーリンク" xfId="6589" builtinId="9" hidden="1"/>
    <cellStyle name="表示済みのハイパーリンク" xfId="6591" builtinId="9" hidden="1"/>
    <cellStyle name="表示済みのハイパーリンク" xfId="6593" builtinId="9" hidden="1"/>
    <cellStyle name="表示済みのハイパーリンク" xfId="6595" builtinId="9" hidden="1"/>
    <cellStyle name="表示済みのハイパーリンク" xfId="6597" builtinId="9" hidden="1"/>
    <cellStyle name="表示済みのハイパーリンク" xfId="6599" builtinId="9" hidden="1"/>
    <cellStyle name="表示済みのハイパーリンク" xfId="6601" builtinId="9" hidden="1"/>
    <cellStyle name="表示済みのハイパーリンク" xfId="6603" builtinId="9" hidden="1"/>
    <cellStyle name="表示済みのハイパーリンク" xfId="6605" builtinId="9" hidden="1"/>
    <cellStyle name="表示済みのハイパーリンク" xfId="6607" builtinId="9" hidden="1"/>
    <cellStyle name="表示済みのハイパーリンク" xfId="6609" builtinId="9" hidden="1"/>
    <cellStyle name="表示済みのハイパーリンク" xfId="6611" builtinId="9" hidden="1"/>
    <cellStyle name="表示済みのハイパーリンク" xfId="6613" builtinId="9" hidden="1"/>
    <cellStyle name="表示済みのハイパーリンク" xfId="6615" builtinId="9" hidden="1"/>
    <cellStyle name="表示済みのハイパーリンク" xfId="6617" builtinId="9" hidden="1"/>
    <cellStyle name="表示済みのハイパーリンク" xfId="6619" builtinId="9" hidden="1"/>
    <cellStyle name="表示済みのハイパーリンク" xfId="6621" builtinId="9" hidden="1"/>
    <cellStyle name="表示済みのハイパーリンク" xfId="6623" builtinId="9" hidden="1"/>
    <cellStyle name="表示済みのハイパーリンク" xfId="6625" builtinId="9" hidden="1"/>
    <cellStyle name="表示済みのハイパーリンク" xfId="6627" builtinId="9" hidden="1"/>
    <cellStyle name="表示済みのハイパーリンク" xfId="6629" builtinId="9" hidden="1"/>
    <cellStyle name="表示済みのハイパーリンク" xfId="6631" builtinId="9" hidden="1"/>
    <cellStyle name="表示済みのハイパーリンク" xfId="6633" builtinId="9" hidden="1"/>
    <cellStyle name="表示済みのハイパーリンク" xfId="6635" builtinId="9" hidden="1"/>
    <cellStyle name="表示済みのハイパーリンク" xfId="6637" builtinId="9" hidden="1"/>
    <cellStyle name="表示済みのハイパーリンク" xfId="6639" builtinId="9" hidden="1"/>
    <cellStyle name="表示済みのハイパーリンク" xfId="6641" builtinId="9" hidden="1"/>
    <cellStyle name="表示済みのハイパーリンク" xfId="6643" builtinId="9" hidden="1"/>
    <cellStyle name="表示済みのハイパーリンク" xfId="6645" builtinId="9" hidden="1"/>
    <cellStyle name="表示済みのハイパーリンク" xfId="6647" builtinId="9" hidden="1"/>
    <cellStyle name="表示済みのハイパーリンク" xfId="6649" builtinId="9" hidden="1"/>
    <cellStyle name="表示済みのハイパーリンク" xfId="6651" builtinId="9" hidden="1"/>
    <cellStyle name="表示済みのハイパーリンク" xfId="6653" builtinId="9" hidden="1"/>
    <cellStyle name="表示済みのハイパーリンク" xfId="6655" builtinId="9" hidden="1"/>
    <cellStyle name="表示済みのハイパーリンク" xfId="6657" builtinId="9" hidden="1"/>
    <cellStyle name="表示済みのハイパーリンク" xfId="6659" builtinId="9" hidden="1"/>
    <cellStyle name="表示済みのハイパーリンク" xfId="6661" builtinId="9" hidden="1"/>
    <cellStyle name="表示済みのハイパーリンク" xfId="6663" builtinId="9" hidden="1"/>
    <cellStyle name="表示済みのハイパーリンク" xfId="6665" builtinId="9" hidden="1"/>
    <cellStyle name="表示済みのハイパーリンク" xfId="6667" builtinId="9" hidden="1"/>
    <cellStyle name="表示済みのハイパーリンク" xfId="6669" builtinId="9" hidden="1"/>
    <cellStyle name="表示済みのハイパーリンク" xfId="6671" builtinId="9" hidden="1"/>
    <cellStyle name="表示済みのハイパーリンク" xfId="6673" builtinId="9" hidden="1"/>
    <cellStyle name="表示済みのハイパーリンク" xfId="6675" builtinId="9" hidden="1"/>
    <cellStyle name="表示済みのハイパーリンク" xfId="6677" builtinId="9" hidden="1"/>
    <cellStyle name="表示済みのハイパーリンク" xfId="6679" builtinId="9" hidden="1"/>
    <cellStyle name="表示済みのハイパーリンク" xfId="6681" builtinId="9" hidden="1"/>
    <cellStyle name="表示済みのハイパーリンク" xfId="6683" builtinId="9" hidden="1"/>
    <cellStyle name="表示済みのハイパーリンク" xfId="6685" builtinId="9" hidden="1"/>
    <cellStyle name="表示済みのハイパーリンク" xfId="6687" builtinId="9" hidden="1"/>
    <cellStyle name="表示済みのハイパーリンク" xfId="6689" builtinId="9" hidden="1"/>
    <cellStyle name="表示済みのハイパーリンク" xfId="6691" builtinId="9" hidden="1"/>
    <cellStyle name="表示済みのハイパーリンク" xfId="6693" builtinId="9" hidden="1"/>
    <cellStyle name="表示済みのハイパーリンク" xfId="6695" builtinId="9" hidden="1"/>
    <cellStyle name="表示済みのハイパーリンク" xfId="6697" builtinId="9" hidden="1"/>
    <cellStyle name="表示済みのハイパーリンク" xfId="6699" builtinId="9" hidden="1"/>
    <cellStyle name="表示済みのハイパーリンク" xfId="6701" builtinId="9" hidden="1"/>
    <cellStyle name="表示済みのハイパーリンク" xfId="6703" builtinId="9" hidden="1"/>
    <cellStyle name="表示済みのハイパーリンク" xfId="6705" builtinId="9" hidden="1"/>
    <cellStyle name="表示済みのハイパーリンク" xfId="6707" builtinId="9" hidden="1"/>
    <cellStyle name="表示済みのハイパーリンク" xfId="6709" builtinId="9" hidden="1"/>
    <cellStyle name="表示済みのハイパーリンク" xfId="6711" builtinId="9" hidden="1"/>
    <cellStyle name="表示済みのハイパーリンク" xfId="6713" builtinId="9" hidden="1"/>
    <cellStyle name="表示済みのハイパーリンク" xfId="6715" builtinId="9" hidden="1"/>
    <cellStyle name="表示済みのハイパーリンク" xfId="6717" builtinId="9" hidden="1"/>
    <cellStyle name="表示済みのハイパーリンク" xfId="6719" builtinId="9" hidden="1"/>
    <cellStyle name="表示済みのハイパーリンク" xfId="6721" builtinId="9" hidden="1"/>
    <cellStyle name="表示済みのハイパーリンク" xfId="6723" builtinId="9" hidden="1"/>
    <cellStyle name="表示済みのハイパーリンク" xfId="6725" builtinId="9" hidden="1"/>
    <cellStyle name="表示済みのハイパーリンク" xfId="6727" builtinId="9" hidden="1"/>
    <cellStyle name="表示済みのハイパーリンク" xfId="6729" builtinId="9" hidden="1"/>
    <cellStyle name="表示済みのハイパーリンク" xfId="6731" builtinId="9" hidden="1"/>
    <cellStyle name="表示済みのハイパーリンク" xfId="6733" builtinId="9" hidden="1"/>
    <cellStyle name="表示済みのハイパーリンク" xfId="6735" builtinId="9" hidden="1"/>
    <cellStyle name="表示済みのハイパーリンク" xfId="6737" builtinId="9" hidden="1"/>
    <cellStyle name="表示済みのハイパーリンク" xfId="6739" builtinId="9" hidden="1"/>
    <cellStyle name="表示済みのハイパーリンク" xfId="6741" builtinId="9" hidden="1"/>
    <cellStyle name="表示済みのハイパーリンク" xfId="6743" builtinId="9" hidden="1"/>
    <cellStyle name="表示済みのハイパーリンク" xfId="6745" builtinId="9" hidden="1"/>
    <cellStyle name="表示済みのハイパーリンク" xfId="6747" builtinId="9" hidden="1"/>
    <cellStyle name="表示済みのハイパーリンク" xfId="6749" builtinId="9" hidden="1"/>
    <cellStyle name="表示済みのハイパーリンク" xfId="6751" builtinId="9" hidden="1"/>
    <cellStyle name="表示済みのハイパーリンク" xfId="6753" builtinId="9" hidden="1"/>
    <cellStyle name="表示済みのハイパーリンク" xfId="6755" builtinId="9" hidden="1"/>
    <cellStyle name="表示済みのハイパーリンク" xfId="6757" builtinId="9" hidden="1"/>
    <cellStyle name="表示済みのハイパーリンク" xfId="6759" builtinId="9" hidden="1"/>
    <cellStyle name="表示済みのハイパーリンク" xfId="6761" builtinId="9" hidden="1"/>
    <cellStyle name="表示済みのハイパーリンク" xfId="6763" builtinId="9" hidden="1"/>
    <cellStyle name="表示済みのハイパーリンク" xfId="6765" builtinId="9" hidden="1"/>
    <cellStyle name="表示済みのハイパーリンク" xfId="6767" builtinId="9" hidden="1"/>
    <cellStyle name="表示済みのハイパーリンク" xfId="6769" builtinId="9" hidden="1"/>
    <cellStyle name="表示済みのハイパーリンク" xfId="6771" builtinId="9" hidden="1"/>
    <cellStyle name="表示済みのハイパーリンク" xfId="6773" builtinId="9" hidden="1"/>
    <cellStyle name="表示済みのハイパーリンク" xfId="6775" builtinId="9" hidden="1"/>
    <cellStyle name="表示済みのハイパーリンク" xfId="6777" builtinId="9" hidden="1"/>
    <cellStyle name="表示済みのハイパーリンク" xfId="6779" builtinId="9" hidden="1"/>
    <cellStyle name="表示済みのハイパーリンク" xfId="6781" builtinId="9" hidden="1"/>
    <cellStyle name="表示済みのハイパーリンク" xfId="6783" builtinId="9" hidden="1"/>
    <cellStyle name="表示済みのハイパーリンク" xfId="6785" builtinId="9" hidden="1"/>
    <cellStyle name="表示済みのハイパーリンク" xfId="6787" builtinId="9" hidden="1"/>
    <cellStyle name="表示済みのハイパーリンク" xfId="6789" builtinId="9" hidden="1"/>
    <cellStyle name="表示済みのハイパーリンク" xfId="6791" builtinId="9" hidden="1"/>
    <cellStyle name="表示済みのハイパーリンク" xfId="6793" builtinId="9" hidden="1"/>
    <cellStyle name="表示済みのハイパーリンク" xfId="6795" builtinId="9" hidden="1"/>
    <cellStyle name="表示済みのハイパーリンク" xfId="6797" builtinId="9" hidden="1"/>
    <cellStyle name="表示済みのハイパーリンク" xfId="6799" builtinId="9" hidden="1"/>
    <cellStyle name="表示済みのハイパーリンク" xfId="6801" builtinId="9" hidden="1"/>
    <cellStyle name="表示済みのハイパーリンク" xfId="6803" builtinId="9" hidden="1"/>
    <cellStyle name="表示済みのハイパーリンク" xfId="6805" builtinId="9" hidden="1"/>
    <cellStyle name="表示済みのハイパーリンク" xfId="6807" builtinId="9" hidden="1"/>
    <cellStyle name="表示済みのハイパーリンク" xfId="6809" builtinId="9" hidden="1"/>
    <cellStyle name="表示済みのハイパーリンク" xfId="6811" builtinId="9" hidden="1"/>
    <cellStyle name="表示済みのハイパーリンク" xfId="6813" builtinId="9" hidden="1"/>
    <cellStyle name="表示済みのハイパーリンク" xfId="6815" builtinId="9" hidden="1"/>
    <cellStyle name="表示済みのハイパーリンク" xfId="6817" builtinId="9" hidden="1"/>
    <cellStyle name="表示済みのハイパーリンク" xfId="6819" builtinId="9" hidden="1"/>
    <cellStyle name="表示済みのハイパーリンク" xfId="6821" builtinId="9" hidden="1"/>
    <cellStyle name="表示済みのハイパーリンク" xfId="6823" builtinId="9" hidden="1"/>
    <cellStyle name="表示済みのハイパーリンク" xfId="6825" builtinId="9" hidden="1"/>
    <cellStyle name="表示済みのハイパーリンク" xfId="6827" builtinId="9" hidden="1"/>
    <cellStyle name="表示済みのハイパーリンク" xfId="6829" builtinId="9" hidden="1"/>
    <cellStyle name="表示済みのハイパーリンク" xfId="6831" builtinId="9" hidden="1"/>
    <cellStyle name="表示済みのハイパーリンク" xfId="6833" builtinId="9" hidden="1"/>
    <cellStyle name="表示済みのハイパーリンク" xfId="6835" builtinId="9" hidden="1"/>
    <cellStyle name="表示済みのハイパーリンク" xfId="6837" builtinId="9" hidden="1"/>
    <cellStyle name="表示済みのハイパーリンク" xfId="6839" builtinId="9" hidden="1"/>
    <cellStyle name="表示済みのハイパーリンク" xfId="6841" builtinId="9" hidden="1"/>
    <cellStyle name="表示済みのハイパーリンク" xfId="6843" builtinId="9" hidden="1"/>
    <cellStyle name="表示済みのハイパーリンク" xfId="6845" builtinId="9" hidden="1"/>
    <cellStyle name="表示済みのハイパーリンク" xfId="6847" builtinId="9" hidden="1"/>
    <cellStyle name="表示済みのハイパーリンク" xfId="6849" builtinId="9" hidden="1"/>
    <cellStyle name="表示済みのハイパーリンク" xfId="6851" builtinId="9" hidden="1"/>
    <cellStyle name="表示済みのハイパーリンク" xfId="6853" builtinId="9" hidden="1"/>
    <cellStyle name="表示済みのハイパーリンク" xfId="6855" builtinId="9" hidden="1"/>
    <cellStyle name="表示済みのハイパーリンク" xfId="6857" builtinId="9" hidden="1"/>
    <cellStyle name="表示済みのハイパーリンク" xfId="6859" builtinId="9" hidden="1"/>
    <cellStyle name="表示済みのハイパーリンク" xfId="6861" builtinId="9" hidden="1"/>
    <cellStyle name="表示済みのハイパーリンク" xfId="6863" builtinId="9" hidden="1"/>
    <cellStyle name="表示済みのハイパーリンク" xfId="6865" builtinId="9" hidden="1"/>
    <cellStyle name="表示済みのハイパーリンク" xfId="6867" builtinId="9" hidden="1"/>
    <cellStyle name="表示済みのハイパーリンク" xfId="6869" builtinId="9" hidden="1"/>
    <cellStyle name="表示済みのハイパーリンク" xfId="6871" builtinId="9" hidden="1"/>
    <cellStyle name="表示済みのハイパーリンク" xfId="6873" builtinId="9" hidden="1"/>
    <cellStyle name="表示済みのハイパーリンク" xfId="6875" builtinId="9" hidden="1"/>
    <cellStyle name="表示済みのハイパーリンク" xfId="6877" builtinId="9" hidden="1"/>
    <cellStyle name="表示済みのハイパーリンク" xfId="6879" builtinId="9" hidden="1"/>
    <cellStyle name="表示済みのハイパーリンク" xfId="6881" builtinId="9" hidden="1"/>
    <cellStyle name="表示済みのハイパーリンク" xfId="6883" builtinId="9" hidden="1"/>
    <cellStyle name="表示済みのハイパーリンク" xfId="6885" builtinId="9" hidden="1"/>
    <cellStyle name="表示済みのハイパーリンク" xfId="6887" builtinId="9" hidden="1"/>
    <cellStyle name="表示済みのハイパーリンク" xfId="6889" builtinId="9" hidden="1"/>
    <cellStyle name="表示済みのハイパーリンク" xfId="6891" builtinId="9" hidden="1"/>
    <cellStyle name="表示済みのハイパーリンク" xfId="6893" builtinId="9" hidden="1"/>
    <cellStyle name="表示済みのハイパーリンク" xfId="6895" builtinId="9" hidden="1"/>
    <cellStyle name="表示済みのハイパーリンク" xfId="6897" builtinId="9" hidden="1"/>
    <cellStyle name="表示済みのハイパーリンク" xfId="6899" builtinId="9" hidden="1"/>
    <cellStyle name="表示済みのハイパーリンク" xfId="6901" builtinId="9" hidden="1"/>
    <cellStyle name="表示済みのハイパーリンク" xfId="6903" builtinId="9" hidden="1"/>
    <cellStyle name="表示済みのハイパーリンク" xfId="6905" builtinId="9" hidden="1"/>
    <cellStyle name="表示済みのハイパーリンク" xfId="6907" builtinId="9" hidden="1"/>
    <cellStyle name="表示済みのハイパーリンク" xfId="6909" builtinId="9" hidden="1"/>
    <cellStyle name="表示済みのハイパーリンク" xfId="6911" builtinId="9" hidden="1"/>
    <cellStyle name="表示済みのハイパーリンク" xfId="6913" builtinId="9" hidden="1"/>
    <cellStyle name="表示済みのハイパーリンク" xfId="6915" builtinId="9" hidden="1"/>
    <cellStyle name="表示済みのハイパーリンク" xfId="6917" builtinId="9" hidden="1"/>
    <cellStyle name="表示済みのハイパーリンク" xfId="6919" builtinId="9" hidden="1"/>
    <cellStyle name="表示済みのハイパーリンク" xfId="6921" builtinId="9" hidden="1"/>
    <cellStyle name="表示済みのハイパーリンク" xfId="6923" builtinId="9" hidden="1"/>
    <cellStyle name="表示済みのハイパーリンク" xfId="6925" builtinId="9" hidden="1"/>
    <cellStyle name="表示済みのハイパーリンク" xfId="6927" builtinId="9" hidden="1"/>
    <cellStyle name="表示済みのハイパーリンク" xfId="6929" builtinId="9" hidden="1"/>
    <cellStyle name="表示済みのハイパーリンク" xfId="6931" builtinId="9" hidden="1"/>
    <cellStyle name="表示済みのハイパーリンク" xfId="6933" builtinId="9" hidden="1"/>
    <cellStyle name="表示済みのハイパーリンク" xfId="6935" builtinId="9" hidden="1"/>
    <cellStyle name="表示済みのハイパーリンク" xfId="6937" builtinId="9" hidden="1"/>
    <cellStyle name="表示済みのハイパーリンク" xfId="6939" builtinId="9" hidden="1"/>
    <cellStyle name="表示済みのハイパーリンク" xfId="6941" builtinId="9" hidden="1"/>
    <cellStyle name="表示済みのハイパーリンク" xfId="6943" builtinId="9" hidden="1"/>
    <cellStyle name="表示済みのハイパーリンク" xfId="6945" builtinId="9" hidden="1"/>
    <cellStyle name="表示済みのハイパーリンク" xfId="6947" builtinId="9" hidden="1"/>
    <cellStyle name="表示済みのハイパーリンク" xfId="6949" builtinId="9" hidden="1"/>
    <cellStyle name="表示済みのハイパーリンク" xfId="6951" builtinId="9" hidden="1"/>
    <cellStyle name="表示済みのハイパーリンク" xfId="6953" builtinId="9" hidden="1"/>
    <cellStyle name="表示済みのハイパーリンク" xfId="6955" builtinId="9" hidden="1"/>
    <cellStyle name="表示済みのハイパーリンク" xfId="6957" builtinId="9" hidden="1"/>
    <cellStyle name="表示済みのハイパーリンク" xfId="6959" builtinId="9" hidden="1"/>
    <cellStyle name="表示済みのハイパーリンク" xfId="6961" builtinId="9" hidden="1"/>
    <cellStyle name="表示済みのハイパーリンク" xfId="6963" builtinId="9" hidden="1"/>
    <cellStyle name="表示済みのハイパーリンク" xfId="6965" builtinId="9" hidden="1"/>
    <cellStyle name="表示済みのハイパーリンク" xfId="6967" builtinId="9" hidden="1"/>
    <cellStyle name="表示済みのハイパーリンク" xfId="6973" builtinId="9" hidden="1"/>
    <cellStyle name="表示済みのハイパーリンク" xfId="6975" builtinId="9" hidden="1"/>
    <cellStyle name="表示済みのハイパーリンク" xfId="6977" builtinId="9" hidden="1"/>
    <cellStyle name="表示済みのハイパーリンク" xfId="6979" builtinId="9" hidden="1"/>
    <cellStyle name="表示済みのハイパーリンク" xfId="6981" builtinId="9" hidden="1"/>
    <cellStyle name="表示済みのハイパーリンク" xfId="6983" builtinId="9" hidden="1"/>
    <cellStyle name="表示済みのハイパーリンク" xfId="6985" builtinId="9" hidden="1"/>
    <cellStyle name="表示済みのハイパーリンク" xfId="6987" builtinId="9" hidden="1"/>
    <cellStyle name="表示済みのハイパーリンク" xfId="6989" builtinId="9" hidden="1"/>
    <cellStyle name="表示済みのハイパーリンク" xfId="6991" builtinId="9" hidden="1"/>
    <cellStyle name="表示済みのハイパーリンク" xfId="6993" builtinId="9" hidden="1"/>
    <cellStyle name="表示済みのハイパーリンク" xfId="6995" builtinId="9" hidden="1"/>
    <cellStyle name="表示済みのハイパーリンク" xfId="6997" builtinId="9" hidden="1"/>
    <cellStyle name="表示済みのハイパーリンク" xfId="6999" builtinId="9" hidden="1"/>
    <cellStyle name="表示済みのハイパーリンク" xfId="7001" builtinId="9" hidden="1"/>
    <cellStyle name="表示済みのハイパーリンク" xfId="7003" builtinId="9" hidden="1"/>
    <cellStyle name="表示済みのハイパーリンク" xfId="7005" builtinId="9" hidden="1"/>
    <cellStyle name="表示済みのハイパーリンク" xfId="7007" builtinId="9" hidden="1"/>
    <cellStyle name="表示済みのハイパーリンク" xfId="7009" builtinId="9" hidden="1"/>
    <cellStyle name="表示済みのハイパーリンク" xfId="7011" builtinId="9" hidden="1"/>
    <cellStyle name="表示済みのハイパーリンク" xfId="7013" builtinId="9" hidden="1"/>
    <cellStyle name="表示済みのハイパーリンク" xfId="7015" builtinId="9" hidden="1"/>
    <cellStyle name="表示済みのハイパーリンク" xfId="7017" builtinId="9" hidden="1"/>
    <cellStyle name="表示済みのハイパーリンク" xfId="7019" builtinId="9" hidden="1"/>
    <cellStyle name="表示済みのハイパーリンク" xfId="7021" builtinId="9" hidden="1"/>
    <cellStyle name="表示済みのハイパーリンク" xfId="7023" builtinId="9" hidden="1"/>
    <cellStyle name="表示済みのハイパーリンク" xfId="7025" builtinId="9" hidden="1"/>
    <cellStyle name="表示済みのハイパーリンク" xfId="7027" builtinId="9" hidden="1"/>
    <cellStyle name="表示済みのハイパーリンク" xfId="7029" builtinId="9" hidden="1"/>
    <cellStyle name="表示済みのハイパーリンク" xfId="7031" builtinId="9" hidden="1"/>
    <cellStyle name="表示済みのハイパーリンク" xfId="7033" builtinId="9" hidden="1"/>
    <cellStyle name="表示済みのハイパーリンク" xfId="7035" builtinId="9" hidden="1"/>
    <cellStyle name="表示済みのハイパーリンク" xfId="7037" builtinId="9" hidden="1"/>
    <cellStyle name="表示済みのハイパーリンク" xfId="7039" builtinId="9" hidden="1"/>
    <cellStyle name="表示済みのハイパーリンク" xfId="7041" builtinId="9" hidden="1"/>
    <cellStyle name="表示済みのハイパーリンク" xfId="7043" builtinId="9" hidden="1"/>
    <cellStyle name="表示済みのハイパーリンク" xfId="7045" builtinId="9" hidden="1"/>
    <cellStyle name="表示済みのハイパーリンク" xfId="7047" builtinId="9" hidden="1"/>
    <cellStyle name="表示済みのハイパーリンク" xfId="7049" builtinId="9" hidden="1"/>
    <cellStyle name="表示済みのハイパーリンク" xfId="7051" builtinId="9" hidden="1"/>
    <cellStyle name="表示済みのハイパーリンク" xfId="7053" builtinId="9" hidden="1"/>
    <cellStyle name="表示済みのハイパーリンク" xfId="7055" builtinId="9" hidden="1"/>
    <cellStyle name="表示済みのハイパーリンク" xfId="7057" builtinId="9" hidden="1"/>
    <cellStyle name="表示済みのハイパーリンク" xfId="7059" builtinId="9" hidden="1"/>
    <cellStyle name="表示済みのハイパーリンク" xfId="7061" builtinId="9" hidden="1"/>
    <cellStyle name="表示済みのハイパーリンク" xfId="7063" builtinId="9" hidden="1"/>
    <cellStyle name="表示済みのハイパーリンク" xfId="7065" builtinId="9" hidden="1"/>
    <cellStyle name="表示済みのハイパーリンク" xfId="7067" builtinId="9" hidden="1"/>
    <cellStyle name="表示済みのハイパーリンク" xfId="7069" builtinId="9" hidden="1"/>
    <cellStyle name="表示済みのハイパーリンク" xfId="7071" builtinId="9" hidden="1"/>
    <cellStyle name="表示済みのハイパーリンク" xfId="7073" builtinId="9" hidden="1"/>
    <cellStyle name="表示済みのハイパーリンク" xfId="7075" builtinId="9" hidden="1"/>
    <cellStyle name="表示済みのハイパーリンク" xfId="7077" builtinId="9" hidden="1"/>
    <cellStyle name="表示済みのハイパーリンク" xfId="7079" builtinId="9" hidden="1"/>
    <cellStyle name="表示済みのハイパーリンク" xfId="7081" builtinId="9" hidden="1"/>
    <cellStyle name="表示済みのハイパーリンク" xfId="7083" builtinId="9" hidden="1"/>
    <cellStyle name="表示済みのハイパーリンク" xfId="7085" builtinId="9" hidden="1"/>
    <cellStyle name="表示済みのハイパーリンク" xfId="7087" builtinId="9" hidden="1"/>
    <cellStyle name="表示済みのハイパーリンク" xfId="7089" builtinId="9" hidden="1"/>
    <cellStyle name="表示済みのハイパーリンク" xfId="7091" builtinId="9" hidden="1"/>
    <cellStyle name="表示済みのハイパーリンク" xfId="7093" builtinId="9" hidden="1"/>
    <cellStyle name="表示済みのハイパーリンク" xfId="7095" builtinId="9" hidden="1"/>
    <cellStyle name="表示済みのハイパーリンク" xfId="7097" builtinId="9" hidden="1"/>
    <cellStyle name="表示済みのハイパーリンク" xfId="7099" builtinId="9" hidden="1"/>
    <cellStyle name="表示済みのハイパーリンク" xfId="7101" builtinId="9" hidden="1"/>
    <cellStyle name="表示済みのハイパーリンク" xfId="7103" builtinId="9" hidden="1"/>
    <cellStyle name="表示済みのハイパーリンク" xfId="7105" builtinId="9" hidden="1"/>
    <cellStyle name="表示済みのハイパーリンク" xfId="7107" builtinId="9" hidden="1"/>
    <cellStyle name="表示済みのハイパーリンク" xfId="7109" builtinId="9" hidden="1"/>
    <cellStyle name="表示済みのハイパーリンク" xfId="7111" builtinId="9" hidden="1"/>
    <cellStyle name="表示済みのハイパーリンク" xfId="7113" builtinId="9" hidden="1"/>
    <cellStyle name="表示済みのハイパーリンク" xfId="7115" builtinId="9" hidden="1"/>
    <cellStyle name="表示済みのハイパーリンク" xfId="7117" builtinId="9" hidden="1"/>
    <cellStyle name="表示済みのハイパーリンク" xfId="7119" builtinId="9" hidden="1"/>
    <cellStyle name="表示済みのハイパーリンク" xfId="7121" builtinId="9" hidden="1"/>
    <cellStyle name="表示済みのハイパーリンク" xfId="7123" builtinId="9" hidden="1"/>
    <cellStyle name="表示済みのハイパーリンク" xfId="7125" builtinId="9" hidden="1"/>
    <cellStyle name="表示済みのハイパーリンク" xfId="7127" builtinId="9" hidden="1"/>
    <cellStyle name="表示済みのハイパーリンク" xfId="7129" builtinId="9" hidden="1"/>
    <cellStyle name="表示済みのハイパーリンク" xfId="7131" builtinId="9" hidden="1"/>
    <cellStyle name="表示済みのハイパーリンク" xfId="7133" builtinId="9" hidden="1"/>
    <cellStyle name="表示済みのハイパーリンク" xfId="7135" builtinId="9" hidden="1"/>
    <cellStyle name="表示済みのハイパーリンク" xfId="7137" builtinId="9" hidden="1"/>
    <cellStyle name="表示済みのハイパーリンク" xfId="7139" builtinId="9" hidden="1"/>
    <cellStyle name="表示済みのハイパーリンク" xfId="7141" builtinId="9" hidden="1"/>
    <cellStyle name="表示済みのハイパーリンク" xfId="7143" builtinId="9" hidden="1"/>
    <cellStyle name="表示済みのハイパーリンク" xfId="7145" builtinId="9" hidden="1"/>
    <cellStyle name="表示済みのハイパーリンク" xfId="7147" builtinId="9" hidden="1"/>
    <cellStyle name="表示済みのハイパーリンク" xfId="7149" builtinId="9" hidden="1"/>
    <cellStyle name="表示済みのハイパーリンク" xfId="7151" builtinId="9" hidden="1"/>
    <cellStyle name="表示済みのハイパーリンク" xfId="7153" builtinId="9" hidden="1"/>
    <cellStyle name="表示済みのハイパーリンク" xfId="7155" builtinId="9" hidden="1"/>
    <cellStyle name="表示済みのハイパーリンク" xfId="7157" builtinId="9" hidden="1"/>
    <cellStyle name="表示済みのハイパーリンク" xfId="7159" builtinId="9" hidden="1"/>
    <cellStyle name="表示済みのハイパーリンク" xfId="7161" builtinId="9" hidden="1"/>
    <cellStyle name="表示済みのハイパーリンク" xfId="7163" builtinId="9" hidden="1"/>
    <cellStyle name="表示済みのハイパーリンク" xfId="7165" builtinId="9" hidden="1"/>
    <cellStyle name="表示済みのハイパーリンク" xfId="7167" builtinId="9" hidden="1"/>
    <cellStyle name="表示済みのハイパーリンク" xfId="7169" builtinId="9" hidden="1"/>
    <cellStyle name="表示済みのハイパーリンク" xfId="7171" builtinId="9" hidden="1"/>
    <cellStyle name="表示済みのハイパーリンク" xfId="7173" builtinId="9" hidden="1"/>
    <cellStyle name="表示済みのハイパーリンク" xfId="7175" builtinId="9" hidden="1"/>
    <cellStyle name="表示済みのハイパーリンク" xfId="7177" builtinId="9" hidden="1"/>
    <cellStyle name="表示済みのハイパーリンク" xfId="7179" builtinId="9" hidden="1"/>
    <cellStyle name="表示済みのハイパーリンク" xfId="7181" builtinId="9" hidden="1"/>
    <cellStyle name="表示済みのハイパーリンク" xfId="7183" builtinId="9" hidden="1"/>
    <cellStyle name="表示済みのハイパーリンク" xfId="7185" builtinId="9" hidden="1"/>
    <cellStyle name="表示済みのハイパーリンク" xfId="7187" builtinId="9" hidden="1"/>
    <cellStyle name="表示済みのハイパーリンク" xfId="7189" builtinId="9" hidden="1"/>
    <cellStyle name="表示済みのハイパーリンク" xfId="7191" builtinId="9" hidden="1"/>
    <cellStyle name="表示済みのハイパーリンク" xfId="7193" builtinId="9" hidden="1"/>
    <cellStyle name="表示済みのハイパーリンク" xfId="7195" builtinId="9" hidden="1"/>
    <cellStyle name="表示済みのハイパーリンク" xfId="7197" builtinId="9" hidden="1"/>
    <cellStyle name="表示済みのハイパーリンク" xfId="7199" builtinId="9" hidden="1"/>
    <cellStyle name="表示済みのハイパーリンク" xfId="7201" builtinId="9" hidden="1"/>
    <cellStyle name="表示済みのハイパーリンク" xfId="7203" builtinId="9" hidden="1"/>
    <cellStyle name="表示済みのハイパーリンク" xfId="7205" builtinId="9" hidden="1"/>
    <cellStyle name="表示済みのハイパーリンク" xfId="7207" builtinId="9" hidden="1"/>
    <cellStyle name="表示済みのハイパーリンク" xfId="7209" builtinId="9" hidden="1"/>
    <cellStyle name="表示済みのハイパーリンク" xfId="7211" builtinId="9" hidden="1"/>
    <cellStyle name="表示済みのハイパーリンク" xfId="7213" builtinId="9" hidden="1"/>
    <cellStyle name="表示済みのハイパーリンク" xfId="7215" builtinId="9" hidden="1"/>
    <cellStyle name="表示済みのハイパーリンク" xfId="7217" builtinId="9" hidden="1"/>
    <cellStyle name="表示済みのハイパーリンク" xfId="7219" builtinId="9" hidden="1"/>
    <cellStyle name="表示済みのハイパーリンク" xfId="7221" builtinId="9" hidden="1"/>
    <cellStyle name="表示済みのハイパーリンク" xfId="7223" builtinId="9" hidden="1"/>
    <cellStyle name="表示済みのハイパーリンク" xfId="7225" builtinId="9" hidden="1"/>
    <cellStyle name="表示済みのハイパーリンク" xfId="7227" builtinId="9" hidden="1"/>
    <cellStyle name="表示済みのハイパーリンク" xfId="7229" builtinId="9" hidden="1"/>
    <cellStyle name="表示済みのハイパーリンク" xfId="7231" builtinId="9" hidden="1"/>
    <cellStyle name="表示済みのハイパーリンク" xfId="7233" builtinId="9" hidden="1"/>
    <cellStyle name="表示済みのハイパーリンク" xfId="7235" builtinId="9" hidden="1"/>
    <cellStyle name="表示済みのハイパーリンク" xfId="7237" builtinId="9" hidden="1"/>
    <cellStyle name="表示済みのハイパーリンク" xfId="7239" builtinId="9" hidden="1"/>
    <cellStyle name="表示済みのハイパーリンク" xfId="7241" builtinId="9" hidden="1"/>
    <cellStyle name="表示済みのハイパーリンク" xfId="7243" builtinId="9" hidden="1"/>
    <cellStyle name="表示済みのハイパーリンク" xfId="7245" builtinId="9" hidden="1"/>
    <cellStyle name="表示済みのハイパーリンク" xfId="7247" builtinId="9" hidden="1"/>
    <cellStyle name="表示済みのハイパーリンク" xfId="7249" builtinId="9" hidden="1"/>
    <cellStyle name="表示済みのハイパーリンク" xfId="7251" builtinId="9" hidden="1"/>
    <cellStyle name="表示済みのハイパーリンク" xfId="7253" builtinId="9" hidden="1"/>
    <cellStyle name="表示済みのハイパーリンク" xfId="7255" builtinId="9" hidden="1"/>
    <cellStyle name="表示済みのハイパーリンク" xfId="7257" builtinId="9" hidden="1"/>
    <cellStyle name="表示済みのハイパーリンク" xfId="7259" builtinId="9" hidden="1"/>
    <cellStyle name="表示済みのハイパーリンク" xfId="7261" builtinId="9" hidden="1"/>
    <cellStyle name="表示済みのハイパーリンク" xfId="7263" builtinId="9" hidden="1"/>
    <cellStyle name="表示済みのハイパーリンク" xfId="7265" builtinId="9" hidden="1"/>
    <cellStyle name="表示済みのハイパーリンク" xfId="7267" builtinId="9" hidden="1"/>
    <cellStyle name="表示済みのハイパーリンク" xfId="7269" builtinId="9" hidden="1"/>
    <cellStyle name="表示済みのハイパーリンク" xfId="7271" builtinId="9" hidden="1"/>
    <cellStyle name="表示済みのハイパーリンク" xfId="7273" builtinId="9" hidden="1"/>
    <cellStyle name="表示済みのハイパーリンク" xfId="7275" builtinId="9" hidden="1"/>
    <cellStyle name="表示済みのハイパーリンク" xfId="7277" builtinId="9" hidden="1"/>
    <cellStyle name="表示済みのハイパーリンク" xfId="7279" builtinId="9" hidden="1"/>
    <cellStyle name="表示済みのハイパーリンク" xfId="7281" builtinId="9" hidden="1"/>
    <cellStyle name="表示済みのハイパーリンク" xfId="7283" builtinId="9" hidden="1"/>
    <cellStyle name="表示済みのハイパーリンク" xfId="7285" builtinId="9" hidden="1"/>
    <cellStyle name="表示済みのハイパーリンク" xfId="7287" builtinId="9" hidden="1"/>
    <cellStyle name="表示済みのハイパーリンク" xfId="7289" builtinId="9" hidden="1"/>
    <cellStyle name="表示済みのハイパーリンク" xfId="7291" builtinId="9" hidden="1"/>
    <cellStyle name="表示済みのハイパーリンク" xfId="7293" builtinId="9" hidden="1"/>
    <cellStyle name="表示済みのハイパーリンク" xfId="7295" builtinId="9" hidden="1"/>
    <cellStyle name="表示済みのハイパーリンク" xfId="7297" builtinId="9" hidden="1"/>
    <cellStyle name="表示済みのハイパーリンク" xfId="7299" builtinId="9" hidden="1"/>
    <cellStyle name="表示済みのハイパーリンク" xfId="7301" builtinId="9" hidden="1"/>
    <cellStyle name="表示済みのハイパーリンク" xfId="7303" builtinId="9" hidden="1"/>
    <cellStyle name="表示済みのハイパーリンク" xfId="7305" builtinId="9" hidden="1"/>
    <cellStyle name="表示済みのハイパーリンク" xfId="7307" builtinId="9" hidden="1"/>
    <cellStyle name="表示済みのハイパーリンク" xfId="7309" builtinId="9" hidden="1"/>
    <cellStyle name="表示済みのハイパーリンク" xfId="7311" builtinId="9" hidden="1"/>
    <cellStyle name="表示済みのハイパーリンク" xfId="7313" builtinId="9" hidden="1"/>
    <cellStyle name="表示済みのハイパーリンク" xfId="7315" builtinId="9" hidden="1"/>
    <cellStyle name="表示済みのハイパーリンク" xfId="7317" builtinId="9" hidden="1"/>
    <cellStyle name="表示済みのハイパーリンク" xfId="7319" builtinId="9" hidden="1"/>
    <cellStyle name="表示済みのハイパーリンク" xfId="7321" builtinId="9" hidden="1"/>
    <cellStyle name="表示済みのハイパーリンク" xfId="7323" builtinId="9" hidden="1"/>
    <cellStyle name="表示済みのハイパーリンク" xfId="7325" builtinId="9" hidden="1"/>
    <cellStyle name="表示済みのハイパーリンク" xfId="7327" builtinId="9" hidden="1"/>
    <cellStyle name="表示済みのハイパーリンク" xfId="7329" builtinId="9" hidden="1"/>
    <cellStyle name="表示済みのハイパーリンク" xfId="7331" builtinId="9" hidden="1"/>
    <cellStyle name="表示済みのハイパーリンク" xfId="7333" builtinId="9" hidden="1"/>
    <cellStyle name="表示済みのハイパーリンク" xfId="7335" builtinId="9" hidden="1"/>
    <cellStyle name="表示済みのハイパーリンク" xfId="7337" builtinId="9" hidden="1"/>
    <cellStyle name="表示済みのハイパーリンク" xfId="7339" builtinId="9" hidden="1"/>
    <cellStyle name="表示済みのハイパーリンク" xfId="7341" builtinId="9" hidden="1"/>
    <cellStyle name="表示済みのハイパーリンク" xfId="7343" builtinId="9" hidden="1"/>
    <cellStyle name="表示済みのハイパーリンク" xfId="7345" builtinId="9" hidden="1"/>
    <cellStyle name="表示済みのハイパーリンク" xfId="7347" builtinId="9" hidden="1"/>
    <cellStyle name="表示済みのハイパーリンク" xfId="7349" builtinId="9" hidden="1"/>
    <cellStyle name="表示済みのハイパーリンク" xfId="7351" builtinId="9" hidden="1"/>
    <cellStyle name="表示済みのハイパーリンク" xfId="7353" builtinId="9" hidden="1"/>
    <cellStyle name="表示済みのハイパーリンク" xfId="7355" builtinId="9" hidden="1"/>
    <cellStyle name="表示済みのハイパーリンク" xfId="7357" builtinId="9" hidden="1"/>
    <cellStyle name="表示済みのハイパーリンク" xfId="7359" builtinId="9" hidden="1"/>
    <cellStyle name="表示済みのハイパーリンク" xfId="7361" builtinId="9" hidden="1"/>
    <cellStyle name="表示済みのハイパーリンク" xfId="7363" builtinId="9" hidden="1"/>
    <cellStyle name="表示済みのハイパーリンク" xfId="7365" builtinId="9" hidden="1"/>
    <cellStyle name="表示済みのハイパーリンク" xfId="7367" builtinId="9" hidden="1"/>
    <cellStyle name="表示済みのハイパーリンク" xfId="7369" builtinId="9" hidden="1"/>
    <cellStyle name="表示済みのハイパーリンク" xfId="7371" builtinId="9" hidden="1"/>
    <cellStyle name="表示済みのハイパーリンク" xfId="7373" builtinId="9" hidden="1"/>
    <cellStyle name="表示済みのハイパーリンク" xfId="7375" builtinId="9" hidden="1"/>
    <cellStyle name="表示済みのハイパーリンク" xfId="7377" builtinId="9" hidden="1"/>
    <cellStyle name="表示済みのハイパーリンク" xfId="7379" builtinId="9" hidden="1"/>
    <cellStyle name="表示済みのハイパーリンク" xfId="7381" builtinId="9" hidden="1"/>
    <cellStyle name="表示済みのハイパーリンク" xfId="7383" builtinId="9" hidden="1"/>
    <cellStyle name="表示済みのハイパーリンク" xfId="7385" builtinId="9" hidden="1"/>
    <cellStyle name="表示済みのハイパーリンク" xfId="7387" builtinId="9" hidden="1"/>
    <cellStyle name="表示済みのハイパーリンク" xfId="7389" builtinId="9" hidden="1"/>
    <cellStyle name="表示済みのハイパーリンク" xfId="7391" builtinId="9" hidden="1"/>
    <cellStyle name="表示済みのハイパーリンク" xfId="7393" builtinId="9" hidden="1"/>
    <cellStyle name="表示済みのハイパーリンク" xfId="7395" builtinId="9" hidden="1"/>
    <cellStyle name="表示済みのハイパーリンク" xfId="7397" builtinId="9" hidden="1"/>
    <cellStyle name="表示済みのハイパーリンク" xfId="7399" builtinId="9" hidden="1"/>
    <cellStyle name="表示済みのハイパーリンク" xfId="7401" builtinId="9" hidden="1"/>
    <cellStyle name="表示済みのハイパーリンク" xfId="7403" builtinId="9" hidden="1"/>
    <cellStyle name="表示済みのハイパーリンク" xfId="7405" builtinId="9" hidden="1"/>
    <cellStyle name="表示済みのハイパーリンク" xfId="7407" builtinId="9" hidden="1"/>
    <cellStyle name="表示済みのハイパーリンク" xfId="7409" builtinId="9" hidden="1"/>
    <cellStyle name="表示済みのハイパーリンク" xfId="7411" builtinId="9" hidden="1"/>
    <cellStyle name="表示済みのハイパーリンク" xfId="7413" builtinId="9" hidden="1"/>
    <cellStyle name="表示済みのハイパーリンク" xfId="7415" builtinId="9" hidden="1"/>
    <cellStyle name="表示済みのハイパーリンク" xfId="7417" builtinId="9" hidden="1"/>
    <cellStyle name="表示済みのハイパーリンク" xfId="7419" builtinId="9" hidden="1"/>
    <cellStyle name="表示済みのハイパーリンク" xfId="7421" builtinId="9" hidden="1"/>
    <cellStyle name="表示済みのハイパーリンク" xfId="7423" builtinId="9" hidden="1"/>
    <cellStyle name="表示済みのハイパーリンク" xfId="7425" builtinId="9" hidden="1"/>
    <cellStyle name="表示済みのハイパーリンク" xfId="7427" builtinId="9" hidden="1"/>
    <cellStyle name="表示済みのハイパーリンク" xfId="7429" builtinId="9" hidden="1"/>
    <cellStyle name="表示済みのハイパーリンク" xfId="7431" builtinId="9" hidden="1"/>
    <cellStyle name="表示済みのハイパーリンク" xfId="7433" builtinId="9" hidden="1"/>
    <cellStyle name="表示済みのハイパーリンク" xfId="7435" builtinId="9" hidden="1"/>
    <cellStyle name="表示済みのハイパーリンク" xfId="7437" builtinId="9" hidden="1"/>
    <cellStyle name="表示済みのハイパーリンク" xfId="7439" builtinId="9" hidden="1"/>
    <cellStyle name="表示済みのハイパーリンク" xfId="7441" builtinId="9" hidden="1"/>
    <cellStyle name="表示済みのハイパーリンク" xfId="7443" builtinId="9" hidden="1"/>
    <cellStyle name="表示済みのハイパーリンク" xfId="7445" builtinId="9" hidden="1"/>
    <cellStyle name="表示済みのハイパーリンク" xfId="7447" builtinId="9" hidden="1"/>
    <cellStyle name="表示済みのハイパーリンク" xfId="7449" builtinId="9" hidden="1"/>
    <cellStyle name="表示済みのハイパーリンク" xfId="7451" builtinId="9" hidden="1"/>
    <cellStyle name="表示済みのハイパーリンク" xfId="7453" builtinId="9" hidden="1"/>
    <cellStyle name="表示済みのハイパーリンク" xfId="7455" builtinId="9" hidden="1"/>
    <cellStyle name="表示済みのハイパーリンク" xfId="7457" builtinId="9" hidden="1"/>
    <cellStyle name="表示済みのハイパーリンク" xfId="7459" builtinId="9" hidden="1"/>
    <cellStyle name="表示済みのハイパーリンク" xfId="7461" builtinId="9" hidden="1"/>
    <cellStyle name="表示済みのハイパーリンク" xfId="7463" builtinId="9" hidden="1"/>
    <cellStyle name="表示済みのハイパーリンク" xfId="7465" builtinId="9" hidden="1"/>
    <cellStyle name="表示済みのハイパーリンク" xfId="7467" builtinId="9" hidden="1"/>
    <cellStyle name="表示済みのハイパーリンク" xfId="7469" builtinId="9" hidden="1"/>
    <cellStyle name="表示済みのハイパーリンク" xfId="7471" builtinId="9" hidden="1"/>
    <cellStyle name="表示済みのハイパーリンク" xfId="7473" builtinId="9" hidden="1"/>
    <cellStyle name="表示済みのハイパーリンク" xfId="7475" builtinId="9" hidden="1"/>
    <cellStyle name="表示済みのハイパーリンク" xfId="7477" builtinId="9" hidden="1"/>
    <cellStyle name="表示済みのハイパーリンク" xfId="7479" builtinId="9" hidden="1"/>
    <cellStyle name="表示済みのハイパーリンク" xfId="7481" builtinId="9" hidden="1"/>
    <cellStyle name="表示済みのハイパーリンク" xfId="7483" builtinId="9" hidden="1"/>
    <cellStyle name="表示済みのハイパーリンク" xfId="7485" builtinId="9" hidden="1"/>
    <cellStyle name="表示済みのハイパーリンク" xfId="7487" builtinId="9" hidden="1"/>
    <cellStyle name="表示済みのハイパーリンク" xfId="7489" builtinId="9" hidden="1"/>
    <cellStyle name="表示済みのハイパーリンク" xfId="7491" builtinId="9" hidden="1"/>
    <cellStyle name="表示済みのハイパーリンク" xfId="7493" builtinId="9" hidden="1"/>
    <cellStyle name="表示済みのハイパーリンク" xfId="7495" builtinId="9" hidden="1"/>
    <cellStyle name="表示済みのハイパーリンク" xfId="7497" builtinId="9" hidden="1"/>
    <cellStyle name="表示済みのハイパーリンク" xfId="7499" builtinId="9" hidden="1"/>
    <cellStyle name="表示済みのハイパーリンク" xfId="7501" builtinId="9" hidden="1"/>
    <cellStyle name="表示済みのハイパーリンク" xfId="7503" builtinId="9" hidden="1"/>
    <cellStyle name="表示済みのハイパーリンク" xfId="7505" builtinId="9" hidden="1"/>
    <cellStyle name="表示済みのハイパーリンク" xfId="7507" builtinId="9" hidden="1"/>
    <cellStyle name="表示済みのハイパーリンク" xfId="7509" builtinId="9" hidden="1"/>
    <cellStyle name="表示済みのハイパーリンク" xfId="7511" builtinId="9" hidden="1"/>
    <cellStyle name="表示済みのハイパーリンク" xfId="7513" builtinId="9" hidden="1"/>
    <cellStyle name="表示済みのハイパーリンク" xfId="7515" builtinId="9" hidden="1"/>
    <cellStyle name="表示済みのハイパーリンク" xfId="7517" builtinId="9" hidden="1"/>
    <cellStyle name="表示済みのハイパーリンク" xfId="7519" builtinId="9" hidden="1"/>
    <cellStyle name="表示済みのハイパーリンク" xfId="7521" builtinId="9" hidden="1"/>
    <cellStyle name="表示済みのハイパーリンク" xfId="7523" builtinId="9" hidden="1"/>
    <cellStyle name="表示済みのハイパーリンク" xfId="7525" builtinId="9" hidden="1"/>
    <cellStyle name="表示済みのハイパーリンク" xfId="7527" builtinId="9" hidden="1"/>
    <cellStyle name="表示済みのハイパーリンク" xfId="7529" builtinId="9" hidden="1"/>
    <cellStyle name="表示済みのハイパーリンク" xfId="7531" builtinId="9" hidden="1"/>
    <cellStyle name="表示済みのハイパーリンク" xfId="7533" builtinId="9" hidden="1"/>
    <cellStyle name="表示済みのハイパーリンク" xfId="7535" builtinId="9" hidden="1"/>
    <cellStyle name="表示済みのハイパーリンク" xfId="7537" builtinId="9" hidden="1"/>
    <cellStyle name="表示済みのハイパーリンク" xfId="7539" builtinId="9" hidden="1"/>
    <cellStyle name="表示済みのハイパーリンク" xfId="7541" builtinId="9" hidden="1"/>
    <cellStyle name="表示済みのハイパーリンク" xfId="7543" builtinId="9" hidden="1"/>
    <cellStyle name="表示済みのハイパーリンク" xfId="7545" builtinId="9" hidden="1"/>
    <cellStyle name="表示済みのハイパーリンク" xfId="7547" builtinId="9" hidden="1"/>
    <cellStyle name="表示済みのハイパーリンク" xfId="7549" builtinId="9" hidden="1"/>
    <cellStyle name="表示済みのハイパーリンク" xfId="7551" builtinId="9" hidden="1"/>
    <cellStyle name="表示済みのハイパーリンク" xfId="7553" builtinId="9" hidden="1"/>
    <cellStyle name="表示済みのハイパーリンク" xfId="7555" builtinId="9" hidden="1"/>
    <cellStyle name="表示済みのハイパーリンク" xfId="7557" builtinId="9" hidden="1"/>
    <cellStyle name="表示済みのハイパーリンク" xfId="7559" builtinId="9" hidden="1"/>
    <cellStyle name="表示済みのハイパーリンク" xfId="7561" builtinId="9" hidden="1"/>
    <cellStyle name="表示済みのハイパーリンク" xfId="7563" builtinId="9" hidden="1"/>
    <cellStyle name="表示済みのハイパーリンク" xfId="7565" builtinId="9" hidden="1"/>
    <cellStyle name="表示済みのハイパーリンク" xfId="7567" builtinId="9" hidden="1"/>
    <cellStyle name="表示済みのハイパーリンク" xfId="7569" builtinId="9" hidden="1"/>
    <cellStyle name="表示済みのハイパーリンク" xfId="7571" builtinId="9" hidden="1"/>
    <cellStyle name="表示済みのハイパーリンク" xfId="7573" builtinId="9" hidden="1"/>
    <cellStyle name="表示済みのハイパーリンク" xfId="7575" builtinId="9" hidden="1"/>
    <cellStyle name="表示済みのハイパーリンク" xfId="7577" builtinId="9" hidden="1"/>
    <cellStyle name="表示済みのハイパーリンク" xfId="7579" builtinId="9" hidden="1"/>
    <cellStyle name="表示済みのハイパーリンク" xfId="7581" builtinId="9" hidden="1"/>
    <cellStyle name="表示済みのハイパーリンク" xfId="7583" builtinId="9" hidden="1"/>
    <cellStyle name="表示済みのハイパーリンク" xfId="7585" builtinId="9" hidden="1"/>
    <cellStyle name="表示済みのハイパーリンク" xfId="7587" builtinId="9" hidden="1"/>
    <cellStyle name="表示済みのハイパーリンク" xfId="7589" builtinId="9" hidden="1"/>
    <cellStyle name="表示済みのハイパーリンク" xfId="7591" builtinId="9" hidden="1"/>
    <cellStyle name="表示済みのハイパーリンク" xfId="7593" builtinId="9" hidden="1"/>
    <cellStyle name="表示済みのハイパーリンク" xfId="7595" builtinId="9" hidden="1"/>
    <cellStyle name="表示済みのハイパーリンク" xfId="7597" builtinId="9" hidden="1"/>
    <cellStyle name="表示済みのハイパーリンク" xfId="7599" builtinId="9" hidden="1"/>
    <cellStyle name="表示済みのハイパーリンク" xfId="7601" builtinId="9" hidden="1"/>
    <cellStyle name="表示済みのハイパーリンク" xfId="7603" builtinId="9" hidden="1"/>
    <cellStyle name="表示済みのハイパーリンク" xfId="7605" builtinId="9" hidden="1"/>
    <cellStyle name="表示済みのハイパーリンク" xfId="7607" builtinId="9" hidden="1"/>
    <cellStyle name="表示済みのハイパーリンク" xfId="7609" builtinId="9" hidden="1"/>
    <cellStyle name="表示済みのハイパーリンク" xfId="7611" builtinId="9" hidden="1"/>
    <cellStyle name="表示済みのハイパーリンク" xfId="7613" builtinId="9" hidden="1"/>
    <cellStyle name="表示済みのハイパーリンク" xfId="7615" builtinId="9" hidden="1"/>
    <cellStyle name="表示済みのハイパーリンク" xfId="7617" builtinId="9" hidden="1"/>
    <cellStyle name="表示済みのハイパーリンク" xfId="7619" builtinId="9" hidden="1"/>
    <cellStyle name="表示済みのハイパーリンク" xfId="7621" builtinId="9" hidden="1"/>
    <cellStyle name="表示済みのハイパーリンク" xfId="7623" builtinId="9" hidden="1"/>
    <cellStyle name="表示済みのハイパーリンク" xfId="7625" builtinId="9" hidden="1"/>
    <cellStyle name="表示済みのハイパーリンク" xfId="7627" builtinId="9" hidden="1"/>
    <cellStyle name="表示済みのハイパーリンク" xfId="7629" builtinId="9" hidden="1"/>
    <cellStyle name="表示済みのハイパーリンク" xfId="7631" builtinId="9" hidden="1"/>
    <cellStyle name="表示済みのハイパーリンク" xfId="7633" builtinId="9" hidden="1"/>
    <cellStyle name="表示済みのハイパーリンク" xfId="7635" builtinId="9" hidden="1"/>
    <cellStyle name="表示済みのハイパーリンク" xfId="7637" builtinId="9" hidden="1"/>
    <cellStyle name="表示済みのハイパーリンク" xfId="7639" builtinId="9" hidden="1"/>
    <cellStyle name="表示済みのハイパーリンク" xfId="7641" builtinId="9" hidden="1"/>
    <cellStyle name="表示済みのハイパーリンク" xfId="7643" builtinId="9" hidden="1"/>
    <cellStyle name="表示済みのハイパーリンク" xfId="7645" builtinId="9" hidden="1"/>
    <cellStyle name="表示済みのハイパーリンク" xfId="7647" builtinId="9" hidden="1"/>
    <cellStyle name="表示済みのハイパーリンク" xfId="7649" builtinId="9" hidden="1"/>
    <cellStyle name="表示済みのハイパーリンク" xfId="7651" builtinId="9" hidden="1"/>
    <cellStyle name="表示済みのハイパーリンク" xfId="7653" builtinId="9" hidden="1"/>
    <cellStyle name="表示済みのハイパーリンク" xfId="7655" builtinId="9" hidden="1"/>
    <cellStyle name="表示済みのハイパーリンク" xfId="7657" builtinId="9" hidden="1"/>
    <cellStyle name="表示済みのハイパーリンク" xfId="7659" builtinId="9" hidden="1"/>
    <cellStyle name="表示済みのハイパーリンク" xfId="7661" builtinId="9" hidden="1"/>
    <cellStyle name="表示済みのハイパーリンク" xfId="7663" builtinId="9" hidden="1"/>
    <cellStyle name="表示済みのハイパーリンク" xfId="7665" builtinId="9" hidden="1"/>
    <cellStyle name="表示済みのハイパーリンク" xfId="7667" builtinId="9" hidden="1"/>
    <cellStyle name="表示済みのハイパーリンク" xfId="7669" builtinId="9" hidden="1"/>
    <cellStyle name="表示済みのハイパーリンク" xfId="7671" builtinId="9" hidden="1"/>
    <cellStyle name="表示済みのハイパーリンク" xfId="7673" builtinId="9" hidden="1"/>
    <cellStyle name="表示済みのハイパーリンク" xfId="7675" builtinId="9" hidden="1"/>
    <cellStyle name="表示済みのハイパーリンク" xfId="7677" builtinId="9" hidden="1"/>
    <cellStyle name="表示済みのハイパーリンク" xfId="7679" builtinId="9" hidden="1"/>
    <cellStyle name="表示済みのハイパーリンク" xfId="7681" builtinId="9" hidden="1"/>
    <cellStyle name="表示済みのハイパーリンク" xfId="7683" builtinId="9" hidden="1"/>
    <cellStyle name="表示済みのハイパーリンク" xfId="7685" builtinId="9" hidden="1"/>
    <cellStyle name="表示済みのハイパーリンク" xfId="7687" builtinId="9" hidden="1"/>
    <cellStyle name="表示済みのハイパーリンク" xfId="7689" builtinId="9" hidden="1"/>
    <cellStyle name="表示済みのハイパーリンク" xfId="7691" builtinId="9" hidden="1"/>
    <cellStyle name="表示済みのハイパーリンク" xfId="7693" builtinId="9" hidden="1"/>
    <cellStyle name="表示済みのハイパーリンク" xfId="7695" builtinId="9" hidden="1"/>
    <cellStyle name="表示済みのハイパーリンク" xfId="7697" builtinId="9" hidden="1"/>
    <cellStyle name="表示済みのハイパーリンク" xfId="7699" builtinId="9" hidden="1"/>
    <cellStyle name="表示済みのハイパーリンク" xfId="7701" builtinId="9" hidden="1"/>
    <cellStyle name="表示済みのハイパーリンク" xfId="7703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9" builtinId="9" hidden="1"/>
    <cellStyle name="表示済みのハイパーリンク" xfId="7711" builtinId="9" hidden="1"/>
    <cellStyle name="表示済みのハイパーリンク" xfId="7713" builtinId="9" hidden="1"/>
    <cellStyle name="表示済みのハイパーリンク" xfId="7715" builtinId="9" hidden="1"/>
    <cellStyle name="表示済みのハイパーリンク" xfId="7717" builtinId="9" hidden="1"/>
    <cellStyle name="表示済みのハイパーリンク" xfId="7719" builtinId="9" hidden="1"/>
    <cellStyle name="表示済みのハイパーリンク" xfId="7721" builtinId="9" hidden="1"/>
    <cellStyle name="表示済みのハイパーリンク" xfId="7723" builtinId="9" hidden="1"/>
    <cellStyle name="表示済みのハイパーリンク" xfId="7725" builtinId="9" hidden="1"/>
    <cellStyle name="表示済みのハイパーリンク" xfId="7727" builtinId="9" hidden="1"/>
    <cellStyle name="表示済みのハイパーリンク" xfId="7729" builtinId="9" hidden="1"/>
    <cellStyle name="表示済みのハイパーリンク" xfId="7731" builtinId="9" hidden="1"/>
    <cellStyle name="表示済みのハイパーリンク" xfId="7733" builtinId="9" hidden="1"/>
    <cellStyle name="表示済みのハイパーリンク" xfId="7735" builtinId="9" hidden="1"/>
    <cellStyle name="表示済みのハイパーリンク" xfId="7737" builtinId="9" hidden="1"/>
    <cellStyle name="表示済みのハイパーリンク" xfId="7739" builtinId="9" hidden="1"/>
    <cellStyle name="表示済みのハイパーリンク" xfId="7741" builtinId="9" hidden="1"/>
    <cellStyle name="表示済みのハイパーリンク" xfId="7743" builtinId="9" hidden="1"/>
    <cellStyle name="表示済みのハイパーリンク" xfId="7745" builtinId="9" hidden="1"/>
    <cellStyle name="表示済みのハイパーリンク" xfId="7747" builtinId="9" hidden="1"/>
    <cellStyle name="表示済みのハイパーリンク" xfId="7749" builtinId="9" hidden="1"/>
    <cellStyle name="表示済みのハイパーリンク" xfId="7751" builtinId="9" hidden="1"/>
    <cellStyle name="表示済みのハイパーリンク" xfId="7753" builtinId="9" hidden="1"/>
    <cellStyle name="表示済みのハイパーリンク" xfId="7755" builtinId="9" hidden="1"/>
    <cellStyle name="表示済みのハイパーリンク" xfId="7757" builtinId="9" hidden="1"/>
    <cellStyle name="表示済みのハイパーリンク" xfId="7759" builtinId="9" hidden="1"/>
    <cellStyle name="表示済みのハイパーリンク" xfId="7761" builtinId="9" hidden="1"/>
    <cellStyle name="表示済みのハイパーリンク" xfId="7763" builtinId="9" hidden="1"/>
    <cellStyle name="表示済みのハイパーリンク" xfId="7765" builtinId="9" hidden="1"/>
    <cellStyle name="表示済みのハイパーリンク" xfId="7767" builtinId="9" hidden="1"/>
    <cellStyle name="表示済みのハイパーリンク" xfId="7769" builtinId="9" hidden="1"/>
    <cellStyle name="表示済みのハイパーリンク" xfId="7771" builtinId="9" hidden="1"/>
    <cellStyle name="表示済みのハイパーリンク" xfId="7773" builtinId="9" hidden="1"/>
    <cellStyle name="表示済みのハイパーリンク" xfId="7775" builtinId="9" hidden="1"/>
    <cellStyle name="表示済みのハイパーリンク" xfId="7777" builtinId="9" hidden="1"/>
    <cellStyle name="表示済みのハイパーリンク" xfId="7779" builtinId="9" hidden="1"/>
    <cellStyle name="表示済みのハイパーリンク" xfId="7781" builtinId="9" hidden="1"/>
    <cellStyle name="表示済みのハイパーリンク" xfId="7783" builtinId="9" hidden="1"/>
    <cellStyle name="表示済みのハイパーリンク" xfId="7785" builtinId="9" hidden="1"/>
    <cellStyle name="表示済みのハイパーリンク" xfId="7787" builtinId="9" hidden="1"/>
    <cellStyle name="表示済みのハイパーリンク" xfId="7789" builtinId="9" hidden="1"/>
    <cellStyle name="表示済みのハイパーリンク" xfId="7791" builtinId="9" hidden="1"/>
    <cellStyle name="表示済みのハイパーリンク" xfId="7793" builtinId="9" hidden="1"/>
    <cellStyle name="表示済みのハイパーリンク" xfId="7795" builtinId="9" hidden="1"/>
    <cellStyle name="表示済みのハイパーリンク" xfId="7797" builtinId="9" hidden="1"/>
    <cellStyle name="表示済みのハイパーリンク" xfId="7799" builtinId="9" hidden="1"/>
    <cellStyle name="表示済みのハイパーリンク" xfId="7801" builtinId="9" hidden="1"/>
    <cellStyle name="表示済みのハイパーリンク" xfId="7803" builtinId="9" hidden="1"/>
    <cellStyle name="表示済みのハイパーリンク" xfId="7805" builtinId="9" hidden="1"/>
    <cellStyle name="表示済みのハイパーリンク" xfId="7807" builtinId="9" hidden="1"/>
    <cellStyle name="表示済みのハイパーリンク" xfId="7809" builtinId="9" hidden="1"/>
    <cellStyle name="表示済みのハイパーリンク" xfId="7811" builtinId="9" hidden="1"/>
    <cellStyle name="表示済みのハイパーリンク" xfId="7813" builtinId="9" hidden="1"/>
    <cellStyle name="表示済みのハイパーリンク" xfId="7815" builtinId="9" hidden="1"/>
    <cellStyle name="表示済みのハイパーリンク" xfId="7817" builtinId="9" hidden="1"/>
    <cellStyle name="表示済みのハイパーリンク" xfId="7819" builtinId="9" hidden="1"/>
    <cellStyle name="表示済みのハイパーリンク" xfId="7821" builtinId="9" hidden="1"/>
    <cellStyle name="表示済みのハイパーリンク" xfId="7823" builtinId="9" hidden="1"/>
    <cellStyle name="表示済みのハイパーリンク" xfId="7825" builtinId="9" hidden="1"/>
    <cellStyle name="表示済みのハイパーリンク" xfId="7827" builtinId="9" hidden="1"/>
    <cellStyle name="表示済みのハイパーリンク" xfId="7829" builtinId="9" hidden="1"/>
    <cellStyle name="表示済みのハイパーリンク" xfId="7831" builtinId="9" hidden="1"/>
    <cellStyle name="表示済みのハイパーリンク" xfId="7833" builtinId="9" hidden="1"/>
    <cellStyle name="表示済みのハイパーリンク" xfId="7835" builtinId="9" hidden="1"/>
    <cellStyle name="表示済みのハイパーリンク" xfId="7837" builtinId="9" hidden="1"/>
    <cellStyle name="表示済みのハイパーリンク" xfId="7839" builtinId="9" hidden="1"/>
    <cellStyle name="表示済みのハイパーリンク" xfId="7841" builtinId="9" hidden="1"/>
    <cellStyle name="表示済みのハイパーリンク" xfId="7843" builtinId="9" hidden="1"/>
    <cellStyle name="表示済みのハイパーリンク" xfId="7845" builtinId="9" hidden="1"/>
    <cellStyle name="表示済みのハイパーリンク" xfId="7847" builtinId="9" hidden="1"/>
    <cellStyle name="表示済みのハイパーリンク" xfId="7849" builtinId="9" hidden="1"/>
    <cellStyle name="表示済みのハイパーリンク" xfId="7851" builtinId="9" hidden="1"/>
    <cellStyle name="表示済みのハイパーリンク" xfId="7853" builtinId="9" hidden="1"/>
    <cellStyle name="表示済みのハイパーリンク" xfId="7855" builtinId="9" hidden="1"/>
    <cellStyle name="表示済みのハイパーリンク" xfId="7857" builtinId="9" hidden="1"/>
    <cellStyle name="表示済みのハイパーリンク" xfId="7859" builtinId="9" hidden="1"/>
    <cellStyle name="表示済みのハイパーリンク" xfId="7861" builtinId="9" hidden="1"/>
    <cellStyle name="表示済みのハイパーリンク" xfId="7863" builtinId="9" hidden="1"/>
    <cellStyle name="表示済みのハイパーリンク" xfId="7865" builtinId="9" hidden="1"/>
    <cellStyle name="表示済みのハイパーリンク" xfId="7867" builtinId="9" hidden="1"/>
    <cellStyle name="表示済みのハイパーリンク" xfId="7869" builtinId="9" hidden="1"/>
    <cellStyle name="表示済みのハイパーリンク" xfId="7871" builtinId="9" hidden="1"/>
    <cellStyle name="表示済みのハイパーリンク" xfId="7873" builtinId="9" hidden="1"/>
    <cellStyle name="表示済みのハイパーリンク" xfId="7875" builtinId="9" hidden="1"/>
    <cellStyle name="表示済みのハイパーリンク" xfId="7877" builtinId="9" hidden="1"/>
    <cellStyle name="表示済みのハイパーリンク" xfId="7879" builtinId="9" hidden="1"/>
    <cellStyle name="表示済みのハイパーリンク" xfId="7881" builtinId="9" hidden="1"/>
    <cellStyle name="表示済みのハイパーリンク" xfId="7883" builtinId="9" hidden="1"/>
    <cellStyle name="表示済みのハイパーリンク" xfId="7885" builtinId="9" hidden="1"/>
    <cellStyle name="表示済みのハイパーリンク" xfId="7887" builtinId="9" hidden="1"/>
    <cellStyle name="表示済みのハイパーリンク" xfId="7889" builtinId="9" hidden="1"/>
    <cellStyle name="表示済みのハイパーリンク" xfId="7891" builtinId="9" hidden="1"/>
    <cellStyle name="表示済みのハイパーリンク" xfId="7893" builtinId="9" hidden="1"/>
    <cellStyle name="表示済みのハイパーリンク" xfId="7895" builtinId="9" hidden="1"/>
    <cellStyle name="表示済みのハイパーリンク" xfId="7897" builtinId="9" hidden="1"/>
    <cellStyle name="表示済みのハイパーリンク" xfId="7899" builtinId="9" hidden="1"/>
    <cellStyle name="表示済みのハイパーリンク" xfId="7901" builtinId="9" hidden="1"/>
    <cellStyle name="表示済みのハイパーリンク" xfId="7903" builtinId="9" hidden="1"/>
    <cellStyle name="表示済みのハイパーリンク" xfId="7905" builtinId="9" hidden="1"/>
    <cellStyle name="表示済みのハイパーリンク" xfId="7907" builtinId="9" hidden="1"/>
    <cellStyle name="表示済みのハイパーリンク" xfId="7909" builtinId="9" hidden="1"/>
    <cellStyle name="表示済みのハイパーリンク" xfId="7911" builtinId="9" hidden="1"/>
    <cellStyle name="表示済みのハイパーリンク" xfId="7913" builtinId="9" hidden="1"/>
    <cellStyle name="表示済みのハイパーリンク" xfId="7915" builtinId="9" hidden="1"/>
    <cellStyle name="表示済みのハイパーリンク" xfId="7917" builtinId="9" hidden="1"/>
    <cellStyle name="表示済みのハイパーリンク" xfId="7919" builtinId="9" hidden="1"/>
    <cellStyle name="表示済みのハイパーリンク" xfId="7921" builtinId="9" hidden="1"/>
    <cellStyle name="表示済みのハイパーリンク" xfId="7923" builtinId="9" hidden="1"/>
    <cellStyle name="表示済みのハイパーリンク" xfId="7925" builtinId="9" hidden="1"/>
    <cellStyle name="表示済みのハイパーリンク" xfId="7927" builtinId="9" hidden="1"/>
    <cellStyle name="表示済みのハイパーリンク" xfId="7929" builtinId="9" hidden="1"/>
    <cellStyle name="表示済みのハイパーリンク" xfId="7931" builtinId="9" hidden="1"/>
    <cellStyle name="表示済みのハイパーリンク" xfId="7933" builtinId="9" hidden="1"/>
    <cellStyle name="表示済みのハイパーリンク" xfId="7935" builtinId="9" hidden="1"/>
    <cellStyle name="表示済みのハイパーリンク" xfId="7937" builtinId="9" hidden="1"/>
    <cellStyle name="表示済みのハイパーリンク" xfId="7939" builtinId="9" hidden="1"/>
    <cellStyle name="表示済みのハイパーリンク" xfId="7941" builtinId="9" hidden="1"/>
    <cellStyle name="表示済みのハイパーリンク" xfId="7943" builtinId="9" hidden="1"/>
    <cellStyle name="表示済みのハイパーリンク" xfId="7945" builtinId="9" hidden="1"/>
    <cellStyle name="表示済みのハイパーリンク" xfId="7947" builtinId="9" hidden="1"/>
    <cellStyle name="表示済みのハイパーリンク" xfId="7949" builtinId="9" hidden="1"/>
    <cellStyle name="表示済みのハイパーリンク" xfId="7951" builtinId="9" hidden="1"/>
    <cellStyle name="表示済みのハイパーリンク" xfId="7953" builtinId="9" hidden="1"/>
    <cellStyle name="表示済みのハイパーリンク" xfId="7955" builtinId="9" hidden="1"/>
    <cellStyle name="表示済みのハイパーリンク" xfId="7957" builtinId="9" hidden="1"/>
    <cellStyle name="表示済みのハイパーリンク" xfId="7959" builtinId="9" hidden="1"/>
    <cellStyle name="表示済みのハイパーリンク" xfId="7961" builtinId="9" hidden="1"/>
    <cellStyle name="表示済みのハイパーリンク" xfId="7963" builtinId="9" hidden="1"/>
    <cellStyle name="表示済みのハイパーリンク" xfId="7965" builtinId="9" hidden="1"/>
    <cellStyle name="表示済みのハイパーリンク" xfId="7967" builtinId="9" hidden="1"/>
    <cellStyle name="表示済みのハイパーリンク" xfId="7969" builtinId="9" hidden="1"/>
    <cellStyle name="表示済みのハイパーリンク" xfId="7971" builtinId="9" hidden="1"/>
    <cellStyle name="表示済みのハイパーリンク" xfId="7973" builtinId="9" hidden="1"/>
    <cellStyle name="表示済みのハイパーリンク" xfId="7975" builtinId="9" hidden="1"/>
    <cellStyle name="表示済みのハイパーリンク" xfId="7977" builtinId="9" hidden="1"/>
    <cellStyle name="表示済みのハイパーリンク" xfId="7979" builtinId="9" hidden="1"/>
    <cellStyle name="表示済みのハイパーリンク" xfId="7981" builtinId="9" hidden="1"/>
    <cellStyle name="表示済みのハイパーリンク" xfId="7983" builtinId="9" hidden="1"/>
    <cellStyle name="表示済みのハイパーリンク" xfId="7985" builtinId="9" hidden="1"/>
    <cellStyle name="表示済みのハイパーリンク" xfId="7987" builtinId="9" hidden="1"/>
    <cellStyle name="表示済みのハイパーリンク" xfId="7989" builtinId="9" hidden="1"/>
    <cellStyle name="表示済みのハイパーリンク" xfId="7991" builtinId="9" hidden="1"/>
    <cellStyle name="表示済みのハイパーリンク" xfId="7993" builtinId="9" hidden="1"/>
    <cellStyle name="表示済みのハイパーリンク" xfId="7995" builtinId="9" hidden="1"/>
    <cellStyle name="表示済みのハイパーリンク" xfId="7997" builtinId="9" hidden="1"/>
    <cellStyle name="表示済みのハイパーリンク" xfId="7999" builtinId="9" hidden="1"/>
    <cellStyle name="表示済みのハイパーリンク" xfId="8001" builtinId="9" hidden="1"/>
    <cellStyle name="表示済みのハイパーリンク" xfId="8003" builtinId="9" hidden="1"/>
    <cellStyle name="表示済みのハイパーリンク" xfId="8005" builtinId="9" hidden="1"/>
    <cellStyle name="表示済みのハイパーリンク" xfId="8007" builtinId="9" hidden="1"/>
    <cellStyle name="表示済みのハイパーリンク" xfId="8009" builtinId="9" hidden="1"/>
    <cellStyle name="表示済みのハイパーリンク" xfId="8011" builtinId="9" hidden="1"/>
    <cellStyle name="表示済みのハイパーリンク" xfId="8013" builtinId="9" hidden="1"/>
    <cellStyle name="表示済みのハイパーリンク" xfId="8015" builtinId="9" hidden="1"/>
    <cellStyle name="表示済みのハイパーリンク" xfId="8017" builtinId="9" hidden="1"/>
    <cellStyle name="表示済みのハイパーリンク" xfId="8019" builtinId="9" hidden="1"/>
    <cellStyle name="表示済みのハイパーリンク" xfId="8021" builtinId="9" hidden="1"/>
    <cellStyle name="表示済みのハイパーリンク" xfId="8023" builtinId="9" hidden="1"/>
    <cellStyle name="表示済みのハイパーリンク" xfId="8025" builtinId="9" hidden="1"/>
    <cellStyle name="表示済みのハイパーリンク" xfId="8027" builtinId="9" hidden="1"/>
    <cellStyle name="表示済みのハイパーリンク" xfId="8029" builtinId="9" hidden="1"/>
    <cellStyle name="表示済みのハイパーリンク" xfId="8031" builtinId="9" hidden="1"/>
    <cellStyle name="表示済みのハイパーリンク" xfId="8033" builtinId="9" hidden="1"/>
    <cellStyle name="表示済みのハイパーリンク" xfId="8035" builtinId="9" hidden="1"/>
    <cellStyle name="表示済みのハイパーリンク" xfId="8037" builtinId="9" hidden="1"/>
    <cellStyle name="表示済みのハイパーリンク" xfId="8039" builtinId="9" hidden="1"/>
    <cellStyle name="表示済みのハイパーリンク" xfId="8041" builtinId="9" hidden="1"/>
    <cellStyle name="表示済みのハイパーリンク" xfId="8043" builtinId="9" hidden="1"/>
    <cellStyle name="表示済みのハイパーリンク" xfId="8045" builtinId="9" hidden="1"/>
    <cellStyle name="表示済みのハイパーリンク" xfId="8047" builtinId="9" hidden="1"/>
    <cellStyle name="表示済みのハイパーリンク" xfId="8049" builtinId="9" hidden="1"/>
    <cellStyle name="表示済みのハイパーリンク" xfId="8051" builtinId="9" hidden="1"/>
    <cellStyle name="表示済みのハイパーリンク" xfId="8053" builtinId="9" hidden="1"/>
    <cellStyle name="表示済みのハイパーリンク" xfId="8055" builtinId="9" hidden="1"/>
    <cellStyle name="表示済みのハイパーリンク" xfId="8057" builtinId="9" hidden="1"/>
    <cellStyle name="表示済みのハイパーリンク" xfId="8059" builtinId="9" hidden="1"/>
    <cellStyle name="表示済みのハイパーリンク" xfId="8061" builtinId="9" hidden="1"/>
    <cellStyle name="表示済みのハイパーリンク" xfId="8063" builtinId="9" hidden="1"/>
    <cellStyle name="表示済みのハイパーリンク" xfId="8065" builtinId="9" hidden="1"/>
    <cellStyle name="表示済みのハイパーリンク" xfId="8067" builtinId="9" hidden="1"/>
    <cellStyle name="表示済みのハイパーリンク" xfId="8069" builtinId="9" hidden="1"/>
    <cellStyle name="表示済みのハイパーリンク" xfId="8071" builtinId="9" hidden="1"/>
    <cellStyle name="表示済みのハイパーリンク" xfId="8073" builtinId="9" hidden="1"/>
    <cellStyle name="表示済みのハイパーリンク" xfId="8075" builtinId="9" hidden="1"/>
    <cellStyle name="表示済みのハイパーリンク" xfId="8077" builtinId="9" hidden="1"/>
    <cellStyle name="表示済みのハイパーリンク" xfId="8079" builtinId="9" hidden="1"/>
    <cellStyle name="表示済みのハイパーリンク" xfId="8081" builtinId="9" hidden="1"/>
    <cellStyle name="表示済みのハイパーリンク" xfId="8083" builtinId="9" hidden="1"/>
    <cellStyle name="表示済みのハイパーリンク" xfId="8085" builtinId="9" hidden="1"/>
    <cellStyle name="表示済みのハイパーリンク" xfId="8087" builtinId="9" hidden="1"/>
    <cellStyle name="表示済みのハイパーリンク" xfId="8089" builtinId="9" hidden="1"/>
    <cellStyle name="表示済みのハイパーリンク" xfId="8091" builtinId="9" hidden="1"/>
    <cellStyle name="表示済みのハイパーリンク" xfId="8093" builtinId="9" hidden="1"/>
    <cellStyle name="表示済みのハイパーリンク" xfId="8095" builtinId="9" hidden="1"/>
    <cellStyle name="表示済みのハイパーリンク" xfId="8097" builtinId="9" hidden="1"/>
    <cellStyle name="表示済みのハイパーリンク" xfId="8099" builtinId="9" hidden="1"/>
    <cellStyle name="表示済みのハイパーリンク" xfId="8101" builtinId="9" hidden="1"/>
    <cellStyle name="表示済みのハイパーリンク" xfId="8103" builtinId="9" hidden="1"/>
    <cellStyle name="表示済みのハイパーリンク" xfId="8105" builtinId="9" hidden="1"/>
    <cellStyle name="表示済みのハイパーリンク" xfId="8107" builtinId="9" hidden="1"/>
    <cellStyle name="表示済みのハイパーリンク" xfId="8109" builtinId="9" hidden="1"/>
    <cellStyle name="表示済みのハイパーリンク" xfId="8111" builtinId="9" hidden="1"/>
    <cellStyle name="表示済みのハイパーリンク" xfId="8113" builtinId="9" hidden="1"/>
    <cellStyle name="表示済みのハイパーリンク" xfId="8115" builtinId="9" hidden="1"/>
    <cellStyle name="表示済みのハイパーリンク" xfId="8117" builtinId="9" hidden="1"/>
    <cellStyle name="表示済みのハイパーリンク" xfId="8119" builtinId="9" hidden="1"/>
    <cellStyle name="表示済みのハイパーリンク" xfId="8121" builtinId="9" hidden="1"/>
    <cellStyle name="表示済みのハイパーリンク" xfId="8123" builtinId="9" hidden="1"/>
    <cellStyle name="表示済みのハイパーリンク" xfId="8125" builtinId="9" hidden="1"/>
    <cellStyle name="表示済みのハイパーリンク" xfId="8127" builtinId="9" hidden="1"/>
    <cellStyle name="表示済みのハイパーリンク" xfId="8129" builtinId="9" hidden="1"/>
    <cellStyle name="表示済みのハイパーリンク" xfId="8131" builtinId="9" hidden="1"/>
    <cellStyle name="表示済みのハイパーリンク" xfId="8133" builtinId="9" hidden="1"/>
    <cellStyle name="表示済みのハイパーリンク" xfId="8135" builtinId="9" hidden="1"/>
    <cellStyle name="表示済みのハイパーリンク" xfId="8137" builtinId="9" hidden="1"/>
    <cellStyle name="表示済みのハイパーリンク" xfId="8139" builtinId="9" hidden="1"/>
    <cellStyle name="表示済みのハイパーリンク" xfId="8141" builtinId="9" hidden="1"/>
    <cellStyle name="表示済みのハイパーリンク" xfId="8143" builtinId="9" hidden="1"/>
    <cellStyle name="表示済みのハイパーリンク" xfId="8145" builtinId="9" hidden="1"/>
    <cellStyle name="表示済みのハイパーリンク" xfId="8147" builtinId="9" hidden="1"/>
    <cellStyle name="表示済みのハイパーリンク" xfId="8149" builtinId="9" hidden="1"/>
    <cellStyle name="表示済みのハイパーリンク" xfId="8151" builtinId="9" hidden="1"/>
    <cellStyle name="表示済みのハイパーリンク" xfId="8153" builtinId="9" hidden="1"/>
    <cellStyle name="表示済みのハイパーリンク" xfId="8155" builtinId="9" hidden="1"/>
    <cellStyle name="表示済みのハイパーリンク" xfId="8157" builtinId="9" hidden="1"/>
    <cellStyle name="表示済みのハイパーリンク" xfId="8159" builtinId="9" hidden="1"/>
    <cellStyle name="表示済みのハイパーリンク" xfId="8161" builtinId="9" hidden="1"/>
    <cellStyle name="表示済みのハイパーリンク" xfId="8163" builtinId="9" hidden="1"/>
    <cellStyle name="表示済みのハイパーリンク" xfId="8165" builtinId="9" hidden="1"/>
    <cellStyle name="表示済みのハイパーリンク" xfId="8167" builtinId="9" hidden="1"/>
    <cellStyle name="表示済みのハイパーリンク" xfId="8169" builtinId="9" hidden="1"/>
    <cellStyle name="表示済みのハイパーリンク" xfId="8171" builtinId="9" hidden="1"/>
    <cellStyle name="表示済みのハイパーリンク" xfId="8173" builtinId="9" hidden="1"/>
    <cellStyle name="表示済みのハイパーリンク" xfId="8175" builtinId="9" hidden="1"/>
    <cellStyle name="表示済みのハイパーリンク" xfId="8177" builtinId="9" hidden="1"/>
    <cellStyle name="表示済みのハイパーリンク" xfId="8179" builtinId="9" hidden="1"/>
    <cellStyle name="表示済みのハイパーリンク" xfId="8181" builtinId="9" hidden="1"/>
    <cellStyle name="表示済みのハイパーリンク" xfId="8183" builtinId="9" hidden="1"/>
    <cellStyle name="表示済みのハイパーリンク" xfId="8185" builtinId="9" hidden="1"/>
    <cellStyle name="表示済みのハイパーリンク" xfId="8187" builtinId="9" hidden="1"/>
    <cellStyle name="表示済みのハイパーリンク" xfId="8189" builtinId="9" hidden="1"/>
    <cellStyle name="表示済みのハイパーリンク" xfId="8191" builtinId="9" hidden="1"/>
    <cellStyle name="表示済みのハイパーリンク" xfId="8193" builtinId="9" hidden="1"/>
    <cellStyle name="表示済みのハイパーリンク" xfId="8195" builtinId="9" hidden="1"/>
    <cellStyle name="表示済みのハイパーリンク" xfId="8197" builtinId="9" hidden="1"/>
    <cellStyle name="表示済みのハイパーリンク" xfId="8199" builtinId="9" hidden="1"/>
    <cellStyle name="表示済みのハイパーリンク" xfId="8201" builtinId="9" hidden="1"/>
    <cellStyle name="表示済みのハイパーリンク" xfId="8203" builtinId="9" hidden="1"/>
    <cellStyle name="表示済みのハイパーリンク" xfId="8205" builtinId="9" hidden="1"/>
    <cellStyle name="表示済みのハイパーリンク" xfId="8207" builtinId="9" hidden="1"/>
    <cellStyle name="表示済みのハイパーリンク" xfId="8209" builtinId="9" hidden="1"/>
    <cellStyle name="表示済みのハイパーリンク" xfId="8211" builtinId="9" hidden="1"/>
    <cellStyle name="表示済みのハイパーリンク" xfId="8213" builtinId="9" hidden="1"/>
    <cellStyle name="表示済みのハイパーリンク" xfId="8215" builtinId="9" hidden="1"/>
    <cellStyle name="表示済みのハイパーリンク" xfId="8217" builtinId="9" hidden="1"/>
    <cellStyle name="表示済みのハイパーリンク" xfId="8219" builtinId="9" hidden="1"/>
    <cellStyle name="表示済みのハイパーリンク" xfId="8221" builtinId="9" hidden="1"/>
    <cellStyle name="表示済みのハイパーリンク" xfId="8223" builtinId="9" hidden="1"/>
    <cellStyle name="表示済みのハイパーリンク" xfId="8225" builtinId="9" hidden="1"/>
    <cellStyle name="表示済みのハイパーリンク" xfId="8227" builtinId="9" hidden="1"/>
    <cellStyle name="表示済みのハイパーリンク" xfId="8229" builtinId="9" hidden="1"/>
    <cellStyle name="表示済みのハイパーリンク" xfId="8231" builtinId="9" hidden="1"/>
    <cellStyle name="表示済みのハイパーリンク" xfId="8233" builtinId="9" hidden="1"/>
    <cellStyle name="表示済みのハイパーリンク" xfId="8235" builtinId="9" hidden="1"/>
    <cellStyle name="表示済みのハイパーリンク" xfId="8237" builtinId="9" hidden="1"/>
    <cellStyle name="表示済みのハイパーリンク" xfId="8239" builtinId="9" hidden="1"/>
    <cellStyle name="表示済みのハイパーリンク" xfId="8241" builtinId="9" hidden="1"/>
    <cellStyle name="表示済みのハイパーリンク" xfId="8243" builtinId="9" hidden="1"/>
    <cellStyle name="表示済みのハイパーリンク" xfId="8245" builtinId="9" hidden="1"/>
    <cellStyle name="表示済みのハイパーリンク" xfId="8247" builtinId="9" hidden="1"/>
    <cellStyle name="表示済みのハイパーリンク" xfId="8249" builtinId="9" hidden="1"/>
    <cellStyle name="表示済みのハイパーリンク" xfId="8251" builtinId="9" hidden="1"/>
    <cellStyle name="表示済みのハイパーリンク" xfId="8253" builtinId="9" hidden="1"/>
    <cellStyle name="表示済みのハイパーリンク" xfId="8255" builtinId="9" hidden="1"/>
    <cellStyle name="表示済みのハイパーリンク" xfId="8257" builtinId="9" hidden="1"/>
    <cellStyle name="表示済みのハイパーリンク" xfId="8259" builtinId="9" hidden="1"/>
    <cellStyle name="表示済みのハイパーリンク" xfId="8261" builtinId="9" hidden="1"/>
    <cellStyle name="表示済みのハイパーリンク" xfId="8263" builtinId="9" hidden="1"/>
    <cellStyle name="表示済みのハイパーリンク" xfId="8265" builtinId="9" hidden="1"/>
    <cellStyle name="表示済みのハイパーリンク" xfId="8267" builtinId="9" hidden="1"/>
    <cellStyle name="表示済みのハイパーリンク" xfId="8269" builtinId="9" hidden="1"/>
    <cellStyle name="表示済みのハイパーリンク" xfId="8271" builtinId="9" hidden="1"/>
    <cellStyle name="表示済みのハイパーリンク" xfId="8273" builtinId="9" hidden="1"/>
    <cellStyle name="表示済みのハイパーリンク" xfId="8275" builtinId="9" hidden="1"/>
    <cellStyle name="表示済みのハイパーリンク" xfId="8277" builtinId="9" hidden="1"/>
    <cellStyle name="表示済みのハイパーリンク" xfId="8279" builtinId="9" hidden="1"/>
    <cellStyle name="表示済みのハイパーリンク" xfId="8281" builtinId="9" hidden="1"/>
    <cellStyle name="表示済みのハイパーリンク" xfId="8283" builtinId="9" hidden="1"/>
    <cellStyle name="表示済みのハイパーリンク" xfId="8285" builtinId="9" hidden="1"/>
    <cellStyle name="表示済みのハイパーリンク" xfId="8287" builtinId="9" hidden="1"/>
    <cellStyle name="表示済みのハイパーリンク" xfId="8289" builtinId="9" hidden="1"/>
    <cellStyle name="表示済みのハイパーリンク" xfId="8291" builtinId="9" hidden="1"/>
    <cellStyle name="表示済みのハイパーリンク" xfId="8293" builtinId="9" hidden="1"/>
    <cellStyle name="表示済みのハイパーリンク" xfId="8295" builtinId="9" hidden="1"/>
    <cellStyle name="表示済みのハイパーリンク" xfId="8297" builtinId="9" hidden="1"/>
    <cellStyle name="表示済みのハイパーリンク" xfId="8299" builtinId="9" hidden="1"/>
    <cellStyle name="表示済みのハイパーリンク" xfId="8301" builtinId="9" hidden="1"/>
    <cellStyle name="表示済みのハイパーリンク" xfId="8303" builtinId="9" hidden="1"/>
    <cellStyle name="表示済みのハイパーリンク" xfId="8305" builtinId="9" hidden="1"/>
    <cellStyle name="表示済みのハイパーリンク" xfId="8307" builtinId="9" hidden="1"/>
    <cellStyle name="表示済みのハイパーリンク" xfId="8309" builtinId="9" hidden="1"/>
    <cellStyle name="表示済みのハイパーリンク" xfId="8311" builtinId="9" hidden="1"/>
    <cellStyle name="表示済みのハイパーリンク" xfId="8313" builtinId="9" hidden="1"/>
    <cellStyle name="表示済みのハイパーリンク" xfId="8315" builtinId="9" hidden="1"/>
    <cellStyle name="表示済みのハイパーリンク" xfId="8317" builtinId="9" hidden="1"/>
    <cellStyle name="表示済みのハイパーリンク" xfId="8319" builtinId="9" hidden="1"/>
    <cellStyle name="表示済みのハイパーリンク" xfId="8321" builtinId="9" hidden="1"/>
    <cellStyle name="表示済みのハイパーリンク" xfId="8323" builtinId="9" hidden="1"/>
    <cellStyle name="表示済みのハイパーリンク" xfId="8325" builtinId="9" hidden="1"/>
    <cellStyle name="表示済みのハイパーリンク" xfId="8327" builtinId="9" hidden="1"/>
    <cellStyle name="表示済みのハイパーリンク" xfId="8329" builtinId="9" hidden="1"/>
    <cellStyle name="表示済みのハイパーリンク" xfId="8331" builtinId="9" hidden="1"/>
    <cellStyle name="表示済みのハイパーリンク" xfId="8333" builtinId="9" hidden="1"/>
    <cellStyle name="表示済みのハイパーリンク" xfId="8335" builtinId="9" hidden="1"/>
    <cellStyle name="表示済みのハイパーリンク" xfId="8337" builtinId="9" hidden="1"/>
    <cellStyle name="表示済みのハイパーリンク" xfId="8339" builtinId="9" hidden="1"/>
    <cellStyle name="表示済みのハイパーリンク" xfId="8341" builtinId="9" hidden="1"/>
    <cellStyle name="表示済みのハイパーリンク" xfId="8343" builtinId="9" hidden="1"/>
    <cellStyle name="表示済みのハイパーリンク" xfId="8345" builtinId="9" hidden="1"/>
    <cellStyle name="表示済みのハイパーリンク" xfId="8347" builtinId="9" hidden="1"/>
    <cellStyle name="表示済みのハイパーリンク" xfId="8349" builtinId="9" hidden="1"/>
    <cellStyle name="表示済みのハイパーリンク" xfId="8351" builtinId="9" hidden="1"/>
    <cellStyle name="表示済みのハイパーリンク" xfId="8353" builtinId="9" hidden="1"/>
    <cellStyle name="表示済みのハイパーリンク" xfId="8355" builtinId="9" hidden="1"/>
    <cellStyle name="表示済みのハイパーリンク" xfId="8357" builtinId="9" hidden="1"/>
    <cellStyle name="表示済みのハイパーリンク" xfId="8359" builtinId="9" hidden="1"/>
    <cellStyle name="表示済みのハイパーリンク" xfId="8361" builtinId="9" hidden="1"/>
    <cellStyle name="表示済みのハイパーリンク" xfId="8363" builtinId="9" hidden="1"/>
    <cellStyle name="表示済みのハイパーリンク" xfId="8365" builtinId="9" hidden="1"/>
    <cellStyle name="表示済みのハイパーリンク" xfId="8367" builtinId="9" hidden="1"/>
    <cellStyle name="表示済みのハイパーリンク" xfId="8369" builtinId="9" hidden="1"/>
    <cellStyle name="表示済みのハイパーリンク" xfId="8371" builtinId="9" hidden="1"/>
    <cellStyle name="表示済みのハイパーリンク" xfId="8373" builtinId="9" hidden="1"/>
    <cellStyle name="表示済みのハイパーリンク" xfId="8375" builtinId="9" hidden="1"/>
    <cellStyle name="表示済みのハイパーリンク" xfId="8377" builtinId="9" hidden="1"/>
    <cellStyle name="表示済みのハイパーリンク" xfId="8379" builtinId="9" hidden="1"/>
    <cellStyle name="表示済みのハイパーリンク" xfId="8381" builtinId="9" hidden="1"/>
    <cellStyle name="表示済みのハイパーリンク" xfId="8383" builtinId="9" hidden="1"/>
    <cellStyle name="表示済みのハイパーリンク" xfId="8385" builtinId="9" hidden="1"/>
    <cellStyle name="表示済みのハイパーリンク" xfId="8387" builtinId="9" hidden="1"/>
    <cellStyle name="表示済みのハイパーリンク" xfId="8389" builtinId="9" hidden="1"/>
    <cellStyle name="表示済みのハイパーリンク" xfId="8391" builtinId="9" hidden="1"/>
    <cellStyle name="表示済みのハイパーリンク" xfId="8393" builtinId="9" hidden="1"/>
    <cellStyle name="表示済みのハイパーリンク" xfId="8395" builtinId="9" hidden="1"/>
    <cellStyle name="表示済みのハイパーリンク" xfId="8397" builtinId="9" hidden="1"/>
    <cellStyle name="表示済みのハイパーリンク" xfId="8399" builtinId="9" hidden="1"/>
    <cellStyle name="表示済みのハイパーリンク" xfId="8401" builtinId="9" hidden="1"/>
    <cellStyle name="表示済みのハイパーリンク" xfId="8403" builtinId="9" hidden="1"/>
    <cellStyle name="表示済みのハイパーリンク" xfId="8405" builtinId="9" hidden="1"/>
    <cellStyle name="表示済みのハイパーリンク" xfId="8407" builtinId="9" hidden="1"/>
    <cellStyle name="表示済みのハイパーリンク" xfId="8409" builtinId="9" hidden="1"/>
    <cellStyle name="表示済みのハイパーリンク" xfId="8411" builtinId="9" hidden="1"/>
    <cellStyle name="表示済みのハイパーリンク" xfId="8413" builtinId="9" hidden="1"/>
    <cellStyle name="表示済みのハイパーリンク" xfId="8415" builtinId="9" hidden="1"/>
    <cellStyle name="表示済みのハイパーリンク" xfId="8417" builtinId="9" hidden="1"/>
    <cellStyle name="表示済みのハイパーリンク" xfId="8419" builtinId="9" hidden="1"/>
    <cellStyle name="表示済みのハイパーリンク" xfId="8421" builtinId="9" hidden="1"/>
    <cellStyle name="表示済みのハイパーリンク" xfId="8423" builtinId="9" hidden="1"/>
    <cellStyle name="表示済みのハイパーリンク" xfId="8425" builtinId="9" hidden="1"/>
    <cellStyle name="表示済みのハイパーリンク" xfId="8427" builtinId="9" hidden="1"/>
    <cellStyle name="表示済みのハイパーリンク" xfId="8429" builtinId="9" hidden="1"/>
    <cellStyle name="表示済みのハイパーリンク" xfId="8431" builtinId="9" hidden="1"/>
    <cellStyle name="表示済みのハイパーリンク" xfId="8433" builtinId="9" hidden="1"/>
    <cellStyle name="表示済みのハイパーリンク" xfId="8435" builtinId="9" hidden="1"/>
    <cellStyle name="表示済みのハイパーリンク" xfId="8437" builtinId="9" hidden="1"/>
    <cellStyle name="表示済みのハイパーリンク" xfId="8439" builtinId="9" hidden="1"/>
    <cellStyle name="表示済みのハイパーリンク" xfId="8441" builtinId="9" hidden="1"/>
    <cellStyle name="表示済みのハイパーリンク" xfId="8443" builtinId="9" hidden="1"/>
    <cellStyle name="表示済みのハイパーリンク" xfId="8445" builtinId="9" hidden="1"/>
    <cellStyle name="表示済みのハイパーリンク" xfId="8447" builtinId="9" hidden="1"/>
    <cellStyle name="表示済みのハイパーリンク" xfId="8449" builtinId="9" hidden="1"/>
    <cellStyle name="表示済みのハイパーリンク" xfId="8451" builtinId="9" hidden="1"/>
    <cellStyle name="表示済みのハイパーリンク" xfId="8453" builtinId="9" hidden="1"/>
    <cellStyle name="表示済みのハイパーリンク" xfId="8455" builtinId="9" hidden="1"/>
    <cellStyle name="表示済みのハイパーリンク" xfId="8457" builtinId="9" hidden="1"/>
    <cellStyle name="表示済みのハイパーリンク" xfId="8459" builtinId="9" hidden="1"/>
    <cellStyle name="表示済みのハイパーリンク" xfId="8461" builtinId="9" hidden="1"/>
    <cellStyle name="表示済みのハイパーリンク" xfId="8463" builtinId="9" hidden="1"/>
    <cellStyle name="表示済みのハイパーリンク" xfId="8465" builtinId="9" hidden="1"/>
    <cellStyle name="表示済みのハイパーリンク" xfId="8467" builtinId="9" hidden="1"/>
    <cellStyle name="表示済みのハイパーリンク" xfId="8469" builtinId="9" hidden="1"/>
    <cellStyle name="表示済みのハイパーリンク" xfId="8471" builtinId="9" hidden="1"/>
    <cellStyle name="表示済みのハイパーリンク" xfId="8473" builtinId="9" hidden="1"/>
    <cellStyle name="表示済みのハイパーリンク" xfId="8475" builtinId="9" hidden="1"/>
    <cellStyle name="表示済みのハイパーリンク" xfId="8477" builtinId="9" hidden="1"/>
    <cellStyle name="表示済みのハイパーリンク" xfId="8479" builtinId="9" hidden="1"/>
    <cellStyle name="表示済みのハイパーリンク" xfId="8481" builtinId="9" hidden="1"/>
    <cellStyle name="表示済みのハイパーリンク" xfId="8483" builtinId="9" hidden="1"/>
    <cellStyle name="表示済みのハイパーリンク" xfId="8485" builtinId="9" hidden="1"/>
    <cellStyle name="表示済みのハイパーリンク" xfId="8487" builtinId="9" hidden="1"/>
    <cellStyle name="表示済みのハイパーリンク" xfId="8489" builtinId="9" hidden="1"/>
    <cellStyle name="表示済みのハイパーリンク" xfId="8491" builtinId="9" hidden="1"/>
    <cellStyle name="表示済みのハイパーリンク" xfId="8493" builtinId="9" hidden="1"/>
    <cellStyle name="表示済みのハイパーリンク" xfId="8495" builtinId="9" hidden="1"/>
    <cellStyle name="表示済みのハイパーリンク" xfId="8497" builtinId="9" hidden="1"/>
    <cellStyle name="表示済みのハイパーリンク" xfId="8499" builtinId="9" hidden="1"/>
    <cellStyle name="表示済みのハイパーリンク" xfId="8501" builtinId="9" hidden="1"/>
    <cellStyle name="表示済みのハイパーリンク" xfId="8503" builtinId="9" hidden="1"/>
    <cellStyle name="表示済みのハイパーリンク" xfId="8505" builtinId="9" hidden="1"/>
    <cellStyle name="表示済みのハイパーリンク" xfId="8507" builtinId="9" hidden="1"/>
    <cellStyle name="表示済みのハイパーリンク" xfId="8509" builtinId="9" hidden="1"/>
    <cellStyle name="表示済みのハイパーリンク" xfId="8511" builtinId="9" hidden="1"/>
    <cellStyle name="表示済みのハイパーリンク" xfId="8513" builtinId="9" hidden="1"/>
    <cellStyle name="表示済みのハイパーリンク" xfId="8515" builtinId="9" hidden="1"/>
    <cellStyle name="表示済みのハイパーリンク" xfId="8517" builtinId="9" hidden="1"/>
    <cellStyle name="表示済みのハイパーリンク" xfId="8519" builtinId="9" hidden="1"/>
    <cellStyle name="表示済みのハイパーリンク" xfId="8521" builtinId="9" hidden="1"/>
    <cellStyle name="表示済みのハイパーリンク" xfId="8523" builtinId="9" hidden="1"/>
    <cellStyle name="表示済みのハイパーリンク" xfId="8525" builtinId="9" hidden="1"/>
    <cellStyle name="表示済みのハイパーリンク" xfId="8527" builtinId="9" hidden="1"/>
    <cellStyle name="表示済みのハイパーリンク" xfId="8529" builtinId="9" hidden="1"/>
    <cellStyle name="表示済みのハイパーリンク" xfId="8531" builtinId="9" hidden="1"/>
    <cellStyle name="表示済みのハイパーリンク" xfId="8533" builtinId="9" hidden="1"/>
    <cellStyle name="表示済みのハイパーリンク" xfId="8535" builtinId="9" hidden="1"/>
    <cellStyle name="表示済みのハイパーリンク" xfId="8537" builtinId="9" hidden="1"/>
    <cellStyle name="表示済みのハイパーリンク" xfId="8539" builtinId="9" hidden="1"/>
    <cellStyle name="表示済みのハイパーリンク" xfId="8541" builtinId="9" hidden="1"/>
    <cellStyle name="表示済みのハイパーリンク" xfId="8543" builtinId="9" hidden="1"/>
    <cellStyle name="表示済みのハイパーリンク" xfId="8545" builtinId="9" hidden="1"/>
    <cellStyle name="表示済みのハイパーリンク" xfId="8547" builtinId="9" hidden="1"/>
    <cellStyle name="表示済みのハイパーリンク" xfId="8549" builtinId="9" hidden="1"/>
    <cellStyle name="表示済みのハイパーリンク" xfId="8551" builtinId="9" hidden="1"/>
    <cellStyle name="表示済みのハイパーリンク" xfId="8553" builtinId="9" hidden="1"/>
    <cellStyle name="表示済みのハイパーリンク" xfId="8555" builtinId="9" hidden="1"/>
    <cellStyle name="表示済みのハイパーリンク" xfId="8557" builtinId="9" hidden="1"/>
    <cellStyle name="表示済みのハイパーリンク" xfId="8559" builtinId="9" hidden="1"/>
    <cellStyle name="表示済みのハイパーリンク" xfId="8561" builtinId="9" hidden="1"/>
    <cellStyle name="表示済みのハイパーリンク" xfId="8563" builtinId="9" hidden="1"/>
    <cellStyle name="表示済みのハイパーリンク" xfId="8565" builtinId="9" hidden="1"/>
    <cellStyle name="表示済みのハイパーリンク" xfId="8567" builtinId="9" hidden="1"/>
    <cellStyle name="表示済みのハイパーリンク" xfId="8569" builtinId="9" hidden="1"/>
    <cellStyle name="表示済みのハイパーリンク" xfId="8571" builtinId="9" hidden="1"/>
    <cellStyle name="表示済みのハイパーリンク" xfId="8573" builtinId="9" hidden="1"/>
    <cellStyle name="表示済みのハイパーリンク" xfId="8575" builtinId="9" hidden="1"/>
    <cellStyle name="表示済みのハイパーリンク" xfId="8577" builtinId="9" hidden="1"/>
    <cellStyle name="表示済みのハイパーリンク" xfId="8579" builtinId="9" hidden="1"/>
    <cellStyle name="表示済みのハイパーリンク" xfId="8581" builtinId="9" hidden="1"/>
    <cellStyle name="表示済みのハイパーリンク" xfId="8583" builtinId="9" hidden="1"/>
    <cellStyle name="表示済みのハイパーリンク" xfId="8585" builtinId="9" hidden="1"/>
    <cellStyle name="表示済みのハイパーリンク" xfId="8587" builtinId="9" hidden="1"/>
    <cellStyle name="表示済みのハイパーリンク" xfId="8589" builtinId="9" hidden="1"/>
    <cellStyle name="表示済みのハイパーリンク" xfId="8591" builtinId="9" hidden="1"/>
    <cellStyle name="表示済みのハイパーリンク" xfId="8593" builtinId="9" hidden="1"/>
    <cellStyle name="表示済みのハイパーリンク" xfId="8595" builtinId="9" hidden="1"/>
    <cellStyle name="表示済みのハイパーリンク" xfId="8597" builtinId="9" hidden="1"/>
    <cellStyle name="表示済みのハイパーリンク" xfId="8599" builtinId="9" hidden="1"/>
    <cellStyle name="表示済みのハイパーリンク" xfId="8601" builtinId="9" hidden="1"/>
    <cellStyle name="表示済みのハイパーリンク" xfId="8603" builtinId="9" hidden="1"/>
    <cellStyle name="表示済みのハイパーリンク" xfId="8605" builtinId="9" hidden="1"/>
    <cellStyle name="表示済みのハイパーリンク" xfId="8607" builtinId="9" hidden="1"/>
    <cellStyle name="表示済みのハイパーリンク" xfId="8609" builtinId="9" hidden="1"/>
    <cellStyle name="表示済みのハイパーリンク" xfId="8611" builtinId="9" hidden="1"/>
    <cellStyle name="表示済みのハイパーリンク" xfId="8613" builtinId="9" hidden="1"/>
    <cellStyle name="表示済みのハイパーリンク" xfId="8615" builtinId="9" hidden="1"/>
    <cellStyle name="表示済みのハイパーリンク" xfId="8617" builtinId="9" hidden="1"/>
    <cellStyle name="表示済みのハイパーリンク" xfId="8619" builtinId="9" hidden="1"/>
    <cellStyle name="表示済みのハイパーリンク" xfId="8621" builtinId="9" hidden="1"/>
    <cellStyle name="表示済みのハイパーリンク" xfId="8623" builtinId="9" hidden="1"/>
    <cellStyle name="表示済みのハイパーリンク" xfId="8625" builtinId="9" hidden="1"/>
    <cellStyle name="表示済みのハイパーリンク" xfId="8627" builtinId="9" hidden="1"/>
    <cellStyle name="表示済みのハイパーリンク" xfId="8629" builtinId="9" hidden="1"/>
    <cellStyle name="表示済みのハイパーリンク" xfId="8631" builtinId="9" hidden="1"/>
    <cellStyle name="表示済みのハイパーリンク" xfId="8633" builtinId="9" hidden="1"/>
    <cellStyle name="表示済みのハイパーリンク" xfId="8635" builtinId="9" hidden="1"/>
    <cellStyle name="表示済みのハイパーリンク" xfId="8637" builtinId="9" hidden="1"/>
    <cellStyle name="表示済みのハイパーリンク" xfId="8639" builtinId="9" hidden="1"/>
    <cellStyle name="表示済みのハイパーリンク" xfId="8641" builtinId="9" hidden="1"/>
    <cellStyle name="表示済みのハイパーリンク" xfId="8643" builtinId="9" hidden="1"/>
    <cellStyle name="表示済みのハイパーリンク" xfId="8645" builtinId="9" hidden="1"/>
    <cellStyle name="表示済みのハイパーリンク" xfId="8647" builtinId="9" hidden="1"/>
    <cellStyle name="表示済みのハイパーリンク" xfId="8649" builtinId="9" hidden="1"/>
    <cellStyle name="表示済みのハイパーリンク" xfId="8651" builtinId="9" hidden="1"/>
    <cellStyle name="表示済みのハイパーリンク" xfId="8653" builtinId="9" hidden="1"/>
    <cellStyle name="表示済みのハイパーリンク" xfId="8655" builtinId="9" hidden="1"/>
    <cellStyle name="表示済みのハイパーリンク" xfId="8657" builtinId="9" hidden="1"/>
    <cellStyle name="表示済みのハイパーリンク" xfId="8659" builtinId="9" hidden="1"/>
    <cellStyle name="表示済みのハイパーリンク" xfId="8661" builtinId="9" hidden="1"/>
    <cellStyle name="表示済みのハイパーリンク" xfId="8663" builtinId="9" hidden="1"/>
    <cellStyle name="表示済みのハイパーリンク" xfId="8665" builtinId="9" hidden="1"/>
    <cellStyle name="表示済みのハイパーリンク" xfId="8667" builtinId="9" hidden="1"/>
    <cellStyle name="表示済みのハイパーリンク" xfId="8669" builtinId="9" hidden="1"/>
    <cellStyle name="表示済みのハイパーリンク" xfId="8671" builtinId="9" hidden="1"/>
    <cellStyle name="表示済みのハイパーリンク" xfId="8673" builtinId="9" hidden="1"/>
    <cellStyle name="表示済みのハイパーリンク" xfId="8675" builtinId="9" hidden="1"/>
    <cellStyle name="表示済みのハイパーリンク" xfId="8677" builtinId="9" hidden="1"/>
    <cellStyle name="表示済みのハイパーリンク" xfId="8679" builtinId="9" hidden="1"/>
    <cellStyle name="表示済みのハイパーリンク" xfId="8681" builtinId="9" hidden="1"/>
    <cellStyle name="表示済みのハイパーリンク" xfId="8683" builtinId="9" hidden="1"/>
    <cellStyle name="表示済みのハイパーリンク" xfId="8685" builtinId="9" hidden="1"/>
    <cellStyle name="表示済みのハイパーリンク" xfId="8687" builtinId="9" hidden="1"/>
    <cellStyle name="赤字強調" xfId="51"/>
    <cellStyle name="青字強調" xfId="50"/>
  </cellStyles>
  <dxfs count="228"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3"/>
      </font>
      <fill>
        <patternFill patternType="solid">
          <fgColor indexed="64"/>
          <bgColor theme="3" tint="0.79998168889431442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8B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  <sheetName val="unit_skills.csv"/>
      <sheetName val="unit_skills_i18n.csv"/>
      <sheetName val="unit_skill_up_patterns.csv"/>
      <sheetName val="crash_skills.csv"/>
      <sheetName val="crash_skills_i18n.csv"/>
      <sheetName val="localized_texts"/>
      <sheetName val="ユニット"/>
      <sheetName val="unit_levels"/>
      <sheetName val="characters"/>
      <sheetName val="units"/>
      <sheetName val="character_types"/>
      <sheetName val="character_tribes"/>
      <sheetName val="mst_evolution"/>
      <sheetName val="group_skills"/>
      <sheetName val="grimoires(extended)"/>
      <sheetName val="経験値"/>
      <sheetName val="RC6SV"/>
      <sheetName val="レベル"/>
      <sheetName val="コスト"/>
      <sheetName val="属性"/>
      <sheetName val="マナ"/>
      <sheetName val="経験値テーブル"/>
      <sheetName val="素材経験値"/>
      <sheetName val="売却ビット係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periods"/>
      <sheetName val="periods.csv"/>
    </sheetNames>
    <sheetDataSet>
      <sheetData sheetId="0"/>
      <sheetData sheetId="1">
        <row r="2">
          <cell r="D2" t="str">
            <v>AM</v>
          </cell>
          <cell r="E2" t="str">
            <v>6:00:00</v>
          </cell>
          <cell r="F2" t="str">
            <v>13:59:59</v>
          </cell>
        </row>
        <row r="3">
          <cell r="D3" t="str">
            <v>PM</v>
          </cell>
          <cell r="E3" t="str">
            <v>16:00:00</v>
          </cell>
          <cell r="F3" t="str">
            <v>23:59:59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L17"/>
  <sheetViews>
    <sheetView zoomScale="120" zoomScaleNormal="120" zoomScalePageLayoutView="120" workbookViewId="0">
      <selection activeCell="D36" sqref="D36"/>
    </sheetView>
  </sheetViews>
  <sheetFormatPr baseColWidth="12" defaultRowHeight="15" x14ac:dyDescent="0.15"/>
  <cols>
    <col min="1" max="1" width="13" style="99"/>
    <col min="2" max="2" width="17.19921875" style="99" bestFit="1" customWidth="1"/>
    <col min="3" max="4" width="13" style="99"/>
    <col min="5" max="5" width="20.3984375" style="99" bestFit="1" customWidth="1"/>
    <col min="6" max="6" width="16" style="99" bestFit="1" customWidth="1"/>
    <col min="7" max="16384" width="13" style="99"/>
  </cols>
  <sheetData>
    <row r="1" spans="1:38" x14ac:dyDescent="0.15">
      <c r="A1" s="116" t="s">
        <v>577</v>
      </c>
      <c r="B1" s="97" t="s">
        <v>542</v>
      </c>
      <c r="C1" s="97" t="s">
        <v>543</v>
      </c>
      <c r="D1" s="97" t="s">
        <v>544</v>
      </c>
      <c r="E1" s="97" t="s">
        <v>545</v>
      </c>
      <c r="F1" s="97" t="s">
        <v>546</v>
      </c>
      <c r="G1" s="97" t="s">
        <v>547</v>
      </c>
      <c r="H1" s="98"/>
      <c r="I1" s="98"/>
      <c r="J1" s="98"/>
      <c r="K1" s="98"/>
      <c r="L1" s="98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00"/>
      <c r="AJ1" s="100"/>
      <c r="AK1" s="100"/>
      <c r="AL1" s="100"/>
    </row>
    <row r="2" spans="1:38" x14ac:dyDescent="0.15">
      <c r="A2" s="144" t="s">
        <v>644</v>
      </c>
      <c r="B2" s="100" t="s">
        <v>552</v>
      </c>
      <c r="C2" s="100"/>
      <c r="D2" s="100" t="s">
        <v>548</v>
      </c>
      <c r="E2" s="98" t="str">
        <f t="shared" ref="E2:E17" si="0">B2&amp;C2&amp;D2</f>
        <v>quests.csv</v>
      </c>
      <c r="F2" s="100" t="s">
        <v>551</v>
      </c>
      <c r="G2" s="101" t="s">
        <v>166</v>
      </c>
      <c r="H2" s="101" t="s">
        <v>167</v>
      </c>
      <c r="I2" s="101" t="s">
        <v>168</v>
      </c>
      <c r="J2" s="132" t="s">
        <v>625</v>
      </c>
      <c r="K2" s="132" t="s">
        <v>626</v>
      </c>
      <c r="L2" s="132" t="s">
        <v>627</v>
      </c>
      <c r="M2" s="132" t="s">
        <v>628</v>
      </c>
      <c r="N2" s="165" t="s">
        <v>909</v>
      </c>
      <c r="O2" s="160" t="s">
        <v>903</v>
      </c>
      <c r="P2" s="265" t="s">
        <v>1698</v>
      </c>
      <c r="Q2" s="266" t="s">
        <v>1699</v>
      </c>
      <c r="R2" s="264" t="s">
        <v>1697</v>
      </c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</row>
    <row r="3" spans="1:38" x14ac:dyDescent="0.15">
      <c r="A3" s="144" t="s">
        <v>645</v>
      </c>
      <c r="B3" s="100" t="s">
        <v>553</v>
      </c>
      <c r="C3" s="100"/>
      <c r="D3" s="100" t="s">
        <v>549</v>
      </c>
      <c r="E3" s="98" t="str">
        <f t="shared" si="0"/>
        <v>quests_i18n.csv</v>
      </c>
      <c r="F3" s="100" t="s">
        <v>551</v>
      </c>
      <c r="G3" s="101" t="s">
        <v>166</v>
      </c>
      <c r="H3" s="101" t="s">
        <v>170</v>
      </c>
      <c r="I3" s="101" t="s">
        <v>179</v>
      </c>
      <c r="J3" s="101" t="s">
        <v>381</v>
      </c>
      <c r="K3" s="132" t="s">
        <v>630</v>
      </c>
      <c r="L3" s="109"/>
      <c r="M3" s="11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</row>
    <row r="4" spans="1:38" x14ac:dyDescent="0.15">
      <c r="A4" s="144" t="s">
        <v>645</v>
      </c>
      <c r="B4" s="100" t="s">
        <v>555</v>
      </c>
      <c r="C4" s="100"/>
      <c r="D4" s="100" t="s">
        <v>548</v>
      </c>
      <c r="E4" s="98" t="str">
        <f t="shared" si="0"/>
        <v>stages.csv</v>
      </c>
      <c r="F4" s="100" t="s">
        <v>554</v>
      </c>
      <c r="G4" s="101" t="s">
        <v>21</v>
      </c>
      <c r="H4" s="101" t="s">
        <v>33</v>
      </c>
      <c r="I4" s="102" t="s">
        <v>34</v>
      </c>
      <c r="J4" s="102" t="s">
        <v>4</v>
      </c>
      <c r="K4" s="102" t="s">
        <v>5</v>
      </c>
      <c r="L4" s="102" t="s">
        <v>6</v>
      </c>
      <c r="M4" s="102" t="s">
        <v>7</v>
      </c>
      <c r="N4" s="102" t="s">
        <v>8</v>
      </c>
      <c r="O4" s="102" t="s">
        <v>35</v>
      </c>
      <c r="P4" s="102" t="s">
        <v>9</v>
      </c>
      <c r="Q4" s="102" t="s">
        <v>36</v>
      </c>
      <c r="R4" s="102" t="s">
        <v>10</v>
      </c>
      <c r="S4" s="102" t="s">
        <v>11</v>
      </c>
      <c r="T4" s="102" t="s">
        <v>121</v>
      </c>
      <c r="U4" s="102" t="s">
        <v>122</v>
      </c>
      <c r="V4" s="102" t="s">
        <v>123</v>
      </c>
      <c r="W4" s="102" t="s">
        <v>124</v>
      </c>
      <c r="X4" s="102" t="s">
        <v>3</v>
      </c>
      <c r="Y4" s="102" t="s">
        <v>520</v>
      </c>
      <c r="Z4" s="102" t="s">
        <v>517</v>
      </c>
      <c r="AA4" s="103" t="s">
        <v>535</v>
      </c>
      <c r="AB4" s="103" t="s">
        <v>536</v>
      </c>
      <c r="AC4" s="163" t="s">
        <v>907</v>
      </c>
      <c r="AD4" s="103" t="s">
        <v>538</v>
      </c>
      <c r="AE4" s="132" t="s">
        <v>625</v>
      </c>
      <c r="AF4" s="132" t="s">
        <v>626</v>
      </c>
      <c r="AG4" s="132" t="s">
        <v>627</v>
      </c>
      <c r="AH4" s="132" t="s">
        <v>628</v>
      </c>
      <c r="AI4" s="166" t="s">
        <v>911</v>
      </c>
      <c r="AJ4" s="100" t="s">
        <v>1063</v>
      </c>
      <c r="AK4" s="100" t="s">
        <v>1694</v>
      </c>
      <c r="AL4" s="318" t="s">
        <v>2322</v>
      </c>
    </row>
    <row r="5" spans="1:38" x14ac:dyDescent="0.15">
      <c r="A5" s="117" t="s">
        <v>578</v>
      </c>
      <c r="B5" s="100" t="s">
        <v>556</v>
      </c>
      <c r="C5" s="100"/>
      <c r="D5" s="100" t="s">
        <v>548</v>
      </c>
      <c r="E5" s="98" t="str">
        <f t="shared" si="0"/>
        <v>stages_i18n.csv</v>
      </c>
      <c r="F5" s="100" t="s">
        <v>554</v>
      </c>
      <c r="G5" s="101" t="s">
        <v>21</v>
      </c>
      <c r="H5" s="101" t="s">
        <v>33</v>
      </c>
      <c r="I5" s="102" t="s">
        <v>125</v>
      </c>
      <c r="J5" s="102" t="s">
        <v>126</v>
      </c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</row>
    <row r="6" spans="1:38" x14ac:dyDescent="0.15">
      <c r="A6" s="117" t="s">
        <v>578</v>
      </c>
      <c r="B6" s="100" t="s">
        <v>558</v>
      </c>
      <c r="C6" s="100"/>
      <c r="D6" s="100" t="s">
        <v>550</v>
      </c>
      <c r="E6" s="98" t="str">
        <f t="shared" si="0"/>
        <v>weekly_quests.csv</v>
      </c>
      <c r="F6" s="100" t="s">
        <v>557</v>
      </c>
      <c r="G6" s="101" t="s">
        <v>21</v>
      </c>
      <c r="H6" s="101" t="s">
        <v>23</v>
      </c>
      <c r="I6" s="102" t="s">
        <v>24</v>
      </c>
      <c r="J6" s="102" t="s">
        <v>25</v>
      </c>
      <c r="K6" s="102" t="s">
        <v>26</v>
      </c>
      <c r="L6" s="102" t="s">
        <v>27</v>
      </c>
      <c r="M6" s="102" t="s">
        <v>28</v>
      </c>
      <c r="N6" s="102" t="s">
        <v>29</v>
      </c>
      <c r="O6" s="102" t="s">
        <v>30</v>
      </c>
      <c r="P6" s="102" t="s">
        <v>31</v>
      </c>
      <c r="Q6" s="115" t="s">
        <v>575</v>
      </c>
      <c r="R6" s="104" t="s">
        <v>539</v>
      </c>
      <c r="S6" s="104" t="s">
        <v>187</v>
      </c>
      <c r="T6" s="104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</row>
    <row r="7" spans="1:38" x14ac:dyDescent="0.15">
      <c r="A7" s="117" t="s">
        <v>578</v>
      </c>
      <c r="B7" s="100" t="s">
        <v>560</v>
      </c>
      <c r="C7" s="100"/>
      <c r="D7" s="100" t="s">
        <v>548</v>
      </c>
      <c r="E7" s="98" t="str">
        <f t="shared" si="0"/>
        <v>rank_quests.csv</v>
      </c>
      <c r="F7" s="100" t="s">
        <v>559</v>
      </c>
      <c r="G7" s="101" t="s">
        <v>176</v>
      </c>
      <c r="H7" s="101" t="s">
        <v>177</v>
      </c>
      <c r="I7" s="102" t="s">
        <v>33</v>
      </c>
      <c r="J7" s="105" t="s">
        <v>405</v>
      </c>
      <c r="K7" s="114"/>
      <c r="L7" s="114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</row>
    <row r="8" spans="1:38" x14ac:dyDescent="0.15">
      <c r="A8" s="117" t="s">
        <v>578</v>
      </c>
      <c r="B8" s="100" t="s">
        <v>566</v>
      </c>
      <c r="C8" s="100"/>
      <c r="D8" s="100" t="s">
        <v>548</v>
      </c>
      <c r="E8" s="98" t="str">
        <f t="shared" si="0"/>
        <v>event_quests.csv</v>
      </c>
      <c r="F8" s="100" t="s">
        <v>561</v>
      </c>
      <c r="G8" s="101" t="s">
        <v>41</v>
      </c>
      <c r="H8" s="102" t="s">
        <v>23</v>
      </c>
      <c r="I8" s="102" t="s">
        <v>31</v>
      </c>
      <c r="J8" s="102" t="s">
        <v>32</v>
      </c>
      <c r="K8" s="286" t="s">
        <v>2065</v>
      </c>
      <c r="L8" s="112"/>
      <c r="M8" s="113"/>
      <c r="N8" s="113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</row>
    <row r="9" spans="1:38" x14ac:dyDescent="0.15">
      <c r="A9" s="117" t="s">
        <v>578</v>
      </c>
      <c r="B9" s="201" t="s">
        <v>1037</v>
      </c>
      <c r="C9" s="100"/>
      <c r="D9" s="100" t="s">
        <v>548</v>
      </c>
      <c r="E9" s="98" t="str">
        <f t="shared" ref="E9" si="1">B9&amp;C9&amp;D9</f>
        <v>event_quests_i18n.csv</v>
      </c>
      <c r="F9" s="100" t="s">
        <v>561</v>
      </c>
      <c r="G9" s="101" t="s">
        <v>41</v>
      </c>
      <c r="H9" s="202" t="s">
        <v>1038</v>
      </c>
      <c r="I9" s="102" t="s">
        <v>23</v>
      </c>
      <c r="J9" s="102"/>
      <c r="K9" s="112"/>
      <c r="L9" s="112"/>
      <c r="M9" s="113"/>
      <c r="N9" s="113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</row>
    <row r="10" spans="1:38" x14ac:dyDescent="0.15">
      <c r="A10" s="117" t="s">
        <v>578</v>
      </c>
      <c r="B10" s="100" t="s">
        <v>562</v>
      </c>
      <c r="C10" s="100"/>
      <c r="D10" s="100" t="s">
        <v>548</v>
      </c>
      <c r="E10" s="98" t="str">
        <f t="shared" si="0"/>
        <v>guerilla_quests.csv</v>
      </c>
      <c r="F10" s="100" t="s">
        <v>562</v>
      </c>
      <c r="G10" s="101" t="s">
        <v>183</v>
      </c>
      <c r="H10" s="101" t="s">
        <v>21</v>
      </c>
      <c r="I10" s="102" t="s">
        <v>184</v>
      </c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</row>
    <row r="11" spans="1:38" x14ac:dyDescent="0.15">
      <c r="A11" s="117" t="s">
        <v>578</v>
      </c>
      <c r="B11" s="100" t="s">
        <v>563</v>
      </c>
      <c r="C11" s="100"/>
      <c r="D11" s="100" t="s">
        <v>548</v>
      </c>
      <c r="E11" s="98" t="str">
        <f t="shared" si="0"/>
        <v>noon_guerilla_times.csv</v>
      </c>
      <c r="F11" s="100" t="s">
        <v>563</v>
      </c>
      <c r="G11" s="101" t="s">
        <v>185</v>
      </c>
      <c r="H11" s="101" t="s">
        <v>13</v>
      </c>
      <c r="I11" s="102" t="s">
        <v>14</v>
      </c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</row>
    <row r="12" spans="1:38" x14ac:dyDescent="0.15">
      <c r="A12" s="117" t="s">
        <v>578</v>
      </c>
      <c r="B12" s="100" t="s">
        <v>564</v>
      </c>
      <c r="C12" s="100"/>
      <c r="D12" s="100" t="s">
        <v>548</v>
      </c>
      <c r="E12" s="98" t="str">
        <f t="shared" si="0"/>
        <v>night_guerilla_times.csv</v>
      </c>
      <c r="F12" s="100" t="s">
        <v>564</v>
      </c>
      <c r="G12" s="101" t="s">
        <v>185</v>
      </c>
      <c r="H12" s="101" t="s">
        <v>13</v>
      </c>
      <c r="I12" s="102" t="s">
        <v>14</v>
      </c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</row>
    <row r="13" spans="1:38" x14ac:dyDescent="0.15">
      <c r="A13" s="117" t="s">
        <v>578</v>
      </c>
      <c r="B13" s="100" t="s">
        <v>565</v>
      </c>
      <c r="C13" s="100"/>
      <c r="D13" s="100" t="s">
        <v>548</v>
      </c>
      <c r="E13" s="98" t="str">
        <f t="shared" si="0"/>
        <v>automatic_quest_bonuses.csv</v>
      </c>
      <c r="F13" s="100" t="s">
        <v>565</v>
      </c>
      <c r="G13" s="107" t="s">
        <v>21</v>
      </c>
      <c r="H13" s="106" t="s">
        <v>12</v>
      </c>
      <c r="I13" s="106" t="s">
        <v>13</v>
      </c>
      <c r="J13" s="106" t="s">
        <v>14</v>
      </c>
      <c r="K13" s="106" t="s">
        <v>38</v>
      </c>
      <c r="L13" s="108" t="s">
        <v>198</v>
      </c>
      <c r="M13" s="106" t="s">
        <v>32</v>
      </c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</row>
    <row r="14" spans="1:38" customFormat="1" x14ac:dyDescent="0.15">
      <c r="A14" s="117" t="s">
        <v>578</v>
      </c>
      <c r="B14" s="218" t="s">
        <v>1293</v>
      </c>
      <c r="C14" s="218" t="s">
        <v>1288</v>
      </c>
      <c r="D14" s="218" t="s">
        <v>1277</v>
      </c>
      <c r="E14" s="98" t="str">
        <f t="shared" si="0"/>
        <v>mypage_banners_data_quest.tmp</v>
      </c>
      <c r="F14" s="218" t="s">
        <v>1290</v>
      </c>
      <c r="G14" s="219" t="s">
        <v>1241</v>
      </c>
      <c r="H14" s="220" t="s">
        <v>1278</v>
      </c>
      <c r="I14" s="220" t="s">
        <v>1245</v>
      </c>
      <c r="J14" s="220" t="s">
        <v>1243</v>
      </c>
      <c r="K14" s="220" t="s">
        <v>1279</v>
      </c>
      <c r="L14" s="218"/>
      <c r="M14" s="218"/>
      <c r="N14" s="218"/>
    </row>
    <row r="15" spans="1:38" customFormat="1" x14ac:dyDescent="0.15">
      <c r="A15" s="117" t="s">
        <v>578</v>
      </c>
      <c r="B15" s="218" t="s">
        <v>1280</v>
      </c>
      <c r="C15" s="218" t="s">
        <v>1288</v>
      </c>
      <c r="D15" s="218" t="s">
        <v>1277</v>
      </c>
      <c r="E15" s="98" t="str">
        <f t="shared" si="0"/>
        <v>mypage_banners_i18n_quest.tmp</v>
      </c>
      <c r="F15" s="218" t="s">
        <v>1290</v>
      </c>
      <c r="G15" s="219" t="s">
        <v>1241</v>
      </c>
      <c r="H15" s="220" t="s">
        <v>1281</v>
      </c>
      <c r="I15" s="220" t="s">
        <v>1282</v>
      </c>
      <c r="J15" s="220"/>
      <c r="K15" s="220"/>
      <c r="L15" s="220"/>
      <c r="M15" s="218"/>
      <c r="N15" s="218"/>
    </row>
    <row r="16" spans="1:38" customFormat="1" x14ac:dyDescent="0.15">
      <c r="A16" s="117" t="s">
        <v>578</v>
      </c>
      <c r="B16" s="218" t="s">
        <v>1294</v>
      </c>
      <c r="C16" s="218" t="s">
        <v>1289</v>
      </c>
      <c r="D16" s="218" t="s">
        <v>1277</v>
      </c>
      <c r="E16" s="98" t="str">
        <f t="shared" si="0"/>
        <v>quest_banners_data_quest.tmp</v>
      </c>
      <c r="F16" s="218" t="s">
        <v>1290</v>
      </c>
      <c r="G16" s="221" t="s">
        <v>1241</v>
      </c>
      <c r="H16" s="221" t="s">
        <v>1242</v>
      </c>
      <c r="I16" s="222" t="s">
        <v>404</v>
      </c>
      <c r="J16" s="222" t="s">
        <v>1283</v>
      </c>
      <c r="K16" s="222" t="s">
        <v>1284</v>
      </c>
      <c r="L16" s="222" t="s">
        <v>181</v>
      </c>
      <c r="M16" s="223" t="s">
        <v>1243</v>
      </c>
      <c r="N16" s="223"/>
    </row>
    <row r="17" spans="1:14" customFormat="1" x14ac:dyDescent="0.15">
      <c r="A17" s="117" t="s">
        <v>578</v>
      </c>
      <c r="B17" s="218" t="s">
        <v>1285</v>
      </c>
      <c r="C17" s="218" t="s">
        <v>1289</v>
      </c>
      <c r="D17" s="218" t="s">
        <v>1277</v>
      </c>
      <c r="E17" s="98" t="str">
        <f t="shared" si="0"/>
        <v>quest_banners_i18n_quest.tmp</v>
      </c>
      <c r="F17" s="218" t="s">
        <v>1290</v>
      </c>
      <c r="G17" s="221" t="s">
        <v>1241</v>
      </c>
      <c r="H17" s="223" t="s">
        <v>1286</v>
      </c>
      <c r="I17" s="222" t="s">
        <v>1287</v>
      </c>
      <c r="J17" s="222"/>
      <c r="K17" s="222"/>
      <c r="L17" s="222"/>
      <c r="M17" s="223"/>
      <c r="N17" s="223"/>
    </row>
  </sheetData>
  <phoneticPr fontId="44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8000"/>
  </sheetPr>
  <dimension ref="A1:E10"/>
  <sheetViews>
    <sheetView showGridLines="0" workbookViewId="0"/>
  </sheetViews>
  <sheetFormatPr baseColWidth="12" defaultRowHeight="21" customHeight="1" x14ac:dyDescent="0.15"/>
  <cols>
    <col min="1" max="1" width="11" style="1" customWidth="1"/>
    <col min="2" max="2" width="8.59765625" style="1" customWidth="1"/>
    <col min="3" max="3" width="4.3984375" style="1" customWidth="1"/>
    <col min="4" max="4" width="10.59765625" style="1" customWidth="1"/>
    <col min="5" max="5" width="11.3984375" style="1" customWidth="1"/>
    <col min="6" max="16384" width="13" style="1"/>
  </cols>
  <sheetData>
    <row r="1" spans="1:5" ht="21" customHeight="1" x14ac:dyDescent="0.15">
      <c r="A1" s="26" t="s">
        <v>10</v>
      </c>
      <c r="B1" s="26" t="s">
        <v>19</v>
      </c>
      <c r="C1" s="2"/>
      <c r="D1" s="27" t="s">
        <v>15</v>
      </c>
      <c r="E1" s="27" t="s">
        <v>16</v>
      </c>
    </row>
    <row r="2" spans="1:5" ht="21" customHeight="1" x14ac:dyDescent="0.15">
      <c r="A2" s="3">
        <v>0</v>
      </c>
      <c r="B2" s="3" t="s">
        <v>20</v>
      </c>
      <c r="D2" s="3" t="s">
        <v>4</v>
      </c>
      <c r="E2" s="3">
        <v>0.5</v>
      </c>
    </row>
    <row r="3" spans="1:5" ht="21" customHeight="1" x14ac:dyDescent="0.15">
      <c r="A3" s="3">
        <v>1</v>
      </c>
      <c r="B3" s="3" t="s">
        <v>919</v>
      </c>
      <c r="D3" s="3" t="s">
        <v>44</v>
      </c>
      <c r="E3" s="3">
        <v>2</v>
      </c>
    </row>
    <row r="4" spans="1:5" ht="21" customHeight="1" x14ac:dyDescent="0.15">
      <c r="A4" s="3">
        <v>2</v>
      </c>
      <c r="B4" s="3" t="s">
        <v>920</v>
      </c>
      <c r="D4" s="3" t="s">
        <v>18</v>
      </c>
      <c r="E4" s="3">
        <v>1.5</v>
      </c>
    </row>
    <row r="5" spans="1:5" ht="21" customHeight="1" x14ac:dyDescent="0.15">
      <c r="A5" s="3">
        <v>3</v>
      </c>
      <c r="B5" s="3" t="s">
        <v>921</v>
      </c>
      <c r="D5" s="3" t="s">
        <v>43</v>
      </c>
      <c r="E5" s="28">
        <v>1.5</v>
      </c>
    </row>
    <row r="6" spans="1:5" ht="21" customHeight="1" x14ac:dyDescent="0.15">
      <c r="A6" s="3">
        <v>4</v>
      </c>
      <c r="B6" s="3" t="s">
        <v>922</v>
      </c>
    </row>
    <row r="7" spans="1:5" ht="21" customHeight="1" x14ac:dyDescent="0.15">
      <c r="D7" s="5"/>
    </row>
    <row r="8" spans="1:5" ht="21" customHeight="1" x14ac:dyDescent="0.15">
      <c r="D8" s="5"/>
    </row>
    <row r="9" spans="1:5" ht="21" customHeight="1" x14ac:dyDescent="0.15">
      <c r="D9" s="5"/>
    </row>
    <row r="10" spans="1:5" ht="21" customHeight="1" x14ac:dyDescent="0.15">
      <c r="D10" s="5"/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</sheetPr>
  <dimension ref="A1:S383"/>
  <sheetViews>
    <sheetView showGridLines="0" zoomScale="110" zoomScaleNormal="110" zoomScalePageLayoutView="110" workbookViewId="0">
      <pane ySplit="1" topLeftCell="A354" activePane="bottomLeft" state="frozen"/>
      <selection pane="bottomLeft" activeCell="A373" sqref="A373"/>
    </sheetView>
  </sheetViews>
  <sheetFormatPr baseColWidth="12" defaultColWidth="13" defaultRowHeight="21" customHeight="1" x14ac:dyDescent="0.15"/>
  <cols>
    <col min="1" max="1" width="7.3984375" style="11" bestFit="1" customWidth="1"/>
    <col min="2" max="2" width="9" style="11" bestFit="1" customWidth="1"/>
    <col min="3" max="3" width="9" style="11" customWidth="1"/>
    <col min="4" max="4" width="40.19921875" style="71" customWidth="1"/>
    <col min="5" max="5" width="34.59765625" style="11" bestFit="1" customWidth="1"/>
    <col min="6" max="6" width="6.796875" style="11" bestFit="1" customWidth="1"/>
    <col min="7" max="7" width="11" style="11" bestFit="1" customWidth="1"/>
    <col min="8" max="8" width="14.19921875" style="11" bestFit="1" customWidth="1"/>
    <col min="9" max="9" width="15.19921875" style="11" bestFit="1" customWidth="1"/>
    <col min="10" max="10" width="16.59765625" style="11" bestFit="1" customWidth="1"/>
    <col min="11" max="11" width="17.19921875" style="11" bestFit="1" customWidth="1"/>
    <col min="12" max="12" width="6.796875" style="11" customWidth="1"/>
    <col min="13" max="13" width="14" style="11" bestFit="1" customWidth="1"/>
    <col min="14" max="14" width="29.3984375" style="11" customWidth="1"/>
    <col min="15" max="15" width="45" style="11" customWidth="1"/>
    <col min="16" max="16" width="18.796875" style="11" customWidth="1"/>
    <col min="17" max="17" width="13" style="11"/>
    <col min="18" max="18" width="17" style="11" bestFit="1" customWidth="1"/>
    <col min="19" max="19" width="16" style="11" bestFit="1" customWidth="1"/>
    <col min="20" max="16384" width="13" style="11"/>
  </cols>
  <sheetData>
    <row r="1" spans="1:19" ht="21" customHeight="1" x14ac:dyDescent="0.15">
      <c r="A1" s="14" t="s">
        <v>175</v>
      </c>
      <c r="B1" s="14" t="s">
        <v>1897</v>
      </c>
      <c r="C1" s="59" t="s">
        <v>567</v>
      </c>
      <c r="D1" s="59" t="s">
        <v>174</v>
      </c>
      <c r="E1" s="58" t="s">
        <v>66</v>
      </c>
      <c r="F1" s="14" t="s">
        <v>1054</v>
      </c>
      <c r="G1" s="14" t="s">
        <v>909</v>
      </c>
      <c r="H1" s="132" t="s">
        <v>625</v>
      </c>
      <c r="I1" s="132" t="s">
        <v>626</v>
      </c>
      <c r="J1" s="132" t="s">
        <v>627</v>
      </c>
      <c r="K1" s="132" t="s">
        <v>628</v>
      </c>
      <c r="L1" s="134" t="s">
        <v>631</v>
      </c>
      <c r="M1" s="133" t="s">
        <v>632</v>
      </c>
      <c r="N1" s="15" t="s">
        <v>163</v>
      </c>
      <c r="O1" s="29" t="s">
        <v>46</v>
      </c>
      <c r="P1" s="161" t="s">
        <v>904</v>
      </c>
      <c r="Q1" s="161" t="s">
        <v>1697</v>
      </c>
      <c r="R1" s="161" t="s">
        <v>1881</v>
      </c>
      <c r="S1" s="161" t="s">
        <v>1700</v>
      </c>
    </row>
    <row r="2" spans="1:19" ht="21" customHeight="1" x14ac:dyDescent="0.15">
      <c r="A2" s="17">
        <v>0</v>
      </c>
      <c r="B2" s="18" t="s">
        <v>199</v>
      </c>
      <c r="C2" s="18" t="s">
        <v>568</v>
      </c>
      <c r="D2" s="18" t="s">
        <v>204</v>
      </c>
      <c r="E2" s="12" t="s">
        <v>192</v>
      </c>
      <c r="F2" s="12">
        <v>3</v>
      </c>
      <c r="G2" s="12">
        <v>-1</v>
      </c>
      <c r="H2" s="12">
        <v>0</v>
      </c>
      <c r="I2" s="12">
        <v>0</v>
      </c>
      <c r="J2" s="12">
        <v>0</v>
      </c>
      <c r="K2" s="12">
        <v>0</v>
      </c>
      <c r="L2" s="12"/>
      <c r="M2" s="12">
        <f>LEN(L2)</f>
        <v>0</v>
      </c>
      <c r="N2" s="18" t="s">
        <v>193</v>
      </c>
      <c r="O2" s="12" t="s">
        <v>194</v>
      </c>
      <c r="P2" s="12"/>
      <c r="Q2" s="12">
        <v>0</v>
      </c>
      <c r="R2" s="12" t="s">
        <v>1702</v>
      </c>
      <c r="S2" s="12" t="s">
        <v>1701</v>
      </c>
    </row>
    <row r="3" spans="1:19" ht="21" customHeight="1" x14ac:dyDescent="0.15">
      <c r="A3" s="17">
        <v>1</v>
      </c>
      <c r="B3" s="18" t="s">
        <v>80</v>
      </c>
      <c r="C3" s="18" t="s">
        <v>568</v>
      </c>
      <c r="D3" s="18" t="s">
        <v>205</v>
      </c>
      <c r="E3" s="12" t="s">
        <v>169</v>
      </c>
      <c r="F3" s="12">
        <v>3</v>
      </c>
      <c r="G3" s="12">
        <v>-1</v>
      </c>
      <c r="H3" s="12">
        <v>1</v>
      </c>
      <c r="I3" s="12">
        <v>1</v>
      </c>
      <c r="J3" s="12">
        <v>1</v>
      </c>
      <c r="K3" s="12">
        <v>1</v>
      </c>
      <c r="L3" s="12"/>
      <c r="M3" s="12">
        <f t="shared" ref="M3:M71" si="0">LEN(L3)</f>
        <v>0</v>
      </c>
      <c r="N3" s="18" t="s">
        <v>71</v>
      </c>
      <c r="O3" s="12" t="s">
        <v>191</v>
      </c>
      <c r="P3" s="12"/>
      <c r="Q3" s="12">
        <v>1</v>
      </c>
      <c r="R3" s="12" t="s">
        <v>1702</v>
      </c>
      <c r="S3" s="12" t="s">
        <v>1701</v>
      </c>
    </row>
    <row r="4" spans="1:19" ht="21" customHeight="1" x14ac:dyDescent="0.15">
      <c r="A4" s="17">
        <v>2</v>
      </c>
      <c r="B4" s="18" t="s">
        <v>80</v>
      </c>
      <c r="C4" s="18" t="s">
        <v>568</v>
      </c>
      <c r="D4" s="18" t="s">
        <v>206</v>
      </c>
      <c r="E4" s="12" t="s">
        <v>169</v>
      </c>
      <c r="F4" s="12">
        <v>3</v>
      </c>
      <c r="G4" s="12">
        <v>-1</v>
      </c>
      <c r="H4" s="12">
        <v>1</v>
      </c>
      <c r="I4" s="12">
        <v>0</v>
      </c>
      <c r="J4" s="12">
        <v>0</v>
      </c>
      <c r="K4" s="12">
        <v>0</v>
      </c>
      <c r="L4" s="12"/>
      <c r="M4" s="12">
        <f t="shared" si="0"/>
        <v>0</v>
      </c>
      <c r="N4" s="18" t="s">
        <v>83</v>
      </c>
      <c r="O4" s="12"/>
      <c r="P4" s="12"/>
      <c r="Q4" s="12">
        <v>1</v>
      </c>
      <c r="R4" s="12" t="s">
        <v>1702</v>
      </c>
      <c r="S4" s="12" t="s">
        <v>1701</v>
      </c>
    </row>
    <row r="5" spans="1:19" ht="21" customHeight="1" x14ac:dyDescent="0.15">
      <c r="A5" s="17">
        <v>3</v>
      </c>
      <c r="B5" s="18" t="s">
        <v>80</v>
      </c>
      <c r="C5" s="18" t="s">
        <v>568</v>
      </c>
      <c r="D5" s="18" t="s">
        <v>207</v>
      </c>
      <c r="E5" s="12" t="s">
        <v>169</v>
      </c>
      <c r="F5" s="12">
        <v>3</v>
      </c>
      <c r="G5" s="12">
        <v>-1</v>
      </c>
      <c r="H5" s="12">
        <v>0</v>
      </c>
      <c r="I5" s="12">
        <v>0</v>
      </c>
      <c r="J5" s="12">
        <v>1</v>
      </c>
      <c r="K5" s="12">
        <v>0</v>
      </c>
      <c r="L5" s="12"/>
      <c r="M5" s="12">
        <f t="shared" si="0"/>
        <v>0</v>
      </c>
      <c r="N5" s="18" t="s">
        <v>84</v>
      </c>
      <c r="O5" s="12"/>
      <c r="P5" s="12"/>
      <c r="Q5" s="12">
        <v>1</v>
      </c>
      <c r="R5" s="12" t="s">
        <v>1702</v>
      </c>
      <c r="S5" s="12" t="s">
        <v>1701</v>
      </c>
    </row>
    <row r="6" spans="1:19" ht="21" customHeight="1" x14ac:dyDescent="0.15">
      <c r="A6" s="17">
        <v>4</v>
      </c>
      <c r="B6" s="18" t="s">
        <v>80</v>
      </c>
      <c r="C6" s="18" t="s">
        <v>568</v>
      </c>
      <c r="D6" s="18" t="s">
        <v>208</v>
      </c>
      <c r="E6" s="12" t="s">
        <v>169</v>
      </c>
      <c r="F6" s="12">
        <v>3</v>
      </c>
      <c r="G6" s="12">
        <v>-1</v>
      </c>
      <c r="H6" s="12">
        <v>0</v>
      </c>
      <c r="I6" s="12">
        <v>0</v>
      </c>
      <c r="J6" s="12">
        <v>0</v>
      </c>
      <c r="K6" s="12">
        <v>1</v>
      </c>
      <c r="L6" s="12"/>
      <c r="M6" s="12">
        <f t="shared" si="0"/>
        <v>0</v>
      </c>
      <c r="N6" s="18" t="s">
        <v>85</v>
      </c>
      <c r="O6" s="12"/>
      <c r="P6" s="12"/>
      <c r="Q6" s="12">
        <v>1</v>
      </c>
      <c r="R6" s="12" t="s">
        <v>1702</v>
      </c>
      <c r="S6" s="12" t="s">
        <v>1701</v>
      </c>
    </row>
    <row r="7" spans="1:19" ht="21" customHeight="1" x14ac:dyDescent="0.15">
      <c r="A7" s="17">
        <v>5</v>
      </c>
      <c r="B7" s="18" t="s">
        <v>80</v>
      </c>
      <c r="C7" s="18" t="s">
        <v>568</v>
      </c>
      <c r="D7" s="18" t="s">
        <v>209</v>
      </c>
      <c r="E7" s="12" t="s">
        <v>169</v>
      </c>
      <c r="F7" s="12">
        <v>3</v>
      </c>
      <c r="G7" s="12">
        <v>-1</v>
      </c>
      <c r="H7" s="12">
        <v>0</v>
      </c>
      <c r="I7" s="12">
        <v>1</v>
      </c>
      <c r="J7" s="12">
        <v>0</v>
      </c>
      <c r="K7" s="12">
        <v>0</v>
      </c>
      <c r="L7" s="12"/>
      <c r="M7" s="12">
        <f t="shared" si="0"/>
        <v>0</v>
      </c>
      <c r="N7" s="18" t="s">
        <v>86</v>
      </c>
      <c r="O7" s="12"/>
      <c r="P7" s="12"/>
      <c r="Q7" s="12">
        <v>1</v>
      </c>
      <c r="R7" s="12" t="s">
        <v>1702</v>
      </c>
      <c r="S7" s="12" t="s">
        <v>1701</v>
      </c>
    </row>
    <row r="8" spans="1:19" ht="21" customHeight="1" x14ac:dyDescent="0.15">
      <c r="A8" s="17">
        <v>6</v>
      </c>
      <c r="B8" s="18" t="s">
        <v>80</v>
      </c>
      <c r="C8" s="18" t="s">
        <v>568</v>
      </c>
      <c r="D8" s="18" t="s">
        <v>210</v>
      </c>
      <c r="E8" s="12" t="s">
        <v>169</v>
      </c>
      <c r="F8" s="12">
        <v>3</v>
      </c>
      <c r="G8" s="12">
        <v>-1</v>
      </c>
      <c r="H8" s="12">
        <v>1</v>
      </c>
      <c r="I8" s="12">
        <v>1</v>
      </c>
      <c r="J8" s="12">
        <v>1</v>
      </c>
      <c r="K8" s="12">
        <v>1</v>
      </c>
      <c r="L8" s="12"/>
      <c r="M8" s="12">
        <f t="shared" si="0"/>
        <v>0</v>
      </c>
      <c r="N8" s="18" t="s">
        <v>87</v>
      </c>
      <c r="O8" s="12"/>
      <c r="P8" s="12"/>
      <c r="Q8" s="12">
        <v>1</v>
      </c>
      <c r="R8" s="12" t="s">
        <v>1702</v>
      </c>
      <c r="S8" s="12" t="s">
        <v>1701</v>
      </c>
    </row>
    <row r="9" spans="1:19" ht="21" customHeight="1" x14ac:dyDescent="0.15">
      <c r="A9" s="17">
        <v>7</v>
      </c>
      <c r="B9" s="18" t="s">
        <v>80</v>
      </c>
      <c r="C9" s="18" t="s">
        <v>568</v>
      </c>
      <c r="D9" s="18" t="s">
        <v>211</v>
      </c>
      <c r="E9" s="12" t="s">
        <v>169</v>
      </c>
      <c r="F9" s="12">
        <v>3</v>
      </c>
      <c r="G9" s="12">
        <v>-1</v>
      </c>
      <c r="H9" s="12">
        <v>0</v>
      </c>
      <c r="I9" s="12">
        <v>0</v>
      </c>
      <c r="J9" s="12">
        <v>1</v>
      </c>
      <c r="K9" s="12">
        <v>0</v>
      </c>
      <c r="L9" s="12"/>
      <c r="M9" s="12">
        <f t="shared" si="0"/>
        <v>0</v>
      </c>
      <c r="N9" s="18" t="s">
        <v>88</v>
      </c>
      <c r="O9" s="12"/>
      <c r="P9" s="12"/>
      <c r="Q9" s="12">
        <v>1</v>
      </c>
      <c r="R9" s="12" t="s">
        <v>1702</v>
      </c>
      <c r="S9" s="12" t="s">
        <v>1701</v>
      </c>
    </row>
    <row r="10" spans="1:19" ht="21" customHeight="1" x14ac:dyDescent="0.15">
      <c r="A10" s="17">
        <v>8</v>
      </c>
      <c r="B10" s="18" t="s">
        <v>80</v>
      </c>
      <c r="C10" s="18" t="s">
        <v>568</v>
      </c>
      <c r="D10" s="18" t="s">
        <v>212</v>
      </c>
      <c r="E10" s="12" t="s">
        <v>169</v>
      </c>
      <c r="F10" s="12">
        <v>3</v>
      </c>
      <c r="G10" s="12">
        <v>-1</v>
      </c>
      <c r="H10" s="12">
        <v>0</v>
      </c>
      <c r="I10" s="12">
        <v>0</v>
      </c>
      <c r="J10" s="12">
        <v>0</v>
      </c>
      <c r="K10" s="12">
        <v>1</v>
      </c>
      <c r="L10" s="12"/>
      <c r="M10" s="12">
        <f t="shared" si="0"/>
        <v>0</v>
      </c>
      <c r="N10" s="18" t="s">
        <v>89</v>
      </c>
      <c r="O10" s="12"/>
      <c r="P10" s="12"/>
      <c r="Q10" s="12">
        <v>1</v>
      </c>
      <c r="R10" s="12" t="s">
        <v>1702</v>
      </c>
      <c r="S10" s="12" t="s">
        <v>1701</v>
      </c>
    </row>
    <row r="11" spans="1:19" ht="21" customHeight="1" x14ac:dyDescent="0.15">
      <c r="A11" s="17">
        <v>9</v>
      </c>
      <c r="B11" s="18" t="s">
        <v>80</v>
      </c>
      <c r="C11" s="18" t="s">
        <v>568</v>
      </c>
      <c r="D11" s="18" t="s">
        <v>213</v>
      </c>
      <c r="E11" s="12" t="s">
        <v>169</v>
      </c>
      <c r="F11" s="12">
        <v>3</v>
      </c>
      <c r="G11" s="12">
        <v>-1</v>
      </c>
      <c r="H11" s="12">
        <v>0</v>
      </c>
      <c r="I11" s="12">
        <v>1</v>
      </c>
      <c r="J11" s="12">
        <v>0</v>
      </c>
      <c r="K11" s="12">
        <v>0</v>
      </c>
      <c r="L11" s="12"/>
      <c r="M11" s="12">
        <f t="shared" si="0"/>
        <v>0</v>
      </c>
      <c r="N11" s="18" t="s">
        <v>90</v>
      </c>
      <c r="O11" s="12"/>
      <c r="P11" s="12"/>
      <c r="Q11" s="12">
        <v>1</v>
      </c>
      <c r="R11" s="12" t="s">
        <v>1702</v>
      </c>
      <c r="S11" s="12" t="s">
        <v>1701</v>
      </c>
    </row>
    <row r="12" spans="1:19" ht="21" customHeight="1" x14ac:dyDescent="0.15">
      <c r="A12" s="17">
        <v>10</v>
      </c>
      <c r="B12" s="18" t="s">
        <v>80</v>
      </c>
      <c r="C12" s="18" t="s">
        <v>568</v>
      </c>
      <c r="D12" s="18" t="s">
        <v>214</v>
      </c>
      <c r="E12" s="12" t="s">
        <v>169</v>
      </c>
      <c r="F12" s="12">
        <v>3</v>
      </c>
      <c r="G12" s="12">
        <v>-1</v>
      </c>
      <c r="H12" s="12">
        <v>1</v>
      </c>
      <c r="I12" s="12">
        <v>0</v>
      </c>
      <c r="J12" s="12">
        <v>0</v>
      </c>
      <c r="K12" s="12">
        <v>0</v>
      </c>
      <c r="L12" s="12"/>
      <c r="M12" s="12">
        <f t="shared" si="0"/>
        <v>0</v>
      </c>
      <c r="N12" s="18" t="s">
        <v>91</v>
      </c>
      <c r="O12" s="12"/>
      <c r="P12" s="12"/>
      <c r="Q12" s="12">
        <v>1</v>
      </c>
      <c r="R12" s="12" t="s">
        <v>1702</v>
      </c>
      <c r="S12" s="12" t="s">
        <v>1701</v>
      </c>
    </row>
    <row r="13" spans="1:19" ht="21" customHeight="1" x14ac:dyDescent="0.15">
      <c r="A13" s="17">
        <v>11</v>
      </c>
      <c r="B13" s="18" t="s">
        <v>80</v>
      </c>
      <c r="C13" s="18" t="s">
        <v>568</v>
      </c>
      <c r="D13" s="18" t="s">
        <v>215</v>
      </c>
      <c r="E13" s="12" t="s">
        <v>169</v>
      </c>
      <c r="F13" s="12">
        <v>3</v>
      </c>
      <c r="G13" s="12">
        <v>-1</v>
      </c>
      <c r="H13" s="12">
        <v>1</v>
      </c>
      <c r="I13" s="12">
        <v>1</v>
      </c>
      <c r="J13" s="12">
        <v>1</v>
      </c>
      <c r="K13" s="12">
        <v>1</v>
      </c>
      <c r="L13" s="12"/>
      <c r="M13" s="12">
        <f t="shared" si="0"/>
        <v>0</v>
      </c>
      <c r="N13" s="18" t="s">
        <v>92</v>
      </c>
      <c r="O13" s="12"/>
      <c r="P13" s="12"/>
      <c r="Q13" s="12">
        <v>1</v>
      </c>
      <c r="R13" s="12" t="s">
        <v>1702</v>
      </c>
      <c r="S13" s="12" t="s">
        <v>1701</v>
      </c>
    </row>
    <row r="14" spans="1:19" ht="21" customHeight="1" x14ac:dyDescent="0.15">
      <c r="A14" s="17">
        <v>12</v>
      </c>
      <c r="B14" s="18" t="s">
        <v>80</v>
      </c>
      <c r="C14" s="18" t="s">
        <v>568</v>
      </c>
      <c r="D14" s="18" t="s">
        <v>216</v>
      </c>
      <c r="E14" s="12" t="s">
        <v>169</v>
      </c>
      <c r="F14" s="12">
        <v>3</v>
      </c>
      <c r="G14" s="12">
        <v>-1</v>
      </c>
      <c r="H14" s="12">
        <v>0</v>
      </c>
      <c r="I14" s="12">
        <v>0</v>
      </c>
      <c r="J14" s="12">
        <v>0</v>
      </c>
      <c r="K14" s="12">
        <v>1</v>
      </c>
      <c r="L14" s="12"/>
      <c r="M14" s="12">
        <f t="shared" si="0"/>
        <v>0</v>
      </c>
      <c r="N14" s="18" t="s">
        <v>93</v>
      </c>
      <c r="O14" s="12"/>
      <c r="P14" s="12"/>
      <c r="Q14" s="12">
        <v>1</v>
      </c>
      <c r="R14" s="12" t="s">
        <v>1702</v>
      </c>
      <c r="S14" s="12" t="s">
        <v>1701</v>
      </c>
    </row>
    <row r="15" spans="1:19" ht="21" customHeight="1" x14ac:dyDescent="0.15">
      <c r="A15" s="17">
        <v>13</v>
      </c>
      <c r="B15" s="18" t="s">
        <v>80</v>
      </c>
      <c r="C15" s="18" t="s">
        <v>568</v>
      </c>
      <c r="D15" s="18" t="s">
        <v>217</v>
      </c>
      <c r="E15" s="12" t="s">
        <v>169</v>
      </c>
      <c r="F15" s="12">
        <v>3</v>
      </c>
      <c r="G15" s="12">
        <v>-1</v>
      </c>
      <c r="H15" s="12">
        <v>0</v>
      </c>
      <c r="I15" s="12">
        <v>1</v>
      </c>
      <c r="J15" s="12">
        <v>0</v>
      </c>
      <c r="K15" s="12">
        <v>0</v>
      </c>
      <c r="L15" s="12"/>
      <c r="M15" s="12">
        <f t="shared" si="0"/>
        <v>0</v>
      </c>
      <c r="N15" s="18" t="s">
        <v>94</v>
      </c>
      <c r="O15" s="12"/>
      <c r="P15" s="12"/>
      <c r="Q15" s="12">
        <v>1</v>
      </c>
      <c r="R15" s="12" t="s">
        <v>1702</v>
      </c>
      <c r="S15" s="12" t="s">
        <v>1701</v>
      </c>
    </row>
    <row r="16" spans="1:19" ht="21" customHeight="1" x14ac:dyDescent="0.15">
      <c r="A16" s="17">
        <v>14</v>
      </c>
      <c r="B16" s="18" t="s">
        <v>80</v>
      </c>
      <c r="C16" s="18" t="s">
        <v>568</v>
      </c>
      <c r="D16" s="18" t="s">
        <v>218</v>
      </c>
      <c r="E16" s="12" t="s">
        <v>169</v>
      </c>
      <c r="F16" s="12">
        <v>3</v>
      </c>
      <c r="G16" s="12">
        <v>-1</v>
      </c>
      <c r="H16" s="12">
        <v>1</v>
      </c>
      <c r="I16" s="12">
        <v>0</v>
      </c>
      <c r="J16" s="12">
        <v>0</v>
      </c>
      <c r="K16" s="12">
        <v>0</v>
      </c>
      <c r="L16" s="12"/>
      <c r="M16" s="12">
        <f t="shared" si="0"/>
        <v>0</v>
      </c>
      <c r="N16" s="18" t="s">
        <v>95</v>
      </c>
      <c r="O16" s="12"/>
      <c r="P16" s="12"/>
      <c r="Q16" s="12">
        <v>1</v>
      </c>
      <c r="R16" s="12" t="s">
        <v>1702</v>
      </c>
      <c r="S16" s="12" t="s">
        <v>1701</v>
      </c>
    </row>
    <row r="17" spans="1:19" ht="21" customHeight="1" x14ac:dyDescent="0.15">
      <c r="A17" s="17">
        <v>15</v>
      </c>
      <c r="B17" s="18" t="s">
        <v>80</v>
      </c>
      <c r="C17" s="18" t="s">
        <v>568</v>
      </c>
      <c r="D17" s="18" t="s">
        <v>219</v>
      </c>
      <c r="E17" s="12" t="s">
        <v>169</v>
      </c>
      <c r="F17" s="12">
        <v>3</v>
      </c>
      <c r="G17" s="12">
        <v>-1</v>
      </c>
      <c r="H17" s="12">
        <v>0</v>
      </c>
      <c r="I17" s="12">
        <v>0</v>
      </c>
      <c r="J17" s="12">
        <v>1</v>
      </c>
      <c r="K17" s="12">
        <v>0</v>
      </c>
      <c r="L17" s="12"/>
      <c r="M17" s="12">
        <f t="shared" si="0"/>
        <v>0</v>
      </c>
      <c r="N17" s="18" t="s">
        <v>96</v>
      </c>
      <c r="O17" s="12"/>
      <c r="P17" s="12"/>
      <c r="Q17" s="12">
        <v>1</v>
      </c>
      <c r="R17" s="12" t="s">
        <v>1702</v>
      </c>
      <c r="S17" s="12" t="s">
        <v>1701</v>
      </c>
    </row>
    <row r="18" spans="1:19" ht="21" customHeight="1" x14ac:dyDescent="0.15">
      <c r="A18" s="17">
        <v>16</v>
      </c>
      <c r="B18" s="18" t="s">
        <v>80</v>
      </c>
      <c r="C18" s="18" t="s">
        <v>568</v>
      </c>
      <c r="D18" s="18" t="s">
        <v>220</v>
      </c>
      <c r="E18" s="12" t="s">
        <v>169</v>
      </c>
      <c r="F18" s="12">
        <v>3</v>
      </c>
      <c r="G18" s="12">
        <v>-1</v>
      </c>
      <c r="H18" s="12">
        <v>1</v>
      </c>
      <c r="I18" s="12">
        <v>1</v>
      </c>
      <c r="J18" s="12">
        <v>1</v>
      </c>
      <c r="K18" s="12">
        <v>1</v>
      </c>
      <c r="L18" s="12"/>
      <c r="M18" s="12">
        <f t="shared" si="0"/>
        <v>0</v>
      </c>
      <c r="N18" s="18" t="s">
        <v>97</v>
      </c>
      <c r="O18" s="12"/>
      <c r="P18" s="12"/>
      <c r="Q18" s="12">
        <v>1</v>
      </c>
      <c r="R18" s="12" t="s">
        <v>1702</v>
      </c>
      <c r="S18" s="12" t="s">
        <v>1701</v>
      </c>
    </row>
    <row r="19" spans="1:19" ht="21" customHeight="1" x14ac:dyDescent="0.15">
      <c r="A19" s="17">
        <v>17</v>
      </c>
      <c r="B19" s="18" t="s">
        <v>80</v>
      </c>
      <c r="C19" s="18" t="s">
        <v>568</v>
      </c>
      <c r="D19" s="18" t="s">
        <v>221</v>
      </c>
      <c r="E19" s="12" t="s">
        <v>169</v>
      </c>
      <c r="F19" s="12">
        <v>3</v>
      </c>
      <c r="G19" s="12">
        <v>-1</v>
      </c>
      <c r="H19" s="12">
        <v>0</v>
      </c>
      <c r="I19" s="12">
        <v>1</v>
      </c>
      <c r="J19" s="12">
        <v>0</v>
      </c>
      <c r="K19" s="12">
        <v>0</v>
      </c>
      <c r="L19" s="12"/>
      <c r="M19" s="12">
        <f t="shared" si="0"/>
        <v>0</v>
      </c>
      <c r="N19" s="18" t="s">
        <v>98</v>
      </c>
      <c r="O19" s="12"/>
      <c r="P19" s="12"/>
      <c r="Q19" s="12">
        <v>1</v>
      </c>
      <c r="R19" s="12" t="s">
        <v>1702</v>
      </c>
      <c r="S19" s="12" t="s">
        <v>1701</v>
      </c>
    </row>
    <row r="20" spans="1:19" ht="21" customHeight="1" x14ac:dyDescent="0.15">
      <c r="A20" s="17">
        <v>18</v>
      </c>
      <c r="B20" s="18" t="s">
        <v>80</v>
      </c>
      <c r="C20" s="18" t="s">
        <v>568</v>
      </c>
      <c r="D20" s="18" t="s">
        <v>222</v>
      </c>
      <c r="E20" s="12" t="s">
        <v>169</v>
      </c>
      <c r="F20" s="12">
        <v>3</v>
      </c>
      <c r="G20" s="12">
        <v>-1</v>
      </c>
      <c r="H20" s="12">
        <v>1</v>
      </c>
      <c r="I20" s="12">
        <v>0</v>
      </c>
      <c r="J20" s="12">
        <v>0</v>
      </c>
      <c r="K20" s="12">
        <v>0</v>
      </c>
      <c r="L20" s="12"/>
      <c r="M20" s="12">
        <f t="shared" si="0"/>
        <v>0</v>
      </c>
      <c r="N20" s="18" t="s">
        <v>99</v>
      </c>
      <c r="O20" s="12"/>
      <c r="P20" s="12"/>
      <c r="Q20" s="12">
        <v>1</v>
      </c>
      <c r="R20" s="12" t="s">
        <v>1702</v>
      </c>
      <c r="S20" s="12" t="s">
        <v>1701</v>
      </c>
    </row>
    <row r="21" spans="1:19" ht="21" customHeight="1" x14ac:dyDescent="0.15">
      <c r="A21" s="17">
        <v>19</v>
      </c>
      <c r="B21" s="18" t="s">
        <v>80</v>
      </c>
      <c r="C21" s="18" t="s">
        <v>568</v>
      </c>
      <c r="D21" s="18" t="s">
        <v>223</v>
      </c>
      <c r="E21" s="12" t="s">
        <v>169</v>
      </c>
      <c r="F21" s="12">
        <v>3</v>
      </c>
      <c r="G21" s="12">
        <v>-1</v>
      </c>
      <c r="H21" s="12">
        <v>0</v>
      </c>
      <c r="I21" s="12">
        <v>0</v>
      </c>
      <c r="J21" s="12">
        <v>1</v>
      </c>
      <c r="K21" s="12">
        <v>0</v>
      </c>
      <c r="L21" s="12"/>
      <c r="M21" s="12">
        <f t="shared" si="0"/>
        <v>0</v>
      </c>
      <c r="N21" s="18" t="s">
        <v>100</v>
      </c>
      <c r="O21" s="12"/>
      <c r="P21" s="12"/>
      <c r="Q21" s="12">
        <v>1</v>
      </c>
      <c r="R21" s="12" t="s">
        <v>1702</v>
      </c>
      <c r="S21" s="12" t="s">
        <v>1701</v>
      </c>
    </row>
    <row r="22" spans="1:19" ht="21" customHeight="1" x14ac:dyDescent="0.15">
      <c r="A22" s="17">
        <v>20</v>
      </c>
      <c r="B22" s="18" t="s">
        <v>80</v>
      </c>
      <c r="C22" s="18" t="s">
        <v>568</v>
      </c>
      <c r="D22" s="18" t="s">
        <v>224</v>
      </c>
      <c r="E22" s="12" t="s">
        <v>169</v>
      </c>
      <c r="F22" s="12">
        <v>3</v>
      </c>
      <c r="G22" s="12">
        <v>-1</v>
      </c>
      <c r="H22" s="12">
        <v>0</v>
      </c>
      <c r="I22" s="12">
        <v>0</v>
      </c>
      <c r="J22" s="12">
        <v>0</v>
      </c>
      <c r="K22" s="12">
        <v>1</v>
      </c>
      <c r="L22" s="12"/>
      <c r="M22" s="12">
        <f t="shared" si="0"/>
        <v>0</v>
      </c>
      <c r="N22" s="18" t="s">
        <v>101</v>
      </c>
      <c r="O22" s="12"/>
      <c r="P22" s="12"/>
      <c r="Q22" s="12">
        <v>1</v>
      </c>
      <c r="R22" s="12" t="s">
        <v>1702</v>
      </c>
      <c r="S22" s="12" t="s">
        <v>1701</v>
      </c>
    </row>
    <row r="23" spans="1:19" ht="21" customHeight="1" x14ac:dyDescent="0.15">
      <c r="A23" s="17">
        <v>21</v>
      </c>
      <c r="B23" s="18" t="s">
        <v>80</v>
      </c>
      <c r="C23" s="18" t="s">
        <v>568</v>
      </c>
      <c r="D23" s="18" t="s">
        <v>225</v>
      </c>
      <c r="E23" s="12" t="s">
        <v>169</v>
      </c>
      <c r="F23" s="12">
        <v>3</v>
      </c>
      <c r="G23" s="12">
        <v>-1</v>
      </c>
      <c r="H23" s="12">
        <v>1</v>
      </c>
      <c r="I23" s="12">
        <v>1</v>
      </c>
      <c r="J23" s="12">
        <v>1</v>
      </c>
      <c r="K23" s="12">
        <v>1</v>
      </c>
      <c r="L23" s="12"/>
      <c r="M23" s="12">
        <f t="shared" si="0"/>
        <v>0</v>
      </c>
      <c r="N23" s="18" t="s">
        <v>102</v>
      </c>
      <c r="O23" s="12"/>
      <c r="P23" s="12"/>
      <c r="Q23" s="12">
        <v>1</v>
      </c>
      <c r="R23" s="12" t="s">
        <v>1702</v>
      </c>
      <c r="S23" s="12" t="s">
        <v>1701</v>
      </c>
    </row>
    <row r="24" spans="1:19" s="71" customFormat="1" ht="21" customHeight="1" x14ac:dyDescent="0.15">
      <c r="A24" s="84">
        <v>22</v>
      </c>
      <c r="B24" s="32" t="s">
        <v>80</v>
      </c>
      <c r="C24" s="18" t="s">
        <v>568</v>
      </c>
      <c r="D24" s="31" t="s">
        <v>470</v>
      </c>
      <c r="E24" s="23" t="s">
        <v>169</v>
      </c>
      <c r="F24" s="23">
        <v>3</v>
      </c>
      <c r="G24" s="23">
        <v>-1</v>
      </c>
      <c r="H24" s="12">
        <v>1</v>
      </c>
      <c r="I24" s="12">
        <v>1</v>
      </c>
      <c r="J24" s="12">
        <v>0</v>
      </c>
      <c r="K24" s="12">
        <v>0</v>
      </c>
      <c r="L24" s="12"/>
      <c r="M24" s="12">
        <f t="shared" si="0"/>
        <v>0</v>
      </c>
      <c r="N24" s="32" t="s">
        <v>103</v>
      </c>
      <c r="O24" s="23" t="s">
        <v>161</v>
      </c>
      <c r="P24" s="23"/>
      <c r="Q24" s="12">
        <v>1</v>
      </c>
      <c r="R24" s="12" t="s">
        <v>1702</v>
      </c>
      <c r="S24" s="12" t="s">
        <v>1701</v>
      </c>
    </row>
    <row r="25" spans="1:19" s="71" customFormat="1" ht="21" customHeight="1" x14ac:dyDescent="0.15">
      <c r="A25" s="84">
        <v>23</v>
      </c>
      <c r="B25" s="32" t="s">
        <v>80</v>
      </c>
      <c r="C25" s="18" t="s">
        <v>568</v>
      </c>
      <c r="D25" s="31" t="s">
        <v>471</v>
      </c>
      <c r="E25" s="23" t="s">
        <v>169</v>
      </c>
      <c r="F25" s="23">
        <v>3</v>
      </c>
      <c r="G25" s="23">
        <v>-1</v>
      </c>
      <c r="H25" s="12">
        <v>1</v>
      </c>
      <c r="I25" s="12">
        <v>0</v>
      </c>
      <c r="J25" s="12">
        <v>1</v>
      </c>
      <c r="K25" s="12">
        <v>0</v>
      </c>
      <c r="L25" s="12"/>
      <c r="M25" s="12">
        <f t="shared" si="0"/>
        <v>0</v>
      </c>
      <c r="N25" s="32" t="s">
        <v>104</v>
      </c>
      <c r="O25" s="23" t="s">
        <v>161</v>
      </c>
      <c r="P25" s="23"/>
      <c r="Q25" s="12">
        <v>1</v>
      </c>
      <c r="R25" s="12" t="s">
        <v>1702</v>
      </c>
      <c r="S25" s="12" t="s">
        <v>1701</v>
      </c>
    </row>
    <row r="26" spans="1:19" s="71" customFormat="1" ht="21" customHeight="1" x14ac:dyDescent="0.15">
      <c r="A26" s="84">
        <v>24</v>
      </c>
      <c r="B26" s="32" t="s">
        <v>80</v>
      </c>
      <c r="C26" s="18" t="s">
        <v>568</v>
      </c>
      <c r="D26" s="31" t="s">
        <v>472</v>
      </c>
      <c r="E26" s="23" t="s">
        <v>169</v>
      </c>
      <c r="F26" s="23">
        <v>3</v>
      </c>
      <c r="G26" s="23">
        <v>-1</v>
      </c>
      <c r="H26" s="12">
        <v>0</v>
      </c>
      <c r="I26" s="12">
        <v>0</v>
      </c>
      <c r="J26" s="12">
        <v>1</v>
      </c>
      <c r="K26" s="12">
        <v>1</v>
      </c>
      <c r="L26" s="12"/>
      <c r="M26" s="12">
        <f t="shared" si="0"/>
        <v>0</v>
      </c>
      <c r="N26" s="32" t="s">
        <v>105</v>
      </c>
      <c r="O26" s="23" t="s">
        <v>161</v>
      </c>
      <c r="P26" s="23"/>
      <c r="Q26" s="12">
        <v>1</v>
      </c>
      <c r="R26" s="12" t="s">
        <v>1702</v>
      </c>
      <c r="S26" s="12" t="s">
        <v>1701</v>
      </c>
    </row>
    <row r="27" spans="1:19" s="71" customFormat="1" ht="21" customHeight="1" x14ac:dyDescent="0.15">
      <c r="A27" s="84">
        <v>25</v>
      </c>
      <c r="B27" s="32" t="s">
        <v>80</v>
      </c>
      <c r="C27" s="18" t="s">
        <v>568</v>
      </c>
      <c r="D27" s="31" t="s">
        <v>473</v>
      </c>
      <c r="E27" s="23" t="s">
        <v>169</v>
      </c>
      <c r="F27" s="23">
        <v>3</v>
      </c>
      <c r="G27" s="23">
        <v>-1</v>
      </c>
      <c r="H27" s="12">
        <v>0</v>
      </c>
      <c r="I27" s="12">
        <v>1</v>
      </c>
      <c r="J27" s="12">
        <v>0</v>
      </c>
      <c r="K27" s="12">
        <v>1</v>
      </c>
      <c r="L27" s="12"/>
      <c r="M27" s="12">
        <f t="shared" si="0"/>
        <v>0</v>
      </c>
      <c r="N27" s="32" t="s">
        <v>106</v>
      </c>
      <c r="O27" s="23" t="s">
        <v>161</v>
      </c>
      <c r="P27" s="23"/>
      <c r="Q27" s="12">
        <v>1</v>
      </c>
      <c r="R27" s="12" t="s">
        <v>1702</v>
      </c>
      <c r="S27" s="12" t="s">
        <v>1701</v>
      </c>
    </row>
    <row r="28" spans="1:19" s="71" customFormat="1" ht="21" customHeight="1" x14ac:dyDescent="0.15">
      <c r="A28" s="84">
        <v>26</v>
      </c>
      <c r="B28" s="32" t="s">
        <v>80</v>
      </c>
      <c r="C28" s="18" t="s">
        <v>568</v>
      </c>
      <c r="D28" s="31" t="s">
        <v>474</v>
      </c>
      <c r="E28" s="23" t="s">
        <v>169</v>
      </c>
      <c r="F28" s="23">
        <v>3</v>
      </c>
      <c r="G28" s="23">
        <v>-1</v>
      </c>
      <c r="H28" s="12">
        <v>1</v>
      </c>
      <c r="I28" s="12">
        <v>1</v>
      </c>
      <c r="J28" s="12">
        <v>1</v>
      </c>
      <c r="K28" s="12">
        <v>1</v>
      </c>
      <c r="L28" s="12"/>
      <c r="M28" s="12">
        <f t="shared" si="0"/>
        <v>0</v>
      </c>
      <c r="N28" s="32" t="s">
        <v>107</v>
      </c>
      <c r="O28" s="23" t="s">
        <v>161</v>
      </c>
      <c r="P28" s="23"/>
      <c r="Q28" s="12">
        <v>1</v>
      </c>
      <c r="R28" s="12" t="s">
        <v>1702</v>
      </c>
      <c r="S28" s="12" t="s">
        <v>1701</v>
      </c>
    </row>
    <row r="29" spans="1:19" ht="21" customHeight="1" x14ac:dyDescent="0.15">
      <c r="A29" s="60">
        <v>27</v>
      </c>
      <c r="B29" s="46" t="s">
        <v>80</v>
      </c>
      <c r="C29" s="18" t="s">
        <v>568</v>
      </c>
      <c r="D29" s="44">
        <v>0</v>
      </c>
      <c r="E29" s="44" t="s">
        <v>169</v>
      </c>
      <c r="F29" s="44">
        <v>1</v>
      </c>
      <c r="G29" s="44">
        <v>-1</v>
      </c>
      <c r="H29" s="44">
        <v>0</v>
      </c>
      <c r="I29" s="44">
        <v>1</v>
      </c>
      <c r="J29" s="44">
        <v>0</v>
      </c>
      <c r="K29" s="44">
        <v>1</v>
      </c>
      <c r="L29" s="44"/>
      <c r="M29" s="12">
        <f t="shared" si="0"/>
        <v>0</v>
      </c>
      <c r="N29" s="46" t="s">
        <v>108</v>
      </c>
      <c r="O29" s="44" t="s">
        <v>162</v>
      </c>
      <c r="P29" s="12"/>
      <c r="Q29" s="12">
        <v>1</v>
      </c>
      <c r="R29" s="12" t="s">
        <v>1702</v>
      </c>
      <c r="S29" s="12" t="s">
        <v>1701</v>
      </c>
    </row>
    <row r="30" spans="1:19" ht="21" customHeight="1" x14ac:dyDescent="0.15">
      <c r="A30" s="60">
        <v>28</v>
      </c>
      <c r="B30" s="46" t="s">
        <v>80</v>
      </c>
      <c r="C30" s="18" t="s">
        <v>568</v>
      </c>
      <c r="D30" s="44">
        <v>0</v>
      </c>
      <c r="E30" s="44" t="s">
        <v>169</v>
      </c>
      <c r="F30" s="44">
        <v>1</v>
      </c>
      <c r="G30" s="44">
        <v>-1</v>
      </c>
      <c r="H30" s="44">
        <v>1</v>
      </c>
      <c r="I30" s="44">
        <v>0</v>
      </c>
      <c r="J30" s="44">
        <v>1</v>
      </c>
      <c r="K30" s="44">
        <v>0</v>
      </c>
      <c r="L30" s="44"/>
      <c r="M30" s="12">
        <f t="shared" si="0"/>
        <v>0</v>
      </c>
      <c r="N30" s="46" t="s">
        <v>109</v>
      </c>
      <c r="O30" s="44" t="s">
        <v>162</v>
      </c>
      <c r="P30" s="12"/>
      <c r="Q30" s="12">
        <v>1</v>
      </c>
      <c r="R30" s="12" t="s">
        <v>1702</v>
      </c>
      <c r="S30" s="12" t="s">
        <v>1701</v>
      </c>
    </row>
    <row r="31" spans="1:19" ht="21" customHeight="1" x14ac:dyDescent="0.15">
      <c r="A31" s="60">
        <v>29</v>
      </c>
      <c r="B31" s="46" t="s">
        <v>80</v>
      </c>
      <c r="C31" s="18" t="s">
        <v>568</v>
      </c>
      <c r="D31" s="44">
        <v>0</v>
      </c>
      <c r="E31" s="44" t="s">
        <v>169</v>
      </c>
      <c r="F31" s="44">
        <v>1</v>
      </c>
      <c r="G31" s="44">
        <v>-1</v>
      </c>
      <c r="H31" s="44">
        <v>0</v>
      </c>
      <c r="I31" s="44">
        <v>0</v>
      </c>
      <c r="J31" s="44">
        <v>1</v>
      </c>
      <c r="K31" s="44">
        <v>1</v>
      </c>
      <c r="L31" s="44"/>
      <c r="M31" s="12">
        <f t="shared" si="0"/>
        <v>0</v>
      </c>
      <c r="N31" s="46" t="s">
        <v>110</v>
      </c>
      <c r="O31" s="44" t="s">
        <v>162</v>
      </c>
      <c r="P31" s="12"/>
      <c r="Q31" s="12">
        <v>1</v>
      </c>
      <c r="R31" s="12" t="s">
        <v>1702</v>
      </c>
      <c r="S31" s="12" t="s">
        <v>1701</v>
      </c>
    </row>
    <row r="32" spans="1:19" ht="21" customHeight="1" x14ac:dyDescent="0.15">
      <c r="A32" s="60">
        <v>30</v>
      </c>
      <c r="B32" s="46" t="s">
        <v>80</v>
      </c>
      <c r="C32" s="18" t="s">
        <v>568</v>
      </c>
      <c r="D32" s="44">
        <v>0</v>
      </c>
      <c r="E32" s="44" t="s">
        <v>169</v>
      </c>
      <c r="F32" s="44">
        <v>1</v>
      </c>
      <c r="G32" s="44">
        <v>-1</v>
      </c>
      <c r="H32" s="44">
        <v>1</v>
      </c>
      <c r="I32" s="44">
        <v>1</v>
      </c>
      <c r="J32" s="44">
        <v>0</v>
      </c>
      <c r="K32" s="44">
        <v>0</v>
      </c>
      <c r="L32" s="44"/>
      <c r="M32" s="12">
        <f t="shared" si="0"/>
        <v>0</v>
      </c>
      <c r="N32" s="46" t="s">
        <v>111</v>
      </c>
      <c r="O32" s="44" t="s">
        <v>162</v>
      </c>
      <c r="P32" s="12"/>
      <c r="Q32" s="12">
        <v>1</v>
      </c>
      <c r="R32" s="12" t="s">
        <v>1702</v>
      </c>
      <c r="S32" s="12" t="s">
        <v>1701</v>
      </c>
    </row>
    <row r="33" spans="1:19" ht="21" customHeight="1" x14ac:dyDescent="0.15">
      <c r="A33" s="60">
        <v>31</v>
      </c>
      <c r="B33" s="46" t="s">
        <v>80</v>
      </c>
      <c r="C33" s="18" t="s">
        <v>568</v>
      </c>
      <c r="D33" s="44">
        <v>0</v>
      </c>
      <c r="E33" s="44" t="s">
        <v>169</v>
      </c>
      <c r="F33" s="44">
        <v>1</v>
      </c>
      <c r="G33" s="44">
        <v>-1</v>
      </c>
      <c r="H33" s="44">
        <v>1</v>
      </c>
      <c r="I33" s="44">
        <v>1</v>
      </c>
      <c r="J33" s="44">
        <v>1</v>
      </c>
      <c r="K33" s="44">
        <v>1</v>
      </c>
      <c r="L33" s="44"/>
      <c r="M33" s="12">
        <f t="shared" si="0"/>
        <v>0</v>
      </c>
      <c r="N33" s="46" t="s">
        <v>112</v>
      </c>
      <c r="O33" s="44" t="s">
        <v>162</v>
      </c>
      <c r="P33" s="12"/>
      <c r="Q33" s="12">
        <v>1</v>
      </c>
      <c r="R33" s="12" t="s">
        <v>1702</v>
      </c>
      <c r="S33" s="12" t="s">
        <v>1701</v>
      </c>
    </row>
    <row r="34" spans="1:19" ht="21" customHeight="1" x14ac:dyDescent="0.15">
      <c r="A34" s="17">
        <v>10008</v>
      </c>
      <c r="B34" s="18" t="s">
        <v>81</v>
      </c>
      <c r="C34" s="18" t="s">
        <v>568</v>
      </c>
      <c r="D34" s="18" t="s">
        <v>942</v>
      </c>
      <c r="E34" s="12" t="s">
        <v>651</v>
      </c>
      <c r="F34" s="12">
        <v>0</v>
      </c>
      <c r="G34" s="12">
        <v>-1</v>
      </c>
      <c r="H34" s="12">
        <v>0</v>
      </c>
      <c r="I34" s="12">
        <v>0</v>
      </c>
      <c r="J34" s="12">
        <v>0</v>
      </c>
      <c r="K34" s="12">
        <v>0</v>
      </c>
      <c r="L34" s="12"/>
      <c r="M34" s="12">
        <f t="shared" si="0"/>
        <v>0</v>
      </c>
      <c r="N34" s="18" t="s">
        <v>579</v>
      </c>
      <c r="O34" s="12"/>
      <c r="P34" s="12"/>
      <c r="Q34" s="12">
        <v>1</v>
      </c>
      <c r="R34" s="12" t="s">
        <v>1702</v>
      </c>
      <c r="S34" s="12" t="s">
        <v>1701</v>
      </c>
    </row>
    <row r="35" spans="1:19" ht="21" customHeight="1" x14ac:dyDescent="0.15">
      <c r="A35" s="17">
        <v>10010</v>
      </c>
      <c r="B35" s="18" t="s">
        <v>81</v>
      </c>
      <c r="C35" s="18" t="s">
        <v>568</v>
      </c>
      <c r="D35" s="18" t="s">
        <v>943</v>
      </c>
      <c r="E35" s="12" t="s">
        <v>652</v>
      </c>
      <c r="F35" s="12">
        <v>0</v>
      </c>
      <c r="G35" s="12">
        <v>-1</v>
      </c>
      <c r="H35" s="12">
        <v>0</v>
      </c>
      <c r="I35" s="12">
        <v>0</v>
      </c>
      <c r="J35" s="12">
        <v>0</v>
      </c>
      <c r="K35" s="12">
        <v>0</v>
      </c>
      <c r="L35" s="12"/>
      <c r="M35" s="12">
        <f t="shared" si="0"/>
        <v>0</v>
      </c>
      <c r="N35" s="18" t="s">
        <v>202</v>
      </c>
      <c r="O35" s="12"/>
      <c r="P35" s="12"/>
      <c r="Q35" s="12">
        <v>1</v>
      </c>
      <c r="R35" s="12" t="s">
        <v>1702</v>
      </c>
      <c r="S35" s="12" t="s">
        <v>1701</v>
      </c>
    </row>
    <row r="36" spans="1:19" ht="21" customHeight="1" x14ac:dyDescent="0.15">
      <c r="A36" s="40">
        <v>10015</v>
      </c>
      <c r="B36" s="18" t="s">
        <v>81</v>
      </c>
      <c r="C36" s="18" t="s">
        <v>568</v>
      </c>
      <c r="D36" s="18" t="s">
        <v>944</v>
      </c>
      <c r="E36" s="12" t="s">
        <v>653</v>
      </c>
      <c r="F36" s="12">
        <v>0</v>
      </c>
      <c r="G36" s="12">
        <v>-1</v>
      </c>
      <c r="H36" s="12">
        <v>0</v>
      </c>
      <c r="I36" s="12">
        <v>0</v>
      </c>
      <c r="J36" s="12">
        <v>0</v>
      </c>
      <c r="K36" s="12">
        <v>0</v>
      </c>
      <c r="L36" s="12"/>
      <c r="M36" s="12">
        <f t="shared" si="0"/>
        <v>0</v>
      </c>
      <c r="N36" s="18" t="s">
        <v>75</v>
      </c>
      <c r="O36" s="12"/>
      <c r="P36" s="12"/>
      <c r="Q36" s="12">
        <v>1</v>
      </c>
      <c r="R36" s="12" t="s">
        <v>1702</v>
      </c>
      <c r="S36" s="12" t="s">
        <v>1701</v>
      </c>
    </row>
    <row r="37" spans="1:19" ht="21" customHeight="1" x14ac:dyDescent="0.15">
      <c r="A37" s="40">
        <v>10020</v>
      </c>
      <c r="B37" s="18" t="s">
        <v>81</v>
      </c>
      <c r="C37" s="18" t="s">
        <v>568</v>
      </c>
      <c r="D37" s="18" t="s">
        <v>945</v>
      </c>
      <c r="E37" s="12" t="s">
        <v>654</v>
      </c>
      <c r="F37" s="12">
        <v>0</v>
      </c>
      <c r="G37" s="12">
        <v>-1</v>
      </c>
      <c r="H37" s="12">
        <v>0</v>
      </c>
      <c r="I37" s="12">
        <v>0</v>
      </c>
      <c r="J37" s="12">
        <v>0</v>
      </c>
      <c r="K37" s="12">
        <v>0</v>
      </c>
      <c r="L37" s="12"/>
      <c r="M37" s="12">
        <f t="shared" si="0"/>
        <v>0</v>
      </c>
      <c r="N37" s="18" t="s">
        <v>76</v>
      </c>
      <c r="O37" s="12"/>
      <c r="P37" s="12"/>
      <c r="Q37" s="12">
        <v>1</v>
      </c>
      <c r="R37" s="12" t="s">
        <v>1702</v>
      </c>
      <c r="S37" s="12" t="s">
        <v>1701</v>
      </c>
    </row>
    <row r="38" spans="1:19" ht="21" customHeight="1" x14ac:dyDescent="0.15">
      <c r="A38" s="40">
        <v>10025</v>
      </c>
      <c r="B38" s="18" t="s">
        <v>81</v>
      </c>
      <c r="C38" s="18" t="s">
        <v>568</v>
      </c>
      <c r="D38" s="18" t="s">
        <v>946</v>
      </c>
      <c r="E38" s="12" t="s">
        <v>655</v>
      </c>
      <c r="F38" s="12">
        <v>0</v>
      </c>
      <c r="G38" s="12">
        <v>-1</v>
      </c>
      <c r="H38" s="12">
        <v>0</v>
      </c>
      <c r="I38" s="12">
        <v>0</v>
      </c>
      <c r="J38" s="12">
        <v>0</v>
      </c>
      <c r="K38" s="12">
        <v>0</v>
      </c>
      <c r="L38" s="12"/>
      <c r="M38" s="12">
        <f t="shared" si="0"/>
        <v>0</v>
      </c>
      <c r="N38" s="18" t="s">
        <v>247</v>
      </c>
      <c r="O38" s="12"/>
      <c r="P38" s="12"/>
      <c r="Q38" s="12">
        <v>1</v>
      </c>
      <c r="R38" s="12" t="s">
        <v>1702</v>
      </c>
      <c r="S38" s="12" t="s">
        <v>1701</v>
      </c>
    </row>
    <row r="39" spans="1:19" ht="21" customHeight="1" x14ac:dyDescent="0.15">
      <c r="A39" s="40">
        <v>10030</v>
      </c>
      <c r="B39" s="18" t="s">
        <v>81</v>
      </c>
      <c r="C39" s="18" t="s">
        <v>568</v>
      </c>
      <c r="D39" s="18" t="s">
        <v>947</v>
      </c>
      <c r="E39" s="12" t="s">
        <v>656</v>
      </c>
      <c r="F39" s="12">
        <v>0</v>
      </c>
      <c r="G39" s="12">
        <v>-1</v>
      </c>
      <c r="H39" s="12">
        <v>0</v>
      </c>
      <c r="I39" s="12">
        <v>0</v>
      </c>
      <c r="J39" s="12">
        <v>0</v>
      </c>
      <c r="K39" s="12">
        <v>0</v>
      </c>
      <c r="L39" s="12"/>
      <c r="M39" s="12">
        <f t="shared" si="0"/>
        <v>0</v>
      </c>
      <c r="N39" s="18" t="s">
        <v>248</v>
      </c>
      <c r="O39" s="12"/>
      <c r="P39" s="12"/>
      <c r="Q39" s="12">
        <v>1</v>
      </c>
      <c r="R39" s="12" t="s">
        <v>1702</v>
      </c>
      <c r="S39" s="12" t="s">
        <v>1701</v>
      </c>
    </row>
    <row r="40" spans="1:19" ht="21" customHeight="1" x14ac:dyDescent="0.15">
      <c r="A40" s="40">
        <v>10035</v>
      </c>
      <c r="B40" s="18" t="s">
        <v>81</v>
      </c>
      <c r="C40" s="18" t="s">
        <v>568</v>
      </c>
      <c r="D40" s="18" t="s">
        <v>948</v>
      </c>
      <c r="E40" s="12" t="s">
        <v>657</v>
      </c>
      <c r="F40" s="12">
        <v>0</v>
      </c>
      <c r="G40" s="12">
        <v>-1</v>
      </c>
      <c r="H40" s="12">
        <v>0</v>
      </c>
      <c r="I40" s="12">
        <v>0</v>
      </c>
      <c r="J40" s="12">
        <v>0</v>
      </c>
      <c r="K40" s="12">
        <v>0</v>
      </c>
      <c r="L40" s="12"/>
      <c r="M40" s="12">
        <f t="shared" si="0"/>
        <v>0</v>
      </c>
      <c r="N40" s="18" t="s">
        <v>249</v>
      </c>
      <c r="O40" s="12"/>
      <c r="P40" s="12"/>
      <c r="Q40" s="12">
        <v>1</v>
      </c>
      <c r="R40" s="12" t="s">
        <v>1702</v>
      </c>
      <c r="S40" s="12" t="s">
        <v>1701</v>
      </c>
    </row>
    <row r="41" spans="1:19" ht="21" customHeight="1" x14ac:dyDescent="0.15">
      <c r="A41" s="40">
        <v>10040</v>
      </c>
      <c r="B41" s="18" t="s">
        <v>81</v>
      </c>
      <c r="C41" s="18" t="s">
        <v>568</v>
      </c>
      <c r="D41" s="18" t="s">
        <v>949</v>
      </c>
      <c r="E41" s="12" t="s">
        <v>658</v>
      </c>
      <c r="F41" s="12">
        <v>0</v>
      </c>
      <c r="G41" s="12">
        <v>-1</v>
      </c>
      <c r="H41" s="12">
        <v>0</v>
      </c>
      <c r="I41" s="12">
        <v>0</v>
      </c>
      <c r="J41" s="12">
        <v>0</v>
      </c>
      <c r="K41" s="12">
        <v>0</v>
      </c>
      <c r="L41" s="12"/>
      <c r="M41" s="12">
        <f t="shared" si="0"/>
        <v>0</v>
      </c>
      <c r="N41" s="18" t="s">
        <v>250</v>
      </c>
      <c r="O41" s="12"/>
      <c r="P41" s="12"/>
      <c r="Q41" s="12">
        <v>1</v>
      </c>
      <c r="R41" s="12" t="s">
        <v>1702</v>
      </c>
      <c r="S41" s="12" t="s">
        <v>1701</v>
      </c>
    </row>
    <row r="42" spans="1:19" ht="21" customHeight="1" x14ac:dyDescent="0.15">
      <c r="A42" s="40">
        <v>10045</v>
      </c>
      <c r="B42" s="18" t="s">
        <v>81</v>
      </c>
      <c r="C42" s="18" t="s">
        <v>568</v>
      </c>
      <c r="D42" s="18" t="s">
        <v>950</v>
      </c>
      <c r="E42" s="12" t="s">
        <v>659</v>
      </c>
      <c r="F42" s="12">
        <v>0</v>
      </c>
      <c r="G42" s="12">
        <v>-1</v>
      </c>
      <c r="H42" s="12">
        <v>0</v>
      </c>
      <c r="I42" s="12">
        <v>0</v>
      </c>
      <c r="J42" s="12">
        <v>0</v>
      </c>
      <c r="K42" s="12">
        <v>0</v>
      </c>
      <c r="L42" s="12"/>
      <c r="M42" s="12">
        <f t="shared" si="0"/>
        <v>0</v>
      </c>
      <c r="N42" s="18" t="s">
        <v>251</v>
      </c>
      <c r="O42" s="12"/>
      <c r="P42" s="12"/>
      <c r="Q42" s="12">
        <v>1</v>
      </c>
      <c r="R42" s="12" t="s">
        <v>1702</v>
      </c>
      <c r="S42" s="12" t="s">
        <v>1701</v>
      </c>
    </row>
    <row r="43" spans="1:19" ht="21" customHeight="1" x14ac:dyDescent="0.15">
      <c r="A43" s="40">
        <v>10050</v>
      </c>
      <c r="B43" s="18" t="s">
        <v>81</v>
      </c>
      <c r="C43" s="18" t="s">
        <v>568</v>
      </c>
      <c r="D43" s="18" t="s">
        <v>951</v>
      </c>
      <c r="E43" s="12" t="s">
        <v>660</v>
      </c>
      <c r="F43" s="12">
        <v>0</v>
      </c>
      <c r="G43" s="12">
        <v>-1</v>
      </c>
      <c r="H43" s="12">
        <v>0</v>
      </c>
      <c r="I43" s="12">
        <v>0</v>
      </c>
      <c r="J43" s="12">
        <v>0</v>
      </c>
      <c r="K43" s="12">
        <v>0</v>
      </c>
      <c r="L43" s="12"/>
      <c r="M43" s="12">
        <f t="shared" si="0"/>
        <v>0</v>
      </c>
      <c r="N43" s="18" t="s">
        <v>252</v>
      </c>
      <c r="O43" s="12"/>
      <c r="P43" s="12"/>
      <c r="Q43" s="12">
        <v>1</v>
      </c>
      <c r="R43" s="12" t="s">
        <v>1702</v>
      </c>
      <c r="S43" s="12" t="s">
        <v>1701</v>
      </c>
    </row>
    <row r="44" spans="1:19" ht="21" customHeight="1" x14ac:dyDescent="0.15">
      <c r="A44" s="40">
        <v>10055</v>
      </c>
      <c r="B44" s="18" t="s">
        <v>81</v>
      </c>
      <c r="C44" s="18" t="s">
        <v>568</v>
      </c>
      <c r="D44" s="18" t="s">
        <v>952</v>
      </c>
      <c r="E44" s="12" t="s">
        <v>661</v>
      </c>
      <c r="F44" s="12">
        <v>0</v>
      </c>
      <c r="G44" s="12">
        <v>-1</v>
      </c>
      <c r="H44" s="12">
        <v>0</v>
      </c>
      <c r="I44" s="12">
        <v>0</v>
      </c>
      <c r="J44" s="12">
        <v>0</v>
      </c>
      <c r="K44" s="12">
        <v>0</v>
      </c>
      <c r="L44" s="12"/>
      <c r="M44" s="12">
        <f t="shared" si="0"/>
        <v>0</v>
      </c>
      <c r="N44" s="18" t="s">
        <v>440</v>
      </c>
      <c r="O44" s="12"/>
      <c r="P44" s="12"/>
      <c r="Q44" s="12">
        <v>1</v>
      </c>
      <c r="R44" s="12" t="s">
        <v>1702</v>
      </c>
      <c r="S44" s="12" t="s">
        <v>1701</v>
      </c>
    </row>
    <row r="45" spans="1:19" ht="21" customHeight="1" x14ac:dyDescent="0.15">
      <c r="A45" s="40">
        <v>10060</v>
      </c>
      <c r="B45" s="18" t="s">
        <v>81</v>
      </c>
      <c r="C45" s="18" t="s">
        <v>568</v>
      </c>
      <c r="D45" s="18" t="s">
        <v>953</v>
      </c>
      <c r="E45" s="12" t="s">
        <v>662</v>
      </c>
      <c r="F45" s="12">
        <v>0</v>
      </c>
      <c r="G45" s="12">
        <v>-1</v>
      </c>
      <c r="H45" s="12">
        <v>0</v>
      </c>
      <c r="I45" s="12">
        <v>0</v>
      </c>
      <c r="J45" s="12">
        <v>0</v>
      </c>
      <c r="K45" s="12">
        <v>0</v>
      </c>
      <c r="L45" s="12"/>
      <c r="M45" s="12">
        <f t="shared" si="0"/>
        <v>0</v>
      </c>
      <c r="N45" s="18" t="s">
        <v>441</v>
      </c>
      <c r="O45" s="12"/>
      <c r="P45" s="12"/>
      <c r="Q45" s="12">
        <v>1</v>
      </c>
      <c r="R45" s="12" t="s">
        <v>1702</v>
      </c>
      <c r="S45" s="12" t="s">
        <v>1701</v>
      </c>
    </row>
    <row r="46" spans="1:19" ht="21" customHeight="1" x14ac:dyDescent="0.15">
      <c r="A46" s="77">
        <v>10065</v>
      </c>
      <c r="B46" s="78" t="s">
        <v>81</v>
      </c>
      <c r="C46" s="18" t="s">
        <v>568</v>
      </c>
      <c r="D46" s="78" t="s">
        <v>954</v>
      </c>
      <c r="E46" s="39" t="s">
        <v>580</v>
      </c>
      <c r="F46" s="39">
        <v>1</v>
      </c>
      <c r="G46" s="39">
        <v>-1</v>
      </c>
      <c r="H46" s="39">
        <v>0</v>
      </c>
      <c r="I46" s="39">
        <v>0</v>
      </c>
      <c r="J46" s="39">
        <v>0</v>
      </c>
      <c r="K46" s="39">
        <v>0</v>
      </c>
      <c r="L46" s="39"/>
      <c r="M46" s="12">
        <f t="shared" si="0"/>
        <v>0</v>
      </c>
      <c r="N46" s="78" t="s">
        <v>447</v>
      </c>
      <c r="O46" s="39"/>
      <c r="P46" s="12"/>
      <c r="Q46" s="12">
        <v>1</v>
      </c>
      <c r="R46" s="12" t="s">
        <v>1702</v>
      </c>
      <c r="S46" s="12" t="s">
        <v>1701</v>
      </c>
    </row>
    <row r="47" spans="1:19" ht="21" customHeight="1" x14ac:dyDescent="0.15">
      <c r="A47" s="68">
        <v>10090</v>
      </c>
      <c r="B47" s="46" t="s">
        <v>81</v>
      </c>
      <c r="C47" s="18" t="s">
        <v>568</v>
      </c>
      <c r="D47" s="46" t="s">
        <v>955</v>
      </c>
      <c r="E47" s="44" t="s">
        <v>580</v>
      </c>
      <c r="F47" s="44">
        <v>0</v>
      </c>
      <c r="G47" s="44">
        <v>-1</v>
      </c>
      <c r="H47" s="44">
        <v>0</v>
      </c>
      <c r="I47" s="44">
        <v>0</v>
      </c>
      <c r="J47" s="44">
        <v>0</v>
      </c>
      <c r="K47" s="44">
        <v>0</v>
      </c>
      <c r="L47" s="44"/>
      <c r="M47" s="12">
        <f t="shared" si="0"/>
        <v>0</v>
      </c>
      <c r="N47" s="46" t="s">
        <v>77</v>
      </c>
      <c r="O47" s="44"/>
      <c r="P47" s="12"/>
      <c r="Q47" s="12">
        <v>1</v>
      </c>
      <c r="R47" s="12" t="s">
        <v>1702</v>
      </c>
      <c r="S47" s="12" t="s">
        <v>1701</v>
      </c>
    </row>
    <row r="48" spans="1:19" ht="21" customHeight="1" x14ac:dyDescent="0.15">
      <c r="A48" s="68">
        <v>10100</v>
      </c>
      <c r="B48" s="46" t="s">
        <v>81</v>
      </c>
      <c r="C48" s="18" t="s">
        <v>568</v>
      </c>
      <c r="D48" s="46" t="s">
        <v>956</v>
      </c>
      <c r="E48" s="44" t="s">
        <v>580</v>
      </c>
      <c r="F48" s="44">
        <v>0</v>
      </c>
      <c r="G48" s="44">
        <v>-1</v>
      </c>
      <c r="H48" s="44">
        <v>0</v>
      </c>
      <c r="I48" s="44">
        <v>0</v>
      </c>
      <c r="J48" s="44">
        <v>0</v>
      </c>
      <c r="K48" s="44">
        <v>0</v>
      </c>
      <c r="L48" s="44"/>
      <c r="M48" s="12">
        <f t="shared" si="0"/>
        <v>0</v>
      </c>
      <c r="N48" s="46" t="s">
        <v>78</v>
      </c>
      <c r="O48" s="44"/>
      <c r="P48" s="12"/>
      <c r="Q48" s="12">
        <v>1</v>
      </c>
      <c r="R48" s="12" t="s">
        <v>1702</v>
      </c>
      <c r="S48" s="12" t="s">
        <v>1701</v>
      </c>
    </row>
    <row r="49" spans="1:19" ht="21" customHeight="1" x14ac:dyDescent="0.15">
      <c r="A49" s="17">
        <v>11001</v>
      </c>
      <c r="B49" s="18" t="s">
        <v>82</v>
      </c>
      <c r="C49" s="18" t="s">
        <v>568</v>
      </c>
      <c r="D49" s="18" t="s">
        <v>375</v>
      </c>
      <c r="E49" s="12" t="s">
        <v>114</v>
      </c>
      <c r="F49" s="12">
        <v>3</v>
      </c>
      <c r="G49" s="12">
        <v>-1</v>
      </c>
      <c r="H49" s="12">
        <v>0</v>
      </c>
      <c r="I49" s="12">
        <v>0</v>
      </c>
      <c r="J49" s="12">
        <v>0</v>
      </c>
      <c r="K49" s="12">
        <v>0</v>
      </c>
      <c r="L49" s="12"/>
      <c r="M49" s="12">
        <f t="shared" si="0"/>
        <v>0</v>
      </c>
      <c r="N49" s="18" t="s">
        <v>113</v>
      </c>
      <c r="O49" s="12" t="s">
        <v>51</v>
      </c>
      <c r="P49" s="12"/>
      <c r="Q49" s="12">
        <v>1</v>
      </c>
      <c r="R49" s="12" t="s">
        <v>1702</v>
      </c>
      <c r="S49" s="12" t="s">
        <v>1701</v>
      </c>
    </row>
    <row r="50" spans="1:19" ht="21" customHeight="1" x14ac:dyDescent="0.15">
      <c r="A50" s="17">
        <v>11002</v>
      </c>
      <c r="B50" s="18" t="s">
        <v>82</v>
      </c>
      <c r="C50" s="18" t="s">
        <v>568</v>
      </c>
      <c r="D50" s="18" t="s">
        <v>376</v>
      </c>
      <c r="E50" s="12" t="s">
        <v>114</v>
      </c>
      <c r="F50" s="12">
        <v>3</v>
      </c>
      <c r="G50" s="12">
        <v>-1</v>
      </c>
      <c r="H50" s="12">
        <v>0</v>
      </c>
      <c r="I50" s="12">
        <v>0</v>
      </c>
      <c r="J50" s="12">
        <v>0</v>
      </c>
      <c r="K50" s="12">
        <v>0</v>
      </c>
      <c r="L50" s="12"/>
      <c r="M50" s="12">
        <f t="shared" si="0"/>
        <v>0</v>
      </c>
      <c r="N50" s="18" t="s">
        <v>115</v>
      </c>
      <c r="O50" s="12" t="s">
        <v>47</v>
      </c>
      <c r="P50" s="12"/>
      <c r="Q50" s="12">
        <v>1</v>
      </c>
      <c r="R50" s="12" t="s">
        <v>1702</v>
      </c>
      <c r="S50" s="12" t="s">
        <v>1701</v>
      </c>
    </row>
    <row r="51" spans="1:19" ht="21" customHeight="1" x14ac:dyDescent="0.15">
      <c r="A51" s="17">
        <v>11003</v>
      </c>
      <c r="B51" s="18" t="s">
        <v>82</v>
      </c>
      <c r="C51" s="18" t="s">
        <v>568</v>
      </c>
      <c r="D51" s="18" t="s">
        <v>377</v>
      </c>
      <c r="E51" s="12" t="s">
        <v>114</v>
      </c>
      <c r="F51" s="12">
        <v>3</v>
      </c>
      <c r="G51" s="12">
        <v>-1</v>
      </c>
      <c r="H51" s="12">
        <v>0</v>
      </c>
      <c r="I51" s="12">
        <v>0</v>
      </c>
      <c r="J51" s="12">
        <v>0</v>
      </c>
      <c r="K51" s="12">
        <v>0</v>
      </c>
      <c r="L51" s="12"/>
      <c r="M51" s="12">
        <f t="shared" si="0"/>
        <v>0</v>
      </c>
      <c r="N51" s="18" t="s">
        <v>116</v>
      </c>
      <c r="O51" s="12" t="s">
        <v>48</v>
      </c>
      <c r="P51" s="12"/>
      <c r="Q51" s="12">
        <v>1</v>
      </c>
      <c r="R51" s="12" t="s">
        <v>1702</v>
      </c>
      <c r="S51" s="12" t="s">
        <v>1701</v>
      </c>
    </row>
    <row r="52" spans="1:19" ht="21" customHeight="1" x14ac:dyDescent="0.15">
      <c r="A52" s="17">
        <v>11004</v>
      </c>
      <c r="B52" s="18" t="s">
        <v>82</v>
      </c>
      <c r="C52" s="18" t="s">
        <v>568</v>
      </c>
      <c r="D52" s="18" t="s">
        <v>378</v>
      </c>
      <c r="E52" s="12" t="s">
        <v>114</v>
      </c>
      <c r="F52" s="12">
        <v>3</v>
      </c>
      <c r="G52" s="12">
        <v>-1</v>
      </c>
      <c r="H52" s="12">
        <v>0</v>
      </c>
      <c r="I52" s="12">
        <v>0</v>
      </c>
      <c r="J52" s="12">
        <v>0</v>
      </c>
      <c r="K52" s="12">
        <v>0</v>
      </c>
      <c r="L52" s="12"/>
      <c r="M52" s="12">
        <f t="shared" si="0"/>
        <v>0</v>
      </c>
      <c r="N52" s="18" t="s">
        <v>117</v>
      </c>
      <c r="O52" s="12" t="s">
        <v>49</v>
      </c>
      <c r="P52" s="12"/>
      <c r="Q52" s="12">
        <v>1</v>
      </c>
      <c r="R52" s="12" t="s">
        <v>1702</v>
      </c>
      <c r="S52" s="12" t="s">
        <v>1701</v>
      </c>
    </row>
    <row r="53" spans="1:19" ht="21" customHeight="1" x14ac:dyDescent="0.15">
      <c r="A53" s="17">
        <v>11005</v>
      </c>
      <c r="B53" s="18" t="s">
        <v>82</v>
      </c>
      <c r="C53" s="18" t="s">
        <v>568</v>
      </c>
      <c r="D53" s="18" t="s">
        <v>379</v>
      </c>
      <c r="E53" s="12" t="s">
        <v>114</v>
      </c>
      <c r="F53" s="12">
        <v>3</v>
      </c>
      <c r="G53" s="12">
        <v>-1</v>
      </c>
      <c r="H53" s="12">
        <v>0</v>
      </c>
      <c r="I53" s="12">
        <v>0</v>
      </c>
      <c r="J53" s="12">
        <v>0</v>
      </c>
      <c r="K53" s="12">
        <v>0</v>
      </c>
      <c r="L53" s="12"/>
      <c r="M53" s="12">
        <f t="shared" si="0"/>
        <v>0</v>
      </c>
      <c r="N53" s="18" t="s">
        <v>118</v>
      </c>
      <c r="O53" s="12" t="s">
        <v>50</v>
      </c>
      <c r="P53" s="12"/>
      <c r="Q53" s="12">
        <v>1</v>
      </c>
      <c r="R53" s="12" t="s">
        <v>1702</v>
      </c>
      <c r="S53" s="12" t="s">
        <v>1701</v>
      </c>
    </row>
    <row r="54" spans="1:19" ht="21" customHeight="1" x14ac:dyDescent="0.15">
      <c r="A54" s="17">
        <v>11006</v>
      </c>
      <c r="B54" s="18" t="s">
        <v>82</v>
      </c>
      <c r="C54" s="18" t="s">
        <v>568</v>
      </c>
      <c r="D54" s="18" t="s">
        <v>380</v>
      </c>
      <c r="E54" s="12" t="s">
        <v>1162</v>
      </c>
      <c r="F54" s="12">
        <v>3</v>
      </c>
      <c r="G54" s="12">
        <v>-1</v>
      </c>
      <c r="H54" s="12">
        <v>0</v>
      </c>
      <c r="I54" s="12">
        <v>0</v>
      </c>
      <c r="J54" s="12">
        <v>0</v>
      </c>
      <c r="K54" s="12">
        <v>0</v>
      </c>
      <c r="L54" s="12"/>
      <c r="M54" s="12">
        <f t="shared" si="0"/>
        <v>0</v>
      </c>
      <c r="N54" s="18" t="s">
        <v>119</v>
      </c>
      <c r="O54" s="12" t="s">
        <v>52</v>
      </c>
      <c r="P54" s="12"/>
      <c r="Q54" s="12">
        <v>1</v>
      </c>
      <c r="R54" s="12" t="s">
        <v>1702</v>
      </c>
      <c r="S54" s="12" t="s">
        <v>1701</v>
      </c>
    </row>
    <row r="55" spans="1:19" ht="21" customHeight="1" x14ac:dyDescent="0.15">
      <c r="A55" s="88">
        <v>11007</v>
      </c>
      <c r="B55" s="18" t="s">
        <v>82</v>
      </c>
      <c r="C55" s="18" t="s">
        <v>568</v>
      </c>
      <c r="D55" s="75" t="s">
        <v>1418</v>
      </c>
      <c r="E55" s="12" t="s">
        <v>114</v>
      </c>
      <c r="F55" s="12">
        <v>3</v>
      </c>
      <c r="G55" s="76">
        <v>-1</v>
      </c>
      <c r="H55" s="12">
        <v>0</v>
      </c>
      <c r="I55" s="12">
        <v>0</v>
      </c>
      <c r="J55" s="12">
        <v>0</v>
      </c>
      <c r="K55" s="12">
        <v>0</v>
      </c>
      <c r="L55" s="76"/>
      <c r="M55" s="12">
        <f t="shared" ref="M55:M56" si="1">LEN(L55)</f>
        <v>0</v>
      </c>
      <c r="N55" s="75" t="s">
        <v>1420</v>
      </c>
      <c r="O55" s="76" t="s">
        <v>1422</v>
      </c>
      <c r="P55" s="12"/>
      <c r="Q55" s="12">
        <v>1</v>
      </c>
      <c r="R55" s="12" t="s">
        <v>1702</v>
      </c>
      <c r="S55" s="12" t="s">
        <v>1701</v>
      </c>
    </row>
    <row r="56" spans="1:19" ht="21" customHeight="1" x14ac:dyDescent="0.15">
      <c r="A56" s="88">
        <v>11008</v>
      </c>
      <c r="B56" s="18" t="s">
        <v>82</v>
      </c>
      <c r="C56" s="18" t="s">
        <v>568</v>
      </c>
      <c r="D56" s="75" t="s">
        <v>1419</v>
      </c>
      <c r="E56" s="12" t="s">
        <v>114</v>
      </c>
      <c r="F56" s="12">
        <v>3</v>
      </c>
      <c r="G56" s="76">
        <v>-1</v>
      </c>
      <c r="H56" s="12">
        <v>0</v>
      </c>
      <c r="I56" s="12">
        <v>0</v>
      </c>
      <c r="J56" s="12">
        <v>0</v>
      </c>
      <c r="K56" s="12">
        <v>0</v>
      </c>
      <c r="L56" s="76"/>
      <c r="M56" s="12">
        <f t="shared" si="1"/>
        <v>0</v>
      </c>
      <c r="N56" s="75" t="s">
        <v>1421</v>
      </c>
      <c r="O56" s="76" t="s">
        <v>1423</v>
      </c>
      <c r="P56" s="12"/>
      <c r="Q56" s="12">
        <v>1</v>
      </c>
      <c r="R56" s="12" t="s">
        <v>1702</v>
      </c>
      <c r="S56" s="12" t="s">
        <v>1701</v>
      </c>
    </row>
    <row r="57" spans="1:19" ht="21" customHeight="1" x14ac:dyDescent="0.15">
      <c r="A57" s="88">
        <v>11101</v>
      </c>
      <c r="B57" s="75" t="s">
        <v>500</v>
      </c>
      <c r="C57" s="18" t="s">
        <v>568</v>
      </c>
      <c r="D57" s="75" t="s">
        <v>1194</v>
      </c>
      <c r="E57" s="82" t="s">
        <v>418</v>
      </c>
      <c r="F57" s="76">
        <v>3</v>
      </c>
      <c r="G57" s="76">
        <v>-1</v>
      </c>
      <c r="H57" s="12">
        <v>0</v>
      </c>
      <c r="I57" s="12">
        <v>0</v>
      </c>
      <c r="J57" s="12">
        <v>0</v>
      </c>
      <c r="K57" s="12">
        <v>0</v>
      </c>
      <c r="L57" s="76"/>
      <c r="M57" s="12">
        <f t="shared" si="0"/>
        <v>0</v>
      </c>
      <c r="N57" s="75" t="s">
        <v>113</v>
      </c>
      <c r="O57" s="76" t="s">
        <v>502</v>
      </c>
      <c r="P57" s="12"/>
      <c r="Q57" s="12">
        <v>1</v>
      </c>
      <c r="R57" s="12" t="s">
        <v>1702</v>
      </c>
      <c r="S57" s="12" t="s">
        <v>1701</v>
      </c>
    </row>
    <row r="58" spans="1:19" ht="21" customHeight="1" x14ac:dyDescent="0.15">
      <c r="A58" s="88">
        <v>11102</v>
      </c>
      <c r="B58" s="75" t="s">
        <v>500</v>
      </c>
      <c r="C58" s="18" t="s">
        <v>568</v>
      </c>
      <c r="D58" s="75" t="s">
        <v>1195</v>
      </c>
      <c r="E58" s="82" t="s">
        <v>418</v>
      </c>
      <c r="F58" s="76">
        <v>3</v>
      </c>
      <c r="G58" s="76">
        <v>-1</v>
      </c>
      <c r="H58" s="12">
        <v>0</v>
      </c>
      <c r="I58" s="12">
        <v>0</v>
      </c>
      <c r="J58" s="12">
        <v>0</v>
      </c>
      <c r="K58" s="12">
        <v>0</v>
      </c>
      <c r="L58" s="76"/>
      <c r="M58" s="12">
        <f t="shared" si="0"/>
        <v>0</v>
      </c>
      <c r="N58" s="75" t="s">
        <v>115</v>
      </c>
      <c r="O58" s="76" t="s">
        <v>503</v>
      </c>
      <c r="P58" s="12"/>
      <c r="Q58" s="12">
        <v>1</v>
      </c>
      <c r="R58" s="12" t="s">
        <v>1702</v>
      </c>
      <c r="S58" s="12" t="s">
        <v>1701</v>
      </c>
    </row>
    <row r="59" spans="1:19" ht="21" customHeight="1" x14ac:dyDescent="0.15">
      <c r="A59" s="88">
        <v>11103</v>
      </c>
      <c r="B59" s="75" t="s">
        <v>500</v>
      </c>
      <c r="C59" s="18" t="s">
        <v>568</v>
      </c>
      <c r="D59" s="75" t="s">
        <v>1196</v>
      </c>
      <c r="E59" s="82" t="s">
        <v>418</v>
      </c>
      <c r="F59" s="76">
        <v>3</v>
      </c>
      <c r="G59" s="76">
        <v>-1</v>
      </c>
      <c r="H59" s="12">
        <v>0</v>
      </c>
      <c r="I59" s="12">
        <v>0</v>
      </c>
      <c r="J59" s="12">
        <v>0</v>
      </c>
      <c r="K59" s="12">
        <v>0</v>
      </c>
      <c r="L59" s="76"/>
      <c r="M59" s="12">
        <f t="shared" si="0"/>
        <v>0</v>
      </c>
      <c r="N59" s="75" t="s">
        <v>116</v>
      </c>
      <c r="O59" s="76" t="s">
        <v>504</v>
      </c>
      <c r="P59" s="12"/>
      <c r="Q59" s="12">
        <v>1</v>
      </c>
      <c r="R59" s="12" t="s">
        <v>1702</v>
      </c>
      <c r="S59" s="12" t="s">
        <v>1701</v>
      </c>
    </row>
    <row r="60" spans="1:19" ht="21" customHeight="1" x14ac:dyDescent="0.15">
      <c r="A60" s="88">
        <v>11104</v>
      </c>
      <c r="B60" s="75" t="s">
        <v>500</v>
      </c>
      <c r="C60" s="18" t="s">
        <v>568</v>
      </c>
      <c r="D60" s="75" t="s">
        <v>1197</v>
      </c>
      <c r="E60" s="82" t="s">
        <v>418</v>
      </c>
      <c r="F60" s="76">
        <v>3</v>
      </c>
      <c r="G60" s="76">
        <v>-1</v>
      </c>
      <c r="H60" s="12">
        <v>0</v>
      </c>
      <c r="I60" s="12">
        <v>0</v>
      </c>
      <c r="J60" s="12">
        <v>0</v>
      </c>
      <c r="K60" s="12">
        <v>0</v>
      </c>
      <c r="L60" s="76"/>
      <c r="M60" s="12">
        <f t="shared" si="0"/>
        <v>0</v>
      </c>
      <c r="N60" s="75" t="s">
        <v>117</v>
      </c>
      <c r="O60" s="76" t="s">
        <v>505</v>
      </c>
      <c r="P60" s="12"/>
      <c r="Q60" s="12">
        <v>1</v>
      </c>
      <c r="R60" s="12" t="s">
        <v>1702</v>
      </c>
      <c r="S60" s="12" t="s">
        <v>1701</v>
      </c>
    </row>
    <row r="61" spans="1:19" ht="21" customHeight="1" x14ac:dyDescent="0.15">
      <c r="A61" s="88">
        <v>11105</v>
      </c>
      <c r="B61" s="75" t="s">
        <v>500</v>
      </c>
      <c r="C61" s="18" t="s">
        <v>568</v>
      </c>
      <c r="D61" s="75" t="s">
        <v>1198</v>
      </c>
      <c r="E61" s="82" t="s">
        <v>418</v>
      </c>
      <c r="F61" s="76">
        <v>3</v>
      </c>
      <c r="G61" s="76">
        <v>-1</v>
      </c>
      <c r="H61" s="12">
        <v>0</v>
      </c>
      <c r="I61" s="12">
        <v>0</v>
      </c>
      <c r="J61" s="12">
        <v>0</v>
      </c>
      <c r="K61" s="12">
        <v>0</v>
      </c>
      <c r="L61" s="76"/>
      <c r="M61" s="12">
        <f t="shared" si="0"/>
        <v>0</v>
      </c>
      <c r="N61" s="75" t="s">
        <v>118</v>
      </c>
      <c r="O61" s="76" t="s">
        <v>506</v>
      </c>
      <c r="P61" s="12"/>
      <c r="Q61" s="12">
        <v>1</v>
      </c>
      <c r="R61" s="12" t="s">
        <v>1702</v>
      </c>
      <c r="S61" s="12" t="s">
        <v>1701</v>
      </c>
    </row>
    <row r="62" spans="1:19" s="149" customFormat="1" ht="21" customHeight="1" x14ac:dyDescent="0.15">
      <c r="A62" s="135">
        <v>11106</v>
      </c>
      <c r="B62" s="136" t="s">
        <v>500</v>
      </c>
      <c r="C62" s="136" t="s">
        <v>568</v>
      </c>
      <c r="D62" s="136" t="s">
        <v>501</v>
      </c>
      <c r="E62" s="137" t="s">
        <v>114</v>
      </c>
      <c r="F62" s="137">
        <v>0</v>
      </c>
      <c r="G62" s="137">
        <v>-1</v>
      </c>
      <c r="H62" s="137">
        <v>0</v>
      </c>
      <c r="I62" s="137">
        <v>0</v>
      </c>
      <c r="J62" s="137">
        <v>0</v>
      </c>
      <c r="K62" s="137">
        <v>0</v>
      </c>
      <c r="L62" s="137"/>
      <c r="M62" s="137">
        <f t="shared" si="0"/>
        <v>0</v>
      </c>
      <c r="N62" s="136" t="s">
        <v>508</v>
      </c>
      <c r="O62" s="137" t="s">
        <v>507</v>
      </c>
      <c r="P62" s="137"/>
      <c r="Q62" s="12">
        <v>1</v>
      </c>
      <c r="R62" s="12" t="s">
        <v>1702</v>
      </c>
      <c r="S62" s="12" t="s">
        <v>1701</v>
      </c>
    </row>
    <row r="63" spans="1:19" s="149" customFormat="1" ht="21" customHeight="1" x14ac:dyDescent="0.15">
      <c r="A63" s="135">
        <v>11206</v>
      </c>
      <c r="B63" s="136" t="s">
        <v>500</v>
      </c>
      <c r="C63" s="136" t="s">
        <v>568</v>
      </c>
      <c r="D63" s="136" t="s">
        <v>501</v>
      </c>
      <c r="E63" s="137" t="s">
        <v>114</v>
      </c>
      <c r="F63" s="137">
        <v>0</v>
      </c>
      <c r="G63" s="137">
        <v>-1</v>
      </c>
      <c r="H63" s="137">
        <v>0</v>
      </c>
      <c r="I63" s="137">
        <v>0</v>
      </c>
      <c r="J63" s="137">
        <v>0</v>
      </c>
      <c r="K63" s="137">
        <v>0</v>
      </c>
      <c r="L63" s="137"/>
      <c r="M63" s="137">
        <f t="shared" si="0"/>
        <v>0</v>
      </c>
      <c r="N63" s="136" t="s">
        <v>509</v>
      </c>
      <c r="O63" s="137" t="s">
        <v>507</v>
      </c>
      <c r="P63" s="137"/>
      <c r="Q63" s="12">
        <v>1</v>
      </c>
      <c r="R63" s="12" t="s">
        <v>1702</v>
      </c>
      <c r="S63" s="12" t="s">
        <v>1701</v>
      </c>
    </row>
    <row r="64" spans="1:19" ht="21" customHeight="1" x14ac:dyDescent="0.15">
      <c r="A64" s="88">
        <v>11016</v>
      </c>
      <c r="B64" s="75" t="s">
        <v>500</v>
      </c>
      <c r="C64" s="18" t="s">
        <v>568</v>
      </c>
      <c r="D64" s="18" t="s">
        <v>821</v>
      </c>
      <c r="E64" s="12" t="s">
        <v>1163</v>
      </c>
      <c r="F64" s="76">
        <v>3</v>
      </c>
      <c r="G64" s="76">
        <v>-1</v>
      </c>
      <c r="H64" s="12">
        <v>0</v>
      </c>
      <c r="I64" s="12">
        <v>0</v>
      </c>
      <c r="J64" s="12">
        <v>0</v>
      </c>
      <c r="K64" s="12">
        <v>0</v>
      </c>
      <c r="L64" s="76"/>
      <c r="M64" s="12">
        <f t="shared" si="0"/>
        <v>0</v>
      </c>
      <c r="N64" s="75" t="s">
        <v>508</v>
      </c>
      <c r="O64" s="76" t="s">
        <v>597</v>
      </c>
      <c r="P64" s="12"/>
      <c r="Q64" s="12">
        <v>1</v>
      </c>
      <c r="R64" s="12" t="s">
        <v>1702</v>
      </c>
      <c r="S64" s="12" t="s">
        <v>1701</v>
      </c>
    </row>
    <row r="65" spans="1:19" ht="21" customHeight="1" x14ac:dyDescent="0.15">
      <c r="A65" s="88">
        <v>11017</v>
      </c>
      <c r="B65" s="75" t="s">
        <v>500</v>
      </c>
      <c r="C65" s="18" t="s">
        <v>568</v>
      </c>
      <c r="D65" s="32" t="s">
        <v>1504</v>
      </c>
      <c r="E65" s="23" t="s">
        <v>1512</v>
      </c>
      <c r="F65" s="23">
        <v>3</v>
      </c>
      <c r="G65" s="23">
        <v>-1</v>
      </c>
      <c r="H65" s="23">
        <v>0</v>
      </c>
      <c r="I65" s="23">
        <v>0</v>
      </c>
      <c r="J65" s="23">
        <v>0</v>
      </c>
      <c r="K65" s="23">
        <v>0</v>
      </c>
      <c r="L65" s="23"/>
      <c r="M65" s="23">
        <f t="shared" ref="M65:M66" si="2">LEN(L65)</f>
        <v>0</v>
      </c>
      <c r="N65" s="23" t="s">
        <v>1075</v>
      </c>
      <c r="O65" s="23" t="s">
        <v>1494</v>
      </c>
      <c r="P65" s="12"/>
      <c r="Q65" s="12">
        <v>1</v>
      </c>
      <c r="R65" s="12" t="s">
        <v>1702</v>
      </c>
      <c r="S65" s="12" t="s">
        <v>1701</v>
      </c>
    </row>
    <row r="66" spans="1:19" ht="21" customHeight="1" x14ac:dyDescent="0.15">
      <c r="A66" s="88">
        <v>11018</v>
      </c>
      <c r="B66" s="75" t="s">
        <v>500</v>
      </c>
      <c r="C66" s="18" t="s">
        <v>568</v>
      </c>
      <c r="D66" s="18" t="s">
        <v>1657</v>
      </c>
      <c r="E66" s="23" t="s">
        <v>1512</v>
      </c>
      <c r="F66" s="76">
        <v>3</v>
      </c>
      <c r="G66" s="76">
        <v>-1</v>
      </c>
      <c r="H66" s="12">
        <v>0</v>
      </c>
      <c r="I66" s="12">
        <v>0</v>
      </c>
      <c r="J66" s="12">
        <v>0</v>
      </c>
      <c r="K66" s="12">
        <v>0</v>
      </c>
      <c r="L66" s="76"/>
      <c r="M66" s="12">
        <f t="shared" si="2"/>
        <v>0</v>
      </c>
      <c r="N66" s="75" t="s">
        <v>508</v>
      </c>
      <c r="O66" s="76" t="s">
        <v>597</v>
      </c>
      <c r="P66" s="12"/>
      <c r="Q66" s="12">
        <v>1</v>
      </c>
      <c r="R66" s="12" t="s">
        <v>1702</v>
      </c>
      <c r="S66" s="12" t="s">
        <v>1701</v>
      </c>
    </row>
    <row r="67" spans="1:19" ht="21" customHeight="1" x14ac:dyDescent="0.15">
      <c r="A67" s="85">
        <v>11207</v>
      </c>
      <c r="B67" s="86" t="s">
        <v>500</v>
      </c>
      <c r="C67" s="86" t="s">
        <v>568</v>
      </c>
      <c r="D67" s="86" t="s">
        <v>515</v>
      </c>
      <c r="E67" s="87" t="s">
        <v>1164</v>
      </c>
      <c r="F67" s="87">
        <v>3</v>
      </c>
      <c r="G67" s="87">
        <v>-1</v>
      </c>
      <c r="H67" s="87">
        <v>0</v>
      </c>
      <c r="I67" s="87">
        <v>0</v>
      </c>
      <c r="J67" s="87">
        <v>0</v>
      </c>
      <c r="K67" s="87">
        <v>0</v>
      </c>
      <c r="L67" s="87"/>
      <c r="M67" s="12">
        <f t="shared" si="0"/>
        <v>0</v>
      </c>
      <c r="N67" s="86"/>
      <c r="O67" s="87" t="s">
        <v>512</v>
      </c>
      <c r="P67" s="12"/>
      <c r="Q67" s="12">
        <v>1</v>
      </c>
      <c r="R67" s="12" t="s">
        <v>1702</v>
      </c>
      <c r="S67" s="12" t="s">
        <v>1701</v>
      </c>
    </row>
    <row r="68" spans="1:19" s="149" customFormat="1" ht="21" customHeight="1" x14ac:dyDescent="0.15">
      <c r="A68" s="135">
        <v>11208</v>
      </c>
      <c r="B68" s="136" t="s">
        <v>500</v>
      </c>
      <c r="C68" s="136" t="s">
        <v>568</v>
      </c>
      <c r="D68" s="136" t="s">
        <v>515</v>
      </c>
      <c r="E68" s="137" t="s">
        <v>513</v>
      </c>
      <c r="F68" s="137">
        <v>0</v>
      </c>
      <c r="G68" s="137">
        <v>-1</v>
      </c>
      <c r="H68" s="137">
        <v>0</v>
      </c>
      <c r="I68" s="137">
        <v>0</v>
      </c>
      <c r="J68" s="137">
        <v>0</v>
      </c>
      <c r="K68" s="137">
        <v>0</v>
      </c>
      <c r="L68" s="137"/>
      <c r="M68" s="137">
        <f t="shared" si="0"/>
        <v>0</v>
      </c>
      <c r="N68" s="136"/>
      <c r="O68" s="137" t="s">
        <v>512</v>
      </c>
      <c r="P68" s="137"/>
      <c r="Q68" s="12">
        <v>1</v>
      </c>
      <c r="R68" s="12" t="s">
        <v>1702</v>
      </c>
      <c r="S68" s="12" t="s">
        <v>1701</v>
      </c>
    </row>
    <row r="69" spans="1:19" ht="21" customHeight="1" x14ac:dyDescent="0.15">
      <c r="A69" s="85">
        <v>11209</v>
      </c>
      <c r="B69" s="86" t="s">
        <v>500</v>
      </c>
      <c r="C69" s="86" t="s">
        <v>568</v>
      </c>
      <c r="D69" s="78" t="s">
        <v>963</v>
      </c>
      <c r="E69" s="87" t="s">
        <v>1164</v>
      </c>
      <c r="F69" s="87">
        <v>3</v>
      </c>
      <c r="G69" s="87">
        <v>-1</v>
      </c>
      <c r="H69" s="87">
        <v>0</v>
      </c>
      <c r="I69" s="87">
        <v>0</v>
      </c>
      <c r="J69" s="87">
        <v>0</v>
      </c>
      <c r="K69" s="87">
        <v>0</v>
      </c>
      <c r="L69" s="87"/>
      <c r="M69" s="12">
        <f t="shared" si="0"/>
        <v>0</v>
      </c>
      <c r="N69" s="87" t="s">
        <v>964</v>
      </c>
      <c r="O69" s="87" t="s">
        <v>965</v>
      </c>
      <c r="P69" s="12"/>
      <c r="Q69" s="12">
        <v>1</v>
      </c>
      <c r="R69" s="12" t="s">
        <v>1702</v>
      </c>
      <c r="S69" s="12" t="s">
        <v>1701</v>
      </c>
    </row>
    <row r="70" spans="1:19" ht="21" customHeight="1" x14ac:dyDescent="0.15">
      <c r="A70" s="135">
        <v>11210</v>
      </c>
      <c r="B70" s="136" t="s">
        <v>55</v>
      </c>
      <c r="C70" s="136" t="s">
        <v>568</v>
      </c>
      <c r="D70" s="137" t="s">
        <v>613</v>
      </c>
      <c r="E70" s="137" t="s">
        <v>120</v>
      </c>
      <c r="F70" s="139">
        <v>1</v>
      </c>
      <c r="G70" s="139">
        <v>-1</v>
      </c>
      <c r="H70" s="139">
        <v>0</v>
      </c>
      <c r="I70" s="139">
        <v>0</v>
      </c>
      <c r="J70" s="139">
        <v>0</v>
      </c>
      <c r="K70" s="139">
        <v>0</v>
      </c>
      <c r="L70" s="139"/>
      <c r="M70" s="137">
        <f>LEN(L70)</f>
        <v>0</v>
      </c>
      <c r="N70" s="137" t="s">
        <v>700</v>
      </c>
      <c r="O70" s="137" t="s">
        <v>701</v>
      </c>
      <c r="P70" s="12"/>
      <c r="Q70" s="12">
        <v>1</v>
      </c>
      <c r="R70" s="12" t="s">
        <v>1702</v>
      </c>
      <c r="S70" s="12" t="s">
        <v>1701</v>
      </c>
    </row>
    <row r="71" spans="1:19" s="149" customFormat="1" ht="21" customHeight="1" x14ac:dyDescent="0.15">
      <c r="A71" s="135">
        <v>11211</v>
      </c>
      <c r="B71" s="136" t="s">
        <v>500</v>
      </c>
      <c r="C71" s="136" t="s">
        <v>568</v>
      </c>
      <c r="D71" s="136" t="s">
        <v>595</v>
      </c>
      <c r="E71" s="137" t="s">
        <v>614</v>
      </c>
      <c r="F71" s="137">
        <v>1</v>
      </c>
      <c r="G71" s="137">
        <v>-1</v>
      </c>
      <c r="H71" s="137">
        <v>0</v>
      </c>
      <c r="I71" s="137">
        <v>0</v>
      </c>
      <c r="J71" s="137">
        <v>0</v>
      </c>
      <c r="K71" s="137">
        <v>0</v>
      </c>
      <c r="L71" s="137"/>
      <c r="M71" s="137">
        <f t="shared" si="0"/>
        <v>0</v>
      </c>
      <c r="N71" s="137" t="s">
        <v>668</v>
      </c>
      <c r="O71" s="137" t="s">
        <v>668</v>
      </c>
      <c r="P71" s="137"/>
      <c r="Q71" s="12">
        <v>1</v>
      </c>
      <c r="R71" s="12" t="s">
        <v>1702</v>
      </c>
      <c r="S71" s="12" t="s">
        <v>1701</v>
      </c>
    </row>
    <row r="72" spans="1:19" ht="21" customHeight="1" x14ac:dyDescent="0.15">
      <c r="A72" s="85">
        <v>11212</v>
      </c>
      <c r="B72" s="86" t="s">
        <v>500</v>
      </c>
      <c r="C72" s="86" t="s">
        <v>568</v>
      </c>
      <c r="D72" s="87" t="s">
        <v>596</v>
      </c>
      <c r="E72" s="87" t="s">
        <v>596</v>
      </c>
      <c r="F72" s="87">
        <v>3</v>
      </c>
      <c r="G72" s="87">
        <v>-1</v>
      </c>
      <c r="H72" s="87">
        <v>0</v>
      </c>
      <c r="I72" s="87">
        <v>0</v>
      </c>
      <c r="J72" s="87">
        <v>0</v>
      </c>
      <c r="K72" s="87">
        <v>0</v>
      </c>
      <c r="L72" s="87"/>
      <c r="M72" s="12">
        <f t="shared" ref="M72:M314" si="3">LEN(L72)</f>
        <v>0</v>
      </c>
      <c r="N72" s="87" t="s">
        <v>596</v>
      </c>
      <c r="O72" s="86" t="s">
        <v>615</v>
      </c>
      <c r="P72" s="12"/>
      <c r="Q72" s="12">
        <v>1</v>
      </c>
      <c r="R72" s="12" t="s">
        <v>1702</v>
      </c>
      <c r="S72" s="12" t="s">
        <v>1701</v>
      </c>
    </row>
    <row r="73" spans="1:19" ht="21" customHeight="1" x14ac:dyDescent="0.15">
      <c r="A73" s="85">
        <v>11213</v>
      </c>
      <c r="B73" s="86" t="s">
        <v>500</v>
      </c>
      <c r="C73" s="86" t="s">
        <v>568</v>
      </c>
      <c r="D73" s="87" t="s">
        <v>37</v>
      </c>
      <c r="E73" s="87" t="s">
        <v>617</v>
      </c>
      <c r="F73" s="87">
        <v>0</v>
      </c>
      <c r="G73" s="87">
        <v>-1</v>
      </c>
      <c r="H73" s="87">
        <v>0</v>
      </c>
      <c r="I73" s="87">
        <v>0</v>
      </c>
      <c r="J73" s="87">
        <v>0</v>
      </c>
      <c r="K73" s="87">
        <v>0</v>
      </c>
      <c r="L73" s="87"/>
      <c r="M73" s="12">
        <f t="shared" si="3"/>
        <v>0</v>
      </c>
      <c r="N73" s="86" t="s">
        <v>666</v>
      </c>
      <c r="O73" s="86" t="s">
        <v>667</v>
      </c>
      <c r="P73" s="12"/>
      <c r="Q73" s="12">
        <v>1</v>
      </c>
      <c r="R73" s="12" t="s">
        <v>1702</v>
      </c>
      <c r="S73" s="12" t="s">
        <v>1701</v>
      </c>
    </row>
    <row r="74" spans="1:19" ht="21" customHeight="1" x14ac:dyDescent="0.15">
      <c r="A74" s="85">
        <v>11214</v>
      </c>
      <c r="B74" s="86" t="s">
        <v>500</v>
      </c>
      <c r="C74" s="86" t="s">
        <v>568</v>
      </c>
      <c r="D74" s="87" t="s">
        <v>790</v>
      </c>
      <c r="E74" s="87" t="s">
        <v>665</v>
      </c>
      <c r="F74" s="87">
        <v>3</v>
      </c>
      <c r="G74" s="87">
        <v>-1</v>
      </c>
      <c r="H74" s="87">
        <v>0</v>
      </c>
      <c r="I74" s="87">
        <v>0</v>
      </c>
      <c r="J74" s="87">
        <v>0</v>
      </c>
      <c r="K74" s="87">
        <v>0</v>
      </c>
      <c r="L74" s="87"/>
      <c r="M74" s="12">
        <f t="shared" ref="M74" si="4">LEN(L74)</f>
        <v>0</v>
      </c>
      <c r="N74" s="86" t="s">
        <v>646</v>
      </c>
      <c r="O74" s="86" t="s">
        <v>646</v>
      </c>
      <c r="P74" s="12"/>
      <c r="Q74" s="12">
        <v>1</v>
      </c>
      <c r="R74" s="12" t="s">
        <v>1702</v>
      </c>
      <c r="S74" s="12" t="s">
        <v>1701</v>
      </c>
    </row>
    <row r="75" spans="1:19" ht="21" customHeight="1" x14ac:dyDescent="0.15">
      <c r="A75" s="85">
        <v>11215</v>
      </c>
      <c r="B75" s="86" t="s">
        <v>818</v>
      </c>
      <c r="C75" s="86" t="s">
        <v>568</v>
      </c>
      <c r="D75" s="87" t="s">
        <v>816</v>
      </c>
      <c r="E75" s="87" t="s">
        <v>813</v>
      </c>
      <c r="F75" s="87">
        <v>3</v>
      </c>
      <c r="G75" s="87">
        <v>-1</v>
      </c>
      <c r="H75" s="87">
        <v>0</v>
      </c>
      <c r="I75" s="87">
        <v>0</v>
      </c>
      <c r="J75" s="87">
        <v>0</v>
      </c>
      <c r="K75" s="87">
        <v>0</v>
      </c>
      <c r="L75" s="87"/>
      <c r="M75" s="12">
        <f t="shared" ref="M75" si="5">LEN(L75)</f>
        <v>0</v>
      </c>
      <c r="N75" s="86" t="s">
        <v>814</v>
      </c>
      <c r="O75" s="86" t="s">
        <v>814</v>
      </c>
      <c r="P75" s="12"/>
      <c r="Q75" s="12">
        <v>1</v>
      </c>
      <c r="R75" s="12" t="s">
        <v>1702</v>
      </c>
      <c r="S75" s="12" t="s">
        <v>1701</v>
      </c>
    </row>
    <row r="76" spans="1:19" ht="21" customHeight="1" x14ac:dyDescent="0.15">
      <c r="A76" s="85">
        <v>11216</v>
      </c>
      <c r="B76" s="86" t="s">
        <v>824</v>
      </c>
      <c r="C76" s="86" t="s">
        <v>568</v>
      </c>
      <c r="D76" s="87" t="s">
        <v>838</v>
      </c>
      <c r="E76" s="87" t="s">
        <v>838</v>
      </c>
      <c r="F76" s="87">
        <v>3</v>
      </c>
      <c r="G76" s="87">
        <v>-1</v>
      </c>
      <c r="H76" s="87">
        <v>0</v>
      </c>
      <c r="I76" s="87">
        <v>0</v>
      </c>
      <c r="J76" s="87">
        <v>0</v>
      </c>
      <c r="K76" s="87">
        <v>0</v>
      </c>
      <c r="L76" s="87"/>
      <c r="M76" s="12">
        <f t="shared" ref="M76" si="6">LEN(L76)</f>
        <v>0</v>
      </c>
      <c r="N76" s="86" t="s">
        <v>839</v>
      </c>
      <c r="O76" s="86" t="s">
        <v>839</v>
      </c>
      <c r="P76" s="12"/>
      <c r="Q76" s="12">
        <v>1</v>
      </c>
      <c r="R76" s="12" t="s">
        <v>1702</v>
      </c>
      <c r="S76" s="12" t="s">
        <v>1701</v>
      </c>
    </row>
    <row r="77" spans="1:19" ht="21" customHeight="1" x14ac:dyDescent="0.15">
      <c r="A77" s="85">
        <v>11217</v>
      </c>
      <c r="B77" s="86" t="s">
        <v>824</v>
      </c>
      <c r="C77" s="86" t="s">
        <v>568</v>
      </c>
      <c r="D77" s="87" t="s">
        <v>828</v>
      </c>
      <c r="E77" s="87" t="s">
        <v>828</v>
      </c>
      <c r="F77" s="87">
        <v>3</v>
      </c>
      <c r="G77" s="87">
        <v>-1</v>
      </c>
      <c r="H77" s="87">
        <v>0</v>
      </c>
      <c r="I77" s="87">
        <v>0</v>
      </c>
      <c r="J77" s="87">
        <v>0</v>
      </c>
      <c r="K77" s="87">
        <v>0</v>
      </c>
      <c r="L77" s="87"/>
      <c r="M77" s="12">
        <f t="shared" ref="M77" si="7">LEN(L77)</f>
        <v>0</v>
      </c>
      <c r="N77" s="86" t="s">
        <v>825</v>
      </c>
      <c r="O77" s="86" t="s">
        <v>825</v>
      </c>
      <c r="P77" s="12"/>
      <c r="Q77" s="12">
        <v>1</v>
      </c>
      <c r="R77" s="12" t="s">
        <v>1702</v>
      </c>
      <c r="S77" s="12" t="s">
        <v>1701</v>
      </c>
    </row>
    <row r="78" spans="1:19" ht="21" customHeight="1" x14ac:dyDescent="0.15">
      <c r="A78" s="85">
        <v>11218</v>
      </c>
      <c r="B78" s="86" t="s">
        <v>824</v>
      </c>
      <c r="C78" s="86" t="s">
        <v>568</v>
      </c>
      <c r="D78" s="87" t="s">
        <v>915</v>
      </c>
      <c r="E78" s="87" t="s">
        <v>915</v>
      </c>
      <c r="F78" s="87">
        <v>3</v>
      </c>
      <c r="G78" s="87">
        <v>-1</v>
      </c>
      <c r="H78" s="87">
        <v>0</v>
      </c>
      <c r="I78" s="87">
        <v>0</v>
      </c>
      <c r="J78" s="87">
        <v>0</v>
      </c>
      <c r="K78" s="87">
        <v>0</v>
      </c>
      <c r="L78" s="87"/>
      <c r="M78" s="12">
        <f t="shared" ref="M78:M79" si="8">LEN(L78)</f>
        <v>0</v>
      </c>
      <c r="N78" s="86" t="s">
        <v>916</v>
      </c>
      <c r="O78" s="86" t="s">
        <v>916</v>
      </c>
      <c r="P78" s="12"/>
      <c r="Q78" s="12">
        <v>1</v>
      </c>
      <c r="R78" s="12" t="s">
        <v>1702</v>
      </c>
      <c r="S78" s="12" t="s">
        <v>1701</v>
      </c>
    </row>
    <row r="79" spans="1:19" ht="21" customHeight="1" x14ac:dyDescent="0.15">
      <c r="A79" s="85">
        <v>11219</v>
      </c>
      <c r="B79" s="86" t="s">
        <v>500</v>
      </c>
      <c r="C79" s="86" t="s">
        <v>568</v>
      </c>
      <c r="D79" s="87" t="s">
        <v>960</v>
      </c>
      <c r="E79" s="87" t="s">
        <v>960</v>
      </c>
      <c r="F79" s="87">
        <v>3</v>
      </c>
      <c r="G79" s="87">
        <v>-1</v>
      </c>
      <c r="H79" s="87">
        <v>0</v>
      </c>
      <c r="I79" s="87">
        <v>0</v>
      </c>
      <c r="J79" s="87">
        <v>0</v>
      </c>
      <c r="K79" s="87">
        <v>0</v>
      </c>
      <c r="L79" s="87"/>
      <c r="M79" s="12">
        <f t="shared" si="8"/>
        <v>0</v>
      </c>
      <c r="N79" s="87" t="s">
        <v>960</v>
      </c>
      <c r="O79" s="86" t="s">
        <v>979</v>
      </c>
      <c r="P79" s="12"/>
      <c r="Q79" s="12">
        <v>1</v>
      </c>
      <c r="R79" s="12" t="s">
        <v>1702</v>
      </c>
      <c r="S79" s="12" t="s">
        <v>1701</v>
      </c>
    </row>
    <row r="80" spans="1:19" ht="21" customHeight="1" x14ac:dyDescent="0.15">
      <c r="A80" s="85">
        <v>11220</v>
      </c>
      <c r="B80" s="86" t="s">
        <v>500</v>
      </c>
      <c r="C80" s="86" t="s">
        <v>568</v>
      </c>
      <c r="D80" s="87" t="s">
        <v>1006</v>
      </c>
      <c r="E80" s="87" t="s">
        <v>1006</v>
      </c>
      <c r="F80" s="87">
        <v>3</v>
      </c>
      <c r="G80" s="87">
        <v>-1</v>
      </c>
      <c r="H80" s="87">
        <v>0</v>
      </c>
      <c r="I80" s="87">
        <v>0</v>
      </c>
      <c r="J80" s="87">
        <v>0</v>
      </c>
      <c r="K80" s="87">
        <v>0</v>
      </c>
      <c r="L80" s="87"/>
      <c r="M80" s="12">
        <f t="shared" ref="M80" si="9">LEN(L80)</f>
        <v>0</v>
      </c>
      <c r="N80" s="87" t="s">
        <v>1007</v>
      </c>
      <c r="O80" s="86" t="s">
        <v>1007</v>
      </c>
      <c r="P80" s="12"/>
      <c r="Q80" s="12">
        <v>1</v>
      </c>
      <c r="R80" s="12" t="s">
        <v>1702</v>
      </c>
      <c r="S80" s="12" t="s">
        <v>1701</v>
      </c>
    </row>
    <row r="81" spans="1:19" ht="21" customHeight="1" x14ac:dyDescent="0.15">
      <c r="A81" s="85">
        <v>11221</v>
      </c>
      <c r="B81" s="86" t="s">
        <v>500</v>
      </c>
      <c r="C81" s="86" t="s">
        <v>382</v>
      </c>
      <c r="D81" s="87" t="s">
        <v>1027</v>
      </c>
      <c r="E81" s="87" t="s">
        <v>1027</v>
      </c>
      <c r="F81" s="87">
        <v>3</v>
      </c>
      <c r="G81" s="87">
        <v>-1</v>
      </c>
      <c r="H81" s="87">
        <v>0</v>
      </c>
      <c r="I81" s="87">
        <v>0</v>
      </c>
      <c r="J81" s="87">
        <v>0</v>
      </c>
      <c r="K81" s="87">
        <v>0</v>
      </c>
      <c r="L81" s="87"/>
      <c r="M81" s="12">
        <f t="shared" ref="M81" si="10">LEN(L81)</f>
        <v>0</v>
      </c>
      <c r="N81" s="87" t="s">
        <v>1028</v>
      </c>
      <c r="O81" s="87" t="s">
        <v>1028</v>
      </c>
      <c r="P81" s="12"/>
      <c r="Q81" s="12">
        <v>1</v>
      </c>
      <c r="R81" s="12" t="s">
        <v>1702</v>
      </c>
      <c r="S81" s="12" t="s">
        <v>1701</v>
      </c>
    </row>
    <row r="82" spans="1:19" ht="21" customHeight="1" x14ac:dyDescent="0.15">
      <c r="A82" s="85">
        <v>11224</v>
      </c>
      <c r="B82" s="86" t="s">
        <v>500</v>
      </c>
      <c r="C82" s="86" t="s">
        <v>382</v>
      </c>
      <c r="D82" s="87" t="s">
        <v>1189</v>
      </c>
      <c r="E82" s="87" t="s">
        <v>1189</v>
      </c>
      <c r="F82" s="87">
        <v>3</v>
      </c>
      <c r="G82" s="87">
        <v>-1</v>
      </c>
      <c r="H82" s="87">
        <v>0</v>
      </c>
      <c r="I82" s="87">
        <v>0</v>
      </c>
      <c r="J82" s="87">
        <v>0</v>
      </c>
      <c r="K82" s="87">
        <v>0</v>
      </c>
      <c r="L82" s="87"/>
      <c r="M82" s="12">
        <f t="shared" ref="M82" si="11">LEN(L82)</f>
        <v>0</v>
      </c>
      <c r="N82" s="87" t="s">
        <v>1189</v>
      </c>
      <c r="O82" s="87" t="s">
        <v>1189</v>
      </c>
      <c r="P82" s="12"/>
      <c r="Q82" s="12">
        <v>1</v>
      </c>
      <c r="R82" s="12" t="s">
        <v>1702</v>
      </c>
      <c r="S82" s="12" t="s">
        <v>1701</v>
      </c>
    </row>
    <row r="83" spans="1:19" ht="21" customHeight="1" x14ac:dyDescent="0.15">
      <c r="A83" s="85">
        <v>11225</v>
      </c>
      <c r="B83" s="86" t="s">
        <v>500</v>
      </c>
      <c r="C83" s="86" t="s">
        <v>382</v>
      </c>
      <c r="D83" s="87" t="s">
        <v>1333</v>
      </c>
      <c r="E83" s="87" t="s">
        <v>1333</v>
      </c>
      <c r="F83" s="87">
        <v>3</v>
      </c>
      <c r="G83" s="87">
        <v>-1</v>
      </c>
      <c r="H83" s="87">
        <v>0</v>
      </c>
      <c r="I83" s="87">
        <v>0</v>
      </c>
      <c r="J83" s="87">
        <v>0</v>
      </c>
      <c r="K83" s="87">
        <v>0</v>
      </c>
      <c r="L83" s="87"/>
      <c r="M83" s="12">
        <v>0</v>
      </c>
      <c r="N83" s="87" t="s">
        <v>1333</v>
      </c>
      <c r="O83" s="86" t="s">
        <v>1383</v>
      </c>
      <c r="P83" s="12"/>
      <c r="Q83" s="12">
        <v>1</v>
      </c>
      <c r="R83" s="12" t="s">
        <v>1702</v>
      </c>
      <c r="S83" s="12" t="s">
        <v>1701</v>
      </c>
    </row>
    <row r="84" spans="1:19" ht="21" customHeight="1" x14ac:dyDescent="0.15">
      <c r="A84" s="85">
        <v>11226</v>
      </c>
      <c r="B84" s="86" t="s">
        <v>500</v>
      </c>
      <c r="C84" s="86" t="s">
        <v>568</v>
      </c>
      <c r="D84" s="87" t="s">
        <v>1384</v>
      </c>
      <c r="E84" s="87" t="s">
        <v>1385</v>
      </c>
      <c r="F84" s="87">
        <v>3</v>
      </c>
      <c r="G84" s="87">
        <v>-1</v>
      </c>
      <c r="H84" s="87">
        <v>0</v>
      </c>
      <c r="I84" s="87">
        <v>0</v>
      </c>
      <c r="J84" s="87">
        <v>0</v>
      </c>
      <c r="K84" s="87">
        <v>0</v>
      </c>
      <c r="L84" s="87"/>
      <c r="M84" s="12">
        <f t="shared" ref="M84:M87" si="12">LEN(L84)</f>
        <v>0</v>
      </c>
      <c r="N84" s="87" t="s">
        <v>1384</v>
      </c>
      <c r="O84" s="87" t="s">
        <v>1385</v>
      </c>
      <c r="P84" s="12"/>
      <c r="Q84" s="12">
        <v>1</v>
      </c>
      <c r="R84" s="12" t="s">
        <v>1702</v>
      </c>
      <c r="S84" s="12" t="s">
        <v>1701</v>
      </c>
    </row>
    <row r="85" spans="1:19" ht="21" customHeight="1" x14ac:dyDescent="0.15">
      <c r="A85" s="85">
        <v>11227</v>
      </c>
      <c r="B85" s="86" t="s">
        <v>500</v>
      </c>
      <c r="C85" s="86" t="s">
        <v>382</v>
      </c>
      <c r="D85" s="87" t="s">
        <v>1567</v>
      </c>
      <c r="E85" s="87" t="s">
        <v>1567</v>
      </c>
      <c r="F85" s="87">
        <v>3</v>
      </c>
      <c r="G85" s="87">
        <v>-1</v>
      </c>
      <c r="H85" s="87">
        <v>0</v>
      </c>
      <c r="I85" s="87">
        <v>0</v>
      </c>
      <c r="J85" s="87">
        <v>0</v>
      </c>
      <c r="K85" s="87">
        <v>0</v>
      </c>
      <c r="L85" s="87"/>
      <c r="M85" s="12">
        <f t="shared" si="12"/>
        <v>0</v>
      </c>
      <c r="N85" s="87" t="s">
        <v>1567</v>
      </c>
      <c r="O85" s="87" t="s">
        <v>1567</v>
      </c>
      <c r="P85" s="12"/>
      <c r="Q85" s="12">
        <v>1</v>
      </c>
      <c r="R85" s="12" t="s">
        <v>1702</v>
      </c>
      <c r="S85" s="12" t="s">
        <v>1701</v>
      </c>
    </row>
    <row r="86" spans="1:19" ht="21" customHeight="1" x14ac:dyDescent="0.15">
      <c r="A86" s="85">
        <v>11228</v>
      </c>
      <c r="B86" s="86" t="s">
        <v>500</v>
      </c>
      <c r="C86" s="86" t="s">
        <v>382</v>
      </c>
      <c r="D86" s="87" t="s">
        <v>915</v>
      </c>
      <c r="E86" s="87" t="s">
        <v>915</v>
      </c>
      <c r="F86" s="87">
        <v>3</v>
      </c>
      <c r="G86" s="87">
        <v>-1</v>
      </c>
      <c r="H86" s="87">
        <v>0</v>
      </c>
      <c r="I86" s="87">
        <v>0</v>
      </c>
      <c r="J86" s="87">
        <v>0</v>
      </c>
      <c r="K86" s="87">
        <v>0</v>
      </c>
      <c r="L86" s="87"/>
      <c r="M86" s="12">
        <f t="shared" si="12"/>
        <v>0</v>
      </c>
      <c r="N86" s="86" t="s">
        <v>2064</v>
      </c>
      <c r="O86" s="86" t="s">
        <v>2064</v>
      </c>
      <c r="P86" s="12"/>
      <c r="Q86" s="12">
        <v>1</v>
      </c>
      <c r="R86" s="12" t="s">
        <v>1702</v>
      </c>
      <c r="S86" s="12" t="s">
        <v>169</v>
      </c>
    </row>
    <row r="87" spans="1:19" ht="21" customHeight="1" x14ac:dyDescent="0.15">
      <c r="A87" s="85">
        <v>11229</v>
      </c>
      <c r="B87" s="86" t="s">
        <v>500</v>
      </c>
      <c r="C87" s="86" t="s">
        <v>568</v>
      </c>
      <c r="D87" s="87" t="s">
        <v>1006</v>
      </c>
      <c r="E87" s="87" t="s">
        <v>1006</v>
      </c>
      <c r="F87" s="87">
        <v>3</v>
      </c>
      <c r="G87" s="87">
        <v>-1</v>
      </c>
      <c r="H87" s="87">
        <v>0</v>
      </c>
      <c r="I87" s="87">
        <v>0</v>
      </c>
      <c r="J87" s="87">
        <v>0</v>
      </c>
      <c r="K87" s="87">
        <v>0</v>
      </c>
      <c r="L87" s="87"/>
      <c r="M87" s="12">
        <f t="shared" si="12"/>
        <v>0</v>
      </c>
      <c r="N87" s="87" t="s">
        <v>2097</v>
      </c>
      <c r="O87" s="86" t="s">
        <v>2097</v>
      </c>
      <c r="P87" s="12"/>
      <c r="Q87" s="12">
        <v>1</v>
      </c>
      <c r="R87" s="12" t="s">
        <v>200</v>
      </c>
      <c r="S87" s="12" t="s">
        <v>200</v>
      </c>
    </row>
    <row r="88" spans="1:19" ht="21" customHeight="1" x14ac:dyDescent="0.15">
      <c r="A88" s="85">
        <v>11230</v>
      </c>
      <c r="B88" s="86" t="s">
        <v>500</v>
      </c>
      <c r="C88" s="86" t="s">
        <v>568</v>
      </c>
      <c r="D88" s="87" t="s">
        <v>2214</v>
      </c>
      <c r="E88" s="87" t="s">
        <v>2234</v>
      </c>
      <c r="F88" s="87">
        <v>3</v>
      </c>
      <c r="G88" s="87">
        <v>-1</v>
      </c>
      <c r="H88" s="87">
        <v>0</v>
      </c>
      <c r="I88" s="87">
        <v>0</v>
      </c>
      <c r="J88" s="87">
        <v>0</v>
      </c>
      <c r="K88" s="87">
        <v>0</v>
      </c>
      <c r="L88" s="87"/>
      <c r="M88" s="12">
        <f t="shared" ref="M88" si="13">LEN(L88)</f>
        <v>0</v>
      </c>
      <c r="N88" s="87" t="s">
        <v>2148</v>
      </c>
      <c r="O88" s="87" t="s">
        <v>2148</v>
      </c>
      <c r="P88" s="12"/>
      <c r="Q88" s="12">
        <v>1</v>
      </c>
      <c r="R88" s="12" t="s">
        <v>200</v>
      </c>
      <c r="S88" s="12" t="s">
        <v>200</v>
      </c>
    </row>
    <row r="89" spans="1:19" ht="21" customHeight="1" x14ac:dyDescent="0.15">
      <c r="A89" s="85">
        <v>11231</v>
      </c>
      <c r="B89" s="86" t="s">
        <v>500</v>
      </c>
      <c r="C89" s="86" t="s">
        <v>568</v>
      </c>
      <c r="D89" s="87" t="s">
        <v>2245</v>
      </c>
      <c r="E89" s="87" t="s">
        <v>2203</v>
      </c>
      <c r="F89" s="87">
        <v>3</v>
      </c>
      <c r="G89" s="87">
        <v>-1</v>
      </c>
      <c r="H89" s="87">
        <v>0</v>
      </c>
      <c r="I89" s="87">
        <v>0</v>
      </c>
      <c r="J89" s="87">
        <v>0</v>
      </c>
      <c r="K89" s="87">
        <v>0</v>
      </c>
      <c r="L89" s="87"/>
      <c r="M89" s="12">
        <f t="shared" ref="M89" si="14">LEN(L89)</f>
        <v>0</v>
      </c>
      <c r="N89" s="87" t="s">
        <v>2204</v>
      </c>
      <c r="O89" s="87" t="s">
        <v>2204</v>
      </c>
      <c r="P89" s="12"/>
      <c r="Q89" s="12">
        <v>1</v>
      </c>
      <c r="R89" s="12" t="s">
        <v>200</v>
      </c>
      <c r="S89" s="12" t="s">
        <v>200</v>
      </c>
    </row>
    <row r="90" spans="1:19" ht="21" customHeight="1" x14ac:dyDescent="0.15">
      <c r="A90" s="17">
        <v>12001</v>
      </c>
      <c r="B90" s="18" t="s">
        <v>55</v>
      </c>
      <c r="C90" s="171" t="s">
        <v>968</v>
      </c>
      <c r="D90" s="18" t="s">
        <v>409</v>
      </c>
      <c r="E90" s="12" t="s">
        <v>1167</v>
      </c>
      <c r="F90" s="12">
        <v>3</v>
      </c>
      <c r="G90" s="12">
        <v>-1</v>
      </c>
      <c r="H90" s="12">
        <v>0</v>
      </c>
      <c r="I90" s="12">
        <v>0</v>
      </c>
      <c r="J90" s="12">
        <v>0</v>
      </c>
      <c r="K90" s="12">
        <v>0</v>
      </c>
      <c r="L90" s="12"/>
      <c r="M90" s="12">
        <f t="shared" si="3"/>
        <v>0</v>
      </c>
      <c r="N90" s="12" t="s">
        <v>54</v>
      </c>
      <c r="O90" s="12"/>
      <c r="P90" s="12"/>
      <c r="Q90" s="12">
        <v>1</v>
      </c>
      <c r="R90" s="12" t="s">
        <v>1702</v>
      </c>
      <c r="S90" s="12" t="s">
        <v>1701</v>
      </c>
    </row>
    <row r="91" spans="1:19" ht="21" customHeight="1" x14ac:dyDescent="0.15">
      <c r="A91" s="17">
        <v>12002</v>
      </c>
      <c r="B91" s="18" t="s">
        <v>55</v>
      </c>
      <c r="C91" s="18" t="s">
        <v>568</v>
      </c>
      <c r="D91" s="12" t="s">
        <v>664</v>
      </c>
      <c r="E91" s="12" t="s">
        <v>1167</v>
      </c>
      <c r="F91" s="12">
        <v>3</v>
      </c>
      <c r="G91" s="12">
        <v>-1</v>
      </c>
      <c r="H91" s="12">
        <v>0</v>
      </c>
      <c r="I91" s="12">
        <v>0</v>
      </c>
      <c r="J91" s="12">
        <v>0</v>
      </c>
      <c r="K91" s="12">
        <v>0</v>
      </c>
      <c r="L91" s="12"/>
      <c r="M91" s="12">
        <f t="shared" si="3"/>
        <v>0</v>
      </c>
      <c r="N91" s="12" t="s">
        <v>54</v>
      </c>
      <c r="O91" s="12" t="s">
        <v>616</v>
      </c>
      <c r="P91" s="12"/>
      <c r="Q91" s="12">
        <v>1</v>
      </c>
      <c r="R91" s="12" t="s">
        <v>1702</v>
      </c>
      <c r="S91" s="12" t="s">
        <v>1701</v>
      </c>
    </row>
    <row r="92" spans="1:19" ht="21" customHeight="1" x14ac:dyDescent="0.15">
      <c r="A92" s="84">
        <v>12003</v>
      </c>
      <c r="B92" s="32" t="s">
        <v>55</v>
      </c>
      <c r="C92" s="32" t="s">
        <v>382</v>
      </c>
      <c r="D92" s="23" t="s">
        <v>859</v>
      </c>
      <c r="E92" s="23" t="s">
        <v>860</v>
      </c>
      <c r="F92" s="23">
        <v>3</v>
      </c>
      <c r="G92" s="23">
        <v>-1</v>
      </c>
      <c r="H92" s="12">
        <v>0</v>
      </c>
      <c r="I92" s="12">
        <v>0</v>
      </c>
      <c r="J92" s="12">
        <v>0</v>
      </c>
      <c r="K92" s="12">
        <v>0</v>
      </c>
      <c r="L92" s="23"/>
      <c r="M92" s="23">
        <f t="shared" ref="M92" si="15">LEN(L92)</f>
        <v>0</v>
      </c>
      <c r="N92" s="23" t="s">
        <v>699</v>
      </c>
      <c r="O92" s="23" t="s">
        <v>701</v>
      </c>
      <c r="P92" s="12"/>
      <c r="Q92" s="12">
        <v>1</v>
      </c>
      <c r="R92" s="12" t="s">
        <v>1702</v>
      </c>
      <c r="S92" s="12" t="s">
        <v>1701</v>
      </c>
    </row>
    <row r="93" spans="1:19" ht="21" customHeight="1" x14ac:dyDescent="0.15">
      <c r="A93" s="84">
        <v>12004</v>
      </c>
      <c r="B93" s="32" t="s">
        <v>976</v>
      </c>
      <c r="C93" s="32" t="s">
        <v>967</v>
      </c>
      <c r="D93" s="23" t="s">
        <v>981</v>
      </c>
      <c r="E93" s="23" t="s">
        <v>418</v>
      </c>
      <c r="F93" s="23">
        <v>3</v>
      </c>
      <c r="G93" s="23">
        <v>-1</v>
      </c>
      <c r="H93" s="23">
        <v>0</v>
      </c>
      <c r="I93" s="23">
        <v>0</v>
      </c>
      <c r="J93" s="23">
        <v>0</v>
      </c>
      <c r="K93" s="23">
        <v>0</v>
      </c>
      <c r="L93" s="23"/>
      <c r="M93" s="23">
        <f>LEN(L93)</f>
        <v>0</v>
      </c>
      <c r="N93" s="23" t="s">
        <v>973</v>
      </c>
      <c r="O93" s="173" t="s">
        <v>974</v>
      </c>
      <c r="P93" s="23"/>
      <c r="Q93" s="12">
        <v>1</v>
      </c>
      <c r="R93" s="12" t="s">
        <v>1702</v>
      </c>
      <c r="S93" s="12" t="s">
        <v>1701</v>
      </c>
    </row>
    <row r="94" spans="1:19" ht="21" customHeight="1" x14ac:dyDescent="0.15">
      <c r="A94" s="17">
        <v>13001</v>
      </c>
      <c r="B94" s="32" t="s">
        <v>81</v>
      </c>
      <c r="C94" s="18" t="s">
        <v>568</v>
      </c>
      <c r="D94" s="18" t="s">
        <v>408</v>
      </c>
      <c r="E94" s="18" t="s">
        <v>253</v>
      </c>
      <c r="F94" s="12">
        <v>3</v>
      </c>
      <c r="G94" s="12">
        <v>-1</v>
      </c>
      <c r="H94" s="12">
        <v>0</v>
      </c>
      <c r="I94" s="12">
        <v>0</v>
      </c>
      <c r="J94" s="12">
        <v>0</v>
      </c>
      <c r="K94" s="12">
        <v>0</v>
      </c>
      <c r="L94" s="12"/>
      <c r="M94" s="12">
        <f t="shared" si="3"/>
        <v>0</v>
      </c>
      <c r="N94" s="12" t="s">
        <v>709</v>
      </c>
      <c r="O94" s="12"/>
      <c r="P94" s="12"/>
      <c r="Q94" s="12">
        <v>1</v>
      </c>
      <c r="R94" s="12" t="s">
        <v>1702</v>
      </c>
      <c r="S94" s="267" t="s">
        <v>1758</v>
      </c>
    </row>
    <row r="95" spans="1:19" ht="21" customHeight="1" x14ac:dyDescent="0.15">
      <c r="A95" s="17">
        <v>13101</v>
      </c>
      <c r="B95" s="32" t="s">
        <v>81</v>
      </c>
      <c r="C95" s="18" t="s">
        <v>568</v>
      </c>
      <c r="D95" s="18" t="s">
        <v>1558</v>
      </c>
      <c r="E95" s="18" t="s">
        <v>253</v>
      </c>
      <c r="F95" s="23">
        <v>1</v>
      </c>
      <c r="G95" s="12">
        <v>-1</v>
      </c>
      <c r="H95" s="12">
        <v>0</v>
      </c>
      <c r="I95" s="12">
        <v>0</v>
      </c>
      <c r="J95" s="12">
        <v>0</v>
      </c>
      <c r="K95" s="12">
        <v>0</v>
      </c>
      <c r="L95" s="12"/>
      <c r="M95" s="12">
        <f t="shared" ref="M95" si="16">LEN(L95)</f>
        <v>0</v>
      </c>
      <c r="N95" s="12" t="s">
        <v>1557</v>
      </c>
      <c r="O95" s="12" t="s">
        <v>1557</v>
      </c>
      <c r="P95" s="12"/>
      <c r="Q95" s="12">
        <v>1</v>
      </c>
      <c r="R95" s="12" t="s">
        <v>1702</v>
      </c>
      <c r="S95" s="267" t="s">
        <v>1758</v>
      </c>
    </row>
    <row r="96" spans="1:19" ht="21" customHeight="1" x14ac:dyDescent="0.15">
      <c r="A96" s="17">
        <v>13300</v>
      </c>
      <c r="B96" s="32" t="s">
        <v>81</v>
      </c>
      <c r="C96" s="18" t="s">
        <v>568</v>
      </c>
      <c r="D96" s="32" t="s">
        <v>1765</v>
      </c>
      <c r="E96" s="32" t="s">
        <v>1766</v>
      </c>
      <c r="F96" s="23">
        <v>3</v>
      </c>
      <c r="G96" s="12">
        <v>-1</v>
      </c>
      <c r="H96" s="12">
        <v>0</v>
      </c>
      <c r="I96" s="12">
        <v>0</v>
      </c>
      <c r="J96" s="12">
        <v>0</v>
      </c>
      <c r="K96" s="12">
        <v>0</v>
      </c>
      <c r="L96" s="12"/>
      <c r="M96" s="12">
        <f t="shared" ref="M96" si="17">LEN(L96)</f>
        <v>0</v>
      </c>
      <c r="N96" s="12" t="s">
        <v>1745</v>
      </c>
      <c r="O96" s="12" t="s">
        <v>1745</v>
      </c>
      <c r="P96" s="12"/>
      <c r="Q96" s="12">
        <v>1</v>
      </c>
      <c r="R96" s="267" t="s">
        <v>1760</v>
      </c>
      <c r="S96" s="267" t="s">
        <v>1759</v>
      </c>
    </row>
    <row r="97" spans="1:19" ht="21" customHeight="1" x14ac:dyDescent="0.15">
      <c r="A97" s="17">
        <v>13301</v>
      </c>
      <c r="B97" s="32" t="s">
        <v>81</v>
      </c>
      <c r="C97" s="18" t="s">
        <v>382</v>
      </c>
      <c r="D97" s="32" t="s">
        <v>1765</v>
      </c>
      <c r="E97" s="32" t="s">
        <v>1766</v>
      </c>
      <c r="F97" s="23">
        <v>3</v>
      </c>
      <c r="G97" s="12">
        <v>-1</v>
      </c>
      <c r="H97" s="12">
        <v>0</v>
      </c>
      <c r="I97" s="12">
        <v>0</v>
      </c>
      <c r="J97" s="12">
        <v>0</v>
      </c>
      <c r="K97" s="12">
        <v>0</v>
      </c>
      <c r="L97" s="12"/>
      <c r="M97" s="12">
        <f t="shared" ref="M97" si="18">LEN(L97)</f>
        <v>0</v>
      </c>
      <c r="N97" s="12" t="s">
        <v>1745</v>
      </c>
      <c r="O97" s="12" t="s">
        <v>1819</v>
      </c>
      <c r="P97" s="12"/>
      <c r="Q97" s="12">
        <v>1</v>
      </c>
      <c r="R97" s="267" t="s">
        <v>1760</v>
      </c>
      <c r="S97" s="267" t="s">
        <v>1759</v>
      </c>
    </row>
    <row r="98" spans="1:19" ht="21" customHeight="1" x14ac:dyDescent="0.15">
      <c r="A98" s="17">
        <v>13302</v>
      </c>
      <c r="B98" s="32" t="s">
        <v>1896</v>
      </c>
      <c r="C98" s="18" t="s">
        <v>382</v>
      </c>
      <c r="D98" s="32" t="s">
        <v>1765</v>
      </c>
      <c r="E98" s="32" t="s">
        <v>1766</v>
      </c>
      <c r="F98" s="23">
        <v>3</v>
      </c>
      <c r="G98" s="12">
        <v>-1</v>
      </c>
      <c r="H98" s="12">
        <v>0</v>
      </c>
      <c r="I98" s="12">
        <v>0</v>
      </c>
      <c r="J98" s="12">
        <v>0</v>
      </c>
      <c r="K98" s="12">
        <v>0</v>
      </c>
      <c r="L98" s="12"/>
      <c r="M98" s="12">
        <f t="shared" ref="M98:M99" si="19">LEN(L98)</f>
        <v>0</v>
      </c>
      <c r="N98" s="12" t="s">
        <v>1745</v>
      </c>
      <c r="O98" s="12" t="s">
        <v>1880</v>
      </c>
      <c r="P98" s="12"/>
      <c r="Q98" s="12">
        <v>1</v>
      </c>
      <c r="R98" s="267" t="s">
        <v>1882</v>
      </c>
      <c r="S98" s="267" t="s">
        <v>523</v>
      </c>
    </row>
    <row r="99" spans="1:19" ht="21" customHeight="1" x14ac:dyDescent="0.15">
      <c r="A99" s="17">
        <v>13400</v>
      </c>
      <c r="B99" s="32" t="s">
        <v>1896</v>
      </c>
      <c r="C99" s="18" t="s">
        <v>568</v>
      </c>
      <c r="D99" s="78" t="s">
        <v>2211</v>
      </c>
      <c r="E99" s="32" t="s">
        <v>1766</v>
      </c>
      <c r="F99" s="23">
        <v>3</v>
      </c>
      <c r="G99" s="12">
        <v>-1</v>
      </c>
      <c r="H99" s="12">
        <v>0</v>
      </c>
      <c r="I99" s="12">
        <v>0</v>
      </c>
      <c r="J99" s="12">
        <v>0</v>
      </c>
      <c r="K99" s="12">
        <v>0</v>
      </c>
      <c r="L99" s="12"/>
      <c r="M99" s="12">
        <f t="shared" si="19"/>
        <v>0</v>
      </c>
      <c r="N99" s="12" t="s">
        <v>2050</v>
      </c>
      <c r="O99" s="12" t="s">
        <v>2050</v>
      </c>
      <c r="P99" s="12"/>
      <c r="Q99" s="12">
        <v>1</v>
      </c>
      <c r="R99" s="281" t="s">
        <v>178</v>
      </c>
      <c r="S99" s="281" t="s">
        <v>178</v>
      </c>
    </row>
    <row r="100" spans="1:19" ht="21" customHeight="1" x14ac:dyDescent="0.15">
      <c r="A100" s="84">
        <v>14001</v>
      </c>
      <c r="B100" s="32" t="s">
        <v>908</v>
      </c>
      <c r="C100" s="32" t="s">
        <v>382</v>
      </c>
      <c r="D100" s="23" t="s">
        <v>935</v>
      </c>
      <c r="E100" s="23" t="s">
        <v>935</v>
      </c>
      <c r="F100" s="23">
        <v>3</v>
      </c>
      <c r="G100" s="39">
        <v>5</v>
      </c>
      <c r="H100" s="12">
        <v>0</v>
      </c>
      <c r="I100" s="12">
        <v>0</v>
      </c>
      <c r="J100" s="12">
        <v>0</v>
      </c>
      <c r="K100" s="12">
        <v>0</v>
      </c>
      <c r="L100" s="23"/>
      <c r="M100" s="23">
        <f t="shared" si="3"/>
        <v>0</v>
      </c>
      <c r="N100" s="23" t="s">
        <v>935</v>
      </c>
      <c r="O100" s="23" t="s">
        <v>935</v>
      </c>
      <c r="P100" s="12"/>
      <c r="Q100" s="12">
        <v>1</v>
      </c>
      <c r="R100" s="12" t="s">
        <v>1702</v>
      </c>
      <c r="S100" s="12" t="s">
        <v>1701</v>
      </c>
    </row>
    <row r="101" spans="1:19" ht="21" customHeight="1" x14ac:dyDescent="0.15">
      <c r="A101" s="84">
        <v>14002</v>
      </c>
      <c r="B101" s="32" t="s">
        <v>908</v>
      </c>
      <c r="C101" s="32" t="s">
        <v>382</v>
      </c>
      <c r="D101" s="23" t="s">
        <v>936</v>
      </c>
      <c r="E101" s="23" t="s">
        <v>936</v>
      </c>
      <c r="F101" s="23">
        <v>3</v>
      </c>
      <c r="G101" s="39">
        <v>5</v>
      </c>
      <c r="H101" s="12">
        <v>0</v>
      </c>
      <c r="I101" s="12">
        <v>0</v>
      </c>
      <c r="J101" s="12">
        <v>0</v>
      </c>
      <c r="K101" s="12">
        <v>0</v>
      </c>
      <c r="L101" s="23"/>
      <c r="M101" s="23">
        <f t="shared" ref="M101" si="20">LEN(L101)</f>
        <v>0</v>
      </c>
      <c r="N101" s="23" t="s">
        <v>936</v>
      </c>
      <c r="O101" s="23" t="s">
        <v>936</v>
      </c>
      <c r="P101" s="12"/>
      <c r="Q101" s="12">
        <v>1</v>
      </c>
      <c r="R101" s="12" t="s">
        <v>1702</v>
      </c>
      <c r="S101" s="12" t="s">
        <v>1701</v>
      </c>
    </row>
    <row r="102" spans="1:19" ht="21" customHeight="1" x14ac:dyDescent="0.15">
      <c r="A102" s="84">
        <v>14003</v>
      </c>
      <c r="B102" s="32" t="s">
        <v>908</v>
      </c>
      <c r="C102" s="32" t="s">
        <v>382</v>
      </c>
      <c r="D102" s="23" t="s">
        <v>937</v>
      </c>
      <c r="E102" s="23" t="s">
        <v>937</v>
      </c>
      <c r="F102" s="23">
        <v>3</v>
      </c>
      <c r="G102" s="39">
        <v>5</v>
      </c>
      <c r="H102" s="12">
        <v>0</v>
      </c>
      <c r="I102" s="12">
        <v>0</v>
      </c>
      <c r="J102" s="12">
        <v>0</v>
      </c>
      <c r="K102" s="12">
        <v>0</v>
      </c>
      <c r="L102" s="23"/>
      <c r="M102" s="23">
        <f t="shared" ref="M102:M104" si="21">LEN(L102)</f>
        <v>0</v>
      </c>
      <c r="N102" s="23" t="s">
        <v>937</v>
      </c>
      <c r="O102" s="23" t="s">
        <v>937</v>
      </c>
      <c r="P102" s="12"/>
      <c r="Q102" s="12">
        <v>1</v>
      </c>
      <c r="R102" s="12" t="s">
        <v>1702</v>
      </c>
      <c r="S102" s="12" t="s">
        <v>1701</v>
      </c>
    </row>
    <row r="103" spans="1:19" ht="21" customHeight="1" x14ac:dyDescent="0.15">
      <c r="A103" s="84">
        <v>14004</v>
      </c>
      <c r="B103" s="32" t="s">
        <v>908</v>
      </c>
      <c r="C103" s="32" t="s">
        <v>382</v>
      </c>
      <c r="D103" s="23" t="s">
        <v>938</v>
      </c>
      <c r="E103" s="23" t="s">
        <v>938</v>
      </c>
      <c r="F103" s="23">
        <v>1</v>
      </c>
      <c r="G103" s="39">
        <v>0</v>
      </c>
      <c r="H103" s="12">
        <v>0</v>
      </c>
      <c r="I103" s="12">
        <v>0</v>
      </c>
      <c r="J103" s="12">
        <v>0</v>
      </c>
      <c r="K103" s="12">
        <v>0</v>
      </c>
      <c r="L103" s="23"/>
      <c r="M103" s="23">
        <f t="shared" si="21"/>
        <v>0</v>
      </c>
      <c r="N103" s="23" t="s">
        <v>938</v>
      </c>
      <c r="O103" s="23" t="s">
        <v>938</v>
      </c>
      <c r="P103" s="12"/>
      <c r="Q103" s="12">
        <v>1</v>
      </c>
      <c r="R103" s="12" t="s">
        <v>1702</v>
      </c>
      <c r="S103" s="12" t="s">
        <v>1701</v>
      </c>
    </row>
    <row r="104" spans="1:19" ht="21" customHeight="1" x14ac:dyDescent="0.15">
      <c r="A104" s="84">
        <v>14005</v>
      </c>
      <c r="B104" s="32" t="s">
        <v>908</v>
      </c>
      <c r="C104" s="32" t="s">
        <v>382</v>
      </c>
      <c r="D104" s="23" t="s">
        <v>939</v>
      </c>
      <c r="E104" s="23" t="s">
        <v>939</v>
      </c>
      <c r="F104" s="23">
        <v>1</v>
      </c>
      <c r="G104" s="39">
        <v>0</v>
      </c>
      <c r="H104" s="12">
        <v>0</v>
      </c>
      <c r="I104" s="12">
        <v>0</v>
      </c>
      <c r="J104" s="12">
        <v>0</v>
      </c>
      <c r="K104" s="12">
        <v>0</v>
      </c>
      <c r="L104" s="23"/>
      <c r="M104" s="23">
        <f t="shared" si="21"/>
        <v>0</v>
      </c>
      <c r="N104" s="23" t="s">
        <v>939</v>
      </c>
      <c r="O104" s="23" t="s">
        <v>941</v>
      </c>
      <c r="P104" s="12"/>
      <c r="Q104" s="12">
        <v>1</v>
      </c>
      <c r="R104" s="12" t="s">
        <v>1702</v>
      </c>
      <c r="S104" s="12" t="s">
        <v>1701</v>
      </c>
    </row>
    <row r="105" spans="1:19" ht="21" customHeight="1" x14ac:dyDescent="0.15">
      <c r="A105" s="84">
        <v>14006</v>
      </c>
      <c r="B105" s="32" t="s">
        <v>908</v>
      </c>
      <c r="C105" s="32" t="s">
        <v>382</v>
      </c>
      <c r="D105" s="23" t="s">
        <v>940</v>
      </c>
      <c r="E105" s="23" t="s">
        <v>940</v>
      </c>
      <c r="F105" s="23">
        <v>1</v>
      </c>
      <c r="G105" s="39">
        <v>0</v>
      </c>
      <c r="H105" s="12">
        <v>0</v>
      </c>
      <c r="I105" s="12">
        <v>0</v>
      </c>
      <c r="J105" s="12">
        <v>0</v>
      </c>
      <c r="K105" s="12">
        <v>0</v>
      </c>
      <c r="L105" s="23"/>
      <c r="M105" s="23">
        <f t="shared" ref="M105:M110" si="22">LEN(L105)</f>
        <v>0</v>
      </c>
      <c r="N105" s="23" t="s">
        <v>940</v>
      </c>
      <c r="O105" s="23" t="s">
        <v>940</v>
      </c>
      <c r="P105" s="12"/>
      <c r="Q105" s="12">
        <v>1</v>
      </c>
      <c r="R105" s="12" t="s">
        <v>1702</v>
      </c>
      <c r="S105" s="12" t="s">
        <v>1701</v>
      </c>
    </row>
    <row r="106" spans="1:19" s="71" customFormat="1" ht="21" customHeight="1" x14ac:dyDescent="0.15">
      <c r="A106" s="84">
        <v>15027</v>
      </c>
      <c r="B106" s="32" t="s">
        <v>80</v>
      </c>
      <c r="C106" s="32" t="s">
        <v>568</v>
      </c>
      <c r="D106" s="23" t="s">
        <v>1111</v>
      </c>
      <c r="E106" s="23" t="s">
        <v>169</v>
      </c>
      <c r="F106" s="23">
        <v>3</v>
      </c>
      <c r="G106" s="23">
        <v>-1</v>
      </c>
      <c r="H106" s="23">
        <v>0</v>
      </c>
      <c r="I106" s="23">
        <v>1</v>
      </c>
      <c r="J106" s="23">
        <v>0</v>
      </c>
      <c r="K106" s="23">
        <v>1</v>
      </c>
      <c r="L106" s="23"/>
      <c r="M106" s="23">
        <f t="shared" si="22"/>
        <v>0</v>
      </c>
      <c r="N106" s="32" t="s">
        <v>991</v>
      </c>
      <c r="O106" s="23"/>
      <c r="P106" s="23"/>
      <c r="Q106" s="12">
        <v>1</v>
      </c>
      <c r="R106" s="12" t="s">
        <v>1702</v>
      </c>
      <c r="S106" s="12" t="s">
        <v>1701</v>
      </c>
    </row>
    <row r="107" spans="1:19" s="71" customFormat="1" ht="21" customHeight="1" x14ac:dyDescent="0.15">
      <c r="A107" s="84">
        <v>15028</v>
      </c>
      <c r="B107" s="32" t="s">
        <v>80</v>
      </c>
      <c r="C107" s="32" t="s">
        <v>568</v>
      </c>
      <c r="D107" s="23" t="s">
        <v>1084</v>
      </c>
      <c r="E107" s="23" t="s">
        <v>169</v>
      </c>
      <c r="F107" s="23">
        <v>3</v>
      </c>
      <c r="G107" s="23">
        <v>-1</v>
      </c>
      <c r="H107" s="23">
        <v>1</v>
      </c>
      <c r="I107" s="23">
        <v>0</v>
      </c>
      <c r="J107" s="23">
        <v>1</v>
      </c>
      <c r="K107" s="23">
        <v>0</v>
      </c>
      <c r="L107" s="23"/>
      <c r="M107" s="23">
        <f t="shared" si="22"/>
        <v>0</v>
      </c>
      <c r="N107" s="32" t="s">
        <v>992</v>
      </c>
      <c r="O107" s="23"/>
      <c r="P107" s="23"/>
      <c r="Q107" s="12">
        <v>1</v>
      </c>
      <c r="R107" s="12" t="s">
        <v>1702</v>
      </c>
      <c r="S107" s="12" t="s">
        <v>1701</v>
      </c>
    </row>
    <row r="108" spans="1:19" ht="21" customHeight="1" x14ac:dyDescent="0.15">
      <c r="A108" s="84">
        <v>15029</v>
      </c>
      <c r="B108" s="32" t="s">
        <v>80</v>
      </c>
      <c r="C108" s="32" t="s">
        <v>568</v>
      </c>
      <c r="D108" s="23" t="s">
        <v>1112</v>
      </c>
      <c r="E108" s="23" t="s">
        <v>169</v>
      </c>
      <c r="F108" s="23">
        <v>3</v>
      </c>
      <c r="G108" s="23">
        <v>-1</v>
      </c>
      <c r="H108" s="23">
        <v>0</v>
      </c>
      <c r="I108" s="23">
        <v>0</v>
      </c>
      <c r="J108" s="23">
        <v>1</v>
      </c>
      <c r="K108" s="23">
        <v>1</v>
      </c>
      <c r="L108" s="23"/>
      <c r="M108" s="23">
        <f t="shared" si="22"/>
        <v>0</v>
      </c>
      <c r="N108" s="32" t="s">
        <v>993</v>
      </c>
      <c r="O108" s="23"/>
      <c r="P108" s="23"/>
      <c r="Q108" s="12">
        <v>1</v>
      </c>
      <c r="R108" s="12" t="s">
        <v>1702</v>
      </c>
      <c r="S108" s="12" t="s">
        <v>1701</v>
      </c>
    </row>
    <row r="109" spans="1:19" s="71" customFormat="1" ht="21" customHeight="1" x14ac:dyDescent="0.15">
      <c r="A109" s="84">
        <v>15030</v>
      </c>
      <c r="B109" s="32" t="s">
        <v>80</v>
      </c>
      <c r="C109" s="32" t="s">
        <v>568</v>
      </c>
      <c r="D109" s="23" t="s">
        <v>1144</v>
      </c>
      <c r="E109" s="23" t="s">
        <v>169</v>
      </c>
      <c r="F109" s="23">
        <v>3</v>
      </c>
      <c r="G109" s="23">
        <v>-1</v>
      </c>
      <c r="H109" s="23">
        <v>1</v>
      </c>
      <c r="I109" s="23">
        <v>1</v>
      </c>
      <c r="J109" s="23">
        <v>0</v>
      </c>
      <c r="K109" s="23">
        <v>0</v>
      </c>
      <c r="L109" s="23"/>
      <c r="M109" s="23">
        <f t="shared" si="22"/>
        <v>0</v>
      </c>
      <c r="N109" s="32" t="s">
        <v>994</v>
      </c>
      <c r="O109" s="23"/>
      <c r="P109" s="23"/>
      <c r="Q109" s="12">
        <v>1</v>
      </c>
      <c r="R109" s="12" t="s">
        <v>1702</v>
      </c>
      <c r="S109" s="12" t="s">
        <v>1701</v>
      </c>
    </row>
    <row r="110" spans="1:19" ht="21" customHeight="1" x14ac:dyDescent="0.15">
      <c r="A110" s="60">
        <v>15031</v>
      </c>
      <c r="B110" s="46" t="s">
        <v>80</v>
      </c>
      <c r="C110" s="18" t="s">
        <v>568</v>
      </c>
      <c r="D110" s="44" t="s">
        <v>1145</v>
      </c>
      <c r="E110" s="44" t="s">
        <v>169</v>
      </c>
      <c r="F110" s="44">
        <v>3</v>
      </c>
      <c r="G110" s="44">
        <v>-1</v>
      </c>
      <c r="H110" s="44">
        <v>1</v>
      </c>
      <c r="I110" s="44">
        <v>1</v>
      </c>
      <c r="J110" s="44">
        <v>1</v>
      </c>
      <c r="K110" s="44">
        <v>1</v>
      </c>
      <c r="L110" s="44"/>
      <c r="M110" s="12">
        <f t="shared" si="22"/>
        <v>0</v>
      </c>
      <c r="N110" s="46" t="s">
        <v>112</v>
      </c>
      <c r="O110" s="44"/>
      <c r="P110" s="12"/>
      <c r="Q110" s="12">
        <v>1</v>
      </c>
      <c r="R110" s="12" t="s">
        <v>1702</v>
      </c>
      <c r="S110" s="12" t="s">
        <v>1701</v>
      </c>
    </row>
    <row r="111" spans="1:19" ht="21" customHeight="1" x14ac:dyDescent="0.15">
      <c r="A111" s="31">
        <v>20001</v>
      </c>
      <c r="B111" s="32" t="s">
        <v>81</v>
      </c>
      <c r="C111" s="18" t="s">
        <v>568</v>
      </c>
      <c r="D111" s="12" t="s">
        <v>237</v>
      </c>
      <c r="E111" s="12" t="s">
        <v>418</v>
      </c>
      <c r="F111" s="12">
        <v>3</v>
      </c>
      <c r="G111" s="12">
        <v>-1</v>
      </c>
      <c r="H111" s="12">
        <v>0</v>
      </c>
      <c r="I111" s="12">
        <v>0</v>
      </c>
      <c r="J111" s="12">
        <v>0</v>
      </c>
      <c r="K111" s="12">
        <v>0</v>
      </c>
      <c r="L111" s="12"/>
      <c r="M111" s="12">
        <f t="shared" si="3"/>
        <v>0</v>
      </c>
      <c r="N111" s="12" t="s">
        <v>410</v>
      </c>
      <c r="O111" s="12"/>
      <c r="P111" s="12"/>
      <c r="Q111" s="12">
        <v>1</v>
      </c>
      <c r="R111" s="12" t="s">
        <v>1702</v>
      </c>
      <c r="S111" s="12" t="s">
        <v>1701</v>
      </c>
    </row>
    <row r="112" spans="1:19" ht="21" customHeight="1" x14ac:dyDescent="0.15">
      <c r="A112" s="31">
        <v>20002</v>
      </c>
      <c r="B112" s="32" t="s">
        <v>81</v>
      </c>
      <c r="C112" s="18" t="s">
        <v>568</v>
      </c>
      <c r="D112" s="12" t="s">
        <v>601</v>
      </c>
      <c r="E112" s="12" t="s">
        <v>803</v>
      </c>
      <c r="F112" s="12">
        <v>3</v>
      </c>
      <c r="G112" s="12">
        <v>-1</v>
      </c>
      <c r="H112" s="12">
        <v>0</v>
      </c>
      <c r="I112" s="12">
        <v>0</v>
      </c>
      <c r="J112" s="12">
        <v>0</v>
      </c>
      <c r="K112" s="12">
        <v>0</v>
      </c>
      <c r="L112" s="12"/>
      <c r="M112" s="12">
        <f t="shared" si="3"/>
        <v>0</v>
      </c>
      <c r="N112" s="12" t="s">
        <v>413</v>
      </c>
      <c r="O112" s="12"/>
      <c r="P112" s="12"/>
      <c r="Q112" s="12">
        <v>1</v>
      </c>
      <c r="R112" s="12" t="s">
        <v>1702</v>
      </c>
      <c r="S112" s="12" t="s">
        <v>1701</v>
      </c>
    </row>
    <row r="113" spans="1:19" ht="21" customHeight="1" x14ac:dyDescent="0.15">
      <c r="A113" s="31">
        <v>20003</v>
      </c>
      <c r="B113" s="32" t="s">
        <v>81</v>
      </c>
      <c r="C113" s="18" t="s">
        <v>568</v>
      </c>
      <c r="D113" s="12" t="s">
        <v>238</v>
      </c>
      <c r="E113" s="12" t="s">
        <v>418</v>
      </c>
      <c r="F113" s="12">
        <v>3</v>
      </c>
      <c r="G113" s="12">
        <v>-1</v>
      </c>
      <c r="H113" s="12">
        <v>0</v>
      </c>
      <c r="I113" s="12">
        <v>0</v>
      </c>
      <c r="J113" s="12">
        <v>0</v>
      </c>
      <c r="K113" s="12">
        <v>0</v>
      </c>
      <c r="L113" s="12"/>
      <c r="M113" s="12">
        <f t="shared" si="3"/>
        <v>0</v>
      </c>
      <c r="N113" s="12" t="s">
        <v>411</v>
      </c>
      <c r="O113" s="12"/>
      <c r="P113" s="12"/>
      <c r="Q113" s="12">
        <v>1</v>
      </c>
      <c r="R113" s="12" t="s">
        <v>1702</v>
      </c>
      <c r="S113" s="12" t="s">
        <v>1701</v>
      </c>
    </row>
    <row r="114" spans="1:19" ht="21" customHeight="1" x14ac:dyDescent="0.15">
      <c r="A114" s="31">
        <v>20004</v>
      </c>
      <c r="B114" s="32" t="s">
        <v>81</v>
      </c>
      <c r="C114" s="18" t="s">
        <v>568</v>
      </c>
      <c r="D114" s="12" t="s">
        <v>602</v>
      </c>
      <c r="E114" s="12" t="s">
        <v>1667</v>
      </c>
      <c r="F114" s="12">
        <v>3</v>
      </c>
      <c r="G114" s="12">
        <v>-1</v>
      </c>
      <c r="H114" s="12">
        <v>0</v>
      </c>
      <c r="I114" s="12">
        <v>0</v>
      </c>
      <c r="J114" s="12">
        <v>0</v>
      </c>
      <c r="K114" s="12">
        <v>0</v>
      </c>
      <c r="L114" s="12"/>
      <c r="M114" s="12">
        <f t="shared" si="3"/>
        <v>0</v>
      </c>
      <c r="N114" s="12" t="s">
        <v>412</v>
      </c>
      <c r="O114" s="12"/>
      <c r="P114" s="12"/>
      <c r="Q114" s="12">
        <v>1</v>
      </c>
      <c r="R114" s="12" t="s">
        <v>1702</v>
      </c>
      <c r="S114" s="12" t="s">
        <v>1701</v>
      </c>
    </row>
    <row r="115" spans="1:19" ht="21" customHeight="1" x14ac:dyDescent="0.15">
      <c r="A115" s="74">
        <v>20005</v>
      </c>
      <c r="B115" s="75" t="s">
        <v>81</v>
      </c>
      <c r="C115" s="18" t="s">
        <v>568</v>
      </c>
      <c r="D115" s="76" t="s">
        <v>603</v>
      </c>
      <c r="E115" s="76" t="s">
        <v>639</v>
      </c>
      <c r="F115" s="12">
        <v>3</v>
      </c>
      <c r="G115" s="12">
        <v>-1</v>
      </c>
      <c r="H115" s="12">
        <v>0</v>
      </c>
      <c r="I115" s="12">
        <v>0</v>
      </c>
      <c r="J115" s="12">
        <v>0</v>
      </c>
      <c r="K115" s="12">
        <v>0</v>
      </c>
      <c r="L115" s="12"/>
      <c r="M115" s="12">
        <f t="shared" si="3"/>
        <v>0</v>
      </c>
      <c r="N115" s="76" t="s">
        <v>434</v>
      </c>
      <c r="O115" s="76"/>
      <c r="P115" s="12"/>
      <c r="Q115" s="12">
        <v>1</v>
      </c>
      <c r="R115" s="12" t="s">
        <v>1702</v>
      </c>
      <c r="S115" s="12" t="s">
        <v>1701</v>
      </c>
    </row>
    <row r="116" spans="1:19" ht="21" customHeight="1" x14ac:dyDescent="0.15">
      <c r="A116" s="74">
        <v>20006</v>
      </c>
      <c r="B116" s="75" t="s">
        <v>81</v>
      </c>
      <c r="C116" s="18" t="s">
        <v>568</v>
      </c>
      <c r="D116" s="76" t="s">
        <v>604</v>
      </c>
      <c r="E116" s="76" t="s">
        <v>640</v>
      </c>
      <c r="F116" s="12">
        <v>3</v>
      </c>
      <c r="G116" s="12">
        <v>-1</v>
      </c>
      <c r="H116" s="12">
        <v>0</v>
      </c>
      <c r="I116" s="12">
        <v>0</v>
      </c>
      <c r="J116" s="12">
        <v>0</v>
      </c>
      <c r="K116" s="12">
        <v>0</v>
      </c>
      <c r="L116" s="12"/>
      <c r="M116" s="12">
        <f t="shared" si="3"/>
        <v>0</v>
      </c>
      <c r="N116" s="76" t="s">
        <v>437</v>
      </c>
      <c r="O116" s="76"/>
      <c r="P116" s="12"/>
      <c r="Q116" s="12">
        <v>1</v>
      </c>
      <c r="R116" s="12" t="s">
        <v>1702</v>
      </c>
      <c r="S116" s="12" t="s">
        <v>1701</v>
      </c>
    </row>
    <row r="117" spans="1:19" ht="21" customHeight="1" x14ac:dyDescent="0.15">
      <c r="A117" s="74">
        <v>20007</v>
      </c>
      <c r="B117" s="75" t="s">
        <v>81</v>
      </c>
      <c r="C117" s="18" t="s">
        <v>568</v>
      </c>
      <c r="D117" s="76" t="s">
        <v>605</v>
      </c>
      <c r="E117" s="76" t="s">
        <v>639</v>
      </c>
      <c r="F117" s="12">
        <v>3</v>
      </c>
      <c r="G117" s="12">
        <v>-1</v>
      </c>
      <c r="H117" s="12">
        <v>0</v>
      </c>
      <c r="I117" s="12">
        <v>0</v>
      </c>
      <c r="J117" s="12">
        <v>0</v>
      </c>
      <c r="K117" s="12">
        <v>0</v>
      </c>
      <c r="L117" s="12"/>
      <c r="M117" s="12">
        <f t="shared" si="3"/>
        <v>0</v>
      </c>
      <c r="N117" s="76" t="s">
        <v>436</v>
      </c>
      <c r="O117" s="76"/>
      <c r="P117" s="12"/>
      <c r="Q117" s="12">
        <v>1</v>
      </c>
      <c r="R117" s="12" t="s">
        <v>1702</v>
      </c>
      <c r="S117" s="12" t="s">
        <v>1701</v>
      </c>
    </row>
    <row r="118" spans="1:19" ht="21" customHeight="1" x14ac:dyDescent="0.15">
      <c r="A118" s="74">
        <v>20008</v>
      </c>
      <c r="B118" s="75" t="s">
        <v>81</v>
      </c>
      <c r="C118" s="18" t="s">
        <v>568</v>
      </c>
      <c r="D118" s="76" t="s">
        <v>540</v>
      </c>
      <c r="E118" s="76" t="s">
        <v>418</v>
      </c>
      <c r="F118" s="12">
        <v>3</v>
      </c>
      <c r="G118" s="12">
        <v>-1</v>
      </c>
      <c r="H118" s="12">
        <v>0</v>
      </c>
      <c r="I118" s="12">
        <v>0</v>
      </c>
      <c r="J118" s="12">
        <v>0</v>
      </c>
      <c r="K118" s="12">
        <v>0</v>
      </c>
      <c r="L118" s="12"/>
      <c r="M118" s="12">
        <f t="shared" si="3"/>
        <v>0</v>
      </c>
      <c r="N118" s="76" t="s">
        <v>435</v>
      </c>
      <c r="O118" s="76"/>
      <c r="P118" s="12"/>
      <c r="Q118" s="12">
        <v>1</v>
      </c>
      <c r="R118" s="12" t="s">
        <v>1702</v>
      </c>
      <c r="S118" s="12" t="s">
        <v>1701</v>
      </c>
    </row>
    <row r="119" spans="1:19" s="83" customFormat="1" ht="21" customHeight="1" x14ac:dyDescent="0.15">
      <c r="A119" s="80">
        <v>20009</v>
      </c>
      <c r="B119" s="81" t="s">
        <v>81</v>
      </c>
      <c r="C119" s="18" t="s">
        <v>568</v>
      </c>
      <c r="D119" s="82" t="s">
        <v>606</v>
      </c>
      <c r="E119" s="82" t="s">
        <v>641</v>
      </c>
      <c r="F119" s="82">
        <v>3</v>
      </c>
      <c r="G119" s="82">
        <v>-1</v>
      </c>
      <c r="H119" s="12">
        <v>0</v>
      </c>
      <c r="I119" s="12">
        <v>0</v>
      </c>
      <c r="J119" s="12">
        <v>0</v>
      </c>
      <c r="K119" s="12">
        <v>0</v>
      </c>
      <c r="L119" s="82"/>
      <c r="M119" s="12">
        <f t="shared" si="3"/>
        <v>0</v>
      </c>
      <c r="N119" s="82" t="s">
        <v>239</v>
      </c>
      <c r="O119" s="82"/>
      <c r="P119" s="82"/>
      <c r="Q119" s="12">
        <v>1</v>
      </c>
      <c r="R119" s="12" t="s">
        <v>1702</v>
      </c>
      <c r="S119" s="12" t="s">
        <v>1701</v>
      </c>
    </row>
    <row r="120" spans="1:19" s="83" customFormat="1" ht="21" customHeight="1" x14ac:dyDescent="0.15">
      <c r="A120" s="80">
        <v>20010</v>
      </c>
      <c r="B120" s="81" t="s">
        <v>81</v>
      </c>
      <c r="C120" s="18" t="s">
        <v>568</v>
      </c>
      <c r="D120" s="82" t="s">
        <v>607</v>
      </c>
      <c r="E120" s="82" t="s">
        <v>806</v>
      </c>
      <c r="F120" s="82">
        <v>3</v>
      </c>
      <c r="G120" s="82">
        <v>-1</v>
      </c>
      <c r="H120" s="12">
        <v>0</v>
      </c>
      <c r="I120" s="12">
        <v>0</v>
      </c>
      <c r="J120" s="12">
        <v>0</v>
      </c>
      <c r="K120" s="12">
        <v>0</v>
      </c>
      <c r="L120" s="82"/>
      <c r="M120" s="12">
        <f t="shared" si="3"/>
        <v>0</v>
      </c>
      <c r="N120" s="82" t="s">
        <v>239</v>
      </c>
      <c r="O120" s="82"/>
      <c r="P120" s="82"/>
      <c r="Q120" s="12">
        <v>1</v>
      </c>
      <c r="R120" s="12" t="s">
        <v>1702</v>
      </c>
      <c r="S120" s="12" t="s">
        <v>1701</v>
      </c>
    </row>
    <row r="121" spans="1:19" s="83" customFormat="1" ht="21" customHeight="1" x14ac:dyDescent="0.15">
      <c r="A121" s="80">
        <v>20011</v>
      </c>
      <c r="B121" s="81" t="s">
        <v>81</v>
      </c>
      <c r="C121" s="18" t="s">
        <v>568</v>
      </c>
      <c r="D121" s="82" t="s">
        <v>608</v>
      </c>
      <c r="E121" s="82" t="s">
        <v>641</v>
      </c>
      <c r="F121" s="82">
        <v>3</v>
      </c>
      <c r="G121" s="82">
        <v>-1</v>
      </c>
      <c r="H121" s="12">
        <v>0</v>
      </c>
      <c r="I121" s="12">
        <v>0</v>
      </c>
      <c r="J121" s="12">
        <v>0</v>
      </c>
      <c r="K121" s="12">
        <v>0</v>
      </c>
      <c r="L121" s="82"/>
      <c r="M121" s="12">
        <f t="shared" si="3"/>
        <v>0</v>
      </c>
      <c r="N121" s="82" t="s">
        <v>239</v>
      </c>
      <c r="O121" s="82"/>
      <c r="P121" s="82"/>
      <c r="Q121" s="12">
        <v>1</v>
      </c>
      <c r="R121" s="12" t="s">
        <v>1702</v>
      </c>
      <c r="S121" s="12" t="s">
        <v>1701</v>
      </c>
    </row>
    <row r="122" spans="1:19" s="83" customFormat="1" ht="21" customHeight="1" x14ac:dyDescent="0.15">
      <c r="A122" s="80">
        <v>20012</v>
      </c>
      <c r="B122" s="81" t="s">
        <v>81</v>
      </c>
      <c r="C122" s="18" t="s">
        <v>568</v>
      </c>
      <c r="D122" s="82" t="s">
        <v>609</v>
      </c>
      <c r="E122" s="82" t="s">
        <v>805</v>
      </c>
      <c r="F122" s="82">
        <v>3</v>
      </c>
      <c r="G122" s="82">
        <v>-1</v>
      </c>
      <c r="H122" s="12">
        <v>0</v>
      </c>
      <c r="I122" s="12">
        <v>0</v>
      </c>
      <c r="J122" s="12">
        <v>0</v>
      </c>
      <c r="K122" s="12">
        <v>0</v>
      </c>
      <c r="L122" s="82"/>
      <c r="M122" s="12">
        <f t="shared" si="3"/>
        <v>0</v>
      </c>
      <c r="N122" s="82" t="s">
        <v>239</v>
      </c>
      <c r="O122" s="82"/>
      <c r="P122" s="82"/>
      <c r="Q122" s="12">
        <v>1</v>
      </c>
      <c r="R122" s="12" t="s">
        <v>1702</v>
      </c>
      <c r="S122" s="12" t="s">
        <v>1701</v>
      </c>
    </row>
    <row r="123" spans="1:19" s="83" customFormat="1" ht="21" customHeight="1" x14ac:dyDescent="0.15">
      <c r="A123" s="80">
        <v>20013</v>
      </c>
      <c r="B123" s="81" t="s">
        <v>81</v>
      </c>
      <c r="C123" s="18" t="s">
        <v>382</v>
      </c>
      <c r="D123" s="80" t="s">
        <v>1074</v>
      </c>
      <c r="E123" s="82" t="s">
        <v>1075</v>
      </c>
      <c r="F123" s="82">
        <v>3</v>
      </c>
      <c r="G123" s="82">
        <v>-1</v>
      </c>
      <c r="H123" s="12">
        <v>0</v>
      </c>
      <c r="I123" s="12">
        <v>0</v>
      </c>
      <c r="J123" s="12">
        <v>0</v>
      </c>
      <c r="K123" s="12">
        <v>0</v>
      </c>
      <c r="L123" s="82"/>
      <c r="M123" s="12">
        <f t="shared" ref="M123:M128" si="23">LEN(L123)</f>
        <v>0</v>
      </c>
      <c r="N123" s="82" t="s">
        <v>1076</v>
      </c>
      <c r="O123" s="131"/>
      <c r="P123" s="82"/>
      <c r="Q123" s="12">
        <v>1</v>
      </c>
      <c r="R123" s="12" t="s">
        <v>1702</v>
      </c>
      <c r="S123" s="12" t="s">
        <v>1701</v>
      </c>
    </row>
    <row r="124" spans="1:19" s="83" customFormat="1" ht="21" customHeight="1" x14ac:dyDescent="0.15">
      <c r="A124" s="80">
        <v>20014</v>
      </c>
      <c r="B124" s="81" t="s">
        <v>81</v>
      </c>
      <c r="C124" s="18" t="s">
        <v>382</v>
      </c>
      <c r="D124" s="80" t="s">
        <v>1156</v>
      </c>
      <c r="E124" s="82" t="s">
        <v>1160</v>
      </c>
      <c r="F124" s="82">
        <v>3</v>
      </c>
      <c r="G124" s="82">
        <v>-1</v>
      </c>
      <c r="H124" s="12">
        <v>0</v>
      </c>
      <c r="I124" s="12">
        <v>0</v>
      </c>
      <c r="J124" s="12">
        <v>0</v>
      </c>
      <c r="K124" s="12">
        <v>0</v>
      </c>
      <c r="L124" s="82"/>
      <c r="M124" s="12">
        <f t="shared" si="23"/>
        <v>0</v>
      </c>
      <c r="N124" s="82" t="s">
        <v>1094</v>
      </c>
      <c r="O124" s="131"/>
      <c r="P124" s="82"/>
      <c r="Q124" s="12">
        <v>1</v>
      </c>
      <c r="R124" s="12" t="s">
        <v>1702</v>
      </c>
      <c r="S124" s="12" t="s">
        <v>1701</v>
      </c>
    </row>
    <row r="125" spans="1:19" s="83" customFormat="1" ht="21" customHeight="1" x14ac:dyDescent="0.15">
      <c r="A125" s="80">
        <v>20015</v>
      </c>
      <c r="B125" s="81" t="s">
        <v>81</v>
      </c>
      <c r="C125" s="18" t="s">
        <v>382</v>
      </c>
      <c r="D125" s="80" t="s">
        <v>1214</v>
      </c>
      <c r="E125" s="82" t="s">
        <v>418</v>
      </c>
      <c r="F125" s="82">
        <v>3</v>
      </c>
      <c r="G125" s="82">
        <v>-1</v>
      </c>
      <c r="H125" s="12">
        <v>0</v>
      </c>
      <c r="I125" s="12">
        <v>0</v>
      </c>
      <c r="J125" s="12">
        <v>0</v>
      </c>
      <c r="K125" s="12">
        <v>0</v>
      </c>
      <c r="L125" s="82"/>
      <c r="M125" s="12">
        <f t="shared" si="23"/>
        <v>0</v>
      </c>
      <c r="N125" s="82" t="s">
        <v>1177</v>
      </c>
      <c r="O125" s="131"/>
      <c r="P125" s="82"/>
      <c r="Q125" s="12">
        <v>1</v>
      </c>
      <c r="R125" s="12" t="s">
        <v>1702</v>
      </c>
      <c r="S125" s="12" t="s">
        <v>1701</v>
      </c>
    </row>
    <row r="126" spans="1:19" s="83" customFormat="1" ht="21" customHeight="1" x14ac:dyDescent="0.15">
      <c r="A126" s="80">
        <v>20016</v>
      </c>
      <c r="B126" s="81" t="s">
        <v>81</v>
      </c>
      <c r="C126" s="18" t="s">
        <v>382</v>
      </c>
      <c r="D126" s="80" t="s">
        <v>1362</v>
      </c>
      <c r="E126" s="82" t="s">
        <v>418</v>
      </c>
      <c r="F126" s="82">
        <v>3</v>
      </c>
      <c r="G126" s="82">
        <v>-1</v>
      </c>
      <c r="H126" s="12">
        <v>0</v>
      </c>
      <c r="I126" s="12">
        <v>0</v>
      </c>
      <c r="J126" s="12">
        <v>0</v>
      </c>
      <c r="K126" s="12">
        <v>0</v>
      </c>
      <c r="L126" s="82"/>
      <c r="M126" s="12">
        <f t="shared" si="23"/>
        <v>0</v>
      </c>
      <c r="N126" s="82" t="s">
        <v>1219</v>
      </c>
      <c r="O126" s="131"/>
      <c r="P126" s="82"/>
      <c r="Q126" s="12">
        <v>1</v>
      </c>
      <c r="R126" s="12" t="s">
        <v>1702</v>
      </c>
      <c r="S126" s="12" t="s">
        <v>1701</v>
      </c>
    </row>
    <row r="127" spans="1:19" s="83" customFormat="1" ht="21" customHeight="1" x14ac:dyDescent="0.15">
      <c r="A127" s="80">
        <v>20017</v>
      </c>
      <c r="B127" s="81" t="s">
        <v>81</v>
      </c>
      <c r="C127" s="18" t="s">
        <v>382</v>
      </c>
      <c r="D127" s="80" t="s">
        <v>1401</v>
      </c>
      <c r="E127" s="82" t="s">
        <v>1403</v>
      </c>
      <c r="F127" s="82">
        <v>3</v>
      </c>
      <c r="G127" s="82">
        <v>-1</v>
      </c>
      <c r="H127" s="12">
        <v>0</v>
      </c>
      <c r="I127" s="12">
        <v>0</v>
      </c>
      <c r="J127" s="12">
        <v>0</v>
      </c>
      <c r="K127" s="12">
        <v>0</v>
      </c>
      <c r="L127" s="82"/>
      <c r="M127" s="12">
        <f t="shared" si="23"/>
        <v>0</v>
      </c>
      <c r="N127" s="82" t="s">
        <v>1347</v>
      </c>
      <c r="O127" s="131"/>
      <c r="P127" s="82"/>
      <c r="Q127" s="12">
        <v>1</v>
      </c>
      <c r="R127" s="12" t="s">
        <v>1702</v>
      </c>
      <c r="S127" s="12" t="s">
        <v>1701</v>
      </c>
    </row>
    <row r="128" spans="1:19" s="83" customFormat="1" ht="21" customHeight="1" x14ac:dyDescent="0.15">
      <c r="A128" s="80">
        <v>20018</v>
      </c>
      <c r="B128" s="81" t="s">
        <v>81</v>
      </c>
      <c r="C128" s="18" t="s">
        <v>382</v>
      </c>
      <c r="D128" s="80" t="s">
        <v>1509</v>
      </c>
      <c r="E128" s="82" t="s">
        <v>418</v>
      </c>
      <c r="F128" s="82">
        <v>3</v>
      </c>
      <c r="G128" s="82">
        <v>-1</v>
      </c>
      <c r="H128" s="12">
        <v>0</v>
      </c>
      <c r="I128" s="12">
        <v>0</v>
      </c>
      <c r="J128" s="12">
        <v>0</v>
      </c>
      <c r="K128" s="12">
        <v>0</v>
      </c>
      <c r="L128" s="82"/>
      <c r="M128" s="12">
        <f t="shared" si="23"/>
        <v>0</v>
      </c>
      <c r="N128" s="82" t="s">
        <v>1416</v>
      </c>
      <c r="O128" s="131"/>
      <c r="P128" s="82"/>
      <c r="Q128" s="12">
        <v>1</v>
      </c>
      <c r="R128" s="12" t="s">
        <v>1702</v>
      </c>
      <c r="S128" s="12" t="s">
        <v>1701</v>
      </c>
    </row>
    <row r="129" spans="1:19" s="83" customFormat="1" ht="21" customHeight="1" x14ac:dyDescent="0.15">
      <c r="A129" s="80">
        <v>20019</v>
      </c>
      <c r="B129" s="81" t="s">
        <v>81</v>
      </c>
      <c r="C129" s="18" t="s">
        <v>382</v>
      </c>
      <c r="D129" s="80" t="s">
        <v>1518</v>
      </c>
      <c r="E129" s="82" t="s">
        <v>418</v>
      </c>
      <c r="F129" s="82">
        <v>3</v>
      </c>
      <c r="G129" s="82">
        <v>-1</v>
      </c>
      <c r="H129" s="12">
        <v>0</v>
      </c>
      <c r="I129" s="12">
        <v>0</v>
      </c>
      <c r="J129" s="12">
        <v>0</v>
      </c>
      <c r="K129" s="12">
        <v>0</v>
      </c>
      <c r="L129" s="82"/>
      <c r="M129" s="12">
        <f t="shared" ref="M129:M130" si="24">LEN(L129)</f>
        <v>0</v>
      </c>
      <c r="N129" s="82" t="s">
        <v>1510</v>
      </c>
      <c r="O129" s="131"/>
      <c r="P129" s="82"/>
      <c r="Q129" s="12">
        <v>1</v>
      </c>
      <c r="R129" s="12" t="s">
        <v>1702</v>
      </c>
      <c r="S129" s="12" t="s">
        <v>1701</v>
      </c>
    </row>
    <row r="130" spans="1:19" s="83" customFormat="1" ht="22" customHeight="1" x14ac:dyDescent="0.15">
      <c r="A130" s="80">
        <v>20020</v>
      </c>
      <c r="B130" s="81" t="s">
        <v>81</v>
      </c>
      <c r="C130" s="18" t="s">
        <v>382</v>
      </c>
      <c r="D130" s="248" t="s">
        <v>1594</v>
      </c>
      <c r="E130" s="82" t="s">
        <v>418</v>
      </c>
      <c r="F130" s="249">
        <v>3</v>
      </c>
      <c r="G130" s="82">
        <v>-1</v>
      </c>
      <c r="H130" s="12">
        <v>0</v>
      </c>
      <c r="I130" s="12">
        <v>0</v>
      </c>
      <c r="J130" s="12">
        <v>0</v>
      </c>
      <c r="K130" s="12">
        <v>0</v>
      </c>
      <c r="L130" s="82"/>
      <c r="M130" s="12">
        <f t="shared" si="24"/>
        <v>0</v>
      </c>
      <c r="N130" s="82" t="s">
        <v>1536</v>
      </c>
      <c r="O130" s="131"/>
      <c r="P130" s="82"/>
      <c r="Q130" s="12">
        <v>1</v>
      </c>
      <c r="R130" s="12" t="s">
        <v>1702</v>
      </c>
      <c r="S130" s="12" t="s">
        <v>1701</v>
      </c>
    </row>
    <row r="131" spans="1:19" s="83" customFormat="1" ht="22" customHeight="1" x14ac:dyDescent="0.15">
      <c r="A131" s="80">
        <v>20021</v>
      </c>
      <c r="B131" s="81" t="s">
        <v>81</v>
      </c>
      <c r="C131" s="18" t="s">
        <v>382</v>
      </c>
      <c r="D131" s="248" t="s">
        <v>1642</v>
      </c>
      <c r="E131" s="82" t="s">
        <v>418</v>
      </c>
      <c r="F131" s="249">
        <v>3</v>
      </c>
      <c r="G131" s="82">
        <v>-1</v>
      </c>
      <c r="H131" s="12">
        <v>0</v>
      </c>
      <c r="I131" s="12">
        <v>0</v>
      </c>
      <c r="J131" s="12">
        <v>0</v>
      </c>
      <c r="K131" s="12">
        <v>0</v>
      </c>
      <c r="L131" s="82"/>
      <c r="M131" s="12">
        <f t="shared" ref="M131:M132" si="25">LEN(L131)</f>
        <v>0</v>
      </c>
      <c r="N131" s="82" t="s">
        <v>1605</v>
      </c>
      <c r="O131" s="131"/>
      <c r="P131" s="82"/>
      <c r="Q131" s="12">
        <v>1</v>
      </c>
      <c r="R131" s="12" t="s">
        <v>1702</v>
      </c>
      <c r="S131" s="12" t="s">
        <v>1701</v>
      </c>
    </row>
    <row r="132" spans="1:19" s="83" customFormat="1" ht="22" customHeight="1" x14ac:dyDescent="0.15">
      <c r="A132" s="80">
        <v>20022</v>
      </c>
      <c r="B132" s="81" t="s">
        <v>81</v>
      </c>
      <c r="C132" s="18" t="s">
        <v>382</v>
      </c>
      <c r="D132" s="248" t="s">
        <v>1979</v>
      </c>
      <c r="E132" s="82" t="s">
        <v>1977</v>
      </c>
      <c r="F132" s="76">
        <v>3</v>
      </c>
      <c r="G132" s="76">
        <v>-1</v>
      </c>
      <c r="H132" s="76">
        <v>0</v>
      </c>
      <c r="I132" s="76">
        <v>0</v>
      </c>
      <c r="J132" s="76">
        <v>0</v>
      </c>
      <c r="K132" s="76">
        <v>0</v>
      </c>
      <c r="L132" s="76"/>
      <c r="M132" s="76">
        <f t="shared" si="25"/>
        <v>0</v>
      </c>
      <c r="N132" s="75" t="s">
        <v>1976</v>
      </c>
      <c r="O132" s="75"/>
      <c r="P132" s="12"/>
      <c r="Q132" s="12">
        <v>1</v>
      </c>
      <c r="R132" s="12" t="s">
        <v>1044</v>
      </c>
      <c r="S132" s="12" t="s">
        <v>1043</v>
      </c>
    </row>
    <row r="133" spans="1:19" s="83" customFormat="1" ht="21" customHeight="1" x14ac:dyDescent="0.15">
      <c r="A133" s="80">
        <v>30001</v>
      </c>
      <c r="B133" s="81" t="s">
        <v>81</v>
      </c>
      <c r="C133" s="18" t="s">
        <v>568</v>
      </c>
      <c r="D133" s="82" t="s">
        <v>448</v>
      </c>
      <c r="E133" s="82" t="s">
        <v>418</v>
      </c>
      <c r="F133" s="82">
        <v>3</v>
      </c>
      <c r="G133" s="82">
        <v>-1</v>
      </c>
      <c r="H133" s="12">
        <v>0</v>
      </c>
      <c r="I133" s="12">
        <v>0</v>
      </c>
      <c r="J133" s="12">
        <v>0</v>
      </c>
      <c r="K133" s="12">
        <v>0</v>
      </c>
      <c r="L133" s="82"/>
      <c r="M133" s="12">
        <f t="shared" si="3"/>
        <v>0</v>
      </c>
      <c r="N133" s="82" t="s">
        <v>452</v>
      </c>
      <c r="O133" s="82"/>
      <c r="P133" s="82"/>
      <c r="Q133" s="12">
        <v>1</v>
      </c>
      <c r="R133" s="12" t="s">
        <v>1702</v>
      </c>
      <c r="S133" s="12" t="s">
        <v>1701</v>
      </c>
    </row>
    <row r="134" spans="1:19" s="83" customFormat="1" ht="21" customHeight="1" x14ac:dyDescent="0.15">
      <c r="A134" s="80">
        <v>30002</v>
      </c>
      <c r="B134" s="81" t="s">
        <v>81</v>
      </c>
      <c r="C134" s="18" t="s">
        <v>568</v>
      </c>
      <c r="D134" s="82" t="s">
        <v>449</v>
      </c>
      <c r="E134" s="82" t="s">
        <v>418</v>
      </c>
      <c r="F134" s="82">
        <v>3</v>
      </c>
      <c r="G134" s="82">
        <v>-1</v>
      </c>
      <c r="H134" s="12">
        <v>0</v>
      </c>
      <c r="I134" s="12">
        <v>0</v>
      </c>
      <c r="J134" s="12">
        <v>0</v>
      </c>
      <c r="K134" s="12">
        <v>0</v>
      </c>
      <c r="L134" s="82"/>
      <c r="M134" s="12">
        <f t="shared" si="3"/>
        <v>0</v>
      </c>
      <c r="N134" s="82" t="s">
        <v>414</v>
      </c>
      <c r="O134" s="82"/>
      <c r="P134" s="82"/>
      <c r="Q134" s="12">
        <v>1</v>
      </c>
      <c r="R134" s="12" t="s">
        <v>1702</v>
      </c>
      <c r="S134" s="12" t="s">
        <v>1701</v>
      </c>
    </row>
    <row r="135" spans="1:19" s="83" customFormat="1" ht="21" customHeight="1" x14ac:dyDescent="0.15">
      <c r="A135" s="80">
        <v>30003</v>
      </c>
      <c r="B135" s="81" t="s">
        <v>81</v>
      </c>
      <c r="C135" s="18" t="s">
        <v>568</v>
      </c>
      <c r="D135" s="82" t="s">
        <v>450</v>
      </c>
      <c r="E135" s="82" t="s">
        <v>418</v>
      </c>
      <c r="F135" s="82">
        <v>3</v>
      </c>
      <c r="G135" s="82">
        <v>-1</v>
      </c>
      <c r="H135" s="12">
        <v>0</v>
      </c>
      <c r="I135" s="12">
        <v>0</v>
      </c>
      <c r="J135" s="12">
        <v>0</v>
      </c>
      <c r="K135" s="12">
        <v>0</v>
      </c>
      <c r="L135" s="82"/>
      <c r="M135" s="12">
        <f t="shared" si="3"/>
        <v>0</v>
      </c>
      <c r="N135" s="82" t="s">
        <v>415</v>
      </c>
      <c r="O135" s="82"/>
      <c r="P135" s="82"/>
      <c r="Q135" s="12">
        <v>1</v>
      </c>
      <c r="R135" s="12" t="s">
        <v>1702</v>
      </c>
      <c r="S135" s="12" t="s">
        <v>1701</v>
      </c>
    </row>
    <row r="136" spans="1:19" s="83" customFormat="1" ht="21" customHeight="1" x14ac:dyDescent="0.15">
      <c r="A136" s="80">
        <v>30004</v>
      </c>
      <c r="B136" s="81" t="s">
        <v>81</v>
      </c>
      <c r="C136" s="18" t="s">
        <v>568</v>
      </c>
      <c r="D136" s="82" t="s">
        <v>451</v>
      </c>
      <c r="E136" s="82" t="s">
        <v>418</v>
      </c>
      <c r="F136" s="82">
        <v>3</v>
      </c>
      <c r="G136" s="82">
        <v>-1</v>
      </c>
      <c r="H136" s="12">
        <v>0</v>
      </c>
      <c r="I136" s="12">
        <v>0</v>
      </c>
      <c r="J136" s="12">
        <v>0</v>
      </c>
      <c r="K136" s="12">
        <v>0</v>
      </c>
      <c r="L136" s="82"/>
      <c r="M136" s="12">
        <f t="shared" si="3"/>
        <v>0</v>
      </c>
      <c r="N136" s="82" t="s">
        <v>416</v>
      </c>
      <c r="O136" s="82"/>
      <c r="P136" s="82"/>
      <c r="Q136" s="12">
        <v>1</v>
      </c>
      <c r="R136" s="12" t="s">
        <v>1702</v>
      </c>
      <c r="S136" s="12" t="s">
        <v>1701</v>
      </c>
    </row>
    <row r="137" spans="1:19" s="83" customFormat="1" ht="21" customHeight="1" x14ac:dyDescent="0.15">
      <c r="A137" s="80">
        <v>30005</v>
      </c>
      <c r="B137" s="81" t="s">
        <v>81</v>
      </c>
      <c r="C137" s="18" t="s">
        <v>568</v>
      </c>
      <c r="D137" s="82" t="s">
        <v>463</v>
      </c>
      <c r="E137" s="82" t="s">
        <v>418</v>
      </c>
      <c r="F137" s="82">
        <v>3</v>
      </c>
      <c r="G137" s="82">
        <v>-1</v>
      </c>
      <c r="H137" s="12">
        <v>0</v>
      </c>
      <c r="I137" s="12">
        <v>0</v>
      </c>
      <c r="J137" s="12">
        <v>0</v>
      </c>
      <c r="K137" s="12">
        <v>0</v>
      </c>
      <c r="L137" s="82"/>
      <c r="M137" s="12">
        <f t="shared" si="3"/>
        <v>0</v>
      </c>
      <c r="N137" s="82" t="s">
        <v>432</v>
      </c>
      <c r="O137" s="82"/>
      <c r="P137" s="82"/>
      <c r="Q137" s="12">
        <v>1</v>
      </c>
      <c r="R137" s="12" t="s">
        <v>1702</v>
      </c>
      <c r="S137" s="12" t="s">
        <v>1701</v>
      </c>
    </row>
    <row r="138" spans="1:19" s="83" customFormat="1" ht="21" customHeight="1" x14ac:dyDescent="0.15">
      <c r="A138" s="80">
        <v>30006</v>
      </c>
      <c r="B138" s="81" t="s">
        <v>81</v>
      </c>
      <c r="C138" s="18" t="s">
        <v>568</v>
      </c>
      <c r="D138" s="82" t="s">
        <v>464</v>
      </c>
      <c r="E138" s="82" t="s">
        <v>418</v>
      </c>
      <c r="F138" s="82">
        <v>3</v>
      </c>
      <c r="G138" s="82">
        <v>-1</v>
      </c>
      <c r="H138" s="12">
        <v>0</v>
      </c>
      <c r="I138" s="12">
        <v>0</v>
      </c>
      <c r="J138" s="12">
        <v>0</v>
      </c>
      <c r="K138" s="12">
        <v>0</v>
      </c>
      <c r="L138" s="82"/>
      <c r="M138" s="12">
        <f t="shared" si="3"/>
        <v>0</v>
      </c>
      <c r="N138" s="82" t="s">
        <v>439</v>
      </c>
      <c r="O138" s="82"/>
      <c r="P138" s="82"/>
      <c r="Q138" s="12">
        <v>1</v>
      </c>
      <c r="R138" s="12" t="s">
        <v>1702</v>
      </c>
      <c r="S138" s="12" t="s">
        <v>1701</v>
      </c>
    </row>
    <row r="139" spans="1:19" s="83" customFormat="1" ht="21" customHeight="1" x14ac:dyDescent="0.15">
      <c r="A139" s="80">
        <v>30007</v>
      </c>
      <c r="B139" s="81" t="s">
        <v>81</v>
      </c>
      <c r="C139" s="18" t="s">
        <v>568</v>
      </c>
      <c r="D139" s="82" t="s">
        <v>465</v>
      </c>
      <c r="E139" s="82" t="s">
        <v>418</v>
      </c>
      <c r="F139" s="82">
        <v>3</v>
      </c>
      <c r="G139" s="82">
        <v>-1</v>
      </c>
      <c r="H139" s="12">
        <v>0</v>
      </c>
      <c r="I139" s="12">
        <v>0</v>
      </c>
      <c r="J139" s="12">
        <v>0</v>
      </c>
      <c r="K139" s="12">
        <v>0</v>
      </c>
      <c r="L139" s="82"/>
      <c r="M139" s="12">
        <f t="shared" si="3"/>
        <v>0</v>
      </c>
      <c r="N139" s="82" t="s">
        <v>438</v>
      </c>
      <c r="O139" s="82"/>
      <c r="P139" s="82"/>
      <c r="Q139" s="12">
        <v>1</v>
      </c>
      <c r="R139" s="12" t="s">
        <v>1702</v>
      </c>
      <c r="S139" s="12" t="s">
        <v>1701</v>
      </c>
    </row>
    <row r="140" spans="1:19" s="83" customFormat="1" ht="21" customHeight="1" x14ac:dyDescent="0.15">
      <c r="A140" s="80">
        <v>30008</v>
      </c>
      <c r="B140" s="81" t="s">
        <v>81</v>
      </c>
      <c r="C140" s="18" t="s">
        <v>568</v>
      </c>
      <c r="D140" s="82" t="s">
        <v>466</v>
      </c>
      <c r="E140" s="82" t="s">
        <v>418</v>
      </c>
      <c r="F140" s="82">
        <v>3</v>
      </c>
      <c r="G140" s="82">
        <v>-1</v>
      </c>
      <c r="H140" s="12">
        <v>0</v>
      </c>
      <c r="I140" s="12">
        <v>0</v>
      </c>
      <c r="J140" s="12">
        <v>0</v>
      </c>
      <c r="K140" s="12">
        <v>0</v>
      </c>
      <c r="L140" s="82"/>
      <c r="M140" s="12">
        <f t="shared" si="3"/>
        <v>0</v>
      </c>
      <c r="N140" s="82" t="s">
        <v>433</v>
      </c>
      <c r="O140" s="82"/>
      <c r="P140" s="82"/>
      <c r="Q140" s="12">
        <v>1</v>
      </c>
      <c r="R140" s="12" t="s">
        <v>1702</v>
      </c>
      <c r="S140" s="12" t="s">
        <v>1701</v>
      </c>
    </row>
    <row r="141" spans="1:19" s="83" customFormat="1" ht="21" customHeight="1" x14ac:dyDescent="0.15">
      <c r="A141" s="80">
        <v>30009</v>
      </c>
      <c r="B141" s="81" t="s">
        <v>81</v>
      </c>
      <c r="C141" s="18" t="s">
        <v>568</v>
      </c>
      <c r="D141" s="80" t="s">
        <v>610</v>
      </c>
      <c r="E141" s="76" t="s">
        <v>640</v>
      </c>
      <c r="F141" s="82">
        <v>3</v>
      </c>
      <c r="G141" s="82">
        <v>-1</v>
      </c>
      <c r="H141" s="12">
        <v>0</v>
      </c>
      <c r="I141" s="12">
        <v>0</v>
      </c>
      <c r="J141" s="12">
        <v>0</v>
      </c>
      <c r="K141" s="12">
        <v>0</v>
      </c>
      <c r="L141" s="82"/>
      <c r="M141" s="12">
        <f t="shared" si="3"/>
        <v>0</v>
      </c>
      <c r="N141" s="82" t="s">
        <v>240</v>
      </c>
      <c r="O141" s="82"/>
      <c r="P141" s="82"/>
      <c r="Q141" s="12">
        <v>1</v>
      </c>
      <c r="R141" s="12" t="s">
        <v>1702</v>
      </c>
      <c r="S141" s="12" t="s">
        <v>1701</v>
      </c>
    </row>
    <row r="142" spans="1:19" s="83" customFormat="1" ht="21" customHeight="1" x14ac:dyDescent="0.15">
      <c r="A142" s="80">
        <v>30010</v>
      </c>
      <c r="B142" s="81" t="s">
        <v>81</v>
      </c>
      <c r="C142" s="18" t="s">
        <v>568</v>
      </c>
      <c r="D142" s="80" t="s">
        <v>611</v>
      </c>
      <c r="E142" s="82" t="s">
        <v>642</v>
      </c>
      <c r="F142" s="82">
        <v>3</v>
      </c>
      <c r="G142" s="82">
        <v>-1</v>
      </c>
      <c r="H142" s="12">
        <v>0</v>
      </c>
      <c r="I142" s="12">
        <v>0</v>
      </c>
      <c r="J142" s="12">
        <v>0</v>
      </c>
      <c r="K142" s="12">
        <v>0</v>
      </c>
      <c r="L142" s="82"/>
      <c r="M142" s="12">
        <f t="shared" si="3"/>
        <v>0</v>
      </c>
      <c r="N142" s="82" t="s">
        <v>240</v>
      </c>
      <c r="O142" s="82"/>
      <c r="P142" s="82"/>
      <c r="Q142" s="12">
        <v>1</v>
      </c>
      <c r="R142" s="12" t="s">
        <v>1702</v>
      </c>
      <c r="S142" s="12" t="s">
        <v>1701</v>
      </c>
    </row>
    <row r="143" spans="1:19" s="83" customFormat="1" ht="21" customHeight="1" x14ac:dyDescent="0.15">
      <c r="A143" s="80">
        <v>30011</v>
      </c>
      <c r="B143" s="81" t="s">
        <v>81</v>
      </c>
      <c r="C143" s="18" t="s">
        <v>568</v>
      </c>
      <c r="D143" s="80" t="s">
        <v>612</v>
      </c>
      <c r="E143" s="76" t="s">
        <v>640</v>
      </c>
      <c r="F143" s="82">
        <v>3</v>
      </c>
      <c r="G143" s="82">
        <v>-1</v>
      </c>
      <c r="H143" s="12">
        <v>0</v>
      </c>
      <c r="I143" s="12">
        <v>0</v>
      </c>
      <c r="J143" s="12">
        <v>0</v>
      </c>
      <c r="K143" s="12">
        <v>0</v>
      </c>
      <c r="L143" s="82"/>
      <c r="M143" s="12">
        <f t="shared" si="3"/>
        <v>0</v>
      </c>
      <c r="N143" s="82" t="s">
        <v>240</v>
      </c>
      <c r="O143" s="82"/>
      <c r="P143" s="82"/>
      <c r="Q143" s="12">
        <v>1</v>
      </c>
      <c r="R143" s="12" t="s">
        <v>1702</v>
      </c>
      <c r="S143" s="12" t="s">
        <v>1701</v>
      </c>
    </row>
    <row r="144" spans="1:19" s="83" customFormat="1" ht="21" customHeight="1" x14ac:dyDescent="0.15">
      <c r="A144" s="80">
        <v>30012</v>
      </c>
      <c r="B144" s="81" t="s">
        <v>81</v>
      </c>
      <c r="C144" s="18" t="s">
        <v>568</v>
      </c>
      <c r="D144" s="80" t="s">
        <v>638</v>
      </c>
      <c r="E144" s="12" t="s">
        <v>804</v>
      </c>
      <c r="F144" s="82">
        <v>3</v>
      </c>
      <c r="G144" s="82">
        <v>-1</v>
      </c>
      <c r="H144" s="12">
        <v>0</v>
      </c>
      <c r="I144" s="12">
        <v>0</v>
      </c>
      <c r="J144" s="12">
        <v>0</v>
      </c>
      <c r="K144" s="12">
        <v>0</v>
      </c>
      <c r="L144" s="82"/>
      <c r="M144" s="12">
        <f t="shared" si="3"/>
        <v>0</v>
      </c>
      <c r="N144" s="82" t="s">
        <v>240</v>
      </c>
      <c r="O144" s="82"/>
      <c r="P144" s="82"/>
      <c r="Q144" s="12">
        <v>1</v>
      </c>
      <c r="R144" s="12" t="s">
        <v>1702</v>
      </c>
      <c r="S144" s="12" t="s">
        <v>1701</v>
      </c>
    </row>
    <row r="145" spans="1:19" s="83" customFormat="1" ht="21" customHeight="1" x14ac:dyDescent="0.15">
      <c r="A145" s="80">
        <v>30013</v>
      </c>
      <c r="B145" s="81" t="s">
        <v>81</v>
      </c>
      <c r="C145" s="18" t="s">
        <v>568</v>
      </c>
      <c r="D145" s="80" t="s">
        <v>584</v>
      </c>
      <c r="E145" s="82" t="s">
        <v>418</v>
      </c>
      <c r="F145" s="82">
        <v>3</v>
      </c>
      <c r="G145" s="82">
        <v>-1</v>
      </c>
      <c r="H145" s="12">
        <v>0</v>
      </c>
      <c r="I145" s="12">
        <v>0</v>
      </c>
      <c r="J145" s="12">
        <v>0</v>
      </c>
      <c r="K145" s="12">
        <v>0</v>
      </c>
      <c r="L145" s="82"/>
      <c r="M145" s="12">
        <f t="shared" si="3"/>
        <v>0</v>
      </c>
      <c r="N145" s="82" t="s">
        <v>571</v>
      </c>
      <c r="O145" s="82"/>
      <c r="P145" s="82"/>
      <c r="Q145" s="12">
        <v>1</v>
      </c>
      <c r="R145" s="12" t="s">
        <v>1702</v>
      </c>
      <c r="S145" s="12" t="s">
        <v>1701</v>
      </c>
    </row>
    <row r="146" spans="1:19" s="83" customFormat="1" ht="21" customHeight="1" x14ac:dyDescent="0.15">
      <c r="A146" s="80">
        <v>30014</v>
      </c>
      <c r="B146" s="81" t="s">
        <v>81</v>
      </c>
      <c r="C146" s="18" t="s">
        <v>382</v>
      </c>
      <c r="D146" s="80" t="s">
        <v>589</v>
      </c>
      <c r="E146" s="82" t="s">
        <v>641</v>
      </c>
      <c r="F146" s="82">
        <v>3</v>
      </c>
      <c r="G146" s="82">
        <v>-1</v>
      </c>
      <c r="H146" s="12">
        <v>0</v>
      </c>
      <c r="I146" s="12">
        <v>0</v>
      </c>
      <c r="J146" s="12">
        <v>0</v>
      </c>
      <c r="K146" s="12">
        <v>0</v>
      </c>
      <c r="L146" s="82"/>
      <c r="M146" s="12">
        <f t="shared" si="3"/>
        <v>0</v>
      </c>
      <c r="N146" s="82" t="s">
        <v>571</v>
      </c>
      <c r="O146" s="82"/>
      <c r="P146" s="82"/>
      <c r="Q146" s="12">
        <v>1</v>
      </c>
      <c r="R146" s="12" t="s">
        <v>1702</v>
      </c>
      <c r="S146" s="12" t="s">
        <v>1701</v>
      </c>
    </row>
    <row r="147" spans="1:19" s="83" customFormat="1" ht="21" customHeight="1" x14ac:dyDescent="0.15">
      <c r="A147" s="80">
        <v>30015</v>
      </c>
      <c r="B147" s="81" t="s">
        <v>81</v>
      </c>
      <c r="C147" s="18" t="s">
        <v>382</v>
      </c>
      <c r="D147" s="80" t="s">
        <v>624</v>
      </c>
      <c r="E147" s="82" t="s">
        <v>418</v>
      </c>
      <c r="F147" s="82">
        <v>3</v>
      </c>
      <c r="G147" s="82">
        <v>-1</v>
      </c>
      <c r="H147" s="12">
        <v>0</v>
      </c>
      <c r="I147" s="12">
        <v>0</v>
      </c>
      <c r="J147" s="12">
        <v>0</v>
      </c>
      <c r="K147" s="12">
        <v>0</v>
      </c>
      <c r="L147" s="82"/>
      <c r="M147" s="12">
        <f t="shared" si="3"/>
        <v>0</v>
      </c>
      <c r="N147" s="82" t="s">
        <v>581</v>
      </c>
      <c r="O147" s="82"/>
      <c r="P147" s="82"/>
      <c r="Q147" s="12">
        <v>1</v>
      </c>
      <c r="R147" s="12" t="s">
        <v>1702</v>
      </c>
      <c r="S147" s="12" t="s">
        <v>1701</v>
      </c>
    </row>
    <row r="148" spans="1:19" s="83" customFormat="1" ht="21" customHeight="1" x14ac:dyDescent="0.15">
      <c r="A148" s="80">
        <v>30016</v>
      </c>
      <c r="B148" s="81" t="s">
        <v>81</v>
      </c>
      <c r="C148" s="18" t="s">
        <v>382</v>
      </c>
      <c r="D148" s="80" t="s">
        <v>623</v>
      </c>
      <c r="E148" s="82" t="s">
        <v>418</v>
      </c>
      <c r="F148" s="82">
        <v>3</v>
      </c>
      <c r="G148" s="82">
        <v>-1</v>
      </c>
      <c r="H148" s="12">
        <v>0</v>
      </c>
      <c r="I148" s="12">
        <v>0</v>
      </c>
      <c r="J148" s="12">
        <v>0</v>
      </c>
      <c r="K148" s="12">
        <v>0</v>
      </c>
      <c r="L148" s="82"/>
      <c r="M148" s="12">
        <f t="shared" si="3"/>
        <v>0</v>
      </c>
      <c r="N148" s="82" t="s">
        <v>581</v>
      </c>
      <c r="O148" s="82"/>
      <c r="P148" s="82"/>
      <c r="Q148" s="12">
        <v>1</v>
      </c>
      <c r="R148" s="12" t="s">
        <v>1702</v>
      </c>
      <c r="S148" s="12" t="s">
        <v>1701</v>
      </c>
    </row>
    <row r="149" spans="1:19" s="83" customFormat="1" ht="21" customHeight="1" x14ac:dyDescent="0.15">
      <c r="A149" s="80">
        <v>30017</v>
      </c>
      <c r="B149" s="81" t="s">
        <v>81</v>
      </c>
      <c r="C149" s="18" t="s">
        <v>382</v>
      </c>
      <c r="D149" s="80" t="s">
        <v>647</v>
      </c>
      <c r="E149" s="82" t="s">
        <v>663</v>
      </c>
      <c r="F149" s="82">
        <v>3</v>
      </c>
      <c r="G149" s="82">
        <v>-1</v>
      </c>
      <c r="H149" s="12">
        <v>0</v>
      </c>
      <c r="I149" s="12">
        <v>0</v>
      </c>
      <c r="J149" s="12">
        <v>0</v>
      </c>
      <c r="K149" s="12">
        <v>0</v>
      </c>
      <c r="L149" s="82"/>
      <c r="M149" s="12">
        <f t="shared" si="3"/>
        <v>0</v>
      </c>
      <c r="N149" s="82" t="s">
        <v>618</v>
      </c>
      <c r="O149" s="131" t="s">
        <v>619</v>
      </c>
      <c r="P149" s="82"/>
      <c r="Q149" s="12">
        <v>1</v>
      </c>
      <c r="R149" s="12" t="s">
        <v>1702</v>
      </c>
      <c r="S149" s="12" t="s">
        <v>1701</v>
      </c>
    </row>
    <row r="150" spans="1:19" s="83" customFormat="1" ht="21" customHeight="1" x14ac:dyDescent="0.15">
      <c r="A150" s="80">
        <v>30018</v>
      </c>
      <c r="B150" s="81" t="s">
        <v>81</v>
      </c>
      <c r="C150" s="18" t="s">
        <v>382</v>
      </c>
      <c r="D150" s="80" t="s">
        <v>650</v>
      </c>
      <c r="E150" s="242" t="s">
        <v>2035</v>
      </c>
      <c r="F150" s="82">
        <v>3</v>
      </c>
      <c r="G150" s="82">
        <v>-1</v>
      </c>
      <c r="H150" s="12">
        <v>0</v>
      </c>
      <c r="I150" s="12">
        <v>0</v>
      </c>
      <c r="J150" s="12">
        <v>0</v>
      </c>
      <c r="K150" s="12">
        <v>0</v>
      </c>
      <c r="L150" s="82"/>
      <c r="M150" s="12">
        <f t="shared" si="3"/>
        <v>0</v>
      </c>
      <c r="N150" s="82" t="s">
        <v>622</v>
      </c>
      <c r="O150" s="131"/>
      <c r="P150" s="82"/>
      <c r="Q150" s="12">
        <v>1</v>
      </c>
      <c r="R150" s="12" t="s">
        <v>1702</v>
      </c>
      <c r="S150" s="12" t="s">
        <v>1701</v>
      </c>
    </row>
    <row r="151" spans="1:19" s="83" customFormat="1" ht="21" customHeight="1" x14ac:dyDescent="0.15">
      <c r="A151" s="80">
        <v>30019</v>
      </c>
      <c r="B151" s="81" t="s">
        <v>81</v>
      </c>
      <c r="C151" s="18" t="s">
        <v>382</v>
      </c>
      <c r="D151" s="80" t="s">
        <v>648</v>
      </c>
      <c r="E151" s="82" t="s">
        <v>663</v>
      </c>
      <c r="F151" s="82">
        <v>3</v>
      </c>
      <c r="G151" s="82">
        <v>-1</v>
      </c>
      <c r="H151" s="12">
        <v>0</v>
      </c>
      <c r="I151" s="12">
        <v>0</v>
      </c>
      <c r="J151" s="12">
        <v>0</v>
      </c>
      <c r="K151" s="12">
        <v>0</v>
      </c>
      <c r="L151" s="82"/>
      <c r="M151" s="12">
        <f t="shared" ref="M151" si="26">LEN(L151)</f>
        <v>0</v>
      </c>
      <c r="N151" s="82" t="s">
        <v>618</v>
      </c>
      <c r="O151" s="131"/>
      <c r="P151" s="82"/>
      <c r="Q151" s="12">
        <v>1</v>
      </c>
      <c r="R151" s="12" t="s">
        <v>1702</v>
      </c>
      <c r="S151" s="12" t="s">
        <v>1701</v>
      </c>
    </row>
    <row r="152" spans="1:19" s="83" customFormat="1" ht="21" customHeight="1" x14ac:dyDescent="0.15">
      <c r="A152" s="80">
        <v>30020</v>
      </c>
      <c r="B152" s="81" t="s">
        <v>81</v>
      </c>
      <c r="C152" s="18" t="s">
        <v>382</v>
      </c>
      <c r="D152" s="80" t="s">
        <v>649</v>
      </c>
      <c r="E152" s="242" t="s">
        <v>2036</v>
      </c>
      <c r="F152" s="82">
        <v>3</v>
      </c>
      <c r="G152" s="82">
        <v>-1</v>
      </c>
      <c r="H152" s="12">
        <v>0</v>
      </c>
      <c r="I152" s="12">
        <v>0</v>
      </c>
      <c r="J152" s="12">
        <v>0</v>
      </c>
      <c r="K152" s="12">
        <v>0</v>
      </c>
      <c r="L152" s="82"/>
      <c r="M152" s="12">
        <f t="shared" ref="M152" si="27">LEN(L152)</f>
        <v>0</v>
      </c>
      <c r="N152" s="82" t="s">
        <v>618</v>
      </c>
      <c r="O152" s="131"/>
      <c r="P152" s="82"/>
      <c r="Q152" s="12">
        <v>1</v>
      </c>
      <c r="R152" s="12" t="s">
        <v>1702</v>
      </c>
      <c r="S152" s="12" t="s">
        <v>1701</v>
      </c>
    </row>
    <row r="153" spans="1:19" s="83" customFormat="1" ht="21" customHeight="1" x14ac:dyDescent="0.15">
      <c r="A153" s="80">
        <v>30021</v>
      </c>
      <c r="B153" s="81" t="s">
        <v>81</v>
      </c>
      <c r="C153" s="18" t="s">
        <v>382</v>
      </c>
      <c r="D153" s="80" t="s">
        <v>858</v>
      </c>
      <c r="E153" s="82" t="s">
        <v>418</v>
      </c>
      <c r="F153" s="82">
        <v>3</v>
      </c>
      <c r="G153" s="82">
        <v>-1</v>
      </c>
      <c r="H153" s="12">
        <v>0</v>
      </c>
      <c r="I153" s="12">
        <v>0</v>
      </c>
      <c r="J153" s="12">
        <v>0</v>
      </c>
      <c r="K153" s="12">
        <v>0</v>
      </c>
      <c r="L153" s="82"/>
      <c r="M153" s="12">
        <f t="shared" ref="M153" si="28">LEN(L153)</f>
        <v>0</v>
      </c>
      <c r="N153" s="82" t="s">
        <v>834</v>
      </c>
      <c r="O153" s="131"/>
      <c r="P153" s="82"/>
      <c r="Q153" s="12">
        <v>1</v>
      </c>
      <c r="R153" s="12" t="s">
        <v>1702</v>
      </c>
      <c r="S153" s="12" t="s">
        <v>1701</v>
      </c>
    </row>
    <row r="154" spans="1:19" s="83" customFormat="1" ht="21" customHeight="1" x14ac:dyDescent="0.15">
      <c r="A154" s="80">
        <v>30022</v>
      </c>
      <c r="B154" s="81" t="s">
        <v>81</v>
      </c>
      <c r="C154" s="18" t="s">
        <v>382</v>
      </c>
      <c r="D154" s="80" t="s">
        <v>841</v>
      </c>
      <c r="E154" s="82" t="s">
        <v>418</v>
      </c>
      <c r="F154" s="82">
        <v>3</v>
      </c>
      <c r="G154" s="82">
        <v>-1</v>
      </c>
      <c r="H154" s="12">
        <v>0</v>
      </c>
      <c r="I154" s="12">
        <v>0</v>
      </c>
      <c r="J154" s="12">
        <v>0</v>
      </c>
      <c r="K154" s="12">
        <v>0</v>
      </c>
      <c r="L154" s="82"/>
      <c r="M154" s="12">
        <f t="shared" ref="M154" si="29">LEN(L154)</f>
        <v>0</v>
      </c>
      <c r="N154" s="82" t="s">
        <v>834</v>
      </c>
      <c r="O154" s="131"/>
      <c r="P154" s="82"/>
      <c r="Q154" s="12">
        <v>1</v>
      </c>
      <c r="R154" s="12" t="s">
        <v>1702</v>
      </c>
      <c r="S154" s="12" t="s">
        <v>1701</v>
      </c>
    </row>
    <row r="155" spans="1:19" s="83" customFormat="1" ht="21" customHeight="1" x14ac:dyDescent="0.15">
      <c r="A155" s="80">
        <v>30023</v>
      </c>
      <c r="B155" s="81" t="s">
        <v>81</v>
      </c>
      <c r="C155" s="18" t="s">
        <v>382</v>
      </c>
      <c r="D155" s="80" t="s">
        <v>861</v>
      </c>
      <c r="E155" s="82" t="s">
        <v>418</v>
      </c>
      <c r="F155" s="82">
        <v>3</v>
      </c>
      <c r="G155" s="82">
        <v>-1</v>
      </c>
      <c r="H155" s="12">
        <v>0</v>
      </c>
      <c r="I155" s="12">
        <v>0</v>
      </c>
      <c r="J155" s="12">
        <v>0</v>
      </c>
      <c r="K155" s="12">
        <v>0</v>
      </c>
      <c r="L155" s="82"/>
      <c r="M155" s="12">
        <f t="shared" ref="M155" si="30">LEN(L155)</f>
        <v>0</v>
      </c>
      <c r="N155" s="82" t="s">
        <v>834</v>
      </c>
      <c r="O155" s="131"/>
      <c r="P155" s="82"/>
      <c r="Q155" s="12">
        <v>1</v>
      </c>
      <c r="R155" s="12" t="s">
        <v>1702</v>
      </c>
      <c r="S155" s="12" t="s">
        <v>1701</v>
      </c>
    </row>
    <row r="156" spans="1:19" s="83" customFormat="1" ht="21" customHeight="1" x14ac:dyDescent="0.15">
      <c r="A156" s="80">
        <v>30024</v>
      </c>
      <c r="B156" s="81" t="s">
        <v>81</v>
      </c>
      <c r="C156" s="18" t="s">
        <v>382</v>
      </c>
      <c r="D156" s="80" t="s">
        <v>933</v>
      </c>
      <c r="E156" s="82" t="s">
        <v>663</v>
      </c>
      <c r="F156" s="82">
        <v>3</v>
      </c>
      <c r="G156" s="82">
        <v>-1</v>
      </c>
      <c r="H156" s="12">
        <v>0</v>
      </c>
      <c r="I156" s="12">
        <v>0</v>
      </c>
      <c r="J156" s="12">
        <v>0</v>
      </c>
      <c r="K156" s="12">
        <v>0</v>
      </c>
      <c r="L156" s="82"/>
      <c r="M156" s="12">
        <f t="shared" ref="M156" si="31">LEN(L156)</f>
        <v>0</v>
      </c>
      <c r="N156" s="82" t="s">
        <v>905</v>
      </c>
      <c r="O156" s="131"/>
      <c r="P156" s="82"/>
      <c r="Q156" s="12">
        <v>1</v>
      </c>
      <c r="R156" s="12" t="s">
        <v>1702</v>
      </c>
      <c r="S156" s="12" t="s">
        <v>1701</v>
      </c>
    </row>
    <row r="157" spans="1:19" s="83" customFormat="1" ht="21" customHeight="1" x14ac:dyDescent="0.15">
      <c r="A157" s="80">
        <v>30025</v>
      </c>
      <c r="B157" s="81" t="s">
        <v>81</v>
      </c>
      <c r="C157" s="18" t="s">
        <v>382</v>
      </c>
      <c r="D157" s="80" t="s">
        <v>966</v>
      </c>
      <c r="E157" s="242" t="s">
        <v>2036</v>
      </c>
      <c r="F157" s="82">
        <v>3</v>
      </c>
      <c r="G157" s="82">
        <v>-1</v>
      </c>
      <c r="H157" s="12">
        <v>0</v>
      </c>
      <c r="I157" s="12">
        <v>0</v>
      </c>
      <c r="J157" s="12">
        <v>0</v>
      </c>
      <c r="K157" s="12">
        <v>0</v>
      </c>
      <c r="L157" s="82"/>
      <c r="M157" s="12">
        <f t="shared" ref="M157" si="32">LEN(L157)</f>
        <v>0</v>
      </c>
      <c r="N157" s="82" t="s">
        <v>905</v>
      </c>
      <c r="O157" s="131"/>
      <c r="P157" s="82"/>
      <c r="Q157" s="12">
        <v>1</v>
      </c>
      <c r="R157" s="12" t="s">
        <v>1702</v>
      </c>
      <c r="S157" s="12" t="s">
        <v>1701</v>
      </c>
    </row>
    <row r="158" spans="1:19" s="83" customFormat="1" ht="21" customHeight="1" x14ac:dyDescent="0.15">
      <c r="A158" s="80">
        <v>30026</v>
      </c>
      <c r="B158" s="81" t="s">
        <v>81</v>
      </c>
      <c r="C158" s="18" t="s">
        <v>382</v>
      </c>
      <c r="D158" s="80" t="s">
        <v>982</v>
      </c>
      <c r="E158" s="82" t="s">
        <v>418</v>
      </c>
      <c r="F158" s="82">
        <v>3</v>
      </c>
      <c r="G158" s="82">
        <v>-1</v>
      </c>
      <c r="H158" s="12">
        <v>0</v>
      </c>
      <c r="I158" s="12">
        <v>0</v>
      </c>
      <c r="J158" s="12">
        <v>0</v>
      </c>
      <c r="K158" s="12">
        <v>0</v>
      </c>
      <c r="L158" s="82"/>
      <c r="M158" s="12">
        <f t="shared" ref="M158" si="33">LEN(L158)</f>
        <v>0</v>
      </c>
      <c r="N158" s="82" t="s">
        <v>905</v>
      </c>
      <c r="O158" s="131"/>
      <c r="P158" s="82"/>
      <c r="Q158" s="12">
        <v>1</v>
      </c>
      <c r="R158" s="12" t="s">
        <v>1702</v>
      </c>
      <c r="S158" s="12" t="s">
        <v>1701</v>
      </c>
    </row>
    <row r="159" spans="1:19" s="83" customFormat="1" ht="21" customHeight="1" x14ac:dyDescent="0.15">
      <c r="A159" s="80">
        <v>30027</v>
      </c>
      <c r="B159" s="81" t="s">
        <v>81</v>
      </c>
      <c r="C159" s="18" t="s">
        <v>382</v>
      </c>
      <c r="D159" s="80" t="s">
        <v>1005</v>
      </c>
      <c r="E159" s="12" t="s">
        <v>1599</v>
      </c>
      <c r="F159" s="82">
        <v>3</v>
      </c>
      <c r="G159" s="82">
        <v>-1</v>
      </c>
      <c r="H159" s="12">
        <v>0</v>
      </c>
      <c r="I159" s="12">
        <v>0</v>
      </c>
      <c r="J159" s="12">
        <v>0</v>
      </c>
      <c r="K159" s="12">
        <v>0</v>
      </c>
      <c r="L159" s="82"/>
      <c r="M159" s="12">
        <f t="shared" ref="M159" si="34">LEN(L159)</f>
        <v>0</v>
      </c>
      <c r="N159" s="82" t="s">
        <v>905</v>
      </c>
      <c r="O159" s="131"/>
      <c r="P159" s="82"/>
      <c r="Q159" s="12">
        <v>1</v>
      </c>
      <c r="R159" s="12" t="s">
        <v>1702</v>
      </c>
      <c r="S159" s="12" t="s">
        <v>1701</v>
      </c>
    </row>
    <row r="160" spans="1:19" s="83" customFormat="1" ht="21" customHeight="1" x14ac:dyDescent="0.15">
      <c r="A160" s="80">
        <v>30028</v>
      </c>
      <c r="B160" s="81" t="s">
        <v>81</v>
      </c>
      <c r="C160" s="18" t="s">
        <v>382</v>
      </c>
      <c r="D160" s="80" t="s">
        <v>1017</v>
      </c>
      <c r="E160" s="82" t="s">
        <v>418</v>
      </c>
      <c r="F160" s="82">
        <v>3</v>
      </c>
      <c r="G160" s="82">
        <v>-1</v>
      </c>
      <c r="H160" s="12">
        <v>0</v>
      </c>
      <c r="I160" s="12">
        <v>0</v>
      </c>
      <c r="J160" s="12">
        <v>0</v>
      </c>
      <c r="K160" s="12">
        <v>0</v>
      </c>
      <c r="L160" s="82"/>
      <c r="M160" s="12">
        <f t="shared" ref="M160" si="35">LEN(L160)</f>
        <v>0</v>
      </c>
      <c r="N160" s="82" t="s">
        <v>998</v>
      </c>
      <c r="O160" s="82"/>
      <c r="P160" s="82"/>
      <c r="Q160" s="12">
        <v>1</v>
      </c>
      <c r="R160" s="12" t="s">
        <v>1702</v>
      </c>
      <c r="S160" s="12" t="s">
        <v>1701</v>
      </c>
    </row>
    <row r="161" spans="1:19" s="83" customFormat="1" ht="21" customHeight="1" x14ac:dyDescent="0.15">
      <c r="A161" s="80">
        <v>30029</v>
      </c>
      <c r="B161" s="81" t="s">
        <v>81</v>
      </c>
      <c r="C161" s="18" t="s">
        <v>382</v>
      </c>
      <c r="D161" s="80" t="s">
        <v>1034</v>
      </c>
      <c r="E161" s="82" t="s">
        <v>418</v>
      </c>
      <c r="F161" s="82">
        <v>3</v>
      </c>
      <c r="G161" s="82">
        <v>-1</v>
      </c>
      <c r="H161" s="12">
        <v>0</v>
      </c>
      <c r="I161" s="12">
        <v>0</v>
      </c>
      <c r="J161" s="12">
        <v>0</v>
      </c>
      <c r="K161" s="12">
        <v>0</v>
      </c>
      <c r="L161" s="82"/>
      <c r="M161" s="12">
        <f t="shared" ref="M161" si="36">LEN(L161)</f>
        <v>0</v>
      </c>
      <c r="N161" s="82" t="s">
        <v>998</v>
      </c>
      <c r="O161" s="82"/>
      <c r="P161" s="82"/>
      <c r="Q161" s="12">
        <v>1</v>
      </c>
      <c r="R161" s="12" t="s">
        <v>1702</v>
      </c>
      <c r="S161" s="12" t="s">
        <v>1701</v>
      </c>
    </row>
    <row r="162" spans="1:19" s="83" customFormat="1" ht="21" customHeight="1" x14ac:dyDescent="0.15">
      <c r="A162" s="80">
        <v>30030</v>
      </c>
      <c r="B162" s="81" t="s">
        <v>81</v>
      </c>
      <c r="C162" s="18" t="s">
        <v>382</v>
      </c>
      <c r="D162" s="80" t="s">
        <v>1047</v>
      </c>
      <c r="E162" s="82" t="s">
        <v>418</v>
      </c>
      <c r="F162" s="82">
        <v>3</v>
      </c>
      <c r="G162" s="82">
        <v>-1</v>
      </c>
      <c r="H162" s="12">
        <v>0</v>
      </c>
      <c r="I162" s="12">
        <v>0</v>
      </c>
      <c r="J162" s="12">
        <v>0</v>
      </c>
      <c r="K162" s="12">
        <v>0</v>
      </c>
      <c r="L162" s="82"/>
      <c r="M162" s="12">
        <f t="shared" ref="M162:M163" si="37">LEN(L162)</f>
        <v>0</v>
      </c>
      <c r="N162" s="82" t="s">
        <v>1052</v>
      </c>
      <c r="O162" s="82"/>
      <c r="P162" s="82"/>
      <c r="Q162" s="12">
        <v>1</v>
      </c>
      <c r="R162" s="12" t="s">
        <v>1702</v>
      </c>
      <c r="S162" s="12" t="s">
        <v>1701</v>
      </c>
    </row>
    <row r="163" spans="1:19" s="83" customFormat="1" ht="21" customHeight="1" x14ac:dyDescent="0.15">
      <c r="A163" s="80">
        <v>30031</v>
      </c>
      <c r="B163" s="81" t="s">
        <v>81</v>
      </c>
      <c r="C163" s="18" t="s">
        <v>382</v>
      </c>
      <c r="D163" s="80" t="s">
        <v>1051</v>
      </c>
      <c r="E163" s="82" t="s">
        <v>418</v>
      </c>
      <c r="F163" s="82">
        <v>3</v>
      </c>
      <c r="G163" s="82">
        <v>-1</v>
      </c>
      <c r="H163" s="12">
        <v>0</v>
      </c>
      <c r="I163" s="12">
        <v>0</v>
      </c>
      <c r="J163" s="12">
        <v>0</v>
      </c>
      <c r="K163" s="12">
        <v>0</v>
      </c>
      <c r="L163" s="82"/>
      <c r="M163" s="12">
        <f t="shared" si="37"/>
        <v>0</v>
      </c>
      <c r="N163" s="82" t="s">
        <v>1053</v>
      </c>
      <c r="O163" s="82"/>
      <c r="P163" s="82"/>
      <c r="Q163" s="12">
        <v>1</v>
      </c>
      <c r="R163" s="12" t="s">
        <v>1702</v>
      </c>
      <c r="S163" s="12" t="s">
        <v>1701</v>
      </c>
    </row>
    <row r="164" spans="1:19" s="83" customFormat="1" ht="21" customHeight="1" x14ac:dyDescent="0.15">
      <c r="A164" s="80">
        <v>30032</v>
      </c>
      <c r="B164" s="81" t="s">
        <v>81</v>
      </c>
      <c r="C164" s="18" t="s">
        <v>382</v>
      </c>
      <c r="D164" s="80" t="s">
        <v>1066</v>
      </c>
      <c r="E164" s="82" t="s">
        <v>418</v>
      </c>
      <c r="F164" s="82">
        <v>3</v>
      </c>
      <c r="G164" s="82">
        <v>-1</v>
      </c>
      <c r="H164" s="12">
        <v>0</v>
      </c>
      <c r="I164" s="12">
        <v>0</v>
      </c>
      <c r="J164" s="12">
        <v>0</v>
      </c>
      <c r="K164" s="12">
        <v>0</v>
      </c>
      <c r="L164" s="82"/>
      <c r="M164" s="12">
        <f t="shared" ref="M164" si="38">LEN(L164)</f>
        <v>0</v>
      </c>
      <c r="N164" s="82" t="s">
        <v>1014</v>
      </c>
      <c r="O164" s="82"/>
      <c r="P164" s="82"/>
      <c r="Q164" s="12">
        <v>1</v>
      </c>
      <c r="R164" s="12" t="s">
        <v>1702</v>
      </c>
      <c r="S164" s="12" t="s">
        <v>1701</v>
      </c>
    </row>
    <row r="165" spans="1:19" s="83" customFormat="1" ht="21" customHeight="1" x14ac:dyDescent="0.15">
      <c r="A165" s="80">
        <v>30033</v>
      </c>
      <c r="B165" s="81" t="s">
        <v>81</v>
      </c>
      <c r="C165" s="18" t="s">
        <v>382</v>
      </c>
      <c r="D165" s="80" t="s">
        <v>1077</v>
      </c>
      <c r="E165" s="82" t="s">
        <v>418</v>
      </c>
      <c r="F165" s="82">
        <v>3</v>
      </c>
      <c r="G165" s="82">
        <v>-1</v>
      </c>
      <c r="H165" s="12">
        <v>0</v>
      </c>
      <c r="I165" s="12">
        <v>0</v>
      </c>
      <c r="J165" s="12">
        <v>0</v>
      </c>
      <c r="K165" s="12">
        <v>0</v>
      </c>
      <c r="L165" s="82"/>
      <c r="M165" s="12">
        <f t="shared" ref="M165" si="39">LEN(L165)</f>
        <v>0</v>
      </c>
      <c r="N165" s="82" t="s">
        <v>1055</v>
      </c>
      <c r="O165" s="131"/>
      <c r="P165" s="82"/>
      <c r="Q165" s="12">
        <v>1</v>
      </c>
      <c r="R165" s="12" t="s">
        <v>1702</v>
      </c>
      <c r="S165" s="12" t="s">
        <v>1701</v>
      </c>
    </row>
    <row r="166" spans="1:19" s="83" customFormat="1" ht="14" x14ac:dyDescent="0.15">
      <c r="A166" s="80">
        <v>30034</v>
      </c>
      <c r="B166" s="81" t="s">
        <v>81</v>
      </c>
      <c r="C166" s="18" t="s">
        <v>382</v>
      </c>
      <c r="D166" s="80" t="s">
        <v>1199</v>
      </c>
      <c r="E166" s="82" t="s">
        <v>418</v>
      </c>
      <c r="F166" s="82">
        <v>3</v>
      </c>
      <c r="G166" s="82">
        <v>-1</v>
      </c>
      <c r="H166" s="12">
        <v>0</v>
      </c>
      <c r="I166" s="12">
        <v>0</v>
      </c>
      <c r="J166" s="12">
        <v>0</v>
      </c>
      <c r="K166" s="12">
        <v>0</v>
      </c>
      <c r="L166" s="82"/>
      <c r="M166" s="12">
        <f t="shared" ref="M166" si="40">LEN(L166)</f>
        <v>0</v>
      </c>
      <c r="N166" s="82" t="s">
        <v>1093</v>
      </c>
      <c r="O166" s="131"/>
      <c r="P166" s="82"/>
      <c r="Q166" s="12">
        <v>1</v>
      </c>
      <c r="R166" s="12" t="s">
        <v>1702</v>
      </c>
      <c r="S166" s="12" t="s">
        <v>1701</v>
      </c>
    </row>
    <row r="167" spans="1:19" s="83" customFormat="1" ht="21" customHeight="1" x14ac:dyDescent="0.15">
      <c r="A167" s="80">
        <v>30035</v>
      </c>
      <c r="B167" s="81" t="s">
        <v>81</v>
      </c>
      <c r="C167" s="18" t="s">
        <v>382</v>
      </c>
      <c r="D167" s="80" t="s">
        <v>1204</v>
      </c>
      <c r="E167" s="82" t="s">
        <v>418</v>
      </c>
      <c r="F167" s="82">
        <v>3</v>
      </c>
      <c r="G167" s="82">
        <v>-1</v>
      </c>
      <c r="H167" s="12">
        <v>0</v>
      </c>
      <c r="I167" s="12">
        <v>0</v>
      </c>
      <c r="J167" s="12">
        <v>0</v>
      </c>
      <c r="K167" s="12">
        <v>0</v>
      </c>
      <c r="L167" s="82"/>
      <c r="M167" s="12">
        <f t="shared" ref="M167" si="41">LEN(L167)</f>
        <v>0</v>
      </c>
      <c r="N167" s="82" t="s">
        <v>1205</v>
      </c>
      <c r="O167" s="131"/>
      <c r="P167" s="82"/>
      <c r="Q167" s="12">
        <v>1</v>
      </c>
      <c r="R167" s="12" t="s">
        <v>1702</v>
      </c>
      <c r="S167" s="12" t="s">
        <v>1701</v>
      </c>
    </row>
    <row r="168" spans="1:19" s="83" customFormat="1" ht="21" customHeight="1" x14ac:dyDescent="0.15">
      <c r="A168" s="80">
        <v>30036</v>
      </c>
      <c r="B168" s="81" t="s">
        <v>81</v>
      </c>
      <c r="C168" s="18" t="s">
        <v>382</v>
      </c>
      <c r="D168" s="80" t="s">
        <v>1327</v>
      </c>
      <c r="E168" s="82" t="s">
        <v>418</v>
      </c>
      <c r="F168" s="82">
        <v>3</v>
      </c>
      <c r="G168" s="82">
        <v>-1</v>
      </c>
      <c r="H168" s="12">
        <v>0</v>
      </c>
      <c r="I168" s="12">
        <v>0</v>
      </c>
      <c r="J168" s="12">
        <v>0</v>
      </c>
      <c r="K168" s="12">
        <v>0</v>
      </c>
      <c r="L168" s="82"/>
      <c r="M168" s="12">
        <f t="shared" ref="M168" si="42">LEN(L168)</f>
        <v>0</v>
      </c>
      <c r="N168" s="82" t="s">
        <v>1716</v>
      </c>
      <c r="O168" s="131"/>
      <c r="P168" s="82"/>
      <c r="Q168" s="12">
        <v>1</v>
      </c>
      <c r="R168" s="12" t="s">
        <v>1702</v>
      </c>
      <c r="S168" s="12" t="s">
        <v>1701</v>
      </c>
    </row>
    <row r="169" spans="1:19" s="83" customFormat="1" ht="21" customHeight="1" x14ac:dyDescent="0.15">
      <c r="A169" s="80">
        <v>30037</v>
      </c>
      <c r="B169" s="81" t="s">
        <v>81</v>
      </c>
      <c r="C169" s="18" t="s">
        <v>382</v>
      </c>
      <c r="D169" s="80" t="s">
        <v>1393</v>
      </c>
      <c r="E169" s="82" t="s">
        <v>418</v>
      </c>
      <c r="F169" s="82">
        <v>3</v>
      </c>
      <c r="G169" s="82">
        <v>-1</v>
      </c>
      <c r="H169" s="12">
        <v>0</v>
      </c>
      <c r="I169" s="12">
        <v>0</v>
      </c>
      <c r="J169" s="12">
        <v>0</v>
      </c>
      <c r="K169" s="12">
        <v>0</v>
      </c>
      <c r="L169" s="82"/>
      <c r="M169" s="12">
        <f t="shared" ref="M169" si="43">LEN(L169)</f>
        <v>0</v>
      </c>
      <c r="N169" s="82" t="s">
        <v>1371</v>
      </c>
      <c r="O169" s="131"/>
      <c r="P169" s="82"/>
      <c r="Q169" s="12">
        <v>1</v>
      </c>
      <c r="R169" s="12" t="s">
        <v>1702</v>
      </c>
      <c r="S169" s="12" t="s">
        <v>1701</v>
      </c>
    </row>
    <row r="170" spans="1:19" s="83" customFormat="1" ht="21" customHeight="1" x14ac:dyDescent="0.15">
      <c r="A170" s="80">
        <v>30038</v>
      </c>
      <c r="B170" s="81" t="s">
        <v>81</v>
      </c>
      <c r="C170" s="18" t="s">
        <v>382</v>
      </c>
      <c r="D170" s="80" t="s">
        <v>1452</v>
      </c>
      <c r="E170" s="82" t="s">
        <v>418</v>
      </c>
      <c r="F170" s="82">
        <v>3</v>
      </c>
      <c r="G170" s="82">
        <v>-1</v>
      </c>
      <c r="H170" s="12">
        <v>0</v>
      </c>
      <c r="I170" s="12">
        <v>0</v>
      </c>
      <c r="J170" s="12">
        <v>0</v>
      </c>
      <c r="K170" s="12">
        <v>0</v>
      </c>
      <c r="L170" s="82"/>
      <c r="M170" s="12">
        <f t="shared" ref="M170" si="44">LEN(L170)</f>
        <v>0</v>
      </c>
      <c r="N170" s="82" t="s">
        <v>1442</v>
      </c>
      <c r="O170" s="131"/>
      <c r="P170" s="82"/>
      <c r="Q170" s="12">
        <v>1</v>
      </c>
      <c r="R170" s="12" t="s">
        <v>1702</v>
      </c>
      <c r="S170" s="12" t="s">
        <v>1701</v>
      </c>
    </row>
    <row r="171" spans="1:19" s="83" customFormat="1" ht="21" customHeight="1" x14ac:dyDescent="0.15">
      <c r="A171" s="80">
        <v>30039</v>
      </c>
      <c r="B171" s="81" t="s">
        <v>81</v>
      </c>
      <c r="C171" s="18" t="s">
        <v>382</v>
      </c>
      <c r="D171" s="80" t="s">
        <v>1517</v>
      </c>
      <c r="E171" s="82" t="s">
        <v>418</v>
      </c>
      <c r="F171" s="82">
        <v>3</v>
      </c>
      <c r="G171" s="82">
        <v>-1</v>
      </c>
      <c r="H171" s="12">
        <v>0</v>
      </c>
      <c r="I171" s="12">
        <v>0</v>
      </c>
      <c r="J171" s="12">
        <v>0</v>
      </c>
      <c r="K171" s="12">
        <v>0</v>
      </c>
      <c r="L171" s="82"/>
      <c r="M171" s="12">
        <f t="shared" ref="M171" si="45">LEN(L171)</f>
        <v>0</v>
      </c>
      <c r="N171" s="82" t="s">
        <v>1513</v>
      </c>
      <c r="O171" s="131"/>
      <c r="P171" s="82"/>
      <c r="Q171" s="12">
        <v>1</v>
      </c>
      <c r="R171" s="12" t="s">
        <v>1702</v>
      </c>
      <c r="S171" s="12" t="s">
        <v>1701</v>
      </c>
    </row>
    <row r="172" spans="1:19" s="83" customFormat="1" ht="21" customHeight="1" x14ac:dyDescent="0.15">
      <c r="A172" s="80">
        <v>30040</v>
      </c>
      <c r="B172" s="81" t="s">
        <v>81</v>
      </c>
      <c r="C172" s="18" t="s">
        <v>1540</v>
      </c>
      <c r="D172" s="80" t="s">
        <v>1600</v>
      </c>
      <c r="E172" s="82" t="s">
        <v>418</v>
      </c>
      <c r="F172" s="82">
        <v>3</v>
      </c>
      <c r="G172" s="82">
        <v>-1</v>
      </c>
      <c r="H172" s="12">
        <v>0</v>
      </c>
      <c r="I172" s="12">
        <v>0</v>
      </c>
      <c r="J172" s="12">
        <v>0</v>
      </c>
      <c r="K172" s="12">
        <v>0</v>
      </c>
      <c r="L172" s="82"/>
      <c r="M172" s="12">
        <f t="shared" ref="M172" si="46">LEN(L172)</f>
        <v>0</v>
      </c>
      <c r="N172" s="82" t="s">
        <v>1541</v>
      </c>
      <c r="O172" s="131"/>
      <c r="P172" s="82"/>
      <c r="Q172" s="12">
        <v>1</v>
      </c>
      <c r="R172" s="12" t="s">
        <v>1702</v>
      </c>
      <c r="S172" s="12" t="s">
        <v>1701</v>
      </c>
    </row>
    <row r="173" spans="1:19" s="83" customFormat="1" ht="21" customHeight="1" x14ac:dyDescent="0.15">
      <c r="A173" s="80">
        <v>30041</v>
      </c>
      <c r="B173" s="81" t="s">
        <v>81</v>
      </c>
      <c r="C173" s="18" t="s">
        <v>568</v>
      </c>
      <c r="D173" s="80" t="s">
        <v>1627</v>
      </c>
      <c r="E173" s="82" t="s">
        <v>1660</v>
      </c>
      <c r="F173" s="82">
        <v>3</v>
      </c>
      <c r="G173" s="82">
        <v>-1</v>
      </c>
      <c r="H173" s="12">
        <v>0</v>
      </c>
      <c r="I173" s="12">
        <v>0</v>
      </c>
      <c r="J173" s="12">
        <v>0</v>
      </c>
      <c r="K173" s="12">
        <v>0</v>
      </c>
      <c r="L173" s="82"/>
      <c r="M173" s="12">
        <f t="shared" ref="M173" si="47">LEN(L173)</f>
        <v>0</v>
      </c>
      <c r="N173" s="82" t="s">
        <v>1609</v>
      </c>
      <c r="O173" s="131"/>
      <c r="P173" s="82"/>
      <c r="Q173" s="12">
        <v>1</v>
      </c>
      <c r="R173" s="12" t="s">
        <v>1702</v>
      </c>
      <c r="S173" s="12" t="s">
        <v>1701</v>
      </c>
    </row>
    <row r="174" spans="1:19" s="83" customFormat="1" ht="21" customHeight="1" x14ac:dyDescent="0.15">
      <c r="A174" s="80">
        <v>30042</v>
      </c>
      <c r="B174" s="81" t="s">
        <v>81</v>
      </c>
      <c r="C174" s="18" t="s">
        <v>568</v>
      </c>
      <c r="D174" s="80" t="s">
        <v>1670</v>
      </c>
      <c r="E174" s="82" t="s">
        <v>1668</v>
      </c>
      <c r="F174" s="82">
        <v>3</v>
      </c>
      <c r="G174" s="82">
        <v>-1</v>
      </c>
      <c r="H174" s="12">
        <v>0</v>
      </c>
      <c r="I174" s="12">
        <v>0</v>
      </c>
      <c r="J174" s="12">
        <v>0</v>
      </c>
      <c r="K174" s="12">
        <v>0</v>
      </c>
      <c r="L174" s="82"/>
      <c r="M174" s="12">
        <f t="shared" ref="M174" si="48">LEN(L174)</f>
        <v>0</v>
      </c>
      <c r="N174" s="82" t="s">
        <v>1644</v>
      </c>
      <c r="O174" s="131"/>
      <c r="P174" s="82"/>
      <c r="Q174" s="12">
        <v>1</v>
      </c>
      <c r="R174" s="12" t="s">
        <v>1702</v>
      </c>
      <c r="S174" s="12" t="s">
        <v>1701</v>
      </c>
    </row>
    <row r="175" spans="1:19" s="83" customFormat="1" ht="21" customHeight="1" x14ac:dyDescent="0.15">
      <c r="A175" s="80">
        <v>30043</v>
      </c>
      <c r="B175" s="81" t="s">
        <v>81</v>
      </c>
      <c r="C175" s="18" t="s">
        <v>568</v>
      </c>
      <c r="D175" s="80" t="s">
        <v>1704</v>
      </c>
      <c r="E175" s="82" t="s">
        <v>1711</v>
      </c>
      <c r="F175" s="82">
        <v>3</v>
      </c>
      <c r="G175" s="82">
        <v>-1</v>
      </c>
      <c r="H175" s="12">
        <v>0</v>
      </c>
      <c r="I175" s="12">
        <v>0</v>
      </c>
      <c r="J175" s="12">
        <v>0</v>
      </c>
      <c r="K175" s="12">
        <v>0</v>
      </c>
      <c r="L175" s="82"/>
      <c r="M175" s="12">
        <f t="shared" ref="M175" si="49">LEN(L175)</f>
        <v>0</v>
      </c>
      <c r="N175" s="82" t="s">
        <v>1717</v>
      </c>
      <c r="O175" s="131"/>
      <c r="P175" s="82"/>
      <c r="Q175" s="12">
        <v>1</v>
      </c>
      <c r="R175" s="12" t="s">
        <v>1702</v>
      </c>
      <c r="S175" s="12" t="s">
        <v>1701</v>
      </c>
    </row>
    <row r="176" spans="1:19" s="83" customFormat="1" ht="21" customHeight="1" x14ac:dyDescent="0.15">
      <c r="A176" s="80">
        <v>30044</v>
      </c>
      <c r="B176" s="81" t="s">
        <v>81</v>
      </c>
      <c r="C176" s="18" t="s">
        <v>568</v>
      </c>
      <c r="D176" s="80" t="s">
        <v>1784</v>
      </c>
      <c r="E176" s="82" t="s">
        <v>1785</v>
      </c>
      <c r="F176" s="82">
        <v>3</v>
      </c>
      <c r="G176" s="82">
        <v>-1</v>
      </c>
      <c r="H176" s="12">
        <v>0</v>
      </c>
      <c r="I176" s="12">
        <v>0</v>
      </c>
      <c r="J176" s="12">
        <v>0</v>
      </c>
      <c r="K176" s="12">
        <v>0</v>
      </c>
      <c r="L176" s="82"/>
      <c r="M176" s="12">
        <f t="shared" ref="M176" si="50">LEN(L176)</f>
        <v>0</v>
      </c>
      <c r="N176" s="82" t="s">
        <v>1718</v>
      </c>
      <c r="O176" s="131"/>
      <c r="P176" s="82"/>
      <c r="Q176" s="12">
        <v>1</v>
      </c>
      <c r="R176" s="12" t="s">
        <v>1702</v>
      </c>
      <c r="S176" s="12" t="s">
        <v>169</v>
      </c>
    </row>
    <row r="177" spans="1:19" s="83" customFormat="1" ht="21" customHeight="1" x14ac:dyDescent="0.15">
      <c r="A177" s="80">
        <v>30045</v>
      </c>
      <c r="B177" s="81" t="s">
        <v>81</v>
      </c>
      <c r="C177" s="18" t="s">
        <v>568</v>
      </c>
      <c r="D177" s="80" t="s">
        <v>1843</v>
      </c>
      <c r="E177" s="82" t="s">
        <v>1494</v>
      </c>
      <c r="F177" s="82">
        <v>3</v>
      </c>
      <c r="G177" s="82">
        <v>-1</v>
      </c>
      <c r="H177" s="12">
        <v>0</v>
      </c>
      <c r="I177" s="12">
        <v>0</v>
      </c>
      <c r="J177" s="12">
        <v>0</v>
      </c>
      <c r="K177" s="12">
        <v>0</v>
      </c>
      <c r="L177" s="82"/>
      <c r="M177" s="12">
        <f t="shared" ref="M177" si="51">LEN(L177)</f>
        <v>0</v>
      </c>
      <c r="N177" s="82" t="s">
        <v>1792</v>
      </c>
      <c r="O177" s="131"/>
      <c r="P177" s="82"/>
      <c r="Q177" s="12">
        <v>1</v>
      </c>
      <c r="R177" s="12" t="s">
        <v>200</v>
      </c>
      <c r="S177" s="12" t="s">
        <v>169</v>
      </c>
    </row>
    <row r="178" spans="1:19" s="83" customFormat="1" ht="21" customHeight="1" x14ac:dyDescent="0.15">
      <c r="A178" s="80">
        <v>30046</v>
      </c>
      <c r="B178" s="81" t="s">
        <v>81</v>
      </c>
      <c r="C178" s="18" t="s">
        <v>382</v>
      </c>
      <c r="D178" s="80" t="s">
        <v>1963</v>
      </c>
      <c r="E178" s="82" t="s">
        <v>1494</v>
      </c>
      <c r="F178" s="249">
        <v>3</v>
      </c>
      <c r="G178" s="82">
        <v>-1</v>
      </c>
      <c r="H178" s="12">
        <v>0</v>
      </c>
      <c r="I178" s="12">
        <v>0</v>
      </c>
      <c r="J178" s="12">
        <v>0</v>
      </c>
      <c r="K178" s="12">
        <v>0</v>
      </c>
      <c r="L178" s="82"/>
      <c r="M178" s="12">
        <f t="shared" ref="M178" si="52">LEN(L178)</f>
        <v>0</v>
      </c>
      <c r="N178" s="82" t="s">
        <v>1853</v>
      </c>
      <c r="O178" s="131"/>
      <c r="P178" s="82"/>
      <c r="Q178" s="12">
        <v>1</v>
      </c>
      <c r="R178" s="12" t="s">
        <v>169</v>
      </c>
      <c r="S178" s="12" t="s">
        <v>169</v>
      </c>
    </row>
    <row r="179" spans="1:19" s="83" customFormat="1" ht="21" customHeight="1" x14ac:dyDescent="0.15">
      <c r="A179" s="80">
        <v>30047</v>
      </c>
      <c r="B179" s="81" t="s">
        <v>81</v>
      </c>
      <c r="C179" s="18" t="s">
        <v>382</v>
      </c>
      <c r="D179" s="80" t="s">
        <v>1985</v>
      </c>
      <c r="E179" s="82" t="s">
        <v>1075</v>
      </c>
      <c r="F179" s="249">
        <v>3</v>
      </c>
      <c r="G179" s="82">
        <v>-1</v>
      </c>
      <c r="H179" s="12">
        <v>0</v>
      </c>
      <c r="I179" s="12">
        <v>0</v>
      </c>
      <c r="J179" s="12">
        <v>0</v>
      </c>
      <c r="K179" s="12">
        <v>0</v>
      </c>
      <c r="L179" s="82"/>
      <c r="M179" s="12">
        <f t="shared" ref="M179" si="53">LEN(L179)</f>
        <v>0</v>
      </c>
      <c r="N179" s="82" t="s">
        <v>1942</v>
      </c>
      <c r="O179" s="131"/>
      <c r="P179" s="82"/>
      <c r="Q179" s="12">
        <v>1</v>
      </c>
      <c r="R179" s="12" t="s">
        <v>169</v>
      </c>
      <c r="S179" s="12" t="s">
        <v>169</v>
      </c>
    </row>
    <row r="180" spans="1:19" s="83" customFormat="1" ht="21" customHeight="1" x14ac:dyDescent="0.15">
      <c r="A180" s="80">
        <v>30048</v>
      </c>
      <c r="B180" s="81" t="s">
        <v>81</v>
      </c>
      <c r="C180" s="18" t="s">
        <v>382</v>
      </c>
      <c r="D180" s="80" t="s">
        <v>2052</v>
      </c>
      <c r="E180" s="82" t="s">
        <v>1075</v>
      </c>
      <c r="F180" s="249">
        <v>3</v>
      </c>
      <c r="G180" s="82">
        <v>-1</v>
      </c>
      <c r="H180" s="12">
        <v>0</v>
      </c>
      <c r="I180" s="12">
        <v>0</v>
      </c>
      <c r="J180" s="12">
        <v>0</v>
      </c>
      <c r="K180" s="12">
        <v>0</v>
      </c>
      <c r="L180" s="82"/>
      <c r="M180" s="12">
        <f t="shared" ref="M180" si="54">LEN(L180)</f>
        <v>0</v>
      </c>
      <c r="N180" s="82" t="s">
        <v>2027</v>
      </c>
      <c r="O180" s="131"/>
      <c r="P180" s="82"/>
      <c r="Q180" s="12">
        <v>1</v>
      </c>
      <c r="R180" s="12" t="s">
        <v>169</v>
      </c>
      <c r="S180" s="12" t="s">
        <v>169</v>
      </c>
    </row>
    <row r="181" spans="1:19" s="83" customFormat="1" ht="21" customHeight="1" x14ac:dyDescent="0.15">
      <c r="A181" s="80">
        <v>30049</v>
      </c>
      <c r="B181" s="81" t="s">
        <v>81</v>
      </c>
      <c r="C181" s="18" t="s">
        <v>382</v>
      </c>
      <c r="D181" s="80" t="s">
        <v>2262</v>
      </c>
      <c r="E181" s="82" t="s">
        <v>1075</v>
      </c>
      <c r="F181" s="249">
        <v>3</v>
      </c>
      <c r="G181" s="82">
        <v>-1</v>
      </c>
      <c r="H181" s="12">
        <v>0</v>
      </c>
      <c r="I181" s="12">
        <v>0</v>
      </c>
      <c r="J181" s="12">
        <v>0</v>
      </c>
      <c r="K181" s="12">
        <v>0</v>
      </c>
      <c r="L181" s="82"/>
      <c r="M181" s="12">
        <f t="shared" ref="M181" si="55">LEN(L181)</f>
        <v>0</v>
      </c>
      <c r="N181" s="82" t="s">
        <v>2224</v>
      </c>
      <c r="O181" s="131"/>
      <c r="P181" s="82"/>
      <c r="Q181" s="12">
        <v>1</v>
      </c>
      <c r="R181" s="12" t="s">
        <v>169</v>
      </c>
      <c r="S181" s="12" t="s">
        <v>169</v>
      </c>
    </row>
    <row r="182" spans="1:19" s="83" customFormat="1" ht="21" customHeight="1" x14ac:dyDescent="0.15">
      <c r="A182" s="80">
        <v>30050</v>
      </c>
      <c r="B182" s="81" t="s">
        <v>81</v>
      </c>
      <c r="C182" s="18" t="s">
        <v>382</v>
      </c>
      <c r="D182" s="80" t="s">
        <v>2323</v>
      </c>
      <c r="E182" s="82" t="s">
        <v>1075</v>
      </c>
      <c r="F182" s="249">
        <v>3</v>
      </c>
      <c r="G182" s="82">
        <v>-1</v>
      </c>
      <c r="H182" s="12">
        <v>0</v>
      </c>
      <c r="I182" s="12">
        <v>0</v>
      </c>
      <c r="J182" s="12">
        <v>0</v>
      </c>
      <c r="K182" s="12">
        <v>0</v>
      </c>
      <c r="L182" s="82"/>
      <c r="M182" s="12">
        <f t="shared" ref="M182" si="56">LEN(L182)</f>
        <v>0</v>
      </c>
      <c r="N182" s="82" t="s">
        <v>2306</v>
      </c>
      <c r="O182" s="131"/>
      <c r="P182" s="82"/>
      <c r="Q182" s="12">
        <v>1</v>
      </c>
      <c r="R182" s="12" t="s">
        <v>169</v>
      </c>
      <c r="S182" s="12" t="s">
        <v>169</v>
      </c>
    </row>
    <row r="183" spans="1:19" s="83" customFormat="1" ht="21" customHeight="1" x14ac:dyDescent="0.15">
      <c r="A183" s="80">
        <v>38101</v>
      </c>
      <c r="B183" s="81" t="s">
        <v>81</v>
      </c>
      <c r="C183" s="18" t="s">
        <v>382</v>
      </c>
      <c r="D183" s="80" t="s">
        <v>2350</v>
      </c>
      <c r="E183" s="82" t="s">
        <v>1075</v>
      </c>
      <c r="F183" s="249">
        <v>1</v>
      </c>
      <c r="G183" s="82">
        <v>-1</v>
      </c>
      <c r="H183" s="12">
        <v>0</v>
      </c>
      <c r="I183" s="12">
        <v>0</v>
      </c>
      <c r="J183" s="12">
        <v>0</v>
      </c>
      <c r="K183" s="12">
        <v>0</v>
      </c>
      <c r="L183" s="82"/>
      <c r="M183" s="12">
        <f t="shared" ref="M183" si="57">LEN(L183)</f>
        <v>0</v>
      </c>
      <c r="N183" s="82" t="s">
        <v>2351</v>
      </c>
      <c r="O183" s="131"/>
      <c r="P183" s="82"/>
      <c r="Q183" s="12">
        <v>1</v>
      </c>
      <c r="R183" s="12" t="s">
        <v>169</v>
      </c>
      <c r="S183" s="12" t="s">
        <v>169</v>
      </c>
    </row>
    <row r="184" spans="1:19" s="83" customFormat="1" ht="21" customHeight="1" x14ac:dyDescent="0.15">
      <c r="A184" s="80">
        <v>39001</v>
      </c>
      <c r="B184" s="81" t="s">
        <v>81</v>
      </c>
      <c r="C184" s="18" t="s">
        <v>382</v>
      </c>
      <c r="D184" s="80" t="s">
        <v>850</v>
      </c>
      <c r="E184" s="82" t="s">
        <v>914</v>
      </c>
      <c r="F184" s="82">
        <v>3</v>
      </c>
      <c r="G184" s="82">
        <v>-1</v>
      </c>
      <c r="H184" s="12">
        <v>0</v>
      </c>
      <c r="I184" s="12">
        <v>0</v>
      </c>
      <c r="J184" s="12">
        <v>0</v>
      </c>
      <c r="K184" s="12">
        <v>0</v>
      </c>
      <c r="L184" s="82"/>
      <c r="M184" s="12">
        <f t="shared" ref="M184:M186" si="58">LEN(L184)</f>
        <v>0</v>
      </c>
      <c r="N184" s="82" t="s">
        <v>851</v>
      </c>
      <c r="O184" s="131"/>
      <c r="P184" s="82"/>
      <c r="Q184" s="12">
        <v>1</v>
      </c>
      <c r="R184" s="12" t="s">
        <v>1702</v>
      </c>
      <c r="S184" s="12" t="s">
        <v>1701</v>
      </c>
    </row>
    <row r="185" spans="1:19" s="83" customFormat="1" ht="21" customHeight="1" x14ac:dyDescent="0.15">
      <c r="A185" s="80">
        <v>39002</v>
      </c>
      <c r="B185" s="81" t="s">
        <v>81</v>
      </c>
      <c r="C185" s="18" t="s">
        <v>382</v>
      </c>
      <c r="D185" s="80" t="s">
        <v>1129</v>
      </c>
      <c r="E185" s="80" t="s">
        <v>1118</v>
      </c>
      <c r="F185" s="82">
        <v>3</v>
      </c>
      <c r="G185" s="82">
        <v>-1</v>
      </c>
      <c r="H185" s="12">
        <v>0</v>
      </c>
      <c r="I185" s="12">
        <v>0</v>
      </c>
      <c r="J185" s="12">
        <v>0</v>
      </c>
      <c r="K185" s="12">
        <v>0</v>
      </c>
      <c r="L185" s="82"/>
      <c r="M185" s="12">
        <f t="shared" si="58"/>
        <v>0</v>
      </c>
      <c r="N185" s="82" t="s">
        <v>851</v>
      </c>
      <c r="O185" s="131"/>
      <c r="P185" s="82"/>
      <c r="Q185" s="12">
        <v>1</v>
      </c>
      <c r="R185" s="12" t="s">
        <v>1702</v>
      </c>
      <c r="S185" s="12" t="s">
        <v>1701</v>
      </c>
    </row>
    <row r="186" spans="1:19" s="83" customFormat="1" ht="21" customHeight="1" x14ac:dyDescent="0.15">
      <c r="A186" s="80">
        <v>39003</v>
      </c>
      <c r="B186" s="81" t="s">
        <v>81</v>
      </c>
      <c r="C186" s="18" t="s">
        <v>382</v>
      </c>
      <c r="D186" s="80" t="s">
        <v>1099</v>
      </c>
      <c r="E186" s="80" t="s">
        <v>1118</v>
      </c>
      <c r="F186" s="82">
        <v>3</v>
      </c>
      <c r="G186" s="82">
        <v>-1</v>
      </c>
      <c r="H186" s="12">
        <v>0</v>
      </c>
      <c r="I186" s="12">
        <v>0</v>
      </c>
      <c r="J186" s="12">
        <v>0</v>
      </c>
      <c r="K186" s="12">
        <v>0</v>
      </c>
      <c r="L186" s="82"/>
      <c r="M186" s="12">
        <f t="shared" si="58"/>
        <v>0</v>
      </c>
      <c r="N186" s="82" t="s">
        <v>851</v>
      </c>
      <c r="O186" s="131"/>
      <c r="P186" s="82"/>
      <c r="Q186" s="12">
        <v>1</v>
      </c>
      <c r="R186" s="12" t="s">
        <v>1702</v>
      </c>
      <c r="S186" s="12" t="s">
        <v>1701</v>
      </c>
    </row>
    <row r="187" spans="1:19" s="83" customFormat="1" ht="21" customHeight="1" x14ac:dyDescent="0.15">
      <c r="A187" s="80">
        <v>39004</v>
      </c>
      <c r="B187" s="81" t="s">
        <v>81</v>
      </c>
      <c r="C187" s="18" t="s">
        <v>382</v>
      </c>
      <c r="D187" s="80" t="s">
        <v>1228</v>
      </c>
      <c r="E187" s="80" t="s">
        <v>1188</v>
      </c>
      <c r="F187" s="82">
        <v>3</v>
      </c>
      <c r="G187" s="82">
        <v>-1</v>
      </c>
      <c r="H187" s="12">
        <v>0</v>
      </c>
      <c r="I187" s="12">
        <v>0</v>
      </c>
      <c r="J187" s="12">
        <v>0</v>
      </c>
      <c r="K187" s="12">
        <v>0</v>
      </c>
      <c r="L187" s="82"/>
      <c r="M187" s="12">
        <f t="shared" ref="M187" si="59">LEN(L187)</f>
        <v>0</v>
      </c>
      <c r="N187" s="82" t="s">
        <v>851</v>
      </c>
      <c r="O187" s="131"/>
      <c r="P187" s="82"/>
      <c r="Q187" s="12">
        <v>1</v>
      </c>
      <c r="R187" s="12" t="s">
        <v>1702</v>
      </c>
      <c r="S187" s="12" t="s">
        <v>1701</v>
      </c>
    </row>
    <row r="188" spans="1:19" s="83" customFormat="1" ht="21" customHeight="1" x14ac:dyDescent="0.15">
      <c r="A188" s="80">
        <v>39005</v>
      </c>
      <c r="B188" s="81" t="s">
        <v>81</v>
      </c>
      <c r="C188" s="18" t="s">
        <v>382</v>
      </c>
      <c r="D188" s="80" t="s">
        <v>1306</v>
      </c>
      <c r="E188" s="80" t="s">
        <v>851</v>
      </c>
      <c r="F188" s="82">
        <v>1</v>
      </c>
      <c r="G188" s="82">
        <v>-1</v>
      </c>
      <c r="H188" s="12">
        <v>0</v>
      </c>
      <c r="I188" s="12">
        <v>0</v>
      </c>
      <c r="J188" s="12">
        <v>0</v>
      </c>
      <c r="K188" s="12">
        <v>0</v>
      </c>
      <c r="L188" s="82"/>
      <c r="M188" s="12">
        <f t="shared" ref="M188:M190" si="60">LEN(L188)</f>
        <v>0</v>
      </c>
      <c r="N188" s="82" t="s">
        <v>851</v>
      </c>
      <c r="O188" s="131"/>
      <c r="P188" s="82"/>
      <c r="Q188" s="12">
        <v>1</v>
      </c>
      <c r="R188" s="12" t="s">
        <v>1702</v>
      </c>
      <c r="S188" s="12" t="s">
        <v>1701</v>
      </c>
    </row>
    <row r="189" spans="1:19" s="83" customFormat="1" ht="21" customHeight="1" x14ac:dyDescent="0.15">
      <c r="A189" s="80">
        <v>39006</v>
      </c>
      <c r="B189" s="81" t="s">
        <v>81</v>
      </c>
      <c r="C189" s="18" t="s">
        <v>382</v>
      </c>
      <c r="D189" s="80" t="s">
        <v>1497</v>
      </c>
      <c r="E189" s="80" t="s">
        <v>1188</v>
      </c>
      <c r="F189" s="82">
        <v>3</v>
      </c>
      <c r="G189" s="82">
        <v>-1</v>
      </c>
      <c r="H189" s="12">
        <v>0</v>
      </c>
      <c r="I189" s="12">
        <v>0</v>
      </c>
      <c r="J189" s="12">
        <v>0</v>
      </c>
      <c r="K189" s="12">
        <v>0</v>
      </c>
      <c r="L189" s="82"/>
      <c r="M189" s="12">
        <f t="shared" si="60"/>
        <v>0</v>
      </c>
      <c r="N189" s="82" t="s">
        <v>851</v>
      </c>
      <c r="O189" s="131"/>
      <c r="P189" s="82" t="s">
        <v>1487</v>
      </c>
      <c r="Q189" s="12">
        <v>1</v>
      </c>
      <c r="R189" s="12" t="s">
        <v>1702</v>
      </c>
      <c r="S189" s="12" t="s">
        <v>1701</v>
      </c>
    </row>
    <row r="190" spans="1:19" s="83" customFormat="1" ht="21" customHeight="1" x14ac:dyDescent="0.15">
      <c r="A190" s="80">
        <v>39007</v>
      </c>
      <c r="B190" s="81" t="s">
        <v>81</v>
      </c>
      <c r="C190" s="18" t="s">
        <v>382</v>
      </c>
      <c r="D190" s="80" t="s">
        <v>1526</v>
      </c>
      <c r="E190" s="80" t="s">
        <v>1188</v>
      </c>
      <c r="F190" s="82">
        <v>1</v>
      </c>
      <c r="G190" s="82">
        <v>-1</v>
      </c>
      <c r="H190" s="12">
        <v>0</v>
      </c>
      <c r="I190" s="12">
        <v>0</v>
      </c>
      <c r="J190" s="12">
        <v>0</v>
      </c>
      <c r="K190" s="12">
        <v>0</v>
      </c>
      <c r="L190" s="82"/>
      <c r="M190" s="12">
        <f t="shared" si="60"/>
        <v>0</v>
      </c>
      <c r="N190" s="82" t="s">
        <v>851</v>
      </c>
      <c r="O190" s="131"/>
      <c r="P190" s="82"/>
      <c r="Q190" s="12">
        <v>1</v>
      </c>
      <c r="R190" s="12" t="s">
        <v>1702</v>
      </c>
      <c r="S190" s="12" t="s">
        <v>1701</v>
      </c>
    </row>
    <row r="191" spans="1:19" s="83" customFormat="1" ht="21" customHeight="1" x14ac:dyDescent="0.15">
      <c r="A191" s="282">
        <v>39008</v>
      </c>
      <c r="B191" s="81" t="s">
        <v>81</v>
      </c>
      <c r="C191" s="18" t="s">
        <v>382</v>
      </c>
      <c r="D191" s="80" t="s">
        <v>2003</v>
      </c>
      <c r="E191" s="80" t="s">
        <v>2042</v>
      </c>
      <c r="F191" s="82">
        <v>3</v>
      </c>
      <c r="G191" s="82">
        <v>-1</v>
      </c>
      <c r="H191" s="12">
        <v>0</v>
      </c>
      <c r="I191" s="12">
        <v>0</v>
      </c>
      <c r="J191" s="12">
        <v>0</v>
      </c>
      <c r="K191" s="12">
        <v>0</v>
      </c>
      <c r="L191" s="82"/>
      <c r="M191" s="12">
        <f t="shared" ref="M191" si="61">LEN(L191)</f>
        <v>0</v>
      </c>
      <c r="N191" s="82" t="s">
        <v>1804</v>
      </c>
      <c r="O191" s="131"/>
      <c r="P191" s="82" t="s">
        <v>1995</v>
      </c>
      <c r="Q191" s="12">
        <v>1</v>
      </c>
      <c r="R191" s="267" t="s">
        <v>2051</v>
      </c>
      <c r="S191" s="12" t="s">
        <v>469</v>
      </c>
    </row>
    <row r="192" spans="1:19" s="83" customFormat="1" ht="21" customHeight="1" x14ac:dyDescent="0.15">
      <c r="A192" s="282">
        <v>39009</v>
      </c>
      <c r="B192" s="81" t="s">
        <v>81</v>
      </c>
      <c r="C192" s="18" t="s">
        <v>382</v>
      </c>
      <c r="D192" s="80" t="s">
        <v>2002</v>
      </c>
      <c r="E192" s="80" t="s">
        <v>2043</v>
      </c>
      <c r="F192" s="82">
        <v>3</v>
      </c>
      <c r="G192" s="82">
        <v>-1</v>
      </c>
      <c r="H192" s="12">
        <v>0</v>
      </c>
      <c r="I192" s="12">
        <v>0</v>
      </c>
      <c r="J192" s="12">
        <v>0</v>
      </c>
      <c r="K192" s="12">
        <v>0</v>
      </c>
      <c r="L192" s="82"/>
      <c r="M192" s="12">
        <f t="shared" ref="M192:M194" si="62">LEN(L192)</f>
        <v>0</v>
      </c>
      <c r="N192" s="82" t="s">
        <v>851</v>
      </c>
      <c r="O192" s="131"/>
      <c r="P192" s="82" t="s">
        <v>1996</v>
      </c>
      <c r="Q192" s="12">
        <v>1</v>
      </c>
      <c r="R192" s="267" t="s">
        <v>2051</v>
      </c>
      <c r="S192" s="12" t="s">
        <v>169</v>
      </c>
    </row>
    <row r="193" spans="1:19" s="83" customFormat="1" ht="21" customHeight="1" x14ac:dyDescent="0.15">
      <c r="A193" s="80">
        <v>39010</v>
      </c>
      <c r="B193" s="81" t="s">
        <v>81</v>
      </c>
      <c r="C193" s="18" t="s">
        <v>382</v>
      </c>
      <c r="D193" s="80" t="s">
        <v>1129</v>
      </c>
      <c r="E193" s="80" t="s">
        <v>1118</v>
      </c>
      <c r="F193" s="82">
        <v>3</v>
      </c>
      <c r="G193" s="82">
        <v>-1</v>
      </c>
      <c r="H193" s="12">
        <v>0</v>
      </c>
      <c r="I193" s="12">
        <v>0</v>
      </c>
      <c r="J193" s="12">
        <v>0</v>
      </c>
      <c r="K193" s="12">
        <v>0</v>
      </c>
      <c r="L193" s="82"/>
      <c r="M193" s="12">
        <f t="shared" si="62"/>
        <v>0</v>
      </c>
      <c r="N193" s="82" t="s">
        <v>1919</v>
      </c>
      <c r="O193" s="131"/>
      <c r="P193" s="82"/>
      <c r="Q193" s="12">
        <v>1</v>
      </c>
      <c r="R193" s="12" t="s">
        <v>1702</v>
      </c>
      <c r="S193" s="12" t="s">
        <v>178</v>
      </c>
    </row>
    <row r="194" spans="1:19" s="83" customFormat="1" ht="21" customHeight="1" x14ac:dyDescent="0.15">
      <c r="A194" s="80">
        <v>39011</v>
      </c>
      <c r="B194" s="81" t="s">
        <v>81</v>
      </c>
      <c r="C194" s="18" t="s">
        <v>382</v>
      </c>
      <c r="D194" s="80" t="s">
        <v>1099</v>
      </c>
      <c r="E194" s="80" t="s">
        <v>1118</v>
      </c>
      <c r="F194" s="82">
        <v>3</v>
      </c>
      <c r="G194" s="82">
        <v>-1</v>
      </c>
      <c r="H194" s="12">
        <v>0</v>
      </c>
      <c r="I194" s="12">
        <v>0</v>
      </c>
      <c r="J194" s="12">
        <v>0</v>
      </c>
      <c r="K194" s="12">
        <v>0</v>
      </c>
      <c r="L194" s="82"/>
      <c r="M194" s="12">
        <f t="shared" si="62"/>
        <v>0</v>
      </c>
      <c r="N194" s="82" t="s">
        <v>1919</v>
      </c>
      <c r="O194" s="131"/>
      <c r="P194" s="82"/>
      <c r="Q194" s="12">
        <v>1</v>
      </c>
      <c r="R194" s="12" t="s">
        <v>1702</v>
      </c>
      <c r="S194" s="12" t="s">
        <v>178</v>
      </c>
    </row>
    <row r="195" spans="1:19" s="83" customFormat="1" ht="21" customHeight="1" x14ac:dyDescent="0.15">
      <c r="A195" s="282">
        <v>39012</v>
      </c>
      <c r="B195" s="81" t="s">
        <v>81</v>
      </c>
      <c r="C195" s="18" t="s">
        <v>382</v>
      </c>
      <c r="D195" s="80" t="s">
        <v>2183</v>
      </c>
      <c r="E195" s="80" t="s">
        <v>2191</v>
      </c>
      <c r="F195" s="82">
        <v>3</v>
      </c>
      <c r="G195" s="82">
        <v>-1</v>
      </c>
      <c r="H195" s="12">
        <v>0</v>
      </c>
      <c r="I195" s="12">
        <v>0</v>
      </c>
      <c r="J195" s="12">
        <v>0</v>
      </c>
      <c r="K195" s="12">
        <v>0</v>
      </c>
      <c r="L195" s="82"/>
      <c r="M195" s="12">
        <f t="shared" ref="M195" si="63">LEN(L195)</f>
        <v>0</v>
      </c>
      <c r="N195" s="82" t="s">
        <v>2071</v>
      </c>
      <c r="O195" s="131"/>
      <c r="P195" s="82" t="s">
        <v>2193</v>
      </c>
      <c r="Q195" s="12">
        <v>1</v>
      </c>
      <c r="R195" s="12" t="s">
        <v>169</v>
      </c>
      <c r="S195" s="12" t="s">
        <v>169</v>
      </c>
    </row>
    <row r="196" spans="1:19" s="83" customFormat="1" ht="21" customHeight="1" x14ac:dyDescent="0.15">
      <c r="A196" s="80">
        <v>39013</v>
      </c>
      <c r="B196" s="81" t="s">
        <v>81</v>
      </c>
      <c r="C196" s="18" t="s">
        <v>382</v>
      </c>
      <c r="D196" s="282" t="s">
        <v>2269</v>
      </c>
      <c r="E196" s="80" t="s">
        <v>851</v>
      </c>
      <c r="F196" s="82">
        <v>1</v>
      </c>
      <c r="G196" s="82">
        <v>-1</v>
      </c>
      <c r="H196" s="12">
        <v>0</v>
      </c>
      <c r="I196" s="12">
        <v>0</v>
      </c>
      <c r="J196" s="12">
        <v>0</v>
      </c>
      <c r="K196" s="12">
        <v>0</v>
      </c>
      <c r="L196" s="82"/>
      <c r="M196" s="12">
        <f t="shared" ref="M196" si="64">LEN(L196)</f>
        <v>0</v>
      </c>
      <c r="N196" s="82" t="s">
        <v>851</v>
      </c>
      <c r="O196" s="131"/>
      <c r="P196" s="82" t="s">
        <v>1210</v>
      </c>
      <c r="Q196" s="12">
        <v>1</v>
      </c>
      <c r="R196" s="12" t="s">
        <v>169</v>
      </c>
      <c r="S196" s="12" t="s">
        <v>169</v>
      </c>
    </row>
    <row r="197" spans="1:19" s="83" customFormat="1" ht="21" customHeight="1" x14ac:dyDescent="0.15">
      <c r="A197" s="325">
        <v>39014</v>
      </c>
      <c r="B197" s="81" t="s">
        <v>81</v>
      </c>
      <c r="C197" s="18" t="s">
        <v>382</v>
      </c>
      <c r="D197" s="80" t="s">
        <v>2285</v>
      </c>
      <c r="E197" s="80" t="s">
        <v>851</v>
      </c>
      <c r="F197" s="82">
        <v>1</v>
      </c>
      <c r="G197" s="82">
        <v>-1</v>
      </c>
      <c r="H197" s="12">
        <v>0</v>
      </c>
      <c r="I197" s="12">
        <v>0</v>
      </c>
      <c r="J197" s="12">
        <v>0</v>
      </c>
      <c r="K197" s="12">
        <v>0</v>
      </c>
      <c r="L197" s="82"/>
      <c r="M197" s="12">
        <f t="shared" ref="M197" si="65">LEN(L197)</f>
        <v>0</v>
      </c>
      <c r="N197" s="82" t="s">
        <v>851</v>
      </c>
      <c r="O197" s="131"/>
      <c r="P197" s="82" t="s">
        <v>1210</v>
      </c>
      <c r="Q197" s="12">
        <v>1</v>
      </c>
      <c r="R197" s="12" t="s">
        <v>169</v>
      </c>
      <c r="S197" s="12" t="s">
        <v>169</v>
      </c>
    </row>
    <row r="198" spans="1:19" s="83" customFormat="1" ht="21" customHeight="1" x14ac:dyDescent="0.15">
      <c r="A198" s="80">
        <v>40001</v>
      </c>
      <c r="B198" s="81" t="s">
        <v>81</v>
      </c>
      <c r="C198" s="18" t="s">
        <v>568</v>
      </c>
      <c r="D198" s="82" t="s">
        <v>241</v>
      </c>
      <c r="E198" s="82" t="s">
        <v>419</v>
      </c>
      <c r="F198" s="207">
        <v>1</v>
      </c>
      <c r="G198" s="82">
        <v>-1</v>
      </c>
      <c r="H198" s="12">
        <v>0</v>
      </c>
      <c r="I198" s="12">
        <v>0</v>
      </c>
      <c r="J198" s="12">
        <v>0</v>
      </c>
      <c r="K198" s="12">
        <v>0</v>
      </c>
      <c r="L198" s="82"/>
      <c r="M198" s="12">
        <f t="shared" si="3"/>
        <v>0</v>
      </c>
      <c r="N198" s="82" t="s">
        <v>242</v>
      </c>
      <c r="O198" s="82"/>
      <c r="P198" s="82"/>
      <c r="Q198" s="12">
        <v>1</v>
      </c>
      <c r="R198" s="12" t="s">
        <v>1702</v>
      </c>
      <c r="S198" s="12" t="s">
        <v>1701</v>
      </c>
    </row>
    <row r="199" spans="1:19" ht="21" customHeight="1" x14ac:dyDescent="0.15">
      <c r="A199" s="31">
        <v>40002</v>
      </c>
      <c r="B199" s="32" t="s">
        <v>81</v>
      </c>
      <c r="C199" s="18" t="s">
        <v>568</v>
      </c>
      <c r="D199" s="23" t="s">
        <v>243</v>
      </c>
      <c r="E199" s="23" t="s">
        <v>419</v>
      </c>
      <c r="F199" s="207">
        <v>1</v>
      </c>
      <c r="G199" s="23">
        <v>-1</v>
      </c>
      <c r="H199" s="12">
        <v>0</v>
      </c>
      <c r="I199" s="12">
        <v>0</v>
      </c>
      <c r="J199" s="12">
        <v>0</v>
      </c>
      <c r="K199" s="12">
        <v>0</v>
      </c>
      <c r="L199" s="23"/>
      <c r="M199" s="12">
        <f t="shared" si="3"/>
        <v>0</v>
      </c>
      <c r="N199" s="23" t="s">
        <v>244</v>
      </c>
      <c r="O199" s="23"/>
      <c r="P199" s="82"/>
      <c r="Q199" s="12">
        <v>1</v>
      </c>
      <c r="R199" s="12" t="s">
        <v>1702</v>
      </c>
      <c r="S199" s="12" t="s">
        <v>1701</v>
      </c>
    </row>
    <row r="200" spans="1:19" ht="21" customHeight="1" x14ac:dyDescent="0.15">
      <c r="A200" s="168">
        <v>40003</v>
      </c>
      <c r="B200" s="169" t="s">
        <v>81</v>
      </c>
      <c r="C200" s="32" t="s">
        <v>568</v>
      </c>
      <c r="D200" s="170" t="s">
        <v>245</v>
      </c>
      <c r="E200" s="170" t="s">
        <v>643</v>
      </c>
      <c r="F200" s="207">
        <v>1</v>
      </c>
      <c r="G200" s="170">
        <v>-1</v>
      </c>
      <c r="H200" s="23">
        <v>0</v>
      </c>
      <c r="I200" s="23">
        <v>0</v>
      </c>
      <c r="J200" s="23">
        <v>0</v>
      </c>
      <c r="K200" s="23">
        <v>0</v>
      </c>
      <c r="L200" s="170"/>
      <c r="M200" s="23">
        <f t="shared" si="3"/>
        <v>0</v>
      </c>
      <c r="N200" s="170" t="s">
        <v>246</v>
      </c>
      <c r="O200" s="170"/>
      <c r="P200" s="82"/>
      <c r="Q200" s="12">
        <v>1</v>
      </c>
      <c r="R200" s="12" t="s">
        <v>1702</v>
      </c>
      <c r="S200" s="12" t="s">
        <v>1701</v>
      </c>
    </row>
    <row r="201" spans="1:19" ht="21" customHeight="1" x14ac:dyDescent="0.15">
      <c r="A201" s="168">
        <v>40004</v>
      </c>
      <c r="B201" s="169" t="s">
        <v>81</v>
      </c>
      <c r="C201" s="32" t="s">
        <v>568</v>
      </c>
      <c r="D201" s="170" t="s">
        <v>599</v>
      </c>
      <c r="E201" s="170" t="s">
        <v>643</v>
      </c>
      <c r="F201" s="207">
        <v>1</v>
      </c>
      <c r="G201" s="170">
        <v>-1</v>
      </c>
      <c r="H201" s="23">
        <v>0</v>
      </c>
      <c r="I201" s="23">
        <v>0</v>
      </c>
      <c r="J201" s="23">
        <v>0</v>
      </c>
      <c r="K201" s="23">
        <v>0</v>
      </c>
      <c r="L201" s="170"/>
      <c r="M201" s="23">
        <f t="shared" si="3"/>
        <v>0</v>
      </c>
      <c r="N201" s="170" t="s">
        <v>572</v>
      </c>
      <c r="O201" s="170"/>
      <c r="P201" s="82"/>
      <c r="Q201" s="12">
        <v>1</v>
      </c>
      <c r="R201" s="12" t="s">
        <v>1702</v>
      </c>
      <c r="S201" s="12" t="s">
        <v>1701</v>
      </c>
    </row>
    <row r="202" spans="1:19" ht="21" customHeight="1" x14ac:dyDescent="0.15">
      <c r="A202" s="168">
        <v>40005</v>
      </c>
      <c r="B202" s="169" t="s">
        <v>81</v>
      </c>
      <c r="C202" s="32" t="s">
        <v>568</v>
      </c>
      <c r="D202" s="170" t="s">
        <v>635</v>
      </c>
      <c r="E202" s="170" t="s">
        <v>643</v>
      </c>
      <c r="F202" s="207">
        <v>1</v>
      </c>
      <c r="G202" s="170">
        <v>-1</v>
      </c>
      <c r="H202" s="23">
        <v>0</v>
      </c>
      <c r="I202" s="23">
        <v>0</v>
      </c>
      <c r="J202" s="23">
        <v>0</v>
      </c>
      <c r="K202" s="23">
        <v>0</v>
      </c>
      <c r="L202" s="170"/>
      <c r="M202" s="23">
        <f t="shared" ref="M202" si="66">LEN(L202)</f>
        <v>0</v>
      </c>
      <c r="N202" s="170" t="s">
        <v>636</v>
      </c>
      <c r="O202" s="170"/>
      <c r="P202" s="82"/>
      <c r="Q202" s="12">
        <v>1</v>
      </c>
      <c r="R202" s="12" t="s">
        <v>1702</v>
      </c>
      <c r="S202" s="12" t="s">
        <v>1701</v>
      </c>
    </row>
    <row r="203" spans="1:19" ht="21" customHeight="1" x14ac:dyDescent="0.15">
      <c r="A203" s="168">
        <v>40006</v>
      </c>
      <c r="B203" s="169" t="s">
        <v>81</v>
      </c>
      <c r="C203" s="32" t="s">
        <v>568</v>
      </c>
      <c r="D203" s="170" t="s">
        <v>789</v>
      </c>
      <c r="E203" s="170" t="s">
        <v>643</v>
      </c>
      <c r="F203" s="207">
        <v>1</v>
      </c>
      <c r="G203" s="170">
        <v>-1</v>
      </c>
      <c r="H203" s="23">
        <v>0</v>
      </c>
      <c r="I203" s="23">
        <v>0</v>
      </c>
      <c r="J203" s="23">
        <v>0</v>
      </c>
      <c r="K203" s="23">
        <v>0</v>
      </c>
      <c r="L203" s="170"/>
      <c r="M203" s="23">
        <f t="shared" ref="M203" si="67">LEN(L203)</f>
        <v>0</v>
      </c>
      <c r="N203" s="170" t="s">
        <v>788</v>
      </c>
      <c r="O203" s="170"/>
      <c r="P203" s="82"/>
      <c r="Q203" s="12">
        <v>1</v>
      </c>
      <c r="R203" s="12" t="s">
        <v>1702</v>
      </c>
      <c r="S203" s="12" t="s">
        <v>1701</v>
      </c>
    </row>
    <row r="204" spans="1:19" ht="21" customHeight="1" x14ac:dyDescent="0.15">
      <c r="A204" s="168">
        <v>40007</v>
      </c>
      <c r="B204" s="169" t="s">
        <v>81</v>
      </c>
      <c r="C204" s="32" t="s">
        <v>568</v>
      </c>
      <c r="D204" s="170" t="s">
        <v>845</v>
      </c>
      <c r="E204" s="170" t="s">
        <v>643</v>
      </c>
      <c r="F204" s="226">
        <v>1</v>
      </c>
      <c r="G204" s="170">
        <v>-1</v>
      </c>
      <c r="H204" s="23">
        <v>0</v>
      </c>
      <c r="I204" s="23">
        <v>0</v>
      </c>
      <c r="J204" s="23">
        <v>0</v>
      </c>
      <c r="K204" s="23">
        <v>0</v>
      </c>
      <c r="L204" s="170"/>
      <c r="M204" s="23">
        <f t="shared" ref="M204" si="68">LEN(L204)</f>
        <v>0</v>
      </c>
      <c r="N204" s="170" t="s">
        <v>846</v>
      </c>
      <c r="O204" s="170"/>
      <c r="P204" s="82"/>
      <c r="Q204" s="12">
        <v>1</v>
      </c>
      <c r="R204" s="12" t="s">
        <v>1702</v>
      </c>
      <c r="S204" s="12" t="s">
        <v>1701</v>
      </c>
    </row>
    <row r="205" spans="1:19" ht="21" customHeight="1" x14ac:dyDescent="0.15">
      <c r="A205" s="168">
        <v>40008</v>
      </c>
      <c r="B205" s="169" t="s">
        <v>81</v>
      </c>
      <c r="C205" s="32" t="s">
        <v>568</v>
      </c>
      <c r="D205" s="170" t="s">
        <v>928</v>
      </c>
      <c r="E205" s="170" t="s">
        <v>643</v>
      </c>
      <c r="F205" s="226">
        <v>1</v>
      </c>
      <c r="G205" s="170">
        <v>-1</v>
      </c>
      <c r="H205" s="23">
        <v>0</v>
      </c>
      <c r="I205" s="23">
        <v>0</v>
      </c>
      <c r="J205" s="23">
        <v>0</v>
      </c>
      <c r="K205" s="23">
        <v>0</v>
      </c>
      <c r="L205" s="170"/>
      <c r="M205" s="23">
        <f t="shared" ref="M205" si="69">LEN(L205)</f>
        <v>0</v>
      </c>
      <c r="N205" s="170" t="s">
        <v>862</v>
      </c>
      <c r="O205" s="170"/>
      <c r="P205" s="82"/>
      <c r="Q205" s="12">
        <v>1</v>
      </c>
      <c r="R205" s="12" t="s">
        <v>1702</v>
      </c>
      <c r="S205" s="12" t="s">
        <v>1701</v>
      </c>
    </row>
    <row r="206" spans="1:19" ht="21" customHeight="1" x14ac:dyDescent="0.15">
      <c r="A206" s="168">
        <v>40009</v>
      </c>
      <c r="B206" s="169" t="s">
        <v>81</v>
      </c>
      <c r="C206" s="32" t="s">
        <v>382</v>
      </c>
      <c r="D206" s="170" t="s">
        <v>926</v>
      </c>
      <c r="E206" s="170" t="s">
        <v>643</v>
      </c>
      <c r="F206" s="226">
        <v>1</v>
      </c>
      <c r="G206" s="170">
        <v>-1</v>
      </c>
      <c r="H206" s="23">
        <v>0</v>
      </c>
      <c r="I206" s="23">
        <v>0</v>
      </c>
      <c r="J206" s="23">
        <v>0</v>
      </c>
      <c r="K206" s="23">
        <v>0</v>
      </c>
      <c r="L206" s="170"/>
      <c r="M206" s="23">
        <f t="shared" ref="M206" si="70">LEN(L206)</f>
        <v>0</v>
      </c>
      <c r="N206" s="170" t="s">
        <v>927</v>
      </c>
      <c r="O206" s="170"/>
      <c r="P206" s="82" t="s">
        <v>1210</v>
      </c>
      <c r="Q206" s="12">
        <v>1</v>
      </c>
      <c r="R206" s="12" t="s">
        <v>1702</v>
      </c>
      <c r="S206" s="12" t="s">
        <v>1701</v>
      </c>
    </row>
    <row r="207" spans="1:19" ht="21" customHeight="1" x14ac:dyDescent="0.15">
      <c r="A207" s="168">
        <v>40010</v>
      </c>
      <c r="B207" s="169" t="s">
        <v>81</v>
      </c>
      <c r="C207" s="32" t="s">
        <v>382</v>
      </c>
      <c r="D207" s="170" t="s">
        <v>958</v>
      </c>
      <c r="E207" s="170" t="s">
        <v>643</v>
      </c>
      <c r="F207" s="226">
        <v>1</v>
      </c>
      <c r="G207" s="170">
        <v>-1</v>
      </c>
      <c r="H207" s="23">
        <v>0</v>
      </c>
      <c r="I207" s="23">
        <v>0</v>
      </c>
      <c r="J207" s="23">
        <v>0</v>
      </c>
      <c r="K207" s="23">
        <v>0</v>
      </c>
      <c r="L207" s="170"/>
      <c r="M207" s="23">
        <f t="shared" ref="M207" si="71">LEN(L207)</f>
        <v>0</v>
      </c>
      <c r="N207" s="170" t="s">
        <v>959</v>
      </c>
      <c r="O207" s="170"/>
      <c r="P207" s="82" t="s">
        <v>1210</v>
      </c>
      <c r="Q207" s="12">
        <v>1</v>
      </c>
      <c r="R207" s="12" t="s">
        <v>1702</v>
      </c>
      <c r="S207" s="12" t="s">
        <v>1701</v>
      </c>
    </row>
    <row r="208" spans="1:19" ht="21" customHeight="1" x14ac:dyDescent="0.15">
      <c r="A208" s="168">
        <v>40011</v>
      </c>
      <c r="B208" s="169" t="s">
        <v>81</v>
      </c>
      <c r="C208" s="32" t="s">
        <v>382</v>
      </c>
      <c r="D208" s="170" t="s">
        <v>1012</v>
      </c>
      <c r="E208" s="170" t="s">
        <v>643</v>
      </c>
      <c r="F208" s="226">
        <v>1</v>
      </c>
      <c r="G208" s="170">
        <v>-1</v>
      </c>
      <c r="H208" s="23">
        <v>0</v>
      </c>
      <c r="I208" s="23">
        <v>0</v>
      </c>
      <c r="J208" s="23">
        <v>0</v>
      </c>
      <c r="K208" s="23">
        <v>0</v>
      </c>
      <c r="L208" s="170"/>
      <c r="M208" s="23">
        <f t="shared" ref="M208" si="72">LEN(L208)</f>
        <v>0</v>
      </c>
      <c r="N208" s="170" t="s">
        <v>977</v>
      </c>
      <c r="O208" s="170"/>
      <c r="P208" s="82" t="s">
        <v>1210</v>
      </c>
      <c r="Q208" s="12">
        <v>1</v>
      </c>
      <c r="R208" s="12" t="s">
        <v>1702</v>
      </c>
      <c r="S208" s="12" t="s">
        <v>1701</v>
      </c>
    </row>
    <row r="209" spans="1:19" ht="21" customHeight="1" x14ac:dyDescent="0.15">
      <c r="A209" s="168">
        <v>40012</v>
      </c>
      <c r="B209" s="169" t="s">
        <v>81</v>
      </c>
      <c r="C209" s="32" t="s">
        <v>382</v>
      </c>
      <c r="D209" s="170" t="s">
        <v>983</v>
      </c>
      <c r="E209" s="170" t="s">
        <v>643</v>
      </c>
      <c r="F209" s="226">
        <v>1</v>
      </c>
      <c r="G209" s="170">
        <v>-1</v>
      </c>
      <c r="H209" s="23">
        <v>0</v>
      </c>
      <c r="I209" s="23">
        <v>0</v>
      </c>
      <c r="J209" s="23">
        <v>0</v>
      </c>
      <c r="K209" s="23">
        <v>0</v>
      </c>
      <c r="L209" s="170"/>
      <c r="M209" s="23">
        <f t="shared" ref="M209:M210" si="73">LEN(L209)</f>
        <v>0</v>
      </c>
      <c r="N209" s="170" t="s">
        <v>984</v>
      </c>
      <c r="O209" s="170"/>
      <c r="P209" s="82" t="s">
        <v>1210</v>
      </c>
      <c r="Q209" s="12">
        <v>1</v>
      </c>
      <c r="R209" s="12" t="s">
        <v>1702</v>
      </c>
      <c r="S209" s="12" t="s">
        <v>1701</v>
      </c>
    </row>
    <row r="210" spans="1:19" ht="21" customHeight="1" x14ac:dyDescent="0.15">
      <c r="A210" s="168">
        <v>40013</v>
      </c>
      <c r="B210" s="169" t="s">
        <v>81</v>
      </c>
      <c r="C210" s="32" t="s">
        <v>382</v>
      </c>
      <c r="D210" s="170" t="s">
        <v>1015</v>
      </c>
      <c r="E210" s="170" t="s">
        <v>643</v>
      </c>
      <c r="F210" s="226">
        <v>1</v>
      </c>
      <c r="G210" s="170">
        <v>-1</v>
      </c>
      <c r="H210" s="23">
        <v>0</v>
      </c>
      <c r="I210" s="23">
        <v>0</v>
      </c>
      <c r="J210" s="23">
        <v>0</v>
      </c>
      <c r="K210" s="23">
        <v>0</v>
      </c>
      <c r="L210" s="170"/>
      <c r="M210" s="23">
        <f t="shared" si="73"/>
        <v>0</v>
      </c>
      <c r="N210" s="170" t="s">
        <v>1016</v>
      </c>
      <c r="O210" s="170"/>
      <c r="P210" s="82" t="s">
        <v>1210</v>
      </c>
      <c r="Q210" s="12">
        <v>1</v>
      </c>
      <c r="R210" s="12" t="s">
        <v>1702</v>
      </c>
      <c r="S210" s="12" t="s">
        <v>1701</v>
      </c>
    </row>
    <row r="211" spans="1:19" ht="21" customHeight="1" x14ac:dyDescent="0.15">
      <c r="A211" s="168">
        <v>40014</v>
      </c>
      <c r="B211" s="169" t="s">
        <v>81</v>
      </c>
      <c r="C211" s="32" t="s">
        <v>382</v>
      </c>
      <c r="D211" s="170" t="s">
        <v>1010</v>
      </c>
      <c r="E211" s="170" t="s">
        <v>643</v>
      </c>
      <c r="F211" s="226">
        <v>1</v>
      </c>
      <c r="G211" s="170">
        <v>-1</v>
      </c>
      <c r="H211" s="23">
        <v>0</v>
      </c>
      <c r="I211" s="23">
        <v>0</v>
      </c>
      <c r="J211" s="23">
        <v>0</v>
      </c>
      <c r="K211" s="23">
        <v>0</v>
      </c>
      <c r="L211" s="170"/>
      <c r="M211" s="23">
        <f t="shared" ref="M211" si="74">LEN(L211)</f>
        <v>0</v>
      </c>
      <c r="N211" s="170" t="s">
        <v>1011</v>
      </c>
      <c r="O211" s="170"/>
      <c r="P211" s="82" t="s">
        <v>1210</v>
      </c>
      <c r="Q211" s="12">
        <v>1</v>
      </c>
      <c r="R211" s="12" t="s">
        <v>1702</v>
      </c>
      <c r="S211" s="12" t="s">
        <v>1701</v>
      </c>
    </row>
    <row r="212" spans="1:19" ht="21" customHeight="1" x14ac:dyDescent="0.15">
      <c r="A212" s="168">
        <v>40015</v>
      </c>
      <c r="B212" s="169" t="s">
        <v>81</v>
      </c>
      <c r="C212" s="32" t="s">
        <v>382</v>
      </c>
      <c r="D212" s="170" t="s">
        <v>1040</v>
      </c>
      <c r="E212" s="170" t="s">
        <v>643</v>
      </c>
      <c r="F212" s="226">
        <v>1</v>
      </c>
      <c r="G212" s="170">
        <v>-1</v>
      </c>
      <c r="H212" s="23">
        <v>0</v>
      </c>
      <c r="I212" s="23">
        <v>0</v>
      </c>
      <c r="J212" s="23">
        <v>0</v>
      </c>
      <c r="K212" s="23">
        <v>0</v>
      </c>
      <c r="L212" s="170"/>
      <c r="M212" s="23">
        <f t="shared" ref="M212" si="75">LEN(L212)</f>
        <v>0</v>
      </c>
      <c r="N212" s="170" t="s">
        <v>1041</v>
      </c>
      <c r="O212" s="170"/>
      <c r="P212" s="82" t="s">
        <v>1210</v>
      </c>
      <c r="Q212" s="12">
        <v>1</v>
      </c>
      <c r="R212" s="12" t="s">
        <v>1702</v>
      </c>
      <c r="S212" s="12" t="s">
        <v>1701</v>
      </c>
    </row>
    <row r="213" spans="1:19" ht="21" customHeight="1" x14ac:dyDescent="0.15">
      <c r="A213" s="168">
        <v>40016</v>
      </c>
      <c r="B213" s="169" t="s">
        <v>81</v>
      </c>
      <c r="C213" s="32" t="s">
        <v>382</v>
      </c>
      <c r="D213" s="170" t="s">
        <v>1059</v>
      </c>
      <c r="E213" s="205" t="s">
        <v>1091</v>
      </c>
      <c r="F213" s="170">
        <v>3</v>
      </c>
      <c r="G213" s="170">
        <v>-1</v>
      </c>
      <c r="H213" s="23">
        <v>0</v>
      </c>
      <c r="I213" s="23">
        <v>0</v>
      </c>
      <c r="J213" s="23">
        <v>0</v>
      </c>
      <c r="K213" s="23">
        <v>0</v>
      </c>
      <c r="L213" s="170"/>
      <c r="M213" s="23">
        <f t="shared" ref="M213:M267" si="76">LEN(L213)</f>
        <v>0</v>
      </c>
      <c r="N213" s="170" t="s">
        <v>1056</v>
      </c>
      <c r="O213" s="170"/>
      <c r="P213" s="82" t="s">
        <v>1210</v>
      </c>
      <c r="Q213" s="12">
        <v>1</v>
      </c>
      <c r="R213" s="12" t="s">
        <v>1702</v>
      </c>
      <c r="S213" s="12" t="s">
        <v>1701</v>
      </c>
    </row>
    <row r="214" spans="1:19" ht="22" customHeight="1" x14ac:dyDescent="0.15">
      <c r="A214" s="168">
        <v>40017</v>
      </c>
      <c r="B214" s="169" t="s">
        <v>81</v>
      </c>
      <c r="C214" s="32" t="s">
        <v>382</v>
      </c>
      <c r="D214" s="170" t="s">
        <v>1096</v>
      </c>
      <c r="E214" s="205" t="s">
        <v>1091</v>
      </c>
      <c r="F214" s="170">
        <v>3</v>
      </c>
      <c r="G214" s="170">
        <v>-1</v>
      </c>
      <c r="H214" s="23">
        <v>0</v>
      </c>
      <c r="I214" s="23">
        <v>0</v>
      </c>
      <c r="J214" s="23">
        <v>0</v>
      </c>
      <c r="K214" s="23">
        <v>0</v>
      </c>
      <c r="L214" s="170"/>
      <c r="M214" s="23">
        <f t="shared" ref="M214" si="77">LEN(L214)</f>
        <v>0</v>
      </c>
      <c r="N214" s="170" t="s">
        <v>1095</v>
      </c>
      <c r="O214" s="170"/>
      <c r="P214" s="82" t="s">
        <v>1210</v>
      </c>
      <c r="Q214" s="12">
        <v>1</v>
      </c>
      <c r="R214" s="12" t="s">
        <v>1702</v>
      </c>
      <c r="S214" s="12" t="s">
        <v>1701</v>
      </c>
    </row>
    <row r="215" spans="1:19" ht="21" customHeight="1" x14ac:dyDescent="0.15">
      <c r="A215" s="168">
        <v>40018</v>
      </c>
      <c r="B215" s="169" t="s">
        <v>81</v>
      </c>
      <c r="C215" s="32" t="s">
        <v>382</v>
      </c>
      <c r="D215" s="170" t="s">
        <v>1223</v>
      </c>
      <c r="E215" s="205" t="s">
        <v>1091</v>
      </c>
      <c r="F215" s="170">
        <v>3</v>
      </c>
      <c r="G215" s="170">
        <v>-1</v>
      </c>
      <c r="H215" s="23">
        <v>0</v>
      </c>
      <c r="I215" s="23">
        <v>0</v>
      </c>
      <c r="J215" s="23">
        <v>0</v>
      </c>
      <c r="K215" s="23">
        <v>0</v>
      </c>
      <c r="L215" s="170"/>
      <c r="M215" s="23">
        <f t="shared" ref="M215" si="78">LEN(L215)</f>
        <v>0</v>
      </c>
      <c r="N215" s="170" t="s">
        <v>1222</v>
      </c>
      <c r="O215" s="170"/>
      <c r="P215" s="82" t="s">
        <v>1318</v>
      </c>
      <c r="Q215" s="12">
        <v>1</v>
      </c>
      <c r="R215" s="12" t="s">
        <v>1702</v>
      </c>
      <c r="S215" s="12" t="s">
        <v>1701</v>
      </c>
    </row>
    <row r="216" spans="1:19" ht="21" customHeight="1" x14ac:dyDescent="0.15">
      <c r="A216" s="168">
        <v>40019</v>
      </c>
      <c r="B216" s="169" t="s">
        <v>81</v>
      </c>
      <c r="C216" s="32" t="s">
        <v>382</v>
      </c>
      <c r="D216" s="170" t="s">
        <v>1312</v>
      </c>
      <c r="E216" s="205" t="s">
        <v>1091</v>
      </c>
      <c r="F216" s="170">
        <v>3</v>
      </c>
      <c r="G216" s="170">
        <v>-1</v>
      </c>
      <c r="H216" s="23">
        <v>0</v>
      </c>
      <c r="I216" s="23">
        <v>0</v>
      </c>
      <c r="J216" s="23">
        <v>0</v>
      </c>
      <c r="K216" s="23">
        <v>0</v>
      </c>
      <c r="L216" s="170"/>
      <c r="M216" s="23">
        <f t="shared" ref="M216" si="79">LEN(L216)</f>
        <v>0</v>
      </c>
      <c r="N216" s="170" t="s">
        <v>1313</v>
      </c>
      <c r="O216" s="170"/>
      <c r="P216" s="82" t="s">
        <v>1210</v>
      </c>
      <c r="Q216" s="12">
        <v>1</v>
      </c>
      <c r="R216" s="12" t="s">
        <v>1702</v>
      </c>
      <c r="S216" s="12" t="s">
        <v>1701</v>
      </c>
    </row>
    <row r="217" spans="1:19" ht="21" customHeight="1" x14ac:dyDescent="0.15">
      <c r="A217" s="168">
        <v>40021</v>
      </c>
      <c r="B217" s="169" t="s">
        <v>81</v>
      </c>
      <c r="C217" s="32" t="s">
        <v>382</v>
      </c>
      <c r="D217" s="170" t="s">
        <v>1372</v>
      </c>
      <c r="E217" s="205" t="s">
        <v>1091</v>
      </c>
      <c r="F217" s="170">
        <v>3</v>
      </c>
      <c r="G217" s="170">
        <v>-1</v>
      </c>
      <c r="H217" s="23">
        <v>0</v>
      </c>
      <c r="I217" s="23">
        <v>0</v>
      </c>
      <c r="J217" s="23">
        <v>0</v>
      </c>
      <c r="K217" s="23">
        <v>0</v>
      </c>
      <c r="L217" s="170"/>
      <c r="M217" s="23">
        <f t="shared" ref="M217" si="80">LEN(L217)</f>
        <v>0</v>
      </c>
      <c r="N217" s="170" t="s">
        <v>1373</v>
      </c>
      <c r="O217" s="170"/>
      <c r="P217" s="82" t="s">
        <v>1210</v>
      </c>
      <c r="Q217" s="12">
        <v>1</v>
      </c>
      <c r="R217" s="12" t="s">
        <v>1702</v>
      </c>
      <c r="S217" s="12" t="s">
        <v>1701</v>
      </c>
    </row>
    <row r="218" spans="1:19" ht="21" customHeight="1" x14ac:dyDescent="0.15">
      <c r="A218" s="168">
        <v>40022</v>
      </c>
      <c r="B218" s="169" t="s">
        <v>81</v>
      </c>
      <c r="C218" s="32" t="s">
        <v>382</v>
      </c>
      <c r="D218" s="170" t="s">
        <v>1447</v>
      </c>
      <c r="E218" s="205" t="s">
        <v>1091</v>
      </c>
      <c r="F218" s="170">
        <v>3</v>
      </c>
      <c r="G218" s="170">
        <v>-1</v>
      </c>
      <c r="H218" s="23">
        <v>0</v>
      </c>
      <c r="I218" s="23">
        <v>0</v>
      </c>
      <c r="J218" s="23">
        <v>0</v>
      </c>
      <c r="K218" s="23">
        <v>0</v>
      </c>
      <c r="L218" s="170"/>
      <c r="M218" s="23">
        <f t="shared" ref="M218" si="81">LEN(L218)</f>
        <v>0</v>
      </c>
      <c r="N218" s="170" t="s">
        <v>1448</v>
      </c>
      <c r="O218" s="170"/>
      <c r="P218" s="82" t="s">
        <v>1210</v>
      </c>
      <c r="Q218" s="12">
        <v>1</v>
      </c>
      <c r="R218" s="12" t="s">
        <v>1702</v>
      </c>
      <c r="S218" s="12" t="s">
        <v>1701</v>
      </c>
    </row>
    <row r="219" spans="1:19" ht="21" customHeight="1" x14ac:dyDescent="0.15">
      <c r="A219" s="168">
        <v>40023</v>
      </c>
      <c r="B219" s="169" t="s">
        <v>81</v>
      </c>
      <c r="C219" s="32" t="s">
        <v>382</v>
      </c>
      <c r="D219" s="170" t="s">
        <v>1575</v>
      </c>
      <c r="E219" s="205" t="s">
        <v>1091</v>
      </c>
      <c r="F219" s="170">
        <v>3</v>
      </c>
      <c r="G219" s="170">
        <v>-1</v>
      </c>
      <c r="H219" s="23">
        <v>0</v>
      </c>
      <c r="I219" s="23">
        <v>0</v>
      </c>
      <c r="J219" s="23">
        <v>0</v>
      </c>
      <c r="K219" s="23">
        <v>0</v>
      </c>
      <c r="L219" s="170"/>
      <c r="M219" s="23">
        <f t="shared" ref="M219" si="82">LEN(L219)</f>
        <v>0</v>
      </c>
      <c r="N219" s="170" t="s">
        <v>1535</v>
      </c>
      <c r="O219" s="170"/>
      <c r="P219" s="82" t="s">
        <v>1210</v>
      </c>
      <c r="Q219" s="12">
        <v>1</v>
      </c>
      <c r="R219" s="12" t="s">
        <v>1702</v>
      </c>
      <c r="S219" s="12" t="s">
        <v>1701</v>
      </c>
    </row>
    <row r="220" spans="1:19" ht="21" customHeight="1" x14ac:dyDescent="0.15">
      <c r="A220" s="168">
        <v>40024</v>
      </c>
      <c r="B220" s="169" t="s">
        <v>81</v>
      </c>
      <c r="C220" s="32" t="s">
        <v>382</v>
      </c>
      <c r="D220" s="170" t="s">
        <v>1554</v>
      </c>
      <c r="E220" s="205" t="s">
        <v>1091</v>
      </c>
      <c r="F220" s="254">
        <v>3</v>
      </c>
      <c r="G220" s="170">
        <v>-1</v>
      </c>
      <c r="H220" s="23">
        <v>0</v>
      </c>
      <c r="I220" s="23">
        <v>0</v>
      </c>
      <c r="J220" s="23">
        <v>0</v>
      </c>
      <c r="K220" s="23">
        <v>0</v>
      </c>
      <c r="L220" s="170"/>
      <c r="M220" s="23">
        <f t="shared" ref="M220:M221" si="83">LEN(L220)</f>
        <v>0</v>
      </c>
      <c r="N220" s="170" t="s">
        <v>1542</v>
      </c>
      <c r="O220" s="170"/>
      <c r="P220" s="82" t="s">
        <v>1210</v>
      </c>
      <c r="Q220" s="12">
        <v>1</v>
      </c>
      <c r="R220" s="12" t="s">
        <v>1702</v>
      </c>
      <c r="S220" s="12" t="s">
        <v>1701</v>
      </c>
    </row>
    <row r="221" spans="1:19" ht="21" customHeight="1" x14ac:dyDescent="0.15">
      <c r="A221" s="168">
        <v>40025</v>
      </c>
      <c r="B221" s="169" t="s">
        <v>81</v>
      </c>
      <c r="C221" s="32" t="s">
        <v>382</v>
      </c>
      <c r="D221" s="170" t="s">
        <v>1550</v>
      </c>
      <c r="E221" s="205" t="s">
        <v>1091</v>
      </c>
      <c r="F221" s="170">
        <v>3</v>
      </c>
      <c r="G221" s="170">
        <v>-1</v>
      </c>
      <c r="H221" s="23">
        <v>0</v>
      </c>
      <c r="I221" s="23">
        <v>0</v>
      </c>
      <c r="J221" s="23">
        <v>0</v>
      </c>
      <c r="K221" s="23">
        <v>0</v>
      </c>
      <c r="L221" s="170"/>
      <c r="M221" s="23">
        <f t="shared" si="83"/>
        <v>0</v>
      </c>
      <c r="N221" s="170" t="s">
        <v>1551</v>
      </c>
      <c r="O221" s="170"/>
      <c r="P221" s="82" t="s">
        <v>1210</v>
      </c>
      <c r="Q221" s="12">
        <v>1</v>
      </c>
      <c r="R221" s="12" t="s">
        <v>1702</v>
      </c>
      <c r="S221" s="12" t="s">
        <v>1701</v>
      </c>
    </row>
    <row r="222" spans="1:19" ht="21" customHeight="1" x14ac:dyDescent="0.15">
      <c r="A222" s="168">
        <v>40026</v>
      </c>
      <c r="B222" s="169" t="s">
        <v>81</v>
      </c>
      <c r="C222" s="32" t="s">
        <v>382</v>
      </c>
      <c r="D222" s="250" t="s">
        <v>1585</v>
      </c>
      <c r="E222" s="205" t="s">
        <v>1091</v>
      </c>
      <c r="F222" s="250">
        <v>3</v>
      </c>
      <c r="G222" s="170">
        <v>-1</v>
      </c>
      <c r="H222" s="23">
        <v>0</v>
      </c>
      <c r="I222" s="23">
        <v>0</v>
      </c>
      <c r="J222" s="23">
        <v>0</v>
      </c>
      <c r="K222" s="23">
        <v>0</v>
      </c>
      <c r="L222" s="170"/>
      <c r="M222" s="23">
        <f t="shared" ref="M222" si="84">LEN(L222)</f>
        <v>0</v>
      </c>
      <c r="N222" s="170" t="s">
        <v>1586</v>
      </c>
      <c r="O222" s="170"/>
      <c r="P222" s="82" t="s">
        <v>1210</v>
      </c>
      <c r="Q222" s="12">
        <v>1</v>
      </c>
      <c r="R222" s="12" t="s">
        <v>1702</v>
      </c>
      <c r="S222" s="12" t="s">
        <v>1701</v>
      </c>
    </row>
    <row r="223" spans="1:19" ht="22" customHeight="1" x14ac:dyDescent="0.15">
      <c r="A223" s="168">
        <v>40027</v>
      </c>
      <c r="B223" s="169" t="s">
        <v>81</v>
      </c>
      <c r="C223" s="32" t="s">
        <v>382</v>
      </c>
      <c r="D223" s="170" t="s">
        <v>1588</v>
      </c>
      <c r="E223" s="82" t="s">
        <v>806</v>
      </c>
      <c r="F223" s="170">
        <v>3</v>
      </c>
      <c r="G223" s="170">
        <v>-1</v>
      </c>
      <c r="H223" s="23">
        <v>0</v>
      </c>
      <c r="I223" s="23">
        <v>0</v>
      </c>
      <c r="J223" s="23">
        <v>0</v>
      </c>
      <c r="K223" s="23">
        <v>0</v>
      </c>
      <c r="L223" s="170"/>
      <c r="M223" s="23">
        <f t="shared" ref="M223" si="85">LEN(L223)</f>
        <v>0</v>
      </c>
      <c r="N223" s="170" t="s">
        <v>1587</v>
      </c>
      <c r="O223" s="170"/>
      <c r="P223" s="82" t="s">
        <v>1210</v>
      </c>
      <c r="Q223" s="12">
        <v>1</v>
      </c>
      <c r="R223" s="12" t="s">
        <v>1702</v>
      </c>
      <c r="S223" s="12" t="s">
        <v>1701</v>
      </c>
    </row>
    <row r="224" spans="1:19" ht="21" customHeight="1" x14ac:dyDescent="0.15">
      <c r="A224" s="168">
        <v>40028</v>
      </c>
      <c r="B224" s="169" t="s">
        <v>81</v>
      </c>
      <c r="C224" s="32" t="s">
        <v>382</v>
      </c>
      <c r="D224" s="170" t="s">
        <v>1636</v>
      </c>
      <c r="E224" s="205" t="s">
        <v>1091</v>
      </c>
      <c r="F224" s="170">
        <v>3</v>
      </c>
      <c r="G224" s="170">
        <v>-1</v>
      </c>
      <c r="H224" s="23">
        <v>0</v>
      </c>
      <c r="I224" s="23">
        <v>0</v>
      </c>
      <c r="J224" s="23">
        <v>0</v>
      </c>
      <c r="K224" s="23">
        <v>0</v>
      </c>
      <c r="L224" s="170"/>
      <c r="M224" s="23">
        <f t="shared" ref="M224" si="86">LEN(L224)</f>
        <v>0</v>
      </c>
      <c r="N224" s="170" t="s">
        <v>1610</v>
      </c>
      <c r="O224" s="170"/>
      <c r="P224" s="82" t="s">
        <v>1210</v>
      </c>
      <c r="Q224" s="12">
        <v>1</v>
      </c>
      <c r="R224" s="12" t="s">
        <v>1702</v>
      </c>
      <c r="S224" s="12" t="s">
        <v>1701</v>
      </c>
    </row>
    <row r="225" spans="1:19" ht="21" customHeight="1" x14ac:dyDescent="0.15">
      <c r="A225" s="168">
        <v>40029</v>
      </c>
      <c r="B225" s="169" t="s">
        <v>81</v>
      </c>
      <c r="C225" s="32" t="s">
        <v>382</v>
      </c>
      <c r="D225" s="170" t="s">
        <v>1637</v>
      </c>
      <c r="E225" s="205" t="s">
        <v>1638</v>
      </c>
      <c r="F225" s="170">
        <v>3</v>
      </c>
      <c r="G225" s="170">
        <v>-1</v>
      </c>
      <c r="H225" s="23">
        <v>0</v>
      </c>
      <c r="I225" s="23">
        <v>0</v>
      </c>
      <c r="J225" s="23">
        <v>0</v>
      </c>
      <c r="K225" s="23">
        <v>0</v>
      </c>
      <c r="L225" s="170"/>
      <c r="M225" s="23">
        <f t="shared" ref="M225" si="87">LEN(L225)</f>
        <v>0</v>
      </c>
      <c r="N225" s="170" t="s">
        <v>1611</v>
      </c>
      <c r="O225" s="170"/>
      <c r="P225" s="82" t="s">
        <v>1210</v>
      </c>
      <c r="Q225" s="12">
        <v>1</v>
      </c>
      <c r="R225" s="12" t="s">
        <v>1702</v>
      </c>
      <c r="S225" s="12" t="s">
        <v>1701</v>
      </c>
    </row>
    <row r="226" spans="1:19" ht="21" customHeight="1" x14ac:dyDescent="0.15">
      <c r="A226" s="168">
        <v>40030</v>
      </c>
      <c r="B226" s="169" t="s">
        <v>81</v>
      </c>
      <c r="C226" s="32" t="s">
        <v>382</v>
      </c>
      <c r="D226" s="170" t="s">
        <v>1617</v>
      </c>
      <c r="E226" s="205" t="s">
        <v>1619</v>
      </c>
      <c r="F226" s="170">
        <v>3</v>
      </c>
      <c r="G226" s="170">
        <v>-1</v>
      </c>
      <c r="H226" s="23">
        <v>0</v>
      </c>
      <c r="I226" s="23">
        <v>0</v>
      </c>
      <c r="J226" s="23">
        <v>0</v>
      </c>
      <c r="K226" s="23">
        <v>0</v>
      </c>
      <c r="L226" s="170"/>
      <c r="M226" s="23">
        <f t="shared" ref="M226:M227" si="88">LEN(L226)</f>
        <v>0</v>
      </c>
      <c r="N226" s="170" t="s">
        <v>1618</v>
      </c>
      <c r="O226" s="170"/>
      <c r="P226" s="82" t="s">
        <v>1210</v>
      </c>
      <c r="Q226" s="12">
        <v>1</v>
      </c>
      <c r="R226" s="12" t="s">
        <v>1702</v>
      </c>
      <c r="S226" s="12" t="s">
        <v>1701</v>
      </c>
    </row>
    <row r="227" spans="1:19" ht="24" customHeight="1" x14ac:dyDescent="0.15">
      <c r="A227" s="168">
        <v>40031</v>
      </c>
      <c r="B227" s="169" t="s">
        <v>81</v>
      </c>
      <c r="C227" s="32" t="s">
        <v>382</v>
      </c>
      <c r="D227" s="170" t="s">
        <v>1651</v>
      </c>
      <c r="E227" s="205" t="s">
        <v>1091</v>
      </c>
      <c r="F227" s="170">
        <v>3</v>
      </c>
      <c r="G227" s="170">
        <v>-1</v>
      </c>
      <c r="H227" s="23">
        <v>0</v>
      </c>
      <c r="I227" s="23">
        <v>0</v>
      </c>
      <c r="J227" s="23">
        <v>0</v>
      </c>
      <c r="K227" s="23">
        <v>0</v>
      </c>
      <c r="L227" s="170"/>
      <c r="M227" s="23">
        <f t="shared" si="88"/>
        <v>0</v>
      </c>
      <c r="N227" s="170" t="s">
        <v>1652</v>
      </c>
      <c r="O227" s="170"/>
      <c r="P227" s="82" t="s">
        <v>1210</v>
      </c>
      <c r="Q227" s="12">
        <v>1</v>
      </c>
      <c r="R227" s="12" t="s">
        <v>1702</v>
      </c>
      <c r="S227" s="12" t="s">
        <v>1701</v>
      </c>
    </row>
    <row r="228" spans="1:19" ht="21" customHeight="1" x14ac:dyDescent="0.15">
      <c r="A228" s="168">
        <v>40032</v>
      </c>
      <c r="B228" s="169" t="s">
        <v>81</v>
      </c>
      <c r="C228" s="32" t="s">
        <v>382</v>
      </c>
      <c r="D228" s="170" t="s">
        <v>1646</v>
      </c>
      <c r="E228" s="205" t="s">
        <v>1091</v>
      </c>
      <c r="F228" s="170">
        <v>3</v>
      </c>
      <c r="G228" s="170">
        <v>-1</v>
      </c>
      <c r="H228" s="23">
        <v>0</v>
      </c>
      <c r="I228" s="23">
        <v>0</v>
      </c>
      <c r="J228" s="23">
        <v>0</v>
      </c>
      <c r="K228" s="23">
        <v>0</v>
      </c>
      <c r="L228" s="170"/>
      <c r="M228" s="23">
        <f t="shared" ref="M228" si="89">LEN(L228)</f>
        <v>0</v>
      </c>
      <c r="N228" s="170" t="s">
        <v>1647</v>
      </c>
      <c r="O228" s="170"/>
      <c r="P228" s="82" t="s">
        <v>1210</v>
      </c>
      <c r="Q228" s="12">
        <v>1</v>
      </c>
      <c r="R228" s="12" t="s">
        <v>1702</v>
      </c>
      <c r="S228" s="12" t="s">
        <v>1701</v>
      </c>
    </row>
    <row r="229" spans="1:19" ht="21" customHeight="1" x14ac:dyDescent="0.15">
      <c r="A229" s="168">
        <v>40033</v>
      </c>
      <c r="B229" s="169" t="s">
        <v>81</v>
      </c>
      <c r="C229" s="32" t="s">
        <v>382</v>
      </c>
      <c r="D229" s="170" t="s">
        <v>1663</v>
      </c>
      <c r="E229" s="205" t="s">
        <v>1710</v>
      </c>
      <c r="F229" s="170">
        <v>3</v>
      </c>
      <c r="G229" s="170">
        <v>-1</v>
      </c>
      <c r="H229" s="23">
        <v>0</v>
      </c>
      <c r="I229" s="23">
        <v>0</v>
      </c>
      <c r="J229" s="23">
        <v>0</v>
      </c>
      <c r="K229" s="23">
        <v>0</v>
      </c>
      <c r="L229" s="170"/>
      <c r="M229" s="23">
        <f t="shared" ref="M229" si="90">LEN(L229)</f>
        <v>0</v>
      </c>
      <c r="N229" s="170" t="s">
        <v>1664</v>
      </c>
      <c r="O229" s="170"/>
      <c r="P229" s="82" t="s">
        <v>1210</v>
      </c>
      <c r="Q229" s="12">
        <v>1</v>
      </c>
      <c r="R229" s="12" t="s">
        <v>178</v>
      </c>
      <c r="S229" s="12" t="s">
        <v>1701</v>
      </c>
    </row>
    <row r="230" spans="1:19" ht="21" customHeight="1" x14ac:dyDescent="0.15">
      <c r="A230" s="168">
        <v>40034</v>
      </c>
      <c r="B230" s="169" t="s">
        <v>81</v>
      </c>
      <c r="C230" s="32" t="s">
        <v>382</v>
      </c>
      <c r="D230" s="170" t="s">
        <v>1682</v>
      </c>
      <c r="E230" s="205" t="s">
        <v>1091</v>
      </c>
      <c r="F230" s="170">
        <v>3</v>
      </c>
      <c r="G230" s="170">
        <v>-1</v>
      </c>
      <c r="H230" s="23">
        <v>0</v>
      </c>
      <c r="I230" s="23">
        <v>0</v>
      </c>
      <c r="J230" s="23">
        <v>0</v>
      </c>
      <c r="K230" s="23">
        <v>0</v>
      </c>
      <c r="L230" s="170"/>
      <c r="M230" s="23">
        <f t="shared" ref="M230" si="91">LEN(L230)</f>
        <v>0</v>
      </c>
      <c r="N230" s="170" t="s">
        <v>1683</v>
      </c>
      <c r="O230" s="170"/>
      <c r="P230" s="82" t="s">
        <v>1210</v>
      </c>
      <c r="Q230" s="12">
        <v>1</v>
      </c>
      <c r="R230" s="12" t="s">
        <v>1702</v>
      </c>
      <c r="S230" s="12" t="s">
        <v>1701</v>
      </c>
    </row>
    <row r="231" spans="1:19" ht="21" customHeight="1" x14ac:dyDescent="0.15">
      <c r="A231" s="168">
        <v>40035</v>
      </c>
      <c r="B231" s="169" t="s">
        <v>81</v>
      </c>
      <c r="C231" s="32" t="s">
        <v>382</v>
      </c>
      <c r="D231" s="170" t="s">
        <v>1691</v>
      </c>
      <c r="E231" s="205" t="s">
        <v>1091</v>
      </c>
      <c r="F231" s="170">
        <v>3</v>
      </c>
      <c r="G231" s="170">
        <v>-1</v>
      </c>
      <c r="H231" s="23">
        <v>0</v>
      </c>
      <c r="I231" s="23">
        <v>0</v>
      </c>
      <c r="J231" s="23">
        <v>0</v>
      </c>
      <c r="K231" s="23">
        <v>0</v>
      </c>
      <c r="L231" s="170"/>
      <c r="M231" s="23">
        <f t="shared" ref="M231:M232" si="92">LEN(L231)</f>
        <v>0</v>
      </c>
      <c r="N231" s="170" t="s">
        <v>1692</v>
      </c>
      <c r="O231" s="170"/>
      <c r="P231" s="82" t="s">
        <v>1210</v>
      </c>
      <c r="Q231" s="12">
        <v>1</v>
      </c>
      <c r="R231" s="12" t="s">
        <v>1702</v>
      </c>
      <c r="S231" s="12" t="s">
        <v>1701</v>
      </c>
    </row>
    <row r="232" spans="1:19" ht="21" customHeight="1" x14ac:dyDescent="0.15">
      <c r="A232" s="168">
        <v>40036</v>
      </c>
      <c r="B232" s="169" t="s">
        <v>81</v>
      </c>
      <c r="C232" s="32" t="s">
        <v>382</v>
      </c>
      <c r="D232" s="170" t="s">
        <v>1721</v>
      </c>
      <c r="E232" s="205" t="s">
        <v>1725</v>
      </c>
      <c r="F232" s="170">
        <v>3</v>
      </c>
      <c r="G232" s="170">
        <v>-1</v>
      </c>
      <c r="H232" s="23">
        <v>0</v>
      </c>
      <c r="I232" s="23">
        <v>0</v>
      </c>
      <c r="J232" s="23">
        <v>0</v>
      </c>
      <c r="K232" s="23">
        <v>0</v>
      </c>
      <c r="L232" s="170"/>
      <c r="M232" s="23">
        <f t="shared" si="92"/>
        <v>0</v>
      </c>
      <c r="N232" s="170" t="s">
        <v>1722</v>
      </c>
      <c r="O232" s="170"/>
      <c r="P232" s="82" t="s">
        <v>1210</v>
      </c>
      <c r="Q232" s="12">
        <v>1</v>
      </c>
      <c r="R232" s="12" t="s">
        <v>1702</v>
      </c>
      <c r="S232" s="12" t="s">
        <v>1701</v>
      </c>
    </row>
    <row r="233" spans="1:19" ht="21" customHeight="1" x14ac:dyDescent="0.15">
      <c r="A233" s="168">
        <v>40037</v>
      </c>
      <c r="B233" s="169" t="s">
        <v>81</v>
      </c>
      <c r="C233" s="32" t="s">
        <v>382</v>
      </c>
      <c r="D233" s="170" t="s">
        <v>1730</v>
      </c>
      <c r="E233" s="205" t="s">
        <v>419</v>
      </c>
      <c r="F233" s="170">
        <v>3</v>
      </c>
      <c r="G233" s="170">
        <v>-1</v>
      </c>
      <c r="H233" s="23">
        <v>0</v>
      </c>
      <c r="I233" s="23">
        <v>0</v>
      </c>
      <c r="J233" s="23">
        <v>0</v>
      </c>
      <c r="K233" s="23">
        <v>0</v>
      </c>
      <c r="L233" s="170"/>
      <c r="M233" s="23">
        <f t="shared" ref="M233:M234" si="93">LEN(L233)</f>
        <v>0</v>
      </c>
      <c r="N233" s="170" t="s">
        <v>1731</v>
      </c>
      <c r="O233" s="170"/>
      <c r="P233" s="82" t="s">
        <v>1210</v>
      </c>
      <c r="Q233" s="12">
        <v>1</v>
      </c>
      <c r="R233" s="12" t="s">
        <v>178</v>
      </c>
      <c r="S233" s="12" t="s">
        <v>1701</v>
      </c>
    </row>
    <row r="234" spans="1:19" ht="21" customHeight="1" x14ac:dyDescent="0.15">
      <c r="A234" s="168">
        <v>40038</v>
      </c>
      <c r="B234" s="169" t="s">
        <v>81</v>
      </c>
      <c r="C234" s="32" t="s">
        <v>382</v>
      </c>
      <c r="D234" s="170" t="s">
        <v>1826</v>
      </c>
      <c r="E234" s="205" t="s">
        <v>1855</v>
      </c>
      <c r="F234" s="170">
        <v>3</v>
      </c>
      <c r="G234" s="170">
        <v>-1</v>
      </c>
      <c r="H234" s="23">
        <v>0</v>
      </c>
      <c r="I234" s="23">
        <v>0</v>
      </c>
      <c r="J234" s="23">
        <v>0</v>
      </c>
      <c r="K234" s="23">
        <v>0</v>
      </c>
      <c r="L234" s="170"/>
      <c r="M234" s="23">
        <f t="shared" si="93"/>
        <v>0</v>
      </c>
      <c r="N234" s="170" t="s">
        <v>1800</v>
      </c>
      <c r="O234" s="170"/>
      <c r="P234" s="82" t="s">
        <v>1210</v>
      </c>
      <c r="Q234" s="12">
        <v>1</v>
      </c>
      <c r="R234" s="12" t="s">
        <v>169</v>
      </c>
      <c r="S234" s="12" t="s">
        <v>169</v>
      </c>
    </row>
    <row r="235" spans="1:19" ht="21" customHeight="1" x14ac:dyDescent="0.15">
      <c r="A235" s="168">
        <v>40039</v>
      </c>
      <c r="B235" s="169" t="s">
        <v>81</v>
      </c>
      <c r="C235" s="32" t="s">
        <v>382</v>
      </c>
      <c r="D235" s="170" t="s">
        <v>1795</v>
      </c>
      <c r="E235" s="205" t="s">
        <v>419</v>
      </c>
      <c r="F235" s="170">
        <v>3</v>
      </c>
      <c r="G235" s="170">
        <v>-1</v>
      </c>
      <c r="H235" s="23">
        <v>0</v>
      </c>
      <c r="I235" s="23">
        <v>0</v>
      </c>
      <c r="J235" s="23">
        <v>0</v>
      </c>
      <c r="K235" s="23">
        <v>0</v>
      </c>
      <c r="L235" s="170"/>
      <c r="M235" s="23">
        <f t="shared" ref="M235" si="94">LEN(L235)</f>
        <v>0</v>
      </c>
      <c r="N235" s="170" t="s">
        <v>1794</v>
      </c>
      <c r="O235" s="170"/>
      <c r="P235" s="82" t="s">
        <v>1210</v>
      </c>
      <c r="Q235" s="12">
        <v>1</v>
      </c>
      <c r="R235" s="12" t="s">
        <v>178</v>
      </c>
      <c r="S235" s="12" t="s">
        <v>469</v>
      </c>
    </row>
    <row r="236" spans="1:19" ht="21" customHeight="1" x14ac:dyDescent="0.15">
      <c r="A236" s="168">
        <v>40040</v>
      </c>
      <c r="B236" s="169" t="s">
        <v>81</v>
      </c>
      <c r="C236" s="32" t="s">
        <v>382</v>
      </c>
      <c r="D236" s="170" t="s">
        <v>1857</v>
      </c>
      <c r="E236" s="205" t="s">
        <v>419</v>
      </c>
      <c r="F236" s="170">
        <v>3</v>
      </c>
      <c r="G236" s="170">
        <v>-1</v>
      </c>
      <c r="H236" s="23">
        <v>0</v>
      </c>
      <c r="I236" s="23">
        <v>0</v>
      </c>
      <c r="J236" s="23">
        <v>0</v>
      </c>
      <c r="K236" s="23">
        <v>0</v>
      </c>
      <c r="L236" s="170"/>
      <c r="M236" s="23">
        <f t="shared" ref="M236" si="95">LEN(L236)</f>
        <v>0</v>
      </c>
      <c r="N236" s="170" t="s">
        <v>1858</v>
      </c>
      <c r="O236" s="170"/>
      <c r="P236" s="82" t="s">
        <v>1210</v>
      </c>
      <c r="Q236" s="12">
        <v>1</v>
      </c>
      <c r="R236" s="12" t="s">
        <v>178</v>
      </c>
      <c r="S236" s="12" t="s">
        <v>200</v>
      </c>
    </row>
    <row r="237" spans="1:19" ht="21" customHeight="1" x14ac:dyDescent="0.15">
      <c r="A237" s="168">
        <v>40041</v>
      </c>
      <c r="B237" s="169" t="s">
        <v>81</v>
      </c>
      <c r="C237" s="32" t="s">
        <v>382</v>
      </c>
      <c r="D237" s="170" t="s">
        <v>1878</v>
      </c>
      <c r="E237" s="205" t="s">
        <v>419</v>
      </c>
      <c r="F237" s="250">
        <v>3</v>
      </c>
      <c r="G237" s="170">
        <v>-1</v>
      </c>
      <c r="H237" s="23">
        <v>0</v>
      </c>
      <c r="I237" s="23">
        <v>0</v>
      </c>
      <c r="J237" s="23">
        <v>0</v>
      </c>
      <c r="K237" s="23">
        <v>0</v>
      </c>
      <c r="L237" s="170"/>
      <c r="M237" s="23">
        <f t="shared" ref="M237:M238" si="96">LEN(L237)</f>
        <v>0</v>
      </c>
      <c r="N237" s="170" t="s">
        <v>1879</v>
      </c>
      <c r="O237" s="170"/>
      <c r="P237" s="82" t="s">
        <v>1210</v>
      </c>
      <c r="Q237" s="12">
        <v>1</v>
      </c>
      <c r="R237" s="12" t="s">
        <v>178</v>
      </c>
      <c r="S237" s="12" t="s">
        <v>169</v>
      </c>
    </row>
    <row r="238" spans="1:19" ht="21" customHeight="1" x14ac:dyDescent="0.15">
      <c r="A238" s="168">
        <v>40042</v>
      </c>
      <c r="B238" s="169" t="s">
        <v>81</v>
      </c>
      <c r="C238" s="32" t="s">
        <v>382</v>
      </c>
      <c r="D238" s="170" t="s">
        <v>1938</v>
      </c>
      <c r="E238" s="205" t="s">
        <v>419</v>
      </c>
      <c r="F238" s="170">
        <v>3</v>
      </c>
      <c r="G238" s="170">
        <v>-1</v>
      </c>
      <c r="H238" s="23">
        <v>0</v>
      </c>
      <c r="I238" s="23">
        <v>0</v>
      </c>
      <c r="J238" s="23">
        <v>0</v>
      </c>
      <c r="K238" s="23">
        <v>0</v>
      </c>
      <c r="L238" s="170"/>
      <c r="M238" s="23">
        <f t="shared" si="96"/>
        <v>0</v>
      </c>
      <c r="N238" s="170" t="s">
        <v>1939</v>
      </c>
      <c r="O238" s="170"/>
      <c r="P238" s="82" t="s">
        <v>1210</v>
      </c>
      <c r="Q238" s="12">
        <v>1</v>
      </c>
      <c r="R238" s="12" t="s">
        <v>178</v>
      </c>
      <c r="S238" s="12" t="s">
        <v>178</v>
      </c>
    </row>
    <row r="239" spans="1:19" ht="21" customHeight="1" x14ac:dyDescent="0.15">
      <c r="A239" s="168">
        <v>40043</v>
      </c>
      <c r="B239" s="169" t="s">
        <v>81</v>
      </c>
      <c r="C239" s="32" t="s">
        <v>382</v>
      </c>
      <c r="D239" s="170" t="s">
        <v>2031</v>
      </c>
      <c r="E239" s="205" t="s">
        <v>419</v>
      </c>
      <c r="F239" s="170">
        <v>3</v>
      </c>
      <c r="G239" s="170">
        <v>-1</v>
      </c>
      <c r="H239" s="23">
        <v>0</v>
      </c>
      <c r="I239" s="23">
        <v>0</v>
      </c>
      <c r="J239" s="23">
        <v>0</v>
      </c>
      <c r="K239" s="23">
        <v>0</v>
      </c>
      <c r="L239" s="170"/>
      <c r="M239" s="23">
        <f t="shared" ref="M239" si="97">LEN(L239)</f>
        <v>0</v>
      </c>
      <c r="N239" s="170" t="s">
        <v>2032</v>
      </c>
      <c r="O239" s="170"/>
      <c r="P239" s="82" t="s">
        <v>1210</v>
      </c>
      <c r="Q239" s="12">
        <v>1</v>
      </c>
      <c r="R239" s="12" t="s">
        <v>169</v>
      </c>
      <c r="S239" s="12" t="s">
        <v>169</v>
      </c>
    </row>
    <row r="240" spans="1:19" ht="21" customHeight="1" x14ac:dyDescent="0.15">
      <c r="A240" s="168">
        <v>40044</v>
      </c>
      <c r="B240" s="169" t="s">
        <v>81</v>
      </c>
      <c r="C240" s="32" t="s">
        <v>382</v>
      </c>
      <c r="D240" s="170" t="s">
        <v>2248</v>
      </c>
      <c r="E240" s="205" t="s">
        <v>419</v>
      </c>
      <c r="F240" s="170">
        <v>3</v>
      </c>
      <c r="G240" s="170">
        <v>-1</v>
      </c>
      <c r="H240" s="23">
        <v>0</v>
      </c>
      <c r="I240" s="23">
        <v>0</v>
      </c>
      <c r="J240" s="23">
        <v>0</v>
      </c>
      <c r="K240" s="23">
        <v>0</v>
      </c>
      <c r="L240" s="170"/>
      <c r="M240" s="23">
        <f t="shared" ref="M240" si="98">LEN(L240)</f>
        <v>0</v>
      </c>
      <c r="N240" s="170" t="s">
        <v>2212</v>
      </c>
      <c r="O240" s="170"/>
      <c r="P240" s="82" t="s">
        <v>1210</v>
      </c>
      <c r="Q240" s="12">
        <v>1</v>
      </c>
      <c r="R240" s="12" t="s">
        <v>169</v>
      </c>
      <c r="S240" s="12" t="s">
        <v>169</v>
      </c>
    </row>
    <row r="241" spans="1:19" ht="21" customHeight="1" x14ac:dyDescent="0.15">
      <c r="A241" s="168">
        <v>40045</v>
      </c>
      <c r="B241" s="169" t="s">
        <v>81</v>
      </c>
      <c r="C241" s="32" t="s">
        <v>382</v>
      </c>
      <c r="D241" s="170" t="s">
        <v>2228</v>
      </c>
      <c r="E241" s="205" t="s">
        <v>419</v>
      </c>
      <c r="F241" s="170">
        <v>3</v>
      </c>
      <c r="G241" s="170">
        <v>-1</v>
      </c>
      <c r="H241" s="23">
        <v>0</v>
      </c>
      <c r="I241" s="23">
        <v>0</v>
      </c>
      <c r="J241" s="23">
        <v>0</v>
      </c>
      <c r="K241" s="23">
        <v>0</v>
      </c>
      <c r="L241" s="170"/>
      <c r="M241" s="23">
        <f t="shared" ref="M241" si="99">LEN(L241)</f>
        <v>0</v>
      </c>
      <c r="N241" s="170" t="s">
        <v>2229</v>
      </c>
      <c r="O241" s="170"/>
      <c r="P241" s="82" t="s">
        <v>1210</v>
      </c>
      <c r="Q241" s="12">
        <v>1</v>
      </c>
      <c r="R241" s="12" t="s">
        <v>169</v>
      </c>
      <c r="S241" s="12" t="s">
        <v>169</v>
      </c>
    </row>
    <row r="242" spans="1:19" ht="21" customHeight="1" x14ac:dyDescent="0.15">
      <c r="A242" s="168">
        <v>40046</v>
      </c>
      <c r="B242" s="169" t="s">
        <v>81</v>
      </c>
      <c r="C242" s="32" t="s">
        <v>382</v>
      </c>
      <c r="D242" s="170" t="s">
        <v>2293</v>
      </c>
      <c r="E242" s="205" t="s">
        <v>419</v>
      </c>
      <c r="F242" s="170">
        <v>3</v>
      </c>
      <c r="G242" s="170">
        <v>-1</v>
      </c>
      <c r="H242" s="23">
        <v>0</v>
      </c>
      <c r="I242" s="23">
        <v>0</v>
      </c>
      <c r="J242" s="23">
        <v>0</v>
      </c>
      <c r="K242" s="23">
        <v>0</v>
      </c>
      <c r="L242" s="170"/>
      <c r="M242" s="23">
        <f t="shared" ref="M242" si="100">LEN(L242)</f>
        <v>0</v>
      </c>
      <c r="N242" s="170" t="s">
        <v>2294</v>
      </c>
      <c r="O242" s="170"/>
      <c r="P242" s="82" t="s">
        <v>1210</v>
      </c>
      <c r="Q242" s="12">
        <v>1</v>
      </c>
      <c r="R242" s="12" t="s">
        <v>169</v>
      </c>
      <c r="S242" s="12" t="s">
        <v>169</v>
      </c>
    </row>
    <row r="243" spans="1:19" ht="21" customHeight="1" x14ac:dyDescent="0.15">
      <c r="A243" s="168">
        <v>48001</v>
      </c>
      <c r="B243" s="169" t="s">
        <v>81</v>
      </c>
      <c r="C243" s="32" t="s">
        <v>382</v>
      </c>
      <c r="D243" s="170" t="s">
        <v>1238</v>
      </c>
      <c r="E243" s="205" t="s">
        <v>1091</v>
      </c>
      <c r="F243" s="170">
        <v>1</v>
      </c>
      <c r="G243" s="170">
        <v>-1</v>
      </c>
      <c r="H243" s="23">
        <v>0</v>
      </c>
      <c r="I243" s="23">
        <v>0</v>
      </c>
      <c r="J243" s="23">
        <v>0</v>
      </c>
      <c r="K243" s="23">
        <v>0</v>
      </c>
      <c r="L243" s="170"/>
      <c r="M243" s="23">
        <f t="shared" ref="M243" si="101">LEN(L243)</f>
        <v>0</v>
      </c>
      <c r="N243" s="170" t="s">
        <v>1239</v>
      </c>
      <c r="O243" s="170"/>
      <c r="P243" s="82"/>
      <c r="Q243" s="12">
        <v>1</v>
      </c>
      <c r="R243" s="12" t="s">
        <v>1702</v>
      </c>
      <c r="S243" s="12" t="s">
        <v>1701</v>
      </c>
    </row>
    <row r="244" spans="1:19" s="45" customFormat="1" ht="21" customHeight="1" x14ac:dyDescent="0.15">
      <c r="A244" s="234">
        <v>48002</v>
      </c>
      <c r="B244" s="235" t="s">
        <v>81</v>
      </c>
      <c r="C244" s="46" t="s">
        <v>382</v>
      </c>
      <c r="D244" s="236" t="s">
        <v>1343</v>
      </c>
      <c r="E244" s="275" t="s">
        <v>1091</v>
      </c>
      <c r="F244" s="236">
        <v>1</v>
      </c>
      <c r="G244" s="236">
        <v>-1</v>
      </c>
      <c r="H244" s="44">
        <v>0</v>
      </c>
      <c r="I244" s="44">
        <v>0</v>
      </c>
      <c r="J244" s="44">
        <v>0</v>
      </c>
      <c r="K244" s="44">
        <v>0</v>
      </c>
      <c r="L244" s="236"/>
      <c r="M244" s="44">
        <f t="shared" ref="M244" si="102">LEN(L244)</f>
        <v>0</v>
      </c>
      <c r="N244" s="236" t="s">
        <v>1342</v>
      </c>
      <c r="O244" s="236" t="s">
        <v>1872</v>
      </c>
      <c r="P244" s="237"/>
      <c r="Q244" s="44">
        <v>1</v>
      </c>
      <c r="R244" s="44" t="s">
        <v>1702</v>
      </c>
      <c r="S244" s="44" t="s">
        <v>1701</v>
      </c>
    </row>
    <row r="245" spans="1:19" ht="21" customHeight="1" x14ac:dyDescent="0.15">
      <c r="A245" s="168">
        <v>48003</v>
      </c>
      <c r="B245" s="169" t="s">
        <v>81</v>
      </c>
      <c r="C245" s="32" t="s">
        <v>382</v>
      </c>
      <c r="D245" s="170" t="s">
        <v>1481</v>
      </c>
      <c r="E245" s="205" t="s">
        <v>1091</v>
      </c>
      <c r="F245" s="170">
        <v>3</v>
      </c>
      <c r="G245" s="170">
        <v>-1</v>
      </c>
      <c r="H245" s="23">
        <v>0</v>
      </c>
      <c r="I245" s="23">
        <v>0</v>
      </c>
      <c r="J245" s="23">
        <v>0</v>
      </c>
      <c r="K245" s="23">
        <v>0</v>
      </c>
      <c r="L245" s="170"/>
      <c r="M245" s="23">
        <f t="shared" ref="M245:M246" si="103">LEN(L245)</f>
        <v>0</v>
      </c>
      <c r="N245" s="170" t="s">
        <v>1482</v>
      </c>
      <c r="O245" s="170"/>
      <c r="P245" s="82"/>
      <c r="Q245" s="12">
        <v>1</v>
      </c>
      <c r="R245" s="12" t="s">
        <v>1702</v>
      </c>
      <c r="S245" s="12" t="s">
        <v>1701</v>
      </c>
    </row>
    <row r="246" spans="1:19" ht="21" customHeight="1" x14ac:dyDescent="0.15">
      <c r="A246" s="168">
        <v>48004</v>
      </c>
      <c r="B246" s="169" t="s">
        <v>81</v>
      </c>
      <c r="C246" s="32" t="s">
        <v>382</v>
      </c>
      <c r="D246" s="170" t="s">
        <v>1238</v>
      </c>
      <c r="E246" s="205" t="s">
        <v>1091</v>
      </c>
      <c r="F246" s="170">
        <v>3</v>
      </c>
      <c r="G246" s="170">
        <v>-1</v>
      </c>
      <c r="H246" s="23">
        <v>0</v>
      </c>
      <c r="I246" s="23">
        <v>0</v>
      </c>
      <c r="J246" s="23">
        <v>0</v>
      </c>
      <c r="K246" s="23">
        <v>0</v>
      </c>
      <c r="L246" s="170"/>
      <c r="M246" s="23">
        <f t="shared" si="103"/>
        <v>0</v>
      </c>
      <c r="N246" s="170" t="s">
        <v>1491</v>
      </c>
      <c r="O246" s="170" t="s">
        <v>1492</v>
      </c>
      <c r="P246" s="82"/>
      <c r="Q246" s="12">
        <v>1</v>
      </c>
      <c r="R246" s="12" t="s">
        <v>1702</v>
      </c>
      <c r="S246" s="12" t="s">
        <v>1701</v>
      </c>
    </row>
    <row r="247" spans="1:19" ht="21" customHeight="1" x14ac:dyDescent="0.15">
      <c r="A247" s="168">
        <v>48005</v>
      </c>
      <c r="B247" s="169" t="s">
        <v>81</v>
      </c>
      <c r="C247" s="32" t="s">
        <v>382</v>
      </c>
      <c r="D247" s="170" t="s">
        <v>1560</v>
      </c>
      <c r="E247" s="205" t="s">
        <v>1091</v>
      </c>
      <c r="F247" s="170">
        <v>3</v>
      </c>
      <c r="G247" s="170">
        <v>-1</v>
      </c>
      <c r="H247" s="23">
        <v>0</v>
      </c>
      <c r="I247" s="23">
        <v>0</v>
      </c>
      <c r="J247" s="23">
        <v>0</v>
      </c>
      <c r="K247" s="23">
        <v>0</v>
      </c>
      <c r="L247" s="170"/>
      <c r="M247" s="23">
        <f t="shared" ref="M247:M248" si="104">LEN(L247)</f>
        <v>0</v>
      </c>
      <c r="N247" s="170" t="s">
        <v>1561</v>
      </c>
      <c r="O247" s="170" t="s">
        <v>1562</v>
      </c>
      <c r="P247" s="82"/>
      <c r="Q247" s="12">
        <v>1</v>
      </c>
      <c r="R247" s="12" t="s">
        <v>1702</v>
      </c>
      <c r="S247" s="12" t="s">
        <v>1701</v>
      </c>
    </row>
    <row r="248" spans="1:19" ht="21" customHeight="1" x14ac:dyDescent="0.15">
      <c r="A248" s="168">
        <v>48006</v>
      </c>
      <c r="B248" s="169" t="s">
        <v>81</v>
      </c>
      <c r="C248" s="32" t="s">
        <v>382</v>
      </c>
      <c r="D248" s="170" t="s">
        <v>1563</v>
      </c>
      <c r="E248" s="205" t="s">
        <v>1855</v>
      </c>
      <c r="F248" s="170">
        <v>3</v>
      </c>
      <c r="G248" s="170">
        <v>-1</v>
      </c>
      <c r="H248" s="23">
        <v>0</v>
      </c>
      <c r="I248" s="23">
        <v>0</v>
      </c>
      <c r="J248" s="23">
        <v>0</v>
      </c>
      <c r="K248" s="23">
        <v>0</v>
      </c>
      <c r="L248" s="170"/>
      <c r="M248" s="23">
        <f t="shared" si="104"/>
        <v>0</v>
      </c>
      <c r="N248" s="170" t="s">
        <v>1564</v>
      </c>
      <c r="O248" s="170"/>
      <c r="P248" s="82"/>
      <c r="Q248" s="12">
        <v>1</v>
      </c>
      <c r="R248" s="12" t="s">
        <v>1702</v>
      </c>
      <c r="S248" s="12" t="s">
        <v>1701</v>
      </c>
    </row>
    <row r="249" spans="1:19" ht="21" customHeight="1" x14ac:dyDescent="0.15">
      <c r="A249" s="168">
        <v>48007</v>
      </c>
      <c r="B249" s="169" t="s">
        <v>81</v>
      </c>
      <c r="C249" s="32" t="s">
        <v>382</v>
      </c>
      <c r="D249" s="170" t="s">
        <v>1761</v>
      </c>
      <c r="E249" s="205" t="s">
        <v>1091</v>
      </c>
      <c r="F249" s="170">
        <v>1</v>
      </c>
      <c r="G249" s="170">
        <v>-1</v>
      </c>
      <c r="H249" s="23">
        <v>0</v>
      </c>
      <c r="I249" s="23">
        <v>0</v>
      </c>
      <c r="J249" s="23">
        <v>0</v>
      </c>
      <c r="K249" s="23">
        <v>0</v>
      </c>
      <c r="L249" s="170"/>
      <c r="M249" s="23">
        <f t="shared" ref="M249" si="105">LEN(L249)</f>
        <v>0</v>
      </c>
      <c r="N249" s="170" t="s">
        <v>1762</v>
      </c>
      <c r="O249" s="170"/>
      <c r="P249" s="82"/>
      <c r="Q249" s="12">
        <v>1</v>
      </c>
      <c r="R249" s="12" t="s">
        <v>200</v>
      </c>
      <c r="S249" s="12" t="s">
        <v>200</v>
      </c>
    </row>
    <row r="250" spans="1:19" ht="21" customHeight="1" x14ac:dyDescent="0.15">
      <c r="A250" s="168">
        <v>48008</v>
      </c>
      <c r="B250" s="169" t="s">
        <v>81</v>
      </c>
      <c r="C250" s="32" t="s">
        <v>382</v>
      </c>
      <c r="D250" s="170" t="s">
        <v>1849</v>
      </c>
      <c r="E250" s="205" t="s">
        <v>1091</v>
      </c>
      <c r="F250" s="170">
        <v>1</v>
      </c>
      <c r="G250" s="170">
        <v>-1</v>
      </c>
      <c r="H250" s="23">
        <v>0</v>
      </c>
      <c r="I250" s="23">
        <v>0</v>
      </c>
      <c r="J250" s="23">
        <v>0</v>
      </c>
      <c r="K250" s="23">
        <v>0</v>
      </c>
      <c r="L250" s="170"/>
      <c r="M250" s="23">
        <f t="shared" ref="M250" si="106">LEN(L250)</f>
        <v>0</v>
      </c>
      <c r="N250" s="170" t="s">
        <v>1850</v>
      </c>
      <c r="O250" s="170"/>
      <c r="P250" s="82"/>
      <c r="Q250" s="12">
        <v>1</v>
      </c>
      <c r="R250" s="12" t="s">
        <v>200</v>
      </c>
      <c r="S250" s="12" t="s">
        <v>200</v>
      </c>
    </row>
    <row r="251" spans="1:19" ht="21" customHeight="1" x14ac:dyDescent="0.15">
      <c r="A251" s="168">
        <v>48009</v>
      </c>
      <c r="B251" s="169" t="s">
        <v>81</v>
      </c>
      <c r="C251" s="32" t="s">
        <v>382</v>
      </c>
      <c r="D251" s="170" t="s">
        <v>1909</v>
      </c>
      <c r="E251" s="205" t="s">
        <v>1916</v>
      </c>
      <c r="F251" s="170">
        <v>1</v>
      </c>
      <c r="G251" s="170">
        <v>-1</v>
      </c>
      <c r="H251" s="23">
        <v>0</v>
      </c>
      <c r="I251" s="23">
        <v>0</v>
      </c>
      <c r="J251" s="23">
        <v>0</v>
      </c>
      <c r="K251" s="23">
        <v>0</v>
      </c>
      <c r="L251" s="170"/>
      <c r="M251" s="23">
        <f t="shared" ref="M251" si="107">LEN(L251)</f>
        <v>0</v>
      </c>
      <c r="N251" s="170" t="s">
        <v>1908</v>
      </c>
      <c r="O251" s="170"/>
      <c r="P251" s="82"/>
      <c r="Q251" s="12">
        <v>1</v>
      </c>
      <c r="R251" s="12" t="s">
        <v>169</v>
      </c>
      <c r="S251" s="12" t="s">
        <v>169</v>
      </c>
    </row>
    <row r="252" spans="1:19" ht="21" customHeight="1" x14ac:dyDescent="0.15">
      <c r="A252" s="168">
        <v>48010</v>
      </c>
      <c r="B252" s="169" t="s">
        <v>81</v>
      </c>
      <c r="C252" s="32" t="s">
        <v>382</v>
      </c>
      <c r="D252" s="170" t="s">
        <v>1915</v>
      </c>
      <c r="E252" s="205" t="s">
        <v>1916</v>
      </c>
      <c r="F252" s="170">
        <v>1</v>
      </c>
      <c r="G252" s="170">
        <v>-1</v>
      </c>
      <c r="H252" s="23">
        <v>0</v>
      </c>
      <c r="I252" s="23">
        <v>0</v>
      </c>
      <c r="J252" s="23">
        <v>0</v>
      </c>
      <c r="K252" s="23">
        <v>0</v>
      </c>
      <c r="L252" s="170"/>
      <c r="M252" s="23">
        <f t="shared" ref="M252" si="108">LEN(L252)</f>
        <v>0</v>
      </c>
      <c r="N252" s="170" t="s">
        <v>1917</v>
      </c>
      <c r="O252" s="170"/>
      <c r="P252" s="82"/>
      <c r="Q252" s="12">
        <v>1</v>
      </c>
      <c r="R252" s="12" t="s">
        <v>169</v>
      </c>
      <c r="S252" s="12" t="s">
        <v>169</v>
      </c>
    </row>
    <row r="253" spans="1:19" ht="21" customHeight="1" x14ac:dyDescent="0.15">
      <c r="A253" s="168">
        <v>48011</v>
      </c>
      <c r="B253" s="169" t="s">
        <v>81</v>
      </c>
      <c r="C253" s="32" t="s">
        <v>382</v>
      </c>
      <c r="D253" s="170" t="s">
        <v>2049</v>
      </c>
      <c r="E253" s="205" t="s">
        <v>1916</v>
      </c>
      <c r="F253" s="170">
        <v>1</v>
      </c>
      <c r="G253" s="170">
        <v>-1</v>
      </c>
      <c r="H253" s="23">
        <v>0</v>
      </c>
      <c r="I253" s="23">
        <v>0</v>
      </c>
      <c r="J253" s="23">
        <v>0</v>
      </c>
      <c r="K253" s="23">
        <v>0</v>
      </c>
      <c r="L253" s="170"/>
      <c r="M253" s="23">
        <f t="shared" ref="M253" si="109">LEN(L253)</f>
        <v>0</v>
      </c>
      <c r="N253" s="170" t="s">
        <v>1991</v>
      </c>
      <c r="O253" s="170"/>
      <c r="P253" s="82"/>
      <c r="Q253" s="12">
        <v>1</v>
      </c>
      <c r="R253" s="12" t="s">
        <v>169</v>
      </c>
      <c r="S253" s="12" t="s">
        <v>169</v>
      </c>
    </row>
    <row r="254" spans="1:19" ht="21" customHeight="1" x14ac:dyDescent="0.15">
      <c r="A254" s="168">
        <v>48012</v>
      </c>
      <c r="B254" s="169" t="s">
        <v>81</v>
      </c>
      <c r="C254" s="32" t="s">
        <v>382</v>
      </c>
      <c r="D254" s="170" t="s">
        <v>2196</v>
      </c>
      <c r="E254" s="205" t="s">
        <v>1916</v>
      </c>
      <c r="F254" s="170">
        <v>1</v>
      </c>
      <c r="G254" s="170">
        <v>-1</v>
      </c>
      <c r="H254" s="23">
        <v>0</v>
      </c>
      <c r="I254" s="23">
        <v>0</v>
      </c>
      <c r="J254" s="23">
        <v>0</v>
      </c>
      <c r="K254" s="23">
        <v>0</v>
      </c>
      <c r="L254" s="170"/>
      <c r="M254" s="23">
        <f t="shared" ref="M254" si="110">LEN(L254)</f>
        <v>0</v>
      </c>
      <c r="N254" s="170" t="s">
        <v>2197</v>
      </c>
      <c r="O254" s="170"/>
      <c r="P254" s="82"/>
      <c r="Q254" s="12">
        <v>1</v>
      </c>
      <c r="R254" s="12" t="s">
        <v>169</v>
      </c>
      <c r="S254" s="12" t="s">
        <v>169</v>
      </c>
    </row>
    <row r="255" spans="1:19" ht="21" customHeight="1" x14ac:dyDescent="0.15">
      <c r="A255" s="168">
        <v>48013</v>
      </c>
      <c r="B255" s="169" t="s">
        <v>81</v>
      </c>
      <c r="C255" s="32" t="s">
        <v>382</v>
      </c>
      <c r="D255" s="170" t="s">
        <v>2309</v>
      </c>
      <c r="E255" s="205" t="s">
        <v>1091</v>
      </c>
      <c r="F255" s="170">
        <v>1</v>
      </c>
      <c r="G255" s="170">
        <v>-1</v>
      </c>
      <c r="H255" s="23">
        <v>0</v>
      </c>
      <c r="I255" s="23">
        <v>0</v>
      </c>
      <c r="J255" s="23">
        <v>0</v>
      </c>
      <c r="K255" s="23">
        <v>0</v>
      </c>
      <c r="L255" s="170"/>
      <c r="M255" s="23">
        <f t="shared" ref="M255:M257" si="111">LEN(L255)</f>
        <v>0</v>
      </c>
      <c r="N255" s="170" t="s">
        <v>2308</v>
      </c>
      <c r="O255" s="170"/>
      <c r="P255" s="82"/>
      <c r="Q255" s="12">
        <v>1</v>
      </c>
      <c r="R255" s="12" t="s">
        <v>169</v>
      </c>
      <c r="S255" s="12" t="s">
        <v>169</v>
      </c>
    </row>
    <row r="256" spans="1:19" ht="21" customHeight="1" x14ac:dyDescent="0.15">
      <c r="A256" s="168">
        <v>48014</v>
      </c>
      <c r="B256" s="169" t="s">
        <v>81</v>
      </c>
      <c r="C256" s="32" t="s">
        <v>382</v>
      </c>
      <c r="D256" s="170" t="s">
        <v>1909</v>
      </c>
      <c r="E256" s="205" t="s">
        <v>1916</v>
      </c>
      <c r="F256" s="170">
        <v>3</v>
      </c>
      <c r="G256" s="170">
        <v>-1</v>
      </c>
      <c r="H256" s="23">
        <v>0</v>
      </c>
      <c r="I256" s="23">
        <v>0</v>
      </c>
      <c r="J256" s="23">
        <v>0</v>
      </c>
      <c r="K256" s="23">
        <v>0</v>
      </c>
      <c r="L256" s="170"/>
      <c r="M256" s="23">
        <f t="shared" si="111"/>
        <v>0</v>
      </c>
      <c r="N256" s="170" t="s">
        <v>1908</v>
      </c>
      <c r="O256" s="170" t="s">
        <v>2313</v>
      </c>
      <c r="P256" s="82"/>
      <c r="Q256" s="12">
        <v>1</v>
      </c>
      <c r="R256" s="12" t="s">
        <v>169</v>
      </c>
      <c r="S256" s="12" t="s">
        <v>169</v>
      </c>
    </row>
    <row r="257" spans="1:19" ht="22" customHeight="1" x14ac:dyDescent="0.15">
      <c r="A257" s="168">
        <v>48015</v>
      </c>
      <c r="B257" s="169" t="s">
        <v>81</v>
      </c>
      <c r="C257" s="32" t="s">
        <v>382</v>
      </c>
      <c r="D257" s="170" t="s">
        <v>1563</v>
      </c>
      <c r="E257" s="205" t="s">
        <v>1855</v>
      </c>
      <c r="F257" s="170">
        <v>3</v>
      </c>
      <c r="G257" s="170">
        <v>-1</v>
      </c>
      <c r="H257" s="23">
        <v>0</v>
      </c>
      <c r="I257" s="23">
        <v>0</v>
      </c>
      <c r="J257" s="23">
        <v>0</v>
      </c>
      <c r="K257" s="23">
        <v>0</v>
      </c>
      <c r="L257" s="170"/>
      <c r="M257" s="23">
        <f t="shared" si="111"/>
        <v>0</v>
      </c>
      <c r="N257" s="170" t="s">
        <v>1564</v>
      </c>
      <c r="O257" s="170" t="s">
        <v>2313</v>
      </c>
      <c r="P257" s="82"/>
      <c r="Q257" s="12">
        <v>1</v>
      </c>
      <c r="R257" s="12" t="s">
        <v>169</v>
      </c>
      <c r="S257" s="12" t="s">
        <v>1701</v>
      </c>
    </row>
    <row r="258" spans="1:19" ht="22" customHeight="1" x14ac:dyDescent="0.15">
      <c r="A258" s="168">
        <v>48016</v>
      </c>
      <c r="B258" s="169" t="s">
        <v>81</v>
      </c>
      <c r="C258" s="32" t="s">
        <v>382</v>
      </c>
      <c r="D258" s="170" t="s">
        <v>2415</v>
      </c>
      <c r="E258" s="205" t="s">
        <v>2047</v>
      </c>
      <c r="F258" s="170">
        <v>1</v>
      </c>
      <c r="G258" s="170">
        <v>-1</v>
      </c>
      <c r="H258" s="23">
        <v>0</v>
      </c>
      <c r="I258" s="23">
        <v>0</v>
      </c>
      <c r="J258" s="23">
        <v>0</v>
      </c>
      <c r="K258" s="23">
        <v>0</v>
      </c>
      <c r="L258" s="170"/>
      <c r="M258" s="23">
        <f t="shared" ref="M258" si="112">LEN(L258)</f>
        <v>0</v>
      </c>
      <c r="N258" s="170" t="s">
        <v>1991</v>
      </c>
      <c r="O258" s="170"/>
      <c r="P258" s="82"/>
      <c r="Q258" s="12">
        <v>1</v>
      </c>
      <c r="R258" s="12" t="s">
        <v>169</v>
      </c>
      <c r="S258" s="12" t="s">
        <v>523</v>
      </c>
    </row>
    <row r="259" spans="1:19" ht="21" customHeight="1" x14ac:dyDescent="0.15">
      <c r="A259" s="168">
        <v>48101</v>
      </c>
      <c r="B259" s="169" t="s">
        <v>81</v>
      </c>
      <c r="C259" s="32" t="s">
        <v>382</v>
      </c>
      <c r="D259" s="170" t="s">
        <v>2338</v>
      </c>
      <c r="E259" s="205" t="s">
        <v>1638</v>
      </c>
      <c r="F259" s="170">
        <v>1</v>
      </c>
      <c r="G259" s="170">
        <v>-1</v>
      </c>
      <c r="H259" s="23">
        <v>0</v>
      </c>
      <c r="I259" s="23">
        <v>0</v>
      </c>
      <c r="J259" s="23">
        <v>0</v>
      </c>
      <c r="K259" s="23">
        <v>0</v>
      </c>
      <c r="L259" s="170"/>
      <c r="M259" s="23">
        <f t="shared" ref="M259" si="113">LEN(L259)</f>
        <v>0</v>
      </c>
      <c r="N259" s="170" t="s">
        <v>2348</v>
      </c>
      <c r="O259" s="170" t="s">
        <v>2339</v>
      </c>
      <c r="P259" s="82"/>
      <c r="Q259" s="12">
        <v>1</v>
      </c>
      <c r="R259" s="12" t="s">
        <v>169</v>
      </c>
      <c r="S259" s="12" t="s">
        <v>169</v>
      </c>
    </row>
    <row r="260" spans="1:19" ht="21" customHeight="1" x14ac:dyDescent="0.15">
      <c r="A260" s="168">
        <v>48501</v>
      </c>
      <c r="B260" s="169" t="s">
        <v>81</v>
      </c>
      <c r="C260" s="32" t="s">
        <v>382</v>
      </c>
      <c r="D260" s="170" t="s">
        <v>1898</v>
      </c>
      <c r="E260" s="205" t="s">
        <v>1091</v>
      </c>
      <c r="F260" s="170">
        <v>1</v>
      </c>
      <c r="G260" s="170">
        <v>-1</v>
      </c>
      <c r="H260" s="23">
        <v>0</v>
      </c>
      <c r="I260" s="23">
        <v>0</v>
      </c>
      <c r="J260" s="23">
        <v>0</v>
      </c>
      <c r="K260" s="23">
        <v>0</v>
      </c>
      <c r="L260" s="170"/>
      <c r="M260" s="23">
        <f t="shared" ref="M260" si="114">LEN(L260)</f>
        <v>0</v>
      </c>
      <c r="N260" s="170" t="s">
        <v>1899</v>
      </c>
      <c r="O260" s="170"/>
      <c r="P260" s="82"/>
      <c r="Q260" s="12">
        <v>1</v>
      </c>
      <c r="R260" s="12" t="s">
        <v>200</v>
      </c>
      <c r="S260" s="12" t="s">
        <v>200</v>
      </c>
    </row>
    <row r="261" spans="1:19" ht="21" customHeight="1" x14ac:dyDescent="0.15">
      <c r="A261" s="168">
        <v>48502</v>
      </c>
      <c r="B261" s="169" t="s">
        <v>81</v>
      </c>
      <c r="C261" s="32" t="s">
        <v>382</v>
      </c>
      <c r="D261" s="170" t="s">
        <v>2087</v>
      </c>
      <c r="E261" s="205" t="s">
        <v>1091</v>
      </c>
      <c r="F261" s="170">
        <v>1</v>
      </c>
      <c r="G261" s="170">
        <v>-1</v>
      </c>
      <c r="H261" s="23">
        <v>0</v>
      </c>
      <c r="I261" s="23">
        <v>0</v>
      </c>
      <c r="J261" s="23">
        <v>0</v>
      </c>
      <c r="K261" s="23">
        <v>0</v>
      </c>
      <c r="L261" s="170"/>
      <c r="M261" s="23">
        <f t="shared" ref="M261:M262" si="115">LEN(L261)</f>
        <v>0</v>
      </c>
      <c r="N261" s="170" t="s">
        <v>2088</v>
      </c>
      <c r="O261" s="170"/>
      <c r="P261" s="82"/>
      <c r="Q261" s="12">
        <v>1</v>
      </c>
      <c r="R261" s="12" t="s">
        <v>169</v>
      </c>
      <c r="S261" s="12" t="s">
        <v>169</v>
      </c>
    </row>
    <row r="262" spans="1:19" ht="21" customHeight="1" x14ac:dyDescent="0.15">
      <c r="A262" s="168">
        <v>48503</v>
      </c>
      <c r="B262" s="169" t="s">
        <v>81</v>
      </c>
      <c r="C262" s="32" t="s">
        <v>382</v>
      </c>
      <c r="D262" s="170" t="s">
        <v>1898</v>
      </c>
      <c r="E262" s="205" t="s">
        <v>1091</v>
      </c>
      <c r="F262" s="170">
        <v>3</v>
      </c>
      <c r="G262" s="170">
        <v>-1</v>
      </c>
      <c r="H262" s="23">
        <v>0</v>
      </c>
      <c r="I262" s="23">
        <v>0</v>
      </c>
      <c r="J262" s="23">
        <v>0</v>
      </c>
      <c r="K262" s="23">
        <v>0</v>
      </c>
      <c r="L262" s="170"/>
      <c r="M262" s="23">
        <f t="shared" si="115"/>
        <v>0</v>
      </c>
      <c r="N262" s="170" t="s">
        <v>2319</v>
      </c>
      <c r="O262" s="170" t="s">
        <v>2313</v>
      </c>
      <c r="P262" s="82"/>
      <c r="Q262" s="12">
        <v>1</v>
      </c>
      <c r="R262" s="12" t="s">
        <v>200</v>
      </c>
      <c r="S262" s="12" t="s">
        <v>200</v>
      </c>
    </row>
    <row r="263" spans="1:19" ht="21" customHeight="1" x14ac:dyDescent="0.15">
      <c r="A263" s="168">
        <v>48504</v>
      </c>
      <c r="B263" s="169" t="s">
        <v>81</v>
      </c>
      <c r="C263" s="32" t="s">
        <v>382</v>
      </c>
      <c r="D263" s="170" t="s">
        <v>2399</v>
      </c>
      <c r="E263" s="205" t="s">
        <v>1091</v>
      </c>
      <c r="F263" s="170">
        <v>1</v>
      </c>
      <c r="G263" s="170">
        <v>-1</v>
      </c>
      <c r="H263" s="23">
        <v>0</v>
      </c>
      <c r="I263" s="23">
        <v>0</v>
      </c>
      <c r="J263" s="23">
        <v>0</v>
      </c>
      <c r="K263" s="23">
        <v>0</v>
      </c>
      <c r="L263" s="170"/>
      <c r="M263" s="23">
        <f t="shared" ref="M263" si="116">LEN(L263)</f>
        <v>0</v>
      </c>
      <c r="N263" s="170" t="s">
        <v>2396</v>
      </c>
      <c r="O263" s="170"/>
      <c r="P263" s="82"/>
      <c r="Q263" s="12">
        <v>1</v>
      </c>
      <c r="R263" s="12" t="s">
        <v>169</v>
      </c>
      <c r="S263" s="12" t="s">
        <v>169</v>
      </c>
    </row>
    <row r="264" spans="1:19" ht="21" customHeight="1" x14ac:dyDescent="0.15">
      <c r="A264" s="168">
        <v>48701</v>
      </c>
      <c r="B264" s="169" t="s">
        <v>81</v>
      </c>
      <c r="C264" s="32" t="s">
        <v>382</v>
      </c>
      <c r="D264" s="170" t="s">
        <v>2119</v>
      </c>
      <c r="E264" s="205" t="s">
        <v>1091</v>
      </c>
      <c r="F264" s="170">
        <v>1</v>
      </c>
      <c r="G264" s="170">
        <v>-1</v>
      </c>
      <c r="H264" s="23">
        <v>0</v>
      </c>
      <c r="I264" s="23">
        <v>0</v>
      </c>
      <c r="J264" s="23">
        <v>0</v>
      </c>
      <c r="K264" s="23">
        <v>0</v>
      </c>
      <c r="L264" s="170"/>
      <c r="M264" s="23">
        <f>LEN(L264)</f>
        <v>0</v>
      </c>
      <c r="N264" s="170" t="s">
        <v>2120</v>
      </c>
      <c r="O264" s="170"/>
      <c r="P264" s="82"/>
      <c r="Q264" s="12">
        <v>1</v>
      </c>
      <c r="R264" s="12" t="s">
        <v>169</v>
      </c>
      <c r="S264" s="12" t="s">
        <v>169</v>
      </c>
    </row>
    <row r="265" spans="1:19" ht="21" customHeight="1" x14ac:dyDescent="0.15">
      <c r="A265" s="168">
        <v>48702</v>
      </c>
      <c r="B265" s="169" t="s">
        <v>81</v>
      </c>
      <c r="C265" s="32" t="s">
        <v>382</v>
      </c>
      <c r="D265" s="170" t="s">
        <v>2243</v>
      </c>
      <c r="E265" s="205" t="s">
        <v>1091</v>
      </c>
      <c r="F265" s="170">
        <v>1</v>
      </c>
      <c r="G265" s="170">
        <v>-1</v>
      </c>
      <c r="H265" s="23">
        <v>0</v>
      </c>
      <c r="I265" s="23">
        <v>0</v>
      </c>
      <c r="J265" s="23">
        <v>0</v>
      </c>
      <c r="K265" s="23">
        <v>0</v>
      </c>
      <c r="L265" s="170"/>
      <c r="M265" s="23">
        <f>LEN(L265)</f>
        <v>0</v>
      </c>
      <c r="N265" s="170" t="s">
        <v>2242</v>
      </c>
      <c r="O265" s="170"/>
      <c r="P265" s="82"/>
      <c r="Q265" s="12">
        <v>1</v>
      </c>
      <c r="R265" s="12" t="s">
        <v>169</v>
      </c>
      <c r="S265" s="12" t="s">
        <v>169</v>
      </c>
    </row>
    <row r="266" spans="1:19" ht="21" customHeight="1" x14ac:dyDescent="0.15">
      <c r="A266" s="168">
        <v>48703</v>
      </c>
      <c r="B266" s="169" t="s">
        <v>81</v>
      </c>
      <c r="C266" s="32" t="s">
        <v>382</v>
      </c>
      <c r="D266" s="170" t="s">
        <v>2422</v>
      </c>
      <c r="E266" s="205" t="s">
        <v>1091</v>
      </c>
      <c r="F266" s="170">
        <v>1</v>
      </c>
      <c r="G266" s="170">
        <v>-1</v>
      </c>
      <c r="H266" s="23">
        <v>0</v>
      </c>
      <c r="I266" s="23">
        <v>0</v>
      </c>
      <c r="J266" s="23">
        <v>0</v>
      </c>
      <c r="K266" s="23">
        <v>0</v>
      </c>
      <c r="L266" s="170"/>
      <c r="M266" s="23">
        <f>LEN(L266)</f>
        <v>0</v>
      </c>
      <c r="N266" s="170" t="s">
        <v>2423</v>
      </c>
      <c r="O266" s="170"/>
      <c r="P266" s="82"/>
      <c r="Q266" s="12">
        <v>1</v>
      </c>
      <c r="R266" s="12" t="s">
        <v>169</v>
      </c>
      <c r="S266" s="12" t="s">
        <v>169</v>
      </c>
    </row>
    <row r="267" spans="1:19" s="83" customFormat="1" ht="21" customHeight="1" x14ac:dyDescent="0.15">
      <c r="A267" s="80">
        <v>41001</v>
      </c>
      <c r="B267" s="81" t="s">
        <v>81</v>
      </c>
      <c r="C267" s="18" t="s">
        <v>568</v>
      </c>
      <c r="D267" s="82" t="s">
        <v>241</v>
      </c>
      <c r="E267" s="82" t="s">
        <v>419</v>
      </c>
      <c r="F267" s="82">
        <v>3</v>
      </c>
      <c r="G267" s="82">
        <v>-1</v>
      </c>
      <c r="H267" s="12">
        <v>0</v>
      </c>
      <c r="I267" s="12">
        <v>0</v>
      </c>
      <c r="J267" s="12">
        <v>0</v>
      </c>
      <c r="K267" s="12">
        <v>0</v>
      </c>
      <c r="L267" s="82"/>
      <c r="M267" s="12">
        <f t="shared" si="76"/>
        <v>0</v>
      </c>
      <c r="N267" s="82" t="s">
        <v>242</v>
      </c>
      <c r="O267" s="82"/>
      <c r="P267" s="82" t="s">
        <v>1210</v>
      </c>
      <c r="Q267" s="12">
        <v>1</v>
      </c>
      <c r="R267" s="12" t="s">
        <v>1702</v>
      </c>
      <c r="S267" s="12" t="s">
        <v>1701</v>
      </c>
    </row>
    <row r="268" spans="1:19" s="83" customFormat="1" ht="21" customHeight="1" x14ac:dyDescent="0.15">
      <c r="A268" s="80">
        <v>41002</v>
      </c>
      <c r="B268" s="81" t="s">
        <v>81</v>
      </c>
      <c r="C268" s="18" t="s">
        <v>568</v>
      </c>
      <c r="D268" s="82" t="s">
        <v>243</v>
      </c>
      <c r="E268" s="82" t="s">
        <v>419</v>
      </c>
      <c r="F268" s="82">
        <v>3</v>
      </c>
      <c r="G268" s="82">
        <v>-1</v>
      </c>
      <c r="H268" s="12">
        <v>0</v>
      </c>
      <c r="I268" s="12">
        <v>0</v>
      </c>
      <c r="J268" s="12">
        <v>0</v>
      </c>
      <c r="K268" s="12">
        <v>0</v>
      </c>
      <c r="L268" s="82"/>
      <c r="M268" s="12">
        <f t="shared" ref="M268" si="117">LEN(L268)</f>
        <v>0</v>
      </c>
      <c r="N268" s="82" t="s">
        <v>242</v>
      </c>
      <c r="O268" s="82"/>
      <c r="P268" s="82" t="s">
        <v>1210</v>
      </c>
      <c r="Q268" s="12">
        <v>1</v>
      </c>
      <c r="R268" s="12" t="s">
        <v>1702</v>
      </c>
      <c r="S268" s="12" t="s">
        <v>1701</v>
      </c>
    </row>
    <row r="269" spans="1:19" s="83" customFormat="1" ht="22" customHeight="1" x14ac:dyDescent="0.15">
      <c r="A269" s="80">
        <v>41003</v>
      </c>
      <c r="B269" s="81" t="s">
        <v>81</v>
      </c>
      <c r="C269" s="18" t="s">
        <v>568</v>
      </c>
      <c r="D269" s="82" t="s">
        <v>245</v>
      </c>
      <c r="E269" s="82" t="s">
        <v>419</v>
      </c>
      <c r="F269" s="82">
        <v>3</v>
      </c>
      <c r="G269" s="82">
        <v>-1</v>
      </c>
      <c r="H269" s="12">
        <v>0</v>
      </c>
      <c r="I269" s="12">
        <v>0</v>
      </c>
      <c r="J269" s="12">
        <v>0</v>
      </c>
      <c r="K269" s="12">
        <v>0</v>
      </c>
      <c r="L269" s="82"/>
      <c r="M269" s="12">
        <f t="shared" ref="M269" si="118">LEN(L269)</f>
        <v>0</v>
      </c>
      <c r="N269" s="82" t="s">
        <v>242</v>
      </c>
      <c r="O269" s="82"/>
      <c r="P269" s="82" t="s">
        <v>1210</v>
      </c>
      <c r="Q269" s="12">
        <v>1</v>
      </c>
      <c r="R269" s="12" t="s">
        <v>1702</v>
      </c>
      <c r="S269" s="12" t="s">
        <v>1701</v>
      </c>
    </row>
    <row r="270" spans="1:19" s="83" customFormat="1" ht="22" customHeight="1" x14ac:dyDescent="0.15">
      <c r="A270" s="80">
        <v>41004</v>
      </c>
      <c r="B270" s="81" t="s">
        <v>81</v>
      </c>
      <c r="C270" s="18" t="s">
        <v>568</v>
      </c>
      <c r="D270" s="82" t="s">
        <v>1193</v>
      </c>
      <c r="E270" s="82" t="s">
        <v>419</v>
      </c>
      <c r="F270" s="82">
        <v>3</v>
      </c>
      <c r="G270" s="82">
        <v>-1</v>
      </c>
      <c r="H270" s="12">
        <v>0</v>
      </c>
      <c r="I270" s="12">
        <v>0</v>
      </c>
      <c r="J270" s="12">
        <v>0</v>
      </c>
      <c r="K270" s="12">
        <v>0</v>
      </c>
      <c r="L270" s="82"/>
      <c r="M270" s="12">
        <f t="shared" ref="M270" si="119">LEN(L270)</f>
        <v>0</v>
      </c>
      <c r="N270" s="82" t="s">
        <v>242</v>
      </c>
      <c r="O270" s="82"/>
      <c r="P270" s="82" t="s">
        <v>1210</v>
      </c>
      <c r="Q270" s="12">
        <v>1</v>
      </c>
      <c r="R270" s="12" t="s">
        <v>1702</v>
      </c>
      <c r="S270" s="12" t="s">
        <v>1701</v>
      </c>
    </row>
    <row r="271" spans="1:19" s="83" customFormat="1" ht="22" customHeight="1" x14ac:dyDescent="0.15">
      <c r="A271" s="80">
        <v>41005</v>
      </c>
      <c r="B271" s="81" t="s">
        <v>81</v>
      </c>
      <c r="C271" s="18" t="s">
        <v>568</v>
      </c>
      <c r="D271" s="212" t="s">
        <v>1215</v>
      </c>
      <c r="E271" s="82" t="s">
        <v>419</v>
      </c>
      <c r="F271" s="212">
        <v>3</v>
      </c>
      <c r="G271" s="82">
        <v>-1</v>
      </c>
      <c r="H271" s="12">
        <v>0</v>
      </c>
      <c r="I271" s="12">
        <v>0</v>
      </c>
      <c r="J271" s="12">
        <v>0</v>
      </c>
      <c r="K271" s="12">
        <v>0</v>
      </c>
      <c r="L271" s="82"/>
      <c r="M271" s="12">
        <f t="shared" ref="M271" si="120">LEN(L271)</f>
        <v>0</v>
      </c>
      <c r="N271" s="82" t="s">
        <v>242</v>
      </c>
      <c r="O271" s="212"/>
      <c r="P271" s="82" t="s">
        <v>1317</v>
      </c>
      <c r="Q271" s="12">
        <v>1</v>
      </c>
      <c r="R271" s="12" t="s">
        <v>1702</v>
      </c>
      <c r="S271" s="12" t="s">
        <v>1701</v>
      </c>
    </row>
    <row r="272" spans="1:19" s="83" customFormat="1" ht="22" customHeight="1" x14ac:dyDescent="0.15">
      <c r="A272" s="80">
        <v>41006</v>
      </c>
      <c r="B272" s="81" t="s">
        <v>81</v>
      </c>
      <c r="C272" s="18" t="s">
        <v>568</v>
      </c>
      <c r="D272" s="212" t="s">
        <v>1233</v>
      </c>
      <c r="E272" s="82" t="s">
        <v>419</v>
      </c>
      <c r="F272" s="212">
        <v>3</v>
      </c>
      <c r="G272" s="82">
        <v>-1</v>
      </c>
      <c r="H272" s="12">
        <v>0</v>
      </c>
      <c r="I272" s="12">
        <v>0</v>
      </c>
      <c r="J272" s="12">
        <v>0</v>
      </c>
      <c r="K272" s="12">
        <v>0</v>
      </c>
      <c r="L272" s="82"/>
      <c r="M272" s="12">
        <f t="shared" ref="M272:M273" si="121">LEN(L272)</f>
        <v>0</v>
      </c>
      <c r="N272" s="82" t="s">
        <v>242</v>
      </c>
      <c r="O272" s="212"/>
      <c r="P272" s="82" t="s">
        <v>1317</v>
      </c>
      <c r="Q272" s="12">
        <v>1</v>
      </c>
      <c r="R272" s="12" t="s">
        <v>1702</v>
      </c>
      <c r="S272" s="12" t="s">
        <v>1701</v>
      </c>
    </row>
    <row r="273" spans="1:19" s="83" customFormat="1" ht="22" customHeight="1" x14ac:dyDescent="0.15">
      <c r="A273" s="80">
        <v>41007</v>
      </c>
      <c r="B273" s="81" t="s">
        <v>81</v>
      </c>
      <c r="C273" s="18" t="s">
        <v>568</v>
      </c>
      <c r="D273" s="212" t="s">
        <v>1323</v>
      </c>
      <c r="E273" s="82" t="s">
        <v>419</v>
      </c>
      <c r="F273" s="212">
        <v>3</v>
      </c>
      <c r="G273" s="82">
        <v>-1</v>
      </c>
      <c r="H273" s="12">
        <v>0</v>
      </c>
      <c r="I273" s="12">
        <v>0</v>
      </c>
      <c r="J273" s="12">
        <v>0</v>
      </c>
      <c r="K273" s="12">
        <v>0</v>
      </c>
      <c r="L273" s="82"/>
      <c r="M273" s="12">
        <f t="shared" si="121"/>
        <v>0</v>
      </c>
      <c r="N273" s="82" t="s">
        <v>242</v>
      </c>
      <c r="O273" s="212"/>
      <c r="P273" s="82" t="s">
        <v>1317</v>
      </c>
      <c r="Q273" s="12">
        <v>1</v>
      </c>
      <c r="R273" s="12" t="s">
        <v>1702</v>
      </c>
      <c r="S273" s="12" t="s">
        <v>1701</v>
      </c>
    </row>
    <row r="274" spans="1:19" s="83" customFormat="1" ht="22" customHeight="1" x14ac:dyDescent="0.15">
      <c r="A274" s="80">
        <v>41008</v>
      </c>
      <c r="B274" s="81" t="s">
        <v>81</v>
      </c>
      <c r="C274" s="18" t="s">
        <v>568</v>
      </c>
      <c r="D274" s="212" t="s">
        <v>1308</v>
      </c>
      <c r="E274" s="82" t="s">
        <v>419</v>
      </c>
      <c r="F274" s="212">
        <v>3</v>
      </c>
      <c r="G274" s="82">
        <v>-1</v>
      </c>
      <c r="H274" s="12">
        <v>0</v>
      </c>
      <c r="I274" s="12">
        <v>0</v>
      </c>
      <c r="J274" s="12">
        <v>0</v>
      </c>
      <c r="K274" s="12">
        <v>0</v>
      </c>
      <c r="L274" s="82"/>
      <c r="M274" s="12">
        <f t="shared" ref="M274" si="122">LEN(L274)</f>
        <v>0</v>
      </c>
      <c r="N274" s="82" t="s">
        <v>242</v>
      </c>
      <c r="O274" s="212"/>
      <c r="P274" s="82" t="s">
        <v>1317</v>
      </c>
      <c r="Q274" s="12">
        <v>1</v>
      </c>
      <c r="R274" s="12" t="s">
        <v>1702</v>
      </c>
      <c r="S274" s="12" t="s">
        <v>1701</v>
      </c>
    </row>
    <row r="275" spans="1:19" s="83" customFormat="1" ht="22" customHeight="1" x14ac:dyDescent="0.15">
      <c r="A275" s="80">
        <v>41009</v>
      </c>
      <c r="B275" s="81" t="s">
        <v>81</v>
      </c>
      <c r="C275" s="18" t="s">
        <v>568</v>
      </c>
      <c r="D275" s="212" t="s">
        <v>926</v>
      </c>
      <c r="E275" s="82" t="s">
        <v>419</v>
      </c>
      <c r="F275" s="212">
        <v>3</v>
      </c>
      <c r="G275" s="82">
        <v>-1</v>
      </c>
      <c r="H275" s="12">
        <v>0</v>
      </c>
      <c r="I275" s="12">
        <v>0</v>
      </c>
      <c r="J275" s="12">
        <v>0</v>
      </c>
      <c r="K275" s="12">
        <v>0</v>
      </c>
      <c r="L275" s="82"/>
      <c r="M275" s="12">
        <f t="shared" ref="M275" si="123">LEN(L275)</f>
        <v>0</v>
      </c>
      <c r="N275" s="82" t="s">
        <v>242</v>
      </c>
      <c r="O275" s="212"/>
      <c r="P275" s="82"/>
      <c r="Q275" s="12">
        <v>1</v>
      </c>
      <c r="R275" s="12" t="s">
        <v>1702</v>
      </c>
      <c r="S275" s="12" t="s">
        <v>1701</v>
      </c>
    </row>
    <row r="276" spans="1:19" s="83" customFormat="1" ht="22" customHeight="1" x14ac:dyDescent="0.15">
      <c r="A276" s="80">
        <v>41010</v>
      </c>
      <c r="B276" s="81" t="s">
        <v>81</v>
      </c>
      <c r="C276" s="18" t="s">
        <v>568</v>
      </c>
      <c r="D276" s="212" t="s">
        <v>958</v>
      </c>
      <c r="E276" s="205" t="s">
        <v>1928</v>
      </c>
      <c r="F276" s="212">
        <v>3</v>
      </c>
      <c r="G276" s="82">
        <v>-1</v>
      </c>
      <c r="H276" s="12">
        <v>0</v>
      </c>
      <c r="I276" s="12">
        <v>0</v>
      </c>
      <c r="J276" s="12">
        <v>0</v>
      </c>
      <c r="K276" s="12">
        <v>0</v>
      </c>
      <c r="L276" s="82"/>
      <c r="M276" s="12">
        <f t="shared" ref="M276:M282" si="124">LEN(L276)</f>
        <v>0</v>
      </c>
      <c r="N276" s="82" t="s">
        <v>242</v>
      </c>
      <c r="O276" s="212"/>
      <c r="P276" s="82"/>
      <c r="Q276" s="12">
        <v>1</v>
      </c>
      <c r="R276" s="12" t="s">
        <v>1702</v>
      </c>
      <c r="S276" s="12" t="s">
        <v>1701</v>
      </c>
    </row>
    <row r="277" spans="1:19" s="83" customFormat="1" ht="22" customHeight="1" x14ac:dyDescent="0.15">
      <c r="A277" s="80">
        <v>41011</v>
      </c>
      <c r="B277" s="81" t="s">
        <v>81</v>
      </c>
      <c r="C277" s="18" t="s">
        <v>382</v>
      </c>
      <c r="D277" s="212" t="s">
        <v>1462</v>
      </c>
      <c r="E277" s="82" t="s">
        <v>419</v>
      </c>
      <c r="F277" s="212">
        <v>3</v>
      </c>
      <c r="G277" s="82">
        <v>-1</v>
      </c>
      <c r="H277" s="12">
        <v>0</v>
      </c>
      <c r="I277" s="12">
        <v>0</v>
      </c>
      <c r="J277" s="12">
        <v>0</v>
      </c>
      <c r="K277" s="12">
        <v>0</v>
      </c>
      <c r="L277" s="82"/>
      <c r="M277" s="12">
        <f t="shared" si="124"/>
        <v>0</v>
      </c>
      <c r="N277" s="82" t="s">
        <v>242</v>
      </c>
      <c r="O277" s="212"/>
      <c r="P277" s="82"/>
      <c r="Q277" s="12">
        <v>1</v>
      </c>
      <c r="R277" s="12" t="s">
        <v>1702</v>
      </c>
      <c r="S277" s="12" t="s">
        <v>1701</v>
      </c>
    </row>
    <row r="278" spans="1:19" s="83" customFormat="1" ht="22" customHeight="1" x14ac:dyDescent="0.15">
      <c r="A278" s="80">
        <v>41012</v>
      </c>
      <c r="B278" s="81" t="s">
        <v>81</v>
      </c>
      <c r="C278" s="18" t="s">
        <v>568</v>
      </c>
      <c r="D278" s="212" t="s">
        <v>983</v>
      </c>
      <c r="E278" s="82" t="s">
        <v>419</v>
      </c>
      <c r="F278" s="23">
        <v>3</v>
      </c>
      <c r="G278" s="82">
        <v>-1</v>
      </c>
      <c r="H278" s="12">
        <v>0</v>
      </c>
      <c r="I278" s="12">
        <v>0</v>
      </c>
      <c r="J278" s="12">
        <v>0</v>
      </c>
      <c r="K278" s="12">
        <v>0</v>
      </c>
      <c r="L278" s="82"/>
      <c r="M278" s="12">
        <f t="shared" ref="M278" si="125">LEN(L278)</f>
        <v>0</v>
      </c>
      <c r="N278" s="82" t="s">
        <v>242</v>
      </c>
      <c r="O278" s="212"/>
      <c r="P278" s="82"/>
      <c r="Q278" s="12">
        <v>1</v>
      </c>
      <c r="R278" s="12" t="s">
        <v>1702</v>
      </c>
      <c r="S278" s="12" t="s">
        <v>1701</v>
      </c>
    </row>
    <row r="279" spans="1:19" s="83" customFormat="1" ht="22" customHeight="1" x14ac:dyDescent="0.15">
      <c r="A279" s="80">
        <v>41013</v>
      </c>
      <c r="B279" s="81" t="s">
        <v>81</v>
      </c>
      <c r="C279" s="18" t="s">
        <v>382</v>
      </c>
      <c r="D279" s="212" t="s">
        <v>1015</v>
      </c>
      <c r="E279" s="205" t="s">
        <v>1855</v>
      </c>
      <c r="F279" s="212">
        <v>3</v>
      </c>
      <c r="G279" s="82">
        <v>-1</v>
      </c>
      <c r="H279" s="12">
        <v>0</v>
      </c>
      <c r="I279" s="12">
        <v>0</v>
      </c>
      <c r="J279" s="12">
        <v>0</v>
      </c>
      <c r="K279" s="12">
        <v>0</v>
      </c>
      <c r="L279" s="82"/>
      <c r="M279" s="12">
        <f t="shared" ref="M279" si="126">LEN(L279)</f>
        <v>0</v>
      </c>
      <c r="N279" s="82" t="s">
        <v>242</v>
      </c>
      <c r="O279" s="212"/>
      <c r="P279" s="82"/>
      <c r="Q279" s="12">
        <v>1</v>
      </c>
      <c r="R279" s="12" t="s">
        <v>1702</v>
      </c>
      <c r="S279" s="12" t="s">
        <v>1701</v>
      </c>
    </row>
    <row r="280" spans="1:19" s="83" customFormat="1" ht="22" customHeight="1" x14ac:dyDescent="0.15">
      <c r="A280" s="80">
        <v>41014</v>
      </c>
      <c r="B280" s="81" t="s">
        <v>81</v>
      </c>
      <c r="C280" s="18" t="s">
        <v>382</v>
      </c>
      <c r="D280" s="212" t="s">
        <v>1470</v>
      </c>
      <c r="E280" s="82" t="s">
        <v>419</v>
      </c>
      <c r="F280" s="212">
        <v>3</v>
      </c>
      <c r="G280" s="82">
        <v>-1</v>
      </c>
      <c r="H280" s="12">
        <v>0</v>
      </c>
      <c r="I280" s="12">
        <v>0</v>
      </c>
      <c r="J280" s="12">
        <v>0</v>
      </c>
      <c r="K280" s="12">
        <v>0</v>
      </c>
      <c r="L280" s="212"/>
      <c r="M280" s="12">
        <f t="shared" ref="M280:M281" si="127">LEN(L280)</f>
        <v>0</v>
      </c>
      <c r="N280" s="82" t="s">
        <v>242</v>
      </c>
      <c r="O280" s="212"/>
      <c r="P280" s="82"/>
      <c r="Q280" s="12">
        <v>1</v>
      </c>
      <c r="R280" s="12" t="s">
        <v>1702</v>
      </c>
      <c r="S280" s="12" t="s">
        <v>1701</v>
      </c>
    </row>
    <row r="281" spans="1:19" s="83" customFormat="1" ht="22" customHeight="1" x14ac:dyDescent="0.15">
      <c r="A281" s="80">
        <v>41015</v>
      </c>
      <c r="B281" s="81" t="s">
        <v>81</v>
      </c>
      <c r="C281" s="18" t="s">
        <v>568</v>
      </c>
      <c r="D281" s="212" t="s">
        <v>1040</v>
      </c>
      <c r="E281" s="82" t="s">
        <v>419</v>
      </c>
      <c r="F281" s="23">
        <v>3</v>
      </c>
      <c r="G281" s="82">
        <v>-1</v>
      </c>
      <c r="H281" s="12">
        <v>0</v>
      </c>
      <c r="I281" s="12">
        <v>0</v>
      </c>
      <c r="J281" s="12">
        <v>0</v>
      </c>
      <c r="K281" s="12">
        <v>0</v>
      </c>
      <c r="L281" s="82"/>
      <c r="M281" s="12">
        <f t="shared" si="127"/>
        <v>0</v>
      </c>
      <c r="N281" s="82" t="s">
        <v>242</v>
      </c>
      <c r="O281" s="212"/>
      <c r="P281" s="82"/>
      <c r="Q281" s="12">
        <v>1</v>
      </c>
      <c r="R281" s="12" t="s">
        <v>1702</v>
      </c>
      <c r="S281" s="12" t="s">
        <v>1701</v>
      </c>
    </row>
    <row r="282" spans="1:19" ht="21" customHeight="1" x14ac:dyDescent="0.15">
      <c r="A282" s="168">
        <v>47001</v>
      </c>
      <c r="B282" s="169" t="s">
        <v>81</v>
      </c>
      <c r="C282" s="32" t="s">
        <v>382</v>
      </c>
      <c r="D282" s="170" t="s">
        <v>1348</v>
      </c>
      <c r="E282" s="205" t="s">
        <v>1091</v>
      </c>
      <c r="F282" s="170">
        <v>3</v>
      </c>
      <c r="G282" s="170">
        <v>-1</v>
      </c>
      <c r="H282" s="23">
        <v>0</v>
      </c>
      <c r="I282" s="23">
        <v>0</v>
      </c>
      <c r="J282" s="23">
        <v>0</v>
      </c>
      <c r="K282" s="23">
        <v>0</v>
      </c>
      <c r="L282" s="170"/>
      <c r="M282" s="23">
        <f t="shared" si="124"/>
        <v>0</v>
      </c>
      <c r="N282" s="170" t="s">
        <v>1976</v>
      </c>
      <c r="O282" s="170"/>
      <c r="P282" s="82" t="s">
        <v>1317</v>
      </c>
      <c r="Q282" s="12">
        <v>1</v>
      </c>
      <c r="R282" s="12" t="s">
        <v>1702</v>
      </c>
      <c r="S282" s="12" t="s">
        <v>1701</v>
      </c>
    </row>
    <row r="283" spans="1:19" ht="21" customHeight="1" x14ac:dyDescent="0.15">
      <c r="A283" s="168">
        <v>47002</v>
      </c>
      <c r="B283" s="169" t="s">
        <v>81</v>
      </c>
      <c r="C283" s="32" t="s">
        <v>382</v>
      </c>
      <c r="D283" s="170" t="s">
        <v>1412</v>
      </c>
      <c r="E283" s="205" t="s">
        <v>1091</v>
      </c>
      <c r="F283" s="170">
        <v>3</v>
      </c>
      <c r="G283" s="170">
        <v>-1</v>
      </c>
      <c r="H283" s="23">
        <v>0</v>
      </c>
      <c r="I283" s="23">
        <v>0</v>
      </c>
      <c r="J283" s="23">
        <v>0</v>
      </c>
      <c r="K283" s="23">
        <v>0</v>
      </c>
      <c r="L283" s="170"/>
      <c r="M283" s="23">
        <f t="shared" ref="M283" si="128">LEN(L283)</f>
        <v>0</v>
      </c>
      <c r="N283" s="170" t="s">
        <v>1382</v>
      </c>
      <c r="O283" s="170"/>
      <c r="P283" s="82" t="s">
        <v>1210</v>
      </c>
      <c r="Q283" s="12">
        <v>1</v>
      </c>
      <c r="R283" s="12" t="s">
        <v>1702</v>
      </c>
      <c r="S283" s="12" t="s">
        <v>1701</v>
      </c>
    </row>
    <row r="284" spans="1:19" ht="21" customHeight="1" x14ac:dyDescent="0.15">
      <c r="A284" s="168">
        <v>47003</v>
      </c>
      <c r="B284" s="169" t="s">
        <v>81</v>
      </c>
      <c r="C284" s="32" t="s">
        <v>382</v>
      </c>
      <c r="D284" s="170" t="s">
        <v>1748</v>
      </c>
      <c r="E284" s="205" t="s">
        <v>1091</v>
      </c>
      <c r="F284" s="170">
        <v>3</v>
      </c>
      <c r="G284" s="170">
        <v>-1</v>
      </c>
      <c r="H284" s="23">
        <v>0</v>
      </c>
      <c r="I284" s="23">
        <v>0</v>
      </c>
      <c r="J284" s="23">
        <v>0</v>
      </c>
      <c r="K284" s="23">
        <v>0</v>
      </c>
      <c r="L284" s="170"/>
      <c r="M284" s="23">
        <f t="shared" ref="M284" si="129">LEN(L284)</f>
        <v>0</v>
      </c>
      <c r="N284" s="170" t="s">
        <v>1382</v>
      </c>
      <c r="O284" s="170"/>
      <c r="P284" s="82" t="s">
        <v>1210</v>
      </c>
      <c r="Q284" s="12">
        <v>1</v>
      </c>
      <c r="R284" s="12" t="s">
        <v>1702</v>
      </c>
      <c r="S284" s="12" t="s">
        <v>1701</v>
      </c>
    </row>
    <row r="285" spans="1:19" ht="21" customHeight="1" x14ac:dyDescent="0.15">
      <c r="A285" s="168">
        <v>47004</v>
      </c>
      <c r="B285" s="169" t="s">
        <v>81</v>
      </c>
      <c r="C285" s="32" t="s">
        <v>382</v>
      </c>
      <c r="D285" s="170" t="s">
        <v>1874</v>
      </c>
      <c r="E285" s="205" t="s">
        <v>1091</v>
      </c>
      <c r="F285" s="170">
        <v>3</v>
      </c>
      <c r="G285" s="170">
        <v>-1</v>
      </c>
      <c r="H285" s="23">
        <v>0</v>
      </c>
      <c r="I285" s="23">
        <v>0</v>
      </c>
      <c r="J285" s="23">
        <v>0</v>
      </c>
      <c r="K285" s="23">
        <v>0</v>
      </c>
      <c r="L285" s="170"/>
      <c r="M285" s="23">
        <f t="shared" ref="M285" si="130">LEN(L285)</f>
        <v>0</v>
      </c>
      <c r="N285" s="170" t="s">
        <v>1382</v>
      </c>
      <c r="O285" s="170"/>
      <c r="P285" s="82" t="s">
        <v>1210</v>
      </c>
      <c r="Q285" s="12">
        <v>1</v>
      </c>
      <c r="R285" s="12" t="s">
        <v>169</v>
      </c>
      <c r="S285" s="12" t="s">
        <v>169</v>
      </c>
    </row>
    <row r="286" spans="1:19" ht="21" customHeight="1" x14ac:dyDescent="0.15">
      <c r="A286" s="168">
        <v>47005</v>
      </c>
      <c r="B286" s="169" t="s">
        <v>81</v>
      </c>
      <c r="C286" s="32" t="s">
        <v>382</v>
      </c>
      <c r="D286" s="170" t="s">
        <v>1962</v>
      </c>
      <c r="E286" s="205" t="s">
        <v>1091</v>
      </c>
      <c r="F286" s="170">
        <v>3</v>
      </c>
      <c r="G286" s="170">
        <v>-1</v>
      </c>
      <c r="H286" s="23">
        <v>0</v>
      </c>
      <c r="I286" s="23">
        <v>0</v>
      </c>
      <c r="J286" s="23">
        <v>0</v>
      </c>
      <c r="K286" s="23">
        <v>0</v>
      </c>
      <c r="L286" s="170"/>
      <c r="M286" s="23">
        <f t="shared" ref="M286" si="131">LEN(L286)</f>
        <v>0</v>
      </c>
      <c r="N286" s="170" t="s">
        <v>1382</v>
      </c>
      <c r="O286" s="170"/>
      <c r="P286" s="82" t="s">
        <v>1210</v>
      </c>
      <c r="Q286" s="12">
        <v>1</v>
      </c>
      <c r="R286" s="12" t="s">
        <v>169</v>
      </c>
      <c r="S286" s="12" t="s">
        <v>169</v>
      </c>
    </row>
    <row r="287" spans="1:19" ht="21" customHeight="1" x14ac:dyDescent="0.15">
      <c r="A287" s="168">
        <v>47006</v>
      </c>
      <c r="B287" s="169" t="s">
        <v>81</v>
      </c>
      <c r="C287" s="32" t="s">
        <v>382</v>
      </c>
      <c r="D287" s="170" t="s">
        <v>1927</v>
      </c>
      <c r="E287" s="205" t="s">
        <v>1928</v>
      </c>
      <c r="F287" s="170">
        <v>3</v>
      </c>
      <c r="G287" s="170">
        <v>-1</v>
      </c>
      <c r="H287" s="23">
        <v>0</v>
      </c>
      <c r="I287" s="23">
        <v>0</v>
      </c>
      <c r="J287" s="23">
        <v>0</v>
      </c>
      <c r="K287" s="23">
        <v>0</v>
      </c>
      <c r="L287" s="170"/>
      <c r="M287" s="23">
        <f t="shared" ref="M287" si="132">LEN(L287)</f>
        <v>0</v>
      </c>
      <c r="N287" s="170" t="s">
        <v>1382</v>
      </c>
      <c r="O287" s="170"/>
      <c r="P287" s="82" t="s">
        <v>1210</v>
      </c>
      <c r="Q287" s="12">
        <v>1</v>
      </c>
      <c r="R287" s="12" t="s">
        <v>169</v>
      </c>
      <c r="S287" s="12" t="s">
        <v>169</v>
      </c>
    </row>
    <row r="288" spans="1:19" ht="21" customHeight="1" x14ac:dyDescent="0.15">
      <c r="A288" s="168">
        <v>47007</v>
      </c>
      <c r="B288" s="169" t="s">
        <v>81</v>
      </c>
      <c r="C288" s="32" t="s">
        <v>382</v>
      </c>
      <c r="D288" s="170" t="s">
        <v>2057</v>
      </c>
      <c r="E288" s="205" t="s">
        <v>2029</v>
      </c>
      <c r="F288" s="170">
        <v>3</v>
      </c>
      <c r="G288" s="170">
        <v>-1</v>
      </c>
      <c r="H288" s="23">
        <v>0</v>
      </c>
      <c r="I288" s="23">
        <v>0</v>
      </c>
      <c r="J288" s="23">
        <v>0</v>
      </c>
      <c r="K288" s="23">
        <v>0</v>
      </c>
      <c r="L288" s="170"/>
      <c r="M288" s="23">
        <f t="shared" ref="M288" si="133">LEN(L288)</f>
        <v>0</v>
      </c>
      <c r="N288" s="170" t="s">
        <v>1382</v>
      </c>
      <c r="O288" s="170"/>
      <c r="P288" s="82" t="s">
        <v>1210</v>
      </c>
      <c r="Q288" s="12">
        <v>1</v>
      </c>
      <c r="R288" s="12" t="s">
        <v>169</v>
      </c>
      <c r="S288" s="12" t="s">
        <v>169</v>
      </c>
    </row>
    <row r="289" spans="1:19" ht="21" customHeight="1" x14ac:dyDescent="0.15">
      <c r="A289" s="168">
        <v>47008</v>
      </c>
      <c r="B289" s="169" t="s">
        <v>81</v>
      </c>
      <c r="C289" s="32" t="s">
        <v>382</v>
      </c>
      <c r="D289" s="170" t="s">
        <v>2058</v>
      </c>
      <c r="E289" s="205" t="s">
        <v>2047</v>
      </c>
      <c r="F289" s="170">
        <v>3</v>
      </c>
      <c r="G289" s="170">
        <v>-1</v>
      </c>
      <c r="H289" s="23">
        <v>0</v>
      </c>
      <c r="I289" s="23">
        <v>0</v>
      </c>
      <c r="J289" s="23">
        <v>0</v>
      </c>
      <c r="K289" s="23">
        <v>0</v>
      </c>
      <c r="L289" s="170"/>
      <c r="M289" s="23">
        <f t="shared" ref="M289:M290" si="134">LEN(L289)</f>
        <v>0</v>
      </c>
      <c r="N289" s="170" t="s">
        <v>1382</v>
      </c>
      <c r="O289" s="170"/>
      <c r="P289" s="82" t="s">
        <v>1210</v>
      </c>
      <c r="Q289" s="12">
        <v>1</v>
      </c>
      <c r="R289" s="12" t="s">
        <v>169</v>
      </c>
      <c r="S289" s="12" t="s">
        <v>169</v>
      </c>
    </row>
    <row r="290" spans="1:19" ht="21" customHeight="1" x14ac:dyDescent="0.15">
      <c r="A290" s="168">
        <v>47009</v>
      </c>
      <c r="B290" s="169" t="s">
        <v>81</v>
      </c>
      <c r="C290" s="32" t="s">
        <v>382</v>
      </c>
      <c r="D290" s="170" t="s">
        <v>1412</v>
      </c>
      <c r="E290" s="205" t="s">
        <v>1091</v>
      </c>
      <c r="F290" s="170">
        <v>3</v>
      </c>
      <c r="G290" s="170">
        <v>-1</v>
      </c>
      <c r="H290" s="23">
        <v>0</v>
      </c>
      <c r="I290" s="23">
        <v>0</v>
      </c>
      <c r="J290" s="23">
        <v>0</v>
      </c>
      <c r="K290" s="23">
        <v>0</v>
      </c>
      <c r="L290" s="170"/>
      <c r="M290" s="23">
        <f t="shared" si="134"/>
        <v>0</v>
      </c>
      <c r="N290" s="170" t="s">
        <v>2093</v>
      </c>
      <c r="O290" s="170"/>
      <c r="P290" s="82" t="s">
        <v>1210</v>
      </c>
      <c r="Q290" s="12">
        <v>1</v>
      </c>
      <c r="R290" s="12" t="s">
        <v>1702</v>
      </c>
      <c r="S290" s="12" t="s">
        <v>1701</v>
      </c>
    </row>
    <row r="291" spans="1:19" ht="21" customHeight="1" x14ac:dyDescent="0.15">
      <c r="A291" s="168">
        <v>47010</v>
      </c>
      <c r="B291" s="169" t="s">
        <v>81</v>
      </c>
      <c r="C291" s="32" t="s">
        <v>382</v>
      </c>
      <c r="D291" s="170" t="s">
        <v>2109</v>
      </c>
      <c r="E291" s="23" t="s">
        <v>1006</v>
      </c>
      <c r="F291" s="170">
        <v>3</v>
      </c>
      <c r="G291" s="170">
        <v>-1</v>
      </c>
      <c r="H291" s="23">
        <v>0</v>
      </c>
      <c r="I291" s="23">
        <v>0</v>
      </c>
      <c r="J291" s="23">
        <v>0</v>
      </c>
      <c r="K291" s="23">
        <v>0</v>
      </c>
      <c r="L291" s="170"/>
      <c r="M291" s="23">
        <f t="shared" ref="M291" si="135">LEN(L291)</f>
        <v>0</v>
      </c>
      <c r="N291" s="170" t="s">
        <v>2094</v>
      </c>
      <c r="O291" s="170"/>
      <c r="P291" s="82" t="s">
        <v>1210</v>
      </c>
      <c r="Q291" s="12">
        <v>1</v>
      </c>
      <c r="R291" s="12" t="s">
        <v>178</v>
      </c>
      <c r="S291" s="12" t="s">
        <v>178</v>
      </c>
    </row>
    <row r="292" spans="1:19" ht="21" customHeight="1" x14ac:dyDescent="0.15">
      <c r="A292" s="168">
        <v>47011</v>
      </c>
      <c r="B292" s="169" t="s">
        <v>81</v>
      </c>
      <c r="C292" s="32" t="s">
        <v>382</v>
      </c>
      <c r="D292" s="170" t="s">
        <v>2110</v>
      </c>
      <c r="E292" s="23" t="s">
        <v>1006</v>
      </c>
      <c r="F292" s="170">
        <v>3</v>
      </c>
      <c r="G292" s="170">
        <v>-1</v>
      </c>
      <c r="H292" s="23">
        <v>0</v>
      </c>
      <c r="I292" s="23">
        <v>0</v>
      </c>
      <c r="J292" s="23">
        <v>0</v>
      </c>
      <c r="K292" s="23">
        <v>0</v>
      </c>
      <c r="L292" s="170"/>
      <c r="M292" s="23">
        <f t="shared" ref="M292" si="136">LEN(L292)</f>
        <v>0</v>
      </c>
      <c r="N292" s="170" t="s">
        <v>2094</v>
      </c>
      <c r="O292" s="170"/>
      <c r="P292" s="82" t="s">
        <v>1210</v>
      </c>
      <c r="Q292" s="12">
        <v>1</v>
      </c>
      <c r="R292" s="12" t="s">
        <v>178</v>
      </c>
      <c r="S292" s="12" t="s">
        <v>178</v>
      </c>
    </row>
    <row r="293" spans="1:19" ht="21" customHeight="1" x14ac:dyDescent="0.15">
      <c r="A293" s="168">
        <v>47012</v>
      </c>
      <c r="B293" s="169" t="s">
        <v>81</v>
      </c>
      <c r="C293" s="32" t="s">
        <v>382</v>
      </c>
      <c r="D293" s="170" t="s">
        <v>2217</v>
      </c>
      <c r="E293" s="23" t="s">
        <v>2227</v>
      </c>
      <c r="F293" s="170">
        <v>3</v>
      </c>
      <c r="G293" s="170">
        <v>-1</v>
      </c>
      <c r="H293" s="23">
        <v>0</v>
      </c>
      <c r="I293" s="23">
        <v>0</v>
      </c>
      <c r="J293" s="23">
        <v>0</v>
      </c>
      <c r="K293" s="23">
        <v>0</v>
      </c>
      <c r="L293" s="170"/>
      <c r="M293" s="23">
        <f t="shared" ref="M293" si="137">LEN(L293)</f>
        <v>0</v>
      </c>
      <c r="N293" s="170" t="s">
        <v>1382</v>
      </c>
      <c r="O293" s="170"/>
      <c r="P293" s="82" t="s">
        <v>2266</v>
      </c>
      <c r="Q293" s="12">
        <v>1</v>
      </c>
      <c r="R293" s="12" t="s">
        <v>178</v>
      </c>
      <c r="S293" s="12" t="s">
        <v>178</v>
      </c>
    </row>
    <row r="294" spans="1:19" ht="21" customHeight="1" x14ac:dyDescent="0.15">
      <c r="A294" s="168">
        <v>47013</v>
      </c>
      <c r="B294" s="169" t="s">
        <v>81</v>
      </c>
      <c r="C294" s="32" t="s">
        <v>382</v>
      </c>
      <c r="D294" s="170" t="s">
        <v>2257</v>
      </c>
      <c r="E294" s="23" t="s">
        <v>2327</v>
      </c>
      <c r="F294" s="170">
        <v>3</v>
      </c>
      <c r="G294" s="170">
        <v>-1</v>
      </c>
      <c r="H294" s="23">
        <v>0</v>
      </c>
      <c r="I294" s="23">
        <v>0</v>
      </c>
      <c r="J294" s="23">
        <v>0</v>
      </c>
      <c r="K294" s="23">
        <v>0</v>
      </c>
      <c r="L294" s="170"/>
      <c r="M294" s="23">
        <f t="shared" ref="M294" si="138">LEN(L294)</f>
        <v>0</v>
      </c>
      <c r="N294" s="170" t="s">
        <v>2258</v>
      </c>
      <c r="O294" s="170" t="s">
        <v>2258</v>
      </c>
      <c r="P294" s="82" t="s">
        <v>1210</v>
      </c>
      <c r="Q294" s="12">
        <v>1</v>
      </c>
      <c r="R294" s="12" t="s">
        <v>178</v>
      </c>
      <c r="S294" s="12" t="s">
        <v>178</v>
      </c>
    </row>
    <row r="295" spans="1:19" ht="21" customHeight="1" x14ac:dyDescent="0.15">
      <c r="A295" s="168">
        <v>47014</v>
      </c>
      <c r="B295" s="169" t="s">
        <v>81</v>
      </c>
      <c r="C295" s="32" t="s">
        <v>382</v>
      </c>
      <c r="D295" s="170" t="s">
        <v>2343</v>
      </c>
      <c r="E295" s="23" t="s">
        <v>2344</v>
      </c>
      <c r="F295" s="170">
        <v>3</v>
      </c>
      <c r="G295" s="170">
        <v>-1</v>
      </c>
      <c r="H295" s="23">
        <v>0</v>
      </c>
      <c r="I295" s="23">
        <v>0</v>
      </c>
      <c r="J295" s="23">
        <v>0</v>
      </c>
      <c r="K295" s="23">
        <v>0</v>
      </c>
      <c r="L295" s="170"/>
      <c r="M295" s="23">
        <f t="shared" ref="M295" si="139">LEN(L295)</f>
        <v>0</v>
      </c>
      <c r="N295" s="170" t="s">
        <v>2345</v>
      </c>
      <c r="O295" s="170" t="s">
        <v>2345</v>
      </c>
      <c r="P295" s="82" t="s">
        <v>1210</v>
      </c>
      <c r="Q295" s="12">
        <v>1</v>
      </c>
      <c r="R295" s="12" t="s">
        <v>178</v>
      </c>
      <c r="S295" s="12" t="s">
        <v>178</v>
      </c>
    </row>
    <row r="296" spans="1:19" ht="21" customHeight="1" x14ac:dyDescent="0.15">
      <c r="A296" s="168">
        <v>47015</v>
      </c>
      <c r="B296" s="169" t="s">
        <v>81</v>
      </c>
      <c r="C296" s="32" t="s">
        <v>382</v>
      </c>
      <c r="D296" s="170" t="s">
        <v>2394</v>
      </c>
      <c r="E296" s="23" t="s">
        <v>2425</v>
      </c>
      <c r="F296" s="170">
        <v>3</v>
      </c>
      <c r="G296" s="170">
        <v>-1</v>
      </c>
      <c r="H296" s="23">
        <v>0</v>
      </c>
      <c r="I296" s="23">
        <v>0</v>
      </c>
      <c r="J296" s="23">
        <v>0</v>
      </c>
      <c r="K296" s="23">
        <v>0</v>
      </c>
      <c r="L296" s="170"/>
      <c r="M296" s="23">
        <f t="shared" ref="M296" si="140">LEN(L296)</f>
        <v>0</v>
      </c>
      <c r="N296" s="170" t="s">
        <v>1382</v>
      </c>
      <c r="O296" s="170"/>
      <c r="P296" s="82" t="s">
        <v>1210</v>
      </c>
      <c r="Q296" s="12">
        <v>1</v>
      </c>
      <c r="R296" s="12" t="s">
        <v>169</v>
      </c>
      <c r="S296" s="12" t="s">
        <v>169</v>
      </c>
    </row>
    <row r="297" spans="1:19" ht="21" customHeight="1" x14ac:dyDescent="0.15">
      <c r="A297" s="168">
        <v>47016</v>
      </c>
      <c r="B297" s="169" t="s">
        <v>81</v>
      </c>
      <c r="C297" s="32" t="s">
        <v>382</v>
      </c>
      <c r="D297" s="170" t="s">
        <v>2383</v>
      </c>
      <c r="E297" s="23" t="s">
        <v>2425</v>
      </c>
      <c r="F297" s="170">
        <v>3</v>
      </c>
      <c r="G297" s="170">
        <v>-1</v>
      </c>
      <c r="H297" s="23">
        <v>0</v>
      </c>
      <c r="I297" s="23">
        <v>0</v>
      </c>
      <c r="J297" s="23">
        <v>0</v>
      </c>
      <c r="K297" s="23">
        <v>0</v>
      </c>
      <c r="L297" s="170"/>
      <c r="M297" s="23">
        <f t="shared" ref="M297" si="141">LEN(L297)</f>
        <v>0</v>
      </c>
      <c r="N297" s="170" t="s">
        <v>1382</v>
      </c>
      <c r="O297" s="170"/>
      <c r="P297" s="82" t="s">
        <v>1210</v>
      </c>
      <c r="Q297" s="12">
        <v>1</v>
      </c>
      <c r="R297" s="12" t="s">
        <v>178</v>
      </c>
      <c r="S297" s="12" t="s">
        <v>178</v>
      </c>
    </row>
    <row r="298" spans="1:19" ht="21" customHeight="1" x14ac:dyDescent="0.15">
      <c r="A298" s="168">
        <v>49001</v>
      </c>
      <c r="B298" s="169" t="s">
        <v>81</v>
      </c>
      <c r="C298" s="32" t="s">
        <v>568</v>
      </c>
      <c r="D298" s="170" t="s">
        <v>2004</v>
      </c>
      <c r="E298" s="250" t="s">
        <v>2037</v>
      </c>
      <c r="F298" s="170">
        <v>3</v>
      </c>
      <c r="G298" s="170">
        <v>-1</v>
      </c>
      <c r="H298" s="23">
        <v>0</v>
      </c>
      <c r="I298" s="23">
        <v>0</v>
      </c>
      <c r="J298" s="23">
        <v>0</v>
      </c>
      <c r="K298" s="23">
        <v>0</v>
      </c>
      <c r="L298" s="170"/>
      <c r="M298" s="23">
        <f t="shared" ref="M298" si="142">LEN(L298)</f>
        <v>0</v>
      </c>
      <c r="N298" s="170" t="s">
        <v>848</v>
      </c>
      <c r="O298" s="170"/>
      <c r="P298" s="82"/>
      <c r="Q298" s="12">
        <v>1</v>
      </c>
      <c r="R298" s="12" t="s">
        <v>1702</v>
      </c>
      <c r="S298" s="12" t="s">
        <v>1701</v>
      </c>
    </row>
    <row r="299" spans="1:19" ht="21" customHeight="1" x14ac:dyDescent="0.15">
      <c r="A299" s="168">
        <v>49002</v>
      </c>
      <c r="B299" s="169" t="s">
        <v>81</v>
      </c>
      <c r="C299" s="32" t="s">
        <v>568</v>
      </c>
      <c r="D299" s="170" t="s">
        <v>1338</v>
      </c>
      <c r="E299" s="82" t="s">
        <v>419</v>
      </c>
      <c r="F299" s="170">
        <v>3</v>
      </c>
      <c r="G299" s="170">
        <v>-1</v>
      </c>
      <c r="H299" s="23">
        <v>0</v>
      </c>
      <c r="I299" s="23">
        <v>0</v>
      </c>
      <c r="J299" s="23">
        <v>0</v>
      </c>
      <c r="K299" s="23">
        <v>0</v>
      </c>
      <c r="L299" s="170"/>
      <c r="M299" s="23">
        <f t="shared" ref="M299:M300" si="143">LEN(L299)</f>
        <v>0</v>
      </c>
      <c r="N299" s="170" t="s">
        <v>1045</v>
      </c>
      <c r="O299" s="170"/>
      <c r="P299" s="82"/>
      <c r="Q299" s="12">
        <v>1</v>
      </c>
      <c r="R299" s="12" t="s">
        <v>1702</v>
      </c>
      <c r="S299" s="12" t="s">
        <v>1701</v>
      </c>
    </row>
    <row r="300" spans="1:19" ht="21" customHeight="1" x14ac:dyDescent="0.15">
      <c r="A300" s="168">
        <v>49003</v>
      </c>
      <c r="B300" s="169" t="s">
        <v>81</v>
      </c>
      <c r="C300" s="32" t="s">
        <v>568</v>
      </c>
      <c r="D300" s="170" t="s">
        <v>1100</v>
      </c>
      <c r="E300" s="82" t="s">
        <v>419</v>
      </c>
      <c r="F300" s="170">
        <v>3</v>
      </c>
      <c r="G300" s="170">
        <v>-1</v>
      </c>
      <c r="H300" s="23">
        <v>0</v>
      </c>
      <c r="I300" s="23">
        <v>0</v>
      </c>
      <c r="J300" s="23">
        <v>0</v>
      </c>
      <c r="K300" s="23">
        <v>0</v>
      </c>
      <c r="L300" s="170"/>
      <c r="M300" s="23">
        <f t="shared" si="143"/>
        <v>0</v>
      </c>
      <c r="N300" s="170" t="s">
        <v>1046</v>
      </c>
      <c r="O300" s="170"/>
      <c r="P300" s="82"/>
      <c r="Q300" s="12">
        <v>1</v>
      </c>
      <c r="R300" s="12" t="s">
        <v>1702</v>
      </c>
      <c r="S300" s="12" t="s">
        <v>1701</v>
      </c>
    </row>
    <row r="301" spans="1:19" ht="21" customHeight="1" x14ac:dyDescent="0.15">
      <c r="A301" s="168">
        <v>49004</v>
      </c>
      <c r="B301" s="169" t="s">
        <v>81</v>
      </c>
      <c r="C301" s="32" t="s">
        <v>382</v>
      </c>
      <c r="D301" s="170" t="s">
        <v>1331</v>
      </c>
      <c r="E301" s="82" t="s">
        <v>419</v>
      </c>
      <c r="F301" s="170">
        <v>3</v>
      </c>
      <c r="G301" s="170">
        <v>-1</v>
      </c>
      <c r="H301" s="23">
        <v>0</v>
      </c>
      <c r="I301" s="23">
        <v>0</v>
      </c>
      <c r="J301" s="23">
        <v>0</v>
      </c>
      <c r="K301" s="23">
        <v>0</v>
      </c>
      <c r="L301" s="170"/>
      <c r="M301" s="23">
        <f t="shared" ref="M301" si="144">LEN(L301)</f>
        <v>0</v>
      </c>
      <c r="N301" s="170" t="s">
        <v>1187</v>
      </c>
      <c r="O301" s="170"/>
      <c r="P301" s="82"/>
      <c r="Q301" s="12">
        <v>1</v>
      </c>
      <c r="R301" s="12" t="s">
        <v>1702</v>
      </c>
      <c r="S301" s="12" t="s">
        <v>1701</v>
      </c>
    </row>
    <row r="302" spans="1:19" ht="21" customHeight="1" x14ac:dyDescent="0.15">
      <c r="A302" s="168">
        <v>49005</v>
      </c>
      <c r="B302" s="169" t="s">
        <v>81</v>
      </c>
      <c r="C302" s="32" t="s">
        <v>382</v>
      </c>
      <c r="D302" s="170" t="s">
        <v>1300</v>
      </c>
      <c r="E302" s="82" t="s">
        <v>419</v>
      </c>
      <c r="F302" s="170">
        <v>1</v>
      </c>
      <c r="G302" s="170">
        <v>-1</v>
      </c>
      <c r="H302" s="23">
        <v>0</v>
      </c>
      <c r="I302" s="23">
        <v>0</v>
      </c>
      <c r="J302" s="23">
        <v>0</v>
      </c>
      <c r="K302" s="23">
        <v>0</v>
      </c>
      <c r="L302" s="170"/>
      <c r="M302" s="23">
        <f t="shared" ref="M302" si="145">LEN(L302)</f>
        <v>0</v>
      </c>
      <c r="N302" s="170" t="s">
        <v>1237</v>
      </c>
      <c r="O302" s="170"/>
      <c r="P302" s="82"/>
      <c r="Q302" s="12">
        <v>1</v>
      </c>
      <c r="R302" s="12" t="s">
        <v>1702</v>
      </c>
      <c r="S302" s="12" t="s">
        <v>1701</v>
      </c>
    </row>
    <row r="303" spans="1:19" ht="21" customHeight="1" x14ac:dyDescent="0.15">
      <c r="A303" s="168">
        <v>49006</v>
      </c>
      <c r="B303" s="169" t="s">
        <v>81</v>
      </c>
      <c r="C303" s="32" t="s">
        <v>382</v>
      </c>
      <c r="D303" s="170" t="s">
        <v>1495</v>
      </c>
      <c r="E303" s="82" t="s">
        <v>419</v>
      </c>
      <c r="F303" s="170">
        <v>3</v>
      </c>
      <c r="G303" s="170">
        <v>-1</v>
      </c>
      <c r="H303" s="23">
        <v>0</v>
      </c>
      <c r="I303" s="23">
        <v>0</v>
      </c>
      <c r="J303" s="23">
        <v>0</v>
      </c>
      <c r="K303" s="23">
        <v>0</v>
      </c>
      <c r="L303" s="170"/>
      <c r="M303" s="23">
        <f t="shared" ref="M303:M305" si="146">LEN(L303)</f>
        <v>0</v>
      </c>
      <c r="N303" s="170" t="s">
        <v>1332</v>
      </c>
      <c r="O303" s="170"/>
      <c r="P303" s="82" t="s">
        <v>1487</v>
      </c>
      <c r="Q303" s="12">
        <v>1</v>
      </c>
      <c r="R303" s="12" t="s">
        <v>1702</v>
      </c>
      <c r="S303" s="12" t="s">
        <v>1701</v>
      </c>
    </row>
    <row r="304" spans="1:19" ht="21" customHeight="1" x14ac:dyDescent="0.15">
      <c r="A304" s="168">
        <v>49007</v>
      </c>
      <c r="B304" s="169" t="s">
        <v>81</v>
      </c>
      <c r="C304" s="32" t="s">
        <v>382</v>
      </c>
      <c r="D304" s="170" t="s">
        <v>1527</v>
      </c>
      <c r="E304" s="82" t="s">
        <v>419</v>
      </c>
      <c r="F304" s="170">
        <v>1</v>
      </c>
      <c r="G304" s="170">
        <v>-1</v>
      </c>
      <c r="H304" s="23">
        <v>0</v>
      </c>
      <c r="I304" s="23">
        <v>0</v>
      </c>
      <c r="J304" s="23">
        <v>0</v>
      </c>
      <c r="K304" s="23">
        <v>0</v>
      </c>
      <c r="L304" s="170"/>
      <c r="M304" s="23">
        <f t="shared" si="146"/>
        <v>0</v>
      </c>
      <c r="N304" s="273" t="s">
        <v>1187</v>
      </c>
      <c r="O304" s="170"/>
      <c r="P304" s="82"/>
      <c r="Q304" s="12">
        <v>1</v>
      </c>
      <c r="R304" s="12" t="s">
        <v>1702</v>
      </c>
      <c r="S304" s="12" t="s">
        <v>1701</v>
      </c>
    </row>
    <row r="305" spans="1:19" ht="21" customHeight="1" x14ac:dyDescent="0.15">
      <c r="A305" s="283">
        <v>49008</v>
      </c>
      <c r="B305" s="169" t="s">
        <v>81</v>
      </c>
      <c r="C305" s="32" t="s">
        <v>568</v>
      </c>
      <c r="D305" s="170" t="s">
        <v>912</v>
      </c>
      <c r="E305" s="82" t="s">
        <v>2045</v>
      </c>
      <c r="F305" s="170">
        <v>3</v>
      </c>
      <c r="G305" s="170">
        <v>-1</v>
      </c>
      <c r="H305" s="23">
        <v>0</v>
      </c>
      <c r="I305" s="23">
        <v>0</v>
      </c>
      <c r="J305" s="23">
        <v>0</v>
      </c>
      <c r="K305" s="23">
        <v>0</v>
      </c>
      <c r="L305" s="170"/>
      <c r="M305" s="23">
        <f t="shared" si="146"/>
        <v>0</v>
      </c>
      <c r="N305" s="273" t="s">
        <v>848</v>
      </c>
      <c r="O305" s="170"/>
      <c r="P305" s="82" t="s">
        <v>1997</v>
      </c>
      <c r="Q305" s="12">
        <v>1</v>
      </c>
      <c r="R305" s="267" t="s">
        <v>2051</v>
      </c>
      <c r="S305" s="12" t="s">
        <v>469</v>
      </c>
    </row>
    <row r="306" spans="1:19" ht="21" customHeight="1" x14ac:dyDescent="0.15">
      <c r="A306" s="283">
        <v>49009</v>
      </c>
      <c r="B306" s="169" t="s">
        <v>81</v>
      </c>
      <c r="C306" s="32" t="s">
        <v>382</v>
      </c>
      <c r="D306" s="170" t="s">
        <v>2005</v>
      </c>
      <c r="E306" s="82" t="s">
        <v>2044</v>
      </c>
      <c r="F306" s="170">
        <v>3</v>
      </c>
      <c r="G306" s="170">
        <v>-1</v>
      </c>
      <c r="H306" s="23">
        <v>0</v>
      </c>
      <c r="I306" s="23">
        <v>0</v>
      </c>
      <c r="J306" s="23">
        <v>0</v>
      </c>
      <c r="K306" s="23">
        <v>0</v>
      </c>
      <c r="L306" s="170"/>
      <c r="M306" s="23">
        <f t="shared" ref="M306" si="147">LEN(L306)</f>
        <v>0</v>
      </c>
      <c r="N306" s="170" t="s">
        <v>1865</v>
      </c>
      <c r="O306" s="170"/>
      <c r="P306" s="82" t="s">
        <v>1998</v>
      </c>
      <c r="Q306" s="12">
        <v>1</v>
      </c>
      <c r="R306" s="267" t="s">
        <v>2051</v>
      </c>
      <c r="S306" s="12" t="s">
        <v>469</v>
      </c>
    </row>
    <row r="307" spans="1:19" ht="21" customHeight="1" x14ac:dyDescent="0.15">
      <c r="A307" s="283">
        <v>49010</v>
      </c>
      <c r="B307" s="169" t="s">
        <v>81</v>
      </c>
      <c r="C307" s="32" t="s">
        <v>382</v>
      </c>
      <c r="D307" s="170" t="s">
        <v>2006</v>
      </c>
      <c r="E307" s="82" t="s">
        <v>1660</v>
      </c>
      <c r="F307" s="170">
        <v>3</v>
      </c>
      <c r="G307" s="170">
        <v>-1</v>
      </c>
      <c r="H307" s="23">
        <v>0</v>
      </c>
      <c r="I307" s="23">
        <v>0</v>
      </c>
      <c r="J307" s="23">
        <v>0</v>
      </c>
      <c r="K307" s="23">
        <v>0</v>
      </c>
      <c r="L307" s="170"/>
      <c r="M307" s="23">
        <f t="shared" ref="M307" si="148">LEN(L307)</f>
        <v>0</v>
      </c>
      <c r="N307" s="170" t="s">
        <v>1868</v>
      </c>
      <c r="O307" s="170"/>
      <c r="P307" s="82" t="s">
        <v>1999</v>
      </c>
      <c r="Q307" s="12">
        <v>1</v>
      </c>
      <c r="R307" s="267" t="s">
        <v>2051</v>
      </c>
      <c r="S307" s="12" t="s">
        <v>200</v>
      </c>
    </row>
    <row r="308" spans="1:19" ht="21" customHeight="1" x14ac:dyDescent="0.15">
      <c r="A308" s="283">
        <v>49011</v>
      </c>
      <c r="B308" s="169" t="s">
        <v>81</v>
      </c>
      <c r="C308" s="32" t="s">
        <v>382</v>
      </c>
      <c r="D308" s="170" t="s">
        <v>2007</v>
      </c>
      <c r="E308" s="82" t="s">
        <v>2046</v>
      </c>
      <c r="F308" s="170">
        <v>3</v>
      </c>
      <c r="G308" s="170">
        <v>-1</v>
      </c>
      <c r="H308" s="23">
        <v>0</v>
      </c>
      <c r="I308" s="23">
        <v>0</v>
      </c>
      <c r="J308" s="23">
        <v>0</v>
      </c>
      <c r="K308" s="23">
        <v>0</v>
      </c>
      <c r="L308" s="170"/>
      <c r="M308" s="23">
        <f t="shared" ref="M308:M310" si="149">LEN(L308)</f>
        <v>0</v>
      </c>
      <c r="N308" s="170" t="s">
        <v>1869</v>
      </c>
      <c r="O308" s="170"/>
      <c r="P308" s="82" t="s">
        <v>2000</v>
      </c>
      <c r="Q308" s="12">
        <v>1</v>
      </c>
      <c r="R308" s="267" t="s">
        <v>2051</v>
      </c>
      <c r="S308" s="12" t="s">
        <v>169</v>
      </c>
    </row>
    <row r="309" spans="1:19" s="71" customFormat="1" ht="21" customHeight="1" x14ac:dyDescent="0.15">
      <c r="A309" s="168">
        <v>49012</v>
      </c>
      <c r="B309" s="169" t="s">
        <v>81</v>
      </c>
      <c r="C309" s="32" t="s">
        <v>568</v>
      </c>
      <c r="D309" s="170" t="s">
        <v>1338</v>
      </c>
      <c r="E309" s="82" t="s">
        <v>419</v>
      </c>
      <c r="F309" s="170">
        <v>3</v>
      </c>
      <c r="G309" s="170">
        <v>-1</v>
      </c>
      <c r="H309" s="23">
        <v>0</v>
      </c>
      <c r="I309" s="23">
        <v>0</v>
      </c>
      <c r="J309" s="23">
        <v>0</v>
      </c>
      <c r="K309" s="23">
        <v>0</v>
      </c>
      <c r="L309" s="170"/>
      <c r="M309" s="23">
        <f t="shared" si="149"/>
        <v>0</v>
      </c>
      <c r="N309" s="170" t="s">
        <v>1920</v>
      </c>
      <c r="O309" s="170"/>
      <c r="P309" s="82"/>
      <c r="Q309" s="23">
        <v>1</v>
      </c>
      <c r="R309" s="23" t="s">
        <v>1702</v>
      </c>
      <c r="S309" s="23" t="s">
        <v>178</v>
      </c>
    </row>
    <row r="310" spans="1:19" s="71" customFormat="1" ht="21" customHeight="1" x14ac:dyDescent="0.15">
      <c r="A310" s="168">
        <v>49013</v>
      </c>
      <c r="B310" s="169" t="s">
        <v>81</v>
      </c>
      <c r="C310" s="32" t="s">
        <v>568</v>
      </c>
      <c r="D310" s="170" t="s">
        <v>1100</v>
      </c>
      <c r="E310" s="82" t="s">
        <v>419</v>
      </c>
      <c r="F310" s="170">
        <v>3</v>
      </c>
      <c r="G310" s="170">
        <v>-1</v>
      </c>
      <c r="H310" s="23">
        <v>0</v>
      </c>
      <c r="I310" s="23">
        <v>0</v>
      </c>
      <c r="J310" s="23">
        <v>0</v>
      </c>
      <c r="K310" s="23">
        <v>0</v>
      </c>
      <c r="L310" s="170"/>
      <c r="M310" s="23">
        <f t="shared" si="149"/>
        <v>0</v>
      </c>
      <c r="N310" s="170" t="s">
        <v>1921</v>
      </c>
      <c r="O310" s="170"/>
      <c r="P310" s="82"/>
      <c r="Q310" s="23">
        <v>1</v>
      </c>
      <c r="R310" s="23" t="s">
        <v>1702</v>
      </c>
      <c r="S310" s="23" t="s">
        <v>178</v>
      </c>
    </row>
    <row r="311" spans="1:19" s="71" customFormat="1" ht="21" customHeight="1" x14ac:dyDescent="0.15">
      <c r="A311" s="168">
        <v>49014</v>
      </c>
      <c r="B311" s="169" t="s">
        <v>81</v>
      </c>
      <c r="C311" s="32" t="s">
        <v>568</v>
      </c>
      <c r="D311" s="170" t="s">
        <v>2181</v>
      </c>
      <c r="E311" s="82" t="s">
        <v>2192</v>
      </c>
      <c r="F311" s="170">
        <v>3</v>
      </c>
      <c r="G311" s="170">
        <v>-1</v>
      </c>
      <c r="H311" s="23">
        <v>0</v>
      </c>
      <c r="I311" s="23">
        <v>0</v>
      </c>
      <c r="J311" s="23">
        <v>0</v>
      </c>
      <c r="K311" s="23">
        <v>0</v>
      </c>
      <c r="L311" s="170"/>
      <c r="M311" s="23">
        <f t="shared" ref="M311" si="150">LEN(L311)</f>
        <v>0</v>
      </c>
      <c r="N311" s="170" t="s">
        <v>2069</v>
      </c>
      <c r="O311" s="170"/>
      <c r="P311" s="82" t="s">
        <v>2194</v>
      </c>
      <c r="Q311" s="23">
        <v>1</v>
      </c>
      <c r="R311" s="23" t="s">
        <v>1702</v>
      </c>
      <c r="S311" s="23" t="s">
        <v>178</v>
      </c>
    </row>
    <row r="312" spans="1:19" s="71" customFormat="1" ht="21" customHeight="1" x14ac:dyDescent="0.15">
      <c r="A312" s="168">
        <v>49015</v>
      </c>
      <c r="B312" s="169" t="s">
        <v>81</v>
      </c>
      <c r="C312" s="32" t="s">
        <v>568</v>
      </c>
      <c r="D312" s="170" t="s">
        <v>2349</v>
      </c>
      <c r="E312" s="82" t="s">
        <v>2378</v>
      </c>
      <c r="F312" s="170">
        <v>3</v>
      </c>
      <c r="G312" s="170">
        <v>-1</v>
      </c>
      <c r="H312" s="23">
        <v>0</v>
      </c>
      <c r="I312" s="23">
        <v>0</v>
      </c>
      <c r="J312" s="23">
        <v>0</v>
      </c>
      <c r="K312" s="23">
        <v>0</v>
      </c>
      <c r="L312" s="170"/>
      <c r="M312" s="23">
        <f t="shared" ref="M312" si="151">LEN(L312)</f>
        <v>0</v>
      </c>
      <c r="N312" s="170" t="s">
        <v>2118</v>
      </c>
      <c r="O312" s="170"/>
      <c r="P312" s="82"/>
      <c r="Q312" s="23">
        <v>1</v>
      </c>
      <c r="R312" s="23" t="s">
        <v>1702</v>
      </c>
      <c r="S312" s="23" t="s">
        <v>169</v>
      </c>
    </row>
    <row r="313" spans="1:19" s="71" customFormat="1" ht="21" customHeight="1" x14ac:dyDescent="0.15">
      <c r="A313" s="168">
        <v>49016</v>
      </c>
      <c r="B313" s="169" t="s">
        <v>81</v>
      </c>
      <c r="C313" s="32" t="s">
        <v>568</v>
      </c>
      <c r="D313" s="170" t="s">
        <v>2278</v>
      </c>
      <c r="E313" s="82" t="s">
        <v>851</v>
      </c>
      <c r="F313" s="170">
        <v>1</v>
      </c>
      <c r="G313" s="170">
        <v>-1</v>
      </c>
      <c r="H313" s="23">
        <v>0</v>
      </c>
      <c r="I313" s="23">
        <v>0</v>
      </c>
      <c r="J313" s="23">
        <v>0</v>
      </c>
      <c r="K313" s="23">
        <v>0</v>
      </c>
      <c r="L313" s="170"/>
      <c r="M313" s="23">
        <f t="shared" ref="M313" si="152">LEN(L313)</f>
        <v>0</v>
      </c>
      <c r="N313" s="170" t="s">
        <v>2279</v>
      </c>
      <c r="O313" s="170"/>
      <c r="P313" s="82" t="s">
        <v>1210</v>
      </c>
      <c r="Q313" s="23">
        <v>1</v>
      </c>
      <c r="R313" s="23" t="s">
        <v>417</v>
      </c>
      <c r="S313" s="23" t="s">
        <v>169</v>
      </c>
    </row>
    <row r="314" spans="1:19" s="45" customFormat="1" ht="21" customHeight="1" x14ac:dyDescent="0.15">
      <c r="A314" s="234">
        <v>50001</v>
      </c>
      <c r="B314" s="235" t="s">
        <v>81</v>
      </c>
      <c r="C314" s="46" t="s">
        <v>568</v>
      </c>
      <c r="D314" s="236" t="s">
        <v>582</v>
      </c>
      <c r="E314" s="236" t="s">
        <v>1821</v>
      </c>
      <c r="F314" s="207">
        <v>1</v>
      </c>
      <c r="G314" s="236">
        <v>-1</v>
      </c>
      <c r="H314" s="44">
        <v>0</v>
      </c>
      <c r="I314" s="44">
        <v>0</v>
      </c>
      <c r="J314" s="44">
        <v>0</v>
      </c>
      <c r="K314" s="44">
        <v>0</v>
      </c>
      <c r="L314" s="236"/>
      <c r="M314" s="44">
        <f t="shared" si="3"/>
        <v>0</v>
      </c>
      <c r="N314" s="236" t="s">
        <v>637</v>
      </c>
      <c r="O314" s="236"/>
      <c r="P314" s="237"/>
      <c r="Q314" s="12">
        <v>1</v>
      </c>
      <c r="R314" s="12" t="s">
        <v>1702</v>
      </c>
      <c r="S314" s="12" t="s">
        <v>1701</v>
      </c>
    </row>
    <row r="315" spans="1:19" s="45" customFormat="1" ht="21" customHeight="1" x14ac:dyDescent="0.15">
      <c r="A315" s="234">
        <v>50002</v>
      </c>
      <c r="B315" s="235" t="s">
        <v>81</v>
      </c>
      <c r="C315" s="46" t="s">
        <v>568</v>
      </c>
      <c r="D315" s="236" t="s">
        <v>930</v>
      </c>
      <c r="E315" s="236" t="s">
        <v>1821</v>
      </c>
      <c r="F315" s="207">
        <v>1</v>
      </c>
      <c r="G315" s="236">
        <v>-1</v>
      </c>
      <c r="H315" s="44">
        <v>0</v>
      </c>
      <c r="I315" s="44">
        <v>0</v>
      </c>
      <c r="J315" s="44">
        <v>0</v>
      </c>
      <c r="K315" s="44">
        <v>0</v>
      </c>
      <c r="L315" s="236"/>
      <c r="M315" s="44">
        <f t="shared" ref="M315" si="153">LEN(L315)</f>
        <v>0</v>
      </c>
      <c r="N315" s="236" t="s">
        <v>931</v>
      </c>
      <c r="O315" s="236"/>
      <c r="P315" s="237"/>
      <c r="Q315" s="12">
        <v>1</v>
      </c>
      <c r="R315" s="12" t="s">
        <v>1702</v>
      </c>
      <c r="S315" s="12" t="s">
        <v>1701</v>
      </c>
    </row>
    <row r="316" spans="1:19" ht="21" customHeight="1" x14ac:dyDescent="0.15">
      <c r="A316" s="168">
        <v>50003</v>
      </c>
      <c r="B316" s="169" t="s">
        <v>81</v>
      </c>
      <c r="C316" s="32" t="s">
        <v>568</v>
      </c>
      <c r="D316" s="170" t="s">
        <v>1057</v>
      </c>
      <c r="E316" s="170" t="s">
        <v>1821</v>
      </c>
      <c r="F316" s="170">
        <v>3</v>
      </c>
      <c r="G316" s="170">
        <v>-1</v>
      </c>
      <c r="H316" s="23">
        <v>0</v>
      </c>
      <c r="I316" s="23">
        <v>0</v>
      </c>
      <c r="J316" s="23">
        <v>0</v>
      </c>
      <c r="K316" s="23">
        <v>0</v>
      </c>
      <c r="L316" s="170"/>
      <c r="M316" s="23">
        <f t="shared" ref="M316:M331" si="154">LEN(L316)</f>
        <v>0</v>
      </c>
      <c r="N316" s="170" t="s">
        <v>1058</v>
      </c>
      <c r="O316" s="170"/>
      <c r="P316" s="82" t="s">
        <v>1317</v>
      </c>
      <c r="Q316" s="12">
        <v>1</v>
      </c>
      <c r="R316" s="12" t="s">
        <v>1702</v>
      </c>
      <c r="S316" s="12" t="s">
        <v>1701</v>
      </c>
    </row>
    <row r="317" spans="1:19" ht="21" customHeight="1" x14ac:dyDescent="0.15">
      <c r="A317" s="168">
        <v>50004</v>
      </c>
      <c r="B317" s="169" t="s">
        <v>81</v>
      </c>
      <c r="C317" s="32" t="s">
        <v>568</v>
      </c>
      <c r="D317" s="170" t="s">
        <v>1179</v>
      </c>
      <c r="E317" s="170" t="s">
        <v>1822</v>
      </c>
      <c r="F317" s="170">
        <v>3</v>
      </c>
      <c r="G317" s="170">
        <v>-1</v>
      </c>
      <c r="H317" s="23">
        <v>0</v>
      </c>
      <c r="I317" s="23">
        <v>0</v>
      </c>
      <c r="J317" s="23">
        <v>0</v>
      </c>
      <c r="K317" s="23">
        <v>0</v>
      </c>
      <c r="L317" s="170"/>
      <c r="M317" s="23">
        <f t="shared" ref="M317" si="155">LEN(L317)</f>
        <v>0</v>
      </c>
      <c r="N317" s="170" t="s">
        <v>1180</v>
      </c>
      <c r="O317" s="170"/>
      <c r="P317" s="82" t="s">
        <v>1317</v>
      </c>
      <c r="Q317" s="12">
        <v>1</v>
      </c>
      <c r="R317" s="12" t="s">
        <v>1702</v>
      </c>
      <c r="S317" s="12" t="s">
        <v>1701</v>
      </c>
    </row>
    <row r="318" spans="1:19" ht="21" customHeight="1" x14ac:dyDescent="0.15">
      <c r="A318" s="168">
        <v>50005</v>
      </c>
      <c r="B318" s="169" t="s">
        <v>81</v>
      </c>
      <c r="C318" s="32" t="s">
        <v>568</v>
      </c>
      <c r="D318" s="170" t="s">
        <v>1353</v>
      </c>
      <c r="E318" s="170" t="s">
        <v>1821</v>
      </c>
      <c r="F318" s="170">
        <v>3</v>
      </c>
      <c r="G318" s="170">
        <v>-1</v>
      </c>
      <c r="H318" s="23">
        <v>0</v>
      </c>
      <c r="I318" s="23">
        <v>0</v>
      </c>
      <c r="J318" s="23">
        <v>0</v>
      </c>
      <c r="K318" s="23">
        <v>0</v>
      </c>
      <c r="L318" s="170"/>
      <c r="M318" s="23">
        <f t="shared" ref="M318" si="156">LEN(L318)</f>
        <v>0</v>
      </c>
      <c r="N318" s="170" t="s">
        <v>1354</v>
      </c>
      <c r="O318" s="170"/>
      <c r="P318" s="82" t="s">
        <v>1317</v>
      </c>
      <c r="Q318" s="12">
        <v>1</v>
      </c>
      <c r="R318" s="12" t="s">
        <v>1702</v>
      </c>
      <c r="S318" s="12" t="s">
        <v>1701</v>
      </c>
    </row>
    <row r="319" spans="1:19" ht="21" customHeight="1" x14ac:dyDescent="0.15">
      <c r="A319" s="168">
        <v>50006</v>
      </c>
      <c r="B319" s="169" t="s">
        <v>81</v>
      </c>
      <c r="C319" s="32" t="s">
        <v>568</v>
      </c>
      <c r="D319" s="170" t="s">
        <v>1476</v>
      </c>
      <c r="E319" s="170" t="s">
        <v>1821</v>
      </c>
      <c r="F319" s="170">
        <v>3</v>
      </c>
      <c r="G319" s="170">
        <v>-1</v>
      </c>
      <c r="H319" s="23">
        <v>0</v>
      </c>
      <c r="I319" s="23">
        <v>0</v>
      </c>
      <c r="J319" s="23">
        <v>0</v>
      </c>
      <c r="K319" s="23">
        <v>0</v>
      </c>
      <c r="L319" s="170"/>
      <c r="M319" s="23">
        <f t="shared" ref="M319" si="157">LEN(L319)</f>
        <v>0</v>
      </c>
      <c r="N319" s="170" t="s">
        <v>1477</v>
      </c>
      <c r="O319" s="170"/>
      <c r="P319" s="82" t="s">
        <v>1317</v>
      </c>
      <c r="Q319" s="12">
        <v>1</v>
      </c>
      <c r="R319" s="12" t="s">
        <v>1702</v>
      </c>
      <c r="S319" s="12" t="s">
        <v>1701</v>
      </c>
    </row>
    <row r="320" spans="1:19" ht="21" customHeight="1" x14ac:dyDescent="0.15">
      <c r="A320" s="168">
        <v>50007</v>
      </c>
      <c r="B320" s="169" t="s">
        <v>81</v>
      </c>
      <c r="C320" s="32" t="s">
        <v>568</v>
      </c>
      <c r="D320" s="170" t="s">
        <v>1548</v>
      </c>
      <c r="E320" s="170" t="s">
        <v>1821</v>
      </c>
      <c r="F320" s="170">
        <v>3</v>
      </c>
      <c r="G320" s="170">
        <v>-1</v>
      </c>
      <c r="H320" s="23">
        <v>0</v>
      </c>
      <c r="I320" s="23">
        <v>0</v>
      </c>
      <c r="J320" s="23">
        <v>0</v>
      </c>
      <c r="K320" s="23">
        <v>0</v>
      </c>
      <c r="L320" s="170"/>
      <c r="M320" s="23">
        <f t="shared" ref="M320" si="158">LEN(L320)</f>
        <v>0</v>
      </c>
      <c r="N320" s="170" t="s">
        <v>1549</v>
      </c>
      <c r="O320" s="170"/>
      <c r="P320" s="82" t="s">
        <v>1317</v>
      </c>
      <c r="Q320" s="12">
        <v>1</v>
      </c>
      <c r="R320" s="12" t="s">
        <v>1702</v>
      </c>
      <c r="S320" s="12" t="s">
        <v>1701</v>
      </c>
    </row>
    <row r="321" spans="1:19" ht="21" customHeight="1" x14ac:dyDescent="0.15">
      <c r="A321" s="168">
        <v>50008</v>
      </c>
      <c r="B321" s="169" t="s">
        <v>81</v>
      </c>
      <c r="C321" s="32" t="s">
        <v>568</v>
      </c>
      <c r="D321" s="170" t="s">
        <v>1675</v>
      </c>
      <c r="E321" s="170" t="s">
        <v>1821</v>
      </c>
      <c r="F321" s="170">
        <v>3</v>
      </c>
      <c r="G321" s="170">
        <v>-1</v>
      </c>
      <c r="H321" s="23">
        <v>0</v>
      </c>
      <c r="I321" s="23">
        <v>0</v>
      </c>
      <c r="J321" s="23">
        <v>0</v>
      </c>
      <c r="K321" s="23">
        <v>0</v>
      </c>
      <c r="L321" s="170"/>
      <c r="M321" s="23">
        <f t="shared" ref="M321" si="159">LEN(L321)</f>
        <v>0</v>
      </c>
      <c r="N321" s="170" t="s">
        <v>1676</v>
      </c>
      <c r="O321" s="170"/>
      <c r="P321" s="82" t="s">
        <v>1317</v>
      </c>
      <c r="Q321" s="12">
        <v>1</v>
      </c>
      <c r="R321" s="12" t="s">
        <v>1702</v>
      </c>
      <c r="S321" s="12" t="s">
        <v>1701</v>
      </c>
    </row>
    <row r="322" spans="1:19" s="45" customFormat="1" ht="21" customHeight="1" x14ac:dyDescent="0.15">
      <c r="A322" s="234">
        <v>50009</v>
      </c>
      <c r="B322" s="235" t="s">
        <v>81</v>
      </c>
      <c r="C322" s="46" t="s">
        <v>568</v>
      </c>
      <c r="D322" s="236" t="s">
        <v>1726</v>
      </c>
      <c r="E322" s="236" t="s">
        <v>1823</v>
      </c>
      <c r="F322" s="236">
        <v>1</v>
      </c>
      <c r="G322" s="236">
        <v>-1</v>
      </c>
      <c r="H322" s="44">
        <v>0</v>
      </c>
      <c r="I322" s="44">
        <v>0</v>
      </c>
      <c r="J322" s="44">
        <v>0</v>
      </c>
      <c r="K322" s="44">
        <v>0</v>
      </c>
      <c r="L322" s="236"/>
      <c r="M322" s="44">
        <f t="shared" ref="M322" si="160">LEN(L322)</f>
        <v>0</v>
      </c>
      <c r="N322" s="236" t="s">
        <v>1727</v>
      </c>
      <c r="O322" s="236"/>
      <c r="P322" s="237" t="s">
        <v>1210</v>
      </c>
      <c r="Q322" s="44">
        <v>1</v>
      </c>
      <c r="R322" s="44" t="s">
        <v>417</v>
      </c>
      <c r="S322" s="44" t="s">
        <v>1701</v>
      </c>
    </row>
    <row r="323" spans="1:19" ht="21" customHeight="1" x14ac:dyDescent="0.15">
      <c r="A323" s="168">
        <v>50010</v>
      </c>
      <c r="B323" s="169" t="s">
        <v>81</v>
      </c>
      <c r="C323" s="32" t="s">
        <v>568</v>
      </c>
      <c r="D323" s="170" t="s">
        <v>1797</v>
      </c>
      <c r="E323" s="170" t="s">
        <v>1823</v>
      </c>
      <c r="F323" s="170">
        <v>3</v>
      </c>
      <c r="G323" s="170">
        <v>-1</v>
      </c>
      <c r="H323" s="23">
        <v>0</v>
      </c>
      <c r="I323" s="23">
        <v>0</v>
      </c>
      <c r="J323" s="23">
        <v>0</v>
      </c>
      <c r="K323" s="23">
        <v>0</v>
      </c>
      <c r="L323" s="170"/>
      <c r="M323" s="23">
        <f t="shared" ref="M323:M324" si="161">LEN(L323)</f>
        <v>0</v>
      </c>
      <c r="N323" s="170" t="s">
        <v>1798</v>
      </c>
      <c r="O323" s="170"/>
      <c r="P323" s="82" t="s">
        <v>1210</v>
      </c>
      <c r="Q323" s="12">
        <v>1</v>
      </c>
      <c r="R323" s="12" t="s">
        <v>417</v>
      </c>
      <c r="S323" s="12" t="s">
        <v>178</v>
      </c>
    </row>
    <row r="324" spans="1:19" ht="21" customHeight="1" x14ac:dyDescent="0.15">
      <c r="A324" s="168">
        <v>50011</v>
      </c>
      <c r="B324" s="169" t="s">
        <v>81</v>
      </c>
      <c r="C324" s="32" t="s">
        <v>568</v>
      </c>
      <c r="D324" s="170" t="s">
        <v>1726</v>
      </c>
      <c r="E324" s="170" t="s">
        <v>1823</v>
      </c>
      <c r="F324" s="170">
        <v>3</v>
      </c>
      <c r="G324" s="170">
        <v>-1</v>
      </c>
      <c r="H324" s="23">
        <v>0</v>
      </c>
      <c r="I324" s="23">
        <v>0</v>
      </c>
      <c r="J324" s="23">
        <v>0</v>
      </c>
      <c r="K324" s="23">
        <v>0</v>
      </c>
      <c r="L324" s="170"/>
      <c r="M324" s="23">
        <f t="shared" si="161"/>
        <v>0</v>
      </c>
      <c r="N324" s="170" t="s">
        <v>1727</v>
      </c>
      <c r="O324" s="170"/>
      <c r="P324" s="82" t="s">
        <v>1210</v>
      </c>
      <c r="Q324" s="12">
        <v>1</v>
      </c>
      <c r="R324" s="12" t="s">
        <v>178</v>
      </c>
      <c r="S324" s="12" t="s">
        <v>178</v>
      </c>
    </row>
    <row r="325" spans="1:19" ht="21" customHeight="1" x14ac:dyDescent="0.15">
      <c r="A325" s="168">
        <v>50012</v>
      </c>
      <c r="B325" s="169" t="s">
        <v>81</v>
      </c>
      <c r="C325" s="32" t="s">
        <v>568</v>
      </c>
      <c r="D325" s="170" t="s">
        <v>1970</v>
      </c>
      <c r="E325" s="170" t="s">
        <v>1823</v>
      </c>
      <c r="F325" s="170">
        <v>3</v>
      </c>
      <c r="G325" s="170">
        <v>-1</v>
      </c>
      <c r="H325" s="23">
        <v>0</v>
      </c>
      <c r="I325" s="23">
        <v>0</v>
      </c>
      <c r="J325" s="23">
        <v>0</v>
      </c>
      <c r="K325" s="23">
        <v>0</v>
      </c>
      <c r="L325" s="170"/>
      <c r="M325" s="23">
        <f t="shared" ref="M325" si="162">LEN(L325)</f>
        <v>0</v>
      </c>
      <c r="N325" s="170" t="s">
        <v>1933</v>
      </c>
      <c r="O325" s="170"/>
      <c r="P325" s="82" t="s">
        <v>1210</v>
      </c>
      <c r="Q325" s="12">
        <v>1</v>
      </c>
      <c r="R325" s="12" t="s">
        <v>178</v>
      </c>
      <c r="S325" s="12" t="s">
        <v>178</v>
      </c>
    </row>
    <row r="326" spans="1:19" ht="21" customHeight="1" x14ac:dyDescent="0.15">
      <c r="A326" s="168">
        <v>50013</v>
      </c>
      <c r="B326" s="169" t="s">
        <v>81</v>
      </c>
      <c r="C326" s="32" t="s">
        <v>568</v>
      </c>
      <c r="D326" s="170" t="s">
        <v>1949</v>
      </c>
      <c r="E326" s="170" t="s">
        <v>1823</v>
      </c>
      <c r="F326" s="170">
        <v>3</v>
      </c>
      <c r="G326" s="170">
        <v>-1</v>
      </c>
      <c r="H326" s="23">
        <v>0</v>
      </c>
      <c r="I326" s="23">
        <v>0</v>
      </c>
      <c r="J326" s="23">
        <v>0</v>
      </c>
      <c r="K326" s="23">
        <v>0</v>
      </c>
      <c r="L326" s="170"/>
      <c r="M326" s="23">
        <f t="shared" ref="M326" si="163">LEN(L326)</f>
        <v>0</v>
      </c>
      <c r="N326" s="170" t="s">
        <v>1950</v>
      </c>
      <c r="O326" s="170"/>
      <c r="P326" s="82" t="s">
        <v>1210</v>
      </c>
      <c r="Q326" s="12">
        <v>1</v>
      </c>
      <c r="R326" s="12" t="s">
        <v>178</v>
      </c>
      <c r="S326" s="12" t="s">
        <v>178</v>
      </c>
    </row>
    <row r="327" spans="1:19" ht="21" customHeight="1" x14ac:dyDescent="0.15">
      <c r="A327" s="168">
        <v>50014</v>
      </c>
      <c r="B327" s="169" t="s">
        <v>81</v>
      </c>
      <c r="C327" s="32" t="s">
        <v>568</v>
      </c>
      <c r="D327" s="170" t="s">
        <v>2038</v>
      </c>
      <c r="E327" s="170" t="s">
        <v>1821</v>
      </c>
      <c r="F327" s="170">
        <v>3</v>
      </c>
      <c r="G327" s="170">
        <v>-1</v>
      </c>
      <c r="H327" s="23">
        <v>0</v>
      </c>
      <c r="I327" s="23">
        <v>0</v>
      </c>
      <c r="J327" s="23">
        <v>0</v>
      </c>
      <c r="K327" s="23">
        <v>0</v>
      </c>
      <c r="L327" s="170"/>
      <c r="M327" s="23">
        <f t="shared" ref="M327" si="164">LEN(L327)</f>
        <v>0</v>
      </c>
      <c r="N327" s="170" t="s">
        <v>2039</v>
      </c>
      <c r="O327" s="170"/>
      <c r="P327" s="82" t="s">
        <v>1210</v>
      </c>
      <c r="Q327" s="12">
        <v>1</v>
      </c>
      <c r="R327" s="12" t="s">
        <v>169</v>
      </c>
      <c r="S327" s="12" t="s">
        <v>169</v>
      </c>
    </row>
    <row r="328" spans="1:19" ht="21" customHeight="1" x14ac:dyDescent="0.15">
      <c r="A328" s="168">
        <v>50015</v>
      </c>
      <c r="B328" s="169" t="s">
        <v>81</v>
      </c>
      <c r="C328" s="32" t="s">
        <v>568</v>
      </c>
      <c r="D328" s="170" t="s">
        <v>2220</v>
      </c>
      <c r="E328" s="170" t="s">
        <v>1821</v>
      </c>
      <c r="F328" s="170">
        <v>3</v>
      </c>
      <c r="G328" s="170">
        <v>-1</v>
      </c>
      <c r="H328" s="23">
        <v>0</v>
      </c>
      <c r="I328" s="23">
        <v>0</v>
      </c>
      <c r="J328" s="23">
        <v>0</v>
      </c>
      <c r="K328" s="23">
        <v>0</v>
      </c>
      <c r="L328" s="170"/>
      <c r="M328" s="23">
        <f t="shared" ref="M328" si="165">LEN(L328)</f>
        <v>0</v>
      </c>
      <c r="N328" s="170" t="s">
        <v>2221</v>
      </c>
      <c r="O328" s="170"/>
      <c r="P328" s="82" t="s">
        <v>1210</v>
      </c>
      <c r="Q328" s="12">
        <v>1</v>
      </c>
      <c r="R328" s="12" t="s">
        <v>169</v>
      </c>
      <c r="S328" s="12" t="s">
        <v>169</v>
      </c>
    </row>
    <row r="329" spans="1:19" ht="21" customHeight="1" x14ac:dyDescent="0.15">
      <c r="A329" s="168">
        <v>50016</v>
      </c>
      <c r="B329" s="169" t="s">
        <v>81</v>
      </c>
      <c r="C329" s="32" t="s">
        <v>568</v>
      </c>
      <c r="D329" s="170" t="s">
        <v>2289</v>
      </c>
      <c r="E329" s="170" t="s">
        <v>1821</v>
      </c>
      <c r="F329" s="250">
        <v>1</v>
      </c>
      <c r="G329" s="170">
        <v>-1</v>
      </c>
      <c r="H329" s="23">
        <v>0</v>
      </c>
      <c r="I329" s="23">
        <v>0</v>
      </c>
      <c r="J329" s="23">
        <v>0</v>
      </c>
      <c r="K329" s="23">
        <v>0</v>
      </c>
      <c r="L329" s="170"/>
      <c r="M329" s="23">
        <f t="shared" ref="M329" si="166">LEN(L329)</f>
        <v>0</v>
      </c>
      <c r="N329" s="170" t="s">
        <v>2290</v>
      </c>
      <c r="O329" s="170"/>
      <c r="P329" s="82" t="s">
        <v>1210</v>
      </c>
      <c r="Q329" s="12">
        <v>1</v>
      </c>
      <c r="R329" s="12" t="s">
        <v>169</v>
      </c>
      <c r="S329" s="12" t="s">
        <v>169</v>
      </c>
    </row>
    <row r="330" spans="1:19" ht="21" customHeight="1" x14ac:dyDescent="0.15">
      <c r="A330" s="168">
        <v>51001</v>
      </c>
      <c r="B330" s="169" t="s">
        <v>81</v>
      </c>
      <c r="C330" s="32" t="s">
        <v>382</v>
      </c>
      <c r="D330" s="170" t="s">
        <v>582</v>
      </c>
      <c r="E330" s="170" t="s">
        <v>1824</v>
      </c>
      <c r="F330" s="170">
        <v>3</v>
      </c>
      <c r="G330" s="170">
        <v>-1</v>
      </c>
      <c r="H330" s="23">
        <v>0</v>
      </c>
      <c r="I330" s="23">
        <v>0</v>
      </c>
      <c r="J330" s="23">
        <v>0</v>
      </c>
      <c r="K330" s="23">
        <v>0</v>
      </c>
      <c r="L330" s="170"/>
      <c r="M330" s="23">
        <f t="shared" si="154"/>
        <v>0</v>
      </c>
      <c r="N330" s="170" t="s">
        <v>637</v>
      </c>
      <c r="O330" s="170"/>
      <c r="P330" s="82" t="s">
        <v>1317</v>
      </c>
      <c r="Q330" s="12">
        <v>1</v>
      </c>
      <c r="R330" s="12" t="s">
        <v>1702</v>
      </c>
      <c r="S330" s="12" t="s">
        <v>1701</v>
      </c>
    </row>
    <row r="331" spans="1:19" ht="21" customHeight="1" x14ac:dyDescent="0.15">
      <c r="A331" s="168">
        <v>51002</v>
      </c>
      <c r="B331" s="169" t="s">
        <v>81</v>
      </c>
      <c r="C331" s="32" t="s">
        <v>568</v>
      </c>
      <c r="D331" s="170" t="s">
        <v>930</v>
      </c>
      <c r="E331" s="170" t="s">
        <v>1824</v>
      </c>
      <c r="F331" s="170">
        <v>3</v>
      </c>
      <c r="G331" s="170">
        <v>-1</v>
      </c>
      <c r="H331" s="23">
        <v>0</v>
      </c>
      <c r="I331" s="23">
        <v>0</v>
      </c>
      <c r="J331" s="23">
        <v>0</v>
      </c>
      <c r="K331" s="23">
        <v>0</v>
      </c>
      <c r="L331" s="170"/>
      <c r="M331" s="23">
        <f t="shared" si="154"/>
        <v>0</v>
      </c>
      <c r="N331" s="170" t="s">
        <v>931</v>
      </c>
      <c r="O331" s="170"/>
      <c r="P331" s="82" t="s">
        <v>1210</v>
      </c>
      <c r="Q331" s="12">
        <v>1</v>
      </c>
      <c r="R331" s="12" t="s">
        <v>178</v>
      </c>
      <c r="S331" s="12" t="s">
        <v>178</v>
      </c>
    </row>
    <row r="332" spans="1:19" ht="21" customHeight="1" x14ac:dyDescent="0.15">
      <c r="A332" s="168">
        <v>58001</v>
      </c>
      <c r="B332" s="169" t="s">
        <v>81</v>
      </c>
      <c r="C332" s="32" t="s">
        <v>382</v>
      </c>
      <c r="D332" s="170" t="s">
        <v>2081</v>
      </c>
      <c r="E332" s="170" t="s">
        <v>1824</v>
      </c>
      <c r="F332" s="170">
        <v>1</v>
      </c>
      <c r="G332" s="170">
        <v>-1</v>
      </c>
      <c r="H332" s="23">
        <v>0</v>
      </c>
      <c r="I332" s="23">
        <v>0</v>
      </c>
      <c r="J332" s="23">
        <v>0</v>
      </c>
      <c r="K332" s="23">
        <v>0</v>
      </c>
      <c r="L332" s="170"/>
      <c r="M332" s="23">
        <f t="shared" ref="M332" si="167">LEN(L332)</f>
        <v>0</v>
      </c>
      <c r="N332" s="170" t="s">
        <v>2095</v>
      </c>
      <c r="O332" s="170"/>
      <c r="P332" s="82" t="s">
        <v>1210</v>
      </c>
      <c r="Q332" s="12">
        <v>1</v>
      </c>
      <c r="R332" s="12" t="s">
        <v>178</v>
      </c>
      <c r="S332" s="12" t="s">
        <v>178</v>
      </c>
    </row>
    <row r="333" spans="1:19" ht="21" customHeight="1" x14ac:dyDescent="0.15">
      <c r="A333" s="168">
        <v>58002</v>
      </c>
      <c r="B333" s="169" t="s">
        <v>81</v>
      </c>
      <c r="C333" s="32" t="s">
        <v>382</v>
      </c>
      <c r="D333" s="170" t="s">
        <v>2302</v>
      </c>
      <c r="E333" s="170" t="s">
        <v>1821</v>
      </c>
      <c r="F333" s="170">
        <v>1</v>
      </c>
      <c r="G333" s="170">
        <v>-1</v>
      </c>
      <c r="H333" s="23">
        <v>0</v>
      </c>
      <c r="I333" s="23">
        <v>0</v>
      </c>
      <c r="J333" s="23">
        <v>0</v>
      </c>
      <c r="K333" s="23">
        <v>0</v>
      </c>
      <c r="L333" s="170"/>
      <c r="M333" s="23">
        <f t="shared" ref="M333" si="168">LEN(L333)</f>
        <v>0</v>
      </c>
      <c r="N333" s="170" t="s">
        <v>2303</v>
      </c>
      <c r="O333" s="170"/>
      <c r="P333" s="82" t="s">
        <v>1210</v>
      </c>
      <c r="Q333" s="12">
        <v>1</v>
      </c>
      <c r="R333" s="12" t="s">
        <v>169</v>
      </c>
      <c r="S333" s="12" t="s">
        <v>169</v>
      </c>
    </row>
    <row r="334" spans="1:19" ht="21" customHeight="1" x14ac:dyDescent="0.15">
      <c r="A334" s="168">
        <v>58003</v>
      </c>
      <c r="B334" s="169" t="s">
        <v>81</v>
      </c>
      <c r="C334" s="32" t="s">
        <v>382</v>
      </c>
      <c r="D334" s="170" t="s">
        <v>2358</v>
      </c>
      <c r="E334" s="170" t="s">
        <v>1821</v>
      </c>
      <c r="F334" s="170">
        <v>3</v>
      </c>
      <c r="G334" s="170">
        <v>-1</v>
      </c>
      <c r="H334" s="23">
        <v>0</v>
      </c>
      <c r="I334" s="23">
        <v>0</v>
      </c>
      <c r="J334" s="23">
        <v>0</v>
      </c>
      <c r="K334" s="23">
        <v>0</v>
      </c>
      <c r="L334" s="170"/>
      <c r="M334" s="23">
        <f t="shared" ref="M334" si="169">LEN(L334)</f>
        <v>0</v>
      </c>
      <c r="N334" s="273" t="s">
        <v>2095</v>
      </c>
      <c r="O334" s="170" t="s">
        <v>2359</v>
      </c>
      <c r="P334" s="82" t="s">
        <v>1210</v>
      </c>
      <c r="Q334" s="12">
        <v>1</v>
      </c>
      <c r="R334" s="12" t="s">
        <v>169</v>
      </c>
      <c r="S334" s="12" t="s">
        <v>169</v>
      </c>
    </row>
    <row r="335" spans="1:19" ht="21" customHeight="1" x14ac:dyDescent="0.15">
      <c r="A335" s="168">
        <v>58101</v>
      </c>
      <c r="B335" s="169" t="s">
        <v>81</v>
      </c>
      <c r="C335" s="32" t="s">
        <v>382</v>
      </c>
      <c r="D335" s="170" t="s">
        <v>2334</v>
      </c>
      <c r="E335" s="170" t="s">
        <v>1821</v>
      </c>
      <c r="F335" s="170">
        <v>1</v>
      </c>
      <c r="G335" s="170">
        <v>-1</v>
      </c>
      <c r="H335" s="23">
        <v>0</v>
      </c>
      <c r="I335" s="23">
        <v>0</v>
      </c>
      <c r="J335" s="23">
        <v>0</v>
      </c>
      <c r="K335" s="23">
        <v>0</v>
      </c>
      <c r="L335" s="170"/>
      <c r="M335" s="23">
        <f t="shared" ref="M335" si="170">LEN(L335)</f>
        <v>0</v>
      </c>
      <c r="N335" s="170" t="s">
        <v>2335</v>
      </c>
      <c r="O335" s="170"/>
      <c r="P335" s="82" t="s">
        <v>1210</v>
      </c>
      <c r="Q335" s="12">
        <v>1</v>
      </c>
      <c r="R335" s="12" t="s">
        <v>169</v>
      </c>
      <c r="S335" s="12" t="s">
        <v>169</v>
      </c>
    </row>
    <row r="336" spans="1:19" ht="21" customHeight="1" x14ac:dyDescent="0.15">
      <c r="A336" s="283">
        <v>59001</v>
      </c>
      <c r="B336" s="169" t="s">
        <v>81</v>
      </c>
      <c r="C336" s="32" t="s">
        <v>568</v>
      </c>
      <c r="D336" s="170" t="s">
        <v>2008</v>
      </c>
      <c r="E336" s="170" t="s">
        <v>1821</v>
      </c>
      <c r="F336" s="170">
        <v>3</v>
      </c>
      <c r="G336" s="170">
        <v>-1</v>
      </c>
      <c r="H336" s="23">
        <v>0</v>
      </c>
      <c r="I336" s="23">
        <v>0</v>
      </c>
      <c r="J336" s="23">
        <v>0</v>
      </c>
      <c r="K336" s="23">
        <v>0</v>
      </c>
      <c r="L336" s="170"/>
      <c r="M336" s="23">
        <f t="shared" ref="M336:M337" si="171">LEN(L336)</f>
        <v>0</v>
      </c>
      <c r="N336" s="170" t="s">
        <v>1867</v>
      </c>
      <c r="O336" s="170"/>
      <c r="P336" s="82" t="s">
        <v>2001</v>
      </c>
      <c r="Q336" s="12">
        <v>1</v>
      </c>
      <c r="R336" s="267" t="s">
        <v>2051</v>
      </c>
      <c r="S336" s="12" t="s">
        <v>200</v>
      </c>
    </row>
    <row r="337" spans="1:19" ht="21" customHeight="1" x14ac:dyDescent="0.15">
      <c r="A337" s="283">
        <v>59002</v>
      </c>
      <c r="B337" s="169" t="s">
        <v>81</v>
      </c>
      <c r="C337" s="32" t="s">
        <v>568</v>
      </c>
      <c r="D337" s="170" t="s">
        <v>2182</v>
      </c>
      <c r="E337" s="170" t="s">
        <v>1821</v>
      </c>
      <c r="F337" s="170">
        <v>3</v>
      </c>
      <c r="G337" s="170">
        <v>-1</v>
      </c>
      <c r="H337" s="23">
        <v>0</v>
      </c>
      <c r="I337" s="23">
        <v>0</v>
      </c>
      <c r="J337" s="23">
        <v>0</v>
      </c>
      <c r="K337" s="23">
        <v>0</v>
      </c>
      <c r="L337" s="170"/>
      <c r="M337" s="23">
        <f t="shared" si="171"/>
        <v>0</v>
      </c>
      <c r="N337" s="170" t="s">
        <v>2070</v>
      </c>
      <c r="O337" s="170"/>
      <c r="P337" s="82" t="s">
        <v>2195</v>
      </c>
      <c r="Q337" s="12">
        <v>1</v>
      </c>
      <c r="R337" s="12" t="s">
        <v>523</v>
      </c>
      <c r="S337" s="12" t="s">
        <v>523</v>
      </c>
    </row>
    <row r="338" spans="1:19" ht="21" customHeight="1" x14ac:dyDescent="0.15">
      <c r="A338" s="168">
        <v>59003</v>
      </c>
      <c r="B338" s="169" t="s">
        <v>81</v>
      </c>
      <c r="C338" s="32" t="s">
        <v>568</v>
      </c>
      <c r="D338" s="250" t="s">
        <v>2286</v>
      </c>
      <c r="E338" s="170" t="s">
        <v>1821</v>
      </c>
      <c r="F338" s="250">
        <v>1</v>
      </c>
      <c r="G338" s="170">
        <v>-1</v>
      </c>
      <c r="H338" s="23">
        <v>0</v>
      </c>
      <c r="I338" s="23">
        <v>0</v>
      </c>
      <c r="J338" s="23">
        <v>0</v>
      </c>
      <c r="K338" s="23">
        <v>0</v>
      </c>
      <c r="L338" s="170"/>
      <c r="M338" s="23">
        <f t="shared" ref="M338" si="172">LEN(L338)</f>
        <v>0</v>
      </c>
      <c r="N338" s="170" t="s">
        <v>2267</v>
      </c>
      <c r="O338" s="170"/>
      <c r="P338" s="242" t="s">
        <v>2268</v>
      </c>
      <c r="Q338" s="12">
        <v>1</v>
      </c>
      <c r="R338" s="12" t="s">
        <v>523</v>
      </c>
      <c r="S338" s="12" t="s">
        <v>523</v>
      </c>
    </row>
    <row r="339" spans="1:19" ht="21" customHeight="1" x14ac:dyDescent="0.15">
      <c r="A339" s="168">
        <v>60001</v>
      </c>
      <c r="B339" s="169" t="s">
        <v>1002</v>
      </c>
      <c r="C339" s="32" t="s">
        <v>568</v>
      </c>
      <c r="D339" s="170" t="s">
        <v>1089</v>
      </c>
      <c r="E339" s="170" t="s">
        <v>1019</v>
      </c>
      <c r="F339" s="170">
        <v>1</v>
      </c>
      <c r="G339" s="170">
        <v>-1</v>
      </c>
      <c r="H339" s="23">
        <v>0</v>
      </c>
      <c r="I339" s="23">
        <v>0</v>
      </c>
      <c r="J339" s="23">
        <v>0</v>
      </c>
      <c r="K339" s="23">
        <v>0</v>
      </c>
      <c r="L339" s="170"/>
      <c r="M339" s="23">
        <f t="shared" ref="M339" si="173">LEN(L339)</f>
        <v>0</v>
      </c>
      <c r="N339" s="170" t="s">
        <v>987</v>
      </c>
      <c r="O339" s="170"/>
      <c r="P339" s="82"/>
      <c r="Q339" s="12">
        <v>1</v>
      </c>
      <c r="R339" s="12" t="s">
        <v>1702</v>
      </c>
      <c r="S339" s="12" t="s">
        <v>1701</v>
      </c>
    </row>
    <row r="340" spans="1:19" ht="21" customHeight="1" x14ac:dyDescent="0.15">
      <c r="A340" s="168">
        <v>60002</v>
      </c>
      <c r="B340" s="169" t="s">
        <v>1002</v>
      </c>
      <c r="C340" s="32" t="s">
        <v>382</v>
      </c>
      <c r="D340" s="170" t="s">
        <v>986</v>
      </c>
      <c r="E340" s="170" t="s">
        <v>1018</v>
      </c>
      <c r="F340" s="170">
        <v>1</v>
      </c>
      <c r="G340" s="170">
        <v>-1</v>
      </c>
      <c r="H340" s="23">
        <v>0</v>
      </c>
      <c r="I340" s="23">
        <v>0</v>
      </c>
      <c r="J340" s="23">
        <v>0</v>
      </c>
      <c r="K340" s="23">
        <v>0</v>
      </c>
      <c r="L340" s="170"/>
      <c r="M340" s="23">
        <f t="shared" ref="M340:M342" si="174">LEN(L340)</f>
        <v>0</v>
      </c>
      <c r="N340" s="170" t="s">
        <v>987</v>
      </c>
      <c r="O340" s="170"/>
      <c r="P340" s="82"/>
      <c r="Q340" s="12">
        <v>1</v>
      </c>
      <c r="R340" s="12" t="s">
        <v>1702</v>
      </c>
      <c r="S340" s="12" t="s">
        <v>1701</v>
      </c>
    </row>
    <row r="341" spans="1:19" ht="21" customHeight="1" x14ac:dyDescent="0.15">
      <c r="A341" s="168">
        <v>60003</v>
      </c>
      <c r="B341" s="169" t="s">
        <v>1002</v>
      </c>
      <c r="C341" s="32" t="s">
        <v>382</v>
      </c>
      <c r="D341" s="170" t="s">
        <v>986</v>
      </c>
      <c r="E341" s="170" t="s">
        <v>1020</v>
      </c>
      <c r="F341" s="170">
        <v>1</v>
      </c>
      <c r="G341" s="170">
        <v>-1</v>
      </c>
      <c r="H341" s="23">
        <v>0</v>
      </c>
      <c r="I341" s="23">
        <v>0</v>
      </c>
      <c r="J341" s="23">
        <v>0</v>
      </c>
      <c r="K341" s="23">
        <v>0</v>
      </c>
      <c r="L341" s="170"/>
      <c r="M341" s="23">
        <f t="shared" si="174"/>
        <v>0</v>
      </c>
      <c r="N341" s="170" t="s">
        <v>987</v>
      </c>
      <c r="O341" s="170"/>
      <c r="P341" s="82"/>
      <c r="Q341" s="12">
        <v>1</v>
      </c>
      <c r="R341" s="12" t="s">
        <v>1702</v>
      </c>
      <c r="S341" s="12" t="s">
        <v>1701</v>
      </c>
    </row>
    <row r="342" spans="1:19" ht="21" customHeight="1" x14ac:dyDescent="0.15">
      <c r="A342" s="168">
        <v>60004</v>
      </c>
      <c r="B342" s="169" t="s">
        <v>1002</v>
      </c>
      <c r="C342" s="32" t="s">
        <v>382</v>
      </c>
      <c r="D342" s="170" t="s">
        <v>986</v>
      </c>
      <c r="E342" s="170" t="s">
        <v>1021</v>
      </c>
      <c r="F342" s="170">
        <v>1</v>
      </c>
      <c r="G342" s="170">
        <v>-1</v>
      </c>
      <c r="H342" s="23">
        <v>0</v>
      </c>
      <c r="I342" s="23">
        <v>0</v>
      </c>
      <c r="J342" s="23">
        <v>0</v>
      </c>
      <c r="K342" s="23">
        <v>0</v>
      </c>
      <c r="L342" s="170"/>
      <c r="M342" s="23">
        <f t="shared" si="174"/>
        <v>0</v>
      </c>
      <c r="N342" s="170" t="s">
        <v>987</v>
      </c>
      <c r="O342" s="170"/>
      <c r="P342" s="23"/>
      <c r="Q342" s="12">
        <v>1</v>
      </c>
      <c r="R342" s="12" t="s">
        <v>1702</v>
      </c>
      <c r="S342" s="12" t="s">
        <v>1701</v>
      </c>
    </row>
    <row r="343" spans="1:19" ht="21" customHeight="1" x14ac:dyDescent="0.15">
      <c r="A343" s="168">
        <v>60005</v>
      </c>
      <c r="B343" s="169" t="s">
        <v>1002</v>
      </c>
      <c r="C343" s="32" t="s">
        <v>382</v>
      </c>
      <c r="D343" s="170" t="s">
        <v>1050</v>
      </c>
      <c r="E343" s="170" t="s">
        <v>1048</v>
      </c>
      <c r="F343" s="170">
        <v>1</v>
      </c>
      <c r="G343" s="170">
        <v>-1</v>
      </c>
      <c r="H343" s="23">
        <v>0</v>
      </c>
      <c r="I343" s="23">
        <v>0</v>
      </c>
      <c r="J343" s="23">
        <v>0</v>
      </c>
      <c r="K343" s="23">
        <v>0</v>
      </c>
      <c r="L343" s="170"/>
      <c r="M343" s="23">
        <f t="shared" ref="M343" si="175">LEN(L343)</f>
        <v>0</v>
      </c>
      <c r="N343" s="170" t="s">
        <v>987</v>
      </c>
      <c r="O343" s="170"/>
      <c r="P343" s="23"/>
      <c r="Q343" s="12">
        <v>1</v>
      </c>
      <c r="R343" s="12" t="s">
        <v>1702</v>
      </c>
      <c r="S343" s="12" t="s">
        <v>1701</v>
      </c>
    </row>
    <row r="344" spans="1:19" ht="21" customHeight="1" x14ac:dyDescent="0.15">
      <c r="A344" s="168">
        <v>60006</v>
      </c>
      <c r="B344" s="169" t="s">
        <v>1002</v>
      </c>
      <c r="C344" s="32" t="s">
        <v>382</v>
      </c>
      <c r="D344" s="170" t="s">
        <v>1050</v>
      </c>
      <c r="E344" s="170" t="s">
        <v>1061</v>
      </c>
      <c r="F344" s="170">
        <v>3</v>
      </c>
      <c r="G344" s="170">
        <v>-1</v>
      </c>
      <c r="H344" s="23">
        <v>0</v>
      </c>
      <c r="I344" s="23">
        <v>0</v>
      </c>
      <c r="J344" s="23">
        <v>0</v>
      </c>
      <c r="K344" s="23">
        <v>0</v>
      </c>
      <c r="L344" s="170"/>
      <c r="M344" s="23">
        <f t="shared" ref="M344" si="176">LEN(L344)</f>
        <v>0</v>
      </c>
      <c r="N344" s="170" t="s">
        <v>1062</v>
      </c>
      <c r="O344" s="170"/>
      <c r="P344" s="23"/>
      <c r="Q344" s="12">
        <v>1</v>
      </c>
      <c r="R344" s="12" t="s">
        <v>1702</v>
      </c>
      <c r="S344" s="12" t="s">
        <v>1701</v>
      </c>
    </row>
    <row r="345" spans="1:19" ht="21" customHeight="1" x14ac:dyDescent="0.15">
      <c r="A345" s="168">
        <v>60007</v>
      </c>
      <c r="B345" s="169" t="s">
        <v>1002</v>
      </c>
      <c r="C345" s="32" t="s">
        <v>382</v>
      </c>
      <c r="D345" s="170" t="s">
        <v>1050</v>
      </c>
      <c r="E345" s="170" t="s">
        <v>1061</v>
      </c>
      <c r="F345" s="170">
        <v>3</v>
      </c>
      <c r="G345" s="170">
        <v>-1</v>
      </c>
      <c r="H345" s="23">
        <v>0</v>
      </c>
      <c r="I345" s="23">
        <v>0</v>
      </c>
      <c r="J345" s="23">
        <v>0</v>
      </c>
      <c r="K345" s="23">
        <v>0</v>
      </c>
      <c r="L345" s="170"/>
      <c r="M345" s="23">
        <f t="shared" ref="M345" si="177">LEN(L345)</f>
        <v>0</v>
      </c>
      <c r="N345" s="170" t="s">
        <v>1142</v>
      </c>
      <c r="O345" s="170"/>
      <c r="P345" s="23"/>
      <c r="Q345" s="12">
        <v>1</v>
      </c>
      <c r="R345" s="12" t="s">
        <v>1702</v>
      </c>
      <c r="S345" s="12" t="s">
        <v>1701</v>
      </c>
    </row>
    <row r="346" spans="1:19" ht="21" customHeight="1" x14ac:dyDescent="0.15">
      <c r="A346" s="168">
        <v>60010</v>
      </c>
      <c r="B346" s="169" t="s">
        <v>1002</v>
      </c>
      <c r="C346" s="32" t="s">
        <v>382</v>
      </c>
      <c r="D346" s="170" t="s">
        <v>1220</v>
      </c>
      <c r="E346" s="170" t="s">
        <v>1061</v>
      </c>
      <c r="F346" s="170">
        <v>3</v>
      </c>
      <c r="G346" s="170">
        <v>-1</v>
      </c>
      <c r="H346" s="23">
        <v>0</v>
      </c>
      <c r="I346" s="23">
        <v>0</v>
      </c>
      <c r="J346" s="23">
        <v>0</v>
      </c>
      <c r="K346" s="23">
        <v>0</v>
      </c>
      <c r="L346" s="170"/>
      <c r="M346" s="23">
        <f t="shared" ref="M346" si="178">LEN(L346)</f>
        <v>0</v>
      </c>
      <c r="N346" s="170" t="s">
        <v>1221</v>
      </c>
      <c r="O346" s="170"/>
      <c r="P346" s="82" t="s">
        <v>1210</v>
      </c>
      <c r="Q346" s="12">
        <v>1</v>
      </c>
      <c r="R346" s="12" t="s">
        <v>1702</v>
      </c>
      <c r="S346" s="12" t="s">
        <v>1701</v>
      </c>
    </row>
    <row r="347" spans="1:19" ht="21" customHeight="1" x14ac:dyDescent="0.15">
      <c r="A347" s="168">
        <v>60011</v>
      </c>
      <c r="B347" s="169" t="s">
        <v>1002</v>
      </c>
      <c r="C347" s="32" t="s">
        <v>382</v>
      </c>
      <c r="D347" s="170" t="s">
        <v>1437</v>
      </c>
      <c r="E347" s="170" t="s">
        <v>1061</v>
      </c>
      <c r="F347" s="170">
        <v>3</v>
      </c>
      <c r="G347" s="170">
        <v>-1</v>
      </c>
      <c r="H347" s="23">
        <v>0</v>
      </c>
      <c r="I347" s="23">
        <v>0</v>
      </c>
      <c r="J347" s="23">
        <v>0</v>
      </c>
      <c r="K347" s="23">
        <v>0</v>
      </c>
      <c r="L347" s="170"/>
      <c r="M347" s="23">
        <f t="shared" ref="M347" si="179">LEN(L347)</f>
        <v>0</v>
      </c>
      <c r="N347" s="170" t="s">
        <v>1329</v>
      </c>
      <c r="O347" s="170"/>
      <c r="P347" s="82" t="s">
        <v>1210</v>
      </c>
      <c r="Q347" s="12">
        <v>1</v>
      </c>
      <c r="R347" s="12" t="s">
        <v>1702</v>
      </c>
      <c r="S347" s="12" t="s">
        <v>1701</v>
      </c>
    </row>
    <row r="348" spans="1:19" ht="21" customHeight="1" x14ac:dyDescent="0.15">
      <c r="A348" s="168">
        <v>61011</v>
      </c>
      <c r="B348" s="169" t="s">
        <v>1002</v>
      </c>
      <c r="C348" s="32" t="s">
        <v>382</v>
      </c>
      <c r="D348" s="170" t="s">
        <v>1438</v>
      </c>
      <c r="E348" s="170" t="s">
        <v>1061</v>
      </c>
      <c r="F348" s="170">
        <v>1</v>
      </c>
      <c r="G348" s="170">
        <v>-1</v>
      </c>
      <c r="H348" s="23">
        <v>0</v>
      </c>
      <c r="I348" s="23">
        <v>0</v>
      </c>
      <c r="J348" s="23">
        <v>0</v>
      </c>
      <c r="K348" s="23">
        <v>0</v>
      </c>
      <c r="L348" s="170"/>
      <c r="M348" s="23">
        <f t="shared" ref="M348" si="180">LEN(L348)</f>
        <v>0</v>
      </c>
      <c r="N348" s="170" t="s">
        <v>1329</v>
      </c>
      <c r="O348" s="170"/>
      <c r="P348" s="82" t="s">
        <v>1210</v>
      </c>
      <c r="Q348" s="12">
        <v>1</v>
      </c>
      <c r="R348" s="12" t="s">
        <v>1702</v>
      </c>
      <c r="S348" s="12" t="s">
        <v>1701</v>
      </c>
    </row>
    <row r="349" spans="1:19" ht="21" customHeight="1" x14ac:dyDescent="0.15">
      <c r="A349" s="168">
        <v>60012</v>
      </c>
      <c r="B349" s="169" t="s">
        <v>1002</v>
      </c>
      <c r="C349" s="32" t="s">
        <v>382</v>
      </c>
      <c r="D349" s="170" t="s">
        <v>1328</v>
      </c>
      <c r="E349" s="170" t="s">
        <v>1061</v>
      </c>
      <c r="F349" s="170">
        <v>3</v>
      </c>
      <c r="G349" s="170">
        <v>-1</v>
      </c>
      <c r="H349" s="23">
        <v>0</v>
      </c>
      <c r="I349" s="23">
        <v>0</v>
      </c>
      <c r="J349" s="23">
        <v>0</v>
      </c>
      <c r="K349" s="23">
        <v>0</v>
      </c>
      <c r="L349" s="170"/>
      <c r="M349" s="23">
        <f t="shared" ref="M349:M350" si="181">LEN(L349)</f>
        <v>0</v>
      </c>
      <c r="N349" s="170" t="s">
        <v>1329</v>
      </c>
      <c r="O349" s="170"/>
      <c r="P349" s="82" t="s">
        <v>1210</v>
      </c>
      <c r="Q349" s="12">
        <v>1</v>
      </c>
      <c r="R349" s="12" t="s">
        <v>1702</v>
      </c>
      <c r="S349" s="12" t="s">
        <v>1701</v>
      </c>
    </row>
    <row r="350" spans="1:19" ht="21" customHeight="1" x14ac:dyDescent="0.15">
      <c r="A350" s="168">
        <v>60013</v>
      </c>
      <c r="B350" s="169" t="s">
        <v>1002</v>
      </c>
      <c r="C350" s="32" t="s">
        <v>382</v>
      </c>
      <c r="D350" s="170" t="s">
        <v>1050</v>
      </c>
      <c r="E350" s="170" t="s">
        <v>1061</v>
      </c>
      <c r="F350" s="170">
        <v>3</v>
      </c>
      <c r="G350" s="170">
        <v>-1</v>
      </c>
      <c r="H350" s="23">
        <v>0</v>
      </c>
      <c r="I350" s="23">
        <v>0</v>
      </c>
      <c r="J350" s="23">
        <v>0</v>
      </c>
      <c r="K350" s="23">
        <v>0</v>
      </c>
      <c r="L350" s="170"/>
      <c r="M350" s="23">
        <f t="shared" si="181"/>
        <v>0</v>
      </c>
      <c r="N350" s="170" t="s">
        <v>1461</v>
      </c>
      <c r="O350" s="170"/>
      <c r="P350" s="23" t="s">
        <v>1317</v>
      </c>
      <c r="Q350" s="12">
        <v>1</v>
      </c>
      <c r="R350" s="12" t="s">
        <v>1702</v>
      </c>
      <c r="S350" s="12" t="s">
        <v>1701</v>
      </c>
    </row>
    <row r="351" spans="1:19" ht="21" customHeight="1" x14ac:dyDescent="0.15">
      <c r="A351" s="168">
        <v>60014</v>
      </c>
      <c r="B351" s="169" t="s">
        <v>1002</v>
      </c>
      <c r="C351" s="32" t="s">
        <v>382</v>
      </c>
      <c r="D351" s="170" t="s">
        <v>1545</v>
      </c>
      <c r="E351" s="170" t="s">
        <v>1546</v>
      </c>
      <c r="F351" s="170">
        <v>3</v>
      </c>
      <c r="G351" s="170">
        <v>-1</v>
      </c>
      <c r="H351" s="23">
        <v>0</v>
      </c>
      <c r="I351" s="23">
        <v>0</v>
      </c>
      <c r="J351" s="23">
        <v>0</v>
      </c>
      <c r="K351" s="23">
        <v>0</v>
      </c>
      <c r="L351" s="170"/>
      <c r="M351" s="23">
        <f t="shared" ref="M351" si="182">LEN(L351)</f>
        <v>0</v>
      </c>
      <c r="N351" s="170" t="s">
        <v>1485</v>
      </c>
      <c r="O351" s="170"/>
      <c r="P351" s="23" t="s">
        <v>1486</v>
      </c>
      <c r="Q351" s="12">
        <v>1</v>
      </c>
      <c r="R351" s="12" t="s">
        <v>1702</v>
      </c>
      <c r="S351" s="12" t="s">
        <v>1701</v>
      </c>
    </row>
    <row r="352" spans="1:19" ht="21" customHeight="1" x14ac:dyDescent="0.15">
      <c r="A352" s="168">
        <v>60015</v>
      </c>
      <c r="B352" s="169" t="s">
        <v>1002</v>
      </c>
      <c r="C352" s="32" t="s">
        <v>382</v>
      </c>
      <c r="D352" s="170" t="s">
        <v>1220</v>
      </c>
      <c r="E352" s="170" t="s">
        <v>1061</v>
      </c>
      <c r="F352" s="170">
        <v>3</v>
      </c>
      <c r="G352" s="170">
        <v>-1</v>
      </c>
      <c r="H352" s="23">
        <v>0</v>
      </c>
      <c r="I352" s="23">
        <v>0</v>
      </c>
      <c r="J352" s="23">
        <v>0</v>
      </c>
      <c r="K352" s="23">
        <v>0</v>
      </c>
      <c r="L352" s="170"/>
      <c r="M352" s="23">
        <f t="shared" ref="M352" si="183">LEN(L352)</f>
        <v>0</v>
      </c>
      <c r="N352" s="170" t="s">
        <v>1572</v>
      </c>
      <c r="O352" s="170"/>
      <c r="P352" s="23" t="s">
        <v>1486</v>
      </c>
      <c r="Q352" s="12">
        <v>1</v>
      </c>
      <c r="R352" s="12" t="s">
        <v>1702</v>
      </c>
      <c r="S352" s="12" t="s">
        <v>1701</v>
      </c>
    </row>
    <row r="353" spans="1:19" ht="21" customHeight="1" x14ac:dyDescent="0.15">
      <c r="A353" s="168">
        <v>60016</v>
      </c>
      <c r="B353" s="169" t="s">
        <v>1002</v>
      </c>
      <c r="C353" s="32" t="s">
        <v>382</v>
      </c>
      <c r="D353" s="170" t="s">
        <v>1580</v>
      </c>
      <c r="E353" s="170" t="s">
        <v>1061</v>
      </c>
      <c r="F353" s="254">
        <v>3</v>
      </c>
      <c r="G353" s="170">
        <v>-1</v>
      </c>
      <c r="H353" s="23">
        <v>0</v>
      </c>
      <c r="I353" s="23">
        <v>0</v>
      </c>
      <c r="J353" s="23">
        <v>0</v>
      </c>
      <c r="K353" s="23">
        <v>0</v>
      </c>
      <c r="L353" s="170"/>
      <c r="M353" s="23">
        <f t="shared" ref="M353" si="184">LEN(L353)</f>
        <v>0</v>
      </c>
      <c r="N353" s="170" t="s">
        <v>1581</v>
      </c>
      <c r="O353" s="170"/>
      <c r="P353" s="23" t="s">
        <v>1486</v>
      </c>
      <c r="Q353" s="12">
        <v>1</v>
      </c>
      <c r="R353" s="12" t="s">
        <v>1702</v>
      </c>
      <c r="S353" s="12" t="s">
        <v>1701</v>
      </c>
    </row>
    <row r="354" spans="1:19" ht="21" customHeight="1" x14ac:dyDescent="0.15">
      <c r="A354" s="168">
        <v>60017</v>
      </c>
      <c r="B354" s="169" t="s">
        <v>1002</v>
      </c>
      <c r="C354" s="32" t="s">
        <v>382</v>
      </c>
      <c r="D354" s="170" t="s">
        <v>1661</v>
      </c>
      <c r="E354" s="170" t="s">
        <v>1061</v>
      </c>
      <c r="F354" s="254">
        <v>3</v>
      </c>
      <c r="G354" s="170">
        <v>-1</v>
      </c>
      <c r="H354" s="23">
        <v>0</v>
      </c>
      <c r="I354" s="23">
        <v>0</v>
      </c>
      <c r="J354" s="23">
        <v>0</v>
      </c>
      <c r="K354" s="23">
        <v>0</v>
      </c>
      <c r="L354" s="170"/>
      <c r="M354" s="23">
        <f t="shared" ref="M354" si="185">LEN(L354)</f>
        <v>0</v>
      </c>
      <c r="N354" s="170" t="s">
        <v>1662</v>
      </c>
      <c r="O354" s="170"/>
      <c r="P354" s="23" t="s">
        <v>1486</v>
      </c>
      <c r="Q354" s="12">
        <v>1</v>
      </c>
      <c r="R354" s="12" t="s">
        <v>1702</v>
      </c>
      <c r="S354" s="12" t="s">
        <v>1701</v>
      </c>
    </row>
    <row r="355" spans="1:19" ht="21" customHeight="1" x14ac:dyDescent="0.15">
      <c r="A355" s="168">
        <v>60018</v>
      </c>
      <c r="B355" s="169" t="s">
        <v>1002</v>
      </c>
      <c r="C355" s="32" t="s">
        <v>382</v>
      </c>
      <c r="D355" s="170" t="s">
        <v>1686</v>
      </c>
      <c r="E355" s="170" t="s">
        <v>1061</v>
      </c>
      <c r="F355" s="170">
        <v>3</v>
      </c>
      <c r="G355" s="170">
        <v>-1</v>
      </c>
      <c r="H355" s="23">
        <v>0</v>
      </c>
      <c r="I355" s="23">
        <v>0</v>
      </c>
      <c r="J355" s="23">
        <v>0</v>
      </c>
      <c r="K355" s="23">
        <v>0</v>
      </c>
      <c r="L355" s="170"/>
      <c r="M355" s="23">
        <f t="shared" ref="M355" si="186">LEN(L355)</f>
        <v>0</v>
      </c>
      <c r="N355" s="170" t="s">
        <v>1687</v>
      </c>
      <c r="O355" s="170"/>
      <c r="P355" s="23" t="s">
        <v>1210</v>
      </c>
      <c r="Q355" s="12">
        <v>1</v>
      </c>
      <c r="R355" s="12" t="s">
        <v>1702</v>
      </c>
      <c r="S355" s="12" t="s">
        <v>1701</v>
      </c>
    </row>
    <row r="356" spans="1:19" ht="21" customHeight="1" x14ac:dyDescent="0.15">
      <c r="A356" s="168">
        <v>60019</v>
      </c>
      <c r="B356" s="169" t="s">
        <v>1002</v>
      </c>
      <c r="C356" s="32" t="s">
        <v>382</v>
      </c>
      <c r="D356" s="170" t="s">
        <v>1755</v>
      </c>
      <c r="E356" s="170" t="s">
        <v>1061</v>
      </c>
      <c r="F356" s="170">
        <v>3</v>
      </c>
      <c r="G356" s="170">
        <v>-1</v>
      </c>
      <c r="H356" s="23">
        <v>0</v>
      </c>
      <c r="I356" s="23">
        <v>0</v>
      </c>
      <c r="J356" s="23">
        <v>0</v>
      </c>
      <c r="K356" s="23">
        <v>0</v>
      </c>
      <c r="L356" s="170"/>
      <c r="M356" s="23">
        <f t="shared" ref="M356:M357" si="187">LEN(L356)</f>
        <v>0</v>
      </c>
      <c r="N356" s="170" t="s">
        <v>1756</v>
      </c>
      <c r="O356" s="170"/>
      <c r="P356" s="23" t="s">
        <v>1210</v>
      </c>
      <c r="Q356" s="12">
        <v>1</v>
      </c>
      <c r="R356" s="12" t="s">
        <v>1702</v>
      </c>
      <c r="S356" s="12" t="s">
        <v>1701</v>
      </c>
    </row>
    <row r="357" spans="1:19" ht="21" customHeight="1" x14ac:dyDescent="0.15">
      <c r="A357" s="168">
        <v>60020</v>
      </c>
      <c r="B357" s="169" t="s">
        <v>1002</v>
      </c>
      <c r="C357" s="32" t="s">
        <v>382</v>
      </c>
      <c r="D357" s="170" t="s">
        <v>1580</v>
      </c>
      <c r="E357" s="170" t="s">
        <v>1061</v>
      </c>
      <c r="F357" s="254">
        <v>3</v>
      </c>
      <c r="G357" s="170">
        <v>-1</v>
      </c>
      <c r="H357" s="23">
        <v>0</v>
      </c>
      <c r="I357" s="23">
        <v>0</v>
      </c>
      <c r="J357" s="23">
        <v>0</v>
      </c>
      <c r="K357" s="23">
        <v>0</v>
      </c>
      <c r="L357" s="170"/>
      <c r="M357" s="23">
        <f t="shared" si="187"/>
        <v>0</v>
      </c>
      <c r="N357" s="170" t="s">
        <v>1790</v>
      </c>
      <c r="O357" s="170"/>
      <c r="P357" s="23" t="s">
        <v>1317</v>
      </c>
      <c r="Q357" s="12">
        <v>1</v>
      </c>
      <c r="R357" s="12" t="s">
        <v>1044</v>
      </c>
      <c r="S357" s="12" t="s">
        <v>1044</v>
      </c>
    </row>
    <row r="358" spans="1:19" ht="21" customHeight="1" x14ac:dyDescent="0.15">
      <c r="A358" s="168">
        <v>60025</v>
      </c>
      <c r="B358" s="169" t="s">
        <v>1002</v>
      </c>
      <c r="C358" s="32" t="s">
        <v>382</v>
      </c>
      <c r="D358" s="170" t="s">
        <v>1862</v>
      </c>
      <c r="E358" s="170" t="s">
        <v>1061</v>
      </c>
      <c r="F358" s="170">
        <v>3</v>
      </c>
      <c r="G358" s="170">
        <v>-1</v>
      </c>
      <c r="H358" s="23">
        <v>0</v>
      </c>
      <c r="I358" s="23">
        <v>0</v>
      </c>
      <c r="J358" s="23">
        <v>0</v>
      </c>
      <c r="K358" s="23">
        <v>0</v>
      </c>
      <c r="L358" s="170"/>
      <c r="M358" s="23">
        <f t="shared" ref="M358" si="188">LEN(L358)</f>
        <v>0</v>
      </c>
      <c r="N358" s="170" t="s">
        <v>1863</v>
      </c>
      <c r="O358" s="170"/>
      <c r="P358" s="23" t="s">
        <v>1210</v>
      </c>
      <c r="Q358" s="12">
        <v>1</v>
      </c>
      <c r="R358" s="12" t="s">
        <v>469</v>
      </c>
      <c r="S358" s="12" t="s">
        <v>469</v>
      </c>
    </row>
    <row r="359" spans="1:19" ht="21" customHeight="1" x14ac:dyDescent="0.15">
      <c r="A359" s="168">
        <v>60026</v>
      </c>
      <c r="B359" s="169" t="s">
        <v>1002</v>
      </c>
      <c r="C359" s="32" t="s">
        <v>382</v>
      </c>
      <c r="D359" s="170" t="s">
        <v>1943</v>
      </c>
      <c r="E359" s="170" t="s">
        <v>1061</v>
      </c>
      <c r="F359" s="170">
        <v>3</v>
      </c>
      <c r="G359" s="170">
        <v>-1</v>
      </c>
      <c r="H359" s="23">
        <v>0</v>
      </c>
      <c r="I359" s="23">
        <v>0</v>
      </c>
      <c r="J359" s="23">
        <v>0</v>
      </c>
      <c r="K359" s="23">
        <v>0</v>
      </c>
      <c r="L359" s="170"/>
      <c r="M359" s="23">
        <f t="shared" ref="M359:M361" si="189">LEN(L359)</f>
        <v>0</v>
      </c>
      <c r="N359" s="170" t="s">
        <v>1944</v>
      </c>
      <c r="O359" s="170"/>
      <c r="P359" s="23" t="s">
        <v>1210</v>
      </c>
      <c r="Q359" s="12">
        <v>1</v>
      </c>
      <c r="R359" s="12" t="s">
        <v>169</v>
      </c>
      <c r="S359" s="12" t="s">
        <v>169</v>
      </c>
    </row>
    <row r="360" spans="1:19" ht="21" customHeight="1" x14ac:dyDescent="0.15">
      <c r="A360" s="168">
        <v>60027</v>
      </c>
      <c r="B360" s="169" t="s">
        <v>1002</v>
      </c>
      <c r="C360" s="32" t="s">
        <v>382</v>
      </c>
      <c r="D360" s="170" t="s">
        <v>1686</v>
      </c>
      <c r="E360" s="170" t="s">
        <v>1061</v>
      </c>
      <c r="F360" s="170">
        <v>3</v>
      </c>
      <c r="G360" s="170">
        <v>-1</v>
      </c>
      <c r="H360" s="23">
        <v>0</v>
      </c>
      <c r="I360" s="23">
        <v>0</v>
      </c>
      <c r="J360" s="23">
        <v>0</v>
      </c>
      <c r="K360" s="23">
        <v>0</v>
      </c>
      <c r="L360" s="170"/>
      <c r="M360" s="23">
        <f t="shared" si="189"/>
        <v>0</v>
      </c>
      <c r="N360" s="170" t="s">
        <v>1947</v>
      </c>
      <c r="O360" s="170"/>
      <c r="P360" s="23" t="s">
        <v>1210</v>
      </c>
      <c r="Q360" s="12">
        <v>1</v>
      </c>
      <c r="R360" s="12" t="s">
        <v>1702</v>
      </c>
      <c r="S360" s="12" t="s">
        <v>1701</v>
      </c>
    </row>
    <row r="361" spans="1:19" ht="21" customHeight="1" x14ac:dyDescent="0.15">
      <c r="A361" s="168">
        <v>60028</v>
      </c>
      <c r="B361" s="169" t="s">
        <v>1002</v>
      </c>
      <c r="C361" s="32" t="s">
        <v>382</v>
      </c>
      <c r="D361" s="170" t="s">
        <v>1545</v>
      </c>
      <c r="E361" s="170" t="s">
        <v>1546</v>
      </c>
      <c r="F361" s="170">
        <v>3</v>
      </c>
      <c r="G361" s="170">
        <v>-1</v>
      </c>
      <c r="H361" s="23">
        <v>0</v>
      </c>
      <c r="I361" s="23">
        <v>0</v>
      </c>
      <c r="J361" s="23">
        <v>0</v>
      </c>
      <c r="K361" s="23">
        <v>0</v>
      </c>
      <c r="L361" s="170"/>
      <c r="M361" s="23">
        <f t="shared" si="189"/>
        <v>0</v>
      </c>
      <c r="N361" s="170" t="s">
        <v>2106</v>
      </c>
      <c r="O361" s="170"/>
      <c r="P361" s="23" t="s">
        <v>1210</v>
      </c>
      <c r="Q361" s="12">
        <v>1</v>
      </c>
      <c r="R361" s="12" t="s">
        <v>1128</v>
      </c>
      <c r="S361" s="12" t="s">
        <v>169</v>
      </c>
    </row>
    <row r="362" spans="1:19" ht="21" customHeight="1" x14ac:dyDescent="0.15">
      <c r="A362" s="168">
        <v>60029</v>
      </c>
      <c r="B362" s="169" t="s">
        <v>1002</v>
      </c>
      <c r="C362" s="169" t="s">
        <v>382</v>
      </c>
      <c r="D362" s="170" t="s">
        <v>2235</v>
      </c>
      <c r="E362" s="170" t="s">
        <v>1061</v>
      </c>
      <c r="F362" s="170">
        <v>3</v>
      </c>
      <c r="G362" s="170">
        <v>-1</v>
      </c>
      <c r="H362" s="170">
        <v>0</v>
      </c>
      <c r="I362" s="170">
        <v>0</v>
      </c>
      <c r="J362" s="170">
        <v>0</v>
      </c>
      <c r="K362" s="170">
        <v>0</v>
      </c>
      <c r="L362" s="170"/>
      <c r="M362" s="170">
        <f t="shared" ref="M362:M367" si="190">LEN(L362)</f>
        <v>0</v>
      </c>
      <c r="N362" s="170" t="s">
        <v>2236</v>
      </c>
      <c r="O362" s="170"/>
      <c r="P362" s="170" t="s">
        <v>1210</v>
      </c>
      <c r="Q362" s="37">
        <v>1</v>
      </c>
      <c r="R362" s="12" t="s">
        <v>178</v>
      </c>
      <c r="S362" s="12" t="s">
        <v>169</v>
      </c>
    </row>
    <row r="363" spans="1:19" ht="21" customHeight="1" x14ac:dyDescent="0.15">
      <c r="A363" s="168">
        <v>60030</v>
      </c>
      <c r="B363" s="169" t="s">
        <v>1002</v>
      </c>
      <c r="C363" s="169" t="s">
        <v>382</v>
      </c>
      <c r="D363" s="170" t="s">
        <v>2298</v>
      </c>
      <c r="E363" s="170" t="s">
        <v>2347</v>
      </c>
      <c r="F363" s="170">
        <v>3</v>
      </c>
      <c r="G363" s="170">
        <v>-1</v>
      </c>
      <c r="H363" s="170">
        <v>0</v>
      </c>
      <c r="I363" s="170">
        <v>0</v>
      </c>
      <c r="J363" s="170">
        <v>0</v>
      </c>
      <c r="K363" s="170">
        <v>0</v>
      </c>
      <c r="L363" s="170"/>
      <c r="M363" s="170">
        <f t="shared" ref="M363" si="191">LEN(L363)</f>
        <v>0</v>
      </c>
      <c r="N363" s="170" t="s">
        <v>2299</v>
      </c>
      <c r="O363" s="170"/>
      <c r="P363" s="170" t="s">
        <v>1210</v>
      </c>
      <c r="Q363" s="37">
        <v>1</v>
      </c>
      <c r="R363" s="12" t="s">
        <v>178</v>
      </c>
      <c r="S363" s="12" t="s">
        <v>169</v>
      </c>
    </row>
    <row r="364" spans="1:19" ht="21" customHeight="1" x14ac:dyDescent="0.15">
      <c r="A364" s="168">
        <v>60031</v>
      </c>
      <c r="B364" s="169" t="s">
        <v>1002</v>
      </c>
      <c r="C364" s="169" t="s">
        <v>382</v>
      </c>
      <c r="D364" s="170" t="s">
        <v>2316</v>
      </c>
      <c r="E364" s="170" t="s">
        <v>1061</v>
      </c>
      <c r="F364" s="170">
        <v>3</v>
      </c>
      <c r="G364" s="170">
        <v>-1</v>
      </c>
      <c r="H364" s="170">
        <v>0</v>
      </c>
      <c r="I364" s="170">
        <v>0</v>
      </c>
      <c r="J364" s="170">
        <v>0</v>
      </c>
      <c r="K364" s="170">
        <v>0</v>
      </c>
      <c r="L364" s="170"/>
      <c r="M364" s="170">
        <f t="shared" ref="M364" si="192">LEN(L364)</f>
        <v>0</v>
      </c>
      <c r="N364" s="170" t="s">
        <v>2317</v>
      </c>
      <c r="O364" s="170"/>
      <c r="P364" s="170" t="s">
        <v>1210</v>
      </c>
      <c r="Q364" s="37">
        <v>1</v>
      </c>
      <c r="R364" s="12" t="s">
        <v>178</v>
      </c>
      <c r="S364" s="12" t="s">
        <v>169</v>
      </c>
    </row>
    <row r="365" spans="1:19" ht="21" customHeight="1" x14ac:dyDescent="0.15">
      <c r="A365" s="168">
        <v>60032</v>
      </c>
      <c r="B365" s="169" t="s">
        <v>1002</v>
      </c>
      <c r="C365" s="169" t="s">
        <v>382</v>
      </c>
      <c r="D365" s="170" t="s">
        <v>2387</v>
      </c>
      <c r="E365" s="170" t="s">
        <v>1061</v>
      </c>
      <c r="F365" s="170">
        <v>3</v>
      </c>
      <c r="G365" s="170">
        <v>-1</v>
      </c>
      <c r="H365" s="170">
        <v>0</v>
      </c>
      <c r="I365" s="170">
        <v>0</v>
      </c>
      <c r="J365" s="170">
        <v>0</v>
      </c>
      <c r="K365" s="170">
        <v>0</v>
      </c>
      <c r="L365" s="170"/>
      <c r="M365" s="170">
        <f t="shared" ref="M365:M366" si="193">LEN(L365)</f>
        <v>0</v>
      </c>
      <c r="N365" s="170" t="s">
        <v>2388</v>
      </c>
      <c r="O365" s="170"/>
      <c r="P365" s="170" t="s">
        <v>1210</v>
      </c>
      <c r="Q365" s="37">
        <v>1</v>
      </c>
      <c r="R365" s="12" t="s">
        <v>178</v>
      </c>
      <c r="S365" s="12" t="s">
        <v>169</v>
      </c>
    </row>
    <row r="366" spans="1:19" ht="21" customHeight="1" x14ac:dyDescent="0.15">
      <c r="A366" s="168">
        <v>61001</v>
      </c>
      <c r="B366" s="169" t="s">
        <v>81</v>
      </c>
      <c r="C366" s="32" t="s">
        <v>568</v>
      </c>
      <c r="D366" s="170" t="s">
        <v>2401</v>
      </c>
      <c r="E366" s="170" t="s">
        <v>2402</v>
      </c>
      <c r="F366" s="170">
        <v>1</v>
      </c>
      <c r="G366" s="170">
        <v>-1</v>
      </c>
      <c r="H366" s="23">
        <v>0</v>
      </c>
      <c r="I366" s="23">
        <v>0</v>
      </c>
      <c r="J366" s="23">
        <v>0</v>
      </c>
      <c r="K366" s="23">
        <v>0</v>
      </c>
      <c r="L366" s="170"/>
      <c r="M366" s="23">
        <f t="shared" si="193"/>
        <v>0</v>
      </c>
      <c r="N366" s="170" t="s">
        <v>2403</v>
      </c>
      <c r="O366" s="170"/>
      <c r="P366" s="82" t="s">
        <v>1210</v>
      </c>
      <c r="Q366" s="12">
        <v>1</v>
      </c>
      <c r="R366" s="12" t="s">
        <v>169</v>
      </c>
      <c r="S366" s="12" t="s">
        <v>169</v>
      </c>
    </row>
    <row r="367" spans="1:19" s="83" customFormat="1" ht="21" customHeight="1" x14ac:dyDescent="0.15">
      <c r="A367" s="313">
        <v>65523</v>
      </c>
      <c r="B367" s="314" t="s">
        <v>81</v>
      </c>
      <c r="C367" s="314" t="s">
        <v>382</v>
      </c>
      <c r="D367" s="313" t="s">
        <v>2253</v>
      </c>
      <c r="E367" s="313" t="s">
        <v>2253</v>
      </c>
      <c r="F367" s="315">
        <v>1</v>
      </c>
      <c r="G367" s="315">
        <v>-1</v>
      </c>
      <c r="H367" s="315">
        <v>0</v>
      </c>
      <c r="I367" s="315">
        <v>0</v>
      </c>
      <c r="J367" s="315">
        <v>0</v>
      </c>
      <c r="K367" s="315">
        <v>0</v>
      </c>
      <c r="L367" s="315"/>
      <c r="M367" s="315">
        <f t="shared" si="190"/>
        <v>0</v>
      </c>
      <c r="N367" s="315" t="s">
        <v>2224</v>
      </c>
      <c r="O367" s="315"/>
      <c r="P367" s="315"/>
      <c r="Q367" s="315">
        <v>1</v>
      </c>
      <c r="R367" s="306" t="s">
        <v>169</v>
      </c>
      <c r="S367" s="12" t="s">
        <v>169</v>
      </c>
    </row>
    <row r="368" spans="1:19" s="83" customFormat="1" ht="21" customHeight="1" x14ac:dyDescent="0.15">
      <c r="A368" s="313">
        <v>65524</v>
      </c>
      <c r="B368" s="314" t="s">
        <v>81</v>
      </c>
      <c r="C368" s="314" t="s">
        <v>382</v>
      </c>
      <c r="D368" s="313" t="s">
        <v>2254</v>
      </c>
      <c r="E368" s="315" t="s">
        <v>2255</v>
      </c>
      <c r="F368" s="315">
        <v>1</v>
      </c>
      <c r="G368" s="315">
        <v>-1</v>
      </c>
      <c r="H368" s="315">
        <v>0</v>
      </c>
      <c r="I368" s="315">
        <v>0</v>
      </c>
      <c r="J368" s="315">
        <v>0</v>
      </c>
      <c r="K368" s="315">
        <v>0</v>
      </c>
      <c r="L368" s="315"/>
      <c r="M368" s="315">
        <f t="shared" ref="M368" si="194">LEN(L368)</f>
        <v>0</v>
      </c>
      <c r="N368" s="315" t="s">
        <v>2224</v>
      </c>
      <c r="O368" s="315"/>
      <c r="P368" s="315"/>
      <c r="Q368" s="315">
        <v>1</v>
      </c>
      <c r="R368" s="306" t="s">
        <v>169</v>
      </c>
      <c r="S368" s="12" t="s">
        <v>169</v>
      </c>
    </row>
    <row r="369" spans="1:19" s="243" customFormat="1" ht="21" customHeight="1" x14ac:dyDescent="0.15">
      <c r="A369" s="307">
        <v>65525</v>
      </c>
      <c r="B369" s="308" t="s">
        <v>81</v>
      </c>
      <c r="C369" s="308" t="s">
        <v>382</v>
      </c>
      <c r="D369" s="309" t="s">
        <v>1625</v>
      </c>
      <c r="E369" s="309" t="s">
        <v>1678</v>
      </c>
      <c r="F369" s="309">
        <v>1</v>
      </c>
      <c r="G369" s="309">
        <v>-1</v>
      </c>
      <c r="H369" s="310">
        <v>0</v>
      </c>
      <c r="I369" s="310">
        <v>0</v>
      </c>
      <c r="J369" s="310">
        <v>0</v>
      </c>
      <c r="K369" s="310">
        <v>0</v>
      </c>
      <c r="L369" s="309"/>
      <c r="M369" s="309"/>
      <c r="N369" s="309" t="s">
        <v>467</v>
      </c>
      <c r="O369" s="311" t="s">
        <v>2330</v>
      </c>
      <c r="P369" s="310"/>
      <c r="Q369" s="312">
        <v>1</v>
      </c>
      <c r="R369" s="12" t="s">
        <v>1702</v>
      </c>
      <c r="S369" s="12" t="s">
        <v>1701</v>
      </c>
    </row>
    <row r="370" spans="1:19" s="243" customFormat="1" ht="21" customHeight="1" x14ac:dyDescent="0.15">
      <c r="A370" s="119">
        <v>65526</v>
      </c>
      <c r="B370" s="120" t="s">
        <v>81</v>
      </c>
      <c r="C370" s="120" t="s">
        <v>382</v>
      </c>
      <c r="D370" s="121" t="s">
        <v>1719</v>
      </c>
      <c r="E370" s="121" t="s">
        <v>1719</v>
      </c>
      <c r="F370" s="121">
        <v>1</v>
      </c>
      <c r="G370" s="121">
        <v>-1</v>
      </c>
      <c r="H370" s="244">
        <v>0</v>
      </c>
      <c r="I370" s="244">
        <v>0</v>
      </c>
      <c r="J370" s="244">
        <v>0</v>
      </c>
      <c r="K370" s="244">
        <v>0</v>
      </c>
      <c r="L370" s="121"/>
      <c r="M370" s="121"/>
      <c r="N370" s="121" t="s">
        <v>467</v>
      </c>
      <c r="O370" s="311" t="s">
        <v>2330</v>
      </c>
      <c r="P370" s="244"/>
      <c r="Q370" s="145">
        <v>1</v>
      </c>
      <c r="R370" s="12" t="s">
        <v>1701</v>
      </c>
      <c r="S370" s="12" t="s">
        <v>1701</v>
      </c>
    </row>
    <row r="371" spans="1:19" s="243" customFormat="1" ht="21" customHeight="1" x14ac:dyDescent="0.15">
      <c r="A371" s="119">
        <v>65527</v>
      </c>
      <c r="B371" s="120" t="s">
        <v>81</v>
      </c>
      <c r="C371" s="120" t="s">
        <v>382</v>
      </c>
      <c r="D371" s="121" t="s">
        <v>2329</v>
      </c>
      <c r="E371" s="121" t="s">
        <v>2329</v>
      </c>
      <c r="F371" s="121">
        <v>1</v>
      </c>
      <c r="G371" s="121">
        <v>-1</v>
      </c>
      <c r="H371" s="244">
        <v>0</v>
      </c>
      <c r="I371" s="244">
        <v>0</v>
      </c>
      <c r="J371" s="244">
        <v>0</v>
      </c>
      <c r="K371" s="244">
        <v>0</v>
      </c>
      <c r="L371" s="121"/>
      <c r="M371" s="121"/>
      <c r="N371" s="121" t="s">
        <v>467</v>
      </c>
      <c r="O371" s="311" t="s">
        <v>2330</v>
      </c>
      <c r="P371" s="244"/>
      <c r="Q371" s="145">
        <v>1</v>
      </c>
      <c r="R371" s="12" t="s">
        <v>169</v>
      </c>
      <c r="S371" s="12" t="s">
        <v>169</v>
      </c>
    </row>
    <row r="372" spans="1:19" s="243" customFormat="1" ht="21" customHeight="1" x14ac:dyDescent="0.15">
      <c r="A372" s="119">
        <v>65528</v>
      </c>
      <c r="B372" s="120" t="s">
        <v>81</v>
      </c>
      <c r="C372" s="120" t="s">
        <v>382</v>
      </c>
      <c r="D372" s="121" t="s">
        <v>1983</v>
      </c>
      <c r="E372" s="121" t="s">
        <v>1983</v>
      </c>
      <c r="F372" s="121">
        <v>1</v>
      </c>
      <c r="G372" s="121">
        <v>-1</v>
      </c>
      <c r="H372" s="244">
        <v>0</v>
      </c>
      <c r="I372" s="244">
        <v>0</v>
      </c>
      <c r="J372" s="244">
        <v>0</v>
      </c>
      <c r="K372" s="244">
        <v>0</v>
      </c>
      <c r="L372" s="121"/>
      <c r="M372" s="121"/>
      <c r="N372" s="121" t="s">
        <v>467</v>
      </c>
      <c r="O372" s="311" t="s">
        <v>2330</v>
      </c>
      <c r="P372" s="244"/>
      <c r="Q372" s="145">
        <v>1</v>
      </c>
      <c r="R372" s="12" t="s">
        <v>1043</v>
      </c>
      <c r="S372" s="12" t="s">
        <v>1043</v>
      </c>
    </row>
    <row r="373" spans="1:19" s="243" customFormat="1" ht="21" customHeight="1" x14ac:dyDescent="0.15">
      <c r="A373" s="119">
        <v>65529</v>
      </c>
      <c r="B373" s="120" t="s">
        <v>81</v>
      </c>
      <c r="C373" s="120" t="s">
        <v>382</v>
      </c>
      <c r="D373" s="121" t="s">
        <v>2426</v>
      </c>
      <c r="E373" s="121" t="s">
        <v>2427</v>
      </c>
      <c r="F373" s="121">
        <v>1</v>
      </c>
      <c r="G373" s="121">
        <v>-1</v>
      </c>
      <c r="H373" s="244">
        <v>0</v>
      </c>
      <c r="I373" s="244">
        <v>0</v>
      </c>
      <c r="J373" s="244">
        <v>0</v>
      </c>
      <c r="K373" s="244">
        <v>0</v>
      </c>
      <c r="L373" s="121"/>
      <c r="M373" s="121"/>
      <c r="N373" s="121" t="s">
        <v>467</v>
      </c>
      <c r="O373" s="311" t="s">
        <v>2330</v>
      </c>
      <c r="P373" s="244"/>
      <c r="Q373" s="145">
        <v>1</v>
      </c>
      <c r="R373" s="12" t="s">
        <v>169</v>
      </c>
      <c r="S373" s="12" t="s">
        <v>169</v>
      </c>
    </row>
    <row r="374" spans="1:19" s="243" customFormat="1" ht="21" customHeight="1" x14ac:dyDescent="0.15">
      <c r="A374" s="119">
        <v>65530</v>
      </c>
      <c r="B374" s="120" t="s">
        <v>81</v>
      </c>
      <c r="C374" s="120" t="s">
        <v>382</v>
      </c>
      <c r="D374" s="121" t="s">
        <v>1959</v>
      </c>
      <c r="E374" s="121" t="s">
        <v>1960</v>
      </c>
      <c r="F374" s="121">
        <v>1</v>
      </c>
      <c r="G374" s="121">
        <v>-1</v>
      </c>
      <c r="H374" s="244">
        <v>0</v>
      </c>
      <c r="I374" s="244">
        <v>0</v>
      </c>
      <c r="J374" s="244">
        <v>0</v>
      </c>
      <c r="K374" s="244">
        <v>0</v>
      </c>
      <c r="L374" s="121"/>
      <c r="M374" s="121"/>
      <c r="N374" s="121" t="s">
        <v>467</v>
      </c>
      <c r="O374" s="311" t="s">
        <v>2330</v>
      </c>
      <c r="P374" s="244"/>
      <c r="Q374" s="145">
        <v>1</v>
      </c>
      <c r="R374" s="12" t="s">
        <v>178</v>
      </c>
      <c r="S374" s="12" t="s">
        <v>178</v>
      </c>
    </row>
    <row r="375" spans="1:19" s="243" customFormat="1" ht="21" customHeight="1" x14ac:dyDescent="0.15">
      <c r="A375" s="119">
        <v>65531</v>
      </c>
      <c r="B375" s="120" t="s">
        <v>81</v>
      </c>
      <c r="C375" s="120" t="s">
        <v>382</v>
      </c>
      <c r="D375" s="121" t="s">
        <v>1903</v>
      </c>
      <c r="E375" s="121" t="s">
        <v>1903</v>
      </c>
      <c r="F375" s="121">
        <v>1</v>
      </c>
      <c r="G375" s="121">
        <v>-1</v>
      </c>
      <c r="H375" s="244">
        <v>0</v>
      </c>
      <c r="I375" s="244">
        <v>0</v>
      </c>
      <c r="J375" s="244">
        <v>0</v>
      </c>
      <c r="K375" s="244">
        <v>0</v>
      </c>
      <c r="L375" s="121"/>
      <c r="M375" s="121"/>
      <c r="N375" s="121" t="s">
        <v>467</v>
      </c>
      <c r="O375" s="311" t="s">
        <v>2330</v>
      </c>
      <c r="P375" s="244"/>
      <c r="Q375" s="145">
        <v>1</v>
      </c>
      <c r="R375" s="12" t="s">
        <v>417</v>
      </c>
      <c r="S375" s="12" t="s">
        <v>417</v>
      </c>
    </row>
    <row r="376" spans="1:19" s="243" customFormat="1" ht="21" customHeight="1" x14ac:dyDescent="0.15">
      <c r="A376" s="119">
        <v>65532</v>
      </c>
      <c r="B376" s="120" t="s">
        <v>81</v>
      </c>
      <c r="C376" s="120" t="s">
        <v>382</v>
      </c>
      <c r="D376" s="121" t="s">
        <v>1904</v>
      </c>
      <c r="E376" s="121" t="s">
        <v>1904</v>
      </c>
      <c r="F376" s="121">
        <v>1</v>
      </c>
      <c r="G376" s="121">
        <v>-1</v>
      </c>
      <c r="H376" s="244">
        <v>0</v>
      </c>
      <c r="I376" s="244">
        <v>0</v>
      </c>
      <c r="J376" s="244">
        <v>0</v>
      </c>
      <c r="K376" s="244">
        <v>0</v>
      </c>
      <c r="L376" s="121"/>
      <c r="M376" s="121"/>
      <c r="N376" s="121" t="s">
        <v>467</v>
      </c>
      <c r="O376" s="311" t="s">
        <v>2330</v>
      </c>
      <c r="P376" s="244"/>
      <c r="Q376" s="145">
        <v>1</v>
      </c>
      <c r="R376" s="12" t="s">
        <v>417</v>
      </c>
      <c r="S376" s="12" t="s">
        <v>417</v>
      </c>
    </row>
    <row r="377" spans="1:19" s="243" customFormat="1" ht="21" customHeight="1" x14ac:dyDescent="0.15">
      <c r="A377" s="119">
        <v>65533</v>
      </c>
      <c r="B377" s="120" t="s">
        <v>81</v>
      </c>
      <c r="C377" s="120" t="s">
        <v>382</v>
      </c>
      <c r="D377" s="121" t="s">
        <v>1524</v>
      </c>
      <c r="E377" s="121" t="s">
        <v>1524</v>
      </c>
      <c r="F377" s="121">
        <v>1</v>
      </c>
      <c r="G377" s="121">
        <v>-1</v>
      </c>
      <c r="H377" s="244">
        <v>0</v>
      </c>
      <c r="I377" s="244">
        <v>0</v>
      </c>
      <c r="J377" s="244">
        <v>0</v>
      </c>
      <c r="K377" s="244">
        <v>0</v>
      </c>
      <c r="L377" s="121"/>
      <c r="M377" s="121"/>
      <c r="N377" s="121" t="s">
        <v>467</v>
      </c>
      <c r="O377" s="311" t="s">
        <v>2330</v>
      </c>
      <c r="P377" s="244"/>
      <c r="Q377" s="145">
        <v>1</v>
      </c>
      <c r="R377" s="12" t="s">
        <v>1702</v>
      </c>
      <c r="S377" s="12" t="s">
        <v>1701</v>
      </c>
    </row>
    <row r="378" spans="1:19" s="243" customFormat="1" ht="21" customHeight="1" x14ac:dyDescent="0.15">
      <c r="A378" s="119">
        <v>65534</v>
      </c>
      <c r="B378" s="120" t="s">
        <v>81</v>
      </c>
      <c r="C378" s="120" t="s">
        <v>382</v>
      </c>
      <c r="D378" s="121" t="s">
        <v>2331</v>
      </c>
      <c r="E378" s="121" t="s">
        <v>2331</v>
      </c>
      <c r="F378" s="121">
        <v>1</v>
      </c>
      <c r="G378" s="121">
        <v>-1</v>
      </c>
      <c r="H378" s="244">
        <v>0</v>
      </c>
      <c r="I378" s="244">
        <v>0</v>
      </c>
      <c r="J378" s="244">
        <v>0</v>
      </c>
      <c r="K378" s="244">
        <v>0</v>
      </c>
      <c r="L378" s="121"/>
      <c r="M378" s="121"/>
      <c r="N378" s="121" t="s">
        <v>467</v>
      </c>
      <c r="O378" s="311" t="s">
        <v>2330</v>
      </c>
      <c r="P378" s="244"/>
      <c r="Q378" s="145">
        <v>1</v>
      </c>
      <c r="R378" s="12" t="s">
        <v>1702</v>
      </c>
      <c r="S378" s="12" t="s">
        <v>1701</v>
      </c>
    </row>
    <row r="379" spans="1:19" ht="21" customHeight="1" x14ac:dyDescent="0.15">
      <c r="A379" s="119">
        <v>65535</v>
      </c>
      <c r="B379" s="120" t="s">
        <v>81</v>
      </c>
      <c r="C379" s="120" t="s">
        <v>568</v>
      </c>
      <c r="D379" s="269" t="s">
        <v>1747</v>
      </c>
      <c r="E379" s="269" t="s">
        <v>1747</v>
      </c>
      <c r="F379" s="121">
        <v>1</v>
      </c>
      <c r="G379" s="121">
        <v>-1</v>
      </c>
      <c r="H379" s="244">
        <v>0</v>
      </c>
      <c r="I379" s="244">
        <v>0</v>
      </c>
      <c r="J379" s="244">
        <v>0</v>
      </c>
      <c r="K379" s="244">
        <v>0</v>
      </c>
      <c r="L379" s="121"/>
      <c r="M379" s="121"/>
      <c r="N379" s="121" t="s">
        <v>467</v>
      </c>
      <c r="O379" s="162"/>
      <c r="P379" s="145"/>
      <c r="Q379" s="145">
        <v>1</v>
      </c>
      <c r="R379" s="12" t="s">
        <v>1702</v>
      </c>
      <c r="S379" s="12" t="s">
        <v>1701</v>
      </c>
    </row>
    <row r="380" spans="1:19" ht="21" customHeight="1" x14ac:dyDescent="0.15">
      <c r="A380" s="17">
        <v>60021</v>
      </c>
      <c r="B380" s="18" t="s">
        <v>997</v>
      </c>
      <c r="C380" s="18" t="s">
        <v>568</v>
      </c>
      <c r="D380" s="18" t="s">
        <v>995</v>
      </c>
      <c r="E380" s="12" t="s">
        <v>996</v>
      </c>
      <c r="F380" s="12">
        <v>1</v>
      </c>
      <c r="G380" s="12">
        <v>-1</v>
      </c>
      <c r="H380" s="12">
        <v>0</v>
      </c>
      <c r="I380" s="12">
        <v>0</v>
      </c>
      <c r="J380" s="12">
        <v>0</v>
      </c>
      <c r="K380" s="12">
        <v>0</v>
      </c>
      <c r="L380" s="12"/>
      <c r="M380" s="12">
        <f t="shared" ref="M380" si="195">LEN(L380)</f>
        <v>0</v>
      </c>
      <c r="N380" s="18" t="s">
        <v>1000</v>
      </c>
      <c r="O380" s="12" t="s">
        <v>51</v>
      </c>
      <c r="P380" s="12"/>
      <c r="Q380" s="12">
        <v>1</v>
      </c>
      <c r="R380" s="12" t="s">
        <v>1702</v>
      </c>
      <c r="S380" s="12" t="s">
        <v>1701</v>
      </c>
    </row>
    <row r="381" spans="1:19" ht="21" customHeight="1" x14ac:dyDescent="0.15">
      <c r="A381" s="17">
        <v>60022</v>
      </c>
      <c r="B381" s="18" t="s">
        <v>997</v>
      </c>
      <c r="C381" s="18" t="s">
        <v>568</v>
      </c>
      <c r="D381" s="18" t="s">
        <v>1067</v>
      </c>
      <c r="E381" s="12" t="s">
        <v>996</v>
      </c>
      <c r="F381" s="12">
        <v>1</v>
      </c>
      <c r="G381" s="12">
        <v>-1</v>
      </c>
      <c r="H381" s="12">
        <v>0</v>
      </c>
      <c r="I381" s="12">
        <v>0</v>
      </c>
      <c r="J381" s="12">
        <v>0</v>
      </c>
      <c r="K381" s="12">
        <v>0</v>
      </c>
      <c r="L381" s="12"/>
      <c r="M381" s="12">
        <f t="shared" ref="M381" si="196">LEN(L381)</f>
        <v>0</v>
      </c>
      <c r="N381" s="18" t="s">
        <v>1000</v>
      </c>
      <c r="O381" s="12" t="s">
        <v>47</v>
      </c>
      <c r="P381" s="12"/>
      <c r="Q381" s="12">
        <v>1</v>
      </c>
      <c r="R381" s="12" t="s">
        <v>1702</v>
      </c>
      <c r="S381" s="12" t="s">
        <v>1701</v>
      </c>
    </row>
    <row r="382" spans="1:19" ht="21" customHeight="1" x14ac:dyDescent="0.15">
      <c r="A382" s="17">
        <v>60023</v>
      </c>
      <c r="B382" s="18" t="s">
        <v>997</v>
      </c>
      <c r="C382" s="18" t="s">
        <v>568</v>
      </c>
      <c r="D382" s="18" t="s">
        <v>1068</v>
      </c>
      <c r="E382" s="12" t="s">
        <v>996</v>
      </c>
      <c r="F382" s="12">
        <v>1</v>
      </c>
      <c r="G382" s="12">
        <v>-1</v>
      </c>
      <c r="H382" s="12">
        <v>0</v>
      </c>
      <c r="I382" s="12">
        <v>0</v>
      </c>
      <c r="J382" s="12">
        <v>0</v>
      </c>
      <c r="K382" s="12">
        <v>0</v>
      </c>
      <c r="L382" s="12"/>
      <c r="M382" s="12">
        <f t="shared" ref="M382" si="197">LEN(L382)</f>
        <v>0</v>
      </c>
      <c r="N382" s="18" t="s">
        <v>1000</v>
      </c>
      <c r="O382" s="12" t="s">
        <v>48</v>
      </c>
      <c r="P382" s="12"/>
      <c r="Q382" s="12">
        <v>1</v>
      </c>
      <c r="R382" s="12" t="s">
        <v>1702</v>
      </c>
      <c r="S382" s="12" t="s">
        <v>1701</v>
      </c>
    </row>
    <row r="383" spans="1:19" ht="21" customHeight="1" x14ac:dyDescent="0.15">
      <c r="A383" s="17">
        <v>60024</v>
      </c>
      <c r="B383" s="18" t="s">
        <v>997</v>
      </c>
      <c r="C383" s="18" t="s">
        <v>568</v>
      </c>
      <c r="D383" s="18" t="s">
        <v>1069</v>
      </c>
      <c r="E383" s="12" t="s">
        <v>996</v>
      </c>
      <c r="F383" s="12">
        <v>1</v>
      </c>
      <c r="G383" s="12">
        <v>-1</v>
      </c>
      <c r="H383" s="12">
        <v>0</v>
      </c>
      <c r="I383" s="12">
        <v>0</v>
      </c>
      <c r="J383" s="12">
        <v>0</v>
      </c>
      <c r="K383" s="12">
        <v>0</v>
      </c>
      <c r="L383" s="12"/>
      <c r="M383" s="12">
        <f t="shared" ref="M383" si="198">LEN(L383)</f>
        <v>0</v>
      </c>
      <c r="N383" s="18" t="s">
        <v>1000</v>
      </c>
      <c r="O383" s="12" t="s">
        <v>49</v>
      </c>
      <c r="P383" s="12"/>
      <c r="Q383" s="12">
        <v>1</v>
      </c>
      <c r="R383" s="12" t="s">
        <v>1702</v>
      </c>
      <c r="S383" s="12" t="s">
        <v>1701</v>
      </c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AM1066"/>
  <sheetViews>
    <sheetView showGridLines="0" tabSelected="1" zoomScale="106" workbookViewId="0">
      <pane xSplit="9" ySplit="2" topLeftCell="AD718" activePane="bottomRight" state="frozen"/>
      <selection pane="topRight" activeCell="E1" sqref="E1"/>
      <selection pane="bottomLeft" activeCell="A2" sqref="A2"/>
      <selection pane="bottomRight" activeCell="AI729" sqref="AI729"/>
    </sheetView>
  </sheetViews>
  <sheetFormatPr baseColWidth="12" defaultColWidth="13" defaultRowHeight="21" customHeight="1" outlineLevelCol="1" x14ac:dyDescent="0.15"/>
  <cols>
    <col min="1" max="1" width="9.3984375" style="42" bestFit="1" customWidth="1"/>
    <col min="2" max="2" width="6.796875" style="11" bestFit="1" customWidth="1"/>
    <col min="3" max="3" width="6.796875" style="11" customWidth="1"/>
    <col min="4" max="4" width="32.796875" style="45" customWidth="1" outlineLevel="1"/>
    <col min="5" max="5" width="27.3984375" style="45" customWidth="1" outlineLevel="1"/>
    <col min="6" max="6" width="7" style="11" bestFit="1" customWidth="1"/>
    <col min="7" max="7" width="7" style="11" customWidth="1"/>
    <col min="8" max="8" width="34.3984375" style="45" bestFit="1" customWidth="1"/>
    <col min="9" max="9" width="28.796875" style="11" customWidth="1"/>
    <col min="10" max="10" width="17.19921875" style="11" customWidth="1"/>
    <col min="11" max="11" width="7" style="11" bestFit="1" customWidth="1"/>
    <col min="12" max="12" width="8.3984375" style="11" bestFit="1" customWidth="1"/>
    <col min="13" max="17" width="7.19921875" style="11" customWidth="1"/>
    <col min="18" max="18" width="10.3984375" style="11" bestFit="1" customWidth="1"/>
    <col min="19" max="19" width="11" style="11" bestFit="1" customWidth="1"/>
    <col min="20" max="20" width="22.19921875" style="11" customWidth="1"/>
    <col min="21" max="22" width="13" style="11"/>
    <col min="23" max="23" width="23.3984375" style="45" customWidth="1"/>
    <col min="24" max="24" width="12.3984375" style="45" bestFit="1" customWidth="1"/>
    <col min="25" max="25" width="13.19921875" style="45" bestFit="1" customWidth="1"/>
    <col min="26" max="26" width="14.3984375" style="45" bestFit="1" customWidth="1"/>
    <col min="27" max="27" width="14.59765625" style="45" bestFit="1" customWidth="1"/>
    <col min="28" max="29" width="13" style="11"/>
    <col min="30" max="30" width="16" style="11" bestFit="1" customWidth="1"/>
    <col min="31" max="16384" width="13" style="11"/>
  </cols>
  <sheetData>
    <row r="1" spans="1:39" ht="21" customHeight="1" x14ac:dyDescent="0.15">
      <c r="A1" s="42" t="s">
        <v>275</v>
      </c>
      <c r="D1" s="61" t="s">
        <v>201</v>
      </c>
      <c r="W1" s="71"/>
      <c r="X1" s="71"/>
      <c r="Y1" s="71"/>
      <c r="Z1" s="71"/>
      <c r="AA1" s="71"/>
    </row>
    <row r="2" spans="1:39" s="21" customFormat="1" ht="15" x14ac:dyDescent="0.15">
      <c r="A2" s="41" t="s">
        <v>190</v>
      </c>
      <c r="B2" s="29" t="s">
        <v>1152</v>
      </c>
      <c r="C2" s="14" t="s">
        <v>175</v>
      </c>
      <c r="D2" s="15" t="s">
        <v>37</v>
      </c>
      <c r="E2" s="15" t="s">
        <v>163</v>
      </c>
      <c r="F2" s="14" t="s">
        <v>33</v>
      </c>
      <c r="G2" s="59" t="s">
        <v>569</v>
      </c>
      <c r="H2" s="59" t="s">
        <v>172</v>
      </c>
      <c r="I2" s="15" t="s">
        <v>163</v>
      </c>
      <c r="J2" s="14" t="s">
        <v>1752</v>
      </c>
      <c r="K2" s="14" t="s">
        <v>4</v>
      </c>
      <c r="L2" s="14" t="s">
        <v>5</v>
      </c>
      <c r="M2" s="14" t="s">
        <v>6</v>
      </c>
      <c r="N2" s="14" t="s">
        <v>7</v>
      </c>
      <c r="O2" s="14" t="s">
        <v>8</v>
      </c>
      <c r="P2" s="14" t="s">
        <v>35</v>
      </c>
      <c r="Q2" s="14" t="s">
        <v>9</v>
      </c>
      <c r="R2" s="14" t="s">
        <v>36</v>
      </c>
      <c r="S2" s="14" t="s">
        <v>1351</v>
      </c>
      <c r="T2" s="14" t="s">
        <v>1889</v>
      </c>
      <c r="U2" s="14" t="s">
        <v>121</v>
      </c>
      <c r="V2" s="14" t="s">
        <v>122</v>
      </c>
      <c r="W2" s="15" t="s">
        <v>172</v>
      </c>
      <c r="X2" s="164" t="s">
        <v>629</v>
      </c>
      <c r="Y2" s="164" t="s">
        <v>626</v>
      </c>
      <c r="Z2" s="164" t="s">
        <v>627</v>
      </c>
      <c r="AA2" s="164" t="s">
        <v>628</v>
      </c>
      <c r="AB2" s="14" t="s">
        <v>57</v>
      </c>
      <c r="AC2" s="14" t="s">
        <v>123</v>
      </c>
      <c r="AD2" s="14" t="s">
        <v>521</v>
      </c>
      <c r="AE2" s="14" t="s">
        <v>518</v>
      </c>
      <c r="AF2" s="14" t="s">
        <v>535</v>
      </c>
      <c r="AG2" s="14" t="s">
        <v>536</v>
      </c>
      <c r="AH2" s="14" t="s">
        <v>906</v>
      </c>
      <c r="AI2" s="14" t="s">
        <v>537</v>
      </c>
      <c r="AJ2" s="14" t="s">
        <v>910</v>
      </c>
      <c r="AK2" s="14" t="s">
        <v>1352</v>
      </c>
      <c r="AL2" s="263" t="s">
        <v>1696</v>
      </c>
      <c r="AM2" s="319" t="s">
        <v>2320</v>
      </c>
    </row>
    <row r="3" spans="1:39" ht="21" customHeight="1" x14ac:dyDescent="0.15">
      <c r="A3" s="42" t="str">
        <f t="shared" ref="A3:A66" si="0">C3&amp;"_"&amp;F3</f>
        <v>0_1</v>
      </c>
      <c r="B3" s="23">
        <v>3</v>
      </c>
      <c r="C3" s="10">
        <v>0</v>
      </c>
      <c r="D3" s="47" t="str">
        <f ca="1">VLOOKUP($C3,OFFSET(quests!$A$1,0,0,COUNTA(quests!$A:$A),MATCH(D$1,quests!$1:$1,0)-MATCH($C$2,quests!$1:$1,0)+1),MATCH(D$1,quests!$1:$1,0)-MATCH($C$2,quests!$1:$1,0)+1,FALSE)</f>
        <v>チュートリアル</v>
      </c>
      <c r="E3" s="48" t="str">
        <f ca="1">VLOOKUP($C3,OFFSET(quests!$A$1,0,0,COUNTA(quests!$A:$A),MATCH(E$2,quests!$1:$1,0)-MATCH($C$2,quests!$1:$1,0)+1),MATCH(E$2,quests!$1:$1,0)-MATCH($C$2,quests!$1:$1,0)+1,FALSE)</f>
        <v>チュートリアル</v>
      </c>
      <c r="F3" s="7">
        <v>1</v>
      </c>
      <c r="G3" s="7" t="s">
        <v>570</v>
      </c>
      <c r="H3" s="12" t="s">
        <v>227</v>
      </c>
      <c r="I3" s="12" t="s">
        <v>195</v>
      </c>
      <c r="J3" s="12" t="s">
        <v>279</v>
      </c>
      <c r="K3" s="167">
        <v>1</v>
      </c>
      <c r="L3" s="167">
        <v>25</v>
      </c>
      <c r="M3" s="167">
        <v>1</v>
      </c>
      <c r="N3" s="167">
        <v>1</v>
      </c>
      <c r="O3" s="167">
        <v>1</v>
      </c>
      <c r="P3" s="167">
        <v>1</v>
      </c>
      <c r="Q3" s="167">
        <v>1</v>
      </c>
      <c r="R3" s="167">
        <v>3</v>
      </c>
      <c r="S3" s="167" t="s">
        <v>79</v>
      </c>
      <c r="T3" s="167">
        <v>0</v>
      </c>
      <c r="U3" s="7" t="s">
        <v>200</v>
      </c>
      <c r="V3" s="7" t="s">
        <v>200</v>
      </c>
      <c r="W3" s="47" t="str">
        <f t="shared" ref="W3:W66" ca="1" si="1">IF(U3="NULL","",VLOOKUP($U3&amp;"_"&amp;$V3,OFFSET($A$1,0,0,COUNTA($A:$A),MATCH(W$2,$2:$2,0)-MATCH($A$2,$2:$2,0)+1),MATCH(W$2,$2:$2,0)-MATCH($A$2,$2:$2,0)+1,FALSE))</f>
        <v/>
      </c>
      <c r="X3" s="47">
        <f ca="1">VLOOKUP($C3,OFFSET(quests!$A$1,0,0,COUNTA(quests!$A:$A),MATCH(X$2,quests!$1:$1,0)-MATCH($C$2,quests!$1:$1,0)+1),MATCH(X$2,quests!$1:$1,0)-MATCH($C$2,quests!$1:$1,0)+1,FALSE)</f>
        <v>0</v>
      </c>
      <c r="Y3" s="47">
        <f ca="1">VLOOKUP($C3,OFFSET(quests!$A$1,0,0,COUNTA(quests!$A:$A),MATCH(Y$2,quests!$1:$1,0)-MATCH($C$2,quests!$1:$1,0)+1),MATCH(Y$2,quests!$1:$1,0)-MATCH($C$2,quests!$1:$1,0)+1,FALSE)</f>
        <v>0</v>
      </c>
      <c r="Z3" s="47">
        <f ca="1">VLOOKUP($C3,OFFSET(quests!$A$1,0,0,COUNTA(quests!$A:$A),MATCH(Z$2,quests!$1:$1,0)-MATCH($C$2,quests!$1:$1,0)+1),MATCH(Z$2,quests!$1:$1,0)-MATCH($C$2,quests!$1:$1,0)+1,FALSE)</f>
        <v>0</v>
      </c>
      <c r="AA3" s="47">
        <f ca="1">VLOOKUP($C3,OFFSET(quests!$A$1,0,0,COUNTA(quests!$A:$A),MATCH(AA$2,quests!$1:$1,0)-MATCH($C$2,quests!$1:$1,0)+1),MATCH(AA$2,quests!$1:$1,0)-MATCH($C$2,quests!$1:$1,0)+1,FALSE)</f>
        <v>0</v>
      </c>
      <c r="AB3" s="7" t="s">
        <v>72</v>
      </c>
      <c r="AC3" s="7">
        <v>1</v>
      </c>
      <c r="AD3" s="7">
        <v>6</v>
      </c>
      <c r="AE3" s="7" t="s">
        <v>519</v>
      </c>
      <c r="AF3" s="7">
        <v>0</v>
      </c>
      <c r="AG3" s="7">
        <v>0</v>
      </c>
      <c r="AH3" s="7">
        <v>0</v>
      </c>
      <c r="AI3" s="7">
        <v>-1</v>
      </c>
      <c r="AJ3" s="7">
        <v>-1</v>
      </c>
      <c r="AK3" s="7" t="s">
        <v>1064</v>
      </c>
      <c r="AL3" s="12" t="s">
        <v>1695</v>
      </c>
      <c r="AM3" s="12" t="s">
        <v>2072</v>
      </c>
    </row>
    <row r="4" spans="1:39" ht="21" customHeight="1" x14ac:dyDescent="0.15">
      <c r="A4" s="42" t="str">
        <f t="shared" si="0"/>
        <v>0_2</v>
      </c>
      <c r="B4" s="23">
        <v>3</v>
      </c>
      <c r="C4" s="10">
        <v>0</v>
      </c>
      <c r="D4" s="47" t="str">
        <f ca="1">VLOOKUP($C4,OFFSET(quests!$A$1,0,0,COUNTA(quests!$A:$A),MATCH(D$1,quests!$1:$1,0)-MATCH($C$2,quests!$1:$1,0)+1),MATCH(D$1,quests!$1:$1,0)-MATCH($C$2,quests!$1:$1,0)+1,FALSE)</f>
        <v>チュートリアル</v>
      </c>
      <c r="E4" s="48" t="str">
        <f ca="1">VLOOKUP($C4,OFFSET(quests!$A$1,0,0,COUNTA(quests!$A:$A),MATCH(E$2,quests!$1:$1,0)-MATCH($C$2,quests!$1:$1,0)+1),MATCH(E$2,quests!$1:$1,0)-MATCH($C$2,quests!$1:$1,0)+1,FALSE)</f>
        <v>チュートリアル</v>
      </c>
      <c r="F4" s="7">
        <v>2</v>
      </c>
      <c r="G4" s="7" t="s">
        <v>570</v>
      </c>
      <c r="H4" s="12" t="s">
        <v>226</v>
      </c>
      <c r="I4" s="12" t="s">
        <v>195</v>
      </c>
      <c r="J4" s="12" t="s">
        <v>279</v>
      </c>
      <c r="K4" s="167">
        <v>1</v>
      </c>
      <c r="L4" s="167">
        <v>25</v>
      </c>
      <c r="M4" s="167">
        <v>1</v>
      </c>
      <c r="N4" s="167">
        <v>1</v>
      </c>
      <c r="O4" s="167">
        <v>1</v>
      </c>
      <c r="P4" s="167">
        <v>1</v>
      </c>
      <c r="Q4" s="167">
        <v>1</v>
      </c>
      <c r="R4" s="167">
        <v>3</v>
      </c>
      <c r="S4" s="167" t="s">
        <v>79</v>
      </c>
      <c r="T4" s="167">
        <v>0</v>
      </c>
      <c r="U4" s="7">
        <v>0</v>
      </c>
      <c r="V4" s="7">
        <v>1</v>
      </c>
      <c r="W4" s="47" t="str">
        <f t="shared" ca="1" si="1"/>
        <v>はじめてのクラッシュ</v>
      </c>
      <c r="X4" s="47">
        <f ca="1">VLOOKUP($C4,OFFSET(quests!$A$1,0,0,COUNTA(quests!$A:$A),MATCH(X$2,quests!$1:$1,0)-MATCH($C$2,quests!$1:$1,0)+1),MATCH(X$2,quests!$1:$1,0)-MATCH($C$2,quests!$1:$1,0)+1,FALSE)</f>
        <v>0</v>
      </c>
      <c r="Y4" s="47">
        <f ca="1">VLOOKUP($C4,OFFSET(quests!$A$1,0,0,COUNTA(quests!$A:$A),MATCH(Y$2,quests!$1:$1,0)-MATCH($C$2,quests!$1:$1,0)+1),MATCH(Y$2,quests!$1:$1,0)-MATCH($C$2,quests!$1:$1,0)+1,FALSE)</f>
        <v>0</v>
      </c>
      <c r="Z4" s="47">
        <f ca="1">VLOOKUP($C4,OFFSET(quests!$A$1,0,0,COUNTA(quests!$A:$A),MATCH(Z$2,quests!$1:$1,0)-MATCH($C$2,quests!$1:$1,0)+1),MATCH(Z$2,quests!$1:$1,0)-MATCH($C$2,quests!$1:$1,0)+1,FALSE)</f>
        <v>0</v>
      </c>
      <c r="AA4" s="47">
        <f ca="1">VLOOKUP($C4,OFFSET(quests!$A$1,0,0,COUNTA(quests!$A:$A),MATCH(AA$2,quests!$1:$1,0)-MATCH($C$2,quests!$1:$1,0)+1),MATCH(AA$2,quests!$1:$1,0)-MATCH($C$2,quests!$1:$1,0)+1,FALSE)</f>
        <v>0</v>
      </c>
      <c r="AB4" s="7" t="s">
        <v>72</v>
      </c>
      <c r="AC4" s="7">
        <v>2</v>
      </c>
      <c r="AD4" s="7">
        <v>6</v>
      </c>
      <c r="AE4" s="7" t="s">
        <v>519</v>
      </c>
      <c r="AF4" s="7">
        <v>11</v>
      </c>
      <c r="AG4" s="7">
        <v>5000</v>
      </c>
      <c r="AH4" s="7">
        <v>0</v>
      </c>
      <c r="AI4" s="7">
        <v>-1</v>
      </c>
      <c r="AJ4" s="7">
        <v>-1</v>
      </c>
      <c r="AK4" s="7" t="s">
        <v>1064</v>
      </c>
      <c r="AL4" s="12" t="s">
        <v>1695</v>
      </c>
      <c r="AM4" s="12" t="s">
        <v>2072</v>
      </c>
    </row>
    <row r="5" spans="1:39" ht="21" customHeight="1" x14ac:dyDescent="0.15">
      <c r="A5" s="42" t="str">
        <f t="shared" si="0"/>
        <v>1_1</v>
      </c>
      <c r="B5" s="23">
        <v>3</v>
      </c>
      <c r="C5" s="10">
        <v>1</v>
      </c>
      <c r="D5" s="47" t="str">
        <f ca="1">VLOOKUP($C5,OFFSET(quests!$A$1,0,0,COUNTA(quests!$A:$A),MATCH(D$1,quests!$1:$1,0)-MATCH($C$2,quests!$1:$1,0)+1),MATCH(D$1,quests!$1:$1,0)-MATCH($C$2,quests!$1:$1,0)+1,FALSE)</f>
        <v>1．ALICEの入り口</v>
      </c>
      <c r="E5" s="48" t="str">
        <f ca="1">VLOOKUP($C5,OFFSET(quests!$A$1,0,0,COUNTA(quests!$A:$A),MATCH(E$2,quests!$1:$1,0)-MATCH($C$2,quests!$1:$1,0)+1),MATCH(E$2,quests!$1:$1,0)-MATCH($C$2,quests!$1:$1,0)+1,FALSE)</f>
        <v>混色DL0</v>
      </c>
      <c r="F5" s="7">
        <v>1</v>
      </c>
      <c r="G5" s="7" t="s">
        <v>570</v>
      </c>
      <c r="H5" s="69" t="s">
        <v>373</v>
      </c>
      <c r="I5" s="12" t="s">
        <v>196</v>
      </c>
      <c r="J5" s="12" t="s">
        <v>279</v>
      </c>
      <c r="K5" s="167">
        <v>3</v>
      </c>
      <c r="L5" s="167">
        <v>140</v>
      </c>
      <c r="M5" s="167">
        <v>1</v>
      </c>
      <c r="N5" s="167">
        <v>1</v>
      </c>
      <c r="O5" s="167">
        <v>1</v>
      </c>
      <c r="P5" s="167">
        <v>1</v>
      </c>
      <c r="Q5" s="167">
        <v>1</v>
      </c>
      <c r="R5" s="167">
        <v>3</v>
      </c>
      <c r="S5" s="167" t="s">
        <v>79</v>
      </c>
      <c r="T5" s="167">
        <v>0</v>
      </c>
      <c r="U5" s="7">
        <v>0</v>
      </c>
      <c r="V5" s="7">
        <v>2</v>
      </c>
      <c r="W5" s="47" t="str">
        <f t="shared" ca="1" si="1"/>
        <v>練習でクラッシュ！</v>
      </c>
      <c r="X5" s="47">
        <f ca="1">VLOOKUP($C5,OFFSET(quests!$A$1,0,0,COUNTA(quests!$A:$A),MATCH(X$2,quests!$1:$1,0)-MATCH($C$2,quests!$1:$1,0)+1),MATCH(X$2,quests!$1:$1,0)-MATCH($C$2,quests!$1:$1,0)+1,FALSE)</f>
        <v>1</v>
      </c>
      <c r="Y5" s="47">
        <f ca="1">VLOOKUP($C5,OFFSET(quests!$A$1,0,0,COUNTA(quests!$A:$A),MATCH(Y$2,quests!$1:$1,0)-MATCH($C$2,quests!$1:$1,0)+1),MATCH(Y$2,quests!$1:$1,0)-MATCH($C$2,quests!$1:$1,0)+1,FALSE)</f>
        <v>1</v>
      </c>
      <c r="Z5" s="47">
        <f ca="1">VLOOKUP($C5,OFFSET(quests!$A$1,0,0,COUNTA(quests!$A:$A),MATCH(Z$2,quests!$1:$1,0)-MATCH($C$2,quests!$1:$1,0)+1),MATCH(Z$2,quests!$1:$1,0)-MATCH($C$2,quests!$1:$1,0)+1,FALSE)</f>
        <v>1</v>
      </c>
      <c r="AA5" s="47">
        <f ca="1">VLOOKUP($C5,OFFSET(quests!$A$1,0,0,COUNTA(quests!$A:$A),MATCH(AA$2,quests!$1:$1,0)-MATCH($C$2,quests!$1:$1,0)+1),MATCH(AA$2,quests!$1:$1,0)-MATCH($C$2,quests!$1:$1,0)+1,FALSE)</f>
        <v>1</v>
      </c>
      <c r="AB5" s="7" t="s">
        <v>72</v>
      </c>
      <c r="AC5" s="7">
        <v>1</v>
      </c>
      <c r="AD5" s="7">
        <v>6</v>
      </c>
      <c r="AE5" s="7" t="s">
        <v>519</v>
      </c>
      <c r="AF5" s="7">
        <v>0</v>
      </c>
      <c r="AG5" s="7">
        <v>0</v>
      </c>
      <c r="AH5" s="7">
        <v>0</v>
      </c>
      <c r="AI5" s="7">
        <v>-1</v>
      </c>
      <c r="AJ5" s="7">
        <v>-1</v>
      </c>
      <c r="AK5" s="7" t="s">
        <v>1064</v>
      </c>
      <c r="AL5" s="12" t="s">
        <v>1695</v>
      </c>
      <c r="AM5" s="12" t="s">
        <v>2072</v>
      </c>
    </row>
    <row r="6" spans="1:39" ht="21" customHeight="1" x14ac:dyDescent="0.15">
      <c r="A6" s="42" t="str">
        <f t="shared" si="0"/>
        <v>1_2</v>
      </c>
      <c r="B6" s="23">
        <v>3</v>
      </c>
      <c r="C6" s="10">
        <v>1</v>
      </c>
      <c r="D6" s="47" t="str">
        <f ca="1">VLOOKUP($C6,OFFSET(quests!$A$1,0,0,COUNTA(quests!$A:$A),MATCH(D$1,quests!$1:$1,0)-MATCH($C$2,quests!$1:$1,0)+1),MATCH(D$1,quests!$1:$1,0)-MATCH($C$2,quests!$1:$1,0)+1,FALSE)</f>
        <v>1．ALICEの入り口</v>
      </c>
      <c r="E6" s="48" t="str">
        <f ca="1">VLOOKUP($C6,OFFSET(quests!$A$1,0,0,COUNTA(quests!$A:$A),MATCH(E$2,quests!$1:$1,0)-MATCH($C$2,quests!$1:$1,0)+1),MATCH(E$2,quests!$1:$1,0)-MATCH($C$2,quests!$1:$1,0)+1,FALSE)</f>
        <v>混色DL0</v>
      </c>
      <c r="F6" s="7">
        <v>2</v>
      </c>
      <c r="G6" s="7" t="s">
        <v>570</v>
      </c>
      <c r="H6" s="69" t="s">
        <v>280</v>
      </c>
      <c r="I6" s="12" t="s">
        <v>196</v>
      </c>
      <c r="J6" s="12" t="s">
        <v>279</v>
      </c>
      <c r="K6" s="167">
        <v>4</v>
      </c>
      <c r="L6" s="167">
        <v>180</v>
      </c>
      <c r="M6" s="167">
        <v>1</v>
      </c>
      <c r="N6" s="167">
        <v>1</v>
      </c>
      <c r="O6" s="167">
        <v>1</v>
      </c>
      <c r="P6" s="167">
        <v>1</v>
      </c>
      <c r="Q6" s="167">
        <v>1</v>
      </c>
      <c r="R6" s="167">
        <v>3</v>
      </c>
      <c r="S6" s="167" t="s">
        <v>79</v>
      </c>
      <c r="T6" s="167">
        <v>0</v>
      </c>
      <c r="U6" s="7">
        <v>1</v>
      </c>
      <c r="V6" s="7">
        <v>1</v>
      </c>
      <c r="W6" s="47" t="str">
        <f t="shared" ca="1" si="1"/>
        <v>1-1. はじまりの外壁</v>
      </c>
      <c r="X6" s="47">
        <f ca="1">VLOOKUP($C6,OFFSET(quests!$A$1,0,0,COUNTA(quests!$A:$A),MATCH(X$2,quests!$1:$1,0)-MATCH($C$2,quests!$1:$1,0)+1),MATCH(X$2,quests!$1:$1,0)-MATCH($C$2,quests!$1:$1,0)+1,FALSE)</f>
        <v>1</v>
      </c>
      <c r="Y6" s="47">
        <f ca="1">VLOOKUP($C6,OFFSET(quests!$A$1,0,0,COUNTA(quests!$A:$A),MATCH(Y$2,quests!$1:$1,0)-MATCH($C$2,quests!$1:$1,0)+1),MATCH(Y$2,quests!$1:$1,0)-MATCH($C$2,quests!$1:$1,0)+1,FALSE)</f>
        <v>1</v>
      </c>
      <c r="Z6" s="47">
        <f ca="1">VLOOKUP($C6,OFFSET(quests!$A$1,0,0,COUNTA(quests!$A:$A),MATCH(Z$2,quests!$1:$1,0)-MATCH($C$2,quests!$1:$1,0)+1),MATCH(Z$2,quests!$1:$1,0)-MATCH($C$2,quests!$1:$1,0)+1,FALSE)</f>
        <v>1</v>
      </c>
      <c r="AA6" s="47">
        <f ca="1">VLOOKUP($C6,OFFSET(quests!$A$1,0,0,COUNTA(quests!$A:$A),MATCH(AA$2,quests!$1:$1,0)-MATCH($C$2,quests!$1:$1,0)+1),MATCH(AA$2,quests!$1:$1,0)-MATCH($C$2,quests!$1:$1,0)+1,FALSE)</f>
        <v>1</v>
      </c>
      <c r="AB6" s="7" t="s">
        <v>72</v>
      </c>
      <c r="AC6" s="7">
        <v>1</v>
      </c>
      <c r="AD6" s="7">
        <v>6</v>
      </c>
      <c r="AE6" s="7" t="s">
        <v>519</v>
      </c>
      <c r="AF6" s="7">
        <v>0</v>
      </c>
      <c r="AG6" s="7">
        <v>0</v>
      </c>
      <c r="AH6" s="7">
        <v>0</v>
      </c>
      <c r="AI6" s="7">
        <v>-1</v>
      </c>
      <c r="AJ6" s="7">
        <v>-1</v>
      </c>
      <c r="AK6" s="7" t="s">
        <v>1064</v>
      </c>
      <c r="AL6" s="12" t="s">
        <v>1695</v>
      </c>
      <c r="AM6" s="12" t="s">
        <v>2072</v>
      </c>
    </row>
    <row r="7" spans="1:39" ht="21" customHeight="1" x14ac:dyDescent="0.15">
      <c r="A7" s="42" t="str">
        <f t="shared" si="0"/>
        <v>1_3</v>
      </c>
      <c r="B7" s="23">
        <v>3</v>
      </c>
      <c r="C7" s="10">
        <v>1</v>
      </c>
      <c r="D7" s="47" t="str">
        <f ca="1">VLOOKUP($C7,OFFSET(quests!$A$1,0,0,COUNTA(quests!$A:$A),MATCH(D$1,quests!$1:$1,0)-MATCH($C$2,quests!$1:$1,0)+1),MATCH(D$1,quests!$1:$1,0)-MATCH($C$2,quests!$1:$1,0)+1,FALSE)</f>
        <v>1．ALICEの入り口</v>
      </c>
      <c r="E7" s="48" t="str">
        <f ca="1">VLOOKUP($C7,OFFSET(quests!$A$1,0,0,COUNTA(quests!$A:$A),MATCH(E$2,quests!$1:$1,0)-MATCH($C$2,quests!$1:$1,0)+1),MATCH(E$2,quests!$1:$1,0)-MATCH($C$2,quests!$1:$1,0)+1,FALSE)</f>
        <v>混色DL0</v>
      </c>
      <c r="F7" s="7">
        <v>3</v>
      </c>
      <c r="G7" s="7" t="s">
        <v>570</v>
      </c>
      <c r="H7" s="69" t="s">
        <v>281</v>
      </c>
      <c r="I7" s="12" t="s">
        <v>196</v>
      </c>
      <c r="J7" s="12" t="s">
        <v>279</v>
      </c>
      <c r="K7" s="167">
        <v>5</v>
      </c>
      <c r="L7" s="167">
        <v>220</v>
      </c>
      <c r="M7" s="167">
        <v>1</v>
      </c>
      <c r="N7" s="167">
        <v>1</v>
      </c>
      <c r="O7" s="167">
        <v>1</v>
      </c>
      <c r="P7" s="167">
        <v>1</v>
      </c>
      <c r="Q7" s="167">
        <v>1</v>
      </c>
      <c r="R7" s="167">
        <v>3</v>
      </c>
      <c r="S7" s="167" t="s">
        <v>79</v>
      </c>
      <c r="T7" s="167">
        <v>0</v>
      </c>
      <c r="U7" s="7">
        <v>1</v>
      </c>
      <c r="V7" s="7">
        <v>2</v>
      </c>
      <c r="W7" s="47" t="str">
        <f t="shared" ca="1" si="1"/>
        <v>1-2. 手荒い出迎え</v>
      </c>
      <c r="X7" s="47">
        <f ca="1">VLOOKUP($C7,OFFSET(quests!$A$1,0,0,COUNTA(quests!$A:$A),MATCH(X$2,quests!$1:$1,0)-MATCH($C$2,quests!$1:$1,0)+1),MATCH(X$2,quests!$1:$1,0)-MATCH($C$2,quests!$1:$1,0)+1,FALSE)</f>
        <v>1</v>
      </c>
      <c r="Y7" s="47">
        <f ca="1">VLOOKUP($C7,OFFSET(quests!$A$1,0,0,COUNTA(quests!$A:$A),MATCH(Y$2,quests!$1:$1,0)-MATCH($C$2,quests!$1:$1,0)+1),MATCH(Y$2,quests!$1:$1,0)-MATCH($C$2,quests!$1:$1,0)+1,FALSE)</f>
        <v>1</v>
      </c>
      <c r="Z7" s="47">
        <f ca="1">VLOOKUP($C7,OFFSET(quests!$A$1,0,0,COUNTA(quests!$A:$A),MATCH(Z$2,quests!$1:$1,0)-MATCH($C$2,quests!$1:$1,0)+1),MATCH(Z$2,quests!$1:$1,0)-MATCH($C$2,quests!$1:$1,0)+1,FALSE)</f>
        <v>1</v>
      </c>
      <c r="AA7" s="47">
        <f ca="1">VLOOKUP($C7,OFFSET(quests!$A$1,0,0,COUNTA(quests!$A:$A),MATCH(AA$2,quests!$1:$1,0)-MATCH($C$2,quests!$1:$1,0)+1),MATCH(AA$2,quests!$1:$1,0)-MATCH($C$2,quests!$1:$1,0)+1,FALSE)</f>
        <v>1</v>
      </c>
      <c r="AB7" s="7" t="s">
        <v>72</v>
      </c>
      <c r="AC7" s="7">
        <v>1</v>
      </c>
      <c r="AD7" s="7">
        <v>6</v>
      </c>
      <c r="AE7" s="7" t="s">
        <v>519</v>
      </c>
      <c r="AF7" s="33">
        <v>3</v>
      </c>
      <c r="AG7" s="7">
        <v>0</v>
      </c>
      <c r="AH7" s="7">
        <v>0</v>
      </c>
      <c r="AI7" s="7">
        <v>-1</v>
      </c>
      <c r="AJ7" s="7">
        <v>-1</v>
      </c>
      <c r="AK7" s="7" t="s">
        <v>1064</v>
      </c>
      <c r="AL7" s="12" t="s">
        <v>1695</v>
      </c>
      <c r="AM7" s="12" t="s">
        <v>2072</v>
      </c>
    </row>
    <row r="8" spans="1:39" ht="21" customHeight="1" x14ac:dyDescent="0.15">
      <c r="A8" s="42" t="str">
        <f t="shared" si="0"/>
        <v>1_4</v>
      </c>
      <c r="B8" s="23">
        <v>3</v>
      </c>
      <c r="C8" s="10">
        <v>1</v>
      </c>
      <c r="D8" s="47" t="str">
        <f ca="1">VLOOKUP($C8,OFFSET(quests!$A$1,0,0,COUNTA(quests!$A:$A),MATCH(D$1,quests!$1:$1,0)-MATCH($C$2,quests!$1:$1,0)+1),MATCH(D$1,quests!$1:$1,0)-MATCH($C$2,quests!$1:$1,0)+1,FALSE)</f>
        <v>1．ALICEの入り口</v>
      </c>
      <c r="E8" s="48" t="str">
        <f ca="1">VLOOKUP($C8,OFFSET(quests!$A$1,0,0,COUNTA(quests!$A:$A),MATCH(E$2,quests!$1:$1,0)-MATCH($C$2,quests!$1:$1,0)+1),MATCH(E$2,quests!$1:$1,0)-MATCH($C$2,quests!$1:$1,0)+1,FALSE)</f>
        <v>混色DL0</v>
      </c>
      <c r="F8" s="7">
        <v>4</v>
      </c>
      <c r="G8" s="7" t="s">
        <v>570</v>
      </c>
      <c r="H8" s="69" t="s">
        <v>863</v>
      </c>
      <c r="I8" s="12" t="s">
        <v>165</v>
      </c>
      <c r="J8" s="12">
        <v>631</v>
      </c>
      <c r="K8" s="167">
        <v>1</v>
      </c>
      <c r="L8" s="167">
        <v>1</v>
      </c>
      <c r="M8" s="167">
        <v>1</v>
      </c>
      <c r="N8" s="167">
        <v>1</v>
      </c>
      <c r="O8" s="167">
        <v>1</v>
      </c>
      <c r="P8" s="167">
        <v>1</v>
      </c>
      <c r="Q8" s="167">
        <v>1</v>
      </c>
      <c r="R8" s="167">
        <v>3</v>
      </c>
      <c r="S8" s="167" t="s">
        <v>273</v>
      </c>
      <c r="T8" s="191" t="s">
        <v>2155</v>
      </c>
      <c r="U8" s="7">
        <v>1</v>
      </c>
      <c r="V8" s="7">
        <v>3</v>
      </c>
      <c r="W8" s="47" t="str">
        <f t="shared" ca="1" si="1"/>
        <v>1-3. ゲートの番犬</v>
      </c>
      <c r="X8" s="47">
        <f ca="1">VLOOKUP($C8,OFFSET(quests!$A$1,0,0,COUNTA(quests!$A:$A),MATCH(X$2,quests!$1:$1,0)-MATCH($C$2,quests!$1:$1,0)+1),MATCH(X$2,quests!$1:$1,0)-MATCH($C$2,quests!$1:$1,0)+1,FALSE)</f>
        <v>1</v>
      </c>
      <c r="Y8" s="47">
        <f ca="1">VLOOKUP($C8,OFFSET(quests!$A$1,0,0,COUNTA(quests!$A:$A),MATCH(Y$2,quests!$1:$1,0)-MATCH($C$2,quests!$1:$1,0)+1),MATCH(Y$2,quests!$1:$1,0)-MATCH($C$2,quests!$1:$1,0)+1,FALSE)</f>
        <v>1</v>
      </c>
      <c r="Z8" s="47">
        <f ca="1">VLOOKUP($C8,OFFSET(quests!$A$1,0,0,COUNTA(quests!$A:$A),MATCH(Z$2,quests!$1:$1,0)-MATCH($C$2,quests!$1:$1,0)+1),MATCH(Z$2,quests!$1:$1,0)-MATCH($C$2,quests!$1:$1,0)+1,FALSE)</f>
        <v>1</v>
      </c>
      <c r="AA8" s="47">
        <f ca="1">VLOOKUP($C8,OFFSET(quests!$A$1,0,0,COUNTA(quests!$A:$A),MATCH(AA$2,quests!$1:$1,0)-MATCH($C$2,quests!$1:$1,0)+1),MATCH(AA$2,quests!$1:$1,0)-MATCH($C$2,quests!$1:$1,0)+1,FALSE)</f>
        <v>1</v>
      </c>
      <c r="AB8" s="7" t="s">
        <v>74</v>
      </c>
      <c r="AC8" s="7">
        <v>1</v>
      </c>
      <c r="AD8" s="7">
        <v>6</v>
      </c>
      <c r="AE8" s="7" t="s">
        <v>522</v>
      </c>
      <c r="AF8" s="7">
        <v>1</v>
      </c>
      <c r="AG8" s="7">
        <v>0</v>
      </c>
      <c r="AH8" s="7">
        <v>0</v>
      </c>
      <c r="AI8" s="7">
        <v>-1</v>
      </c>
      <c r="AJ8" s="7">
        <v>-1</v>
      </c>
      <c r="AK8" s="7" t="s">
        <v>1064</v>
      </c>
      <c r="AL8" s="12" t="s">
        <v>1269</v>
      </c>
      <c r="AM8" s="12" t="s">
        <v>2072</v>
      </c>
    </row>
    <row r="9" spans="1:39" ht="21" customHeight="1" x14ac:dyDescent="0.15">
      <c r="A9" s="42" t="str">
        <f t="shared" si="0"/>
        <v>2_1</v>
      </c>
      <c r="B9" s="23">
        <v>3</v>
      </c>
      <c r="C9" s="10">
        <v>2</v>
      </c>
      <c r="D9" s="47" t="str">
        <f ca="1">VLOOKUP($C9,OFFSET(quests!$A$1,0,0,COUNTA(quests!$A:$A),MATCH(D$1,quests!$1:$1,0)-MATCH($C$2,quests!$1:$1,0)+1),MATCH(D$1,quests!$1:$1,0)-MATCH($C$2,quests!$1:$1,0)+1,FALSE)</f>
        <v>2．火之柄神社</v>
      </c>
      <c r="E9" s="48" t="str">
        <f ca="1">VLOOKUP($C9,OFFSET(quests!$A$1,0,0,COUNTA(quests!$A:$A),MATCH(E$2,quests!$1:$1,0)-MATCH($C$2,quests!$1:$1,0)+1),MATCH(E$2,quests!$1:$1,0)-MATCH($C$2,quests!$1:$1,0)+1,FALSE)</f>
        <v>赤DL1</v>
      </c>
      <c r="F9" s="7">
        <v>1</v>
      </c>
      <c r="G9" s="7" t="s">
        <v>570</v>
      </c>
      <c r="H9" s="69" t="s">
        <v>282</v>
      </c>
      <c r="I9" s="12"/>
      <c r="J9" s="12" t="s">
        <v>279</v>
      </c>
      <c r="K9" s="167">
        <v>3</v>
      </c>
      <c r="L9" s="167">
        <v>160</v>
      </c>
      <c r="M9" s="167">
        <v>1</v>
      </c>
      <c r="N9" s="167">
        <v>1</v>
      </c>
      <c r="O9" s="167">
        <v>1</v>
      </c>
      <c r="P9" s="167">
        <v>1</v>
      </c>
      <c r="Q9" s="167">
        <v>1</v>
      </c>
      <c r="R9" s="167">
        <v>3</v>
      </c>
      <c r="S9" s="167" t="s">
        <v>79</v>
      </c>
      <c r="T9" s="167">
        <v>0</v>
      </c>
      <c r="U9" s="7">
        <v>1</v>
      </c>
      <c r="V9" s="7">
        <v>4</v>
      </c>
      <c r="W9" s="47" t="str">
        <f t="shared" ca="1" si="1"/>
        <v>1-4. 【1回のみ】ボーナスステージ</v>
      </c>
      <c r="X9" s="47">
        <f ca="1">VLOOKUP($C9,OFFSET(quests!$A$1,0,0,COUNTA(quests!$A:$A),MATCH(X$2,quests!$1:$1,0)-MATCH($C$2,quests!$1:$1,0)+1),MATCH(X$2,quests!$1:$1,0)-MATCH($C$2,quests!$1:$1,0)+1,FALSE)</f>
        <v>1</v>
      </c>
      <c r="Y9" s="47">
        <f ca="1">VLOOKUP($C9,OFFSET(quests!$A$1,0,0,COUNTA(quests!$A:$A),MATCH(Y$2,quests!$1:$1,0)-MATCH($C$2,quests!$1:$1,0)+1),MATCH(Y$2,quests!$1:$1,0)-MATCH($C$2,quests!$1:$1,0)+1,FALSE)</f>
        <v>0</v>
      </c>
      <c r="Z9" s="47">
        <f ca="1">VLOOKUP($C9,OFFSET(quests!$A$1,0,0,COUNTA(quests!$A:$A),MATCH(Z$2,quests!$1:$1,0)-MATCH($C$2,quests!$1:$1,0)+1),MATCH(Z$2,quests!$1:$1,0)-MATCH($C$2,quests!$1:$1,0)+1,FALSE)</f>
        <v>0</v>
      </c>
      <c r="AA9" s="47">
        <f ca="1">VLOOKUP($C9,OFFSET(quests!$A$1,0,0,COUNTA(quests!$A:$A),MATCH(AA$2,quests!$1:$1,0)-MATCH($C$2,quests!$1:$1,0)+1),MATCH(AA$2,quests!$1:$1,0)-MATCH($C$2,quests!$1:$1,0)+1,FALSE)</f>
        <v>0</v>
      </c>
      <c r="AB9" s="7" t="s">
        <v>56</v>
      </c>
      <c r="AC9" s="7">
        <v>2</v>
      </c>
      <c r="AD9" s="7">
        <v>6</v>
      </c>
      <c r="AE9" s="7" t="s">
        <v>519</v>
      </c>
      <c r="AF9" s="7">
        <v>0</v>
      </c>
      <c r="AG9" s="7">
        <v>0</v>
      </c>
      <c r="AH9" s="7">
        <v>0</v>
      </c>
      <c r="AI9" s="7">
        <v>-1</v>
      </c>
      <c r="AJ9" s="7">
        <v>-1</v>
      </c>
      <c r="AK9" s="7" t="s">
        <v>1064</v>
      </c>
      <c r="AL9" s="12" t="s">
        <v>1695</v>
      </c>
      <c r="AM9" s="12" t="s">
        <v>2072</v>
      </c>
    </row>
    <row r="10" spans="1:39" ht="21" customHeight="1" x14ac:dyDescent="0.15">
      <c r="A10" s="42" t="str">
        <f t="shared" si="0"/>
        <v>2_2</v>
      </c>
      <c r="B10" s="23">
        <v>3</v>
      </c>
      <c r="C10" s="10">
        <v>2</v>
      </c>
      <c r="D10" s="47" t="str">
        <f ca="1">VLOOKUP($C10,OFFSET(quests!$A$1,0,0,COUNTA(quests!$A:$A),MATCH(D$1,quests!$1:$1,0)-MATCH($C$2,quests!$1:$1,0)+1),MATCH(D$1,quests!$1:$1,0)-MATCH($C$2,quests!$1:$1,0)+1,FALSE)</f>
        <v>2．火之柄神社</v>
      </c>
      <c r="E10" s="48" t="str">
        <f ca="1">VLOOKUP($C10,OFFSET(quests!$A$1,0,0,COUNTA(quests!$A:$A),MATCH(E$2,quests!$1:$1,0)-MATCH($C$2,quests!$1:$1,0)+1),MATCH(E$2,quests!$1:$1,0)-MATCH($C$2,quests!$1:$1,0)+1,FALSE)</f>
        <v>赤DL1</v>
      </c>
      <c r="F10" s="7">
        <v>2</v>
      </c>
      <c r="G10" s="7" t="s">
        <v>570</v>
      </c>
      <c r="H10" s="69" t="s">
        <v>283</v>
      </c>
      <c r="I10" s="12"/>
      <c r="J10" s="12" t="s">
        <v>279</v>
      </c>
      <c r="K10" s="167">
        <v>4</v>
      </c>
      <c r="L10" s="167">
        <v>200</v>
      </c>
      <c r="M10" s="167">
        <v>1</v>
      </c>
      <c r="N10" s="167">
        <v>1</v>
      </c>
      <c r="O10" s="167">
        <v>1</v>
      </c>
      <c r="P10" s="167">
        <v>1</v>
      </c>
      <c r="Q10" s="167">
        <v>1</v>
      </c>
      <c r="R10" s="167">
        <v>3</v>
      </c>
      <c r="S10" s="167" t="s">
        <v>79</v>
      </c>
      <c r="T10" s="167">
        <v>0</v>
      </c>
      <c r="U10" s="7">
        <v>2</v>
      </c>
      <c r="V10" s="7">
        <v>1</v>
      </c>
      <c r="W10" s="47" t="str">
        <f t="shared" ca="1" si="1"/>
        <v>2-1. 悪戯な炎</v>
      </c>
      <c r="X10" s="47">
        <f ca="1">VLOOKUP($C10,OFFSET(quests!$A$1,0,0,COUNTA(quests!$A:$A),MATCH(X$2,quests!$1:$1,0)-MATCH($C$2,quests!$1:$1,0)+1),MATCH(X$2,quests!$1:$1,0)-MATCH($C$2,quests!$1:$1,0)+1,FALSE)</f>
        <v>1</v>
      </c>
      <c r="Y10" s="47">
        <f ca="1">VLOOKUP($C10,OFFSET(quests!$A$1,0,0,COUNTA(quests!$A:$A),MATCH(Y$2,quests!$1:$1,0)-MATCH($C$2,quests!$1:$1,0)+1),MATCH(Y$2,quests!$1:$1,0)-MATCH($C$2,quests!$1:$1,0)+1,FALSE)</f>
        <v>0</v>
      </c>
      <c r="Z10" s="47">
        <f ca="1">VLOOKUP($C10,OFFSET(quests!$A$1,0,0,COUNTA(quests!$A:$A),MATCH(Z$2,quests!$1:$1,0)-MATCH($C$2,quests!$1:$1,0)+1),MATCH(Z$2,quests!$1:$1,0)-MATCH($C$2,quests!$1:$1,0)+1,FALSE)</f>
        <v>0</v>
      </c>
      <c r="AA10" s="47">
        <f ca="1">VLOOKUP($C10,OFFSET(quests!$A$1,0,0,COUNTA(quests!$A:$A),MATCH(AA$2,quests!$1:$1,0)-MATCH($C$2,quests!$1:$1,0)+1),MATCH(AA$2,quests!$1:$1,0)-MATCH($C$2,quests!$1:$1,0)+1,FALSE)</f>
        <v>0</v>
      </c>
      <c r="AB10" s="7" t="s">
        <v>56</v>
      </c>
      <c r="AC10" s="7">
        <v>2</v>
      </c>
      <c r="AD10" s="7">
        <v>6</v>
      </c>
      <c r="AE10" s="7" t="s">
        <v>519</v>
      </c>
      <c r="AF10" s="7">
        <v>0</v>
      </c>
      <c r="AG10" s="7">
        <v>0</v>
      </c>
      <c r="AH10" s="7">
        <v>0</v>
      </c>
      <c r="AI10" s="7">
        <v>-1</v>
      </c>
      <c r="AJ10" s="7">
        <v>-1</v>
      </c>
      <c r="AK10" s="7" t="s">
        <v>1064</v>
      </c>
      <c r="AL10" s="12" t="s">
        <v>1695</v>
      </c>
      <c r="AM10" s="12" t="s">
        <v>2072</v>
      </c>
    </row>
    <row r="11" spans="1:39" ht="21" customHeight="1" x14ac:dyDescent="0.15">
      <c r="A11" s="42" t="str">
        <f t="shared" si="0"/>
        <v>2_3</v>
      </c>
      <c r="B11" s="23">
        <v>3</v>
      </c>
      <c r="C11" s="10">
        <v>2</v>
      </c>
      <c r="D11" s="47" t="str">
        <f ca="1">VLOOKUP($C11,OFFSET(quests!$A$1,0,0,COUNTA(quests!$A:$A),MATCH(D$1,quests!$1:$1,0)-MATCH($C$2,quests!$1:$1,0)+1),MATCH(D$1,quests!$1:$1,0)-MATCH($C$2,quests!$1:$1,0)+1,FALSE)</f>
        <v>2．火之柄神社</v>
      </c>
      <c r="E11" s="48" t="str">
        <f ca="1">VLOOKUP($C11,OFFSET(quests!$A$1,0,0,COUNTA(quests!$A:$A),MATCH(E$2,quests!$1:$1,0)-MATCH($C$2,quests!$1:$1,0)+1),MATCH(E$2,quests!$1:$1,0)-MATCH($C$2,quests!$1:$1,0)+1,FALSE)</f>
        <v>赤DL1</v>
      </c>
      <c r="F11" s="7">
        <v>3</v>
      </c>
      <c r="G11" s="7" t="s">
        <v>570</v>
      </c>
      <c r="H11" s="69" t="s">
        <v>284</v>
      </c>
      <c r="I11" s="12"/>
      <c r="J11" s="12" t="s">
        <v>279</v>
      </c>
      <c r="K11" s="167">
        <v>5</v>
      </c>
      <c r="L11" s="167">
        <v>240</v>
      </c>
      <c r="M11" s="167">
        <v>1</v>
      </c>
      <c r="N11" s="167">
        <v>1</v>
      </c>
      <c r="O11" s="167">
        <v>1</v>
      </c>
      <c r="P11" s="167">
        <v>1</v>
      </c>
      <c r="Q11" s="167">
        <v>1</v>
      </c>
      <c r="R11" s="167">
        <v>3</v>
      </c>
      <c r="S11" s="167" t="s">
        <v>79</v>
      </c>
      <c r="T11" s="167">
        <v>0</v>
      </c>
      <c r="U11" s="7">
        <v>2</v>
      </c>
      <c r="V11" s="7">
        <v>2</v>
      </c>
      <c r="W11" s="47" t="str">
        <f t="shared" ca="1" si="1"/>
        <v>2-2. 火線のファンタジスタ</v>
      </c>
      <c r="X11" s="47">
        <f ca="1">VLOOKUP($C11,OFFSET(quests!$A$1,0,0,COUNTA(quests!$A:$A),MATCH(X$2,quests!$1:$1,0)-MATCH($C$2,quests!$1:$1,0)+1),MATCH(X$2,quests!$1:$1,0)-MATCH($C$2,quests!$1:$1,0)+1,FALSE)</f>
        <v>1</v>
      </c>
      <c r="Y11" s="47">
        <f ca="1">VLOOKUP($C11,OFFSET(quests!$A$1,0,0,COUNTA(quests!$A:$A),MATCH(Y$2,quests!$1:$1,0)-MATCH($C$2,quests!$1:$1,0)+1),MATCH(Y$2,quests!$1:$1,0)-MATCH($C$2,quests!$1:$1,0)+1,FALSE)</f>
        <v>0</v>
      </c>
      <c r="Z11" s="47">
        <f ca="1">VLOOKUP($C11,OFFSET(quests!$A$1,0,0,COUNTA(quests!$A:$A),MATCH(Z$2,quests!$1:$1,0)-MATCH($C$2,quests!$1:$1,0)+1),MATCH(Z$2,quests!$1:$1,0)-MATCH($C$2,quests!$1:$1,0)+1,FALSE)</f>
        <v>0</v>
      </c>
      <c r="AA11" s="47">
        <f ca="1">VLOOKUP($C11,OFFSET(quests!$A$1,0,0,COUNTA(quests!$A:$A),MATCH(AA$2,quests!$1:$1,0)-MATCH($C$2,quests!$1:$1,0)+1),MATCH(AA$2,quests!$1:$1,0)-MATCH($C$2,quests!$1:$1,0)+1,FALSE)</f>
        <v>0</v>
      </c>
      <c r="AB11" s="7" t="s">
        <v>56</v>
      </c>
      <c r="AC11" s="7">
        <v>2</v>
      </c>
      <c r="AD11" s="7">
        <v>6</v>
      </c>
      <c r="AE11" s="7" t="s">
        <v>519</v>
      </c>
      <c r="AF11" s="33">
        <v>3</v>
      </c>
      <c r="AG11" s="7">
        <v>0</v>
      </c>
      <c r="AH11" s="7">
        <v>0</v>
      </c>
      <c r="AI11" s="7">
        <v>-1</v>
      </c>
      <c r="AJ11" s="7">
        <v>-1</v>
      </c>
      <c r="AK11" s="7" t="s">
        <v>1064</v>
      </c>
      <c r="AL11" s="12" t="s">
        <v>1695</v>
      </c>
      <c r="AM11" s="12" t="s">
        <v>2072</v>
      </c>
    </row>
    <row r="12" spans="1:39" ht="21" customHeight="1" x14ac:dyDescent="0.15">
      <c r="A12" s="42" t="str">
        <f t="shared" si="0"/>
        <v>2_4</v>
      </c>
      <c r="B12" s="23">
        <v>3</v>
      </c>
      <c r="C12" s="10">
        <v>2</v>
      </c>
      <c r="D12" s="47" t="str">
        <f ca="1">VLOOKUP($C12,OFFSET(quests!$A$1,0,0,COUNTA(quests!$A:$A),MATCH(D$1,quests!$1:$1,0)-MATCH($C$2,quests!$1:$1,0)+1),MATCH(D$1,quests!$1:$1,0)-MATCH($C$2,quests!$1:$1,0)+1,FALSE)</f>
        <v>2．火之柄神社</v>
      </c>
      <c r="E12" s="48" t="str">
        <f ca="1">VLOOKUP($C12,OFFSET(quests!$A$1,0,0,COUNTA(quests!$A:$A),MATCH(E$2,quests!$1:$1,0)-MATCH($C$2,quests!$1:$1,0)+1),MATCH(E$2,quests!$1:$1,0)-MATCH($C$2,quests!$1:$1,0)+1,FALSE)</f>
        <v>赤DL1</v>
      </c>
      <c r="F12" s="7">
        <v>4</v>
      </c>
      <c r="G12" s="7" t="s">
        <v>570</v>
      </c>
      <c r="H12" s="69" t="s">
        <v>864</v>
      </c>
      <c r="I12" s="12" t="s">
        <v>165</v>
      </c>
      <c r="J12" s="12">
        <v>125</v>
      </c>
      <c r="K12" s="167">
        <v>1</v>
      </c>
      <c r="L12" s="167">
        <v>1</v>
      </c>
      <c r="M12" s="167">
        <v>1</v>
      </c>
      <c r="N12" s="167">
        <v>1</v>
      </c>
      <c r="O12" s="167">
        <v>1</v>
      </c>
      <c r="P12" s="167">
        <v>1</v>
      </c>
      <c r="Q12" s="167">
        <v>1</v>
      </c>
      <c r="R12" s="167">
        <v>3</v>
      </c>
      <c r="S12" s="167" t="s">
        <v>273</v>
      </c>
      <c r="T12" s="191" t="s">
        <v>2152</v>
      </c>
      <c r="U12" s="7">
        <v>2</v>
      </c>
      <c r="V12" s="7">
        <v>3</v>
      </c>
      <c r="W12" s="47" t="str">
        <f t="shared" ca="1" si="1"/>
        <v>2-3. 妖炎の誘い</v>
      </c>
      <c r="X12" s="47">
        <f ca="1">VLOOKUP($C12,OFFSET(quests!$A$1,0,0,COUNTA(quests!$A:$A),MATCH(X$2,quests!$1:$1,0)-MATCH($C$2,quests!$1:$1,0)+1),MATCH(X$2,quests!$1:$1,0)-MATCH($C$2,quests!$1:$1,0)+1,FALSE)</f>
        <v>1</v>
      </c>
      <c r="Y12" s="47">
        <f ca="1">VLOOKUP($C12,OFFSET(quests!$A$1,0,0,COUNTA(quests!$A:$A),MATCH(Y$2,quests!$1:$1,0)-MATCH($C$2,quests!$1:$1,0)+1),MATCH(Y$2,quests!$1:$1,0)-MATCH($C$2,quests!$1:$1,0)+1,FALSE)</f>
        <v>0</v>
      </c>
      <c r="Z12" s="47">
        <f ca="1">VLOOKUP($C12,OFFSET(quests!$A$1,0,0,COUNTA(quests!$A:$A),MATCH(Z$2,quests!$1:$1,0)-MATCH($C$2,quests!$1:$1,0)+1),MATCH(Z$2,quests!$1:$1,0)-MATCH($C$2,quests!$1:$1,0)+1,FALSE)</f>
        <v>0</v>
      </c>
      <c r="AA12" s="47">
        <f ca="1">VLOOKUP($C12,OFFSET(quests!$A$1,0,0,COUNTA(quests!$A:$A),MATCH(AA$2,quests!$1:$1,0)-MATCH($C$2,quests!$1:$1,0)+1),MATCH(AA$2,quests!$1:$1,0)-MATCH($C$2,quests!$1:$1,0)+1,FALSE)</f>
        <v>0</v>
      </c>
      <c r="AB12" s="7" t="s">
        <v>62</v>
      </c>
      <c r="AC12" s="7">
        <v>2</v>
      </c>
      <c r="AD12" s="7">
        <v>6</v>
      </c>
      <c r="AE12" s="7" t="s">
        <v>522</v>
      </c>
      <c r="AF12" s="7">
        <v>1</v>
      </c>
      <c r="AG12" s="7">
        <v>0</v>
      </c>
      <c r="AH12" s="7">
        <v>0</v>
      </c>
      <c r="AI12" s="7">
        <v>-1</v>
      </c>
      <c r="AJ12" s="7">
        <v>-1</v>
      </c>
      <c r="AK12" s="7" t="s">
        <v>1064</v>
      </c>
      <c r="AL12" s="12" t="s">
        <v>1695</v>
      </c>
      <c r="AM12" s="12" t="s">
        <v>2072</v>
      </c>
    </row>
    <row r="13" spans="1:39" ht="21" customHeight="1" x14ac:dyDescent="0.15">
      <c r="A13" s="42" t="str">
        <f t="shared" si="0"/>
        <v>3_1</v>
      </c>
      <c r="B13" s="23">
        <v>3</v>
      </c>
      <c r="C13" s="10">
        <v>3</v>
      </c>
      <c r="D13" s="47" t="str">
        <f ca="1">VLOOKUP($C13,OFFSET(quests!$A$1,0,0,COUNTA(quests!$A:$A),MATCH(D$1,quests!$1:$1,0)-MATCH($C$2,quests!$1:$1,0)+1),MATCH(D$1,quests!$1:$1,0)-MATCH($C$2,quests!$1:$1,0)+1,FALSE)</f>
        <v>3．グリーンモール</v>
      </c>
      <c r="E13" s="48" t="str">
        <f ca="1">VLOOKUP($C13,OFFSET(quests!$A$1,0,0,COUNTA(quests!$A:$A),MATCH(E$2,quests!$1:$1,0)-MATCH($C$2,quests!$1:$1,0)+1),MATCH(E$2,quests!$1:$1,0)-MATCH($C$2,quests!$1:$1,0)+1,FALSE)</f>
        <v>緑DL1</v>
      </c>
      <c r="F13" s="7">
        <v>1</v>
      </c>
      <c r="G13" s="7" t="s">
        <v>570</v>
      </c>
      <c r="H13" s="69" t="s">
        <v>285</v>
      </c>
      <c r="I13" s="12"/>
      <c r="J13" s="12" t="s">
        <v>279</v>
      </c>
      <c r="K13" s="167">
        <v>4</v>
      </c>
      <c r="L13" s="167">
        <v>160</v>
      </c>
      <c r="M13" s="167">
        <v>1</v>
      </c>
      <c r="N13" s="167">
        <v>1</v>
      </c>
      <c r="O13" s="167">
        <v>1</v>
      </c>
      <c r="P13" s="167">
        <v>1</v>
      </c>
      <c r="Q13" s="167">
        <v>1</v>
      </c>
      <c r="R13" s="167">
        <v>3</v>
      </c>
      <c r="S13" s="167" t="s">
        <v>79</v>
      </c>
      <c r="T13" s="167">
        <v>0</v>
      </c>
      <c r="U13" s="7">
        <v>2</v>
      </c>
      <c r="V13" s="7">
        <v>4</v>
      </c>
      <c r="W13" s="47" t="str">
        <f t="shared" ca="1" si="1"/>
        <v>2-4. 【1回のみ】ボーナスステージ</v>
      </c>
      <c r="X13" s="47">
        <f ca="1">VLOOKUP($C13,OFFSET(quests!$A$1,0,0,COUNTA(quests!$A:$A),MATCH(X$2,quests!$1:$1,0)-MATCH($C$2,quests!$1:$1,0)+1),MATCH(X$2,quests!$1:$1,0)-MATCH($C$2,quests!$1:$1,0)+1,FALSE)</f>
        <v>0</v>
      </c>
      <c r="Y13" s="47">
        <f ca="1">VLOOKUP($C13,OFFSET(quests!$A$1,0,0,COUNTA(quests!$A:$A),MATCH(Y$2,quests!$1:$1,0)-MATCH($C$2,quests!$1:$1,0)+1),MATCH(Y$2,quests!$1:$1,0)-MATCH($C$2,quests!$1:$1,0)+1,FALSE)</f>
        <v>0</v>
      </c>
      <c r="Z13" s="47">
        <f ca="1">VLOOKUP($C13,OFFSET(quests!$A$1,0,0,COUNTA(quests!$A:$A),MATCH(Z$2,quests!$1:$1,0)-MATCH($C$2,quests!$1:$1,0)+1),MATCH(Z$2,quests!$1:$1,0)-MATCH($C$2,quests!$1:$1,0)+1,FALSE)</f>
        <v>1</v>
      </c>
      <c r="AA13" s="47">
        <f ca="1">VLOOKUP($C13,OFFSET(quests!$A$1,0,0,COUNTA(quests!$A:$A),MATCH(AA$2,quests!$1:$1,0)-MATCH($C$2,quests!$1:$1,0)+1),MATCH(AA$2,quests!$1:$1,0)-MATCH($C$2,quests!$1:$1,0)+1,FALSE)</f>
        <v>0</v>
      </c>
      <c r="AB13" s="7" t="s">
        <v>56</v>
      </c>
      <c r="AC13" s="7">
        <v>3</v>
      </c>
      <c r="AD13" s="7">
        <v>6</v>
      </c>
      <c r="AE13" s="7" t="s">
        <v>519</v>
      </c>
      <c r="AF13" s="7">
        <v>0</v>
      </c>
      <c r="AG13" s="7">
        <v>0</v>
      </c>
      <c r="AH13" s="7">
        <v>0</v>
      </c>
      <c r="AI13" s="7">
        <v>-1</v>
      </c>
      <c r="AJ13" s="7">
        <v>-1</v>
      </c>
      <c r="AK13" s="7" t="s">
        <v>1064</v>
      </c>
      <c r="AL13" s="12" t="s">
        <v>1695</v>
      </c>
      <c r="AM13" s="12" t="s">
        <v>2072</v>
      </c>
    </row>
    <row r="14" spans="1:39" ht="21" customHeight="1" x14ac:dyDescent="0.15">
      <c r="A14" s="42" t="str">
        <f t="shared" si="0"/>
        <v>3_2</v>
      </c>
      <c r="B14" s="23">
        <v>3</v>
      </c>
      <c r="C14" s="10">
        <v>3</v>
      </c>
      <c r="D14" s="47" t="str">
        <f ca="1">VLOOKUP($C14,OFFSET(quests!$A$1,0,0,COUNTA(quests!$A:$A),MATCH(D$1,quests!$1:$1,0)-MATCH($C$2,quests!$1:$1,0)+1),MATCH(D$1,quests!$1:$1,0)-MATCH($C$2,quests!$1:$1,0)+1,FALSE)</f>
        <v>3．グリーンモール</v>
      </c>
      <c r="E14" s="48" t="str">
        <f ca="1">VLOOKUP($C14,OFFSET(quests!$A$1,0,0,COUNTA(quests!$A:$A),MATCH(E$2,quests!$1:$1,0)-MATCH($C$2,quests!$1:$1,0)+1),MATCH(E$2,quests!$1:$1,0)-MATCH($C$2,quests!$1:$1,0)+1,FALSE)</f>
        <v>緑DL1</v>
      </c>
      <c r="F14" s="7">
        <v>2</v>
      </c>
      <c r="G14" s="7" t="s">
        <v>570</v>
      </c>
      <c r="H14" s="69" t="s">
        <v>374</v>
      </c>
      <c r="I14" s="12"/>
      <c r="J14" s="12" t="s">
        <v>279</v>
      </c>
      <c r="K14" s="167">
        <v>5</v>
      </c>
      <c r="L14" s="167">
        <v>200</v>
      </c>
      <c r="M14" s="167">
        <v>1</v>
      </c>
      <c r="N14" s="167">
        <v>1</v>
      </c>
      <c r="O14" s="167">
        <v>1</v>
      </c>
      <c r="P14" s="167">
        <v>1</v>
      </c>
      <c r="Q14" s="167">
        <v>1</v>
      </c>
      <c r="R14" s="167">
        <v>3</v>
      </c>
      <c r="S14" s="167" t="s">
        <v>79</v>
      </c>
      <c r="T14" s="167">
        <v>0</v>
      </c>
      <c r="U14" s="7">
        <v>3</v>
      </c>
      <c r="V14" s="7">
        <v>1</v>
      </c>
      <c r="W14" s="47" t="str">
        <f t="shared" ca="1" si="1"/>
        <v>3-1. 緑の警備員</v>
      </c>
      <c r="X14" s="47">
        <f ca="1">VLOOKUP($C14,OFFSET(quests!$A$1,0,0,COUNTA(quests!$A:$A),MATCH(X$2,quests!$1:$1,0)-MATCH($C$2,quests!$1:$1,0)+1),MATCH(X$2,quests!$1:$1,0)-MATCH($C$2,quests!$1:$1,0)+1,FALSE)</f>
        <v>0</v>
      </c>
      <c r="Y14" s="47">
        <f ca="1">VLOOKUP($C14,OFFSET(quests!$A$1,0,0,COUNTA(quests!$A:$A),MATCH(Y$2,quests!$1:$1,0)-MATCH($C$2,quests!$1:$1,0)+1),MATCH(Y$2,quests!$1:$1,0)-MATCH($C$2,quests!$1:$1,0)+1,FALSE)</f>
        <v>0</v>
      </c>
      <c r="Z14" s="47">
        <f ca="1">VLOOKUP($C14,OFFSET(quests!$A$1,0,0,COUNTA(quests!$A:$A),MATCH(Z$2,quests!$1:$1,0)-MATCH($C$2,quests!$1:$1,0)+1),MATCH(Z$2,quests!$1:$1,0)-MATCH($C$2,quests!$1:$1,0)+1,FALSE)</f>
        <v>1</v>
      </c>
      <c r="AA14" s="47">
        <f ca="1">VLOOKUP($C14,OFFSET(quests!$A$1,0,0,COUNTA(quests!$A:$A),MATCH(AA$2,quests!$1:$1,0)-MATCH($C$2,quests!$1:$1,0)+1),MATCH(AA$2,quests!$1:$1,0)-MATCH($C$2,quests!$1:$1,0)+1,FALSE)</f>
        <v>0</v>
      </c>
      <c r="AB14" s="7" t="s">
        <v>56</v>
      </c>
      <c r="AC14" s="7">
        <v>3</v>
      </c>
      <c r="AD14" s="7">
        <v>6</v>
      </c>
      <c r="AE14" s="7" t="s">
        <v>519</v>
      </c>
      <c r="AF14" s="7">
        <v>0</v>
      </c>
      <c r="AG14" s="7">
        <v>0</v>
      </c>
      <c r="AH14" s="7">
        <v>0</v>
      </c>
      <c r="AI14" s="7">
        <v>-1</v>
      </c>
      <c r="AJ14" s="7">
        <v>-1</v>
      </c>
      <c r="AK14" s="7" t="s">
        <v>1064</v>
      </c>
      <c r="AL14" s="12" t="s">
        <v>1695</v>
      </c>
      <c r="AM14" s="12" t="s">
        <v>2072</v>
      </c>
    </row>
    <row r="15" spans="1:39" ht="21" customHeight="1" x14ac:dyDescent="0.15">
      <c r="A15" s="42" t="str">
        <f t="shared" si="0"/>
        <v>3_3</v>
      </c>
      <c r="B15" s="23">
        <v>3</v>
      </c>
      <c r="C15" s="10">
        <v>3</v>
      </c>
      <c r="D15" s="47" t="str">
        <f ca="1">VLOOKUP($C15,OFFSET(quests!$A$1,0,0,COUNTA(quests!$A:$A),MATCH(D$1,quests!$1:$1,0)-MATCH($C$2,quests!$1:$1,0)+1),MATCH(D$1,quests!$1:$1,0)-MATCH($C$2,quests!$1:$1,0)+1,FALSE)</f>
        <v>3．グリーンモール</v>
      </c>
      <c r="E15" s="48" t="str">
        <f ca="1">VLOOKUP($C15,OFFSET(quests!$A$1,0,0,COUNTA(quests!$A:$A),MATCH(E$2,quests!$1:$1,0)-MATCH($C$2,quests!$1:$1,0)+1),MATCH(E$2,quests!$1:$1,0)-MATCH($C$2,quests!$1:$1,0)+1,FALSE)</f>
        <v>緑DL1</v>
      </c>
      <c r="F15" s="7">
        <v>3</v>
      </c>
      <c r="G15" s="7" t="s">
        <v>570</v>
      </c>
      <c r="H15" s="69" t="s">
        <v>286</v>
      </c>
      <c r="I15" s="12"/>
      <c r="J15" s="12" t="s">
        <v>279</v>
      </c>
      <c r="K15" s="167">
        <v>6</v>
      </c>
      <c r="L15" s="167">
        <v>240</v>
      </c>
      <c r="M15" s="167">
        <v>1</v>
      </c>
      <c r="N15" s="167">
        <v>1</v>
      </c>
      <c r="O15" s="167">
        <v>1</v>
      </c>
      <c r="P15" s="167">
        <v>1</v>
      </c>
      <c r="Q15" s="167">
        <v>1</v>
      </c>
      <c r="R15" s="167">
        <v>3</v>
      </c>
      <c r="S15" s="167" t="s">
        <v>79</v>
      </c>
      <c r="T15" s="167">
        <v>0</v>
      </c>
      <c r="U15" s="7">
        <v>3</v>
      </c>
      <c r="V15" s="7">
        <v>2</v>
      </c>
      <c r="W15" s="47" t="str">
        <f t="shared" ca="1" si="1"/>
        <v>3-2. 買い物好きの刺客</v>
      </c>
      <c r="X15" s="47">
        <f ca="1">VLOOKUP($C15,OFFSET(quests!$A$1,0,0,COUNTA(quests!$A:$A),MATCH(X$2,quests!$1:$1,0)-MATCH($C$2,quests!$1:$1,0)+1),MATCH(X$2,quests!$1:$1,0)-MATCH($C$2,quests!$1:$1,0)+1,FALSE)</f>
        <v>0</v>
      </c>
      <c r="Y15" s="47">
        <f ca="1">VLOOKUP($C15,OFFSET(quests!$A$1,0,0,COUNTA(quests!$A:$A),MATCH(Y$2,quests!$1:$1,0)-MATCH($C$2,quests!$1:$1,0)+1),MATCH(Y$2,quests!$1:$1,0)-MATCH($C$2,quests!$1:$1,0)+1,FALSE)</f>
        <v>0</v>
      </c>
      <c r="Z15" s="47">
        <f ca="1">VLOOKUP($C15,OFFSET(quests!$A$1,0,0,COUNTA(quests!$A:$A),MATCH(Z$2,quests!$1:$1,0)-MATCH($C$2,quests!$1:$1,0)+1),MATCH(Z$2,quests!$1:$1,0)-MATCH($C$2,quests!$1:$1,0)+1,FALSE)</f>
        <v>1</v>
      </c>
      <c r="AA15" s="47">
        <f ca="1">VLOOKUP($C15,OFFSET(quests!$A$1,0,0,COUNTA(quests!$A:$A),MATCH(AA$2,quests!$1:$1,0)-MATCH($C$2,quests!$1:$1,0)+1),MATCH(AA$2,quests!$1:$1,0)-MATCH($C$2,quests!$1:$1,0)+1,FALSE)</f>
        <v>0</v>
      </c>
      <c r="AB15" s="7" t="s">
        <v>56</v>
      </c>
      <c r="AC15" s="7">
        <v>3</v>
      </c>
      <c r="AD15" s="7">
        <v>6</v>
      </c>
      <c r="AE15" s="7" t="s">
        <v>519</v>
      </c>
      <c r="AF15" s="33">
        <v>3</v>
      </c>
      <c r="AG15" s="7">
        <v>0</v>
      </c>
      <c r="AH15" s="7">
        <v>0</v>
      </c>
      <c r="AI15" s="7">
        <v>-1</v>
      </c>
      <c r="AJ15" s="7">
        <v>-1</v>
      </c>
      <c r="AK15" s="7" t="s">
        <v>1064</v>
      </c>
      <c r="AL15" s="12" t="s">
        <v>1695</v>
      </c>
      <c r="AM15" s="12" t="s">
        <v>2072</v>
      </c>
    </row>
    <row r="16" spans="1:39" ht="21" customHeight="1" x14ac:dyDescent="0.15">
      <c r="A16" s="42" t="str">
        <f t="shared" si="0"/>
        <v>3_4</v>
      </c>
      <c r="B16" s="23">
        <v>3</v>
      </c>
      <c r="C16" s="10">
        <v>3</v>
      </c>
      <c r="D16" s="47" t="str">
        <f ca="1">VLOOKUP($C16,OFFSET(quests!$A$1,0,0,COUNTA(quests!$A:$A),MATCH(D$1,quests!$1:$1,0)-MATCH($C$2,quests!$1:$1,0)+1),MATCH(D$1,quests!$1:$1,0)-MATCH($C$2,quests!$1:$1,0)+1,FALSE)</f>
        <v>3．グリーンモール</v>
      </c>
      <c r="E16" s="48" t="str">
        <f ca="1">VLOOKUP($C16,OFFSET(quests!$A$1,0,0,COUNTA(quests!$A:$A),MATCH(E$2,quests!$1:$1,0)-MATCH($C$2,quests!$1:$1,0)+1),MATCH(E$2,quests!$1:$1,0)-MATCH($C$2,quests!$1:$1,0)+1,FALSE)</f>
        <v>緑DL1</v>
      </c>
      <c r="F16" s="7">
        <v>4</v>
      </c>
      <c r="G16" s="7" t="s">
        <v>570</v>
      </c>
      <c r="H16" s="69" t="s">
        <v>865</v>
      </c>
      <c r="I16" s="12" t="s">
        <v>165</v>
      </c>
      <c r="J16" s="12">
        <v>569</v>
      </c>
      <c r="K16" s="167">
        <v>1</v>
      </c>
      <c r="L16" s="167">
        <v>1</v>
      </c>
      <c r="M16" s="167">
        <v>1</v>
      </c>
      <c r="N16" s="167">
        <v>1</v>
      </c>
      <c r="O16" s="167">
        <v>1</v>
      </c>
      <c r="P16" s="167">
        <v>1</v>
      </c>
      <c r="Q16" s="167">
        <v>1</v>
      </c>
      <c r="R16" s="167">
        <v>3</v>
      </c>
      <c r="S16" s="167" t="s">
        <v>273</v>
      </c>
      <c r="T16" s="191" t="s">
        <v>2156</v>
      </c>
      <c r="U16" s="7">
        <v>3</v>
      </c>
      <c r="V16" s="7">
        <v>3</v>
      </c>
      <c r="W16" s="47" t="str">
        <f t="shared" ca="1" si="1"/>
        <v>3-3. 舞い散る木の葉</v>
      </c>
      <c r="X16" s="47">
        <f ca="1">VLOOKUP($C16,OFFSET(quests!$A$1,0,0,COUNTA(quests!$A:$A),MATCH(X$2,quests!$1:$1,0)-MATCH($C$2,quests!$1:$1,0)+1),MATCH(X$2,quests!$1:$1,0)-MATCH($C$2,quests!$1:$1,0)+1,FALSE)</f>
        <v>0</v>
      </c>
      <c r="Y16" s="47">
        <f ca="1">VLOOKUP($C16,OFFSET(quests!$A$1,0,0,COUNTA(quests!$A:$A),MATCH(Y$2,quests!$1:$1,0)-MATCH($C$2,quests!$1:$1,0)+1),MATCH(Y$2,quests!$1:$1,0)-MATCH($C$2,quests!$1:$1,0)+1,FALSE)</f>
        <v>0</v>
      </c>
      <c r="Z16" s="47">
        <f ca="1">VLOOKUP($C16,OFFSET(quests!$A$1,0,0,COUNTA(quests!$A:$A),MATCH(Z$2,quests!$1:$1,0)-MATCH($C$2,quests!$1:$1,0)+1),MATCH(Z$2,quests!$1:$1,0)-MATCH($C$2,quests!$1:$1,0)+1,FALSE)</f>
        <v>1</v>
      </c>
      <c r="AA16" s="47">
        <f ca="1">VLOOKUP($C16,OFFSET(quests!$A$1,0,0,COUNTA(quests!$A:$A),MATCH(AA$2,quests!$1:$1,0)-MATCH($C$2,quests!$1:$1,0)+1),MATCH(AA$2,quests!$1:$1,0)-MATCH($C$2,quests!$1:$1,0)+1,FALSE)</f>
        <v>0</v>
      </c>
      <c r="AB16" s="7" t="s">
        <v>62</v>
      </c>
      <c r="AC16" s="7">
        <v>3</v>
      </c>
      <c r="AD16" s="7">
        <v>6</v>
      </c>
      <c r="AE16" s="7" t="s">
        <v>522</v>
      </c>
      <c r="AF16" s="7">
        <v>1</v>
      </c>
      <c r="AG16" s="7">
        <v>0</v>
      </c>
      <c r="AH16" s="7">
        <v>0</v>
      </c>
      <c r="AI16" s="7">
        <v>-1</v>
      </c>
      <c r="AJ16" s="7">
        <v>-1</v>
      </c>
      <c r="AK16" s="7" t="s">
        <v>1064</v>
      </c>
      <c r="AL16" s="12" t="s">
        <v>1695</v>
      </c>
      <c r="AM16" s="12" t="s">
        <v>2072</v>
      </c>
    </row>
    <row r="17" spans="1:39" ht="21" customHeight="1" x14ac:dyDescent="0.15">
      <c r="A17" s="42" t="str">
        <f t="shared" si="0"/>
        <v>4_1</v>
      </c>
      <c r="B17" s="23">
        <v>3</v>
      </c>
      <c r="C17" s="10">
        <v>4</v>
      </c>
      <c r="D17" s="47" t="str">
        <f ca="1">VLOOKUP($C17,OFFSET(quests!$A$1,0,0,COUNTA(quests!$A:$A),MATCH(D$1,quests!$1:$1,0)-MATCH($C$2,quests!$1:$1,0)+1),MATCH(D$1,quests!$1:$1,0)-MATCH($C$2,quests!$1:$1,0)+1,FALSE)</f>
        <v>4．イエロープラント</v>
      </c>
      <c r="E17" s="48" t="str">
        <f ca="1">VLOOKUP($C17,OFFSET(quests!$A$1,0,0,COUNTA(quests!$A:$A),MATCH(E$2,quests!$1:$1,0)-MATCH($C$2,quests!$1:$1,0)+1),MATCH(E$2,quests!$1:$1,0)-MATCH($C$2,quests!$1:$1,0)+1,FALSE)</f>
        <v>黄DL1</v>
      </c>
      <c r="F17" s="7">
        <v>1</v>
      </c>
      <c r="G17" s="7" t="s">
        <v>570</v>
      </c>
      <c r="H17" s="69" t="s">
        <v>287</v>
      </c>
      <c r="I17" s="12"/>
      <c r="J17" s="12" t="s">
        <v>279</v>
      </c>
      <c r="K17" s="167">
        <v>4</v>
      </c>
      <c r="L17" s="167">
        <v>180</v>
      </c>
      <c r="M17" s="167">
        <v>1</v>
      </c>
      <c r="N17" s="167">
        <v>1</v>
      </c>
      <c r="O17" s="167">
        <v>1</v>
      </c>
      <c r="P17" s="167">
        <v>1</v>
      </c>
      <c r="Q17" s="167">
        <v>1</v>
      </c>
      <c r="R17" s="167">
        <v>3</v>
      </c>
      <c r="S17" s="167" t="s">
        <v>79</v>
      </c>
      <c r="T17" s="167">
        <v>0</v>
      </c>
      <c r="U17" s="7">
        <v>3</v>
      </c>
      <c r="V17" s="7">
        <v>4</v>
      </c>
      <c r="W17" s="47" t="str">
        <f t="shared" ca="1" si="1"/>
        <v>3-4. 【1回のみ】ボーナスステージ</v>
      </c>
      <c r="X17" s="47">
        <f ca="1">VLOOKUP($C17,OFFSET(quests!$A$1,0,0,COUNTA(quests!$A:$A),MATCH(X$2,quests!$1:$1,0)-MATCH($C$2,quests!$1:$1,0)+1),MATCH(X$2,quests!$1:$1,0)-MATCH($C$2,quests!$1:$1,0)+1,FALSE)</f>
        <v>0</v>
      </c>
      <c r="Y17" s="47">
        <f ca="1">VLOOKUP($C17,OFFSET(quests!$A$1,0,0,COUNTA(quests!$A:$A),MATCH(Y$2,quests!$1:$1,0)-MATCH($C$2,quests!$1:$1,0)+1),MATCH(Y$2,quests!$1:$1,0)-MATCH($C$2,quests!$1:$1,0)+1,FALSE)</f>
        <v>0</v>
      </c>
      <c r="Z17" s="47">
        <f ca="1">VLOOKUP($C17,OFFSET(quests!$A$1,0,0,COUNTA(quests!$A:$A),MATCH(Z$2,quests!$1:$1,0)-MATCH($C$2,quests!$1:$1,0)+1),MATCH(Z$2,quests!$1:$1,0)-MATCH($C$2,quests!$1:$1,0)+1,FALSE)</f>
        <v>0</v>
      </c>
      <c r="AA17" s="47">
        <f ca="1">VLOOKUP($C17,OFFSET(quests!$A$1,0,0,COUNTA(quests!$A:$A),MATCH(AA$2,quests!$1:$1,0)-MATCH($C$2,quests!$1:$1,0)+1),MATCH(AA$2,quests!$1:$1,0)-MATCH($C$2,quests!$1:$1,0)+1,FALSE)</f>
        <v>1</v>
      </c>
      <c r="AB17" s="7" t="s">
        <v>56</v>
      </c>
      <c r="AC17" s="7">
        <v>4</v>
      </c>
      <c r="AD17" s="7">
        <v>6</v>
      </c>
      <c r="AE17" s="7" t="s">
        <v>519</v>
      </c>
      <c r="AF17" s="7">
        <v>0</v>
      </c>
      <c r="AG17" s="7">
        <v>0</v>
      </c>
      <c r="AH17" s="7">
        <v>0</v>
      </c>
      <c r="AI17" s="7">
        <v>-1</v>
      </c>
      <c r="AJ17" s="7">
        <v>-1</v>
      </c>
      <c r="AK17" s="7" t="s">
        <v>1064</v>
      </c>
      <c r="AL17" s="12" t="s">
        <v>1695</v>
      </c>
      <c r="AM17" s="12" t="s">
        <v>2072</v>
      </c>
    </row>
    <row r="18" spans="1:39" ht="21" customHeight="1" x14ac:dyDescent="0.15">
      <c r="A18" s="42" t="str">
        <f t="shared" si="0"/>
        <v>4_2</v>
      </c>
      <c r="B18" s="23">
        <v>3</v>
      </c>
      <c r="C18" s="10">
        <v>4</v>
      </c>
      <c r="D18" s="47" t="str">
        <f ca="1">VLOOKUP($C18,OFFSET(quests!$A$1,0,0,COUNTA(quests!$A:$A),MATCH(D$1,quests!$1:$1,0)-MATCH($C$2,quests!$1:$1,0)+1),MATCH(D$1,quests!$1:$1,0)-MATCH($C$2,quests!$1:$1,0)+1,FALSE)</f>
        <v>4．イエロープラント</v>
      </c>
      <c r="E18" s="48" t="str">
        <f ca="1">VLOOKUP($C18,OFFSET(quests!$A$1,0,0,COUNTA(quests!$A:$A),MATCH(E$2,quests!$1:$1,0)-MATCH($C$2,quests!$1:$1,0)+1),MATCH(E$2,quests!$1:$1,0)-MATCH($C$2,quests!$1:$1,0)+1,FALSE)</f>
        <v>黄DL1</v>
      </c>
      <c r="F18" s="7">
        <v>2</v>
      </c>
      <c r="G18" s="7" t="s">
        <v>570</v>
      </c>
      <c r="H18" s="69" t="s">
        <v>288</v>
      </c>
      <c r="I18" s="12"/>
      <c r="J18" s="12" t="s">
        <v>279</v>
      </c>
      <c r="K18" s="167">
        <v>5</v>
      </c>
      <c r="L18" s="167">
        <v>220</v>
      </c>
      <c r="M18" s="167">
        <v>1</v>
      </c>
      <c r="N18" s="167">
        <v>1</v>
      </c>
      <c r="O18" s="167">
        <v>1</v>
      </c>
      <c r="P18" s="167">
        <v>1</v>
      </c>
      <c r="Q18" s="167">
        <v>1</v>
      </c>
      <c r="R18" s="167">
        <v>3</v>
      </c>
      <c r="S18" s="167" t="s">
        <v>79</v>
      </c>
      <c r="T18" s="167">
        <v>0</v>
      </c>
      <c r="U18" s="7">
        <v>4</v>
      </c>
      <c r="V18" s="7">
        <v>1</v>
      </c>
      <c r="W18" s="47" t="str">
        <f t="shared" ca="1" si="1"/>
        <v>4-1. 花弁にひそむ妖精</v>
      </c>
      <c r="X18" s="47">
        <f ca="1">VLOOKUP($C18,OFFSET(quests!$A$1,0,0,COUNTA(quests!$A:$A),MATCH(X$2,quests!$1:$1,0)-MATCH($C$2,quests!$1:$1,0)+1),MATCH(X$2,quests!$1:$1,0)-MATCH($C$2,quests!$1:$1,0)+1,FALSE)</f>
        <v>0</v>
      </c>
      <c r="Y18" s="47">
        <f ca="1">VLOOKUP($C18,OFFSET(quests!$A$1,0,0,COUNTA(quests!$A:$A),MATCH(Y$2,quests!$1:$1,0)-MATCH($C$2,quests!$1:$1,0)+1),MATCH(Y$2,quests!$1:$1,0)-MATCH($C$2,quests!$1:$1,0)+1,FALSE)</f>
        <v>0</v>
      </c>
      <c r="Z18" s="47">
        <f ca="1">VLOOKUP($C18,OFFSET(quests!$A$1,0,0,COUNTA(quests!$A:$A),MATCH(Z$2,quests!$1:$1,0)-MATCH($C$2,quests!$1:$1,0)+1),MATCH(Z$2,quests!$1:$1,0)-MATCH($C$2,quests!$1:$1,0)+1,FALSE)</f>
        <v>0</v>
      </c>
      <c r="AA18" s="47">
        <f ca="1">VLOOKUP($C18,OFFSET(quests!$A$1,0,0,COUNTA(quests!$A:$A),MATCH(AA$2,quests!$1:$1,0)-MATCH($C$2,quests!$1:$1,0)+1),MATCH(AA$2,quests!$1:$1,0)-MATCH($C$2,quests!$1:$1,0)+1,FALSE)</f>
        <v>1</v>
      </c>
      <c r="AB18" s="7" t="s">
        <v>56</v>
      </c>
      <c r="AC18" s="7">
        <v>4</v>
      </c>
      <c r="AD18" s="7">
        <v>6</v>
      </c>
      <c r="AE18" s="7" t="s">
        <v>519</v>
      </c>
      <c r="AF18" s="7">
        <v>0</v>
      </c>
      <c r="AG18" s="7">
        <v>0</v>
      </c>
      <c r="AH18" s="7">
        <v>0</v>
      </c>
      <c r="AI18" s="7">
        <v>-1</v>
      </c>
      <c r="AJ18" s="7">
        <v>-1</v>
      </c>
      <c r="AK18" s="7" t="s">
        <v>1064</v>
      </c>
      <c r="AL18" s="12" t="s">
        <v>1695</v>
      </c>
      <c r="AM18" s="12" t="s">
        <v>2072</v>
      </c>
    </row>
    <row r="19" spans="1:39" ht="21" customHeight="1" x14ac:dyDescent="0.15">
      <c r="A19" s="42" t="str">
        <f t="shared" si="0"/>
        <v>4_3</v>
      </c>
      <c r="B19" s="23">
        <v>3</v>
      </c>
      <c r="C19" s="10">
        <v>4</v>
      </c>
      <c r="D19" s="47" t="str">
        <f ca="1">VLOOKUP($C19,OFFSET(quests!$A$1,0,0,COUNTA(quests!$A:$A),MATCH(D$1,quests!$1:$1,0)-MATCH($C$2,quests!$1:$1,0)+1),MATCH(D$1,quests!$1:$1,0)-MATCH($C$2,quests!$1:$1,0)+1,FALSE)</f>
        <v>4．イエロープラント</v>
      </c>
      <c r="E19" s="48" t="str">
        <f ca="1">VLOOKUP($C19,OFFSET(quests!$A$1,0,0,COUNTA(quests!$A:$A),MATCH(E$2,quests!$1:$1,0)-MATCH($C$2,quests!$1:$1,0)+1),MATCH(E$2,quests!$1:$1,0)-MATCH($C$2,quests!$1:$1,0)+1,FALSE)</f>
        <v>黄DL1</v>
      </c>
      <c r="F19" s="7">
        <v>3</v>
      </c>
      <c r="G19" s="7" t="s">
        <v>570</v>
      </c>
      <c r="H19" s="69" t="s">
        <v>289</v>
      </c>
      <c r="I19" s="12"/>
      <c r="J19" s="12" t="s">
        <v>279</v>
      </c>
      <c r="K19" s="167">
        <v>6</v>
      </c>
      <c r="L19" s="167">
        <v>260</v>
      </c>
      <c r="M19" s="167">
        <v>1</v>
      </c>
      <c r="N19" s="167">
        <v>1</v>
      </c>
      <c r="O19" s="167">
        <v>1</v>
      </c>
      <c r="P19" s="167">
        <v>1</v>
      </c>
      <c r="Q19" s="167">
        <v>1</v>
      </c>
      <c r="R19" s="167">
        <v>3</v>
      </c>
      <c r="S19" s="167" t="s">
        <v>79</v>
      </c>
      <c r="T19" s="167">
        <v>0</v>
      </c>
      <c r="U19" s="7">
        <v>4</v>
      </c>
      <c r="V19" s="7">
        <v>2</v>
      </c>
      <c r="W19" s="47" t="str">
        <f t="shared" ca="1" si="1"/>
        <v>4-2. 振りかざされる木槌</v>
      </c>
      <c r="X19" s="47">
        <f ca="1">VLOOKUP($C19,OFFSET(quests!$A$1,0,0,COUNTA(quests!$A:$A),MATCH(X$2,quests!$1:$1,0)-MATCH($C$2,quests!$1:$1,0)+1),MATCH(X$2,quests!$1:$1,0)-MATCH($C$2,quests!$1:$1,0)+1,FALSE)</f>
        <v>0</v>
      </c>
      <c r="Y19" s="47">
        <f ca="1">VLOOKUP($C19,OFFSET(quests!$A$1,0,0,COUNTA(quests!$A:$A),MATCH(Y$2,quests!$1:$1,0)-MATCH($C$2,quests!$1:$1,0)+1),MATCH(Y$2,quests!$1:$1,0)-MATCH($C$2,quests!$1:$1,0)+1,FALSE)</f>
        <v>0</v>
      </c>
      <c r="Z19" s="47">
        <f ca="1">VLOOKUP($C19,OFFSET(quests!$A$1,0,0,COUNTA(quests!$A:$A),MATCH(Z$2,quests!$1:$1,0)-MATCH($C$2,quests!$1:$1,0)+1),MATCH(Z$2,quests!$1:$1,0)-MATCH($C$2,quests!$1:$1,0)+1,FALSE)</f>
        <v>0</v>
      </c>
      <c r="AA19" s="47">
        <f ca="1">VLOOKUP($C19,OFFSET(quests!$A$1,0,0,COUNTA(quests!$A:$A),MATCH(AA$2,quests!$1:$1,0)-MATCH($C$2,quests!$1:$1,0)+1),MATCH(AA$2,quests!$1:$1,0)-MATCH($C$2,quests!$1:$1,0)+1,FALSE)</f>
        <v>1</v>
      </c>
      <c r="AB19" s="7" t="s">
        <v>56</v>
      </c>
      <c r="AC19" s="7">
        <v>4</v>
      </c>
      <c r="AD19" s="7">
        <v>6</v>
      </c>
      <c r="AE19" s="7" t="s">
        <v>519</v>
      </c>
      <c r="AF19" s="33">
        <v>3</v>
      </c>
      <c r="AG19" s="7">
        <v>0</v>
      </c>
      <c r="AH19" s="7">
        <v>0</v>
      </c>
      <c r="AI19" s="7">
        <v>-1</v>
      </c>
      <c r="AJ19" s="7">
        <v>-1</v>
      </c>
      <c r="AK19" s="7" t="s">
        <v>1064</v>
      </c>
      <c r="AL19" s="12" t="s">
        <v>1695</v>
      </c>
      <c r="AM19" s="12" t="s">
        <v>2072</v>
      </c>
    </row>
    <row r="20" spans="1:39" ht="21" customHeight="1" x14ac:dyDescent="0.15">
      <c r="A20" s="42" t="str">
        <f t="shared" si="0"/>
        <v>4_4</v>
      </c>
      <c r="B20" s="23">
        <v>3</v>
      </c>
      <c r="C20" s="10">
        <v>4</v>
      </c>
      <c r="D20" s="47" t="str">
        <f ca="1">VLOOKUP($C20,OFFSET(quests!$A$1,0,0,COUNTA(quests!$A:$A),MATCH(D$1,quests!$1:$1,0)-MATCH($C$2,quests!$1:$1,0)+1),MATCH(D$1,quests!$1:$1,0)-MATCH($C$2,quests!$1:$1,0)+1,FALSE)</f>
        <v>4．イエロープラント</v>
      </c>
      <c r="E20" s="48" t="str">
        <f ca="1">VLOOKUP($C20,OFFSET(quests!$A$1,0,0,COUNTA(quests!$A:$A),MATCH(E$2,quests!$1:$1,0)-MATCH($C$2,quests!$1:$1,0)+1),MATCH(E$2,quests!$1:$1,0)-MATCH($C$2,quests!$1:$1,0)+1,FALSE)</f>
        <v>黄DL1</v>
      </c>
      <c r="F20" s="7">
        <v>4</v>
      </c>
      <c r="G20" s="7" t="s">
        <v>570</v>
      </c>
      <c r="H20" s="69" t="s">
        <v>866</v>
      </c>
      <c r="I20" s="12" t="s">
        <v>164</v>
      </c>
      <c r="J20" s="12">
        <v>339</v>
      </c>
      <c r="K20" s="167">
        <v>1</v>
      </c>
      <c r="L20" s="167">
        <v>1</v>
      </c>
      <c r="M20" s="167">
        <v>1</v>
      </c>
      <c r="N20" s="167">
        <v>1</v>
      </c>
      <c r="O20" s="167">
        <v>1</v>
      </c>
      <c r="P20" s="167">
        <v>1</v>
      </c>
      <c r="Q20" s="167">
        <v>1</v>
      </c>
      <c r="R20" s="167">
        <v>3</v>
      </c>
      <c r="S20" s="167" t="s">
        <v>273</v>
      </c>
      <c r="T20" s="191" t="s">
        <v>2153</v>
      </c>
      <c r="U20" s="7">
        <v>4</v>
      </c>
      <c r="V20" s="7">
        <v>3</v>
      </c>
      <c r="W20" s="47" t="str">
        <f t="shared" ca="1" si="1"/>
        <v>4-3. 晩夏の狐</v>
      </c>
      <c r="X20" s="47">
        <f ca="1">VLOOKUP($C20,OFFSET(quests!$A$1,0,0,COUNTA(quests!$A:$A),MATCH(X$2,quests!$1:$1,0)-MATCH($C$2,quests!$1:$1,0)+1),MATCH(X$2,quests!$1:$1,0)-MATCH($C$2,quests!$1:$1,0)+1,FALSE)</f>
        <v>0</v>
      </c>
      <c r="Y20" s="47">
        <f ca="1">VLOOKUP($C20,OFFSET(quests!$A$1,0,0,COUNTA(quests!$A:$A),MATCH(Y$2,quests!$1:$1,0)-MATCH($C$2,quests!$1:$1,0)+1),MATCH(Y$2,quests!$1:$1,0)-MATCH($C$2,quests!$1:$1,0)+1,FALSE)</f>
        <v>0</v>
      </c>
      <c r="Z20" s="47">
        <f ca="1">VLOOKUP($C20,OFFSET(quests!$A$1,0,0,COUNTA(quests!$A:$A),MATCH(Z$2,quests!$1:$1,0)-MATCH($C$2,quests!$1:$1,0)+1),MATCH(Z$2,quests!$1:$1,0)-MATCH($C$2,quests!$1:$1,0)+1,FALSE)</f>
        <v>0</v>
      </c>
      <c r="AA20" s="47">
        <f ca="1">VLOOKUP($C20,OFFSET(quests!$A$1,0,0,COUNTA(quests!$A:$A),MATCH(AA$2,quests!$1:$1,0)-MATCH($C$2,quests!$1:$1,0)+1),MATCH(AA$2,quests!$1:$1,0)-MATCH($C$2,quests!$1:$1,0)+1,FALSE)</f>
        <v>1</v>
      </c>
      <c r="AB20" s="7" t="s">
        <v>62</v>
      </c>
      <c r="AC20" s="7">
        <v>4</v>
      </c>
      <c r="AD20" s="7">
        <v>6</v>
      </c>
      <c r="AE20" s="7" t="s">
        <v>522</v>
      </c>
      <c r="AF20" s="7">
        <v>1</v>
      </c>
      <c r="AG20" s="7">
        <v>0</v>
      </c>
      <c r="AH20" s="7">
        <v>0</v>
      </c>
      <c r="AI20" s="7">
        <v>-1</v>
      </c>
      <c r="AJ20" s="7">
        <v>-1</v>
      </c>
      <c r="AK20" s="7" t="s">
        <v>1064</v>
      </c>
      <c r="AL20" s="12" t="s">
        <v>1695</v>
      </c>
      <c r="AM20" s="12" t="s">
        <v>2072</v>
      </c>
    </row>
    <row r="21" spans="1:39" ht="21" customHeight="1" x14ac:dyDescent="0.15">
      <c r="A21" s="42" t="str">
        <f t="shared" si="0"/>
        <v>5_1</v>
      </c>
      <c r="B21" s="23">
        <v>3</v>
      </c>
      <c r="C21" s="10">
        <v>5</v>
      </c>
      <c r="D21" s="47" t="str">
        <f ca="1">VLOOKUP($C21,OFFSET(quests!$A$1,0,0,COUNTA(quests!$A:$A),MATCH(D$1,quests!$1:$1,0)-MATCH($C$2,quests!$1:$1,0)+1),MATCH(D$1,quests!$1:$1,0)-MATCH($C$2,quests!$1:$1,0)+1,FALSE)</f>
        <v>5．ウォーターランド</v>
      </c>
      <c r="E21" s="48" t="str">
        <f ca="1">VLOOKUP($C21,OFFSET(quests!$A$1,0,0,COUNTA(quests!$A:$A),MATCH(E$2,quests!$1:$1,0)-MATCH($C$2,quests!$1:$1,0)+1),MATCH(E$2,quests!$1:$1,0)-MATCH($C$2,quests!$1:$1,0)+1,FALSE)</f>
        <v>青DL1</v>
      </c>
      <c r="F21" s="7">
        <v>1</v>
      </c>
      <c r="G21" s="7" t="s">
        <v>570</v>
      </c>
      <c r="H21" s="69" t="s">
        <v>290</v>
      </c>
      <c r="I21" s="12"/>
      <c r="J21" s="12" t="s">
        <v>279</v>
      </c>
      <c r="K21" s="167">
        <v>5</v>
      </c>
      <c r="L21" s="167">
        <v>240</v>
      </c>
      <c r="M21" s="167">
        <v>1</v>
      </c>
      <c r="N21" s="167">
        <v>1</v>
      </c>
      <c r="O21" s="167">
        <v>1</v>
      </c>
      <c r="P21" s="167">
        <v>1</v>
      </c>
      <c r="Q21" s="167">
        <v>1</v>
      </c>
      <c r="R21" s="167">
        <v>3</v>
      </c>
      <c r="S21" s="167" t="s">
        <v>79</v>
      </c>
      <c r="T21" s="167">
        <v>0</v>
      </c>
      <c r="U21" s="7">
        <v>4</v>
      </c>
      <c r="V21" s="7">
        <v>4</v>
      </c>
      <c r="W21" s="47" t="str">
        <f t="shared" ca="1" si="1"/>
        <v>4-4. 【1回のみ】ボーナスステージ</v>
      </c>
      <c r="X21" s="47">
        <f ca="1">VLOOKUP($C21,OFFSET(quests!$A$1,0,0,COUNTA(quests!$A:$A),MATCH(X$2,quests!$1:$1,0)-MATCH($C$2,quests!$1:$1,0)+1),MATCH(X$2,quests!$1:$1,0)-MATCH($C$2,quests!$1:$1,0)+1,FALSE)</f>
        <v>0</v>
      </c>
      <c r="Y21" s="47">
        <f ca="1">VLOOKUP($C21,OFFSET(quests!$A$1,0,0,COUNTA(quests!$A:$A),MATCH(Y$2,quests!$1:$1,0)-MATCH($C$2,quests!$1:$1,0)+1),MATCH(Y$2,quests!$1:$1,0)-MATCH($C$2,quests!$1:$1,0)+1,FALSE)</f>
        <v>1</v>
      </c>
      <c r="Z21" s="47">
        <f ca="1">VLOOKUP($C21,OFFSET(quests!$A$1,0,0,COUNTA(quests!$A:$A),MATCH(Z$2,quests!$1:$1,0)-MATCH($C$2,quests!$1:$1,0)+1),MATCH(Z$2,quests!$1:$1,0)-MATCH($C$2,quests!$1:$1,0)+1,FALSE)</f>
        <v>0</v>
      </c>
      <c r="AA21" s="47">
        <f ca="1">VLOOKUP($C21,OFFSET(quests!$A$1,0,0,COUNTA(quests!$A:$A),MATCH(AA$2,quests!$1:$1,0)-MATCH($C$2,quests!$1:$1,0)+1),MATCH(AA$2,quests!$1:$1,0)-MATCH($C$2,quests!$1:$1,0)+1,FALSE)</f>
        <v>0</v>
      </c>
      <c r="AB21" s="7" t="s">
        <v>56</v>
      </c>
      <c r="AC21" s="7">
        <v>5</v>
      </c>
      <c r="AD21" s="7">
        <v>6</v>
      </c>
      <c r="AE21" s="7" t="s">
        <v>519</v>
      </c>
      <c r="AF21" s="7">
        <v>0</v>
      </c>
      <c r="AG21" s="7">
        <v>0</v>
      </c>
      <c r="AH21" s="7">
        <v>0</v>
      </c>
      <c r="AI21" s="7">
        <v>-1</v>
      </c>
      <c r="AJ21" s="7">
        <v>-1</v>
      </c>
      <c r="AK21" s="7" t="s">
        <v>1064</v>
      </c>
      <c r="AL21" s="12" t="s">
        <v>1695</v>
      </c>
      <c r="AM21" s="12" t="s">
        <v>2072</v>
      </c>
    </row>
    <row r="22" spans="1:39" ht="21" customHeight="1" x14ac:dyDescent="0.15">
      <c r="A22" s="42" t="str">
        <f t="shared" si="0"/>
        <v>5_2</v>
      </c>
      <c r="B22" s="23">
        <v>3</v>
      </c>
      <c r="C22" s="10">
        <v>5</v>
      </c>
      <c r="D22" s="47" t="str">
        <f ca="1">VLOOKUP($C22,OFFSET(quests!$A$1,0,0,COUNTA(quests!$A:$A),MATCH(D$1,quests!$1:$1,0)-MATCH($C$2,quests!$1:$1,0)+1),MATCH(D$1,quests!$1:$1,0)-MATCH($C$2,quests!$1:$1,0)+1,FALSE)</f>
        <v>5．ウォーターランド</v>
      </c>
      <c r="E22" s="48" t="str">
        <f ca="1">VLOOKUP($C22,OFFSET(quests!$A$1,0,0,COUNTA(quests!$A:$A),MATCH(E$2,quests!$1:$1,0)-MATCH($C$2,quests!$1:$1,0)+1),MATCH(E$2,quests!$1:$1,0)-MATCH($C$2,quests!$1:$1,0)+1,FALSE)</f>
        <v>青DL1</v>
      </c>
      <c r="F22" s="7">
        <v>2</v>
      </c>
      <c r="G22" s="7" t="s">
        <v>570</v>
      </c>
      <c r="H22" s="69" t="s">
        <v>291</v>
      </c>
      <c r="I22" s="12"/>
      <c r="J22" s="12" t="s">
        <v>279</v>
      </c>
      <c r="K22" s="167">
        <v>6</v>
      </c>
      <c r="L22" s="167">
        <v>280</v>
      </c>
      <c r="M22" s="167">
        <v>1</v>
      </c>
      <c r="N22" s="167">
        <v>1</v>
      </c>
      <c r="O22" s="167">
        <v>1</v>
      </c>
      <c r="P22" s="167">
        <v>1</v>
      </c>
      <c r="Q22" s="167">
        <v>1</v>
      </c>
      <c r="R22" s="167">
        <v>3</v>
      </c>
      <c r="S22" s="167" t="s">
        <v>79</v>
      </c>
      <c r="T22" s="167">
        <v>0</v>
      </c>
      <c r="U22" s="7">
        <v>5</v>
      </c>
      <c r="V22" s="7">
        <v>1</v>
      </c>
      <c r="W22" s="47" t="str">
        <f t="shared" ca="1" si="1"/>
        <v>5-1. 水面を凍らす咆哮</v>
      </c>
      <c r="X22" s="47">
        <f ca="1">VLOOKUP($C22,OFFSET(quests!$A$1,0,0,COUNTA(quests!$A:$A),MATCH(X$2,quests!$1:$1,0)-MATCH($C$2,quests!$1:$1,0)+1),MATCH(X$2,quests!$1:$1,0)-MATCH($C$2,quests!$1:$1,0)+1,FALSE)</f>
        <v>0</v>
      </c>
      <c r="Y22" s="47">
        <f ca="1">VLOOKUP($C22,OFFSET(quests!$A$1,0,0,COUNTA(quests!$A:$A),MATCH(Y$2,quests!$1:$1,0)-MATCH($C$2,quests!$1:$1,0)+1),MATCH(Y$2,quests!$1:$1,0)-MATCH($C$2,quests!$1:$1,0)+1,FALSE)</f>
        <v>1</v>
      </c>
      <c r="Z22" s="47">
        <f ca="1">VLOOKUP($C22,OFFSET(quests!$A$1,0,0,COUNTA(quests!$A:$A),MATCH(Z$2,quests!$1:$1,0)-MATCH($C$2,quests!$1:$1,0)+1),MATCH(Z$2,quests!$1:$1,0)-MATCH($C$2,quests!$1:$1,0)+1,FALSE)</f>
        <v>0</v>
      </c>
      <c r="AA22" s="47">
        <f ca="1">VLOOKUP($C22,OFFSET(quests!$A$1,0,0,COUNTA(quests!$A:$A),MATCH(AA$2,quests!$1:$1,0)-MATCH($C$2,quests!$1:$1,0)+1),MATCH(AA$2,quests!$1:$1,0)-MATCH($C$2,quests!$1:$1,0)+1,FALSE)</f>
        <v>0</v>
      </c>
      <c r="AB22" s="7" t="s">
        <v>56</v>
      </c>
      <c r="AC22" s="7">
        <v>5</v>
      </c>
      <c r="AD22" s="7">
        <v>6</v>
      </c>
      <c r="AE22" s="7" t="s">
        <v>519</v>
      </c>
      <c r="AF22" s="7">
        <v>0</v>
      </c>
      <c r="AG22" s="7">
        <v>0</v>
      </c>
      <c r="AH22" s="7">
        <v>0</v>
      </c>
      <c r="AI22" s="7">
        <v>-1</v>
      </c>
      <c r="AJ22" s="7">
        <v>-1</v>
      </c>
      <c r="AK22" s="7" t="s">
        <v>1064</v>
      </c>
      <c r="AL22" s="12" t="s">
        <v>1695</v>
      </c>
      <c r="AM22" s="12" t="s">
        <v>2072</v>
      </c>
    </row>
    <row r="23" spans="1:39" ht="21" customHeight="1" x14ac:dyDescent="0.15">
      <c r="A23" s="42" t="str">
        <f t="shared" si="0"/>
        <v>5_3</v>
      </c>
      <c r="B23" s="23">
        <v>3</v>
      </c>
      <c r="C23" s="10">
        <v>5</v>
      </c>
      <c r="D23" s="47" t="str">
        <f ca="1">VLOOKUP($C23,OFFSET(quests!$A$1,0,0,COUNTA(quests!$A:$A),MATCH(D$1,quests!$1:$1,0)-MATCH($C$2,quests!$1:$1,0)+1),MATCH(D$1,quests!$1:$1,0)-MATCH($C$2,quests!$1:$1,0)+1,FALSE)</f>
        <v>5．ウォーターランド</v>
      </c>
      <c r="E23" s="48" t="str">
        <f ca="1">VLOOKUP($C23,OFFSET(quests!$A$1,0,0,COUNTA(quests!$A:$A),MATCH(E$2,quests!$1:$1,0)-MATCH($C$2,quests!$1:$1,0)+1),MATCH(E$2,quests!$1:$1,0)-MATCH($C$2,quests!$1:$1,0)+1,FALSE)</f>
        <v>青DL1</v>
      </c>
      <c r="F23" s="7">
        <v>3</v>
      </c>
      <c r="G23" s="7" t="s">
        <v>570</v>
      </c>
      <c r="H23" s="69" t="s">
        <v>292</v>
      </c>
      <c r="I23" s="12"/>
      <c r="J23" s="12" t="s">
        <v>279</v>
      </c>
      <c r="K23" s="167">
        <v>7</v>
      </c>
      <c r="L23" s="167">
        <v>320</v>
      </c>
      <c r="M23" s="167">
        <v>1</v>
      </c>
      <c r="N23" s="167">
        <v>1</v>
      </c>
      <c r="O23" s="167">
        <v>1</v>
      </c>
      <c r="P23" s="167">
        <v>1</v>
      </c>
      <c r="Q23" s="167">
        <v>1</v>
      </c>
      <c r="R23" s="167">
        <v>3</v>
      </c>
      <c r="S23" s="167" t="s">
        <v>79</v>
      </c>
      <c r="T23" s="167">
        <v>0</v>
      </c>
      <c r="U23" s="7">
        <v>5</v>
      </c>
      <c r="V23" s="7">
        <v>2</v>
      </c>
      <c r="W23" s="47" t="str">
        <f t="shared" ca="1" si="1"/>
        <v>5-2. 波をさばく剣豪</v>
      </c>
      <c r="X23" s="47">
        <f ca="1">VLOOKUP($C23,OFFSET(quests!$A$1,0,0,COUNTA(quests!$A:$A),MATCH(X$2,quests!$1:$1,0)-MATCH($C$2,quests!$1:$1,0)+1),MATCH(X$2,quests!$1:$1,0)-MATCH($C$2,quests!$1:$1,0)+1,FALSE)</f>
        <v>0</v>
      </c>
      <c r="Y23" s="47">
        <f ca="1">VLOOKUP($C23,OFFSET(quests!$A$1,0,0,COUNTA(quests!$A:$A),MATCH(Y$2,quests!$1:$1,0)-MATCH($C$2,quests!$1:$1,0)+1),MATCH(Y$2,quests!$1:$1,0)-MATCH($C$2,quests!$1:$1,0)+1,FALSE)</f>
        <v>1</v>
      </c>
      <c r="Z23" s="47">
        <f ca="1">VLOOKUP($C23,OFFSET(quests!$A$1,0,0,COUNTA(quests!$A:$A),MATCH(Z$2,quests!$1:$1,0)-MATCH($C$2,quests!$1:$1,0)+1),MATCH(Z$2,quests!$1:$1,0)-MATCH($C$2,quests!$1:$1,0)+1,FALSE)</f>
        <v>0</v>
      </c>
      <c r="AA23" s="47">
        <f ca="1">VLOOKUP($C23,OFFSET(quests!$A$1,0,0,COUNTA(quests!$A:$A),MATCH(AA$2,quests!$1:$1,0)-MATCH($C$2,quests!$1:$1,0)+1),MATCH(AA$2,quests!$1:$1,0)-MATCH($C$2,quests!$1:$1,0)+1,FALSE)</f>
        <v>0</v>
      </c>
      <c r="AB23" s="7" t="s">
        <v>56</v>
      </c>
      <c r="AC23" s="7">
        <v>5</v>
      </c>
      <c r="AD23" s="7">
        <v>6</v>
      </c>
      <c r="AE23" s="7" t="s">
        <v>519</v>
      </c>
      <c r="AF23" s="33">
        <v>3</v>
      </c>
      <c r="AG23" s="7">
        <v>0</v>
      </c>
      <c r="AH23" s="7">
        <v>0</v>
      </c>
      <c r="AI23" s="7">
        <v>-1</v>
      </c>
      <c r="AJ23" s="7">
        <v>-1</v>
      </c>
      <c r="AK23" s="7" t="s">
        <v>1064</v>
      </c>
      <c r="AL23" s="12" t="s">
        <v>1695</v>
      </c>
      <c r="AM23" s="12" t="s">
        <v>2072</v>
      </c>
    </row>
    <row r="24" spans="1:39" ht="21" customHeight="1" x14ac:dyDescent="0.15">
      <c r="A24" s="42" t="str">
        <f t="shared" si="0"/>
        <v>5_4</v>
      </c>
      <c r="B24" s="23">
        <v>3</v>
      </c>
      <c r="C24" s="10">
        <v>5</v>
      </c>
      <c r="D24" s="47" t="str">
        <f ca="1">VLOOKUP($C24,OFFSET(quests!$A$1,0,0,COUNTA(quests!$A:$A),MATCH(D$1,quests!$1:$1,0)-MATCH($C$2,quests!$1:$1,0)+1),MATCH(D$1,quests!$1:$1,0)-MATCH($C$2,quests!$1:$1,0)+1,FALSE)</f>
        <v>5．ウォーターランド</v>
      </c>
      <c r="E24" s="48" t="str">
        <f ca="1">VLOOKUP($C24,OFFSET(quests!$A$1,0,0,COUNTA(quests!$A:$A),MATCH(E$2,quests!$1:$1,0)-MATCH($C$2,quests!$1:$1,0)+1),MATCH(E$2,quests!$1:$1,0)-MATCH($C$2,quests!$1:$1,0)+1,FALSE)</f>
        <v>青DL1</v>
      </c>
      <c r="F24" s="7">
        <v>4</v>
      </c>
      <c r="G24" s="7" t="s">
        <v>570</v>
      </c>
      <c r="H24" s="69" t="s">
        <v>867</v>
      </c>
      <c r="I24" s="12" t="s">
        <v>164</v>
      </c>
      <c r="J24" s="12">
        <v>339</v>
      </c>
      <c r="K24" s="167">
        <v>1</v>
      </c>
      <c r="L24" s="167">
        <v>1</v>
      </c>
      <c r="M24" s="167">
        <v>1</v>
      </c>
      <c r="N24" s="167">
        <v>1</v>
      </c>
      <c r="O24" s="167">
        <v>1</v>
      </c>
      <c r="P24" s="167">
        <v>1</v>
      </c>
      <c r="Q24" s="167">
        <v>1</v>
      </c>
      <c r="R24" s="167">
        <v>3</v>
      </c>
      <c r="S24" s="167" t="s">
        <v>273</v>
      </c>
      <c r="T24" s="191" t="s">
        <v>2153</v>
      </c>
      <c r="U24" s="7">
        <v>5</v>
      </c>
      <c r="V24" s="7">
        <v>3</v>
      </c>
      <c r="W24" s="47" t="str">
        <f t="shared" ca="1" si="1"/>
        <v>5-3. 水天一碧の凪刀</v>
      </c>
      <c r="X24" s="47">
        <f ca="1">VLOOKUP($C24,OFFSET(quests!$A$1,0,0,COUNTA(quests!$A:$A),MATCH(X$2,quests!$1:$1,0)-MATCH($C$2,quests!$1:$1,0)+1),MATCH(X$2,quests!$1:$1,0)-MATCH($C$2,quests!$1:$1,0)+1,FALSE)</f>
        <v>0</v>
      </c>
      <c r="Y24" s="47">
        <f ca="1">VLOOKUP($C24,OFFSET(quests!$A$1,0,0,COUNTA(quests!$A:$A),MATCH(Y$2,quests!$1:$1,0)-MATCH($C$2,quests!$1:$1,0)+1),MATCH(Y$2,quests!$1:$1,0)-MATCH($C$2,quests!$1:$1,0)+1,FALSE)</f>
        <v>1</v>
      </c>
      <c r="Z24" s="47">
        <f ca="1">VLOOKUP($C24,OFFSET(quests!$A$1,0,0,COUNTA(quests!$A:$A),MATCH(Z$2,quests!$1:$1,0)-MATCH($C$2,quests!$1:$1,0)+1),MATCH(Z$2,quests!$1:$1,0)-MATCH($C$2,quests!$1:$1,0)+1,FALSE)</f>
        <v>0</v>
      </c>
      <c r="AA24" s="47">
        <f ca="1">VLOOKUP($C24,OFFSET(quests!$A$1,0,0,COUNTA(quests!$A:$A),MATCH(AA$2,quests!$1:$1,0)-MATCH($C$2,quests!$1:$1,0)+1),MATCH(AA$2,quests!$1:$1,0)-MATCH($C$2,quests!$1:$1,0)+1,FALSE)</f>
        <v>0</v>
      </c>
      <c r="AB24" s="7" t="s">
        <v>62</v>
      </c>
      <c r="AC24" s="7">
        <v>5</v>
      </c>
      <c r="AD24" s="7">
        <v>6</v>
      </c>
      <c r="AE24" s="7" t="s">
        <v>522</v>
      </c>
      <c r="AF24" s="7">
        <v>1</v>
      </c>
      <c r="AG24" s="7">
        <v>0</v>
      </c>
      <c r="AH24" s="7">
        <v>0</v>
      </c>
      <c r="AI24" s="7">
        <v>-1</v>
      </c>
      <c r="AJ24" s="7">
        <v>-1</v>
      </c>
      <c r="AK24" s="7" t="s">
        <v>1064</v>
      </c>
      <c r="AL24" s="12" t="s">
        <v>1695</v>
      </c>
      <c r="AM24" s="12" t="s">
        <v>2072</v>
      </c>
    </row>
    <row r="25" spans="1:39" ht="21" customHeight="1" x14ac:dyDescent="0.15">
      <c r="A25" s="42" t="str">
        <f t="shared" si="0"/>
        <v>6_1</v>
      </c>
      <c r="B25" s="23">
        <v>3</v>
      </c>
      <c r="C25" s="10">
        <v>6</v>
      </c>
      <c r="D25" s="47" t="str">
        <f ca="1">VLOOKUP($C25,OFFSET(quests!$A$1,0,0,COUNTA(quests!$A:$A),MATCH(D$1,quests!$1:$1,0)-MATCH($C$2,quests!$1:$1,0)+1),MATCH(D$1,quests!$1:$1,0)-MATCH($C$2,quests!$1:$1,0)+1,FALSE)</f>
        <v>6．ドリームパーク</v>
      </c>
      <c r="E25" s="48" t="str">
        <f ca="1">VLOOKUP($C25,OFFSET(quests!$A$1,0,0,COUNTA(quests!$A:$A),MATCH(E$2,quests!$1:$1,0)-MATCH($C$2,quests!$1:$1,0)+1),MATCH(E$2,quests!$1:$1,0)-MATCH($C$2,quests!$1:$1,0)+1,FALSE)</f>
        <v>混色DL1</v>
      </c>
      <c r="F25" s="7">
        <v>1</v>
      </c>
      <c r="G25" s="7" t="s">
        <v>570</v>
      </c>
      <c r="H25" s="70" t="s">
        <v>293</v>
      </c>
      <c r="I25" s="12"/>
      <c r="J25" s="12" t="s">
        <v>279</v>
      </c>
      <c r="K25" s="167">
        <v>8</v>
      </c>
      <c r="L25" s="167">
        <v>360</v>
      </c>
      <c r="M25" s="167">
        <v>1</v>
      </c>
      <c r="N25" s="167">
        <v>1</v>
      </c>
      <c r="O25" s="167">
        <v>1</v>
      </c>
      <c r="P25" s="167">
        <v>1</v>
      </c>
      <c r="Q25" s="167">
        <v>1</v>
      </c>
      <c r="R25" s="167">
        <v>3</v>
      </c>
      <c r="S25" s="167" t="s">
        <v>79</v>
      </c>
      <c r="T25" s="167">
        <v>0</v>
      </c>
      <c r="U25" s="7">
        <v>5</v>
      </c>
      <c r="V25" s="7">
        <v>4</v>
      </c>
      <c r="W25" s="47" t="str">
        <f t="shared" ca="1" si="1"/>
        <v>5-4. 【1回のみ】ボーナスステージ</v>
      </c>
      <c r="X25" s="47">
        <f ca="1">VLOOKUP($C25,OFFSET(quests!$A$1,0,0,COUNTA(quests!$A:$A),MATCH(X$2,quests!$1:$1,0)-MATCH($C$2,quests!$1:$1,0)+1),MATCH(X$2,quests!$1:$1,0)-MATCH($C$2,quests!$1:$1,0)+1,FALSE)</f>
        <v>1</v>
      </c>
      <c r="Y25" s="47">
        <f ca="1">VLOOKUP($C25,OFFSET(quests!$A$1,0,0,COUNTA(quests!$A:$A),MATCH(Y$2,quests!$1:$1,0)-MATCH($C$2,quests!$1:$1,0)+1),MATCH(Y$2,quests!$1:$1,0)-MATCH($C$2,quests!$1:$1,0)+1,FALSE)</f>
        <v>1</v>
      </c>
      <c r="Z25" s="47">
        <f ca="1">VLOOKUP($C25,OFFSET(quests!$A$1,0,0,COUNTA(quests!$A:$A),MATCH(Z$2,quests!$1:$1,0)-MATCH($C$2,quests!$1:$1,0)+1),MATCH(Z$2,quests!$1:$1,0)-MATCH($C$2,quests!$1:$1,0)+1,FALSE)</f>
        <v>1</v>
      </c>
      <c r="AA25" s="47">
        <f ca="1">VLOOKUP($C25,OFFSET(quests!$A$1,0,0,COUNTA(quests!$A:$A),MATCH(AA$2,quests!$1:$1,0)-MATCH($C$2,quests!$1:$1,0)+1),MATCH(AA$2,quests!$1:$1,0)-MATCH($C$2,quests!$1:$1,0)+1,FALSE)</f>
        <v>1</v>
      </c>
      <c r="AB25" s="7" t="s">
        <v>56</v>
      </c>
      <c r="AC25" s="7">
        <v>6</v>
      </c>
      <c r="AD25" s="7">
        <v>6</v>
      </c>
      <c r="AE25" s="7" t="s">
        <v>519</v>
      </c>
      <c r="AF25" s="7">
        <v>0</v>
      </c>
      <c r="AG25" s="7">
        <v>0</v>
      </c>
      <c r="AH25" s="7">
        <v>0</v>
      </c>
      <c r="AI25" s="7">
        <v>-1</v>
      </c>
      <c r="AJ25" s="7">
        <v>-1</v>
      </c>
      <c r="AK25" s="7" t="s">
        <v>1064</v>
      </c>
      <c r="AL25" s="12" t="s">
        <v>1695</v>
      </c>
      <c r="AM25" s="12" t="s">
        <v>2072</v>
      </c>
    </row>
    <row r="26" spans="1:39" ht="21" customHeight="1" x14ac:dyDescent="0.15">
      <c r="A26" s="42" t="str">
        <f t="shared" si="0"/>
        <v>6_2</v>
      </c>
      <c r="B26" s="23">
        <v>3</v>
      </c>
      <c r="C26" s="10">
        <v>6</v>
      </c>
      <c r="D26" s="47" t="str">
        <f ca="1">VLOOKUP($C26,OFFSET(quests!$A$1,0,0,COUNTA(quests!$A:$A),MATCH(D$1,quests!$1:$1,0)-MATCH($C$2,quests!$1:$1,0)+1),MATCH(D$1,quests!$1:$1,0)-MATCH($C$2,quests!$1:$1,0)+1,FALSE)</f>
        <v>6．ドリームパーク</v>
      </c>
      <c r="E26" s="48" t="str">
        <f ca="1">VLOOKUP($C26,OFFSET(quests!$A$1,0,0,COUNTA(quests!$A:$A),MATCH(E$2,quests!$1:$1,0)-MATCH($C$2,quests!$1:$1,0)+1),MATCH(E$2,quests!$1:$1,0)-MATCH($C$2,quests!$1:$1,0)+1,FALSE)</f>
        <v>混色DL1</v>
      </c>
      <c r="F26" s="7">
        <v>2</v>
      </c>
      <c r="G26" s="7" t="s">
        <v>570</v>
      </c>
      <c r="H26" s="70" t="s">
        <v>294</v>
      </c>
      <c r="I26" s="12"/>
      <c r="J26" s="12" t="s">
        <v>279</v>
      </c>
      <c r="K26" s="167">
        <v>8</v>
      </c>
      <c r="L26" s="167">
        <v>410</v>
      </c>
      <c r="M26" s="167">
        <v>1</v>
      </c>
      <c r="N26" s="167">
        <v>1</v>
      </c>
      <c r="O26" s="167">
        <v>1</v>
      </c>
      <c r="P26" s="167">
        <v>1</v>
      </c>
      <c r="Q26" s="167">
        <v>1</v>
      </c>
      <c r="R26" s="167">
        <v>3</v>
      </c>
      <c r="S26" s="167" t="s">
        <v>79</v>
      </c>
      <c r="T26" s="167">
        <v>0</v>
      </c>
      <c r="U26" s="7">
        <v>6</v>
      </c>
      <c r="V26" s="7">
        <v>1</v>
      </c>
      <c r="W26" s="47" t="str">
        <f t="shared" ca="1" si="1"/>
        <v>6-1. 虚構の国</v>
      </c>
      <c r="X26" s="47">
        <f ca="1">VLOOKUP($C26,OFFSET(quests!$A$1,0,0,COUNTA(quests!$A:$A),MATCH(X$2,quests!$1:$1,0)-MATCH($C$2,quests!$1:$1,0)+1),MATCH(X$2,quests!$1:$1,0)-MATCH($C$2,quests!$1:$1,0)+1,FALSE)</f>
        <v>1</v>
      </c>
      <c r="Y26" s="47">
        <f ca="1">VLOOKUP($C26,OFFSET(quests!$A$1,0,0,COUNTA(quests!$A:$A),MATCH(Y$2,quests!$1:$1,0)-MATCH($C$2,quests!$1:$1,0)+1),MATCH(Y$2,quests!$1:$1,0)-MATCH($C$2,quests!$1:$1,0)+1,FALSE)</f>
        <v>1</v>
      </c>
      <c r="Z26" s="47">
        <f ca="1">VLOOKUP($C26,OFFSET(quests!$A$1,0,0,COUNTA(quests!$A:$A),MATCH(Z$2,quests!$1:$1,0)-MATCH($C$2,quests!$1:$1,0)+1),MATCH(Z$2,quests!$1:$1,0)-MATCH($C$2,quests!$1:$1,0)+1,FALSE)</f>
        <v>1</v>
      </c>
      <c r="AA26" s="47">
        <f ca="1">VLOOKUP($C26,OFFSET(quests!$A$1,0,0,COUNTA(quests!$A:$A),MATCH(AA$2,quests!$1:$1,0)-MATCH($C$2,quests!$1:$1,0)+1),MATCH(AA$2,quests!$1:$1,0)-MATCH($C$2,quests!$1:$1,0)+1,FALSE)</f>
        <v>1</v>
      </c>
      <c r="AB26" s="7" t="s">
        <v>56</v>
      </c>
      <c r="AC26" s="7">
        <v>6</v>
      </c>
      <c r="AD26" s="7">
        <v>6</v>
      </c>
      <c r="AE26" s="7" t="s">
        <v>519</v>
      </c>
      <c r="AF26" s="7">
        <v>0</v>
      </c>
      <c r="AG26" s="7">
        <v>0</v>
      </c>
      <c r="AH26" s="7">
        <v>0</v>
      </c>
      <c r="AI26" s="7">
        <v>-1</v>
      </c>
      <c r="AJ26" s="7">
        <v>-1</v>
      </c>
      <c r="AK26" s="7" t="s">
        <v>1064</v>
      </c>
      <c r="AL26" s="12" t="s">
        <v>1695</v>
      </c>
      <c r="AM26" s="12" t="s">
        <v>2072</v>
      </c>
    </row>
    <row r="27" spans="1:39" ht="21" customHeight="1" x14ac:dyDescent="0.15">
      <c r="A27" s="42" t="str">
        <f t="shared" si="0"/>
        <v>6_3</v>
      </c>
      <c r="B27" s="23">
        <v>3</v>
      </c>
      <c r="C27" s="10">
        <v>6</v>
      </c>
      <c r="D27" s="47" t="str">
        <f ca="1">VLOOKUP($C27,OFFSET(quests!$A$1,0,0,COUNTA(quests!$A:$A),MATCH(D$1,quests!$1:$1,0)-MATCH($C$2,quests!$1:$1,0)+1),MATCH(D$1,quests!$1:$1,0)-MATCH($C$2,quests!$1:$1,0)+1,FALSE)</f>
        <v>6．ドリームパーク</v>
      </c>
      <c r="E27" s="48" t="str">
        <f ca="1">VLOOKUP($C27,OFFSET(quests!$A$1,0,0,COUNTA(quests!$A:$A),MATCH(E$2,quests!$1:$1,0)-MATCH($C$2,quests!$1:$1,0)+1),MATCH(E$2,quests!$1:$1,0)-MATCH($C$2,quests!$1:$1,0)+1,FALSE)</f>
        <v>混色DL1</v>
      </c>
      <c r="F27" s="7">
        <v>3</v>
      </c>
      <c r="G27" s="7" t="s">
        <v>570</v>
      </c>
      <c r="H27" s="70" t="s">
        <v>295</v>
      </c>
      <c r="I27" s="12"/>
      <c r="J27" s="12" t="s">
        <v>279</v>
      </c>
      <c r="K27" s="167">
        <v>9</v>
      </c>
      <c r="L27" s="167">
        <v>460</v>
      </c>
      <c r="M27" s="167">
        <v>1</v>
      </c>
      <c r="N27" s="167">
        <v>1</v>
      </c>
      <c r="O27" s="167">
        <v>1</v>
      </c>
      <c r="P27" s="167">
        <v>1</v>
      </c>
      <c r="Q27" s="167">
        <v>1</v>
      </c>
      <c r="R27" s="167">
        <v>3</v>
      </c>
      <c r="S27" s="167" t="s">
        <v>79</v>
      </c>
      <c r="T27" s="167">
        <v>0</v>
      </c>
      <c r="U27" s="7">
        <v>6</v>
      </c>
      <c r="V27" s="7">
        <v>2</v>
      </c>
      <c r="W27" s="47" t="str">
        <f t="shared" ca="1" si="1"/>
        <v>6-2. 夢の国の洗礼</v>
      </c>
      <c r="X27" s="47">
        <f ca="1">VLOOKUP($C27,OFFSET(quests!$A$1,0,0,COUNTA(quests!$A:$A),MATCH(X$2,quests!$1:$1,0)-MATCH($C$2,quests!$1:$1,0)+1),MATCH(X$2,quests!$1:$1,0)-MATCH($C$2,quests!$1:$1,0)+1,FALSE)</f>
        <v>1</v>
      </c>
      <c r="Y27" s="47">
        <f ca="1">VLOOKUP($C27,OFFSET(quests!$A$1,0,0,COUNTA(quests!$A:$A),MATCH(Y$2,quests!$1:$1,0)-MATCH($C$2,quests!$1:$1,0)+1),MATCH(Y$2,quests!$1:$1,0)-MATCH($C$2,quests!$1:$1,0)+1,FALSE)</f>
        <v>1</v>
      </c>
      <c r="Z27" s="47">
        <f ca="1">VLOOKUP($C27,OFFSET(quests!$A$1,0,0,COUNTA(quests!$A:$A),MATCH(Z$2,quests!$1:$1,0)-MATCH($C$2,quests!$1:$1,0)+1),MATCH(Z$2,quests!$1:$1,0)-MATCH($C$2,quests!$1:$1,0)+1,FALSE)</f>
        <v>1</v>
      </c>
      <c r="AA27" s="47">
        <f ca="1">VLOOKUP($C27,OFFSET(quests!$A$1,0,0,COUNTA(quests!$A:$A),MATCH(AA$2,quests!$1:$1,0)-MATCH($C$2,quests!$1:$1,0)+1),MATCH(AA$2,quests!$1:$1,0)-MATCH($C$2,quests!$1:$1,0)+1,FALSE)</f>
        <v>1</v>
      </c>
      <c r="AB27" s="7" t="s">
        <v>56</v>
      </c>
      <c r="AC27" s="7">
        <v>6</v>
      </c>
      <c r="AD27" s="7">
        <v>6</v>
      </c>
      <c r="AE27" s="7" t="s">
        <v>519</v>
      </c>
      <c r="AF27" s="7">
        <v>0</v>
      </c>
      <c r="AG27" s="7">
        <v>0</v>
      </c>
      <c r="AH27" s="7">
        <v>0</v>
      </c>
      <c r="AI27" s="7">
        <v>-1</v>
      </c>
      <c r="AJ27" s="7">
        <v>-1</v>
      </c>
      <c r="AK27" s="7" t="s">
        <v>1064</v>
      </c>
      <c r="AL27" s="12" t="s">
        <v>1695</v>
      </c>
      <c r="AM27" s="12" t="s">
        <v>2072</v>
      </c>
    </row>
    <row r="28" spans="1:39" ht="21" customHeight="1" x14ac:dyDescent="0.15">
      <c r="A28" s="42" t="str">
        <f t="shared" si="0"/>
        <v>6_4</v>
      </c>
      <c r="B28" s="23">
        <v>3</v>
      </c>
      <c r="C28" s="10">
        <v>6</v>
      </c>
      <c r="D28" s="47" t="str">
        <f ca="1">VLOOKUP($C28,OFFSET(quests!$A$1,0,0,COUNTA(quests!$A:$A),MATCH(D$1,quests!$1:$1,0)-MATCH($C$2,quests!$1:$1,0)+1),MATCH(D$1,quests!$1:$1,0)-MATCH($C$2,quests!$1:$1,0)+1,FALSE)</f>
        <v>6．ドリームパーク</v>
      </c>
      <c r="E28" s="48" t="str">
        <f ca="1">VLOOKUP($C28,OFFSET(quests!$A$1,0,0,COUNTA(quests!$A:$A),MATCH(E$2,quests!$1:$1,0)-MATCH($C$2,quests!$1:$1,0)+1),MATCH(E$2,quests!$1:$1,0)-MATCH($C$2,quests!$1:$1,0)+1,FALSE)</f>
        <v>混色DL1</v>
      </c>
      <c r="F28" s="7">
        <v>4</v>
      </c>
      <c r="G28" s="7" t="s">
        <v>570</v>
      </c>
      <c r="H28" s="70" t="s">
        <v>296</v>
      </c>
      <c r="I28" s="12"/>
      <c r="J28" s="12" t="s">
        <v>279</v>
      </c>
      <c r="K28" s="167">
        <v>9</v>
      </c>
      <c r="L28" s="167">
        <v>510</v>
      </c>
      <c r="M28" s="167">
        <v>1</v>
      </c>
      <c r="N28" s="167">
        <v>1</v>
      </c>
      <c r="O28" s="167">
        <v>1</v>
      </c>
      <c r="P28" s="167">
        <v>1</v>
      </c>
      <c r="Q28" s="167">
        <v>1</v>
      </c>
      <c r="R28" s="167">
        <v>3</v>
      </c>
      <c r="S28" s="167" t="s">
        <v>79</v>
      </c>
      <c r="T28" s="167">
        <v>0</v>
      </c>
      <c r="U28" s="7">
        <v>6</v>
      </c>
      <c r="V28" s="7">
        <v>3</v>
      </c>
      <c r="W28" s="47" t="str">
        <f t="shared" ca="1" si="1"/>
        <v>6-3. 正体不明のきぐるみ</v>
      </c>
      <c r="X28" s="47">
        <f ca="1">VLOOKUP($C28,OFFSET(quests!$A$1,0,0,COUNTA(quests!$A:$A),MATCH(X$2,quests!$1:$1,0)-MATCH($C$2,quests!$1:$1,0)+1),MATCH(X$2,quests!$1:$1,0)-MATCH($C$2,quests!$1:$1,0)+1,FALSE)</f>
        <v>1</v>
      </c>
      <c r="Y28" s="47">
        <f ca="1">VLOOKUP($C28,OFFSET(quests!$A$1,0,0,COUNTA(quests!$A:$A),MATCH(Y$2,quests!$1:$1,0)-MATCH($C$2,quests!$1:$1,0)+1),MATCH(Y$2,quests!$1:$1,0)-MATCH($C$2,quests!$1:$1,0)+1,FALSE)</f>
        <v>1</v>
      </c>
      <c r="Z28" s="47">
        <f ca="1">VLOOKUP($C28,OFFSET(quests!$A$1,0,0,COUNTA(quests!$A:$A),MATCH(Z$2,quests!$1:$1,0)-MATCH($C$2,quests!$1:$1,0)+1),MATCH(Z$2,quests!$1:$1,0)-MATCH($C$2,quests!$1:$1,0)+1,FALSE)</f>
        <v>1</v>
      </c>
      <c r="AA28" s="47">
        <f ca="1">VLOOKUP($C28,OFFSET(quests!$A$1,0,0,COUNTA(quests!$A:$A),MATCH(AA$2,quests!$1:$1,0)-MATCH($C$2,quests!$1:$1,0)+1),MATCH(AA$2,quests!$1:$1,0)-MATCH($C$2,quests!$1:$1,0)+1,FALSE)</f>
        <v>1</v>
      </c>
      <c r="AB28" s="7" t="s">
        <v>56</v>
      </c>
      <c r="AC28" s="7">
        <v>6</v>
      </c>
      <c r="AD28" s="7">
        <v>6</v>
      </c>
      <c r="AE28" s="7" t="s">
        <v>519</v>
      </c>
      <c r="AF28" s="7">
        <v>0</v>
      </c>
      <c r="AG28" s="7">
        <v>0</v>
      </c>
      <c r="AH28" s="7">
        <v>0</v>
      </c>
      <c r="AI28" s="7">
        <v>-1</v>
      </c>
      <c r="AJ28" s="7">
        <v>-1</v>
      </c>
      <c r="AK28" s="7" t="s">
        <v>1064</v>
      </c>
      <c r="AL28" s="12" t="s">
        <v>1695</v>
      </c>
      <c r="AM28" s="12" t="s">
        <v>2072</v>
      </c>
    </row>
    <row r="29" spans="1:39" ht="21" customHeight="1" x14ac:dyDescent="0.15">
      <c r="A29" s="42" t="str">
        <f t="shared" si="0"/>
        <v>6_5</v>
      </c>
      <c r="B29" s="23">
        <v>3</v>
      </c>
      <c r="C29" s="10">
        <v>6</v>
      </c>
      <c r="D29" s="47" t="str">
        <f ca="1">VLOOKUP($C29,OFFSET(quests!$A$1,0,0,COUNTA(quests!$A:$A),MATCH(D$1,quests!$1:$1,0)-MATCH($C$2,quests!$1:$1,0)+1),MATCH(D$1,quests!$1:$1,0)-MATCH($C$2,quests!$1:$1,0)+1,FALSE)</f>
        <v>6．ドリームパーク</v>
      </c>
      <c r="E29" s="48" t="str">
        <f ca="1">VLOOKUP($C29,OFFSET(quests!$A$1,0,0,COUNTA(quests!$A:$A),MATCH(E$2,quests!$1:$1,0)-MATCH($C$2,quests!$1:$1,0)+1),MATCH(E$2,quests!$1:$1,0)-MATCH($C$2,quests!$1:$1,0)+1,FALSE)</f>
        <v>混色DL1</v>
      </c>
      <c r="F29" s="7">
        <v>5</v>
      </c>
      <c r="G29" s="7" t="s">
        <v>570</v>
      </c>
      <c r="H29" s="70" t="s">
        <v>297</v>
      </c>
      <c r="I29" s="12"/>
      <c r="J29" s="12" t="s">
        <v>279</v>
      </c>
      <c r="K29" s="167">
        <v>10</v>
      </c>
      <c r="L29" s="167">
        <v>680</v>
      </c>
      <c r="M29" s="167">
        <v>1</v>
      </c>
      <c r="N29" s="167">
        <v>1</v>
      </c>
      <c r="O29" s="167">
        <v>1</v>
      </c>
      <c r="P29" s="167">
        <v>1</v>
      </c>
      <c r="Q29" s="167">
        <v>1</v>
      </c>
      <c r="R29" s="167">
        <v>3</v>
      </c>
      <c r="S29" s="167" t="s">
        <v>79</v>
      </c>
      <c r="T29" s="167">
        <v>0</v>
      </c>
      <c r="U29" s="7">
        <v>6</v>
      </c>
      <c r="V29" s="7">
        <v>4</v>
      </c>
      <c r="W29" s="47" t="str">
        <f t="shared" ca="1" si="1"/>
        <v>6-4. 悪夢へのスイッチ</v>
      </c>
      <c r="X29" s="47">
        <f ca="1">VLOOKUP($C29,OFFSET(quests!$A$1,0,0,COUNTA(quests!$A:$A),MATCH(X$2,quests!$1:$1,0)-MATCH($C$2,quests!$1:$1,0)+1),MATCH(X$2,quests!$1:$1,0)-MATCH($C$2,quests!$1:$1,0)+1,FALSE)</f>
        <v>1</v>
      </c>
      <c r="Y29" s="47">
        <f ca="1">VLOOKUP($C29,OFFSET(quests!$A$1,0,0,COUNTA(quests!$A:$A),MATCH(Y$2,quests!$1:$1,0)-MATCH($C$2,quests!$1:$1,0)+1),MATCH(Y$2,quests!$1:$1,0)-MATCH($C$2,quests!$1:$1,0)+1,FALSE)</f>
        <v>1</v>
      </c>
      <c r="Z29" s="47">
        <f ca="1">VLOOKUP($C29,OFFSET(quests!$A$1,0,0,COUNTA(quests!$A:$A),MATCH(Z$2,quests!$1:$1,0)-MATCH($C$2,quests!$1:$1,0)+1),MATCH(Z$2,quests!$1:$1,0)-MATCH($C$2,quests!$1:$1,0)+1,FALSE)</f>
        <v>1</v>
      </c>
      <c r="AA29" s="47">
        <f ca="1">VLOOKUP($C29,OFFSET(quests!$A$1,0,0,COUNTA(quests!$A:$A),MATCH(AA$2,quests!$1:$1,0)-MATCH($C$2,quests!$1:$1,0)+1),MATCH(AA$2,quests!$1:$1,0)-MATCH($C$2,quests!$1:$1,0)+1,FALSE)</f>
        <v>1</v>
      </c>
      <c r="AB29" s="7" t="s">
        <v>56</v>
      </c>
      <c r="AC29" s="7">
        <v>6</v>
      </c>
      <c r="AD29" s="7">
        <v>6</v>
      </c>
      <c r="AE29" s="7" t="s">
        <v>519</v>
      </c>
      <c r="AF29" s="33">
        <v>3</v>
      </c>
      <c r="AG29" s="7">
        <v>0</v>
      </c>
      <c r="AH29" s="7">
        <v>0</v>
      </c>
      <c r="AI29" s="7">
        <v>-1</v>
      </c>
      <c r="AJ29" s="7">
        <v>-1</v>
      </c>
      <c r="AK29" s="7" t="s">
        <v>1064</v>
      </c>
      <c r="AL29" s="12" t="s">
        <v>1695</v>
      </c>
      <c r="AM29" s="12" t="s">
        <v>2072</v>
      </c>
    </row>
    <row r="30" spans="1:39" ht="21" customHeight="1" x14ac:dyDescent="0.15">
      <c r="A30" s="42" t="str">
        <f t="shared" si="0"/>
        <v>6_6</v>
      </c>
      <c r="B30" s="23">
        <v>3</v>
      </c>
      <c r="C30" s="10">
        <v>6</v>
      </c>
      <c r="D30" s="47" t="str">
        <f ca="1">VLOOKUP($C30,OFFSET(quests!$A$1,0,0,COUNTA(quests!$A:$A),MATCH(D$1,quests!$1:$1,0)-MATCH($C$2,quests!$1:$1,0)+1),MATCH(D$1,quests!$1:$1,0)-MATCH($C$2,quests!$1:$1,0)+1,FALSE)</f>
        <v>6．ドリームパーク</v>
      </c>
      <c r="E30" s="48" t="str">
        <f ca="1">VLOOKUP($C30,OFFSET(quests!$A$1,0,0,COUNTA(quests!$A:$A),MATCH(E$2,quests!$1:$1,0)-MATCH($C$2,quests!$1:$1,0)+1),MATCH(E$2,quests!$1:$1,0)-MATCH($C$2,quests!$1:$1,0)+1,FALSE)</f>
        <v>混色DL1</v>
      </c>
      <c r="F30" s="7">
        <v>6</v>
      </c>
      <c r="G30" s="7" t="s">
        <v>570</v>
      </c>
      <c r="H30" s="69" t="s">
        <v>868</v>
      </c>
      <c r="I30" s="12" t="s">
        <v>164</v>
      </c>
      <c r="J30" s="12">
        <v>335</v>
      </c>
      <c r="K30" s="167">
        <v>1</v>
      </c>
      <c r="L30" s="167">
        <v>1</v>
      </c>
      <c r="M30" s="167">
        <v>1</v>
      </c>
      <c r="N30" s="167">
        <v>1</v>
      </c>
      <c r="O30" s="167">
        <v>1</v>
      </c>
      <c r="P30" s="167">
        <v>1</v>
      </c>
      <c r="Q30" s="167">
        <v>1</v>
      </c>
      <c r="R30" s="167">
        <v>3</v>
      </c>
      <c r="S30" s="167" t="s">
        <v>273</v>
      </c>
      <c r="T30" s="191" t="s">
        <v>2154</v>
      </c>
      <c r="U30" s="7">
        <v>6</v>
      </c>
      <c r="V30" s="7">
        <v>5</v>
      </c>
      <c r="W30" s="47" t="str">
        <f t="shared" ca="1" si="1"/>
        <v>6-5. 来園者の末路</v>
      </c>
      <c r="X30" s="47">
        <f ca="1">VLOOKUP($C30,OFFSET(quests!$A$1,0,0,COUNTA(quests!$A:$A),MATCH(X$2,quests!$1:$1,0)-MATCH($C$2,quests!$1:$1,0)+1),MATCH(X$2,quests!$1:$1,0)-MATCH($C$2,quests!$1:$1,0)+1,FALSE)</f>
        <v>1</v>
      </c>
      <c r="Y30" s="47">
        <f ca="1">VLOOKUP($C30,OFFSET(quests!$A$1,0,0,COUNTA(quests!$A:$A),MATCH(Y$2,quests!$1:$1,0)-MATCH($C$2,quests!$1:$1,0)+1),MATCH(Y$2,quests!$1:$1,0)-MATCH($C$2,quests!$1:$1,0)+1,FALSE)</f>
        <v>1</v>
      </c>
      <c r="Z30" s="47">
        <f ca="1">VLOOKUP($C30,OFFSET(quests!$A$1,0,0,COUNTA(quests!$A:$A),MATCH(Z$2,quests!$1:$1,0)-MATCH($C$2,quests!$1:$1,0)+1),MATCH(Z$2,quests!$1:$1,0)-MATCH($C$2,quests!$1:$1,0)+1,FALSE)</f>
        <v>1</v>
      </c>
      <c r="AA30" s="47">
        <f ca="1">VLOOKUP($C30,OFFSET(quests!$A$1,0,0,COUNTA(quests!$A:$A),MATCH(AA$2,quests!$1:$1,0)-MATCH($C$2,quests!$1:$1,0)+1),MATCH(AA$2,quests!$1:$1,0)-MATCH($C$2,quests!$1:$1,0)+1,FALSE)</f>
        <v>1</v>
      </c>
      <c r="AB30" s="7" t="s">
        <v>62</v>
      </c>
      <c r="AC30" s="7">
        <v>6</v>
      </c>
      <c r="AD30" s="7">
        <v>6</v>
      </c>
      <c r="AE30" s="7" t="s">
        <v>522</v>
      </c>
      <c r="AF30" s="7">
        <v>1</v>
      </c>
      <c r="AG30" s="7">
        <v>0</v>
      </c>
      <c r="AH30" s="7">
        <v>0</v>
      </c>
      <c r="AI30" s="7">
        <v>-1</v>
      </c>
      <c r="AJ30" s="7">
        <v>-1</v>
      </c>
      <c r="AK30" s="7" t="s">
        <v>1064</v>
      </c>
      <c r="AL30" s="12" t="s">
        <v>1695</v>
      </c>
      <c r="AM30" s="12" t="s">
        <v>2072</v>
      </c>
    </row>
    <row r="31" spans="1:39" ht="21" customHeight="1" x14ac:dyDescent="0.15">
      <c r="A31" s="42" t="str">
        <f t="shared" si="0"/>
        <v>7_1</v>
      </c>
      <c r="B31" s="23">
        <v>3</v>
      </c>
      <c r="C31" s="10">
        <v>7</v>
      </c>
      <c r="D31" s="47" t="str">
        <f ca="1">VLOOKUP($C31,OFFSET(quests!$A$1,0,0,COUNTA(quests!$A:$A),MATCH(D$1,quests!$1:$1,0)-MATCH($C$2,quests!$1:$1,0)+1),MATCH(D$1,quests!$1:$1,0)-MATCH($C$2,quests!$1:$1,0)+1,FALSE)</f>
        <v>7．ローガ密林</v>
      </c>
      <c r="E31" s="48" t="str">
        <f ca="1">VLOOKUP($C31,OFFSET(quests!$A$1,0,0,COUNTA(quests!$A:$A),MATCH(E$2,quests!$1:$1,0)-MATCH($C$2,quests!$1:$1,0)+1),MATCH(E$2,quests!$1:$1,0)-MATCH($C$2,quests!$1:$1,0)+1,FALSE)</f>
        <v>緑DL2</v>
      </c>
      <c r="F31" s="7">
        <v>1</v>
      </c>
      <c r="G31" s="7" t="s">
        <v>570</v>
      </c>
      <c r="H31" s="70" t="s">
        <v>298</v>
      </c>
      <c r="I31" s="12"/>
      <c r="J31" s="12" t="s">
        <v>279</v>
      </c>
      <c r="K31" s="167">
        <v>6</v>
      </c>
      <c r="L31" s="167">
        <v>320</v>
      </c>
      <c r="M31" s="167">
        <v>1</v>
      </c>
      <c r="N31" s="167">
        <v>1</v>
      </c>
      <c r="O31" s="167">
        <v>1</v>
      </c>
      <c r="P31" s="167">
        <v>1</v>
      </c>
      <c r="Q31" s="167">
        <v>1</v>
      </c>
      <c r="R31" s="167">
        <v>3</v>
      </c>
      <c r="S31" s="167" t="s">
        <v>79</v>
      </c>
      <c r="T31" s="167">
        <v>0</v>
      </c>
      <c r="U31" s="7">
        <v>6</v>
      </c>
      <c r="V31" s="7">
        <v>6</v>
      </c>
      <c r="W31" s="47" t="str">
        <f t="shared" ca="1" si="1"/>
        <v>6-6. 【1回のみ】ボーナスステージ</v>
      </c>
      <c r="X31" s="47">
        <f ca="1">VLOOKUP($C31,OFFSET(quests!$A$1,0,0,COUNTA(quests!$A:$A),MATCH(X$2,quests!$1:$1,0)-MATCH($C$2,quests!$1:$1,0)+1),MATCH(X$2,quests!$1:$1,0)-MATCH($C$2,quests!$1:$1,0)+1,FALSE)</f>
        <v>0</v>
      </c>
      <c r="Y31" s="47">
        <f ca="1">VLOOKUP($C31,OFFSET(quests!$A$1,0,0,COUNTA(quests!$A:$A),MATCH(Y$2,quests!$1:$1,0)-MATCH($C$2,quests!$1:$1,0)+1),MATCH(Y$2,quests!$1:$1,0)-MATCH($C$2,quests!$1:$1,0)+1,FALSE)</f>
        <v>0</v>
      </c>
      <c r="Z31" s="47">
        <f ca="1">VLOOKUP($C31,OFFSET(quests!$A$1,0,0,COUNTA(quests!$A:$A),MATCH(Z$2,quests!$1:$1,0)-MATCH($C$2,quests!$1:$1,0)+1),MATCH(Z$2,quests!$1:$1,0)-MATCH($C$2,quests!$1:$1,0)+1,FALSE)</f>
        <v>1</v>
      </c>
      <c r="AA31" s="47">
        <f ca="1">VLOOKUP($C31,OFFSET(quests!$A$1,0,0,COUNTA(quests!$A:$A),MATCH(AA$2,quests!$1:$1,0)-MATCH($C$2,quests!$1:$1,0)+1),MATCH(AA$2,quests!$1:$1,0)-MATCH($C$2,quests!$1:$1,0)+1,FALSE)</f>
        <v>0</v>
      </c>
      <c r="AB31" s="7" t="s">
        <v>56</v>
      </c>
      <c r="AC31" s="7">
        <v>7</v>
      </c>
      <c r="AD31" s="7">
        <v>6</v>
      </c>
      <c r="AE31" s="7" t="s">
        <v>519</v>
      </c>
      <c r="AF31" s="7">
        <v>0</v>
      </c>
      <c r="AG31" s="7">
        <v>0</v>
      </c>
      <c r="AH31" s="7">
        <v>0</v>
      </c>
      <c r="AI31" s="7">
        <v>-1</v>
      </c>
      <c r="AJ31" s="7">
        <v>-1</v>
      </c>
      <c r="AK31" s="7" t="s">
        <v>1064</v>
      </c>
      <c r="AL31" s="12" t="s">
        <v>1695</v>
      </c>
      <c r="AM31" s="12" t="s">
        <v>2072</v>
      </c>
    </row>
    <row r="32" spans="1:39" ht="21" customHeight="1" x14ac:dyDescent="0.15">
      <c r="A32" s="42" t="str">
        <f t="shared" si="0"/>
        <v>7_2</v>
      </c>
      <c r="B32" s="23">
        <v>3</v>
      </c>
      <c r="C32" s="10">
        <v>7</v>
      </c>
      <c r="D32" s="47" t="str">
        <f ca="1">VLOOKUP($C32,OFFSET(quests!$A$1,0,0,COUNTA(quests!$A:$A),MATCH(D$1,quests!$1:$1,0)-MATCH($C$2,quests!$1:$1,0)+1),MATCH(D$1,quests!$1:$1,0)-MATCH($C$2,quests!$1:$1,0)+1,FALSE)</f>
        <v>7．ローガ密林</v>
      </c>
      <c r="E32" s="48" t="str">
        <f ca="1">VLOOKUP($C32,OFFSET(quests!$A$1,0,0,COUNTA(quests!$A:$A),MATCH(E$2,quests!$1:$1,0)-MATCH($C$2,quests!$1:$1,0)+1),MATCH(E$2,quests!$1:$1,0)-MATCH($C$2,quests!$1:$1,0)+1,FALSE)</f>
        <v>緑DL2</v>
      </c>
      <c r="F32" s="7">
        <v>2</v>
      </c>
      <c r="G32" s="7" t="s">
        <v>570</v>
      </c>
      <c r="H32" s="70" t="s">
        <v>299</v>
      </c>
      <c r="I32" s="12"/>
      <c r="J32" s="12" t="s">
        <v>279</v>
      </c>
      <c r="K32" s="167">
        <v>6</v>
      </c>
      <c r="L32" s="167">
        <v>360</v>
      </c>
      <c r="M32" s="167">
        <v>1</v>
      </c>
      <c r="N32" s="167">
        <v>1</v>
      </c>
      <c r="O32" s="167">
        <v>1</v>
      </c>
      <c r="P32" s="167">
        <v>1</v>
      </c>
      <c r="Q32" s="167">
        <v>1</v>
      </c>
      <c r="R32" s="167">
        <v>3</v>
      </c>
      <c r="S32" s="167" t="s">
        <v>79</v>
      </c>
      <c r="T32" s="167">
        <v>0</v>
      </c>
      <c r="U32" s="7">
        <v>7</v>
      </c>
      <c r="V32" s="7">
        <v>1</v>
      </c>
      <c r="W32" s="47" t="str">
        <f t="shared" ca="1" si="1"/>
        <v>7-1. 密林の防衛者</v>
      </c>
      <c r="X32" s="47">
        <f ca="1">VLOOKUP($C32,OFFSET(quests!$A$1,0,0,COUNTA(quests!$A:$A),MATCH(X$2,quests!$1:$1,0)-MATCH($C$2,quests!$1:$1,0)+1),MATCH(X$2,quests!$1:$1,0)-MATCH($C$2,quests!$1:$1,0)+1,FALSE)</f>
        <v>0</v>
      </c>
      <c r="Y32" s="47">
        <f ca="1">VLOOKUP($C32,OFFSET(quests!$A$1,0,0,COUNTA(quests!$A:$A),MATCH(Y$2,quests!$1:$1,0)-MATCH($C$2,quests!$1:$1,0)+1),MATCH(Y$2,quests!$1:$1,0)-MATCH($C$2,quests!$1:$1,0)+1,FALSE)</f>
        <v>0</v>
      </c>
      <c r="Z32" s="47">
        <f ca="1">VLOOKUP($C32,OFFSET(quests!$A$1,0,0,COUNTA(quests!$A:$A),MATCH(Z$2,quests!$1:$1,0)-MATCH($C$2,quests!$1:$1,0)+1),MATCH(Z$2,quests!$1:$1,0)-MATCH($C$2,quests!$1:$1,0)+1,FALSE)</f>
        <v>1</v>
      </c>
      <c r="AA32" s="47">
        <f ca="1">VLOOKUP($C32,OFFSET(quests!$A$1,0,0,COUNTA(quests!$A:$A),MATCH(AA$2,quests!$1:$1,0)-MATCH($C$2,quests!$1:$1,0)+1),MATCH(AA$2,quests!$1:$1,0)-MATCH($C$2,quests!$1:$1,0)+1,FALSE)</f>
        <v>0</v>
      </c>
      <c r="AB32" s="7" t="s">
        <v>56</v>
      </c>
      <c r="AC32" s="7">
        <v>7</v>
      </c>
      <c r="AD32" s="7">
        <v>6</v>
      </c>
      <c r="AE32" s="7" t="s">
        <v>519</v>
      </c>
      <c r="AF32" s="7">
        <v>0</v>
      </c>
      <c r="AG32" s="7">
        <v>0</v>
      </c>
      <c r="AH32" s="7">
        <v>0</v>
      </c>
      <c r="AI32" s="7">
        <v>-1</v>
      </c>
      <c r="AJ32" s="7">
        <v>-1</v>
      </c>
      <c r="AK32" s="7" t="s">
        <v>1064</v>
      </c>
      <c r="AL32" s="12" t="s">
        <v>1695</v>
      </c>
      <c r="AM32" s="12" t="s">
        <v>2072</v>
      </c>
    </row>
    <row r="33" spans="1:39" ht="21" customHeight="1" x14ac:dyDescent="0.15">
      <c r="A33" s="42" t="str">
        <f t="shared" si="0"/>
        <v>7_3</v>
      </c>
      <c r="B33" s="23">
        <v>3</v>
      </c>
      <c r="C33" s="10">
        <v>7</v>
      </c>
      <c r="D33" s="47" t="str">
        <f ca="1">VLOOKUP($C33,OFFSET(quests!$A$1,0,0,COUNTA(quests!$A:$A),MATCH(D$1,quests!$1:$1,0)-MATCH($C$2,quests!$1:$1,0)+1),MATCH(D$1,quests!$1:$1,0)-MATCH($C$2,quests!$1:$1,0)+1,FALSE)</f>
        <v>7．ローガ密林</v>
      </c>
      <c r="E33" s="48" t="str">
        <f ca="1">VLOOKUP($C33,OFFSET(quests!$A$1,0,0,COUNTA(quests!$A:$A),MATCH(E$2,quests!$1:$1,0)-MATCH($C$2,quests!$1:$1,0)+1),MATCH(E$2,quests!$1:$1,0)-MATCH($C$2,quests!$1:$1,0)+1,FALSE)</f>
        <v>緑DL2</v>
      </c>
      <c r="F33" s="7">
        <v>3</v>
      </c>
      <c r="G33" s="7" t="s">
        <v>570</v>
      </c>
      <c r="H33" s="70" t="s">
        <v>300</v>
      </c>
      <c r="I33" s="12"/>
      <c r="J33" s="12" t="s">
        <v>279</v>
      </c>
      <c r="K33" s="167">
        <v>7</v>
      </c>
      <c r="L33" s="167">
        <v>400</v>
      </c>
      <c r="M33" s="167">
        <v>1</v>
      </c>
      <c r="N33" s="167">
        <v>1</v>
      </c>
      <c r="O33" s="167">
        <v>1</v>
      </c>
      <c r="P33" s="167">
        <v>1</v>
      </c>
      <c r="Q33" s="167">
        <v>1</v>
      </c>
      <c r="R33" s="167">
        <v>3</v>
      </c>
      <c r="S33" s="167" t="s">
        <v>79</v>
      </c>
      <c r="T33" s="167">
        <v>0</v>
      </c>
      <c r="U33" s="7">
        <v>7</v>
      </c>
      <c r="V33" s="7">
        <v>2</v>
      </c>
      <c r="W33" s="47" t="str">
        <f t="shared" ca="1" si="1"/>
        <v>7-2. さまよう怪影</v>
      </c>
      <c r="X33" s="47">
        <f ca="1">VLOOKUP($C33,OFFSET(quests!$A$1,0,0,COUNTA(quests!$A:$A),MATCH(X$2,quests!$1:$1,0)-MATCH($C$2,quests!$1:$1,0)+1),MATCH(X$2,quests!$1:$1,0)-MATCH($C$2,quests!$1:$1,0)+1,FALSE)</f>
        <v>0</v>
      </c>
      <c r="Y33" s="47">
        <f ca="1">VLOOKUP($C33,OFFSET(quests!$A$1,0,0,COUNTA(quests!$A:$A),MATCH(Y$2,quests!$1:$1,0)-MATCH($C$2,quests!$1:$1,0)+1),MATCH(Y$2,quests!$1:$1,0)-MATCH($C$2,quests!$1:$1,0)+1,FALSE)</f>
        <v>0</v>
      </c>
      <c r="Z33" s="47">
        <f ca="1">VLOOKUP($C33,OFFSET(quests!$A$1,0,0,COUNTA(quests!$A:$A),MATCH(Z$2,quests!$1:$1,0)-MATCH($C$2,quests!$1:$1,0)+1),MATCH(Z$2,quests!$1:$1,0)-MATCH($C$2,quests!$1:$1,0)+1,FALSE)</f>
        <v>1</v>
      </c>
      <c r="AA33" s="47">
        <f ca="1">VLOOKUP($C33,OFFSET(quests!$A$1,0,0,COUNTA(quests!$A:$A),MATCH(AA$2,quests!$1:$1,0)-MATCH($C$2,quests!$1:$1,0)+1),MATCH(AA$2,quests!$1:$1,0)-MATCH($C$2,quests!$1:$1,0)+1,FALSE)</f>
        <v>0</v>
      </c>
      <c r="AB33" s="7" t="s">
        <v>56</v>
      </c>
      <c r="AC33" s="7">
        <v>7</v>
      </c>
      <c r="AD33" s="7">
        <v>6</v>
      </c>
      <c r="AE33" s="7" t="s">
        <v>519</v>
      </c>
      <c r="AF33" s="7">
        <v>0</v>
      </c>
      <c r="AG33" s="7">
        <v>0</v>
      </c>
      <c r="AH33" s="7">
        <v>0</v>
      </c>
      <c r="AI33" s="7">
        <v>-1</v>
      </c>
      <c r="AJ33" s="7">
        <v>-1</v>
      </c>
      <c r="AK33" s="7" t="s">
        <v>1064</v>
      </c>
      <c r="AL33" s="12" t="s">
        <v>1695</v>
      </c>
      <c r="AM33" s="12" t="s">
        <v>2072</v>
      </c>
    </row>
    <row r="34" spans="1:39" ht="21" customHeight="1" x14ac:dyDescent="0.15">
      <c r="A34" s="42" t="str">
        <f t="shared" si="0"/>
        <v>7_4</v>
      </c>
      <c r="B34" s="23">
        <v>3</v>
      </c>
      <c r="C34" s="10">
        <v>7</v>
      </c>
      <c r="D34" s="47" t="str">
        <f ca="1">VLOOKUP($C34,OFFSET(quests!$A$1,0,0,COUNTA(quests!$A:$A),MATCH(D$1,quests!$1:$1,0)-MATCH($C$2,quests!$1:$1,0)+1),MATCH(D$1,quests!$1:$1,0)-MATCH($C$2,quests!$1:$1,0)+1,FALSE)</f>
        <v>7．ローガ密林</v>
      </c>
      <c r="E34" s="48" t="str">
        <f ca="1">VLOOKUP($C34,OFFSET(quests!$A$1,0,0,COUNTA(quests!$A:$A),MATCH(E$2,quests!$1:$1,0)-MATCH($C$2,quests!$1:$1,0)+1),MATCH(E$2,quests!$1:$1,0)-MATCH($C$2,quests!$1:$1,0)+1,FALSE)</f>
        <v>緑DL2</v>
      </c>
      <c r="F34" s="7">
        <v>4</v>
      </c>
      <c r="G34" s="7" t="s">
        <v>570</v>
      </c>
      <c r="H34" s="70" t="s">
        <v>301</v>
      </c>
      <c r="I34" s="12"/>
      <c r="J34" s="12" t="s">
        <v>279</v>
      </c>
      <c r="K34" s="167">
        <v>8</v>
      </c>
      <c r="L34" s="167">
        <v>440</v>
      </c>
      <c r="M34" s="167">
        <v>1</v>
      </c>
      <c r="N34" s="167">
        <v>1</v>
      </c>
      <c r="O34" s="167">
        <v>1</v>
      </c>
      <c r="P34" s="167">
        <v>1</v>
      </c>
      <c r="Q34" s="167">
        <v>1</v>
      </c>
      <c r="R34" s="167">
        <v>3</v>
      </c>
      <c r="S34" s="167" t="s">
        <v>79</v>
      </c>
      <c r="T34" s="167">
        <v>0</v>
      </c>
      <c r="U34" s="7">
        <v>7</v>
      </c>
      <c r="V34" s="7">
        <v>3</v>
      </c>
      <c r="W34" s="47" t="str">
        <f t="shared" ca="1" si="1"/>
        <v>7-3. 野生児の急襲</v>
      </c>
      <c r="X34" s="47">
        <f ca="1">VLOOKUP($C34,OFFSET(quests!$A$1,0,0,COUNTA(quests!$A:$A),MATCH(X$2,quests!$1:$1,0)-MATCH($C$2,quests!$1:$1,0)+1),MATCH(X$2,quests!$1:$1,0)-MATCH($C$2,quests!$1:$1,0)+1,FALSE)</f>
        <v>0</v>
      </c>
      <c r="Y34" s="47">
        <f ca="1">VLOOKUP($C34,OFFSET(quests!$A$1,0,0,COUNTA(quests!$A:$A),MATCH(Y$2,quests!$1:$1,0)-MATCH($C$2,quests!$1:$1,0)+1),MATCH(Y$2,quests!$1:$1,0)-MATCH($C$2,quests!$1:$1,0)+1,FALSE)</f>
        <v>0</v>
      </c>
      <c r="Z34" s="47">
        <f ca="1">VLOOKUP($C34,OFFSET(quests!$A$1,0,0,COUNTA(quests!$A:$A),MATCH(Z$2,quests!$1:$1,0)-MATCH($C$2,quests!$1:$1,0)+1),MATCH(Z$2,quests!$1:$1,0)-MATCH($C$2,quests!$1:$1,0)+1,FALSE)</f>
        <v>1</v>
      </c>
      <c r="AA34" s="47">
        <f ca="1">VLOOKUP($C34,OFFSET(quests!$A$1,0,0,COUNTA(quests!$A:$A),MATCH(AA$2,quests!$1:$1,0)-MATCH($C$2,quests!$1:$1,0)+1),MATCH(AA$2,quests!$1:$1,0)-MATCH($C$2,quests!$1:$1,0)+1,FALSE)</f>
        <v>0</v>
      </c>
      <c r="AB34" s="7" t="s">
        <v>56</v>
      </c>
      <c r="AC34" s="7">
        <v>7</v>
      </c>
      <c r="AD34" s="7">
        <v>6</v>
      </c>
      <c r="AE34" s="7" t="s">
        <v>519</v>
      </c>
      <c r="AF34" s="7">
        <v>0</v>
      </c>
      <c r="AG34" s="7">
        <v>0</v>
      </c>
      <c r="AH34" s="7">
        <v>0</v>
      </c>
      <c r="AI34" s="7">
        <v>-1</v>
      </c>
      <c r="AJ34" s="7">
        <v>-1</v>
      </c>
      <c r="AK34" s="7" t="s">
        <v>1064</v>
      </c>
      <c r="AL34" s="12" t="s">
        <v>1695</v>
      </c>
      <c r="AM34" s="12" t="s">
        <v>2072</v>
      </c>
    </row>
    <row r="35" spans="1:39" ht="21" customHeight="1" x14ac:dyDescent="0.15">
      <c r="A35" s="42" t="str">
        <f t="shared" si="0"/>
        <v>7_5</v>
      </c>
      <c r="B35" s="23">
        <v>3</v>
      </c>
      <c r="C35" s="6">
        <v>7</v>
      </c>
      <c r="D35" s="47" t="str">
        <f ca="1">VLOOKUP($C35,OFFSET(quests!$A$1,0,0,COUNTA(quests!$A:$A),MATCH(D$1,quests!$1:$1,0)-MATCH($C$2,quests!$1:$1,0)+1),MATCH(D$1,quests!$1:$1,0)-MATCH($C$2,quests!$1:$1,0)+1,FALSE)</f>
        <v>7．ローガ密林</v>
      </c>
      <c r="E35" s="48" t="str">
        <f ca="1">VLOOKUP($C35,OFFSET(quests!$A$1,0,0,COUNTA(quests!$A:$A),MATCH(E$2,quests!$1:$1,0)-MATCH($C$2,quests!$1:$1,0)+1),MATCH(E$2,quests!$1:$1,0)-MATCH($C$2,quests!$1:$1,0)+1,FALSE)</f>
        <v>緑DL2</v>
      </c>
      <c r="F35" s="9">
        <v>5</v>
      </c>
      <c r="G35" s="7" t="s">
        <v>570</v>
      </c>
      <c r="H35" s="70" t="s">
        <v>302</v>
      </c>
      <c r="I35" s="12"/>
      <c r="J35" s="12" t="s">
        <v>279</v>
      </c>
      <c r="K35" s="167">
        <v>10</v>
      </c>
      <c r="L35" s="167">
        <v>620</v>
      </c>
      <c r="M35" s="167">
        <v>1</v>
      </c>
      <c r="N35" s="167">
        <v>1</v>
      </c>
      <c r="O35" s="167">
        <v>1</v>
      </c>
      <c r="P35" s="167">
        <v>1</v>
      </c>
      <c r="Q35" s="167">
        <v>1</v>
      </c>
      <c r="R35" s="167">
        <v>3</v>
      </c>
      <c r="S35" s="167" t="s">
        <v>79</v>
      </c>
      <c r="T35" s="167">
        <v>0</v>
      </c>
      <c r="U35" s="7">
        <v>7</v>
      </c>
      <c r="V35" s="7">
        <v>4</v>
      </c>
      <c r="W35" s="47" t="str">
        <f t="shared" ca="1" si="1"/>
        <v>7-4. この森通せんぼ</v>
      </c>
      <c r="X35" s="47">
        <f ca="1">VLOOKUP($C35,OFFSET(quests!$A$1,0,0,COUNTA(quests!$A:$A),MATCH(X$2,quests!$1:$1,0)-MATCH($C$2,quests!$1:$1,0)+1),MATCH(X$2,quests!$1:$1,0)-MATCH($C$2,quests!$1:$1,0)+1,FALSE)</f>
        <v>0</v>
      </c>
      <c r="Y35" s="47">
        <f ca="1">VLOOKUP($C35,OFFSET(quests!$A$1,0,0,COUNTA(quests!$A:$A),MATCH(Y$2,quests!$1:$1,0)-MATCH($C$2,quests!$1:$1,0)+1),MATCH(Y$2,quests!$1:$1,0)-MATCH($C$2,quests!$1:$1,0)+1,FALSE)</f>
        <v>0</v>
      </c>
      <c r="Z35" s="47">
        <f ca="1">VLOOKUP($C35,OFFSET(quests!$A$1,0,0,COUNTA(quests!$A:$A),MATCH(Z$2,quests!$1:$1,0)-MATCH($C$2,quests!$1:$1,0)+1),MATCH(Z$2,quests!$1:$1,0)-MATCH($C$2,quests!$1:$1,0)+1,FALSE)</f>
        <v>1</v>
      </c>
      <c r="AA35" s="47">
        <f ca="1">VLOOKUP($C35,OFFSET(quests!$A$1,0,0,COUNTA(quests!$A:$A),MATCH(AA$2,quests!$1:$1,0)-MATCH($C$2,quests!$1:$1,0)+1),MATCH(AA$2,quests!$1:$1,0)-MATCH($C$2,quests!$1:$1,0)+1,FALSE)</f>
        <v>0</v>
      </c>
      <c r="AB35" s="7" t="s">
        <v>56</v>
      </c>
      <c r="AC35" s="7">
        <v>7</v>
      </c>
      <c r="AD35" s="7">
        <v>6</v>
      </c>
      <c r="AE35" s="7" t="s">
        <v>519</v>
      </c>
      <c r="AF35" s="33">
        <v>3</v>
      </c>
      <c r="AG35" s="7">
        <v>0</v>
      </c>
      <c r="AH35" s="7">
        <v>0</v>
      </c>
      <c r="AI35" s="7">
        <v>-1</v>
      </c>
      <c r="AJ35" s="7">
        <v>-1</v>
      </c>
      <c r="AK35" s="7" t="s">
        <v>1064</v>
      </c>
      <c r="AL35" s="12" t="s">
        <v>1695</v>
      </c>
      <c r="AM35" s="12" t="s">
        <v>2072</v>
      </c>
    </row>
    <row r="36" spans="1:39" ht="21" customHeight="1" x14ac:dyDescent="0.15">
      <c r="A36" s="42" t="str">
        <f t="shared" si="0"/>
        <v>7_6</v>
      </c>
      <c r="B36" s="23">
        <v>3</v>
      </c>
      <c r="C36" s="10">
        <v>7</v>
      </c>
      <c r="D36" s="47" t="str">
        <f ca="1">VLOOKUP($C36,OFFSET(quests!$A$1,0,0,COUNTA(quests!$A:$A),MATCH(D$1,quests!$1:$1,0)-MATCH($C$2,quests!$1:$1,0)+1),MATCH(D$1,quests!$1:$1,0)-MATCH($C$2,quests!$1:$1,0)+1,FALSE)</f>
        <v>7．ローガ密林</v>
      </c>
      <c r="E36" s="48" t="str">
        <f ca="1">VLOOKUP($C36,OFFSET(quests!$A$1,0,0,COUNTA(quests!$A:$A),MATCH(E$2,quests!$1:$1,0)-MATCH($C$2,quests!$1:$1,0)+1),MATCH(E$2,quests!$1:$1,0)-MATCH($C$2,quests!$1:$1,0)+1,FALSE)</f>
        <v>緑DL2</v>
      </c>
      <c r="F36" s="7">
        <v>6</v>
      </c>
      <c r="G36" s="7" t="s">
        <v>570</v>
      </c>
      <c r="H36" s="69" t="s">
        <v>869</v>
      </c>
      <c r="I36" s="12" t="s">
        <v>164</v>
      </c>
      <c r="J36" s="12">
        <v>335</v>
      </c>
      <c r="K36" s="167">
        <v>1</v>
      </c>
      <c r="L36" s="167">
        <v>1</v>
      </c>
      <c r="M36" s="167">
        <v>1</v>
      </c>
      <c r="N36" s="167">
        <v>1</v>
      </c>
      <c r="O36" s="167">
        <v>1</v>
      </c>
      <c r="P36" s="167">
        <v>1</v>
      </c>
      <c r="Q36" s="167">
        <v>1</v>
      </c>
      <c r="R36" s="167">
        <v>3</v>
      </c>
      <c r="S36" s="167" t="s">
        <v>273</v>
      </c>
      <c r="T36" s="191" t="s">
        <v>2154</v>
      </c>
      <c r="U36" s="7">
        <v>7</v>
      </c>
      <c r="V36" s="7">
        <v>5</v>
      </c>
      <c r="W36" s="47" t="str">
        <f t="shared" ca="1" si="1"/>
        <v>7-5. 聖なる巨岩</v>
      </c>
      <c r="X36" s="47">
        <f ca="1">VLOOKUP($C36,OFFSET(quests!$A$1,0,0,COUNTA(quests!$A:$A),MATCH(X$2,quests!$1:$1,0)-MATCH($C$2,quests!$1:$1,0)+1),MATCH(X$2,quests!$1:$1,0)-MATCH($C$2,quests!$1:$1,0)+1,FALSE)</f>
        <v>0</v>
      </c>
      <c r="Y36" s="47">
        <f ca="1">VLOOKUP($C36,OFFSET(quests!$A$1,0,0,COUNTA(quests!$A:$A),MATCH(Y$2,quests!$1:$1,0)-MATCH($C$2,quests!$1:$1,0)+1),MATCH(Y$2,quests!$1:$1,0)-MATCH($C$2,quests!$1:$1,0)+1,FALSE)</f>
        <v>0</v>
      </c>
      <c r="Z36" s="47">
        <f ca="1">VLOOKUP($C36,OFFSET(quests!$A$1,0,0,COUNTA(quests!$A:$A),MATCH(Z$2,quests!$1:$1,0)-MATCH($C$2,quests!$1:$1,0)+1),MATCH(Z$2,quests!$1:$1,0)-MATCH($C$2,quests!$1:$1,0)+1,FALSE)</f>
        <v>1</v>
      </c>
      <c r="AA36" s="47">
        <f ca="1">VLOOKUP($C36,OFFSET(quests!$A$1,0,0,COUNTA(quests!$A:$A),MATCH(AA$2,quests!$1:$1,0)-MATCH($C$2,quests!$1:$1,0)+1),MATCH(AA$2,quests!$1:$1,0)-MATCH($C$2,quests!$1:$1,0)+1,FALSE)</f>
        <v>0</v>
      </c>
      <c r="AB36" s="7" t="s">
        <v>62</v>
      </c>
      <c r="AC36" s="7">
        <v>7</v>
      </c>
      <c r="AD36" s="7">
        <v>6</v>
      </c>
      <c r="AE36" s="7" t="s">
        <v>522</v>
      </c>
      <c r="AF36" s="7">
        <v>1</v>
      </c>
      <c r="AG36" s="7">
        <v>0</v>
      </c>
      <c r="AH36" s="7">
        <v>0</v>
      </c>
      <c r="AI36" s="7">
        <v>-1</v>
      </c>
      <c r="AJ36" s="7">
        <v>-1</v>
      </c>
      <c r="AK36" s="7" t="s">
        <v>1064</v>
      </c>
      <c r="AL36" s="12" t="s">
        <v>1695</v>
      </c>
      <c r="AM36" s="12" t="s">
        <v>2072</v>
      </c>
    </row>
    <row r="37" spans="1:39" ht="21" customHeight="1" x14ac:dyDescent="0.15">
      <c r="A37" s="42" t="str">
        <f t="shared" si="0"/>
        <v>8_1</v>
      </c>
      <c r="B37" s="23">
        <v>3</v>
      </c>
      <c r="C37" s="10">
        <v>8</v>
      </c>
      <c r="D37" s="47" t="str">
        <f ca="1">VLOOKUP($C37,OFFSET(quests!$A$1,0,0,COUNTA(quests!$A:$A),MATCH(D$1,quests!$1:$1,0)-MATCH($C$2,quests!$1:$1,0)+1),MATCH(D$1,quests!$1:$1,0)-MATCH($C$2,quests!$1:$1,0)+1,FALSE)</f>
        <v>8．ヴィクリー砂漠</v>
      </c>
      <c r="E37" s="48" t="str">
        <f ca="1">VLOOKUP($C37,OFFSET(quests!$A$1,0,0,COUNTA(quests!$A:$A),MATCH(E$2,quests!$1:$1,0)-MATCH($C$2,quests!$1:$1,0)+1),MATCH(E$2,quests!$1:$1,0)-MATCH($C$2,quests!$1:$1,0)+1,FALSE)</f>
        <v>黄DL2</v>
      </c>
      <c r="F37" s="7">
        <v>1</v>
      </c>
      <c r="G37" s="7" t="s">
        <v>570</v>
      </c>
      <c r="H37" s="69" t="s">
        <v>303</v>
      </c>
      <c r="I37" s="12"/>
      <c r="J37" s="12" t="s">
        <v>279</v>
      </c>
      <c r="K37" s="167">
        <v>6</v>
      </c>
      <c r="L37" s="167">
        <v>480</v>
      </c>
      <c r="M37" s="167">
        <v>1</v>
      </c>
      <c r="N37" s="167">
        <v>1</v>
      </c>
      <c r="O37" s="167">
        <v>1</v>
      </c>
      <c r="P37" s="167">
        <v>1</v>
      </c>
      <c r="Q37" s="167">
        <v>1</v>
      </c>
      <c r="R37" s="167">
        <v>3</v>
      </c>
      <c r="S37" s="167" t="s">
        <v>79</v>
      </c>
      <c r="T37" s="167">
        <v>0</v>
      </c>
      <c r="U37" s="7">
        <v>7</v>
      </c>
      <c r="V37" s="7">
        <v>6</v>
      </c>
      <c r="W37" s="47" t="str">
        <f t="shared" ca="1" si="1"/>
        <v>7-6. 【1回のみ】ボーナスステージ</v>
      </c>
      <c r="X37" s="47">
        <f ca="1">VLOOKUP($C37,OFFSET(quests!$A$1,0,0,COUNTA(quests!$A:$A),MATCH(X$2,quests!$1:$1,0)-MATCH($C$2,quests!$1:$1,0)+1),MATCH(X$2,quests!$1:$1,0)-MATCH($C$2,quests!$1:$1,0)+1,FALSE)</f>
        <v>0</v>
      </c>
      <c r="Y37" s="47">
        <f ca="1">VLOOKUP($C37,OFFSET(quests!$A$1,0,0,COUNTA(quests!$A:$A),MATCH(Y$2,quests!$1:$1,0)-MATCH($C$2,quests!$1:$1,0)+1),MATCH(Y$2,quests!$1:$1,0)-MATCH($C$2,quests!$1:$1,0)+1,FALSE)</f>
        <v>0</v>
      </c>
      <c r="Z37" s="47">
        <f ca="1">VLOOKUP($C37,OFFSET(quests!$A$1,0,0,COUNTA(quests!$A:$A),MATCH(Z$2,quests!$1:$1,0)-MATCH($C$2,quests!$1:$1,0)+1),MATCH(Z$2,quests!$1:$1,0)-MATCH($C$2,quests!$1:$1,0)+1,FALSE)</f>
        <v>0</v>
      </c>
      <c r="AA37" s="47">
        <f ca="1">VLOOKUP($C37,OFFSET(quests!$A$1,0,0,COUNTA(quests!$A:$A),MATCH(AA$2,quests!$1:$1,0)-MATCH($C$2,quests!$1:$1,0)+1),MATCH(AA$2,quests!$1:$1,0)-MATCH($C$2,quests!$1:$1,0)+1,FALSE)</f>
        <v>1</v>
      </c>
      <c r="AB37" s="7" t="s">
        <v>56</v>
      </c>
      <c r="AC37" s="7">
        <v>8</v>
      </c>
      <c r="AD37" s="7">
        <v>6</v>
      </c>
      <c r="AE37" s="7" t="s">
        <v>519</v>
      </c>
      <c r="AF37" s="7">
        <v>0</v>
      </c>
      <c r="AG37" s="7">
        <v>0</v>
      </c>
      <c r="AH37" s="7">
        <v>0</v>
      </c>
      <c r="AI37" s="7">
        <v>-1</v>
      </c>
      <c r="AJ37" s="7">
        <v>-1</v>
      </c>
      <c r="AK37" s="7" t="s">
        <v>1064</v>
      </c>
      <c r="AL37" s="12" t="s">
        <v>1695</v>
      </c>
      <c r="AM37" s="12" t="s">
        <v>2072</v>
      </c>
    </row>
    <row r="38" spans="1:39" ht="21" customHeight="1" x14ac:dyDescent="0.15">
      <c r="A38" s="42" t="str">
        <f t="shared" si="0"/>
        <v>8_2</v>
      </c>
      <c r="B38" s="23">
        <v>3</v>
      </c>
      <c r="C38" s="10">
        <v>8</v>
      </c>
      <c r="D38" s="47" t="str">
        <f ca="1">VLOOKUP($C38,OFFSET(quests!$A$1,0,0,COUNTA(quests!$A:$A),MATCH(D$1,quests!$1:$1,0)-MATCH($C$2,quests!$1:$1,0)+1),MATCH(D$1,quests!$1:$1,0)-MATCH($C$2,quests!$1:$1,0)+1,FALSE)</f>
        <v>8．ヴィクリー砂漠</v>
      </c>
      <c r="E38" s="48" t="str">
        <f ca="1">VLOOKUP($C38,OFFSET(quests!$A$1,0,0,COUNTA(quests!$A:$A),MATCH(E$2,quests!$1:$1,0)-MATCH($C$2,quests!$1:$1,0)+1),MATCH(E$2,quests!$1:$1,0)-MATCH($C$2,quests!$1:$1,0)+1,FALSE)</f>
        <v>黄DL2</v>
      </c>
      <c r="F38" s="7">
        <v>2</v>
      </c>
      <c r="G38" s="7" t="s">
        <v>570</v>
      </c>
      <c r="H38" s="69" t="s">
        <v>304</v>
      </c>
      <c r="I38" s="12"/>
      <c r="J38" s="12" t="s">
        <v>279</v>
      </c>
      <c r="K38" s="167">
        <v>6</v>
      </c>
      <c r="L38" s="167">
        <v>520</v>
      </c>
      <c r="M38" s="167">
        <v>1</v>
      </c>
      <c r="N38" s="167">
        <v>1</v>
      </c>
      <c r="O38" s="167">
        <v>1</v>
      </c>
      <c r="P38" s="167">
        <v>1</v>
      </c>
      <c r="Q38" s="167">
        <v>1</v>
      </c>
      <c r="R38" s="167">
        <v>3</v>
      </c>
      <c r="S38" s="167" t="s">
        <v>79</v>
      </c>
      <c r="T38" s="167">
        <v>0</v>
      </c>
      <c r="U38" s="7">
        <v>8</v>
      </c>
      <c r="V38" s="7">
        <v>1</v>
      </c>
      <c r="W38" s="47" t="str">
        <f t="shared" ca="1" si="1"/>
        <v>8-1. 黄砂のスピードスター</v>
      </c>
      <c r="X38" s="47">
        <f ca="1">VLOOKUP($C38,OFFSET(quests!$A$1,0,0,COUNTA(quests!$A:$A),MATCH(X$2,quests!$1:$1,0)-MATCH($C$2,quests!$1:$1,0)+1),MATCH(X$2,quests!$1:$1,0)-MATCH($C$2,quests!$1:$1,0)+1,FALSE)</f>
        <v>0</v>
      </c>
      <c r="Y38" s="47">
        <f ca="1">VLOOKUP($C38,OFFSET(quests!$A$1,0,0,COUNTA(quests!$A:$A),MATCH(Y$2,quests!$1:$1,0)-MATCH($C$2,quests!$1:$1,0)+1),MATCH(Y$2,quests!$1:$1,0)-MATCH($C$2,quests!$1:$1,0)+1,FALSE)</f>
        <v>0</v>
      </c>
      <c r="Z38" s="47">
        <f ca="1">VLOOKUP($C38,OFFSET(quests!$A$1,0,0,COUNTA(quests!$A:$A),MATCH(Z$2,quests!$1:$1,0)-MATCH($C$2,quests!$1:$1,0)+1),MATCH(Z$2,quests!$1:$1,0)-MATCH($C$2,quests!$1:$1,0)+1,FALSE)</f>
        <v>0</v>
      </c>
      <c r="AA38" s="47">
        <f ca="1">VLOOKUP($C38,OFFSET(quests!$A$1,0,0,COUNTA(quests!$A:$A),MATCH(AA$2,quests!$1:$1,0)-MATCH($C$2,quests!$1:$1,0)+1),MATCH(AA$2,quests!$1:$1,0)-MATCH($C$2,quests!$1:$1,0)+1,FALSE)</f>
        <v>1</v>
      </c>
      <c r="AB38" s="7" t="s">
        <v>56</v>
      </c>
      <c r="AC38" s="7">
        <v>8</v>
      </c>
      <c r="AD38" s="7">
        <v>6</v>
      </c>
      <c r="AE38" s="7" t="s">
        <v>519</v>
      </c>
      <c r="AF38" s="7">
        <v>0</v>
      </c>
      <c r="AG38" s="7">
        <v>0</v>
      </c>
      <c r="AH38" s="7">
        <v>0</v>
      </c>
      <c r="AI38" s="7">
        <v>-1</v>
      </c>
      <c r="AJ38" s="7">
        <v>-1</v>
      </c>
      <c r="AK38" s="7" t="s">
        <v>1064</v>
      </c>
      <c r="AL38" s="12" t="s">
        <v>1695</v>
      </c>
      <c r="AM38" s="12" t="s">
        <v>2072</v>
      </c>
    </row>
    <row r="39" spans="1:39" ht="21" customHeight="1" x14ac:dyDescent="0.15">
      <c r="A39" s="42" t="str">
        <f t="shared" si="0"/>
        <v>8_3</v>
      </c>
      <c r="B39" s="23">
        <v>3</v>
      </c>
      <c r="C39" s="10">
        <v>8</v>
      </c>
      <c r="D39" s="47" t="str">
        <f ca="1">VLOOKUP($C39,OFFSET(quests!$A$1,0,0,COUNTA(quests!$A:$A),MATCH(D$1,quests!$1:$1,0)-MATCH($C$2,quests!$1:$1,0)+1),MATCH(D$1,quests!$1:$1,0)-MATCH($C$2,quests!$1:$1,0)+1,FALSE)</f>
        <v>8．ヴィクリー砂漠</v>
      </c>
      <c r="E39" s="48" t="str">
        <f ca="1">VLOOKUP($C39,OFFSET(quests!$A$1,0,0,COUNTA(quests!$A:$A),MATCH(E$2,quests!$1:$1,0)-MATCH($C$2,quests!$1:$1,0)+1),MATCH(E$2,quests!$1:$1,0)-MATCH($C$2,quests!$1:$1,0)+1,FALSE)</f>
        <v>黄DL2</v>
      </c>
      <c r="F39" s="7">
        <v>3</v>
      </c>
      <c r="G39" s="7" t="s">
        <v>570</v>
      </c>
      <c r="H39" s="69" t="s">
        <v>305</v>
      </c>
      <c r="I39" s="12"/>
      <c r="J39" s="12" t="s">
        <v>279</v>
      </c>
      <c r="K39" s="167">
        <v>7</v>
      </c>
      <c r="L39" s="167">
        <v>560</v>
      </c>
      <c r="M39" s="167">
        <v>1</v>
      </c>
      <c r="N39" s="167">
        <v>1</v>
      </c>
      <c r="O39" s="167">
        <v>1</v>
      </c>
      <c r="P39" s="167">
        <v>1</v>
      </c>
      <c r="Q39" s="167">
        <v>1</v>
      </c>
      <c r="R39" s="167">
        <v>3</v>
      </c>
      <c r="S39" s="167" t="s">
        <v>79</v>
      </c>
      <c r="T39" s="167">
        <v>0</v>
      </c>
      <c r="U39" s="7">
        <v>8</v>
      </c>
      <c r="V39" s="7">
        <v>2</v>
      </c>
      <c r="W39" s="47" t="str">
        <f t="shared" ca="1" si="1"/>
        <v>8-2. 遭難の仕掛け人</v>
      </c>
      <c r="X39" s="47">
        <f ca="1">VLOOKUP($C39,OFFSET(quests!$A$1,0,0,COUNTA(quests!$A:$A),MATCH(X$2,quests!$1:$1,0)-MATCH($C$2,quests!$1:$1,0)+1),MATCH(X$2,quests!$1:$1,0)-MATCH($C$2,quests!$1:$1,0)+1,FALSE)</f>
        <v>0</v>
      </c>
      <c r="Y39" s="47">
        <f ca="1">VLOOKUP($C39,OFFSET(quests!$A$1,0,0,COUNTA(quests!$A:$A),MATCH(Y$2,quests!$1:$1,0)-MATCH($C$2,quests!$1:$1,0)+1),MATCH(Y$2,quests!$1:$1,0)-MATCH($C$2,quests!$1:$1,0)+1,FALSE)</f>
        <v>0</v>
      </c>
      <c r="Z39" s="47">
        <f ca="1">VLOOKUP($C39,OFFSET(quests!$A$1,0,0,COUNTA(quests!$A:$A),MATCH(Z$2,quests!$1:$1,0)-MATCH($C$2,quests!$1:$1,0)+1),MATCH(Z$2,quests!$1:$1,0)-MATCH($C$2,quests!$1:$1,0)+1,FALSE)</f>
        <v>0</v>
      </c>
      <c r="AA39" s="47">
        <f ca="1">VLOOKUP($C39,OFFSET(quests!$A$1,0,0,COUNTA(quests!$A:$A),MATCH(AA$2,quests!$1:$1,0)-MATCH($C$2,quests!$1:$1,0)+1),MATCH(AA$2,quests!$1:$1,0)-MATCH($C$2,quests!$1:$1,0)+1,FALSE)</f>
        <v>1</v>
      </c>
      <c r="AB39" s="7" t="s">
        <v>56</v>
      </c>
      <c r="AC39" s="7">
        <v>8</v>
      </c>
      <c r="AD39" s="7">
        <v>6</v>
      </c>
      <c r="AE39" s="7" t="s">
        <v>519</v>
      </c>
      <c r="AF39" s="7">
        <v>0</v>
      </c>
      <c r="AG39" s="7">
        <v>0</v>
      </c>
      <c r="AH39" s="7">
        <v>0</v>
      </c>
      <c r="AI39" s="7">
        <v>-1</v>
      </c>
      <c r="AJ39" s="7">
        <v>-1</v>
      </c>
      <c r="AK39" s="7" t="s">
        <v>1064</v>
      </c>
      <c r="AL39" s="12" t="s">
        <v>1695</v>
      </c>
      <c r="AM39" s="12" t="s">
        <v>2072</v>
      </c>
    </row>
    <row r="40" spans="1:39" ht="21" customHeight="1" x14ac:dyDescent="0.15">
      <c r="A40" s="42" t="str">
        <f t="shared" si="0"/>
        <v>8_4</v>
      </c>
      <c r="B40" s="23">
        <v>3</v>
      </c>
      <c r="C40" s="10">
        <v>8</v>
      </c>
      <c r="D40" s="47" t="str">
        <f ca="1">VLOOKUP($C40,OFFSET(quests!$A$1,0,0,COUNTA(quests!$A:$A),MATCH(D$1,quests!$1:$1,0)-MATCH($C$2,quests!$1:$1,0)+1),MATCH(D$1,quests!$1:$1,0)-MATCH($C$2,quests!$1:$1,0)+1,FALSE)</f>
        <v>8．ヴィクリー砂漠</v>
      </c>
      <c r="E40" s="48" t="str">
        <f ca="1">VLOOKUP($C40,OFFSET(quests!$A$1,0,0,COUNTA(quests!$A:$A),MATCH(E$2,quests!$1:$1,0)-MATCH($C$2,quests!$1:$1,0)+1),MATCH(E$2,quests!$1:$1,0)-MATCH($C$2,quests!$1:$1,0)+1,FALSE)</f>
        <v>黄DL2</v>
      </c>
      <c r="F40" s="7">
        <v>4</v>
      </c>
      <c r="G40" s="7" t="s">
        <v>570</v>
      </c>
      <c r="H40" s="69" t="s">
        <v>306</v>
      </c>
      <c r="I40" s="12"/>
      <c r="J40" s="12" t="s">
        <v>279</v>
      </c>
      <c r="K40" s="167">
        <v>8</v>
      </c>
      <c r="L40" s="167">
        <v>600</v>
      </c>
      <c r="M40" s="167">
        <v>1</v>
      </c>
      <c r="N40" s="167">
        <v>1</v>
      </c>
      <c r="O40" s="167">
        <v>1</v>
      </c>
      <c r="P40" s="167">
        <v>1</v>
      </c>
      <c r="Q40" s="167">
        <v>1</v>
      </c>
      <c r="R40" s="167">
        <v>3</v>
      </c>
      <c r="S40" s="167" t="s">
        <v>79</v>
      </c>
      <c r="T40" s="167">
        <v>0</v>
      </c>
      <c r="U40" s="7">
        <v>8</v>
      </c>
      <c r="V40" s="7">
        <v>3</v>
      </c>
      <c r="W40" s="47" t="str">
        <f t="shared" ca="1" si="1"/>
        <v>8-3. 逃げ場無き狩場</v>
      </c>
      <c r="X40" s="47">
        <f ca="1">VLOOKUP($C40,OFFSET(quests!$A$1,0,0,COUNTA(quests!$A:$A),MATCH(X$2,quests!$1:$1,0)-MATCH($C$2,quests!$1:$1,0)+1),MATCH(X$2,quests!$1:$1,0)-MATCH($C$2,quests!$1:$1,0)+1,FALSE)</f>
        <v>0</v>
      </c>
      <c r="Y40" s="47">
        <f ca="1">VLOOKUP($C40,OFFSET(quests!$A$1,0,0,COUNTA(quests!$A:$A),MATCH(Y$2,quests!$1:$1,0)-MATCH($C$2,quests!$1:$1,0)+1),MATCH(Y$2,quests!$1:$1,0)-MATCH($C$2,quests!$1:$1,0)+1,FALSE)</f>
        <v>0</v>
      </c>
      <c r="Z40" s="47">
        <f ca="1">VLOOKUP($C40,OFFSET(quests!$A$1,0,0,COUNTA(quests!$A:$A),MATCH(Z$2,quests!$1:$1,0)-MATCH($C$2,quests!$1:$1,0)+1),MATCH(Z$2,quests!$1:$1,0)-MATCH($C$2,quests!$1:$1,0)+1,FALSE)</f>
        <v>0</v>
      </c>
      <c r="AA40" s="47">
        <f ca="1">VLOOKUP($C40,OFFSET(quests!$A$1,0,0,COUNTA(quests!$A:$A),MATCH(AA$2,quests!$1:$1,0)-MATCH($C$2,quests!$1:$1,0)+1),MATCH(AA$2,quests!$1:$1,0)-MATCH($C$2,quests!$1:$1,0)+1,FALSE)</f>
        <v>1</v>
      </c>
      <c r="AB40" s="7" t="s">
        <v>56</v>
      </c>
      <c r="AC40" s="7">
        <v>8</v>
      </c>
      <c r="AD40" s="7">
        <v>6</v>
      </c>
      <c r="AE40" s="7" t="s">
        <v>519</v>
      </c>
      <c r="AF40" s="7">
        <v>0</v>
      </c>
      <c r="AG40" s="7">
        <v>0</v>
      </c>
      <c r="AH40" s="7">
        <v>0</v>
      </c>
      <c r="AI40" s="7">
        <v>-1</v>
      </c>
      <c r="AJ40" s="7">
        <v>-1</v>
      </c>
      <c r="AK40" s="7" t="s">
        <v>1064</v>
      </c>
      <c r="AL40" s="12" t="s">
        <v>1695</v>
      </c>
      <c r="AM40" s="12" t="s">
        <v>2072</v>
      </c>
    </row>
    <row r="41" spans="1:39" ht="21" customHeight="1" x14ac:dyDescent="0.15">
      <c r="A41" s="42" t="str">
        <f t="shared" si="0"/>
        <v>8_5</v>
      </c>
      <c r="B41" s="23">
        <v>3</v>
      </c>
      <c r="C41" s="6">
        <v>8</v>
      </c>
      <c r="D41" s="47" t="str">
        <f ca="1">VLOOKUP($C41,OFFSET(quests!$A$1,0,0,COUNTA(quests!$A:$A),MATCH(D$1,quests!$1:$1,0)-MATCH($C$2,quests!$1:$1,0)+1),MATCH(D$1,quests!$1:$1,0)-MATCH($C$2,quests!$1:$1,0)+1,FALSE)</f>
        <v>8．ヴィクリー砂漠</v>
      </c>
      <c r="E41" s="48" t="str">
        <f ca="1">VLOOKUP($C41,OFFSET(quests!$A$1,0,0,COUNTA(quests!$A:$A),MATCH(E$2,quests!$1:$1,0)-MATCH($C$2,quests!$1:$1,0)+1),MATCH(E$2,quests!$1:$1,0)-MATCH($C$2,quests!$1:$1,0)+1,FALSE)</f>
        <v>黄DL2</v>
      </c>
      <c r="F41" s="9">
        <v>5</v>
      </c>
      <c r="G41" s="7" t="s">
        <v>570</v>
      </c>
      <c r="H41" s="69" t="s">
        <v>307</v>
      </c>
      <c r="I41" s="12"/>
      <c r="J41" s="12" t="s">
        <v>279</v>
      </c>
      <c r="K41" s="167">
        <v>10</v>
      </c>
      <c r="L41" s="167">
        <v>820</v>
      </c>
      <c r="M41" s="167">
        <v>1</v>
      </c>
      <c r="N41" s="167">
        <v>1</v>
      </c>
      <c r="O41" s="167">
        <v>1</v>
      </c>
      <c r="P41" s="167">
        <v>1</v>
      </c>
      <c r="Q41" s="167">
        <v>1</v>
      </c>
      <c r="R41" s="167">
        <v>3</v>
      </c>
      <c r="S41" s="167" t="s">
        <v>79</v>
      </c>
      <c r="T41" s="167">
        <v>0</v>
      </c>
      <c r="U41" s="7">
        <v>8</v>
      </c>
      <c r="V41" s="7">
        <v>4</v>
      </c>
      <c r="W41" s="47" t="str">
        <f t="shared" ca="1" si="1"/>
        <v>8-4. スピードスターの真髄</v>
      </c>
      <c r="X41" s="47">
        <f ca="1">VLOOKUP($C41,OFFSET(quests!$A$1,0,0,COUNTA(quests!$A:$A),MATCH(X$2,quests!$1:$1,0)-MATCH($C$2,quests!$1:$1,0)+1),MATCH(X$2,quests!$1:$1,0)-MATCH($C$2,quests!$1:$1,0)+1,FALSE)</f>
        <v>0</v>
      </c>
      <c r="Y41" s="47">
        <f ca="1">VLOOKUP($C41,OFFSET(quests!$A$1,0,0,COUNTA(quests!$A:$A),MATCH(Y$2,quests!$1:$1,0)-MATCH($C$2,quests!$1:$1,0)+1),MATCH(Y$2,quests!$1:$1,0)-MATCH($C$2,quests!$1:$1,0)+1,FALSE)</f>
        <v>0</v>
      </c>
      <c r="Z41" s="47">
        <f ca="1">VLOOKUP($C41,OFFSET(quests!$A$1,0,0,COUNTA(quests!$A:$A),MATCH(Z$2,quests!$1:$1,0)-MATCH($C$2,quests!$1:$1,0)+1),MATCH(Z$2,quests!$1:$1,0)-MATCH($C$2,quests!$1:$1,0)+1,FALSE)</f>
        <v>0</v>
      </c>
      <c r="AA41" s="47">
        <f ca="1">VLOOKUP($C41,OFFSET(quests!$A$1,0,0,COUNTA(quests!$A:$A),MATCH(AA$2,quests!$1:$1,0)-MATCH($C$2,quests!$1:$1,0)+1),MATCH(AA$2,quests!$1:$1,0)-MATCH($C$2,quests!$1:$1,0)+1,FALSE)</f>
        <v>1</v>
      </c>
      <c r="AB41" s="7" t="s">
        <v>56</v>
      </c>
      <c r="AC41" s="7">
        <v>8</v>
      </c>
      <c r="AD41" s="7">
        <v>6</v>
      </c>
      <c r="AE41" s="7" t="s">
        <v>519</v>
      </c>
      <c r="AF41" s="33">
        <v>3</v>
      </c>
      <c r="AG41" s="7">
        <v>0</v>
      </c>
      <c r="AH41" s="7">
        <v>0</v>
      </c>
      <c r="AI41" s="7">
        <v>-1</v>
      </c>
      <c r="AJ41" s="7">
        <v>-1</v>
      </c>
      <c r="AK41" s="7" t="s">
        <v>1064</v>
      </c>
      <c r="AL41" s="12" t="s">
        <v>1695</v>
      </c>
      <c r="AM41" s="12" t="s">
        <v>2072</v>
      </c>
    </row>
    <row r="42" spans="1:39" ht="21" customHeight="1" x14ac:dyDescent="0.15">
      <c r="A42" s="42" t="str">
        <f t="shared" si="0"/>
        <v>8_6</v>
      </c>
      <c r="B42" s="23">
        <v>3</v>
      </c>
      <c r="C42" s="10">
        <v>8</v>
      </c>
      <c r="D42" s="47" t="str">
        <f ca="1">VLOOKUP($C42,OFFSET(quests!$A$1,0,0,COUNTA(quests!$A:$A),MATCH(D$1,quests!$1:$1,0)-MATCH($C$2,quests!$1:$1,0)+1),MATCH(D$1,quests!$1:$1,0)-MATCH($C$2,quests!$1:$1,0)+1,FALSE)</f>
        <v>8．ヴィクリー砂漠</v>
      </c>
      <c r="E42" s="48" t="str">
        <f ca="1">VLOOKUP($C42,OFFSET(quests!$A$1,0,0,COUNTA(quests!$A:$A),MATCH(E$2,quests!$1:$1,0)-MATCH($C$2,quests!$1:$1,0)+1),MATCH(E$2,quests!$1:$1,0)-MATCH($C$2,quests!$1:$1,0)+1,FALSE)</f>
        <v>黄DL2</v>
      </c>
      <c r="F42" s="7">
        <v>6</v>
      </c>
      <c r="G42" s="7" t="s">
        <v>570</v>
      </c>
      <c r="H42" s="69" t="s">
        <v>870</v>
      </c>
      <c r="I42" s="12" t="s">
        <v>164</v>
      </c>
      <c r="J42" s="12">
        <v>335</v>
      </c>
      <c r="K42" s="167">
        <v>1</v>
      </c>
      <c r="L42" s="167">
        <v>1</v>
      </c>
      <c r="M42" s="167">
        <v>1</v>
      </c>
      <c r="N42" s="167">
        <v>1</v>
      </c>
      <c r="O42" s="167">
        <v>1</v>
      </c>
      <c r="P42" s="167">
        <v>1</v>
      </c>
      <c r="Q42" s="167">
        <v>1</v>
      </c>
      <c r="R42" s="167">
        <v>3</v>
      </c>
      <c r="S42" s="167" t="s">
        <v>273</v>
      </c>
      <c r="T42" s="191" t="s">
        <v>2154</v>
      </c>
      <c r="U42" s="7">
        <v>8</v>
      </c>
      <c r="V42" s="7">
        <v>5</v>
      </c>
      <c r="W42" s="47" t="str">
        <f t="shared" ca="1" si="1"/>
        <v>8-5. 聖なる渇牙</v>
      </c>
      <c r="X42" s="47">
        <f ca="1">VLOOKUP($C42,OFFSET(quests!$A$1,0,0,COUNTA(quests!$A:$A),MATCH(X$2,quests!$1:$1,0)-MATCH($C$2,quests!$1:$1,0)+1),MATCH(X$2,quests!$1:$1,0)-MATCH($C$2,quests!$1:$1,0)+1,FALSE)</f>
        <v>0</v>
      </c>
      <c r="Y42" s="47">
        <f ca="1">VLOOKUP($C42,OFFSET(quests!$A$1,0,0,COUNTA(quests!$A:$A),MATCH(Y$2,quests!$1:$1,0)-MATCH($C$2,quests!$1:$1,0)+1),MATCH(Y$2,quests!$1:$1,0)-MATCH($C$2,quests!$1:$1,0)+1,FALSE)</f>
        <v>0</v>
      </c>
      <c r="Z42" s="47">
        <f ca="1">VLOOKUP($C42,OFFSET(quests!$A$1,0,0,COUNTA(quests!$A:$A),MATCH(Z$2,quests!$1:$1,0)-MATCH($C$2,quests!$1:$1,0)+1),MATCH(Z$2,quests!$1:$1,0)-MATCH($C$2,quests!$1:$1,0)+1,FALSE)</f>
        <v>0</v>
      </c>
      <c r="AA42" s="47">
        <f ca="1">VLOOKUP($C42,OFFSET(quests!$A$1,0,0,COUNTA(quests!$A:$A),MATCH(AA$2,quests!$1:$1,0)-MATCH($C$2,quests!$1:$1,0)+1),MATCH(AA$2,quests!$1:$1,0)-MATCH($C$2,quests!$1:$1,0)+1,FALSE)</f>
        <v>1</v>
      </c>
      <c r="AB42" s="7" t="s">
        <v>62</v>
      </c>
      <c r="AC42" s="7">
        <v>8</v>
      </c>
      <c r="AD42" s="7">
        <v>6</v>
      </c>
      <c r="AE42" s="7" t="s">
        <v>522</v>
      </c>
      <c r="AF42" s="7">
        <v>1</v>
      </c>
      <c r="AG42" s="7">
        <v>0</v>
      </c>
      <c r="AH42" s="7">
        <v>0</v>
      </c>
      <c r="AI42" s="7">
        <v>-1</v>
      </c>
      <c r="AJ42" s="7">
        <v>-1</v>
      </c>
      <c r="AK42" s="7" t="s">
        <v>1064</v>
      </c>
      <c r="AL42" s="12" t="s">
        <v>1695</v>
      </c>
      <c r="AM42" s="12" t="s">
        <v>2072</v>
      </c>
    </row>
    <row r="43" spans="1:39" ht="21" customHeight="1" x14ac:dyDescent="0.15">
      <c r="A43" s="42" t="str">
        <f t="shared" si="0"/>
        <v>9_1</v>
      </c>
      <c r="B43" s="23">
        <v>3</v>
      </c>
      <c r="C43" s="10">
        <v>9</v>
      </c>
      <c r="D43" s="47" t="str">
        <f ca="1">VLOOKUP($C43,OFFSET(quests!$A$1,0,0,COUNTA(quests!$A:$A),MATCH(D$1,quests!$1:$1,0)-MATCH($C$2,quests!$1:$1,0)+1),MATCH(D$1,quests!$1:$1,0)-MATCH($C$2,quests!$1:$1,0)+1,FALSE)</f>
        <v>9．ラバーズ氷河</v>
      </c>
      <c r="E43" s="48" t="str">
        <f ca="1">VLOOKUP($C43,OFFSET(quests!$A$1,0,0,COUNTA(quests!$A:$A),MATCH(E$2,quests!$1:$1,0)-MATCH($C$2,quests!$1:$1,0)+1),MATCH(E$2,quests!$1:$1,0)-MATCH($C$2,quests!$1:$1,0)+1,FALSE)</f>
        <v>青DL2</v>
      </c>
      <c r="F43" s="7">
        <v>1</v>
      </c>
      <c r="G43" s="7" t="s">
        <v>570</v>
      </c>
      <c r="H43" s="69" t="s">
        <v>308</v>
      </c>
      <c r="I43" s="12"/>
      <c r="J43" s="12" t="s">
        <v>279</v>
      </c>
      <c r="K43" s="167">
        <v>7</v>
      </c>
      <c r="L43" s="167">
        <v>620</v>
      </c>
      <c r="M43" s="167">
        <v>1</v>
      </c>
      <c r="N43" s="167">
        <v>1</v>
      </c>
      <c r="O43" s="167">
        <v>1</v>
      </c>
      <c r="P43" s="167">
        <v>1</v>
      </c>
      <c r="Q43" s="167">
        <v>1</v>
      </c>
      <c r="R43" s="167">
        <v>3</v>
      </c>
      <c r="S43" s="167" t="s">
        <v>79</v>
      </c>
      <c r="T43" s="167">
        <v>0</v>
      </c>
      <c r="U43" s="7">
        <v>8</v>
      </c>
      <c r="V43" s="7">
        <v>6</v>
      </c>
      <c r="W43" s="47" t="str">
        <f t="shared" ca="1" si="1"/>
        <v>8-6.【1回のみ】ボーナスステージ</v>
      </c>
      <c r="X43" s="47">
        <f ca="1">VLOOKUP($C43,OFFSET(quests!$A$1,0,0,COUNTA(quests!$A:$A),MATCH(X$2,quests!$1:$1,0)-MATCH($C$2,quests!$1:$1,0)+1),MATCH(X$2,quests!$1:$1,0)-MATCH($C$2,quests!$1:$1,0)+1,FALSE)</f>
        <v>0</v>
      </c>
      <c r="Y43" s="47">
        <f ca="1">VLOOKUP($C43,OFFSET(quests!$A$1,0,0,COUNTA(quests!$A:$A),MATCH(Y$2,quests!$1:$1,0)-MATCH($C$2,quests!$1:$1,0)+1),MATCH(Y$2,quests!$1:$1,0)-MATCH($C$2,quests!$1:$1,0)+1,FALSE)</f>
        <v>1</v>
      </c>
      <c r="Z43" s="47">
        <f ca="1">VLOOKUP($C43,OFFSET(quests!$A$1,0,0,COUNTA(quests!$A:$A),MATCH(Z$2,quests!$1:$1,0)-MATCH($C$2,quests!$1:$1,0)+1),MATCH(Z$2,quests!$1:$1,0)-MATCH($C$2,quests!$1:$1,0)+1,FALSE)</f>
        <v>0</v>
      </c>
      <c r="AA43" s="47">
        <f ca="1">VLOOKUP($C43,OFFSET(quests!$A$1,0,0,COUNTA(quests!$A:$A),MATCH(AA$2,quests!$1:$1,0)-MATCH($C$2,quests!$1:$1,0)+1),MATCH(AA$2,quests!$1:$1,0)-MATCH($C$2,quests!$1:$1,0)+1,FALSE)</f>
        <v>0</v>
      </c>
      <c r="AB43" s="7" t="s">
        <v>56</v>
      </c>
      <c r="AC43" s="7">
        <v>9</v>
      </c>
      <c r="AD43" s="7">
        <v>6</v>
      </c>
      <c r="AE43" s="7" t="s">
        <v>519</v>
      </c>
      <c r="AF43" s="7">
        <v>0</v>
      </c>
      <c r="AG43" s="7">
        <v>0</v>
      </c>
      <c r="AH43" s="7">
        <v>0</v>
      </c>
      <c r="AI43" s="7">
        <v>-1</v>
      </c>
      <c r="AJ43" s="7">
        <v>-1</v>
      </c>
      <c r="AK43" s="7" t="s">
        <v>1064</v>
      </c>
      <c r="AL43" s="12" t="s">
        <v>1695</v>
      </c>
      <c r="AM43" s="12" t="s">
        <v>2072</v>
      </c>
    </row>
    <row r="44" spans="1:39" ht="21" customHeight="1" x14ac:dyDescent="0.15">
      <c r="A44" s="42" t="str">
        <f t="shared" si="0"/>
        <v>9_2</v>
      </c>
      <c r="B44" s="23">
        <v>3</v>
      </c>
      <c r="C44" s="10">
        <v>9</v>
      </c>
      <c r="D44" s="47" t="str">
        <f ca="1">VLOOKUP($C44,OFFSET(quests!$A$1,0,0,COUNTA(quests!$A:$A),MATCH(D$1,quests!$1:$1,0)-MATCH($C$2,quests!$1:$1,0)+1),MATCH(D$1,quests!$1:$1,0)-MATCH($C$2,quests!$1:$1,0)+1,FALSE)</f>
        <v>9．ラバーズ氷河</v>
      </c>
      <c r="E44" s="48" t="str">
        <f ca="1">VLOOKUP($C44,OFFSET(quests!$A$1,0,0,COUNTA(quests!$A:$A),MATCH(E$2,quests!$1:$1,0)-MATCH($C$2,quests!$1:$1,0)+1),MATCH(E$2,quests!$1:$1,0)-MATCH($C$2,quests!$1:$1,0)+1,FALSE)</f>
        <v>青DL2</v>
      </c>
      <c r="F44" s="7">
        <v>2</v>
      </c>
      <c r="G44" s="7" t="s">
        <v>570</v>
      </c>
      <c r="H44" s="69" t="s">
        <v>309</v>
      </c>
      <c r="I44" s="12"/>
      <c r="J44" s="12" t="s">
        <v>279</v>
      </c>
      <c r="K44" s="167">
        <v>7</v>
      </c>
      <c r="L44" s="167">
        <v>680</v>
      </c>
      <c r="M44" s="167">
        <v>1</v>
      </c>
      <c r="N44" s="167">
        <v>1</v>
      </c>
      <c r="O44" s="167">
        <v>1</v>
      </c>
      <c r="P44" s="167">
        <v>1</v>
      </c>
      <c r="Q44" s="167">
        <v>1</v>
      </c>
      <c r="R44" s="167">
        <v>3</v>
      </c>
      <c r="S44" s="167" t="s">
        <v>79</v>
      </c>
      <c r="T44" s="167">
        <v>0</v>
      </c>
      <c r="U44" s="7">
        <v>9</v>
      </c>
      <c r="V44" s="7">
        <v>1</v>
      </c>
      <c r="W44" s="47" t="str">
        <f t="shared" ca="1" si="1"/>
        <v>9-1. 春を待つ奏者</v>
      </c>
      <c r="X44" s="47">
        <f ca="1">VLOOKUP($C44,OFFSET(quests!$A$1,0,0,COUNTA(quests!$A:$A),MATCH(X$2,quests!$1:$1,0)-MATCH($C$2,quests!$1:$1,0)+1),MATCH(X$2,quests!$1:$1,0)-MATCH($C$2,quests!$1:$1,0)+1,FALSE)</f>
        <v>0</v>
      </c>
      <c r="Y44" s="47">
        <f ca="1">VLOOKUP($C44,OFFSET(quests!$A$1,0,0,COUNTA(quests!$A:$A),MATCH(Y$2,quests!$1:$1,0)-MATCH($C$2,quests!$1:$1,0)+1),MATCH(Y$2,quests!$1:$1,0)-MATCH($C$2,quests!$1:$1,0)+1,FALSE)</f>
        <v>1</v>
      </c>
      <c r="Z44" s="47">
        <f ca="1">VLOOKUP($C44,OFFSET(quests!$A$1,0,0,COUNTA(quests!$A:$A),MATCH(Z$2,quests!$1:$1,0)-MATCH($C$2,quests!$1:$1,0)+1),MATCH(Z$2,quests!$1:$1,0)-MATCH($C$2,quests!$1:$1,0)+1,FALSE)</f>
        <v>0</v>
      </c>
      <c r="AA44" s="47">
        <f ca="1">VLOOKUP($C44,OFFSET(quests!$A$1,0,0,COUNTA(quests!$A:$A),MATCH(AA$2,quests!$1:$1,0)-MATCH($C$2,quests!$1:$1,0)+1),MATCH(AA$2,quests!$1:$1,0)-MATCH($C$2,quests!$1:$1,0)+1,FALSE)</f>
        <v>0</v>
      </c>
      <c r="AB44" s="7" t="s">
        <v>56</v>
      </c>
      <c r="AC44" s="7">
        <v>9</v>
      </c>
      <c r="AD44" s="7">
        <v>6</v>
      </c>
      <c r="AE44" s="7" t="s">
        <v>519</v>
      </c>
      <c r="AF44" s="7">
        <v>0</v>
      </c>
      <c r="AG44" s="7">
        <v>0</v>
      </c>
      <c r="AH44" s="7">
        <v>0</v>
      </c>
      <c r="AI44" s="7">
        <v>-1</v>
      </c>
      <c r="AJ44" s="7">
        <v>-1</v>
      </c>
      <c r="AK44" s="7" t="s">
        <v>1064</v>
      </c>
      <c r="AL44" s="12" t="s">
        <v>1695</v>
      </c>
      <c r="AM44" s="12" t="s">
        <v>2072</v>
      </c>
    </row>
    <row r="45" spans="1:39" ht="21" customHeight="1" x14ac:dyDescent="0.15">
      <c r="A45" s="42" t="str">
        <f t="shared" si="0"/>
        <v>9_3</v>
      </c>
      <c r="B45" s="23">
        <v>3</v>
      </c>
      <c r="C45" s="10">
        <v>9</v>
      </c>
      <c r="D45" s="47" t="str">
        <f ca="1">VLOOKUP($C45,OFFSET(quests!$A$1,0,0,COUNTA(quests!$A:$A),MATCH(D$1,quests!$1:$1,0)-MATCH($C$2,quests!$1:$1,0)+1),MATCH(D$1,quests!$1:$1,0)-MATCH($C$2,quests!$1:$1,0)+1,FALSE)</f>
        <v>9．ラバーズ氷河</v>
      </c>
      <c r="E45" s="48" t="str">
        <f ca="1">VLOOKUP($C45,OFFSET(quests!$A$1,0,0,COUNTA(quests!$A:$A),MATCH(E$2,quests!$1:$1,0)-MATCH($C$2,quests!$1:$1,0)+1),MATCH(E$2,quests!$1:$1,0)-MATCH($C$2,quests!$1:$1,0)+1,FALSE)</f>
        <v>青DL2</v>
      </c>
      <c r="F45" s="7">
        <v>3</v>
      </c>
      <c r="G45" s="7" t="s">
        <v>570</v>
      </c>
      <c r="H45" s="69" t="s">
        <v>310</v>
      </c>
      <c r="I45" s="12"/>
      <c r="J45" s="12" t="s">
        <v>279</v>
      </c>
      <c r="K45" s="167">
        <v>8</v>
      </c>
      <c r="L45" s="167">
        <v>740</v>
      </c>
      <c r="M45" s="167">
        <v>1</v>
      </c>
      <c r="N45" s="167">
        <v>1</v>
      </c>
      <c r="O45" s="167">
        <v>1</v>
      </c>
      <c r="P45" s="167">
        <v>1</v>
      </c>
      <c r="Q45" s="167">
        <v>1</v>
      </c>
      <c r="R45" s="167">
        <v>3</v>
      </c>
      <c r="S45" s="167" t="s">
        <v>79</v>
      </c>
      <c r="T45" s="167">
        <v>0</v>
      </c>
      <c r="U45" s="7">
        <v>9</v>
      </c>
      <c r="V45" s="7">
        <v>2</v>
      </c>
      <c r="W45" s="47" t="str">
        <f t="shared" ca="1" si="1"/>
        <v>9-2. 氷結への案内</v>
      </c>
      <c r="X45" s="47">
        <f ca="1">VLOOKUP($C45,OFFSET(quests!$A$1,0,0,COUNTA(quests!$A:$A),MATCH(X$2,quests!$1:$1,0)-MATCH($C$2,quests!$1:$1,0)+1),MATCH(X$2,quests!$1:$1,0)-MATCH($C$2,quests!$1:$1,0)+1,FALSE)</f>
        <v>0</v>
      </c>
      <c r="Y45" s="47">
        <f ca="1">VLOOKUP($C45,OFFSET(quests!$A$1,0,0,COUNTA(quests!$A:$A),MATCH(Y$2,quests!$1:$1,0)-MATCH($C$2,quests!$1:$1,0)+1),MATCH(Y$2,quests!$1:$1,0)-MATCH($C$2,quests!$1:$1,0)+1,FALSE)</f>
        <v>1</v>
      </c>
      <c r="Z45" s="47">
        <f ca="1">VLOOKUP($C45,OFFSET(quests!$A$1,0,0,COUNTA(quests!$A:$A),MATCH(Z$2,quests!$1:$1,0)-MATCH($C$2,quests!$1:$1,0)+1),MATCH(Z$2,quests!$1:$1,0)-MATCH($C$2,quests!$1:$1,0)+1,FALSE)</f>
        <v>0</v>
      </c>
      <c r="AA45" s="47">
        <f ca="1">VLOOKUP($C45,OFFSET(quests!$A$1,0,0,COUNTA(quests!$A:$A),MATCH(AA$2,quests!$1:$1,0)-MATCH($C$2,quests!$1:$1,0)+1),MATCH(AA$2,quests!$1:$1,0)-MATCH($C$2,quests!$1:$1,0)+1,FALSE)</f>
        <v>0</v>
      </c>
      <c r="AB45" s="7" t="s">
        <v>56</v>
      </c>
      <c r="AC45" s="7">
        <v>9</v>
      </c>
      <c r="AD45" s="7">
        <v>6</v>
      </c>
      <c r="AE45" s="7" t="s">
        <v>519</v>
      </c>
      <c r="AF45" s="7">
        <v>0</v>
      </c>
      <c r="AG45" s="7">
        <v>0</v>
      </c>
      <c r="AH45" s="7">
        <v>0</v>
      </c>
      <c r="AI45" s="7">
        <v>-1</v>
      </c>
      <c r="AJ45" s="7">
        <v>-1</v>
      </c>
      <c r="AK45" s="7" t="s">
        <v>1064</v>
      </c>
      <c r="AL45" s="12" t="s">
        <v>1695</v>
      </c>
      <c r="AM45" s="12" t="s">
        <v>2072</v>
      </c>
    </row>
    <row r="46" spans="1:39" ht="21" customHeight="1" x14ac:dyDescent="0.15">
      <c r="A46" s="42" t="str">
        <f t="shared" si="0"/>
        <v>9_4</v>
      </c>
      <c r="B46" s="23">
        <v>3</v>
      </c>
      <c r="C46" s="10">
        <v>9</v>
      </c>
      <c r="D46" s="47" t="str">
        <f ca="1">VLOOKUP($C46,OFFSET(quests!$A$1,0,0,COUNTA(quests!$A:$A),MATCH(D$1,quests!$1:$1,0)-MATCH($C$2,quests!$1:$1,0)+1),MATCH(D$1,quests!$1:$1,0)-MATCH($C$2,quests!$1:$1,0)+1,FALSE)</f>
        <v>9．ラバーズ氷河</v>
      </c>
      <c r="E46" s="48" t="str">
        <f ca="1">VLOOKUP($C46,OFFSET(quests!$A$1,0,0,COUNTA(quests!$A:$A),MATCH(E$2,quests!$1:$1,0)-MATCH($C$2,quests!$1:$1,0)+1),MATCH(E$2,quests!$1:$1,0)-MATCH($C$2,quests!$1:$1,0)+1,FALSE)</f>
        <v>青DL2</v>
      </c>
      <c r="F46" s="7">
        <v>4</v>
      </c>
      <c r="G46" s="7" t="s">
        <v>570</v>
      </c>
      <c r="H46" s="69" t="s">
        <v>311</v>
      </c>
      <c r="I46" s="12"/>
      <c r="J46" s="12" t="s">
        <v>279</v>
      </c>
      <c r="K46" s="167">
        <v>9</v>
      </c>
      <c r="L46" s="167">
        <v>800</v>
      </c>
      <c r="M46" s="167">
        <v>1</v>
      </c>
      <c r="N46" s="167">
        <v>1</v>
      </c>
      <c r="O46" s="167">
        <v>1</v>
      </c>
      <c r="P46" s="167">
        <v>1</v>
      </c>
      <c r="Q46" s="167">
        <v>1</v>
      </c>
      <c r="R46" s="167">
        <v>3</v>
      </c>
      <c r="S46" s="167" t="s">
        <v>79</v>
      </c>
      <c r="T46" s="167">
        <v>0</v>
      </c>
      <c r="U46" s="7">
        <v>9</v>
      </c>
      <c r="V46" s="7">
        <v>3</v>
      </c>
      <c r="W46" s="47" t="str">
        <f t="shared" ca="1" si="1"/>
        <v>9-3. 大いなる狼拳</v>
      </c>
      <c r="X46" s="47">
        <f ca="1">VLOOKUP($C46,OFFSET(quests!$A$1,0,0,COUNTA(quests!$A:$A),MATCH(X$2,quests!$1:$1,0)-MATCH($C$2,quests!$1:$1,0)+1),MATCH(X$2,quests!$1:$1,0)-MATCH($C$2,quests!$1:$1,0)+1,FALSE)</f>
        <v>0</v>
      </c>
      <c r="Y46" s="47">
        <f ca="1">VLOOKUP($C46,OFFSET(quests!$A$1,0,0,COUNTA(quests!$A:$A),MATCH(Y$2,quests!$1:$1,0)-MATCH($C$2,quests!$1:$1,0)+1),MATCH(Y$2,quests!$1:$1,0)-MATCH($C$2,quests!$1:$1,0)+1,FALSE)</f>
        <v>1</v>
      </c>
      <c r="Z46" s="47">
        <f ca="1">VLOOKUP($C46,OFFSET(quests!$A$1,0,0,COUNTA(quests!$A:$A),MATCH(Z$2,quests!$1:$1,0)-MATCH($C$2,quests!$1:$1,0)+1),MATCH(Z$2,quests!$1:$1,0)-MATCH($C$2,quests!$1:$1,0)+1,FALSE)</f>
        <v>0</v>
      </c>
      <c r="AA46" s="47">
        <f ca="1">VLOOKUP($C46,OFFSET(quests!$A$1,0,0,COUNTA(quests!$A:$A),MATCH(AA$2,quests!$1:$1,0)-MATCH($C$2,quests!$1:$1,0)+1),MATCH(AA$2,quests!$1:$1,0)-MATCH($C$2,quests!$1:$1,0)+1,FALSE)</f>
        <v>0</v>
      </c>
      <c r="AB46" s="7" t="s">
        <v>56</v>
      </c>
      <c r="AC46" s="7">
        <v>9</v>
      </c>
      <c r="AD46" s="7">
        <v>6</v>
      </c>
      <c r="AE46" s="7" t="s">
        <v>519</v>
      </c>
      <c r="AF46" s="7">
        <v>0</v>
      </c>
      <c r="AG46" s="7">
        <v>0</v>
      </c>
      <c r="AH46" s="7">
        <v>0</v>
      </c>
      <c r="AI46" s="7">
        <v>-1</v>
      </c>
      <c r="AJ46" s="7">
        <v>-1</v>
      </c>
      <c r="AK46" s="7" t="s">
        <v>1064</v>
      </c>
      <c r="AL46" s="12" t="s">
        <v>1695</v>
      </c>
      <c r="AM46" s="12" t="s">
        <v>2072</v>
      </c>
    </row>
    <row r="47" spans="1:39" ht="21" customHeight="1" x14ac:dyDescent="0.15">
      <c r="A47" s="42" t="str">
        <f t="shared" si="0"/>
        <v>9_5</v>
      </c>
      <c r="B47" s="23">
        <v>3</v>
      </c>
      <c r="C47" s="6">
        <v>9</v>
      </c>
      <c r="D47" s="47" t="str">
        <f ca="1">VLOOKUP($C47,OFFSET(quests!$A$1,0,0,COUNTA(quests!$A:$A),MATCH(D$1,quests!$1:$1,0)-MATCH($C$2,quests!$1:$1,0)+1),MATCH(D$1,quests!$1:$1,0)-MATCH($C$2,quests!$1:$1,0)+1,FALSE)</f>
        <v>9．ラバーズ氷河</v>
      </c>
      <c r="E47" s="48" t="str">
        <f ca="1">VLOOKUP($C47,OFFSET(quests!$A$1,0,0,COUNTA(quests!$A:$A),MATCH(E$2,quests!$1:$1,0)-MATCH($C$2,quests!$1:$1,0)+1),MATCH(E$2,quests!$1:$1,0)-MATCH($C$2,quests!$1:$1,0)+1,FALSE)</f>
        <v>青DL2</v>
      </c>
      <c r="F47" s="9">
        <v>5</v>
      </c>
      <c r="G47" s="7" t="s">
        <v>570</v>
      </c>
      <c r="H47" s="69" t="s">
        <v>312</v>
      </c>
      <c r="I47" s="12"/>
      <c r="J47" s="12" t="s">
        <v>279</v>
      </c>
      <c r="K47" s="167">
        <v>13</v>
      </c>
      <c r="L47" s="167">
        <v>980</v>
      </c>
      <c r="M47" s="167">
        <v>1</v>
      </c>
      <c r="N47" s="167">
        <v>1</v>
      </c>
      <c r="O47" s="167">
        <v>1</v>
      </c>
      <c r="P47" s="167">
        <v>1</v>
      </c>
      <c r="Q47" s="167">
        <v>1</v>
      </c>
      <c r="R47" s="167">
        <v>3</v>
      </c>
      <c r="S47" s="167" t="s">
        <v>79</v>
      </c>
      <c r="T47" s="167">
        <v>0</v>
      </c>
      <c r="U47" s="7">
        <v>9</v>
      </c>
      <c r="V47" s="7">
        <v>4</v>
      </c>
      <c r="W47" s="47" t="str">
        <f t="shared" ca="1" si="1"/>
        <v>9-4. 溶けゆく氷塊</v>
      </c>
      <c r="X47" s="47">
        <f ca="1">VLOOKUP($C47,OFFSET(quests!$A$1,0,0,COUNTA(quests!$A:$A),MATCH(X$2,quests!$1:$1,0)-MATCH($C$2,quests!$1:$1,0)+1),MATCH(X$2,quests!$1:$1,0)-MATCH($C$2,quests!$1:$1,0)+1,FALSE)</f>
        <v>0</v>
      </c>
      <c r="Y47" s="47">
        <f ca="1">VLOOKUP($C47,OFFSET(quests!$A$1,0,0,COUNTA(quests!$A:$A),MATCH(Y$2,quests!$1:$1,0)-MATCH($C$2,quests!$1:$1,0)+1),MATCH(Y$2,quests!$1:$1,0)-MATCH($C$2,quests!$1:$1,0)+1,FALSE)</f>
        <v>1</v>
      </c>
      <c r="Z47" s="47">
        <f ca="1">VLOOKUP($C47,OFFSET(quests!$A$1,0,0,COUNTA(quests!$A:$A),MATCH(Z$2,quests!$1:$1,0)-MATCH($C$2,quests!$1:$1,0)+1),MATCH(Z$2,quests!$1:$1,0)-MATCH($C$2,quests!$1:$1,0)+1,FALSE)</f>
        <v>0</v>
      </c>
      <c r="AA47" s="47">
        <f ca="1">VLOOKUP($C47,OFFSET(quests!$A$1,0,0,COUNTA(quests!$A:$A),MATCH(AA$2,quests!$1:$1,0)-MATCH($C$2,quests!$1:$1,0)+1),MATCH(AA$2,quests!$1:$1,0)-MATCH($C$2,quests!$1:$1,0)+1,FALSE)</f>
        <v>0</v>
      </c>
      <c r="AB47" s="7" t="s">
        <v>56</v>
      </c>
      <c r="AC47" s="7">
        <v>9</v>
      </c>
      <c r="AD47" s="7">
        <v>6</v>
      </c>
      <c r="AE47" s="7" t="s">
        <v>519</v>
      </c>
      <c r="AF47" s="33">
        <v>3</v>
      </c>
      <c r="AG47" s="7">
        <v>0</v>
      </c>
      <c r="AH47" s="7">
        <v>0</v>
      </c>
      <c r="AI47" s="7">
        <v>-1</v>
      </c>
      <c r="AJ47" s="7">
        <v>-1</v>
      </c>
      <c r="AK47" s="7" t="s">
        <v>1064</v>
      </c>
      <c r="AL47" s="12" t="s">
        <v>1695</v>
      </c>
      <c r="AM47" s="12" t="s">
        <v>2072</v>
      </c>
    </row>
    <row r="48" spans="1:39" ht="21" customHeight="1" x14ac:dyDescent="0.15">
      <c r="A48" s="42" t="str">
        <f t="shared" si="0"/>
        <v>9_6</v>
      </c>
      <c r="B48" s="23">
        <v>3</v>
      </c>
      <c r="C48" s="10">
        <v>9</v>
      </c>
      <c r="D48" s="47" t="str">
        <f ca="1">VLOOKUP($C48,OFFSET(quests!$A$1,0,0,COUNTA(quests!$A:$A),MATCH(D$1,quests!$1:$1,0)-MATCH($C$2,quests!$1:$1,0)+1),MATCH(D$1,quests!$1:$1,0)-MATCH($C$2,quests!$1:$1,0)+1,FALSE)</f>
        <v>9．ラバーズ氷河</v>
      </c>
      <c r="E48" s="48" t="str">
        <f ca="1">VLOOKUP($C48,OFFSET(quests!$A$1,0,0,COUNTA(quests!$A:$A),MATCH(E$2,quests!$1:$1,0)-MATCH($C$2,quests!$1:$1,0)+1),MATCH(E$2,quests!$1:$1,0)-MATCH($C$2,quests!$1:$1,0)+1,FALSE)</f>
        <v>青DL2</v>
      </c>
      <c r="F48" s="7">
        <v>6</v>
      </c>
      <c r="G48" s="7" t="s">
        <v>570</v>
      </c>
      <c r="H48" s="69" t="s">
        <v>871</v>
      </c>
      <c r="I48" s="12" t="s">
        <v>164</v>
      </c>
      <c r="J48" s="12">
        <v>335</v>
      </c>
      <c r="K48" s="167">
        <v>1</v>
      </c>
      <c r="L48" s="167">
        <v>1</v>
      </c>
      <c r="M48" s="167">
        <v>1</v>
      </c>
      <c r="N48" s="167">
        <v>1</v>
      </c>
      <c r="O48" s="167">
        <v>1</v>
      </c>
      <c r="P48" s="167">
        <v>1</v>
      </c>
      <c r="Q48" s="167">
        <v>1</v>
      </c>
      <c r="R48" s="167">
        <v>3</v>
      </c>
      <c r="S48" s="167" t="s">
        <v>273</v>
      </c>
      <c r="T48" s="191" t="s">
        <v>2157</v>
      </c>
      <c r="U48" s="7">
        <v>9</v>
      </c>
      <c r="V48" s="7">
        <v>5</v>
      </c>
      <c r="W48" s="47" t="str">
        <f t="shared" ca="1" si="1"/>
        <v>9-5. 聖なる渦爪</v>
      </c>
      <c r="X48" s="47">
        <f ca="1">VLOOKUP($C48,OFFSET(quests!$A$1,0,0,COUNTA(quests!$A:$A),MATCH(X$2,quests!$1:$1,0)-MATCH($C$2,quests!$1:$1,0)+1),MATCH(X$2,quests!$1:$1,0)-MATCH($C$2,quests!$1:$1,0)+1,FALSE)</f>
        <v>0</v>
      </c>
      <c r="Y48" s="47">
        <f ca="1">VLOOKUP($C48,OFFSET(quests!$A$1,0,0,COUNTA(quests!$A:$A),MATCH(Y$2,quests!$1:$1,0)-MATCH($C$2,quests!$1:$1,0)+1),MATCH(Y$2,quests!$1:$1,0)-MATCH($C$2,quests!$1:$1,0)+1,FALSE)</f>
        <v>1</v>
      </c>
      <c r="Z48" s="47">
        <f ca="1">VLOOKUP($C48,OFFSET(quests!$A$1,0,0,COUNTA(quests!$A:$A),MATCH(Z$2,quests!$1:$1,0)-MATCH($C$2,quests!$1:$1,0)+1),MATCH(Z$2,quests!$1:$1,0)-MATCH($C$2,quests!$1:$1,0)+1,FALSE)</f>
        <v>0</v>
      </c>
      <c r="AA48" s="47">
        <f ca="1">VLOOKUP($C48,OFFSET(quests!$A$1,0,0,COUNTA(quests!$A:$A),MATCH(AA$2,quests!$1:$1,0)-MATCH($C$2,quests!$1:$1,0)+1),MATCH(AA$2,quests!$1:$1,0)-MATCH($C$2,quests!$1:$1,0)+1,FALSE)</f>
        <v>0</v>
      </c>
      <c r="AB48" s="7" t="s">
        <v>62</v>
      </c>
      <c r="AC48" s="7">
        <v>9</v>
      </c>
      <c r="AD48" s="7">
        <v>6</v>
      </c>
      <c r="AE48" s="7" t="s">
        <v>522</v>
      </c>
      <c r="AF48" s="7">
        <v>1</v>
      </c>
      <c r="AG48" s="7">
        <v>0</v>
      </c>
      <c r="AH48" s="7">
        <v>0</v>
      </c>
      <c r="AI48" s="7">
        <v>-1</v>
      </c>
      <c r="AJ48" s="7">
        <v>-1</v>
      </c>
      <c r="AK48" s="7" t="s">
        <v>1064</v>
      </c>
      <c r="AL48" s="12" t="s">
        <v>1695</v>
      </c>
      <c r="AM48" s="12" t="s">
        <v>2072</v>
      </c>
    </row>
    <row r="49" spans="1:39" ht="21" customHeight="1" x14ac:dyDescent="0.15">
      <c r="A49" s="42" t="str">
        <f t="shared" si="0"/>
        <v>10_1</v>
      </c>
      <c r="B49" s="23">
        <v>3</v>
      </c>
      <c r="C49" s="10">
        <v>10</v>
      </c>
      <c r="D49" s="47" t="str">
        <f ca="1">VLOOKUP($C49,OFFSET(quests!$A$1,0,0,COUNTA(quests!$A:$A),MATCH(D$1,quests!$1:$1,0)-MATCH($C$2,quests!$1:$1,0)+1),MATCH(D$1,quests!$1:$1,0)-MATCH($C$2,quests!$1:$1,0)+1,FALSE)</f>
        <v>10．奥散水の紅葉岩</v>
      </c>
      <c r="E49" s="48" t="str">
        <f ca="1">VLOOKUP($C49,OFFSET(quests!$A$1,0,0,COUNTA(quests!$A:$A),MATCH(E$2,quests!$1:$1,0)-MATCH($C$2,quests!$1:$1,0)+1),MATCH(E$2,quests!$1:$1,0)-MATCH($C$2,quests!$1:$1,0)+1,FALSE)</f>
        <v>赤DL2</v>
      </c>
      <c r="F49" s="7">
        <v>1</v>
      </c>
      <c r="G49" s="7" t="s">
        <v>570</v>
      </c>
      <c r="H49" s="69" t="s">
        <v>313</v>
      </c>
      <c r="I49" s="12"/>
      <c r="J49" s="12" t="s">
        <v>279</v>
      </c>
      <c r="K49" s="167">
        <v>8</v>
      </c>
      <c r="L49" s="167">
        <v>680</v>
      </c>
      <c r="M49" s="167">
        <v>1</v>
      </c>
      <c r="N49" s="167">
        <v>1</v>
      </c>
      <c r="O49" s="167">
        <v>1</v>
      </c>
      <c r="P49" s="167">
        <v>1</v>
      </c>
      <c r="Q49" s="167">
        <v>1</v>
      </c>
      <c r="R49" s="167">
        <v>3</v>
      </c>
      <c r="S49" s="167" t="s">
        <v>79</v>
      </c>
      <c r="T49" s="167">
        <v>0</v>
      </c>
      <c r="U49" s="7">
        <v>9</v>
      </c>
      <c r="V49" s="7">
        <v>6</v>
      </c>
      <c r="W49" s="47" t="str">
        <f t="shared" ca="1" si="1"/>
        <v>9-6. 【1回のみ】ボーナスステージ</v>
      </c>
      <c r="X49" s="47">
        <f ca="1">VLOOKUP($C49,OFFSET(quests!$A$1,0,0,COUNTA(quests!$A:$A),MATCH(X$2,quests!$1:$1,0)-MATCH($C$2,quests!$1:$1,0)+1),MATCH(X$2,quests!$1:$1,0)-MATCH($C$2,quests!$1:$1,0)+1,FALSE)</f>
        <v>1</v>
      </c>
      <c r="Y49" s="47">
        <f ca="1">VLOOKUP($C49,OFFSET(quests!$A$1,0,0,COUNTA(quests!$A:$A),MATCH(Y$2,quests!$1:$1,0)-MATCH($C$2,quests!$1:$1,0)+1),MATCH(Y$2,quests!$1:$1,0)-MATCH($C$2,quests!$1:$1,0)+1,FALSE)</f>
        <v>0</v>
      </c>
      <c r="Z49" s="47">
        <f ca="1">VLOOKUP($C49,OFFSET(quests!$A$1,0,0,COUNTA(quests!$A:$A),MATCH(Z$2,quests!$1:$1,0)-MATCH($C$2,quests!$1:$1,0)+1),MATCH(Z$2,quests!$1:$1,0)-MATCH($C$2,quests!$1:$1,0)+1,FALSE)</f>
        <v>0</v>
      </c>
      <c r="AA49" s="47">
        <f ca="1">VLOOKUP($C49,OFFSET(quests!$A$1,0,0,COUNTA(quests!$A:$A),MATCH(AA$2,quests!$1:$1,0)-MATCH($C$2,quests!$1:$1,0)+1),MATCH(AA$2,quests!$1:$1,0)-MATCH($C$2,quests!$1:$1,0)+1,FALSE)</f>
        <v>0</v>
      </c>
      <c r="AB49" s="7" t="s">
        <v>56</v>
      </c>
      <c r="AC49" s="7">
        <v>10</v>
      </c>
      <c r="AD49" s="7">
        <v>6</v>
      </c>
      <c r="AE49" s="7" t="s">
        <v>519</v>
      </c>
      <c r="AF49" s="7">
        <v>0</v>
      </c>
      <c r="AG49" s="7">
        <v>0</v>
      </c>
      <c r="AH49" s="7">
        <v>0</v>
      </c>
      <c r="AI49" s="7">
        <v>-1</v>
      </c>
      <c r="AJ49" s="7">
        <v>-1</v>
      </c>
      <c r="AK49" s="7" t="s">
        <v>1064</v>
      </c>
      <c r="AL49" s="12" t="s">
        <v>1695</v>
      </c>
      <c r="AM49" s="12" t="s">
        <v>2072</v>
      </c>
    </row>
    <row r="50" spans="1:39" ht="21" customHeight="1" x14ac:dyDescent="0.15">
      <c r="A50" s="42" t="str">
        <f t="shared" si="0"/>
        <v>10_2</v>
      </c>
      <c r="B50" s="23">
        <v>3</v>
      </c>
      <c r="C50" s="10">
        <v>10</v>
      </c>
      <c r="D50" s="47" t="str">
        <f ca="1">VLOOKUP($C50,OFFSET(quests!$A$1,0,0,COUNTA(quests!$A:$A),MATCH(D$1,quests!$1:$1,0)-MATCH($C$2,quests!$1:$1,0)+1),MATCH(D$1,quests!$1:$1,0)-MATCH($C$2,quests!$1:$1,0)+1,FALSE)</f>
        <v>10．奥散水の紅葉岩</v>
      </c>
      <c r="E50" s="48" t="str">
        <f ca="1">VLOOKUP($C50,OFFSET(quests!$A$1,0,0,COUNTA(quests!$A:$A),MATCH(E$2,quests!$1:$1,0)-MATCH($C$2,quests!$1:$1,0)+1),MATCH(E$2,quests!$1:$1,0)-MATCH($C$2,quests!$1:$1,0)+1,FALSE)</f>
        <v>赤DL2</v>
      </c>
      <c r="F50" s="7">
        <v>2</v>
      </c>
      <c r="G50" s="7" t="s">
        <v>570</v>
      </c>
      <c r="H50" s="69" t="s">
        <v>314</v>
      </c>
      <c r="I50" s="12"/>
      <c r="J50" s="12" t="s">
        <v>279</v>
      </c>
      <c r="K50" s="167">
        <v>8</v>
      </c>
      <c r="L50" s="167">
        <v>740</v>
      </c>
      <c r="M50" s="167">
        <v>1</v>
      </c>
      <c r="N50" s="167">
        <v>1</v>
      </c>
      <c r="O50" s="167">
        <v>1</v>
      </c>
      <c r="P50" s="167">
        <v>1</v>
      </c>
      <c r="Q50" s="167">
        <v>1</v>
      </c>
      <c r="R50" s="167">
        <v>3</v>
      </c>
      <c r="S50" s="167" t="s">
        <v>79</v>
      </c>
      <c r="T50" s="167">
        <v>0</v>
      </c>
      <c r="U50" s="7">
        <v>10</v>
      </c>
      <c r="V50" s="7">
        <v>1</v>
      </c>
      <c r="W50" s="47" t="str">
        <f t="shared" ca="1" si="1"/>
        <v>10-1. ほろ酔い紅葉狩り</v>
      </c>
      <c r="X50" s="47">
        <f ca="1">VLOOKUP($C50,OFFSET(quests!$A$1,0,0,COUNTA(quests!$A:$A),MATCH(X$2,quests!$1:$1,0)-MATCH($C$2,quests!$1:$1,0)+1),MATCH(X$2,quests!$1:$1,0)-MATCH($C$2,quests!$1:$1,0)+1,FALSE)</f>
        <v>1</v>
      </c>
      <c r="Y50" s="47">
        <f ca="1">VLOOKUP($C50,OFFSET(quests!$A$1,0,0,COUNTA(quests!$A:$A),MATCH(Y$2,quests!$1:$1,0)-MATCH($C$2,quests!$1:$1,0)+1),MATCH(Y$2,quests!$1:$1,0)-MATCH($C$2,quests!$1:$1,0)+1,FALSE)</f>
        <v>0</v>
      </c>
      <c r="Z50" s="47">
        <f ca="1">VLOOKUP($C50,OFFSET(quests!$A$1,0,0,COUNTA(quests!$A:$A),MATCH(Z$2,quests!$1:$1,0)-MATCH($C$2,quests!$1:$1,0)+1),MATCH(Z$2,quests!$1:$1,0)-MATCH($C$2,quests!$1:$1,0)+1,FALSE)</f>
        <v>0</v>
      </c>
      <c r="AA50" s="47">
        <f ca="1">VLOOKUP($C50,OFFSET(quests!$A$1,0,0,COUNTA(quests!$A:$A),MATCH(AA$2,quests!$1:$1,0)-MATCH($C$2,quests!$1:$1,0)+1),MATCH(AA$2,quests!$1:$1,0)-MATCH($C$2,quests!$1:$1,0)+1,FALSE)</f>
        <v>0</v>
      </c>
      <c r="AB50" s="7" t="s">
        <v>56</v>
      </c>
      <c r="AC50" s="7">
        <v>10</v>
      </c>
      <c r="AD50" s="7">
        <v>6</v>
      </c>
      <c r="AE50" s="7" t="s">
        <v>519</v>
      </c>
      <c r="AF50" s="7">
        <v>0</v>
      </c>
      <c r="AG50" s="7">
        <v>0</v>
      </c>
      <c r="AH50" s="7">
        <v>0</v>
      </c>
      <c r="AI50" s="7">
        <v>-1</v>
      </c>
      <c r="AJ50" s="7">
        <v>-1</v>
      </c>
      <c r="AK50" s="7" t="s">
        <v>1064</v>
      </c>
      <c r="AL50" s="12" t="s">
        <v>1695</v>
      </c>
      <c r="AM50" s="12" t="s">
        <v>2072</v>
      </c>
    </row>
    <row r="51" spans="1:39" ht="21" customHeight="1" x14ac:dyDescent="0.15">
      <c r="A51" s="42" t="str">
        <f t="shared" si="0"/>
        <v>10_3</v>
      </c>
      <c r="B51" s="23">
        <v>3</v>
      </c>
      <c r="C51" s="10">
        <v>10</v>
      </c>
      <c r="D51" s="47" t="str">
        <f ca="1">VLOOKUP($C51,OFFSET(quests!$A$1,0,0,COUNTA(quests!$A:$A),MATCH(D$1,quests!$1:$1,0)-MATCH($C$2,quests!$1:$1,0)+1),MATCH(D$1,quests!$1:$1,0)-MATCH($C$2,quests!$1:$1,0)+1,FALSE)</f>
        <v>10．奥散水の紅葉岩</v>
      </c>
      <c r="E51" s="48" t="str">
        <f ca="1">VLOOKUP($C51,OFFSET(quests!$A$1,0,0,COUNTA(quests!$A:$A),MATCH(E$2,quests!$1:$1,0)-MATCH($C$2,quests!$1:$1,0)+1),MATCH(E$2,quests!$1:$1,0)-MATCH($C$2,quests!$1:$1,0)+1,FALSE)</f>
        <v>赤DL2</v>
      </c>
      <c r="F51" s="7">
        <v>3</v>
      </c>
      <c r="G51" s="7" t="s">
        <v>570</v>
      </c>
      <c r="H51" s="69" t="s">
        <v>315</v>
      </c>
      <c r="I51" s="12"/>
      <c r="J51" s="12" t="s">
        <v>279</v>
      </c>
      <c r="K51" s="167">
        <v>9</v>
      </c>
      <c r="L51" s="167">
        <v>800</v>
      </c>
      <c r="M51" s="167">
        <v>1</v>
      </c>
      <c r="N51" s="167">
        <v>1</v>
      </c>
      <c r="O51" s="167">
        <v>1</v>
      </c>
      <c r="P51" s="167">
        <v>1</v>
      </c>
      <c r="Q51" s="167">
        <v>1</v>
      </c>
      <c r="R51" s="167">
        <v>3</v>
      </c>
      <c r="S51" s="167" t="s">
        <v>79</v>
      </c>
      <c r="T51" s="167">
        <v>0</v>
      </c>
      <c r="U51" s="7">
        <v>10</v>
      </c>
      <c r="V51" s="7">
        <v>2</v>
      </c>
      <c r="W51" s="47" t="str">
        <f t="shared" ca="1" si="1"/>
        <v>10-2. 岩陰からの襲来</v>
      </c>
      <c r="X51" s="47">
        <f ca="1">VLOOKUP($C51,OFFSET(quests!$A$1,0,0,COUNTA(quests!$A:$A),MATCH(X$2,quests!$1:$1,0)-MATCH($C$2,quests!$1:$1,0)+1),MATCH(X$2,quests!$1:$1,0)-MATCH($C$2,quests!$1:$1,0)+1,FALSE)</f>
        <v>1</v>
      </c>
      <c r="Y51" s="47">
        <f ca="1">VLOOKUP($C51,OFFSET(quests!$A$1,0,0,COUNTA(quests!$A:$A),MATCH(Y$2,quests!$1:$1,0)-MATCH($C$2,quests!$1:$1,0)+1),MATCH(Y$2,quests!$1:$1,0)-MATCH($C$2,quests!$1:$1,0)+1,FALSE)</f>
        <v>0</v>
      </c>
      <c r="Z51" s="47">
        <f ca="1">VLOOKUP($C51,OFFSET(quests!$A$1,0,0,COUNTA(quests!$A:$A),MATCH(Z$2,quests!$1:$1,0)-MATCH($C$2,quests!$1:$1,0)+1),MATCH(Z$2,quests!$1:$1,0)-MATCH($C$2,quests!$1:$1,0)+1,FALSE)</f>
        <v>0</v>
      </c>
      <c r="AA51" s="47">
        <f ca="1">VLOOKUP($C51,OFFSET(quests!$A$1,0,0,COUNTA(quests!$A:$A),MATCH(AA$2,quests!$1:$1,0)-MATCH($C$2,quests!$1:$1,0)+1),MATCH(AA$2,quests!$1:$1,0)-MATCH($C$2,quests!$1:$1,0)+1,FALSE)</f>
        <v>0</v>
      </c>
      <c r="AB51" s="7" t="s">
        <v>56</v>
      </c>
      <c r="AC51" s="7">
        <v>10</v>
      </c>
      <c r="AD51" s="7">
        <v>6</v>
      </c>
      <c r="AE51" s="7" t="s">
        <v>519</v>
      </c>
      <c r="AF51" s="7">
        <v>0</v>
      </c>
      <c r="AG51" s="7">
        <v>0</v>
      </c>
      <c r="AH51" s="7">
        <v>0</v>
      </c>
      <c r="AI51" s="7">
        <v>-1</v>
      </c>
      <c r="AJ51" s="7">
        <v>-1</v>
      </c>
      <c r="AK51" s="7" t="s">
        <v>1064</v>
      </c>
      <c r="AL51" s="12" t="s">
        <v>1695</v>
      </c>
      <c r="AM51" s="12" t="s">
        <v>2072</v>
      </c>
    </row>
    <row r="52" spans="1:39" ht="21" customHeight="1" x14ac:dyDescent="0.15">
      <c r="A52" s="42" t="str">
        <f t="shared" si="0"/>
        <v>10_4</v>
      </c>
      <c r="B52" s="23">
        <v>3</v>
      </c>
      <c r="C52" s="10">
        <v>10</v>
      </c>
      <c r="D52" s="47" t="str">
        <f ca="1">VLOOKUP($C52,OFFSET(quests!$A$1,0,0,COUNTA(quests!$A:$A),MATCH(D$1,quests!$1:$1,0)-MATCH($C$2,quests!$1:$1,0)+1),MATCH(D$1,quests!$1:$1,0)-MATCH($C$2,quests!$1:$1,0)+1,FALSE)</f>
        <v>10．奥散水の紅葉岩</v>
      </c>
      <c r="E52" s="48" t="str">
        <f ca="1">VLOOKUP($C52,OFFSET(quests!$A$1,0,0,COUNTA(quests!$A:$A),MATCH(E$2,quests!$1:$1,0)-MATCH($C$2,quests!$1:$1,0)+1),MATCH(E$2,quests!$1:$1,0)-MATCH($C$2,quests!$1:$1,0)+1,FALSE)</f>
        <v>赤DL2</v>
      </c>
      <c r="F52" s="7">
        <v>4</v>
      </c>
      <c r="G52" s="7" t="s">
        <v>570</v>
      </c>
      <c r="H52" s="69" t="s">
        <v>316</v>
      </c>
      <c r="I52" s="12"/>
      <c r="J52" s="12" t="s">
        <v>279</v>
      </c>
      <c r="K52" s="167">
        <v>9</v>
      </c>
      <c r="L52" s="167">
        <v>860</v>
      </c>
      <c r="M52" s="167">
        <v>1</v>
      </c>
      <c r="N52" s="167">
        <v>1</v>
      </c>
      <c r="O52" s="167">
        <v>1</v>
      </c>
      <c r="P52" s="167">
        <v>1</v>
      </c>
      <c r="Q52" s="167">
        <v>1</v>
      </c>
      <c r="R52" s="167">
        <v>3</v>
      </c>
      <c r="S52" s="167" t="s">
        <v>79</v>
      </c>
      <c r="T52" s="167">
        <v>0</v>
      </c>
      <c r="U52" s="7">
        <v>10</v>
      </c>
      <c r="V52" s="7">
        <v>3</v>
      </c>
      <c r="W52" s="47" t="str">
        <f t="shared" ca="1" si="1"/>
        <v>10-3. ３つの眼孔</v>
      </c>
      <c r="X52" s="47">
        <f ca="1">VLOOKUP($C52,OFFSET(quests!$A$1,0,0,COUNTA(quests!$A:$A),MATCH(X$2,quests!$1:$1,0)-MATCH($C$2,quests!$1:$1,0)+1),MATCH(X$2,quests!$1:$1,0)-MATCH($C$2,quests!$1:$1,0)+1,FALSE)</f>
        <v>1</v>
      </c>
      <c r="Y52" s="47">
        <f ca="1">VLOOKUP($C52,OFFSET(quests!$A$1,0,0,COUNTA(quests!$A:$A),MATCH(Y$2,quests!$1:$1,0)-MATCH($C$2,quests!$1:$1,0)+1),MATCH(Y$2,quests!$1:$1,0)-MATCH($C$2,quests!$1:$1,0)+1,FALSE)</f>
        <v>0</v>
      </c>
      <c r="Z52" s="47">
        <f ca="1">VLOOKUP($C52,OFFSET(quests!$A$1,0,0,COUNTA(quests!$A:$A),MATCH(Z$2,quests!$1:$1,0)-MATCH($C$2,quests!$1:$1,0)+1),MATCH(Z$2,quests!$1:$1,0)-MATCH($C$2,quests!$1:$1,0)+1,FALSE)</f>
        <v>0</v>
      </c>
      <c r="AA52" s="47">
        <f ca="1">VLOOKUP($C52,OFFSET(quests!$A$1,0,0,COUNTA(quests!$A:$A),MATCH(AA$2,quests!$1:$1,0)-MATCH($C$2,quests!$1:$1,0)+1),MATCH(AA$2,quests!$1:$1,0)-MATCH($C$2,quests!$1:$1,0)+1,FALSE)</f>
        <v>0</v>
      </c>
      <c r="AB52" s="7" t="s">
        <v>56</v>
      </c>
      <c r="AC52" s="7">
        <v>10</v>
      </c>
      <c r="AD52" s="7">
        <v>6</v>
      </c>
      <c r="AE52" s="7" t="s">
        <v>519</v>
      </c>
      <c r="AF52" s="7">
        <v>0</v>
      </c>
      <c r="AG52" s="7">
        <v>0</v>
      </c>
      <c r="AH52" s="7">
        <v>0</v>
      </c>
      <c r="AI52" s="7">
        <v>-1</v>
      </c>
      <c r="AJ52" s="7">
        <v>-1</v>
      </c>
      <c r="AK52" s="7" t="s">
        <v>1064</v>
      </c>
      <c r="AL52" s="12" t="s">
        <v>1695</v>
      </c>
      <c r="AM52" s="12" t="s">
        <v>2072</v>
      </c>
    </row>
    <row r="53" spans="1:39" ht="21" customHeight="1" x14ac:dyDescent="0.15">
      <c r="A53" s="42" t="str">
        <f t="shared" si="0"/>
        <v>10_5</v>
      </c>
      <c r="B53" s="23">
        <v>3</v>
      </c>
      <c r="C53" s="6">
        <v>10</v>
      </c>
      <c r="D53" s="47" t="str">
        <f ca="1">VLOOKUP($C53,OFFSET(quests!$A$1,0,0,COUNTA(quests!$A:$A),MATCH(D$1,quests!$1:$1,0)-MATCH($C$2,quests!$1:$1,0)+1),MATCH(D$1,quests!$1:$1,0)-MATCH($C$2,quests!$1:$1,0)+1,FALSE)</f>
        <v>10．奥散水の紅葉岩</v>
      </c>
      <c r="E53" s="48" t="str">
        <f ca="1">VLOOKUP($C53,OFFSET(quests!$A$1,0,0,COUNTA(quests!$A:$A),MATCH(E$2,quests!$1:$1,0)-MATCH($C$2,quests!$1:$1,0)+1),MATCH(E$2,quests!$1:$1,0)-MATCH($C$2,quests!$1:$1,0)+1,FALSE)</f>
        <v>赤DL2</v>
      </c>
      <c r="F53" s="9">
        <v>5</v>
      </c>
      <c r="G53" s="7" t="s">
        <v>570</v>
      </c>
      <c r="H53" s="69" t="s">
        <v>317</v>
      </c>
      <c r="I53" s="12"/>
      <c r="J53" s="12" t="s">
        <v>279</v>
      </c>
      <c r="K53" s="167">
        <v>13</v>
      </c>
      <c r="L53" s="167">
        <v>1140</v>
      </c>
      <c r="M53" s="167">
        <v>1</v>
      </c>
      <c r="N53" s="167">
        <v>1</v>
      </c>
      <c r="O53" s="167">
        <v>1</v>
      </c>
      <c r="P53" s="167">
        <v>1</v>
      </c>
      <c r="Q53" s="167">
        <v>1</v>
      </c>
      <c r="R53" s="167">
        <v>3</v>
      </c>
      <c r="S53" s="167" t="s">
        <v>79</v>
      </c>
      <c r="T53" s="167">
        <v>0</v>
      </c>
      <c r="U53" s="7">
        <v>10</v>
      </c>
      <c r="V53" s="7">
        <v>4</v>
      </c>
      <c r="W53" s="47" t="str">
        <f t="shared" ca="1" si="1"/>
        <v>10-4. 覚醒の泥酔者</v>
      </c>
      <c r="X53" s="47">
        <f ca="1">VLOOKUP($C53,OFFSET(quests!$A$1,0,0,COUNTA(quests!$A:$A),MATCH(X$2,quests!$1:$1,0)-MATCH($C$2,quests!$1:$1,0)+1),MATCH(X$2,quests!$1:$1,0)-MATCH($C$2,quests!$1:$1,0)+1,FALSE)</f>
        <v>1</v>
      </c>
      <c r="Y53" s="47">
        <f ca="1">VLOOKUP($C53,OFFSET(quests!$A$1,0,0,COUNTA(quests!$A:$A),MATCH(Y$2,quests!$1:$1,0)-MATCH($C$2,quests!$1:$1,0)+1),MATCH(Y$2,quests!$1:$1,0)-MATCH($C$2,quests!$1:$1,0)+1,FALSE)</f>
        <v>0</v>
      </c>
      <c r="Z53" s="47">
        <f ca="1">VLOOKUP($C53,OFFSET(quests!$A$1,0,0,COUNTA(quests!$A:$A),MATCH(Z$2,quests!$1:$1,0)-MATCH($C$2,quests!$1:$1,0)+1),MATCH(Z$2,quests!$1:$1,0)-MATCH($C$2,quests!$1:$1,0)+1,FALSE)</f>
        <v>0</v>
      </c>
      <c r="AA53" s="47">
        <f ca="1">VLOOKUP($C53,OFFSET(quests!$A$1,0,0,COUNTA(quests!$A:$A),MATCH(AA$2,quests!$1:$1,0)-MATCH($C$2,quests!$1:$1,0)+1),MATCH(AA$2,quests!$1:$1,0)-MATCH($C$2,quests!$1:$1,0)+1,FALSE)</f>
        <v>0</v>
      </c>
      <c r="AB53" s="7" t="s">
        <v>56</v>
      </c>
      <c r="AC53" s="7">
        <v>10</v>
      </c>
      <c r="AD53" s="7">
        <v>6</v>
      </c>
      <c r="AE53" s="7" t="s">
        <v>519</v>
      </c>
      <c r="AF53" s="33">
        <v>3</v>
      </c>
      <c r="AG53" s="7">
        <v>0</v>
      </c>
      <c r="AH53" s="7">
        <v>0</v>
      </c>
      <c r="AI53" s="7">
        <v>-1</v>
      </c>
      <c r="AJ53" s="7">
        <v>-1</v>
      </c>
      <c r="AK53" s="7" t="s">
        <v>1064</v>
      </c>
      <c r="AL53" s="12" t="s">
        <v>1695</v>
      </c>
      <c r="AM53" s="12" t="s">
        <v>2072</v>
      </c>
    </row>
    <row r="54" spans="1:39" ht="21" customHeight="1" x14ac:dyDescent="0.15">
      <c r="A54" s="42" t="str">
        <f t="shared" si="0"/>
        <v>10_6</v>
      </c>
      <c r="B54" s="23">
        <v>3</v>
      </c>
      <c r="C54" s="10">
        <v>10</v>
      </c>
      <c r="D54" s="47" t="str">
        <f ca="1">VLOOKUP($C54,OFFSET(quests!$A$1,0,0,COUNTA(quests!$A:$A),MATCH(D$1,quests!$1:$1,0)-MATCH($C$2,quests!$1:$1,0)+1),MATCH(D$1,quests!$1:$1,0)-MATCH($C$2,quests!$1:$1,0)+1,FALSE)</f>
        <v>10．奥散水の紅葉岩</v>
      </c>
      <c r="E54" s="48" t="str">
        <f ca="1">VLOOKUP($C54,OFFSET(quests!$A$1,0,0,COUNTA(quests!$A:$A),MATCH(E$2,quests!$1:$1,0)-MATCH($C$2,quests!$1:$1,0)+1),MATCH(E$2,quests!$1:$1,0)-MATCH($C$2,quests!$1:$1,0)+1,FALSE)</f>
        <v>赤DL2</v>
      </c>
      <c r="F54" s="7">
        <v>6</v>
      </c>
      <c r="G54" s="7" t="s">
        <v>570</v>
      </c>
      <c r="H54" s="69" t="s">
        <v>872</v>
      </c>
      <c r="I54" s="12" t="s">
        <v>164</v>
      </c>
      <c r="J54" s="12">
        <v>335</v>
      </c>
      <c r="K54" s="167">
        <v>1</v>
      </c>
      <c r="L54" s="167">
        <v>1</v>
      </c>
      <c r="M54" s="167">
        <v>1</v>
      </c>
      <c r="N54" s="167">
        <v>1</v>
      </c>
      <c r="O54" s="167">
        <v>1</v>
      </c>
      <c r="P54" s="167">
        <v>1</v>
      </c>
      <c r="Q54" s="167">
        <v>1</v>
      </c>
      <c r="R54" s="167">
        <v>3</v>
      </c>
      <c r="S54" s="167" t="s">
        <v>273</v>
      </c>
      <c r="T54" s="191" t="s">
        <v>2158</v>
      </c>
      <c r="U54" s="7">
        <v>10</v>
      </c>
      <c r="V54" s="7">
        <v>5</v>
      </c>
      <c r="W54" s="47" t="str">
        <f t="shared" ca="1" si="1"/>
        <v>10-5. 聖なる炎翼</v>
      </c>
      <c r="X54" s="47">
        <f ca="1">VLOOKUP($C54,OFFSET(quests!$A$1,0,0,COUNTA(quests!$A:$A),MATCH(X$2,quests!$1:$1,0)-MATCH($C$2,quests!$1:$1,0)+1),MATCH(X$2,quests!$1:$1,0)-MATCH($C$2,quests!$1:$1,0)+1,FALSE)</f>
        <v>1</v>
      </c>
      <c r="Y54" s="47">
        <f ca="1">VLOOKUP($C54,OFFSET(quests!$A$1,0,0,COUNTA(quests!$A:$A),MATCH(Y$2,quests!$1:$1,0)-MATCH($C$2,quests!$1:$1,0)+1),MATCH(Y$2,quests!$1:$1,0)-MATCH($C$2,quests!$1:$1,0)+1,FALSE)</f>
        <v>0</v>
      </c>
      <c r="Z54" s="47">
        <f ca="1">VLOOKUP($C54,OFFSET(quests!$A$1,0,0,COUNTA(quests!$A:$A),MATCH(Z$2,quests!$1:$1,0)-MATCH($C$2,quests!$1:$1,0)+1),MATCH(Z$2,quests!$1:$1,0)-MATCH($C$2,quests!$1:$1,0)+1,FALSE)</f>
        <v>0</v>
      </c>
      <c r="AA54" s="47">
        <f ca="1">VLOOKUP($C54,OFFSET(quests!$A$1,0,0,COUNTA(quests!$A:$A),MATCH(AA$2,quests!$1:$1,0)-MATCH($C$2,quests!$1:$1,0)+1),MATCH(AA$2,quests!$1:$1,0)-MATCH($C$2,quests!$1:$1,0)+1,FALSE)</f>
        <v>0</v>
      </c>
      <c r="AB54" s="7" t="s">
        <v>62</v>
      </c>
      <c r="AC54" s="7">
        <v>10</v>
      </c>
      <c r="AD54" s="7">
        <v>6</v>
      </c>
      <c r="AE54" s="7" t="s">
        <v>522</v>
      </c>
      <c r="AF54" s="7">
        <v>1</v>
      </c>
      <c r="AG54" s="7">
        <v>0</v>
      </c>
      <c r="AH54" s="7">
        <v>0</v>
      </c>
      <c r="AI54" s="7">
        <v>-1</v>
      </c>
      <c r="AJ54" s="7">
        <v>-1</v>
      </c>
      <c r="AK54" s="7" t="s">
        <v>1064</v>
      </c>
      <c r="AL54" s="12" t="s">
        <v>1695</v>
      </c>
      <c r="AM54" s="12" t="s">
        <v>2072</v>
      </c>
    </row>
    <row r="55" spans="1:39" ht="21" customHeight="1" x14ac:dyDescent="0.15">
      <c r="A55" s="42" t="str">
        <f t="shared" si="0"/>
        <v>11_1</v>
      </c>
      <c r="B55" s="23">
        <v>3</v>
      </c>
      <c r="C55" s="10">
        <v>11</v>
      </c>
      <c r="D55" s="47" t="str">
        <f ca="1">VLOOKUP($C55,OFFSET(quests!$A$1,0,0,COUNTA(quests!$A:$A),MATCH(D$1,quests!$1:$1,0)-MATCH($C$2,quests!$1:$1,0)+1),MATCH(D$1,quests!$1:$1,0)-MATCH($C$2,quests!$1:$1,0)+1,FALSE)</f>
        <v>11．ディープソート戦場跡</v>
      </c>
      <c r="E55" s="48" t="str">
        <f ca="1">VLOOKUP($C55,OFFSET(quests!$A$1,0,0,COUNTA(quests!$A:$A),MATCH(E$2,quests!$1:$1,0)-MATCH($C$2,quests!$1:$1,0)+1),MATCH(E$2,quests!$1:$1,0)-MATCH($C$2,quests!$1:$1,0)+1,FALSE)</f>
        <v>混色DL2</v>
      </c>
      <c r="F55" s="7">
        <v>1</v>
      </c>
      <c r="G55" s="7" t="s">
        <v>570</v>
      </c>
      <c r="H55" s="69" t="s">
        <v>318</v>
      </c>
      <c r="I55" s="12"/>
      <c r="J55" s="12" t="s">
        <v>279</v>
      </c>
      <c r="K55" s="167">
        <v>7</v>
      </c>
      <c r="L55" s="167">
        <v>860</v>
      </c>
      <c r="M55" s="167">
        <v>1</v>
      </c>
      <c r="N55" s="167">
        <v>1</v>
      </c>
      <c r="O55" s="167">
        <v>1</v>
      </c>
      <c r="P55" s="167">
        <v>1</v>
      </c>
      <c r="Q55" s="167">
        <v>1</v>
      </c>
      <c r="R55" s="167">
        <v>3</v>
      </c>
      <c r="S55" s="167" t="s">
        <v>79</v>
      </c>
      <c r="T55" s="167">
        <v>0</v>
      </c>
      <c r="U55" s="7">
        <v>10</v>
      </c>
      <c r="V55" s="7">
        <v>6</v>
      </c>
      <c r="W55" s="47" t="str">
        <f t="shared" ca="1" si="1"/>
        <v>10-6. 【1回のみ】ボーナスステージ</v>
      </c>
      <c r="X55" s="47">
        <f ca="1">VLOOKUP($C55,OFFSET(quests!$A$1,0,0,COUNTA(quests!$A:$A),MATCH(X$2,quests!$1:$1,0)-MATCH($C$2,quests!$1:$1,0)+1),MATCH(X$2,quests!$1:$1,0)-MATCH($C$2,quests!$1:$1,0)+1,FALSE)</f>
        <v>1</v>
      </c>
      <c r="Y55" s="47">
        <f ca="1">VLOOKUP($C55,OFFSET(quests!$A$1,0,0,COUNTA(quests!$A:$A),MATCH(Y$2,quests!$1:$1,0)-MATCH($C$2,quests!$1:$1,0)+1),MATCH(Y$2,quests!$1:$1,0)-MATCH($C$2,quests!$1:$1,0)+1,FALSE)</f>
        <v>1</v>
      </c>
      <c r="Z55" s="47">
        <f ca="1">VLOOKUP($C55,OFFSET(quests!$A$1,0,0,COUNTA(quests!$A:$A),MATCH(Z$2,quests!$1:$1,0)-MATCH($C$2,quests!$1:$1,0)+1),MATCH(Z$2,quests!$1:$1,0)-MATCH($C$2,quests!$1:$1,0)+1,FALSE)</f>
        <v>1</v>
      </c>
      <c r="AA55" s="47">
        <f ca="1">VLOOKUP($C55,OFFSET(quests!$A$1,0,0,COUNTA(quests!$A:$A),MATCH(AA$2,quests!$1:$1,0)-MATCH($C$2,quests!$1:$1,0)+1),MATCH(AA$2,quests!$1:$1,0)-MATCH($C$2,quests!$1:$1,0)+1,FALSE)</f>
        <v>1</v>
      </c>
      <c r="AB55" s="7" t="s">
        <v>56</v>
      </c>
      <c r="AC55" s="7">
        <v>11</v>
      </c>
      <c r="AD55" s="7">
        <v>6</v>
      </c>
      <c r="AE55" s="7" t="s">
        <v>519</v>
      </c>
      <c r="AF55" s="7">
        <v>0</v>
      </c>
      <c r="AG55" s="7">
        <v>0</v>
      </c>
      <c r="AH55" s="7">
        <v>0</v>
      </c>
      <c r="AI55" s="7">
        <v>-1</v>
      </c>
      <c r="AJ55" s="7">
        <v>-1</v>
      </c>
      <c r="AK55" s="7" t="s">
        <v>1064</v>
      </c>
      <c r="AL55" s="12" t="s">
        <v>1695</v>
      </c>
      <c r="AM55" s="12" t="s">
        <v>2072</v>
      </c>
    </row>
    <row r="56" spans="1:39" ht="21" customHeight="1" x14ac:dyDescent="0.15">
      <c r="A56" s="42" t="str">
        <f t="shared" si="0"/>
        <v>11_2</v>
      </c>
      <c r="B56" s="23">
        <v>3</v>
      </c>
      <c r="C56" s="10">
        <v>11</v>
      </c>
      <c r="D56" s="47" t="str">
        <f ca="1">VLOOKUP($C56,OFFSET(quests!$A$1,0,0,COUNTA(quests!$A:$A),MATCH(D$1,quests!$1:$1,0)-MATCH($C$2,quests!$1:$1,0)+1),MATCH(D$1,quests!$1:$1,0)-MATCH($C$2,quests!$1:$1,0)+1,FALSE)</f>
        <v>11．ディープソート戦場跡</v>
      </c>
      <c r="E56" s="48" t="str">
        <f ca="1">VLOOKUP($C56,OFFSET(quests!$A$1,0,0,COUNTA(quests!$A:$A),MATCH(E$2,quests!$1:$1,0)-MATCH($C$2,quests!$1:$1,0)+1),MATCH(E$2,quests!$1:$1,0)-MATCH($C$2,quests!$1:$1,0)+1,FALSE)</f>
        <v>混色DL2</v>
      </c>
      <c r="F56" s="7">
        <v>2</v>
      </c>
      <c r="G56" s="7" t="s">
        <v>570</v>
      </c>
      <c r="H56" s="69" t="s">
        <v>319</v>
      </c>
      <c r="I56" s="12"/>
      <c r="J56" s="12" t="s">
        <v>279</v>
      </c>
      <c r="K56" s="167">
        <v>7</v>
      </c>
      <c r="L56" s="167">
        <v>900</v>
      </c>
      <c r="M56" s="167">
        <v>1</v>
      </c>
      <c r="N56" s="167">
        <v>1</v>
      </c>
      <c r="O56" s="167">
        <v>1</v>
      </c>
      <c r="P56" s="167">
        <v>1</v>
      </c>
      <c r="Q56" s="167">
        <v>1</v>
      </c>
      <c r="R56" s="167">
        <v>3</v>
      </c>
      <c r="S56" s="167" t="s">
        <v>79</v>
      </c>
      <c r="T56" s="167">
        <v>0</v>
      </c>
      <c r="U56" s="7">
        <v>11</v>
      </c>
      <c r="V56" s="7">
        <v>1</v>
      </c>
      <c r="W56" s="47" t="str">
        <f t="shared" ca="1" si="1"/>
        <v>11-1. 記憶の扉</v>
      </c>
      <c r="X56" s="47">
        <f ca="1">VLOOKUP($C56,OFFSET(quests!$A$1,0,0,COUNTA(quests!$A:$A),MATCH(X$2,quests!$1:$1,0)-MATCH($C$2,quests!$1:$1,0)+1),MATCH(X$2,quests!$1:$1,0)-MATCH($C$2,quests!$1:$1,0)+1,FALSE)</f>
        <v>1</v>
      </c>
      <c r="Y56" s="47">
        <f ca="1">VLOOKUP($C56,OFFSET(quests!$A$1,0,0,COUNTA(quests!$A:$A),MATCH(Y$2,quests!$1:$1,0)-MATCH($C$2,quests!$1:$1,0)+1),MATCH(Y$2,quests!$1:$1,0)-MATCH($C$2,quests!$1:$1,0)+1,FALSE)</f>
        <v>1</v>
      </c>
      <c r="Z56" s="47">
        <f ca="1">VLOOKUP($C56,OFFSET(quests!$A$1,0,0,COUNTA(quests!$A:$A),MATCH(Z$2,quests!$1:$1,0)-MATCH($C$2,quests!$1:$1,0)+1),MATCH(Z$2,quests!$1:$1,0)-MATCH($C$2,quests!$1:$1,0)+1,FALSE)</f>
        <v>1</v>
      </c>
      <c r="AA56" s="47">
        <f ca="1">VLOOKUP($C56,OFFSET(quests!$A$1,0,0,COUNTA(quests!$A:$A),MATCH(AA$2,quests!$1:$1,0)-MATCH($C$2,quests!$1:$1,0)+1),MATCH(AA$2,quests!$1:$1,0)-MATCH($C$2,quests!$1:$1,0)+1,FALSE)</f>
        <v>1</v>
      </c>
      <c r="AB56" s="7" t="s">
        <v>56</v>
      </c>
      <c r="AC56" s="7">
        <v>11</v>
      </c>
      <c r="AD56" s="7">
        <v>6</v>
      </c>
      <c r="AE56" s="7" t="s">
        <v>519</v>
      </c>
      <c r="AF56" s="7">
        <v>0</v>
      </c>
      <c r="AG56" s="7">
        <v>0</v>
      </c>
      <c r="AH56" s="7">
        <v>0</v>
      </c>
      <c r="AI56" s="7">
        <v>-1</v>
      </c>
      <c r="AJ56" s="7">
        <v>-1</v>
      </c>
      <c r="AK56" s="7" t="s">
        <v>1064</v>
      </c>
      <c r="AL56" s="12" t="s">
        <v>1695</v>
      </c>
      <c r="AM56" s="12" t="s">
        <v>2072</v>
      </c>
    </row>
    <row r="57" spans="1:39" ht="21" customHeight="1" x14ac:dyDescent="0.15">
      <c r="A57" s="42" t="str">
        <f t="shared" si="0"/>
        <v>11_3</v>
      </c>
      <c r="B57" s="23">
        <v>3</v>
      </c>
      <c r="C57" s="10">
        <v>11</v>
      </c>
      <c r="D57" s="47" t="str">
        <f ca="1">VLOOKUP($C57,OFFSET(quests!$A$1,0,0,COUNTA(quests!$A:$A),MATCH(D$1,quests!$1:$1,0)-MATCH($C$2,quests!$1:$1,0)+1),MATCH(D$1,quests!$1:$1,0)-MATCH($C$2,quests!$1:$1,0)+1,FALSE)</f>
        <v>11．ディープソート戦場跡</v>
      </c>
      <c r="E57" s="48" t="str">
        <f ca="1">VLOOKUP($C57,OFFSET(quests!$A$1,0,0,COUNTA(quests!$A:$A),MATCH(E$2,quests!$1:$1,0)-MATCH($C$2,quests!$1:$1,0)+1),MATCH(E$2,quests!$1:$1,0)-MATCH($C$2,quests!$1:$1,0)+1,FALSE)</f>
        <v>混色DL2</v>
      </c>
      <c r="F57" s="7">
        <v>3</v>
      </c>
      <c r="G57" s="7" t="s">
        <v>570</v>
      </c>
      <c r="H57" s="69" t="s">
        <v>320</v>
      </c>
      <c r="I57" s="12"/>
      <c r="J57" s="12" t="s">
        <v>279</v>
      </c>
      <c r="K57" s="167">
        <v>8</v>
      </c>
      <c r="L57" s="167">
        <v>1020</v>
      </c>
      <c r="M57" s="167">
        <v>1</v>
      </c>
      <c r="N57" s="167">
        <v>1</v>
      </c>
      <c r="O57" s="167">
        <v>1</v>
      </c>
      <c r="P57" s="167">
        <v>1</v>
      </c>
      <c r="Q57" s="167">
        <v>1</v>
      </c>
      <c r="R57" s="167">
        <v>3</v>
      </c>
      <c r="S57" s="167" t="s">
        <v>79</v>
      </c>
      <c r="T57" s="167">
        <v>0</v>
      </c>
      <c r="U57" s="7">
        <v>11</v>
      </c>
      <c r="V57" s="7">
        <v>2</v>
      </c>
      <c r="W57" s="47" t="str">
        <f t="shared" ca="1" si="1"/>
        <v>11-2. 兵どもの夢の跡</v>
      </c>
      <c r="X57" s="47">
        <f ca="1">VLOOKUP($C57,OFFSET(quests!$A$1,0,0,COUNTA(quests!$A:$A),MATCH(X$2,quests!$1:$1,0)-MATCH($C$2,quests!$1:$1,0)+1),MATCH(X$2,quests!$1:$1,0)-MATCH($C$2,quests!$1:$1,0)+1,FALSE)</f>
        <v>1</v>
      </c>
      <c r="Y57" s="47">
        <f ca="1">VLOOKUP($C57,OFFSET(quests!$A$1,0,0,COUNTA(quests!$A:$A),MATCH(Y$2,quests!$1:$1,0)-MATCH($C$2,quests!$1:$1,0)+1),MATCH(Y$2,quests!$1:$1,0)-MATCH($C$2,quests!$1:$1,0)+1,FALSE)</f>
        <v>1</v>
      </c>
      <c r="Z57" s="47">
        <f ca="1">VLOOKUP($C57,OFFSET(quests!$A$1,0,0,COUNTA(quests!$A:$A),MATCH(Z$2,quests!$1:$1,0)-MATCH($C$2,quests!$1:$1,0)+1),MATCH(Z$2,quests!$1:$1,0)-MATCH($C$2,quests!$1:$1,0)+1,FALSE)</f>
        <v>1</v>
      </c>
      <c r="AA57" s="47">
        <f ca="1">VLOOKUP($C57,OFFSET(quests!$A$1,0,0,COUNTA(quests!$A:$A),MATCH(AA$2,quests!$1:$1,0)-MATCH($C$2,quests!$1:$1,0)+1),MATCH(AA$2,quests!$1:$1,0)-MATCH($C$2,quests!$1:$1,0)+1,FALSE)</f>
        <v>1</v>
      </c>
      <c r="AB57" s="7" t="s">
        <v>56</v>
      </c>
      <c r="AC57" s="7">
        <v>11</v>
      </c>
      <c r="AD57" s="7">
        <v>6</v>
      </c>
      <c r="AE57" s="7" t="s">
        <v>519</v>
      </c>
      <c r="AF57" s="7">
        <v>0</v>
      </c>
      <c r="AG57" s="7">
        <v>0</v>
      </c>
      <c r="AH57" s="7">
        <v>0</v>
      </c>
      <c r="AI57" s="7">
        <v>-1</v>
      </c>
      <c r="AJ57" s="7">
        <v>-1</v>
      </c>
      <c r="AK57" s="7" t="s">
        <v>1064</v>
      </c>
      <c r="AL57" s="12" t="s">
        <v>1695</v>
      </c>
      <c r="AM57" s="12" t="s">
        <v>2072</v>
      </c>
    </row>
    <row r="58" spans="1:39" ht="21" customHeight="1" x14ac:dyDescent="0.15">
      <c r="A58" s="42" t="str">
        <f t="shared" si="0"/>
        <v>11_4</v>
      </c>
      <c r="B58" s="23">
        <v>3</v>
      </c>
      <c r="C58" s="10">
        <v>11</v>
      </c>
      <c r="D58" s="47" t="str">
        <f ca="1">VLOOKUP($C58,OFFSET(quests!$A$1,0,0,COUNTA(quests!$A:$A),MATCH(D$1,quests!$1:$1,0)-MATCH($C$2,quests!$1:$1,0)+1),MATCH(D$1,quests!$1:$1,0)-MATCH($C$2,quests!$1:$1,0)+1,FALSE)</f>
        <v>11．ディープソート戦場跡</v>
      </c>
      <c r="E58" s="48" t="str">
        <f ca="1">VLOOKUP($C58,OFFSET(quests!$A$1,0,0,COUNTA(quests!$A:$A),MATCH(E$2,quests!$1:$1,0)-MATCH($C$2,quests!$1:$1,0)+1),MATCH(E$2,quests!$1:$1,0)-MATCH($C$2,quests!$1:$1,0)+1,FALSE)</f>
        <v>混色DL2</v>
      </c>
      <c r="F58" s="7">
        <v>4</v>
      </c>
      <c r="G58" s="7" t="s">
        <v>570</v>
      </c>
      <c r="H58" s="69" t="s">
        <v>321</v>
      </c>
      <c r="I58" s="12"/>
      <c r="J58" s="12" t="s">
        <v>279</v>
      </c>
      <c r="K58" s="167">
        <v>9</v>
      </c>
      <c r="L58" s="167">
        <v>1160</v>
      </c>
      <c r="M58" s="167">
        <v>1</v>
      </c>
      <c r="N58" s="167">
        <v>1</v>
      </c>
      <c r="O58" s="167">
        <v>1</v>
      </c>
      <c r="P58" s="167">
        <v>1</v>
      </c>
      <c r="Q58" s="167">
        <v>1</v>
      </c>
      <c r="R58" s="167">
        <v>3</v>
      </c>
      <c r="S58" s="167" t="s">
        <v>79</v>
      </c>
      <c r="T58" s="167">
        <v>0</v>
      </c>
      <c r="U58" s="7">
        <v>11</v>
      </c>
      <c r="V58" s="7">
        <v>3</v>
      </c>
      <c r="W58" s="47" t="str">
        <f t="shared" ca="1" si="1"/>
        <v>11-3. 繰り返される戦争</v>
      </c>
      <c r="X58" s="47">
        <f ca="1">VLOOKUP($C58,OFFSET(quests!$A$1,0,0,COUNTA(quests!$A:$A),MATCH(X$2,quests!$1:$1,0)-MATCH($C$2,quests!$1:$1,0)+1),MATCH(X$2,quests!$1:$1,0)-MATCH($C$2,quests!$1:$1,0)+1,FALSE)</f>
        <v>1</v>
      </c>
      <c r="Y58" s="47">
        <f ca="1">VLOOKUP($C58,OFFSET(quests!$A$1,0,0,COUNTA(quests!$A:$A),MATCH(Y$2,quests!$1:$1,0)-MATCH($C$2,quests!$1:$1,0)+1),MATCH(Y$2,quests!$1:$1,0)-MATCH($C$2,quests!$1:$1,0)+1,FALSE)</f>
        <v>1</v>
      </c>
      <c r="Z58" s="47">
        <f ca="1">VLOOKUP($C58,OFFSET(quests!$A$1,0,0,COUNTA(quests!$A:$A),MATCH(Z$2,quests!$1:$1,0)-MATCH($C$2,quests!$1:$1,0)+1),MATCH(Z$2,quests!$1:$1,0)-MATCH($C$2,quests!$1:$1,0)+1,FALSE)</f>
        <v>1</v>
      </c>
      <c r="AA58" s="47">
        <f ca="1">VLOOKUP($C58,OFFSET(quests!$A$1,0,0,COUNTA(quests!$A:$A),MATCH(AA$2,quests!$1:$1,0)-MATCH($C$2,quests!$1:$1,0)+1),MATCH(AA$2,quests!$1:$1,0)-MATCH($C$2,quests!$1:$1,0)+1,FALSE)</f>
        <v>1</v>
      </c>
      <c r="AB58" s="7" t="s">
        <v>56</v>
      </c>
      <c r="AC58" s="7">
        <v>11</v>
      </c>
      <c r="AD58" s="7">
        <v>6</v>
      </c>
      <c r="AE58" s="7" t="s">
        <v>519</v>
      </c>
      <c r="AF58" s="7">
        <v>0</v>
      </c>
      <c r="AG58" s="7">
        <v>0</v>
      </c>
      <c r="AH58" s="7">
        <v>0</v>
      </c>
      <c r="AI58" s="7">
        <v>-1</v>
      </c>
      <c r="AJ58" s="7">
        <v>-1</v>
      </c>
      <c r="AK58" s="7" t="s">
        <v>1064</v>
      </c>
      <c r="AL58" s="12" t="s">
        <v>1695</v>
      </c>
      <c r="AM58" s="12" t="s">
        <v>2072</v>
      </c>
    </row>
    <row r="59" spans="1:39" ht="21" customHeight="1" x14ac:dyDescent="0.15">
      <c r="A59" s="42" t="str">
        <f t="shared" si="0"/>
        <v>11_5</v>
      </c>
      <c r="B59" s="23">
        <v>3</v>
      </c>
      <c r="C59" s="10">
        <v>11</v>
      </c>
      <c r="D59" s="47" t="str">
        <f ca="1">VLOOKUP($C59,OFFSET(quests!$A$1,0,0,COUNTA(quests!$A:$A),MATCH(D$1,quests!$1:$1,0)-MATCH($C$2,quests!$1:$1,0)+1),MATCH(D$1,quests!$1:$1,0)-MATCH($C$2,quests!$1:$1,0)+1,FALSE)</f>
        <v>11．ディープソート戦場跡</v>
      </c>
      <c r="E59" s="48" t="str">
        <f ca="1">VLOOKUP($C59,OFFSET(quests!$A$1,0,0,COUNTA(quests!$A:$A),MATCH(E$2,quests!$1:$1,0)-MATCH($C$2,quests!$1:$1,0)+1),MATCH(E$2,quests!$1:$1,0)-MATCH($C$2,quests!$1:$1,0)+1,FALSE)</f>
        <v>混色DL2</v>
      </c>
      <c r="F59" s="9">
        <v>5</v>
      </c>
      <c r="G59" s="7" t="s">
        <v>570</v>
      </c>
      <c r="H59" s="69" t="s">
        <v>322</v>
      </c>
      <c r="I59" s="12"/>
      <c r="J59" s="12" t="s">
        <v>279</v>
      </c>
      <c r="K59" s="167">
        <v>15</v>
      </c>
      <c r="L59" s="167">
        <v>1400</v>
      </c>
      <c r="M59" s="167">
        <v>1</v>
      </c>
      <c r="N59" s="167">
        <v>1</v>
      </c>
      <c r="O59" s="167">
        <v>1</v>
      </c>
      <c r="P59" s="167">
        <v>1</v>
      </c>
      <c r="Q59" s="167">
        <v>1</v>
      </c>
      <c r="R59" s="167">
        <v>3</v>
      </c>
      <c r="S59" s="167" t="s">
        <v>79</v>
      </c>
      <c r="T59" s="167">
        <v>0</v>
      </c>
      <c r="U59" s="7">
        <v>11</v>
      </c>
      <c r="V59" s="7">
        <v>4</v>
      </c>
      <c r="W59" s="47" t="str">
        <f t="shared" ca="1" si="1"/>
        <v>11-4. チェックメイトへの布石</v>
      </c>
      <c r="X59" s="47">
        <f ca="1">VLOOKUP($C59,OFFSET(quests!$A$1,0,0,COUNTA(quests!$A:$A),MATCH(X$2,quests!$1:$1,0)-MATCH($C$2,quests!$1:$1,0)+1),MATCH(X$2,quests!$1:$1,0)-MATCH($C$2,quests!$1:$1,0)+1,FALSE)</f>
        <v>1</v>
      </c>
      <c r="Y59" s="47">
        <f ca="1">VLOOKUP($C59,OFFSET(quests!$A$1,0,0,COUNTA(quests!$A:$A),MATCH(Y$2,quests!$1:$1,0)-MATCH($C$2,quests!$1:$1,0)+1),MATCH(Y$2,quests!$1:$1,0)-MATCH($C$2,quests!$1:$1,0)+1,FALSE)</f>
        <v>1</v>
      </c>
      <c r="Z59" s="47">
        <f ca="1">VLOOKUP($C59,OFFSET(quests!$A$1,0,0,COUNTA(quests!$A:$A),MATCH(Z$2,quests!$1:$1,0)-MATCH($C$2,quests!$1:$1,0)+1),MATCH(Z$2,quests!$1:$1,0)-MATCH($C$2,quests!$1:$1,0)+1,FALSE)</f>
        <v>1</v>
      </c>
      <c r="AA59" s="47">
        <f ca="1">VLOOKUP($C59,OFFSET(quests!$A$1,0,0,COUNTA(quests!$A:$A),MATCH(AA$2,quests!$1:$1,0)-MATCH($C$2,quests!$1:$1,0)+1),MATCH(AA$2,quests!$1:$1,0)-MATCH($C$2,quests!$1:$1,0)+1,FALSE)</f>
        <v>1</v>
      </c>
      <c r="AB59" s="7" t="s">
        <v>56</v>
      </c>
      <c r="AC59" s="7">
        <v>11</v>
      </c>
      <c r="AD59" s="7">
        <v>6</v>
      </c>
      <c r="AE59" s="7" t="s">
        <v>519</v>
      </c>
      <c r="AF59" s="33">
        <v>3</v>
      </c>
      <c r="AG59" s="7">
        <v>0</v>
      </c>
      <c r="AH59" s="7">
        <v>0</v>
      </c>
      <c r="AI59" s="7">
        <v>-1</v>
      </c>
      <c r="AJ59" s="7">
        <v>-1</v>
      </c>
      <c r="AK59" s="7" t="s">
        <v>1064</v>
      </c>
      <c r="AL59" s="12" t="s">
        <v>1695</v>
      </c>
      <c r="AM59" s="12" t="s">
        <v>2072</v>
      </c>
    </row>
    <row r="60" spans="1:39" ht="21" customHeight="1" x14ac:dyDescent="0.15">
      <c r="A60" s="42" t="str">
        <f t="shared" si="0"/>
        <v>11_6</v>
      </c>
      <c r="B60" s="23">
        <v>3</v>
      </c>
      <c r="C60" s="10">
        <v>11</v>
      </c>
      <c r="D60" s="47" t="str">
        <f ca="1">VLOOKUP($C60,OFFSET(quests!$A$1,0,0,COUNTA(quests!$A:$A),MATCH(D$1,quests!$1:$1,0)-MATCH($C$2,quests!$1:$1,0)+1),MATCH(D$1,quests!$1:$1,0)-MATCH($C$2,quests!$1:$1,0)+1,FALSE)</f>
        <v>11．ディープソート戦場跡</v>
      </c>
      <c r="E60" s="48" t="str">
        <f ca="1">VLOOKUP($C60,OFFSET(quests!$A$1,0,0,COUNTA(quests!$A:$A),MATCH(E$2,quests!$1:$1,0)-MATCH($C$2,quests!$1:$1,0)+1),MATCH(E$2,quests!$1:$1,0)-MATCH($C$2,quests!$1:$1,0)+1,FALSE)</f>
        <v>混色DL2</v>
      </c>
      <c r="F60" s="7">
        <v>6</v>
      </c>
      <c r="G60" s="7" t="s">
        <v>570</v>
      </c>
      <c r="H60" s="69" t="s">
        <v>873</v>
      </c>
      <c r="I60" s="12" t="s">
        <v>164</v>
      </c>
      <c r="J60" s="12">
        <v>343</v>
      </c>
      <c r="K60" s="167">
        <v>1</v>
      </c>
      <c r="L60" s="167">
        <v>1</v>
      </c>
      <c r="M60" s="167">
        <v>1</v>
      </c>
      <c r="N60" s="167">
        <v>1</v>
      </c>
      <c r="O60" s="167">
        <v>1</v>
      </c>
      <c r="P60" s="167">
        <v>1</v>
      </c>
      <c r="Q60" s="167">
        <v>1</v>
      </c>
      <c r="R60" s="167">
        <v>3</v>
      </c>
      <c r="S60" s="167" t="s">
        <v>273</v>
      </c>
      <c r="T60" s="191" t="s">
        <v>2159</v>
      </c>
      <c r="U60" s="7">
        <v>11</v>
      </c>
      <c r="V60" s="7">
        <v>5</v>
      </c>
      <c r="W60" s="47" t="str">
        <f t="shared" ca="1" si="1"/>
        <v>11-5. 訓練された生存者</v>
      </c>
      <c r="X60" s="47">
        <f ca="1">VLOOKUP($C60,OFFSET(quests!$A$1,0,0,COUNTA(quests!$A:$A),MATCH(X$2,quests!$1:$1,0)-MATCH($C$2,quests!$1:$1,0)+1),MATCH(X$2,quests!$1:$1,0)-MATCH($C$2,quests!$1:$1,0)+1,FALSE)</f>
        <v>1</v>
      </c>
      <c r="Y60" s="47">
        <f ca="1">VLOOKUP($C60,OFFSET(quests!$A$1,0,0,COUNTA(quests!$A:$A),MATCH(Y$2,quests!$1:$1,0)-MATCH($C$2,quests!$1:$1,0)+1),MATCH(Y$2,quests!$1:$1,0)-MATCH($C$2,quests!$1:$1,0)+1,FALSE)</f>
        <v>1</v>
      </c>
      <c r="Z60" s="47">
        <f ca="1">VLOOKUP($C60,OFFSET(quests!$A$1,0,0,COUNTA(quests!$A:$A),MATCH(Z$2,quests!$1:$1,0)-MATCH($C$2,quests!$1:$1,0)+1),MATCH(Z$2,quests!$1:$1,0)-MATCH($C$2,quests!$1:$1,0)+1,FALSE)</f>
        <v>1</v>
      </c>
      <c r="AA60" s="47">
        <f ca="1">VLOOKUP($C60,OFFSET(quests!$A$1,0,0,COUNTA(quests!$A:$A),MATCH(AA$2,quests!$1:$1,0)-MATCH($C$2,quests!$1:$1,0)+1),MATCH(AA$2,quests!$1:$1,0)-MATCH($C$2,quests!$1:$1,0)+1,FALSE)</f>
        <v>1</v>
      </c>
      <c r="AB60" s="7" t="s">
        <v>62</v>
      </c>
      <c r="AC60" s="7">
        <v>11</v>
      </c>
      <c r="AD60" s="7">
        <v>6</v>
      </c>
      <c r="AE60" s="7" t="s">
        <v>522</v>
      </c>
      <c r="AF60" s="7">
        <v>1</v>
      </c>
      <c r="AG60" s="7">
        <v>0</v>
      </c>
      <c r="AH60" s="7">
        <v>0</v>
      </c>
      <c r="AI60" s="7">
        <v>-1</v>
      </c>
      <c r="AJ60" s="7">
        <v>-1</v>
      </c>
      <c r="AK60" s="7" t="s">
        <v>1064</v>
      </c>
      <c r="AL60" s="12" t="s">
        <v>1695</v>
      </c>
      <c r="AM60" s="12" t="s">
        <v>2072</v>
      </c>
    </row>
    <row r="61" spans="1:39" ht="21" customHeight="1" x14ac:dyDescent="0.15">
      <c r="A61" s="42" t="str">
        <f t="shared" si="0"/>
        <v>12_1</v>
      </c>
      <c r="B61" s="23">
        <v>3</v>
      </c>
      <c r="C61" s="10">
        <v>12</v>
      </c>
      <c r="D61" s="47" t="str">
        <f ca="1">VLOOKUP($C61,OFFSET(quests!$A$1,0,0,COUNTA(quests!$A:$A),MATCH(D$1,quests!$1:$1,0)-MATCH($C$2,quests!$1:$1,0)+1),MATCH(D$1,quests!$1:$1,0)-MATCH($C$2,quests!$1:$1,0)+1,FALSE)</f>
        <v>12．電脳街アキハバラ2.0</v>
      </c>
      <c r="E61" s="48" t="str">
        <f ca="1">VLOOKUP($C61,OFFSET(quests!$A$1,0,0,COUNTA(quests!$A:$A),MATCH(E$2,quests!$1:$1,0)-MATCH($C$2,quests!$1:$1,0)+1),MATCH(E$2,quests!$1:$1,0)-MATCH($C$2,quests!$1:$1,0)+1,FALSE)</f>
        <v>黄DL3</v>
      </c>
      <c r="F61" s="7">
        <v>1</v>
      </c>
      <c r="G61" s="7" t="s">
        <v>570</v>
      </c>
      <c r="H61" s="69" t="s">
        <v>323</v>
      </c>
      <c r="I61" s="12"/>
      <c r="J61" s="12" t="s">
        <v>279</v>
      </c>
      <c r="K61" s="167">
        <v>8</v>
      </c>
      <c r="L61" s="167">
        <v>720</v>
      </c>
      <c r="M61" s="167">
        <v>1</v>
      </c>
      <c r="N61" s="167">
        <v>1</v>
      </c>
      <c r="O61" s="167">
        <v>1</v>
      </c>
      <c r="P61" s="167">
        <v>1</v>
      </c>
      <c r="Q61" s="167">
        <v>1</v>
      </c>
      <c r="R61" s="167">
        <v>3</v>
      </c>
      <c r="S61" s="167" t="s">
        <v>79</v>
      </c>
      <c r="T61" s="167">
        <v>0</v>
      </c>
      <c r="U61" s="7">
        <v>11</v>
      </c>
      <c r="V61" s="7">
        <v>6</v>
      </c>
      <c r="W61" s="47" t="str">
        <f t="shared" ca="1" si="1"/>
        <v>11-6. 【1回のみ】ボーナスステージ</v>
      </c>
      <c r="X61" s="47">
        <f ca="1">VLOOKUP($C61,OFFSET(quests!$A$1,0,0,COUNTA(quests!$A:$A),MATCH(X$2,quests!$1:$1,0)-MATCH($C$2,quests!$1:$1,0)+1),MATCH(X$2,quests!$1:$1,0)-MATCH($C$2,quests!$1:$1,0)+1,FALSE)</f>
        <v>0</v>
      </c>
      <c r="Y61" s="47">
        <f ca="1">VLOOKUP($C61,OFFSET(quests!$A$1,0,0,COUNTA(quests!$A:$A),MATCH(Y$2,quests!$1:$1,0)-MATCH($C$2,quests!$1:$1,0)+1),MATCH(Y$2,quests!$1:$1,0)-MATCH($C$2,quests!$1:$1,0)+1,FALSE)</f>
        <v>0</v>
      </c>
      <c r="Z61" s="47">
        <f ca="1">VLOOKUP($C61,OFFSET(quests!$A$1,0,0,COUNTA(quests!$A:$A),MATCH(Z$2,quests!$1:$1,0)-MATCH($C$2,quests!$1:$1,0)+1),MATCH(Z$2,quests!$1:$1,0)-MATCH($C$2,quests!$1:$1,0)+1,FALSE)</f>
        <v>0</v>
      </c>
      <c r="AA61" s="47">
        <f ca="1">VLOOKUP($C61,OFFSET(quests!$A$1,0,0,COUNTA(quests!$A:$A),MATCH(AA$2,quests!$1:$1,0)-MATCH($C$2,quests!$1:$1,0)+1),MATCH(AA$2,quests!$1:$1,0)-MATCH($C$2,quests!$1:$1,0)+1,FALSE)</f>
        <v>1</v>
      </c>
      <c r="AB61" s="7" t="s">
        <v>56</v>
      </c>
      <c r="AC61" s="7">
        <v>12</v>
      </c>
      <c r="AD61" s="7">
        <v>6</v>
      </c>
      <c r="AE61" s="7" t="s">
        <v>519</v>
      </c>
      <c r="AF61" s="7">
        <v>0</v>
      </c>
      <c r="AG61" s="7">
        <v>0</v>
      </c>
      <c r="AH61" s="7">
        <v>0</v>
      </c>
      <c r="AI61" s="7">
        <v>-1</v>
      </c>
      <c r="AJ61" s="7">
        <v>-1</v>
      </c>
      <c r="AK61" s="7" t="s">
        <v>1064</v>
      </c>
      <c r="AL61" s="12" t="s">
        <v>1695</v>
      </c>
      <c r="AM61" s="12" t="s">
        <v>2072</v>
      </c>
    </row>
    <row r="62" spans="1:39" ht="21" customHeight="1" x14ac:dyDescent="0.15">
      <c r="A62" s="42" t="str">
        <f t="shared" si="0"/>
        <v>12_2</v>
      </c>
      <c r="B62" s="23">
        <v>3</v>
      </c>
      <c r="C62" s="10">
        <v>12</v>
      </c>
      <c r="D62" s="47" t="str">
        <f ca="1">VLOOKUP($C62,OFFSET(quests!$A$1,0,0,COUNTA(quests!$A:$A),MATCH(D$1,quests!$1:$1,0)-MATCH($C$2,quests!$1:$1,0)+1),MATCH(D$1,quests!$1:$1,0)-MATCH($C$2,quests!$1:$1,0)+1,FALSE)</f>
        <v>12．電脳街アキハバラ2.0</v>
      </c>
      <c r="E62" s="48" t="str">
        <f ca="1">VLOOKUP($C62,OFFSET(quests!$A$1,0,0,COUNTA(quests!$A:$A),MATCH(E$2,quests!$1:$1,0)-MATCH($C$2,quests!$1:$1,0)+1),MATCH(E$2,quests!$1:$1,0)-MATCH($C$2,quests!$1:$1,0)+1,FALSE)</f>
        <v>黄DL3</v>
      </c>
      <c r="F62" s="7">
        <v>2</v>
      </c>
      <c r="G62" s="7" t="s">
        <v>570</v>
      </c>
      <c r="H62" s="69" t="s">
        <v>324</v>
      </c>
      <c r="I62" s="12"/>
      <c r="J62" s="12" t="s">
        <v>279</v>
      </c>
      <c r="K62" s="167">
        <v>8</v>
      </c>
      <c r="L62" s="167">
        <v>760</v>
      </c>
      <c r="M62" s="167">
        <v>1</v>
      </c>
      <c r="N62" s="167">
        <v>1</v>
      </c>
      <c r="O62" s="167">
        <v>1</v>
      </c>
      <c r="P62" s="167">
        <v>1</v>
      </c>
      <c r="Q62" s="167">
        <v>1</v>
      </c>
      <c r="R62" s="167">
        <v>3</v>
      </c>
      <c r="S62" s="167" t="s">
        <v>79</v>
      </c>
      <c r="T62" s="167">
        <v>0</v>
      </c>
      <c r="U62" s="7">
        <v>12</v>
      </c>
      <c r="V62" s="7">
        <v>1</v>
      </c>
      <c r="W62" s="47" t="str">
        <f t="shared" ca="1" si="1"/>
        <v>12-1. 電気街を駆ける働き者</v>
      </c>
      <c r="X62" s="47">
        <f ca="1">VLOOKUP($C62,OFFSET(quests!$A$1,0,0,COUNTA(quests!$A:$A),MATCH(X$2,quests!$1:$1,0)-MATCH($C$2,quests!$1:$1,0)+1),MATCH(X$2,quests!$1:$1,0)-MATCH($C$2,quests!$1:$1,0)+1,FALSE)</f>
        <v>0</v>
      </c>
      <c r="Y62" s="47">
        <f ca="1">VLOOKUP($C62,OFFSET(quests!$A$1,0,0,COUNTA(quests!$A:$A),MATCH(Y$2,quests!$1:$1,0)-MATCH($C$2,quests!$1:$1,0)+1),MATCH(Y$2,quests!$1:$1,0)-MATCH($C$2,quests!$1:$1,0)+1,FALSE)</f>
        <v>0</v>
      </c>
      <c r="Z62" s="47">
        <f ca="1">VLOOKUP($C62,OFFSET(quests!$A$1,0,0,COUNTA(quests!$A:$A),MATCH(Z$2,quests!$1:$1,0)-MATCH($C$2,quests!$1:$1,0)+1),MATCH(Z$2,quests!$1:$1,0)-MATCH($C$2,quests!$1:$1,0)+1,FALSE)</f>
        <v>0</v>
      </c>
      <c r="AA62" s="47">
        <f ca="1">VLOOKUP($C62,OFFSET(quests!$A$1,0,0,COUNTA(quests!$A:$A),MATCH(AA$2,quests!$1:$1,0)-MATCH($C$2,quests!$1:$1,0)+1),MATCH(AA$2,quests!$1:$1,0)-MATCH($C$2,quests!$1:$1,0)+1,FALSE)</f>
        <v>1</v>
      </c>
      <c r="AB62" s="7" t="s">
        <v>56</v>
      </c>
      <c r="AC62" s="7">
        <v>12</v>
      </c>
      <c r="AD62" s="7">
        <v>6</v>
      </c>
      <c r="AE62" s="7" t="s">
        <v>519</v>
      </c>
      <c r="AF62" s="7">
        <v>0</v>
      </c>
      <c r="AG62" s="7">
        <v>0</v>
      </c>
      <c r="AH62" s="7">
        <v>0</v>
      </c>
      <c r="AI62" s="7">
        <v>-1</v>
      </c>
      <c r="AJ62" s="7">
        <v>-1</v>
      </c>
      <c r="AK62" s="7" t="s">
        <v>1064</v>
      </c>
      <c r="AL62" s="12" t="s">
        <v>1695</v>
      </c>
      <c r="AM62" s="12" t="s">
        <v>2072</v>
      </c>
    </row>
    <row r="63" spans="1:39" ht="21" customHeight="1" x14ac:dyDescent="0.15">
      <c r="A63" s="42" t="str">
        <f t="shared" si="0"/>
        <v>12_3</v>
      </c>
      <c r="B63" s="23">
        <v>3</v>
      </c>
      <c r="C63" s="10">
        <v>12</v>
      </c>
      <c r="D63" s="47" t="str">
        <f ca="1">VLOOKUP($C63,OFFSET(quests!$A$1,0,0,COUNTA(quests!$A:$A),MATCH(D$1,quests!$1:$1,0)-MATCH($C$2,quests!$1:$1,0)+1),MATCH(D$1,quests!$1:$1,0)-MATCH($C$2,quests!$1:$1,0)+1,FALSE)</f>
        <v>12．電脳街アキハバラ2.0</v>
      </c>
      <c r="E63" s="48" t="str">
        <f ca="1">VLOOKUP($C63,OFFSET(quests!$A$1,0,0,COUNTA(quests!$A:$A),MATCH(E$2,quests!$1:$1,0)-MATCH($C$2,quests!$1:$1,0)+1),MATCH(E$2,quests!$1:$1,0)-MATCH($C$2,quests!$1:$1,0)+1,FALSE)</f>
        <v>黄DL3</v>
      </c>
      <c r="F63" s="7">
        <v>3</v>
      </c>
      <c r="G63" s="7" t="s">
        <v>570</v>
      </c>
      <c r="H63" s="69" t="s">
        <v>325</v>
      </c>
      <c r="I63" s="12"/>
      <c r="J63" s="12" t="s">
        <v>279</v>
      </c>
      <c r="K63" s="167">
        <v>9</v>
      </c>
      <c r="L63" s="167">
        <v>840</v>
      </c>
      <c r="M63" s="167">
        <v>1</v>
      </c>
      <c r="N63" s="167">
        <v>1</v>
      </c>
      <c r="O63" s="167">
        <v>1</v>
      </c>
      <c r="P63" s="167">
        <v>1</v>
      </c>
      <c r="Q63" s="167">
        <v>1</v>
      </c>
      <c r="R63" s="167">
        <v>3</v>
      </c>
      <c r="S63" s="167" t="s">
        <v>79</v>
      </c>
      <c r="T63" s="167">
        <v>0</v>
      </c>
      <c r="U63" s="7">
        <v>12</v>
      </c>
      <c r="V63" s="7">
        <v>2</v>
      </c>
      <c r="W63" s="47" t="str">
        <f t="shared" ca="1" si="1"/>
        <v>12-2. アーケードの迅雷</v>
      </c>
      <c r="X63" s="47">
        <f ca="1">VLOOKUP($C63,OFFSET(quests!$A$1,0,0,COUNTA(quests!$A:$A),MATCH(X$2,quests!$1:$1,0)-MATCH($C$2,quests!$1:$1,0)+1),MATCH(X$2,quests!$1:$1,0)-MATCH($C$2,quests!$1:$1,0)+1,FALSE)</f>
        <v>0</v>
      </c>
      <c r="Y63" s="47">
        <f ca="1">VLOOKUP($C63,OFFSET(quests!$A$1,0,0,COUNTA(quests!$A:$A),MATCH(Y$2,quests!$1:$1,0)-MATCH($C$2,quests!$1:$1,0)+1),MATCH(Y$2,quests!$1:$1,0)-MATCH($C$2,quests!$1:$1,0)+1,FALSE)</f>
        <v>0</v>
      </c>
      <c r="Z63" s="47">
        <f ca="1">VLOOKUP($C63,OFFSET(quests!$A$1,0,0,COUNTA(quests!$A:$A),MATCH(Z$2,quests!$1:$1,0)-MATCH($C$2,quests!$1:$1,0)+1),MATCH(Z$2,quests!$1:$1,0)-MATCH($C$2,quests!$1:$1,0)+1,FALSE)</f>
        <v>0</v>
      </c>
      <c r="AA63" s="47">
        <f ca="1">VLOOKUP($C63,OFFSET(quests!$A$1,0,0,COUNTA(quests!$A:$A),MATCH(AA$2,quests!$1:$1,0)-MATCH($C$2,quests!$1:$1,0)+1),MATCH(AA$2,quests!$1:$1,0)-MATCH($C$2,quests!$1:$1,0)+1,FALSE)</f>
        <v>1</v>
      </c>
      <c r="AB63" s="7" t="s">
        <v>56</v>
      </c>
      <c r="AC63" s="7">
        <v>12</v>
      </c>
      <c r="AD63" s="7">
        <v>6</v>
      </c>
      <c r="AE63" s="7" t="s">
        <v>519</v>
      </c>
      <c r="AF63" s="7">
        <v>0</v>
      </c>
      <c r="AG63" s="7">
        <v>0</v>
      </c>
      <c r="AH63" s="7">
        <v>0</v>
      </c>
      <c r="AI63" s="7">
        <v>-1</v>
      </c>
      <c r="AJ63" s="7">
        <v>-1</v>
      </c>
      <c r="AK63" s="7" t="s">
        <v>1064</v>
      </c>
      <c r="AL63" s="12" t="s">
        <v>1695</v>
      </c>
      <c r="AM63" s="12" t="s">
        <v>2072</v>
      </c>
    </row>
    <row r="64" spans="1:39" ht="21" customHeight="1" x14ac:dyDescent="0.15">
      <c r="A64" s="42" t="str">
        <f t="shared" si="0"/>
        <v>12_4</v>
      </c>
      <c r="B64" s="23">
        <v>3</v>
      </c>
      <c r="C64" s="10">
        <v>12</v>
      </c>
      <c r="D64" s="47" t="str">
        <f ca="1">VLOOKUP($C64,OFFSET(quests!$A$1,0,0,COUNTA(quests!$A:$A),MATCH(D$1,quests!$1:$1,0)-MATCH($C$2,quests!$1:$1,0)+1),MATCH(D$1,quests!$1:$1,0)-MATCH($C$2,quests!$1:$1,0)+1,FALSE)</f>
        <v>12．電脳街アキハバラ2.0</v>
      </c>
      <c r="E64" s="48" t="str">
        <f ca="1">VLOOKUP($C64,OFFSET(quests!$A$1,0,0,COUNTA(quests!$A:$A),MATCH(E$2,quests!$1:$1,0)-MATCH($C$2,quests!$1:$1,0)+1),MATCH(E$2,quests!$1:$1,0)-MATCH($C$2,quests!$1:$1,0)+1,FALSE)</f>
        <v>黄DL3</v>
      </c>
      <c r="F64" s="7">
        <v>4</v>
      </c>
      <c r="G64" s="7" t="s">
        <v>570</v>
      </c>
      <c r="H64" s="69" t="s">
        <v>326</v>
      </c>
      <c r="I64" s="12"/>
      <c r="J64" s="12" t="s">
        <v>279</v>
      </c>
      <c r="K64" s="167">
        <v>10</v>
      </c>
      <c r="L64" s="167">
        <v>880</v>
      </c>
      <c r="M64" s="167">
        <v>1</v>
      </c>
      <c r="N64" s="167">
        <v>1</v>
      </c>
      <c r="O64" s="167">
        <v>1</v>
      </c>
      <c r="P64" s="167">
        <v>1</v>
      </c>
      <c r="Q64" s="167">
        <v>1</v>
      </c>
      <c r="R64" s="167">
        <v>3</v>
      </c>
      <c r="S64" s="167" t="s">
        <v>79</v>
      </c>
      <c r="T64" s="167">
        <v>0</v>
      </c>
      <c r="U64" s="7">
        <v>12</v>
      </c>
      <c r="V64" s="7">
        <v>3</v>
      </c>
      <c r="W64" s="47" t="str">
        <f t="shared" ca="1" si="1"/>
        <v>12-3. 裏道の大鎌</v>
      </c>
      <c r="X64" s="47">
        <f ca="1">VLOOKUP($C64,OFFSET(quests!$A$1,0,0,COUNTA(quests!$A:$A),MATCH(X$2,quests!$1:$1,0)-MATCH($C$2,quests!$1:$1,0)+1),MATCH(X$2,quests!$1:$1,0)-MATCH($C$2,quests!$1:$1,0)+1,FALSE)</f>
        <v>0</v>
      </c>
      <c r="Y64" s="47">
        <f ca="1">VLOOKUP($C64,OFFSET(quests!$A$1,0,0,COUNTA(quests!$A:$A),MATCH(Y$2,quests!$1:$1,0)-MATCH($C$2,quests!$1:$1,0)+1),MATCH(Y$2,quests!$1:$1,0)-MATCH($C$2,quests!$1:$1,0)+1,FALSE)</f>
        <v>0</v>
      </c>
      <c r="Z64" s="47">
        <f ca="1">VLOOKUP($C64,OFFSET(quests!$A$1,0,0,COUNTA(quests!$A:$A),MATCH(Z$2,quests!$1:$1,0)-MATCH($C$2,quests!$1:$1,0)+1),MATCH(Z$2,quests!$1:$1,0)-MATCH($C$2,quests!$1:$1,0)+1,FALSE)</f>
        <v>0</v>
      </c>
      <c r="AA64" s="47">
        <f ca="1">VLOOKUP($C64,OFFSET(quests!$A$1,0,0,COUNTA(quests!$A:$A),MATCH(AA$2,quests!$1:$1,0)-MATCH($C$2,quests!$1:$1,0)+1),MATCH(AA$2,quests!$1:$1,0)-MATCH($C$2,quests!$1:$1,0)+1,FALSE)</f>
        <v>1</v>
      </c>
      <c r="AB64" s="7" t="s">
        <v>56</v>
      </c>
      <c r="AC64" s="7">
        <v>12</v>
      </c>
      <c r="AD64" s="7">
        <v>6</v>
      </c>
      <c r="AE64" s="7" t="s">
        <v>519</v>
      </c>
      <c r="AF64" s="7">
        <v>0</v>
      </c>
      <c r="AG64" s="7">
        <v>0</v>
      </c>
      <c r="AH64" s="7">
        <v>0</v>
      </c>
      <c r="AI64" s="7">
        <v>-1</v>
      </c>
      <c r="AJ64" s="7">
        <v>-1</v>
      </c>
      <c r="AK64" s="7" t="s">
        <v>1064</v>
      </c>
      <c r="AL64" s="12" t="s">
        <v>1695</v>
      </c>
      <c r="AM64" s="12" t="s">
        <v>2072</v>
      </c>
    </row>
    <row r="65" spans="1:39" ht="21" customHeight="1" x14ac:dyDescent="0.15">
      <c r="A65" s="42" t="str">
        <f t="shared" si="0"/>
        <v>12_5</v>
      </c>
      <c r="B65" s="23">
        <v>3</v>
      </c>
      <c r="C65" s="10">
        <v>12</v>
      </c>
      <c r="D65" s="47" t="str">
        <f ca="1">VLOOKUP($C65,OFFSET(quests!$A$1,0,0,COUNTA(quests!$A:$A),MATCH(D$1,quests!$1:$1,0)-MATCH($C$2,quests!$1:$1,0)+1),MATCH(D$1,quests!$1:$1,0)-MATCH($C$2,quests!$1:$1,0)+1,FALSE)</f>
        <v>12．電脳街アキハバラ2.0</v>
      </c>
      <c r="E65" s="48" t="str">
        <f ca="1">VLOOKUP($C65,OFFSET(quests!$A$1,0,0,COUNTA(quests!$A:$A),MATCH(E$2,quests!$1:$1,0)-MATCH($C$2,quests!$1:$1,0)+1),MATCH(E$2,quests!$1:$1,0)-MATCH($C$2,quests!$1:$1,0)+1,FALSE)</f>
        <v>黄DL3</v>
      </c>
      <c r="F65" s="9">
        <v>5</v>
      </c>
      <c r="G65" s="7" t="s">
        <v>570</v>
      </c>
      <c r="H65" s="69" t="s">
        <v>327</v>
      </c>
      <c r="I65" s="12"/>
      <c r="J65" s="12" t="s">
        <v>279</v>
      </c>
      <c r="K65" s="167">
        <v>14</v>
      </c>
      <c r="L65" s="167">
        <v>1120</v>
      </c>
      <c r="M65" s="167">
        <v>1</v>
      </c>
      <c r="N65" s="167">
        <v>1</v>
      </c>
      <c r="O65" s="167">
        <v>1</v>
      </c>
      <c r="P65" s="167">
        <v>1</v>
      </c>
      <c r="Q65" s="167">
        <v>1</v>
      </c>
      <c r="R65" s="167">
        <v>3</v>
      </c>
      <c r="S65" s="167" t="s">
        <v>79</v>
      </c>
      <c r="T65" s="167">
        <v>0</v>
      </c>
      <c r="U65" s="7">
        <v>12</v>
      </c>
      <c r="V65" s="7">
        <v>4</v>
      </c>
      <c r="W65" s="47" t="str">
        <f t="shared" ca="1" si="1"/>
        <v>12-4. トリック縦横無尽</v>
      </c>
      <c r="X65" s="47">
        <f ca="1">VLOOKUP($C65,OFFSET(quests!$A$1,0,0,COUNTA(quests!$A:$A),MATCH(X$2,quests!$1:$1,0)-MATCH($C$2,quests!$1:$1,0)+1),MATCH(X$2,quests!$1:$1,0)-MATCH($C$2,quests!$1:$1,0)+1,FALSE)</f>
        <v>0</v>
      </c>
      <c r="Y65" s="47">
        <f ca="1">VLOOKUP($C65,OFFSET(quests!$A$1,0,0,COUNTA(quests!$A:$A),MATCH(Y$2,quests!$1:$1,0)-MATCH($C$2,quests!$1:$1,0)+1),MATCH(Y$2,quests!$1:$1,0)-MATCH($C$2,quests!$1:$1,0)+1,FALSE)</f>
        <v>0</v>
      </c>
      <c r="Z65" s="47">
        <f ca="1">VLOOKUP($C65,OFFSET(quests!$A$1,0,0,COUNTA(quests!$A:$A),MATCH(Z$2,quests!$1:$1,0)-MATCH($C$2,quests!$1:$1,0)+1),MATCH(Z$2,quests!$1:$1,0)-MATCH($C$2,quests!$1:$1,0)+1,FALSE)</f>
        <v>0</v>
      </c>
      <c r="AA65" s="47">
        <f ca="1">VLOOKUP($C65,OFFSET(quests!$A$1,0,0,COUNTA(quests!$A:$A),MATCH(AA$2,quests!$1:$1,0)-MATCH($C$2,quests!$1:$1,0)+1),MATCH(AA$2,quests!$1:$1,0)-MATCH($C$2,quests!$1:$1,0)+1,FALSE)</f>
        <v>1</v>
      </c>
      <c r="AB65" s="7" t="s">
        <v>56</v>
      </c>
      <c r="AC65" s="7">
        <v>12</v>
      </c>
      <c r="AD65" s="7">
        <v>6</v>
      </c>
      <c r="AE65" s="7" t="s">
        <v>519</v>
      </c>
      <c r="AF65" s="33">
        <v>3</v>
      </c>
      <c r="AG65" s="7">
        <v>0</v>
      </c>
      <c r="AH65" s="7">
        <v>0</v>
      </c>
      <c r="AI65" s="7">
        <v>-1</v>
      </c>
      <c r="AJ65" s="7">
        <v>-1</v>
      </c>
      <c r="AK65" s="7" t="s">
        <v>1064</v>
      </c>
      <c r="AL65" s="12" t="s">
        <v>1695</v>
      </c>
      <c r="AM65" s="12" t="s">
        <v>2072</v>
      </c>
    </row>
    <row r="66" spans="1:39" ht="21" customHeight="1" x14ac:dyDescent="0.15">
      <c r="A66" s="42" t="str">
        <f t="shared" si="0"/>
        <v>12_6</v>
      </c>
      <c r="B66" s="23">
        <v>3</v>
      </c>
      <c r="C66" s="10">
        <v>12</v>
      </c>
      <c r="D66" s="47" t="str">
        <f ca="1">VLOOKUP($C66,OFFSET(quests!$A$1,0,0,COUNTA(quests!$A:$A),MATCH(D$1,quests!$1:$1,0)-MATCH($C$2,quests!$1:$1,0)+1),MATCH(D$1,quests!$1:$1,0)-MATCH($C$2,quests!$1:$1,0)+1,FALSE)</f>
        <v>12．電脳街アキハバラ2.0</v>
      </c>
      <c r="E66" s="48" t="str">
        <f ca="1">VLOOKUP($C66,OFFSET(quests!$A$1,0,0,COUNTA(quests!$A:$A),MATCH(E$2,quests!$1:$1,0)-MATCH($C$2,quests!$1:$1,0)+1),MATCH(E$2,quests!$1:$1,0)-MATCH($C$2,quests!$1:$1,0)+1,FALSE)</f>
        <v>黄DL3</v>
      </c>
      <c r="F66" s="7">
        <v>6</v>
      </c>
      <c r="G66" s="7" t="s">
        <v>570</v>
      </c>
      <c r="H66" s="69" t="s">
        <v>874</v>
      </c>
      <c r="I66" s="12" t="s">
        <v>164</v>
      </c>
      <c r="J66" s="12">
        <v>347</v>
      </c>
      <c r="K66" s="167">
        <v>1</v>
      </c>
      <c r="L66" s="167">
        <v>1</v>
      </c>
      <c r="M66" s="167">
        <v>1</v>
      </c>
      <c r="N66" s="167">
        <v>1</v>
      </c>
      <c r="O66" s="167">
        <v>1</v>
      </c>
      <c r="P66" s="167">
        <v>1</v>
      </c>
      <c r="Q66" s="167">
        <v>1</v>
      </c>
      <c r="R66" s="167">
        <v>3</v>
      </c>
      <c r="S66" s="167" t="s">
        <v>273</v>
      </c>
      <c r="T66" s="191" t="s">
        <v>2161</v>
      </c>
      <c r="U66" s="7">
        <v>12</v>
      </c>
      <c r="V66" s="7">
        <v>5</v>
      </c>
      <c r="W66" s="47" t="str">
        <f t="shared" ca="1" si="1"/>
        <v>12-5. 強蹴の働き者</v>
      </c>
      <c r="X66" s="47">
        <f ca="1">VLOOKUP($C66,OFFSET(quests!$A$1,0,0,COUNTA(quests!$A:$A),MATCH(X$2,quests!$1:$1,0)-MATCH($C$2,quests!$1:$1,0)+1),MATCH(X$2,quests!$1:$1,0)-MATCH($C$2,quests!$1:$1,0)+1,FALSE)</f>
        <v>0</v>
      </c>
      <c r="Y66" s="47">
        <f ca="1">VLOOKUP($C66,OFFSET(quests!$A$1,0,0,COUNTA(quests!$A:$A),MATCH(Y$2,quests!$1:$1,0)-MATCH($C$2,quests!$1:$1,0)+1),MATCH(Y$2,quests!$1:$1,0)-MATCH($C$2,quests!$1:$1,0)+1,FALSE)</f>
        <v>0</v>
      </c>
      <c r="Z66" s="47">
        <f ca="1">VLOOKUP($C66,OFFSET(quests!$A$1,0,0,COUNTA(quests!$A:$A),MATCH(Z$2,quests!$1:$1,0)-MATCH($C$2,quests!$1:$1,0)+1),MATCH(Z$2,quests!$1:$1,0)-MATCH($C$2,quests!$1:$1,0)+1,FALSE)</f>
        <v>0</v>
      </c>
      <c r="AA66" s="47">
        <f ca="1">VLOOKUP($C66,OFFSET(quests!$A$1,0,0,COUNTA(quests!$A:$A),MATCH(AA$2,quests!$1:$1,0)-MATCH($C$2,quests!$1:$1,0)+1),MATCH(AA$2,quests!$1:$1,0)-MATCH($C$2,quests!$1:$1,0)+1,FALSE)</f>
        <v>1</v>
      </c>
      <c r="AB66" s="7" t="s">
        <v>62</v>
      </c>
      <c r="AC66" s="7">
        <v>12</v>
      </c>
      <c r="AD66" s="7">
        <v>6</v>
      </c>
      <c r="AE66" s="7" t="s">
        <v>522</v>
      </c>
      <c r="AF66" s="7">
        <v>1</v>
      </c>
      <c r="AG66" s="7">
        <v>0</v>
      </c>
      <c r="AH66" s="7">
        <v>0</v>
      </c>
      <c r="AI66" s="7">
        <v>-1</v>
      </c>
      <c r="AJ66" s="7">
        <v>-1</v>
      </c>
      <c r="AK66" s="7" t="s">
        <v>1064</v>
      </c>
      <c r="AL66" s="12" t="s">
        <v>1695</v>
      </c>
      <c r="AM66" s="12" t="s">
        <v>2072</v>
      </c>
    </row>
    <row r="67" spans="1:39" ht="21" customHeight="1" x14ac:dyDescent="0.15">
      <c r="A67" s="42" t="str">
        <f t="shared" ref="A67:A130" si="2">C67&amp;"_"&amp;F67</f>
        <v>13_1</v>
      </c>
      <c r="B67" s="23">
        <v>3</v>
      </c>
      <c r="C67" s="10">
        <v>13</v>
      </c>
      <c r="D67" s="47" t="str">
        <f ca="1">VLOOKUP($C67,OFFSET(quests!$A$1,0,0,COUNTA(quests!$A:$A),MATCH(D$1,quests!$1:$1,0)-MATCH($C$2,quests!$1:$1,0)+1),MATCH(D$1,quests!$1:$1,0)-MATCH($C$2,quests!$1:$1,0)+1,FALSE)</f>
        <v>13．天空城マドーラ</v>
      </c>
      <c r="E67" s="48" t="str">
        <f ca="1">VLOOKUP($C67,OFFSET(quests!$A$1,0,0,COUNTA(quests!$A:$A),MATCH(E$2,quests!$1:$1,0)-MATCH($C$2,quests!$1:$1,0)+1),MATCH(E$2,quests!$1:$1,0)-MATCH($C$2,quests!$1:$1,0)+1,FALSE)</f>
        <v>青DL3</v>
      </c>
      <c r="F67" s="7">
        <v>1</v>
      </c>
      <c r="G67" s="7" t="s">
        <v>570</v>
      </c>
      <c r="H67" s="70" t="s">
        <v>328</v>
      </c>
      <c r="I67" s="12"/>
      <c r="J67" s="12" t="s">
        <v>279</v>
      </c>
      <c r="K67" s="167">
        <v>8</v>
      </c>
      <c r="L67" s="167">
        <v>760</v>
      </c>
      <c r="M67" s="167">
        <v>1</v>
      </c>
      <c r="N67" s="167">
        <v>1</v>
      </c>
      <c r="O67" s="167">
        <v>1</v>
      </c>
      <c r="P67" s="167">
        <v>1</v>
      </c>
      <c r="Q67" s="167">
        <v>1</v>
      </c>
      <c r="R67" s="167">
        <v>3</v>
      </c>
      <c r="S67" s="167" t="s">
        <v>79</v>
      </c>
      <c r="T67" s="167">
        <v>0</v>
      </c>
      <c r="U67" s="7">
        <v>12</v>
      </c>
      <c r="V67" s="7">
        <v>6</v>
      </c>
      <c r="W67" s="47" t="str">
        <f t="shared" ref="W67:W130" ca="1" si="3">IF(U67="NULL","",VLOOKUP($U67&amp;"_"&amp;$V67,OFFSET($A$1,0,0,COUNTA($A:$A),MATCH(W$2,$2:$2,0)-MATCH($A$2,$2:$2,0)+1),MATCH(W$2,$2:$2,0)-MATCH($A$2,$2:$2,0)+1,FALSE))</f>
        <v>12-6. 【1回のみ】ボーナスステージ</v>
      </c>
      <c r="X67" s="47">
        <f ca="1">VLOOKUP($C67,OFFSET(quests!$A$1,0,0,COUNTA(quests!$A:$A),MATCH(X$2,quests!$1:$1,0)-MATCH($C$2,quests!$1:$1,0)+1),MATCH(X$2,quests!$1:$1,0)-MATCH($C$2,quests!$1:$1,0)+1,FALSE)</f>
        <v>0</v>
      </c>
      <c r="Y67" s="47">
        <f ca="1">VLOOKUP($C67,OFFSET(quests!$A$1,0,0,COUNTA(quests!$A:$A),MATCH(Y$2,quests!$1:$1,0)-MATCH($C$2,quests!$1:$1,0)+1),MATCH(Y$2,quests!$1:$1,0)-MATCH($C$2,quests!$1:$1,0)+1,FALSE)</f>
        <v>1</v>
      </c>
      <c r="Z67" s="47">
        <f ca="1">VLOOKUP($C67,OFFSET(quests!$A$1,0,0,COUNTA(quests!$A:$A),MATCH(Z$2,quests!$1:$1,0)-MATCH($C$2,quests!$1:$1,0)+1),MATCH(Z$2,quests!$1:$1,0)-MATCH($C$2,quests!$1:$1,0)+1,FALSE)</f>
        <v>0</v>
      </c>
      <c r="AA67" s="47">
        <f ca="1">VLOOKUP($C67,OFFSET(quests!$A$1,0,0,COUNTA(quests!$A:$A),MATCH(AA$2,quests!$1:$1,0)-MATCH($C$2,quests!$1:$1,0)+1),MATCH(AA$2,quests!$1:$1,0)-MATCH($C$2,quests!$1:$1,0)+1,FALSE)</f>
        <v>0</v>
      </c>
      <c r="AB67" s="7" t="s">
        <v>56</v>
      </c>
      <c r="AC67" s="7">
        <v>13</v>
      </c>
      <c r="AD67" s="7">
        <v>6</v>
      </c>
      <c r="AE67" s="7" t="s">
        <v>519</v>
      </c>
      <c r="AF67" s="7">
        <v>0</v>
      </c>
      <c r="AG67" s="7">
        <v>0</v>
      </c>
      <c r="AH67" s="7">
        <v>0</v>
      </c>
      <c r="AI67" s="7">
        <v>-1</v>
      </c>
      <c r="AJ67" s="7">
        <v>-1</v>
      </c>
      <c r="AK67" s="7" t="s">
        <v>1064</v>
      </c>
      <c r="AL67" s="12" t="s">
        <v>1695</v>
      </c>
      <c r="AM67" s="12" t="s">
        <v>2072</v>
      </c>
    </row>
    <row r="68" spans="1:39" ht="21" customHeight="1" x14ac:dyDescent="0.15">
      <c r="A68" s="42" t="str">
        <f t="shared" si="2"/>
        <v>13_2</v>
      </c>
      <c r="B68" s="23">
        <v>3</v>
      </c>
      <c r="C68" s="10">
        <v>13</v>
      </c>
      <c r="D68" s="47" t="str">
        <f ca="1">VLOOKUP($C68,OFFSET(quests!$A$1,0,0,COUNTA(quests!$A:$A),MATCH(D$1,quests!$1:$1,0)-MATCH($C$2,quests!$1:$1,0)+1),MATCH(D$1,quests!$1:$1,0)-MATCH($C$2,quests!$1:$1,0)+1,FALSE)</f>
        <v>13．天空城マドーラ</v>
      </c>
      <c r="E68" s="48" t="str">
        <f ca="1">VLOOKUP($C68,OFFSET(quests!$A$1,0,0,COUNTA(quests!$A:$A),MATCH(E$2,quests!$1:$1,0)-MATCH($C$2,quests!$1:$1,0)+1),MATCH(E$2,quests!$1:$1,0)-MATCH($C$2,quests!$1:$1,0)+1,FALSE)</f>
        <v>青DL3</v>
      </c>
      <c r="F68" s="7">
        <v>2</v>
      </c>
      <c r="G68" s="7" t="s">
        <v>570</v>
      </c>
      <c r="H68" s="70" t="s">
        <v>329</v>
      </c>
      <c r="I68" s="12"/>
      <c r="J68" s="12" t="s">
        <v>279</v>
      </c>
      <c r="K68" s="167">
        <v>8</v>
      </c>
      <c r="L68" s="167">
        <v>800</v>
      </c>
      <c r="M68" s="167">
        <v>1</v>
      </c>
      <c r="N68" s="167">
        <v>1</v>
      </c>
      <c r="O68" s="167">
        <v>1</v>
      </c>
      <c r="P68" s="167">
        <v>1</v>
      </c>
      <c r="Q68" s="167">
        <v>1</v>
      </c>
      <c r="R68" s="167">
        <v>3</v>
      </c>
      <c r="S68" s="167" t="s">
        <v>79</v>
      </c>
      <c r="T68" s="167">
        <v>0</v>
      </c>
      <c r="U68" s="7">
        <v>13</v>
      </c>
      <c r="V68" s="7">
        <v>1</v>
      </c>
      <c r="W68" s="47" t="str">
        <f t="shared" ca="1" si="3"/>
        <v>13-1. 甘く切ないメロウ</v>
      </c>
      <c r="X68" s="47">
        <f ca="1">VLOOKUP($C68,OFFSET(quests!$A$1,0,0,COUNTA(quests!$A:$A),MATCH(X$2,quests!$1:$1,0)-MATCH($C$2,quests!$1:$1,0)+1),MATCH(X$2,quests!$1:$1,0)-MATCH($C$2,quests!$1:$1,0)+1,FALSE)</f>
        <v>0</v>
      </c>
      <c r="Y68" s="47">
        <f ca="1">VLOOKUP($C68,OFFSET(quests!$A$1,0,0,COUNTA(quests!$A:$A),MATCH(Y$2,quests!$1:$1,0)-MATCH($C$2,quests!$1:$1,0)+1),MATCH(Y$2,quests!$1:$1,0)-MATCH($C$2,quests!$1:$1,0)+1,FALSE)</f>
        <v>1</v>
      </c>
      <c r="Z68" s="47">
        <f ca="1">VLOOKUP($C68,OFFSET(quests!$A$1,0,0,COUNTA(quests!$A:$A),MATCH(Z$2,quests!$1:$1,0)-MATCH($C$2,quests!$1:$1,0)+1),MATCH(Z$2,quests!$1:$1,0)-MATCH($C$2,quests!$1:$1,0)+1,FALSE)</f>
        <v>0</v>
      </c>
      <c r="AA68" s="47">
        <f ca="1">VLOOKUP($C68,OFFSET(quests!$A$1,0,0,COUNTA(quests!$A:$A),MATCH(AA$2,quests!$1:$1,0)-MATCH($C$2,quests!$1:$1,0)+1),MATCH(AA$2,quests!$1:$1,0)-MATCH($C$2,quests!$1:$1,0)+1,FALSE)</f>
        <v>0</v>
      </c>
      <c r="AB68" s="7" t="s">
        <v>56</v>
      </c>
      <c r="AC68" s="7">
        <v>13</v>
      </c>
      <c r="AD68" s="7">
        <v>6</v>
      </c>
      <c r="AE68" s="7" t="s">
        <v>519</v>
      </c>
      <c r="AF68" s="7">
        <v>0</v>
      </c>
      <c r="AG68" s="7">
        <v>0</v>
      </c>
      <c r="AH68" s="7">
        <v>0</v>
      </c>
      <c r="AI68" s="7">
        <v>-1</v>
      </c>
      <c r="AJ68" s="7">
        <v>-1</v>
      </c>
      <c r="AK68" s="7" t="s">
        <v>1064</v>
      </c>
      <c r="AL68" s="12" t="s">
        <v>1695</v>
      </c>
      <c r="AM68" s="12" t="s">
        <v>2072</v>
      </c>
    </row>
    <row r="69" spans="1:39" ht="21" customHeight="1" x14ac:dyDescent="0.15">
      <c r="A69" s="42" t="str">
        <f t="shared" si="2"/>
        <v>13_3</v>
      </c>
      <c r="B69" s="23">
        <v>3</v>
      </c>
      <c r="C69" s="10">
        <v>13</v>
      </c>
      <c r="D69" s="47" t="str">
        <f ca="1">VLOOKUP($C69,OFFSET(quests!$A$1,0,0,COUNTA(quests!$A:$A),MATCH(D$1,quests!$1:$1,0)-MATCH($C$2,quests!$1:$1,0)+1),MATCH(D$1,quests!$1:$1,0)-MATCH($C$2,quests!$1:$1,0)+1,FALSE)</f>
        <v>13．天空城マドーラ</v>
      </c>
      <c r="E69" s="48" t="str">
        <f ca="1">VLOOKUP($C69,OFFSET(quests!$A$1,0,0,COUNTA(quests!$A:$A),MATCH(E$2,quests!$1:$1,0)-MATCH($C$2,quests!$1:$1,0)+1),MATCH(E$2,quests!$1:$1,0)-MATCH($C$2,quests!$1:$1,0)+1,FALSE)</f>
        <v>青DL3</v>
      </c>
      <c r="F69" s="7">
        <v>3</v>
      </c>
      <c r="G69" s="7" t="s">
        <v>570</v>
      </c>
      <c r="H69" s="70" t="s">
        <v>330</v>
      </c>
      <c r="I69" s="12"/>
      <c r="J69" s="12" t="s">
        <v>279</v>
      </c>
      <c r="K69" s="167">
        <v>9</v>
      </c>
      <c r="L69" s="167">
        <v>880</v>
      </c>
      <c r="M69" s="167">
        <v>1</v>
      </c>
      <c r="N69" s="167">
        <v>1</v>
      </c>
      <c r="O69" s="167">
        <v>1</v>
      </c>
      <c r="P69" s="167">
        <v>1</v>
      </c>
      <c r="Q69" s="167">
        <v>1</v>
      </c>
      <c r="R69" s="167">
        <v>3</v>
      </c>
      <c r="S69" s="167" t="s">
        <v>79</v>
      </c>
      <c r="T69" s="167">
        <v>0</v>
      </c>
      <c r="U69" s="7">
        <v>13</v>
      </c>
      <c r="V69" s="7">
        <v>2</v>
      </c>
      <c r="W69" s="47" t="str">
        <f t="shared" ca="1" si="3"/>
        <v>13-2. 天上の書家</v>
      </c>
      <c r="X69" s="47">
        <f ca="1">VLOOKUP($C69,OFFSET(quests!$A$1,0,0,COUNTA(quests!$A:$A),MATCH(X$2,quests!$1:$1,0)-MATCH($C$2,quests!$1:$1,0)+1),MATCH(X$2,quests!$1:$1,0)-MATCH($C$2,quests!$1:$1,0)+1,FALSE)</f>
        <v>0</v>
      </c>
      <c r="Y69" s="47">
        <f ca="1">VLOOKUP($C69,OFFSET(quests!$A$1,0,0,COUNTA(quests!$A:$A),MATCH(Y$2,quests!$1:$1,0)-MATCH($C$2,quests!$1:$1,0)+1),MATCH(Y$2,quests!$1:$1,0)-MATCH($C$2,quests!$1:$1,0)+1,FALSE)</f>
        <v>1</v>
      </c>
      <c r="Z69" s="47">
        <f ca="1">VLOOKUP($C69,OFFSET(quests!$A$1,0,0,COUNTA(quests!$A:$A),MATCH(Z$2,quests!$1:$1,0)-MATCH($C$2,quests!$1:$1,0)+1),MATCH(Z$2,quests!$1:$1,0)-MATCH($C$2,quests!$1:$1,0)+1,FALSE)</f>
        <v>0</v>
      </c>
      <c r="AA69" s="47">
        <f ca="1">VLOOKUP($C69,OFFSET(quests!$A$1,0,0,COUNTA(quests!$A:$A),MATCH(AA$2,quests!$1:$1,0)-MATCH($C$2,quests!$1:$1,0)+1),MATCH(AA$2,quests!$1:$1,0)-MATCH($C$2,quests!$1:$1,0)+1,FALSE)</f>
        <v>0</v>
      </c>
      <c r="AB69" s="7" t="s">
        <v>56</v>
      </c>
      <c r="AC69" s="7">
        <v>13</v>
      </c>
      <c r="AD69" s="7">
        <v>6</v>
      </c>
      <c r="AE69" s="7" t="s">
        <v>519</v>
      </c>
      <c r="AF69" s="7">
        <v>0</v>
      </c>
      <c r="AG69" s="7">
        <v>0</v>
      </c>
      <c r="AH69" s="7">
        <v>0</v>
      </c>
      <c r="AI69" s="7">
        <v>-1</v>
      </c>
      <c r="AJ69" s="7">
        <v>-1</v>
      </c>
      <c r="AK69" s="7" t="s">
        <v>1064</v>
      </c>
      <c r="AL69" s="12" t="s">
        <v>1695</v>
      </c>
      <c r="AM69" s="12" t="s">
        <v>2072</v>
      </c>
    </row>
    <row r="70" spans="1:39" ht="21" customHeight="1" x14ac:dyDescent="0.15">
      <c r="A70" s="42" t="str">
        <f t="shared" si="2"/>
        <v>13_4</v>
      </c>
      <c r="B70" s="23">
        <v>3</v>
      </c>
      <c r="C70" s="10">
        <v>13</v>
      </c>
      <c r="D70" s="47" t="str">
        <f ca="1">VLOOKUP($C70,OFFSET(quests!$A$1,0,0,COUNTA(quests!$A:$A),MATCH(D$1,quests!$1:$1,0)-MATCH($C$2,quests!$1:$1,0)+1),MATCH(D$1,quests!$1:$1,0)-MATCH($C$2,quests!$1:$1,0)+1,FALSE)</f>
        <v>13．天空城マドーラ</v>
      </c>
      <c r="E70" s="48" t="str">
        <f ca="1">VLOOKUP($C70,OFFSET(quests!$A$1,0,0,COUNTA(quests!$A:$A),MATCH(E$2,quests!$1:$1,0)-MATCH($C$2,quests!$1:$1,0)+1),MATCH(E$2,quests!$1:$1,0)-MATCH($C$2,quests!$1:$1,0)+1,FALSE)</f>
        <v>青DL3</v>
      </c>
      <c r="F70" s="7">
        <v>4</v>
      </c>
      <c r="G70" s="7" t="s">
        <v>570</v>
      </c>
      <c r="H70" s="70" t="s">
        <v>331</v>
      </c>
      <c r="I70" s="12"/>
      <c r="J70" s="12" t="s">
        <v>279</v>
      </c>
      <c r="K70" s="167">
        <v>10</v>
      </c>
      <c r="L70" s="167">
        <v>920</v>
      </c>
      <c r="M70" s="167">
        <v>1</v>
      </c>
      <c r="N70" s="167">
        <v>1</v>
      </c>
      <c r="O70" s="167">
        <v>1</v>
      </c>
      <c r="P70" s="167">
        <v>1</v>
      </c>
      <c r="Q70" s="167">
        <v>1</v>
      </c>
      <c r="R70" s="167">
        <v>3</v>
      </c>
      <c r="S70" s="167" t="s">
        <v>79</v>
      </c>
      <c r="T70" s="167">
        <v>0</v>
      </c>
      <c r="U70" s="7">
        <v>13</v>
      </c>
      <c r="V70" s="7">
        <v>3</v>
      </c>
      <c r="W70" s="47" t="str">
        <f t="shared" ca="1" si="3"/>
        <v>13-3. 雲海の司令塔</v>
      </c>
      <c r="X70" s="47">
        <f ca="1">VLOOKUP($C70,OFFSET(quests!$A$1,0,0,COUNTA(quests!$A:$A),MATCH(X$2,quests!$1:$1,0)-MATCH($C$2,quests!$1:$1,0)+1),MATCH(X$2,quests!$1:$1,0)-MATCH($C$2,quests!$1:$1,0)+1,FALSE)</f>
        <v>0</v>
      </c>
      <c r="Y70" s="47">
        <f ca="1">VLOOKUP($C70,OFFSET(quests!$A$1,0,0,COUNTA(quests!$A:$A),MATCH(Y$2,quests!$1:$1,0)-MATCH($C$2,quests!$1:$1,0)+1),MATCH(Y$2,quests!$1:$1,0)-MATCH($C$2,quests!$1:$1,0)+1,FALSE)</f>
        <v>1</v>
      </c>
      <c r="Z70" s="47">
        <f ca="1">VLOOKUP($C70,OFFSET(quests!$A$1,0,0,COUNTA(quests!$A:$A),MATCH(Z$2,quests!$1:$1,0)-MATCH($C$2,quests!$1:$1,0)+1),MATCH(Z$2,quests!$1:$1,0)-MATCH($C$2,quests!$1:$1,0)+1,FALSE)</f>
        <v>0</v>
      </c>
      <c r="AA70" s="47">
        <f ca="1">VLOOKUP($C70,OFFSET(quests!$A$1,0,0,COUNTA(quests!$A:$A),MATCH(AA$2,quests!$1:$1,0)-MATCH($C$2,quests!$1:$1,0)+1),MATCH(AA$2,quests!$1:$1,0)-MATCH($C$2,quests!$1:$1,0)+1,FALSE)</f>
        <v>0</v>
      </c>
      <c r="AB70" s="7" t="s">
        <v>56</v>
      </c>
      <c r="AC70" s="7">
        <v>13</v>
      </c>
      <c r="AD70" s="7">
        <v>6</v>
      </c>
      <c r="AE70" s="7" t="s">
        <v>519</v>
      </c>
      <c r="AF70" s="7">
        <v>0</v>
      </c>
      <c r="AG70" s="7">
        <v>0</v>
      </c>
      <c r="AH70" s="7">
        <v>0</v>
      </c>
      <c r="AI70" s="7">
        <v>-1</v>
      </c>
      <c r="AJ70" s="7">
        <v>-1</v>
      </c>
      <c r="AK70" s="7" t="s">
        <v>1064</v>
      </c>
      <c r="AL70" s="12" t="s">
        <v>1695</v>
      </c>
      <c r="AM70" s="12" t="s">
        <v>2072</v>
      </c>
    </row>
    <row r="71" spans="1:39" ht="21" customHeight="1" x14ac:dyDescent="0.15">
      <c r="A71" s="42" t="str">
        <f t="shared" si="2"/>
        <v>13_5</v>
      </c>
      <c r="B71" s="23">
        <v>3</v>
      </c>
      <c r="C71" s="10">
        <v>13</v>
      </c>
      <c r="D71" s="47" t="str">
        <f ca="1">VLOOKUP($C71,OFFSET(quests!$A$1,0,0,COUNTA(quests!$A:$A),MATCH(D$1,quests!$1:$1,0)-MATCH($C$2,quests!$1:$1,0)+1),MATCH(D$1,quests!$1:$1,0)-MATCH($C$2,quests!$1:$1,0)+1,FALSE)</f>
        <v>13．天空城マドーラ</v>
      </c>
      <c r="E71" s="48" t="str">
        <f ca="1">VLOOKUP($C71,OFFSET(quests!$A$1,0,0,COUNTA(quests!$A:$A),MATCH(E$2,quests!$1:$1,0)-MATCH($C$2,quests!$1:$1,0)+1),MATCH(E$2,quests!$1:$1,0)-MATCH($C$2,quests!$1:$1,0)+1,FALSE)</f>
        <v>青DL3</v>
      </c>
      <c r="F71" s="9">
        <v>5</v>
      </c>
      <c r="G71" s="7" t="s">
        <v>570</v>
      </c>
      <c r="H71" s="70" t="s">
        <v>332</v>
      </c>
      <c r="I71" s="12"/>
      <c r="J71" s="12" t="s">
        <v>279</v>
      </c>
      <c r="K71" s="167">
        <v>14</v>
      </c>
      <c r="L71" s="167">
        <v>1180</v>
      </c>
      <c r="M71" s="167">
        <v>1</v>
      </c>
      <c r="N71" s="167">
        <v>1</v>
      </c>
      <c r="O71" s="167">
        <v>1</v>
      </c>
      <c r="P71" s="167">
        <v>1</v>
      </c>
      <c r="Q71" s="167">
        <v>1</v>
      </c>
      <c r="R71" s="167">
        <v>3</v>
      </c>
      <c r="S71" s="167" t="s">
        <v>79</v>
      </c>
      <c r="T71" s="167">
        <v>0</v>
      </c>
      <c r="U71" s="7">
        <v>13</v>
      </c>
      <c r="V71" s="7">
        <v>4</v>
      </c>
      <c r="W71" s="47" t="str">
        <f t="shared" ca="1" si="3"/>
        <v>13-4. 生命吹き込む旋律</v>
      </c>
      <c r="X71" s="47">
        <f ca="1">VLOOKUP($C71,OFFSET(quests!$A$1,0,0,COUNTA(quests!$A:$A),MATCH(X$2,quests!$1:$1,0)-MATCH($C$2,quests!$1:$1,0)+1),MATCH(X$2,quests!$1:$1,0)-MATCH($C$2,quests!$1:$1,0)+1,FALSE)</f>
        <v>0</v>
      </c>
      <c r="Y71" s="47">
        <f ca="1">VLOOKUP($C71,OFFSET(quests!$A$1,0,0,COUNTA(quests!$A:$A),MATCH(Y$2,quests!$1:$1,0)-MATCH($C$2,quests!$1:$1,0)+1),MATCH(Y$2,quests!$1:$1,0)-MATCH($C$2,quests!$1:$1,0)+1,FALSE)</f>
        <v>1</v>
      </c>
      <c r="Z71" s="47">
        <f ca="1">VLOOKUP($C71,OFFSET(quests!$A$1,0,0,COUNTA(quests!$A:$A),MATCH(Z$2,quests!$1:$1,0)-MATCH($C$2,quests!$1:$1,0)+1),MATCH(Z$2,quests!$1:$1,0)-MATCH($C$2,quests!$1:$1,0)+1,FALSE)</f>
        <v>0</v>
      </c>
      <c r="AA71" s="47">
        <f ca="1">VLOOKUP($C71,OFFSET(quests!$A$1,0,0,COUNTA(quests!$A:$A),MATCH(AA$2,quests!$1:$1,0)-MATCH($C$2,quests!$1:$1,0)+1),MATCH(AA$2,quests!$1:$1,0)-MATCH($C$2,quests!$1:$1,0)+1,FALSE)</f>
        <v>0</v>
      </c>
      <c r="AB71" s="7" t="s">
        <v>56</v>
      </c>
      <c r="AC71" s="7">
        <v>13</v>
      </c>
      <c r="AD71" s="7">
        <v>6</v>
      </c>
      <c r="AE71" s="7" t="s">
        <v>519</v>
      </c>
      <c r="AF71" s="33">
        <v>3</v>
      </c>
      <c r="AG71" s="7">
        <v>0</v>
      </c>
      <c r="AH71" s="7">
        <v>0</v>
      </c>
      <c r="AI71" s="7">
        <v>-1</v>
      </c>
      <c r="AJ71" s="7">
        <v>-1</v>
      </c>
      <c r="AK71" s="7" t="s">
        <v>1064</v>
      </c>
      <c r="AL71" s="12" t="s">
        <v>1695</v>
      </c>
      <c r="AM71" s="12" t="s">
        <v>2072</v>
      </c>
    </row>
    <row r="72" spans="1:39" ht="21" customHeight="1" x14ac:dyDescent="0.15">
      <c r="A72" s="42" t="str">
        <f t="shared" si="2"/>
        <v>13_6</v>
      </c>
      <c r="B72" s="23">
        <v>3</v>
      </c>
      <c r="C72" s="10">
        <v>13</v>
      </c>
      <c r="D72" s="47" t="str">
        <f ca="1">VLOOKUP($C72,OFFSET(quests!$A$1,0,0,COUNTA(quests!$A:$A),MATCH(D$1,quests!$1:$1,0)-MATCH($C$2,quests!$1:$1,0)+1),MATCH(D$1,quests!$1:$1,0)-MATCH($C$2,quests!$1:$1,0)+1,FALSE)</f>
        <v>13．天空城マドーラ</v>
      </c>
      <c r="E72" s="48" t="str">
        <f ca="1">VLOOKUP($C72,OFFSET(quests!$A$1,0,0,COUNTA(quests!$A:$A),MATCH(E$2,quests!$1:$1,0)-MATCH($C$2,quests!$1:$1,0)+1),MATCH(E$2,quests!$1:$1,0)-MATCH($C$2,quests!$1:$1,0)+1,FALSE)</f>
        <v>青DL3</v>
      </c>
      <c r="F72" s="7">
        <v>6</v>
      </c>
      <c r="G72" s="7" t="s">
        <v>570</v>
      </c>
      <c r="H72" s="69" t="s">
        <v>875</v>
      </c>
      <c r="I72" s="12" t="s">
        <v>164</v>
      </c>
      <c r="J72" s="12">
        <v>339</v>
      </c>
      <c r="K72" s="167">
        <v>1</v>
      </c>
      <c r="L72" s="167">
        <v>1</v>
      </c>
      <c r="M72" s="167">
        <v>1</v>
      </c>
      <c r="N72" s="167">
        <v>1</v>
      </c>
      <c r="O72" s="167">
        <v>1</v>
      </c>
      <c r="P72" s="167">
        <v>1</v>
      </c>
      <c r="Q72" s="167">
        <v>1</v>
      </c>
      <c r="R72" s="167">
        <v>3</v>
      </c>
      <c r="S72" s="167" t="s">
        <v>273</v>
      </c>
      <c r="T72" s="191" t="s">
        <v>2162</v>
      </c>
      <c r="U72" s="7">
        <v>13</v>
      </c>
      <c r="V72" s="7">
        <v>5</v>
      </c>
      <c r="W72" s="47" t="str">
        <f t="shared" ca="1" si="3"/>
        <v>13-5. ローレライの導き</v>
      </c>
      <c r="X72" s="47">
        <f ca="1">VLOOKUP($C72,OFFSET(quests!$A$1,0,0,COUNTA(quests!$A:$A),MATCH(X$2,quests!$1:$1,0)-MATCH($C$2,quests!$1:$1,0)+1),MATCH(X$2,quests!$1:$1,0)-MATCH($C$2,quests!$1:$1,0)+1,FALSE)</f>
        <v>0</v>
      </c>
      <c r="Y72" s="47">
        <f ca="1">VLOOKUP($C72,OFFSET(quests!$A$1,0,0,COUNTA(quests!$A:$A),MATCH(Y$2,quests!$1:$1,0)-MATCH($C$2,quests!$1:$1,0)+1),MATCH(Y$2,quests!$1:$1,0)-MATCH($C$2,quests!$1:$1,0)+1,FALSE)</f>
        <v>1</v>
      </c>
      <c r="Z72" s="47">
        <f ca="1">VLOOKUP($C72,OFFSET(quests!$A$1,0,0,COUNTA(quests!$A:$A),MATCH(Z$2,quests!$1:$1,0)-MATCH($C$2,quests!$1:$1,0)+1),MATCH(Z$2,quests!$1:$1,0)-MATCH($C$2,quests!$1:$1,0)+1,FALSE)</f>
        <v>0</v>
      </c>
      <c r="AA72" s="47">
        <f ca="1">VLOOKUP($C72,OFFSET(quests!$A$1,0,0,COUNTA(quests!$A:$A),MATCH(AA$2,quests!$1:$1,0)-MATCH($C$2,quests!$1:$1,0)+1),MATCH(AA$2,quests!$1:$1,0)-MATCH($C$2,quests!$1:$1,0)+1,FALSE)</f>
        <v>0</v>
      </c>
      <c r="AB72" s="7" t="s">
        <v>62</v>
      </c>
      <c r="AC72" s="7">
        <v>13</v>
      </c>
      <c r="AD72" s="7">
        <v>6</v>
      </c>
      <c r="AE72" s="7" t="s">
        <v>522</v>
      </c>
      <c r="AF72" s="7">
        <v>1</v>
      </c>
      <c r="AG72" s="7">
        <v>0</v>
      </c>
      <c r="AH72" s="7">
        <v>0</v>
      </c>
      <c r="AI72" s="7">
        <v>-1</v>
      </c>
      <c r="AJ72" s="7">
        <v>-1</v>
      </c>
      <c r="AK72" s="7" t="s">
        <v>1064</v>
      </c>
      <c r="AL72" s="12" t="s">
        <v>1695</v>
      </c>
      <c r="AM72" s="12" t="s">
        <v>2072</v>
      </c>
    </row>
    <row r="73" spans="1:39" ht="21" customHeight="1" x14ac:dyDescent="0.15">
      <c r="A73" s="42" t="str">
        <f t="shared" si="2"/>
        <v>14_1</v>
      </c>
      <c r="B73" s="23">
        <v>3</v>
      </c>
      <c r="C73" s="10">
        <v>14</v>
      </c>
      <c r="D73" s="47" t="str">
        <f ca="1">VLOOKUP($C73,OFFSET(quests!$A$1,0,0,COUNTA(quests!$A:$A),MATCH(D$1,quests!$1:$1,0)-MATCH($C$2,quests!$1:$1,0)+1),MATCH(D$1,quests!$1:$1,0)-MATCH($C$2,quests!$1:$1,0)+1,FALSE)</f>
        <v>14．機械都市マッシュ</v>
      </c>
      <c r="E73" s="48" t="str">
        <f ca="1">VLOOKUP($C73,OFFSET(quests!$A$1,0,0,COUNTA(quests!$A:$A),MATCH(E$2,quests!$1:$1,0)-MATCH($C$2,quests!$1:$1,0)+1),MATCH(E$2,quests!$1:$1,0)-MATCH($C$2,quests!$1:$1,0)+1,FALSE)</f>
        <v>赤DL3</v>
      </c>
      <c r="F73" s="7">
        <v>1</v>
      </c>
      <c r="G73" s="7" t="s">
        <v>570</v>
      </c>
      <c r="H73" s="69" t="s">
        <v>333</v>
      </c>
      <c r="I73" s="12"/>
      <c r="J73" s="12" t="s">
        <v>279</v>
      </c>
      <c r="K73" s="167">
        <v>8</v>
      </c>
      <c r="L73" s="167">
        <v>860</v>
      </c>
      <c r="M73" s="167">
        <v>1</v>
      </c>
      <c r="N73" s="167">
        <v>1</v>
      </c>
      <c r="O73" s="167">
        <v>1</v>
      </c>
      <c r="P73" s="167">
        <v>1</v>
      </c>
      <c r="Q73" s="167">
        <v>1</v>
      </c>
      <c r="R73" s="167">
        <v>3</v>
      </c>
      <c r="S73" s="167" t="s">
        <v>79</v>
      </c>
      <c r="T73" s="167">
        <v>0</v>
      </c>
      <c r="U73" s="7">
        <v>13</v>
      </c>
      <c r="V73" s="7">
        <v>6</v>
      </c>
      <c r="W73" s="47" t="str">
        <f t="shared" ca="1" si="3"/>
        <v>13-6. 【1回のみ】ボーナスステージ</v>
      </c>
      <c r="X73" s="47">
        <f ca="1">VLOOKUP($C73,OFFSET(quests!$A$1,0,0,COUNTA(quests!$A:$A),MATCH(X$2,quests!$1:$1,0)-MATCH($C$2,quests!$1:$1,0)+1),MATCH(X$2,quests!$1:$1,0)-MATCH($C$2,quests!$1:$1,0)+1,FALSE)</f>
        <v>1</v>
      </c>
      <c r="Y73" s="47">
        <f ca="1">VLOOKUP($C73,OFFSET(quests!$A$1,0,0,COUNTA(quests!$A:$A),MATCH(Y$2,quests!$1:$1,0)-MATCH($C$2,quests!$1:$1,0)+1),MATCH(Y$2,quests!$1:$1,0)-MATCH($C$2,quests!$1:$1,0)+1,FALSE)</f>
        <v>0</v>
      </c>
      <c r="Z73" s="47">
        <f ca="1">VLOOKUP($C73,OFFSET(quests!$A$1,0,0,COUNTA(quests!$A:$A),MATCH(Z$2,quests!$1:$1,0)-MATCH($C$2,quests!$1:$1,0)+1),MATCH(Z$2,quests!$1:$1,0)-MATCH($C$2,quests!$1:$1,0)+1,FALSE)</f>
        <v>0</v>
      </c>
      <c r="AA73" s="47">
        <f ca="1">VLOOKUP($C73,OFFSET(quests!$A$1,0,0,COUNTA(quests!$A:$A),MATCH(AA$2,quests!$1:$1,0)-MATCH($C$2,quests!$1:$1,0)+1),MATCH(AA$2,quests!$1:$1,0)-MATCH($C$2,quests!$1:$1,0)+1,FALSE)</f>
        <v>0</v>
      </c>
      <c r="AB73" s="7" t="s">
        <v>56</v>
      </c>
      <c r="AC73" s="7">
        <v>14</v>
      </c>
      <c r="AD73" s="7">
        <v>6</v>
      </c>
      <c r="AE73" s="7" t="s">
        <v>519</v>
      </c>
      <c r="AF73" s="7">
        <v>0</v>
      </c>
      <c r="AG73" s="7">
        <v>0</v>
      </c>
      <c r="AH73" s="7">
        <v>0</v>
      </c>
      <c r="AI73" s="7">
        <v>-1</v>
      </c>
      <c r="AJ73" s="7">
        <v>-1</v>
      </c>
      <c r="AK73" s="7" t="s">
        <v>1064</v>
      </c>
      <c r="AL73" s="12" t="s">
        <v>1695</v>
      </c>
      <c r="AM73" s="12" t="s">
        <v>2072</v>
      </c>
    </row>
    <row r="74" spans="1:39" ht="21" customHeight="1" x14ac:dyDescent="0.15">
      <c r="A74" s="42" t="str">
        <f t="shared" si="2"/>
        <v>14_2</v>
      </c>
      <c r="B74" s="23">
        <v>3</v>
      </c>
      <c r="C74" s="10">
        <v>14</v>
      </c>
      <c r="D74" s="47" t="str">
        <f ca="1">VLOOKUP($C74,OFFSET(quests!$A$1,0,0,COUNTA(quests!$A:$A),MATCH(D$1,quests!$1:$1,0)-MATCH($C$2,quests!$1:$1,0)+1),MATCH(D$1,quests!$1:$1,0)-MATCH($C$2,quests!$1:$1,0)+1,FALSE)</f>
        <v>14．機械都市マッシュ</v>
      </c>
      <c r="E74" s="48" t="str">
        <f ca="1">VLOOKUP($C74,OFFSET(quests!$A$1,0,0,COUNTA(quests!$A:$A),MATCH(E$2,quests!$1:$1,0)-MATCH($C$2,quests!$1:$1,0)+1),MATCH(E$2,quests!$1:$1,0)-MATCH($C$2,quests!$1:$1,0)+1,FALSE)</f>
        <v>赤DL3</v>
      </c>
      <c r="F74" s="7">
        <v>2</v>
      </c>
      <c r="G74" s="7" t="s">
        <v>570</v>
      </c>
      <c r="H74" s="69" t="s">
        <v>334</v>
      </c>
      <c r="I74" s="12"/>
      <c r="J74" s="12" t="s">
        <v>279</v>
      </c>
      <c r="K74" s="167">
        <v>8</v>
      </c>
      <c r="L74" s="167">
        <v>900</v>
      </c>
      <c r="M74" s="167">
        <v>1</v>
      </c>
      <c r="N74" s="167">
        <v>1</v>
      </c>
      <c r="O74" s="167">
        <v>1</v>
      </c>
      <c r="P74" s="167">
        <v>1</v>
      </c>
      <c r="Q74" s="167">
        <v>1</v>
      </c>
      <c r="R74" s="167">
        <v>3</v>
      </c>
      <c r="S74" s="167" t="s">
        <v>79</v>
      </c>
      <c r="T74" s="167">
        <v>0</v>
      </c>
      <c r="U74" s="7">
        <v>14</v>
      </c>
      <c r="V74" s="7">
        <v>1</v>
      </c>
      <c r="W74" s="47" t="str">
        <f t="shared" ca="1" si="3"/>
        <v>14-1. 爆煙を起こす者</v>
      </c>
      <c r="X74" s="47">
        <f ca="1">VLOOKUP($C74,OFFSET(quests!$A$1,0,0,COUNTA(quests!$A:$A),MATCH(X$2,quests!$1:$1,0)-MATCH($C$2,quests!$1:$1,0)+1),MATCH(X$2,quests!$1:$1,0)-MATCH($C$2,quests!$1:$1,0)+1,FALSE)</f>
        <v>1</v>
      </c>
      <c r="Y74" s="47">
        <f ca="1">VLOOKUP($C74,OFFSET(quests!$A$1,0,0,COUNTA(quests!$A:$A),MATCH(Y$2,quests!$1:$1,0)-MATCH($C$2,quests!$1:$1,0)+1),MATCH(Y$2,quests!$1:$1,0)-MATCH($C$2,quests!$1:$1,0)+1,FALSE)</f>
        <v>0</v>
      </c>
      <c r="Z74" s="47">
        <f ca="1">VLOOKUP($C74,OFFSET(quests!$A$1,0,0,COUNTA(quests!$A:$A),MATCH(Z$2,quests!$1:$1,0)-MATCH($C$2,quests!$1:$1,0)+1),MATCH(Z$2,quests!$1:$1,0)-MATCH($C$2,quests!$1:$1,0)+1,FALSE)</f>
        <v>0</v>
      </c>
      <c r="AA74" s="47">
        <f ca="1">VLOOKUP($C74,OFFSET(quests!$A$1,0,0,COUNTA(quests!$A:$A),MATCH(AA$2,quests!$1:$1,0)-MATCH($C$2,quests!$1:$1,0)+1),MATCH(AA$2,quests!$1:$1,0)-MATCH($C$2,quests!$1:$1,0)+1,FALSE)</f>
        <v>0</v>
      </c>
      <c r="AB74" s="7" t="s">
        <v>56</v>
      </c>
      <c r="AC74" s="7">
        <v>14</v>
      </c>
      <c r="AD74" s="7">
        <v>6</v>
      </c>
      <c r="AE74" s="7" t="s">
        <v>519</v>
      </c>
      <c r="AF74" s="7">
        <v>0</v>
      </c>
      <c r="AG74" s="7">
        <v>0</v>
      </c>
      <c r="AH74" s="7">
        <v>0</v>
      </c>
      <c r="AI74" s="7">
        <v>-1</v>
      </c>
      <c r="AJ74" s="7">
        <v>-1</v>
      </c>
      <c r="AK74" s="7" t="s">
        <v>1064</v>
      </c>
      <c r="AL74" s="12" t="s">
        <v>1695</v>
      </c>
      <c r="AM74" s="12" t="s">
        <v>2072</v>
      </c>
    </row>
    <row r="75" spans="1:39" ht="21" customHeight="1" x14ac:dyDescent="0.15">
      <c r="A75" s="42" t="str">
        <f t="shared" si="2"/>
        <v>14_3</v>
      </c>
      <c r="B75" s="23">
        <v>3</v>
      </c>
      <c r="C75" s="10">
        <v>14</v>
      </c>
      <c r="D75" s="47" t="str">
        <f ca="1">VLOOKUP($C75,OFFSET(quests!$A$1,0,0,COUNTA(quests!$A:$A),MATCH(D$1,quests!$1:$1,0)-MATCH($C$2,quests!$1:$1,0)+1),MATCH(D$1,quests!$1:$1,0)-MATCH($C$2,quests!$1:$1,0)+1,FALSE)</f>
        <v>14．機械都市マッシュ</v>
      </c>
      <c r="E75" s="48" t="str">
        <f ca="1">VLOOKUP($C75,OFFSET(quests!$A$1,0,0,COUNTA(quests!$A:$A),MATCH(E$2,quests!$1:$1,0)-MATCH($C$2,quests!$1:$1,0)+1),MATCH(E$2,quests!$1:$1,0)-MATCH($C$2,quests!$1:$1,0)+1,FALSE)</f>
        <v>赤DL3</v>
      </c>
      <c r="F75" s="7">
        <v>3</v>
      </c>
      <c r="G75" s="7" t="s">
        <v>570</v>
      </c>
      <c r="H75" s="69" t="s">
        <v>335</v>
      </c>
      <c r="I75" s="12"/>
      <c r="J75" s="12" t="s">
        <v>279</v>
      </c>
      <c r="K75" s="167">
        <v>9</v>
      </c>
      <c r="L75" s="167">
        <v>980</v>
      </c>
      <c r="M75" s="167">
        <v>1</v>
      </c>
      <c r="N75" s="167">
        <v>1</v>
      </c>
      <c r="O75" s="167">
        <v>1</v>
      </c>
      <c r="P75" s="167">
        <v>1</v>
      </c>
      <c r="Q75" s="167">
        <v>1</v>
      </c>
      <c r="R75" s="167">
        <v>3</v>
      </c>
      <c r="S75" s="167" t="s">
        <v>79</v>
      </c>
      <c r="T75" s="167">
        <v>0</v>
      </c>
      <c r="U75" s="7">
        <v>14</v>
      </c>
      <c r="V75" s="7">
        <v>2</v>
      </c>
      <c r="W75" s="47" t="str">
        <f t="shared" ca="1" si="3"/>
        <v>14-2. 燃える息</v>
      </c>
      <c r="X75" s="47">
        <f ca="1">VLOOKUP($C75,OFFSET(quests!$A$1,0,0,COUNTA(quests!$A:$A),MATCH(X$2,quests!$1:$1,0)-MATCH($C$2,quests!$1:$1,0)+1),MATCH(X$2,quests!$1:$1,0)-MATCH($C$2,quests!$1:$1,0)+1,FALSE)</f>
        <v>1</v>
      </c>
      <c r="Y75" s="47">
        <f ca="1">VLOOKUP($C75,OFFSET(quests!$A$1,0,0,COUNTA(quests!$A:$A),MATCH(Y$2,quests!$1:$1,0)-MATCH($C$2,quests!$1:$1,0)+1),MATCH(Y$2,quests!$1:$1,0)-MATCH($C$2,quests!$1:$1,0)+1,FALSE)</f>
        <v>0</v>
      </c>
      <c r="Z75" s="47">
        <f ca="1">VLOOKUP($C75,OFFSET(quests!$A$1,0,0,COUNTA(quests!$A:$A),MATCH(Z$2,quests!$1:$1,0)-MATCH($C$2,quests!$1:$1,0)+1),MATCH(Z$2,quests!$1:$1,0)-MATCH($C$2,quests!$1:$1,0)+1,FALSE)</f>
        <v>0</v>
      </c>
      <c r="AA75" s="47">
        <f ca="1">VLOOKUP($C75,OFFSET(quests!$A$1,0,0,COUNTA(quests!$A:$A),MATCH(AA$2,quests!$1:$1,0)-MATCH($C$2,quests!$1:$1,0)+1),MATCH(AA$2,quests!$1:$1,0)-MATCH($C$2,quests!$1:$1,0)+1,FALSE)</f>
        <v>0</v>
      </c>
      <c r="AB75" s="7" t="s">
        <v>56</v>
      </c>
      <c r="AC75" s="7">
        <v>14</v>
      </c>
      <c r="AD75" s="7">
        <v>6</v>
      </c>
      <c r="AE75" s="7" t="s">
        <v>519</v>
      </c>
      <c r="AF75" s="7">
        <v>0</v>
      </c>
      <c r="AG75" s="7">
        <v>0</v>
      </c>
      <c r="AH75" s="7">
        <v>0</v>
      </c>
      <c r="AI75" s="7">
        <v>-1</v>
      </c>
      <c r="AJ75" s="7">
        <v>-1</v>
      </c>
      <c r="AK75" s="7" t="s">
        <v>1064</v>
      </c>
      <c r="AL75" s="12" t="s">
        <v>1695</v>
      </c>
      <c r="AM75" s="12" t="s">
        <v>2072</v>
      </c>
    </row>
    <row r="76" spans="1:39" ht="21" customHeight="1" x14ac:dyDescent="0.15">
      <c r="A76" s="42" t="str">
        <f t="shared" si="2"/>
        <v>14_4</v>
      </c>
      <c r="B76" s="23">
        <v>3</v>
      </c>
      <c r="C76" s="10">
        <v>14</v>
      </c>
      <c r="D76" s="47" t="str">
        <f ca="1">VLOOKUP($C76,OFFSET(quests!$A$1,0,0,COUNTA(quests!$A:$A),MATCH(D$1,quests!$1:$1,0)-MATCH($C$2,quests!$1:$1,0)+1),MATCH(D$1,quests!$1:$1,0)-MATCH($C$2,quests!$1:$1,0)+1,FALSE)</f>
        <v>14．機械都市マッシュ</v>
      </c>
      <c r="E76" s="48" t="str">
        <f ca="1">VLOOKUP($C76,OFFSET(quests!$A$1,0,0,COUNTA(quests!$A:$A),MATCH(E$2,quests!$1:$1,0)-MATCH($C$2,quests!$1:$1,0)+1),MATCH(E$2,quests!$1:$1,0)-MATCH($C$2,quests!$1:$1,0)+1,FALSE)</f>
        <v>赤DL3</v>
      </c>
      <c r="F76" s="7">
        <v>4</v>
      </c>
      <c r="G76" s="7" t="s">
        <v>570</v>
      </c>
      <c r="H76" s="69" t="s">
        <v>336</v>
      </c>
      <c r="I76" s="12"/>
      <c r="J76" s="12" t="s">
        <v>279</v>
      </c>
      <c r="K76" s="167">
        <v>10</v>
      </c>
      <c r="L76" s="167">
        <v>1060</v>
      </c>
      <c r="M76" s="167">
        <v>1</v>
      </c>
      <c r="N76" s="167">
        <v>1</v>
      </c>
      <c r="O76" s="167">
        <v>1</v>
      </c>
      <c r="P76" s="167">
        <v>1</v>
      </c>
      <c r="Q76" s="167">
        <v>1</v>
      </c>
      <c r="R76" s="167">
        <v>3</v>
      </c>
      <c r="S76" s="167" t="s">
        <v>79</v>
      </c>
      <c r="T76" s="167">
        <v>0</v>
      </c>
      <c r="U76" s="7">
        <v>14</v>
      </c>
      <c r="V76" s="7">
        <v>3</v>
      </c>
      <c r="W76" s="47" t="str">
        <f t="shared" ca="1" si="3"/>
        <v>14-3. 力隠す門番</v>
      </c>
      <c r="X76" s="47">
        <f ca="1">VLOOKUP($C76,OFFSET(quests!$A$1,0,0,COUNTA(quests!$A:$A),MATCH(X$2,quests!$1:$1,0)-MATCH($C$2,quests!$1:$1,0)+1),MATCH(X$2,quests!$1:$1,0)-MATCH($C$2,quests!$1:$1,0)+1,FALSE)</f>
        <v>1</v>
      </c>
      <c r="Y76" s="47">
        <f ca="1">VLOOKUP($C76,OFFSET(quests!$A$1,0,0,COUNTA(quests!$A:$A),MATCH(Y$2,quests!$1:$1,0)-MATCH($C$2,quests!$1:$1,0)+1),MATCH(Y$2,quests!$1:$1,0)-MATCH($C$2,quests!$1:$1,0)+1,FALSE)</f>
        <v>0</v>
      </c>
      <c r="Z76" s="47">
        <f ca="1">VLOOKUP($C76,OFFSET(quests!$A$1,0,0,COUNTA(quests!$A:$A),MATCH(Z$2,quests!$1:$1,0)-MATCH($C$2,quests!$1:$1,0)+1),MATCH(Z$2,quests!$1:$1,0)-MATCH($C$2,quests!$1:$1,0)+1,FALSE)</f>
        <v>0</v>
      </c>
      <c r="AA76" s="47">
        <f ca="1">VLOOKUP($C76,OFFSET(quests!$A$1,0,0,COUNTA(quests!$A:$A),MATCH(AA$2,quests!$1:$1,0)-MATCH($C$2,quests!$1:$1,0)+1),MATCH(AA$2,quests!$1:$1,0)-MATCH($C$2,quests!$1:$1,0)+1,FALSE)</f>
        <v>0</v>
      </c>
      <c r="AB76" s="7" t="s">
        <v>56</v>
      </c>
      <c r="AC76" s="7">
        <v>14</v>
      </c>
      <c r="AD76" s="7">
        <v>6</v>
      </c>
      <c r="AE76" s="7" t="s">
        <v>519</v>
      </c>
      <c r="AF76" s="7">
        <v>0</v>
      </c>
      <c r="AG76" s="7">
        <v>0</v>
      </c>
      <c r="AH76" s="7">
        <v>0</v>
      </c>
      <c r="AI76" s="7">
        <v>-1</v>
      </c>
      <c r="AJ76" s="7">
        <v>-1</v>
      </c>
      <c r="AK76" s="7" t="s">
        <v>1064</v>
      </c>
      <c r="AL76" s="12" t="s">
        <v>1695</v>
      </c>
      <c r="AM76" s="12" t="s">
        <v>2072</v>
      </c>
    </row>
    <row r="77" spans="1:39" ht="21" customHeight="1" x14ac:dyDescent="0.15">
      <c r="A77" s="42" t="str">
        <f t="shared" si="2"/>
        <v>14_5</v>
      </c>
      <c r="B77" s="23">
        <v>3</v>
      </c>
      <c r="C77" s="10">
        <v>14</v>
      </c>
      <c r="D77" s="47" t="str">
        <f ca="1">VLOOKUP($C77,OFFSET(quests!$A$1,0,0,COUNTA(quests!$A:$A),MATCH(D$1,quests!$1:$1,0)-MATCH($C$2,quests!$1:$1,0)+1),MATCH(D$1,quests!$1:$1,0)-MATCH($C$2,quests!$1:$1,0)+1,FALSE)</f>
        <v>14．機械都市マッシュ</v>
      </c>
      <c r="E77" s="48" t="str">
        <f ca="1">VLOOKUP($C77,OFFSET(quests!$A$1,0,0,COUNTA(quests!$A:$A),MATCH(E$2,quests!$1:$1,0)-MATCH($C$2,quests!$1:$1,0)+1),MATCH(E$2,quests!$1:$1,0)-MATCH($C$2,quests!$1:$1,0)+1,FALSE)</f>
        <v>赤DL3</v>
      </c>
      <c r="F77" s="9">
        <v>5</v>
      </c>
      <c r="G77" s="7" t="s">
        <v>570</v>
      </c>
      <c r="H77" s="69" t="s">
        <v>337</v>
      </c>
      <c r="I77" s="12"/>
      <c r="J77" s="12" t="s">
        <v>279</v>
      </c>
      <c r="K77" s="167">
        <v>14</v>
      </c>
      <c r="L77" s="167">
        <v>1320</v>
      </c>
      <c r="M77" s="167">
        <v>1</v>
      </c>
      <c r="N77" s="167">
        <v>1</v>
      </c>
      <c r="O77" s="167">
        <v>1</v>
      </c>
      <c r="P77" s="167">
        <v>1</v>
      </c>
      <c r="Q77" s="167">
        <v>1</v>
      </c>
      <c r="R77" s="167">
        <v>3</v>
      </c>
      <c r="S77" s="167" t="s">
        <v>79</v>
      </c>
      <c r="T77" s="167">
        <v>0</v>
      </c>
      <c r="U77" s="7">
        <v>14</v>
      </c>
      <c r="V77" s="7">
        <v>4</v>
      </c>
      <c r="W77" s="47" t="str">
        <f t="shared" ca="1" si="3"/>
        <v>14-4. 不規則な酒乱</v>
      </c>
      <c r="X77" s="47">
        <f ca="1">VLOOKUP($C77,OFFSET(quests!$A$1,0,0,COUNTA(quests!$A:$A),MATCH(X$2,quests!$1:$1,0)-MATCH($C$2,quests!$1:$1,0)+1),MATCH(X$2,quests!$1:$1,0)-MATCH($C$2,quests!$1:$1,0)+1,FALSE)</f>
        <v>1</v>
      </c>
      <c r="Y77" s="47">
        <f ca="1">VLOOKUP($C77,OFFSET(quests!$A$1,0,0,COUNTA(quests!$A:$A),MATCH(Y$2,quests!$1:$1,0)-MATCH($C$2,quests!$1:$1,0)+1),MATCH(Y$2,quests!$1:$1,0)-MATCH($C$2,quests!$1:$1,0)+1,FALSE)</f>
        <v>0</v>
      </c>
      <c r="Z77" s="47">
        <f ca="1">VLOOKUP($C77,OFFSET(quests!$A$1,0,0,COUNTA(quests!$A:$A),MATCH(Z$2,quests!$1:$1,0)-MATCH($C$2,quests!$1:$1,0)+1),MATCH(Z$2,quests!$1:$1,0)-MATCH($C$2,quests!$1:$1,0)+1,FALSE)</f>
        <v>0</v>
      </c>
      <c r="AA77" s="47">
        <f ca="1">VLOOKUP($C77,OFFSET(quests!$A$1,0,0,COUNTA(quests!$A:$A),MATCH(AA$2,quests!$1:$1,0)-MATCH($C$2,quests!$1:$1,0)+1),MATCH(AA$2,quests!$1:$1,0)-MATCH($C$2,quests!$1:$1,0)+1,FALSE)</f>
        <v>0</v>
      </c>
      <c r="AB77" s="7" t="s">
        <v>56</v>
      </c>
      <c r="AC77" s="7">
        <v>14</v>
      </c>
      <c r="AD77" s="7">
        <v>6</v>
      </c>
      <c r="AE77" s="7" t="s">
        <v>519</v>
      </c>
      <c r="AF77" s="33">
        <v>3</v>
      </c>
      <c r="AG77" s="7">
        <v>0</v>
      </c>
      <c r="AH77" s="7">
        <v>0</v>
      </c>
      <c r="AI77" s="7">
        <v>-1</v>
      </c>
      <c r="AJ77" s="7">
        <v>-1</v>
      </c>
      <c r="AK77" s="7" t="s">
        <v>1064</v>
      </c>
      <c r="AL77" s="12" t="s">
        <v>1695</v>
      </c>
      <c r="AM77" s="12" t="s">
        <v>2072</v>
      </c>
    </row>
    <row r="78" spans="1:39" ht="21" customHeight="1" x14ac:dyDescent="0.15">
      <c r="A78" s="42" t="str">
        <f t="shared" si="2"/>
        <v>14_6</v>
      </c>
      <c r="B78" s="23">
        <v>3</v>
      </c>
      <c r="C78" s="10">
        <v>14</v>
      </c>
      <c r="D78" s="47" t="str">
        <f ca="1">VLOOKUP($C78,OFFSET(quests!$A$1,0,0,COUNTA(quests!$A:$A),MATCH(D$1,quests!$1:$1,0)-MATCH($C$2,quests!$1:$1,0)+1),MATCH(D$1,quests!$1:$1,0)-MATCH($C$2,quests!$1:$1,0)+1,FALSE)</f>
        <v>14．機械都市マッシュ</v>
      </c>
      <c r="E78" s="48" t="str">
        <f ca="1">VLOOKUP($C78,OFFSET(quests!$A$1,0,0,COUNTA(quests!$A:$A),MATCH(E$2,quests!$1:$1,0)-MATCH($C$2,quests!$1:$1,0)+1),MATCH(E$2,quests!$1:$1,0)-MATCH($C$2,quests!$1:$1,0)+1,FALSE)</f>
        <v>赤DL3</v>
      </c>
      <c r="F78" s="7">
        <v>6</v>
      </c>
      <c r="G78" s="7" t="s">
        <v>570</v>
      </c>
      <c r="H78" s="69" t="s">
        <v>876</v>
      </c>
      <c r="I78" s="12" t="s">
        <v>164</v>
      </c>
      <c r="J78" s="12">
        <v>335</v>
      </c>
      <c r="K78" s="167">
        <v>1</v>
      </c>
      <c r="L78" s="167">
        <v>1</v>
      </c>
      <c r="M78" s="167">
        <v>1</v>
      </c>
      <c r="N78" s="167">
        <v>1</v>
      </c>
      <c r="O78" s="167">
        <v>1</v>
      </c>
      <c r="P78" s="167">
        <v>1</v>
      </c>
      <c r="Q78" s="167">
        <v>1</v>
      </c>
      <c r="R78" s="167">
        <v>3</v>
      </c>
      <c r="S78" s="167" t="s">
        <v>273</v>
      </c>
      <c r="T78" s="191" t="s">
        <v>2163</v>
      </c>
      <c r="U78" s="7">
        <v>14</v>
      </c>
      <c r="V78" s="7">
        <v>5</v>
      </c>
      <c r="W78" s="47" t="str">
        <f t="shared" ca="1" si="3"/>
        <v>14-5. 重機駆ける逆徒</v>
      </c>
      <c r="X78" s="47">
        <f ca="1">VLOOKUP($C78,OFFSET(quests!$A$1,0,0,COUNTA(quests!$A:$A),MATCH(X$2,quests!$1:$1,0)-MATCH($C$2,quests!$1:$1,0)+1),MATCH(X$2,quests!$1:$1,0)-MATCH($C$2,quests!$1:$1,0)+1,FALSE)</f>
        <v>1</v>
      </c>
      <c r="Y78" s="47">
        <f ca="1">VLOOKUP($C78,OFFSET(quests!$A$1,0,0,COUNTA(quests!$A:$A),MATCH(Y$2,quests!$1:$1,0)-MATCH($C$2,quests!$1:$1,0)+1),MATCH(Y$2,quests!$1:$1,0)-MATCH($C$2,quests!$1:$1,0)+1,FALSE)</f>
        <v>0</v>
      </c>
      <c r="Z78" s="47">
        <f ca="1">VLOOKUP($C78,OFFSET(quests!$A$1,0,0,COUNTA(quests!$A:$A),MATCH(Z$2,quests!$1:$1,0)-MATCH($C$2,quests!$1:$1,0)+1),MATCH(Z$2,quests!$1:$1,0)-MATCH($C$2,quests!$1:$1,0)+1,FALSE)</f>
        <v>0</v>
      </c>
      <c r="AA78" s="47">
        <f ca="1">VLOOKUP($C78,OFFSET(quests!$A$1,0,0,COUNTA(quests!$A:$A),MATCH(AA$2,quests!$1:$1,0)-MATCH($C$2,quests!$1:$1,0)+1),MATCH(AA$2,quests!$1:$1,0)-MATCH($C$2,quests!$1:$1,0)+1,FALSE)</f>
        <v>0</v>
      </c>
      <c r="AB78" s="7" t="s">
        <v>62</v>
      </c>
      <c r="AC78" s="7">
        <v>14</v>
      </c>
      <c r="AD78" s="7">
        <v>6</v>
      </c>
      <c r="AE78" s="7" t="s">
        <v>522</v>
      </c>
      <c r="AF78" s="7">
        <v>1</v>
      </c>
      <c r="AG78" s="7">
        <v>0</v>
      </c>
      <c r="AH78" s="7">
        <v>0</v>
      </c>
      <c r="AI78" s="7">
        <v>-1</v>
      </c>
      <c r="AJ78" s="7">
        <v>-1</v>
      </c>
      <c r="AK78" s="7" t="s">
        <v>1064</v>
      </c>
      <c r="AL78" s="12" t="s">
        <v>1695</v>
      </c>
      <c r="AM78" s="12" t="s">
        <v>2072</v>
      </c>
    </row>
    <row r="79" spans="1:39" ht="21" customHeight="1" x14ac:dyDescent="0.15">
      <c r="A79" s="42" t="str">
        <f t="shared" si="2"/>
        <v>15_1</v>
      </c>
      <c r="B79" s="23">
        <v>3</v>
      </c>
      <c r="C79" s="10">
        <v>15</v>
      </c>
      <c r="D79" s="47" t="str">
        <f ca="1">VLOOKUP($C79,OFFSET(quests!$A$1,0,0,COUNTA(quests!$A:$A),MATCH(D$1,quests!$1:$1,0)-MATCH($C$2,quests!$1:$1,0)+1),MATCH(D$1,quests!$1:$1,0)-MATCH($C$2,quests!$1:$1,0)+1,FALSE)</f>
        <v>15．ハイサイスタジアム</v>
      </c>
      <c r="E79" s="48" t="str">
        <f ca="1">VLOOKUP($C79,OFFSET(quests!$A$1,0,0,COUNTA(quests!$A:$A),MATCH(E$2,quests!$1:$1,0)-MATCH($C$2,quests!$1:$1,0)+1),MATCH(E$2,quests!$1:$1,0)-MATCH($C$2,quests!$1:$1,0)+1,FALSE)</f>
        <v>緑DL3</v>
      </c>
      <c r="F79" s="7">
        <v>1</v>
      </c>
      <c r="G79" s="7" t="s">
        <v>570</v>
      </c>
      <c r="H79" s="69" t="s">
        <v>338</v>
      </c>
      <c r="I79" s="12"/>
      <c r="J79" s="12" t="s">
        <v>279</v>
      </c>
      <c r="K79" s="167">
        <v>8</v>
      </c>
      <c r="L79" s="167">
        <v>920</v>
      </c>
      <c r="M79" s="167">
        <v>1</v>
      </c>
      <c r="N79" s="167">
        <v>1</v>
      </c>
      <c r="O79" s="167">
        <v>1</v>
      </c>
      <c r="P79" s="167">
        <v>1</v>
      </c>
      <c r="Q79" s="167">
        <v>1</v>
      </c>
      <c r="R79" s="167">
        <v>3</v>
      </c>
      <c r="S79" s="167" t="s">
        <v>79</v>
      </c>
      <c r="T79" s="167">
        <v>0</v>
      </c>
      <c r="U79" s="7">
        <v>14</v>
      </c>
      <c r="V79" s="7">
        <v>6</v>
      </c>
      <c r="W79" s="47" t="str">
        <f t="shared" ca="1" si="3"/>
        <v>14-6. 【1回のみ】ボーナスステージ</v>
      </c>
      <c r="X79" s="47">
        <f ca="1">VLOOKUP($C79,OFFSET(quests!$A$1,0,0,COUNTA(quests!$A:$A),MATCH(X$2,quests!$1:$1,0)-MATCH($C$2,quests!$1:$1,0)+1),MATCH(X$2,quests!$1:$1,0)-MATCH($C$2,quests!$1:$1,0)+1,FALSE)</f>
        <v>0</v>
      </c>
      <c r="Y79" s="47">
        <f ca="1">VLOOKUP($C79,OFFSET(quests!$A$1,0,0,COUNTA(quests!$A:$A),MATCH(Y$2,quests!$1:$1,0)-MATCH($C$2,quests!$1:$1,0)+1),MATCH(Y$2,quests!$1:$1,0)-MATCH($C$2,quests!$1:$1,0)+1,FALSE)</f>
        <v>0</v>
      </c>
      <c r="Z79" s="47">
        <f ca="1">VLOOKUP($C79,OFFSET(quests!$A$1,0,0,COUNTA(quests!$A:$A),MATCH(Z$2,quests!$1:$1,0)-MATCH($C$2,quests!$1:$1,0)+1),MATCH(Z$2,quests!$1:$1,0)-MATCH($C$2,quests!$1:$1,0)+1,FALSE)</f>
        <v>1</v>
      </c>
      <c r="AA79" s="47">
        <f ca="1">VLOOKUP($C79,OFFSET(quests!$A$1,0,0,COUNTA(quests!$A:$A),MATCH(AA$2,quests!$1:$1,0)-MATCH($C$2,quests!$1:$1,0)+1),MATCH(AA$2,quests!$1:$1,0)-MATCH($C$2,quests!$1:$1,0)+1,FALSE)</f>
        <v>0</v>
      </c>
      <c r="AB79" s="7" t="s">
        <v>56</v>
      </c>
      <c r="AC79" s="7">
        <v>15</v>
      </c>
      <c r="AD79" s="7">
        <v>6</v>
      </c>
      <c r="AE79" s="7" t="s">
        <v>519</v>
      </c>
      <c r="AF79" s="7">
        <v>0</v>
      </c>
      <c r="AG79" s="7">
        <v>0</v>
      </c>
      <c r="AH79" s="7">
        <v>0</v>
      </c>
      <c r="AI79" s="7">
        <v>-1</v>
      </c>
      <c r="AJ79" s="7">
        <v>-1</v>
      </c>
      <c r="AK79" s="7" t="s">
        <v>1064</v>
      </c>
      <c r="AL79" s="12" t="s">
        <v>1695</v>
      </c>
      <c r="AM79" s="12" t="s">
        <v>2072</v>
      </c>
    </row>
    <row r="80" spans="1:39" ht="21" customHeight="1" x14ac:dyDescent="0.15">
      <c r="A80" s="42" t="str">
        <f t="shared" si="2"/>
        <v>15_2</v>
      </c>
      <c r="B80" s="23">
        <v>3</v>
      </c>
      <c r="C80" s="10">
        <v>15</v>
      </c>
      <c r="D80" s="47" t="str">
        <f ca="1">VLOOKUP($C80,OFFSET(quests!$A$1,0,0,COUNTA(quests!$A:$A),MATCH(D$1,quests!$1:$1,0)-MATCH($C$2,quests!$1:$1,0)+1),MATCH(D$1,quests!$1:$1,0)-MATCH($C$2,quests!$1:$1,0)+1,FALSE)</f>
        <v>15．ハイサイスタジアム</v>
      </c>
      <c r="E80" s="48" t="str">
        <f ca="1">VLOOKUP($C80,OFFSET(quests!$A$1,0,0,COUNTA(quests!$A:$A),MATCH(E$2,quests!$1:$1,0)-MATCH($C$2,quests!$1:$1,0)+1),MATCH(E$2,quests!$1:$1,0)-MATCH($C$2,quests!$1:$1,0)+1,FALSE)</f>
        <v>緑DL3</v>
      </c>
      <c r="F80" s="7">
        <v>2</v>
      </c>
      <c r="G80" s="7" t="s">
        <v>570</v>
      </c>
      <c r="H80" s="69" t="s">
        <v>339</v>
      </c>
      <c r="I80" s="12"/>
      <c r="J80" s="12" t="s">
        <v>279</v>
      </c>
      <c r="K80" s="167">
        <v>8</v>
      </c>
      <c r="L80" s="167">
        <v>980</v>
      </c>
      <c r="M80" s="167">
        <v>1</v>
      </c>
      <c r="N80" s="167">
        <v>1</v>
      </c>
      <c r="O80" s="167">
        <v>1</v>
      </c>
      <c r="P80" s="167">
        <v>1</v>
      </c>
      <c r="Q80" s="167">
        <v>1</v>
      </c>
      <c r="R80" s="167">
        <v>3</v>
      </c>
      <c r="S80" s="167" t="s">
        <v>79</v>
      </c>
      <c r="T80" s="167">
        <v>0</v>
      </c>
      <c r="U80" s="7">
        <v>15</v>
      </c>
      <c r="V80" s="7">
        <v>1</v>
      </c>
      <c r="W80" s="47" t="str">
        <f t="shared" ca="1" si="3"/>
        <v>15-1. 先駆けの乱打</v>
      </c>
      <c r="X80" s="47">
        <f ca="1">VLOOKUP($C80,OFFSET(quests!$A$1,0,0,COUNTA(quests!$A:$A),MATCH(X$2,quests!$1:$1,0)-MATCH($C$2,quests!$1:$1,0)+1),MATCH(X$2,quests!$1:$1,0)-MATCH($C$2,quests!$1:$1,0)+1,FALSE)</f>
        <v>0</v>
      </c>
      <c r="Y80" s="47">
        <f ca="1">VLOOKUP($C80,OFFSET(quests!$A$1,0,0,COUNTA(quests!$A:$A),MATCH(Y$2,quests!$1:$1,0)-MATCH($C$2,quests!$1:$1,0)+1),MATCH(Y$2,quests!$1:$1,0)-MATCH($C$2,quests!$1:$1,0)+1,FALSE)</f>
        <v>0</v>
      </c>
      <c r="Z80" s="47">
        <f ca="1">VLOOKUP($C80,OFFSET(quests!$A$1,0,0,COUNTA(quests!$A:$A),MATCH(Z$2,quests!$1:$1,0)-MATCH($C$2,quests!$1:$1,0)+1),MATCH(Z$2,quests!$1:$1,0)-MATCH($C$2,quests!$1:$1,0)+1,FALSE)</f>
        <v>1</v>
      </c>
      <c r="AA80" s="47">
        <f ca="1">VLOOKUP($C80,OFFSET(quests!$A$1,0,0,COUNTA(quests!$A:$A),MATCH(AA$2,quests!$1:$1,0)-MATCH($C$2,quests!$1:$1,0)+1),MATCH(AA$2,quests!$1:$1,0)-MATCH($C$2,quests!$1:$1,0)+1,FALSE)</f>
        <v>0</v>
      </c>
      <c r="AB80" s="7" t="s">
        <v>56</v>
      </c>
      <c r="AC80" s="7">
        <v>15</v>
      </c>
      <c r="AD80" s="7">
        <v>6</v>
      </c>
      <c r="AE80" s="7" t="s">
        <v>519</v>
      </c>
      <c r="AF80" s="7">
        <v>0</v>
      </c>
      <c r="AG80" s="7">
        <v>0</v>
      </c>
      <c r="AH80" s="7">
        <v>0</v>
      </c>
      <c r="AI80" s="7">
        <v>-1</v>
      </c>
      <c r="AJ80" s="7">
        <v>-1</v>
      </c>
      <c r="AK80" s="7" t="s">
        <v>1064</v>
      </c>
      <c r="AL80" s="12" t="s">
        <v>1695</v>
      </c>
      <c r="AM80" s="12" t="s">
        <v>2072</v>
      </c>
    </row>
    <row r="81" spans="1:39" ht="21" customHeight="1" x14ac:dyDescent="0.15">
      <c r="A81" s="42" t="str">
        <f t="shared" si="2"/>
        <v>15_3</v>
      </c>
      <c r="B81" s="23">
        <v>3</v>
      </c>
      <c r="C81" s="10">
        <v>15</v>
      </c>
      <c r="D81" s="47" t="str">
        <f ca="1">VLOOKUP($C81,OFFSET(quests!$A$1,0,0,COUNTA(quests!$A:$A),MATCH(D$1,quests!$1:$1,0)-MATCH($C$2,quests!$1:$1,0)+1),MATCH(D$1,quests!$1:$1,0)-MATCH($C$2,quests!$1:$1,0)+1,FALSE)</f>
        <v>15．ハイサイスタジアム</v>
      </c>
      <c r="E81" s="48" t="str">
        <f ca="1">VLOOKUP($C81,OFFSET(quests!$A$1,0,0,COUNTA(quests!$A:$A),MATCH(E$2,quests!$1:$1,0)-MATCH($C$2,quests!$1:$1,0)+1),MATCH(E$2,quests!$1:$1,0)-MATCH($C$2,quests!$1:$1,0)+1,FALSE)</f>
        <v>緑DL3</v>
      </c>
      <c r="F81" s="7">
        <v>3</v>
      </c>
      <c r="G81" s="7" t="s">
        <v>570</v>
      </c>
      <c r="H81" s="69" t="s">
        <v>340</v>
      </c>
      <c r="I81" s="12"/>
      <c r="J81" s="12" t="s">
        <v>279</v>
      </c>
      <c r="K81" s="167">
        <v>9</v>
      </c>
      <c r="L81" s="167">
        <v>1060</v>
      </c>
      <c r="M81" s="167">
        <v>1</v>
      </c>
      <c r="N81" s="167">
        <v>1</v>
      </c>
      <c r="O81" s="167">
        <v>1</v>
      </c>
      <c r="P81" s="167">
        <v>1</v>
      </c>
      <c r="Q81" s="167">
        <v>1</v>
      </c>
      <c r="R81" s="167">
        <v>3</v>
      </c>
      <c r="S81" s="167" t="s">
        <v>79</v>
      </c>
      <c r="T81" s="167">
        <v>0</v>
      </c>
      <c r="U81" s="7">
        <v>15</v>
      </c>
      <c r="V81" s="7">
        <v>2</v>
      </c>
      <c r="W81" s="47" t="str">
        <f t="shared" ca="1" si="3"/>
        <v>15-2. 異星の参戦</v>
      </c>
      <c r="X81" s="47">
        <f ca="1">VLOOKUP($C81,OFFSET(quests!$A$1,0,0,COUNTA(quests!$A:$A),MATCH(X$2,quests!$1:$1,0)-MATCH($C$2,quests!$1:$1,0)+1),MATCH(X$2,quests!$1:$1,0)-MATCH($C$2,quests!$1:$1,0)+1,FALSE)</f>
        <v>0</v>
      </c>
      <c r="Y81" s="47">
        <f ca="1">VLOOKUP($C81,OFFSET(quests!$A$1,0,0,COUNTA(quests!$A:$A),MATCH(Y$2,quests!$1:$1,0)-MATCH($C$2,quests!$1:$1,0)+1),MATCH(Y$2,quests!$1:$1,0)-MATCH($C$2,quests!$1:$1,0)+1,FALSE)</f>
        <v>0</v>
      </c>
      <c r="Z81" s="47">
        <f ca="1">VLOOKUP($C81,OFFSET(quests!$A$1,0,0,COUNTA(quests!$A:$A),MATCH(Z$2,quests!$1:$1,0)-MATCH($C$2,quests!$1:$1,0)+1),MATCH(Z$2,quests!$1:$1,0)-MATCH($C$2,quests!$1:$1,0)+1,FALSE)</f>
        <v>1</v>
      </c>
      <c r="AA81" s="47">
        <f ca="1">VLOOKUP($C81,OFFSET(quests!$A$1,0,0,COUNTA(quests!$A:$A),MATCH(AA$2,quests!$1:$1,0)-MATCH($C$2,quests!$1:$1,0)+1),MATCH(AA$2,quests!$1:$1,0)-MATCH($C$2,quests!$1:$1,0)+1,FALSE)</f>
        <v>0</v>
      </c>
      <c r="AB81" s="7" t="s">
        <v>56</v>
      </c>
      <c r="AC81" s="7">
        <v>15</v>
      </c>
      <c r="AD81" s="7">
        <v>6</v>
      </c>
      <c r="AE81" s="7" t="s">
        <v>519</v>
      </c>
      <c r="AF81" s="7">
        <v>0</v>
      </c>
      <c r="AG81" s="7">
        <v>0</v>
      </c>
      <c r="AH81" s="7">
        <v>0</v>
      </c>
      <c r="AI81" s="7">
        <v>-1</v>
      </c>
      <c r="AJ81" s="7">
        <v>-1</v>
      </c>
      <c r="AK81" s="7" t="s">
        <v>1064</v>
      </c>
      <c r="AL81" s="12" t="s">
        <v>1695</v>
      </c>
      <c r="AM81" s="12" t="s">
        <v>2072</v>
      </c>
    </row>
    <row r="82" spans="1:39" ht="21" customHeight="1" x14ac:dyDescent="0.15">
      <c r="A82" s="42" t="str">
        <f t="shared" si="2"/>
        <v>15_4</v>
      </c>
      <c r="B82" s="23">
        <v>3</v>
      </c>
      <c r="C82" s="10">
        <v>15</v>
      </c>
      <c r="D82" s="47" t="str">
        <f ca="1">VLOOKUP($C82,OFFSET(quests!$A$1,0,0,COUNTA(quests!$A:$A),MATCH(D$1,quests!$1:$1,0)-MATCH($C$2,quests!$1:$1,0)+1),MATCH(D$1,quests!$1:$1,0)-MATCH($C$2,quests!$1:$1,0)+1,FALSE)</f>
        <v>15．ハイサイスタジアム</v>
      </c>
      <c r="E82" s="48" t="str">
        <f ca="1">VLOOKUP($C82,OFFSET(quests!$A$1,0,0,COUNTA(quests!$A:$A),MATCH(E$2,quests!$1:$1,0)-MATCH($C$2,quests!$1:$1,0)+1),MATCH(E$2,quests!$1:$1,0)-MATCH($C$2,quests!$1:$1,0)+1,FALSE)</f>
        <v>緑DL3</v>
      </c>
      <c r="F82" s="7">
        <v>4</v>
      </c>
      <c r="G82" s="7" t="s">
        <v>570</v>
      </c>
      <c r="H82" s="69" t="s">
        <v>341</v>
      </c>
      <c r="I82" s="12"/>
      <c r="J82" s="12" t="s">
        <v>279</v>
      </c>
      <c r="K82" s="167">
        <v>10</v>
      </c>
      <c r="L82" s="167">
        <v>1220</v>
      </c>
      <c r="M82" s="167">
        <v>1</v>
      </c>
      <c r="N82" s="167">
        <v>1</v>
      </c>
      <c r="O82" s="167">
        <v>1</v>
      </c>
      <c r="P82" s="167">
        <v>1</v>
      </c>
      <c r="Q82" s="167">
        <v>1</v>
      </c>
      <c r="R82" s="167">
        <v>3</v>
      </c>
      <c r="S82" s="167" t="s">
        <v>79</v>
      </c>
      <c r="T82" s="167">
        <v>0</v>
      </c>
      <c r="U82" s="7">
        <v>15</v>
      </c>
      <c r="V82" s="7">
        <v>3</v>
      </c>
      <c r="W82" s="47" t="str">
        <f t="shared" ca="1" si="3"/>
        <v>15-3. シューティングレンジの美女</v>
      </c>
      <c r="X82" s="47">
        <f ca="1">VLOOKUP($C82,OFFSET(quests!$A$1,0,0,COUNTA(quests!$A:$A),MATCH(X$2,quests!$1:$1,0)-MATCH($C$2,quests!$1:$1,0)+1),MATCH(X$2,quests!$1:$1,0)-MATCH($C$2,quests!$1:$1,0)+1,FALSE)</f>
        <v>0</v>
      </c>
      <c r="Y82" s="47">
        <f ca="1">VLOOKUP($C82,OFFSET(quests!$A$1,0,0,COUNTA(quests!$A:$A),MATCH(Y$2,quests!$1:$1,0)-MATCH($C$2,quests!$1:$1,0)+1),MATCH(Y$2,quests!$1:$1,0)-MATCH($C$2,quests!$1:$1,0)+1,FALSE)</f>
        <v>0</v>
      </c>
      <c r="Z82" s="47">
        <f ca="1">VLOOKUP($C82,OFFSET(quests!$A$1,0,0,COUNTA(quests!$A:$A),MATCH(Z$2,quests!$1:$1,0)-MATCH($C$2,quests!$1:$1,0)+1),MATCH(Z$2,quests!$1:$1,0)-MATCH($C$2,quests!$1:$1,0)+1,FALSE)</f>
        <v>1</v>
      </c>
      <c r="AA82" s="47">
        <f ca="1">VLOOKUP($C82,OFFSET(quests!$A$1,0,0,COUNTA(quests!$A:$A),MATCH(AA$2,quests!$1:$1,0)-MATCH($C$2,quests!$1:$1,0)+1),MATCH(AA$2,quests!$1:$1,0)-MATCH($C$2,quests!$1:$1,0)+1,FALSE)</f>
        <v>0</v>
      </c>
      <c r="AB82" s="7" t="s">
        <v>56</v>
      </c>
      <c r="AC82" s="7">
        <v>15</v>
      </c>
      <c r="AD82" s="7">
        <v>6</v>
      </c>
      <c r="AE82" s="7" t="s">
        <v>519</v>
      </c>
      <c r="AF82" s="7">
        <v>0</v>
      </c>
      <c r="AG82" s="7">
        <v>0</v>
      </c>
      <c r="AH82" s="7">
        <v>0</v>
      </c>
      <c r="AI82" s="7">
        <v>-1</v>
      </c>
      <c r="AJ82" s="7">
        <v>-1</v>
      </c>
      <c r="AK82" s="7" t="s">
        <v>1064</v>
      </c>
      <c r="AL82" s="12" t="s">
        <v>1695</v>
      </c>
      <c r="AM82" s="12" t="s">
        <v>2072</v>
      </c>
    </row>
    <row r="83" spans="1:39" ht="21" customHeight="1" x14ac:dyDescent="0.15">
      <c r="A83" s="42" t="str">
        <f t="shared" si="2"/>
        <v>15_5</v>
      </c>
      <c r="B83" s="23">
        <v>3</v>
      </c>
      <c r="C83" s="10">
        <v>15</v>
      </c>
      <c r="D83" s="47" t="str">
        <f ca="1">VLOOKUP($C83,OFFSET(quests!$A$1,0,0,COUNTA(quests!$A:$A),MATCH(D$1,quests!$1:$1,0)-MATCH($C$2,quests!$1:$1,0)+1),MATCH(D$1,quests!$1:$1,0)-MATCH($C$2,quests!$1:$1,0)+1,FALSE)</f>
        <v>15．ハイサイスタジアム</v>
      </c>
      <c r="E83" s="48" t="str">
        <f ca="1">VLOOKUP($C83,OFFSET(quests!$A$1,0,0,COUNTA(quests!$A:$A),MATCH(E$2,quests!$1:$1,0)-MATCH($C$2,quests!$1:$1,0)+1),MATCH(E$2,quests!$1:$1,0)-MATCH($C$2,quests!$1:$1,0)+1,FALSE)</f>
        <v>緑DL3</v>
      </c>
      <c r="F83" s="9">
        <v>5</v>
      </c>
      <c r="G83" s="7" t="s">
        <v>570</v>
      </c>
      <c r="H83" s="69" t="s">
        <v>342</v>
      </c>
      <c r="I83" s="12"/>
      <c r="J83" s="12" t="s">
        <v>279</v>
      </c>
      <c r="K83" s="167">
        <v>14</v>
      </c>
      <c r="L83" s="167">
        <v>1510</v>
      </c>
      <c r="M83" s="167">
        <v>1</v>
      </c>
      <c r="N83" s="167">
        <v>1</v>
      </c>
      <c r="O83" s="167">
        <v>1</v>
      </c>
      <c r="P83" s="167">
        <v>1</v>
      </c>
      <c r="Q83" s="167">
        <v>1</v>
      </c>
      <c r="R83" s="167">
        <v>3</v>
      </c>
      <c r="S83" s="167" t="s">
        <v>79</v>
      </c>
      <c r="T83" s="167">
        <v>0</v>
      </c>
      <c r="U83" s="7">
        <v>15</v>
      </c>
      <c r="V83" s="7">
        <v>4</v>
      </c>
      <c r="W83" s="47" t="str">
        <f t="shared" ca="1" si="3"/>
        <v>15-4. 無邪気な来客</v>
      </c>
      <c r="X83" s="47">
        <f ca="1">VLOOKUP($C83,OFFSET(quests!$A$1,0,0,COUNTA(quests!$A:$A),MATCH(X$2,quests!$1:$1,0)-MATCH($C$2,quests!$1:$1,0)+1),MATCH(X$2,quests!$1:$1,0)-MATCH($C$2,quests!$1:$1,0)+1,FALSE)</f>
        <v>0</v>
      </c>
      <c r="Y83" s="47">
        <f ca="1">VLOOKUP($C83,OFFSET(quests!$A$1,0,0,COUNTA(quests!$A:$A),MATCH(Y$2,quests!$1:$1,0)-MATCH($C$2,quests!$1:$1,0)+1),MATCH(Y$2,quests!$1:$1,0)-MATCH($C$2,quests!$1:$1,0)+1,FALSE)</f>
        <v>0</v>
      </c>
      <c r="Z83" s="47">
        <f ca="1">VLOOKUP($C83,OFFSET(quests!$A$1,0,0,COUNTA(quests!$A:$A),MATCH(Z$2,quests!$1:$1,0)-MATCH($C$2,quests!$1:$1,0)+1),MATCH(Z$2,quests!$1:$1,0)-MATCH($C$2,quests!$1:$1,0)+1,FALSE)</f>
        <v>1</v>
      </c>
      <c r="AA83" s="47">
        <f ca="1">VLOOKUP($C83,OFFSET(quests!$A$1,0,0,COUNTA(quests!$A:$A),MATCH(AA$2,quests!$1:$1,0)-MATCH($C$2,quests!$1:$1,0)+1),MATCH(AA$2,quests!$1:$1,0)-MATCH($C$2,quests!$1:$1,0)+1,FALSE)</f>
        <v>0</v>
      </c>
      <c r="AB83" s="7" t="s">
        <v>56</v>
      </c>
      <c r="AC83" s="7">
        <v>15</v>
      </c>
      <c r="AD83" s="7">
        <v>6</v>
      </c>
      <c r="AE83" s="7" t="s">
        <v>519</v>
      </c>
      <c r="AF83" s="33">
        <v>3</v>
      </c>
      <c r="AG83" s="7">
        <v>0</v>
      </c>
      <c r="AH83" s="7">
        <v>0</v>
      </c>
      <c r="AI83" s="7">
        <v>-1</v>
      </c>
      <c r="AJ83" s="7">
        <v>-1</v>
      </c>
      <c r="AK83" s="7" t="s">
        <v>1064</v>
      </c>
      <c r="AL83" s="12" t="s">
        <v>1695</v>
      </c>
      <c r="AM83" s="12" t="s">
        <v>2072</v>
      </c>
    </row>
    <row r="84" spans="1:39" ht="21" customHeight="1" x14ac:dyDescent="0.15">
      <c r="A84" s="42" t="str">
        <f t="shared" si="2"/>
        <v>15_6</v>
      </c>
      <c r="B84" s="23">
        <v>3</v>
      </c>
      <c r="C84" s="10">
        <v>15</v>
      </c>
      <c r="D84" s="47" t="str">
        <f ca="1">VLOOKUP($C84,OFFSET(quests!$A$1,0,0,COUNTA(quests!$A:$A),MATCH(D$1,quests!$1:$1,0)-MATCH($C$2,quests!$1:$1,0)+1),MATCH(D$1,quests!$1:$1,0)-MATCH($C$2,quests!$1:$1,0)+1,FALSE)</f>
        <v>15．ハイサイスタジアム</v>
      </c>
      <c r="E84" s="48" t="str">
        <f ca="1">VLOOKUP($C84,OFFSET(quests!$A$1,0,0,COUNTA(quests!$A:$A),MATCH(E$2,quests!$1:$1,0)-MATCH($C$2,quests!$1:$1,0)+1),MATCH(E$2,quests!$1:$1,0)-MATCH($C$2,quests!$1:$1,0)+1,FALSE)</f>
        <v>緑DL3</v>
      </c>
      <c r="F84" s="7">
        <v>6</v>
      </c>
      <c r="G84" s="7" t="s">
        <v>570</v>
      </c>
      <c r="H84" s="69" t="s">
        <v>877</v>
      </c>
      <c r="I84" s="12" t="s">
        <v>164</v>
      </c>
      <c r="J84" s="12">
        <v>343</v>
      </c>
      <c r="K84" s="167">
        <v>1</v>
      </c>
      <c r="L84" s="167">
        <v>1</v>
      </c>
      <c r="M84" s="167">
        <v>1</v>
      </c>
      <c r="N84" s="167">
        <v>1</v>
      </c>
      <c r="O84" s="167">
        <v>1</v>
      </c>
      <c r="P84" s="167">
        <v>1</v>
      </c>
      <c r="Q84" s="167">
        <v>1</v>
      </c>
      <c r="R84" s="167">
        <v>3</v>
      </c>
      <c r="S84" s="167" t="s">
        <v>273</v>
      </c>
      <c r="T84" s="191" t="s">
        <v>2160</v>
      </c>
      <c r="U84" s="7">
        <v>15</v>
      </c>
      <c r="V84" s="7">
        <v>5</v>
      </c>
      <c r="W84" s="47" t="str">
        <f t="shared" ca="1" si="3"/>
        <v>15-5. 縁舞のメインイベント</v>
      </c>
      <c r="X84" s="47">
        <f ca="1">VLOOKUP($C84,OFFSET(quests!$A$1,0,0,COUNTA(quests!$A:$A),MATCH(X$2,quests!$1:$1,0)-MATCH($C$2,quests!$1:$1,0)+1),MATCH(X$2,quests!$1:$1,0)-MATCH($C$2,quests!$1:$1,0)+1,FALSE)</f>
        <v>0</v>
      </c>
      <c r="Y84" s="47">
        <f ca="1">VLOOKUP($C84,OFFSET(quests!$A$1,0,0,COUNTA(quests!$A:$A),MATCH(Y$2,quests!$1:$1,0)-MATCH($C$2,quests!$1:$1,0)+1),MATCH(Y$2,quests!$1:$1,0)-MATCH($C$2,quests!$1:$1,0)+1,FALSE)</f>
        <v>0</v>
      </c>
      <c r="Z84" s="47">
        <f ca="1">VLOOKUP($C84,OFFSET(quests!$A$1,0,0,COUNTA(quests!$A:$A),MATCH(Z$2,quests!$1:$1,0)-MATCH($C$2,quests!$1:$1,0)+1),MATCH(Z$2,quests!$1:$1,0)-MATCH($C$2,quests!$1:$1,0)+1,FALSE)</f>
        <v>1</v>
      </c>
      <c r="AA84" s="47">
        <f ca="1">VLOOKUP($C84,OFFSET(quests!$A$1,0,0,COUNTA(quests!$A:$A),MATCH(AA$2,quests!$1:$1,0)-MATCH($C$2,quests!$1:$1,0)+1),MATCH(AA$2,quests!$1:$1,0)-MATCH($C$2,quests!$1:$1,0)+1,FALSE)</f>
        <v>0</v>
      </c>
      <c r="AB84" s="7" t="s">
        <v>62</v>
      </c>
      <c r="AC84" s="7">
        <v>15</v>
      </c>
      <c r="AD84" s="7">
        <v>6</v>
      </c>
      <c r="AE84" s="7" t="s">
        <v>522</v>
      </c>
      <c r="AF84" s="7">
        <v>1</v>
      </c>
      <c r="AG84" s="7">
        <v>0</v>
      </c>
      <c r="AH84" s="7">
        <v>0</v>
      </c>
      <c r="AI84" s="7">
        <v>-1</v>
      </c>
      <c r="AJ84" s="7">
        <v>-1</v>
      </c>
      <c r="AK84" s="7" t="s">
        <v>1064</v>
      </c>
      <c r="AL84" s="12" t="s">
        <v>1695</v>
      </c>
      <c r="AM84" s="12" t="s">
        <v>2072</v>
      </c>
    </row>
    <row r="85" spans="1:39" ht="21" customHeight="1" x14ac:dyDescent="0.15">
      <c r="A85" s="42" t="str">
        <f t="shared" si="2"/>
        <v>16_1</v>
      </c>
      <c r="B85" s="23">
        <v>3</v>
      </c>
      <c r="C85" s="10">
        <v>16</v>
      </c>
      <c r="D85" s="47" t="str">
        <f ca="1">VLOOKUP($C85,OFFSET(quests!$A$1,0,0,COUNTA(quests!$A:$A),MATCH(D$1,quests!$1:$1,0)-MATCH($C$2,quests!$1:$1,0)+1),MATCH(D$1,quests!$1:$1,0)-MATCH($C$2,quests!$1:$1,0)+1,FALSE)</f>
        <v>16．H&amp;Gスイートハウス</v>
      </c>
      <c r="E85" s="48" t="str">
        <f ca="1">VLOOKUP($C85,OFFSET(quests!$A$1,0,0,COUNTA(quests!$A:$A),MATCH(E$2,quests!$1:$1,0)-MATCH($C$2,quests!$1:$1,0)+1),MATCH(E$2,quests!$1:$1,0)-MATCH($C$2,quests!$1:$1,0)+1,FALSE)</f>
        <v>混色DL3</v>
      </c>
      <c r="F85" s="7">
        <v>1</v>
      </c>
      <c r="G85" s="7" t="s">
        <v>570</v>
      </c>
      <c r="H85" s="69" t="s">
        <v>343</v>
      </c>
      <c r="I85" s="12"/>
      <c r="J85" s="12" t="s">
        <v>279</v>
      </c>
      <c r="K85" s="167">
        <v>9</v>
      </c>
      <c r="L85" s="167">
        <v>1200</v>
      </c>
      <c r="M85" s="167">
        <v>1</v>
      </c>
      <c r="N85" s="167">
        <v>1</v>
      </c>
      <c r="O85" s="167">
        <v>1</v>
      </c>
      <c r="P85" s="167">
        <v>1</v>
      </c>
      <c r="Q85" s="167">
        <v>1</v>
      </c>
      <c r="R85" s="167">
        <v>3</v>
      </c>
      <c r="S85" s="167" t="s">
        <v>79</v>
      </c>
      <c r="T85" s="167">
        <v>0</v>
      </c>
      <c r="U85" s="7">
        <v>15</v>
      </c>
      <c r="V85" s="7">
        <v>6</v>
      </c>
      <c r="W85" s="47" t="str">
        <f t="shared" ca="1" si="3"/>
        <v>15-6. 【1回のみ】ボーナスステージ</v>
      </c>
      <c r="X85" s="47">
        <f ca="1">VLOOKUP($C85,OFFSET(quests!$A$1,0,0,COUNTA(quests!$A:$A),MATCH(X$2,quests!$1:$1,0)-MATCH($C$2,quests!$1:$1,0)+1),MATCH(X$2,quests!$1:$1,0)-MATCH($C$2,quests!$1:$1,0)+1,FALSE)</f>
        <v>1</v>
      </c>
      <c r="Y85" s="47">
        <f ca="1">VLOOKUP($C85,OFFSET(quests!$A$1,0,0,COUNTA(quests!$A:$A),MATCH(Y$2,quests!$1:$1,0)-MATCH($C$2,quests!$1:$1,0)+1),MATCH(Y$2,quests!$1:$1,0)-MATCH($C$2,quests!$1:$1,0)+1,FALSE)</f>
        <v>1</v>
      </c>
      <c r="Z85" s="47">
        <f ca="1">VLOOKUP($C85,OFFSET(quests!$A$1,0,0,COUNTA(quests!$A:$A),MATCH(Z$2,quests!$1:$1,0)-MATCH($C$2,quests!$1:$1,0)+1),MATCH(Z$2,quests!$1:$1,0)-MATCH($C$2,quests!$1:$1,0)+1,FALSE)</f>
        <v>1</v>
      </c>
      <c r="AA85" s="47">
        <f ca="1">VLOOKUP($C85,OFFSET(quests!$A$1,0,0,COUNTA(quests!$A:$A),MATCH(AA$2,quests!$1:$1,0)-MATCH($C$2,quests!$1:$1,0)+1),MATCH(AA$2,quests!$1:$1,0)-MATCH($C$2,quests!$1:$1,0)+1,FALSE)</f>
        <v>1</v>
      </c>
      <c r="AB85" s="7" t="s">
        <v>56</v>
      </c>
      <c r="AC85" s="7">
        <v>16</v>
      </c>
      <c r="AD85" s="7">
        <v>6</v>
      </c>
      <c r="AE85" s="7" t="s">
        <v>519</v>
      </c>
      <c r="AF85" s="7">
        <v>0</v>
      </c>
      <c r="AG85" s="7">
        <v>0</v>
      </c>
      <c r="AH85" s="7">
        <v>0</v>
      </c>
      <c r="AI85" s="7">
        <v>-1</v>
      </c>
      <c r="AJ85" s="7">
        <v>-1</v>
      </c>
      <c r="AK85" s="7" t="s">
        <v>1064</v>
      </c>
      <c r="AL85" s="12" t="s">
        <v>1695</v>
      </c>
      <c r="AM85" s="12" t="s">
        <v>2072</v>
      </c>
    </row>
    <row r="86" spans="1:39" ht="21" customHeight="1" x14ac:dyDescent="0.15">
      <c r="A86" s="42" t="str">
        <f t="shared" si="2"/>
        <v>16_2</v>
      </c>
      <c r="B86" s="23">
        <v>3</v>
      </c>
      <c r="C86" s="10">
        <v>16</v>
      </c>
      <c r="D86" s="47" t="str">
        <f ca="1">VLOOKUP($C86,OFFSET(quests!$A$1,0,0,COUNTA(quests!$A:$A),MATCH(D$1,quests!$1:$1,0)-MATCH($C$2,quests!$1:$1,0)+1),MATCH(D$1,quests!$1:$1,0)-MATCH($C$2,quests!$1:$1,0)+1,FALSE)</f>
        <v>16．H&amp;Gスイートハウス</v>
      </c>
      <c r="E86" s="48" t="str">
        <f ca="1">VLOOKUP($C86,OFFSET(quests!$A$1,0,0,COUNTA(quests!$A:$A),MATCH(E$2,quests!$1:$1,0)-MATCH($C$2,quests!$1:$1,0)+1),MATCH(E$2,quests!$1:$1,0)-MATCH($C$2,quests!$1:$1,0)+1,FALSE)</f>
        <v>混色DL3</v>
      </c>
      <c r="F86" s="7">
        <v>2</v>
      </c>
      <c r="G86" s="7" t="s">
        <v>570</v>
      </c>
      <c r="H86" s="69" t="s">
        <v>344</v>
      </c>
      <c r="I86" s="12"/>
      <c r="J86" s="12" t="s">
        <v>279</v>
      </c>
      <c r="K86" s="167">
        <v>9</v>
      </c>
      <c r="L86" s="167">
        <v>1280</v>
      </c>
      <c r="M86" s="167">
        <v>1</v>
      </c>
      <c r="N86" s="167">
        <v>1</v>
      </c>
      <c r="O86" s="167">
        <v>1</v>
      </c>
      <c r="P86" s="167">
        <v>1</v>
      </c>
      <c r="Q86" s="167">
        <v>1</v>
      </c>
      <c r="R86" s="167">
        <v>3</v>
      </c>
      <c r="S86" s="167" t="s">
        <v>79</v>
      </c>
      <c r="T86" s="167">
        <v>0</v>
      </c>
      <c r="U86" s="7">
        <v>16</v>
      </c>
      <c r="V86" s="7">
        <v>1</v>
      </c>
      <c r="W86" s="47" t="str">
        <f t="shared" ca="1" si="3"/>
        <v>16-1. 侵入スイートハウス</v>
      </c>
      <c r="X86" s="47">
        <f ca="1">VLOOKUP($C86,OFFSET(quests!$A$1,0,0,COUNTA(quests!$A:$A),MATCH(X$2,quests!$1:$1,0)-MATCH($C$2,quests!$1:$1,0)+1),MATCH(X$2,quests!$1:$1,0)-MATCH($C$2,quests!$1:$1,0)+1,FALSE)</f>
        <v>1</v>
      </c>
      <c r="Y86" s="47">
        <f ca="1">VLOOKUP($C86,OFFSET(quests!$A$1,0,0,COUNTA(quests!$A:$A),MATCH(Y$2,quests!$1:$1,0)-MATCH($C$2,quests!$1:$1,0)+1),MATCH(Y$2,quests!$1:$1,0)-MATCH($C$2,quests!$1:$1,0)+1,FALSE)</f>
        <v>1</v>
      </c>
      <c r="Z86" s="47">
        <f ca="1">VLOOKUP($C86,OFFSET(quests!$A$1,0,0,COUNTA(quests!$A:$A),MATCH(Z$2,quests!$1:$1,0)-MATCH($C$2,quests!$1:$1,0)+1),MATCH(Z$2,quests!$1:$1,0)-MATCH($C$2,quests!$1:$1,0)+1,FALSE)</f>
        <v>1</v>
      </c>
      <c r="AA86" s="47">
        <f ca="1">VLOOKUP($C86,OFFSET(quests!$A$1,0,0,COUNTA(quests!$A:$A),MATCH(AA$2,quests!$1:$1,0)-MATCH($C$2,quests!$1:$1,0)+1),MATCH(AA$2,quests!$1:$1,0)-MATCH($C$2,quests!$1:$1,0)+1,FALSE)</f>
        <v>1</v>
      </c>
      <c r="AB86" s="7" t="s">
        <v>56</v>
      </c>
      <c r="AC86" s="7">
        <v>16</v>
      </c>
      <c r="AD86" s="7">
        <v>6</v>
      </c>
      <c r="AE86" s="7" t="s">
        <v>519</v>
      </c>
      <c r="AF86" s="7">
        <v>0</v>
      </c>
      <c r="AG86" s="7">
        <v>0</v>
      </c>
      <c r="AH86" s="7">
        <v>0</v>
      </c>
      <c r="AI86" s="7">
        <v>-1</v>
      </c>
      <c r="AJ86" s="7">
        <v>-1</v>
      </c>
      <c r="AK86" s="7" t="s">
        <v>1064</v>
      </c>
      <c r="AL86" s="12" t="s">
        <v>1695</v>
      </c>
      <c r="AM86" s="12" t="s">
        <v>2072</v>
      </c>
    </row>
    <row r="87" spans="1:39" ht="21" customHeight="1" x14ac:dyDescent="0.15">
      <c r="A87" s="42" t="str">
        <f t="shared" si="2"/>
        <v>16_3</v>
      </c>
      <c r="B87" s="23">
        <v>3</v>
      </c>
      <c r="C87" s="10">
        <v>16</v>
      </c>
      <c r="D87" s="47" t="str">
        <f ca="1">VLOOKUP($C87,OFFSET(quests!$A$1,0,0,COUNTA(quests!$A:$A),MATCH(D$1,quests!$1:$1,0)-MATCH($C$2,quests!$1:$1,0)+1),MATCH(D$1,quests!$1:$1,0)-MATCH($C$2,quests!$1:$1,0)+1,FALSE)</f>
        <v>16．H&amp;Gスイートハウス</v>
      </c>
      <c r="E87" s="48" t="str">
        <f ca="1">VLOOKUP($C87,OFFSET(quests!$A$1,0,0,COUNTA(quests!$A:$A),MATCH(E$2,quests!$1:$1,0)-MATCH($C$2,quests!$1:$1,0)+1),MATCH(E$2,quests!$1:$1,0)-MATCH($C$2,quests!$1:$1,0)+1,FALSE)</f>
        <v>混色DL3</v>
      </c>
      <c r="F87" s="7">
        <v>3</v>
      </c>
      <c r="G87" s="7" t="s">
        <v>570</v>
      </c>
      <c r="H87" s="69" t="s">
        <v>345</v>
      </c>
      <c r="I87" s="12"/>
      <c r="J87" s="12" t="s">
        <v>279</v>
      </c>
      <c r="K87" s="167">
        <v>10</v>
      </c>
      <c r="L87" s="167">
        <v>1360</v>
      </c>
      <c r="M87" s="167">
        <v>1</v>
      </c>
      <c r="N87" s="167">
        <v>1</v>
      </c>
      <c r="O87" s="167">
        <v>1</v>
      </c>
      <c r="P87" s="167">
        <v>1</v>
      </c>
      <c r="Q87" s="167">
        <v>1</v>
      </c>
      <c r="R87" s="167">
        <v>3</v>
      </c>
      <c r="S87" s="167" t="s">
        <v>79</v>
      </c>
      <c r="T87" s="167">
        <v>0</v>
      </c>
      <c r="U87" s="7">
        <v>16</v>
      </c>
      <c r="V87" s="7">
        <v>2</v>
      </c>
      <c r="W87" s="47" t="str">
        <f t="shared" ca="1" si="3"/>
        <v>16-2. ベタつく扉</v>
      </c>
      <c r="X87" s="47">
        <f ca="1">VLOOKUP($C87,OFFSET(quests!$A$1,0,0,COUNTA(quests!$A:$A),MATCH(X$2,quests!$1:$1,0)-MATCH($C$2,quests!$1:$1,0)+1),MATCH(X$2,quests!$1:$1,0)-MATCH($C$2,quests!$1:$1,0)+1,FALSE)</f>
        <v>1</v>
      </c>
      <c r="Y87" s="47">
        <f ca="1">VLOOKUP($C87,OFFSET(quests!$A$1,0,0,COUNTA(quests!$A:$A),MATCH(Y$2,quests!$1:$1,0)-MATCH($C$2,quests!$1:$1,0)+1),MATCH(Y$2,quests!$1:$1,0)-MATCH($C$2,quests!$1:$1,0)+1,FALSE)</f>
        <v>1</v>
      </c>
      <c r="Z87" s="47">
        <f ca="1">VLOOKUP($C87,OFFSET(quests!$A$1,0,0,COUNTA(quests!$A:$A),MATCH(Z$2,quests!$1:$1,0)-MATCH($C$2,quests!$1:$1,0)+1),MATCH(Z$2,quests!$1:$1,0)-MATCH($C$2,quests!$1:$1,0)+1,FALSE)</f>
        <v>1</v>
      </c>
      <c r="AA87" s="47">
        <f ca="1">VLOOKUP($C87,OFFSET(quests!$A$1,0,0,COUNTA(quests!$A:$A),MATCH(AA$2,quests!$1:$1,0)-MATCH($C$2,quests!$1:$1,0)+1),MATCH(AA$2,quests!$1:$1,0)-MATCH($C$2,quests!$1:$1,0)+1,FALSE)</f>
        <v>1</v>
      </c>
      <c r="AB87" s="7" t="s">
        <v>56</v>
      </c>
      <c r="AC87" s="7">
        <v>16</v>
      </c>
      <c r="AD87" s="7">
        <v>6</v>
      </c>
      <c r="AE87" s="7" t="s">
        <v>519</v>
      </c>
      <c r="AF87" s="7">
        <v>0</v>
      </c>
      <c r="AG87" s="7">
        <v>0</v>
      </c>
      <c r="AH87" s="7">
        <v>0</v>
      </c>
      <c r="AI87" s="7">
        <v>-1</v>
      </c>
      <c r="AJ87" s="7">
        <v>-1</v>
      </c>
      <c r="AK87" s="7" t="s">
        <v>1064</v>
      </c>
      <c r="AL87" s="12" t="s">
        <v>1695</v>
      </c>
      <c r="AM87" s="12" t="s">
        <v>2072</v>
      </c>
    </row>
    <row r="88" spans="1:39" ht="21" customHeight="1" x14ac:dyDescent="0.15">
      <c r="A88" s="42" t="str">
        <f t="shared" si="2"/>
        <v>16_4</v>
      </c>
      <c r="B88" s="23">
        <v>3</v>
      </c>
      <c r="C88" s="10">
        <v>16</v>
      </c>
      <c r="D88" s="47" t="str">
        <f ca="1">VLOOKUP($C88,OFFSET(quests!$A$1,0,0,COUNTA(quests!$A:$A),MATCH(D$1,quests!$1:$1,0)-MATCH($C$2,quests!$1:$1,0)+1),MATCH(D$1,quests!$1:$1,0)-MATCH($C$2,quests!$1:$1,0)+1,FALSE)</f>
        <v>16．H&amp;Gスイートハウス</v>
      </c>
      <c r="E88" s="48" t="str">
        <f ca="1">VLOOKUP($C88,OFFSET(quests!$A$1,0,0,COUNTA(quests!$A:$A),MATCH(E$2,quests!$1:$1,0)-MATCH($C$2,quests!$1:$1,0)+1),MATCH(E$2,quests!$1:$1,0)-MATCH($C$2,quests!$1:$1,0)+1,FALSE)</f>
        <v>混色DL3</v>
      </c>
      <c r="F88" s="7">
        <v>4</v>
      </c>
      <c r="G88" s="7" t="s">
        <v>570</v>
      </c>
      <c r="H88" s="69" t="s">
        <v>346</v>
      </c>
      <c r="I88" s="12"/>
      <c r="J88" s="12" t="s">
        <v>279</v>
      </c>
      <c r="K88" s="167">
        <v>11</v>
      </c>
      <c r="L88" s="167">
        <v>1580</v>
      </c>
      <c r="M88" s="167">
        <v>1</v>
      </c>
      <c r="N88" s="167">
        <v>1</v>
      </c>
      <c r="O88" s="167">
        <v>1</v>
      </c>
      <c r="P88" s="167">
        <v>1</v>
      </c>
      <c r="Q88" s="167">
        <v>1</v>
      </c>
      <c r="R88" s="167">
        <v>3</v>
      </c>
      <c r="S88" s="167" t="s">
        <v>79</v>
      </c>
      <c r="T88" s="167">
        <v>0</v>
      </c>
      <c r="U88" s="7">
        <v>16</v>
      </c>
      <c r="V88" s="7">
        <v>3</v>
      </c>
      <c r="W88" s="47" t="str">
        <f t="shared" ca="1" si="3"/>
        <v>16-3. 甘くて危険な空間</v>
      </c>
      <c r="X88" s="47">
        <f ca="1">VLOOKUP($C88,OFFSET(quests!$A$1,0,0,COUNTA(quests!$A:$A),MATCH(X$2,quests!$1:$1,0)-MATCH($C$2,quests!$1:$1,0)+1),MATCH(X$2,quests!$1:$1,0)-MATCH($C$2,quests!$1:$1,0)+1,FALSE)</f>
        <v>1</v>
      </c>
      <c r="Y88" s="47">
        <f ca="1">VLOOKUP($C88,OFFSET(quests!$A$1,0,0,COUNTA(quests!$A:$A),MATCH(Y$2,quests!$1:$1,0)-MATCH($C$2,quests!$1:$1,0)+1),MATCH(Y$2,quests!$1:$1,0)-MATCH($C$2,quests!$1:$1,0)+1,FALSE)</f>
        <v>1</v>
      </c>
      <c r="Z88" s="47">
        <f ca="1">VLOOKUP($C88,OFFSET(quests!$A$1,0,0,COUNTA(quests!$A:$A),MATCH(Z$2,quests!$1:$1,0)-MATCH($C$2,quests!$1:$1,0)+1),MATCH(Z$2,quests!$1:$1,0)-MATCH($C$2,quests!$1:$1,0)+1,FALSE)</f>
        <v>1</v>
      </c>
      <c r="AA88" s="47">
        <f ca="1">VLOOKUP($C88,OFFSET(quests!$A$1,0,0,COUNTA(quests!$A:$A),MATCH(AA$2,quests!$1:$1,0)-MATCH($C$2,quests!$1:$1,0)+1),MATCH(AA$2,quests!$1:$1,0)-MATCH($C$2,quests!$1:$1,0)+1,FALSE)</f>
        <v>1</v>
      </c>
      <c r="AB88" s="7" t="s">
        <v>56</v>
      </c>
      <c r="AC88" s="7">
        <v>16</v>
      </c>
      <c r="AD88" s="7">
        <v>6</v>
      </c>
      <c r="AE88" s="7" t="s">
        <v>519</v>
      </c>
      <c r="AF88" s="7">
        <v>0</v>
      </c>
      <c r="AG88" s="7">
        <v>0</v>
      </c>
      <c r="AH88" s="7">
        <v>0</v>
      </c>
      <c r="AI88" s="7">
        <v>-1</v>
      </c>
      <c r="AJ88" s="7">
        <v>-1</v>
      </c>
      <c r="AK88" s="7" t="s">
        <v>1064</v>
      </c>
      <c r="AL88" s="12" t="s">
        <v>1695</v>
      </c>
      <c r="AM88" s="12" t="s">
        <v>2072</v>
      </c>
    </row>
    <row r="89" spans="1:39" ht="21" customHeight="1" x14ac:dyDescent="0.15">
      <c r="A89" s="42" t="str">
        <f t="shared" si="2"/>
        <v>16_5</v>
      </c>
      <c r="B89" s="23">
        <v>3</v>
      </c>
      <c r="C89" s="10">
        <v>16</v>
      </c>
      <c r="D89" s="47" t="str">
        <f ca="1">VLOOKUP($C89,OFFSET(quests!$A$1,0,0,COUNTA(quests!$A:$A),MATCH(D$1,quests!$1:$1,0)-MATCH($C$2,quests!$1:$1,0)+1),MATCH(D$1,quests!$1:$1,0)-MATCH($C$2,quests!$1:$1,0)+1,FALSE)</f>
        <v>16．H&amp;Gスイートハウス</v>
      </c>
      <c r="E89" s="48" t="str">
        <f ca="1">VLOOKUP($C89,OFFSET(quests!$A$1,0,0,COUNTA(quests!$A:$A),MATCH(E$2,quests!$1:$1,0)-MATCH($C$2,quests!$1:$1,0)+1),MATCH(E$2,quests!$1:$1,0)-MATCH($C$2,quests!$1:$1,0)+1,FALSE)</f>
        <v>混色DL3</v>
      </c>
      <c r="F89" s="9">
        <v>5</v>
      </c>
      <c r="G89" s="7" t="s">
        <v>570</v>
      </c>
      <c r="H89" s="69" t="s">
        <v>347</v>
      </c>
      <c r="I89" s="12"/>
      <c r="J89" s="12" t="s">
        <v>279</v>
      </c>
      <c r="K89" s="167">
        <v>16</v>
      </c>
      <c r="L89" s="167">
        <v>2110</v>
      </c>
      <c r="M89" s="167">
        <v>1</v>
      </c>
      <c r="N89" s="167">
        <v>1</v>
      </c>
      <c r="O89" s="167">
        <v>1</v>
      </c>
      <c r="P89" s="167">
        <v>1</v>
      </c>
      <c r="Q89" s="167">
        <v>1</v>
      </c>
      <c r="R89" s="167">
        <v>3</v>
      </c>
      <c r="S89" s="167" t="s">
        <v>79</v>
      </c>
      <c r="T89" s="167">
        <v>0</v>
      </c>
      <c r="U89" s="7">
        <v>16</v>
      </c>
      <c r="V89" s="7">
        <v>4</v>
      </c>
      <c r="W89" s="47" t="str">
        <f t="shared" ca="1" si="3"/>
        <v>16-4. 戦慄のシュガーハイ</v>
      </c>
      <c r="X89" s="47">
        <f ca="1">VLOOKUP($C89,OFFSET(quests!$A$1,0,0,COUNTA(quests!$A:$A),MATCH(X$2,quests!$1:$1,0)-MATCH($C$2,quests!$1:$1,0)+1),MATCH(X$2,quests!$1:$1,0)-MATCH($C$2,quests!$1:$1,0)+1,FALSE)</f>
        <v>1</v>
      </c>
      <c r="Y89" s="47">
        <f ca="1">VLOOKUP($C89,OFFSET(quests!$A$1,0,0,COUNTA(quests!$A:$A),MATCH(Y$2,quests!$1:$1,0)-MATCH($C$2,quests!$1:$1,0)+1),MATCH(Y$2,quests!$1:$1,0)-MATCH($C$2,quests!$1:$1,0)+1,FALSE)</f>
        <v>1</v>
      </c>
      <c r="Z89" s="47">
        <f ca="1">VLOOKUP($C89,OFFSET(quests!$A$1,0,0,COUNTA(quests!$A:$A),MATCH(Z$2,quests!$1:$1,0)-MATCH($C$2,quests!$1:$1,0)+1),MATCH(Z$2,quests!$1:$1,0)-MATCH($C$2,quests!$1:$1,0)+1,FALSE)</f>
        <v>1</v>
      </c>
      <c r="AA89" s="47">
        <f ca="1">VLOOKUP($C89,OFFSET(quests!$A$1,0,0,COUNTA(quests!$A:$A),MATCH(AA$2,quests!$1:$1,0)-MATCH($C$2,quests!$1:$1,0)+1),MATCH(AA$2,quests!$1:$1,0)-MATCH($C$2,quests!$1:$1,0)+1,FALSE)</f>
        <v>1</v>
      </c>
      <c r="AB89" s="7" t="s">
        <v>56</v>
      </c>
      <c r="AC89" s="7">
        <v>16</v>
      </c>
      <c r="AD89" s="7">
        <v>6</v>
      </c>
      <c r="AE89" s="7" t="s">
        <v>519</v>
      </c>
      <c r="AF89" s="33">
        <v>3</v>
      </c>
      <c r="AG89" s="7">
        <v>0</v>
      </c>
      <c r="AH89" s="7">
        <v>0</v>
      </c>
      <c r="AI89" s="7">
        <v>-1</v>
      </c>
      <c r="AJ89" s="7">
        <v>-1</v>
      </c>
      <c r="AK89" s="7" t="s">
        <v>1064</v>
      </c>
      <c r="AL89" s="12" t="s">
        <v>1695</v>
      </c>
      <c r="AM89" s="12" t="s">
        <v>2072</v>
      </c>
    </row>
    <row r="90" spans="1:39" ht="21" customHeight="1" x14ac:dyDescent="0.15">
      <c r="A90" s="42" t="str">
        <f t="shared" si="2"/>
        <v>16_6</v>
      </c>
      <c r="B90" s="23">
        <v>3</v>
      </c>
      <c r="C90" s="10">
        <v>16</v>
      </c>
      <c r="D90" s="47" t="str">
        <f ca="1">VLOOKUP($C90,OFFSET(quests!$A$1,0,0,COUNTA(quests!$A:$A),MATCH(D$1,quests!$1:$1,0)-MATCH($C$2,quests!$1:$1,0)+1),MATCH(D$1,quests!$1:$1,0)-MATCH($C$2,quests!$1:$1,0)+1,FALSE)</f>
        <v>16．H&amp;Gスイートハウス</v>
      </c>
      <c r="E90" s="48" t="str">
        <f ca="1">VLOOKUP($C90,OFFSET(quests!$A$1,0,0,COUNTA(quests!$A:$A),MATCH(E$2,quests!$1:$1,0)-MATCH($C$2,quests!$1:$1,0)+1),MATCH(E$2,quests!$1:$1,0)-MATCH($C$2,quests!$1:$1,0)+1,FALSE)</f>
        <v>混色DL3</v>
      </c>
      <c r="F90" s="7">
        <v>6</v>
      </c>
      <c r="G90" s="7" t="s">
        <v>570</v>
      </c>
      <c r="H90" s="69" t="s">
        <v>878</v>
      </c>
      <c r="I90" s="12" t="s">
        <v>164</v>
      </c>
      <c r="J90" s="12">
        <v>347</v>
      </c>
      <c r="K90" s="167">
        <v>1</v>
      </c>
      <c r="L90" s="167">
        <v>1</v>
      </c>
      <c r="M90" s="167">
        <v>1</v>
      </c>
      <c r="N90" s="167">
        <v>1</v>
      </c>
      <c r="O90" s="167">
        <v>1</v>
      </c>
      <c r="P90" s="167">
        <v>1</v>
      </c>
      <c r="Q90" s="167">
        <v>1</v>
      </c>
      <c r="R90" s="167">
        <v>3</v>
      </c>
      <c r="S90" s="167" t="s">
        <v>273</v>
      </c>
      <c r="T90" s="191" t="s">
        <v>2164</v>
      </c>
      <c r="U90" s="7">
        <v>16</v>
      </c>
      <c r="V90" s="7">
        <v>5</v>
      </c>
      <c r="W90" s="47" t="str">
        <f t="shared" ca="1" si="3"/>
        <v>16-5. プディングに狂気を添えて</v>
      </c>
      <c r="X90" s="47">
        <f ca="1">VLOOKUP($C90,OFFSET(quests!$A$1,0,0,COUNTA(quests!$A:$A),MATCH(X$2,quests!$1:$1,0)-MATCH($C$2,quests!$1:$1,0)+1),MATCH(X$2,quests!$1:$1,0)-MATCH($C$2,quests!$1:$1,0)+1,FALSE)</f>
        <v>1</v>
      </c>
      <c r="Y90" s="47">
        <f ca="1">VLOOKUP($C90,OFFSET(quests!$A$1,0,0,COUNTA(quests!$A:$A),MATCH(Y$2,quests!$1:$1,0)-MATCH($C$2,quests!$1:$1,0)+1),MATCH(Y$2,quests!$1:$1,0)-MATCH($C$2,quests!$1:$1,0)+1,FALSE)</f>
        <v>1</v>
      </c>
      <c r="Z90" s="47">
        <f ca="1">VLOOKUP($C90,OFFSET(quests!$A$1,0,0,COUNTA(quests!$A:$A),MATCH(Z$2,quests!$1:$1,0)-MATCH($C$2,quests!$1:$1,0)+1),MATCH(Z$2,quests!$1:$1,0)-MATCH($C$2,quests!$1:$1,0)+1,FALSE)</f>
        <v>1</v>
      </c>
      <c r="AA90" s="47">
        <f ca="1">VLOOKUP($C90,OFFSET(quests!$A$1,0,0,COUNTA(quests!$A:$A),MATCH(AA$2,quests!$1:$1,0)-MATCH($C$2,quests!$1:$1,0)+1),MATCH(AA$2,quests!$1:$1,0)-MATCH($C$2,quests!$1:$1,0)+1,FALSE)</f>
        <v>1</v>
      </c>
      <c r="AB90" s="7" t="s">
        <v>62</v>
      </c>
      <c r="AC90" s="7">
        <v>16</v>
      </c>
      <c r="AD90" s="7">
        <v>6</v>
      </c>
      <c r="AE90" s="7" t="s">
        <v>522</v>
      </c>
      <c r="AF90" s="7">
        <v>1</v>
      </c>
      <c r="AG90" s="7">
        <v>0</v>
      </c>
      <c r="AH90" s="7">
        <v>0</v>
      </c>
      <c r="AI90" s="7">
        <v>-1</v>
      </c>
      <c r="AJ90" s="7">
        <v>-1</v>
      </c>
      <c r="AK90" s="7" t="s">
        <v>1064</v>
      </c>
      <c r="AL90" s="12" t="s">
        <v>1695</v>
      </c>
      <c r="AM90" s="12" t="s">
        <v>2072</v>
      </c>
    </row>
    <row r="91" spans="1:39" ht="21" customHeight="1" x14ac:dyDescent="0.15">
      <c r="A91" s="42" t="str">
        <f t="shared" si="2"/>
        <v>17_1</v>
      </c>
      <c r="B91" s="23">
        <v>3</v>
      </c>
      <c r="C91" s="10">
        <v>17</v>
      </c>
      <c r="D91" s="47" t="str">
        <f ca="1">VLOOKUP($C91,OFFSET(quests!$A$1,0,0,COUNTA(quests!$A:$A),MATCH(D$1,quests!$1:$1,0)-MATCH($C$2,quests!$1:$1,0)+1),MATCH(D$1,quests!$1:$1,0)-MATCH($C$2,quests!$1:$1,0)+1,FALSE)</f>
        <v>17．エナリオス海中神殿</v>
      </c>
      <c r="E91" s="48" t="str">
        <f ca="1">VLOOKUP($C91,OFFSET(quests!$A$1,0,0,COUNTA(quests!$A:$A),MATCH(E$2,quests!$1:$1,0)-MATCH($C$2,quests!$1:$1,0)+1),MATCH(E$2,quests!$1:$1,0)-MATCH($C$2,quests!$1:$1,0)+1,FALSE)</f>
        <v>青DL4</v>
      </c>
      <c r="F91" s="7">
        <v>1</v>
      </c>
      <c r="G91" s="7" t="s">
        <v>570</v>
      </c>
      <c r="H91" s="69" t="s">
        <v>348</v>
      </c>
      <c r="I91" s="12"/>
      <c r="J91" s="12" t="s">
        <v>279</v>
      </c>
      <c r="K91" s="167">
        <v>9</v>
      </c>
      <c r="L91" s="167">
        <v>1020</v>
      </c>
      <c r="M91" s="167">
        <v>1</v>
      </c>
      <c r="N91" s="167">
        <v>1</v>
      </c>
      <c r="O91" s="167">
        <v>1</v>
      </c>
      <c r="P91" s="167">
        <v>1</v>
      </c>
      <c r="Q91" s="167">
        <v>1</v>
      </c>
      <c r="R91" s="167">
        <v>3</v>
      </c>
      <c r="S91" s="167" t="s">
        <v>79</v>
      </c>
      <c r="T91" s="167">
        <v>0</v>
      </c>
      <c r="U91" s="7">
        <v>16</v>
      </c>
      <c r="V91" s="7">
        <v>6</v>
      </c>
      <c r="W91" s="47" t="str">
        <f t="shared" ca="1" si="3"/>
        <v>16-6. 【1回のみ】ボーナスステージ</v>
      </c>
      <c r="X91" s="47">
        <f ca="1">VLOOKUP($C91,OFFSET(quests!$A$1,0,0,COUNTA(quests!$A:$A),MATCH(X$2,quests!$1:$1,0)-MATCH($C$2,quests!$1:$1,0)+1),MATCH(X$2,quests!$1:$1,0)-MATCH($C$2,quests!$1:$1,0)+1,FALSE)</f>
        <v>0</v>
      </c>
      <c r="Y91" s="47">
        <f ca="1">VLOOKUP($C91,OFFSET(quests!$A$1,0,0,COUNTA(quests!$A:$A),MATCH(Y$2,quests!$1:$1,0)-MATCH($C$2,quests!$1:$1,0)+1),MATCH(Y$2,quests!$1:$1,0)-MATCH($C$2,quests!$1:$1,0)+1,FALSE)</f>
        <v>1</v>
      </c>
      <c r="Z91" s="47">
        <f ca="1">VLOOKUP($C91,OFFSET(quests!$A$1,0,0,COUNTA(quests!$A:$A),MATCH(Z$2,quests!$1:$1,0)-MATCH($C$2,quests!$1:$1,0)+1),MATCH(Z$2,quests!$1:$1,0)-MATCH($C$2,quests!$1:$1,0)+1,FALSE)</f>
        <v>0</v>
      </c>
      <c r="AA91" s="47">
        <f ca="1">VLOOKUP($C91,OFFSET(quests!$A$1,0,0,COUNTA(quests!$A:$A),MATCH(AA$2,quests!$1:$1,0)-MATCH($C$2,quests!$1:$1,0)+1),MATCH(AA$2,quests!$1:$1,0)-MATCH($C$2,quests!$1:$1,0)+1,FALSE)</f>
        <v>0</v>
      </c>
      <c r="AB91" s="7" t="s">
        <v>56</v>
      </c>
      <c r="AC91" s="7">
        <v>17</v>
      </c>
      <c r="AD91" s="7">
        <v>6</v>
      </c>
      <c r="AE91" s="7" t="s">
        <v>519</v>
      </c>
      <c r="AF91" s="7">
        <v>0</v>
      </c>
      <c r="AG91" s="7">
        <v>0</v>
      </c>
      <c r="AH91" s="7">
        <v>0</v>
      </c>
      <c r="AI91" s="7">
        <v>-1</v>
      </c>
      <c r="AJ91" s="7">
        <v>-1</v>
      </c>
      <c r="AK91" s="7" t="s">
        <v>1064</v>
      </c>
      <c r="AL91" s="12" t="s">
        <v>1695</v>
      </c>
      <c r="AM91" s="12" t="s">
        <v>2072</v>
      </c>
    </row>
    <row r="92" spans="1:39" ht="21" customHeight="1" x14ac:dyDescent="0.15">
      <c r="A92" s="42" t="str">
        <f t="shared" si="2"/>
        <v>17_2</v>
      </c>
      <c r="B92" s="23">
        <v>3</v>
      </c>
      <c r="C92" s="10">
        <v>17</v>
      </c>
      <c r="D92" s="47" t="str">
        <f ca="1">VLOOKUP($C92,OFFSET(quests!$A$1,0,0,COUNTA(quests!$A:$A),MATCH(D$1,quests!$1:$1,0)-MATCH($C$2,quests!$1:$1,0)+1),MATCH(D$1,quests!$1:$1,0)-MATCH($C$2,quests!$1:$1,0)+1,FALSE)</f>
        <v>17．エナリオス海中神殿</v>
      </c>
      <c r="E92" s="48" t="str">
        <f ca="1">VLOOKUP($C92,OFFSET(quests!$A$1,0,0,COUNTA(quests!$A:$A),MATCH(E$2,quests!$1:$1,0)-MATCH($C$2,quests!$1:$1,0)+1),MATCH(E$2,quests!$1:$1,0)-MATCH($C$2,quests!$1:$1,0)+1,FALSE)</f>
        <v>青DL4</v>
      </c>
      <c r="F92" s="7">
        <v>2</v>
      </c>
      <c r="G92" s="7" t="s">
        <v>570</v>
      </c>
      <c r="H92" s="69" t="s">
        <v>349</v>
      </c>
      <c r="I92" s="12"/>
      <c r="J92" s="12" t="s">
        <v>279</v>
      </c>
      <c r="K92" s="167">
        <v>9</v>
      </c>
      <c r="L92" s="167">
        <v>1100</v>
      </c>
      <c r="M92" s="167">
        <v>1</v>
      </c>
      <c r="N92" s="167">
        <v>1</v>
      </c>
      <c r="O92" s="167">
        <v>1</v>
      </c>
      <c r="P92" s="167">
        <v>1</v>
      </c>
      <c r="Q92" s="167">
        <v>1</v>
      </c>
      <c r="R92" s="167">
        <v>3</v>
      </c>
      <c r="S92" s="167" t="s">
        <v>79</v>
      </c>
      <c r="T92" s="167">
        <v>0</v>
      </c>
      <c r="U92" s="7">
        <v>17</v>
      </c>
      <c r="V92" s="7">
        <v>1</v>
      </c>
      <c r="W92" s="47" t="str">
        <f t="shared" ca="1" si="3"/>
        <v>17-1. 見捨てられた神殿</v>
      </c>
      <c r="X92" s="47">
        <f ca="1">VLOOKUP($C92,OFFSET(quests!$A$1,0,0,COUNTA(quests!$A:$A),MATCH(X$2,quests!$1:$1,0)-MATCH($C$2,quests!$1:$1,0)+1),MATCH(X$2,quests!$1:$1,0)-MATCH($C$2,quests!$1:$1,0)+1,FALSE)</f>
        <v>0</v>
      </c>
      <c r="Y92" s="47">
        <f ca="1">VLOOKUP($C92,OFFSET(quests!$A$1,0,0,COUNTA(quests!$A:$A),MATCH(Y$2,quests!$1:$1,0)-MATCH($C$2,quests!$1:$1,0)+1),MATCH(Y$2,quests!$1:$1,0)-MATCH($C$2,quests!$1:$1,0)+1,FALSE)</f>
        <v>1</v>
      </c>
      <c r="Z92" s="47">
        <f ca="1">VLOOKUP($C92,OFFSET(quests!$A$1,0,0,COUNTA(quests!$A:$A),MATCH(Z$2,quests!$1:$1,0)-MATCH($C$2,quests!$1:$1,0)+1),MATCH(Z$2,quests!$1:$1,0)-MATCH($C$2,quests!$1:$1,0)+1,FALSE)</f>
        <v>0</v>
      </c>
      <c r="AA92" s="47">
        <f ca="1">VLOOKUP($C92,OFFSET(quests!$A$1,0,0,COUNTA(quests!$A:$A),MATCH(AA$2,quests!$1:$1,0)-MATCH($C$2,quests!$1:$1,0)+1),MATCH(AA$2,quests!$1:$1,0)-MATCH($C$2,quests!$1:$1,0)+1,FALSE)</f>
        <v>0</v>
      </c>
      <c r="AB92" s="7" t="s">
        <v>56</v>
      </c>
      <c r="AC92" s="7">
        <v>17</v>
      </c>
      <c r="AD92" s="7">
        <v>6</v>
      </c>
      <c r="AE92" s="7" t="s">
        <v>519</v>
      </c>
      <c r="AF92" s="7">
        <v>0</v>
      </c>
      <c r="AG92" s="7">
        <v>0</v>
      </c>
      <c r="AH92" s="7">
        <v>0</v>
      </c>
      <c r="AI92" s="7">
        <v>-1</v>
      </c>
      <c r="AJ92" s="7">
        <v>-1</v>
      </c>
      <c r="AK92" s="7" t="s">
        <v>1064</v>
      </c>
      <c r="AL92" s="12" t="s">
        <v>1695</v>
      </c>
      <c r="AM92" s="12" t="s">
        <v>2072</v>
      </c>
    </row>
    <row r="93" spans="1:39" ht="21" customHeight="1" x14ac:dyDescent="0.15">
      <c r="A93" s="42" t="str">
        <f t="shared" si="2"/>
        <v>17_3</v>
      </c>
      <c r="B93" s="23">
        <v>3</v>
      </c>
      <c r="C93" s="10">
        <v>17</v>
      </c>
      <c r="D93" s="47" t="str">
        <f ca="1">VLOOKUP($C93,OFFSET(quests!$A$1,0,0,COUNTA(quests!$A:$A),MATCH(D$1,quests!$1:$1,0)-MATCH($C$2,quests!$1:$1,0)+1),MATCH(D$1,quests!$1:$1,0)-MATCH($C$2,quests!$1:$1,0)+1,FALSE)</f>
        <v>17．エナリオス海中神殿</v>
      </c>
      <c r="E93" s="48" t="str">
        <f ca="1">VLOOKUP($C93,OFFSET(quests!$A$1,0,0,COUNTA(quests!$A:$A),MATCH(E$2,quests!$1:$1,0)-MATCH($C$2,quests!$1:$1,0)+1),MATCH(E$2,quests!$1:$1,0)-MATCH($C$2,quests!$1:$1,0)+1,FALSE)</f>
        <v>青DL4</v>
      </c>
      <c r="F93" s="7">
        <v>3</v>
      </c>
      <c r="G93" s="7" t="s">
        <v>570</v>
      </c>
      <c r="H93" s="69" t="s">
        <v>350</v>
      </c>
      <c r="I93" s="12"/>
      <c r="J93" s="12" t="s">
        <v>279</v>
      </c>
      <c r="K93" s="167">
        <v>10</v>
      </c>
      <c r="L93" s="167">
        <v>1150</v>
      </c>
      <c r="M93" s="167">
        <v>1</v>
      </c>
      <c r="N93" s="167">
        <v>1</v>
      </c>
      <c r="O93" s="167">
        <v>1</v>
      </c>
      <c r="P93" s="167">
        <v>1</v>
      </c>
      <c r="Q93" s="167">
        <v>1</v>
      </c>
      <c r="R93" s="167">
        <v>3</v>
      </c>
      <c r="S93" s="167" t="s">
        <v>79</v>
      </c>
      <c r="T93" s="167">
        <v>0</v>
      </c>
      <c r="U93" s="7">
        <v>17</v>
      </c>
      <c r="V93" s="7">
        <v>2</v>
      </c>
      <c r="W93" s="47" t="str">
        <f t="shared" ca="1" si="3"/>
        <v>17-2. 窒息クライシス</v>
      </c>
      <c r="X93" s="47">
        <f ca="1">VLOOKUP($C93,OFFSET(quests!$A$1,0,0,COUNTA(quests!$A:$A),MATCH(X$2,quests!$1:$1,0)-MATCH($C$2,quests!$1:$1,0)+1),MATCH(X$2,quests!$1:$1,0)-MATCH($C$2,quests!$1:$1,0)+1,FALSE)</f>
        <v>0</v>
      </c>
      <c r="Y93" s="47">
        <f ca="1">VLOOKUP($C93,OFFSET(quests!$A$1,0,0,COUNTA(quests!$A:$A),MATCH(Y$2,quests!$1:$1,0)-MATCH($C$2,quests!$1:$1,0)+1),MATCH(Y$2,quests!$1:$1,0)-MATCH($C$2,quests!$1:$1,0)+1,FALSE)</f>
        <v>1</v>
      </c>
      <c r="Z93" s="47">
        <f ca="1">VLOOKUP($C93,OFFSET(quests!$A$1,0,0,COUNTA(quests!$A:$A),MATCH(Z$2,quests!$1:$1,0)-MATCH($C$2,quests!$1:$1,0)+1),MATCH(Z$2,quests!$1:$1,0)-MATCH($C$2,quests!$1:$1,0)+1,FALSE)</f>
        <v>0</v>
      </c>
      <c r="AA93" s="47">
        <f ca="1">VLOOKUP($C93,OFFSET(quests!$A$1,0,0,COUNTA(quests!$A:$A),MATCH(AA$2,quests!$1:$1,0)-MATCH($C$2,quests!$1:$1,0)+1),MATCH(AA$2,quests!$1:$1,0)-MATCH($C$2,quests!$1:$1,0)+1,FALSE)</f>
        <v>0</v>
      </c>
      <c r="AB93" s="7" t="s">
        <v>56</v>
      </c>
      <c r="AC93" s="7">
        <v>17</v>
      </c>
      <c r="AD93" s="7">
        <v>6</v>
      </c>
      <c r="AE93" s="7" t="s">
        <v>519</v>
      </c>
      <c r="AF93" s="7">
        <v>0</v>
      </c>
      <c r="AG93" s="7">
        <v>0</v>
      </c>
      <c r="AH93" s="7">
        <v>0</v>
      </c>
      <c r="AI93" s="7">
        <v>-1</v>
      </c>
      <c r="AJ93" s="7">
        <v>-1</v>
      </c>
      <c r="AK93" s="7" t="s">
        <v>1064</v>
      </c>
      <c r="AL93" s="12" t="s">
        <v>1695</v>
      </c>
      <c r="AM93" s="12" t="s">
        <v>2072</v>
      </c>
    </row>
    <row r="94" spans="1:39" ht="21" customHeight="1" x14ac:dyDescent="0.15">
      <c r="A94" s="42" t="str">
        <f t="shared" si="2"/>
        <v>17_4</v>
      </c>
      <c r="B94" s="23">
        <v>3</v>
      </c>
      <c r="C94" s="10">
        <v>17</v>
      </c>
      <c r="D94" s="47" t="str">
        <f ca="1">VLOOKUP($C94,OFFSET(quests!$A$1,0,0,COUNTA(quests!$A:$A),MATCH(D$1,quests!$1:$1,0)-MATCH($C$2,quests!$1:$1,0)+1),MATCH(D$1,quests!$1:$1,0)-MATCH($C$2,quests!$1:$1,0)+1,FALSE)</f>
        <v>17．エナリオス海中神殿</v>
      </c>
      <c r="E94" s="48" t="str">
        <f ca="1">VLOOKUP($C94,OFFSET(quests!$A$1,0,0,COUNTA(quests!$A:$A),MATCH(E$2,quests!$1:$1,0)-MATCH($C$2,quests!$1:$1,0)+1),MATCH(E$2,quests!$1:$1,0)-MATCH($C$2,quests!$1:$1,0)+1,FALSE)</f>
        <v>青DL4</v>
      </c>
      <c r="F94" s="7">
        <v>4</v>
      </c>
      <c r="G94" s="7" t="s">
        <v>570</v>
      </c>
      <c r="H94" s="69" t="s">
        <v>351</v>
      </c>
      <c r="I94" s="12"/>
      <c r="J94" s="12" t="s">
        <v>279</v>
      </c>
      <c r="K94" s="167">
        <v>11</v>
      </c>
      <c r="L94" s="167">
        <v>1320</v>
      </c>
      <c r="M94" s="167">
        <v>1</v>
      </c>
      <c r="N94" s="167">
        <v>1</v>
      </c>
      <c r="O94" s="167">
        <v>1</v>
      </c>
      <c r="P94" s="167">
        <v>1</v>
      </c>
      <c r="Q94" s="167">
        <v>1</v>
      </c>
      <c r="R94" s="167">
        <v>3</v>
      </c>
      <c r="S94" s="167" t="s">
        <v>79</v>
      </c>
      <c r="T94" s="167">
        <v>0</v>
      </c>
      <c r="U94" s="7">
        <v>17</v>
      </c>
      <c r="V94" s="7">
        <v>3</v>
      </c>
      <c r="W94" s="47" t="str">
        <f t="shared" ca="1" si="3"/>
        <v>17-3. 激流の守護龍</v>
      </c>
      <c r="X94" s="47">
        <f ca="1">VLOOKUP($C94,OFFSET(quests!$A$1,0,0,COUNTA(quests!$A:$A),MATCH(X$2,quests!$1:$1,0)-MATCH($C$2,quests!$1:$1,0)+1),MATCH(X$2,quests!$1:$1,0)-MATCH($C$2,quests!$1:$1,0)+1,FALSE)</f>
        <v>0</v>
      </c>
      <c r="Y94" s="47">
        <f ca="1">VLOOKUP($C94,OFFSET(quests!$A$1,0,0,COUNTA(quests!$A:$A),MATCH(Y$2,quests!$1:$1,0)-MATCH($C$2,quests!$1:$1,0)+1),MATCH(Y$2,quests!$1:$1,0)-MATCH($C$2,quests!$1:$1,0)+1,FALSE)</f>
        <v>1</v>
      </c>
      <c r="Z94" s="47">
        <f ca="1">VLOOKUP($C94,OFFSET(quests!$A$1,0,0,COUNTA(quests!$A:$A),MATCH(Z$2,quests!$1:$1,0)-MATCH($C$2,quests!$1:$1,0)+1),MATCH(Z$2,quests!$1:$1,0)-MATCH($C$2,quests!$1:$1,0)+1,FALSE)</f>
        <v>0</v>
      </c>
      <c r="AA94" s="47">
        <f ca="1">VLOOKUP($C94,OFFSET(quests!$A$1,0,0,COUNTA(quests!$A:$A),MATCH(AA$2,quests!$1:$1,0)-MATCH($C$2,quests!$1:$1,0)+1),MATCH(AA$2,quests!$1:$1,0)-MATCH($C$2,quests!$1:$1,0)+1,FALSE)</f>
        <v>0</v>
      </c>
      <c r="AB94" s="7" t="s">
        <v>56</v>
      </c>
      <c r="AC94" s="7">
        <v>17</v>
      </c>
      <c r="AD94" s="7">
        <v>6</v>
      </c>
      <c r="AE94" s="7" t="s">
        <v>519</v>
      </c>
      <c r="AF94" s="7">
        <v>0</v>
      </c>
      <c r="AG94" s="7">
        <v>0</v>
      </c>
      <c r="AH94" s="7">
        <v>0</v>
      </c>
      <c r="AI94" s="7">
        <v>-1</v>
      </c>
      <c r="AJ94" s="7">
        <v>-1</v>
      </c>
      <c r="AK94" s="7" t="s">
        <v>1064</v>
      </c>
      <c r="AL94" s="12" t="s">
        <v>1695</v>
      </c>
      <c r="AM94" s="12" t="s">
        <v>2072</v>
      </c>
    </row>
    <row r="95" spans="1:39" ht="21" customHeight="1" x14ac:dyDescent="0.15">
      <c r="A95" s="42" t="str">
        <f t="shared" si="2"/>
        <v>17_5</v>
      </c>
      <c r="B95" s="23">
        <v>3</v>
      </c>
      <c r="C95" s="10">
        <v>17</v>
      </c>
      <c r="D95" s="47" t="str">
        <f ca="1">VLOOKUP($C95,OFFSET(quests!$A$1,0,0,COUNTA(quests!$A:$A),MATCH(D$1,quests!$1:$1,0)-MATCH($C$2,quests!$1:$1,0)+1),MATCH(D$1,quests!$1:$1,0)-MATCH($C$2,quests!$1:$1,0)+1,FALSE)</f>
        <v>17．エナリオス海中神殿</v>
      </c>
      <c r="E95" s="48" t="str">
        <f ca="1">VLOOKUP($C95,OFFSET(quests!$A$1,0,0,COUNTA(quests!$A:$A),MATCH(E$2,quests!$1:$1,0)-MATCH($C$2,quests!$1:$1,0)+1),MATCH(E$2,quests!$1:$1,0)-MATCH($C$2,quests!$1:$1,0)+1,FALSE)</f>
        <v>青DL4</v>
      </c>
      <c r="F95" s="9">
        <v>5</v>
      </c>
      <c r="G95" s="7" t="s">
        <v>570</v>
      </c>
      <c r="H95" s="69" t="s">
        <v>352</v>
      </c>
      <c r="I95" s="12"/>
      <c r="J95" s="12" t="s">
        <v>279</v>
      </c>
      <c r="K95" s="167">
        <v>15</v>
      </c>
      <c r="L95" s="167">
        <v>1650</v>
      </c>
      <c r="M95" s="167">
        <v>1</v>
      </c>
      <c r="N95" s="167">
        <v>1</v>
      </c>
      <c r="O95" s="167">
        <v>1</v>
      </c>
      <c r="P95" s="167">
        <v>1</v>
      </c>
      <c r="Q95" s="167">
        <v>1</v>
      </c>
      <c r="R95" s="167">
        <v>3</v>
      </c>
      <c r="S95" s="167" t="s">
        <v>79</v>
      </c>
      <c r="T95" s="167">
        <v>0</v>
      </c>
      <c r="U95" s="7">
        <v>17</v>
      </c>
      <c r="V95" s="7">
        <v>4</v>
      </c>
      <c r="W95" s="47" t="str">
        <f t="shared" ca="1" si="3"/>
        <v>17-4. 正確無比の弾道</v>
      </c>
      <c r="X95" s="47">
        <f ca="1">VLOOKUP($C95,OFFSET(quests!$A$1,0,0,COUNTA(quests!$A:$A),MATCH(X$2,quests!$1:$1,0)-MATCH($C$2,quests!$1:$1,0)+1),MATCH(X$2,quests!$1:$1,0)-MATCH($C$2,quests!$1:$1,0)+1,FALSE)</f>
        <v>0</v>
      </c>
      <c r="Y95" s="47">
        <f ca="1">VLOOKUP($C95,OFFSET(quests!$A$1,0,0,COUNTA(quests!$A:$A),MATCH(Y$2,quests!$1:$1,0)-MATCH($C$2,quests!$1:$1,0)+1),MATCH(Y$2,quests!$1:$1,0)-MATCH($C$2,quests!$1:$1,0)+1,FALSE)</f>
        <v>1</v>
      </c>
      <c r="Z95" s="47">
        <f ca="1">VLOOKUP($C95,OFFSET(quests!$A$1,0,0,COUNTA(quests!$A:$A),MATCH(Z$2,quests!$1:$1,0)-MATCH($C$2,quests!$1:$1,0)+1),MATCH(Z$2,quests!$1:$1,0)-MATCH($C$2,quests!$1:$1,0)+1,FALSE)</f>
        <v>0</v>
      </c>
      <c r="AA95" s="47">
        <f ca="1">VLOOKUP($C95,OFFSET(quests!$A$1,0,0,COUNTA(quests!$A:$A),MATCH(AA$2,quests!$1:$1,0)-MATCH($C$2,quests!$1:$1,0)+1),MATCH(AA$2,quests!$1:$1,0)-MATCH($C$2,quests!$1:$1,0)+1,FALSE)</f>
        <v>0</v>
      </c>
      <c r="AB95" s="7" t="s">
        <v>56</v>
      </c>
      <c r="AC95" s="7">
        <v>17</v>
      </c>
      <c r="AD95" s="7">
        <v>6</v>
      </c>
      <c r="AE95" s="7" t="s">
        <v>519</v>
      </c>
      <c r="AF95" s="33">
        <v>3</v>
      </c>
      <c r="AG95" s="7">
        <v>0</v>
      </c>
      <c r="AH95" s="7">
        <v>0</v>
      </c>
      <c r="AI95" s="7">
        <v>-1</v>
      </c>
      <c r="AJ95" s="7">
        <v>-1</v>
      </c>
      <c r="AK95" s="7" t="s">
        <v>1064</v>
      </c>
      <c r="AL95" s="12" t="s">
        <v>1695</v>
      </c>
      <c r="AM95" s="12" t="s">
        <v>2072</v>
      </c>
    </row>
    <row r="96" spans="1:39" ht="21" customHeight="1" x14ac:dyDescent="0.15">
      <c r="A96" s="42" t="str">
        <f t="shared" si="2"/>
        <v>17_6</v>
      </c>
      <c r="B96" s="23">
        <v>3</v>
      </c>
      <c r="C96" s="10">
        <v>17</v>
      </c>
      <c r="D96" s="47" t="str">
        <f ca="1">VLOOKUP($C96,OFFSET(quests!$A$1,0,0,COUNTA(quests!$A:$A),MATCH(D$1,quests!$1:$1,0)-MATCH($C$2,quests!$1:$1,0)+1),MATCH(D$1,quests!$1:$1,0)-MATCH($C$2,quests!$1:$1,0)+1,FALSE)</f>
        <v>17．エナリオス海中神殿</v>
      </c>
      <c r="E96" s="48" t="str">
        <f ca="1">VLOOKUP($C96,OFFSET(quests!$A$1,0,0,COUNTA(quests!$A:$A),MATCH(E$2,quests!$1:$1,0)-MATCH($C$2,quests!$1:$1,0)+1),MATCH(E$2,quests!$1:$1,0)-MATCH($C$2,quests!$1:$1,0)+1,FALSE)</f>
        <v>青DL4</v>
      </c>
      <c r="F96" s="7">
        <v>6</v>
      </c>
      <c r="G96" s="7" t="s">
        <v>570</v>
      </c>
      <c r="H96" s="69" t="s">
        <v>879</v>
      </c>
      <c r="I96" s="12" t="s">
        <v>164</v>
      </c>
      <c r="J96" s="12">
        <v>339</v>
      </c>
      <c r="K96" s="167">
        <v>1</v>
      </c>
      <c r="L96" s="167">
        <v>1</v>
      </c>
      <c r="M96" s="167">
        <v>1</v>
      </c>
      <c r="N96" s="167">
        <v>1</v>
      </c>
      <c r="O96" s="167">
        <v>1</v>
      </c>
      <c r="P96" s="167">
        <v>1</v>
      </c>
      <c r="Q96" s="167">
        <v>1</v>
      </c>
      <c r="R96" s="167">
        <v>3</v>
      </c>
      <c r="S96" s="167" t="s">
        <v>273</v>
      </c>
      <c r="T96" s="191" t="s">
        <v>2165</v>
      </c>
      <c r="U96" s="7">
        <v>17</v>
      </c>
      <c r="V96" s="7">
        <v>5</v>
      </c>
      <c r="W96" s="47" t="str">
        <f t="shared" ca="1" si="3"/>
        <v>17-5. 水面に映る月閃</v>
      </c>
      <c r="X96" s="47">
        <f ca="1">VLOOKUP($C96,OFFSET(quests!$A$1,0,0,COUNTA(quests!$A:$A),MATCH(X$2,quests!$1:$1,0)-MATCH($C$2,quests!$1:$1,0)+1),MATCH(X$2,quests!$1:$1,0)-MATCH($C$2,quests!$1:$1,0)+1,FALSE)</f>
        <v>0</v>
      </c>
      <c r="Y96" s="47">
        <f ca="1">VLOOKUP($C96,OFFSET(quests!$A$1,0,0,COUNTA(quests!$A:$A),MATCH(Y$2,quests!$1:$1,0)-MATCH($C$2,quests!$1:$1,0)+1),MATCH(Y$2,quests!$1:$1,0)-MATCH($C$2,quests!$1:$1,0)+1,FALSE)</f>
        <v>1</v>
      </c>
      <c r="Z96" s="47">
        <f ca="1">VLOOKUP($C96,OFFSET(quests!$A$1,0,0,COUNTA(quests!$A:$A),MATCH(Z$2,quests!$1:$1,0)-MATCH($C$2,quests!$1:$1,0)+1),MATCH(Z$2,quests!$1:$1,0)-MATCH($C$2,quests!$1:$1,0)+1,FALSE)</f>
        <v>0</v>
      </c>
      <c r="AA96" s="47">
        <f ca="1">VLOOKUP($C96,OFFSET(quests!$A$1,0,0,COUNTA(quests!$A:$A),MATCH(AA$2,quests!$1:$1,0)-MATCH($C$2,quests!$1:$1,0)+1),MATCH(AA$2,quests!$1:$1,0)-MATCH($C$2,quests!$1:$1,0)+1,FALSE)</f>
        <v>0</v>
      </c>
      <c r="AB96" s="7" t="s">
        <v>62</v>
      </c>
      <c r="AC96" s="7">
        <v>17</v>
      </c>
      <c r="AD96" s="7">
        <v>6</v>
      </c>
      <c r="AE96" s="7" t="s">
        <v>522</v>
      </c>
      <c r="AF96" s="7">
        <v>1</v>
      </c>
      <c r="AG96" s="7">
        <v>0</v>
      </c>
      <c r="AH96" s="7">
        <v>0</v>
      </c>
      <c r="AI96" s="7">
        <v>-1</v>
      </c>
      <c r="AJ96" s="7">
        <v>-1</v>
      </c>
      <c r="AK96" s="7" t="s">
        <v>1064</v>
      </c>
      <c r="AL96" s="12" t="s">
        <v>1695</v>
      </c>
      <c r="AM96" s="12" t="s">
        <v>2072</v>
      </c>
    </row>
    <row r="97" spans="1:39" ht="21" customHeight="1" x14ac:dyDescent="0.15">
      <c r="A97" s="42" t="str">
        <f t="shared" si="2"/>
        <v>18_1</v>
      </c>
      <c r="B97" s="23">
        <v>3</v>
      </c>
      <c r="C97" s="10">
        <v>18</v>
      </c>
      <c r="D97" s="47" t="str">
        <f ca="1">VLOOKUP($C97,OFFSET(quests!$A$1,0,0,COUNTA(quests!$A:$A),MATCH(D$1,quests!$1:$1,0)-MATCH($C$2,quests!$1:$1,0)+1),MATCH(D$1,quests!$1:$1,0)-MATCH($C$2,quests!$1:$1,0)+1,FALSE)</f>
        <v>18．アリスボウル</v>
      </c>
      <c r="E97" s="48" t="str">
        <f ca="1">VLOOKUP($C97,OFFSET(quests!$A$1,0,0,COUNTA(quests!$A:$A),MATCH(E$2,quests!$1:$1,0)-MATCH($C$2,quests!$1:$1,0)+1),MATCH(E$2,quests!$1:$1,0)-MATCH($C$2,quests!$1:$1,0)+1,FALSE)</f>
        <v>赤DL4</v>
      </c>
      <c r="F97" s="7">
        <v>1</v>
      </c>
      <c r="G97" s="7" t="s">
        <v>570</v>
      </c>
      <c r="H97" s="69" t="s">
        <v>353</v>
      </c>
      <c r="I97" s="12"/>
      <c r="J97" s="12" t="s">
        <v>279</v>
      </c>
      <c r="K97" s="167">
        <v>9</v>
      </c>
      <c r="L97" s="167">
        <v>1040</v>
      </c>
      <c r="M97" s="167">
        <v>1</v>
      </c>
      <c r="N97" s="167">
        <v>1</v>
      </c>
      <c r="O97" s="167">
        <v>1</v>
      </c>
      <c r="P97" s="167">
        <v>1</v>
      </c>
      <c r="Q97" s="167">
        <v>1</v>
      </c>
      <c r="R97" s="167">
        <v>3</v>
      </c>
      <c r="S97" s="167" t="s">
        <v>79</v>
      </c>
      <c r="T97" s="167">
        <v>0</v>
      </c>
      <c r="U97" s="7">
        <v>17</v>
      </c>
      <c r="V97" s="7">
        <v>6</v>
      </c>
      <c r="W97" s="47" t="str">
        <f t="shared" ca="1" si="3"/>
        <v>17-6. 【1回のみ】ボーナスステージ</v>
      </c>
      <c r="X97" s="47">
        <f ca="1">VLOOKUP($C97,OFFSET(quests!$A$1,0,0,COUNTA(quests!$A:$A),MATCH(X$2,quests!$1:$1,0)-MATCH($C$2,quests!$1:$1,0)+1),MATCH(X$2,quests!$1:$1,0)-MATCH($C$2,quests!$1:$1,0)+1,FALSE)</f>
        <v>1</v>
      </c>
      <c r="Y97" s="47">
        <f ca="1">VLOOKUP($C97,OFFSET(quests!$A$1,0,0,COUNTA(quests!$A:$A),MATCH(Y$2,quests!$1:$1,0)-MATCH($C$2,quests!$1:$1,0)+1),MATCH(Y$2,quests!$1:$1,0)-MATCH($C$2,quests!$1:$1,0)+1,FALSE)</f>
        <v>0</v>
      </c>
      <c r="Z97" s="47">
        <f ca="1">VLOOKUP($C97,OFFSET(quests!$A$1,0,0,COUNTA(quests!$A:$A),MATCH(Z$2,quests!$1:$1,0)-MATCH($C$2,quests!$1:$1,0)+1),MATCH(Z$2,quests!$1:$1,0)-MATCH($C$2,quests!$1:$1,0)+1,FALSE)</f>
        <v>0</v>
      </c>
      <c r="AA97" s="47">
        <f ca="1">VLOOKUP($C97,OFFSET(quests!$A$1,0,0,COUNTA(quests!$A:$A),MATCH(AA$2,quests!$1:$1,0)-MATCH($C$2,quests!$1:$1,0)+1),MATCH(AA$2,quests!$1:$1,0)-MATCH($C$2,quests!$1:$1,0)+1,FALSE)</f>
        <v>0</v>
      </c>
      <c r="AB97" s="7" t="s">
        <v>56</v>
      </c>
      <c r="AC97" s="7">
        <v>18</v>
      </c>
      <c r="AD97" s="7">
        <v>6</v>
      </c>
      <c r="AE97" s="7" t="s">
        <v>519</v>
      </c>
      <c r="AF97" s="7">
        <v>0</v>
      </c>
      <c r="AG97" s="7">
        <v>0</v>
      </c>
      <c r="AH97" s="7">
        <v>0</v>
      </c>
      <c r="AI97" s="7">
        <v>-1</v>
      </c>
      <c r="AJ97" s="7">
        <v>-1</v>
      </c>
      <c r="AK97" s="7" t="s">
        <v>1064</v>
      </c>
      <c r="AL97" s="12" t="s">
        <v>1695</v>
      </c>
      <c r="AM97" s="12" t="s">
        <v>2072</v>
      </c>
    </row>
    <row r="98" spans="1:39" ht="21" customHeight="1" x14ac:dyDescent="0.15">
      <c r="A98" s="42" t="str">
        <f t="shared" si="2"/>
        <v>18_2</v>
      </c>
      <c r="B98" s="23">
        <v>3</v>
      </c>
      <c r="C98" s="10">
        <v>18</v>
      </c>
      <c r="D98" s="47" t="str">
        <f ca="1">VLOOKUP($C98,OFFSET(quests!$A$1,0,0,COUNTA(quests!$A:$A),MATCH(D$1,quests!$1:$1,0)-MATCH($C$2,quests!$1:$1,0)+1),MATCH(D$1,quests!$1:$1,0)-MATCH($C$2,quests!$1:$1,0)+1,FALSE)</f>
        <v>18．アリスボウル</v>
      </c>
      <c r="E98" s="48" t="str">
        <f ca="1">VLOOKUP($C98,OFFSET(quests!$A$1,0,0,COUNTA(quests!$A:$A),MATCH(E$2,quests!$1:$1,0)-MATCH($C$2,quests!$1:$1,0)+1),MATCH(E$2,quests!$1:$1,0)-MATCH($C$2,quests!$1:$1,0)+1,FALSE)</f>
        <v>赤DL4</v>
      </c>
      <c r="F98" s="7">
        <v>2</v>
      </c>
      <c r="G98" s="7" t="s">
        <v>570</v>
      </c>
      <c r="H98" s="69" t="s">
        <v>354</v>
      </c>
      <c r="I98" s="12"/>
      <c r="J98" s="12" t="s">
        <v>279</v>
      </c>
      <c r="K98" s="167">
        <v>9</v>
      </c>
      <c r="L98" s="167">
        <v>1120</v>
      </c>
      <c r="M98" s="167">
        <v>1</v>
      </c>
      <c r="N98" s="167">
        <v>1</v>
      </c>
      <c r="O98" s="167">
        <v>1</v>
      </c>
      <c r="P98" s="167">
        <v>1</v>
      </c>
      <c r="Q98" s="167">
        <v>1</v>
      </c>
      <c r="R98" s="167">
        <v>3</v>
      </c>
      <c r="S98" s="167" t="s">
        <v>79</v>
      </c>
      <c r="T98" s="167">
        <v>0</v>
      </c>
      <c r="U98" s="7">
        <v>18</v>
      </c>
      <c r="V98" s="7">
        <v>1</v>
      </c>
      <c r="W98" s="47" t="str">
        <f t="shared" ca="1" si="3"/>
        <v>18-1. 幽閉されし者</v>
      </c>
      <c r="X98" s="47">
        <f ca="1">VLOOKUP($C98,OFFSET(quests!$A$1,0,0,COUNTA(quests!$A:$A),MATCH(X$2,quests!$1:$1,0)-MATCH($C$2,quests!$1:$1,0)+1),MATCH(X$2,quests!$1:$1,0)-MATCH($C$2,quests!$1:$1,0)+1,FALSE)</f>
        <v>1</v>
      </c>
      <c r="Y98" s="47">
        <f ca="1">VLOOKUP($C98,OFFSET(quests!$A$1,0,0,COUNTA(quests!$A:$A),MATCH(Y$2,quests!$1:$1,0)-MATCH($C$2,quests!$1:$1,0)+1),MATCH(Y$2,quests!$1:$1,0)-MATCH($C$2,quests!$1:$1,0)+1,FALSE)</f>
        <v>0</v>
      </c>
      <c r="Z98" s="47">
        <f ca="1">VLOOKUP($C98,OFFSET(quests!$A$1,0,0,COUNTA(quests!$A:$A),MATCH(Z$2,quests!$1:$1,0)-MATCH($C$2,quests!$1:$1,0)+1),MATCH(Z$2,quests!$1:$1,0)-MATCH($C$2,quests!$1:$1,0)+1,FALSE)</f>
        <v>0</v>
      </c>
      <c r="AA98" s="47">
        <f ca="1">VLOOKUP($C98,OFFSET(quests!$A$1,0,0,COUNTA(quests!$A:$A),MATCH(AA$2,quests!$1:$1,0)-MATCH($C$2,quests!$1:$1,0)+1),MATCH(AA$2,quests!$1:$1,0)-MATCH($C$2,quests!$1:$1,0)+1,FALSE)</f>
        <v>0</v>
      </c>
      <c r="AB98" s="7" t="s">
        <v>56</v>
      </c>
      <c r="AC98" s="7">
        <v>18</v>
      </c>
      <c r="AD98" s="7">
        <v>6</v>
      </c>
      <c r="AE98" s="7" t="s">
        <v>519</v>
      </c>
      <c r="AF98" s="7">
        <v>0</v>
      </c>
      <c r="AG98" s="7">
        <v>0</v>
      </c>
      <c r="AH98" s="7">
        <v>0</v>
      </c>
      <c r="AI98" s="7">
        <v>-1</v>
      </c>
      <c r="AJ98" s="7">
        <v>-1</v>
      </c>
      <c r="AK98" s="7" t="s">
        <v>1064</v>
      </c>
      <c r="AL98" s="12" t="s">
        <v>1695</v>
      </c>
      <c r="AM98" s="12" t="s">
        <v>2072</v>
      </c>
    </row>
    <row r="99" spans="1:39" ht="21" customHeight="1" x14ac:dyDescent="0.15">
      <c r="A99" s="42" t="str">
        <f t="shared" si="2"/>
        <v>18_3</v>
      </c>
      <c r="B99" s="23">
        <v>3</v>
      </c>
      <c r="C99" s="10">
        <v>18</v>
      </c>
      <c r="D99" s="47" t="str">
        <f ca="1">VLOOKUP($C99,OFFSET(quests!$A$1,0,0,COUNTA(quests!$A:$A),MATCH(D$1,quests!$1:$1,0)-MATCH($C$2,quests!$1:$1,0)+1),MATCH(D$1,quests!$1:$1,0)-MATCH($C$2,quests!$1:$1,0)+1,FALSE)</f>
        <v>18．アリスボウル</v>
      </c>
      <c r="E99" s="48" t="str">
        <f ca="1">VLOOKUP($C99,OFFSET(quests!$A$1,0,0,COUNTA(quests!$A:$A),MATCH(E$2,quests!$1:$1,0)-MATCH($C$2,quests!$1:$1,0)+1),MATCH(E$2,quests!$1:$1,0)-MATCH($C$2,quests!$1:$1,0)+1,FALSE)</f>
        <v>赤DL4</v>
      </c>
      <c r="F99" s="7">
        <v>3</v>
      </c>
      <c r="G99" s="7" t="s">
        <v>570</v>
      </c>
      <c r="H99" s="69" t="s">
        <v>355</v>
      </c>
      <c r="I99" s="12"/>
      <c r="J99" s="12" t="s">
        <v>279</v>
      </c>
      <c r="K99" s="167">
        <v>10</v>
      </c>
      <c r="L99" s="167">
        <v>1200</v>
      </c>
      <c r="M99" s="167">
        <v>1</v>
      </c>
      <c r="N99" s="167">
        <v>1</v>
      </c>
      <c r="O99" s="167">
        <v>1</v>
      </c>
      <c r="P99" s="167">
        <v>1</v>
      </c>
      <c r="Q99" s="167">
        <v>1</v>
      </c>
      <c r="R99" s="167">
        <v>3</v>
      </c>
      <c r="S99" s="167" t="s">
        <v>79</v>
      </c>
      <c r="T99" s="167">
        <v>0</v>
      </c>
      <c r="U99" s="7">
        <v>18</v>
      </c>
      <c r="V99" s="7">
        <v>2</v>
      </c>
      <c r="W99" s="47" t="str">
        <f t="shared" ca="1" si="3"/>
        <v>18-2. ストライクへの道</v>
      </c>
      <c r="X99" s="47">
        <f ca="1">VLOOKUP($C99,OFFSET(quests!$A$1,0,0,COUNTA(quests!$A:$A),MATCH(X$2,quests!$1:$1,0)-MATCH($C$2,quests!$1:$1,0)+1),MATCH(X$2,quests!$1:$1,0)-MATCH($C$2,quests!$1:$1,0)+1,FALSE)</f>
        <v>1</v>
      </c>
      <c r="Y99" s="47">
        <f ca="1">VLOOKUP($C99,OFFSET(quests!$A$1,0,0,COUNTA(quests!$A:$A),MATCH(Y$2,quests!$1:$1,0)-MATCH($C$2,quests!$1:$1,0)+1),MATCH(Y$2,quests!$1:$1,0)-MATCH($C$2,quests!$1:$1,0)+1,FALSE)</f>
        <v>0</v>
      </c>
      <c r="Z99" s="47">
        <f ca="1">VLOOKUP($C99,OFFSET(quests!$A$1,0,0,COUNTA(quests!$A:$A),MATCH(Z$2,quests!$1:$1,0)-MATCH($C$2,quests!$1:$1,0)+1),MATCH(Z$2,quests!$1:$1,0)-MATCH($C$2,quests!$1:$1,0)+1,FALSE)</f>
        <v>0</v>
      </c>
      <c r="AA99" s="47">
        <f ca="1">VLOOKUP($C99,OFFSET(quests!$A$1,0,0,COUNTA(quests!$A:$A),MATCH(AA$2,quests!$1:$1,0)-MATCH($C$2,quests!$1:$1,0)+1),MATCH(AA$2,quests!$1:$1,0)-MATCH($C$2,quests!$1:$1,0)+1,FALSE)</f>
        <v>0</v>
      </c>
      <c r="AB99" s="7" t="s">
        <v>56</v>
      </c>
      <c r="AC99" s="7">
        <v>18</v>
      </c>
      <c r="AD99" s="7">
        <v>6</v>
      </c>
      <c r="AE99" s="7" t="s">
        <v>519</v>
      </c>
      <c r="AF99" s="7">
        <v>0</v>
      </c>
      <c r="AG99" s="7">
        <v>0</v>
      </c>
      <c r="AH99" s="7">
        <v>0</v>
      </c>
      <c r="AI99" s="7">
        <v>-1</v>
      </c>
      <c r="AJ99" s="7">
        <v>-1</v>
      </c>
      <c r="AK99" s="7" t="s">
        <v>1064</v>
      </c>
      <c r="AL99" s="12" t="s">
        <v>1695</v>
      </c>
      <c r="AM99" s="12" t="s">
        <v>2072</v>
      </c>
    </row>
    <row r="100" spans="1:39" ht="21" customHeight="1" x14ac:dyDescent="0.15">
      <c r="A100" s="42" t="str">
        <f t="shared" si="2"/>
        <v>18_4</v>
      </c>
      <c r="B100" s="23">
        <v>3</v>
      </c>
      <c r="C100" s="10">
        <v>18</v>
      </c>
      <c r="D100" s="47" t="str">
        <f ca="1">VLOOKUP($C100,OFFSET(quests!$A$1,0,0,COUNTA(quests!$A:$A),MATCH(D$1,quests!$1:$1,0)-MATCH($C$2,quests!$1:$1,0)+1),MATCH(D$1,quests!$1:$1,0)-MATCH($C$2,quests!$1:$1,0)+1,FALSE)</f>
        <v>18．アリスボウル</v>
      </c>
      <c r="E100" s="48" t="str">
        <f ca="1">VLOOKUP($C100,OFFSET(quests!$A$1,0,0,COUNTA(quests!$A:$A),MATCH(E$2,quests!$1:$1,0)-MATCH($C$2,quests!$1:$1,0)+1),MATCH(E$2,quests!$1:$1,0)-MATCH($C$2,quests!$1:$1,0)+1,FALSE)</f>
        <v>赤DL4</v>
      </c>
      <c r="F100" s="7">
        <v>4</v>
      </c>
      <c r="G100" s="7" t="s">
        <v>570</v>
      </c>
      <c r="H100" s="69" t="s">
        <v>356</v>
      </c>
      <c r="I100" s="12"/>
      <c r="J100" s="12" t="s">
        <v>279</v>
      </c>
      <c r="K100" s="167">
        <v>11</v>
      </c>
      <c r="L100" s="167">
        <v>1350</v>
      </c>
      <c r="M100" s="167">
        <v>1</v>
      </c>
      <c r="N100" s="167">
        <v>1</v>
      </c>
      <c r="O100" s="167">
        <v>1</v>
      </c>
      <c r="P100" s="167">
        <v>1</v>
      </c>
      <c r="Q100" s="167">
        <v>1</v>
      </c>
      <c r="R100" s="167">
        <v>3</v>
      </c>
      <c r="S100" s="167" t="s">
        <v>79</v>
      </c>
      <c r="T100" s="167">
        <v>0</v>
      </c>
      <c r="U100" s="7">
        <v>18</v>
      </c>
      <c r="V100" s="7">
        <v>3</v>
      </c>
      <c r="W100" s="47" t="str">
        <f t="shared" ca="1" si="3"/>
        <v>18-3. 猛熱の試練</v>
      </c>
      <c r="X100" s="47">
        <f ca="1">VLOOKUP($C100,OFFSET(quests!$A$1,0,0,COUNTA(quests!$A:$A),MATCH(X$2,quests!$1:$1,0)-MATCH($C$2,quests!$1:$1,0)+1),MATCH(X$2,quests!$1:$1,0)-MATCH($C$2,quests!$1:$1,0)+1,FALSE)</f>
        <v>1</v>
      </c>
      <c r="Y100" s="47">
        <f ca="1">VLOOKUP($C100,OFFSET(quests!$A$1,0,0,COUNTA(quests!$A:$A),MATCH(Y$2,quests!$1:$1,0)-MATCH($C$2,quests!$1:$1,0)+1),MATCH(Y$2,quests!$1:$1,0)-MATCH($C$2,quests!$1:$1,0)+1,FALSE)</f>
        <v>0</v>
      </c>
      <c r="Z100" s="47">
        <f ca="1">VLOOKUP($C100,OFFSET(quests!$A$1,0,0,COUNTA(quests!$A:$A),MATCH(Z$2,quests!$1:$1,0)-MATCH($C$2,quests!$1:$1,0)+1),MATCH(Z$2,quests!$1:$1,0)-MATCH($C$2,quests!$1:$1,0)+1,FALSE)</f>
        <v>0</v>
      </c>
      <c r="AA100" s="47">
        <f ca="1">VLOOKUP($C100,OFFSET(quests!$A$1,0,0,COUNTA(quests!$A:$A),MATCH(AA$2,quests!$1:$1,0)-MATCH($C$2,quests!$1:$1,0)+1),MATCH(AA$2,quests!$1:$1,0)-MATCH($C$2,quests!$1:$1,0)+1,FALSE)</f>
        <v>0</v>
      </c>
      <c r="AB100" s="7" t="s">
        <v>56</v>
      </c>
      <c r="AC100" s="7">
        <v>18</v>
      </c>
      <c r="AD100" s="7">
        <v>6</v>
      </c>
      <c r="AE100" s="7" t="s">
        <v>519</v>
      </c>
      <c r="AF100" s="7">
        <v>0</v>
      </c>
      <c r="AG100" s="7">
        <v>0</v>
      </c>
      <c r="AH100" s="7">
        <v>0</v>
      </c>
      <c r="AI100" s="7">
        <v>-1</v>
      </c>
      <c r="AJ100" s="7">
        <v>-1</v>
      </c>
      <c r="AK100" s="7" t="s">
        <v>1064</v>
      </c>
      <c r="AL100" s="12" t="s">
        <v>1695</v>
      </c>
      <c r="AM100" s="12" t="s">
        <v>2072</v>
      </c>
    </row>
    <row r="101" spans="1:39" ht="21" customHeight="1" x14ac:dyDescent="0.15">
      <c r="A101" s="42" t="str">
        <f t="shared" si="2"/>
        <v>18_5</v>
      </c>
      <c r="B101" s="23">
        <v>3</v>
      </c>
      <c r="C101" s="10">
        <v>18</v>
      </c>
      <c r="D101" s="47" t="str">
        <f ca="1">VLOOKUP($C101,OFFSET(quests!$A$1,0,0,COUNTA(quests!$A:$A),MATCH(D$1,quests!$1:$1,0)-MATCH($C$2,quests!$1:$1,0)+1),MATCH(D$1,quests!$1:$1,0)-MATCH($C$2,quests!$1:$1,0)+1,FALSE)</f>
        <v>18．アリスボウル</v>
      </c>
      <c r="E101" s="48" t="str">
        <f ca="1">VLOOKUP($C101,OFFSET(quests!$A$1,0,0,COUNTA(quests!$A:$A),MATCH(E$2,quests!$1:$1,0)-MATCH($C$2,quests!$1:$1,0)+1),MATCH(E$2,quests!$1:$1,0)-MATCH($C$2,quests!$1:$1,0)+1,FALSE)</f>
        <v>赤DL4</v>
      </c>
      <c r="F101" s="9">
        <v>5</v>
      </c>
      <c r="G101" s="7" t="s">
        <v>570</v>
      </c>
      <c r="H101" s="69" t="s">
        <v>357</v>
      </c>
      <c r="I101" s="12"/>
      <c r="J101" s="12" t="s">
        <v>279</v>
      </c>
      <c r="K101" s="167">
        <v>15</v>
      </c>
      <c r="L101" s="167">
        <v>1680</v>
      </c>
      <c r="M101" s="167">
        <v>1</v>
      </c>
      <c r="N101" s="167">
        <v>1</v>
      </c>
      <c r="O101" s="167">
        <v>1</v>
      </c>
      <c r="P101" s="167">
        <v>1</v>
      </c>
      <c r="Q101" s="167">
        <v>1</v>
      </c>
      <c r="R101" s="167">
        <v>3</v>
      </c>
      <c r="S101" s="167" t="s">
        <v>79</v>
      </c>
      <c r="T101" s="167">
        <v>0</v>
      </c>
      <c r="U101" s="7">
        <v>18</v>
      </c>
      <c r="V101" s="7">
        <v>4</v>
      </c>
      <c r="W101" s="47" t="str">
        <f t="shared" ca="1" si="3"/>
        <v>18-4. 不可避の弾丸</v>
      </c>
      <c r="X101" s="47">
        <f ca="1">VLOOKUP($C101,OFFSET(quests!$A$1,0,0,COUNTA(quests!$A:$A),MATCH(X$2,quests!$1:$1,0)-MATCH($C$2,quests!$1:$1,0)+1),MATCH(X$2,quests!$1:$1,0)-MATCH($C$2,quests!$1:$1,0)+1,FALSE)</f>
        <v>1</v>
      </c>
      <c r="Y101" s="47">
        <f ca="1">VLOOKUP($C101,OFFSET(quests!$A$1,0,0,COUNTA(quests!$A:$A),MATCH(Y$2,quests!$1:$1,0)-MATCH($C$2,quests!$1:$1,0)+1),MATCH(Y$2,quests!$1:$1,0)-MATCH($C$2,quests!$1:$1,0)+1,FALSE)</f>
        <v>0</v>
      </c>
      <c r="Z101" s="47">
        <f ca="1">VLOOKUP($C101,OFFSET(quests!$A$1,0,0,COUNTA(quests!$A:$A),MATCH(Z$2,quests!$1:$1,0)-MATCH($C$2,quests!$1:$1,0)+1),MATCH(Z$2,quests!$1:$1,0)-MATCH($C$2,quests!$1:$1,0)+1,FALSE)</f>
        <v>0</v>
      </c>
      <c r="AA101" s="47">
        <f ca="1">VLOOKUP($C101,OFFSET(quests!$A$1,0,0,COUNTA(quests!$A:$A),MATCH(AA$2,quests!$1:$1,0)-MATCH($C$2,quests!$1:$1,0)+1),MATCH(AA$2,quests!$1:$1,0)-MATCH($C$2,quests!$1:$1,0)+1,FALSE)</f>
        <v>0</v>
      </c>
      <c r="AB101" s="7" t="s">
        <v>56</v>
      </c>
      <c r="AC101" s="7">
        <v>18</v>
      </c>
      <c r="AD101" s="7">
        <v>6</v>
      </c>
      <c r="AE101" s="7" t="s">
        <v>519</v>
      </c>
      <c r="AF101" s="33">
        <v>3</v>
      </c>
      <c r="AG101" s="7">
        <v>0</v>
      </c>
      <c r="AH101" s="7">
        <v>0</v>
      </c>
      <c r="AI101" s="7">
        <v>-1</v>
      </c>
      <c r="AJ101" s="7">
        <v>-1</v>
      </c>
      <c r="AK101" s="7" t="s">
        <v>1064</v>
      </c>
      <c r="AL101" s="12" t="s">
        <v>1695</v>
      </c>
      <c r="AM101" s="12" t="s">
        <v>2072</v>
      </c>
    </row>
    <row r="102" spans="1:39" ht="21" customHeight="1" x14ac:dyDescent="0.15">
      <c r="A102" s="42" t="str">
        <f t="shared" si="2"/>
        <v>18_6</v>
      </c>
      <c r="B102" s="23">
        <v>3</v>
      </c>
      <c r="C102" s="10">
        <v>18</v>
      </c>
      <c r="D102" s="47" t="str">
        <f ca="1">VLOOKUP($C102,OFFSET(quests!$A$1,0,0,COUNTA(quests!$A:$A),MATCH(D$1,quests!$1:$1,0)-MATCH($C$2,quests!$1:$1,0)+1),MATCH(D$1,quests!$1:$1,0)-MATCH($C$2,quests!$1:$1,0)+1,FALSE)</f>
        <v>18．アリスボウル</v>
      </c>
      <c r="E102" s="48" t="str">
        <f ca="1">VLOOKUP($C102,OFFSET(quests!$A$1,0,0,COUNTA(quests!$A:$A),MATCH(E$2,quests!$1:$1,0)-MATCH($C$2,quests!$1:$1,0)+1),MATCH(E$2,quests!$1:$1,0)-MATCH($C$2,quests!$1:$1,0)+1,FALSE)</f>
        <v>赤DL4</v>
      </c>
      <c r="F102" s="7">
        <v>6</v>
      </c>
      <c r="G102" s="7" t="s">
        <v>570</v>
      </c>
      <c r="H102" s="69" t="s">
        <v>880</v>
      </c>
      <c r="I102" s="12" t="s">
        <v>164</v>
      </c>
      <c r="J102" s="12">
        <v>335</v>
      </c>
      <c r="K102" s="167">
        <v>1</v>
      </c>
      <c r="L102" s="167">
        <v>1</v>
      </c>
      <c r="M102" s="167">
        <v>1</v>
      </c>
      <c r="N102" s="167">
        <v>1</v>
      </c>
      <c r="O102" s="167">
        <v>1</v>
      </c>
      <c r="P102" s="167">
        <v>1</v>
      </c>
      <c r="Q102" s="167">
        <v>1</v>
      </c>
      <c r="R102" s="167">
        <v>3</v>
      </c>
      <c r="S102" s="167" t="s">
        <v>273</v>
      </c>
      <c r="T102" s="191" t="s">
        <v>2157</v>
      </c>
      <c r="U102" s="7">
        <v>18</v>
      </c>
      <c r="V102" s="7">
        <v>5</v>
      </c>
      <c r="W102" s="47" t="str">
        <f t="shared" ca="1" si="3"/>
        <v>18-5. 解き放たれし焔神</v>
      </c>
      <c r="X102" s="47">
        <f ca="1">VLOOKUP($C102,OFFSET(quests!$A$1,0,0,COUNTA(quests!$A:$A),MATCH(X$2,quests!$1:$1,0)-MATCH($C$2,quests!$1:$1,0)+1),MATCH(X$2,quests!$1:$1,0)-MATCH($C$2,quests!$1:$1,0)+1,FALSE)</f>
        <v>1</v>
      </c>
      <c r="Y102" s="47">
        <f ca="1">VLOOKUP($C102,OFFSET(quests!$A$1,0,0,COUNTA(quests!$A:$A),MATCH(Y$2,quests!$1:$1,0)-MATCH($C$2,quests!$1:$1,0)+1),MATCH(Y$2,quests!$1:$1,0)-MATCH($C$2,quests!$1:$1,0)+1,FALSE)</f>
        <v>0</v>
      </c>
      <c r="Z102" s="47">
        <f ca="1">VLOOKUP($C102,OFFSET(quests!$A$1,0,0,COUNTA(quests!$A:$A),MATCH(Z$2,quests!$1:$1,0)-MATCH($C$2,quests!$1:$1,0)+1),MATCH(Z$2,quests!$1:$1,0)-MATCH($C$2,quests!$1:$1,0)+1,FALSE)</f>
        <v>0</v>
      </c>
      <c r="AA102" s="47">
        <f ca="1">VLOOKUP($C102,OFFSET(quests!$A$1,0,0,COUNTA(quests!$A:$A),MATCH(AA$2,quests!$1:$1,0)-MATCH($C$2,quests!$1:$1,0)+1),MATCH(AA$2,quests!$1:$1,0)-MATCH($C$2,quests!$1:$1,0)+1,FALSE)</f>
        <v>0</v>
      </c>
      <c r="AB102" s="7" t="s">
        <v>62</v>
      </c>
      <c r="AC102" s="7">
        <v>18</v>
      </c>
      <c r="AD102" s="7">
        <v>6</v>
      </c>
      <c r="AE102" s="7" t="s">
        <v>522</v>
      </c>
      <c r="AF102" s="7">
        <v>1</v>
      </c>
      <c r="AG102" s="7">
        <v>0</v>
      </c>
      <c r="AH102" s="7">
        <v>0</v>
      </c>
      <c r="AI102" s="7">
        <v>-1</v>
      </c>
      <c r="AJ102" s="7">
        <v>-1</v>
      </c>
      <c r="AK102" s="7" t="s">
        <v>1064</v>
      </c>
      <c r="AL102" s="12" t="s">
        <v>1695</v>
      </c>
      <c r="AM102" s="12" t="s">
        <v>2072</v>
      </c>
    </row>
    <row r="103" spans="1:39" ht="21" customHeight="1" x14ac:dyDescent="0.15">
      <c r="A103" s="42" t="str">
        <f t="shared" si="2"/>
        <v>19_1</v>
      </c>
      <c r="B103" s="23">
        <v>3</v>
      </c>
      <c r="C103" s="10">
        <v>19</v>
      </c>
      <c r="D103" s="47" t="str">
        <f ca="1">VLOOKUP($C103,OFFSET(quests!$A$1,0,0,COUNTA(quests!$A:$A),MATCH(D$1,quests!$1:$1,0)-MATCH($C$2,quests!$1:$1,0)+1),MATCH(D$1,quests!$1:$1,0)-MATCH($C$2,quests!$1:$1,0)+1,FALSE)</f>
        <v>19．アレイスター王立図書館</v>
      </c>
      <c r="E103" s="48" t="str">
        <f ca="1">VLOOKUP($C103,OFFSET(quests!$A$1,0,0,COUNTA(quests!$A:$A),MATCH(E$2,quests!$1:$1,0)-MATCH($C$2,quests!$1:$1,0)+1),MATCH(E$2,quests!$1:$1,0)-MATCH($C$2,quests!$1:$1,0)+1,FALSE)</f>
        <v>緑DL4</v>
      </c>
      <c r="F103" s="7">
        <v>1</v>
      </c>
      <c r="G103" s="7" t="s">
        <v>570</v>
      </c>
      <c r="H103" s="69" t="s">
        <v>358</v>
      </c>
      <c r="I103" s="12"/>
      <c r="J103" s="12" t="s">
        <v>279</v>
      </c>
      <c r="K103" s="167">
        <v>9</v>
      </c>
      <c r="L103" s="167">
        <v>1130</v>
      </c>
      <c r="M103" s="167">
        <v>1</v>
      </c>
      <c r="N103" s="167">
        <v>1</v>
      </c>
      <c r="O103" s="167">
        <v>1</v>
      </c>
      <c r="P103" s="167">
        <v>1</v>
      </c>
      <c r="Q103" s="167">
        <v>1</v>
      </c>
      <c r="R103" s="167">
        <v>3</v>
      </c>
      <c r="S103" s="167" t="s">
        <v>79</v>
      </c>
      <c r="T103" s="167">
        <v>0</v>
      </c>
      <c r="U103" s="7">
        <v>18</v>
      </c>
      <c r="V103" s="7">
        <v>6</v>
      </c>
      <c r="W103" s="47" t="str">
        <f t="shared" ca="1" si="3"/>
        <v>18-6. 【1回のみ】ボーナスステージ</v>
      </c>
      <c r="X103" s="47">
        <f ca="1">VLOOKUP($C103,OFFSET(quests!$A$1,0,0,COUNTA(quests!$A:$A),MATCH(X$2,quests!$1:$1,0)-MATCH($C$2,quests!$1:$1,0)+1),MATCH(X$2,quests!$1:$1,0)-MATCH($C$2,quests!$1:$1,0)+1,FALSE)</f>
        <v>0</v>
      </c>
      <c r="Y103" s="47">
        <f ca="1">VLOOKUP($C103,OFFSET(quests!$A$1,0,0,COUNTA(quests!$A:$A),MATCH(Y$2,quests!$1:$1,0)-MATCH($C$2,quests!$1:$1,0)+1),MATCH(Y$2,quests!$1:$1,0)-MATCH($C$2,quests!$1:$1,0)+1,FALSE)</f>
        <v>0</v>
      </c>
      <c r="Z103" s="47">
        <f ca="1">VLOOKUP($C103,OFFSET(quests!$A$1,0,0,COUNTA(quests!$A:$A),MATCH(Z$2,quests!$1:$1,0)-MATCH($C$2,quests!$1:$1,0)+1),MATCH(Z$2,quests!$1:$1,0)-MATCH($C$2,quests!$1:$1,0)+1,FALSE)</f>
        <v>1</v>
      </c>
      <c r="AA103" s="47">
        <f ca="1">VLOOKUP($C103,OFFSET(quests!$A$1,0,0,COUNTA(quests!$A:$A),MATCH(AA$2,quests!$1:$1,0)-MATCH($C$2,quests!$1:$1,0)+1),MATCH(AA$2,quests!$1:$1,0)-MATCH($C$2,quests!$1:$1,0)+1,FALSE)</f>
        <v>0</v>
      </c>
      <c r="AB103" s="7" t="s">
        <v>56</v>
      </c>
      <c r="AC103" s="7">
        <v>19</v>
      </c>
      <c r="AD103" s="7">
        <v>6</v>
      </c>
      <c r="AE103" s="7" t="s">
        <v>519</v>
      </c>
      <c r="AF103" s="7">
        <v>0</v>
      </c>
      <c r="AG103" s="7">
        <v>0</v>
      </c>
      <c r="AH103" s="7">
        <v>0</v>
      </c>
      <c r="AI103" s="7">
        <v>-1</v>
      </c>
      <c r="AJ103" s="7">
        <v>-1</v>
      </c>
      <c r="AK103" s="7" t="s">
        <v>1064</v>
      </c>
      <c r="AL103" s="12" t="s">
        <v>1695</v>
      </c>
      <c r="AM103" s="12" t="s">
        <v>2072</v>
      </c>
    </row>
    <row r="104" spans="1:39" ht="21" customHeight="1" x14ac:dyDescent="0.15">
      <c r="A104" s="42" t="str">
        <f t="shared" si="2"/>
        <v>19_2</v>
      </c>
      <c r="B104" s="23">
        <v>3</v>
      </c>
      <c r="C104" s="10">
        <v>19</v>
      </c>
      <c r="D104" s="47" t="str">
        <f ca="1">VLOOKUP($C104,OFFSET(quests!$A$1,0,0,COUNTA(quests!$A:$A),MATCH(D$1,quests!$1:$1,0)-MATCH($C$2,quests!$1:$1,0)+1),MATCH(D$1,quests!$1:$1,0)-MATCH($C$2,quests!$1:$1,0)+1,FALSE)</f>
        <v>19．アレイスター王立図書館</v>
      </c>
      <c r="E104" s="48" t="str">
        <f ca="1">VLOOKUP($C104,OFFSET(quests!$A$1,0,0,COUNTA(quests!$A:$A),MATCH(E$2,quests!$1:$1,0)-MATCH($C$2,quests!$1:$1,0)+1),MATCH(E$2,quests!$1:$1,0)-MATCH($C$2,quests!$1:$1,0)+1,FALSE)</f>
        <v>緑DL4</v>
      </c>
      <c r="F104" s="7">
        <v>2</v>
      </c>
      <c r="G104" s="7" t="s">
        <v>570</v>
      </c>
      <c r="H104" s="69" t="s">
        <v>359</v>
      </c>
      <c r="I104" s="12"/>
      <c r="J104" s="12" t="s">
        <v>279</v>
      </c>
      <c r="K104" s="167">
        <v>9</v>
      </c>
      <c r="L104" s="167">
        <v>1200</v>
      </c>
      <c r="M104" s="167">
        <v>1</v>
      </c>
      <c r="N104" s="167">
        <v>1</v>
      </c>
      <c r="O104" s="167">
        <v>1</v>
      </c>
      <c r="P104" s="167">
        <v>1</v>
      </c>
      <c r="Q104" s="167">
        <v>1</v>
      </c>
      <c r="R104" s="167">
        <v>3</v>
      </c>
      <c r="S104" s="167" t="s">
        <v>79</v>
      </c>
      <c r="T104" s="167">
        <v>0</v>
      </c>
      <c r="U104" s="7">
        <v>19</v>
      </c>
      <c r="V104" s="7">
        <v>1</v>
      </c>
      <c r="W104" s="47" t="str">
        <f t="shared" ca="1" si="3"/>
        <v>19-1. 庭園の主</v>
      </c>
      <c r="X104" s="47">
        <f ca="1">VLOOKUP($C104,OFFSET(quests!$A$1,0,0,COUNTA(quests!$A:$A),MATCH(X$2,quests!$1:$1,0)-MATCH($C$2,quests!$1:$1,0)+1),MATCH(X$2,quests!$1:$1,0)-MATCH($C$2,quests!$1:$1,0)+1,FALSE)</f>
        <v>0</v>
      </c>
      <c r="Y104" s="47">
        <f ca="1">VLOOKUP($C104,OFFSET(quests!$A$1,0,0,COUNTA(quests!$A:$A),MATCH(Y$2,quests!$1:$1,0)-MATCH($C$2,quests!$1:$1,0)+1),MATCH(Y$2,quests!$1:$1,0)-MATCH($C$2,quests!$1:$1,0)+1,FALSE)</f>
        <v>0</v>
      </c>
      <c r="Z104" s="47">
        <f ca="1">VLOOKUP($C104,OFFSET(quests!$A$1,0,0,COUNTA(quests!$A:$A),MATCH(Z$2,quests!$1:$1,0)-MATCH($C$2,quests!$1:$1,0)+1),MATCH(Z$2,quests!$1:$1,0)-MATCH($C$2,quests!$1:$1,0)+1,FALSE)</f>
        <v>1</v>
      </c>
      <c r="AA104" s="47">
        <f ca="1">VLOOKUP($C104,OFFSET(quests!$A$1,0,0,COUNTA(quests!$A:$A),MATCH(AA$2,quests!$1:$1,0)-MATCH($C$2,quests!$1:$1,0)+1),MATCH(AA$2,quests!$1:$1,0)-MATCH($C$2,quests!$1:$1,0)+1,FALSE)</f>
        <v>0</v>
      </c>
      <c r="AB104" s="7" t="s">
        <v>56</v>
      </c>
      <c r="AC104" s="7">
        <v>19</v>
      </c>
      <c r="AD104" s="7">
        <v>6</v>
      </c>
      <c r="AE104" s="7" t="s">
        <v>519</v>
      </c>
      <c r="AF104" s="7">
        <v>0</v>
      </c>
      <c r="AG104" s="7">
        <v>0</v>
      </c>
      <c r="AH104" s="7">
        <v>0</v>
      </c>
      <c r="AI104" s="7">
        <v>-1</v>
      </c>
      <c r="AJ104" s="7">
        <v>-1</v>
      </c>
      <c r="AK104" s="7" t="s">
        <v>1064</v>
      </c>
      <c r="AL104" s="12" t="s">
        <v>1695</v>
      </c>
      <c r="AM104" s="12" t="s">
        <v>2072</v>
      </c>
    </row>
    <row r="105" spans="1:39" ht="21" customHeight="1" x14ac:dyDescent="0.15">
      <c r="A105" s="42" t="str">
        <f t="shared" si="2"/>
        <v>19_3</v>
      </c>
      <c r="B105" s="23">
        <v>3</v>
      </c>
      <c r="C105" s="10">
        <v>19</v>
      </c>
      <c r="D105" s="47" t="str">
        <f ca="1">VLOOKUP($C105,OFFSET(quests!$A$1,0,0,COUNTA(quests!$A:$A),MATCH(D$1,quests!$1:$1,0)-MATCH($C$2,quests!$1:$1,0)+1),MATCH(D$1,quests!$1:$1,0)-MATCH($C$2,quests!$1:$1,0)+1,FALSE)</f>
        <v>19．アレイスター王立図書館</v>
      </c>
      <c r="E105" s="48" t="str">
        <f ca="1">VLOOKUP($C105,OFFSET(quests!$A$1,0,0,COUNTA(quests!$A:$A),MATCH(E$2,quests!$1:$1,0)-MATCH($C$2,quests!$1:$1,0)+1),MATCH(E$2,quests!$1:$1,0)-MATCH($C$2,quests!$1:$1,0)+1,FALSE)</f>
        <v>緑DL4</v>
      </c>
      <c r="F105" s="7">
        <v>3</v>
      </c>
      <c r="G105" s="7" t="s">
        <v>570</v>
      </c>
      <c r="H105" s="69" t="s">
        <v>360</v>
      </c>
      <c r="I105" s="12"/>
      <c r="J105" s="12" t="s">
        <v>279</v>
      </c>
      <c r="K105" s="167">
        <v>10</v>
      </c>
      <c r="L105" s="167">
        <v>1250</v>
      </c>
      <c r="M105" s="167">
        <v>1</v>
      </c>
      <c r="N105" s="167">
        <v>1</v>
      </c>
      <c r="O105" s="167">
        <v>1</v>
      </c>
      <c r="P105" s="167">
        <v>1</v>
      </c>
      <c r="Q105" s="167">
        <v>1</v>
      </c>
      <c r="R105" s="167">
        <v>3</v>
      </c>
      <c r="S105" s="167" t="s">
        <v>79</v>
      </c>
      <c r="T105" s="167">
        <v>0</v>
      </c>
      <c r="U105" s="7">
        <v>19</v>
      </c>
      <c r="V105" s="7">
        <v>2</v>
      </c>
      <c r="W105" s="47" t="str">
        <f t="shared" ca="1" si="3"/>
        <v>19-2. 館内はお静かに</v>
      </c>
      <c r="X105" s="47">
        <f ca="1">VLOOKUP($C105,OFFSET(quests!$A$1,0,0,COUNTA(quests!$A:$A),MATCH(X$2,quests!$1:$1,0)-MATCH($C$2,quests!$1:$1,0)+1),MATCH(X$2,quests!$1:$1,0)-MATCH($C$2,quests!$1:$1,0)+1,FALSE)</f>
        <v>0</v>
      </c>
      <c r="Y105" s="47">
        <f ca="1">VLOOKUP($C105,OFFSET(quests!$A$1,0,0,COUNTA(quests!$A:$A),MATCH(Y$2,quests!$1:$1,0)-MATCH($C$2,quests!$1:$1,0)+1),MATCH(Y$2,quests!$1:$1,0)-MATCH($C$2,quests!$1:$1,0)+1,FALSE)</f>
        <v>0</v>
      </c>
      <c r="Z105" s="47">
        <f ca="1">VLOOKUP($C105,OFFSET(quests!$A$1,0,0,COUNTA(quests!$A:$A),MATCH(Z$2,quests!$1:$1,0)-MATCH($C$2,quests!$1:$1,0)+1),MATCH(Z$2,quests!$1:$1,0)-MATCH($C$2,quests!$1:$1,0)+1,FALSE)</f>
        <v>1</v>
      </c>
      <c r="AA105" s="47">
        <f ca="1">VLOOKUP($C105,OFFSET(quests!$A$1,0,0,COUNTA(quests!$A:$A),MATCH(AA$2,quests!$1:$1,0)-MATCH($C$2,quests!$1:$1,0)+1),MATCH(AA$2,quests!$1:$1,0)-MATCH($C$2,quests!$1:$1,0)+1,FALSE)</f>
        <v>0</v>
      </c>
      <c r="AB105" s="7" t="s">
        <v>56</v>
      </c>
      <c r="AC105" s="7">
        <v>19</v>
      </c>
      <c r="AD105" s="7">
        <v>6</v>
      </c>
      <c r="AE105" s="7" t="s">
        <v>519</v>
      </c>
      <c r="AF105" s="7">
        <v>0</v>
      </c>
      <c r="AG105" s="7">
        <v>0</v>
      </c>
      <c r="AH105" s="7">
        <v>0</v>
      </c>
      <c r="AI105" s="7">
        <v>-1</v>
      </c>
      <c r="AJ105" s="7">
        <v>-1</v>
      </c>
      <c r="AK105" s="7" t="s">
        <v>1064</v>
      </c>
      <c r="AL105" s="12" t="s">
        <v>1695</v>
      </c>
      <c r="AM105" s="12" t="s">
        <v>2072</v>
      </c>
    </row>
    <row r="106" spans="1:39" ht="21" customHeight="1" x14ac:dyDescent="0.15">
      <c r="A106" s="42" t="str">
        <f t="shared" si="2"/>
        <v>19_4</v>
      </c>
      <c r="B106" s="23">
        <v>3</v>
      </c>
      <c r="C106" s="10">
        <v>19</v>
      </c>
      <c r="D106" s="47" t="str">
        <f ca="1">VLOOKUP($C106,OFFSET(quests!$A$1,0,0,COUNTA(quests!$A:$A),MATCH(D$1,quests!$1:$1,0)-MATCH($C$2,quests!$1:$1,0)+1),MATCH(D$1,quests!$1:$1,0)-MATCH($C$2,quests!$1:$1,0)+1,FALSE)</f>
        <v>19．アレイスター王立図書館</v>
      </c>
      <c r="E106" s="48" t="str">
        <f ca="1">VLOOKUP($C106,OFFSET(quests!$A$1,0,0,COUNTA(quests!$A:$A),MATCH(E$2,quests!$1:$1,0)-MATCH($C$2,quests!$1:$1,0)+1),MATCH(E$2,quests!$1:$1,0)-MATCH($C$2,quests!$1:$1,0)+1,FALSE)</f>
        <v>緑DL4</v>
      </c>
      <c r="F106" s="7">
        <v>4</v>
      </c>
      <c r="G106" s="7" t="s">
        <v>570</v>
      </c>
      <c r="H106" s="69" t="s">
        <v>361</v>
      </c>
      <c r="I106" s="12"/>
      <c r="J106" s="12" t="s">
        <v>279</v>
      </c>
      <c r="K106" s="167">
        <v>11</v>
      </c>
      <c r="L106" s="167">
        <v>1440</v>
      </c>
      <c r="M106" s="167">
        <v>1</v>
      </c>
      <c r="N106" s="167">
        <v>1</v>
      </c>
      <c r="O106" s="167">
        <v>1</v>
      </c>
      <c r="P106" s="167">
        <v>1</v>
      </c>
      <c r="Q106" s="167">
        <v>1</v>
      </c>
      <c r="R106" s="167">
        <v>3</v>
      </c>
      <c r="S106" s="167" t="s">
        <v>79</v>
      </c>
      <c r="T106" s="167">
        <v>0</v>
      </c>
      <c r="U106" s="7">
        <v>19</v>
      </c>
      <c r="V106" s="7">
        <v>3</v>
      </c>
      <c r="W106" s="47" t="str">
        <f t="shared" ca="1" si="3"/>
        <v>19-3. 動かざる者</v>
      </c>
      <c r="X106" s="47">
        <f ca="1">VLOOKUP($C106,OFFSET(quests!$A$1,0,0,COUNTA(quests!$A:$A),MATCH(X$2,quests!$1:$1,0)-MATCH($C$2,quests!$1:$1,0)+1),MATCH(X$2,quests!$1:$1,0)-MATCH($C$2,quests!$1:$1,0)+1,FALSE)</f>
        <v>0</v>
      </c>
      <c r="Y106" s="47">
        <f ca="1">VLOOKUP($C106,OFFSET(quests!$A$1,0,0,COUNTA(quests!$A:$A),MATCH(Y$2,quests!$1:$1,0)-MATCH($C$2,quests!$1:$1,0)+1),MATCH(Y$2,quests!$1:$1,0)-MATCH($C$2,quests!$1:$1,0)+1,FALSE)</f>
        <v>0</v>
      </c>
      <c r="Z106" s="47">
        <f ca="1">VLOOKUP($C106,OFFSET(quests!$A$1,0,0,COUNTA(quests!$A:$A),MATCH(Z$2,quests!$1:$1,0)-MATCH($C$2,quests!$1:$1,0)+1),MATCH(Z$2,quests!$1:$1,0)-MATCH($C$2,quests!$1:$1,0)+1,FALSE)</f>
        <v>1</v>
      </c>
      <c r="AA106" s="47">
        <f ca="1">VLOOKUP($C106,OFFSET(quests!$A$1,0,0,COUNTA(quests!$A:$A),MATCH(AA$2,quests!$1:$1,0)-MATCH($C$2,quests!$1:$1,0)+1),MATCH(AA$2,quests!$1:$1,0)-MATCH($C$2,quests!$1:$1,0)+1,FALSE)</f>
        <v>0</v>
      </c>
      <c r="AB106" s="7" t="s">
        <v>56</v>
      </c>
      <c r="AC106" s="7">
        <v>19</v>
      </c>
      <c r="AD106" s="7">
        <v>6</v>
      </c>
      <c r="AE106" s="7" t="s">
        <v>519</v>
      </c>
      <c r="AF106" s="7">
        <v>0</v>
      </c>
      <c r="AG106" s="7">
        <v>0</v>
      </c>
      <c r="AH106" s="7">
        <v>0</v>
      </c>
      <c r="AI106" s="7">
        <v>-1</v>
      </c>
      <c r="AJ106" s="7">
        <v>-1</v>
      </c>
      <c r="AK106" s="7" t="s">
        <v>1064</v>
      </c>
      <c r="AL106" s="12" t="s">
        <v>1695</v>
      </c>
      <c r="AM106" s="12" t="s">
        <v>2072</v>
      </c>
    </row>
    <row r="107" spans="1:39" ht="21" customHeight="1" x14ac:dyDescent="0.15">
      <c r="A107" s="42" t="str">
        <f t="shared" si="2"/>
        <v>19_5</v>
      </c>
      <c r="B107" s="23">
        <v>3</v>
      </c>
      <c r="C107" s="10">
        <v>19</v>
      </c>
      <c r="D107" s="47" t="str">
        <f ca="1">VLOOKUP($C107,OFFSET(quests!$A$1,0,0,COUNTA(quests!$A:$A),MATCH(D$1,quests!$1:$1,0)-MATCH($C$2,quests!$1:$1,0)+1),MATCH(D$1,quests!$1:$1,0)-MATCH($C$2,quests!$1:$1,0)+1,FALSE)</f>
        <v>19．アレイスター王立図書館</v>
      </c>
      <c r="E107" s="48" t="str">
        <f ca="1">VLOOKUP($C107,OFFSET(quests!$A$1,0,0,COUNTA(quests!$A:$A),MATCH(E$2,quests!$1:$1,0)-MATCH($C$2,quests!$1:$1,0)+1),MATCH(E$2,quests!$1:$1,0)-MATCH($C$2,quests!$1:$1,0)+1,FALSE)</f>
        <v>緑DL4</v>
      </c>
      <c r="F107" s="9">
        <v>5</v>
      </c>
      <c r="G107" s="7" t="s">
        <v>570</v>
      </c>
      <c r="H107" s="69" t="s">
        <v>362</v>
      </c>
      <c r="I107" s="12"/>
      <c r="J107" s="12" t="s">
        <v>279</v>
      </c>
      <c r="K107" s="167">
        <v>15</v>
      </c>
      <c r="L107" s="167">
        <v>1880</v>
      </c>
      <c r="M107" s="167">
        <v>1</v>
      </c>
      <c r="N107" s="167">
        <v>1</v>
      </c>
      <c r="O107" s="167">
        <v>1</v>
      </c>
      <c r="P107" s="167">
        <v>1</v>
      </c>
      <c r="Q107" s="167">
        <v>1</v>
      </c>
      <c r="R107" s="167">
        <v>3</v>
      </c>
      <c r="S107" s="167" t="s">
        <v>79</v>
      </c>
      <c r="T107" s="167">
        <v>0</v>
      </c>
      <c r="U107" s="7">
        <v>19</v>
      </c>
      <c r="V107" s="7">
        <v>4</v>
      </c>
      <c r="W107" s="47" t="str">
        <f t="shared" ca="1" si="3"/>
        <v>19-4. けたたましい来館</v>
      </c>
      <c r="X107" s="47">
        <f ca="1">VLOOKUP($C107,OFFSET(quests!$A$1,0,0,COUNTA(quests!$A:$A),MATCH(X$2,quests!$1:$1,0)-MATCH($C$2,quests!$1:$1,0)+1),MATCH(X$2,quests!$1:$1,0)-MATCH($C$2,quests!$1:$1,0)+1,FALSE)</f>
        <v>0</v>
      </c>
      <c r="Y107" s="47">
        <f ca="1">VLOOKUP($C107,OFFSET(quests!$A$1,0,0,COUNTA(quests!$A:$A),MATCH(Y$2,quests!$1:$1,0)-MATCH($C$2,quests!$1:$1,0)+1),MATCH(Y$2,quests!$1:$1,0)-MATCH($C$2,quests!$1:$1,0)+1,FALSE)</f>
        <v>0</v>
      </c>
      <c r="Z107" s="47">
        <f ca="1">VLOOKUP($C107,OFFSET(quests!$A$1,0,0,COUNTA(quests!$A:$A),MATCH(Z$2,quests!$1:$1,0)-MATCH($C$2,quests!$1:$1,0)+1),MATCH(Z$2,quests!$1:$1,0)-MATCH($C$2,quests!$1:$1,0)+1,FALSE)</f>
        <v>1</v>
      </c>
      <c r="AA107" s="47">
        <f ca="1">VLOOKUP($C107,OFFSET(quests!$A$1,0,0,COUNTA(quests!$A:$A),MATCH(AA$2,quests!$1:$1,0)-MATCH($C$2,quests!$1:$1,0)+1),MATCH(AA$2,quests!$1:$1,0)-MATCH($C$2,quests!$1:$1,0)+1,FALSE)</f>
        <v>0</v>
      </c>
      <c r="AB107" s="7" t="s">
        <v>56</v>
      </c>
      <c r="AC107" s="7">
        <v>19</v>
      </c>
      <c r="AD107" s="7">
        <v>6</v>
      </c>
      <c r="AE107" s="7" t="s">
        <v>519</v>
      </c>
      <c r="AF107" s="33">
        <v>3</v>
      </c>
      <c r="AG107" s="7">
        <v>0</v>
      </c>
      <c r="AH107" s="7">
        <v>0</v>
      </c>
      <c r="AI107" s="7">
        <v>-1</v>
      </c>
      <c r="AJ107" s="7">
        <v>-1</v>
      </c>
      <c r="AK107" s="7" t="s">
        <v>1064</v>
      </c>
      <c r="AL107" s="12" t="s">
        <v>1695</v>
      </c>
      <c r="AM107" s="12" t="s">
        <v>2072</v>
      </c>
    </row>
    <row r="108" spans="1:39" ht="21" customHeight="1" x14ac:dyDescent="0.15">
      <c r="A108" s="42" t="str">
        <f t="shared" si="2"/>
        <v>19_6</v>
      </c>
      <c r="B108" s="23">
        <v>3</v>
      </c>
      <c r="C108" s="10">
        <v>19</v>
      </c>
      <c r="D108" s="47" t="str">
        <f ca="1">VLOOKUP($C108,OFFSET(quests!$A$1,0,0,COUNTA(quests!$A:$A),MATCH(D$1,quests!$1:$1,0)-MATCH($C$2,quests!$1:$1,0)+1),MATCH(D$1,quests!$1:$1,0)-MATCH($C$2,quests!$1:$1,0)+1,FALSE)</f>
        <v>19．アレイスター王立図書館</v>
      </c>
      <c r="E108" s="48" t="str">
        <f ca="1">VLOOKUP($C108,OFFSET(quests!$A$1,0,0,COUNTA(quests!$A:$A),MATCH(E$2,quests!$1:$1,0)-MATCH($C$2,quests!$1:$1,0)+1),MATCH(E$2,quests!$1:$1,0)-MATCH($C$2,quests!$1:$1,0)+1,FALSE)</f>
        <v>緑DL4</v>
      </c>
      <c r="F108" s="7">
        <v>6</v>
      </c>
      <c r="G108" s="7" t="s">
        <v>570</v>
      </c>
      <c r="H108" s="69" t="s">
        <v>881</v>
      </c>
      <c r="I108" s="12" t="s">
        <v>164</v>
      </c>
      <c r="J108" s="12">
        <v>343</v>
      </c>
      <c r="K108" s="167">
        <v>1</v>
      </c>
      <c r="L108" s="167">
        <v>1</v>
      </c>
      <c r="M108" s="167">
        <v>1</v>
      </c>
      <c r="N108" s="167">
        <v>1</v>
      </c>
      <c r="O108" s="167">
        <v>1</v>
      </c>
      <c r="P108" s="167">
        <v>1</v>
      </c>
      <c r="Q108" s="167">
        <v>1</v>
      </c>
      <c r="R108" s="167">
        <v>3</v>
      </c>
      <c r="S108" s="167" t="s">
        <v>273</v>
      </c>
      <c r="T108" s="191" t="s">
        <v>2166</v>
      </c>
      <c r="U108" s="7">
        <v>19</v>
      </c>
      <c r="V108" s="7">
        <v>5</v>
      </c>
      <c r="W108" s="47" t="str">
        <f t="shared" ca="1" si="3"/>
        <v>19-5. 庭園主の包囲網</v>
      </c>
      <c r="X108" s="47">
        <f ca="1">VLOOKUP($C108,OFFSET(quests!$A$1,0,0,COUNTA(quests!$A:$A),MATCH(X$2,quests!$1:$1,0)-MATCH($C$2,quests!$1:$1,0)+1),MATCH(X$2,quests!$1:$1,0)-MATCH($C$2,quests!$1:$1,0)+1,FALSE)</f>
        <v>0</v>
      </c>
      <c r="Y108" s="47">
        <f ca="1">VLOOKUP($C108,OFFSET(quests!$A$1,0,0,COUNTA(quests!$A:$A),MATCH(Y$2,quests!$1:$1,0)-MATCH($C$2,quests!$1:$1,0)+1),MATCH(Y$2,quests!$1:$1,0)-MATCH($C$2,quests!$1:$1,0)+1,FALSE)</f>
        <v>0</v>
      </c>
      <c r="Z108" s="47">
        <f ca="1">VLOOKUP($C108,OFFSET(quests!$A$1,0,0,COUNTA(quests!$A:$A),MATCH(Z$2,quests!$1:$1,0)-MATCH($C$2,quests!$1:$1,0)+1),MATCH(Z$2,quests!$1:$1,0)-MATCH($C$2,quests!$1:$1,0)+1,FALSE)</f>
        <v>1</v>
      </c>
      <c r="AA108" s="47">
        <f ca="1">VLOOKUP($C108,OFFSET(quests!$A$1,0,0,COUNTA(quests!$A:$A),MATCH(AA$2,quests!$1:$1,0)-MATCH($C$2,quests!$1:$1,0)+1),MATCH(AA$2,quests!$1:$1,0)-MATCH($C$2,quests!$1:$1,0)+1,FALSE)</f>
        <v>0</v>
      </c>
      <c r="AB108" s="7" t="s">
        <v>62</v>
      </c>
      <c r="AC108" s="7">
        <v>19</v>
      </c>
      <c r="AD108" s="7">
        <v>6</v>
      </c>
      <c r="AE108" s="7" t="s">
        <v>522</v>
      </c>
      <c r="AF108" s="7">
        <v>1</v>
      </c>
      <c r="AG108" s="7">
        <v>0</v>
      </c>
      <c r="AH108" s="7">
        <v>0</v>
      </c>
      <c r="AI108" s="7">
        <v>-1</v>
      </c>
      <c r="AJ108" s="7">
        <v>-1</v>
      </c>
      <c r="AK108" s="7" t="s">
        <v>1064</v>
      </c>
      <c r="AL108" s="12" t="s">
        <v>1695</v>
      </c>
      <c r="AM108" s="12" t="s">
        <v>2072</v>
      </c>
    </row>
    <row r="109" spans="1:39" ht="21" customHeight="1" x14ac:dyDescent="0.15">
      <c r="A109" s="42" t="str">
        <f t="shared" si="2"/>
        <v>20_1</v>
      </c>
      <c r="B109" s="23">
        <v>3</v>
      </c>
      <c r="C109" s="10">
        <v>20</v>
      </c>
      <c r="D109" s="47" t="str">
        <f ca="1">VLOOKUP($C109,OFFSET(quests!$A$1,0,0,COUNTA(quests!$A:$A),MATCH(D$1,quests!$1:$1,0)-MATCH($C$2,quests!$1:$1,0)+1),MATCH(D$1,quests!$1:$1,0)-MATCH($C$2,quests!$1:$1,0)+1,FALSE)</f>
        <v>20．コロシアム</v>
      </c>
      <c r="E109" s="48" t="str">
        <f ca="1">VLOOKUP($C109,OFFSET(quests!$A$1,0,0,COUNTA(quests!$A:$A),MATCH(E$2,quests!$1:$1,0)-MATCH($C$2,quests!$1:$1,0)+1),MATCH(E$2,quests!$1:$1,0)-MATCH($C$2,quests!$1:$1,0)+1,FALSE)</f>
        <v>黄DL4</v>
      </c>
      <c r="F109" s="7">
        <v>1</v>
      </c>
      <c r="G109" s="7" t="s">
        <v>570</v>
      </c>
      <c r="H109" s="69" t="s">
        <v>363</v>
      </c>
      <c r="I109" s="12"/>
      <c r="J109" s="12" t="s">
        <v>279</v>
      </c>
      <c r="K109" s="167">
        <v>9</v>
      </c>
      <c r="L109" s="167">
        <v>1240</v>
      </c>
      <c r="M109" s="167">
        <v>1</v>
      </c>
      <c r="N109" s="167">
        <v>1</v>
      </c>
      <c r="O109" s="167">
        <v>1</v>
      </c>
      <c r="P109" s="167">
        <v>1</v>
      </c>
      <c r="Q109" s="167">
        <v>1</v>
      </c>
      <c r="R109" s="167">
        <v>3</v>
      </c>
      <c r="S109" s="167" t="s">
        <v>79</v>
      </c>
      <c r="T109" s="167">
        <v>0</v>
      </c>
      <c r="U109" s="7">
        <v>19</v>
      </c>
      <c r="V109" s="7">
        <v>6</v>
      </c>
      <c r="W109" s="47" t="str">
        <f t="shared" ca="1" si="3"/>
        <v>19-6. 【1回のみ】ボーナスステージ</v>
      </c>
      <c r="X109" s="47">
        <f ca="1">VLOOKUP($C109,OFFSET(quests!$A$1,0,0,COUNTA(quests!$A:$A),MATCH(X$2,quests!$1:$1,0)-MATCH($C$2,quests!$1:$1,0)+1),MATCH(X$2,quests!$1:$1,0)-MATCH($C$2,quests!$1:$1,0)+1,FALSE)</f>
        <v>0</v>
      </c>
      <c r="Y109" s="47">
        <f ca="1">VLOOKUP($C109,OFFSET(quests!$A$1,0,0,COUNTA(quests!$A:$A),MATCH(Y$2,quests!$1:$1,0)-MATCH($C$2,quests!$1:$1,0)+1),MATCH(Y$2,quests!$1:$1,0)-MATCH($C$2,quests!$1:$1,0)+1,FALSE)</f>
        <v>0</v>
      </c>
      <c r="Z109" s="47">
        <f ca="1">VLOOKUP($C109,OFFSET(quests!$A$1,0,0,COUNTA(quests!$A:$A),MATCH(Z$2,quests!$1:$1,0)-MATCH($C$2,quests!$1:$1,0)+1),MATCH(Z$2,quests!$1:$1,0)-MATCH($C$2,quests!$1:$1,0)+1,FALSE)</f>
        <v>0</v>
      </c>
      <c r="AA109" s="47">
        <f ca="1">VLOOKUP($C109,OFFSET(quests!$A$1,0,0,COUNTA(quests!$A:$A),MATCH(AA$2,quests!$1:$1,0)-MATCH($C$2,quests!$1:$1,0)+1),MATCH(AA$2,quests!$1:$1,0)-MATCH($C$2,quests!$1:$1,0)+1,FALSE)</f>
        <v>1</v>
      </c>
      <c r="AB109" s="7" t="s">
        <v>56</v>
      </c>
      <c r="AC109" s="7">
        <v>20</v>
      </c>
      <c r="AD109" s="7">
        <v>6</v>
      </c>
      <c r="AE109" s="7" t="s">
        <v>519</v>
      </c>
      <c r="AF109" s="7">
        <v>0</v>
      </c>
      <c r="AG109" s="7">
        <v>0</v>
      </c>
      <c r="AH109" s="7">
        <v>0</v>
      </c>
      <c r="AI109" s="7">
        <v>-1</v>
      </c>
      <c r="AJ109" s="7">
        <v>-1</v>
      </c>
      <c r="AK109" s="7" t="s">
        <v>1064</v>
      </c>
      <c r="AL109" s="12" t="s">
        <v>1695</v>
      </c>
      <c r="AM109" s="12" t="s">
        <v>2072</v>
      </c>
    </row>
    <row r="110" spans="1:39" ht="21" customHeight="1" x14ac:dyDescent="0.15">
      <c r="A110" s="42" t="str">
        <f t="shared" si="2"/>
        <v>20_2</v>
      </c>
      <c r="B110" s="23">
        <v>3</v>
      </c>
      <c r="C110" s="10">
        <v>20</v>
      </c>
      <c r="D110" s="47" t="str">
        <f ca="1">VLOOKUP($C110,OFFSET(quests!$A$1,0,0,COUNTA(quests!$A:$A),MATCH(D$1,quests!$1:$1,0)-MATCH($C$2,quests!$1:$1,0)+1),MATCH(D$1,quests!$1:$1,0)-MATCH($C$2,quests!$1:$1,0)+1,FALSE)</f>
        <v>20．コロシアム</v>
      </c>
      <c r="E110" s="48" t="str">
        <f ca="1">VLOOKUP($C110,OFFSET(quests!$A$1,0,0,COUNTA(quests!$A:$A),MATCH(E$2,quests!$1:$1,0)-MATCH($C$2,quests!$1:$1,0)+1),MATCH(E$2,quests!$1:$1,0)-MATCH($C$2,quests!$1:$1,0)+1,FALSE)</f>
        <v>黄DL4</v>
      </c>
      <c r="F110" s="7">
        <v>2</v>
      </c>
      <c r="G110" s="7" t="s">
        <v>570</v>
      </c>
      <c r="H110" s="69" t="s">
        <v>364</v>
      </c>
      <c r="I110" s="12"/>
      <c r="J110" s="12" t="s">
        <v>279</v>
      </c>
      <c r="K110" s="167">
        <v>9</v>
      </c>
      <c r="L110" s="167">
        <v>1280</v>
      </c>
      <c r="M110" s="167">
        <v>1</v>
      </c>
      <c r="N110" s="167">
        <v>1</v>
      </c>
      <c r="O110" s="167">
        <v>1</v>
      </c>
      <c r="P110" s="167">
        <v>1</v>
      </c>
      <c r="Q110" s="167">
        <v>1</v>
      </c>
      <c r="R110" s="167">
        <v>3</v>
      </c>
      <c r="S110" s="167" t="s">
        <v>79</v>
      </c>
      <c r="T110" s="167">
        <v>0</v>
      </c>
      <c r="U110" s="7">
        <v>20</v>
      </c>
      <c r="V110" s="7">
        <v>1</v>
      </c>
      <c r="W110" s="47" t="str">
        <f t="shared" ca="1" si="3"/>
        <v>20-1. 星空からの降臨</v>
      </c>
      <c r="X110" s="47">
        <f ca="1">VLOOKUP($C110,OFFSET(quests!$A$1,0,0,COUNTA(quests!$A:$A),MATCH(X$2,quests!$1:$1,0)-MATCH($C$2,quests!$1:$1,0)+1),MATCH(X$2,quests!$1:$1,0)-MATCH($C$2,quests!$1:$1,0)+1,FALSE)</f>
        <v>0</v>
      </c>
      <c r="Y110" s="47">
        <f ca="1">VLOOKUP($C110,OFFSET(quests!$A$1,0,0,COUNTA(quests!$A:$A),MATCH(Y$2,quests!$1:$1,0)-MATCH($C$2,quests!$1:$1,0)+1),MATCH(Y$2,quests!$1:$1,0)-MATCH($C$2,quests!$1:$1,0)+1,FALSE)</f>
        <v>0</v>
      </c>
      <c r="Z110" s="47">
        <f ca="1">VLOOKUP($C110,OFFSET(quests!$A$1,0,0,COUNTA(quests!$A:$A),MATCH(Z$2,quests!$1:$1,0)-MATCH($C$2,quests!$1:$1,0)+1),MATCH(Z$2,quests!$1:$1,0)-MATCH($C$2,quests!$1:$1,0)+1,FALSE)</f>
        <v>0</v>
      </c>
      <c r="AA110" s="47">
        <f ca="1">VLOOKUP($C110,OFFSET(quests!$A$1,0,0,COUNTA(quests!$A:$A),MATCH(AA$2,quests!$1:$1,0)-MATCH($C$2,quests!$1:$1,0)+1),MATCH(AA$2,quests!$1:$1,0)-MATCH($C$2,quests!$1:$1,0)+1,FALSE)</f>
        <v>1</v>
      </c>
      <c r="AB110" s="7" t="s">
        <v>56</v>
      </c>
      <c r="AC110" s="7">
        <v>20</v>
      </c>
      <c r="AD110" s="7">
        <v>6</v>
      </c>
      <c r="AE110" s="7" t="s">
        <v>519</v>
      </c>
      <c r="AF110" s="7">
        <v>0</v>
      </c>
      <c r="AG110" s="7">
        <v>0</v>
      </c>
      <c r="AH110" s="7">
        <v>0</v>
      </c>
      <c r="AI110" s="7">
        <v>-1</v>
      </c>
      <c r="AJ110" s="7">
        <v>-1</v>
      </c>
      <c r="AK110" s="7" t="s">
        <v>1064</v>
      </c>
      <c r="AL110" s="12" t="s">
        <v>1695</v>
      </c>
      <c r="AM110" s="12" t="s">
        <v>2072</v>
      </c>
    </row>
    <row r="111" spans="1:39" ht="21" customHeight="1" x14ac:dyDescent="0.15">
      <c r="A111" s="42" t="str">
        <f t="shared" si="2"/>
        <v>20_3</v>
      </c>
      <c r="B111" s="23">
        <v>3</v>
      </c>
      <c r="C111" s="10">
        <v>20</v>
      </c>
      <c r="D111" s="47" t="str">
        <f ca="1">VLOOKUP($C111,OFFSET(quests!$A$1,0,0,COUNTA(quests!$A:$A),MATCH(D$1,quests!$1:$1,0)-MATCH($C$2,quests!$1:$1,0)+1),MATCH(D$1,quests!$1:$1,0)-MATCH($C$2,quests!$1:$1,0)+1,FALSE)</f>
        <v>20．コロシアム</v>
      </c>
      <c r="E111" s="48" t="str">
        <f ca="1">VLOOKUP($C111,OFFSET(quests!$A$1,0,0,COUNTA(quests!$A:$A),MATCH(E$2,quests!$1:$1,0)-MATCH($C$2,quests!$1:$1,0)+1),MATCH(E$2,quests!$1:$1,0)-MATCH($C$2,quests!$1:$1,0)+1,FALSE)</f>
        <v>黄DL4</v>
      </c>
      <c r="F111" s="7">
        <v>3</v>
      </c>
      <c r="G111" s="7" t="s">
        <v>570</v>
      </c>
      <c r="H111" s="69" t="s">
        <v>365</v>
      </c>
      <c r="I111" s="12"/>
      <c r="J111" s="12" t="s">
        <v>279</v>
      </c>
      <c r="K111" s="167">
        <v>10</v>
      </c>
      <c r="L111" s="167">
        <v>1320</v>
      </c>
      <c r="M111" s="167">
        <v>1</v>
      </c>
      <c r="N111" s="167">
        <v>1</v>
      </c>
      <c r="O111" s="167">
        <v>1</v>
      </c>
      <c r="P111" s="167">
        <v>1</v>
      </c>
      <c r="Q111" s="167">
        <v>1</v>
      </c>
      <c r="R111" s="167">
        <v>3</v>
      </c>
      <c r="S111" s="167" t="s">
        <v>79</v>
      </c>
      <c r="T111" s="167">
        <v>0</v>
      </c>
      <c r="U111" s="7">
        <v>20</v>
      </c>
      <c r="V111" s="7">
        <v>2</v>
      </c>
      <c r="W111" s="47" t="str">
        <f t="shared" ca="1" si="3"/>
        <v>20-2. 終わりなき連戦</v>
      </c>
      <c r="X111" s="47">
        <f ca="1">VLOOKUP($C111,OFFSET(quests!$A$1,0,0,COUNTA(quests!$A:$A),MATCH(X$2,quests!$1:$1,0)-MATCH($C$2,quests!$1:$1,0)+1),MATCH(X$2,quests!$1:$1,0)-MATCH($C$2,quests!$1:$1,0)+1,FALSE)</f>
        <v>0</v>
      </c>
      <c r="Y111" s="47">
        <f ca="1">VLOOKUP($C111,OFFSET(quests!$A$1,0,0,COUNTA(quests!$A:$A),MATCH(Y$2,quests!$1:$1,0)-MATCH($C$2,quests!$1:$1,0)+1),MATCH(Y$2,quests!$1:$1,0)-MATCH($C$2,quests!$1:$1,0)+1,FALSE)</f>
        <v>0</v>
      </c>
      <c r="Z111" s="47">
        <f ca="1">VLOOKUP($C111,OFFSET(quests!$A$1,0,0,COUNTA(quests!$A:$A),MATCH(Z$2,quests!$1:$1,0)-MATCH($C$2,quests!$1:$1,0)+1),MATCH(Z$2,quests!$1:$1,0)-MATCH($C$2,quests!$1:$1,0)+1,FALSE)</f>
        <v>0</v>
      </c>
      <c r="AA111" s="47">
        <f ca="1">VLOOKUP($C111,OFFSET(quests!$A$1,0,0,COUNTA(quests!$A:$A),MATCH(AA$2,quests!$1:$1,0)-MATCH($C$2,quests!$1:$1,0)+1),MATCH(AA$2,quests!$1:$1,0)-MATCH($C$2,quests!$1:$1,0)+1,FALSE)</f>
        <v>1</v>
      </c>
      <c r="AB111" s="7" t="s">
        <v>56</v>
      </c>
      <c r="AC111" s="7">
        <v>20</v>
      </c>
      <c r="AD111" s="7">
        <v>6</v>
      </c>
      <c r="AE111" s="7" t="s">
        <v>519</v>
      </c>
      <c r="AF111" s="7">
        <v>0</v>
      </c>
      <c r="AG111" s="7">
        <v>0</v>
      </c>
      <c r="AH111" s="7">
        <v>0</v>
      </c>
      <c r="AI111" s="7">
        <v>-1</v>
      </c>
      <c r="AJ111" s="7">
        <v>-1</v>
      </c>
      <c r="AK111" s="7" t="s">
        <v>1064</v>
      </c>
      <c r="AL111" s="12" t="s">
        <v>1695</v>
      </c>
      <c r="AM111" s="12" t="s">
        <v>2072</v>
      </c>
    </row>
    <row r="112" spans="1:39" ht="21" customHeight="1" x14ac:dyDescent="0.15">
      <c r="A112" s="42" t="str">
        <f t="shared" si="2"/>
        <v>20_4</v>
      </c>
      <c r="B112" s="23">
        <v>3</v>
      </c>
      <c r="C112" s="10">
        <v>20</v>
      </c>
      <c r="D112" s="47" t="str">
        <f ca="1">VLOOKUP($C112,OFFSET(quests!$A$1,0,0,COUNTA(quests!$A:$A),MATCH(D$1,quests!$1:$1,0)-MATCH($C$2,quests!$1:$1,0)+1),MATCH(D$1,quests!$1:$1,0)-MATCH($C$2,quests!$1:$1,0)+1,FALSE)</f>
        <v>20．コロシアム</v>
      </c>
      <c r="E112" s="48" t="str">
        <f ca="1">VLOOKUP($C112,OFFSET(quests!$A$1,0,0,COUNTA(quests!$A:$A),MATCH(E$2,quests!$1:$1,0)-MATCH($C$2,quests!$1:$1,0)+1),MATCH(E$2,quests!$1:$1,0)-MATCH($C$2,quests!$1:$1,0)+1,FALSE)</f>
        <v>黄DL4</v>
      </c>
      <c r="F112" s="7">
        <v>4</v>
      </c>
      <c r="G112" s="7" t="s">
        <v>570</v>
      </c>
      <c r="H112" s="69" t="s">
        <v>366</v>
      </c>
      <c r="I112" s="12"/>
      <c r="J112" s="12" t="s">
        <v>279</v>
      </c>
      <c r="K112" s="167">
        <v>11</v>
      </c>
      <c r="L112" s="167">
        <v>1560</v>
      </c>
      <c r="M112" s="167">
        <v>1</v>
      </c>
      <c r="N112" s="167">
        <v>1</v>
      </c>
      <c r="O112" s="167">
        <v>1</v>
      </c>
      <c r="P112" s="167">
        <v>1</v>
      </c>
      <c r="Q112" s="167">
        <v>1</v>
      </c>
      <c r="R112" s="167">
        <v>3</v>
      </c>
      <c r="S112" s="167" t="s">
        <v>79</v>
      </c>
      <c r="T112" s="167">
        <v>0</v>
      </c>
      <c r="U112" s="7">
        <v>20</v>
      </c>
      <c r="V112" s="7">
        <v>3</v>
      </c>
      <c r="W112" s="47" t="str">
        <f t="shared" ca="1" si="3"/>
        <v>20-3. 身の凍る眼力</v>
      </c>
      <c r="X112" s="47">
        <f ca="1">VLOOKUP($C112,OFFSET(quests!$A$1,0,0,COUNTA(quests!$A:$A),MATCH(X$2,quests!$1:$1,0)-MATCH($C$2,quests!$1:$1,0)+1),MATCH(X$2,quests!$1:$1,0)-MATCH($C$2,quests!$1:$1,0)+1,FALSE)</f>
        <v>0</v>
      </c>
      <c r="Y112" s="47">
        <f ca="1">VLOOKUP($C112,OFFSET(quests!$A$1,0,0,COUNTA(quests!$A:$A),MATCH(Y$2,quests!$1:$1,0)-MATCH($C$2,quests!$1:$1,0)+1),MATCH(Y$2,quests!$1:$1,0)-MATCH($C$2,quests!$1:$1,0)+1,FALSE)</f>
        <v>0</v>
      </c>
      <c r="Z112" s="47">
        <f ca="1">VLOOKUP($C112,OFFSET(quests!$A$1,0,0,COUNTA(quests!$A:$A),MATCH(Z$2,quests!$1:$1,0)-MATCH($C$2,quests!$1:$1,0)+1),MATCH(Z$2,quests!$1:$1,0)-MATCH($C$2,quests!$1:$1,0)+1,FALSE)</f>
        <v>0</v>
      </c>
      <c r="AA112" s="47">
        <f ca="1">VLOOKUP($C112,OFFSET(quests!$A$1,0,0,COUNTA(quests!$A:$A),MATCH(AA$2,quests!$1:$1,0)-MATCH($C$2,quests!$1:$1,0)+1),MATCH(AA$2,quests!$1:$1,0)-MATCH($C$2,quests!$1:$1,0)+1,FALSE)</f>
        <v>1</v>
      </c>
      <c r="AB112" s="7" t="s">
        <v>56</v>
      </c>
      <c r="AC112" s="7">
        <v>20</v>
      </c>
      <c r="AD112" s="7">
        <v>6</v>
      </c>
      <c r="AE112" s="7" t="s">
        <v>519</v>
      </c>
      <c r="AF112" s="7">
        <v>0</v>
      </c>
      <c r="AG112" s="7">
        <v>0</v>
      </c>
      <c r="AH112" s="7">
        <v>0</v>
      </c>
      <c r="AI112" s="7">
        <v>-1</v>
      </c>
      <c r="AJ112" s="7">
        <v>-1</v>
      </c>
      <c r="AK112" s="7" t="s">
        <v>1064</v>
      </c>
      <c r="AL112" s="12" t="s">
        <v>1695</v>
      </c>
      <c r="AM112" s="12" t="s">
        <v>2072</v>
      </c>
    </row>
    <row r="113" spans="1:39" ht="21" customHeight="1" x14ac:dyDescent="0.15">
      <c r="A113" s="42" t="str">
        <f t="shared" si="2"/>
        <v>20_5</v>
      </c>
      <c r="B113" s="23">
        <v>3</v>
      </c>
      <c r="C113" s="10">
        <v>20</v>
      </c>
      <c r="D113" s="47" t="str">
        <f ca="1">VLOOKUP($C113,OFFSET(quests!$A$1,0,0,COUNTA(quests!$A:$A),MATCH(D$1,quests!$1:$1,0)-MATCH($C$2,quests!$1:$1,0)+1),MATCH(D$1,quests!$1:$1,0)-MATCH($C$2,quests!$1:$1,0)+1,FALSE)</f>
        <v>20．コロシアム</v>
      </c>
      <c r="E113" s="48" t="str">
        <f ca="1">VLOOKUP($C113,OFFSET(quests!$A$1,0,0,COUNTA(quests!$A:$A),MATCH(E$2,quests!$1:$1,0)-MATCH($C$2,quests!$1:$1,0)+1),MATCH(E$2,quests!$1:$1,0)-MATCH($C$2,quests!$1:$1,0)+1,FALSE)</f>
        <v>黄DL4</v>
      </c>
      <c r="F113" s="9">
        <v>5</v>
      </c>
      <c r="G113" s="7" t="s">
        <v>570</v>
      </c>
      <c r="H113" s="69" t="s">
        <v>367</v>
      </c>
      <c r="I113" s="12"/>
      <c r="J113" s="12" t="s">
        <v>279</v>
      </c>
      <c r="K113" s="167">
        <v>15</v>
      </c>
      <c r="L113" s="167">
        <v>2050</v>
      </c>
      <c r="M113" s="167">
        <v>1</v>
      </c>
      <c r="N113" s="167">
        <v>1</v>
      </c>
      <c r="O113" s="167">
        <v>1</v>
      </c>
      <c r="P113" s="167">
        <v>1</v>
      </c>
      <c r="Q113" s="167">
        <v>1</v>
      </c>
      <c r="R113" s="167">
        <v>3</v>
      </c>
      <c r="S113" s="167" t="s">
        <v>79</v>
      </c>
      <c r="T113" s="167">
        <v>0</v>
      </c>
      <c r="U113" s="7">
        <v>20</v>
      </c>
      <c r="V113" s="7">
        <v>4</v>
      </c>
      <c r="W113" s="47" t="str">
        <f t="shared" ca="1" si="3"/>
        <v>20-4. 悪魔と踊る輪舞曲</v>
      </c>
      <c r="X113" s="47">
        <f ca="1">VLOOKUP($C113,OFFSET(quests!$A$1,0,0,COUNTA(quests!$A:$A),MATCH(X$2,quests!$1:$1,0)-MATCH($C$2,quests!$1:$1,0)+1),MATCH(X$2,quests!$1:$1,0)-MATCH($C$2,quests!$1:$1,0)+1,FALSE)</f>
        <v>0</v>
      </c>
      <c r="Y113" s="47">
        <f ca="1">VLOOKUP($C113,OFFSET(quests!$A$1,0,0,COUNTA(quests!$A:$A),MATCH(Y$2,quests!$1:$1,0)-MATCH($C$2,quests!$1:$1,0)+1),MATCH(Y$2,quests!$1:$1,0)-MATCH($C$2,quests!$1:$1,0)+1,FALSE)</f>
        <v>0</v>
      </c>
      <c r="Z113" s="47">
        <f ca="1">VLOOKUP($C113,OFFSET(quests!$A$1,0,0,COUNTA(quests!$A:$A),MATCH(Z$2,quests!$1:$1,0)-MATCH($C$2,quests!$1:$1,0)+1),MATCH(Z$2,quests!$1:$1,0)-MATCH($C$2,quests!$1:$1,0)+1,FALSE)</f>
        <v>0</v>
      </c>
      <c r="AA113" s="47">
        <f ca="1">VLOOKUP($C113,OFFSET(quests!$A$1,0,0,COUNTA(quests!$A:$A),MATCH(AA$2,quests!$1:$1,0)-MATCH($C$2,quests!$1:$1,0)+1),MATCH(AA$2,quests!$1:$1,0)-MATCH($C$2,quests!$1:$1,0)+1,FALSE)</f>
        <v>1</v>
      </c>
      <c r="AB113" s="7" t="s">
        <v>56</v>
      </c>
      <c r="AC113" s="7">
        <v>20</v>
      </c>
      <c r="AD113" s="7">
        <v>6</v>
      </c>
      <c r="AE113" s="7" t="s">
        <v>519</v>
      </c>
      <c r="AF113" s="33">
        <v>3</v>
      </c>
      <c r="AG113" s="7">
        <v>0</v>
      </c>
      <c r="AH113" s="7">
        <v>0</v>
      </c>
      <c r="AI113" s="7">
        <v>-1</v>
      </c>
      <c r="AJ113" s="7">
        <v>-1</v>
      </c>
      <c r="AK113" s="7" t="s">
        <v>1064</v>
      </c>
      <c r="AL113" s="12" t="s">
        <v>1695</v>
      </c>
      <c r="AM113" s="12" t="s">
        <v>2072</v>
      </c>
    </row>
    <row r="114" spans="1:39" ht="21" customHeight="1" x14ac:dyDescent="0.15">
      <c r="A114" s="42" t="str">
        <f t="shared" si="2"/>
        <v>20_6</v>
      </c>
      <c r="B114" s="23">
        <v>3</v>
      </c>
      <c r="C114" s="10">
        <v>20</v>
      </c>
      <c r="D114" s="47" t="str">
        <f ca="1">VLOOKUP($C114,OFFSET(quests!$A$1,0,0,COUNTA(quests!$A:$A),MATCH(D$1,quests!$1:$1,0)-MATCH($C$2,quests!$1:$1,0)+1),MATCH(D$1,quests!$1:$1,0)-MATCH($C$2,quests!$1:$1,0)+1,FALSE)</f>
        <v>20．コロシアム</v>
      </c>
      <c r="E114" s="48" t="str">
        <f ca="1">VLOOKUP($C114,OFFSET(quests!$A$1,0,0,COUNTA(quests!$A:$A),MATCH(E$2,quests!$1:$1,0)-MATCH($C$2,quests!$1:$1,0)+1),MATCH(E$2,quests!$1:$1,0)-MATCH($C$2,quests!$1:$1,0)+1,FALSE)</f>
        <v>黄DL4</v>
      </c>
      <c r="F114" s="7">
        <v>6</v>
      </c>
      <c r="G114" s="7" t="s">
        <v>570</v>
      </c>
      <c r="H114" s="69" t="s">
        <v>882</v>
      </c>
      <c r="I114" s="12" t="s">
        <v>164</v>
      </c>
      <c r="J114" s="12">
        <v>347</v>
      </c>
      <c r="K114" s="167">
        <v>1</v>
      </c>
      <c r="L114" s="167">
        <v>1</v>
      </c>
      <c r="M114" s="167">
        <v>1</v>
      </c>
      <c r="N114" s="167">
        <v>1</v>
      </c>
      <c r="O114" s="167">
        <v>1</v>
      </c>
      <c r="P114" s="167">
        <v>1</v>
      </c>
      <c r="Q114" s="167">
        <v>1</v>
      </c>
      <c r="R114" s="167">
        <v>3</v>
      </c>
      <c r="S114" s="167" t="s">
        <v>273</v>
      </c>
      <c r="T114" s="191" t="s">
        <v>2167</v>
      </c>
      <c r="U114" s="7">
        <v>20</v>
      </c>
      <c r="V114" s="7">
        <v>5</v>
      </c>
      <c r="W114" s="47" t="str">
        <f t="shared" ca="1" si="3"/>
        <v>20-5. 空から降る数多の星</v>
      </c>
      <c r="X114" s="47">
        <f ca="1">VLOOKUP($C114,OFFSET(quests!$A$1,0,0,COUNTA(quests!$A:$A),MATCH(X$2,quests!$1:$1,0)-MATCH($C$2,quests!$1:$1,0)+1),MATCH(X$2,quests!$1:$1,0)-MATCH($C$2,quests!$1:$1,0)+1,FALSE)</f>
        <v>0</v>
      </c>
      <c r="Y114" s="47">
        <f ca="1">VLOOKUP($C114,OFFSET(quests!$A$1,0,0,COUNTA(quests!$A:$A),MATCH(Y$2,quests!$1:$1,0)-MATCH($C$2,quests!$1:$1,0)+1),MATCH(Y$2,quests!$1:$1,0)-MATCH($C$2,quests!$1:$1,0)+1,FALSE)</f>
        <v>0</v>
      </c>
      <c r="Z114" s="47">
        <f ca="1">VLOOKUP($C114,OFFSET(quests!$A$1,0,0,COUNTA(quests!$A:$A),MATCH(Z$2,quests!$1:$1,0)-MATCH($C$2,quests!$1:$1,0)+1),MATCH(Z$2,quests!$1:$1,0)-MATCH($C$2,quests!$1:$1,0)+1,FALSE)</f>
        <v>0</v>
      </c>
      <c r="AA114" s="47">
        <f ca="1">VLOOKUP($C114,OFFSET(quests!$A$1,0,0,COUNTA(quests!$A:$A),MATCH(AA$2,quests!$1:$1,0)-MATCH($C$2,quests!$1:$1,0)+1),MATCH(AA$2,quests!$1:$1,0)-MATCH($C$2,quests!$1:$1,0)+1,FALSE)</f>
        <v>1</v>
      </c>
      <c r="AB114" s="7" t="s">
        <v>62</v>
      </c>
      <c r="AC114" s="7">
        <v>20</v>
      </c>
      <c r="AD114" s="7">
        <v>6</v>
      </c>
      <c r="AE114" s="7" t="s">
        <v>522</v>
      </c>
      <c r="AF114" s="7">
        <v>1</v>
      </c>
      <c r="AG114" s="7">
        <v>0</v>
      </c>
      <c r="AH114" s="7">
        <v>0</v>
      </c>
      <c r="AI114" s="7">
        <v>-1</v>
      </c>
      <c r="AJ114" s="7">
        <v>-1</v>
      </c>
      <c r="AK114" s="7" t="s">
        <v>1064</v>
      </c>
      <c r="AL114" s="12" t="s">
        <v>1695</v>
      </c>
      <c r="AM114" s="12" t="s">
        <v>2072</v>
      </c>
    </row>
    <row r="115" spans="1:39" ht="21" customHeight="1" x14ac:dyDescent="0.15">
      <c r="A115" s="42" t="str">
        <f t="shared" si="2"/>
        <v>21_1</v>
      </c>
      <c r="B115" s="23">
        <v>3</v>
      </c>
      <c r="C115" s="10">
        <v>21</v>
      </c>
      <c r="D115" s="47" t="str">
        <f ca="1">VLOOKUP($C115,OFFSET(quests!$A$1,0,0,COUNTA(quests!$A:$A),MATCH(D$1,quests!$1:$1,0)-MATCH($C$2,quests!$1:$1,0)+1),MATCH(D$1,quests!$1:$1,0)-MATCH($C$2,quests!$1:$1,0)+1,FALSE)</f>
        <v>21．胡蝶舞う植物園</v>
      </c>
      <c r="E115" s="48" t="str">
        <f ca="1">VLOOKUP($C115,OFFSET(quests!$A$1,0,0,COUNTA(quests!$A:$A),MATCH(E$2,quests!$1:$1,0)-MATCH($C$2,quests!$1:$1,0)+1),MATCH(E$2,quests!$1:$1,0)-MATCH($C$2,quests!$1:$1,0)+1,FALSE)</f>
        <v>混色DL4</v>
      </c>
      <c r="F115" s="7">
        <v>1</v>
      </c>
      <c r="G115" s="7" t="s">
        <v>570</v>
      </c>
      <c r="H115" s="69" t="s">
        <v>368</v>
      </c>
      <c r="I115" s="12"/>
      <c r="J115" s="12" t="s">
        <v>279</v>
      </c>
      <c r="K115" s="167">
        <v>10</v>
      </c>
      <c r="L115" s="167">
        <v>1620</v>
      </c>
      <c r="M115" s="167">
        <v>1</v>
      </c>
      <c r="N115" s="167">
        <v>1</v>
      </c>
      <c r="O115" s="167">
        <v>1</v>
      </c>
      <c r="P115" s="167">
        <v>1</v>
      </c>
      <c r="Q115" s="167">
        <v>1</v>
      </c>
      <c r="R115" s="167">
        <v>3</v>
      </c>
      <c r="S115" s="167" t="s">
        <v>79</v>
      </c>
      <c r="T115" s="167">
        <v>0</v>
      </c>
      <c r="U115" s="7">
        <v>20</v>
      </c>
      <c r="V115" s="7">
        <v>6</v>
      </c>
      <c r="W115" s="47" t="str">
        <f t="shared" ca="1" si="3"/>
        <v>20-6. 【1回のみ】ボーナスステージ</v>
      </c>
      <c r="X115" s="47">
        <f ca="1">VLOOKUP($C115,OFFSET(quests!$A$1,0,0,COUNTA(quests!$A:$A),MATCH(X$2,quests!$1:$1,0)-MATCH($C$2,quests!$1:$1,0)+1),MATCH(X$2,quests!$1:$1,0)-MATCH($C$2,quests!$1:$1,0)+1,FALSE)</f>
        <v>1</v>
      </c>
      <c r="Y115" s="47">
        <f ca="1">VLOOKUP($C115,OFFSET(quests!$A$1,0,0,COUNTA(quests!$A:$A),MATCH(Y$2,quests!$1:$1,0)-MATCH($C$2,quests!$1:$1,0)+1),MATCH(Y$2,quests!$1:$1,0)-MATCH($C$2,quests!$1:$1,0)+1,FALSE)</f>
        <v>1</v>
      </c>
      <c r="Z115" s="47">
        <f ca="1">VLOOKUP($C115,OFFSET(quests!$A$1,0,0,COUNTA(quests!$A:$A),MATCH(Z$2,quests!$1:$1,0)-MATCH($C$2,quests!$1:$1,0)+1),MATCH(Z$2,quests!$1:$1,0)-MATCH($C$2,quests!$1:$1,0)+1,FALSE)</f>
        <v>1</v>
      </c>
      <c r="AA115" s="47">
        <f ca="1">VLOOKUP($C115,OFFSET(quests!$A$1,0,0,COUNTA(quests!$A:$A),MATCH(AA$2,quests!$1:$1,0)-MATCH($C$2,quests!$1:$1,0)+1),MATCH(AA$2,quests!$1:$1,0)-MATCH($C$2,quests!$1:$1,0)+1,FALSE)</f>
        <v>1</v>
      </c>
      <c r="AB115" s="7" t="s">
        <v>56</v>
      </c>
      <c r="AC115" s="7">
        <v>21</v>
      </c>
      <c r="AD115" s="7">
        <v>6</v>
      </c>
      <c r="AE115" s="7" t="s">
        <v>519</v>
      </c>
      <c r="AF115" s="7">
        <v>0</v>
      </c>
      <c r="AG115" s="7">
        <v>0</v>
      </c>
      <c r="AH115" s="7">
        <v>0</v>
      </c>
      <c r="AI115" s="7">
        <v>-1</v>
      </c>
      <c r="AJ115" s="7">
        <v>-1</v>
      </c>
      <c r="AK115" s="7" t="s">
        <v>1064</v>
      </c>
      <c r="AL115" s="12" t="s">
        <v>1695</v>
      </c>
      <c r="AM115" s="12" t="s">
        <v>2072</v>
      </c>
    </row>
    <row r="116" spans="1:39" ht="21" customHeight="1" x14ac:dyDescent="0.15">
      <c r="A116" s="42" t="str">
        <f t="shared" si="2"/>
        <v>21_2</v>
      </c>
      <c r="B116" s="23">
        <v>3</v>
      </c>
      <c r="C116" s="10">
        <v>21</v>
      </c>
      <c r="D116" s="47" t="str">
        <f ca="1">VLOOKUP($C116,OFFSET(quests!$A$1,0,0,COUNTA(quests!$A:$A),MATCH(D$1,quests!$1:$1,0)-MATCH($C$2,quests!$1:$1,0)+1),MATCH(D$1,quests!$1:$1,0)-MATCH($C$2,quests!$1:$1,0)+1,FALSE)</f>
        <v>21．胡蝶舞う植物園</v>
      </c>
      <c r="E116" s="48" t="str">
        <f ca="1">VLOOKUP($C116,OFFSET(quests!$A$1,0,0,COUNTA(quests!$A:$A),MATCH(E$2,quests!$1:$1,0)-MATCH($C$2,quests!$1:$1,0)+1),MATCH(E$2,quests!$1:$1,0)-MATCH($C$2,quests!$1:$1,0)+1,FALSE)</f>
        <v>混色DL4</v>
      </c>
      <c r="F116" s="7">
        <v>2</v>
      </c>
      <c r="G116" s="7" t="s">
        <v>570</v>
      </c>
      <c r="H116" s="69" t="s">
        <v>369</v>
      </c>
      <c r="I116" s="12"/>
      <c r="J116" s="12" t="s">
        <v>279</v>
      </c>
      <c r="K116" s="167">
        <v>11</v>
      </c>
      <c r="L116" s="167">
        <v>1760</v>
      </c>
      <c r="M116" s="167">
        <v>1</v>
      </c>
      <c r="N116" s="167">
        <v>1</v>
      </c>
      <c r="O116" s="167">
        <v>1</v>
      </c>
      <c r="P116" s="167">
        <v>1</v>
      </c>
      <c r="Q116" s="167">
        <v>1</v>
      </c>
      <c r="R116" s="167">
        <v>3</v>
      </c>
      <c r="S116" s="167" t="s">
        <v>79</v>
      </c>
      <c r="T116" s="167">
        <v>0</v>
      </c>
      <c r="U116" s="7">
        <v>21</v>
      </c>
      <c r="V116" s="7">
        <v>1</v>
      </c>
      <c r="W116" s="47" t="str">
        <f t="shared" ca="1" si="3"/>
        <v>21-1. 花園の誘い</v>
      </c>
      <c r="X116" s="47">
        <f ca="1">VLOOKUP($C116,OFFSET(quests!$A$1,0,0,COUNTA(quests!$A:$A),MATCH(X$2,quests!$1:$1,0)-MATCH($C$2,quests!$1:$1,0)+1),MATCH(X$2,quests!$1:$1,0)-MATCH($C$2,quests!$1:$1,0)+1,FALSE)</f>
        <v>1</v>
      </c>
      <c r="Y116" s="47">
        <f ca="1">VLOOKUP($C116,OFFSET(quests!$A$1,0,0,COUNTA(quests!$A:$A),MATCH(Y$2,quests!$1:$1,0)-MATCH($C$2,quests!$1:$1,0)+1),MATCH(Y$2,quests!$1:$1,0)-MATCH($C$2,quests!$1:$1,0)+1,FALSE)</f>
        <v>1</v>
      </c>
      <c r="Z116" s="47">
        <f ca="1">VLOOKUP($C116,OFFSET(quests!$A$1,0,0,COUNTA(quests!$A:$A),MATCH(Z$2,quests!$1:$1,0)-MATCH($C$2,quests!$1:$1,0)+1),MATCH(Z$2,quests!$1:$1,0)-MATCH($C$2,quests!$1:$1,0)+1,FALSE)</f>
        <v>1</v>
      </c>
      <c r="AA116" s="47">
        <f ca="1">VLOOKUP($C116,OFFSET(quests!$A$1,0,0,COUNTA(quests!$A:$A),MATCH(AA$2,quests!$1:$1,0)-MATCH($C$2,quests!$1:$1,0)+1),MATCH(AA$2,quests!$1:$1,0)-MATCH($C$2,quests!$1:$1,0)+1,FALSE)</f>
        <v>1</v>
      </c>
      <c r="AB116" s="7" t="s">
        <v>56</v>
      </c>
      <c r="AC116" s="7">
        <v>21</v>
      </c>
      <c r="AD116" s="7">
        <v>6</v>
      </c>
      <c r="AE116" s="7" t="s">
        <v>519</v>
      </c>
      <c r="AF116" s="7">
        <v>0</v>
      </c>
      <c r="AG116" s="7">
        <v>0</v>
      </c>
      <c r="AH116" s="7">
        <v>0</v>
      </c>
      <c r="AI116" s="7">
        <v>-1</v>
      </c>
      <c r="AJ116" s="7">
        <v>-1</v>
      </c>
      <c r="AK116" s="7" t="s">
        <v>1064</v>
      </c>
      <c r="AL116" s="12" t="s">
        <v>1695</v>
      </c>
      <c r="AM116" s="12" t="s">
        <v>2072</v>
      </c>
    </row>
    <row r="117" spans="1:39" ht="21" customHeight="1" x14ac:dyDescent="0.15">
      <c r="A117" s="42" t="str">
        <f t="shared" si="2"/>
        <v>21_3</v>
      </c>
      <c r="B117" s="23">
        <v>3</v>
      </c>
      <c r="C117" s="10">
        <v>21</v>
      </c>
      <c r="D117" s="47" t="str">
        <f ca="1">VLOOKUP($C117,OFFSET(quests!$A$1,0,0,COUNTA(quests!$A:$A),MATCH(D$1,quests!$1:$1,0)-MATCH($C$2,quests!$1:$1,0)+1),MATCH(D$1,quests!$1:$1,0)-MATCH($C$2,quests!$1:$1,0)+1,FALSE)</f>
        <v>21．胡蝶舞う植物園</v>
      </c>
      <c r="E117" s="48" t="str">
        <f ca="1">VLOOKUP($C117,OFFSET(quests!$A$1,0,0,COUNTA(quests!$A:$A),MATCH(E$2,quests!$1:$1,0)-MATCH($C$2,quests!$1:$1,0)+1),MATCH(E$2,quests!$1:$1,0)-MATCH($C$2,quests!$1:$1,0)+1,FALSE)</f>
        <v>混色DL4</v>
      </c>
      <c r="F117" s="7">
        <v>3</v>
      </c>
      <c r="G117" s="7" t="s">
        <v>570</v>
      </c>
      <c r="H117" s="69" t="s">
        <v>370</v>
      </c>
      <c r="I117" s="12"/>
      <c r="J117" s="12" t="s">
        <v>279</v>
      </c>
      <c r="K117" s="167">
        <v>13</v>
      </c>
      <c r="L117" s="167">
        <v>2010</v>
      </c>
      <c r="M117" s="167">
        <v>1</v>
      </c>
      <c r="N117" s="167">
        <v>1</v>
      </c>
      <c r="O117" s="167">
        <v>1</v>
      </c>
      <c r="P117" s="167">
        <v>1</v>
      </c>
      <c r="Q117" s="167">
        <v>1</v>
      </c>
      <c r="R117" s="167">
        <v>3</v>
      </c>
      <c r="S117" s="167" t="s">
        <v>79</v>
      </c>
      <c r="T117" s="167">
        <v>0</v>
      </c>
      <c r="U117" s="7">
        <v>21</v>
      </c>
      <c r="V117" s="7">
        <v>2</v>
      </c>
      <c r="W117" s="47" t="str">
        <f t="shared" ca="1" si="3"/>
        <v>21-2. 華やかなる迎撃</v>
      </c>
      <c r="X117" s="47">
        <f ca="1">VLOOKUP($C117,OFFSET(quests!$A$1,0,0,COUNTA(quests!$A:$A),MATCH(X$2,quests!$1:$1,0)-MATCH($C$2,quests!$1:$1,0)+1),MATCH(X$2,quests!$1:$1,0)-MATCH($C$2,quests!$1:$1,0)+1,FALSE)</f>
        <v>1</v>
      </c>
      <c r="Y117" s="47">
        <f ca="1">VLOOKUP($C117,OFFSET(quests!$A$1,0,0,COUNTA(quests!$A:$A),MATCH(Y$2,quests!$1:$1,0)-MATCH($C$2,quests!$1:$1,0)+1),MATCH(Y$2,quests!$1:$1,0)-MATCH($C$2,quests!$1:$1,0)+1,FALSE)</f>
        <v>1</v>
      </c>
      <c r="Z117" s="47">
        <f ca="1">VLOOKUP($C117,OFFSET(quests!$A$1,0,0,COUNTA(quests!$A:$A),MATCH(Z$2,quests!$1:$1,0)-MATCH($C$2,quests!$1:$1,0)+1),MATCH(Z$2,quests!$1:$1,0)-MATCH($C$2,quests!$1:$1,0)+1,FALSE)</f>
        <v>1</v>
      </c>
      <c r="AA117" s="47">
        <f ca="1">VLOOKUP($C117,OFFSET(quests!$A$1,0,0,COUNTA(quests!$A:$A),MATCH(AA$2,quests!$1:$1,0)-MATCH($C$2,quests!$1:$1,0)+1),MATCH(AA$2,quests!$1:$1,0)-MATCH($C$2,quests!$1:$1,0)+1,FALSE)</f>
        <v>1</v>
      </c>
      <c r="AB117" s="7" t="s">
        <v>56</v>
      </c>
      <c r="AC117" s="7">
        <v>21</v>
      </c>
      <c r="AD117" s="7">
        <v>6</v>
      </c>
      <c r="AE117" s="7" t="s">
        <v>519</v>
      </c>
      <c r="AF117" s="7">
        <v>0</v>
      </c>
      <c r="AG117" s="7">
        <v>0</v>
      </c>
      <c r="AH117" s="7">
        <v>0</v>
      </c>
      <c r="AI117" s="7">
        <v>-1</v>
      </c>
      <c r="AJ117" s="7">
        <v>-1</v>
      </c>
      <c r="AK117" s="7" t="s">
        <v>1064</v>
      </c>
      <c r="AL117" s="12" t="s">
        <v>1695</v>
      </c>
      <c r="AM117" s="12" t="s">
        <v>2072</v>
      </c>
    </row>
    <row r="118" spans="1:39" ht="21" customHeight="1" x14ac:dyDescent="0.15">
      <c r="A118" s="42" t="str">
        <f t="shared" si="2"/>
        <v>21_4</v>
      </c>
      <c r="B118" s="23">
        <v>3</v>
      </c>
      <c r="C118" s="10">
        <v>21</v>
      </c>
      <c r="D118" s="47" t="str">
        <f ca="1">VLOOKUP($C118,OFFSET(quests!$A$1,0,0,COUNTA(quests!$A:$A),MATCH(D$1,quests!$1:$1,0)-MATCH($C$2,quests!$1:$1,0)+1),MATCH(D$1,quests!$1:$1,0)-MATCH($C$2,quests!$1:$1,0)+1,FALSE)</f>
        <v>21．胡蝶舞う植物園</v>
      </c>
      <c r="E118" s="48" t="str">
        <f ca="1">VLOOKUP($C118,OFFSET(quests!$A$1,0,0,COUNTA(quests!$A:$A),MATCH(E$2,quests!$1:$1,0)-MATCH($C$2,quests!$1:$1,0)+1),MATCH(E$2,quests!$1:$1,0)-MATCH($C$2,quests!$1:$1,0)+1,FALSE)</f>
        <v>混色DL4</v>
      </c>
      <c r="F118" s="7">
        <v>4</v>
      </c>
      <c r="G118" s="7" t="s">
        <v>570</v>
      </c>
      <c r="H118" s="69" t="s">
        <v>371</v>
      </c>
      <c r="I118" s="12"/>
      <c r="J118" s="12" t="s">
        <v>279</v>
      </c>
      <c r="K118" s="167">
        <v>15</v>
      </c>
      <c r="L118" s="167">
        <v>2400</v>
      </c>
      <c r="M118" s="167">
        <v>1</v>
      </c>
      <c r="N118" s="167">
        <v>1</v>
      </c>
      <c r="O118" s="167">
        <v>1</v>
      </c>
      <c r="P118" s="167">
        <v>1</v>
      </c>
      <c r="Q118" s="167">
        <v>1</v>
      </c>
      <c r="R118" s="167">
        <v>3</v>
      </c>
      <c r="S118" s="167" t="s">
        <v>79</v>
      </c>
      <c r="T118" s="167">
        <v>0</v>
      </c>
      <c r="U118" s="7">
        <v>21</v>
      </c>
      <c r="V118" s="7">
        <v>3</v>
      </c>
      <c r="W118" s="47" t="str">
        <f t="shared" ca="1" si="3"/>
        <v>21-3. 物言わぬ猛攻</v>
      </c>
      <c r="X118" s="47">
        <f ca="1">VLOOKUP($C118,OFFSET(quests!$A$1,0,0,COUNTA(quests!$A:$A),MATCH(X$2,quests!$1:$1,0)-MATCH($C$2,quests!$1:$1,0)+1),MATCH(X$2,quests!$1:$1,0)-MATCH($C$2,quests!$1:$1,0)+1,FALSE)</f>
        <v>1</v>
      </c>
      <c r="Y118" s="47">
        <f ca="1">VLOOKUP($C118,OFFSET(quests!$A$1,0,0,COUNTA(quests!$A:$A),MATCH(Y$2,quests!$1:$1,0)-MATCH($C$2,quests!$1:$1,0)+1),MATCH(Y$2,quests!$1:$1,0)-MATCH($C$2,quests!$1:$1,0)+1,FALSE)</f>
        <v>1</v>
      </c>
      <c r="Z118" s="47">
        <f ca="1">VLOOKUP($C118,OFFSET(quests!$A$1,0,0,COUNTA(quests!$A:$A),MATCH(Z$2,quests!$1:$1,0)-MATCH($C$2,quests!$1:$1,0)+1),MATCH(Z$2,quests!$1:$1,0)-MATCH($C$2,quests!$1:$1,0)+1,FALSE)</f>
        <v>1</v>
      </c>
      <c r="AA118" s="47">
        <f ca="1">VLOOKUP($C118,OFFSET(quests!$A$1,0,0,COUNTA(quests!$A:$A),MATCH(AA$2,quests!$1:$1,0)-MATCH($C$2,quests!$1:$1,0)+1),MATCH(AA$2,quests!$1:$1,0)-MATCH($C$2,quests!$1:$1,0)+1,FALSE)</f>
        <v>1</v>
      </c>
      <c r="AB118" s="7" t="s">
        <v>56</v>
      </c>
      <c r="AC118" s="7">
        <v>21</v>
      </c>
      <c r="AD118" s="7">
        <v>6</v>
      </c>
      <c r="AE118" s="7" t="s">
        <v>519</v>
      </c>
      <c r="AF118" s="7">
        <v>0</v>
      </c>
      <c r="AG118" s="7">
        <v>0</v>
      </c>
      <c r="AH118" s="7">
        <v>0</v>
      </c>
      <c r="AI118" s="7">
        <v>-1</v>
      </c>
      <c r="AJ118" s="7">
        <v>-1</v>
      </c>
      <c r="AK118" s="7" t="s">
        <v>1064</v>
      </c>
      <c r="AL118" s="12" t="s">
        <v>1695</v>
      </c>
      <c r="AM118" s="12" t="s">
        <v>2072</v>
      </c>
    </row>
    <row r="119" spans="1:39" ht="21" customHeight="1" x14ac:dyDescent="0.15">
      <c r="A119" s="42" t="str">
        <f t="shared" si="2"/>
        <v>21_5</v>
      </c>
      <c r="B119" s="23">
        <v>3</v>
      </c>
      <c r="C119" s="10">
        <v>21</v>
      </c>
      <c r="D119" s="47" t="str">
        <f ca="1">VLOOKUP($C119,OFFSET(quests!$A$1,0,0,COUNTA(quests!$A:$A),MATCH(D$1,quests!$1:$1,0)-MATCH($C$2,quests!$1:$1,0)+1),MATCH(D$1,quests!$1:$1,0)-MATCH($C$2,quests!$1:$1,0)+1,FALSE)</f>
        <v>21．胡蝶舞う植物園</v>
      </c>
      <c r="E119" s="48" t="str">
        <f ca="1">VLOOKUP($C119,OFFSET(quests!$A$1,0,0,COUNTA(quests!$A:$A),MATCH(E$2,quests!$1:$1,0)-MATCH($C$2,quests!$1:$1,0)+1),MATCH(E$2,quests!$1:$1,0)-MATCH($C$2,quests!$1:$1,0)+1,FALSE)</f>
        <v>混色DL4</v>
      </c>
      <c r="F119" s="9">
        <v>5</v>
      </c>
      <c r="G119" s="7" t="s">
        <v>570</v>
      </c>
      <c r="H119" s="69" t="s">
        <v>372</v>
      </c>
      <c r="I119" s="12"/>
      <c r="J119" s="12" t="s">
        <v>279</v>
      </c>
      <c r="K119" s="167">
        <v>20</v>
      </c>
      <c r="L119" s="167">
        <v>3100</v>
      </c>
      <c r="M119" s="167">
        <v>1</v>
      </c>
      <c r="N119" s="167">
        <v>1</v>
      </c>
      <c r="O119" s="167">
        <v>1</v>
      </c>
      <c r="P119" s="167">
        <v>1</v>
      </c>
      <c r="Q119" s="167">
        <v>1</v>
      </c>
      <c r="R119" s="167">
        <v>3</v>
      </c>
      <c r="S119" s="167" t="s">
        <v>79</v>
      </c>
      <c r="T119" s="167">
        <v>0</v>
      </c>
      <c r="U119" s="7">
        <v>21</v>
      </c>
      <c r="V119" s="7">
        <v>4</v>
      </c>
      <c r="W119" s="47" t="str">
        <f t="shared" ca="1" si="3"/>
        <v>21-4. 虹彩の軍団</v>
      </c>
      <c r="X119" s="47">
        <f ca="1">VLOOKUP($C119,OFFSET(quests!$A$1,0,0,COUNTA(quests!$A:$A),MATCH(X$2,quests!$1:$1,0)-MATCH($C$2,quests!$1:$1,0)+1),MATCH(X$2,quests!$1:$1,0)-MATCH($C$2,quests!$1:$1,0)+1,FALSE)</f>
        <v>1</v>
      </c>
      <c r="Y119" s="47">
        <f ca="1">VLOOKUP($C119,OFFSET(quests!$A$1,0,0,COUNTA(quests!$A:$A),MATCH(Y$2,quests!$1:$1,0)-MATCH($C$2,quests!$1:$1,0)+1),MATCH(Y$2,quests!$1:$1,0)-MATCH($C$2,quests!$1:$1,0)+1,FALSE)</f>
        <v>1</v>
      </c>
      <c r="Z119" s="47">
        <f ca="1">VLOOKUP($C119,OFFSET(quests!$A$1,0,0,COUNTA(quests!$A:$A),MATCH(Z$2,quests!$1:$1,0)-MATCH($C$2,quests!$1:$1,0)+1),MATCH(Z$2,quests!$1:$1,0)-MATCH($C$2,quests!$1:$1,0)+1,FALSE)</f>
        <v>1</v>
      </c>
      <c r="AA119" s="47">
        <f ca="1">VLOOKUP($C119,OFFSET(quests!$A$1,0,0,COUNTA(quests!$A:$A),MATCH(AA$2,quests!$1:$1,0)-MATCH($C$2,quests!$1:$1,0)+1),MATCH(AA$2,quests!$1:$1,0)-MATCH($C$2,quests!$1:$1,0)+1,FALSE)</f>
        <v>1</v>
      </c>
      <c r="AB119" s="7" t="s">
        <v>56</v>
      </c>
      <c r="AC119" s="7">
        <v>21</v>
      </c>
      <c r="AD119" s="7">
        <v>6</v>
      </c>
      <c r="AE119" s="7" t="s">
        <v>519</v>
      </c>
      <c r="AF119" s="33">
        <v>3</v>
      </c>
      <c r="AG119" s="7">
        <v>0</v>
      </c>
      <c r="AH119" s="7">
        <v>0</v>
      </c>
      <c r="AI119" s="7">
        <v>-1</v>
      </c>
      <c r="AJ119" s="7">
        <v>-1</v>
      </c>
      <c r="AK119" s="7" t="s">
        <v>1064</v>
      </c>
      <c r="AL119" s="12" t="s">
        <v>1695</v>
      </c>
      <c r="AM119" s="12" t="s">
        <v>2072</v>
      </c>
    </row>
    <row r="120" spans="1:39" ht="21" customHeight="1" x14ac:dyDescent="0.15">
      <c r="A120" s="42" t="str">
        <f t="shared" si="2"/>
        <v>21_6</v>
      </c>
      <c r="B120" s="23">
        <v>3</v>
      </c>
      <c r="C120" s="10">
        <v>21</v>
      </c>
      <c r="D120" s="47" t="str">
        <f ca="1">VLOOKUP($C120,OFFSET(quests!$A$1,0,0,COUNTA(quests!$A:$A),MATCH(D$1,quests!$1:$1,0)-MATCH($C$2,quests!$1:$1,0)+1),MATCH(D$1,quests!$1:$1,0)-MATCH($C$2,quests!$1:$1,0)+1,FALSE)</f>
        <v>21．胡蝶舞う植物園</v>
      </c>
      <c r="E120" s="48" t="str">
        <f ca="1">VLOOKUP($C120,OFFSET(quests!$A$1,0,0,COUNTA(quests!$A:$A),MATCH(E$2,quests!$1:$1,0)-MATCH($C$2,quests!$1:$1,0)+1),MATCH(E$2,quests!$1:$1,0)-MATCH($C$2,quests!$1:$1,0)+1,FALSE)</f>
        <v>混色DL4</v>
      </c>
      <c r="F120" s="7">
        <v>6</v>
      </c>
      <c r="G120" s="7" t="s">
        <v>570</v>
      </c>
      <c r="H120" s="69" t="s">
        <v>883</v>
      </c>
      <c r="I120" s="12" t="s">
        <v>164</v>
      </c>
      <c r="J120" s="12">
        <v>339</v>
      </c>
      <c r="K120" s="167">
        <v>1</v>
      </c>
      <c r="L120" s="167">
        <v>1</v>
      </c>
      <c r="M120" s="167">
        <v>1</v>
      </c>
      <c r="N120" s="167">
        <v>1</v>
      </c>
      <c r="O120" s="167">
        <v>1</v>
      </c>
      <c r="P120" s="167">
        <v>1</v>
      </c>
      <c r="Q120" s="167">
        <v>1</v>
      </c>
      <c r="R120" s="167">
        <v>3</v>
      </c>
      <c r="S120" s="167" t="s">
        <v>273</v>
      </c>
      <c r="T120" s="191" t="s">
        <v>2168</v>
      </c>
      <c r="U120" s="7">
        <v>21</v>
      </c>
      <c r="V120" s="7">
        <v>5</v>
      </c>
      <c r="W120" s="47" t="str">
        <f t="shared" ca="1" si="3"/>
        <v>21-5. マスターオブエデン</v>
      </c>
      <c r="X120" s="47">
        <f ca="1">VLOOKUP($C120,OFFSET(quests!$A$1,0,0,COUNTA(quests!$A:$A),MATCH(X$2,quests!$1:$1,0)-MATCH($C$2,quests!$1:$1,0)+1),MATCH(X$2,quests!$1:$1,0)-MATCH($C$2,quests!$1:$1,0)+1,FALSE)</f>
        <v>1</v>
      </c>
      <c r="Y120" s="47">
        <f ca="1">VLOOKUP($C120,OFFSET(quests!$A$1,0,0,COUNTA(quests!$A:$A),MATCH(Y$2,quests!$1:$1,0)-MATCH($C$2,quests!$1:$1,0)+1),MATCH(Y$2,quests!$1:$1,0)-MATCH($C$2,quests!$1:$1,0)+1,FALSE)</f>
        <v>1</v>
      </c>
      <c r="Z120" s="47">
        <f ca="1">VLOOKUP($C120,OFFSET(quests!$A$1,0,0,COUNTA(quests!$A:$A),MATCH(Z$2,quests!$1:$1,0)-MATCH($C$2,quests!$1:$1,0)+1),MATCH(Z$2,quests!$1:$1,0)-MATCH($C$2,quests!$1:$1,0)+1,FALSE)</f>
        <v>1</v>
      </c>
      <c r="AA120" s="47">
        <f ca="1">VLOOKUP($C120,OFFSET(quests!$A$1,0,0,COUNTA(quests!$A:$A),MATCH(AA$2,quests!$1:$1,0)-MATCH($C$2,quests!$1:$1,0)+1),MATCH(AA$2,quests!$1:$1,0)-MATCH($C$2,quests!$1:$1,0)+1,FALSE)</f>
        <v>1</v>
      </c>
      <c r="AB120" s="7" t="s">
        <v>62</v>
      </c>
      <c r="AC120" s="7">
        <v>21</v>
      </c>
      <c r="AD120" s="7">
        <v>6</v>
      </c>
      <c r="AE120" s="7" t="s">
        <v>522</v>
      </c>
      <c r="AF120" s="7">
        <v>1</v>
      </c>
      <c r="AG120" s="7">
        <v>0</v>
      </c>
      <c r="AH120" s="7">
        <v>0</v>
      </c>
      <c r="AI120" s="7">
        <v>-1</v>
      </c>
      <c r="AJ120" s="7">
        <v>-1</v>
      </c>
      <c r="AK120" s="7" t="s">
        <v>1064</v>
      </c>
      <c r="AL120" s="12" t="s">
        <v>1695</v>
      </c>
      <c r="AM120" s="12" t="s">
        <v>2072</v>
      </c>
    </row>
    <row r="121" spans="1:39" ht="21" customHeight="1" x14ac:dyDescent="0.15">
      <c r="A121" s="42" t="str">
        <f t="shared" si="2"/>
        <v>22_1</v>
      </c>
      <c r="B121" s="23">
        <v>3</v>
      </c>
      <c r="C121" s="10">
        <v>22</v>
      </c>
      <c r="D121" s="47" t="str">
        <f ca="1">VLOOKUP($C121,OFFSET(quests!$A$1,0,0,COUNTA(quests!$A:$A),MATCH(D$1,quests!$1:$1,0)-MATCH($C$2,quests!$1:$1,0)+1),MATCH(D$1,quests!$1:$1,0)-MATCH($C$2,quests!$1:$1,0)+1,FALSE)</f>
        <v>22．紫炎の例大祭</v>
      </c>
      <c r="E121" s="48" t="str">
        <f ca="1">VLOOKUP($C121,OFFSET(quests!$A$1,0,0,COUNTA(quests!$A:$A),MATCH(E$2,quests!$1:$1,0)-MATCH($C$2,quests!$1:$1,0)+1),MATCH(E$2,quests!$1:$1,0)-MATCH($C$2,quests!$1:$1,0)+1,FALSE)</f>
        <v>赤DL5</v>
      </c>
      <c r="F121" s="7">
        <v>1</v>
      </c>
      <c r="G121" s="7" t="s">
        <v>570</v>
      </c>
      <c r="H121" s="70" t="s">
        <v>475</v>
      </c>
      <c r="I121" s="12"/>
      <c r="J121" s="12" t="s">
        <v>279</v>
      </c>
      <c r="K121" s="186">
        <v>15</v>
      </c>
      <c r="L121" s="167">
        <v>2280</v>
      </c>
      <c r="M121" s="167">
        <v>1</v>
      </c>
      <c r="N121" s="167">
        <v>1</v>
      </c>
      <c r="O121" s="167">
        <v>1</v>
      </c>
      <c r="P121" s="167">
        <v>1</v>
      </c>
      <c r="Q121" s="167">
        <v>1</v>
      </c>
      <c r="R121" s="167">
        <v>3</v>
      </c>
      <c r="S121" s="167" t="s">
        <v>79</v>
      </c>
      <c r="T121" s="167">
        <v>0</v>
      </c>
      <c r="U121" s="7">
        <v>21</v>
      </c>
      <c r="V121" s="7">
        <v>6</v>
      </c>
      <c r="W121" s="47" t="str">
        <f t="shared" ca="1" si="3"/>
        <v>21-6. 【1回のみ】ボーナスステージ</v>
      </c>
      <c r="X121" s="47">
        <f ca="1">VLOOKUP($C121,OFFSET(quests!$A$1,0,0,COUNTA(quests!$A:$A),MATCH(X$2,quests!$1:$1,0)-MATCH($C$2,quests!$1:$1,0)+1),MATCH(X$2,quests!$1:$1,0)-MATCH($C$2,quests!$1:$1,0)+1,FALSE)</f>
        <v>1</v>
      </c>
      <c r="Y121" s="47">
        <f ca="1">VLOOKUP($C121,OFFSET(quests!$A$1,0,0,COUNTA(quests!$A:$A),MATCH(Y$2,quests!$1:$1,0)-MATCH($C$2,quests!$1:$1,0)+1),MATCH(Y$2,quests!$1:$1,0)-MATCH($C$2,quests!$1:$1,0)+1,FALSE)</f>
        <v>1</v>
      </c>
      <c r="Z121" s="47">
        <f ca="1">VLOOKUP($C121,OFFSET(quests!$A$1,0,0,COUNTA(quests!$A:$A),MATCH(Z$2,quests!$1:$1,0)-MATCH($C$2,quests!$1:$1,0)+1),MATCH(Z$2,quests!$1:$1,0)-MATCH($C$2,quests!$1:$1,0)+1,FALSE)</f>
        <v>0</v>
      </c>
      <c r="AA121" s="47">
        <f ca="1">VLOOKUP($C121,OFFSET(quests!$A$1,0,0,COUNTA(quests!$A:$A),MATCH(AA$2,quests!$1:$1,0)-MATCH($C$2,quests!$1:$1,0)+1),MATCH(AA$2,quests!$1:$1,0)-MATCH($C$2,quests!$1:$1,0)+1,FALSE)</f>
        <v>0</v>
      </c>
      <c r="AB121" s="7" t="s">
        <v>56</v>
      </c>
      <c r="AC121" s="7">
        <v>22</v>
      </c>
      <c r="AD121" s="7">
        <v>6</v>
      </c>
      <c r="AE121" s="7" t="s">
        <v>519</v>
      </c>
      <c r="AF121" s="7">
        <v>0</v>
      </c>
      <c r="AG121" s="7">
        <v>0</v>
      </c>
      <c r="AH121" s="7">
        <v>0</v>
      </c>
      <c r="AI121" s="7">
        <v>-1</v>
      </c>
      <c r="AJ121" s="7">
        <v>-1</v>
      </c>
      <c r="AK121" s="7" t="s">
        <v>1064</v>
      </c>
      <c r="AL121" s="12" t="s">
        <v>1695</v>
      </c>
      <c r="AM121" s="12" t="s">
        <v>2072</v>
      </c>
    </row>
    <row r="122" spans="1:39" ht="21" customHeight="1" x14ac:dyDescent="0.15">
      <c r="A122" s="42" t="str">
        <f t="shared" si="2"/>
        <v>22_2</v>
      </c>
      <c r="B122" s="23">
        <v>3</v>
      </c>
      <c r="C122" s="10">
        <v>22</v>
      </c>
      <c r="D122" s="47" t="str">
        <f ca="1">VLOOKUP($C122,OFFSET(quests!$A$1,0,0,COUNTA(quests!$A:$A),MATCH(D$1,quests!$1:$1,0)-MATCH($C$2,quests!$1:$1,0)+1),MATCH(D$1,quests!$1:$1,0)-MATCH($C$2,quests!$1:$1,0)+1,FALSE)</f>
        <v>22．紫炎の例大祭</v>
      </c>
      <c r="E122" s="48" t="str">
        <f ca="1">VLOOKUP($C122,OFFSET(quests!$A$1,0,0,COUNTA(quests!$A:$A),MATCH(E$2,quests!$1:$1,0)-MATCH($C$2,quests!$1:$1,0)+1),MATCH(E$2,quests!$1:$1,0)-MATCH($C$2,quests!$1:$1,0)+1,FALSE)</f>
        <v>赤DL5</v>
      </c>
      <c r="F122" s="7">
        <v>2</v>
      </c>
      <c r="G122" s="7" t="s">
        <v>570</v>
      </c>
      <c r="H122" s="70" t="s">
        <v>476</v>
      </c>
      <c r="I122" s="12"/>
      <c r="J122" s="12" t="s">
        <v>279</v>
      </c>
      <c r="K122" s="186">
        <v>15</v>
      </c>
      <c r="L122" s="167">
        <v>2460</v>
      </c>
      <c r="M122" s="167">
        <v>1</v>
      </c>
      <c r="N122" s="167">
        <v>1</v>
      </c>
      <c r="O122" s="167">
        <v>1</v>
      </c>
      <c r="P122" s="167">
        <v>1</v>
      </c>
      <c r="Q122" s="167">
        <v>1</v>
      </c>
      <c r="R122" s="167">
        <v>3</v>
      </c>
      <c r="S122" s="167" t="s">
        <v>79</v>
      </c>
      <c r="T122" s="167">
        <v>0</v>
      </c>
      <c r="U122" s="7">
        <v>22</v>
      </c>
      <c r="V122" s="7">
        <v>1</v>
      </c>
      <c r="W122" s="47" t="str">
        <f t="shared" ca="1" si="3"/>
        <v>22-1．開宴の遠吠え</v>
      </c>
      <c r="X122" s="47">
        <f ca="1">VLOOKUP($C122,OFFSET(quests!$A$1,0,0,COUNTA(quests!$A:$A),MATCH(X$2,quests!$1:$1,0)-MATCH($C$2,quests!$1:$1,0)+1),MATCH(X$2,quests!$1:$1,0)-MATCH($C$2,quests!$1:$1,0)+1,FALSE)</f>
        <v>1</v>
      </c>
      <c r="Y122" s="47">
        <f ca="1">VLOOKUP($C122,OFFSET(quests!$A$1,0,0,COUNTA(quests!$A:$A),MATCH(Y$2,quests!$1:$1,0)-MATCH($C$2,quests!$1:$1,0)+1),MATCH(Y$2,quests!$1:$1,0)-MATCH($C$2,quests!$1:$1,0)+1,FALSE)</f>
        <v>1</v>
      </c>
      <c r="Z122" s="47">
        <f ca="1">VLOOKUP($C122,OFFSET(quests!$A$1,0,0,COUNTA(quests!$A:$A),MATCH(Z$2,quests!$1:$1,0)-MATCH($C$2,quests!$1:$1,0)+1),MATCH(Z$2,quests!$1:$1,0)-MATCH($C$2,quests!$1:$1,0)+1,FALSE)</f>
        <v>0</v>
      </c>
      <c r="AA122" s="47">
        <f ca="1">VLOOKUP($C122,OFFSET(quests!$A$1,0,0,COUNTA(quests!$A:$A),MATCH(AA$2,quests!$1:$1,0)-MATCH($C$2,quests!$1:$1,0)+1),MATCH(AA$2,quests!$1:$1,0)-MATCH($C$2,quests!$1:$1,0)+1,FALSE)</f>
        <v>0</v>
      </c>
      <c r="AB122" s="7" t="s">
        <v>56</v>
      </c>
      <c r="AC122" s="7">
        <v>22</v>
      </c>
      <c r="AD122" s="7">
        <v>6</v>
      </c>
      <c r="AE122" s="7" t="s">
        <v>519</v>
      </c>
      <c r="AF122" s="7">
        <v>0</v>
      </c>
      <c r="AG122" s="7">
        <v>0</v>
      </c>
      <c r="AH122" s="7">
        <v>0</v>
      </c>
      <c r="AI122" s="7">
        <v>-1</v>
      </c>
      <c r="AJ122" s="7">
        <v>-1</v>
      </c>
      <c r="AK122" s="7" t="s">
        <v>1064</v>
      </c>
      <c r="AL122" s="12" t="s">
        <v>1695</v>
      </c>
      <c r="AM122" s="12" t="s">
        <v>2072</v>
      </c>
    </row>
    <row r="123" spans="1:39" ht="21" customHeight="1" x14ac:dyDescent="0.15">
      <c r="A123" s="42" t="str">
        <f t="shared" si="2"/>
        <v>22_3</v>
      </c>
      <c r="B123" s="23">
        <v>3</v>
      </c>
      <c r="C123" s="10">
        <v>22</v>
      </c>
      <c r="D123" s="47" t="str">
        <f ca="1">VLOOKUP($C123,OFFSET(quests!$A$1,0,0,COUNTA(quests!$A:$A),MATCH(D$1,quests!$1:$1,0)-MATCH($C$2,quests!$1:$1,0)+1),MATCH(D$1,quests!$1:$1,0)-MATCH($C$2,quests!$1:$1,0)+1,FALSE)</f>
        <v>22．紫炎の例大祭</v>
      </c>
      <c r="E123" s="48" t="str">
        <f ca="1">VLOOKUP($C123,OFFSET(quests!$A$1,0,0,COUNTA(quests!$A:$A),MATCH(E$2,quests!$1:$1,0)-MATCH($C$2,quests!$1:$1,0)+1),MATCH(E$2,quests!$1:$1,0)-MATCH($C$2,quests!$1:$1,0)+1,FALSE)</f>
        <v>赤DL5</v>
      </c>
      <c r="F123" s="7">
        <v>3</v>
      </c>
      <c r="G123" s="7" t="s">
        <v>570</v>
      </c>
      <c r="H123" s="70" t="s">
        <v>477</v>
      </c>
      <c r="I123" s="12"/>
      <c r="J123" s="12" t="s">
        <v>279</v>
      </c>
      <c r="K123" s="186">
        <v>16</v>
      </c>
      <c r="L123" s="167">
        <v>2670</v>
      </c>
      <c r="M123" s="167">
        <v>1</v>
      </c>
      <c r="N123" s="167">
        <v>1</v>
      </c>
      <c r="O123" s="167">
        <v>1</v>
      </c>
      <c r="P123" s="167">
        <v>1</v>
      </c>
      <c r="Q123" s="167">
        <v>1</v>
      </c>
      <c r="R123" s="167">
        <v>3</v>
      </c>
      <c r="S123" s="167" t="s">
        <v>79</v>
      </c>
      <c r="T123" s="167">
        <v>0</v>
      </c>
      <c r="U123" s="7">
        <v>22</v>
      </c>
      <c r="V123" s="7">
        <v>2</v>
      </c>
      <c r="W123" s="47" t="str">
        <f t="shared" ca="1" si="3"/>
        <v>22-2．排他的な案内人</v>
      </c>
      <c r="X123" s="47">
        <f ca="1">VLOOKUP($C123,OFFSET(quests!$A$1,0,0,COUNTA(quests!$A:$A),MATCH(X$2,quests!$1:$1,0)-MATCH($C$2,quests!$1:$1,0)+1),MATCH(X$2,quests!$1:$1,0)-MATCH($C$2,quests!$1:$1,0)+1,FALSE)</f>
        <v>1</v>
      </c>
      <c r="Y123" s="47">
        <f ca="1">VLOOKUP($C123,OFFSET(quests!$A$1,0,0,COUNTA(quests!$A:$A),MATCH(Y$2,quests!$1:$1,0)-MATCH($C$2,quests!$1:$1,0)+1),MATCH(Y$2,quests!$1:$1,0)-MATCH($C$2,quests!$1:$1,0)+1,FALSE)</f>
        <v>1</v>
      </c>
      <c r="Z123" s="47">
        <f ca="1">VLOOKUP($C123,OFFSET(quests!$A$1,0,0,COUNTA(quests!$A:$A),MATCH(Z$2,quests!$1:$1,0)-MATCH($C$2,quests!$1:$1,0)+1),MATCH(Z$2,quests!$1:$1,0)-MATCH($C$2,quests!$1:$1,0)+1,FALSE)</f>
        <v>0</v>
      </c>
      <c r="AA123" s="47">
        <f ca="1">VLOOKUP($C123,OFFSET(quests!$A$1,0,0,COUNTA(quests!$A:$A),MATCH(AA$2,quests!$1:$1,0)-MATCH($C$2,quests!$1:$1,0)+1),MATCH(AA$2,quests!$1:$1,0)-MATCH($C$2,quests!$1:$1,0)+1,FALSE)</f>
        <v>0</v>
      </c>
      <c r="AB123" s="7" t="s">
        <v>56</v>
      </c>
      <c r="AC123" s="7">
        <v>22</v>
      </c>
      <c r="AD123" s="7">
        <v>6</v>
      </c>
      <c r="AE123" s="7" t="s">
        <v>519</v>
      </c>
      <c r="AF123" s="7">
        <v>0</v>
      </c>
      <c r="AG123" s="7">
        <v>0</v>
      </c>
      <c r="AH123" s="7">
        <v>0</v>
      </c>
      <c r="AI123" s="7">
        <v>-1</v>
      </c>
      <c r="AJ123" s="7">
        <v>-1</v>
      </c>
      <c r="AK123" s="7" t="s">
        <v>1064</v>
      </c>
      <c r="AL123" s="12" t="s">
        <v>1695</v>
      </c>
      <c r="AM123" s="12" t="s">
        <v>2072</v>
      </c>
    </row>
    <row r="124" spans="1:39" ht="21" customHeight="1" x14ac:dyDescent="0.15">
      <c r="A124" s="42" t="str">
        <f t="shared" si="2"/>
        <v>22_4</v>
      </c>
      <c r="B124" s="23">
        <v>3</v>
      </c>
      <c r="C124" s="10">
        <v>22</v>
      </c>
      <c r="D124" s="47" t="str">
        <f ca="1">VLOOKUP($C124,OFFSET(quests!$A$1,0,0,COUNTA(quests!$A:$A),MATCH(D$1,quests!$1:$1,0)-MATCH($C$2,quests!$1:$1,0)+1),MATCH(D$1,quests!$1:$1,0)-MATCH($C$2,quests!$1:$1,0)+1,FALSE)</f>
        <v>22．紫炎の例大祭</v>
      </c>
      <c r="E124" s="48" t="str">
        <f ca="1">VLOOKUP($C124,OFFSET(quests!$A$1,0,0,COUNTA(quests!$A:$A),MATCH(E$2,quests!$1:$1,0)-MATCH($C$2,quests!$1:$1,0)+1),MATCH(E$2,quests!$1:$1,0)-MATCH($C$2,quests!$1:$1,0)+1,FALSE)</f>
        <v>赤DL5</v>
      </c>
      <c r="F124" s="7">
        <v>4</v>
      </c>
      <c r="G124" s="7" t="s">
        <v>570</v>
      </c>
      <c r="H124" s="70" t="s">
        <v>478</v>
      </c>
      <c r="I124" s="12"/>
      <c r="J124" s="12" t="s">
        <v>279</v>
      </c>
      <c r="K124" s="186">
        <v>17</v>
      </c>
      <c r="L124" s="167">
        <v>2980</v>
      </c>
      <c r="M124" s="167">
        <v>1</v>
      </c>
      <c r="N124" s="167">
        <v>1</v>
      </c>
      <c r="O124" s="167">
        <v>1</v>
      </c>
      <c r="P124" s="167">
        <v>1</v>
      </c>
      <c r="Q124" s="167">
        <v>1</v>
      </c>
      <c r="R124" s="167">
        <v>3</v>
      </c>
      <c r="S124" s="167" t="s">
        <v>79</v>
      </c>
      <c r="T124" s="167">
        <v>0</v>
      </c>
      <c r="U124" s="7">
        <v>22</v>
      </c>
      <c r="V124" s="7">
        <v>3</v>
      </c>
      <c r="W124" s="47" t="str">
        <f t="shared" ca="1" si="3"/>
        <v>22-3．誘眠の鼓音</v>
      </c>
      <c r="X124" s="47">
        <f ca="1">VLOOKUP($C124,OFFSET(quests!$A$1,0,0,COUNTA(quests!$A:$A),MATCH(X$2,quests!$1:$1,0)-MATCH($C$2,quests!$1:$1,0)+1),MATCH(X$2,quests!$1:$1,0)-MATCH($C$2,quests!$1:$1,0)+1,FALSE)</f>
        <v>1</v>
      </c>
      <c r="Y124" s="47">
        <f ca="1">VLOOKUP($C124,OFFSET(quests!$A$1,0,0,COUNTA(quests!$A:$A),MATCH(Y$2,quests!$1:$1,0)-MATCH($C$2,quests!$1:$1,0)+1),MATCH(Y$2,quests!$1:$1,0)-MATCH($C$2,quests!$1:$1,0)+1,FALSE)</f>
        <v>1</v>
      </c>
      <c r="Z124" s="47">
        <f ca="1">VLOOKUP($C124,OFFSET(quests!$A$1,0,0,COUNTA(quests!$A:$A),MATCH(Z$2,quests!$1:$1,0)-MATCH($C$2,quests!$1:$1,0)+1),MATCH(Z$2,quests!$1:$1,0)-MATCH($C$2,quests!$1:$1,0)+1,FALSE)</f>
        <v>0</v>
      </c>
      <c r="AA124" s="47">
        <f ca="1">VLOOKUP($C124,OFFSET(quests!$A$1,0,0,COUNTA(quests!$A:$A),MATCH(AA$2,quests!$1:$1,0)-MATCH($C$2,quests!$1:$1,0)+1),MATCH(AA$2,quests!$1:$1,0)-MATCH($C$2,quests!$1:$1,0)+1,FALSE)</f>
        <v>0</v>
      </c>
      <c r="AB124" s="7" t="s">
        <v>56</v>
      </c>
      <c r="AC124" s="7">
        <v>22</v>
      </c>
      <c r="AD124" s="7">
        <v>6</v>
      </c>
      <c r="AE124" s="7" t="s">
        <v>519</v>
      </c>
      <c r="AF124" s="7">
        <v>0</v>
      </c>
      <c r="AG124" s="7">
        <v>0</v>
      </c>
      <c r="AH124" s="7">
        <v>0</v>
      </c>
      <c r="AI124" s="7">
        <v>-1</v>
      </c>
      <c r="AJ124" s="7">
        <v>-1</v>
      </c>
      <c r="AK124" s="7" t="s">
        <v>1064</v>
      </c>
      <c r="AL124" s="12" t="s">
        <v>1695</v>
      </c>
      <c r="AM124" s="12" t="s">
        <v>2072</v>
      </c>
    </row>
    <row r="125" spans="1:39" ht="21" customHeight="1" x14ac:dyDescent="0.15">
      <c r="A125" s="42" t="str">
        <f t="shared" si="2"/>
        <v>22_5</v>
      </c>
      <c r="B125" s="23">
        <v>3</v>
      </c>
      <c r="C125" s="10">
        <v>22</v>
      </c>
      <c r="D125" s="47" t="str">
        <f ca="1">VLOOKUP($C125,OFFSET(quests!$A$1,0,0,COUNTA(quests!$A:$A),MATCH(D$1,quests!$1:$1,0)-MATCH($C$2,quests!$1:$1,0)+1),MATCH(D$1,quests!$1:$1,0)-MATCH($C$2,quests!$1:$1,0)+1,FALSE)</f>
        <v>22．紫炎の例大祭</v>
      </c>
      <c r="E125" s="48" t="str">
        <f ca="1">VLOOKUP($C125,OFFSET(quests!$A$1,0,0,COUNTA(quests!$A:$A),MATCH(E$2,quests!$1:$1,0)-MATCH($C$2,quests!$1:$1,0)+1),MATCH(E$2,quests!$1:$1,0)-MATCH($C$2,quests!$1:$1,0)+1,FALSE)</f>
        <v>赤DL5</v>
      </c>
      <c r="F125" s="9">
        <v>5</v>
      </c>
      <c r="G125" s="7" t="s">
        <v>570</v>
      </c>
      <c r="H125" s="70" t="s">
        <v>479</v>
      </c>
      <c r="I125" s="12"/>
      <c r="J125" s="12" t="s">
        <v>279</v>
      </c>
      <c r="K125" s="186">
        <v>20</v>
      </c>
      <c r="L125" s="167">
        <v>3750</v>
      </c>
      <c r="M125" s="167">
        <v>1</v>
      </c>
      <c r="N125" s="167">
        <v>1</v>
      </c>
      <c r="O125" s="167">
        <v>1</v>
      </c>
      <c r="P125" s="167">
        <v>1</v>
      </c>
      <c r="Q125" s="167">
        <v>1</v>
      </c>
      <c r="R125" s="167">
        <v>3</v>
      </c>
      <c r="S125" s="167" t="s">
        <v>79</v>
      </c>
      <c r="T125" s="167">
        <v>0</v>
      </c>
      <c r="U125" s="7">
        <v>22</v>
      </c>
      <c r="V125" s="7">
        <v>4</v>
      </c>
      <c r="W125" s="47" t="str">
        <f t="shared" ca="1" si="3"/>
        <v>22-4．聖火の啼き声</v>
      </c>
      <c r="X125" s="47">
        <f ca="1">VLOOKUP($C125,OFFSET(quests!$A$1,0,0,COUNTA(quests!$A:$A),MATCH(X$2,quests!$1:$1,0)-MATCH($C$2,quests!$1:$1,0)+1),MATCH(X$2,quests!$1:$1,0)-MATCH($C$2,quests!$1:$1,0)+1,FALSE)</f>
        <v>1</v>
      </c>
      <c r="Y125" s="47">
        <f ca="1">VLOOKUP($C125,OFFSET(quests!$A$1,0,0,COUNTA(quests!$A:$A),MATCH(Y$2,quests!$1:$1,0)-MATCH($C$2,quests!$1:$1,0)+1),MATCH(Y$2,quests!$1:$1,0)-MATCH($C$2,quests!$1:$1,0)+1,FALSE)</f>
        <v>1</v>
      </c>
      <c r="Z125" s="47">
        <f ca="1">VLOOKUP($C125,OFFSET(quests!$A$1,0,0,COUNTA(quests!$A:$A),MATCH(Z$2,quests!$1:$1,0)-MATCH($C$2,quests!$1:$1,0)+1),MATCH(Z$2,quests!$1:$1,0)-MATCH($C$2,quests!$1:$1,0)+1,FALSE)</f>
        <v>0</v>
      </c>
      <c r="AA125" s="47">
        <f ca="1">VLOOKUP($C125,OFFSET(quests!$A$1,0,0,COUNTA(quests!$A:$A),MATCH(AA$2,quests!$1:$1,0)-MATCH($C$2,quests!$1:$1,0)+1),MATCH(AA$2,quests!$1:$1,0)-MATCH($C$2,quests!$1:$1,0)+1,FALSE)</f>
        <v>0</v>
      </c>
      <c r="AB125" s="7" t="s">
        <v>56</v>
      </c>
      <c r="AC125" s="7">
        <v>22</v>
      </c>
      <c r="AD125" s="7">
        <v>6</v>
      </c>
      <c r="AE125" s="7" t="s">
        <v>519</v>
      </c>
      <c r="AF125" s="33">
        <v>3</v>
      </c>
      <c r="AG125" s="7">
        <v>0</v>
      </c>
      <c r="AH125" s="7">
        <v>0</v>
      </c>
      <c r="AI125" s="7">
        <v>-1</v>
      </c>
      <c r="AJ125" s="7">
        <v>-1</v>
      </c>
      <c r="AK125" s="7" t="s">
        <v>1064</v>
      </c>
      <c r="AL125" s="12" t="s">
        <v>1695</v>
      </c>
      <c r="AM125" s="12" t="s">
        <v>2072</v>
      </c>
    </row>
    <row r="126" spans="1:39" ht="21" customHeight="1" x14ac:dyDescent="0.15">
      <c r="A126" s="42" t="str">
        <f t="shared" si="2"/>
        <v>22_6</v>
      </c>
      <c r="B126" s="23">
        <v>3</v>
      </c>
      <c r="C126" s="10">
        <v>22</v>
      </c>
      <c r="D126" s="47" t="str">
        <f ca="1">VLOOKUP($C126,OFFSET(quests!$A$1,0,0,COUNTA(quests!$A:$A),MATCH(D$1,quests!$1:$1,0)-MATCH($C$2,quests!$1:$1,0)+1),MATCH(D$1,quests!$1:$1,0)-MATCH($C$2,quests!$1:$1,0)+1,FALSE)</f>
        <v>22．紫炎の例大祭</v>
      </c>
      <c r="E126" s="48" t="str">
        <f ca="1">VLOOKUP($C126,OFFSET(quests!$A$1,0,0,COUNTA(quests!$A:$A),MATCH(E$2,quests!$1:$1,0)-MATCH($C$2,quests!$1:$1,0)+1),MATCH(E$2,quests!$1:$1,0)-MATCH($C$2,quests!$1:$1,0)+1,FALSE)</f>
        <v>赤DL5</v>
      </c>
      <c r="F126" s="7">
        <v>6</v>
      </c>
      <c r="G126" s="7" t="s">
        <v>570</v>
      </c>
      <c r="H126" s="69" t="s">
        <v>884</v>
      </c>
      <c r="I126" s="12" t="s">
        <v>164</v>
      </c>
      <c r="J126" s="12">
        <v>335</v>
      </c>
      <c r="K126" s="186">
        <v>1</v>
      </c>
      <c r="L126" s="167">
        <v>1</v>
      </c>
      <c r="M126" s="167">
        <v>1</v>
      </c>
      <c r="N126" s="167">
        <v>1</v>
      </c>
      <c r="O126" s="167">
        <v>1</v>
      </c>
      <c r="P126" s="167">
        <v>1</v>
      </c>
      <c r="Q126" s="167">
        <v>1</v>
      </c>
      <c r="R126" s="167">
        <v>3</v>
      </c>
      <c r="S126" s="167" t="s">
        <v>273</v>
      </c>
      <c r="T126" s="191" t="s">
        <v>2169</v>
      </c>
      <c r="U126" s="7">
        <v>22</v>
      </c>
      <c r="V126" s="7">
        <v>5</v>
      </c>
      <c r="W126" s="47" t="str">
        <f t="shared" ca="1" si="3"/>
        <v>22-5．真宴の月光</v>
      </c>
      <c r="X126" s="47">
        <f ca="1">VLOOKUP($C126,OFFSET(quests!$A$1,0,0,COUNTA(quests!$A:$A),MATCH(X$2,quests!$1:$1,0)-MATCH($C$2,quests!$1:$1,0)+1),MATCH(X$2,quests!$1:$1,0)-MATCH($C$2,quests!$1:$1,0)+1,FALSE)</f>
        <v>1</v>
      </c>
      <c r="Y126" s="47">
        <f ca="1">VLOOKUP($C126,OFFSET(quests!$A$1,0,0,COUNTA(quests!$A:$A),MATCH(Y$2,quests!$1:$1,0)-MATCH($C$2,quests!$1:$1,0)+1),MATCH(Y$2,quests!$1:$1,0)-MATCH($C$2,quests!$1:$1,0)+1,FALSE)</f>
        <v>1</v>
      </c>
      <c r="Z126" s="47">
        <f ca="1">VLOOKUP($C126,OFFSET(quests!$A$1,0,0,COUNTA(quests!$A:$A),MATCH(Z$2,quests!$1:$1,0)-MATCH($C$2,quests!$1:$1,0)+1),MATCH(Z$2,quests!$1:$1,0)-MATCH($C$2,quests!$1:$1,0)+1,FALSE)</f>
        <v>0</v>
      </c>
      <c r="AA126" s="47">
        <f ca="1">VLOOKUP($C126,OFFSET(quests!$A$1,0,0,COUNTA(quests!$A:$A),MATCH(AA$2,quests!$1:$1,0)-MATCH($C$2,quests!$1:$1,0)+1),MATCH(AA$2,quests!$1:$1,0)-MATCH($C$2,quests!$1:$1,0)+1,FALSE)</f>
        <v>0</v>
      </c>
      <c r="AB126" s="7" t="s">
        <v>62</v>
      </c>
      <c r="AC126" s="7">
        <v>22</v>
      </c>
      <c r="AD126" s="7">
        <v>6</v>
      </c>
      <c r="AE126" s="7" t="s">
        <v>522</v>
      </c>
      <c r="AF126" s="7">
        <v>1</v>
      </c>
      <c r="AG126" s="7">
        <v>0</v>
      </c>
      <c r="AH126" s="7">
        <v>0</v>
      </c>
      <c r="AI126" s="7">
        <v>-1</v>
      </c>
      <c r="AJ126" s="7">
        <v>-1</v>
      </c>
      <c r="AK126" s="7" t="s">
        <v>1064</v>
      </c>
      <c r="AL126" s="12" t="s">
        <v>1695</v>
      </c>
      <c r="AM126" s="12" t="s">
        <v>2072</v>
      </c>
    </row>
    <row r="127" spans="1:39" ht="21" customHeight="1" x14ac:dyDescent="0.15">
      <c r="A127" s="42" t="str">
        <f t="shared" si="2"/>
        <v>23_1</v>
      </c>
      <c r="B127" s="23">
        <v>3</v>
      </c>
      <c r="C127" s="10">
        <v>23</v>
      </c>
      <c r="D127" s="47" t="str">
        <f ca="1">VLOOKUP($C127,OFFSET(quests!$A$1,0,0,COUNTA(quests!$A:$A),MATCH(D$1,quests!$1:$1,0)-MATCH($C$2,quests!$1:$1,0)+1),MATCH(D$1,quests!$1:$1,0)-MATCH($C$2,quests!$1:$1,0)+1,FALSE)</f>
        <v>23．ファングフォレスト</v>
      </c>
      <c r="E127" s="48" t="str">
        <f ca="1">VLOOKUP($C127,OFFSET(quests!$A$1,0,0,COUNTA(quests!$A:$A),MATCH(E$2,quests!$1:$1,0)-MATCH($C$2,quests!$1:$1,0)+1),MATCH(E$2,quests!$1:$1,0)-MATCH($C$2,quests!$1:$1,0)+1,FALSE)</f>
        <v>緑DL5</v>
      </c>
      <c r="F127" s="7">
        <v>1</v>
      </c>
      <c r="G127" s="7" t="s">
        <v>570</v>
      </c>
      <c r="H127" s="70" t="s">
        <v>480</v>
      </c>
      <c r="I127" s="12"/>
      <c r="J127" s="12" t="s">
        <v>279</v>
      </c>
      <c r="K127" s="186">
        <v>15</v>
      </c>
      <c r="L127" s="167">
        <v>2310</v>
      </c>
      <c r="M127" s="167">
        <v>1</v>
      </c>
      <c r="N127" s="167">
        <v>1</v>
      </c>
      <c r="O127" s="167">
        <v>1</v>
      </c>
      <c r="P127" s="167">
        <v>1</v>
      </c>
      <c r="Q127" s="167">
        <v>1</v>
      </c>
      <c r="R127" s="167">
        <v>3</v>
      </c>
      <c r="S127" s="167" t="s">
        <v>79</v>
      </c>
      <c r="T127" s="167">
        <v>0</v>
      </c>
      <c r="U127" s="7">
        <v>22</v>
      </c>
      <c r="V127" s="7">
        <v>6</v>
      </c>
      <c r="W127" s="47" t="str">
        <f t="shared" ca="1" si="3"/>
        <v>22-6．【1回のみ】ボーナスステージ</v>
      </c>
      <c r="X127" s="47">
        <f ca="1">VLOOKUP($C127,OFFSET(quests!$A$1,0,0,COUNTA(quests!$A:$A),MATCH(X$2,quests!$1:$1,0)-MATCH($C$2,quests!$1:$1,0)+1),MATCH(X$2,quests!$1:$1,0)-MATCH($C$2,quests!$1:$1,0)+1,FALSE)</f>
        <v>1</v>
      </c>
      <c r="Y127" s="47">
        <f ca="1">VLOOKUP($C127,OFFSET(quests!$A$1,0,0,COUNTA(quests!$A:$A),MATCH(Y$2,quests!$1:$1,0)-MATCH($C$2,quests!$1:$1,0)+1),MATCH(Y$2,quests!$1:$1,0)-MATCH($C$2,quests!$1:$1,0)+1,FALSE)</f>
        <v>0</v>
      </c>
      <c r="Z127" s="47">
        <f ca="1">VLOOKUP($C127,OFFSET(quests!$A$1,0,0,COUNTA(quests!$A:$A),MATCH(Z$2,quests!$1:$1,0)-MATCH($C$2,quests!$1:$1,0)+1),MATCH(Z$2,quests!$1:$1,0)-MATCH($C$2,quests!$1:$1,0)+1,FALSE)</f>
        <v>1</v>
      </c>
      <c r="AA127" s="47">
        <f ca="1">VLOOKUP($C127,OFFSET(quests!$A$1,0,0,COUNTA(quests!$A:$A),MATCH(AA$2,quests!$1:$1,0)-MATCH($C$2,quests!$1:$1,0)+1),MATCH(AA$2,quests!$1:$1,0)-MATCH($C$2,quests!$1:$1,0)+1,FALSE)</f>
        <v>0</v>
      </c>
      <c r="AB127" s="7" t="s">
        <v>56</v>
      </c>
      <c r="AC127" s="7">
        <v>23</v>
      </c>
      <c r="AD127" s="7">
        <v>6</v>
      </c>
      <c r="AE127" s="7" t="s">
        <v>519</v>
      </c>
      <c r="AF127" s="7">
        <v>0</v>
      </c>
      <c r="AG127" s="7">
        <v>0</v>
      </c>
      <c r="AH127" s="7">
        <v>0</v>
      </c>
      <c r="AI127" s="7">
        <v>-1</v>
      </c>
      <c r="AJ127" s="7">
        <v>-1</v>
      </c>
      <c r="AK127" s="7" t="s">
        <v>1064</v>
      </c>
      <c r="AL127" s="12" t="s">
        <v>1695</v>
      </c>
      <c r="AM127" s="12" t="s">
        <v>2072</v>
      </c>
    </row>
    <row r="128" spans="1:39" ht="21" customHeight="1" x14ac:dyDescent="0.15">
      <c r="A128" s="42" t="str">
        <f t="shared" si="2"/>
        <v>23_2</v>
      </c>
      <c r="B128" s="23">
        <v>3</v>
      </c>
      <c r="C128" s="10">
        <v>23</v>
      </c>
      <c r="D128" s="47" t="str">
        <f ca="1">VLOOKUP($C128,OFFSET(quests!$A$1,0,0,COUNTA(quests!$A:$A),MATCH(D$1,quests!$1:$1,0)-MATCH($C$2,quests!$1:$1,0)+1),MATCH(D$1,quests!$1:$1,0)-MATCH($C$2,quests!$1:$1,0)+1,FALSE)</f>
        <v>23．ファングフォレスト</v>
      </c>
      <c r="E128" s="48" t="str">
        <f ca="1">VLOOKUP($C128,OFFSET(quests!$A$1,0,0,COUNTA(quests!$A:$A),MATCH(E$2,quests!$1:$1,0)-MATCH($C$2,quests!$1:$1,0)+1),MATCH(E$2,quests!$1:$1,0)-MATCH($C$2,quests!$1:$1,0)+1,FALSE)</f>
        <v>緑DL5</v>
      </c>
      <c r="F128" s="7">
        <v>2</v>
      </c>
      <c r="G128" s="7" t="s">
        <v>570</v>
      </c>
      <c r="H128" s="70" t="s">
        <v>481</v>
      </c>
      <c r="I128" s="12"/>
      <c r="J128" s="12" t="s">
        <v>279</v>
      </c>
      <c r="K128" s="186">
        <v>15</v>
      </c>
      <c r="L128" s="167">
        <v>2490</v>
      </c>
      <c r="M128" s="167">
        <v>1</v>
      </c>
      <c r="N128" s="167">
        <v>1</v>
      </c>
      <c r="O128" s="167">
        <v>1</v>
      </c>
      <c r="P128" s="167">
        <v>1</v>
      </c>
      <c r="Q128" s="167">
        <v>1</v>
      </c>
      <c r="R128" s="167">
        <v>3</v>
      </c>
      <c r="S128" s="167" t="s">
        <v>79</v>
      </c>
      <c r="T128" s="167">
        <v>0</v>
      </c>
      <c r="U128" s="7">
        <v>23</v>
      </c>
      <c r="V128" s="7">
        <v>1</v>
      </c>
      <c r="W128" s="47" t="str">
        <f t="shared" ca="1" si="3"/>
        <v>23-1．牙森の子どもたち</v>
      </c>
      <c r="X128" s="47">
        <f ca="1">VLOOKUP($C128,OFFSET(quests!$A$1,0,0,COUNTA(quests!$A:$A),MATCH(X$2,quests!$1:$1,0)-MATCH($C$2,quests!$1:$1,0)+1),MATCH(X$2,quests!$1:$1,0)-MATCH($C$2,quests!$1:$1,0)+1,FALSE)</f>
        <v>1</v>
      </c>
      <c r="Y128" s="47">
        <f ca="1">VLOOKUP($C128,OFFSET(quests!$A$1,0,0,COUNTA(quests!$A:$A),MATCH(Y$2,quests!$1:$1,0)-MATCH($C$2,quests!$1:$1,0)+1),MATCH(Y$2,quests!$1:$1,0)-MATCH($C$2,quests!$1:$1,0)+1,FALSE)</f>
        <v>0</v>
      </c>
      <c r="Z128" s="47">
        <f ca="1">VLOOKUP($C128,OFFSET(quests!$A$1,0,0,COUNTA(quests!$A:$A),MATCH(Z$2,quests!$1:$1,0)-MATCH($C$2,quests!$1:$1,0)+1),MATCH(Z$2,quests!$1:$1,0)-MATCH($C$2,quests!$1:$1,0)+1,FALSE)</f>
        <v>1</v>
      </c>
      <c r="AA128" s="47">
        <f ca="1">VLOOKUP($C128,OFFSET(quests!$A$1,0,0,COUNTA(quests!$A:$A),MATCH(AA$2,quests!$1:$1,0)-MATCH($C$2,quests!$1:$1,0)+1),MATCH(AA$2,quests!$1:$1,0)-MATCH($C$2,quests!$1:$1,0)+1,FALSE)</f>
        <v>0</v>
      </c>
      <c r="AB128" s="7" t="s">
        <v>56</v>
      </c>
      <c r="AC128" s="7">
        <v>23</v>
      </c>
      <c r="AD128" s="7">
        <v>6</v>
      </c>
      <c r="AE128" s="7" t="s">
        <v>519</v>
      </c>
      <c r="AF128" s="7">
        <v>0</v>
      </c>
      <c r="AG128" s="7">
        <v>0</v>
      </c>
      <c r="AH128" s="7">
        <v>0</v>
      </c>
      <c r="AI128" s="7">
        <v>-1</v>
      </c>
      <c r="AJ128" s="7">
        <v>-1</v>
      </c>
      <c r="AK128" s="7" t="s">
        <v>1064</v>
      </c>
      <c r="AL128" s="12" t="s">
        <v>1695</v>
      </c>
      <c r="AM128" s="12" t="s">
        <v>2072</v>
      </c>
    </row>
    <row r="129" spans="1:39" ht="21" customHeight="1" x14ac:dyDescent="0.15">
      <c r="A129" s="42" t="str">
        <f t="shared" si="2"/>
        <v>23_3</v>
      </c>
      <c r="B129" s="23">
        <v>3</v>
      </c>
      <c r="C129" s="10">
        <v>23</v>
      </c>
      <c r="D129" s="47" t="str">
        <f ca="1">VLOOKUP($C129,OFFSET(quests!$A$1,0,0,COUNTA(quests!$A:$A),MATCH(D$1,quests!$1:$1,0)-MATCH($C$2,quests!$1:$1,0)+1),MATCH(D$1,quests!$1:$1,0)-MATCH($C$2,quests!$1:$1,0)+1,FALSE)</f>
        <v>23．ファングフォレスト</v>
      </c>
      <c r="E129" s="48" t="str">
        <f ca="1">VLOOKUP($C129,OFFSET(quests!$A$1,0,0,COUNTA(quests!$A:$A),MATCH(E$2,quests!$1:$1,0)-MATCH($C$2,quests!$1:$1,0)+1),MATCH(E$2,quests!$1:$1,0)-MATCH($C$2,quests!$1:$1,0)+1,FALSE)</f>
        <v>緑DL5</v>
      </c>
      <c r="F129" s="7">
        <v>3</v>
      </c>
      <c r="G129" s="7" t="s">
        <v>570</v>
      </c>
      <c r="H129" s="70" t="s">
        <v>482</v>
      </c>
      <c r="I129" s="12"/>
      <c r="J129" s="12" t="s">
        <v>279</v>
      </c>
      <c r="K129" s="186">
        <v>16</v>
      </c>
      <c r="L129" s="167">
        <v>2700</v>
      </c>
      <c r="M129" s="167">
        <v>1</v>
      </c>
      <c r="N129" s="167">
        <v>1</v>
      </c>
      <c r="O129" s="167">
        <v>1</v>
      </c>
      <c r="P129" s="167">
        <v>1</v>
      </c>
      <c r="Q129" s="167">
        <v>1</v>
      </c>
      <c r="R129" s="167">
        <v>3</v>
      </c>
      <c r="S129" s="167" t="s">
        <v>79</v>
      </c>
      <c r="T129" s="167">
        <v>0</v>
      </c>
      <c r="U129" s="7">
        <v>23</v>
      </c>
      <c r="V129" s="7">
        <v>2</v>
      </c>
      <c r="W129" s="47" t="str">
        <f t="shared" ca="1" si="3"/>
        <v>23-2．微笑みの猛蛇</v>
      </c>
      <c r="X129" s="47">
        <f ca="1">VLOOKUP($C129,OFFSET(quests!$A$1,0,0,COUNTA(quests!$A:$A),MATCH(X$2,quests!$1:$1,0)-MATCH($C$2,quests!$1:$1,0)+1),MATCH(X$2,quests!$1:$1,0)-MATCH($C$2,quests!$1:$1,0)+1,FALSE)</f>
        <v>1</v>
      </c>
      <c r="Y129" s="47">
        <f ca="1">VLOOKUP($C129,OFFSET(quests!$A$1,0,0,COUNTA(quests!$A:$A),MATCH(Y$2,quests!$1:$1,0)-MATCH($C$2,quests!$1:$1,0)+1),MATCH(Y$2,quests!$1:$1,0)-MATCH($C$2,quests!$1:$1,0)+1,FALSE)</f>
        <v>0</v>
      </c>
      <c r="Z129" s="47">
        <f ca="1">VLOOKUP($C129,OFFSET(quests!$A$1,0,0,COUNTA(quests!$A:$A),MATCH(Z$2,quests!$1:$1,0)-MATCH($C$2,quests!$1:$1,0)+1),MATCH(Z$2,quests!$1:$1,0)-MATCH($C$2,quests!$1:$1,0)+1,FALSE)</f>
        <v>1</v>
      </c>
      <c r="AA129" s="47">
        <f ca="1">VLOOKUP($C129,OFFSET(quests!$A$1,0,0,COUNTA(quests!$A:$A),MATCH(AA$2,quests!$1:$1,0)-MATCH($C$2,quests!$1:$1,0)+1),MATCH(AA$2,quests!$1:$1,0)-MATCH($C$2,quests!$1:$1,0)+1,FALSE)</f>
        <v>0</v>
      </c>
      <c r="AB129" s="7" t="s">
        <v>56</v>
      </c>
      <c r="AC129" s="7">
        <v>23</v>
      </c>
      <c r="AD129" s="7">
        <v>6</v>
      </c>
      <c r="AE129" s="7" t="s">
        <v>519</v>
      </c>
      <c r="AF129" s="7">
        <v>0</v>
      </c>
      <c r="AG129" s="7">
        <v>0</v>
      </c>
      <c r="AH129" s="7">
        <v>0</v>
      </c>
      <c r="AI129" s="7">
        <v>-1</v>
      </c>
      <c r="AJ129" s="7">
        <v>-1</v>
      </c>
      <c r="AK129" s="7" t="s">
        <v>1064</v>
      </c>
      <c r="AL129" s="12" t="s">
        <v>1695</v>
      </c>
      <c r="AM129" s="12" t="s">
        <v>2072</v>
      </c>
    </row>
    <row r="130" spans="1:39" ht="21" customHeight="1" x14ac:dyDescent="0.15">
      <c r="A130" s="42" t="str">
        <f t="shared" si="2"/>
        <v>23_4</v>
      </c>
      <c r="B130" s="23">
        <v>3</v>
      </c>
      <c r="C130" s="10">
        <v>23</v>
      </c>
      <c r="D130" s="47" t="str">
        <f ca="1">VLOOKUP($C130,OFFSET(quests!$A$1,0,0,COUNTA(quests!$A:$A),MATCH(D$1,quests!$1:$1,0)-MATCH($C$2,quests!$1:$1,0)+1),MATCH(D$1,quests!$1:$1,0)-MATCH($C$2,quests!$1:$1,0)+1,FALSE)</f>
        <v>23．ファングフォレスト</v>
      </c>
      <c r="E130" s="48" t="str">
        <f ca="1">VLOOKUP($C130,OFFSET(quests!$A$1,0,0,COUNTA(quests!$A:$A),MATCH(E$2,quests!$1:$1,0)-MATCH($C$2,quests!$1:$1,0)+1),MATCH(E$2,quests!$1:$1,0)-MATCH($C$2,quests!$1:$1,0)+1,FALSE)</f>
        <v>緑DL5</v>
      </c>
      <c r="F130" s="7">
        <v>4</v>
      </c>
      <c r="G130" s="7" t="s">
        <v>570</v>
      </c>
      <c r="H130" s="70" t="s">
        <v>483</v>
      </c>
      <c r="I130" s="12"/>
      <c r="J130" s="12" t="s">
        <v>279</v>
      </c>
      <c r="K130" s="186">
        <v>17</v>
      </c>
      <c r="L130" s="167">
        <v>3010</v>
      </c>
      <c r="M130" s="167">
        <v>1</v>
      </c>
      <c r="N130" s="167">
        <v>1</v>
      </c>
      <c r="O130" s="167">
        <v>1</v>
      </c>
      <c r="P130" s="167">
        <v>1</v>
      </c>
      <c r="Q130" s="167">
        <v>1</v>
      </c>
      <c r="R130" s="167">
        <v>3</v>
      </c>
      <c r="S130" s="167" t="s">
        <v>79</v>
      </c>
      <c r="T130" s="167">
        <v>0</v>
      </c>
      <c r="U130" s="7">
        <v>23</v>
      </c>
      <c r="V130" s="7">
        <v>3</v>
      </c>
      <c r="W130" s="47" t="str">
        <f t="shared" ca="1" si="3"/>
        <v>23-3．震える大地</v>
      </c>
      <c r="X130" s="47">
        <f ca="1">VLOOKUP($C130,OFFSET(quests!$A$1,0,0,COUNTA(quests!$A:$A),MATCH(X$2,quests!$1:$1,0)-MATCH($C$2,quests!$1:$1,0)+1),MATCH(X$2,quests!$1:$1,0)-MATCH($C$2,quests!$1:$1,0)+1,FALSE)</f>
        <v>1</v>
      </c>
      <c r="Y130" s="47">
        <f ca="1">VLOOKUP($C130,OFFSET(quests!$A$1,0,0,COUNTA(quests!$A:$A),MATCH(Y$2,quests!$1:$1,0)-MATCH($C$2,quests!$1:$1,0)+1),MATCH(Y$2,quests!$1:$1,0)-MATCH($C$2,quests!$1:$1,0)+1,FALSE)</f>
        <v>0</v>
      </c>
      <c r="Z130" s="47">
        <f ca="1">VLOOKUP($C130,OFFSET(quests!$A$1,0,0,COUNTA(quests!$A:$A),MATCH(Z$2,quests!$1:$1,0)-MATCH($C$2,quests!$1:$1,0)+1),MATCH(Z$2,quests!$1:$1,0)-MATCH($C$2,quests!$1:$1,0)+1,FALSE)</f>
        <v>1</v>
      </c>
      <c r="AA130" s="47">
        <f ca="1">VLOOKUP($C130,OFFSET(quests!$A$1,0,0,COUNTA(quests!$A:$A),MATCH(AA$2,quests!$1:$1,0)-MATCH($C$2,quests!$1:$1,0)+1),MATCH(AA$2,quests!$1:$1,0)-MATCH($C$2,quests!$1:$1,0)+1,FALSE)</f>
        <v>0</v>
      </c>
      <c r="AB130" s="7" t="s">
        <v>56</v>
      </c>
      <c r="AC130" s="7">
        <v>23</v>
      </c>
      <c r="AD130" s="7">
        <v>6</v>
      </c>
      <c r="AE130" s="7" t="s">
        <v>519</v>
      </c>
      <c r="AF130" s="7">
        <v>0</v>
      </c>
      <c r="AG130" s="7">
        <v>0</v>
      </c>
      <c r="AH130" s="7">
        <v>0</v>
      </c>
      <c r="AI130" s="7">
        <v>-1</v>
      </c>
      <c r="AJ130" s="7">
        <v>-1</v>
      </c>
      <c r="AK130" s="7" t="s">
        <v>1064</v>
      </c>
      <c r="AL130" s="12" t="s">
        <v>1695</v>
      </c>
      <c r="AM130" s="12" t="s">
        <v>2072</v>
      </c>
    </row>
    <row r="131" spans="1:39" ht="21" customHeight="1" x14ac:dyDescent="0.15">
      <c r="A131" s="42" t="str">
        <f t="shared" ref="A131:A194" si="4">C131&amp;"_"&amp;F131</f>
        <v>23_5</v>
      </c>
      <c r="B131" s="23">
        <v>3</v>
      </c>
      <c r="C131" s="10">
        <v>23</v>
      </c>
      <c r="D131" s="47" t="str">
        <f ca="1">VLOOKUP($C131,OFFSET(quests!$A$1,0,0,COUNTA(quests!$A:$A),MATCH(D$1,quests!$1:$1,0)-MATCH($C$2,quests!$1:$1,0)+1),MATCH(D$1,quests!$1:$1,0)-MATCH($C$2,quests!$1:$1,0)+1,FALSE)</f>
        <v>23．ファングフォレスト</v>
      </c>
      <c r="E131" s="48" t="str">
        <f ca="1">VLOOKUP($C131,OFFSET(quests!$A$1,0,0,COUNTA(quests!$A:$A),MATCH(E$2,quests!$1:$1,0)-MATCH($C$2,quests!$1:$1,0)+1),MATCH(E$2,quests!$1:$1,0)-MATCH($C$2,quests!$1:$1,0)+1,FALSE)</f>
        <v>緑DL5</v>
      </c>
      <c r="F131" s="9">
        <v>5</v>
      </c>
      <c r="G131" s="7" t="s">
        <v>570</v>
      </c>
      <c r="H131" s="70" t="s">
        <v>484</v>
      </c>
      <c r="I131" s="12"/>
      <c r="J131" s="12" t="s">
        <v>279</v>
      </c>
      <c r="K131" s="186">
        <v>20</v>
      </c>
      <c r="L131" s="167">
        <v>3780</v>
      </c>
      <c r="M131" s="167">
        <v>1</v>
      </c>
      <c r="N131" s="167">
        <v>1</v>
      </c>
      <c r="O131" s="167">
        <v>1</v>
      </c>
      <c r="P131" s="167">
        <v>1</v>
      </c>
      <c r="Q131" s="167">
        <v>1</v>
      </c>
      <c r="R131" s="167">
        <v>3</v>
      </c>
      <c r="S131" s="167" t="s">
        <v>79</v>
      </c>
      <c r="T131" s="167">
        <v>0</v>
      </c>
      <c r="U131" s="7">
        <v>23</v>
      </c>
      <c r="V131" s="7">
        <v>4</v>
      </c>
      <c r="W131" s="47" t="str">
        <f t="shared" ref="W131:W194" ca="1" si="5">IF(U131="NULL","",VLOOKUP($U131&amp;"_"&amp;$V131,OFFSET($A$1,0,0,COUNTA($A:$A),MATCH(W$2,$2:$2,0)-MATCH($A$2,$2:$2,0)+1),MATCH(W$2,$2:$2,0)-MATCH($A$2,$2:$2,0)+1,FALSE))</f>
        <v>23-4．森は咬み千切る</v>
      </c>
      <c r="X131" s="47">
        <f ca="1">VLOOKUP($C131,OFFSET(quests!$A$1,0,0,COUNTA(quests!$A:$A),MATCH(X$2,quests!$1:$1,0)-MATCH($C$2,quests!$1:$1,0)+1),MATCH(X$2,quests!$1:$1,0)-MATCH($C$2,quests!$1:$1,0)+1,FALSE)</f>
        <v>1</v>
      </c>
      <c r="Y131" s="47">
        <f ca="1">VLOOKUP($C131,OFFSET(quests!$A$1,0,0,COUNTA(quests!$A:$A),MATCH(Y$2,quests!$1:$1,0)-MATCH($C$2,quests!$1:$1,0)+1),MATCH(Y$2,quests!$1:$1,0)-MATCH($C$2,quests!$1:$1,0)+1,FALSE)</f>
        <v>0</v>
      </c>
      <c r="Z131" s="47">
        <f ca="1">VLOOKUP($C131,OFFSET(quests!$A$1,0,0,COUNTA(quests!$A:$A),MATCH(Z$2,quests!$1:$1,0)-MATCH($C$2,quests!$1:$1,0)+1),MATCH(Z$2,quests!$1:$1,0)-MATCH($C$2,quests!$1:$1,0)+1,FALSE)</f>
        <v>1</v>
      </c>
      <c r="AA131" s="47">
        <f ca="1">VLOOKUP($C131,OFFSET(quests!$A$1,0,0,COUNTA(quests!$A:$A),MATCH(AA$2,quests!$1:$1,0)-MATCH($C$2,quests!$1:$1,0)+1),MATCH(AA$2,quests!$1:$1,0)-MATCH($C$2,quests!$1:$1,0)+1,FALSE)</f>
        <v>0</v>
      </c>
      <c r="AB131" s="7" t="s">
        <v>56</v>
      </c>
      <c r="AC131" s="7">
        <v>23</v>
      </c>
      <c r="AD131" s="7">
        <v>6</v>
      </c>
      <c r="AE131" s="7" t="s">
        <v>519</v>
      </c>
      <c r="AF131" s="33">
        <v>3</v>
      </c>
      <c r="AG131" s="7">
        <v>0</v>
      </c>
      <c r="AH131" s="7">
        <v>0</v>
      </c>
      <c r="AI131" s="7">
        <v>-1</v>
      </c>
      <c r="AJ131" s="7">
        <v>-1</v>
      </c>
      <c r="AK131" s="7" t="s">
        <v>1064</v>
      </c>
      <c r="AL131" s="12" t="s">
        <v>1695</v>
      </c>
      <c r="AM131" s="12" t="s">
        <v>2072</v>
      </c>
    </row>
    <row r="132" spans="1:39" ht="21" customHeight="1" x14ac:dyDescent="0.15">
      <c r="A132" s="42" t="str">
        <f t="shared" si="4"/>
        <v>23_6</v>
      </c>
      <c r="B132" s="23">
        <v>3</v>
      </c>
      <c r="C132" s="10">
        <v>23</v>
      </c>
      <c r="D132" s="47" t="str">
        <f ca="1">VLOOKUP($C132,OFFSET(quests!$A$1,0,0,COUNTA(quests!$A:$A),MATCH(D$1,quests!$1:$1,0)-MATCH($C$2,quests!$1:$1,0)+1),MATCH(D$1,quests!$1:$1,0)-MATCH($C$2,quests!$1:$1,0)+1,FALSE)</f>
        <v>23．ファングフォレスト</v>
      </c>
      <c r="E132" s="48" t="str">
        <f ca="1">VLOOKUP($C132,OFFSET(quests!$A$1,0,0,COUNTA(quests!$A:$A),MATCH(E$2,quests!$1:$1,0)-MATCH($C$2,quests!$1:$1,0)+1),MATCH(E$2,quests!$1:$1,0)-MATCH($C$2,quests!$1:$1,0)+1,FALSE)</f>
        <v>緑DL5</v>
      </c>
      <c r="F132" s="7">
        <v>6</v>
      </c>
      <c r="G132" s="7" t="s">
        <v>570</v>
      </c>
      <c r="H132" s="69" t="s">
        <v>885</v>
      </c>
      <c r="I132" s="12" t="s">
        <v>164</v>
      </c>
      <c r="J132" s="12">
        <v>343</v>
      </c>
      <c r="K132" s="186">
        <v>1</v>
      </c>
      <c r="L132" s="167">
        <v>1</v>
      </c>
      <c r="M132" s="167">
        <v>1</v>
      </c>
      <c r="N132" s="167">
        <v>1</v>
      </c>
      <c r="O132" s="167">
        <v>1</v>
      </c>
      <c r="P132" s="167">
        <v>1</v>
      </c>
      <c r="Q132" s="167">
        <v>1</v>
      </c>
      <c r="R132" s="167">
        <v>3</v>
      </c>
      <c r="S132" s="167" t="s">
        <v>273</v>
      </c>
      <c r="T132" s="191" t="s">
        <v>2170</v>
      </c>
      <c r="U132" s="7">
        <v>23</v>
      </c>
      <c r="V132" s="7">
        <v>5</v>
      </c>
      <c r="W132" s="47" t="str">
        <f t="shared" ca="1" si="5"/>
        <v>23-5．目醒めの子どもたち</v>
      </c>
      <c r="X132" s="47">
        <f ca="1">VLOOKUP($C132,OFFSET(quests!$A$1,0,0,COUNTA(quests!$A:$A),MATCH(X$2,quests!$1:$1,0)-MATCH($C$2,quests!$1:$1,0)+1),MATCH(X$2,quests!$1:$1,0)-MATCH($C$2,quests!$1:$1,0)+1,FALSE)</f>
        <v>1</v>
      </c>
      <c r="Y132" s="47">
        <f ca="1">VLOOKUP($C132,OFFSET(quests!$A$1,0,0,COUNTA(quests!$A:$A),MATCH(Y$2,quests!$1:$1,0)-MATCH($C$2,quests!$1:$1,0)+1),MATCH(Y$2,quests!$1:$1,0)-MATCH($C$2,quests!$1:$1,0)+1,FALSE)</f>
        <v>0</v>
      </c>
      <c r="Z132" s="47">
        <f ca="1">VLOOKUP($C132,OFFSET(quests!$A$1,0,0,COUNTA(quests!$A:$A),MATCH(Z$2,quests!$1:$1,0)-MATCH($C$2,quests!$1:$1,0)+1),MATCH(Z$2,quests!$1:$1,0)-MATCH($C$2,quests!$1:$1,0)+1,FALSE)</f>
        <v>1</v>
      </c>
      <c r="AA132" s="47">
        <f ca="1">VLOOKUP($C132,OFFSET(quests!$A$1,0,0,COUNTA(quests!$A:$A),MATCH(AA$2,quests!$1:$1,0)-MATCH($C$2,quests!$1:$1,0)+1),MATCH(AA$2,quests!$1:$1,0)-MATCH($C$2,quests!$1:$1,0)+1,FALSE)</f>
        <v>0</v>
      </c>
      <c r="AB132" s="7" t="s">
        <v>62</v>
      </c>
      <c r="AC132" s="7">
        <v>23</v>
      </c>
      <c r="AD132" s="7">
        <v>6</v>
      </c>
      <c r="AE132" s="7" t="s">
        <v>522</v>
      </c>
      <c r="AF132" s="7">
        <v>1</v>
      </c>
      <c r="AG132" s="7">
        <v>0</v>
      </c>
      <c r="AH132" s="7">
        <v>0</v>
      </c>
      <c r="AI132" s="7">
        <v>-1</v>
      </c>
      <c r="AJ132" s="7">
        <v>-1</v>
      </c>
      <c r="AK132" s="7" t="s">
        <v>1064</v>
      </c>
      <c r="AL132" s="12" t="s">
        <v>1695</v>
      </c>
      <c r="AM132" s="12" t="s">
        <v>2072</v>
      </c>
    </row>
    <row r="133" spans="1:39" ht="21" customHeight="1" x14ac:dyDescent="0.15">
      <c r="A133" s="42" t="str">
        <f t="shared" si="4"/>
        <v>24_1</v>
      </c>
      <c r="B133" s="23">
        <v>3</v>
      </c>
      <c r="C133" s="10">
        <v>24</v>
      </c>
      <c r="D133" s="47" t="str">
        <f ca="1">VLOOKUP($C133,OFFSET(quests!$A$1,0,0,COUNTA(quests!$A:$A),MATCH(D$1,quests!$1:$1,0)-MATCH($C$2,quests!$1:$1,0)+1),MATCH(D$1,quests!$1:$1,0)-MATCH($C$2,quests!$1:$1,0)+1,FALSE)</f>
        <v>24．バトルフィールドヘヴン</v>
      </c>
      <c r="E133" s="48" t="str">
        <f ca="1">VLOOKUP($C133,OFFSET(quests!$A$1,0,0,COUNTA(quests!$A:$A),MATCH(E$2,quests!$1:$1,0)-MATCH($C$2,quests!$1:$1,0)+1),MATCH(E$2,quests!$1:$1,0)-MATCH($C$2,quests!$1:$1,0)+1,FALSE)</f>
        <v>黄DL5</v>
      </c>
      <c r="F133" s="7">
        <v>1</v>
      </c>
      <c r="G133" s="7" t="s">
        <v>570</v>
      </c>
      <c r="H133" s="70" t="s">
        <v>485</v>
      </c>
      <c r="I133" s="12"/>
      <c r="J133" s="12" t="s">
        <v>279</v>
      </c>
      <c r="K133" s="186">
        <v>15</v>
      </c>
      <c r="L133" s="167">
        <v>2410</v>
      </c>
      <c r="M133" s="167">
        <v>1</v>
      </c>
      <c r="N133" s="167">
        <v>1</v>
      </c>
      <c r="O133" s="167">
        <v>1</v>
      </c>
      <c r="P133" s="167">
        <v>1</v>
      </c>
      <c r="Q133" s="167">
        <v>1</v>
      </c>
      <c r="R133" s="167">
        <v>3</v>
      </c>
      <c r="S133" s="167" t="s">
        <v>79</v>
      </c>
      <c r="T133" s="167">
        <v>0</v>
      </c>
      <c r="U133" s="7">
        <v>23</v>
      </c>
      <c r="V133" s="7">
        <v>6</v>
      </c>
      <c r="W133" s="47" t="str">
        <f t="shared" ca="1" si="5"/>
        <v>23-6．【1回のみ】ボーナスステージ</v>
      </c>
      <c r="X133" s="47">
        <f ca="1">VLOOKUP($C133,OFFSET(quests!$A$1,0,0,COUNTA(quests!$A:$A),MATCH(X$2,quests!$1:$1,0)-MATCH($C$2,quests!$1:$1,0)+1),MATCH(X$2,quests!$1:$1,0)-MATCH($C$2,quests!$1:$1,0)+1,FALSE)</f>
        <v>0</v>
      </c>
      <c r="Y133" s="47">
        <f ca="1">VLOOKUP($C133,OFFSET(quests!$A$1,0,0,COUNTA(quests!$A:$A),MATCH(Y$2,quests!$1:$1,0)-MATCH($C$2,quests!$1:$1,0)+1),MATCH(Y$2,quests!$1:$1,0)-MATCH($C$2,quests!$1:$1,0)+1,FALSE)</f>
        <v>0</v>
      </c>
      <c r="Z133" s="47">
        <f ca="1">VLOOKUP($C133,OFFSET(quests!$A$1,0,0,COUNTA(quests!$A:$A),MATCH(Z$2,quests!$1:$1,0)-MATCH($C$2,quests!$1:$1,0)+1),MATCH(Z$2,quests!$1:$1,0)-MATCH($C$2,quests!$1:$1,0)+1,FALSE)</f>
        <v>1</v>
      </c>
      <c r="AA133" s="47">
        <f ca="1">VLOOKUP($C133,OFFSET(quests!$A$1,0,0,COUNTA(quests!$A:$A),MATCH(AA$2,quests!$1:$1,0)-MATCH($C$2,quests!$1:$1,0)+1),MATCH(AA$2,quests!$1:$1,0)-MATCH($C$2,quests!$1:$1,0)+1,FALSE)</f>
        <v>1</v>
      </c>
      <c r="AB133" s="7" t="s">
        <v>56</v>
      </c>
      <c r="AC133" s="7">
        <v>24</v>
      </c>
      <c r="AD133" s="7">
        <v>6</v>
      </c>
      <c r="AE133" s="7" t="s">
        <v>519</v>
      </c>
      <c r="AF133" s="7">
        <v>0</v>
      </c>
      <c r="AG133" s="7">
        <v>0</v>
      </c>
      <c r="AH133" s="7">
        <v>0</v>
      </c>
      <c r="AI133" s="7">
        <v>-1</v>
      </c>
      <c r="AJ133" s="7">
        <v>-1</v>
      </c>
      <c r="AK133" s="7" t="s">
        <v>1064</v>
      </c>
      <c r="AL133" s="12" t="s">
        <v>1695</v>
      </c>
      <c r="AM133" s="12" t="s">
        <v>2072</v>
      </c>
    </row>
    <row r="134" spans="1:39" ht="21" customHeight="1" x14ac:dyDescent="0.15">
      <c r="A134" s="42" t="str">
        <f t="shared" si="4"/>
        <v>24_2</v>
      </c>
      <c r="B134" s="23">
        <v>3</v>
      </c>
      <c r="C134" s="10">
        <v>24</v>
      </c>
      <c r="D134" s="47" t="str">
        <f ca="1">VLOOKUP($C134,OFFSET(quests!$A$1,0,0,COUNTA(quests!$A:$A),MATCH(D$1,quests!$1:$1,0)-MATCH($C$2,quests!$1:$1,0)+1),MATCH(D$1,quests!$1:$1,0)-MATCH($C$2,quests!$1:$1,0)+1,FALSE)</f>
        <v>24．バトルフィールドヘヴン</v>
      </c>
      <c r="E134" s="48" t="str">
        <f ca="1">VLOOKUP($C134,OFFSET(quests!$A$1,0,0,COUNTA(quests!$A:$A),MATCH(E$2,quests!$1:$1,0)-MATCH($C$2,quests!$1:$1,0)+1),MATCH(E$2,quests!$1:$1,0)-MATCH($C$2,quests!$1:$1,0)+1,FALSE)</f>
        <v>黄DL5</v>
      </c>
      <c r="F134" s="7">
        <v>2</v>
      </c>
      <c r="G134" s="7" t="s">
        <v>570</v>
      </c>
      <c r="H134" s="70" t="s">
        <v>486</v>
      </c>
      <c r="I134" s="12"/>
      <c r="J134" s="12" t="s">
        <v>279</v>
      </c>
      <c r="K134" s="186">
        <v>15</v>
      </c>
      <c r="L134" s="167">
        <v>2590</v>
      </c>
      <c r="M134" s="167">
        <v>1</v>
      </c>
      <c r="N134" s="167">
        <v>1</v>
      </c>
      <c r="O134" s="167">
        <v>1</v>
      </c>
      <c r="P134" s="167">
        <v>1</v>
      </c>
      <c r="Q134" s="167">
        <v>1</v>
      </c>
      <c r="R134" s="167">
        <v>3</v>
      </c>
      <c r="S134" s="167" t="s">
        <v>79</v>
      </c>
      <c r="T134" s="167">
        <v>0</v>
      </c>
      <c r="U134" s="7">
        <v>24</v>
      </c>
      <c r="V134" s="7">
        <v>1</v>
      </c>
      <c r="W134" s="47" t="str">
        <f t="shared" ca="1" si="5"/>
        <v>24-1．開戦の電磁</v>
      </c>
      <c r="X134" s="47">
        <f ca="1">VLOOKUP($C134,OFFSET(quests!$A$1,0,0,COUNTA(quests!$A:$A),MATCH(X$2,quests!$1:$1,0)-MATCH($C$2,quests!$1:$1,0)+1),MATCH(X$2,quests!$1:$1,0)-MATCH($C$2,quests!$1:$1,0)+1,FALSE)</f>
        <v>0</v>
      </c>
      <c r="Y134" s="47">
        <f ca="1">VLOOKUP($C134,OFFSET(quests!$A$1,0,0,COUNTA(quests!$A:$A),MATCH(Y$2,quests!$1:$1,0)-MATCH($C$2,quests!$1:$1,0)+1),MATCH(Y$2,quests!$1:$1,0)-MATCH($C$2,quests!$1:$1,0)+1,FALSE)</f>
        <v>0</v>
      </c>
      <c r="Z134" s="47">
        <f ca="1">VLOOKUP($C134,OFFSET(quests!$A$1,0,0,COUNTA(quests!$A:$A),MATCH(Z$2,quests!$1:$1,0)-MATCH($C$2,quests!$1:$1,0)+1),MATCH(Z$2,quests!$1:$1,0)-MATCH($C$2,quests!$1:$1,0)+1,FALSE)</f>
        <v>1</v>
      </c>
      <c r="AA134" s="47">
        <f ca="1">VLOOKUP($C134,OFFSET(quests!$A$1,0,0,COUNTA(quests!$A:$A),MATCH(AA$2,quests!$1:$1,0)-MATCH($C$2,quests!$1:$1,0)+1),MATCH(AA$2,quests!$1:$1,0)-MATCH($C$2,quests!$1:$1,0)+1,FALSE)</f>
        <v>1</v>
      </c>
      <c r="AB134" s="7" t="s">
        <v>56</v>
      </c>
      <c r="AC134" s="7">
        <v>24</v>
      </c>
      <c r="AD134" s="7">
        <v>6</v>
      </c>
      <c r="AE134" s="7" t="s">
        <v>519</v>
      </c>
      <c r="AF134" s="7">
        <v>0</v>
      </c>
      <c r="AG134" s="7">
        <v>0</v>
      </c>
      <c r="AH134" s="7">
        <v>0</v>
      </c>
      <c r="AI134" s="7">
        <v>-1</v>
      </c>
      <c r="AJ134" s="7">
        <v>-1</v>
      </c>
      <c r="AK134" s="7" t="s">
        <v>1064</v>
      </c>
      <c r="AL134" s="12" t="s">
        <v>1695</v>
      </c>
      <c r="AM134" s="12" t="s">
        <v>2072</v>
      </c>
    </row>
    <row r="135" spans="1:39" ht="21" customHeight="1" x14ac:dyDescent="0.15">
      <c r="A135" s="42" t="str">
        <f t="shared" si="4"/>
        <v>24_3</v>
      </c>
      <c r="B135" s="23">
        <v>3</v>
      </c>
      <c r="C135" s="10">
        <v>24</v>
      </c>
      <c r="D135" s="47" t="str">
        <f ca="1">VLOOKUP($C135,OFFSET(quests!$A$1,0,0,COUNTA(quests!$A:$A),MATCH(D$1,quests!$1:$1,0)-MATCH($C$2,quests!$1:$1,0)+1),MATCH(D$1,quests!$1:$1,0)-MATCH($C$2,quests!$1:$1,0)+1,FALSE)</f>
        <v>24．バトルフィールドヘヴン</v>
      </c>
      <c r="E135" s="48" t="str">
        <f ca="1">VLOOKUP($C135,OFFSET(quests!$A$1,0,0,COUNTA(quests!$A:$A),MATCH(E$2,quests!$1:$1,0)-MATCH($C$2,quests!$1:$1,0)+1),MATCH(E$2,quests!$1:$1,0)-MATCH($C$2,quests!$1:$1,0)+1,FALSE)</f>
        <v>黄DL5</v>
      </c>
      <c r="F135" s="7">
        <v>3</v>
      </c>
      <c r="G135" s="7" t="s">
        <v>570</v>
      </c>
      <c r="H135" s="70" t="s">
        <v>487</v>
      </c>
      <c r="I135" s="12"/>
      <c r="J135" s="12" t="s">
        <v>279</v>
      </c>
      <c r="K135" s="186">
        <v>16</v>
      </c>
      <c r="L135" s="167">
        <v>2800</v>
      </c>
      <c r="M135" s="167">
        <v>1</v>
      </c>
      <c r="N135" s="167">
        <v>1</v>
      </c>
      <c r="O135" s="167">
        <v>1</v>
      </c>
      <c r="P135" s="167">
        <v>1</v>
      </c>
      <c r="Q135" s="167">
        <v>1</v>
      </c>
      <c r="R135" s="167">
        <v>3</v>
      </c>
      <c r="S135" s="167" t="s">
        <v>79</v>
      </c>
      <c r="T135" s="167">
        <v>0</v>
      </c>
      <c r="U135" s="7">
        <v>24</v>
      </c>
      <c r="V135" s="7">
        <v>2</v>
      </c>
      <c r="W135" s="47" t="str">
        <f t="shared" ca="1" si="5"/>
        <v>24-2．奇襲と増援</v>
      </c>
      <c r="X135" s="47">
        <f ca="1">VLOOKUP($C135,OFFSET(quests!$A$1,0,0,COUNTA(quests!$A:$A),MATCH(X$2,quests!$1:$1,0)-MATCH($C$2,quests!$1:$1,0)+1),MATCH(X$2,quests!$1:$1,0)-MATCH($C$2,quests!$1:$1,0)+1,FALSE)</f>
        <v>0</v>
      </c>
      <c r="Y135" s="47">
        <f ca="1">VLOOKUP($C135,OFFSET(quests!$A$1,0,0,COUNTA(quests!$A:$A),MATCH(Y$2,quests!$1:$1,0)-MATCH($C$2,quests!$1:$1,0)+1),MATCH(Y$2,quests!$1:$1,0)-MATCH($C$2,quests!$1:$1,0)+1,FALSE)</f>
        <v>0</v>
      </c>
      <c r="Z135" s="47">
        <f ca="1">VLOOKUP($C135,OFFSET(quests!$A$1,0,0,COUNTA(quests!$A:$A),MATCH(Z$2,quests!$1:$1,0)-MATCH($C$2,quests!$1:$1,0)+1),MATCH(Z$2,quests!$1:$1,0)-MATCH($C$2,quests!$1:$1,0)+1,FALSE)</f>
        <v>1</v>
      </c>
      <c r="AA135" s="47">
        <f ca="1">VLOOKUP($C135,OFFSET(quests!$A$1,0,0,COUNTA(quests!$A:$A),MATCH(AA$2,quests!$1:$1,0)-MATCH($C$2,quests!$1:$1,0)+1),MATCH(AA$2,quests!$1:$1,0)-MATCH($C$2,quests!$1:$1,0)+1,FALSE)</f>
        <v>1</v>
      </c>
      <c r="AB135" s="7" t="s">
        <v>56</v>
      </c>
      <c r="AC135" s="7">
        <v>24</v>
      </c>
      <c r="AD135" s="7">
        <v>6</v>
      </c>
      <c r="AE135" s="7" t="s">
        <v>519</v>
      </c>
      <c r="AF135" s="7">
        <v>0</v>
      </c>
      <c r="AG135" s="7">
        <v>0</v>
      </c>
      <c r="AH135" s="7">
        <v>0</v>
      </c>
      <c r="AI135" s="7">
        <v>-1</v>
      </c>
      <c r="AJ135" s="7">
        <v>-1</v>
      </c>
      <c r="AK135" s="7" t="s">
        <v>1064</v>
      </c>
      <c r="AL135" s="12" t="s">
        <v>1695</v>
      </c>
      <c r="AM135" s="12" t="s">
        <v>2072</v>
      </c>
    </row>
    <row r="136" spans="1:39" ht="21" customHeight="1" x14ac:dyDescent="0.15">
      <c r="A136" s="42" t="str">
        <f t="shared" si="4"/>
        <v>24_4</v>
      </c>
      <c r="B136" s="23">
        <v>3</v>
      </c>
      <c r="C136" s="10">
        <v>24</v>
      </c>
      <c r="D136" s="47" t="str">
        <f ca="1">VLOOKUP($C136,OFFSET(quests!$A$1,0,0,COUNTA(quests!$A:$A),MATCH(D$1,quests!$1:$1,0)-MATCH($C$2,quests!$1:$1,0)+1),MATCH(D$1,quests!$1:$1,0)-MATCH($C$2,quests!$1:$1,0)+1,FALSE)</f>
        <v>24．バトルフィールドヘヴン</v>
      </c>
      <c r="E136" s="48" t="str">
        <f ca="1">VLOOKUP($C136,OFFSET(quests!$A$1,0,0,COUNTA(quests!$A:$A),MATCH(E$2,quests!$1:$1,0)-MATCH($C$2,quests!$1:$1,0)+1),MATCH(E$2,quests!$1:$1,0)-MATCH($C$2,quests!$1:$1,0)+1,FALSE)</f>
        <v>黄DL5</v>
      </c>
      <c r="F136" s="7">
        <v>4</v>
      </c>
      <c r="G136" s="7" t="s">
        <v>570</v>
      </c>
      <c r="H136" s="70" t="s">
        <v>488</v>
      </c>
      <c r="I136" s="12"/>
      <c r="J136" s="12" t="s">
        <v>279</v>
      </c>
      <c r="K136" s="186">
        <v>17</v>
      </c>
      <c r="L136" s="167">
        <v>3120</v>
      </c>
      <c r="M136" s="167">
        <v>1</v>
      </c>
      <c r="N136" s="167">
        <v>1</v>
      </c>
      <c r="O136" s="167">
        <v>1</v>
      </c>
      <c r="P136" s="167">
        <v>1</v>
      </c>
      <c r="Q136" s="167">
        <v>1</v>
      </c>
      <c r="R136" s="167">
        <v>3</v>
      </c>
      <c r="S136" s="167" t="s">
        <v>79</v>
      </c>
      <c r="T136" s="167">
        <v>0</v>
      </c>
      <c r="U136" s="7">
        <v>24</v>
      </c>
      <c r="V136" s="7">
        <v>3</v>
      </c>
      <c r="W136" s="47" t="str">
        <f t="shared" ca="1" si="5"/>
        <v>24-3．武器を花に変えて</v>
      </c>
      <c r="X136" s="47">
        <f ca="1">VLOOKUP($C136,OFFSET(quests!$A$1,0,0,COUNTA(quests!$A:$A),MATCH(X$2,quests!$1:$1,0)-MATCH($C$2,quests!$1:$1,0)+1),MATCH(X$2,quests!$1:$1,0)-MATCH($C$2,quests!$1:$1,0)+1,FALSE)</f>
        <v>0</v>
      </c>
      <c r="Y136" s="47">
        <f ca="1">VLOOKUP($C136,OFFSET(quests!$A$1,0,0,COUNTA(quests!$A:$A),MATCH(Y$2,quests!$1:$1,0)-MATCH($C$2,quests!$1:$1,0)+1),MATCH(Y$2,quests!$1:$1,0)-MATCH($C$2,quests!$1:$1,0)+1,FALSE)</f>
        <v>0</v>
      </c>
      <c r="Z136" s="47">
        <f ca="1">VLOOKUP($C136,OFFSET(quests!$A$1,0,0,COUNTA(quests!$A:$A),MATCH(Z$2,quests!$1:$1,0)-MATCH($C$2,quests!$1:$1,0)+1),MATCH(Z$2,quests!$1:$1,0)-MATCH($C$2,quests!$1:$1,0)+1,FALSE)</f>
        <v>1</v>
      </c>
      <c r="AA136" s="47">
        <f ca="1">VLOOKUP($C136,OFFSET(quests!$A$1,0,0,COUNTA(quests!$A:$A),MATCH(AA$2,quests!$1:$1,0)-MATCH($C$2,quests!$1:$1,0)+1),MATCH(AA$2,quests!$1:$1,0)-MATCH($C$2,quests!$1:$1,0)+1,FALSE)</f>
        <v>1</v>
      </c>
      <c r="AB136" s="7" t="s">
        <v>56</v>
      </c>
      <c r="AC136" s="7">
        <v>24</v>
      </c>
      <c r="AD136" s="7">
        <v>6</v>
      </c>
      <c r="AE136" s="7" t="s">
        <v>519</v>
      </c>
      <c r="AF136" s="7">
        <v>0</v>
      </c>
      <c r="AG136" s="7">
        <v>0</v>
      </c>
      <c r="AH136" s="7">
        <v>0</v>
      </c>
      <c r="AI136" s="7">
        <v>-1</v>
      </c>
      <c r="AJ136" s="7">
        <v>-1</v>
      </c>
      <c r="AK136" s="7" t="s">
        <v>1064</v>
      </c>
      <c r="AL136" s="12" t="s">
        <v>1695</v>
      </c>
      <c r="AM136" s="12" t="s">
        <v>2072</v>
      </c>
    </row>
    <row r="137" spans="1:39" ht="21" customHeight="1" x14ac:dyDescent="0.15">
      <c r="A137" s="42" t="str">
        <f t="shared" si="4"/>
        <v>24_5</v>
      </c>
      <c r="B137" s="23">
        <v>3</v>
      </c>
      <c r="C137" s="10">
        <v>24</v>
      </c>
      <c r="D137" s="47" t="str">
        <f ca="1">VLOOKUP($C137,OFFSET(quests!$A$1,0,0,COUNTA(quests!$A:$A),MATCH(D$1,quests!$1:$1,0)-MATCH($C$2,quests!$1:$1,0)+1),MATCH(D$1,quests!$1:$1,0)-MATCH($C$2,quests!$1:$1,0)+1,FALSE)</f>
        <v>24．バトルフィールドヘヴン</v>
      </c>
      <c r="E137" s="48" t="str">
        <f ca="1">VLOOKUP($C137,OFFSET(quests!$A$1,0,0,COUNTA(quests!$A:$A),MATCH(E$2,quests!$1:$1,0)-MATCH($C$2,quests!$1:$1,0)+1),MATCH(E$2,quests!$1:$1,0)-MATCH($C$2,quests!$1:$1,0)+1,FALSE)</f>
        <v>黄DL5</v>
      </c>
      <c r="F137" s="9">
        <v>5</v>
      </c>
      <c r="G137" s="7" t="s">
        <v>570</v>
      </c>
      <c r="H137" s="70" t="s">
        <v>489</v>
      </c>
      <c r="I137" s="12"/>
      <c r="J137" s="12" t="s">
        <v>279</v>
      </c>
      <c r="K137" s="186">
        <v>20</v>
      </c>
      <c r="L137" s="167">
        <v>3880</v>
      </c>
      <c r="M137" s="167">
        <v>1</v>
      </c>
      <c r="N137" s="167">
        <v>1</v>
      </c>
      <c r="O137" s="167">
        <v>1</v>
      </c>
      <c r="P137" s="167">
        <v>1</v>
      </c>
      <c r="Q137" s="167">
        <v>1</v>
      </c>
      <c r="R137" s="167">
        <v>3</v>
      </c>
      <c r="S137" s="167" t="s">
        <v>79</v>
      </c>
      <c r="T137" s="167">
        <v>0</v>
      </c>
      <c r="U137" s="7">
        <v>24</v>
      </c>
      <c r="V137" s="7">
        <v>4</v>
      </c>
      <c r="W137" s="47" t="str">
        <f t="shared" ca="1" si="5"/>
        <v>24-4．肉弾の虎将</v>
      </c>
      <c r="X137" s="47">
        <f ca="1">VLOOKUP($C137,OFFSET(quests!$A$1,0,0,COUNTA(quests!$A:$A),MATCH(X$2,quests!$1:$1,0)-MATCH($C$2,quests!$1:$1,0)+1),MATCH(X$2,quests!$1:$1,0)-MATCH($C$2,quests!$1:$1,0)+1,FALSE)</f>
        <v>0</v>
      </c>
      <c r="Y137" s="47">
        <f ca="1">VLOOKUP($C137,OFFSET(quests!$A$1,0,0,COUNTA(quests!$A:$A),MATCH(Y$2,quests!$1:$1,0)-MATCH($C$2,quests!$1:$1,0)+1),MATCH(Y$2,quests!$1:$1,0)-MATCH($C$2,quests!$1:$1,0)+1,FALSE)</f>
        <v>0</v>
      </c>
      <c r="Z137" s="47">
        <f ca="1">VLOOKUP($C137,OFFSET(quests!$A$1,0,0,COUNTA(quests!$A:$A),MATCH(Z$2,quests!$1:$1,0)-MATCH($C$2,quests!$1:$1,0)+1),MATCH(Z$2,quests!$1:$1,0)-MATCH($C$2,quests!$1:$1,0)+1,FALSE)</f>
        <v>1</v>
      </c>
      <c r="AA137" s="47">
        <f ca="1">VLOOKUP($C137,OFFSET(quests!$A$1,0,0,COUNTA(quests!$A:$A),MATCH(AA$2,quests!$1:$1,0)-MATCH($C$2,quests!$1:$1,0)+1),MATCH(AA$2,quests!$1:$1,0)-MATCH($C$2,quests!$1:$1,0)+1,FALSE)</f>
        <v>1</v>
      </c>
      <c r="AB137" s="7" t="s">
        <v>56</v>
      </c>
      <c r="AC137" s="7">
        <v>24</v>
      </c>
      <c r="AD137" s="7">
        <v>6</v>
      </c>
      <c r="AE137" s="7" t="s">
        <v>519</v>
      </c>
      <c r="AF137" s="33">
        <v>3</v>
      </c>
      <c r="AG137" s="7">
        <v>0</v>
      </c>
      <c r="AH137" s="7">
        <v>0</v>
      </c>
      <c r="AI137" s="7">
        <v>-1</v>
      </c>
      <c r="AJ137" s="7">
        <v>-1</v>
      </c>
      <c r="AK137" s="7" t="s">
        <v>1064</v>
      </c>
      <c r="AL137" s="12" t="s">
        <v>1695</v>
      </c>
      <c r="AM137" s="12" t="s">
        <v>2072</v>
      </c>
    </row>
    <row r="138" spans="1:39" ht="21" customHeight="1" x14ac:dyDescent="0.15">
      <c r="A138" s="42" t="str">
        <f t="shared" si="4"/>
        <v>24_6</v>
      </c>
      <c r="B138" s="23">
        <v>3</v>
      </c>
      <c r="C138" s="10">
        <v>24</v>
      </c>
      <c r="D138" s="47" t="str">
        <f ca="1">VLOOKUP($C138,OFFSET(quests!$A$1,0,0,COUNTA(quests!$A:$A),MATCH(D$1,quests!$1:$1,0)-MATCH($C$2,quests!$1:$1,0)+1),MATCH(D$1,quests!$1:$1,0)-MATCH($C$2,quests!$1:$1,0)+1,FALSE)</f>
        <v>24．バトルフィールドヘヴン</v>
      </c>
      <c r="E138" s="48" t="str">
        <f ca="1">VLOOKUP($C138,OFFSET(quests!$A$1,0,0,COUNTA(quests!$A:$A),MATCH(E$2,quests!$1:$1,0)-MATCH($C$2,quests!$1:$1,0)+1),MATCH(E$2,quests!$1:$1,0)-MATCH($C$2,quests!$1:$1,0)+1,FALSE)</f>
        <v>黄DL5</v>
      </c>
      <c r="F138" s="7">
        <v>6</v>
      </c>
      <c r="G138" s="7" t="s">
        <v>570</v>
      </c>
      <c r="H138" s="69" t="s">
        <v>886</v>
      </c>
      <c r="I138" s="12" t="s">
        <v>164</v>
      </c>
      <c r="J138" s="12">
        <v>347</v>
      </c>
      <c r="K138" s="186">
        <v>1</v>
      </c>
      <c r="L138" s="167">
        <v>1</v>
      </c>
      <c r="M138" s="167">
        <v>1</v>
      </c>
      <c r="N138" s="167">
        <v>1</v>
      </c>
      <c r="O138" s="167">
        <v>1</v>
      </c>
      <c r="P138" s="167">
        <v>1</v>
      </c>
      <c r="Q138" s="167">
        <v>1</v>
      </c>
      <c r="R138" s="167">
        <v>3</v>
      </c>
      <c r="S138" s="167" t="s">
        <v>273</v>
      </c>
      <c r="T138" s="191" t="s">
        <v>2171</v>
      </c>
      <c r="U138" s="7">
        <v>24</v>
      </c>
      <c r="V138" s="7">
        <v>5</v>
      </c>
      <c r="W138" s="47" t="str">
        <f t="shared" ca="1" si="5"/>
        <v>24-5．決戦のヘヴン</v>
      </c>
      <c r="X138" s="47">
        <f ca="1">VLOOKUP($C138,OFFSET(quests!$A$1,0,0,COUNTA(quests!$A:$A),MATCH(X$2,quests!$1:$1,0)-MATCH($C$2,quests!$1:$1,0)+1),MATCH(X$2,quests!$1:$1,0)-MATCH($C$2,quests!$1:$1,0)+1,FALSE)</f>
        <v>0</v>
      </c>
      <c r="Y138" s="47">
        <f ca="1">VLOOKUP($C138,OFFSET(quests!$A$1,0,0,COUNTA(quests!$A:$A),MATCH(Y$2,quests!$1:$1,0)-MATCH($C$2,quests!$1:$1,0)+1),MATCH(Y$2,quests!$1:$1,0)-MATCH($C$2,quests!$1:$1,0)+1,FALSE)</f>
        <v>0</v>
      </c>
      <c r="Z138" s="47">
        <f ca="1">VLOOKUP($C138,OFFSET(quests!$A$1,0,0,COUNTA(quests!$A:$A),MATCH(Z$2,quests!$1:$1,0)-MATCH($C$2,quests!$1:$1,0)+1),MATCH(Z$2,quests!$1:$1,0)-MATCH($C$2,quests!$1:$1,0)+1,FALSE)</f>
        <v>1</v>
      </c>
      <c r="AA138" s="47">
        <f ca="1">VLOOKUP($C138,OFFSET(quests!$A$1,0,0,COUNTA(quests!$A:$A),MATCH(AA$2,quests!$1:$1,0)-MATCH($C$2,quests!$1:$1,0)+1),MATCH(AA$2,quests!$1:$1,0)-MATCH($C$2,quests!$1:$1,0)+1,FALSE)</f>
        <v>1</v>
      </c>
      <c r="AB138" s="7" t="s">
        <v>62</v>
      </c>
      <c r="AC138" s="7">
        <v>24</v>
      </c>
      <c r="AD138" s="7">
        <v>6</v>
      </c>
      <c r="AE138" s="7" t="s">
        <v>522</v>
      </c>
      <c r="AF138" s="7">
        <v>1</v>
      </c>
      <c r="AG138" s="7">
        <v>0</v>
      </c>
      <c r="AH138" s="7">
        <v>0</v>
      </c>
      <c r="AI138" s="7">
        <v>-1</v>
      </c>
      <c r="AJ138" s="7">
        <v>-1</v>
      </c>
      <c r="AK138" s="7" t="s">
        <v>1064</v>
      </c>
      <c r="AL138" s="12" t="s">
        <v>1695</v>
      </c>
      <c r="AM138" s="12" t="s">
        <v>2072</v>
      </c>
    </row>
    <row r="139" spans="1:39" ht="21" customHeight="1" x14ac:dyDescent="0.15">
      <c r="A139" s="42" t="str">
        <f t="shared" si="4"/>
        <v>25_1</v>
      </c>
      <c r="B139" s="23">
        <v>3</v>
      </c>
      <c r="C139" s="10">
        <v>25</v>
      </c>
      <c r="D139" s="47" t="str">
        <f ca="1">VLOOKUP($C139,OFFSET(quests!$A$1,0,0,COUNTA(quests!$A:$A),MATCH(D$1,quests!$1:$1,0)-MATCH($C$2,quests!$1:$1,0)+1),MATCH(D$1,quests!$1:$1,0)-MATCH($C$2,quests!$1:$1,0)+1,FALSE)</f>
        <v>25．サディスティックパーティ</v>
      </c>
      <c r="E139" s="48" t="str">
        <f ca="1">VLOOKUP($C139,OFFSET(quests!$A$1,0,0,COUNTA(quests!$A:$A),MATCH(E$2,quests!$1:$1,0)-MATCH($C$2,quests!$1:$1,0)+1),MATCH(E$2,quests!$1:$1,0)-MATCH($C$2,quests!$1:$1,0)+1,FALSE)</f>
        <v>青DL5</v>
      </c>
      <c r="F139" s="7">
        <v>1</v>
      </c>
      <c r="G139" s="7" t="s">
        <v>570</v>
      </c>
      <c r="H139" s="70" t="s">
        <v>490</v>
      </c>
      <c r="I139" s="12"/>
      <c r="J139" s="12" t="s">
        <v>279</v>
      </c>
      <c r="K139" s="186">
        <v>15</v>
      </c>
      <c r="L139" s="167">
        <v>2610</v>
      </c>
      <c r="M139" s="167">
        <v>1</v>
      </c>
      <c r="N139" s="167">
        <v>1</v>
      </c>
      <c r="O139" s="167">
        <v>1</v>
      </c>
      <c r="P139" s="167">
        <v>1</v>
      </c>
      <c r="Q139" s="167">
        <v>1</v>
      </c>
      <c r="R139" s="167">
        <v>3</v>
      </c>
      <c r="S139" s="167" t="s">
        <v>79</v>
      </c>
      <c r="T139" s="167">
        <v>0</v>
      </c>
      <c r="U139" s="7">
        <v>24</v>
      </c>
      <c r="V139" s="7">
        <v>6</v>
      </c>
      <c r="W139" s="47" t="str">
        <f t="shared" ca="1" si="5"/>
        <v>24-6．【1回のみ】ボーナスステージ</v>
      </c>
      <c r="X139" s="47">
        <f ca="1">VLOOKUP($C139,OFFSET(quests!$A$1,0,0,COUNTA(quests!$A:$A),MATCH(X$2,quests!$1:$1,0)-MATCH($C$2,quests!$1:$1,0)+1),MATCH(X$2,quests!$1:$1,0)-MATCH($C$2,quests!$1:$1,0)+1,FALSE)</f>
        <v>0</v>
      </c>
      <c r="Y139" s="47">
        <f ca="1">VLOOKUP($C139,OFFSET(quests!$A$1,0,0,COUNTA(quests!$A:$A),MATCH(Y$2,quests!$1:$1,0)-MATCH($C$2,quests!$1:$1,0)+1),MATCH(Y$2,quests!$1:$1,0)-MATCH($C$2,quests!$1:$1,0)+1,FALSE)</f>
        <v>1</v>
      </c>
      <c r="Z139" s="47">
        <f ca="1">VLOOKUP($C139,OFFSET(quests!$A$1,0,0,COUNTA(quests!$A:$A),MATCH(Z$2,quests!$1:$1,0)-MATCH($C$2,quests!$1:$1,0)+1),MATCH(Z$2,quests!$1:$1,0)-MATCH($C$2,quests!$1:$1,0)+1,FALSE)</f>
        <v>0</v>
      </c>
      <c r="AA139" s="47">
        <f ca="1">VLOOKUP($C139,OFFSET(quests!$A$1,0,0,COUNTA(quests!$A:$A),MATCH(AA$2,quests!$1:$1,0)-MATCH($C$2,quests!$1:$1,0)+1),MATCH(AA$2,quests!$1:$1,0)-MATCH($C$2,quests!$1:$1,0)+1,FALSE)</f>
        <v>1</v>
      </c>
      <c r="AB139" s="7" t="s">
        <v>56</v>
      </c>
      <c r="AC139" s="7">
        <v>25</v>
      </c>
      <c r="AD139" s="7">
        <v>6</v>
      </c>
      <c r="AE139" s="7" t="s">
        <v>519</v>
      </c>
      <c r="AF139" s="7">
        <v>0</v>
      </c>
      <c r="AG139" s="7">
        <v>0</v>
      </c>
      <c r="AH139" s="7">
        <v>0</v>
      </c>
      <c r="AI139" s="7">
        <v>-1</v>
      </c>
      <c r="AJ139" s="7">
        <v>-1</v>
      </c>
      <c r="AK139" s="7" t="s">
        <v>1064</v>
      </c>
      <c r="AL139" s="12" t="s">
        <v>1695</v>
      </c>
      <c r="AM139" s="12" t="s">
        <v>2072</v>
      </c>
    </row>
    <row r="140" spans="1:39" ht="21" customHeight="1" x14ac:dyDescent="0.15">
      <c r="A140" s="42" t="str">
        <f t="shared" si="4"/>
        <v>25_2</v>
      </c>
      <c r="B140" s="23">
        <v>3</v>
      </c>
      <c r="C140" s="10">
        <v>25</v>
      </c>
      <c r="D140" s="47" t="str">
        <f ca="1">VLOOKUP($C140,OFFSET(quests!$A$1,0,0,COUNTA(quests!$A:$A),MATCH(D$1,quests!$1:$1,0)-MATCH($C$2,quests!$1:$1,0)+1),MATCH(D$1,quests!$1:$1,0)-MATCH($C$2,quests!$1:$1,0)+1,FALSE)</f>
        <v>25．サディスティックパーティ</v>
      </c>
      <c r="E140" s="48" t="str">
        <f ca="1">VLOOKUP($C140,OFFSET(quests!$A$1,0,0,COUNTA(quests!$A:$A),MATCH(E$2,quests!$1:$1,0)-MATCH($C$2,quests!$1:$1,0)+1),MATCH(E$2,quests!$1:$1,0)-MATCH($C$2,quests!$1:$1,0)+1,FALSE)</f>
        <v>青DL5</v>
      </c>
      <c r="F140" s="7">
        <v>2</v>
      </c>
      <c r="G140" s="7" t="s">
        <v>570</v>
      </c>
      <c r="H140" s="70" t="s">
        <v>491</v>
      </c>
      <c r="I140" s="12"/>
      <c r="J140" s="12" t="s">
        <v>279</v>
      </c>
      <c r="K140" s="186">
        <v>15</v>
      </c>
      <c r="L140" s="167">
        <v>2790</v>
      </c>
      <c r="M140" s="167">
        <v>1</v>
      </c>
      <c r="N140" s="167">
        <v>1</v>
      </c>
      <c r="O140" s="167">
        <v>1</v>
      </c>
      <c r="P140" s="167">
        <v>1</v>
      </c>
      <c r="Q140" s="167">
        <v>1</v>
      </c>
      <c r="R140" s="167">
        <v>3</v>
      </c>
      <c r="S140" s="167" t="s">
        <v>79</v>
      </c>
      <c r="T140" s="167">
        <v>0</v>
      </c>
      <c r="U140" s="7">
        <v>25</v>
      </c>
      <c r="V140" s="7">
        <v>1</v>
      </c>
      <c r="W140" s="47" t="str">
        <f t="shared" ca="1" si="5"/>
        <v>25-1．血塗られた招待状</v>
      </c>
      <c r="X140" s="47">
        <f ca="1">VLOOKUP($C140,OFFSET(quests!$A$1,0,0,COUNTA(quests!$A:$A),MATCH(X$2,quests!$1:$1,0)-MATCH($C$2,quests!$1:$1,0)+1),MATCH(X$2,quests!$1:$1,0)-MATCH($C$2,quests!$1:$1,0)+1,FALSE)</f>
        <v>0</v>
      </c>
      <c r="Y140" s="47">
        <f ca="1">VLOOKUP($C140,OFFSET(quests!$A$1,0,0,COUNTA(quests!$A:$A),MATCH(Y$2,quests!$1:$1,0)-MATCH($C$2,quests!$1:$1,0)+1),MATCH(Y$2,quests!$1:$1,0)-MATCH($C$2,quests!$1:$1,0)+1,FALSE)</f>
        <v>1</v>
      </c>
      <c r="Z140" s="47">
        <f ca="1">VLOOKUP($C140,OFFSET(quests!$A$1,0,0,COUNTA(quests!$A:$A),MATCH(Z$2,quests!$1:$1,0)-MATCH($C$2,quests!$1:$1,0)+1),MATCH(Z$2,quests!$1:$1,0)-MATCH($C$2,quests!$1:$1,0)+1,FALSE)</f>
        <v>0</v>
      </c>
      <c r="AA140" s="47">
        <f ca="1">VLOOKUP($C140,OFFSET(quests!$A$1,0,0,COUNTA(quests!$A:$A),MATCH(AA$2,quests!$1:$1,0)-MATCH($C$2,quests!$1:$1,0)+1),MATCH(AA$2,quests!$1:$1,0)-MATCH($C$2,quests!$1:$1,0)+1,FALSE)</f>
        <v>1</v>
      </c>
      <c r="AB140" s="7" t="s">
        <v>56</v>
      </c>
      <c r="AC140" s="7">
        <v>25</v>
      </c>
      <c r="AD140" s="7">
        <v>6</v>
      </c>
      <c r="AE140" s="7" t="s">
        <v>519</v>
      </c>
      <c r="AF140" s="7">
        <v>0</v>
      </c>
      <c r="AG140" s="7">
        <v>0</v>
      </c>
      <c r="AH140" s="7">
        <v>0</v>
      </c>
      <c r="AI140" s="7">
        <v>-1</v>
      </c>
      <c r="AJ140" s="7">
        <v>-1</v>
      </c>
      <c r="AK140" s="7" t="s">
        <v>1064</v>
      </c>
      <c r="AL140" s="12" t="s">
        <v>1695</v>
      </c>
      <c r="AM140" s="12" t="s">
        <v>2072</v>
      </c>
    </row>
    <row r="141" spans="1:39" ht="21" customHeight="1" x14ac:dyDescent="0.15">
      <c r="A141" s="42" t="str">
        <f t="shared" si="4"/>
        <v>25_3</v>
      </c>
      <c r="B141" s="23">
        <v>3</v>
      </c>
      <c r="C141" s="10">
        <v>25</v>
      </c>
      <c r="D141" s="47" t="str">
        <f ca="1">VLOOKUP($C141,OFFSET(quests!$A$1,0,0,COUNTA(quests!$A:$A),MATCH(D$1,quests!$1:$1,0)-MATCH($C$2,quests!$1:$1,0)+1),MATCH(D$1,quests!$1:$1,0)-MATCH($C$2,quests!$1:$1,0)+1,FALSE)</f>
        <v>25．サディスティックパーティ</v>
      </c>
      <c r="E141" s="48" t="str">
        <f ca="1">VLOOKUP($C141,OFFSET(quests!$A$1,0,0,COUNTA(quests!$A:$A),MATCH(E$2,quests!$1:$1,0)-MATCH($C$2,quests!$1:$1,0)+1),MATCH(E$2,quests!$1:$1,0)-MATCH($C$2,quests!$1:$1,0)+1,FALSE)</f>
        <v>青DL5</v>
      </c>
      <c r="F141" s="7">
        <v>3</v>
      </c>
      <c r="G141" s="7" t="s">
        <v>570</v>
      </c>
      <c r="H141" s="70" t="s">
        <v>492</v>
      </c>
      <c r="I141" s="12"/>
      <c r="J141" s="12" t="s">
        <v>279</v>
      </c>
      <c r="K141" s="186">
        <v>16</v>
      </c>
      <c r="L141" s="167">
        <v>3000</v>
      </c>
      <c r="M141" s="167">
        <v>1</v>
      </c>
      <c r="N141" s="167">
        <v>1</v>
      </c>
      <c r="O141" s="167">
        <v>1</v>
      </c>
      <c r="P141" s="167">
        <v>1</v>
      </c>
      <c r="Q141" s="167">
        <v>1</v>
      </c>
      <c r="R141" s="167">
        <v>3</v>
      </c>
      <c r="S141" s="167" t="s">
        <v>79</v>
      </c>
      <c r="T141" s="167">
        <v>0</v>
      </c>
      <c r="U141" s="7">
        <v>25</v>
      </c>
      <c r="V141" s="7">
        <v>2</v>
      </c>
      <c r="W141" s="47" t="str">
        <f t="shared" ca="1" si="5"/>
        <v>25-2．剣の舞</v>
      </c>
      <c r="X141" s="47">
        <f ca="1">VLOOKUP($C141,OFFSET(quests!$A$1,0,0,COUNTA(quests!$A:$A),MATCH(X$2,quests!$1:$1,0)-MATCH($C$2,quests!$1:$1,0)+1),MATCH(X$2,quests!$1:$1,0)-MATCH($C$2,quests!$1:$1,0)+1,FALSE)</f>
        <v>0</v>
      </c>
      <c r="Y141" s="47">
        <f ca="1">VLOOKUP($C141,OFFSET(quests!$A$1,0,0,COUNTA(quests!$A:$A),MATCH(Y$2,quests!$1:$1,0)-MATCH($C$2,quests!$1:$1,0)+1),MATCH(Y$2,quests!$1:$1,0)-MATCH($C$2,quests!$1:$1,0)+1,FALSE)</f>
        <v>1</v>
      </c>
      <c r="Z141" s="47">
        <f ca="1">VLOOKUP($C141,OFFSET(quests!$A$1,0,0,COUNTA(quests!$A:$A),MATCH(Z$2,quests!$1:$1,0)-MATCH($C$2,quests!$1:$1,0)+1),MATCH(Z$2,quests!$1:$1,0)-MATCH($C$2,quests!$1:$1,0)+1,FALSE)</f>
        <v>0</v>
      </c>
      <c r="AA141" s="47">
        <f ca="1">VLOOKUP($C141,OFFSET(quests!$A$1,0,0,COUNTA(quests!$A:$A),MATCH(AA$2,quests!$1:$1,0)-MATCH($C$2,quests!$1:$1,0)+1),MATCH(AA$2,quests!$1:$1,0)-MATCH($C$2,quests!$1:$1,0)+1,FALSE)</f>
        <v>1</v>
      </c>
      <c r="AB141" s="7" t="s">
        <v>56</v>
      </c>
      <c r="AC141" s="7">
        <v>25</v>
      </c>
      <c r="AD141" s="7">
        <v>6</v>
      </c>
      <c r="AE141" s="7" t="s">
        <v>519</v>
      </c>
      <c r="AF141" s="7">
        <v>0</v>
      </c>
      <c r="AG141" s="7">
        <v>0</v>
      </c>
      <c r="AH141" s="7">
        <v>0</v>
      </c>
      <c r="AI141" s="7">
        <v>-1</v>
      </c>
      <c r="AJ141" s="7">
        <v>-1</v>
      </c>
      <c r="AK141" s="7" t="s">
        <v>1064</v>
      </c>
      <c r="AL141" s="12" t="s">
        <v>1695</v>
      </c>
      <c r="AM141" s="12" t="s">
        <v>2072</v>
      </c>
    </row>
    <row r="142" spans="1:39" ht="21" customHeight="1" x14ac:dyDescent="0.15">
      <c r="A142" s="42" t="str">
        <f t="shared" si="4"/>
        <v>25_4</v>
      </c>
      <c r="B142" s="23">
        <v>3</v>
      </c>
      <c r="C142" s="10">
        <v>25</v>
      </c>
      <c r="D142" s="47" t="str">
        <f ca="1">VLOOKUP($C142,OFFSET(quests!$A$1,0,0,COUNTA(quests!$A:$A),MATCH(D$1,quests!$1:$1,0)-MATCH($C$2,quests!$1:$1,0)+1),MATCH(D$1,quests!$1:$1,0)-MATCH($C$2,quests!$1:$1,0)+1,FALSE)</f>
        <v>25．サディスティックパーティ</v>
      </c>
      <c r="E142" s="48" t="str">
        <f ca="1">VLOOKUP($C142,OFFSET(quests!$A$1,0,0,COUNTA(quests!$A:$A),MATCH(E$2,quests!$1:$1,0)-MATCH($C$2,quests!$1:$1,0)+1),MATCH(E$2,quests!$1:$1,0)-MATCH($C$2,quests!$1:$1,0)+1,FALSE)</f>
        <v>青DL5</v>
      </c>
      <c r="F142" s="7">
        <v>4</v>
      </c>
      <c r="G142" s="7" t="s">
        <v>570</v>
      </c>
      <c r="H142" s="70" t="s">
        <v>493</v>
      </c>
      <c r="I142" s="12"/>
      <c r="J142" s="12" t="s">
        <v>279</v>
      </c>
      <c r="K142" s="186">
        <v>17</v>
      </c>
      <c r="L142" s="167">
        <v>3310</v>
      </c>
      <c r="M142" s="167">
        <v>1</v>
      </c>
      <c r="N142" s="167">
        <v>1</v>
      </c>
      <c r="O142" s="167">
        <v>1</v>
      </c>
      <c r="P142" s="167">
        <v>1</v>
      </c>
      <c r="Q142" s="167">
        <v>1</v>
      </c>
      <c r="R142" s="167">
        <v>3</v>
      </c>
      <c r="S142" s="167" t="s">
        <v>79</v>
      </c>
      <c r="T142" s="167">
        <v>0</v>
      </c>
      <c r="U142" s="7">
        <v>25</v>
      </c>
      <c r="V142" s="7">
        <v>3</v>
      </c>
      <c r="W142" s="47" t="str">
        <f t="shared" ca="1" si="5"/>
        <v>25-3．暗闇との対話</v>
      </c>
      <c r="X142" s="47">
        <f ca="1">VLOOKUP($C142,OFFSET(quests!$A$1,0,0,COUNTA(quests!$A:$A),MATCH(X$2,quests!$1:$1,0)-MATCH($C$2,quests!$1:$1,0)+1),MATCH(X$2,quests!$1:$1,0)-MATCH($C$2,quests!$1:$1,0)+1,FALSE)</f>
        <v>0</v>
      </c>
      <c r="Y142" s="47">
        <f ca="1">VLOOKUP($C142,OFFSET(quests!$A$1,0,0,COUNTA(quests!$A:$A),MATCH(Y$2,quests!$1:$1,0)-MATCH($C$2,quests!$1:$1,0)+1),MATCH(Y$2,quests!$1:$1,0)-MATCH($C$2,quests!$1:$1,0)+1,FALSE)</f>
        <v>1</v>
      </c>
      <c r="Z142" s="47">
        <f ca="1">VLOOKUP($C142,OFFSET(quests!$A$1,0,0,COUNTA(quests!$A:$A),MATCH(Z$2,quests!$1:$1,0)-MATCH($C$2,quests!$1:$1,0)+1),MATCH(Z$2,quests!$1:$1,0)-MATCH($C$2,quests!$1:$1,0)+1,FALSE)</f>
        <v>0</v>
      </c>
      <c r="AA142" s="47">
        <f ca="1">VLOOKUP($C142,OFFSET(quests!$A$1,0,0,COUNTA(quests!$A:$A),MATCH(AA$2,quests!$1:$1,0)-MATCH($C$2,quests!$1:$1,0)+1),MATCH(AA$2,quests!$1:$1,0)-MATCH($C$2,quests!$1:$1,0)+1,FALSE)</f>
        <v>1</v>
      </c>
      <c r="AB142" s="7" t="s">
        <v>56</v>
      </c>
      <c r="AC142" s="7">
        <v>25</v>
      </c>
      <c r="AD142" s="7">
        <v>6</v>
      </c>
      <c r="AE142" s="7" t="s">
        <v>519</v>
      </c>
      <c r="AF142" s="7">
        <v>0</v>
      </c>
      <c r="AG142" s="7">
        <v>0</v>
      </c>
      <c r="AH142" s="7">
        <v>0</v>
      </c>
      <c r="AI142" s="7">
        <v>-1</v>
      </c>
      <c r="AJ142" s="7">
        <v>-1</v>
      </c>
      <c r="AK142" s="7" t="s">
        <v>1064</v>
      </c>
      <c r="AL142" s="12" t="s">
        <v>1695</v>
      </c>
      <c r="AM142" s="12" t="s">
        <v>2072</v>
      </c>
    </row>
    <row r="143" spans="1:39" ht="21" customHeight="1" x14ac:dyDescent="0.15">
      <c r="A143" s="42" t="str">
        <f t="shared" si="4"/>
        <v>25_5</v>
      </c>
      <c r="B143" s="23">
        <v>3</v>
      </c>
      <c r="C143" s="10">
        <v>25</v>
      </c>
      <c r="D143" s="47" t="str">
        <f ca="1">VLOOKUP($C143,OFFSET(quests!$A$1,0,0,COUNTA(quests!$A:$A),MATCH(D$1,quests!$1:$1,0)-MATCH($C$2,quests!$1:$1,0)+1),MATCH(D$1,quests!$1:$1,0)-MATCH($C$2,quests!$1:$1,0)+1,FALSE)</f>
        <v>25．サディスティックパーティ</v>
      </c>
      <c r="E143" s="48" t="str">
        <f ca="1">VLOOKUP($C143,OFFSET(quests!$A$1,0,0,COUNTA(quests!$A:$A),MATCH(E$2,quests!$1:$1,0)-MATCH($C$2,quests!$1:$1,0)+1),MATCH(E$2,quests!$1:$1,0)-MATCH($C$2,quests!$1:$1,0)+1,FALSE)</f>
        <v>青DL5</v>
      </c>
      <c r="F143" s="9">
        <v>5</v>
      </c>
      <c r="G143" s="7" t="s">
        <v>570</v>
      </c>
      <c r="H143" s="70" t="s">
        <v>494</v>
      </c>
      <c r="I143" s="12"/>
      <c r="J143" s="12" t="s">
        <v>279</v>
      </c>
      <c r="K143" s="186">
        <v>20</v>
      </c>
      <c r="L143" s="167">
        <v>4080</v>
      </c>
      <c r="M143" s="167">
        <v>1</v>
      </c>
      <c r="N143" s="167">
        <v>1</v>
      </c>
      <c r="O143" s="167">
        <v>1</v>
      </c>
      <c r="P143" s="167">
        <v>1</v>
      </c>
      <c r="Q143" s="167">
        <v>1</v>
      </c>
      <c r="R143" s="167">
        <v>3</v>
      </c>
      <c r="S143" s="167" t="s">
        <v>79</v>
      </c>
      <c r="T143" s="167">
        <v>0</v>
      </c>
      <c r="U143" s="7">
        <v>25</v>
      </c>
      <c r="V143" s="7">
        <v>4</v>
      </c>
      <c r="W143" s="47" t="str">
        <f t="shared" ca="1" si="5"/>
        <v>25-4．許されぬ休息</v>
      </c>
      <c r="X143" s="47">
        <f ca="1">VLOOKUP($C143,OFFSET(quests!$A$1,0,0,COUNTA(quests!$A:$A),MATCH(X$2,quests!$1:$1,0)-MATCH($C$2,quests!$1:$1,0)+1),MATCH(X$2,quests!$1:$1,0)-MATCH($C$2,quests!$1:$1,0)+1,FALSE)</f>
        <v>0</v>
      </c>
      <c r="Y143" s="47">
        <f ca="1">VLOOKUP($C143,OFFSET(quests!$A$1,0,0,COUNTA(quests!$A:$A),MATCH(Y$2,quests!$1:$1,0)-MATCH($C$2,quests!$1:$1,0)+1),MATCH(Y$2,quests!$1:$1,0)-MATCH($C$2,quests!$1:$1,0)+1,FALSE)</f>
        <v>1</v>
      </c>
      <c r="Z143" s="47">
        <f ca="1">VLOOKUP($C143,OFFSET(quests!$A$1,0,0,COUNTA(quests!$A:$A),MATCH(Z$2,quests!$1:$1,0)-MATCH($C$2,quests!$1:$1,0)+1),MATCH(Z$2,quests!$1:$1,0)-MATCH($C$2,quests!$1:$1,0)+1,FALSE)</f>
        <v>0</v>
      </c>
      <c r="AA143" s="47">
        <f ca="1">VLOOKUP($C143,OFFSET(quests!$A$1,0,0,COUNTA(quests!$A:$A),MATCH(AA$2,quests!$1:$1,0)-MATCH($C$2,quests!$1:$1,0)+1),MATCH(AA$2,quests!$1:$1,0)-MATCH($C$2,quests!$1:$1,0)+1,FALSE)</f>
        <v>1</v>
      </c>
      <c r="AB143" s="7" t="s">
        <v>56</v>
      </c>
      <c r="AC143" s="7">
        <v>25</v>
      </c>
      <c r="AD143" s="7">
        <v>6</v>
      </c>
      <c r="AE143" s="7" t="s">
        <v>519</v>
      </c>
      <c r="AF143" s="33">
        <v>3</v>
      </c>
      <c r="AG143" s="7">
        <v>0</v>
      </c>
      <c r="AH143" s="7">
        <v>0</v>
      </c>
      <c r="AI143" s="7">
        <v>-1</v>
      </c>
      <c r="AJ143" s="7">
        <v>-1</v>
      </c>
      <c r="AK143" s="7" t="s">
        <v>1064</v>
      </c>
      <c r="AL143" s="12" t="s">
        <v>1695</v>
      </c>
      <c r="AM143" s="12" t="s">
        <v>2072</v>
      </c>
    </row>
    <row r="144" spans="1:39" ht="21" customHeight="1" x14ac:dyDescent="0.15">
      <c r="A144" s="42" t="str">
        <f t="shared" si="4"/>
        <v>25_6</v>
      </c>
      <c r="B144" s="23">
        <v>3</v>
      </c>
      <c r="C144" s="10">
        <v>25</v>
      </c>
      <c r="D144" s="47" t="str">
        <f ca="1">VLOOKUP($C144,OFFSET(quests!$A$1,0,0,COUNTA(quests!$A:$A),MATCH(D$1,quests!$1:$1,0)-MATCH($C$2,quests!$1:$1,0)+1),MATCH(D$1,quests!$1:$1,0)-MATCH($C$2,quests!$1:$1,0)+1,FALSE)</f>
        <v>25．サディスティックパーティ</v>
      </c>
      <c r="E144" s="48" t="str">
        <f ca="1">VLOOKUP($C144,OFFSET(quests!$A$1,0,0,COUNTA(quests!$A:$A),MATCH(E$2,quests!$1:$1,0)-MATCH($C$2,quests!$1:$1,0)+1),MATCH(E$2,quests!$1:$1,0)-MATCH($C$2,quests!$1:$1,0)+1,FALSE)</f>
        <v>青DL5</v>
      </c>
      <c r="F144" s="7">
        <v>6</v>
      </c>
      <c r="G144" s="7" t="s">
        <v>570</v>
      </c>
      <c r="H144" s="69" t="s">
        <v>887</v>
      </c>
      <c r="I144" s="12" t="s">
        <v>164</v>
      </c>
      <c r="J144" s="12">
        <v>339</v>
      </c>
      <c r="K144" s="186">
        <v>1</v>
      </c>
      <c r="L144" s="167">
        <v>1</v>
      </c>
      <c r="M144" s="167">
        <v>1</v>
      </c>
      <c r="N144" s="167">
        <v>1</v>
      </c>
      <c r="O144" s="167">
        <v>1</v>
      </c>
      <c r="P144" s="167">
        <v>1</v>
      </c>
      <c r="Q144" s="167">
        <v>1</v>
      </c>
      <c r="R144" s="167">
        <v>3</v>
      </c>
      <c r="S144" s="167" t="s">
        <v>273</v>
      </c>
      <c r="T144" s="191" t="s">
        <v>2162</v>
      </c>
      <c r="U144" s="7">
        <v>25</v>
      </c>
      <c r="V144" s="7">
        <v>5</v>
      </c>
      <c r="W144" s="47" t="str">
        <f t="shared" ca="1" si="5"/>
        <v>25-5．君はサディスティック</v>
      </c>
      <c r="X144" s="47">
        <f ca="1">VLOOKUP($C144,OFFSET(quests!$A$1,0,0,COUNTA(quests!$A:$A),MATCH(X$2,quests!$1:$1,0)-MATCH($C$2,quests!$1:$1,0)+1),MATCH(X$2,quests!$1:$1,0)-MATCH($C$2,quests!$1:$1,0)+1,FALSE)</f>
        <v>0</v>
      </c>
      <c r="Y144" s="47">
        <f ca="1">VLOOKUP($C144,OFFSET(quests!$A$1,0,0,COUNTA(quests!$A:$A),MATCH(Y$2,quests!$1:$1,0)-MATCH($C$2,quests!$1:$1,0)+1),MATCH(Y$2,quests!$1:$1,0)-MATCH($C$2,quests!$1:$1,0)+1,FALSE)</f>
        <v>1</v>
      </c>
      <c r="Z144" s="47">
        <f ca="1">VLOOKUP($C144,OFFSET(quests!$A$1,0,0,COUNTA(quests!$A:$A),MATCH(Z$2,quests!$1:$1,0)-MATCH($C$2,quests!$1:$1,0)+1),MATCH(Z$2,quests!$1:$1,0)-MATCH($C$2,quests!$1:$1,0)+1,FALSE)</f>
        <v>0</v>
      </c>
      <c r="AA144" s="47">
        <f ca="1">VLOOKUP($C144,OFFSET(quests!$A$1,0,0,COUNTA(quests!$A:$A),MATCH(AA$2,quests!$1:$1,0)-MATCH($C$2,quests!$1:$1,0)+1),MATCH(AA$2,quests!$1:$1,0)-MATCH($C$2,quests!$1:$1,0)+1,FALSE)</f>
        <v>1</v>
      </c>
      <c r="AB144" s="7" t="s">
        <v>62</v>
      </c>
      <c r="AC144" s="7">
        <v>25</v>
      </c>
      <c r="AD144" s="7">
        <v>6</v>
      </c>
      <c r="AE144" s="7" t="s">
        <v>522</v>
      </c>
      <c r="AF144" s="7">
        <v>1</v>
      </c>
      <c r="AG144" s="7">
        <v>0</v>
      </c>
      <c r="AH144" s="7">
        <v>0</v>
      </c>
      <c r="AI144" s="7">
        <v>-1</v>
      </c>
      <c r="AJ144" s="7">
        <v>-1</v>
      </c>
      <c r="AK144" s="7" t="s">
        <v>1064</v>
      </c>
      <c r="AL144" s="12" t="s">
        <v>1695</v>
      </c>
      <c r="AM144" s="12" t="s">
        <v>2072</v>
      </c>
    </row>
    <row r="145" spans="1:39" ht="21" customHeight="1" x14ac:dyDescent="0.15">
      <c r="A145" s="42" t="str">
        <f t="shared" si="4"/>
        <v>26_1</v>
      </c>
      <c r="B145" s="23">
        <v>3</v>
      </c>
      <c r="C145" s="10">
        <v>26</v>
      </c>
      <c r="D145" s="47" t="str">
        <f ca="1">VLOOKUP($C145,OFFSET(quests!$A$1,0,0,COUNTA(quests!$A:$A),MATCH(D$1,quests!$1:$1,0)-MATCH($C$2,quests!$1:$1,0)+1),MATCH(D$1,quests!$1:$1,0)-MATCH($C$2,quests!$1:$1,0)+1,FALSE)</f>
        <v>26．クラブ クラッシュビーツ</v>
      </c>
      <c r="E145" s="48" t="str">
        <f ca="1">VLOOKUP($C145,OFFSET(quests!$A$1,0,0,COUNTA(quests!$A:$A),MATCH(E$2,quests!$1:$1,0)-MATCH($C$2,quests!$1:$1,0)+1),MATCH(E$2,quests!$1:$1,0)-MATCH($C$2,quests!$1:$1,0)+1,FALSE)</f>
        <v>混色DL5</v>
      </c>
      <c r="F145" s="7">
        <v>1</v>
      </c>
      <c r="G145" s="7" t="s">
        <v>570</v>
      </c>
      <c r="H145" s="70" t="s">
        <v>495</v>
      </c>
      <c r="I145" s="12"/>
      <c r="J145" s="12" t="s">
        <v>279</v>
      </c>
      <c r="K145" s="186">
        <v>15</v>
      </c>
      <c r="L145" s="167">
        <v>2850</v>
      </c>
      <c r="M145" s="167">
        <v>1</v>
      </c>
      <c r="N145" s="167">
        <v>1</v>
      </c>
      <c r="O145" s="167">
        <v>1</v>
      </c>
      <c r="P145" s="167">
        <v>1</v>
      </c>
      <c r="Q145" s="167">
        <v>1</v>
      </c>
      <c r="R145" s="167">
        <v>3</v>
      </c>
      <c r="S145" s="167" t="s">
        <v>79</v>
      </c>
      <c r="T145" s="167">
        <v>0</v>
      </c>
      <c r="U145" s="7">
        <v>25</v>
      </c>
      <c r="V145" s="7">
        <v>6</v>
      </c>
      <c r="W145" s="47" t="str">
        <f t="shared" ca="1" si="5"/>
        <v>25-6．【1回のみ】ボーナスステージ</v>
      </c>
      <c r="X145" s="47">
        <f ca="1">VLOOKUP($C145,OFFSET(quests!$A$1,0,0,COUNTA(quests!$A:$A),MATCH(X$2,quests!$1:$1,0)-MATCH($C$2,quests!$1:$1,0)+1),MATCH(X$2,quests!$1:$1,0)-MATCH($C$2,quests!$1:$1,0)+1,FALSE)</f>
        <v>1</v>
      </c>
      <c r="Y145" s="47">
        <f ca="1">VLOOKUP($C145,OFFSET(quests!$A$1,0,0,COUNTA(quests!$A:$A),MATCH(Y$2,quests!$1:$1,0)-MATCH($C$2,quests!$1:$1,0)+1),MATCH(Y$2,quests!$1:$1,0)-MATCH($C$2,quests!$1:$1,0)+1,FALSE)</f>
        <v>1</v>
      </c>
      <c r="Z145" s="47">
        <f ca="1">VLOOKUP($C145,OFFSET(quests!$A$1,0,0,COUNTA(quests!$A:$A),MATCH(Z$2,quests!$1:$1,0)-MATCH($C$2,quests!$1:$1,0)+1),MATCH(Z$2,quests!$1:$1,0)-MATCH($C$2,quests!$1:$1,0)+1,FALSE)</f>
        <v>1</v>
      </c>
      <c r="AA145" s="47">
        <f ca="1">VLOOKUP($C145,OFFSET(quests!$A$1,0,0,COUNTA(quests!$A:$A),MATCH(AA$2,quests!$1:$1,0)-MATCH($C$2,quests!$1:$1,0)+1),MATCH(AA$2,quests!$1:$1,0)-MATCH($C$2,quests!$1:$1,0)+1,FALSE)</f>
        <v>1</v>
      </c>
      <c r="AB145" s="7" t="s">
        <v>56</v>
      </c>
      <c r="AC145" s="7">
        <v>2601</v>
      </c>
      <c r="AD145" s="7">
        <v>6</v>
      </c>
      <c r="AE145" s="7" t="s">
        <v>519</v>
      </c>
      <c r="AF145" s="7">
        <v>0</v>
      </c>
      <c r="AG145" s="7">
        <v>0</v>
      </c>
      <c r="AH145" s="7">
        <v>0</v>
      </c>
      <c r="AI145" s="7">
        <v>-1</v>
      </c>
      <c r="AJ145" s="7">
        <v>-1</v>
      </c>
      <c r="AK145" s="7" t="s">
        <v>1064</v>
      </c>
      <c r="AL145" s="12" t="s">
        <v>1695</v>
      </c>
      <c r="AM145" s="12" t="s">
        <v>2072</v>
      </c>
    </row>
    <row r="146" spans="1:39" ht="21" customHeight="1" x14ac:dyDescent="0.15">
      <c r="A146" s="42" t="str">
        <f t="shared" si="4"/>
        <v>26_2</v>
      </c>
      <c r="B146" s="23">
        <v>3</v>
      </c>
      <c r="C146" s="10">
        <v>26</v>
      </c>
      <c r="D146" s="47" t="str">
        <f ca="1">VLOOKUP($C146,OFFSET(quests!$A$1,0,0,COUNTA(quests!$A:$A),MATCH(D$1,quests!$1:$1,0)-MATCH($C$2,quests!$1:$1,0)+1),MATCH(D$1,quests!$1:$1,0)-MATCH($C$2,quests!$1:$1,0)+1,FALSE)</f>
        <v>26．クラブ クラッシュビーツ</v>
      </c>
      <c r="E146" s="48" t="str">
        <f ca="1">VLOOKUP($C146,OFFSET(quests!$A$1,0,0,COUNTA(quests!$A:$A),MATCH(E$2,quests!$1:$1,0)-MATCH($C$2,quests!$1:$1,0)+1),MATCH(E$2,quests!$1:$1,0)-MATCH($C$2,quests!$1:$1,0)+1,FALSE)</f>
        <v>混色DL5</v>
      </c>
      <c r="F146" s="7">
        <v>2</v>
      </c>
      <c r="G146" s="7" t="s">
        <v>570</v>
      </c>
      <c r="H146" s="70" t="s">
        <v>496</v>
      </c>
      <c r="I146" s="12"/>
      <c r="J146" s="12" t="s">
        <v>279</v>
      </c>
      <c r="K146" s="186">
        <v>15</v>
      </c>
      <c r="L146" s="167">
        <v>3030</v>
      </c>
      <c r="M146" s="167">
        <v>1</v>
      </c>
      <c r="N146" s="167">
        <v>1</v>
      </c>
      <c r="O146" s="167">
        <v>1</v>
      </c>
      <c r="P146" s="167">
        <v>1</v>
      </c>
      <c r="Q146" s="167">
        <v>1</v>
      </c>
      <c r="R146" s="167">
        <v>3</v>
      </c>
      <c r="S146" s="167" t="s">
        <v>79</v>
      </c>
      <c r="T146" s="167">
        <v>0</v>
      </c>
      <c r="U146" s="7">
        <v>26</v>
      </c>
      <c r="V146" s="7">
        <v>1</v>
      </c>
      <c r="W146" s="47" t="str">
        <f t="shared" ca="1" si="5"/>
        <v>26-1．無愛想なフロント</v>
      </c>
      <c r="X146" s="47">
        <f ca="1">VLOOKUP($C146,OFFSET(quests!$A$1,0,0,COUNTA(quests!$A:$A),MATCH(X$2,quests!$1:$1,0)-MATCH($C$2,quests!$1:$1,0)+1),MATCH(X$2,quests!$1:$1,0)-MATCH($C$2,quests!$1:$1,0)+1,FALSE)</f>
        <v>1</v>
      </c>
      <c r="Y146" s="47">
        <f ca="1">VLOOKUP($C146,OFFSET(quests!$A$1,0,0,COUNTA(quests!$A:$A),MATCH(Y$2,quests!$1:$1,0)-MATCH($C$2,quests!$1:$1,0)+1),MATCH(Y$2,quests!$1:$1,0)-MATCH($C$2,quests!$1:$1,0)+1,FALSE)</f>
        <v>1</v>
      </c>
      <c r="Z146" s="47">
        <f ca="1">VLOOKUP($C146,OFFSET(quests!$A$1,0,0,COUNTA(quests!$A:$A),MATCH(Z$2,quests!$1:$1,0)-MATCH($C$2,quests!$1:$1,0)+1),MATCH(Z$2,quests!$1:$1,0)-MATCH($C$2,quests!$1:$1,0)+1,FALSE)</f>
        <v>1</v>
      </c>
      <c r="AA146" s="47">
        <f ca="1">VLOOKUP($C146,OFFSET(quests!$A$1,0,0,COUNTA(quests!$A:$A),MATCH(AA$2,quests!$1:$1,0)-MATCH($C$2,quests!$1:$1,0)+1),MATCH(AA$2,quests!$1:$1,0)-MATCH($C$2,quests!$1:$1,0)+1,FALSE)</f>
        <v>1</v>
      </c>
      <c r="AB146" s="7" t="s">
        <v>56</v>
      </c>
      <c r="AC146" s="7">
        <v>2601</v>
      </c>
      <c r="AD146" s="7">
        <v>6</v>
      </c>
      <c r="AE146" s="7" t="s">
        <v>519</v>
      </c>
      <c r="AF146" s="7">
        <v>0</v>
      </c>
      <c r="AG146" s="7">
        <v>0</v>
      </c>
      <c r="AH146" s="7">
        <v>0</v>
      </c>
      <c r="AI146" s="7">
        <v>-1</v>
      </c>
      <c r="AJ146" s="7">
        <v>-1</v>
      </c>
      <c r="AK146" s="7" t="s">
        <v>1064</v>
      </c>
      <c r="AL146" s="12" t="s">
        <v>1695</v>
      </c>
      <c r="AM146" s="12" t="s">
        <v>2072</v>
      </c>
    </row>
    <row r="147" spans="1:39" ht="21" customHeight="1" x14ac:dyDescent="0.15">
      <c r="A147" s="42" t="str">
        <f t="shared" si="4"/>
        <v>26_3</v>
      </c>
      <c r="B147" s="23">
        <v>3</v>
      </c>
      <c r="C147" s="10">
        <v>26</v>
      </c>
      <c r="D147" s="47" t="str">
        <f ca="1">VLOOKUP($C147,OFFSET(quests!$A$1,0,0,COUNTA(quests!$A:$A),MATCH(D$1,quests!$1:$1,0)-MATCH($C$2,quests!$1:$1,0)+1),MATCH(D$1,quests!$1:$1,0)-MATCH($C$2,quests!$1:$1,0)+1,FALSE)</f>
        <v>26．クラブ クラッシュビーツ</v>
      </c>
      <c r="E147" s="48" t="str">
        <f ca="1">VLOOKUP($C147,OFFSET(quests!$A$1,0,0,COUNTA(quests!$A:$A),MATCH(E$2,quests!$1:$1,0)-MATCH($C$2,quests!$1:$1,0)+1),MATCH(E$2,quests!$1:$1,0)-MATCH($C$2,quests!$1:$1,0)+1,FALSE)</f>
        <v>混色DL5</v>
      </c>
      <c r="F147" s="7">
        <v>3</v>
      </c>
      <c r="G147" s="7" t="s">
        <v>570</v>
      </c>
      <c r="H147" s="70" t="s">
        <v>497</v>
      </c>
      <c r="I147" s="12"/>
      <c r="J147" s="12" t="s">
        <v>279</v>
      </c>
      <c r="K147" s="186">
        <v>17</v>
      </c>
      <c r="L147" s="167">
        <v>3240</v>
      </c>
      <c r="M147" s="167">
        <v>1</v>
      </c>
      <c r="N147" s="167">
        <v>1</v>
      </c>
      <c r="O147" s="167">
        <v>1</v>
      </c>
      <c r="P147" s="167">
        <v>1</v>
      </c>
      <c r="Q147" s="167">
        <v>1</v>
      </c>
      <c r="R147" s="167">
        <v>3</v>
      </c>
      <c r="S147" s="167" t="s">
        <v>79</v>
      </c>
      <c r="T147" s="167">
        <v>0</v>
      </c>
      <c r="U147" s="7">
        <v>26</v>
      </c>
      <c r="V147" s="7">
        <v>2</v>
      </c>
      <c r="W147" s="47" t="str">
        <f t="shared" ca="1" si="5"/>
        <v>26-2．フロアジャック</v>
      </c>
      <c r="X147" s="47">
        <f ca="1">VLOOKUP($C147,OFFSET(quests!$A$1,0,0,COUNTA(quests!$A:$A),MATCH(X$2,quests!$1:$1,0)-MATCH($C$2,quests!$1:$1,0)+1),MATCH(X$2,quests!$1:$1,0)-MATCH($C$2,quests!$1:$1,0)+1,FALSE)</f>
        <v>1</v>
      </c>
      <c r="Y147" s="47">
        <f ca="1">VLOOKUP($C147,OFFSET(quests!$A$1,0,0,COUNTA(quests!$A:$A),MATCH(Y$2,quests!$1:$1,0)-MATCH($C$2,quests!$1:$1,0)+1),MATCH(Y$2,quests!$1:$1,0)-MATCH($C$2,quests!$1:$1,0)+1,FALSE)</f>
        <v>1</v>
      </c>
      <c r="Z147" s="47">
        <f ca="1">VLOOKUP($C147,OFFSET(quests!$A$1,0,0,COUNTA(quests!$A:$A),MATCH(Z$2,quests!$1:$1,0)-MATCH($C$2,quests!$1:$1,0)+1),MATCH(Z$2,quests!$1:$1,0)-MATCH($C$2,quests!$1:$1,0)+1,FALSE)</f>
        <v>1</v>
      </c>
      <c r="AA147" s="47">
        <f ca="1">VLOOKUP($C147,OFFSET(quests!$A$1,0,0,COUNTA(quests!$A:$A),MATCH(AA$2,quests!$1:$1,0)-MATCH($C$2,quests!$1:$1,0)+1),MATCH(AA$2,quests!$1:$1,0)-MATCH($C$2,quests!$1:$1,0)+1,FALSE)</f>
        <v>1</v>
      </c>
      <c r="AB147" s="7" t="s">
        <v>56</v>
      </c>
      <c r="AC147" s="7">
        <v>2601</v>
      </c>
      <c r="AD147" s="7">
        <v>6</v>
      </c>
      <c r="AE147" s="7" t="s">
        <v>519</v>
      </c>
      <c r="AF147" s="7">
        <v>0</v>
      </c>
      <c r="AG147" s="7">
        <v>0</v>
      </c>
      <c r="AH147" s="7">
        <v>0</v>
      </c>
      <c r="AI147" s="7">
        <v>-1</v>
      </c>
      <c r="AJ147" s="7">
        <v>-1</v>
      </c>
      <c r="AK147" s="7" t="s">
        <v>1064</v>
      </c>
      <c r="AL147" s="12" t="s">
        <v>1695</v>
      </c>
      <c r="AM147" s="12" t="s">
        <v>2072</v>
      </c>
    </row>
    <row r="148" spans="1:39" ht="21" customHeight="1" x14ac:dyDescent="0.15">
      <c r="A148" s="42" t="str">
        <f t="shared" si="4"/>
        <v>26_4</v>
      </c>
      <c r="B148" s="23">
        <v>3</v>
      </c>
      <c r="C148" s="10">
        <v>26</v>
      </c>
      <c r="D148" s="47" t="str">
        <f ca="1">VLOOKUP($C148,OFFSET(quests!$A$1,0,0,COUNTA(quests!$A:$A),MATCH(D$1,quests!$1:$1,0)-MATCH($C$2,quests!$1:$1,0)+1),MATCH(D$1,quests!$1:$1,0)-MATCH($C$2,quests!$1:$1,0)+1,FALSE)</f>
        <v>26．クラブ クラッシュビーツ</v>
      </c>
      <c r="E148" s="48" t="str">
        <f ca="1">VLOOKUP($C148,OFFSET(quests!$A$1,0,0,COUNTA(quests!$A:$A),MATCH(E$2,quests!$1:$1,0)-MATCH($C$2,quests!$1:$1,0)+1),MATCH(E$2,quests!$1:$1,0)-MATCH($C$2,quests!$1:$1,0)+1,FALSE)</f>
        <v>混色DL5</v>
      </c>
      <c r="F148" s="7">
        <v>4</v>
      </c>
      <c r="G148" s="7" t="s">
        <v>570</v>
      </c>
      <c r="H148" s="70" t="s">
        <v>498</v>
      </c>
      <c r="I148" s="12"/>
      <c r="J148" s="12" t="s">
        <v>279</v>
      </c>
      <c r="K148" s="186">
        <v>19</v>
      </c>
      <c r="L148" s="167">
        <v>3550</v>
      </c>
      <c r="M148" s="167">
        <v>1</v>
      </c>
      <c r="N148" s="167">
        <v>1</v>
      </c>
      <c r="O148" s="167">
        <v>1</v>
      </c>
      <c r="P148" s="167">
        <v>1</v>
      </c>
      <c r="Q148" s="167">
        <v>1</v>
      </c>
      <c r="R148" s="167">
        <v>3</v>
      </c>
      <c r="S148" s="167" t="s">
        <v>79</v>
      </c>
      <c r="T148" s="167">
        <v>0</v>
      </c>
      <c r="U148" s="7">
        <v>26</v>
      </c>
      <c r="V148" s="7">
        <v>3</v>
      </c>
      <c r="W148" s="47" t="str">
        <f t="shared" ca="1" si="5"/>
        <v>26-3．荒ぶる電飾</v>
      </c>
      <c r="X148" s="47">
        <f ca="1">VLOOKUP($C148,OFFSET(quests!$A$1,0,0,COUNTA(quests!$A:$A),MATCH(X$2,quests!$1:$1,0)-MATCH($C$2,quests!$1:$1,0)+1),MATCH(X$2,quests!$1:$1,0)-MATCH($C$2,quests!$1:$1,0)+1,FALSE)</f>
        <v>1</v>
      </c>
      <c r="Y148" s="47">
        <f ca="1">VLOOKUP($C148,OFFSET(quests!$A$1,0,0,COUNTA(quests!$A:$A),MATCH(Y$2,quests!$1:$1,0)-MATCH($C$2,quests!$1:$1,0)+1),MATCH(Y$2,quests!$1:$1,0)-MATCH($C$2,quests!$1:$1,0)+1,FALSE)</f>
        <v>1</v>
      </c>
      <c r="Z148" s="47">
        <f ca="1">VLOOKUP($C148,OFFSET(quests!$A$1,0,0,COUNTA(quests!$A:$A),MATCH(Z$2,quests!$1:$1,0)-MATCH($C$2,quests!$1:$1,0)+1),MATCH(Z$2,quests!$1:$1,0)-MATCH($C$2,quests!$1:$1,0)+1,FALSE)</f>
        <v>1</v>
      </c>
      <c r="AA148" s="47">
        <f ca="1">VLOOKUP($C148,OFFSET(quests!$A$1,0,0,COUNTA(quests!$A:$A),MATCH(AA$2,quests!$1:$1,0)-MATCH($C$2,quests!$1:$1,0)+1),MATCH(AA$2,quests!$1:$1,0)-MATCH($C$2,quests!$1:$1,0)+1,FALSE)</f>
        <v>1</v>
      </c>
      <c r="AB148" s="7" t="s">
        <v>56</v>
      </c>
      <c r="AC148" s="7">
        <v>2601</v>
      </c>
      <c r="AD148" s="7">
        <v>6</v>
      </c>
      <c r="AE148" s="7" t="s">
        <v>519</v>
      </c>
      <c r="AF148" s="7">
        <v>0</v>
      </c>
      <c r="AG148" s="7">
        <v>0</v>
      </c>
      <c r="AH148" s="7">
        <v>0</v>
      </c>
      <c r="AI148" s="7">
        <v>-1</v>
      </c>
      <c r="AJ148" s="7">
        <v>-1</v>
      </c>
      <c r="AK148" s="7" t="s">
        <v>1064</v>
      </c>
      <c r="AL148" s="12" t="s">
        <v>1695</v>
      </c>
      <c r="AM148" s="12" t="s">
        <v>2072</v>
      </c>
    </row>
    <row r="149" spans="1:39" ht="21" customHeight="1" x14ac:dyDescent="0.15">
      <c r="A149" s="42" t="str">
        <f t="shared" si="4"/>
        <v>26_5</v>
      </c>
      <c r="B149" s="23">
        <v>3</v>
      </c>
      <c r="C149" s="10">
        <v>26</v>
      </c>
      <c r="D149" s="47" t="str">
        <f ca="1">VLOOKUP($C149,OFFSET(quests!$A$1,0,0,COUNTA(quests!$A:$A),MATCH(D$1,quests!$1:$1,0)-MATCH($C$2,quests!$1:$1,0)+1),MATCH(D$1,quests!$1:$1,0)-MATCH($C$2,quests!$1:$1,0)+1,FALSE)</f>
        <v>26．クラブ クラッシュビーツ</v>
      </c>
      <c r="E149" s="48" t="str">
        <f ca="1">VLOOKUP($C149,OFFSET(quests!$A$1,0,0,COUNTA(quests!$A:$A),MATCH(E$2,quests!$1:$1,0)-MATCH($C$2,quests!$1:$1,0)+1),MATCH(E$2,quests!$1:$1,0)-MATCH($C$2,quests!$1:$1,0)+1,FALSE)</f>
        <v>混色DL5</v>
      </c>
      <c r="F149" s="9">
        <v>5</v>
      </c>
      <c r="G149" s="7" t="s">
        <v>570</v>
      </c>
      <c r="H149" s="70" t="s">
        <v>499</v>
      </c>
      <c r="I149" s="12"/>
      <c r="J149" s="12" t="s">
        <v>279</v>
      </c>
      <c r="K149" s="186">
        <v>22</v>
      </c>
      <c r="L149" s="167">
        <v>5250</v>
      </c>
      <c r="M149" s="167">
        <v>1</v>
      </c>
      <c r="N149" s="167">
        <v>1</v>
      </c>
      <c r="O149" s="167">
        <v>1</v>
      </c>
      <c r="P149" s="167">
        <v>1</v>
      </c>
      <c r="Q149" s="167">
        <v>1</v>
      </c>
      <c r="R149" s="167">
        <v>3</v>
      </c>
      <c r="S149" s="167" t="s">
        <v>79</v>
      </c>
      <c r="T149" s="167">
        <v>0</v>
      </c>
      <c r="U149" s="7">
        <v>26</v>
      </c>
      <c r="V149" s="7">
        <v>4</v>
      </c>
      <c r="W149" s="47" t="str">
        <f t="shared" ca="1" si="5"/>
        <v>26-4．今夜はダークナイト</v>
      </c>
      <c r="X149" s="47">
        <f ca="1">VLOOKUP($C149,OFFSET(quests!$A$1,0,0,COUNTA(quests!$A:$A),MATCH(X$2,quests!$1:$1,0)-MATCH($C$2,quests!$1:$1,0)+1),MATCH(X$2,quests!$1:$1,0)-MATCH($C$2,quests!$1:$1,0)+1,FALSE)</f>
        <v>1</v>
      </c>
      <c r="Y149" s="47">
        <f ca="1">VLOOKUP($C149,OFFSET(quests!$A$1,0,0,COUNTA(quests!$A:$A),MATCH(Y$2,quests!$1:$1,0)-MATCH($C$2,quests!$1:$1,0)+1),MATCH(Y$2,quests!$1:$1,0)-MATCH($C$2,quests!$1:$1,0)+1,FALSE)</f>
        <v>1</v>
      </c>
      <c r="Z149" s="47">
        <f ca="1">VLOOKUP($C149,OFFSET(quests!$A$1,0,0,COUNTA(quests!$A:$A),MATCH(Z$2,quests!$1:$1,0)-MATCH($C$2,quests!$1:$1,0)+1),MATCH(Z$2,quests!$1:$1,0)-MATCH($C$2,quests!$1:$1,0)+1,FALSE)</f>
        <v>1</v>
      </c>
      <c r="AA149" s="47">
        <f ca="1">VLOOKUP($C149,OFFSET(quests!$A$1,0,0,COUNTA(quests!$A:$A),MATCH(AA$2,quests!$1:$1,0)-MATCH($C$2,quests!$1:$1,0)+1),MATCH(AA$2,quests!$1:$1,0)-MATCH($C$2,quests!$1:$1,0)+1,FALSE)</f>
        <v>1</v>
      </c>
      <c r="AB149" s="7" t="s">
        <v>56</v>
      </c>
      <c r="AC149" s="7">
        <v>2601</v>
      </c>
      <c r="AD149" s="7">
        <v>6</v>
      </c>
      <c r="AE149" s="7" t="s">
        <v>519</v>
      </c>
      <c r="AF149" s="33">
        <v>3</v>
      </c>
      <c r="AG149" s="7">
        <v>0</v>
      </c>
      <c r="AH149" s="7">
        <v>0</v>
      </c>
      <c r="AI149" s="7">
        <v>-1</v>
      </c>
      <c r="AJ149" s="7">
        <v>-1</v>
      </c>
      <c r="AK149" s="7" t="s">
        <v>1064</v>
      </c>
      <c r="AL149" s="12" t="s">
        <v>1695</v>
      </c>
      <c r="AM149" s="12" t="s">
        <v>2072</v>
      </c>
    </row>
    <row r="150" spans="1:39" ht="21" customHeight="1" x14ac:dyDescent="0.15">
      <c r="A150" s="42" t="str">
        <f t="shared" si="4"/>
        <v>26_6</v>
      </c>
      <c r="B150" s="23">
        <v>3</v>
      </c>
      <c r="C150" s="10">
        <v>26</v>
      </c>
      <c r="D150" s="47" t="str">
        <f ca="1">VLOOKUP($C150,OFFSET(quests!$A$1,0,0,COUNTA(quests!$A:$A),MATCH(D$1,quests!$1:$1,0)-MATCH($C$2,quests!$1:$1,0)+1),MATCH(D$1,quests!$1:$1,0)-MATCH($C$2,quests!$1:$1,0)+1,FALSE)</f>
        <v>26．クラブ クラッシュビーツ</v>
      </c>
      <c r="E150" s="48" t="str">
        <f ca="1">VLOOKUP($C150,OFFSET(quests!$A$1,0,0,COUNTA(quests!$A:$A),MATCH(E$2,quests!$1:$1,0)-MATCH($C$2,quests!$1:$1,0)+1),MATCH(E$2,quests!$1:$1,0)-MATCH($C$2,quests!$1:$1,0)+1,FALSE)</f>
        <v>混色DL5</v>
      </c>
      <c r="F150" s="7">
        <v>6</v>
      </c>
      <c r="G150" s="7" t="s">
        <v>570</v>
      </c>
      <c r="H150" s="69" t="s">
        <v>1083</v>
      </c>
      <c r="I150" s="12" t="s">
        <v>164</v>
      </c>
      <c r="J150" s="12">
        <v>335</v>
      </c>
      <c r="K150" s="186">
        <v>1</v>
      </c>
      <c r="L150" s="167">
        <v>1</v>
      </c>
      <c r="M150" s="167">
        <v>1</v>
      </c>
      <c r="N150" s="167">
        <v>1</v>
      </c>
      <c r="O150" s="167">
        <v>1</v>
      </c>
      <c r="P150" s="167">
        <v>1</v>
      </c>
      <c r="Q150" s="167">
        <v>1</v>
      </c>
      <c r="R150" s="167">
        <v>3</v>
      </c>
      <c r="S150" s="167" t="s">
        <v>273</v>
      </c>
      <c r="T150" s="191" t="s">
        <v>2172</v>
      </c>
      <c r="U150" s="7">
        <v>26</v>
      </c>
      <c r="V150" s="7">
        <v>5</v>
      </c>
      <c r="W150" s="47" t="str">
        <f t="shared" ca="1" si="5"/>
        <v>26-5．踊る強奪者</v>
      </c>
      <c r="X150" s="47">
        <f ca="1">VLOOKUP($C150,OFFSET(quests!$A$1,0,0,COUNTA(quests!$A:$A),MATCH(X$2,quests!$1:$1,0)-MATCH($C$2,quests!$1:$1,0)+1),MATCH(X$2,quests!$1:$1,0)-MATCH($C$2,quests!$1:$1,0)+1,FALSE)</f>
        <v>1</v>
      </c>
      <c r="Y150" s="47">
        <f ca="1">VLOOKUP($C150,OFFSET(quests!$A$1,0,0,COUNTA(quests!$A:$A),MATCH(Y$2,quests!$1:$1,0)-MATCH($C$2,quests!$1:$1,0)+1),MATCH(Y$2,quests!$1:$1,0)-MATCH($C$2,quests!$1:$1,0)+1,FALSE)</f>
        <v>1</v>
      </c>
      <c r="Z150" s="47">
        <f ca="1">VLOOKUP($C150,OFFSET(quests!$A$1,0,0,COUNTA(quests!$A:$A),MATCH(Z$2,quests!$1:$1,0)-MATCH($C$2,quests!$1:$1,0)+1),MATCH(Z$2,quests!$1:$1,0)-MATCH($C$2,quests!$1:$1,0)+1,FALSE)</f>
        <v>1</v>
      </c>
      <c r="AA150" s="47">
        <f ca="1">VLOOKUP($C150,OFFSET(quests!$A$1,0,0,COUNTA(quests!$A:$A),MATCH(AA$2,quests!$1:$1,0)-MATCH($C$2,quests!$1:$1,0)+1),MATCH(AA$2,quests!$1:$1,0)-MATCH($C$2,quests!$1:$1,0)+1,FALSE)</f>
        <v>1</v>
      </c>
      <c r="AB150" s="7" t="s">
        <v>62</v>
      </c>
      <c r="AC150" s="7">
        <v>2601</v>
      </c>
      <c r="AD150" s="7">
        <v>6</v>
      </c>
      <c r="AE150" s="7" t="s">
        <v>522</v>
      </c>
      <c r="AF150" s="7">
        <v>1</v>
      </c>
      <c r="AG150" s="7">
        <v>0</v>
      </c>
      <c r="AH150" s="7">
        <v>0</v>
      </c>
      <c r="AI150" s="7">
        <v>-1</v>
      </c>
      <c r="AJ150" s="7">
        <v>-1</v>
      </c>
      <c r="AK150" s="7" t="s">
        <v>1064</v>
      </c>
      <c r="AL150" s="12" t="s">
        <v>1695</v>
      </c>
      <c r="AM150" s="12" t="s">
        <v>2072</v>
      </c>
    </row>
    <row r="151" spans="1:39" ht="21" customHeight="1" x14ac:dyDescent="0.15">
      <c r="A151" s="42" t="str">
        <f t="shared" si="4"/>
        <v>27_1</v>
      </c>
      <c r="B151" s="39">
        <v>0</v>
      </c>
      <c r="C151" s="10">
        <v>27</v>
      </c>
      <c r="D151" s="47">
        <f ca="1">VLOOKUP($C151,OFFSET(quests!$A$1,0,0,COUNTA(quests!$A:$A),MATCH(D$1,quests!$1:$1,0)-MATCH($C$2,quests!$1:$1,0)+1),MATCH(D$1,quests!$1:$1,0)-MATCH($C$2,quests!$1:$1,0)+1,FALSE)</f>
        <v>0</v>
      </c>
      <c r="E151" s="48" t="str">
        <f ca="1">VLOOKUP($C151,OFFSET(quests!$A$1,0,0,COUNTA(quests!$A:$A),MATCH(E$2,quests!$1:$1,0)-MATCH($C$2,quests!$1:$1,0)+1),MATCH(E$2,quests!$1:$1,0)-MATCH($C$2,quests!$1:$1,0)+1,FALSE)</f>
        <v>緑DL6</v>
      </c>
      <c r="F151" s="7">
        <v>1</v>
      </c>
      <c r="G151" s="7" t="s">
        <v>570</v>
      </c>
      <c r="H151" s="12" t="s">
        <v>127</v>
      </c>
      <c r="I151" s="12"/>
      <c r="J151" s="12" t="s">
        <v>279</v>
      </c>
      <c r="K151" s="167">
        <v>14</v>
      </c>
      <c r="L151" s="167">
        <v>14400</v>
      </c>
      <c r="M151" s="167">
        <v>1</v>
      </c>
      <c r="N151" s="167">
        <v>1</v>
      </c>
      <c r="O151" s="167">
        <v>1</v>
      </c>
      <c r="P151" s="167">
        <v>1</v>
      </c>
      <c r="Q151" s="167">
        <v>1</v>
      </c>
      <c r="R151" s="167">
        <v>3</v>
      </c>
      <c r="S151" s="167" t="s">
        <v>79</v>
      </c>
      <c r="T151" s="167">
        <v>0</v>
      </c>
      <c r="U151" s="7">
        <v>26</v>
      </c>
      <c r="V151" s="7">
        <v>6</v>
      </c>
      <c r="W151" s="47" t="str">
        <f t="shared" ca="1" si="5"/>
        <v>26-6．【1回のみ】ボーナスステージ</v>
      </c>
      <c r="X151" s="47">
        <f ca="1">VLOOKUP($C151,OFFSET(quests!$A$1,0,0,COUNTA(quests!$A:$A),MATCH(X$2,quests!$1:$1,0)-MATCH($C$2,quests!$1:$1,0)+1),MATCH(X$2,quests!$1:$1,0)-MATCH($C$2,quests!$1:$1,0)+1,FALSE)</f>
        <v>0</v>
      </c>
      <c r="Y151" s="47">
        <f ca="1">VLOOKUP($C151,OFFSET(quests!$A$1,0,0,COUNTA(quests!$A:$A),MATCH(Y$2,quests!$1:$1,0)-MATCH($C$2,quests!$1:$1,0)+1),MATCH(Y$2,quests!$1:$1,0)-MATCH($C$2,quests!$1:$1,0)+1,FALSE)</f>
        <v>1</v>
      </c>
      <c r="Z151" s="47">
        <f ca="1">VLOOKUP($C151,OFFSET(quests!$A$1,0,0,COUNTA(quests!$A:$A),MATCH(Z$2,quests!$1:$1,0)-MATCH($C$2,quests!$1:$1,0)+1),MATCH(Z$2,quests!$1:$1,0)-MATCH($C$2,quests!$1:$1,0)+1,FALSE)</f>
        <v>0</v>
      </c>
      <c r="AA151" s="47">
        <f ca="1">VLOOKUP($C151,OFFSET(quests!$A$1,0,0,COUNTA(quests!$A:$A),MATCH(AA$2,quests!$1:$1,0)-MATCH($C$2,quests!$1:$1,0)+1),MATCH(AA$2,quests!$1:$1,0)-MATCH($C$2,quests!$1:$1,0)+1,FALSE)</f>
        <v>1</v>
      </c>
      <c r="AB151" s="7" t="s">
        <v>56</v>
      </c>
      <c r="AC151" s="7">
        <v>27</v>
      </c>
      <c r="AD151" s="7">
        <v>6</v>
      </c>
      <c r="AE151" s="7" t="s">
        <v>519</v>
      </c>
      <c r="AF151" s="7">
        <v>0</v>
      </c>
      <c r="AG151" s="7">
        <v>0</v>
      </c>
      <c r="AH151" s="7">
        <v>0</v>
      </c>
      <c r="AI151" s="7">
        <v>-1</v>
      </c>
      <c r="AJ151" s="7">
        <v>-1</v>
      </c>
      <c r="AK151" s="7" t="s">
        <v>1064</v>
      </c>
      <c r="AL151" s="12" t="s">
        <v>1695</v>
      </c>
      <c r="AM151" s="12" t="s">
        <v>2072</v>
      </c>
    </row>
    <row r="152" spans="1:39" ht="21" customHeight="1" x14ac:dyDescent="0.15">
      <c r="A152" s="42" t="str">
        <f t="shared" si="4"/>
        <v>27_2</v>
      </c>
      <c r="B152" s="39">
        <v>0</v>
      </c>
      <c r="C152" s="10">
        <v>27</v>
      </c>
      <c r="D152" s="47">
        <f ca="1">VLOOKUP($C152,OFFSET(quests!$A$1,0,0,COUNTA(quests!$A:$A),MATCH(D$1,quests!$1:$1,0)-MATCH($C$2,quests!$1:$1,0)+1),MATCH(D$1,quests!$1:$1,0)-MATCH($C$2,quests!$1:$1,0)+1,FALSE)</f>
        <v>0</v>
      </c>
      <c r="E152" s="48" t="str">
        <f ca="1">VLOOKUP($C152,OFFSET(quests!$A$1,0,0,COUNTA(quests!$A:$A),MATCH(E$2,quests!$1:$1,0)-MATCH($C$2,quests!$1:$1,0)+1),MATCH(E$2,quests!$1:$1,0)-MATCH($C$2,quests!$1:$1,0)+1,FALSE)</f>
        <v>緑DL6</v>
      </c>
      <c r="F152" s="7">
        <v>2</v>
      </c>
      <c r="G152" s="7" t="s">
        <v>570</v>
      </c>
      <c r="H152" s="12" t="s">
        <v>128</v>
      </c>
      <c r="I152" s="12"/>
      <c r="J152" s="12" t="s">
        <v>279</v>
      </c>
      <c r="K152" s="167">
        <v>14</v>
      </c>
      <c r="L152" s="167">
        <v>14520</v>
      </c>
      <c r="M152" s="167">
        <v>1</v>
      </c>
      <c r="N152" s="167">
        <v>1</v>
      </c>
      <c r="O152" s="167">
        <v>1</v>
      </c>
      <c r="P152" s="167">
        <v>1</v>
      </c>
      <c r="Q152" s="167">
        <v>1</v>
      </c>
      <c r="R152" s="167">
        <v>3</v>
      </c>
      <c r="S152" s="167" t="s">
        <v>79</v>
      </c>
      <c r="T152" s="167">
        <v>0</v>
      </c>
      <c r="U152" s="7">
        <v>27</v>
      </c>
      <c r="V152" s="7">
        <v>1</v>
      </c>
      <c r="W152" s="47" t="str">
        <f t="shared" ca="1" si="5"/>
        <v>DL6緑ステージ1</v>
      </c>
      <c r="X152" s="47">
        <f ca="1">VLOOKUP($C152,OFFSET(quests!$A$1,0,0,COUNTA(quests!$A:$A),MATCH(X$2,quests!$1:$1,0)-MATCH($C$2,quests!$1:$1,0)+1),MATCH(X$2,quests!$1:$1,0)-MATCH($C$2,quests!$1:$1,0)+1,FALSE)</f>
        <v>0</v>
      </c>
      <c r="Y152" s="47">
        <f ca="1">VLOOKUP($C152,OFFSET(quests!$A$1,0,0,COUNTA(quests!$A:$A),MATCH(Y$2,quests!$1:$1,0)-MATCH($C$2,quests!$1:$1,0)+1),MATCH(Y$2,quests!$1:$1,0)-MATCH($C$2,quests!$1:$1,0)+1,FALSE)</f>
        <v>1</v>
      </c>
      <c r="Z152" s="47">
        <f ca="1">VLOOKUP($C152,OFFSET(quests!$A$1,0,0,COUNTA(quests!$A:$A),MATCH(Z$2,quests!$1:$1,0)-MATCH($C$2,quests!$1:$1,0)+1),MATCH(Z$2,quests!$1:$1,0)-MATCH($C$2,quests!$1:$1,0)+1,FALSE)</f>
        <v>0</v>
      </c>
      <c r="AA152" s="47">
        <f ca="1">VLOOKUP($C152,OFFSET(quests!$A$1,0,0,COUNTA(quests!$A:$A),MATCH(AA$2,quests!$1:$1,0)-MATCH($C$2,quests!$1:$1,0)+1),MATCH(AA$2,quests!$1:$1,0)-MATCH($C$2,quests!$1:$1,0)+1,FALSE)</f>
        <v>1</v>
      </c>
      <c r="AB152" s="7" t="s">
        <v>56</v>
      </c>
      <c r="AC152" s="7">
        <v>27</v>
      </c>
      <c r="AD152" s="7">
        <v>6</v>
      </c>
      <c r="AE152" s="7" t="s">
        <v>519</v>
      </c>
      <c r="AF152" s="7">
        <v>0</v>
      </c>
      <c r="AG152" s="7">
        <v>0</v>
      </c>
      <c r="AH152" s="7">
        <v>0</v>
      </c>
      <c r="AI152" s="7">
        <v>-1</v>
      </c>
      <c r="AJ152" s="7">
        <v>-1</v>
      </c>
      <c r="AK152" s="7" t="s">
        <v>1064</v>
      </c>
      <c r="AL152" s="12" t="s">
        <v>1695</v>
      </c>
      <c r="AM152" s="12" t="s">
        <v>2072</v>
      </c>
    </row>
    <row r="153" spans="1:39" ht="21" customHeight="1" x14ac:dyDescent="0.15">
      <c r="A153" s="42" t="str">
        <f t="shared" si="4"/>
        <v>27_3</v>
      </c>
      <c r="B153" s="39">
        <v>0</v>
      </c>
      <c r="C153" s="10">
        <v>27</v>
      </c>
      <c r="D153" s="47">
        <f ca="1">VLOOKUP($C153,OFFSET(quests!$A$1,0,0,COUNTA(quests!$A:$A),MATCH(D$1,quests!$1:$1,0)-MATCH($C$2,quests!$1:$1,0)+1),MATCH(D$1,quests!$1:$1,0)-MATCH($C$2,quests!$1:$1,0)+1,FALSE)</f>
        <v>0</v>
      </c>
      <c r="E153" s="48" t="str">
        <f ca="1">VLOOKUP($C153,OFFSET(quests!$A$1,0,0,COUNTA(quests!$A:$A),MATCH(E$2,quests!$1:$1,0)-MATCH($C$2,quests!$1:$1,0)+1),MATCH(E$2,quests!$1:$1,0)-MATCH($C$2,quests!$1:$1,0)+1,FALSE)</f>
        <v>緑DL6</v>
      </c>
      <c r="F153" s="7">
        <v>3</v>
      </c>
      <c r="G153" s="7" t="s">
        <v>570</v>
      </c>
      <c r="H153" s="12" t="s">
        <v>129</v>
      </c>
      <c r="I153" s="12"/>
      <c r="J153" s="12" t="s">
        <v>279</v>
      </c>
      <c r="K153" s="167">
        <v>14</v>
      </c>
      <c r="L153" s="167">
        <v>14640</v>
      </c>
      <c r="M153" s="167">
        <v>1</v>
      </c>
      <c r="N153" s="167">
        <v>1</v>
      </c>
      <c r="O153" s="167">
        <v>1</v>
      </c>
      <c r="P153" s="167">
        <v>1</v>
      </c>
      <c r="Q153" s="167">
        <v>1</v>
      </c>
      <c r="R153" s="167">
        <v>3</v>
      </c>
      <c r="S153" s="167" t="s">
        <v>79</v>
      </c>
      <c r="T153" s="167">
        <v>0</v>
      </c>
      <c r="U153" s="7">
        <v>27</v>
      </c>
      <c r="V153" s="7">
        <v>2</v>
      </c>
      <c r="W153" s="47" t="str">
        <f t="shared" ca="1" si="5"/>
        <v>DL6緑ステージ2</v>
      </c>
      <c r="X153" s="47">
        <f ca="1">VLOOKUP($C153,OFFSET(quests!$A$1,0,0,COUNTA(quests!$A:$A),MATCH(X$2,quests!$1:$1,0)-MATCH($C$2,quests!$1:$1,0)+1),MATCH(X$2,quests!$1:$1,0)-MATCH($C$2,quests!$1:$1,0)+1,FALSE)</f>
        <v>0</v>
      </c>
      <c r="Y153" s="47">
        <f ca="1">VLOOKUP($C153,OFFSET(quests!$A$1,0,0,COUNTA(quests!$A:$A),MATCH(Y$2,quests!$1:$1,0)-MATCH($C$2,quests!$1:$1,0)+1),MATCH(Y$2,quests!$1:$1,0)-MATCH($C$2,quests!$1:$1,0)+1,FALSE)</f>
        <v>1</v>
      </c>
      <c r="Z153" s="47">
        <f ca="1">VLOOKUP($C153,OFFSET(quests!$A$1,0,0,COUNTA(quests!$A:$A),MATCH(Z$2,quests!$1:$1,0)-MATCH($C$2,quests!$1:$1,0)+1),MATCH(Z$2,quests!$1:$1,0)-MATCH($C$2,quests!$1:$1,0)+1,FALSE)</f>
        <v>0</v>
      </c>
      <c r="AA153" s="47">
        <f ca="1">VLOOKUP($C153,OFFSET(quests!$A$1,0,0,COUNTA(quests!$A:$A),MATCH(AA$2,quests!$1:$1,0)-MATCH($C$2,quests!$1:$1,0)+1),MATCH(AA$2,quests!$1:$1,0)-MATCH($C$2,quests!$1:$1,0)+1,FALSE)</f>
        <v>1</v>
      </c>
      <c r="AB153" s="7" t="s">
        <v>56</v>
      </c>
      <c r="AC153" s="7">
        <v>27</v>
      </c>
      <c r="AD153" s="7">
        <v>6</v>
      </c>
      <c r="AE153" s="7" t="s">
        <v>519</v>
      </c>
      <c r="AF153" s="7">
        <v>0</v>
      </c>
      <c r="AG153" s="7">
        <v>0</v>
      </c>
      <c r="AH153" s="7">
        <v>0</v>
      </c>
      <c r="AI153" s="7">
        <v>-1</v>
      </c>
      <c r="AJ153" s="7">
        <v>-1</v>
      </c>
      <c r="AK153" s="7" t="s">
        <v>1064</v>
      </c>
      <c r="AL153" s="12" t="s">
        <v>1695</v>
      </c>
      <c r="AM153" s="12" t="s">
        <v>2072</v>
      </c>
    </row>
    <row r="154" spans="1:39" ht="21" customHeight="1" x14ac:dyDescent="0.15">
      <c r="A154" s="42" t="str">
        <f t="shared" si="4"/>
        <v>27_4</v>
      </c>
      <c r="B154" s="39">
        <v>0</v>
      </c>
      <c r="C154" s="10">
        <v>27</v>
      </c>
      <c r="D154" s="47">
        <f ca="1">VLOOKUP($C154,OFFSET(quests!$A$1,0,0,COUNTA(quests!$A:$A),MATCH(D$1,quests!$1:$1,0)-MATCH($C$2,quests!$1:$1,0)+1),MATCH(D$1,quests!$1:$1,0)-MATCH($C$2,quests!$1:$1,0)+1,FALSE)</f>
        <v>0</v>
      </c>
      <c r="E154" s="48" t="str">
        <f ca="1">VLOOKUP($C154,OFFSET(quests!$A$1,0,0,COUNTA(quests!$A:$A),MATCH(E$2,quests!$1:$1,0)-MATCH($C$2,quests!$1:$1,0)+1),MATCH(E$2,quests!$1:$1,0)-MATCH($C$2,quests!$1:$1,0)+1,FALSE)</f>
        <v>緑DL6</v>
      </c>
      <c r="F154" s="7">
        <v>4</v>
      </c>
      <c r="G154" s="7" t="s">
        <v>570</v>
      </c>
      <c r="H154" s="12" t="s">
        <v>130</v>
      </c>
      <c r="I154" s="12"/>
      <c r="J154" s="12" t="s">
        <v>279</v>
      </c>
      <c r="K154" s="167">
        <v>14</v>
      </c>
      <c r="L154" s="167">
        <v>14760</v>
      </c>
      <c r="M154" s="167">
        <v>1</v>
      </c>
      <c r="N154" s="167">
        <v>1</v>
      </c>
      <c r="O154" s="167">
        <v>1</v>
      </c>
      <c r="P154" s="167">
        <v>1</v>
      </c>
      <c r="Q154" s="167">
        <v>1</v>
      </c>
      <c r="R154" s="167">
        <v>3</v>
      </c>
      <c r="S154" s="167" t="s">
        <v>79</v>
      </c>
      <c r="T154" s="167">
        <v>0</v>
      </c>
      <c r="U154" s="7">
        <v>27</v>
      </c>
      <c r="V154" s="7">
        <v>3</v>
      </c>
      <c r="W154" s="47" t="str">
        <f t="shared" ca="1" si="5"/>
        <v>DL6緑ステージ3</v>
      </c>
      <c r="X154" s="47">
        <f ca="1">VLOOKUP($C154,OFFSET(quests!$A$1,0,0,COUNTA(quests!$A:$A),MATCH(X$2,quests!$1:$1,0)-MATCH($C$2,quests!$1:$1,0)+1),MATCH(X$2,quests!$1:$1,0)-MATCH($C$2,quests!$1:$1,0)+1,FALSE)</f>
        <v>0</v>
      </c>
      <c r="Y154" s="47">
        <f ca="1">VLOOKUP($C154,OFFSET(quests!$A$1,0,0,COUNTA(quests!$A:$A),MATCH(Y$2,quests!$1:$1,0)-MATCH($C$2,quests!$1:$1,0)+1),MATCH(Y$2,quests!$1:$1,0)-MATCH($C$2,quests!$1:$1,0)+1,FALSE)</f>
        <v>1</v>
      </c>
      <c r="Z154" s="47">
        <f ca="1">VLOOKUP($C154,OFFSET(quests!$A$1,0,0,COUNTA(quests!$A:$A),MATCH(Z$2,quests!$1:$1,0)-MATCH($C$2,quests!$1:$1,0)+1),MATCH(Z$2,quests!$1:$1,0)-MATCH($C$2,quests!$1:$1,0)+1,FALSE)</f>
        <v>0</v>
      </c>
      <c r="AA154" s="47">
        <f ca="1">VLOOKUP($C154,OFFSET(quests!$A$1,0,0,COUNTA(quests!$A:$A),MATCH(AA$2,quests!$1:$1,0)-MATCH($C$2,quests!$1:$1,0)+1),MATCH(AA$2,quests!$1:$1,0)-MATCH($C$2,quests!$1:$1,0)+1,FALSE)</f>
        <v>1</v>
      </c>
      <c r="AB154" s="7" t="s">
        <v>56</v>
      </c>
      <c r="AC154" s="7">
        <v>27</v>
      </c>
      <c r="AD154" s="7">
        <v>6</v>
      </c>
      <c r="AE154" s="7" t="s">
        <v>519</v>
      </c>
      <c r="AF154" s="7">
        <v>0</v>
      </c>
      <c r="AG154" s="7">
        <v>0</v>
      </c>
      <c r="AH154" s="7">
        <v>0</v>
      </c>
      <c r="AI154" s="7">
        <v>-1</v>
      </c>
      <c r="AJ154" s="7">
        <v>-1</v>
      </c>
      <c r="AK154" s="7" t="s">
        <v>1064</v>
      </c>
      <c r="AL154" s="12" t="s">
        <v>1695</v>
      </c>
      <c r="AM154" s="12" t="s">
        <v>2072</v>
      </c>
    </row>
    <row r="155" spans="1:39" ht="21" customHeight="1" x14ac:dyDescent="0.15">
      <c r="A155" s="42" t="str">
        <f t="shared" si="4"/>
        <v>27_5</v>
      </c>
      <c r="B155" s="39">
        <v>0</v>
      </c>
      <c r="C155" s="10">
        <v>27</v>
      </c>
      <c r="D155" s="47">
        <f ca="1">VLOOKUP($C155,OFFSET(quests!$A$1,0,0,COUNTA(quests!$A:$A),MATCH(D$1,quests!$1:$1,0)-MATCH($C$2,quests!$1:$1,0)+1),MATCH(D$1,quests!$1:$1,0)-MATCH($C$2,quests!$1:$1,0)+1,FALSE)</f>
        <v>0</v>
      </c>
      <c r="E155" s="48" t="str">
        <f ca="1">VLOOKUP($C155,OFFSET(quests!$A$1,0,0,COUNTA(quests!$A:$A),MATCH(E$2,quests!$1:$1,0)-MATCH($C$2,quests!$1:$1,0)+1),MATCH(E$2,quests!$1:$1,0)-MATCH($C$2,quests!$1:$1,0)+1,FALSE)</f>
        <v>緑DL6</v>
      </c>
      <c r="F155" s="9">
        <v>5</v>
      </c>
      <c r="G155" s="7" t="s">
        <v>570</v>
      </c>
      <c r="H155" s="12" t="s">
        <v>131</v>
      </c>
      <c r="I155" s="12"/>
      <c r="J155" s="12" t="s">
        <v>279</v>
      </c>
      <c r="K155" s="167">
        <v>15</v>
      </c>
      <c r="L155" s="167">
        <v>14880</v>
      </c>
      <c r="M155" s="167">
        <v>1</v>
      </c>
      <c r="N155" s="167">
        <v>1</v>
      </c>
      <c r="O155" s="167">
        <v>1</v>
      </c>
      <c r="P155" s="167">
        <v>1</v>
      </c>
      <c r="Q155" s="167">
        <v>1</v>
      </c>
      <c r="R155" s="167">
        <v>3</v>
      </c>
      <c r="S155" s="167" t="s">
        <v>79</v>
      </c>
      <c r="T155" s="167">
        <v>0</v>
      </c>
      <c r="U155" s="7">
        <v>27</v>
      </c>
      <c r="V155" s="7">
        <v>4</v>
      </c>
      <c r="W155" s="47" t="str">
        <f t="shared" ca="1" si="5"/>
        <v>DL6緑ステージ4</v>
      </c>
      <c r="X155" s="47">
        <f ca="1">VLOOKUP($C155,OFFSET(quests!$A$1,0,0,COUNTA(quests!$A:$A),MATCH(X$2,quests!$1:$1,0)-MATCH($C$2,quests!$1:$1,0)+1),MATCH(X$2,quests!$1:$1,0)-MATCH($C$2,quests!$1:$1,0)+1,FALSE)</f>
        <v>0</v>
      </c>
      <c r="Y155" s="47">
        <f ca="1">VLOOKUP($C155,OFFSET(quests!$A$1,0,0,COUNTA(quests!$A:$A),MATCH(Y$2,quests!$1:$1,0)-MATCH($C$2,quests!$1:$1,0)+1),MATCH(Y$2,quests!$1:$1,0)-MATCH($C$2,quests!$1:$1,0)+1,FALSE)</f>
        <v>1</v>
      </c>
      <c r="Z155" s="47">
        <f ca="1">VLOOKUP($C155,OFFSET(quests!$A$1,0,0,COUNTA(quests!$A:$A),MATCH(Z$2,quests!$1:$1,0)-MATCH($C$2,quests!$1:$1,0)+1),MATCH(Z$2,quests!$1:$1,0)-MATCH($C$2,quests!$1:$1,0)+1,FALSE)</f>
        <v>0</v>
      </c>
      <c r="AA155" s="47">
        <f ca="1">VLOOKUP($C155,OFFSET(quests!$A$1,0,0,COUNTA(quests!$A:$A),MATCH(AA$2,quests!$1:$1,0)-MATCH($C$2,quests!$1:$1,0)+1),MATCH(AA$2,quests!$1:$1,0)-MATCH($C$2,quests!$1:$1,0)+1,FALSE)</f>
        <v>1</v>
      </c>
      <c r="AB155" s="7" t="s">
        <v>56</v>
      </c>
      <c r="AC155" s="7">
        <v>27</v>
      </c>
      <c r="AD155" s="7">
        <v>6</v>
      </c>
      <c r="AE155" s="7" t="s">
        <v>519</v>
      </c>
      <c r="AF155" s="33">
        <v>3</v>
      </c>
      <c r="AG155" s="7">
        <v>0</v>
      </c>
      <c r="AH155" s="7">
        <v>0</v>
      </c>
      <c r="AI155" s="7">
        <v>-1</v>
      </c>
      <c r="AJ155" s="7">
        <v>-1</v>
      </c>
      <c r="AK155" s="7" t="s">
        <v>1064</v>
      </c>
      <c r="AL155" s="12" t="s">
        <v>1695</v>
      </c>
      <c r="AM155" s="12" t="s">
        <v>2072</v>
      </c>
    </row>
    <row r="156" spans="1:39" ht="21" customHeight="1" x14ac:dyDescent="0.15">
      <c r="A156" s="42" t="str">
        <f t="shared" si="4"/>
        <v>27_6</v>
      </c>
      <c r="B156" s="39">
        <v>0</v>
      </c>
      <c r="C156" s="10">
        <v>27</v>
      </c>
      <c r="D156" s="47">
        <f ca="1">VLOOKUP($C156,OFFSET(quests!$A$1,0,0,COUNTA(quests!$A:$A),MATCH(D$1,quests!$1:$1,0)-MATCH($C$2,quests!$1:$1,0)+1),MATCH(D$1,quests!$1:$1,0)-MATCH($C$2,quests!$1:$1,0)+1,FALSE)</f>
        <v>0</v>
      </c>
      <c r="E156" s="48" t="str">
        <f ca="1">VLOOKUP($C156,OFFSET(quests!$A$1,0,0,COUNTA(quests!$A:$A),MATCH(E$2,quests!$1:$1,0)-MATCH($C$2,quests!$1:$1,0)+1),MATCH(E$2,quests!$1:$1,0)-MATCH($C$2,quests!$1:$1,0)+1,FALSE)</f>
        <v>緑DL6</v>
      </c>
      <c r="F156" s="7">
        <v>6</v>
      </c>
      <c r="G156" s="7" t="s">
        <v>570</v>
      </c>
      <c r="H156" s="12" t="s">
        <v>890</v>
      </c>
      <c r="I156" s="12" t="s">
        <v>164</v>
      </c>
      <c r="J156" s="12">
        <v>338</v>
      </c>
      <c r="K156" s="167">
        <v>1</v>
      </c>
      <c r="L156" s="167">
        <v>1</v>
      </c>
      <c r="M156" s="167">
        <v>1</v>
      </c>
      <c r="N156" s="167">
        <v>1</v>
      </c>
      <c r="O156" s="167">
        <v>1</v>
      </c>
      <c r="P156" s="167">
        <v>1</v>
      </c>
      <c r="Q156" s="167">
        <v>1</v>
      </c>
      <c r="R156" s="167">
        <v>3</v>
      </c>
      <c r="S156" s="167" t="s">
        <v>79</v>
      </c>
      <c r="T156" s="167">
        <v>0</v>
      </c>
      <c r="U156" s="7">
        <v>27</v>
      </c>
      <c r="V156" s="7">
        <v>5</v>
      </c>
      <c r="W156" s="47" t="str">
        <f t="shared" ca="1" si="5"/>
        <v>DL6緑ステージ5</v>
      </c>
      <c r="X156" s="47">
        <f ca="1">VLOOKUP($C156,OFFSET(quests!$A$1,0,0,COUNTA(quests!$A:$A),MATCH(X$2,quests!$1:$1,0)-MATCH($C$2,quests!$1:$1,0)+1),MATCH(X$2,quests!$1:$1,0)-MATCH($C$2,quests!$1:$1,0)+1,FALSE)</f>
        <v>0</v>
      </c>
      <c r="Y156" s="47">
        <f ca="1">VLOOKUP($C156,OFFSET(quests!$A$1,0,0,COUNTA(quests!$A:$A),MATCH(Y$2,quests!$1:$1,0)-MATCH($C$2,quests!$1:$1,0)+1),MATCH(Y$2,quests!$1:$1,0)-MATCH($C$2,quests!$1:$1,0)+1,FALSE)</f>
        <v>1</v>
      </c>
      <c r="Z156" s="47">
        <f ca="1">VLOOKUP($C156,OFFSET(quests!$A$1,0,0,COUNTA(quests!$A:$A),MATCH(Z$2,quests!$1:$1,0)-MATCH($C$2,quests!$1:$1,0)+1),MATCH(Z$2,quests!$1:$1,0)-MATCH($C$2,quests!$1:$1,0)+1,FALSE)</f>
        <v>0</v>
      </c>
      <c r="AA156" s="47">
        <f ca="1">VLOOKUP($C156,OFFSET(quests!$A$1,0,0,COUNTA(quests!$A:$A),MATCH(AA$2,quests!$1:$1,0)-MATCH($C$2,quests!$1:$1,0)+1),MATCH(AA$2,quests!$1:$1,0)-MATCH($C$2,quests!$1:$1,0)+1,FALSE)</f>
        <v>1</v>
      </c>
      <c r="AB156" s="7" t="s">
        <v>62</v>
      </c>
      <c r="AC156" s="7">
        <v>27</v>
      </c>
      <c r="AD156" s="7">
        <v>6</v>
      </c>
      <c r="AE156" s="7" t="s">
        <v>522</v>
      </c>
      <c r="AF156" s="7">
        <v>1</v>
      </c>
      <c r="AG156" s="7">
        <v>0</v>
      </c>
      <c r="AH156" s="7">
        <v>0</v>
      </c>
      <c r="AI156" s="7">
        <v>-1</v>
      </c>
      <c r="AJ156" s="7">
        <v>-1</v>
      </c>
      <c r="AK156" s="7" t="s">
        <v>1064</v>
      </c>
      <c r="AL156" s="12" t="s">
        <v>1695</v>
      </c>
      <c r="AM156" s="12" t="s">
        <v>2072</v>
      </c>
    </row>
    <row r="157" spans="1:39" ht="21" customHeight="1" x14ac:dyDescent="0.15">
      <c r="A157" s="42" t="str">
        <f t="shared" si="4"/>
        <v>28_1</v>
      </c>
      <c r="B157" s="39">
        <v>0</v>
      </c>
      <c r="C157" s="10">
        <v>28</v>
      </c>
      <c r="D157" s="47">
        <f ca="1">VLOOKUP($C157,OFFSET(quests!$A$1,0,0,COUNTA(quests!$A:$A),MATCH(D$1,quests!$1:$1,0)-MATCH($C$2,quests!$1:$1,0)+1),MATCH(D$1,quests!$1:$1,0)-MATCH($C$2,quests!$1:$1,0)+1,FALSE)</f>
        <v>0</v>
      </c>
      <c r="E157" s="48" t="str">
        <f ca="1">VLOOKUP($C157,OFFSET(quests!$A$1,0,0,COUNTA(quests!$A:$A),MATCH(E$2,quests!$1:$1,0)-MATCH($C$2,quests!$1:$1,0)+1),MATCH(E$2,quests!$1:$1,0)-MATCH($C$2,quests!$1:$1,0)+1,FALSE)</f>
        <v>黄DL6</v>
      </c>
      <c r="F157" s="7">
        <v>1</v>
      </c>
      <c r="G157" s="7" t="s">
        <v>570</v>
      </c>
      <c r="H157" s="12" t="s">
        <v>132</v>
      </c>
      <c r="I157" s="12"/>
      <c r="J157" s="12" t="s">
        <v>279</v>
      </c>
      <c r="K157" s="167">
        <v>14</v>
      </c>
      <c r="L157" s="167">
        <v>15000</v>
      </c>
      <c r="M157" s="167">
        <v>1</v>
      </c>
      <c r="N157" s="167">
        <v>1</v>
      </c>
      <c r="O157" s="167">
        <v>1</v>
      </c>
      <c r="P157" s="167">
        <v>1</v>
      </c>
      <c r="Q157" s="167">
        <v>1</v>
      </c>
      <c r="R157" s="167">
        <v>3</v>
      </c>
      <c r="S157" s="167" t="s">
        <v>79</v>
      </c>
      <c r="T157" s="167">
        <v>0</v>
      </c>
      <c r="U157" s="7">
        <v>27</v>
      </c>
      <c r="V157" s="7">
        <v>6</v>
      </c>
      <c r="W157" s="47" t="str">
        <f t="shared" ca="1" si="5"/>
        <v>【1回のみ】ボーナスステージ</v>
      </c>
      <c r="X157" s="47">
        <f ca="1">VLOOKUP($C157,OFFSET(quests!$A$1,0,0,COUNTA(quests!$A:$A),MATCH(X$2,quests!$1:$1,0)-MATCH($C$2,quests!$1:$1,0)+1),MATCH(X$2,quests!$1:$1,0)-MATCH($C$2,quests!$1:$1,0)+1,FALSE)</f>
        <v>1</v>
      </c>
      <c r="Y157" s="47">
        <f ca="1">VLOOKUP($C157,OFFSET(quests!$A$1,0,0,COUNTA(quests!$A:$A),MATCH(Y$2,quests!$1:$1,0)-MATCH($C$2,quests!$1:$1,0)+1),MATCH(Y$2,quests!$1:$1,0)-MATCH($C$2,quests!$1:$1,0)+1,FALSE)</f>
        <v>0</v>
      </c>
      <c r="Z157" s="47">
        <f ca="1">VLOOKUP($C157,OFFSET(quests!$A$1,0,0,COUNTA(quests!$A:$A),MATCH(Z$2,quests!$1:$1,0)-MATCH($C$2,quests!$1:$1,0)+1),MATCH(Z$2,quests!$1:$1,0)-MATCH($C$2,quests!$1:$1,0)+1,FALSE)</f>
        <v>1</v>
      </c>
      <c r="AA157" s="47">
        <f ca="1">VLOOKUP($C157,OFFSET(quests!$A$1,0,0,COUNTA(quests!$A:$A),MATCH(AA$2,quests!$1:$1,0)-MATCH($C$2,quests!$1:$1,0)+1),MATCH(AA$2,quests!$1:$1,0)-MATCH($C$2,quests!$1:$1,0)+1,FALSE)</f>
        <v>0</v>
      </c>
      <c r="AB157" s="7" t="s">
        <v>56</v>
      </c>
      <c r="AC157" s="7">
        <v>28</v>
      </c>
      <c r="AD157" s="7">
        <v>6</v>
      </c>
      <c r="AE157" s="7" t="s">
        <v>519</v>
      </c>
      <c r="AF157" s="7">
        <v>0</v>
      </c>
      <c r="AG157" s="7">
        <v>0</v>
      </c>
      <c r="AH157" s="7">
        <v>0</v>
      </c>
      <c r="AI157" s="7">
        <v>-1</v>
      </c>
      <c r="AJ157" s="7">
        <v>-1</v>
      </c>
      <c r="AK157" s="7" t="s">
        <v>1064</v>
      </c>
      <c r="AL157" s="12" t="s">
        <v>1695</v>
      </c>
      <c r="AM157" s="12" t="s">
        <v>2072</v>
      </c>
    </row>
    <row r="158" spans="1:39" ht="21" customHeight="1" x14ac:dyDescent="0.15">
      <c r="A158" s="42" t="str">
        <f t="shared" si="4"/>
        <v>28_2</v>
      </c>
      <c r="B158" s="39">
        <v>0</v>
      </c>
      <c r="C158" s="10">
        <v>28</v>
      </c>
      <c r="D158" s="47">
        <f ca="1">VLOOKUP($C158,OFFSET(quests!$A$1,0,0,COUNTA(quests!$A:$A),MATCH(D$1,quests!$1:$1,0)-MATCH($C$2,quests!$1:$1,0)+1),MATCH(D$1,quests!$1:$1,0)-MATCH($C$2,quests!$1:$1,0)+1,FALSE)</f>
        <v>0</v>
      </c>
      <c r="E158" s="48" t="str">
        <f ca="1">VLOOKUP($C158,OFFSET(quests!$A$1,0,0,COUNTA(quests!$A:$A),MATCH(E$2,quests!$1:$1,0)-MATCH($C$2,quests!$1:$1,0)+1),MATCH(E$2,quests!$1:$1,0)-MATCH($C$2,quests!$1:$1,0)+1,FALSE)</f>
        <v>黄DL6</v>
      </c>
      <c r="F158" s="7">
        <v>2</v>
      </c>
      <c r="G158" s="7" t="s">
        <v>570</v>
      </c>
      <c r="H158" s="12" t="s">
        <v>133</v>
      </c>
      <c r="I158" s="12"/>
      <c r="J158" s="12" t="s">
        <v>279</v>
      </c>
      <c r="K158" s="167">
        <v>14</v>
      </c>
      <c r="L158" s="167">
        <v>15120</v>
      </c>
      <c r="M158" s="167">
        <v>1</v>
      </c>
      <c r="N158" s="167">
        <v>1</v>
      </c>
      <c r="O158" s="167">
        <v>1</v>
      </c>
      <c r="P158" s="167">
        <v>1</v>
      </c>
      <c r="Q158" s="167">
        <v>1</v>
      </c>
      <c r="R158" s="167">
        <v>3</v>
      </c>
      <c r="S158" s="167" t="s">
        <v>79</v>
      </c>
      <c r="T158" s="167">
        <v>0</v>
      </c>
      <c r="U158" s="7">
        <v>28</v>
      </c>
      <c r="V158" s="7">
        <v>1</v>
      </c>
      <c r="W158" s="47" t="str">
        <f t="shared" ca="1" si="5"/>
        <v>DL6黄ステージ1</v>
      </c>
      <c r="X158" s="47">
        <f ca="1">VLOOKUP($C158,OFFSET(quests!$A$1,0,0,COUNTA(quests!$A:$A),MATCH(X$2,quests!$1:$1,0)-MATCH($C$2,quests!$1:$1,0)+1),MATCH(X$2,quests!$1:$1,0)-MATCH($C$2,quests!$1:$1,0)+1,FALSE)</f>
        <v>1</v>
      </c>
      <c r="Y158" s="47">
        <f ca="1">VLOOKUP($C158,OFFSET(quests!$A$1,0,0,COUNTA(quests!$A:$A),MATCH(Y$2,quests!$1:$1,0)-MATCH($C$2,quests!$1:$1,0)+1),MATCH(Y$2,quests!$1:$1,0)-MATCH($C$2,quests!$1:$1,0)+1,FALSE)</f>
        <v>0</v>
      </c>
      <c r="Z158" s="47">
        <f ca="1">VLOOKUP($C158,OFFSET(quests!$A$1,0,0,COUNTA(quests!$A:$A),MATCH(Z$2,quests!$1:$1,0)-MATCH($C$2,quests!$1:$1,0)+1),MATCH(Z$2,quests!$1:$1,0)-MATCH($C$2,quests!$1:$1,0)+1,FALSE)</f>
        <v>1</v>
      </c>
      <c r="AA158" s="47">
        <f ca="1">VLOOKUP($C158,OFFSET(quests!$A$1,0,0,COUNTA(quests!$A:$A),MATCH(AA$2,quests!$1:$1,0)-MATCH($C$2,quests!$1:$1,0)+1),MATCH(AA$2,quests!$1:$1,0)-MATCH($C$2,quests!$1:$1,0)+1,FALSE)</f>
        <v>0</v>
      </c>
      <c r="AB158" s="7" t="s">
        <v>56</v>
      </c>
      <c r="AC158" s="7">
        <v>28</v>
      </c>
      <c r="AD158" s="7">
        <v>6</v>
      </c>
      <c r="AE158" s="7" t="s">
        <v>519</v>
      </c>
      <c r="AF158" s="7">
        <v>0</v>
      </c>
      <c r="AG158" s="7">
        <v>0</v>
      </c>
      <c r="AH158" s="7">
        <v>0</v>
      </c>
      <c r="AI158" s="7">
        <v>-1</v>
      </c>
      <c r="AJ158" s="7">
        <v>-1</v>
      </c>
      <c r="AK158" s="7" t="s">
        <v>1064</v>
      </c>
      <c r="AL158" s="12" t="s">
        <v>1695</v>
      </c>
      <c r="AM158" s="12" t="s">
        <v>2072</v>
      </c>
    </row>
    <row r="159" spans="1:39" ht="21" customHeight="1" x14ac:dyDescent="0.15">
      <c r="A159" s="42" t="str">
        <f t="shared" si="4"/>
        <v>28_3</v>
      </c>
      <c r="B159" s="39">
        <v>0</v>
      </c>
      <c r="C159" s="10">
        <v>28</v>
      </c>
      <c r="D159" s="47">
        <f ca="1">VLOOKUP($C159,OFFSET(quests!$A$1,0,0,COUNTA(quests!$A:$A),MATCH(D$1,quests!$1:$1,0)-MATCH($C$2,quests!$1:$1,0)+1),MATCH(D$1,quests!$1:$1,0)-MATCH($C$2,quests!$1:$1,0)+1,FALSE)</f>
        <v>0</v>
      </c>
      <c r="E159" s="48" t="str">
        <f ca="1">VLOOKUP($C159,OFFSET(quests!$A$1,0,0,COUNTA(quests!$A:$A),MATCH(E$2,quests!$1:$1,0)-MATCH($C$2,quests!$1:$1,0)+1),MATCH(E$2,quests!$1:$1,0)-MATCH($C$2,quests!$1:$1,0)+1,FALSE)</f>
        <v>黄DL6</v>
      </c>
      <c r="F159" s="7">
        <v>3</v>
      </c>
      <c r="G159" s="7" t="s">
        <v>570</v>
      </c>
      <c r="H159" s="12" t="s">
        <v>134</v>
      </c>
      <c r="I159" s="12"/>
      <c r="J159" s="12" t="s">
        <v>279</v>
      </c>
      <c r="K159" s="167">
        <v>14</v>
      </c>
      <c r="L159" s="167">
        <v>15240</v>
      </c>
      <c r="M159" s="167">
        <v>1</v>
      </c>
      <c r="N159" s="167">
        <v>1</v>
      </c>
      <c r="O159" s="167">
        <v>1</v>
      </c>
      <c r="P159" s="167">
        <v>1</v>
      </c>
      <c r="Q159" s="167">
        <v>1</v>
      </c>
      <c r="R159" s="167">
        <v>3</v>
      </c>
      <c r="S159" s="167" t="s">
        <v>79</v>
      </c>
      <c r="T159" s="167">
        <v>0</v>
      </c>
      <c r="U159" s="7">
        <v>28</v>
      </c>
      <c r="V159" s="7">
        <v>2</v>
      </c>
      <c r="W159" s="47" t="str">
        <f t="shared" ca="1" si="5"/>
        <v>DL6黄ステージ2</v>
      </c>
      <c r="X159" s="47">
        <f ca="1">VLOOKUP($C159,OFFSET(quests!$A$1,0,0,COUNTA(quests!$A:$A),MATCH(X$2,quests!$1:$1,0)-MATCH($C$2,quests!$1:$1,0)+1),MATCH(X$2,quests!$1:$1,0)-MATCH($C$2,quests!$1:$1,0)+1,FALSE)</f>
        <v>1</v>
      </c>
      <c r="Y159" s="47">
        <f ca="1">VLOOKUP($C159,OFFSET(quests!$A$1,0,0,COUNTA(quests!$A:$A),MATCH(Y$2,quests!$1:$1,0)-MATCH($C$2,quests!$1:$1,0)+1),MATCH(Y$2,quests!$1:$1,0)-MATCH($C$2,quests!$1:$1,0)+1,FALSE)</f>
        <v>0</v>
      </c>
      <c r="Z159" s="47">
        <f ca="1">VLOOKUP($C159,OFFSET(quests!$A$1,0,0,COUNTA(quests!$A:$A),MATCH(Z$2,quests!$1:$1,0)-MATCH($C$2,quests!$1:$1,0)+1),MATCH(Z$2,quests!$1:$1,0)-MATCH($C$2,quests!$1:$1,0)+1,FALSE)</f>
        <v>1</v>
      </c>
      <c r="AA159" s="47">
        <f ca="1">VLOOKUP($C159,OFFSET(quests!$A$1,0,0,COUNTA(quests!$A:$A),MATCH(AA$2,quests!$1:$1,0)-MATCH($C$2,quests!$1:$1,0)+1),MATCH(AA$2,quests!$1:$1,0)-MATCH($C$2,quests!$1:$1,0)+1,FALSE)</f>
        <v>0</v>
      </c>
      <c r="AB159" s="7" t="s">
        <v>56</v>
      </c>
      <c r="AC159" s="7">
        <v>28</v>
      </c>
      <c r="AD159" s="7">
        <v>6</v>
      </c>
      <c r="AE159" s="7" t="s">
        <v>519</v>
      </c>
      <c r="AF159" s="7">
        <v>0</v>
      </c>
      <c r="AG159" s="7">
        <v>0</v>
      </c>
      <c r="AH159" s="7">
        <v>0</v>
      </c>
      <c r="AI159" s="7">
        <v>-1</v>
      </c>
      <c r="AJ159" s="7">
        <v>-1</v>
      </c>
      <c r="AK159" s="7" t="s">
        <v>1064</v>
      </c>
      <c r="AL159" s="12" t="s">
        <v>1695</v>
      </c>
      <c r="AM159" s="12" t="s">
        <v>2072</v>
      </c>
    </row>
    <row r="160" spans="1:39" ht="21" customHeight="1" x14ac:dyDescent="0.15">
      <c r="A160" s="42" t="str">
        <f t="shared" si="4"/>
        <v>28_4</v>
      </c>
      <c r="B160" s="39">
        <v>0</v>
      </c>
      <c r="C160" s="10">
        <v>28</v>
      </c>
      <c r="D160" s="47">
        <f ca="1">VLOOKUP($C160,OFFSET(quests!$A$1,0,0,COUNTA(quests!$A:$A),MATCH(D$1,quests!$1:$1,0)-MATCH($C$2,quests!$1:$1,0)+1),MATCH(D$1,quests!$1:$1,0)-MATCH($C$2,quests!$1:$1,0)+1,FALSE)</f>
        <v>0</v>
      </c>
      <c r="E160" s="48" t="str">
        <f ca="1">VLOOKUP($C160,OFFSET(quests!$A$1,0,0,COUNTA(quests!$A:$A),MATCH(E$2,quests!$1:$1,0)-MATCH($C$2,quests!$1:$1,0)+1),MATCH(E$2,quests!$1:$1,0)-MATCH($C$2,quests!$1:$1,0)+1,FALSE)</f>
        <v>黄DL6</v>
      </c>
      <c r="F160" s="7">
        <v>4</v>
      </c>
      <c r="G160" s="7" t="s">
        <v>570</v>
      </c>
      <c r="H160" s="12" t="s">
        <v>135</v>
      </c>
      <c r="I160" s="12"/>
      <c r="J160" s="12" t="s">
        <v>279</v>
      </c>
      <c r="K160" s="167">
        <v>14</v>
      </c>
      <c r="L160" s="167">
        <v>15360</v>
      </c>
      <c r="M160" s="167">
        <v>1</v>
      </c>
      <c r="N160" s="167">
        <v>1</v>
      </c>
      <c r="O160" s="167">
        <v>1</v>
      </c>
      <c r="P160" s="167">
        <v>1</v>
      </c>
      <c r="Q160" s="167">
        <v>1</v>
      </c>
      <c r="R160" s="167">
        <v>3</v>
      </c>
      <c r="S160" s="167" t="s">
        <v>79</v>
      </c>
      <c r="T160" s="167">
        <v>0</v>
      </c>
      <c r="U160" s="7">
        <v>28</v>
      </c>
      <c r="V160" s="7">
        <v>3</v>
      </c>
      <c r="W160" s="47" t="str">
        <f t="shared" ca="1" si="5"/>
        <v>DL6黄ステージ3</v>
      </c>
      <c r="X160" s="47">
        <f ca="1">VLOOKUP($C160,OFFSET(quests!$A$1,0,0,COUNTA(quests!$A:$A),MATCH(X$2,quests!$1:$1,0)-MATCH($C$2,quests!$1:$1,0)+1),MATCH(X$2,quests!$1:$1,0)-MATCH($C$2,quests!$1:$1,0)+1,FALSE)</f>
        <v>1</v>
      </c>
      <c r="Y160" s="47">
        <f ca="1">VLOOKUP($C160,OFFSET(quests!$A$1,0,0,COUNTA(quests!$A:$A),MATCH(Y$2,quests!$1:$1,0)-MATCH($C$2,quests!$1:$1,0)+1),MATCH(Y$2,quests!$1:$1,0)-MATCH($C$2,quests!$1:$1,0)+1,FALSE)</f>
        <v>0</v>
      </c>
      <c r="Z160" s="47">
        <f ca="1">VLOOKUP($C160,OFFSET(quests!$A$1,0,0,COUNTA(quests!$A:$A),MATCH(Z$2,quests!$1:$1,0)-MATCH($C$2,quests!$1:$1,0)+1),MATCH(Z$2,quests!$1:$1,0)-MATCH($C$2,quests!$1:$1,0)+1,FALSE)</f>
        <v>1</v>
      </c>
      <c r="AA160" s="47">
        <f ca="1">VLOOKUP($C160,OFFSET(quests!$A$1,0,0,COUNTA(quests!$A:$A),MATCH(AA$2,quests!$1:$1,0)-MATCH($C$2,quests!$1:$1,0)+1),MATCH(AA$2,quests!$1:$1,0)-MATCH($C$2,quests!$1:$1,0)+1,FALSE)</f>
        <v>0</v>
      </c>
      <c r="AB160" s="7" t="s">
        <v>56</v>
      </c>
      <c r="AC160" s="7">
        <v>28</v>
      </c>
      <c r="AD160" s="7">
        <v>6</v>
      </c>
      <c r="AE160" s="7" t="s">
        <v>519</v>
      </c>
      <c r="AF160" s="7">
        <v>0</v>
      </c>
      <c r="AG160" s="7">
        <v>0</v>
      </c>
      <c r="AH160" s="7">
        <v>0</v>
      </c>
      <c r="AI160" s="7">
        <v>-1</v>
      </c>
      <c r="AJ160" s="7">
        <v>-1</v>
      </c>
      <c r="AK160" s="7" t="s">
        <v>1064</v>
      </c>
      <c r="AL160" s="12" t="s">
        <v>1695</v>
      </c>
      <c r="AM160" s="12" t="s">
        <v>2072</v>
      </c>
    </row>
    <row r="161" spans="1:39" ht="21" customHeight="1" x14ac:dyDescent="0.15">
      <c r="A161" s="42" t="str">
        <f t="shared" si="4"/>
        <v>28_5</v>
      </c>
      <c r="B161" s="39">
        <v>0</v>
      </c>
      <c r="C161" s="10">
        <v>28</v>
      </c>
      <c r="D161" s="47">
        <f ca="1">VLOOKUP($C161,OFFSET(quests!$A$1,0,0,COUNTA(quests!$A:$A),MATCH(D$1,quests!$1:$1,0)-MATCH($C$2,quests!$1:$1,0)+1),MATCH(D$1,quests!$1:$1,0)-MATCH($C$2,quests!$1:$1,0)+1,FALSE)</f>
        <v>0</v>
      </c>
      <c r="E161" s="48" t="str">
        <f ca="1">VLOOKUP($C161,OFFSET(quests!$A$1,0,0,COUNTA(quests!$A:$A),MATCH(E$2,quests!$1:$1,0)-MATCH($C$2,quests!$1:$1,0)+1),MATCH(E$2,quests!$1:$1,0)-MATCH($C$2,quests!$1:$1,0)+1,FALSE)</f>
        <v>黄DL6</v>
      </c>
      <c r="F161" s="9">
        <v>5</v>
      </c>
      <c r="G161" s="7" t="s">
        <v>570</v>
      </c>
      <c r="H161" s="12" t="s">
        <v>136</v>
      </c>
      <c r="I161" s="12"/>
      <c r="J161" s="12" t="s">
        <v>279</v>
      </c>
      <c r="K161" s="167">
        <v>15</v>
      </c>
      <c r="L161" s="167">
        <v>15480</v>
      </c>
      <c r="M161" s="167">
        <v>1</v>
      </c>
      <c r="N161" s="167">
        <v>1</v>
      </c>
      <c r="O161" s="167">
        <v>1</v>
      </c>
      <c r="P161" s="167">
        <v>1</v>
      </c>
      <c r="Q161" s="167">
        <v>1</v>
      </c>
      <c r="R161" s="167">
        <v>3</v>
      </c>
      <c r="S161" s="167" t="s">
        <v>79</v>
      </c>
      <c r="T161" s="167">
        <v>0</v>
      </c>
      <c r="U161" s="7">
        <v>28</v>
      </c>
      <c r="V161" s="7">
        <v>4</v>
      </c>
      <c r="W161" s="47" t="str">
        <f t="shared" ca="1" si="5"/>
        <v>DL6黄ステージ4</v>
      </c>
      <c r="X161" s="47">
        <f ca="1">VLOOKUP($C161,OFFSET(quests!$A$1,0,0,COUNTA(quests!$A:$A),MATCH(X$2,quests!$1:$1,0)-MATCH($C$2,quests!$1:$1,0)+1),MATCH(X$2,quests!$1:$1,0)-MATCH($C$2,quests!$1:$1,0)+1,FALSE)</f>
        <v>1</v>
      </c>
      <c r="Y161" s="47">
        <f ca="1">VLOOKUP($C161,OFFSET(quests!$A$1,0,0,COUNTA(quests!$A:$A),MATCH(Y$2,quests!$1:$1,0)-MATCH($C$2,quests!$1:$1,0)+1),MATCH(Y$2,quests!$1:$1,0)-MATCH($C$2,quests!$1:$1,0)+1,FALSE)</f>
        <v>0</v>
      </c>
      <c r="Z161" s="47">
        <f ca="1">VLOOKUP($C161,OFFSET(quests!$A$1,0,0,COUNTA(quests!$A:$A),MATCH(Z$2,quests!$1:$1,0)-MATCH($C$2,quests!$1:$1,0)+1),MATCH(Z$2,quests!$1:$1,0)-MATCH($C$2,quests!$1:$1,0)+1,FALSE)</f>
        <v>1</v>
      </c>
      <c r="AA161" s="47">
        <f ca="1">VLOOKUP($C161,OFFSET(quests!$A$1,0,0,COUNTA(quests!$A:$A),MATCH(AA$2,quests!$1:$1,0)-MATCH($C$2,quests!$1:$1,0)+1),MATCH(AA$2,quests!$1:$1,0)-MATCH($C$2,quests!$1:$1,0)+1,FALSE)</f>
        <v>0</v>
      </c>
      <c r="AB161" s="7" t="s">
        <v>56</v>
      </c>
      <c r="AC161" s="7">
        <v>28</v>
      </c>
      <c r="AD161" s="7">
        <v>6</v>
      </c>
      <c r="AE161" s="7" t="s">
        <v>519</v>
      </c>
      <c r="AF161" s="33">
        <v>3</v>
      </c>
      <c r="AG161" s="7">
        <v>0</v>
      </c>
      <c r="AH161" s="7">
        <v>0</v>
      </c>
      <c r="AI161" s="7">
        <v>-1</v>
      </c>
      <c r="AJ161" s="7">
        <v>-1</v>
      </c>
      <c r="AK161" s="7" t="s">
        <v>1064</v>
      </c>
      <c r="AL161" s="12" t="s">
        <v>1695</v>
      </c>
      <c r="AM161" s="12" t="s">
        <v>2072</v>
      </c>
    </row>
    <row r="162" spans="1:39" ht="21" customHeight="1" x14ac:dyDescent="0.15">
      <c r="A162" s="42" t="str">
        <f t="shared" si="4"/>
        <v>28_6</v>
      </c>
      <c r="B162" s="39">
        <v>0</v>
      </c>
      <c r="C162" s="10">
        <v>28</v>
      </c>
      <c r="D162" s="47">
        <f ca="1">VLOOKUP($C162,OFFSET(quests!$A$1,0,0,COUNTA(quests!$A:$A),MATCH(D$1,quests!$1:$1,0)-MATCH($C$2,quests!$1:$1,0)+1),MATCH(D$1,quests!$1:$1,0)-MATCH($C$2,quests!$1:$1,0)+1,FALSE)</f>
        <v>0</v>
      </c>
      <c r="E162" s="48" t="str">
        <f ca="1">VLOOKUP($C162,OFFSET(quests!$A$1,0,0,COUNTA(quests!$A:$A),MATCH(E$2,quests!$1:$1,0)-MATCH($C$2,quests!$1:$1,0)+1),MATCH(E$2,quests!$1:$1,0)-MATCH($C$2,quests!$1:$1,0)+1,FALSE)</f>
        <v>黄DL6</v>
      </c>
      <c r="F162" s="7">
        <v>6</v>
      </c>
      <c r="G162" s="7" t="s">
        <v>570</v>
      </c>
      <c r="H162" s="12" t="s">
        <v>73</v>
      </c>
      <c r="I162" s="12" t="s">
        <v>164</v>
      </c>
      <c r="J162" s="12">
        <v>346</v>
      </c>
      <c r="K162" s="167">
        <v>1</v>
      </c>
      <c r="L162" s="167">
        <v>1</v>
      </c>
      <c r="M162" s="167">
        <v>1</v>
      </c>
      <c r="N162" s="167">
        <v>1</v>
      </c>
      <c r="O162" s="167">
        <v>1</v>
      </c>
      <c r="P162" s="167">
        <v>1</v>
      </c>
      <c r="Q162" s="167">
        <v>1</v>
      </c>
      <c r="R162" s="167">
        <v>3</v>
      </c>
      <c r="S162" s="167" t="s">
        <v>79</v>
      </c>
      <c r="T162" s="167">
        <v>0</v>
      </c>
      <c r="U162" s="7">
        <v>28</v>
      </c>
      <c r="V162" s="7">
        <v>5</v>
      </c>
      <c r="W162" s="47" t="str">
        <f t="shared" ca="1" si="5"/>
        <v>DL6黄ステージ5</v>
      </c>
      <c r="X162" s="47">
        <f ca="1">VLOOKUP($C162,OFFSET(quests!$A$1,0,0,COUNTA(quests!$A:$A),MATCH(X$2,quests!$1:$1,0)-MATCH($C$2,quests!$1:$1,0)+1),MATCH(X$2,quests!$1:$1,0)-MATCH($C$2,quests!$1:$1,0)+1,FALSE)</f>
        <v>1</v>
      </c>
      <c r="Y162" s="47">
        <f ca="1">VLOOKUP($C162,OFFSET(quests!$A$1,0,0,COUNTA(quests!$A:$A),MATCH(Y$2,quests!$1:$1,0)-MATCH($C$2,quests!$1:$1,0)+1),MATCH(Y$2,quests!$1:$1,0)-MATCH($C$2,quests!$1:$1,0)+1,FALSE)</f>
        <v>0</v>
      </c>
      <c r="Z162" s="47">
        <f ca="1">VLOOKUP($C162,OFFSET(quests!$A$1,0,0,COUNTA(quests!$A:$A),MATCH(Z$2,quests!$1:$1,0)-MATCH($C$2,quests!$1:$1,0)+1),MATCH(Z$2,quests!$1:$1,0)-MATCH($C$2,quests!$1:$1,0)+1,FALSE)</f>
        <v>1</v>
      </c>
      <c r="AA162" s="47">
        <f ca="1">VLOOKUP($C162,OFFSET(quests!$A$1,0,0,COUNTA(quests!$A:$A),MATCH(AA$2,quests!$1:$1,0)-MATCH($C$2,quests!$1:$1,0)+1),MATCH(AA$2,quests!$1:$1,0)-MATCH($C$2,quests!$1:$1,0)+1,FALSE)</f>
        <v>0</v>
      </c>
      <c r="AB162" s="7" t="s">
        <v>62</v>
      </c>
      <c r="AC162" s="7">
        <v>28</v>
      </c>
      <c r="AD162" s="7">
        <v>6</v>
      </c>
      <c r="AE162" s="7" t="s">
        <v>522</v>
      </c>
      <c r="AF162" s="7">
        <v>1</v>
      </c>
      <c r="AG162" s="7">
        <v>0</v>
      </c>
      <c r="AH162" s="7">
        <v>0</v>
      </c>
      <c r="AI162" s="7">
        <v>-1</v>
      </c>
      <c r="AJ162" s="7">
        <v>-1</v>
      </c>
      <c r="AK162" s="7" t="s">
        <v>1064</v>
      </c>
      <c r="AL162" s="12" t="s">
        <v>1695</v>
      </c>
      <c r="AM162" s="12" t="s">
        <v>2072</v>
      </c>
    </row>
    <row r="163" spans="1:39" ht="21" customHeight="1" x14ac:dyDescent="0.15">
      <c r="A163" s="42" t="str">
        <f t="shared" si="4"/>
        <v>29_1</v>
      </c>
      <c r="B163" s="39">
        <v>0</v>
      </c>
      <c r="C163" s="10">
        <v>29</v>
      </c>
      <c r="D163" s="47">
        <f ca="1">VLOOKUP($C163,OFFSET(quests!$A$1,0,0,COUNTA(quests!$A:$A),MATCH(D$1,quests!$1:$1,0)-MATCH($C$2,quests!$1:$1,0)+1),MATCH(D$1,quests!$1:$1,0)-MATCH($C$2,quests!$1:$1,0)+1,FALSE)</f>
        <v>0</v>
      </c>
      <c r="E163" s="48" t="str">
        <f ca="1">VLOOKUP($C163,OFFSET(quests!$A$1,0,0,COUNTA(quests!$A:$A),MATCH(E$2,quests!$1:$1,0)-MATCH($C$2,quests!$1:$1,0)+1),MATCH(E$2,quests!$1:$1,0)-MATCH($C$2,quests!$1:$1,0)+1,FALSE)</f>
        <v>青DL6</v>
      </c>
      <c r="F163" s="7">
        <v>1</v>
      </c>
      <c r="G163" s="7" t="s">
        <v>570</v>
      </c>
      <c r="H163" s="12" t="s">
        <v>137</v>
      </c>
      <c r="I163" s="12"/>
      <c r="J163" s="12" t="s">
        <v>279</v>
      </c>
      <c r="K163" s="167">
        <v>14</v>
      </c>
      <c r="L163" s="167">
        <v>15600</v>
      </c>
      <c r="M163" s="167">
        <v>1</v>
      </c>
      <c r="N163" s="167">
        <v>1</v>
      </c>
      <c r="O163" s="167">
        <v>1</v>
      </c>
      <c r="P163" s="167">
        <v>1</v>
      </c>
      <c r="Q163" s="167">
        <v>1</v>
      </c>
      <c r="R163" s="167">
        <v>3</v>
      </c>
      <c r="S163" s="167" t="s">
        <v>79</v>
      </c>
      <c r="T163" s="167">
        <v>0</v>
      </c>
      <c r="U163" s="7">
        <v>28</v>
      </c>
      <c r="V163" s="7">
        <v>6</v>
      </c>
      <c r="W163" s="47" t="str">
        <f t="shared" ca="1" si="5"/>
        <v>ボーナスステージ</v>
      </c>
      <c r="X163" s="47">
        <f ca="1">VLOOKUP($C163,OFFSET(quests!$A$1,0,0,COUNTA(quests!$A:$A),MATCH(X$2,quests!$1:$1,0)-MATCH($C$2,quests!$1:$1,0)+1),MATCH(X$2,quests!$1:$1,0)-MATCH($C$2,quests!$1:$1,0)+1,FALSE)</f>
        <v>0</v>
      </c>
      <c r="Y163" s="47">
        <f ca="1">VLOOKUP($C163,OFFSET(quests!$A$1,0,0,COUNTA(quests!$A:$A),MATCH(Y$2,quests!$1:$1,0)-MATCH($C$2,quests!$1:$1,0)+1),MATCH(Y$2,quests!$1:$1,0)-MATCH($C$2,quests!$1:$1,0)+1,FALSE)</f>
        <v>0</v>
      </c>
      <c r="Z163" s="47">
        <f ca="1">VLOOKUP($C163,OFFSET(quests!$A$1,0,0,COUNTA(quests!$A:$A),MATCH(Z$2,quests!$1:$1,0)-MATCH($C$2,quests!$1:$1,0)+1),MATCH(Z$2,quests!$1:$1,0)-MATCH($C$2,quests!$1:$1,0)+1,FALSE)</f>
        <v>1</v>
      </c>
      <c r="AA163" s="47">
        <f ca="1">VLOOKUP($C163,OFFSET(quests!$A$1,0,0,COUNTA(quests!$A:$A),MATCH(AA$2,quests!$1:$1,0)-MATCH($C$2,quests!$1:$1,0)+1),MATCH(AA$2,quests!$1:$1,0)-MATCH($C$2,quests!$1:$1,0)+1,FALSE)</f>
        <v>1</v>
      </c>
      <c r="AB163" s="7" t="s">
        <v>56</v>
      </c>
      <c r="AC163" s="7">
        <v>29</v>
      </c>
      <c r="AD163" s="7">
        <v>6</v>
      </c>
      <c r="AE163" s="7" t="s">
        <v>519</v>
      </c>
      <c r="AF163" s="7">
        <v>0</v>
      </c>
      <c r="AG163" s="7">
        <v>0</v>
      </c>
      <c r="AH163" s="7">
        <v>0</v>
      </c>
      <c r="AI163" s="7">
        <v>-1</v>
      </c>
      <c r="AJ163" s="7">
        <v>-1</v>
      </c>
      <c r="AK163" s="7" t="s">
        <v>1064</v>
      </c>
      <c r="AL163" s="12" t="s">
        <v>1695</v>
      </c>
      <c r="AM163" s="12" t="s">
        <v>2072</v>
      </c>
    </row>
    <row r="164" spans="1:39" ht="21" customHeight="1" x14ac:dyDescent="0.15">
      <c r="A164" s="42" t="str">
        <f t="shared" si="4"/>
        <v>29_2</v>
      </c>
      <c r="B164" s="39">
        <v>0</v>
      </c>
      <c r="C164" s="10">
        <v>29</v>
      </c>
      <c r="D164" s="47">
        <f ca="1">VLOOKUP($C164,OFFSET(quests!$A$1,0,0,COUNTA(quests!$A:$A),MATCH(D$1,quests!$1:$1,0)-MATCH($C$2,quests!$1:$1,0)+1),MATCH(D$1,quests!$1:$1,0)-MATCH($C$2,quests!$1:$1,0)+1,FALSE)</f>
        <v>0</v>
      </c>
      <c r="E164" s="48" t="str">
        <f ca="1">VLOOKUP($C164,OFFSET(quests!$A$1,0,0,COUNTA(quests!$A:$A),MATCH(E$2,quests!$1:$1,0)-MATCH($C$2,quests!$1:$1,0)+1),MATCH(E$2,quests!$1:$1,0)-MATCH($C$2,quests!$1:$1,0)+1,FALSE)</f>
        <v>青DL6</v>
      </c>
      <c r="F164" s="7">
        <v>2</v>
      </c>
      <c r="G164" s="7" t="s">
        <v>570</v>
      </c>
      <c r="H164" s="12" t="s">
        <v>138</v>
      </c>
      <c r="I164" s="12"/>
      <c r="J164" s="12" t="s">
        <v>279</v>
      </c>
      <c r="K164" s="167">
        <v>14</v>
      </c>
      <c r="L164" s="167">
        <v>15720</v>
      </c>
      <c r="M164" s="167">
        <v>1</v>
      </c>
      <c r="N164" s="167">
        <v>1</v>
      </c>
      <c r="O164" s="167">
        <v>1</v>
      </c>
      <c r="P164" s="167">
        <v>1</v>
      </c>
      <c r="Q164" s="167">
        <v>1</v>
      </c>
      <c r="R164" s="167">
        <v>3</v>
      </c>
      <c r="S164" s="167" t="s">
        <v>79</v>
      </c>
      <c r="T164" s="167">
        <v>0</v>
      </c>
      <c r="U164" s="7">
        <v>29</v>
      </c>
      <c r="V164" s="7">
        <v>1</v>
      </c>
      <c r="W164" s="47" t="str">
        <f t="shared" ca="1" si="5"/>
        <v>DL6青ステージ1</v>
      </c>
      <c r="X164" s="47">
        <f ca="1">VLOOKUP($C164,OFFSET(quests!$A$1,0,0,COUNTA(quests!$A:$A),MATCH(X$2,quests!$1:$1,0)-MATCH($C$2,quests!$1:$1,0)+1),MATCH(X$2,quests!$1:$1,0)-MATCH($C$2,quests!$1:$1,0)+1,FALSE)</f>
        <v>0</v>
      </c>
      <c r="Y164" s="47">
        <f ca="1">VLOOKUP($C164,OFFSET(quests!$A$1,0,0,COUNTA(quests!$A:$A),MATCH(Y$2,quests!$1:$1,0)-MATCH($C$2,quests!$1:$1,0)+1),MATCH(Y$2,quests!$1:$1,0)-MATCH($C$2,quests!$1:$1,0)+1,FALSE)</f>
        <v>0</v>
      </c>
      <c r="Z164" s="47">
        <f ca="1">VLOOKUP($C164,OFFSET(quests!$A$1,0,0,COUNTA(quests!$A:$A),MATCH(Z$2,quests!$1:$1,0)-MATCH($C$2,quests!$1:$1,0)+1),MATCH(Z$2,quests!$1:$1,0)-MATCH($C$2,quests!$1:$1,0)+1,FALSE)</f>
        <v>1</v>
      </c>
      <c r="AA164" s="47">
        <f ca="1">VLOOKUP($C164,OFFSET(quests!$A$1,0,0,COUNTA(quests!$A:$A),MATCH(AA$2,quests!$1:$1,0)-MATCH($C$2,quests!$1:$1,0)+1),MATCH(AA$2,quests!$1:$1,0)-MATCH($C$2,quests!$1:$1,0)+1,FALSE)</f>
        <v>1</v>
      </c>
      <c r="AB164" s="7" t="s">
        <v>56</v>
      </c>
      <c r="AC164" s="7">
        <v>29</v>
      </c>
      <c r="AD164" s="7">
        <v>6</v>
      </c>
      <c r="AE164" s="7" t="s">
        <v>519</v>
      </c>
      <c r="AF164" s="7">
        <v>0</v>
      </c>
      <c r="AG164" s="7">
        <v>0</v>
      </c>
      <c r="AH164" s="7">
        <v>0</v>
      </c>
      <c r="AI164" s="7">
        <v>-1</v>
      </c>
      <c r="AJ164" s="7">
        <v>-1</v>
      </c>
      <c r="AK164" s="7" t="s">
        <v>1064</v>
      </c>
      <c r="AL164" s="12" t="s">
        <v>1695</v>
      </c>
      <c r="AM164" s="12" t="s">
        <v>2072</v>
      </c>
    </row>
    <row r="165" spans="1:39" ht="21" customHeight="1" x14ac:dyDescent="0.15">
      <c r="A165" s="42" t="str">
        <f t="shared" si="4"/>
        <v>29_3</v>
      </c>
      <c r="B165" s="39">
        <v>0</v>
      </c>
      <c r="C165" s="10">
        <v>29</v>
      </c>
      <c r="D165" s="47">
        <f ca="1">VLOOKUP($C165,OFFSET(quests!$A$1,0,0,COUNTA(quests!$A:$A),MATCH(D$1,quests!$1:$1,0)-MATCH($C$2,quests!$1:$1,0)+1),MATCH(D$1,quests!$1:$1,0)-MATCH($C$2,quests!$1:$1,0)+1,FALSE)</f>
        <v>0</v>
      </c>
      <c r="E165" s="48" t="str">
        <f ca="1">VLOOKUP($C165,OFFSET(quests!$A$1,0,0,COUNTA(quests!$A:$A),MATCH(E$2,quests!$1:$1,0)-MATCH($C$2,quests!$1:$1,0)+1),MATCH(E$2,quests!$1:$1,0)-MATCH($C$2,quests!$1:$1,0)+1,FALSE)</f>
        <v>青DL6</v>
      </c>
      <c r="F165" s="7">
        <v>3</v>
      </c>
      <c r="G165" s="7" t="s">
        <v>570</v>
      </c>
      <c r="H165" s="12" t="s">
        <v>139</v>
      </c>
      <c r="I165" s="12"/>
      <c r="J165" s="12" t="s">
        <v>279</v>
      </c>
      <c r="K165" s="167">
        <v>14</v>
      </c>
      <c r="L165" s="167">
        <v>15840</v>
      </c>
      <c r="M165" s="167">
        <v>1</v>
      </c>
      <c r="N165" s="167">
        <v>1</v>
      </c>
      <c r="O165" s="167">
        <v>1</v>
      </c>
      <c r="P165" s="167">
        <v>1</v>
      </c>
      <c r="Q165" s="167">
        <v>1</v>
      </c>
      <c r="R165" s="167">
        <v>3</v>
      </c>
      <c r="S165" s="167" t="s">
        <v>79</v>
      </c>
      <c r="T165" s="167">
        <v>0</v>
      </c>
      <c r="U165" s="7">
        <v>29</v>
      </c>
      <c r="V165" s="7">
        <v>2</v>
      </c>
      <c r="W165" s="47" t="str">
        <f t="shared" ca="1" si="5"/>
        <v>DL6青ステージ2</v>
      </c>
      <c r="X165" s="47">
        <f ca="1">VLOOKUP($C165,OFFSET(quests!$A$1,0,0,COUNTA(quests!$A:$A),MATCH(X$2,quests!$1:$1,0)-MATCH($C$2,quests!$1:$1,0)+1),MATCH(X$2,quests!$1:$1,0)-MATCH($C$2,quests!$1:$1,0)+1,FALSE)</f>
        <v>0</v>
      </c>
      <c r="Y165" s="47">
        <f ca="1">VLOOKUP($C165,OFFSET(quests!$A$1,0,0,COUNTA(quests!$A:$A),MATCH(Y$2,quests!$1:$1,0)-MATCH($C$2,quests!$1:$1,0)+1),MATCH(Y$2,quests!$1:$1,0)-MATCH($C$2,quests!$1:$1,0)+1,FALSE)</f>
        <v>0</v>
      </c>
      <c r="Z165" s="47">
        <f ca="1">VLOOKUP($C165,OFFSET(quests!$A$1,0,0,COUNTA(quests!$A:$A),MATCH(Z$2,quests!$1:$1,0)-MATCH($C$2,quests!$1:$1,0)+1),MATCH(Z$2,quests!$1:$1,0)-MATCH($C$2,quests!$1:$1,0)+1,FALSE)</f>
        <v>1</v>
      </c>
      <c r="AA165" s="47">
        <f ca="1">VLOOKUP($C165,OFFSET(quests!$A$1,0,0,COUNTA(quests!$A:$A),MATCH(AA$2,quests!$1:$1,0)-MATCH($C$2,quests!$1:$1,0)+1),MATCH(AA$2,quests!$1:$1,0)-MATCH($C$2,quests!$1:$1,0)+1,FALSE)</f>
        <v>1</v>
      </c>
      <c r="AB165" s="7" t="s">
        <v>56</v>
      </c>
      <c r="AC165" s="7">
        <v>29</v>
      </c>
      <c r="AD165" s="7">
        <v>6</v>
      </c>
      <c r="AE165" s="7" t="s">
        <v>519</v>
      </c>
      <c r="AF165" s="7">
        <v>0</v>
      </c>
      <c r="AG165" s="7">
        <v>0</v>
      </c>
      <c r="AH165" s="7">
        <v>0</v>
      </c>
      <c r="AI165" s="7">
        <v>-1</v>
      </c>
      <c r="AJ165" s="7">
        <v>-1</v>
      </c>
      <c r="AK165" s="7" t="s">
        <v>1064</v>
      </c>
      <c r="AL165" s="12" t="s">
        <v>1695</v>
      </c>
      <c r="AM165" s="12" t="s">
        <v>2072</v>
      </c>
    </row>
    <row r="166" spans="1:39" ht="21" customHeight="1" x14ac:dyDescent="0.15">
      <c r="A166" s="42" t="str">
        <f t="shared" si="4"/>
        <v>29_4</v>
      </c>
      <c r="B166" s="39">
        <v>0</v>
      </c>
      <c r="C166" s="10">
        <v>29</v>
      </c>
      <c r="D166" s="47">
        <f ca="1">VLOOKUP($C166,OFFSET(quests!$A$1,0,0,COUNTA(quests!$A:$A),MATCH(D$1,quests!$1:$1,0)-MATCH($C$2,quests!$1:$1,0)+1),MATCH(D$1,quests!$1:$1,0)-MATCH($C$2,quests!$1:$1,0)+1,FALSE)</f>
        <v>0</v>
      </c>
      <c r="E166" s="48" t="str">
        <f ca="1">VLOOKUP($C166,OFFSET(quests!$A$1,0,0,COUNTA(quests!$A:$A),MATCH(E$2,quests!$1:$1,0)-MATCH($C$2,quests!$1:$1,0)+1),MATCH(E$2,quests!$1:$1,0)-MATCH($C$2,quests!$1:$1,0)+1,FALSE)</f>
        <v>青DL6</v>
      </c>
      <c r="F166" s="7">
        <v>4</v>
      </c>
      <c r="G166" s="7" t="s">
        <v>570</v>
      </c>
      <c r="H166" s="12" t="s">
        <v>140</v>
      </c>
      <c r="I166" s="12"/>
      <c r="J166" s="12" t="s">
        <v>279</v>
      </c>
      <c r="K166" s="167">
        <v>14</v>
      </c>
      <c r="L166" s="167">
        <v>15960</v>
      </c>
      <c r="M166" s="167">
        <v>1</v>
      </c>
      <c r="N166" s="167">
        <v>1</v>
      </c>
      <c r="O166" s="167">
        <v>1</v>
      </c>
      <c r="P166" s="167">
        <v>1</v>
      </c>
      <c r="Q166" s="167">
        <v>1</v>
      </c>
      <c r="R166" s="167">
        <v>3</v>
      </c>
      <c r="S166" s="167" t="s">
        <v>79</v>
      </c>
      <c r="T166" s="167">
        <v>0</v>
      </c>
      <c r="U166" s="7">
        <v>29</v>
      </c>
      <c r="V166" s="7">
        <v>3</v>
      </c>
      <c r="W166" s="47" t="str">
        <f t="shared" ca="1" si="5"/>
        <v>DL6青ステージ3</v>
      </c>
      <c r="X166" s="47">
        <f ca="1">VLOOKUP($C166,OFFSET(quests!$A$1,0,0,COUNTA(quests!$A:$A),MATCH(X$2,quests!$1:$1,0)-MATCH($C$2,quests!$1:$1,0)+1),MATCH(X$2,quests!$1:$1,0)-MATCH($C$2,quests!$1:$1,0)+1,FALSE)</f>
        <v>0</v>
      </c>
      <c r="Y166" s="47">
        <f ca="1">VLOOKUP($C166,OFFSET(quests!$A$1,0,0,COUNTA(quests!$A:$A),MATCH(Y$2,quests!$1:$1,0)-MATCH($C$2,quests!$1:$1,0)+1),MATCH(Y$2,quests!$1:$1,0)-MATCH($C$2,quests!$1:$1,0)+1,FALSE)</f>
        <v>0</v>
      </c>
      <c r="Z166" s="47">
        <f ca="1">VLOOKUP($C166,OFFSET(quests!$A$1,0,0,COUNTA(quests!$A:$A),MATCH(Z$2,quests!$1:$1,0)-MATCH($C$2,quests!$1:$1,0)+1),MATCH(Z$2,quests!$1:$1,0)-MATCH($C$2,quests!$1:$1,0)+1,FALSE)</f>
        <v>1</v>
      </c>
      <c r="AA166" s="47">
        <f ca="1">VLOOKUP($C166,OFFSET(quests!$A$1,0,0,COUNTA(quests!$A:$A),MATCH(AA$2,quests!$1:$1,0)-MATCH($C$2,quests!$1:$1,0)+1),MATCH(AA$2,quests!$1:$1,0)-MATCH($C$2,quests!$1:$1,0)+1,FALSE)</f>
        <v>1</v>
      </c>
      <c r="AB166" s="7" t="s">
        <v>56</v>
      </c>
      <c r="AC166" s="7">
        <v>29</v>
      </c>
      <c r="AD166" s="7">
        <v>6</v>
      </c>
      <c r="AE166" s="7" t="s">
        <v>519</v>
      </c>
      <c r="AF166" s="7">
        <v>0</v>
      </c>
      <c r="AG166" s="7">
        <v>0</v>
      </c>
      <c r="AH166" s="7">
        <v>0</v>
      </c>
      <c r="AI166" s="7">
        <v>-1</v>
      </c>
      <c r="AJ166" s="7">
        <v>-1</v>
      </c>
      <c r="AK166" s="7" t="s">
        <v>1064</v>
      </c>
      <c r="AL166" s="12" t="s">
        <v>1695</v>
      </c>
      <c r="AM166" s="12" t="s">
        <v>2072</v>
      </c>
    </row>
    <row r="167" spans="1:39" ht="21" customHeight="1" x14ac:dyDescent="0.15">
      <c r="A167" s="42" t="str">
        <f t="shared" si="4"/>
        <v>29_5</v>
      </c>
      <c r="B167" s="39">
        <v>0</v>
      </c>
      <c r="C167" s="10">
        <v>29</v>
      </c>
      <c r="D167" s="47">
        <f ca="1">VLOOKUP($C167,OFFSET(quests!$A$1,0,0,COUNTA(quests!$A:$A),MATCH(D$1,quests!$1:$1,0)-MATCH($C$2,quests!$1:$1,0)+1),MATCH(D$1,quests!$1:$1,0)-MATCH($C$2,quests!$1:$1,0)+1,FALSE)</f>
        <v>0</v>
      </c>
      <c r="E167" s="48" t="str">
        <f ca="1">VLOOKUP($C167,OFFSET(quests!$A$1,0,0,COUNTA(quests!$A:$A),MATCH(E$2,quests!$1:$1,0)-MATCH($C$2,quests!$1:$1,0)+1),MATCH(E$2,quests!$1:$1,0)-MATCH($C$2,quests!$1:$1,0)+1,FALSE)</f>
        <v>青DL6</v>
      </c>
      <c r="F167" s="9">
        <v>5</v>
      </c>
      <c r="G167" s="7" t="s">
        <v>570</v>
      </c>
      <c r="H167" s="12" t="s">
        <v>141</v>
      </c>
      <c r="I167" s="12"/>
      <c r="J167" s="12" t="s">
        <v>279</v>
      </c>
      <c r="K167" s="167">
        <v>15</v>
      </c>
      <c r="L167" s="167">
        <v>16080</v>
      </c>
      <c r="M167" s="167">
        <v>1</v>
      </c>
      <c r="N167" s="167">
        <v>1</v>
      </c>
      <c r="O167" s="167">
        <v>1</v>
      </c>
      <c r="P167" s="167">
        <v>1</v>
      </c>
      <c r="Q167" s="167">
        <v>1</v>
      </c>
      <c r="R167" s="167">
        <v>3</v>
      </c>
      <c r="S167" s="167" t="s">
        <v>79</v>
      </c>
      <c r="T167" s="167">
        <v>0</v>
      </c>
      <c r="U167" s="7">
        <v>29</v>
      </c>
      <c r="V167" s="7">
        <v>4</v>
      </c>
      <c r="W167" s="47" t="str">
        <f t="shared" ca="1" si="5"/>
        <v>DL6青ステージ4</v>
      </c>
      <c r="X167" s="47">
        <f ca="1">VLOOKUP($C167,OFFSET(quests!$A$1,0,0,COUNTA(quests!$A:$A),MATCH(X$2,quests!$1:$1,0)-MATCH($C$2,quests!$1:$1,0)+1),MATCH(X$2,quests!$1:$1,0)-MATCH($C$2,quests!$1:$1,0)+1,FALSE)</f>
        <v>0</v>
      </c>
      <c r="Y167" s="47">
        <f ca="1">VLOOKUP($C167,OFFSET(quests!$A$1,0,0,COUNTA(quests!$A:$A),MATCH(Y$2,quests!$1:$1,0)-MATCH($C$2,quests!$1:$1,0)+1),MATCH(Y$2,quests!$1:$1,0)-MATCH($C$2,quests!$1:$1,0)+1,FALSE)</f>
        <v>0</v>
      </c>
      <c r="Z167" s="47">
        <f ca="1">VLOOKUP($C167,OFFSET(quests!$A$1,0,0,COUNTA(quests!$A:$A),MATCH(Z$2,quests!$1:$1,0)-MATCH($C$2,quests!$1:$1,0)+1),MATCH(Z$2,quests!$1:$1,0)-MATCH($C$2,quests!$1:$1,0)+1,FALSE)</f>
        <v>1</v>
      </c>
      <c r="AA167" s="47">
        <f ca="1">VLOOKUP($C167,OFFSET(quests!$A$1,0,0,COUNTA(quests!$A:$A),MATCH(AA$2,quests!$1:$1,0)-MATCH($C$2,quests!$1:$1,0)+1),MATCH(AA$2,quests!$1:$1,0)-MATCH($C$2,quests!$1:$1,0)+1,FALSE)</f>
        <v>1</v>
      </c>
      <c r="AB167" s="7" t="s">
        <v>56</v>
      </c>
      <c r="AC167" s="7">
        <v>29</v>
      </c>
      <c r="AD167" s="7">
        <v>6</v>
      </c>
      <c r="AE167" s="7" t="s">
        <v>519</v>
      </c>
      <c r="AF167" s="33">
        <v>3</v>
      </c>
      <c r="AG167" s="7">
        <v>0</v>
      </c>
      <c r="AH167" s="7">
        <v>0</v>
      </c>
      <c r="AI167" s="7">
        <v>-1</v>
      </c>
      <c r="AJ167" s="7">
        <v>-1</v>
      </c>
      <c r="AK167" s="7" t="s">
        <v>1064</v>
      </c>
      <c r="AL167" s="12" t="s">
        <v>1695</v>
      </c>
      <c r="AM167" s="12" t="s">
        <v>2072</v>
      </c>
    </row>
    <row r="168" spans="1:39" ht="21" customHeight="1" x14ac:dyDescent="0.15">
      <c r="A168" s="42" t="str">
        <f t="shared" si="4"/>
        <v>29_6</v>
      </c>
      <c r="B168" s="39">
        <v>0</v>
      </c>
      <c r="C168" s="10">
        <v>29</v>
      </c>
      <c r="D168" s="47">
        <f ca="1">VLOOKUP($C168,OFFSET(quests!$A$1,0,0,COUNTA(quests!$A:$A),MATCH(D$1,quests!$1:$1,0)-MATCH($C$2,quests!$1:$1,0)+1),MATCH(D$1,quests!$1:$1,0)-MATCH($C$2,quests!$1:$1,0)+1,FALSE)</f>
        <v>0</v>
      </c>
      <c r="E168" s="48" t="str">
        <f ca="1">VLOOKUP($C168,OFFSET(quests!$A$1,0,0,COUNTA(quests!$A:$A),MATCH(E$2,quests!$1:$1,0)-MATCH($C$2,quests!$1:$1,0)+1),MATCH(E$2,quests!$1:$1,0)-MATCH($C$2,quests!$1:$1,0)+1,FALSE)</f>
        <v>青DL6</v>
      </c>
      <c r="F168" s="7">
        <v>6</v>
      </c>
      <c r="G168" s="7" t="s">
        <v>570</v>
      </c>
      <c r="H168" s="12" t="s">
        <v>890</v>
      </c>
      <c r="I168" s="12" t="s">
        <v>164</v>
      </c>
      <c r="J168" s="12">
        <v>342</v>
      </c>
      <c r="K168" s="167">
        <v>1</v>
      </c>
      <c r="L168" s="167">
        <v>1</v>
      </c>
      <c r="M168" s="167">
        <v>1</v>
      </c>
      <c r="N168" s="167">
        <v>1</v>
      </c>
      <c r="O168" s="167">
        <v>1</v>
      </c>
      <c r="P168" s="167">
        <v>1</v>
      </c>
      <c r="Q168" s="167">
        <v>1</v>
      </c>
      <c r="R168" s="167">
        <v>3</v>
      </c>
      <c r="S168" s="167" t="s">
        <v>79</v>
      </c>
      <c r="T168" s="167">
        <v>0</v>
      </c>
      <c r="U168" s="7">
        <v>29</v>
      </c>
      <c r="V168" s="7">
        <v>5</v>
      </c>
      <c r="W168" s="47" t="str">
        <f t="shared" ca="1" si="5"/>
        <v>DL6青ステージ5</v>
      </c>
      <c r="X168" s="47">
        <f ca="1">VLOOKUP($C168,OFFSET(quests!$A$1,0,0,COUNTA(quests!$A:$A),MATCH(X$2,quests!$1:$1,0)-MATCH($C$2,quests!$1:$1,0)+1),MATCH(X$2,quests!$1:$1,0)-MATCH($C$2,quests!$1:$1,0)+1,FALSE)</f>
        <v>0</v>
      </c>
      <c r="Y168" s="47">
        <f ca="1">VLOOKUP($C168,OFFSET(quests!$A$1,0,0,COUNTA(quests!$A:$A),MATCH(Y$2,quests!$1:$1,0)-MATCH($C$2,quests!$1:$1,0)+1),MATCH(Y$2,quests!$1:$1,0)-MATCH($C$2,quests!$1:$1,0)+1,FALSE)</f>
        <v>0</v>
      </c>
      <c r="Z168" s="47">
        <f ca="1">VLOOKUP($C168,OFFSET(quests!$A$1,0,0,COUNTA(quests!$A:$A),MATCH(Z$2,quests!$1:$1,0)-MATCH($C$2,quests!$1:$1,0)+1),MATCH(Z$2,quests!$1:$1,0)-MATCH($C$2,quests!$1:$1,0)+1,FALSE)</f>
        <v>1</v>
      </c>
      <c r="AA168" s="47">
        <f ca="1">VLOOKUP($C168,OFFSET(quests!$A$1,0,0,COUNTA(quests!$A:$A),MATCH(AA$2,quests!$1:$1,0)-MATCH($C$2,quests!$1:$1,0)+1),MATCH(AA$2,quests!$1:$1,0)-MATCH($C$2,quests!$1:$1,0)+1,FALSE)</f>
        <v>1</v>
      </c>
      <c r="AB168" s="7" t="s">
        <v>62</v>
      </c>
      <c r="AC168" s="7">
        <v>29</v>
      </c>
      <c r="AD168" s="7">
        <v>6</v>
      </c>
      <c r="AE168" s="7" t="s">
        <v>522</v>
      </c>
      <c r="AF168" s="7">
        <v>1</v>
      </c>
      <c r="AG168" s="7">
        <v>0</v>
      </c>
      <c r="AH168" s="7">
        <v>0</v>
      </c>
      <c r="AI168" s="7">
        <v>-1</v>
      </c>
      <c r="AJ168" s="7">
        <v>-1</v>
      </c>
      <c r="AK168" s="7" t="s">
        <v>1064</v>
      </c>
      <c r="AL168" s="12" t="s">
        <v>1695</v>
      </c>
      <c r="AM168" s="12" t="s">
        <v>2072</v>
      </c>
    </row>
    <row r="169" spans="1:39" ht="21" customHeight="1" x14ac:dyDescent="0.15">
      <c r="A169" s="42" t="str">
        <f t="shared" si="4"/>
        <v>30_1</v>
      </c>
      <c r="B169" s="39">
        <v>0</v>
      </c>
      <c r="C169" s="10">
        <v>30</v>
      </c>
      <c r="D169" s="47">
        <f ca="1">VLOOKUP($C169,OFFSET(quests!$A$1,0,0,COUNTA(quests!$A:$A),MATCH(D$1,quests!$1:$1,0)-MATCH($C$2,quests!$1:$1,0)+1),MATCH(D$1,quests!$1:$1,0)-MATCH($C$2,quests!$1:$1,0)+1,FALSE)</f>
        <v>0</v>
      </c>
      <c r="E169" s="48" t="str">
        <f ca="1">VLOOKUP($C169,OFFSET(quests!$A$1,0,0,COUNTA(quests!$A:$A),MATCH(E$2,quests!$1:$1,0)-MATCH($C$2,quests!$1:$1,0)+1),MATCH(E$2,quests!$1:$1,0)-MATCH($C$2,quests!$1:$1,0)+1,FALSE)</f>
        <v>赤DL6</v>
      </c>
      <c r="F169" s="7">
        <v>1</v>
      </c>
      <c r="G169" s="7" t="s">
        <v>570</v>
      </c>
      <c r="H169" s="12" t="s">
        <v>142</v>
      </c>
      <c r="I169" s="12"/>
      <c r="J169" s="12" t="s">
        <v>279</v>
      </c>
      <c r="K169" s="167">
        <v>14</v>
      </c>
      <c r="L169" s="167">
        <v>16200</v>
      </c>
      <c r="M169" s="167">
        <v>1</v>
      </c>
      <c r="N169" s="167">
        <v>1</v>
      </c>
      <c r="O169" s="167">
        <v>1</v>
      </c>
      <c r="P169" s="167">
        <v>1</v>
      </c>
      <c r="Q169" s="167">
        <v>1</v>
      </c>
      <c r="R169" s="167">
        <v>3</v>
      </c>
      <c r="S169" s="167" t="s">
        <v>79</v>
      </c>
      <c r="T169" s="167">
        <v>0</v>
      </c>
      <c r="U169" s="7">
        <v>29</v>
      </c>
      <c r="V169" s="7">
        <v>6</v>
      </c>
      <c r="W169" s="47" t="str">
        <f t="shared" ca="1" si="5"/>
        <v>【1回のみ】ボーナスステージ</v>
      </c>
      <c r="X169" s="47">
        <f ca="1">VLOOKUP($C169,OFFSET(quests!$A$1,0,0,COUNTA(quests!$A:$A),MATCH(X$2,quests!$1:$1,0)-MATCH($C$2,quests!$1:$1,0)+1),MATCH(X$2,quests!$1:$1,0)-MATCH($C$2,quests!$1:$1,0)+1,FALSE)</f>
        <v>1</v>
      </c>
      <c r="Y169" s="47">
        <f ca="1">VLOOKUP($C169,OFFSET(quests!$A$1,0,0,COUNTA(quests!$A:$A),MATCH(Y$2,quests!$1:$1,0)-MATCH($C$2,quests!$1:$1,0)+1),MATCH(Y$2,quests!$1:$1,0)-MATCH($C$2,quests!$1:$1,0)+1,FALSE)</f>
        <v>1</v>
      </c>
      <c r="Z169" s="47">
        <f ca="1">VLOOKUP($C169,OFFSET(quests!$A$1,0,0,COUNTA(quests!$A:$A),MATCH(Z$2,quests!$1:$1,0)-MATCH($C$2,quests!$1:$1,0)+1),MATCH(Z$2,quests!$1:$1,0)-MATCH($C$2,quests!$1:$1,0)+1,FALSE)</f>
        <v>0</v>
      </c>
      <c r="AA169" s="47">
        <f ca="1">VLOOKUP($C169,OFFSET(quests!$A$1,0,0,COUNTA(quests!$A:$A),MATCH(AA$2,quests!$1:$1,0)-MATCH($C$2,quests!$1:$1,0)+1),MATCH(AA$2,quests!$1:$1,0)-MATCH($C$2,quests!$1:$1,0)+1,FALSE)</f>
        <v>0</v>
      </c>
      <c r="AB169" s="7" t="s">
        <v>56</v>
      </c>
      <c r="AC169" s="7">
        <v>30</v>
      </c>
      <c r="AD169" s="7">
        <v>6</v>
      </c>
      <c r="AE169" s="7" t="s">
        <v>519</v>
      </c>
      <c r="AF169" s="7">
        <v>0</v>
      </c>
      <c r="AG169" s="7">
        <v>0</v>
      </c>
      <c r="AH169" s="7">
        <v>0</v>
      </c>
      <c r="AI169" s="7">
        <v>-1</v>
      </c>
      <c r="AJ169" s="7">
        <v>-1</v>
      </c>
      <c r="AK169" s="7" t="s">
        <v>1064</v>
      </c>
      <c r="AL169" s="12" t="s">
        <v>1695</v>
      </c>
      <c r="AM169" s="12" t="s">
        <v>2072</v>
      </c>
    </row>
    <row r="170" spans="1:39" ht="21" customHeight="1" x14ac:dyDescent="0.15">
      <c r="A170" s="42" t="str">
        <f t="shared" si="4"/>
        <v>30_2</v>
      </c>
      <c r="B170" s="39">
        <v>0</v>
      </c>
      <c r="C170" s="10">
        <v>30</v>
      </c>
      <c r="D170" s="47">
        <f ca="1">VLOOKUP($C170,OFFSET(quests!$A$1,0,0,COUNTA(quests!$A:$A),MATCH(D$1,quests!$1:$1,0)-MATCH($C$2,quests!$1:$1,0)+1),MATCH(D$1,quests!$1:$1,0)-MATCH($C$2,quests!$1:$1,0)+1,FALSE)</f>
        <v>0</v>
      </c>
      <c r="E170" s="48" t="str">
        <f ca="1">VLOOKUP($C170,OFFSET(quests!$A$1,0,0,COUNTA(quests!$A:$A),MATCH(E$2,quests!$1:$1,0)-MATCH($C$2,quests!$1:$1,0)+1),MATCH(E$2,quests!$1:$1,0)-MATCH($C$2,quests!$1:$1,0)+1,FALSE)</f>
        <v>赤DL6</v>
      </c>
      <c r="F170" s="7">
        <v>2</v>
      </c>
      <c r="G170" s="7" t="s">
        <v>570</v>
      </c>
      <c r="H170" s="12" t="s">
        <v>143</v>
      </c>
      <c r="I170" s="12"/>
      <c r="J170" s="12" t="s">
        <v>279</v>
      </c>
      <c r="K170" s="167">
        <v>14</v>
      </c>
      <c r="L170" s="167">
        <v>16320</v>
      </c>
      <c r="M170" s="167">
        <v>1</v>
      </c>
      <c r="N170" s="167">
        <v>1</v>
      </c>
      <c r="O170" s="167">
        <v>1</v>
      </c>
      <c r="P170" s="167">
        <v>1</v>
      </c>
      <c r="Q170" s="167">
        <v>1</v>
      </c>
      <c r="R170" s="167">
        <v>3</v>
      </c>
      <c r="S170" s="167" t="s">
        <v>79</v>
      </c>
      <c r="T170" s="167">
        <v>0</v>
      </c>
      <c r="U170" s="7">
        <v>30</v>
      </c>
      <c r="V170" s="7">
        <v>1</v>
      </c>
      <c r="W170" s="47" t="str">
        <f t="shared" ca="1" si="5"/>
        <v>DL6赤ステージ1</v>
      </c>
      <c r="X170" s="47">
        <f ca="1">VLOOKUP($C170,OFFSET(quests!$A$1,0,0,COUNTA(quests!$A:$A),MATCH(X$2,quests!$1:$1,0)-MATCH($C$2,quests!$1:$1,0)+1),MATCH(X$2,quests!$1:$1,0)-MATCH($C$2,quests!$1:$1,0)+1,FALSE)</f>
        <v>1</v>
      </c>
      <c r="Y170" s="47">
        <f ca="1">VLOOKUP($C170,OFFSET(quests!$A$1,0,0,COUNTA(quests!$A:$A),MATCH(Y$2,quests!$1:$1,0)-MATCH($C$2,quests!$1:$1,0)+1),MATCH(Y$2,quests!$1:$1,0)-MATCH($C$2,quests!$1:$1,0)+1,FALSE)</f>
        <v>1</v>
      </c>
      <c r="Z170" s="47">
        <f ca="1">VLOOKUP($C170,OFFSET(quests!$A$1,0,0,COUNTA(quests!$A:$A),MATCH(Z$2,quests!$1:$1,0)-MATCH($C$2,quests!$1:$1,0)+1),MATCH(Z$2,quests!$1:$1,0)-MATCH($C$2,quests!$1:$1,0)+1,FALSE)</f>
        <v>0</v>
      </c>
      <c r="AA170" s="47">
        <f ca="1">VLOOKUP($C170,OFFSET(quests!$A$1,0,0,COUNTA(quests!$A:$A),MATCH(AA$2,quests!$1:$1,0)-MATCH($C$2,quests!$1:$1,0)+1),MATCH(AA$2,quests!$1:$1,0)-MATCH($C$2,quests!$1:$1,0)+1,FALSE)</f>
        <v>0</v>
      </c>
      <c r="AB170" s="7" t="s">
        <v>56</v>
      </c>
      <c r="AC170" s="7">
        <v>30</v>
      </c>
      <c r="AD170" s="7">
        <v>6</v>
      </c>
      <c r="AE170" s="7" t="s">
        <v>519</v>
      </c>
      <c r="AF170" s="7">
        <v>0</v>
      </c>
      <c r="AG170" s="7">
        <v>0</v>
      </c>
      <c r="AH170" s="7">
        <v>0</v>
      </c>
      <c r="AI170" s="7">
        <v>-1</v>
      </c>
      <c r="AJ170" s="7">
        <v>-1</v>
      </c>
      <c r="AK170" s="7" t="s">
        <v>1064</v>
      </c>
      <c r="AL170" s="12" t="s">
        <v>1695</v>
      </c>
      <c r="AM170" s="12" t="s">
        <v>2072</v>
      </c>
    </row>
    <row r="171" spans="1:39" ht="21" customHeight="1" x14ac:dyDescent="0.15">
      <c r="A171" s="42" t="str">
        <f t="shared" si="4"/>
        <v>30_3</v>
      </c>
      <c r="B171" s="39">
        <v>0</v>
      </c>
      <c r="C171" s="10">
        <v>30</v>
      </c>
      <c r="D171" s="47">
        <f ca="1">VLOOKUP($C171,OFFSET(quests!$A$1,0,0,COUNTA(quests!$A:$A),MATCH(D$1,quests!$1:$1,0)-MATCH($C$2,quests!$1:$1,0)+1),MATCH(D$1,quests!$1:$1,0)-MATCH($C$2,quests!$1:$1,0)+1,FALSE)</f>
        <v>0</v>
      </c>
      <c r="E171" s="48" t="str">
        <f ca="1">VLOOKUP($C171,OFFSET(quests!$A$1,0,0,COUNTA(quests!$A:$A),MATCH(E$2,quests!$1:$1,0)-MATCH($C$2,quests!$1:$1,0)+1),MATCH(E$2,quests!$1:$1,0)-MATCH($C$2,quests!$1:$1,0)+1,FALSE)</f>
        <v>赤DL6</v>
      </c>
      <c r="F171" s="7">
        <v>3</v>
      </c>
      <c r="G171" s="7" t="s">
        <v>570</v>
      </c>
      <c r="H171" s="12" t="s">
        <v>144</v>
      </c>
      <c r="I171" s="12"/>
      <c r="J171" s="12" t="s">
        <v>279</v>
      </c>
      <c r="K171" s="167">
        <v>14</v>
      </c>
      <c r="L171" s="167">
        <v>16440</v>
      </c>
      <c r="M171" s="167">
        <v>1</v>
      </c>
      <c r="N171" s="167">
        <v>1</v>
      </c>
      <c r="O171" s="167">
        <v>1</v>
      </c>
      <c r="P171" s="167">
        <v>1</v>
      </c>
      <c r="Q171" s="167">
        <v>1</v>
      </c>
      <c r="R171" s="167">
        <v>3</v>
      </c>
      <c r="S171" s="167" t="s">
        <v>79</v>
      </c>
      <c r="T171" s="167">
        <v>0</v>
      </c>
      <c r="U171" s="7">
        <v>30</v>
      </c>
      <c r="V171" s="7">
        <v>2</v>
      </c>
      <c r="W171" s="47" t="str">
        <f t="shared" ca="1" si="5"/>
        <v>DL6赤ステージ2</v>
      </c>
      <c r="X171" s="47">
        <f ca="1">VLOOKUP($C171,OFFSET(quests!$A$1,0,0,COUNTA(quests!$A:$A),MATCH(X$2,quests!$1:$1,0)-MATCH($C$2,quests!$1:$1,0)+1),MATCH(X$2,quests!$1:$1,0)-MATCH($C$2,quests!$1:$1,0)+1,FALSE)</f>
        <v>1</v>
      </c>
      <c r="Y171" s="47">
        <f ca="1">VLOOKUP($C171,OFFSET(quests!$A$1,0,0,COUNTA(quests!$A:$A),MATCH(Y$2,quests!$1:$1,0)-MATCH($C$2,quests!$1:$1,0)+1),MATCH(Y$2,quests!$1:$1,0)-MATCH($C$2,quests!$1:$1,0)+1,FALSE)</f>
        <v>1</v>
      </c>
      <c r="Z171" s="47">
        <f ca="1">VLOOKUP($C171,OFFSET(quests!$A$1,0,0,COUNTA(quests!$A:$A),MATCH(Z$2,quests!$1:$1,0)-MATCH($C$2,quests!$1:$1,0)+1),MATCH(Z$2,quests!$1:$1,0)-MATCH($C$2,quests!$1:$1,0)+1,FALSE)</f>
        <v>0</v>
      </c>
      <c r="AA171" s="47">
        <f ca="1">VLOOKUP($C171,OFFSET(quests!$A$1,0,0,COUNTA(quests!$A:$A),MATCH(AA$2,quests!$1:$1,0)-MATCH($C$2,quests!$1:$1,0)+1),MATCH(AA$2,quests!$1:$1,0)-MATCH($C$2,quests!$1:$1,0)+1,FALSE)</f>
        <v>0</v>
      </c>
      <c r="AB171" s="7" t="s">
        <v>56</v>
      </c>
      <c r="AC171" s="7">
        <v>30</v>
      </c>
      <c r="AD171" s="7">
        <v>6</v>
      </c>
      <c r="AE171" s="7" t="s">
        <v>519</v>
      </c>
      <c r="AF171" s="7">
        <v>0</v>
      </c>
      <c r="AG171" s="7">
        <v>0</v>
      </c>
      <c r="AH171" s="7">
        <v>0</v>
      </c>
      <c r="AI171" s="7">
        <v>-1</v>
      </c>
      <c r="AJ171" s="7">
        <v>-1</v>
      </c>
      <c r="AK171" s="7" t="s">
        <v>1064</v>
      </c>
      <c r="AL171" s="12" t="s">
        <v>1695</v>
      </c>
      <c r="AM171" s="12" t="s">
        <v>2072</v>
      </c>
    </row>
    <row r="172" spans="1:39" ht="21" customHeight="1" x14ac:dyDescent="0.15">
      <c r="A172" s="42" t="str">
        <f t="shared" si="4"/>
        <v>30_4</v>
      </c>
      <c r="B172" s="39">
        <v>0</v>
      </c>
      <c r="C172" s="10">
        <v>30</v>
      </c>
      <c r="D172" s="47">
        <f ca="1">VLOOKUP($C172,OFFSET(quests!$A$1,0,0,COUNTA(quests!$A:$A),MATCH(D$1,quests!$1:$1,0)-MATCH($C$2,quests!$1:$1,0)+1),MATCH(D$1,quests!$1:$1,0)-MATCH($C$2,quests!$1:$1,0)+1,FALSE)</f>
        <v>0</v>
      </c>
      <c r="E172" s="48" t="str">
        <f ca="1">VLOOKUP($C172,OFFSET(quests!$A$1,0,0,COUNTA(quests!$A:$A),MATCH(E$2,quests!$1:$1,0)-MATCH($C$2,quests!$1:$1,0)+1),MATCH(E$2,quests!$1:$1,0)-MATCH($C$2,quests!$1:$1,0)+1,FALSE)</f>
        <v>赤DL6</v>
      </c>
      <c r="F172" s="7">
        <v>4</v>
      </c>
      <c r="G172" s="7" t="s">
        <v>570</v>
      </c>
      <c r="H172" s="12" t="s">
        <v>145</v>
      </c>
      <c r="I172" s="12"/>
      <c r="J172" s="12" t="s">
        <v>279</v>
      </c>
      <c r="K172" s="167">
        <v>14</v>
      </c>
      <c r="L172" s="167">
        <v>16560</v>
      </c>
      <c r="M172" s="167">
        <v>1</v>
      </c>
      <c r="N172" s="167">
        <v>1</v>
      </c>
      <c r="O172" s="167">
        <v>1</v>
      </c>
      <c r="P172" s="167">
        <v>1</v>
      </c>
      <c r="Q172" s="167">
        <v>1</v>
      </c>
      <c r="R172" s="167">
        <v>3</v>
      </c>
      <c r="S172" s="167" t="s">
        <v>79</v>
      </c>
      <c r="T172" s="167">
        <v>0</v>
      </c>
      <c r="U172" s="7">
        <v>30</v>
      </c>
      <c r="V172" s="7">
        <v>3</v>
      </c>
      <c r="W172" s="47" t="str">
        <f t="shared" ca="1" si="5"/>
        <v>DL6赤ステージ3</v>
      </c>
      <c r="X172" s="47">
        <f ca="1">VLOOKUP($C172,OFFSET(quests!$A$1,0,0,COUNTA(quests!$A:$A),MATCH(X$2,quests!$1:$1,0)-MATCH($C$2,quests!$1:$1,0)+1),MATCH(X$2,quests!$1:$1,0)-MATCH($C$2,quests!$1:$1,0)+1,FALSE)</f>
        <v>1</v>
      </c>
      <c r="Y172" s="47">
        <f ca="1">VLOOKUP($C172,OFFSET(quests!$A$1,0,0,COUNTA(quests!$A:$A),MATCH(Y$2,quests!$1:$1,0)-MATCH($C$2,quests!$1:$1,0)+1),MATCH(Y$2,quests!$1:$1,0)-MATCH($C$2,quests!$1:$1,0)+1,FALSE)</f>
        <v>1</v>
      </c>
      <c r="Z172" s="47">
        <f ca="1">VLOOKUP($C172,OFFSET(quests!$A$1,0,0,COUNTA(quests!$A:$A),MATCH(Z$2,quests!$1:$1,0)-MATCH($C$2,quests!$1:$1,0)+1),MATCH(Z$2,quests!$1:$1,0)-MATCH($C$2,quests!$1:$1,0)+1,FALSE)</f>
        <v>0</v>
      </c>
      <c r="AA172" s="47">
        <f ca="1">VLOOKUP($C172,OFFSET(quests!$A$1,0,0,COUNTA(quests!$A:$A),MATCH(AA$2,quests!$1:$1,0)-MATCH($C$2,quests!$1:$1,0)+1),MATCH(AA$2,quests!$1:$1,0)-MATCH($C$2,quests!$1:$1,0)+1,FALSE)</f>
        <v>0</v>
      </c>
      <c r="AB172" s="7" t="s">
        <v>56</v>
      </c>
      <c r="AC172" s="7">
        <v>30</v>
      </c>
      <c r="AD172" s="7">
        <v>6</v>
      </c>
      <c r="AE172" s="7" t="s">
        <v>519</v>
      </c>
      <c r="AF172" s="7">
        <v>0</v>
      </c>
      <c r="AG172" s="7">
        <v>0</v>
      </c>
      <c r="AH172" s="7">
        <v>0</v>
      </c>
      <c r="AI172" s="7">
        <v>-1</v>
      </c>
      <c r="AJ172" s="7">
        <v>-1</v>
      </c>
      <c r="AK172" s="7" t="s">
        <v>1064</v>
      </c>
      <c r="AL172" s="12" t="s">
        <v>1695</v>
      </c>
      <c r="AM172" s="12" t="s">
        <v>2072</v>
      </c>
    </row>
    <row r="173" spans="1:39" ht="21" customHeight="1" x14ac:dyDescent="0.15">
      <c r="A173" s="42" t="str">
        <f t="shared" si="4"/>
        <v>30_5</v>
      </c>
      <c r="B173" s="39">
        <v>0</v>
      </c>
      <c r="C173" s="10">
        <v>30</v>
      </c>
      <c r="D173" s="47">
        <f ca="1">VLOOKUP($C173,OFFSET(quests!$A$1,0,0,COUNTA(quests!$A:$A),MATCH(D$1,quests!$1:$1,0)-MATCH($C$2,quests!$1:$1,0)+1),MATCH(D$1,quests!$1:$1,0)-MATCH($C$2,quests!$1:$1,0)+1,FALSE)</f>
        <v>0</v>
      </c>
      <c r="E173" s="48" t="str">
        <f ca="1">VLOOKUP($C173,OFFSET(quests!$A$1,0,0,COUNTA(quests!$A:$A),MATCH(E$2,quests!$1:$1,0)-MATCH($C$2,quests!$1:$1,0)+1),MATCH(E$2,quests!$1:$1,0)-MATCH($C$2,quests!$1:$1,0)+1,FALSE)</f>
        <v>赤DL6</v>
      </c>
      <c r="F173" s="9">
        <v>5</v>
      </c>
      <c r="G173" s="7" t="s">
        <v>570</v>
      </c>
      <c r="H173" s="12" t="s">
        <v>146</v>
      </c>
      <c r="I173" s="12"/>
      <c r="J173" s="12" t="s">
        <v>279</v>
      </c>
      <c r="K173" s="167">
        <v>15</v>
      </c>
      <c r="L173" s="167">
        <v>16680</v>
      </c>
      <c r="M173" s="167">
        <v>1</v>
      </c>
      <c r="N173" s="167">
        <v>1</v>
      </c>
      <c r="O173" s="167">
        <v>1</v>
      </c>
      <c r="P173" s="167">
        <v>1</v>
      </c>
      <c r="Q173" s="167">
        <v>1</v>
      </c>
      <c r="R173" s="167">
        <v>3</v>
      </c>
      <c r="S173" s="167" t="s">
        <v>79</v>
      </c>
      <c r="T173" s="167">
        <v>0</v>
      </c>
      <c r="U173" s="7">
        <v>30</v>
      </c>
      <c r="V173" s="7">
        <v>4</v>
      </c>
      <c r="W173" s="47" t="str">
        <f t="shared" ca="1" si="5"/>
        <v>DL6赤ステージ4</v>
      </c>
      <c r="X173" s="47">
        <f ca="1">VLOOKUP($C173,OFFSET(quests!$A$1,0,0,COUNTA(quests!$A:$A),MATCH(X$2,quests!$1:$1,0)-MATCH($C$2,quests!$1:$1,0)+1),MATCH(X$2,quests!$1:$1,0)-MATCH($C$2,quests!$1:$1,0)+1,FALSE)</f>
        <v>1</v>
      </c>
      <c r="Y173" s="47">
        <f ca="1">VLOOKUP($C173,OFFSET(quests!$A$1,0,0,COUNTA(quests!$A:$A),MATCH(Y$2,quests!$1:$1,0)-MATCH($C$2,quests!$1:$1,0)+1),MATCH(Y$2,quests!$1:$1,0)-MATCH($C$2,quests!$1:$1,0)+1,FALSE)</f>
        <v>1</v>
      </c>
      <c r="Z173" s="47">
        <f ca="1">VLOOKUP($C173,OFFSET(quests!$A$1,0,0,COUNTA(quests!$A:$A),MATCH(Z$2,quests!$1:$1,0)-MATCH($C$2,quests!$1:$1,0)+1),MATCH(Z$2,quests!$1:$1,0)-MATCH($C$2,quests!$1:$1,0)+1,FALSE)</f>
        <v>0</v>
      </c>
      <c r="AA173" s="47">
        <f ca="1">VLOOKUP($C173,OFFSET(quests!$A$1,0,0,COUNTA(quests!$A:$A),MATCH(AA$2,quests!$1:$1,0)-MATCH($C$2,quests!$1:$1,0)+1),MATCH(AA$2,quests!$1:$1,0)-MATCH($C$2,quests!$1:$1,0)+1,FALSE)</f>
        <v>0</v>
      </c>
      <c r="AB173" s="7" t="s">
        <v>56</v>
      </c>
      <c r="AC173" s="7">
        <v>30</v>
      </c>
      <c r="AD173" s="7">
        <v>6</v>
      </c>
      <c r="AE173" s="7" t="s">
        <v>519</v>
      </c>
      <c r="AF173" s="33">
        <v>3</v>
      </c>
      <c r="AG173" s="7">
        <v>0</v>
      </c>
      <c r="AH173" s="7">
        <v>0</v>
      </c>
      <c r="AI173" s="7">
        <v>-1</v>
      </c>
      <c r="AJ173" s="7">
        <v>-1</v>
      </c>
      <c r="AK173" s="7" t="s">
        <v>1064</v>
      </c>
      <c r="AL173" s="12" t="s">
        <v>1695</v>
      </c>
      <c r="AM173" s="12" t="s">
        <v>2072</v>
      </c>
    </row>
    <row r="174" spans="1:39" ht="21" customHeight="1" x14ac:dyDescent="0.15">
      <c r="A174" s="42" t="str">
        <f t="shared" si="4"/>
        <v>30_6</v>
      </c>
      <c r="B174" s="39">
        <v>0</v>
      </c>
      <c r="C174" s="10">
        <v>30</v>
      </c>
      <c r="D174" s="47">
        <f ca="1">VLOOKUP($C174,OFFSET(quests!$A$1,0,0,COUNTA(quests!$A:$A),MATCH(D$1,quests!$1:$1,0)-MATCH($C$2,quests!$1:$1,0)+1),MATCH(D$1,quests!$1:$1,0)-MATCH($C$2,quests!$1:$1,0)+1,FALSE)</f>
        <v>0</v>
      </c>
      <c r="E174" s="48" t="str">
        <f ca="1">VLOOKUP($C174,OFFSET(quests!$A$1,0,0,COUNTA(quests!$A:$A),MATCH(E$2,quests!$1:$1,0)-MATCH($C$2,quests!$1:$1,0)+1),MATCH(E$2,quests!$1:$1,0)-MATCH($C$2,quests!$1:$1,0)+1,FALSE)</f>
        <v>赤DL6</v>
      </c>
      <c r="F174" s="7">
        <v>6</v>
      </c>
      <c r="G174" s="7" t="s">
        <v>570</v>
      </c>
      <c r="H174" s="12" t="s">
        <v>889</v>
      </c>
      <c r="I174" s="12" t="s">
        <v>164</v>
      </c>
      <c r="J174" s="12">
        <v>334</v>
      </c>
      <c r="K174" s="167">
        <v>1</v>
      </c>
      <c r="L174" s="167">
        <v>1</v>
      </c>
      <c r="M174" s="167">
        <v>1</v>
      </c>
      <c r="N174" s="167">
        <v>1</v>
      </c>
      <c r="O174" s="167">
        <v>1</v>
      </c>
      <c r="P174" s="167">
        <v>1</v>
      </c>
      <c r="Q174" s="167">
        <v>1</v>
      </c>
      <c r="R174" s="167">
        <v>3</v>
      </c>
      <c r="S174" s="167" t="s">
        <v>79</v>
      </c>
      <c r="T174" s="167">
        <v>0</v>
      </c>
      <c r="U174" s="7">
        <v>30</v>
      </c>
      <c r="V174" s="7">
        <v>5</v>
      </c>
      <c r="W174" s="47" t="str">
        <f t="shared" ca="1" si="5"/>
        <v>DL6赤ステージ5</v>
      </c>
      <c r="X174" s="47">
        <f ca="1">VLOOKUP($C174,OFFSET(quests!$A$1,0,0,COUNTA(quests!$A:$A),MATCH(X$2,quests!$1:$1,0)-MATCH($C$2,quests!$1:$1,0)+1),MATCH(X$2,quests!$1:$1,0)-MATCH($C$2,quests!$1:$1,0)+1,FALSE)</f>
        <v>1</v>
      </c>
      <c r="Y174" s="47">
        <f ca="1">VLOOKUP($C174,OFFSET(quests!$A$1,0,0,COUNTA(quests!$A:$A),MATCH(Y$2,quests!$1:$1,0)-MATCH($C$2,quests!$1:$1,0)+1),MATCH(Y$2,quests!$1:$1,0)-MATCH($C$2,quests!$1:$1,0)+1,FALSE)</f>
        <v>1</v>
      </c>
      <c r="Z174" s="47">
        <f ca="1">VLOOKUP($C174,OFFSET(quests!$A$1,0,0,COUNTA(quests!$A:$A),MATCH(Z$2,quests!$1:$1,0)-MATCH($C$2,quests!$1:$1,0)+1),MATCH(Z$2,quests!$1:$1,0)-MATCH($C$2,quests!$1:$1,0)+1,FALSE)</f>
        <v>0</v>
      </c>
      <c r="AA174" s="47">
        <f ca="1">VLOOKUP($C174,OFFSET(quests!$A$1,0,0,COUNTA(quests!$A:$A),MATCH(AA$2,quests!$1:$1,0)-MATCH($C$2,quests!$1:$1,0)+1),MATCH(AA$2,quests!$1:$1,0)-MATCH($C$2,quests!$1:$1,0)+1,FALSE)</f>
        <v>0</v>
      </c>
      <c r="AB174" s="7" t="s">
        <v>62</v>
      </c>
      <c r="AC174" s="7">
        <v>30</v>
      </c>
      <c r="AD174" s="7">
        <v>6</v>
      </c>
      <c r="AE174" s="7" t="s">
        <v>522</v>
      </c>
      <c r="AF174" s="7">
        <v>1</v>
      </c>
      <c r="AG174" s="7">
        <v>0</v>
      </c>
      <c r="AH174" s="7">
        <v>0</v>
      </c>
      <c r="AI174" s="7">
        <v>-1</v>
      </c>
      <c r="AJ174" s="7">
        <v>-1</v>
      </c>
      <c r="AK174" s="7" t="s">
        <v>1064</v>
      </c>
      <c r="AL174" s="12" t="s">
        <v>1695</v>
      </c>
      <c r="AM174" s="12" t="s">
        <v>2072</v>
      </c>
    </row>
    <row r="175" spans="1:39" ht="21" customHeight="1" x14ac:dyDescent="0.15">
      <c r="A175" s="42" t="str">
        <f t="shared" si="4"/>
        <v>31_1</v>
      </c>
      <c r="B175" s="39">
        <v>0</v>
      </c>
      <c r="C175" s="10">
        <v>31</v>
      </c>
      <c r="D175" s="47">
        <f ca="1">VLOOKUP($C175,OFFSET(quests!$A$1,0,0,COUNTA(quests!$A:$A),MATCH(D$1,quests!$1:$1,0)-MATCH($C$2,quests!$1:$1,0)+1),MATCH(D$1,quests!$1:$1,0)-MATCH($C$2,quests!$1:$1,0)+1,FALSE)</f>
        <v>0</v>
      </c>
      <c r="E175" s="48" t="str">
        <f ca="1">VLOOKUP($C175,OFFSET(quests!$A$1,0,0,COUNTA(quests!$A:$A),MATCH(E$2,quests!$1:$1,0)-MATCH($C$2,quests!$1:$1,0)+1),MATCH(E$2,quests!$1:$1,0)-MATCH($C$2,quests!$1:$1,0)+1,FALSE)</f>
        <v>混色DL6</v>
      </c>
      <c r="F175" s="7">
        <v>1</v>
      </c>
      <c r="G175" s="7" t="s">
        <v>570</v>
      </c>
      <c r="H175" s="12" t="s">
        <v>147</v>
      </c>
      <c r="I175" s="12"/>
      <c r="J175" s="12" t="s">
        <v>279</v>
      </c>
      <c r="K175" s="167">
        <v>15</v>
      </c>
      <c r="L175" s="167">
        <v>16800</v>
      </c>
      <c r="M175" s="167">
        <v>1</v>
      </c>
      <c r="N175" s="167">
        <v>1</v>
      </c>
      <c r="O175" s="167">
        <v>1</v>
      </c>
      <c r="P175" s="167">
        <v>1</v>
      </c>
      <c r="Q175" s="167">
        <v>1</v>
      </c>
      <c r="R175" s="167">
        <v>3</v>
      </c>
      <c r="S175" s="167" t="s">
        <v>79</v>
      </c>
      <c r="T175" s="167">
        <v>0</v>
      </c>
      <c r="U175" s="7">
        <v>30</v>
      </c>
      <c r="V175" s="7">
        <v>6</v>
      </c>
      <c r="W175" s="47" t="str">
        <f t="shared" ca="1" si="5"/>
        <v>【1回のみ】ボーナスステージ</v>
      </c>
      <c r="X175" s="47">
        <f ca="1">VLOOKUP($C175,OFFSET(quests!$A$1,0,0,COUNTA(quests!$A:$A),MATCH(X$2,quests!$1:$1,0)-MATCH($C$2,quests!$1:$1,0)+1),MATCH(X$2,quests!$1:$1,0)-MATCH($C$2,quests!$1:$1,0)+1,FALSE)</f>
        <v>1</v>
      </c>
      <c r="Y175" s="47">
        <f ca="1">VLOOKUP($C175,OFFSET(quests!$A$1,0,0,COUNTA(quests!$A:$A),MATCH(Y$2,quests!$1:$1,0)-MATCH($C$2,quests!$1:$1,0)+1),MATCH(Y$2,quests!$1:$1,0)-MATCH($C$2,quests!$1:$1,0)+1,FALSE)</f>
        <v>1</v>
      </c>
      <c r="Z175" s="47">
        <f ca="1">VLOOKUP($C175,OFFSET(quests!$A$1,0,0,COUNTA(quests!$A:$A),MATCH(Z$2,quests!$1:$1,0)-MATCH($C$2,quests!$1:$1,0)+1),MATCH(Z$2,quests!$1:$1,0)-MATCH($C$2,quests!$1:$1,0)+1,FALSE)</f>
        <v>1</v>
      </c>
      <c r="AA175" s="47">
        <f ca="1">VLOOKUP($C175,OFFSET(quests!$A$1,0,0,COUNTA(quests!$A:$A),MATCH(AA$2,quests!$1:$1,0)-MATCH($C$2,quests!$1:$1,0)+1),MATCH(AA$2,quests!$1:$1,0)-MATCH($C$2,quests!$1:$1,0)+1,FALSE)</f>
        <v>1</v>
      </c>
      <c r="AB175" s="7" t="s">
        <v>56</v>
      </c>
      <c r="AC175" s="7">
        <v>31</v>
      </c>
      <c r="AD175" s="7">
        <v>6</v>
      </c>
      <c r="AE175" s="7" t="s">
        <v>519</v>
      </c>
      <c r="AF175" s="7">
        <v>0</v>
      </c>
      <c r="AG175" s="7">
        <v>0</v>
      </c>
      <c r="AH175" s="7">
        <v>0</v>
      </c>
      <c r="AI175" s="7">
        <v>-1</v>
      </c>
      <c r="AJ175" s="7">
        <v>-1</v>
      </c>
      <c r="AK175" s="7" t="s">
        <v>1064</v>
      </c>
      <c r="AL175" s="12" t="s">
        <v>1695</v>
      </c>
      <c r="AM175" s="12" t="s">
        <v>2072</v>
      </c>
    </row>
    <row r="176" spans="1:39" ht="21" customHeight="1" x14ac:dyDescent="0.15">
      <c r="A176" s="42" t="str">
        <f t="shared" si="4"/>
        <v>31_2</v>
      </c>
      <c r="B176" s="39">
        <v>0</v>
      </c>
      <c r="C176" s="10">
        <v>31</v>
      </c>
      <c r="D176" s="47">
        <f ca="1">VLOOKUP($C176,OFFSET(quests!$A$1,0,0,COUNTA(quests!$A:$A),MATCH(D$1,quests!$1:$1,0)-MATCH($C$2,quests!$1:$1,0)+1),MATCH(D$1,quests!$1:$1,0)-MATCH($C$2,quests!$1:$1,0)+1,FALSE)</f>
        <v>0</v>
      </c>
      <c r="E176" s="48" t="str">
        <f ca="1">VLOOKUP($C176,OFFSET(quests!$A$1,0,0,COUNTA(quests!$A:$A),MATCH(E$2,quests!$1:$1,0)-MATCH($C$2,quests!$1:$1,0)+1),MATCH(E$2,quests!$1:$1,0)-MATCH($C$2,quests!$1:$1,0)+1,FALSE)</f>
        <v>混色DL6</v>
      </c>
      <c r="F176" s="7">
        <v>2</v>
      </c>
      <c r="G176" s="7" t="s">
        <v>570</v>
      </c>
      <c r="H176" s="12" t="s">
        <v>148</v>
      </c>
      <c r="I176" s="12"/>
      <c r="J176" s="12" t="s">
        <v>279</v>
      </c>
      <c r="K176" s="167">
        <v>15</v>
      </c>
      <c r="L176" s="167">
        <v>16920</v>
      </c>
      <c r="M176" s="167">
        <v>1</v>
      </c>
      <c r="N176" s="167">
        <v>1</v>
      </c>
      <c r="O176" s="167">
        <v>1</v>
      </c>
      <c r="P176" s="167">
        <v>1</v>
      </c>
      <c r="Q176" s="167">
        <v>1</v>
      </c>
      <c r="R176" s="167">
        <v>3</v>
      </c>
      <c r="S176" s="167" t="s">
        <v>79</v>
      </c>
      <c r="T176" s="167">
        <v>0</v>
      </c>
      <c r="U176" s="7">
        <v>31</v>
      </c>
      <c r="V176" s="7">
        <v>1</v>
      </c>
      <c r="W176" s="47" t="str">
        <f t="shared" ca="1" si="5"/>
        <v>DL6混色ステージ1</v>
      </c>
      <c r="X176" s="47">
        <f ca="1">VLOOKUP($C176,OFFSET(quests!$A$1,0,0,COUNTA(quests!$A:$A),MATCH(X$2,quests!$1:$1,0)-MATCH($C$2,quests!$1:$1,0)+1),MATCH(X$2,quests!$1:$1,0)-MATCH($C$2,quests!$1:$1,0)+1,FALSE)</f>
        <v>1</v>
      </c>
      <c r="Y176" s="47">
        <f ca="1">VLOOKUP($C176,OFFSET(quests!$A$1,0,0,COUNTA(quests!$A:$A),MATCH(Y$2,quests!$1:$1,0)-MATCH($C$2,quests!$1:$1,0)+1),MATCH(Y$2,quests!$1:$1,0)-MATCH($C$2,quests!$1:$1,0)+1,FALSE)</f>
        <v>1</v>
      </c>
      <c r="Z176" s="47">
        <f ca="1">VLOOKUP($C176,OFFSET(quests!$A$1,0,0,COUNTA(quests!$A:$A),MATCH(Z$2,quests!$1:$1,0)-MATCH($C$2,quests!$1:$1,0)+1),MATCH(Z$2,quests!$1:$1,0)-MATCH($C$2,quests!$1:$1,0)+1,FALSE)</f>
        <v>1</v>
      </c>
      <c r="AA176" s="47">
        <f ca="1">VLOOKUP($C176,OFFSET(quests!$A$1,0,0,COUNTA(quests!$A:$A),MATCH(AA$2,quests!$1:$1,0)-MATCH($C$2,quests!$1:$1,0)+1),MATCH(AA$2,quests!$1:$1,0)-MATCH($C$2,quests!$1:$1,0)+1,FALSE)</f>
        <v>1</v>
      </c>
      <c r="AB176" s="7" t="s">
        <v>56</v>
      </c>
      <c r="AC176" s="7">
        <v>31</v>
      </c>
      <c r="AD176" s="7">
        <v>6</v>
      </c>
      <c r="AE176" s="7" t="s">
        <v>519</v>
      </c>
      <c r="AF176" s="7">
        <v>0</v>
      </c>
      <c r="AG176" s="7">
        <v>0</v>
      </c>
      <c r="AH176" s="7">
        <v>0</v>
      </c>
      <c r="AI176" s="7">
        <v>-1</v>
      </c>
      <c r="AJ176" s="7">
        <v>-1</v>
      </c>
      <c r="AK176" s="7" t="s">
        <v>1064</v>
      </c>
      <c r="AL176" s="12" t="s">
        <v>1695</v>
      </c>
      <c r="AM176" s="12" t="s">
        <v>2072</v>
      </c>
    </row>
    <row r="177" spans="1:39" ht="21" customHeight="1" x14ac:dyDescent="0.15">
      <c r="A177" s="42" t="str">
        <f t="shared" si="4"/>
        <v>31_3</v>
      </c>
      <c r="B177" s="39">
        <v>0</v>
      </c>
      <c r="C177" s="10">
        <v>31</v>
      </c>
      <c r="D177" s="47">
        <f ca="1">VLOOKUP($C177,OFFSET(quests!$A$1,0,0,COUNTA(quests!$A:$A),MATCH(D$1,quests!$1:$1,0)-MATCH($C$2,quests!$1:$1,0)+1),MATCH(D$1,quests!$1:$1,0)-MATCH($C$2,quests!$1:$1,0)+1,FALSE)</f>
        <v>0</v>
      </c>
      <c r="E177" s="48" t="str">
        <f ca="1">VLOOKUP($C177,OFFSET(quests!$A$1,0,0,COUNTA(quests!$A:$A),MATCH(E$2,quests!$1:$1,0)-MATCH($C$2,quests!$1:$1,0)+1),MATCH(E$2,quests!$1:$1,0)-MATCH($C$2,quests!$1:$1,0)+1,FALSE)</f>
        <v>混色DL6</v>
      </c>
      <c r="F177" s="7">
        <v>3</v>
      </c>
      <c r="G177" s="7" t="s">
        <v>570</v>
      </c>
      <c r="H177" s="12" t="s">
        <v>149</v>
      </c>
      <c r="I177" s="12"/>
      <c r="J177" s="12" t="s">
        <v>279</v>
      </c>
      <c r="K177" s="167">
        <v>15</v>
      </c>
      <c r="L177" s="167">
        <v>17040</v>
      </c>
      <c r="M177" s="167">
        <v>1</v>
      </c>
      <c r="N177" s="167">
        <v>1</v>
      </c>
      <c r="O177" s="167">
        <v>1</v>
      </c>
      <c r="P177" s="167">
        <v>1</v>
      </c>
      <c r="Q177" s="167">
        <v>1</v>
      </c>
      <c r="R177" s="167">
        <v>3</v>
      </c>
      <c r="S177" s="167" t="s">
        <v>79</v>
      </c>
      <c r="T177" s="167">
        <v>0</v>
      </c>
      <c r="U177" s="7">
        <v>31</v>
      </c>
      <c r="V177" s="7">
        <v>2</v>
      </c>
      <c r="W177" s="47" t="str">
        <f t="shared" ca="1" si="5"/>
        <v>DL6混色ステージ2</v>
      </c>
      <c r="X177" s="47">
        <f ca="1">VLOOKUP($C177,OFFSET(quests!$A$1,0,0,COUNTA(quests!$A:$A),MATCH(X$2,quests!$1:$1,0)-MATCH($C$2,quests!$1:$1,0)+1),MATCH(X$2,quests!$1:$1,0)-MATCH($C$2,quests!$1:$1,0)+1,FALSE)</f>
        <v>1</v>
      </c>
      <c r="Y177" s="47">
        <f ca="1">VLOOKUP($C177,OFFSET(quests!$A$1,0,0,COUNTA(quests!$A:$A),MATCH(Y$2,quests!$1:$1,0)-MATCH($C$2,quests!$1:$1,0)+1),MATCH(Y$2,quests!$1:$1,0)-MATCH($C$2,quests!$1:$1,0)+1,FALSE)</f>
        <v>1</v>
      </c>
      <c r="Z177" s="47">
        <f ca="1">VLOOKUP($C177,OFFSET(quests!$A$1,0,0,COUNTA(quests!$A:$A),MATCH(Z$2,quests!$1:$1,0)-MATCH($C$2,quests!$1:$1,0)+1),MATCH(Z$2,quests!$1:$1,0)-MATCH($C$2,quests!$1:$1,0)+1,FALSE)</f>
        <v>1</v>
      </c>
      <c r="AA177" s="47">
        <f ca="1">VLOOKUP($C177,OFFSET(quests!$A$1,0,0,COUNTA(quests!$A:$A),MATCH(AA$2,quests!$1:$1,0)-MATCH($C$2,quests!$1:$1,0)+1),MATCH(AA$2,quests!$1:$1,0)-MATCH($C$2,quests!$1:$1,0)+1,FALSE)</f>
        <v>1</v>
      </c>
      <c r="AB177" s="7" t="s">
        <v>56</v>
      </c>
      <c r="AC177" s="7">
        <v>31</v>
      </c>
      <c r="AD177" s="7">
        <v>6</v>
      </c>
      <c r="AE177" s="7" t="s">
        <v>519</v>
      </c>
      <c r="AF177" s="7">
        <v>0</v>
      </c>
      <c r="AG177" s="7">
        <v>0</v>
      </c>
      <c r="AH177" s="7">
        <v>0</v>
      </c>
      <c r="AI177" s="7">
        <v>-1</v>
      </c>
      <c r="AJ177" s="7">
        <v>-1</v>
      </c>
      <c r="AK177" s="7" t="s">
        <v>1064</v>
      </c>
      <c r="AL177" s="12" t="s">
        <v>1695</v>
      </c>
      <c r="AM177" s="12" t="s">
        <v>2072</v>
      </c>
    </row>
    <row r="178" spans="1:39" ht="21" customHeight="1" x14ac:dyDescent="0.15">
      <c r="A178" s="42" t="str">
        <f t="shared" si="4"/>
        <v>31_4</v>
      </c>
      <c r="B178" s="39">
        <v>0</v>
      </c>
      <c r="C178" s="10">
        <v>31</v>
      </c>
      <c r="D178" s="47">
        <f ca="1">VLOOKUP($C178,OFFSET(quests!$A$1,0,0,COUNTA(quests!$A:$A),MATCH(D$1,quests!$1:$1,0)-MATCH($C$2,quests!$1:$1,0)+1),MATCH(D$1,quests!$1:$1,0)-MATCH($C$2,quests!$1:$1,0)+1,FALSE)</f>
        <v>0</v>
      </c>
      <c r="E178" s="48" t="str">
        <f ca="1">VLOOKUP($C178,OFFSET(quests!$A$1,0,0,COUNTA(quests!$A:$A),MATCH(E$2,quests!$1:$1,0)-MATCH($C$2,quests!$1:$1,0)+1),MATCH(E$2,quests!$1:$1,0)-MATCH($C$2,quests!$1:$1,0)+1,FALSE)</f>
        <v>混色DL6</v>
      </c>
      <c r="F178" s="7">
        <v>4</v>
      </c>
      <c r="G178" s="7" t="s">
        <v>570</v>
      </c>
      <c r="H178" s="12" t="s">
        <v>150</v>
      </c>
      <c r="I178" s="12"/>
      <c r="J178" s="12" t="s">
        <v>279</v>
      </c>
      <c r="K178" s="167">
        <v>15</v>
      </c>
      <c r="L178" s="167">
        <v>17160</v>
      </c>
      <c r="M178" s="167">
        <v>1</v>
      </c>
      <c r="N178" s="167">
        <v>1</v>
      </c>
      <c r="O178" s="167">
        <v>1</v>
      </c>
      <c r="P178" s="167">
        <v>1</v>
      </c>
      <c r="Q178" s="167">
        <v>1</v>
      </c>
      <c r="R178" s="167">
        <v>3</v>
      </c>
      <c r="S178" s="167" t="s">
        <v>79</v>
      </c>
      <c r="T178" s="167">
        <v>0</v>
      </c>
      <c r="U178" s="7">
        <v>31</v>
      </c>
      <c r="V178" s="7">
        <v>3</v>
      </c>
      <c r="W178" s="47" t="str">
        <f t="shared" ca="1" si="5"/>
        <v>DL6混色ステージ3</v>
      </c>
      <c r="X178" s="47">
        <f ca="1">VLOOKUP($C178,OFFSET(quests!$A$1,0,0,COUNTA(quests!$A:$A),MATCH(X$2,quests!$1:$1,0)-MATCH($C$2,quests!$1:$1,0)+1),MATCH(X$2,quests!$1:$1,0)-MATCH($C$2,quests!$1:$1,0)+1,FALSE)</f>
        <v>1</v>
      </c>
      <c r="Y178" s="47">
        <f ca="1">VLOOKUP($C178,OFFSET(quests!$A$1,0,0,COUNTA(quests!$A:$A),MATCH(Y$2,quests!$1:$1,0)-MATCH($C$2,quests!$1:$1,0)+1),MATCH(Y$2,quests!$1:$1,0)-MATCH($C$2,quests!$1:$1,0)+1,FALSE)</f>
        <v>1</v>
      </c>
      <c r="Z178" s="47">
        <f ca="1">VLOOKUP($C178,OFFSET(quests!$A$1,0,0,COUNTA(quests!$A:$A),MATCH(Z$2,quests!$1:$1,0)-MATCH($C$2,quests!$1:$1,0)+1),MATCH(Z$2,quests!$1:$1,0)-MATCH($C$2,quests!$1:$1,0)+1,FALSE)</f>
        <v>1</v>
      </c>
      <c r="AA178" s="47">
        <f ca="1">VLOOKUP($C178,OFFSET(quests!$A$1,0,0,COUNTA(quests!$A:$A),MATCH(AA$2,quests!$1:$1,0)-MATCH($C$2,quests!$1:$1,0)+1),MATCH(AA$2,quests!$1:$1,0)-MATCH($C$2,quests!$1:$1,0)+1,FALSE)</f>
        <v>1</v>
      </c>
      <c r="AB178" s="7" t="s">
        <v>56</v>
      </c>
      <c r="AC178" s="7">
        <v>31</v>
      </c>
      <c r="AD178" s="7">
        <v>6</v>
      </c>
      <c r="AE178" s="7" t="s">
        <v>519</v>
      </c>
      <c r="AF178" s="7">
        <v>0</v>
      </c>
      <c r="AG178" s="7">
        <v>0</v>
      </c>
      <c r="AH178" s="7">
        <v>0</v>
      </c>
      <c r="AI178" s="7">
        <v>-1</v>
      </c>
      <c r="AJ178" s="7">
        <v>-1</v>
      </c>
      <c r="AK178" s="7" t="s">
        <v>1064</v>
      </c>
      <c r="AL178" s="12" t="s">
        <v>1695</v>
      </c>
      <c r="AM178" s="12" t="s">
        <v>2072</v>
      </c>
    </row>
    <row r="179" spans="1:39" ht="21" customHeight="1" x14ac:dyDescent="0.15">
      <c r="A179" s="42" t="str">
        <f t="shared" si="4"/>
        <v>31_5</v>
      </c>
      <c r="B179" s="39">
        <v>0</v>
      </c>
      <c r="C179" s="10">
        <v>31</v>
      </c>
      <c r="D179" s="47">
        <f ca="1">VLOOKUP($C179,OFFSET(quests!$A$1,0,0,COUNTA(quests!$A:$A),MATCH(D$1,quests!$1:$1,0)-MATCH($C$2,quests!$1:$1,0)+1),MATCH(D$1,quests!$1:$1,0)-MATCH($C$2,quests!$1:$1,0)+1,FALSE)</f>
        <v>0</v>
      </c>
      <c r="E179" s="48" t="str">
        <f ca="1">VLOOKUP($C179,OFFSET(quests!$A$1,0,0,COUNTA(quests!$A:$A),MATCH(E$2,quests!$1:$1,0)-MATCH($C$2,quests!$1:$1,0)+1),MATCH(E$2,quests!$1:$1,0)-MATCH($C$2,quests!$1:$1,0)+1,FALSE)</f>
        <v>混色DL6</v>
      </c>
      <c r="F179" s="9">
        <v>5</v>
      </c>
      <c r="G179" s="7" t="s">
        <v>570</v>
      </c>
      <c r="H179" s="12" t="s">
        <v>151</v>
      </c>
      <c r="I179" s="12"/>
      <c r="J179" s="12" t="s">
        <v>279</v>
      </c>
      <c r="K179" s="167">
        <v>16</v>
      </c>
      <c r="L179" s="167">
        <v>17280</v>
      </c>
      <c r="M179" s="167">
        <v>1</v>
      </c>
      <c r="N179" s="167">
        <v>1</v>
      </c>
      <c r="O179" s="167">
        <v>1</v>
      </c>
      <c r="P179" s="167">
        <v>1</v>
      </c>
      <c r="Q179" s="167">
        <v>1</v>
      </c>
      <c r="R179" s="167">
        <v>3</v>
      </c>
      <c r="S179" s="167" t="s">
        <v>79</v>
      </c>
      <c r="T179" s="167">
        <v>0</v>
      </c>
      <c r="U179" s="7">
        <v>31</v>
      </c>
      <c r="V179" s="7">
        <v>4</v>
      </c>
      <c r="W179" s="47" t="str">
        <f t="shared" ca="1" si="5"/>
        <v>DL6混色ステージ4</v>
      </c>
      <c r="X179" s="47">
        <f ca="1">VLOOKUP($C179,OFFSET(quests!$A$1,0,0,COUNTA(quests!$A:$A),MATCH(X$2,quests!$1:$1,0)-MATCH($C$2,quests!$1:$1,0)+1),MATCH(X$2,quests!$1:$1,0)-MATCH($C$2,quests!$1:$1,0)+1,FALSE)</f>
        <v>1</v>
      </c>
      <c r="Y179" s="47">
        <f ca="1">VLOOKUP($C179,OFFSET(quests!$A$1,0,0,COUNTA(quests!$A:$A),MATCH(Y$2,quests!$1:$1,0)-MATCH($C$2,quests!$1:$1,0)+1),MATCH(Y$2,quests!$1:$1,0)-MATCH($C$2,quests!$1:$1,0)+1,FALSE)</f>
        <v>1</v>
      </c>
      <c r="Z179" s="47">
        <f ca="1">VLOOKUP($C179,OFFSET(quests!$A$1,0,0,COUNTA(quests!$A:$A),MATCH(Z$2,quests!$1:$1,0)-MATCH($C$2,quests!$1:$1,0)+1),MATCH(Z$2,quests!$1:$1,0)-MATCH($C$2,quests!$1:$1,0)+1,FALSE)</f>
        <v>1</v>
      </c>
      <c r="AA179" s="47">
        <f ca="1">VLOOKUP($C179,OFFSET(quests!$A$1,0,0,COUNTA(quests!$A:$A),MATCH(AA$2,quests!$1:$1,0)-MATCH($C$2,quests!$1:$1,0)+1),MATCH(AA$2,quests!$1:$1,0)-MATCH($C$2,quests!$1:$1,0)+1,FALSE)</f>
        <v>1</v>
      </c>
      <c r="AB179" s="7" t="s">
        <v>56</v>
      </c>
      <c r="AC179" s="7">
        <v>31</v>
      </c>
      <c r="AD179" s="7">
        <v>6</v>
      </c>
      <c r="AE179" s="7" t="s">
        <v>519</v>
      </c>
      <c r="AF179" s="33">
        <v>3</v>
      </c>
      <c r="AG179" s="7">
        <v>0</v>
      </c>
      <c r="AH179" s="7">
        <v>0</v>
      </c>
      <c r="AI179" s="7">
        <v>-1</v>
      </c>
      <c r="AJ179" s="7">
        <v>-1</v>
      </c>
      <c r="AK179" s="7" t="s">
        <v>1064</v>
      </c>
      <c r="AL179" s="12" t="s">
        <v>1695</v>
      </c>
      <c r="AM179" s="12" t="s">
        <v>2072</v>
      </c>
    </row>
    <row r="180" spans="1:39" ht="21" customHeight="1" x14ac:dyDescent="0.15">
      <c r="A180" s="42" t="str">
        <f t="shared" si="4"/>
        <v>31_6</v>
      </c>
      <c r="B180" s="39">
        <v>0</v>
      </c>
      <c r="C180" s="10">
        <v>31</v>
      </c>
      <c r="D180" s="47">
        <f ca="1">VLOOKUP($C180,OFFSET(quests!$A$1,0,0,COUNTA(quests!$A:$A),MATCH(D$1,quests!$1:$1,0)-MATCH($C$2,quests!$1:$1,0)+1),MATCH(D$1,quests!$1:$1,0)-MATCH($C$2,quests!$1:$1,0)+1,FALSE)</f>
        <v>0</v>
      </c>
      <c r="E180" s="48" t="str">
        <f ca="1">VLOOKUP($C180,OFFSET(quests!$A$1,0,0,COUNTA(quests!$A:$A),MATCH(E$2,quests!$1:$1,0)-MATCH($C$2,quests!$1:$1,0)+1),MATCH(E$2,quests!$1:$1,0)-MATCH($C$2,quests!$1:$1,0)+1,FALSE)</f>
        <v>混色DL6</v>
      </c>
      <c r="F180" s="7">
        <v>6</v>
      </c>
      <c r="G180" s="7" t="s">
        <v>570</v>
      </c>
      <c r="H180" s="12" t="s">
        <v>888</v>
      </c>
      <c r="I180" s="12" t="s">
        <v>164</v>
      </c>
      <c r="J180" s="12">
        <v>125</v>
      </c>
      <c r="K180" s="167">
        <v>1</v>
      </c>
      <c r="L180" s="167">
        <v>1</v>
      </c>
      <c r="M180" s="167">
        <v>1</v>
      </c>
      <c r="N180" s="167">
        <v>1</v>
      </c>
      <c r="O180" s="167">
        <v>1</v>
      </c>
      <c r="P180" s="167">
        <v>1</v>
      </c>
      <c r="Q180" s="167">
        <v>1</v>
      </c>
      <c r="R180" s="167">
        <v>3</v>
      </c>
      <c r="S180" s="167" t="s">
        <v>79</v>
      </c>
      <c r="T180" s="167">
        <v>0</v>
      </c>
      <c r="U180" s="7">
        <v>31</v>
      </c>
      <c r="V180" s="7">
        <v>5</v>
      </c>
      <c r="W180" s="47" t="str">
        <f t="shared" ca="1" si="5"/>
        <v>DL6混色ステージ5</v>
      </c>
      <c r="X180" s="47">
        <f ca="1">VLOOKUP($C180,OFFSET(quests!$A$1,0,0,COUNTA(quests!$A:$A),MATCH(X$2,quests!$1:$1,0)-MATCH($C$2,quests!$1:$1,0)+1),MATCH(X$2,quests!$1:$1,0)-MATCH($C$2,quests!$1:$1,0)+1,FALSE)</f>
        <v>1</v>
      </c>
      <c r="Y180" s="47">
        <f ca="1">VLOOKUP($C180,OFFSET(quests!$A$1,0,0,COUNTA(quests!$A:$A),MATCH(Y$2,quests!$1:$1,0)-MATCH($C$2,quests!$1:$1,0)+1),MATCH(Y$2,quests!$1:$1,0)-MATCH($C$2,quests!$1:$1,0)+1,FALSE)</f>
        <v>1</v>
      </c>
      <c r="Z180" s="47">
        <f ca="1">VLOOKUP($C180,OFFSET(quests!$A$1,0,0,COUNTA(quests!$A:$A),MATCH(Z$2,quests!$1:$1,0)-MATCH($C$2,quests!$1:$1,0)+1),MATCH(Z$2,quests!$1:$1,0)-MATCH($C$2,quests!$1:$1,0)+1,FALSE)</f>
        <v>1</v>
      </c>
      <c r="AA180" s="47">
        <f ca="1">VLOOKUP($C180,OFFSET(quests!$A$1,0,0,COUNTA(quests!$A:$A),MATCH(AA$2,quests!$1:$1,0)-MATCH($C$2,quests!$1:$1,0)+1),MATCH(AA$2,quests!$1:$1,0)-MATCH($C$2,quests!$1:$1,0)+1,FALSE)</f>
        <v>1</v>
      </c>
      <c r="AB180" s="7" t="s">
        <v>62</v>
      </c>
      <c r="AC180" s="7">
        <v>31</v>
      </c>
      <c r="AD180" s="7">
        <v>6</v>
      </c>
      <c r="AE180" s="7" t="s">
        <v>522</v>
      </c>
      <c r="AF180" s="7">
        <v>1</v>
      </c>
      <c r="AG180" s="7">
        <v>1</v>
      </c>
      <c r="AH180" s="7">
        <v>0</v>
      </c>
      <c r="AI180" s="7">
        <v>-1</v>
      </c>
      <c r="AJ180" s="7">
        <v>-1</v>
      </c>
      <c r="AK180" s="7" t="s">
        <v>1064</v>
      </c>
      <c r="AL180" s="12" t="s">
        <v>1695</v>
      </c>
      <c r="AM180" s="12" t="s">
        <v>2072</v>
      </c>
    </row>
    <row r="181" spans="1:39" s="35" customFormat="1" ht="21" customHeight="1" x14ac:dyDescent="0.15">
      <c r="A181" s="42" t="str">
        <f t="shared" si="4"/>
        <v>10008_1</v>
      </c>
      <c r="B181" s="23">
        <v>0</v>
      </c>
      <c r="C181" s="190">
        <v>10008</v>
      </c>
      <c r="D181" s="47" t="str">
        <f ca="1">VLOOKUP($C181,OFFSET(quests!$A$1,0,0,COUNTA(quests!$A:$A),MATCH(D$1,quests!$1:$1,0)-MATCH($C$2,quests!$1:$1,0)+1),MATCH(D$1,quests!$1:$1,0)-MATCH($C$2,quests!$1:$1,0)+1,FALSE)</f>
        <v>【1回のみ】幸せのカタチ</v>
      </c>
      <c r="E181" s="48" t="str">
        <f ca="1">VLOOKUP($C181,OFFSET(quests!$A$1,0,0,COUNTA(quests!$A:$A),MATCH(E$2,quests!$1:$1,0)-MATCH($C$2,quests!$1:$1,0)+1),MATCH(E$2,quests!$1:$1,0)-MATCH($C$2,quests!$1:$1,0)+1,FALSE)</f>
        <v>ランク開放クエスト Lv8</v>
      </c>
      <c r="F181" s="7">
        <v>1</v>
      </c>
      <c r="G181" s="7" t="s">
        <v>570</v>
      </c>
      <c r="H181" s="44" t="str">
        <f t="shared" ref="H181:H195" ca="1" si="6">D181</f>
        <v>【1回のみ】幸せのカタチ</v>
      </c>
      <c r="I181" s="23" t="s">
        <v>203</v>
      </c>
      <c r="J181" s="63">
        <v>79</v>
      </c>
      <c r="K181" s="187">
        <v>3</v>
      </c>
      <c r="L181" s="188">
        <v>150</v>
      </c>
      <c r="M181" s="167">
        <v>1</v>
      </c>
      <c r="N181" s="167">
        <v>1</v>
      </c>
      <c r="O181" s="167">
        <v>1</v>
      </c>
      <c r="P181" s="167">
        <v>1</v>
      </c>
      <c r="Q181" s="167">
        <v>1</v>
      </c>
      <c r="R181" s="167">
        <v>3</v>
      </c>
      <c r="S181" s="167" t="s">
        <v>273</v>
      </c>
      <c r="T181" s="167">
        <v>107</v>
      </c>
      <c r="U181" s="7" t="s">
        <v>169</v>
      </c>
      <c r="V181" s="7" t="s">
        <v>169</v>
      </c>
      <c r="W181" s="47" t="str">
        <f t="shared" ca="1" si="5"/>
        <v/>
      </c>
      <c r="X181" s="47">
        <f ca="1">VLOOKUP($C181,OFFSET(quests!$A$1,0,0,COUNTA(quests!$A:$A),MATCH(X$2,quests!$1:$1,0)-MATCH($C$2,quests!$1:$1,0)+1),MATCH(X$2,quests!$1:$1,0)-MATCH($C$2,quests!$1:$1,0)+1,FALSE)</f>
        <v>0</v>
      </c>
      <c r="Y181" s="47">
        <f ca="1">VLOOKUP($C181,OFFSET(quests!$A$1,0,0,COUNTA(quests!$A:$A),MATCH(Y$2,quests!$1:$1,0)-MATCH($C$2,quests!$1:$1,0)+1),MATCH(Y$2,quests!$1:$1,0)-MATCH($C$2,quests!$1:$1,0)+1,FALSE)</f>
        <v>0</v>
      </c>
      <c r="Z181" s="47">
        <f ca="1">VLOOKUP($C181,OFFSET(quests!$A$1,0,0,COUNTA(quests!$A:$A),MATCH(Z$2,quests!$1:$1,0)-MATCH($C$2,quests!$1:$1,0)+1),MATCH(Z$2,quests!$1:$1,0)-MATCH($C$2,quests!$1:$1,0)+1,FALSE)</f>
        <v>0</v>
      </c>
      <c r="AA181" s="47">
        <f ca="1">VLOOKUP($C181,OFFSET(quests!$A$1,0,0,COUNTA(quests!$A:$A),MATCH(AA$2,quests!$1:$1,0)-MATCH($C$2,quests!$1:$1,0)+1),MATCH(AA$2,quests!$1:$1,0)-MATCH($C$2,quests!$1:$1,0)+1,FALSE)</f>
        <v>0</v>
      </c>
      <c r="AB181" s="7" t="s">
        <v>62</v>
      </c>
      <c r="AC181" s="7">
        <v>1</v>
      </c>
      <c r="AD181" s="7">
        <v>6</v>
      </c>
      <c r="AE181" s="7" t="s">
        <v>519</v>
      </c>
      <c r="AF181" s="7">
        <v>10</v>
      </c>
      <c r="AG181" s="7">
        <v>0</v>
      </c>
      <c r="AH181" s="7">
        <v>0</v>
      </c>
      <c r="AI181" s="7">
        <v>-1</v>
      </c>
      <c r="AJ181" s="7">
        <v>-1</v>
      </c>
      <c r="AK181" s="7" t="s">
        <v>1064</v>
      </c>
      <c r="AL181" s="12" t="s">
        <v>1695</v>
      </c>
      <c r="AM181" s="12" t="s">
        <v>2072</v>
      </c>
    </row>
    <row r="182" spans="1:39" s="35" customFormat="1" ht="21" customHeight="1" x14ac:dyDescent="0.15">
      <c r="A182" s="42" t="str">
        <f t="shared" si="4"/>
        <v>10010_1</v>
      </c>
      <c r="B182" s="23">
        <v>0</v>
      </c>
      <c r="C182" s="190">
        <v>10010</v>
      </c>
      <c r="D182" s="47" t="str">
        <f ca="1">VLOOKUP($C182,OFFSET(quests!$A$1,0,0,COUNTA(quests!$A:$A),MATCH(D$1,quests!$1:$1,0)-MATCH($C$2,quests!$1:$1,0)+1),MATCH(D$1,quests!$1:$1,0)-MATCH($C$2,quests!$1:$1,0)+1,FALSE)</f>
        <v>【1回のみ】幼女増殖！！</v>
      </c>
      <c r="E182" s="48" t="str">
        <f ca="1">VLOOKUP($C182,OFFSET(quests!$A$1,0,0,COUNTA(quests!$A:$A),MATCH(E$2,quests!$1:$1,0)-MATCH($C$2,quests!$1:$1,0)+1),MATCH(E$2,quests!$1:$1,0)-MATCH($C$2,quests!$1:$1,0)+1,FALSE)</f>
        <v>ランク開放クエスト Lv10</v>
      </c>
      <c r="F182" s="7">
        <v>1</v>
      </c>
      <c r="G182" s="7" t="s">
        <v>570</v>
      </c>
      <c r="H182" s="44" t="str">
        <f t="shared" ca="1" si="6"/>
        <v>【1回のみ】幼女増殖！！</v>
      </c>
      <c r="I182" s="23" t="s">
        <v>203</v>
      </c>
      <c r="J182" s="63">
        <v>83</v>
      </c>
      <c r="K182" s="187">
        <v>5</v>
      </c>
      <c r="L182" s="188">
        <v>275</v>
      </c>
      <c r="M182" s="167">
        <v>1</v>
      </c>
      <c r="N182" s="167">
        <v>1</v>
      </c>
      <c r="O182" s="167">
        <v>1</v>
      </c>
      <c r="P182" s="167">
        <v>1</v>
      </c>
      <c r="Q182" s="167">
        <v>1</v>
      </c>
      <c r="R182" s="167">
        <v>3</v>
      </c>
      <c r="S182" s="167" t="s">
        <v>278</v>
      </c>
      <c r="T182" s="167">
        <v>1</v>
      </c>
      <c r="U182" s="7" t="s">
        <v>169</v>
      </c>
      <c r="V182" s="7" t="s">
        <v>169</v>
      </c>
      <c r="W182" s="47" t="str">
        <f t="shared" ca="1" si="5"/>
        <v/>
      </c>
      <c r="X182" s="47">
        <f ca="1">VLOOKUP($C182,OFFSET(quests!$A$1,0,0,COUNTA(quests!$A:$A),MATCH(X$2,quests!$1:$1,0)-MATCH($C$2,quests!$1:$1,0)+1),MATCH(X$2,quests!$1:$1,0)-MATCH($C$2,quests!$1:$1,0)+1,FALSE)</f>
        <v>0</v>
      </c>
      <c r="Y182" s="47">
        <f ca="1">VLOOKUP($C182,OFFSET(quests!$A$1,0,0,COUNTA(quests!$A:$A),MATCH(Y$2,quests!$1:$1,0)-MATCH($C$2,quests!$1:$1,0)+1),MATCH(Y$2,quests!$1:$1,0)-MATCH($C$2,quests!$1:$1,0)+1,FALSE)</f>
        <v>0</v>
      </c>
      <c r="Z182" s="47">
        <f ca="1">VLOOKUP($C182,OFFSET(quests!$A$1,0,0,COUNTA(quests!$A:$A),MATCH(Z$2,quests!$1:$1,0)-MATCH($C$2,quests!$1:$1,0)+1),MATCH(Z$2,quests!$1:$1,0)-MATCH($C$2,quests!$1:$1,0)+1,FALSE)</f>
        <v>0</v>
      </c>
      <c r="AA182" s="47">
        <f ca="1">VLOOKUP($C182,OFFSET(quests!$A$1,0,0,COUNTA(quests!$A:$A),MATCH(AA$2,quests!$1:$1,0)-MATCH($C$2,quests!$1:$1,0)+1),MATCH(AA$2,quests!$1:$1,0)-MATCH($C$2,quests!$1:$1,0)+1,FALSE)</f>
        <v>0</v>
      </c>
      <c r="AB182" s="7" t="s">
        <v>62</v>
      </c>
      <c r="AC182" s="7">
        <v>1</v>
      </c>
      <c r="AD182" s="7">
        <v>6</v>
      </c>
      <c r="AE182" s="7" t="s">
        <v>519</v>
      </c>
      <c r="AF182" s="7">
        <v>10</v>
      </c>
      <c r="AG182" s="7">
        <v>0</v>
      </c>
      <c r="AH182" s="7">
        <v>0</v>
      </c>
      <c r="AI182" s="7">
        <v>-1</v>
      </c>
      <c r="AJ182" s="7">
        <v>-1</v>
      </c>
      <c r="AK182" s="7" t="s">
        <v>1064</v>
      </c>
      <c r="AL182" s="12" t="s">
        <v>1695</v>
      </c>
      <c r="AM182" s="12" t="s">
        <v>2072</v>
      </c>
    </row>
    <row r="183" spans="1:39" ht="21" customHeight="1" x14ac:dyDescent="0.15">
      <c r="A183" s="42" t="str">
        <f t="shared" si="4"/>
        <v>10015_1</v>
      </c>
      <c r="B183" s="23">
        <v>0</v>
      </c>
      <c r="C183" s="40">
        <v>10015</v>
      </c>
      <c r="D183" s="47" t="str">
        <f ca="1">VLOOKUP($C183,OFFSET(quests!$A$1,0,0,COUNTA(quests!$A:$A),MATCH(D$1,quests!$1:$1,0)-MATCH($C$2,quests!$1:$1,0)+1),MATCH(D$1,quests!$1:$1,0)-MATCH($C$2,quests!$1:$1,0)+1,FALSE)</f>
        <v>【1回のみ】静かなる混乱</v>
      </c>
      <c r="E183" s="48" t="str">
        <f ca="1">VLOOKUP($C183,OFFSET(quests!$A$1,0,0,COUNTA(quests!$A:$A),MATCH(E$2,quests!$1:$1,0)-MATCH($C$2,quests!$1:$1,0)+1),MATCH(E$2,quests!$1:$1,0)-MATCH($C$2,quests!$1:$1,0)+1,FALSE)</f>
        <v>ランク開放クエスト Lv15</v>
      </c>
      <c r="F183" s="7">
        <v>1</v>
      </c>
      <c r="G183" s="7" t="s">
        <v>570</v>
      </c>
      <c r="H183" s="44" t="str">
        <f t="shared" ca="1" si="6"/>
        <v>【1回のみ】静かなる混乱</v>
      </c>
      <c r="I183" s="23" t="s">
        <v>203</v>
      </c>
      <c r="J183" s="63">
        <v>81</v>
      </c>
      <c r="K183" s="187">
        <v>7</v>
      </c>
      <c r="L183" s="188">
        <v>424</v>
      </c>
      <c r="M183" s="167">
        <v>1</v>
      </c>
      <c r="N183" s="167">
        <v>1</v>
      </c>
      <c r="O183" s="167">
        <v>1</v>
      </c>
      <c r="P183" s="167">
        <v>1</v>
      </c>
      <c r="Q183" s="167">
        <v>1</v>
      </c>
      <c r="R183" s="167">
        <v>3</v>
      </c>
      <c r="S183" s="167" t="s">
        <v>278</v>
      </c>
      <c r="T183" s="167">
        <v>1</v>
      </c>
      <c r="U183" s="7" t="s">
        <v>169</v>
      </c>
      <c r="V183" s="7" t="s">
        <v>169</v>
      </c>
      <c r="W183" s="47" t="str">
        <f t="shared" ca="1" si="5"/>
        <v/>
      </c>
      <c r="X183" s="47">
        <f ca="1">VLOOKUP($C183,OFFSET(quests!$A$1,0,0,COUNTA(quests!$A:$A),MATCH(X$2,quests!$1:$1,0)-MATCH($C$2,quests!$1:$1,0)+1),MATCH(X$2,quests!$1:$1,0)-MATCH($C$2,quests!$1:$1,0)+1,FALSE)</f>
        <v>0</v>
      </c>
      <c r="Y183" s="47">
        <f ca="1">VLOOKUP($C183,OFFSET(quests!$A$1,0,0,COUNTA(quests!$A:$A),MATCH(Y$2,quests!$1:$1,0)-MATCH($C$2,quests!$1:$1,0)+1),MATCH(Y$2,quests!$1:$1,0)-MATCH($C$2,quests!$1:$1,0)+1,FALSE)</f>
        <v>0</v>
      </c>
      <c r="Z183" s="47">
        <f ca="1">VLOOKUP($C183,OFFSET(quests!$A$1,0,0,COUNTA(quests!$A:$A),MATCH(Z$2,quests!$1:$1,0)-MATCH($C$2,quests!$1:$1,0)+1),MATCH(Z$2,quests!$1:$1,0)-MATCH($C$2,quests!$1:$1,0)+1,FALSE)</f>
        <v>0</v>
      </c>
      <c r="AA183" s="47">
        <f ca="1">VLOOKUP($C183,OFFSET(quests!$A$1,0,0,COUNTA(quests!$A:$A),MATCH(AA$2,quests!$1:$1,0)-MATCH($C$2,quests!$1:$1,0)+1),MATCH(AA$2,quests!$1:$1,0)-MATCH($C$2,quests!$1:$1,0)+1,FALSE)</f>
        <v>0</v>
      </c>
      <c r="AB183" s="7" t="s">
        <v>62</v>
      </c>
      <c r="AC183" s="7">
        <v>1</v>
      </c>
      <c r="AD183" s="7">
        <v>6</v>
      </c>
      <c r="AE183" s="7" t="s">
        <v>519</v>
      </c>
      <c r="AF183" s="7">
        <v>10</v>
      </c>
      <c r="AG183" s="7">
        <v>0</v>
      </c>
      <c r="AH183" s="7">
        <v>0</v>
      </c>
      <c r="AI183" s="7">
        <v>-1</v>
      </c>
      <c r="AJ183" s="7">
        <v>-1</v>
      </c>
      <c r="AK183" s="7" t="s">
        <v>1064</v>
      </c>
      <c r="AL183" s="12" t="s">
        <v>1695</v>
      </c>
      <c r="AM183" s="12" t="s">
        <v>2072</v>
      </c>
    </row>
    <row r="184" spans="1:39" ht="21" customHeight="1" x14ac:dyDescent="0.15">
      <c r="A184" s="42" t="str">
        <f t="shared" si="4"/>
        <v>10020_1</v>
      </c>
      <c r="B184" s="23">
        <v>0</v>
      </c>
      <c r="C184" s="40">
        <v>10020</v>
      </c>
      <c r="D184" s="47" t="str">
        <f ca="1">VLOOKUP($C184,OFFSET(quests!$A$1,0,0,COUNTA(quests!$A:$A),MATCH(D$1,quests!$1:$1,0)-MATCH($C$2,quests!$1:$1,0)+1),MATCH(D$1,quests!$1:$1,0)-MATCH($C$2,quests!$1:$1,0)+1,FALSE)</f>
        <v>【1回のみ】紅き侵入者</v>
      </c>
      <c r="E184" s="48" t="str">
        <f ca="1">VLOOKUP($C184,OFFSET(quests!$A$1,0,0,COUNTA(quests!$A:$A),MATCH(E$2,quests!$1:$1,0)-MATCH($C$2,quests!$1:$1,0)+1),MATCH(E$2,quests!$1:$1,0)-MATCH($C$2,quests!$1:$1,0)+1,FALSE)</f>
        <v>ランク開放クエスト Lv20</v>
      </c>
      <c r="F184" s="7">
        <v>1</v>
      </c>
      <c r="G184" s="7" t="s">
        <v>570</v>
      </c>
      <c r="H184" s="44" t="str">
        <f t="shared" ca="1" si="6"/>
        <v>【1回のみ】紅き侵入者</v>
      </c>
      <c r="I184" s="23" t="s">
        <v>203</v>
      </c>
      <c r="J184" s="63">
        <v>77</v>
      </c>
      <c r="K184" s="187">
        <v>7</v>
      </c>
      <c r="L184" s="188">
        <v>466</v>
      </c>
      <c r="M184" s="167">
        <v>1</v>
      </c>
      <c r="N184" s="167">
        <v>1</v>
      </c>
      <c r="O184" s="167">
        <v>1</v>
      </c>
      <c r="P184" s="167">
        <v>1</v>
      </c>
      <c r="Q184" s="167">
        <v>1</v>
      </c>
      <c r="R184" s="167">
        <v>3</v>
      </c>
      <c r="S184" s="167" t="s">
        <v>278</v>
      </c>
      <c r="T184" s="167">
        <v>1</v>
      </c>
      <c r="U184" s="7" t="s">
        <v>169</v>
      </c>
      <c r="V184" s="7" t="s">
        <v>169</v>
      </c>
      <c r="W184" s="47" t="str">
        <f t="shared" ca="1" si="5"/>
        <v/>
      </c>
      <c r="X184" s="47">
        <f ca="1">VLOOKUP($C184,OFFSET(quests!$A$1,0,0,COUNTA(quests!$A:$A),MATCH(X$2,quests!$1:$1,0)-MATCH($C$2,quests!$1:$1,0)+1),MATCH(X$2,quests!$1:$1,0)-MATCH($C$2,quests!$1:$1,0)+1,FALSE)</f>
        <v>0</v>
      </c>
      <c r="Y184" s="47">
        <f ca="1">VLOOKUP($C184,OFFSET(quests!$A$1,0,0,COUNTA(quests!$A:$A),MATCH(Y$2,quests!$1:$1,0)-MATCH($C$2,quests!$1:$1,0)+1),MATCH(Y$2,quests!$1:$1,0)-MATCH($C$2,quests!$1:$1,0)+1,FALSE)</f>
        <v>0</v>
      </c>
      <c r="Z184" s="47">
        <f ca="1">VLOOKUP($C184,OFFSET(quests!$A$1,0,0,COUNTA(quests!$A:$A),MATCH(Z$2,quests!$1:$1,0)-MATCH($C$2,quests!$1:$1,0)+1),MATCH(Z$2,quests!$1:$1,0)-MATCH($C$2,quests!$1:$1,0)+1,FALSE)</f>
        <v>0</v>
      </c>
      <c r="AA184" s="47">
        <f ca="1">VLOOKUP($C184,OFFSET(quests!$A$1,0,0,COUNTA(quests!$A:$A),MATCH(AA$2,quests!$1:$1,0)-MATCH($C$2,quests!$1:$1,0)+1),MATCH(AA$2,quests!$1:$1,0)-MATCH($C$2,quests!$1:$1,0)+1,FALSE)</f>
        <v>0</v>
      </c>
      <c r="AB184" s="7" t="s">
        <v>62</v>
      </c>
      <c r="AC184" s="7">
        <v>1</v>
      </c>
      <c r="AD184" s="7">
        <v>6</v>
      </c>
      <c r="AE184" s="7" t="s">
        <v>519</v>
      </c>
      <c r="AF184" s="7">
        <v>10</v>
      </c>
      <c r="AG184" s="7">
        <v>0</v>
      </c>
      <c r="AH184" s="7">
        <v>0</v>
      </c>
      <c r="AI184" s="7">
        <v>-1</v>
      </c>
      <c r="AJ184" s="7">
        <v>-1</v>
      </c>
      <c r="AK184" s="7" t="s">
        <v>1064</v>
      </c>
      <c r="AL184" s="12" t="s">
        <v>1695</v>
      </c>
      <c r="AM184" s="12" t="s">
        <v>2072</v>
      </c>
    </row>
    <row r="185" spans="1:39" ht="21" customHeight="1" x14ac:dyDescent="0.15">
      <c r="A185" s="42" t="str">
        <f t="shared" si="4"/>
        <v>10025_1</v>
      </c>
      <c r="B185" s="23">
        <v>0</v>
      </c>
      <c r="C185" s="40">
        <v>10025</v>
      </c>
      <c r="D185" s="47" t="str">
        <f ca="1">VLOOKUP($C185,OFFSET(quests!$A$1,0,0,COUNTA(quests!$A:$A),MATCH(D$1,quests!$1:$1,0)-MATCH($C$2,quests!$1:$1,0)+1),MATCH(D$1,quests!$1:$1,0)-MATCH($C$2,quests!$1:$1,0)+1,FALSE)</f>
        <v>【1回のみ】イブとトモダチと狼男</v>
      </c>
      <c r="E185" s="48" t="str">
        <f ca="1">VLOOKUP($C185,OFFSET(quests!$A$1,0,0,COUNTA(quests!$A:$A),MATCH(E$2,quests!$1:$1,0)-MATCH($C$2,quests!$1:$1,0)+1),MATCH(E$2,quests!$1:$1,0)-MATCH($C$2,quests!$1:$1,0)+1,FALSE)</f>
        <v>ランク開放クエスト Lv25</v>
      </c>
      <c r="F185" s="7">
        <v>1</v>
      </c>
      <c r="G185" s="7" t="s">
        <v>570</v>
      </c>
      <c r="H185" s="44" t="str">
        <f t="shared" ca="1" si="6"/>
        <v>【1回のみ】イブとトモダチと狼男</v>
      </c>
      <c r="I185" s="12" t="s">
        <v>64</v>
      </c>
      <c r="J185" s="12" t="s">
        <v>279</v>
      </c>
      <c r="K185" s="187">
        <v>12</v>
      </c>
      <c r="L185" s="188">
        <v>958</v>
      </c>
      <c r="M185" s="167">
        <v>1</v>
      </c>
      <c r="N185" s="167">
        <v>1</v>
      </c>
      <c r="O185" s="167">
        <v>1</v>
      </c>
      <c r="P185" s="167">
        <v>1</v>
      </c>
      <c r="Q185" s="167">
        <v>1</v>
      </c>
      <c r="R185" s="167">
        <v>3</v>
      </c>
      <c r="S185" s="167" t="s">
        <v>274</v>
      </c>
      <c r="T185" s="167">
        <v>125</v>
      </c>
      <c r="U185" s="7" t="s">
        <v>169</v>
      </c>
      <c r="V185" s="7" t="s">
        <v>169</v>
      </c>
      <c r="W185" s="47" t="str">
        <f t="shared" ca="1" si="5"/>
        <v/>
      </c>
      <c r="X185" s="47">
        <f ca="1">VLOOKUP($C185,OFFSET(quests!$A$1,0,0,COUNTA(quests!$A:$A),MATCH(X$2,quests!$1:$1,0)-MATCH($C$2,quests!$1:$1,0)+1),MATCH(X$2,quests!$1:$1,0)-MATCH($C$2,quests!$1:$1,0)+1,FALSE)</f>
        <v>0</v>
      </c>
      <c r="Y185" s="47">
        <f ca="1">VLOOKUP($C185,OFFSET(quests!$A$1,0,0,COUNTA(quests!$A:$A),MATCH(Y$2,quests!$1:$1,0)-MATCH($C$2,quests!$1:$1,0)+1),MATCH(Y$2,quests!$1:$1,0)-MATCH($C$2,quests!$1:$1,0)+1,FALSE)</f>
        <v>0</v>
      </c>
      <c r="Z185" s="47">
        <f ca="1">VLOOKUP($C185,OFFSET(quests!$A$1,0,0,COUNTA(quests!$A:$A),MATCH(Z$2,quests!$1:$1,0)-MATCH($C$2,quests!$1:$1,0)+1),MATCH(Z$2,quests!$1:$1,0)-MATCH($C$2,quests!$1:$1,0)+1,FALSE)</f>
        <v>0</v>
      </c>
      <c r="AA185" s="47">
        <f ca="1">VLOOKUP($C185,OFFSET(quests!$A$1,0,0,COUNTA(quests!$A:$A),MATCH(AA$2,quests!$1:$1,0)-MATCH($C$2,quests!$1:$1,0)+1),MATCH(AA$2,quests!$1:$1,0)-MATCH($C$2,quests!$1:$1,0)+1,FALSE)</f>
        <v>0</v>
      </c>
      <c r="AB185" s="7" t="s">
        <v>62</v>
      </c>
      <c r="AC185" s="7">
        <v>1</v>
      </c>
      <c r="AD185" s="7">
        <v>6</v>
      </c>
      <c r="AE185" s="7" t="s">
        <v>519</v>
      </c>
      <c r="AF185" s="7">
        <v>10</v>
      </c>
      <c r="AG185" s="7">
        <v>0</v>
      </c>
      <c r="AH185" s="7">
        <v>0</v>
      </c>
      <c r="AI185" s="7">
        <v>-1</v>
      </c>
      <c r="AJ185" s="7">
        <v>-1</v>
      </c>
      <c r="AK185" s="7" t="s">
        <v>1064</v>
      </c>
      <c r="AL185" s="12" t="s">
        <v>1695</v>
      </c>
      <c r="AM185" s="12" t="s">
        <v>2072</v>
      </c>
    </row>
    <row r="186" spans="1:39" ht="21" customHeight="1" x14ac:dyDescent="0.15">
      <c r="A186" s="42" t="str">
        <f t="shared" si="4"/>
        <v>10030_1</v>
      </c>
      <c r="B186" s="23">
        <v>0</v>
      </c>
      <c r="C186" s="40">
        <v>10030</v>
      </c>
      <c r="D186" s="47" t="str">
        <f ca="1">VLOOKUP($C186,OFFSET(quests!$A$1,0,0,COUNTA(quests!$A:$A),MATCH(D$1,quests!$1:$1,0)-MATCH($C$2,quests!$1:$1,0)+1),MATCH(D$1,quests!$1:$1,0)-MATCH($C$2,quests!$1:$1,0)+1,FALSE)</f>
        <v>【1回のみ】陸と海</v>
      </c>
      <c r="E186" s="48" t="str">
        <f ca="1">VLOOKUP($C186,OFFSET(quests!$A$1,0,0,COUNTA(quests!$A:$A),MATCH(E$2,quests!$1:$1,0)-MATCH($C$2,quests!$1:$1,0)+1),MATCH(E$2,quests!$1:$1,0)-MATCH($C$2,quests!$1:$1,0)+1,FALSE)</f>
        <v>ランク開放クエスト Lv30</v>
      </c>
      <c r="F186" s="7">
        <v>1</v>
      </c>
      <c r="G186" s="7" t="s">
        <v>570</v>
      </c>
      <c r="H186" s="44" t="str">
        <f t="shared" ca="1" si="6"/>
        <v>【1回のみ】陸と海</v>
      </c>
      <c r="I186" s="12" t="s">
        <v>64</v>
      </c>
      <c r="J186" s="12" t="s">
        <v>279</v>
      </c>
      <c r="K186" s="187">
        <v>14</v>
      </c>
      <c r="L186" s="189">
        <v>1380</v>
      </c>
      <c r="M186" s="167">
        <v>1</v>
      </c>
      <c r="N186" s="167">
        <v>1</v>
      </c>
      <c r="O186" s="167">
        <v>1</v>
      </c>
      <c r="P186" s="167">
        <v>1</v>
      </c>
      <c r="Q186" s="167">
        <v>1</v>
      </c>
      <c r="R186" s="167">
        <v>3</v>
      </c>
      <c r="S186" s="167" t="s">
        <v>274</v>
      </c>
      <c r="T186" s="167">
        <v>125</v>
      </c>
      <c r="U186" s="7" t="s">
        <v>169</v>
      </c>
      <c r="V186" s="7" t="s">
        <v>169</v>
      </c>
      <c r="W186" s="47" t="str">
        <f t="shared" ca="1" si="5"/>
        <v/>
      </c>
      <c r="X186" s="47">
        <f ca="1">VLOOKUP($C186,OFFSET(quests!$A$1,0,0,COUNTA(quests!$A:$A),MATCH(X$2,quests!$1:$1,0)-MATCH($C$2,quests!$1:$1,0)+1),MATCH(X$2,quests!$1:$1,0)-MATCH($C$2,quests!$1:$1,0)+1,FALSE)</f>
        <v>0</v>
      </c>
      <c r="Y186" s="47">
        <f ca="1">VLOOKUP($C186,OFFSET(quests!$A$1,0,0,COUNTA(quests!$A:$A),MATCH(Y$2,quests!$1:$1,0)-MATCH($C$2,quests!$1:$1,0)+1),MATCH(Y$2,quests!$1:$1,0)-MATCH($C$2,quests!$1:$1,0)+1,FALSE)</f>
        <v>0</v>
      </c>
      <c r="Z186" s="47">
        <f ca="1">VLOOKUP($C186,OFFSET(quests!$A$1,0,0,COUNTA(quests!$A:$A),MATCH(Z$2,quests!$1:$1,0)-MATCH($C$2,quests!$1:$1,0)+1),MATCH(Z$2,quests!$1:$1,0)-MATCH($C$2,quests!$1:$1,0)+1,FALSE)</f>
        <v>0</v>
      </c>
      <c r="AA186" s="47">
        <f ca="1">VLOOKUP($C186,OFFSET(quests!$A$1,0,0,COUNTA(quests!$A:$A),MATCH(AA$2,quests!$1:$1,0)-MATCH($C$2,quests!$1:$1,0)+1),MATCH(AA$2,quests!$1:$1,0)-MATCH($C$2,quests!$1:$1,0)+1,FALSE)</f>
        <v>0</v>
      </c>
      <c r="AB186" s="7" t="s">
        <v>62</v>
      </c>
      <c r="AC186" s="7">
        <v>1</v>
      </c>
      <c r="AD186" s="7">
        <v>6</v>
      </c>
      <c r="AE186" s="7" t="s">
        <v>519</v>
      </c>
      <c r="AF186" s="7">
        <v>10</v>
      </c>
      <c r="AG186" s="7">
        <v>0</v>
      </c>
      <c r="AH186" s="7">
        <v>0</v>
      </c>
      <c r="AI186" s="7">
        <v>-1</v>
      </c>
      <c r="AJ186" s="7">
        <v>-1</v>
      </c>
      <c r="AK186" s="7" t="s">
        <v>1064</v>
      </c>
      <c r="AL186" s="12" t="s">
        <v>1695</v>
      </c>
      <c r="AM186" s="12" t="s">
        <v>2072</v>
      </c>
    </row>
    <row r="187" spans="1:39" ht="21" customHeight="1" x14ac:dyDescent="0.15">
      <c r="A187" s="42" t="str">
        <f t="shared" si="4"/>
        <v>10035_1</v>
      </c>
      <c r="B187" s="23">
        <v>0</v>
      </c>
      <c r="C187" s="40">
        <v>10035</v>
      </c>
      <c r="D187" s="47" t="str">
        <f ca="1">VLOOKUP($C187,OFFSET(quests!$A$1,0,0,COUNTA(quests!$A:$A),MATCH(D$1,quests!$1:$1,0)-MATCH($C$2,quests!$1:$1,0)+1),MATCH(D$1,quests!$1:$1,0)-MATCH($C$2,quests!$1:$1,0)+1,FALSE)</f>
        <v>【1回のみ】二人の関係は？</v>
      </c>
      <c r="E187" s="48" t="str">
        <f ca="1">VLOOKUP($C187,OFFSET(quests!$A$1,0,0,COUNTA(quests!$A:$A),MATCH(E$2,quests!$1:$1,0)-MATCH($C$2,quests!$1:$1,0)+1),MATCH(E$2,quests!$1:$1,0)-MATCH($C$2,quests!$1:$1,0)+1,FALSE)</f>
        <v>ランク開放クエスト Lv35</v>
      </c>
      <c r="F187" s="7">
        <v>1</v>
      </c>
      <c r="G187" s="7" t="s">
        <v>570</v>
      </c>
      <c r="H187" s="44" t="str">
        <f t="shared" ca="1" si="6"/>
        <v>【1回のみ】二人の関係は？</v>
      </c>
      <c r="I187" s="12" t="s">
        <v>64</v>
      </c>
      <c r="J187" s="12" t="s">
        <v>279</v>
      </c>
      <c r="K187" s="187">
        <v>17</v>
      </c>
      <c r="L187" s="189">
        <v>1932</v>
      </c>
      <c r="M187" s="167">
        <v>1</v>
      </c>
      <c r="N187" s="167">
        <v>1</v>
      </c>
      <c r="O187" s="167">
        <v>1</v>
      </c>
      <c r="P187" s="167">
        <v>1</v>
      </c>
      <c r="Q187" s="167">
        <v>1</v>
      </c>
      <c r="R187" s="167">
        <v>3</v>
      </c>
      <c r="S187" s="167" t="s">
        <v>274</v>
      </c>
      <c r="T187" s="167">
        <v>125</v>
      </c>
      <c r="U187" s="7" t="s">
        <v>169</v>
      </c>
      <c r="V187" s="7" t="s">
        <v>169</v>
      </c>
      <c r="W187" s="47" t="str">
        <f t="shared" ca="1" si="5"/>
        <v/>
      </c>
      <c r="X187" s="47">
        <f ca="1">VLOOKUP($C187,OFFSET(quests!$A$1,0,0,COUNTA(quests!$A:$A),MATCH(X$2,quests!$1:$1,0)-MATCH($C$2,quests!$1:$1,0)+1),MATCH(X$2,quests!$1:$1,0)-MATCH($C$2,quests!$1:$1,0)+1,FALSE)</f>
        <v>0</v>
      </c>
      <c r="Y187" s="47">
        <f ca="1">VLOOKUP($C187,OFFSET(quests!$A$1,0,0,COUNTA(quests!$A:$A),MATCH(Y$2,quests!$1:$1,0)-MATCH($C$2,quests!$1:$1,0)+1),MATCH(Y$2,quests!$1:$1,0)-MATCH($C$2,quests!$1:$1,0)+1,FALSE)</f>
        <v>0</v>
      </c>
      <c r="Z187" s="47">
        <f ca="1">VLOOKUP($C187,OFFSET(quests!$A$1,0,0,COUNTA(quests!$A:$A),MATCH(Z$2,quests!$1:$1,0)-MATCH($C$2,quests!$1:$1,0)+1),MATCH(Z$2,quests!$1:$1,0)-MATCH($C$2,quests!$1:$1,0)+1,FALSE)</f>
        <v>0</v>
      </c>
      <c r="AA187" s="47">
        <f ca="1">VLOOKUP($C187,OFFSET(quests!$A$1,0,0,COUNTA(quests!$A:$A),MATCH(AA$2,quests!$1:$1,0)-MATCH($C$2,quests!$1:$1,0)+1),MATCH(AA$2,quests!$1:$1,0)-MATCH($C$2,quests!$1:$1,0)+1,FALSE)</f>
        <v>0</v>
      </c>
      <c r="AB187" s="7" t="s">
        <v>62</v>
      </c>
      <c r="AC187" s="7">
        <v>1</v>
      </c>
      <c r="AD187" s="7">
        <v>6</v>
      </c>
      <c r="AE187" s="7" t="s">
        <v>519</v>
      </c>
      <c r="AF187" s="7">
        <v>10</v>
      </c>
      <c r="AG187" s="7">
        <v>0</v>
      </c>
      <c r="AH187" s="7">
        <v>0</v>
      </c>
      <c r="AI187" s="7">
        <v>-1</v>
      </c>
      <c r="AJ187" s="7">
        <v>-1</v>
      </c>
      <c r="AK187" s="7" t="s">
        <v>1064</v>
      </c>
      <c r="AL187" s="12" t="s">
        <v>1695</v>
      </c>
      <c r="AM187" s="12" t="s">
        <v>2072</v>
      </c>
    </row>
    <row r="188" spans="1:39" ht="21" customHeight="1" x14ac:dyDescent="0.15">
      <c r="A188" s="42" t="str">
        <f t="shared" si="4"/>
        <v>10040_1</v>
      </c>
      <c r="B188" s="23">
        <v>0</v>
      </c>
      <c r="C188" s="40">
        <v>10040</v>
      </c>
      <c r="D188" s="47" t="str">
        <f ca="1">VLOOKUP($C188,OFFSET(quests!$A$1,0,0,COUNTA(quests!$A:$A),MATCH(D$1,quests!$1:$1,0)-MATCH($C$2,quests!$1:$1,0)+1),MATCH(D$1,quests!$1:$1,0)-MATCH($C$2,quests!$1:$1,0)+1,FALSE)</f>
        <v>【1回のみ】大地の杖</v>
      </c>
      <c r="E188" s="48" t="str">
        <f ca="1">VLOOKUP($C188,OFFSET(quests!$A$1,0,0,COUNTA(quests!$A:$A),MATCH(E$2,quests!$1:$1,0)-MATCH($C$2,quests!$1:$1,0)+1),MATCH(E$2,quests!$1:$1,0)-MATCH($C$2,quests!$1:$1,0)+1,FALSE)</f>
        <v>ランク開放クエスト Lv40</v>
      </c>
      <c r="F188" s="7">
        <v>1</v>
      </c>
      <c r="G188" s="7" t="s">
        <v>570</v>
      </c>
      <c r="H188" s="44" t="str">
        <f t="shared" ca="1" si="6"/>
        <v>【1回のみ】大地の杖</v>
      </c>
      <c r="I188" s="12" t="s">
        <v>64</v>
      </c>
      <c r="J188" s="12" t="s">
        <v>279</v>
      </c>
      <c r="K188" s="187">
        <v>18</v>
      </c>
      <c r="L188" s="189">
        <v>2645</v>
      </c>
      <c r="M188" s="167">
        <v>1</v>
      </c>
      <c r="N188" s="167">
        <v>1</v>
      </c>
      <c r="O188" s="167">
        <v>1</v>
      </c>
      <c r="P188" s="167">
        <v>1</v>
      </c>
      <c r="Q188" s="167">
        <v>1</v>
      </c>
      <c r="R188" s="167">
        <v>3</v>
      </c>
      <c r="S188" s="167" t="s">
        <v>274</v>
      </c>
      <c r="T188" s="167">
        <v>125</v>
      </c>
      <c r="U188" s="7" t="s">
        <v>169</v>
      </c>
      <c r="V188" s="7" t="s">
        <v>169</v>
      </c>
      <c r="W188" s="47" t="str">
        <f t="shared" ca="1" si="5"/>
        <v/>
      </c>
      <c r="X188" s="47">
        <f ca="1">VLOOKUP($C188,OFFSET(quests!$A$1,0,0,COUNTA(quests!$A:$A),MATCH(X$2,quests!$1:$1,0)-MATCH($C$2,quests!$1:$1,0)+1),MATCH(X$2,quests!$1:$1,0)-MATCH($C$2,quests!$1:$1,0)+1,FALSE)</f>
        <v>0</v>
      </c>
      <c r="Y188" s="47">
        <f ca="1">VLOOKUP($C188,OFFSET(quests!$A$1,0,0,COUNTA(quests!$A:$A),MATCH(Y$2,quests!$1:$1,0)-MATCH($C$2,quests!$1:$1,0)+1),MATCH(Y$2,quests!$1:$1,0)-MATCH($C$2,quests!$1:$1,0)+1,FALSE)</f>
        <v>0</v>
      </c>
      <c r="Z188" s="47">
        <f ca="1">VLOOKUP($C188,OFFSET(quests!$A$1,0,0,COUNTA(quests!$A:$A),MATCH(Z$2,quests!$1:$1,0)-MATCH($C$2,quests!$1:$1,0)+1),MATCH(Z$2,quests!$1:$1,0)-MATCH($C$2,quests!$1:$1,0)+1,FALSE)</f>
        <v>0</v>
      </c>
      <c r="AA188" s="47">
        <f ca="1">VLOOKUP($C188,OFFSET(quests!$A$1,0,0,COUNTA(quests!$A:$A),MATCH(AA$2,quests!$1:$1,0)-MATCH($C$2,quests!$1:$1,0)+1),MATCH(AA$2,quests!$1:$1,0)-MATCH($C$2,quests!$1:$1,0)+1,FALSE)</f>
        <v>0</v>
      </c>
      <c r="AB188" s="7" t="s">
        <v>62</v>
      </c>
      <c r="AC188" s="7">
        <v>1</v>
      </c>
      <c r="AD188" s="7">
        <v>6</v>
      </c>
      <c r="AE188" s="7" t="s">
        <v>519</v>
      </c>
      <c r="AF188" s="7">
        <v>10</v>
      </c>
      <c r="AG188" s="7">
        <v>0</v>
      </c>
      <c r="AH188" s="7">
        <v>0</v>
      </c>
      <c r="AI188" s="7">
        <v>-1</v>
      </c>
      <c r="AJ188" s="7">
        <v>-1</v>
      </c>
      <c r="AK188" s="7" t="s">
        <v>1064</v>
      </c>
      <c r="AL188" s="12" t="s">
        <v>1695</v>
      </c>
      <c r="AM188" s="12" t="s">
        <v>2072</v>
      </c>
    </row>
    <row r="189" spans="1:39" ht="21" customHeight="1" x14ac:dyDescent="0.15">
      <c r="A189" s="42" t="str">
        <f t="shared" si="4"/>
        <v>10045_1</v>
      </c>
      <c r="B189" s="23">
        <v>0</v>
      </c>
      <c r="C189" s="40">
        <v>10045</v>
      </c>
      <c r="D189" s="47" t="str">
        <f ca="1">VLOOKUP($C189,OFFSET(quests!$A$1,0,0,COUNTA(quests!$A:$A),MATCH(D$1,quests!$1:$1,0)-MATCH($C$2,quests!$1:$1,0)+1),MATCH(D$1,quests!$1:$1,0)-MATCH($C$2,quests!$1:$1,0)+1,FALSE)</f>
        <v>【1回のみ】迅雷</v>
      </c>
      <c r="E189" s="48" t="str">
        <f ca="1">VLOOKUP($C189,OFFSET(quests!$A$1,0,0,COUNTA(quests!$A:$A),MATCH(E$2,quests!$1:$1,0)-MATCH($C$2,quests!$1:$1,0)+1),MATCH(E$2,quests!$1:$1,0)-MATCH($C$2,quests!$1:$1,0)+1,FALSE)</f>
        <v>ランク開放クエスト Lv45</v>
      </c>
      <c r="F189" s="7">
        <v>1</v>
      </c>
      <c r="G189" s="7" t="s">
        <v>570</v>
      </c>
      <c r="H189" s="44" t="str">
        <f t="shared" ca="1" si="6"/>
        <v>【1回のみ】迅雷</v>
      </c>
      <c r="I189" s="12" t="s">
        <v>64</v>
      </c>
      <c r="J189" s="12" t="s">
        <v>279</v>
      </c>
      <c r="K189" s="187">
        <v>21</v>
      </c>
      <c r="L189" s="189">
        <v>3737</v>
      </c>
      <c r="M189" s="167">
        <v>1</v>
      </c>
      <c r="N189" s="167">
        <v>1</v>
      </c>
      <c r="O189" s="167">
        <v>1</v>
      </c>
      <c r="P189" s="167">
        <v>1</v>
      </c>
      <c r="Q189" s="167">
        <v>1</v>
      </c>
      <c r="R189" s="167">
        <v>3</v>
      </c>
      <c r="S189" s="167" t="s">
        <v>274</v>
      </c>
      <c r="T189" s="167">
        <v>125</v>
      </c>
      <c r="U189" s="7" t="s">
        <v>169</v>
      </c>
      <c r="V189" s="7" t="s">
        <v>169</v>
      </c>
      <c r="W189" s="47" t="str">
        <f t="shared" ca="1" si="5"/>
        <v/>
      </c>
      <c r="X189" s="47">
        <f ca="1">VLOOKUP($C189,OFFSET(quests!$A$1,0,0,COUNTA(quests!$A:$A),MATCH(X$2,quests!$1:$1,0)-MATCH($C$2,quests!$1:$1,0)+1),MATCH(X$2,quests!$1:$1,0)-MATCH($C$2,quests!$1:$1,0)+1,FALSE)</f>
        <v>0</v>
      </c>
      <c r="Y189" s="47">
        <f ca="1">VLOOKUP($C189,OFFSET(quests!$A$1,0,0,COUNTA(quests!$A:$A),MATCH(Y$2,quests!$1:$1,0)-MATCH($C$2,quests!$1:$1,0)+1),MATCH(Y$2,quests!$1:$1,0)-MATCH($C$2,quests!$1:$1,0)+1,FALSE)</f>
        <v>0</v>
      </c>
      <c r="Z189" s="47">
        <f ca="1">VLOOKUP($C189,OFFSET(quests!$A$1,0,0,COUNTA(quests!$A:$A),MATCH(Z$2,quests!$1:$1,0)-MATCH($C$2,quests!$1:$1,0)+1),MATCH(Z$2,quests!$1:$1,0)-MATCH($C$2,quests!$1:$1,0)+1,FALSE)</f>
        <v>0</v>
      </c>
      <c r="AA189" s="47">
        <f ca="1">VLOOKUP($C189,OFFSET(quests!$A$1,0,0,COUNTA(quests!$A:$A),MATCH(AA$2,quests!$1:$1,0)-MATCH($C$2,quests!$1:$1,0)+1),MATCH(AA$2,quests!$1:$1,0)-MATCH($C$2,quests!$1:$1,0)+1,FALSE)</f>
        <v>0</v>
      </c>
      <c r="AB189" s="7" t="s">
        <v>62</v>
      </c>
      <c r="AC189" s="7">
        <v>1</v>
      </c>
      <c r="AD189" s="7">
        <v>6</v>
      </c>
      <c r="AE189" s="7" t="s">
        <v>519</v>
      </c>
      <c r="AF189" s="7">
        <v>10</v>
      </c>
      <c r="AG189" s="7">
        <v>0</v>
      </c>
      <c r="AH189" s="7">
        <v>0</v>
      </c>
      <c r="AI189" s="7">
        <v>-1</v>
      </c>
      <c r="AJ189" s="7">
        <v>-1</v>
      </c>
      <c r="AK189" s="7" t="s">
        <v>1064</v>
      </c>
      <c r="AL189" s="12" t="s">
        <v>1695</v>
      </c>
      <c r="AM189" s="12" t="s">
        <v>2072</v>
      </c>
    </row>
    <row r="190" spans="1:39" ht="21" customHeight="1" x14ac:dyDescent="0.15">
      <c r="A190" s="42" t="str">
        <f t="shared" si="4"/>
        <v>10050_1</v>
      </c>
      <c r="B190" s="23">
        <v>0</v>
      </c>
      <c r="C190" s="40">
        <v>10050</v>
      </c>
      <c r="D190" s="47" t="str">
        <f ca="1">VLOOKUP($C190,OFFSET(quests!$A$1,0,0,COUNTA(quests!$A:$A),MATCH(D$1,quests!$1:$1,0)-MATCH($C$2,quests!$1:$1,0)+1),MATCH(D$1,quests!$1:$1,0)-MATCH($C$2,quests!$1:$1,0)+1,FALSE)</f>
        <v>【1回のみ】噛み合わない二柱</v>
      </c>
      <c r="E190" s="48" t="str">
        <f ca="1">VLOOKUP($C190,OFFSET(quests!$A$1,0,0,COUNTA(quests!$A:$A),MATCH(E$2,quests!$1:$1,0)-MATCH($C$2,quests!$1:$1,0)+1),MATCH(E$2,quests!$1:$1,0)-MATCH($C$2,quests!$1:$1,0)+1,FALSE)</f>
        <v>ランク開放クエスト Lv50</v>
      </c>
      <c r="F190" s="7">
        <v>1</v>
      </c>
      <c r="G190" s="7" t="s">
        <v>570</v>
      </c>
      <c r="H190" s="44" t="str">
        <f t="shared" ca="1" si="6"/>
        <v>【1回のみ】噛み合わない二柱</v>
      </c>
      <c r="I190" s="12" t="s">
        <v>64</v>
      </c>
      <c r="J190" s="12" t="s">
        <v>279</v>
      </c>
      <c r="K190" s="187">
        <v>22</v>
      </c>
      <c r="L190" s="189">
        <v>5031</v>
      </c>
      <c r="M190" s="167">
        <v>1</v>
      </c>
      <c r="N190" s="167">
        <v>1</v>
      </c>
      <c r="O190" s="167">
        <v>1</v>
      </c>
      <c r="P190" s="167">
        <v>1</v>
      </c>
      <c r="Q190" s="167">
        <v>1</v>
      </c>
      <c r="R190" s="167">
        <v>3</v>
      </c>
      <c r="S190" s="167" t="s">
        <v>274</v>
      </c>
      <c r="T190" s="167">
        <v>125</v>
      </c>
      <c r="U190" s="7" t="s">
        <v>169</v>
      </c>
      <c r="V190" s="7" t="s">
        <v>169</v>
      </c>
      <c r="W190" s="47" t="str">
        <f t="shared" ca="1" si="5"/>
        <v/>
      </c>
      <c r="X190" s="47">
        <f ca="1">VLOOKUP($C190,OFFSET(quests!$A$1,0,0,COUNTA(quests!$A:$A),MATCH(X$2,quests!$1:$1,0)-MATCH($C$2,quests!$1:$1,0)+1),MATCH(X$2,quests!$1:$1,0)-MATCH($C$2,quests!$1:$1,0)+1,FALSE)</f>
        <v>0</v>
      </c>
      <c r="Y190" s="47">
        <f ca="1">VLOOKUP($C190,OFFSET(quests!$A$1,0,0,COUNTA(quests!$A:$A),MATCH(Y$2,quests!$1:$1,0)-MATCH($C$2,quests!$1:$1,0)+1),MATCH(Y$2,quests!$1:$1,0)-MATCH($C$2,quests!$1:$1,0)+1,FALSE)</f>
        <v>0</v>
      </c>
      <c r="Z190" s="47">
        <f ca="1">VLOOKUP($C190,OFFSET(quests!$A$1,0,0,COUNTA(quests!$A:$A),MATCH(Z$2,quests!$1:$1,0)-MATCH($C$2,quests!$1:$1,0)+1),MATCH(Z$2,quests!$1:$1,0)-MATCH($C$2,quests!$1:$1,0)+1,FALSE)</f>
        <v>0</v>
      </c>
      <c r="AA190" s="47">
        <f ca="1">VLOOKUP($C190,OFFSET(quests!$A$1,0,0,COUNTA(quests!$A:$A),MATCH(AA$2,quests!$1:$1,0)-MATCH($C$2,quests!$1:$1,0)+1),MATCH(AA$2,quests!$1:$1,0)-MATCH($C$2,quests!$1:$1,0)+1,FALSE)</f>
        <v>0</v>
      </c>
      <c r="AB190" s="7" t="s">
        <v>62</v>
      </c>
      <c r="AC190" s="7">
        <v>1</v>
      </c>
      <c r="AD190" s="7">
        <v>6</v>
      </c>
      <c r="AE190" s="7" t="s">
        <v>519</v>
      </c>
      <c r="AF190" s="7">
        <v>10</v>
      </c>
      <c r="AG190" s="7">
        <v>0</v>
      </c>
      <c r="AH190" s="7">
        <v>0</v>
      </c>
      <c r="AI190" s="7">
        <v>-1</v>
      </c>
      <c r="AJ190" s="7">
        <v>-1</v>
      </c>
      <c r="AK190" s="7" t="s">
        <v>1064</v>
      </c>
      <c r="AL190" s="12" t="s">
        <v>1695</v>
      </c>
      <c r="AM190" s="12" t="s">
        <v>2072</v>
      </c>
    </row>
    <row r="191" spans="1:39" ht="21" customHeight="1" x14ac:dyDescent="0.15">
      <c r="A191" s="42" t="str">
        <f t="shared" si="4"/>
        <v>10055_1</v>
      </c>
      <c r="B191" s="23">
        <v>0</v>
      </c>
      <c r="C191" s="40">
        <v>10055</v>
      </c>
      <c r="D191" s="47" t="str">
        <f ca="1">VLOOKUP($C191,OFFSET(quests!$A$1,0,0,COUNTA(quests!$A:$A),MATCH(D$1,quests!$1:$1,0)-MATCH($C$2,quests!$1:$1,0)+1),MATCH(D$1,quests!$1:$1,0)-MATCH($C$2,quests!$1:$1,0)+1,FALSE)</f>
        <v>【1回のみ】美女と美獣</v>
      </c>
      <c r="E191" s="48" t="str">
        <f ca="1">VLOOKUP($C191,OFFSET(quests!$A$1,0,0,COUNTA(quests!$A:$A),MATCH(E$2,quests!$1:$1,0)-MATCH($C$2,quests!$1:$1,0)+1),MATCH(E$2,quests!$1:$1,0)-MATCH($C$2,quests!$1:$1,0)+1,FALSE)</f>
        <v>ランク開放クエスト Lv55</v>
      </c>
      <c r="F191" s="7">
        <v>1</v>
      </c>
      <c r="G191" s="7" t="s">
        <v>570</v>
      </c>
      <c r="H191" s="44" t="str">
        <f t="shared" ca="1" si="6"/>
        <v>【1回のみ】美女と美獣</v>
      </c>
      <c r="I191" s="12" t="s">
        <v>64</v>
      </c>
      <c r="J191" s="12" t="s">
        <v>279</v>
      </c>
      <c r="K191" s="187">
        <v>27</v>
      </c>
      <c r="L191" s="189">
        <v>7012</v>
      </c>
      <c r="M191" s="167">
        <v>1</v>
      </c>
      <c r="N191" s="167">
        <v>1</v>
      </c>
      <c r="O191" s="167">
        <v>1</v>
      </c>
      <c r="P191" s="167">
        <v>1</v>
      </c>
      <c r="Q191" s="167">
        <v>1</v>
      </c>
      <c r="R191" s="167">
        <v>3</v>
      </c>
      <c r="S191" s="167" t="s">
        <v>274</v>
      </c>
      <c r="T191" s="167">
        <v>125</v>
      </c>
      <c r="U191" s="7" t="s">
        <v>169</v>
      </c>
      <c r="V191" s="7" t="s">
        <v>169</v>
      </c>
      <c r="W191" s="47" t="str">
        <f t="shared" ca="1" si="5"/>
        <v/>
      </c>
      <c r="X191" s="47">
        <f ca="1">VLOOKUP($C191,OFFSET(quests!$A$1,0,0,COUNTA(quests!$A:$A),MATCH(X$2,quests!$1:$1,0)-MATCH($C$2,quests!$1:$1,0)+1),MATCH(X$2,quests!$1:$1,0)-MATCH($C$2,quests!$1:$1,0)+1,FALSE)</f>
        <v>0</v>
      </c>
      <c r="Y191" s="47">
        <f ca="1">VLOOKUP($C191,OFFSET(quests!$A$1,0,0,COUNTA(quests!$A:$A),MATCH(Y$2,quests!$1:$1,0)-MATCH($C$2,quests!$1:$1,0)+1),MATCH(Y$2,quests!$1:$1,0)-MATCH($C$2,quests!$1:$1,0)+1,FALSE)</f>
        <v>0</v>
      </c>
      <c r="Z191" s="47">
        <f ca="1">VLOOKUP($C191,OFFSET(quests!$A$1,0,0,COUNTA(quests!$A:$A),MATCH(Z$2,quests!$1:$1,0)-MATCH($C$2,quests!$1:$1,0)+1),MATCH(Z$2,quests!$1:$1,0)-MATCH($C$2,quests!$1:$1,0)+1,FALSE)</f>
        <v>0</v>
      </c>
      <c r="AA191" s="47">
        <f ca="1">VLOOKUP($C191,OFFSET(quests!$A$1,0,0,COUNTA(quests!$A:$A),MATCH(AA$2,quests!$1:$1,0)-MATCH($C$2,quests!$1:$1,0)+1),MATCH(AA$2,quests!$1:$1,0)-MATCH($C$2,quests!$1:$1,0)+1,FALSE)</f>
        <v>0</v>
      </c>
      <c r="AB191" s="7" t="s">
        <v>62</v>
      </c>
      <c r="AC191" s="7">
        <v>1</v>
      </c>
      <c r="AD191" s="7">
        <v>6</v>
      </c>
      <c r="AE191" s="7" t="s">
        <v>519</v>
      </c>
      <c r="AF191" s="7">
        <v>10</v>
      </c>
      <c r="AG191" s="7">
        <v>0</v>
      </c>
      <c r="AH191" s="7">
        <v>0</v>
      </c>
      <c r="AI191" s="7">
        <v>-1</v>
      </c>
      <c r="AJ191" s="7">
        <v>-1</v>
      </c>
      <c r="AK191" s="7" t="s">
        <v>1064</v>
      </c>
      <c r="AL191" s="12" t="s">
        <v>1695</v>
      </c>
      <c r="AM191" s="12" t="s">
        <v>2072</v>
      </c>
    </row>
    <row r="192" spans="1:39" ht="21" customHeight="1" x14ac:dyDescent="0.15">
      <c r="A192" s="42" t="str">
        <f t="shared" si="4"/>
        <v>10060_1</v>
      </c>
      <c r="B192" s="23">
        <v>0</v>
      </c>
      <c r="C192" s="40">
        <v>10060</v>
      </c>
      <c r="D192" s="47" t="str">
        <f ca="1">VLOOKUP($C192,OFFSET(quests!$A$1,0,0,COUNTA(quests!$A:$A),MATCH(D$1,quests!$1:$1,0)-MATCH($C$2,quests!$1:$1,0)+1),MATCH(D$1,quests!$1:$1,0)-MATCH($C$2,quests!$1:$1,0)+1,FALSE)</f>
        <v>【1回のみ】東と西の女神</v>
      </c>
      <c r="E192" s="48" t="str">
        <f ca="1">VLOOKUP($C192,OFFSET(quests!$A$1,0,0,COUNTA(quests!$A:$A),MATCH(E$2,quests!$1:$1,0)-MATCH($C$2,quests!$1:$1,0)+1),MATCH(E$2,quests!$1:$1,0)-MATCH($C$2,quests!$1:$1,0)+1,FALSE)</f>
        <v>ランク開放クエスト Lv60</v>
      </c>
      <c r="F192" s="7">
        <v>1</v>
      </c>
      <c r="G192" s="7" t="s">
        <v>570</v>
      </c>
      <c r="H192" s="44" t="str">
        <f t="shared" ca="1" si="6"/>
        <v>【1回のみ】東と西の女神</v>
      </c>
      <c r="I192" s="12" t="s">
        <v>64</v>
      </c>
      <c r="J192" s="12" t="s">
        <v>279</v>
      </c>
      <c r="K192" s="187">
        <v>28</v>
      </c>
      <c r="L192" s="189">
        <v>8140</v>
      </c>
      <c r="M192" s="167">
        <v>1</v>
      </c>
      <c r="N192" s="167">
        <v>1</v>
      </c>
      <c r="O192" s="167">
        <v>1</v>
      </c>
      <c r="P192" s="167">
        <v>1</v>
      </c>
      <c r="Q192" s="167">
        <v>1</v>
      </c>
      <c r="R192" s="167">
        <v>3</v>
      </c>
      <c r="S192" s="167" t="s">
        <v>274</v>
      </c>
      <c r="T192" s="167">
        <v>125</v>
      </c>
      <c r="U192" s="7" t="s">
        <v>169</v>
      </c>
      <c r="V192" s="7" t="s">
        <v>169</v>
      </c>
      <c r="W192" s="47" t="str">
        <f t="shared" ca="1" si="5"/>
        <v/>
      </c>
      <c r="X192" s="47">
        <f ca="1">VLOOKUP($C192,OFFSET(quests!$A$1,0,0,COUNTA(quests!$A:$A),MATCH(X$2,quests!$1:$1,0)-MATCH($C$2,quests!$1:$1,0)+1),MATCH(X$2,quests!$1:$1,0)-MATCH($C$2,quests!$1:$1,0)+1,FALSE)</f>
        <v>0</v>
      </c>
      <c r="Y192" s="47">
        <f ca="1">VLOOKUP($C192,OFFSET(quests!$A$1,0,0,COUNTA(quests!$A:$A),MATCH(Y$2,quests!$1:$1,0)-MATCH($C$2,quests!$1:$1,0)+1),MATCH(Y$2,quests!$1:$1,0)-MATCH($C$2,quests!$1:$1,0)+1,FALSE)</f>
        <v>0</v>
      </c>
      <c r="Z192" s="47">
        <f ca="1">VLOOKUP($C192,OFFSET(quests!$A$1,0,0,COUNTA(quests!$A:$A),MATCH(Z$2,quests!$1:$1,0)-MATCH($C$2,quests!$1:$1,0)+1),MATCH(Z$2,quests!$1:$1,0)-MATCH($C$2,quests!$1:$1,0)+1,FALSE)</f>
        <v>0</v>
      </c>
      <c r="AA192" s="47">
        <f ca="1">VLOOKUP($C192,OFFSET(quests!$A$1,0,0,COUNTA(quests!$A:$A),MATCH(AA$2,quests!$1:$1,0)-MATCH($C$2,quests!$1:$1,0)+1),MATCH(AA$2,quests!$1:$1,0)-MATCH($C$2,quests!$1:$1,0)+1,FALSE)</f>
        <v>0</v>
      </c>
      <c r="AB192" s="7" t="s">
        <v>62</v>
      </c>
      <c r="AC192" s="7">
        <v>1</v>
      </c>
      <c r="AD192" s="7">
        <v>6</v>
      </c>
      <c r="AE192" s="7" t="s">
        <v>519</v>
      </c>
      <c r="AF192" s="7">
        <v>10</v>
      </c>
      <c r="AG192" s="7">
        <v>0</v>
      </c>
      <c r="AH192" s="7">
        <v>0</v>
      </c>
      <c r="AI192" s="7">
        <v>-1</v>
      </c>
      <c r="AJ192" s="7">
        <v>-1</v>
      </c>
      <c r="AK192" s="7" t="s">
        <v>1064</v>
      </c>
      <c r="AL192" s="12" t="s">
        <v>1695</v>
      </c>
      <c r="AM192" s="12" t="s">
        <v>2072</v>
      </c>
    </row>
    <row r="193" spans="1:39" ht="21" customHeight="1" x14ac:dyDescent="0.15">
      <c r="A193" s="42" t="str">
        <f t="shared" si="4"/>
        <v>10065_1</v>
      </c>
      <c r="B193" s="39">
        <v>1</v>
      </c>
      <c r="C193" s="40">
        <v>10065</v>
      </c>
      <c r="D193" s="47" t="str">
        <f ca="1">VLOOKUP($C193,OFFSET(quests!$A$1,0,0,COUNTA(quests!$A:$A),MATCH(D$1,quests!$1:$1,0)-MATCH($C$2,quests!$1:$1,0)+1),MATCH(D$1,quests!$1:$1,0)-MATCH($C$2,quests!$1:$1,0)+1,FALSE)</f>
        <v>【ランク65開放】【1回のみ】 奪還！太陽神！【仮開放】</v>
      </c>
      <c r="E193" s="48" t="str">
        <f ca="1">VLOOKUP($C193,OFFSET(quests!$A$1,0,0,COUNTA(quests!$A:$A),MATCH(E$2,quests!$1:$1,0)-MATCH($C$2,quests!$1:$1,0)+1),MATCH(E$2,quests!$1:$1,0)-MATCH($C$2,quests!$1:$1,0)+1,FALSE)</f>
        <v>ランク開放クエスト Lv65</v>
      </c>
      <c r="F193" s="7">
        <v>1</v>
      </c>
      <c r="G193" s="7" t="s">
        <v>570</v>
      </c>
      <c r="H193" s="44" t="str">
        <f t="shared" ca="1" si="6"/>
        <v>【ランク65開放】【1回のみ】 奪還！太陽神！【仮開放】</v>
      </c>
      <c r="I193" s="12" t="s">
        <v>64</v>
      </c>
      <c r="J193" s="12" t="s">
        <v>279</v>
      </c>
      <c r="K193" s="187">
        <v>22</v>
      </c>
      <c r="L193" s="189">
        <v>5031</v>
      </c>
      <c r="M193" s="167">
        <v>1</v>
      </c>
      <c r="N193" s="167">
        <v>1</v>
      </c>
      <c r="O193" s="167">
        <v>1</v>
      </c>
      <c r="P193" s="167">
        <v>1</v>
      </c>
      <c r="Q193" s="167">
        <v>1</v>
      </c>
      <c r="R193" s="167">
        <v>3</v>
      </c>
      <c r="S193" s="167" t="s">
        <v>273</v>
      </c>
      <c r="T193" s="167">
        <v>125</v>
      </c>
      <c r="U193" s="7" t="s">
        <v>169</v>
      </c>
      <c r="V193" s="7" t="s">
        <v>169</v>
      </c>
      <c r="W193" s="47" t="str">
        <f t="shared" ca="1" si="5"/>
        <v/>
      </c>
      <c r="X193" s="47">
        <f ca="1">VLOOKUP($C193,OFFSET(quests!$A$1,0,0,COUNTA(quests!$A:$A),MATCH(X$2,quests!$1:$1,0)-MATCH($C$2,quests!$1:$1,0)+1),MATCH(X$2,quests!$1:$1,0)-MATCH($C$2,quests!$1:$1,0)+1,FALSE)</f>
        <v>0</v>
      </c>
      <c r="Y193" s="47">
        <f ca="1">VLOOKUP($C193,OFFSET(quests!$A$1,0,0,COUNTA(quests!$A:$A),MATCH(Y$2,quests!$1:$1,0)-MATCH($C$2,quests!$1:$1,0)+1),MATCH(Y$2,quests!$1:$1,0)-MATCH($C$2,quests!$1:$1,0)+1,FALSE)</f>
        <v>0</v>
      </c>
      <c r="Z193" s="47">
        <f ca="1">VLOOKUP($C193,OFFSET(quests!$A$1,0,0,COUNTA(quests!$A:$A),MATCH(Z$2,quests!$1:$1,0)-MATCH($C$2,quests!$1:$1,0)+1),MATCH(Z$2,quests!$1:$1,0)-MATCH($C$2,quests!$1:$1,0)+1,FALSE)</f>
        <v>0</v>
      </c>
      <c r="AA193" s="47">
        <f ca="1">VLOOKUP($C193,OFFSET(quests!$A$1,0,0,COUNTA(quests!$A:$A),MATCH(AA$2,quests!$1:$1,0)-MATCH($C$2,quests!$1:$1,0)+1),MATCH(AA$2,quests!$1:$1,0)-MATCH($C$2,quests!$1:$1,0)+1,FALSE)</f>
        <v>0</v>
      </c>
      <c r="AB193" s="33" t="s">
        <v>56</v>
      </c>
      <c r="AC193" s="7">
        <v>1</v>
      </c>
      <c r="AD193" s="7">
        <v>6</v>
      </c>
      <c r="AE193" s="7" t="s">
        <v>519</v>
      </c>
      <c r="AF193" s="7">
        <v>10</v>
      </c>
      <c r="AG193" s="7">
        <v>0</v>
      </c>
      <c r="AH193" s="7">
        <v>0</v>
      </c>
      <c r="AI193" s="7">
        <v>-1</v>
      </c>
      <c r="AJ193" s="7">
        <v>-1</v>
      </c>
      <c r="AK193" s="7" t="s">
        <v>1064</v>
      </c>
      <c r="AL193" s="12" t="s">
        <v>1695</v>
      </c>
      <c r="AM193" s="12" t="s">
        <v>2072</v>
      </c>
    </row>
    <row r="194" spans="1:39" ht="21" customHeight="1" x14ac:dyDescent="0.15">
      <c r="A194" s="42" t="str">
        <f t="shared" si="4"/>
        <v>10090_1</v>
      </c>
      <c r="B194" s="39">
        <v>0</v>
      </c>
      <c r="C194" s="40">
        <v>10090</v>
      </c>
      <c r="D194" s="47" t="str">
        <f ca="1">VLOOKUP($C194,OFFSET(quests!$A$1,0,0,COUNTA(quests!$A:$A),MATCH(D$1,quests!$1:$1,0)-MATCH($C$2,quests!$1:$1,0)+1),MATCH(D$1,quests!$1:$1,0)-MATCH($C$2,quests!$1:$1,0)+1,FALSE)</f>
        <v>【ランク90開放】【1回のみ】 星の降る夜に</v>
      </c>
      <c r="E194" s="48" t="str">
        <f ca="1">VLOOKUP($C194,OFFSET(quests!$A$1,0,0,COUNTA(quests!$A:$A),MATCH(E$2,quests!$1:$1,0)-MATCH($C$2,quests!$1:$1,0)+1),MATCH(E$2,quests!$1:$1,0)-MATCH($C$2,quests!$1:$1,0)+1,FALSE)</f>
        <v>ランク開放クエスト Lv90</v>
      </c>
      <c r="F194" s="7">
        <v>1</v>
      </c>
      <c r="G194" s="7" t="s">
        <v>570</v>
      </c>
      <c r="H194" s="44" t="str">
        <f t="shared" ca="1" si="6"/>
        <v>【ランク90開放】【1回のみ】 星の降る夜に</v>
      </c>
      <c r="I194" s="12" t="s">
        <v>64</v>
      </c>
      <c r="J194" s="12" t="s">
        <v>279</v>
      </c>
      <c r="K194" s="167">
        <v>27</v>
      </c>
      <c r="L194" s="167">
        <v>1</v>
      </c>
      <c r="M194" s="167">
        <v>1</v>
      </c>
      <c r="N194" s="167">
        <v>1</v>
      </c>
      <c r="O194" s="167">
        <v>1</v>
      </c>
      <c r="P194" s="167">
        <v>1</v>
      </c>
      <c r="Q194" s="167">
        <v>1</v>
      </c>
      <c r="R194" s="167">
        <v>3</v>
      </c>
      <c r="S194" s="167" t="s">
        <v>79</v>
      </c>
      <c r="T194" s="167">
        <v>0</v>
      </c>
      <c r="U194" s="7" t="s">
        <v>169</v>
      </c>
      <c r="V194" s="7" t="s">
        <v>169</v>
      </c>
      <c r="W194" s="47" t="str">
        <f t="shared" ca="1" si="5"/>
        <v/>
      </c>
      <c r="X194" s="47">
        <f ca="1">VLOOKUP($C194,OFFSET(quests!$A$1,0,0,COUNTA(quests!$A:$A),MATCH(X$2,quests!$1:$1,0)-MATCH($C$2,quests!$1:$1,0)+1),MATCH(X$2,quests!$1:$1,0)-MATCH($C$2,quests!$1:$1,0)+1,FALSE)</f>
        <v>0</v>
      </c>
      <c r="Y194" s="47">
        <f ca="1">VLOOKUP($C194,OFFSET(quests!$A$1,0,0,COUNTA(quests!$A:$A),MATCH(Y$2,quests!$1:$1,0)-MATCH($C$2,quests!$1:$1,0)+1),MATCH(Y$2,quests!$1:$1,0)-MATCH($C$2,quests!$1:$1,0)+1,FALSE)</f>
        <v>0</v>
      </c>
      <c r="Z194" s="47">
        <f ca="1">VLOOKUP($C194,OFFSET(quests!$A$1,0,0,COUNTA(quests!$A:$A),MATCH(Z$2,quests!$1:$1,0)-MATCH($C$2,quests!$1:$1,0)+1),MATCH(Z$2,quests!$1:$1,0)-MATCH($C$2,quests!$1:$1,0)+1,FALSE)</f>
        <v>0</v>
      </c>
      <c r="AA194" s="47">
        <f ca="1">VLOOKUP($C194,OFFSET(quests!$A$1,0,0,COUNTA(quests!$A:$A),MATCH(AA$2,quests!$1:$1,0)-MATCH($C$2,quests!$1:$1,0)+1),MATCH(AA$2,quests!$1:$1,0)-MATCH($C$2,quests!$1:$1,0)+1,FALSE)</f>
        <v>0</v>
      </c>
      <c r="AB194" s="7" t="s">
        <v>62</v>
      </c>
      <c r="AC194" s="7">
        <v>1</v>
      </c>
      <c r="AD194" s="7">
        <v>6</v>
      </c>
      <c r="AE194" s="7" t="s">
        <v>519</v>
      </c>
      <c r="AF194" s="7">
        <v>10</v>
      </c>
      <c r="AG194" s="7">
        <v>0</v>
      </c>
      <c r="AH194" s="7">
        <v>0</v>
      </c>
      <c r="AI194" s="7">
        <v>-1</v>
      </c>
      <c r="AJ194" s="7">
        <v>-1</v>
      </c>
      <c r="AK194" s="7" t="s">
        <v>1064</v>
      </c>
      <c r="AL194" s="12" t="s">
        <v>1695</v>
      </c>
      <c r="AM194" s="12" t="s">
        <v>2072</v>
      </c>
    </row>
    <row r="195" spans="1:39" ht="21" customHeight="1" x14ac:dyDescent="0.15">
      <c r="A195" s="42" t="str">
        <f t="shared" ref="A195:A259" si="7">C195&amp;"_"&amp;F195</f>
        <v>10100_1</v>
      </c>
      <c r="B195" s="39">
        <v>0</v>
      </c>
      <c r="C195" s="40">
        <v>10100</v>
      </c>
      <c r="D195" s="47" t="str">
        <f ca="1">VLOOKUP($C195,OFFSET(quests!$A$1,0,0,COUNTA(quests!$A:$A),MATCH(D$1,quests!$1:$1,0)-MATCH($C$2,quests!$1:$1,0)+1),MATCH(D$1,quests!$1:$1,0)-MATCH($C$2,quests!$1:$1,0)+1,FALSE)</f>
        <v>【ランク100開放】【1回のみ】 お前のものは誰のもの？</v>
      </c>
      <c r="E195" s="48" t="str">
        <f ca="1">VLOOKUP($C195,OFFSET(quests!$A$1,0,0,COUNTA(quests!$A:$A),MATCH(E$2,quests!$1:$1,0)-MATCH($C$2,quests!$1:$1,0)+1),MATCH(E$2,quests!$1:$1,0)-MATCH($C$2,quests!$1:$1,0)+1,FALSE)</f>
        <v>ランク開放クエスト Lv100</v>
      </c>
      <c r="F195" s="7">
        <v>1</v>
      </c>
      <c r="G195" s="7" t="s">
        <v>570</v>
      </c>
      <c r="H195" s="44" t="str">
        <f t="shared" ca="1" si="6"/>
        <v>【ランク100開放】【1回のみ】 お前のものは誰のもの？</v>
      </c>
      <c r="I195" s="12" t="s">
        <v>64</v>
      </c>
      <c r="J195" s="12" t="s">
        <v>279</v>
      </c>
      <c r="K195" s="167">
        <v>29</v>
      </c>
      <c r="L195" s="167">
        <v>1</v>
      </c>
      <c r="M195" s="167">
        <v>1</v>
      </c>
      <c r="N195" s="167">
        <v>1</v>
      </c>
      <c r="O195" s="167">
        <v>1</v>
      </c>
      <c r="P195" s="167">
        <v>1</v>
      </c>
      <c r="Q195" s="167">
        <v>1</v>
      </c>
      <c r="R195" s="167">
        <v>3</v>
      </c>
      <c r="S195" s="167" t="s">
        <v>79</v>
      </c>
      <c r="T195" s="167">
        <v>0</v>
      </c>
      <c r="U195" s="7" t="s">
        <v>169</v>
      </c>
      <c r="V195" s="7" t="s">
        <v>169</v>
      </c>
      <c r="W195" s="47" t="str">
        <f t="shared" ref="W195:W258" ca="1" si="8">IF(U195="NULL","",VLOOKUP($U195&amp;"_"&amp;$V195,OFFSET($A$1,0,0,COUNTA($A:$A),MATCH(W$2,$2:$2,0)-MATCH($A$2,$2:$2,0)+1),MATCH(W$2,$2:$2,0)-MATCH($A$2,$2:$2,0)+1,FALSE))</f>
        <v/>
      </c>
      <c r="X195" s="47">
        <f ca="1">VLOOKUP($C195,OFFSET(quests!$A$1,0,0,COUNTA(quests!$A:$A),MATCH(X$2,quests!$1:$1,0)-MATCH($C$2,quests!$1:$1,0)+1),MATCH(X$2,quests!$1:$1,0)-MATCH($C$2,quests!$1:$1,0)+1,FALSE)</f>
        <v>0</v>
      </c>
      <c r="Y195" s="47">
        <f ca="1">VLOOKUP($C195,OFFSET(quests!$A$1,0,0,COUNTA(quests!$A:$A),MATCH(Y$2,quests!$1:$1,0)-MATCH($C$2,quests!$1:$1,0)+1),MATCH(Y$2,quests!$1:$1,0)-MATCH($C$2,quests!$1:$1,0)+1,FALSE)</f>
        <v>0</v>
      </c>
      <c r="Z195" s="47">
        <f ca="1">VLOOKUP($C195,OFFSET(quests!$A$1,0,0,COUNTA(quests!$A:$A),MATCH(Z$2,quests!$1:$1,0)-MATCH($C$2,quests!$1:$1,0)+1),MATCH(Z$2,quests!$1:$1,0)-MATCH($C$2,quests!$1:$1,0)+1,FALSE)</f>
        <v>0</v>
      </c>
      <c r="AA195" s="47">
        <f ca="1">VLOOKUP($C195,OFFSET(quests!$A$1,0,0,COUNTA(quests!$A:$A),MATCH(AA$2,quests!$1:$1,0)-MATCH($C$2,quests!$1:$1,0)+1),MATCH(AA$2,quests!$1:$1,0)-MATCH($C$2,quests!$1:$1,0)+1,FALSE)</f>
        <v>0</v>
      </c>
      <c r="AB195" s="7" t="s">
        <v>62</v>
      </c>
      <c r="AC195" s="7">
        <v>1</v>
      </c>
      <c r="AD195" s="7">
        <v>6</v>
      </c>
      <c r="AE195" s="7" t="s">
        <v>519</v>
      </c>
      <c r="AF195" s="7">
        <v>10</v>
      </c>
      <c r="AG195" s="7">
        <v>0</v>
      </c>
      <c r="AH195" s="7">
        <v>0</v>
      </c>
      <c r="AI195" s="7">
        <v>-1</v>
      </c>
      <c r="AJ195" s="7">
        <v>-1</v>
      </c>
      <c r="AK195" s="7" t="s">
        <v>1064</v>
      </c>
      <c r="AL195" s="12" t="s">
        <v>1695</v>
      </c>
      <c r="AM195" s="12" t="s">
        <v>2072</v>
      </c>
    </row>
    <row r="196" spans="1:39" ht="21" customHeight="1" x14ac:dyDescent="0.15">
      <c r="A196" s="42" t="str">
        <f t="shared" si="7"/>
        <v>11001_1</v>
      </c>
      <c r="B196" s="23">
        <v>3</v>
      </c>
      <c r="C196" s="17">
        <v>11001</v>
      </c>
      <c r="D196" s="47" t="str">
        <f ca="1">VLOOKUP($C196,OFFSET(quests!$A$1,0,0,COUNTA(quests!$A:$A),MATCH(D$1,quests!$1:$1,0)-MATCH($C$2,quests!$1:$1,0)+1),MATCH(D$1,quests!$1:$1,0)-MATCH($C$2,quests!$1:$1,0)+1,FALSE)</f>
        <v>【月曜限定】 黄の素材</v>
      </c>
      <c r="E196" s="48" t="str">
        <f ca="1">VLOOKUP($C196,OFFSET(quests!$A$1,0,0,COUNTA(quests!$A:$A),MATCH(E$2,quests!$1:$1,0)-MATCH($C$2,quests!$1:$1,0)+1),MATCH(E$2,quests!$1:$1,0)-MATCH($C$2,quests!$1:$1,0)+1,FALSE)</f>
        <v>月曜クエスト</v>
      </c>
      <c r="F196" s="7">
        <v>1</v>
      </c>
      <c r="G196" s="7" t="s">
        <v>570</v>
      </c>
      <c r="H196" s="12" t="s">
        <v>669</v>
      </c>
      <c r="I196" s="12" t="s">
        <v>58</v>
      </c>
      <c r="J196" s="12">
        <v>113</v>
      </c>
      <c r="K196" s="167">
        <v>8</v>
      </c>
      <c r="L196" s="167">
        <v>240</v>
      </c>
      <c r="M196" s="167">
        <v>1</v>
      </c>
      <c r="N196" s="167">
        <v>1</v>
      </c>
      <c r="O196" s="167">
        <v>1</v>
      </c>
      <c r="P196" s="167">
        <v>1</v>
      </c>
      <c r="Q196" s="167">
        <v>1</v>
      </c>
      <c r="R196" s="167">
        <v>3</v>
      </c>
      <c r="S196" s="167" t="s">
        <v>79</v>
      </c>
      <c r="T196" s="167">
        <v>0</v>
      </c>
      <c r="U196" s="7" t="s">
        <v>169</v>
      </c>
      <c r="V196" s="7" t="s">
        <v>169</v>
      </c>
      <c r="W196" s="47" t="str">
        <f t="shared" ca="1" si="8"/>
        <v/>
      </c>
      <c r="X196" s="47">
        <f ca="1">VLOOKUP($C196,OFFSET(quests!$A$1,0,0,COUNTA(quests!$A:$A),MATCH(X$2,quests!$1:$1,0)-MATCH($C$2,quests!$1:$1,0)+1),MATCH(X$2,quests!$1:$1,0)-MATCH($C$2,quests!$1:$1,0)+1,FALSE)</f>
        <v>0</v>
      </c>
      <c r="Y196" s="47">
        <f ca="1">VLOOKUP($C196,OFFSET(quests!$A$1,0,0,COUNTA(quests!$A:$A),MATCH(Y$2,quests!$1:$1,0)-MATCH($C$2,quests!$1:$1,0)+1),MATCH(Y$2,quests!$1:$1,0)-MATCH($C$2,quests!$1:$1,0)+1,FALSE)</f>
        <v>0</v>
      </c>
      <c r="Z196" s="47">
        <f ca="1">VLOOKUP($C196,OFFSET(quests!$A$1,0,0,COUNTA(quests!$A:$A),MATCH(Z$2,quests!$1:$1,0)-MATCH($C$2,quests!$1:$1,0)+1),MATCH(Z$2,quests!$1:$1,0)-MATCH($C$2,quests!$1:$1,0)+1,FALSE)</f>
        <v>0</v>
      </c>
      <c r="AA196" s="47">
        <f ca="1">VLOOKUP($C196,OFFSET(quests!$A$1,0,0,COUNTA(quests!$A:$A),MATCH(AA$2,quests!$1:$1,0)-MATCH($C$2,quests!$1:$1,0)+1),MATCH(AA$2,quests!$1:$1,0)-MATCH($C$2,quests!$1:$1,0)+1,FALSE)</f>
        <v>0</v>
      </c>
      <c r="AB196" s="7" t="s">
        <v>56</v>
      </c>
      <c r="AC196" s="7">
        <v>101</v>
      </c>
      <c r="AD196" s="7">
        <v>6</v>
      </c>
      <c r="AE196" s="7" t="s">
        <v>519</v>
      </c>
      <c r="AF196" s="7">
        <v>14</v>
      </c>
      <c r="AG196" s="7">
        <v>0</v>
      </c>
      <c r="AH196" s="7">
        <v>0</v>
      </c>
      <c r="AI196" s="7">
        <v>-1</v>
      </c>
      <c r="AJ196" s="7">
        <v>-1</v>
      </c>
      <c r="AK196" s="7" t="s">
        <v>1064</v>
      </c>
      <c r="AL196" s="12" t="s">
        <v>1695</v>
      </c>
      <c r="AM196" s="12" t="s">
        <v>2072</v>
      </c>
    </row>
    <row r="197" spans="1:39" ht="21" customHeight="1" x14ac:dyDescent="0.15">
      <c r="A197" s="42" t="str">
        <f t="shared" si="7"/>
        <v>11001_2</v>
      </c>
      <c r="B197" s="23">
        <v>3</v>
      </c>
      <c r="C197" s="17">
        <v>11001</v>
      </c>
      <c r="D197" s="47" t="str">
        <f ca="1">VLOOKUP($C197,OFFSET(quests!$A$1,0,0,COUNTA(quests!$A:$A),MATCH(D$1,quests!$1:$1,0)-MATCH($C$2,quests!$1:$1,0)+1),MATCH(D$1,quests!$1:$1,0)-MATCH($C$2,quests!$1:$1,0)+1,FALSE)</f>
        <v>【月曜限定】 黄の素材</v>
      </c>
      <c r="E197" s="48" t="str">
        <f ca="1">VLOOKUP($C197,OFFSET(quests!$A$1,0,0,COUNTA(quests!$A:$A),MATCH(E$2,quests!$1:$1,0)-MATCH($C$2,quests!$1:$1,0)+1),MATCH(E$2,quests!$1:$1,0)-MATCH($C$2,quests!$1:$1,0)+1,FALSE)</f>
        <v>月曜クエスト</v>
      </c>
      <c r="F197" s="7">
        <v>2</v>
      </c>
      <c r="G197" s="7" t="s">
        <v>570</v>
      </c>
      <c r="H197" s="12" t="s">
        <v>670</v>
      </c>
      <c r="I197" s="12" t="s">
        <v>59</v>
      </c>
      <c r="J197" s="12">
        <v>114</v>
      </c>
      <c r="K197" s="167">
        <v>15</v>
      </c>
      <c r="L197" s="167">
        <v>525</v>
      </c>
      <c r="M197" s="167">
        <v>1</v>
      </c>
      <c r="N197" s="167">
        <v>1</v>
      </c>
      <c r="O197" s="167">
        <v>1</v>
      </c>
      <c r="P197" s="167">
        <v>1</v>
      </c>
      <c r="Q197" s="167">
        <v>1</v>
      </c>
      <c r="R197" s="167">
        <v>3</v>
      </c>
      <c r="S197" s="167" t="s">
        <v>79</v>
      </c>
      <c r="T197" s="167">
        <v>0</v>
      </c>
      <c r="U197" s="7" t="s">
        <v>169</v>
      </c>
      <c r="V197" s="7" t="s">
        <v>169</v>
      </c>
      <c r="W197" s="47" t="str">
        <f t="shared" ca="1" si="8"/>
        <v/>
      </c>
      <c r="X197" s="47">
        <f ca="1">VLOOKUP($C197,OFFSET(quests!$A$1,0,0,COUNTA(quests!$A:$A),MATCH(X$2,quests!$1:$1,0)-MATCH($C$2,quests!$1:$1,0)+1),MATCH(X$2,quests!$1:$1,0)-MATCH($C$2,quests!$1:$1,0)+1,FALSE)</f>
        <v>0</v>
      </c>
      <c r="Y197" s="47">
        <f ca="1">VLOOKUP($C197,OFFSET(quests!$A$1,0,0,COUNTA(quests!$A:$A),MATCH(Y$2,quests!$1:$1,0)-MATCH($C$2,quests!$1:$1,0)+1),MATCH(Y$2,quests!$1:$1,0)-MATCH($C$2,quests!$1:$1,0)+1,FALSE)</f>
        <v>0</v>
      </c>
      <c r="Z197" s="47">
        <f ca="1">VLOOKUP($C197,OFFSET(quests!$A$1,0,0,COUNTA(quests!$A:$A),MATCH(Z$2,quests!$1:$1,0)-MATCH($C$2,quests!$1:$1,0)+1),MATCH(Z$2,quests!$1:$1,0)-MATCH($C$2,quests!$1:$1,0)+1,FALSE)</f>
        <v>0</v>
      </c>
      <c r="AA197" s="47">
        <f ca="1">VLOOKUP($C197,OFFSET(quests!$A$1,0,0,COUNTA(quests!$A:$A),MATCH(AA$2,quests!$1:$1,0)-MATCH($C$2,quests!$1:$1,0)+1),MATCH(AA$2,quests!$1:$1,0)-MATCH($C$2,quests!$1:$1,0)+1,FALSE)</f>
        <v>0</v>
      </c>
      <c r="AB197" s="7" t="s">
        <v>56</v>
      </c>
      <c r="AC197" s="7">
        <v>101</v>
      </c>
      <c r="AD197" s="7">
        <v>6</v>
      </c>
      <c r="AE197" s="7" t="s">
        <v>519</v>
      </c>
      <c r="AF197" s="7">
        <v>14</v>
      </c>
      <c r="AG197" s="7">
        <v>0</v>
      </c>
      <c r="AH197" s="7">
        <v>0</v>
      </c>
      <c r="AI197" s="7">
        <v>-1</v>
      </c>
      <c r="AJ197" s="7">
        <v>-1</v>
      </c>
      <c r="AK197" s="7" t="s">
        <v>1064</v>
      </c>
      <c r="AL197" s="12" t="s">
        <v>1695</v>
      </c>
      <c r="AM197" s="12" t="s">
        <v>2072</v>
      </c>
    </row>
    <row r="198" spans="1:39" ht="21" customHeight="1" x14ac:dyDescent="0.15">
      <c r="A198" s="42" t="str">
        <f t="shared" si="7"/>
        <v>11001_3</v>
      </c>
      <c r="B198" s="204">
        <v>0</v>
      </c>
      <c r="C198" s="17">
        <v>11001</v>
      </c>
      <c r="D198" s="47" t="str">
        <f ca="1">VLOOKUP($C198,OFFSET(quests!$A$1,0,0,COUNTA(quests!$A:$A),MATCH(D$1,quests!$1:$1,0)-MATCH($C$2,quests!$1:$1,0)+1),MATCH(D$1,quests!$1:$1,0)-MATCH($C$2,quests!$1:$1,0)+1,FALSE)</f>
        <v>【月曜限定】 黄の素材</v>
      </c>
      <c r="E198" s="48" t="str">
        <f ca="1">VLOOKUP($C198,OFFSET(quests!$A$1,0,0,COUNTA(quests!$A:$A),MATCH(E$2,quests!$1:$1,0)-MATCH($C$2,quests!$1:$1,0)+1),MATCH(E$2,quests!$1:$1,0)-MATCH($C$2,quests!$1:$1,0)+1,FALSE)</f>
        <v>月曜クエスト</v>
      </c>
      <c r="F198" s="7">
        <v>3</v>
      </c>
      <c r="G198" s="7" t="s">
        <v>570</v>
      </c>
      <c r="H198" s="12" t="s">
        <v>671</v>
      </c>
      <c r="I198" s="12" t="s">
        <v>60</v>
      </c>
      <c r="J198" s="12">
        <v>115</v>
      </c>
      <c r="K198" s="167">
        <v>20</v>
      </c>
      <c r="L198" s="167">
        <v>860</v>
      </c>
      <c r="M198" s="167">
        <v>1</v>
      </c>
      <c r="N198" s="167">
        <v>1</v>
      </c>
      <c r="O198" s="167">
        <v>1</v>
      </c>
      <c r="P198" s="167">
        <v>1</v>
      </c>
      <c r="Q198" s="167">
        <v>1</v>
      </c>
      <c r="R198" s="167">
        <v>3</v>
      </c>
      <c r="S198" s="167" t="s">
        <v>79</v>
      </c>
      <c r="T198" s="167">
        <v>0</v>
      </c>
      <c r="U198" s="7" t="s">
        <v>169</v>
      </c>
      <c r="V198" s="7" t="s">
        <v>169</v>
      </c>
      <c r="W198" s="47" t="str">
        <f t="shared" ca="1" si="8"/>
        <v/>
      </c>
      <c r="X198" s="47">
        <f ca="1">VLOOKUP($C198,OFFSET(quests!$A$1,0,0,COUNTA(quests!$A:$A),MATCH(X$2,quests!$1:$1,0)-MATCH($C$2,quests!$1:$1,0)+1),MATCH(X$2,quests!$1:$1,0)-MATCH($C$2,quests!$1:$1,0)+1,FALSE)</f>
        <v>0</v>
      </c>
      <c r="Y198" s="47">
        <f ca="1">VLOOKUP($C198,OFFSET(quests!$A$1,0,0,COUNTA(quests!$A:$A),MATCH(Y$2,quests!$1:$1,0)-MATCH($C$2,quests!$1:$1,0)+1),MATCH(Y$2,quests!$1:$1,0)-MATCH($C$2,quests!$1:$1,0)+1,FALSE)</f>
        <v>0</v>
      </c>
      <c r="Z198" s="47">
        <f ca="1">VLOOKUP($C198,OFFSET(quests!$A$1,0,0,COUNTA(quests!$A:$A),MATCH(Z$2,quests!$1:$1,0)-MATCH($C$2,quests!$1:$1,0)+1),MATCH(Z$2,quests!$1:$1,0)-MATCH($C$2,quests!$1:$1,0)+1,FALSE)</f>
        <v>0</v>
      </c>
      <c r="AA198" s="47">
        <f ca="1">VLOOKUP($C198,OFFSET(quests!$A$1,0,0,COUNTA(quests!$A:$A),MATCH(AA$2,quests!$1:$1,0)-MATCH($C$2,quests!$1:$1,0)+1),MATCH(AA$2,quests!$1:$1,0)-MATCH($C$2,quests!$1:$1,0)+1,FALSE)</f>
        <v>0</v>
      </c>
      <c r="AB198" s="7" t="s">
        <v>56</v>
      </c>
      <c r="AC198" s="7">
        <v>101</v>
      </c>
      <c r="AD198" s="7">
        <v>6</v>
      </c>
      <c r="AE198" s="7" t="s">
        <v>519</v>
      </c>
      <c r="AF198" s="7">
        <v>14</v>
      </c>
      <c r="AG198" s="7">
        <v>0</v>
      </c>
      <c r="AH198" s="7">
        <v>0</v>
      </c>
      <c r="AI198" s="7">
        <v>-1</v>
      </c>
      <c r="AJ198" s="7">
        <v>-1</v>
      </c>
      <c r="AK198" s="7" t="s">
        <v>1064</v>
      </c>
      <c r="AL198" s="12" t="s">
        <v>1695</v>
      </c>
      <c r="AM198" s="12" t="s">
        <v>2072</v>
      </c>
    </row>
    <row r="199" spans="1:39" ht="21" customHeight="1" x14ac:dyDescent="0.15">
      <c r="A199" s="42" t="str">
        <f t="shared" si="7"/>
        <v>11001_4</v>
      </c>
      <c r="B199" s="23">
        <v>3</v>
      </c>
      <c r="C199" s="17">
        <v>11001</v>
      </c>
      <c r="D199" s="47" t="str">
        <f ca="1">VLOOKUP($C199,OFFSET(quests!$A$1,0,0,COUNTA(quests!$A:$A),MATCH(D$1,quests!$1:$1,0)-MATCH($C$2,quests!$1:$1,0)+1),MATCH(D$1,quests!$1:$1,0)-MATCH($C$2,quests!$1:$1,0)+1,FALSE)</f>
        <v>【月曜限定】 黄の素材</v>
      </c>
      <c r="E199" s="48" t="str">
        <f ca="1">VLOOKUP($C199,OFFSET(quests!$A$1,0,0,COUNTA(quests!$A:$A),MATCH(E$2,quests!$1:$1,0)-MATCH($C$2,quests!$1:$1,0)+1),MATCH(E$2,quests!$1:$1,0)-MATCH($C$2,quests!$1:$1,0)+1,FALSE)</f>
        <v>月曜クエスト</v>
      </c>
      <c r="F199" s="7">
        <v>4</v>
      </c>
      <c r="G199" s="7" t="s">
        <v>570</v>
      </c>
      <c r="H199" s="12" t="s">
        <v>671</v>
      </c>
      <c r="I199" s="12" t="s">
        <v>60</v>
      </c>
      <c r="J199" s="12">
        <v>115</v>
      </c>
      <c r="K199" s="167">
        <v>20</v>
      </c>
      <c r="L199" s="167">
        <v>860</v>
      </c>
      <c r="M199" s="167">
        <v>1</v>
      </c>
      <c r="N199" s="167">
        <v>1</v>
      </c>
      <c r="O199" s="167">
        <v>1</v>
      </c>
      <c r="P199" s="167">
        <v>1</v>
      </c>
      <c r="Q199" s="167">
        <v>1</v>
      </c>
      <c r="R199" s="167">
        <v>3</v>
      </c>
      <c r="S199" s="167" t="s">
        <v>79</v>
      </c>
      <c r="T199" s="167">
        <v>0</v>
      </c>
      <c r="U199" s="7" t="s">
        <v>169</v>
      </c>
      <c r="V199" s="7" t="s">
        <v>169</v>
      </c>
      <c r="W199" s="47" t="str">
        <f t="shared" ca="1" si="8"/>
        <v/>
      </c>
      <c r="X199" s="47">
        <f ca="1">VLOOKUP($C199,OFFSET(quests!$A$1,0,0,COUNTA(quests!$A:$A),MATCH(X$2,quests!$1:$1,0)-MATCH($C$2,quests!$1:$1,0)+1),MATCH(X$2,quests!$1:$1,0)-MATCH($C$2,quests!$1:$1,0)+1,FALSE)</f>
        <v>0</v>
      </c>
      <c r="Y199" s="47">
        <f ca="1">VLOOKUP($C199,OFFSET(quests!$A$1,0,0,COUNTA(quests!$A:$A),MATCH(Y$2,quests!$1:$1,0)-MATCH($C$2,quests!$1:$1,0)+1),MATCH(Y$2,quests!$1:$1,0)-MATCH($C$2,quests!$1:$1,0)+1,FALSE)</f>
        <v>0</v>
      </c>
      <c r="Z199" s="47">
        <f ca="1">VLOOKUP($C199,OFFSET(quests!$A$1,0,0,COUNTA(quests!$A:$A),MATCH(Z$2,quests!$1:$1,0)-MATCH($C$2,quests!$1:$1,0)+1),MATCH(Z$2,quests!$1:$1,0)-MATCH($C$2,quests!$1:$1,0)+1,FALSE)</f>
        <v>0</v>
      </c>
      <c r="AA199" s="47">
        <f ca="1">VLOOKUP($C199,OFFSET(quests!$A$1,0,0,COUNTA(quests!$A:$A),MATCH(AA$2,quests!$1:$1,0)-MATCH($C$2,quests!$1:$1,0)+1),MATCH(AA$2,quests!$1:$1,0)-MATCH($C$2,quests!$1:$1,0)+1,FALSE)</f>
        <v>0</v>
      </c>
      <c r="AB199" s="7" t="s">
        <v>56</v>
      </c>
      <c r="AC199" s="7">
        <v>101</v>
      </c>
      <c r="AD199" s="7">
        <v>6</v>
      </c>
      <c r="AE199" s="7" t="s">
        <v>519</v>
      </c>
      <c r="AF199" s="7">
        <v>14</v>
      </c>
      <c r="AG199" s="7">
        <v>0</v>
      </c>
      <c r="AH199" s="7">
        <v>0</v>
      </c>
      <c r="AI199" s="7">
        <v>-1</v>
      </c>
      <c r="AJ199" s="7">
        <v>-1</v>
      </c>
      <c r="AK199" s="7" t="s">
        <v>1064</v>
      </c>
      <c r="AL199" s="12" t="s">
        <v>1695</v>
      </c>
      <c r="AM199" s="12" t="s">
        <v>2072</v>
      </c>
    </row>
    <row r="200" spans="1:39" ht="21" customHeight="1" x14ac:dyDescent="0.15">
      <c r="A200" s="42" t="str">
        <f t="shared" si="7"/>
        <v>11001_10</v>
      </c>
      <c r="B200" s="23">
        <v>3</v>
      </c>
      <c r="C200" s="17">
        <v>11001</v>
      </c>
      <c r="D200" s="47" t="str">
        <f ca="1">VLOOKUP($C200,OFFSET(quests!$A$1,0,0,COUNTA(quests!$A:$A),MATCH(D$1,quests!$1:$1,0)-MATCH($C$2,quests!$1:$1,0)+1),MATCH(D$1,quests!$1:$1,0)-MATCH($C$2,quests!$1:$1,0)+1,FALSE)</f>
        <v>【月曜限定】 黄の素材</v>
      </c>
      <c r="E200" s="48" t="str">
        <f ca="1">VLOOKUP($C200,OFFSET(quests!$A$1,0,0,COUNTA(quests!$A:$A),MATCH(E$2,quests!$1:$1,0)-MATCH($C$2,quests!$1:$1,0)+1),MATCH(E$2,quests!$1:$1,0)-MATCH($C$2,quests!$1:$1,0)+1,FALSE)</f>
        <v>月曜クエスト</v>
      </c>
      <c r="F200" s="7">
        <v>10</v>
      </c>
      <c r="G200" s="7" t="s">
        <v>382</v>
      </c>
      <c r="H200" s="23" t="s">
        <v>1130</v>
      </c>
      <c r="I200" s="12" t="s">
        <v>1113</v>
      </c>
      <c r="J200" s="12">
        <v>359</v>
      </c>
      <c r="K200" s="167">
        <v>35</v>
      </c>
      <c r="L200" s="167">
        <v>2240</v>
      </c>
      <c r="M200" s="167">
        <v>1</v>
      </c>
      <c r="N200" s="167">
        <v>1</v>
      </c>
      <c r="O200" s="167">
        <v>1</v>
      </c>
      <c r="P200" s="167">
        <v>1</v>
      </c>
      <c r="Q200" s="185">
        <v>1</v>
      </c>
      <c r="R200" s="167">
        <v>3</v>
      </c>
      <c r="S200" s="167" t="s">
        <v>79</v>
      </c>
      <c r="T200" s="167">
        <v>0</v>
      </c>
      <c r="U200" s="7" t="s">
        <v>169</v>
      </c>
      <c r="V200" s="7" t="s">
        <v>169</v>
      </c>
      <c r="W200" s="47" t="str">
        <f t="shared" ca="1" si="8"/>
        <v/>
      </c>
      <c r="X200" s="47">
        <f ca="1">VLOOKUP($C200,OFFSET(quests!$A$1,0,0,COUNTA(quests!$A:$A),MATCH(X$2,quests!$1:$1,0)-MATCH($C$2,quests!$1:$1,0)+1),MATCH(X$2,quests!$1:$1,0)-MATCH($C$2,quests!$1:$1,0)+1,FALSE)</f>
        <v>0</v>
      </c>
      <c r="Y200" s="47">
        <f ca="1">VLOOKUP($C200,OFFSET(quests!$A$1,0,0,COUNTA(quests!$A:$A),MATCH(Y$2,quests!$1:$1,0)-MATCH($C$2,quests!$1:$1,0)+1),MATCH(Y$2,quests!$1:$1,0)-MATCH($C$2,quests!$1:$1,0)+1,FALSE)</f>
        <v>0</v>
      </c>
      <c r="Z200" s="47">
        <f ca="1">VLOOKUP($C200,OFFSET(quests!$A$1,0,0,COUNTA(quests!$A:$A),MATCH(Z$2,quests!$1:$1,0)-MATCH($C$2,quests!$1:$1,0)+1),MATCH(Z$2,quests!$1:$1,0)-MATCH($C$2,quests!$1:$1,0)+1,FALSE)</f>
        <v>0</v>
      </c>
      <c r="AA200" s="47">
        <f ca="1">VLOOKUP($C200,OFFSET(quests!$A$1,0,0,COUNTA(quests!$A:$A),MATCH(AA$2,quests!$1:$1,0)-MATCH($C$2,quests!$1:$1,0)+1),MATCH(AA$2,quests!$1:$1,0)-MATCH($C$2,quests!$1:$1,0)+1,FALSE)</f>
        <v>0</v>
      </c>
      <c r="AB200" s="159" t="s">
        <v>56</v>
      </c>
      <c r="AC200" s="7">
        <v>101</v>
      </c>
      <c r="AD200" s="7">
        <v>6</v>
      </c>
      <c r="AE200" s="7" t="s">
        <v>519</v>
      </c>
      <c r="AF200" s="7">
        <v>14</v>
      </c>
      <c r="AG200" s="7">
        <v>0</v>
      </c>
      <c r="AH200" s="7">
        <v>0</v>
      </c>
      <c r="AI200" s="7">
        <v>-1</v>
      </c>
      <c r="AJ200" s="7">
        <v>-1</v>
      </c>
      <c r="AK200" s="7" t="s">
        <v>1064</v>
      </c>
      <c r="AL200" s="12" t="s">
        <v>1695</v>
      </c>
      <c r="AM200" s="12" t="s">
        <v>2072</v>
      </c>
    </row>
    <row r="201" spans="1:39" ht="21" customHeight="1" x14ac:dyDescent="0.15">
      <c r="A201" s="42" t="str">
        <f t="shared" si="7"/>
        <v>11002_1</v>
      </c>
      <c r="B201" s="23">
        <v>3</v>
      </c>
      <c r="C201" s="17">
        <v>11002</v>
      </c>
      <c r="D201" s="47" t="str">
        <f ca="1">VLOOKUP($C201,OFFSET(quests!$A$1,0,0,COUNTA(quests!$A:$A),MATCH(D$1,quests!$1:$1,0)-MATCH($C$2,quests!$1:$1,0)+1),MATCH(D$1,quests!$1:$1,0)-MATCH($C$2,quests!$1:$1,0)+1,FALSE)</f>
        <v>【火曜限定】 赤の素材</v>
      </c>
      <c r="E201" s="48" t="str">
        <f ca="1">VLOOKUP($C201,OFFSET(quests!$A$1,0,0,COUNTA(quests!$A:$A),MATCH(E$2,quests!$1:$1,0)-MATCH($C$2,quests!$1:$1,0)+1),MATCH(E$2,quests!$1:$1,0)-MATCH($C$2,quests!$1:$1,0)+1,FALSE)</f>
        <v>火曜クエスト</v>
      </c>
      <c r="F201" s="7">
        <v>1</v>
      </c>
      <c r="G201" s="7" t="s">
        <v>570</v>
      </c>
      <c r="H201" s="12" t="s">
        <v>672</v>
      </c>
      <c r="I201" s="12" t="s">
        <v>58</v>
      </c>
      <c r="J201" s="12">
        <v>101</v>
      </c>
      <c r="K201" s="167">
        <v>8</v>
      </c>
      <c r="L201" s="167">
        <v>240</v>
      </c>
      <c r="M201" s="167">
        <v>1</v>
      </c>
      <c r="N201" s="167">
        <v>1</v>
      </c>
      <c r="O201" s="167">
        <v>1</v>
      </c>
      <c r="P201" s="167">
        <v>1</v>
      </c>
      <c r="Q201" s="167">
        <v>1</v>
      </c>
      <c r="R201" s="167">
        <v>3</v>
      </c>
      <c r="S201" s="167" t="s">
        <v>79</v>
      </c>
      <c r="T201" s="167">
        <v>0</v>
      </c>
      <c r="U201" s="7" t="s">
        <v>169</v>
      </c>
      <c r="V201" s="7" t="s">
        <v>169</v>
      </c>
      <c r="W201" s="47" t="str">
        <f t="shared" ca="1" si="8"/>
        <v/>
      </c>
      <c r="X201" s="47">
        <f ca="1">VLOOKUP($C201,OFFSET(quests!$A$1,0,0,COUNTA(quests!$A:$A),MATCH(X$2,quests!$1:$1,0)-MATCH($C$2,quests!$1:$1,0)+1),MATCH(X$2,quests!$1:$1,0)-MATCH($C$2,quests!$1:$1,0)+1,FALSE)</f>
        <v>0</v>
      </c>
      <c r="Y201" s="47">
        <f ca="1">VLOOKUP($C201,OFFSET(quests!$A$1,0,0,COUNTA(quests!$A:$A),MATCH(Y$2,quests!$1:$1,0)-MATCH($C$2,quests!$1:$1,0)+1),MATCH(Y$2,quests!$1:$1,0)-MATCH($C$2,quests!$1:$1,0)+1,FALSE)</f>
        <v>0</v>
      </c>
      <c r="Z201" s="47">
        <f ca="1">VLOOKUP($C201,OFFSET(quests!$A$1,0,0,COUNTA(quests!$A:$A),MATCH(Z$2,quests!$1:$1,0)-MATCH($C$2,quests!$1:$1,0)+1),MATCH(Z$2,quests!$1:$1,0)-MATCH($C$2,quests!$1:$1,0)+1,FALSE)</f>
        <v>0</v>
      </c>
      <c r="AA201" s="47">
        <f ca="1">VLOOKUP($C201,OFFSET(quests!$A$1,0,0,COUNTA(quests!$A:$A),MATCH(AA$2,quests!$1:$1,0)-MATCH($C$2,quests!$1:$1,0)+1),MATCH(AA$2,quests!$1:$1,0)-MATCH($C$2,quests!$1:$1,0)+1,FALSE)</f>
        <v>0</v>
      </c>
      <c r="AB201" s="7" t="s">
        <v>56</v>
      </c>
      <c r="AC201" s="7">
        <v>102</v>
      </c>
      <c r="AD201" s="7">
        <v>6</v>
      </c>
      <c r="AE201" s="7" t="s">
        <v>519</v>
      </c>
      <c r="AF201" s="7">
        <v>14</v>
      </c>
      <c r="AG201" s="7">
        <v>0</v>
      </c>
      <c r="AH201" s="7">
        <v>0</v>
      </c>
      <c r="AI201" s="7">
        <v>-1</v>
      </c>
      <c r="AJ201" s="7">
        <v>-1</v>
      </c>
      <c r="AK201" s="7" t="s">
        <v>1064</v>
      </c>
      <c r="AL201" s="12" t="s">
        <v>1695</v>
      </c>
      <c r="AM201" s="12" t="s">
        <v>2072</v>
      </c>
    </row>
    <row r="202" spans="1:39" ht="21" customHeight="1" x14ac:dyDescent="0.15">
      <c r="A202" s="42" t="str">
        <f t="shared" si="7"/>
        <v>11002_2</v>
      </c>
      <c r="B202" s="23">
        <v>3</v>
      </c>
      <c r="C202" s="17">
        <v>11002</v>
      </c>
      <c r="D202" s="47" t="str">
        <f ca="1">VLOOKUP($C202,OFFSET(quests!$A$1,0,0,COUNTA(quests!$A:$A),MATCH(D$1,quests!$1:$1,0)-MATCH($C$2,quests!$1:$1,0)+1),MATCH(D$1,quests!$1:$1,0)-MATCH($C$2,quests!$1:$1,0)+1,FALSE)</f>
        <v>【火曜限定】 赤の素材</v>
      </c>
      <c r="E202" s="48" t="str">
        <f ca="1">VLOOKUP($C202,OFFSET(quests!$A$1,0,0,COUNTA(quests!$A:$A),MATCH(E$2,quests!$1:$1,0)-MATCH($C$2,quests!$1:$1,0)+1),MATCH(E$2,quests!$1:$1,0)-MATCH($C$2,quests!$1:$1,0)+1,FALSE)</f>
        <v>火曜クエスト</v>
      </c>
      <c r="F202" s="7">
        <v>2</v>
      </c>
      <c r="G202" s="7" t="s">
        <v>570</v>
      </c>
      <c r="H202" s="12" t="s">
        <v>673</v>
      </c>
      <c r="I202" s="12" t="s">
        <v>59</v>
      </c>
      <c r="J202" s="12">
        <v>102</v>
      </c>
      <c r="K202" s="167">
        <v>15</v>
      </c>
      <c r="L202" s="167">
        <v>525</v>
      </c>
      <c r="M202" s="167">
        <v>1</v>
      </c>
      <c r="N202" s="167">
        <v>1</v>
      </c>
      <c r="O202" s="167">
        <v>1</v>
      </c>
      <c r="P202" s="167">
        <v>1</v>
      </c>
      <c r="Q202" s="167">
        <v>1</v>
      </c>
      <c r="R202" s="167">
        <v>3</v>
      </c>
      <c r="S202" s="167" t="s">
        <v>79</v>
      </c>
      <c r="T202" s="167">
        <v>0</v>
      </c>
      <c r="U202" s="7" t="s">
        <v>169</v>
      </c>
      <c r="V202" s="7" t="s">
        <v>169</v>
      </c>
      <c r="W202" s="47" t="str">
        <f t="shared" ca="1" si="8"/>
        <v/>
      </c>
      <c r="X202" s="47">
        <f ca="1">VLOOKUP($C202,OFFSET(quests!$A$1,0,0,COUNTA(quests!$A:$A),MATCH(X$2,quests!$1:$1,0)-MATCH($C$2,quests!$1:$1,0)+1),MATCH(X$2,quests!$1:$1,0)-MATCH($C$2,quests!$1:$1,0)+1,FALSE)</f>
        <v>0</v>
      </c>
      <c r="Y202" s="47">
        <f ca="1">VLOOKUP($C202,OFFSET(quests!$A$1,0,0,COUNTA(quests!$A:$A),MATCH(Y$2,quests!$1:$1,0)-MATCH($C$2,quests!$1:$1,0)+1),MATCH(Y$2,quests!$1:$1,0)-MATCH($C$2,quests!$1:$1,0)+1,FALSE)</f>
        <v>0</v>
      </c>
      <c r="Z202" s="47">
        <f ca="1">VLOOKUP($C202,OFFSET(quests!$A$1,0,0,COUNTA(quests!$A:$A),MATCH(Z$2,quests!$1:$1,0)-MATCH($C$2,quests!$1:$1,0)+1),MATCH(Z$2,quests!$1:$1,0)-MATCH($C$2,quests!$1:$1,0)+1,FALSE)</f>
        <v>0</v>
      </c>
      <c r="AA202" s="47">
        <f ca="1">VLOOKUP($C202,OFFSET(quests!$A$1,0,0,COUNTA(quests!$A:$A),MATCH(AA$2,quests!$1:$1,0)-MATCH($C$2,quests!$1:$1,0)+1),MATCH(AA$2,quests!$1:$1,0)-MATCH($C$2,quests!$1:$1,0)+1,FALSE)</f>
        <v>0</v>
      </c>
      <c r="AB202" s="7" t="s">
        <v>56</v>
      </c>
      <c r="AC202" s="7">
        <v>102</v>
      </c>
      <c r="AD202" s="7">
        <v>6</v>
      </c>
      <c r="AE202" s="7" t="s">
        <v>519</v>
      </c>
      <c r="AF202" s="7">
        <v>14</v>
      </c>
      <c r="AG202" s="7">
        <v>0</v>
      </c>
      <c r="AH202" s="7">
        <v>0</v>
      </c>
      <c r="AI202" s="7">
        <v>-1</v>
      </c>
      <c r="AJ202" s="7">
        <v>-1</v>
      </c>
      <c r="AK202" s="7" t="s">
        <v>1064</v>
      </c>
      <c r="AL202" s="12" t="s">
        <v>1695</v>
      </c>
      <c r="AM202" s="12" t="s">
        <v>2072</v>
      </c>
    </row>
    <row r="203" spans="1:39" ht="21" customHeight="1" x14ac:dyDescent="0.15">
      <c r="A203" s="42" t="str">
        <f t="shared" si="7"/>
        <v>11002_3</v>
      </c>
      <c r="B203" s="204">
        <v>0</v>
      </c>
      <c r="C203" s="17">
        <v>11002</v>
      </c>
      <c r="D203" s="47" t="str">
        <f ca="1">VLOOKUP($C203,OFFSET(quests!$A$1,0,0,COUNTA(quests!$A:$A),MATCH(D$1,quests!$1:$1,0)-MATCH($C$2,quests!$1:$1,0)+1),MATCH(D$1,quests!$1:$1,0)-MATCH($C$2,quests!$1:$1,0)+1,FALSE)</f>
        <v>【火曜限定】 赤の素材</v>
      </c>
      <c r="E203" s="48" t="str">
        <f ca="1">VLOOKUP($C203,OFFSET(quests!$A$1,0,0,COUNTA(quests!$A:$A),MATCH(E$2,quests!$1:$1,0)-MATCH($C$2,quests!$1:$1,0)+1),MATCH(E$2,quests!$1:$1,0)-MATCH($C$2,quests!$1:$1,0)+1,FALSE)</f>
        <v>火曜クエスト</v>
      </c>
      <c r="F203" s="7">
        <v>3</v>
      </c>
      <c r="G203" s="7" t="s">
        <v>570</v>
      </c>
      <c r="H203" s="12" t="s">
        <v>674</v>
      </c>
      <c r="I203" s="12" t="s">
        <v>60</v>
      </c>
      <c r="J203" s="12">
        <v>103</v>
      </c>
      <c r="K203" s="167">
        <v>20</v>
      </c>
      <c r="L203" s="167">
        <v>860</v>
      </c>
      <c r="M203" s="167">
        <v>1</v>
      </c>
      <c r="N203" s="167">
        <v>1</v>
      </c>
      <c r="O203" s="167">
        <v>1</v>
      </c>
      <c r="P203" s="167">
        <v>1</v>
      </c>
      <c r="Q203" s="167">
        <v>1</v>
      </c>
      <c r="R203" s="167">
        <v>3</v>
      </c>
      <c r="S203" s="167" t="s">
        <v>79</v>
      </c>
      <c r="T203" s="167">
        <v>0</v>
      </c>
      <c r="U203" s="7" t="s">
        <v>169</v>
      </c>
      <c r="V203" s="7" t="s">
        <v>169</v>
      </c>
      <c r="W203" s="47" t="str">
        <f t="shared" ca="1" si="8"/>
        <v/>
      </c>
      <c r="X203" s="47">
        <f ca="1">VLOOKUP($C203,OFFSET(quests!$A$1,0,0,COUNTA(quests!$A:$A),MATCH(X$2,quests!$1:$1,0)-MATCH($C$2,quests!$1:$1,0)+1),MATCH(X$2,quests!$1:$1,0)-MATCH($C$2,quests!$1:$1,0)+1,FALSE)</f>
        <v>0</v>
      </c>
      <c r="Y203" s="47">
        <f ca="1">VLOOKUP($C203,OFFSET(quests!$A$1,0,0,COUNTA(quests!$A:$A),MATCH(Y$2,quests!$1:$1,0)-MATCH($C$2,quests!$1:$1,0)+1),MATCH(Y$2,quests!$1:$1,0)-MATCH($C$2,quests!$1:$1,0)+1,FALSE)</f>
        <v>0</v>
      </c>
      <c r="Z203" s="47">
        <f ca="1">VLOOKUP($C203,OFFSET(quests!$A$1,0,0,COUNTA(quests!$A:$A),MATCH(Z$2,quests!$1:$1,0)-MATCH($C$2,quests!$1:$1,0)+1),MATCH(Z$2,quests!$1:$1,0)-MATCH($C$2,quests!$1:$1,0)+1,FALSE)</f>
        <v>0</v>
      </c>
      <c r="AA203" s="47">
        <f ca="1">VLOOKUP($C203,OFFSET(quests!$A$1,0,0,COUNTA(quests!$A:$A),MATCH(AA$2,quests!$1:$1,0)-MATCH($C$2,quests!$1:$1,0)+1),MATCH(AA$2,quests!$1:$1,0)-MATCH($C$2,quests!$1:$1,0)+1,FALSE)</f>
        <v>0</v>
      </c>
      <c r="AB203" s="7" t="s">
        <v>56</v>
      </c>
      <c r="AC203" s="7">
        <v>102</v>
      </c>
      <c r="AD203" s="7">
        <v>6</v>
      </c>
      <c r="AE203" s="7" t="s">
        <v>519</v>
      </c>
      <c r="AF203" s="7">
        <v>14</v>
      </c>
      <c r="AG203" s="7">
        <v>0</v>
      </c>
      <c r="AH203" s="7">
        <v>0</v>
      </c>
      <c r="AI203" s="7">
        <v>-1</v>
      </c>
      <c r="AJ203" s="7">
        <v>-1</v>
      </c>
      <c r="AK203" s="7" t="s">
        <v>1064</v>
      </c>
      <c r="AL203" s="12" t="s">
        <v>1695</v>
      </c>
      <c r="AM203" s="12" t="s">
        <v>2072</v>
      </c>
    </row>
    <row r="204" spans="1:39" ht="21" customHeight="1" x14ac:dyDescent="0.15">
      <c r="A204" s="42" t="str">
        <f t="shared" si="7"/>
        <v>11002_4</v>
      </c>
      <c r="B204" s="23">
        <v>3</v>
      </c>
      <c r="C204" s="17">
        <v>11002</v>
      </c>
      <c r="D204" s="47" t="str">
        <f ca="1">VLOOKUP($C204,OFFSET(quests!$A$1,0,0,COUNTA(quests!$A:$A),MATCH(D$1,quests!$1:$1,0)-MATCH($C$2,quests!$1:$1,0)+1),MATCH(D$1,quests!$1:$1,0)-MATCH($C$2,quests!$1:$1,0)+1,FALSE)</f>
        <v>【火曜限定】 赤の素材</v>
      </c>
      <c r="E204" s="48" t="str">
        <f ca="1">VLOOKUP($C204,OFFSET(quests!$A$1,0,0,COUNTA(quests!$A:$A),MATCH(E$2,quests!$1:$1,0)-MATCH($C$2,quests!$1:$1,0)+1),MATCH(E$2,quests!$1:$1,0)-MATCH($C$2,quests!$1:$1,0)+1,FALSE)</f>
        <v>火曜クエスト</v>
      </c>
      <c r="F204" s="7">
        <v>4</v>
      </c>
      <c r="G204" s="7" t="s">
        <v>570</v>
      </c>
      <c r="H204" s="12" t="s">
        <v>674</v>
      </c>
      <c r="I204" s="12" t="s">
        <v>60</v>
      </c>
      <c r="J204" s="12">
        <v>103</v>
      </c>
      <c r="K204" s="167">
        <v>20</v>
      </c>
      <c r="L204" s="167">
        <v>860</v>
      </c>
      <c r="M204" s="167">
        <v>1</v>
      </c>
      <c r="N204" s="167">
        <v>1</v>
      </c>
      <c r="O204" s="167">
        <v>1</v>
      </c>
      <c r="P204" s="167">
        <v>1</v>
      </c>
      <c r="Q204" s="167">
        <v>1</v>
      </c>
      <c r="R204" s="167">
        <v>3</v>
      </c>
      <c r="S204" s="167" t="s">
        <v>79</v>
      </c>
      <c r="T204" s="167">
        <v>0</v>
      </c>
      <c r="U204" s="7" t="s">
        <v>169</v>
      </c>
      <c r="V204" s="7" t="s">
        <v>169</v>
      </c>
      <c r="W204" s="47" t="str">
        <f t="shared" ca="1" si="8"/>
        <v/>
      </c>
      <c r="X204" s="47">
        <f ca="1">VLOOKUP($C204,OFFSET(quests!$A$1,0,0,COUNTA(quests!$A:$A),MATCH(X$2,quests!$1:$1,0)-MATCH($C$2,quests!$1:$1,0)+1),MATCH(X$2,quests!$1:$1,0)-MATCH($C$2,quests!$1:$1,0)+1,FALSE)</f>
        <v>0</v>
      </c>
      <c r="Y204" s="47">
        <f ca="1">VLOOKUP($C204,OFFSET(quests!$A$1,0,0,COUNTA(quests!$A:$A),MATCH(Y$2,quests!$1:$1,0)-MATCH($C$2,quests!$1:$1,0)+1),MATCH(Y$2,quests!$1:$1,0)-MATCH($C$2,quests!$1:$1,0)+1,FALSE)</f>
        <v>0</v>
      </c>
      <c r="Z204" s="47">
        <f ca="1">VLOOKUP($C204,OFFSET(quests!$A$1,0,0,COUNTA(quests!$A:$A),MATCH(Z$2,quests!$1:$1,0)-MATCH($C$2,quests!$1:$1,0)+1),MATCH(Z$2,quests!$1:$1,0)-MATCH($C$2,quests!$1:$1,0)+1,FALSE)</f>
        <v>0</v>
      </c>
      <c r="AA204" s="47">
        <f ca="1">VLOOKUP($C204,OFFSET(quests!$A$1,0,0,COUNTA(quests!$A:$A),MATCH(AA$2,quests!$1:$1,0)-MATCH($C$2,quests!$1:$1,0)+1),MATCH(AA$2,quests!$1:$1,0)-MATCH($C$2,quests!$1:$1,0)+1,FALSE)</f>
        <v>0</v>
      </c>
      <c r="AB204" s="7" t="s">
        <v>56</v>
      </c>
      <c r="AC204" s="7">
        <v>102</v>
      </c>
      <c r="AD204" s="7">
        <v>6</v>
      </c>
      <c r="AE204" s="7" t="s">
        <v>519</v>
      </c>
      <c r="AF204" s="7">
        <v>14</v>
      </c>
      <c r="AG204" s="7">
        <v>0</v>
      </c>
      <c r="AH204" s="7">
        <v>0</v>
      </c>
      <c r="AI204" s="7">
        <v>-1</v>
      </c>
      <c r="AJ204" s="7">
        <v>-1</v>
      </c>
      <c r="AK204" s="7" t="s">
        <v>1064</v>
      </c>
      <c r="AL204" s="12" t="s">
        <v>1695</v>
      </c>
      <c r="AM204" s="12" t="s">
        <v>2072</v>
      </c>
    </row>
    <row r="205" spans="1:39" ht="21" customHeight="1" x14ac:dyDescent="0.15">
      <c r="A205" s="42" t="str">
        <f t="shared" si="7"/>
        <v>11002_10</v>
      </c>
      <c r="B205" s="23">
        <v>3</v>
      </c>
      <c r="C205" s="172">
        <v>11002</v>
      </c>
      <c r="D205" s="47" t="str">
        <f ca="1">VLOOKUP($C205,OFFSET(quests!$A$1,0,0,COUNTA(quests!$A:$A),MATCH(D$1,quests!$1:$1,0)-MATCH($C$2,quests!$1:$1,0)+1),MATCH(D$1,quests!$1:$1,0)-MATCH($C$2,quests!$1:$1,0)+1,FALSE)</f>
        <v>【火曜限定】 赤の素材</v>
      </c>
      <c r="E205" s="48" t="str">
        <f ca="1">VLOOKUP($C205,OFFSET(quests!$A$1,0,0,COUNTA(quests!$A:$A),MATCH(E$2,quests!$1:$1,0)-MATCH($C$2,quests!$1:$1,0)+1),MATCH(E$2,quests!$1:$1,0)-MATCH($C$2,quests!$1:$1,0)+1,FALSE)</f>
        <v>火曜クエスト</v>
      </c>
      <c r="F205" s="7">
        <v>10</v>
      </c>
      <c r="G205" s="7" t="s">
        <v>382</v>
      </c>
      <c r="H205" s="23" t="s">
        <v>1131</v>
      </c>
      <c r="I205" s="12" t="s">
        <v>1113</v>
      </c>
      <c r="J205" s="12">
        <v>356</v>
      </c>
      <c r="K205" s="167">
        <v>35</v>
      </c>
      <c r="L205" s="167">
        <v>2240</v>
      </c>
      <c r="M205" s="167">
        <v>1</v>
      </c>
      <c r="N205" s="167">
        <v>1</v>
      </c>
      <c r="O205" s="167">
        <v>1</v>
      </c>
      <c r="P205" s="167">
        <v>1</v>
      </c>
      <c r="Q205" s="185">
        <v>1</v>
      </c>
      <c r="R205" s="167">
        <v>3</v>
      </c>
      <c r="S205" s="167" t="s">
        <v>79</v>
      </c>
      <c r="T205" s="167">
        <v>0</v>
      </c>
      <c r="U205" s="7" t="s">
        <v>169</v>
      </c>
      <c r="V205" s="7" t="s">
        <v>169</v>
      </c>
      <c r="W205" s="47" t="str">
        <f t="shared" ca="1" si="8"/>
        <v/>
      </c>
      <c r="X205" s="47">
        <f ca="1">VLOOKUP($C205,OFFSET(quests!$A$1,0,0,COUNTA(quests!$A:$A),MATCH(X$2,quests!$1:$1,0)-MATCH($C$2,quests!$1:$1,0)+1),MATCH(X$2,quests!$1:$1,0)-MATCH($C$2,quests!$1:$1,0)+1,FALSE)</f>
        <v>0</v>
      </c>
      <c r="Y205" s="47">
        <f ca="1">VLOOKUP($C205,OFFSET(quests!$A$1,0,0,COUNTA(quests!$A:$A),MATCH(Y$2,quests!$1:$1,0)-MATCH($C$2,quests!$1:$1,0)+1),MATCH(Y$2,quests!$1:$1,0)-MATCH($C$2,quests!$1:$1,0)+1,FALSE)</f>
        <v>0</v>
      </c>
      <c r="Z205" s="47">
        <f ca="1">VLOOKUP($C205,OFFSET(quests!$A$1,0,0,COUNTA(quests!$A:$A),MATCH(Z$2,quests!$1:$1,0)-MATCH($C$2,quests!$1:$1,0)+1),MATCH(Z$2,quests!$1:$1,0)-MATCH($C$2,quests!$1:$1,0)+1,FALSE)</f>
        <v>0</v>
      </c>
      <c r="AA205" s="47">
        <f ca="1">VLOOKUP($C205,OFFSET(quests!$A$1,0,0,COUNTA(quests!$A:$A),MATCH(AA$2,quests!$1:$1,0)-MATCH($C$2,quests!$1:$1,0)+1),MATCH(AA$2,quests!$1:$1,0)-MATCH($C$2,quests!$1:$1,0)+1,FALSE)</f>
        <v>0</v>
      </c>
      <c r="AB205" s="159" t="s">
        <v>56</v>
      </c>
      <c r="AC205" s="7">
        <v>102</v>
      </c>
      <c r="AD205" s="7">
        <v>6</v>
      </c>
      <c r="AE205" s="7" t="s">
        <v>519</v>
      </c>
      <c r="AF205" s="7">
        <v>14</v>
      </c>
      <c r="AG205" s="7">
        <v>0</v>
      </c>
      <c r="AH205" s="7">
        <v>0</v>
      </c>
      <c r="AI205" s="7">
        <v>-1</v>
      </c>
      <c r="AJ205" s="7">
        <v>-1</v>
      </c>
      <c r="AK205" s="7" t="s">
        <v>1064</v>
      </c>
      <c r="AL205" s="12" t="s">
        <v>1695</v>
      </c>
      <c r="AM205" s="12" t="s">
        <v>2072</v>
      </c>
    </row>
    <row r="206" spans="1:39" ht="21" customHeight="1" x14ac:dyDescent="0.15">
      <c r="A206" s="42" t="str">
        <f t="shared" si="7"/>
        <v>11003_1</v>
      </c>
      <c r="B206" s="23">
        <v>3</v>
      </c>
      <c r="C206" s="17">
        <v>11003</v>
      </c>
      <c r="D206" s="47" t="str">
        <f ca="1">VLOOKUP($C206,OFFSET(quests!$A$1,0,0,COUNTA(quests!$A:$A),MATCH(D$1,quests!$1:$1,0)-MATCH($C$2,quests!$1:$1,0)+1),MATCH(D$1,quests!$1:$1,0)-MATCH($C$2,quests!$1:$1,0)+1,FALSE)</f>
        <v>【水曜限定】 青の素材</v>
      </c>
      <c r="E206" s="48" t="str">
        <f ca="1">VLOOKUP($C206,OFFSET(quests!$A$1,0,0,COUNTA(quests!$A:$A),MATCH(E$2,quests!$1:$1,0)-MATCH($C$2,quests!$1:$1,0)+1),MATCH(E$2,quests!$1:$1,0)-MATCH($C$2,quests!$1:$1,0)+1,FALSE)</f>
        <v>水曜クエスト</v>
      </c>
      <c r="F206" s="7">
        <v>1</v>
      </c>
      <c r="G206" s="7" t="s">
        <v>570</v>
      </c>
      <c r="H206" s="12" t="s">
        <v>675</v>
      </c>
      <c r="I206" s="12" t="s">
        <v>58</v>
      </c>
      <c r="J206" s="12">
        <v>109</v>
      </c>
      <c r="K206" s="167">
        <v>8</v>
      </c>
      <c r="L206" s="167">
        <v>240</v>
      </c>
      <c r="M206" s="167">
        <v>1</v>
      </c>
      <c r="N206" s="167">
        <v>1</v>
      </c>
      <c r="O206" s="167">
        <v>1</v>
      </c>
      <c r="P206" s="167">
        <v>1</v>
      </c>
      <c r="Q206" s="167">
        <v>1</v>
      </c>
      <c r="R206" s="167">
        <v>3</v>
      </c>
      <c r="S206" s="167" t="s">
        <v>79</v>
      </c>
      <c r="T206" s="167">
        <v>0</v>
      </c>
      <c r="U206" s="7" t="s">
        <v>169</v>
      </c>
      <c r="V206" s="7" t="s">
        <v>169</v>
      </c>
      <c r="W206" s="47" t="str">
        <f t="shared" ca="1" si="8"/>
        <v/>
      </c>
      <c r="X206" s="47">
        <f ca="1">VLOOKUP($C206,OFFSET(quests!$A$1,0,0,COUNTA(quests!$A:$A),MATCH(X$2,quests!$1:$1,0)-MATCH($C$2,quests!$1:$1,0)+1),MATCH(X$2,quests!$1:$1,0)-MATCH($C$2,quests!$1:$1,0)+1,FALSE)</f>
        <v>0</v>
      </c>
      <c r="Y206" s="47">
        <f ca="1">VLOOKUP($C206,OFFSET(quests!$A$1,0,0,COUNTA(quests!$A:$A),MATCH(Y$2,quests!$1:$1,0)-MATCH($C$2,quests!$1:$1,0)+1),MATCH(Y$2,quests!$1:$1,0)-MATCH($C$2,quests!$1:$1,0)+1,FALSE)</f>
        <v>0</v>
      </c>
      <c r="Z206" s="47">
        <f ca="1">VLOOKUP($C206,OFFSET(quests!$A$1,0,0,COUNTA(quests!$A:$A),MATCH(Z$2,quests!$1:$1,0)-MATCH($C$2,quests!$1:$1,0)+1),MATCH(Z$2,quests!$1:$1,0)-MATCH($C$2,quests!$1:$1,0)+1,FALSE)</f>
        <v>0</v>
      </c>
      <c r="AA206" s="47">
        <f ca="1">VLOOKUP($C206,OFFSET(quests!$A$1,0,0,COUNTA(quests!$A:$A),MATCH(AA$2,quests!$1:$1,0)-MATCH($C$2,quests!$1:$1,0)+1),MATCH(AA$2,quests!$1:$1,0)-MATCH($C$2,quests!$1:$1,0)+1,FALSE)</f>
        <v>0</v>
      </c>
      <c r="AB206" s="7" t="s">
        <v>56</v>
      </c>
      <c r="AC206" s="7">
        <v>103</v>
      </c>
      <c r="AD206" s="7">
        <v>6</v>
      </c>
      <c r="AE206" s="7" t="s">
        <v>519</v>
      </c>
      <c r="AF206" s="7">
        <v>14</v>
      </c>
      <c r="AG206" s="7">
        <v>0</v>
      </c>
      <c r="AH206" s="7">
        <v>0</v>
      </c>
      <c r="AI206" s="7">
        <v>-1</v>
      </c>
      <c r="AJ206" s="7">
        <v>-1</v>
      </c>
      <c r="AK206" s="7" t="s">
        <v>1064</v>
      </c>
      <c r="AL206" s="12" t="s">
        <v>1695</v>
      </c>
      <c r="AM206" s="12" t="s">
        <v>2072</v>
      </c>
    </row>
    <row r="207" spans="1:39" ht="21" customHeight="1" x14ac:dyDescent="0.15">
      <c r="A207" s="42" t="str">
        <f t="shared" si="7"/>
        <v>11003_2</v>
      </c>
      <c r="B207" s="23">
        <v>3</v>
      </c>
      <c r="C207" s="17">
        <v>11003</v>
      </c>
      <c r="D207" s="47" t="str">
        <f ca="1">VLOOKUP($C207,OFFSET(quests!$A$1,0,0,COUNTA(quests!$A:$A),MATCH(D$1,quests!$1:$1,0)-MATCH($C$2,quests!$1:$1,0)+1),MATCH(D$1,quests!$1:$1,0)-MATCH($C$2,quests!$1:$1,0)+1,FALSE)</f>
        <v>【水曜限定】 青の素材</v>
      </c>
      <c r="E207" s="48" t="str">
        <f ca="1">VLOOKUP($C207,OFFSET(quests!$A$1,0,0,COUNTA(quests!$A:$A),MATCH(E$2,quests!$1:$1,0)-MATCH($C$2,quests!$1:$1,0)+1),MATCH(E$2,quests!$1:$1,0)-MATCH($C$2,quests!$1:$1,0)+1,FALSE)</f>
        <v>水曜クエスト</v>
      </c>
      <c r="F207" s="7">
        <v>2</v>
      </c>
      <c r="G207" s="7" t="s">
        <v>570</v>
      </c>
      <c r="H207" s="12" t="s">
        <v>676</v>
      </c>
      <c r="I207" s="12" t="s">
        <v>59</v>
      </c>
      <c r="J207" s="12">
        <v>110</v>
      </c>
      <c r="K207" s="167">
        <v>15</v>
      </c>
      <c r="L207" s="167">
        <v>525</v>
      </c>
      <c r="M207" s="167">
        <v>1</v>
      </c>
      <c r="N207" s="167">
        <v>1</v>
      </c>
      <c r="O207" s="167">
        <v>1</v>
      </c>
      <c r="P207" s="167">
        <v>1</v>
      </c>
      <c r="Q207" s="167">
        <v>1</v>
      </c>
      <c r="R207" s="167">
        <v>3</v>
      </c>
      <c r="S207" s="167" t="s">
        <v>79</v>
      </c>
      <c r="T207" s="167">
        <v>0</v>
      </c>
      <c r="U207" s="7" t="s">
        <v>169</v>
      </c>
      <c r="V207" s="7" t="s">
        <v>169</v>
      </c>
      <c r="W207" s="47" t="str">
        <f t="shared" ca="1" si="8"/>
        <v/>
      </c>
      <c r="X207" s="47">
        <f ca="1">VLOOKUP($C207,OFFSET(quests!$A$1,0,0,COUNTA(quests!$A:$A),MATCH(X$2,quests!$1:$1,0)-MATCH($C$2,quests!$1:$1,0)+1),MATCH(X$2,quests!$1:$1,0)-MATCH($C$2,quests!$1:$1,0)+1,FALSE)</f>
        <v>0</v>
      </c>
      <c r="Y207" s="47">
        <f ca="1">VLOOKUP($C207,OFFSET(quests!$A$1,0,0,COUNTA(quests!$A:$A),MATCH(Y$2,quests!$1:$1,0)-MATCH($C$2,quests!$1:$1,0)+1),MATCH(Y$2,quests!$1:$1,0)-MATCH($C$2,quests!$1:$1,0)+1,FALSE)</f>
        <v>0</v>
      </c>
      <c r="Z207" s="47">
        <f ca="1">VLOOKUP($C207,OFFSET(quests!$A$1,0,0,COUNTA(quests!$A:$A),MATCH(Z$2,quests!$1:$1,0)-MATCH($C$2,quests!$1:$1,0)+1),MATCH(Z$2,quests!$1:$1,0)-MATCH($C$2,quests!$1:$1,0)+1,FALSE)</f>
        <v>0</v>
      </c>
      <c r="AA207" s="47">
        <f ca="1">VLOOKUP($C207,OFFSET(quests!$A$1,0,0,COUNTA(quests!$A:$A),MATCH(AA$2,quests!$1:$1,0)-MATCH($C$2,quests!$1:$1,0)+1),MATCH(AA$2,quests!$1:$1,0)-MATCH($C$2,quests!$1:$1,0)+1,FALSE)</f>
        <v>0</v>
      </c>
      <c r="AB207" s="7" t="s">
        <v>56</v>
      </c>
      <c r="AC207" s="7">
        <v>103</v>
      </c>
      <c r="AD207" s="7">
        <v>6</v>
      </c>
      <c r="AE207" s="7" t="s">
        <v>519</v>
      </c>
      <c r="AF207" s="7">
        <v>14</v>
      </c>
      <c r="AG207" s="7">
        <v>0</v>
      </c>
      <c r="AH207" s="7">
        <v>0</v>
      </c>
      <c r="AI207" s="7">
        <v>-1</v>
      </c>
      <c r="AJ207" s="7">
        <v>-1</v>
      </c>
      <c r="AK207" s="7" t="s">
        <v>1064</v>
      </c>
      <c r="AL207" s="12" t="s">
        <v>1695</v>
      </c>
      <c r="AM207" s="12" t="s">
        <v>2072</v>
      </c>
    </row>
    <row r="208" spans="1:39" ht="21" customHeight="1" x14ac:dyDescent="0.15">
      <c r="A208" s="42" t="str">
        <f t="shared" si="7"/>
        <v>11003_3</v>
      </c>
      <c r="B208" s="204">
        <v>0</v>
      </c>
      <c r="C208" s="17">
        <v>11003</v>
      </c>
      <c r="D208" s="47" t="str">
        <f ca="1">VLOOKUP($C208,OFFSET(quests!$A$1,0,0,COUNTA(quests!$A:$A),MATCH(D$1,quests!$1:$1,0)-MATCH($C$2,quests!$1:$1,0)+1),MATCH(D$1,quests!$1:$1,0)-MATCH($C$2,quests!$1:$1,0)+1,FALSE)</f>
        <v>【水曜限定】 青の素材</v>
      </c>
      <c r="E208" s="48" t="str">
        <f ca="1">VLOOKUP($C208,OFFSET(quests!$A$1,0,0,COUNTA(quests!$A:$A),MATCH(E$2,quests!$1:$1,0)-MATCH($C$2,quests!$1:$1,0)+1),MATCH(E$2,quests!$1:$1,0)-MATCH($C$2,quests!$1:$1,0)+1,FALSE)</f>
        <v>水曜クエスト</v>
      </c>
      <c r="F208" s="7">
        <v>3</v>
      </c>
      <c r="G208" s="7" t="s">
        <v>570</v>
      </c>
      <c r="H208" s="12" t="s">
        <v>677</v>
      </c>
      <c r="I208" s="12" t="s">
        <v>60</v>
      </c>
      <c r="J208" s="12">
        <v>111</v>
      </c>
      <c r="K208" s="167">
        <v>20</v>
      </c>
      <c r="L208" s="167">
        <v>860</v>
      </c>
      <c r="M208" s="167">
        <v>1</v>
      </c>
      <c r="N208" s="167">
        <v>1</v>
      </c>
      <c r="O208" s="167">
        <v>1</v>
      </c>
      <c r="P208" s="167">
        <v>1</v>
      </c>
      <c r="Q208" s="167">
        <v>1</v>
      </c>
      <c r="R208" s="167">
        <v>3</v>
      </c>
      <c r="S208" s="167" t="s">
        <v>79</v>
      </c>
      <c r="T208" s="167">
        <v>0</v>
      </c>
      <c r="U208" s="7" t="s">
        <v>169</v>
      </c>
      <c r="V208" s="7" t="s">
        <v>169</v>
      </c>
      <c r="W208" s="47" t="str">
        <f t="shared" ca="1" si="8"/>
        <v/>
      </c>
      <c r="X208" s="47">
        <f ca="1">VLOOKUP($C208,OFFSET(quests!$A$1,0,0,COUNTA(quests!$A:$A),MATCH(X$2,quests!$1:$1,0)-MATCH($C$2,quests!$1:$1,0)+1),MATCH(X$2,quests!$1:$1,0)-MATCH($C$2,quests!$1:$1,0)+1,FALSE)</f>
        <v>0</v>
      </c>
      <c r="Y208" s="47">
        <f ca="1">VLOOKUP($C208,OFFSET(quests!$A$1,0,0,COUNTA(quests!$A:$A),MATCH(Y$2,quests!$1:$1,0)-MATCH($C$2,quests!$1:$1,0)+1),MATCH(Y$2,quests!$1:$1,0)-MATCH($C$2,quests!$1:$1,0)+1,FALSE)</f>
        <v>0</v>
      </c>
      <c r="Z208" s="47">
        <f ca="1">VLOOKUP($C208,OFFSET(quests!$A$1,0,0,COUNTA(quests!$A:$A),MATCH(Z$2,quests!$1:$1,0)-MATCH($C$2,quests!$1:$1,0)+1),MATCH(Z$2,quests!$1:$1,0)-MATCH($C$2,quests!$1:$1,0)+1,FALSE)</f>
        <v>0</v>
      </c>
      <c r="AA208" s="47">
        <f ca="1">VLOOKUP($C208,OFFSET(quests!$A$1,0,0,COUNTA(quests!$A:$A),MATCH(AA$2,quests!$1:$1,0)-MATCH($C$2,quests!$1:$1,0)+1),MATCH(AA$2,quests!$1:$1,0)-MATCH($C$2,quests!$1:$1,0)+1,FALSE)</f>
        <v>0</v>
      </c>
      <c r="AB208" s="7" t="s">
        <v>56</v>
      </c>
      <c r="AC208" s="7">
        <v>103</v>
      </c>
      <c r="AD208" s="7">
        <v>6</v>
      </c>
      <c r="AE208" s="7" t="s">
        <v>519</v>
      </c>
      <c r="AF208" s="7">
        <v>14</v>
      </c>
      <c r="AG208" s="7">
        <v>0</v>
      </c>
      <c r="AH208" s="7">
        <v>0</v>
      </c>
      <c r="AI208" s="7">
        <v>-1</v>
      </c>
      <c r="AJ208" s="7">
        <v>-1</v>
      </c>
      <c r="AK208" s="7" t="s">
        <v>1064</v>
      </c>
      <c r="AL208" s="12" t="s">
        <v>1695</v>
      </c>
      <c r="AM208" s="12" t="s">
        <v>2072</v>
      </c>
    </row>
    <row r="209" spans="1:39" ht="21" customHeight="1" x14ac:dyDescent="0.15">
      <c r="A209" s="42" t="str">
        <f t="shared" si="7"/>
        <v>11003_4</v>
      </c>
      <c r="B209" s="23">
        <v>3</v>
      </c>
      <c r="C209" s="17">
        <v>11003</v>
      </c>
      <c r="D209" s="47" t="str">
        <f ca="1">VLOOKUP($C209,OFFSET(quests!$A$1,0,0,COUNTA(quests!$A:$A),MATCH(D$1,quests!$1:$1,0)-MATCH($C$2,quests!$1:$1,0)+1),MATCH(D$1,quests!$1:$1,0)-MATCH($C$2,quests!$1:$1,0)+1,FALSE)</f>
        <v>【水曜限定】 青の素材</v>
      </c>
      <c r="E209" s="48" t="str">
        <f ca="1">VLOOKUP($C209,OFFSET(quests!$A$1,0,0,COUNTA(quests!$A:$A),MATCH(E$2,quests!$1:$1,0)-MATCH($C$2,quests!$1:$1,0)+1),MATCH(E$2,quests!$1:$1,0)-MATCH($C$2,quests!$1:$1,0)+1,FALSE)</f>
        <v>水曜クエスト</v>
      </c>
      <c r="F209" s="7">
        <v>4</v>
      </c>
      <c r="G209" s="7" t="s">
        <v>570</v>
      </c>
      <c r="H209" s="12" t="s">
        <v>677</v>
      </c>
      <c r="I209" s="12" t="s">
        <v>60</v>
      </c>
      <c r="J209" s="12">
        <v>111</v>
      </c>
      <c r="K209" s="167">
        <v>20</v>
      </c>
      <c r="L209" s="167">
        <v>860</v>
      </c>
      <c r="M209" s="167">
        <v>1</v>
      </c>
      <c r="N209" s="167">
        <v>1</v>
      </c>
      <c r="O209" s="167">
        <v>1</v>
      </c>
      <c r="P209" s="167">
        <v>1</v>
      </c>
      <c r="Q209" s="167">
        <v>1</v>
      </c>
      <c r="R209" s="167">
        <v>3</v>
      </c>
      <c r="S209" s="167" t="s">
        <v>79</v>
      </c>
      <c r="T209" s="167">
        <v>0</v>
      </c>
      <c r="U209" s="7" t="s">
        <v>169</v>
      </c>
      <c r="V209" s="7" t="s">
        <v>169</v>
      </c>
      <c r="W209" s="47" t="str">
        <f t="shared" ca="1" si="8"/>
        <v/>
      </c>
      <c r="X209" s="47">
        <f ca="1">VLOOKUP($C209,OFFSET(quests!$A$1,0,0,COUNTA(quests!$A:$A),MATCH(X$2,quests!$1:$1,0)-MATCH($C$2,quests!$1:$1,0)+1),MATCH(X$2,quests!$1:$1,0)-MATCH($C$2,quests!$1:$1,0)+1,FALSE)</f>
        <v>0</v>
      </c>
      <c r="Y209" s="47">
        <f ca="1">VLOOKUP($C209,OFFSET(quests!$A$1,0,0,COUNTA(quests!$A:$A),MATCH(Y$2,quests!$1:$1,0)-MATCH($C$2,quests!$1:$1,0)+1),MATCH(Y$2,quests!$1:$1,0)-MATCH($C$2,quests!$1:$1,0)+1,FALSE)</f>
        <v>0</v>
      </c>
      <c r="Z209" s="47">
        <f ca="1">VLOOKUP($C209,OFFSET(quests!$A$1,0,0,COUNTA(quests!$A:$A),MATCH(Z$2,quests!$1:$1,0)-MATCH($C$2,quests!$1:$1,0)+1),MATCH(Z$2,quests!$1:$1,0)-MATCH($C$2,quests!$1:$1,0)+1,FALSE)</f>
        <v>0</v>
      </c>
      <c r="AA209" s="47">
        <f ca="1">VLOOKUP($C209,OFFSET(quests!$A$1,0,0,COUNTA(quests!$A:$A),MATCH(AA$2,quests!$1:$1,0)-MATCH($C$2,quests!$1:$1,0)+1),MATCH(AA$2,quests!$1:$1,0)-MATCH($C$2,quests!$1:$1,0)+1,FALSE)</f>
        <v>0</v>
      </c>
      <c r="AB209" s="7" t="s">
        <v>56</v>
      </c>
      <c r="AC209" s="7">
        <v>103</v>
      </c>
      <c r="AD209" s="7">
        <v>6</v>
      </c>
      <c r="AE209" s="7" t="s">
        <v>519</v>
      </c>
      <c r="AF209" s="7">
        <v>14</v>
      </c>
      <c r="AG209" s="7">
        <v>0</v>
      </c>
      <c r="AH209" s="7">
        <v>0</v>
      </c>
      <c r="AI209" s="7">
        <v>-1</v>
      </c>
      <c r="AJ209" s="7">
        <v>-1</v>
      </c>
      <c r="AK209" s="7" t="s">
        <v>1064</v>
      </c>
      <c r="AL209" s="12" t="s">
        <v>1695</v>
      </c>
      <c r="AM209" s="12" t="s">
        <v>2072</v>
      </c>
    </row>
    <row r="210" spans="1:39" ht="21" customHeight="1" x14ac:dyDescent="0.15">
      <c r="A210" s="42" t="str">
        <f t="shared" si="7"/>
        <v>11003_10</v>
      </c>
      <c r="B210" s="23">
        <v>3</v>
      </c>
      <c r="C210" s="17">
        <v>11003</v>
      </c>
      <c r="D210" s="47" t="str">
        <f ca="1">VLOOKUP($C210,OFFSET(quests!$A$1,0,0,COUNTA(quests!$A:$A),MATCH(D$1,quests!$1:$1,0)-MATCH($C$2,quests!$1:$1,0)+1),MATCH(D$1,quests!$1:$1,0)-MATCH($C$2,quests!$1:$1,0)+1,FALSE)</f>
        <v>【水曜限定】 青の素材</v>
      </c>
      <c r="E210" s="48" t="str">
        <f ca="1">VLOOKUP($C210,OFFSET(quests!$A$1,0,0,COUNTA(quests!$A:$A),MATCH(E$2,quests!$1:$1,0)-MATCH($C$2,quests!$1:$1,0)+1),MATCH(E$2,quests!$1:$1,0)-MATCH($C$2,quests!$1:$1,0)+1,FALSE)</f>
        <v>水曜クエスト</v>
      </c>
      <c r="F210" s="7">
        <v>10</v>
      </c>
      <c r="G210" s="7" t="s">
        <v>382</v>
      </c>
      <c r="H210" s="23" t="s">
        <v>1133</v>
      </c>
      <c r="I210" s="12" t="s">
        <v>1113</v>
      </c>
      <c r="J210" s="12">
        <v>358</v>
      </c>
      <c r="K210" s="167">
        <v>35</v>
      </c>
      <c r="L210" s="167">
        <v>2240</v>
      </c>
      <c r="M210" s="167">
        <v>1</v>
      </c>
      <c r="N210" s="167">
        <v>1</v>
      </c>
      <c r="O210" s="167">
        <v>1</v>
      </c>
      <c r="P210" s="167">
        <v>1</v>
      </c>
      <c r="Q210" s="185">
        <v>1</v>
      </c>
      <c r="R210" s="167">
        <v>3</v>
      </c>
      <c r="S210" s="167" t="s">
        <v>79</v>
      </c>
      <c r="T210" s="167">
        <v>0</v>
      </c>
      <c r="U210" s="7" t="s">
        <v>169</v>
      </c>
      <c r="V210" s="7" t="s">
        <v>169</v>
      </c>
      <c r="W210" s="47" t="str">
        <f t="shared" ca="1" si="8"/>
        <v/>
      </c>
      <c r="X210" s="47">
        <f ca="1">VLOOKUP($C210,OFFSET(quests!$A$1,0,0,COUNTA(quests!$A:$A),MATCH(X$2,quests!$1:$1,0)-MATCH($C$2,quests!$1:$1,0)+1),MATCH(X$2,quests!$1:$1,0)-MATCH($C$2,quests!$1:$1,0)+1,FALSE)</f>
        <v>0</v>
      </c>
      <c r="Y210" s="47">
        <f ca="1">VLOOKUP($C210,OFFSET(quests!$A$1,0,0,COUNTA(quests!$A:$A),MATCH(Y$2,quests!$1:$1,0)-MATCH($C$2,quests!$1:$1,0)+1),MATCH(Y$2,quests!$1:$1,0)-MATCH($C$2,quests!$1:$1,0)+1,FALSE)</f>
        <v>0</v>
      </c>
      <c r="Z210" s="47">
        <f ca="1">VLOOKUP($C210,OFFSET(quests!$A$1,0,0,COUNTA(quests!$A:$A),MATCH(Z$2,quests!$1:$1,0)-MATCH($C$2,quests!$1:$1,0)+1),MATCH(Z$2,quests!$1:$1,0)-MATCH($C$2,quests!$1:$1,0)+1,FALSE)</f>
        <v>0</v>
      </c>
      <c r="AA210" s="47">
        <f ca="1">VLOOKUP($C210,OFFSET(quests!$A$1,0,0,COUNTA(quests!$A:$A),MATCH(AA$2,quests!$1:$1,0)-MATCH($C$2,quests!$1:$1,0)+1),MATCH(AA$2,quests!$1:$1,0)-MATCH($C$2,quests!$1:$1,0)+1,FALSE)</f>
        <v>0</v>
      </c>
      <c r="AB210" s="159" t="s">
        <v>56</v>
      </c>
      <c r="AC210" s="7">
        <v>103</v>
      </c>
      <c r="AD210" s="7">
        <v>6</v>
      </c>
      <c r="AE210" s="7" t="s">
        <v>519</v>
      </c>
      <c r="AF210" s="7">
        <v>14</v>
      </c>
      <c r="AG210" s="7">
        <v>0</v>
      </c>
      <c r="AH210" s="7">
        <v>0</v>
      </c>
      <c r="AI210" s="7">
        <v>-1</v>
      </c>
      <c r="AJ210" s="7">
        <v>-1</v>
      </c>
      <c r="AK210" s="7" t="s">
        <v>1064</v>
      </c>
      <c r="AL210" s="12" t="s">
        <v>1695</v>
      </c>
      <c r="AM210" s="12" t="s">
        <v>2072</v>
      </c>
    </row>
    <row r="211" spans="1:39" ht="21" customHeight="1" x14ac:dyDescent="0.15">
      <c r="A211" s="42" t="str">
        <f t="shared" si="7"/>
        <v>11004_1</v>
      </c>
      <c r="B211" s="23">
        <v>3</v>
      </c>
      <c r="C211" s="17">
        <v>11004</v>
      </c>
      <c r="D211" s="47" t="str">
        <f ca="1">VLOOKUP($C211,OFFSET(quests!$A$1,0,0,COUNTA(quests!$A:$A),MATCH(D$1,quests!$1:$1,0)-MATCH($C$2,quests!$1:$1,0)+1),MATCH(D$1,quests!$1:$1,0)-MATCH($C$2,quests!$1:$1,0)+1,FALSE)</f>
        <v>【木曜限定】 緑の素材</v>
      </c>
      <c r="E211" s="48" t="str">
        <f ca="1">VLOOKUP($C211,OFFSET(quests!$A$1,0,0,COUNTA(quests!$A:$A),MATCH(E$2,quests!$1:$1,0)-MATCH($C$2,quests!$1:$1,0)+1),MATCH(E$2,quests!$1:$1,0)-MATCH($C$2,quests!$1:$1,0)+1,FALSE)</f>
        <v>木曜クエスト</v>
      </c>
      <c r="F211" s="7">
        <v>1</v>
      </c>
      <c r="G211" s="7" t="s">
        <v>570</v>
      </c>
      <c r="H211" s="12" t="s">
        <v>678</v>
      </c>
      <c r="I211" s="12" t="s">
        <v>58</v>
      </c>
      <c r="J211" s="12">
        <v>105</v>
      </c>
      <c r="K211" s="167">
        <v>8</v>
      </c>
      <c r="L211" s="167">
        <v>240</v>
      </c>
      <c r="M211" s="167">
        <v>1</v>
      </c>
      <c r="N211" s="167">
        <v>1</v>
      </c>
      <c r="O211" s="167">
        <v>1</v>
      </c>
      <c r="P211" s="167">
        <v>1</v>
      </c>
      <c r="Q211" s="167">
        <v>1</v>
      </c>
      <c r="R211" s="167">
        <v>3</v>
      </c>
      <c r="S211" s="167" t="s">
        <v>79</v>
      </c>
      <c r="T211" s="167">
        <v>0</v>
      </c>
      <c r="U211" s="7" t="s">
        <v>169</v>
      </c>
      <c r="V211" s="7" t="s">
        <v>169</v>
      </c>
      <c r="W211" s="47" t="str">
        <f t="shared" ca="1" si="8"/>
        <v/>
      </c>
      <c r="X211" s="47">
        <f ca="1">VLOOKUP($C211,OFFSET(quests!$A$1,0,0,COUNTA(quests!$A:$A),MATCH(X$2,quests!$1:$1,0)-MATCH($C$2,quests!$1:$1,0)+1),MATCH(X$2,quests!$1:$1,0)-MATCH($C$2,quests!$1:$1,0)+1,FALSE)</f>
        <v>0</v>
      </c>
      <c r="Y211" s="47">
        <f ca="1">VLOOKUP($C211,OFFSET(quests!$A$1,0,0,COUNTA(quests!$A:$A),MATCH(Y$2,quests!$1:$1,0)-MATCH($C$2,quests!$1:$1,0)+1),MATCH(Y$2,quests!$1:$1,0)-MATCH($C$2,quests!$1:$1,0)+1,FALSE)</f>
        <v>0</v>
      </c>
      <c r="Z211" s="47">
        <f ca="1">VLOOKUP($C211,OFFSET(quests!$A$1,0,0,COUNTA(quests!$A:$A),MATCH(Z$2,quests!$1:$1,0)-MATCH($C$2,quests!$1:$1,0)+1),MATCH(Z$2,quests!$1:$1,0)-MATCH($C$2,quests!$1:$1,0)+1,FALSE)</f>
        <v>0</v>
      </c>
      <c r="AA211" s="47">
        <f ca="1">VLOOKUP($C211,OFFSET(quests!$A$1,0,0,COUNTA(quests!$A:$A),MATCH(AA$2,quests!$1:$1,0)-MATCH($C$2,quests!$1:$1,0)+1),MATCH(AA$2,quests!$1:$1,0)-MATCH($C$2,quests!$1:$1,0)+1,FALSE)</f>
        <v>0</v>
      </c>
      <c r="AB211" s="7" t="s">
        <v>56</v>
      </c>
      <c r="AC211" s="7">
        <v>104</v>
      </c>
      <c r="AD211" s="7">
        <v>6</v>
      </c>
      <c r="AE211" s="7" t="s">
        <v>519</v>
      </c>
      <c r="AF211" s="7">
        <v>14</v>
      </c>
      <c r="AG211" s="7">
        <v>0</v>
      </c>
      <c r="AH211" s="7">
        <v>0</v>
      </c>
      <c r="AI211" s="7">
        <v>-1</v>
      </c>
      <c r="AJ211" s="7">
        <v>-1</v>
      </c>
      <c r="AK211" s="7" t="s">
        <v>1064</v>
      </c>
      <c r="AL211" s="12" t="s">
        <v>1695</v>
      </c>
      <c r="AM211" s="12" t="s">
        <v>2072</v>
      </c>
    </row>
    <row r="212" spans="1:39" ht="21" customHeight="1" x14ac:dyDescent="0.15">
      <c r="A212" s="42" t="str">
        <f t="shared" si="7"/>
        <v>11004_2</v>
      </c>
      <c r="B212" s="23">
        <v>3</v>
      </c>
      <c r="C212" s="17">
        <v>11004</v>
      </c>
      <c r="D212" s="47" t="str">
        <f ca="1">VLOOKUP($C212,OFFSET(quests!$A$1,0,0,COUNTA(quests!$A:$A),MATCH(D$1,quests!$1:$1,0)-MATCH($C$2,quests!$1:$1,0)+1),MATCH(D$1,quests!$1:$1,0)-MATCH($C$2,quests!$1:$1,0)+1,FALSE)</f>
        <v>【木曜限定】 緑の素材</v>
      </c>
      <c r="E212" s="48" t="str">
        <f ca="1">VLOOKUP($C212,OFFSET(quests!$A$1,0,0,COUNTA(quests!$A:$A),MATCH(E$2,quests!$1:$1,0)-MATCH($C$2,quests!$1:$1,0)+1),MATCH(E$2,quests!$1:$1,0)-MATCH($C$2,quests!$1:$1,0)+1,FALSE)</f>
        <v>木曜クエスト</v>
      </c>
      <c r="F212" s="7">
        <v>2</v>
      </c>
      <c r="G212" s="7" t="s">
        <v>570</v>
      </c>
      <c r="H212" s="12" t="s">
        <v>679</v>
      </c>
      <c r="I212" s="12" t="s">
        <v>59</v>
      </c>
      <c r="J212" s="12">
        <v>106</v>
      </c>
      <c r="K212" s="167">
        <v>15</v>
      </c>
      <c r="L212" s="167">
        <v>525</v>
      </c>
      <c r="M212" s="167">
        <v>1</v>
      </c>
      <c r="N212" s="167">
        <v>1</v>
      </c>
      <c r="O212" s="167">
        <v>1</v>
      </c>
      <c r="P212" s="167">
        <v>1</v>
      </c>
      <c r="Q212" s="167">
        <v>1</v>
      </c>
      <c r="R212" s="167">
        <v>3</v>
      </c>
      <c r="S212" s="167" t="s">
        <v>79</v>
      </c>
      <c r="T212" s="167">
        <v>0</v>
      </c>
      <c r="U212" s="7" t="s">
        <v>169</v>
      </c>
      <c r="V212" s="7" t="s">
        <v>169</v>
      </c>
      <c r="W212" s="47" t="str">
        <f t="shared" ca="1" si="8"/>
        <v/>
      </c>
      <c r="X212" s="47">
        <f ca="1">VLOOKUP($C212,OFFSET(quests!$A$1,0,0,COUNTA(quests!$A:$A),MATCH(X$2,quests!$1:$1,0)-MATCH($C$2,quests!$1:$1,0)+1),MATCH(X$2,quests!$1:$1,0)-MATCH($C$2,quests!$1:$1,0)+1,FALSE)</f>
        <v>0</v>
      </c>
      <c r="Y212" s="47">
        <f ca="1">VLOOKUP($C212,OFFSET(quests!$A$1,0,0,COUNTA(quests!$A:$A),MATCH(Y$2,quests!$1:$1,0)-MATCH($C$2,quests!$1:$1,0)+1),MATCH(Y$2,quests!$1:$1,0)-MATCH($C$2,quests!$1:$1,0)+1,FALSE)</f>
        <v>0</v>
      </c>
      <c r="Z212" s="47">
        <f ca="1">VLOOKUP($C212,OFFSET(quests!$A$1,0,0,COUNTA(quests!$A:$A),MATCH(Z$2,quests!$1:$1,0)-MATCH($C$2,quests!$1:$1,0)+1),MATCH(Z$2,quests!$1:$1,0)-MATCH($C$2,quests!$1:$1,0)+1,FALSE)</f>
        <v>0</v>
      </c>
      <c r="AA212" s="47">
        <f ca="1">VLOOKUP($C212,OFFSET(quests!$A$1,0,0,COUNTA(quests!$A:$A),MATCH(AA$2,quests!$1:$1,0)-MATCH($C$2,quests!$1:$1,0)+1),MATCH(AA$2,quests!$1:$1,0)-MATCH($C$2,quests!$1:$1,0)+1,FALSE)</f>
        <v>0</v>
      </c>
      <c r="AB212" s="7" t="s">
        <v>56</v>
      </c>
      <c r="AC212" s="7">
        <v>104</v>
      </c>
      <c r="AD212" s="7">
        <v>6</v>
      </c>
      <c r="AE212" s="7" t="s">
        <v>519</v>
      </c>
      <c r="AF212" s="7">
        <v>14</v>
      </c>
      <c r="AG212" s="7">
        <v>0</v>
      </c>
      <c r="AH212" s="7">
        <v>0</v>
      </c>
      <c r="AI212" s="7">
        <v>-1</v>
      </c>
      <c r="AJ212" s="7">
        <v>-1</v>
      </c>
      <c r="AK212" s="7" t="s">
        <v>1064</v>
      </c>
      <c r="AL212" s="12" t="s">
        <v>1695</v>
      </c>
      <c r="AM212" s="12" t="s">
        <v>2072</v>
      </c>
    </row>
    <row r="213" spans="1:39" ht="21" customHeight="1" x14ac:dyDescent="0.15">
      <c r="A213" s="42" t="str">
        <f t="shared" si="7"/>
        <v>11004_3</v>
      </c>
      <c r="B213" s="204">
        <v>0</v>
      </c>
      <c r="C213" s="17">
        <v>11004</v>
      </c>
      <c r="D213" s="47" t="str">
        <f ca="1">VLOOKUP($C213,OFFSET(quests!$A$1,0,0,COUNTA(quests!$A:$A),MATCH(D$1,quests!$1:$1,0)-MATCH($C$2,quests!$1:$1,0)+1),MATCH(D$1,quests!$1:$1,0)-MATCH($C$2,quests!$1:$1,0)+1,FALSE)</f>
        <v>【木曜限定】 緑の素材</v>
      </c>
      <c r="E213" s="48" t="str">
        <f ca="1">VLOOKUP($C213,OFFSET(quests!$A$1,0,0,COUNTA(quests!$A:$A),MATCH(E$2,quests!$1:$1,0)-MATCH($C$2,quests!$1:$1,0)+1),MATCH(E$2,quests!$1:$1,0)-MATCH($C$2,quests!$1:$1,0)+1,FALSE)</f>
        <v>木曜クエスト</v>
      </c>
      <c r="F213" s="7">
        <v>3</v>
      </c>
      <c r="G213" s="7" t="s">
        <v>570</v>
      </c>
      <c r="H213" s="12" t="s">
        <v>680</v>
      </c>
      <c r="I213" s="12" t="s">
        <v>60</v>
      </c>
      <c r="J213" s="12">
        <v>107</v>
      </c>
      <c r="K213" s="167">
        <v>20</v>
      </c>
      <c r="L213" s="167">
        <v>860</v>
      </c>
      <c r="M213" s="167">
        <v>1</v>
      </c>
      <c r="N213" s="167">
        <v>1</v>
      </c>
      <c r="O213" s="167">
        <v>1</v>
      </c>
      <c r="P213" s="167">
        <v>1</v>
      </c>
      <c r="Q213" s="167">
        <v>1</v>
      </c>
      <c r="R213" s="167">
        <v>3</v>
      </c>
      <c r="S213" s="167" t="s">
        <v>79</v>
      </c>
      <c r="T213" s="167">
        <v>0</v>
      </c>
      <c r="U213" s="7" t="s">
        <v>169</v>
      </c>
      <c r="V213" s="7" t="s">
        <v>169</v>
      </c>
      <c r="W213" s="47" t="str">
        <f t="shared" ca="1" si="8"/>
        <v/>
      </c>
      <c r="X213" s="47">
        <f ca="1">VLOOKUP($C213,OFFSET(quests!$A$1,0,0,COUNTA(quests!$A:$A),MATCH(X$2,quests!$1:$1,0)-MATCH($C$2,quests!$1:$1,0)+1),MATCH(X$2,quests!$1:$1,0)-MATCH($C$2,quests!$1:$1,0)+1,FALSE)</f>
        <v>0</v>
      </c>
      <c r="Y213" s="47">
        <f ca="1">VLOOKUP($C213,OFFSET(quests!$A$1,0,0,COUNTA(quests!$A:$A),MATCH(Y$2,quests!$1:$1,0)-MATCH($C$2,quests!$1:$1,0)+1),MATCH(Y$2,quests!$1:$1,0)-MATCH($C$2,quests!$1:$1,0)+1,FALSE)</f>
        <v>0</v>
      </c>
      <c r="Z213" s="47">
        <f ca="1">VLOOKUP($C213,OFFSET(quests!$A$1,0,0,COUNTA(quests!$A:$A),MATCH(Z$2,quests!$1:$1,0)-MATCH($C$2,quests!$1:$1,0)+1),MATCH(Z$2,quests!$1:$1,0)-MATCH($C$2,quests!$1:$1,0)+1,FALSE)</f>
        <v>0</v>
      </c>
      <c r="AA213" s="47">
        <f ca="1">VLOOKUP($C213,OFFSET(quests!$A$1,0,0,COUNTA(quests!$A:$A),MATCH(AA$2,quests!$1:$1,0)-MATCH($C$2,quests!$1:$1,0)+1),MATCH(AA$2,quests!$1:$1,0)-MATCH($C$2,quests!$1:$1,0)+1,FALSE)</f>
        <v>0</v>
      </c>
      <c r="AB213" s="7" t="s">
        <v>56</v>
      </c>
      <c r="AC213" s="7">
        <v>104</v>
      </c>
      <c r="AD213" s="7">
        <v>6</v>
      </c>
      <c r="AE213" s="7" t="s">
        <v>519</v>
      </c>
      <c r="AF213" s="7">
        <v>14</v>
      </c>
      <c r="AG213" s="7">
        <v>0</v>
      </c>
      <c r="AH213" s="7">
        <v>0</v>
      </c>
      <c r="AI213" s="7">
        <v>-1</v>
      </c>
      <c r="AJ213" s="7">
        <v>-1</v>
      </c>
      <c r="AK213" s="7" t="s">
        <v>1064</v>
      </c>
      <c r="AL213" s="12" t="s">
        <v>1695</v>
      </c>
      <c r="AM213" s="12" t="s">
        <v>2072</v>
      </c>
    </row>
    <row r="214" spans="1:39" ht="21" customHeight="1" x14ac:dyDescent="0.15">
      <c r="A214" s="42" t="str">
        <f t="shared" si="7"/>
        <v>11004_4</v>
      </c>
      <c r="B214" s="23">
        <v>3</v>
      </c>
      <c r="C214" s="17">
        <v>11004</v>
      </c>
      <c r="D214" s="47" t="str">
        <f ca="1">VLOOKUP($C214,OFFSET(quests!$A$1,0,0,COUNTA(quests!$A:$A),MATCH(D$1,quests!$1:$1,0)-MATCH($C$2,quests!$1:$1,0)+1),MATCH(D$1,quests!$1:$1,0)-MATCH($C$2,quests!$1:$1,0)+1,FALSE)</f>
        <v>【木曜限定】 緑の素材</v>
      </c>
      <c r="E214" s="48" t="str">
        <f ca="1">VLOOKUP($C214,OFFSET(quests!$A$1,0,0,COUNTA(quests!$A:$A),MATCH(E$2,quests!$1:$1,0)-MATCH($C$2,quests!$1:$1,0)+1),MATCH(E$2,quests!$1:$1,0)-MATCH($C$2,quests!$1:$1,0)+1,FALSE)</f>
        <v>木曜クエスト</v>
      </c>
      <c r="F214" s="7">
        <v>4</v>
      </c>
      <c r="G214" s="7" t="s">
        <v>570</v>
      </c>
      <c r="H214" s="12" t="s">
        <v>680</v>
      </c>
      <c r="I214" s="12" t="s">
        <v>60</v>
      </c>
      <c r="J214" s="12">
        <v>107</v>
      </c>
      <c r="K214" s="167">
        <v>20</v>
      </c>
      <c r="L214" s="167">
        <v>860</v>
      </c>
      <c r="M214" s="167">
        <v>1</v>
      </c>
      <c r="N214" s="167">
        <v>1</v>
      </c>
      <c r="O214" s="167">
        <v>1</v>
      </c>
      <c r="P214" s="167">
        <v>1</v>
      </c>
      <c r="Q214" s="167">
        <v>1</v>
      </c>
      <c r="R214" s="167">
        <v>3</v>
      </c>
      <c r="S214" s="167" t="s">
        <v>79</v>
      </c>
      <c r="T214" s="167">
        <v>0</v>
      </c>
      <c r="U214" s="7" t="s">
        <v>169</v>
      </c>
      <c r="V214" s="7" t="s">
        <v>169</v>
      </c>
      <c r="W214" s="47" t="str">
        <f t="shared" ca="1" si="8"/>
        <v/>
      </c>
      <c r="X214" s="47">
        <f ca="1">VLOOKUP($C214,OFFSET(quests!$A$1,0,0,COUNTA(quests!$A:$A),MATCH(X$2,quests!$1:$1,0)-MATCH($C$2,quests!$1:$1,0)+1),MATCH(X$2,quests!$1:$1,0)-MATCH($C$2,quests!$1:$1,0)+1,FALSE)</f>
        <v>0</v>
      </c>
      <c r="Y214" s="47">
        <f ca="1">VLOOKUP($C214,OFFSET(quests!$A$1,0,0,COUNTA(quests!$A:$A),MATCH(Y$2,quests!$1:$1,0)-MATCH($C$2,quests!$1:$1,0)+1),MATCH(Y$2,quests!$1:$1,0)-MATCH($C$2,quests!$1:$1,0)+1,FALSE)</f>
        <v>0</v>
      </c>
      <c r="Z214" s="47">
        <f ca="1">VLOOKUP($C214,OFFSET(quests!$A$1,0,0,COUNTA(quests!$A:$A),MATCH(Z$2,quests!$1:$1,0)-MATCH($C$2,quests!$1:$1,0)+1),MATCH(Z$2,quests!$1:$1,0)-MATCH($C$2,quests!$1:$1,0)+1,FALSE)</f>
        <v>0</v>
      </c>
      <c r="AA214" s="47">
        <f ca="1">VLOOKUP($C214,OFFSET(quests!$A$1,0,0,COUNTA(quests!$A:$A),MATCH(AA$2,quests!$1:$1,0)-MATCH($C$2,quests!$1:$1,0)+1),MATCH(AA$2,quests!$1:$1,0)-MATCH($C$2,quests!$1:$1,0)+1,FALSE)</f>
        <v>0</v>
      </c>
      <c r="AB214" s="7" t="s">
        <v>56</v>
      </c>
      <c r="AC214" s="7">
        <v>104</v>
      </c>
      <c r="AD214" s="7">
        <v>6</v>
      </c>
      <c r="AE214" s="7" t="s">
        <v>519</v>
      </c>
      <c r="AF214" s="7">
        <v>14</v>
      </c>
      <c r="AG214" s="7">
        <v>0</v>
      </c>
      <c r="AH214" s="7">
        <v>0</v>
      </c>
      <c r="AI214" s="7">
        <v>-1</v>
      </c>
      <c r="AJ214" s="7">
        <v>-1</v>
      </c>
      <c r="AK214" s="7" t="s">
        <v>1064</v>
      </c>
      <c r="AL214" s="12" t="s">
        <v>1695</v>
      </c>
      <c r="AM214" s="12" t="s">
        <v>2072</v>
      </c>
    </row>
    <row r="215" spans="1:39" ht="21" customHeight="1" x14ac:dyDescent="0.15">
      <c r="A215" s="42" t="str">
        <f t="shared" si="7"/>
        <v>11004_10</v>
      </c>
      <c r="B215" s="23">
        <v>3</v>
      </c>
      <c r="C215" s="172">
        <v>11004</v>
      </c>
      <c r="D215" s="47" t="str">
        <f ca="1">VLOOKUP($C215,OFFSET(quests!$A$1,0,0,COUNTA(quests!$A:$A),MATCH(D$1,quests!$1:$1,0)-MATCH($C$2,quests!$1:$1,0)+1),MATCH(D$1,quests!$1:$1,0)-MATCH($C$2,quests!$1:$1,0)+1,FALSE)</f>
        <v>【木曜限定】 緑の素材</v>
      </c>
      <c r="E215" s="48" t="str">
        <f ca="1">VLOOKUP($C215,OFFSET(quests!$A$1,0,0,COUNTA(quests!$A:$A),MATCH(E$2,quests!$1:$1,0)-MATCH($C$2,quests!$1:$1,0)+1),MATCH(E$2,quests!$1:$1,0)-MATCH($C$2,quests!$1:$1,0)+1,FALSE)</f>
        <v>木曜クエスト</v>
      </c>
      <c r="F215" s="7">
        <v>10</v>
      </c>
      <c r="G215" s="7" t="s">
        <v>382</v>
      </c>
      <c r="H215" s="23" t="s">
        <v>1132</v>
      </c>
      <c r="I215" s="12" t="s">
        <v>1114</v>
      </c>
      <c r="J215" s="12">
        <v>357</v>
      </c>
      <c r="K215" s="167">
        <v>35</v>
      </c>
      <c r="L215" s="167">
        <v>2240</v>
      </c>
      <c r="M215" s="167">
        <v>1</v>
      </c>
      <c r="N215" s="167">
        <v>1</v>
      </c>
      <c r="O215" s="167">
        <v>1</v>
      </c>
      <c r="P215" s="167">
        <v>1</v>
      </c>
      <c r="Q215" s="185">
        <v>1</v>
      </c>
      <c r="R215" s="167">
        <v>3</v>
      </c>
      <c r="S215" s="167" t="s">
        <v>79</v>
      </c>
      <c r="T215" s="167">
        <v>0</v>
      </c>
      <c r="U215" s="7" t="s">
        <v>169</v>
      </c>
      <c r="V215" s="7" t="s">
        <v>169</v>
      </c>
      <c r="W215" s="47" t="str">
        <f t="shared" ca="1" si="8"/>
        <v/>
      </c>
      <c r="X215" s="47">
        <f ca="1">VLOOKUP($C215,OFFSET(quests!$A$1,0,0,COUNTA(quests!$A:$A),MATCH(X$2,quests!$1:$1,0)-MATCH($C$2,quests!$1:$1,0)+1),MATCH(X$2,quests!$1:$1,0)-MATCH($C$2,quests!$1:$1,0)+1,FALSE)</f>
        <v>0</v>
      </c>
      <c r="Y215" s="47">
        <f ca="1">VLOOKUP($C215,OFFSET(quests!$A$1,0,0,COUNTA(quests!$A:$A),MATCH(Y$2,quests!$1:$1,0)-MATCH($C$2,quests!$1:$1,0)+1),MATCH(Y$2,quests!$1:$1,0)-MATCH($C$2,quests!$1:$1,0)+1,FALSE)</f>
        <v>0</v>
      </c>
      <c r="Z215" s="47">
        <f ca="1">VLOOKUP($C215,OFFSET(quests!$A$1,0,0,COUNTA(quests!$A:$A),MATCH(Z$2,quests!$1:$1,0)-MATCH($C$2,quests!$1:$1,0)+1),MATCH(Z$2,quests!$1:$1,0)-MATCH($C$2,quests!$1:$1,0)+1,FALSE)</f>
        <v>0</v>
      </c>
      <c r="AA215" s="47">
        <f ca="1">VLOOKUP($C215,OFFSET(quests!$A$1,0,0,COUNTA(quests!$A:$A),MATCH(AA$2,quests!$1:$1,0)-MATCH($C$2,quests!$1:$1,0)+1),MATCH(AA$2,quests!$1:$1,0)-MATCH($C$2,quests!$1:$1,0)+1,FALSE)</f>
        <v>0</v>
      </c>
      <c r="AB215" s="159" t="s">
        <v>56</v>
      </c>
      <c r="AC215" s="7">
        <v>104</v>
      </c>
      <c r="AD215" s="7">
        <v>6</v>
      </c>
      <c r="AE215" s="7" t="s">
        <v>519</v>
      </c>
      <c r="AF215" s="7">
        <v>14</v>
      </c>
      <c r="AG215" s="7">
        <v>0</v>
      </c>
      <c r="AH215" s="7">
        <v>0</v>
      </c>
      <c r="AI215" s="7">
        <v>-1</v>
      </c>
      <c r="AJ215" s="7">
        <v>-1</v>
      </c>
      <c r="AK215" s="7" t="s">
        <v>1064</v>
      </c>
      <c r="AL215" s="12" t="s">
        <v>1695</v>
      </c>
      <c r="AM215" s="12" t="s">
        <v>2072</v>
      </c>
    </row>
    <row r="216" spans="1:39" ht="21" customHeight="1" x14ac:dyDescent="0.15">
      <c r="A216" s="42" t="str">
        <f t="shared" si="7"/>
        <v>11005_1</v>
      </c>
      <c r="B216" s="23">
        <v>3</v>
      </c>
      <c r="C216" s="17">
        <v>11005</v>
      </c>
      <c r="D216" s="47" t="str">
        <f ca="1">VLOOKUP($C216,OFFSET(quests!$A$1,0,0,COUNTA(quests!$A:$A),MATCH(D$1,quests!$1:$1,0)-MATCH($C$2,quests!$1:$1,0)+1),MATCH(D$1,quests!$1:$1,0)-MATCH($C$2,quests!$1:$1,0)+1,FALSE)</f>
        <v>【金曜限定】 帽子屋を追え！</v>
      </c>
      <c r="E216" s="48" t="str">
        <f ca="1">VLOOKUP($C216,OFFSET(quests!$A$1,0,0,COUNTA(quests!$A:$A),MATCH(E$2,quests!$1:$1,0)-MATCH($C$2,quests!$1:$1,0)+1),MATCH(E$2,quests!$1:$1,0)-MATCH($C$2,quests!$1:$1,0)+1,FALSE)</f>
        <v>金曜クエスト</v>
      </c>
      <c r="F216" s="7">
        <v>1</v>
      </c>
      <c r="G216" s="7" t="s">
        <v>570</v>
      </c>
      <c r="H216" s="12" t="s">
        <v>681</v>
      </c>
      <c r="I216" s="12" t="s">
        <v>67</v>
      </c>
      <c r="J216" s="12">
        <v>104</v>
      </c>
      <c r="K216" s="167">
        <v>30</v>
      </c>
      <c r="L216" s="167">
        <v>1400</v>
      </c>
      <c r="M216" s="167">
        <v>1</v>
      </c>
      <c r="N216" s="167">
        <v>1</v>
      </c>
      <c r="O216" s="167">
        <v>1</v>
      </c>
      <c r="P216" s="167">
        <v>1</v>
      </c>
      <c r="Q216" s="167">
        <v>1</v>
      </c>
      <c r="R216" s="167">
        <v>3</v>
      </c>
      <c r="S216" s="167" t="s">
        <v>79</v>
      </c>
      <c r="T216" s="167">
        <v>0</v>
      </c>
      <c r="U216" s="7" t="s">
        <v>169</v>
      </c>
      <c r="V216" s="7" t="s">
        <v>169</v>
      </c>
      <c r="W216" s="47" t="str">
        <f t="shared" ca="1" si="8"/>
        <v/>
      </c>
      <c r="X216" s="47">
        <f ca="1">VLOOKUP($C216,OFFSET(quests!$A$1,0,0,COUNTA(quests!$A:$A),MATCH(X$2,quests!$1:$1,0)-MATCH($C$2,quests!$1:$1,0)+1),MATCH(X$2,quests!$1:$1,0)-MATCH($C$2,quests!$1:$1,0)+1,FALSE)</f>
        <v>0</v>
      </c>
      <c r="Y216" s="47">
        <f ca="1">VLOOKUP($C216,OFFSET(quests!$A$1,0,0,COUNTA(quests!$A:$A),MATCH(Y$2,quests!$1:$1,0)-MATCH($C$2,quests!$1:$1,0)+1),MATCH(Y$2,quests!$1:$1,0)-MATCH($C$2,quests!$1:$1,0)+1,FALSE)</f>
        <v>0</v>
      </c>
      <c r="Z216" s="47">
        <f ca="1">VLOOKUP($C216,OFFSET(quests!$A$1,0,0,COUNTA(quests!$A:$A),MATCH(Z$2,quests!$1:$1,0)-MATCH($C$2,quests!$1:$1,0)+1),MATCH(Z$2,quests!$1:$1,0)-MATCH($C$2,quests!$1:$1,0)+1,FALSE)</f>
        <v>0</v>
      </c>
      <c r="AA216" s="47">
        <f ca="1">VLOOKUP($C216,OFFSET(quests!$A$1,0,0,COUNTA(quests!$A:$A),MATCH(AA$2,quests!$1:$1,0)-MATCH($C$2,quests!$1:$1,0)+1),MATCH(AA$2,quests!$1:$1,0)-MATCH($C$2,quests!$1:$1,0)+1,FALSE)</f>
        <v>0</v>
      </c>
      <c r="AB216" s="7" t="s">
        <v>56</v>
      </c>
      <c r="AC216" s="7">
        <v>102</v>
      </c>
      <c r="AD216" s="7">
        <v>6</v>
      </c>
      <c r="AE216" s="7" t="s">
        <v>519</v>
      </c>
      <c r="AF216" s="7">
        <v>14</v>
      </c>
      <c r="AG216" s="7">
        <v>0</v>
      </c>
      <c r="AH216" s="7">
        <v>0</v>
      </c>
      <c r="AI216" s="7">
        <v>-1</v>
      </c>
      <c r="AJ216" s="7">
        <v>-1</v>
      </c>
      <c r="AK216" s="7" t="s">
        <v>1064</v>
      </c>
      <c r="AL216" s="12" t="s">
        <v>1695</v>
      </c>
      <c r="AM216" s="12" t="s">
        <v>2072</v>
      </c>
    </row>
    <row r="217" spans="1:39" ht="21" customHeight="1" x14ac:dyDescent="0.15">
      <c r="A217" s="42" t="str">
        <f t="shared" si="7"/>
        <v>11005_2</v>
      </c>
      <c r="B217" s="23">
        <v>3</v>
      </c>
      <c r="C217" s="17">
        <v>11005</v>
      </c>
      <c r="D217" s="47" t="str">
        <f ca="1">VLOOKUP($C217,OFFSET(quests!$A$1,0,0,COUNTA(quests!$A:$A),MATCH(D$1,quests!$1:$1,0)-MATCH($C$2,quests!$1:$1,0)+1),MATCH(D$1,quests!$1:$1,0)-MATCH($C$2,quests!$1:$1,0)+1,FALSE)</f>
        <v>【金曜限定】 帽子屋を追え！</v>
      </c>
      <c r="E217" s="48" t="str">
        <f ca="1">VLOOKUP($C217,OFFSET(quests!$A$1,0,0,COUNTA(quests!$A:$A),MATCH(E$2,quests!$1:$1,0)-MATCH($C$2,quests!$1:$1,0)+1),MATCH(E$2,quests!$1:$1,0)-MATCH($C$2,quests!$1:$1,0)+1,FALSE)</f>
        <v>金曜クエスト</v>
      </c>
      <c r="F217" s="7">
        <v>2</v>
      </c>
      <c r="G217" s="7" t="s">
        <v>570</v>
      </c>
      <c r="H217" s="12" t="s">
        <v>682</v>
      </c>
      <c r="I217" s="12" t="s">
        <v>68</v>
      </c>
      <c r="J217" s="12">
        <v>108</v>
      </c>
      <c r="K217" s="167">
        <v>30</v>
      </c>
      <c r="L217" s="167">
        <v>1400</v>
      </c>
      <c r="M217" s="167">
        <v>1</v>
      </c>
      <c r="N217" s="167">
        <v>1</v>
      </c>
      <c r="O217" s="167">
        <v>1</v>
      </c>
      <c r="P217" s="167">
        <v>1</v>
      </c>
      <c r="Q217" s="167">
        <v>1</v>
      </c>
      <c r="R217" s="167">
        <v>3</v>
      </c>
      <c r="S217" s="167" t="s">
        <v>79</v>
      </c>
      <c r="T217" s="167">
        <v>0</v>
      </c>
      <c r="U217" s="7" t="s">
        <v>169</v>
      </c>
      <c r="V217" s="7" t="s">
        <v>169</v>
      </c>
      <c r="W217" s="47" t="str">
        <f t="shared" ca="1" si="8"/>
        <v/>
      </c>
      <c r="X217" s="47">
        <f ca="1">VLOOKUP($C217,OFFSET(quests!$A$1,0,0,COUNTA(quests!$A:$A),MATCH(X$2,quests!$1:$1,0)-MATCH($C$2,quests!$1:$1,0)+1),MATCH(X$2,quests!$1:$1,0)-MATCH($C$2,quests!$1:$1,0)+1,FALSE)</f>
        <v>0</v>
      </c>
      <c r="Y217" s="47">
        <f ca="1">VLOOKUP($C217,OFFSET(quests!$A$1,0,0,COUNTA(quests!$A:$A),MATCH(Y$2,quests!$1:$1,0)-MATCH($C$2,quests!$1:$1,0)+1),MATCH(Y$2,quests!$1:$1,0)-MATCH($C$2,quests!$1:$1,0)+1,FALSE)</f>
        <v>0</v>
      </c>
      <c r="Z217" s="47">
        <f ca="1">VLOOKUP($C217,OFFSET(quests!$A$1,0,0,COUNTA(quests!$A:$A),MATCH(Z$2,quests!$1:$1,0)-MATCH($C$2,quests!$1:$1,0)+1),MATCH(Z$2,quests!$1:$1,0)-MATCH($C$2,quests!$1:$1,0)+1,FALSE)</f>
        <v>0</v>
      </c>
      <c r="AA217" s="47">
        <f ca="1">VLOOKUP($C217,OFFSET(quests!$A$1,0,0,COUNTA(quests!$A:$A),MATCH(AA$2,quests!$1:$1,0)-MATCH($C$2,quests!$1:$1,0)+1),MATCH(AA$2,quests!$1:$1,0)-MATCH($C$2,quests!$1:$1,0)+1,FALSE)</f>
        <v>0</v>
      </c>
      <c r="AB217" s="7" t="s">
        <v>56</v>
      </c>
      <c r="AC217" s="7">
        <v>104</v>
      </c>
      <c r="AD217" s="7">
        <v>6</v>
      </c>
      <c r="AE217" s="7" t="s">
        <v>519</v>
      </c>
      <c r="AF217" s="7">
        <v>14</v>
      </c>
      <c r="AG217" s="7">
        <v>0</v>
      </c>
      <c r="AH217" s="7">
        <v>0</v>
      </c>
      <c r="AI217" s="7">
        <v>-1</v>
      </c>
      <c r="AJ217" s="7">
        <v>-1</v>
      </c>
      <c r="AK217" s="7" t="s">
        <v>1064</v>
      </c>
      <c r="AL217" s="12" t="s">
        <v>1695</v>
      </c>
      <c r="AM217" s="12" t="s">
        <v>2072</v>
      </c>
    </row>
    <row r="218" spans="1:39" ht="21" customHeight="1" x14ac:dyDescent="0.15">
      <c r="A218" s="42" t="str">
        <f t="shared" si="7"/>
        <v>11005_3</v>
      </c>
      <c r="B218" s="23">
        <v>3</v>
      </c>
      <c r="C218" s="17">
        <v>11005</v>
      </c>
      <c r="D218" s="47" t="str">
        <f ca="1">VLOOKUP($C218,OFFSET(quests!$A$1,0,0,COUNTA(quests!$A:$A),MATCH(D$1,quests!$1:$1,0)-MATCH($C$2,quests!$1:$1,0)+1),MATCH(D$1,quests!$1:$1,0)-MATCH($C$2,quests!$1:$1,0)+1,FALSE)</f>
        <v>【金曜限定】 帽子屋を追え！</v>
      </c>
      <c r="E218" s="48" t="str">
        <f ca="1">VLOOKUP($C218,OFFSET(quests!$A$1,0,0,COUNTA(quests!$A:$A),MATCH(E$2,quests!$1:$1,0)-MATCH($C$2,quests!$1:$1,0)+1),MATCH(E$2,quests!$1:$1,0)-MATCH($C$2,quests!$1:$1,0)+1,FALSE)</f>
        <v>金曜クエスト</v>
      </c>
      <c r="F218" s="7">
        <v>3</v>
      </c>
      <c r="G218" s="7" t="s">
        <v>570</v>
      </c>
      <c r="H218" s="12" t="s">
        <v>683</v>
      </c>
      <c r="I218" s="12" t="s">
        <v>69</v>
      </c>
      <c r="J218" s="12">
        <v>112</v>
      </c>
      <c r="K218" s="167">
        <v>30</v>
      </c>
      <c r="L218" s="167">
        <v>1400</v>
      </c>
      <c r="M218" s="167">
        <v>1</v>
      </c>
      <c r="N218" s="167">
        <v>1</v>
      </c>
      <c r="O218" s="167">
        <v>1</v>
      </c>
      <c r="P218" s="167">
        <v>1</v>
      </c>
      <c r="Q218" s="167">
        <v>1</v>
      </c>
      <c r="R218" s="167">
        <v>3</v>
      </c>
      <c r="S218" s="167" t="s">
        <v>79</v>
      </c>
      <c r="T218" s="167">
        <v>0</v>
      </c>
      <c r="U218" s="7" t="s">
        <v>169</v>
      </c>
      <c r="V218" s="7" t="s">
        <v>169</v>
      </c>
      <c r="W218" s="47" t="str">
        <f t="shared" ca="1" si="8"/>
        <v/>
      </c>
      <c r="X218" s="47">
        <f ca="1">VLOOKUP($C218,OFFSET(quests!$A$1,0,0,COUNTA(quests!$A:$A),MATCH(X$2,quests!$1:$1,0)-MATCH($C$2,quests!$1:$1,0)+1),MATCH(X$2,quests!$1:$1,0)-MATCH($C$2,quests!$1:$1,0)+1,FALSE)</f>
        <v>0</v>
      </c>
      <c r="Y218" s="47">
        <f ca="1">VLOOKUP($C218,OFFSET(quests!$A$1,0,0,COUNTA(quests!$A:$A),MATCH(Y$2,quests!$1:$1,0)-MATCH($C$2,quests!$1:$1,0)+1),MATCH(Y$2,quests!$1:$1,0)-MATCH($C$2,quests!$1:$1,0)+1,FALSE)</f>
        <v>0</v>
      </c>
      <c r="Z218" s="47">
        <f ca="1">VLOOKUP($C218,OFFSET(quests!$A$1,0,0,COUNTA(quests!$A:$A),MATCH(Z$2,quests!$1:$1,0)-MATCH($C$2,quests!$1:$1,0)+1),MATCH(Z$2,quests!$1:$1,0)-MATCH($C$2,quests!$1:$1,0)+1,FALSE)</f>
        <v>0</v>
      </c>
      <c r="AA218" s="47">
        <f ca="1">VLOOKUP($C218,OFFSET(quests!$A$1,0,0,COUNTA(quests!$A:$A),MATCH(AA$2,quests!$1:$1,0)-MATCH($C$2,quests!$1:$1,0)+1),MATCH(AA$2,quests!$1:$1,0)-MATCH($C$2,quests!$1:$1,0)+1,FALSE)</f>
        <v>0</v>
      </c>
      <c r="AB218" s="7" t="s">
        <v>56</v>
      </c>
      <c r="AC218" s="7">
        <v>103</v>
      </c>
      <c r="AD218" s="7">
        <v>6</v>
      </c>
      <c r="AE218" s="7" t="s">
        <v>519</v>
      </c>
      <c r="AF218" s="7">
        <v>14</v>
      </c>
      <c r="AG218" s="7">
        <v>0</v>
      </c>
      <c r="AH218" s="7">
        <v>0</v>
      </c>
      <c r="AI218" s="7">
        <v>-1</v>
      </c>
      <c r="AJ218" s="7">
        <v>-1</v>
      </c>
      <c r="AK218" s="7" t="s">
        <v>1064</v>
      </c>
      <c r="AL218" s="12" t="s">
        <v>1695</v>
      </c>
      <c r="AM218" s="12" t="s">
        <v>2072</v>
      </c>
    </row>
    <row r="219" spans="1:39" ht="21" customHeight="1" x14ac:dyDescent="0.15">
      <c r="A219" s="42" t="str">
        <f t="shared" si="7"/>
        <v>11005_4</v>
      </c>
      <c r="B219" s="23">
        <v>3</v>
      </c>
      <c r="C219" s="17">
        <v>11005</v>
      </c>
      <c r="D219" s="47" t="str">
        <f ca="1">VLOOKUP($C219,OFFSET(quests!$A$1,0,0,COUNTA(quests!$A:$A),MATCH(D$1,quests!$1:$1,0)-MATCH($C$2,quests!$1:$1,0)+1),MATCH(D$1,quests!$1:$1,0)-MATCH($C$2,quests!$1:$1,0)+1,FALSE)</f>
        <v>【金曜限定】 帽子屋を追え！</v>
      </c>
      <c r="E219" s="48" t="str">
        <f ca="1">VLOOKUP($C219,OFFSET(quests!$A$1,0,0,COUNTA(quests!$A:$A),MATCH(E$2,quests!$1:$1,0)-MATCH($C$2,quests!$1:$1,0)+1),MATCH(E$2,quests!$1:$1,0)-MATCH($C$2,quests!$1:$1,0)+1,FALSE)</f>
        <v>金曜クエスト</v>
      </c>
      <c r="F219" s="7">
        <v>4</v>
      </c>
      <c r="G219" s="7" t="s">
        <v>570</v>
      </c>
      <c r="H219" s="12" t="s">
        <v>684</v>
      </c>
      <c r="I219" s="12" t="s">
        <v>70</v>
      </c>
      <c r="J219" s="12">
        <v>116</v>
      </c>
      <c r="K219" s="167">
        <v>30</v>
      </c>
      <c r="L219" s="167">
        <v>1400</v>
      </c>
      <c r="M219" s="167">
        <v>1</v>
      </c>
      <c r="N219" s="167">
        <v>1</v>
      </c>
      <c r="O219" s="167">
        <v>1</v>
      </c>
      <c r="P219" s="167">
        <v>1</v>
      </c>
      <c r="Q219" s="167">
        <v>1</v>
      </c>
      <c r="R219" s="167">
        <v>3</v>
      </c>
      <c r="S219" s="167" t="s">
        <v>79</v>
      </c>
      <c r="T219" s="167">
        <v>0</v>
      </c>
      <c r="U219" s="7" t="s">
        <v>169</v>
      </c>
      <c r="V219" s="7" t="s">
        <v>169</v>
      </c>
      <c r="W219" s="47" t="str">
        <f t="shared" ca="1" si="8"/>
        <v/>
      </c>
      <c r="X219" s="47">
        <f ca="1">VLOOKUP($C219,OFFSET(quests!$A$1,0,0,COUNTA(quests!$A:$A),MATCH(X$2,quests!$1:$1,0)-MATCH($C$2,quests!$1:$1,0)+1),MATCH(X$2,quests!$1:$1,0)-MATCH($C$2,quests!$1:$1,0)+1,FALSE)</f>
        <v>0</v>
      </c>
      <c r="Y219" s="47">
        <f ca="1">VLOOKUP($C219,OFFSET(quests!$A$1,0,0,COUNTA(quests!$A:$A),MATCH(Y$2,quests!$1:$1,0)-MATCH($C$2,quests!$1:$1,0)+1),MATCH(Y$2,quests!$1:$1,0)-MATCH($C$2,quests!$1:$1,0)+1,FALSE)</f>
        <v>0</v>
      </c>
      <c r="Z219" s="47">
        <f ca="1">VLOOKUP($C219,OFFSET(quests!$A$1,0,0,COUNTA(quests!$A:$A),MATCH(Z$2,quests!$1:$1,0)-MATCH($C$2,quests!$1:$1,0)+1),MATCH(Z$2,quests!$1:$1,0)-MATCH($C$2,quests!$1:$1,0)+1,FALSE)</f>
        <v>0</v>
      </c>
      <c r="AA219" s="47">
        <f ca="1">VLOOKUP($C219,OFFSET(quests!$A$1,0,0,COUNTA(quests!$A:$A),MATCH(AA$2,quests!$1:$1,0)-MATCH($C$2,quests!$1:$1,0)+1),MATCH(AA$2,quests!$1:$1,0)-MATCH($C$2,quests!$1:$1,0)+1,FALSE)</f>
        <v>0</v>
      </c>
      <c r="AB219" s="7" t="s">
        <v>56</v>
      </c>
      <c r="AC219" s="7">
        <v>101</v>
      </c>
      <c r="AD219" s="7">
        <v>6</v>
      </c>
      <c r="AE219" s="7" t="s">
        <v>519</v>
      </c>
      <c r="AF219" s="7">
        <v>14</v>
      </c>
      <c r="AG219" s="7">
        <v>0</v>
      </c>
      <c r="AH219" s="7">
        <v>0</v>
      </c>
      <c r="AI219" s="7">
        <v>-1</v>
      </c>
      <c r="AJ219" s="7">
        <v>-1</v>
      </c>
      <c r="AK219" s="7" t="s">
        <v>1064</v>
      </c>
      <c r="AL219" s="12" t="s">
        <v>1695</v>
      </c>
      <c r="AM219" s="12" t="s">
        <v>2072</v>
      </c>
    </row>
    <row r="220" spans="1:39" ht="21" customHeight="1" x14ac:dyDescent="0.15">
      <c r="A220" s="42" t="str">
        <f t="shared" si="7"/>
        <v>11006_1</v>
      </c>
      <c r="B220" s="23">
        <v>3</v>
      </c>
      <c r="C220" s="17">
        <v>11006</v>
      </c>
      <c r="D220" s="47" t="str">
        <f ca="1">VLOOKUP($C220,OFFSET(quests!$A$1,0,0,COUNTA(quests!$A:$A),MATCH(D$1,quests!$1:$1,0)-MATCH($C$2,quests!$1:$1,0)+1),MATCH(D$1,quests!$1:$1,0)-MATCH($C$2,quests!$1:$1,0)+1,FALSE)</f>
        <v>【土日限定】 ゴールドカジノ</v>
      </c>
      <c r="E220" s="48" t="str">
        <f ca="1">VLOOKUP($C220,OFFSET(quests!$A$1,0,0,COUNTA(quests!$A:$A),MATCH(E$2,quests!$1:$1,0)-MATCH($C$2,quests!$1:$1,0)+1),MATCH(E$2,quests!$1:$1,0)-MATCH($C$2,quests!$1:$1,0)+1,FALSE)</f>
        <v>土日クエスト</v>
      </c>
      <c r="F220" s="7">
        <v>1</v>
      </c>
      <c r="G220" s="7" t="s">
        <v>570</v>
      </c>
      <c r="H220" s="209" t="s">
        <v>1161</v>
      </c>
      <c r="I220" s="12" t="s">
        <v>58</v>
      </c>
      <c r="J220" s="12">
        <v>117</v>
      </c>
      <c r="K220" s="167">
        <v>8</v>
      </c>
      <c r="L220" s="167">
        <v>140</v>
      </c>
      <c r="M220" s="167">
        <v>1</v>
      </c>
      <c r="N220" s="167">
        <v>1</v>
      </c>
      <c r="O220" s="167">
        <v>1</v>
      </c>
      <c r="P220" s="167">
        <v>1</v>
      </c>
      <c r="Q220" s="96">
        <v>0</v>
      </c>
      <c r="R220" s="167">
        <v>3</v>
      </c>
      <c r="S220" s="167" t="s">
        <v>79</v>
      </c>
      <c r="T220" s="167">
        <v>0</v>
      </c>
      <c r="U220" s="7" t="s">
        <v>169</v>
      </c>
      <c r="V220" s="7" t="s">
        <v>169</v>
      </c>
      <c r="W220" s="47" t="str">
        <f t="shared" ca="1" si="8"/>
        <v/>
      </c>
      <c r="X220" s="47">
        <f ca="1">VLOOKUP($C220,OFFSET(quests!$A$1,0,0,COUNTA(quests!$A:$A),MATCH(X$2,quests!$1:$1,0)-MATCH($C$2,quests!$1:$1,0)+1),MATCH(X$2,quests!$1:$1,0)-MATCH($C$2,quests!$1:$1,0)+1,FALSE)</f>
        <v>0</v>
      </c>
      <c r="Y220" s="47">
        <f ca="1">VLOOKUP($C220,OFFSET(quests!$A$1,0,0,COUNTA(quests!$A:$A),MATCH(Y$2,quests!$1:$1,0)-MATCH($C$2,quests!$1:$1,0)+1),MATCH(Y$2,quests!$1:$1,0)-MATCH($C$2,quests!$1:$1,0)+1,FALSE)</f>
        <v>0</v>
      </c>
      <c r="Z220" s="47">
        <f ca="1">VLOOKUP($C220,OFFSET(quests!$A$1,0,0,COUNTA(quests!$A:$A),MATCH(Z$2,quests!$1:$1,0)-MATCH($C$2,quests!$1:$1,0)+1),MATCH(Z$2,quests!$1:$1,0)-MATCH($C$2,quests!$1:$1,0)+1,FALSE)</f>
        <v>0</v>
      </c>
      <c r="AA220" s="47">
        <f ca="1">VLOOKUP($C220,OFFSET(quests!$A$1,0,0,COUNTA(quests!$A:$A),MATCH(AA$2,quests!$1:$1,0)-MATCH($C$2,quests!$1:$1,0)+1),MATCH(AA$2,quests!$1:$1,0)-MATCH($C$2,quests!$1:$1,0)+1,FALSE)</f>
        <v>0</v>
      </c>
      <c r="AB220" s="7" t="s">
        <v>56</v>
      </c>
      <c r="AC220" s="7">
        <v>105</v>
      </c>
      <c r="AD220" s="7">
        <v>6</v>
      </c>
      <c r="AE220" s="7" t="s">
        <v>519</v>
      </c>
      <c r="AF220" s="7">
        <v>11</v>
      </c>
      <c r="AG220" s="7">
        <v>0</v>
      </c>
      <c r="AH220" s="7">
        <v>0</v>
      </c>
      <c r="AI220" s="7">
        <v>-1</v>
      </c>
      <c r="AJ220" s="7">
        <v>-1</v>
      </c>
      <c r="AK220" s="7" t="s">
        <v>1064</v>
      </c>
      <c r="AL220" s="12" t="s">
        <v>1695</v>
      </c>
      <c r="AM220" s="12" t="s">
        <v>2072</v>
      </c>
    </row>
    <row r="221" spans="1:39" ht="21" customHeight="1" x14ac:dyDescent="0.15">
      <c r="A221" s="42" t="str">
        <f t="shared" si="7"/>
        <v>11006_2</v>
      </c>
      <c r="B221" s="23">
        <v>3</v>
      </c>
      <c r="C221" s="17">
        <v>11006</v>
      </c>
      <c r="D221" s="47" t="str">
        <f ca="1">VLOOKUP($C221,OFFSET(quests!$A$1,0,0,COUNTA(quests!$A:$A),MATCH(D$1,quests!$1:$1,0)-MATCH($C$2,quests!$1:$1,0)+1),MATCH(D$1,quests!$1:$1,0)-MATCH($C$2,quests!$1:$1,0)+1,FALSE)</f>
        <v>【土日限定】 ゴールドカジノ</v>
      </c>
      <c r="E221" s="48" t="str">
        <f ca="1">VLOOKUP($C221,OFFSET(quests!$A$1,0,0,COUNTA(quests!$A:$A),MATCH(E$2,quests!$1:$1,0)-MATCH($C$2,quests!$1:$1,0)+1),MATCH(E$2,quests!$1:$1,0)-MATCH($C$2,quests!$1:$1,0)+1,FALSE)</f>
        <v>土日クエスト</v>
      </c>
      <c r="F221" s="7">
        <v>2</v>
      </c>
      <c r="G221" s="7" t="s">
        <v>570</v>
      </c>
      <c r="H221" s="209" t="s">
        <v>685</v>
      </c>
      <c r="I221" s="12" t="s">
        <v>59</v>
      </c>
      <c r="J221" s="12">
        <v>118</v>
      </c>
      <c r="K221" s="167">
        <v>15</v>
      </c>
      <c r="L221" s="167">
        <v>350</v>
      </c>
      <c r="M221" s="167">
        <v>1</v>
      </c>
      <c r="N221" s="167">
        <v>1</v>
      </c>
      <c r="O221" s="167">
        <v>1</v>
      </c>
      <c r="P221" s="167">
        <v>1</v>
      </c>
      <c r="Q221" s="96">
        <v>0</v>
      </c>
      <c r="R221" s="167">
        <v>3</v>
      </c>
      <c r="S221" s="167" t="s">
        <v>79</v>
      </c>
      <c r="T221" s="167">
        <v>0</v>
      </c>
      <c r="U221" s="7" t="s">
        <v>169</v>
      </c>
      <c r="V221" s="7" t="s">
        <v>169</v>
      </c>
      <c r="W221" s="47" t="str">
        <f t="shared" ca="1" si="8"/>
        <v/>
      </c>
      <c r="X221" s="47">
        <f ca="1">VLOOKUP($C221,OFFSET(quests!$A$1,0,0,COUNTA(quests!$A:$A),MATCH(X$2,quests!$1:$1,0)-MATCH($C$2,quests!$1:$1,0)+1),MATCH(X$2,quests!$1:$1,0)-MATCH($C$2,quests!$1:$1,0)+1,FALSE)</f>
        <v>0</v>
      </c>
      <c r="Y221" s="47">
        <f ca="1">VLOOKUP($C221,OFFSET(quests!$A$1,0,0,COUNTA(quests!$A:$A),MATCH(Y$2,quests!$1:$1,0)-MATCH($C$2,quests!$1:$1,0)+1),MATCH(Y$2,quests!$1:$1,0)-MATCH($C$2,quests!$1:$1,0)+1,FALSE)</f>
        <v>0</v>
      </c>
      <c r="Z221" s="47">
        <f ca="1">VLOOKUP($C221,OFFSET(quests!$A$1,0,0,COUNTA(quests!$A:$A),MATCH(Z$2,quests!$1:$1,0)-MATCH($C$2,quests!$1:$1,0)+1),MATCH(Z$2,quests!$1:$1,0)-MATCH($C$2,quests!$1:$1,0)+1,FALSE)</f>
        <v>0</v>
      </c>
      <c r="AA221" s="47">
        <f ca="1">VLOOKUP($C221,OFFSET(quests!$A$1,0,0,COUNTA(quests!$A:$A),MATCH(AA$2,quests!$1:$1,0)-MATCH($C$2,quests!$1:$1,0)+1),MATCH(AA$2,quests!$1:$1,0)-MATCH($C$2,quests!$1:$1,0)+1,FALSE)</f>
        <v>0</v>
      </c>
      <c r="AB221" s="7" t="s">
        <v>56</v>
      </c>
      <c r="AC221" s="7">
        <v>105</v>
      </c>
      <c r="AD221" s="7">
        <v>6</v>
      </c>
      <c r="AE221" s="7" t="s">
        <v>519</v>
      </c>
      <c r="AF221" s="7">
        <v>11</v>
      </c>
      <c r="AG221" s="7">
        <v>0</v>
      </c>
      <c r="AH221" s="7">
        <v>0</v>
      </c>
      <c r="AI221" s="7">
        <v>-1</v>
      </c>
      <c r="AJ221" s="7">
        <v>-1</v>
      </c>
      <c r="AK221" s="7" t="s">
        <v>1064</v>
      </c>
      <c r="AL221" s="12" t="s">
        <v>1695</v>
      </c>
      <c r="AM221" s="12" t="s">
        <v>2072</v>
      </c>
    </row>
    <row r="222" spans="1:39" ht="21" customHeight="1" x14ac:dyDescent="0.15">
      <c r="A222" s="42" t="str">
        <f t="shared" si="7"/>
        <v>11006_3</v>
      </c>
      <c r="B222" s="23">
        <v>3</v>
      </c>
      <c r="C222" s="36">
        <v>11006</v>
      </c>
      <c r="D222" s="47" t="str">
        <f ca="1">VLOOKUP($C222,OFFSET(quests!$A$1,0,0,COUNTA(quests!$A:$A),MATCH(D$1,quests!$1:$1,0)-MATCH($C$2,quests!$1:$1,0)+1),MATCH(D$1,quests!$1:$1,0)-MATCH($C$2,quests!$1:$1,0)+1,FALSE)</f>
        <v>【土日限定】 ゴールドカジノ</v>
      </c>
      <c r="E222" s="48" t="str">
        <f ca="1">VLOOKUP($C222,OFFSET(quests!$A$1,0,0,COUNTA(quests!$A:$A),MATCH(E$2,quests!$1:$1,0)-MATCH($C$2,quests!$1:$1,0)+1),MATCH(E$2,quests!$1:$1,0)-MATCH($C$2,quests!$1:$1,0)+1,FALSE)</f>
        <v>土日クエスト</v>
      </c>
      <c r="F222" s="34">
        <v>3</v>
      </c>
      <c r="G222" s="7" t="s">
        <v>570</v>
      </c>
      <c r="H222" s="210" t="s">
        <v>686</v>
      </c>
      <c r="I222" s="37" t="s">
        <v>60</v>
      </c>
      <c r="J222" s="37">
        <v>119</v>
      </c>
      <c r="K222" s="167">
        <v>20</v>
      </c>
      <c r="L222" s="167">
        <v>860</v>
      </c>
      <c r="M222" s="159">
        <v>1</v>
      </c>
      <c r="N222" s="159">
        <v>1</v>
      </c>
      <c r="O222" s="159">
        <v>1</v>
      </c>
      <c r="P222" s="159">
        <v>1</v>
      </c>
      <c r="Q222" s="196">
        <v>0</v>
      </c>
      <c r="R222" s="159">
        <v>3</v>
      </c>
      <c r="S222" s="167" t="s">
        <v>79</v>
      </c>
      <c r="T222" s="167">
        <v>0</v>
      </c>
      <c r="U222" s="7" t="s">
        <v>169</v>
      </c>
      <c r="V222" s="7" t="s">
        <v>169</v>
      </c>
      <c r="W222" s="47" t="str">
        <f t="shared" ca="1" si="8"/>
        <v/>
      </c>
      <c r="X222" s="47">
        <f ca="1">VLOOKUP($C222,OFFSET(quests!$A$1,0,0,COUNTA(quests!$A:$A),MATCH(X$2,quests!$1:$1,0)-MATCH($C$2,quests!$1:$1,0)+1),MATCH(X$2,quests!$1:$1,0)-MATCH($C$2,quests!$1:$1,0)+1,FALSE)</f>
        <v>0</v>
      </c>
      <c r="Y222" s="47">
        <f ca="1">VLOOKUP($C222,OFFSET(quests!$A$1,0,0,COUNTA(quests!$A:$A),MATCH(Y$2,quests!$1:$1,0)-MATCH($C$2,quests!$1:$1,0)+1),MATCH(Y$2,quests!$1:$1,0)-MATCH($C$2,quests!$1:$1,0)+1,FALSE)</f>
        <v>0</v>
      </c>
      <c r="Z222" s="47">
        <f ca="1">VLOOKUP($C222,OFFSET(quests!$A$1,0,0,COUNTA(quests!$A:$A),MATCH(Z$2,quests!$1:$1,0)-MATCH($C$2,quests!$1:$1,0)+1),MATCH(Z$2,quests!$1:$1,0)-MATCH($C$2,quests!$1:$1,0)+1,FALSE)</f>
        <v>0</v>
      </c>
      <c r="AA222" s="47">
        <f ca="1">VLOOKUP($C222,OFFSET(quests!$A$1,0,0,COUNTA(quests!$A:$A),MATCH(AA$2,quests!$1:$1,0)-MATCH($C$2,quests!$1:$1,0)+1),MATCH(AA$2,quests!$1:$1,0)-MATCH($C$2,quests!$1:$1,0)+1,FALSE)</f>
        <v>0</v>
      </c>
      <c r="AB222" s="34" t="s">
        <v>56</v>
      </c>
      <c r="AC222" s="7">
        <v>105</v>
      </c>
      <c r="AD222" s="7">
        <v>6</v>
      </c>
      <c r="AE222" s="7" t="s">
        <v>519</v>
      </c>
      <c r="AF222" s="7">
        <v>11</v>
      </c>
      <c r="AG222" s="7">
        <v>0</v>
      </c>
      <c r="AH222" s="7">
        <v>0</v>
      </c>
      <c r="AI222" s="7">
        <v>-1</v>
      </c>
      <c r="AJ222" s="7">
        <v>-1</v>
      </c>
      <c r="AK222" s="7" t="s">
        <v>1064</v>
      </c>
      <c r="AL222" s="12" t="s">
        <v>1695</v>
      </c>
      <c r="AM222" s="12" t="s">
        <v>2072</v>
      </c>
    </row>
    <row r="223" spans="1:39" ht="21" customHeight="1" x14ac:dyDescent="0.15">
      <c r="A223" s="42" t="str">
        <f t="shared" ref="A223" si="9">C223&amp;"_"&amp;F223</f>
        <v>11006_4</v>
      </c>
      <c r="B223" s="23">
        <v>3</v>
      </c>
      <c r="C223" s="172">
        <v>11006</v>
      </c>
      <c r="D223" s="47" t="str">
        <f ca="1">VLOOKUP($C223,OFFSET(quests!$A$1,0,0,COUNTA(quests!$A:$A),MATCH(D$1,quests!$1:$1,0)-MATCH($C$2,quests!$1:$1,0)+1),MATCH(D$1,quests!$1:$1,0)-MATCH($C$2,quests!$1:$1,0)+1,FALSE)</f>
        <v>【土日限定】 ゴールドカジノ</v>
      </c>
      <c r="E223" s="48" t="str">
        <f ca="1">VLOOKUP($C223,OFFSET(quests!$A$1,0,0,COUNTA(quests!$A:$A),MATCH(E$2,quests!$1:$1,0)-MATCH($C$2,quests!$1:$1,0)+1),MATCH(E$2,quests!$1:$1,0)-MATCH($C$2,quests!$1:$1,0)+1,FALSE)</f>
        <v>土日クエスト</v>
      </c>
      <c r="F223" s="34">
        <v>4</v>
      </c>
      <c r="G223" s="7" t="s">
        <v>568</v>
      </c>
      <c r="H223" s="210" t="s">
        <v>2086</v>
      </c>
      <c r="I223" s="37" t="s">
        <v>383</v>
      </c>
      <c r="J223" s="170">
        <v>120</v>
      </c>
      <c r="K223" s="167">
        <v>30</v>
      </c>
      <c r="L223" s="167">
        <v>1400</v>
      </c>
      <c r="M223" s="159">
        <v>1</v>
      </c>
      <c r="N223" s="159">
        <v>1</v>
      </c>
      <c r="O223" s="159">
        <v>1</v>
      </c>
      <c r="P223" s="159">
        <v>1</v>
      </c>
      <c r="Q223" s="196">
        <v>0</v>
      </c>
      <c r="R223" s="159">
        <v>3</v>
      </c>
      <c r="S223" s="167" t="s">
        <v>79</v>
      </c>
      <c r="T223" s="167">
        <v>0</v>
      </c>
      <c r="U223" s="7" t="s">
        <v>169</v>
      </c>
      <c r="V223" s="7" t="s">
        <v>169</v>
      </c>
      <c r="W223" s="47" t="str">
        <f t="shared" ca="1" si="8"/>
        <v/>
      </c>
      <c r="X223" s="47">
        <f ca="1">VLOOKUP($C223,OFFSET(quests!$A$1,0,0,COUNTA(quests!$A:$A),MATCH(X$2,quests!$1:$1,0)-MATCH($C$2,quests!$1:$1,0)+1),MATCH(X$2,quests!$1:$1,0)-MATCH($C$2,quests!$1:$1,0)+1,FALSE)</f>
        <v>0</v>
      </c>
      <c r="Y223" s="47">
        <f ca="1">VLOOKUP($C223,OFFSET(quests!$A$1,0,0,COUNTA(quests!$A:$A),MATCH(Y$2,quests!$1:$1,0)-MATCH($C$2,quests!$1:$1,0)+1),MATCH(Y$2,quests!$1:$1,0)-MATCH($C$2,quests!$1:$1,0)+1,FALSE)</f>
        <v>0</v>
      </c>
      <c r="Z223" s="47">
        <f ca="1">VLOOKUP($C223,OFFSET(quests!$A$1,0,0,COUNTA(quests!$A:$A),MATCH(Z$2,quests!$1:$1,0)-MATCH($C$2,quests!$1:$1,0)+1),MATCH(Z$2,quests!$1:$1,0)-MATCH($C$2,quests!$1:$1,0)+1,FALSE)</f>
        <v>0</v>
      </c>
      <c r="AA223" s="47">
        <f ca="1">VLOOKUP($C223,OFFSET(quests!$A$1,0,0,COUNTA(quests!$A:$A),MATCH(AA$2,quests!$1:$1,0)-MATCH($C$2,quests!$1:$1,0)+1),MATCH(AA$2,quests!$1:$1,0)-MATCH($C$2,quests!$1:$1,0)+1,FALSE)</f>
        <v>0</v>
      </c>
      <c r="AB223" s="34" t="s">
        <v>56</v>
      </c>
      <c r="AC223" s="7">
        <v>105</v>
      </c>
      <c r="AD223" s="7">
        <v>6</v>
      </c>
      <c r="AE223" s="7" t="s">
        <v>519</v>
      </c>
      <c r="AF223" s="7">
        <v>11</v>
      </c>
      <c r="AG223" s="7">
        <v>0</v>
      </c>
      <c r="AH223" s="7">
        <v>0</v>
      </c>
      <c r="AI223" s="7">
        <v>-1</v>
      </c>
      <c r="AJ223" s="7">
        <v>-1</v>
      </c>
      <c r="AK223" s="7" t="s">
        <v>1064</v>
      </c>
      <c r="AL223" s="12" t="s">
        <v>1337</v>
      </c>
      <c r="AM223" s="12" t="s">
        <v>2072</v>
      </c>
    </row>
    <row r="224" spans="1:39" ht="21" customHeight="1" x14ac:dyDescent="0.15">
      <c r="A224" s="42" t="str">
        <f t="shared" si="7"/>
        <v>11007_1</v>
      </c>
      <c r="B224" s="23">
        <v>3</v>
      </c>
      <c r="C224" s="17">
        <v>11007</v>
      </c>
      <c r="D224" s="47" t="str">
        <f ca="1">VLOOKUP($C224,OFFSET(quests!$A$1,0,0,COUNTA(quests!$A:$A),MATCH(D$1,quests!$1:$1,0)-MATCH($C$2,quests!$1:$1,0)+1),MATCH(D$1,quests!$1:$1,0)-MATCH($C$2,quests!$1:$1,0)+1,FALSE)</f>
        <v>【土曜限定】 赤と緑の素材</v>
      </c>
      <c r="E224" s="48" t="str">
        <f ca="1">VLOOKUP($C224,OFFSET(quests!$A$1,0,0,COUNTA(quests!$A:$A),MATCH(E$2,quests!$1:$1,0)-MATCH($C$2,quests!$1:$1,0)+1),MATCH(E$2,quests!$1:$1,0)-MATCH($C$2,quests!$1:$1,0)+1,FALSE)</f>
        <v>土曜クエスト</v>
      </c>
      <c r="F224" s="7">
        <v>1</v>
      </c>
      <c r="G224" s="7" t="s">
        <v>570</v>
      </c>
      <c r="H224" s="12" t="s">
        <v>1425</v>
      </c>
      <c r="I224" s="12" t="s">
        <v>58</v>
      </c>
      <c r="J224" s="12">
        <v>101</v>
      </c>
      <c r="K224" s="167">
        <v>8</v>
      </c>
      <c r="L224" s="167">
        <v>240</v>
      </c>
      <c r="M224" s="167">
        <v>1</v>
      </c>
      <c r="N224" s="167">
        <v>1</v>
      </c>
      <c r="O224" s="167">
        <v>1</v>
      </c>
      <c r="P224" s="167">
        <v>1</v>
      </c>
      <c r="Q224" s="167">
        <v>1</v>
      </c>
      <c r="R224" s="167">
        <v>3</v>
      </c>
      <c r="S224" s="167" t="s">
        <v>79</v>
      </c>
      <c r="T224" s="167">
        <v>0</v>
      </c>
      <c r="U224" s="7" t="s">
        <v>169</v>
      </c>
      <c r="V224" s="7" t="s">
        <v>169</v>
      </c>
      <c r="W224" s="47" t="str">
        <f t="shared" ca="1" si="8"/>
        <v/>
      </c>
      <c r="X224" s="47">
        <f ca="1">VLOOKUP($C224,OFFSET(quests!$A$1,0,0,COUNTA(quests!$A:$A),MATCH(X$2,quests!$1:$1,0)-MATCH($C$2,quests!$1:$1,0)+1),MATCH(X$2,quests!$1:$1,0)-MATCH($C$2,quests!$1:$1,0)+1,FALSE)</f>
        <v>0</v>
      </c>
      <c r="Y224" s="47">
        <f ca="1">VLOOKUP($C224,OFFSET(quests!$A$1,0,0,COUNTA(quests!$A:$A),MATCH(Y$2,quests!$1:$1,0)-MATCH($C$2,quests!$1:$1,0)+1),MATCH(Y$2,quests!$1:$1,0)-MATCH($C$2,quests!$1:$1,0)+1,FALSE)</f>
        <v>0</v>
      </c>
      <c r="Z224" s="47">
        <f ca="1">VLOOKUP($C224,OFFSET(quests!$A$1,0,0,COUNTA(quests!$A:$A),MATCH(Z$2,quests!$1:$1,0)-MATCH($C$2,quests!$1:$1,0)+1),MATCH(Z$2,quests!$1:$1,0)-MATCH($C$2,quests!$1:$1,0)+1,FALSE)</f>
        <v>0</v>
      </c>
      <c r="AA224" s="47">
        <f ca="1">VLOOKUP($C224,OFFSET(quests!$A$1,0,0,COUNTA(quests!$A:$A),MATCH(AA$2,quests!$1:$1,0)-MATCH($C$2,quests!$1:$1,0)+1),MATCH(AA$2,quests!$1:$1,0)-MATCH($C$2,quests!$1:$1,0)+1,FALSE)</f>
        <v>0</v>
      </c>
      <c r="AB224" s="7" t="s">
        <v>56</v>
      </c>
      <c r="AC224" s="7">
        <v>104</v>
      </c>
      <c r="AD224" s="7">
        <v>6</v>
      </c>
      <c r="AE224" s="7" t="s">
        <v>519</v>
      </c>
      <c r="AF224" s="7">
        <v>14</v>
      </c>
      <c r="AG224" s="7">
        <v>0</v>
      </c>
      <c r="AH224" s="7">
        <v>0</v>
      </c>
      <c r="AI224" s="7">
        <v>-1</v>
      </c>
      <c r="AJ224" s="7">
        <v>-1</v>
      </c>
      <c r="AK224" s="7" t="s">
        <v>1064</v>
      </c>
      <c r="AL224" s="12" t="s">
        <v>1695</v>
      </c>
      <c r="AM224" s="12" t="s">
        <v>2072</v>
      </c>
    </row>
    <row r="225" spans="1:39" ht="21" customHeight="1" x14ac:dyDescent="0.15">
      <c r="A225" s="42" t="str">
        <f t="shared" si="7"/>
        <v>11007_2</v>
      </c>
      <c r="B225" s="23">
        <v>3</v>
      </c>
      <c r="C225" s="17">
        <v>11007</v>
      </c>
      <c r="D225" s="47" t="str">
        <f ca="1">VLOOKUP($C225,OFFSET(quests!$A$1,0,0,COUNTA(quests!$A:$A),MATCH(D$1,quests!$1:$1,0)-MATCH($C$2,quests!$1:$1,0)+1),MATCH(D$1,quests!$1:$1,0)-MATCH($C$2,quests!$1:$1,0)+1,FALSE)</f>
        <v>【土曜限定】 赤と緑の素材</v>
      </c>
      <c r="E225" s="48" t="str">
        <f ca="1">VLOOKUP($C225,OFFSET(quests!$A$1,0,0,COUNTA(quests!$A:$A),MATCH(E$2,quests!$1:$1,0)-MATCH($C$2,quests!$1:$1,0)+1),MATCH(E$2,quests!$1:$1,0)-MATCH($C$2,quests!$1:$1,0)+1,FALSE)</f>
        <v>土曜クエスト</v>
      </c>
      <c r="F225" s="7">
        <v>2</v>
      </c>
      <c r="G225" s="7" t="s">
        <v>570</v>
      </c>
      <c r="H225" s="12" t="s">
        <v>1426</v>
      </c>
      <c r="I225" s="12" t="s">
        <v>59</v>
      </c>
      <c r="J225" s="12">
        <v>106</v>
      </c>
      <c r="K225" s="167">
        <v>15</v>
      </c>
      <c r="L225" s="167">
        <v>525</v>
      </c>
      <c r="M225" s="167">
        <v>1</v>
      </c>
      <c r="N225" s="167">
        <v>1</v>
      </c>
      <c r="O225" s="167">
        <v>1</v>
      </c>
      <c r="P225" s="167">
        <v>1</v>
      </c>
      <c r="Q225" s="167">
        <v>1</v>
      </c>
      <c r="R225" s="167">
        <v>3</v>
      </c>
      <c r="S225" s="167" t="s">
        <v>79</v>
      </c>
      <c r="T225" s="167">
        <v>0</v>
      </c>
      <c r="U225" s="7" t="s">
        <v>169</v>
      </c>
      <c r="V225" s="7" t="s">
        <v>169</v>
      </c>
      <c r="W225" s="47" t="str">
        <f t="shared" ca="1" si="8"/>
        <v/>
      </c>
      <c r="X225" s="47">
        <f ca="1">VLOOKUP($C225,OFFSET(quests!$A$1,0,0,COUNTA(quests!$A:$A),MATCH(X$2,quests!$1:$1,0)-MATCH($C$2,quests!$1:$1,0)+1),MATCH(X$2,quests!$1:$1,0)-MATCH($C$2,quests!$1:$1,0)+1,FALSE)</f>
        <v>0</v>
      </c>
      <c r="Y225" s="47">
        <f ca="1">VLOOKUP($C225,OFFSET(quests!$A$1,0,0,COUNTA(quests!$A:$A),MATCH(Y$2,quests!$1:$1,0)-MATCH($C$2,quests!$1:$1,0)+1),MATCH(Y$2,quests!$1:$1,0)-MATCH($C$2,quests!$1:$1,0)+1,FALSE)</f>
        <v>0</v>
      </c>
      <c r="Z225" s="47">
        <f ca="1">VLOOKUP($C225,OFFSET(quests!$A$1,0,0,COUNTA(quests!$A:$A),MATCH(Z$2,quests!$1:$1,0)-MATCH($C$2,quests!$1:$1,0)+1),MATCH(Z$2,quests!$1:$1,0)-MATCH($C$2,quests!$1:$1,0)+1,FALSE)</f>
        <v>0</v>
      </c>
      <c r="AA225" s="47">
        <f ca="1">VLOOKUP($C225,OFFSET(quests!$A$1,0,0,COUNTA(quests!$A:$A),MATCH(AA$2,quests!$1:$1,0)-MATCH($C$2,quests!$1:$1,0)+1),MATCH(AA$2,quests!$1:$1,0)-MATCH($C$2,quests!$1:$1,0)+1,FALSE)</f>
        <v>0</v>
      </c>
      <c r="AB225" s="7" t="s">
        <v>56</v>
      </c>
      <c r="AC225" s="7">
        <v>102</v>
      </c>
      <c r="AD225" s="7">
        <v>6</v>
      </c>
      <c r="AE225" s="7" t="s">
        <v>519</v>
      </c>
      <c r="AF225" s="7">
        <v>14</v>
      </c>
      <c r="AG225" s="7">
        <v>0</v>
      </c>
      <c r="AH225" s="7">
        <v>0</v>
      </c>
      <c r="AI225" s="7">
        <v>-1</v>
      </c>
      <c r="AJ225" s="7">
        <v>-1</v>
      </c>
      <c r="AK225" s="7" t="s">
        <v>1064</v>
      </c>
      <c r="AL225" s="12" t="s">
        <v>1695</v>
      </c>
      <c r="AM225" s="12" t="s">
        <v>2072</v>
      </c>
    </row>
    <row r="226" spans="1:39" ht="21" customHeight="1" x14ac:dyDescent="0.15">
      <c r="A226" s="42" t="str">
        <f t="shared" si="7"/>
        <v>11007_3</v>
      </c>
      <c r="B226" s="23">
        <v>3</v>
      </c>
      <c r="C226" s="17">
        <v>11007</v>
      </c>
      <c r="D226" s="47" t="str">
        <f ca="1">VLOOKUP($C226,OFFSET(quests!$A$1,0,0,COUNTA(quests!$A:$A),MATCH(D$1,quests!$1:$1,0)-MATCH($C$2,quests!$1:$1,0)+1),MATCH(D$1,quests!$1:$1,0)-MATCH($C$2,quests!$1:$1,0)+1,FALSE)</f>
        <v>【土曜限定】 赤と緑の素材</v>
      </c>
      <c r="E226" s="48" t="str">
        <f ca="1">VLOOKUP($C226,OFFSET(quests!$A$1,0,0,COUNTA(quests!$A:$A),MATCH(E$2,quests!$1:$1,0)-MATCH($C$2,quests!$1:$1,0)+1),MATCH(E$2,quests!$1:$1,0)-MATCH($C$2,quests!$1:$1,0)+1,FALSE)</f>
        <v>土曜クエスト</v>
      </c>
      <c r="F226" s="7">
        <v>3</v>
      </c>
      <c r="G226" s="7" t="s">
        <v>570</v>
      </c>
      <c r="H226" s="12" t="s">
        <v>1427</v>
      </c>
      <c r="I226" s="12" t="s">
        <v>60</v>
      </c>
      <c r="J226" s="12">
        <v>103</v>
      </c>
      <c r="K226" s="167">
        <v>20</v>
      </c>
      <c r="L226" s="167">
        <v>860</v>
      </c>
      <c r="M226" s="167">
        <v>1</v>
      </c>
      <c r="N226" s="167">
        <v>1</v>
      </c>
      <c r="O226" s="167">
        <v>1</v>
      </c>
      <c r="P226" s="167">
        <v>1</v>
      </c>
      <c r="Q226" s="167">
        <v>1</v>
      </c>
      <c r="R226" s="167">
        <v>3</v>
      </c>
      <c r="S226" s="167" t="s">
        <v>79</v>
      </c>
      <c r="T226" s="167">
        <v>0</v>
      </c>
      <c r="U226" s="7" t="s">
        <v>169</v>
      </c>
      <c r="V226" s="7" t="s">
        <v>169</v>
      </c>
      <c r="W226" s="47" t="str">
        <f t="shared" ca="1" si="8"/>
        <v/>
      </c>
      <c r="X226" s="47">
        <f ca="1">VLOOKUP($C226,OFFSET(quests!$A$1,0,0,COUNTA(quests!$A:$A),MATCH(X$2,quests!$1:$1,0)-MATCH($C$2,quests!$1:$1,0)+1),MATCH(X$2,quests!$1:$1,0)-MATCH($C$2,quests!$1:$1,0)+1,FALSE)</f>
        <v>0</v>
      </c>
      <c r="Y226" s="47">
        <f ca="1">VLOOKUP($C226,OFFSET(quests!$A$1,0,0,COUNTA(quests!$A:$A),MATCH(Y$2,quests!$1:$1,0)-MATCH($C$2,quests!$1:$1,0)+1),MATCH(Y$2,quests!$1:$1,0)-MATCH($C$2,quests!$1:$1,0)+1,FALSE)</f>
        <v>0</v>
      </c>
      <c r="Z226" s="47">
        <f ca="1">VLOOKUP($C226,OFFSET(quests!$A$1,0,0,COUNTA(quests!$A:$A),MATCH(Z$2,quests!$1:$1,0)-MATCH($C$2,quests!$1:$1,0)+1),MATCH(Z$2,quests!$1:$1,0)-MATCH($C$2,quests!$1:$1,0)+1,FALSE)</f>
        <v>0</v>
      </c>
      <c r="AA226" s="47">
        <f ca="1">VLOOKUP($C226,OFFSET(quests!$A$1,0,0,COUNTA(quests!$A:$A),MATCH(AA$2,quests!$1:$1,0)-MATCH($C$2,quests!$1:$1,0)+1),MATCH(AA$2,quests!$1:$1,0)-MATCH($C$2,quests!$1:$1,0)+1,FALSE)</f>
        <v>0</v>
      </c>
      <c r="AB226" s="7" t="s">
        <v>56</v>
      </c>
      <c r="AC226" s="7">
        <v>104</v>
      </c>
      <c r="AD226" s="7">
        <v>6</v>
      </c>
      <c r="AE226" s="7" t="s">
        <v>519</v>
      </c>
      <c r="AF226" s="7">
        <v>14</v>
      </c>
      <c r="AG226" s="7">
        <v>0</v>
      </c>
      <c r="AH226" s="7">
        <v>0</v>
      </c>
      <c r="AI226" s="7">
        <v>-1</v>
      </c>
      <c r="AJ226" s="7">
        <v>-1</v>
      </c>
      <c r="AK226" s="7" t="s">
        <v>1064</v>
      </c>
      <c r="AL226" s="12" t="s">
        <v>1695</v>
      </c>
      <c r="AM226" s="12" t="s">
        <v>2072</v>
      </c>
    </row>
    <row r="227" spans="1:39" ht="21" customHeight="1" x14ac:dyDescent="0.15">
      <c r="A227" s="42" t="str">
        <f t="shared" si="7"/>
        <v>11007_4</v>
      </c>
      <c r="B227" s="23">
        <v>3</v>
      </c>
      <c r="C227" s="17">
        <v>11007</v>
      </c>
      <c r="D227" s="47" t="str">
        <f ca="1">VLOOKUP($C227,OFFSET(quests!$A$1,0,0,COUNTA(quests!$A:$A),MATCH(D$1,quests!$1:$1,0)-MATCH($C$2,quests!$1:$1,0)+1),MATCH(D$1,quests!$1:$1,0)-MATCH($C$2,quests!$1:$1,0)+1,FALSE)</f>
        <v>【土曜限定】 赤と緑の素材</v>
      </c>
      <c r="E227" s="48" t="str">
        <f ca="1">VLOOKUP($C227,OFFSET(quests!$A$1,0,0,COUNTA(quests!$A:$A),MATCH(E$2,quests!$1:$1,0)-MATCH($C$2,quests!$1:$1,0)+1),MATCH(E$2,quests!$1:$1,0)-MATCH($C$2,quests!$1:$1,0)+1,FALSE)</f>
        <v>土曜クエスト</v>
      </c>
      <c r="F227" s="7">
        <v>4</v>
      </c>
      <c r="G227" s="7" t="s">
        <v>570</v>
      </c>
      <c r="H227" s="12" t="s">
        <v>1428</v>
      </c>
      <c r="I227" s="12" t="s">
        <v>1424</v>
      </c>
      <c r="J227" s="12">
        <v>108</v>
      </c>
      <c r="K227" s="167">
        <v>30</v>
      </c>
      <c r="L227" s="167">
        <v>1400</v>
      </c>
      <c r="M227" s="167">
        <v>1</v>
      </c>
      <c r="N227" s="167">
        <v>1</v>
      </c>
      <c r="O227" s="167">
        <v>1</v>
      </c>
      <c r="P227" s="167">
        <v>1</v>
      </c>
      <c r="Q227" s="167">
        <v>1</v>
      </c>
      <c r="R227" s="167">
        <v>3</v>
      </c>
      <c r="S227" s="167" t="s">
        <v>79</v>
      </c>
      <c r="T227" s="167">
        <v>0</v>
      </c>
      <c r="U227" s="7" t="s">
        <v>169</v>
      </c>
      <c r="V227" s="7" t="s">
        <v>169</v>
      </c>
      <c r="W227" s="47" t="str">
        <f t="shared" ca="1" si="8"/>
        <v/>
      </c>
      <c r="X227" s="47">
        <f ca="1">VLOOKUP($C227,OFFSET(quests!$A$1,0,0,COUNTA(quests!$A:$A),MATCH(X$2,quests!$1:$1,0)-MATCH($C$2,quests!$1:$1,0)+1),MATCH(X$2,quests!$1:$1,0)-MATCH($C$2,quests!$1:$1,0)+1,FALSE)</f>
        <v>0</v>
      </c>
      <c r="Y227" s="47">
        <f ca="1">VLOOKUP($C227,OFFSET(quests!$A$1,0,0,COUNTA(quests!$A:$A),MATCH(Y$2,quests!$1:$1,0)-MATCH($C$2,quests!$1:$1,0)+1),MATCH(Y$2,quests!$1:$1,0)-MATCH($C$2,quests!$1:$1,0)+1,FALSE)</f>
        <v>0</v>
      </c>
      <c r="Z227" s="47">
        <f ca="1">VLOOKUP($C227,OFFSET(quests!$A$1,0,0,COUNTA(quests!$A:$A),MATCH(Z$2,quests!$1:$1,0)-MATCH($C$2,quests!$1:$1,0)+1),MATCH(Z$2,quests!$1:$1,0)-MATCH($C$2,quests!$1:$1,0)+1,FALSE)</f>
        <v>0</v>
      </c>
      <c r="AA227" s="47">
        <f ca="1">VLOOKUP($C227,OFFSET(quests!$A$1,0,0,COUNTA(quests!$A:$A),MATCH(AA$2,quests!$1:$1,0)-MATCH($C$2,quests!$1:$1,0)+1),MATCH(AA$2,quests!$1:$1,0)-MATCH($C$2,quests!$1:$1,0)+1,FALSE)</f>
        <v>0</v>
      </c>
      <c r="AB227" s="7" t="s">
        <v>56</v>
      </c>
      <c r="AC227" s="7">
        <v>102</v>
      </c>
      <c r="AD227" s="7">
        <v>6</v>
      </c>
      <c r="AE227" s="7" t="s">
        <v>519</v>
      </c>
      <c r="AF227" s="7">
        <v>14</v>
      </c>
      <c r="AG227" s="7">
        <v>0</v>
      </c>
      <c r="AH227" s="7">
        <v>0</v>
      </c>
      <c r="AI227" s="7">
        <v>-1</v>
      </c>
      <c r="AJ227" s="7">
        <v>-1</v>
      </c>
      <c r="AK227" s="7" t="s">
        <v>1064</v>
      </c>
      <c r="AL227" s="12" t="s">
        <v>1695</v>
      </c>
      <c r="AM227" s="12" t="s">
        <v>2072</v>
      </c>
    </row>
    <row r="228" spans="1:39" ht="21" customHeight="1" x14ac:dyDescent="0.15">
      <c r="A228" s="42" t="str">
        <f t="shared" si="7"/>
        <v>11007_5</v>
      </c>
      <c r="B228" s="23">
        <v>3</v>
      </c>
      <c r="C228" s="17">
        <v>11007</v>
      </c>
      <c r="D228" s="47" t="str">
        <f ca="1">VLOOKUP($C228,OFFSET(quests!$A$1,0,0,COUNTA(quests!$A:$A),MATCH(D$1,quests!$1:$1,0)-MATCH($C$2,quests!$1:$1,0)+1),MATCH(D$1,quests!$1:$1,0)-MATCH($C$2,quests!$1:$1,0)+1,FALSE)</f>
        <v>【土曜限定】 赤と緑の素材</v>
      </c>
      <c r="E228" s="48" t="str">
        <f ca="1">VLOOKUP($C228,OFFSET(quests!$A$1,0,0,COUNTA(quests!$A:$A),MATCH(E$2,quests!$1:$1,0)-MATCH($C$2,quests!$1:$1,0)+1),MATCH(E$2,quests!$1:$1,0)-MATCH($C$2,quests!$1:$1,0)+1,FALSE)</f>
        <v>土曜クエスト</v>
      </c>
      <c r="F228" s="7">
        <v>5</v>
      </c>
      <c r="G228" s="7" t="s">
        <v>382</v>
      </c>
      <c r="H228" s="23" t="s">
        <v>1429</v>
      </c>
      <c r="I228" s="12" t="s">
        <v>1113</v>
      </c>
      <c r="J228" s="12">
        <v>356</v>
      </c>
      <c r="K228" s="167">
        <v>35</v>
      </c>
      <c r="L228" s="167">
        <v>2240</v>
      </c>
      <c r="M228" s="167">
        <v>1</v>
      </c>
      <c r="N228" s="167">
        <v>1</v>
      </c>
      <c r="O228" s="167">
        <v>1</v>
      </c>
      <c r="P228" s="167">
        <v>1</v>
      </c>
      <c r="Q228" s="185">
        <v>1</v>
      </c>
      <c r="R228" s="167">
        <v>3</v>
      </c>
      <c r="S228" s="167" t="s">
        <v>79</v>
      </c>
      <c r="T228" s="167">
        <v>0</v>
      </c>
      <c r="U228" s="7" t="s">
        <v>169</v>
      </c>
      <c r="V228" s="7" t="s">
        <v>169</v>
      </c>
      <c r="W228" s="47" t="str">
        <f t="shared" ca="1" si="8"/>
        <v/>
      </c>
      <c r="X228" s="47">
        <f ca="1">VLOOKUP($C228,OFFSET(quests!$A$1,0,0,COUNTA(quests!$A:$A),MATCH(X$2,quests!$1:$1,0)-MATCH($C$2,quests!$1:$1,0)+1),MATCH(X$2,quests!$1:$1,0)-MATCH($C$2,quests!$1:$1,0)+1,FALSE)</f>
        <v>0</v>
      </c>
      <c r="Y228" s="47">
        <f ca="1">VLOOKUP($C228,OFFSET(quests!$A$1,0,0,COUNTA(quests!$A:$A),MATCH(Y$2,quests!$1:$1,0)-MATCH($C$2,quests!$1:$1,0)+1),MATCH(Y$2,quests!$1:$1,0)-MATCH($C$2,quests!$1:$1,0)+1,FALSE)</f>
        <v>0</v>
      </c>
      <c r="Z228" s="47">
        <f ca="1">VLOOKUP($C228,OFFSET(quests!$A$1,0,0,COUNTA(quests!$A:$A),MATCH(Z$2,quests!$1:$1,0)-MATCH($C$2,quests!$1:$1,0)+1),MATCH(Z$2,quests!$1:$1,0)-MATCH($C$2,quests!$1:$1,0)+1,FALSE)</f>
        <v>0</v>
      </c>
      <c r="AA228" s="47">
        <f ca="1">VLOOKUP($C228,OFFSET(quests!$A$1,0,0,COUNTA(quests!$A:$A),MATCH(AA$2,quests!$1:$1,0)-MATCH($C$2,quests!$1:$1,0)+1),MATCH(AA$2,quests!$1:$1,0)-MATCH($C$2,quests!$1:$1,0)+1,FALSE)</f>
        <v>0</v>
      </c>
      <c r="AB228" s="159" t="s">
        <v>56</v>
      </c>
      <c r="AC228" s="7">
        <v>104</v>
      </c>
      <c r="AD228" s="7">
        <v>6</v>
      </c>
      <c r="AE228" s="7" t="s">
        <v>519</v>
      </c>
      <c r="AF228" s="7">
        <v>14</v>
      </c>
      <c r="AG228" s="7">
        <v>0</v>
      </c>
      <c r="AH228" s="7">
        <v>0</v>
      </c>
      <c r="AI228" s="7">
        <v>-1</v>
      </c>
      <c r="AJ228" s="7">
        <v>-1</v>
      </c>
      <c r="AK228" s="7" t="s">
        <v>1064</v>
      </c>
      <c r="AL228" s="12" t="s">
        <v>1695</v>
      </c>
      <c r="AM228" s="12" t="s">
        <v>2072</v>
      </c>
    </row>
    <row r="229" spans="1:39" ht="21" customHeight="1" x14ac:dyDescent="0.15">
      <c r="A229" s="42" t="str">
        <f t="shared" si="7"/>
        <v>11008_1</v>
      </c>
      <c r="B229" s="23">
        <v>3</v>
      </c>
      <c r="C229" s="17">
        <v>11008</v>
      </c>
      <c r="D229" s="47" t="str">
        <f ca="1">VLOOKUP($C229,OFFSET(quests!$A$1,0,0,COUNTA(quests!$A:$A),MATCH(D$1,quests!$1:$1,0)-MATCH($C$2,quests!$1:$1,0)+1),MATCH(D$1,quests!$1:$1,0)-MATCH($C$2,quests!$1:$1,0)+1,FALSE)</f>
        <v>【日曜限定】 青と黄の素材</v>
      </c>
      <c r="E229" s="48" t="str">
        <f ca="1">VLOOKUP($C229,OFFSET(quests!$A$1,0,0,COUNTA(quests!$A:$A),MATCH(E$2,quests!$1:$1,0)-MATCH($C$2,quests!$1:$1,0)+1),MATCH(E$2,quests!$1:$1,0)-MATCH($C$2,quests!$1:$1,0)+1,FALSE)</f>
        <v>日曜クエスト</v>
      </c>
      <c r="F229" s="7">
        <v>1</v>
      </c>
      <c r="G229" s="7" t="s">
        <v>570</v>
      </c>
      <c r="H229" s="12" t="s">
        <v>1430</v>
      </c>
      <c r="I229" s="12" t="s">
        <v>58</v>
      </c>
      <c r="J229" s="12">
        <v>109</v>
      </c>
      <c r="K229" s="167">
        <v>8</v>
      </c>
      <c r="L229" s="167">
        <v>240</v>
      </c>
      <c r="M229" s="167">
        <v>1</v>
      </c>
      <c r="N229" s="167">
        <v>1</v>
      </c>
      <c r="O229" s="167">
        <v>1</v>
      </c>
      <c r="P229" s="167">
        <v>1</v>
      </c>
      <c r="Q229" s="167">
        <v>1</v>
      </c>
      <c r="R229" s="167">
        <v>3</v>
      </c>
      <c r="S229" s="167" t="s">
        <v>79</v>
      </c>
      <c r="T229" s="167">
        <v>0</v>
      </c>
      <c r="U229" s="7" t="s">
        <v>169</v>
      </c>
      <c r="V229" s="7" t="s">
        <v>169</v>
      </c>
      <c r="W229" s="47" t="str">
        <f t="shared" ca="1" si="8"/>
        <v/>
      </c>
      <c r="X229" s="47">
        <f ca="1">VLOOKUP($C229,OFFSET(quests!$A$1,0,0,COUNTA(quests!$A:$A),MATCH(X$2,quests!$1:$1,0)-MATCH($C$2,quests!$1:$1,0)+1),MATCH(X$2,quests!$1:$1,0)-MATCH($C$2,quests!$1:$1,0)+1,FALSE)</f>
        <v>0</v>
      </c>
      <c r="Y229" s="47">
        <f ca="1">VLOOKUP($C229,OFFSET(quests!$A$1,0,0,COUNTA(quests!$A:$A),MATCH(Y$2,quests!$1:$1,0)-MATCH($C$2,quests!$1:$1,0)+1),MATCH(Y$2,quests!$1:$1,0)-MATCH($C$2,quests!$1:$1,0)+1,FALSE)</f>
        <v>0</v>
      </c>
      <c r="Z229" s="47">
        <f ca="1">VLOOKUP($C229,OFFSET(quests!$A$1,0,0,COUNTA(quests!$A:$A),MATCH(Z$2,quests!$1:$1,0)-MATCH($C$2,quests!$1:$1,0)+1),MATCH(Z$2,quests!$1:$1,0)-MATCH($C$2,quests!$1:$1,0)+1,FALSE)</f>
        <v>0</v>
      </c>
      <c r="AA229" s="47">
        <f ca="1">VLOOKUP($C229,OFFSET(quests!$A$1,0,0,COUNTA(quests!$A:$A),MATCH(AA$2,quests!$1:$1,0)-MATCH($C$2,quests!$1:$1,0)+1),MATCH(AA$2,quests!$1:$1,0)-MATCH($C$2,quests!$1:$1,0)+1,FALSE)</f>
        <v>0</v>
      </c>
      <c r="AB229" s="7" t="s">
        <v>56</v>
      </c>
      <c r="AC229" s="7">
        <v>103</v>
      </c>
      <c r="AD229" s="7">
        <v>6</v>
      </c>
      <c r="AE229" s="7" t="s">
        <v>519</v>
      </c>
      <c r="AF229" s="7">
        <v>14</v>
      </c>
      <c r="AG229" s="7">
        <v>0</v>
      </c>
      <c r="AH229" s="7">
        <v>0</v>
      </c>
      <c r="AI229" s="7">
        <v>-1</v>
      </c>
      <c r="AJ229" s="7">
        <v>-1</v>
      </c>
      <c r="AK229" s="7" t="s">
        <v>1064</v>
      </c>
      <c r="AL229" s="12" t="s">
        <v>1695</v>
      </c>
      <c r="AM229" s="12" t="s">
        <v>2072</v>
      </c>
    </row>
    <row r="230" spans="1:39" ht="21" customHeight="1" x14ac:dyDescent="0.15">
      <c r="A230" s="42" t="str">
        <f t="shared" si="7"/>
        <v>11008_2</v>
      </c>
      <c r="B230" s="23">
        <v>3</v>
      </c>
      <c r="C230" s="17">
        <v>11008</v>
      </c>
      <c r="D230" s="47" t="str">
        <f ca="1">VLOOKUP($C230,OFFSET(quests!$A$1,0,0,COUNTA(quests!$A:$A),MATCH(D$1,quests!$1:$1,0)-MATCH($C$2,quests!$1:$1,0)+1),MATCH(D$1,quests!$1:$1,0)-MATCH($C$2,quests!$1:$1,0)+1,FALSE)</f>
        <v>【日曜限定】 青と黄の素材</v>
      </c>
      <c r="E230" s="48" t="str">
        <f ca="1">VLOOKUP($C230,OFFSET(quests!$A$1,0,0,COUNTA(quests!$A:$A),MATCH(E$2,quests!$1:$1,0)-MATCH($C$2,quests!$1:$1,0)+1),MATCH(E$2,quests!$1:$1,0)-MATCH($C$2,quests!$1:$1,0)+1,FALSE)</f>
        <v>日曜クエスト</v>
      </c>
      <c r="F230" s="7">
        <v>2</v>
      </c>
      <c r="G230" s="7" t="s">
        <v>570</v>
      </c>
      <c r="H230" s="12" t="s">
        <v>1431</v>
      </c>
      <c r="I230" s="12" t="s">
        <v>59</v>
      </c>
      <c r="J230" s="12">
        <v>114</v>
      </c>
      <c r="K230" s="167">
        <v>15</v>
      </c>
      <c r="L230" s="167">
        <v>525</v>
      </c>
      <c r="M230" s="167">
        <v>1</v>
      </c>
      <c r="N230" s="167">
        <v>1</v>
      </c>
      <c r="O230" s="167">
        <v>1</v>
      </c>
      <c r="P230" s="167">
        <v>1</v>
      </c>
      <c r="Q230" s="167">
        <v>1</v>
      </c>
      <c r="R230" s="167">
        <v>3</v>
      </c>
      <c r="S230" s="167" t="s">
        <v>79</v>
      </c>
      <c r="T230" s="167">
        <v>0</v>
      </c>
      <c r="U230" s="7" t="s">
        <v>169</v>
      </c>
      <c r="V230" s="7" t="s">
        <v>169</v>
      </c>
      <c r="W230" s="47" t="str">
        <f t="shared" ca="1" si="8"/>
        <v/>
      </c>
      <c r="X230" s="47">
        <f ca="1">VLOOKUP($C230,OFFSET(quests!$A$1,0,0,COUNTA(quests!$A:$A),MATCH(X$2,quests!$1:$1,0)-MATCH($C$2,quests!$1:$1,0)+1),MATCH(X$2,quests!$1:$1,0)-MATCH($C$2,quests!$1:$1,0)+1,FALSE)</f>
        <v>0</v>
      </c>
      <c r="Y230" s="47">
        <f ca="1">VLOOKUP($C230,OFFSET(quests!$A$1,0,0,COUNTA(quests!$A:$A),MATCH(Y$2,quests!$1:$1,0)-MATCH($C$2,quests!$1:$1,0)+1),MATCH(Y$2,quests!$1:$1,0)-MATCH($C$2,quests!$1:$1,0)+1,FALSE)</f>
        <v>0</v>
      </c>
      <c r="Z230" s="47">
        <f ca="1">VLOOKUP($C230,OFFSET(quests!$A$1,0,0,COUNTA(quests!$A:$A),MATCH(Z$2,quests!$1:$1,0)-MATCH($C$2,quests!$1:$1,0)+1),MATCH(Z$2,quests!$1:$1,0)-MATCH($C$2,quests!$1:$1,0)+1,FALSE)</f>
        <v>0</v>
      </c>
      <c r="AA230" s="47">
        <f ca="1">VLOOKUP($C230,OFFSET(quests!$A$1,0,0,COUNTA(quests!$A:$A),MATCH(AA$2,quests!$1:$1,0)-MATCH($C$2,quests!$1:$1,0)+1),MATCH(AA$2,quests!$1:$1,0)-MATCH($C$2,quests!$1:$1,0)+1,FALSE)</f>
        <v>0</v>
      </c>
      <c r="AB230" s="7" t="s">
        <v>56</v>
      </c>
      <c r="AC230" s="7">
        <v>101</v>
      </c>
      <c r="AD230" s="7">
        <v>6</v>
      </c>
      <c r="AE230" s="7" t="s">
        <v>519</v>
      </c>
      <c r="AF230" s="7">
        <v>14</v>
      </c>
      <c r="AG230" s="7">
        <v>0</v>
      </c>
      <c r="AH230" s="7">
        <v>0</v>
      </c>
      <c r="AI230" s="7">
        <v>-1</v>
      </c>
      <c r="AJ230" s="7">
        <v>-1</v>
      </c>
      <c r="AK230" s="7" t="s">
        <v>1064</v>
      </c>
      <c r="AL230" s="12" t="s">
        <v>1695</v>
      </c>
      <c r="AM230" s="12" t="s">
        <v>2072</v>
      </c>
    </row>
    <row r="231" spans="1:39" ht="21" customHeight="1" x14ac:dyDescent="0.15">
      <c r="A231" s="42" t="str">
        <f t="shared" si="7"/>
        <v>11008_3</v>
      </c>
      <c r="B231" s="23">
        <v>3</v>
      </c>
      <c r="C231" s="17">
        <v>11008</v>
      </c>
      <c r="D231" s="47" t="str">
        <f ca="1">VLOOKUP($C231,OFFSET(quests!$A$1,0,0,COUNTA(quests!$A:$A),MATCH(D$1,quests!$1:$1,0)-MATCH($C$2,quests!$1:$1,0)+1),MATCH(D$1,quests!$1:$1,0)-MATCH($C$2,quests!$1:$1,0)+1,FALSE)</f>
        <v>【日曜限定】 青と黄の素材</v>
      </c>
      <c r="E231" s="48" t="str">
        <f ca="1">VLOOKUP($C231,OFFSET(quests!$A$1,0,0,COUNTA(quests!$A:$A),MATCH(E$2,quests!$1:$1,0)-MATCH($C$2,quests!$1:$1,0)+1),MATCH(E$2,quests!$1:$1,0)-MATCH($C$2,quests!$1:$1,0)+1,FALSE)</f>
        <v>日曜クエスト</v>
      </c>
      <c r="F231" s="7">
        <v>3</v>
      </c>
      <c r="G231" s="7" t="s">
        <v>570</v>
      </c>
      <c r="H231" s="12" t="s">
        <v>1432</v>
      </c>
      <c r="I231" s="12" t="s">
        <v>60</v>
      </c>
      <c r="J231" s="12">
        <v>111</v>
      </c>
      <c r="K231" s="167">
        <v>20</v>
      </c>
      <c r="L231" s="167">
        <v>860</v>
      </c>
      <c r="M231" s="167">
        <v>1</v>
      </c>
      <c r="N231" s="167">
        <v>1</v>
      </c>
      <c r="O231" s="167">
        <v>1</v>
      </c>
      <c r="P231" s="167">
        <v>1</v>
      </c>
      <c r="Q231" s="167">
        <v>1</v>
      </c>
      <c r="R231" s="167">
        <v>3</v>
      </c>
      <c r="S231" s="167" t="s">
        <v>79</v>
      </c>
      <c r="T231" s="167">
        <v>0</v>
      </c>
      <c r="U231" s="7" t="s">
        <v>169</v>
      </c>
      <c r="V231" s="7" t="s">
        <v>169</v>
      </c>
      <c r="W231" s="47" t="str">
        <f t="shared" ca="1" si="8"/>
        <v/>
      </c>
      <c r="X231" s="47">
        <f ca="1">VLOOKUP($C231,OFFSET(quests!$A$1,0,0,COUNTA(quests!$A:$A),MATCH(X$2,quests!$1:$1,0)-MATCH($C$2,quests!$1:$1,0)+1),MATCH(X$2,quests!$1:$1,0)-MATCH($C$2,quests!$1:$1,0)+1,FALSE)</f>
        <v>0</v>
      </c>
      <c r="Y231" s="47">
        <f ca="1">VLOOKUP($C231,OFFSET(quests!$A$1,0,0,COUNTA(quests!$A:$A),MATCH(Y$2,quests!$1:$1,0)-MATCH($C$2,quests!$1:$1,0)+1),MATCH(Y$2,quests!$1:$1,0)-MATCH($C$2,quests!$1:$1,0)+1,FALSE)</f>
        <v>0</v>
      </c>
      <c r="Z231" s="47">
        <f ca="1">VLOOKUP($C231,OFFSET(quests!$A$1,0,0,COUNTA(quests!$A:$A),MATCH(Z$2,quests!$1:$1,0)-MATCH($C$2,quests!$1:$1,0)+1),MATCH(Z$2,quests!$1:$1,0)-MATCH($C$2,quests!$1:$1,0)+1,FALSE)</f>
        <v>0</v>
      </c>
      <c r="AA231" s="47">
        <f ca="1">VLOOKUP($C231,OFFSET(quests!$A$1,0,0,COUNTA(quests!$A:$A),MATCH(AA$2,quests!$1:$1,0)-MATCH($C$2,quests!$1:$1,0)+1),MATCH(AA$2,quests!$1:$1,0)-MATCH($C$2,quests!$1:$1,0)+1,FALSE)</f>
        <v>0</v>
      </c>
      <c r="AB231" s="7" t="s">
        <v>56</v>
      </c>
      <c r="AC231" s="7">
        <v>103</v>
      </c>
      <c r="AD231" s="7">
        <v>6</v>
      </c>
      <c r="AE231" s="7" t="s">
        <v>519</v>
      </c>
      <c r="AF231" s="7">
        <v>14</v>
      </c>
      <c r="AG231" s="7">
        <v>0</v>
      </c>
      <c r="AH231" s="7">
        <v>0</v>
      </c>
      <c r="AI231" s="7">
        <v>-1</v>
      </c>
      <c r="AJ231" s="7">
        <v>-1</v>
      </c>
      <c r="AK231" s="7" t="s">
        <v>1064</v>
      </c>
      <c r="AL231" s="12" t="s">
        <v>1695</v>
      </c>
      <c r="AM231" s="12" t="s">
        <v>2072</v>
      </c>
    </row>
    <row r="232" spans="1:39" ht="21" customHeight="1" x14ac:dyDescent="0.15">
      <c r="A232" s="42" t="str">
        <f t="shared" si="7"/>
        <v>11008_4</v>
      </c>
      <c r="B232" s="23">
        <v>3</v>
      </c>
      <c r="C232" s="17">
        <v>11008</v>
      </c>
      <c r="D232" s="47" t="str">
        <f ca="1">VLOOKUP($C232,OFFSET(quests!$A$1,0,0,COUNTA(quests!$A:$A),MATCH(D$1,quests!$1:$1,0)-MATCH($C$2,quests!$1:$1,0)+1),MATCH(D$1,quests!$1:$1,0)-MATCH($C$2,quests!$1:$1,0)+1,FALSE)</f>
        <v>【日曜限定】 青と黄の素材</v>
      </c>
      <c r="E232" s="48" t="str">
        <f ca="1">VLOOKUP($C232,OFFSET(quests!$A$1,0,0,COUNTA(quests!$A:$A),MATCH(E$2,quests!$1:$1,0)-MATCH($C$2,quests!$1:$1,0)+1),MATCH(E$2,quests!$1:$1,0)-MATCH($C$2,quests!$1:$1,0)+1,FALSE)</f>
        <v>日曜クエスト</v>
      </c>
      <c r="F232" s="7">
        <v>4</v>
      </c>
      <c r="G232" s="7" t="s">
        <v>570</v>
      </c>
      <c r="H232" s="12" t="s">
        <v>1433</v>
      </c>
      <c r="I232" s="12" t="s">
        <v>1424</v>
      </c>
      <c r="J232" s="12">
        <v>116</v>
      </c>
      <c r="K232" s="167">
        <v>30</v>
      </c>
      <c r="L232" s="167">
        <v>1400</v>
      </c>
      <c r="M232" s="167">
        <v>1</v>
      </c>
      <c r="N232" s="167">
        <v>1</v>
      </c>
      <c r="O232" s="167">
        <v>1</v>
      </c>
      <c r="P232" s="167">
        <v>1</v>
      </c>
      <c r="Q232" s="167">
        <v>1</v>
      </c>
      <c r="R232" s="167">
        <v>3</v>
      </c>
      <c r="S232" s="167" t="s">
        <v>79</v>
      </c>
      <c r="T232" s="167">
        <v>0</v>
      </c>
      <c r="U232" s="7" t="s">
        <v>169</v>
      </c>
      <c r="V232" s="7" t="s">
        <v>169</v>
      </c>
      <c r="W232" s="47" t="str">
        <f t="shared" ca="1" si="8"/>
        <v/>
      </c>
      <c r="X232" s="47">
        <f ca="1">VLOOKUP($C232,OFFSET(quests!$A$1,0,0,COUNTA(quests!$A:$A),MATCH(X$2,quests!$1:$1,0)-MATCH($C$2,quests!$1:$1,0)+1),MATCH(X$2,quests!$1:$1,0)-MATCH($C$2,quests!$1:$1,0)+1,FALSE)</f>
        <v>0</v>
      </c>
      <c r="Y232" s="47">
        <f ca="1">VLOOKUP($C232,OFFSET(quests!$A$1,0,0,COUNTA(quests!$A:$A),MATCH(Y$2,quests!$1:$1,0)-MATCH($C$2,quests!$1:$1,0)+1),MATCH(Y$2,quests!$1:$1,0)-MATCH($C$2,quests!$1:$1,0)+1,FALSE)</f>
        <v>0</v>
      </c>
      <c r="Z232" s="47">
        <f ca="1">VLOOKUP($C232,OFFSET(quests!$A$1,0,0,COUNTA(quests!$A:$A),MATCH(Z$2,quests!$1:$1,0)-MATCH($C$2,quests!$1:$1,0)+1),MATCH(Z$2,quests!$1:$1,0)-MATCH($C$2,quests!$1:$1,0)+1,FALSE)</f>
        <v>0</v>
      </c>
      <c r="AA232" s="47">
        <f ca="1">VLOOKUP($C232,OFFSET(quests!$A$1,0,0,COUNTA(quests!$A:$A),MATCH(AA$2,quests!$1:$1,0)-MATCH($C$2,quests!$1:$1,0)+1),MATCH(AA$2,quests!$1:$1,0)-MATCH($C$2,quests!$1:$1,0)+1,FALSE)</f>
        <v>0</v>
      </c>
      <c r="AB232" s="7" t="s">
        <v>56</v>
      </c>
      <c r="AC232" s="7">
        <v>101</v>
      </c>
      <c r="AD232" s="7">
        <v>6</v>
      </c>
      <c r="AE232" s="7" t="s">
        <v>519</v>
      </c>
      <c r="AF232" s="7">
        <v>14</v>
      </c>
      <c r="AG232" s="7">
        <v>0</v>
      </c>
      <c r="AH232" s="7">
        <v>0</v>
      </c>
      <c r="AI232" s="7">
        <v>-1</v>
      </c>
      <c r="AJ232" s="7">
        <v>-1</v>
      </c>
      <c r="AK232" s="7" t="s">
        <v>1064</v>
      </c>
      <c r="AL232" s="12" t="s">
        <v>1695</v>
      </c>
      <c r="AM232" s="12" t="s">
        <v>2072</v>
      </c>
    </row>
    <row r="233" spans="1:39" ht="21" customHeight="1" x14ac:dyDescent="0.15">
      <c r="A233" s="42" t="str">
        <f t="shared" si="7"/>
        <v>11008_5</v>
      </c>
      <c r="B233" s="23">
        <v>3</v>
      </c>
      <c r="C233" s="17">
        <v>11008</v>
      </c>
      <c r="D233" s="47" t="str">
        <f ca="1">VLOOKUP($C233,OFFSET(quests!$A$1,0,0,COUNTA(quests!$A:$A),MATCH(D$1,quests!$1:$1,0)-MATCH($C$2,quests!$1:$1,0)+1),MATCH(D$1,quests!$1:$1,0)-MATCH($C$2,quests!$1:$1,0)+1,FALSE)</f>
        <v>【日曜限定】 青と黄の素材</v>
      </c>
      <c r="E233" s="48" t="str">
        <f ca="1">VLOOKUP($C233,OFFSET(quests!$A$1,0,0,COUNTA(quests!$A:$A),MATCH(E$2,quests!$1:$1,0)-MATCH($C$2,quests!$1:$1,0)+1),MATCH(E$2,quests!$1:$1,0)-MATCH($C$2,quests!$1:$1,0)+1,FALSE)</f>
        <v>日曜クエスト</v>
      </c>
      <c r="F233" s="7">
        <v>5</v>
      </c>
      <c r="G233" s="7" t="s">
        <v>382</v>
      </c>
      <c r="H233" s="23" t="s">
        <v>1434</v>
      </c>
      <c r="I233" s="12" t="s">
        <v>1113</v>
      </c>
      <c r="J233" s="12">
        <v>358</v>
      </c>
      <c r="K233" s="167">
        <v>35</v>
      </c>
      <c r="L233" s="167">
        <v>2240</v>
      </c>
      <c r="M233" s="167">
        <v>1</v>
      </c>
      <c r="N233" s="167">
        <v>1</v>
      </c>
      <c r="O233" s="167">
        <v>1</v>
      </c>
      <c r="P233" s="167">
        <v>1</v>
      </c>
      <c r="Q233" s="185">
        <v>1</v>
      </c>
      <c r="R233" s="167">
        <v>3</v>
      </c>
      <c r="S233" s="167" t="s">
        <v>79</v>
      </c>
      <c r="T233" s="167">
        <v>0</v>
      </c>
      <c r="U233" s="7" t="s">
        <v>169</v>
      </c>
      <c r="V233" s="7" t="s">
        <v>169</v>
      </c>
      <c r="W233" s="47" t="str">
        <f t="shared" ca="1" si="8"/>
        <v/>
      </c>
      <c r="X233" s="47">
        <f ca="1">VLOOKUP($C233,OFFSET(quests!$A$1,0,0,COUNTA(quests!$A:$A),MATCH(X$2,quests!$1:$1,0)-MATCH($C$2,quests!$1:$1,0)+1),MATCH(X$2,quests!$1:$1,0)-MATCH($C$2,quests!$1:$1,0)+1,FALSE)</f>
        <v>0</v>
      </c>
      <c r="Y233" s="47">
        <f ca="1">VLOOKUP($C233,OFFSET(quests!$A$1,0,0,COUNTA(quests!$A:$A),MATCH(Y$2,quests!$1:$1,0)-MATCH($C$2,quests!$1:$1,0)+1),MATCH(Y$2,quests!$1:$1,0)-MATCH($C$2,quests!$1:$1,0)+1,FALSE)</f>
        <v>0</v>
      </c>
      <c r="Z233" s="47">
        <f ca="1">VLOOKUP($C233,OFFSET(quests!$A$1,0,0,COUNTA(quests!$A:$A),MATCH(Z$2,quests!$1:$1,0)-MATCH($C$2,quests!$1:$1,0)+1),MATCH(Z$2,quests!$1:$1,0)-MATCH($C$2,quests!$1:$1,0)+1,FALSE)</f>
        <v>0</v>
      </c>
      <c r="AA233" s="47">
        <f ca="1">VLOOKUP($C233,OFFSET(quests!$A$1,0,0,COUNTA(quests!$A:$A),MATCH(AA$2,quests!$1:$1,0)-MATCH($C$2,quests!$1:$1,0)+1),MATCH(AA$2,quests!$1:$1,0)-MATCH($C$2,quests!$1:$1,0)+1,FALSE)</f>
        <v>0</v>
      </c>
      <c r="AB233" s="159" t="s">
        <v>56</v>
      </c>
      <c r="AC233" s="7">
        <v>103</v>
      </c>
      <c r="AD233" s="7">
        <v>6</v>
      </c>
      <c r="AE233" s="7" t="s">
        <v>519</v>
      </c>
      <c r="AF233" s="7">
        <v>14</v>
      </c>
      <c r="AG233" s="7">
        <v>0</v>
      </c>
      <c r="AH233" s="7">
        <v>0</v>
      </c>
      <c r="AI233" s="7">
        <v>-1</v>
      </c>
      <c r="AJ233" s="7">
        <v>-1</v>
      </c>
      <c r="AK233" s="7" t="s">
        <v>1064</v>
      </c>
      <c r="AL233" s="12" t="s">
        <v>1695</v>
      </c>
      <c r="AM233" s="12" t="s">
        <v>2072</v>
      </c>
    </row>
    <row r="234" spans="1:39" ht="21" customHeight="1" x14ac:dyDescent="0.15">
      <c r="A234" s="42" t="str">
        <f t="shared" si="7"/>
        <v>11016_1</v>
      </c>
      <c r="B234" s="23">
        <v>3</v>
      </c>
      <c r="C234" s="84">
        <v>11016</v>
      </c>
      <c r="D234" s="47" t="str">
        <f ca="1">VLOOKUP($C234,OFFSET(quests!$A$1,0,0,COUNTA(quests!$A:$A),MATCH(D$1,quests!$1:$1,0)-MATCH($C$2,quests!$1:$1,0)+1),MATCH(D$1,quests!$1:$1,0)-MATCH($C$2,quests!$1:$1,0)+1,FALSE)</f>
        <v>【マルチ専用1/2】 ゴールドカジノ</v>
      </c>
      <c r="E234" s="48" t="str">
        <f ca="1">VLOOKUP($C234,OFFSET(quests!$A$1,0,0,COUNTA(quests!$A:$A),MATCH(E$2,quests!$1:$1,0)-MATCH($C$2,quests!$1:$1,0)+1),MATCH(E$2,quests!$1:$1,0)-MATCH($C$2,quests!$1:$1,0)+1,FALSE)</f>
        <v>土日クエスト1</v>
      </c>
      <c r="F234" s="7">
        <v>1</v>
      </c>
      <c r="G234" s="7" t="s">
        <v>382</v>
      </c>
      <c r="H234" s="209" t="s">
        <v>686</v>
      </c>
      <c r="I234" s="12" t="s">
        <v>60</v>
      </c>
      <c r="J234" s="12">
        <v>119</v>
      </c>
      <c r="K234" s="167">
        <v>10</v>
      </c>
      <c r="L234" s="167">
        <v>860</v>
      </c>
      <c r="M234" s="167">
        <v>1</v>
      </c>
      <c r="N234" s="167">
        <v>1</v>
      </c>
      <c r="O234" s="167">
        <v>1</v>
      </c>
      <c r="P234" s="167">
        <v>1</v>
      </c>
      <c r="Q234" s="96">
        <v>0</v>
      </c>
      <c r="R234" s="167">
        <v>3</v>
      </c>
      <c r="S234" s="167" t="s">
        <v>79</v>
      </c>
      <c r="T234" s="167">
        <v>0</v>
      </c>
      <c r="U234" s="7" t="s">
        <v>169</v>
      </c>
      <c r="V234" s="7" t="s">
        <v>169</v>
      </c>
      <c r="W234" s="47" t="str">
        <f t="shared" ca="1" si="8"/>
        <v/>
      </c>
      <c r="X234" s="47">
        <f ca="1">VLOOKUP($C234,OFFSET(quests!$A$1,0,0,COUNTA(quests!$A:$A),MATCH(X$2,quests!$1:$1,0)-MATCH($C$2,quests!$1:$1,0)+1),MATCH(X$2,quests!$1:$1,0)-MATCH($C$2,quests!$1:$1,0)+1,FALSE)</f>
        <v>0</v>
      </c>
      <c r="Y234" s="47">
        <f ca="1">VLOOKUP($C234,OFFSET(quests!$A$1,0,0,COUNTA(quests!$A:$A),MATCH(Y$2,quests!$1:$1,0)-MATCH($C$2,quests!$1:$1,0)+1),MATCH(Y$2,quests!$1:$1,0)-MATCH($C$2,quests!$1:$1,0)+1,FALSE)</f>
        <v>0</v>
      </c>
      <c r="Z234" s="47">
        <f ca="1">VLOOKUP($C234,OFFSET(quests!$A$1,0,0,COUNTA(quests!$A:$A),MATCH(Z$2,quests!$1:$1,0)-MATCH($C$2,quests!$1:$1,0)+1),MATCH(Z$2,quests!$1:$1,0)-MATCH($C$2,quests!$1:$1,0)+1,FALSE)</f>
        <v>0</v>
      </c>
      <c r="AA234" s="47">
        <f ca="1">VLOOKUP($C234,OFFSET(quests!$A$1,0,0,COUNTA(quests!$A:$A),MATCH(AA$2,quests!$1:$1,0)-MATCH($C$2,quests!$1:$1,0)+1),MATCH(AA$2,quests!$1:$1,0)-MATCH($C$2,quests!$1:$1,0)+1,FALSE)</f>
        <v>0</v>
      </c>
      <c r="AB234" s="7" t="s">
        <v>56</v>
      </c>
      <c r="AC234" s="7">
        <v>105</v>
      </c>
      <c r="AD234" s="7">
        <v>6</v>
      </c>
      <c r="AE234" s="7" t="s">
        <v>598</v>
      </c>
      <c r="AF234" s="7">
        <v>1</v>
      </c>
      <c r="AG234" s="7">
        <v>0</v>
      </c>
      <c r="AH234" s="7">
        <v>0</v>
      </c>
      <c r="AI234" s="7">
        <v>-1</v>
      </c>
      <c r="AJ234" s="7">
        <v>-1</v>
      </c>
      <c r="AK234" s="7" t="s">
        <v>1064</v>
      </c>
      <c r="AL234" s="12" t="s">
        <v>1695</v>
      </c>
      <c r="AM234" s="12" t="s">
        <v>2072</v>
      </c>
    </row>
    <row r="235" spans="1:39" ht="21" customHeight="1" x14ac:dyDescent="0.15">
      <c r="A235" s="42" t="str">
        <f t="shared" si="7"/>
        <v>11017_1</v>
      </c>
      <c r="B235" s="23">
        <v>3</v>
      </c>
      <c r="C235" s="84">
        <v>11017</v>
      </c>
      <c r="D235" s="47" t="str">
        <f ca="1">VLOOKUP($C235,OFFSET(quests!$A$1,0,0,COUNTA(quests!$A:$A),MATCH(D$1,quests!$1:$1,0)-MATCH($C$2,quests!$1:$1,0)+1),MATCH(D$1,quests!$1:$1,0)-MATCH($C$2,quests!$1:$1,0)+1,FALSE)</f>
        <v>【期間限定】リトルハンプティを追え！</v>
      </c>
      <c r="E235" s="48" t="str">
        <f ca="1">VLOOKUP($C235,OFFSET(quests!$A$1,0,0,COUNTA(quests!$A:$A),MATCH(E$2,quests!$1:$1,0)-MATCH($C$2,quests!$1:$1,0)+1),MATCH(E$2,quests!$1:$1,0)-MATCH($C$2,quests!$1:$1,0)+1,FALSE)</f>
        <v>期間限定クエスト</v>
      </c>
      <c r="F235" s="7">
        <v>1</v>
      </c>
      <c r="G235" s="7" t="s">
        <v>382</v>
      </c>
      <c r="H235" s="209" t="s">
        <v>1493</v>
      </c>
      <c r="I235" s="12" t="s">
        <v>60</v>
      </c>
      <c r="J235" s="12">
        <v>837</v>
      </c>
      <c r="K235" s="33">
        <v>20</v>
      </c>
      <c r="L235" s="33">
        <v>860</v>
      </c>
      <c r="M235" s="167">
        <v>1</v>
      </c>
      <c r="N235" s="167">
        <v>1</v>
      </c>
      <c r="O235" s="167">
        <v>1</v>
      </c>
      <c r="P235" s="167">
        <v>1</v>
      </c>
      <c r="Q235" s="96">
        <v>0</v>
      </c>
      <c r="R235" s="167">
        <v>3</v>
      </c>
      <c r="S235" s="167" t="s">
        <v>79</v>
      </c>
      <c r="T235" s="167">
        <v>0</v>
      </c>
      <c r="U235" s="7" t="s">
        <v>169</v>
      </c>
      <c r="V235" s="7" t="s">
        <v>169</v>
      </c>
      <c r="W235" s="47" t="str">
        <f t="shared" ca="1" si="8"/>
        <v/>
      </c>
      <c r="X235" s="47">
        <f ca="1">VLOOKUP($C235,OFFSET(quests!$A$1,0,0,COUNTA(quests!$A:$A),MATCH(X$2,quests!$1:$1,0)-MATCH($C$2,quests!$1:$1,0)+1),MATCH(X$2,quests!$1:$1,0)-MATCH($C$2,quests!$1:$1,0)+1,FALSE)</f>
        <v>0</v>
      </c>
      <c r="Y235" s="47">
        <f ca="1">VLOOKUP($C235,OFFSET(quests!$A$1,0,0,COUNTA(quests!$A:$A),MATCH(Y$2,quests!$1:$1,0)-MATCH($C$2,quests!$1:$1,0)+1),MATCH(Y$2,quests!$1:$1,0)-MATCH($C$2,quests!$1:$1,0)+1,FALSE)</f>
        <v>0</v>
      </c>
      <c r="Z235" s="47">
        <f ca="1">VLOOKUP($C235,OFFSET(quests!$A$1,0,0,COUNTA(quests!$A:$A),MATCH(Z$2,quests!$1:$1,0)-MATCH($C$2,quests!$1:$1,0)+1),MATCH(Z$2,quests!$1:$1,0)-MATCH($C$2,quests!$1:$1,0)+1,FALSE)</f>
        <v>0</v>
      </c>
      <c r="AA235" s="47">
        <f ca="1">VLOOKUP($C235,OFFSET(quests!$A$1,0,0,COUNTA(quests!$A:$A),MATCH(AA$2,quests!$1:$1,0)-MATCH($C$2,quests!$1:$1,0)+1),MATCH(AA$2,quests!$1:$1,0)-MATCH($C$2,quests!$1:$1,0)+1,FALSE)</f>
        <v>0</v>
      </c>
      <c r="AB235" s="7" t="s">
        <v>56</v>
      </c>
      <c r="AC235" s="7">
        <v>1</v>
      </c>
      <c r="AD235" s="7">
        <v>6</v>
      </c>
      <c r="AE235" s="7" t="s">
        <v>519</v>
      </c>
      <c r="AF235" s="33">
        <v>15</v>
      </c>
      <c r="AG235" s="7">
        <v>0</v>
      </c>
      <c r="AH235" s="7">
        <v>0</v>
      </c>
      <c r="AI235" s="7">
        <v>-1</v>
      </c>
      <c r="AJ235" s="7">
        <v>-1</v>
      </c>
      <c r="AK235" s="7" t="s">
        <v>1064</v>
      </c>
      <c r="AL235" s="12" t="s">
        <v>1695</v>
      </c>
      <c r="AM235" s="12" t="s">
        <v>2072</v>
      </c>
    </row>
    <row r="236" spans="1:39" ht="22" customHeight="1" x14ac:dyDescent="0.15">
      <c r="A236" s="42" t="str">
        <f t="shared" si="7"/>
        <v>11018_1</v>
      </c>
      <c r="B236" s="23">
        <v>3</v>
      </c>
      <c r="C236" s="84">
        <v>11018</v>
      </c>
      <c r="D236" s="47" t="str">
        <f ca="1">VLOOKUP($C236,OFFSET(quests!$A$1,0,0,COUNTA(quests!$A:$A),MATCH(D$1,quests!$1:$1,0)-MATCH($C$2,quests!$1:$1,0)+1),MATCH(D$1,quests!$1:$1,0)-MATCH($C$2,quests!$1:$1,0)+1,FALSE)</f>
        <v>【エナジー1/2】 ゴールドカジノ</v>
      </c>
      <c r="E236" s="48" t="str">
        <f ca="1">VLOOKUP($C236,OFFSET(quests!$A$1,0,0,COUNTA(quests!$A:$A),MATCH(E$2,quests!$1:$1,0)-MATCH($C$2,quests!$1:$1,0)+1),MATCH(E$2,quests!$1:$1,0)-MATCH($C$2,quests!$1:$1,0)+1,FALSE)</f>
        <v>土日クエスト1</v>
      </c>
      <c r="F236" s="7">
        <v>1</v>
      </c>
      <c r="G236" s="7" t="s">
        <v>382</v>
      </c>
      <c r="H236" s="209" t="s">
        <v>686</v>
      </c>
      <c r="I236" s="12" t="s">
        <v>60</v>
      </c>
      <c r="J236" s="12">
        <v>119</v>
      </c>
      <c r="K236" s="167">
        <v>10</v>
      </c>
      <c r="L236" s="167">
        <v>860</v>
      </c>
      <c r="M236" s="167">
        <v>1</v>
      </c>
      <c r="N236" s="167">
        <v>1</v>
      </c>
      <c r="O236" s="167">
        <v>1</v>
      </c>
      <c r="P236" s="167">
        <v>1</v>
      </c>
      <c r="Q236" s="96">
        <v>0</v>
      </c>
      <c r="R236" s="167">
        <v>3</v>
      </c>
      <c r="S236" s="167" t="s">
        <v>79</v>
      </c>
      <c r="T236" s="167">
        <v>0</v>
      </c>
      <c r="U236" s="7" t="s">
        <v>169</v>
      </c>
      <c r="V236" s="7" t="s">
        <v>169</v>
      </c>
      <c r="W236" s="47" t="str">
        <f t="shared" ca="1" si="8"/>
        <v/>
      </c>
      <c r="X236" s="47">
        <f ca="1">VLOOKUP($C236,OFFSET(quests!$A$1,0,0,COUNTA(quests!$A:$A),MATCH(X$2,quests!$1:$1,0)-MATCH($C$2,quests!$1:$1,0)+1),MATCH(X$2,quests!$1:$1,0)-MATCH($C$2,quests!$1:$1,0)+1,FALSE)</f>
        <v>0</v>
      </c>
      <c r="Y236" s="47">
        <f ca="1">VLOOKUP($C236,OFFSET(quests!$A$1,0,0,COUNTA(quests!$A:$A),MATCH(Y$2,quests!$1:$1,0)-MATCH($C$2,quests!$1:$1,0)+1),MATCH(Y$2,quests!$1:$1,0)-MATCH($C$2,quests!$1:$1,0)+1,FALSE)</f>
        <v>0</v>
      </c>
      <c r="Z236" s="47">
        <f ca="1">VLOOKUP($C236,OFFSET(quests!$A$1,0,0,COUNTA(quests!$A:$A),MATCH(Z$2,quests!$1:$1,0)-MATCH($C$2,quests!$1:$1,0)+1),MATCH(Z$2,quests!$1:$1,0)-MATCH($C$2,quests!$1:$1,0)+1,FALSE)</f>
        <v>0</v>
      </c>
      <c r="AA236" s="47">
        <f ca="1">VLOOKUP($C236,OFFSET(quests!$A$1,0,0,COUNTA(quests!$A:$A),MATCH(AA$2,quests!$1:$1,0)-MATCH($C$2,quests!$1:$1,0)+1),MATCH(AA$2,quests!$1:$1,0)-MATCH($C$2,quests!$1:$1,0)+1,FALSE)</f>
        <v>0</v>
      </c>
      <c r="AB236" s="7" t="s">
        <v>56</v>
      </c>
      <c r="AC236" s="7">
        <v>105</v>
      </c>
      <c r="AD236" s="7">
        <v>6</v>
      </c>
      <c r="AE236" s="7" t="s">
        <v>519</v>
      </c>
      <c r="AF236" s="7">
        <v>1</v>
      </c>
      <c r="AG236" s="7">
        <v>0</v>
      </c>
      <c r="AH236" s="7">
        <v>0</v>
      </c>
      <c r="AI236" s="7">
        <v>-1</v>
      </c>
      <c r="AJ236" s="7">
        <v>-1</v>
      </c>
      <c r="AK236" s="7" t="s">
        <v>1064</v>
      </c>
      <c r="AL236" s="12" t="s">
        <v>1695</v>
      </c>
      <c r="AM236" s="12" t="s">
        <v>2072</v>
      </c>
    </row>
    <row r="237" spans="1:39" ht="21" customHeight="1" x14ac:dyDescent="0.15">
      <c r="A237" s="42" t="str">
        <f t="shared" si="7"/>
        <v>11101_1</v>
      </c>
      <c r="B237" s="23">
        <v>3</v>
      </c>
      <c r="C237" s="88">
        <v>11101</v>
      </c>
      <c r="D237" s="47" t="str">
        <f ca="1">VLOOKUP($C237,OFFSET(quests!$A$1,0,0,COUNTA(quests!$A:$A),MATCH(D$1,quests!$1:$1,0)-MATCH($C$2,quests!$1:$1,0)+1),MATCH(D$1,quests!$1:$1,0)-MATCH($C$2,quests!$1:$1,0)+1,FALSE)</f>
        <v>【期間限定】 黄の素材</v>
      </c>
      <c r="E237" s="48" t="str">
        <f ca="1">VLOOKUP($C237,OFFSET(quests!$A$1,0,0,COUNTA(quests!$A:$A),MATCH(E$2,quests!$1:$1,0)-MATCH($C$2,quests!$1:$1,0)+1),MATCH(E$2,quests!$1:$1,0)-MATCH($C$2,quests!$1:$1,0)+1,FALSE)</f>
        <v>月曜クエスト</v>
      </c>
      <c r="F237" s="7">
        <v>1</v>
      </c>
      <c r="G237" s="7" t="s">
        <v>570</v>
      </c>
      <c r="H237" s="12" t="s">
        <v>669</v>
      </c>
      <c r="I237" s="12" t="s">
        <v>58</v>
      </c>
      <c r="J237" s="12">
        <v>113</v>
      </c>
      <c r="K237" s="167">
        <v>8</v>
      </c>
      <c r="L237" s="167">
        <v>240</v>
      </c>
      <c r="M237" s="167">
        <v>1</v>
      </c>
      <c r="N237" s="167">
        <v>1</v>
      </c>
      <c r="O237" s="167">
        <v>1</v>
      </c>
      <c r="P237" s="167">
        <v>1</v>
      </c>
      <c r="Q237" s="167">
        <v>1</v>
      </c>
      <c r="R237" s="167">
        <v>3</v>
      </c>
      <c r="S237" s="167" t="s">
        <v>79</v>
      </c>
      <c r="T237" s="167">
        <v>0</v>
      </c>
      <c r="U237" s="7" t="s">
        <v>169</v>
      </c>
      <c r="V237" s="7" t="s">
        <v>169</v>
      </c>
      <c r="W237" s="47" t="str">
        <f t="shared" ca="1" si="8"/>
        <v/>
      </c>
      <c r="X237" s="47">
        <f ca="1">VLOOKUP($C237,OFFSET(quests!$A$1,0,0,COUNTA(quests!$A:$A),MATCH(X$2,quests!$1:$1,0)-MATCH($C$2,quests!$1:$1,0)+1),MATCH(X$2,quests!$1:$1,0)-MATCH($C$2,quests!$1:$1,0)+1,FALSE)</f>
        <v>0</v>
      </c>
      <c r="Y237" s="47">
        <f ca="1">VLOOKUP($C237,OFFSET(quests!$A$1,0,0,COUNTA(quests!$A:$A),MATCH(Y$2,quests!$1:$1,0)-MATCH($C$2,quests!$1:$1,0)+1),MATCH(Y$2,quests!$1:$1,0)-MATCH($C$2,quests!$1:$1,0)+1,FALSE)</f>
        <v>0</v>
      </c>
      <c r="Z237" s="47">
        <f ca="1">VLOOKUP($C237,OFFSET(quests!$A$1,0,0,COUNTA(quests!$A:$A),MATCH(Z$2,quests!$1:$1,0)-MATCH($C$2,quests!$1:$1,0)+1),MATCH(Z$2,quests!$1:$1,0)-MATCH($C$2,quests!$1:$1,0)+1,FALSE)</f>
        <v>0</v>
      </c>
      <c r="AA237" s="47">
        <f ca="1">VLOOKUP($C237,OFFSET(quests!$A$1,0,0,COUNTA(quests!$A:$A),MATCH(AA$2,quests!$1:$1,0)-MATCH($C$2,quests!$1:$1,0)+1),MATCH(AA$2,quests!$1:$1,0)-MATCH($C$2,quests!$1:$1,0)+1,FALSE)</f>
        <v>0</v>
      </c>
      <c r="AB237" s="7" t="s">
        <v>56</v>
      </c>
      <c r="AC237" s="7">
        <v>101</v>
      </c>
      <c r="AD237" s="7">
        <v>6</v>
      </c>
      <c r="AE237" s="7" t="s">
        <v>519</v>
      </c>
      <c r="AF237" s="7">
        <v>14</v>
      </c>
      <c r="AG237" s="7">
        <v>0</v>
      </c>
      <c r="AH237" s="7">
        <v>0</v>
      </c>
      <c r="AI237" s="7">
        <v>-1</v>
      </c>
      <c r="AJ237" s="7">
        <v>-1</v>
      </c>
      <c r="AK237" s="7" t="s">
        <v>1064</v>
      </c>
      <c r="AL237" s="12" t="s">
        <v>1695</v>
      </c>
      <c r="AM237" s="12" t="s">
        <v>2072</v>
      </c>
    </row>
    <row r="238" spans="1:39" ht="21" customHeight="1" x14ac:dyDescent="0.15">
      <c r="A238" s="42" t="str">
        <f t="shared" si="7"/>
        <v>11101_2</v>
      </c>
      <c r="B238" s="23">
        <v>3</v>
      </c>
      <c r="C238" s="88">
        <v>11101</v>
      </c>
      <c r="D238" s="47" t="str">
        <f ca="1">VLOOKUP($C238,OFFSET(quests!$A$1,0,0,COUNTA(quests!$A:$A),MATCH(D$1,quests!$1:$1,0)-MATCH($C$2,quests!$1:$1,0)+1),MATCH(D$1,quests!$1:$1,0)-MATCH($C$2,quests!$1:$1,0)+1,FALSE)</f>
        <v>【期間限定】 黄の素材</v>
      </c>
      <c r="E238" s="48" t="str">
        <f ca="1">VLOOKUP($C238,OFFSET(quests!$A$1,0,0,COUNTA(quests!$A:$A),MATCH(E$2,quests!$1:$1,0)-MATCH($C$2,quests!$1:$1,0)+1),MATCH(E$2,quests!$1:$1,0)-MATCH($C$2,quests!$1:$1,0)+1,FALSE)</f>
        <v>月曜クエスト</v>
      </c>
      <c r="F238" s="7">
        <v>2</v>
      </c>
      <c r="G238" s="7" t="s">
        <v>570</v>
      </c>
      <c r="H238" s="12" t="s">
        <v>687</v>
      </c>
      <c r="I238" s="12" t="s">
        <v>59</v>
      </c>
      <c r="J238" s="12">
        <v>114</v>
      </c>
      <c r="K238" s="167">
        <v>15</v>
      </c>
      <c r="L238" s="167">
        <v>525</v>
      </c>
      <c r="M238" s="167">
        <v>1</v>
      </c>
      <c r="N238" s="167">
        <v>1</v>
      </c>
      <c r="O238" s="167">
        <v>1</v>
      </c>
      <c r="P238" s="167">
        <v>1</v>
      </c>
      <c r="Q238" s="167">
        <v>1</v>
      </c>
      <c r="R238" s="167">
        <v>3</v>
      </c>
      <c r="S238" s="167" t="s">
        <v>79</v>
      </c>
      <c r="T238" s="167">
        <v>0</v>
      </c>
      <c r="U238" s="7" t="s">
        <v>169</v>
      </c>
      <c r="V238" s="7" t="s">
        <v>169</v>
      </c>
      <c r="W238" s="47" t="str">
        <f t="shared" ca="1" si="8"/>
        <v/>
      </c>
      <c r="X238" s="47">
        <f ca="1">VLOOKUP($C238,OFFSET(quests!$A$1,0,0,COUNTA(quests!$A:$A),MATCH(X$2,quests!$1:$1,0)-MATCH($C$2,quests!$1:$1,0)+1),MATCH(X$2,quests!$1:$1,0)-MATCH($C$2,quests!$1:$1,0)+1,FALSE)</f>
        <v>0</v>
      </c>
      <c r="Y238" s="47">
        <f ca="1">VLOOKUP($C238,OFFSET(quests!$A$1,0,0,COUNTA(quests!$A:$A),MATCH(Y$2,quests!$1:$1,0)-MATCH($C$2,quests!$1:$1,0)+1),MATCH(Y$2,quests!$1:$1,0)-MATCH($C$2,quests!$1:$1,0)+1,FALSE)</f>
        <v>0</v>
      </c>
      <c r="Z238" s="47">
        <f ca="1">VLOOKUP($C238,OFFSET(quests!$A$1,0,0,COUNTA(quests!$A:$A),MATCH(Z$2,quests!$1:$1,0)-MATCH($C$2,quests!$1:$1,0)+1),MATCH(Z$2,quests!$1:$1,0)-MATCH($C$2,quests!$1:$1,0)+1,FALSE)</f>
        <v>0</v>
      </c>
      <c r="AA238" s="47">
        <f ca="1">VLOOKUP($C238,OFFSET(quests!$A$1,0,0,COUNTA(quests!$A:$A),MATCH(AA$2,quests!$1:$1,0)-MATCH($C$2,quests!$1:$1,0)+1),MATCH(AA$2,quests!$1:$1,0)-MATCH($C$2,quests!$1:$1,0)+1,FALSE)</f>
        <v>0</v>
      </c>
      <c r="AB238" s="7" t="s">
        <v>56</v>
      </c>
      <c r="AC238" s="7">
        <v>101</v>
      </c>
      <c r="AD238" s="7">
        <v>6</v>
      </c>
      <c r="AE238" s="7" t="s">
        <v>519</v>
      </c>
      <c r="AF238" s="7">
        <v>14</v>
      </c>
      <c r="AG238" s="7">
        <v>0</v>
      </c>
      <c r="AH238" s="7">
        <v>0</v>
      </c>
      <c r="AI238" s="7">
        <v>-1</v>
      </c>
      <c r="AJ238" s="7">
        <v>-1</v>
      </c>
      <c r="AK238" s="7" t="s">
        <v>1064</v>
      </c>
      <c r="AL238" s="12" t="s">
        <v>1695</v>
      </c>
      <c r="AM238" s="12" t="s">
        <v>2072</v>
      </c>
    </row>
    <row r="239" spans="1:39" ht="21" customHeight="1" x14ac:dyDescent="0.15">
      <c r="A239" s="42" t="str">
        <f t="shared" si="7"/>
        <v>11101_3</v>
      </c>
      <c r="B239" s="204">
        <v>0</v>
      </c>
      <c r="C239" s="135">
        <v>11101</v>
      </c>
      <c r="D239" s="151" t="str">
        <f ca="1">VLOOKUP($C239,OFFSET(quests!$A$1,0,0,COUNTA(quests!$A:$A),MATCH(D$1,quests!$1:$1,0)-MATCH($C$2,quests!$1:$1,0)+1),MATCH(D$1,quests!$1:$1,0)-MATCH($C$2,quests!$1:$1,0)+1,FALSE)</f>
        <v>【期間限定】 黄の素材</v>
      </c>
      <c r="E239" s="152" t="str">
        <f ca="1">VLOOKUP($C239,OFFSET(quests!$A$1,0,0,COUNTA(quests!$A:$A),MATCH(E$2,quests!$1:$1,0)-MATCH($C$2,quests!$1:$1,0)+1),MATCH(E$2,quests!$1:$1,0)-MATCH($C$2,quests!$1:$1,0)+1,FALSE)</f>
        <v>月曜クエスト</v>
      </c>
      <c r="F239" s="153">
        <v>3</v>
      </c>
      <c r="G239" s="153" t="s">
        <v>570</v>
      </c>
      <c r="H239" s="137" t="s">
        <v>671</v>
      </c>
      <c r="I239" s="137" t="s">
        <v>60</v>
      </c>
      <c r="J239" s="137">
        <v>115</v>
      </c>
      <c r="K239" s="153">
        <v>20</v>
      </c>
      <c r="L239" s="153">
        <v>860</v>
      </c>
      <c r="M239" s="153">
        <v>1</v>
      </c>
      <c r="N239" s="153">
        <v>1</v>
      </c>
      <c r="O239" s="153">
        <v>1</v>
      </c>
      <c r="P239" s="153">
        <v>1</v>
      </c>
      <c r="Q239" s="153">
        <v>1</v>
      </c>
      <c r="R239" s="153">
        <v>3</v>
      </c>
      <c r="S239" s="153" t="s">
        <v>79</v>
      </c>
      <c r="T239" s="153">
        <v>0</v>
      </c>
      <c r="U239" s="153" t="s">
        <v>169</v>
      </c>
      <c r="V239" s="153" t="s">
        <v>169</v>
      </c>
      <c r="W239" s="151" t="str">
        <f t="shared" ca="1" si="8"/>
        <v/>
      </c>
      <c r="X239" s="151">
        <f ca="1">VLOOKUP($C239,OFFSET(quests!$A$1,0,0,COUNTA(quests!$A:$A),MATCH(X$2,quests!$1:$1,0)-MATCH($C$2,quests!$1:$1,0)+1),MATCH(X$2,quests!$1:$1,0)-MATCH($C$2,quests!$1:$1,0)+1,FALSE)</f>
        <v>0</v>
      </c>
      <c r="Y239" s="151">
        <f ca="1">VLOOKUP($C239,OFFSET(quests!$A$1,0,0,COUNTA(quests!$A:$A),MATCH(Y$2,quests!$1:$1,0)-MATCH($C$2,quests!$1:$1,0)+1),MATCH(Y$2,quests!$1:$1,0)-MATCH($C$2,quests!$1:$1,0)+1,FALSE)</f>
        <v>0</v>
      </c>
      <c r="Z239" s="151">
        <f ca="1">VLOOKUP($C239,OFFSET(quests!$A$1,0,0,COUNTA(quests!$A:$A),MATCH(Z$2,quests!$1:$1,0)-MATCH($C$2,quests!$1:$1,0)+1),MATCH(Z$2,quests!$1:$1,0)-MATCH($C$2,quests!$1:$1,0)+1,FALSE)</f>
        <v>0</v>
      </c>
      <c r="AA239" s="151">
        <f ca="1">VLOOKUP($C239,OFFSET(quests!$A$1,0,0,COUNTA(quests!$A:$A),MATCH(AA$2,quests!$1:$1,0)-MATCH($C$2,quests!$1:$1,0)+1),MATCH(AA$2,quests!$1:$1,0)-MATCH($C$2,quests!$1:$1,0)+1,FALSE)</f>
        <v>0</v>
      </c>
      <c r="AB239" s="153" t="s">
        <v>56</v>
      </c>
      <c r="AC239" s="153">
        <v>101</v>
      </c>
      <c r="AD239" s="153">
        <v>6</v>
      </c>
      <c r="AE239" s="153" t="s">
        <v>519</v>
      </c>
      <c r="AF239" s="153">
        <v>14</v>
      </c>
      <c r="AG239" s="153">
        <v>0</v>
      </c>
      <c r="AH239" s="153">
        <v>0</v>
      </c>
      <c r="AI239" s="153">
        <v>-1</v>
      </c>
      <c r="AJ239" s="153">
        <v>-1</v>
      </c>
      <c r="AK239" s="153" t="s">
        <v>1064</v>
      </c>
      <c r="AL239" s="12" t="s">
        <v>1695</v>
      </c>
      <c r="AM239" s="12" t="s">
        <v>2072</v>
      </c>
    </row>
    <row r="240" spans="1:39" ht="21" customHeight="1" x14ac:dyDescent="0.15">
      <c r="A240" s="42" t="str">
        <f t="shared" si="7"/>
        <v>11101_4</v>
      </c>
      <c r="B240" s="23">
        <v>3</v>
      </c>
      <c r="C240" s="88">
        <v>11101</v>
      </c>
      <c r="D240" s="47" t="str">
        <f ca="1">VLOOKUP($C240,OFFSET(quests!$A$1,0,0,COUNTA(quests!$A:$A),MATCH(D$1,quests!$1:$1,0)-MATCH($C$2,quests!$1:$1,0)+1),MATCH(D$1,quests!$1:$1,0)-MATCH($C$2,quests!$1:$1,0)+1,FALSE)</f>
        <v>【期間限定】 黄の素材</v>
      </c>
      <c r="E240" s="48" t="str">
        <f ca="1">VLOOKUP($C240,OFFSET(quests!$A$1,0,0,COUNTA(quests!$A:$A),MATCH(E$2,quests!$1:$1,0)-MATCH($C$2,quests!$1:$1,0)+1),MATCH(E$2,quests!$1:$1,0)-MATCH($C$2,quests!$1:$1,0)+1,FALSE)</f>
        <v>月曜クエスト</v>
      </c>
      <c r="F240" s="7">
        <v>4</v>
      </c>
      <c r="G240" s="7" t="s">
        <v>570</v>
      </c>
      <c r="H240" s="12" t="s">
        <v>671</v>
      </c>
      <c r="I240" s="12" t="s">
        <v>60</v>
      </c>
      <c r="J240" s="12">
        <v>115</v>
      </c>
      <c r="K240" s="167">
        <v>20</v>
      </c>
      <c r="L240" s="167">
        <v>860</v>
      </c>
      <c r="M240" s="167">
        <v>1</v>
      </c>
      <c r="N240" s="167">
        <v>1</v>
      </c>
      <c r="O240" s="167">
        <v>1</v>
      </c>
      <c r="P240" s="167">
        <v>1</v>
      </c>
      <c r="Q240" s="167">
        <v>1</v>
      </c>
      <c r="R240" s="167">
        <v>3</v>
      </c>
      <c r="S240" s="167" t="s">
        <v>79</v>
      </c>
      <c r="T240" s="167">
        <v>0</v>
      </c>
      <c r="U240" s="7" t="s">
        <v>169</v>
      </c>
      <c r="V240" s="7" t="s">
        <v>169</v>
      </c>
      <c r="W240" s="47" t="str">
        <f t="shared" ca="1" si="8"/>
        <v/>
      </c>
      <c r="X240" s="47">
        <f ca="1">VLOOKUP($C240,OFFSET(quests!$A$1,0,0,COUNTA(quests!$A:$A),MATCH(X$2,quests!$1:$1,0)-MATCH($C$2,quests!$1:$1,0)+1),MATCH(X$2,quests!$1:$1,0)-MATCH($C$2,quests!$1:$1,0)+1,FALSE)</f>
        <v>0</v>
      </c>
      <c r="Y240" s="47">
        <f ca="1">VLOOKUP($C240,OFFSET(quests!$A$1,0,0,COUNTA(quests!$A:$A),MATCH(Y$2,quests!$1:$1,0)-MATCH($C$2,quests!$1:$1,0)+1),MATCH(Y$2,quests!$1:$1,0)-MATCH($C$2,quests!$1:$1,0)+1,FALSE)</f>
        <v>0</v>
      </c>
      <c r="Z240" s="47">
        <f ca="1">VLOOKUP($C240,OFFSET(quests!$A$1,0,0,COUNTA(quests!$A:$A),MATCH(Z$2,quests!$1:$1,0)-MATCH($C$2,quests!$1:$1,0)+1),MATCH(Z$2,quests!$1:$1,0)-MATCH($C$2,quests!$1:$1,0)+1,FALSE)</f>
        <v>0</v>
      </c>
      <c r="AA240" s="47">
        <f ca="1">VLOOKUP($C240,OFFSET(quests!$A$1,0,0,COUNTA(quests!$A:$A),MATCH(AA$2,quests!$1:$1,0)-MATCH($C$2,quests!$1:$1,0)+1),MATCH(AA$2,quests!$1:$1,0)-MATCH($C$2,quests!$1:$1,0)+1,FALSE)</f>
        <v>0</v>
      </c>
      <c r="AB240" s="7" t="s">
        <v>56</v>
      </c>
      <c r="AC240" s="7">
        <v>101</v>
      </c>
      <c r="AD240" s="7">
        <v>6</v>
      </c>
      <c r="AE240" s="7" t="s">
        <v>519</v>
      </c>
      <c r="AF240" s="7">
        <v>14</v>
      </c>
      <c r="AG240" s="7">
        <v>0</v>
      </c>
      <c r="AH240" s="7">
        <v>0</v>
      </c>
      <c r="AI240" s="7">
        <v>-1</v>
      </c>
      <c r="AJ240" s="7">
        <v>-1</v>
      </c>
      <c r="AK240" s="7" t="s">
        <v>1064</v>
      </c>
      <c r="AL240" s="12" t="s">
        <v>1695</v>
      </c>
      <c r="AM240" s="12" t="s">
        <v>2072</v>
      </c>
    </row>
    <row r="241" spans="1:39" ht="21" customHeight="1" x14ac:dyDescent="0.15">
      <c r="A241" s="42" t="str">
        <f t="shared" si="7"/>
        <v>11101_10</v>
      </c>
      <c r="B241" s="23">
        <v>3</v>
      </c>
      <c r="C241" s="88">
        <v>11101</v>
      </c>
      <c r="D241" s="47" t="str">
        <f ca="1">VLOOKUP($C241,OFFSET(quests!$A$1,0,0,COUNTA(quests!$A:$A),MATCH(D$1,quests!$1:$1,0)-MATCH($C$2,quests!$1:$1,0)+1),MATCH(D$1,quests!$1:$1,0)-MATCH($C$2,quests!$1:$1,0)+1,FALSE)</f>
        <v>【期間限定】 黄の素材</v>
      </c>
      <c r="E241" s="48" t="str">
        <f ca="1">VLOOKUP($C241,OFFSET(quests!$A$1,0,0,COUNTA(quests!$A:$A),MATCH(E$2,quests!$1:$1,0)-MATCH($C$2,quests!$1:$1,0)+1),MATCH(E$2,quests!$1:$1,0)-MATCH($C$2,quests!$1:$1,0)+1,FALSE)</f>
        <v>月曜クエスト</v>
      </c>
      <c r="F241" s="7">
        <v>10</v>
      </c>
      <c r="G241" s="7" t="s">
        <v>570</v>
      </c>
      <c r="H241" s="23" t="s">
        <v>1130</v>
      </c>
      <c r="I241" s="12" t="s">
        <v>1113</v>
      </c>
      <c r="J241" s="12">
        <v>359</v>
      </c>
      <c r="K241" s="167">
        <v>35</v>
      </c>
      <c r="L241" s="167">
        <v>2240</v>
      </c>
      <c r="M241" s="167">
        <v>1</v>
      </c>
      <c r="N241" s="167">
        <v>1</v>
      </c>
      <c r="O241" s="167">
        <v>1</v>
      </c>
      <c r="P241" s="167">
        <v>1</v>
      </c>
      <c r="Q241" s="167">
        <v>1</v>
      </c>
      <c r="R241" s="167">
        <v>3</v>
      </c>
      <c r="S241" s="167" t="s">
        <v>79</v>
      </c>
      <c r="T241" s="167">
        <v>0</v>
      </c>
      <c r="U241" s="7" t="s">
        <v>169</v>
      </c>
      <c r="V241" s="7" t="s">
        <v>169</v>
      </c>
      <c r="W241" s="47" t="str">
        <f t="shared" ca="1" si="8"/>
        <v/>
      </c>
      <c r="X241" s="47">
        <f ca="1">VLOOKUP($C241,OFFSET(quests!$A$1,0,0,COUNTA(quests!$A:$A),MATCH(X$2,quests!$1:$1,0)-MATCH($C$2,quests!$1:$1,0)+1),MATCH(X$2,quests!$1:$1,0)-MATCH($C$2,quests!$1:$1,0)+1,FALSE)</f>
        <v>0</v>
      </c>
      <c r="Y241" s="47">
        <f ca="1">VLOOKUP($C241,OFFSET(quests!$A$1,0,0,COUNTA(quests!$A:$A),MATCH(Y$2,quests!$1:$1,0)-MATCH($C$2,quests!$1:$1,0)+1),MATCH(Y$2,quests!$1:$1,0)-MATCH($C$2,quests!$1:$1,0)+1,FALSE)</f>
        <v>0</v>
      </c>
      <c r="Z241" s="47">
        <f ca="1">VLOOKUP($C241,OFFSET(quests!$A$1,0,0,COUNTA(quests!$A:$A),MATCH(Z$2,quests!$1:$1,0)-MATCH($C$2,quests!$1:$1,0)+1),MATCH(Z$2,quests!$1:$1,0)-MATCH($C$2,quests!$1:$1,0)+1,FALSE)</f>
        <v>0</v>
      </c>
      <c r="AA241" s="47">
        <f ca="1">VLOOKUP($C241,OFFSET(quests!$A$1,0,0,COUNTA(quests!$A:$A),MATCH(AA$2,quests!$1:$1,0)-MATCH($C$2,quests!$1:$1,0)+1),MATCH(AA$2,quests!$1:$1,0)-MATCH($C$2,quests!$1:$1,0)+1,FALSE)</f>
        <v>0</v>
      </c>
      <c r="AB241" s="7" t="s">
        <v>56</v>
      </c>
      <c r="AC241" s="7">
        <v>101</v>
      </c>
      <c r="AD241" s="7">
        <v>6</v>
      </c>
      <c r="AE241" s="7" t="s">
        <v>519</v>
      </c>
      <c r="AF241" s="7">
        <v>14</v>
      </c>
      <c r="AG241" s="7">
        <v>0</v>
      </c>
      <c r="AH241" s="7">
        <v>0</v>
      </c>
      <c r="AI241" s="7">
        <v>-1</v>
      </c>
      <c r="AJ241" s="7">
        <v>-1</v>
      </c>
      <c r="AK241" s="7" t="s">
        <v>1064</v>
      </c>
      <c r="AL241" s="12" t="s">
        <v>1695</v>
      </c>
      <c r="AM241" s="12" t="s">
        <v>2072</v>
      </c>
    </row>
    <row r="242" spans="1:39" ht="21" customHeight="1" x14ac:dyDescent="0.15">
      <c r="A242" s="42" t="str">
        <f t="shared" si="7"/>
        <v>11102_1</v>
      </c>
      <c r="B242" s="23">
        <v>3</v>
      </c>
      <c r="C242" s="88">
        <v>11102</v>
      </c>
      <c r="D242" s="47" t="str">
        <f ca="1">VLOOKUP($C242,OFFSET(quests!$A$1,0,0,COUNTA(quests!$A:$A),MATCH(D$1,quests!$1:$1,0)-MATCH($C$2,quests!$1:$1,0)+1),MATCH(D$1,quests!$1:$1,0)-MATCH($C$2,quests!$1:$1,0)+1,FALSE)</f>
        <v>【期間限定】 赤の素材</v>
      </c>
      <c r="E242" s="48" t="str">
        <f ca="1">VLOOKUP($C242,OFFSET(quests!$A$1,0,0,COUNTA(quests!$A:$A),MATCH(E$2,quests!$1:$1,0)-MATCH($C$2,quests!$1:$1,0)+1),MATCH(E$2,quests!$1:$1,0)-MATCH($C$2,quests!$1:$1,0)+1,FALSE)</f>
        <v>火曜クエスト</v>
      </c>
      <c r="F242" s="7">
        <v>1</v>
      </c>
      <c r="G242" s="7" t="s">
        <v>570</v>
      </c>
      <c r="H242" s="12" t="s">
        <v>672</v>
      </c>
      <c r="I242" s="12" t="s">
        <v>58</v>
      </c>
      <c r="J242" s="12">
        <v>101</v>
      </c>
      <c r="K242" s="167">
        <v>8</v>
      </c>
      <c r="L242" s="167">
        <v>240</v>
      </c>
      <c r="M242" s="167">
        <v>1</v>
      </c>
      <c r="N242" s="167">
        <v>1</v>
      </c>
      <c r="O242" s="167">
        <v>1</v>
      </c>
      <c r="P242" s="167">
        <v>1</v>
      </c>
      <c r="Q242" s="167">
        <v>1</v>
      </c>
      <c r="R242" s="167">
        <v>3</v>
      </c>
      <c r="S242" s="167" t="s">
        <v>79</v>
      </c>
      <c r="T242" s="167">
        <v>0</v>
      </c>
      <c r="U242" s="7" t="s">
        <v>169</v>
      </c>
      <c r="V242" s="7" t="s">
        <v>169</v>
      </c>
      <c r="W242" s="47" t="str">
        <f t="shared" ca="1" si="8"/>
        <v/>
      </c>
      <c r="X242" s="47">
        <f ca="1">VLOOKUP($C242,OFFSET(quests!$A$1,0,0,COUNTA(quests!$A:$A),MATCH(X$2,quests!$1:$1,0)-MATCH($C$2,quests!$1:$1,0)+1),MATCH(X$2,quests!$1:$1,0)-MATCH($C$2,quests!$1:$1,0)+1,FALSE)</f>
        <v>0</v>
      </c>
      <c r="Y242" s="47">
        <f ca="1">VLOOKUP($C242,OFFSET(quests!$A$1,0,0,COUNTA(quests!$A:$A),MATCH(Y$2,quests!$1:$1,0)-MATCH($C$2,quests!$1:$1,0)+1),MATCH(Y$2,quests!$1:$1,0)-MATCH($C$2,quests!$1:$1,0)+1,FALSE)</f>
        <v>0</v>
      </c>
      <c r="Z242" s="47">
        <f ca="1">VLOOKUP($C242,OFFSET(quests!$A$1,0,0,COUNTA(quests!$A:$A),MATCH(Z$2,quests!$1:$1,0)-MATCH($C$2,quests!$1:$1,0)+1),MATCH(Z$2,quests!$1:$1,0)-MATCH($C$2,quests!$1:$1,0)+1,FALSE)</f>
        <v>0</v>
      </c>
      <c r="AA242" s="47">
        <f ca="1">VLOOKUP($C242,OFFSET(quests!$A$1,0,0,COUNTA(quests!$A:$A),MATCH(AA$2,quests!$1:$1,0)-MATCH($C$2,quests!$1:$1,0)+1),MATCH(AA$2,quests!$1:$1,0)-MATCH($C$2,quests!$1:$1,0)+1,FALSE)</f>
        <v>0</v>
      </c>
      <c r="AB242" s="7" t="s">
        <v>56</v>
      </c>
      <c r="AC242" s="7">
        <v>102</v>
      </c>
      <c r="AD242" s="7">
        <v>6</v>
      </c>
      <c r="AE242" s="7" t="s">
        <v>519</v>
      </c>
      <c r="AF242" s="7">
        <v>14</v>
      </c>
      <c r="AG242" s="7">
        <v>0</v>
      </c>
      <c r="AH242" s="7">
        <v>0</v>
      </c>
      <c r="AI242" s="7">
        <v>-1</v>
      </c>
      <c r="AJ242" s="7">
        <v>-1</v>
      </c>
      <c r="AK242" s="7" t="s">
        <v>1064</v>
      </c>
      <c r="AL242" s="12" t="s">
        <v>1695</v>
      </c>
      <c r="AM242" s="12" t="s">
        <v>2072</v>
      </c>
    </row>
    <row r="243" spans="1:39" ht="21" customHeight="1" x14ac:dyDescent="0.15">
      <c r="A243" s="42" t="str">
        <f t="shared" si="7"/>
        <v>11102_2</v>
      </c>
      <c r="B243" s="23">
        <v>3</v>
      </c>
      <c r="C243" s="88">
        <v>11102</v>
      </c>
      <c r="D243" s="47" t="str">
        <f ca="1">VLOOKUP($C243,OFFSET(quests!$A$1,0,0,COUNTA(quests!$A:$A),MATCH(D$1,quests!$1:$1,0)-MATCH($C$2,quests!$1:$1,0)+1),MATCH(D$1,quests!$1:$1,0)-MATCH($C$2,quests!$1:$1,0)+1,FALSE)</f>
        <v>【期間限定】 赤の素材</v>
      </c>
      <c r="E243" s="48" t="str">
        <f ca="1">VLOOKUP($C243,OFFSET(quests!$A$1,0,0,COUNTA(quests!$A:$A),MATCH(E$2,quests!$1:$1,0)-MATCH($C$2,quests!$1:$1,0)+1),MATCH(E$2,quests!$1:$1,0)-MATCH($C$2,quests!$1:$1,0)+1,FALSE)</f>
        <v>火曜クエスト</v>
      </c>
      <c r="F243" s="7">
        <v>2</v>
      </c>
      <c r="G243" s="7" t="s">
        <v>570</v>
      </c>
      <c r="H243" s="12" t="s">
        <v>673</v>
      </c>
      <c r="I243" s="12" t="s">
        <v>59</v>
      </c>
      <c r="J243" s="12">
        <v>102</v>
      </c>
      <c r="K243" s="167">
        <v>15</v>
      </c>
      <c r="L243" s="167">
        <v>525</v>
      </c>
      <c r="M243" s="167">
        <v>1</v>
      </c>
      <c r="N243" s="167">
        <v>1</v>
      </c>
      <c r="O243" s="167">
        <v>1</v>
      </c>
      <c r="P243" s="167">
        <v>1</v>
      </c>
      <c r="Q243" s="185">
        <v>1</v>
      </c>
      <c r="R243" s="167">
        <v>3</v>
      </c>
      <c r="S243" s="167" t="s">
        <v>79</v>
      </c>
      <c r="T243" s="167">
        <v>0</v>
      </c>
      <c r="U243" s="7" t="s">
        <v>169</v>
      </c>
      <c r="V243" s="7" t="s">
        <v>169</v>
      </c>
      <c r="W243" s="47" t="str">
        <f t="shared" ca="1" si="8"/>
        <v/>
      </c>
      <c r="X243" s="47">
        <f ca="1">VLOOKUP($C243,OFFSET(quests!$A$1,0,0,COUNTA(quests!$A:$A),MATCH(X$2,quests!$1:$1,0)-MATCH($C$2,quests!$1:$1,0)+1),MATCH(X$2,quests!$1:$1,0)-MATCH($C$2,quests!$1:$1,0)+1,FALSE)</f>
        <v>0</v>
      </c>
      <c r="Y243" s="47">
        <f ca="1">VLOOKUP($C243,OFFSET(quests!$A$1,0,0,COUNTA(quests!$A:$A),MATCH(Y$2,quests!$1:$1,0)-MATCH($C$2,quests!$1:$1,0)+1),MATCH(Y$2,quests!$1:$1,0)-MATCH($C$2,quests!$1:$1,0)+1,FALSE)</f>
        <v>0</v>
      </c>
      <c r="Z243" s="47">
        <f ca="1">VLOOKUP($C243,OFFSET(quests!$A$1,0,0,COUNTA(quests!$A:$A),MATCH(Z$2,quests!$1:$1,0)-MATCH($C$2,quests!$1:$1,0)+1),MATCH(Z$2,quests!$1:$1,0)-MATCH($C$2,quests!$1:$1,0)+1,FALSE)</f>
        <v>0</v>
      </c>
      <c r="AA243" s="47">
        <f ca="1">VLOOKUP($C243,OFFSET(quests!$A$1,0,0,COUNTA(quests!$A:$A),MATCH(AA$2,quests!$1:$1,0)-MATCH($C$2,quests!$1:$1,0)+1),MATCH(AA$2,quests!$1:$1,0)-MATCH($C$2,quests!$1:$1,0)+1,FALSE)</f>
        <v>0</v>
      </c>
      <c r="AB243" s="34" t="s">
        <v>56</v>
      </c>
      <c r="AC243" s="7">
        <v>102</v>
      </c>
      <c r="AD243" s="7">
        <v>6</v>
      </c>
      <c r="AE243" s="7" t="s">
        <v>519</v>
      </c>
      <c r="AF243" s="7">
        <v>14</v>
      </c>
      <c r="AG243" s="7">
        <v>0</v>
      </c>
      <c r="AH243" s="7">
        <v>0</v>
      </c>
      <c r="AI243" s="7">
        <v>-1</v>
      </c>
      <c r="AJ243" s="7">
        <v>-1</v>
      </c>
      <c r="AK243" s="7" t="s">
        <v>1064</v>
      </c>
      <c r="AL243" s="12" t="s">
        <v>1695</v>
      </c>
      <c r="AM243" s="12" t="s">
        <v>2072</v>
      </c>
    </row>
    <row r="244" spans="1:39" ht="21" customHeight="1" x14ac:dyDescent="0.15">
      <c r="A244" s="42" t="str">
        <f t="shared" si="7"/>
        <v>11102_3</v>
      </c>
      <c r="B244" s="204">
        <v>0</v>
      </c>
      <c r="C244" s="135">
        <v>11102</v>
      </c>
      <c r="D244" s="151" t="str">
        <f ca="1">VLOOKUP($C244,OFFSET(quests!$A$1,0,0,COUNTA(quests!$A:$A),MATCH(D$1,quests!$1:$1,0)-MATCH($C$2,quests!$1:$1,0)+1),MATCH(D$1,quests!$1:$1,0)-MATCH($C$2,quests!$1:$1,0)+1,FALSE)</f>
        <v>【期間限定】 赤の素材</v>
      </c>
      <c r="E244" s="152" t="str">
        <f ca="1">VLOOKUP($C244,OFFSET(quests!$A$1,0,0,COUNTA(quests!$A:$A),MATCH(E$2,quests!$1:$1,0)-MATCH($C$2,quests!$1:$1,0)+1),MATCH(E$2,quests!$1:$1,0)-MATCH($C$2,quests!$1:$1,0)+1,FALSE)</f>
        <v>火曜クエスト</v>
      </c>
      <c r="F244" s="153">
        <v>3</v>
      </c>
      <c r="G244" s="153" t="s">
        <v>570</v>
      </c>
      <c r="H244" s="137" t="s">
        <v>674</v>
      </c>
      <c r="I244" s="137" t="s">
        <v>60</v>
      </c>
      <c r="J244" s="137">
        <v>103</v>
      </c>
      <c r="K244" s="153">
        <v>20</v>
      </c>
      <c r="L244" s="153">
        <v>860</v>
      </c>
      <c r="M244" s="153">
        <v>1</v>
      </c>
      <c r="N244" s="153">
        <v>1</v>
      </c>
      <c r="O244" s="153">
        <v>1</v>
      </c>
      <c r="P244" s="153">
        <v>1</v>
      </c>
      <c r="Q244" s="153">
        <v>1</v>
      </c>
      <c r="R244" s="153">
        <v>3</v>
      </c>
      <c r="S244" s="153" t="s">
        <v>79</v>
      </c>
      <c r="T244" s="153">
        <v>0</v>
      </c>
      <c r="U244" s="153" t="s">
        <v>169</v>
      </c>
      <c r="V244" s="153" t="s">
        <v>169</v>
      </c>
      <c r="W244" s="151" t="str">
        <f t="shared" ca="1" si="8"/>
        <v/>
      </c>
      <c r="X244" s="151">
        <f ca="1">VLOOKUP($C244,OFFSET(quests!$A$1,0,0,COUNTA(quests!$A:$A),MATCH(X$2,quests!$1:$1,0)-MATCH($C$2,quests!$1:$1,0)+1),MATCH(X$2,quests!$1:$1,0)-MATCH($C$2,quests!$1:$1,0)+1,FALSE)</f>
        <v>0</v>
      </c>
      <c r="Y244" s="151">
        <f ca="1">VLOOKUP($C244,OFFSET(quests!$A$1,0,0,COUNTA(quests!$A:$A),MATCH(Y$2,quests!$1:$1,0)-MATCH($C$2,quests!$1:$1,0)+1),MATCH(Y$2,quests!$1:$1,0)-MATCH($C$2,quests!$1:$1,0)+1,FALSE)</f>
        <v>0</v>
      </c>
      <c r="Z244" s="151">
        <f ca="1">VLOOKUP($C244,OFFSET(quests!$A$1,0,0,COUNTA(quests!$A:$A),MATCH(Z$2,quests!$1:$1,0)-MATCH($C$2,quests!$1:$1,0)+1),MATCH(Z$2,quests!$1:$1,0)-MATCH($C$2,quests!$1:$1,0)+1,FALSE)</f>
        <v>0</v>
      </c>
      <c r="AA244" s="151">
        <f ca="1">VLOOKUP($C244,OFFSET(quests!$A$1,0,0,COUNTA(quests!$A:$A),MATCH(AA$2,quests!$1:$1,0)-MATCH($C$2,quests!$1:$1,0)+1),MATCH(AA$2,quests!$1:$1,0)-MATCH($C$2,quests!$1:$1,0)+1,FALSE)</f>
        <v>0</v>
      </c>
      <c r="AB244" s="153" t="s">
        <v>56</v>
      </c>
      <c r="AC244" s="153">
        <v>102</v>
      </c>
      <c r="AD244" s="153">
        <v>6</v>
      </c>
      <c r="AE244" s="153" t="s">
        <v>519</v>
      </c>
      <c r="AF244" s="153">
        <v>14</v>
      </c>
      <c r="AG244" s="153">
        <v>0</v>
      </c>
      <c r="AH244" s="153">
        <v>0</v>
      </c>
      <c r="AI244" s="153">
        <v>-1</v>
      </c>
      <c r="AJ244" s="153">
        <v>-1</v>
      </c>
      <c r="AK244" s="153" t="s">
        <v>1064</v>
      </c>
      <c r="AL244" s="12" t="s">
        <v>1695</v>
      </c>
      <c r="AM244" s="12" t="s">
        <v>2072</v>
      </c>
    </row>
    <row r="245" spans="1:39" ht="21" customHeight="1" x14ac:dyDescent="0.15">
      <c r="A245" s="42" t="str">
        <f t="shared" si="7"/>
        <v>11102_4</v>
      </c>
      <c r="B245" s="23">
        <v>3</v>
      </c>
      <c r="C245" s="88">
        <v>11102</v>
      </c>
      <c r="D245" s="47" t="str">
        <f ca="1">VLOOKUP($C245,OFFSET(quests!$A$1,0,0,COUNTA(quests!$A:$A),MATCH(D$1,quests!$1:$1,0)-MATCH($C$2,quests!$1:$1,0)+1),MATCH(D$1,quests!$1:$1,0)-MATCH($C$2,quests!$1:$1,0)+1,FALSE)</f>
        <v>【期間限定】 赤の素材</v>
      </c>
      <c r="E245" s="48" t="str">
        <f ca="1">VLOOKUP($C245,OFFSET(quests!$A$1,0,0,COUNTA(quests!$A:$A),MATCH(E$2,quests!$1:$1,0)-MATCH($C$2,quests!$1:$1,0)+1),MATCH(E$2,quests!$1:$1,0)-MATCH($C$2,quests!$1:$1,0)+1,FALSE)</f>
        <v>火曜クエスト</v>
      </c>
      <c r="F245" s="7">
        <v>4</v>
      </c>
      <c r="G245" s="7" t="s">
        <v>570</v>
      </c>
      <c r="H245" s="12" t="s">
        <v>674</v>
      </c>
      <c r="I245" s="12" t="s">
        <v>60</v>
      </c>
      <c r="J245" s="12">
        <v>103</v>
      </c>
      <c r="K245" s="167">
        <v>20</v>
      </c>
      <c r="L245" s="167">
        <v>860</v>
      </c>
      <c r="M245" s="167">
        <v>1</v>
      </c>
      <c r="N245" s="167">
        <v>1</v>
      </c>
      <c r="O245" s="167">
        <v>1</v>
      </c>
      <c r="P245" s="167">
        <v>1</v>
      </c>
      <c r="Q245" s="167">
        <v>1</v>
      </c>
      <c r="R245" s="167">
        <v>3</v>
      </c>
      <c r="S245" s="167" t="s">
        <v>79</v>
      </c>
      <c r="T245" s="167">
        <v>0</v>
      </c>
      <c r="U245" s="7" t="s">
        <v>169</v>
      </c>
      <c r="V245" s="7" t="s">
        <v>169</v>
      </c>
      <c r="W245" s="47" t="str">
        <f t="shared" ca="1" si="8"/>
        <v/>
      </c>
      <c r="X245" s="47">
        <f ca="1">VLOOKUP($C245,OFFSET(quests!$A$1,0,0,COUNTA(quests!$A:$A),MATCH(X$2,quests!$1:$1,0)-MATCH($C$2,quests!$1:$1,0)+1),MATCH(X$2,quests!$1:$1,0)-MATCH($C$2,quests!$1:$1,0)+1,FALSE)</f>
        <v>0</v>
      </c>
      <c r="Y245" s="47">
        <f ca="1">VLOOKUP($C245,OFFSET(quests!$A$1,0,0,COUNTA(quests!$A:$A),MATCH(Y$2,quests!$1:$1,0)-MATCH($C$2,quests!$1:$1,0)+1),MATCH(Y$2,quests!$1:$1,0)-MATCH($C$2,quests!$1:$1,0)+1,FALSE)</f>
        <v>0</v>
      </c>
      <c r="Z245" s="47">
        <f ca="1">VLOOKUP($C245,OFFSET(quests!$A$1,0,0,COUNTA(quests!$A:$A),MATCH(Z$2,quests!$1:$1,0)-MATCH($C$2,quests!$1:$1,0)+1),MATCH(Z$2,quests!$1:$1,0)-MATCH($C$2,quests!$1:$1,0)+1,FALSE)</f>
        <v>0</v>
      </c>
      <c r="AA245" s="47">
        <f ca="1">VLOOKUP($C245,OFFSET(quests!$A$1,0,0,COUNTA(quests!$A:$A),MATCH(AA$2,quests!$1:$1,0)-MATCH($C$2,quests!$1:$1,0)+1),MATCH(AA$2,quests!$1:$1,0)-MATCH($C$2,quests!$1:$1,0)+1,FALSE)</f>
        <v>0</v>
      </c>
      <c r="AB245" s="7" t="s">
        <v>56</v>
      </c>
      <c r="AC245" s="7">
        <v>102</v>
      </c>
      <c r="AD245" s="7">
        <v>6</v>
      </c>
      <c r="AE245" s="7" t="s">
        <v>519</v>
      </c>
      <c r="AF245" s="7">
        <v>14</v>
      </c>
      <c r="AG245" s="7">
        <v>0</v>
      </c>
      <c r="AH245" s="7">
        <v>0</v>
      </c>
      <c r="AI245" s="7">
        <v>-1</v>
      </c>
      <c r="AJ245" s="7">
        <v>-1</v>
      </c>
      <c r="AK245" s="7" t="s">
        <v>1064</v>
      </c>
      <c r="AL245" s="12" t="s">
        <v>1695</v>
      </c>
      <c r="AM245" s="12" t="s">
        <v>2072</v>
      </c>
    </row>
    <row r="246" spans="1:39" ht="21" customHeight="1" x14ac:dyDescent="0.15">
      <c r="A246" s="42" t="str">
        <f t="shared" si="7"/>
        <v>11102_10</v>
      </c>
      <c r="B246" s="23">
        <v>3</v>
      </c>
      <c r="C246" s="88">
        <v>11102</v>
      </c>
      <c r="D246" s="47" t="str">
        <f ca="1">VLOOKUP($C246,OFFSET(quests!$A$1,0,0,COUNTA(quests!$A:$A),MATCH(D$1,quests!$1:$1,0)-MATCH($C$2,quests!$1:$1,0)+1),MATCH(D$1,quests!$1:$1,0)-MATCH($C$2,quests!$1:$1,0)+1,FALSE)</f>
        <v>【期間限定】 赤の素材</v>
      </c>
      <c r="E246" s="48" t="str">
        <f ca="1">VLOOKUP($C246,OFFSET(quests!$A$1,0,0,COUNTA(quests!$A:$A),MATCH(E$2,quests!$1:$1,0)-MATCH($C$2,quests!$1:$1,0)+1),MATCH(E$2,quests!$1:$1,0)-MATCH($C$2,quests!$1:$1,0)+1,FALSE)</f>
        <v>火曜クエスト</v>
      </c>
      <c r="F246" s="7">
        <v>10</v>
      </c>
      <c r="G246" s="7" t="s">
        <v>382</v>
      </c>
      <c r="H246" s="23" t="s">
        <v>1131</v>
      </c>
      <c r="I246" s="12" t="s">
        <v>1113</v>
      </c>
      <c r="J246" s="12">
        <v>356</v>
      </c>
      <c r="K246" s="167">
        <v>35</v>
      </c>
      <c r="L246" s="167">
        <v>2240</v>
      </c>
      <c r="M246" s="167">
        <v>1</v>
      </c>
      <c r="N246" s="167">
        <v>1</v>
      </c>
      <c r="O246" s="167">
        <v>1</v>
      </c>
      <c r="P246" s="167">
        <v>1</v>
      </c>
      <c r="Q246" s="167">
        <v>1</v>
      </c>
      <c r="R246" s="167">
        <v>3</v>
      </c>
      <c r="S246" s="167" t="s">
        <v>811</v>
      </c>
      <c r="T246" s="167">
        <v>0</v>
      </c>
      <c r="U246" s="7" t="s">
        <v>169</v>
      </c>
      <c r="V246" s="7" t="s">
        <v>169</v>
      </c>
      <c r="W246" s="47" t="str">
        <f t="shared" ca="1" si="8"/>
        <v/>
      </c>
      <c r="X246" s="47">
        <f ca="1">VLOOKUP($C246,OFFSET(quests!$A$1,0,0,COUNTA(quests!$A:$A),MATCH(X$2,quests!$1:$1,0)-MATCH($C$2,quests!$1:$1,0)+1),MATCH(X$2,quests!$1:$1,0)-MATCH($C$2,quests!$1:$1,0)+1,FALSE)</f>
        <v>0</v>
      </c>
      <c r="Y246" s="47">
        <f ca="1">VLOOKUP($C246,OFFSET(quests!$A$1,0,0,COUNTA(quests!$A:$A),MATCH(Y$2,quests!$1:$1,0)-MATCH($C$2,quests!$1:$1,0)+1),MATCH(Y$2,quests!$1:$1,0)-MATCH($C$2,quests!$1:$1,0)+1,FALSE)</f>
        <v>0</v>
      </c>
      <c r="Z246" s="47">
        <f ca="1">VLOOKUP($C246,OFFSET(quests!$A$1,0,0,COUNTA(quests!$A:$A),MATCH(Z$2,quests!$1:$1,0)-MATCH($C$2,quests!$1:$1,0)+1),MATCH(Z$2,quests!$1:$1,0)-MATCH($C$2,quests!$1:$1,0)+1,FALSE)</f>
        <v>0</v>
      </c>
      <c r="AA246" s="47">
        <f ca="1">VLOOKUP($C246,OFFSET(quests!$A$1,0,0,COUNTA(quests!$A:$A),MATCH(AA$2,quests!$1:$1,0)-MATCH($C$2,quests!$1:$1,0)+1),MATCH(AA$2,quests!$1:$1,0)-MATCH($C$2,quests!$1:$1,0)+1,FALSE)</f>
        <v>0</v>
      </c>
      <c r="AB246" s="167" t="s">
        <v>56</v>
      </c>
      <c r="AC246" s="7">
        <v>102</v>
      </c>
      <c r="AD246" s="7">
        <v>6</v>
      </c>
      <c r="AE246" s="7" t="s">
        <v>519</v>
      </c>
      <c r="AF246" s="7">
        <v>14</v>
      </c>
      <c r="AG246" s="7">
        <v>0</v>
      </c>
      <c r="AH246" s="7">
        <v>0</v>
      </c>
      <c r="AI246" s="7">
        <v>-1</v>
      </c>
      <c r="AJ246" s="7">
        <v>-1</v>
      </c>
      <c r="AK246" s="7" t="s">
        <v>1064</v>
      </c>
      <c r="AL246" s="12" t="s">
        <v>1695</v>
      </c>
      <c r="AM246" s="12" t="s">
        <v>2072</v>
      </c>
    </row>
    <row r="247" spans="1:39" ht="21" customHeight="1" x14ac:dyDescent="0.15">
      <c r="A247" s="42" t="str">
        <f t="shared" si="7"/>
        <v>11103_1</v>
      </c>
      <c r="B247" s="23">
        <v>3</v>
      </c>
      <c r="C247" s="88">
        <v>11103</v>
      </c>
      <c r="D247" s="47" t="str">
        <f ca="1">VLOOKUP($C247,OFFSET(quests!$A$1,0,0,COUNTA(quests!$A:$A),MATCH(D$1,quests!$1:$1,0)-MATCH($C$2,quests!$1:$1,0)+1),MATCH(D$1,quests!$1:$1,0)-MATCH($C$2,quests!$1:$1,0)+1,FALSE)</f>
        <v>【期間限定】 青の素材</v>
      </c>
      <c r="E247" s="48" t="str">
        <f ca="1">VLOOKUP($C247,OFFSET(quests!$A$1,0,0,COUNTA(quests!$A:$A),MATCH(E$2,quests!$1:$1,0)-MATCH($C$2,quests!$1:$1,0)+1),MATCH(E$2,quests!$1:$1,0)-MATCH($C$2,quests!$1:$1,0)+1,FALSE)</f>
        <v>水曜クエスト</v>
      </c>
      <c r="F247" s="7">
        <v>1</v>
      </c>
      <c r="G247" s="7" t="s">
        <v>570</v>
      </c>
      <c r="H247" s="12" t="s">
        <v>688</v>
      </c>
      <c r="I247" s="12" t="s">
        <v>58</v>
      </c>
      <c r="J247" s="12">
        <v>109</v>
      </c>
      <c r="K247" s="167">
        <v>8</v>
      </c>
      <c r="L247" s="167">
        <v>240</v>
      </c>
      <c r="M247" s="167">
        <v>1</v>
      </c>
      <c r="N247" s="167">
        <v>1</v>
      </c>
      <c r="O247" s="167">
        <v>1</v>
      </c>
      <c r="P247" s="167">
        <v>1</v>
      </c>
      <c r="Q247" s="167">
        <v>1</v>
      </c>
      <c r="R247" s="167">
        <v>3</v>
      </c>
      <c r="S247" s="167" t="s">
        <v>79</v>
      </c>
      <c r="T247" s="167">
        <v>0</v>
      </c>
      <c r="U247" s="7" t="s">
        <v>169</v>
      </c>
      <c r="V247" s="7" t="s">
        <v>169</v>
      </c>
      <c r="W247" s="47" t="str">
        <f t="shared" ca="1" si="8"/>
        <v/>
      </c>
      <c r="X247" s="47">
        <f ca="1">VLOOKUP($C247,OFFSET(quests!$A$1,0,0,COUNTA(quests!$A:$A),MATCH(X$2,quests!$1:$1,0)-MATCH($C$2,quests!$1:$1,0)+1),MATCH(X$2,quests!$1:$1,0)-MATCH($C$2,quests!$1:$1,0)+1,FALSE)</f>
        <v>0</v>
      </c>
      <c r="Y247" s="47">
        <f ca="1">VLOOKUP($C247,OFFSET(quests!$A$1,0,0,COUNTA(quests!$A:$A),MATCH(Y$2,quests!$1:$1,0)-MATCH($C$2,quests!$1:$1,0)+1),MATCH(Y$2,quests!$1:$1,0)-MATCH($C$2,quests!$1:$1,0)+1,FALSE)</f>
        <v>0</v>
      </c>
      <c r="Z247" s="47">
        <f ca="1">VLOOKUP($C247,OFFSET(quests!$A$1,0,0,COUNTA(quests!$A:$A),MATCH(Z$2,quests!$1:$1,0)-MATCH($C$2,quests!$1:$1,0)+1),MATCH(Z$2,quests!$1:$1,0)-MATCH($C$2,quests!$1:$1,0)+1,FALSE)</f>
        <v>0</v>
      </c>
      <c r="AA247" s="47">
        <f ca="1">VLOOKUP($C247,OFFSET(quests!$A$1,0,0,COUNTA(quests!$A:$A),MATCH(AA$2,quests!$1:$1,0)-MATCH($C$2,quests!$1:$1,0)+1),MATCH(AA$2,quests!$1:$1,0)-MATCH($C$2,quests!$1:$1,0)+1,FALSE)</f>
        <v>0</v>
      </c>
      <c r="AB247" s="7" t="s">
        <v>56</v>
      </c>
      <c r="AC247" s="7">
        <v>103</v>
      </c>
      <c r="AD247" s="7">
        <v>6</v>
      </c>
      <c r="AE247" s="7" t="s">
        <v>519</v>
      </c>
      <c r="AF247" s="7">
        <v>14</v>
      </c>
      <c r="AG247" s="7">
        <v>0</v>
      </c>
      <c r="AH247" s="7">
        <v>0</v>
      </c>
      <c r="AI247" s="7">
        <v>-1</v>
      </c>
      <c r="AJ247" s="7">
        <v>-1</v>
      </c>
      <c r="AK247" s="7" t="s">
        <v>1064</v>
      </c>
      <c r="AL247" s="12" t="s">
        <v>1695</v>
      </c>
      <c r="AM247" s="12" t="s">
        <v>2072</v>
      </c>
    </row>
    <row r="248" spans="1:39" ht="21" customHeight="1" x14ac:dyDescent="0.15">
      <c r="A248" s="42" t="str">
        <f t="shared" si="7"/>
        <v>11103_2</v>
      </c>
      <c r="B248" s="23">
        <v>3</v>
      </c>
      <c r="C248" s="88">
        <v>11103</v>
      </c>
      <c r="D248" s="47" t="str">
        <f ca="1">VLOOKUP($C248,OFFSET(quests!$A$1,0,0,COUNTA(quests!$A:$A),MATCH(D$1,quests!$1:$1,0)-MATCH($C$2,quests!$1:$1,0)+1),MATCH(D$1,quests!$1:$1,0)-MATCH($C$2,quests!$1:$1,0)+1,FALSE)</f>
        <v>【期間限定】 青の素材</v>
      </c>
      <c r="E248" s="48" t="str">
        <f ca="1">VLOOKUP($C248,OFFSET(quests!$A$1,0,0,COUNTA(quests!$A:$A),MATCH(E$2,quests!$1:$1,0)-MATCH($C$2,quests!$1:$1,0)+1),MATCH(E$2,quests!$1:$1,0)-MATCH($C$2,quests!$1:$1,0)+1,FALSE)</f>
        <v>水曜クエスト</v>
      </c>
      <c r="F248" s="7">
        <v>2</v>
      </c>
      <c r="G248" s="7" t="s">
        <v>570</v>
      </c>
      <c r="H248" s="12" t="s">
        <v>676</v>
      </c>
      <c r="I248" s="12" t="s">
        <v>59</v>
      </c>
      <c r="J248" s="12">
        <v>110</v>
      </c>
      <c r="K248" s="167">
        <v>15</v>
      </c>
      <c r="L248" s="167">
        <v>525</v>
      </c>
      <c r="M248" s="167">
        <v>1</v>
      </c>
      <c r="N248" s="167">
        <v>1</v>
      </c>
      <c r="O248" s="167">
        <v>1</v>
      </c>
      <c r="P248" s="167">
        <v>1</v>
      </c>
      <c r="Q248" s="167">
        <v>1</v>
      </c>
      <c r="R248" s="167">
        <v>3</v>
      </c>
      <c r="S248" s="167" t="s">
        <v>79</v>
      </c>
      <c r="T248" s="167">
        <v>0</v>
      </c>
      <c r="U248" s="7" t="s">
        <v>169</v>
      </c>
      <c r="V248" s="7" t="s">
        <v>169</v>
      </c>
      <c r="W248" s="47" t="str">
        <f t="shared" ca="1" si="8"/>
        <v/>
      </c>
      <c r="X248" s="47">
        <f ca="1">VLOOKUP($C248,OFFSET(quests!$A$1,0,0,COUNTA(quests!$A:$A),MATCH(X$2,quests!$1:$1,0)-MATCH($C$2,quests!$1:$1,0)+1),MATCH(X$2,quests!$1:$1,0)-MATCH($C$2,quests!$1:$1,0)+1,FALSE)</f>
        <v>0</v>
      </c>
      <c r="Y248" s="47">
        <f ca="1">VLOOKUP($C248,OFFSET(quests!$A$1,0,0,COUNTA(quests!$A:$A),MATCH(Y$2,quests!$1:$1,0)-MATCH($C$2,quests!$1:$1,0)+1),MATCH(Y$2,quests!$1:$1,0)-MATCH($C$2,quests!$1:$1,0)+1,FALSE)</f>
        <v>0</v>
      </c>
      <c r="Z248" s="47">
        <f ca="1">VLOOKUP($C248,OFFSET(quests!$A$1,0,0,COUNTA(quests!$A:$A),MATCH(Z$2,quests!$1:$1,0)-MATCH($C$2,quests!$1:$1,0)+1),MATCH(Z$2,quests!$1:$1,0)-MATCH($C$2,quests!$1:$1,0)+1,FALSE)</f>
        <v>0</v>
      </c>
      <c r="AA248" s="47">
        <f ca="1">VLOOKUP($C248,OFFSET(quests!$A$1,0,0,COUNTA(quests!$A:$A),MATCH(AA$2,quests!$1:$1,0)-MATCH($C$2,quests!$1:$1,0)+1),MATCH(AA$2,quests!$1:$1,0)-MATCH($C$2,quests!$1:$1,0)+1,FALSE)</f>
        <v>0</v>
      </c>
      <c r="AB248" s="7" t="s">
        <v>56</v>
      </c>
      <c r="AC248" s="7">
        <v>103</v>
      </c>
      <c r="AD248" s="7">
        <v>6</v>
      </c>
      <c r="AE248" s="7" t="s">
        <v>519</v>
      </c>
      <c r="AF248" s="7">
        <v>14</v>
      </c>
      <c r="AG248" s="7">
        <v>0</v>
      </c>
      <c r="AH248" s="7">
        <v>0</v>
      </c>
      <c r="AI248" s="7">
        <v>-1</v>
      </c>
      <c r="AJ248" s="7">
        <v>-1</v>
      </c>
      <c r="AK248" s="7" t="s">
        <v>1064</v>
      </c>
      <c r="AL248" s="12" t="s">
        <v>1695</v>
      </c>
      <c r="AM248" s="12" t="s">
        <v>2072</v>
      </c>
    </row>
    <row r="249" spans="1:39" ht="21" customHeight="1" x14ac:dyDescent="0.15">
      <c r="A249" s="42" t="str">
        <f t="shared" si="7"/>
        <v>11103_3</v>
      </c>
      <c r="B249" s="204">
        <v>0</v>
      </c>
      <c r="C249" s="135">
        <v>11103</v>
      </c>
      <c r="D249" s="151" t="str">
        <f ca="1">VLOOKUP($C249,OFFSET(quests!$A$1,0,0,COUNTA(quests!$A:$A),MATCH(D$1,quests!$1:$1,0)-MATCH($C$2,quests!$1:$1,0)+1),MATCH(D$1,quests!$1:$1,0)-MATCH($C$2,quests!$1:$1,0)+1,FALSE)</f>
        <v>【期間限定】 青の素材</v>
      </c>
      <c r="E249" s="152" t="str">
        <f ca="1">VLOOKUP($C249,OFFSET(quests!$A$1,0,0,COUNTA(quests!$A:$A),MATCH(E$2,quests!$1:$1,0)-MATCH($C$2,quests!$1:$1,0)+1),MATCH(E$2,quests!$1:$1,0)-MATCH($C$2,quests!$1:$1,0)+1,FALSE)</f>
        <v>水曜クエスト</v>
      </c>
      <c r="F249" s="153">
        <v>3</v>
      </c>
      <c r="G249" s="153" t="s">
        <v>570</v>
      </c>
      <c r="H249" s="137" t="s">
        <v>689</v>
      </c>
      <c r="I249" s="137" t="s">
        <v>60</v>
      </c>
      <c r="J249" s="137">
        <v>111</v>
      </c>
      <c r="K249" s="153">
        <v>20</v>
      </c>
      <c r="L249" s="153">
        <v>860</v>
      </c>
      <c r="M249" s="153">
        <v>1</v>
      </c>
      <c r="N249" s="153">
        <v>1</v>
      </c>
      <c r="O249" s="153">
        <v>1</v>
      </c>
      <c r="P249" s="153">
        <v>1</v>
      </c>
      <c r="Q249" s="153">
        <v>1</v>
      </c>
      <c r="R249" s="153">
        <v>3</v>
      </c>
      <c r="S249" s="153" t="s">
        <v>79</v>
      </c>
      <c r="T249" s="153">
        <v>0</v>
      </c>
      <c r="U249" s="153" t="s">
        <v>169</v>
      </c>
      <c r="V249" s="153" t="s">
        <v>169</v>
      </c>
      <c r="W249" s="151" t="str">
        <f t="shared" ca="1" si="8"/>
        <v/>
      </c>
      <c r="X249" s="151">
        <f ca="1">VLOOKUP($C249,OFFSET(quests!$A$1,0,0,COUNTA(quests!$A:$A),MATCH(X$2,quests!$1:$1,0)-MATCH($C$2,quests!$1:$1,0)+1),MATCH(X$2,quests!$1:$1,0)-MATCH($C$2,quests!$1:$1,0)+1,FALSE)</f>
        <v>0</v>
      </c>
      <c r="Y249" s="151">
        <f ca="1">VLOOKUP($C249,OFFSET(quests!$A$1,0,0,COUNTA(quests!$A:$A),MATCH(Y$2,quests!$1:$1,0)-MATCH($C$2,quests!$1:$1,0)+1),MATCH(Y$2,quests!$1:$1,0)-MATCH($C$2,quests!$1:$1,0)+1,FALSE)</f>
        <v>0</v>
      </c>
      <c r="Z249" s="151">
        <f ca="1">VLOOKUP($C249,OFFSET(quests!$A$1,0,0,COUNTA(quests!$A:$A),MATCH(Z$2,quests!$1:$1,0)-MATCH($C$2,quests!$1:$1,0)+1),MATCH(Z$2,quests!$1:$1,0)-MATCH($C$2,quests!$1:$1,0)+1,FALSE)</f>
        <v>0</v>
      </c>
      <c r="AA249" s="151">
        <f ca="1">VLOOKUP($C249,OFFSET(quests!$A$1,0,0,COUNTA(quests!$A:$A),MATCH(AA$2,quests!$1:$1,0)-MATCH($C$2,quests!$1:$1,0)+1),MATCH(AA$2,quests!$1:$1,0)-MATCH($C$2,quests!$1:$1,0)+1,FALSE)</f>
        <v>0</v>
      </c>
      <c r="AB249" s="153" t="s">
        <v>56</v>
      </c>
      <c r="AC249" s="153">
        <v>103</v>
      </c>
      <c r="AD249" s="153">
        <v>6</v>
      </c>
      <c r="AE249" s="153" t="s">
        <v>519</v>
      </c>
      <c r="AF249" s="153">
        <v>14</v>
      </c>
      <c r="AG249" s="153">
        <v>0</v>
      </c>
      <c r="AH249" s="153">
        <v>0</v>
      </c>
      <c r="AI249" s="153">
        <v>-1</v>
      </c>
      <c r="AJ249" s="153">
        <v>-1</v>
      </c>
      <c r="AK249" s="153" t="s">
        <v>1064</v>
      </c>
      <c r="AL249" s="12" t="s">
        <v>1695</v>
      </c>
      <c r="AM249" s="12" t="s">
        <v>2072</v>
      </c>
    </row>
    <row r="250" spans="1:39" ht="21" customHeight="1" x14ac:dyDescent="0.15">
      <c r="A250" s="42" t="str">
        <f t="shared" si="7"/>
        <v>11103_4</v>
      </c>
      <c r="B250" s="23">
        <v>3</v>
      </c>
      <c r="C250" s="88">
        <v>11103</v>
      </c>
      <c r="D250" s="47" t="str">
        <f ca="1">VLOOKUP($C250,OFFSET(quests!$A$1,0,0,COUNTA(quests!$A:$A),MATCH(D$1,quests!$1:$1,0)-MATCH($C$2,quests!$1:$1,0)+1),MATCH(D$1,quests!$1:$1,0)-MATCH($C$2,quests!$1:$1,0)+1,FALSE)</f>
        <v>【期間限定】 青の素材</v>
      </c>
      <c r="E250" s="48" t="str">
        <f ca="1">VLOOKUP($C250,OFFSET(quests!$A$1,0,0,COUNTA(quests!$A:$A),MATCH(E$2,quests!$1:$1,0)-MATCH($C$2,quests!$1:$1,0)+1),MATCH(E$2,quests!$1:$1,0)-MATCH($C$2,quests!$1:$1,0)+1,FALSE)</f>
        <v>水曜クエスト</v>
      </c>
      <c r="F250" s="7">
        <v>4</v>
      </c>
      <c r="G250" s="7" t="s">
        <v>570</v>
      </c>
      <c r="H250" s="12" t="s">
        <v>689</v>
      </c>
      <c r="I250" s="12" t="s">
        <v>60</v>
      </c>
      <c r="J250" s="12">
        <v>111</v>
      </c>
      <c r="K250" s="167">
        <v>20</v>
      </c>
      <c r="L250" s="167">
        <v>860</v>
      </c>
      <c r="M250" s="167">
        <v>1</v>
      </c>
      <c r="N250" s="167">
        <v>1</v>
      </c>
      <c r="O250" s="167">
        <v>1</v>
      </c>
      <c r="P250" s="167">
        <v>1</v>
      </c>
      <c r="Q250" s="167">
        <v>1</v>
      </c>
      <c r="R250" s="167">
        <v>3</v>
      </c>
      <c r="S250" s="167" t="s">
        <v>79</v>
      </c>
      <c r="T250" s="167">
        <v>0</v>
      </c>
      <c r="U250" s="7" t="s">
        <v>169</v>
      </c>
      <c r="V250" s="7" t="s">
        <v>169</v>
      </c>
      <c r="W250" s="47" t="str">
        <f t="shared" ca="1" si="8"/>
        <v/>
      </c>
      <c r="X250" s="47">
        <f ca="1">VLOOKUP($C250,OFFSET(quests!$A$1,0,0,COUNTA(quests!$A:$A),MATCH(X$2,quests!$1:$1,0)-MATCH($C$2,quests!$1:$1,0)+1),MATCH(X$2,quests!$1:$1,0)-MATCH($C$2,quests!$1:$1,0)+1,FALSE)</f>
        <v>0</v>
      </c>
      <c r="Y250" s="47">
        <f ca="1">VLOOKUP($C250,OFFSET(quests!$A$1,0,0,COUNTA(quests!$A:$A),MATCH(Y$2,quests!$1:$1,0)-MATCH($C$2,quests!$1:$1,0)+1),MATCH(Y$2,quests!$1:$1,0)-MATCH($C$2,quests!$1:$1,0)+1,FALSE)</f>
        <v>0</v>
      </c>
      <c r="Z250" s="47">
        <f ca="1">VLOOKUP($C250,OFFSET(quests!$A$1,0,0,COUNTA(quests!$A:$A),MATCH(Z$2,quests!$1:$1,0)-MATCH($C$2,quests!$1:$1,0)+1),MATCH(Z$2,quests!$1:$1,0)-MATCH($C$2,quests!$1:$1,0)+1,FALSE)</f>
        <v>0</v>
      </c>
      <c r="AA250" s="47">
        <f ca="1">VLOOKUP($C250,OFFSET(quests!$A$1,0,0,COUNTA(quests!$A:$A),MATCH(AA$2,quests!$1:$1,0)-MATCH($C$2,quests!$1:$1,0)+1),MATCH(AA$2,quests!$1:$1,0)-MATCH($C$2,quests!$1:$1,0)+1,FALSE)</f>
        <v>0</v>
      </c>
      <c r="AB250" s="7" t="s">
        <v>56</v>
      </c>
      <c r="AC250" s="7">
        <v>103</v>
      </c>
      <c r="AD250" s="7">
        <v>6</v>
      </c>
      <c r="AE250" s="7" t="s">
        <v>519</v>
      </c>
      <c r="AF250" s="7">
        <v>14</v>
      </c>
      <c r="AG250" s="7">
        <v>0</v>
      </c>
      <c r="AH250" s="7">
        <v>0</v>
      </c>
      <c r="AI250" s="7">
        <v>-1</v>
      </c>
      <c r="AJ250" s="7">
        <v>-1</v>
      </c>
      <c r="AK250" s="7" t="s">
        <v>1064</v>
      </c>
      <c r="AL250" s="12" t="s">
        <v>1695</v>
      </c>
      <c r="AM250" s="12" t="s">
        <v>2072</v>
      </c>
    </row>
    <row r="251" spans="1:39" ht="21" customHeight="1" x14ac:dyDescent="0.15">
      <c r="A251" s="42" t="str">
        <f t="shared" si="7"/>
        <v>11103_10</v>
      </c>
      <c r="B251" s="23">
        <v>3</v>
      </c>
      <c r="C251" s="88">
        <v>11103</v>
      </c>
      <c r="D251" s="47" t="str">
        <f ca="1">VLOOKUP($C251,OFFSET(quests!$A$1,0,0,COUNTA(quests!$A:$A),MATCH(D$1,quests!$1:$1,0)-MATCH($C$2,quests!$1:$1,0)+1),MATCH(D$1,quests!$1:$1,0)-MATCH($C$2,quests!$1:$1,0)+1,FALSE)</f>
        <v>【期間限定】 青の素材</v>
      </c>
      <c r="E251" s="48" t="str">
        <f ca="1">VLOOKUP($C251,OFFSET(quests!$A$1,0,0,COUNTA(quests!$A:$A),MATCH(E$2,quests!$1:$1,0)-MATCH($C$2,quests!$1:$1,0)+1),MATCH(E$2,quests!$1:$1,0)-MATCH($C$2,quests!$1:$1,0)+1,FALSE)</f>
        <v>水曜クエスト</v>
      </c>
      <c r="F251" s="7">
        <v>10</v>
      </c>
      <c r="G251" s="7" t="s">
        <v>570</v>
      </c>
      <c r="H251" s="23" t="s">
        <v>1133</v>
      </c>
      <c r="I251" s="12" t="s">
        <v>1113</v>
      </c>
      <c r="J251" s="12">
        <v>358</v>
      </c>
      <c r="K251" s="167">
        <v>35</v>
      </c>
      <c r="L251" s="167">
        <v>2240</v>
      </c>
      <c r="M251" s="167">
        <v>1</v>
      </c>
      <c r="N251" s="167">
        <v>1</v>
      </c>
      <c r="O251" s="167">
        <v>1</v>
      </c>
      <c r="P251" s="167">
        <v>1</v>
      </c>
      <c r="Q251" s="167">
        <v>1</v>
      </c>
      <c r="R251" s="167">
        <v>3</v>
      </c>
      <c r="S251" s="167" t="s">
        <v>79</v>
      </c>
      <c r="T251" s="167">
        <v>0</v>
      </c>
      <c r="U251" s="7" t="s">
        <v>169</v>
      </c>
      <c r="V251" s="7" t="s">
        <v>169</v>
      </c>
      <c r="W251" s="47" t="str">
        <f t="shared" ca="1" si="8"/>
        <v/>
      </c>
      <c r="X251" s="47">
        <f ca="1">VLOOKUP($C251,OFFSET(quests!$A$1,0,0,COUNTA(quests!$A:$A),MATCH(X$2,quests!$1:$1,0)-MATCH($C$2,quests!$1:$1,0)+1),MATCH(X$2,quests!$1:$1,0)-MATCH($C$2,quests!$1:$1,0)+1,FALSE)</f>
        <v>0</v>
      </c>
      <c r="Y251" s="47">
        <f ca="1">VLOOKUP($C251,OFFSET(quests!$A$1,0,0,COUNTA(quests!$A:$A),MATCH(Y$2,quests!$1:$1,0)-MATCH($C$2,quests!$1:$1,0)+1),MATCH(Y$2,quests!$1:$1,0)-MATCH($C$2,quests!$1:$1,0)+1,FALSE)</f>
        <v>0</v>
      </c>
      <c r="Z251" s="47">
        <f ca="1">VLOOKUP($C251,OFFSET(quests!$A$1,0,0,COUNTA(quests!$A:$A),MATCH(Z$2,quests!$1:$1,0)-MATCH($C$2,quests!$1:$1,0)+1),MATCH(Z$2,quests!$1:$1,0)-MATCH($C$2,quests!$1:$1,0)+1,FALSE)</f>
        <v>0</v>
      </c>
      <c r="AA251" s="47">
        <f ca="1">VLOOKUP($C251,OFFSET(quests!$A$1,0,0,COUNTA(quests!$A:$A),MATCH(AA$2,quests!$1:$1,0)-MATCH($C$2,quests!$1:$1,0)+1),MATCH(AA$2,quests!$1:$1,0)-MATCH($C$2,quests!$1:$1,0)+1,FALSE)</f>
        <v>0</v>
      </c>
      <c r="AB251" s="7" t="s">
        <v>56</v>
      </c>
      <c r="AC251" s="7">
        <v>103</v>
      </c>
      <c r="AD251" s="7">
        <v>6</v>
      </c>
      <c r="AE251" s="7" t="s">
        <v>519</v>
      </c>
      <c r="AF251" s="7">
        <v>14</v>
      </c>
      <c r="AG251" s="7">
        <v>0</v>
      </c>
      <c r="AH251" s="7">
        <v>0</v>
      </c>
      <c r="AI251" s="7">
        <v>-1</v>
      </c>
      <c r="AJ251" s="7">
        <v>-1</v>
      </c>
      <c r="AK251" s="7" t="s">
        <v>1064</v>
      </c>
      <c r="AL251" s="12" t="s">
        <v>1695</v>
      </c>
      <c r="AM251" s="12" t="s">
        <v>2072</v>
      </c>
    </row>
    <row r="252" spans="1:39" ht="21" customHeight="1" x14ac:dyDescent="0.15">
      <c r="A252" s="42" t="str">
        <f t="shared" si="7"/>
        <v>11104_1</v>
      </c>
      <c r="B252" s="23">
        <v>3</v>
      </c>
      <c r="C252" s="88">
        <v>11104</v>
      </c>
      <c r="D252" s="47" t="str">
        <f ca="1">VLOOKUP($C252,OFFSET(quests!$A$1,0,0,COUNTA(quests!$A:$A),MATCH(D$1,quests!$1:$1,0)-MATCH($C$2,quests!$1:$1,0)+1),MATCH(D$1,quests!$1:$1,0)-MATCH($C$2,quests!$1:$1,0)+1,FALSE)</f>
        <v>【期間限定】 緑の素材</v>
      </c>
      <c r="E252" s="48" t="str">
        <f ca="1">VLOOKUP($C252,OFFSET(quests!$A$1,0,0,COUNTA(quests!$A:$A),MATCH(E$2,quests!$1:$1,0)-MATCH($C$2,quests!$1:$1,0)+1),MATCH(E$2,quests!$1:$1,0)-MATCH($C$2,quests!$1:$1,0)+1,FALSE)</f>
        <v>木曜クエスト</v>
      </c>
      <c r="F252" s="7">
        <v>1</v>
      </c>
      <c r="G252" s="7" t="s">
        <v>570</v>
      </c>
      <c r="H252" s="12" t="s">
        <v>678</v>
      </c>
      <c r="I252" s="12" t="s">
        <v>58</v>
      </c>
      <c r="J252" s="12">
        <v>105</v>
      </c>
      <c r="K252" s="167">
        <v>8</v>
      </c>
      <c r="L252" s="167">
        <v>240</v>
      </c>
      <c r="M252" s="167">
        <v>1</v>
      </c>
      <c r="N252" s="167">
        <v>1</v>
      </c>
      <c r="O252" s="167">
        <v>1</v>
      </c>
      <c r="P252" s="167">
        <v>1</v>
      </c>
      <c r="Q252" s="167">
        <v>1</v>
      </c>
      <c r="R252" s="167">
        <v>3</v>
      </c>
      <c r="S252" s="167" t="s">
        <v>79</v>
      </c>
      <c r="T252" s="167">
        <v>0</v>
      </c>
      <c r="U252" s="7" t="s">
        <v>169</v>
      </c>
      <c r="V252" s="7" t="s">
        <v>169</v>
      </c>
      <c r="W252" s="47" t="str">
        <f t="shared" ca="1" si="8"/>
        <v/>
      </c>
      <c r="X252" s="47">
        <f ca="1">VLOOKUP($C252,OFFSET(quests!$A$1,0,0,COUNTA(quests!$A:$A),MATCH(X$2,quests!$1:$1,0)-MATCH($C$2,quests!$1:$1,0)+1),MATCH(X$2,quests!$1:$1,0)-MATCH($C$2,quests!$1:$1,0)+1,FALSE)</f>
        <v>0</v>
      </c>
      <c r="Y252" s="47">
        <f ca="1">VLOOKUP($C252,OFFSET(quests!$A$1,0,0,COUNTA(quests!$A:$A),MATCH(Y$2,quests!$1:$1,0)-MATCH($C$2,quests!$1:$1,0)+1),MATCH(Y$2,quests!$1:$1,0)-MATCH($C$2,quests!$1:$1,0)+1,FALSE)</f>
        <v>0</v>
      </c>
      <c r="Z252" s="47">
        <f ca="1">VLOOKUP($C252,OFFSET(quests!$A$1,0,0,COUNTA(quests!$A:$A),MATCH(Z$2,quests!$1:$1,0)-MATCH($C$2,quests!$1:$1,0)+1),MATCH(Z$2,quests!$1:$1,0)-MATCH($C$2,quests!$1:$1,0)+1,FALSE)</f>
        <v>0</v>
      </c>
      <c r="AA252" s="47">
        <f ca="1">VLOOKUP($C252,OFFSET(quests!$A$1,0,0,COUNTA(quests!$A:$A),MATCH(AA$2,quests!$1:$1,0)-MATCH($C$2,quests!$1:$1,0)+1),MATCH(AA$2,quests!$1:$1,0)-MATCH($C$2,quests!$1:$1,0)+1,FALSE)</f>
        <v>0</v>
      </c>
      <c r="AB252" s="7" t="s">
        <v>56</v>
      </c>
      <c r="AC252" s="7">
        <v>104</v>
      </c>
      <c r="AD252" s="7">
        <v>6</v>
      </c>
      <c r="AE252" s="7" t="s">
        <v>519</v>
      </c>
      <c r="AF252" s="7">
        <v>14</v>
      </c>
      <c r="AG252" s="7">
        <v>0</v>
      </c>
      <c r="AH252" s="7">
        <v>0</v>
      </c>
      <c r="AI252" s="7">
        <v>-1</v>
      </c>
      <c r="AJ252" s="7">
        <v>-1</v>
      </c>
      <c r="AK252" s="7" t="s">
        <v>1064</v>
      </c>
      <c r="AL252" s="12" t="s">
        <v>1695</v>
      </c>
      <c r="AM252" s="12" t="s">
        <v>2072</v>
      </c>
    </row>
    <row r="253" spans="1:39" ht="21" customHeight="1" x14ac:dyDescent="0.15">
      <c r="A253" s="42" t="str">
        <f t="shared" si="7"/>
        <v>11104_2</v>
      </c>
      <c r="B253" s="23">
        <v>3</v>
      </c>
      <c r="C253" s="88">
        <v>11104</v>
      </c>
      <c r="D253" s="47" t="str">
        <f ca="1">VLOOKUP($C253,OFFSET(quests!$A$1,0,0,COUNTA(quests!$A:$A),MATCH(D$1,quests!$1:$1,0)-MATCH($C$2,quests!$1:$1,0)+1),MATCH(D$1,quests!$1:$1,0)-MATCH($C$2,quests!$1:$1,0)+1,FALSE)</f>
        <v>【期間限定】 緑の素材</v>
      </c>
      <c r="E253" s="48" t="str">
        <f ca="1">VLOOKUP($C253,OFFSET(quests!$A$1,0,0,COUNTA(quests!$A:$A),MATCH(E$2,quests!$1:$1,0)-MATCH($C$2,quests!$1:$1,0)+1),MATCH(E$2,quests!$1:$1,0)-MATCH($C$2,quests!$1:$1,0)+1,FALSE)</f>
        <v>木曜クエスト</v>
      </c>
      <c r="F253" s="7">
        <v>2</v>
      </c>
      <c r="G253" s="7" t="s">
        <v>570</v>
      </c>
      <c r="H253" s="12" t="s">
        <v>690</v>
      </c>
      <c r="I253" s="12" t="s">
        <v>59</v>
      </c>
      <c r="J253" s="12">
        <v>106</v>
      </c>
      <c r="K253" s="167">
        <v>15</v>
      </c>
      <c r="L253" s="167">
        <v>525</v>
      </c>
      <c r="M253" s="167">
        <v>1</v>
      </c>
      <c r="N253" s="167">
        <v>1</v>
      </c>
      <c r="O253" s="167">
        <v>1</v>
      </c>
      <c r="P253" s="167">
        <v>1</v>
      </c>
      <c r="Q253" s="185">
        <v>1</v>
      </c>
      <c r="R253" s="167">
        <v>3</v>
      </c>
      <c r="S253" s="167" t="s">
        <v>79</v>
      </c>
      <c r="T253" s="167">
        <v>0</v>
      </c>
      <c r="U253" s="7" t="s">
        <v>169</v>
      </c>
      <c r="V253" s="7" t="s">
        <v>169</v>
      </c>
      <c r="W253" s="47" t="str">
        <f t="shared" ca="1" si="8"/>
        <v/>
      </c>
      <c r="X253" s="47">
        <f ca="1">VLOOKUP($C253,OFFSET(quests!$A$1,0,0,COUNTA(quests!$A:$A),MATCH(X$2,quests!$1:$1,0)-MATCH($C$2,quests!$1:$1,0)+1),MATCH(X$2,quests!$1:$1,0)-MATCH($C$2,quests!$1:$1,0)+1,FALSE)</f>
        <v>0</v>
      </c>
      <c r="Y253" s="47">
        <f ca="1">VLOOKUP($C253,OFFSET(quests!$A$1,0,0,COUNTA(quests!$A:$A),MATCH(Y$2,quests!$1:$1,0)-MATCH($C$2,quests!$1:$1,0)+1),MATCH(Y$2,quests!$1:$1,0)-MATCH($C$2,quests!$1:$1,0)+1,FALSE)</f>
        <v>0</v>
      </c>
      <c r="Z253" s="47">
        <f ca="1">VLOOKUP($C253,OFFSET(quests!$A$1,0,0,COUNTA(quests!$A:$A),MATCH(Z$2,quests!$1:$1,0)-MATCH($C$2,quests!$1:$1,0)+1),MATCH(Z$2,quests!$1:$1,0)-MATCH($C$2,quests!$1:$1,0)+1,FALSE)</f>
        <v>0</v>
      </c>
      <c r="AA253" s="47">
        <f ca="1">VLOOKUP($C253,OFFSET(quests!$A$1,0,0,COUNTA(quests!$A:$A),MATCH(AA$2,quests!$1:$1,0)-MATCH($C$2,quests!$1:$1,0)+1),MATCH(AA$2,quests!$1:$1,0)-MATCH($C$2,quests!$1:$1,0)+1,FALSE)</f>
        <v>0</v>
      </c>
      <c r="AB253" s="34" t="s">
        <v>56</v>
      </c>
      <c r="AC253" s="7">
        <v>104</v>
      </c>
      <c r="AD253" s="7">
        <v>6</v>
      </c>
      <c r="AE253" s="7" t="s">
        <v>519</v>
      </c>
      <c r="AF253" s="7">
        <v>14</v>
      </c>
      <c r="AG253" s="7">
        <v>0</v>
      </c>
      <c r="AH253" s="7">
        <v>0</v>
      </c>
      <c r="AI253" s="7">
        <v>-1</v>
      </c>
      <c r="AJ253" s="7">
        <v>-1</v>
      </c>
      <c r="AK253" s="7" t="s">
        <v>1064</v>
      </c>
      <c r="AL253" s="12" t="s">
        <v>1695</v>
      </c>
      <c r="AM253" s="12" t="s">
        <v>2072</v>
      </c>
    </row>
    <row r="254" spans="1:39" ht="21" customHeight="1" x14ac:dyDescent="0.15">
      <c r="A254" s="42" t="str">
        <f t="shared" si="7"/>
        <v>11104_3</v>
      </c>
      <c r="B254" s="204">
        <v>0</v>
      </c>
      <c r="C254" s="135">
        <v>11104</v>
      </c>
      <c r="D254" s="151" t="str">
        <f ca="1">VLOOKUP($C254,OFFSET(quests!$A$1,0,0,COUNTA(quests!$A:$A),MATCH(D$1,quests!$1:$1,0)-MATCH($C$2,quests!$1:$1,0)+1),MATCH(D$1,quests!$1:$1,0)-MATCH($C$2,quests!$1:$1,0)+1,FALSE)</f>
        <v>【期間限定】 緑の素材</v>
      </c>
      <c r="E254" s="152" t="str">
        <f ca="1">VLOOKUP($C254,OFFSET(quests!$A$1,0,0,COUNTA(quests!$A:$A),MATCH(E$2,quests!$1:$1,0)-MATCH($C$2,quests!$1:$1,0)+1),MATCH(E$2,quests!$1:$1,0)-MATCH($C$2,quests!$1:$1,0)+1,FALSE)</f>
        <v>木曜クエスト</v>
      </c>
      <c r="F254" s="153">
        <v>3</v>
      </c>
      <c r="G254" s="153" t="s">
        <v>570</v>
      </c>
      <c r="H254" s="137" t="s">
        <v>691</v>
      </c>
      <c r="I254" s="137" t="s">
        <v>60</v>
      </c>
      <c r="J254" s="137">
        <v>107</v>
      </c>
      <c r="K254" s="153">
        <v>20</v>
      </c>
      <c r="L254" s="153">
        <v>860</v>
      </c>
      <c r="M254" s="153">
        <v>1</v>
      </c>
      <c r="N254" s="153">
        <v>1</v>
      </c>
      <c r="O254" s="153">
        <v>1</v>
      </c>
      <c r="P254" s="153">
        <v>1</v>
      </c>
      <c r="Q254" s="153">
        <v>1</v>
      </c>
      <c r="R254" s="153">
        <v>3</v>
      </c>
      <c r="S254" s="153" t="s">
        <v>79</v>
      </c>
      <c r="T254" s="153">
        <v>0</v>
      </c>
      <c r="U254" s="153" t="s">
        <v>169</v>
      </c>
      <c r="V254" s="153" t="s">
        <v>169</v>
      </c>
      <c r="W254" s="151" t="str">
        <f t="shared" ca="1" si="8"/>
        <v/>
      </c>
      <c r="X254" s="151">
        <f ca="1">VLOOKUP($C254,OFFSET(quests!$A$1,0,0,COUNTA(quests!$A:$A),MATCH(X$2,quests!$1:$1,0)-MATCH($C$2,quests!$1:$1,0)+1),MATCH(X$2,quests!$1:$1,0)-MATCH($C$2,quests!$1:$1,0)+1,FALSE)</f>
        <v>0</v>
      </c>
      <c r="Y254" s="151">
        <f ca="1">VLOOKUP($C254,OFFSET(quests!$A$1,0,0,COUNTA(quests!$A:$A),MATCH(Y$2,quests!$1:$1,0)-MATCH($C$2,quests!$1:$1,0)+1),MATCH(Y$2,quests!$1:$1,0)-MATCH($C$2,quests!$1:$1,0)+1,FALSE)</f>
        <v>0</v>
      </c>
      <c r="Z254" s="151">
        <f ca="1">VLOOKUP($C254,OFFSET(quests!$A$1,0,0,COUNTA(quests!$A:$A),MATCH(Z$2,quests!$1:$1,0)-MATCH($C$2,quests!$1:$1,0)+1),MATCH(Z$2,quests!$1:$1,0)-MATCH($C$2,quests!$1:$1,0)+1,FALSE)</f>
        <v>0</v>
      </c>
      <c r="AA254" s="151">
        <f ca="1">VLOOKUP($C254,OFFSET(quests!$A$1,0,0,COUNTA(quests!$A:$A),MATCH(AA$2,quests!$1:$1,0)-MATCH($C$2,quests!$1:$1,0)+1),MATCH(AA$2,quests!$1:$1,0)-MATCH($C$2,quests!$1:$1,0)+1,FALSE)</f>
        <v>0</v>
      </c>
      <c r="AB254" s="153" t="s">
        <v>56</v>
      </c>
      <c r="AC254" s="153">
        <v>104</v>
      </c>
      <c r="AD254" s="153">
        <v>6</v>
      </c>
      <c r="AE254" s="153" t="s">
        <v>519</v>
      </c>
      <c r="AF254" s="153">
        <v>14</v>
      </c>
      <c r="AG254" s="153">
        <v>0</v>
      </c>
      <c r="AH254" s="153">
        <v>0</v>
      </c>
      <c r="AI254" s="153">
        <v>-1</v>
      </c>
      <c r="AJ254" s="153">
        <v>-1</v>
      </c>
      <c r="AK254" s="153" t="s">
        <v>1064</v>
      </c>
      <c r="AL254" s="12" t="s">
        <v>1695</v>
      </c>
      <c r="AM254" s="12" t="s">
        <v>2072</v>
      </c>
    </row>
    <row r="255" spans="1:39" ht="21" customHeight="1" x14ac:dyDescent="0.15">
      <c r="A255" s="42" t="str">
        <f t="shared" si="7"/>
        <v>11104_4</v>
      </c>
      <c r="B255" s="23">
        <v>3</v>
      </c>
      <c r="C255" s="88">
        <v>11104</v>
      </c>
      <c r="D255" s="47" t="str">
        <f ca="1">VLOOKUP($C255,OFFSET(quests!$A$1,0,0,COUNTA(quests!$A:$A),MATCH(D$1,quests!$1:$1,0)-MATCH($C$2,quests!$1:$1,0)+1),MATCH(D$1,quests!$1:$1,0)-MATCH($C$2,quests!$1:$1,0)+1,FALSE)</f>
        <v>【期間限定】 緑の素材</v>
      </c>
      <c r="E255" s="48" t="str">
        <f ca="1">VLOOKUP($C255,OFFSET(quests!$A$1,0,0,COUNTA(quests!$A:$A),MATCH(E$2,quests!$1:$1,0)-MATCH($C$2,quests!$1:$1,0)+1),MATCH(E$2,quests!$1:$1,0)-MATCH($C$2,quests!$1:$1,0)+1,FALSE)</f>
        <v>木曜クエスト</v>
      </c>
      <c r="F255" s="7">
        <v>4</v>
      </c>
      <c r="G255" s="7" t="s">
        <v>570</v>
      </c>
      <c r="H255" s="12" t="s">
        <v>691</v>
      </c>
      <c r="I255" s="12" t="s">
        <v>60</v>
      </c>
      <c r="J255" s="12">
        <v>107</v>
      </c>
      <c r="K255" s="167">
        <v>20</v>
      </c>
      <c r="L255" s="167">
        <v>860</v>
      </c>
      <c r="M255" s="167">
        <v>1</v>
      </c>
      <c r="N255" s="167">
        <v>1</v>
      </c>
      <c r="O255" s="167">
        <v>1</v>
      </c>
      <c r="P255" s="167">
        <v>1</v>
      </c>
      <c r="Q255" s="167">
        <v>1</v>
      </c>
      <c r="R255" s="167">
        <v>3</v>
      </c>
      <c r="S255" s="167" t="s">
        <v>79</v>
      </c>
      <c r="T255" s="167">
        <v>0</v>
      </c>
      <c r="U255" s="7" t="s">
        <v>169</v>
      </c>
      <c r="V255" s="7" t="s">
        <v>169</v>
      </c>
      <c r="W255" s="47" t="str">
        <f t="shared" ca="1" si="8"/>
        <v/>
      </c>
      <c r="X255" s="47">
        <f ca="1">VLOOKUP($C255,OFFSET(quests!$A$1,0,0,COUNTA(quests!$A:$A),MATCH(X$2,quests!$1:$1,0)-MATCH($C$2,quests!$1:$1,0)+1),MATCH(X$2,quests!$1:$1,0)-MATCH($C$2,quests!$1:$1,0)+1,FALSE)</f>
        <v>0</v>
      </c>
      <c r="Y255" s="47">
        <f ca="1">VLOOKUP($C255,OFFSET(quests!$A$1,0,0,COUNTA(quests!$A:$A),MATCH(Y$2,quests!$1:$1,0)-MATCH($C$2,quests!$1:$1,0)+1),MATCH(Y$2,quests!$1:$1,0)-MATCH($C$2,quests!$1:$1,0)+1,FALSE)</f>
        <v>0</v>
      </c>
      <c r="Z255" s="47">
        <f ca="1">VLOOKUP($C255,OFFSET(quests!$A$1,0,0,COUNTA(quests!$A:$A),MATCH(Z$2,quests!$1:$1,0)-MATCH($C$2,quests!$1:$1,0)+1),MATCH(Z$2,quests!$1:$1,0)-MATCH($C$2,quests!$1:$1,0)+1,FALSE)</f>
        <v>0</v>
      </c>
      <c r="AA255" s="47">
        <f ca="1">VLOOKUP($C255,OFFSET(quests!$A$1,0,0,COUNTA(quests!$A:$A),MATCH(AA$2,quests!$1:$1,0)-MATCH($C$2,quests!$1:$1,0)+1),MATCH(AA$2,quests!$1:$1,0)-MATCH($C$2,quests!$1:$1,0)+1,FALSE)</f>
        <v>0</v>
      </c>
      <c r="AB255" s="7" t="s">
        <v>56</v>
      </c>
      <c r="AC255" s="7">
        <v>104</v>
      </c>
      <c r="AD255" s="7">
        <v>6</v>
      </c>
      <c r="AE255" s="7" t="s">
        <v>519</v>
      </c>
      <c r="AF255" s="7">
        <v>14</v>
      </c>
      <c r="AG255" s="7">
        <v>0</v>
      </c>
      <c r="AH255" s="7">
        <v>0</v>
      </c>
      <c r="AI255" s="7">
        <v>-1</v>
      </c>
      <c r="AJ255" s="7">
        <v>-1</v>
      </c>
      <c r="AK255" s="7" t="s">
        <v>1064</v>
      </c>
      <c r="AL255" s="12" t="s">
        <v>1695</v>
      </c>
      <c r="AM255" s="12" t="s">
        <v>2072</v>
      </c>
    </row>
    <row r="256" spans="1:39" ht="21" customHeight="1" x14ac:dyDescent="0.15">
      <c r="A256" s="42" t="str">
        <f t="shared" si="7"/>
        <v>11104_10</v>
      </c>
      <c r="B256" s="23">
        <v>3</v>
      </c>
      <c r="C256" s="88">
        <v>11104</v>
      </c>
      <c r="D256" s="47" t="str">
        <f ca="1">VLOOKUP($C256,OFFSET(quests!$A$1,0,0,COUNTA(quests!$A:$A),MATCH(D$1,quests!$1:$1,0)-MATCH($C$2,quests!$1:$1,0)+1),MATCH(D$1,quests!$1:$1,0)-MATCH($C$2,quests!$1:$1,0)+1,FALSE)</f>
        <v>【期間限定】 緑の素材</v>
      </c>
      <c r="E256" s="48" t="str">
        <f ca="1">VLOOKUP($C256,OFFSET(quests!$A$1,0,0,COUNTA(quests!$A:$A),MATCH(E$2,quests!$1:$1,0)-MATCH($C$2,quests!$1:$1,0)+1),MATCH(E$2,quests!$1:$1,0)-MATCH($C$2,quests!$1:$1,0)+1,FALSE)</f>
        <v>木曜クエスト</v>
      </c>
      <c r="F256" s="7">
        <v>10</v>
      </c>
      <c r="G256" s="7" t="s">
        <v>382</v>
      </c>
      <c r="H256" s="23" t="s">
        <v>1132</v>
      </c>
      <c r="I256" s="12" t="s">
        <v>1114</v>
      </c>
      <c r="J256" s="12">
        <v>357</v>
      </c>
      <c r="K256" s="167">
        <v>35</v>
      </c>
      <c r="L256" s="167">
        <v>2240</v>
      </c>
      <c r="M256" s="167">
        <v>1</v>
      </c>
      <c r="N256" s="167">
        <v>1</v>
      </c>
      <c r="O256" s="167">
        <v>1</v>
      </c>
      <c r="P256" s="167">
        <v>1</v>
      </c>
      <c r="Q256" s="167">
        <v>1</v>
      </c>
      <c r="R256" s="167">
        <v>3</v>
      </c>
      <c r="S256" s="167" t="s">
        <v>1126</v>
      </c>
      <c r="T256" s="167">
        <v>0</v>
      </c>
      <c r="U256" s="7" t="s">
        <v>169</v>
      </c>
      <c r="V256" s="7" t="s">
        <v>169</v>
      </c>
      <c r="W256" s="47" t="str">
        <f t="shared" ca="1" si="8"/>
        <v/>
      </c>
      <c r="X256" s="47">
        <f ca="1">VLOOKUP($C256,OFFSET(quests!$A$1,0,0,COUNTA(quests!$A:$A),MATCH(X$2,quests!$1:$1,0)-MATCH($C$2,quests!$1:$1,0)+1),MATCH(X$2,quests!$1:$1,0)-MATCH($C$2,quests!$1:$1,0)+1,FALSE)</f>
        <v>0</v>
      </c>
      <c r="Y256" s="47">
        <f ca="1">VLOOKUP($C256,OFFSET(quests!$A$1,0,0,COUNTA(quests!$A:$A),MATCH(Y$2,quests!$1:$1,0)-MATCH($C$2,quests!$1:$1,0)+1),MATCH(Y$2,quests!$1:$1,0)-MATCH($C$2,quests!$1:$1,0)+1,FALSE)</f>
        <v>0</v>
      </c>
      <c r="Z256" s="47">
        <f ca="1">VLOOKUP($C256,OFFSET(quests!$A$1,0,0,COUNTA(quests!$A:$A),MATCH(Z$2,quests!$1:$1,0)-MATCH($C$2,quests!$1:$1,0)+1),MATCH(Z$2,quests!$1:$1,0)-MATCH($C$2,quests!$1:$1,0)+1,FALSE)</f>
        <v>0</v>
      </c>
      <c r="AA256" s="47">
        <f ca="1">VLOOKUP($C256,OFFSET(quests!$A$1,0,0,COUNTA(quests!$A:$A),MATCH(AA$2,quests!$1:$1,0)-MATCH($C$2,quests!$1:$1,0)+1),MATCH(AA$2,quests!$1:$1,0)-MATCH($C$2,quests!$1:$1,0)+1,FALSE)</f>
        <v>0</v>
      </c>
      <c r="AB256" s="167" t="s">
        <v>56</v>
      </c>
      <c r="AC256" s="7">
        <v>104</v>
      </c>
      <c r="AD256" s="7">
        <v>6</v>
      </c>
      <c r="AE256" s="7" t="s">
        <v>519</v>
      </c>
      <c r="AF256" s="7">
        <v>14</v>
      </c>
      <c r="AG256" s="7">
        <v>0</v>
      </c>
      <c r="AH256" s="7">
        <v>0</v>
      </c>
      <c r="AI256" s="7">
        <v>-1</v>
      </c>
      <c r="AJ256" s="7">
        <v>-1</v>
      </c>
      <c r="AK256" s="7" t="s">
        <v>1064</v>
      </c>
      <c r="AL256" s="12" t="s">
        <v>1695</v>
      </c>
      <c r="AM256" s="12" t="s">
        <v>2072</v>
      </c>
    </row>
    <row r="257" spans="1:39" ht="21" customHeight="1" x14ac:dyDescent="0.15">
      <c r="A257" s="42" t="str">
        <f t="shared" si="7"/>
        <v>11105_1</v>
      </c>
      <c r="B257" s="23">
        <v>3</v>
      </c>
      <c r="C257" s="88">
        <v>11105</v>
      </c>
      <c r="D257" s="47" t="str">
        <f ca="1">VLOOKUP($C257,OFFSET(quests!$A$1,0,0,COUNTA(quests!$A:$A),MATCH(D$1,quests!$1:$1,0)-MATCH($C$2,quests!$1:$1,0)+1),MATCH(D$1,quests!$1:$1,0)-MATCH($C$2,quests!$1:$1,0)+1,FALSE)</f>
        <v>【期間限定】 帽子屋を追え！</v>
      </c>
      <c r="E257" s="48" t="str">
        <f ca="1">VLOOKUP($C257,OFFSET(quests!$A$1,0,0,COUNTA(quests!$A:$A),MATCH(E$2,quests!$1:$1,0)-MATCH($C$2,quests!$1:$1,0)+1),MATCH(E$2,quests!$1:$1,0)-MATCH($C$2,quests!$1:$1,0)+1,FALSE)</f>
        <v>金曜クエスト</v>
      </c>
      <c r="F257" s="7">
        <v>1</v>
      </c>
      <c r="G257" s="7" t="s">
        <v>570</v>
      </c>
      <c r="H257" s="12" t="s">
        <v>681</v>
      </c>
      <c r="I257" s="12" t="s">
        <v>67</v>
      </c>
      <c r="J257" s="12">
        <v>104</v>
      </c>
      <c r="K257" s="167">
        <v>30</v>
      </c>
      <c r="L257" s="167">
        <v>1400</v>
      </c>
      <c r="M257" s="167">
        <v>1</v>
      </c>
      <c r="N257" s="167">
        <v>1</v>
      </c>
      <c r="O257" s="167">
        <v>1</v>
      </c>
      <c r="P257" s="167">
        <v>1</v>
      </c>
      <c r="Q257" s="167">
        <v>1</v>
      </c>
      <c r="R257" s="167">
        <v>3</v>
      </c>
      <c r="S257" s="167" t="s">
        <v>79</v>
      </c>
      <c r="T257" s="167">
        <v>0</v>
      </c>
      <c r="U257" s="7" t="s">
        <v>169</v>
      </c>
      <c r="V257" s="7" t="s">
        <v>169</v>
      </c>
      <c r="W257" s="47" t="str">
        <f t="shared" ca="1" si="8"/>
        <v/>
      </c>
      <c r="X257" s="47">
        <f ca="1">VLOOKUP($C257,OFFSET(quests!$A$1,0,0,COUNTA(quests!$A:$A),MATCH(X$2,quests!$1:$1,0)-MATCH($C$2,quests!$1:$1,0)+1),MATCH(X$2,quests!$1:$1,0)-MATCH($C$2,quests!$1:$1,0)+1,FALSE)</f>
        <v>0</v>
      </c>
      <c r="Y257" s="47">
        <f ca="1">VLOOKUP($C257,OFFSET(quests!$A$1,0,0,COUNTA(quests!$A:$A),MATCH(Y$2,quests!$1:$1,0)-MATCH($C$2,quests!$1:$1,0)+1),MATCH(Y$2,quests!$1:$1,0)-MATCH($C$2,quests!$1:$1,0)+1,FALSE)</f>
        <v>0</v>
      </c>
      <c r="Z257" s="47">
        <f ca="1">VLOOKUP($C257,OFFSET(quests!$A$1,0,0,COUNTA(quests!$A:$A),MATCH(Z$2,quests!$1:$1,0)-MATCH($C$2,quests!$1:$1,0)+1),MATCH(Z$2,quests!$1:$1,0)-MATCH($C$2,quests!$1:$1,0)+1,FALSE)</f>
        <v>0</v>
      </c>
      <c r="AA257" s="47">
        <f ca="1">VLOOKUP($C257,OFFSET(quests!$A$1,0,0,COUNTA(quests!$A:$A),MATCH(AA$2,quests!$1:$1,0)-MATCH($C$2,quests!$1:$1,0)+1),MATCH(AA$2,quests!$1:$1,0)-MATCH($C$2,quests!$1:$1,0)+1,FALSE)</f>
        <v>0</v>
      </c>
      <c r="AB257" s="7" t="s">
        <v>56</v>
      </c>
      <c r="AC257" s="7">
        <v>102</v>
      </c>
      <c r="AD257" s="7">
        <v>6</v>
      </c>
      <c r="AE257" s="7" t="s">
        <v>519</v>
      </c>
      <c r="AF257" s="7">
        <v>14</v>
      </c>
      <c r="AG257" s="7">
        <v>0</v>
      </c>
      <c r="AH257" s="7">
        <v>0</v>
      </c>
      <c r="AI257" s="7">
        <v>-1</v>
      </c>
      <c r="AJ257" s="7">
        <v>-1</v>
      </c>
      <c r="AK257" s="7" t="s">
        <v>1064</v>
      </c>
      <c r="AL257" s="12" t="s">
        <v>1695</v>
      </c>
      <c r="AM257" s="12" t="s">
        <v>2072</v>
      </c>
    </row>
    <row r="258" spans="1:39" s="149" customFormat="1" ht="21" customHeight="1" x14ac:dyDescent="0.15">
      <c r="A258" s="42" t="str">
        <f t="shared" si="7"/>
        <v>11105_2</v>
      </c>
      <c r="B258" s="23">
        <v>3</v>
      </c>
      <c r="C258" s="88">
        <v>11105</v>
      </c>
      <c r="D258" s="47" t="str">
        <f ca="1">VLOOKUP($C258,OFFSET(quests!$A$1,0,0,COUNTA(quests!$A:$A),MATCH(D$1,quests!$1:$1,0)-MATCH($C$2,quests!$1:$1,0)+1),MATCH(D$1,quests!$1:$1,0)-MATCH($C$2,quests!$1:$1,0)+1,FALSE)</f>
        <v>【期間限定】 帽子屋を追え！</v>
      </c>
      <c r="E258" s="48" t="str">
        <f ca="1">VLOOKUP($C258,OFFSET(quests!$A$1,0,0,COUNTA(quests!$A:$A),MATCH(E$2,quests!$1:$1,0)-MATCH($C$2,quests!$1:$1,0)+1),MATCH(E$2,quests!$1:$1,0)-MATCH($C$2,quests!$1:$1,0)+1,FALSE)</f>
        <v>金曜クエスト</v>
      </c>
      <c r="F258" s="7">
        <v>2</v>
      </c>
      <c r="G258" s="7" t="s">
        <v>570</v>
      </c>
      <c r="H258" s="12" t="s">
        <v>692</v>
      </c>
      <c r="I258" s="12" t="s">
        <v>68</v>
      </c>
      <c r="J258" s="12">
        <v>108</v>
      </c>
      <c r="K258" s="167">
        <v>30</v>
      </c>
      <c r="L258" s="167">
        <v>1400</v>
      </c>
      <c r="M258" s="167">
        <v>1</v>
      </c>
      <c r="N258" s="167">
        <v>1</v>
      </c>
      <c r="O258" s="167">
        <v>1</v>
      </c>
      <c r="P258" s="167">
        <v>1</v>
      </c>
      <c r="Q258" s="167">
        <v>1</v>
      </c>
      <c r="R258" s="167">
        <v>3</v>
      </c>
      <c r="S258" s="167" t="s">
        <v>79</v>
      </c>
      <c r="T258" s="167">
        <v>0</v>
      </c>
      <c r="U258" s="7" t="s">
        <v>169</v>
      </c>
      <c r="V258" s="7" t="s">
        <v>169</v>
      </c>
      <c r="W258" s="47" t="str">
        <f t="shared" ca="1" si="8"/>
        <v/>
      </c>
      <c r="X258" s="47">
        <f ca="1">VLOOKUP($C258,OFFSET(quests!$A$1,0,0,COUNTA(quests!$A:$A),MATCH(X$2,quests!$1:$1,0)-MATCH($C$2,quests!$1:$1,0)+1),MATCH(X$2,quests!$1:$1,0)-MATCH($C$2,quests!$1:$1,0)+1,FALSE)</f>
        <v>0</v>
      </c>
      <c r="Y258" s="47">
        <f ca="1">VLOOKUP($C258,OFFSET(quests!$A$1,0,0,COUNTA(quests!$A:$A),MATCH(Y$2,quests!$1:$1,0)-MATCH($C$2,quests!$1:$1,0)+1),MATCH(Y$2,quests!$1:$1,0)-MATCH($C$2,quests!$1:$1,0)+1,FALSE)</f>
        <v>0</v>
      </c>
      <c r="Z258" s="47">
        <f ca="1">VLOOKUP($C258,OFFSET(quests!$A$1,0,0,COUNTA(quests!$A:$A),MATCH(Z$2,quests!$1:$1,0)-MATCH($C$2,quests!$1:$1,0)+1),MATCH(Z$2,quests!$1:$1,0)-MATCH($C$2,quests!$1:$1,0)+1,FALSE)</f>
        <v>0</v>
      </c>
      <c r="AA258" s="47">
        <f ca="1">VLOOKUP($C258,OFFSET(quests!$A$1,0,0,COUNTA(quests!$A:$A),MATCH(AA$2,quests!$1:$1,0)-MATCH($C$2,quests!$1:$1,0)+1),MATCH(AA$2,quests!$1:$1,0)-MATCH($C$2,quests!$1:$1,0)+1,FALSE)</f>
        <v>0</v>
      </c>
      <c r="AB258" s="7" t="s">
        <v>56</v>
      </c>
      <c r="AC258" s="7">
        <v>104</v>
      </c>
      <c r="AD258" s="7">
        <v>6</v>
      </c>
      <c r="AE258" s="7" t="s">
        <v>519</v>
      </c>
      <c r="AF258" s="7">
        <v>14</v>
      </c>
      <c r="AG258" s="7">
        <v>0</v>
      </c>
      <c r="AH258" s="7">
        <v>0</v>
      </c>
      <c r="AI258" s="7">
        <v>-1</v>
      </c>
      <c r="AJ258" s="7">
        <v>-1</v>
      </c>
      <c r="AK258" s="7" t="s">
        <v>1064</v>
      </c>
      <c r="AL258" s="12" t="s">
        <v>1695</v>
      </c>
      <c r="AM258" s="12" t="s">
        <v>2072</v>
      </c>
    </row>
    <row r="259" spans="1:39" s="149" customFormat="1" ht="21" customHeight="1" x14ac:dyDescent="0.15">
      <c r="A259" s="42" t="str">
        <f t="shared" si="7"/>
        <v>11105_3</v>
      </c>
      <c r="B259" s="23">
        <v>3</v>
      </c>
      <c r="C259" s="88">
        <v>11105</v>
      </c>
      <c r="D259" s="47" t="str">
        <f ca="1">VLOOKUP($C259,OFFSET(quests!$A$1,0,0,COUNTA(quests!$A:$A),MATCH(D$1,quests!$1:$1,0)-MATCH($C$2,quests!$1:$1,0)+1),MATCH(D$1,quests!$1:$1,0)-MATCH($C$2,quests!$1:$1,0)+1,FALSE)</f>
        <v>【期間限定】 帽子屋を追え！</v>
      </c>
      <c r="E259" s="48" t="str">
        <f ca="1">VLOOKUP($C259,OFFSET(quests!$A$1,0,0,COUNTA(quests!$A:$A),MATCH(E$2,quests!$1:$1,0)-MATCH($C$2,quests!$1:$1,0)+1),MATCH(E$2,quests!$1:$1,0)-MATCH($C$2,quests!$1:$1,0)+1,FALSE)</f>
        <v>金曜クエスト</v>
      </c>
      <c r="F259" s="7">
        <v>3</v>
      </c>
      <c r="G259" s="7" t="s">
        <v>570</v>
      </c>
      <c r="H259" s="12" t="s">
        <v>683</v>
      </c>
      <c r="I259" s="12" t="s">
        <v>69</v>
      </c>
      <c r="J259" s="12">
        <v>112</v>
      </c>
      <c r="K259" s="167">
        <v>30</v>
      </c>
      <c r="L259" s="167">
        <v>1400</v>
      </c>
      <c r="M259" s="167">
        <v>1</v>
      </c>
      <c r="N259" s="167">
        <v>1</v>
      </c>
      <c r="O259" s="167">
        <v>1</v>
      </c>
      <c r="P259" s="167">
        <v>1</v>
      </c>
      <c r="Q259" s="167">
        <v>1</v>
      </c>
      <c r="R259" s="167">
        <v>3</v>
      </c>
      <c r="S259" s="167" t="s">
        <v>79</v>
      </c>
      <c r="T259" s="167">
        <v>0</v>
      </c>
      <c r="U259" s="7" t="s">
        <v>169</v>
      </c>
      <c r="V259" s="7" t="s">
        <v>169</v>
      </c>
      <c r="W259" s="47" t="str">
        <f t="shared" ref="W259:W322" ca="1" si="10">IF(U259="NULL","",VLOOKUP($U259&amp;"_"&amp;$V259,OFFSET($A$1,0,0,COUNTA($A:$A),MATCH(W$2,$2:$2,0)-MATCH($A$2,$2:$2,0)+1),MATCH(W$2,$2:$2,0)-MATCH($A$2,$2:$2,0)+1,FALSE))</f>
        <v/>
      </c>
      <c r="X259" s="47">
        <f ca="1">VLOOKUP($C259,OFFSET(quests!$A$1,0,0,COUNTA(quests!$A:$A),MATCH(X$2,quests!$1:$1,0)-MATCH($C$2,quests!$1:$1,0)+1),MATCH(X$2,quests!$1:$1,0)-MATCH($C$2,quests!$1:$1,0)+1,FALSE)</f>
        <v>0</v>
      </c>
      <c r="Y259" s="47">
        <f ca="1">VLOOKUP($C259,OFFSET(quests!$A$1,0,0,COUNTA(quests!$A:$A),MATCH(Y$2,quests!$1:$1,0)-MATCH($C$2,quests!$1:$1,0)+1),MATCH(Y$2,quests!$1:$1,0)-MATCH($C$2,quests!$1:$1,0)+1,FALSE)</f>
        <v>0</v>
      </c>
      <c r="Z259" s="47">
        <f ca="1">VLOOKUP($C259,OFFSET(quests!$A$1,0,0,COUNTA(quests!$A:$A),MATCH(Z$2,quests!$1:$1,0)-MATCH($C$2,quests!$1:$1,0)+1),MATCH(Z$2,quests!$1:$1,0)-MATCH($C$2,quests!$1:$1,0)+1,FALSE)</f>
        <v>0</v>
      </c>
      <c r="AA259" s="47">
        <f ca="1">VLOOKUP($C259,OFFSET(quests!$A$1,0,0,COUNTA(quests!$A:$A),MATCH(AA$2,quests!$1:$1,0)-MATCH($C$2,quests!$1:$1,0)+1),MATCH(AA$2,quests!$1:$1,0)-MATCH($C$2,quests!$1:$1,0)+1,FALSE)</f>
        <v>0</v>
      </c>
      <c r="AB259" s="7" t="s">
        <v>56</v>
      </c>
      <c r="AC259" s="7">
        <v>103</v>
      </c>
      <c r="AD259" s="7">
        <v>6</v>
      </c>
      <c r="AE259" s="7" t="s">
        <v>519</v>
      </c>
      <c r="AF259" s="7">
        <v>14</v>
      </c>
      <c r="AG259" s="7">
        <v>0</v>
      </c>
      <c r="AH259" s="7">
        <v>0</v>
      </c>
      <c r="AI259" s="7">
        <v>-1</v>
      </c>
      <c r="AJ259" s="7">
        <v>-1</v>
      </c>
      <c r="AK259" s="7" t="s">
        <v>1064</v>
      </c>
      <c r="AL259" s="12" t="s">
        <v>1695</v>
      </c>
      <c r="AM259" s="12" t="s">
        <v>2072</v>
      </c>
    </row>
    <row r="260" spans="1:39" s="149" customFormat="1" ht="21" customHeight="1" x14ac:dyDescent="0.15">
      <c r="A260" s="42" t="str">
        <f t="shared" ref="A260:A328" si="11">C260&amp;"_"&amp;F260</f>
        <v>11105_4</v>
      </c>
      <c r="B260" s="23">
        <v>3</v>
      </c>
      <c r="C260" s="259">
        <v>11105</v>
      </c>
      <c r="D260" s="47" t="str">
        <f ca="1">VLOOKUP($C260,OFFSET(quests!$A$1,0,0,COUNTA(quests!$A:$A),MATCH(D$1,quests!$1:$1,0)-MATCH($C$2,quests!$1:$1,0)+1),MATCH(D$1,quests!$1:$1,0)-MATCH($C$2,quests!$1:$1,0)+1,FALSE)</f>
        <v>【期間限定】 帽子屋を追え！</v>
      </c>
      <c r="E260" s="48" t="str">
        <f ca="1">VLOOKUP($C260,OFFSET(quests!$A$1,0,0,COUNTA(quests!$A:$A),MATCH(E$2,quests!$1:$1,0)-MATCH($C$2,quests!$1:$1,0)+1),MATCH(E$2,quests!$1:$1,0)-MATCH($C$2,quests!$1:$1,0)+1,FALSE)</f>
        <v>金曜クエスト</v>
      </c>
      <c r="F260" s="34">
        <v>4</v>
      </c>
      <c r="G260" s="7" t="s">
        <v>570</v>
      </c>
      <c r="H260" s="37" t="s">
        <v>693</v>
      </c>
      <c r="I260" s="37" t="s">
        <v>70</v>
      </c>
      <c r="J260" s="37">
        <v>116</v>
      </c>
      <c r="K260" s="167">
        <v>30</v>
      </c>
      <c r="L260" s="167">
        <v>1400</v>
      </c>
      <c r="M260" s="159">
        <v>1</v>
      </c>
      <c r="N260" s="159">
        <v>1</v>
      </c>
      <c r="O260" s="159">
        <v>1</v>
      </c>
      <c r="P260" s="159">
        <v>1</v>
      </c>
      <c r="Q260" s="159">
        <v>1</v>
      </c>
      <c r="R260" s="159">
        <v>3</v>
      </c>
      <c r="S260" s="167" t="s">
        <v>79</v>
      </c>
      <c r="T260" s="167">
        <v>0</v>
      </c>
      <c r="U260" s="7" t="s">
        <v>169</v>
      </c>
      <c r="V260" s="7" t="s">
        <v>169</v>
      </c>
      <c r="W260" s="47" t="str">
        <f t="shared" ca="1" si="10"/>
        <v/>
      </c>
      <c r="X260" s="47">
        <f ca="1">VLOOKUP($C260,OFFSET(quests!$A$1,0,0,COUNTA(quests!$A:$A),MATCH(X$2,quests!$1:$1,0)-MATCH($C$2,quests!$1:$1,0)+1),MATCH(X$2,quests!$1:$1,0)-MATCH($C$2,quests!$1:$1,0)+1,FALSE)</f>
        <v>0</v>
      </c>
      <c r="Y260" s="47">
        <f ca="1">VLOOKUP($C260,OFFSET(quests!$A$1,0,0,COUNTA(quests!$A:$A),MATCH(Y$2,quests!$1:$1,0)-MATCH($C$2,quests!$1:$1,0)+1),MATCH(Y$2,quests!$1:$1,0)-MATCH($C$2,quests!$1:$1,0)+1,FALSE)</f>
        <v>0</v>
      </c>
      <c r="Z260" s="47">
        <f ca="1">VLOOKUP($C260,OFFSET(quests!$A$1,0,0,COUNTA(quests!$A:$A),MATCH(Z$2,quests!$1:$1,0)-MATCH($C$2,quests!$1:$1,0)+1),MATCH(Z$2,quests!$1:$1,0)-MATCH($C$2,quests!$1:$1,0)+1,FALSE)</f>
        <v>0</v>
      </c>
      <c r="AA260" s="47">
        <f ca="1">VLOOKUP($C260,OFFSET(quests!$A$1,0,0,COUNTA(quests!$A:$A),MATCH(AA$2,quests!$1:$1,0)-MATCH($C$2,quests!$1:$1,0)+1),MATCH(AA$2,quests!$1:$1,0)-MATCH($C$2,quests!$1:$1,0)+1,FALSE)</f>
        <v>0</v>
      </c>
      <c r="AB260" s="34" t="s">
        <v>56</v>
      </c>
      <c r="AC260" s="7">
        <v>101</v>
      </c>
      <c r="AD260" s="7">
        <v>6</v>
      </c>
      <c r="AE260" s="7" t="s">
        <v>519</v>
      </c>
      <c r="AF260" s="7">
        <v>14</v>
      </c>
      <c r="AG260" s="7">
        <v>0</v>
      </c>
      <c r="AH260" s="7">
        <v>0</v>
      </c>
      <c r="AI260" s="7">
        <v>-1</v>
      </c>
      <c r="AJ260" s="7">
        <v>-1</v>
      </c>
      <c r="AK260" s="7" t="s">
        <v>1064</v>
      </c>
      <c r="AL260" s="12" t="s">
        <v>1695</v>
      </c>
      <c r="AM260" s="12" t="s">
        <v>2072</v>
      </c>
    </row>
    <row r="261" spans="1:39" s="149" customFormat="1" ht="21" customHeight="1" x14ac:dyDescent="0.15">
      <c r="A261" s="150" t="str">
        <f t="shared" si="11"/>
        <v>11106_1</v>
      </c>
      <c r="B261" s="137">
        <v>0</v>
      </c>
      <c r="C261" s="135">
        <v>11106</v>
      </c>
      <c r="D261" s="151" t="str">
        <f ca="1">VLOOKUP($C261,OFFSET(quests!$A$1,0,0,COUNTA(quests!$A:$A),MATCH(D$1,quests!$1:$1,0)-MATCH($C$2,quests!$1:$1,0)+1),MATCH(D$1,quests!$1:$1,0)-MATCH($C$2,quests!$1:$1,0)+1,FALSE)</f>
        <v>【キャンペーン限定】 ゴールドカジノ</v>
      </c>
      <c r="E261" s="152" t="str">
        <f ca="1">VLOOKUP($C261,OFFSET(quests!$A$1,0,0,COUNTA(quests!$A:$A),MATCH(E$2,quests!$1:$1,0)-MATCH($C$2,quests!$1:$1,0)+1),MATCH(E$2,quests!$1:$1,0)-MATCH($C$2,quests!$1:$1,0)+1,FALSE)</f>
        <v>土日クエスト1</v>
      </c>
      <c r="F261" s="153">
        <v>1</v>
      </c>
      <c r="G261" s="153" t="s">
        <v>570</v>
      </c>
      <c r="H261" s="137" t="s">
        <v>694</v>
      </c>
      <c r="I261" s="137" t="s">
        <v>58</v>
      </c>
      <c r="J261" s="137">
        <v>117</v>
      </c>
      <c r="K261" s="153">
        <v>8</v>
      </c>
      <c r="L261" s="154">
        <v>140</v>
      </c>
      <c r="M261" s="153">
        <v>1</v>
      </c>
      <c r="N261" s="153">
        <v>1</v>
      </c>
      <c r="O261" s="153">
        <v>1</v>
      </c>
      <c r="P261" s="153">
        <v>1</v>
      </c>
      <c r="Q261" s="153">
        <v>1</v>
      </c>
      <c r="R261" s="153">
        <v>3</v>
      </c>
      <c r="S261" s="153" t="s">
        <v>79</v>
      </c>
      <c r="T261" s="153">
        <v>0</v>
      </c>
      <c r="U261" s="153" t="s">
        <v>169</v>
      </c>
      <c r="V261" s="153" t="s">
        <v>169</v>
      </c>
      <c r="W261" s="151" t="str">
        <f t="shared" ca="1" si="10"/>
        <v/>
      </c>
      <c r="X261" s="151">
        <f ca="1">VLOOKUP($C261,OFFSET(quests!$A$1,0,0,COUNTA(quests!$A:$A),MATCH(X$2,quests!$1:$1,0)-MATCH($C$2,quests!$1:$1,0)+1),MATCH(X$2,quests!$1:$1,0)-MATCH($C$2,quests!$1:$1,0)+1,FALSE)</f>
        <v>0</v>
      </c>
      <c r="Y261" s="151">
        <f ca="1">VLOOKUP($C261,OFFSET(quests!$A$1,0,0,COUNTA(quests!$A:$A),MATCH(Y$2,quests!$1:$1,0)-MATCH($C$2,quests!$1:$1,0)+1),MATCH(Y$2,quests!$1:$1,0)-MATCH($C$2,quests!$1:$1,0)+1,FALSE)</f>
        <v>0</v>
      </c>
      <c r="Z261" s="151">
        <f ca="1">VLOOKUP($C261,OFFSET(quests!$A$1,0,0,COUNTA(quests!$A:$A),MATCH(Z$2,quests!$1:$1,0)-MATCH($C$2,quests!$1:$1,0)+1),MATCH(Z$2,quests!$1:$1,0)-MATCH($C$2,quests!$1:$1,0)+1,FALSE)</f>
        <v>0</v>
      </c>
      <c r="AA261" s="151">
        <f ca="1">VLOOKUP($C261,OFFSET(quests!$A$1,0,0,COUNTA(quests!$A:$A),MATCH(AA$2,quests!$1:$1,0)-MATCH($C$2,quests!$1:$1,0)+1),MATCH(AA$2,quests!$1:$1,0)-MATCH($C$2,quests!$1:$1,0)+1,FALSE)</f>
        <v>0</v>
      </c>
      <c r="AB261" s="153" t="s">
        <v>56</v>
      </c>
      <c r="AC261" s="153">
        <v>105</v>
      </c>
      <c r="AD261" s="153">
        <v>6</v>
      </c>
      <c r="AE261" s="153" t="s">
        <v>519</v>
      </c>
      <c r="AF261" s="153">
        <v>11</v>
      </c>
      <c r="AG261" s="153">
        <v>0</v>
      </c>
      <c r="AH261" s="7">
        <v>0</v>
      </c>
      <c r="AI261" s="153">
        <v>-1</v>
      </c>
      <c r="AJ261" s="153">
        <v>-1</v>
      </c>
      <c r="AK261" s="7" t="s">
        <v>1064</v>
      </c>
      <c r="AL261" s="12" t="s">
        <v>1695</v>
      </c>
      <c r="AM261" s="12" t="s">
        <v>2072</v>
      </c>
    </row>
    <row r="262" spans="1:39" s="149" customFormat="1" ht="21" customHeight="1" x14ac:dyDescent="0.15">
      <c r="A262" s="150" t="str">
        <f t="shared" si="11"/>
        <v>11106_2</v>
      </c>
      <c r="B262" s="137">
        <v>0</v>
      </c>
      <c r="C262" s="135">
        <v>11106</v>
      </c>
      <c r="D262" s="151" t="str">
        <f ca="1">VLOOKUP($C262,OFFSET(quests!$A$1,0,0,COUNTA(quests!$A:$A),MATCH(D$1,quests!$1:$1,0)-MATCH($C$2,quests!$1:$1,0)+1),MATCH(D$1,quests!$1:$1,0)-MATCH($C$2,quests!$1:$1,0)+1,FALSE)</f>
        <v>【キャンペーン限定】 ゴールドカジノ</v>
      </c>
      <c r="E262" s="152" t="str">
        <f ca="1">VLOOKUP($C262,OFFSET(quests!$A$1,0,0,COUNTA(quests!$A:$A),MATCH(E$2,quests!$1:$1,0)-MATCH($C$2,quests!$1:$1,0)+1),MATCH(E$2,quests!$1:$1,0)-MATCH($C$2,quests!$1:$1,0)+1,FALSE)</f>
        <v>土日クエスト1</v>
      </c>
      <c r="F262" s="153">
        <v>2</v>
      </c>
      <c r="G262" s="153" t="s">
        <v>570</v>
      </c>
      <c r="H262" s="137" t="s">
        <v>695</v>
      </c>
      <c r="I262" s="137" t="s">
        <v>59</v>
      </c>
      <c r="J262" s="137">
        <v>118</v>
      </c>
      <c r="K262" s="153">
        <v>15</v>
      </c>
      <c r="L262" s="154">
        <v>350</v>
      </c>
      <c r="M262" s="153">
        <v>1</v>
      </c>
      <c r="N262" s="153">
        <v>1</v>
      </c>
      <c r="O262" s="153">
        <v>1</v>
      </c>
      <c r="P262" s="153">
        <v>1</v>
      </c>
      <c r="Q262" s="153">
        <v>1</v>
      </c>
      <c r="R262" s="153">
        <v>3</v>
      </c>
      <c r="S262" s="153" t="s">
        <v>79</v>
      </c>
      <c r="T262" s="153">
        <v>0</v>
      </c>
      <c r="U262" s="153" t="s">
        <v>169</v>
      </c>
      <c r="V262" s="153" t="s">
        <v>169</v>
      </c>
      <c r="W262" s="151" t="str">
        <f t="shared" ca="1" si="10"/>
        <v/>
      </c>
      <c r="X262" s="151">
        <f ca="1">VLOOKUP($C262,OFFSET(quests!$A$1,0,0,COUNTA(quests!$A:$A),MATCH(X$2,quests!$1:$1,0)-MATCH($C$2,quests!$1:$1,0)+1),MATCH(X$2,quests!$1:$1,0)-MATCH($C$2,quests!$1:$1,0)+1,FALSE)</f>
        <v>0</v>
      </c>
      <c r="Y262" s="151">
        <f ca="1">VLOOKUP($C262,OFFSET(quests!$A$1,0,0,COUNTA(quests!$A:$A),MATCH(Y$2,quests!$1:$1,0)-MATCH($C$2,quests!$1:$1,0)+1),MATCH(Y$2,quests!$1:$1,0)-MATCH($C$2,quests!$1:$1,0)+1,FALSE)</f>
        <v>0</v>
      </c>
      <c r="Z262" s="151">
        <f ca="1">VLOOKUP($C262,OFFSET(quests!$A$1,0,0,COUNTA(quests!$A:$A),MATCH(Z$2,quests!$1:$1,0)-MATCH($C$2,quests!$1:$1,0)+1),MATCH(Z$2,quests!$1:$1,0)-MATCH($C$2,quests!$1:$1,0)+1,FALSE)</f>
        <v>0</v>
      </c>
      <c r="AA262" s="151">
        <f ca="1">VLOOKUP($C262,OFFSET(quests!$A$1,0,0,COUNTA(quests!$A:$A),MATCH(AA$2,quests!$1:$1,0)-MATCH($C$2,quests!$1:$1,0)+1),MATCH(AA$2,quests!$1:$1,0)-MATCH($C$2,quests!$1:$1,0)+1,FALSE)</f>
        <v>0</v>
      </c>
      <c r="AB262" s="153" t="s">
        <v>56</v>
      </c>
      <c r="AC262" s="153">
        <v>105</v>
      </c>
      <c r="AD262" s="153">
        <v>6</v>
      </c>
      <c r="AE262" s="153" t="s">
        <v>519</v>
      </c>
      <c r="AF262" s="153">
        <v>11</v>
      </c>
      <c r="AG262" s="153">
        <v>0</v>
      </c>
      <c r="AH262" s="7">
        <v>0</v>
      </c>
      <c r="AI262" s="153">
        <v>-1</v>
      </c>
      <c r="AJ262" s="153">
        <v>-1</v>
      </c>
      <c r="AK262" s="7" t="s">
        <v>1064</v>
      </c>
      <c r="AL262" s="12" t="s">
        <v>1695</v>
      </c>
      <c r="AM262" s="12" t="s">
        <v>2072</v>
      </c>
    </row>
    <row r="263" spans="1:39" s="149" customFormat="1" ht="22" customHeight="1" x14ac:dyDescent="0.15">
      <c r="A263" s="150" t="str">
        <f t="shared" si="11"/>
        <v>11106_3</v>
      </c>
      <c r="B263" s="137">
        <v>0</v>
      </c>
      <c r="C263" s="155">
        <v>11106</v>
      </c>
      <c r="D263" s="151" t="str">
        <f ca="1">VLOOKUP($C263,OFFSET(quests!$A$1,0,0,COUNTA(quests!$A:$A),MATCH(D$1,quests!$1:$1,0)-MATCH($C$2,quests!$1:$1,0)+1),MATCH(D$1,quests!$1:$1,0)-MATCH($C$2,quests!$1:$1,0)+1,FALSE)</f>
        <v>【キャンペーン限定】 ゴールドカジノ</v>
      </c>
      <c r="E263" s="152" t="str">
        <f ca="1">VLOOKUP($C263,OFFSET(quests!$A$1,0,0,COUNTA(quests!$A:$A),MATCH(E$2,quests!$1:$1,0)-MATCH($C$2,quests!$1:$1,0)+1),MATCH(E$2,quests!$1:$1,0)-MATCH($C$2,quests!$1:$1,0)+1,FALSE)</f>
        <v>土日クエスト1</v>
      </c>
      <c r="F263" s="156">
        <v>3</v>
      </c>
      <c r="G263" s="153" t="s">
        <v>570</v>
      </c>
      <c r="H263" s="157" t="s">
        <v>686</v>
      </c>
      <c r="I263" s="157" t="s">
        <v>60</v>
      </c>
      <c r="J263" s="157">
        <v>119</v>
      </c>
      <c r="K263" s="153">
        <v>20</v>
      </c>
      <c r="L263" s="154">
        <v>860</v>
      </c>
      <c r="M263" s="156">
        <v>1</v>
      </c>
      <c r="N263" s="156">
        <v>1</v>
      </c>
      <c r="O263" s="156">
        <v>1</v>
      </c>
      <c r="P263" s="156">
        <v>1</v>
      </c>
      <c r="Q263" s="156">
        <v>1</v>
      </c>
      <c r="R263" s="156">
        <v>3</v>
      </c>
      <c r="S263" s="153" t="s">
        <v>79</v>
      </c>
      <c r="T263" s="153">
        <v>0</v>
      </c>
      <c r="U263" s="153" t="s">
        <v>169</v>
      </c>
      <c r="V263" s="153" t="s">
        <v>169</v>
      </c>
      <c r="W263" s="151" t="str">
        <f t="shared" ca="1" si="10"/>
        <v/>
      </c>
      <c r="X263" s="151">
        <f ca="1">VLOOKUP($C263,OFFSET(quests!$A$1,0,0,COUNTA(quests!$A:$A),MATCH(X$2,quests!$1:$1,0)-MATCH($C$2,quests!$1:$1,0)+1),MATCH(X$2,quests!$1:$1,0)-MATCH($C$2,quests!$1:$1,0)+1,FALSE)</f>
        <v>0</v>
      </c>
      <c r="Y263" s="151">
        <f ca="1">VLOOKUP($C263,OFFSET(quests!$A$1,0,0,COUNTA(quests!$A:$A),MATCH(Y$2,quests!$1:$1,0)-MATCH($C$2,quests!$1:$1,0)+1),MATCH(Y$2,quests!$1:$1,0)-MATCH($C$2,quests!$1:$1,0)+1,FALSE)</f>
        <v>0</v>
      </c>
      <c r="Z263" s="151">
        <f ca="1">VLOOKUP($C263,OFFSET(quests!$A$1,0,0,COUNTA(quests!$A:$A),MATCH(Z$2,quests!$1:$1,0)-MATCH($C$2,quests!$1:$1,0)+1),MATCH(Z$2,quests!$1:$1,0)-MATCH($C$2,quests!$1:$1,0)+1,FALSE)</f>
        <v>0</v>
      </c>
      <c r="AA263" s="151">
        <f ca="1">VLOOKUP($C263,OFFSET(quests!$A$1,0,0,COUNTA(quests!$A:$A),MATCH(AA$2,quests!$1:$1,0)-MATCH($C$2,quests!$1:$1,0)+1),MATCH(AA$2,quests!$1:$1,0)-MATCH($C$2,quests!$1:$1,0)+1,FALSE)</f>
        <v>0</v>
      </c>
      <c r="AB263" s="156" t="s">
        <v>56</v>
      </c>
      <c r="AC263" s="153">
        <v>105</v>
      </c>
      <c r="AD263" s="153">
        <v>6</v>
      </c>
      <c r="AE263" s="153" t="s">
        <v>519</v>
      </c>
      <c r="AF263" s="153">
        <v>11</v>
      </c>
      <c r="AG263" s="153">
        <v>0</v>
      </c>
      <c r="AH263" s="7">
        <v>0</v>
      </c>
      <c r="AI263" s="153">
        <v>-1</v>
      </c>
      <c r="AJ263" s="153">
        <v>-1</v>
      </c>
      <c r="AK263" s="7" t="s">
        <v>1064</v>
      </c>
      <c r="AL263" s="12" t="s">
        <v>1695</v>
      </c>
      <c r="AM263" s="12" t="s">
        <v>2072</v>
      </c>
    </row>
    <row r="264" spans="1:39" ht="21" customHeight="1" x14ac:dyDescent="0.15">
      <c r="A264" s="150" t="str">
        <f t="shared" si="11"/>
        <v>11206_1</v>
      </c>
      <c r="B264" s="137">
        <v>0</v>
      </c>
      <c r="C264" s="155">
        <v>11206</v>
      </c>
      <c r="D264" s="151" t="str">
        <f ca="1">VLOOKUP($C264,OFFSET(quests!$A$1,0,0,COUNTA(quests!$A:$A),MATCH(D$1,quests!$1:$1,0)-MATCH($C$2,quests!$1:$1,0)+1),MATCH(D$1,quests!$1:$1,0)-MATCH($C$2,quests!$1:$1,0)+1,FALSE)</f>
        <v>【キャンペーン限定】 ゴールドカジノ</v>
      </c>
      <c r="E264" s="152" t="str">
        <f ca="1">VLOOKUP($C264,OFFSET(quests!$A$1,0,0,COUNTA(quests!$A:$A),MATCH(E$2,quests!$1:$1,0)-MATCH($C$2,quests!$1:$1,0)+1),MATCH(E$2,quests!$1:$1,0)-MATCH($C$2,quests!$1:$1,0)+1,FALSE)</f>
        <v>土日クエスト2</v>
      </c>
      <c r="F264" s="156">
        <v>1</v>
      </c>
      <c r="G264" s="153" t="s">
        <v>570</v>
      </c>
      <c r="H264" s="157" t="s">
        <v>696</v>
      </c>
      <c r="I264" s="157" t="s">
        <v>58</v>
      </c>
      <c r="J264" s="157">
        <v>117</v>
      </c>
      <c r="K264" s="153">
        <v>8</v>
      </c>
      <c r="L264" s="154">
        <v>140</v>
      </c>
      <c r="M264" s="156">
        <v>1</v>
      </c>
      <c r="N264" s="156">
        <v>1</v>
      </c>
      <c r="O264" s="156">
        <v>1</v>
      </c>
      <c r="P264" s="156">
        <v>1</v>
      </c>
      <c r="Q264" s="156">
        <v>1</v>
      </c>
      <c r="R264" s="156">
        <v>3</v>
      </c>
      <c r="S264" s="153" t="s">
        <v>79</v>
      </c>
      <c r="T264" s="153">
        <v>0</v>
      </c>
      <c r="U264" s="153" t="s">
        <v>169</v>
      </c>
      <c r="V264" s="153" t="s">
        <v>169</v>
      </c>
      <c r="W264" s="151" t="str">
        <f t="shared" ca="1" si="10"/>
        <v/>
      </c>
      <c r="X264" s="151">
        <f ca="1">VLOOKUP($C264,OFFSET(quests!$A$1,0,0,COUNTA(quests!$A:$A),MATCH(X$2,quests!$1:$1,0)-MATCH($C$2,quests!$1:$1,0)+1),MATCH(X$2,quests!$1:$1,0)-MATCH($C$2,quests!$1:$1,0)+1,FALSE)</f>
        <v>0</v>
      </c>
      <c r="Y264" s="151">
        <f ca="1">VLOOKUP($C264,OFFSET(quests!$A$1,0,0,COUNTA(quests!$A:$A),MATCH(Y$2,quests!$1:$1,0)-MATCH($C$2,quests!$1:$1,0)+1),MATCH(Y$2,quests!$1:$1,0)-MATCH($C$2,quests!$1:$1,0)+1,FALSE)</f>
        <v>0</v>
      </c>
      <c r="Z264" s="151">
        <f ca="1">VLOOKUP($C264,OFFSET(quests!$A$1,0,0,COUNTA(quests!$A:$A),MATCH(Z$2,quests!$1:$1,0)-MATCH($C$2,quests!$1:$1,0)+1),MATCH(Z$2,quests!$1:$1,0)-MATCH($C$2,quests!$1:$1,0)+1,FALSE)</f>
        <v>0</v>
      </c>
      <c r="AA264" s="151">
        <f ca="1">VLOOKUP($C264,OFFSET(quests!$A$1,0,0,COUNTA(quests!$A:$A),MATCH(AA$2,quests!$1:$1,0)-MATCH($C$2,quests!$1:$1,0)+1),MATCH(AA$2,quests!$1:$1,0)-MATCH($C$2,quests!$1:$1,0)+1,FALSE)</f>
        <v>0</v>
      </c>
      <c r="AB264" s="156" t="s">
        <v>56</v>
      </c>
      <c r="AC264" s="153">
        <v>105</v>
      </c>
      <c r="AD264" s="153">
        <v>6</v>
      </c>
      <c r="AE264" s="153" t="s">
        <v>519</v>
      </c>
      <c r="AF264" s="153">
        <v>11</v>
      </c>
      <c r="AG264" s="153">
        <v>0</v>
      </c>
      <c r="AH264" s="7">
        <v>0</v>
      </c>
      <c r="AI264" s="153">
        <v>-1</v>
      </c>
      <c r="AJ264" s="153">
        <v>-1</v>
      </c>
      <c r="AK264" s="7" t="s">
        <v>1064</v>
      </c>
      <c r="AL264" s="12" t="s">
        <v>1695</v>
      </c>
      <c r="AM264" s="12" t="s">
        <v>2072</v>
      </c>
    </row>
    <row r="265" spans="1:39" ht="21" customHeight="1" x14ac:dyDescent="0.15">
      <c r="A265" s="150" t="str">
        <f t="shared" si="11"/>
        <v>11206_2</v>
      </c>
      <c r="B265" s="137">
        <v>0</v>
      </c>
      <c r="C265" s="155">
        <v>11206</v>
      </c>
      <c r="D265" s="151" t="str">
        <f ca="1">VLOOKUP($C265,OFFSET(quests!$A$1,0,0,COUNTA(quests!$A:$A),MATCH(D$1,quests!$1:$1,0)-MATCH($C$2,quests!$1:$1,0)+1),MATCH(D$1,quests!$1:$1,0)-MATCH($C$2,quests!$1:$1,0)+1,FALSE)</f>
        <v>【キャンペーン限定】 ゴールドカジノ</v>
      </c>
      <c r="E265" s="152" t="str">
        <f ca="1">VLOOKUP($C265,OFFSET(quests!$A$1,0,0,COUNTA(quests!$A:$A),MATCH(E$2,quests!$1:$1,0)-MATCH($C$2,quests!$1:$1,0)+1),MATCH(E$2,quests!$1:$1,0)-MATCH($C$2,quests!$1:$1,0)+1,FALSE)</f>
        <v>土日クエスト2</v>
      </c>
      <c r="F265" s="156">
        <v>2</v>
      </c>
      <c r="G265" s="153" t="s">
        <v>570</v>
      </c>
      <c r="H265" s="157" t="s">
        <v>685</v>
      </c>
      <c r="I265" s="157" t="s">
        <v>59</v>
      </c>
      <c r="J265" s="157">
        <v>118</v>
      </c>
      <c r="K265" s="153">
        <v>15</v>
      </c>
      <c r="L265" s="154">
        <v>350</v>
      </c>
      <c r="M265" s="156">
        <v>1</v>
      </c>
      <c r="N265" s="156">
        <v>1</v>
      </c>
      <c r="O265" s="156">
        <v>1</v>
      </c>
      <c r="P265" s="156">
        <v>1</v>
      </c>
      <c r="Q265" s="156">
        <v>1</v>
      </c>
      <c r="R265" s="156">
        <v>3</v>
      </c>
      <c r="S265" s="153" t="s">
        <v>79</v>
      </c>
      <c r="T265" s="153">
        <v>0</v>
      </c>
      <c r="U265" s="153" t="s">
        <v>169</v>
      </c>
      <c r="V265" s="153" t="s">
        <v>169</v>
      </c>
      <c r="W265" s="151" t="str">
        <f t="shared" ca="1" si="10"/>
        <v/>
      </c>
      <c r="X265" s="151">
        <f ca="1">VLOOKUP($C265,OFFSET(quests!$A$1,0,0,COUNTA(quests!$A:$A),MATCH(X$2,quests!$1:$1,0)-MATCH($C$2,quests!$1:$1,0)+1),MATCH(X$2,quests!$1:$1,0)-MATCH($C$2,quests!$1:$1,0)+1,FALSE)</f>
        <v>0</v>
      </c>
      <c r="Y265" s="151">
        <f ca="1">VLOOKUP($C265,OFFSET(quests!$A$1,0,0,COUNTA(quests!$A:$A),MATCH(Y$2,quests!$1:$1,0)-MATCH($C$2,quests!$1:$1,0)+1),MATCH(Y$2,quests!$1:$1,0)-MATCH($C$2,quests!$1:$1,0)+1,FALSE)</f>
        <v>0</v>
      </c>
      <c r="Z265" s="151">
        <f ca="1">VLOOKUP($C265,OFFSET(quests!$A$1,0,0,COUNTA(quests!$A:$A),MATCH(Z$2,quests!$1:$1,0)-MATCH($C$2,quests!$1:$1,0)+1),MATCH(Z$2,quests!$1:$1,0)-MATCH($C$2,quests!$1:$1,0)+1,FALSE)</f>
        <v>0</v>
      </c>
      <c r="AA265" s="151">
        <f ca="1">VLOOKUP($C265,OFFSET(quests!$A$1,0,0,COUNTA(quests!$A:$A),MATCH(AA$2,quests!$1:$1,0)-MATCH($C$2,quests!$1:$1,0)+1),MATCH(AA$2,quests!$1:$1,0)-MATCH($C$2,quests!$1:$1,0)+1,FALSE)</f>
        <v>0</v>
      </c>
      <c r="AB265" s="156" t="s">
        <v>56</v>
      </c>
      <c r="AC265" s="153">
        <v>105</v>
      </c>
      <c r="AD265" s="153">
        <v>6</v>
      </c>
      <c r="AE265" s="153" t="s">
        <v>519</v>
      </c>
      <c r="AF265" s="153">
        <v>11</v>
      </c>
      <c r="AG265" s="153">
        <v>0</v>
      </c>
      <c r="AH265" s="7">
        <v>0</v>
      </c>
      <c r="AI265" s="153">
        <v>-1</v>
      </c>
      <c r="AJ265" s="153">
        <v>-1</v>
      </c>
      <c r="AK265" s="7" t="s">
        <v>1064</v>
      </c>
      <c r="AL265" s="12" t="s">
        <v>1695</v>
      </c>
      <c r="AM265" s="12" t="s">
        <v>2072</v>
      </c>
    </row>
    <row r="266" spans="1:39" ht="21" customHeight="1" x14ac:dyDescent="0.15">
      <c r="A266" s="150" t="str">
        <f t="shared" si="11"/>
        <v>11206_3</v>
      </c>
      <c r="B266" s="137">
        <v>0</v>
      </c>
      <c r="C266" s="155">
        <v>11206</v>
      </c>
      <c r="D266" s="151" t="str">
        <f ca="1">VLOOKUP($C266,OFFSET(quests!$A$1,0,0,COUNTA(quests!$A:$A),MATCH(D$1,quests!$1:$1,0)-MATCH($C$2,quests!$1:$1,0)+1),MATCH(D$1,quests!$1:$1,0)-MATCH($C$2,quests!$1:$1,0)+1,FALSE)</f>
        <v>【キャンペーン限定】 ゴールドカジノ</v>
      </c>
      <c r="E266" s="152" t="str">
        <f ca="1">VLOOKUP($C266,OFFSET(quests!$A$1,0,0,COUNTA(quests!$A:$A),MATCH(E$2,quests!$1:$1,0)-MATCH($C$2,quests!$1:$1,0)+1),MATCH(E$2,quests!$1:$1,0)-MATCH($C$2,quests!$1:$1,0)+1,FALSE)</f>
        <v>土日クエスト2</v>
      </c>
      <c r="F266" s="156">
        <v>3</v>
      </c>
      <c r="G266" s="153" t="s">
        <v>570</v>
      </c>
      <c r="H266" s="157" t="s">
        <v>686</v>
      </c>
      <c r="I266" s="157" t="s">
        <v>60</v>
      </c>
      <c r="J266" s="157">
        <v>119</v>
      </c>
      <c r="K266" s="153">
        <v>20</v>
      </c>
      <c r="L266" s="154">
        <v>860</v>
      </c>
      <c r="M266" s="156">
        <v>1</v>
      </c>
      <c r="N266" s="156">
        <v>1</v>
      </c>
      <c r="O266" s="156">
        <v>1</v>
      </c>
      <c r="P266" s="156">
        <v>1</v>
      </c>
      <c r="Q266" s="156">
        <v>1</v>
      </c>
      <c r="R266" s="156">
        <v>3</v>
      </c>
      <c r="S266" s="153" t="s">
        <v>79</v>
      </c>
      <c r="T266" s="153">
        <v>0</v>
      </c>
      <c r="U266" s="153" t="s">
        <v>169</v>
      </c>
      <c r="V266" s="153" t="s">
        <v>169</v>
      </c>
      <c r="W266" s="151" t="str">
        <f t="shared" ca="1" si="10"/>
        <v/>
      </c>
      <c r="X266" s="151">
        <f ca="1">VLOOKUP($C266,OFFSET(quests!$A$1,0,0,COUNTA(quests!$A:$A),MATCH(X$2,quests!$1:$1,0)-MATCH($C$2,quests!$1:$1,0)+1),MATCH(X$2,quests!$1:$1,0)-MATCH($C$2,quests!$1:$1,0)+1,FALSE)</f>
        <v>0</v>
      </c>
      <c r="Y266" s="151">
        <f ca="1">VLOOKUP($C266,OFFSET(quests!$A$1,0,0,COUNTA(quests!$A:$A),MATCH(Y$2,quests!$1:$1,0)-MATCH($C$2,quests!$1:$1,0)+1),MATCH(Y$2,quests!$1:$1,0)-MATCH($C$2,quests!$1:$1,0)+1,FALSE)</f>
        <v>0</v>
      </c>
      <c r="Z266" s="151">
        <f ca="1">VLOOKUP($C266,OFFSET(quests!$A$1,0,0,COUNTA(quests!$A:$A),MATCH(Z$2,quests!$1:$1,0)-MATCH($C$2,quests!$1:$1,0)+1),MATCH(Z$2,quests!$1:$1,0)-MATCH($C$2,quests!$1:$1,0)+1,FALSE)</f>
        <v>0</v>
      </c>
      <c r="AA266" s="151">
        <f ca="1">VLOOKUP($C266,OFFSET(quests!$A$1,0,0,COUNTA(quests!$A:$A),MATCH(AA$2,quests!$1:$1,0)-MATCH($C$2,quests!$1:$1,0)+1),MATCH(AA$2,quests!$1:$1,0)-MATCH($C$2,quests!$1:$1,0)+1,FALSE)</f>
        <v>0</v>
      </c>
      <c r="AB266" s="156" t="s">
        <v>56</v>
      </c>
      <c r="AC266" s="153">
        <v>105</v>
      </c>
      <c r="AD266" s="153">
        <v>6</v>
      </c>
      <c r="AE266" s="153" t="s">
        <v>519</v>
      </c>
      <c r="AF266" s="153">
        <v>11</v>
      </c>
      <c r="AG266" s="153">
        <v>0</v>
      </c>
      <c r="AH266" s="7">
        <v>0</v>
      </c>
      <c r="AI266" s="153">
        <v>-1</v>
      </c>
      <c r="AJ266" s="153">
        <v>-1</v>
      </c>
      <c r="AK266" s="7" t="s">
        <v>1064</v>
      </c>
      <c r="AL266" s="12" t="s">
        <v>1695</v>
      </c>
      <c r="AM266" s="12" t="s">
        <v>2072</v>
      </c>
    </row>
    <row r="267" spans="1:39" ht="21" customHeight="1" x14ac:dyDescent="0.15">
      <c r="A267" s="42" t="str">
        <f t="shared" si="11"/>
        <v>11207_1</v>
      </c>
      <c r="B267" s="23">
        <v>3</v>
      </c>
      <c r="C267" s="172">
        <v>11207</v>
      </c>
      <c r="D267" s="47" t="str">
        <f ca="1">VLOOKUP($C267,OFFSET(quests!$A$1,0,0,COUNTA(quests!$A:$A),MATCH(D$1,quests!$1:$1,0)-MATCH($C$2,quests!$1:$1,0)+1),MATCH(D$1,quests!$1:$1,0)-MATCH($C$2,quests!$1:$1,0)+1,FALSE)</f>
        <v>果実達の大宴会</v>
      </c>
      <c r="E267" s="48">
        <f ca="1">VLOOKUP($C267,OFFSET(quests!$A$1,0,0,COUNTA(quests!$A:$A),MATCH(E$2,quests!$1:$1,0)-MATCH($C$2,quests!$1:$1,0)+1),MATCH(E$2,quests!$1:$1,0)-MATCH($C$2,quests!$1:$1,0)+1,FALSE)</f>
        <v>0</v>
      </c>
      <c r="F267" s="34">
        <v>1</v>
      </c>
      <c r="G267" s="7" t="s">
        <v>570</v>
      </c>
      <c r="H267" s="210" t="s">
        <v>697</v>
      </c>
      <c r="I267" s="37" t="s">
        <v>514</v>
      </c>
      <c r="J267" s="12" t="s">
        <v>523</v>
      </c>
      <c r="K267" s="167">
        <v>20</v>
      </c>
      <c r="L267" s="167">
        <v>525</v>
      </c>
      <c r="M267" s="159">
        <v>1</v>
      </c>
      <c r="N267" s="159">
        <v>1</v>
      </c>
      <c r="O267" s="159">
        <v>1</v>
      </c>
      <c r="P267" s="159">
        <v>1</v>
      </c>
      <c r="Q267" s="196">
        <v>0</v>
      </c>
      <c r="R267" s="159">
        <v>3</v>
      </c>
      <c r="S267" s="167" t="s">
        <v>79</v>
      </c>
      <c r="T267" s="167">
        <v>0</v>
      </c>
      <c r="U267" s="7" t="s">
        <v>169</v>
      </c>
      <c r="V267" s="7" t="s">
        <v>169</v>
      </c>
      <c r="W267" s="47" t="str">
        <f t="shared" ca="1" si="10"/>
        <v/>
      </c>
      <c r="X267" s="47">
        <f ca="1">VLOOKUP($C267,OFFSET(quests!$A$1,0,0,COUNTA(quests!$A:$A),MATCH(X$2,quests!$1:$1,0)-MATCH($C$2,quests!$1:$1,0)+1),MATCH(X$2,quests!$1:$1,0)-MATCH($C$2,quests!$1:$1,0)+1,FALSE)</f>
        <v>0</v>
      </c>
      <c r="Y267" s="47">
        <f ca="1">VLOOKUP($C267,OFFSET(quests!$A$1,0,0,COUNTA(quests!$A:$A),MATCH(Y$2,quests!$1:$1,0)-MATCH($C$2,quests!$1:$1,0)+1),MATCH(Y$2,quests!$1:$1,0)-MATCH($C$2,quests!$1:$1,0)+1,FALSE)</f>
        <v>0</v>
      </c>
      <c r="Z267" s="47">
        <f ca="1">VLOOKUP($C267,OFFSET(quests!$A$1,0,0,COUNTA(quests!$A:$A),MATCH(Z$2,quests!$1:$1,0)-MATCH($C$2,quests!$1:$1,0)+1),MATCH(Z$2,quests!$1:$1,0)-MATCH($C$2,quests!$1:$1,0)+1,FALSE)</f>
        <v>0</v>
      </c>
      <c r="AA267" s="47">
        <f ca="1">VLOOKUP($C267,OFFSET(quests!$A$1,0,0,COUNTA(quests!$A:$A),MATCH(AA$2,quests!$1:$1,0)-MATCH($C$2,quests!$1:$1,0)+1),MATCH(AA$2,quests!$1:$1,0)-MATCH($C$2,quests!$1:$1,0)+1,FALSE)</f>
        <v>0</v>
      </c>
      <c r="AB267" s="34" t="s">
        <v>56</v>
      </c>
      <c r="AC267" s="7">
        <v>21</v>
      </c>
      <c r="AD267" s="7">
        <v>6</v>
      </c>
      <c r="AE267" s="7" t="s">
        <v>522</v>
      </c>
      <c r="AF267" s="7">
        <v>15</v>
      </c>
      <c r="AG267" s="7">
        <v>0</v>
      </c>
      <c r="AH267" s="7">
        <v>0</v>
      </c>
      <c r="AI267" s="7">
        <v>-1</v>
      </c>
      <c r="AJ267" s="7">
        <v>-1</v>
      </c>
      <c r="AK267" s="7" t="s">
        <v>1064</v>
      </c>
      <c r="AL267" s="12" t="s">
        <v>1695</v>
      </c>
      <c r="AM267" s="12" t="s">
        <v>2072</v>
      </c>
    </row>
    <row r="268" spans="1:39" ht="21" customHeight="1" x14ac:dyDescent="0.15">
      <c r="A268" s="42" t="str">
        <f t="shared" si="11"/>
        <v>11207_2</v>
      </c>
      <c r="B268" s="23">
        <v>3</v>
      </c>
      <c r="C268" s="172">
        <v>11207</v>
      </c>
      <c r="D268" s="47" t="str">
        <f ca="1">VLOOKUP($C268,OFFSET(quests!$A$1,0,0,COUNTA(quests!$A:$A),MATCH(D$1,quests!$1:$1,0)-MATCH($C$2,quests!$1:$1,0)+1),MATCH(D$1,quests!$1:$1,0)-MATCH($C$2,quests!$1:$1,0)+1,FALSE)</f>
        <v>果実達の大宴会</v>
      </c>
      <c r="E268" s="48">
        <f ca="1">VLOOKUP($C268,OFFSET(quests!$A$1,0,0,COUNTA(quests!$A:$A),MATCH(E$2,quests!$1:$1,0)-MATCH($C$2,quests!$1:$1,0)+1),MATCH(E$2,quests!$1:$1,0)-MATCH($C$2,quests!$1:$1,0)+1,FALSE)</f>
        <v>0</v>
      </c>
      <c r="F268" s="34">
        <v>2</v>
      </c>
      <c r="G268" s="7" t="s">
        <v>570</v>
      </c>
      <c r="H268" s="210" t="s">
        <v>698</v>
      </c>
      <c r="I268" s="37" t="s">
        <v>514</v>
      </c>
      <c r="J268" s="37">
        <v>610</v>
      </c>
      <c r="K268" s="167">
        <v>30</v>
      </c>
      <c r="L268" s="167">
        <v>860</v>
      </c>
      <c r="M268" s="159">
        <v>1</v>
      </c>
      <c r="N268" s="159">
        <v>1</v>
      </c>
      <c r="O268" s="159">
        <v>1</v>
      </c>
      <c r="P268" s="159">
        <v>1</v>
      </c>
      <c r="Q268" s="196">
        <v>0</v>
      </c>
      <c r="R268" s="159">
        <v>3</v>
      </c>
      <c r="S268" s="167" t="s">
        <v>79</v>
      </c>
      <c r="T268" s="167">
        <v>0</v>
      </c>
      <c r="U268" s="7" t="s">
        <v>169</v>
      </c>
      <c r="V268" s="7" t="s">
        <v>169</v>
      </c>
      <c r="W268" s="47" t="str">
        <f t="shared" ca="1" si="10"/>
        <v/>
      </c>
      <c r="X268" s="47">
        <f ca="1">VLOOKUP($C268,OFFSET(quests!$A$1,0,0,COUNTA(quests!$A:$A),MATCH(X$2,quests!$1:$1,0)-MATCH($C$2,quests!$1:$1,0)+1),MATCH(X$2,quests!$1:$1,0)-MATCH($C$2,quests!$1:$1,0)+1,FALSE)</f>
        <v>0</v>
      </c>
      <c r="Y268" s="47">
        <f ca="1">VLOOKUP($C268,OFFSET(quests!$A$1,0,0,COUNTA(quests!$A:$A),MATCH(Y$2,quests!$1:$1,0)-MATCH($C$2,quests!$1:$1,0)+1),MATCH(Y$2,quests!$1:$1,0)-MATCH($C$2,quests!$1:$1,0)+1,FALSE)</f>
        <v>0</v>
      </c>
      <c r="Z268" s="47">
        <f ca="1">VLOOKUP($C268,OFFSET(quests!$A$1,0,0,COUNTA(quests!$A:$A),MATCH(Z$2,quests!$1:$1,0)-MATCH($C$2,quests!$1:$1,0)+1),MATCH(Z$2,quests!$1:$1,0)-MATCH($C$2,quests!$1:$1,0)+1,FALSE)</f>
        <v>0</v>
      </c>
      <c r="AA268" s="47">
        <f ca="1">VLOOKUP($C268,OFFSET(quests!$A$1,0,0,COUNTA(quests!$A:$A),MATCH(AA$2,quests!$1:$1,0)-MATCH($C$2,quests!$1:$1,0)+1),MATCH(AA$2,quests!$1:$1,0)-MATCH($C$2,quests!$1:$1,0)+1,FALSE)</f>
        <v>0</v>
      </c>
      <c r="AB268" s="34" t="s">
        <v>56</v>
      </c>
      <c r="AC268" s="7">
        <v>21</v>
      </c>
      <c r="AD268" s="7">
        <v>6</v>
      </c>
      <c r="AE268" s="7" t="s">
        <v>522</v>
      </c>
      <c r="AF268" s="7">
        <v>15</v>
      </c>
      <c r="AG268" s="7">
        <v>0</v>
      </c>
      <c r="AH268" s="7">
        <v>0</v>
      </c>
      <c r="AI268" s="7">
        <v>-1</v>
      </c>
      <c r="AJ268" s="7">
        <v>-1</v>
      </c>
      <c r="AK268" s="7" t="s">
        <v>1064</v>
      </c>
      <c r="AL268" s="12" t="s">
        <v>1695</v>
      </c>
      <c r="AM268" s="12" t="s">
        <v>2072</v>
      </c>
    </row>
    <row r="269" spans="1:39" s="149" customFormat="1" ht="21" customHeight="1" x14ac:dyDescent="0.15">
      <c r="A269" s="150" t="str">
        <f t="shared" si="11"/>
        <v>11208_1</v>
      </c>
      <c r="B269" s="137">
        <v>0</v>
      </c>
      <c r="C269" s="155">
        <v>11208</v>
      </c>
      <c r="D269" s="151" t="str">
        <f ca="1">VLOOKUP($C269,OFFSET(quests!$A$1,0,0,COUNTA(quests!$A:$A),MATCH(D$1,quests!$1:$1,0)-MATCH($C$2,quests!$1:$1,0)+1),MATCH(D$1,quests!$1:$1,0)-MATCH($C$2,quests!$1:$1,0)+1,FALSE)</f>
        <v>果実達の大宴会</v>
      </c>
      <c r="E269" s="152">
        <f ca="1">VLOOKUP($C269,OFFSET(quests!$A$1,0,0,COUNTA(quests!$A:$A),MATCH(E$2,quests!$1:$1,0)-MATCH($C$2,quests!$1:$1,0)+1),MATCH(E$2,quests!$1:$1,0)-MATCH($C$2,quests!$1:$1,0)+1,FALSE)</f>
        <v>0</v>
      </c>
      <c r="F269" s="156">
        <v>1</v>
      </c>
      <c r="G269" s="153" t="s">
        <v>570</v>
      </c>
      <c r="H269" s="157" t="s">
        <v>697</v>
      </c>
      <c r="I269" s="157" t="s">
        <v>514</v>
      </c>
      <c r="J269" s="137" t="s">
        <v>523</v>
      </c>
      <c r="K269" s="153">
        <v>20</v>
      </c>
      <c r="L269" s="154">
        <v>525</v>
      </c>
      <c r="M269" s="156">
        <v>1</v>
      </c>
      <c r="N269" s="156">
        <v>1</v>
      </c>
      <c r="O269" s="156">
        <v>1</v>
      </c>
      <c r="P269" s="156">
        <v>1</v>
      </c>
      <c r="Q269" s="156">
        <v>1</v>
      </c>
      <c r="R269" s="156">
        <v>3</v>
      </c>
      <c r="S269" s="153" t="s">
        <v>79</v>
      </c>
      <c r="T269" s="153">
        <v>0</v>
      </c>
      <c r="U269" s="153" t="s">
        <v>169</v>
      </c>
      <c r="V269" s="153" t="s">
        <v>169</v>
      </c>
      <c r="W269" s="151" t="str">
        <f t="shared" ca="1" si="10"/>
        <v/>
      </c>
      <c r="X269" s="151">
        <f ca="1">VLOOKUP($C269,OFFSET(quests!$A$1,0,0,COUNTA(quests!$A:$A),MATCH(X$2,quests!$1:$1,0)-MATCH($C$2,quests!$1:$1,0)+1),MATCH(X$2,quests!$1:$1,0)-MATCH($C$2,quests!$1:$1,0)+1,FALSE)</f>
        <v>0</v>
      </c>
      <c r="Y269" s="151">
        <f ca="1">VLOOKUP($C269,OFFSET(quests!$A$1,0,0,COUNTA(quests!$A:$A),MATCH(Y$2,quests!$1:$1,0)-MATCH($C$2,quests!$1:$1,0)+1),MATCH(Y$2,quests!$1:$1,0)-MATCH($C$2,quests!$1:$1,0)+1,FALSE)</f>
        <v>0</v>
      </c>
      <c r="Z269" s="151">
        <f ca="1">VLOOKUP($C269,OFFSET(quests!$A$1,0,0,COUNTA(quests!$A:$A),MATCH(Z$2,quests!$1:$1,0)-MATCH($C$2,quests!$1:$1,0)+1),MATCH(Z$2,quests!$1:$1,0)-MATCH($C$2,quests!$1:$1,0)+1,FALSE)</f>
        <v>0</v>
      </c>
      <c r="AA269" s="151">
        <f ca="1">VLOOKUP($C269,OFFSET(quests!$A$1,0,0,COUNTA(quests!$A:$A),MATCH(AA$2,quests!$1:$1,0)-MATCH($C$2,quests!$1:$1,0)+1),MATCH(AA$2,quests!$1:$1,0)-MATCH($C$2,quests!$1:$1,0)+1,FALSE)</f>
        <v>0</v>
      </c>
      <c r="AB269" s="156" t="s">
        <v>56</v>
      </c>
      <c r="AC269" s="153">
        <v>21</v>
      </c>
      <c r="AD269" s="153">
        <v>6</v>
      </c>
      <c r="AE269" s="153" t="s">
        <v>522</v>
      </c>
      <c r="AF269" s="153">
        <v>1</v>
      </c>
      <c r="AG269" s="153">
        <v>0</v>
      </c>
      <c r="AH269" s="7">
        <v>0</v>
      </c>
      <c r="AI269" s="153">
        <v>-1</v>
      </c>
      <c r="AJ269" s="153">
        <v>-1</v>
      </c>
      <c r="AK269" s="7" t="s">
        <v>1064</v>
      </c>
      <c r="AL269" s="12" t="s">
        <v>1695</v>
      </c>
      <c r="AM269" s="12" t="s">
        <v>2072</v>
      </c>
    </row>
    <row r="270" spans="1:39" s="149" customFormat="1" ht="21" customHeight="1" x14ac:dyDescent="0.15">
      <c r="A270" s="150" t="str">
        <f t="shared" si="11"/>
        <v>11208_2</v>
      </c>
      <c r="B270" s="137">
        <v>0</v>
      </c>
      <c r="C270" s="155">
        <v>11208</v>
      </c>
      <c r="D270" s="151" t="str">
        <f ca="1">VLOOKUP($C270,OFFSET(quests!$A$1,0,0,COUNTA(quests!$A:$A),MATCH(D$1,quests!$1:$1,0)-MATCH($C$2,quests!$1:$1,0)+1),MATCH(D$1,quests!$1:$1,0)-MATCH($C$2,quests!$1:$1,0)+1,FALSE)</f>
        <v>果実達の大宴会</v>
      </c>
      <c r="E270" s="152">
        <f ca="1">VLOOKUP($C270,OFFSET(quests!$A$1,0,0,COUNTA(quests!$A:$A),MATCH(E$2,quests!$1:$1,0)-MATCH($C$2,quests!$1:$1,0)+1),MATCH(E$2,quests!$1:$1,0)-MATCH($C$2,quests!$1:$1,0)+1,FALSE)</f>
        <v>0</v>
      </c>
      <c r="F270" s="156">
        <v>2</v>
      </c>
      <c r="G270" s="153" t="s">
        <v>570</v>
      </c>
      <c r="H270" s="157" t="s">
        <v>698</v>
      </c>
      <c r="I270" s="157" t="s">
        <v>514</v>
      </c>
      <c r="J270" s="157">
        <v>125</v>
      </c>
      <c r="K270" s="153">
        <v>40</v>
      </c>
      <c r="L270" s="154">
        <v>860</v>
      </c>
      <c r="M270" s="156">
        <v>1</v>
      </c>
      <c r="N270" s="156">
        <v>1</v>
      </c>
      <c r="O270" s="156">
        <v>1</v>
      </c>
      <c r="P270" s="156">
        <v>1</v>
      </c>
      <c r="Q270" s="156">
        <v>1</v>
      </c>
      <c r="R270" s="156">
        <v>3</v>
      </c>
      <c r="S270" s="153" t="s">
        <v>79</v>
      </c>
      <c r="T270" s="153">
        <v>0</v>
      </c>
      <c r="U270" s="153" t="s">
        <v>169</v>
      </c>
      <c r="V270" s="153" t="s">
        <v>169</v>
      </c>
      <c r="W270" s="151" t="str">
        <f t="shared" ca="1" si="10"/>
        <v/>
      </c>
      <c r="X270" s="151">
        <f ca="1">VLOOKUP($C270,OFFSET(quests!$A$1,0,0,COUNTA(quests!$A:$A),MATCH(X$2,quests!$1:$1,0)-MATCH($C$2,quests!$1:$1,0)+1),MATCH(X$2,quests!$1:$1,0)-MATCH($C$2,quests!$1:$1,0)+1,FALSE)</f>
        <v>0</v>
      </c>
      <c r="Y270" s="151">
        <f ca="1">VLOOKUP($C270,OFFSET(quests!$A$1,0,0,COUNTA(quests!$A:$A),MATCH(Y$2,quests!$1:$1,0)-MATCH($C$2,quests!$1:$1,0)+1),MATCH(Y$2,quests!$1:$1,0)-MATCH($C$2,quests!$1:$1,0)+1,FALSE)</f>
        <v>0</v>
      </c>
      <c r="Z270" s="151">
        <f ca="1">VLOOKUP($C270,OFFSET(quests!$A$1,0,0,COUNTA(quests!$A:$A),MATCH(Z$2,quests!$1:$1,0)-MATCH($C$2,quests!$1:$1,0)+1),MATCH(Z$2,quests!$1:$1,0)-MATCH($C$2,quests!$1:$1,0)+1,FALSE)</f>
        <v>0</v>
      </c>
      <c r="AA270" s="151">
        <f ca="1">VLOOKUP($C270,OFFSET(quests!$A$1,0,0,COUNTA(quests!$A:$A),MATCH(AA$2,quests!$1:$1,0)-MATCH($C$2,quests!$1:$1,0)+1),MATCH(AA$2,quests!$1:$1,0)-MATCH($C$2,quests!$1:$1,0)+1,FALSE)</f>
        <v>0</v>
      </c>
      <c r="AB270" s="156" t="s">
        <v>56</v>
      </c>
      <c r="AC270" s="153">
        <v>21</v>
      </c>
      <c r="AD270" s="153">
        <v>6</v>
      </c>
      <c r="AE270" s="153" t="s">
        <v>522</v>
      </c>
      <c r="AF270" s="153">
        <v>1</v>
      </c>
      <c r="AG270" s="153">
        <v>0</v>
      </c>
      <c r="AH270" s="7">
        <v>0</v>
      </c>
      <c r="AI270" s="153">
        <v>-1</v>
      </c>
      <c r="AJ270" s="153">
        <v>-1</v>
      </c>
      <c r="AK270" s="7" t="s">
        <v>1064</v>
      </c>
      <c r="AL270" s="12" t="s">
        <v>1695</v>
      </c>
      <c r="AM270" s="12" t="s">
        <v>2072</v>
      </c>
    </row>
    <row r="271" spans="1:39" ht="21" customHeight="1" x14ac:dyDescent="0.15">
      <c r="A271" s="42" t="str">
        <f t="shared" si="11"/>
        <v>11209_1</v>
      </c>
      <c r="B271" s="23">
        <v>3</v>
      </c>
      <c r="C271" s="172">
        <v>11209</v>
      </c>
      <c r="D271" s="47" t="str">
        <f ca="1">VLOOKUP($C271,OFFSET(quests!$A$1,0,0,COUNTA(quests!$A:$A),MATCH(D$1,quests!$1:$1,0)-MATCH($C$2,quests!$1:$1,0)+1),MATCH(D$1,quests!$1:$1,0)-MATCH($C$2,quests!$1:$1,0)+1,FALSE)</f>
        <v>スタートダッシュキャンペーンクエスト</v>
      </c>
      <c r="E271" s="48" t="str">
        <f ca="1">VLOOKUP($C271,OFFSET(quests!$A$1,0,0,COUNTA(quests!$A:$A),MATCH(E$2,quests!$1:$1,0)-MATCH($C$2,quests!$1:$1,0)+1),MATCH(E$2,quests!$1:$1,0)-MATCH($C$2,quests!$1:$1,0)+1,FALSE)</f>
        <v>スタートダッシュキャンペーンクエスト</v>
      </c>
      <c r="F271" s="7">
        <v>1</v>
      </c>
      <c r="G271" s="7" t="s">
        <v>570</v>
      </c>
      <c r="H271" s="209" t="s">
        <v>1165</v>
      </c>
      <c r="I271" s="12" t="s">
        <v>63</v>
      </c>
      <c r="J271" s="12">
        <v>334</v>
      </c>
      <c r="K271" s="167">
        <v>8</v>
      </c>
      <c r="L271" s="167">
        <v>140</v>
      </c>
      <c r="M271" s="167">
        <v>1</v>
      </c>
      <c r="N271" s="167">
        <v>1</v>
      </c>
      <c r="O271" s="167">
        <v>1</v>
      </c>
      <c r="P271" s="167">
        <v>1</v>
      </c>
      <c r="Q271" s="196">
        <v>0</v>
      </c>
      <c r="R271" s="167">
        <v>3</v>
      </c>
      <c r="S271" s="167" t="s">
        <v>79</v>
      </c>
      <c r="T271" s="167">
        <v>0</v>
      </c>
      <c r="U271" s="7" t="s">
        <v>169</v>
      </c>
      <c r="V271" s="7" t="s">
        <v>169</v>
      </c>
      <c r="W271" s="47" t="str">
        <f t="shared" ca="1" si="10"/>
        <v/>
      </c>
      <c r="X271" s="47">
        <f ca="1">VLOOKUP($C271,OFFSET(quests!$A$1,0,0,COUNTA(quests!$A:$A),MATCH(X$2,quests!$1:$1,0)-MATCH($C$2,quests!$1:$1,0)+1),MATCH(X$2,quests!$1:$1,0)-MATCH($C$2,quests!$1:$1,0)+1,FALSE)</f>
        <v>0</v>
      </c>
      <c r="Y271" s="47">
        <f ca="1">VLOOKUP($C271,OFFSET(quests!$A$1,0,0,COUNTA(quests!$A:$A),MATCH(Y$2,quests!$1:$1,0)-MATCH($C$2,quests!$1:$1,0)+1),MATCH(Y$2,quests!$1:$1,0)-MATCH($C$2,quests!$1:$1,0)+1,FALSE)</f>
        <v>0</v>
      </c>
      <c r="Z271" s="47">
        <f ca="1">VLOOKUP($C271,OFFSET(quests!$A$1,0,0,COUNTA(quests!$A:$A),MATCH(Z$2,quests!$1:$1,0)-MATCH($C$2,quests!$1:$1,0)+1),MATCH(Z$2,quests!$1:$1,0)-MATCH($C$2,quests!$1:$1,0)+1,FALSE)</f>
        <v>0</v>
      </c>
      <c r="AA271" s="47">
        <f ca="1">VLOOKUP($C271,OFFSET(quests!$A$1,0,0,COUNTA(quests!$A:$A),MATCH(AA$2,quests!$1:$1,0)-MATCH($C$2,quests!$1:$1,0)+1),MATCH(AA$2,quests!$1:$1,0)-MATCH($C$2,quests!$1:$1,0)+1,FALSE)</f>
        <v>0</v>
      </c>
      <c r="AB271" s="7" t="s">
        <v>56</v>
      </c>
      <c r="AC271" s="7">
        <v>201</v>
      </c>
      <c r="AD271" s="7">
        <v>6</v>
      </c>
      <c r="AE271" s="7" t="s">
        <v>519</v>
      </c>
      <c r="AF271" s="7">
        <v>15</v>
      </c>
      <c r="AG271" s="7">
        <v>0</v>
      </c>
      <c r="AH271" s="7">
        <v>0</v>
      </c>
      <c r="AI271" s="7">
        <v>-1</v>
      </c>
      <c r="AJ271" s="7">
        <v>-1</v>
      </c>
      <c r="AK271" s="7" t="s">
        <v>1064</v>
      </c>
      <c r="AL271" s="12" t="s">
        <v>1695</v>
      </c>
      <c r="AM271" s="12" t="s">
        <v>2072</v>
      </c>
    </row>
    <row r="272" spans="1:39" ht="21" customHeight="1" x14ac:dyDescent="0.15">
      <c r="A272" s="42" t="str">
        <f t="shared" si="11"/>
        <v>11209_2</v>
      </c>
      <c r="B272" s="23">
        <v>3</v>
      </c>
      <c r="C272" s="172">
        <v>11209</v>
      </c>
      <c r="D272" s="47" t="str">
        <f ca="1">VLOOKUP($C272,OFFSET(quests!$A$1,0,0,COUNTA(quests!$A:$A),MATCH(D$1,quests!$1:$1,0)-MATCH($C$2,quests!$1:$1,0)+1),MATCH(D$1,quests!$1:$1,0)-MATCH($C$2,quests!$1:$1,0)+1,FALSE)</f>
        <v>スタートダッシュキャンペーンクエスト</v>
      </c>
      <c r="E272" s="48" t="str">
        <f ca="1">VLOOKUP($C272,OFFSET(quests!$A$1,0,0,COUNTA(quests!$A:$A),MATCH(E$2,quests!$1:$1,0)-MATCH($C$2,quests!$1:$1,0)+1),MATCH(E$2,quests!$1:$1,0)-MATCH($C$2,quests!$1:$1,0)+1,FALSE)</f>
        <v>スタートダッシュキャンペーンクエスト</v>
      </c>
      <c r="F272" s="7">
        <v>2</v>
      </c>
      <c r="G272" s="7" t="s">
        <v>570</v>
      </c>
      <c r="H272" s="209" t="s">
        <v>1161</v>
      </c>
      <c r="I272" s="12" t="s">
        <v>58</v>
      </c>
      <c r="J272" s="12">
        <v>117</v>
      </c>
      <c r="K272" s="167">
        <v>8</v>
      </c>
      <c r="L272" s="167">
        <v>140</v>
      </c>
      <c r="M272" s="167">
        <v>1</v>
      </c>
      <c r="N272" s="167">
        <v>1</v>
      </c>
      <c r="O272" s="167">
        <v>1</v>
      </c>
      <c r="P272" s="167">
        <v>1</v>
      </c>
      <c r="Q272" s="196">
        <v>0</v>
      </c>
      <c r="R272" s="167">
        <v>3</v>
      </c>
      <c r="S272" s="167" t="s">
        <v>79</v>
      </c>
      <c r="T272" s="167">
        <v>0</v>
      </c>
      <c r="U272" s="7" t="s">
        <v>169</v>
      </c>
      <c r="V272" s="7" t="s">
        <v>169</v>
      </c>
      <c r="W272" s="47" t="str">
        <f t="shared" ca="1" si="10"/>
        <v/>
      </c>
      <c r="X272" s="47">
        <f ca="1">VLOOKUP($C272,OFFSET(quests!$A$1,0,0,COUNTA(quests!$A:$A),MATCH(X$2,quests!$1:$1,0)-MATCH($C$2,quests!$1:$1,0)+1),MATCH(X$2,quests!$1:$1,0)-MATCH($C$2,quests!$1:$1,0)+1,FALSE)</f>
        <v>0</v>
      </c>
      <c r="Y272" s="47">
        <f ca="1">VLOOKUP($C272,OFFSET(quests!$A$1,0,0,COUNTA(quests!$A:$A),MATCH(Y$2,quests!$1:$1,0)-MATCH($C$2,quests!$1:$1,0)+1),MATCH(Y$2,quests!$1:$1,0)-MATCH($C$2,quests!$1:$1,0)+1,FALSE)</f>
        <v>0</v>
      </c>
      <c r="Z272" s="47">
        <f ca="1">VLOOKUP($C272,OFFSET(quests!$A$1,0,0,COUNTA(quests!$A:$A),MATCH(Z$2,quests!$1:$1,0)-MATCH($C$2,quests!$1:$1,0)+1),MATCH(Z$2,quests!$1:$1,0)-MATCH($C$2,quests!$1:$1,0)+1,FALSE)</f>
        <v>0</v>
      </c>
      <c r="AA272" s="47">
        <f ca="1">VLOOKUP($C272,OFFSET(quests!$A$1,0,0,COUNTA(quests!$A:$A),MATCH(AA$2,quests!$1:$1,0)-MATCH($C$2,quests!$1:$1,0)+1),MATCH(AA$2,quests!$1:$1,0)-MATCH($C$2,quests!$1:$1,0)+1,FALSE)</f>
        <v>0</v>
      </c>
      <c r="AB272" s="7" t="s">
        <v>56</v>
      </c>
      <c r="AC272" s="7">
        <v>105</v>
      </c>
      <c r="AD272" s="7">
        <v>6</v>
      </c>
      <c r="AE272" s="7" t="s">
        <v>519</v>
      </c>
      <c r="AF272" s="7">
        <v>1</v>
      </c>
      <c r="AG272" s="7">
        <v>0</v>
      </c>
      <c r="AH272" s="7">
        <v>0</v>
      </c>
      <c r="AI272" s="7">
        <v>-1</v>
      </c>
      <c r="AJ272" s="7">
        <v>-1</v>
      </c>
      <c r="AK272" s="7" t="s">
        <v>1064</v>
      </c>
      <c r="AL272" s="12" t="s">
        <v>1695</v>
      </c>
      <c r="AM272" s="12" t="s">
        <v>2072</v>
      </c>
    </row>
    <row r="273" spans="1:39" ht="21" customHeight="1" x14ac:dyDescent="0.15">
      <c r="A273" s="42" t="str">
        <f t="shared" si="11"/>
        <v>11212_1</v>
      </c>
      <c r="B273" s="139">
        <v>1</v>
      </c>
      <c r="C273" s="172">
        <v>11212</v>
      </c>
      <c r="D273" s="47" t="str">
        <f ca="1">VLOOKUP($C273,OFFSET(quests!$A$1,0,0,COUNTA(quests!$A:$A),MATCH(D$1,quests!$1:$1,0)-MATCH($C$2,quests!$1:$1,0)+1),MATCH(D$1,quests!$1:$1,0)-MATCH($C$2,quests!$1:$1,0)+1,FALSE)</f>
        <v>100万DL記念★特別クエスト</v>
      </c>
      <c r="E273" s="48" t="str">
        <f ca="1">VLOOKUP($C273,OFFSET(quests!$A$1,0,0,COUNTA(quests!$A:$A),MATCH(E$2,quests!$1:$1,0)-MATCH($C$2,quests!$1:$1,0)+1),MATCH(E$2,quests!$1:$1,0)-MATCH($C$2,quests!$1:$1,0)+1,FALSE)</f>
        <v>100万DL記念★特別クエスト</v>
      </c>
      <c r="F273" s="7">
        <v>1</v>
      </c>
      <c r="G273" s="7" t="s">
        <v>570</v>
      </c>
      <c r="H273" s="12" t="s">
        <v>591</v>
      </c>
      <c r="I273" s="12" t="s">
        <v>592</v>
      </c>
      <c r="J273" s="12">
        <v>97</v>
      </c>
      <c r="K273" s="167">
        <v>1</v>
      </c>
      <c r="L273" s="167">
        <v>100</v>
      </c>
      <c r="M273" s="167">
        <v>1</v>
      </c>
      <c r="N273" s="167">
        <v>1</v>
      </c>
      <c r="O273" s="167">
        <v>1</v>
      </c>
      <c r="P273" s="167">
        <v>1</v>
      </c>
      <c r="Q273" s="167">
        <v>1</v>
      </c>
      <c r="R273" s="167">
        <v>3</v>
      </c>
      <c r="S273" s="167" t="s">
        <v>79</v>
      </c>
      <c r="T273" s="167">
        <v>0</v>
      </c>
      <c r="U273" s="7" t="s">
        <v>169</v>
      </c>
      <c r="V273" s="7" t="s">
        <v>169</v>
      </c>
      <c r="W273" s="47" t="str">
        <f t="shared" ca="1" si="10"/>
        <v/>
      </c>
      <c r="X273" s="47">
        <f ca="1">VLOOKUP($C273,OFFSET(quests!$A$1,0,0,COUNTA(quests!$A:$A),MATCH(X$2,quests!$1:$1,0)-MATCH($C$2,quests!$1:$1,0)+1),MATCH(X$2,quests!$1:$1,0)-MATCH($C$2,quests!$1:$1,0)+1,FALSE)</f>
        <v>0</v>
      </c>
      <c r="Y273" s="47">
        <f ca="1">VLOOKUP($C273,OFFSET(quests!$A$1,0,0,COUNTA(quests!$A:$A),MATCH(Y$2,quests!$1:$1,0)-MATCH($C$2,quests!$1:$1,0)+1),MATCH(Y$2,quests!$1:$1,0)-MATCH($C$2,quests!$1:$1,0)+1,FALSE)</f>
        <v>0</v>
      </c>
      <c r="Z273" s="47">
        <f ca="1">VLOOKUP($C273,OFFSET(quests!$A$1,0,0,COUNTA(quests!$A:$A),MATCH(Z$2,quests!$1:$1,0)-MATCH($C$2,quests!$1:$1,0)+1),MATCH(Z$2,quests!$1:$1,0)-MATCH($C$2,quests!$1:$1,0)+1,FALSE)</f>
        <v>0</v>
      </c>
      <c r="AA273" s="47">
        <f ca="1">VLOOKUP($C273,OFFSET(quests!$A$1,0,0,COUNTA(quests!$A:$A),MATCH(AA$2,quests!$1:$1,0)-MATCH($C$2,quests!$1:$1,0)+1),MATCH(AA$2,quests!$1:$1,0)-MATCH($C$2,quests!$1:$1,0)+1,FALSE)</f>
        <v>0</v>
      </c>
      <c r="AB273" s="7" t="s">
        <v>593</v>
      </c>
      <c r="AC273" s="7">
        <v>1</v>
      </c>
      <c r="AD273" s="7">
        <v>6</v>
      </c>
      <c r="AE273" s="7" t="s">
        <v>586</v>
      </c>
      <c r="AF273" s="7">
        <v>0</v>
      </c>
      <c r="AG273" s="7">
        <v>1</v>
      </c>
      <c r="AH273" s="7">
        <v>0</v>
      </c>
      <c r="AI273" s="7">
        <v>0</v>
      </c>
      <c r="AJ273" s="7">
        <v>-1</v>
      </c>
      <c r="AK273" s="7" t="s">
        <v>1064</v>
      </c>
      <c r="AL273" s="12" t="s">
        <v>1695</v>
      </c>
      <c r="AM273" s="12" t="s">
        <v>2072</v>
      </c>
    </row>
    <row r="274" spans="1:39" ht="21" customHeight="1" x14ac:dyDescent="0.15">
      <c r="A274" s="42" t="str">
        <f t="shared" si="11"/>
        <v>11213_1</v>
      </c>
      <c r="B274" s="139">
        <v>0</v>
      </c>
      <c r="C274" s="172">
        <v>11213</v>
      </c>
      <c r="D274" s="47" t="str">
        <f ca="1">VLOOKUP($C274,OFFSET(quests!$A$1,0,0,COUNTA(quests!$A:$A),MATCH(D$1,quests!$1:$1,0)-MATCH($C$2,quests!$1:$1,0)+1),MATCH(D$1,quests!$1:$1,0)-MATCH($C$2,quests!$1:$1,0)+1,FALSE)</f>
        <v>クエスト名</v>
      </c>
      <c r="E274" s="48" t="str">
        <f ca="1">VLOOKUP($C274,OFFSET(quests!$A$1,0,0,COUNTA(quests!$A:$A),MATCH(E$2,quests!$1:$1,0)-MATCH($C$2,quests!$1:$1,0)+1),MATCH(E$2,quests!$1:$1,0)-MATCH($C$2,quests!$1:$1,0)+1,FALSE)</f>
        <v>【超級】カジノ</v>
      </c>
      <c r="F274" s="34">
        <v>1</v>
      </c>
      <c r="G274" s="7" t="s">
        <v>382</v>
      </c>
      <c r="H274" s="37" t="s">
        <v>791</v>
      </c>
      <c r="I274" s="37" t="s">
        <v>600</v>
      </c>
      <c r="J274" s="37">
        <v>119</v>
      </c>
      <c r="K274" s="167">
        <v>30</v>
      </c>
      <c r="L274" s="167">
        <v>777</v>
      </c>
      <c r="M274" s="159">
        <v>1</v>
      </c>
      <c r="N274" s="159">
        <v>1</v>
      </c>
      <c r="O274" s="159">
        <v>1</v>
      </c>
      <c r="P274" s="159">
        <v>1</v>
      </c>
      <c r="Q274" s="159">
        <v>1</v>
      </c>
      <c r="R274" s="159">
        <v>3</v>
      </c>
      <c r="S274" s="167" t="s">
        <v>79</v>
      </c>
      <c r="T274" s="167">
        <v>0</v>
      </c>
      <c r="U274" s="7" t="s">
        <v>169</v>
      </c>
      <c r="V274" s="7" t="s">
        <v>169</v>
      </c>
      <c r="W274" s="47" t="str">
        <f t="shared" ca="1" si="10"/>
        <v/>
      </c>
      <c r="X274" s="47">
        <f ca="1">VLOOKUP($C274,OFFSET(quests!$A$1,0,0,COUNTA(quests!$A:$A),MATCH(X$2,quests!$1:$1,0)-MATCH($C$2,quests!$1:$1,0)+1),MATCH(X$2,quests!$1:$1,0)-MATCH($C$2,quests!$1:$1,0)+1,FALSE)</f>
        <v>0</v>
      </c>
      <c r="Y274" s="47">
        <f ca="1">VLOOKUP($C274,OFFSET(quests!$A$1,0,0,COUNTA(quests!$A:$A),MATCH(Y$2,quests!$1:$1,0)-MATCH($C$2,quests!$1:$1,0)+1),MATCH(Y$2,quests!$1:$1,0)-MATCH($C$2,quests!$1:$1,0)+1,FALSE)</f>
        <v>0</v>
      </c>
      <c r="Z274" s="47">
        <f ca="1">VLOOKUP($C274,OFFSET(quests!$A$1,0,0,COUNTA(quests!$A:$A),MATCH(Z$2,quests!$1:$1,0)-MATCH($C$2,quests!$1:$1,0)+1),MATCH(Z$2,quests!$1:$1,0)-MATCH($C$2,quests!$1:$1,0)+1,FALSE)</f>
        <v>0</v>
      </c>
      <c r="AA274" s="47">
        <f ca="1">VLOOKUP($C274,OFFSET(quests!$A$1,0,0,COUNTA(quests!$A:$A),MATCH(AA$2,quests!$1:$1,0)-MATCH($C$2,quests!$1:$1,0)+1),MATCH(AA$2,quests!$1:$1,0)-MATCH($C$2,quests!$1:$1,0)+1,FALSE)</f>
        <v>0</v>
      </c>
      <c r="AB274" s="34" t="s">
        <v>56</v>
      </c>
      <c r="AC274" s="7">
        <v>105</v>
      </c>
      <c r="AD274" s="7">
        <v>6</v>
      </c>
      <c r="AE274" s="7" t="s">
        <v>519</v>
      </c>
      <c r="AF274" s="7">
        <v>1</v>
      </c>
      <c r="AG274" s="7">
        <v>0</v>
      </c>
      <c r="AH274" s="7">
        <v>0</v>
      </c>
      <c r="AI274" s="7">
        <v>-1</v>
      </c>
      <c r="AJ274" s="7">
        <v>-1</v>
      </c>
      <c r="AK274" s="7" t="s">
        <v>1064</v>
      </c>
      <c r="AL274" s="12" t="s">
        <v>1695</v>
      </c>
      <c r="AM274" s="12" t="s">
        <v>2072</v>
      </c>
    </row>
    <row r="275" spans="1:39" ht="21" customHeight="1" x14ac:dyDescent="0.15">
      <c r="A275" s="42" t="str">
        <f t="shared" si="11"/>
        <v>11214_1</v>
      </c>
      <c r="B275" s="139">
        <v>0</v>
      </c>
      <c r="C275" s="172">
        <v>11214</v>
      </c>
      <c r="D275" s="47" t="str">
        <f ca="1">VLOOKUP($C275,OFFSET(quests!$A$1,0,0,COUNTA(quests!$A:$A),MATCH(D$1,quests!$1:$1,0)-MATCH($C$2,quests!$1:$1,0)+1),MATCH(D$1,quests!$1:$1,0)-MATCH($C$2,quests!$1:$1,0)+1,FALSE)</f>
        <v>プロメテウスの恋</v>
      </c>
      <c r="E275" s="48" t="str">
        <f ca="1">VLOOKUP($C275,OFFSET(quests!$A$1,0,0,COUNTA(quests!$A:$A),MATCH(E$2,quests!$1:$1,0)-MATCH($C$2,quests!$1:$1,0)+1),MATCH(E$2,quests!$1:$1,0)-MATCH($C$2,quests!$1:$1,0)+1,FALSE)</f>
        <v>2015年クリスマスクエスト</v>
      </c>
      <c r="F275" s="34">
        <v>1</v>
      </c>
      <c r="G275" s="7" t="s">
        <v>382</v>
      </c>
      <c r="H275" s="37" t="s">
        <v>808</v>
      </c>
      <c r="I275" s="37" t="s">
        <v>646</v>
      </c>
      <c r="J275" s="37">
        <v>202</v>
      </c>
      <c r="K275" s="167">
        <v>1</v>
      </c>
      <c r="L275" s="167">
        <v>1</v>
      </c>
      <c r="M275" s="159">
        <v>1</v>
      </c>
      <c r="N275" s="159">
        <v>1</v>
      </c>
      <c r="O275" s="159">
        <v>1</v>
      </c>
      <c r="P275" s="159">
        <v>1</v>
      </c>
      <c r="Q275" s="159">
        <v>1</v>
      </c>
      <c r="R275" s="159">
        <v>3</v>
      </c>
      <c r="S275" s="167" t="s">
        <v>810</v>
      </c>
      <c r="T275" s="184" t="s">
        <v>820</v>
      </c>
      <c r="U275" s="7" t="s">
        <v>169</v>
      </c>
      <c r="V275" s="7" t="s">
        <v>169</v>
      </c>
      <c r="W275" s="47" t="str">
        <f t="shared" ca="1" si="10"/>
        <v/>
      </c>
      <c r="X275" s="47">
        <f ca="1">VLOOKUP($C275,OFFSET(quests!$A$1,0,0,COUNTA(quests!$A:$A),MATCH(X$2,quests!$1:$1,0)-MATCH($C$2,quests!$1:$1,0)+1),MATCH(X$2,quests!$1:$1,0)-MATCH($C$2,quests!$1:$1,0)+1,FALSE)</f>
        <v>0</v>
      </c>
      <c r="Y275" s="47">
        <f ca="1">VLOOKUP($C275,OFFSET(quests!$A$1,0,0,COUNTA(quests!$A:$A),MATCH(Y$2,quests!$1:$1,0)-MATCH($C$2,quests!$1:$1,0)+1),MATCH(Y$2,quests!$1:$1,0)-MATCH($C$2,quests!$1:$1,0)+1,FALSE)</f>
        <v>0</v>
      </c>
      <c r="Z275" s="47">
        <f ca="1">VLOOKUP($C275,OFFSET(quests!$A$1,0,0,COUNTA(quests!$A:$A),MATCH(Z$2,quests!$1:$1,0)-MATCH($C$2,quests!$1:$1,0)+1),MATCH(Z$2,quests!$1:$1,0)-MATCH($C$2,quests!$1:$1,0)+1,FALSE)</f>
        <v>0</v>
      </c>
      <c r="AA275" s="47">
        <f ca="1">VLOOKUP($C275,OFFSET(quests!$A$1,0,0,COUNTA(quests!$A:$A),MATCH(AA$2,quests!$1:$1,0)-MATCH($C$2,quests!$1:$1,0)+1),MATCH(AA$2,quests!$1:$1,0)-MATCH($C$2,quests!$1:$1,0)+1,FALSE)</f>
        <v>0</v>
      </c>
      <c r="AB275" s="34" t="s">
        <v>56</v>
      </c>
      <c r="AC275" s="7">
        <v>1</v>
      </c>
      <c r="AD275" s="7">
        <v>6</v>
      </c>
      <c r="AE275" s="7" t="s">
        <v>807</v>
      </c>
      <c r="AF275" s="7">
        <v>0</v>
      </c>
      <c r="AG275" s="7">
        <v>40</v>
      </c>
      <c r="AH275" s="7">
        <v>0</v>
      </c>
      <c r="AI275" s="7">
        <v>0</v>
      </c>
      <c r="AJ275" s="7">
        <v>-1</v>
      </c>
      <c r="AK275" s="7" t="s">
        <v>1064</v>
      </c>
      <c r="AL275" s="12" t="s">
        <v>1695</v>
      </c>
      <c r="AM275" s="12" t="s">
        <v>2072</v>
      </c>
    </row>
    <row r="276" spans="1:39" s="129" customFormat="1" ht="21" customHeight="1" x14ac:dyDescent="0.15">
      <c r="A276" s="127" t="str">
        <f t="shared" si="11"/>
        <v>11214_2</v>
      </c>
      <c r="B276" s="122">
        <v>0</v>
      </c>
      <c r="C276" s="146">
        <v>11214</v>
      </c>
      <c r="D276" s="123" t="str">
        <f ca="1">VLOOKUP($C276,OFFSET(quests!$A$1,0,0,COUNTA(quests!$A:$A),MATCH(D$1,quests!$1:$1,0)-MATCH($C$2,quests!$1:$1,0)+1),MATCH(D$1,quests!$1:$1,0)-MATCH($C$2,quests!$1:$1,0)+1,FALSE)</f>
        <v>プロメテウスの恋</v>
      </c>
      <c r="E276" s="124" t="str">
        <f ca="1">VLOOKUP($C276,OFFSET(quests!$A$1,0,0,COUNTA(quests!$A:$A),MATCH(E$2,quests!$1:$1,0)-MATCH($C$2,quests!$1:$1,0)+1),MATCH(E$2,quests!$1:$1,0)-MATCH($C$2,quests!$1:$1,0)+1,FALSE)</f>
        <v>2015年クリスマスクエスト</v>
      </c>
      <c r="F276" s="128">
        <v>2</v>
      </c>
      <c r="G276" s="125" t="s">
        <v>382</v>
      </c>
      <c r="H276" s="147" t="s">
        <v>836</v>
      </c>
      <c r="I276" s="147" t="s">
        <v>1571</v>
      </c>
      <c r="J276" s="147">
        <v>202</v>
      </c>
      <c r="K276" s="125">
        <v>1</v>
      </c>
      <c r="L276" s="126">
        <v>1</v>
      </c>
      <c r="M276" s="128">
        <v>1</v>
      </c>
      <c r="N276" s="128">
        <v>1</v>
      </c>
      <c r="O276" s="128">
        <v>1</v>
      </c>
      <c r="P276" s="128">
        <v>1</v>
      </c>
      <c r="Q276" s="128">
        <v>1</v>
      </c>
      <c r="R276" s="128">
        <v>3</v>
      </c>
      <c r="S276" s="125" t="s">
        <v>811</v>
      </c>
      <c r="T276" s="148">
        <v>0</v>
      </c>
      <c r="U276" s="125">
        <v>11214</v>
      </c>
      <c r="V276" s="125">
        <v>1</v>
      </c>
      <c r="W276" s="123" t="str">
        <f t="shared" ca="1" si="10"/>
        <v>【ストーリー前編】勢いまかせ</v>
      </c>
      <c r="X276" s="123">
        <f ca="1">VLOOKUP($C276,OFFSET(quests!$A$1,0,0,COUNTA(quests!$A:$A),MATCH(X$2,quests!$1:$1,0)-MATCH($C$2,quests!$1:$1,0)+1),MATCH(X$2,quests!$1:$1,0)-MATCH($C$2,quests!$1:$1,0)+1,FALSE)</f>
        <v>0</v>
      </c>
      <c r="Y276" s="123">
        <f ca="1">VLOOKUP($C276,OFFSET(quests!$A$1,0,0,COUNTA(quests!$A:$A),MATCH(Y$2,quests!$1:$1,0)-MATCH($C$2,quests!$1:$1,0)+1),MATCH(Y$2,quests!$1:$1,0)-MATCH($C$2,quests!$1:$1,0)+1,FALSE)</f>
        <v>0</v>
      </c>
      <c r="Z276" s="123">
        <f ca="1">VLOOKUP($C276,OFFSET(quests!$A$1,0,0,COUNTA(quests!$A:$A),MATCH(Z$2,quests!$1:$1,0)-MATCH($C$2,quests!$1:$1,0)+1),MATCH(Z$2,quests!$1:$1,0)-MATCH($C$2,quests!$1:$1,0)+1,FALSE)</f>
        <v>0</v>
      </c>
      <c r="AA276" s="123">
        <f ca="1">VLOOKUP($C276,OFFSET(quests!$A$1,0,0,COUNTA(quests!$A:$A),MATCH(AA$2,quests!$1:$1,0)-MATCH($C$2,quests!$1:$1,0)+1),MATCH(AA$2,quests!$1:$1,0)-MATCH($C$2,quests!$1:$1,0)+1,FALSE)</f>
        <v>0</v>
      </c>
      <c r="AB276" s="128" t="s">
        <v>56</v>
      </c>
      <c r="AC276" s="125">
        <v>105</v>
      </c>
      <c r="AD276" s="125">
        <v>6</v>
      </c>
      <c r="AE276" s="125" t="s">
        <v>807</v>
      </c>
      <c r="AF276" s="125">
        <v>0</v>
      </c>
      <c r="AG276" s="125">
        <v>1</v>
      </c>
      <c r="AH276" s="7">
        <v>0</v>
      </c>
      <c r="AI276" s="125">
        <v>0</v>
      </c>
      <c r="AJ276" s="125">
        <v>-1</v>
      </c>
      <c r="AK276" s="7" t="s">
        <v>1064</v>
      </c>
      <c r="AL276" s="12" t="s">
        <v>1695</v>
      </c>
      <c r="AM276" s="12" t="s">
        <v>2072</v>
      </c>
    </row>
    <row r="277" spans="1:39" ht="21" customHeight="1" x14ac:dyDescent="0.15">
      <c r="A277" s="42" t="str">
        <f t="shared" si="11"/>
        <v>11214_3</v>
      </c>
      <c r="B277" s="139">
        <v>0</v>
      </c>
      <c r="C277" s="172">
        <v>11214</v>
      </c>
      <c r="D277" s="47" t="str">
        <f ca="1">VLOOKUP($C277,OFFSET(quests!$A$1,0,0,COUNTA(quests!$A:$A),MATCH(D$1,quests!$1:$1,0)-MATCH($C$2,quests!$1:$1,0)+1),MATCH(D$1,quests!$1:$1,0)-MATCH($C$2,quests!$1:$1,0)+1,FALSE)</f>
        <v>プロメテウスの恋</v>
      </c>
      <c r="E277" s="48" t="str">
        <f ca="1">VLOOKUP($C277,OFFSET(quests!$A$1,0,0,COUNTA(quests!$A:$A),MATCH(E$2,quests!$1:$1,0)-MATCH($C$2,quests!$1:$1,0)+1),MATCH(E$2,quests!$1:$1,0)-MATCH($C$2,quests!$1:$1,0)+1,FALSE)</f>
        <v>2015年クリスマスクエスト</v>
      </c>
      <c r="F277" s="34">
        <v>3</v>
      </c>
      <c r="G277" s="7" t="s">
        <v>382</v>
      </c>
      <c r="H277" s="37" t="s">
        <v>809</v>
      </c>
      <c r="I277" s="37" t="s">
        <v>646</v>
      </c>
      <c r="J277" s="37">
        <v>202</v>
      </c>
      <c r="K277" s="167">
        <v>1</v>
      </c>
      <c r="L277" s="167">
        <v>2</v>
      </c>
      <c r="M277" s="159">
        <v>1</v>
      </c>
      <c r="N277" s="159">
        <v>1</v>
      </c>
      <c r="O277" s="159">
        <v>1</v>
      </c>
      <c r="P277" s="159">
        <v>1</v>
      </c>
      <c r="Q277" s="159">
        <v>1</v>
      </c>
      <c r="R277" s="159">
        <v>3</v>
      </c>
      <c r="S277" s="167" t="s">
        <v>810</v>
      </c>
      <c r="T277" s="184" t="s">
        <v>820</v>
      </c>
      <c r="U277" s="7">
        <v>11214</v>
      </c>
      <c r="V277" s="7">
        <v>1</v>
      </c>
      <c r="W277" s="47" t="str">
        <f t="shared" ca="1" si="10"/>
        <v>【ストーリー前編】勢いまかせ</v>
      </c>
      <c r="X277" s="47">
        <f ca="1">VLOOKUP($C277,OFFSET(quests!$A$1,0,0,COUNTA(quests!$A:$A),MATCH(X$2,quests!$1:$1,0)-MATCH($C$2,quests!$1:$1,0)+1),MATCH(X$2,quests!$1:$1,0)-MATCH($C$2,quests!$1:$1,0)+1,FALSE)</f>
        <v>0</v>
      </c>
      <c r="Y277" s="47">
        <f ca="1">VLOOKUP($C277,OFFSET(quests!$A$1,0,0,COUNTA(quests!$A:$A),MATCH(Y$2,quests!$1:$1,0)-MATCH($C$2,quests!$1:$1,0)+1),MATCH(Y$2,quests!$1:$1,0)-MATCH($C$2,quests!$1:$1,0)+1,FALSE)</f>
        <v>0</v>
      </c>
      <c r="Z277" s="47">
        <f ca="1">VLOOKUP($C277,OFFSET(quests!$A$1,0,0,COUNTA(quests!$A:$A),MATCH(Z$2,quests!$1:$1,0)-MATCH($C$2,quests!$1:$1,0)+1),MATCH(Z$2,quests!$1:$1,0)-MATCH($C$2,quests!$1:$1,0)+1,FALSE)</f>
        <v>0</v>
      </c>
      <c r="AA277" s="47">
        <f ca="1">VLOOKUP($C277,OFFSET(quests!$A$1,0,0,COUNTA(quests!$A:$A),MATCH(AA$2,quests!$1:$1,0)-MATCH($C$2,quests!$1:$1,0)+1),MATCH(AA$2,quests!$1:$1,0)-MATCH($C$2,quests!$1:$1,0)+1,FALSE)</f>
        <v>0</v>
      </c>
      <c r="AB277" s="34" t="s">
        <v>56</v>
      </c>
      <c r="AC277" s="7">
        <v>105</v>
      </c>
      <c r="AD277" s="7">
        <v>6</v>
      </c>
      <c r="AE277" s="7" t="s">
        <v>807</v>
      </c>
      <c r="AF277" s="7">
        <v>0</v>
      </c>
      <c r="AG277" s="7">
        <v>1</v>
      </c>
      <c r="AH277" s="7">
        <v>0</v>
      </c>
      <c r="AI277" s="7">
        <v>0</v>
      </c>
      <c r="AJ277" s="7">
        <v>-1</v>
      </c>
      <c r="AK277" s="7" t="s">
        <v>1064</v>
      </c>
      <c r="AL277" s="12" t="s">
        <v>1695</v>
      </c>
      <c r="AM277" s="12" t="s">
        <v>2072</v>
      </c>
    </row>
    <row r="278" spans="1:39" ht="21" customHeight="1" x14ac:dyDescent="0.15">
      <c r="A278" s="42" t="str">
        <f t="shared" si="11"/>
        <v>11215_1</v>
      </c>
      <c r="B278" s="139">
        <v>0</v>
      </c>
      <c r="C278" s="172">
        <v>11215</v>
      </c>
      <c r="D278" s="47" t="str">
        <f ca="1">VLOOKUP($C278,OFFSET(quests!$A$1,0,0,COUNTA(quests!$A:$A),MATCH(D$1,quests!$1:$1,0)-MATCH($C$2,quests!$1:$1,0)+1),MATCH(D$1,quests!$1:$1,0)-MATCH($C$2,quests!$1:$1,0)+1,FALSE)</f>
        <v>【マルチ】サンタダックを捕獲せよ！</v>
      </c>
      <c r="E278" s="48" t="str">
        <f ca="1">VLOOKUP($C278,OFFSET(quests!$A$1,0,0,COUNTA(quests!$A:$A),MATCH(E$2,quests!$1:$1,0)-MATCH($C$2,quests!$1:$1,0)+1),MATCH(E$2,quests!$1:$1,0)-MATCH($C$2,quests!$1:$1,0)+1,FALSE)</f>
        <v>2015年クリスマスゲリラクエスト</v>
      </c>
      <c r="F278" s="34">
        <v>1</v>
      </c>
      <c r="G278" s="7" t="s">
        <v>382</v>
      </c>
      <c r="H278" s="37" t="s">
        <v>812</v>
      </c>
      <c r="I278" s="37" t="s">
        <v>814</v>
      </c>
      <c r="J278" s="37">
        <v>520</v>
      </c>
      <c r="K278" s="167">
        <v>10</v>
      </c>
      <c r="L278" s="167">
        <v>350</v>
      </c>
      <c r="M278" s="159">
        <v>1</v>
      </c>
      <c r="N278" s="159">
        <v>1</v>
      </c>
      <c r="O278" s="159">
        <v>1</v>
      </c>
      <c r="P278" s="159">
        <v>1</v>
      </c>
      <c r="Q278" s="159">
        <v>1</v>
      </c>
      <c r="R278" s="159">
        <v>3</v>
      </c>
      <c r="S278" s="167" t="s">
        <v>817</v>
      </c>
      <c r="T278" s="167">
        <v>0</v>
      </c>
      <c r="U278" s="7" t="s">
        <v>169</v>
      </c>
      <c r="V278" s="7" t="s">
        <v>169</v>
      </c>
      <c r="W278" s="47" t="str">
        <f t="shared" ca="1" si="10"/>
        <v/>
      </c>
      <c r="X278" s="47">
        <f ca="1">VLOOKUP($C278,OFFSET(quests!$A$1,0,0,COUNTA(quests!$A:$A),MATCH(X$2,quests!$1:$1,0)-MATCH($C$2,quests!$1:$1,0)+1),MATCH(X$2,quests!$1:$1,0)-MATCH($C$2,quests!$1:$1,0)+1,FALSE)</f>
        <v>0</v>
      </c>
      <c r="Y278" s="47">
        <f ca="1">VLOOKUP($C278,OFFSET(quests!$A$1,0,0,COUNTA(quests!$A:$A),MATCH(Y$2,quests!$1:$1,0)-MATCH($C$2,quests!$1:$1,0)+1),MATCH(Y$2,quests!$1:$1,0)-MATCH($C$2,quests!$1:$1,0)+1,FALSE)</f>
        <v>0</v>
      </c>
      <c r="Z278" s="47">
        <f ca="1">VLOOKUP($C278,OFFSET(quests!$A$1,0,0,COUNTA(quests!$A:$A),MATCH(Z$2,quests!$1:$1,0)-MATCH($C$2,quests!$1:$1,0)+1),MATCH(Z$2,quests!$1:$1,0)-MATCH($C$2,quests!$1:$1,0)+1,FALSE)</f>
        <v>0</v>
      </c>
      <c r="AA278" s="47">
        <f ca="1">VLOOKUP($C278,OFFSET(quests!$A$1,0,0,COUNTA(quests!$A:$A),MATCH(AA$2,quests!$1:$1,0)-MATCH($C$2,quests!$1:$1,0)+1),MATCH(AA$2,quests!$1:$1,0)-MATCH($C$2,quests!$1:$1,0)+1,FALSE)</f>
        <v>0</v>
      </c>
      <c r="AB278" s="34" t="s">
        <v>56</v>
      </c>
      <c r="AC278" s="7">
        <v>105</v>
      </c>
      <c r="AD278" s="7">
        <v>6</v>
      </c>
      <c r="AE278" s="7" t="s">
        <v>819</v>
      </c>
      <c r="AF278" s="7">
        <v>1</v>
      </c>
      <c r="AG278" s="7">
        <v>1</v>
      </c>
      <c r="AH278" s="7">
        <v>0</v>
      </c>
      <c r="AI278" s="7">
        <v>-1</v>
      </c>
      <c r="AJ278" s="7">
        <v>-1</v>
      </c>
      <c r="AK278" s="7" t="s">
        <v>1064</v>
      </c>
      <c r="AL278" s="12" t="s">
        <v>1695</v>
      </c>
      <c r="AM278" s="12" t="s">
        <v>2072</v>
      </c>
    </row>
    <row r="279" spans="1:39" ht="21" customHeight="1" x14ac:dyDescent="0.15">
      <c r="A279" s="42" t="str">
        <f t="shared" si="11"/>
        <v>11216_1</v>
      </c>
      <c r="B279" s="139">
        <v>0</v>
      </c>
      <c r="C279" s="172">
        <v>11216</v>
      </c>
      <c r="D279" s="47" t="str">
        <f ca="1">VLOOKUP($C279,OFFSET(quests!$A$1,0,0,COUNTA(quests!$A:$A),MATCH(D$1,quests!$1:$1,0)-MATCH($C$2,quests!$1:$1,0)+1),MATCH(D$1,quests!$1:$1,0)-MATCH($C$2,quests!$1:$1,0)+1,FALSE)</f>
        <v>年越し★特別クエスト</v>
      </c>
      <c r="E279" s="48" t="str">
        <f ca="1">VLOOKUP($C279,OFFSET(quests!$A$1,0,0,COUNTA(quests!$A:$A),MATCH(E$2,quests!$1:$1,0)-MATCH($C$2,quests!$1:$1,0)+1),MATCH(E$2,quests!$1:$1,0)-MATCH($C$2,quests!$1:$1,0)+1,FALSE)</f>
        <v>2015年年越しクエスト</v>
      </c>
      <c r="F279" s="34">
        <v>1</v>
      </c>
      <c r="G279" s="7" t="s">
        <v>382</v>
      </c>
      <c r="H279" s="37" t="s">
        <v>835</v>
      </c>
      <c r="I279" s="37" t="s">
        <v>826</v>
      </c>
      <c r="J279" s="37">
        <v>377</v>
      </c>
      <c r="K279" s="167">
        <v>10</v>
      </c>
      <c r="L279" s="167">
        <v>350</v>
      </c>
      <c r="M279" s="159">
        <v>1</v>
      </c>
      <c r="N279" s="159">
        <v>1</v>
      </c>
      <c r="O279" s="159">
        <v>1</v>
      </c>
      <c r="P279" s="159">
        <v>1</v>
      </c>
      <c r="Q279" s="196">
        <v>0</v>
      </c>
      <c r="R279" s="159">
        <v>3</v>
      </c>
      <c r="S279" s="167" t="s">
        <v>817</v>
      </c>
      <c r="T279" s="167">
        <v>0</v>
      </c>
      <c r="U279" s="7" t="s">
        <v>169</v>
      </c>
      <c r="V279" s="7" t="s">
        <v>169</v>
      </c>
      <c r="W279" s="47" t="str">
        <f t="shared" ca="1" si="10"/>
        <v/>
      </c>
      <c r="X279" s="47">
        <f ca="1">VLOOKUP($C279,OFFSET(quests!$A$1,0,0,COUNTA(quests!$A:$A),MATCH(X$2,quests!$1:$1,0)-MATCH($C$2,quests!$1:$1,0)+1),MATCH(X$2,quests!$1:$1,0)-MATCH($C$2,quests!$1:$1,0)+1,FALSE)</f>
        <v>0</v>
      </c>
      <c r="Y279" s="47">
        <f ca="1">VLOOKUP($C279,OFFSET(quests!$A$1,0,0,COUNTA(quests!$A:$A),MATCH(Y$2,quests!$1:$1,0)-MATCH($C$2,quests!$1:$1,0)+1),MATCH(Y$2,quests!$1:$1,0)-MATCH($C$2,quests!$1:$1,0)+1,FALSE)</f>
        <v>0</v>
      </c>
      <c r="Z279" s="47">
        <f ca="1">VLOOKUP($C279,OFFSET(quests!$A$1,0,0,COUNTA(quests!$A:$A),MATCH(Z$2,quests!$1:$1,0)-MATCH($C$2,quests!$1:$1,0)+1),MATCH(Z$2,quests!$1:$1,0)-MATCH($C$2,quests!$1:$1,0)+1,FALSE)</f>
        <v>0</v>
      </c>
      <c r="AA279" s="47">
        <f ca="1">VLOOKUP($C279,OFFSET(quests!$A$1,0,0,COUNTA(quests!$A:$A),MATCH(AA$2,quests!$1:$1,0)-MATCH($C$2,quests!$1:$1,0)+1),MATCH(AA$2,quests!$1:$1,0)-MATCH($C$2,quests!$1:$1,0)+1,FALSE)</f>
        <v>0</v>
      </c>
      <c r="AB279" s="34" t="s">
        <v>56</v>
      </c>
      <c r="AC279" s="7">
        <v>901</v>
      </c>
      <c r="AD279" s="7">
        <v>6</v>
      </c>
      <c r="AE279" s="7" t="s">
        <v>819</v>
      </c>
      <c r="AF279" s="7">
        <v>0</v>
      </c>
      <c r="AG279" s="7">
        <v>0</v>
      </c>
      <c r="AH279" s="7">
        <v>0</v>
      </c>
      <c r="AI279" s="7">
        <v>-1</v>
      </c>
      <c r="AJ279" s="7">
        <v>-1</v>
      </c>
      <c r="AK279" s="7" t="s">
        <v>1064</v>
      </c>
      <c r="AL279" s="12" t="s">
        <v>1695</v>
      </c>
      <c r="AM279" s="12" t="s">
        <v>2072</v>
      </c>
    </row>
    <row r="280" spans="1:39" ht="21" customHeight="1" x14ac:dyDescent="0.15">
      <c r="A280" s="42" t="str">
        <f t="shared" si="11"/>
        <v>11217_1</v>
      </c>
      <c r="B280" s="139">
        <v>0</v>
      </c>
      <c r="C280" s="172">
        <v>11217</v>
      </c>
      <c r="D280" s="47" t="str">
        <f ca="1">VLOOKUP($C280,OFFSET(quests!$A$1,0,0,COUNTA(quests!$A:$A),MATCH(D$1,quests!$1:$1,0)-MATCH($C$2,quests!$1:$1,0)+1),MATCH(D$1,quests!$1:$1,0)-MATCH($C$2,quests!$1:$1,0)+1,FALSE)</f>
        <v>年明け★特別クエスト</v>
      </c>
      <c r="E280" s="48" t="str">
        <f ca="1">VLOOKUP($C280,OFFSET(quests!$A$1,0,0,COUNTA(quests!$A:$A),MATCH(E$2,quests!$1:$1,0)-MATCH($C$2,quests!$1:$1,0)+1),MATCH(E$2,quests!$1:$1,0)-MATCH($C$2,quests!$1:$1,0)+1,FALSE)</f>
        <v>2016年あけおめクエスト</v>
      </c>
      <c r="F280" s="34">
        <v>1</v>
      </c>
      <c r="G280" s="7" t="s">
        <v>382</v>
      </c>
      <c r="H280" s="37" t="s">
        <v>829</v>
      </c>
      <c r="I280" s="37" t="s">
        <v>827</v>
      </c>
      <c r="J280" s="37">
        <v>524</v>
      </c>
      <c r="K280" s="167">
        <v>1</v>
      </c>
      <c r="L280" s="167">
        <v>2016</v>
      </c>
      <c r="M280" s="159">
        <v>1</v>
      </c>
      <c r="N280" s="159">
        <v>1</v>
      </c>
      <c r="O280" s="159">
        <v>1</v>
      </c>
      <c r="P280" s="159">
        <v>1</v>
      </c>
      <c r="Q280" s="196">
        <v>0</v>
      </c>
      <c r="R280" s="159">
        <v>3</v>
      </c>
      <c r="S280" s="167" t="s">
        <v>837</v>
      </c>
      <c r="T280" s="167">
        <v>1</v>
      </c>
      <c r="U280" s="7" t="s">
        <v>169</v>
      </c>
      <c r="V280" s="7" t="s">
        <v>169</v>
      </c>
      <c r="W280" s="47" t="str">
        <f t="shared" ca="1" si="10"/>
        <v/>
      </c>
      <c r="X280" s="47">
        <f ca="1">VLOOKUP($C280,OFFSET(quests!$A$1,0,0,COUNTA(quests!$A:$A),MATCH(X$2,quests!$1:$1,0)-MATCH($C$2,quests!$1:$1,0)+1),MATCH(X$2,quests!$1:$1,0)-MATCH($C$2,quests!$1:$1,0)+1,FALSE)</f>
        <v>0</v>
      </c>
      <c r="Y280" s="47">
        <f ca="1">VLOOKUP($C280,OFFSET(quests!$A$1,0,0,COUNTA(quests!$A:$A),MATCH(Y$2,quests!$1:$1,0)-MATCH($C$2,quests!$1:$1,0)+1),MATCH(Y$2,quests!$1:$1,0)-MATCH($C$2,quests!$1:$1,0)+1,FALSE)</f>
        <v>0</v>
      </c>
      <c r="Z280" s="47">
        <f ca="1">VLOOKUP($C280,OFFSET(quests!$A$1,0,0,COUNTA(quests!$A:$A),MATCH(Z$2,quests!$1:$1,0)-MATCH($C$2,quests!$1:$1,0)+1),MATCH(Z$2,quests!$1:$1,0)-MATCH($C$2,quests!$1:$1,0)+1,FALSE)</f>
        <v>0</v>
      </c>
      <c r="AA280" s="47">
        <f ca="1">VLOOKUP($C280,OFFSET(quests!$A$1,0,0,COUNTA(quests!$A:$A),MATCH(AA$2,quests!$1:$1,0)-MATCH($C$2,quests!$1:$1,0)+1),MATCH(AA$2,quests!$1:$1,0)-MATCH($C$2,quests!$1:$1,0)+1,FALSE)</f>
        <v>0</v>
      </c>
      <c r="AB280" s="159" t="s">
        <v>840</v>
      </c>
      <c r="AC280" s="7">
        <v>2</v>
      </c>
      <c r="AD280" s="7">
        <v>6</v>
      </c>
      <c r="AE280" s="7" t="s">
        <v>522</v>
      </c>
      <c r="AF280" s="7">
        <v>0</v>
      </c>
      <c r="AG280" s="7">
        <v>1</v>
      </c>
      <c r="AH280" s="7">
        <v>0</v>
      </c>
      <c r="AI280" s="7">
        <v>0</v>
      </c>
      <c r="AJ280" s="7">
        <v>-1</v>
      </c>
      <c r="AK280" s="7" t="s">
        <v>1064</v>
      </c>
      <c r="AL280" s="12" t="s">
        <v>1695</v>
      </c>
      <c r="AM280" s="12" t="s">
        <v>2072</v>
      </c>
    </row>
    <row r="281" spans="1:39" ht="21" customHeight="1" x14ac:dyDescent="0.15">
      <c r="A281" s="42" t="str">
        <f t="shared" si="11"/>
        <v>11218_1</v>
      </c>
      <c r="B281" s="23">
        <v>3</v>
      </c>
      <c r="C281" s="172">
        <v>11218</v>
      </c>
      <c r="D281" s="47" t="str">
        <f ca="1">VLOOKUP($C281,OFFSET(quests!$A$1,0,0,COUNTA(quests!$A:$A),MATCH(D$1,quests!$1:$1,0)-MATCH($C$2,quests!$1:$1,0)+1),MATCH(D$1,quests!$1:$1,0)-MATCH($C$2,quests!$1:$1,0)+1,FALSE)</f>
        <v>バレンタイン★特別クエスト</v>
      </c>
      <c r="E281" s="48" t="str">
        <f ca="1">VLOOKUP($C281,OFFSET(quests!$A$1,0,0,COUNTA(quests!$A:$A),MATCH(E$2,quests!$1:$1,0)-MATCH($C$2,quests!$1:$1,0)+1),MATCH(E$2,quests!$1:$1,0)-MATCH($C$2,quests!$1:$1,0)+1,FALSE)</f>
        <v>2016年バレンタインクエスト</v>
      </c>
      <c r="F281" s="34">
        <v>1</v>
      </c>
      <c r="G281" s="7" t="s">
        <v>382</v>
      </c>
      <c r="H281" s="37" t="s">
        <v>962</v>
      </c>
      <c r="I281" s="37" t="s">
        <v>917</v>
      </c>
      <c r="J281" s="37">
        <v>572</v>
      </c>
      <c r="K281" s="167">
        <v>1</v>
      </c>
      <c r="L281" s="167">
        <v>214</v>
      </c>
      <c r="M281" s="159">
        <v>1</v>
      </c>
      <c r="N281" s="159">
        <v>1</v>
      </c>
      <c r="O281" s="159">
        <v>1</v>
      </c>
      <c r="P281" s="159">
        <v>1</v>
      </c>
      <c r="Q281" s="159">
        <v>1</v>
      </c>
      <c r="R281" s="159">
        <v>3</v>
      </c>
      <c r="S281" s="167" t="s">
        <v>278</v>
      </c>
      <c r="T281" s="167">
        <v>1</v>
      </c>
      <c r="U281" s="7" t="s">
        <v>169</v>
      </c>
      <c r="V281" s="7" t="s">
        <v>169</v>
      </c>
      <c r="W281" s="47" t="str">
        <f t="shared" ca="1" si="10"/>
        <v/>
      </c>
      <c r="X281" s="47">
        <f ca="1">VLOOKUP($C281,OFFSET(quests!$A$1,0,0,COUNTA(quests!$A:$A),MATCH(X$2,quests!$1:$1,0)-MATCH($C$2,quests!$1:$1,0)+1),MATCH(X$2,quests!$1:$1,0)-MATCH($C$2,quests!$1:$1,0)+1,FALSE)</f>
        <v>0</v>
      </c>
      <c r="Y281" s="47">
        <f ca="1">VLOOKUP($C281,OFFSET(quests!$A$1,0,0,COUNTA(quests!$A:$A),MATCH(Y$2,quests!$1:$1,0)-MATCH($C$2,quests!$1:$1,0)+1),MATCH(Y$2,quests!$1:$1,0)-MATCH($C$2,quests!$1:$1,0)+1,FALSE)</f>
        <v>0</v>
      </c>
      <c r="Z281" s="47">
        <f ca="1">VLOOKUP($C281,OFFSET(quests!$A$1,0,0,COUNTA(quests!$A:$A),MATCH(Z$2,quests!$1:$1,0)-MATCH($C$2,quests!$1:$1,0)+1),MATCH(Z$2,quests!$1:$1,0)-MATCH($C$2,quests!$1:$1,0)+1,FALSE)</f>
        <v>0</v>
      </c>
      <c r="AA281" s="47">
        <f ca="1">VLOOKUP($C281,OFFSET(quests!$A$1,0,0,COUNTA(quests!$A:$A),MATCH(AA$2,quests!$1:$1,0)-MATCH($C$2,quests!$1:$1,0)+1),MATCH(AA$2,quests!$1:$1,0)-MATCH($C$2,quests!$1:$1,0)+1,FALSE)</f>
        <v>0</v>
      </c>
      <c r="AB281" s="159" t="s">
        <v>840</v>
      </c>
      <c r="AC281" s="7">
        <v>1</v>
      </c>
      <c r="AD281" s="7">
        <v>6</v>
      </c>
      <c r="AE281" s="7" t="s">
        <v>522</v>
      </c>
      <c r="AF281" s="7">
        <v>0</v>
      </c>
      <c r="AG281" s="7">
        <v>40</v>
      </c>
      <c r="AH281" s="7">
        <v>1</v>
      </c>
      <c r="AI281" s="7">
        <v>0</v>
      </c>
      <c r="AJ281" s="7">
        <v>-1</v>
      </c>
      <c r="AK281" s="7" t="s">
        <v>1064</v>
      </c>
      <c r="AL281" s="12" t="s">
        <v>1695</v>
      </c>
      <c r="AM281" s="12" t="s">
        <v>2072</v>
      </c>
    </row>
    <row r="282" spans="1:39" ht="21" customHeight="1" x14ac:dyDescent="0.15">
      <c r="A282" s="42" t="str">
        <f t="shared" si="11"/>
        <v>11219_1</v>
      </c>
      <c r="B282" s="23">
        <v>3</v>
      </c>
      <c r="C282" s="172">
        <v>11219</v>
      </c>
      <c r="D282" s="47" t="str">
        <f ca="1">VLOOKUP($C282,OFFSET(quests!$A$1,0,0,COUNTA(quests!$A:$A),MATCH(D$1,quests!$1:$1,0)-MATCH($C$2,quests!$1:$1,0)+1),MATCH(D$1,quests!$1:$1,0)-MATCH($C$2,quests!$1:$1,0)+1,FALSE)</f>
        <v>200万DL記念★特別クエスト</v>
      </c>
      <c r="E282" s="48" t="str">
        <f ca="1">VLOOKUP($C282,OFFSET(quests!$A$1,0,0,COUNTA(quests!$A:$A),MATCH(E$2,quests!$1:$1,0)-MATCH($C$2,quests!$1:$1,0)+1),MATCH(E$2,quests!$1:$1,0)-MATCH($C$2,quests!$1:$1,0)+1,FALSE)</f>
        <v>200万DL記念★特別クエスト</v>
      </c>
      <c r="F282" s="7">
        <v>1</v>
      </c>
      <c r="G282" s="7" t="s">
        <v>570</v>
      </c>
      <c r="H282" s="39" t="s">
        <v>978</v>
      </c>
      <c r="I282" s="12" t="s">
        <v>961</v>
      </c>
      <c r="J282" s="12">
        <v>97</v>
      </c>
      <c r="K282" s="167">
        <v>1</v>
      </c>
      <c r="L282" s="167">
        <v>200</v>
      </c>
      <c r="M282" s="167">
        <v>1</v>
      </c>
      <c r="N282" s="167">
        <v>1</v>
      </c>
      <c r="O282" s="167">
        <v>1</v>
      </c>
      <c r="P282" s="167">
        <v>1</v>
      </c>
      <c r="Q282" s="185">
        <v>1</v>
      </c>
      <c r="R282" s="167">
        <v>3</v>
      </c>
      <c r="S282" s="167" t="s">
        <v>278</v>
      </c>
      <c r="T282" s="167">
        <v>1</v>
      </c>
      <c r="U282" s="7" t="s">
        <v>169</v>
      </c>
      <c r="V282" s="7" t="s">
        <v>169</v>
      </c>
      <c r="W282" s="47" t="str">
        <f t="shared" ca="1" si="10"/>
        <v/>
      </c>
      <c r="X282" s="47">
        <f ca="1">VLOOKUP($C282,OFFSET(quests!$A$1,0,0,COUNTA(quests!$A:$A),MATCH(X$2,quests!$1:$1,0)-MATCH($C$2,quests!$1:$1,0)+1),MATCH(X$2,quests!$1:$1,0)-MATCH($C$2,quests!$1:$1,0)+1,FALSE)</f>
        <v>0</v>
      </c>
      <c r="Y282" s="47">
        <f ca="1">VLOOKUP($C282,OFFSET(quests!$A$1,0,0,COUNTA(quests!$A:$A),MATCH(Y$2,quests!$1:$1,0)-MATCH($C$2,quests!$1:$1,0)+1),MATCH(Y$2,quests!$1:$1,0)-MATCH($C$2,quests!$1:$1,0)+1,FALSE)</f>
        <v>0</v>
      </c>
      <c r="Z282" s="47">
        <f ca="1">VLOOKUP($C282,OFFSET(quests!$A$1,0,0,COUNTA(quests!$A:$A),MATCH(Z$2,quests!$1:$1,0)-MATCH($C$2,quests!$1:$1,0)+1),MATCH(Z$2,quests!$1:$1,0)-MATCH($C$2,quests!$1:$1,0)+1,FALSE)</f>
        <v>0</v>
      </c>
      <c r="AA282" s="47">
        <f ca="1">VLOOKUP($C282,OFFSET(quests!$A$1,0,0,COUNTA(quests!$A:$A),MATCH(AA$2,quests!$1:$1,0)-MATCH($C$2,quests!$1:$1,0)+1),MATCH(AA$2,quests!$1:$1,0)-MATCH($C$2,quests!$1:$1,0)+1,FALSE)</f>
        <v>0</v>
      </c>
      <c r="AB282" s="159" t="s">
        <v>56</v>
      </c>
      <c r="AC282" s="7">
        <v>1</v>
      </c>
      <c r="AD282" s="7">
        <v>6</v>
      </c>
      <c r="AE282" s="7" t="s">
        <v>522</v>
      </c>
      <c r="AF282" s="7">
        <v>1</v>
      </c>
      <c r="AG282" s="7">
        <v>40</v>
      </c>
      <c r="AH282" s="7">
        <v>0</v>
      </c>
      <c r="AI282" s="7">
        <v>0</v>
      </c>
      <c r="AJ282" s="7">
        <v>-1</v>
      </c>
      <c r="AK282" s="7" t="s">
        <v>1064</v>
      </c>
      <c r="AL282" s="12" t="s">
        <v>1695</v>
      </c>
      <c r="AM282" s="12" t="s">
        <v>2072</v>
      </c>
    </row>
    <row r="283" spans="1:39" ht="21" customHeight="1" x14ac:dyDescent="0.15">
      <c r="A283" s="42" t="str">
        <f t="shared" si="11"/>
        <v>11220_1</v>
      </c>
      <c r="B283" s="23">
        <v>3</v>
      </c>
      <c r="C283" s="172">
        <v>11220</v>
      </c>
      <c r="D283" s="47" t="str">
        <f ca="1">VLOOKUP($C283,OFFSET(quests!$A$1,0,0,COUNTA(quests!$A:$A),MATCH(D$1,quests!$1:$1,0)-MATCH($C$2,quests!$1:$1,0)+1),MATCH(D$1,quests!$1:$1,0)-MATCH($C$2,quests!$1:$1,0)+1,FALSE)</f>
        <v>ホワイトデー★特別クエスト</v>
      </c>
      <c r="E283" s="48" t="str">
        <f ca="1">VLOOKUP($C283,OFFSET(quests!$A$1,0,0,COUNTA(quests!$A:$A),MATCH(E$2,quests!$1:$1,0)-MATCH($C$2,quests!$1:$1,0)+1),MATCH(E$2,quests!$1:$1,0)-MATCH($C$2,quests!$1:$1,0)+1,FALSE)</f>
        <v>2016年ホワイトデークエスト</v>
      </c>
      <c r="F283" s="7">
        <v>1</v>
      </c>
      <c r="G283" s="7" t="s">
        <v>570</v>
      </c>
      <c r="H283" s="23" t="s">
        <v>1008</v>
      </c>
      <c r="I283" s="12" t="s">
        <v>1007</v>
      </c>
      <c r="J283" s="12">
        <v>350</v>
      </c>
      <c r="K283" s="167">
        <v>1</v>
      </c>
      <c r="L283" s="167">
        <v>314</v>
      </c>
      <c r="M283" s="167">
        <v>1</v>
      </c>
      <c r="N283" s="167">
        <v>1</v>
      </c>
      <c r="O283" s="167">
        <v>1</v>
      </c>
      <c r="P283" s="167">
        <v>1</v>
      </c>
      <c r="Q283" s="185">
        <v>1</v>
      </c>
      <c r="R283" s="167">
        <v>3</v>
      </c>
      <c r="S283" s="167" t="s">
        <v>278</v>
      </c>
      <c r="T283" s="167">
        <v>1</v>
      </c>
      <c r="U283" s="7" t="s">
        <v>169</v>
      </c>
      <c r="V283" s="7" t="s">
        <v>169</v>
      </c>
      <c r="W283" s="47" t="str">
        <f t="shared" ca="1" si="10"/>
        <v/>
      </c>
      <c r="X283" s="47">
        <f ca="1">VLOOKUP($C283,OFFSET(quests!$A$1,0,0,COUNTA(quests!$A:$A),MATCH(X$2,quests!$1:$1,0)-MATCH($C$2,quests!$1:$1,0)+1),MATCH(X$2,quests!$1:$1,0)-MATCH($C$2,quests!$1:$1,0)+1,FALSE)</f>
        <v>0</v>
      </c>
      <c r="Y283" s="47">
        <f ca="1">VLOOKUP($C283,OFFSET(quests!$A$1,0,0,COUNTA(quests!$A:$A),MATCH(Y$2,quests!$1:$1,0)-MATCH($C$2,quests!$1:$1,0)+1),MATCH(Y$2,quests!$1:$1,0)-MATCH($C$2,quests!$1:$1,0)+1,FALSE)</f>
        <v>0</v>
      </c>
      <c r="Z283" s="47">
        <f ca="1">VLOOKUP($C283,OFFSET(quests!$A$1,0,0,COUNTA(quests!$A:$A),MATCH(Z$2,quests!$1:$1,0)-MATCH($C$2,quests!$1:$1,0)+1),MATCH(Z$2,quests!$1:$1,0)-MATCH($C$2,quests!$1:$1,0)+1,FALSE)</f>
        <v>0</v>
      </c>
      <c r="AA283" s="47">
        <f ca="1">VLOOKUP($C283,OFFSET(quests!$A$1,0,0,COUNTA(quests!$A:$A),MATCH(AA$2,quests!$1:$1,0)-MATCH($C$2,quests!$1:$1,0)+1),MATCH(AA$2,quests!$1:$1,0)-MATCH($C$2,quests!$1:$1,0)+1,FALSE)</f>
        <v>0</v>
      </c>
      <c r="AB283" s="159" t="s">
        <v>1026</v>
      </c>
      <c r="AC283" s="7">
        <v>1</v>
      </c>
      <c r="AD283" s="7">
        <v>6</v>
      </c>
      <c r="AE283" s="7" t="s">
        <v>522</v>
      </c>
      <c r="AF283" s="7">
        <v>0</v>
      </c>
      <c r="AG283" s="7">
        <v>40</v>
      </c>
      <c r="AH283" s="7">
        <v>0</v>
      </c>
      <c r="AI283" s="7">
        <v>0</v>
      </c>
      <c r="AJ283" s="7">
        <v>-1</v>
      </c>
      <c r="AK283" s="7" t="s">
        <v>1064</v>
      </c>
      <c r="AL283" s="12" t="s">
        <v>1695</v>
      </c>
      <c r="AM283" s="12" t="s">
        <v>2072</v>
      </c>
    </row>
    <row r="284" spans="1:39" ht="22" customHeight="1" x14ac:dyDescent="0.15">
      <c r="A284" s="42" t="str">
        <f t="shared" si="11"/>
        <v>11221_1</v>
      </c>
      <c r="B284" s="23">
        <v>3</v>
      </c>
      <c r="C284" s="172">
        <v>11221</v>
      </c>
      <c r="D284" s="47" t="str">
        <f ca="1">VLOOKUP($C284,OFFSET(quests!$A$1,0,0,COUNTA(quests!$A:$A),MATCH(D$1,quests!$1:$1,0)-MATCH($C$2,quests!$1:$1,0)+1),MATCH(D$1,quests!$1:$1,0)-MATCH($C$2,quests!$1:$1,0)+1,FALSE)</f>
        <v>新生活★応援クエスト</v>
      </c>
      <c r="E284" s="48" t="str">
        <f ca="1">VLOOKUP($C284,OFFSET(quests!$A$1,0,0,COUNTA(quests!$A:$A),MATCH(E$2,quests!$1:$1,0)-MATCH($C$2,quests!$1:$1,0)+1),MATCH(E$2,quests!$1:$1,0)-MATCH($C$2,quests!$1:$1,0)+1,FALSE)</f>
        <v>2016年卒業クエスト</v>
      </c>
      <c r="F284" s="7">
        <v>1</v>
      </c>
      <c r="G284" s="7" t="s">
        <v>382</v>
      </c>
      <c r="H284" s="23" t="s">
        <v>1039</v>
      </c>
      <c r="I284" s="12" t="s">
        <v>1028</v>
      </c>
      <c r="J284" s="12">
        <v>794</v>
      </c>
      <c r="K284" s="167">
        <v>1</v>
      </c>
      <c r="L284" s="167">
        <v>331</v>
      </c>
      <c r="M284" s="167">
        <v>1</v>
      </c>
      <c r="N284" s="167">
        <v>1</v>
      </c>
      <c r="O284" s="167">
        <v>1</v>
      </c>
      <c r="P284" s="167">
        <v>1</v>
      </c>
      <c r="Q284" s="185">
        <v>1</v>
      </c>
      <c r="R284" s="167">
        <v>3</v>
      </c>
      <c r="S284" s="167" t="s">
        <v>278</v>
      </c>
      <c r="T284" s="167">
        <v>1</v>
      </c>
      <c r="U284" s="7" t="s">
        <v>169</v>
      </c>
      <c r="V284" s="7" t="s">
        <v>169</v>
      </c>
      <c r="W284" s="47" t="str">
        <f t="shared" ca="1" si="10"/>
        <v/>
      </c>
      <c r="X284" s="47">
        <f ca="1">VLOOKUP($C284,OFFSET(quests!$A$1,0,0,COUNTA(quests!$A:$A),MATCH(X$2,quests!$1:$1,0)-MATCH($C$2,quests!$1:$1,0)+1),MATCH(X$2,quests!$1:$1,0)-MATCH($C$2,quests!$1:$1,0)+1,FALSE)</f>
        <v>0</v>
      </c>
      <c r="Y284" s="47">
        <f ca="1">VLOOKUP($C284,OFFSET(quests!$A$1,0,0,COUNTA(quests!$A:$A),MATCH(Y$2,quests!$1:$1,0)-MATCH($C$2,quests!$1:$1,0)+1),MATCH(Y$2,quests!$1:$1,0)-MATCH($C$2,quests!$1:$1,0)+1,FALSE)</f>
        <v>0</v>
      </c>
      <c r="Z284" s="47">
        <f ca="1">VLOOKUP($C284,OFFSET(quests!$A$1,0,0,COUNTA(quests!$A:$A),MATCH(Z$2,quests!$1:$1,0)-MATCH($C$2,quests!$1:$1,0)+1),MATCH(Z$2,quests!$1:$1,0)-MATCH($C$2,quests!$1:$1,0)+1,FALSE)</f>
        <v>0</v>
      </c>
      <c r="AA284" s="47">
        <f ca="1">VLOOKUP($C284,OFFSET(quests!$A$1,0,0,COUNTA(quests!$A:$A),MATCH(AA$2,quests!$1:$1,0)-MATCH($C$2,quests!$1:$1,0)+1),MATCH(AA$2,quests!$1:$1,0)-MATCH($C$2,quests!$1:$1,0)+1,FALSE)</f>
        <v>0</v>
      </c>
      <c r="AB284" s="159" t="s">
        <v>840</v>
      </c>
      <c r="AC284" s="7">
        <v>926</v>
      </c>
      <c r="AD284" s="7">
        <v>6</v>
      </c>
      <c r="AE284" s="7" t="s">
        <v>522</v>
      </c>
      <c r="AF284" s="7">
        <v>0</v>
      </c>
      <c r="AG284" s="7">
        <v>1</v>
      </c>
      <c r="AH284" s="7">
        <v>0</v>
      </c>
      <c r="AI284" s="7">
        <v>0</v>
      </c>
      <c r="AJ284" s="7">
        <v>-1</v>
      </c>
      <c r="AK284" s="7" t="s">
        <v>1064</v>
      </c>
      <c r="AL284" s="12" t="s">
        <v>1695</v>
      </c>
      <c r="AM284" s="12" t="s">
        <v>2072</v>
      </c>
    </row>
    <row r="285" spans="1:39" ht="21" customHeight="1" x14ac:dyDescent="0.15">
      <c r="A285" s="42" t="str">
        <f t="shared" si="11"/>
        <v>11224_1</v>
      </c>
      <c r="B285" s="23">
        <v>3</v>
      </c>
      <c r="C285" s="172">
        <v>11224</v>
      </c>
      <c r="D285" s="47" t="str">
        <f ca="1">VLOOKUP($C285,OFFSET(quests!$A$1,0,0,COUNTA(quests!$A:$A),MATCH(D$1,quests!$1:$1,0)-MATCH($C$2,quests!$1:$1,0)+1),MATCH(D$1,quests!$1:$1,0)-MATCH($C$2,quests!$1:$1,0)+1,FALSE)</f>
        <v>TVCM放送記念★特別クエスト</v>
      </c>
      <c r="E285" s="48" t="str">
        <f ca="1">VLOOKUP($C285,OFFSET(quests!$A$1,0,0,COUNTA(quests!$A:$A),MATCH(E$2,quests!$1:$1,0)-MATCH($C$2,quests!$1:$1,0)+1),MATCH(E$2,quests!$1:$1,0)-MATCH($C$2,quests!$1:$1,0)+1,FALSE)</f>
        <v>TVCM放送記念★特別クエスト</v>
      </c>
      <c r="F285" s="7">
        <v>1</v>
      </c>
      <c r="G285" s="7" t="s">
        <v>382</v>
      </c>
      <c r="H285" s="23" t="s">
        <v>2377</v>
      </c>
      <c r="I285" s="12" t="s">
        <v>1097</v>
      </c>
      <c r="J285" s="12">
        <v>976</v>
      </c>
      <c r="K285" s="167">
        <v>1</v>
      </c>
      <c r="L285" s="167">
        <v>1</v>
      </c>
      <c r="M285" s="167">
        <v>1</v>
      </c>
      <c r="N285" s="167">
        <v>1</v>
      </c>
      <c r="O285" s="167">
        <v>1</v>
      </c>
      <c r="P285" s="167">
        <v>1</v>
      </c>
      <c r="Q285" s="196">
        <v>0</v>
      </c>
      <c r="R285" s="167">
        <v>3</v>
      </c>
      <c r="S285" s="167" t="s">
        <v>278</v>
      </c>
      <c r="T285" s="167">
        <v>10</v>
      </c>
      <c r="U285" s="7" t="s">
        <v>169</v>
      </c>
      <c r="V285" s="7" t="s">
        <v>169</v>
      </c>
      <c r="W285" s="47" t="str">
        <f t="shared" ca="1" si="10"/>
        <v/>
      </c>
      <c r="X285" s="47">
        <f ca="1">VLOOKUP($C285,OFFSET(quests!$A$1,0,0,COUNTA(quests!$A:$A),MATCH(X$2,quests!$1:$1,0)-MATCH($C$2,quests!$1:$1,0)+1),MATCH(X$2,quests!$1:$1,0)-MATCH($C$2,quests!$1:$1,0)+1,FALSE)</f>
        <v>0</v>
      </c>
      <c r="Y285" s="47">
        <f ca="1">VLOOKUP($C285,OFFSET(quests!$A$1,0,0,COUNTA(quests!$A:$A),MATCH(Y$2,quests!$1:$1,0)-MATCH($C$2,quests!$1:$1,0)+1),MATCH(Y$2,quests!$1:$1,0)-MATCH($C$2,quests!$1:$1,0)+1,FALSE)</f>
        <v>0</v>
      </c>
      <c r="Z285" s="47">
        <f ca="1">VLOOKUP($C285,OFFSET(quests!$A$1,0,0,COUNTA(quests!$A:$A),MATCH(Z$2,quests!$1:$1,0)-MATCH($C$2,quests!$1:$1,0)+1),MATCH(Z$2,quests!$1:$1,0)-MATCH($C$2,quests!$1:$1,0)+1,FALSE)</f>
        <v>0</v>
      </c>
      <c r="AA285" s="47">
        <f ca="1">VLOOKUP($C285,OFFSET(quests!$A$1,0,0,COUNTA(quests!$A:$A),MATCH(AA$2,quests!$1:$1,0)-MATCH($C$2,quests!$1:$1,0)+1),MATCH(AA$2,quests!$1:$1,0)-MATCH($C$2,quests!$1:$1,0)+1,FALSE)</f>
        <v>0</v>
      </c>
      <c r="AB285" s="96" t="s">
        <v>56</v>
      </c>
      <c r="AC285" s="7">
        <v>907</v>
      </c>
      <c r="AD285" s="7">
        <v>6</v>
      </c>
      <c r="AE285" s="7" t="s">
        <v>522</v>
      </c>
      <c r="AF285" s="7">
        <v>5000</v>
      </c>
      <c r="AG285" s="7">
        <v>5000</v>
      </c>
      <c r="AH285" s="7">
        <v>0</v>
      </c>
      <c r="AI285" s="7">
        <v>0</v>
      </c>
      <c r="AJ285" s="7">
        <v>-1</v>
      </c>
      <c r="AK285" s="7" t="s">
        <v>1064</v>
      </c>
      <c r="AL285" s="12" t="s">
        <v>1695</v>
      </c>
      <c r="AM285" s="12" t="s">
        <v>2072</v>
      </c>
    </row>
    <row r="286" spans="1:39" ht="21" customHeight="1" x14ac:dyDescent="0.15">
      <c r="A286" s="42" t="str">
        <f t="shared" si="11"/>
        <v>11225_1</v>
      </c>
      <c r="B286" s="23">
        <v>3</v>
      </c>
      <c r="C286" s="197">
        <v>11225</v>
      </c>
      <c r="D286" s="47" t="str">
        <f ca="1">VLOOKUP($C286,OFFSET(quests!$A$1,0,0,COUNTA(quests!$A:$A),MATCH(D$1,quests!$1:$1,0)-MATCH($C$2,quests!$1:$1,0)+1),MATCH(D$1,quests!$1:$1,0)-MATCH($C$2,quests!$1:$1,0)+1,FALSE)</f>
        <v>400万DL記念★特別クエスト</v>
      </c>
      <c r="E286" s="48" t="str">
        <f ca="1">VLOOKUP($C286,OFFSET(quests!$A$1,0,0,COUNTA(quests!$A:$A),MATCH(E$2,quests!$1:$1,0)-MATCH($C$2,quests!$1:$1,0)+1),MATCH(E$2,quests!$1:$1,0)-MATCH($C$2,quests!$1:$1,0)+1,FALSE)</f>
        <v>400万DL記念★特別クエスト</v>
      </c>
      <c r="F286" s="7">
        <v>1</v>
      </c>
      <c r="G286" s="7" t="s">
        <v>1334</v>
      </c>
      <c r="H286" s="39" t="s">
        <v>1357</v>
      </c>
      <c r="I286" s="12" t="s">
        <v>1335</v>
      </c>
      <c r="J286" s="12">
        <v>444</v>
      </c>
      <c r="K286" s="167">
        <v>1</v>
      </c>
      <c r="L286" s="167">
        <v>200</v>
      </c>
      <c r="M286" s="167">
        <v>1</v>
      </c>
      <c r="N286" s="167">
        <v>1</v>
      </c>
      <c r="O286" s="167">
        <v>1</v>
      </c>
      <c r="P286" s="167">
        <v>1</v>
      </c>
      <c r="Q286" s="185">
        <v>1</v>
      </c>
      <c r="R286" s="167">
        <v>3</v>
      </c>
      <c r="S286" s="167" t="s">
        <v>278</v>
      </c>
      <c r="T286" s="167">
        <v>1</v>
      </c>
      <c r="U286" s="7" t="s">
        <v>169</v>
      </c>
      <c r="V286" s="7" t="s">
        <v>169</v>
      </c>
      <c r="W286" s="47" t="str">
        <f t="shared" ca="1" si="10"/>
        <v/>
      </c>
      <c r="X286" s="47">
        <f ca="1">VLOOKUP($C286,OFFSET(quests!$A$1,0,0,COUNTA(quests!$A:$A),MATCH(X$2,quests!$1:$1,0)-MATCH($C$2,quests!$1:$1,0)+1),MATCH(X$2,quests!$1:$1,0)-MATCH($C$2,quests!$1:$1,0)+1,FALSE)</f>
        <v>0</v>
      </c>
      <c r="Y286" s="47">
        <f ca="1">VLOOKUP($C286,OFFSET(quests!$A$1,0,0,COUNTA(quests!$A:$A),MATCH(Y$2,quests!$1:$1,0)-MATCH($C$2,quests!$1:$1,0)+1),MATCH(Y$2,quests!$1:$1,0)-MATCH($C$2,quests!$1:$1,0)+1,FALSE)</f>
        <v>0</v>
      </c>
      <c r="Z286" s="47">
        <f ca="1">VLOOKUP($C286,OFFSET(quests!$A$1,0,0,COUNTA(quests!$A:$A),MATCH(Z$2,quests!$1:$1,0)-MATCH($C$2,quests!$1:$1,0)+1),MATCH(Z$2,quests!$1:$1,0)-MATCH($C$2,quests!$1:$1,0)+1,FALSE)</f>
        <v>0</v>
      </c>
      <c r="AA286" s="47">
        <f ca="1">VLOOKUP($C286,OFFSET(quests!$A$1,0,0,COUNTA(quests!$A:$A),MATCH(AA$2,quests!$1:$1,0)-MATCH($C$2,quests!$1:$1,0)+1),MATCH(AA$2,quests!$1:$1,0)-MATCH($C$2,quests!$1:$1,0)+1,FALSE)</f>
        <v>0</v>
      </c>
      <c r="AB286" s="159" t="s">
        <v>593</v>
      </c>
      <c r="AC286" s="7">
        <v>1</v>
      </c>
      <c r="AD286" s="7">
        <v>6</v>
      </c>
      <c r="AE286" s="7" t="s">
        <v>522</v>
      </c>
      <c r="AF286" s="7">
        <v>0</v>
      </c>
      <c r="AG286" s="7">
        <v>1</v>
      </c>
      <c r="AH286" s="7">
        <v>1</v>
      </c>
      <c r="AI286" s="7">
        <v>0</v>
      </c>
      <c r="AJ286" s="7">
        <v>-1</v>
      </c>
      <c r="AK286" s="7" t="s">
        <v>1064</v>
      </c>
      <c r="AL286" s="12" t="s">
        <v>1695</v>
      </c>
      <c r="AM286" s="12" t="s">
        <v>2072</v>
      </c>
    </row>
    <row r="287" spans="1:39" ht="21" customHeight="1" x14ac:dyDescent="0.15">
      <c r="A287" s="42" t="str">
        <f t="shared" si="11"/>
        <v>11226_1</v>
      </c>
      <c r="B287" s="23">
        <v>3</v>
      </c>
      <c r="C287" s="172">
        <v>11226</v>
      </c>
      <c r="D287" s="47"/>
      <c r="E287" s="48"/>
      <c r="F287" s="7">
        <v>1</v>
      </c>
      <c r="G287" s="7" t="s">
        <v>570</v>
      </c>
      <c r="H287" s="39" t="s">
        <v>1405</v>
      </c>
      <c r="I287" s="12" t="s">
        <v>1386</v>
      </c>
      <c r="J287" s="12">
        <v>1079</v>
      </c>
      <c r="K287" s="167">
        <v>1</v>
      </c>
      <c r="L287" s="167">
        <v>200</v>
      </c>
      <c r="M287" s="167">
        <v>1</v>
      </c>
      <c r="N287" s="167">
        <v>1</v>
      </c>
      <c r="O287" s="167">
        <v>1</v>
      </c>
      <c r="P287" s="167">
        <v>1</v>
      </c>
      <c r="Q287" s="185">
        <v>1</v>
      </c>
      <c r="R287" s="167">
        <v>3</v>
      </c>
      <c r="S287" s="167" t="s">
        <v>278</v>
      </c>
      <c r="T287" s="167">
        <v>1</v>
      </c>
      <c r="U287" s="7" t="s">
        <v>169</v>
      </c>
      <c r="V287" s="7" t="s">
        <v>169</v>
      </c>
      <c r="W287" s="47" t="str">
        <f t="shared" ca="1" si="10"/>
        <v/>
      </c>
      <c r="X287" s="47">
        <f ca="1">VLOOKUP($C287,OFFSET(quests!$A$1,0,0,COUNTA(quests!$A:$A),MATCH(X$2,quests!$1:$1,0)-MATCH($C$2,quests!$1:$1,0)+1),MATCH(X$2,quests!$1:$1,0)-MATCH($C$2,quests!$1:$1,0)+1,FALSE)</f>
        <v>0</v>
      </c>
      <c r="Y287" s="47">
        <f ca="1">VLOOKUP($C287,OFFSET(quests!$A$1,0,0,COUNTA(quests!$A:$A),MATCH(Y$2,quests!$1:$1,0)-MATCH($C$2,quests!$1:$1,0)+1),MATCH(Y$2,quests!$1:$1,0)-MATCH($C$2,quests!$1:$1,0)+1,FALSE)</f>
        <v>0</v>
      </c>
      <c r="Z287" s="47">
        <f ca="1">VLOOKUP($C287,OFFSET(quests!$A$1,0,0,COUNTA(quests!$A:$A),MATCH(Z$2,quests!$1:$1,0)-MATCH($C$2,quests!$1:$1,0)+1),MATCH(Z$2,quests!$1:$1,0)-MATCH($C$2,quests!$1:$1,0)+1,FALSE)</f>
        <v>0</v>
      </c>
      <c r="AA287" s="47">
        <f ca="1">VLOOKUP($C287,OFFSET(quests!$A$1,0,0,COUNTA(quests!$A:$A),MATCH(AA$2,quests!$1:$1,0)-MATCH($C$2,quests!$1:$1,0)+1),MATCH(AA$2,quests!$1:$1,0)-MATCH($C$2,quests!$1:$1,0)+1,FALSE)</f>
        <v>0</v>
      </c>
      <c r="AB287" s="159" t="s">
        <v>593</v>
      </c>
      <c r="AC287" s="7">
        <v>1</v>
      </c>
      <c r="AD287" s="7">
        <v>6</v>
      </c>
      <c r="AE287" s="7" t="s">
        <v>522</v>
      </c>
      <c r="AF287" s="7">
        <v>0</v>
      </c>
      <c r="AG287" s="7">
        <v>1</v>
      </c>
      <c r="AH287" s="7">
        <v>1</v>
      </c>
      <c r="AI287" s="7">
        <v>0</v>
      </c>
      <c r="AJ287" s="7">
        <v>-1</v>
      </c>
      <c r="AK287" s="7" t="s">
        <v>1064</v>
      </c>
      <c r="AL287" s="12" t="s">
        <v>1695</v>
      </c>
      <c r="AM287" s="12" t="s">
        <v>2072</v>
      </c>
    </row>
    <row r="288" spans="1:39" ht="21" customHeight="1" x14ac:dyDescent="0.15">
      <c r="A288" s="42" t="str">
        <f t="shared" si="11"/>
        <v>11226_2</v>
      </c>
      <c r="B288" s="23">
        <v>3</v>
      </c>
      <c r="C288" s="172">
        <v>11226</v>
      </c>
      <c r="D288" s="47" t="str">
        <f ca="1">VLOOKUP($C288,OFFSET(quests!$A$1,0,0,COUNTA(quests!$A:$A),MATCH(D$1,quests!$1:$1,0)-MATCH($C$2,quests!$1:$1,0)+1),MATCH(D$1,quests!$1:$1,0)-MATCH($C$2,quests!$1:$1,0)+1,FALSE)</f>
        <v>1周年記念★特別クエスト</v>
      </c>
      <c r="E288" s="48" t="str">
        <f ca="1">VLOOKUP($C288,OFFSET(quests!$A$1,0,0,COUNTA(quests!$A:$A),MATCH(E$2,quests!$1:$1,0)-MATCH($C$2,quests!$1:$1,0)+1),MATCH(E$2,quests!$1:$1,0)-MATCH($C$2,quests!$1:$1,0)+1,FALSE)</f>
        <v>1周年記念★特別クエスト</v>
      </c>
      <c r="F288" s="34">
        <v>2</v>
      </c>
      <c r="G288" s="7" t="s">
        <v>382</v>
      </c>
      <c r="H288" s="37" t="s">
        <v>1413</v>
      </c>
      <c r="I288" s="37" t="s">
        <v>646</v>
      </c>
      <c r="J288" s="37">
        <v>202</v>
      </c>
      <c r="K288" s="167">
        <v>1</v>
      </c>
      <c r="L288" s="167">
        <v>1</v>
      </c>
      <c r="M288" s="159">
        <v>1</v>
      </c>
      <c r="N288" s="159">
        <v>1</v>
      </c>
      <c r="O288" s="159">
        <v>1</v>
      </c>
      <c r="P288" s="159">
        <v>1</v>
      </c>
      <c r="Q288" s="159">
        <v>1</v>
      </c>
      <c r="R288" s="159">
        <v>3</v>
      </c>
      <c r="S288" s="167" t="s">
        <v>273</v>
      </c>
      <c r="T288" s="184" t="s">
        <v>820</v>
      </c>
      <c r="U288" s="7">
        <v>11226</v>
      </c>
      <c r="V288" s="7">
        <v>1</v>
      </c>
      <c r="W288" s="47" t="str">
        <f t="shared" ca="1" si="10"/>
        <v>1周年のキセキ</v>
      </c>
      <c r="X288" s="47">
        <f ca="1">VLOOKUP($C288,OFFSET(quests!$A$1,0,0,COUNTA(quests!$A:$A),MATCH(X$2,quests!$1:$1,0)-MATCH($C$2,quests!$1:$1,0)+1),MATCH(X$2,quests!$1:$1,0)-MATCH($C$2,quests!$1:$1,0)+1,FALSE)</f>
        <v>0</v>
      </c>
      <c r="Y288" s="47">
        <f ca="1">VLOOKUP($C288,OFFSET(quests!$A$1,0,0,COUNTA(quests!$A:$A),MATCH(Y$2,quests!$1:$1,0)-MATCH($C$2,quests!$1:$1,0)+1),MATCH(Y$2,quests!$1:$1,0)-MATCH($C$2,quests!$1:$1,0)+1,FALSE)</f>
        <v>0</v>
      </c>
      <c r="Z288" s="47">
        <f ca="1">VLOOKUP($C288,OFFSET(quests!$A$1,0,0,COUNTA(quests!$A:$A),MATCH(Z$2,quests!$1:$1,0)-MATCH($C$2,quests!$1:$1,0)+1),MATCH(Z$2,quests!$1:$1,0)-MATCH($C$2,quests!$1:$1,0)+1,FALSE)</f>
        <v>0</v>
      </c>
      <c r="AA288" s="47">
        <f ca="1">VLOOKUP($C288,OFFSET(quests!$A$1,0,0,COUNTA(quests!$A:$A),MATCH(AA$2,quests!$1:$1,0)-MATCH($C$2,quests!$1:$1,0)+1),MATCH(AA$2,quests!$1:$1,0)-MATCH($C$2,quests!$1:$1,0)+1,FALSE)</f>
        <v>0</v>
      </c>
      <c r="AB288" s="34" t="s">
        <v>1415</v>
      </c>
      <c r="AC288" s="7">
        <v>1</v>
      </c>
      <c r="AD288" s="7">
        <v>100</v>
      </c>
      <c r="AE288" s="7" t="s">
        <v>807</v>
      </c>
      <c r="AF288" s="7">
        <v>0</v>
      </c>
      <c r="AG288" s="7">
        <v>40</v>
      </c>
      <c r="AH288" s="7">
        <v>0</v>
      </c>
      <c r="AI288" s="7">
        <v>0</v>
      </c>
      <c r="AJ288" s="7">
        <v>-1</v>
      </c>
      <c r="AK288" s="7" t="s">
        <v>1064</v>
      </c>
      <c r="AL288" s="12" t="s">
        <v>1695</v>
      </c>
      <c r="AM288" s="12" t="s">
        <v>2072</v>
      </c>
    </row>
    <row r="289" spans="1:39" ht="21" customHeight="1" x14ac:dyDescent="0.15">
      <c r="A289" s="42" t="str">
        <f t="shared" si="11"/>
        <v>11226_3</v>
      </c>
      <c r="B289" s="23">
        <v>3</v>
      </c>
      <c r="C289" s="172">
        <v>11226</v>
      </c>
      <c r="D289" s="47" t="str">
        <f ca="1">VLOOKUP($C289,OFFSET(quests!$A$1,0,0,COUNTA(quests!$A:$A),MATCH(D$1,quests!$1:$1,0)-MATCH($C$2,quests!$1:$1,0)+1),MATCH(D$1,quests!$1:$1,0)-MATCH($C$2,quests!$1:$1,0)+1,FALSE)</f>
        <v>1周年記念★特別クエスト</v>
      </c>
      <c r="E289" s="48" t="str">
        <f ca="1">VLOOKUP($C289,OFFSET(quests!$A$1,0,0,COUNTA(quests!$A:$A),MATCH(E$2,quests!$1:$1,0)-MATCH($C$2,quests!$1:$1,0)+1),MATCH(E$2,quests!$1:$1,0)-MATCH($C$2,quests!$1:$1,0)+1,FALSE)</f>
        <v>1周年記念★特別クエスト</v>
      </c>
      <c r="F289" s="34">
        <v>3</v>
      </c>
      <c r="G289" s="7" t="s">
        <v>382</v>
      </c>
      <c r="H289" s="37" t="s">
        <v>1414</v>
      </c>
      <c r="I289" s="37" t="s">
        <v>646</v>
      </c>
      <c r="J289" s="37">
        <v>202</v>
      </c>
      <c r="K289" s="167">
        <v>1</v>
      </c>
      <c r="L289" s="167">
        <v>2</v>
      </c>
      <c r="M289" s="159">
        <v>1</v>
      </c>
      <c r="N289" s="159">
        <v>1</v>
      </c>
      <c r="O289" s="159">
        <v>1</v>
      </c>
      <c r="P289" s="159">
        <v>1</v>
      </c>
      <c r="Q289" s="159">
        <v>1</v>
      </c>
      <c r="R289" s="159">
        <v>3</v>
      </c>
      <c r="S289" s="167" t="s">
        <v>273</v>
      </c>
      <c r="T289" s="184" t="s">
        <v>820</v>
      </c>
      <c r="U289" s="7">
        <v>11226</v>
      </c>
      <c r="V289" s="7">
        <v>1</v>
      </c>
      <c r="W289" s="47" t="str">
        <f t="shared" ca="1" si="10"/>
        <v>1周年のキセキ</v>
      </c>
      <c r="X289" s="47">
        <f ca="1">VLOOKUP($C289,OFFSET(quests!$A$1,0,0,COUNTA(quests!$A:$A),MATCH(X$2,quests!$1:$1,0)-MATCH($C$2,quests!$1:$1,0)+1),MATCH(X$2,quests!$1:$1,0)-MATCH($C$2,quests!$1:$1,0)+1,FALSE)</f>
        <v>0</v>
      </c>
      <c r="Y289" s="47">
        <f ca="1">VLOOKUP($C289,OFFSET(quests!$A$1,0,0,COUNTA(quests!$A:$A),MATCH(Y$2,quests!$1:$1,0)-MATCH($C$2,quests!$1:$1,0)+1),MATCH(Y$2,quests!$1:$1,0)-MATCH($C$2,quests!$1:$1,0)+1,FALSE)</f>
        <v>0</v>
      </c>
      <c r="Z289" s="47">
        <f ca="1">VLOOKUP($C289,OFFSET(quests!$A$1,0,0,COUNTA(quests!$A:$A),MATCH(Z$2,quests!$1:$1,0)-MATCH($C$2,quests!$1:$1,0)+1),MATCH(Z$2,quests!$1:$1,0)-MATCH($C$2,quests!$1:$1,0)+1,FALSE)</f>
        <v>0</v>
      </c>
      <c r="AA289" s="47">
        <f ca="1">VLOOKUP($C289,OFFSET(quests!$A$1,0,0,COUNTA(quests!$A:$A),MATCH(AA$2,quests!$1:$1,0)-MATCH($C$2,quests!$1:$1,0)+1),MATCH(AA$2,quests!$1:$1,0)-MATCH($C$2,quests!$1:$1,0)+1,FALSE)</f>
        <v>0</v>
      </c>
      <c r="AB289" s="34" t="s">
        <v>1415</v>
      </c>
      <c r="AC289" s="7">
        <v>105</v>
      </c>
      <c r="AD289" s="7">
        <v>100</v>
      </c>
      <c r="AE289" s="7" t="s">
        <v>807</v>
      </c>
      <c r="AF289" s="7">
        <v>0</v>
      </c>
      <c r="AG289" s="7">
        <v>1</v>
      </c>
      <c r="AH289" s="7">
        <v>0</v>
      </c>
      <c r="AI289" s="7">
        <v>0</v>
      </c>
      <c r="AJ289" s="7">
        <v>-1</v>
      </c>
      <c r="AK289" s="7" t="s">
        <v>1064</v>
      </c>
      <c r="AL289" s="12" t="s">
        <v>1695</v>
      </c>
      <c r="AM289" s="12" t="s">
        <v>2072</v>
      </c>
    </row>
    <row r="290" spans="1:39" ht="21" customHeight="1" x14ac:dyDescent="0.15">
      <c r="A290" s="42" t="str">
        <f t="shared" si="11"/>
        <v>11226_4</v>
      </c>
      <c r="B290" s="23">
        <v>3</v>
      </c>
      <c r="C290" s="172">
        <v>11226</v>
      </c>
      <c r="D290" s="47" t="str">
        <f ca="1">VLOOKUP($C290,OFFSET(quests!$A$1,0,0,COUNTA(quests!$A:$A),MATCH(D$1,quests!$1:$1,0)-MATCH($C$2,quests!$1:$1,0)+1),MATCH(D$1,quests!$1:$1,0)-MATCH($C$2,quests!$1:$1,0)+1,FALSE)</f>
        <v>1周年記念★特別クエスト</v>
      </c>
      <c r="E290" s="48" t="str">
        <f ca="1">VLOOKUP($C290,OFFSET(quests!$A$1,0,0,COUNTA(quests!$A:$A),MATCH(E$2,quests!$1:$1,0)-MATCH($C$2,quests!$1:$1,0)+1),MATCH(E$2,quests!$1:$1,0)-MATCH($C$2,quests!$1:$1,0)+1,FALSE)</f>
        <v>1周年記念★特別クエスト</v>
      </c>
      <c r="F290" s="34">
        <v>4</v>
      </c>
      <c r="G290" s="7" t="s">
        <v>382</v>
      </c>
      <c r="H290" s="37" t="s">
        <v>835</v>
      </c>
      <c r="I290" s="37" t="s">
        <v>826</v>
      </c>
      <c r="J290" s="37">
        <v>377</v>
      </c>
      <c r="K290" s="167">
        <v>20</v>
      </c>
      <c r="L290" s="167">
        <v>350</v>
      </c>
      <c r="M290" s="159">
        <v>1</v>
      </c>
      <c r="N290" s="159">
        <v>1</v>
      </c>
      <c r="O290" s="159">
        <v>1</v>
      </c>
      <c r="P290" s="159">
        <v>1</v>
      </c>
      <c r="Q290" s="196">
        <v>0</v>
      </c>
      <c r="R290" s="159">
        <v>3</v>
      </c>
      <c r="S290" s="167" t="s">
        <v>811</v>
      </c>
      <c r="T290" s="167">
        <v>0</v>
      </c>
      <c r="U290" s="7">
        <v>11226</v>
      </c>
      <c r="V290" s="7">
        <v>1</v>
      </c>
      <c r="W290" s="47" t="str">
        <f t="shared" ca="1" si="10"/>
        <v>1周年のキセキ</v>
      </c>
      <c r="X290" s="47">
        <f ca="1">VLOOKUP($C290,OFFSET(quests!$A$1,0,0,COUNTA(quests!$A:$A),MATCH(X$2,quests!$1:$1,0)-MATCH($C$2,quests!$1:$1,0)+1),MATCH(X$2,quests!$1:$1,0)-MATCH($C$2,quests!$1:$1,0)+1,FALSE)</f>
        <v>0</v>
      </c>
      <c r="Y290" s="47">
        <f ca="1">VLOOKUP($C290,OFFSET(quests!$A$1,0,0,COUNTA(quests!$A:$A),MATCH(Y$2,quests!$1:$1,0)-MATCH($C$2,quests!$1:$1,0)+1),MATCH(Y$2,quests!$1:$1,0)-MATCH($C$2,quests!$1:$1,0)+1,FALSE)</f>
        <v>0</v>
      </c>
      <c r="Z290" s="47">
        <f ca="1">VLOOKUP($C290,OFFSET(quests!$A$1,0,0,COUNTA(quests!$A:$A),MATCH(Z$2,quests!$1:$1,0)-MATCH($C$2,quests!$1:$1,0)+1),MATCH(Z$2,quests!$1:$1,0)-MATCH($C$2,quests!$1:$1,0)+1,FALSE)</f>
        <v>0</v>
      </c>
      <c r="AA290" s="47">
        <f ca="1">VLOOKUP($C290,OFFSET(quests!$A$1,0,0,COUNTA(quests!$A:$A),MATCH(AA$2,quests!$1:$1,0)-MATCH($C$2,quests!$1:$1,0)+1),MATCH(AA$2,quests!$1:$1,0)-MATCH($C$2,quests!$1:$1,0)+1,FALSE)</f>
        <v>0</v>
      </c>
      <c r="AB290" s="34" t="s">
        <v>56</v>
      </c>
      <c r="AC290" s="7">
        <v>901</v>
      </c>
      <c r="AD290" s="7">
        <v>6</v>
      </c>
      <c r="AE290" s="7" t="s">
        <v>598</v>
      </c>
      <c r="AF290" s="7">
        <v>0</v>
      </c>
      <c r="AG290" s="7">
        <v>0</v>
      </c>
      <c r="AH290" s="7">
        <v>0</v>
      </c>
      <c r="AI290" s="7">
        <v>-1</v>
      </c>
      <c r="AJ290" s="7">
        <v>-1</v>
      </c>
      <c r="AK290" s="7" t="s">
        <v>1064</v>
      </c>
      <c r="AL290" s="12" t="s">
        <v>1695</v>
      </c>
      <c r="AM290" s="12" t="s">
        <v>2072</v>
      </c>
    </row>
    <row r="291" spans="1:39" ht="21" customHeight="1" x14ac:dyDescent="0.15">
      <c r="A291" s="42" t="str">
        <f t="shared" si="11"/>
        <v>11226_5</v>
      </c>
      <c r="B291" s="23">
        <v>3</v>
      </c>
      <c r="C291" s="172">
        <v>11226</v>
      </c>
      <c r="D291" s="47" t="str">
        <f ca="1">VLOOKUP($C291,OFFSET(quests!$A$1,0,0,COUNTA(quests!$A:$A),MATCH(D$1,quests!$1:$1,0)-MATCH($C$2,quests!$1:$1,0)+1),MATCH(D$1,quests!$1:$1,0)-MATCH($C$2,quests!$1:$1,0)+1,FALSE)</f>
        <v>1周年記念★特別クエスト</v>
      </c>
      <c r="E291" s="48" t="str">
        <f ca="1">VLOOKUP($C291,OFFSET(quests!$A$1,0,0,COUNTA(quests!$A:$A),MATCH(E$2,quests!$1:$1,0)-MATCH($C$2,quests!$1:$1,0)+1),MATCH(E$2,quests!$1:$1,0)-MATCH($C$2,quests!$1:$1,0)+1,FALSE)</f>
        <v>1周年記念★特別クエスト</v>
      </c>
      <c r="F291" s="34">
        <v>5</v>
      </c>
      <c r="G291" s="7" t="s">
        <v>382</v>
      </c>
      <c r="H291" s="37" t="s">
        <v>829</v>
      </c>
      <c r="I291" s="37" t="s">
        <v>825</v>
      </c>
      <c r="J291" s="37">
        <v>524</v>
      </c>
      <c r="K291" s="167">
        <v>1</v>
      </c>
      <c r="L291" s="167">
        <v>2016</v>
      </c>
      <c r="M291" s="159">
        <v>1</v>
      </c>
      <c r="N291" s="159">
        <v>1</v>
      </c>
      <c r="O291" s="159">
        <v>1</v>
      </c>
      <c r="P291" s="159">
        <v>1</v>
      </c>
      <c r="Q291" s="196">
        <v>0</v>
      </c>
      <c r="R291" s="159">
        <v>3</v>
      </c>
      <c r="S291" s="167" t="s">
        <v>526</v>
      </c>
      <c r="T291" s="167">
        <v>1</v>
      </c>
      <c r="U291" s="7">
        <v>11226</v>
      </c>
      <c r="V291" s="7">
        <v>1</v>
      </c>
      <c r="W291" s="47" t="str">
        <f t="shared" ca="1" si="10"/>
        <v>1周年のキセキ</v>
      </c>
      <c r="X291" s="47">
        <f ca="1">VLOOKUP($C291,OFFSET(quests!$A$1,0,0,COUNTA(quests!$A:$A),MATCH(X$2,quests!$1:$1,0)-MATCH($C$2,quests!$1:$1,0)+1),MATCH(X$2,quests!$1:$1,0)-MATCH($C$2,quests!$1:$1,0)+1,FALSE)</f>
        <v>0</v>
      </c>
      <c r="Y291" s="47">
        <f ca="1">VLOOKUP($C291,OFFSET(quests!$A$1,0,0,COUNTA(quests!$A:$A),MATCH(Y$2,quests!$1:$1,0)-MATCH($C$2,quests!$1:$1,0)+1),MATCH(Y$2,quests!$1:$1,0)-MATCH($C$2,quests!$1:$1,0)+1,FALSE)</f>
        <v>0</v>
      </c>
      <c r="Z291" s="47">
        <f ca="1">VLOOKUP($C291,OFFSET(quests!$A$1,0,0,COUNTA(quests!$A:$A),MATCH(Z$2,quests!$1:$1,0)-MATCH($C$2,quests!$1:$1,0)+1),MATCH(Z$2,quests!$1:$1,0)-MATCH($C$2,quests!$1:$1,0)+1,FALSE)</f>
        <v>0</v>
      </c>
      <c r="AA291" s="47">
        <f ca="1">VLOOKUP($C291,OFFSET(quests!$A$1,0,0,COUNTA(quests!$A:$A),MATCH(AA$2,quests!$1:$1,0)-MATCH($C$2,quests!$1:$1,0)+1),MATCH(AA$2,quests!$1:$1,0)-MATCH($C$2,quests!$1:$1,0)+1,FALSE)</f>
        <v>0</v>
      </c>
      <c r="AB291" s="159" t="s">
        <v>840</v>
      </c>
      <c r="AC291" s="7">
        <v>2</v>
      </c>
      <c r="AD291" s="7">
        <v>100</v>
      </c>
      <c r="AE291" s="7" t="s">
        <v>522</v>
      </c>
      <c r="AF291" s="7">
        <v>0</v>
      </c>
      <c r="AG291" s="7">
        <v>1</v>
      </c>
      <c r="AH291" s="7">
        <v>0</v>
      </c>
      <c r="AI291" s="7">
        <v>0</v>
      </c>
      <c r="AJ291" s="7">
        <v>-1</v>
      </c>
      <c r="AK291" s="7" t="s">
        <v>1064</v>
      </c>
      <c r="AL291" s="12" t="s">
        <v>1695</v>
      </c>
      <c r="AM291" s="12" t="s">
        <v>2072</v>
      </c>
    </row>
    <row r="292" spans="1:39" ht="21" customHeight="1" x14ac:dyDescent="0.15">
      <c r="A292" s="42" t="str">
        <f t="shared" si="11"/>
        <v>11226_6</v>
      </c>
      <c r="B292" s="23">
        <v>3</v>
      </c>
      <c r="C292" s="172">
        <v>11226</v>
      </c>
      <c r="D292" s="47" t="str">
        <f ca="1">VLOOKUP($C292,OFFSET(quests!$A$1,0,0,COUNTA(quests!$A:$A),MATCH(D$1,quests!$1:$1,0)-MATCH($C$2,quests!$1:$1,0)+1),MATCH(D$1,quests!$1:$1,0)-MATCH($C$2,quests!$1:$1,0)+1,FALSE)</f>
        <v>1周年記念★特別クエスト</v>
      </c>
      <c r="E292" s="48" t="str">
        <f ca="1">VLOOKUP($C292,OFFSET(quests!$A$1,0,0,COUNTA(quests!$A:$A),MATCH(E$2,quests!$1:$1,0)-MATCH($C$2,quests!$1:$1,0)+1),MATCH(E$2,quests!$1:$1,0)-MATCH($C$2,quests!$1:$1,0)+1,FALSE)</f>
        <v>1周年記念★特別クエスト</v>
      </c>
      <c r="F292" s="34">
        <v>6</v>
      </c>
      <c r="G292" s="7" t="s">
        <v>382</v>
      </c>
      <c r="H292" s="37" t="s">
        <v>962</v>
      </c>
      <c r="I292" s="37" t="s">
        <v>917</v>
      </c>
      <c r="J292" s="37">
        <v>572</v>
      </c>
      <c r="K292" s="167">
        <v>1</v>
      </c>
      <c r="L292" s="167">
        <v>214</v>
      </c>
      <c r="M292" s="159">
        <v>1</v>
      </c>
      <c r="N292" s="159">
        <v>1</v>
      </c>
      <c r="O292" s="159">
        <v>1</v>
      </c>
      <c r="P292" s="159">
        <v>1</v>
      </c>
      <c r="Q292" s="159">
        <v>1</v>
      </c>
      <c r="R292" s="159">
        <v>3</v>
      </c>
      <c r="S292" s="167" t="s">
        <v>278</v>
      </c>
      <c r="T292" s="167">
        <v>1</v>
      </c>
      <c r="U292" s="7">
        <v>11226</v>
      </c>
      <c r="V292" s="7">
        <v>1</v>
      </c>
      <c r="W292" s="47" t="str">
        <f t="shared" ca="1" si="10"/>
        <v>1周年のキセキ</v>
      </c>
      <c r="X292" s="47">
        <f ca="1">VLOOKUP($C292,OFFSET(quests!$A$1,0,0,COUNTA(quests!$A:$A),MATCH(X$2,quests!$1:$1,0)-MATCH($C$2,quests!$1:$1,0)+1),MATCH(X$2,quests!$1:$1,0)-MATCH($C$2,quests!$1:$1,0)+1,FALSE)</f>
        <v>0</v>
      </c>
      <c r="Y292" s="47">
        <f ca="1">VLOOKUP($C292,OFFSET(quests!$A$1,0,0,COUNTA(quests!$A:$A),MATCH(Y$2,quests!$1:$1,0)-MATCH($C$2,quests!$1:$1,0)+1),MATCH(Y$2,quests!$1:$1,0)-MATCH($C$2,quests!$1:$1,0)+1,FALSE)</f>
        <v>0</v>
      </c>
      <c r="Z292" s="47">
        <f ca="1">VLOOKUP($C292,OFFSET(quests!$A$1,0,0,COUNTA(quests!$A:$A),MATCH(Z$2,quests!$1:$1,0)-MATCH($C$2,quests!$1:$1,0)+1),MATCH(Z$2,quests!$1:$1,0)-MATCH($C$2,quests!$1:$1,0)+1,FALSE)</f>
        <v>0</v>
      </c>
      <c r="AA292" s="47">
        <f ca="1">VLOOKUP($C292,OFFSET(quests!$A$1,0,0,COUNTA(quests!$A:$A),MATCH(AA$2,quests!$1:$1,0)-MATCH($C$2,quests!$1:$1,0)+1),MATCH(AA$2,quests!$1:$1,0)-MATCH($C$2,quests!$1:$1,0)+1,FALSE)</f>
        <v>0</v>
      </c>
      <c r="AB292" s="159" t="s">
        <v>840</v>
      </c>
      <c r="AC292" s="7">
        <v>1</v>
      </c>
      <c r="AD292" s="7">
        <v>100</v>
      </c>
      <c r="AE292" s="7" t="s">
        <v>522</v>
      </c>
      <c r="AF292" s="7">
        <v>0</v>
      </c>
      <c r="AG292" s="7">
        <v>40</v>
      </c>
      <c r="AH292" s="7">
        <v>1</v>
      </c>
      <c r="AI292" s="7">
        <v>0</v>
      </c>
      <c r="AJ292" s="7">
        <v>-1</v>
      </c>
      <c r="AK292" s="7" t="s">
        <v>1064</v>
      </c>
      <c r="AL292" s="12" t="s">
        <v>1695</v>
      </c>
      <c r="AM292" s="12" t="s">
        <v>2072</v>
      </c>
    </row>
    <row r="293" spans="1:39" ht="21" customHeight="1" x14ac:dyDescent="0.15">
      <c r="A293" s="42" t="str">
        <f t="shared" si="11"/>
        <v>11226_7</v>
      </c>
      <c r="B293" s="23">
        <v>3</v>
      </c>
      <c r="C293" s="172">
        <v>11226</v>
      </c>
      <c r="D293" s="47" t="str">
        <f ca="1">VLOOKUP($C293,OFFSET(quests!$A$1,0,0,COUNTA(quests!$A:$A),MATCH(D$1,quests!$1:$1,0)-MATCH($C$2,quests!$1:$1,0)+1),MATCH(D$1,quests!$1:$1,0)-MATCH($C$2,quests!$1:$1,0)+1,FALSE)</f>
        <v>1周年記念★特別クエスト</v>
      </c>
      <c r="E293" s="48" t="str">
        <f ca="1">VLOOKUP($C293,OFFSET(quests!$A$1,0,0,COUNTA(quests!$A:$A),MATCH(E$2,quests!$1:$1,0)-MATCH($C$2,quests!$1:$1,0)+1),MATCH(E$2,quests!$1:$1,0)-MATCH($C$2,quests!$1:$1,0)+1,FALSE)</f>
        <v>1周年記念★特別クエスト</v>
      </c>
      <c r="F293" s="7">
        <v>7</v>
      </c>
      <c r="G293" s="7" t="s">
        <v>570</v>
      </c>
      <c r="H293" s="23" t="s">
        <v>1008</v>
      </c>
      <c r="I293" s="12" t="s">
        <v>1007</v>
      </c>
      <c r="J293" s="12">
        <v>350</v>
      </c>
      <c r="K293" s="167">
        <v>1</v>
      </c>
      <c r="L293" s="167">
        <v>314</v>
      </c>
      <c r="M293" s="167">
        <v>1</v>
      </c>
      <c r="N293" s="167">
        <v>1</v>
      </c>
      <c r="O293" s="167">
        <v>1</v>
      </c>
      <c r="P293" s="167">
        <v>1</v>
      </c>
      <c r="Q293" s="185">
        <v>1</v>
      </c>
      <c r="R293" s="167">
        <v>3</v>
      </c>
      <c r="S293" s="167" t="s">
        <v>278</v>
      </c>
      <c r="T293" s="167">
        <v>1</v>
      </c>
      <c r="U293" s="7">
        <v>11226</v>
      </c>
      <c r="V293" s="7">
        <v>1</v>
      </c>
      <c r="W293" s="47" t="str">
        <f t="shared" ca="1" si="10"/>
        <v>1周年のキセキ</v>
      </c>
      <c r="X293" s="47">
        <f ca="1">VLOOKUP($C293,OFFSET(quests!$A$1,0,0,COUNTA(quests!$A:$A),MATCH(X$2,quests!$1:$1,0)-MATCH($C$2,quests!$1:$1,0)+1),MATCH(X$2,quests!$1:$1,0)-MATCH($C$2,quests!$1:$1,0)+1,FALSE)</f>
        <v>0</v>
      </c>
      <c r="Y293" s="47">
        <f ca="1">VLOOKUP($C293,OFFSET(quests!$A$1,0,0,COUNTA(quests!$A:$A),MATCH(Y$2,quests!$1:$1,0)-MATCH($C$2,quests!$1:$1,0)+1),MATCH(Y$2,quests!$1:$1,0)-MATCH($C$2,quests!$1:$1,0)+1,FALSE)</f>
        <v>0</v>
      </c>
      <c r="Z293" s="47">
        <f ca="1">VLOOKUP($C293,OFFSET(quests!$A$1,0,0,COUNTA(quests!$A:$A),MATCH(Z$2,quests!$1:$1,0)-MATCH($C$2,quests!$1:$1,0)+1),MATCH(Z$2,quests!$1:$1,0)-MATCH($C$2,quests!$1:$1,0)+1,FALSE)</f>
        <v>0</v>
      </c>
      <c r="AA293" s="47">
        <f ca="1">VLOOKUP($C293,OFFSET(quests!$A$1,0,0,COUNTA(quests!$A:$A),MATCH(AA$2,quests!$1:$1,0)-MATCH($C$2,quests!$1:$1,0)+1),MATCH(AA$2,quests!$1:$1,0)-MATCH($C$2,quests!$1:$1,0)+1,FALSE)</f>
        <v>0</v>
      </c>
      <c r="AB293" s="159" t="s">
        <v>1026</v>
      </c>
      <c r="AC293" s="7">
        <v>1</v>
      </c>
      <c r="AD293" s="7">
        <v>100</v>
      </c>
      <c r="AE293" s="7" t="s">
        <v>522</v>
      </c>
      <c r="AF293" s="7">
        <v>0</v>
      </c>
      <c r="AG293" s="7">
        <v>40</v>
      </c>
      <c r="AH293" s="7">
        <v>0</v>
      </c>
      <c r="AI293" s="7">
        <v>0</v>
      </c>
      <c r="AJ293" s="7">
        <v>-1</v>
      </c>
      <c r="AK293" s="7" t="s">
        <v>1064</v>
      </c>
      <c r="AL293" s="12" t="s">
        <v>1695</v>
      </c>
      <c r="AM293" s="12" t="s">
        <v>2072</v>
      </c>
    </row>
    <row r="294" spans="1:39" ht="22" customHeight="1" x14ac:dyDescent="0.15">
      <c r="A294" s="42" t="str">
        <f t="shared" si="11"/>
        <v>11226_8</v>
      </c>
      <c r="B294" s="23">
        <v>3</v>
      </c>
      <c r="C294" s="172">
        <v>11226</v>
      </c>
      <c r="D294" s="47" t="str">
        <f ca="1">VLOOKUP($C294,OFFSET(quests!$A$1,0,0,COUNTA(quests!$A:$A),MATCH(D$1,quests!$1:$1,0)-MATCH($C$2,quests!$1:$1,0)+1),MATCH(D$1,quests!$1:$1,0)-MATCH($C$2,quests!$1:$1,0)+1,FALSE)</f>
        <v>1周年記念★特別クエスト</v>
      </c>
      <c r="E294" s="48" t="str">
        <f ca="1">VLOOKUP($C294,OFFSET(quests!$A$1,0,0,COUNTA(quests!$A:$A),MATCH(E$2,quests!$1:$1,0)-MATCH($C$2,quests!$1:$1,0)+1),MATCH(E$2,quests!$1:$1,0)-MATCH($C$2,quests!$1:$1,0)+1,FALSE)</f>
        <v>1周年記念★特別クエスト</v>
      </c>
      <c r="F294" s="7">
        <v>8</v>
      </c>
      <c r="G294" s="7" t="s">
        <v>382</v>
      </c>
      <c r="H294" s="23" t="s">
        <v>1039</v>
      </c>
      <c r="I294" s="12" t="s">
        <v>1028</v>
      </c>
      <c r="J294" s="12">
        <v>794</v>
      </c>
      <c r="K294" s="167">
        <v>1</v>
      </c>
      <c r="L294" s="167">
        <v>331</v>
      </c>
      <c r="M294" s="167">
        <v>1</v>
      </c>
      <c r="N294" s="167">
        <v>1</v>
      </c>
      <c r="O294" s="167">
        <v>1</v>
      </c>
      <c r="P294" s="167">
        <v>1</v>
      </c>
      <c r="Q294" s="185">
        <v>1</v>
      </c>
      <c r="R294" s="167">
        <v>3</v>
      </c>
      <c r="S294" s="167" t="s">
        <v>278</v>
      </c>
      <c r="T294" s="167">
        <v>1</v>
      </c>
      <c r="U294" s="7">
        <v>11226</v>
      </c>
      <c r="V294" s="7">
        <v>1</v>
      </c>
      <c r="W294" s="47" t="str">
        <f t="shared" ca="1" si="10"/>
        <v>1周年のキセキ</v>
      </c>
      <c r="X294" s="47">
        <f ca="1">VLOOKUP($C294,OFFSET(quests!$A$1,0,0,COUNTA(quests!$A:$A),MATCH(X$2,quests!$1:$1,0)-MATCH($C$2,quests!$1:$1,0)+1),MATCH(X$2,quests!$1:$1,0)-MATCH($C$2,quests!$1:$1,0)+1,FALSE)</f>
        <v>0</v>
      </c>
      <c r="Y294" s="47">
        <f ca="1">VLOOKUP($C294,OFFSET(quests!$A$1,0,0,COUNTA(quests!$A:$A),MATCH(Y$2,quests!$1:$1,0)-MATCH($C$2,quests!$1:$1,0)+1),MATCH(Y$2,quests!$1:$1,0)-MATCH($C$2,quests!$1:$1,0)+1,FALSE)</f>
        <v>0</v>
      </c>
      <c r="Z294" s="47">
        <f ca="1">VLOOKUP($C294,OFFSET(quests!$A$1,0,0,COUNTA(quests!$A:$A),MATCH(Z$2,quests!$1:$1,0)-MATCH($C$2,quests!$1:$1,0)+1),MATCH(Z$2,quests!$1:$1,0)-MATCH($C$2,quests!$1:$1,0)+1,FALSE)</f>
        <v>0</v>
      </c>
      <c r="AA294" s="47">
        <f ca="1">VLOOKUP($C294,OFFSET(quests!$A$1,0,0,COUNTA(quests!$A:$A),MATCH(AA$2,quests!$1:$1,0)-MATCH($C$2,quests!$1:$1,0)+1),MATCH(AA$2,quests!$1:$1,0)-MATCH($C$2,quests!$1:$1,0)+1,FALSE)</f>
        <v>0</v>
      </c>
      <c r="AB294" s="159" t="s">
        <v>840</v>
      </c>
      <c r="AC294" s="7">
        <v>926</v>
      </c>
      <c r="AD294" s="7">
        <v>100</v>
      </c>
      <c r="AE294" s="7" t="s">
        <v>522</v>
      </c>
      <c r="AF294" s="7">
        <v>0</v>
      </c>
      <c r="AG294" s="7">
        <v>1</v>
      </c>
      <c r="AH294" s="7">
        <v>0</v>
      </c>
      <c r="AI294" s="7">
        <v>0</v>
      </c>
      <c r="AJ294" s="7">
        <v>-1</v>
      </c>
      <c r="AK294" s="7" t="s">
        <v>1064</v>
      </c>
      <c r="AL294" s="12" t="s">
        <v>1695</v>
      </c>
      <c r="AM294" s="12" t="s">
        <v>2072</v>
      </c>
    </row>
    <row r="295" spans="1:39" ht="21" customHeight="1" x14ac:dyDescent="0.15">
      <c r="A295" s="42" t="str">
        <f t="shared" si="11"/>
        <v>11227_1</v>
      </c>
      <c r="B295" s="204">
        <v>1</v>
      </c>
      <c r="C295" s="172">
        <v>11227</v>
      </c>
      <c r="D295" s="47" t="str">
        <f ca="1">VLOOKUP($C295,OFFSET(quests!$A$1,0,0,COUNTA(quests!$A:$A),MATCH(D$1,quests!$1:$1,0)-MATCH($C$2,quests!$1:$1,0)+1),MATCH(D$1,quests!$1:$1,0)-MATCH($C$2,quests!$1:$1,0)+1,FALSE)</f>
        <v>TVCM第2弾放送記念★特別クエスト</v>
      </c>
      <c r="E295" s="48" t="str">
        <f ca="1">VLOOKUP($C295,OFFSET(quests!$A$1,0,0,COUNTA(quests!$A:$A),MATCH(E$2,quests!$1:$1,0)-MATCH($C$2,quests!$1:$1,0)+1),MATCH(E$2,quests!$1:$1,0)-MATCH($C$2,quests!$1:$1,0)+1,FALSE)</f>
        <v>TVCM第2弾放送記念★特別クエスト</v>
      </c>
      <c r="F295" s="7">
        <v>1</v>
      </c>
      <c r="G295" s="7" t="s">
        <v>382</v>
      </c>
      <c r="H295" s="23" t="s">
        <v>1569</v>
      </c>
      <c r="I295" s="12" t="s">
        <v>1570</v>
      </c>
      <c r="J295" s="12">
        <v>619</v>
      </c>
      <c r="K295" s="167">
        <v>1</v>
      </c>
      <c r="L295" s="167">
        <v>1</v>
      </c>
      <c r="M295" s="167">
        <v>1</v>
      </c>
      <c r="N295" s="167">
        <v>1</v>
      </c>
      <c r="O295" s="167">
        <v>1</v>
      </c>
      <c r="P295" s="167">
        <v>1</v>
      </c>
      <c r="Q295" s="185">
        <v>1</v>
      </c>
      <c r="R295" s="167">
        <v>3</v>
      </c>
      <c r="S295" s="167" t="s">
        <v>278</v>
      </c>
      <c r="T295" s="167">
        <v>1</v>
      </c>
      <c r="U295" s="7" t="s">
        <v>169</v>
      </c>
      <c r="V295" s="7" t="s">
        <v>169</v>
      </c>
      <c r="W295" s="47" t="str">
        <f t="shared" ca="1" si="10"/>
        <v/>
      </c>
      <c r="X295" s="47">
        <f ca="1">VLOOKUP($C295,OFFSET(quests!$A$1,0,0,COUNTA(quests!$A:$A),MATCH(X$2,quests!$1:$1,0)-MATCH($C$2,quests!$1:$1,0)+1),MATCH(X$2,quests!$1:$1,0)-MATCH($C$2,quests!$1:$1,0)+1,FALSE)</f>
        <v>0</v>
      </c>
      <c r="Y295" s="47">
        <f ca="1">VLOOKUP($C295,OFFSET(quests!$A$1,0,0,COUNTA(quests!$A:$A),MATCH(Y$2,quests!$1:$1,0)-MATCH($C$2,quests!$1:$1,0)+1),MATCH(Y$2,quests!$1:$1,0)-MATCH($C$2,quests!$1:$1,0)+1,FALSE)</f>
        <v>0</v>
      </c>
      <c r="Z295" s="47">
        <f ca="1">VLOOKUP($C295,OFFSET(quests!$A$1,0,0,COUNTA(quests!$A:$A),MATCH(Z$2,quests!$1:$1,0)-MATCH($C$2,quests!$1:$1,0)+1),MATCH(Z$2,quests!$1:$1,0)-MATCH($C$2,quests!$1:$1,0)+1,FALSE)</f>
        <v>0</v>
      </c>
      <c r="AA295" s="47">
        <f ca="1">VLOOKUP($C295,OFFSET(quests!$A$1,0,0,COUNTA(quests!$A:$A),MATCH(AA$2,quests!$1:$1,0)-MATCH($C$2,quests!$1:$1,0)+1),MATCH(AA$2,quests!$1:$1,0)-MATCH($C$2,quests!$1:$1,0)+1,FALSE)</f>
        <v>0</v>
      </c>
      <c r="AB295" s="96" t="s">
        <v>56</v>
      </c>
      <c r="AC295" s="7">
        <v>926</v>
      </c>
      <c r="AD295" s="33">
        <v>100</v>
      </c>
      <c r="AE295" s="7" t="s">
        <v>522</v>
      </c>
      <c r="AF295" s="7">
        <v>2</v>
      </c>
      <c r="AG295" s="7">
        <v>1608</v>
      </c>
      <c r="AH295" s="7">
        <v>1608</v>
      </c>
      <c r="AI295" s="7">
        <v>0</v>
      </c>
      <c r="AJ295" s="7">
        <v>-1</v>
      </c>
      <c r="AK295" s="7" t="s">
        <v>1064</v>
      </c>
      <c r="AL295" s="12" t="s">
        <v>1695</v>
      </c>
      <c r="AM295" s="12" t="s">
        <v>2072</v>
      </c>
    </row>
    <row r="296" spans="1:39" ht="21" customHeight="1" x14ac:dyDescent="0.15">
      <c r="A296" s="42" t="str">
        <f t="shared" si="11"/>
        <v>11227_2</v>
      </c>
      <c r="B296" s="23">
        <v>3</v>
      </c>
      <c r="C296" s="172">
        <v>11227</v>
      </c>
      <c r="D296" s="47" t="str">
        <f ca="1">VLOOKUP($C296,OFFSET(quests!$A$1,0,0,COUNTA(quests!$A:$A),MATCH(D$1,quests!$1:$1,0)-MATCH($C$2,quests!$1:$1,0)+1),MATCH(D$1,quests!$1:$1,0)-MATCH($C$2,quests!$1:$1,0)+1,FALSE)</f>
        <v>TVCM第2弾放送記念★特別クエスト</v>
      </c>
      <c r="E296" s="48" t="str">
        <f ca="1">VLOOKUP($C296,OFFSET(quests!$A$1,0,0,COUNTA(quests!$A:$A),MATCH(E$2,quests!$1:$1,0)-MATCH($C$2,quests!$1:$1,0)+1),MATCH(E$2,quests!$1:$1,0)-MATCH($C$2,quests!$1:$1,0)+1,FALSE)</f>
        <v>TVCM第2弾放送記念★特別クエスト</v>
      </c>
      <c r="F296" s="7">
        <v>2</v>
      </c>
      <c r="G296" s="7" t="s">
        <v>382</v>
      </c>
      <c r="H296" s="23" t="s">
        <v>1568</v>
      </c>
      <c r="I296" s="12" t="s">
        <v>1097</v>
      </c>
      <c r="J296" s="12">
        <v>619</v>
      </c>
      <c r="K296" s="167">
        <v>1</v>
      </c>
      <c r="L296" s="167">
        <v>1</v>
      </c>
      <c r="M296" s="167">
        <v>1</v>
      </c>
      <c r="N296" s="167">
        <v>1</v>
      </c>
      <c r="O296" s="167">
        <v>1</v>
      </c>
      <c r="P296" s="167">
        <v>1</v>
      </c>
      <c r="Q296" s="185">
        <v>1</v>
      </c>
      <c r="R296" s="167">
        <v>3</v>
      </c>
      <c r="S296" s="167" t="s">
        <v>278</v>
      </c>
      <c r="T296" s="167">
        <v>10</v>
      </c>
      <c r="U296" s="7" t="s">
        <v>169</v>
      </c>
      <c r="V296" s="7" t="s">
        <v>169</v>
      </c>
      <c r="W296" s="47" t="str">
        <f t="shared" ca="1" si="10"/>
        <v/>
      </c>
      <c r="X296" s="47">
        <f ca="1">VLOOKUP($C296,OFFSET(quests!$A$1,0,0,COUNTA(quests!$A:$A),MATCH(X$2,quests!$1:$1,0)-MATCH($C$2,quests!$1:$1,0)+1),MATCH(X$2,quests!$1:$1,0)-MATCH($C$2,quests!$1:$1,0)+1,FALSE)</f>
        <v>0</v>
      </c>
      <c r="Y296" s="47">
        <f ca="1">VLOOKUP($C296,OFFSET(quests!$A$1,0,0,COUNTA(quests!$A:$A),MATCH(Y$2,quests!$1:$1,0)-MATCH($C$2,quests!$1:$1,0)+1),MATCH(Y$2,quests!$1:$1,0)-MATCH($C$2,quests!$1:$1,0)+1,FALSE)</f>
        <v>0</v>
      </c>
      <c r="Z296" s="47">
        <f ca="1">VLOOKUP($C296,OFFSET(quests!$A$1,0,0,COUNTA(quests!$A:$A),MATCH(Z$2,quests!$1:$1,0)-MATCH($C$2,quests!$1:$1,0)+1),MATCH(Z$2,quests!$1:$1,0)-MATCH($C$2,quests!$1:$1,0)+1,FALSE)</f>
        <v>0</v>
      </c>
      <c r="AA296" s="47">
        <f ca="1">VLOOKUP($C296,OFFSET(quests!$A$1,0,0,COUNTA(quests!$A:$A),MATCH(AA$2,quests!$1:$1,0)-MATCH($C$2,quests!$1:$1,0)+1),MATCH(AA$2,quests!$1:$1,0)-MATCH($C$2,quests!$1:$1,0)+1,FALSE)</f>
        <v>0</v>
      </c>
      <c r="AB296" s="96" t="s">
        <v>56</v>
      </c>
      <c r="AC296" s="7">
        <v>926</v>
      </c>
      <c r="AD296" s="33">
        <v>100</v>
      </c>
      <c r="AE296" s="7" t="s">
        <v>522</v>
      </c>
      <c r="AF296" s="7">
        <v>2</v>
      </c>
      <c r="AG296" s="7">
        <v>1608</v>
      </c>
      <c r="AH296" s="7">
        <v>1608</v>
      </c>
      <c r="AI296" s="7">
        <v>0</v>
      </c>
      <c r="AJ296" s="7">
        <v>-1</v>
      </c>
      <c r="AK296" s="7" t="s">
        <v>1064</v>
      </c>
      <c r="AL296" s="12" t="s">
        <v>1695</v>
      </c>
      <c r="AM296" s="12" t="s">
        <v>2072</v>
      </c>
    </row>
    <row r="297" spans="1:39" ht="21" customHeight="1" x14ac:dyDescent="0.15">
      <c r="A297" s="42" t="str">
        <f t="shared" ref="A297:A298" si="12">C297&amp;"_"&amp;F297</f>
        <v>11228_1</v>
      </c>
      <c r="B297" s="23">
        <v>3</v>
      </c>
      <c r="C297" s="172">
        <v>11228</v>
      </c>
      <c r="D297" s="47" t="str">
        <f ca="1">VLOOKUP($C297,OFFSET(quests!$A$1,0,0,COUNTA(quests!$A:$A),MATCH(D$1,quests!$1:$1,0)-MATCH($C$2,quests!$1:$1,0)+1),MATCH(D$1,quests!$1:$1,0)-MATCH($C$2,quests!$1:$1,0)+1,FALSE)</f>
        <v>バレンタイン★特別クエスト</v>
      </c>
      <c r="E297" s="48" t="str">
        <f ca="1">VLOOKUP($C297,OFFSET(quests!$A$1,0,0,COUNTA(quests!$A:$A),MATCH(E$2,quests!$1:$1,0)-MATCH($C$2,quests!$1:$1,0)+1),MATCH(E$2,quests!$1:$1,0)-MATCH($C$2,quests!$1:$1,0)+1,FALSE)</f>
        <v>2016年バレンタインクエスト復刻</v>
      </c>
      <c r="F297" s="34">
        <v>1</v>
      </c>
      <c r="G297" s="7" t="s">
        <v>382</v>
      </c>
      <c r="H297" s="37" t="s">
        <v>962</v>
      </c>
      <c r="I297" s="37" t="s">
        <v>917</v>
      </c>
      <c r="J297" s="37">
        <v>572</v>
      </c>
      <c r="K297" s="167">
        <v>1</v>
      </c>
      <c r="L297" s="167">
        <v>214</v>
      </c>
      <c r="M297" s="159">
        <v>1</v>
      </c>
      <c r="N297" s="159">
        <v>1</v>
      </c>
      <c r="O297" s="159">
        <v>1</v>
      </c>
      <c r="P297" s="159">
        <v>1</v>
      </c>
      <c r="Q297" s="159">
        <v>1</v>
      </c>
      <c r="R297" s="159">
        <v>3</v>
      </c>
      <c r="S297" s="167" t="s">
        <v>278</v>
      </c>
      <c r="T297" s="167">
        <v>1</v>
      </c>
      <c r="U297" s="7" t="s">
        <v>169</v>
      </c>
      <c r="V297" s="7" t="s">
        <v>169</v>
      </c>
      <c r="W297" s="47" t="str">
        <f t="shared" ca="1" si="10"/>
        <v/>
      </c>
      <c r="X297" s="47">
        <f ca="1">VLOOKUP($C297,OFFSET(quests!$A$1,0,0,COUNTA(quests!$A:$A),MATCH(X$2,quests!$1:$1,0)-MATCH($C$2,quests!$1:$1,0)+1),MATCH(X$2,quests!$1:$1,0)-MATCH($C$2,quests!$1:$1,0)+1,FALSE)</f>
        <v>0</v>
      </c>
      <c r="Y297" s="47">
        <f ca="1">VLOOKUP($C297,OFFSET(quests!$A$1,0,0,COUNTA(quests!$A:$A),MATCH(Y$2,quests!$1:$1,0)-MATCH($C$2,quests!$1:$1,0)+1),MATCH(Y$2,quests!$1:$1,0)-MATCH($C$2,quests!$1:$1,0)+1,FALSE)</f>
        <v>0</v>
      </c>
      <c r="Z297" s="47">
        <f ca="1">VLOOKUP($C297,OFFSET(quests!$A$1,0,0,COUNTA(quests!$A:$A),MATCH(Z$2,quests!$1:$1,0)-MATCH($C$2,quests!$1:$1,0)+1),MATCH(Z$2,quests!$1:$1,0)-MATCH($C$2,quests!$1:$1,0)+1,FALSE)</f>
        <v>0</v>
      </c>
      <c r="AA297" s="47">
        <f ca="1">VLOOKUP($C297,OFFSET(quests!$A$1,0,0,COUNTA(quests!$A:$A),MATCH(AA$2,quests!$1:$1,0)-MATCH($C$2,quests!$1:$1,0)+1),MATCH(AA$2,quests!$1:$1,0)-MATCH($C$2,quests!$1:$1,0)+1,FALSE)</f>
        <v>0</v>
      </c>
      <c r="AB297" s="159" t="s">
        <v>840</v>
      </c>
      <c r="AC297" s="7">
        <v>1</v>
      </c>
      <c r="AD297" s="7">
        <v>6</v>
      </c>
      <c r="AE297" s="7" t="s">
        <v>522</v>
      </c>
      <c r="AF297" s="7">
        <v>0</v>
      </c>
      <c r="AG297" s="7">
        <v>40</v>
      </c>
      <c r="AH297" s="7">
        <v>1</v>
      </c>
      <c r="AI297" s="7">
        <v>0</v>
      </c>
      <c r="AJ297" s="7">
        <v>-1</v>
      </c>
      <c r="AK297" s="7" t="s">
        <v>1064</v>
      </c>
      <c r="AL297" s="12" t="s">
        <v>1695</v>
      </c>
      <c r="AM297" s="12" t="s">
        <v>2072</v>
      </c>
    </row>
    <row r="298" spans="1:39" ht="21" customHeight="1" x14ac:dyDescent="0.15">
      <c r="A298" s="42" t="str">
        <f t="shared" si="12"/>
        <v>11229_1</v>
      </c>
      <c r="B298" s="23">
        <v>3</v>
      </c>
      <c r="C298" s="172">
        <v>11229</v>
      </c>
      <c r="D298" s="47" t="str">
        <f ca="1">VLOOKUP($C298,OFFSET(quests!$A$1,0,0,COUNTA(quests!$A:$A),MATCH(D$1,quests!$1:$1,0)-MATCH($C$2,quests!$1:$1,0)+1),MATCH(D$1,quests!$1:$1,0)-MATCH($C$2,quests!$1:$1,0)+1,FALSE)</f>
        <v>ホワイトデー★特別クエスト</v>
      </c>
      <c r="E298" s="48" t="str">
        <f ca="1">VLOOKUP($C298,OFFSET(quests!$A$1,0,0,COUNTA(quests!$A:$A),MATCH(E$2,quests!$1:$1,0)-MATCH($C$2,quests!$1:$1,0)+1),MATCH(E$2,quests!$1:$1,0)-MATCH($C$2,quests!$1:$1,0)+1,FALSE)</f>
        <v>2016年ホワイトデークエスト復刻</v>
      </c>
      <c r="F298" s="7">
        <v>1</v>
      </c>
      <c r="G298" s="7" t="s">
        <v>570</v>
      </c>
      <c r="H298" s="23" t="s">
        <v>1008</v>
      </c>
      <c r="I298" s="12" t="s">
        <v>1007</v>
      </c>
      <c r="J298" s="12">
        <v>350</v>
      </c>
      <c r="K298" s="167">
        <v>1</v>
      </c>
      <c r="L298" s="167">
        <v>314</v>
      </c>
      <c r="M298" s="167">
        <v>1</v>
      </c>
      <c r="N298" s="167">
        <v>1</v>
      </c>
      <c r="O298" s="167">
        <v>1</v>
      </c>
      <c r="P298" s="167">
        <v>1</v>
      </c>
      <c r="Q298" s="185">
        <v>1</v>
      </c>
      <c r="R298" s="167">
        <v>3</v>
      </c>
      <c r="S298" s="167" t="s">
        <v>278</v>
      </c>
      <c r="T298" s="167">
        <v>1</v>
      </c>
      <c r="U298" s="7" t="s">
        <v>169</v>
      </c>
      <c r="V298" s="7" t="s">
        <v>169</v>
      </c>
      <c r="W298" s="47" t="str">
        <f t="shared" ca="1" si="10"/>
        <v/>
      </c>
      <c r="X298" s="47">
        <f ca="1">VLOOKUP($C298,OFFSET(quests!$A$1,0,0,COUNTA(quests!$A:$A),MATCH(X$2,quests!$1:$1,0)-MATCH($C$2,quests!$1:$1,0)+1),MATCH(X$2,quests!$1:$1,0)-MATCH($C$2,quests!$1:$1,0)+1,FALSE)</f>
        <v>0</v>
      </c>
      <c r="Y298" s="47">
        <f ca="1">VLOOKUP($C298,OFFSET(quests!$A$1,0,0,COUNTA(quests!$A:$A),MATCH(Y$2,quests!$1:$1,0)-MATCH($C$2,quests!$1:$1,0)+1),MATCH(Y$2,quests!$1:$1,0)-MATCH($C$2,quests!$1:$1,0)+1,FALSE)</f>
        <v>0</v>
      </c>
      <c r="Z298" s="47">
        <f ca="1">VLOOKUP($C298,OFFSET(quests!$A$1,0,0,COUNTA(quests!$A:$A),MATCH(Z$2,quests!$1:$1,0)-MATCH($C$2,quests!$1:$1,0)+1),MATCH(Z$2,quests!$1:$1,0)-MATCH($C$2,quests!$1:$1,0)+1,FALSE)</f>
        <v>0</v>
      </c>
      <c r="AA298" s="47">
        <f ca="1">VLOOKUP($C298,OFFSET(quests!$A$1,0,0,COUNTA(quests!$A:$A),MATCH(AA$2,quests!$1:$1,0)-MATCH($C$2,quests!$1:$1,0)+1),MATCH(AA$2,quests!$1:$1,0)-MATCH($C$2,quests!$1:$1,0)+1,FALSE)</f>
        <v>0</v>
      </c>
      <c r="AB298" s="159" t="s">
        <v>62</v>
      </c>
      <c r="AC298" s="7">
        <v>1</v>
      </c>
      <c r="AD298" s="7">
        <v>6</v>
      </c>
      <c r="AE298" s="7" t="s">
        <v>522</v>
      </c>
      <c r="AF298" s="7">
        <v>0</v>
      </c>
      <c r="AG298" s="7">
        <v>40</v>
      </c>
      <c r="AH298" s="7">
        <v>0</v>
      </c>
      <c r="AI298" s="7">
        <v>0</v>
      </c>
      <c r="AJ298" s="7">
        <v>-1</v>
      </c>
      <c r="AK298" s="7" t="s">
        <v>1064</v>
      </c>
      <c r="AL298" s="12" t="s">
        <v>1269</v>
      </c>
      <c r="AM298" s="12" t="s">
        <v>2072</v>
      </c>
    </row>
    <row r="299" spans="1:39" ht="21" customHeight="1" x14ac:dyDescent="0.15">
      <c r="A299" s="42" t="str">
        <f t="shared" ref="A299" si="13">C299&amp;"_"&amp;F299</f>
        <v>11230_1</v>
      </c>
      <c r="B299" s="23">
        <v>3</v>
      </c>
      <c r="C299" s="172">
        <v>11230</v>
      </c>
      <c r="D299" s="47" t="str">
        <f ca="1">VLOOKUP($C299,OFFSET(quests!$A$1,0,0,COUNTA(quests!$A:$A),MATCH(D$1,quests!$1:$1,0)-MATCH($C$2,quests!$1:$1,0)+1),MATCH(D$1,quests!$1:$1,0)-MATCH($C$2,quests!$1:$1,0)+1,FALSE)</f>
        <v>未知のウィルス大捜査！</v>
      </c>
      <c r="E299" s="48" t="str">
        <f ca="1">VLOOKUP($C299,OFFSET(quests!$A$1,0,0,COUNTA(quests!$A:$A),MATCH(E$2,quests!$1:$1,0)-MATCH($C$2,quests!$1:$1,0)+1),MATCH(E$2,quests!$1:$1,0)-MATCH($C$2,quests!$1:$1,0)+1,FALSE)</f>
        <v>2017年エイプリルフールクエスト</v>
      </c>
      <c r="F299" s="7">
        <v>1</v>
      </c>
      <c r="G299" s="7" t="s">
        <v>570</v>
      </c>
      <c r="H299" s="23" t="s">
        <v>2215</v>
      </c>
      <c r="I299" s="12" t="s">
        <v>2148</v>
      </c>
      <c r="J299" s="12">
        <v>0</v>
      </c>
      <c r="K299" s="167">
        <v>1</v>
      </c>
      <c r="L299" s="167">
        <v>41</v>
      </c>
      <c r="M299" s="167">
        <v>1</v>
      </c>
      <c r="N299" s="167">
        <v>1</v>
      </c>
      <c r="O299" s="167">
        <v>1</v>
      </c>
      <c r="P299" s="167">
        <v>1</v>
      </c>
      <c r="Q299" s="185">
        <v>1</v>
      </c>
      <c r="R299" s="167">
        <v>3</v>
      </c>
      <c r="S299" s="167" t="s">
        <v>278</v>
      </c>
      <c r="T299" s="167">
        <v>1</v>
      </c>
      <c r="U299" s="7" t="s">
        <v>169</v>
      </c>
      <c r="V299" s="7" t="s">
        <v>169</v>
      </c>
      <c r="W299" s="47" t="str">
        <f t="shared" ca="1" si="10"/>
        <v/>
      </c>
      <c r="X299" s="47">
        <f ca="1">VLOOKUP($C299,OFFSET(quests!$A$1,0,0,COUNTA(quests!$A:$A),MATCH(X$2,quests!$1:$1,0)-MATCH($C$2,quests!$1:$1,0)+1),MATCH(X$2,quests!$1:$1,0)-MATCH($C$2,quests!$1:$1,0)+1,FALSE)</f>
        <v>0</v>
      </c>
      <c r="Y299" s="47">
        <f ca="1">VLOOKUP($C299,OFFSET(quests!$A$1,0,0,COUNTA(quests!$A:$A),MATCH(Y$2,quests!$1:$1,0)-MATCH($C$2,quests!$1:$1,0)+1),MATCH(Y$2,quests!$1:$1,0)-MATCH($C$2,quests!$1:$1,0)+1,FALSE)</f>
        <v>0</v>
      </c>
      <c r="Z299" s="47">
        <f ca="1">VLOOKUP($C299,OFFSET(quests!$A$1,0,0,COUNTA(quests!$A:$A),MATCH(Z$2,quests!$1:$1,0)-MATCH($C$2,quests!$1:$1,0)+1),MATCH(Z$2,quests!$1:$1,0)-MATCH($C$2,quests!$1:$1,0)+1,FALSE)</f>
        <v>0</v>
      </c>
      <c r="AA299" s="47">
        <f ca="1">VLOOKUP($C299,OFFSET(quests!$A$1,0,0,COUNTA(quests!$A:$A),MATCH(AA$2,quests!$1:$1,0)-MATCH($C$2,quests!$1:$1,0)+1),MATCH(AA$2,quests!$1:$1,0)-MATCH($C$2,quests!$1:$1,0)+1,FALSE)</f>
        <v>0</v>
      </c>
      <c r="AB299" s="7" t="s">
        <v>56</v>
      </c>
      <c r="AC299" s="167">
        <v>907</v>
      </c>
      <c r="AD299" s="7">
        <v>6</v>
      </c>
      <c r="AE299" s="7" t="s">
        <v>522</v>
      </c>
      <c r="AF299" s="167">
        <v>0</v>
      </c>
      <c r="AG299" s="167">
        <v>0</v>
      </c>
      <c r="AH299" s="7">
        <v>0</v>
      </c>
      <c r="AI299" s="7">
        <v>0</v>
      </c>
      <c r="AJ299" s="7">
        <v>-1</v>
      </c>
      <c r="AK299" s="7" t="s">
        <v>1064</v>
      </c>
      <c r="AL299" s="12" t="s">
        <v>1269</v>
      </c>
      <c r="AM299" s="12" t="s">
        <v>2072</v>
      </c>
    </row>
    <row r="300" spans="1:39" ht="21" customHeight="1" x14ac:dyDescent="0.15">
      <c r="A300" s="42" t="str">
        <f t="shared" ref="A300" si="14">C300&amp;"_"&amp;F300</f>
        <v>11230_2</v>
      </c>
      <c r="B300" s="23">
        <v>3</v>
      </c>
      <c r="C300" s="172">
        <v>11230</v>
      </c>
      <c r="D300" s="47" t="str">
        <f ca="1">VLOOKUP($C300,OFFSET(quests!$A$1,0,0,COUNTA(quests!$A:$A),MATCH(D$1,quests!$1:$1,0)-MATCH($C$2,quests!$1:$1,0)+1),MATCH(D$1,quests!$1:$1,0)-MATCH($C$2,quests!$1:$1,0)+1,FALSE)</f>
        <v>未知のウィルス大捜査！</v>
      </c>
      <c r="E300" s="48" t="str">
        <f ca="1">VLOOKUP($C300,OFFSET(quests!$A$1,0,0,COUNTA(quests!$A:$A),MATCH(E$2,quests!$1:$1,0)-MATCH($C$2,quests!$1:$1,0)+1),MATCH(E$2,quests!$1:$1,0)-MATCH($C$2,quests!$1:$1,0)+1,FALSE)</f>
        <v>2017年エイプリルフールクエスト</v>
      </c>
      <c r="F300" s="7">
        <v>2</v>
      </c>
      <c r="G300" s="7" t="s">
        <v>570</v>
      </c>
      <c r="H300" s="23" t="s">
        <v>2216</v>
      </c>
      <c r="I300" s="12" t="s">
        <v>2148</v>
      </c>
      <c r="J300" s="12">
        <v>1471</v>
      </c>
      <c r="K300" s="167">
        <v>1</v>
      </c>
      <c r="L300" s="167">
        <v>41</v>
      </c>
      <c r="M300" s="167">
        <v>1</v>
      </c>
      <c r="N300" s="167">
        <v>1</v>
      </c>
      <c r="O300" s="167">
        <v>1</v>
      </c>
      <c r="P300" s="167">
        <v>1</v>
      </c>
      <c r="Q300" s="185">
        <v>1</v>
      </c>
      <c r="R300" s="167">
        <v>3</v>
      </c>
      <c r="S300" s="167" t="s">
        <v>278</v>
      </c>
      <c r="T300" s="167">
        <v>1</v>
      </c>
      <c r="U300" s="7">
        <v>11230</v>
      </c>
      <c r="V300" s="7">
        <v>1</v>
      </c>
      <c r="W300" s="47" t="str">
        <f t="shared" ca="1" si="10"/>
        <v>【前編】未知のウィルス大捜査</v>
      </c>
      <c r="X300" s="47">
        <f ca="1">VLOOKUP($C300,OFFSET(quests!$A$1,0,0,COUNTA(quests!$A:$A),MATCH(X$2,quests!$1:$1,0)-MATCH($C$2,quests!$1:$1,0)+1),MATCH(X$2,quests!$1:$1,0)-MATCH($C$2,quests!$1:$1,0)+1,FALSE)</f>
        <v>0</v>
      </c>
      <c r="Y300" s="47">
        <f ca="1">VLOOKUP($C300,OFFSET(quests!$A$1,0,0,COUNTA(quests!$A:$A),MATCH(Y$2,quests!$1:$1,0)-MATCH($C$2,quests!$1:$1,0)+1),MATCH(Y$2,quests!$1:$1,0)-MATCH($C$2,quests!$1:$1,0)+1,FALSE)</f>
        <v>0</v>
      </c>
      <c r="Z300" s="47">
        <f ca="1">VLOOKUP($C300,OFFSET(quests!$A$1,0,0,COUNTA(quests!$A:$A),MATCH(Z$2,quests!$1:$1,0)-MATCH($C$2,quests!$1:$1,0)+1),MATCH(Z$2,quests!$1:$1,0)-MATCH($C$2,quests!$1:$1,0)+1,FALSE)</f>
        <v>0</v>
      </c>
      <c r="AA300" s="47">
        <f ca="1">VLOOKUP($C300,OFFSET(quests!$A$1,0,0,COUNTA(quests!$A:$A),MATCH(AA$2,quests!$1:$1,0)-MATCH($C$2,quests!$1:$1,0)+1),MATCH(AA$2,quests!$1:$1,0)-MATCH($C$2,quests!$1:$1,0)+1,FALSE)</f>
        <v>0</v>
      </c>
      <c r="AB300" s="7" t="s">
        <v>56</v>
      </c>
      <c r="AC300" s="167">
        <v>1</v>
      </c>
      <c r="AD300" s="7">
        <v>6</v>
      </c>
      <c r="AE300" s="7" t="s">
        <v>522</v>
      </c>
      <c r="AF300" s="167">
        <v>0</v>
      </c>
      <c r="AG300" s="167">
        <v>0</v>
      </c>
      <c r="AH300" s="7">
        <v>0</v>
      </c>
      <c r="AI300" s="7">
        <v>0</v>
      </c>
      <c r="AJ300" s="7">
        <v>-1</v>
      </c>
      <c r="AK300" s="7" t="s">
        <v>1064</v>
      </c>
      <c r="AL300" s="12" t="s">
        <v>1269</v>
      </c>
      <c r="AM300" s="12" t="s">
        <v>2072</v>
      </c>
    </row>
    <row r="301" spans="1:39" ht="21" customHeight="1" x14ac:dyDescent="0.15">
      <c r="A301" s="42" t="str">
        <f>C301&amp;"_"&amp;F301</f>
        <v>11231_1</v>
      </c>
      <c r="B301" s="23">
        <v>3</v>
      </c>
      <c r="C301" s="172">
        <v>11231</v>
      </c>
      <c r="D301" s="47" t="str">
        <f ca="1">VLOOKUP($C301,OFFSET(quests!$A$1,0,0,COUNTA(quests!$A:$A),MATCH(D$1,quests!$1:$1,0)-MATCH($C$2,quests!$1:$1,0)+1),MATCH(D$1,quests!$1:$1,0)-MATCH($C$2,quests!$1:$1,0)+1,FALSE)</f>
        <v>桜姫の招待状</v>
      </c>
      <c r="E301" s="48" t="str">
        <f ca="1">VLOOKUP($C301,OFFSET(quests!$A$1,0,0,COUNTA(quests!$A:$A),MATCH(E$2,quests!$1:$1,0)-MATCH($C$2,quests!$1:$1,0)+1),MATCH(E$2,quests!$1:$1,0)-MATCH($C$2,quests!$1:$1,0)+1,FALSE)</f>
        <v>2017年お花見ストーリークエスト</v>
      </c>
      <c r="F301" s="7">
        <v>1</v>
      </c>
      <c r="G301" s="7" t="s">
        <v>570</v>
      </c>
      <c r="H301" s="23" t="s">
        <v>2246</v>
      </c>
      <c r="I301" s="12" t="s">
        <v>2205</v>
      </c>
      <c r="J301" s="12">
        <v>1500</v>
      </c>
      <c r="K301" s="167">
        <v>1</v>
      </c>
      <c r="L301" s="167">
        <v>1</v>
      </c>
      <c r="M301" s="167">
        <v>1</v>
      </c>
      <c r="N301" s="167">
        <v>1</v>
      </c>
      <c r="O301" s="167">
        <v>1</v>
      </c>
      <c r="P301" s="167">
        <v>1</v>
      </c>
      <c r="Q301" s="185">
        <v>1</v>
      </c>
      <c r="R301" s="167">
        <v>3</v>
      </c>
      <c r="S301" s="167" t="s">
        <v>278</v>
      </c>
      <c r="T301" s="167">
        <v>1</v>
      </c>
      <c r="U301" s="7" t="s">
        <v>2206</v>
      </c>
      <c r="V301" s="7" t="s">
        <v>178</v>
      </c>
      <c r="W301" s="47" t="str">
        <f t="shared" ca="1" si="10"/>
        <v/>
      </c>
      <c r="X301" s="47">
        <f ca="1">VLOOKUP($C301,OFFSET(quests!$A$1,0,0,COUNTA(quests!$A:$A),MATCH(X$2,quests!$1:$1,0)-MATCH($C$2,quests!$1:$1,0)+1),MATCH(X$2,quests!$1:$1,0)-MATCH($C$2,quests!$1:$1,0)+1,FALSE)</f>
        <v>0</v>
      </c>
      <c r="Y301" s="47">
        <f ca="1">VLOOKUP($C301,OFFSET(quests!$A$1,0,0,COUNTA(quests!$A:$A),MATCH(Y$2,quests!$1:$1,0)-MATCH($C$2,quests!$1:$1,0)+1),MATCH(Y$2,quests!$1:$1,0)-MATCH($C$2,quests!$1:$1,0)+1,FALSE)</f>
        <v>0</v>
      </c>
      <c r="Z301" s="47">
        <f ca="1">VLOOKUP($C301,OFFSET(quests!$A$1,0,0,COUNTA(quests!$A:$A),MATCH(Z$2,quests!$1:$1,0)-MATCH($C$2,quests!$1:$1,0)+1),MATCH(Z$2,quests!$1:$1,0)-MATCH($C$2,quests!$1:$1,0)+1,FALSE)</f>
        <v>0</v>
      </c>
      <c r="AA301" s="47">
        <f ca="1">VLOOKUP($C301,OFFSET(quests!$A$1,0,0,COUNTA(quests!$A:$A),MATCH(AA$2,quests!$1:$1,0)-MATCH($C$2,quests!$1:$1,0)+1),MATCH(AA$2,quests!$1:$1,0)-MATCH($C$2,quests!$1:$1,0)+1,FALSE)</f>
        <v>0</v>
      </c>
      <c r="AB301" s="33" t="s">
        <v>56</v>
      </c>
      <c r="AC301" s="33">
        <v>1007</v>
      </c>
      <c r="AD301" s="7">
        <v>6</v>
      </c>
      <c r="AE301" s="7" t="s">
        <v>522</v>
      </c>
      <c r="AF301" s="167">
        <v>0</v>
      </c>
      <c r="AG301" s="167">
        <v>0</v>
      </c>
      <c r="AH301" s="7">
        <v>0</v>
      </c>
      <c r="AI301" s="7">
        <v>0</v>
      </c>
      <c r="AJ301" s="7">
        <v>-1</v>
      </c>
      <c r="AK301" s="7" t="s">
        <v>1064</v>
      </c>
      <c r="AL301" s="12" t="s">
        <v>1269</v>
      </c>
      <c r="AM301" s="12" t="s">
        <v>2072</v>
      </c>
    </row>
    <row r="302" spans="1:39" ht="21" customHeight="1" x14ac:dyDescent="0.15">
      <c r="A302" s="42" t="str">
        <f t="shared" si="11"/>
        <v>12001_1</v>
      </c>
      <c r="B302" s="23">
        <v>3</v>
      </c>
      <c r="C302" s="10">
        <v>12001</v>
      </c>
      <c r="D302" s="47" t="str">
        <f ca="1">VLOOKUP($C302,OFFSET(quests!$A$1,0,0,COUNTA(quests!$A:$A),MATCH(D$1,quests!$1:$1,0)-MATCH($C$2,quests!$1:$1,0)+1),MATCH(D$1,quests!$1:$1,0)-MATCH($C$2,quests!$1:$1,0)+1,FALSE)</f>
        <v>【緊急！！】 アヒル捕獲作戦</v>
      </c>
      <c r="E302" s="48" t="str">
        <f ca="1">VLOOKUP($C302,OFFSET(quests!$A$1,0,0,COUNTA(quests!$A:$A),MATCH(E$2,quests!$1:$1,0)-MATCH($C$2,quests!$1:$1,0)+1),MATCH(E$2,quests!$1:$1,0)-MATCH($C$2,quests!$1:$1,0)+1,FALSE)</f>
        <v>ゲリラクエスト</v>
      </c>
      <c r="F302" s="7">
        <v>1</v>
      </c>
      <c r="G302" s="7" t="s">
        <v>570</v>
      </c>
      <c r="H302" s="211" t="s">
        <v>706</v>
      </c>
      <c r="I302" s="12" t="s">
        <v>63</v>
      </c>
      <c r="J302" s="12">
        <v>334</v>
      </c>
      <c r="K302" s="167">
        <v>8</v>
      </c>
      <c r="L302" s="167">
        <v>140</v>
      </c>
      <c r="M302" s="167">
        <v>1</v>
      </c>
      <c r="N302" s="167">
        <v>1</v>
      </c>
      <c r="O302" s="167">
        <v>1</v>
      </c>
      <c r="P302" s="167">
        <v>1</v>
      </c>
      <c r="Q302" s="196">
        <v>0</v>
      </c>
      <c r="R302" s="167">
        <v>3</v>
      </c>
      <c r="S302" s="167" t="s">
        <v>79</v>
      </c>
      <c r="T302" s="167">
        <v>0</v>
      </c>
      <c r="U302" s="7" t="s">
        <v>169</v>
      </c>
      <c r="V302" s="7" t="s">
        <v>169</v>
      </c>
      <c r="W302" s="47" t="str">
        <f t="shared" ca="1" si="10"/>
        <v/>
      </c>
      <c r="X302" s="47">
        <f ca="1">VLOOKUP($C302,OFFSET(quests!$A$1,0,0,COUNTA(quests!$A:$A),MATCH(X$2,quests!$1:$1,0)-MATCH($C$2,quests!$1:$1,0)+1),MATCH(X$2,quests!$1:$1,0)-MATCH($C$2,quests!$1:$1,0)+1,FALSE)</f>
        <v>0</v>
      </c>
      <c r="Y302" s="47">
        <f ca="1">VLOOKUP($C302,OFFSET(quests!$A$1,0,0,COUNTA(quests!$A:$A),MATCH(Y$2,quests!$1:$1,0)-MATCH($C$2,quests!$1:$1,0)+1),MATCH(Y$2,quests!$1:$1,0)-MATCH($C$2,quests!$1:$1,0)+1,FALSE)</f>
        <v>0</v>
      </c>
      <c r="Z302" s="47">
        <f ca="1">VLOOKUP($C302,OFFSET(quests!$A$1,0,0,COUNTA(quests!$A:$A),MATCH(Z$2,quests!$1:$1,0)-MATCH($C$2,quests!$1:$1,0)+1),MATCH(Z$2,quests!$1:$1,0)-MATCH($C$2,quests!$1:$1,0)+1,FALSE)</f>
        <v>0</v>
      </c>
      <c r="AA302" s="47">
        <f ca="1">VLOOKUP($C302,OFFSET(quests!$A$1,0,0,COUNTA(quests!$A:$A),MATCH(AA$2,quests!$1:$1,0)-MATCH($C$2,quests!$1:$1,0)+1),MATCH(AA$2,quests!$1:$1,0)-MATCH($C$2,quests!$1:$1,0)+1,FALSE)</f>
        <v>0</v>
      </c>
      <c r="AB302" s="7" t="s">
        <v>56</v>
      </c>
      <c r="AC302" s="7">
        <v>201</v>
      </c>
      <c r="AD302" s="7">
        <v>6</v>
      </c>
      <c r="AE302" s="7" t="s">
        <v>519</v>
      </c>
      <c r="AF302" s="7">
        <v>15</v>
      </c>
      <c r="AG302" s="34">
        <v>0</v>
      </c>
      <c r="AH302" s="7">
        <v>0</v>
      </c>
      <c r="AI302" s="7">
        <v>-1</v>
      </c>
      <c r="AJ302" s="7">
        <v>-1</v>
      </c>
      <c r="AK302" s="7" t="s">
        <v>1064</v>
      </c>
      <c r="AL302" s="12" t="s">
        <v>1695</v>
      </c>
      <c r="AM302" s="12" t="s">
        <v>2072</v>
      </c>
    </row>
    <row r="303" spans="1:39" ht="21" customHeight="1" x14ac:dyDescent="0.15">
      <c r="A303" s="42" t="str">
        <f t="shared" si="11"/>
        <v>12001_2</v>
      </c>
      <c r="B303" s="23">
        <v>3</v>
      </c>
      <c r="C303" s="10">
        <v>12001</v>
      </c>
      <c r="D303" s="47" t="str">
        <f ca="1">VLOOKUP($C303,OFFSET(quests!$A$1,0,0,COUNTA(quests!$A:$A),MATCH(D$1,quests!$1:$1,0)-MATCH($C$2,quests!$1:$1,0)+1),MATCH(D$1,quests!$1:$1,0)-MATCH($C$2,quests!$1:$1,0)+1,FALSE)</f>
        <v>【緊急！！】 アヒル捕獲作戦</v>
      </c>
      <c r="E303" s="48" t="str">
        <f ca="1">VLOOKUP($C303,OFFSET(quests!$A$1,0,0,COUNTA(quests!$A:$A),MATCH(E$2,quests!$1:$1,0)-MATCH($C$2,quests!$1:$1,0)+1),MATCH(E$2,quests!$1:$1,0)-MATCH($C$2,quests!$1:$1,0)+1,FALSE)</f>
        <v>ゲリラクエスト</v>
      </c>
      <c r="F303" s="7">
        <v>2</v>
      </c>
      <c r="G303" s="7" t="s">
        <v>570</v>
      </c>
      <c r="H303" s="211" t="s">
        <v>707</v>
      </c>
      <c r="I303" s="12" t="s">
        <v>63</v>
      </c>
      <c r="J303" s="12">
        <v>334</v>
      </c>
      <c r="K303" s="167">
        <v>20</v>
      </c>
      <c r="L303" s="167">
        <v>350</v>
      </c>
      <c r="M303" s="167">
        <v>1</v>
      </c>
      <c r="N303" s="167">
        <v>1</v>
      </c>
      <c r="O303" s="167">
        <v>1</v>
      </c>
      <c r="P303" s="167">
        <v>1</v>
      </c>
      <c r="Q303" s="196">
        <v>0</v>
      </c>
      <c r="R303" s="167">
        <v>3</v>
      </c>
      <c r="S303" s="167" t="s">
        <v>79</v>
      </c>
      <c r="T303" s="167">
        <v>0</v>
      </c>
      <c r="U303" s="7" t="s">
        <v>169</v>
      </c>
      <c r="V303" s="7" t="s">
        <v>169</v>
      </c>
      <c r="W303" s="47" t="str">
        <f t="shared" ca="1" si="10"/>
        <v/>
      </c>
      <c r="X303" s="47">
        <f ca="1">VLOOKUP($C303,OFFSET(quests!$A$1,0,0,COUNTA(quests!$A:$A),MATCH(X$2,quests!$1:$1,0)-MATCH($C$2,quests!$1:$1,0)+1),MATCH(X$2,quests!$1:$1,0)-MATCH($C$2,quests!$1:$1,0)+1,FALSE)</f>
        <v>0</v>
      </c>
      <c r="Y303" s="47">
        <f ca="1">VLOOKUP($C303,OFFSET(quests!$A$1,0,0,COUNTA(quests!$A:$A),MATCH(Y$2,quests!$1:$1,0)-MATCH($C$2,quests!$1:$1,0)+1),MATCH(Y$2,quests!$1:$1,0)-MATCH($C$2,quests!$1:$1,0)+1,FALSE)</f>
        <v>0</v>
      </c>
      <c r="Z303" s="47">
        <f ca="1">VLOOKUP($C303,OFFSET(quests!$A$1,0,0,COUNTA(quests!$A:$A),MATCH(Z$2,quests!$1:$1,0)-MATCH($C$2,quests!$1:$1,0)+1),MATCH(Z$2,quests!$1:$1,0)-MATCH($C$2,quests!$1:$1,0)+1,FALSE)</f>
        <v>0</v>
      </c>
      <c r="AA303" s="47">
        <f ca="1">VLOOKUP($C303,OFFSET(quests!$A$1,0,0,COUNTA(quests!$A:$A),MATCH(AA$2,quests!$1:$1,0)-MATCH($C$2,quests!$1:$1,0)+1),MATCH(AA$2,quests!$1:$1,0)-MATCH($C$2,quests!$1:$1,0)+1,FALSE)</f>
        <v>0</v>
      </c>
      <c r="AB303" s="7" t="s">
        <v>56</v>
      </c>
      <c r="AC303" s="7">
        <v>201</v>
      </c>
      <c r="AD303" s="7">
        <v>6</v>
      </c>
      <c r="AE303" s="7" t="s">
        <v>519</v>
      </c>
      <c r="AF303" s="7">
        <v>15</v>
      </c>
      <c r="AG303" s="7">
        <v>0</v>
      </c>
      <c r="AH303" s="7">
        <v>0</v>
      </c>
      <c r="AI303" s="7">
        <v>-1</v>
      </c>
      <c r="AJ303" s="7">
        <v>-1</v>
      </c>
      <c r="AK303" s="7" t="s">
        <v>1064</v>
      </c>
      <c r="AL303" s="12" t="s">
        <v>1695</v>
      </c>
      <c r="AM303" s="12" t="s">
        <v>2072</v>
      </c>
    </row>
    <row r="304" spans="1:39" ht="21" customHeight="1" x14ac:dyDescent="0.15">
      <c r="A304" s="42" t="str">
        <f t="shared" si="11"/>
        <v>12001_3</v>
      </c>
      <c r="B304" s="23">
        <v>3</v>
      </c>
      <c r="C304" s="10">
        <v>12001</v>
      </c>
      <c r="D304" s="47" t="str">
        <f ca="1">VLOOKUP($C304,OFFSET(quests!$A$1,0,0,COUNTA(quests!$A:$A),MATCH(D$1,quests!$1:$1,0)-MATCH($C$2,quests!$1:$1,0)+1),MATCH(D$1,quests!$1:$1,0)-MATCH($C$2,quests!$1:$1,0)+1,FALSE)</f>
        <v>【緊急！！】 アヒル捕獲作戦</v>
      </c>
      <c r="E304" s="48" t="str">
        <f ca="1">VLOOKUP($C304,OFFSET(quests!$A$1,0,0,COUNTA(quests!$A:$A),MATCH(E$2,quests!$1:$1,0)-MATCH($C$2,quests!$1:$1,0)+1),MATCH(E$2,quests!$1:$1,0)-MATCH($C$2,quests!$1:$1,0)+1,FALSE)</f>
        <v>ゲリラクエスト</v>
      </c>
      <c r="F304" s="7">
        <v>3</v>
      </c>
      <c r="G304" s="7" t="s">
        <v>382</v>
      </c>
      <c r="H304" s="211" t="s">
        <v>1178</v>
      </c>
      <c r="I304" s="12" t="s">
        <v>63</v>
      </c>
      <c r="J304" s="12">
        <v>334</v>
      </c>
      <c r="K304" s="167">
        <v>30</v>
      </c>
      <c r="L304" s="167">
        <v>444</v>
      </c>
      <c r="M304" s="167">
        <v>1</v>
      </c>
      <c r="N304" s="167">
        <v>1</v>
      </c>
      <c r="O304" s="167">
        <v>1</v>
      </c>
      <c r="P304" s="167">
        <v>1</v>
      </c>
      <c r="Q304" s="196">
        <v>0</v>
      </c>
      <c r="R304" s="167">
        <v>3</v>
      </c>
      <c r="S304" s="167" t="s">
        <v>79</v>
      </c>
      <c r="T304" s="167">
        <v>0</v>
      </c>
      <c r="U304" s="7" t="s">
        <v>169</v>
      </c>
      <c r="V304" s="7" t="s">
        <v>169</v>
      </c>
      <c r="W304" s="47" t="str">
        <f t="shared" ca="1" si="10"/>
        <v/>
      </c>
      <c r="X304" s="47">
        <f ca="1">VLOOKUP($C304,OFFSET(quests!$A$1,0,0,COUNTA(quests!$A:$A),MATCH(X$2,quests!$1:$1,0)-MATCH($C$2,quests!$1:$1,0)+1),MATCH(X$2,quests!$1:$1,0)-MATCH($C$2,quests!$1:$1,0)+1,FALSE)</f>
        <v>0</v>
      </c>
      <c r="Y304" s="47">
        <f ca="1">VLOOKUP($C304,OFFSET(quests!$A$1,0,0,COUNTA(quests!$A:$A),MATCH(Y$2,quests!$1:$1,0)-MATCH($C$2,quests!$1:$1,0)+1),MATCH(Y$2,quests!$1:$1,0)-MATCH($C$2,quests!$1:$1,0)+1,FALSE)</f>
        <v>0</v>
      </c>
      <c r="Z304" s="47">
        <f ca="1">VLOOKUP($C304,OFFSET(quests!$A$1,0,0,COUNTA(quests!$A:$A),MATCH(Z$2,quests!$1:$1,0)-MATCH($C$2,quests!$1:$1,0)+1),MATCH(Z$2,quests!$1:$1,0)-MATCH($C$2,quests!$1:$1,0)+1,FALSE)</f>
        <v>0</v>
      </c>
      <c r="AA304" s="47">
        <f ca="1">VLOOKUP($C304,OFFSET(quests!$A$1,0,0,COUNTA(quests!$A:$A),MATCH(AA$2,quests!$1:$1,0)-MATCH($C$2,quests!$1:$1,0)+1),MATCH(AA$2,quests!$1:$1,0)-MATCH($C$2,quests!$1:$1,0)+1,FALSE)</f>
        <v>0</v>
      </c>
      <c r="AB304" s="7" t="s">
        <v>56</v>
      </c>
      <c r="AC304" s="33">
        <v>7</v>
      </c>
      <c r="AD304" s="7">
        <v>6</v>
      </c>
      <c r="AE304" s="7" t="s">
        <v>519</v>
      </c>
      <c r="AF304" s="7">
        <v>15</v>
      </c>
      <c r="AG304" s="7">
        <v>0</v>
      </c>
      <c r="AH304" s="7">
        <v>0</v>
      </c>
      <c r="AI304" s="7">
        <v>-1</v>
      </c>
      <c r="AJ304" s="7">
        <v>-1</v>
      </c>
      <c r="AK304" s="7" t="s">
        <v>1209</v>
      </c>
      <c r="AL304" s="12" t="s">
        <v>1695</v>
      </c>
      <c r="AM304" s="12" t="s">
        <v>2072</v>
      </c>
    </row>
    <row r="305" spans="1:39" ht="21" customHeight="1" x14ac:dyDescent="0.15">
      <c r="A305" s="42" t="str">
        <f t="shared" si="11"/>
        <v>12002_1</v>
      </c>
      <c r="B305" s="23">
        <v>3</v>
      </c>
      <c r="C305" s="10">
        <v>12002</v>
      </c>
      <c r="D305" s="47" t="str">
        <f ca="1">VLOOKUP($C305,OFFSET(quests!$A$1,0,0,COUNTA(quests!$A:$A),MATCH(D$1,quests!$1:$1,0)-MATCH($C$2,quests!$1:$1,0)+1),MATCH(D$1,quests!$1:$1,0)-MATCH($C$2,quests!$1:$1,0)+1,FALSE)</f>
        <v>【マルチ専用1/2】 アヒル捕獲作戦</v>
      </c>
      <c r="E305" s="48" t="str">
        <f ca="1">VLOOKUP($C305,OFFSET(quests!$A$1,0,0,COUNTA(quests!$A:$A),MATCH(E$2,quests!$1:$1,0)-MATCH($C$2,quests!$1:$1,0)+1),MATCH(E$2,quests!$1:$1,0)-MATCH($C$2,quests!$1:$1,0)+1,FALSE)</f>
        <v>ゲリラクエスト</v>
      </c>
      <c r="F305" s="7">
        <v>1</v>
      </c>
      <c r="G305" s="7" t="s">
        <v>382</v>
      </c>
      <c r="H305" s="211" t="s">
        <v>1166</v>
      </c>
      <c r="I305" s="12" t="s">
        <v>63</v>
      </c>
      <c r="J305" s="12">
        <v>334</v>
      </c>
      <c r="K305" s="167">
        <v>10</v>
      </c>
      <c r="L305" s="167">
        <v>350</v>
      </c>
      <c r="M305" s="167">
        <v>1</v>
      </c>
      <c r="N305" s="167">
        <v>1</v>
      </c>
      <c r="O305" s="167">
        <v>1</v>
      </c>
      <c r="P305" s="167">
        <v>1</v>
      </c>
      <c r="Q305" s="96">
        <v>0</v>
      </c>
      <c r="R305" s="167">
        <v>3</v>
      </c>
      <c r="S305" s="167" t="s">
        <v>79</v>
      </c>
      <c r="T305" s="167">
        <v>0</v>
      </c>
      <c r="U305" s="7" t="s">
        <v>169</v>
      </c>
      <c r="V305" s="7" t="s">
        <v>169</v>
      </c>
      <c r="W305" s="47" t="str">
        <f t="shared" ca="1" si="10"/>
        <v/>
      </c>
      <c r="X305" s="47">
        <f ca="1">VLOOKUP($C305,OFFSET(quests!$A$1,0,0,COUNTA(quests!$A:$A),MATCH(X$2,quests!$1:$1,0)-MATCH($C$2,quests!$1:$1,0)+1),MATCH(X$2,quests!$1:$1,0)-MATCH($C$2,quests!$1:$1,0)+1,FALSE)</f>
        <v>0</v>
      </c>
      <c r="Y305" s="47">
        <f ca="1">VLOOKUP($C305,OFFSET(quests!$A$1,0,0,COUNTA(quests!$A:$A),MATCH(Y$2,quests!$1:$1,0)-MATCH($C$2,quests!$1:$1,0)+1),MATCH(Y$2,quests!$1:$1,0)-MATCH($C$2,quests!$1:$1,0)+1,FALSE)</f>
        <v>0</v>
      </c>
      <c r="Z305" s="47">
        <f ca="1">VLOOKUP($C305,OFFSET(quests!$A$1,0,0,COUNTA(quests!$A:$A),MATCH(Z$2,quests!$1:$1,0)-MATCH($C$2,quests!$1:$1,0)+1),MATCH(Z$2,quests!$1:$1,0)-MATCH($C$2,quests!$1:$1,0)+1,FALSE)</f>
        <v>0</v>
      </c>
      <c r="AA305" s="47">
        <f ca="1">VLOOKUP($C305,OFFSET(quests!$A$1,0,0,COUNTA(quests!$A:$A),MATCH(AA$2,quests!$1:$1,0)-MATCH($C$2,quests!$1:$1,0)+1),MATCH(AA$2,quests!$1:$1,0)-MATCH($C$2,quests!$1:$1,0)+1,FALSE)</f>
        <v>0</v>
      </c>
      <c r="AB305" s="7" t="s">
        <v>56</v>
      </c>
      <c r="AC305" s="7">
        <v>201</v>
      </c>
      <c r="AD305" s="7">
        <v>6</v>
      </c>
      <c r="AE305" s="7" t="s">
        <v>541</v>
      </c>
      <c r="AF305" s="7">
        <v>15</v>
      </c>
      <c r="AG305" s="7">
        <v>0</v>
      </c>
      <c r="AH305" s="7">
        <v>0</v>
      </c>
      <c r="AI305" s="7">
        <v>-1</v>
      </c>
      <c r="AJ305" s="7">
        <v>-1</v>
      </c>
      <c r="AK305" s="7" t="s">
        <v>1064</v>
      </c>
      <c r="AL305" s="12" t="s">
        <v>1695</v>
      </c>
      <c r="AM305" s="12" t="s">
        <v>2072</v>
      </c>
    </row>
    <row r="306" spans="1:39" ht="21" customHeight="1" x14ac:dyDescent="0.15">
      <c r="A306" s="42" t="str">
        <f t="shared" si="11"/>
        <v>12002_2</v>
      </c>
      <c r="B306" s="23">
        <v>1</v>
      </c>
      <c r="C306" s="10">
        <v>12002</v>
      </c>
      <c r="D306" s="47" t="str">
        <f ca="1">VLOOKUP($C306,OFFSET(quests!$A$1,0,0,COUNTA(quests!$A:$A),MATCH(D$1,quests!$1:$1,0)-MATCH($C$2,quests!$1:$1,0)+1),MATCH(D$1,quests!$1:$1,0)-MATCH($C$2,quests!$1:$1,0)+1,FALSE)</f>
        <v>【マルチ専用1/2】 アヒル捕獲作戦</v>
      </c>
      <c r="E306" s="48" t="str">
        <f ca="1">VLOOKUP($C306,OFFSET(quests!$A$1,0,0,COUNTA(quests!$A:$A),MATCH(E$2,quests!$1:$1,0)-MATCH($C$2,quests!$1:$1,0)+1),MATCH(E$2,quests!$1:$1,0)-MATCH($C$2,quests!$1:$1,0)+1,FALSE)</f>
        <v>ゲリラクエスト</v>
      </c>
      <c r="F306" s="7">
        <v>2</v>
      </c>
      <c r="G306" s="7" t="s">
        <v>382</v>
      </c>
      <c r="H306" s="211" t="s">
        <v>1178</v>
      </c>
      <c r="I306" s="12" t="s">
        <v>63</v>
      </c>
      <c r="J306" s="12">
        <v>334</v>
      </c>
      <c r="K306" s="167">
        <v>15</v>
      </c>
      <c r="L306" s="167">
        <v>444</v>
      </c>
      <c r="M306" s="167">
        <v>1</v>
      </c>
      <c r="N306" s="167">
        <v>1</v>
      </c>
      <c r="O306" s="167">
        <v>1</v>
      </c>
      <c r="P306" s="167">
        <v>1</v>
      </c>
      <c r="Q306" s="196">
        <v>0</v>
      </c>
      <c r="R306" s="167">
        <v>3</v>
      </c>
      <c r="S306" s="167" t="s">
        <v>79</v>
      </c>
      <c r="T306" s="167">
        <v>0</v>
      </c>
      <c r="U306" s="7" t="s">
        <v>169</v>
      </c>
      <c r="V306" s="7" t="s">
        <v>169</v>
      </c>
      <c r="W306" s="47" t="str">
        <f t="shared" ca="1" si="10"/>
        <v/>
      </c>
      <c r="X306" s="47">
        <f ca="1">VLOOKUP($C306,OFFSET(quests!$A$1,0,0,COUNTA(quests!$A:$A),MATCH(X$2,quests!$1:$1,0)-MATCH($C$2,quests!$1:$1,0)+1),MATCH(X$2,quests!$1:$1,0)-MATCH($C$2,quests!$1:$1,0)+1,FALSE)</f>
        <v>0</v>
      </c>
      <c r="Y306" s="47">
        <f ca="1">VLOOKUP($C306,OFFSET(quests!$A$1,0,0,COUNTA(quests!$A:$A),MATCH(Y$2,quests!$1:$1,0)-MATCH($C$2,quests!$1:$1,0)+1),MATCH(Y$2,quests!$1:$1,0)-MATCH($C$2,quests!$1:$1,0)+1,FALSE)</f>
        <v>0</v>
      </c>
      <c r="Z306" s="47">
        <f ca="1">VLOOKUP($C306,OFFSET(quests!$A$1,0,0,COUNTA(quests!$A:$A),MATCH(Z$2,quests!$1:$1,0)-MATCH($C$2,quests!$1:$1,0)+1),MATCH(Z$2,quests!$1:$1,0)-MATCH($C$2,quests!$1:$1,0)+1,FALSE)</f>
        <v>0</v>
      </c>
      <c r="AA306" s="47">
        <f ca="1">VLOOKUP($C306,OFFSET(quests!$A$1,0,0,COUNTA(quests!$A:$A),MATCH(AA$2,quests!$1:$1,0)-MATCH($C$2,quests!$1:$1,0)+1),MATCH(AA$2,quests!$1:$1,0)-MATCH($C$2,quests!$1:$1,0)+1,FALSE)</f>
        <v>0</v>
      </c>
      <c r="AB306" s="7" t="s">
        <v>56</v>
      </c>
      <c r="AC306" s="33">
        <v>7</v>
      </c>
      <c r="AD306" s="7">
        <v>6</v>
      </c>
      <c r="AE306" s="7" t="s">
        <v>1203</v>
      </c>
      <c r="AF306" s="7">
        <v>15</v>
      </c>
      <c r="AG306" s="7">
        <v>0</v>
      </c>
      <c r="AH306" s="7">
        <v>0</v>
      </c>
      <c r="AI306" s="7">
        <v>-1</v>
      </c>
      <c r="AJ306" s="7">
        <v>-1</v>
      </c>
      <c r="AK306" s="7" t="s">
        <v>1209</v>
      </c>
      <c r="AL306" s="12" t="s">
        <v>1695</v>
      </c>
      <c r="AM306" s="12" t="s">
        <v>2072</v>
      </c>
    </row>
    <row r="307" spans="1:39" ht="21" customHeight="1" x14ac:dyDescent="0.15">
      <c r="A307" s="42" t="str">
        <f t="shared" si="11"/>
        <v>12003_1</v>
      </c>
      <c r="B307" s="23">
        <v>3</v>
      </c>
      <c r="C307" s="172">
        <v>12003</v>
      </c>
      <c r="D307" s="47" t="str">
        <f ca="1">VLOOKUP($C307,OFFSET(quests!$A$1,0,0,COUNTA(quests!$A:$A),MATCH(D$1,quests!$1:$1,0)-MATCH($C$2,quests!$1:$1,0)+1),MATCH(D$1,quests!$1:$1,0)-MATCH($C$2,quests!$1:$1,0)+1,FALSE)</f>
        <v>【超緊急！！】メタルジェントルを追え</v>
      </c>
      <c r="E307" s="48" t="str">
        <f ca="1">VLOOKUP($C307,OFFSET(quests!$A$1,0,0,COUNTA(quests!$A:$A),MATCH(E$2,quests!$1:$1,0)-MATCH($C$2,quests!$1:$1,0)+1),MATCH(E$2,quests!$1:$1,0)-MATCH($C$2,quests!$1:$1,0)+1,FALSE)</f>
        <v>ゲリラ【超級】</v>
      </c>
      <c r="F307" s="7">
        <v>1</v>
      </c>
      <c r="G307" s="7" t="s">
        <v>382</v>
      </c>
      <c r="H307" s="12" t="s">
        <v>702</v>
      </c>
      <c r="I307" s="12" t="s">
        <v>585</v>
      </c>
      <c r="J307" s="12">
        <v>347</v>
      </c>
      <c r="K307" s="167">
        <v>40</v>
      </c>
      <c r="L307" s="167">
        <v>500</v>
      </c>
      <c r="M307" s="167">
        <v>1</v>
      </c>
      <c r="N307" s="167">
        <v>1</v>
      </c>
      <c r="O307" s="167">
        <v>1</v>
      </c>
      <c r="P307" s="167">
        <v>1</v>
      </c>
      <c r="Q307" s="167">
        <v>1</v>
      </c>
      <c r="R307" s="167">
        <v>3</v>
      </c>
      <c r="S307" s="167" t="s">
        <v>79</v>
      </c>
      <c r="T307" s="167">
        <v>0</v>
      </c>
      <c r="U307" s="7" t="s">
        <v>169</v>
      </c>
      <c r="V307" s="7" t="s">
        <v>169</v>
      </c>
      <c r="W307" s="47" t="str">
        <f t="shared" ca="1" si="10"/>
        <v/>
      </c>
      <c r="X307" s="47">
        <f ca="1">VLOOKUP($C307,OFFSET(quests!$A$1,0,0,COUNTA(quests!$A:$A),MATCH(X$2,quests!$1:$1,0)-MATCH($C$2,quests!$1:$1,0)+1),MATCH(X$2,quests!$1:$1,0)-MATCH($C$2,quests!$1:$1,0)+1,FALSE)</f>
        <v>0</v>
      </c>
      <c r="Y307" s="47">
        <f ca="1">VLOOKUP($C307,OFFSET(quests!$A$1,0,0,COUNTA(quests!$A:$A),MATCH(Y$2,quests!$1:$1,0)-MATCH($C$2,quests!$1:$1,0)+1),MATCH(Y$2,quests!$1:$1,0)-MATCH($C$2,quests!$1:$1,0)+1,FALSE)</f>
        <v>0</v>
      </c>
      <c r="Z307" s="47">
        <f ca="1">VLOOKUP($C307,OFFSET(quests!$A$1,0,0,COUNTA(quests!$A:$A),MATCH(Z$2,quests!$1:$1,0)-MATCH($C$2,quests!$1:$1,0)+1),MATCH(Z$2,quests!$1:$1,0)-MATCH($C$2,quests!$1:$1,0)+1,FALSE)</f>
        <v>0</v>
      </c>
      <c r="AA307" s="47">
        <f ca="1">VLOOKUP($C307,OFFSET(quests!$A$1,0,0,COUNTA(quests!$A:$A),MATCH(AA$2,quests!$1:$1,0)-MATCH($C$2,quests!$1:$1,0)+1),MATCH(AA$2,quests!$1:$1,0)-MATCH($C$2,quests!$1:$1,0)+1,FALSE)</f>
        <v>0</v>
      </c>
      <c r="AB307" s="7" t="s">
        <v>56</v>
      </c>
      <c r="AC307" s="7">
        <v>12</v>
      </c>
      <c r="AD307" s="7">
        <v>6</v>
      </c>
      <c r="AE307" s="7" t="s">
        <v>586</v>
      </c>
      <c r="AF307" s="7">
        <v>15</v>
      </c>
      <c r="AG307" s="7">
        <v>0</v>
      </c>
      <c r="AH307" s="7">
        <v>0</v>
      </c>
      <c r="AI307" s="7">
        <v>-1</v>
      </c>
      <c r="AJ307" s="7">
        <v>-1</v>
      </c>
      <c r="AK307" s="7" t="s">
        <v>1064</v>
      </c>
      <c r="AL307" s="12" t="s">
        <v>1695</v>
      </c>
      <c r="AM307" s="12" t="s">
        <v>2072</v>
      </c>
    </row>
    <row r="308" spans="1:39" ht="21" customHeight="1" x14ac:dyDescent="0.15">
      <c r="A308" s="42" t="str">
        <f t="shared" si="11"/>
        <v>12003_2</v>
      </c>
      <c r="B308" s="23">
        <v>3</v>
      </c>
      <c r="C308" s="172">
        <v>12003</v>
      </c>
      <c r="D308" s="47" t="str">
        <f ca="1">VLOOKUP($C308,OFFSET(quests!$A$1,0,0,COUNTA(quests!$A:$A),MATCH(D$1,quests!$1:$1,0)-MATCH($C$2,quests!$1:$1,0)+1),MATCH(D$1,quests!$1:$1,0)-MATCH($C$2,quests!$1:$1,0)+1,FALSE)</f>
        <v>【超緊急！！】メタルジェントルを追え</v>
      </c>
      <c r="E308" s="48" t="str">
        <f ca="1">VLOOKUP($C308,OFFSET(quests!$A$1,0,0,COUNTA(quests!$A:$A),MATCH(E$2,quests!$1:$1,0)-MATCH($C$2,quests!$1:$1,0)+1),MATCH(E$2,quests!$1:$1,0)-MATCH($C$2,quests!$1:$1,0)+1,FALSE)</f>
        <v>ゲリラ【超級】</v>
      </c>
      <c r="F308" s="7">
        <v>2</v>
      </c>
      <c r="G308" s="7" t="s">
        <v>382</v>
      </c>
      <c r="H308" s="12" t="s">
        <v>703</v>
      </c>
      <c r="I308" s="12" t="s">
        <v>585</v>
      </c>
      <c r="J308" s="12">
        <v>343</v>
      </c>
      <c r="K308" s="167">
        <v>40</v>
      </c>
      <c r="L308" s="167">
        <v>500</v>
      </c>
      <c r="M308" s="167">
        <v>1</v>
      </c>
      <c r="N308" s="167">
        <v>1</v>
      </c>
      <c r="O308" s="167">
        <v>1</v>
      </c>
      <c r="P308" s="167">
        <v>1</v>
      </c>
      <c r="Q308" s="167">
        <v>1</v>
      </c>
      <c r="R308" s="167">
        <v>3</v>
      </c>
      <c r="S308" s="167" t="s">
        <v>79</v>
      </c>
      <c r="T308" s="167">
        <v>0</v>
      </c>
      <c r="U308" s="7" t="s">
        <v>169</v>
      </c>
      <c r="V308" s="7" t="s">
        <v>169</v>
      </c>
      <c r="W308" s="47" t="str">
        <f t="shared" ca="1" si="10"/>
        <v/>
      </c>
      <c r="X308" s="47">
        <f ca="1">VLOOKUP($C308,OFFSET(quests!$A$1,0,0,COUNTA(quests!$A:$A),MATCH(X$2,quests!$1:$1,0)-MATCH($C$2,quests!$1:$1,0)+1),MATCH(X$2,quests!$1:$1,0)-MATCH($C$2,quests!$1:$1,0)+1,FALSE)</f>
        <v>0</v>
      </c>
      <c r="Y308" s="47">
        <f ca="1">VLOOKUP($C308,OFFSET(quests!$A$1,0,0,COUNTA(quests!$A:$A),MATCH(Y$2,quests!$1:$1,0)-MATCH($C$2,quests!$1:$1,0)+1),MATCH(Y$2,quests!$1:$1,0)-MATCH($C$2,quests!$1:$1,0)+1,FALSE)</f>
        <v>0</v>
      </c>
      <c r="Z308" s="47">
        <f ca="1">VLOOKUP($C308,OFFSET(quests!$A$1,0,0,COUNTA(quests!$A:$A),MATCH(Z$2,quests!$1:$1,0)-MATCH($C$2,quests!$1:$1,0)+1),MATCH(Z$2,quests!$1:$1,0)-MATCH($C$2,quests!$1:$1,0)+1,FALSE)</f>
        <v>0</v>
      </c>
      <c r="AA308" s="47">
        <f ca="1">VLOOKUP($C308,OFFSET(quests!$A$1,0,0,COUNTA(quests!$A:$A),MATCH(AA$2,quests!$1:$1,0)-MATCH($C$2,quests!$1:$1,0)+1),MATCH(AA$2,quests!$1:$1,0)-MATCH($C$2,quests!$1:$1,0)+1,FALSE)</f>
        <v>0</v>
      </c>
      <c r="AB308" s="7" t="s">
        <v>56</v>
      </c>
      <c r="AC308" s="7">
        <v>5</v>
      </c>
      <c r="AD308" s="7">
        <v>6</v>
      </c>
      <c r="AE308" s="7" t="s">
        <v>586</v>
      </c>
      <c r="AF308" s="7">
        <v>15</v>
      </c>
      <c r="AG308" s="7">
        <v>0</v>
      </c>
      <c r="AH308" s="7">
        <v>0</v>
      </c>
      <c r="AI308" s="7">
        <v>-1</v>
      </c>
      <c r="AJ308" s="7">
        <v>-1</v>
      </c>
      <c r="AK308" s="7" t="s">
        <v>1064</v>
      </c>
      <c r="AL308" s="12" t="s">
        <v>1695</v>
      </c>
      <c r="AM308" s="12" t="s">
        <v>2072</v>
      </c>
    </row>
    <row r="309" spans="1:39" ht="21" customHeight="1" x14ac:dyDescent="0.15">
      <c r="A309" s="42" t="str">
        <f t="shared" si="11"/>
        <v>12003_3</v>
      </c>
      <c r="B309" s="23">
        <v>3</v>
      </c>
      <c r="C309" s="172">
        <v>12003</v>
      </c>
      <c r="D309" s="47" t="str">
        <f ca="1">VLOOKUP($C309,OFFSET(quests!$A$1,0,0,COUNTA(quests!$A:$A),MATCH(D$1,quests!$1:$1,0)-MATCH($C$2,quests!$1:$1,0)+1),MATCH(D$1,quests!$1:$1,0)-MATCH($C$2,quests!$1:$1,0)+1,FALSE)</f>
        <v>【超緊急！！】メタルジェントルを追え</v>
      </c>
      <c r="E309" s="48" t="str">
        <f ca="1">VLOOKUP($C309,OFFSET(quests!$A$1,0,0,COUNTA(quests!$A:$A),MATCH(E$2,quests!$1:$1,0)-MATCH($C$2,quests!$1:$1,0)+1),MATCH(E$2,quests!$1:$1,0)-MATCH($C$2,quests!$1:$1,0)+1,FALSE)</f>
        <v>ゲリラ【超級】</v>
      </c>
      <c r="F309" s="7">
        <v>3</v>
      </c>
      <c r="G309" s="7" t="s">
        <v>382</v>
      </c>
      <c r="H309" s="12" t="s">
        <v>704</v>
      </c>
      <c r="I309" s="12" t="s">
        <v>585</v>
      </c>
      <c r="J309" s="12">
        <v>339</v>
      </c>
      <c r="K309" s="167">
        <v>40</v>
      </c>
      <c r="L309" s="167">
        <v>500</v>
      </c>
      <c r="M309" s="167">
        <v>1</v>
      </c>
      <c r="N309" s="167">
        <v>1</v>
      </c>
      <c r="O309" s="167">
        <v>1</v>
      </c>
      <c r="P309" s="167">
        <v>1</v>
      </c>
      <c r="Q309" s="167">
        <v>1</v>
      </c>
      <c r="R309" s="167">
        <v>3</v>
      </c>
      <c r="S309" s="167" t="s">
        <v>79</v>
      </c>
      <c r="T309" s="167">
        <v>0</v>
      </c>
      <c r="U309" s="7" t="s">
        <v>169</v>
      </c>
      <c r="V309" s="7" t="s">
        <v>169</v>
      </c>
      <c r="W309" s="47" t="str">
        <f t="shared" ca="1" si="10"/>
        <v/>
      </c>
      <c r="X309" s="47">
        <f ca="1">VLOOKUP($C309,OFFSET(quests!$A$1,0,0,COUNTA(quests!$A:$A),MATCH(X$2,quests!$1:$1,0)-MATCH($C$2,quests!$1:$1,0)+1),MATCH(X$2,quests!$1:$1,0)-MATCH($C$2,quests!$1:$1,0)+1,FALSE)</f>
        <v>0</v>
      </c>
      <c r="Y309" s="47">
        <f ca="1">VLOOKUP($C309,OFFSET(quests!$A$1,0,0,COUNTA(quests!$A:$A),MATCH(Y$2,quests!$1:$1,0)-MATCH($C$2,quests!$1:$1,0)+1),MATCH(Y$2,quests!$1:$1,0)-MATCH($C$2,quests!$1:$1,0)+1,FALSE)</f>
        <v>0</v>
      </c>
      <c r="Z309" s="47">
        <f ca="1">VLOOKUP($C309,OFFSET(quests!$A$1,0,0,COUNTA(quests!$A:$A),MATCH(Z$2,quests!$1:$1,0)-MATCH($C$2,quests!$1:$1,0)+1),MATCH(Z$2,quests!$1:$1,0)-MATCH($C$2,quests!$1:$1,0)+1,FALSE)</f>
        <v>0</v>
      </c>
      <c r="AA309" s="47">
        <f ca="1">VLOOKUP($C309,OFFSET(quests!$A$1,0,0,COUNTA(quests!$A:$A),MATCH(AA$2,quests!$1:$1,0)-MATCH($C$2,quests!$1:$1,0)+1),MATCH(AA$2,quests!$1:$1,0)-MATCH($C$2,quests!$1:$1,0)+1,FALSE)</f>
        <v>0</v>
      </c>
      <c r="AB309" s="7" t="s">
        <v>56</v>
      </c>
      <c r="AC309" s="7">
        <v>7</v>
      </c>
      <c r="AD309" s="7">
        <v>6</v>
      </c>
      <c r="AE309" s="7" t="s">
        <v>586</v>
      </c>
      <c r="AF309" s="7">
        <v>15</v>
      </c>
      <c r="AG309" s="7">
        <v>0</v>
      </c>
      <c r="AH309" s="7">
        <v>0</v>
      </c>
      <c r="AI309" s="7">
        <v>-1</v>
      </c>
      <c r="AJ309" s="7">
        <v>-1</v>
      </c>
      <c r="AK309" s="7" t="s">
        <v>1064</v>
      </c>
      <c r="AL309" s="12" t="s">
        <v>1695</v>
      </c>
      <c r="AM309" s="12" t="s">
        <v>2072</v>
      </c>
    </row>
    <row r="310" spans="1:39" ht="21" customHeight="1" x14ac:dyDescent="0.15">
      <c r="A310" s="42" t="str">
        <f t="shared" si="11"/>
        <v>12003_4</v>
      </c>
      <c r="B310" s="23">
        <v>3</v>
      </c>
      <c r="C310" s="172">
        <v>12003</v>
      </c>
      <c r="D310" s="47" t="str">
        <f ca="1">VLOOKUP($C310,OFFSET(quests!$A$1,0,0,COUNTA(quests!$A:$A),MATCH(D$1,quests!$1:$1,0)-MATCH($C$2,quests!$1:$1,0)+1),MATCH(D$1,quests!$1:$1,0)-MATCH($C$2,quests!$1:$1,0)+1,FALSE)</f>
        <v>【超緊急！！】メタルジェントルを追え</v>
      </c>
      <c r="E310" s="48" t="str">
        <f ca="1">VLOOKUP($C310,OFFSET(quests!$A$1,0,0,COUNTA(quests!$A:$A),MATCH(E$2,quests!$1:$1,0)-MATCH($C$2,quests!$1:$1,0)+1),MATCH(E$2,quests!$1:$1,0)-MATCH($C$2,quests!$1:$1,0)+1,FALSE)</f>
        <v>ゲリラ【超級】</v>
      </c>
      <c r="F310" s="7">
        <v>4</v>
      </c>
      <c r="G310" s="7" t="s">
        <v>382</v>
      </c>
      <c r="H310" s="12" t="s">
        <v>705</v>
      </c>
      <c r="I310" s="12" t="s">
        <v>585</v>
      </c>
      <c r="J310" s="12">
        <v>335</v>
      </c>
      <c r="K310" s="167">
        <v>40</v>
      </c>
      <c r="L310" s="167">
        <v>500</v>
      </c>
      <c r="M310" s="167">
        <v>1</v>
      </c>
      <c r="N310" s="167">
        <v>1</v>
      </c>
      <c r="O310" s="167">
        <v>1</v>
      </c>
      <c r="P310" s="167">
        <v>1</v>
      </c>
      <c r="Q310" s="167">
        <v>1</v>
      </c>
      <c r="R310" s="167">
        <v>3</v>
      </c>
      <c r="S310" s="167" t="s">
        <v>79</v>
      </c>
      <c r="T310" s="167">
        <v>0</v>
      </c>
      <c r="U310" s="7" t="s">
        <v>169</v>
      </c>
      <c r="V310" s="7" t="s">
        <v>169</v>
      </c>
      <c r="W310" s="47" t="str">
        <f t="shared" ca="1" si="10"/>
        <v/>
      </c>
      <c r="X310" s="47">
        <f ca="1">VLOOKUP($C310,OFFSET(quests!$A$1,0,0,COUNTA(quests!$A:$A),MATCH(X$2,quests!$1:$1,0)-MATCH($C$2,quests!$1:$1,0)+1),MATCH(X$2,quests!$1:$1,0)-MATCH($C$2,quests!$1:$1,0)+1,FALSE)</f>
        <v>0</v>
      </c>
      <c r="Y310" s="47">
        <f ca="1">VLOOKUP($C310,OFFSET(quests!$A$1,0,0,COUNTA(quests!$A:$A),MATCH(Y$2,quests!$1:$1,0)-MATCH($C$2,quests!$1:$1,0)+1),MATCH(Y$2,quests!$1:$1,0)-MATCH($C$2,quests!$1:$1,0)+1,FALSE)</f>
        <v>0</v>
      </c>
      <c r="Z310" s="47">
        <f ca="1">VLOOKUP($C310,OFFSET(quests!$A$1,0,0,COUNTA(quests!$A:$A),MATCH(Z$2,quests!$1:$1,0)-MATCH($C$2,quests!$1:$1,0)+1),MATCH(Z$2,quests!$1:$1,0)-MATCH($C$2,quests!$1:$1,0)+1,FALSE)</f>
        <v>0</v>
      </c>
      <c r="AA310" s="47">
        <f ca="1">VLOOKUP($C310,OFFSET(quests!$A$1,0,0,COUNTA(quests!$A:$A),MATCH(AA$2,quests!$1:$1,0)-MATCH($C$2,quests!$1:$1,0)+1),MATCH(AA$2,quests!$1:$1,0)-MATCH($C$2,quests!$1:$1,0)+1,FALSE)</f>
        <v>0</v>
      </c>
      <c r="AB310" s="7" t="s">
        <v>56</v>
      </c>
      <c r="AC310" s="7">
        <v>10</v>
      </c>
      <c r="AD310" s="7">
        <v>6</v>
      </c>
      <c r="AE310" s="7" t="s">
        <v>586</v>
      </c>
      <c r="AF310" s="7">
        <v>15</v>
      </c>
      <c r="AG310" s="7">
        <v>0</v>
      </c>
      <c r="AH310" s="7">
        <v>0</v>
      </c>
      <c r="AI310" s="7">
        <v>-1</v>
      </c>
      <c r="AJ310" s="7">
        <v>-1</v>
      </c>
      <c r="AK310" s="7" t="s">
        <v>1064</v>
      </c>
      <c r="AL310" s="12" t="s">
        <v>1695</v>
      </c>
      <c r="AM310" s="12" t="s">
        <v>2072</v>
      </c>
    </row>
    <row r="311" spans="1:39" ht="21" customHeight="1" x14ac:dyDescent="0.15">
      <c r="A311" s="42" t="str">
        <f t="shared" si="11"/>
        <v>12004_1</v>
      </c>
      <c r="B311" s="23">
        <v>3</v>
      </c>
      <c r="C311" s="172">
        <v>12004</v>
      </c>
      <c r="D311" s="47" t="str">
        <f ca="1">VLOOKUP($C311,OFFSET(quests!$A$1,0,0,COUNTA(quests!$A:$A),MATCH(D$1,quests!$1:$1,0)-MATCH($C$2,quests!$1:$1,0)+1),MATCH(D$1,quests!$1:$1,0)-MATCH($C$2,quests!$1:$1,0)+1,FALSE)</f>
        <v>メタルフロッグをもとめて</v>
      </c>
      <c r="E311" s="48" t="str">
        <f ca="1">VLOOKUP($C311,OFFSET(quests!$A$1,0,0,COUNTA(quests!$A:$A),MATCH(E$2,quests!$1:$1,0)-MATCH($C$2,quests!$1:$1,0)+1),MATCH(E$2,quests!$1:$1,0)-MATCH($C$2,quests!$1:$1,0)+1,FALSE)</f>
        <v>イベントクエスト</v>
      </c>
      <c r="F311" s="7">
        <v>1</v>
      </c>
      <c r="G311" s="7" t="s">
        <v>969</v>
      </c>
      <c r="H311" s="12" t="s">
        <v>972</v>
      </c>
      <c r="I311" s="12" t="s">
        <v>975</v>
      </c>
      <c r="J311" s="12">
        <v>351</v>
      </c>
      <c r="K311" s="167">
        <v>20</v>
      </c>
      <c r="L311" s="167">
        <v>100</v>
      </c>
      <c r="M311" s="167">
        <v>1</v>
      </c>
      <c r="N311" s="167">
        <v>1</v>
      </c>
      <c r="O311" s="167">
        <v>1</v>
      </c>
      <c r="P311" s="167">
        <v>1</v>
      </c>
      <c r="Q311" s="167">
        <v>1</v>
      </c>
      <c r="R311" s="167">
        <v>3</v>
      </c>
      <c r="S311" s="167" t="s">
        <v>79</v>
      </c>
      <c r="T311" s="167">
        <v>0</v>
      </c>
      <c r="U311" s="7" t="s">
        <v>169</v>
      </c>
      <c r="V311" s="7" t="s">
        <v>169</v>
      </c>
      <c r="W311" s="47" t="str">
        <f t="shared" ca="1" si="10"/>
        <v/>
      </c>
      <c r="X311" s="47">
        <f ca="1">VLOOKUP($C311,OFFSET(quests!$A$1,0,0,COUNTA(quests!$A:$A),MATCH(X$2,quests!$1:$1,0)-MATCH($C$2,quests!$1:$1,0)+1),MATCH(X$2,quests!$1:$1,0)-MATCH($C$2,quests!$1:$1,0)+1,FALSE)</f>
        <v>0</v>
      </c>
      <c r="Y311" s="47">
        <f ca="1">VLOOKUP($C311,OFFSET(quests!$A$1,0,0,COUNTA(quests!$A:$A),MATCH(Y$2,quests!$1:$1,0)-MATCH($C$2,quests!$1:$1,0)+1),MATCH(Y$2,quests!$1:$1,0)-MATCH($C$2,quests!$1:$1,0)+1,FALSE)</f>
        <v>0</v>
      </c>
      <c r="Z311" s="47">
        <f ca="1">VLOOKUP($C311,OFFSET(quests!$A$1,0,0,COUNTA(quests!$A:$A),MATCH(Z$2,quests!$1:$1,0)-MATCH($C$2,quests!$1:$1,0)+1),MATCH(Z$2,quests!$1:$1,0)-MATCH($C$2,quests!$1:$1,0)+1,FALSE)</f>
        <v>0</v>
      </c>
      <c r="AA311" s="47">
        <f ca="1">VLOOKUP($C311,OFFSET(quests!$A$1,0,0,COUNTA(quests!$A:$A),MATCH(AA$2,quests!$1:$1,0)-MATCH($C$2,quests!$1:$1,0)+1),MATCH(AA$2,quests!$1:$1,0)-MATCH($C$2,quests!$1:$1,0)+1,FALSE)</f>
        <v>0</v>
      </c>
      <c r="AB311" s="7" t="s">
        <v>971</v>
      </c>
      <c r="AC311" s="7">
        <v>23</v>
      </c>
      <c r="AD311" s="7">
        <v>6</v>
      </c>
      <c r="AE311" s="7" t="s">
        <v>970</v>
      </c>
      <c r="AF311" s="7">
        <v>1</v>
      </c>
      <c r="AG311" s="7">
        <v>0</v>
      </c>
      <c r="AH311" s="7">
        <v>0</v>
      </c>
      <c r="AI311" s="7">
        <v>-1</v>
      </c>
      <c r="AJ311" s="7">
        <v>-1</v>
      </c>
      <c r="AK311" s="7" t="s">
        <v>1064</v>
      </c>
      <c r="AL311" s="12" t="s">
        <v>1695</v>
      </c>
      <c r="AM311" s="12" t="s">
        <v>2072</v>
      </c>
    </row>
    <row r="312" spans="1:39" ht="21" customHeight="1" x14ac:dyDescent="0.15">
      <c r="A312" s="42" t="str">
        <f t="shared" si="11"/>
        <v>13001_1</v>
      </c>
      <c r="B312" s="23">
        <v>3</v>
      </c>
      <c r="C312" s="10">
        <v>13001</v>
      </c>
      <c r="D312" s="47" t="str">
        <f ca="1">VLOOKUP($C312,OFFSET(quests!$A$1,0,0,COUNTA(quests!$A:$A),MATCH(D$1,quests!$1:$1,0)-MATCH($C$2,quests!$1:$1,0)+1),MATCH(D$1,quests!$1:$1,0)-MATCH($C$2,quests!$1:$1,0)+1,FALSE)</f>
        <v>チャレンジタワー(ソロ専用)</v>
      </c>
      <c r="E312" s="48" t="str">
        <f ca="1">VLOOKUP($C312,OFFSET(quests!$A$1,0,0,COUNTA(quests!$A:$A),MATCH(E$2,quests!$1:$1,0)-MATCH($C$2,quests!$1:$1,0)+1),MATCH(E$2,quests!$1:$1,0)-MATCH($C$2,quests!$1:$1,0)+1,FALSE)</f>
        <v>試練の塔</v>
      </c>
      <c r="F312" s="7">
        <v>1</v>
      </c>
      <c r="G312" s="7" t="s">
        <v>570</v>
      </c>
      <c r="H312" s="12" t="s">
        <v>708</v>
      </c>
      <c r="I312" s="12" t="s">
        <v>236</v>
      </c>
      <c r="J312" s="12">
        <v>345</v>
      </c>
      <c r="K312" s="188">
        <v>3</v>
      </c>
      <c r="L312" s="188">
        <v>120</v>
      </c>
      <c r="M312" s="167">
        <v>1</v>
      </c>
      <c r="N312" s="167">
        <v>1</v>
      </c>
      <c r="O312" s="167">
        <v>1</v>
      </c>
      <c r="P312" s="167">
        <v>1</v>
      </c>
      <c r="Q312" s="167">
        <v>1</v>
      </c>
      <c r="R312" s="167">
        <v>3</v>
      </c>
      <c r="S312" s="167" t="s">
        <v>273</v>
      </c>
      <c r="T312" s="191" t="s">
        <v>386</v>
      </c>
      <c r="U312" s="7" t="s">
        <v>169</v>
      </c>
      <c r="V312" s="7" t="s">
        <v>169</v>
      </c>
      <c r="W312" s="47" t="str">
        <f t="shared" ca="1" si="10"/>
        <v/>
      </c>
      <c r="X312" s="47">
        <f ca="1">VLOOKUP($C312,OFFSET(quests!$A$1,0,0,COUNTA(quests!$A:$A),MATCH(X$2,quests!$1:$1,0)-MATCH($C$2,quests!$1:$1,0)+1),MATCH(X$2,quests!$1:$1,0)-MATCH($C$2,quests!$1:$1,0)+1,FALSE)</f>
        <v>0</v>
      </c>
      <c r="Y312" s="47">
        <f ca="1">VLOOKUP($C312,OFFSET(quests!$A$1,0,0,COUNTA(quests!$A:$A),MATCH(Y$2,quests!$1:$1,0)-MATCH($C$2,quests!$1:$1,0)+1),MATCH(Y$2,quests!$1:$1,0)-MATCH($C$2,quests!$1:$1,0)+1,FALSE)</f>
        <v>0</v>
      </c>
      <c r="Z312" s="47">
        <f ca="1">VLOOKUP($C312,OFFSET(quests!$A$1,0,0,COUNTA(quests!$A:$A),MATCH(Z$2,quests!$1:$1,0)-MATCH($C$2,quests!$1:$1,0)+1),MATCH(Z$2,quests!$1:$1,0)-MATCH($C$2,quests!$1:$1,0)+1,FALSE)</f>
        <v>0</v>
      </c>
      <c r="AA312" s="47">
        <f ca="1">VLOOKUP($C312,OFFSET(quests!$A$1,0,0,COUNTA(quests!$A:$A),MATCH(AA$2,quests!$1:$1,0)-MATCH($C$2,quests!$1:$1,0)+1),MATCH(AA$2,quests!$1:$1,0)-MATCH($C$2,quests!$1:$1,0)+1,FALSE)</f>
        <v>0</v>
      </c>
      <c r="AB312" s="7" t="s">
        <v>56</v>
      </c>
      <c r="AC312" s="7">
        <v>26</v>
      </c>
      <c r="AD312" s="7">
        <v>6</v>
      </c>
      <c r="AE312" s="7" t="s">
        <v>522</v>
      </c>
      <c r="AF312" s="7">
        <v>13</v>
      </c>
      <c r="AG312" s="7">
        <v>0</v>
      </c>
      <c r="AH312" s="7">
        <v>0</v>
      </c>
      <c r="AI312" s="7">
        <v>-1</v>
      </c>
      <c r="AJ312" s="7">
        <v>-1</v>
      </c>
      <c r="AK312" s="7" t="s">
        <v>1064</v>
      </c>
      <c r="AL312" s="12" t="s">
        <v>1695</v>
      </c>
      <c r="AM312" s="12" t="s">
        <v>2072</v>
      </c>
    </row>
    <row r="313" spans="1:39" ht="21" customHeight="1" x14ac:dyDescent="0.15">
      <c r="A313" s="42" t="str">
        <f t="shared" si="11"/>
        <v>13001_2</v>
      </c>
      <c r="B313" s="23">
        <v>3</v>
      </c>
      <c r="C313" s="10">
        <v>13001</v>
      </c>
      <c r="D313" s="47" t="str">
        <f ca="1">VLOOKUP($C313,OFFSET(quests!$A$1,0,0,COUNTA(quests!$A:$A),MATCH(D$1,quests!$1:$1,0)-MATCH($C$2,quests!$1:$1,0)+1),MATCH(D$1,quests!$1:$1,0)-MATCH($C$2,quests!$1:$1,0)+1,FALSE)</f>
        <v>チャレンジタワー(ソロ専用)</v>
      </c>
      <c r="E313" s="48" t="str">
        <f ca="1">VLOOKUP($C313,OFFSET(quests!$A$1,0,0,COUNTA(quests!$A:$A),MATCH(E$2,quests!$1:$1,0)-MATCH($C$2,quests!$1:$1,0)+1),MATCH(E$2,quests!$1:$1,0)-MATCH($C$2,quests!$1:$1,0)+1,FALSE)</f>
        <v>試練の塔</v>
      </c>
      <c r="F313" s="7">
        <v>2</v>
      </c>
      <c r="G313" s="7" t="s">
        <v>570</v>
      </c>
      <c r="H313" s="12" t="s">
        <v>254</v>
      </c>
      <c r="I313" s="12" t="s">
        <v>236</v>
      </c>
      <c r="J313" s="12">
        <v>333</v>
      </c>
      <c r="K313" s="188">
        <v>4</v>
      </c>
      <c r="L313" s="188">
        <v>176</v>
      </c>
      <c r="M313" s="167">
        <v>1</v>
      </c>
      <c r="N313" s="167">
        <v>1</v>
      </c>
      <c r="O313" s="167">
        <v>1</v>
      </c>
      <c r="P313" s="167">
        <v>1</v>
      </c>
      <c r="Q313" s="167">
        <v>1</v>
      </c>
      <c r="R313" s="167">
        <v>3</v>
      </c>
      <c r="S313" s="167" t="s">
        <v>273</v>
      </c>
      <c r="T313" s="191" t="s">
        <v>387</v>
      </c>
      <c r="U313" s="7">
        <v>13001</v>
      </c>
      <c r="V313" s="7">
        <v>1</v>
      </c>
      <c r="W313" s="47" t="str">
        <f t="shared" ca="1" si="10"/>
        <v>チャレンジタワー 1F</v>
      </c>
      <c r="X313" s="47">
        <f ca="1">VLOOKUP($C313,OFFSET(quests!$A$1,0,0,COUNTA(quests!$A:$A),MATCH(X$2,quests!$1:$1,0)-MATCH($C$2,quests!$1:$1,0)+1),MATCH(X$2,quests!$1:$1,0)-MATCH($C$2,quests!$1:$1,0)+1,FALSE)</f>
        <v>0</v>
      </c>
      <c r="Y313" s="47">
        <f ca="1">VLOOKUP($C313,OFFSET(quests!$A$1,0,0,COUNTA(quests!$A:$A),MATCH(Y$2,quests!$1:$1,0)-MATCH($C$2,quests!$1:$1,0)+1),MATCH(Y$2,quests!$1:$1,0)-MATCH($C$2,quests!$1:$1,0)+1,FALSE)</f>
        <v>0</v>
      </c>
      <c r="Z313" s="47">
        <f ca="1">VLOOKUP($C313,OFFSET(quests!$A$1,0,0,COUNTA(quests!$A:$A),MATCH(Z$2,quests!$1:$1,0)-MATCH($C$2,quests!$1:$1,0)+1),MATCH(Z$2,quests!$1:$1,0)-MATCH($C$2,quests!$1:$1,0)+1,FALSE)</f>
        <v>0</v>
      </c>
      <c r="AA313" s="47">
        <f ca="1">VLOOKUP($C313,OFFSET(quests!$A$1,0,0,COUNTA(quests!$A:$A),MATCH(AA$2,quests!$1:$1,0)-MATCH($C$2,quests!$1:$1,0)+1),MATCH(AA$2,quests!$1:$1,0)-MATCH($C$2,quests!$1:$1,0)+1,FALSE)</f>
        <v>0</v>
      </c>
      <c r="AB313" s="7" t="s">
        <v>56</v>
      </c>
      <c r="AC313" s="7">
        <v>26</v>
      </c>
      <c r="AD313" s="7">
        <v>6</v>
      </c>
      <c r="AE313" s="7" t="s">
        <v>522</v>
      </c>
      <c r="AF313" s="7">
        <v>13</v>
      </c>
      <c r="AG313" s="7">
        <v>0</v>
      </c>
      <c r="AH313" s="7">
        <v>0</v>
      </c>
      <c r="AI313" s="7">
        <v>-1</v>
      </c>
      <c r="AJ313" s="7">
        <v>-1</v>
      </c>
      <c r="AK313" s="7" t="s">
        <v>1064</v>
      </c>
      <c r="AL313" s="12" t="s">
        <v>1695</v>
      </c>
      <c r="AM313" s="12" t="s">
        <v>2072</v>
      </c>
    </row>
    <row r="314" spans="1:39" ht="21" customHeight="1" x14ac:dyDescent="0.15">
      <c r="A314" s="42" t="str">
        <f t="shared" si="11"/>
        <v>13001_3</v>
      </c>
      <c r="B314" s="23">
        <v>3</v>
      </c>
      <c r="C314" s="10">
        <v>13001</v>
      </c>
      <c r="D314" s="47" t="str">
        <f ca="1">VLOOKUP($C314,OFFSET(quests!$A$1,0,0,COUNTA(quests!$A:$A),MATCH(D$1,quests!$1:$1,0)-MATCH($C$2,quests!$1:$1,0)+1),MATCH(D$1,quests!$1:$1,0)-MATCH($C$2,quests!$1:$1,0)+1,FALSE)</f>
        <v>チャレンジタワー(ソロ専用)</v>
      </c>
      <c r="E314" s="48" t="str">
        <f ca="1">VLOOKUP($C314,OFFSET(quests!$A$1,0,0,COUNTA(quests!$A:$A),MATCH(E$2,quests!$1:$1,0)-MATCH($C$2,quests!$1:$1,0)+1),MATCH(E$2,quests!$1:$1,0)-MATCH($C$2,quests!$1:$1,0)+1,FALSE)</f>
        <v>試練の塔</v>
      </c>
      <c r="F314" s="7">
        <v>3</v>
      </c>
      <c r="G314" s="7" t="s">
        <v>570</v>
      </c>
      <c r="H314" s="12" t="s">
        <v>255</v>
      </c>
      <c r="I314" s="12" t="s">
        <v>236</v>
      </c>
      <c r="J314" s="12">
        <v>337</v>
      </c>
      <c r="K314" s="188">
        <v>5</v>
      </c>
      <c r="L314" s="188">
        <v>242</v>
      </c>
      <c r="M314" s="167">
        <v>1</v>
      </c>
      <c r="N314" s="167">
        <v>1</v>
      </c>
      <c r="O314" s="167">
        <v>1</v>
      </c>
      <c r="P314" s="167">
        <v>1</v>
      </c>
      <c r="Q314" s="167">
        <v>1</v>
      </c>
      <c r="R314" s="167">
        <v>3</v>
      </c>
      <c r="S314" s="167" t="s">
        <v>529</v>
      </c>
      <c r="T314" s="191" t="s">
        <v>388</v>
      </c>
      <c r="U314" s="7">
        <v>13001</v>
      </c>
      <c r="V314" s="7">
        <v>2</v>
      </c>
      <c r="W314" s="47" t="str">
        <f t="shared" ca="1" si="10"/>
        <v>チャレンジタワー 2F</v>
      </c>
      <c r="X314" s="47">
        <f ca="1">VLOOKUP($C314,OFFSET(quests!$A$1,0,0,COUNTA(quests!$A:$A),MATCH(X$2,quests!$1:$1,0)-MATCH($C$2,quests!$1:$1,0)+1),MATCH(X$2,quests!$1:$1,0)-MATCH($C$2,quests!$1:$1,0)+1,FALSE)</f>
        <v>0</v>
      </c>
      <c r="Y314" s="47">
        <f ca="1">VLOOKUP($C314,OFFSET(quests!$A$1,0,0,COUNTA(quests!$A:$A),MATCH(Y$2,quests!$1:$1,0)-MATCH($C$2,quests!$1:$1,0)+1),MATCH(Y$2,quests!$1:$1,0)-MATCH($C$2,quests!$1:$1,0)+1,FALSE)</f>
        <v>0</v>
      </c>
      <c r="Z314" s="47">
        <f ca="1">VLOOKUP($C314,OFFSET(quests!$A$1,0,0,COUNTA(quests!$A:$A),MATCH(Z$2,quests!$1:$1,0)-MATCH($C$2,quests!$1:$1,0)+1),MATCH(Z$2,quests!$1:$1,0)-MATCH($C$2,quests!$1:$1,0)+1,FALSE)</f>
        <v>0</v>
      </c>
      <c r="AA314" s="47">
        <f ca="1">VLOOKUP($C314,OFFSET(quests!$A$1,0,0,COUNTA(quests!$A:$A),MATCH(AA$2,quests!$1:$1,0)-MATCH($C$2,quests!$1:$1,0)+1),MATCH(AA$2,quests!$1:$1,0)-MATCH($C$2,quests!$1:$1,0)+1,FALSE)</f>
        <v>0</v>
      </c>
      <c r="AB314" s="7" t="s">
        <v>56</v>
      </c>
      <c r="AC314" s="7">
        <v>26</v>
      </c>
      <c r="AD314" s="7">
        <v>6</v>
      </c>
      <c r="AE314" s="7" t="s">
        <v>522</v>
      </c>
      <c r="AF314" s="7">
        <v>13</v>
      </c>
      <c r="AG314" s="7">
        <v>0</v>
      </c>
      <c r="AH314" s="7">
        <v>0</v>
      </c>
      <c r="AI314" s="7">
        <v>-1</v>
      </c>
      <c r="AJ314" s="7">
        <v>-1</v>
      </c>
      <c r="AK314" s="7" t="s">
        <v>1064</v>
      </c>
      <c r="AL314" s="12" t="s">
        <v>1695</v>
      </c>
      <c r="AM314" s="12" t="s">
        <v>2072</v>
      </c>
    </row>
    <row r="315" spans="1:39" ht="21" customHeight="1" x14ac:dyDescent="0.15">
      <c r="A315" s="42" t="str">
        <f t="shared" si="11"/>
        <v>13001_4</v>
      </c>
      <c r="B315" s="23">
        <v>3</v>
      </c>
      <c r="C315" s="10">
        <v>13001</v>
      </c>
      <c r="D315" s="47" t="str">
        <f ca="1">VLOOKUP($C315,OFFSET(quests!$A$1,0,0,COUNTA(quests!$A:$A),MATCH(D$1,quests!$1:$1,0)-MATCH($C$2,quests!$1:$1,0)+1),MATCH(D$1,quests!$1:$1,0)-MATCH($C$2,quests!$1:$1,0)+1,FALSE)</f>
        <v>チャレンジタワー(ソロ専用)</v>
      </c>
      <c r="E315" s="48" t="str">
        <f ca="1">VLOOKUP($C315,OFFSET(quests!$A$1,0,0,COUNTA(quests!$A:$A),MATCH(E$2,quests!$1:$1,0)-MATCH($C$2,quests!$1:$1,0)+1),MATCH(E$2,quests!$1:$1,0)-MATCH($C$2,quests!$1:$1,0)+1,FALSE)</f>
        <v>試練の塔</v>
      </c>
      <c r="F315" s="7">
        <v>4</v>
      </c>
      <c r="G315" s="7" t="s">
        <v>570</v>
      </c>
      <c r="H315" s="12" t="s">
        <v>256</v>
      </c>
      <c r="I315" s="12" t="s">
        <v>236</v>
      </c>
      <c r="J315" s="12">
        <v>341</v>
      </c>
      <c r="K315" s="188">
        <v>7</v>
      </c>
      <c r="L315" s="188">
        <v>508</v>
      </c>
      <c r="M315" s="167">
        <v>1</v>
      </c>
      <c r="N315" s="167">
        <v>1</v>
      </c>
      <c r="O315" s="167">
        <v>1</v>
      </c>
      <c r="P315" s="167">
        <v>1</v>
      </c>
      <c r="Q315" s="167">
        <v>1</v>
      </c>
      <c r="R315" s="167">
        <v>3</v>
      </c>
      <c r="S315" s="167" t="s">
        <v>273</v>
      </c>
      <c r="T315" s="191" t="s">
        <v>454</v>
      </c>
      <c r="U315" s="7">
        <v>13001</v>
      </c>
      <c r="V315" s="7">
        <v>3</v>
      </c>
      <c r="W315" s="47" t="str">
        <f t="shared" ca="1" si="10"/>
        <v>チャレンジタワー 3F</v>
      </c>
      <c r="X315" s="47">
        <f ca="1">VLOOKUP($C315,OFFSET(quests!$A$1,0,0,COUNTA(quests!$A:$A),MATCH(X$2,quests!$1:$1,0)-MATCH($C$2,quests!$1:$1,0)+1),MATCH(X$2,quests!$1:$1,0)-MATCH($C$2,quests!$1:$1,0)+1,FALSE)</f>
        <v>0</v>
      </c>
      <c r="Y315" s="47">
        <f ca="1">VLOOKUP($C315,OFFSET(quests!$A$1,0,0,COUNTA(quests!$A:$A),MATCH(Y$2,quests!$1:$1,0)-MATCH($C$2,quests!$1:$1,0)+1),MATCH(Y$2,quests!$1:$1,0)-MATCH($C$2,quests!$1:$1,0)+1,FALSE)</f>
        <v>0</v>
      </c>
      <c r="Z315" s="47">
        <f ca="1">VLOOKUP($C315,OFFSET(quests!$A$1,0,0,COUNTA(quests!$A:$A),MATCH(Z$2,quests!$1:$1,0)-MATCH($C$2,quests!$1:$1,0)+1),MATCH(Z$2,quests!$1:$1,0)-MATCH($C$2,quests!$1:$1,0)+1,FALSE)</f>
        <v>0</v>
      </c>
      <c r="AA315" s="47">
        <f ca="1">VLOOKUP($C315,OFFSET(quests!$A$1,0,0,COUNTA(quests!$A:$A),MATCH(AA$2,quests!$1:$1,0)-MATCH($C$2,quests!$1:$1,0)+1),MATCH(AA$2,quests!$1:$1,0)-MATCH($C$2,quests!$1:$1,0)+1,FALSE)</f>
        <v>0</v>
      </c>
      <c r="AB315" s="7" t="s">
        <v>56</v>
      </c>
      <c r="AC315" s="7">
        <v>26</v>
      </c>
      <c r="AD315" s="7">
        <v>6</v>
      </c>
      <c r="AE315" s="7" t="s">
        <v>522</v>
      </c>
      <c r="AF315" s="7">
        <v>13</v>
      </c>
      <c r="AG315" s="7">
        <v>0</v>
      </c>
      <c r="AH315" s="7">
        <v>0</v>
      </c>
      <c r="AI315" s="7">
        <v>-1</v>
      </c>
      <c r="AJ315" s="7">
        <v>-1</v>
      </c>
      <c r="AK315" s="7" t="s">
        <v>1064</v>
      </c>
      <c r="AL315" s="12" t="s">
        <v>1695</v>
      </c>
      <c r="AM315" s="12" t="s">
        <v>2072</v>
      </c>
    </row>
    <row r="316" spans="1:39" ht="21" customHeight="1" x14ac:dyDescent="0.15">
      <c r="A316" s="42" t="str">
        <f t="shared" si="11"/>
        <v>13001_5</v>
      </c>
      <c r="B316" s="23">
        <v>3</v>
      </c>
      <c r="C316" s="10">
        <v>13001</v>
      </c>
      <c r="D316" s="47" t="str">
        <f ca="1">VLOOKUP($C316,OFFSET(quests!$A$1,0,0,COUNTA(quests!$A:$A),MATCH(D$1,quests!$1:$1,0)-MATCH($C$2,quests!$1:$1,0)+1),MATCH(D$1,quests!$1:$1,0)-MATCH($C$2,quests!$1:$1,0)+1,FALSE)</f>
        <v>チャレンジタワー(ソロ専用)</v>
      </c>
      <c r="E316" s="48" t="str">
        <f ca="1">VLOOKUP($C316,OFFSET(quests!$A$1,0,0,COUNTA(quests!$A:$A),MATCH(E$2,quests!$1:$1,0)-MATCH($C$2,quests!$1:$1,0)+1),MATCH(E$2,quests!$1:$1,0)-MATCH($C$2,quests!$1:$1,0)+1,FALSE)</f>
        <v>試練の塔</v>
      </c>
      <c r="F316" s="7">
        <v>5</v>
      </c>
      <c r="G316" s="7" t="s">
        <v>570</v>
      </c>
      <c r="H316" s="12" t="s">
        <v>257</v>
      </c>
      <c r="I316" s="12" t="s">
        <v>236</v>
      </c>
      <c r="J316" s="12">
        <v>333</v>
      </c>
      <c r="K316" s="188">
        <v>7</v>
      </c>
      <c r="L316" s="188">
        <v>280</v>
      </c>
      <c r="M316" s="167">
        <v>1</v>
      </c>
      <c r="N316" s="167">
        <v>1</v>
      </c>
      <c r="O316" s="167">
        <v>1</v>
      </c>
      <c r="P316" s="167">
        <v>1</v>
      </c>
      <c r="Q316" s="167">
        <v>1</v>
      </c>
      <c r="R316" s="167">
        <v>3</v>
      </c>
      <c r="S316" s="167" t="s">
        <v>273</v>
      </c>
      <c r="T316" s="191" t="s">
        <v>277</v>
      </c>
      <c r="U316" s="7">
        <v>13001</v>
      </c>
      <c r="V316" s="7">
        <v>4</v>
      </c>
      <c r="W316" s="47" t="str">
        <f t="shared" ca="1" si="10"/>
        <v>チャレンジタワー 4F</v>
      </c>
      <c r="X316" s="47">
        <f ca="1">VLOOKUP($C316,OFFSET(quests!$A$1,0,0,COUNTA(quests!$A:$A),MATCH(X$2,quests!$1:$1,0)-MATCH($C$2,quests!$1:$1,0)+1),MATCH(X$2,quests!$1:$1,0)-MATCH($C$2,quests!$1:$1,0)+1,FALSE)</f>
        <v>0</v>
      </c>
      <c r="Y316" s="47">
        <f ca="1">VLOOKUP($C316,OFFSET(quests!$A$1,0,0,COUNTA(quests!$A:$A),MATCH(Y$2,quests!$1:$1,0)-MATCH($C$2,quests!$1:$1,0)+1),MATCH(Y$2,quests!$1:$1,0)-MATCH($C$2,quests!$1:$1,0)+1,FALSE)</f>
        <v>0</v>
      </c>
      <c r="Z316" s="47">
        <f ca="1">VLOOKUP($C316,OFFSET(quests!$A$1,0,0,COUNTA(quests!$A:$A),MATCH(Z$2,quests!$1:$1,0)-MATCH($C$2,quests!$1:$1,0)+1),MATCH(Z$2,quests!$1:$1,0)-MATCH($C$2,quests!$1:$1,0)+1,FALSE)</f>
        <v>0</v>
      </c>
      <c r="AA316" s="47">
        <f ca="1">VLOOKUP($C316,OFFSET(quests!$A$1,0,0,COUNTA(quests!$A:$A),MATCH(AA$2,quests!$1:$1,0)-MATCH($C$2,quests!$1:$1,0)+1),MATCH(AA$2,quests!$1:$1,0)-MATCH($C$2,quests!$1:$1,0)+1,FALSE)</f>
        <v>0</v>
      </c>
      <c r="AB316" s="7" t="s">
        <v>56</v>
      </c>
      <c r="AC316" s="7">
        <v>26</v>
      </c>
      <c r="AD316" s="7">
        <v>6</v>
      </c>
      <c r="AE316" s="7" t="s">
        <v>522</v>
      </c>
      <c r="AF316" s="7">
        <v>13</v>
      </c>
      <c r="AG316" s="7">
        <v>0</v>
      </c>
      <c r="AH316" s="7">
        <v>0</v>
      </c>
      <c r="AI316" s="7">
        <v>-1</v>
      </c>
      <c r="AJ316" s="7">
        <v>-1</v>
      </c>
      <c r="AK316" s="7" t="s">
        <v>1064</v>
      </c>
      <c r="AL316" s="12" t="s">
        <v>1695</v>
      </c>
      <c r="AM316" s="12" t="s">
        <v>2072</v>
      </c>
    </row>
    <row r="317" spans="1:39" ht="21" customHeight="1" x14ac:dyDescent="0.15">
      <c r="A317" s="42" t="str">
        <f t="shared" si="11"/>
        <v>13001_6</v>
      </c>
      <c r="B317" s="23">
        <v>3</v>
      </c>
      <c r="C317" s="10">
        <v>13001</v>
      </c>
      <c r="D317" s="47" t="str">
        <f ca="1">VLOOKUP($C317,OFFSET(quests!$A$1,0,0,COUNTA(quests!$A:$A),MATCH(D$1,quests!$1:$1,0)-MATCH($C$2,quests!$1:$1,0)+1),MATCH(D$1,quests!$1:$1,0)-MATCH($C$2,quests!$1:$1,0)+1,FALSE)</f>
        <v>チャレンジタワー(ソロ専用)</v>
      </c>
      <c r="E317" s="48" t="str">
        <f ca="1">VLOOKUP($C317,OFFSET(quests!$A$1,0,0,COUNTA(quests!$A:$A),MATCH(E$2,quests!$1:$1,0)-MATCH($C$2,quests!$1:$1,0)+1),MATCH(E$2,quests!$1:$1,0)-MATCH($C$2,quests!$1:$1,0)+1,FALSE)</f>
        <v>試練の塔</v>
      </c>
      <c r="F317" s="7">
        <v>6</v>
      </c>
      <c r="G317" s="7" t="s">
        <v>570</v>
      </c>
      <c r="H317" s="12" t="s">
        <v>258</v>
      </c>
      <c r="I317" s="12" t="s">
        <v>236</v>
      </c>
      <c r="J317" s="12">
        <v>346</v>
      </c>
      <c r="K317" s="188">
        <v>8</v>
      </c>
      <c r="L317" s="188">
        <v>474</v>
      </c>
      <c r="M317" s="167">
        <v>1</v>
      </c>
      <c r="N317" s="167">
        <v>1</v>
      </c>
      <c r="O317" s="167">
        <v>1</v>
      </c>
      <c r="P317" s="167">
        <v>1</v>
      </c>
      <c r="Q317" s="167">
        <v>1</v>
      </c>
      <c r="R317" s="167">
        <v>3</v>
      </c>
      <c r="S317" s="167" t="s">
        <v>273</v>
      </c>
      <c r="T317" s="191" t="s">
        <v>389</v>
      </c>
      <c r="U317" s="7">
        <v>13001</v>
      </c>
      <c r="V317" s="7">
        <v>5</v>
      </c>
      <c r="W317" s="47" t="str">
        <f t="shared" ca="1" si="10"/>
        <v>チャレンジタワー 5F</v>
      </c>
      <c r="X317" s="47">
        <f ca="1">VLOOKUP($C317,OFFSET(quests!$A$1,0,0,COUNTA(quests!$A:$A),MATCH(X$2,quests!$1:$1,0)-MATCH($C$2,quests!$1:$1,0)+1),MATCH(X$2,quests!$1:$1,0)-MATCH($C$2,quests!$1:$1,0)+1,FALSE)</f>
        <v>0</v>
      </c>
      <c r="Y317" s="47">
        <f ca="1">VLOOKUP($C317,OFFSET(quests!$A$1,0,0,COUNTA(quests!$A:$A),MATCH(Y$2,quests!$1:$1,0)-MATCH($C$2,quests!$1:$1,0)+1),MATCH(Y$2,quests!$1:$1,0)-MATCH($C$2,quests!$1:$1,0)+1,FALSE)</f>
        <v>0</v>
      </c>
      <c r="Z317" s="47">
        <f ca="1">VLOOKUP($C317,OFFSET(quests!$A$1,0,0,COUNTA(quests!$A:$A),MATCH(Z$2,quests!$1:$1,0)-MATCH($C$2,quests!$1:$1,0)+1),MATCH(Z$2,quests!$1:$1,0)-MATCH($C$2,quests!$1:$1,0)+1,FALSE)</f>
        <v>0</v>
      </c>
      <c r="AA317" s="47">
        <f ca="1">VLOOKUP($C317,OFFSET(quests!$A$1,0,0,COUNTA(quests!$A:$A),MATCH(AA$2,quests!$1:$1,0)-MATCH($C$2,quests!$1:$1,0)+1),MATCH(AA$2,quests!$1:$1,0)-MATCH($C$2,quests!$1:$1,0)+1,FALSE)</f>
        <v>0</v>
      </c>
      <c r="AB317" s="7" t="s">
        <v>56</v>
      </c>
      <c r="AC317" s="7">
        <v>26</v>
      </c>
      <c r="AD317" s="7">
        <v>6</v>
      </c>
      <c r="AE317" s="7" t="s">
        <v>522</v>
      </c>
      <c r="AF317" s="7">
        <v>13</v>
      </c>
      <c r="AG317" s="7">
        <v>0</v>
      </c>
      <c r="AH317" s="7">
        <v>0</v>
      </c>
      <c r="AI317" s="7">
        <v>-1</v>
      </c>
      <c r="AJ317" s="7">
        <v>-1</v>
      </c>
      <c r="AK317" s="7" t="s">
        <v>1064</v>
      </c>
      <c r="AL317" s="12" t="s">
        <v>1695</v>
      </c>
      <c r="AM317" s="12" t="s">
        <v>2072</v>
      </c>
    </row>
    <row r="318" spans="1:39" ht="21" customHeight="1" x14ac:dyDescent="0.15">
      <c r="A318" s="42" t="str">
        <f t="shared" si="11"/>
        <v>13001_7</v>
      </c>
      <c r="B318" s="23">
        <v>3</v>
      </c>
      <c r="C318" s="10">
        <v>13001</v>
      </c>
      <c r="D318" s="47" t="str">
        <f ca="1">VLOOKUP($C318,OFFSET(quests!$A$1,0,0,COUNTA(quests!$A:$A),MATCH(D$1,quests!$1:$1,0)-MATCH($C$2,quests!$1:$1,0)+1),MATCH(D$1,quests!$1:$1,0)-MATCH($C$2,quests!$1:$1,0)+1,FALSE)</f>
        <v>チャレンジタワー(ソロ専用)</v>
      </c>
      <c r="E318" s="48" t="str">
        <f ca="1">VLOOKUP($C318,OFFSET(quests!$A$1,0,0,COUNTA(quests!$A:$A),MATCH(E$2,quests!$1:$1,0)-MATCH($C$2,quests!$1:$1,0)+1),MATCH(E$2,quests!$1:$1,0)-MATCH($C$2,quests!$1:$1,0)+1,FALSE)</f>
        <v>試練の塔</v>
      </c>
      <c r="F318" s="7">
        <v>7</v>
      </c>
      <c r="G318" s="7" t="s">
        <v>570</v>
      </c>
      <c r="H318" s="12" t="s">
        <v>259</v>
      </c>
      <c r="I318" s="12" t="s">
        <v>236</v>
      </c>
      <c r="J318" s="12">
        <v>342</v>
      </c>
      <c r="K318" s="188">
        <v>8</v>
      </c>
      <c r="L318" s="188">
        <v>486</v>
      </c>
      <c r="M318" s="167">
        <v>1</v>
      </c>
      <c r="N318" s="167">
        <v>1</v>
      </c>
      <c r="O318" s="167">
        <v>1</v>
      </c>
      <c r="P318" s="167">
        <v>1</v>
      </c>
      <c r="Q318" s="167">
        <v>1</v>
      </c>
      <c r="R318" s="167">
        <v>3</v>
      </c>
      <c r="S318" s="167" t="s">
        <v>273</v>
      </c>
      <c r="T318" s="191" t="s">
        <v>390</v>
      </c>
      <c r="U318" s="7">
        <v>13001</v>
      </c>
      <c r="V318" s="7">
        <v>6</v>
      </c>
      <c r="W318" s="47" t="str">
        <f t="shared" ca="1" si="10"/>
        <v>チャレンジタワー 6F</v>
      </c>
      <c r="X318" s="47">
        <f ca="1">VLOOKUP($C318,OFFSET(quests!$A$1,0,0,COUNTA(quests!$A:$A),MATCH(X$2,quests!$1:$1,0)-MATCH($C$2,quests!$1:$1,0)+1),MATCH(X$2,quests!$1:$1,0)-MATCH($C$2,quests!$1:$1,0)+1,FALSE)</f>
        <v>0</v>
      </c>
      <c r="Y318" s="47">
        <f ca="1">VLOOKUP($C318,OFFSET(quests!$A$1,0,0,COUNTA(quests!$A:$A),MATCH(Y$2,quests!$1:$1,0)-MATCH($C$2,quests!$1:$1,0)+1),MATCH(Y$2,quests!$1:$1,0)-MATCH($C$2,quests!$1:$1,0)+1,FALSE)</f>
        <v>0</v>
      </c>
      <c r="Z318" s="47">
        <f ca="1">VLOOKUP($C318,OFFSET(quests!$A$1,0,0,COUNTA(quests!$A:$A),MATCH(Z$2,quests!$1:$1,0)-MATCH($C$2,quests!$1:$1,0)+1),MATCH(Z$2,quests!$1:$1,0)-MATCH($C$2,quests!$1:$1,0)+1,FALSE)</f>
        <v>0</v>
      </c>
      <c r="AA318" s="47">
        <f ca="1">VLOOKUP($C318,OFFSET(quests!$A$1,0,0,COUNTA(quests!$A:$A),MATCH(AA$2,quests!$1:$1,0)-MATCH($C$2,quests!$1:$1,0)+1),MATCH(AA$2,quests!$1:$1,0)-MATCH($C$2,quests!$1:$1,0)+1,FALSE)</f>
        <v>0</v>
      </c>
      <c r="AB318" s="7" t="s">
        <v>56</v>
      </c>
      <c r="AC318" s="7">
        <v>26</v>
      </c>
      <c r="AD318" s="7">
        <v>6</v>
      </c>
      <c r="AE318" s="7" t="s">
        <v>522</v>
      </c>
      <c r="AF318" s="7">
        <v>13</v>
      </c>
      <c r="AG318" s="7">
        <v>0</v>
      </c>
      <c r="AH318" s="7">
        <v>0</v>
      </c>
      <c r="AI318" s="7">
        <v>-1</v>
      </c>
      <c r="AJ318" s="7">
        <v>-1</v>
      </c>
      <c r="AK318" s="7" t="s">
        <v>1064</v>
      </c>
      <c r="AL318" s="12" t="s">
        <v>1695</v>
      </c>
      <c r="AM318" s="12" t="s">
        <v>2072</v>
      </c>
    </row>
    <row r="319" spans="1:39" ht="21" customHeight="1" x14ac:dyDescent="0.15">
      <c r="A319" s="42" t="str">
        <f t="shared" si="11"/>
        <v>13001_8</v>
      </c>
      <c r="B319" s="23">
        <v>3</v>
      </c>
      <c r="C319" s="10">
        <v>13001</v>
      </c>
      <c r="D319" s="47" t="str">
        <f ca="1">VLOOKUP($C319,OFFSET(quests!$A$1,0,0,COUNTA(quests!$A:$A),MATCH(D$1,quests!$1:$1,0)-MATCH($C$2,quests!$1:$1,0)+1),MATCH(D$1,quests!$1:$1,0)-MATCH($C$2,quests!$1:$1,0)+1,FALSE)</f>
        <v>チャレンジタワー(ソロ専用)</v>
      </c>
      <c r="E319" s="48" t="str">
        <f ca="1">VLOOKUP($C319,OFFSET(quests!$A$1,0,0,COUNTA(quests!$A:$A),MATCH(E$2,quests!$1:$1,0)-MATCH($C$2,quests!$1:$1,0)+1),MATCH(E$2,quests!$1:$1,0)-MATCH($C$2,quests!$1:$1,0)+1,FALSE)</f>
        <v>試練の塔</v>
      </c>
      <c r="F319" s="7">
        <v>8</v>
      </c>
      <c r="G319" s="7" t="s">
        <v>570</v>
      </c>
      <c r="H319" s="12" t="s">
        <v>260</v>
      </c>
      <c r="I319" s="12" t="s">
        <v>236</v>
      </c>
      <c r="J319" s="12">
        <v>334</v>
      </c>
      <c r="K319" s="188">
        <v>10</v>
      </c>
      <c r="L319" s="189">
        <v>1006</v>
      </c>
      <c r="M319" s="167">
        <v>1</v>
      </c>
      <c r="N319" s="167">
        <v>1</v>
      </c>
      <c r="O319" s="167">
        <v>1</v>
      </c>
      <c r="P319" s="167">
        <v>1</v>
      </c>
      <c r="Q319" s="167">
        <v>1</v>
      </c>
      <c r="R319" s="167">
        <v>3</v>
      </c>
      <c r="S319" s="167" t="s">
        <v>273</v>
      </c>
      <c r="T319" s="191" t="s">
        <v>391</v>
      </c>
      <c r="U319" s="7">
        <v>13001</v>
      </c>
      <c r="V319" s="7">
        <v>7</v>
      </c>
      <c r="W319" s="47" t="str">
        <f t="shared" ca="1" si="10"/>
        <v>チャレンジタワー 7F</v>
      </c>
      <c r="X319" s="47">
        <f ca="1">VLOOKUP($C319,OFFSET(quests!$A$1,0,0,COUNTA(quests!$A:$A),MATCH(X$2,quests!$1:$1,0)-MATCH($C$2,quests!$1:$1,0)+1),MATCH(X$2,quests!$1:$1,0)-MATCH($C$2,quests!$1:$1,0)+1,FALSE)</f>
        <v>0</v>
      </c>
      <c r="Y319" s="47">
        <f ca="1">VLOOKUP($C319,OFFSET(quests!$A$1,0,0,COUNTA(quests!$A:$A),MATCH(Y$2,quests!$1:$1,0)-MATCH($C$2,quests!$1:$1,0)+1),MATCH(Y$2,quests!$1:$1,0)-MATCH($C$2,quests!$1:$1,0)+1,FALSE)</f>
        <v>0</v>
      </c>
      <c r="Z319" s="47">
        <f ca="1">VLOOKUP($C319,OFFSET(quests!$A$1,0,0,COUNTA(quests!$A:$A),MATCH(Z$2,quests!$1:$1,0)-MATCH($C$2,quests!$1:$1,0)+1),MATCH(Z$2,quests!$1:$1,0)-MATCH($C$2,quests!$1:$1,0)+1,FALSE)</f>
        <v>0</v>
      </c>
      <c r="AA319" s="47">
        <f ca="1">VLOOKUP($C319,OFFSET(quests!$A$1,0,0,COUNTA(quests!$A:$A),MATCH(AA$2,quests!$1:$1,0)-MATCH($C$2,quests!$1:$1,0)+1),MATCH(AA$2,quests!$1:$1,0)-MATCH($C$2,quests!$1:$1,0)+1,FALSE)</f>
        <v>0</v>
      </c>
      <c r="AB319" s="7" t="s">
        <v>56</v>
      </c>
      <c r="AC319" s="7">
        <v>26</v>
      </c>
      <c r="AD319" s="7">
        <v>6</v>
      </c>
      <c r="AE319" s="7" t="s">
        <v>522</v>
      </c>
      <c r="AF319" s="7">
        <v>13</v>
      </c>
      <c r="AG319" s="7">
        <v>0</v>
      </c>
      <c r="AH319" s="7">
        <v>0</v>
      </c>
      <c r="AI319" s="7">
        <v>-1</v>
      </c>
      <c r="AJ319" s="7">
        <v>-1</v>
      </c>
      <c r="AK319" s="7" t="s">
        <v>1064</v>
      </c>
      <c r="AL319" s="12" t="s">
        <v>1695</v>
      </c>
      <c r="AM319" s="12" t="s">
        <v>2072</v>
      </c>
    </row>
    <row r="320" spans="1:39" ht="21" customHeight="1" x14ac:dyDescent="0.15">
      <c r="A320" s="42" t="str">
        <f t="shared" si="11"/>
        <v>13001_9</v>
      </c>
      <c r="B320" s="23">
        <v>3</v>
      </c>
      <c r="C320" s="10">
        <v>13001</v>
      </c>
      <c r="D320" s="47" t="str">
        <f ca="1">VLOOKUP($C320,OFFSET(quests!$A$1,0,0,COUNTA(quests!$A:$A),MATCH(D$1,quests!$1:$1,0)-MATCH($C$2,quests!$1:$1,0)+1),MATCH(D$1,quests!$1:$1,0)-MATCH($C$2,quests!$1:$1,0)+1,FALSE)</f>
        <v>チャレンジタワー(ソロ専用)</v>
      </c>
      <c r="E320" s="48" t="str">
        <f ca="1">VLOOKUP($C320,OFFSET(quests!$A$1,0,0,COUNTA(quests!$A:$A),MATCH(E$2,quests!$1:$1,0)-MATCH($C$2,quests!$1:$1,0)+1),MATCH(E$2,quests!$1:$1,0)-MATCH($C$2,quests!$1:$1,0)+1,FALSE)</f>
        <v>試練の塔</v>
      </c>
      <c r="F320" s="7">
        <v>9</v>
      </c>
      <c r="G320" s="7" t="s">
        <v>570</v>
      </c>
      <c r="H320" s="12" t="s">
        <v>261</v>
      </c>
      <c r="I320" s="12" t="s">
        <v>236</v>
      </c>
      <c r="J320" s="12">
        <v>338</v>
      </c>
      <c r="K320" s="188">
        <v>10</v>
      </c>
      <c r="L320" s="188">
        <v>702</v>
      </c>
      <c r="M320" s="167">
        <v>1</v>
      </c>
      <c r="N320" s="167">
        <v>1</v>
      </c>
      <c r="O320" s="167">
        <v>1</v>
      </c>
      <c r="P320" s="167">
        <v>1</v>
      </c>
      <c r="Q320" s="167">
        <v>1</v>
      </c>
      <c r="R320" s="167">
        <v>3</v>
      </c>
      <c r="S320" s="167" t="s">
        <v>273</v>
      </c>
      <c r="T320" s="191" t="s">
        <v>392</v>
      </c>
      <c r="U320" s="7">
        <v>13001</v>
      </c>
      <c r="V320" s="7">
        <v>8</v>
      </c>
      <c r="W320" s="47" t="str">
        <f t="shared" ca="1" si="10"/>
        <v>チャレンジタワー 8F</v>
      </c>
      <c r="X320" s="47">
        <f ca="1">VLOOKUP($C320,OFFSET(quests!$A$1,0,0,COUNTA(quests!$A:$A),MATCH(X$2,quests!$1:$1,0)-MATCH($C$2,quests!$1:$1,0)+1),MATCH(X$2,quests!$1:$1,0)-MATCH($C$2,quests!$1:$1,0)+1,FALSE)</f>
        <v>0</v>
      </c>
      <c r="Y320" s="47">
        <f ca="1">VLOOKUP($C320,OFFSET(quests!$A$1,0,0,COUNTA(quests!$A:$A),MATCH(Y$2,quests!$1:$1,0)-MATCH($C$2,quests!$1:$1,0)+1),MATCH(Y$2,quests!$1:$1,0)-MATCH($C$2,quests!$1:$1,0)+1,FALSE)</f>
        <v>0</v>
      </c>
      <c r="Z320" s="47">
        <f ca="1">VLOOKUP($C320,OFFSET(quests!$A$1,0,0,COUNTA(quests!$A:$A),MATCH(Z$2,quests!$1:$1,0)-MATCH($C$2,quests!$1:$1,0)+1),MATCH(Z$2,quests!$1:$1,0)-MATCH($C$2,quests!$1:$1,0)+1,FALSE)</f>
        <v>0</v>
      </c>
      <c r="AA320" s="47">
        <f ca="1">VLOOKUP($C320,OFFSET(quests!$A$1,0,0,COUNTA(quests!$A:$A),MATCH(AA$2,quests!$1:$1,0)-MATCH($C$2,quests!$1:$1,0)+1),MATCH(AA$2,quests!$1:$1,0)-MATCH($C$2,quests!$1:$1,0)+1,FALSE)</f>
        <v>0</v>
      </c>
      <c r="AB320" s="7" t="s">
        <v>56</v>
      </c>
      <c r="AC320" s="7">
        <v>26</v>
      </c>
      <c r="AD320" s="7">
        <v>6</v>
      </c>
      <c r="AE320" s="7" t="s">
        <v>522</v>
      </c>
      <c r="AF320" s="7">
        <v>13</v>
      </c>
      <c r="AG320" s="7">
        <v>0</v>
      </c>
      <c r="AH320" s="7">
        <v>0</v>
      </c>
      <c r="AI320" s="7">
        <v>-1</v>
      </c>
      <c r="AJ320" s="7">
        <v>-1</v>
      </c>
      <c r="AK320" s="7" t="s">
        <v>1064</v>
      </c>
      <c r="AL320" s="12" t="s">
        <v>1695</v>
      </c>
      <c r="AM320" s="12" t="s">
        <v>2072</v>
      </c>
    </row>
    <row r="321" spans="1:39" ht="21" customHeight="1" x14ac:dyDescent="0.15">
      <c r="A321" s="42" t="str">
        <f t="shared" si="11"/>
        <v>13001_10</v>
      </c>
      <c r="B321" s="23">
        <v>3</v>
      </c>
      <c r="C321" s="10">
        <v>13001</v>
      </c>
      <c r="D321" s="47" t="str">
        <f ca="1">VLOOKUP($C321,OFFSET(quests!$A$1,0,0,COUNTA(quests!$A:$A),MATCH(D$1,quests!$1:$1,0)-MATCH($C$2,quests!$1:$1,0)+1),MATCH(D$1,quests!$1:$1,0)-MATCH($C$2,quests!$1:$1,0)+1,FALSE)</f>
        <v>チャレンジタワー(ソロ専用)</v>
      </c>
      <c r="E321" s="48" t="str">
        <f ca="1">VLOOKUP($C321,OFFSET(quests!$A$1,0,0,COUNTA(quests!$A:$A),MATCH(E$2,quests!$1:$1,0)-MATCH($C$2,quests!$1:$1,0)+1),MATCH(E$2,quests!$1:$1,0)-MATCH($C$2,quests!$1:$1,0)+1,FALSE)</f>
        <v>試練の塔</v>
      </c>
      <c r="F321" s="7">
        <v>10</v>
      </c>
      <c r="G321" s="7" t="s">
        <v>570</v>
      </c>
      <c r="H321" s="12" t="s">
        <v>262</v>
      </c>
      <c r="I321" s="12" t="s">
        <v>236</v>
      </c>
      <c r="J321" s="12">
        <v>346</v>
      </c>
      <c r="K321" s="188">
        <v>11</v>
      </c>
      <c r="L321" s="188">
        <v>788</v>
      </c>
      <c r="M321" s="167">
        <v>1</v>
      </c>
      <c r="N321" s="167">
        <v>1</v>
      </c>
      <c r="O321" s="167">
        <v>1</v>
      </c>
      <c r="P321" s="167">
        <v>1</v>
      </c>
      <c r="Q321" s="167">
        <v>1</v>
      </c>
      <c r="R321" s="167">
        <v>3</v>
      </c>
      <c r="S321" s="167" t="s">
        <v>273</v>
      </c>
      <c r="T321" s="191" t="s">
        <v>393</v>
      </c>
      <c r="U321" s="7">
        <v>13001</v>
      </c>
      <c r="V321" s="7">
        <v>9</v>
      </c>
      <c r="W321" s="47" t="str">
        <f t="shared" ca="1" si="10"/>
        <v>チャレンジタワー 9F</v>
      </c>
      <c r="X321" s="47">
        <f ca="1">VLOOKUP($C321,OFFSET(quests!$A$1,0,0,COUNTA(quests!$A:$A),MATCH(X$2,quests!$1:$1,0)-MATCH($C$2,quests!$1:$1,0)+1),MATCH(X$2,quests!$1:$1,0)-MATCH($C$2,quests!$1:$1,0)+1,FALSE)</f>
        <v>0</v>
      </c>
      <c r="Y321" s="47">
        <f ca="1">VLOOKUP($C321,OFFSET(quests!$A$1,0,0,COUNTA(quests!$A:$A),MATCH(Y$2,quests!$1:$1,0)-MATCH($C$2,quests!$1:$1,0)+1),MATCH(Y$2,quests!$1:$1,0)-MATCH($C$2,quests!$1:$1,0)+1,FALSE)</f>
        <v>0</v>
      </c>
      <c r="Z321" s="47">
        <f ca="1">VLOOKUP($C321,OFFSET(quests!$A$1,0,0,COUNTA(quests!$A:$A),MATCH(Z$2,quests!$1:$1,0)-MATCH($C$2,quests!$1:$1,0)+1),MATCH(Z$2,quests!$1:$1,0)-MATCH($C$2,quests!$1:$1,0)+1,FALSE)</f>
        <v>0</v>
      </c>
      <c r="AA321" s="47">
        <f ca="1">VLOOKUP($C321,OFFSET(quests!$A$1,0,0,COUNTA(quests!$A:$A),MATCH(AA$2,quests!$1:$1,0)-MATCH($C$2,quests!$1:$1,0)+1),MATCH(AA$2,quests!$1:$1,0)-MATCH($C$2,quests!$1:$1,0)+1,FALSE)</f>
        <v>0</v>
      </c>
      <c r="AB321" s="7" t="s">
        <v>56</v>
      </c>
      <c r="AC321" s="7">
        <v>26</v>
      </c>
      <c r="AD321" s="7">
        <v>6</v>
      </c>
      <c r="AE321" s="7" t="s">
        <v>522</v>
      </c>
      <c r="AF321" s="7">
        <v>13</v>
      </c>
      <c r="AG321" s="7">
        <v>0</v>
      </c>
      <c r="AH321" s="7">
        <v>0</v>
      </c>
      <c r="AI321" s="7">
        <v>-1</v>
      </c>
      <c r="AJ321" s="7">
        <v>-1</v>
      </c>
      <c r="AK321" s="7" t="s">
        <v>1064</v>
      </c>
      <c r="AL321" s="12" t="s">
        <v>1695</v>
      </c>
      <c r="AM321" s="12" t="s">
        <v>2072</v>
      </c>
    </row>
    <row r="322" spans="1:39" ht="21" customHeight="1" x14ac:dyDescent="0.15">
      <c r="A322" s="42" t="str">
        <f t="shared" si="11"/>
        <v>13001_11</v>
      </c>
      <c r="B322" s="23">
        <v>3</v>
      </c>
      <c r="C322" s="10">
        <v>13001</v>
      </c>
      <c r="D322" s="47" t="str">
        <f ca="1">VLOOKUP($C322,OFFSET(quests!$A$1,0,0,COUNTA(quests!$A:$A),MATCH(D$1,quests!$1:$1,0)-MATCH($C$2,quests!$1:$1,0)+1),MATCH(D$1,quests!$1:$1,0)-MATCH($C$2,quests!$1:$1,0)+1,FALSE)</f>
        <v>チャレンジタワー(ソロ専用)</v>
      </c>
      <c r="E322" s="48" t="str">
        <f ca="1">VLOOKUP($C322,OFFSET(quests!$A$1,0,0,COUNTA(quests!$A:$A),MATCH(E$2,quests!$1:$1,0)-MATCH($C$2,quests!$1:$1,0)+1),MATCH(E$2,quests!$1:$1,0)-MATCH($C$2,quests!$1:$1,0)+1,FALSE)</f>
        <v>試練の塔</v>
      </c>
      <c r="F322" s="7">
        <v>11</v>
      </c>
      <c r="G322" s="7" t="s">
        <v>570</v>
      </c>
      <c r="H322" s="12" t="s">
        <v>263</v>
      </c>
      <c r="I322" s="12" t="s">
        <v>236</v>
      </c>
      <c r="J322" s="12">
        <v>346</v>
      </c>
      <c r="K322" s="188">
        <v>12</v>
      </c>
      <c r="L322" s="188">
        <v>936</v>
      </c>
      <c r="M322" s="167">
        <v>1</v>
      </c>
      <c r="N322" s="167">
        <v>1</v>
      </c>
      <c r="O322" s="167">
        <v>1</v>
      </c>
      <c r="P322" s="167">
        <v>1</v>
      </c>
      <c r="Q322" s="167">
        <v>1</v>
      </c>
      <c r="R322" s="167">
        <v>3</v>
      </c>
      <c r="S322" s="167" t="s">
        <v>273</v>
      </c>
      <c r="T322" s="191" t="s">
        <v>394</v>
      </c>
      <c r="U322" s="7">
        <v>13001</v>
      </c>
      <c r="V322" s="7">
        <v>10</v>
      </c>
      <c r="W322" s="47" t="str">
        <f t="shared" ca="1" si="10"/>
        <v>チャレンジタワー 10F</v>
      </c>
      <c r="X322" s="47">
        <f ca="1">VLOOKUP($C322,OFFSET(quests!$A$1,0,0,COUNTA(quests!$A:$A),MATCH(X$2,quests!$1:$1,0)-MATCH($C$2,quests!$1:$1,0)+1),MATCH(X$2,quests!$1:$1,0)-MATCH($C$2,quests!$1:$1,0)+1,FALSE)</f>
        <v>0</v>
      </c>
      <c r="Y322" s="47">
        <f ca="1">VLOOKUP($C322,OFFSET(quests!$A$1,0,0,COUNTA(quests!$A:$A),MATCH(Y$2,quests!$1:$1,0)-MATCH($C$2,quests!$1:$1,0)+1),MATCH(Y$2,quests!$1:$1,0)-MATCH($C$2,quests!$1:$1,0)+1,FALSE)</f>
        <v>0</v>
      </c>
      <c r="Z322" s="47">
        <f ca="1">VLOOKUP($C322,OFFSET(quests!$A$1,0,0,COUNTA(quests!$A:$A),MATCH(Z$2,quests!$1:$1,0)-MATCH($C$2,quests!$1:$1,0)+1),MATCH(Z$2,quests!$1:$1,0)-MATCH($C$2,quests!$1:$1,0)+1,FALSE)</f>
        <v>0</v>
      </c>
      <c r="AA322" s="47">
        <f ca="1">VLOOKUP($C322,OFFSET(quests!$A$1,0,0,COUNTA(quests!$A:$A),MATCH(AA$2,quests!$1:$1,0)-MATCH($C$2,quests!$1:$1,0)+1),MATCH(AA$2,quests!$1:$1,0)-MATCH($C$2,quests!$1:$1,0)+1,FALSE)</f>
        <v>0</v>
      </c>
      <c r="AB322" s="7" t="s">
        <v>56</v>
      </c>
      <c r="AC322" s="7">
        <v>26</v>
      </c>
      <c r="AD322" s="7">
        <v>6</v>
      </c>
      <c r="AE322" s="7" t="s">
        <v>522</v>
      </c>
      <c r="AF322" s="7">
        <v>13</v>
      </c>
      <c r="AG322" s="7">
        <v>0</v>
      </c>
      <c r="AH322" s="7">
        <v>0</v>
      </c>
      <c r="AI322" s="7">
        <v>-1</v>
      </c>
      <c r="AJ322" s="7">
        <v>-1</v>
      </c>
      <c r="AK322" s="7" t="s">
        <v>1064</v>
      </c>
      <c r="AL322" s="12" t="s">
        <v>1695</v>
      </c>
      <c r="AM322" s="12" t="s">
        <v>2072</v>
      </c>
    </row>
    <row r="323" spans="1:39" ht="21" customHeight="1" x14ac:dyDescent="0.15">
      <c r="A323" s="42" t="str">
        <f t="shared" si="11"/>
        <v>13001_12</v>
      </c>
      <c r="B323" s="23">
        <v>3</v>
      </c>
      <c r="C323" s="10">
        <v>13001</v>
      </c>
      <c r="D323" s="47" t="str">
        <f ca="1">VLOOKUP($C323,OFFSET(quests!$A$1,0,0,COUNTA(quests!$A:$A),MATCH(D$1,quests!$1:$1,0)-MATCH($C$2,quests!$1:$1,0)+1),MATCH(D$1,quests!$1:$1,0)-MATCH($C$2,quests!$1:$1,0)+1,FALSE)</f>
        <v>チャレンジタワー(ソロ専用)</v>
      </c>
      <c r="E323" s="48" t="str">
        <f ca="1">VLOOKUP($C323,OFFSET(quests!$A$1,0,0,COUNTA(quests!$A:$A),MATCH(E$2,quests!$1:$1,0)-MATCH($C$2,quests!$1:$1,0)+1),MATCH(E$2,quests!$1:$1,0)-MATCH($C$2,quests!$1:$1,0)+1,FALSE)</f>
        <v>試練の塔</v>
      </c>
      <c r="F323" s="7">
        <v>12</v>
      </c>
      <c r="G323" s="7" t="s">
        <v>570</v>
      </c>
      <c r="H323" s="12" t="s">
        <v>264</v>
      </c>
      <c r="I323" s="12" t="s">
        <v>236</v>
      </c>
      <c r="J323" s="12">
        <v>342</v>
      </c>
      <c r="K323" s="188">
        <v>13</v>
      </c>
      <c r="L323" s="189">
        <v>1601</v>
      </c>
      <c r="M323" s="167">
        <v>1</v>
      </c>
      <c r="N323" s="167">
        <v>1</v>
      </c>
      <c r="O323" s="167">
        <v>1</v>
      </c>
      <c r="P323" s="167">
        <v>1</v>
      </c>
      <c r="Q323" s="167">
        <v>1</v>
      </c>
      <c r="R323" s="167">
        <v>3</v>
      </c>
      <c r="S323" s="167" t="s">
        <v>273</v>
      </c>
      <c r="T323" s="191" t="s">
        <v>395</v>
      </c>
      <c r="U323" s="7">
        <v>13001</v>
      </c>
      <c r="V323" s="7">
        <v>11</v>
      </c>
      <c r="W323" s="47" t="str">
        <f t="shared" ref="W323:W386" ca="1" si="15">IF(U323="NULL","",VLOOKUP($U323&amp;"_"&amp;$V323,OFFSET($A$1,0,0,COUNTA($A:$A),MATCH(W$2,$2:$2,0)-MATCH($A$2,$2:$2,0)+1),MATCH(W$2,$2:$2,0)-MATCH($A$2,$2:$2,0)+1,FALSE))</f>
        <v>チャレンジタワー 11F</v>
      </c>
      <c r="X323" s="47">
        <f ca="1">VLOOKUP($C323,OFFSET(quests!$A$1,0,0,COUNTA(quests!$A:$A),MATCH(X$2,quests!$1:$1,0)-MATCH($C$2,quests!$1:$1,0)+1),MATCH(X$2,quests!$1:$1,0)-MATCH($C$2,quests!$1:$1,0)+1,FALSE)</f>
        <v>0</v>
      </c>
      <c r="Y323" s="47">
        <f ca="1">VLOOKUP($C323,OFFSET(quests!$A$1,0,0,COUNTA(quests!$A:$A),MATCH(Y$2,quests!$1:$1,0)-MATCH($C$2,quests!$1:$1,0)+1),MATCH(Y$2,quests!$1:$1,0)-MATCH($C$2,quests!$1:$1,0)+1,FALSE)</f>
        <v>0</v>
      </c>
      <c r="Z323" s="47">
        <f ca="1">VLOOKUP($C323,OFFSET(quests!$A$1,0,0,COUNTA(quests!$A:$A),MATCH(Z$2,quests!$1:$1,0)-MATCH($C$2,quests!$1:$1,0)+1),MATCH(Z$2,quests!$1:$1,0)-MATCH($C$2,quests!$1:$1,0)+1,FALSE)</f>
        <v>0</v>
      </c>
      <c r="AA323" s="47">
        <f ca="1">VLOOKUP($C323,OFFSET(quests!$A$1,0,0,COUNTA(quests!$A:$A),MATCH(AA$2,quests!$1:$1,0)-MATCH($C$2,quests!$1:$1,0)+1),MATCH(AA$2,quests!$1:$1,0)-MATCH($C$2,quests!$1:$1,0)+1,FALSE)</f>
        <v>0</v>
      </c>
      <c r="AB323" s="7" t="s">
        <v>56</v>
      </c>
      <c r="AC323" s="7">
        <v>26</v>
      </c>
      <c r="AD323" s="7">
        <v>6</v>
      </c>
      <c r="AE323" s="7" t="s">
        <v>522</v>
      </c>
      <c r="AF323" s="7">
        <v>13</v>
      </c>
      <c r="AG323" s="7">
        <v>0</v>
      </c>
      <c r="AH323" s="7">
        <v>0</v>
      </c>
      <c r="AI323" s="7">
        <v>-1</v>
      </c>
      <c r="AJ323" s="7">
        <v>-1</v>
      </c>
      <c r="AK323" s="7" t="s">
        <v>1064</v>
      </c>
      <c r="AL323" s="12" t="s">
        <v>1695</v>
      </c>
      <c r="AM323" s="12" t="s">
        <v>2072</v>
      </c>
    </row>
    <row r="324" spans="1:39" ht="21" customHeight="1" x14ac:dyDescent="0.15">
      <c r="A324" s="42" t="str">
        <f t="shared" si="11"/>
        <v>13001_13</v>
      </c>
      <c r="B324" s="23">
        <v>3</v>
      </c>
      <c r="C324" s="10">
        <v>13001</v>
      </c>
      <c r="D324" s="47" t="str">
        <f ca="1">VLOOKUP($C324,OFFSET(quests!$A$1,0,0,COUNTA(quests!$A:$A),MATCH(D$1,quests!$1:$1,0)-MATCH($C$2,quests!$1:$1,0)+1),MATCH(D$1,quests!$1:$1,0)-MATCH($C$2,quests!$1:$1,0)+1,FALSE)</f>
        <v>チャレンジタワー(ソロ専用)</v>
      </c>
      <c r="E324" s="48" t="str">
        <f ca="1">VLOOKUP($C324,OFFSET(quests!$A$1,0,0,COUNTA(quests!$A:$A),MATCH(E$2,quests!$1:$1,0)-MATCH($C$2,quests!$1:$1,0)+1),MATCH(E$2,quests!$1:$1,0)-MATCH($C$2,quests!$1:$1,0)+1,FALSE)</f>
        <v>試練の塔</v>
      </c>
      <c r="F324" s="7">
        <v>13</v>
      </c>
      <c r="G324" s="7" t="s">
        <v>570</v>
      </c>
      <c r="H324" s="12" t="s">
        <v>265</v>
      </c>
      <c r="I324" s="12" t="s">
        <v>236</v>
      </c>
      <c r="J324" s="12">
        <v>338</v>
      </c>
      <c r="K324" s="188">
        <v>14</v>
      </c>
      <c r="L324" s="188">
        <v>945</v>
      </c>
      <c r="M324" s="167">
        <v>1</v>
      </c>
      <c r="N324" s="167">
        <v>1</v>
      </c>
      <c r="O324" s="167">
        <v>1</v>
      </c>
      <c r="P324" s="167">
        <v>1</v>
      </c>
      <c r="Q324" s="167">
        <v>1</v>
      </c>
      <c r="R324" s="167">
        <v>3</v>
      </c>
      <c r="S324" s="167" t="s">
        <v>273</v>
      </c>
      <c r="T324" s="191" t="s">
        <v>396</v>
      </c>
      <c r="U324" s="7">
        <v>13001</v>
      </c>
      <c r="V324" s="7">
        <v>12</v>
      </c>
      <c r="W324" s="47" t="str">
        <f t="shared" ca="1" si="15"/>
        <v>チャレンジタワー 12F</v>
      </c>
      <c r="X324" s="47">
        <f ca="1">VLOOKUP($C324,OFFSET(quests!$A$1,0,0,COUNTA(quests!$A:$A),MATCH(X$2,quests!$1:$1,0)-MATCH($C$2,quests!$1:$1,0)+1),MATCH(X$2,quests!$1:$1,0)-MATCH($C$2,quests!$1:$1,0)+1,FALSE)</f>
        <v>0</v>
      </c>
      <c r="Y324" s="47">
        <f ca="1">VLOOKUP($C324,OFFSET(quests!$A$1,0,0,COUNTA(quests!$A:$A),MATCH(Y$2,quests!$1:$1,0)-MATCH($C$2,quests!$1:$1,0)+1),MATCH(Y$2,quests!$1:$1,0)-MATCH($C$2,quests!$1:$1,0)+1,FALSE)</f>
        <v>0</v>
      </c>
      <c r="Z324" s="47">
        <f ca="1">VLOOKUP($C324,OFFSET(quests!$A$1,0,0,COUNTA(quests!$A:$A),MATCH(Z$2,quests!$1:$1,0)-MATCH($C$2,quests!$1:$1,0)+1),MATCH(Z$2,quests!$1:$1,0)-MATCH($C$2,quests!$1:$1,0)+1,FALSE)</f>
        <v>0</v>
      </c>
      <c r="AA324" s="47">
        <f ca="1">VLOOKUP($C324,OFFSET(quests!$A$1,0,0,COUNTA(quests!$A:$A),MATCH(AA$2,quests!$1:$1,0)-MATCH($C$2,quests!$1:$1,0)+1),MATCH(AA$2,quests!$1:$1,0)-MATCH($C$2,quests!$1:$1,0)+1,FALSE)</f>
        <v>0</v>
      </c>
      <c r="AB324" s="7" t="s">
        <v>56</v>
      </c>
      <c r="AC324" s="7">
        <v>26</v>
      </c>
      <c r="AD324" s="7">
        <v>6</v>
      </c>
      <c r="AE324" s="7" t="s">
        <v>522</v>
      </c>
      <c r="AF324" s="7">
        <v>13</v>
      </c>
      <c r="AG324" s="7">
        <v>0</v>
      </c>
      <c r="AH324" s="7">
        <v>0</v>
      </c>
      <c r="AI324" s="7">
        <v>-1</v>
      </c>
      <c r="AJ324" s="7">
        <v>-1</v>
      </c>
      <c r="AK324" s="7" t="s">
        <v>1064</v>
      </c>
      <c r="AL324" s="12" t="s">
        <v>1695</v>
      </c>
      <c r="AM324" s="12" t="s">
        <v>2072</v>
      </c>
    </row>
    <row r="325" spans="1:39" ht="21" customHeight="1" x14ac:dyDescent="0.15">
      <c r="A325" s="42" t="str">
        <f t="shared" si="11"/>
        <v>13001_14</v>
      </c>
      <c r="B325" s="23">
        <v>3</v>
      </c>
      <c r="C325" s="10">
        <v>13001</v>
      </c>
      <c r="D325" s="47" t="str">
        <f ca="1">VLOOKUP($C325,OFFSET(quests!$A$1,0,0,COUNTA(quests!$A:$A),MATCH(D$1,quests!$1:$1,0)-MATCH($C$2,quests!$1:$1,0)+1),MATCH(D$1,quests!$1:$1,0)-MATCH($C$2,quests!$1:$1,0)+1,FALSE)</f>
        <v>チャレンジタワー(ソロ専用)</v>
      </c>
      <c r="E325" s="48" t="str">
        <f ca="1">VLOOKUP($C325,OFFSET(quests!$A$1,0,0,COUNTA(quests!$A:$A),MATCH(E$2,quests!$1:$1,0)-MATCH($C$2,quests!$1:$1,0)+1),MATCH(E$2,quests!$1:$1,0)-MATCH($C$2,quests!$1:$1,0)+1,FALSE)</f>
        <v>試練の塔</v>
      </c>
      <c r="F325" s="7">
        <v>14</v>
      </c>
      <c r="G325" s="7" t="s">
        <v>570</v>
      </c>
      <c r="H325" s="12" t="s">
        <v>266</v>
      </c>
      <c r="I325" s="12" t="s">
        <v>236</v>
      </c>
      <c r="J325" s="12">
        <v>334</v>
      </c>
      <c r="K325" s="188">
        <v>14</v>
      </c>
      <c r="L325" s="189">
        <v>1188</v>
      </c>
      <c r="M325" s="167">
        <v>1</v>
      </c>
      <c r="N325" s="167">
        <v>1</v>
      </c>
      <c r="O325" s="167">
        <v>1</v>
      </c>
      <c r="P325" s="167">
        <v>1</v>
      </c>
      <c r="Q325" s="167">
        <v>1</v>
      </c>
      <c r="R325" s="167">
        <v>3</v>
      </c>
      <c r="S325" s="167" t="s">
        <v>273</v>
      </c>
      <c r="T325" s="191" t="s">
        <v>397</v>
      </c>
      <c r="U325" s="7">
        <v>13001</v>
      </c>
      <c r="V325" s="7">
        <v>13</v>
      </c>
      <c r="W325" s="47" t="str">
        <f t="shared" ca="1" si="15"/>
        <v>チャレンジタワー 13F</v>
      </c>
      <c r="X325" s="47">
        <f ca="1">VLOOKUP($C325,OFFSET(quests!$A$1,0,0,COUNTA(quests!$A:$A),MATCH(X$2,quests!$1:$1,0)-MATCH($C$2,quests!$1:$1,0)+1),MATCH(X$2,quests!$1:$1,0)-MATCH($C$2,quests!$1:$1,0)+1,FALSE)</f>
        <v>0</v>
      </c>
      <c r="Y325" s="47">
        <f ca="1">VLOOKUP($C325,OFFSET(quests!$A$1,0,0,COUNTA(quests!$A:$A),MATCH(Y$2,quests!$1:$1,0)-MATCH($C$2,quests!$1:$1,0)+1),MATCH(Y$2,quests!$1:$1,0)-MATCH($C$2,quests!$1:$1,0)+1,FALSE)</f>
        <v>0</v>
      </c>
      <c r="Z325" s="47">
        <f ca="1">VLOOKUP($C325,OFFSET(quests!$A$1,0,0,COUNTA(quests!$A:$A),MATCH(Z$2,quests!$1:$1,0)-MATCH($C$2,quests!$1:$1,0)+1),MATCH(Z$2,quests!$1:$1,0)-MATCH($C$2,quests!$1:$1,0)+1,FALSE)</f>
        <v>0</v>
      </c>
      <c r="AA325" s="47">
        <f ca="1">VLOOKUP($C325,OFFSET(quests!$A$1,0,0,COUNTA(quests!$A:$A),MATCH(AA$2,quests!$1:$1,0)-MATCH($C$2,quests!$1:$1,0)+1),MATCH(AA$2,quests!$1:$1,0)-MATCH($C$2,quests!$1:$1,0)+1,FALSE)</f>
        <v>0</v>
      </c>
      <c r="AB325" s="7" t="s">
        <v>56</v>
      </c>
      <c r="AC325" s="7">
        <v>26</v>
      </c>
      <c r="AD325" s="7">
        <v>6</v>
      </c>
      <c r="AE325" s="7" t="s">
        <v>522</v>
      </c>
      <c r="AF325" s="7">
        <v>13</v>
      </c>
      <c r="AG325" s="7">
        <v>0</v>
      </c>
      <c r="AH325" s="7">
        <v>0</v>
      </c>
      <c r="AI325" s="7">
        <v>-1</v>
      </c>
      <c r="AJ325" s="7">
        <v>-1</v>
      </c>
      <c r="AK325" s="7" t="s">
        <v>1064</v>
      </c>
      <c r="AL325" s="12" t="s">
        <v>1695</v>
      </c>
      <c r="AM325" s="12" t="s">
        <v>2072</v>
      </c>
    </row>
    <row r="326" spans="1:39" ht="21" customHeight="1" x14ac:dyDescent="0.15">
      <c r="A326" s="42" t="str">
        <f t="shared" si="11"/>
        <v>13001_15</v>
      </c>
      <c r="B326" s="23">
        <v>3</v>
      </c>
      <c r="C326" s="10">
        <v>13001</v>
      </c>
      <c r="D326" s="47" t="str">
        <f ca="1">VLOOKUP($C326,OFFSET(quests!$A$1,0,0,COUNTA(quests!$A:$A),MATCH(D$1,quests!$1:$1,0)-MATCH($C$2,quests!$1:$1,0)+1),MATCH(D$1,quests!$1:$1,0)-MATCH($C$2,quests!$1:$1,0)+1,FALSE)</f>
        <v>チャレンジタワー(ソロ専用)</v>
      </c>
      <c r="E326" s="48" t="str">
        <f ca="1">VLOOKUP($C326,OFFSET(quests!$A$1,0,0,COUNTA(quests!$A:$A),MATCH(E$2,quests!$1:$1,0)-MATCH($C$2,quests!$1:$1,0)+1),MATCH(E$2,quests!$1:$1,0)-MATCH($C$2,quests!$1:$1,0)+1,FALSE)</f>
        <v>試練の塔</v>
      </c>
      <c r="F326" s="7">
        <v>15</v>
      </c>
      <c r="G326" s="7" t="s">
        <v>570</v>
      </c>
      <c r="H326" s="12" t="s">
        <v>267</v>
      </c>
      <c r="I326" s="12" t="s">
        <v>236</v>
      </c>
      <c r="J326" s="12">
        <v>316</v>
      </c>
      <c r="K326" s="188">
        <v>14</v>
      </c>
      <c r="L326" s="189">
        <v>1008</v>
      </c>
      <c r="M326" s="167">
        <v>1</v>
      </c>
      <c r="N326" s="167">
        <v>1</v>
      </c>
      <c r="O326" s="167">
        <v>1</v>
      </c>
      <c r="P326" s="167">
        <v>1</v>
      </c>
      <c r="Q326" s="167">
        <v>1</v>
      </c>
      <c r="R326" s="167">
        <v>3</v>
      </c>
      <c r="S326" s="167" t="s">
        <v>273</v>
      </c>
      <c r="T326" s="191" t="s">
        <v>398</v>
      </c>
      <c r="U326" s="7">
        <v>13001</v>
      </c>
      <c r="V326" s="7">
        <v>14</v>
      </c>
      <c r="W326" s="47" t="str">
        <f t="shared" ca="1" si="15"/>
        <v>チャレンジタワー 14F</v>
      </c>
      <c r="X326" s="47">
        <f ca="1">VLOOKUP($C326,OFFSET(quests!$A$1,0,0,COUNTA(quests!$A:$A),MATCH(X$2,quests!$1:$1,0)-MATCH($C$2,quests!$1:$1,0)+1),MATCH(X$2,quests!$1:$1,0)-MATCH($C$2,quests!$1:$1,0)+1,FALSE)</f>
        <v>0</v>
      </c>
      <c r="Y326" s="47">
        <f ca="1">VLOOKUP($C326,OFFSET(quests!$A$1,0,0,COUNTA(quests!$A:$A),MATCH(Y$2,quests!$1:$1,0)-MATCH($C$2,quests!$1:$1,0)+1),MATCH(Y$2,quests!$1:$1,0)-MATCH($C$2,quests!$1:$1,0)+1,FALSE)</f>
        <v>0</v>
      </c>
      <c r="Z326" s="47">
        <f ca="1">VLOOKUP($C326,OFFSET(quests!$A$1,0,0,COUNTA(quests!$A:$A),MATCH(Z$2,quests!$1:$1,0)-MATCH($C$2,quests!$1:$1,0)+1),MATCH(Z$2,quests!$1:$1,0)-MATCH($C$2,quests!$1:$1,0)+1,FALSE)</f>
        <v>0</v>
      </c>
      <c r="AA326" s="47">
        <f ca="1">VLOOKUP($C326,OFFSET(quests!$A$1,0,0,COUNTA(quests!$A:$A),MATCH(AA$2,quests!$1:$1,0)-MATCH($C$2,quests!$1:$1,0)+1),MATCH(AA$2,quests!$1:$1,0)-MATCH($C$2,quests!$1:$1,0)+1,FALSE)</f>
        <v>0</v>
      </c>
      <c r="AB326" s="7" t="s">
        <v>56</v>
      </c>
      <c r="AC326" s="7">
        <v>26</v>
      </c>
      <c r="AD326" s="7">
        <v>6</v>
      </c>
      <c r="AE326" s="7" t="s">
        <v>522</v>
      </c>
      <c r="AF326" s="7">
        <v>13</v>
      </c>
      <c r="AG326" s="7">
        <v>0</v>
      </c>
      <c r="AH326" s="7">
        <v>0</v>
      </c>
      <c r="AI326" s="7">
        <v>-1</v>
      </c>
      <c r="AJ326" s="7">
        <v>-1</v>
      </c>
      <c r="AK326" s="7" t="s">
        <v>1064</v>
      </c>
      <c r="AL326" s="12" t="s">
        <v>1695</v>
      </c>
      <c r="AM326" s="12" t="s">
        <v>2072</v>
      </c>
    </row>
    <row r="327" spans="1:39" ht="21" customHeight="1" x14ac:dyDescent="0.15">
      <c r="A327" s="42" t="str">
        <f t="shared" si="11"/>
        <v>13001_16</v>
      </c>
      <c r="B327" s="23">
        <v>3</v>
      </c>
      <c r="C327" s="10">
        <v>13001</v>
      </c>
      <c r="D327" s="47" t="str">
        <f ca="1">VLOOKUP($C327,OFFSET(quests!$A$1,0,0,COUNTA(quests!$A:$A),MATCH(D$1,quests!$1:$1,0)-MATCH($C$2,quests!$1:$1,0)+1),MATCH(D$1,quests!$1:$1,0)-MATCH($C$2,quests!$1:$1,0)+1,FALSE)</f>
        <v>チャレンジタワー(ソロ専用)</v>
      </c>
      <c r="E327" s="48" t="str">
        <f ca="1">VLOOKUP($C327,OFFSET(quests!$A$1,0,0,COUNTA(quests!$A:$A),MATCH(E$2,quests!$1:$1,0)-MATCH($C$2,quests!$1:$1,0)+1),MATCH(E$2,quests!$1:$1,0)-MATCH($C$2,quests!$1:$1,0)+1,FALSE)</f>
        <v>試練の塔</v>
      </c>
      <c r="F327" s="7">
        <v>16</v>
      </c>
      <c r="G327" s="7" t="s">
        <v>570</v>
      </c>
      <c r="H327" s="12" t="s">
        <v>268</v>
      </c>
      <c r="I327" s="12" t="s">
        <v>236</v>
      </c>
      <c r="J327" s="12">
        <v>338</v>
      </c>
      <c r="K327" s="188">
        <v>16</v>
      </c>
      <c r="L327" s="189">
        <v>2573</v>
      </c>
      <c r="M327" s="167">
        <v>1</v>
      </c>
      <c r="N327" s="167">
        <v>1</v>
      </c>
      <c r="O327" s="167">
        <v>1</v>
      </c>
      <c r="P327" s="167">
        <v>1</v>
      </c>
      <c r="Q327" s="167">
        <v>1</v>
      </c>
      <c r="R327" s="167">
        <v>3</v>
      </c>
      <c r="S327" s="167" t="s">
        <v>273</v>
      </c>
      <c r="T327" s="191" t="s">
        <v>399</v>
      </c>
      <c r="U327" s="7">
        <v>13001</v>
      </c>
      <c r="V327" s="7">
        <v>15</v>
      </c>
      <c r="W327" s="47" t="str">
        <f t="shared" ca="1" si="15"/>
        <v>チャレンジタワー 15F</v>
      </c>
      <c r="X327" s="47">
        <f ca="1">VLOOKUP($C327,OFFSET(quests!$A$1,0,0,COUNTA(quests!$A:$A),MATCH(X$2,quests!$1:$1,0)-MATCH($C$2,quests!$1:$1,0)+1),MATCH(X$2,quests!$1:$1,0)-MATCH($C$2,quests!$1:$1,0)+1,FALSE)</f>
        <v>0</v>
      </c>
      <c r="Y327" s="47">
        <f ca="1">VLOOKUP($C327,OFFSET(quests!$A$1,0,0,COUNTA(quests!$A:$A),MATCH(Y$2,quests!$1:$1,0)-MATCH($C$2,quests!$1:$1,0)+1),MATCH(Y$2,quests!$1:$1,0)-MATCH($C$2,quests!$1:$1,0)+1,FALSE)</f>
        <v>0</v>
      </c>
      <c r="Z327" s="47">
        <f ca="1">VLOOKUP($C327,OFFSET(quests!$A$1,0,0,COUNTA(quests!$A:$A),MATCH(Z$2,quests!$1:$1,0)-MATCH($C$2,quests!$1:$1,0)+1),MATCH(Z$2,quests!$1:$1,0)-MATCH($C$2,quests!$1:$1,0)+1,FALSE)</f>
        <v>0</v>
      </c>
      <c r="AA327" s="47">
        <f ca="1">VLOOKUP($C327,OFFSET(quests!$A$1,0,0,COUNTA(quests!$A:$A),MATCH(AA$2,quests!$1:$1,0)-MATCH($C$2,quests!$1:$1,0)+1),MATCH(AA$2,quests!$1:$1,0)-MATCH($C$2,quests!$1:$1,0)+1,FALSE)</f>
        <v>0</v>
      </c>
      <c r="AB327" s="7" t="s">
        <v>56</v>
      </c>
      <c r="AC327" s="7">
        <v>26</v>
      </c>
      <c r="AD327" s="7">
        <v>6</v>
      </c>
      <c r="AE327" s="7" t="s">
        <v>522</v>
      </c>
      <c r="AF327" s="7">
        <v>13</v>
      </c>
      <c r="AG327" s="7">
        <v>0</v>
      </c>
      <c r="AH327" s="7">
        <v>0</v>
      </c>
      <c r="AI327" s="7">
        <v>-1</v>
      </c>
      <c r="AJ327" s="7">
        <v>-1</v>
      </c>
      <c r="AK327" s="7" t="s">
        <v>1064</v>
      </c>
      <c r="AL327" s="12" t="s">
        <v>1695</v>
      </c>
      <c r="AM327" s="12" t="s">
        <v>2072</v>
      </c>
    </row>
    <row r="328" spans="1:39" ht="21" customHeight="1" x14ac:dyDescent="0.15">
      <c r="A328" s="42" t="str">
        <f t="shared" si="11"/>
        <v>13001_17</v>
      </c>
      <c r="B328" s="23">
        <v>3</v>
      </c>
      <c r="C328" s="10">
        <v>13001</v>
      </c>
      <c r="D328" s="47" t="str">
        <f ca="1">VLOOKUP($C328,OFFSET(quests!$A$1,0,0,COUNTA(quests!$A:$A),MATCH(D$1,quests!$1:$1,0)-MATCH($C$2,quests!$1:$1,0)+1),MATCH(D$1,quests!$1:$1,0)-MATCH($C$2,quests!$1:$1,0)+1,FALSE)</f>
        <v>チャレンジタワー(ソロ専用)</v>
      </c>
      <c r="E328" s="48" t="str">
        <f ca="1">VLOOKUP($C328,OFFSET(quests!$A$1,0,0,COUNTA(quests!$A:$A),MATCH(E$2,quests!$1:$1,0)-MATCH($C$2,quests!$1:$1,0)+1),MATCH(E$2,quests!$1:$1,0)-MATCH($C$2,quests!$1:$1,0)+1,FALSE)</f>
        <v>試練の塔</v>
      </c>
      <c r="F328" s="7">
        <v>17</v>
      </c>
      <c r="G328" s="7" t="s">
        <v>570</v>
      </c>
      <c r="H328" s="12" t="s">
        <v>269</v>
      </c>
      <c r="I328" s="12" t="s">
        <v>236</v>
      </c>
      <c r="J328" s="12">
        <v>346</v>
      </c>
      <c r="K328" s="188">
        <v>16</v>
      </c>
      <c r="L328" s="189">
        <v>1568</v>
      </c>
      <c r="M328" s="167">
        <v>1</v>
      </c>
      <c r="N328" s="167">
        <v>1</v>
      </c>
      <c r="O328" s="167">
        <v>1</v>
      </c>
      <c r="P328" s="167">
        <v>1</v>
      </c>
      <c r="Q328" s="167">
        <v>1</v>
      </c>
      <c r="R328" s="167">
        <v>3</v>
      </c>
      <c r="S328" s="167" t="s">
        <v>273</v>
      </c>
      <c r="T328" s="191" t="s">
        <v>400</v>
      </c>
      <c r="U328" s="7">
        <v>13001</v>
      </c>
      <c r="V328" s="7">
        <v>16</v>
      </c>
      <c r="W328" s="47" t="str">
        <f t="shared" ca="1" si="15"/>
        <v>チャレンジタワー 16F</v>
      </c>
      <c r="X328" s="47">
        <f ca="1">VLOOKUP($C328,OFFSET(quests!$A$1,0,0,COUNTA(quests!$A:$A),MATCH(X$2,quests!$1:$1,0)-MATCH($C$2,quests!$1:$1,0)+1),MATCH(X$2,quests!$1:$1,0)-MATCH($C$2,quests!$1:$1,0)+1,FALSE)</f>
        <v>0</v>
      </c>
      <c r="Y328" s="47">
        <f ca="1">VLOOKUP($C328,OFFSET(quests!$A$1,0,0,COUNTA(quests!$A:$A),MATCH(Y$2,quests!$1:$1,0)-MATCH($C$2,quests!$1:$1,0)+1),MATCH(Y$2,quests!$1:$1,0)-MATCH($C$2,quests!$1:$1,0)+1,FALSE)</f>
        <v>0</v>
      </c>
      <c r="Z328" s="47">
        <f ca="1">VLOOKUP($C328,OFFSET(quests!$A$1,0,0,COUNTA(quests!$A:$A),MATCH(Z$2,quests!$1:$1,0)-MATCH($C$2,quests!$1:$1,0)+1),MATCH(Z$2,quests!$1:$1,0)-MATCH($C$2,quests!$1:$1,0)+1,FALSE)</f>
        <v>0</v>
      </c>
      <c r="AA328" s="47">
        <f ca="1">VLOOKUP($C328,OFFSET(quests!$A$1,0,0,COUNTA(quests!$A:$A),MATCH(AA$2,quests!$1:$1,0)-MATCH($C$2,quests!$1:$1,0)+1),MATCH(AA$2,quests!$1:$1,0)-MATCH($C$2,quests!$1:$1,0)+1,FALSE)</f>
        <v>0</v>
      </c>
      <c r="AB328" s="7" t="s">
        <v>56</v>
      </c>
      <c r="AC328" s="7">
        <v>26</v>
      </c>
      <c r="AD328" s="7">
        <v>6</v>
      </c>
      <c r="AE328" s="7" t="s">
        <v>522</v>
      </c>
      <c r="AF328" s="7">
        <v>13</v>
      </c>
      <c r="AG328" s="7">
        <v>0</v>
      </c>
      <c r="AH328" s="7">
        <v>0</v>
      </c>
      <c r="AI328" s="7">
        <v>-1</v>
      </c>
      <c r="AJ328" s="7">
        <v>-1</v>
      </c>
      <c r="AK328" s="7" t="s">
        <v>1064</v>
      </c>
      <c r="AL328" s="12" t="s">
        <v>1695</v>
      </c>
      <c r="AM328" s="12" t="s">
        <v>2072</v>
      </c>
    </row>
    <row r="329" spans="1:39" ht="21" customHeight="1" x14ac:dyDescent="0.15">
      <c r="A329" s="42" t="str">
        <f t="shared" ref="A329:A437" si="16">C329&amp;"_"&amp;F329</f>
        <v>13001_18</v>
      </c>
      <c r="B329" s="23">
        <v>3</v>
      </c>
      <c r="C329" s="10">
        <v>13001</v>
      </c>
      <c r="D329" s="47" t="str">
        <f ca="1">VLOOKUP($C329,OFFSET(quests!$A$1,0,0,COUNTA(quests!$A:$A),MATCH(D$1,quests!$1:$1,0)-MATCH($C$2,quests!$1:$1,0)+1),MATCH(D$1,quests!$1:$1,0)-MATCH($C$2,quests!$1:$1,0)+1,FALSE)</f>
        <v>チャレンジタワー(ソロ専用)</v>
      </c>
      <c r="E329" s="48" t="str">
        <f ca="1">VLOOKUP($C329,OFFSET(quests!$A$1,0,0,COUNTA(quests!$A:$A),MATCH(E$2,quests!$1:$1,0)-MATCH($C$2,quests!$1:$1,0)+1),MATCH(E$2,quests!$1:$1,0)-MATCH($C$2,quests!$1:$1,0)+1,FALSE)</f>
        <v>試練の塔</v>
      </c>
      <c r="F329" s="7">
        <v>18</v>
      </c>
      <c r="G329" s="7" t="s">
        <v>570</v>
      </c>
      <c r="H329" s="12" t="s">
        <v>270</v>
      </c>
      <c r="I329" s="12" t="s">
        <v>236</v>
      </c>
      <c r="J329" s="12">
        <v>334</v>
      </c>
      <c r="K329" s="188">
        <v>17</v>
      </c>
      <c r="L329" s="189">
        <v>1821</v>
      </c>
      <c r="M329" s="167">
        <v>1</v>
      </c>
      <c r="N329" s="167">
        <v>1</v>
      </c>
      <c r="O329" s="167">
        <v>1</v>
      </c>
      <c r="P329" s="167">
        <v>1</v>
      </c>
      <c r="Q329" s="167">
        <v>1</v>
      </c>
      <c r="R329" s="167">
        <v>3</v>
      </c>
      <c r="S329" s="167" t="s">
        <v>273</v>
      </c>
      <c r="T329" s="191" t="s">
        <v>401</v>
      </c>
      <c r="U329" s="7">
        <v>13001</v>
      </c>
      <c r="V329" s="7">
        <v>17</v>
      </c>
      <c r="W329" s="47" t="str">
        <f t="shared" ca="1" si="15"/>
        <v>チャレンジタワー 17F</v>
      </c>
      <c r="X329" s="47">
        <f ca="1">VLOOKUP($C329,OFFSET(quests!$A$1,0,0,COUNTA(quests!$A:$A),MATCH(X$2,quests!$1:$1,0)-MATCH($C$2,quests!$1:$1,0)+1),MATCH(X$2,quests!$1:$1,0)-MATCH($C$2,quests!$1:$1,0)+1,FALSE)</f>
        <v>0</v>
      </c>
      <c r="Y329" s="47">
        <f ca="1">VLOOKUP($C329,OFFSET(quests!$A$1,0,0,COUNTA(quests!$A:$A),MATCH(Y$2,quests!$1:$1,0)-MATCH($C$2,quests!$1:$1,0)+1),MATCH(Y$2,quests!$1:$1,0)-MATCH($C$2,quests!$1:$1,0)+1,FALSE)</f>
        <v>0</v>
      </c>
      <c r="Z329" s="47">
        <f ca="1">VLOOKUP($C329,OFFSET(quests!$A$1,0,0,COUNTA(quests!$A:$A),MATCH(Z$2,quests!$1:$1,0)-MATCH($C$2,quests!$1:$1,0)+1),MATCH(Z$2,quests!$1:$1,0)-MATCH($C$2,quests!$1:$1,0)+1,FALSE)</f>
        <v>0</v>
      </c>
      <c r="AA329" s="47">
        <f ca="1">VLOOKUP($C329,OFFSET(quests!$A$1,0,0,COUNTA(quests!$A:$A),MATCH(AA$2,quests!$1:$1,0)-MATCH($C$2,quests!$1:$1,0)+1),MATCH(AA$2,quests!$1:$1,0)-MATCH($C$2,quests!$1:$1,0)+1,FALSE)</f>
        <v>0</v>
      </c>
      <c r="AB329" s="7" t="s">
        <v>56</v>
      </c>
      <c r="AC329" s="7">
        <v>26</v>
      </c>
      <c r="AD329" s="7">
        <v>6</v>
      </c>
      <c r="AE329" s="7" t="s">
        <v>522</v>
      </c>
      <c r="AF329" s="7">
        <v>13</v>
      </c>
      <c r="AG329" s="7">
        <v>0</v>
      </c>
      <c r="AH329" s="7">
        <v>0</v>
      </c>
      <c r="AI329" s="7">
        <v>-1</v>
      </c>
      <c r="AJ329" s="7">
        <v>-1</v>
      </c>
      <c r="AK329" s="7" t="s">
        <v>1064</v>
      </c>
      <c r="AL329" s="12" t="s">
        <v>1695</v>
      </c>
      <c r="AM329" s="12" t="s">
        <v>2072</v>
      </c>
    </row>
    <row r="330" spans="1:39" ht="21" customHeight="1" x14ac:dyDescent="0.15">
      <c r="A330" s="42" t="str">
        <f t="shared" si="16"/>
        <v>13001_19</v>
      </c>
      <c r="B330" s="23">
        <v>3</v>
      </c>
      <c r="C330" s="10">
        <v>13001</v>
      </c>
      <c r="D330" s="47" t="str">
        <f ca="1">VLOOKUP($C330,OFFSET(quests!$A$1,0,0,COUNTA(quests!$A:$A),MATCH(D$1,quests!$1:$1,0)-MATCH($C$2,quests!$1:$1,0)+1),MATCH(D$1,quests!$1:$1,0)-MATCH($C$2,quests!$1:$1,0)+1,FALSE)</f>
        <v>チャレンジタワー(ソロ専用)</v>
      </c>
      <c r="E330" s="48" t="str">
        <f ca="1">VLOOKUP($C330,OFFSET(quests!$A$1,0,0,COUNTA(quests!$A:$A),MATCH(E$2,quests!$1:$1,0)-MATCH($C$2,quests!$1:$1,0)+1),MATCH(E$2,quests!$1:$1,0)-MATCH($C$2,quests!$1:$1,0)+1,FALSE)</f>
        <v>試練の塔</v>
      </c>
      <c r="F330" s="7">
        <v>19</v>
      </c>
      <c r="G330" s="7" t="s">
        <v>570</v>
      </c>
      <c r="H330" s="12" t="s">
        <v>271</v>
      </c>
      <c r="I330" s="12" t="s">
        <v>236</v>
      </c>
      <c r="J330" s="12">
        <v>342</v>
      </c>
      <c r="K330" s="188">
        <v>18</v>
      </c>
      <c r="L330" s="189">
        <v>2108</v>
      </c>
      <c r="M330" s="167">
        <v>1</v>
      </c>
      <c r="N330" s="167">
        <v>1</v>
      </c>
      <c r="O330" s="167">
        <v>1</v>
      </c>
      <c r="P330" s="167">
        <v>1</v>
      </c>
      <c r="Q330" s="167">
        <v>1</v>
      </c>
      <c r="R330" s="167">
        <v>3</v>
      </c>
      <c r="S330" s="167" t="s">
        <v>273</v>
      </c>
      <c r="T330" s="191" t="s">
        <v>402</v>
      </c>
      <c r="U330" s="7">
        <v>13001</v>
      </c>
      <c r="V330" s="7">
        <v>18</v>
      </c>
      <c r="W330" s="47" t="str">
        <f t="shared" ca="1" si="15"/>
        <v>チャレンジタワー 18F</v>
      </c>
      <c r="X330" s="47">
        <f ca="1">VLOOKUP($C330,OFFSET(quests!$A$1,0,0,COUNTA(quests!$A:$A),MATCH(X$2,quests!$1:$1,0)-MATCH($C$2,quests!$1:$1,0)+1),MATCH(X$2,quests!$1:$1,0)-MATCH($C$2,quests!$1:$1,0)+1,FALSE)</f>
        <v>0</v>
      </c>
      <c r="Y330" s="47">
        <f ca="1">VLOOKUP($C330,OFFSET(quests!$A$1,0,0,COUNTA(quests!$A:$A),MATCH(Y$2,quests!$1:$1,0)-MATCH($C$2,quests!$1:$1,0)+1),MATCH(Y$2,quests!$1:$1,0)-MATCH($C$2,quests!$1:$1,0)+1,FALSE)</f>
        <v>0</v>
      </c>
      <c r="Z330" s="47">
        <f ca="1">VLOOKUP($C330,OFFSET(quests!$A$1,0,0,COUNTA(quests!$A:$A),MATCH(Z$2,quests!$1:$1,0)-MATCH($C$2,quests!$1:$1,0)+1),MATCH(Z$2,quests!$1:$1,0)-MATCH($C$2,quests!$1:$1,0)+1,FALSE)</f>
        <v>0</v>
      </c>
      <c r="AA330" s="47">
        <f ca="1">VLOOKUP($C330,OFFSET(quests!$A$1,0,0,COUNTA(quests!$A:$A),MATCH(AA$2,quests!$1:$1,0)-MATCH($C$2,quests!$1:$1,0)+1),MATCH(AA$2,quests!$1:$1,0)-MATCH($C$2,quests!$1:$1,0)+1,FALSE)</f>
        <v>0</v>
      </c>
      <c r="AB330" s="7" t="s">
        <v>56</v>
      </c>
      <c r="AC330" s="7">
        <v>26</v>
      </c>
      <c r="AD330" s="7">
        <v>6</v>
      </c>
      <c r="AE330" s="7" t="s">
        <v>522</v>
      </c>
      <c r="AF330" s="7">
        <v>13</v>
      </c>
      <c r="AG330" s="7">
        <v>0</v>
      </c>
      <c r="AH330" s="7">
        <v>0</v>
      </c>
      <c r="AI330" s="7">
        <v>-1</v>
      </c>
      <c r="AJ330" s="7">
        <v>-1</v>
      </c>
      <c r="AK330" s="7" t="s">
        <v>1064</v>
      </c>
      <c r="AL330" s="12" t="s">
        <v>1695</v>
      </c>
      <c r="AM330" s="12" t="s">
        <v>2072</v>
      </c>
    </row>
    <row r="331" spans="1:39" ht="21" customHeight="1" x14ac:dyDescent="0.15">
      <c r="A331" s="42" t="str">
        <f t="shared" si="16"/>
        <v>13001_20</v>
      </c>
      <c r="B331" s="23">
        <v>3</v>
      </c>
      <c r="C331" s="10">
        <v>13001</v>
      </c>
      <c r="D331" s="47" t="str">
        <f ca="1">VLOOKUP($C331,OFFSET(quests!$A$1,0,0,COUNTA(quests!$A:$A),MATCH(D$1,quests!$1:$1,0)-MATCH($C$2,quests!$1:$1,0)+1),MATCH(D$1,quests!$1:$1,0)-MATCH($C$2,quests!$1:$1,0)+1,FALSE)</f>
        <v>チャレンジタワー(ソロ専用)</v>
      </c>
      <c r="E331" s="48" t="str">
        <f ca="1">VLOOKUP($C331,OFFSET(quests!$A$1,0,0,COUNTA(quests!$A:$A),MATCH(E$2,quests!$1:$1,0)-MATCH($C$2,quests!$1:$1,0)+1),MATCH(E$2,quests!$1:$1,0)-MATCH($C$2,quests!$1:$1,0)+1,FALSE)</f>
        <v>試練の塔</v>
      </c>
      <c r="F331" s="7">
        <v>20</v>
      </c>
      <c r="G331" s="7" t="s">
        <v>570</v>
      </c>
      <c r="H331" s="12" t="s">
        <v>272</v>
      </c>
      <c r="I331" s="12" t="s">
        <v>236</v>
      </c>
      <c r="J331" s="12">
        <v>318</v>
      </c>
      <c r="K331" s="188">
        <v>18</v>
      </c>
      <c r="L331" s="189">
        <v>1620</v>
      </c>
      <c r="M331" s="167">
        <v>1</v>
      </c>
      <c r="N331" s="167">
        <v>1</v>
      </c>
      <c r="O331" s="167">
        <v>1</v>
      </c>
      <c r="P331" s="167">
        <v>1</v>
      </c>
      <c r="Q331" s="167">
        <v>1</v>
      </c>
      <c r="R331" s="167">
        <v>3</v>
      </c>
      <c r="S331" s="167" t="s">
        <v>273</v>
      </c>
      <c r="T331" s="191" t="s">
        <v>403</v>
      </c>
      <c r="U331" s="7">
        <v>13001</v>
      </c>
      <c r="V331" s="7">
        <v>19</v>
      </c>
      <c r="W331" s="47" t="str">
        <f t="shared" ca="1" si="15"/>
        <v>チャレンジタワー 19F</v>
      </c>
      <c r="X331" s="47">
        <f ca="1">VLOOKUP($C331,OFFSET(quests!$A$1,0,0,COUNTA(quests!$A:$A),MATCH(X$2,quests!$1:$1,0)-MATCH($C$2,quests!$1:$1,0)+1),MATCH(X$2,quests!$1:$1,0)-MATCH($C$2,quests!$1:$1,0)+1,FALSE)</f>
        <v>0</v>
      </c>
      <c r="Y331" s="47">
        <f ca="1">VLOOKUP($C331,OFFSET(quests!$A$1,0,0,COUNTA(quests!$A:$A),MATCH(Y$2,quests!$1:$1,0)-MATCH($C$2,quests!$1:$1,0)+1),MATCH(Y$2,quests!$1:$1,0)-MATCH($C$2,quests!$1:$1,0)+1,FALSE)</f>
        <v>0</v>
      </c>
      <c r="Z331" s="47">
        <f ca="1">VLOOKUP($C331,OFFSET(quests!$A$1,0,0,COUNTA(quests!$A:$A),MATCH(Z$2,quests!$1:$1,0)-MATCH($C$2,quests!$1:$1,0)+1),MATCH(Z$2,quests!$1:$1,0)-MATCH($C$2,quests!$1:$1,0)+1,FALSE)</f>
        <v>0</v>
      </c>
      <c r="AA331" s="47">
        <f ca="1">VLOOKUP($C331,OFFSET(quests!$A$1,0,0,COUNTA(quests!$A:$A),MATCH(AA$2,quests!$1:$1,0)-MATCH($C$2,quests!$1:$1,0)+1),MATCH(AA$2,quests!$1:$1,0)-MATCH($C$2,quests!$1:$1,0)+1,FALSE)</f>
        <v>0</v>
      </c>
      <c r="AB331" s="7" t="s">
        <v>56</v>
      </c>
      <c r="AC331" s="7">
        <v>26</v>
      </c>
      <c r="AD331" s="7">
        <v>6</v>
      </c>
      <c r="AE331" s="7" t="s">
        <v>522</v>
      </c>
      <c r="AF331" s="7">
        <v>13</v>
      </c>
      <c r="AG331" s="7">
        <v>0</v>
      </c>
      <c r="AH331" s="7">
        <v>0</v>
      </c>
      <c r="AI331" s="7">
        <v>-1</v>
      </c>
      <c r="AJ331" s="7">
        <v>-1</v>
      </c>
      <c r="AK331" s="7" t="s">
        <v>1064</v>
      </c>
      <c r="AL331" s="12" t="s">
        <v>1695</v>
      </c>
      <c r="AM331" s="12" t="s">
        <v>2072</v>
      </c>
    </row>
    <row r="332" spans="1:39" ht="21" customHeight="1" x14ac:dyDescent="0.15">
      <c r="A332" s="42" t="str">
        <f t="shared" si="16"/>
        <v>13001_21</v>
      </c>
      <c r="B332" s="23">
        <v>3</v>
      </c>
      <c r="C332" s="10">
        <v>13001</v>
      </c>
      <c r="D332" s="47" t="str">
        <f ca="1">VLOOKUP($C332,OFFSET(quests!$A$1,0,0,COUNTA(quests!$A:$A),MATCH(D$1,quests!$1:$1,0)-MATCH($C$2,quests!$1:$1,0)+1),MATCH(D$1,quests!$1:$1,0)-MATCH($C$2,quests!$1:$1,0)+1,FALSE)</f>
        <v>チャレンジタワー(ソロ専用)</v>
      </c>
      <c r="E332" s="48" t="str">
        <f ca="1">VLOOKUP($C332,OFFSET(quests!$A$1,0,0,COUNTA(quests!$A:$A),MATCH(E$2,quests!$1:$1,0)-MATCH($C$2,quests!$1:$1,0)+1),MATCH(E$2,quests!$1:$1,0)-MATCH($C$2,quests!$1:$1,0)+1,FALSE)</f>
        <v>試練の塔</v>
      </c>
      <c r="F332" s="7">
        <v>21</v>
      </c>
      <c r="G332" s="7" t="s">
        <v>570</v>
      </c>
      <c r="H332" s="12" t="s">
        <v>442</v>
      </c>
      <c r="I332" s="12" t="s">
        <v>236</v>
      </c>
      <c r="J332" s="79" t="s">
        <v>455</v>
      </c>
      <c r="K332" s="188">
        <v>18</v>
      </c>
      <c r="L332" s="189">
        <v>1620</v>
      </c>
      <c r="M332" s="167">
        <v>1</v>
      </c>
      <c r="N332" s="167">
        <v>1</v>
      </c>
      <c r="O332" s="167">
        <v>1</v>
      </c>
      <c r="P332" s="167">
        <v>1</v>
      </c>
      <c r="Q332" s="167">
        <v>1</v>
      </c>
      <c r="R332" s="167">
        <v>3</v>
      </c>
      <c r="S332" s="167" t="s">
        <v>273</v>
      </c>
      <c r="T332" s="191" t="s">
        <v>459</v>
      </c>
      <c r="U332" s="7">
        <v>13001</v>
      </c>
      <c r="V332" s="7">
        <v>20</v>
      </c>
      <c r="W332" s="47" t="str">
        <f t="shared" ca="1" si="15"/>
        <v>チャレンジタワー 20F</v>
      </c>
      <c r="X332" s="47">
        <f ca="1">VLOOKUP($C332,OFFSET(quests!$A$1,0,0,COUNTA(quests!$A:$A),MATCH(X$2,quests!$1:$1,0)-MATCH($C$2,quests!$1:$1,0)+1),MATCH(X$2,quests!$1:$1,0)-MATCH($C$2,quests!$1:$1,0)+1,FALSE)</f>
        <v>0</v>
      </c>
      <c r="Y332" s="47">
        <f ca="1">VLOOKUP($C332,OFFSET(quests!$A$1,0,0,COUNTA(quests!$A:$A),MATCH(Y$2,quests!$1:$1,0)-MATCH($C$2,quests!$1:$1,0)+1),MATCH(Y$2,quests!$1:$1,0)-MATCH($C$2,quests!$1:$1,0)+1,FALSE)</f>
        <v>0</v>
      </c>
      <c r="Z332" s="47">
        <f ca="1">VLOOKUP($C332,OFFSET(quests!$A$1,0,0,COUNTA(quests!$A:$A),MATCH(Z$2,quests!$1:$1,0)-MATCH($C$2,quests!$1:$1,0)+1),MATCH(Z$2,quests!$1:$1,0)-MATCH($C$2,quests!$1:$1,0)+1,FALSE)</f>
        <v>0</v>
      </c>
      <c r="AA332" s="47">
        <f ca="1">VLOOKUP($C332,OFFSET(quests!$A$1,0,0,COUNTA(quests!$A:$A),MATCH(AA$2,quests!$1:$1,0)-MATCH($C$2,quests!$1:$1,0)+1),MATCH(AA$2,quests!$1:$1,0)-MATCH($C$2,quests!$1:$1,0)+1,FALSE)</f>
        <v>0</v>
      </c>
      <c r="AB332" s="7" t="s">
        <v>56</v>
      </c>
      <c r="AC332" s="7">
        <v>26</v>
      </c>
      <c r="AD332" s="7">
        <v>6</v>
      </c>
      <c r="AE332" s="7" t="s">
        <v>522</v>
      </c>
      <c r="AF332" s="7">
        <v>13</v>
      </c>
      <c r="AG332" s="7">
        <v>0</v>
      </c>
      <c r="AH332" s="7">
        <v>0</v>
      </c>
      <c r="AI332" s="7">
        <v>-1</v>
      </c>
      <c r="AJ332" s="7">
        <v>-1</v>
      </c>
      <c r="AK332" s="7" t="s">
        <v>1064</v>
      </c>
      <c r="AL332" s="12" t="s">
        <v>1695</v>
      </c>
      <c r="AM332" s="12" t="s">
        <v>2072</v>
      </c>
    </row>
    <row r="333" spans="1:39" ht="21" customHeight="1" x14ac:dyDescent="0.15">
      <c r="A333" s="42" t="str">
        <f t="shared" si="16"/>
        <v>13001_22</v>
      </c>
      <c r="B333" s="23">
        <v>3</v>
      </c>
      <c r="C333" s="10">
        <v>13001</v>
      </c>
      <c r="D333" s="47" t="str">
        <f ca="1">VLOOKUP($C333,OFFSET(quests!$A$1,0,0,COUNTA(quests!$A:$A),MATCH(D$1,quests!$1:$1,0)-MATCH($C$2,quests!$1:$1,0)+1),MATCH(D$1,quests!$1:$1,0)-MATCH($C$2,quests!$1:$1,0)+1,FALSE)</f>
        <v>チャレンジタワー(ソロ専用)</v>
      </c>
      <c r="E333" s="48" t="str">
        <f ca="1">VLOOKUP($C333,OFFSET(quests!$A$1,0,0,COUNTA(quests!$A:$A),MATCH(E$2,quests!$1:$1,0)-MATCH($C$2,quests!$1:$1,0)+1),MATCH(E$2,quests!$1:$1,0)-MATCH($C$2,quests!$1:$1,0)+1,FALSE)</f>
        <v>試練の塔</v>
      </c>
      <c r="F333" s="7">
        <v>22</v>
      </c>
      <c r="G333" s="7" t="s">
        <v>570</v>
      </c>
      <c r="H333" s="12" t="s">
        <v>443</v>
      </c>
      <c r="I333" s="12" t="s">
        <v>236</v>
      </c>
      <c r="J333" s="79" t="s">
        <v>456</v>
      </c>
      <c r="K333" s="188">
        <v>18</v>
      </c>
      <c r="L333" s="189">
        <v>1620</v>
      </c>
      <c r="M333" s="167">
        <v>1</v>
      </c>
      <c r="N333" s="167">
        <v>1</v>
      </c>
      <c r="O333" s="167">
        <v>1</v>
      </c>
      <c r="P333" s="167">
        <v>1</v>
      </c>
      <c r="Q333" s="167">
        <v>1</v>
      </c>
      <c r="R333" s="167">
        <v>3</v>
      </c>
      <c r="S333" s="167" t="s">
        <v>273</v>
      </c>
      <c r="T333" s="191" t="s">
        <v>460</v>
      </c>
      <c r="U333" s="7">
        <v>13001</v>
      </c>
      <c r="V333" s="7">
        <v>21</v>
      </c>
      <c r="W333" s="47" t="str">
        <f t="shared" ca="1" si="15"/>
        <v>チャレンジタワー 21F</v>
      </c>
      <c r="X333" s="47">
        <f ca="1">VLOOKUP($C333,OFFSET(quests!$A$1,0,0,COUNTA(quests!$A:$A),MATCH(X$2,quests!$1:$1,0)-MATCH($C$2,quests!$1:$1,0)+1),MATCH(X$2,quests!$1:$1,0)-MATCH($C$2,quests!$1:$1,0)+1,FALSE)</f>
        <v>0</v>
      </c>
      <c r="Y333" s="47">
        <f ca="1">VLOOKUP($C333,OFFSET(quests!$A$1,0,0,COUNTA(quests!$A:$A),MATCH(Y$2,quests!$1:$1,0)-MATCH($C$2,quests!$1:$1,0)+1),MATCH(Y$2,quests!$1:$1,0)-MATCH($C$2,quests!$1:$1,0)+1,FALSE)</f>
        <v>0</v>
      </c>
      <c r="Z333" s="47">
        <f ca="1">VLOOKUP($C333,OFFSET(quests!$A$1,0,0,COUNTA(quests!$A:$A),MATCH(Z$2,quests!$1:$1,0)-MATCH($C$2,quests!$1:$1,0)+1),MATCH(Z$2,quests!$1:$1,0)-MATCH($C$2,quests!$1:$1,0)+1,FALSE)</f>
        <v>0</v>
      </c>
      <c r="AA333" s="47">
        <f ca="1">VLOOKUP($C333,OFFSET(quests!$A$1,0,0,COUNTA(quests!$A:$A),MATCH(AA$2,quests!$1:$1,0)-MATCH($C$2,quests!$1:$1,0)+1),MATCH(AA$2,quests!$1:$1,0)-MATCH($C$2,quests!$1:$1,0)+1,FALSE)</f>
        <v>0</v>
      </c>
      <c r="AB333" s="7" t="s">
        <v>56</v>
      </c>
      <c r="AC333" s="7">
        <v>26</v>
      </c>
      <c r="AD333" s="7">
        <v>6</v>
      </c>
      <c r="AE333" s="7" t="s">
        <v>522</v>
      </c>
      <c r="AF333" s="7">
        <v>13</v>
      </c>
      <c r="AG333" s="7">
        <v>0</v>
      </c>
      <c r="AH333" s="7">
        <v>0</v>
      </c>
      <c r="AI333" s="7">
        <v>-1</v>
      </c>
      <c r="AJ333" s="7">
        <v>-1</v>
      </c>
      <c r="AK333" s="7" t="s">
        <v>1064</v>
      </c>
      <c r="AL333" s="12" t="s">
        <v>1695</v>
      </c>
      <c r="AM333" s="12" t="s">
        <v>2072</v>
      </c>
    </row>
    <row r="334" spans="1:39" ht="21" customHeight="1" x14ac:dyDescent="0.15">
      <c r="A334" s="42" t="str">
        <f t="shared" si="16"/>
        <v>13001_23</v>
      </c>
      <c r="B334" s="23">
        <v>3</v>
      </c>
      <c r="C334" s="10">
        <v>13001</v>
      </c>
      <c r="D334" s="47" t="str">
        <f ca="1">VLOOKUP($C334,OFFSET(quests!$A$1,0,0,COUNTA(quests!$A:$A),MATCH(D$1,quests!$1:$1,0)-MATCH($C$2,quests!$1:$1,0)+1),MATCH(D$1,quests!$1:$1,0)-MATCH($C$2,quests!$1:$1,0)+1,FALSE)</f>
        <v>チャレンジタワー(ソロ専用)</v>
      </c>
      <c r="E334" s="48" t="str">
        <f ca="1">VLOOKUP($C334,OFFSET(quests!$A$1,0,0,COUNTA(quests!$A:$A),MATCH(E$2,quests!$1:$1,0)-MATCH($C$2,quests!$1:$1,0)+1),MATCH(E$2,quests!$1:$1,0)-MATCH($C$2,quests!$1:$1,0)+1,FALSE)</f>
        <v>試練の塔</v>
      </c>
      <c r="F334" s="7">
        <v>23</v>
      </c>
      <c r="G334" s="7" t="s">
        <v>570</v>
      </c>
      <c r="H334" s="12" t="s">
        <v>444</v>
      </c>
      <c r="I334" s="12" t="s">
        <v>236</v>
      </c>
      <c r="J334" s="79" t="s">
        <v>457</v>
      </c>
      <c r="K334" s="188">
        <v>20</v>
      </c>
      <c r="L334" s="189">
        <v>1821</v>
      </c>
      <c r="M334" s="167">
        <v>1</v>
      </c>
      <c r="N334" s="167">
        <v>1</v>
      </c>
      <c r="O334" s="167">
        <v>1</v>
      </c>
      <c r="P334" s="167">
        <v>1</v>
      </c>
      <c r="Q334" s="167">
        <v>1</v>
      </c>
      <c r="R334" s="167">
        <v>3</v>
      </c>
      <c r="S334" s="167" t="s">
        <v>273</v>
      </c>
      <c r="T334" s="191" t="s">
        <v>461</v>
      </c>
      <c r="U334" s="7">
        <v>13001</v>
      </c>
      <c r="V334" s="7">
        <v>22</v>
      </c>
      <c r="W334" s="47" t="str">
        <f t="shared" ca="1" si="15"/>
        <v>チャレンジタワー 22F</v>
      </c>
      <c r="X334" s="47">
        <f ca="1">VLOOKUP($C334,OFFSET(quests!$A$1,0,0,COUNTA(quests!$A:$A),MATCH(X$2,quests!$1:$1,0)-MATCH($C$2,quests!$1:$1,0)+1),MATCH(X$2,quests!$1:$1,0)-MATCH($C$2,quests!$1:$1,0)+1,FALSE)</f>
        <v>0</v>
      </c>
      <c r="Y334" s="47">
        <f ca="1">VLOOKUP($C334,OFFSET(quests!$A$1,0,0,COUNTA(quests!$A:$A),MATCH(Y$2,quests!$1:$1,0)-MATCH($C$2,quests!$1:$1,0)+1),MATCH(Y$2,quests!$1:$1,0)-MATCH($C$2,quests!$1:$1,0)+1,FALSE)</f>
        <v>0</v>
      </c>
      <c r="Z334" s="47">
        <f ca="1">VLOOKUP($C334,OFFSET(quests!$A$1,0,0,COUNTA(quests!$A:$A),MATCH(Z$2,quests!$1:$1,0)-MATCH($C$2,quests!$1:$1,0)+1),MATCH(Z$2,quests!$1:$1,0)-MATCH($C$2,quests!$1:$1,0)+1,FALSE)</f>
        <v>0</v>
      </c>
      <c r="AA334" s="47">
        <f ca="1">VLOOKUP($C334,OFFSET(quests!$A$1,0,0,COUNTA(quests!$A:$A),MATCH(AA$2,quests!$1:$1,0)-MATCH($C$2,quests!$1:$1,0)+1),MATCH(AA$2,quests!$1:$1,0)-MATCH($C$2,quests!$1:$1,0)+1,FALSE)</f>
        <v>0</v>
      </c>
      <c r="AB334" s="7" t="s">
        <v>56</v>
      </c>
      <c r="AC334" s="7">
        <v>26</v>
      </c>
      <c r="AD334" s="7">
        <v>6</v>
      </c>
      <c r="AE334" s="7" t="s">
        <v>522</v>
      </c>
      <c r="AF334" s="7">
        <v>13</v>
      </c>
      <c r="AG334" s="7">
        <v>0</v>
      </c>
      <c r="AH334" s="7">
        <v>0</v>
      </c>
      <c r="AI334" s="7">
        <v>-1</v>
      </c>
      <c r="AJ334" s="7">
        <v>-1</v>
      </c>
      <c r="AK334" s="7" t="s">
        <v>1064</v>
      </c>
      <c r="AL334" s="12" t="s">
        <v>1695</v>
      </c>
      <c r="AM334" s="12" t="s">
        <v>2072</v>
      </c>
    </row>
    <row r="335" spans="1:39" ht="21" customHeight="1" x14ac:dyDescent="0.15">
      <c r="A335" s="42" t="str">
        <f t="shared" si="16"/>
        <v>13001_24</v>
      </c>
      <c r="B335" s="23">
        <v>3</v>
      </c>
      <c r="C335" s="10">
        <v>13001</v>
      </c>
      <c r="D335" s="47" t="str">
        <f ca="1">VLOOKUP($C335,OFFSET(quests!$A$1,0,0,COUNTA(quests!$A:$A),MATCH(D$1,quests!$1:$1,0)-MATCH($C$2,quests!$1:$1,0)+1),MATCH(D$1,quests!$1:$1,0)-MATCH($C$2,quests!$1:$1,0)+1,FALSE)</f>
        <v>チャレンジタワー(ソロ専用)</v>
      </c>
      <c r="E335" s="48" t="str">
        <f ca="1">VLOOKUP($C335,OFFSET(quests!$A$1,0,0,COUNTA(quests!$A:$A),MATCH(E$2,quests!$1:$1,0)-MATCH($C$2,quests!$1:$1,0)+1),MATCH(E$2,quests!$1:$1,0)-MATCH($C$2,quests!$1:$1,0)+1,FALSE)</f>
        <v>試練の塔</v>
      </c>
      <c r="F335" s="7">
        <v>24</v>
      </c>
      <c r="G335" s="7" t="s">
        <v>570</v>
      </c>
      <c r="H335" s="12" t="s">
        <v>445</v>
      </c>
      <c r="I335" s="12" t="s">
        <v>236</v>
      </c>
      <c r="J335" s="79" t="s">
        <v>458</v>
      </c>
      <c r="K335" s="188">
        <v>20</v>
      </c>
      <c r="L335" s="189">
        <v>2871</v>
      </c>
      <c r="M335" s="167">
        <v>1</v>
      </c>
      <c r="N335" s="167">
        <v>1</v>
      </c>
      <c r="O335" s="167">
        <v>1</v>
      </c>
      <c r="P335" s="167">
        <v>1</v>
      </c>
      <c r="Q335" s="167">
        <v>1</v>
      </c>
      <c r="R335" s="167">
        <v>3</v>
      </c>
      <c r="S335" s="167" t="s">
        <v>273</v>
      </c>
      <c r="T335" s="191" t="s">
        <v>462</v>
      </c>
      <c r="U335" s="7">
        <v>13001</v>
      </c>
      <c r="V335" s="7">
        <v>23</v>
      </c>
      <c r="W335" s="47" t="str">
        <f t="shared" ca="1" si="15"/>
        <v>チャレンジタワー 23F</v>
      </c>
      <c r="X335" s="47">
        <f ca="1">VLOOKUP($C335,OFFSET(quests!$A$1,0,0,COUNTA(quests!$A:$A),MATCH(X$2,quests!$1:$1,0)-MATCH($C$2,quests!$1:$1,0)+1),MATCH(X$2,quests!$1:$1,0)-MATCH($C$2,quests!$1:$1,0)+1,FALSE)</f>
        <v>0</v>
      </c>
      <c r="Y335" s="47">
        <f ca="1">VLOOKUP($C335,OFFSET(quests!$A$1,0,0,COUNTA(quests!$A:$A),MATCH(Y$2,quests!$1:$1,0)-MATCH($C$2,quests!$1:$1,0)+1),MATCH(Y$2,quests!$1:$1,0)-MATCH($C$2,quests!$1:$1,0)+1,FALSE)</f>
        <v>0</v>
      </c>
      <c r="Z335" s="47">
        <f ca="1">VLOOKUP($C335,OFFSET(quests!$A$1,0,0,COUNTA(quests!$A:$A),MATCH(Z$2,quests!$1:$1,0)-MATCH($C$2,quests!$1:$1,0)+1),MATCH(Z$2,quests!$1:$1,0)-MATCH($C$2,quests!$1:$1,0)+1,FALSE)</f>
        <v>0</v>
      </c>
      <c r="AA335" s="47">
        <f ca="1">VLOOKUP($C335,OFFSET(quests!$A$1,0,0,COUNTA(quests!$A:$A),MATCH(AA$2,quests!$1:$1,0)-MATCH($C$2,quests!$1:$1,0)+1),MATCH(AA$2,quests!$1:$1,0)-MATCH($C$2,quests!$1:$1,0)+1,FALSE)</f>
        <v>0</v>
      </c>
      <c r="AB335" s="7" t="s">
        <v>56</v>
      </c>
      <c r="AC335" s="7">
        <v>26</v>
      </c>
      <c r="AD335" s="7">
        <v>6</v>
      </c>
      <c r="AE335" s="7" t="s">
        <v>522</v>
      </c>
      <c r="AF335" s="7">
        <v>13</v>
      </c>
      <c r="AG335" s="7">
        <v>0</v>
      </c>
      <c r="AH335" s="7">
        <v>0</v>
      </c>
      <c r="AI335" s="7">
        <v>-1</v>
      </c>
      <c r="AJ335" s="7">
        <v>-1</v>
      </c>
      <c r="AK335" s="7" t="s">
        <v>1064</v>
      </c>
      <c r="AL335" s="12" t="s">
        <v>1695</v>
      </c>
      <c r="AM335" s="12" t="s">
        <v>2072</v>
      </c>
    </row>
    <row r="336" spans="1:39" ht="21" customHeight="1" x14ac:dyDescent="0.15">
      <c r="A336" s="42" t="str">
        <f t="shared" si="16"/>
        <v>13001_25</v>
      </c>
      <c r="B336" s="23">
        <v>3</v>
      </c>
      <c r="C336" s="10">
        <v>13001</v>
      </c>
      <c r="D336" s="47" t="str">
        <f ca="1">VLOOKUP($C336,OFFSET(quests!$A$1,0,0,COUNTA(quests!$A:$A),MATCH(D$1,quests!$1:$1,0)-MATCH($C$2,quests!$1:$1,0)+1),MATCH(D$1,quests!$1:$1,0)-MATCH($C$2,quests!$1:$1,0)+1,FALSE)</f>
        <v>チャレンジタワー(ソロ専用)</v>
      </c>
      <c r="E336" s="48" t="str">
        <f ca="1">VLOOKUP($C336,OFFSET(quests!$A$1,0,0,COUNTA(quests!$A:$A),MATCH(E$2,quests!$1:$1,0)-MATCH($C$2,quests!$1:$1,0)+1),MATCH(E$2,quests!$1:$1,0)-MATCH($C$2,quests!$1:$1,0)+1,FALSE)</f>
        <v>試練の塔</v>
      </c>
      <c r="F336" s="7">
        <v>25</v>
      </c>
      <c r="G336" s="7" t="s">
        <v>570</v>
      </c>
      <c r="H336" s="12" t="s">
        <v>446</v>
      </c>
      <c r="I336" s="12" t="s">
        <v>236</v>
      </c>
      <c r="J336" s="79" t="s">
        <v>453</v>
      </c>
      <c r="K336" s="188">
        <v>22</v>
      </c>
      <c r="L336" s="189">
        <v>3740</v>
      </c>
      <c r="M336" s="167">
        <v>1</v>
      </c>
      <c r="N336" s="167">
        <v>1</v>
      </c>
      <c r="O336" s="167">
        <v>1</v>
      </c>
      <c r="P336" s="167">
        <v>1</v>
      </c>
      <c r="Q336" s="167">
        <v>1</v>
      </c>
      <c r="R336" s="167">
        <v>3</v>
      </c>
      <c r="S336" s="167" t="s">
        <v>273</v>
      </c>
      <c r="T336" s="191" t="s">
        <v>453</v>
      </c>
      <c r="U336" s="7">
        <v>13001</v>
      </c>
      <c r="V336" s="7">
        <v>24</v>
      </c>
      <c r="W336" s="47" t="str">
        <f t="shared" ca="1" si="15"/>
        <v>チャレンジタワー 24F</v>
      </c>
      <c r="X336" s="47">
        <f ca="1">VLOOKUP($C336,OFFSET(quests!$A$1,0,0,COUNTA(quests!$A:$A),MATCH(X$2,quests!$1:$1,0)-MATCH($C$2,quests!$1:$1,0)+1),MATCH(X$2,quests!$1:$1,0)-MATCH($C$2,quests!$1:$1,0)+1,FALSE)</f>
        <v>0</v>
      </c>
      <c r="Y336" s="47">
        <f ca="1">VLOOKUP($C336,OFFSET(quests!$A$1,0,0,COUNTA(quests!$A:$A),MATCH(Y$2,quests!$1:$1,0)-MATCH($C$2,quests!$1:$1,0)+1),MATCH(Y$2,quests!$1:$1,0)-MATCH($C$2,quests!$1:$1,0)+1,FALSE)</f>
        <v>0</v>
      </c>
      <c r="Z336" s="47">
        <f ca="1">VLOOKUP($C336,OFFSET(quests!$A$1,0,0,COUNTA(quests!$A:$A),MATCH(Z$2,quests!$1:$1,0)-MATCH($C$2,quests!$1:$1,0)+1),MATCH(Z$2,quests!$1:$1,0)-MATCH($C$2,quests!$1:$1,0)+1,FALSE)</f>
        <v>0</v>
      </c>
      <c r="AA336" s="47">
        <f ca="1">VLOOKUP($C336,OFFSET(quests!$A$1,0,0,COUNTA(quests!$A:$A),MATCH(AA$2,quests!$1:$1,0)-MATCH($C$2,quests!$1:$1,0)+1),MATCH(AA$2,quests!$1:$1,0)-MATCH($C$2,quests!$1:$1,0)+1,FALSE)</f>
        <v>0</v>
      </c>
      <c r="AB336" s="7" t="s">
        <v>56</v>
      </c>
      <c r="AC336" s="7">
        <v>26</v>
      </c>
      <c r="AD336" s="7">
        <v>6</v>
      </c>
      <c r="AE336" s="7" t="s">
        <v>522</v>
      </c>
      <c r="AF336" s="7">
        <v>13</v>
      </c>
      <c r="AG336" s="7">
        <v>0</v>
      </c>
      <c r="AH336" s="7">
        <v>0</v>
      </c>
      <c r="AI336" s="7">
        <v>-1</v>
      </c>
      <c r="AJ336" s="7">
        <v>-1</v>
      </c>
      <c r="AK336" s="7" t="s">
        <v>1064</v>
      </c>
      <c r="AL336" s="12" t="s">
        <v>1695</v>
      </c>
      <c r="AM336" s="12" t="s">
        <v>2072</v>
      </c>
    </row>
    <row r="337" spans="1:39" ht="21" customHeight="1" x14ac:dyDescent="0.15">
      <c r="A337" s="42" t="str">
        <f t="shared" si="16"/>
        <v>13101_1</v>
      </c>
      <c r="B337" s="39">
        <v>1</v>
      </c>
      <c r="C337" s="10">
        <v>13101</v>
      </c>
      <c r="D337" s="47" t="str">
        <f ca="1">VLOOKUP($C337,OFFSET(quests!$A$1,0,0,COUNTA(quests!$A:$A),MATCH(D$1,quests!$1:$1,0)-MATCH($C$2,quests!$1:$1,0)+1),MATCH(D$1,quests!$1:$1,0)-MATCH($C$2,quests!$1:$1,0)+1,FALSE)</f>
        <v>チャレンジタワー</v>
      </c>
      <c r="E337" s="48" t="str">
        <f ca="1">VLOOKUP($C337,OFFSET(quests!$A$1,0,0,COUNTA(quests!$A:$A),MATCH(E$2,quests!$1:$1,0)-MATCH($C$2,quests!$1:$1,0)+1),MATCH(E$2,quests!$1:$1,0)-MATCH($C$2,quests!$1:$1,0)+1,FALSE)</f>
        <v>リセット型チャレンジタワー</v>
      </c>
      <c r="F337" s="7">
        <v>1</v>
      </c>
      <c r="G337" s="7" t="s">
        <v>570</v>
      </c>
      <c r="H337" s="12" t="s">
        <v>708</v>
      </c>
      <c r="I337" s="12" t="s">
        <v>236</v>
      </c>
      <c r="J337" s="12">
        <v>345</v>
      </c>
      <c r="K337" s="188">
        <v>3</v>
      </c>
      <c r="L337" s="188">
        <v>120</v>
      </c>
      <c r="M337" s="167">
        <v>1</v>
      </c>
      <c r="N337" s="167">
        <v>1</v>
      </c>
      <c r="O337" s="167">
        <v>1</v>
      </c>
      <c r="P337" s="167">
        <v>1</v>
      </c>
      <c r="Q337" s="167">
        <v>1</v>
      </c>
      <c r="R337" s="167">
        <v>3</v>
      </c>
      <c r="S337" s="167" t="s">
        <v>273</v>
      </c>
      <c r="T337" s="191" t="s">
        <v>386</v>
      </c>
      <c r="U337" s="7" t="s">
        <v>169</v>
      </c>
      <c r="V337" s="7" t="s">
        <v>169</v>
      </c>
      <c r="W337" s="47" t="str">
        <f t="shared" ca="1" si="15"/>
        <v/>
      </c>
      <c r="X337" s="47">
        <f ca="1">VLOOKUP($C337,OFFSET(quests!$A$1,0,0,COUNTA(quests!$A:$A),MATCH(X$2,quests!$1:$1,0)-MATCH($C$2,quests!$1:$1,0)+1),MATCH(X$2,quests!$1:$1,0)-MATCH($C$2,quests!$1:$1,0)+1,FALSE)</f>
        <v>0</v>
      </c>
      <c r="Y337" s="47">
        <f ca="1">VLOOKUP($C337,OFFSET(quests!$A$1,0,0,COUNTA(quests!$A:$A),MATCH(Y$2,quests!$1:$1,0)-MATCH($C$2,quests!$1:$1,0)+1),MATCH(Y$2,quests!$1:$1,0)-MATCH($C$2,quests!$1:$1,0)+1,FALSE)</f>
        <v>0</v>
      </c>
      <c r="Z337" s="47">
        <f ca="1">VLOOKUP($C337,OFFSET(quests!$A$1,0,0,COUNTA(quests!$A:$A),MATCH(Z$2,quests!$1:$1,0)-MATCH($C$2,quests!$1:$1,0)+1),MATCH(Z$2,quests!$1:$1,0)-MATCH($C$2,quests!$1:$1,0)+1,FALSE)</f>
        <v>0</v>
      </c>
      <c r="AA337" s="47">
        <f ca="1">VLOOKUP($C337,OFFSET(quests!$A$1,0,0,COUNTA(quests!$A:$A),MATCH(AA$2,quests!$1:$1,0)-MATCH($C$2,quests!$1:$1,0)+1),MATCH(AA$2,quests!$1:$1,0)-MATCH($C$2,quests!$1:$1,0)+1,FALSE)</f>
        <v>0</v>
      </c>
      <c r="AB337" s="7" t="s">
        <v>56</v>
      </c>
      <c r="AC337" s="7">
        <v>26</v>
      </c>
      <c r="AD337" s="7">
        <v>6</v>
      </c>
      <c r="AE337" s="7" t="s">
        <v>522</v>
      </c>
      <c r="AF337" s="7">
        <v>13</v>
      </c>
      <c r="AG337" s="7">
        <v>0</v>
      </c>
      <c r="AH337" s="7">
        <v>0</v>
      </c>
      <c r="AI337" s="7">
        <v>-1</v>
      </c>
      <c r="AJ337" s="7">
        <v>-1</v>
      </c>
      <c r="AK337" s="7" t="s">
        <v>1064</v>
      </c>
      <c r="AL337" s="12" t="s">
        <v>1695</v>
      </c>
      <c r="AM337" s="12" t="s">
        <v>2072</v>
      </c>
    </row>
    <row r="338" spans="1:39" ht="21" customHeight="1" x14ac:dyDescent="0.15">
      <c r="A338" s="42" t="str">
        <f t="shared" si="16"/>
        <v>13101_2</v>
      </c>
      <c r="B338" s="39">
        <v>1</v>
      </c>
      <c r="C338" s="10">
        <v>13101</v>
      </c>
      <c r="D338" s="47" t="str">
        <f ca="1">VLOOKUP($C338,OFFSET(quests!$A$1,0,0,COUNTA(quests!$A:$A),MATCH(D$1,quests!$1:$1,0)-MATCH($C$2,quests!$1:$1,0)+1),MATCH(D$1,quests!$1:$1,0)-MATCH($C$2,quests!$1:$1,0)+1,FALSE)</f>
        <v>チャレンジタワー</v>
      </c>
      <c r="E338" s="48" t="str">
        <f ca="1">VLOOKUP($C338,OFFSET(quests!$A$1,0,0,COUNTA(quests!$A:$A),MATCH(E$2,quests!$1:$1,0)-MATCH($C$2,quests!$1:$1,0)+1),MATCH(E$2,quests!$1:$1,0)-MATCH($C$2,quests!$1:$1,0)+1,FALSE)</f>
        <v>リセット型チャレンジタワー</v>
      </c>
      <c r="F338" s="7">
        <v>2</v>
      </c>
      <c r="G338" s="7" t="s">
        <v>570</v>
      </c>
      <c r="H338" s="12" t="s">
        <v>254</v>
      </c>
      <c r="I338" s="12" t="s">
        <v>236</v>
      </c>
      <c r="J338" s="12">
        <v>333</v>
      </c>
      <c r="K338" s="188">
        <v>4</v>
      </c>
      <c r="L338" s="188">
        <v>176</v>
      </c>
      <c r="M338" s="167">
        <v>1</v>
      </c>
      <c r="N338" s="167">
        <v>1</v>
      </c>
      <c r="O338" s="167">
        <v>1</v>
      </c>
      <c r="P338" s="167">
        <v>1</v>
      </c>
      <c r="Q338" s="167">
        <v>1</v>
      </c>
      <c r="R338" s="167">
        <v>3</v>
      </c>
      <c r="S338" s="167" t="s">
        <v>273</v>
      </c>
      <c r="T338" s="191" t="s">
        <v>387</v>
      </c>
      <c r="U338" s="7">
        <v>13101</v>
      </c>
      <c r="V338" s="7">
        <v>1</v>
      </c>
      <c r="W338" s="47" t="str">
        <f t="shared" ca="1" si="15"/>
        <v>チャレンジタワー 1F</v>
      </c>
      <c r="X338" s="47">
        <f ca="1">VLOOKUP($C338,OFFSET(quests!$A$1,0,0,COUNTA(quests!$A:$A),MATCH(X$2,quests!$1:$1,0)-MATCH($C$2,quests!$1:$1,0)+1),MATCH(X$2,quests!$1:$1,0)-MATCH($C$2,quests!$1:$1,0)+1,FALSE)</f>
        <v>0</v>
      </c>
      <c r="Y338" s="47">
        <f ca="1">VLOOKUP($C338,OFFSET(quests!$A$1,0,0,COUNTA(quests!$A:$A),MATCH(Y$2,quests!$1:$1,0)-MATCH($C$2,quests!$1:$1,0)+1),MATCH(Y$2,quests!$1:$1,0)-MATCH($C$2,quests!$1:$1,0)+1,FALSE)</f>
        <v>0</v>
      </c>
      <c r="Z338" s="47">
        <f ca="1">VLOOKUP($C338,OFFSET(quests!$A$1,0,0,COUNTA(quests!$A:$A),MATCH(Z$2,quests!$1:$1,0)-MATCH($C$2,quests!$1:$1,0)+1),MATCH(Z$2,quests!$1:$1,0)-MATCH($C$2,quests!$1:$1,0)+1,FALSE)</f>
        <v>0</v>
      </c>
      <c r="AA338" s="47">
        <f ca="1">VLOOKUP($C338,OFFSET(quests!$A$1,0,0,COUNTA(quests!$A:$A),MATCH(AA$2,quests!$1:$1,0)-MATCH($C$2,quests!$1:$1,0)+1),MATCH(AA$2,quests!$1:$1,0)-MATCH($C$2,quests!$1:$1,0)+1,FALSE)</f>
        <v>0</v>
      </c>
      <c r="AB338" s="7" t="s">
        <v>56</v>
      </c>
      <c r="AC338" s="7">
        <v>26</v>
      </c>
      <c r="AD338" s="7">
        <v>6</v>
      </c>
      <c r="AE338" s="7" t="s">
        <v>522</v>
      </c>
      <c r="AF338" s="7">
        <v>13</v>
      </c>
      <c r="AG338" s="7">
        <v>0</v>
      </c>
      <c r="AH338" s="7">
        <v>0</v>
      </c>
      <c r="AI338" s="7">
        <v>-1</v>
      </c>
      <c r="AJ338" s="7">
        <v>-1</v>
      </c>
      <c r="AK338" s="7" t="s">
        <v>1064</v>
      </c>
      <c r="AL338" s="12" t="s">
        <v>1695</v>
      </c>
      <c r="AM338" s="12" t="s">
        <v>2072</v>
      </c>
    </row>
    <row r="339" spans="1:39" ht="21" customHeight="1" x14ac:dyDescent="0.15">
      <c r="A339" s="42" t="str">
        <f t="shared" si="16"/>
        <v>13101_3</v>
      </c>
      <c r="B339" s="39">
        <v>1</v>
      </c>
      <c r="C339" s="10">
        <v>13101</v>
      </c>
      <c r="D339" s="47" t="str">
        <f ca="1">VLOOKUP($C339,OFFSET(quests!$A$1,0,0,COUNTA(quests!$A:$A),MATCH(D$1,quests!$1:$1,0)-MATCH($C$2,quests!$1:$1,0)+1),MATCH(D$1,quests!$1:$1,0)-MATCH($C$2,quests!$1:$1,0)+1,FALSE)</f>
        <v>チャレンジタワー</v>
      </c>
      <c r="E339" s="48" t="str">
        <f ca="1">VLOOKUP($C339,OFFSET(quests!$A$1,0,0,COUNTA(quests!$A:$A),MATCH(E$2,quests!$1:$1,0)-MATCH($C$2,quests!$1:$1,0)+1),MATCH(E$2,quests!$1:$1,0)-MATCH($C$2,quests!$1:$1,0)+1,FALSE)</f>
        <v>リセット型チャレンジタワー</v>
      </c>
      <c r="F339" s="7">
        <v>3</v>
      </c>
      <c r="G339" s="7" t="s">
        <v>570</v>
      </c>
      <c r="H339" s="12" t="s">
        <v>255</v>
      </c>
      <c r="I339" s="12" t="s">
        <v>236</v>
      </c>
      <c r="J339" s="12">
        <v>337</v>
      </c>
      <c r="K339" s="188">
        <v>5</v>
      </c>
      <c r="L339" s="188">
        <v>242</v>
      </c>
      <c r="M339" s="167">
        <v>1</v>
      </c>
      <c r="N339" s="167">
        <v>1</v>
      </c>
      <c r="O339" s="167">
        <v>1</v>
      </c>
      <c r="P339" s="167">
        <v>1</v>
      </c>
      <c r="Q339" s="167">
        <v>1</v>
      </c>
      <c r="R339" s="167">
        <v>3</v>
      </c>
      <c r="S339" s="167" t="s">
        <v>529</v>
      </c>
      <c r="T339" s="191" t="s">
        <v>388</v>
      </c>
      <c r="U339" s="7">
        <v>13101</v>
      </c>
      <c r="V339" s="7">
        <v>2</v>
      </c>
      <c r="W339" s="47" t="str">
        <f t="shared" ca="1" si="15"/>
        <v>チャレンジタワー 2F</v>
      </c>
      <c r="X339" s="47">
        <f ca="1">VLOOKUP($C339,OFFSET(quests!$A$1,0,0,COUNTA(quests!$A:$A),MATCH(X$2,quests!$1:$1,0)-MATCH($C$2,quests!$1:$1,0)+1),MATCH(X$2,quests!$1:$1,0)-MATCH($C$2,quests!$1:$1,0)+1,FALSE)</f>
        <v>0</v>
      </c>
      <c r="Y339" s="47">
        <f ca="1">VLOOKUP($C339,OFFSET(quests!$A$1,0,0,COUNTA(quests!$A:$A),MATCH(Y$2,quests!$1:$1,0)-MATCH($C$2,quests!$1:$1,0)+1),MATCH(Y$2,quests!$1:$1,0)-MATCH($C$2,quests!$1:$1,0)+1,FALSE)</f>
        <v>0</v>
      </c>
      <c r="Z339" s="47">
        <f ca="1">VLOOKUP($C339,OFFSET(quests!$A$1,0,0,COUNTA(quests!$A:$A),MATCH(Z$2,quests!$1:$1,0)-MATCH($C$2,quests!$1:$1,0)+1),MATCH(Z$2,quests!$1:$1,0)-MATCH($C$2,quests!$1:$1,0)+1,FALSE)</f>
        <v>0</v>
      </c>
      <c r="AA339" s="47">
        <f ca="1">VLOOKUP($C339,OFFSET(quests!$A$1,0,0,COUNTA(quests!$A:$A),MATCH(AA$2,quests!$1:$1,0)-MATCH($C$2,quests!$1:$1,0)+1),MATCH(AA$2,quests!$1:$1,0)-MATCH($C$2,quests!$1:$1,0)+1,FALSE)</f>
        <v>0</v>
      </c>
      <c r="AB339" s="7" t="s">
        <v>56</v>
      </c>
      <c r="AC339" s="7">
        <v>26</v>
      </c>
      <c r="AD339" s="7">
        <v>6</v>
      </c>
      <c r="AE339" s="7" t="s">
        <v>522</v>
      </c>
      <c r="AF339" s="7">
        <v>13</v>
      </c>
      <c r="AG339" s="7">
        <v>0</v>
      </c>
      <c r="AH339" s="7">
        <v>0</v>
      </c>
      <c r="AI339" s="7">
        <v>-1</v>
      </c>
      <c r="AJ339" s="7">
        <v>-1</v>
      </c>
      <c r="AK339" s="7" t="s">
        <v>1064</v>
      </c>
      <c r="AL339" s="12" t="s">
        <v>1695</v>
      </c>
      <c r="AM339" s="12" t="s">
        <v>2072</v>
      </c>
    </row>
    <row r="340" spans="1:39" ht="21" customHeight="1" x14ac:dyDescent="0.15">
      <c r="A340" s="42" t="str">
        <f t="shared" si="16"/>
        <v>13101_4</v>
      </c>
      <c r="B340" s="39">
        <v>1</v>
      </c>
      <c r="C340" s="10">
        <v>13101</v>
      </c>
      <c r="D340" s="47" t="str">
        <f ca="1">VLOOKUP($C340,OFFSET(quests!$A$1,0,0,COUNTA(quests!$A:$A),MATCH(D$1,quests!$1:$1,0)-MATCH($C$2,quests!$1:$1,0)+1),MATCH(D$1,quests!$1:$1,0)-MATCH($C$2,quests!$1:$1,0)+1,FALSE)</f>
        <v>チャレンジタワー</v>
      </c>
      <c r="E340" s="48" t="str">
        <f ca="1">VLOOKUP($C340,OFFSET(quests!$A$1,0,0,COUNTA(quests!$A:$A),MATCH(E$2,quests!$1:$1,0)-MATCH($C$2,quests!$1:$1,0)+1),MATCH(E$2,quests!$1:$1,0)-MATCH($C$2,quests!$1:$1,0)+1,FALSE)</f>
        <v>リセット型チャレンジタワー</v>
      </c>
      <c r="F340" s="7">
        <v>4</v>
      </c>
      <c r="G340" s="7" t="s">
        <v>570</v>
      </c>
      <c r="H340" s="12" t="s">
        <v>256</v>
      </c>
      <c r="I340" s="12" t="s">
        <v>236</v>
      </c>
      <c r="J340" s="12">
        <v>341</v>
      </c>
      <c r="K340" s="188">
        <v>7</v>
      </c>
      <c r="L340" s="188">
        <v>508</v>
      </c>
      <c r="M340" s="167">
        <v>1</v>
      </c>
      <c r="N340" s="167">
        <v>1</v>
      </c>
      <c r="O340" s="167">
        <v>1</v>
      </c>
      <c r="P340" s="167">
        <v>1</v>
      </c>
      <c r="Q340" s="167">
        <v>1</v>
      </c>
      <c r="R340" s="167">
        <v>3</v>
      </c>
      <c r="S340" s="167" t="s">
        <v>273</v>
      </c>
      <c r="T340" s="191" t="s">
        <v>454</v>
      </c>
      <c r="U340" s="7">
        <v>13101</v>
      </c>
      <c r="V340" s="7">
        <v>3</v>
      </c>
      <c r="W340" s="47" t="str">
        <f t="shared" ca="1" si="15"/>
        <v>チャレンジタワー 3F</v>
      </c>
      <c r="X340" s="47">
        <f ca="1">VLOOKUP($C340,OFFSET(quests!$A$1,0,0,COUNTA(quests!$A:$A),MATCH(X$2,quests!$1:$1,0)-MATCH($C$2,quests!$1:$1,0)+1),MATCH(X$2,quests!$1:$1,0)-MATCH($C$2,quests!$1:$1,0)+1,FALSE)</f>
        <v>0</v>
      </c>
      <c r="Y340" s="47">
        <f ca="1">VLOOKUP($C340,OFFSET(quests!$A$1,0,0,COUNTA(quests!$A:$A),MATCH(Y$2,quests!$1:$1,0)-MATCH($C$2,quests!$1:$1,0)+1),MATCH(Y$2,quests!$1:$1,0)-MATCH($C$2,quests!$1:$1,0)+1,FALSE)</f>
        <v>0</v>
      </c>
      <c r="Z340" s="47">
        <f ca="1">VLOOKUP($C340,OFFSET(quests!$A$1,0,0,COUNTA(quests!$A:$A),MATCH(Z$2,quests!$1:$1,0)-MATCH($C$2,quests!$1:$1,0)+1),MATCH(Z$2,quests!$1:$1,0)-MATCH($C$2,quests!$1:$1,0)+1,FALSE)</f>
        <v>0</v>
      </c>
      <c r="AA340" s="47">
        <f ca="1">VLOOKUP($C340,OFFSET(quests!$A$1,0,0,COUNTA(quests!$A:$A),MATCH(AA$2,quests!$1:$1,0)-MATCH($C$2,quests!$1:$1,0)+1),MATCH(AA$2,quests!$1:$1,0)-MATCH($C$2,quests!$1:$1,0)+1,FALSE)</f>
        <v>0</v>
      </c>
      <c r="AB340" s="7" t="s">
        <v>56</v>
      </c>
      <c r="AC340" s="7">
        <v>26</v>
      </c>
      <c r="AD340" s="7">
        <v>6</v>
      </c>
      <c r="AE340" s="7" t="s">
        <v>522</v>
      </c>
      <c r="AF340" s="7">
        <v>13</v>
      </c>
      <c r="AG340" s="7">
        <v>0</v>
      </c>
      <c r="AH340" s="7">
        <v>0</v>
      </c>
      <c r="AI340" s="7">
        <v>-1</v>
      </c>
      <c r="AJ340" s="7">
        <v>-1</v>
      </c>
      <c r="AK340" s="7" t="s">
        <v>1064</v>
      </c>
      <c r="AL340" s="12" t="s">
        <v>1695</v>
      </c>
      <c r="AM340" s="12" t="s">
        <v>2072</v>
      </c>
    </row>
    <row r="341" spans="1:39" ht="21" customHeight="1" x14ac:dyDescent="0.15">
      <c r="A341" s="42" t="str">
        <f t="shared" si="16"/>
        <v>13101_5</v>
      </c>
      <c r="B341" s="39">
        <v>1</v>
      </c>
      <c r="C341" s="10">
        <v>13101</v>
      </c>
      <c r="D341" s="47" t="str">
        <f ca="1">VLOOKUP($C341,OFFSET(quests!$A$1,0,0,COUNTA(quests!$A:$A),MATCH(D$1,quests!$1:$1,0)-MATCH($C$2,quests!$1:$1,0)+1),MATCH(D$1,quests!$1:$1,0)-MATCH($C$2,quests!$1:$1,0)+1,FALSE)</f>
        <v>チャレンジタワー</v>
      </c>
      <c r="E341" s="48" t="str">
        <f ca="1">VLOOKUP($C341,OFFSET(quests!$A$1,0,0,COUNTA(quests!$A:$A),MATCH(E$2,quests!$1:$1,0)-MATCH($C$2,quests!$1:$1,0)+1),MATCH(E$2,quests!$1:$1,0)-MATCH($C$2,quests!$1:$1,0)+1,FALSE)</f>
        <v>リセット型チャレンジタワー</v>
      </c>
      <c r="F341" s="7">
        <v>5</v>
      </c>
      <c r="G341" s="7" t="s">
        <v>570</v>
      </c>
      <c r="H341" s="12" t="s">
        <v>257</v>
      </c>
      <c r="I341" s="12" t="s">
        <v>236</v>
      </c>
      <c r="J341" s="12">
        <v>333</v>
      </c>
      <c r="K341" s="188">
        <v>7</v>
      </c>
      <c r="L341" s="188">
        <v>280</v>
      </c>
      <c r="M341" s="167">
        <v>1</v>
      </c>
      <c r="N341" s="167">
        <v>1</v>
      </c>
      <c r="O341" s="167">
        <v>1</v>
      </c>
      <c r="P341" s="167">
        <v>1</v>
      </c>
      <c r="Q341" s="167">
        <v>1</v>
      </c>
      <c r="R341" s="167">
        <v>3</v>
      </c>
      <c r="S341" s="167" t="s">
        <v>273</v>
      </c>
      <c r="T341" s="191" t="s">
        <v>277</v>
      </c>
      <c r="U341" s="7">
        <v>13101</v>
      </c>
      <c r="V341" s="7">
        <v>4</v>
      </c>
      <c r="W341" s="47" t="str">
        <f t="shared" ca="1" si="15"/>
        <v>チャレンジタワー 4F</v>
      </c>
      <c r="X341" s="47">
        <f ca="1">VLOOKUP($C341,OFFSET(quests!$A$1,0,0,COUNTA(quests!$A:$A),MATCH(X$2,quests!$1:$1,0)-MATCH($C$2,quests!$1:$1,0)+1),MATCH(X$2,quests!$1:$1,0)-MATCH($C$2,quests!$1:$1,0)+1,FALSE)</f>
        <v>0</v>
      </c>
      <c r="Y341" s="47">
        <f ca="1">VLOOKUP($C341,OFFSET(quests!$A$1,0,0,COUNTA(quests!$A:$A),MATCH(Y$2,quests!$1:$1,0)-MATCH($C$2,quests!$1:$1,0)+1),MATCH(Y$2,quests!$1:$1,0)-MATCH($C$2,quests!$1:$1,0)+1,FALSE)</f>
        <v>0</v>
      </c>
      <c r="Z341" s="47">
        <f ca="1">VLOOKUP($C341,OFFSET(quests!$A$1,0,0,COUNTA(quests!$A:$A),MATCH(Z$2,quests!$1:$1,0)-MATCH($C$2,quests!$1:$1,0)+1),MATCH(Z$2,quests!$1:$1,0)-MATCH($C$2,quests!$1:$1,0)+1,FALSE)</f>
        <v>0</v>
      </c>
      <c r="AA341" s="47">
        <f ca="1">VLOOKUP($C341,OFFSET(quests!$A$1,0,0,COUNTA(quests!$A:$A),MATCH(AA$2,quests!$1:$1,0)-MATCH($C$2,quests!$1:$1,0)+1),MATCH(AA$2,quests!$1:$1,0)-MATCH($C$2,quests!$1:$1,0)+1,FALSE)</f>
        <v>0</v>
      </c>
      <c r="AB341" s="7" t="s">
        <v>56</v>
      </c>
      <c r="AC341" s="7">
        <v>26</v>
      </c>
      <c r="AD341" s="7">
        <v>6</v>
      </c>
      <c r="AE341" s="7" t="s">
        <v>522</v>
      </c>
      <c r="AF341" s="7">
        <v>13</v>
      </c>
      <c r="AG341" s="7">
        <v>0</v>
      </c>
      <c r="AH341" s="7">
        <v>0</v>
      </c>
      <c r="AI341" s="7">
        <v>-1</v>
      </c>
      <c r="AJ341" s="7">
        <v>-1</v>
      </c>
      <c r="AK341" s="7" t="s">
        <v>1064</v>
      </c>
      <c r="AL341" s="12" t="s">
        <v>1695</v>
      </c>
      <c r="AM341" s="12" t="s">
        <v>2072</v>
      </c>
    </row>
    <row r="342" spans="1:39" ht="21" customHeight="1" x14ac:dyDescent="0.15">
      <c r="A342" s="42" t="str">
        <f t="shared" si="16"/>
        <v>13101_6</v>
      </c>
      <c r="B342" s="39">
        <v>1</v>
      </c>
      <c r="C342" s="10">
        <v>13101</v>
      </c>
      <c r="D342" s="47" t="str">
        <f ca="1">VLOOKUP($C342,OFFSET(quests!$A$1,0,0,COUNTA(quests!$A:$A),MATCH(D$1,quests!$1:$1,0)-MATCH($C$2,quests!$1:$1,0)+1),MATCH(D$1,quests!$1:$1,0)-MATCH($C$2,quests!$1:$1,0)+1,FALSE)</f>
        <v>チャレンジタワー</v>
      </c>
      <c r="E342" s="48" t="str">
        <f ca="1">VLOOKUP($C342,OFFSET(quests!$A$1,0,0,COUNTA(quests!$A:$A),MATCH(E$2,quests!$1:$1,0)-MATCH($C$2,quests!$1:$1,0)+1),MATCH(E$2,quests!$1:$1,0)-MATCH($C$2,quests!$1:$1,0)+1,FALSE)</f>
        <v>リセット型チャレンジタワー</v>
      </c>
      <c r="F342" s="7">
        <v>6</v>
      </c>
      <c r="G342" s="7" t="s">
        <v>570</v>
      </c>
      <c r="H342" s="12" t="s">
        <v>258</v>
      </c>
      <c r="I342" s="12" t="s">
        <v>236</v>
      </c>
      <c r="J342" s="12">
        <v>346</v>
      </c>
      <c r="K342" s="188">
        <v>8</v>
      </c>
      <c r="L342" s="188">
        <v>474</v>
      </c>
      <c r="M342" s="167">
        <v>1</v>
      </c>
      <c r="N342" s="167">
        <v>1</v>
      </c>
      <c r="O342" s="167">
        <v>1</v>
      </c>
      <c r="P342" s="167">
        <v>1</v>
      </c>
      <c r="Q342" s="167">
        <v>1</v>
      </c>
      <c r="R342" s="167">
        <v>3</v>
      </c>
      <c r="S342" s="167" t="s">
        <v>273</v>
      </c>
      <c r="T342" s="191" t="s">
        <v>389</v>
      </c>
      <c r="U342" s="7">
        <v>13101</v>
      </c>
      <c r="V342" s="7">
        <v>5</v>
      </c>
      <c r="W342" s="47" t="str">
        <f t="shared" ca="1" si="15"/>
        <v>チャレンジタワー 5F</v>
      </c>
      <c r="X342" s="47">
        <f ca="1">VLOOKUP($C342,OFFSET(quests!$A$1,0,0,COUNTA(quests!$A:$A),MATCH(X$2,quests!$1:$1,0)-MATCH($C$2,quests!$1:$1,0)+1),MATCH(X$2,quests!$1:$1,0)-MATCH($C$2,quests!$1:$1,0)+1,FALSE)</f>
        <v>0</v>
      </c>
      <c r="Y342" s="47">
        <f ca="1">VLOOKUP($C342,OFFSET(quests!$A$1,0,0,COUNTA(quests!$A:$A),MATCH(Y$2,quests!$1:$1,0)-MATCH($C$2,quests!$1:$1,0)+1),MATCH(Y$2,quests!$1:$1,0)-MATCH($C$2,quests!$1:$1,0)+1,FALSE)</f>
        <v>0</v>
      </c>
      <c r="Z342" s="47">
        <f ca="1">VLOOKUP($C342,OFFSET(quests!$A$1,0,0,COUNTA(quests!$A:$A),MATCH(Z$2,quests!$1:$1,0)-MATCH($C$2,quests!$1:$1,0)+1),MATCH(Z$2,quests!$1:$1,0)-MATCH($C$2,quests!$1:$1,0)+1,FALSE)</f>
        <v>0</v>
      </c>
      <c r="AA342" s="47">
        <f ca="1">VLOOKUP($C342,OFFSET(quests!$A$1,0,0,COUNTA(quests!$A:$A),MATCH(AA$2,quests!$1:$1,0)-MATCH($C$2,quests!$1:$1,0)+1),MATCH(AA$2,quests!$1:$1,0)-MATCH($C$2,quests!$1:$1,0)+1,FALSE)</f>
        <v>0</v>
      </c>
      <c r="AB342" s="7" t="s">
        <v>56</v>
      </c>
      <c r="AC342" s="7">
        <v>26</v>
      </c>
      <c r="AD342" s="7">
        <v>6</v>
      </c>
      <c r="AE342" s="7" t="s">
        <v>522</v>
      </c>
      <c r="AF342" s="7">
        <v>13</v>
      </c>
      <c r="AG342" s="7">
        <v>0</v>
      </c>
      <c r="AH342" s="7">
        <v>0</v>
      </c>
      <c r="AI342" s="7">
        <v>-1</v>
      </c>
      <c r="AJ342" s="7">
        <v>-1</v>
      </c>
      <c r="AK342" s="7" t="s">
        <v>1064</v>
      </c>
      <c r="AL342" s="12" t="s">
        <v>1695</v>
      </c>
      <c r="AM342" s="12" t="s">
        <v>2072</v>
      </c>
    </row>
    <row r="343" spans="1:39" ht="21" customHeight="1" x14ac:dyDescent="0.15">
      <c r="A343" s="42" t="str">
        <f t="shared" si="16"/>
        <v>13101_7</v>
      </c>
      <c r="B343" s="39">
        <v>1</v>
      </c>
      <c r="C343" s="10">
        <v>13101</v>
      </c>
      <c r="D343" s="47" t="str">
        <f ca="1">VLOOKUP($C343,OFFSET(quests!$A$1,0,0,COUNTA(quests!$A:$A),MATCH(D$1,quests!$1:$1,0)-MATCH($C$2,quests!$1:$1,0)+1),MATCH(D$1,quests!$1:$1,0)-MATCH($C$2,quests!$1:$1,0)+1,FALSE)</f>
        <v>チャレンジタワー</v>
      </c>
      <c r="E343" s="48" t="str">
        <f ca="1">VLOOKUP($C343,OFFSET(quests!$A$1,0,0,COUNTA(quests!$A:$A),MATCH(E$2,quests!$1:$1,0)-MATCH($C$2,quests!$1:$1,0)+1),MATCH(E$2,quests!$1:$1,0)-MATCH($C$2,quests!$1:$1,0)+1,FALSE)</f>
        <v>リセット型チャレンジタワー</v>
      </c>
      <c r="F343" s="7">
        <v>7</v>
      </c>
      <c r="G343" s="7" t="s">
        <v>570</v>
      </c>
      <c r="H343" s="12" t="s">
        <v>259</v>
      </c>
      <c r="I343" s="12" t="s">
        <v>236</v>
      </c>
      <c r="J343" s="12">
        <v>342</v>
      </c>
      <c r="K343" s="188">
        <v>8</v>
      </c>
      <c r="L343" s="188">
        <v>486</v>
      </c>
      <c r="M343" s="167">
        <v>1</v>
      </c>
      <c r="N343" s="167">
        <v>1</v>
      </c>
      <c r="O343" s="167">
        <v>1</v>
      </c>
      <c r="P343" s="167">
        <v>1</v>
      </c>
      <c r="Q343" s="167">
        <v>1</v>
      </c>
      <c r="R343" s="167">
        <v>3</v>
      </c>
      <c r="S343" s="167" t="s">
        <v>273</v>
      </c>
      <c r="T343" s="191" t="s">
        <v>390</v>
      </c>
      <c r="U343" s="7">
        <v>13101</v>
      </c>
      <c r="V343" s="7">
        <v>6</v>
      </c>
      <c r="W343" s="47" t="str">
        <f t="shared" ca="1" si="15"/>
        <v>チャレンジタワー 6F</v>
      </c>
      <c r="X343" s="47">
        <f ca="1">VLOOKUP($C343,OFFSET(quests!$A$1,0,0,COUNTA(quests!$A:$A),MATCH(X$2,quests!$1:$1,0)-MATCH($C$2,quests!$1:$1,0)+1),MATCH(X$2,quests!$1:$1,0)-MATCH($C$2,quests!$1:$1,0)+1,FALSE)</f>
        <v>0</v>
      </c>
      <c r="Y343" s="47">
        <f ca="1">VLOOKUP($C343,OFFSET(quests!$A$1,0,0,COUNTA(quests!$A:$A),MATCH(Y$2,quests!$1:$1,0)-MATCH($C$2,quests!$1:$1,0)+1),MATCH(Y$2,quests!$1:$1,0)-MATCH($C$2,quests!$1:$1,0)+1,FALSE)</f>
        <v>0</v>
      </c>
      <c r="Z343" s="47">
        <f ca="1">VLOOKUP($C343,OFFSET(quests!$A$1,0,0,COUNTA(quests!$A:$A),MATCH(Z$2,quests!$1:$1,0)-MATCH($C$2,quests!$1:$1,0)+1),MATCH(Z$2,quests!$1:$1,0)-MATCH($C$2,quests!$1:$1,0)+1,FALSE)</f>
        <v>0</v>
      </c>
      <c r="AA343" s="47">
        <f ca="1">VLOOKUP($C343,OFFSET(quests!$A$1,0,0,COUNTA(quests!$A:$A),MATCH(AA$2,quests!$1:$1,0)-MATCH($C$2,quests!$1:$1,0)+1),MATCH(AA$2,quests!$1:$1,0)-MATCH($C$2,quests!$1:$1,0)+1,FALSE)</f>
        <v>0</v>
      </c>
      <c r="AB343" s="7" t="s">
        <v>56</v>
      </c>
      <c r="AC343" s="7">
        <v>26</v>
      </c>
      <c r="AD343" s="7">
        <v>6</v>
      </c>
      <c r="AE343" s="7" t="s">
        <v>522</v>
      </c>
      <c r="AF343" s="7">
        <v>13</v>
      </c>
      <c r="AG343" s="7">
        <v>0</v>
      </c>
      <c r="AH343" s="7">
        <v>0</v>
      </c>
      <c r="AI343" s="7">
        <v>-1</v>
      </c>
      <c r="AJ343" s="7">
        <v>-1</v>
      </c>
      <c r="AK343" s="7" t="s">
        <v>1064</v>
      </c>
      <c r="AL343" s="12" t="s">
        <v>1695</v>
      </c>
      <c r="AM343" s="12" t="s">
        <v>2072</v>
      </c>
    </row>
    <row r="344" spans="1:39" ht="21" customHeight="1" x14ac:dyDescent="0.15">
      <c r="A344" s="42" t="str">
        <f t="shared" si="16"/>
        <v>13101_8</v>
      </c>
      <c r="B344" s="39">
        <v>1</v>
      </c>
      <c r="C344" s="10">
        <v>13101</v>
      </c>
      <c r="D344" s="47" t="str">
        <f ca="1">VLOOKUP($C344,OFFSET(quests!$A$1,0,0,COUNTA(quests!$A:$A),MATCH(D$1,quests!$1:$1,0)-MATCH($C$2,quests!$1:$1,0)+1),MATCH(D$1,quests!$1:$1,0)-MATCH($C$2,quests!$1:$1,0)+1,FALSE)</f>
        <v>チャレンジタワー</v>
      </c>
      <c r="E344" s="48" t="str">
        <f ca="1">VLOOKUP($C344,OFFSET(quests!$A$1,0,0,COUNTA(quests!$A:$A),MATCH(E$2,quests!$1:$1,0)-MATCH($C$2,quests!$1:$1,0)+1),MATCH(E$2,quests!$1:$1,0)-MATCH($C$2,quests!$1:$1,0)+1,FALSE)</f>
        <v>リセット型チャレンジタワー</v>
      </c>
      <c r="F344" s="7">
        <v>8</v>
      </c>
      <c r="G344" s="7" t="s">
        <v>570</v>
      </c>
      <c r="H344" s="12" t="s">
        <v>260</v>
      </c>
      <c r="I344" s="12" t="s">
        <v>236</v>
      </c>
      <c r="J344" s="12">
        <v>334</v>
      </c>
      <c r="K344" s="188">
        <v>10</v>
      </c>
      <c r="L344" s="189">
        <v>1006</v>
      </c>
      <c r="M344" s="167">
        <v>1</v>
      </c>
      <c r="N344" s="167">
        <v>1</v>
      </c>
      <c r="O344" s="167">
        <v>1</v>
      </c>
      <c r="P344" s="167">
        <v>1</v>
      </c>
      <c r="Q344" s="167">
        <v>1</v>
      </c>
      <c r="R344" s="167">
        <v>3</v>
      </c>
      <c r="S344" s="167" t="s">
        <v>273</v>
      </c>
      <c r="T344" s="191" t="s">
        <v>391</v>
      </c>
      <c r="U344" s="7">
        <v>13101</v>
      </c>
      <c r="V344" s="7">
        <v>7</v>
      </c>
      <c r="W344" s="47" t="str">
        <f t="shared" ca="1" si="15"/>
        <v>チャレンジタワー 7F</v>
      </c>
      <c r="X344" s="47">
        <f ca="1">VLOOKUP($C344,OFFSET(quests!$A$1,0,0,COUNTA(quests!$A:$A),MATCH(X$2,quests!$1:$1,0)-MATCH($C$2,quests!$1:$1,0)+1),MATCH(X$2,quests!$1:$1,0)-MATCH($C$2,quests!$1:$1,0)+1,FALSE)</f>
        <v>0</v>
      </c>
      <c r="Y344" s="47">
        <f ca="1">VLOOKUP($C344,OFFSET(quests!$A$1,0,0,COUNTA(quests!$A:$A),MATCH(Y$2,quests!$1:$1,0)-MATCH($C$2,quests!$1:$1,0)+1),MATCH(Y$2,quests!$1:$1,0)-MATCH($C$2,quests!$1:$1,0)+1,FALSE)</f>
        <v>0</v>
      </c>
      <c r="Z344" s="47">
        <f ca="1">VLOOKUP($C344,OFFSET(quests!$A$1,0,0,COUNTA(quests!$A:$A),MATCH(Z$2,quests!$1:$1,0)-MATCH($C$2,quests!$1:$1,0)+1),MATCH(Z$2,quests!$1:$1,0)-MATCH($C$2,quests!$1:$1,0)+1,FALSE)</f>
        <v>0</v>
      </c>
      <c r="AA344" s="47">
        <f ca="1">VLOOKUP($C344,OFFSET(quests!$A$1,0,0,COUNTA(quests!$A:$A),MATCH(AA$2,quests!$1:$1,0)-MATCH($C$2,quests!$1:$1,0)+1),MATCH(AA$2,quests!$1:$1,0)-MATCH($C$2,quests!$1:$1,0)+1,FALSE)</f>
        <v>0</v>
      </c>
      <c r="AB344" s="7" t="s">
        <v>56</v>
      </c>
      <c r="AC344" s="7">
        <v>26</v>
      </c>
      <c r="AD344" s="7">
        <v>6</v>
      </c>
      <c r="AE344" s="7" t="s">
        <v>522</v>
      </c>
      <c r="AF344" s="7">
        <v>13</v>
      </c>
      <c r="AG344" s="7">
        <v>0</v>
      </c>
      <c r="AH344" s="7">
        <v>0</v>
      </c>
      <c r="AI344" s="7">
        <v>-1</v>
      </c>
      <c r="AJ344" s="7">
        <v>-1</v>
      </c>
      <c r="AK344" s="7" t="s">
        <v>1064</v>
      </c>
      <c r="AL344" s="12" t="s">
        <v>1695</v>
      </c>
      <c r="AM344" s="12" t="s">
        <v>2072</v>
      </c>
    </row>
    <row r="345" spans="1:39" ht="21" customHeight="1" x14ac:dyDescent="0.15">
      <c r="A345" s="42" t="str">
        <f t="shared" si="16"/>
        <v>13101_9</v>
      </c>
      <c r="B345" s="39">
        <v>1</v>
      </c>
      <c r="C345" s="10">
        <v>13101</v>
      </c>
      <c r="D345" s="47" t="str">
        <f ca="1">VLOOKUP($C345,OFFSET(quests!$A$1,0,0,COUNTA(quests!$A:$A),MATCH(D$1,quests!$1:$1,0)-MATCH($C$2,quests!$1:$1,0)+1),MATCH(D$1,quests!$1:$1,0)-MATCH($C$2,quests!$1:$1,0)+1,FALSE)</f>
        <v>チャレンジタワー</v>
      </c>
      <c r="E345" s="48" t="str">
        <f ca="1">VLOOKUP($C345,OFFSET(quests!$A$1,0,0,COUNTA(quests!$A:$A),MATCH(E$2,quests!$1:$1,0)-MATCH($C$2,quests!$1:$1,0)+1),MATCH(E$2,quests!$1:$1,0)-MATCH($C$2,quests!$1:$1,0)+1,FALSE)</f>
        <v>リセット型チャレンジタワー</v>
      </c>
      <c r="F345" s="7">
        <v>9</v>
      </c>
      <c r="G345" s="7" t="s">
        <v>570</v>
      </c>
      <c r="H345" s="12" t="s">
        <v>261</v>
      </c>
      <c r="I345" s="12" t="s">
        <v>236</v>
      </c>
      <c r="J345" s="12">
        <v>338</v>
      </c>
      <c r="K345" s="188">
        <v>10</v>
      </c>
      <c r="L345" s="188">
        <v>702</v>
      </c>
      <c r="M345" s="167">
        <v>1</v>
      </c>
      <c r="N345" s="167">
        <v>1</v>
      </c>
      <c r="O345" s="167">
        <v>1</v>
      </c>
      <c r="P345" s="167">
        <v>1</v>
      </c>
      <c r="Q345" s="167">
        <v>1</v>
      </c>
      <c r="R345" s="167">
        <v>3</v>
      </c>
      <c r="S345" s="167" t="s">
        <v>273</v>
      </c>
      <c r="T345" s="191" t="s">
        <v>392</v>
      </c>
      <c r="U345" s="7">
        <v>13101</v>
      </c>
      <c r="V345" s="7">
        <v>8</v>
      </c>
      <c r="W345" s="47" t="str">
        <f t="shared" ca="1" si="15"/>
        <v>チャレンジタワー 8F</v>
      </c>
      <c r="X345" s="47">
        <f ca="1">VLOOKUP($C345,OFFSET(quests!$A$1,0,0,COUNTA(quests!$A:$A),MATCH(X$2,quests!$1:$1,0)-MATCH($C$2,quests!$1:$1,0)+1),MATCH(X$2,quests!$1:$1,0)-MATCH($C$2,quests!$1:$1,0)+1,FALSE)</f>
        <v>0</v>
      </c>
      <c r="Y345" s="47">
        <f ca="1">VLOOKUP($C345,OFFSET(quests!$A$1,0,0,COUNTA(quests!$A:$A),MATCH(Y$2,quests!$1:$1,0)-MATCH($C$2,quests!$1:$1,0)+1),MATCH(Y$2,quests!$1:$1,0)-MATCH($C$2,quests!$1:$1,0)+1,FALSE)</f>
        <v>0</v>
      </c>
      <c r="Z345" s="47">
        <f ca="1">VLOOKUP($C345,OFFSET(quests!$A$1,0,0,COUNTA(quests!$A:$A),MATCH(Z$2,quests!$1:$1,0)-MATCH($C$2,quests!$1:$1,0)+1),MATCH(Z$2,quests!$1:$1,0)-MATCH($C$2,quests!$1:$1,0)+1,FALSE)</f>
        <v>0</v>
      </c>
      <c r="AA345" s="47">
        <f ca="1">VLOOKUP($C345,OFFSET(quests!$A$1,0,0,COUNTA(quests!$A:$A),MATCH(AA$2,quests!$1:$1,0)-MATCH($C$2,quests!$1:$1,0)+1),MATCH(AA$2,quests!$1:$1,0)-MATCH($C$2,quests!$1:$1,0)+1,FALSE)</f>
        <v>0</v>
      </c>
      <c r="AB345" s="7" t="s">
        <v>56</v>
      </c>
      <c r="AC345" s="7">
        <v>26</v>
      </c>
      <c r="AD345" s="7">
        <v>6</v>
      </c>
      <c r="AE345" s="7" t="s">
        <v>522</v>
      </c>
      <c r="AF345" s="7">
        <v>13</v>
      </c>
      <c r="AG345" s="7">
        <v>0</v>
      </c>
      <c r="AH345" s="7">
        <v>0</v>
      </c>
      <c r="AI345" s="7">
        <v>-1</v>
      </c>
      <c r="AJ345" s="7">
        <v>-1</v>
      </c>
      <c r="AK345" s="7" t="s">
        <v>1064</v>
      </c>
      <c r="AL345" s="12" t="s">
        <v>1695</v>
      </c>
      <c r="AM345" s="12" t="s">
        <v>2072</v>
      </c>
    </row>
    <row r="346" spans="1:39" ht="21" customHeight="1" x14ac:dyDescent="0.15">
      <c r="A346" s="42" t="str">
        <f t="shared" si="16"/>
        <v>13101_10</v>
      </c>
      <c r="B346" s="39">
        <v>1</v>
      </c>
      <c r="C346" s="10">
        <v>13101</v>
      </c>
      <c r="D346" s="47" t="str">
        <f ca="1">VLOOKUP($C346,OFFSET(quests!$A$1,0,0,COUNTA(quests!$A:$A),MATCH(D$1,quests!$1:$1,0)-MATCH($C$2,quests!$1:$1,0)+1),MATCH(D$1,quests!$1:$1,0)-MATCH($C$2,quests!$1:$1,0)+1,FALSE)</f>
        <v>チャレンジタワー</v>
      </c>
      <c r="E346" s="48" t="str">
        <f ca="1">VLOOKUP($C346,OFFSET(quests!$A$1,0,0,COUNTA(quests!$A:$A),MATCH(E$2,quests!$1:$1,0)-MATCH($C$2,quests!$1:$1,0)+1),MATCH(E$2,quests!$1:$1,0)-MATCH($C$2,quests!$1:$1,0)+1,FALSE)</f>
        <v>リセット型チャレンジタワー</v>
      </c>
      <c r="F346" s="7">
        <v>10</v>
      </c>
      <c r="G346" s="7" t="s">
        <v>570</v>
      </c>
      <c r="H346" s="12" t="s">
        <v>262</v>
      </c>
      <c r="I346" s="12" t="s">
        <v>236</v>
      </c>
      <c r="J346" s="12">
        <v>346</v>
      </c>
      <c r="K346" s="188">
        <v>11</v>
      </c>
      <c r="L346" s="188">
        <v>788</v>
      </c>
      <c r="M346" s="167">
        <v>1</v>
      </c>
      <c r="N346" s="167">
        <v>1</v>
      </c>
      <c r="O346" s="167">
        <v>1</v>
      </c>
      <c r="P346" s="167">
        <v>1</v>
      </c>
      <c r="Q346" s="167">
        <v>1</v>
      </c>
      <c r="R346" s="167">
        <v>3</v>
      </c>
      <c r="S346" s="167" t="s">
        <v>273</v>
      </c>
      <c r="T346" s="191" t="s">
        <v>393</v>
      </c>
      <c r="U346" s="7">
        <v>13101</v>
      </c>
      <c r="V346" s="7">
        <v>9</v>
      </c>
      <c r="W346" s="47" t="str">
        <f t="shared" ca="1" si="15"/>
        <v>チャレンジタワー 9F</v>
      </c>
      <c r="X346" s="47">
        <f ca="1">VLOOKUP($C346,OFFSET(quests!$A$1,0,0,COUNTA(quests!$A:$A),MATCH(X$2,quests!$1:$1,0)-MATCH($C$2,quests!$1:$1,0)+1),MATCH(X$2,quests!$1:$1,0)-MATCH($C$2,quests!$1:$1,0)+1,FALSE)</f>
        <v>0</v>
      </c>
      <c r="Y346" s="47">
        <f ca="1">VLOOKUP($C346,OFFSET(quests!$A$1,0,0,COUNTA(quests!$A:$A),MATCH(Y$2,quests!$1:$1,0)-MATCH($C$2,quests!$1:$1,0)+1),MATCH(Y$2,quests!$1:$1,0)-MATCH($C$2,quests!$1:$1,0)+1,FALSE)</f>
        <v>0</v>
      </c>
      <c r="Z346" s="47">
        <f ca="1">VLOOKUP($C346,OFFSET(quests!$A$1,0,0,COUNTA(quests!$A:$A),MATCH(Z$2,quests!$1:$1,0)-MATCH($C$2,quests!$1:$1,0)+1),MATCH(Z$2,quests!$1:$1,0)-MATCH($C$2,quests!$1:$1,0)+1,FALSE)</f>
        <v>0</v>
      </c>
      <c r="AA346" s="47">
        <f ca="1">VLOOKUP($C346,OFFSET(quests!$A$1,0,0,COUNTA(quests!$A:$A),MATCH(AA$2,quests!$1:$1,0)-MATCH($C$2,quests!$1:$1,0)+1),MATCH(AA$2,quests!$1:$1,0)-MATCH($C$2,quests!$1:$1,0)+1,FALSE)</f>
        <v>0</v>
      </c>
      <c r="AB346" s="7" t="s">
        <v>56</v>
      </c>
      <c r="AC346" s="7">
        <v>26</v>
      </c>
      <c r="AD346" s="7">
        <v>6</v>
      </c>
      <c r="AE346" s="7" t="s">
        <v>522</v>
      </c>
      <c r="AF346" s="7">
        <v>13</v>
      </c>
      <c r="AG346" s="7">
        <v>0</v>
      </c>
      <c r="AH346" s="7">
        <v>0</v>
      </c>
      <c r="AI346" s="7">
        <v>-1</v>
      </c>
      <c r="AJ346" s="7">
        <v>-1</v>
      </c>
      <c r="AK346" s="7" t="s">
        <v>1064</v>
      </c>
      <c r="AL346" s="12" t="s">
        <v>1695</v>
      </c>
      <c r="AM346" s="12" t="s">
        <v>2072</v>
      </c>
    </row>
    <row r="347" spans="1:39" ht="21" customHeight="1" x14ac:dyDescent="0.15">
      <c r="A347" s="42" t="str">
        <f t="shared" si="16"/>
        <v>13101_11</v>
      </c>
      <c r="B347" s="39">
        <v>1</v>
      </c>
      <c r="C347" s="10">
        <v>13101</v>
      </c>
      <c r="D347" s="47" t="str">
        <f ca="1">VLOOKUP($C347,OFFSET(quests!$A$1,0,0,COUNTA(quests!$A:$A),MATCH(D$1,quests!$1:$1,0)-MATCH($C$2,quests!$1:$1,0)+1),MATCH(D$1,quests!$1:$1,0)-MATCH($C$2,quests!$1:$1,0)+1,FALSE)</f>
        <v>チャレンジタワー</v>
      </c>
      <c r="E347" s="48" t="str">
        <f ca="1">VLOOKUP($C347,OFFSET(quests!$A$1,0,0,COUNTA(quests!$A:$A),MATCH(E$2,quests!$1:$1,0)-MATCH($C$2,quests!$1:$1,0)+1),MATCH(E$2,quests!$1:$1,0)-MATCH($C$2,quests!$1:$1,0)+1,FALSE)</f>
        <v>リセット型チャレンジタワー</v>
      </c>
      <c r="F347" s="7">
        <v>11</v>
      </c>
      <c r="G347" s="7" t="s">
        <v>570</v>
      </c>
      <c r="H347" s="12" t="s">
        <v>263</v>
      </c>
      <c r="I347" s="12" t="s">
        <v>236</v>
      </c>
      <c r="J347" s="12">
        <v>346</v>
      </c>
      <c r="K347" s="188">
        <v>12</v>
      </c>
      <c r="L347" s="188">
        <v>936</v>
      </c>
      <c r="M347" s="167">
        <v>1</v>
      </c>
      <c r="N347" s="167">
        <v>1</v>
      </c>
      <c r="O347" s="167">
        <v>1</v>
      </c>
      <c r="P347" s="167">
        <v>1</v>
      </c>
      <c r="Q347" s="167">
        <v>1</v>
      </c>
      <c r="R347" s="167">
        <v>3</v>
      </c>
      <c r="S347" s="167" t="s">
        <v>273</v>
      </c>
      <c r="T347" s="191" t="s">
        <v>394</v>
      </c>
      <c r="U347" s="7">
        <v>13101</v>
      </c>
      <c r="V347" s="7">
        <v>10</v>
      </c>
      <c r="W347" s="47" t="str">
        <f t="shared" ca="1" si="15"/>
        <v>チャレンジタワー 10F</v>
      </c>
      <c r="X347" s="47">
        <f ca="1">VLOOKUP($C347,OFFSET(quests!$A$1,0,0,COUNTA(quests!$A:$A),MATCH(X$2,quests!$1:$1,0)-MATCH($C$2,quests!$1:$1,0)+1),MATCH(X$2,quests!$1:$1,0)-MATCH($C$2,quests!$1:$1,0)+1,FALSE)</f>
        <v>0</v>
      </c>
      <c r="Y347" s="47">
        <f ca="1">VLOOKUP($C347,OFFSET(quests!$A$1,0,0,COUNTA(quests!$A:$A),MATCH(Y$2,quests!$1:$1,0)-MATCH($C$2,quests!$1:$1,0)+1),MATCH(Y$2,quests!$1:$1,0)-MATCH($C$2,quests!$1:$1,0)+1,FALSE)</f>
        <v>0</v>
      </c>
      <c r="Z347" s="47">
        <f ca="1">VLOOKUP($C347,OFFSET(quests!$A$1,0,0,COUNTA(quests!$A:$A),MATCH(Z$2,quests!$1:$1,0)-MATCH($C$2,quests!$1:$1,0)+1),MATCH(Z$2,quests!$1:$1,0)-MATCH($C$2,quests!$1:$1,0)+1,FALSE)</f>
        <v>0</v>
      </c>
      <c r="AA347" s="47">
        <f ca="1">VLOOKUP($C347,OFFSET(quests!$A$1,0,0,COUNTA(quests!$A:$A),MATCH(AA$2,quests!$1:$1,0)-MATCH($C$2,quests!$1:$1,0)+1),MATCH(AA$2,quests!$1:$1,0)-MATCH($C$2,quests!$1:$1,0)+1,FALSE)</f>
        <v>0</v>
      </c>
      <c r="AB347" s="7" t="s">
        <v>56</v>
      </c>
      <c r="AC347" s="7">
        <v>26</v>
      </c>
      <c r="AD347" s="7">
        <v>6</v>
      </c>
      <c r="AE347" s="7" t="s">
        <v>522</v>
      </c>
      <c r="AF347" s="7">
        <v>13</v>
      </c>
      <c r="AG347" s="7">
        <v>0</v>
      </c>
      <c r="AH347" s="7">
        <v>0</v>
      </c>
      <c r="AI347" s="7">
        <v>-1</v>
      </c>
      <c r="AJ347" s="7">
        <v>-1</v>
      </c>
      <c r="AK347" s="7" t="s">
        <v>1064</v>
      </c>
      <c r="AL347" s="12" t="s">
        <v>1695</v>
      </c>
      <c r="AM347" s="12" t="s">
        <v>2072</v>
      </c>
    </row>
    <row r="348" spans="1:39" ht="21" customHeight="1" x14ac:dyDescent="0.15">
      <c r="A348" s="42" t="str">
        <f t="shared" si="16"/>
        <v>13101_12</v>
      </c>
      <c r="B348" s="39">
        <v>1</v>
      </c>
      <c r="C348" s="10">
        <v>13101</v>
      </c>
      <c r="D348" s="47" t="str">
        <f ca="1">VLOOKUP($C348,OFFSET(quests!$A$1,0,0,COUNTA(quests!$A:$A),MATCH(D$1,quests!$1:$1,0)-MATCH($C$2,quests!$1:$1,0)+1),MATCH(D$1,quests!$1:$1,0)-MATCH($C$2,quests!$1:$1,0)+1,FALSE)</f>
        <v>チャレンジタワー</v>
      </c>
      <c r="E348" s="48" t="str">
        <f ca="1">VLOOKUP($C348,OFFSET(quests!$A$1,0,0,COUNTA(quests!$A:$A),MATCH(E$2,quests!$1:$1,0)-MATCH($C$2,quests!$1:$1,0)+1),MATCH(E$2,quests!$1:$1,0)-MATCH($C$2,quests!$1:$1,0)+1,FALSE)</f>
        <v>リセット型チャレンジタワー</v>
      </c>
      <c r="F348" s="7">
        <v>12</v>
      </c>
      <c r="G348" s="7" t="s">
        <v>570</v>
      </c>
      <c r="H348" s="12" t="s">
        <v>264</v>
      </c>
      <c r="I348" s="12" t="s">
        <v>236</v>
      </c>
      <c r="J348" s="12">
        <v>342</v>
      </c>
      <c r="K348" s="188">
        <v>13</v>
      </c>
      <c r="L348" s="189">
        <v>1601</v>
      </c>
      <c r="M348" s="167">
        <v>1</v>
      </c>
      <c r="N348" s="167">
        <v>1</v>
      </c>
      <c r="O348" s="167">
        <v>1</v>
      </c>
      <c r="P348" s="167">
        <v>1</v>
      </c>
      <c r="Q348" s="167">
        <v>1</v>
      </c>
      <c r="R348" s="167">
        <v>3</v>
      </c>
      <c r="S348" s="167" t="s">
        <v>273</v>
      </c>
      <c r="T348" s="191" t="s">
        <v>395</v>
      </c>
      <c r="U348" s="7">
        <v>13101</v>
      </c>
      <c r="V348" s="7">
        <v>11</v>
      </c>
      <c r="W348" s="47" t="str">
        <f t="shared" ca="1" si="15"/>
        <v>チャレンジタワー 11F</v>
      </c>
      <c r="X348" s="47">
        <f ca="1">VLOOKUP($C348,OFFSET(quests!$A$1,0,0,COUNTA(quests!$A:$A),MATCH(X$2,quests!$1:$1,0)-MATCH($C$2,quests!$1:$1,0)+1),MATCH(X$2,quests!$1:$1,0)-MATCH($C$2,quests!$1:$1,0)+1,FALSE)</f>
        <v>0</v>
      </c>
      <c r="Y348" s="47">
        <f ca="1">VLOOKUP($C348,OFFSET(quests!$A$1,0,0,COUNTA(quests!$A:$A),MATCH(Y$2,quests!$1:$1,0)-MATCH($C$2,quests!$1:$1,0)+1),MATCH(Y$2,quests!$1:$1,0)-MATCH($C$2,quests!$1:$1,0)+1,FALSE)</f>
        <v>0</v>
      </c>
      <c r="Z348" s="47">
        <f ca="1">VLOOKUP($C348,OFFSET(quests!$A$1,0,0,COUNTA(quests!$A:$A),MATCH(Z$2,quests!$1:$1,0)-MATCH($C$2,quests!$1:$1,0)+1),MATCH(Z$2,quests!$1:$1,0)-MATCH($C$2,quests!$1:$1,0)+1,FALSE)</f>
        <v>0</v>
      </c>
      <c r="AA348" s="47">
        <f ca="1">VLOOKUP($C348,OFFSET(quests!$A$1,0,0,COUNTA(quests!$A:$A),MATCH(AA$2,quests!$1:$1,0)-MATCH($C$2,quests!$1:$1,0)+1),MATCH(AA$2,quests!$1:$1,0)-MATCH($C$2,quests!$1:$1,0)+1,FALSE)</f>
        <v>0</v>
      </c>
      <c r="AB348" s="7" t="s">
        <v>56</v>
      </c>
      <c r="AC348" s="7">
        <v>26</v>
      </c>
      <c r="AD348" s="7">
        <v>6</v>
      </c>
      <c r="AE348" s="7" t="s">
        <v>522</v>
      </c>
      <c r="AF348" s="7">
        <v>13</v>
      </c>
      <c r="AG348" s="7">
        <v>0</v>
      </c>
      <c r="AH348" s="7">
        <v>0</v>
      </c>
      <c r="AI348" s="7">
        <v>-1</v>
      </c>
      <c r="AJ348" s="7">
        <v>-1</v>
      </c>
      <c r="AK348" s="7" t="s">
        <v>1064</v>
      </c>
      <c r="AL348" s="12" t="s">
        <v>1695</v>
      </c>
      <c r="AM348" s="12" t="s">
        <v>2072</v>
      </c>
    </row>
    <row r="349" spans="1:39" ht="21" customHeight="1" x14ac:dyDescent="0.15">
      <c r="A349" s="42" t="str">
        <f t="shared" si="16"/>
        <v>13101_13</v>
      </c>
      <c r="B349" s="39">
        <v>1</v>
      </c>
      <c r="C349" s="10">
        <v>13101</v>
      </c>
      <c r="D349" s="47" t="str">
        <f ca="1">VLOOKUP($C349,OFFSET(quests!$A$1,0,0,COUNTA(quests!$A:$A),MATCH(D$1,quests!$1:$1,0)-MATCH($C$2,quests!$1:$1,0)+1),MATCH(D$1,quests!$1:$1,0)-MATCH($C$2,quests!$1:$1,0)+1,FALSE)</f>
        <v>チャレンジタワー</v>
      </c>
      <c r="E349" s="48" t="str">
        <f ca="1">VLOOKUP($C349,OFFSET(quests!$A$1,0,0,COUNTA(quests!$A:$A),MATCH(E$2,quests!$1:$1,0)-MATCH($C$2,quests!$1:$1,0)+1),MATCH(E$2,quests!$1:$1,0)-MATCH($C$2,quests!$1:$1,0)+1,FALSE)</f>
        <v>リセット型チャレンジタワー</v>
      </c>
      <c r="F349" s="7">
        <v>13</v>
      </c>
      <c r="G349" s="7" t="s">
        <v>570</v>
      </c>
      <c r="H349" s="12" t="s">
        <v>265</v>
      </c>
      <c r="I349" s="12" t="s">
        <v>236</v>
      </c>
      <c r="J349" s="12">
        <v>338</v>
      </c>
      <c r="K349" s="188">
        <v>14</v>
      </c>
      <c r="L349" s="188">
        <v>945</v>
      </c>
      <c r="M349" s="167">
        <v>1</v>
      </c>
      <c r="N349" s="167">
        <v>1</v>
      </c>
      <c r="O349" s="167">
        <v>1</v>
      </c>
      <c r="P349" s="167">
        <v>1</v>
      </c>
      <c r="Q349" s="167">
        <v>1</v>
      </c>
      <c r="R349" s="167">
        <v>3</v>
      </c>
      <c r="S349" s="167" t="s">
        <v>273</v>
      </c>
      <c r="T349" s="191" t="s">
        <v>396</v>
      </c>
      <c r="U349" s="7">
        <v>13101</v>
      </c>
      <c r="V349" s="7">
        <v>12</v>
      </c>
      <c r="W349" s="47" t="str">
        <f t="shared" ca="1" si="15"/>
        <v>チャレンジタワー 12F</v>
      </c>
      <c r="X349" s="47">
        <f ca="1">VLOOKUP($C349,OFFSET(quests!$A$1,0,0,COUNTA(quests!$A:$A),MATCH(X$2,quests!$1:$1,0)-MATCH($C$2,quests!$1:$1,0)+1),MATCH(X$2,quests!$1:$1,0)-MATCH($C$2,quests!$1:$1,0)+1,FALSE)</f>
        <v>0</v>
      </c>
      <c r="Y349" s="47">
        <f ca="1">VLOOKUP($C349,OFFSET(quests!$A$1,0,0,COUNTA(quests!$A:$A),MATCH(Y$2,quests!$1:$1,0)-MATCH($C$2,quests!$1:$1,0)+1),MATCH(Y$2,quests!$1:$1,0)-MATCH($C$2,quests!$1:$1,0)+1,FALSE)</f>
        <v>0</v>
      </c>
      <c r="Z349" s="47">
        <f ca="1">VLOOKUP($C349,OFFSET(quests!$A$1,0,0,COUNTA(quests!$A:$A),MATCH(Z$2,quests!$1:$1,0)-MATCH($C$2,quests!$1:$1,0)+1),MATCH(Z$2,quests!$1:$1,0)-MATCH($C$2,quests!$1:$1,0)+1,FALSE)</f>
        <v>0</v>
      </c>
      <c r="AA349" s="47">
        <f ca="1">VLOOKUP($C349,OFFSET(quests!$A$1,0,0,COUNTA(quests!$A:$A),MATCH(AA$2,quests!$1:$1,0)-MATCH($C$2,quests!$1:$1,0)+1),MATCH(AA$2,quests!$1:$1,0)-MATCH($C$2,quests!$1:$1,0)+1,FALSE)</f>
        <v>0</v>
      </c>
      <c r="AB349" s="7" t="s">
        <v>56</v>
      </c>
      <c r="AC349" s="7">
        <v>26</v>
      </c>
      <c r="AD349" s="7">
        <v>6</v>
      </c>
      <c r="AE349" s="7" t="s">
        <v>522</v>
      </c>
      <c r="AF349" s="7">
        <v>13</v>
      </c>
      <c r="AG349" s="7">
        <v>0</v>
      </c>
      <c r="AH349" s="7">
        <v>0</v>
      </c>
      <c r="AI349" s="7">
        <v>-1</v>
      </c>
      <c r="AJ349" s="7">
        <v>-1</v>
      </c>
      <c r="AK349" s="7" t="s">
        <v>1064</v>
      </c>
      <c r="AL349" s="12" t="s">
        <v>1695</v>
      </c>
      <c r="AM349" s="12" t="s">
        <v>2072</v>
      </c>
    </row>
    <row r="350" spans="1:39" ht="21" customHeight="1" x14ac:dyDescent="0.15">
      <c r="A350" s="42" t="str">
        <f t="shared" si="16"/>
        <v>13101_14</v>
      </c>
      <c r="B350" s="39">
        <v>1</v>
      </c>
      <c r="C350" s="10">
        <v>13101</v>
      </c>
      <c r="D350" s="47" t="str">
        <f ca="1">VLOOKUP($C350,OFFSET(quests!$A$1,0,0,COUNTA(quests!$A:$A),MATCH(D$1,quests!$1:$1,0)-MATCH($C$2,quests!$1:$1,0)+1),MATCH(D$1,quests!$1:$1,0)-MATCH($C$2,quests!$1:$1,0)+1,FALSE)</f>
        <v>チャレンジタワー</v>
      </c>
      <c r="E350" s="48" t="str">
        <f ca="1">VLOOKUP($C350,OFFSET(quests!$A$1,0,0,COUNTA(quests!$A:$A),MATCH(E$2,quests!$1:$1,0)-MATCH($C$2,quests!$1:$1,0)+1),MATCH(E$2,quests!$1:$1,0)-MATCH($C$2,quests!$1:$1,0)+1,FALSE)</f>
        <v>リセット型チャレンジタワー</v>
      </c>
      <c r="F350" s="7">
        <v>14</v>
      </c>
      <c r="G350" s="7" t="s">
        <v>570</v>
      </c>
      <c r="H350" s="12" t="s">
        <v>266</v>
      </c>
      <c r="I350" s="12" t="s">
        <v>236</v>
      </c>
      <c r="J350" s="12">
        <v>334</v>
      </c>
      <c r="K350" s="188">
        <v>14</v>
      </c>
      <c r="L350" s="189">
        <v>1188</v>
      </c>
      <c r="M350" s="167">
        <v>1</v>
      </c>
      <c r="N350" s="167">
        <v>1</v>
      </c>
      <c r="O350" s="167">
        <v>1</v>
      </c>
      <c r="P350" s="167">
        <v>1</v>
      </c>
      <c r="Q350" s="167">
        <v>1</v>
      </c>
      <c r="R350" s="167">
        <v>3</v>
      </c>
      <c r="S350" s="167" t="s">
        <v>273</v>
      </c>
      <c r="T350" s="191" t="s">
        <v>397</v>
      </c>
      <c r="U350" s="7">
        <v>13101</v>
      </c>
      <c r="V350" s="7">
        <v>13</v>
      </c>
      <c r="W350" s="47" t="str">
        <f t="shared" ca="1" si="15"/>
        <v>チャレンジタワー 13F</v>
      </c>
      <c r="X350" s="47">
        <f ca="1">VLOOKUP($C350,OFFSET(quests!$A$1,0,0,COUNTA(quests!$A:$A),MATCH(X$2,quests!$1:$1,0)-MATCH($C$2,quests!$1:$1,0)+1),MATCH(X$2,quests!$1:$1,0)-MATCH($C$2,quests!$1:$1,0)+1,FALSE)</f>
        <v>0</v>
      </c>
      <c r="Y350" s="47">
        <f ca="1">VLOOKUP($C350,OFFSET(quests!$A$1,0,0,COUNTA(quests!$A:$A),MATCH(Y$2,quests!$1:$1,0)-MATCH($C$2,quests!$1:$1,0)+1),MATCH(Y$2,quests!$1:$1,0)-MATCH($C$2,quests!$1:$1,0)+1,FALSE)</f>
        <v>0</v>
      </c>
      <c r="Z350" s="47">
        <f ca="1">VLOOKUP($C350,OFFSET(quests!$A$1,0,0,COUNTA(quests!$A:$A),MATCH(Z$2,quests!$1:$1,0)-MATCH($C$2,quests!$1:$1,0)+1),MATCH(Z$2,quests!$1:$1,0)-MATCH($C$2,quests!$1:$1,0)+1,FALSE)</f>
        <v>0</v>
      </c>
      <c r="AA350" s="47">
        <f ca="1">VLOOKUP($C350,OFFSET(quests!$A$1,0,0,COUNTA(quests!$A:$A),MATCH(AA$2,quests!$1:$1,0)-MATCH($C$2,quests!$1:$1,0)+1),MATCH(AA$2,quests!$1:$1,0)-MATCH($C$2,quests!$1:$1,0)+1,FALSE)</f>
        <v>0</v>
      </c>
      <c r="AB350" s="7" t="s">
        <v>56</v>
      </c>
      <c r="AC350" s="7">
        <v>26</v>
      </c>
      <c r="AD350" s="7">
        <v>6</v>
      </c>
      <c r="AE350" s="7" t="s">
        <v>522</v>
      </c>
      <c r="AF350" s="7">
        <v>13</v>
      </c>
      <c r="AG350" s="7">
        <v>0</v>
      </c>
      <c r="AH350" s="7">
        <v>0</v>
      </c>
      <c r="AI350" s="7">
        <v>-1</v>
      </c>
      <c r="AJ350" s="7">
        <v>-1</v>
      </c>
      <c r="AK350" s="7" t="s">
        <v>1064</v>
      </c>
      <c r="AL350" s="12" t="s">
        <v>1695</v>
      </c>
      <c r="AM350" s="12" t="s">
        <v>2072</v>
      </c>
    </row>
    <row r="351" spans="1:39" ht="21" customHeight="1" x14ac:dyDescent="0.15">
      <c r="A351" s="42" t="str">
        <f t="shared" si="16"/>
        <v>13101_15</v>
      </c>
      <c r="B351" s="39">
        <v>1</v>
      </c>
      <c r="C351" s="10">
        <v>13101</v>
      </c>
      <c r="D351" s="47" t="str">
        <f ca="1">VLOOKUP($C351,OFFSET(quests!$A$1,0,0,COUNTA(quests!$A:$A),MATCH(D$1,quests!$1:$1,0)-MATCH($C$2,quests!$1:$1,0)+1),MATCH(D$1,quests!$1:$1,0)-MATCH($C$2,quests!$1:$1,0)+1,FALSE)</f>
        <v>チャレンジタワー</v>
      </c>
      <c r="E351" s="48" t="str">
        <f ca="1">VLOOKUP($C351,OFFSET(quests!$A$1,0,0,COUNTA(quests!$A:$A),MATCH(E$2,quests!$1:$1,0)-MATCH($C$2,quests!$1:$1,0)+1),MATCH(E$2,quests!$1:$1,0)-MATCH($C$2,quests!$1:$1,0)+1,FALSE)</f>
        <v>リセット型チャレンジタワー</v>
      </c>
      <c r="F351" s="7">
        <v>15</v>
      </c>
      <c r="G351" s="7" t="s">
        <v>570</v>
      </c>
      <c r="H351" s="12" t="s">
        <v>267</v>
      </c>
      <c r="I351" s="12" t="s">
        <v>236</v>
      </c>
      <c r="J351" s="12">
        <v>316</v>
      </c>
      <c r="K351" s="188">
        <v>14</v>
      </c>
      <c r="L351" s="189">
        <v>1008</v>
      </c>
      <c r="M351" s="167">
        <v>1</v>
      </c>
      <c r="N351" s="167">
        <v>1</v>
      </c>
      <c r="O351" s="167">
        <v>1</v>
      </c>
      <c r="P351" s="167">
        <v>1</v>
      </c>
      <c r="Q351" s="167">
        <v>1</v>
      </c>
      <c r="R351" s="167">
        <v>3</v>
      </c>
      <c r="S351" s="167" t="s">
        <v>273</v>
      </c>
      <c r="T351" s="191" t="s">
        <v>398</v>
      </c>
      <c r="U351" s="7">
        <v>13101</v>
      </c>
      <c r="V351" s="7">
        <v>14</v>
      </c>
      <c r="W351" s="47" t="str">
        <f t="shared" ca="1" si="15"/>
        <v>チャレンジタワー 14F</v>
      </c>
      <c r="X351" s="47">
        <f ca="1">VLOOKUP($C351,OFFSET(quests!$A$1,0,0,COUNTA(quests!$A:$A),MATCH(X$2,quests!$1:$1,0)-MATCH($C$2,quests!$1:$1,0)+1),MATCH(X$2,quests!$1:$1,0)-MATCH($C$2,quests!$1:$1,0)+1,FALSE)</f>
        <v>0</v>
      </c>
      <c r="Y351" s="47">
        <f ca="1">VLOOKUP($C351,OFFSET(quests!$A$1,0,0,COUNTA(quests!$A:$A),MATCH(Y$2,quests!$1:$1,0)-MATCH($C$2,quests!$1:$1,0)+1),MATCH(Y$2,quests!$1:$1,0)-MATCH($C$2,quests!$1:$1,0)+1,FALSE)</f>
        <v>0</v>
      </c>
      <c r="Z351" s="47">
        <f ca="1">VLOOKUP($C351,OFFSET(quests!$A$1,0,0,COUNTA(quests!$A:$A),MATCH(Z$2,quests!$1:$1,0)-MATCH($C$2,quests!$1:$1,0)+1),MATCH(Z$2,quests!$1:$1,0)-MATCH($C$2,quests!$1:$1,0)+1,FALSE)</f>
        <v>0</v>
      </c>
      <c r="AA351" s="47">
        <f ca="1">VLOOKUP($C351,OFFSET(quests!$A$1,0,0,COUNTA(quests!$A:$A),MATCH(AA$2,quests!$1:$1,0)-MATCH($C$2,quests!$1:$1,0)+1),MATCH(AA$2,quests!$1:$1,0)-MATCH($C$2,quests!$1:$1,0)+1,FALSE)</f>
        <v>0</v>
      </c>
      <c r="AB351" s="7" t="s">
        <v>56</v>
      </c>
      <c r="AC351" s="7">
        <v>26</v>
      </c>
      <c r="AD351" s="7">
        <v>6</v>
      </c>
      <c r="AE351" s="7" t="s">
        <v>522</v>
      </c>
      <c r="AF351" s="7">
        <v>13</v>
      </c>
      <c r="AG351" s="7">
        <v>0</v>
      </c>
      <c r="AH351" s="7">
        <v>0</v>
      </c>
      <c r="AI351" s="7">
        <v>-1</v>
      </c>
      <c r="AJ351" s="7">
        <v>-1</v>
      </c>
      <c r="AK351" s="7" t="s">
        <v>1064</v>
      </c>
      <c r="AL351" s="12" t="s">
        <v>1695</v>
      </c>
      <c r="AM351" s="12" t="s">
        <v>2072</v>
      </c>
    </row>
    <row r="352" spans="1:39" ht="21" customHeight="1" x14ac:dyDescent="0.15">
      <c r="A352" s="42" t="str">
        <f t="shared" si="16"/>
        <v>13101_16</v>
      </c>
      <c r="B352" s="39">
        <v>1</v>
      </c>
      <c r="C352" s="10">
        <v>13101</v>
      </c>
      <c r="D352" s="47" t="str">
        <f ca="1">VLOOKUP($C352,OFFSET(quests!$A$1,0,0,COUNTA(quests!$A:$A),MATCH(D$1,quests!$1:$1,0)-MATCH($C$2,quests!$1:$1,0)+1),MATCH(D$1,quests!$1:$1,0)-MATCH($C$2,quests!$1:$1,0)+1,FALSE)</f>
        <v>チャレンジタワー</v>
      </c>
      <c r="E352" s="48" t="str">
        <f ca="1">VLOOKUP($C352,OFFSET(quests!$A$1,0,0,COUNTA(quests!$A:$A),MATCH(E$2,quests!$1:$1,0)-MATCH($C$2,quests!$1:$1,0)+1),MATCH(E$2,quests!$1:$1,0)-MATCH($C$2,quests!$1:$1,0)+1,FALSE)</f>
        <v>リセット型チャレンジタワー</v>
      </c>
      <c r="F352" s="7">
        <v>16</v>
      </c>
      <c r="G352" s="7" t="s">
        <v>570</v>
      </c>
      <c r="H352" s="12" t="s">
        <v>268</v>
      </c>
      <c r="I352" s="12" t="s">
        <v>236</v>
      </c>
      <c r="J352" s="12">
        <v>338</v>
      </c>
      <c r="K352" s="188">
        <v>16</v>
      </c>
      <c r="L352" s="189">
        <v>2573</v>
      </c>
      <c r="M352" s="167">
        <v>1</v>
      </c>
      <c r="N352" s="167">
        <v>1</v>
      </c>
      <c r="O352" s="167">
        <v>1</v>
      </c>
      <c r="P352" s="167">
        <v>1</v>
      </c>
      <c r="Q352" s="167">
        <v>1</v>
      </c>
      <c r="R352" s="167">
        <v>3</v>
      </c>
      <c r="S352" s="167" t="s">
        <v>273</v>
      </c>
      <c r="T352" s="191" t="s">
        <v>399</v>
      </c>
      <c r="U352" s="7">
        <v>13101</v>
      </c>
      <c r="V352" s="7">
        <v>15</v>
      </c>
      <c r="W352" s="47" t="str">
        <f t="shared" ca="1" si="15"/>
        <v>チャレンジタワー 15F</v>
      </c>
      <c r="X352" s="47">
        <f ca="1">VLOOKUP($C352,OFFSET(quests!$A$1,0,0,COUNTA(quests!$A:$A),MATCH(X$2,quests!$1:$1,0)-MATCH($C$2,quests!$1:$1,0)+1),MATCH(X$2,quests!$1:$1,0)-MATCH($C$2,quests!$1:$1,0)+1,FALSE)</f>
        <v>0</v>
      </c>
      <c r="Y352" s="47">
        <f ca="1">VLOOKUP($C352,OFFSET(quests!$A$1,0,0,COUNTA(quests!$A:$A),MATCH(Y$2,quests!$1:$1,0)-MATCH($C$2,quests!$1:$1,0)+1),MATCH(Y$2,quests!$1:$1,0)-MATCH($C$2,quests!$1:$1,0)+1,FALSE)</f>
        <v>0</v>
      </c>
      <c r="Z352" s="47">
        <f ca="1">VLOOKUP($C352,OFFSET(quests!$A$1,0,0,COUNTA(quests!$A:$A),MATCH(Z$2,quests!$1:$1,0)-MATCH($C$2,quests!$1:$1,0)+1),MATCH(Z$2,quests!$1:$1,0)-MATCH($C$2,quests!$1:$1,0)+1,FALSE)</f>
        <v>0</v>
      </c>
      <c r="AA352" s="47">
        <f ca="1">VLOOKUP($C352,OFFSET(quests!$A$1,0,0,COUNTA(quests!$A:$A),MATCH(AA$2,quests!$1:$1,0)-MATCH($C$2,quests!$1:$1,0)+1),MATCH(AA$2,quests!$1:$1,0)-MATCH($C$2,quests!$1:$1,0)+1,FALSE)</f>
        <v>0</v>
      </c>
      <c r="AB352" s="7" t="s">
        <v>56</v>
      </c>
      <c r="AC352" s="7">
        <v>26</v>
      </c>
      <c r="AD352" s="7">
        <v>6</v>
      </c>
      <c r="AE352" s="7" t="s">
        <v>522</v>
      </c>
      <c r="AF352" s="7">
        <v>13</v>
      </c>
      <c r="AG352" s="7">
        <v>0</v>
      </c>
      <c r="AH352" s="7">
        <v>0</v>
      </c>
      <c r="AI352" s="7">
        <v>-1</v>
      </c>
      <c r="AJ352" s="7">
        <v>-1</v>
      </c>
      <c r="AK352" s="7" t="s">
        <v>1064</v>
      </c>
      <c r="AL352" s="12" t="s">
        <v>1695</v>
      </c>
      <c r="AM352" s="12" t="s">
        <v>2072</v>
      </c>
    </row>
    <row r="353" spans="1:39" ht="21" customHeight="1" x14ac:dyDescent="0.15">
      <c r="A353" s="42" t="str">
        <f t="shared" si="16"/>
        <v>13101_17</v>
      </c>
      <c r="B353" s="39">
        <v>1</v>
      </c>
      <c r="C353" s="10">
        <v>13101</v>
      </c>
      <c r="D353" s="47" t="str">
        <f ca="1">VLOOKUP($C353,OFFSET(quests!$A$1,0,0,COUNTA(quests!$A:$A),MATCH(D$1,quests!$1:$1,0)-MATCH($C$2,quests!$1:$1,0)+1),MATCH(D$1,quests!$1:$1,0)-MATCH($C$2,quests!$1:$1,0)+1,FALSE)</f>
        <v>チャレンジタワー</v>
      </c>
      <c r="E353" s="48" t="str">
        <f ca="1">VLOOKUP($C353,OFFSET(quests!$A$1,0,0,COUNTA(quests!$A:$A),MATCH(E$2,quests!$1:$1,0)-MATCH($C$2,quests!$1:$1,0)+1),MATCH(E$2,quests!$1:$1,0)-MATCH($C$2,quests!$1:$1,0)+1,FALSE)</f>
        <v>リセット型チャレンジタワー</v>
      </c>
      <c r="F353" s="7">
        <v>17</v>
      </c>
      <c r="G353" s="7" t="s">
        <v>570</v>
      </c>
      <c r="H353" s="12" t="s">
        <v>269</v>
      </c>
      <c r="I353" s="12" t="s">
        <v>236</v>
      </c>
      <c r="J353" s="12">
        <v>346</v>
      </c>
      <c r="K353" s="188">
        <v>16</v>
      </c>
      <c r="L353" s="189">
        <v>1568</v>
      </c>
      <c r="M353" s="167">
        <v>1</v>
      </c>
      <c r="N353" s="167">
        <v>1</v>
      </c>
      <c r="O353" s="167">
        <v>1</v>
      </c>
      <c r="P353" s="167">
        <v>1</v>
      </c>
      <c r="Q353" s="167">
        <v>1</v>
      </c>
      <c r="R353" s="167">
        <v>3</v>
      </c>
      <c r="S353" s="167" t="s">
        <v>273</v>
      </c>
      <c r="T353" s="191" t="s">
        <v>400</v>
      </c>
      <c r="U353" s="7">
        <v>13101</v>
      </c>
      <c r="V353" s="7">
        <v>16</v>
      </c>
      <c r="W353" s="47" t="str">
        <f t="shared" ca="1" si="15"/>
        <v>チャレンジタワー 16F</v>
      </c>
      <c r="X353" s="47">
        <f ca="1">VLOOKUP($C353,OFFSET(quests!$A$1,0,0,COUNTA(quests!$A:$A),MATCH(X$2,quests!$1:$1,0)-MATCH($C$2,quests!$1:$1,0)+1),MATCH(X$2,quests!$1:$1,0)-MATCH($C$2,quests!$1:$1,0)+1,FALSE)</f>
        <v>0</v>
      </c>
      <c r="Y353" s="47">
        <f ca="1">VLOOKUP($C353,OFFSET(quests!$A$1,0,0,COUNTA(quests!$A:$A),MATCH(Y$2,quests!$1:$1,0)-MATCH($C$2,quests!$1:$1,0)+1),MATCH(Y$2,quests!$1:$1,0)-MATCH($C$2,quests!$1:$1,0)+1,FALSE)</f>
        <v>0</v>
      </c>
      <c r="Z353" s="47">
        <f ca="1">VLOOKUP($C353,OFFSET(quests!$A$1,0,0,COUNTA(quests!$A:$A),MATCH(Z$2,quests!$1:$1,0)-MATCH($C$2,quests!$1:$1,0)+1),MATCH(Z$2,quests!$1:$1,0)-MATCH($C$2,quests!$1:$1,0)+1,FALSE)</f>
        <v>0</v>
      </c>
      <c r="AA353" s="47">
        <f ca="1">VLOOKUP($C353,OFFSET(quests!$A$1,0,0,COUNTA(quests!$A:$A),MATCH(AA$2,quests!$1:$1,0)-MATCH($C$2,quests!$1:$1,0)+1),MATCH(AA$2,quests!$1:$1,0)-MATCH($C$2,quests!$1:$1,0)+1,FALSE)</f>
        <v>0</v>
      </c>
      <c r="AB353" s="7" t="s">
        <v>56</v>
      </c>
      <c r="AC353" s="7">
        <v>26</v>
      </c>
      <c r="AD353" s="7">
        <v>6</v>
      </c>
      <c r="AE353" s="7" t="s">
        <v>522</v>
      </c>
      <c r="AF353" s="7">
        <v>13</v>
      </c>
      <c r="AG353" s="7">
        <v>0</v>
      </c>
      <c r="AH353" s="7">
        <v>0</v>
      </c>
      <c r="AI353" s="7">
        <v>-1</v>
      </c>
      <c r="AJ353" s="7">
        <v>-1</v>
      </c>
      <c r="AK353" s="7" t="s">
        <v>1064</v>
      </c>
      <c r="AL353" s="12" t="s">
        <v>1695</v>
      </c>
      <c r="AM353" s="12" t="s">
        <v>2072</v>
      </c>
    </row>
    <row r="354" spans="1:39" ht="21" customHeight="1" x14ac:dyDescent="0.15">
      <c r="A354" s="42" t="str">
        <f t="shared" si="16"/>
        <v>13101_18</v>
      </c>
      <c r="B354" s="39">
        <v>1</v>
      </c>
      <c r="C354" s="10">
        <v>13101</v>
      </c>
      <c r="D354" s="47" t="str">
        <f ca="1">VLOOKUP($C354,OFFSET(quests!$A$1,0,0,COUNTA(quests!$A:$A),MATCH(D$1,quests!$1:$1,0)-MATCH($C$2,quests!$1:$1,0)+1),MATCH(D$1,quests!$1:$1,0)-MATCH($C$2,quests!$1:$1,0)+1,FALSE)</f>
        <v>チャレンジタワー</v>
      </c>
      <c r="E354" s="48" t="str">
        <f ca="1">VLOOKUP($C354,OFFSET(quests!$A$1,0,0,COUNTA(quests!$A:$A),MATCH(E$2,quests!$1:$1,0)-MATCH($C$2,quests!$1:$1,0)+1),MATCH(E$2,quests!$1:$1,0)-MATCH($C$2,quests!$1:$1,0)+1,FALSE)</f>
        <v>リセット型チャレンジタワー</v>
      </c>
      <c r="F354" s="7">
        <v>18</v>
      </c>
      <c r="G354" s="7" t="s">
        <v>570</v>
      </c>
      <c r="H354" s="12" t="s">
        <v>270</v>
      </c>
      <c r="I354" s="12" t="s">
        <v>236</v>
      </c>
      <c r="J354" s="12">
        <v>334</v>
      </c>
      <c r="K354" s="188">
        <v>17</v>
      </c>
      <c r="L354" s="189">
        <v>1821</v>
      </c>
      <c r="M354" s="167">
        <v>1</v>
      </c>
      <c r="N354" s="167">
        <v>1</v>
      </c>
      <c r="O354" s="167">
        <v>1</v>
      </c>
      <c r="P354" s="167">
        <v>1</v>
      </c>
      <c r="Q354" s="167">
        <v>1</v>
      </c>
      <c r="R354" s="167">
        <v>3</v>
      </c>
      <c r="S354" s="167" t="s">
        <v>273</v>
      </c>
      <c r="T354" s="191" t="s">
        <v>401</v>
      </c>
      <c r="U354" s="7">
        <v>13101</v>
      </c>
      <c r="V354" s="7">
        <v>17</v>
      </c>
      <c r="W354" s="47" t="str">
        <f t="shared" ca="1" si="15"/>
        <v>チャレンジタワー 17F</v>
      </c>
      <c r="X354" s="47">
        <f ca="1">VLOOKUP($C354,OFFSET(quests!$A$1,0,0,COUNTA(quests!$A:$A),MATCH(X$2,quests!$1:$1,0)-MATCH($C$2,quests!$1:$1,0)+1),MATCH(X$2,quests!$1:$1,0)-MATCH($C$2,quests!$1:$1,0)+1,FALSE)</f>
        <v>0</v>
      </c>
      <c r="Y354" s="47">
        <f ca="1">VLOOKUP($C354,OFFSET(quests!$A$1,0,0,COUNTA(quests!$A:$A),MATCH(Y$2,quests!$1:$1,0)-MATCH($C$2,quests!$1:$1,0)+1),MATCH(Y$2,quests!$1:$1,0)-MATCH($C$2,quests!$1:$1,0)+1,FALSE)</f>
        <v>0</v>
      </c>
      <c r="Z354" s="47">
        <f ca="1">VLOOKUP($C354,OFFSET(quests!$A$1,0,0,COUNTA(quests!$A:$A),MATCH(Z$2,quests!$1:$1,0)-MATCH($C$2,quests!$1:$1,0)+1),MATCH(Z$2,quests!$1:$1,0)-MATCH($C$2,quests!$1:$1,0)+1,FALSE)</f>
        <v>0</v>
      </c>
      <c r="AA354" s="47">
        <f ca="1">VLOOKUP($C354,OFFSET(quests!$A$1,0,0,COUNTA(quests!$A:$A),MATCH(AA$2,quests!$1:$1,0)-MATCH($C$2,quests!$1:$1,0)+1),MATCH(AA$2,quests!$1:$1,0)-MATCH($C$2,quests!$1:$1,0)+1,FALSE)</f>
        <v>0</v>
      </c>
      <c r="AB354" s="7" t="s">
        <v>56</v>
      </c>
      <c r="AC354" s="7">
        <v>26</v>
      </c>
      <c r="AD354" s="7">
        <v>6</v>
      </c>
      <c r="AE354" s="7" t="s">
        <v>522</v>
      </c>
      <c r="AF354" s="7">
        <v>13</v>
      </c>
      <c r="AG354" s="7">
        <v>0</v>
      </c>
      <c r="AH354" s="7">
        <v>0</v>
      </c>
      <c r="AI354" s="7">
        <v>-1</v>
      </c>
      <c r="AJ354" s="7">
        <v>-1</v>
      </c>
      <c r="AK354" s="7" t="s">
        <v>1064</v>
      </c>
      <c r="AL354" s="12" t="s">
        <v>1695</v>
      </c>
      <c r="AM354" s="12" t="s">
        <v>2072</v>
      </c>
    </row>
    <row r="355" spans="1:39" ht="21" customHeight="1" x14ac:dyDescent="0.15">
      <c r="A355" s="42" t="str">
        <f t="shared" si="16"/>
        <v>13101_19</v>
      </c>
      <c r="B355" s="39">
        <v>1</v>
      </c>
      <c r="C355" s="10">
        <v>13101</v>
      </c>
      <c r="D355" s="47" t="str">
        <f ca="1">VLOOKUP($C355,OFFSET(quests!$A$1,0,0,COUNTA(quests!$A:$A),MATCH(D$1,quests!$1:$1,0)-MATCH($C$2,quests!$1:$1,0)+1),MATCH(D$1,quests!$1:$1,0)-MATCH($C$2,quests!$1:$1,0)+1,FALSE)</f>
        <v>チャレンジタワー</v>
      </c>
      <c r="E355" s="48" t="str">
        <f ca="1">VLOOKUP($C355,OFFSET(quests!$A$1,0,0,COUNTA(quests!$A:$A),MATCH(E$2,quests!$1:$1,0)-MATCH($C$2,quests!$1:$1,0)+1),MATCH(E$2,quests!$1:$1,0)-MATCH($C$2,quests!$1:$1,0)+1,FALSE)</f>
        <v>リセット型チャレンジタワー</v>
      </c>
      <c r="F355" s="7">
        <v>19</v>
      </c>
      <c r="G355" s="7" t="s">
        <v>570</v>
      </c>
      <c r="H355" s="12" t="s">
        <v>271</v>
      </c>
      <c r="I355" s="12" t="s">
        <v>236</v>
      </c>
      <c r="J355" s="12">
        <v>342</v>
      </c>
      <c r="K355" s="188">
        <v>18</v>
      </c>
      <c r="L355" s="189">
        <v>2108</v>
      </c>
      <c r="M355" s="167">
        <v>1</v>
      </c>
      <c r="N355" s="167">
        <v>1</v>
      </c>
      <c r="O355" s="167">
        <v>1</v>
      </c>
      <c r="P355" s="167">
        <v>1</v>
      </c>
      <c r="Q355" s="167">
        <v>1</v>
      </c>
      <c r="R355" s="167">
        <v>3</v>
      </c>
      <c r="S355" s="167" t="s">
        <v>273</v>
      </c>
      <c r="T355" s="191" t="s">
        <v>402</v>
      </c>
      <c r="U355" s="7">
        <v>13101</v>
      </c>
      <c r="V355" s="7">
        <v>18</v>
      </c>
      <c r="W355" s="47" t="str">
        <f t="shared" ca="1" si="15"/>
        <v>チャレンジタワー 18F</v>
      </c>
      <c r="X355" s="47">
        <f ca="1">VLOOKUP($C355,OFFSET(quests!$A$1,0,0,COUNTA(quests!$A:$A),MATCH(X$2,quests!$1:$1,0)-MATCH($C$2,quests!$1:$1,0)+1),MATCH(X$2,quests!$1:$1,0)-MATCH($C$2,quests!$1:$1,0)+1,FALSE)</f>
        <v>0</v>
      </c>
      <c r="Y355" s="47">
        <f ca="1">VLOOKUP($C355,OFFSET(quests!$A$1,0,0,COUNTA(quests!$A:$A),MATCH(Y$2,quests!$1:$1,0)-MATCH($C$2,quests!$1:$1,0)+1),MATCH(Y$2,quests!$1:$1,0)-MATCH($C$2,quests!$1:$1,0)+1,FALSE)</f>
        <v>0</v>
      </c>
      <c r="Z355" s="47">
        <f ca="1">VLOOKUP($C355,OFFSET(quests!$A$1,0,0,COUNTA(quests!$A:$A),MATCH(Z$2,quests!$1:$1,0)-MATCH($C$2,quests!$1:$1,0)+1),MATCH(Z$2,quests!$1:$1,0)-MATCH($C$2,quests!$1:$1,0)+1,FALSE)</f>
        <v>0</v>
      </c>
      <c r="AA355" s="47">
        <f ca="1">VLOOKUP($C355,OFFSET(quests!$A$1,0,0,COUNTA(quests!$A:$A),MATCH(AA$2,quests!$1:$1,0)-MATCH($C$2,quests!$1:$1,0)+1),MATCH(AA$2,quests!$1:$1,0)-MATCH($C$2,quests!$1:$1,0)+1,FALSE)</f>
        <v>0</v>
      </c>
      <c r="AB355" s="7" t="s">
        <v>56</v>
      </c>
      <c r="AC355" s="7">
        <v>26</v>
      </c>
      <c r="AD355" s="7">
        <v>6</v>
      </c>
      <c r="AE355" s="7" t="s">
        <v>522</v>
      </c>
      <c r="AF355" s="7">
        <v>13</v>
      </c>
      <c r="AG355" s="7">
        <v>0</v>
      </c>
      <c r="AH355" s="7">
        <v>0</v>
      </c>
      <c r="AI355" s="7">
        <v>-1</v>
      </c>
      <c r="AJ355" s="7">
        <v>-1</v>
      </c>
      <c r="AK355" s="7" t="s">
        <v>1064</v>
      </c>
      <c r="AL355" s="12" t="s">
        <v>1695</v>
      </c>
      <c r="AM355" s="12" t="s">
        <v>2072</v>
      </c>
    </row>
    <row r="356" spans="1:39" ht="21" customHeight="1" x14ac:dyDescent="0.15">
      <c r="A356" s="42" t="str">
        <f t="shared" si="16"/>
        <v>13101_20</v>
      </c>
      <c r="B356" s="39">
        <v>1</v>
      </c>
      <c r="C356" s="10">
        <v>13101</v>
      </c>
      <c r="D356" s="47" t="str">
        <f ca="1">VLOOKUP($C356,OFFSET(quests!$A$1,0,0,COUNTA(quests!$A:$A),MATCH(D$1,quests!$1:$1,0)-MATCH($C$2,quests!$1:$1,0)+1),MATCH(D$1,quests!$1:$1,0)-MATCH($C$2,quests!$1:$1,0)+1,FALSE)</f>
        <v>チャレンジタワー</v>
      </c>
      <c r="E356" s="48" t="str">
        <f ca="1">VLOOKUP($C356,OFFSET(quests!$A$1,0,0,COUNTA(quests!$A:$A),MATCH(E$2,quests!$1:$1,0)-MATCH($C$2,quests!$1:$1,0)+1),MATCH(E$2,quests!$1:$1,0)-MATCH($C$2,quests!$1:$1,0)+1,FALSE)</f>
        <v>リセット型チャレンジタワー</v>
      </c>
      <c r="F356" s="7">
        <v>20</v>
      </c>
      <c r="G356" s="7" t="s">
        <v>570</v>
      </c>
      <c r="H356" s="12" t="s">
        <v>272</v>
      </c>
      <c r="I356" s="12" t="s">
        <v>236</v>
      </c>
      <c r="J356" s="12">
        <v>318</v>
      </c>
      <c r="K356" s="188">
        <v>18</v>
      </c>
      <c r="L356" s="189">
        <v>1620</v>
      </c>
      <c r="M356" s="167">
        <v>1</v>
      </c>
      <c r="N356" s="167">
        <v>1</v>
      </c>
      <c r="O356" s="167">
        <v>1</v>
      </c>
      <c r="P356" s="167">
        <v>1</v>
      </c>
      <c r="Q356" s="167">
        <v>1</v>
      </c>
      <c r="R356" s="167">
        <v>3</v>
      </c>
      <c r="S356" s="167" t="s">
        <v>273</v>
      </c>
      <c r="T356" s="191" t="s">
        <v>403</v>
      </c>
      <c r="U356" s="7">
        <v>13101</v>
      </c>
      <c r="V356" s="7">
        <v>19</v>
      </c>
      <c r="W356" s="47" t="str">
        <f t="shared" ca="1" si="15"/>
        <v>チャレンジタワー 19F</v>
      </c>
      <c r="X356" s="47">
        <f ca="1">VLOOKUP($C356,OFFSET(quests!$A$1,0,0,COUNTA(quests!$A:$A),MATCH(X$2,quests!$1:$1,0)-MATCH($C$2,quests!$1:$1,0)+1),MATCH(X$2,quests!$1:$1,0)-MATCH($C$2,quests!$1:$1,0)+1,FALSE)</f>
        <v>0</v>
      </c>
      <c r="Y356" s="47">
        <f ca="1">VLOOKUP($C356,OFFSET(quests!$A$1,0,0,COUNTA(quests!$A:$A),MATCH(Y$2,quests!$1:$1,0)-MATCH($C$2,quests!$1:$1,0)+1),MATCH(Y$2,quests!$1:$1,0)-MATCH($C$2,quests!$1:$1,0)+1,FALSE)</f>
        <v>0</v>
      </c>
      <c r="Z356" s="47">
        <f ca="1">VLOOKUP($C356,OFFSET(quests!$A$1,0,0,COUNTA(quests!$A:$A),MATCH(Z$2,quests!$1:$1,0)-MATCH($C$2,quests!$1:$1,0)+1),MATCH(Z$2,quests!$1:$1,0)-MATCH($C$2,quests!$1:$1,0)+1,FALSE)</f>
        <v>0</v>
      </c>
      <c r="AA356" s="47">
        <f ca="1">VLOOKUP($C356,OFFSET(quests!$A$1,0,0,COUNTA(quests!$A:$A),MATCH(AA$2,quests!$1:$1,0)-MATCH($C$2,quests!$1:$1,0)+1),MATCH(AA$2,quests!$1:$1,0)-MATCH($C$2,quests!$1:$1,0)+1,FALSE)</f>
        <v>0</v>
      </c>
      <c r="AB356" s="7" t="s">
        <v>56</v>
      </c>
      <c r="AC356" s="7">
        <v>26</v>
      </c>
      <c r="AD356" s="7">
        <v>6</v>
      </c>
      <c r="AE356" s="7" t="s">
        <v>522</v>
      </c>
      <c r="AF356" s="7">
        <v>13</v>
      </c>
      <c r="AG356" s="7">
        <v>0</v>
      </c>
      <c r="AH356" s="7">
        <v>0</v>
      </c>
      <c r="AI356" s="7">
        <v>-1</v>
      </c>
      <c r="AJ356" s="7">
        <v>-1</v>
      </c>
      <c r="AK356" s="7" t="s">
        <v>1064</v>
      </c>
      <c r="AL356" s="12" t="s">
        <v>1695</v>
      </c>
      <c r="AM356" s="12" t="s">
        <v>2072</v>
      </c>
    </row>
    <row r="357" spans="1:39" ht="21" customHeight="1" x14ac:dyDescent="0.15">
      <c r="A357" s="42" t="str">
        <f t="shared" si="16"/>
        <v>13101_21</v>
      </c>
      <c r="B357" s="39">
        <v>1</v>
      </c>
      <c r="C357" s="10">
        <v>13101</v>
      </c>
      <c r="D357" s="47" t="str">
        <f ca="1">VLOOKUP($C357,OFFSET(quests!$A$1,0,0,COUNTA(quests!$A:$A),MATCH(D$1,quests!$1:$1,0)-MATCH($C$2,quests!$1:$1,0)+1),MATCH(D$1,quests!$1:$1,0)-MATCH($C$2,quests!$1:$1,0)+1,FALSE)</f>
        <v>チャレンジタワー</v>
      </c>
      <c r="E357" s="48" t="str">
        <f ca="1">VLOOKUP($C357,OFFSET(quests!$A$1,0,0,COUNTA(quests!$A:$A),MATCH(E$2,quests!$1:$1,0)-MATCH($C$2,quests!$1:$1,0)+1),MATCH(E$2,quests!$1:$1,0)-MATCH($C$2,quests!$1:$1,0)+1,FALSE)</f>
        <v>リセット型チャレンジタワー</v>
      </c>
      <c r="F357" s="7">
        <v>21</v>
      </c>
      <c r="G357" s="7" t="s">
        <v>570</v>
      </c>
      <c r="H357" s="12" t="s">
        <v>442</v>
      </c>
      <c r="I357" s="12" t="s">
        <v>236</v>
      </c>
      <c r="J357" s="79" t="s">
        <v>455</v>
      </c>
      <c r="K357" s="188">
        <v>18</v>
      </c>
      <c r="L357" s="189">
        <v>1620</v>
      </c>
      <c r="M357" s="167">
        <v>1</v>
      </c>
      <c r="N357" s="167">
        <v>1</v>
      </c>
      <c r="O357" s="167">
        <v>1</v>
      </c>
      <c r="P357" s="167">
        <v>1</v>
      </c>
      <c r="Q357" s="167">
        <v>1</v>
      </c>
      <c r="R357" s="167">
        <v>3</v>
      </c>
      <c r="S357" s="167" t="s">
        <v>273</v>
      </c>
      <c r="T357" s="191" t="s">
        <v>459</v>
      </c>
      <c r="U357" s="7">
        <v>13101</v>
      </c>
      <c r="V357" s="7">
        <v>20</v>
      </c>
      <c r="W357" s="47" t="str">
        <f t="shared" ca="1" si="15"/>
        <v>チャレンジタワー 20F</v>
      </c>
      <c r="X357" s="47">
        <f ca="1">VLOOKUP($C357,OFFSET(quests!$A$1,0,0,COUNTA(quests!$A:$A),MATCH(X$2,quests!$1:$1,0)-MATCH($C$2,quests!$1:$1,0)+1),MATCH(X$2,quests!$1:$1,0)-MATCH($C$2,quests!$1:$1,0)+1,FALSE)</f>
        <v>0</v>
      </c>
      <c r="Y357" s="47">
        <f ca="1">VLOOKUP($C357,OFFSET(quests!$A$1,0,0,COUNTA(quests!$A:$A),MATCH(Y$2,quests!$1:$1,0)-MATCH($C$2,quests!$1:$1,0)+1),MATCH(Y$2,quests!$1:$1,0)-MATCH($C$2,quests!$1:$1,0)+1,FALSE)</f>
        <v>0</v>
      </c>
      <c r="Z357" s="47">
        <f ca="1">VLOOKUP($C357,OFFSET(quests!$A$1,0,0,COUNTA(quests!$A:$A),MATCH(Z$2,quests!$1:$1,0)-MATCH($C$2,quests!$1:$1,0)+1),MATCH(Z$2,quests!$1:$1,0)-MATCH($C$2,quests!$1:$1,0)+1,FALSE)</f>
        <v>0</v>
      </c>
      <c r="AA357" s="47">
        <f ca="1">VLOOKUP($C357,OFFSET(quests!$A$1,0,0,COUNTA(quests!$A:$A),MATCH(AA$2,quests!$1:$1,0)-MATCH($C$2,quests!$1:$1,0)+1),MATCH(AA$2,quests!$1:$1,0)-MATCH($C$2,quests!$1:$1,0)+1,FALSE)</f>
        <v>0</v>
      </c>
      <c r="AB357" s="7" t="s">
        <v>56</v>
      </c>
      <c r="AC357" s="7">
        <v>26</v>
      </c>
      <c r="AD357" s="7">
        <v>6</v>
      </c>
      <c r="AE357" s="7" t="s">
        <v>522</v>
      </c>
      <c r="AF357" s="7">
        <v>13</v>
      </c>
      <c r="AG357" s="7">
        <v>0</v>
      </c>
      <c r="AH357" s="7">
        <v>0</v>
      </c>
      <c r="AI357" s="7">
        <v>-1</v>
      </c>
      <c r="AJ357" s="7">
        <v>-1</v>
      </c>
      <c r="AK357" s="7" t="s">
        <v>1064</v>
      </c>
      <c r="AL357" s="12" t="s">
        <v>1695</v>
      </c>
      <c r="AM357" s="12" t="s">
        <v>2072</v>
      </c>
    </row>
    <row r="358" spans="1:39" ht="21" customHeight="1" x14ac:dyDescent="0.15">
      <c r="A358" s="42" t="str">
        <f t="shared" si="16"/>
        <v>13101_22</v>
      </c>
      <c r="B358" s="39">
        <v>1</v>
      </c>
      <c r="C358" s="10">
        <v>13101</v>
      </c>
      <c r="D358" s="47" t="str">
        <f ca="1">VLOOKUP($C358,OFFSET(quests!$A$1,0,0,COUNTA(quests!$A:$A),MATCH(D$1,quests!$1:$1,0)-MATCH($C$2,quests!$1:$1,0)+1),MATCH(D$1,quests!$1:$1,0)-MATCH($C$2,quests!$1:$1,0)+1,FALSE)</f>
        <v>チャレンジタワー</v>
      </c>
      <c r="E358" s="48" t="str">
        <f ca="1">VLOOKUP($C358,OFFSET(quests!$A$1,0,0,COUNTA(quests!$A:$A),MATCH(E$2,quests!$1:$1,0)-MATCH($C$2,quests!$1:$1,0)+1),MATCH(E$2,quests!$1:$1,0)-MATCH($C$2,quests!$1:$1,0)+1,FALSE)</f>
        <v>リセット型チャレンジタワー</v>
      </c>
      <c r="F358" s="7">
        <v>22</v>
      </c>
      <c r="G358" s="7" t="s">
        <v>570</v>
      </c>
      <c r="H358" s="12" t="s">
        <v>443</v>
      </c>
      <c r="I358" s="12" t="s">
        <v>236</v>
      </c>
      <c r="J358" s="79" t="s">
        <v>456</v>
      </c>
      <c r="K358" s="188">
        <v>18</v>
      </c>
      <c r="L358" s="189">
        <v>1620</v>
      </c>
      <c r="M358" s="167">
        <v>1</v>
      </c>
      <c r="N358" s="167">
        <v>1</v>
      </c>
      <c r="O358" s="167">
        <v>1</v>
      </c>
      <c r="P358" s="167">
        <v>1</v>
      </c>
      <c r="Q358" s="167">
        <v>1</v>
      </c>
      <c r="R358" s="167">
        <v>3</v>
      </c>
      <c r="S358" s="167" t="s">
        <v>273</v>
      </c>
      <c r="T358" s="191" t="s">
        <v>460</v>
      </c>
      <c r="U358" s="7">
        <v>13101</v>
      </c>
      <c r="V358" s="7">
        <v>21</v>
      </c>
      <c r="W358" s="47" t="str">
        <f t="shared" ca="1" si="15"/>
        <v>チャレンジタワー 21F</v>
      </c>
      <c r="X358" s="47">
        <f ca="1">VLOOKUP($C358,OFFSET(quests!$A$1,0,0,COUNTA(quests!$A:$A),MATCH(X$2,quests!$1:$1,0)-MATCH($C$2,quests!$1:$1,0)+1),MATCH(X$2,quests!$1:$1,0)-MATCH($C$2,quests!$1:$1,0)+1,FALSE)</f>
        <v>0</v>
      </c>
      <c r="Y358" s="47">
        <f ca="1">VLOOKUP($C358,OFFSET(quests!$A$1,0,0,COUNTA(quests!$A:$A),MATCH(Y$2,quests!$1:$1,0)-MATCH($C$2,quests!$1:$1,0)+1),MATCH(Y$2,quests!$1:$1,0)-MATCH($C$2,quests!$1:$1,0)+1,FALSE)</f>
        <v>0</v>
      </c>
      <c r="Z358" s="47">
        <f ca="1">VLOOKUP($C358,OFFSET(quests!$A$1,0,0,COUNTA(quests!$A:$A),MATCH(Z$2,quests!$1:$1,0)-MATCH($C$2,quests!$1:$1,0)+1),MATCH(Z$2,quests!$1:$1,0)-MATCH($C$2,quests!$1:$1,0)+1,FALSE)</f>
        <v>0</v>
      </c>
      <c r="AA358" s="47">
        <f ca="1">VLOOKUP($C358,OFFSET(quests!$A$1,0,0,COUNTA(quests!$A:$A),MATCH(AA$2,quests!$1:$1,0)-MATCH($C$2,quests!$1:$1,0)+1),MATCH(AA$2,quests!$1:$1,0)-MATCH($C$2,quests!$1:$1,0)+1,FALSE)</f>
        <v>0</v>
      </c>
      <c r="AB358" s="7" t="s">
        <v>56</v>
      </c>
      <c r="AC358" s="7">
        <v>26</v>
      </c>
      <c r="AD358" s="7">
        <v>6</v>
      </c>
      <c r="AE358" s="7" t="s">
        <v>522</v>
      </c>
      <c r="AF358" s="7">
        <v>13</v>
      </c>
      <c r="AG358" s="7">
        <v>0</v>
      </c>
      <c r="AH358" s="7">
        <v>0</v>
      </c>
      <c r="AI358" s="7">
        <v>-1</v>
      </c>
      <c r="AJ358" s="7">
        <v>-1</v>
      </c>
      <c r="AK358" s="7" t="s">
        <v>1064</v>
      </c>
      <c r="AL358" s="12" t="s">
        <v>1695</v>
      </c>
      <c r="AM358" s="12" t="s">
        <v>2072</v>
      </c>
    </row>
    <row r="359" spans="1:39" ht="21" customHeight="1" x14ac:dyDescent="0.15">
      <c r="A359" s="42" t="str">
        <f t="shared" si="16"/>
        <v>13101_23</v>
      </c>
      <c r="B359" s="39">
        <v>1</v>
      </c>
      <c r="C359" s="10">
        <v>13101</v>
      </c>
      <c r="D359" s="47" t="str">
        <f ca="1">VLOOKUP($C359,OFFSET(quests!$A$1,0,0,COUNTA(quests!$A:$A),MATCH(D$1,quests!$1:$1,0)-MATCH($C$2,quests!$1:$1,0)+1),MATCH(D$1,quests!$1:$1,0)-MATCH($C$2,quests!$1:$1,0)+1,FALSE)</f>
        <v>チャレンジタワー</v>
      </c>
      <c r="E359" s="48" t="str">
        <f ca="1">VLOOKUP($C359,OFFSET(quests!$A$1,0,0,COUNTA(quests!$A:$A),MATCH(E$2,quests!$1:$1,0)-MATCH($C$2,quests!$1:$1,0)+1),MATCH(E$2,quests!$1:$1,0)-MATCH($C$2,quests!$1:$1,0)+1,FALSE)</f>
        <v>リセット型チャレンジタワー</v>
      </c>
      <c r="F359" s="7">
        <v>23</v>
      </c>
      <c r="G359" s="7" t="s">
        <v>570</v>
      </c>
      <c r="H359" s="12" t="s">
        <v>444</v>
      </c>
      <c r="I359" s="12" t="s">
        <v>236</v>
      </c>
      <c r="J359" s="79" t="s">
        <v>457</v>
      </c>
      <c r="K359" s="188">
        <v>20</v>
      </c>
      <c r="L359" s="189">
        <v>1821</v>
      </c>
      <c r="M359" s="167">
        <v>1</v>
      </c>
      <c r="N359" s="167">
        <v>1</v>
      </c>
      <c r="O359" s="167">
        <v>1</v>
      </c>
      <c r="P359" s="167">
        <v>1</v>
      </c>
      <c r="Q359" s="167">
        <v>1</v>
      </c>
      <c r="R359" s="167">
        <v>3</v>
      </c>
      <c r="S359" s="167" t="s">
        <v>273</v>
      </c>
      <c r="T359" s="191" t="s">
        <v>461</v>
      </c>
      <c r="U359" s="7">
        <v>13101</v>
      </c>
      <c r="V359" s="7">
        <v>22</v>
      </c>
      <c r="W359" s="47" t="str">
        <f t="shared" ca="1" si="15"/>
        <v>チャレンジタワー 22F</v>
      </c>
      <c r="X359" s="47">
        <f ca="1">VLOOKUP($C359,OFFSET(quests!$A$1,0,0,COUNTA(quests!$A:$A),MATCH(X$2,quests!$1:$1,0)-MATCH($C$2,quests!$1:$1,0)+1),MATCH(X$2,quests!$1:$1,0)-MATCH($C$2,quests!$1:$1,0)+1,FALSE)</f>
        <v>0</v>
      </c>
      <c r="Y359" s="47">
        <f ca="1">VLOOKUP($C359,OFFSET(quests!$A$1,0,0,COUNTA(quests!$A:$A),MATCH(Y$2,quests!$1:$1,0)-MATCH($C$2,quests!$1:$1,0)+1),MATCH(Y$2,quests!$1:$1,0)-MATCH($C$2,quests!$1:$1,0)+1,FALSE)</f>
        <v>0</v>
      </c>
      <c r="Z359" s="47">
        <f ca="1">VLOOKUP($C359,OFFSET(quests!$A$1,0,0,COUNTA(quests!$A:$A),MATCH(Z$2,quests!$1:$1,0)-MATCH($C$2,quests!$1:$1,0)+1),MATCH(Z$2,quests!$1:$1,0)-MATCH($C$2,quests!$1:$1,0)+1,FALSE)</f>
        <v>0</v>
      </c>
      <c r="AA359" s="47">
        <f ca="1">VLOOKUP($C359,OFFSET(quests!$A$1,0,0,COUNTA(quests!$A:$A),MATCH(AA$2,quests!$1:$1,0)-MATCH($C$2,quests!$1:$1,0)+1),MATCH(AA$2,quests!$1:$1,0)-MATCH($C$2,quests!$1:$1,0)+1,FALSE)</f>
        <v>0</v>
      </c>
      <c r="AB359" s="7" t="s">
        <v>56</v>
      </c>
      <c r="AC359" s="7">
        <v>26</v>
      </c>
      <c r="AD359" s="7">
        <v>6</v>
      </c>
      <c r="AE359" s="7" t="s">
        <v>522</v>
      </c>
      <c r="AF359" s="7">
        <v>13</v>
      </c>
      <c r="AG359" s="7">
        <v>0</v>
      </c>
      <c r="AH359" s="7">
        <v>0</v>
      </c>
      <c r="AI359" s="7">
        <v>-1</v>
      </c>
      <c r="AJ359" s="7">
        <v>-1</v>
      </c>
      <c r="AK359" s="7" t="s">
        <v>1064</v>
      </c>
      <c r="AL359" s="12" t="s">
        <v>1695</v>
      </c>
      <c r="AM359" s="12" t="s">
        <v>2072</v>
      </c>
    </row>
    <row r="360" spans="1:39" ht="21" customHeight="1" x14ac:dyDescent="0.15">
      <c r="A360" s="42" t="str">
        <f t="shared" si="16"/>
        <v>13101_24</v>
      </c>
      <c r="B360" s="39">
        <v>1</v>
      </c>
      <c r="C360" s="10">
        <v>13101</v>
      </c>
      <c r="D360" s="47" t="str">
        <f ca="1">VLOOKUP($C360,OFFSET(quests!$A$1,0,0,COUNTA(quests!$A:$A),MATCH(D$1,quests!$1:$1,0)-MATCH($C$2,quests!$1:$1,0)+1),MATCH(D$1,quests!$1:$1,0)-MATCH($C$2,quests!$1:$1,0)+1,FALSE)</f>
        <v>チャレンジタワー</v>
      </c>
      <c r="E360" s="48" t="str">
        <f ca="1">VLOOKUP($C360,OFFSET(quests!$A$1,0,0,COUNTA(quests!$A:$A),MATCH(E$2,quests!$1:$1,0)-MATCH($C$2,quests!$1:$1,0)+1),MATCH(E$2,quests!$1:$1,0)-MATCH($C$2,quests!$1:$1,0)+1,FALSE)</f>
        <v>リセット型チャレンジタワー</v>
      </c>
      <c r="F360" s="7">
        <v>24</v>
      </c>
      <c r="G360" s="7" t="s">
        <v>570</v>
      </c>
      <c r="H360" s="12" t="s">
        <v>445</v>
      </c>
      <c r="I360" s="12" t="s">
        <v>236</v>
      </c>
      <c r="J360" s="79" t="s">
        <v>458</v>
      </c>
      <c r="K360" s="188">
        <v>20</v>
      </c>
      <c r="L360" s="189">
        <v>2871</v>
      </c>
      <c r="M360" s="167">
        <v>1</v>
      </c>
      <c r="N360" s="167">
        <v>1</v>
      </c>
      <c r="O360" s="167">
        <v>1</v>
      </c>
      <c r="P360" s="167">
        <v>1</v>
      </c>
      <c r="Q360" s="167">
        <v>1</v>
      </c>
      <c r="R360" s="167">
        <v>3</v>
      </c>
      <c r="S360" s="167" t="s">
        <v>273</v>
      </c>
      <c r="T360" s="191" t="s">
        <v>462</v>
      </c>
      <c r="U360" s="7">
        <v>13101</v>
      </c>
      <c r="V360" s="7">
        <v>23</v>
      </c>
      <c r="W360" s="47" t="str">
        <f t="shared" ca="1" si="15"/>
        <v>チャレンジタワー 23F</v>
      </c>
      <c r="X360" s="47">
        <f ca="1">VLOOKUP($C360,OFFSET(quests!$A$1,0,0,COUNTA(quests!$A:$A),MATCH(X$2,quests!$1:$1,0)-MATCH($C$2,quests!$1:$1,0)+1),MATCH(X$2,quests!$1:$1,0)-MATCH($C$2,quests!$1:$1,0)+1,FALSE)</f>
        <v>0</v>
      </c>
      <c r="Y360" s="47">
        <f ca="1">VLOOKUP($C360,OFFSET(quests!$A$1,0,0,COUNTA(quests!$A:$A),MATCH(Y$2,quests!$1:$1,0)-MATCH($C$2,quests!$1:$1,0)+1),MATCH(Y$2,quests!$1:$1,0)-MATCH($C$2,quests!$1:$1,0)+1,FALSE)</f>
        <v>0</v>
      </c>
      <c r="Z360" s="47">
        <f ca="1">VLOOKUP($C360,OFFSET(quests!$A$1,0,0,COUNTA(quests!$A:$A),MATCH(Z$2,quests!$1:$1,0)-MATCH($C$2,quests!$1:$1,0)+1),MATCH(Z$2,quests!$1:$1,0)-MATCH($C$2,quests!$1:$1,0)+1,FALSE)</f>
        <v>0</v>
      </c>
      <c r="AA360" s="47">
        <f ca="1">VLOOKUP($C360,OFFSET(quests!$A$1,0,0,COUNTA(quests!$A:$A),MATCH(AA$2,quests!$1:$1,0)-MATCH($C$2,quests!$1:$1,0)+1),MATCH(AA$2,quests!$1:$1,0)-MATCH($C$2,quests!$1:$1,0)+1,FALSE)</f>
        <v>0</v>
      </c>
      <c r="AB360" s="7" t="s">
        <v>56</v>
      </c>
      <c r="AC360" s="7">
        <v>26</v>
      </c>
      <c r="AD360" s="7">
        <v>6</v>
      </c>
      <c r="AE360" s="7" t="s">
        <v>522</v>
      </c>
      <c r="AF360" s="7">
        <v>13</v>
      </c>
      <c r="AG360" s="7">
        <v>0</v>
      </c>
      <c r="AH360" s="7">
        <v>0</v>
      </c>
      <c r="AI360" s="7">
        <v>-1</v>
      </c>
      <c r="AJ360" s="7">
        <v>-1</v>
      </c>
      <c r="AK360" s="7" t="s">
        <v>1064</v>
      </c>
      <c r="AL360" s="12" t="s">
        <v>1695</v>
      </c>
      <c r="AM360" s="12" t="s">
        <v>2072</v>
      </c>
    </row>
    <row r="361" spans="1:39" ht="21" customHeight="1" x14ac:dyDescent="0.15">
      <c r="A361" s="42" t="str">
        <f t="shared" si="16"/>
        <v>13101_25</v>
      </c>
      <c r="B361" s="39">
        <v>1</v>
      </c>
      <c r="C361" s="10">
        <v>13101</v>
      </c>
      <c r="D361" s="47" t="str">
        <f ca="1">VLOOKUP($C361,OFFSET(quests!$A$1,0,0,COUNTA(quests!$A:$A),MATCH(D$1,quests!$1:$1,0)-MATCH($C$2,quests!$1:$1,0)+1),MATCH(D$1,quests!$1:$1,0)-MATCH($C$2,quests!$1:$1,0)+1,FALSE)</f>
        <v>チャレンジタワー</v>
      </c>
      <c r="E361" s="48" t="str">
        <f ca="1">VLOOKUP($C361,OFFSET(quests!$A$1,0,0,COUNTA(quests!$A:$A),MATCH(E$2,quests!$1:$1,0)-MATCH($C$2,quests!$1:$1,0)+1),MATCH(E$2,quests!$1:$1,0)-MATCH($C$2,quests!$1:$1,0)+1,FALSE)</f>
        <v>リセット型チャレンジタワー</v>
      </c>
      <c r="F361" s="7">
        <v>25</v>
      </c>
      <c r="G361" s="7" t="s">
        <v>570</v>
      </c>
      <c r="H361" s="12" t="s">
        <v>446</v>
      </c>
      <c r="I361" s="12" t="s">
        <v>236</v>
      </c>
      <c r="J361" s="79" t="s">
        <v>453</v>
      </c>
      <c r="K361" s="188">
        <v>22</v>
      </c>
      <c r="L361" s="189">
        <v>3740</v>
      </c>
      <c r="M361" s="167">
        <v>1</v>
      </c>
      <c r="N361" s="167">
        <v>1</v>
      </c>
      <c r="O361" s="167">
        <v>1</v>
      </c>
      <c r="P361" s="167">
        <v>1</v>
      </c>
      <c r="Q361" s="167">
        <v>1</v>
      </c>
      <c r="R361" s="167">
        <v>3</v>
      </c>
      <c r="S361" s="167" t="s">
        <v>273</v>
      </c>
      <c r="T361" s="191" t="s">
        <v>453</v>
      </c>
      <c r="U361" s="7">
        <v>13101</v>
      </c>
      <c r="V361" s="7">
        <v>24</v>
      </c>
      <c r="W361" s="47" t="str">
        <f t="shared" ca="1" si="15"/>
        <v>チャレンジタワー 24F</v>
      </c>
      <c r="X361" s="47">
        <f ca="1">VLOOKUP($C361,OFFSET(quests!$A$1,0,0,COUNTA(quests!$A:$A),MATCH(X$2,quests!$1:$1,0)-MATCH($C$2,quests!$1:$1,0)+1),MATCH(X$2,quests!$1:$1,0)-MATCH($C$2,quests!$1:$1,0)+1,FALSE)</f>
        <v>0</v>
      </c>
      <c r="Y361" s="47">
        <f ca="1">VLOOKUP($C361,OFFSET(quests!$A$1,0,0,COUNTA(quests!$A:$A),MATCH(Y$2,quests!$1:$1,0)-MATCH($C$2,quests!$1:$1,0)+1),MATCH(Y$2,quests!$1:$1,0)-MATCH($C$2,quests!$1:$1,0)+1,FALSE)</f>
        <v>0</v>
      </c>
      <c r="Z361" s="47">
        <f ca="1">VLOOKUP($C361,OFFSET(quests!$A$1,0,0,COUNTA(quests!$A:$A),MATCH(Z$2,quests!$1:$1,0)-MATCH($C$2,quests!$1:$1,0)+1),MATCH(Z$2,quests!$1:$1,0)-MATCH($C$2,quests!$1:$1,0)+1,FALSE)</f>
        <v>0</v>
      </c>
      <c r="AA361" s="47">
        <f ca="1">VLOOKUP($C361,OFFSET(quests!$A$1,0,0,COUNTA(quests!$A:$A),MATCH(AA$2,quests!$1:$1,0)-MATCH($C$2,quests!$1:$1,0)+1),MATCH(AA$2,quests!$1:$1,0)-MATCH($C$2,quests!$1:$1,0)+1,FALSE)</f>
        <v>0</v>
      </c>
      <c r="AB361" s="7" t="s">
        <v>56</v>
      </c>
      <c r="AC361" s="7">
        <v>26</v>
      </c>
      <c r="AD361" s="7">
        <v>6</v>
      </c>
      <c r="AE361" s="7" t="s">
        <v>522</v>
      </c>
      <c r="AF361" s="7">
        <v>13</v>
      </c>
      <c r="AG361" s="7">
        <v>0</v>
      </c>
      <c r="AH361" s="7">
        <v>0</v>
      </c>
      <c r="AI361" s="7">
        <v>-1</v>
      </c>
      <c r="AJ361" s="7">
        <v>-1</v>
      </c>
      <c r="AK361" s="7" t="s">
        <v>1064</v>
      </c>
      <c r="AL361" s="12" t="s">
        <v>1695</v>
      </c>
      <c r="AM361" s="12" t="s">
        <v>2072</v>
      </c>
    </row>
    <row r="362" spans="1:39" ht="21" customHeight="1" x14ac:dyDescent="0.15">
      <c r="A362" s="42" t="str">
        <f t="shared" si="16"/>
        <v>13300_1</v>
      </c>
      <c r="B362" s="23">
        <v>3</v>
      </c>
      <c r="C362" s="10">
        <v>13300</v>
      </c>
      <c r="D362" s="47" t="str">
        <f ca="1">VLOOKUP($C362,OFFSET(quests!$A$1,0,0,COUNTA(quests!$A:$A),MATCH(D$1,quests!$1:$1,0)-MATCH($C$2,quests!$1:$1,0)+1),MATCH(D$1,quests!$1:$1,0)-MATCH($C$2,quests!$1:$1,0)+1,FALSE)</f>
        <v>タワーオブザクイーン -アヴァルシア-</v>
      </c>
      <c r="E362" s="48" t="str">
        <f ca="1">VLOOKUP($C362,OFFSET(quests!$A$1,0,0,COUNTA(quests!$A:$A),MATCH(E$2,quests!$1:$1,0)-MATCH($C$2,quests!$1:$1,0)+1),MATCH(E$2,quests!$1:$1,0)-MATCH($C$2,quests!$1:$1,0)+1,FALSE)</f>
        <v>タワーオブザクイーン1本目</v>
      </c>
      <c r="F362" s="7">
        <v>1</v>
      </c>
      <c r="G362" s="7" t="s">
        <v>568</v>
      </c>
      <c r="H362" s="12" t="s">
        <v>1768</v>
      </c>
      <c r="I362" s="12" t="s">
        <v>1738</v>
      </c>
      <c r="J362" s="12">
        <v>347</v>
      </c>
      <c r="K362" s="188">
        <v>15</v>
      </c>
      <c r="L362" s="189">
        <v>750</v>
      </c>
      <c r="M362" s="167">
        <v>1</v>
      </c>
      <c r="N362" s="167">
        <v>1</v>
      </c>
      <c r="O362" s="167">
        <v>1</v>
      </c>
      <c r="P362" s="167">
        <v>1</v>
      </c>
      <c r="Q362" s="167">
        <v>1</v>
      </c>
      <c r="R362" s="167">
        <v>3</v>
      </c>
      <c r="S362" s="167" t="s">
        <v>1713</v>
      </c>
      <c r="T362" s="191" t="s">
        <v>1805</v>
      </c>
      <c r="U362" s="7" t="s">
        <v>169</v>
      </c>
      <c r="V362" s="7" t="s">
        <v>169</v>
      </c>
      <c r="W362" s="47" t="str">
        <f t="shared" ca="1" si="15"/>
        <v/>
      </c>
      <c r="X362" s="47">
        <f ca="1">VLOOKUP($C362,OFFSET(quests!$A$1,0,0,COUNTA(quests!$A:$A),MATCH(X$2,quests!$1:$1,0)-MATCH($C$2,quests!$1:$1,0)+1),MATCH(X$2,quests!$1:$1,0)-MATCH($C$2,quests!$1:$1,0)+1,FALSE)</f>
        <v>0</v>
      </c>
      <c r="Y362" s="47">
        <f ca="1">VLOOKUP($C362,OFFSET(quests!$A$1,0,0,COUNTA(quests!$A:$A),MATCH(Y$2,quests!$1:$1,0)-MATCH($C$2,quests!$1:$1,0)+1),MATCH(Y$2,quests!$1:$1,0)-MATCH($C$2,quests!$1:$1,0)+1,FALSE)</f>
        <v>0</v>
      </c>
      <c r="Z362" s="47">
        <f ca="1">VLOOKUP($C362,OFFSET(quests!$A$1,0,0,COUNTA(quests!$A:$A),MATCH(Z$2,quests!$1:$1,0)-MATCH($C$2,quests!$1:$1,0)+1),MATCH(Z$2,quests!$1:$1,0)-MATCH($C$2,quests!$1:$1,0)+1,FALSE)</f>
        <v>0</v>
      </c>
      <c r="AA362" s="47">
        <f ca="1">VLOOKUP($C362,OFFSET(quests!$A$1,0,0,COUNTA(quests!$A:$A),MATCH(AA$2,quests!$1:$1,0)-MATCH($C$2,quests!$1:$1,0)+1),MATCH(AA$2,quests!$1:$1,0)-MATCH($C$2,quests!$1:$1,0)+1,FALSE)</f>
        <v>0</v>
      </c>
      <c r="AB362" s="7" t="s">
        <v>56</v>
      </c>
      <c r="AC362" s="167">
        <v>965</v>
      </c>
      <c r="AD362" s="7">
        <v>6</v>
      </c>
      <c r="AE362" s="7" t="s">
        <v>522</v>
      </c>
      <c r="AF362" s="167">
        <v>13</v>
      </c>
      <c r="AG362" s="167">
        <v>0</v>
      </c>
      <c r="AH362" s="167">
        <v>0</v>
      </c>
      <c r="AI362" s="7">
        <v>0</v>
      </c>
      <c r="AJ362" s="7">
        <v>-1</v>
      </c>
      <c r="AK362" s="7" t="s">
        <v>1064</v>
      </c>
      <c r="AL362" s="12" t="s">
        <v>1695</v>
      </c>
      <c r="AM362" s="12" t="s">
        <v>2072</v>
      </c>
    </row>
    <row r="363" spans="1:39" ht="21" customHeight="1" x14ac:dyDescent="0.15">
      <c r="A363" s="42" t="str">
        <f t="shared" si="16"/>
        <v>13300_2</v>
      </c>
      <c r="B363" s="23">
        <v>3</v>
      </c>
      <c r="C363" s="10">
        <v>13300</v>
      </c>
      <c r="D363" s="47" t="str">
        <f ca="1">VLOOKUP($C363,OFFSET(quests!$A$1,0,0,COUNTA(quests!$A:$A),MATCH(D$1,quests!$1:$1,0)-MATCH($C$2,quests!$1:$1,0)+1),MATCH(D$1,quests!$1:$1,0)-MATCH($C$2,quests!$1:$1,0)+1,FALSE)</f>
        <v>タワーオブザクイーン -アヴァルシア-</v>
      </c>
      <c r="E363" s="48" t="str">
        <f ca="1">VLOOKUP($C363,OFFSET(quests!$A$1,0,0,COUNTA(quests!$A:$A),MATCH(E$2,quests!$1:$1,0)-MATCH($C$2,quests!$1:$1,0)+1),MATCH(E$2,quests!$1:$1,0)-MATCH($C$2,quests!$1:$1,0)+1,FALSE)</f>
        <v>タワーオブザクイーン1本目</v>
      </c>
      <c r="F363" s="7">
        <v>2</v>
      </c>
      <c r="G363" s="7" t="s">
        <v>568</v>
      </c>
      <c r="H363" s="12" t="s">
        <v>1769</v>
      </c>
      <c r="I363" s="12" t="s">
        <v>1739</v>
      </c>
      <c r="J363" s="12">
        <v>343</v>
      </c>
      <c r="K363" s="188">
        <v>18</v>
      </c>
      <c r="L363" s="189">
        <v>990</v>
      </c>
      <c r="M363" s="167">
        <v>1</v>
      </c>
      <c r="N363" s="167">
        <v>1</v>
      </c>
      <c r="O363" s="167">
        <v>1</v>
      </c>
      <c r="P363" s="167">
        <v>1</v>
      </c>
      <c r="Q363" s="167">
        <v>1</v>
      </c>
      <c r="R363" s="167">
        <v>3</v>
      </c>
      <c r="S363" s="167" t="s">
        <v>1736</v>
      </c>
      <c r="T363" s="191" t="s">
        <v>1815</v>
      </c>
      <c r="U363" s="7">
        <v>13300</v>
      </c>
      <c r="V363" s="7">
        <v>1</v>
      </c>
      <c r="W363" s="47" t="str">
        <f t="shared" ca="1" si="15"/>
        <v>1階 コスト制限なし</v>
      </c>
      <c r="X363" s="47">
        <f ca="1">VLOOKUP($C363,OFFSET(quests!$A$1,0,0,COUNTA(quests!$A:$A),MATCH(X$2,quests!$1:$1,0)-MATCH($C$2,quests!$1:$1,0)+1),MATCH(X$2,quests!$1:$1,0)-MATCH($C$2,quests!$1:$1,0)+1,FALSE)</f>
        <v>0</v>
      </c>
      <c r="Y363" s="47">
        <f ca="1">VLOOKUP($C363,OFFSET(quests!$A$1,0,0,COUNTA(quests!$A:$A),MATCH(Y$2,quests!$1:$1,0)-MATCH($C$2,quests!$1:$1,0)+1),MATCH(Y$2,quests!$1:$1,0)-MATCH($C$2,quests!$1:$1,0)+1,FALSE)</f>
        <v>0</v>
      </c>
      <c r="Z363" s="47">
        <f ca="1">VLOOKUP($C363,OFFSET(quests!$A$1,0,0,COUNTA(quests!$A:$A),MATCH(Z$2,quests!$1:$1,0)-MATCH($C$2,quests!$1:$1,0)+1),MATCH(Z$2,quests!$1:$1,0)-MATCH($C$2,quests!$1:$1,0)+1,FALSE)</f>
        <v>0</v>
      </c>
      <c r="AA363" s="47">
        <f ca="1">VLOOKUP($C363,OFFSET(quests!$A$1,0,0,COUNTA(quests!$A:$A),MATCH(AA$2,quests!$1:$1,0)-MATCH($C$2,quests!$1:$1,0)+1),MATCH(AA$2,quests!$1:$1,0)-MATCH($C$2,quests!$1:$1,0)+1,FALSE)</f>
        <v>0</v>
      </c>
      <c r="AB363" s="7" t="s">
        <v>56</v>
      </c>
      <c r="AC363" s="167">
        <v>965</v>
      </c>
      <c r="AD363" s="7">
        <v>6</v>
      </c>
      <c r="AE363" s="7" t="s">
        <v>522</v>
      </c>
      <c r="AF363" s="167">
        <v>13</v>
      </c>
      <c r="AG363" s="167">
        <v>0</v>
      </c>
      <c r="AH363" s="167">
        <v>0</v>
      </c>
      <c r="AI363" s="7">
        <v>0</v>
      </c>
      <c r="AJ363" s="7">
        <v>-1</v>
      </c>
      <c r="AK363" s="7" t="s">
        <v>1064</v>
      </c>
      <c r="AL363" s="12" t="s">
        <v>1695</v>
      </c>
      <c r="AM363" s="12" t="s">
        <v>2072</v>
      </c>
    </row>
    <row r="364" spans="1:39" ht="21" customHeight="1" x14ac:dyDescent="0.15">
      <c r="A364" s="42" t="str">
        <f t="shared" si="16"/>
        <v>13300_3</v>
      </c>
      <c r="B364" s="23">
        <v>3</v>
      </c>
      <c r="C364" s="10">
        <v>13300</v>
      </c>
      <c r="D364" s="47" t="str">
        <f ca="1">VLOOKUP($C364,OFFSET(quests!$A$1,0,0,COUNTA(quests!$A:$A),MATCH(D$1,quests!$1:$1,0)-MATCH($C$2,quests!$1:$1,0)+1),MATCH(D$1,quests!$1:$1,0)-MATCH($C$2,quests!$1:$1,0)+1,FALSE)</f>
        <v>タワーオブザクイーン -アヴァルシア-</v>
      </c>
      <c r="E364" s="48" t="str">
        <f ca="1">VLOOKUP($C364,OFFSET(quests!$A$1,0,0,COUNTA(quests!$A:$A),MATCH(E$2,quests!$1:$1,0)-MATCH($C$2,quests!$1:$1,0)+1),MATCH(E$2,quests!$1:$1,0)-MATCH($C$2,quests!$1:$1,0)+1,FALSE)</f>
        <v>タワーオブザクイーン1本目</v>
      </c>
      <c r="F364" s="7">
        <v>3</v>
      </c>
      <c r="G364" s="7" t="s">
        <v>568</v>
      </c>
      <c r="H364" s="12" t="s">
        <v>1770</v>
      </c>
      <c r="I364" s="12" t="s">
        <v>1740</v>
      </c>
      <c r="J364" s="12">
        <v>335</v>
      </c>
      <c r="K364" s="188">
        <v>19</v>
      </c>
      <c r="L364" s="189">
        <v>1140</v>
      </c>
      <c r="M364" s="167">
        <v>1</v>
      </c>
      <c r="N364" s="167">
        <v>1</v>
      </c>
      <c r="O364" s="167">
        <v>1</v>
      </c>
      <c r="P364" s="167">
        <v>1</v>
      </c>
      <c r="Q364" s="167">
        <v>1</v>
      </c>
      <c r="R364" s="167">
        <v>3</v>
      </c>
      <c r="S364" s="167" t="s">
        <v>1737</v>
      </c>
      <c r="T364" s="191" t="s">
        <v>1814</v>
      </c>
      <c r="U364" s="7">
        <v>13300</v>
      </c>
      <c r="V364" s="7">
        <v>2</v>
      </c>
      <c r="W364" s="47" t="str">
        <f t="shared" ca="1" si="15"/>
        <v>2階 コスト制限なし</v>
      </c>
      <c r="X364" s="47">
        <f ca="1">VLOOKUP($C364,OFFSET(quests!$A$1,0,0,COUNTA(quests!$A:$A),MATCH(X$2,quests!$1:$1,0)-MATCH($C$2,quests!$1:$1,0)+1),MATCH(X$2,quests!$1:$1,0)-MATCH($C$2,quests!$1:$1,0)+1,FALSE)</f>
        <v>0</v>
      </c>
      <c r="Y364" s="47">
        <f ca="1">VLOOKUP($C364,OFFSET(quests!$A$1,0,0,COUNTA(quests!$A:$A),MATCH(Y$2,quests!$1:$1,0)-MATCH($C$2,quests!$1:$1,0)+1),MATCH(Y$2,quests!$1:$1,0)-MATCH($C$2,quests!$1:$1,0)+1,FALSE)</f>
        <v>0</v>
      </c>
      <c r="Z364" s="47">
        <f ca="1">VLOOKUP($C364,OFFSET(quests!$A$1,0,0,COUNTA(quests!$A:$A),MATCH(Z$2,quests!$1:$1,0)-MATCH($C$2,quests!$1:$1,0)+1),MATCH(Z$2,quests!$1:$1,0)-MATCH($C$2,quests!$1:$1,0)+1,FALSE)</f>
        <v>0</v>
      </c>
      <c r="AA364" s="47">
        <f ca="1">VLOOKUP($C364,OFFSET(quests!$A$1,0,0,COUNTA(quests!$A:$A),MATCH(AA$2,quests!$1:$1,0)-MATCH($C$2,quests!$1:$1,0)+1),MATCH(AA$2,quests!$1:$1,0)-MATCH($C$2,quests!$1:$1,0)+1,FALSE)</f>
        <v>0</v>
      </c>
      <c r="AB364" s="7" t="s">
        <v>56</v>
      </c>
      <c r="AC364" s="167">
        <v>965</v>
      </c>
      <c r="AD364" s="7">
        <v>6</v>
      </c>
      <c r="AE364" s="7" t="s">
        <v>522</v>
      </c>
      <c r="AF364" s="167">
        <v>13</v>
      </c>
      <c r="AG364" s="167">
        <v>0</v>
      </c>
      <c r="AH364" s="167">
        <v>0</v>
      </c>
      <c r="AI364" s="7">
        <v>0</v>
      </c>
      <c r="AJ364" s="7">
        <v>-1</v>
      </c>
      <c r="AK364" s="7" t="s">
        <v>1064</v>
      </c>
      <c r="AL364" s="12" t="s">
        <v>1695</v>
      </c>
      <c r="AM364" s="12" t="s">
        <v>2072</v>
      </c>
    </row>
    <row r="365" spans="1:39" ht="21" customHeight="1" x14ac:dyDescent="0.15">
      <c r="A365" s="42" t="str">
        <f t="shared" si="16"/>
        <v>13300_4</v>
      </c>
      <c r="B365" s="23">
        <v>3</v>
      </c>
      <c r="C365" s="10">
        <v>13300</v>
      </c>
      <c r="D365" s="47" t="str">
        <f ca="1">VLOOKUP($C365,OFFSET(quests!$A$1,0,0,COUNTA(quests!$A:$A),MATCH(D$1,quests!$1:$1,0)-MATCH($C$2,quests!$1:$1,0)+1),MATCH(D$1,quests!$1:$1,0)-MATCH($C$2,quests!$1:$1,0)+1,FALSE)</f>
        <v>タワーオブザクイーン -アヴァルシア-</v>
      </c>
      <c r="E365" s="48" t="str">
        <f ca="1">VLOOKUP($C365,OFFSET(quests!$A$1,0,0,COUNTA(quests!$A:$A),MATCH(E$2,quests!$1:$1,0)-MATCH($C$2,quests!$1:$1,0)+1),MATCH(E$2,quests!$1:$1,0)-MATCH($C$2,quests!$1:$1,0)+1,FALSE)</f>
        <v>タワーオブザクイーン1本目</v>
      </c>
      <c r="F365" s="7">
        <v>4</v>
      </c>
      <c r="G365" s="7" t="s">
        <v>568</v>
      </c>
      <c r="H365" s="12" t="s">
        <v>1771</v>
      </c>
      <c r="I365" s="12" t="s">
        <v>1738</v>
      </c>
      <c r="J365" s="12">
        <v>339</v>
      </c>
      <c r="K365" s="188">
        <v>20</v>
      </c>
      <c r="L365" s="189">
        <v>1300</v>
      </c>
      <c r="M365" s="167">
        <v>1</v>
      </c>
      <c r="N365" s="167">
        <v>1</v>
      </c>
      <c r="O365" s="167">
        <v>1</v>
      </c>
      <c r="P365" s="167">
        <v>1</v>
      </c>
      <c r="Q365" s="167">
        <v>1</v>
      </c>
      <c r="R365" s="167">
        <v>3</v>
      </c>
      <c r="S365" s="167" t="s">
        <v>273</v>
      </c>
      <c r="T365" s="191" t="s">
        <v>1817</v>
      </c>
      <c r="U365" s="7">
        <v>13300</v>
      </c>
      <c r="V365" s="7">
        <v>3</v>
      </c>
      <c r="W365" s="47" t="str">
        <f t="shared" ca="1" si="15"/>
        <v>3階 コスト制限なし</v>
      </c>
      <c r="X365" s="47">
        <f ca="1">VLOOKUP($C365,OFFSET(quests!$A$1,0,0,COUNTA(quests!$A:$A),MATCH(X$2,quests!$1:$1,0)-MATCH($C$2,quests!$1:$1,0)+1),MATCH(X$2,quests!$1:$1,0)-MATCH($C$2,quests!$1:$1,0)+1,FALSE)</f>
        <v>0</v>
      </c>
      <c r="Y365" s="47">
        <f ca="1">VLOOKUP($C365,OFFSET(quests!$A$1,0,0,COUNTA(quests!$A:$A),MATCH(Y$2,quests!$1:$1,0)-MATCH($C$2,quests!$1:$1,0)+1),MATCH(Y$2,quests!$1:$1,0)-MATCH($C$2,quests!$1:$1,0)+1,FALSE)</f>
        <v>0</v>
      </c>
      <c r="Z365" s="47">
        <f ca="1">VLOOKUP($C365,OFFSET(quests!$A$1,0,0,COUNTA(quests!$A:$A),MATCH(Z$2,quests!$1:$1,0)-MATCH($C$2,quests!$1:$1,0)+1),MATCH(Z$2,quests!$1:$1,0)-MATCH($C$2,quests!$1:$1,0)+1,FALSE)</f>
        <v>0</v>
      </c>
      <c r="AA365" s="47">
        <f ca="1">VLOOKUP($C365,OFFSET(quests!$A$1,0,0,COUNTA(quests!$A:$A),MATCH(AA$2,quests!$1:$1,0)-MATCH($C$2,quests!$1:$1,0)+1),MATCH(AA$2,quests!$1:$1,0)-MATCH($C$2,quests!$1:$1,0)+1,FALSE)</f>
        <v>0</v>
      </c>
      <c r="AB365" s="7" t="s">
        <v>56</v>
      </c>
      <c r="AC365" s="167">
        <v>965</v>
      </c>
      <c r="AD365" s="7">
        <v>6</v>
      </c>
      <c r="AE365" s="7" t="s">
        <v>522</v>
      </c>
      <c r="AF365" s="167">
        <v>13</v>
      </c>
      <c r="AG365" s="167">
        <v>0</v>
      </c>
      <c r="AH365" s="167">
        <v>0</v>
      </c>
      <c r="AI365" s="7">
        <v>0</v>
      </c>
      <c r="AJ365" s="7">
        <v>-1</v>
      </c>
      <c r="AK365" s="7" t="s">
        <v>1064</v>
      </c>
      <c r="AL365" s="12" t="s">
        <v>1695</v>
      </c>
      <c r="AM365" s="12" t="s">
        <v>2072</v>
      </c>
    </row>
    <row r="366" spans="1:39" ht="21" customHeight="1" x14ac:dyDescent="0.15">
      <c r="A366" s="42" t="str">
        <f t="shared" si="16"/>
        <v>13300_5</v>
      </c>
      <c r="B366" s="23">
        <v>3</v>
      </c>
      <c r="C366" s="10">
        <v>13300</v>
      </c>
      <c r="D366" s="47" t="str">
        <f ca="1">VLOOKUP($C366,OFFSET(quests!$A$1,0,0,COUNTA(quests!$A:$A),MATCH(D$1,quests!$1:$1,0)-MATCH($C$2,quests!$1:$1,0)+1),MATCH(D$1,quests!$1:$1,0)-MATCH($C$2,quests!$1:$1,0)+1,FALSE)</f>
        <v>タワーオブザクイーン -アヴァルシア-</v>
      </c>
      <c r="E366" s="48" t="str">
        <f ca="1">VLOOKUP($C366,OFFSET(quests!$A$1,0,0,COUNTA(quests!$A:$A),MATCH(E$2,quests!$1:$1,0)-MATCH($C$2,quests!$1:$1,0)+1),MATCH(E$2,quests!$1:$1,0)-MATCH($C$2,quests!$1:$1,0)+1,FALSE)</f>
        <v>タワーオブザクイーン1本目</v>
      </c>
      <c r="F366" s="7">
        <v>5</v>
      </c>
      <c r="G366" s="7" t="s">
        <v>568</v>
      </c>
      <c r="H366" s="12" t="s">
        <v>1772</v>
      </c>
      <c r="I366" s="12" t="s">
        <v>1741</v>
      </c>
      <c r="J366" s="12">
        <v>837</v>
      </c>
      <c r="K366" s="188">
        <v>24</v>
      </c>
      <c r="L366" s="189">
        <v>1680</v>
      </c>
      <c r="M366" s="167">
        <v>1</v>
      </c>
      <c r="N366" s="167">
        <v>1</v>
      </c>
      <c r="O366" s="167">
        <v>1</v>
      </c>
      <c r="P366" s="167">
        <v>1</v>
      </c>
      <c r="Q366" s="167">
        <v>1</v>
      </c>
      <c r="R366" s="167">
        <v>3</v>
      </c>
      <c r="S366" s="167" t="s">
        <v>273</v>
      </c>
      <c r="T366" s="191" t="s">
        <v>1806</v>
      </c>
      <c r="U366" s="7">
        <v>13300</v>
      </c>
      <c r="V366" s="7">
        <v>4</v>
      </c>
      <c r="W366" s="47" t="str">
        <f t="shared" ca="1" si="15"/>
        <v>4階 コスト制限なし</v>
      </c>
      <c r="X366" s="47">
        <f ca="1">VLOOKUP($C366,OFFSET(quests!$A$1,0,0,COUNTA(quests!$A:$A),MATCH(X$2,quests!$1:$1,0)-MATCH($C$2,quests!$1:$1,0)+1),MATCH(X$2,quests!$1:$1,0)-MATCH($C$2,quests!$1:$1,0)+1,FALSE)</f>
        <v>0</v>
      </c>
      <c r="Y366" s="47">
        <f ca="1">VLOOKUP($C366,OFFSET(quests!$A$1,0,0,COUNTA(quests!$A:$A),MATCH(Y$2,quests!$1:$1,0)-MATCH($C$2,quests!$1:$1,0)+1),MATCH(Y$2,quests!$1:$1,0)-MATCH($C$2,quests!$1:$1,0)+1,FALSE)</f>
        <v>0</v>
      </c>
      <c r="Z366" s="47">
        <f ca="1">VLOOKUP($C366,OFFSET(quests!$A$1,0,0,COUNTA(quests!$A:$A),MATCH(Z$2,quests!$1:$1,0)-MATCH($C$2,quests!$1:$1,0)+1),MATCH(Z$2,quests!$1:$1,0)-MATCH($C$2,quests!$1:$1,0)+1,FALSE)</f>
        <v>0</v>
      </c>
      <c r="AA366" s="47">
        <f ca="1">VLOOKUP($C366,OFFSET(quests!$A$1,0,0,COUNTA(quests!$A:$A),MATCH(AA$2,quests!$1:$1,0)-MATCH($C$2,quests!$1:$1,0)+1),MATCH(AA$2,quests!$1:$1,0)-MATCH($C$2,quests!$1:$1,0)+1,FALSE)</f>
        <v>0</v>
      </c>
      <c r="AB366" s="7" t="s">
        <v>56</v>
      </c>
      <c r="AC366" s="167">
        <v>965</v>
      </c>
      <c r="AD366" s="7">
        <v>6</v>
      </c>
      <c r="AE366" s="7" t="s">
        <v>522</v>
      </c>
      <c r="AF366" s="167">
        <v>13</v>
      </c>
      <c r="AG366" s="167">
        <v>0</v>
      </c>
      <c r="AH366" s="167">
        <v>0</v>
      </c>
      <c r="AI366" s="7">
        <v>0</v>
      </c>
      <c r="AJ366" s="7">
        <v>-1</v>
      </c>
      <c r="AK366" s="7" t="s">
        <v>1064</v>
      </c>
      <c r="AL366" s="12" t="s">
        <v>1695</v>
      </c>
      <c r="AM366" s="12" t="s">
        <v>2072</v>
      </c>
    </row>
    <row r="367" spans="1:39" ht="21" customHeight="1" x14ac:dyDescent="0.15">
      <c r="A367" s="42" t="str">
        <f t="shared" si="16"/>
        <v>13300_6</v>
      </c>
      <c r="B367" s="23">
        <v>3</v>
      </c>
      <c r="C367" s="10">
        <v>13300</v>
      </c>
      <c r="D367" s="47" t="str">
        <f ca="1">VLOOKUP($C367,OFFSET(quests!$A$1,0,0,COUNTA(quests!$A:$A),MATCH(D$1,quests!$1:$1,0)-MATCH($C$2,quests!$1:$1,0)+1),MATCH(D$1,quests!$1:$1,0)-MATCH($C$2,quests!$1:$1,0)+1,FALSE)</f>
        <v>タワーオブザクイーン -アヴァルシア-</v>
      </c>
      <c r="E367" s="48" t="str">
        <f ca="1">VLOOKUP($C367,OFFSET(quests!$A$1,0,0,COUNTA(quests!$A:$A),MATCH(E$2,quests!$1:$1,0)-MATCH($C$2,quests!$1:$1,0)+1),MATCH(E$2,quests!$1:$1,0)-MATCH($C$2,quests!$1:$1,0)+1,FALSE)</f>
        <v>タワーオブザクイーン1本目</v>
      </c>
      <c r="F367" s="7">
        <v>6</v>
      </c>
      <c r="G367" s="7" t="s">
        <v>568</v>
      </c>
      <c r="H367" s="12" t="s">
        <v>1773</v>
      </c>
      <c r="I367" s="12" t="s">
        <v>1742</v>
      </c>
      <c r="J367" s="12">
        <v>612</v>
      </c>
      <c r="K367" s="188">
        <v>25</v>
      </c>
      <c r="L367" s="189">
        <v>1875</v>
      </c>
      <c r="M367" s="167">
        <v>1</v>
      </c>
      <c r="N367" s="167">
        <v>1</v>
      </c>
      <c r="O367" s="167">
        <v>1</v>
      </c>
      <c r="P367" s="167">
        <v>1</v>
      </c>
      <c r="Q367" s="167">
        <v>1</v>
      </c>
      <c r="R367" s="167">
        <v>3</v>
      </c>
      <c r="S367" s="167" t="s">
        <v>1713</v>
      </c>
      <c r="T367" s="191" t="s">
        <v>1807</v>
      </c>
      <c r="U367" s="7">
        <v>13300</v>
      </c>
      <c r="V367" s="7">
        <v>5</v>
      </c>
      <c r="W367" s="47" t="str">
        <f t="shared" ca="1" si="15"/>
        <v>5階 コスト30以下限定</v>
      </c>
      <c r="X367" s="47">
        <f ca="1">VLOOKUP($C367,OFFSET(quests!$A$1,0,0,COUNTA(quests!$A:$A),MATCH(X$2,quests!$1:$1,0)-MATCH($C$2,quests!$1:$1,0)+1),MATCH(X$2,quests!$1:$1,0)-MATCH($C$2,quests!$1:$1,0)+1,FALSE)</f>
        <v>0</v>
      </c>
      <c r="Y367" s="47">
        <f ca="1">VLOOKUP($C367,OFFSET(quests!$A$1,0,0,COUNTA(quests!$A:$A),MATCH(Y$2,quests!$1:$1,0)-MATCH($C$2,quests!$1:$1,0)+1),MATCH(Y$2,quests!$1:$1,0)-MATCH($C$2,quests!$1:$1,0)+1,FALSE)</f>
        <v>0</v>
      </c>
      <c r="Z367" s="47">
        <f ca="1">VLOOKUP($C367,OFFSET(quests!$A$1,0,0,COUNTA(quests!$A:$A),MATCH(Z$2,quests!$1:$1,0)-MATCH($C$2,quests!$1:$1,0)+1),MATCH(Z$2,quests!$1:$1,0)-MATCH($C$2,quests!$1:$1,0)+1,FALSE)</f>
        <v>0</v>
      </c>
      <c r="AA367" s="47">
        <f ca="1">VLOOKUP($C367,OFFSET(quests!$A$1,0,0,COUNTA(quests!$A:$A),MATCH(AA$2,quests!$1:$1,0)-MATCH($C$2,quests!$1:$1,0)+1),MATCH(AA$2,quests!$1:$1,0)-MATCH($C$2,quests!$1:$1,0)+1,FALSE)</f>
        <v>0</v>
      </c>
      <c r="AB367" s="7" t="s">
        <v>56</v>
      </c>
      <c r="AC367" s="167">
        <v>965</v>
      </c>
      <c r="AD367" s="7">
        <v>6</v>
      </c>
      <c r="AE367" s="7" t="s">
        <v>522</v>
      </c>
      <c r="AF367" s="167">
        <v>13</v>
      </c>
      <c r="AG367" s="167">
        <v>0</v>
      </c>
      <c r="AH367" s="167">
        <v>0</v>
      </c>
      <c r="AI367" s="7">
        <v>0</v>
      </c>
      <c r="AJ367" s="7">
        <v>-1</v>
      </c>
      <c r="AK367" s="7" t="s">
        <v>1064</v>
      </c>
      <c r="AL367" s="12" t="s">
        <v>1695</v>
      </c>
      <c r="AM367" s="12" t="s">
        <v>2072</v>
      </c>
    </row>
    <row r="368" spans="1:39" ht="21" customHeight="1" x14ac:dyDescent="0.15">
      <c r="A368" s="42" t="str">
        <f t="shared" si="16"/>
        <v>13300_7</v>
      </c>
      <c r="B368" s="23">
        <v>3</v>
      </c>
      <c r="C368" s="10">
        <v>13300</v>
      </c>
      <c r="D368" s="47" t="str">
        <f ca="1">VLOOKUP($C368,OFFSET(quests!$A$1,0,0,COUNTA(quests!$A:$A),MATCH(D$1,quests!$1:$1,0)-MATCH($C$2,quests!$1:$1,0)+1),MATCH(D$1,quests!$1:$1,0)-MATCH($C$2,quests!$1:$1,0)+1,FALSE)</f>
        <v>タワーオブザクイーン -アヴァルシア-</v>
      </c>
      <c r="E368" s="48" t="str">
        <f ca="1">VLOOKUP($C368,OFFSET(quests!$A$1,0,0,COUNTA(quests!$A:$A),MATCH(E$2,quests!$1:$1,0)-MATCH($C$2,quests!$1:$1,0)+1),MATCH(E$2,quests!$1:$1,0)-MATCH($C$2,quests!$1:$1,0)+1,FALSE)</f>
        <v>タワーオブザクイーン1本目</v>
      </c>
      <c r="F368" s="7">
        <v>7</v>
      </c>
      <c r="G368" s="7" t="s">
        <v>568</v>
      </c>
      <c r="H368" s="12" t="s">
        <v>1774</v>
      </c>
      <c r="I368" s="12" t="s">
        <v>1738</v>
      </c>
      <c r="J368" s="12">
        <v>613</v>
      </c>
      <c r="K368" s="188">
        <v>28</v>
      </c>
      <c r="L368" s="189">
        <v>2240</v>
      </c>
      <c r="M368" s="167">
        <v>1</v>
      </c>
      <c r="N368" s="167">
        <v>1</v>
      </c>
      <c r="O368" s="167">
        <v>1</v>
      </c>
      <c r="P368" s="167">
        <v>1</v>
      </c>
      <c r="Q368" s="167">
        <v>1</v>
      </c>
      <c r="R368" s="167">
        <v>3</v>
      </c>
      <c r="S368" s="167" t="s">
        <v>273</v>
      </c>
      <c r="T368" s="191" t="s">
        <v>1808</v>
      </c>
      <c r="U368" s="7">
        <v>13300</v>
      </c>
      <c r="V368" s="7">
        <v>6</v>
      </c>
      <c r="W368" s="47" t="str">
        <f t="shared" ca="1" si="15"/>
        <v>6階 コスト30以下ヒューマン限定</v>
      </c>
      <c r="X368" s="47">
        <f ca="1">VLOOKUP($C368,OFFSET(quests!$A$1,0,0,COUNTA(quests!$A:$A),MATCH(X$2,quests!$1:$1,0)-MATCH($C$2,quests!$1:$1,0)+1),MATCH(X$2,quests!$1:$1,0)-MATCH($C$2,quests!$1:$1,0)+1,FALSE)</f>
        <v>0</v>
      </c>
      <c r="Y368" s="47">
        <f ca="1">VLOOKUP($C368,OFFSET(quests!$A$1,0,0,COUNTA(quests!$A:$A),MATCH(Y$2,quests!$1:$1,0)-MATCH($C$2,quests!$1:$1,0)+1),MATCH(Y$2,quests!$1:$1,0)-MATCH($C$2,quests!$1:$1,0)+1,FALSE)</f>
        <v>0</v>
      </c>
      <c r="Z368" s="47">
        <f ca="1">VLOOKUP($C368,OFFSET(quests!$A$1,0,0,COUNTA(quests!$A:$A),MATCH(Z$2,quests!$1:$1,0)-MATCH($C$2,quests!$1:$1,0)+1),MATCH(Z$2,quests!$1:$1,0)-MATCH($C$2,quests!$1:$1,0)+1,FALSE)</f>
        <v>0</v>
      </c>
      <c r="AA368" s="47">
        <f ca="1">VLOOKUP($C368,OFFSET(quests!$A$1,0,0,COUNTA(quests!$A:$A),MATCH(AA$2,quests!$1:$1,0)-MATCH($C$2,quests!$1:$1,0)+1),MATCH(AA$2,quests!$1:$1,0)-MATCH($C$2,quests!$1:$1,0)+1,FALSE)</f>
        <v>0</v>
      </c>
      <c r="AB368" s="7" t="s">
        <v>56</v>
      </c>
      <c r="AC368" s="167">
        <v>965</v>
      </c>
      <c r="AD368" s="7">
        <v>6</v>
      </c>
      <c r="AE368" s="7" t="s">
        <v>522</v>
      </c>
      <c r="AF368" s="167">
        <v>13</v>
      </c>
      <c r="AG368" s="167">
        <v>0</v>
      </c>
      <c r="AH368" s="167">
        <v>0</v>
      </c>
      <c r="AI368" s="7">
        <v>0</v>
      </c>
      <c r="AJ368" s="7">
        <v>-1</v>
      </c>
      <c r="AK368" s="7" t="s">
        <v>1064</v>
      </c>
      <c r="AL368" s="12" t="s">
        <v>1695</v>
      </c>
      <c r="AM368" s="12" t="s">
        <v>2072</v>
      </c>
    </row>
    <row r="369" spans="1:39" ht="21" customHeight="1" x14ac:dyDescent="0.15">
      <c r="A369" s="42" t="str">
        <f t="shared" si="16"/>
        <v>13300_8</v>
      </c>
      <c r="B369" s="23">
        <v>3</v>
      </c>
      <c r="C369" s="10">
        <v>13300</v>
      </c>
      <c r="D369" s="47" t="str">
        <f ca="1">VLOOKUP($C369,OFFSET(quests!$A$1,0,0,COUNTA(quests!$A:$A),MATCH(D$1,quests!$1:$1,0)-MATCH($C$2,quests!$1:$1,0)+1),MATCH(D$1,quests!$1:$1,0)-MATCH($C$2,quests!$1:$1,0)+1,FALSE)</f>
        <v>タワーオブザクイーン -アヴァルシア-</v>
      </c>
      <c r="E369" s="48" t="str">
        <f ca="1">VLOOKUP($C369,OFFSET(quests!$A$1,0,0,COUNTA(quests!$A:$A),MATCH(E$2,quests!$1:$1,0)-MATCH($C$2,quests!$1:$1,0)+1),MATCH(E$2,quests!$1:$1,0)-MATCH($C$2,quests!$1:$1,0)+1,FALSE)</f>
        <v>タワーオブザクイーン1本目</v>
      </c>
      <c r="F369" s="7">
        <v>8</v>
      </c>
      <c r="G369" s="7" t="s">
        <v>568</v>
      </c>
      <c r="H369" s="12" t="s">
        <v>1775</v>
      </c>
      <c r="I369" s="12" t="s">
        <v>1742</v>
      </c>
      <c r="J369" s="12">
        <v>611</v>
      </c>
      <c r="K369" s="188">
        <v>30</v>
      </c>
      <c r="L369" s="189">
        <v>2550</v>
      </c>
      <c r="M369" s="167">
        <v>1</v>
      </c>
      <c r="N369" s="167">
        <v>1</v>
      </c>
      <c r="O369" s="167">
        <v>1</v>
      </c>
      <c r="P369" s="167">
        <v>1</v>
      </c>
      <c r="Q369" s="167">
        <v>1</v>
      </c>
      <c r="R369" s="167">
        <v>3</v>
      </c>
      <c r="S369" s="167" t="s">
        <v>1714</v>
      </c>
      <c r="T369" s="191" t="s">
        <v>1809</v>
      </c>
      <c r="U369" s="7">
        <v>13300</v>
      </c>
      <c r="V369" s="7">
        <v>7</v>
      </c>
      <c r="W369" s="47" t="str">
        <f t="shared" ca="1" si="15"/>
        <v>7階 コスト制限なし</v>
      </c>
      <c r="X369" s="47">
        <f ca="1">VLOOKUP($C369,OFFSET(quests!$A$1,0,0,COUNTA(quests!$A:$A),MATCH(X$2,quests!$1:$1,0)-MATCH($C$2,quests!$1:$1,0)+1),MATCH(X$2,quests!$1:$1,0)-MATCH($C$2,quests!$1:$1,0)+1,FALSE)</f>
        <v>0</v>
      </c>
      <c r="Y369" s="47">
        <f ca="1">VLOOKUP($C369,OFFSET(quests!$A$1,0,0,COUNTA(quests!$A:$A),MATCH(Y$2,quests!$1:$1,0)-MATCH($C$2,quests!$1:$1,0)+1),MATCH(Y$2,quests!$1:$1,0)-MATCH($C$2,quests!$1:$1,0)+1,FALSE)</f>
        <v>0</v>
      </c>
      <c r="Z369" s="47">
        <f ca="1">VLOOKUP($C369,OFFSET(quests!$A$1,0,0,COUNTA(quests!$A:$A),MATCH(Z$2,quests!$1:$1,0)-MATCH($C$2,quests!$1:$1,0)+1),MATCH(Z$2,quests!$1:$1,0)-MATCH($C$2,quests!$1:$1,0)+1,FALSE)</f>
        <v>0</v>
      </c>
      <c r="AA369" s="47">
        <f ca="1">VLOOKUP($C369,OFFSET(quests!$A$1,0,0,COUNTA(quests!$A:$A),MATCH(AA$2,quests!$1:$1,0)-MATCH($C$2,quests!$1:$1,0)+1),MATCH(AA$2,quests!$1:$1,0)-MATCH($C$2,quests!$1:$1,0)+1,FALSE)</f>
        <v>0</v>
      </c>
      <c r="AB369" s="7" t="s">
        <v>56</v>
      </c>
      <c r="AC369" s="167">
        <v>965</v>
      </c>
      <c r="AD369" s="7">
        <v>6</v>
      </c>
      <c r="AE369" s="7" t="s">
        <v>522</v>
      </c>
      <c r="AF369" s="167">
        <v>13</v>
      </c>
      <c r="AG369" s="167">
        <v>0</v>
      </c>
      <c r="AH369" s="167">
        <v>0</v>
      </c>
      <c r="AI369" s="7">
        <v>0</v>
      </c>
      <c r="AJ369" s="7">
        <v>-1</v>
      </c>
      <c r="AK369" s="7" t="s">
        <v>1064</v>
      </c>
      <c r="AL369" s="12" t="s">
        <v>1695</v>
      </c>
      <c r="AM369" s="12" t="s">
        <v>2072</v>
      </c>
    </row>
    <row r="370" spans="1:39" ht="21" customHeight="1" x14ac:dyDescent="0.15">
      <c r="A370" s="42" t="str">
        <f t="shared" si="16"/>
        <v>13300_9</v>
      </c>
      <c r="B370" s="23">
        <v>3</v>
      </c>
      <c r="C370" s="10">
        <v>13300</v>
      </c>
      <c r="D370" s="47" t="str">
        <f ca="1">VLOOKUP($C370,OFFSET(quests!$A$1,0,0,COUNTA(quests!$A:$A),MATCH(D$1,quests!$1:$1,0)-MATCH($C$2,quests!$1:$1,0)+1),MATCH(D$1,quests!$1:$1,0)-MATCH($C$2,quests!$1:$1,0)+1,FALSE)</f>
        <v>タワーオブザクイーン -アヴァルシア-</v>
      </c>
      <c r="E370" s="48" t="str">
        <f ca="1">VLOOKUP($C370,OFFSET(quests!$A$1,0,0,COUNTA(quests!$A:$A),MATCH(E$2,quests!$1:$1,0)-MATCH($C$2,quests!$1:$1,0)+1),MATCH(E$2,quests!$1:$1,0)-MATCH($C$2,quests!$1:$1,0)+1,FALSE)</f>
        <v>タワーオブザクイーン1本目</v>
      </c>
      <c r="F370" s="7">
        <v>9</v>
      </c>
      <c r="G370" s="7" t="s">
        <v>568</v>
      </c>
      <c r="H370" s="12" t="s">
        <v>1776</v>
      </c>
      <c r="I370" s="12" t="s">
        <v>1743</v>
      </c>
      <c r="J370" s="12">
        <v>610</v>
      </c>
      <c r="K370" s="188">
        <v>31</v>
      </c>
      <c r="L370" s="189">
        <v>2790</v>
      </c>
      <c r="M370" s="167">
        <v>1</v>
      </c>
      <c r="N370" s="167">
        <v>1</v>
      </c>
      <c r="O370" s="167">
        <v>1</v>
      </c>
      <c r="P370" s="167">
        <v>1</v>
      </c>
      <c r="Q370" s="167">
        <v>1</v>
      </c>
      <c r="R370" s="167">
        <v>3</v>
      </c>
      <c r="S370" s="167" t="s">
        <v>1713</v>
      </c>
      <c r="T370" s="191" t="s">
        <v>1806</v>
      </c>
      <c r="U370" s="7">
        <v>13300</v>
      </c>
      <c r="V370" s="7">
        <v>8</v>
      </c>
      <c r="W370" s="47" t="str">
        <f t="shared" ca="1" si="15"/>
        <v>8階 コスト28以下限定</v>
      </c>
      <c r="X370" s="47">
        <f ca="1">VLOOKUP($C370,OFFSET(quests!$A$1,0,0,COUNTA(quests!$A:$A),MATCH(X$2,quests!$1:$1,0)-MATCH($C$2,quests!$1:$1,0)+1),MATCH(X$2,quests!$1:$1,0)-MATCH($C$2,quests!$1:$1,0)+1,FALSE)</f>
        <v>0</v>
      </c>
      <c r="Y370" s="47">
        <f ca="1">VLOOKUP($C370,OFFSET(quests!$A$1,0,0,COUNTA(quests!$A:$A),MATCH(Y$2,quests!$1:$1,0)-MATCH($C$2,quests!$1:$1,0)+1),MATCH(Y$2,quests!$1:$1,0)-MATCH($C$2,quests!$1:$1,0)+1,FALSE)</f>
        <v>0</v>
      </c>
      <c r="Z370" s="47">
        <f ca="1">VLOOKUP($C370,OFFSET(quests!$A$1,0,0,COUNTA(quests!$A:$A),MATCH(Z$2,quests!$1:$1,0)-MATCH($C$2,quests!$1:$1,0)+1),MATCH(Z$2,quests!$1:$1,0)-MATCH($C$2,quests!$1:$1,0)+1,FALSE)</f>
        <v>0</v>
      </c>
      <c r="AA370" s="47">
        <f ca="1">VLOOKUP($C370,OFFSET(quests!$A$1,0,0,COUNTA(quests!$A:$A),MATCH(AA$2,quests!$1:$1,0)-MATCH($C$2,quests!$1:$1,0)+1),MATCH(AA$2,quests!$1:$1,0)-MATCH($C$2,quests!$1:$1,0)+1,FALSE)</f>
        <v>0</v>
      </c>
      <c r="AB370" s="7" t="s">
        <v>56</v>
      </c>
      <c r="AC370" s="167">
        <v>965</v>
      </c>
      <c r="AD370" s="7">
        <v>6</v>
      </c>
      <c r="AE370" s="7" t="s">
        <v>522</v>
      </c>
      <c r="AF370" s="167">
        <v>13</v>
      </c>
      <c r="AG370" s="167">
        <v>0</v>
      </c>
      <c r="AH370" s="167">
        <v>0</v>
      </c>
      <c r="AI370" s="7">
        <v>0</v>
      </c>
      <c r="AJ370" s="7">
        <v>-1</v>
      </c>
      <c r="AK370" s="7" t="s">
        <v>1064</v>
      </c>
      <c r="AL370" s="12" t="s">
        <v>1695</v>
      </c>
      <c r="AM370" s="12" t="s">
        <v>2072</v>
      </c>
    </row>
    <row r="371" spans="1:39" ht="21" customHeight="1" x14ac:dyDescent="0.15">
      <c r="A371" s="42" t="str">
        <f t="shared" si="16"/>
        <v>13300_10</v>
      </c>
      <c r="B371" s="23">
        <v>3</v>
      </c>
      <c r="C371" s="10">
        <v>13300</v>
      </c>
      <c r="D371" s="47" t="str">
        <f ca="1">VLOOKUP($C371,OFFSET(quests!$A$1,0,0,COUNTA(quests!$A:$A),MATCH(D$1,quests!$1:$1,0)-MATCH($C$2,quests!$1:$1,0)+1),MATCH(D$1,quests!$1:$1,0)-MATCH($C$2,quests!$1:$1,0)+1,FALSE)</f>
        <v>タワーオブザクイーン -アヴァルシア-</v>
      </c>
      <c r="E371" s="48" t="str">
        <f ca="1">VLOOKUP($C371,OFFSET(quests!$A$1,0,0,COUNTA(quests!$A:$A),MATCH(E$2,quests!$1:$1,0)-MATCH($C$2,quests!$1:$1,0)+1),MATCH(E$2,quests!$1:$1,0)-MATCH($C$2,quests!$1:$1,0)+1,FALSE)</f>
        <v>タワーオブザクイーン1本目</v>
      </c>
      <c r="F371" s="7">
        <v>10</v>
      </c>
      <c r="G371" s="7" t="s">
        <v>568</v>
      </c>
      <c r="H371" s="12" t="s">
        <v>1777</v>
      </c>
      <c r="I371" s="12" t="s">
        <v>1738</v>
      </c>
      <c r="J371" s="12">
        <v>0</v>
      </c>
      <c r="K371" s="188">
        <v>35</v>
      </c>
      <c r="L371" s="189">
        <v>3325</v>
      </c>
      <c r="M371" s="167">
        <v>1</v>
      </c>
      <c r="N371" s="167">
        <v>1</v>
      </c>
      <c r="O371" s="167">
        <v>1</v>
      </c>
      <c r="P371" s="167">
        <v>1</v>
      </c>
      <c r="Q371" s="167">
        <v>1</v>
      </c>
      <c r="R371" s="167">
        <v>3</v>
      </c>
      <c r="S371" s="167" t="s">
        <v>1811</v>
      </c>
      <c r="T371" s="191" t="s">
        <v>1810</v>
      </c>
      <c r="U371" s="7">
        <v>13300</v>
      </c>
      <c r="V371" s="7">
        <v>9</v>
      </c>
      <c r="W371" s="47" t="str">
        <f t="shared" ca="1" si="15"/>
        <v>9階 コスト28以下ヒューマン限定</v>
      </c>
      <c r="X371" s="47">
        <f ca="1">VLOOKUP($C371,OFFSET(quests!$A$1,0,0,COUNTA(quests!$A:$A),MATCH(X$2,quests!$1:$1,0)-MATCH($C$2,quests!$1:$1,0)+1),MATCH(X$2,quests!$1:$1,0)-MATCH($C$2,quests!$1:$1,0)+1,FALSE)</f>
        <v>0</v>
      </c>
      <c r="Y371" s="47">
        <f ca="1">VLOOKUP($C371,OFFSET(quests!$A$1,0,0,COUNTA(quests!$A:$A),MATCH(Y$2,quests!$1:$1,0)-MATCH($C$2,quests!$1:$1,0)+1),MATCH(Y$2,quests!$1:$1,0)-MATCH($C$2,quests!$1:$1,0)+1,FALSE)</f>
        <v>0</v>
      </c>
      <c r="Z371" s="47">
        <f ca="1">VLOOKUP($C371,OFFSET(quests!$A$1,0,0,COUNTA(quests!$A:$A),MATCH(Z$2,quests!$1:$1,0)-MATCH($C$2,quests!$1:$1,0)+1),MATCH(Z$2,quests!$1:$1,0)-MATCH($C$2,quests!$1:$1,0)+1,FALSE)</f>
        <v>0</v>
      </c>
      <c r="AA371" s="47">
        <f ca="1">VLOOKUP($C371,OFFSET(quests!$A$1,0,0,COUNTA(quests!$A:$A),MATCH(AA$2,quests!$1:$1,0)-MATCH($C$2,quests!$1:$1,0)+1),MATCH(AA$2,quests!$1:$1,0)-MATCH($C$2,quests!$1:$1,0)+1,FALSE)</f>
        <v>0</v>
      </c>
      <c r="AB371" s="7" t="s">
        <v>56</v>
      </c>
      <c r="AC371" s="167">
        <v>965</v>
      </c>
      <c r="AD371" s="7">
        <v>6</v>
      </c>
      <c r="AE371" s="7" t="s">
        <v>522</v>
      </c>
      <c r="AF371" s="167">
        <v>13</v>
      </c>
      <c r="AG371" s="167">
        <v>1330</v>
      </c>
      <c r="AH371" s="167">
        <v>0</v>
      </c>
      <c r="AI371" s="7">
        <v>0</v>
      </c>
      <c r="AJ371" s="7">
        <v>-1</v>
      </c>
      <c r="AK371" s="7" t="s">
        <v>1064</v>
      </c>
      <c r="AL371" s="12" t="s">
        <v>1695</v>
      </c>
      <c r="AM371" s="12" t="s">
        <v>2072</v>
      </c>
    </row>
    <row r="372" spans="1:39" ht="21" customHeight="1" x14ac:dyDescent="0.15">
      <c r="A372" s="42" t="str">
        <f t="shared" si="16"/>
        <v>13300_11</v>
      </c>
      <c r="B372" s="23">
        <v>3</v>
      </c>
      <c r="C372" s="10">
        <v>13300</v>
      </c>
      <c r="D372" s="47" t="str">
        <f ca="1">VLOOKUP($C372,OFFSET(quests!$A$1,0,0,COUNTA(quests!$A:$A),MATCH(D$1,quests!$1:$1,0)-MATCH($C$2,quests!$1:$1,0)+1),MATCH(D$1,quests!$1:$1,0)-MATCH($C$2,quests!$1:$1,0)+1,FALSE)</f>
        <v>タワーオブザクイーン -アヴァルシア-</v>
      </c>
      <c r="E372" s="48" t="str">
        <f ca="1">VLOOKUP($C372,OFFSET(quests!$A$1,0,0,COUNTA(quests!$A:$A),MATCH(E$2,quests!$1:$1,0)-MATCH($C$2,quests!$1:$1,0)+1),MATCH(E$2,quests!$1:$1,0)-MATCH($C$2,quests!$1:$1,0)+1,FALSE)</f>
        <v>タワーオブザクイーン1本目</v>
      </c>
      <c r="F372" s="7">
        <v>11</v>
      </c>
      <c r="G372" s="7" t="s">
        <v>568</v>
      </c>
      <c r="H372" s="12" t="s">
        <v>1778</v>
      </c>
      <c r="I372" s="12" t="s">
        <v>1744</v>
      </c>
      <c r="J372" s="12">
        <v>612</v>
      </c>
      <c r="K372" s="188">
        <v>37</v>
      </c>
      <c r="L372" s="189">
        <v>3700</v>
      </c>
      <c r="M372" s="167">
        <v>1</v>
      </c>
      <c r="N372" s="167">
        <v>1</v>
      </c>
      <c r="O372" s="167">
        <v>1</v>
      </c>
      <c r="P372" s="167">
        <v>1</v>
      </c>
      <c r="Q372" s="167">
        <v>1</v>
      </c>
      <c r="R372" s="167">
        <v>3</v>
      </c>
      <c r="S372" s="167" t="s">
        <v>273</v>
      </c>
      <c r="T372" s="191" t="s">
        <v>1812</v>
      </c>
      <c r="U372" s="7">
        <v>13300</v>
      </c>
      <c r="V372" s="7">
        <v>10</v>
      </c>
      <c r="W372" s="47" t="str">
        <f t="shared" ca="1" si="15"/>
        <v>10階 ボナンザ 現る！</v>
      </c>
      <c r="X372" s="47">
        <f ca="1">VLOOKUP($C372,OFFSET(quests!$A$1,0,0,COUNTA(quests!$A:$A),MATCH(X$2,quests!$1:$1,0)-MATCH($C$2,quests!$1:$1,0)+1),MATCH(X$2,quests!$1:$1,0)-MATCH($C$2,quests!$1:$1,0)+1,FALSE)</f>
        <v>0</v>
      </c>
      <c r="Y372" s="47">
        <f ca="1">VLOOKUP($C372,OFFSET(quests!$A$1,0,0,COUNTA(quests!$A:$A),MATCH(Y$2,quests!$1:$1,0)-MATCH($C$2,quests!$1:$1,0)+1),MATCH(Y$2,quests!$1:$1,0)-MATCH($C$2,quests!$1:$1,0)+1,FALSE)</f>
        <v>0</v>
      </c>
      <c r="Z372" s="47">
        <f ca="1">VLOOKUP($C372,OFFSET(quests!$A$1,0,0,COUNTA(quests!$A:$A),MATCH(Z$2,quests!$1:$1,0)-MATCH($C$2,quests!$1:$1,0)+1),MATCH(Z$2,quests!$1:$1,0)-MATCH($C$2,quests!$1:$1,0)+1,FALSE)</f>
        <v>0</v>
      </c>
      <c r="AA372" s="47">
        <f ca="1">VLOOKUP($C372,OFFSET(quests!$A$1,0,0,COUNTA(quests!$A:$A),MATCH(AA$2,quests!$1:$1,0)-MATCH($C$2,quests!$1:$1,0)+1),MATCH(AA$2,quests!$1:$1,0)-MATCH($C$2,quests!$1:$1,0)+1,FALSE)</f>
        <v>0</v>
      </c>
      <c r="AB372" s="7" t="s">
        <v>56</v>
      </c>
      <c r="AC372" s="167">
        <v>965</v>
      </c>
      <c r="AD372" s="7">
        <v>6</v>
      </c>
      <c r="AE372" s="7" t="s">
        <v>522</v>
      </c>
      <c r="AF372" s="167">
        <v>13</v>
      </c>
      <c r="AG372" s="167">
        <v>0</v>
      </c>
      <c r="AH372" s="167">
        <v>0</v>
      </c>
      <c r="AI372" s="7">
        <v>0</v>
      </c>
      <c r="AJ372" s="7">
        <v>-1</v>
      </c>
      <c r="AK372" s="7" t="s">
        <v>1064</v>
      </c>
      <c r="AL372" s="12" t="s">
        <v>1695</v>
      </c>
      <c r="AM372" s="12" t="s">
        <v>2072</v>
      </c>
    </row>
    <row r="373" spans="1:39" ht="21" customHeight="1" x14ac:dyDescent="0.15">
      <c r="A373" s="42" t="str">
        <f t="shared" si="16"/>
        <v>13300_12</v>
      </c>
      <c r="B373" s="23">
        <v>3</v>
      </c>
      <c r="C373" s="10">
        <v>13300</v>
      </c>
      <c r="D373" s="47" t="str">
        <f ca="1">VLOOKUP($C373,OFFSET(quests!$A$1,0,0,COUNTA(quests!$A:$A),MATCH(D$1,quests!$1:$1,0)-MATCH($C$2,quests!$1:$1,0)+1),MATCH(D$1,quests!$1:$1,0)-MATCH($C$2,quests!$1:$1,0)+1,FALSE)</f>
        <v>タワーオブザクイーン -アヴァルシア-</v>
      </c>
      <c r="E373" s="48" t="str">
        <f ca="1">VLOOKUP($C373,OFFSET(quests!$A$1,0,0,COUNTA(quests!$A:$A),MATCH(E$2,quests!$1:$1,0)-MATCH($C$2,quests!$1:$1,0)+1),MATCH(E$2,quests!$1:$1,0)-MATCH($C$2,quests!$1:$1,0)+1,FALSE)</f>
        <v>タワーオブザクイーン1本目</v>
      </c>
      <c r="F373" s="7">
        <v>12</v>
      </c>
      <c r="G373" s="7" t="s">
        <v>568</v>
      </c>
      <c r="H373" s="12" t="s">
        <v>1779</v>
      </c>
      <c r="I373" s="12" t="s">
        <v>1744</v>
      </c>
      <c r="J373" s="12">
        <v>613</v>
      </c>
      <c r="K373" s="188">
        <v>38</v>
      </c>
      <c r="L373" s="189">
        <v>3990</v>
      </c>
      <c r="M373" s="167">
        <v>1</v>
      </c>
      <c r="N373" s="167">
        <v>1</v>
      </c>
      <c r="O373" s="167">
        <v>1</v>
      </c>
      <c r="P373" s="167">
        <v>1</v>
      </c>
      <c r="Q373" s="167">
        <v>1</v>
      </c>
      <c r="R373" s="167">
        <v>3</v>
      </c>
      <c r="S373" s="167" t="s">
        <v>1713</v>
      </c>
      <c r="T373" s="191" t="s">
        <v>1816</v>
      </c>
      <c r="U373" s="7">
        <v>13300</v>
      </c>
      <c r="V373" s="7">
        <v>11</v>
      </c>
      <c r="W373" s="47" t="str">
        <f t="shared" ca="1" si="15"/>
        <v>11階 コスト30以下限定</v>
      </c>
      <c r="X373" s="47">
        <f ca="1">VLOOKUP($C373,OFFSET(quests!$A$1,0,0,COUNTA(quests!$A:$A),MATCH(X$2,quests!$1:$1,0)-MATCH($C$2,quests!$1:$1,0)+1),MATCH(X$2,quests!$1:$1,0)-MATCH($C$2,quests!$1:$1,0)+1,FALSE)</f>
        <v>0</v>
      </c>
      <c r="Y373" s="47">
        <f ca="1">VLOOKUP($C373,OFFSET(quests!$A$1,0,0,COUNTA(quests!$A:$A),MATCH(Y$2,quests!$1:$1,0)-MATCH($C$2,quests!$1:$1,0)+1),MATCH(Y$2,quests!$1:$1,0)-MATCH($C$2,quests!$1:$1,0)+1,FALSE)</f>
        <v>0</v>
      </c>
      <c r="Z373" s="47">
        <f ca="1">VLOOKUP($C373,OFFSET(quests!$A$1,0,0,COUNTA(quests!$A:$A),MATCH(Z$2,quests!$1:$1,0)-MATCH($C$2,quests!$1:$1,0)+1),MATCH(Z$2,quests!$1:$1,0)-MATCH($C$2,quests!$1:$1,0)+1,FALSE)</f>
        <v>0</v>
      </c>
      <c r="AA373" s="47">
        <f ca="1">VLOOKUP($C373,OFFSET(quests!$A$1,0,0,COUNTA(quests!$A:$A),MATCH(AA$2,quests!$1:$1,0)-MATCH($C$2,quests!$1:$1,0)+1),MATCH(AA$2,quests!$1:$1,0)-MATCH($C$2,quests!$1:$1,0)+1,FALSE)</f>
        <v>0</v>
      </c>
      <c r="AB373" s="7" t="s">
        <v>56</v>
      </c>
      <c r="AC373" s="167">
        <v>965</v>
      </c>
      <c r="AD373" s="7">
        <v>6</v>
      </c>
      <c r="AE373" s="7" t="s">
        <v>522</v>
      </c>
      <c r="AF373" s="167">
        <v>13</v>
      </c>
      <c r="AG373" s="167">
        <v>0</v>
      </c>
      <c r="AH373" s="167">
        <v>0</v>
      </c>
      <c r="AI373" s="7">
        <v>0</v>
      </c>
      <c r="AJ373" s="7">
        <v>-1</v>
      </c>
      <c r="AK373" s="7" t="s">
        <v>1064</v>
      </c>
      <c r="AL373" s="12" t="s">
        <v>1695</v>
      </c>
      <c r="AM373" s="12" t="s">
        <v>2072</v>
      </c>
    </row>
    <row r="374" spans="1:39" ht="21" customHeight="1" x14ac:dyDescent="0.15">
      <c r="A374" s="42" t="str">
        <f t="shared" si="16"/>
        <v>13300_13</v>
      </c>
      <c r="B374" s="23">
        <v>3</v>
      </c>
      <c r="C374" s="10">
        <v>13300</v>
      </c>
      <c r="D374" s="47" t="str">
        <f ca="1">VLOOKUP($C374,OFFSET(quests!$A$1,0,0,COUNTA(quests!$A:$A),MATCH(D$1,quests!$1:$1,0)-MATCH($C$2,quests!$1:$1,0)+1),MATCH(D$1,quests!$1:$1,0)-MATCH($C$2,quests!$1:$1,0)+1,FALSE)</f>
        <v>タワーオブザクイーン -アヴァルシア-</v>
      </c>
      <c r="E374" s="48" t="str">
        <f ca="1">VLOOKUP($C374,OFFSET(quests!$A$1,0,0,COUNTA(quests!$A:$A),MATCH(E$2,quests!$1:$1,0)-MATCH($C$2,quests!$1:$1,0)+1),MATCH(E$2,quests!$1:$1,0)-MATCH($C$2,quests!$1:$1,0)+1,FALSE)</f>
        <v>タワーオブザクイーン1本目</v>
      </c>
      <c r="F374" s="7">
        <v>13</v>
      </c>
      <c r="G374" s="7" t="s">
        <v>568</v>
      </c>
      <c r="H374" s="12" t="s">
        <v>1780</v>
      </c>
      <c r="I374" s="12" t="s">
        <v>1738</v>
      </c>
      <c r="J374" s="12">
        <v>611</v>
      </c>
      <c r="K374" s="188">
        <v>39</v>
      </c>
      <c r="L374" s="189">
        <v>4290</v>
      </c>
      <c r="M374" s="167">
        <v>1</v>
      </c>
      <c r="N374" s="167">
        <v>1</v>
      </c>
      <c r="O374" s="167">
        <v>1</v>
      </c>
      <c r="P374" s="167">
        <v>1</v>
      </c>
      <c r="Q374" s="167">
        <v>1</v>
      </c>
      <c r="R374" s="167">
        <v>3</v>
      </c>
      <c r="S374" s="167" t="s">
        <v>1753</v>
      </c>
      <c r="T374" s="191" t="s">
        <v>1818</v>
      </c>
      <c r="U374" s="7">
        <v>13300</v>
      </c>
      <c r="V374" s="7">
        <v>12</v>
      </c>
      <c r="W374" s="47" t="str">
        <f t="shared" ca="1" si="15"/>
        <v>12階 コスト30以下ヒューマン限定</v>
      </c>
      <c r="X374" s="47">
        <f ca="1">VLOOKUP($C374,OFFSET(quests!$A$1,0,0,COUNTA(quests!$A:$A),MATCH(X$2,quests!$1:$1,0)-MATCH($C$2,quests!$1:$1,0)+1),MATCH(X$2,quests!$1:$1,0)-MATCH($C$2,quests!$1:$1,0)+1,FALSE)</f>
        <v>0</v>
      </c>
      <c r="Y374" s="47">
        <f ca="1">VLOOKUP($C374,OFFSET(quests!$A$1,0,0,COUNTA(quests!$A:$A),MATCH(Y$2,quests!$1:$1,0)-MATCH($C$2,quests!$1:$1,0)+1),MATCH(Y$2,quests!$1:$1,0)-MATCH($C$2,quests!$1:$1,0)+1,FALSE)</f>
        <v>0</v>
      </c>
      <c r="Z374" s="47">
        <f ca="1">VLOOKUP($C374,OFFSET(quests!$A$1,0,0,COUNTA(quests!$A:$A),MATCH(Z$2,quests!$1:$1,0)-MATCH($C$2,quests!$1:$1,0)+1),MATCH(Z$2,quests!$1:$1,0)-MATCH($C$2,quests!$1:$1,0)+1,FALSE)</f>
        <v>0</v>
      </c>
      <c r="AA374" s="47">
        <f ca="1">VLOOKUP($C374,OFFSET(quests!$A$1,0,0,COUNTA(quests!$A:$A),MATCH(AA$2,quests!$1:$1,0)-MATCH($C$2,quests!$1:$1,0)+1),MATCH(AA$2,quests!$1:$1,0)-MATCH($C$2,quests!$1:$1,0)+1,FALSE)</f>
        <v>0</v>
      </c>
      <c r="AB374" s="7" t="s">
        <v>56</v>
      </c>
      <c r="AC374" s="167">
        <v>965</v>
      </c>
      <c r="AD374" s="7">
        <v>6</v>
      </c>
      <c r="AE374" s="7" t="s">
        <v>522</v>
      </c>
      <c r="AF374" s="167">
        <v>13</v>
      </c>
      <c r="AG374" s="167">
        <v>0</v>
      </c>
      <c r="AH374" s="167">
        <v>0</v>
      </c>
      <c r="AI374" s="7">
        <v>0</v>
      </c>
      <c r="AJ374" s="7">
        <v>-1</v>
      </c>
      <c r="AK374" s="7" t="s">
        <v>1064</v>
      </c>
      <c r="AL374" s="12" t="s">
        <v>1695</v>
      </c>
      <c r="AM374" s="12" t="s">
        <v>2072</v>
      </c>
    </row>
    <row r="375" spans="1:39" ht="21" customHeight="1" x14ac:dyDescent="0.15">
      <c r="A375" s="42" t="str">
        <f t="shared" si="16"/>
        <v>13300_14</v>
      </c>
      <c r="B375" s="23">
        <v>3</v>
      </c>
      <c r="C375" s="10">
        <v>13300</v>
      </c>
      <c r="D375" s="47" t="str">
        <f ca="1">VLOOKUP($C375,OFFSET(quests!$A$1,0,0,COUNTA(quests!$A:$A),MATCH(D$1,quests!$1:$1,0)-MATCH($C$2,quests!$1:$1,0)+1),MATCH(D$1,quests!$1:$1,0)-MATCH($C$2,quests!$1:$1,0)+1,FALSE)</f>
        <v>タワーオブザクイーン -アヴァルシア-</v>
      </c>
      <c r="E375" s="48" t="str">
        <f ca="1">VLOOKUP($C375,OFFSET(quests!$A$1,0,0,COUNTA(quests!$A:$A),MATCH(E$2,quests!$1:$1,0)-MATCH($C$2,quests!$1:$1,0)+1),MATCH(E$2,quests!$1:$1,0)-MATCH($C$2,quests!$1:$1,0)+1,FALSE)</f>
        <v>タワーオブザクイーン1本目</v>
      </c>
      <c r="F375" s="7">
        <v>14</v>
      </c>
      <c r="G375" s="7" t="s">
        <v>568</v>
      </c>
      <c r="H375" s="12" t="s">
        <v>1781</v>
      </c>
      <c r="I375" s="12" t="s">
        <v>1744</v>
      </c>
      <c r="J375" s="12">
        <v>614</v>
      </c>
      <c r="K375" s="188">
        <v>40</v>
      </c>
      <c r="L375" s="189">
        <v>4600</v>
      </c>
      <c r="M375" s="167">
        <v>1</v>
      </c>
      <c r="N375" s="167">
        <v>1</v>
      </c>
      <c r="O375" s="167">
        <v>1</v>
      </c>
      <c r="P375" s="167">
        <v>1</v>
      </c>
      <c r="Q375" s="167">
        <v>1</v>
      </c>
      <c r="R375" s="167">
        <v>3</v>
      </c>
      <c r="S375" s="167" t="s">
        <v>924</v>
      </c>
      <c r="T375" s="191" t="s">
        <v>1813</v>
      </c>
      <c r="U375" s="7">
        <v>13300</v>
      </c>
      <c r="V375" s="7">
        <v>13</v>
      </c>
      <c r="W375" s="47" t="str">
        <f t="shared" ca="1" si="15"/>
        <v>13階 コスト制限なし</v>
      </c>
      <c r="X375" s="47">
        <f ca="1">VLOOKUP($C375,OFFSET(quests!$A$1,0,0,COUNTA(quests!$A:$A),MATCH(X$2,quests!$1:$1,0)-MATCH($C$2,quests!$1:$1,0)+1),MATCH(X$2,quests!$1:$1,0)-MATCH($C$2,quests!$1:$1,0)+1,FALSE)</f>
        <v>0</v>
      </c>
      <c r="Y375" s="47">
        <f ca="1">VLOOKUP($C375,OFFSET(quests!$A$1,0,0,COUNTA(quests!$A:$A),MATCH(Y$2,quests!$1:$1,0)-MATCH($C$2,quests!$1:$1,0)+1),MATCH(Y$2,quests!$1:$1,0)-MATCH($C$2,quests!$1:$1,0)+1,FALSE)</f>
        <v>0</v>
      </c>
      <c r="Z375" s="47">
        <f ca="1">VLOOKUP($C375,OFFSET(quests!$A$1,0,0,COUNTA(quests!$A:$A),MATCH(Z$2,quests!$1:$1,0)-MATCH($C$2,quests!$1:$1,0)+1),MATCH(Z$2,quests!$1:$1,0)-MATCH($C$2,quests!$1:$1,0)+1,FALSE)</f>
        <v>0</v>
      </c>
      <c r="AA375" s="47">
        <f ca="1">VLOOKUP($C375,OFFSET(quests!$A$1,0,0,COUNTA(quests!$A:$A),MATCH(AA$2,quests!$1:$1,0)-MATCH($C$2,quests!$1:$1,0)+1),MATCH(AA$2,quests!$1:$1,0)-MATCH($C$2,quests!$1:$1,0)+1,FALSE)</f>
        <v>0</v>
      </c>
      <c r="AB375" s="7" t="s">
        <v>56</v>
      </c>
      <c r="AC375" s="167">
        <v>965</v>
      </c>
      <c r="AD375" s="7">
        <v>6</v>
      </c>
      <c r="AE375" s="7" t="s">
        <v>522</v>
      </c>
      <c r="AF375" s="167">
        <v>13</v>
      </c>
      <c r="AG375" s="167">
        <v>0</v>
      </c>
      <c r="AH375" s="167">
        <v>0</v>
      </c>
      <c r="AI375" s="7">
        <v>0</v>
      </c>
      <c r="AJ375" s="7">
        <v>-1</v>
      </c>
      <c r="AK375" s="7" t="s">
        <v>1064</v>
      </c>
      <c r="AL375" s="12" t="s">
        <v>1695</v>
      </c>
      <c r="AM375" s="12" t="s">
        <v>2072</v>
      </c>
    </row>
    <row r="376" spans="1:39" ht="21" customHeight="1" x14ac:dyDescent="0.15">
      <c r="A376" s="42" t="str">
        <f>C376&amp;"_"&amp;F376</f>
        <v>13300_15</v>
      </c>
      <c r="B376" s="23">
        <v>3</v>
      </c>
      <c r="C376" s="10">
        <v>13300</v>
      </c>
      <c r="D376" s="47" t="str">
        <f ca="1">VLOOKUP($C376,OFFSET(quests!$A$1,0,0,COUNTA(quests!$A:$A),MATCH(D$1,quests!$1:$1,0)-MATCH($C$2,quests!$1:$1,0)+1),MATCH(D$1,quests!$1:$1,0)-MATCH($C$2,quests!$1:$1,0)+1,FALSE)</f>
        <v>タワーオブザクイーン -アヴァルシア-</v>
      </c>
      <c r="E376" s="48" t="str">
        <f ca="1">VLOOKUP($C376,OFFSET(quests!$A$1,0,0,COUNTA(quests!$A:$A),MATCH(E$2,quests!$1:$1,0)-MATCH($C$2,quests!$1:$1,0)+1),MATCH(E$2,quests!$1:$1,0)-MATCH($C$2,quests!$1:$1,0)+1,FALSE)</f>
        <v>タワーオブザクイーン1本目</v>
      </c>
      <c r="F376" s="7">
        <v>15</v>
      </c>
      <c r="G376" s="7" t="s">
        <v>568</v>
      </c>
      <c r="H376" s="12" t="s">
        <v>1782</v>
      </c>
      <c r="I376" s="12" t="s">
        <v>1738</v>
      </c>
      <c r="J376" s="12">
        <v>1115</v>
      </c>
      <c r="K376" s="188">
        <v>50</v>
      </c>
      <c r="L376" s="189">
        <v>6250</v>
      </c>
      <c r="M376" s="167">
        <v>1</v>
      </c>
      <c r="N376" s="167">
        <v>1</v>
      </c>
      <c r="O376" s="167">
        <v>1</v>
      </c>
      <c r="P376" s="167">
        <v>1</v>
      </c>
      <c r="Q376" s="167">
        <v>1</v>
      </c>
      <c r="R376" s="167">
        <v>3</v>
      </c>
      <c r="S376" s="167" t="s">
        <v>273</v>
      </c>
      <c r="T376" s="252" t="s">
        <v>1767</v>
      </c>
      <c r="U376" s="7">
        <v>13300</v>
      </c>
      <c r="V376" s="7">
        <v>14</v>
      </c>
      <c r="W376" s="47" t="str">
        <f t="shared" ca="1" si="15"/>
        <v>14階 コスト制限なし</v>
      </c>
      <c r="X376" s="47">
        <f ca="1">VLOOKUP($C376,OFFSET(quests!$A$1,0,0,COUNTA(quests!$A:$A),MATCH(X$2,quests!$1:$1,0)-MATCH($C$2,quests!$1:$1,0)+1),MATCH(X$2,quests!$1:$1,0)-MATCH($C$2,quests!$1:$1,0)+1,FALSE)</f>
        <v>0</v>
      </c>
      <c r="Y376" s="47">
        <f ca="1">VLOOKUP($C376,OFFSET(quests!$A$1,0,0,COUNTA(quests!$A:$A),MATCH(Y$2,quests!$1:$1,0)-MATCH($C$2,quests!$1:$1,0)+1),MATCH(Y$2,quests!$1:$1,0)-MATCH($C$2,quests!$1:$1,0)+1,FALSE)</f>
        <v>0</v>
      </c>
      <c r="Z376" s="47">
        <f ca="1">VLOOKUP($C376,OFFSET(quests!$A$1,0,0,COUNTA(quests!$A:$A),MATCH(Z$2,quests!$1:$1,0)-MATCH($C$2,quests!$1:$1,0)+1),MATCH(Z$2,quests!$1:$1,0)-MATCH($C$2,quests!$1:$1,0)+1,FALSE)</f>
        <v>0</v>
      </c>
      <c r="AA376" s="47">
        <f ca="1">VLOOKUP($C376,OFFSET(quests!$A$1,0,0,COUNTA(quests!$A:$A),MATCH(AA$2,quests!$1:$1,0)-MATCH($C$2,quests!$1:$1,0)+1),MATCH(AA$2,quests!$1:$1,0)-MATCH($C$2,quests!$1:$1,0)+1,FALSE)</f>
        <v>0</v>
      </c>
      <c r="AB376" s="7" t="s">
        <v>56</v>
      </c>
      <c r="AC376" s="167">
        <v>965</v>
      </c>
      <c r="AD376" s="7">
        <v>6</v>
      </c>
      <c r="AE376" s="7" t="s">
        <v>522</v>
      </c>
      <c r="AF376" s="167">
        <v>13</v>
      </c>
      <c r="AG376" s="167">
        <v>1330</v>
      </c>
      <c r="AH376" s="167">
        <v>10</v>
      </c>
      <c r="AI376" s="7">
        <v>0</v>
      </c>
      <c r="AJ376" s="7">
        <v>-1</v>
      </c>
      <c r="AK376" s="7" t="s">
        <v>1064</v>
      </c>
      <c r="AL376" s="12">
        <v>10</v>
      </c>
      <c r="AM376" s="12" t="s">
        <v>2072</v>
      </c>
    </row>
    <row r="377" spans="1:39" ht="21" customHeight="1" x14ac:dyDescent="0.15">
      <c r="A377" s="42" t="str">
        <f t="shared" si="16"/>
        <v>13301_1</v>
      </c>
      <c r="B377" s="23">
        <v>3</v>
      </c>
      <c r="C377" s="276">
        <v>13301</v>
      </c>
      <c r="D377" s="47" t="str">
        <f ca="1">VLOOKUP($C377,OFFSET(quests!$A$1,0,0,COUNTA(quests!$A:$A),MATCH(D$1,quests!$1:$1,0)-MATCH($C$2,quests!$1:$1,0)+1),MATCH(D$1,quests!$1:$1,0)-MATCH($C$2,quests!$1:$1,0)+1,FALSE)</f>
        <v>タワーオブザクイーン -アヴァルシア-</v>
      </c>
      <c r="E377" s="48" t="str">
        <f ca="1">VLOOKUP($C377,OFFSET(quests!$A$1,0,0,COUNTA(quests!$A:$A),MATCH(E$2,quests!$1:$1,0)-MATCH($C$2,quests!$1:$1,0)+1),MATCH(E$2,quests!$1:$1,0)-MATCH($C$2,quests!$1:$1,0)+1,FALSE)</f>
        <v>タワーオブザクイーン1本目</v>
      </c>
      <c r="F377" s="7">
        <v>1</v>
      </c>
      <c r="G377" s="7" t="s">
        <v>382</v>
      </c>
      <c r="H377" s="12" t="s">
        <v>1768</v>
      </c>
      <c r="I377" s="12" t="s">
        <v>1738</v>
      </c>
      <c r="J377" s="12">
        <v>347</v>
      </c>
      <c r="K377" s="188">
        <v>15</v>
      </c>
      <c r="L377" s="189">
        <v>750</v>
      </c>
      <c r="M377" s="167">
        <v>1</v>
      </c>
      <c r="N377" s="167">
        <v>1</v>
      </c>
      <c r="O377" s="167">
        <v>1</v>
      </c>
      <c r="P377" s="167">
        <v>1</v>
      </c>
      <c r="Q377" s="167">
        <v>1</v>
      </c>
      <c r="R377" s="167">
        <v>3</v>
      </c>
      <c r="S377" s="167" t="s">
        <v>1713</v>
      </c>
      <c r="T377" s="191" t="s">
        <v>1835</v>
      </c>
      <c r="U377" s="7" t="s">
        <v>169</v>
      </c>
      <c r="V377" s="7" t="s">
        <v>169</v>
      </c>
      <c r="W377" s="47" t="str">
        <f t="shared" ca="1" si="15"/>
        <v/>
      </c>
      <c r="X377" s="47">
        <f ca="1">VLOOKUP($C377,OFFSET(quests!$A$1,0,0,COUNTA(quests!$A:$A),MATCH(X$2,quests!$1:$1,0)-MATCH($C$2,quests!$1:$1,0)+1),MATCH(X$2,quests!$1:$1,0)-MATCH($C$2,quests!$1:$1,0)+1,FALSE)</f>
        <v>0</v>
      </c>
      <c r="Y377" s="47">
        <f ca="1">VLOOKUP($C377,OFFSET(quests!$A$1,0,0,COUNTA(quests!$A:$A),MATCH(Y$2,quests!$1:$1,0)-MATCH($C$2,quests!$1:$1,0)+1),MATCH(Y$2,quests!$1:$1,0)-MATCH($C$2,quests!$1:$1,0)+1,FALSE)</f>
        <v>0</v>
      </c>
      <c r="Z377" s="47">
        <f ca="1">VLOOKUP($C377,OFFSET(quests!$A$1,0,0,COUNTA(quests!$A:$A),MATCH(Z$2,quests!$1:$1,0)-MATCH($C$2,quests!$1:$1,0)+1),MATCH(Z$2,quests!$1:$1,0)-MATCH($C$2,quests!$1:$1,0)+1,FALSE)</f>
        <v>0</v>
      </c>
      <c r="AA377" s="47">
        <f ca="1">VLOOKUP($C377,OFFSET(quests!$A$1,0,0,COUNTA(quests!$A:$A),MATCH(AA$2,quests!$1:$1,0)-MATCH($C$2,quests!$1:$1,0)+1),MATCH(AA$2,quests!$1:$1,0)-MATCH($C$2,quests!$1:$1,0)+1,FALSE)</f>
        <v>0</v>
      </c>
      <c r="AB377" s="7" t="s">
        <v>56</v>
      </c>
      <c r="AC377" s="167">
        <v>965</v>
      </c>
      <c r="AD377" s="7">
        <v>6</v>
      </c>
      <c r="AE377" s="7" t="s">
        <v>522</v>
      </c>
      <c r="AF377" s="167">
        <v>13</v>
      </c>
      <c r="AG377" s="167">
        <v>0</v>
      </c>
      <c r="AH377" s="167">
        <v>0</v>
      </c>
      <c r="AI377" s="7">
        <v>0</v>
      </c>
      <c r="AJ377" s="7">
        <v>-1</v>
      </c>
      <c r="AK377" s="7" t="s">
        <v>1064</v>
      </c>
      <c r="AL377" s="12" t="s">
        <v>1508</v>
      </c>
      <c r="AM377" s="12" t="s">
        <v>2072</v>
      </c>
    </row>
    <row r="378" spans="1:39" ht="21" customHeight="1" x14ac:dyDescent="0.15">
      <c r="A378" s="42" t="str">
        <f t="shared" si="16"/>
        <v>13301_2</v>
      </c>
      <c r="B378" s="23">
        <v>3</v>
      </c>
      <c r="C378" s="276">
        <v>13301</v>
      </c>
      <c r="D378" s="47" t="str">
        <f ca="1">VLOOKUP($C378,OFFSET(quests!$A$1,0,0,COUNTA(quests!$A:$A),MATCH(D$1,quests!$1:$1,0)-MATCH($C$2,quests!$1:$1,0)+1),MATCH(D$1,quests!$1:$1,0)-MATCH($C$2,quests!$1:$1,0)+1,FALSE)</f>
        <v>タワーオブザクイーン -アヴァルシア-</v>
      </c>
      <c r="E378" s="48" t="str">
        <f ca="1">VLOOKUP($C378,OFFSET(quests!$A$1,0,0,COUNTA(quests!$A:$A),MATCH(E$2,quests!$1:$1,0)-MATCH($C$2,quests!$1:$1,0)+1),MATCH(E$2,quests!$1:$1,0)-MATCH($C$2,quests!$1:$1,0)+1,FALSE)</f>
        <v>タワーオブザクイーン1本目</v>
      </c>
      <c r="F378" s="7">
        <v>2</v>
      </c>
      <c r="G378" s="7" t="s">
        <v>382</v>
      </c>
      <c r="H378" s="12" t="s">
        <v>1769</v>
      </c>
      <c r="I378" s="12" t="s">
        <v>1739</v>
      </c>
      <c r="J378" s="12">
        <v>343</v>
      </c>
      <c r="K378" s="188">
        <v>18</v>
      </c>
      <c r="L378" s="189">
        <v>990</v>
      </c>
      <c r="M378" s="167">
        <v>1</v>
      </c>
      <c r="N378" s="167">
        <v>1</v>
      </c>
      <c r="O378" s="167">
        <v>1</v>
      </c>
      <c r="P378" s="167">
        <v>1</v>
      </c>
      <c r="Q378" s="167">
        <v>1</v>
      </c>
      <c r="R378" s="167">
        <v>3</v>
      </c>
      <c r="S378" s="167" t="s">
        <v>274</v>
      </c>
      <c r="T378" s="191" t="s">
        <v>1836</v>
      </c>
      <c r="U378" s="7">
        <v>13301</v>
      </c>
      <c r="V378" s="7">
        <v>1</v>
      </c>
      <c r="W378" s="47" t="str">
        <f t="shared" ca="1" si="15"/>
        <v>1階 コスト制限なし</v>
      </c>
      <c r="X378" s="47">
        <f ca="1">VLOOKUP($C378,OFFSET(quests!$A$1,0,0,COUNTA(quests!$A:$A),MATCH(X$2,quests!$1:$1,0)-MATCH($C$2,quests!$1:$1,0)+1),MATCH(X$2,quests!$1:$1,0)-MATCH($C$2,quests!$1:$1,0)+1,FALSE)</f>
        <v>0</v>
      </c>
      <c r="Y378" s="47">
        <f ca="1">VLOOKUP($C378,OFFSET(quests!$A$1,0,0,COUNTA(quests!$A:$A),MATCH(Y$2,quests!$1:$1,0)-MATCH($C$2,quests!$1:$1,0)+1),MATCH(Y$2,quests!$1:$1,0)-MATCH($C$2,quests!$1:$1,0)+1,FALSE)</f>
        <v>0</v>
      </c>
      <c r="Z378" s="47">
        <f ca="1">VLOOKUP($C378,OFFSET(quests!$A$1,0,0,COUNTA(quests!$A:$A),MATCH(Z$2,quests!$1:$1,0)-MATCH($C$2,quests!$1:$1,0)+1),MATCH(Z$2,quests!$1:$1,0)-MATCH($C$2,quests!$1:$1,0)+1,FALSE)</f>
        <v>0</v>
      </c>
      <c r="AA378" s="47">
        <f ca="1">VLOOKUP($C378,OFFSET(quests!$A$1,0,0,COUNTA(quests!$A:$A),MATCH(AA$2,quests!$1:$1,0)-MATCH($C$2,quests!$1:$1,0)+1),MATCH(AA$2,quests!$1:$1,0)-MATCH($C$2,quests!$1:$1,0)+1,FALSE)</f>
        <v>0</v>
      </c>
      <c r="AB378" s="7" t="s">
        <v>56</v>
      </c>
      <c r="AC378" s="167">
        <v>965</v>
      </c>
      <c r="AD378" s="7">
        <v>6</v>
      </c>
      <c r="AE378" s="7" t="s">
        <v>522</v>
      </c>
      <c r="AF378" s="167">
        <v>13</v>
      </c>
      <c r="AG378" s="167">
        <v>0</v>
      </c>
      <c r="AH378" s="167">
        <v>0</v>
      </c>
      <c r="AI378" s="7">
        <v>0</v>
      </c>
      <c r="AJ378" s="7">
        <v>-1</v>
      </c>
      <c r="AK378" s="7" t="s">
        <v>1064</v>
      </c>
      <c r="AL378" s="12" t="s">
        <v>1508</v>
      </c>
      <c r="AM378" s="12" t="s">
        <v>2072</v>
      </c>
    </row>
    <row r="379" spans="1:39" ht="21" customHeight="1" x14ac:dyDescent="0.15">
      <c r="A379" s="42" t="str">
        <f t="shared" si="16"/>
        <v>13301_3</v>
      </c>
      <c r="B379" s="23">
        <v>3</v>
      </c>
      <c r="C379" s="276">
        <v>13301</v>
      </c>
      <c r="D379" s="47" t="str">
        <f ca="1">VLOOKUP($C379,OFFSET(quests!$A$1,0,0,COUNTA(quests!$A:$A),MATCH(D$1,quests!$1:$1,0)-MATCH($C$2,quests!$1:$1,0)+1),MATCH(D$1,quests!$1:$1,0)-MATCH($C$2,quests!$1:$1,0)+1,FALSE)</f>
        <v>タワーオブザクイーン -アヴァルシア-</v>
      </c>
      <c r="E379" s="48" t="str">
        <f ca="1">VLOOKUP($C379,OFFSET(quests!$A$1,0,0,COUNTA(quests!$A:$A),MATCH(E$2,quests!$1:$1,0)-MATCH($C$2,quests!$1:$1,0)+1),MATCH(E$2,quests!$1:$1,0)-MATCH($C$2,quests!$1:$1,0)+1,FALSE)</f>
        <v>タワーオブザクイーン1本目</v>
      </c>
      <c r="F379" s="7">
        <v>3</v>
      </c>
      <c r="G379" s="7" t="s">
        <v>382</v>
      </c>
      <c r="H379" s="12" t="s">
        <v>1770</v>
      </c>
      <c r="I379" s="12" t="s">
        <v>1738</v>
      </c>
      <c r="J379" s="12">
        <v>335</v>
      </c>
      <c r="K379" s="188">
        <v>19</v>
      </c>
      <c r="L379" s="189">
        <v>1140</v>
      </c>
      <c r="M379" s="167">
        <v>1</v>
      </c>
      <c r="N379" s="167">
        <v>1</v>
      </c>
      <c r="O379" s="167">
        <v>1</v>
      </c>
      <c r="P379" s="167">
        <v>1</v>
      </c>
      <c r="Q379" s="167">
        <v>1</v>
      </c>
      <c r="R379" s="167">
        <v>3</v>
      </c>
      <c r="S379" s="167" t="s">
        <v>274</v>
      </c>
      <c r="T379" s="191" t="s">
        <v>1837</v>
      </c>
      <c r="U379" s="7">
        <v>13301</v>
      </c>
      <c r="V379" s="7">
        <v>2</v>
      </c>
      <c r="W379" s="47" t="str">
        <f t="shared" ca="1" si="15"/>
        <v>2階 コスト制限なし</v>
      </c>
      <c r="X379" s="47">
        <f ca="1">VLOOKUP($C379,OFFSET(quests!$A$1,0,0,COUNTA(quests!$A:$A),MATCH(X$2,quests!$1:$1,0)-MATCH($C$2,quests!$1:$1,0)+1),MATCH(X$2,quests!$1:$1,0)-MATCH($C$2,quests!$1:$1,0)+1,FALSE)</f>
        <v>0</v>
      </c>
      <c r="Y379" s="47">
        <f ca="1">VLOOKUP($C379,OFFSET(quests!$A$1,0,0,COUNTA(quests!$A:$A),MATCH(Y$2,quests!$1:$1,0)-MATCH($C$2,quests!$1:$1,0)+1),MATCH(Y$2,quests!$1:$1,0)-MATCH($C$2,quests!$1:$1,0)+1,FALSE)</f>
        <v>0</v>
      </c>
      <c r="Z379" s="47">
        <f ca="1">VLOOKUP($C379,OFFSET(quests!$A$1,0,0,COUNTA(quests!$A:$A),MATCH(Z$2,quests!$1:$1,0)-MATCH($C$2,quests!$1:$1,0)+1),MATCH(Z$2,quests!$1:$1,0)-MATCH($C$2,quests!$1:$1,0)+1,FALSE)</f>
        <v>0</v>
      </c>
      <c r="AA379" s="47">
        <f ca="1">VLOOKUP($C379,OFFSET(quests!$A$1,0,0,COUNTA(quests!$A:$A),MATCH(AA$2,quests!$1:$1,0)-MATCH($C$2,quests!$1:$1,0)+1),MATCH(AA$2,quests!$1:$1,0)-MATCH($C$2,quests!$1:$1,0)+1,FALSE)</f>
        <v>0</v>
      </c>
      <c r="AB379" s="7" t="s">
        <v>56</v>
      </c>
      <c r="AC379" s="167">
        <v>965</v>
      </c>
      <c r="AD379" s="7">
        <v>6</v>
      </c>
      <c r="AE379" s="7" t="s">
        <v>522</v>
      </c>
      <c r="AF379" s="167">
        <v>13</v>
      </c>
      <c r="AG379" s="167">
        <v>0</v>
      </c>
      <c r="AH379" s="167">
        <v>0</v>
      </c>
      <c r="AI379" s="7">
        <v>0</v>
      </c>
      <c r="AJ379" s="7">
        <v>-1</v>
      </c>
      <c r="AK379" s="7" t="s">
        <v>1064</v>
      </c>
      <c r="AL379" s="12" t="s">
        <v>1508</v>
      </c>
      <c r="AM379" s="12" t="s">
        <v>2072</v>
      </c>
    </row>
    <row r="380" spans="1:39" ht="21" customHeight="1" x14ac:dyDescent="0.15">
      <c r="A380" s="42" t="str">
        <f t="shared" si="16"/>
        <v>13301_4</v>
      </c>
      <c r="B380" s="23">
        <v>3</v>
      </c>
      <c r="C380" s="276">
        <v>13301</v>
      </c>
      <c r="D380" s="47" t="str">
        <f ca="1">VLOOKUP($C380,OFFSET(quests!$A$1,0,0,COUNTA(quests!$A:$A),MATCH(D$1,quests!$1:$1,0)-MATCH($C$2,quests!$1:$1,0)+1),MATCH(D$1,quests!$1:$1,0)-MATCH($C$2,quests!$1:$1,0)+1,FALSE)</f>
        <v>タワーオブザクイーン -アヴァルシア-</v>
      </c>
      <c r="E380" s="48" t="str">
        <f ca="1">VLOOKUP($C380,OFFSET(quests!$A$1,0,0,COUNTA(quests!$A:$A),MATCH(E$2,quests!$1:$1,0)-MATCH($C$2,quests!$1:$1,0)+1),MATCH(E$2,quests!$1:$1,0)-MATCH($C$2,quests!$1:$1,0)+1,FALSE)</f>
        <v>タワーオブザクイーン1本目</v>
      </c>
      <c r="F380" s="7">
        <v>4</v>
      </c>
      <c r="G380" s="7" t="s">
        <v>382</v>
      </c>
      <c r="H380" s="12" t="s">
        <v>1771</v>
      </c>
      <c r="I380" s="12" t="s">
        <v>1738</v>
      </c>
      <c r="J380" s="12">
        <v>339</v>
      </c>
      <c r="K380" s="188">
        <v>20</v>
      </c>
      <c r="L380" s="189">
        <v>1300</v>
      </c>
      <c r="M380" s="167">
        <v>1</v>
      </c>
      <c r="N380" s="167">
        <v>1</v>
      </c>
      <c r="O380" s="167">
        <v>1</v>
      </c>
      <c r="P380" s="167">
        <v>1</v>
      </c>
      <c r="Q380" s="167">
        <v>1</v>
      </c>
      <c r="R380" s="167">
        <v>3</v>
      </c>
      <c r="S380" s="167" t="s">
        <v>273</v>
      </c>
      <c r="T380" s="191" t="s">
        <v>1838</v>
      </c>
      <c r="U380" s="7">
        <v>13301</v>
      </c>
      <c r="V380" s="7">
        <v>3</v>
      </c>
      <c r="W380" s="47" t="str">
        <f t="shared" ca="1" si="15"/>
        <v>3階 コスト制限なし</v>
      </c>
      <c r="X380" s="47">
        <f ca="1">VLOOKUP($C380,OFFSET(quests!$A$1,0,0,COUNTA(quests!$A:$A),MATCH(X$2,quests!$1:$1,0)-MATCH($C$2,quests!$1:$1,0)+1),MATCH(X$2,quests!$1:$1,0)-MATCH($C$2,quests!$1:$1,0)+1,FALSE)</f>
        <v>0</v>
      </c>
      <c r="Y380" s="47">
        <f ca="1">VLOOKUP($C380,OFFSET(quests!$A$1,0,0,COUNTA(quests!$A:$A),MATCH(Y$2,quests!$1:$1,0)-MATCH($C$2,quests!$1:$1,0)+1),MATCH(Y$2,quests!$1:$1,0)-MATCH($C$2,quests!$1:$1,0)+1,FALSE)</f>
        <v>0</v>
      </c>
      <c r="Z380" s="47">
        <f ca="1">VLOOKUP($C380,OFFSET(quests!$A$1,0,0,COUNTA(quests!$A:$A),MATCH(Z$2,quests!$1:$1,0)-MATCH($C$2,quests!$1:$1,0)+1),MATCH(Z$2,quests!$1:$1,0)-MATCH($C$2,quests!$1:$1,0)+1,FALSE)</f>
        <v>0</v>
      </c>
      <c r="AA380" s="47">
        <f ca="1">VLOOKUP($C380,OFFSET(quests!$A$1,0,0,COUNTA(quests!$A:$A),MATCH(AA$2,quests!$1:$1,0)-MATCH($C$2,quests!$1:$1,0)+1),MATCH(AA$2,quests!$1:$1,0)-MATCH($C$2,quests!$1:$1,0)+1,FALSE)</f>
        <v>0</v>
      </c>
      <c r="AB380" s="7" t="s">
        <v>56</v>
      </c>
      <c r="AC380" s="167">
        <v>965</v>
      </c>
      <c r="AD380" s="7">
        <v>6</v>
      </c>
      <c r="AE380" s="7" t="s">
        <v>522</v>
      </c>
      <c r="AF380" s="167">
        <v>13</v>
      </c>
      <c r="AG380" s="167">
        <v>0</v>
      </c>
      <c r="AH380" s="167">
        <v>0</v>
      </c>
      <c r="AI380" s="7">
        <v>0</v>
      </c>
      <c r="AJ380" s="7">
        <v>-1</v>
      </c>
      <c r="AK380" s="7" t="s">
        <v>1064</v>
      </c>
      <c r="AL380" s="12" t="s">
        <v>1508</v>
      </c>
      <c r="AM380" s="12" t="s">
        <v>2072</v>
      </c>
    </row>
    <row r="381" spans="1:39" ht="21" customHeight="1" x14ac:dyDescent="0.15">
      <c r="A381" s="42" t="str">
        <f t="shared" si="16"/>
        <v>13301_5</v>
      </c>
      <c r="B381" s="23">
        <v>3</v>
      </c>
      <c r="C381" s="276">
        <v>13301</v>
      </c>
      <c r="D381" s="47" t="str">
        <f ca="1">VLOOKUP($C381,OFFSET(quests!$A$1,0,0,COUNTA(quests!$A:$A),MATCH(D$1,quests!$1:$1,0)-MATCH($C$2,quests!$1:$1,0)+1),MATCH(D$1,quests!$1:$1,0)-MATCH($C$2,quests!$1:$1,0)+1,FALSE)</f>
        <v>タワーオブザクイーン -アヴァルシア-</v>
      </c>
      <c r="E381" s="48" t="str">
        <f ca="1">VLOOKUP($C381,OFFSET(quests!$A$1,0,0,COUNTA(quests!$A:$A),MATCH(E$2,quests!$1:$1,0)-MATCH($C$2,quests!$1:$1,0)+1),MATCH(E$2,quests!$1:$1,0)-MATCH($C$2,quests!$1:$1,0)+1,FALSE)</f>
        <v>タワーオブザクイーン1本目</v>
      </c>
      <c r="F381" s="7">
        <v>5</v>
      </c>
      <c r="G381" s="7" t="s">
        <v>382</v>
      </c>
      <c r="H381" s="12" t="s">
        <v>1772</v>
      </c>
      <c r="I381" s="12" t="s">
        <v>1739</v>
      </c>
      <c r="J381" s="12">
        <v>837</v>
      </c>
      <c r="K381" s="188">
        <v>24</v>
      </c>
      <c r="L381" s="189">
        <v>1680</v>
      </c>
      <c r="M381" s="167">
        <v>1</v>
      </c>
      <c r="N381" s="167">
        <v>1</v>
      </c>
      <c r="O381" s="167">
        <v>1</v>
      </c>
      <c r="P381" s="167">
        <v>1</v>
      </c>
      <c r="Q381" s="167">
        <v>1</v>
      </c>
      <c r="R381" s="167">
        <v>3</v>
      </c>
      <c r="S381" s="167" t="s">
        <v>273</v>
      </c>
      <c r="T381" s="191" t="s">
        <v>1833</v>
      </c>
      <c r="U381" s="7">
        <v>13301</v>
      </c>
      <c r="V381" s="7">
        <v>4</v>
      </c>
      <c r="W381" s="47" t="str">
        <f t="shared" ca="1" si="15"/>
        <v>4階 コスト制限なし</v>
      </c>
      <c r="X381" s="47">
        <f ca="1">VLOOKUP($C381,OFFSET(quests!$A$1,0,0,COUNTA(quests!$A:$A),MATCH(X$2,quests!$1:$1,0)-MATCH($C$2,quests!$1:$1,0)+1),MATCH(X$2,quests!$1:$1,0)-MATCH($C$2,quests!$1:$1,0)+1,FALSE)</f>
        <v>0</v>
      </c>
      <c r="Y381" s="47">
        <f ca="1">VLOOKUP($C381,OFFSET(quests!$A$1,0,0,COUNTA(quests!$A:$A),MATCH(Y$2,quests!$1:$1,0)-MATCH($C$2,quests!$1:$1,0)+1),MATCH(Y$2,quests!$1:$1,0)-MATCH($C$2,quests!$1:$1,0)+1,FALSE)</f>
        <v>0</v>
      </c>
      <c r="Z381" s="47">
        <f ca="1">VLOOKUP($C381,OFFSET(quests!$A$1,0,0,COUNTA(quests!$A:$A),MATCH(Z$2,quests!$1:$1,0)-MATCH($C$2,quests!$1:$1,0)+1),MATCH(Z$2,quests!$1:$1,0)-MATCH($C$2,quests!$1:$1,0)+1,FALSE)</f>
        <v>0</v>
      </c>
      <c r="AA381" s="47">
        <f ca="1">VLOOKUP($C381,OFFSET(quests!$A$1,0,0,COUNTA(quests!$A:$A),MATCH(AA$2,quests!$1:$1,0)-MATCH($C$2,quests!$1:$1,0)+1),MATCH(AA$2,quests!$1:$1,0)-MATCH($C$2,quests!$1:$1,0)+1,FALSE)</f>
        <v>0</v>
      </c>
      <c r="AB381" s="7" t="s">
        <v>56</v>
      </c>
      <c r="AC381" s="167">
        <v>965</v>
      </c>
      <c r="AD381" s="7">
        <v>6</v>
      </c>
      <c r="AE381" s="7" t="s">
        <v>522</v>
      </c>
      <c r="AF381" s="167">
        <v>13</v>
      </c>
      <c r="AG381" s="167">
        <v>0</v>
      </c>
      <c r="AH381" s="167">
        <v>0</v>
      </c>
      <c r="AI381" s="7">
        <v>0</v>
      </c>
      <c r="AJ381" s="7">
        <v>-1</v>
      </c>
      <c r="AK381" s="7" t="s">
        <v>1064</v>
      </c>
      <c r="AL381" s="12" t="s">
        <v>1508</v>
      </c>
      <c r="AM381" s="12" t="s">
        <v>2072</v>
      </c>
    </row>
    <row r="382" spans="1:39" ht="21" customHeight="1" x14ac:dyDescent="0.15">
      <c r="A382" s="42" t="str">
        <f t="shared" si="16"/>
        <v>13301_6</v>
      </c>
      <c r="B382" s="23">
        <v>3</v>
      </c>
      <c r="C382" s="276">
        <v>13301</v>
      </c>
      <c r="D382" s="47" t="str">
        <f ca="1">VLOOKUP($C382,OFFSET(quests!$A$1,0,0,COUNTA(quests!$A:$A),MATCH(D$1,quests!$1:$1,0)-MATCH($C$2,quests!$1:$1,0)+1),MATCH(D$1,quests!$1:$1,0)-MATCH($C$2,quests!$1:$1,0)+1,FALSE)</f>
        <v>タワーオブザクイーン -アヴァルシア-</v>
      </c>
      <c r="E382" s="48" t="str">
        <f ca="1">VLOOKUP($C382,OFFSET(quests!$A$1,0,0,COUNTA(quests!$A:$A),MATCH(E$2,quests!$1:$1,0)-MATCH($C$2,quests!$1:$1,0)+1),MATCH(E$2,quests!$1:$1,0)-MATCH($C$2,quests!$1:$1,0)+1,FALSE)</f>
        <v>タワーオブザクイーン1本目</v>
      </c>
      <c r="F382" s="7">
        <v>6</v>
      </c>
      <c r="G382" s="7" t="s">
        <v>382</v>
      </c>
      <c r="H382" s="12" t="s">
        <v>1773</v>
      </c>
      <c r="I382" s="12" t="s">
        <v>1738</v>
      </c>
      <c r="J382" s="12">
        <v>612</v>
      </c>
      <c r="K382" s="188">
        <v>25</v>
      </c>
      <c r="L382" s="189">
        <v>1875</v>
      </c>
      <c r="M382" s="167">
        <v>1</v>
      </c>
      <c r="N382" s="167">
        <v>1</v>
      </c>
      <c r="O382" s="167">
        <v>1</v>
      </c>
      <c r="P382" s="167">
        <v>1</v>
      </c>
      <c r="Q382" s="167">
        <v>1</v>
      </c>
      <c r="R382" s="167">
        <v>3</v>
      </c>
      <c r="S382" s="167" t="s">
        <v>1713</v>
      </c>
      <c r="T382" s="191" t="s">
        <v>1807</v>
      </c>
      <c r="U382" s="7">
        <v>13301</v>
      </c>
      <c r="V382" s="7">
        <v>5</v>
      </c>
      <c r="W382" s="47" t="str">
        <f t="shared" ca="1" si="15"/>
        <v>5階 コスト30以下限定</v>
      </c>
      <c r="X382" s="47">
        <f ca="1">VLOOKUP($C382,OFFSET(quests!$A$1,0,0,COUNTA(quests!$A:$A),MATCH(X$2,quests!$1:$1,0)-MATCH($C$2,quests!$1:$1,0)+1),MATCH(X$2,quests!$1:$1,0)-MATCH($C$2,quests!$1:$1,0)+1,FALSE)</f>
        <v>0</v>
      </c>
      <c r="Y382" s="47">
        <f ca="1">VLOOKUP($C382,OFFSET(quests!$A$1,0,0,COUNTA(quests!$A:$A),MATCH(Y$2,quests!$1:$1,0)-MATCH($C$2,quests!$1:$1,0)+1),MATCH(Y$2,quests!$1:$1,0)-MATCH($C$2,quests!$1:$1,0)+1,FALSE)</f>
        <v>0</v>
      </c>
      <c r="Z382" s="47">
        <f ca="1">VLOOKUP($C382,OFFSET(quests!$A$1,0,0,COUNTA(quests!$A:$A),MATCH(Z$2,quests!$1:$1,0)-MATCH($C$2,quests!$1:$1,0)+1),MATCH(Z$2,quests!$1:$1,0)-MATCH($C$2,quests!$1:$1,0)+1,FALSE)</f>
        <v>0</v>
      </c>
      <c r="AA382" s="47">
        <f ca="1">VLOOKUP($C382,OFFSET(quests!$A$1,0,0,COUNTA(quests!$A:$A),MATCH(AA$2,quests!$1:$1,0)-MATCH($C$2,quests!$1:$1,0)+1),MATCH(AA$2,quests!$1:$1,0)-MATCH($C$2,quests!$1:$1,0)+1,FALSE)</f>
        <v>0</v>
      </c>
      <c r="AB382" s="7" t="s">
        <v>56</v>
      </c>
      <c r="AC382" s="167">
        <v>965</v>
      </c>
      <c r="AD382" s="7">
        <v>6</v>
      </c>
      <c r="AE382" s="7" t="s">
        <v>522</v>
      </c>
      <c r="AF382" s="167">
        <v>13</v>
      </c>
      <c r="AG382" s="167">
        <v>0</v>
      </c>
      <c r="AH382" s="167">
        <v>0</v>
      </c>
      <c r="AI382" s="7">
        <v>0</v>
      </c>
      <c r="AJ382" s="7">
        <v>-1</v>
      </c>
      <c r="AK382" s="7" t="s">
        <v>1064</v>
      </c>
      <c r="AL382" s="12" t="s">
        <v>1508</v>
      </c>
      <c r="AM382" s="12" t="s">
        <v>2072</v>
      </c>
    </row>
    <row r="383" spans="1:39" ht="21" customHeight="1" x14ac:dyDescent="0.15">
      <c r="A383" s="42" t="str">
        <f t="shared" si="16"/>
        <v>13301_7</v>
      </c>
      <c r="B383" s="23">
        <v>3</v>
      </c>
      <c r="C383" s="276">
        <v>13301</v>
      </c>
      <c r="D383" s="47" t="str">
        <f ca="1">VLOOKUP($C383,OFFSET(quests!$A$1,0,0,COUNTA(quests!$A:$A),MATCH(D$1,quests!$1:$1,0)-MATCH($C$2,quests!$1:$1,0)+1),MATCH(D$1,quests!$1:$1,0)-MATCH($C$2,quests!$1:$1,0)+1,FALSE)</f>
        <v>タワーオブザクイーン -アヴァルシア-</v>
      </c>
      <c r="E383" s="48" t="str">
        <f ca="1">VLOOKUP($C383,OFFSET(quests!$A$1,0,0,COUNTA(quests!$A:$A),MATCH(E$2,quests!$1:$1,0)-MATCH($C$2,quests!$1:$1,0)+1),MATCH(E$2,quests!$1:$1,0)-MATCH($C$2,quests!$1:$1,0)+1,FALSE)</f>
        <v>タワーオブザクイーン1本目</v>
      </c>
      <c r="F383" s="7">
        <v>7</v>
      </c>
      <c r="G383" s="7" t="s">
        <v>382</v>
      </c>
      <c r="H383" s="12" t="s">
        <v>1774</v>
      </c>
      <c r="I383" s="12" t="s">
        <v>1738</v>
      </c>
      <c r="J383" s="12">
        <v>613</v>
      </c>
      <c r="K383" s="188">
        <v>28</v>
      </c>
      <c r="L383" s="189">
        <v>2240</v>
      </c>
      <c r="M383" s="167">
        <v>1</v>
      </c>
      <c r="N383" s="167">
        <v>1</v>
      </c>
      <c r="O383" s="167">
        <v>1</v>
      </c>
      <c r="P383" s="167">
        <v>1</v>
      </c>
      <c r="Q383" s="167">
        <v>1</v>
      </c>
      <c r="R383" s="167">
        <v>3</v>
      </c>
      <c r="S383" s="167" t="s">
        <v>273</v>
      </c>
      <c r="T383" s="191" t="s">
        <v>1808</v>
      </c>
      <c r="U383" s="7">
        <v>13301</v>
      </c>
      <c r="V383" s="7">
        <v>6</v>
      </c>
      <c r="W383" s="47" t="str">
        <f t="shared" ca="1" si="15"/>
        <v>6階 コスト30以下ヒューマン限定</v>
      </c>
      <c r="X383" s="47">
        <f ca="1">VLOOKUP($C383,OFFSET(quests!$A$1,0,0,COUNTA(quests!$A:$A),MATCH(X$2,quests!$1:$1,0)-MATCH($C$2,quests!$1:$1,0)+1),MATCH(X$2,quests!$1:$1,0)-MATCH($C$2,quests!$1:$1,0)+1,FALSE)</f>
        <v>0</v>
      </c>
      <c r="Y383" s="47">
        <f ca="1">VLOOKUP($C383,OFFSET(quests!$A$1,0,0,COUNTA(quests!$A:$A),MATCH(Y$2,quests!$1:$1,0)-MATCH($C$2,quests!$1:$1,0)+1),MATCH(Y$2,quests!$1:$1,0)-MATCH($C$2,quests!$1:$1,0)+1,FALSE)</f>
        <v>0</v>
      </c>
      <c r="Z383" s="47">
        <f ca="1">VLOOKUP($C383,OFFSET(quests!$A$1,0,0,COUNTA(quests!$A:$A),MATCH(Z$2,quests!$1:$1,0)-MATCH($C$2,quests!$1:$1,0)+1),MATCH(Z$2,quests!$1:$1,0)-MATCH($C$2,quests!$1:$1,0)+1,FALSE)</f>
        <v>0</v>
      </c>
      <c r="AA383" s="47">
        <f ca="1">VLOOKUP($C383,OFFSET(quests!$A$1,0,0,COUNTA(quests!$A:$A),MATCH(AA$2,quests!$1:$1,0)-MATCH($C$2,quests!$1:$1,0)+1),MATCH(AA$2,quests!$1:$1,0)-MATCH($C$2,quests!$1:$1,0)+1,FALSE)</f>
        <v>0</v>
      </c>
      <c r="AB383" s="7" t="s">
        <v>56</v>
      </c>
      <c r="AC383" s="167">
        <v>965</v>
      </c>
      <c r="AD383" s="7">
        <v>6</v>
      </c>
      <c r="AE383" s="7" t="s">
        <v>522</v>
      </c>
      <c r="AF383" s="167">
        <v>13</v>
      </c>
      <c r="AG383" s="167">
        <v>0</v>
      </c>
      <c r="AH383" s="167">
        <v>0</v>
      </c>
      <c r="AI383" s="7">
        <v>0</v>
      </c>
      <c r="AJ383" s="7">
        <v>-1</v>
      </c>
      <c r="AK383" s="7" t="s">
        <v>1064</v>
      </c>
      <c r="AL383" s="12" t="s">
        <v>1508</v>
      </c>
      <c r="AM383" s="12" t="s">
        <v>2072</v>
      </c>
    </row>
    <row r="384" spans="1:39" ht="21" customHeight="1" x14ac:dyDescent="0.15">
      <c r="A384" s="42" t="str">
        <f t="shared" si="16"/>
        <v>13301_8</v>
      </c>
      <c r="B384" s="23">
        <v>3</v>
      </c>
      <c r="C384" s="276">
        <v>13301</v>
      </c>
      <c r="D384" s="47" t="str">
        <f ca="1">VLOOKUP($C384,OFFSET(quests!$A$1,0,0,COUNTA(quests!$A:$A),MATCH(D$1,quests!$1:$1,0)-MATCH($C$2,quests!$1:$1,0)+1),MATCH(D$1,quests!$1:$1,0)-MATCH($C$2,quests!$1:$1,0)+1,FALSE)</f>
        <v>タワーオブザクイーン -アヴァルシア-</v>
      </c>
      <c r="E384" s="48" t="str">
        <f ca="1">VLOOKUP($C384,OFFSET(quests!$A$1,0,0,COUNTA(quests!$A:$A),MATCH(E$2,quests!$1:$1,0)-MATCH($C$2,quests!$1:$1,0)+1),MATCH(E$2,quests!$1:$1,0)-MATCH($C$2,quests!$1:$1,0)+1,FALSE)</f>
        <v>タワーオブザクイーン1本目</v>
      </c>
      <c r="F384" s="7">
        <v>8</v>
      </c>
      <c r="G384" s="7" t="s">
        <v>382</v>
      </c>
      <c r="H384" s="12" t="s">
        <v>1775</v>
      </c>
      <c r="I384" s="12" t="s">
        <v>1738</v>
      </c>
      <c r="J384" s="12">
        <v>611</v>
      </c>
      <c r="K384" s="188">
        <v>30</v>
      </c>
      <c r="L384" s="189">
        <v>2550</v>
      </c>
      <c r="M384" s="167">
        <v>1</v>
      </c>
      <c r="N384" s="167">
        <v>1</v>
      </c>
      <c r="O384" s="167">
        <v>1</v>
      </c>
      <c r="P384" s="167">
        <v>1</v>
      </c>
      <c r="Q384" s="167">
        <v>1</v>
      </c>
      <c r="R384" s="167">
        <v>3</v>
      </c>
      <c r="S384" s="167" t="s">
        <v>1713</v>
      </c>
      <c r="T384" s="191" t="s">
        <v>1809</v>
      </c>
      <c r="U384" s="7">
        <v>13301</v>
      </c>
      <c r="V384" s="7">
        <v>7</v>
      </c>
      <c r="W384" s="47" t="str">
        <f t="shared" ca="1" si="15"/>
        <v>7階 コスト制限なし</v>
      </c>
      <c r="X384" s="47">
        <f ca="1">VLOOKUP($C384,OFFSET(quests!$A$1,0,0,COUNTA(quests!$A:$A),MATCH(X$2,quests!$1:$1,0)-MATCH($C$2,quests!$1:$1,0)+1),MATCH(X$2,quests!$1:$1,0)-MATCH($C$2,quests!$1:$1,0)+1,FALSE)</f>
        <v>0</v>
      </c>
      <c r="Y384" s="47">
        <f ca="1">VLOOKUP($C384,OFFSET(quests!$A$1,0,0,COUNTA(quests!$A:$A),MATCH(Y$2,quests!$1:$1,0)-MATCH($C$2,quests!$1:$1,0)+1),MATCH(Y$2,quests!$1:$1,0)-MATCH($C$2,quests!$1:$1,0)+1,FALSE)</f>
        <v>0</v>
      </c>
      <c r="Z384" s="47">
        <f ca="1">VLOOKUP($C384,OFFSET(quests!$A$1,0,0,COUNTA(quests!$A:$A),MATCH(Z$2,quests!$1:$1,0)-MATCH($C$2,quests!$1:$1,0)+1),MATCH(Z$2,quests!$1:$1,0)-MATCH($C$2,quests!$1:$1,0)+1,FALSE)</f>
        <v>0</v>
      </c>
      <c r="AA384" s="47">
        <f ca="1">VLOOKUP($C384,OFFSET(quests!$A$1,0,0,COUNTA(quests!$A:$A),MATCH(AA$2,quests!$1:$1,0)-MATCH($C$2,quests!$1:$1,0)+1),MATCH(AA$2,quests!$1:$1,0)-MATCH($C$2,quests!$1:$1,0)+1,FALSE)</f>
        <v>0</v>
      </c>
      <c r="AB384" s="7" t="s">
        <v>56</v>
      </c>
      <c r="AC384" s="167">
        <v>965</v>
      </c>
      <c r="AD384" s="7">
        <v>6</v>
      </c>
      <c r="AE384" s="7" t="s">
        <v>522</v>
      </c>
      <c r="AF384" s="167">
        <v>13</v>
      </c>
      <c r="AG384" s="167">
        <v>0</v>
      </c>
      <c r="AH384" s="167">
        <v>0</v>
      </c>
      <c r="AI384" s="7">
        <v>0</v>
      </c>
      <c r="AJ384" s="7">
        <v>-1</v>
      </c>
      <c r="AK384" s="7" t="s">
        <v>1064</v>
      </c>
      <c r="AL384" s="12" t="s">
        <v>1508</v>
      </c>
      <c r="AM384" s="12" t="s">
        <v>2072</v>
      </c>
    </row>
    <row r="385" spans="1:39" ht="21" customHeight="1" x14ac:dyDescent="0.15">
      <c r="A385" s="42" t="str">
        <f t="shared" si="16"/>
        <v>13301_9</v>
      </c>
      <c r="B385" s="23">
        <v>3</v>
      </c>
      <c r="C385" s="276">
        <v>13301</v>
      </c>
      <c r="D385" s="47" t="str">
        <f ca="1">VLOOKUP($C385,OFFSET(quests!$A$1,0,0,COUNTA(quests!$A:$A),MATCH(D$1,quests!$1:$1,0)-MATCH($C$2,quests!$1:$1,0)+1),MATCH(D$1,quests!$1:$1,0)-MATCH($C$2,quests!$1:$1,0)+1,FALSE)</f>
        <v>タワーオブザクイーン -アヴァルシア-</v>
      </c>
      <c r="E385" s="48" t="str">
        <f ca="1">VLOOKUP($C385,OFFSET(quests!$A$1,0,0,COUNTA(quests!$A:$A),MATCH(E$2,quests!$1:$1,0)-MATCH($C$2,quests!$1:$1,0)+1),MATCH(E$2,quests!$1:$1,0)-MATCH($C$2,quests!$1:$1,0)+1,FALSE)</f>
        <v>タワーオブザクイーン1本目</v>
      </c>
      <c r="F385" s="7">
        <v>9</v>
      </c>
      <c r="G385" s="7" t="s">
        <v>382</v>
      </c>
      <c r="H385" s="12" t="s">
        <v>1776</v>
      </c>
      <c r="I385" s="12" t="s">
        <v>1739</v>
      </c>
      <c r="J385" s="12">
        <v>837</v>
      </c>
      <c r="K385" s="188">
        <v>31</v>
      </c>
      <c r="L385" s="189">
        <v>2790</v>
      </c>
      <c r="M385" s="167">
        <v>1</v>
      </c>
      <c r="N385" s="167">
        <v>1</v>
      </c>
      <c r="O385" s="167">
        <v>1</v>
      </c>
      <c r="P385" s="167">
        <v>1</v>
      </c>
      <c r="Q385" s="167">
        <v>1</v>
      </c>
      <c r="R385" s="167">
        <v>3</v>
      </c>
      <c r="S385" s="167" t="s">
        <v>1713</v>
      </c>
      <c r="T385" s="191" t="s">
        <v>1806</v>
      </c>
      <c r="U385" s="7">
        <v>13301</v>
      </c>
      <c r="V385" s="7">
        <v>8</v>
      </c>
      <c r="W385" s="47" t="str">
        <f t="shared" ca="1" si="15"/>
        <v>8階 コスト28以下限定</v>
      </c>
      <c r="X385" s="47">
        <f ca="1">VLOOKUP($C385,OFFSET(quests!$A$1,0,0,COUNTA(quests!$A:$A),MATCH(X$2,quests!$1:$1,0)-MATCH($C$2,quests!$1:$1,0)+1),MATCH(X$2,quests!$1:$1,0)-MATCH($C$2,quests!$1:$1,0)+1,FALSE)</f>
        <v>0</v>
      </c>
      <c r="Y385" s="47">
        <f ca="1">VLOOKUP($C385,OFFSET(quests!$A$1,0,0,COUNTA(quests!$A:$A),MATCH(Y$2,quests!$1:$1,0)-MATCH($C$2,quests!$1:$1,0)+1),MATCH(Y$2,quests!$1:$1,0)-MATCH($C$2,quests!$1:$1,0)+1,FALSE)</f>
        <v>0</v>
      </c>
      <c r="Z385" s="47">
        <f ca="1">VLOOKUP($C385,OFFSET(quests!$A$1,0,0,COUNTA(quests!$A:$A),MATCH(Z$2,quests!$1:$1,0)-MATCH($C$2,quests!$1:$1,0)+1),MATCH(Z$2,quests!$1:$1,0)-MATCH($C$2,quests!$1:$1,0)+1,FALSE)</f>
        <v>0</v>
      </c>
      <c r="AA385" s="47">
        <f ca="1">VLOOKUP($C385,OFFSET(quests!$A$1,0,0,COUNTA(quests!$A:$A),MATCH(AA$2,quests!$1:$1,0)-MATCH($C$2,quests!$1:$1,0)+1),MATCH(AA$2,quests!$1:$1,0)-MATCH($C$2,quests!$1:$1,0)+1,FALSE)</f>
        <v>0</v>
      </c>
      <c r="AB385" s="7" t="s">
        <v>56</v>
      </c>
      <c r="AC385" s="167">
        <v>965</v>
      </c>
      <c r="AD385" s="7">
        <v>6</v>
      </c>
      <c r="AE385" s="7" t="s">
        <v>522</v>
      </c>
      <c r="AF385" s="167">
        <v>13</v>
      </c>
      <c r="AG385" s="167">
        <v>0</v>
      </c>
      <c r="AH385" s="167">
        <v>0</v>
      </c>
      <c r="AI385" s="7">
        <v>0</v>
      </c>
      <c r="AJ385" s="7">
        <v>-1</v>
      </c>
      <c r="AK385" s="7" t="s">
        <v>1064</v>
      </c>
      <c r="AL385" s="12" t="s">
        <v>1508</v>
      </c>
      <c r="AM385" s="12" t="s">
        <v>2072</v>
      </c>
    </row>
    <row r="386" spans="1:39" ht="21" customHeight="1" x14ac:dyDescent="0.15">
      <c r="A386" s="42" t="str">
        <f t="shared" si="16"/>
        <v>13301_10</v>
      </c>
      <c r="B386" s="23">
        <v>3</v>
      </c>
      <c r="C386" s="276">
        <v>13301</v>
      </c>
      <c r="D386" s="47" t="str">
        <f ca="1">VLOOKUP($C386,OFFSET(quests!$A$1,0,0,COUNTA(quests!$A:$A),MATCH(D$1,quests!$1:$1,0)-MATCH($C$2,quests!$1:$1,0)+1),MATCH(D$1,quests!$1:$1,0)-MATCH($C$2,quests!$1:$1,0)+1,FALSE)</f>
        <v>タワーオブザクイーン -アヴァルシア-</v>
      </c>
      <c r="E386" s="48" t="str">
        <f ca="1">VLOOKUP($C386,OFFSET(quests!$A$1,0,0,COUNTA(quests!$A:$A),MATCH(E$2,quests!$1:$1,0)-MATCH($C$2,quests!$1:$1,0)+1),MATCH(E$2,quests!$1:$1,0)-MATCH($C$2,quests!$1:$1,0)+1,FALSE)</f>
        <v>タワーオブザクイーン1本目</v>
      </c>
      <c r="F386" s="7">
        <v>10</v>
      </c>
      <c r="G386" s="7" t="s">
        <v>382</v>
      </c>
      <c r="H386" s="12" t="s">
        <v>1777</v>
      </c>
      <c r="I386" s="12" t="s">
        <v>1738</v>
      </c>
      <c r="J386" s="12">
        <v>0</v>
      </c>
      <c r="K386" s="188">
        <v>35</v>
      </c>
      <c r="L386" s="189">
        <v>3325</v>
      </c>
      <c r="M386" s="167">
        <v>1</v>
      </c>
      <c r="N386" s="167">
        <v>1</v>
      </c>
      <c r="O386" s="167">
        <v>1</v>
      </c>
      <c r="P386" s="167">
        <v>1</v>
      </c>
      <c r="Q386" s="167">
        <v>1</v>
      </c>
      <c r="R386" s="167">
        <v>3</v>
      </c>
      <c r="S386" s="167" t="s">
        <v>1811</v>
      </c>
      <c r="T386" s="191" t="s">
        <v>1810</v>
      </c>
      <c r="U386" s="7">
        <v>13301</v>
      </c>
      <c r="V386" s="7">
        <v>9</v>
      </c>
      <c r="W386" s="47" t="str">
        <f t="shared" ca="1" si="15"/>
        <v>9階 コスト28以下ヒューマン限定</v>
      </c>
      <c r="X386" s="47">
        <f ca="1">VLOOKUP($C386,OFFSET(quests!$A$1,0,0,COUNTA(quests!$A:$A),MATCH(X$2,quests!$1:$1,0)-MATCH($C$2,quests!$1:$1,0)+1),MATCH(X$2,quests!$1:$1,0)-MATCH($C$2,quests!$1:$1,0)+1,FALSE)</f>
        <v>0</v>
      </c>
      <c r="Y386" s="47">
        <f ca="1">VLOOKUP($C386,OFFSET(quests!$A$1,0,0,COUNTA(quests!$A:$A),MATCH(Y$2,quests!$1:$1,0)-MATCH($C$2,quests!$1:$1,0)+1),MATCH(Y$2,quests!$1:$1,0)-MATCH($C$2,quests!$1:$1,0)+1,FALSE)</f>
        <v>0</v>
      </c>
      <c r="Z386" s="47">
        <f ca="1">VLOOKUP($C386,OFFSET(quests!$A$1,0,0,COUNTA(quests!$A:$A),MATCH(Z$2,quests!$1:$1,0)-MATCH($C$2,quests!$1:$1,0)+1),MATCH(Z$2,quests!$1:$1,0)-MATCH($C$2,quests!$1:$1,0)+1,FALSE)</f>
        <v>0</v>
      </c>
      <c r="AA386" s="47">
        <f ca="1">VLOOKUP($C386,OFFSET(quests!$A$1,0,0,COUNTA(quests!$A:$A),MATCH(AA$2,quests!$1:$1,0)-MATCH($C$2,quests!$1:$1,0)+1),MATCH(AA$2,quests!$1:$1,0)-MATCH($C$2,quests!$1:$1,0)+1,FALSE)</f>
        <v>0</v>
      </c>
      <c r="AB386" s="7" t="s">
        <v>56</v>
      </c>
      <c r="AC386" s="167">
        <v>965</v>
      </c>
      <c r="AD386" s="7">
        <v>6</v>
      </c>
      <c r="AE386" s="7" t="s">
        <v>522</v>
      </c>
      <c r="AF386" s="167">
        <v>13</v>
      </c>
      <c r="AG386" s="167">
        <v>1330</v>
      </c>
      <c r="AH386" s="167">
        <v>0</v>
      </c>
      <c r="AI386" s="7">
        <v>0</v>
      </c>
      <c r="AJ386" s="7">
        <v>-1</v>
      </c>
      <c r="AK386" s="7" t="s">
        <v>1064</v>
      </c>
      <c r="AL386" s="12" t="s">
        <v>1508</v>
      </c>
      <c r="AM386" s="12" t="s">
        <v>2072</v>
      </c>
    </row>
    <row r="387" spans="1:39" ht="21" customHeight="1" x14ac:dyDescent="0.15">
      <c r="A387" s="42" t="str">
        <f t="shared" si="16"/>
        <v>13301_11</v>
      </c>
      <c r="B387" s="23">
        <v>3</v>
      </c>
      <c r="C387" s="276">
        <v>13301</v>
      </c>
      <c r="D387" s="47" t="str">
        <f ca="1">VLOOKUP($C387,OFFSET(quests!$A$1,0,0,COUNTA(quests!$A:$A),MATCH(D$1,quests!$1:$1,0)-MATCH($C$2,quests!$1:$1,0)+1),MATCH(D$1,quests!$1:$1,0)-MATCH($C$2,quests!$1:$1,0)+1,FALSE)</f>
        <v>タワーオブザクイーン -アヴァルシア-</v>
      </c>
      <c r="E387" s="48" t="str">
        <f ca="1">VLOOKUP($C387,OFFSET(quests!$A$1,0,0,COUNTA(quests!$A:$A),MATCH(E$2,quests!$1:$1,0)-MATCH($C$2,quests!$1:$1,0)+1),MATCH(E$2,quests!$1:$1,0)-MATCH($C$2,quests!$1:$1,0)+1,FALSE)</f>
        <v>タワーオブザクイーン1本目</v>
      </c>
      <c r="F387" s="7">
        <v>11</v>
      </c>
      <c r="G387" s="7" t="s">
        <v>382</v>
      </c>
      <c r="H387" s="12" t="s">
        <v>1778</v>
      </c>
      <c r="I387" s="12" t="s">
        <v>1739</v>
      </c>
      <c r="J387" s="12">
        <v>612</v>
      </c>
      <c r="K387" s="188">
        <v>37</v>
      </c>
      <c r="L387" s="189">
        <v>3700</v>
      </c>
      <c r="M387" s="167">
        <v>1</v>
      </c>
      <c r="N387" s="167">
        <v>1</v>
      </c>
      <c r="O387" s="167">
        <v>1</v>
      </c>
      <c r="P387" s="167">
        <v>1</v>
      </c>
      <c r="Q387" s="167">
        <v>1</v>
      </c>
      <c r="R387" s="167">
        <v>3</v>
      </c>
      <c r="S387" s="167" t="s">
        <v>273</v>
      </c>
      <c r="T387" s="191" t="s">
        <v>1841</v>
      </c>
      <c r="U387" s="7">
        <v>13301</v>
      </c>
      <c r="V387" s="7">
        <v>10</v>
      </c>
      <c r="W387" s="47" t="str">
        <f t="shared" ref="W387:W450" ca="1" si="17">IF(U387="NULL","",VLOOKUP($U387&amp;"_"&amp;$V387,OFFSET($A$1,0,0,COUNTA($A:$A),MATCH(W$2,$2:$2,0)-MATCH($A$2,$2:$2,0)+1),MATCH(W$2,$2:$2,0)-MATCH($A$2,$2:$2,0)+1,FALSE))</f>
        <v>10階 ボナンザ 現る！</v>
      </c>
      <c r="X387" s="47">
        <f ca="1">VLOOKUP($C387,OFFSET(quests!$A$1,0,0,COUNTA(quests!$A:$A),MATCH(X$2,quests!$1:$1,0)-MATCH($C$2,quests!$1:$1,0)+1),MATCH(X$2,quests!$1:$1,0)-MATCH($C$2,quests!$1:$1,0)+1,FALSE)</f>
        <v>0</v>
      </c>
      <c r="Y387" s="47">
        <f ca="1">VLOOKUP($C387,OFFSET(quests!$A$1,0,0,COUNTA(quests!$A:$A),MATCH(Y$2,quests!$1:$1,0)-MATCH($C$2,quests!$1:$1,0)+1),MATCH(Y$2,quests!$1:$1,0)-MATCH($C$2,quests!$1:$1,0)+1,FALSE)</f>
        <v>0</v>
      </c>
      <c r="Z387" s="47">
        <f ca="1">VLOOKUP($C387,OFFSET(quests!$A$1,0,0,COUNTA(quests!$A:$A),MATCH(Z$2,quests!$1:$1,0)-MATCH($C$2,quests!$1:$1,0)+1),MATCH(Z$2,quests!$1:$1,0)-MATCH($C$2,quests!$1:$1,0)+1,FALSE)</f>
        <v>0</v>
      </c>
      <c r="AA387" s="47">
        <f ca="1">VLOOKUP($C387,OFFSET(quests!$A$1,0,0,COUNTA(quests!$A:$A),MATCH(AA$2,quests!$1:$1,0)-MATCH($C$2,quests!$1:$1,0)+1),MATCH(AA$2,quests!$1:$1,0)-MATCH($C$2,quests!$1:$1,0)+1,FALSE)</f>
        <v>0</v>
      </c>
      <c r="AB387" s="7" t="s">
        <v>56</v>
      </c>
      <c r="AC387" s="167">
        <v>965</v>
      </c>
      <c r="AD387" s="7">
        <v>6</v>
      </c>
      <c r="AE387" s="7" t="s">
        <v>522</v>
      </c>
      <c r="AF387" s="167">
        <v>13</v>
      </c>
      <c r="AG387" s="167">
        <v>0</v>
      </c>
      <c r="AH387" s="167">
        <v>0</v>
      </c>
      <c r="AI387" s="7">
        <v>0</v>
      </c>
      <c r="AJ387" s="7">
        <v>-1</v>
      </c>
      <c r="AK387" s="7" t="s">
        <v>1064</v>
      </c>
      <c r="AL387" s="12" t="s">
        <v>1508</v>
      </c>
      <c r="AM387" s="12" t="s">
        <v>2072</v>
      </c>
    </row>
    <row r="388" spans="1:39" ht="21" customHeight="1" x14ac:dyDescent="0.15">
      <c r="A388" s="42" t="str">
        <f t="shared" si="16"/>
        <v>13301_12</v>
      </c>
      <c r="B388" s="23">
        <v>3</v>
      </c>
      <c r="C388" s="276">
        <v>13301</v>
      </c>
      <c r="D388" s="47" t="str">
        <f ca="1">VLOOKUP($C388,OFFSET(quests!$A$1,0,0,COUNTA(quests!$A:$A),MATCH(D$1,quests!$1:$1,0)-MATCH($C$2,quests!$1:$1,0)+1),MATCH(D$1,quests!$1:$1,0)-MATCH($C$2,quests!$1:$1,0)+1,FALSE)</f>
        <v>タワーオブザクイーン -アヴァルシア-</v>
      </c>
      <c r="E388" s="48" t="str">
        <f ca="1">VLOOKUP($C388,OFFSET(quests!$A$1,0,0,COUNTA(quests!$A:$A),MATCH(E$2,quests!$1:$1,0)-MATCH($C$2,quests!$1:$1,0)+1),MATCH(E$2,quests!$1:$1,0)-MATCH($C$2,quests!$1:$1,0)+1,FALSE)</f>
        <v>タワーオブザクイーン1本目</v>
      </c>
      <c r="F388" s="7">
        <v>12</v>
      </c>
      <c r="G388" s="7" t="s">
        <v>382</v>
      </c>
      <c r="H388" s="12" t="s">
        <v>1779</v>
      </c>
      <c r="I388" s="12" t="s">
        <v>1739</v>
      </c>
      <c r="J388" s="12">
        <v>613</v>
      </c>
      <c r="K388" s="188">
        <v>38</v>
      </c>
      <c r="L388" s="189">
        <v>3990</v>
      </c>
      <c r="M388" s="167">
        <v>1</v>
      </c>
      <c r="N388" s="167">
        <v>1</v>
      </c>
      <c r="O388" s="167">
        <v>1</v>
      </c>
      <c r="P388" s="167">
        <v>1</v>
      </c>
      <c r="Q388" s="167">
        <v>1</v>
      </c>
      <c r="R388" s="167">
        <v>3</v>
      </c>
      <c r="S388" s="167" t="s">
        <v>1713</v>
      </c>
      <c r="T388" s="191" t="s">
        <v>1839</v>
      </c>
      <c r="U388" s="7">
        <v>13301</v>
      </c>
      <c r="V388" s="7">
        <v>11</v>
      </c>
      <c r="W388" s="47" t="str">
        <f t="shared" ca="1" si="17"/>
        <v>11階 コスト30以下限定</v>
      </c>
      <c r="X388" s="47">
        <f ca="1">VLOOKUP($C388,OFFSET(quests!$A$1,0,0,COUNTA(quests!$A:$A),MATCH(X$2,quests!$1:$1,0)-MATCH($C$2,quests!$1:$1,0)+1),MATCH(X$2,quests!$1:$1,0)-MATCH($C$2,quests!$1:$1,0)+1,FALSE)</f>
        <v>0</v>
      </c>
      <c r="Y388" s="47">
        <f ca="1">VLOOKUP($C388,OFFSET(quests!$A$1,0,0,COUNTA(quests!$A:$A),MATCH(Y$2,quests!$1:$1,0)-MATCH($C$2,quests!$1:$1,0)+1),MATCH(Y$2,quests!$1:$1,0)-MATCH($C$2,quests!$1:$1,0)+1,FALSE)</f>
        <v>0</v>
      </c>
      <c r="Z388" s="47">
        <f ca="1">VLOOKUP($C388,OFFSET(quests!$A$1,0,0,COUNTA(quests!$A:$A),MATCH(Z$2,quests!$1:$1,0)-MATCH($C$2,quests!$1:$1,0)+1),MATCH(Z$2,quests!$1:$1,0)-MATCH($C$2,quests!$1:$1,0)+1,FALSE)</f>
        <v>0</v>
      </c>
      <c r="AA388" s="47">
        <f ca="1">VLOOKUP($C388,OFFSET(quests!$A$1,0,0,COUNTA(quests!$A:$A),MATCH(AA$2,quests!$1:$1,0)-MATCH($C$2,quests!$1:$1,0)+1),MATCH(AA$2,quests!$1:$1,0)-MATCH($C$2,quests!$1:$1,0)+1,FALSE)</f>
        <v>0</v>
      </c>
      <c r="AB388" s="7" t="s">
        <v>56</v>
      </c>
      <c r="AC388" s="167">
        <v>965</v>
      </c>
      <c r="AD388" s="7">
        <v>6</v>
      </c>
      <c r="AE388" s="7" t="s">
        <v>522</v>
      </c>
      <c r="AF388" s="167">
        <v>13</v>
      </c>
      <c r="AG388" s="167">
        <v>0</v>
      </c>
      <c r="AH388" s="167">
        <v>0</v>
      </c>
      <c r="AI388" s="7">
        <v>0</v>
      </c>
      <c r="AJ388" s="7">
        <v>-1</v>
      </c>
      <c r="AK388" s="7" t="s">
        <v>1064</v>
      </c>
      <c r="AL388" s="12" t="s">
        <v>1508</v>
      </c>
      <c r="AM388" s="12" t="s">
        <v>2072</v>
      </c>
    </row>
    <row r="389" spans="1:39" ht="21" customHeight="1" x14ac:dyDescent="0.15">
      <c r="A389" s="42" t="str">
        <f t="shared" si="16"/>
        <v>13301_13</v>
      </c>
      <c r="B389" s="23">
        <v>3</v>
      </c>
      <c r="C389" s="276">
        <v>13301</v>
      </c>
      <c r="D389" s="47" t="str">
        <f ca="1">VLOOKUP($C389,OFFSET(quests!$A$1,0,0,COUNTA(quests!$A:$A),MATCH(D$1,quests!$1:$1,0)-MATCH($C$2,quests!$1:$1,0)+1),MATCH(D$1,quests!$1:$1,0)-MATCH($C$2,quests!$1:$1,0)+1,FALSE)</f>
        <v>タワーオブザクイーン -アヴァルシア-</v>
      </c>
      <c r="E389" s="48" t="str">
        <f ca="1">VLOOKUP($C389,OFFSET(quests!$A$1,0,0,COUNTA(quests!$A:$A),MATCH(E$2,quests!$1:$1,0)-MATCH($C$2,quests!$1:$1,0)+1),MATCH(E$2,quests!$1:$1,0)-MATCH($C$2,quests!$1:$1,0)+1,FALSE)</f>
        <v>タワーオブザクイーン1本目</v>
      </c>
      <c r="F389" s="7">
        <v>13</v>
      </c>
      <c r="G389" s="7" t="s">
        <v>382</v>
      </c>
      <c r="H389" s="12" t="s">
        <v>1780</v>
      </c>
      <c r="I389" s="12" t="s">
        <v>1738</v>
      </c>
      <c r="J389" s="12">
        <v>611</v>
      </c>
      <c r="K389" s="188">
        <v>39</v>
      </c>
      <c r="L389" s="189">
        <v>4290</v>
      </c>
      <c r="M389" s="167">
        <v>1</v>
      </c>
      <c r="N389" s="167">
        <v>1</v>
      </c>
      <c r="O389" s="167">
        <v>1</v>
      </c>
      <c r="P389" s="167">
        <v>1</v>
      </c>
      <c r="Q389" s="167">
        <v>1</v>
      </c>
      <c r="R389" s="167">
        <v>3</v>
      </c>
      <c r="S389" s="167" t="s">
        <v>274</v>
      </c>
      <c r="T389" s="191" t="s">
        <v>1840</v>
      </c>
      <c r="U389" s="7">
        <v>13301</v>
      </c>
      <c r="V389" s="7">
        <v>12</v>
      </c>
      <c r="W389" s="47" t="str">
        <f t="shared" ca="1" si="17"/>
        <v>12階 コスト30以下ヒューマン限定</v>
      </c>
      <c r="X389" s="47">
        <f ca="1">VLOOKUP($C389,OFFSET(quests!$A$1,0,0,COUNTA(quests!$A:$A),MATCH(X$2,quests!$1:$1,0)-MATCH($C$2,quests!$1:$1,0)+1),MATCH(X$2,quests!$1:$1,0)-MATCH($C$2,quests!$1:$1,0)+1,FALSE)</f>
        <v>0</v>
      </c>
      <c r="Y389" s="47">
        <f ca="1">VLOOKUP($C389,OFFSET(quests!$A$1,0,0,COUNTA(quests!$A:$A),MATCH(Y$2,quests!$1:$1,0)-MATCH($C$2,quests!$1:$1,0)+1),MATCH(Y$2,quests!$1:$1,0)-MATCH($C$2,quests!$1:$1,0)+1,FALSE)</f>
        <v>0</v>
      </c>
      <c r="Z389" s="47">
        <f ca="1">VLOOKUP($C389,OFFSET(quests!$A$1,0,0,COUNTA(quests!$A:$A),MATCH(Z$2,quests!$1:$1,0)-MATCH($C$2,quests!$1:$1,0)+1),MATCH(Z$2,quests!$1:$1,0)-MATCH($C$2,quests!$1:$1,0)+1,FALSE)</f>
        <v>0</v>
      </c>
      <c r="AA389" s="47">
        <f ca="1">VLOOKUP($C389,OFFSET(quests!$A$1,0,0,COUNTA(quests!$A:$A),MATCH(AA$2,quests!$1:$1,0)-MATCH($C$2,quests!$1:$1,0)+1),MATCH(AA$2,quests!$1:$1,0)-MATCH($C$2,quests!$1:$1,0)+1,FALSE)</f>
        <v>0</v>
      </c>
      <c r="AB389" s="7" t="s">
        <v>56</v>
      </c>
      <c r="AC389" s="167">
        <v>965</v>
      </c>
      <c r="AD389" s="7">
        <v>6</v>
      </c>
      <c r="AE389" s="7" t="s">
        <v>522</v>
      </c>
      <c r="AF389" s="167">
        <v>13</v>
      </c>
      <c r="AG389" s="167">
        <v>0</v>
      </c>
      <c r="AH389" s="167">
        <v>0</v>
      </c>
      <c r="AI389" s="7">
        <v>0</v>
      </c>
      <c r="AJ389" s="7">
        <v>-1</v>
      </c>
      <c r="AK389" s="7" t="s">
        <v>1064</v>
      </c>
      <c r="AL389" s="12" t="s">
        <v>1508</v>
      </c>
      <c r="AM389" s="12" t="s">
        <v>2072</v>
      </c>
    </row>
    <row r="390" spans="1:39" ht="21" customHeight="1" x14ac:dyDescent="0.15">
      <c r="A390" s="42" t="str">
        <f t="shared" si="16"/>
        <v>13301_14</v>
      </c>
      <c r="B390" s="23">
        <v>3</v>
      </c>
      <c r="C390" s="276">
        <v>13301</v>
      </c>
      <c r="D390" s="47" t="str">
        <f ca="1">VLOOKUP($C390,OFFSET(quests!$A$1,0,0,COUNTA(quests!$A:$A),MATCH(D$1,quests!$1:$1,0)-MATCH($C$2,quests!$1:$1,0)+1),MATCH(D$1,quests!$1:$1,0)-MATCH($C$2,quests!$1:$1,0)+1,FALSE)</f>
        <v>タワーオブザクイーン -アヴァルシア-</v>
      </c>
      <c r="E390" s="48" t="str">
        <f ca="1">VLOOKUP($C390,OFFSET(quests!$A$1,0,0,COUNTA(quests!$A:$A),MATCH(E$2,quests!$1:$1,0)-MATCH($C$2,quests!$1:$1,0)+1),MATCH(E$2,quests!$1:$1,0)-MATCH($C$2,quests!$1:$1,0)+1,FALSE)</f>
        <v>タワーオブザクイーン1本目</v>
      </c>
      <c r="F390" s="7">
        <v>14</v>
      </c>
      <c r="G390" s="7" t="s">
        <v>382</v>
      </c>
      <c r="H390" s="12" t="s">
        <v>1781</v>
      </c>
      <c r="I390" s="12" t="s">
        <v>1739</v>
      </c>
      <c r="J390" s="12">
        <v>614</v>
      </c>
      <c r="K390" s="188">
        <v>40</v>
      </c>
      <c r="L390" s="189">
        <v>4600</v>
      </c>
      <c r="M390" s="167">
        <v>1</v>
      </c>
      <c r="N390" s="167">
        <v>1</v>
      </c>
      <c r="O390" s="167">
        <v>1</v>
      </c>
      <c r="P390" s="167">
        <v>1</v>
      </c>
      <c r="Q390" s="167">
        <v>1</v>
      </c>
      <c r="R390" s="167">
        <v>3</v>
      </c>
      <c r="S390" s="167" t="s">
        <v>924</v>
      </c>
      <c r="T390" s="191" t="s">
        <v>1842</v>
      </c>
      <c r="U390" s="7">
        <v>13301</v>
      </c>
      <c r="V390" s="7">
        <v>13</v>
      </c>
      <c r="W390" s="47" t="str">
        <f t="shared" ca="1" si="17"/>
        <v>13階 コスト制限なし</v>
      </c>
      <c r="X390" s="47">
        <f ca="1">VLOOKUP($C390,OFFSET(quests!$A$1,0,0,COUNTA(quests!$A:$A),MATCH(X$2,quests!$1:$1,0)-MATCH($C$2,quests!$1:$1,0)+1),MATCH(X$2,quests!$1:$1,0)-MATCH($C$2,quests!$1:$1,0)+1,FALSE)</f>
        <v>0</v>
      </c>
      <c r="Y390" s="47">
        <f ca="1">VLOOKUP($C390,OFFSET(quests!$A$1,0,0,COUNTA(quests!$A:$A),MATCH(Y$2,quests!$1:$1,0)-MATCH($C$2,quests!$1:$1,0)+1),MATCH(Y$2,quests!$1:$1,0)-MATCH($C$2,quests!$1:$1,0)+1,FALSE)</f>
        <v>0</v>
      </c>
      <c r="Z390" s="47">
        <f ca="1">VLOOKUP($C390,OFFSET(quests!$A$1,0,0,COUNTA(quests!$A:$A),MATCH(Z$2,quests!$1:$1,0)-MATCH($C$2,quests!$1:$1,0)+1),MATCH(Z$2,quests!$1:$1,0)-MATCH($C$2,quests!$1:$1,0)+1,FALSE)</f>
        <v>0</v>
      </c>
      <c r="AA390" s="47">
        <f ca="1">VLOOKUP($C390,OFFSET(quests!$A$1,0,0,COUNTA(quests!$A:$A),MATCH(AA$2,quests!$1:$1,0)-MATCH($C$2,quests!$1:$1,0)+1),MATCH(AA$2,quests!$1:$1,0)-MATCH($C$2,quests!$1:$1,0)+1,FALSE)</f>
        <v>0</v>
      </c>
      <c r="AB390" s="7" t="s">
        <v>56</v>
      </c>
      <c r="AC390" s="167">
        <v>965</v>
      </c>
      <c r="AD390" s="7">
        <v>6</v>
      </c>
      <c r="AE390" s="7" t="s">
        <v>522</v>
      </c>
      <c r="AF390" s="167">
        <v>13</v>
      </c>
      <c r="AG390" s="167">
        <v>0</v>
      </c>
      <c r="AH390" s="167">
        <v>0</v>
      </c>
      <c r="AI390" s="7">
        <v>0</v>
      </c>
      <c r="AJ390" s="7">
        <v>-1</v>
      </c>
      <c r="AK390" s="7" t="s">
        <v>1064</v>
      </c>
      <c r="AL390" s="12" t="s">
        <v>1508</v>
      </c>
      <c r="AM390" s="12" t="s">
        <v>2072</v>
      </c>
    </row>
    <row r="391" spans="1:39" ht="21" customHeight="1" x14ac:dyDescent="0.15">
      <c r="A391" s="42" t="str">
        <f t="shared" si="16"/>
        <v>13301_15</v>
      </c>
      <c r="B391" s="23">
        <v>3</v>
      </c>
      <c r="C391" s="276">
        <v>13301</v>
      </c>
      <c r="D391" s="47" t="str">
        <f ca="1">VLOOKUP($C391,OFFSET(quests!$A$1,0,0,COUNTA(quests!$A:$A),MATCH(D$1,quests!$1:$1,0)-MATCH($C$2,quests!$1:$1,0)+1),MATCH(D$1,quests!$1:$1,0)-MATCH($C$2,quests!$1:$1,0)+1,FALSE)</f>
        <v>タワーオブザクイーン -アヴァルシア-</v>
      </c>
      <c r="E391" s="48" t="str">
        <f ca="1">VLOOKUP($C391,OFFSET(quests!$A$1,0,0,COUNTA(quests!$A:$A),MATCH(E$2,quests!$1:$1,0)-MATCH($C$2,quests!$1:$1,0)+1),MATCH(E$2,quests!$1:$1,0)-MATCH($C$2,quests!$1:$1,0)+1,FALSE)</f>
        <v>タワーオブザクイーン1本目</v>
      </c>
      <c r="F391" s="7">
        <v>15</v>
      </c>
      <c r="G391" s="7" t="s">
        <v>382</v>
      </c>
      <c r="H391" s="12" t="s">
        <v>1782</v>
      </c>
      <c r="I391" s="12" t="s">
        <v>1738</v>
      </c>
      <c r="J391" s="12">
        <v>1115</v>
      </c>
      <c r="K391" s="188">
        <v>50</v>
      </c>
      <c r="L391" s="189">
        <v>6250</v>
      </c>
      <c r="M391" s="167">
        <v>1</v>
      </c>
      <c r="N391" s="167">
        <v>1</v>
      </c>
      <c r="O391" s="167">
        <v>1</v>
      </c>
      <c r="P391" s="167">
        <v>1</v>
      </c>
      <c r="Q391" s="167">
        <v>1</v>
      </c>
      <c r="R391" s="167">
        <v>3</v>
      </c>
      <c r="S391" s="167" t="s">
        <v>273</v>
      </c>
      <c r="T391" s="252" t="s">
        <v>1767</v>
      </c>
      <c r="U391" s="7">
        <v>13301</v>
      </c>
      <c r="V391" s="7">
        <v>14</v>
      </c>
      <c r="W391" s="47" t="str">
        <f t="shared" ca="1" si="17"/>
        <v>14階 コスト制限なし</v>
      </c>
      <c r="X391" s="47">
        <f ca="1">VLOOKUP($C391,OFFSET(quests!$A$1,0,0,COUNTA(quests!$A:$A),MATCH(X$2,quests!$1:$1,0)-MATCH($C$2,quests!$1:$1,0)+1),MATCH(X$2,quests!$1:$1,0)-MATCH($C$2,quests!$1:$1,0)+1,FALSE)</f>
        <v>0</v>
      </c>
      <c r="Y391" s="47">
        <f ca="1">VLOOKUP($C391,OFFSET(quests!$A$1,0,0,COUNTA(quests!$A:$A),MATCH(Y$2,quests!$1:$1,0)-MATCH($C$2,quests!$1:$1,0)+1),MATCH(Y$2,quests!$1:$1,0)-MATCH($C$2,quests!$1:$1,0)+1,FALSE)</f>
        <v>0</v>
      </c>
      <c r="Z391" s="47">
        <f ca="1">VLOOKUP($C391,OFFSET(quests!$A$1,0,0,COUNTA(quests!$A:$A),MATCH(Z$2,quests!$1:$1,0)-MATCH($C$2,quests!$1:$1,0)+1),MATCH(Z$2,quests!$1:$1,0)-MATCH($C$2,quests!$1:$1,0)+1,FALSE)</f>
        <v>0</v>
      </c>
      <c r="AA391" s="47">
        <f ca="1">VLOOKUP($C391,OFFSET(quests!$A$1,0,0,COUNTA(quests!$A:$A),MATCH(AA$2,quests!$1:$1,0)-MATCH($C$2,quests!$1:$1,0)+1),MATCH(AA$2,quests!$1:$1,0)-MATCH($C$2,quests!$1:$1,0)+1,FALSE)</f>
        <v>0</v>
      </c>
      <c r="AB391" s="7" t="s">
        <v>56</v>
      </c>
      <c r="AC391" s="167">
        <v>965</v>
      </c>
      <c r="AD391" s="7">
        <v>6</v>
      </c>
      <c r="AE391" s="7" t="s">
        <v>522</v>
      </c>
      <c r="AF391" s="167">
        <v>13</v>
      </c>
      <c r="AG391" s="167">
        <v>1330</v>
      </c>
      <c r="AH391" s="167">
        <v>10</v>
      </c>
      <c r="AI391" s="7">
        <v>0</v>
      </c>
      <c r="AJ391" s="7">
        <v>-1</v>
      </c>
      <c r="AK391" s="7" t="s">
        <v>1064</v>
      </c>
      <c r="AL391" s="12">
        <v>10</v>
      </c>
      <c r="AM391" s="12" t="s">
        <v>2072</v>
      </c>
    </row>
    <row r="392" spans="1:39" ht="21" customHeight="1" x14ac:dyDescent="0.15">
      <c r="A392" s="42" t="str">
        <f t="shared" ref="A392:A420" si="18">C392&amp;"_"&amp;F392</f>
        <v>13302_1</v>
      </c>
      <c r="B392" s="23">
        <v>3</v>
      </c>
      <c r="C392" s="271">
        <v>13302</v>
      </c>
      <c r="D392" s="47" t="str">
        <f ca="1">VLOOKUP($C392,OFFSET(quests!$A$1,0,0,COUNTA(quests!$A:$A),MATCH(D$1,quests!$1:$1,0)-MATCH($C$2,quests!$1:$1,0)+1),MATCH(D$1,quests!$1:$1,0)-MATCH($C$2,quests!$1:$1,0)+1,FALSE)</f>
        <v>タワーオブザクイーン -アヴァルシア-</v>
      </c>
      <c r="E392" s="48" t="str">
        <f ca="1">VLOOKUP($C392,OFFSET(quests!$A$1,0,0,COUNTA(quests!$A:$A),MATCH(E$2,quests!$1:$1,0)-MATCH($C$2,quests!$1:$1,0)+1),MATCH(E$2,quests!$1:$1,0)-MATCH($C$2,quests!$1:$1,0)+1,FALSE)</f>
        <v>タワーオブザクイーン1本目</v>
      </c>
      <c r="F392" s="7">
        <v>1</v>
      </c>
      <c r="G392" s="7" t="s">
        <v>382</v>
      </c>
      <c r="H392" s="12" t="s">
        <v>1883</v>
      </c>
      <c r="I392" s="12" t="s">
        <v>1738</v>
      </c>
      <c r="J392" s="12">
        <v>347</v>
      </c>
      <c r="K392" s="188">
        <v>10</v>
      </c>
      <c r="L392" s="189">
        <v>600</v>
      </c>
      <c r="M392" s="167">
        <v>1</v>
      </c>
      <c r="N392" s="167">
        <v>1</v>
      </c>
      <c r="O392" s="167">
        <v>1</v>
      </c>
      <c r="P392" s="167">
        <v>1</v>
      </c>
      <c r="Q392" s="167">
        <v>1</v>
      </c>
      <c r="R392" s="167">
        <v>3</v>
      </c>
      <c r="S392" s="167" t="s">
        <v>1713</v>
      </c>
      <c r="T392" s="191" t="s">
        <v>1835</v>
      </c>
      <c r="U392" s="7" t="s">
        <v>169</v>
      </c>
      <c r="V392" s="7" t="s">
        <v>169</v>
      </c>
      <c r="W392" s="47" t="str">
        <f t="shared" ca="1" si="17"/>
        <v/>
      </c>
      <c r="X392" s="47">
        <f ca="1">VLOOKUP($C392,OFFSET(quests!$A$1,0,0,COUNTA(quests!$A:$A),MATCH(X$2,quests!$1:$1,0)-MATCH($C$2,quests!$1:$1,0)+1),MATCH(X$2,quests!$1:$1,0)-MATCH($C$2,quests!$1:$1,0)+1,FALSE)</f>
        <v>0</v>
      </c>
      <c r="Y392" s="47">
        <f ca="1">VLOOKUP($C392,OFFSET(quests!$A$1,0,0,COUNTA(quests!$A:$A),MATCH(Y$2,quests!$1:$1,0)-MATCH($C$2,quests!$1:$1,0)+1),MATCH(Y$2,quests!$1:$1,0)-MATCH($C$2,quests!$1:$1,0)+1,FALSE)</f>
        <v>0</v>
      </c>
      <c r="Z392" s="47">
        <f ca="1">VLOOKUP($C392,OFFSET(quests!$A$1,0,0,COUNTA(quests!$A:$A),MATCH(Z$2,quests!$1:$1,0)-MATCH($C$2,quests!$1:$1,0)+1),MATCH(Z$2,quests!$1:$1,0)-MATCH($C$2,quests!$1:$1,0)+1,FALSE)</f>
        <v>0</v>
      </c>
      <c r="AA392" s="47">
        <f ca="1">VLOOKUP($C392,OFFSET(quests!$A$1,0,0,COUNTA(quests!$A:$A),MATCH(AA$2,quests!$1:$1,0)-MATCH($C$2,quests!$1:$1,0)+1),MATCH(AA$2,quests!$1:$1,0)-MATCH($C$2,quests!$1:$1,0)+1,FALSE)</f>
        <v>0</v>
      </c>
      <c r="AB392" s="7" t="s">
        <v>56</v>
      </c>
      <c r="AC392" s="167">
        <v>965</v>
      </c>
      <c r="AD392" s="7">
        <v>6</v>
      </c>
      <c r="AE392" s="7" t="s">
        <v>522</v>
      </c>
      <c r="AF392" s="167">
        <v>13</v>
      </c>
      <c r="AG392" s="167">
        <v>0</v>
      </c>
      <c r="AH392" s="167">
        <v>0</v>
      </c>
      <c r="AI392" s="7">
        <v>0</v>
      </c>
      <c r="AJ392" s="7">
        <v>-1</v>
      </c>
      <c r="AK392" s="7" t="s">
        <v>1064</v>
      </c>
      <c r="AL392" s="12" t="s">
        <v>1272</v>
      </c>
      <c r="AM392" s="12" t="s">
        <v>2072</v>
      </c>
    </row>
    <row r="393" spans="1:39" ht="21" customHeight="1" x14ac:dyDescent="0.15">
      <c r="A393" s="42" t="str">
        <f t="shared" si="18"/>
        <v>13302_2</v>
      </c>
      <c r="B393" s="23">
        <v>3</v>
      </c>
      <c r="C393" s="271">
        <v>13302</v>
      </c>
      <c r="D393" s="47" t="str">
        <f ca="1">VLOOKUP($C393,OFFSET(quests!$A$1,0,0,COUNTA(quests!$A:$A),MATCH(D$1,quests!$1:$1,0)-MATCH($C$2,quests!$1:$1,0)+1),MATCH(D$1,quests!$1:$1,0)-MATCH($C$2,quests!$1:$1,0)+1,FALSE)</f>
        <v>タワーオブザクイーン -アヴァルシア-</v>
      </c>
      <c r="E393" s="48" t="str">
        <f ca="1">VLOOKUP($C393,OFFSET(quests!$A$1,0,0,COUNTA(quests!$A:$A),MATCH(E$2,quests!$1:$1,0)-MATCH($C$2,quests!$1:$1,0)+1),MATCH(E$2,quests!$1:$1,0)-MATCH($C$2,quests!$1:$1,0)+1,FALSE)</f>
        <v>タワーオブザクイーン1本目</v>
      </c>
      <c r="F393" s="7">
        <v>2</v>
      </c>
      <c r="G393" s="7" t="s">
        <v>382</v>
      </c>
      <c r="H393" s="12" t="s">
        <v>1769</v>
      </c>
      <c r="I393" s="12" t="s">
        <v>1739</v>
      </c>
      <c r="J393" s="12">
        <v>343</v>
      </c>
      <c r="K393" s="188">
        <v>11</v>
      </c>
      <c r="L393" s="189">
        <v>860</v>
      </c>
      <c r="M393" s="167">
        <v>1</v>
      </c>
      <c r="N393" s="167">
        <v>1</v>
      </c>
      <c r="O393" s="167">
        <v>1</v>
      </c>
      <c r="P393" s="167">
        <v>1</v>
      </c>
      <c r="Q393" s="167">
        <v>1</v>
      </c>
      <c r="R393" s="167">
        <v>3</v>
      </c>
      <c r="S393" s="167" t="s">
        <v>273</v>
      </c>
      <c r="T393" s="191" t="s">
        <v>1890</v>
      </c>
      <c r="U393" s="7">
        <v>13302</v>
      </c>
      <c r="V393" s="7">
        <v>1</v>
      </c>
      <c r="W393" s="47" t="str">
        <f t="shared" ca="1" si="17"/>
        <v>1階 コスト制限なし</v>
      </c>
      <c r="X393" s="47">
        <f ca="1">VLOOKUP($C393,OFFSET(quests!$A$1,0,0,COUNTA(quests!$A:$A),MATCH(X$2,quests!$1:$1,0)-MATCH($C$2,quests!$1:$1,0)+1),MATCH(X$2,quests!$1:$1,0)-MATCH($C$2,quests!$1:$1,0)+1,FALSE)</f>
        <v>0</v>
      </c>
      <c r="Y393" s="47">
        <f ca="1">VLOOKUP($C393,OFFSET(quests!$A$1,0,0,COUNTA(quests!$A:$A),MATCH(Y$2,quests!$1:$1,0)-MATCH($C$2,quests!$1:$1,0)+1),MATCH(Y$2,quests!$1:$1,0)-MATCH($C$2,quests!$1:$1,0)+1,FALSE)</f>
        <v>0</v>
      </c>
      <c r="Z393" s="47">
        <f ca="1">VLOOKUP($C393,OFFSET(quests!$A$1,0,0,COUNTA(quests!$A:$A),MATCH(Z$2,quests!$1:$1,0)-MATCH($C$2,quests!$1:$1,0)+1),MATCH(Z$2,quests!$1:$1,0)-MATCH($C$2,quests!$1:$1,0)+1,FALSE)</f>
        <v>0</v>
      </c>
      <c r="AA393" s="47">
        <f ca="1">VLOOKUP($C393,OFFSET(quests!$A$1,0,0,COUNTA(quests!$A:$A),MATCH(AA$2,quests!$1:$1,0)-MATCH($C$2,quests!$1:$1,0)+1),MATCH(AA$2,quests!$1:$1,0)-MATCH($C$2,quests!$1:$1,0)+1,FALSE)</f>
        <v>0</v>
      </c>
      <c r="AB393" s="7" t="s">
        <v>56</v>
      </c>
      <c r="AC393" s="167">
        <v>965</v>
      </c>
      <c r="AD393" s="7">
        <v>6</v>
      </c>
      <c r="AE393" s="7" t="s">
        <v>522</v>
      </c>
      <c r="AF393" s="167">
        <v>13</v>
      </c>
      <c r="AG393" s="167">
        <v>0</v>
      </c>
      <c r="AH393" s="167">
        <v>0</v>
      </c>
      <c r="AI393" s="7">
        <v>0</v>
      </c>
      <c r="AJ393" s="7">
        <v>-1</v>
      </c>
      <c r="AK393" s="7" t="s">
        <v>1064</v>
      </c>
      <c r="AL393" s="12" t="s">
        <v>1272</v>
      </c>
      <c r="AM393" s="12" t="s">
        <v>2072</v>
      </c>
    </row>
    <row r="394" spans="1:39" ht="21" customHeight="1" x14ac:dyDescent="0.15">
      <c r="A394" s="42" t="str">
        <f t="shared" si="18"/>
        <v>13302_3</v>
      </c>
      <c r="B394" s="23">
        <v>3</v>
      </c>
      <c r="C394" s="271">
        <v>13302</v>
      </c>
      <c r="D394" s="47" t="str">
        <f ca="1">VLOOKUP($C394,OFFSET(quests!$A$1,0,0,COUNTA(quests!$A:$A),MATCH(D$1,quests!$1:$1,0)-MATCH($C$2,quests!$1:$1,0)+1),MATCH(D$1,quests!$1:$1,0)-MATCH($C$2,quests!$1:$1,0)+1,FALSE)</f>
        <v>タワーオブザクイーン -アヴァルシア-</v>
      </c>
      <c r="E394" s="48" t="str">
        <f ca="1">VLOOKUP($C394,OFFSET(quests!$A$1,0,0,COUNTA(quests!$A:$A),MATCH(E$2,quests!$1:$1,0)-MATCH($C$2,quests!$1:$1,0)+1),MATCH(E$2,quests!$1:$1,0)-MATCH($C$2,quests!$1:$1,0)+1,FALSE)</f>
        <v>タワーオブザクイーン1本目</v>
      </c>
      <c r="F394" s="7">
        <v>3</v>
      </c>
      <c r="G394" s="7" t="s">
        <v>382</v>
      </c>
      <c r="H394" s="12" t="s">
        <v>1770</v>
      </c>
      <c r="I394" s="12" t="s">
        <v>1738</v>
      </c>
      <c r="J394" s="12">
        <v>335</v>
      </c>
      <c r="K394" s="188">
        <v>12</v>
      </c>
      <c r="L394" s="189">
        <v>1140</v>
      </c>
      <c r="M394" s="167">
        <v>1</v>
      </c>
      <c r="N394" s="167">
        <v>1</v>
      </c>
      <c r="O394" s="167">
        <v>1</v>
      </c>
      <c r="P394" s="167">
        <v>1</v>
      </c>
      <c r="Q394" s="167">
        <v>1</v>
      </c>
      <c r="R394" s="167">
        <v>3</v>
      </c>
      <c r="S394" s="167" t="s">
        <v>273</v>
      </c>
      <c r="T394" s="191" t="s">
        <v>1892</v>
      </c>
      <c r="U394" s="7">
        <v>13302</v>
      </c>
      <c r="V394" s="7">
        <v>2</v>
      </c>
      <c r="W394" s="47" t="str">
        <f t="shared" ca="1" si="17"/>
        <v>2階 コスト制限なし</v>
      </c>
      <c r="X394" s="47">
        <f ca="1">VLOOKUP($C394,OFFSET(quests!$A$1,0,0,COUNTA(quests!$A:$A),MATCH(X$2,quests!$1:$1,0)-MATCH($C$2,quests!$1:$1,0)+1),MATCH(X$2,quests!$1:$1,0)-MATCH($C$2,quests!$1:$1,0)+1,FALSE)</f>
        <v>0</v>
      </c>
      <c r="Y394" s="47">
        <f ca="1">VLOOKUP($C394,OFFSET(quests!$A$1,0,0,COUNTA(quests!$A:$A),MATCH(Y$2,quests!$1:$1,0)-MATCH($C$2,quests!$1:$1,0)+1),MATCH(Y$2,quests!$1:$1,0)-MATCH($C$2,quests!$1:$1,0)+1,FALSE)</f>
        <v>0</v>
      </c>
      <c r="Z394" s="47">
        <f ca="1">VLOOKUP($C394,OFFSET(quests!$A$1,0,0,COUNTA(quests!$A:$A),MATCH(Z$2,quests!$1:$1,0)-MATCH($C$2,quests!$1:$1,0)+1),MATCH(Z$2,quests!$1:$1,0)-MATCH($C$2,quests!$1:$1,0)+1,FALSE)</f>
        <v>0</v>
      </c>
      <c r="AA394" s="47">
        <f ca="1">VLOOKUP($C394,OFFSET(quests!$A$1,0,0,COUNTA(quests!$A:$A),MATCH(AA$2,quests!$1:$1,0)-MATCH($C$2,quests!$1:$1,0)+1),MATCH(AA$2,quests!$1:$1,0)-MATCH($C$2,quests!$1:$1,0)+1,FALSE)</f>
        <v>0</v>
      </c>
      <c r="AB394" s="7" t="s">
        <v>56</v>
      </c>
      <c r="AC394" s="167">
        <v>965</v>
      </c>
      <c r="AD394" s="7">
        <v>6</v>
      </c>
      <c r="AE394" s="7" t="s">
        <v>522</v>
      </c>
      <c r="AF394" s="167">
        <v>13</v>
      </c>
      <c r="AG394" s="167">
        <v>0</v>
      </c>
      <c r="AH394" s="167">
        <v>0</v>
      </c>
      <c r="AI394" s="7">
        <v>0</v>
      </c>
      <c r="AJ394" s="7">
        <v>-1</v>
      </c>
      <c r="AK394" s="7" t="s">
        <v>1064</v>
      </c>
      <c r="AL394" s="12" t="s">
        <v>1272</v>
      </c>
      <c r="AM394" s="12" t="s">
        <v>2072</v>
      </c>
    </row>
    <row r="395" spans="1:39" ht="21" customHeight="1" x14ac:dyDescent="0.15">
      <c r="A395" s="42" t="str">
        <f t="shared" si="18"/>
        <v>13302_4</v>
      </c>
      <c r="B395" s="23">
        <v>3</v>
      </c>
      <c r="C395" s="271">
        <v>13302</v>
      </c>
      <c r="D395" s="47" t="str">
        <f ca="1">VLOOKUP($C395,OFFSET(quests!$A$1,0,0,COUNTA(quests!$A:$A),MATCH(D$1,quests!$1:$1,0)-MATCH($C$2,quests!$1:$1,0)+1),MATCH(D$1,quests!$1:$1,0)-MATCH($C$2,quests!$1:$1,0)+1,FALSE)</f>
        <v>タワーオブザクイーン -アヴァルシア-</v>
      </c>
      <c r="E395" s="48" t="str">
        <f ca="1">VLOOKUP($C395,OFFSET(quests!$A$1,0,0,COUNTA(quests!$A:$A),MATCH(E$2,quests!$1:$1,0)-MATCH($C$2,quests!$1:$1,0)+1),MATCH(E$2,quests!$1:$1,0)-MATCH($C$2,quests!$1:$1,0)+1,FALSE)</f>
        <v>タワーオブザクイーン1本目</v>
      </c>
      <c r="F395" s="7">
        <v>4</v>
      </c>
      <c r="G395" s="7" t="s">
        <v>382</v>
      </c>
      <c r="H395" s="12" t="s">
        <v>1771</v>
      </c>
      <c r="I395" s="12" t="s">
        <v>1738</v>
      </c>
      <c r="J395" s="12">
        <v>339</v>
      </c>
      <c r="K395" s="188">
        <v>13</v>
      </c>
      <c r="L395" s="189">
        <v>1440</v>
      </c>
      <c r="M395" s="167">
        <v>1</v>
      </c>
      <c r="N395" s="167">
        <v>1</v>
      </c>
      <c r="O395" s="167">
        <v>1</v>
      </c>
      <c r="P395" s="167">
        <v>1</v>
      </c>
      <c r="Q395" s="167">
        <v>1</v>
      </c>
      <c r="R395" s="167">
        <v>3</v>
      </c>
      <c r="S395" s="167" t="s">
        <v>273</v>
      </c>
      <c r="T395" s="191" t="s">
        <v>1891</v>
      </c>
      <c r="U395" s="7">
        <v>13302</v>
      </c>
      <c r="V395" s="7">
        <v>3</v>
      </c>
      <c r="W395" s="47" t="str">
        <f t="shared" ca="1" si="17"/>
        <v>3階 コスト制限なし</v>
      </c>
      <c r="X395" s="47">
        <f ca="1">VLOOKUP($C395,OFFSET(quests!$A$1,0,0,COUNTA(quests!$A:$A),MATCH(X$2,quests!$1:$1,0)-MATCH($C$2,quests!$1:$1,0)+1),MATCH(X$2,quests!$1:$1,0)-MATCH($C$2,quests!$1:$1,0)+1,FALSE)</f>
        <v>0</v>
      </c>
      <c r="Y395" s="47">
        <f ca="1">VLOOKUP($C395,OFFSET(quests!$A$1,0,0,COUNTA(quests!$A:$A),MATCH(Y$2,quests!$1:$1,0)-MATCH($C$2,quests!$1:$1,0)+1),MATCH(Y$2,quests!$1:$1,0)-MATCH($C$2,quests!$1:$1,0)+1,FALSE)</f>
        <v>0</v>
      </c>
      <c r="Z395" s="47">
        <f ca="1">VLOOKUP($C395,OFFSET(quests!$A$1,0,0,COUNTA(quests!$A:$A),MATCH(Z$2,quests!$1:$1,0)-MATCH($C$2,quests!$1:$1,0)+1),MATCH(Z$2,quests!$1:$1,0)-MATCH($C$2,quests!$1:$1,0)+1,FALSE)</f>
        <v>0</v>
      </c>
      <c r="AA395" s="47">
        <f ca="1">VLOOKUP($C395,OFFSET(quests!$A$1,0,0,COUNTA(quests!$A:$A),MATCH(AA$2,quests!$1:$1,0)-MATCH($C$2,quests!$1:$1,0)+1),MATCH(AA$2,quests!$1:$1,0)-MATCH($C$2,quests!$1:$1,0)+1,FALSE)</f>
        <v>0</v>
      </c>
      <c r="AB395" s="7" t="s">
        <v>56</v>
      </c>
      <c r="AC395" s="167">
        <v>965</v>
      </c>
      <c r="AD395" s="7">
        <v>6</v>
      </c>
      <c r="AE395" s="7" t="s">
        <v>522</v>
      </c>
      <c r="AF395" s="167">
        <v>13</v>
      </c>
      <c r="AG395" s="167">
        <v>0</v>
      </c>
      <c r="AH395" s="167">
        <v>0</v>
      </c>
      <c r="AI395" s="7">
        <v>0</v>
      </c>
      <c r="AJ395" s="7">
        <v>-1</v>
      </c>
      <c r="AK395" s="7" t="s">
        <v>1064</v>
      </c>
      <c r="AL395" s="12" t="s">
        <v>1272</v>
      </c>
      <c r="AM395" s="12" t="s">
        <v>2072</v>
      </c>
    </row>
    <row r="396" spans="1:39" ht="21" customHeight="1" x14ac:dyDescent="0.15">
      <c r="A396" s="42" t="str">
        <f t="shared" si="18"/>
        <v>13302_5</v>
      </c>
      <c r="B396" s="23">
        <v>3</v>
      </c>
      <c r="C396" s="271">
        <v>13302</v>
      </c>
      <c r="D396" s="47" t="str">
        <f ca="1">VLOOKUP($C396,OFFSET(quests!$A$1,0,0,COUNTA(quests!$A:$A),MATCH(D$1,quests!$1:$1,0)-MATCH($C$2,quests!$1:$1,0)+1),MATCH(D$1,quests!$1:$1,0)-MATCH($C$2,quests!$1:$1,0)+1,FALSE)</f>
        <v>タワーオブザクイーン -アヴァルシア-</v>
      </c>
      <c r="E396" s="48" t="str">
        <f ca="1">VLOOKUP($C396,OFFSET(quests!$A$1,0,0,COUNTA(quests!$A:$A),MATCH(E$2,quests!$1:$1,0)-MATCH($C$2,quests!$1:$1,0)+1),MATCH(E$2,quests!$1:$1,0)-MATCH($C$2,quests!$1:$1,0)+1,FALSE)</f>
        <v>タワーオブザクイーン1本目</v>
      </c>
      <c r="F396" s="7">
        <v>5</v>
      </c>
      <c r="G396" s="7" t="s">
        <v>382</v>
      </c>
      <c r="H396" s="12" t="s">
        <v>1772</v>
      </c>
      <c r="I396" s="12" t="s">
        <v>1739</v>
      </c>
      <c r="J396" s="12">
        <v>837</v>
      </c>
      <c r="K396" s="188">
        <v>14</v>
      </c>
      <c r="L396" s="189">
        <v>1760</v>
      </c>
      <c r="M396" s="167">
        <v>1</v>
      </c>
      <c r="N396" s="167">
        <v>1</v>
      </c>
      <c r="O396" s="167">
        <v>1</v>
      </c>
      <c r="P396" s="167">
        <v>1</v>
      </c>
      <c r="Q396" s="167">
        <v>1</v>
      </c>
      <c r="R396" s="167">
        <v>3</v>
      </c>
      <c r="S396" s="167" t="s">
        <v>273</v>
      </c>
      <c r="T396" s="191" t="s">
        <v>1893</v>
      </c>
      <c r="U396" s="7">
        <v>13302</v>
      </c>
      <c r="V396" s="7">
        <v>4</v>
      </c>
      <c r="W396" s="47" t="str">
        <f t="shared" ca="1" si="17"/>
        <v>4階 コスト制限なし</v>
      </c>
      <c r="X396" s="47">
        <f ca="1">VLOOKUP($C396,OFFSET(quests!$A$1,0,0,COUNTA(quests!$A:$A),MATCH(X$2,quests!$1:$1,0)-MATCH($C$2,quests!$1:$1,0)+1),MATCH(X$2,quests!$1:$1,0)-MATCH($C$2,quests!$1:$1,0)+1,FALSE)</f>
        <v>0</v>
      </c>
      <c r="Y396" s="47">
        <f ca="1">VLOOKUP($C396,OFFSET(quests!$A$1,0,0,COUNTA(quests!$A:$A),MATCH(Y$2,quests!$1:$1,0)-MATCH($C$2,quests!$1:$1,0)+1),MATCH(Y$2,quests!$1:$1,0)-MATCH($C$2,quests!$1:$1,0)+1,FALSE)</f>
        <v>0</v>
      </c>
      <c r="Z396" s="47">
        <f ca="1">VLOOKUP($C396,OFFSET(quests!$A$1,0,0,COUNTA(quests!$A:$A),MATCH(Z$2,quests!$1:$1,0)-MATCH($C$2,quests!$1:$1,0)+1),MATCH(Z$2,quests!$1:$1,0)-MATCH($C$2,quests!$1:$1,0)+1,FALSE)</f>
        <v>0</v>
      </c>
      <c r="AA396" s="47">
        <f ca="1">VLOOKUP($C396,OFFSET(quests!$A$1,0,0,COUNTA(quests!$A:$A),MATCH(AA$2,quests!$1:$1,0)-MATCH($C$2,quests!$1:$1,0)+1),MATCH(AA$2,quests!$1:$1,0)-MATCH($C$2,quests!$1:$1,0)+1,FALSE)</f>
        <v>0</v>
      </c>
      <c r="AB396" s="7" t="s">
        <v>56</v>
      </c>
      <c r="AC396" s="167">
        <v>965</v>
      </c>
      <c r="AD396" s="7">
        <v>6</v>
      </c>
      <c r="AE396" s="7" t="s">
        <v>522</v>
      </c>
      <c r="AF396" s="167">
        <v>13</v>
      </c>
      <c r="AG396" s="167">
        <v>0</v>
      </c>
      <c r="AH396" s="167">
        <v>0</v>
      </c>
      <c r="AI396" s="7">
        <v>0</v>
      </c>
      <c r="AJ396" s="7">
        <v>-1</v>
      </c>
      <c r="AK396" s="7" t="s">
        <v>1064</v>
      </c>
      <c r="AL396" s="12" t="s">
        <v>1272</v>
      </c>
      <c r="AM396" s="12" t="s">
        <v>2072</v>
      </c>
    </row>
    <row r="397" spans="1:39" ht="21" customHeight="1" x14ac:dyDescent="0.15">
      <c r="A397" s="42" t="str">
        <f t="shared" si="18"/>
        <v>13302_6</v>
      </c>
      <c r="B397" s="23">
        <v>3</v>
      </c>
      <c r="C397" s="271">
        <v>13302</v>
      </c>
      <c r="D397" s="47" t="str">
        <f ca="1">VLOOKUP($C397,OFFSET(quests!$A$1,0,0,COUNTA(quests!$A:$A),MATCH(D$1,quests!$1:$1,0)-MATCH($C$2,quests!$1:$1,0)+1),MATCH(D$1,quests!$1:$1,0)-MATCH($C$2,quests!$1:$1,0)+1,FALSE)</f>
        <v>タワーオブザクイーン -アヴァルシア-</v>
      </c>
      <c r="E397" s="48" t="str">
        <f ca="1">VLOOKUP($C397,OFFSET(quests!$A$1,0,0,COUNTA(quests!$A:$A),MATCH(E$2,quests!$1:$1,0)-MATCH($C$2,quests!$1:$1,0)+1),MATCH(E$2,quests!$1:$1,0)-MATCH($C$2,quests!$1:$1,0)+1,FALSE)</f>
        <v>タワーオブザクイーン1本目</v>
      </c>
      <c r="F397" s="7">
        <v>6</v>
      </c>
      <c r="G397" s="7" t="s">
        <v>382</v>
      </c>
      <c r="H397" s="12" t="s">
        <v>1773</v>
      </c>
      <c r="I397" s="12" t="s">
        <v>1738</v>
      </c>
      <c r="J397" s="12">
        <v>612</v>
      </c>
      <c r="K397" s="188">
        <v>15</v>
      </c>
      <c r="L397" s="189">
        <v>2100</v>
      </c>
      <c r="M397" s="167">
        <v>1</v>
      </c>
      <c r="N397" s="167">
        <v>1</v>
      </c>
      <c r="O397" s="167">
        <v>1</v>
      </c>
      <c r="P397" s="167">
        <v>1</v>
      </c>
      <c r="Q397" s="167">
        <v>1</v>
      </c>
      <c r="R397" s="167">
        <v>3</v>
      </c>
      <c r="S397" s="167" t="s">
        <v>1713</v>
      </c>
      <c r="T397" s="191" t="s">
        <v>1807</v>
      </c>
      <c r="U397" s="7">
        <v>13302</v>
      </c>
      <c r="V397" s="7">
        <v>5</v>
      </c>
      <c r="W397" s="47" t="str">
        <f t="shared" ca="1" si="17"/>
        <v>5階 コスト30以下限定</v>
      </c>
      <c r="X397" s="47">
        <f ca="1">VLOOKUP($C397,OFFSET(quests!$A$1,0,0,COUNTA(quests!$A:$A),MATCH(X$2,quests!$1:$1,0)-MATCH($C$2,quests!$1:$1,0)+1),MATCH(X$2,quests!$1:$1,0)-MATCH($C$2,quests!$1:$1,0)+1,FALSE)</f>
        <v>0</v>
      </c>
      <c r="Y397" s="47">
        <f ca="1">VLOOKUP($C397,OFFSET(quests!$A$1,0,0,COUNTA(quests!$A:$A),MATCH(Y$2,quests!$1:$1,0)-MATCH($C$2,quests!$1:$1,0)+1),MATCH(Y$2,quests!$1:$1,0)-MATCH($C$2,quests!$1:$1,0)+1,FALSE)</f>
        <v>0</v>
      </c>
      <c r="Z397" s="47">
        <f ca="1">VLOOKUP($C397,OFFSET(quests!$A$1,0,0,COUNTA(quests!$A:$A),MATCH(Z$2,quests!$1:$1,0)-MATCH($C$2,quests!$1:$1,0)+1),MATCH(Z$2,quests!$1:$1,0)-MATCH($C$2,quests!$1:$1,0)+1,FALSE)</f>
        <v>0</v>
      </c>
      <c r="AA397" s="47">
        <f ca="1">VLOOKUP($C397,OFFSET(quests!$A$1,0,0,COUNTA(quests!$A:$A),MATCH(AA$2,quests!$1:$1,0)-MATCH($C$2,quests!$1:$1,0)+1),MATCH(AA$2,quests!$1:$1,0)-MATCH($C$2,quests!$1:$1,0)+1,FALSE)</f>
        <v>0</v>
      </c>
      <c r="AB397" s="7" t="s">
        <v>56</v>
      </c>
      <c r="AC397" s="167">
        <v>965</v>
      </c>
      <c r="AD397" s="7">
        <v>6</v>
      </c>
      <c r="AE397" s="7" t="s">
        <v>522</v>
      </c>
      <c r="AF397" s="167">
        <v>13</v>
      </c>
      <c r="AG397" s="167">
        <v>0</v>
      </c>
      <c r="AH397" s="167">
        <v>0</v>
      </c>
      <c r="AI397" s="7">
        <v>0</v>
      </c>
      <c r="AJ397" s="7">
        <v>-1</v>
      </c>
      <c r="AK397" s="7" t="s">
        <v>1064</v>
      </c>
      <c r="AL397" s="12" t="s">
        <v>1272</v>
      </c>
      <c r="AM397" s="12" t="s">
        <v>2072</v>
      </c>
    </row>
    <row r="398" spans="1:39" ht="21" customHeight="1" x14ac:dyDescent="0.15">
      <c r="A398" s="42" t="str">
        <f t="shared" si="18"/>
        <v>13302_7</v>
      </c>
      <c r="B398" s="23">
        <v>3</v>
      </c>
      <c r="C398" s="271">
        <v>13302</v>
      </c>
      <c r="D398" s="47" t="str">
        <f ca="1">VLOOKUP($C398,OFFSET(quests!$A$1,0,0,COUNTA(quests!$A:$A),MATCH(D$1,quests!$1:$1,0)-MATCH($C$2,quests!$1:$1,0)+1),MATCH(D$1,quests!$1:$1,0)-MATCH($C$2,quests!$1:$1,0)+1,FALSE)</f>
        <v>タワーオブザクイーン -アヴァルシア-</v>
      </c>
      <c r="E398" s="48" t="str">
        <f ca="1">VLOOKUP($C398,OFFSET(quests!$A$1,0,0,COUNTA(quests!$A:$A),MATCH(E$2,quests!$1:$1,0)-MATCH($C$2,quests!$1:$1,0)+1),MATCH(E$2,quests!$1:$1,0)-MATCH($C$2,quests!$1:$1,0)+1,FALSE)</f>
        <v>タワーオブザクイーン1本目</v>
      </c>
      <c r="F398" s="7">
        <v>7</v>
      </c>
      <c r="G398" s="7" t="s">
        <v>382</v>
      </c>
      <c r="H398" s="12" t="s">
        <v>1774</v>
      </c>
      <c r="I398" s="12" t="s">
        <v>1738</v>
      </c>
      <c r="J398" s="12">
        <v>613</v>
      </c>
      <c r="K398" s="188">
        <v>16</v>
      </c>
      <c r="L398" s="189">
        <v>2460</v>
      </c>
      <c r="M398" s="167">
        <v>1</v>
      </c>
      <c r="N398" s="167">
        <v>1</v>
      </c>
      <c r="O398" s="167">
        <v>1</v>
      </c>
      <c r="P398" s="167">
        <v>1</v>
      </c>
      <c r="Q398" s="167">
        <v>1</v>
      </c>
      <c r="R398" s="167">
        <v>3</v>
      </c>
      <c r="S398" s="167" t="s">
        <v>273</v>
      </c>
      <c r="T398" s="191" t="s">
        <v>1808</v>
      </c>
      <c r="U398" s="7">
        <v>13302</v>
      </c>
      <c r="V398" s="7">
        <v>6</v>
      </c>
      <c r="W398" s="47" t="str">
        <f t="shared" ca="1" si="17"/>
        <v>6階 コスト30以下ヒューマン限定</v>
      </c>
      <c r="X398" s="47">
        <f ca="1">VLOOKUP($C398,OFFSET(quests!$A$1,0,0,COUNTA(quests!$A:$A),MATCH(X$2,quests!$1:$1,0)-MATCH($C$2,quests!$1:$1,0)+1),MATCH(X$2,quests!$1:$1,0)-MATCH($C$2,quests!$1:$1,0)+1,FALSE)</f>
        <v>0</v>
      </c>
      <c r="Y398" s="47">
        <f ca="1">VLOOKUP($C398,OFFSET(quests!$A$1,0,0,COUNTA(quests!$A:$A),MATCH(Y$2,quests!$1:$1,0)-MATCH($C$2,quests!$1:$1,0)+1),MATCH(Y$2,quests!$1:$1,0)-MATCH($C$2,quests!$1:$1,0)+1,FALSE)</f>
        <v>0</v>
      </c>
      <c r="Z398" s="47">
        <f ca="1">VLOOKUP($C398,OFFSET(quests!$A$1,0,0,COUNTA(quests!$A:$A),MATCH(Z$2,quests!$1:$1,0)-MATCH($C$2,quests!$1:$1,0)+1),MATCH(Z$2,quests!$1:$1,0)-MATCH($C$2,quests!$1:$1,0)+1,FALSE)</f>
        <v>0</v>
      </c>
      <c r="AA398" s="47">
        <f ca="1">VLOOKUP($C398,OFFSET(quests!$A$1,0,0,COUNTA(quests!$A:$A),MATCH(AA$2,quests!$1:$1,0)-MATCH($C$2,quests!$1:$1,0)+1),MATCH(AA$2,quests!$1:$1,0)-MATCH($C$2,quests!$1:$1,0)+1,FALSE)</f>
        <v>0</v>
      </c>
      <c r="AB398" s="7" t="s">
        <v>56</v>
      </c>
      <c r="AC398" s="167">
        <v>965</v>
      </c>
      <c r="AD398" s="7">
        <v>6</v>
      </c>
      <c r="AE398" s="7" t="s">
        <v>522</v>
      </c>
      <c r="AF398" s="167">
        <v>13</v>
      </c>
      <c r="AG398" s="167">
        <v>0</v>
      </c>
      <c r="AH398" s="167">
        <v>0</v>
      </c>
      <c r="AI398" s="7">
        <v>0</v>
      </c>
      <c r="AJ398" s="7">
        <v>-1</v>
      </c>
      <c r="AK398" s="7" t="s">
        <v>1064</v>
      </c>
      <c r="AL398" s="12" t="s">
        <v>1272</v>
      </c>
      <c r="AM398" s="12" t="s">
        <v>2072</v>
      </c>
    </row>
    <row r="399" spans="1:39" ht="21" customHeight="1" x14ac:dyDescent="0.15">
      <c r="A399" s="42" t="str">
        <f t="shared" si="18"/>
        <v>13302_8</v>
      </c>
      <c r="B399" s="23">
        <v>3</v>
      </c>
      <c r="C399" s="271">
        <v>13302</v>
      </c>
      <c r="D399" s="47" t="str">
        <f ca="1">VLOOKUP($C399,OFFSET(quests!$A$1,0,0,COUNTA(quests!$A:$A),MATCH(D$1,quests!$1:$1,0)-MATCH($C$2,quests!$1:$1,0)+1),MATCH(D$1,quests!$1:$1,0)-MATCH($C$2,quests!$1:$1,0)+1,FALSE)</f>
        <v>タワーオブザクイーン -アヴァルシア-</v>
      </c>
      <c r="E399" s="48" t="str">
        <f ca="1">VLOOKUP($C399,OFFSET(quests!$A$1,0,0,COUNTA(quests!$A:$A),MATCH(E$2,quests!$1:$1,0)-MATCH($C$2,quests!$1:$1,0)+1),MATCH(E$2,quests!$1:$1,0)-MATCH($C$2,quests!$1:$1,0)+1,FALSE)</f>
        <v>タワーオブザクイーン1本目</v>
      </c>
      <c r="F399" s="7">
        <v>8</v>
      </c>
      <c r="G399" s="7" t="s">
        <v>382</v>
      </c>
      <c r="H399" s="12" t="s">
        <v>1775</v>
      </c>
      <c r="I399" s="12" t="s">
        <v>1738</v>
      </c>
      <c r="J399" s="12">
        <v>611</v>
      </c>
      <c r="K399" s="188">
        <v>17</v>
      </c>
      <c r="L399" s="189">
        <v>2840</v>
      </c>
      <c r="M399" s="167">
        <v>1</v>
      </c>
      <c r="N399" s="167">
        <v>1</v>
      </c>
      <c r="O399" s="167">
        <v>1</v>
      </c>
      <c r="P399" s="167">
        <v>1</v>
      </c>
      <c r="Q399" s="167">
        <v>1</v>
      </c>
      <c r="R399" s="167">
        <v>3</v>
      </c>
      <c r="S399" s="167" t="s">
        <v>1713</v>
      </c>
      <c r="T399" s="191" t="s">
        <v>1809</v>
      </c>
      <c r="U399" s="7">
        <v>13302</v>
      </c>
      <c r="V399" s="7">
        <v>7</v>
      </c>
      <c r="W399" s="47" t="str">
        <f t="shared" ca="1" si="17"/>
        <v>7階 コスト制限なし</v>
      </c>
      <c r="X399" s="47">
        <f ca="1">VLOOKUP($C399,OFFSET(quests!$A$1,0,0,COUNTA(quests!$A:$A),MATCH(X$2,quests!$1:$1,0)-MATCH($C$2,quests!$1:$1,0)+1),MATCH(X$2,quests!$1:$1,0)-MATCH($C$2,quests!$1:$1,0)+1,FALSE)</f>
        <v>0</v>
      </c>
      <c r="Y399" s="47">
        <f ca="1">VLOOKUP($C399,OFFSET(quests!$A$1,0,0,COUNTA(quests!$A:$A),MATCH(Y$2,quests!$1:$1,0)-MATCH($C$2,quests!$1:$1,0)+1),MATCH(Y$2,quests!$1:$1,0)-MATCH($C$2,quests!$1:$1,0)+1,FALSE)</f>
        <v>0</v>
      </c>
      <c r="Z399" s="47">
        <f ca="1">VLOOKUP($C399,OFFSET(quests!$A$1,0,0,COUNTA(quests!$A:$A),MATCH(Z$2,quests!$1:$1,0)-MATCH($C$2,quests!$1:$1,0)+1),MATCH(Z$2,quests!$1:$1,0)-MATCH($C$2,quests!$1:$1,0)+1,FALSE)</f>
        <v>0</v>
      </c>
      <c r="AA399" s="47">
        <f ca="1">VLOOKUP($C399,OFFSET(quests!$A$1,0,0,COUNTA(quests!$A:$A),MATCH(AA$2,quests!$1:$1,0)-MATCH($C$2,quests!$1:$1,0)+1),MATCH(AA$2,quests!$1:$1,0)-MATCH($C$2,quests!$1:$1,0)+1,FALSE)</f>
        <v>0</v>
      </c>
      <c r="AB399" s="7" t="s">
        <v>56</v>
      </c>
      <c r="AC399" s="167">
        <v>965</v>
      </c>
      <c r="AD399" s="7">
        <v>6</v>
      </c>
      <c r="AE399" s="7" t="s">
        <v>522</v>
      </c>
      <c r="AF399" s="167">
        <v>13</v>
      </c>
      <c r="AG399" s="167">
        <v>0</v>
      </c>
      <c r="AH399" s="167">
        <v>0</v>
      </c>
      <c r="AI399" s="7">
        <v>0</v>
      </c>
      <c r="AJ399" s="7">
        <v>-1</v>
      </c>
      <c r="AK399" s="7" t="s">
        <v>1064</v>
      </c>
      <c r="AL399" s="12" t="s">
        <v>1272</v>
      </c>
      <c r="AM399" s="12" t="s">
        <v>2072</v>
      </c>
    </row>
    <row r="400" spans="1:39" ht="21" customHeight="1" x14ac:dyDescent="0.15">
      <c r="A400" s="42" t="str">
        <f t="shared" si="18"/>
        <v>13302_9</v>
      </c>
      <c r="B400" s="23">
        <v>3</v>
      </c>
      <c r="C400" s="271">
        <v>13302</v>
      </c>
      <c r="D400" s="47" t="str">
        <f ca="1">VLOOKUP($C400,OFFSET(quests!$A$1,0,0,COUNTA(quests!$A:$A),MATCH(D$1,quests!$1:$1,0)-MATCH($C$2,quests!$1:$1,0)+1),MATCH(D$1,quests!$1:$1,0)-MATCH($C$2,quests!$1:$1,0)+1,FALSE)</f>
        <v>タワーオブザクイーン -アヴァルシア-</v>
      </c>
      <c r="E400" s="48" t="str">
        <f ca="1">VLOOKUP($C400,OFFSET(quests!$A$1,0,0,COUNTA(quests!$A:$A),MATCH(E$2,quests!$1:$1,0)-MATCH($C$2,quests!$1:$1,0)+1),MATCH(E$2,quests!$1:$1,0)-MATCH($C$2,quests!$1:$1,0)+1,FALSE)</f>
        <v>タワーオブザクイーン1本目</v>
      </c>
      <c r="F400" s="7">
        <v>9</v>
      </c>
      <c r="G400" s="7" t="s">
        <v>382</v>
      </c>
      <c r="H400" s="12" t="s">
        <v>1776</v>
      </c>
      <c r="I400" s="12" t="s">
        <v>1739</v>
      </c>
      <c r="J400" s="12">
        <v>837</v>
      </c>
      <c r="K400" s="188">
        <v>18</v>
      </c>
      <c r="L400" s="189">
        <v>3240</v>
      </c>
      <c r="M400" s="167">
        <v>1</v>
      </c>
      <c r="N400" s="167">
        <v>1</v>
      </c>
      <c r="O400" s="167">
        <v>1</v>
      </c>
      <c r="P400" s="167">
        <v>1</v>
      </c>
      <c r="Q400" s="167">
        <v>1</v>
      </c>
      <c r="R400" s="167">
        <v>3</v>
      </c>
      <c r="S400" s="167" t="s">
        <v>1713</v>
      </c>
      <c r="T400" s="191" t="s">
        <v>1894</v>
      </c>
      <c r="U400" s="7">
        <v>13302</v>
      </c>
      <c r="V400" s="7">
        <v>8</v>
      </c>
      <c r="W400" s="47" t="str">
        <f t="shared" ca="1" si="17"/>
        <v>8階 コスト28以下限定</v>
      </c>
      <c r="X400" s="47">
        <f ca="1">VLOOKUP($C400,OFFSET(quests!$A$1,0,0,COUNTA(quests!$A:$A),MATCH(X$2,quests!$1:$1,0)-MATCH($C$2,quests!$1:$1,0)+1),MATCH(X$2,quests!$1:$1,0)-MATCH($C$2,quests!$1:$1,0)+1,FALSE)</f>
        <v>0</v>
      </c>
      <c r="Y400" s="47">
        <f ca="1">VLOOKUP($C400,OFFSET(quests!$A$1,0,0,COUNTA(quests!$A:$A),MATCH(Y$2,quests!$1:$1,0)-MATCH($C$2,quests!$1:$1,0)+1),MATCH(Y$2,quests!$1:$1,0)-MATCH($C$2,quests!$1:$1,0)+1,FALSE)</f>
        <v>0</v>
      </c>
      <c r="Z400" s="47">
        <f ca="1">VLOOKUP($C400,OFFSET(quests!$A$1,0,0,COUNTA(quests!$A:$A),MATCH(Z$2,quests!$1:$1,0)-MATCH($C$2,quests!$1:$1,0)+1),MATCH(Z$2,quests!$1:$1,0)-MATCH($C$2,quests!$1:$1,0)+1,FALSE)</f>
        <v>0</v>
      </c>
      <c r="AA400" s="47">
        <f ca="1">VLOOKUP($C400,OFFSET(quests!$A$1,0,0,COUNTA(quests!$A:$A),MATCH(AA$2,quests!$1:$1,0)-MATCH($C$2,quests!$1:$1,0)+1),MATCH(AA$2,quests!$1:$1,0)-MATCH($C$2,quests!$1:$1,0)+1,FALSE)</f>
        <v>0</v>
      </c>
      <c r="AB400" s="7" t="s">
        <v>56</v>
      </c>
      <c r="AC400" s="167">
        <v>965</v>
      </c>
      <c r="AD400" s="7">
        <v>6</v>
      </c>
      <c r="AE400" s="7" t="s">
        <v>522</v>
      </c>
      <c r="AF400" s="167">
        <v>13</v>
      </c>
      <c r="AG400" s="167">
        <v>0</v>
      </c>
      <c r="AH400" s="167">
        <v>0</v>
      </c>
      <c r="AI400" s="7">
        <v>0</v>
      </c>
      <c r="AJ400" s="7">
        <v>-1</v>
      </c>
      <c r="AK400" s="7" t="s">
        <v>1064</v>
      </c>
      <c r="AL400" s="12" t="s">
        <v>1272</v>
      </c>
      <c r="AM400" s="12" t="s">
        <v>2072</v>
      </c>
    </row>
    <row r="401" spans="1:39" ht="21" customHeight="1" x14ac:dyDescent="0.15">
      <c r="A401" s="42" t="str">
        <f t="shared" si="18"/>
        <v>13302_10</v>
      </c>
      <c r="B401" s="23">
        <v>3</v>
      </c>
      <c r="C401" s="271">
        <v>13302</v>
      </c>
      <c r="D401" s="47" t="str">
        <f ca="1">VLOOKUP($C401,OFFSET(quests!$A$1,0,0,COUNTA(quests!$A:$A),MATCH(D$1,quests!$1:$1,0)-MATCH($C$2,quests!$1:$1,0)+1),MATCH(D$1,quests!$1:$1,0)-MATCH($C$2,quests!$1:$1,0)+1,FALSE)</f>
        <v>タワーオブザクイーン -アヴァルシア-</v>
      </c>
      <c r="E401" s="48" t="str">
        <f ca="1">VLOOKUP($C401,OFFSET(quests!$A$1,0,0,COUNTA(quests!$A:$A),MATCH(E$2,quests!$1:$1,0)-MATCH($C$2,quests!$1:$1,0)+1),MATCH(E$2,quests!$1:$1,0)-MATCH($C$2,quests!$1:$1,0)+1,FALSE)</f>
        <v>タワーオブザクイーン1本目</v>
      </c>
      <c r="F401" s="7">
        <v>10</v>
      </c>
      <c r="G401" s="7" t="s">
        <v>382</v>
      </c>
      <c r="H401" s="12" t="s">
        <v>1777</v>
      </c>
      <c r="I401" s="12" t="s">
        <v>1738</v>
      </c>
      <c r="J401" s="12">
        <v>0</v>
      </c>
      <c r="K401" s="188">
        <v>19</v>
      </c>
      <c r="L401" s="189">
        <v>3660</v>
      </c>
      <c r="M401" s="167">
        <v>1</v>
      </c>
      <c r="N401" s="167">
        <v>1</v>
      </c>
      <c r="O401" s="167">
        <v>1</v>
      </c>
      <c r="P401" s="167">
        <v>1</v>
      </c>
      <c r="Q401" s="167">
        <v>1</v>
      </c>
      <c r="R401" s="167">
        <v>3</v>
      </c>
      <c r="S401" s="167" t="s">
        <v>278</v>
      </c>
      <c r="T401" s="191" t="s">
        <v>1895</v>
      </c>
      <c r="U401" s="7">
        <v>13302</v>
      </c>
      <c r="V401" s="7">
        <v>9</v>
      </c>
      <c r="W401" s="47" t="str">
        <f t="shared" ca="1" si="17"/>
        <v>9階 コスト28以下ヒューマン限定</v>
      </c>
      <c r="X401" s="47">
        <f ca="1">VLOOKUP($C401,OFFSET(quests!$A$1,0,0,COUNTA(quests!$A:$A),MATCH(X$2,quests!$1:$1,0)-MATCH($C$2,quests!$1:$1,0)+1),MATCH(X$2,quests!$1:$1,0)-MATCH($C$2,quests!$1:$1,0)+1,FALSE)</f>
        <v>0</v>
      </c>
      <c r="Y401" s="47">
        <f ca="1">VLOOKUP($C401,OFFSET(quests!$A$1,0,0,COUNTA(quests!$A:$A),MATCH(Y$2,quests!$1:$1,0)-MATCH($C$2,quests!$1:$1,0)+1),MATCH(Y$2,quests!$1:$1,0)-MATCH($C$2,quests!$1:$1,0)+1,FALSE)</f>
        <v>0</v>
      </c>
      <c r="Z401" s="47">
        <f ca="1">VLOOKUP($C401,OFFSET(quests!$A$1,0,0,COUNTA(quests!$A:$A),MATCH(Z$2,quests!$1:$1,0)-MATCH($C$2,quests!$1:$1,0)+1),MATCH(Z$2,quests!$1:$1,0)-MATCH($C$2,quests!$1:$1,0)+1,FALSE)</f>
        <v>0</v>
      </c>
      <c r="AA401" s="47">
        <f ca="1">VLOOKUP($C401,OFFSET(quests!$A$1,0,0,COUNTA(quests!$A:$A),MATCH(AA$2,quests!$1:$1,0)-MATCH($C$2,quests!$1:$1,0)+1),MATCH(AA$2,quests!$1:$1,0)-MATCH($C$2,quests!$1:$1,0)+1,FALSE)</f>
        <v>0</v>
      </c>
      <c r="AB401" s="7" t="s">
        <v>56</v>
      </c>
      <c r="AC401" s="167">
        <v>965</v>
      </c>
      <c r="AD401" s="7">
        <v>6</v>
      </c>
      <c r="AE401" s="7" t="s">
        <v>522</v>
      </c>
      <c r="AF401" s="167">
        <v>13</v>
      </c>
      <c r="AG401" s="167">
        <v>1330</v>
      </c>
      <c r="AH401" s="167">
        <v>0</v>
      </c>
      <c r="AI401" s="7">
        <v>0</v>
      </c>
      <c r="AJ401" s="7">
        <v>-1</v>
      </c>
      <c r="AK401" s="7" t="s">
        <v>1064</v>
      </c>
      <c r="AL401" s="12" t="s">
        <v>1272</v>
      </c>
      <c r="AM401" s="12" t="s">
        <v>2072</v>
      </c>
    </row>
    <row r="402" spans="1:39" ht="21" customHeight="1" x14ac:dyDescent="0.15">
      <c r="A402" s="42" t="str">
        <f t="shared" si="18"/>
        <v>13302_11</v>
      </c>
      <c r="B402" s="23">
        <v>3</v>
      </c>
      <c r="C402" s="271">
        <v>13302</v>
      </c>
      <c r="D402" s="47" t="str">
        <f ca="1">VLOOKUP($C402,OFFSET(quests!$A$1,0,0,COUNTA(quests!$A:$A),MATCH(D$1,quests!$1:$1,0)-MATCH($C$2,quests!$1:$1,0)+1),MATCH(D$1,quests!$1:$1,0)-MATCH($C$2,quests!$1:$1,0)+1,FALSE)</f>
        <v>タワーオブザクイーン -アヴァルシア-</v>
      </c>
      <c r="E402" s="48" t="str">
        <f ca="1">VLOOKUP($C402,OFFSET(quests!$A$1,0,0,COUNTA(quests!$A:$A),MATCH(E$2,quests!$1:$1,0)-MATCH($C$2,quests!$1:$1,0)+1),MATCH(E$2,quests!$1:$1,0)-MATCH($C$2,quests!$1:$1,0)+1,FALSE)</f>
        <v>タワーオブザクイーン1本目</v>
      </c>
      <c r="F402" s="7">
        <v>11</v>
      </c>
      <c r="G402" s="7" t="s">
        <v>382</v>
      </c>
      <c r="H402" s="12" t="s">
        <v>1778</v>
      </c>
      <c r="I402" s="12" t="s">
        <v>1739</v>
      </c>
      <c r="J402" s="12">
        <v>612</v>
      </c>
      <c r="K402" s="188">
        <v>20</v>
      </c>
      <c r="L402" s="189">
        <v>4100</v>
      </c>
      <c r="M402" s="167">
        <v>1</v>
      </c>
      <c r="N402" s="167">
        <v>1</v>
      </c>
      <c r="O402" s="167">
        <v>1</v>
      </c>
      <c r="P402" s="167">
        <v>1</v>
      </c>
      <c r="Q402" s="167">
        <v>1</v>
      </c>
      <c r="R402" s="167">
        <v>3</v>
      </c>
      <c r="S402" s="167" t="s">
        <v>273</v>
      </c>
      <c r="T402" s="191" t="s">
        <v>1841</v>
      </c>
      <c r="U402" s="7">
        <v>13302</v>
      </c>
      <c r="V402" s="7">
        <v>10</v>
      </c>
      <c r="W402" s="47" t="str">
        <f t="shared" ca="1" si="17"/>
        <v>10階 ボナンザ 現る！</v>
      </c>
      <c r="X402" s="47">
        <f ca="1">VLOOKUP($C402,OFFSET(quests!$A$1,0,0,COUNTA(quests!$A:$A),MATCH(X$2,quests!$1:$1,0)-MATCH($C$2,quests!$1:$1,0)+1),MATCH(X$2,quests!$1:$1,0)-MATCH($C$2,quests!$1:$1,0)+1,FALSE)</f>
        <v>0</v>
      </c>
      <c r="Y402" s="47">
        <f ca="1">VLOOKUP($C402,OFFSET(quests!$A$1,0,0,COUNTA(quests!$A:$A),MATCH(Y$2,quests!$1:$1,0)-MATCH($C$2,quests!$1:$1,0)+1),MATCH(Y$2,quests!$1:$1,0)-MATCH($C$2,quests!$1:$1,0)+1,FALSE)</f>
        <v>0</v>
      </c>
      <c r="Z402" s="47">
        <f ca="1">VLOOKUP($C402,OFFSET(quests!$A$1,0,0,COUNTA(quests!$A:$A),MATCH(Z$2,quests!$1:$1,0)-MATCH($C$2,quests!$1:$1,0)+1),MATCH(Z$2,quests!$1:$1,0)-MATCH($C$2,quests!$1:$1,0)+1,FALSE)</f>
        <v>0</v>
      </c>
      <c r="AA402" s="47">
        <f ca="1">VLOOKUP($C402,OFFSET(quests!$A$1,0,0,COUNTA(quests!$A:$A),MATCH(AA$2,quests!$1:$1,0)-MATCH($C$2,quests!$1:$1,0)+1),MATCH(AA$2,quests!$1:$1,0)-MATCH($C$2,quests!$1:$1,0)+1,FALSE)</f>
        <v>0</v>
      </c>
      <c r="AB402" s="7" t="s">
        <v>56</v>
      </c>
      <c r="AC402" s="167">
        <v>965</v>
      </c>
      <c r="AD402" s="7">
        <v>6</v>
      </c>
      <c r="AE402" s="7" t="s">
        <v>522</v>
      </c>
      <c r="AF402" s="167">
        <v>13</v>
      </c>
      <c r="AG402" s="167">
        <v>0</v>
      </c>
      <c r="AH402" s="167">
        <v>0</v>
      </c>
      <c r="AI402" s="7">
        <v>0</v>
      </c>
      <c r="AJ402" s="7">
        <v>-1</v>
      </c>
      <c r="AK402" s="7" t="s">
        <v>1064</v>
      </c>
      <c r="AL402" s="12" t="s">
        <v>1272</v>
      </c>
      <c r="AM402" s="12" t="s">
        <v>2072</v>
      </c>
    </row>
    <row r="403" spans="1:39" ht="21" customHeight="1" x14ac:dyDescent="0.15">
      <c r="A403" s="42" t="str">
        <f t="shared" si="18"/>
        <v>13302_12</v>
      </c>
      <c r="B403" s="23">
        <v>3</v>
      </c>
      <c r="C403" s="271">
        <v>13302</v>
      </c>
      <c r="D403" s="47" t="str">
        <f ca="1">VLOOKUP($C403,OFFSET(quests!$A$1,0,0,COUNTA(quests!$A:$A),MATCH(D$1,quests!$1:$1,0)-MATCH($C$2,quests!$1:$1,0)+1),MATCH(D$1,quests!$1:$1,0)-MATCH($C$2,quests!$1:$1,0)+1,FALSE)</f>
        <v>タワーオブザクイーン -アヴァルシア-</v>
      </c>
      <c r="E403" s="48" t="str">
        <f ca="1">VLOOKUP($C403,OFFSET(quests!$A$1,0,0,COUNTA(quests!$A:$A),MATCH(E$2,quests!$1:$1,0)-MATCH($C$2,quests!$1:$1,0)+1),MATCH(E$2,quests!$1:$1,0)-MATCH($C$2,quests!$1:$1,0)+1,FALSE)</f>
        <v>タワーオブザクイーン1本目</v>
      </c>
      <c r="F403" s="7">
        <v>12</v>
      </c>
      <c r="G403" s="7" t="s">
        <v>382</v>
      </c>
      <c r="H403" s="12" t="s">
        <v>1779</v>
      </c>
      <c r="I403" s="12" t="s">
        <v>1739</v>
      </c>
      <c r="J403" s="12">
        <v>613</v>
      </c>
      <c r="K403" s="188">
        <v>21</v>
      </c>
      <c r="L403" s="189">
        <v>4560</v>
      </c>
      <c r="M403" s="167">
        <v>1</v>
      </c>
      <c r="N403" s="167">
        <v>1</v>
      </c>
      <c r="O403" s="167">
        <v>1</v>
      </c>
      <c r="P403" s="167">
        <v>1</v>
      </c>
      <c r="Q403" s="167">
        <v>1</v>
      </c>
      <c r="R403" s="167">
        <v>3</v>
      </c>
      <c r="S403" s="167" t="s">
        <v>1713</v>
      </c>
      <c r="T403" s="191" t="s">
        <v>1839</v>
      </c>
      <c r="U403" s="7">
        <v>13302</v>
      </c>
      <c r="V403" s="7">
        <v>11</v>
      </c>
      <c r="W403" s="47" t="str">
        <f t="shared" ca="1" si="17"/>
        <v>11階 コスト30以下限定</v>
      </c>
      <c r="X403" s="47">
        <f ca="1">VLOOKUP($C403,OFFSET(quests!$A$1,0,0,COUNTA(quests!$A:$A),MATCH(X$2,quests!$1:$1,0)-MATCH($C$2,quests!$1:$1,0)+1),MATCH(X$2,quests!$1:$1,0)-MATCH($C$2,quests!$1:$1,0)+1,FALSE)</f>
        <v>0</v>
      </c>
      <c r="Y403" s="47">
        <f ca="1">VLOOKUP($C403,OFFSET(quests!$A$1,0,0,COUNTA(quests!$A:$A),MATCH(Y$2,quests!$1:$1,0)-MATCH($C$2,quests!$1:$1,0)+1),MATCH(Y$2,quests!$1:$1,0)-MATCH($C$2,quests!$1:$1,0)+1,FALSE)</f>
        <v>0</v>
      </c>
      <c r="Z403" s="47">
        <f ca="1">VLOOKUP($C403,OFFSET(quests!$A$1,0,0,COUNTA(quests!$A:$A),MATCH(Z$2,quests!$1:$1,0)-MATCH($C$2,quests!$1:$1,0)+1),MATCH(Z$2,quests!$1:$1,0)-MATCH($C$2,quests!$1:$1,0)+1,FALSE)</f>
        <v>0</v>
      </c>
      <c r="AA403" s="47">
        <f ca="1">VLOOKUP($C403,OFFSET(quests!$A$1,0,0,COUNTA(quests!$A:$A),MATCH(AA$2,quests!$1:$1,0)-MATCH($C$2,quests!$1:$1,0)+1),MATCH(AA$2,quests!$1:$1,0)-MATCH($C$2,quests!$1:$1,0)+1,FALSE)</f>
        <v>0</v>
      </c>
      <c r="AB403" s="7" t="s">
        <v>56</v>
      </c>
      <c r="AC403" s="167">
        <v>965</v>
      </c>
      <c r="AD403" s="7">
        <v>6</v>
      </c>
      <c r="AE403" s="7" t="s">
        <v>522</v>
      </c>
      <c r="AF403" s="167">
        <v>13</v>
      </c>
      <c r="AG403" s="167">
        <v>0</v>
      </c>
      <c r="AH403" s="167">
        <v>0</v>
      </c>
      <c r="AI403" s="7">
        <v>0</v>
      </c>
      <c r="AJ403" s="7">
        <v>-1</v>
      </c>
      <c r="AK403" s="7" t="s">
        <v>1064</v>
      </c>
      <c r="AL403" s="12" t="s">
        <v>1272</v>
      </c>
      <c r="AM403" s="12" t="s">
        <v>2072</v>
      </c>
    </row>
    <row r="404" spans="1:39" ht="21" customHeight="1" x14ac:dyDescent="0.15">
      <c r="A404" s="42" t="str">
        <f t="shared" si="18"/>
        <v>13302_13</v>
      </c>
      <c r="B404" s="23">
        <v>3</v>
      </c>
      <c r="C404" s="271">
        <v>13302</v>
      </c>
      <c r="D404" s="47" t="str">
        <f ca="1">VLOOKUP($C404,OFFSET(quests!$A$1,0,0,COUNTA(quests!$A:$A),MATCH(D$1,quests!$1:$1,0)-MATCH($C$2,quests!$1:$1,0)+1),MATCH(D$1,quests!$1:$1,0)-MATCH($C$2,quests!$1:$1,0)+1,FALSE)</f>
        <v>タワーオブザクイーン -アヴァルシア-</v>
      </c>
      <c r="E404" s="48" t="str">
        <f ca="1">VLOOKUP($C404,OFFSET(quests!$A$1,0,0,COUNTA(quests!$A:$A),MATCH(E$2,quests!$1:$1,0)-MATCH($C$2,quests!$1:$1,0)+1),MATCH(E$2,quests!$1:$1,0)-MATCH($C$2,quests!$1:$1,0)+1,FALSE)</f>
        <v>タワーオブザクイーン1本目</v>
      </c>
      <c r="F404" s="7">
        <v>13</v>
      </c>
      <c r="G404" s="7" t="s">
        <v>382</v>
      </c>
      <c r="H404" s="12" t="s">
        <v>1780</v>
      </c>
      <c r="I404" s="12" t="s">
        <v>1738</v>
      </c>
      <c r="J404" s="12">
        <v>611</v>
      </c>
      <c r="K404" s="188">
        <v>22</v>
      </c>
      <c r="L404" s="189">
        <v>5040</v>
      </c>
      <c r="M404" s="167">
        <v>1</v>
      </c>
      <c r="N404" s="167">
        <v>1</v>
      </c>
      <c r="O404" s="167">
        <v>1</v>
      </c>
      <c r="P404" s="167">
        <v>1</v>
      </c>
      <c r="Q404" s="167">
        <v>1</v>
      </c>
      <c r="R404" s="167">
        <v>3</v>
      </c>
      <c r="S404" s="167" t="s">
        <v>273</v>
      </c>
      <c r="T404" s="191" t="s">
        <v>1840</v>
      </c>
      <c r="U404" s="7">
        <v>13302</v>
      </c>
      <c r="V404" s="7">
        <v>12</v>
      </c>
      <c r="W404" s="47" t="str">
        <f t="shared" ca="1" si="17"/>
        <v>12階 コスト30以下ヒューマン限定</v>
      </c>
      <c r="X404" s="47">
        <f ca="1">VLOOKUP($C404,OFFSET(quests!$A$1,0,0,COUNTA(quests!$A:$A),MATCH(X$2,quests!$1:$1,0)-MATCH($C$2,quests!$1:$1,0)+1),MATCH(X$2,quests!$1:$1,0)-MATCH($C$2,quests!$1:$1,0)+1,FALSE)</f>
        <v>0</v>
      </c>
      <c r="Y404" s="47">
        <f ca="1">VLOOKUP($C404,OFFSET(quests!$A$1,0,0,COUNTA(quests!$A:$A),MATCH(Y$2,quests!$1:$1,0)-MATCH($C$2,quests!$1:$1,0)+1),MATCH(Y$2,quests!$1:$1,0)-MATCH($C$2,quests!$1:$1,0)+1,FALSE)</f>
        <v>0</v>
      </c>
      <c r="Z404" s="47">
        <f ca="1">VLOOKUP($C404,OFFSET(quests!$A$1,0,0,COUNTA(quests!$A:$A),MATCH(Z$2,quests!$1:$1,0)-MATCH($C$2,quests!$1:$1,0)+1),MATCH(Z$2,quests!$1:$1,0)-MATCH($C$2,quests!$1:$1,0)+1,FALSE)</f>
        <v>0</v>
      </c>
      <c r="AA404" s="47">
        <f ca="1">VLOOKUP($C404,OFFSET(quests!$A$1,0,0,COUNTA(quests!$A:$A),MATCH(AA$2,quests!$1:$1,0)-MATCH($C$2,quests!$1:$1,0)+1),MATCH(AA$2,quests!$1:$1,0)-MATCH($C$2,quests!$1:$1,0)+1,FALSE)</f>
        <v>0</v>
      </c>
      <c r="AB404" s="7" t="s">
        <v>56</v>
      </c>
      <c r="AC404" s="167">
        <v>965</v>
      </c>
      <c r="AD404" s="7">
        <v>6</v>
      </c>
      <c r="AE404" s="7" t="s">
        <v>522</v>
      </c>
      <c r="AF404" s="167">
        <v>13</v>
      </c>
      <c r="AG404" s="167">
        <v>0</v>
      </c>
      <c r="AH404" s="167">
        <v>0</v>
      </c>
      <c r="AI404" s="7">
        <v>0</v>
      </c>
      <c r="AJ404" s="7">
        <v>-1</v>
      </c>
      <c r="AK404" s="7" t="s">
        <v>1064</v>
      </c>
      <c r="AL404" s="12" t="s">
        <v>1272</v>
      </c>
      <c r="AM404" s="12" t="s">
        <v>2072</v>
      </c>
    </row>
    <row r="405" spans="1:39" ht="21" customHeight="1" x14ac:dyDescent="0.15">
      <c r="A405" s="42" t="str">
        <f t="shared" si="18"/>
        <v>13302_14</v>
      </c>
      <c r="B405" s="23">
        <v>3</v>
      </c>
      <c r="C405" s="271">
        <v>13302</v>
      </c>
      <c r="D405" s="47" t="str">
        <f ca="1">VLOOKUP($C405,OFFSET(quests!$A$1,0,0,COUNTA(quests!$A:$A),MATCH(D$1,quests!$1:$1,0)-MATCH($C$2,quests!$1:$1,0)+1),MATCH(D$1,quests!$1:$1,0)-MATCH($C$2,quests!$1:$1,0)+1,FALSE)</f>
        <v>タワーオブザクイーン -アヴァルシア-</v>
      </c>
      <c r="E405" s="48" t="str">
        <f ca="1">VLOOKUP($C405,OFFSET(quests!$A$1,0,0,COUNTA(quests!$A:$A),MATCH(E$2,quests!$1:$1,0)-MATCH($C$2,quests!$1:$1,0)+1),MATCH(E$2,quests!$1:$1,0)-MATCH($C$2,quests!$1:$1,0)+1,FALSE)</f>
        <v>タワーオブザクイーン1本目</v>
      </c>
      <c r="F405" s="7">
        <v>14</v>
      </c>
      <c r="G405" s="7" t="s">
        <v>382</v>
      </c>
      <c r="H405" s="12" t="s">
        <v>1781</v>
      </c>
      <c r="I405" s="12" t="s">
        <v>1739</v>
      </c>
      <c r="J405" s="12">
        <v>614</v>
      </c>
      <c r="K405" s="188">
        <v>23</v>
      </c>
      <c r="L405" s="189">
        <v>5540</v>
      </c>
      <c r="M405" s="167">
        <v>1</v>
      </c>
      <c r="N405" s="167">
        <v>1</v>
      </c>
      <c r="O405" s="167">
        <v>1</v>
      </c>
      <c r="P405" s="167">
        <v>1</v>
      </c>
      <c r="Q405" s="167">
        <v>1</v>
      </c>
      <c r="R405" s="167">
        <v>3</v>
      </c>
      <c r="S405" s="167" t="s">
        <v>273</v>
      </c>
      <c r="T405" s="191" t="s">
        <v>1912</v>
      </c>
      <c r="U405" s="7">
        <v>13302</v>
      </c>
      <c r="V405" s="7">
        <v>13</v>
      </c>
      <c r="W405" s="47" t="str">
        <f t="shared" ca="1" si="17"/>
        <v>13階 コスト制限なし</v>
      </c>
      <c r="X405" s="47">
        <f ca="1">VLOOKUP($C405,OFFSET(quests!$A$1,0,0,COUNTA(quests!$A:$A),MATCH(X$2,quests!$1:$1,0)-MATCH($C$2,quests!$1:$1,0)+1),MATCH(X$2,quests!$1:$1,0)-MATCH($C$2,quests!$1:$1,0)+1,FALSE)</f>
        <v>0</v>
      </c>
      <c r="Y405" s="47">
        <f ca="1">VLOOKUP($C405,OFFSET(quests!$A$1,0,0,COUNTA(quests!$A:$A),MATCH(Y$2,quests!$1:$1,0)-MATCH($C$2,quests!$1:$1,0)+1),MATCH(Y$2,quests!$1:$1,0)-MATCH($C$2,quests!$1:$1,0)+1,FALSE)</f>
        <v>0</v>
      </c>
      <c r="Z405" s="47">
        <f ca="1">VLOOKUP($C405,OFFSET(quests!$A$1,0,0,COUNTA(quests!$A:$A),MATCH(Z$2,quests!$1:$1,0)-MATCH($C$2,quests!$1:$1,0)+1),MATCH(Z$2,quests!$1:$1,0)-MATCH($C$2,quests!$1:$1,0)+1,FALSE)</f>
        <v>0</v>
      </c>
      <c r="AA405" s="47">
        <f ca="1">VLOOKUP($C405,OFFSET(quests!$A$1,0,0,COUNTA(quests!$A:$A),MATCH(AA$2,quests!$1:$1,0)-MATCH($C$2,quests!$1:$1,0)+1),MATCH(AA$2,quests!$1:$1,0)-MATCH($C$2,quests!$1:$1,0)+1,FALSE)</f>
        <v>0</v>
      </c>
      <c r="AB405" s="7" t="s">
        <v>56</v>
      </c>
      <c r="AC405" s="167">
        <v>965</v>
      </c>
      <c r="AD405" s="7">
        <v>6</v>
      </c>
      <c r="AE405" s="7" t="s">
        <v>522</v>
      </c>
      <c r="AF405" s="167">
        <v>13</v>
      </c>
      <c r="AG405" s="167">
        <v>0</v>
      </c>
      <c r="AH405" s="167">
        <v>0</v>
      </c>
      <c r="AI405" s="7">
        <v>0</v>
      </c>
      <c r="AJ405" s="7">
        <v>-1</v>
      </c>
      <c r="AK405" s="7" t="s">
        <v>1064</v>
      </c>
      <c r="AL405" s="12" t="s">
        <v>1272</v>
      </c>
      <c r="AM405" s="12" t="s">
        <v>2072</v>
      </c>
    </row>
    <row r="406" spans="1:39" ht="21" customHeight="1" x14ac:dyDescent="0.15">
      <c r="A406" s="42" t="str">
        <f t="shared" si="18"/>
        <v>13302_15</v>
      </c>
      <c r="B406" s="23">
        <v>3</v>
      </c>
      <c r="C406" s="271">
        <v>13302</v>
      </c>
      <c r="D406" s="47" t="str">
        <f ca="1">VLOOKUP($C406,OFFSET(quests!$A$1,0,0,COUNTA(quests!$A:$A),MATCH(D$1,quests!$1:$1,0)-MATCH($C$2,quests!$1:$1,0)+1),MATCH(D$1,quests!$1:$1,0)-MATCH($C$2,quests!$1:$1,0)+1,FALSE)</f>
        <v>タワーオブザクイーン -アヴァルシア-</v>
      </c>
      <c r="E406" s="48" t="str">
        <f ca="1">VLOOKUP($C406,OFFSET(quests!$A$1,0,0,COUNTA(quests!$A:$A),MATCH(E$2,quests!$1:$1,0)-MATCH($C$2,quests!$1:$1,0)+1),MATCH(E$2,quests!$1:$1,0)-MATCH($C$2,quests!$1:$1,0)+1,FALSE)</f>
        <v>タワーオブザクイーン1本目</v>
      </c>
      <c r="F406" s="7">
        <v>15</v>
      </c>
      <c r="G406" s="7" t="s">
        <v>382</v>
      </c>
      <c r="H406" s="12" t="s">
        <v>2210</v>
      </c>
      <c r="I406" s="12" t="s">
        <v>1738</v>
      </c>
      <c r="J406" s="12">
        <v>1115</v>
      </c>
      <c r="K406" s="188">
        <v>50</v>
      </c>
      <c r="L406" s="189">
        <v>10000</v>
      </c>
      <c r="M406" s="167">
        <v>1</v>
      </c>
      <c r="N406" s="167">
        <v>1</v>
      </c>
      <c r="O406" s="167">
        <v>1</v>
      </c>
      <c r="P406" s="167">
        <v>1</v>
      </c>
      <c r="Q406" s="167">
        <v>1</v>
      </c>
      <c r="R406" s="167">
        <v>3</v>
      </c>
      <c r="S406" s="167" t="s">
        <v>273</v>
      </c>
      <c r="T406" s="252" t="s">
        <v>1767</v>
      </c>
      <c r="U406" s="7">
        <v>13302</v>
      </c>
      <c r="V406" s="7">
        <v>14</v>
      </c>
      <c r="W406" s="47" t="str">
        <f t="shared" ca="1" si="17"/>
        <v>14階 コスト制限なし</v>
      </c>
      <c r="X406" s="47">
        <f ca="1">VLOOKUP($C406,OFFSET(quests!$A$1,0,0,COUNTA(quests!$A:$A),MATCH(X$2,quests!$1:$1,0)-MATCH($C$2,quests!$1:$1,0)+1),MATCH(X$2,quests!$1:$1,0)-MATCH($C$2,quests!$1:$1,0)+1,FALSE)</f>
        <v>0</v>
      </c>
      <c r="Y406" s="47">
        <f ca="1">VLOOKUP($C406,OFFSET(quests!$A$1,0,0,COUNTA(quests!$A:$A),MATCH(Y$2,quests!$1:$1,0)-MATCH($C$2,quests!$1:$1,0)+1),MATCH(Y$2,quests!$1:$1,0)-MATCH($C$2,quests!$1:$1,0)+1,FALSE)</f>
        <v>0</v>
      </c>
      <c r="Z406" s="47">
        <f ca="1">VLOOKUP($C406,OFFSET(quests!$A$1,0,0,COUNTA(quests!$A:$A),MATCH(Z$2,quests!$1:$1,0)-MATCH($C$2,quests!$1:$1,0)+1),MATCH(Z$2,quests!$1:$1,0)-MATCH($C$2,quests!$1:$1,0)+1,FALSE)</f>
        <v>0</v>
      </c>
      <c r="AA406" s="47">
        <f ca="1">VLOOKUP($C406,OFFSET(quests!$A$1,0,0,COUNTA(quests!$A:$A),MATCH(AA$2,quests!$1:$1,0)-MATCH($C$2,quests!$1:$1,0)+1),MATCH(AA$2,quests!$1:$1,0)-MATCH($C$2,quests!$1:$1,0)+1,FALSE)</f>
        <v>0</v>
      </c>
      <c r="AB406" s="7" t="s">
        <v>56</v>
      </c>
      <c r="AC406" s="167">
        <v>965</v>
      </c>
      <c r="AD406" s="7">
        <v>6</v>
      </c>
      <c r="AE406" s="7" t="s">
        <v>522</v>
      </c>
      <c r="AF406" s="167">
        <v>13</v>
      </c>
      <c r="AG406" s="167">
        <v>1330</v>
      </c>
      <c r="AH406" s="167">
        <v>10</v>
      </c>
      <c r="AI406" s="7">
        <v>0</v>
      </c>
      <c r="AJ406" s="7">
        <v>-1</v>
      </c>
      <c r="AK406" s="7" t="s">
        <v>1064</v>
      </c>
      <c r="AL406" s="12">
        <v>10</v>
      </c>
      <c r="AM406" s="12" t="s">
        <v>2072</v>
      </c>
    </row>
    <row r="407" spans="1:39" ht="21" customHeight="1" x14ac:dyDescent="0.15">
      <c r="A407" s="42" t="str">
        <f t="shared" si="18"/>
        <v>13400_1</v>
      </c>
      <c r="B407" s="23">
        <v>3</v>
      </c>
      <c r="C407" s="10">
        <v>13400</v>
      </c>
      <c r="D407" s="47" t="str">
        <f ca="1">VLOOKUP($C407,OFFSET(quests!$A$1,0,0,COUNTA(quests!$A:$A),MATCH(D$1,quests!$1:$1,0)-MATCH($C$2,quests!$1:$1,0)+1),MATCH(D$1,quests!$1:$1,0)-MATCH($C$2,quests!$1:$1,0)+1,FALSE)</f>
        <v>タワーオブザクイーン -エルフラム-</v>
      </c>
      <c r="E407" s="48" t="str">
        <f ca="1">VLOOKUP($C407,OFFSET(quests!$A$1,0,0,COUNTA(quests!$A:$A),MATCH(E$2,quests!$1:$1,0)-MATCH($C$2,quests!$1:$1,0)+1),MATCH(E$2,quests!$1:$1,0)-MATCH($C$2,quests!$1:$1,0)+1,FALSE)</f>
        <v>タワーオブザクイーン2本目</v>
      </c>
      <c r="F407" s="7">
        <v>1</v>
      </c>
      <c r="G407" s="7" t="s">
        <v>568</v>
      </c>
      <c r="H407" s="39" t="s">
        <v>1768</v>
      </c>
      <c r="I407" s="12" t="s">
        <v>1738</v>
      </c>
      <c r="J407" s="12">
        <v>347</v>
      </c>
      <c r="K407" s="188">
        <v>10</v>
      </c>
      <c r="L407" s="189">
        <v>600</v>
      </c>
      <c r="M407" s="167">
        <v>1</v>
      </c>
      <c r="N407" s="167">
        <v>1</v>
      </c>
      <c r="O407" s="167">
        <v>1</v>
      </c>
      <c r="P407" s="167">
        <v>1</v>
      </c>
      <c r="Q407" s="167">
        <v>1</v>
      </c>
      <c r="R407" s="167">
        <v>3</v>
      </c>
      <c r="S407" s="167" t="s">
        <v>1713</v>
      </c>
      <c r="T407" s="167" t="s">
        <v>2131</v>
      </c>
      <c r="U407" s="7" t="s">
        <v>169</v>
      </c>
      <c r="V407" s="7" t="s">
        <v>169</v>
      </c>
      <c r="W407" s="47" t="str">
        <f t="shared" ca="1" si="17"/>
        <v/>
      </c>
      <c r="X407" s="47">
        <f ca="1">VLOOKUP($C407,OFFSET(quests!$A$1,0,0,COUNTA(quests!$A:$A),MATCH(X$2,quests!$1:$1,0)-MATCH($C$2,quests!$1:$1,0)+1),MATCH(X$2,quests!$1:$1,0)-MATCH($C$2,quests!$1:$1,0)+1,FALSE)</f>
        <v>0</v>
      </c>
      <c r="Y407" s="47">
        <f ca="1">VLOOKUP($C407,OFFSET(quests!$A$1,0,0,COUNTA(quests!$A:$A),MATCH(Y$2,quests!$1:$1,0)-MATCH($C$2,quests!$1:$1,0)+1),MATCH(Y$2,quests!$1:$1,0)-MATCH($C$2,quests!$1:$1,0)+1,FALSE)</f>
        <v>0</v>
      </c>
      <c r="Z407" s="47">
        <f ca="1">VLOOKUP($C407,OFFSET(quests!$A$1,0,0,COUNTA(quests!$A:$A),MATCH(Z$2,quests!$1:$1,0)-MATCH($C$2,quests!$1:$1,0)+1),MATCH(Z$2,quests!$1:$1,0)-MATCH($C$2,quests!$1:$1,0)+1,FALSE)</f>
        <v>0</v>
      </c>
      <c r="AA407" s="47">
        <f ca="1">VLOOKUP($C407,OFFSET(quests!$A$1,0,0,COUNTA(quests!$A:$A),MATCH(AA$2,quests!$1:$1,0)-MATCH($C$2,quests!$1:$1,0)+1),MATCH(AA$2,quests!$1:$1,0)-MATCH($C$2,quests!$1:$1,0)+1,FALSE)</f>
        <v>0</v>
      </c>
      <c r="AB407" s="7" t="s">
        <v>56</v>
      </c>
      <c r="AC407" s="167">
        <v>976</v>
      </c>
      <c r="AD407" s="7">
        <v>6</v>
      </c>
      <c r="AE407" s="7" t="s">
        <v>522</v>
      </c>
      <c r="AF407" s="167">
        <v>13</v>
      </c>
      <c r="AG407" s="167">
        <v>0</v>
      </c>
      <c r="AH407" s="167">
        <v>0</v>
      </c>
      <c r="AI407" s="7">
        <v>0</v>
      </c>
      <c r="AJ407" s="7">
        <v>-1</v>
      </c>
      <c r="AK407" s="7" t="s">
        <v>1064</v>
      </c>
      <c r="AL407" s="12" t="s">
        <v>1695</v>
      </c>
      <c r="AM407" s="12" t="s">
        <v>2072</v>
      </c>
    </row>
    <row r="408" spans="1:39" ht="21" customHeight="1" x14ac:dyDescent="0.15">
      <c r="A408" s="42" t="str">
        <f t="shared" si="18"/>
        <v>13400_2</v>
      </c>
      <c r="B408" s="23">
        <v>3</v>
      </c>
      <c r="C408" s="10">
        <v>13400</v>
      </c>
      <c r="D408" s="47" t="str">
        <f ca="1">VLOOKUP($C408,OFFSET(quests!$A$1,0,0,COUNTA(quests!$A:$A),MATCH(D$1,quests!$1:$1,0)-MATCH($C$2,quests!$1:$1,0)+1),MATCH(D$1,quests!$1:$1,0)-MATCH($C$2,quests!$1:$1,0)+1,FALSE)</f>
        <v>タワーオブザクイーン -エルフラム-</v>
      </c>
      <c r="E408" s="48" t="str">
        <f ca="1">VLOOKUP($C408,OFFSET(quests!$A$1,0,0,COUNTA(quests!$A:$A),MATCH(E$2,quests!$1:$1,0)-MATCH($C$2,quests!$1:$1,0)+1),MATCH(E$2,quests!$1:$1,0)-MATCH($C$2,quests!$1:$1,0)+1,FALSE)</f>
        <v>タワーオブザクイーン2本目</v>
      </c>
      <c r="F408" s="7">
        <v>2</v>
      </c>
      <c r="G408" s="7" t="s">
        <v>568</v>
      </c>
      <c r="H408" s="39" t="s">
        <v>1769</v>
      </c>
      <c r="I408" s="12" t="s">
        <v>1739</v>
      </c>
      <c r="J408" s="12">
        <v>343</v>
      </c>
      <c r="K408" s="188">
        <v>11</v>
      </c>
      <c r="L408" s="189">
        <v>860</v>
      </c>
      <c r="M408" s="167">
        <v>1</v>
      </c>
      <c r="N408" s="167">
        <v>1</v>
      </c>
      <c r="O408" s="167">
        <v>1</v>
      </c>
      <c r="P408" s="167">
        <v>1</v>
      </c>
      <c r="Q408" s="167">
        <v>1</v>
      </c>
      <c r="R408" s="167">
        <v>3</v>
      </c>
      <c r="S408" s="167" t="s">
        <v>1736</v>
      </c>
      <c r="T408" s="167" t="s">
        <v>2132</v>
      </c>
      <c r="U408" s="7">
        <v>13400</v>
      </c>
      <c r="V408" s="7">
        <v>1</v>
      </c>
      <c r="W408" s="47" t="str">
        <f t="shared" ca="1" si="17"/>
        <v>1階 コスト制限なし</v>
      </c>
      <c r="X408" s="47">
        <f ca="1">VLOOKUP($C408,OFFSET(quests!$A$1,0,0,COUNTA(quests!$A:$A),MATCH(X$2,quests!$1:$1,0)-MATCH($C$2,quests!$1:$1,0)+1),MATCH(X$2,quests!$1:$1,0)-MATCH($C$2,quests!$1:$1,0)+1,FALSE)</f>
        <v>0</v>
      </c>
      <c r="Y408" s="47">
        <f ca="1">VLOOKUP($C408,OFFSET(quests!$A$1,0,0,COUNTA(quests!$A:$A),MATCH(Y$2,quests!$1:$1,0)-MATCH($C$2,quests!$1:$1,0)+1),MATCH(Y$2,quests!$1:$1,0)-MATCH($C$2,quests!$1:$1,0)+1,FALSE)</f>
        <v>0</v>
      </c>
      <c r="Z408" s="47">
        <f ca="1">VLOOKUP($C408,OFFSET(quests!$A$1,0,0,COUNTA(quests!$A:$A),MATCH(Z$2,quests!$1:$1,0)-MATCH($C$2,quests!$1:$1,0)+1),MATCH(Z$2,quests!$1:$1,0)-MATCH($C$2,quests!$1:$1,0)+1,FALSE)</f>
        <v>0</v>
      </c>
      <c r="AA408" s="47">
        <f ca="1">VLOOKUP($C408,OFFSET(quests!$A$1,0,0,COUNTA(quests!$A:$A),MATCH(AA$2,quests!$1:$1,0)-MATCH($C$2,quests!$1:$1,0)+1),MATCH(AA$2,quests!$1:$1,0)-MATCH($C$2,quests!$1:$1,0)+1,FALSE)</f>
        <v>0</v>
      </c>
      <c r="AB408" s="7" t="s">
        <v>56</v>
      </c>
      <c r="AC408" s="167">
        <v>976</v>
      </c>
      <c r="AD408" s="7">
        <v>6</v>
      </c>
      <c r="AE408" s="7" t="s">
        <v>522</v>
      </c>
      <c r="AF408" s="167">
        <v>13</v>
      </c>
      <c r="AG408" s="167">
        <v>0</v>
      </c>
      <c r="AH408" s="167">
        <v>0</v>
      </c>
      <c r="AI408" s="7">
        <v>0</v>
      </c>
      <c r="AJ408" s="7">
        <v>-1</v>
      </c>
      <c r="AK408" s="7" t="s">
        <v>1064</v>
      </c>
      <c r="AL408" s="12" t="s">
        <v>1695</v>
      </c>
      <c r="AM408" s="12" t="s">
        <v>2072</v>
      </c>
    </row>
    <row r="409" spans="1:39" ht="21" customHeight="1" x14ac:dyDescent="0.15">
      <c r="A409" s="42" t="str">
        <f t="shared" si="18"/>
        <v>13400_3</v>
      </c>
      <c r="B409" s="23">
        <v>3</v>
      </c>
      <c r="C409" s="10">
        <v>13400</v>
      </c>
      <c r="D409" s="47" t="str">
        <f ca="1">VLOOKUP($C409,OFFSET(quests!$A$1,0,0,COUNTA(quests!$A:$A),MATCH(D$1,quests!$1:$1,0)-MATCH($C$2,quests!$1:$1,0)+1),MATCH(D$1,quests!$1:$1,0)-MATCH($C$2,quests!$1:$1,0)+1,FALSE)</f>
        <v>タワーオブザクイーン -エルフラム-</v>
      </c>
      <c r="E409" s="48" t="str">
        <f ca="1">VLOOKUP($C409,OFFSET(quests!$A$1,0,0,COUNTA(quests!$A:$A),MATCH(E$2,quests!$1:$1,0)-MATCH($C$2,quests!$1:$1,0)+1),MATCH(E$2,quests!$1:$1,0)-MATCH($C$2,quests!$1:$1,0)+1,FALSE)</f>
        <v>タワーオブザクイーン2本目</v>
      </c>
      <c r="F409" s="7">
        <v>3</v>
      </c>
      <c r="G409" s="7" t="s">
        <v>568</v>
      </c>
      <c r="H409" s="39" t="s">
        <v>1770</v>
      </c>
      <c r="I409" s="12" t="s">
        <v>1738</v>
      </c>
      <c r="J409" s="12">
        <v>335</v>
      </c>
      <c r="K409" s="188">
        <v>12</v>
      </c>
      <c r="L409" s="189">
        <v>1140</v>
      </c>
      <c r="M409" s="167">
        <v>1</v>
      </c>
      <c r="N409" s="167">
        <v>1</v>
      </c>
      <c r="O409" s="167">
        <v>1</v>
      </c>
      <c r="P409" s="167">
        <v>1</v>
      </c>
      <c r="Q409" s="167">
        <v>1</v>
      </c>
      <c r="R409" s="167">
        <v>3</v>
      </c>
      <c r="S409" s="167" t="s">
        <v>1737</v>
      </c>
      <c r="T409" s="167" t="s">
        <v>2133</v>
      </c>
      <c r="U409" s="7">
        <v>13400</v>
      </c>
      <c r="V409" s="7">
        <v>2</v>
      </c>
      <c r="W409" s="47" t="str">
        <f t="shared" ca="1" si="17"/>
        <v>2階 コスト制限なし</v>
      </c>
      <c r="X409" s="47">
        <f ca="1">VLOOKUP($C409,OFFSET(quests!$A$1,0,0,COUNTA(quests!$A:$A),MATCH(X$2,quests!$1:$1,0)-MATCH($C$2,quests!$1:$1,0)+1),MATCH(X$2,quests!$1:$1,0)-MATCH($C$2,quests!$1:$1,0)+1,FALSE)</f>
        <v>0</v>
      </c>
      <c r="Y409" s="47">
        <f ca="1">VLOOKUP($C409,OFFSET(quests!$A$1,0,0,COUNTA(quests!$A:$A),MATCH(Y$2,quests!$1:$1,0)-MATCH($C$2,quests!$1:$1,0)+1),MATCH(Y$2,quests!$1:$1,0)-MATCH($C$2,quests!$1:$1,0)+1,FALSE)</f>
        <v>0</v>
      </c>
      <c r="Z409" s="47">
        <f ca="1">VLOOKUP($C409,OFFSET(quests!$A$1,0,0,COUNTA(quests!$A:$A),MATCH(Z$2,quests!$1:$1,0)-MATCH($C$2,quests!$1:$1,0)+1),MATCH(Z$2,quests!$1:$1,0)-MATCH($C$2,quests!$1:$1,0)+1,FALSE)</f>
        <v>0</v>
      </c>
      <c r="AA409" s="47">
        <f ca="1">VLOOKUP($C409,OFFSET(quests!$A$1,0,0,COUNTA(quests!$A:$A),MATCH(AA$2,quests!$1:$1,0)-MATCH($C$2,quests!$1:$1,0)+1),MATCH(AA$2,quests!$1:$1,0)-MATCH($C$2,quests!$1:$1,0)+1,FALSE)</f>
        <v>0</v>
      </c>
      <c r="AB409" s="7" t="s">
        <v>56</v>
      </c>
      <c r="AC409" s="167">
        <v>976</v>
      </c>
      <c r="AD409" s="7">
        <v>6</v>
      </c>
      <c r="AE409" s="7" t="s">
        <v>522</v>
      </c>
      <c r="AF409" s="167">
        <v>13</v>
      </c>
      <c r="AG409" s="167">
        <v>0</v>
      </c>
      <c r="AH409" s="167">
        <v>0</v>
      </c>
      <c r="AI409" s="7">
        <v>0</v>
      </c>
      <c r="AJ409" s="7">
        <v>-1</v>
      </c>
      <c r="AK409" s="7" t="s">
        <v>1064</v>
      </c>
      <c r="AL409" s="12" t="s">
        <v>1695</v>
      </c>
      <c r="AM409" s="12" t="s">
        <v>2072</v>
      </c>
    </row>
    <row r="410" spans="1:39" ht="21" customHeight="1" x14ac:dyDescent="0.15">
      <c r="A410" s="42" t="str">
        <f t="shared" si="18"/>
        <v>13400_4</v>
      </c>
      <c r="B410" s="23">
        <v>3</v>
      </c>
      <c r="C410" s="10">
        <v>13400</v>
      </c>
      <c r="D410" s="47" t="str">
        <f ca="1">VLOOKUP($C410,OFFSET(quests!$A$1,0,0,COUNTA(quests!$A:$A),MATCH(D$1,quests!$1:$1,0)-MATCH($C$2,quests!$1:$1,0)+1),MATCH(D$1,quests!$1:$1,0)-MATCH($C$2,quests!$1:$1,0)+1,FALSE)</f>
        <v>タワーオブザクイーン -エルフラム-</v>
      </c>
      <c r="E410" s="48" t="str">
        <f ca="1">VLOOKUP($C410,OFFSET(quests!$A$1,0,0,COUNTA(quests!$A:$A),MATCH(E$2,quests!$1:$1,0)-MATCH($C$2,quests!$1:$1,0)+1),MATCH(E$2,quests!$1:$1,0)-MATCH($C$2,quests!$1:$1,0)+1,FALSE)</f>
        <v>タワーオブザクイーン2本目</v>
      </c>
      <c r="F410" s="7">
        <v>4</v>
      </c>
      <c r="G410" s="7" t="s">
        <v>568</v>
      </c>
      <c r="H410" s="39" t="s">
        <v>1771</v>
      </c>
      <c r="I410" s="12" t="s">
        <v>1738</v>
      </c>
      <c r="J410" s="12">
        <v>339</v>
      </c>
      <c r="K410" s="188">
        <v>13</v>
      </c>
      <c r="L410" s="189">
        <v>1440</v>
      </c>
      <c r="M410" s="167">
        <v>1</v>
      </c>
      <c r="N410" s="167">
        <v>1</v>
      </c>
      <c r="O410" s="167">
        <v>1</v>
      </c>
      <c r="P410" s="167">
        <v>1</v>
      </c>
      <c r="Q410" s="167">
        <v>1</v>
      </c>
      <c r="R410" s="167">
        <v>3</v>
      </c>
      <c r="S410" s="167" t="s">
        <v>273</v>
      </c>
      <c r="T410" s="167" t="s">
        <v>2134</v>
      </c>
      <c r="U410" s="7">
        <v>13400</v>
      </c>
      <c r="V410" s="7">
        <v>3</v>
      </c>
      <c r="W410" s="47" t="str">
        <f t="shared" ca="1" si="17"/>
        <v>3階 コスト制限なし</v>
      </c>
      <c r="X410" s="47">
        <f ca="1">VLOOKUP($C410,OFFSET(quests!$A$1,0,0,COUNTA(quests!$A:$A),MATCH(X$2,quests!$1:$1,0)-MATCH($C$2,quests!$1:$1,0)+1),MATCH(X$2,quests!$1:$1,0)-MATCH($C$2,quests!$1:$1,0)+1,FALSE)</f>
        <v>0</v>
      </c>
      <c r="Y410" s="47">
        <f ca="1">VLOOKUP($C410,OFFSET(quests!$A$1,0,0,COUNTA(quests!$A:$A),MATCH(Y$2,quests!$1:$1,0)-MATCH($C$2,quests!$1:$1,0)+1),MATCH(Y$2,quests!$1:$1,0)-MATCH($C$2,quests!$1:$1,0)+1,FALSE)</f>
        <v>0</v>
      </c>
      <c r="Z410" s="47">
        <f ca="1">VLOOKUP($C410,OFFSET(quests!$A$1,0,0,COUNTA(quests!$A:$A),MATCH(Z$2,quests!$1:$1,0)-MATCH($C$2,quests!$1:$1,0)+1),MATCH(Z$2,quests!$1:$1,0)-MATCH($C$2,quests!$1:$1,0)+1,FALSE)</f>
        <v>0</v>
      </c>
      <c r="AA410" s="47">
        <f ca="1">VLOOKUP($C410,OFFSET(quests!$A$1,0,0,COUNTA(quests!$A:$A),MATCH(AA$2,quests!$1:$1,0)-MATCH($C$2,quests!$1:$1,0)+1),MATCH(AA$2,quests!$1:$1,0)-MATCH($C$2,quests!$1:$1,0)+1,FALSE)</f>
        <v>0</v>
      </c>
      <c r="AB410" s="7" t="s">
        <v>56</v>
      </c>
      <c r="AC410" s="167">
        <v>976</v>
      </c>
      <c r="AD410" s="7">
        <v>6</v>
      </c>
      <c r="AE410" s="7" t="s">
        <v>522</v>
      </c>
      <c r="AF410" s="167">
        <v>13</v>
      </c>
      <c r="AG410" s="167">
        <v>0</v>
      </c>
      <c r="AH410" s="167">
        <v>0</v>
      </c>
      <c r="AI410" s="7">
        <v>0</v>
      </c>
      <c r="AJ410" s="7">
        <v>-1</v>
      </c>
      <c r="AK410" s="7" t="s">
        <v>1064</v>
      </c>
      <c r="AL410" s="12" t="s">
        <v>1695</v>
      </c>
      <c r="AM410" s="12" t="s">
        <v>2072</v>
      </c>
    </row>
    <row r="411" spans="1:39" ht="21" customHeight="1" x14ac:dyDescent="0.15">
      <c r="A411" s="42" t="str">
        <f t="shared" si="18"/>
        <v>13400_5</v>
      </c>
      <c r="B411" s="23">
        <v>3</v>
      </c>
      <c r="C411" s="10">
        <v>13400</v>
      </c>
      <c r="D411" s="47" t="str">
        <f ca="1">VLOOKUP($C411,OFFSET(quests!$A$1,0,0,COUNTA(quests!$A:$A),MATCH(D$1,quests!$1:$1,0)-MATCH($C$2,quests!$1:$1,0)+1),MATCH(D$1,quests!$1:$1,0)-MATCH($C$2,quests!$1:$1,0)+1,FALSE)</f>
        <v>タワーオブザクイーン -エルフラム-</v>
      </c>
      <c r="E411" s="48" t="str">
        <f ca="1">VLOOKUP($C411,OFFSET(quests!$A$1,0,0,COUNTA(quests!$A:$A),MATCH(E$2,quests!$1:$1,0)-MATCH($C$2,quests!$1:$1,0)+1),MATCH(E$2,quests!$1:$1,0)-MATCH($C$2,quests!$1:$1,0)+1,FALSE)</f>
        <v>タワーオブザクイーン2本目</v>
      </c>
      <c r="F411" s="7">
        <v>5</v>
      </c>
      <c r="G411" s="7" t="s">
        <v>568</v>
      </c>
      <c r="H411" s="39" t="s">
        <v>2124</v>
      </c>
      <c r="I411" s="12" t="s">
        <v>1741</v>
      </c>
      <c r="J411" s="12">
        <v>837</v>
      </c>
      <c r="K411" s="188">
        <v>14</v>
      </c>
      <c r="L411" s="189">
        <v>1760</v>
      </c>
      <c r="M411" s="167">
        <v>1</v>
      </c>
      <c r="N411" s="167">
        <v>1</v>
      </c>
      <c r="O411" s="167">
        <v>1</v>
      </c>
      <c r="P411" s="167">
        <v>1</v>
      </c>
      <c r="Q411" s="167">
        <v>1</v>
      </c>
      <c r="R411" s="167">
        <v>3</v>
      </c>
      <c r="S411" s="167" t="s">
        <v>273</v>
      </c>
      <c r="T411" s="167" t="s">
        <v>2135</v>
      </c>
      <c r="U411" s="7">
        <v>13400</v>
      </c>
      <c r="V411" s="7">
        <v>4</v>
      </c>
      <c r="W411" s="47" t="str">
        <f t="shared" ca="1" si="17"/>
        <v>4階 コスト制限なし</v>
      </c>
      <c r="X411" s="47">
        <f ca="1">VLOOKUP($C411,OFFSET(quests!$A$1,0,0,COUNTA(quests!$A:$A),MATCH(X$2,quests!$1:$1,0)-MATCH($C$2,quests!$1:$1,0)+1),MATCH(X$2,quests!$1:$1,0)-MATCH($C$2,quests!$1:$1,0)+1,FALSE)</f>
        <v>0</v>
      </c>
      <c r="Y411" s="47">
        <f ca="1">VLOOKUP($C411,OFFSET(quests!$A$1,0,0,COUNTA(quests!$A:$A),MATCH(Y$2,quests!$1:$1,0)-MATCH($C$2,quests!$1:$1,0)+1),MATCH(Y$2,quests!$1:$1,0)-MATCH($C$2,quests!$1:$1,0)+1,FALSE)</f>
        <v>0</v>
      </c>
      <c r="Z411" s="47">
        <f ca="1">VLOOKUP($C411,OFFSET(quests!$A$1,0,0,COUNTA(quests!$A:$A),MATCH(Z$2,quests!$1:$1,0)-MATCH($C$2,quests!$1:$1,0)+1),MATCH(Z$2,quests!$1:$1,0)-MATCH($C$2,quests!$1:$1,0)+1,FALSE)</f>
        <v>0</v>
      </c>
      <c r="AA411" s="47">
        <f ca="1">VLOOKUP($C411,OFFSET(quests!$A$1,0,0,COUNTA(quests!$A:$A),MATCH(AA$2,quests!$1:$1,0)-MATCH($C$2,quests!$1:$1,0)+1),MATCH(AA$2,quests!$1:$1,0)-MATCH($C$2,quests!$1:$1,0)+1,FALSE)</f>
        <v>0</v>
      </c>
      <c r="AB411" s="7" t="s">
        <v>56</v>
      </c>
      <c r="AC411" s="167">
        <v>976</v>
      </c>
      <c r="AD411" s="7">
        <v>6</v>
      </c>
      <c r="AE411" s="7" t="s">
        <v>522</v>
      </c>
      <c r="AF411" s="167">
        <v>13</v>
      </c>
      <c r="AG411" s="167">
        <v>0</v>
      </c>
      <c r="AH411" s="167">
        <v>0</v>
      </c>
      <c r="AI411" s="7">
        <v>0</v>
      </c>
      <c r="AJ411" s="7">
        <v>-1</v>
      </c>
      <c r="AK411" s="7" t="s">
        <v>1064</v>
      </c>
      <c r="AL411" s="12" t="s">
        <v>1695</v>
      </c>
      <c r="AM411" s="12" t="s">
        <v>2072</v>
      </c>
    </row>
    <row r="412" spans="1:39" ht="21" customHeight="1" x14ac:dyDescent="0.15">
      <c r="A412" s="42" t="str">
        <f t="shared" si="18"/>
        <v>13400_6</v>
      </c>
      <c r="B412" s="23">
        <v>3</v>
      </c>
      <c r="C412" s="10">
        <v>13400</v>
      </c>
      <c r="D412" s="47" t="str">
        <f ca="1">VLOOKUP($C412,OFFSET(quests!$A$1,0,0,COUNTA(quests!$A:$A),MATCH(D$1,quests!$1:$1,0)-MATCH($C$2,quests!$1:$1,0)+1),MATCH(D$1,quests!$1:$1,0)-MATCH($C$2,quests!$1:$1,0)+1,FALSE)</f>
        <v>タワーオブザクイーン -エルフラム-</v>
      </c>
      <c r="E412" s="48" t="str">
        <f ca="1">VLOOKUP($C412,OFFSET(quests!$A$1,0,0,COUNTA(quests!$A:$A),MATCH(E$2,quests!$1:$1,0)-MATCH($C$2,quests!$1:$1,0)+1),MATCH(E$2,quests!$1:$1,0)-MATCH($C$2,quests!$1:$1,0)+1,FALSE)</f>
        <v>タワーオブザクイーン2本目</v>
      </c>
      <c r="F412" s="7">
        <v>6</v>
      </c>
      <c r="G412" s="7" t="s">
        <v>568</v>
      </c>
      <c r="H412" s="39" t="s">
        <v>2125</v>
      </c>
      <c r="I412" s="12" t="s">
        <v>1738</v>
      </c>
      <c r="J412" s="12">
        <v>612</v>
      </c>
      <c r="K412" s="188">
        <v>15</v>
      </c>
      <c r="L412" s="189">
        <v>2100</v>
      </c>
      <c r="M412" s="167">
        <v>1</v>
      </c>
      <c r="N412" s="167">
        <v>1</v>
      </c>
      <c r="O412" s="167">
        <v>1</v>
      </c>
      <c r="P412" s="167">
        <v>1</v>
      </c>
      <c r="Q412" s="167">
        <v>1</v>
      </c>
      <c r="R412" s="167">
        <v>3</v>
      </c>
      <c r="S412" s="167" t="s">
        <v>1713</v>
      </c>
      <c r="T412" s="167" t="s">
        <v>2136</v>
      </c>
      <c r="U412" s="7">
        <v>13400</v>
      </c>
      <c r="V412" s="7">
        <v>5</v>
      </c>
      <c r="W412" s="47" t="str">
        <f t="shared" ca="1" si="17"/>
        <v>5階 バランスタイプ限定</v>
      </c>
      <c r="X412" s="47">
        <f ca="1">VLOOKUP($C412,OFFSET(quests!$A$1,0,0,COUNTA(quests!$A:$A),MATCH(X$2,quests!$1:$1,0)-MATCH($C$2,quests!$1:$1,0)+1),MATCH(X$2,quests!$1:$1,0)-MATCH($C$2,quests!$1:$1,0)+1,FALSE)</f>
        <v>0</v>
      </c>
      <c r="Y412" s="47">
        <f ca="1">VLOOKUP($C412,OFFSET(quests!$A$1,0,0,COUNTA(quests!$A:$A),MATCH(Y$2,quests!$1:$1,0)-MATCH($C$2,quests!$1:$1,0)+1),MATCH(Y$2,quests!$1:$1,0)-MATCH($C$2,quests!$1:$1,0)+1,FALSE)</f>
        <v>0</v>
      </c>
      <c r="Z412" s="47">
        <f ca="1">VLOOKUP($C412,OFFSET(quests!$A$1,0,0,COUNTA(quests!$A:$A),MATCH(Z$2,quests!$1:$1,0)-MATCH($C$2,quests!$1:$1,0)+1),MATCH(Z$2,quests!$1:$1,0)-MATCH($C$2,quests!$1:$1,0)+1,FALSE)</f>
        <v>0</v>
      </c>
      <c r="AA412" s="47">
        <f ca="1">VLOOKUP($C412,OFFSET(quests!$A$1,0,0,COUNTA(quests!$A:$A),MATCH(AA$2,quests!$1:$1,0)-MATCH($C$2,quests!$1:$1,0)+1),MATCH(AA$2,quests!$1:$1,0)-MATCH($C$2,quests!$1:$1,0)+1,FALSE)</f>
        <v>0</v>
      </c>
      <c r="AB412" s="7" t="s">
        <v>56</v>
      </c>
      <c r="AC412" s="167">
        <v>976</v>
      </c>
      <c r="AD412" s="7">
        <v>6</v>
      </c>
      <c r="AE412" s="7" t="s">
        <v>522</v>
      </c>
      <c r="AF412" s="167">
        <v>13</v>
      </c>
      <c r="AG412" s="167">
        <v>0</v>
      </c>
      <c r="AH412" s="167">
        <v>0</v>
      </c>
      <c r="AI412" s="7">
        <v>0</v>
      </c>
      <c r="AJ412" s="7">
        <v>-1</v>
      </c>
      <c r="AK412" s="7" t="s">
        <v>1064</v>
      </c>
      <c r="AL412" s="12" t="s">
        <v>1695</v>
      </c>
      <c r="AM412" s="12" t="s">
        <v>2072</v>
      </c>
    </row>
    <row r="413" spans="1:39" ht="21" customHeight="1" x14ac:dyDescent="0.15">
      <c r="A413" s="42" t="str">
        <f t="shared" si="18"/>
        <v>13400_7</v>
      </c>
      <c r="B413" s="23">
        <v>3</v>
      </c>
      <c r="C413" s="10">
        <v>13400</v>
      </c>
      <c r="D413" s="47" t="str">
        <f ca="1">VLOOKUP($C413,OFFSET(quests!$A$1,0,0,COUNTA(quests!$A:$A),MATCH(D$1,quests!$1:$1,0)-MATCH($C$2,quests!$1:$1,0)+1),MATCH(D$1,quests!$1:$1,0)-MATCH($C$2,quests!$1:$1,0)+1,FALSE)</f>
        <v>タワーオブザクイーン -エルフラム-</v>
      </c>
      <c r="E413" s="48" t="str">
        <f ca="1">VLOOKUP($C413,OFFSET(quests!$A$1,0,0,COUNTA(quests!$A:$A),MATCH(E$2,quests!$1:$1,0)-MATCH($C$2,quests!$1:$1,0)+1),MATCH(E$2,quests!$1:$1,0)-MATCH($C$2,quests!$1:$1,0)+1,FALSE)</f>
        <v>タワーオブザクイーン2本目</v>
      </c>
      <c r="F413" s="7">
        <v>7</v>
      </c>
      <c r="G413" s="7" t="s">
        <v>568</v>
      </c>
      <c r="H413" s="39" t="s">
        <v>2129</v>
      </c>
      <c r="I413" s="12" t="s">
        <v>1738</v>
      </c>
      <c r="J413" s="12">
        <v>613</v>
      </c>
      <c r="K413" s="188">
        <v>16</v>
      </c>
      <c r="L413" s="189">
        <v>2460</v>
      </c>
      <c r="M413" s="167">
        <v>1</v>
      </c>
      <c r="N413" s="167">
        <v>1</v>
      </c>
      <c r="O413" s="167">
        <v>1</v>
      </c>
      <c r="P413" s="167">
        <v>1</v>
      </c>
      <c r="Q413" s="167">
        <v>1</v>
      </c>
      <c r="R413" s="167">
        <v>3</v>
      </c>
      <c r="S413" s="167" t="s">
        <v>273</v>
      </c>
      <c r="T413" s="167" t="s">
        <v>2137</v>
      </c>
      <c r="U413" s="7">
        <v>13400</v>
      </c>
      <c r="V413" s="7">
        <v>6</v>
      </c>
      <c r="W413" s="47" t="str">
        <f t="shared" ca="1" si="17"/>
        <v>6階 コスト制限なし</v>
      </c>
      <c r="X413" s="47">
        <f ca="1">VLOOKUP($C413,OFFSET(quests!$A$1,0,0,COUNTA(quests!$A:$A),MATCH(X$2,quests!$1:$1,0)-MATCH($C$2,quests!$1:$1,0)+1),MATCH(X$2,quests!$1:$1,0)-MATCH($C$2,quests!$1:$1,0)+1,FALSE)</f>
        <v>0</v>
      </c>
      <c r="Y413" s="47">
        <f ca="1">VLOOKUP($C413,OFFSET(quests!$A$1,0,0,COUNTA(quests!$A:$A),MATCH(Y$2,quests!$1:$1,0)-MATCH($C$2,quests!$1:$1,0)+1),MATCH(Y$2,quests!$1:$1,0)-MATCH($C$2,quests!$1:$1,0)+1,FALSE)</f>
        <v>0</v>
      </c>
      <c r="Z413" s="47">
        <f ca="1">VLOOKUP($C413,OFFSET(quests!$A$1,0,0,COUNTA(quests!$A:$A),MATCH(Z$2,quests!$1:$1,0)-MATCH($C$2,quests!$1:$1,0)+1),MATCH(Z$2,quests!$1:$1,0)-MATCH($C$2,quests!$1:$1,0)+1,FALSE)</f>
        <v>0</v>
      </c>
      <c r="AA413" s="47">
        <f ca="1">VLOOKUP($C413,OFFSET(quests!$A$1,0,0,COUNTA(quests!$A:$A),MATCH(AA$2,quests!$1:$1,0)-MATCH($C$2,quests!$1:$1,0)+1),MATCH(AA$2,quests!$1:$1,0)-MATCH($C$2,quests!$1:$1,0)+1,FALSE)</f>
        <v>0</v>
      </c>
      <c r="AB413" s="7" t="s">
        <v>56</v>
      </c>
      <c r="AC413" s="167">
        <v>976</v>
      </c>
      <c r="AD413" s="7">
        <v>6</v>
      </c>
      <c r="AE413" s="7" t="s">
        <v>522</v>
      </c>
      <c r="AF413" s="167">
        <v>13</v>
      </c>
      <c r="AG413" s="167">
        <v>0</v>
      </c>
      <c r="AH413" s="167">
        <v>0</v>
      </c>
      <c r="AI413" s="7">
        <v>0</v>
      </c>
      <c r="AJ413" s="7">
        <v>-1</v>
      </c>
      <c r="AK413" s="7" t="s">
        <v>1064</v>
      </c>
      <c r="AL413" s="12" t="s">
        <v>1695</v>
      </c>
      <c r="AM413" s="12" t="s">
        <v>2072</v>
      </c>
    </row>
    <row r="414" spans="1:39" ht="21" customHeight="1" x14ac:dyDescent="0.15">
      <c r="A414" s="42" t="str">
        <f t="shared" si="18"/>
        <v>13400_8</v>
      </c>
      <c r="B414" s="23">
        <v>3</v>
      </c>
      <c r="C414" s="10">
        <v>13400</v>
      </c>
      <c r="D414" s="47" t="str">
        <f ca="1">VLOOKUP($C414,OFFSET(quests!$A$1,0,0,COUNTA(quests!$A:$A),MATCH(D$1,quests!$1:$1,0)-MATCH($C$2,quests!$1:$1,0)+1),MATCH(D$1,quests!$1:$1,0)-MATCH($C$2,quests!$1:$1,0)+1,FALSE)</f>
        <v>タワーオブザクイーン -エルフラム-</v>
      </c>
      <c r="E414" s="48" t="str">
        <f ca="1">VLOOKUP($C414,OFFSET(quests!$A$1,0,0,COUNTA(quests!$A:$A),MATCH(E$2,quests!$1:$1,0)-MATCH($C$2,quests!$1:$1,0)+1),MATCH(E$2,quests!$1:$1,0)-MATCH($C$2,quests!$1:$1,0)+1,FALSE)</f>
        <v>タワーオブザクイーン2本目</v>
      </c>
      <c r="F414" s="7">
        <v>8</v>
      </c>
      <c r="G414" s="7" t="s">
        <v>568</v>
      </c>
      <c r="H414" s="39" t="s">
        <v>2147</v>
      </c>
      <c r="I414" s="12" t="s">
        <v>1738</v>
      </c>
      <c r="J414" s="12">
        <v>611</v>
      </c>
      <c r="K414" s="188">
        <v>17</v>
      </c>
      <c r="L414" s="189">
        <v>2840</v>
      </c>
      <c r="M414" s="167">
        <v>1</v>
      </c>
      <c r="N414" s="167">
        <v>1</v>
      </c>
      <c r="O414" s="167">
        <v>1</v>
      </c>
      <c r="P414" s="167">
        <v>1</v>
      </c>
      <c r="Q414" s="96">
        <v>0</v>
      </c>
      <c r="R414" s="167">
        <v>3</v>
      </c>
      <c r="S414" s="167" t="s">
        <v>273</v>
      </c>
      <c r="T414" s="167" t="s">
        <v>2138</v>
      </c>
      <c r="U414" s="7">
        <v>13400</v>
      </c>
      <c r="V414" s="7">
        <v>7</v>
      </c>
      <c r="W414" s="47" t="str">
        <f t="shared" ca="1" si="17"/>
        <v>7階 コスト30以下限定</v>
      </c>
      <c r="X414" s="47">
        <f ca="1">VLOOKUP($C414,OFFSET(quests!$A$1,0,0,COUNTA(quests!$A:$A),MATCH(X$2,quests!$1:$1,0)-MATCH($C$2,quests!$1:$1,0)+1),MATCH(X$2,quests!$1:$1,0)-MATCH($C$2,quests!$1:$1,0)+1,FALSE)</f>
        <v>0</v>
      </c>
      <c r="Y414" s="47">
        <f ca="1">VLOOKUP($C414,OFFSET(quests!$A$1,0,0,COUNTA(quests!$A:$A),MATCH(Y$2,quests!$1:$1,0)-MATCH($C$2,quests!$1:$1,0)+1),MATCH(Y$2,quests!$1:$1,0)-MATCH($C$2,quests!$1:$1,0)+1,FALSE)</f>
        <v>0</v>
      </c>
      <c r="Z414" s="47">
        <f ca="1">VLOOKUP($C414,OFFSET(quests!$A$1,0,0,COUNTA(quests!$A:$A),MATCH(Z$2,quests!$1:$1,0)-MATCH($C$2,quests!$1:$1,0)+1),MATCH(Z$2,quests!$1:$1,0)-MATCH($C$2,quests!$1:$1,0)+1,FALSE)</f>
        <v>0</v>
      </c>
      <c r="AA414" s="47">
        <f ca="1">VLOOKUP($C414,OFFSET(quests!$A$1,0,0,COUNTA(quests!$A:$A),MATCH(AA$2,quests!$1:$1,0)-MATCH($C$2,quests!$1:$1,0)+1),MATCH(AA$2,quests!$1:$1,0)-MATCH($C$2,quests!$1:$1,0)+1,FALSE)</f>
        <v>0</v>
      </c>
      <c r="AB414" s="7" t="s">
        <v>56</v>
      </c>
      <c r="AC414" s="167">
        <v>976</v>
      </c>
      <c r="AD414" s="7">
        <v>6</v>
      </c>
      <c r="AE414" s="7" t="s">
        <v>522</v>
      </c>
      <c r="AF414" s="167">
        <v>13</v>
      </c>
      <c r="AG414" s="167">
        <v>0</v>
      </c>
      <c r="AH414" s="167">
        <v>0</v>
      </c>
      <c r="AI414" s="7">
        <v>0</v>
      </c>
      <c r="AJ414" s="7">
        <v>-1</v>
      </c>
      <c r="AK414" s="7" t="s">
        <v>1064</v>
      </c>
      <c r="AL414" s="12" t="s">
        <v>1695</v>
      </c>
      <c r="AM414" s="12" t="s">
        <v>2072</v>
      </c>
    </row>
    <row r="415" spans="1:39" ht="21" customHeight="1" x14ac:dyDescent="0.15">
      <c r="A415" s="42" t="str">
        <f t="shared" si="18"/>
        <v>13400_9</v>
      </c>
      <c r="B415" s="23">
        <v>3</v>
      </c>
      <c r="C415" s="10">
        <v>13400</v>
      </c>
      <c r="D415" s="47" t="str">
        <f ca="1">VLOOKUP($C415,OFFSET(quests!$A$1,0,0,COUNTA(quests!$A:$A),MATCH(D$1,quests!$1:$1,0)-MATCH($C$2,quests!$1:$1,0)+1),MATCH(D$1,quests!$1:$1,0)-MATCH($C$2,quests!$1:$1,0)+1,FALSE)</f>
        <v>タワーオブザクイーン -エルフラム-</v>
      </c>
      <c r="E415" s="48" t="str">
        <f ca="1">VLOOKUP($C415,OFFSET(quests!$A$1,0,0,COUNTA(quests!$A:$A),MATCH(E$2,quests!$1:$1,0)-MATCH($C$2,quests!$1:$1,0)+1),MATCH(E$2,quests!$1:$1,0)-MATCH($C$2,quests!$1:$1,0)+1,FALSE)</f>
        <v>タワーオブザクイーン2本目</v>
      </c>
      <c r="F415" s="7">
        <v>9</v>
      </c>
      <c r="G415" s="7" t="s">
        <v>568</v>
      </c>
      <c r="H415" s="39" t="s">
        <v>2201</v>
      </c>
      <c r="I415" s="12" t="s">
        <v>1743</v>
      </c>
      <c r="J415" s="12">
        <v>837</v>
      </c>
      <c r="K415" s="188">
        <v>18</v>
      </c>
      <c r="L415" s="189">
        <v>3240</v>
      </c>
      <c r="M415" s="167">
        <v>1</v>
      </c>
      <c r="N415" s="167">
        <v>1</v>
      </c>
      <c r="O415" s="167">
        <v>1</v>
      </c>
      <c r="P415" s="167">
        <v>1</v>
      </c>
      <c r="Q415" s="167">
        <v>1</v>
      </c>
      <c r="R415" s="167">
        <v>3</v>
      </c>
      <c r="S415" s="167" t="s">
        <v>1713</v>
      </c>
      <c r="T415" s="167" t="s">
        <v>2139</v>
      </c>
      <c r="U415" s="7">
        <v>13400</v>
      </c>
      <c r="V415" s="7">
        <v>8</v>
      </c>
      <c r="W415" s="47" t="str">
        <f t="shared" ca="1" si="17"/>
        <v>8階 ハートパネルが出現しない！</v>
      </c>
      <c r="X415" s="47">
        <f ca="1">VLOOKUP($C415,OFFSET(quests!$A$1,0,0,COUNTA(quests!$A:$A),MATCH(X$2,quests!$1:$1,0)-MATCH($C$2,quests!$1:$1,0)+1),MATCH(X$2,quests!$1:$1,0)-MATCH($C$2,quests!$1:$1,0)+1,FALSE)</f>
        <v>0</v>
      </c>
      <c r="Y415" s="47">
        <f ca="1">VLOOKUP($C415,OFFSET(quests!$A$1,0,0,COUNTA(quests!$A:$A),MATCH(Y$2,quests!$1:$1,0)-MATCH($C$2,quests!$1:$1,0)+1),MATCH(Y$2,quests!$1:$1,0)-MATCH($C$2,quests!$1:$1,0)+1,FALSE)</f>
        <v>0</v>
      </c>
      <c r="Z415" s="47">
        <f ca="1">VLOOKUP($C415,OFFSET(quests!$A$1,0,0,COUNTA(quests!$A:$A),MATCH(Z$2,quests!$1:$1,0)-MATCH($C$2,quests!$1:$1,0)+1),MATCH(Z$2,quests!$1:$1,0)-MATCH($C$2,quests!$1:$1,0)+1,FALSE)</f>
        <v>0</v>
      </c>
      <c r="AA415" s="47">
        <f ca="1">VLOOKUP($C415,OFFSET(quests!$A$1,0,0,COUNTA(quests!$A:$A),MATCH(AA$2,quests!$1:$1,0)-MATCH($C$2,quests!$1:$1,0)+1),MATCH(AA$2,quests!$1:$1,0)-MATCH($C$2,quests!$1:$1,0)+1,FALSE)</f>
        <v>0</v>
      </c>
      <c r="AB415" s="7" t="s">
        <v>56</v>
      </c>
      <c r="AC415" s="167">
        <v>976</v>
      </c>
      <c r="AD415" s="7">
        <v>6</v>
      </c>
      <c r="AE415" s="7" t="s">
        <v>522</v>
      </c>
      <c r="AF415" s="167">
        <v>13</v>
      </c>
      <c r="AG415" s="167">
        <v>0</v>
      </c>
      <c r="AH415" s="167">
        <v>0</v>
      </c>
      <c r="AI415" s="7">
        <v>0</v>
      </c>
      <c r="AJ415" s="7">
        <v>-1</v>
      </c>
      <c r="AK415" s="7" t="s">
        <v>1064</v>
      </c>
      <c r="AL415" s="12" t="s">
        <v>1695</v>
      </c>
      <c r="AM415" s="12" t="s">
        <v>2072</v>
      </c>
    </row>
    <row r="416" spans="1:39" ht="21" customHeight="1" x14ac:dyDescent="0.15">
      <c r="A416" s="42" t="str">
        <f t="shared" si="18"/>
        <v>13400_10</v>
      </c>
      <c r="B416" s="23">
        <v>3</v>
      </c>
      <c r="C416" s="10">
        <v>13400</v>
      </c>
      <c r="D416" s="47" t="str">
        <f ca="1">VLOOKUP($C416,OFFSET(quests!$A$1,0,0,COUNTA(quests!$A:$A),MATCH(D$1,quests!$1:$1,0)-MATCH($C$2,quests!$1:$1,0)+1),MATCH(D$1,quests!$1:$1,0)-MATCH($C$2,quests!$1:$1,0)+1,FALSE)</f>
        <v>タワーオブザクイーン -エルフラム-</v>
      </c>
      <c r="E416" s="48" t="str">
        <f ca="1">VLOOKUP($C416,OFFSET(quests!$A$1,0,0,COUNTA(quests!$A:$A),MATCH(E$2,quests!$1:$1,0)-MATCH($C$2,quests!$1:$1,0)+1),MATCH(E$2,quests!$1:$1,0)-MATCH($C$2,quests!$1:$1,0)+1,FALSE)</f>
        <v>タワーオブザクイーン2本目</v>
      </c>
      <c r="F416" s="7">
        <v>10</v>
      </c>
      <c r="G416" s="7" t="s">
        <v>568</v>
      </c>
      <c r="H416" s="39" t="s">
        <v>2126</v>
      </c>
      <c r="I416" s="12" t="s">
        <v>1738</v>
      </c>
      <c r="J416" s="12">
        <v>0</v>
      </c>
      <c r="K416" s="188">
        <v>19</v>
      </c>
      <c r="L416" s="189">
        <v>3660</v>
      </c>
      <c r="M416" s="167">
        <v>1</v>
      </c>
      <c r="N416" s="167">
        <v>1</v>
      </c>
      <c r="O416" s="167">
        <v>1</v>
      </c>
      <c r="P416" s="167">
        <v>1</v>
      </c>
      <c r="Q416" s="167">
        <v>1</v>
      </c>
      <c r="R416" s="167">
        <v>3</v>
      </c>
      <c r="S416" s="167" t="s">
        <v>1811</v>
      </c>
      <c r="T416" s="167" t="s">
        <v>2140</v>
      </c>
      <c r="U416" s="7">
        <v>13400</v>
      </c>
      <c r="V416" s="7">
        <v>9</v>
      </c>
      <c r="W416" s="47" t="str">
        <f t="shared" ca="1" si="17"/>
        <v>9階 攻撃タイプ限定</v>
      </c>
      <c r="X416" s="47">
        <f ca="1">VLOOKUP($C416,OFFSET(quests!$A$1,0,0,COUNTA(quests!$A:$A),MATCH(X$2,quests!$1:$1,0)-MATCH($C$2,quests!$1:$1,0)+1),MATCH(X$2,quests!$1:$1,0)-MATCH($C$2,quests!$1:$1,0)+1,FALSE)</f>
        <v>0</v>
      </c>
      <c r="Y416" s="47">
        <f ca="1">VLOOKUP($C416,OFFSET(quests!$A$1,0,0,COUNTA(quests!$A:$A),MATCH(Y$2,quests!$1:$1,0)-MATCH($C$2,quests!$1:$1,0)+1),MATCH(Y$2,quests!$1:$1,0)-MATCH($C$2,quests!$1:$1,0)+1,FALSE)</f>
        <v>0</v>
      </c>
      <c r="Z416" s="47">
        <f ca="1">VLOOKUP($C416,OFFSET(quests!$A$1,0,0,COUNTA(quests!$A:$A),MATCH(Z$2,quests!$1:$1,0)-MATCH($C$2,quests!$1:$1,0)+1),MATCH(Z$2,quests!$1:$1,0)-MATCH($C$2,quests!$1:$1,0)+1,FALSE)</f>
        <v>0</v>
      </c>
      <c r="AA416" s="47">
        <f ca="1">VLOOKUP($C416,OFFSET(quests!$A$1,0,0,COUNTA(quests!$A:$A),MATCH(AA$2,quests!$1:$1,0)-MATCH($C$2,quests!$1:$1,0)+1),MATCH(AA$2,quests!$1:$1,0)-MATCH($C$2,quests!$1:$1,0)+1,FALSE)</f>
        <v>0</v>
      </c>
      <c r="AB416" s="7" t="s">
        <v>56</v>
      </c>
      <c r="AC416" s="167">
        <v>976</v>
      </c>
      <c r="AD416" s="7">
        <v>6</v>
      </c>
      <c r="AE416" s="7" t="s">
        <v>522</v>
      </c>
      <c r="AF416" s="167">
        <v>13</v>
      </c>
      <c r="AG416" s="167">
        <v>1330</v>
      </c>
      <c r="AH416" s="167">
        <v>0</v>
      </c>
      <c r="AI416" s="7">
        <v>0</v>
      </c>
      <c r="AJ416" s="7">
        <v>-1</v>
      </c>
      <c r="AK416" s="7" t="s">
        <v>1064</v>
      </c>
      <c r="AL416" s="12" t="s">
        <v>1695</v>
      </c>
      <c r="AM416" s="12" t="s">
        <v>2072</v>
      </c>
    </row>
    <row r="417" spans="1:39" ht="21" customHeight="1" x14ac:dyDescent="0.15">
      <c r="A417" s="42" t="str">
        <f t="shared" si="18"/>
        <v>13400_11</v>
      </c>
      <c r="B417" s="23">
        <v>3</v>
      </c>
      <c r="C417" s="10">
        <v>13400</v>
      </c>
      <c r="D417" s="47" t="str">
        <f ca="1">VLOOKUP($C417,OFFSET(quests!$A$1,0,0,COUNTA(quests!$A:$A),MATCH(D$1,quests!$1:$1,0)-MATCH($C$2,quests!$1:$1,0)+1),MATCH(D$1,quests!$1:$1,0)-MATCH($C$2,quests!$1:$1,0)+1,FALSE)</f>
        <v>タワーオブザクイーン -エルフラム-</v>
      </c>
      <c r="E417" s="48" t="str">
        <f ca="1">VLOOKUP($C417,OFFSET(quests!$A$1,0,0,COUNTA(quests!$A:$A),MATCH(E$2,quests!$1:$1,0)-MATCH($C$2,quests!$1:$1,0)+1),MATCH(E$2,quests!$1:$1,0)-MATCH($C$2,quests!$1:$1,0)+1,FALSE)</f>
        <v>タワーオブザクイーン2本目</v>
      </c>
      <c r="F417" s="7">
        <v>11</v>
      </c>
      <c r="G417" s="7" t="s">
        <v>568</v>
      </c>
      <c r="H417" s="39" t="s">
        <v>2127</v>
      </c>
      <c r="I417" s="12" t="s">
        <v>1738</v>
      </c>
      <c r="J417" s="12">
        <v>612</v>
      </c>
      <c r="K417" s="188">
        <v>20</v>
      </c>
      <c r="L417" s="189">
        <v>4100</v>
      </c>
      <c r="M417" s="167">
        <v>1</v>
      </c>
      <c r="N417" s="167">
        <v>1</v>
      </c>
      <c r="O417" s="167">
        <v>1</v>
      </c>
      <c r="P417" s="167">
        <v>1</v>
      </c>
      <c r="Q417" s="167">
        <v>1</v>
      </c>
      <c r="R417" s="167">
        <v>3</v>
      </c>
      <c r="S417" s="167" t="s">
        <v>273</v>
      </c>
      <c r="T417" s="167" t="s">
        <v>2141</v>
      </c>
      <c r="U417" s="7">
        <v>13400</v>
      </c>
      <c r="V417" s="7">
        <v>10</v>
      </c>
      <c r="W417" s="47" t="str">
        <f t="shared" ca="1" si="17"/>
        <v>10階 ローズ 現る！</v>
      </c>
      <c r="X417" s="47">
        <f ca="1">VLOOKUP($C417,OFFSET(quests!$A$1,0,0,COUNTA(quests!$A:$A),MATCH(X$2,quests!$1:$1,0)-MATCH($C$2,quests!$1:$1,0)+1),MATCH(X$2,quests!$1:$1,0)-MATCH($C$2,quests!$1:$1,0)+1,FALSE)</f>
        <v>0</v>
      </c>
      <c r="Y417" s="47">
        <f ca="1">VLOOKUP($C417,OFFSET(quests!$A$1,0,0,COUNTA(quests!$A:$A),MATCH(Y$2,quests!$1:$1,0)-MATCH($C$2,quests!$1:$1,0)+1),MATCH(Y$2,quests!$1:$1,0)-MATCH($C$2,quests!$1:$1,0)+1,FALSE)</f>
        <v>0</v>
      </c>
      <c r="Z417" s="47">
        <f ca="1">VLOOKUP($C417,OFFSET(quests!$A$1,0,0,COUNTA(quests!$A:$A),MATCH(Z$2,quests!$1:$1,0)-MATCH($C$2,quests!$1:$1,0)+1),MATCH(Z$2,quests!$1:$1,0)-MATCH($C$2,quests!$1:$1,0)+1,FALSE)</f>
        <v>0</v>
      </c>
      <c r="AA417" s="47">
        <f ca="1">VLOOKUP($C417,OFFSET(quests!$A$1,0,0,COUNTA(quests!$A:$A),MATCH(AA$2,quests!$1:$1,0)-MATCH($C$2,quests!$1:$1,0)+1),MATCH(AA$2,quests!$1:$1,0)-MATCH($C$2,quests!$1:$1,0)+1,FALSE)</f>
        <v>0</v>
      </c>
      <c r="AB417" s="7" t="s">
        <v>56</v>
      </c>
      <c r="AC417" s="167">
        <v>976</v>
      </c>
      <c r="AD417" s="7">
        <v>6</v>
      </c>
      <c r="AE417" s="7" t="s">
        <v>522</v>
      </c>
      <c r="AF417" s="167">
        <v>13</v>
      </c>
      <c r="AG417" s="167">
        <v>0</v>
      </c>
      <c r="AH417" s="167">
        <v>0</v>
      </c>
      <c r="AI417" s="7">
        <v>0</v>
      </c>
      <c r="AJ417" s="7">
        <v>-1</v>
      </c>
      <c r="AK417" s="7" t="s">
        <v>1064</v>
      </c>
      <c r="AL417" s="12" t="s">
        <v>1695</v>
      </c>
      <c r="AM417" s="12" t="s">
        <v>2072</v>
      </c>
    </row>
    <row r="418" spans="1:39" ht="21" customHeight="1" x14ac:dyDescent="0.15">
      <c r="A418" s="42" t="str">
        <f t="shared" si="18"/>
        <v>13400_12</v>
      </c>
      <c r="B418" s="23">
        <v>3</v>
      </c>
      <c r="C418" s="10">
        <v>13400</v>
      </c>
      <c r="D418" s="47" t="str">
        <f ca="1">VLOOKUP($C418,OFFSET(quests!$A$1,0,0,COUNTA(quests!$A:$A),MATCH(D$1,quests!$1:$1,0)-MATCH($C$2,quests!$1:$1,0)+1),MATCH(D$1,quests!$1:$1,0)-MATCH($C$2,quests!$1:$1,0)+1,FALSE)</f>
        <v>タワーオブザクイーン -エルフラム-</v>
      </c>
      <c r="E418" s="48" t="str">
        <f ca="1">VLOOKUP($C418,OFFSET(quests!$A$1,0,0,COUNTA(quests!$A:$A),MATCH(E$2,quests!$1:$1,0)-MATCH($C$2,quests!$1:$1,0)+1),MATCH(E$2,quests!$1:$1,0)-MATCH($C$2,quests!$1:$1,0)+1,FALSE)</f>
        <v>タワーオブザクイーン2本目</v>
      </c>
      <c r="F418" s="7">
        <v>12</v>
      </c>
      <c r="G418" s="7" t="s">
        <v>568</v>
      </c>
      <c r="H418" s="39" t="s">
        <v>2128</v>
      </c>
      <c r="I418" s="12" t="s">
        <v>1738</v>
      </c>
      <c r="J418" s="12">
        <v>613</v>
      </c>
      <c r="K418" s="188">
        <v>21</v>
      </c>
      <c r="L418" s="189">
        <v>4560</v>
      </c>
      <c r="M418" s="167">
        <v>1</v>
      </c>
      <c r="N418" s="167">
        <v>1</v>
      </c>
      <c r="O418" s="167">
        <v>1</v>
      </c>
      <c r="P418" s="167">
        <v>1</v>
      </c>
      <c r="Q418" s="167">
        <v>1</v>
      </c>
      <c r="R418" s="167">
        <v>3</v>
      </c>
      <c r="S418" s="167" t="s">
        <v>1713</v>
      </c>
      <c r="T418" s="167" t="s">
        <v>2142</v>
      </c>
      <c r="U418" s="7">
        <v>13400</v>
      </c>
      <c r="V418" s="7">
        <v>11</v>
      </c>
      <c r="W418" s="47" t="str">
        <f t="shared" ca="1" si="17"/>
        <v>11階 コスト制限なし</v>
      </c>
      <c r="X418" s="47">
        <f ca="1">VLOOKUP($C418,OFFSET(quests!$A$1,0,0,COUNTA(quests!$A:$A),MATCH(X$2,quests!$1:$1,0)-MATCH($C$2,quests!$1:$1,0)+1),MATCH(X$2,quests!$1:$1,0)-MATCH($C$2,quests!$1:$1,0)+1,FALSE)</f>
        <v>0</v>
      </c>
      <c r="Y418" s="47">
        <f ca="1">VLOOKUP($C418,OFFSET(quests!$A$1,0,0,COUNTA(quests!$A:$A),MATCH(Y$2,quests!$1:$1,0)-MATCH($C$2,quests!$1:$1,0)+1),MATCH(Y$2,quests!$1:$1,0)-MATCH($C$2,quests!$1:$1,0)+1,FALSE)</f>
        <v>0</v>
      </c>
      <c r="Z418" s="47">
        <f ca="1">VLOOKUP($C418,OFFSET(quests!$A$1,0,0,COUNTA(quests!$A:$A),MATCH(Z$2,quests!$1:$1,0)-MATCH($C$2,quests!$1:$1,0)+1),MATCH(Z$2,quests!$1:$1,0)-MATCH($C$2,quests!$1:$1,0)+1,FALSE)</f>
        <v>0</v>
      </c>
      <c r="AA418" s="47">
        <f ca="1">VLOOKUP($C418,OFFSET(quests!$A$1,0,0,COUNTA(quests!$A:$A),MATCH(AA$2,quests!$1:$1,0)-MATCH($C$2,quests!$1:$1,0)+1),MATCH(AA$2,quests!$1:$1,0)-MATCH($C$2,quests!$1:$1,0)+1,FALSE)</f>
        <v>0</v>
      </c>
      <c r="AB418" s="7" t="s">
        <v>56</v>
      </c>
      <c r="AC418" s="167">
        <v>976</v>
      </c>
      <c r="AD418" s="7">
        <v>6</v>
      </c>
      <c r="AE418" s="7" t="s">
        <v>522</v>
      </c>
      <c r="AF418" s="167">
        <v>13</v>
      </c>
      <c r="AG418" s="167">
        <v>0</v>
      </c>
      <c r="AH418" s="167">
        <v>0</v>
      </c>
      <c r="AI418" s="7">
        <v>0</v>
      </c>
      <c r="AJ418" s="7">
        <v>-1</v>
      </c>
      <c r="AK418" s="7" t="s">
        <v>1064</v>
      </c>
      <c r="AL418" s="12" t="s">
        <v>1695</v>
      </c>
      <c r="AM418" s="12" t="s">
        <v>2072</v>
      </c>
    </row>
    <row r="419" spans="1:39" ht="21" customHeight="1" x14ac:dyDescent="0.15">
      <c r="A419" s="42" t="str">
        <f t="shared" si="18"/>
        <v>13400_13</v>
      </c>
      <c r="B419" s="23">
        <v>3</v>
      </c>
      <c r="C419" s="10">
        <v>13400</v>
      </c>
      <c r="D419" s="47" t="str">
        <f ca="1">VLOOKUP($C419,OFFSET(quests!$A$1,0,0,COUNTA(quests!$A:$A),MATCH(D$1,quests!$1:$1,0)-MATCH($C$2,quests!$1:$1,0)+1),MATCH(D$1,quests!$1:$1,0)-MATCH($C$2,quests!$1:$1,0)+1,FALSE)</f>
        <v>タワーオブザクイーン -エルフラム-</v>
      </c>
      <c r="E419" s="48" t="str">
        <f ca="1">VLOOKUP($C419,OFFSET(quests!$A$1,0,0,COUNTA(quests!$A:$A),MATCH(E$2,quests!$1:$1,0)-MATCH($C$2,quests!$1:$1,0)+1),MATCH(E$2,quests!$1:$1,0)-MATCH($C$2,quests!$1:$1,0)+1,FALSE)</f>
        <v>タワーオブザクイーン2本目</v>
      </c>
      <c r="F419" s="7">
        <v>13</v>
      </c>
      <c r="G419" s="7" t="s">
        <v>568</v>
      </c>
      <c r="H419" s="39" t="s">
        <v>2130</v>
      </c>
      <c r="I419" s="12" t="s">
        <v>1738</v>
      </c>
      <c r="J419" s="12">
        <v>611</v>
      </c>
      <c r="K419" s="188">
        <v>22</v>
      </c>
      <c r="L419" s="189">
        <v>5040</v>
      </c>
      <c r="M419" s="167">
        <v>1</v>
      </c>
      <c r="N419" s="167">
        <v>1</v>
      </c>
      <c r="O419" s="167">
        <v>1</v>
      </c>
      <c r="P419" s="167">
        <v>1</v>
      </c>
      <c r="Q419" s="167">
        <v>1</v>
      </c>
      <c r="R419" s="167">
        <v>3</v>
      </c>
      <c r="S419" s="167" t="s">
        <v>273</v>
      </c>
      <c r="T419" s="167" t="s">
        <v>2143</v>
      </c>
      <c r="U419" s="7">
        <v>13400</v>
      </c>
      <c r="V419" s="7">
        <v>12</v>
      </c>
      <c r="W419" s="47" t="str">
        <f t="shared" ca="1" si="17"/>
        <v>12階 コスト制限なし</v>
      </c>
      <c r="X419" s="47">
        <f ca="1">VLOOKUP($C419,OFFSET(quests!$A$1,0,0,COUNTA(quests!$A:$A),MATCH(X$2,quests!$1:$1,0)-MATCH($C$2,quests!$1:$1,0)+1),MATCH(X$2,quests!$1:$1,0)-MATCH($C$2,quests!$1:$1,0)+1,FALSE)</f>
        <v>0</v>
      </c>
      <c r="Y419" s="47">
        <f ca="1">VLOOKUP($C419,OFFSET(quests!$A$1,0,0,COUNTA(quests!$A:$A),MATCH(Y$2,quests!$1:$1,0)-MATCH($C$2,quests!$1:$1,0)+1),MATCH(Y$2,quests!$1:$1,0)-MATCH($C$2,quests!$1:$1,0)+1,FALSE)</f>
        <v>0</v>
      </c>
      <c r="Z419" s="47">
        <f ca="1">VLOOKUP($C419,OFFSET(quests!$A$1,0,0,COUNTA(quests!$A:$A),MATCH(Z$2,quests!$1:$1,0)-MATCH($C$2,quests!$1:$1,0)+1),MATCH(Z$2,quests!$1:$1,0)-MATCH($C$2,quests!$1:$1,0)+1,FALSE)</f>
        <v>0</v>
      </c>
      <c r="AA419" s="47">
        <f ca="1">VLOOKUP($C419,OFFSET(quests!$A$1,0,0,COUNTA(quests!$A:$A),MATCH(AA$2,quests!$1:$1,0)-MATCH($C$2,quests!$1:$1,0)+1),MATCH(AA$2,quests!$1:$1,0)-MATCH($C$2,quests!$1:$1,0)+1,FALSE)</f>
        <v>0</v>
      </c>
      <c r="AB419" s="7" t="s">
        <v>56</v>
      </c>
      <c r="AC419" s="167">
        <v>976</v>
      </c>
      <c r="AD419" s="7">
        <v>6</v>
      </c>
      <c r="AE419" s="7" t="s">
        <v>522</v>
      </c>
      <c r="AF419" s="167">
        <v>13</v>
      </c>
      <c r="AG419" s="167">
        <v>40</v>
      </c>
      <c r="AH419" s="167">
        <v>0</v>
      </c>
      <c r="AI419" s="7">
        <v>0</v>
      </c>
      <c r="AJ419" s="7">
        <v>-1</v>
      </c>
      <c r="AK419" s="7" t="s">
        <v>1064</v>
      </c>
      <c r="AL419" s="12" t="s">
        <v>1695</v>
      </c>
      <c r="AM419" s="12" t="s">
        <v>2072</v>
      </c>
    </row>
    <row r="420" spans="1:39" ht="21" customHeight="1" x14ac:dyDescent="0.15">
      <c r="A420" s="42" t="str">
        <f t="shared" si="18"/>
        <v>13400_14</v>
      </c>
      <c r="B420" s="23">
        <v>3</v>
      </c>
      <c r="C420" s="10">
        <v>13400</v>
      </c>
      <c r="D420" s="47" t="str">
        <f ca="1">VLOOKUP($C420,OFFSET(quests!$A$1,0,0,COUNTA(quests!$A:$A),MATCH(D$1,quests!$1:$1,0)-MATCH($C$2,quests!$1:$1,0)+1),MATCH(D$1,quests!$1:$1,0)-MATCH($C$2,quests!$1:$1,0)+1,FALSE)</f>
        <v>タワーオブザクイーン -エルフラム-</v>
      </c>
      <c r="E420" s="48" t="str">
        <f ca="1">VLOOKUP($C420,OFFSET(quests!$A$1,0,0,COUNTA(quests!$A:$A),MATCH(E$2,quests!$1:$1,0)-MATCH($C$2,quests!$1:$1,0)+1),MATCH(E$2,quests!$1:$1,0)-MATCH($C$2,quests!$1:$1,0)+1,FALSE)</f>
        <v>タワーオブザクイーン2本目</v>
      </c>
      <c r="F420" s="7">
        <v>14</v>
      </c>
      <c r="G420" s="7" t="s">
        <v>568</v>
      </c>
      <c r="H420" s="39" t="s">
        <v>1781</v>
      </c>
      <c r="I420" s="12" t="s">
        <v>1738</v>
      </c>
      <c r="J420" s="12">
        <v>614</v>
      </c>
      <c r="K420" s="188">
        <v>23</v>
      </c>
      <c r="L420" s="189">
        <v>5540</v>
      </c>
      <c r="M420" s="167">
        <v>1</v>
      </c>
      <c r="N420" s="167">
        <v>1</v>
      </c>
      <c r="O420" s="167">
        <v>1</v>
      </c>
      <c r="P420" s="167">
        <v>1</v>
      </c>
      <c r="Q420" s="167">
        <v>1</v>
      </c>
      <c r="R420" s="167">
        <v>3</v>
      </c>
      <c r="S420" s="167" t="s">
        <v>924</v>
      </c>
      <c r="T420" s="167" t="s">
        <v>2144</v>
      </c>
      <c r="U420" s="7">
        <v>13400</v>
      </c>
      <c r="V420" s="7">
        <v>13</v>
      </c>
      <c r="W420" s="47" t="str">
        <f t="shared" ca="1" si="17"/>
        <v>13階 コスト30以下限定</v>
      </c>
      <c r="X420" s="47">
        <f ca="1">VLOOKUP($C420,OFFSET(quests!$A$1,0,0,COUNTA(quests!$A:$A),MATCH(X$2,quests!$1:$1,0)-MATCH($C$2,quests!$1:$1,0)+1),MATCH(X$2,quests!$1:$1,0)-MATCH($C$2,quests!$1:$1,0)+1,FALSE)</f>
        <v>0</v>
      </c>
      <c r="Y420" s="47">
        <f ca="1">VLOOKUP($C420,OFFSET(quests!$A$1,0,0,COUNTA(quests!$A:$A),MATCH(Y$2,quests!$1:$1,0)-MATCH($C$2,quests!$1:$1,0)+1),MATCH(Y$2,quests!$1:$1,0)-MATCH($C$2,quests!$1:$1,0)+1,FALSE)</f>
        <v>0</v>
      </c>
      <c r="Z420" s="47">
        <f ca="1">VLOOKUP($C420,OFFSET(quests!$A$1,0,0,COUNTA(quests!$A:$A),MATCH(Z$2,quests!$1:$1,0)-MATCH($C$2,quests!$1:$1,0)+1),MATCH(Z$2,quests!$1:$1,0)-MATCH($C$2,quests!$1:$1,0)+1,FALSE)</f>
        <v>0</v>
      </c>
      <c r="AA420" s="47">
        <f ca="1">VLOOKUP($C420,OFFSET(quests!$A$1,0,0,COUNTA(quests!$A:$A),MATCH(AA$2,quests!$1:$1,0)-MATCH($C$2,quests!$1:$1,0)+1),MATCH(AA$2,quests!$1:$1,0)-MATCH($C$2,quests!$1:$1,0)+1,FALSE)</f>
        <v>0</v>
      </c>
      <c r="AB420" s="7" t="s">
        <v>56</v>
      </c>
      <c r="AC420" s="167">
        <v>976</v>
      </c>
      <c r="AD420" s="7">
        <v>6</v>
      </c>
      <c r="AE420" s="7" t="s">
        <v>522</v>
      </c>
      <c r="AF420" s="167">
        <v>13</v>
      </c>
      <c r="AG420" s="167">
        <v>0</v>
      </c>
      <c r="AH420" s="167">
        <v>0</v>
      </c>
      <c r="AI420" s="7">
        <v>0</v>
      </c>
      <c r="AJ420" s="7">
        <v>-1</v>
      </c>
      <c r="AK420" s="7" t="s">
        <v>1064</v>
      </c>
      <c r="AL420" s="12" t="s">
        <v>1695</v>
      </c>
      <c r="AM420" s="12" t="s">
        <v>2072</v>
      </c>
    </row>
    <row r="421" spans="1:39" ht="21" customHeight="1" x14ac:dyDescent="0.15">
      <c r="A421" s="42" t="str">
        <f>C421&amp;"_"&amp;F421</f>
        <v>13400_15</v>
      </c>
      <c r="B421" s="23">
        <v>3</v>
      </c>
      <c r="C421" s="10">
        <v>13400</v>
      </c>
      <c r="D421" s="47" t="str">
        <f ca="1">VLOOKUP($C421,OFFSET(quests!$A$1,0,0,COUNTA(quests!$A:$A),MATCH(D$1,quests!$1:$1,0)-MATCH($C$2,quests!$1:$1,0)+1),MATCH(D$1,quests!$1:$1,0)-MATCH($C$2,quests!$1:$1,0)+1,FALSE)</f>
        <v>タワーオブザクイーン -エルフラム-</v>
      </c>
      <c r="E421" s="48" t="str">
        <f ca="1">VLOOKUP($C421,OFFSET(quests!$A$1,0,0,COUNTA(quests!$A:$A),MATCH(E$2,quests!$1:$1,0)-MATCH($C$2,quests!$1:$1,0)+1),MATCH(E$2,quests!$1:$1,0)-MATCH($C$2,quests!$1:$1,0)+1,FALSE)</f>
        <v>タワーオブザクイーン2本目</v>
      </c>
      <c r="F421" s="7">
        <v>15</v>
      </c>
      <c r="G421" s="7" t="s">
        <v>568</v>
      </c>
      <c r="H421" s="39" t="s">
        <v>2209</v>
      </c>
      <c r="I421" s="12" t="s">
        <v>1738</v>
      </c>
      <c r="J421" s="23">
        <v>1269</v>
      </c>
      <c r="K421" s="188">
        <v>50</v>
      </c>
      <c r="L421" s="189">
        <v>10000</v>
      </c>
      <c r="M421" s="167">
        <v>1</v>
      </c>
      <c r="N421" s="167">
        <v>1</v>
      </c>
      <c r="O421" s="167">
        <v>1</v>
      </c>
      <c r="P421" s="167">
        <v>1</v>
      </c>
      <c r="Q421" s="167">
        <v>1</v>
      </c>
      <c r="R421" s="167">
        <v>3</v>
      </c>
      <c r="S421" s="167" t="s">
        <v>273</v>
      </c>
      <c r="T421" s="167">
        <v>1268</v>
      </c>
      <c r="U421" s="7">
        <v>13400</v>
      </c>
      <c r="V421" s="7">
        <v>14</v>
      </c>
      <c r="W421" s="47" t="str">
        <f t="shared" ca="1" si="17"/>
        <v>14階 コスト制限なし</v>
      </c>
      <c r="X421" s="47">
        <f ca="1">VLOOKUP($C421,OFFSET(quests!$A$1,0,0,COUNTA(quests!$A:$A),MATCH(X$2,quests!$1:$1,0)-MATCH($C$2,quests!$1:$1,0)+1),MATCH(X$2,quests!$1:$1,0)-MATCH($C$2,quests!$1:$1,0)+1,FALSE)</f>
        <v>0</v>
      </c>
      <c r="Y421" s="47">
        <f ca="1">VLOOKUP($C421,OFFSET(quests!$A$1,0,0,COUNTA(quests!$A:$A),MATCH(Y$2,quests!$1:$1,0)-MATCH($C$2,quests!$1:$1,0)+1),MATCH(Y$2,quests!$1:$1,0)-MATCH($C$2,quests!$1:$1,0)+1,FALSE)</f>
        <v>0</v>
      </c>
      <c r="Z421" s="47">
        <f ca="1">VLOOKUP($C421,OFFSET(quests!$A$1,0,0,COUNTA(quests!$A:$A),MATCH(Z$2,quests!$1:$1,0)-MATCH($C$2,quests!$1:$1,0)+1),MATCH(Z$2,quests!$1:$1,0)-MATCH($C$2,quests!$1:$1,0)+1,FALSE)</f>
        <v>0</v>
      </c>
      <c r="AA421" s="47">
        <f ca="1">VLOOKUP($C421,OFFSET(quests!$A$1,0,0,COUNTA(quests!$A:$A),MATCH(AA$2,quests!$1:$1,0)-MATCH($C$2,quests!$1:$1,0)+1),MATCH(AA$2,quests!$1:$1,0)-MATCH($C$2,quests!$1:$1,0)+1,FALSE)</f>
        <v>0</v>
      </c>
      <c r="AB421" s="7" t="s">
        <v>56</v>
      </c>
      <c r="AC421" s="167">
        <v>976</v>
      </c>
      <c r="AD421" s="7">
        <v>6</v>
      </c>
      <c r="AE421" s="7" t="s">
        <v>522</v>
      </c>
      <c r="AF421" s="167">
        <v>13</v>
      </c>
      <c r="AG421" s="167">
        <v>1330</v>
      </c>
      <c r="AH421" s="167">
        <v>10</v>
      </c>
      <c r="AI421" s="7">
        <v>0</v>
      </c>
      <c r="AJ421" s="7">
        <v>-1</v>
      </c>
      <c r="AK421" s="7" t="s">
        <v>1064</v>
      </c>
      <c r="AL421" s="12">
        <v>10</v>
      </c>
      <c r="AM421" s="12" t="s">
        <v>2072</v>
      </c>
    </row>
    <row r="422" spans="1:39" ht="21" customHeight="1" x14ac:dyDescent="0.15">
      <c r="A422" s="42" t="str">
        <f t="shared" si="16"/>
        <v>14001_1</v>
      </c>
      <c r="B422" s="23">
        <v>3</v>
      </c>
      <c r="C422" s="172">
        <v>14001</v>
      </c>
      <c r="D422" s="47" t="str">
        <f ca="1">VLOOKUP($C422,OFFSET(quests!$A$1,0,0,COUNTA(quests!$A:$A),MATCH(D$1,quests!$1:$1,0)-MATCH($C$2,quests!$1:$1,0)+1),MATCH(D$1,quests!$1:$1,0)-MATCH($C$2,quests!$1:$1,0)+1,FALSE)</f>
        <v>【ロック】経験値/ソロ</v>
      </c>
      <c r="E422" s="48" t="str">
        <f ca="1">VLOOKUP($C422,OFFSET(quests!$A$1,0,0,COUNTA(quests!$A:$A),MATCH(E$2,quests!$1:$1,0)-MATCH($C$2,quests!$1:$1,0)+1),MATCH(E$2,quests!$1:$1,0)-MATCH($C$2,quests!$1:$1,0)+1,FALSE)</f>
        <v>【ロック】経験値/ソロ</v>
      </c>
      <c r="F422" s="7">
        <v>1</v>
      </c>
      <c r="G422" s="7" t="s">
        <v>382</v>
      </c>
      <c r="H422" s="12" t="s">
        <v>898</v>
      </c>
      <c r="I422" s="12" t="s">
        <v>894</v>
      </c>
      <c r="J422" s="12">
        <v>347</v>
      </c>
      <c r="K422" s="167">
        <v>1</v>
      </c>
      <c r="L422" s="167">
        <v>500</v>
      </c>
      <c r="M422" s="167">
        <v>1</v>
      </c>
      <c r="N422" s="167">
        <v>1</v>
      </c>
      <c r="O422" s="167">
        <v>1</v>
      </c>
      <c r="P422" s="167">
        <v>1</v>
      </c>
      <c r="Q422" s="96">
        <v>0</v>
      </c>
      <c r="R422" s="167">
        <v>3</v>
      </c>
      <c r="S422" s="167" t="s">
        <v>79</v>
      </c>
      <c r="T422" s="167">
        <v>0</v>
      </c>
      <c r="U422" s="7" t="s">
        <v>169</v>
      </c>
      <c r="V422" s="7" t="s">
        <v>169</v>
      </c>
      <c r="W422" s="47" t="str">
        <f t="shared" ca="1" si="17"/>
        <v/>
      </c>
      <c r="X422" s="47">
        <f ca="1">VLOOKUP($C422,OFFSET(quests!$A$1,0,0,COUNTA(quests!$A:$A),MATCH(X$2,quests!$1:$1,0)-MATCH($C$2,quests!$1:$1,0)+1),MATCH(X$2,quests!$1:$1,0)-MATCH($C$2,quests!$1:$1,0)+1,FALSE)</f>
        <v>0</v>
      </c>
      <c r="Y422" s="47">
        <f ca="1">VLOOKUP($C422,OFFSET(quests!$A$1,0,0,COUNTA(quests!$A:$A),MATCH(Y$2,quests!$1:$1,0)-MATCH($C$2,quests!$1:$1,0)+1),MATCH(Y$2,quests!$1:$1,0)-MATCH($C$2,quests!$1:$1,0)+1,FALSE)</f>
        <v>0</v>
      </c>
      <c r="Z422" s="47">
        <f ca="1">VLOOKUP($C422,OFFSET(quests!$A$1,0,0,COUNTA(quests!$A:$A),MATCH(Z$2,quests!$1:$1,0)-MATCH($C$2,quests!$1:$1,0)+1),MATCH(Z$2,quests!$1:$1,0)-MATCH($C$2,quests!$1:$1,0)+1,FALSE)</f>
        <v>0</v>
      </c>
      <c r="AA422" s="47">
        <f ca="1">VLOOKUP($C422,OFFSET(quests!$A$1,0,0,COUNTA(quests!$A:$A),MATCH(AA$2,quests!$1:$1,0)-MATCH($C$2,quests!$1:$1,0)+1),MATCH(AA$2,quests!$1:$1,0)-MATCH($C$2,quests!$1:$1,0)+1,FALSE)</f>
        <v>0</v>
      </c>
      <c r="AB422" s="7" t="s">
        <v>56</v>
      </c>
      <c r="AC422" s="7">
        <v>12</v>
      </c>
      <c r="AD422" s="7">
        <v>6</v>
      </c>
      <c r="AE422" s="7" t="s">
        <v>522</v>
      </c>
      <c r="AF422" s="7">
        <v>15</v>
      </c>
      <c r="AG422" s="7">
        <v>0</v>
      </c>
      <c r="AH422" s="7">
        <v>0</v>
      </c>
      <c r="AI422" s="7">
        <v>-1</v>
      </c>
      <c r="AJ422" s="33">
        <v>30</v>
      </c>
      <c r="AK422" s="7" t="s">
        <v>1064</v>
      </c>
      <c r="AL422" s="12" t="s">
        <v>1695</v>
      </c>
      <c r="AM422" s="12" t="s">
        <v>2072</v>
      </c>
    </row>
    <row r="423" spans="1:39" ht="21" customHeight="1" x14ac:dyDescent="0.15">
      <c r="A423" s="42" t="str">
        <f t="shared" si="16"/>
        <v>14001_2</v>
      </c>
      <c r="B423" s="23">
        <v>3</v>
      </c>
      <c r="C423" s="172">
        <v>14001</v>
      </c>
      <c r="D423" s="47" t="str">
        <f ca="1">VLOOKUP($C423,OFFSET(quests!$A$1,0,0,COUNTA(quests!$A:$A),MATCH(D$1,quests!$1:$1,0)-MATCH($C$2,quests!$1:$1,0)+1),MATCH(D$1,quests!$1:$1,0)-MATCH($C$2,quests!$1:$1,0)+1,FALSE)</f>
        <v>【ロック】経験値/ソロ</v>
      </c>
      <c r="E423" s="48" t="str">
        <f ca="1">VLOOKUP($C423,OFFSET(quests!$A$1,0,0,COUNTA(quests!$A:$A),MATCH(E$2,quests!$1:$1,0)-MATCH($C$2,quests!$1:$1,0)+1),MATCH(E$2,quests!$1:$1,0)-MATCH($C$2,quests!$1:$1,0)+1,FALSE)</f>
        <v>【ロック】経験値/ソロ</v>
      </c>
      <c r="F423" s="7">
        <v>2</v>
      </c>
      <c r="G423" s="7" t="s">
        <v>382</v>
      </c>
      <c r="H423" s="12" t="s">
        <v>899</v>
      </c>
      <c r="I423" s="12" t="s">
        <v>894</v>
      </c>
      <c r="J423" s="12">
        <v>343</v>
      </c>
      <c r="K423" s="167">
        <v>1</v>
      </c>
      <c r="L423" s="167">
        <v>500</v>
      </c>
      <c r="M423" s="167">
        <v>1</v>
      </c>
      <c r="N423" s="167">
        <v>1</v>
      </c>
      <c r="O423" s="167">
        <v>1</v>
      </c>
      <c r="P423" s="167">
        <v>1</v>
      </c>
      <c r="Q423" s="96">
        <v>0</v>
      </c>
      <c r="R423" s="167">
        <v>3</v>
      </c>
      <c r="S423" s="167" t="s">
        <v>79</v>
      </c>
      <c r="T423" s="167">
        <v>0</v>
      </c>
      <c r="U423" s="7" t="s">
        <v>169</v>
      </c>
      <c r="V423" s="7" t="s">
        <v>169</v>
      </c>
      <c r="W423" s="47" t="str">
        <f t="shared" ca="1" si="17"/>
        <v/>
      </c>
      <c r="X423" s="47">
        <f ca="1">VLOOKUP($C423,OFFSET(quests!$A$1,0,0,COUNTA(quests!$A:$A),MATCH(X$2,quests!$1:$1,0)-MATCH($C$2,quests!$1:$1,0)+1),MATCH(X$2,quests!$1:$1,0)-MATCH($C$2,quests!$1:$1,0)+1,FALSE)</f>
        <v>0</v>
      </c>
      <c r="Y423" s="47">
        <f ca="1">VLOOKUP($C423,OFFSET(quests!$A$1,0,0,COUNTA(quests!$A:$A),MATCH(Y$2,quests!$1:$1,0)-MATCH($C$2,quests!$1:$1,0)+1),MATCH(Y$2,quests!$1:$1,0)-MATCH($C$2,quests!$1:$1,0)+1,FALSE)</f>
        <v>0</v>
      </c>
      <c r="Z423" s="47">
        <f ca="1">VLOOKUP($C423,OFFSET(quests!$A$1,0,0,COUNTA(quests!$A:$A),MATCH(Z$2,quests!$1:$1,0)-MATCH($C$2,quests!$1:$1,0)+1),MATCH(Z$2,quests!$1:$1,0)-MATCH($C$2,quests!$1:$1,0)+1,FALSE)</f>
        <v>0</v>
      </c>
      <c r="AA423" s="47">
        <f ca="1">VLOOKUP($C423,OFFSET(quests!$A$1,0,0,COUNTA(quests!$A:$A),MATCH(AA$2,quests!$1:$1,0)-MATCH($C$2,quests!$1:$1,0)+1),MATCH(AA$2,quests!$1:$1,0)-MATCH($C$2,quests!$1:$1,0)+1,FALSE)</f>
        <v>0</v>
      </c>
      <c r="AB423" s="7" t="s">
        <v>56</v>
      </c>
      <c r="AC423" s="7">
        <v>5</v>
      </c>
      <c r="AD423" s="7">
        <v>6</v>
      </c>
      <c r="AE423" s="7" t="s">
        <v>522</v>
      </c>
      <c r="AF423" s="7">
        <v>15</v>
      </c>
      <c r="AG423" s="7">
        <v>0</v>
      </c>
      <c r="AH423" s="7">
        <v>0</v>
      </c>
      <c r="AI423" s="7">
        <v>-1</v>
      </c>
      <c r="AJ423" s="33">
        <v>30</v>
      </c>
      <c r="AK423" s="7" t="s">
        <v>1064</v>
      </c>
      <c r="AL423" s="12" t="s">
        <v>1695</v>
      </c>
      <c r="AM423" s="12" t="s">
        <v>2072</v>
      </c>
    </row>
    <row r="424" spans="1:39" ht="21" customHeight="1" x14ac:dyDescent="0.15">
      <c r="A424" s="42" t="str">
        <f t="shared" si="16"/>
        <v>14001_3</v>
      </c>
      <c r="B424" s="23">
        <v>3</v>
      </c>
      <c r="C424" s="172">
        <v>14001</v>
      </c>
      <c r="D424" s="47" t="str">
        <f ca="1">VLOOKUP($C424,OFFSET(quests!$A$1,0,0,COUNTA(quests!$A:$A),MATCH(D$1,quests!$1:$1,0)-MATCH($C$2,quests!$1:$1,0)+1),MATCH(D$1,quests!$1:$1,0)-MATCH($C$2,quests!$1:$1,0)+1,FALSE)</f>
        <v>【ロック】経験値/ソロ</v>
      </c>
      <c r="E424" s="48" t="str">
        <f ca="1">VLOOKUP($C424,OFFSET(quests!$A$1,0,0,COUNTA(quests!$A:$A),MATCH(E$2,quests!$1:$1,0)-MATCH($C$2,quests!$1:$1,0)+1),MATCH(E$2,quests!$1:$1,0)-MATCH($C$2,quests!$1:$1,0)+1,FALSE)</f>
        <v>【ロック】経験値/ソロ</v>
      </c>
      <c r="F424" s="7">
        <v>3</v>
      </c>
      <c r="G424" s="7" t="s">
        <v>382</v>
      </c>
      <c r="H424" s="12" t="s">
        <v>900</v>
      </c>
      <c r="I424" s="12" t="s">
        <v>894</v>
      </c>
      <c r="J424" s="12">
        <v>339</v>
      </c>
      <c r="K424" s="167">
        <v>1</v>
      </c>
      <c r="L424" s="167">
        <v>500</v>
      </c>
      <c r="M424" s="167">
        <v>1</v>
      </c>
      <c r="N424" s="167">
        <v>1</v>
      </c>
      <c r="O424" s="167">
        <v>1</v>
      </c>
      <c r="P424" s="167">
        <v>1</v>
      </c>
      <c r="Q424" s="96">
        <v>0</v>
      </c>
      <c r="R424" s="167">
        <v>3</v>
      </c>
      <c r="S424" s="167" t="s">
        <v>79</v>
      </c>
      <c r="T424" s="167">
        <v>0</v>
      </c>
      <c r="U424" s="7" t="s">
        <v>169</v>
      </c>
      <c r="V424" s="7" t="s">
        <v>169</v>
      </c>
      <c r="W424" s="47" t="str">
        <f t="shared" ca="1" si="17"/>
        <v/>
      </c>
      <c r="X424" s="47">
        <f ca="1">VLOOKUP($C424,OFFSET(quests!$A$1,0,0,COUNTA(quests!$A:$A),MATCH(X$2,quests!$1:$1,0)-MATCH($C$2,quests!$1:$1,0)+1),MATCH(X$2,quests!$1:$1,0)-MATCH($C$2,quests!$1:$1,0)+1,FALSE)</f>
        <v>0</v>
      </c>
      <c r="Y424" s="47">
        <f ca="1">VLOOKUP($C424,OFFSET(quests!$A$1,0,0,COUNTA(quests!$A:$A),MATCH(Y$2,quests!$1:$1,0)-MATCH($C$2,quests!$1:$1,0)+1),MATCH(Y$2,quests!$1:$1,0)-MATCH($C$2,quests!$1:$1,0)+1,FALSE)</f>
        <v>0</v>
      </c>
      <c r="Z424" s="47">
        <f ca="1">VLOOKUP($C424,OFFSET(quests!$A$1,0,0,COUNTA(quests!$A:$A),MATCH(Z$2,quests!$1:$1,0)-MATCH($C$2,quests!$1:$1,0)+1),MATCH(Z$2,quests!$1:$1,0)-MATCH($C$2,quests!$1:$1,0)+1,FALSE)</f>
        <v>0</v>
      </c>
      <c r="AA424" s="47">
        <f ca="1">VLOOKUP($C424,OFFSET(quests!$A$1,0,0,COUNTA(quests!$A:$A),MATCH(AA$2,quests!$1:$1,0)-MATCH($C$2,quests!$1:$1,0)+1),MATCH(AA$2,quests!$1:$1,0)-MATCH($C$2,quests!$1:$1,0)+1,FALSE)</f>
        <v>0</v>
      </c>
      <c r="AB424" s="7" t="s">
        <v>56</v>
      </c>
      <c r="AC424" s="7">
        <v>7</v>
      </c>
      <c r="AD424" s="7">
        <v>6</v>
      </c>
      <c r="AE424" s="7" t="s">
        <v>522</v>
      </c>
      <c r="AF424" s="7">
        <v>15</v>
      </c>
      <c r="AG424" s="7">
        <v>0</v>
      </c>
      <c r="AH424" s="7">
        <v>0</v>
      </c>
      <c r="AI424" s="7">
        <v>-1</v>
      </c>
      <c r="AJ424" s="33">
        <v>30</v>
      </c>
      <c r="AK424" s="7" t="s">
        <v>1064</v>
      </c>
      <c r="AL424" s="12" t="s">
        <v>1695</v>
      </c>
      <c r="AM424" s="12" t="s">
        <v>2072</v>
      </c>
    </row>
    <row r="425" spans="1:39" ht="21" customHeight="1" x14ac:dyDescent="0.15">
      <c r="A425" s="42" t="str">
        <f t="shared" si="16"/>
        <v>14001_4</v>
      </c>
      <c r="B425" s="23">
        <v>3</v>
      </c>
      <c r="C425" s="172">
        <v>14001</v>
      </c>
      <c r="D425" s="47" t="str">
        <f ca="1">VLOOKUP($C425,OFFSET(quests!$A$1,0,0,COUNTA(quests!$A:$A),MATCH(D$1,quests!$1:$1,0)-MATCH($C$2,quests!$1:$1,0)+1),MATCH(D$1,quests!$1:$1,0)-MATCH($C$2,quests!$1:$1,0)+1,FALSE)</f>
        <v>【ロック】経験値/ソロ</v>
      </c>
      <c r="E425" s="48" t="str">
        <f ca="1">VLOOKUP($C425,OFFSET(quests!$A$1,0,0,COUNTA(quests!$A:$A),MATCH(E$2,quests!$1:$1,0)-MATCH($C$2,quests!$1:$1,0)+1),MATCH(E$2,quests!$1:$1,0)-MATCH($C$2,quests!$1:$1,0)+1,FALSE)</f>
        <v>【ロック】経験値/ソロ</v>
      </c>
      <c r="F425" s="7">
        <v>4</v>
      </c>
      <c r="G425" s="7" t="s">
        <v>382</v>
      </c>
      <c r="H425" s="12" t="s">
        <v>901</v>
      </c>
      <c r="I425" s="12" t="s">
        <v>894</v>
      </c>
      <c r="J425" s="12">
        <v>335</v>
      </c>
      <c r="K425" s="167">
        <v>1</v>
      </c>
      <c r="L425" s="167">
        <v>500</v>
      </c>
      <c r="M425" s="167">
        <v>1</v>
      </c>
      <c r="N425" s="167">
        <v>1</v>
      </c>
      <c r="O425" s="167">
        <v>1</v>
      </c>
      <c r="P425" s="167">
        <v>1</v>
      </c>
      <c r="Q425" s="96">
        <v>0</v>
      </c>
      <c r="R425" s="167">
        <v>3</v>
      </c>
      <c r="S425" s="167" t="s">
        <v>79</v>
      </c>
      <c r="T425" s="167">
        <v>0</v>
      </c>
      <c r="U425" s="7" t="s">
        <v>169</v>
      </c>
      <c r="V425" s="7" t="s">
        <v>169</v>
      </c>
      <c r="W425" s="47" t="str">
        <f t="shared" ca="1" si="17"/>
        <v/>
      </c>
      <c r="X425" s="47">
        <f ca="1">VLOOKUP($C425,OFFSET(quests!$A$1,0,0,COUNTA(quests!$A:$A),MATCH(X$2,quests!$1:$1,0)-MATCH($C$2,quests!$1:$1,0)+1),MATCH(X$2,quests!$1:$1,0)-MATCH($C$2,quests!$1:$1,0)+1,FALSE)</f>
        <v>0</v>
      </c>
      <c r="Y425" s="47">
        <f ca="1">VLOOKUP($C425,OFFSET(quests!$A$1,0,0,COUNTA(quests!$A:$A),MATCH(Y$2,quests!$1:$1,0)-MATCH($C$2,quests!$1:$1,0)+1),MATCH(Y$2,quests!$1:$1,0)-MATCH($C$2,quests!$1:$1,0)+1,FALSE)</f>
        <v>0</v>
      </c>
      <c r="Z425" s="47">
        <f ca="1">VLOOKUP($C425,OFFSET(quests!$A$1,0,0,COUNTA(quests!$A:$A),MATCH(Z$2,quests!$1:$1,0)-MATCH($C$2,quests!$1:$1,0)+1),MATCH(Z$2,quests!$1:$1,0)-MATCH($C$2,quests!$1:$1,0)+1,FALSE)</f>
        <v>0</v>
      </c>
      <c r="AA425" s="47">
        <f ca="1">VLOOKUP($C425,OFFSET(quests!$A$1,0,0,COUNTA(quests!$A:$A),MATCH(AA$2,quests!$1:$1,0)-MATCH($C$2,quests!$1:$1,0)+1),MATCH(AA$2,quests!$1:$1,0)-MATCH($C$2,quests!$1:$1,0)+1,FALSE)</f>
        <v>0</v>
      </c>
      <c r="AB425" s="7" t="s">
        <v>56</v>
      </c>
      <c r="AC425" s="7">
        <v>10</v>
      </c>
      <c r="AD425" s="7">
        <v>6</v>
      </c>
      <c r="AE425" s="7" t="s">
        <v>522</v>
      </c>
      <c r="AF425" s="7">
        <v>15</v>
      </c>
      <c r="AG425" s="7">
        <v>0</v>
      </c>
      <c r="AH425" s="7">
        <v>0</v>
      </c>
      <c r="AI425" s="7">
        <v>-1</v>
      </c>
      <c r="AJ425" s="33">
        <v>30</v>
      </c>
      <c r="AK425" s="7" t="s">
        <v>1064</v>
      </c>
      <c r="AL425" s="12" t="s">
        <v>1695</v>
      </c>
      <c r="AM425" s="12" t="s">
        <v>2072</v>
      </c>
    </row>
    <row r="426" spans="1:39" ht="21" customHeight="1" x14ac:dyDescent="0.15">
      <c r="A426" s="42" t="str">
        <f t="shared" si="16"/>
        <v>14001_5</v>
      </c>
      <c r="B426" s="39">
        <v>0</v>
      </c>
      <c r="C426" s="172">
        <v>14001</v>
      </c>
      <c r="D426" s="47" t="str">
        <f ca="1">VLOOKUP($C426,OFFSET(quests!$A$1,0,0,COUNTA(quests!$A:$A),MATCH(D$1,quests!$1:$1,0)-MATCH($C$2,quests!$1:$1,0)+1),MATCH(D$1,quests!$1:$1,0)-MATCH($C$2,quests!$1:$1,0)+1,FALSE)</f>
        <v>【ロック】経験値/ソロ</v>
      </c>
      <c r="E426" s="48" t="str">
        <f ca="1">VLOOKUP($C426,OFFSET(quests!$A$1,0,0,COUNTA(quests!$A:$A),MATCH(E$2,quests!$1:$1,0)-MATCH($C$2,quests!$1:$1,0)+1),MATCH(E$2,quests!$1:$1,0)-MATCH($C$2,quests!$1:$1,0)+1,FALSE)</f>
        <v>【ロック】経験値/ソロ</v>
      </c>
      <c r="F426" s="7">
        <v>5</v>
      </c>
      <c r="G426" s="7" t="s">
        <v>382</v>
      </c>
      <c r="H426" s="95" t="s">
        <v>1183</v>
      </c>
      <c r="I426" s="12" t="s">
        <v>894</v>
      </c>
      <c r="J426" s="12">
        <v>334</v>
      </c>
      <c r="K426" s="167">
        <v>1</v>
      </c>
      <c r="L426" s="167">
        <v>350</v>
      </c>
      <c r="M426" s="167">
        <v>1</v>
      </c>
      <c r="N426" s="167">
        <v>1</v>
      </c>
      <c r="O426" s="167">
        <v>1</v>
      </c>
      <c r="P426" s="167">
        <v>1</v>
      </c>
      <c r="Q426" s="96">
        <v>0</v>
      </c>
      <c r="R426" s="167">
        <v>3</v>
      </c>
      <c r="S426" s="167" t="s">
        <v>79</v>
      </c>
      <c r="T426" s="167">
        <v>0</v>
      </c>
      <c r="U426" s="7" t="s">
        <v>169</v>
      </c>
      <c r="V426" s="7" t="s">
        <v>169</v>
      </c>
      <c r="W426" s="47" t="str">
        <f t="shared" ca="1" si="17"/>
        <v/>
      </c>
      <c r="X426" s="47">
        <f ca="1">VLOOKUP($C426,OFFSET(quests!$A$1,0,0,COUNTA(quests!$A:$A),MATCH(X$2,quests!$1:$1,0)-MATCH($C$2,quests!$1:$1,0)+1),MATCH(X$2,quests!$1:$1,0)-MATCH($C$2,quests!$1:$1,0)+1,FALSE)</f>
        <v>0</v>
      </c>
      <c r="Y426" s="47">
        <f ca="1">VLOOKUP($C426,OFFSET(quests!$A$1,0,0,COUNTA(quests!$A:$A),MATCH(Y$2,quests!$1:$1,0)-MATCH($C$2,quests!$1:$1,0)+1),MATCH(Y$2,quests!$1:$1,0)-MATCH($C$2,quests!$1:$1,0)+1,FALSE)</f>
        <v>0</v>
      </c>
      <c r="Z426" s="47">
        <f ca="1">VLOOKUP($C426,OFFSET(quests!$A$1,0,0,COUNTA(quests!$A:$A),MATCH(Z$2,quests!$1:$1,0)-MATCH($C$2,quests!$1:$1,0)+1),MATCH(Z$2,quests!$1:$1,0)-MATCH($C$2,quests!$1:$1,0)+1,FALSE)</f>
        <v>0</v>
      </c>
      <c r="AA426" s="47">
        <f ca="1">VLOOKUP($C426,OFFSET(quests!$A$1,0,0,COUNTA(quests!$A:$A),MATCH(AA$2,quests!$1:$1,0)-MATCH($C$2,quests!$1:$1,0)+1),MATCH(AA$2,quests!$1:$1,0)-MATCH($C$2,quests!$1:$1,0)+1,FALSE)</f>
        <v>0</v>
      </c>
      <c r="AB426" s="7" t="s">
        <v>56</v>
      </c>
      <c r="AC426" s="7">
        <v>201</v>
      </c>
      <c r="AD426" s="7">
        <v>6</v>
      </c>
      <c r="AE426" s="7" t="s">
        <v>522</v>
      </c>
      <c r="AF426" s="7">
        <v>15</v>
      </c>
      <c r="AG426" s="7">
        <v>0</v>
      </c>
      <c r="AH426" s="7">
        <v>0</v>
      </c>
      <c r="AI426" s="7">
        <v>-1</v>
      </c>
      <c r="AJ426" s="33">
        <v>80</v>
      </c>
      <c r="AK426" s="7" t="s">
        <v>1064</v>
      </c>
      <c r="AL426" s="12" t="s">
        <v>1695</v>
      </c>
      <c r="AM426" s="12" t="s">
        <v>2072</v>
      </c>
    </row>
    <row r="427" spans="1:39" ht="21" customHeight="1" x14ac:dyDescent="0.15">
      <c r="A427" s="42" t="str">
        <f t="shared" si="16"/>
        <v>14001_6</v>
      </c>
      <c r="B427" s="39">
        <v>0</v>
      </c>
      <c r="C427" s="172">
        <v>14001</v>
      </c>
      <c r="D427" s="47" t="str">
        <f ca="1">VLOOKUP($C427,OFFSET(quests!$A$1,0,0,COUNTA(quests!$A:$A),MATCH(D$1,quests!$1:$1,0)-MATCH($C$2,quests!$1:$1,0)+1),MATCH(D$1,quests!$1:$1,0)-MATCH($C$2,quests!$1:$1,0)+1,FALSE)</f>
        <v>【ロック】経験値/ソロ</v>
      </c>
      <c r="E427" s="48" t="str">
        <f ca="1">VLOOKUP($C427,OFFSET(quests!$A$1,0,0,COUNTA(quests!$A:$A),MATCH(E$2,quests!$1:$1,0)-MATCH($C$2,quests!$1:$1,0)+1),MATCH(E$2,quests!$1:$1,0)-MATCH($C$2,quests!$1:$1,0)+1,FALSE)</f>
        <v>【ロック】経験値/ソロ</v>
      </c>
      <c r="F427" s="7">
        <v>6</v>
      </c>
      <c r="G427" s="7" t="s">
        <v>382</v>
      </c>
      <c r="H427" s="95" t="s">
        <v>1184</v>
      </c>
      <c r="I427" s="12" t="s">
        <v>894</v>
      </c>
      <c r="J427" s="12">
        <v>334</v>
      </c>
      <c r="K427" s="167">
        <v>1</v>
      </c>
      <c r="L427" s="167">
        <v>350</v>
      </c>
      <c r="M427" s="167">
        <v>1</v>
      </c>
      <c r="N427" s="167">
        <v>1</v>
      </c>
      <c r="O427" s="167">
        <v>1</v>
      </c>
      <c r="P427" s="167">
        <v>1</v>
      </c>
      <c r="Q427" s="96">
        <v>0</v>
      </c>
      <c r="R427" s="167">
        <v>3</v>
      </c>
      <c r="S427" s="167" t="s">
        <v>79</v>
      </c>
      <c r="T427" s="167">
        <v>0</v>
      </c>
      <c r="U427" s="7" t="s">
        <v>169</v>
      </c>
      <c r="V427" s="7" t="s">
        <v>169</v>
      </c>
      <c r="W427" s="47" t="str">
        <f t="shared" ca="1" si="17"/>
        <v/>
      </c>
      <c r="X427" s="47">
        <f ca="1">VLOOKUP($C427,OFFSET(quests!$A$1,0,0,COUNTA(quests!$A:$A),MATCH(X$2,quests!$1:$1,0)-MATCH($C$2,quests!$1:$1,0)+1),MATCH(X$2,quests!$1:$1,0)-MATCH($C$2,quests!$1:$1,0)+1,FALSE)</f>
        <v>0</v>
      </c>
      <c r="Y427" s="47">
        <f ca="1">VLOOKUP($C427,OFFSET(quests!$A$1,0,0,COUNTA(quests!$A:$A),MATCH(Y$2,quests!$1:$1,0)-MATCH($C$2,quests!$1:$1,0)+1),MATCH(Y$2,quests!$1:$1,0)-MATCH($C$2,quests!$1:$1,0)+1,FALSE)</f>
        <v>0</v>
      </c>
      <c r="Z427" s="47">
        <f ca="1">VLOOKUP($C427,OFFSET(quests!$A$1,0,0,COUNTA(quests!$A:$A),MATCH(Z$2,quests!$1:$1,0)-MATCH($C$2,quests!$1:$1,0)+1),MATCH(Z$2,quests!$1:$1,0)-MATCH($C$2,quests!$1:$1,0)+1,FALSE)</f>
        <v>0</v>
      </c>
      <c r="AA427" s="47">
        <f ca="1">VLOOKUP($C427,OFFSET(quests!$A$1,0,0,COUNTA(quests!$A:$A),MATCH(AA$2,quests!$1:$1,0)-MATCH($C$2,quests!$1:$1,0)+1),MATCH(AA$2,quests!$1:$1,0)-MATCH($C$2,quests!$1:$1,0)+1,FALSE)</f>
        <v>0</v>
      </c>
      <c r="AB427" s="7" t="s">
        <v>56</v>
      </c>
      <c r="AC427" s="7">
        <v>201</v>
      </c>
      <c r="AD427" s="7">
        <v>6</v>
      </c>
      <c r="AE427" s="7" t="s">
        <v>522</v>
      </c>
      <c r="AF427" s="7">
        <v>15</v>
      </c>
      <c r="AG427" s="7">
        <v>0</v>
      </c>
      <c r="AH427" s="7">
        <v>0</v>
      </c>
      <c r="AI427" s="7">
        <v>-1</v>
      </c>
      <c r="AJ427" s="33">
        <v>80</v>
      </c>
      <c r="AK427" s="7" t="s">
        <v>1064</v>
      </c>
      <c r="AL427" s="12" t="s">
        <v>1695</v>
      </c>
      <c r="AM427" s="12" t="s">
        <v>2072</v>
      </c>
    </row>
    <row r="428" spans="1:39" ht="21" customHeight="1" x14ac:dyDescent="0.15">
      <c r="A428" s="42" t="str">
        <f t="shared" si="16"/>
        <v>14001_7</v>
      </c>
      <c r="B428" s="39">
        <v>0</v>
      </c>
      <c r="C428" s="172">
        <v>14001</v>
      </c>
      <c r="D428" s="47" t="str">
        <f ca="1">VLOOKUP($C428,OFFSET(quests!$A$1,0,0,COUNTA(quests!$A:$A),MATCH(D$1,quests!$1:$1,0)-MATCH($C$2,quests!$1:$1,0)+1),MATCH(D$1,quests!$1:$1,0)-MATCH($C$2,quests!$1:$1,0)+1,FALSE)</f>
        <v>【ロック】経験値/ソロ</v>
      </c>
      <c r="E428" s="48" t="str">
        <f ca="1">VLOOKUP($C428,OFFSET(quests!$A$1,0,0,COUNTA(quests!$A:$A),MATCH(E$2,quests!$1:$1,0)-MATCH($C$2,quests!$1:$1,0)+1),MATCH(E$2,quests!$1:$1,0)-MATCH($C$2,quests!$1:$1,0)+1,FALSE)</f>
        <v>【ロック】経験値/ソロ</v>
      </c>
      <c r="F428" s="7">
        <v>7</v>
      </c>
      <c r="G428" s="7" t="s">
        <v>382</v>
      </c>
      <c r="H428" s="95" t="s">
        <v>1185</v>
      </c>
      <c r="I428" s="12" t="s">
        <v>894</v>
      </c>
      <c r="J428" s="12">
        <v>334</v>
      </c>
      <c r="K428" s="167">
        <v>1</v>
      </c>
      <c r="L428" s="167">
        <v>350</v>
      </c>
      <c r="M428" s="167">
        <v>1</v>
      </c>
      <c r="N428" s="167">
        <v>1</v>
      </c>
      <c r="O428" s="167">
        <v>1</v>
      </c>
      <c r="P428" s="167">
        <v>1</v>
      </c>
      <c r="Q428" s="96">
        <v>0</v>
      </c>
      <c r="R428" s="167">
        <v>3</v>
      </c>
      <c r="S428" s="167" t="s">
        <v>79</v>
      </c>
      <c r="T428" s="167">
        <v>0</v>
      </c>
      <c r="U428" s="7" t="s">
        <v>169</v>
      </c>
      <c r="V428" s="7" t="s">
        <v>169</v>
      </c>
      <c r="W428" s="47" t="str">
        <f t="shared" ca="1" si="17"/>
        <v/>
      </c>
      <c r="X428" s="47">
        <f ca="1">VLOOKUP($C428,OFFSET(quests!$A$1,0,0,COUNTA(quests!$A:$A),MATCH(X$2,quests!$1:$1,0)-MATCH($C$2,quests!$1:$1,0)+1),MATCH(X$2,quests!$1:$1,0)-MATCH($C$2,quests!$1:$1,0)+1,FALSE)</f>
        <v>0</v>
      </c>
      <c r="Y428" s="47">
        <f ca="1">VLOOKUP($C428,OFFSET(quests!$A$1,0,0,COUNTA(quests!$A:$A),MATCH(Y$2,quests!$1:$1,0)-MATCH($C$2,quests!$1:$1,0)+1),MATCH(Y$2,quests!$1:$1,0)-MATCH($C$2,quests!$1:$1,0)+1,FALSE)</f>
        <v>0</v>
      </c>
      <c r="Z428" s="47">
        <f ca="1">VLOOKUP($C428,OFFSET(quests!$A$1,0,0,COUNTA(quests!$A:$A),MATCH(Z$2,quests!$1:$1,0)-MATCH($C$2,quests!$1:$1,0)+1),MATCH(Z$2,quests!$1:$1,0)-MATCH($C$2,quests!$1:$1,0)+1,FALSE)</f>
        <v>0</v>
      </c>
      <c r="AA428" s="47">
        <f ca="1">VLOOKUP($C428,OFFSET(quests!$A$1,0,0,COUNTA(quests!$A:$A),MATCH(AA$2,quests!$1:$1,0)-MATCH($C$2,quests!$1:$1,0)+1),MATCH(AA$2,quests!$1:$1,0)-MATCH($C$2,quests!$1:$1,0)+1,FALSE)</f>
        <v>0</v>
      </c>
      <c r="AB428" s="7" t="s">
        <v>56</v>
      </c>
      <c r="AC428" s="7">
        <v>201</v>
      </c>
      <c r="AD428" s="7">
        <v>6</v>
      </c>
      <c r="AE428" s="7" t="s">
        <v>522</v>
      </c>
      <c r="AF428" s="7">
        <v>15</v>
      </c>
      <c r="AG428" s="7">
        <v>0</v>
      </c>
      <c r="AH428" s="7">
        <v>0</v>
      </c>
      <c r="AI428" s="7">
        <v>-1</v>
      </c>
      <c r="AJ428" s="33">
        <v>80</v>
      </c>
      <c r="AK428" s="7" t="s">
        <v>1064</v>
      </c>
      <c r="AL428" s="12" t="s">
        <v>1695</v>
      </c>
      <c r="AM428" s="12" t="s">
        <v>2072</v>
      </c>
    </row>
    <row r="429" spans="1:39" ht="21" customHeight="1" x14ac:dyDescent="0.15">
      <c r="A429" s="42" t="str">
        <f t="shared" si="16"/>
        <v>14001_8</v>
      </c>
      <c r="B429" s="39">
        <v>0</v>
      </c>
      <c r="C429" s="172">
        <v>14001</v>
      </c>
      <c r="D429" s="47" t="str">
        <f ca="1">VLOOKUP($C429,OFFSET(quests!$A$1,0,0,COUNTA(quests!$A:$A),MATCH(D$1,quests!$1:$1,0)-MATCH($C$2,quests!$1:$1,0)+1),MATCH(D$1,quests!$1:$1,0)-MATCH($C$2,quests!$1:$1,0)+1,FALSE)</f>
        <v>【ロック】経験値/ソロ</v>
      </c>
      <c r="E429" s="48" t="str">
        <f ca="1">VLOOKUP($C429,OFFSET(quests!$A$1,0,0,COUNTA(quests!$A:$A),MATCH(E$2,quests!$1:$1,0)-MATCH($C$2,quests!$1:$1,0)+1),MATCH(E$2,quests!$1:$1,0)-MATCH($C$2,quests!$1:$1,0)+1,FALSE)</f>
        <v>【ロック】経験値/ソロ</v>
      </c>
      <c r="F429" s="7">
        <v>8</v>
      </c>
      <c r="G429" s="7" t="s">
        <v>382</v>
      </c>
      <c r="H429" s="95" t="s">
        <v>1186</v>
      </c>
      <c r="I429" s="12" t="s">
        <v>894</v>
      </c>
      <c r="J429" s="12">
        <v>334</v>
      </c>
      <c r="K429" s="167">
        <v>1</v>
      </c>
      <c r="L429" s="167">
        <v>350</v>
      </c>
      <c r="M429" s="167">
        <v>1</v>
      </c>
      <c r="N429" s="167">
        <v>1</v>
      </c>
      <c r="O429" s="167">
        <v>1</v>
      </c>
      <c r="P429" s="167">
        <v>1</v>
      </c>
      <c r="Q429" s="96">
        <v>0</v>
      </c>
      <c r="R429" s="167">
        <v>3</v>
      </c>
      <c r="S429" s="167" t="s">
        <v>79</v>
      </c>
      <c r="T429" s="167">
        <v>0</v>
      </c>
      <c r="U429" s="7" t="s">
        <v>169</v>
      </c>
      <c r="V429" s="7" t="s">
        <v>169</v>
      </c>
      <c r="W429" s="47" t="str">
        <f t="shared" ca="1" si="17"/>
        <v/>
      </c>
      <c r="X429" s="47">
        <f ca="1">VLOOKUP($C429,OFFSET(quests!$A$1,0,0,COUNTA(quests!$A:$A),MATCH(X$2,quests!$1:$1,0)-MATCH($C$2,quests!$1:$1,0)+1),MATCH(X$2,quests!$1:$1,0)-MATCH($C$2,quests!$1:$1,0)+1,FALSE)</f>
        <v>0</v>
      </c>
      <c r="Y429" s="47">
        <f ca="1">VLOOKUP($C429,OFFSET(quests!$A$1,0,0,COUNTA(quests!$A:$A),MATCH(Y$2,quests!$1:$1,0)-MATCH($C$2,quests!$1:$1,0)+1),MATCH(Y$2,quests!$1:$1,0)-MATCH($C$2,quests!$1:$1,0)+1,FALSE)</f>
        <v>0</v>
      </c>
      <c r="Z429" s="47">
        <f ca="1">VLOOKUP($C429,OFFSET(quests!$A$1,0,0,COUNTA(quests!$A:$A),MATCH(Z$2,quests!$1:$1,0)-MATCH($C$2,quests!$1:$1,0)+1),MATCH(Z$2,quests!$1:$1,0)-MATCH($C$2,quests!$1:$1,0)+1,FALSE)</f>
        <v>0</v>
      </c>
      <c r="AA429" s="47">
        <f ca="1">VLOOKUP($C429,OFFSET(quests!$A$1,0,0,COUNTA(quests!$A:$A),MATCH(AA$2,quests!$1:$1,0)-MATCH($C$2,quests!$1:$1,0)+1),MATCH(AA$2,quests!$1:$1,0)-MATCH($C$2,quests!$1:$1,0)+1,FALSE)</f>
        <v>0</v>
      </c>
      <c r="AB429" s="7" t="s">
        <v>56</v>
      </c>
      <c r="AC429" s="7">
        <v>201</v>
      </c>
      <c r="AD429" s="7">
        <v>6</v>
      </c>
      <c r="AE429" s="7" t="s">
        <v>522</v>
      </c>
      <c r="AF429" s="7">
        <v>15</v>
      </c>
      <c r="AG429" s="7">
        <v>0</v>
      </c>
      <c r="AH429" s="7">
        <v>0</v>
      </c>
      <c r="AI429" s="7">
        <v>-1</v>
      </c>
      <c r="AJ429" s="33">
        <v>80</v>
      </c>
      <c r="AK429" s="7" t="s">
        <v>1064</v>
      </c>
      <c r="AL429" s="12" t="s">
        <v>1695</v>
      </c>
      <c r="AM429" s="12" t="s">
        <v>2072</v>
      </c>
    </row>
    <row r="430" spans="1:39" ht="21" customHeight="1" x14ac:dyDescent="0.15">
      <c r="A430" s="42" t="str">
        <f t="shared" si="16"/>
        <v>14002_1</v>
      </c>
      <c r="B430" s="23">
        <v>3</v>
      </c>
      <c r="C430" s="172">
        <v>14002</v>
      </c>
      <c r="D430" s="47" t="str">
        <f ca="1">VLOOKUP($C430,OFFSET(quests!$A$1,0,0,COUNTA(quests!$A:$A),MATCH(D$1,quests!$1:$1,0)-MATCH($C$2,quests!$1:$1,0)+1),MATCH(D$1,quests!$1:$1,0)-MATCH($C$2,quests!$1:$1,0)+1,FALSE)</f>
        <v>【ロック】ビット/ソロ</v>
      </c>
      <c r="E430" s="48" t="str">
        <f ca="1">VLOOKUP($C430,OFFSET(quests!$A$1,0,0,COUNTA(quests!$A:$A),MATCH(E$2,quests!$1:$1,0)-MATCH($C$2,quests!$1:$1,0)+1),MATCH(E$2,quests!$1:$1,0)-MATCH($C$2,quests!$1:$1,0)+1,FALSE)</f>
        <v>【ロック】ビット/ソロ</v>
      </c>
      <c r="F430" s="34">
        <v>1</v>
      </c>
      <c r="G430" s="7" t="s">
        <v>382</v>
      </c>
      <c r="H430" s="37" t="s">
        <v>897</v>
      </c>
      <c r="I430" s="12" t="s">
        <v>895</v>
      </c>
      <c r="J430" s="37">
        <v>119</v>
      </c>
      <c r="K430" s="167">
        <v>1</v>
      </c>
      <c r="L430" s="167">
        <v>777</v>
      </c>
      <c r="M430" s="159">
        <v>1</v>
      </c>
      <c r="N430" s="159">
        <v>1</v>
      </c>
      <c r="O430" s="159">
        <v>1</v>
      </c>
      <c r="P430" s="159">
        <v>1</v>
      </c>
      <c r="Q430" s="196">
        <v>0</v>
      </c>
      <c r="R430" s="159">
        <v>3</v>
      </c>
      <c r="S430" s="167" t="s">
        <v>79</v>
      </c>
      <c r="T430" s="167">
        <v>0</v>
      </c>
      <c r="U430" s="7" t="s">
        <v>169</v>
      </c>
      <c r="V430" s="7" t="s">
        <v>169</v>
      </c>
      <c r="W430" s="47" t="str">
        <f t="shared" ca="1" si="17"/>
        <v/>
      </c>
      <c r="X430" s="47">
        <f ca="1">VLOOKUP($C430,OFFSET(quests!$A$1,0,0,COUNTA(quests!$A:$A),MATCH(X$2,quests!$1:$1,0)-MATCH($C$2,quests!$1:$1,0)+1),MATCH(X$2,quests!$1:$1,0)-MATCH($C$2,quests!$1:$1,0)+1,FALSE)</f>
        <v>0</v>
      </c>
      <c r="Y430" s="47">
        <f ca="1">VLOOKUP($C430,OFFSET(quests!$A$1,0,0,COUNTA(quests!$A:$A),MATCH(Y$2,quests!$1:$1,0)-MATCH($C$2,quests!$1:$1,0)+1),MATCH(Y$2,quests!$1:$1,0)-MATCH($C$2,quests!$1:$1,0)+1,FALSE)</f>
        <v>0</v>
      </c>
      <c r="Z430" s="47">
        <f ca="1">VLOOKUP($C430,OFFSET(quests!$A$1,0,0,COUNTA(quests!$A:$A),MATCH(Z$2,quests!$1:$1,0)-MATCH($C$2,quests!$1:$1,0)+1),MATCH(Z$2,quests!$1:$1,0)-MATCH($C$2,quests!$1:$1,0)+1,FALSE)</f>
        <v>0</v>
      </c>
      <c r="AA430" s="47">
        <f ca="1">VLOOKUP($C430,OFFSET(quests!$A$1,0,0,COUNTA(quests!$A:$A),MATCH(AA$2,quests!$1:$1,0)-MATCH($C$2,quests!$1:$1,0)+1),MATCH(AA$2,quests!$1:$1,0)-MATCH($C$2,quests!$1:$1,0)+1,FALSE)</f>
        <v>0</v>
      </c>
      <c r="AB430" s="34" t="s">
        <v>56</v>
      </c>
      <c r="AC430" s="7">
        <v>105</v>
      </c>
      <c r="AD430" s="7">
        <v>6</v>
      </c>
      <c r="AE430" s="7" t="s">
        <v>522</v>
      </c>
      <c r="AF430" s="7">
        <v>1</v>
      </c>
      <c r="AG430" s="7">
        <v>0</v>
      </c>
      <c r="AH430" s="7">
        <v>0</v>
      </c>
      <c r="AI430" s="7">
        <v>-1</v>
      </c>
      <c r="AJ430" s="33">
        <v>30</v>
      </c>
      <c r="AK430" s="7" t="s">
        <v>1064</v>
      </c>
      <c r="AL430" s="12" t="s">
        <v>1695</v>
      </c>
      <c r="AM430" s="12" t="s">
        <v>2072</v>
      </c>
    </row>
    <row r="431" spans="1:39" ht="21" customHeight="1" x14ac:dyDescent="0.15">
      <c r="A431" s="42" t="str">
        <f t="shared" si="16"/>
        <v>14002_2</v>
      </c>
      <c r="B431" s="39">
        <v>0</v>
      </c>
      <c r="C431" s="172">
        <v>14002</v>
      </c>
      <c r="D431" s="47" t="str">
        <f ca="1">VLOOKUP($C431,OFFSET(quests!$A$1,0,0,COUNTA(quests!$A:$A),MATCH(D$1,quests!$1:$1,0)-MATCH($C$2,quests!$1:$1,0)+1),MATCH(D$1,quests!$1:$1,0)-MATCH($C$2,quests!$1:$1,0)+1,FALSE)</f>
        <v>【ロック】ビット/ソロ</v>
      </c>
      <c r="E431" s="48" t="str">
        <f ca="1">VLOOKUP($C431,OFFSET(quests!$A$1,0,0,COUNTA(quests!$A:$A),MATCH(E$2,quests!$1:$1,0)-MATCH($C$2,quests!$1:$1,0)+1),MATCH(E$2,quests!$1:$1,0)-MATCH($C$2,quests!$1:$1,0)+1,FALSE)</f>
        <v>【ロック】ビット/ソロ</v>
      </c>
      <c r="F431" s="34">
        <v>2</v>
      </c>
      <c r="G431" s="7" t="s">
        <v>382</v>
      </c>
      <c r="H431" s="37" t="s">
        <v>1154</v>
      </c>
      <c r="I431" s="12" t="s">
        <v>895</v>
      </c>
      <c r="J431" s="37">
        <v>119</v>
      </c>
      <c r="K431" s="167">
        <v>1</v>
      </c>
      <c r="L431" s="167">
        <v>350</v>
      </c>
      <c r="M431" s="159">
        <v>1</v>
      </c>
      <c r="N431" s="159">
        <v>1</v>
      </c>
      <c r="O431" s="159">
        <v>1</v>
      </c>
      <c r="P431" s="159">
        <v>1</v>
      </c>
      <c r="Q431" s="196">
        <v>0</v>
      </c>
      <c r="R431" s="159">
        <v>3</v>
      </c>
      <c r="S431" s="167" t="s">
        <v>79</v>
      </c>
      <c r="T431" s="167">
        <v>0</v>
      </c>
      <c r="U431" s="7" t="s">
        <v>169</v>
      </c>
      <c r="V431" s="7" t="s">
        <v>169</v>
      </c>
      <c r="W431" s="47" t="str">
        <f t="shared" ca="1" si="17"/>
        <v/>
      </c>
      <c r="X431" s="47">
        <f ca="1">VLOOKUP($C431,OFFSET(quests!$A$1,0,0,COUNTA(quests!$A:$A),MATCH(X$2,quests!$1:$1,0)-MATCH($C$2,quests!$1:$1,0)+1),MATCH(X$2,quests!$1:$1,0)-MATCH($C$2,quests!$1:$1,0)+1,FALSE)</f>
        <v>0</v>
      </c>
      <c r="Y431" s="47">
        <f ca="1">VLOOKUP($C431,OFFSET(quests!$A$1,0,0,COUNTA(quests!$A:$A),MATCH(Y$2,quests!$1:$1,0)-MATCH($C$2,quests!$1:$1,0)+1),MATCH(Y$2,quests!$1:$1,0)-MATCH($C$2,quests!$1:$1,0)+1,FALSE)</f>
        <v>0</v>
      </c>
      <c r="Z431" s="47">
        <f ca="1">VLOOKUP($C431,OFFSET(quests!$A$1,0,0,COUNTA(quests!$A:$A),MATCH(Z$2,quests!$1:$1,0)-MATCH($C$2,quests!$1:$1,0)+1),MATCH(Z$2,quests!$1:$1,0)-MATCH($C$2,quests!$1:$1,0)+1,FALSE)</f>
        <v>0</v>
      </c>
      <c r="AA431" s="47">
        <f ca="1">VLOOKUP($C431,OFFSET(quests!$A$1,0,0,COUNTA(quests!$A:$A),MATCH(AA$2,quests!$1:$1,0)-MATCH($C$2,quests!$1:$1,0)+1),MATCH(AA$2,quests!$1:$1,0)-MATCH($C$2,quests!$1:$1,0)+1,FALSE)</f>
        <v>0</v>
      </c>
      <c r="AB431" s="34" t="s">
        <v>56</v>
      </c>
      <c r="AC431" s="7">
        <v>105</v>
      </c>
      <c r="AD431" s="7">
        <v>6</v>
      </c>
      <c r="AE431" s="7" t="s">
        <v>522</v>
      </c>
      <c r="AF431" s="7">
        <v>1</v>
      </c>
      <c r="AG431" s="7">
        <v>0</v>
      </c>
      <c r="AH431" s="7">
        <v>0</v>
      </c>
      <c r="AI431" s="7">
        <v>-1</v>
      </c>
      <c r="AJ431" s="33">
        <v>10</v>
      </c>
      <c r="AK431" s="7" t="s">
        <v>1064</v>
      </c>
      <c r="AL431" s="12" t="s">
        <v>1695</v>
      </c>
      <c r="AM431" s="12" t="s">
        <v>2072</v>
      </c>
    </row>
    <row r="432" spans="1:39" ht="21" customHeight="1" x14ac:dyDescent="0.15">
      <c r="A432" s="42" t="str">
        <f t="shared" si="16"/>
        <v>14003_1</v>
      </c>
      <c r="B432" s="23">
        <v>3</v>
      </c>
      <c r="C432" s="172">
        <v>14003</v>
      </c>
      <c r="D432" s="47" t="str">
        <f ca="1">VLOOKUP($C432,OFFSET(quests!$A$1,0,0,COUNTA(quests!$A:$A),MATCH(D$1,quests!$1:$1,0)-MATCH($C$2,quests!$1:$1,0)+1),MATCH(D$1,quests!$1:$1,0)-MATCH($C$2,quests!$1:$1,0)+1,FALSE)</f>
        <v>【ロック】限界突破/ソロ</v>
      </c>
      <c r="E432" s="48" t="str">
        <f ca="1">VLOOKUP($C432,OFFSET(quests!$A$1,0,0,COUNTA(quests!$A:$A),MATCH(E$2,quests!$1:$1,0)-MATCH($C$2,quests!$1:$1,0)+1),MATCH(E$2,quests!$1:$1,0)-MATCH($C$2,quests!$1:$1,0)+1,FALSE)</f>
        <v>【ロック】限界突破/ソロ</v>
      </c>
      <c r="F432" s="34">
        <v>1</v>
      </c>
      <c r="G432" s="7" t="s">
        <v>570</v>
      </c>
      <c r="H432" s="37" t="s">
        <v>902</v>
      </c>
      <c r="I432" s="12" t="s">
        <v>896</v>
      </c>
      <c r="J432" s="37">
        <v>125</v>
      </c>
      <c r="K432" s="167">
        <v>1</v>
      </c>
      <c r="L432" s="167">
        <v>860</v>
      </c>
      <c r="M432" s="159">
        <v>1</v>
      </c>
      <c r="N432" s="159">
        <v>1</v>
      </c>
      <c r="O432" s="159">
        <v>1</v>
      </c>
      <c r="P432" s="159">
        <v>1</v>
      </c>
      <c r="Q432" s="196">
        <v>0</v>
      </c>
      <c r="R432" s="159">
        <v>3</v>
      </c>
      <c r="S432" s="167" t="s">
        <v>79</v>
      </c>
      <c r="T432" s="167">
        <v>0</v>
      </c>
      <c r="U432" s="7" t="s">
        <v>169</v>
      </c>
      <c r="V432" s="7" t="s">
        <v>169</v>
      </c>
      <c r="W432" s="47" t="str">
        <f t="shared" ca="1" si="17"/>
        <v/>
      </c>
      <c r="X432" s="47">
        <f ca="1">VLOOKUP($C432,OFFSET(quests!$A$1,0,0,COUNTA(quests!$A:$A),MATCH(X$2,quests!$1:$1,0)-MATCH($C$2,quests!$1:$1,0)+1),MATCH(X$2,quests!$1:$1,0)-MATCH($C$2,quests!$1:$1,0)+1,FALSE)</f>
        <v>0</v>
      </c>
      <c r="Y432" s="47">
        <f ca="1">VLOOKUP($C432,OFFSET(quests!$A$1,0,0,COUNTA(quests!$A:$A),MATCH(Y$2,quests!$1:$1,0)-MATCH($C$2,quests!$1:$1,0)+1),MATCH(Y$2,quests!$1:$1,0)-MATCH($C$2,quests!$1:$1,0)+1,FALSE)</f>
        <v>0</v>
      </c>
      <c r="Z432" s="47">
        <f ca="1">VLOOKUP($C432,OFFSET(quests!$A$1,0,0,COUNTA(quests!$A:$A),MATCH(Z$2,quests!$1:$1,0)-MATCH($C$2,quests!$1:$1,0)+1),MATCH(Z$2,quests!$1:$1,0)-MATCH($C$2,quests!$1:$1,0)+1,FALSE)</f>
        <v>0</v>
      </c>
      <c r="AA432" s="47">
        <f ca="1">VLOOKUP($C432,OFFSET(quests!$A$1,0,0,COUNTA(quests!$A:$A),MATCH(AA$2,quests!$1:$1,0)-MATCH($C$2,quests!$1:$1,0)+1),MATCH(AA$2,quests!$1:$1,0)-MATCH($C$2,quests!$1:$1,0)+1,FALSE)</f>
        <v>0</v>
      </c>
      <c r="AB432" s="34" t="s">
        <v>56</v>
      </c>
      <c r="AC432" s="7">
        <v>7</v>
      </c>
      <c r="AD432" s="7">
        <v>6</v>
      </c>
      <c r="AE432" s="7" t="s">
        <v>522</v>
      </c>
      <c r="AF432" s="7">
        <v>15</v>
      </c>
      <c r="AG432" s="7">
        <v>0</v>
      </c>
      <c r="AH432" s="7">
        <v>0</v>
      </c>
      <c r="AI432" s="7">
        <v>-1</v>
      </c>
      <c r="AJ432" s="33">
        <v>30</v>
      </c>
      <c r="AK432" s="7" t="s">
        <v>1064</v>
      </c>
      <c r="AL432" s="12" t="s">
        <v>1695</v>
      </c>
      <c r="AM432" s="12" t="s">
        <v>2072</v>
      </c>
    </row>
    <row r="433" spans="1:39" ht="21" customHeight="1" x14ac:dyDescent="0.15">
      <c r="A433" s="42" t="str">
        <f t="shared" si="16"/>
        <v>14003_2</v>
      </c>
      <c r="B433" s="23">
        <v>3</v>
      </c>
      <c r="C433" s="172">
        <v>14003</v>
      </c>
      <c r="D433" s="47" t="str">
        <f ca="1">VLOOKUP($C433,OFFSET(quests!$A$1,0,0,COUNTA(quests!$A:$A),MATCH(D$1,quests!$1:$1,0)-MATCH($C$2,quests!$1:$1,0)+1),MATCH(D$1,quests!$1:$1,0)-MATCH($C$2,quests!$1:$1,0)+1,FALSE)</f>
        <v>【ロック】限界突破/ソロ</v>
      </c>
      <c r="E433" s="48" t="str">
        <f ca="1">VLOOKUP($C433,OFFSET(quests!$A$1,0,0,COUNTA(quests!$A:$A),MATCH(E$2,quests!$1:$1,0)-MATCH($C$2,quests!$1:$1,0)+1),MATCH(E$2,quests!$1:$1,0)-MATCH($C$2,quests!$1:$1,0)+1,FALSE)</f>
        <v>【ロック】限界突破/ソロ</v>
      </c>
      <c r="F433" s="34">
        <v>2</v>
      </c>
      <c r="G433" s="7" t="s">
        <v>382</v>
      </c>
      <c r="H433" s="37" t="s">
        <v>1467</v>
      </c>
      <c r="I433" s="12" t="s">
        <v>896</v>
      </c>
      <c r="J433" s="37">
        <v>611</v>
      </c>
      <c r="K433" s="167">
        <v>1</v>
      </c>
      <c r="L433" s="167">
        <v>999</v>
      </c>
      <c r="M433" s="159">
        <v>1</v>
      </c>
      <c r="N433" s="159">
        <v>1</v>
      </c>
      <c r="O433" s="159">
        <v>1</v>
      </c>
      <c r="P433" s="159">
        <v>1</v>
      </c>
      <c r="Q433" s="196">
        <v>0</v>
      </c>
      <c r="R433" s="159">
        <v>3</v>
      </c>
      <c r="S433" s="167" t="s">
        <v>79</v>
      </c>
      <c r="T433" s="167">
        <v>0</v>
      </c>
      <c r="U433" s="7" t="s">
        <v>169</v>
      </c>
      <c r="V433" s="7" t="s">
        <v>169</v>
      </c>
      <c r="W433" s="47" t="str">
        <f t="shared" ca="1" si="17"/>
        <v/>
      </c>
      <c r="X433" s="47">
        <f ca="1">VLOOKUP($C433,OFFSET(quests!$A$1,0,0,COUNTA(quests!$A:$A),MATCH(X$2,quests!$1:$1,0)-MATCH($C$2,quests!$1:$1,0)+1),MATCH(X$2,quests!$1:$1,0)-MATCH($C$2,quests!$1:$1,0)+1,FALSE)</f>
        <v>0</v>
      </c>
      <c r="Y433" s="47">
        <f ca="1">VLOOKUP($C433,OFFSET(quests!$A$1,0,0,COUNTA(quests!$A:$A),MATCH(Y$2,quests!$1:$1,0)-MATCH($C$2,quests!$1:$1,0)+1),MATCH(Y$2,quests!$1:$1,0)-MATCH($C$2,quests!$1:$1,0)+1,FALSE)</f>
        <v>0</v>
      </c>
      <c r="Z433" s="47">
        <f ca="1">VLOOKUP($C433,OFFSET(quests!$A$1,0,0,COUNTA(quests!$A:$A),MATCH(Z$2,quests!$1:$1,0)-MATCH($C$2,quests!$1:$1,0)+1),MATCH(Z$2,quests!$1:$1,0)-MATCH($C$2,quests!$1:$1,0)+1,FALSE)</f>
        <v>0</v>
      </c>
      <c r="AA433" s="47">
        <f ca="1">VLOOKUP($C433,OFFSET(quests!$A$1,0,0,COUNTA(quests!$A:$A),MATCH(AA$2,quests!$1:$1,0)-MATCH($C$2,quests!$1:$1,0)+1),MATCH(AA$2,quests!$1:$1,0)-MATCH($C$2,quests!$1:$1,0)+1,FALSE)</f>
        <v>0</v>
      </c>
      <c r="AB433" s="34" t="s">
        <v>56</v>
      </c>
      <c r="AC433" s="7">
        <v>10</v>
      </c>
      <c r="AD433" s="7">
        <v>6</v>
      </c>
      <c r="AE433" s="7" t="s">
        <v>522</v>
      </c>
      <c r="AF433" s="7">
        <v>15</v>
      </c>
      <c r="AG433" s="7">
        <v>0</v>
      </c>
      <c r="AH433" s="7">
        <v>0</v>
      </c>
      <c r="AI433" s="7">
        <v>-1</v>
      </c>
      <c r="AJ433" s="33">
        <v>50</v>
      </c>
      <c r="AK433" s="7" t="s">
        <v>1064</v>
      </c>
      <c r="AL433" s="12" t="s">
        <v>1695</v>
      </c>
      <c r="AM433" s="12" t="s">
        <v>2072</v>
      </c>
    </row>
    <row r="434" spans="1:39" ht="21" customHeight="1" x14ac:dyDescent="0.15">
      <c r="A434" s="42" t="str">
        <f t="shared" si="16"/>
        <v>14003_3</v>
      </c>
      <c r="B434" s="23">
        <v>3</v>
      </c>
      <c r="C434" s="172">
        <v>14003</v>
      </c>
      <c r="D434" s="47" t="str">
        <f ca="1">VLOOKUP($C434,OFFSET(quests!$A$1,0,0,COUNTA(quests!$A:$A),MATCH(D$1,quests!$1:$1,0)-MATCH($C$2,quests!$1:$1,0)+1),MATCH(D$1,quests!$1:$1,0)-MATCH($C$2,quests!$1:$1,0)+1,FALSE)</f>
        <v>【ロック】限界突破/ソロ</v>
      </c>
      <c r="E434" s="48" t="str">
        <f ca="1">VLOOKUP($C434,OFFSET(quests!$A$1,0,0,COUNTA(quests!$A:$A),MATCH(E$2,quests!$1:$1,0)-MATCH($C$2,quests!$1:$1,0)+1),MATCH(E$2,quests!$1:$1,0)-MATCH($C$2,quests!$1:$1,0)+1,FALSE)</f>
        <v>【ロック】限界突破/ソロ</v>
      </c>
      <c r="F434" s="34">
        <v>3</v>
      </c>
      <c r="G434" s="7" t="s">
        <v>382</v>
      </c>
      <c r="H434" s="37" t="s">
        <v>1468</v>
      </c>
      <c r="I434" s="12" t="s">
        <v>896</v>
      </c>
      <c r="J434" s="37">
        <v>613</v>
      </c>
      <c r="K434" s="167">
        <v>1</v>
      </c>
      <c r="L434" s="167">
        <v>999</v>
      </c>
      <c r="M434" s="159">
        <v>1</v>
      </c>
      <c r="N434" s="159">
        <v>1</v>
      </c>
      <c r="O434" s="159">
        <v>1</v>
      </c>
      <c r="P434" s="159">
        <v>1</v>
      </c>
      <c r="Q434" s="196">
        <v>0</v>
      </c>
      <c r="R434" s="159">
        <v>3</v>
      </c>
      <c r="S434" s="167" t="s">
        <v>79</v>
      </c>
      <c r="T434" s="167">
        <v>0</v>
      </c>
      <c r="U434" s="7" t="s">
        <v>169</v>
      </c>
      <c r="V434" s="7" t="s">
        <v>169</v>
      </c>
      <c r="W434" s="47" t="str">
        <f t="shared" ca="1" si="17"/>
        <v/>
      </c>
      <c r="X434" s="47">
        <f ca="1">VLOOKUP($C434,OFFSET(quests!$A$1,0,0,COUNTA(quests!$A:$A),MATCH(X$2,quests!$1:$1,0)-MATCH($C$2,quests!$1:$1,0)+1),MATCH(X$2,quests!$1:$1,0)-MATCH($C$2,quests!$1:$1,0)+1,FALSE)</f>
        <v>0</v>
      </c>
      <c r="Y434" s="47">
        <f ca="1">VLOOKUP($C434,OFFSET(quests!$A$1,0,0,COUNTA(quests!$A:$A),MATCH(Y$2,quests!$1:$1,0)-MATCH($C$2,quests!$1:$1,0)+1),MATCH(Y$2,quests!$1:$1,0)-MATCH($C$2,quests!$1:$1,0)+1,FALSE)</f>
        <v>0</v>
      </c>
      <c r="Z434" s="47">
        <f ca="1">VLOOKUP($C434,OFFSET(quests!$A$1,0,0,COUNTA(quests!$A:$A),MATCH(Z$2,quests!$1:$1,0)-MATCH($C$2,quests!$1:$1,0)+1),MATCH(Z$2,quests!$1:$1,0)-MATCH($C$2,quests!$1:$1,0)+1,FALSE)</f>
        <v>0</v>
      </c>
      <c r="AA434" s="47">
        <f ca="1">VLOOKUP($C434,OFFSET(quests!$A$1,0,0,COUNTA(quests!$A:$A),MATCH(AA$2,quests!$1:$1,0)-MATCH($C$2,quests!$1:$1,0)+1),MATCH(AA$2,quests!$1:$1,0)-MATCH($C$2,quests!$1:$1,0)+1,FALSE)</f>
        <v>0</v>
      </c>
      <c r="AB434" s="34" t="s">
        <v>56</v>
      </c>
      <c r="AC434" s="7">
        <v>5</v>
      </c>
      <c r="AD434" s="7">
        <v>6</v>
      </c>
      <c r="AE434" s="7" t="s">
        <v>522</v>
      </c>
      <c r="AF434" s="7">
        <v>15</v>
      </c>
      <c r="AG434" s="7">
        <v>0</v>
      </c>
      <c r="AH434" s="7">
        <v>0</v>
      </c>
      <c r="AI434" s="7">
        <v>-1</v>
      </c>
      <c r="AJ434" s="33">
        <v>50</v>
      </c>
      <c r="AK434" s="7" t="s">
        <v>1064</v>
      </c>
      <c r="AL434" s="12" t="s">
        <v>1695</v>
      </c>
      <c r="AM434" s="12" t="s">
        <v>2072</v>
      </c>
    </row>
    <row r="435" spans="1:39" ht="21" customHeight="1" x14ac:dyDescent="0.15">
      <c r="A435" s="42" t="str">
        <f t="shared" si="16"/>
        <v>14003_4</v>
      </c>
      <c r="B435" s="23">
        <v>3</v>
      </c>
      <c r="C435" s="172">
        <v>14003</v>
      </c>
      <c r="D435" s="47" t="str">
        <f ca="1">VLOOKUP($C435,OFFSET(quests!$A$1,0,0,COUNTA(quests!$A:$A),MATCH(D$1,quests!$1:$1,0)-MATCH($C$2,quests!$1:$1,0)+1),MATCH(D$1,quests!$1:$1,0)-MATCH($C$2,quests!$1:$1,0)+1,FALSE)</f>
        <v>【ロック】限界突破/ソロ</v>
      </c>
      <c r="E435" s="48" t="str">
        <f ca="1">VLOOKUP($C435,OFFSET(quests!$A$1,0,0,COUNTA(quests!$A:$A),MATCH(E$2,quests!$1:$1,0)-MATCH($C$2,quests!$1:$1,0)+1),MATCH(E$2,quests!$1:$1,0)-MATCH($C$2,quests!$1:$1,0)+1,FALSE)</f>
        <v>【ロック】限界突破/ソロ</v>
      </c>
      <c r="F435" s="34">
        <v>4</v>
      </c>
      <c r="G435" s="7" t="s">
        <v>382</v>
      </c>
      <c r="H435" s="37" t="s">
        <v>1469</v>
      </c>
      <c r="I435" s="12" t="s">
        <v>896</v>
      </c>
      <c r="J435" s="37">
        <v>612</v>
      </c>
      <c r="K435" s="167">
        <v>1</v>
      </c>
      <c r="L435" s="167">
        <v>999</v>
      </c>
      <c r="M435" s="159">
        <v>1</v>
      </c>
      <c r="N435" s="159">
        <v>1</v>
      </c>
      <c r="O435" s="159">
        <v>1</v>
      </c>
      <c r="P435" s="159">
        <v>1</v>
      </c>
      <c r="Q435" s="196">
        <v>0</v>
      </c>
      <c r="R435" s="159">
        <v>3</v>
      </c>
      <c r="S435" s="167" t="s">
        <v>79</v>
      </c>
      <c r="T435" s="167">
        <v>0</v>
      </c>
      <c r="U435" s="7" t="s">
        <v>169</v>
      </c>
      <c r="V435" s="7" t="s">
        <v>169</v>
      </c>
      <c r="W435" s="47" t="str">
        <f t="shared" ca="1" si="17"/>
        <v/>
      </c>
      <c r="X435" s="47">
        <f ca="1">VLOOKUP($C435,OFFSET(quests!$A$1,0,0,COUNTA(quests!$A:$A),MATCH(X$2,quests!$1:$1,0)-MATCH($C$2,quests!$1:$1,0)+1),MATCH(X$2,quests!$1:$1,0)-MATCH($C$2,quests!$1:$1,0)+1,FALSE)</f>
        <v>0</v>
      </c>
      <c r="Y435" s="47">
        <f ca="1">VLOOKUP($C435,OFFSET(quests!$A$1,0,0,COUNTA(quests!$A:$A),MATCH(Y$2,quests!$1:$1,0)-MATCH($C$2,quests!$1:$1,0)+1),MATCH(Y$2,quests!$1:$1,0)-MATCH($C$2,quests!$1:$1,0)+1,FALSE)</f>
        <v>0</v>
      </c>
      <c r="Z435" s="47">
        <f ca="1">VLOOKUP($C435,OFFSET(quests!$A$1,0,0,COUNTA(quests!$A:$A),MATCH(Z$2,quests!$1:$1,0)-MATCH($C$2,quests!$1:$1,0)+1),MATCH(Z$2,quests!$1:$1,0)-MATCH($C$2,quests!$1:$1,0)+1,FALSE)</f>
        <v>0</v>
      </c>
      <c r="AA435" s="47">
        <f ca="1">VLOOKUP($C435,OFFSET(quests!$A$1,0,0,COUNTA(quests!$A:$A),MATCH(AA$2,quests!$1:$1,0)-MATCH($C$2,quests!$1:$1,0)+1),MATCH(AA$2,quests!$1:$1,0)-MATCH($C$2,quests!$1:$1,0)+1,FALSE)</f>
        <v>0</v>
      </c>
      <c r="AB435" s="34" t="s">
        <v>56</v>
      </c>
      <c r="AC435" s="7">
        <v>7</v>
      </c>
      <c r="AD435" s="7">
        <v>6</v>
      </c>
      <c r="AE435" s="7" t="s">
        <v>522</v>
      </c>
      <c r="AF435" s="7">
        <v>15</v>
      </c>
      <c r="AG435" s="7">
        <v>0</v>
      </c>
      <c r="AH435" s="7">
        <v>0</v>
      </c>
      <c r="AI435" s="7">
        <v>-1</v>
      </c>
      <c r="AJ435" s="33">
        <v>50</v>
      </c>
      <c r="AK435" s="7" t="s">
        <v>1064</v>
      </c>
      <c r="AL435" s="12" t="s">
        <v>1695</v>
      </c>
      <c r="AM435" s="12" t="s">
        <v>2072</v>
      </c>
    </row>
    <row r="436" spans="1:39" ht="21" customHeight="1" x14ac:dyDescent="0.15">
      <c r="A436" s="42" t="str">
        <f t="shared" si="16"/>
        <v>14004_1</v>
      </c>
      <c r="B436" s="39">
        <v>1</v>
      </c>
      <c r="C436" s="172">
        <v>14004</v>
      </c>
      <c r="D436" s="47" t="str">
        <f ca="1">VLOOKUP($C436,OFFSET(quests!$A$1,0,0,COUNTA(quests!$A:$A),MATCH(D$1,quests!$1:$1,0)-MATCH($C$2,quests!$1:$1,0)+1),MATCH(D$1,quests!$1:$1,0)-MATCH($C$2,quests!$1:$1,0)+1,FALSE)</f>
        <v>【ロック】経験値/LINEマルチ</v>
      </c>
      <c r="E436" s="48" t="str">
        <f ca="1">VLOOKUP($C436,OFFSET(quests!$A$1,0,0,COUNTA(quests!$A:$A),MATCH(E$2,quests!$1:$1,0)-MATCH($C$2,quests!$1:$1,0)+1),MATCH(E$2,quests!$1:$1,0)-MATCH($C$2,quests!$1:$1,0)+1,FALSE)</f>
        <v>【ロック】経験値/LINEマルチ</v>
      </c>
      <c r="F436" s="7">
        <v>1</v>
      </c>
      <c r="G436" s="7" t="s">
        <v>382</v>
      </c>
      <c r="H436" s="12" t="s">
        <v>898</v>
      </c>
      <c r="I436" s="12" t="s">
        <v>894</v>
      </c>
      <c r="J436" s="12">
        <v>347</v>
      </c>
      <c r="K436" s="167">
        <v>1</v>
      </c>
      <c r="L436" s="167">
        <v>500</v>
      </c>
      <c r="M436" s="167">
        <v>1</v>
      </c>
      <c r="N436" s="167">
        <v>1</v>
      </c>
      <c r="O436" s="167">
        <v>1</v>
      </c>
      <c r="P436" s="167">
        <v>1</v>
      </c>
      <c r="Q436" s="96">
        <v>0</v>
      </c>
      <c r="R436" s="167">
        <v>3</v>
      </c>
      <c r="S436" s="167" t="s">
        <v>79</v>
      </c>
      <c r="T436" s="167">
        <v>0</v>
      </c>
      <c r="U436" s="7" t="s">
        <v>169</v>
      </c>
      <c r="V436" s="7" t="s">
        <v>169</v>
      </c>
      <c r="W436" s="47" t="str">
        <f t="shared" ca="1" si="17"/>
        <v/>
      </c>
      <c r="X436" s="47">
        <f ca="1">VLOOKUP($C436,OFFSET(quests!$A$1,0,0,COUNTA(quests!$A:$A),MATCH(X$2,quests!$1:$1,0)-MATCH($C$2,quests!$1:$1,0)+1),MATCH(X$2,quests!$1:$1,0)-MATCH($C$2,quests!$1:$1,0)+1,FALSE)</f>
        <v>0</v>
      </c>
      <c r="Y436" s="47">
        <f ca="1">VLOOKUP($C436,OFFSET(quests!$A$1,0,0,COUNTA(quests!$A:$A),MATCH(Y$2,quests!$1:$1,0)-MATCH($C$2,quests!$1:$1,0)+1),MATCH(Y$2,quests!$1:$1,0)-MATCH($C$2,quests!$1:$1,0)+1,FALSE)</f>
        <v>0</v>
      </c>
      <c r="Z436" s="47">
        <f ca="1">VLOOKUP($C436,OFFSET(quests!$A$1,0,0,COUNTA(quests!$A:$A),MATCH(Z$2,quests!$1:$1,0)-MATCH($C$2,quests!$1:$1,0)+1),MATCH(Z$2,quests!$1:$1,0)-MATCH($C$2,quests!$1:$1,0)+1,FALSE)</f>
        <v>0</v>
      </c>
      <c r="AA436" s="47">
        <f ca="1">VLOOKUP($C436,OFFSET(quests!$A$1,0,0,COUNTA(quests!$A:$A),MATCH(AA$2,quests!$1:$1,0)-MATCH($C$2,quests!$1:$1,0)+1),MATCH(AA$2,quests!$1:$1,0)-MATCH($C$2,quests!$1:$1,0)+1,FALSE)</f>
        <v>0</v>
      </c>
      <c r="AB436" s="7" t="s">
        <v>56</v>
      </c>
      <c r="AC436" s="7">
        <v>12</v>
      </c>
      <c r="AD436" s="7">
        <v>6</v>
      </c>
      <c r="AE436" s="167" t="s">
        <v>934</v>
      </c>
      <c r="AF436" s="7">
        <v>15</v>
      </c>
      <c r="AG436" s="7">
        <v>0</v>
      </c>
      <c r="AH436" s="7">
        <v>0</v>
      </c>
      <c r="AI436" s="7">
        <v>-1</v>
      </c>
      <c r="AJ436" s="33">
        <v>30</v>
      </c>
      <c r="AK436" s="7" t="s">
        <v>1064</v>
      </c>
      <c r="AL436" s="12" t="s">
        <v>1695</v>
      </c>
      <c r="AM436" s="12" t="s">
        <v>2072</v>
      </c>
    </row>
    <row r="437" spans="1:39" ht="21" customHeight="1" x14ac:dyDescent="0.15">
      <c r="A437" s="42" t="str">
        <f t="shared" si="16"/>
        <v>14004_2</v>
      </c>
      <c r="B437" s="39">
        <v>1</v>
      </c>
      <c r="C437" s="172">
        <v>14004</v>
      </c>
      <c r="D437" s="47" t="str">
        <f ca="1">VLOOKUP($C437,OFFSET(quests!$A$1,0,0,COUNTA(quests!$A:$A),MATCH(D$1,quests!$1:$1,0)-MATCH($C$2,quests!$1:$1,0)+1),MATCH(D$1,quests!$1:$1,0)-MATCH($C$2,quests!$1:$1,0)+1,FALSE)</f>
        <v>【ロック】経験値/LINEマルチ</v>
      </c>
      <c r="E437" s="48" t="str">
        <f ca="1">VLOOKUP($C437,OFFSET(quests!$A$1,0,0,COUNTA(quests!$A:$A),MATCH(E$2,quests!$1:$1,0)-MATCH($C$2,quests!$1:$1,0)+1),MATCH(E$2,quests!$1:$1,0)-MATCH($C$2,quests!$1:$1,0)+1,FALSE)</f>
        <v>【ロック】経験値/LINEマルチ</v>
      </c>
      <c r="F437" s="7">
        <v>2</v>
      </c>
      <c r="G437" s="7" t="s">
        <v>382</v>
      </c>
      <c r="H437" s="12" t="s">
        <v>899</v>
      </c>
      <c r="I437" s="12" t="s">
        <v>894</v>
      </c>
      <c r="J437" s="12">
        <v>343</v>
      </c>
      <c r="K437" s="167">
        <v>1</v>
      </c>
      <c r="L437" s="167">
        <v>500</v>
      </c>
      <c r="M437" s="167">
        <v>1</v>
      </c>
      <c r="N437" s="167">
        <v>1</v>
      </c>
      <c r="O437" s="167">
        <v>1</v>
      </c>
      <c r="P437" s="167">
        <v>1</v>
      </c>
      <c r="Q437" s="96">
        <v>0</v>
      </c>
      <c r="R437" s="167">
        <v>3</v>
      </c>
      <c r="S437" s="167" t="s">
        <v>79</v>
      </c>
      <c r="T437" s="167">
        <v>0</v>
      </c>
      <c r="U437" s="7" t="s">
        <v>169</v>
      </c>
      <c r="V437" s="7" t="s">
        <v>169</v>
      </c>
      <c r="W437" s="47" t="str">
        <f t="shared" ca="1" si="17"/>
        <v/>
      </c>
      <c r="X437" s="47">
        <f ca="1">VLOOKUP($C437,OFFSET(quests!$A$1,0,0,COUNTA(quests!$A:$A),MATCH(X$2,quests!$1:$1,0)-MATCH($C$2,quests!$1:$1,0)+1),MATCH(X$2,quests!$1:$1,0)-MATCH($C$2,quests!$1:$1,0)+1,FALSE)</f>
        <v>0</v>
      </c>
      <c r="Y437" s="47">
        <f ca="1">VLOOKUP($C437,OFFSET(quests!$A$1,0,0,COUNTA(quests!$A:$A),MATCH(Y$2,quests!$1:$1,0)-MATCH($C$2,quests!$1:$1,0)+1),MATCH(Y$2,quests!$1:$1,0)-MATCH($C$2,quests!$1:$1,0)+1,FALSE)</f>
        <v>0</v>
      </c>
      <c r="Z437" s="47">
        <f ca="1">VLOOKUP($C437,OFFSET(quests!$A$1,0,0,COUNTA(quests!$A:$A),MATCH(Z$2,quests!$1:$1,0)-MATCH($C$2,quests!$1:$1,0)+1),MATCH(Z$2,quests!$1:$1,0)-MATCH($C$2,quests!$1:$1,0)+1,FALSE)</f>
        <v>0</v>
      </c>
      <c r="AA437" s="47">
        <f ca="1">VLOOKUP($C437,OFFSET(quests!$A$1,0,0,COUNTA(quests!$A:$A),MATCH(AA$2,quests!$1:$1,0)-MATCH($C$2,quests!$1:$1,0)+1),MATCH(AA$2,quests!$1:$1,0)-MATCH($C$2,quests!$1:$1,0)+1,FALSE)</f>
        <v>0</v>
      </c>
      <c r="AB437" s="7" t="s">
        <v>56</v>
      </c>
      <c r="AC437" s="7">
        <v>5</v>
      </c>
      <c r="AD437" s="7">
        <v>6</v>
      </c>
      <c r="AE437" s="167" t="s">
        <v>934</v>
      </c>
      <c r="AF437" s="7">
        <v>15</v>
      </c>
      <c r="AG437" s="7">
        <v>0</v>
      </c>
      <c r="AH437" s="7">
        <v>0</v>
      </c>
      <c r="AI437" s="7">
        <v>-1</v>
      </c>
      <c r="AJ437" s="33">
        <v>30</v>
      </c>
      <c r="AK437" s="7" t="s">
        <v>1064</v>
      </c>
      <c r="AL437" s="12" t="s">
        <v>1695</v>
      </c>
      <c r="AM437" s="12" t="s">
        <v>2072</v>
      </c>
    </row>
    <row r="438" spans="1:39" ht="21" customHeight="1" x14ac:dyDescent="0.15">
      <c r="A438" s="42" t="str">
        <f t="shared" ref="A438:A501" si="19">C438&amp;"_"&amp;F438</f>
        <v>14004_3</v>
      </c>
      <c r="B438" s="39">
        <v>1</v>
      </c>
      <c r="C438" s="172">
        <v>14004</v>
      </c>
      <c r="D438" s="47" t="str">
        <f ca="1">VLOOKUP($C438,OFFSET(quests!$A$1,0,0,COUNTA(quests!$A:$A),MATCH(D$1,quests!$1:$1,0)-MATCH($C$2,quests!$1:$1,0)+1),MATCH(D$1,quests!$1:$1,0)-MATCH($C$2,quests!$1:$1,0)+1,FALSE)</f>
        <v>【ロック】経験値/LINEマルチ</v>
      </c>
      <c r="E438" s="48" t="str">
        <f ca="1">VLOOKUP($C438,OFFSET(quests!$A$1,0,0,COUNTA(quests!$A:$A),MATCH(E$2,quests!$1:$1,0)-MATCH($C$2,quests!$1:$1,0)+1),MATCH(E$2,quests!$1:$1,0)-MATCH($C$2,quests!$1:$1,0)+1,FALSE)</f>
        <v>【ロック】経験値/LINEマルチ</v>
      </c>
      <c r="F438" s="7">
        <v>3</v>
      </c>
      <c r="G438" s="7" t="s">
        <v>382</v>
      </c>
      <c r="H438" s="12" t="s">
        <v>900</v>
      </c>
      <c r="I438" s="12" t="s">
        <v>894</v>
      </c>
      <c r="J438" s="12">
        <v>339</v>
      </c>
      <c r="K438" s="167">
        <v>1</v>
      </c>
      <c r="L438" s="167">
        <v>500</v>
      </c>
      <c r="M438" s="167">
        <v>1</v>
      </c>
      <c r="N438" s="167">
        <v>1</v>
      </c>
      <c r="O438" s="167">
        <v>1</v>
      </c>
      <c r="P438" s="167">
        <v>1</v>
      </c>
      <c r="Q438" s="96">
        <v>0</v>
      </c>
      <c r="R438" s="167">
        <v>3</v>
      </c>
      <c r="S438" s="167" t="s">
        <v>79</v>
      </c>
      <c r="T438" s="167">
        <v>0</v>
      </c>
      <c r="U438" s="7" t="s">
        <v>169</v>
      </c>
      <c r="V438" s="7" t="s">
        <v>169</v>
      </c>
      <c r="W438" s="47" t="str">
        <f t="shared" ca="1" si="17"/>
        <v/>
      </c>
      <c r="X438" s="47">
        <f ca="1">VLOOKUP($C438,OFFSET(quests!$A$1,0,0,COUNTA(quests!$A:$A),MATCH(X$2,quests!$1:$1,0)-MATCH($C$2,quests!$1:$1,0)+1),MATCH(X$2,quests!$1:$1,0)-MATCH($C$2,quests!$1:$1,0)+1,FALSE)</f>
        <v>0</v>
      </c>
      <c r="Y438" s="47">
        <f ca="1">VLOOKUP($C438,OFFSET(quests!$A$1,0,0,COUNTA(quests!$A:$A),MATCH(Y$2,quests!$1:$1,0)-MATCH($C$2,quests!$1:$1,0)+1),MATCH(Y$2,quests!$1:$1,0)-MATCH($C$2,quests!$1:$1,0)+1,FALSE)</f>
        <v>0</v>
      </c>
      <c r="Z438" s="47">
        <f ca="1">VLOOKUP($C438,OFFSET(quests!$A$1,0,0,COUNTA(quests!$A:$A),MATCH(Z$2,quests!$1:$1,0)-MATCH($C$2,quests!$1:$1,0)+1),MATCH(Z$2,quests!$1:$1,0)-MATCH($C$2,quests!$1:$1,0)+1,FALSE)</f>
        <v>0</v>
      </c>
      <c r="AA438" s="47">
        <f ca="1">VLOOKUP($C438,OFFSET(quests!$A$1,0,0,COUNTA(quests!$A:$A),MATCH(AA$2,quests!$1:$1,0)-MATCH($C$2,quests!$1:$1,0)+1),MATCH(AA$2,quests!$1:$1,0)-MATCH($C$2,quests!$1:$1,0)+1,FALSE)</f>
        <v>0</v>
      </c>
      <c r="AB438" s="7" t="s">
        <v>56</v>
      </c>
      <c r="AC438" s="7">
        <v>7</v>
      </c>
      <c r="AD438" s="7">
        <v>6</v>
      </c>
      <c r="AE438" s="167" t="s">
        <v>934</v>
      </c>
      <c r="AF438" s="7">
        <v>15</v>
      </c>
      <c r="AG438" s="7">
        <v>0</v>
      </c>
      <c r="AH438" s="7">
        <v>0</v>
      </c>
      <c r="AI438" s="7">
        <v>-1</v>
      </c>
      <c r="AJ438" s="33">
        <v>30</v>
      </c>
      <c r="AK438" s="7" t="s">
        <v>1064</v>
      </c>
      <c r="AL438" s="12" t="s">
        <v>1695</v>
      </c>
      <c r="AM438" s="12" t="s">
        <v>2072</v>
      </c>
    </row>
    <row r="439" spans="1:39" ht="21" customHeight="1" x14ac:dyDescent="0.15">
      <c r="A439" s="42" t="str">
        <f t="shared" si="19"/>
        <v>14004_4</v>
      </c>
      <c r="B439" s="39">
        <v>1</v>
      </c>
      <c r="C439" s="172">
        <v>14004</v>
      </c>
      <c r="D439" s="47" t="str">
        <f ca="1">VLOOKUP($C439,OFFSET(quests!$A$1,0,0,COUNTA(quests!$A:$A),MATCH(D$1,quests!$1:$1,0)-MATCH($C$2,quests!$1:$1,0)+1),MATCH(D$1,quests!$1:$1,0)-MATCH($C$2,quests!$1:$1,0)+1,FALSE)</f>
        <v>【ロック】経験値/LINEマルチ</v>
      </c>
      <c r="E439" s="48" t="str">
        <f ca="1">VLOOKUP($C439,OFFSET(quests!$A$1,0,0,COUNTA(quests!$A:$A),MATCH(E$2,quests!$1:$1,0)-MATCH($C$2,quests!$1:$1,0)+1),MATCH(E$2,quests!$1:$1,0)-MATCH($C$2,quests!$1:$1,0)+1,FALSE)</f>
        <v>【ロック】経験値/LINEマルチ</v>
      </c>
      <c r="F439" s="7">
        <v>4</v>
      </c>
      <c r="G439" s="7" t="s">
        <v>382</v>
      </c>
      <c r="H439" s="12" t="s">
        <v>901</v>
      </c>
      <c r="I439" s="12" t="s">
        <v>894</v>
      </c>
      <c r="J439" s="12">
        <v>335</v>
      </c>
      <c r="K439" s="167">
        <v>1</v>
      </c>
      <c r="L439" s="167">
        <v>500</v>
      </c>
      <c r="M439" s="167">
        <v>1</v>
      </c>
      <c r="N439" s="167">
        <v>1</v>
      </c>
      <c r="O439" s="167">
        <v>1</v>
      </c>
      <c r="P439" s="167">
        <v>1</v>
      </c>
      <c r="Q439" s="96">
        <v>0</v>
      </c>
      <c r="R439" s="167">
        <v>3</v>
      </c>
      <c r="S439" s="167" t="s">
        <v>79</v>
      </c>
      <c r="T439" s="167">
        <v>0</v>
      </c>
      <c r="U439" s="7" t="s">
        <v>169</v>
      </c>
      <c r="V439" s="7" t="s">
        <v>169</v>
      </c>
      <c r="W439" s="47" t="str">
        <f t="shared" ca="1" si="17"/>
        <v/>
      </c>
      <c r="X439" s="47">
        <f ca="1">VLOOKUP($C439,OFFSET(quests!$A$1,0,0,COUNTA(quests!$A:$A),MATCH(X$2,quests!$1:$1,0)-MATCH($C$2,quests!$1:$1,0)+1),MATCH(X$2,quests!$1:$1,0)-MATCH($C$2,quests!$1:$1,0)+1,FALSE)</f>
        <v>0</v>
      </c>
      <c r="Y439" s="47">
        <f ca="1">VLOOKUP($C439,OFFSET(quests!$A$1,0,0,COUNTA(quests!$A:$A),MATCH(Y$2,quests!$1:$1,0)-MATCH($C$2,quests!$1:$1,0)+1),MATCH(Y$2,quests!$1:$1,0)-MATCH($C$2,quests!$1:$1,0)+1,FALSE)</f>
        <v>0</v>
      </c>
      <c r="Z439" s="47">
        <f ca="1">VLOOKUP($C439,OFFSET(quests!$A$1,0,0,COUNTA(quests!$A:$A),MATCH(Z$2,quests!$1:$1,0)-MATCH($C$2,quests!$1:$1,0)+1),MATCH(Z$2,quests!$1:$1,0)-MATCH($C$2,quests!$1:$1,0)+1,FALSE)</f>
        <v>0</v>
      </c>
      <c r="AA439" s="47">
        <f ca="1">VLOOKUP($C439,OFFSET(quests!$A$1,0,0,COUNTA(quests!$A:$A),MATCH(AA$2,quests!$1:$1,0)-MATCH($C$2,quests!$1:$1,0)+1),MATCH(AA$2,quests!$1:$1,0)-MATCH($C$2,quests!$1:$1,0)+1,FALSE)</f>
        <v>0</v>
      </c>
      <c r="AB439" s="7" t="s">
        <v>56</v>
      </c>
      <c r="AC439" s="7">
        <v>10</v>
      </c>
      <c r="AD439" s="7">
        <v>6</v>
      </c>
      <c r="AE439" s="167" t="s">
        <v>934</v>
      </c>
      <c r="AF439" s="7">
        <v>15</v>
      </c>
      <c r="AG439" s="7">
        <v>0</v>
      </c>
      <c r="AH439" s="7">
        <v>0</v>
      </c>
      <c r="AI439" s="7">
        <v>-1</v>
      </c>
      <c r="AJ439" s="33">
        <v>30</v>
      </c>
      <c r="AK439" s="7" t="s">
        <v>1064</v>
      </c>
      <c r="AL439" s="12" t="s">
        <v>1695</v>
      </c>
      <c r="AM439" s="12" t="s">
        <v>2072</v>
      </c>
    </row>
    <row r="440" spans="1:39" ht="21" customHeight="1" x14ac:dyDescent="0.15">
      <c r="A440" s="42" t="str">
        <f t="shared" si="19"/>
        <v>14005_1</v>
      </c>
      <c r="B440" s="39">
        <v>1</v>
      </c>
      <c r="C440" s="172">
        <v>14005</v>
      </c>
      <c r="D440" s="47" t="str">
        <f ca="1">VLOOKUP($C440,OFFSET(quests!$A$1,0,0,COUNTA(quests!$A:$A),MATCH(D$1,quests!$1:$1,0)-MATCH($C$2,quests!$1:$1,0)+1),MATCH(D$1,quests!$1:$1,0)-MATCH($C$2,quests!$1:$1,0)+1,FALSE)</f>
        <v>【ロック】ビット/LINEマルチ</v>
      </c>
      <c r="E440" s="48" t="str">
        <f ca="1">VLOOKUP($C440,OFFSET(quests!$A$1,0,0,COUNTA(quests!$A:$A),MATCH(E$2,quests!$1:$1,0)-MATCH($C$2,quests!$1:$1,0)+1),MATCH(E$2,quests!$1:$1,0)-MATCH($C$2,quests!$1:$1,0)+1,FALSE)</f>
        <v>【ロック】ビット/LINEマルチ</v>
      </c>
      <c r="F440" s="34">
        <v>1</v>
      </c>
      <c r="G440" s="7" t="s">
        <v>382</v>
      </c>
      <c r="H440" s="37" t="s">
        <v>897</v>
      </c>
      <c r="I440" s="12" t="s">
        <v>895</v>
      </c>
      <c r="J440" s="37">
        <v>119</v>
      </c>
      <c r="K440" s="167">
        <v>1</v>
      </c>
      <c r="L440" s="167">
        <v>777</v>
      </c>
      <c r="M440" s="159">
        <v>1</v>
      </c>
      <c r="N440" s="159">
        <v>1</v>
      </c>
      <c r="O440" s="159">
        <v>1</v>
      </c>
      <c r="P440" s="159">
        <v>1</v>
      </c>
      <c r="Q440" s="196">
        <v>0</v>
      </c>
      <c r="R440" s="159">
        <v>3</v>
      </c>
      <c r="S440" s="167" t="s">
        <v>79</v>
      </c>
      <c r="T440" s="167">
        <v>0</v>
      </c>
      <c r="U440" s="7" t="s">
        <v>169</v>
      </c>
      <c r="V440" s="7" t="s">
        <v>169</v>
      </c>
      <c r="W440" s="47" t="str">
        <f t="shared" ca="1" si="17"/>
        <v/>
      </c>
      <c r="X440" s="47">
        <f ca="1">VLOOKUP($C440,OFFSET(quests!$A$1,0,0,COUNTA(quests!$A:$A),MATCH(X$2,quests!$1:$1,0)-MATCH($C$2,quests!$1:$1,0)+1),MATCH(X$2,quests!$1:$1,0)-MATCH($C$2,quests!$1:$1,0)+1,FALSE)</f>
        <v>0</v>
      </c>
      <c r="Y440" s="47">
        <f ca="1">VLOOKUP($C440,OFFSET(quests!$A$1,0,0,COUNTA(quests!$A:$A),MATCH(Y$2,quests!$1:$1,0)-MATCH($C$2,quests!$1:$1,0)+1),MATCH(Y$2,quests!$1:$1,0)-MATCH($C$2,quests!$1:$1,0)+1,FALSE)</f>
        <v>0</v>
      </c>
      <c r="Z440" s="47">
        <f ca="1">VLOOKUP($C440,OFFSET(quests!$A$1,0,0,COUNTA(quests!$A:$A),MATCH(Z$2,quests!$1:$1,0)-MATCH($C$2,quests!$1:$1,0)+1),MATCH(Z$2,quests!$1:$1,0)-MATCH($C$2,quests!$1:$1,0)+1,FALSE)</f>
        <v>0</v>
      </c>
      <c r="AA440" s="47">
        <f ca="1">VLOOKUP($C440,OFFSET(quests!$A$1,0,0,COUNTA(quests!$A:$A),MATCH(AA$2,quests!$1:$1,0)-MATCH($C$2,quests!$1:$1,0)+1),MATCH(AA$2,quests!$1:$1,0)-MATCH($C$2,quests!$1:$1,0)+1,FALSE)</f>
        <v>0</v>
      </c>
      <c r="AB440" s="34" t="s">
        <v>56</v>
      </c>
      <c r="AC440" s="7">
        <v>105</v>
      </c>
      <c r="AD440" s="7">
        <v>6</v>
      </c>
      <c r="AE440" s="167" t="s">
        <v>934</v>
      </c>
      <c r="AF440" s="7">
        <v>1</v>
      </c>
      <c r="AG440" s="7">
        <v>0</v>
      </c>
      <c r="AH440" s="7">
        <v>0</v>
      </c>
      <c r="AI440" s="7">
        <v>-1</v>
      </c>
      <c r="AJ440" s="33">
        <v>30</v>
      </c>
      <c r="AK440" s="7" t="s">
        <v>1064</v>
      </c>
      <c r="AL440" s="12" t="s">
        <v>1695</v>
      </c>
      <c r="AM440" s="12" t="s">
        <v>2072</v>
      </c>
    </row>
    <row r="441" spans="1:39" ht="21" customHeight="1" x14ac:dyDescent="0.15">
      <c r="A441" s="42" t="str">
        <f t="shared" si="19"/>
        <v>14006_1</v>
      </c>
      <c r="B441" s="39">
        <v>1</v>
      </c>
      <c r="C441" s="172">
        <v>14006</v>
      </c>
      <c r="D441" s="47" t="str">
        <f ca="1">VLOOKUP($C441,OFFSET(quests!$A$1,0,0,COUNTA(quests!$A:$A),MATCH(D$1,quests!$1:$1,0)-MATCH($C$2,quests!$1:$1,0)+1),MATCH(D$1,quests!$1:$1,0)-MATCH($C$2,quests!$1:$1,0)+1,FALSE)</f>
        <v>【ロック】限界突破/LINEマルチ</v>
      </c>
      <c r="E441" s="48" t="str">
        <f ca="1">VLOOKUP($C441,OFFSET(quests!$A$1,0,0,COUNTA(quests!$A:$A),MATCH(E$2,quests!$1:$1,0)-MATCH($C$2,quests!$1:$1,0)+1),MATCH(E$2,quests!$1:$1,0)-MATCH($C$2,quests!$1:$1,0)+1,FALSE)</f>
        <v>【ロック】限界突破/LINEマルチ</v>
      </c>
      <c r="F441" s="34">
        <v>1</v>
      </c>
      <c r="G441" s="7" t="s">
        <v>382</v>
      </c>
      <c r="H441" s="37" t="s">
        <v>902</v>
      </c>
      <c r="I441" s="12" t="s">
        <v>896</v>
      </c>
      <c r="J441" s="37">
        <v>125</v>
      </c>
      <c r="K441" s="167">
        <v>1</v>
      </c>
      <c r="L441" s="167">
        <v>860</v>
      </c>
      <c r="M441" s="159">
        <v>1</v>
      </c>
      <c r="N441" s="159">
        <v>1</v>
      </c>
      <c r="O441" s="159">
        <v>1</v>
      </c>
      <c r="P441" s="159">
        <v>1</v>
      </c>
      <c r="Q441" s="196">
        <v>0</v>
      </c>
      <c r="R441" s="159">
        <v>3</v>
      </c>
      <c r="S441" s="167" t="s">
        <v>79</v>
      </c>
      <c r="T441" s="167">
        <v>0</v>
      </c>
      <c r="U441" s="7" t="s">
        <v>169</v>
      </c>
      <c r="V441" s="7" t="s">
        <v>169</v>
      </c>
      <c r="W441" s="47" t="str">
        <f t="shared" ca="1" si="17"/>
        <v/>
      </c>
      <c r="X441" s="47">
        <f ca="1">VLOOKUP($C441,OFFSET(quests!$A$1,0,0,COUNTA(quests!$A:$A),MATCH(X$2,quests!$1:$1,0)-MATCH($C$2,quests!$1:$1,0)+1),MATCH(X$2,quests!$1:$1,0)-MATCH($C$2,quests!$1:$1,0)+1,FALSE)</f>
        <v>0</v>
      </c>
      <c r="Y441" s="47">
        <f ca="1">VLOOKUP($C441,OFFSET(quests!$A$1,0,0,COUNTA(quests!$A:$A),MATCH(Y$2,quests!$1:$1,0)-MATCH($C$2,quests!$1:$1,0)+1),MATCH(Y$2,quests!$1:$1,0)-MATCH($C$2,quests!$1:$1,0)+1,FALSE)</f>
        <v>0</v>
      </c>
      <c r="Z441" s="47">
        <f ca="1">VLOOKUP($C441,OFFSET(quests!$A$1,0,0,COUNTA(quests!$A:$A),MATCH(Z$2,quests!$1:$1,0)-MATCH($C$2,quests!$1:$1,0)+1),MATCH(Z$2,quests!$1:$1,0)-MATCH($C$2,quests!$1:$1,0)+1,FALSE)</f>
        <v>0</v>
      </c>
      <c r="AA441" s="47">
        <f ca="1">VLOOKUP($C441,OFFSET(quests!$A$1,0,0,COUNTA(quests!$A:$A),MATCH(AA$2,quests!$1:$1,0)-MATCH($C$2,quests!$1:$1,0)+1),MATCH(AA$2,quests!$1:$1,0)-MATCH($C$2,quests!$1:$1,0)+1,FALSE)</f>
        <v>0</v>
      </c>
      <c r="AB441" s="34" t="s">
        <v>56</v>
      </c>
      <c r="AC441" s="7">
        <v>7</v>
      </c>
      <c r="AD441" s="7">
        <v>6</v>
      </c>
      <c r="AE441" s="167" t="s">
        <v>934</v>
      </c>
      <c r="AF441" s="7">
        <v>15</v>
      </c>
      <c r="AG441" s="7">
        <v>0</v>
      </c>
      <c r="AH441" s="7">
        <v>0</v>
      </c>
      <c r="AI441" s="7">
        <v>-1</v>
      </c>
      <c r="AJ441" s="33">
        <v>30</v>
      </c>
      <c r="AK441" s="7" t="s">
        <v>1064</v>
      </c>
      <c r="AL441" s="12" t="s">
        <v>1695</v>
      </c>
      <c r="AM441" s="12" t="s">
        <v>2072</v>
      </c>
    </row>
    <row r="442" spans="1:39" ht="21" customHeight="1" x14ac:dyDescent="0.15">
      <c r="A442" s="42" t="str">
        <f t="shared" si="19"/>
        <v>15027_1</v>
      </c>
      <c r="B442" s="23">
        <v>3</v>
      </c>
      <c r="C442" s="197">
        <v>15027</v>
      </c>
      <c r="D442" s="47" t="str">
        <f ca="1">VLOOKUP($C442,OFFSET(quests!$A$1,0,0,COUNTA(quests!$A:$A),MATCH(D$1,quests!$1:$1,0)-MATCH($C$2,quests!$1:$1,0)+1),MATCH(D$1,quests!$1:$1,0)-MATCH($C$2,quests!$1:$1,0)+1,FALSE)</f>
        <v>27. 雷雨の登山道</v>
      </c>
      <c r="E442" s="48" t="str">
        <f ca="1">VLOOKUP($C442,OFFSET(quests!$A$1,0,0,COUNTA(quests!$A:$A),MATCH(E$2,quests!$1:$1,0)-MATCH($C$2,quests!$1:$1,0)+1),MATCH(E$2,quests!$1:$1,0)-MATCH($C$2,quests!$1:$1,0)+1,FALSE)</f>
        <v>黄青DL6</v>
      </c>
      <c r="F442" s="34">
        <v>1</v>
      </c>
      <c r="G442" s="7" t="s">
        <v>382</v>
      </c>
      <c r="H442" s="37" t="s">
        <v>1143</v>
      </c>
      <c r="I442" s="208"/>
      <c r="J442" s="12" t="s">
        <v>279</v>
      </c>
      <c r="K442" s="186">
        <v>18</v>
      </c>
      <c r="L442" s="167">
        <v>3740</v>
      </c>
      <c r="M442" s="167">
        <v>1</v>
      </c>
      <c r="N442" s="167">
        <v>1</v>
      </c>
      <c r="O442" s="167">
        <v>1</v>
      </c>
      <c r="P442" s="167">
        <v>1</v>
      </c>
      <c r="Q442" s="167">
        <v>1</v>
      </c>
      <c r="R442" s="167">
        <v>3</v>
      </c>
      <c r="S442" s="167" t="s">
        <v>79</v>
      </c>
      <c r="T442" s="167">
        <v>0</v>
      </c>
      <c r="U442" s="7">
        <v>26</v>
      </c>
      <c r="V442" s="7">
        <v>6</v>
      </c>
      <c r="W442" s="47" t="str">
        <f t="shared" ca="1" si="17"/>
        <v>26-6．【1回のみ】ボーナスステージ</v>
      </c>
      <c r="X442" s="47">
        <f ca="1">VLOOKUP($C442,OFFSET(quests!$A$1,0,0,COUNTA(quests!$A:$A),MATCH(X$2,quests!$1:$1,0)-MATCH($C$2,quests!$1:$1,0)+1),MATCH(X$2,quests!$1:$1,0)-MATCH($C$2,quests!$1:$1,0)+1,FALSE)</f>
        <v>0</v>
      </c>
      <c r="Y442" s="47">
        <f ca="1">VLOOKUP($C442,OFFSET(quests!$A$1,0,0,COUNTA(quests!$A:$A),MATCH(Y$2,quests!$1:$1,0)-MATCH($C$2,quests!$1:$1,0)+1),MATCH(Y$2,quests!$1:$1,0)-MATCH($C$2,quests!$1:$1,0)+1,FALSE)</f>
        <v>1</v>
      </c>
      <c r="Z442" s="47">
        <f ca="1">VLOOKUP($C442,OFFSET(quests!$A$1,0,0,COUNTA(quests!$A:$A),MATCH(Z$2,quests!$1:$1,0)-MATCH($C$2,quests!$1:$1,0)+1),MATCH(Z$2,quests!$1:$1,0)-MATCH($C$2,quests!$1:$1,0)+1,FALSE)</f>
        <v>0</v>
      </c>
      <c r="AA442" s="47">
        <f ca="1">VLOOKUP($C442,OFFSET(quests!$A$1,0,0,COUNTA(quests!$A:$A),MATCH(AA$2,quests!$1:$1,0)-MATCH($C$2,quests!$1:$1,0)+1),MATCH(AA$2,quests!$1:$1,0)-MATCH($C$2,quests!$1:$1,0)+1,FALSE)</f>
        <v>1</v>
      </c>
      <c r="AB442" s="7" t="s">
        <v>56</v>
      </c>
      <c r="AC442" s="7">
        <v>27</v>
      </c>
      <c r="AD442" s="7">
        <v>6</v>
      </c>
      <c r="AE442" s="7" t="s">
        <v>519</v>
      </c>
      <c r="AF442" s="158">
        <v>0</v>
      </c>
      <c r="AG442" s="7">
        <v>0</v>
      </c>
      <c r="AH442" s="7">
        <v>0</v>
      </c>
      <c r="AI442" s="7">
        <v>-1</v>
      </c>
      <c r="AJ442" s="7">
        <v>-1</v>
      </c>
      <c r="AK442" s="7" t="s">
        <v>1064</v>
      </c>
      <c r="AL442" s="12" t="s">
        <v>1695</v>
      </c>
      <c r="AM442" s="12" t="s">
        <v>2072</v>
      </c>
    </row>
    <row r="443" spans="1:39" ht="21" customHeight="1" x14ac:dyDescent="0.15">
      <c r="A443" s="42" t="str">
        <f t="shared" si="19"/>
        <v>15027_2</v>
      </c>
      <c r="B443" s="23">
        <v>3</v>
      </c>
      <c r="C443" s="197">
        <v>15027</v>
      </c>
      <c r="D443" s="47" t="str">
        <f ca="1">VLOOKUP($C443,OFFSET(quests!$A$1,0,0,COUNTA(quests!$A:$A),MATCH(D$1,quests!$1:$1,0)-MATCH($C$2,quests!$1:$1,0)+1),MATCH(D$1,quests!$1:$1,0)-MATCH($C$2,quests!$1:$1,0)+1,FALSE)</f>
        <v>27. 雷雨の登山道</v>
      </c>
      <c r="E443" s="48" t="str">
        <f ca="1">VLOOKUP($C443,OFFSET(quests!$A$1,0,0,COUNTA(quests!$A:$A),MATCH(E$2,quests!$1:$1,0)-MATCH($C$2,quests!$1:$1,0)+1),MATCH(E$2,quests!$1:$1,0)-MATCH($C$2,quests!$1:$1,0)+1,FALSE)</f>
        <v>黄青DL6</v>
      </c>
      <c r="F443" s="34">
        <v>2</v>
      </c>
      <c r="G443" s="7" t="s">
        <v>382</v>
      </c>
      <c r="H443" s="37" t="s">
        <v>1081</v>
      </c>
      <c r="I443" s="37"/>
      <c r="J443" s="12" t="s">
        <v>279</v>
      </c>
      <c r="K443" s="186">
        <v>19</v>
      </c>
      <c r="L443" s="167">
        <v>4140</v>
      </c>
      <c r="M443" s="167">
        <v>1</v>
      </c>
      <c r="N443" s="167">
        <v>1</v>
      </c>
      <c r="O443" s="167">
        <v>1</v>
      </c>
      <c r="P443" s="167">
        <v>1</v>
      </c>
      <c r="Q443" s="167">
        <v>1</v>
      </c>
      <c r="R443" s="167">
        <v>3</v>
      </c>
      <c r="S443" s="167" t="s">
        <v>79</v>
      </c>
      <c r="T443" s="167">
        <v>0</v>
      </c>
      <c r="U443" s="7">
        <v>15027</v>
      </c>
      <c r="V443" s="7">
        <v>1</v>
      </c>
      <c r="W443" s="47" t="str">
        <f t="shared" ca="1" si="17"/>
        <v>27-1. 登山道入口</v>
      </c>
      <c r="X443" s="47">
        <f ca="1">VLOOKUP($C443,OFFSET(quests!$A$1,0,0,COUNTA(quests!$A:$A),MATCH(X$2,quests!$1:$1,0)-MATCH($C$2,quests!$1:$1,0)+1),MATCH(X$2,quests!$1:$1,0)-MATCH($C$2,quests!$1:$1,0)+1,FALSE)</f>
        <v>0</v>
      </c>
      <c r="Y443" s="47">
        <f ca="1">VLOOKUP($C443,OFFSET(quests!$A$1,0,0,COUNTA(quests!$A:$A),MATCH(Y$2,quests!$1:$1,0)-MATCH($C$2,quests!$1:$1,0)+1),MATCH(Y$2,quests!$1:$1,0)-MATCH($C$2,quests!$1:$1,0)+1,FALSE)</f>
        <v>1</v>
      </c>
      <c r="Z443" s="47">
        <f ca="1">VLOOKUP($C443,OFFSET(quests!$A$1,0,0,COUNTA(quests!$A:$A),MATCH(Z$2,quests!$1:$1,0)-MATCH($C$2,quests!$1:$1,0)+1),MATCH(Z$2,quests!$1:$1,0)-MATCH($C$2,quests!$1:$1,0)+1,FALSE)</f>
        <v>0</v>
      </c>
      <c r="AA443" s="47">
        <f ca="1">VLOOKUP($C443,OFFSET(quests!$A$1,0,0,COUNTA(quests!$A:$A),MATCH(AA$2,quests!$1:$1,0)-MATCH($C$2,quests!$1:$1,0)+1),MATCH(AA$2,quests!$1:$1,0)-MATCH($C$2,quests!$1:$1,0)+1,FALSE)</f>
        <v>1</v>
      </c>
      <c r="AB443" s="7" t="s">
        <v>56</v>
      </c>
      <c r="AC443" s="7">
        <v>27</v>
      </c>
      <c r="AD443" s="7">
        <v>6</v>
      </c>
      <c r="AE443" s="7" t="s">
        <v>519</v>
      </c>
      <c r="AF443" s="268">
        <v>0</v>
      </c>
      <c r="AG443" s="7">
        <v>0</v>
      </c>
      <c r="AH443" s="7">
        <v>0</v>
      </c>
      <c r="AI443" s="7">
        <v>-1</v>
      </c>
      <c r="AJ443" s="7">
        <v>-1</v>
      </c>
      <c r="AK443" s="7" t="s">
        <v>1064</v>
      </c>
      <c r="AL443" s="12" t="s">
        <v>1695</v>
      </c>
      <c r="AM443" s="12" t="s">
        <v>2072</v>
      </c>
    </row>
    <row r="444" spans="1:39" ht="21" customHeight="1" x14ac:dyDescent="0.15">
      <c r="A444" s="42" t="str">
        <f t="shared" si="19"/>
        <v>15027_3</v>
      </c>
      <c r="B444" s="23">
        <v>3</v>
      </c>
      <c r="C444" s="197">
        <v>15027</v>
      </c>
      <c r="D444" s="47" t="str">
        <f ca="1">VLOOKUP($C444,OFFSET(quests!$A$1,0,0,COUNTA(quests!$A:$A),MATCH(D$1,quests!$1:$1,0)-MATCH($C$2,quests!$1:$1,0)+1),MATCH(D$1,quests!$1:$1,0)-MATCH($C$2,quests!$1:$1,0)+1,FALSE)</f>
        <v>27. 雷雨の登山道</v>
      </c>
      <c r="E444" s="48" t="str">
        <f ca="1">VLOOKUP($C444,OFFSET(quests!$A$1,0,0,COUNTA(quests!$A:$A),MATCH(E$2,quests!$1:$1,0)-MATCH($C$2,quests!$1:$1,0)+1),MATCH(E$2,quests!$1:$1,0)-MATCH($C$2,quests!$1:$1,0)+1,FALSE)</f>
        <v>黄青DL6</v>
      </c>
      <c r="F444" s="34">
        <v>3</v>
      </c>
      <c r="G444" s="7" t="s">
        <v>382</v>
      </c>
      <c r="H444" s="37" t="s">
        <v>1082</v>
      </c>
      <c r="I444" s="37"/>
      <c r="J444" s="12" t="s">
        <v>279</v>
      </c>
      <c r="K444" s="186">
        <v>22</v>
      </c>
      <c r="L444" s="167">
        <v>5250</v>
      </c>
      <c r="M444" s="167">
        <v>1</v>
      </c>
      <c r="N444" s="167">
        <v>1</v>
      </c>
      <c r="O444" s="167">
        <v>1</v>
      </c>
      <c r="P444" s="167">
        <v>1</v>
      </c>
      <c r="Q444" s="167">
        <v>1</v>
      </c>
      <c r="R444" s="167">
        <v>3</v>
      </c>
      <c r="S444" s="167" t="s">
        <v>79</v>
      </c>
      <c r="T444" s="167">
        <v>0</v>
      </c>
      <c r="U444" s="7">
        <v>15027</v>
      </c>
      <c r="V444" s="7">
        <v>2</v>
      </c>
      <c r="W444" s="47" t="str">
        <f t="shared" ca="1" si="17"/>
        <v>27-2. 霊峰の守護者</v>
      </c>
      <c r="X444" s="47">
        <f ca="1">VLOOKUP($C444,OFFSET(quests!$A$1,0,0,COUNTA(quests!$A:$A),MATCH(X$2,quests!$1:$1,0)-MATCH($C$2,quests!$1:$1,0)+1),MATCH(X$2,quests!$1:$1,0)-MATCH($C$2,quests!$1:$1,0)+1,FALSE)</f>
        <v>0</v>
      </c>
      <c r="Y444" s="47">
        <f ca="1">VLOOKUP($C444,OFFSET(quests!$A$1,0,0,COUNTA(quests!$A:$A),MATCH(Y$2,quests!$1:$1,0)-MATCH($C$2,quests!$1:$1,0)+1),MATCH(Y$2,quests!$1:$1,0)-MATCH($C$2,quests!$1:$1,0)+1,FALSE)</f>
        <v>1</v>
      </c>
      <c r="Z444" s="47">
        <f ca="1">VLOOKUP($C444,OFFSET(quests!$A$1,0,0,COUNTA(quests!$A:$A),MATCH(Z$2,quests!$1:$1,0)-MATCH($C$2,quests!$1:$1,0)+1),MATCH(Z$2,quests!$1:$1,0)-MATCH($C$2,quests!$1:$1,0)+1,FALSE)</f>
        <v>0</v>
      </c>
      <c r="AA444" s="47">
        <f ca="1">VLOOKUP($C444,OFFSET(quests!$A$1,0,0,COUNTA(quests!$A:$A),MATCH(AA$2,quests!$1:$1,0)-MATCH($C$2,quests!$1:$1,0)+1),MATCH(AA$2,quests!$1:$1,0)-MATCH($C$2,quests!$1:$1,0)+1,FALSE)</f>
        <v>1</v>
      </c>
      <c r="AB444" s="7" t="s">
        <v>56</v>
      </c>
      <c r="AC444" s="7">
        <v>27</v>
      </c>
      <c r="AD444" s="7">
        <v>6</v>
      </c>
      <c r="AE444" s="7" t="s">
        <v>519</v>
      </c>
      <c r="AF444" s="272">
        <v>3</v>
      </c>
      <c r="AG444" s="7">
        <v>0</v>
      </c>
      <c r="AH444" s="7">
        <v>0</v>
      </c>
      <c r="AI444" s="7">
        <v>-1</v>
      </c>
      <c r="AJ444" s="7">
        <v>-1</v>
      </c>
      <c r="AK444" s="7" t="s">
        <v>1064</v>
      </c>
      <c r="AL444" s="12" t="s">
        <v>1695</v>
      </c>
      <c r="AM444" s="12" t="s">
        <v>2072</v>
      </c>
    </row>
    <row r="445" spans="1:39" ht="21" customHeight="1" x14ac:dyDescent="0.15">
      <c r="A445" s="42" t="str">
        <f t="shared" si="19"/>
        <v>15027_4</v>
      </c>
      <c r="B445" s="23">
        <v>3</v>
      </c>
      <c r="C445" s="197">
        <v>15027</v>
      </c>
      <c r="D445" s="47" t="str">
        <f ca="1">VLOOKUP($C445,OFFSET(quests!$A$1,0,0,COUNTA(quests!$A:$A),MATCH(D$1,quests!$1:$1,0)-MATCH($C$2,quests!$1:$1,0)+1),MATCH(D$1,quests!$1:$1,0)-MATCH($C$2,quests!$1:$1,0)+1,FALSE)</f>
        <v>27. 雷雨の登山道</v>
      </c>
      <c r="E445" s="48" t="str">
        <f ca="1">VLOOKUP($C445,OFFSET(quests!$A$1,0,0,COUNTA(quests!$A:$A),MATCH(E$2,quests!$1:$1,0)-MATCH($C$2,quests!$1:$1,0)+1),MATCH(E$2,quests!$1:$1,0)-MATCH($C$2,quests!$1:$1,0)+1,FALSE)</f>
        <v>黄青DL6</v>
      </c>
      <c r="F445" s="34">
        <v>4</v>
      </c>
      <c r="G445" s="7" t="s">
        <v>382</v>
      </c>
      <c r="H445" s="37" t="s">
        <v>1088</v>
      </c>
      <c r="I445" s="12" t="s">
        <v>164</v>
      </c>
      <c r="J445" s="12">
        <v>343</v>
      </c>
      <c r="K445" s="186">
        <v>1</v>
      </c>
      <c r="L445" s="167">
        <v>1</v>
      </c>
      <c r="M445" s="167">
        <v>1</v>
      </c>
      <c r="N445" s="167">
        <v>1</v>
      </c>
      <c r="O445" s="167">
        <v>1</v>
      </c>
      <c r="P445" s="167">
        <v>1</v>
      </c>
      <c r="Q445" s="167">
        <v>1</v>
      </c>
      <c r="R445" s="167">
        <v>3</v>
      </c>
      <c r="S445" s="167" t="s">
        <v>273</v>
      </c>
      <c r="T445" s="191" t="s">
        <v>2173</v>
      </c>
      <c r="U445" s="7">
        <v>15027</v>
      </c>
      <c r="V445" s="7">
        <v>3</v>
      </c>
      <c r="W445" s="47" t="str">
        <f t="shared" ca="1" si="17"/>
        <v>27-3. 山岳の王者</v>
      </c>
      <c r="X445" s="47">
        <f ca="1">VLOOKUP($C445,OFFSET(quests!$A$1,0,0,COUNTA(quests!$A:$A),MATCH(X$2,quests!$1:$1,0)-MATCH($C$2,quests!$1:$1,0)+1),MATCH(X$2,quests!$1:$1,0)-MATCH($C$2,quests!$1:$1,0)+1,FALSE)</f>
        <v>0</v>
      </c>
      <c r="Y445" s="47">
        <f ca="1">VLOOKUP($C445,OFFSET(quests!$A$1,0,0,COUNTA(quests!$A:$A),MATCH(Y$2,quests!$1:$1,0)-MATCH($C$2,quests!$1:$1,0)+1),MATCH(Y$2,quests!$1:$1,0)-MATCH($C$2,quests!$1:$1,0)+1,FALSE)</f>
        <v>1</v>
      </c>
      <c r="Z445" s="47">
        <f ca="1">VLOOKUP($C445,OFFSET(quests!$A$1,0,0,COUNTA(quests!$A:$A),MATCH(Z$2,quests!$1:$1,0)-MATCH($C$2,quests!$1:$1,0)+1),MATCH(Z$2,quests!$1:$1,0)-MATCH($C$2,quests!$1:$1,0)+1,FALSE)</f>
        <v>0</v>
      </c>
      <c r="AA445" s="47">
        <f ca="1">VLOOKUP($C445,OFFSET(quests!$A$1,0,0,COUNTA(quests!$A:$A),MATCH(AA$2,quests!$1:$1,0)-MATCH($C$2,quests!$1:$1,0)+1),MATCH(AA$2,quests!$1:$1,0)-MATCH($C$2,quests!$1:$1,0)+1,FALSE)</f>
        <v>1</v>
      </c>
      <c r="AB445" s="7" t="s">
        <v>62</v>
      </c>
      <c r="AC445" s="7">
        <v>27</v>
      </c>
      <c r="AD445" s="7">
        <v>6</v>
      </c>
      <c r="AE445" s="7" t="s">
        <v>522</v>
      </c>
      <c r="AF445" s="268">
        <v>1</v>
      </c>
      <c r="AG445" s="7">
        <v>0</v>
      </c>
      <c r="AH445" s="7">
        <v>0</v>
      </c>
      <c r="AI445" s="7">
        <v>-1</v>
      </c>
      <c r="AJ445" s="7">
        <v>-1</v>
      </c>
      <c r="AK445" s="7" t="s">
        <v>1064</v>
      </c>
      <c r="AL445" s="12" t="s">
        <v>1695</v>
      </c>
      <c r="AM445" s="12" t="s">
        <v>2072</v>
      </c>
    </row>
    <row r="446" spans="1:39" ht="21" customHeight="1" x14ac:dyDescent="0.15">
      <c r="A446" s="42" t="str">
        <f t="shared" si="19"/>
        <v>15028_1</v>
      </c>
      <c r="B446" s="23">
        <v>3</v>
      </c>
      <c r="C446" s="197">
        <v>15028</v>
      </c>
      <c r="D446" s="47" t="str">
        <f ca="1">VLOOKUP($C446,OFFSET(quests!$A$1,0,0,COUNTA(quests!$A:$A),MATCH(D$1,quests!$1:$1,0)-MATCH($C$2,quests!$1:$1,0)+1),MATCH(D$1,quests!$1:$1,0)-MATCH($C$2,quests!$1:$1,0)+1,FALSE)</f>
        <v>28. 暴風と灼熱の罪浄</v>
      </c>
      <c r="E446" s="48" t="str">
        <f ca="1">VLOOKUP($C446,OFFSET(quests!$A$1,0,0,COUNTA(quests!$A:$A),MATCH(E$2,quests!$1:$1,0)-MATCH($C$2,quests!$1:$1,0)+1),MATCH(E$2,quests!$1:$1,0)-MATCH($C$2,quests!$1:$1,0)+1,FALSE)</f>
        <v>赤緑DL6</v>
      </c>
      <c r="F446" s="34">
        <v>1</v>
      </c>
      <c r="G446" s="7" t="s">
        <v>382</v>
      </c>
      <c r="H446" s="37" t="s">
        <v>1085</v>
      </c>
      <c r="I446" s="37"/>
      <c r="J446" s="12" t="s">
        <v>279</v>
      </c>
      <c r="K446" s="186">
        <v>18</v>
      </c>
      <c r="L446" s="167">
        <v>3870</v>
      </c>
      <c r="M446" s="167">
        <v>1</v>
      </c>
      <c r="N446" s="167">
        <v>1</v>
      </c>
      <c r="O446" s="167">
        <v>1</v>
      </c>
      <c r="P446" s="167">
        <v>1</v>
      </c>
      <c r="Q446" s="167">
        <v>1</v>
      </c>
      <c r="R446" s="167">
        <v>3</v>
      </c>
      <c r="S446" s="167" t="s">
        <v>79</v>
      </c>
      <c r="T446" s="167">
        <v>0</v>
      </c>
      <c r="U446" s="7">
        <v>15027</v>
      </c>
      <c r="V446" s="7">
        <v>4</v>
      </c>
      <c r="W446" s="47" t="str">
        <f t="shared" ca="1" si="17"/>
        <v>27-4. 【1回のみ】ボーナスステージ</v>
      </c>
      <c r="X446" s="47">
        <f ca="1">VLOOKUP($C446,OFFSET(quests!$A$1,0,0,COUNTA(quests!$A:$A),MATCH(X$2,quests!$1:$1,0)-MATCH($C$2,quests!$1:$1,0)+1),MATCH(X$2,quests!$1:$1,0)-MATCH($C$2,quests!$1:$1,0)+1,FALSE)</f>
        <v>1</v>
      </c>
      <c r="Y446" s="47">
        <f ca="1">VLOOKUP($C446,OFFSET(quests!$A$1,0,0,COUNTA(quests!$A:$A),MATCH(Y$2,quests!$1:$1,0)-MATCH($C$2,quests!$1:$1,0)+1),MATCH(Y$2,quests!$1:$1,0)-MATCH($C$2,quests!$1:$1,0)+1,FALSE)</f>
        <v>0</v>
      </c>
      <c r="Z446" s="47">
        <f ca="1">VLOOKUP($C446,OFFSET(quests!$A$1,0,0,COUNTA(quests!$A:$A),MATCH(Z$2,quests!$1:$1,0)-MATCH($C$2,quests!$1:$1,0)+1),MATCH(Z$2,quests!$1:$1,0)-MATCH($C$2,quests!$1:$1,0)+1,FALSE)</f>
        <v>1</v>
      </c>
      <c r="AA446" s="47">
        <f ca="1">VLOOKUP($C446,OFFSET(quests!$A$1,0,0,COUNTA(quests!$A:$A),MATCH(AA$2,quests!$1:$1,0)-MATCH($C$2,quests!$1:$1,0)+1),MATCH(AA$2,quests!$1:$1,0)-MATCH($C$2,quests!$1:$1,0)+1,FALSE)</f>
        <v>0</v>
      </c>
      <c r="AB446" s="7" t="s">
        <v>56</v>
      </c>
      <c r="AC446" s="7">
        <v>28</v>
      </c>
      <c r="AD446" s="7">
        <v>6</v>
      </c>
      <c r="AE446" s="7" t="s">
        <v>519</v>
      </c>
      <c r="AF446" s="268">
        <v>0</v>
      </c>
      <c r="AG446" s="7">
        <v>0</v>
      </c>
      <c r="AH446" s="7">
        <v>0</v>
      </c>
      <c r="AI446" s="7">
        <v>-1</v>
      </c>
      <c r="AJ446" s="7">
        <v>-1</v>
      </c>
      <c r="AK446" s="7" t="s">
        <v>1064</v>
      </c>
      <c r="AL446" s="12" t="s">
        <v>1695</v>
      </c>
      <c r="AM446" s="12" t="s">
        <v>2072</v>
      </c>
    </row>
    <row r="447" spans="1:39" ht="21" customHeight="1" x14ac:dyDescent="0.15">
      <c r="A447" s="42" t="str">
        <f t="shared" si="19"/>
        <v>15028_2</v>
      </c>
      <c r="B447" s="23">
        <v>3</v>
      </c>
      <c r="C447" s="197">
        <v>15028</v>
      </c>
      <c r="D447" s="47" t="str">
        <f ca="1">VLOOKUP($C447,OFFSET(quests!$A$1,0,0,COUNTA(quests!$A:$A),MATCH(D$1,quests!$1:$1,0)-MATCH($C$2,quests!$1:$1,0)+1),MATCH(D$1,quests!$1:$1,0)-MATCH($C$2,quests!$1:$1,0)+1,FALSE)</f>
        <v>28. 暴風と灼熱の罪浄</v>
      </c>
      <c r="E447" s="48" t="str">
        <f ca="1">VLOOKUP($C447,OFFSET(quests!$A$1,0,0,COUNTA(quests!$A:$A),MATCH(E$2,quests!$1:$1,0)-MATCH($C$2,quests!$1:$1,0)+1),MATCH(E$2,quests!$1:$1,0)-MATCH($C$2,quests!$1:$1,0)+1,FALSE)</f>
        <v>赤緑DL6</v>
      </c>
      <c r="F447" s="34">
        <v>2</v>
      </c>
      <c r="G447" s="7" t="s">
        <v>382</v>
      </c>
      <c r="H447" s="37" t="s">
        <v>1086</v>
      </c>
      <c r="I447" s="37"/>
      <c r="J447" s="12" t="s">
        <v>279</v>
      </c>
      <c r="K447" s="186">
        <v>19</v>
      </c>
      <c r="L447" s="167">
        <v>4500</v>
      </c>
      <c r="M447" s="167">
        <v>1</v>
      </c>
      <c r="N447" s="167">
        <v>1</v>
      </c>
      <c r="O447" s="167">
        <v>1</v>
      </c>
      <c r="P447" s="167">
        <v>1</v>
      </c>
      <c r="Q447" s="167">
        <v>1</v>
      </c>
      <c r="R447" s="167">
        <v>3</v>
      </c>
      <c r="S447" s="167" t="s">
        <v>79</v>
      </c>
      <c r="T447" s="167">
        <v>0</v>
      </c>
      <c r="U447" s="7">
        <v>15028</v>
      </c>
      <c r="V447" s="7">
        <v>1</v>
      </c>
      <c r="W447" s="47" t="str">
        <f t="shared" ca="1" si="17"/>
        <v>28-1. 轟翼のかまど</v>
      </c>
      <c r="X447" s="47">
        <f ca="1">VLOOKUP($C447,OFFSET(quests!$A$1,0,0,COUNTA(quests!$A:$A),MATCH(X$2,quests!$1:$1,0)-MATCH($C$2,quests!$1:$1,0)+1),MATCH(X$2,quests!$1:$1,0)-MATCH($C$2,quests!$1:$1,0)+1,FALSE)</f>
        <v>1</v>
      </c>
      <c r="Y447" s="47">
        <f ca="1">VLOOKUP($C447,OFFSET(quests!$A$1,0,0,COUNTA(quests!$A:$A),MATCH(Y$2,quests!$1:$1,0)-MATCH($C$2,quests!$1:$1,0)+1),MATCH(Y$2,quests!$1:$1,0)-MATCH($C$2,quests!$1:$1,0)+1,FALSE)</f>
        <v>0</v>
      </c>
      <c r="Z447" s="47">
        <f ca="1">VLOOKUP($C447,OFFSET(quests!$A$1,0,0,COUNTA(quests!$A:$A),MATCH(Z$2,quests!$1:$1,0)-MATCH($C$2,quests!$1:$1,0)+1),MATCH(Z$2,quests!$1:$1,0)-MATCH($C$2,quests!$1:$1,0)+1,FALSE)</f>
        <v>1</v>
      </c>
      <c r="AA447" s="47">
        <f ca="1">VLOOKUP($C447,OFFSET(quests!$A$1,0,0,COUNTA(quests!$A:$A),MATCH(AA$2,quests!$1:$1,0)-MATCH($C$2,quests!$1:$1,0)+1),MATCH(AA$2,quests!$1:$1,0)-MATCH($C$2,quests!$1:$1,0)+1,FALSE)</f>
        <v>0</v>
      </c>
      <c r="AB447" s="7" t="s">
        <v>56</v>
      </c>
      <c r="AC447" s="7">
        <v>28</v>
      </c>
      <c r="AD447" s="7">
        <v>6</v>
      </c>
      <c r="AE447" s="7" t="s">
        <v>519</v>
      </c>
      <c r="AF447" s="268">
        <v>0</v>
      </c>
      <c r="AG447" s="7">
        <v>0</v>
      </c>
      <c r="AH447" s="7">
        <v>0</v>
      </c>
      <c r="AI447" s="7">
        <v>-1</v>
      </c>
      <c r="AJ447" s="7">
        <v>-1</v>
      </c>
      <c r="AK447" s="7" t="s">
        <v>1064</v>
      </c>
      <c r="AL447" s="12" t="s">
        <v>1695</v>
      </c>
      <c r="AM447" s="12" t="s">
        <v>2072</v>
      </c>
    </row>
    <row r="448" spans="1:39" ht="21" customHeight="1" x14ac:dyDescent="0.15">
      <c r="A448" s="42" t="str">
        <f t="shared" si="19"/>
        <v>15028_3</v>
      </c>
      <c r="B448" s="23">
        <v>3</v>
      </c>
      <c r="C448" s="197">
        <v>15028</v>
      </c>
      <c r="D448" s="47" t="str">
        <f ca="1">VLOOKUP($C448,OFFSET(quests!$A$1,0,0,COUNTA(quests!$A:$A),MATCH(D$1,quests!$1:$1,0)-MATCH($C$2,quests!$1:$1,0)+1),MATCH(D$1,quests!$1:$1,0)-MATCH($C$2,quests!$1:$1,0)+1,FALSE)</f>
        <v>28. 暴風と灼熱の罪浄</v>
      </c>
      <c r="E448" s="48" t="str">
        <f ca="1">VLOOKUP($C448,OFFSET(quests!$A$1,0,0,COUNTA(quests!$A:$A),MATCH(E$2,quests!$1:$1,0)-MATCH($C$2,quests!$1:$1,0)+1),MATCH(E$2,quests!$1:$1,0)-MATCH($C$2,quests!$1:$1,0)+1,FALSE)</f>
        <v>赤緑DL6</v>
      </c>
      <c r="F448" s="34">
        <v>3</v>
      </c>
      <c r="G448" s="7" t="s">
        <v>382</v>
      </c>
      <c r="H448" s="37" t="s">
        <v>1087</v>
      </c>
      <c r="I448" s="37"/>
      <c r="J448" s="12" t="s">
        <v>279</v>
      </c>
      <c r="K448" s="186">
        <v>22</v>
      </c>
      <c r="L448" s="167">
        <v>5580</v>
      </c>
      <c r="M448" s="167">
        <v>1</v>
      </c>
      <c r="N448" s="167">
        <v>1</v>
      </c>
      <c r="O448" s="167">
        <v>1</v>
      </c>
      <c r="P448" s="167">
        <v>1</v>
      </c>
      <c r="Q448" s="167">
        <v>1</v>
      </c>
      <c r="R448" s="167">
        <v>3</v>
      </c>
      <c r="S448" s="167" t="s">
        <v>79</v>
      </c>
      <c r="T448" s="167">
        <v>0</v>
      </c>
      <c r="U448" s="7">
        <v>15028</v>
      </c>
      <c r="V448" s="7">
        <v>2</v>
      </c>
      <c r="W448" s="47" t="str">
        <f t="shared" ca="1" si="17"/>
        <v>28-2. 空の寝殿</v>
      </c>
      <c r="X448" s="47">
        <f ca="1">VLOOKUP($C448,OFFSET(quests!$A$1,0,0,COUNTA(quests!$A:$A),MATCH(X$2,quests!$1:$1,0)-MATCH($C$2,quests!$1:$1,0)+1),MATCH(X$2,quests!$1:$1,0)-MATCH($C$2,quests!$1:$1,0)+1,FALSE)</f>
        <v>1</v>
      </c>
      <c r="Y448" s="47">
        <f ca="1">VLOOKUP($C448,OFFSET(quests!$A$1,0,0,COUNTA(quests!$A:$A),MATCH(Y$2,quests!$1:$1,0)-MATCH($C$2,quests!$1:$1,0)+1),MATCH(Y$2,quests!$1:$1,0)-MATCH($C$2,quests!$1:$1,0)+1,FALSE)</f>
        <v>0</v>
      </c>
      <c r="Z448" s="47">
        <f ca="1">VLOOKUP($C448,OFFSET(quests!$A$1,0,0,COUNTA(quests!$A:$A),MATCH(Z$2,quests!$1:$1,0)-MATCH($C$2,quests!$1:$1,0)+1),MATCH(Z$2,quests!$1:$1,0)-MATCH($C$2,quests!$1:$1,0)+1,FALSE)</f>
        <v>1</v>
      </c>
      <c r="AA448" s="47">
        <f ca="1">VLOOKUP($C448,OFFSET(quests!$A$1,0,0,COUNTA(quests!$A:$A),MATCH(AA$2,quests!$1:$1,0)-MATCH($C$2,quests!$1:$1,0)+1),MATCH(AA$2,quests!$1:$1,0)-MATCH($C$2,quests!$1:$1,0)+1,FALSE)</f>
        <v>0</v>
      </c>
      <c r="AB448" s="7" t="s">
        <v>56</v>
      </c>
      <c r="AC448" s="7">
        <v>28</v>
      </c>
      <c r="AD448" s="7">
        <v>6</v>
      </c>
      <c r="AE448" s="7" t="s">
        <v>519</v>
      </c>
      <c r="AF448" s="272">
        <v>3</v>
      </c>
      <c r="AG448" s="7">
        <v>0</v>
      </c>
      <c r="AH448" s="7">
        <v>0</v>
      </c>
      <c r="AI448" s="7">
        <v>-1</v>
      </c>
      <c r="AJ448" s="7">
        <v>-1</v>
      </c>
      <c r="AK448" s="7" t="s">
        <v>1064</v>
      </c>
      <c r="AL448" s="12" t="s">
        <v>1695</v>
      </c>
      <c r="AM448" s="12" t="s">
        <v>2072</v>
      </c>
    </row>
    <row r="449" spans="1:39" ht="21" customHeight="1" x14ac:dyDescent="0.15">
      <c r="A449" s="42" t="str">
        <f t="shared" si="19"/>
        <v>15028_4</v>
      </c>
      <c r="B449" s="23">
        <v>3</v>
      </c>
      <c r="C449" s="197">
        <v>15028</v>
      </c>
      <c r="D449" s="47" t="str">
        <f ca="1">VLOOKUP($C449,OFFSET(quests!$A$1,0,0,COUNTA(quests!$A:$A),MATCH(D$1,quests!$1:$1,0)-MATCH($C$2,quests!$1:$1,0)+1),MATCH(D$1,quests!$1:$1,0)-MATCH($C$2,quests!$1:$1,0)+1,FALSE)</f>
        <v>28. 暴風と灼熱の罪浄</v>
      </c>
      <c r="E449" s="48" t="str">
        <f ca="1">VLOOKUP($C449,OFFSET(quests!$A$1,0,0,COUNTA(quests!$A:$A),MATCH(E$2,quests!$1:$1,0)-MATCH($C$2,quests!$1:$1,0)+1),MATCH(E$2,quests!$1:$1,0)-MATCH($C$2,quests!$1:$1,0)+1,FALSE)</f>
        <v>赤緑DL6</v>
      </c>
      <c r="F449" s="34">
        <v>4</v>
      </c>
      <c r="G449" s="7" t="s">
        <v>382</v>
      </c>
      <c r="H449" s="37" t="s">
        <v>1098</v>
      </c>
      <c r="I449" s="12" t="s">
        <v>164</v>
      </c>
      <c r="J449" s="12">
        <v>347</v>
      </c>
      <c r="K449" s="186">
        <v>1</v>
      </c>
      <c r="L449" s="167">
        <v>1</v>
      </c>
      <c r="M449" s="167">
        <v>1</v>
      </c>
      <c r="N449" s="167">
        <v>1</v>
      </c>
      <c r="O449" s="167">
        <v>1</v>
      </c>
      <c r="P449" s="167">
        <v>1</v>
      </c>
      <c r="Q449" s="167">
        <v>1</v>
      </c>
      <c r="R449" s="167">
        <v>3</v>
      </c>
      <c r="S449" s="167" t="s">
        <v>273</v>
      </c>
      <c r="T449" s="191" t="s">
        <v>2174</v>
      </c>
      <c r="U449" s="7">
        <v>15028</v>
      </c>
      <c r="V449" s="7">
        <v>3</v>
      </c>
      <c r="W449" s="47" t="str">
        <f t="shared" ca="1" si="17"/>
        <v>28-3. 縛風の洞窟</v>
      </c>
      <c r="X449" s="47">
        <f ca="1">VLOOKUP($C449,OFFSET(quests!$A$1,0,0,COUNTA(quests!$A:$A),MATCH(X$2,quests!$1:$1,0)-MATCH($C$2,quests!$1:$1,0)+1),MATCH(X$2,quests!$1:$1,0)-MATCH($C$2,quests!$1:$1,0)+1,FALSE)</f>
        <v>1</v>
      </c>
      <c r="Y449" s="47">
        <f ca="1">VLOOKUP($C449,OFFSET(quests!$A$1,0,0,COUNTA(quests!$A:$A),MATCH(Y$2,quests!$1:$1,0)-MATCH($C$2,quests!$1:$1,0)+1),MATCH(Y$2,quests!$1:$1,0)-MATCH($C$2,quests!$1:$1,0)+1,FALSE)</f>
        <v>0</v>
      </c>
      <c r="Z449" s="47">
        <f ca="1">VLOOKUP($C449,OFFSET(quests!$A$1,0,0,COUNTA(quests!$A:$A),MATCH(Z$2,quests!$1:$1,0)-MATCH($C$2,quests!$1:$1,0)+1),MATCH(Z$2,quests!$1:$1,0)-MATCH($C$2,quests!$1:$1,0)+1,FALSE)</f>
        <v>1</v>
      </c>
      <c r="AA449" s="47">
        <f ca="1">VLOOKUP($C449,OFFSET(quests!$A$1,0,0,COUNTA(quests!$A:$A),MATCH(AA$2,quests!$1:$1,0)-MATCH($C$2,quests!$1:$1,0)+1),MATCH(AA$2,quests!$1:$1,0)-MATCH($C$2,quests!$1:$1,0)+1,FALSE)</f>
        <v>0</v>
      </c>
      <c r="AB449" s="7" t="s">
        <v>62</v>
      </c>
      <c r="AC449" s="7">
        <v>28</v>
      </c>
      <c r="AD449" s="7">
        <v>6</v>
      </c>
      <c r="AE449" s="7" t="s">
        <v>522</v>
      </c>
      <c r="AF449" s="268">
        <v>1</v>
      </c>
      <c r="AG449" s="7">
        <v>0</v>
      </c>
      <c r="AH449" s="7">
        <v>0</v>
      </c>
      <c r="AI449" s="7">
        <v>-1</v>
      </c>
      <c r="AJ449" s="7">
        <v>-1</v>
      </c>
      <c r="AK449" s="7" t="s">
        <v>1064</v>
      </c>
      <c r="AL449" s="12" t="s">
        <v>1695</v>
      </c>
      <c r="AM449" s="12" t="s">
        <v>2072</v>
      </c>
    </row>
    <row r="450" spans="1:39" ht="21" customHeight="1" x14ac:dyDescent="0.15">
      <c r="A450" s="42" t="str">
        <f t="shared" si="19"/>
        <v>15029_1</v>
      </c>
      <c r="B450" s="23">
        <v>3</v>
      </c>
      <c r="C450" s="197">
        <v>15029</v>
      </c>
      <c r="D450" s="47" t="str">
        <f ca="1">VLOOKUP($C450,OFFSET(quests!$A$1,0,0,COUNTA(quests!$A:$A),MATCH(D$1,quests!$1:$1,0)-MATCH($C$2,quests!$1:$1,0)+1),MATCH(D$1,quests!$1:$1,0)-MATCH($C$2,quests!$1:$1,0)+1,FALSE)</f>
        <v>29. 雪の望郷</v>
      </c>
      <c r="E450" s="48" t="str">
        <f ca="1">VLOOKUP($C450,OFFSET(quests!$A$1,0,0,COUNTA(quests!$A:$A),MATCH(E$2,quests!$1:$1,0)-MATCH($C$2,quests!$1:$1,0)+1),MATCH(E$2,quests!$1:$1,0)-MATCH($C$2,quests!$1:$1,0)+1,FALSE)</f>
        <v>緑黄DL6</v>
      </c>
      <c r="F450" s="34">
        <v>1</v>
      </c>
      <c r="G450" s="7" t="s">
        <v>382</v>
      </c>
      <c r="H450" s="37" t="s">
        <v>1120</v>
      </c>
      <c r="I450" s="37"/>
      <c r="J450" s="12" t="s">
        <v>279</v>
      </c>
      <c r="K450" s="186">
        <v>18</v>
      </c>
      <c r="L450" s="167">
        <v>4210</v>
      </c>
      <c r="M450" s="167">
        <v>1</v>
      </c>
      <c r="N450" s="167">
        <v>1</v>
      </c>
      <c r="O450" s="167">
        <v>1</v>
      </c>
      <c r="P450" s="167">
        <v>1</v>
      </c>
      <c r="Q450" s="167">
        <v>1</v>
      </c>
      <c r="R450" s="167">
        <v>3</v>
      </c>
      <c r="S450" s="167" t="s">
        <v>79</v>
      </c>
      <c r="T450" s="167">
        <v>0</v>
      </c>
      <c r="U450" s="7">
        <v>15028</v>
      </c>
      <c r="V450" s="7">
        <v>4</v>
      </c>
      <c r="W450" s="47" t="str">
        <f t="shared" ca="1" si="17"/>
        <v>28-4. 【1回のみ】ボーナスステージ</v>
      </c>
      <c r="X450" s="47">
        <f ca="1">VLOOKUP($C450,OFFSET(quests!$A$1,0,0,COUNTA(quests!$A:$A),MATCH(X$2,quests!$1:$1,0)-MATCH($C$2,quests!$1:$1,0)+1),MATCH(X$2,quests!$1:$1,0)-MATCH($C$2,quests!$1:$1,0)+1,FALSE)</f>
        <v>0</v>
      </c>
      <c r="Y450" s="47">
        <f ca="1">VLOOKUP($C450,OFFSET(quests!$A$1,0,0,COUNTA(quests!$A:$A),MATCH(Y$2,quests!$1:$1,0)-MATCH($C$2,quests!$1:$1,0)+1),MATCH(Y$2,quests!$1:$1,0)-MATCH($C$2,quests!$1:$1,0)+1,FALSE)</f>
        <v>0</v>
      </c>
      <c r="Z450" s="47">
        <f ca="1">VLOOKUP($C450,OFFSET(quests!$A$1,0,0,COUNTA(quests!$A:$A),MATCH(Z$2,quests!$1:$1,0)-MATCH($C$2,quests!$1:$1,0)+1),MATCH(Z$2,quests!$1:$1,0)-MATCH($C$2,quests!$1:$1,0)+1,FALSE)</f>
        <v>1</v>
      </c>
      <c r="AA450" s="47">
        <f ca="1">VLOOKUP($C450,OFFSET(quests!$A$1,0,0,COUNTA(quests!$A:$A),MATCH(AA$2,quests!$1:$1,0)-MATCH($C$2,quests!$1:$1,0)+1),MATCH(AA$2,quests!$1:$1,0)-MATCH($C$2,quests!$1:$1,0)+1,FALSE)</f>
        <v>1</v>
      </c>
      <c r="AB450" s="7" t="s">
        <v>56</v>
      </c>
      <c r="AC450" s="7">
        <v>29</v>
      </c>
      <c r="AD450" s="7">
        <v>6</v>
      </c>
      <c r="AE450" s="7" t="s">
        <v>519</v>
      </c>
      <c r="AF450" s="268">
        <v>0</v>
      </c>
      <c r="AG450" s="7">
        <v>0</v>
      </c>
      <c r="AH450" s="7">
        <v>0</v>
      </c>
      <c r="AI450" s="7">
        <v>-1</v>
      </c>
      <c r="AJ450" s="7">
        <v>-1</v>
      </c>
      <c r="AK450" s="7" t="s">
        <v>1064</v>
      </c>
      <c r="AL450" s="12" t="s">
        <v>1695</v>
      </c>
      <c r="AM450" s="12" t="s">
        <v>2072</v>
      </c>
    </row>
    <row r="451" spans="1:39" ht="21" customHeight="1" x14ac:dyDescent="0.15">
      <c r="A451" s="42" t="str">
        <f t="shared" si="19"/>
        <v>15029_2</v>
      </c>
      <c r="B451" s="23">
        <v>3</v>
      </c>
      <c r="C451" s="197">
        <v>15029</v>
      </c>
      <c r="D451" s="47" t="str">
        <f ca="1">VLOOKUP($C451,OFFSET(quests!$A$1,0,0,COUNTA(quests!$A:$A),MATCH(D$1,quests!$1:$1,0)-MATCH($C$2,quests!$1:$1,0)+1),MATCH(D$1,quests!$1:$1,0)-MATCH($C$2,quests!$1:$1,0)+1,FALSE)</f>
        <v>29. 雪の望郷</v>
      </c>
      <c r="E451" s="48" t="str">
        <f ca="1">VLOOKUP($C451,OFFSET(quests!$A$1,0,0,COUNTA(quests!$A:$A),MATCH(E$2,quests!$1:$1,0)-MATCH($C$2,quests!$1:$1,0)+1),MATCH(E$2,quests!$1:$1,0)-MATCH($C$2,quests!$1:$1,0)+1,FALSE)</f>
        <v>緑黄DL6</v>
      </c>
      <c r="F451" s="34">
        <v>2</v>
      </c>
      <c r="G451" s="7" t="s">
        <v>382</v>
      </c>
      <c r="H451" s="37" t="s">
        <v>1121</v>
      </c>
      <c r="I451" s="37"/>
      <c r="J451" s="12" t="s">
        <v>279</v>
      </c>
      <c r="K451" s="186">
        <v>19</v>
      </c>
      <c r="L451" s="167">
        <v>4800</v>
      </c>
      <c r="M451" s="167">
        <v>1</v>
      </c>
      <c r="N451" s="167">
        <v>1</v>
      </c>
      <c r="O451" s="167">
        <v>1</v>
      </c>
      <c r="P451" s="167">
        <v>1</v>
      </c>
      <c r="Q451" s="167">
        <v>1</v>
      </c>
      <c r="R451" s="167">
        <v>3</v>
      </c>
      <c r="S451" s="167" t="s">
        <v>79</v>
      </c>
      <c r="T451" s="167">
        <v>0</v>
      </c>
      <c r="U451" s="7">
        <v>15029</v>
      </c>
      <c r="V451" s="7">
        <v>1</v>
      </c>
      <c r="W451" s="47" t="str">
        <f t="shared" ref="W451:W514" ca="1" si="20">IF(U451="NULL","",VLOOKUP($U451&amp;"_"&amp;$V451,OFFSET($A$1,0,0,COUNTA($A:$A),MATCH(W$2,$2:$2,0)-MATCH($A$2,$2:$2,0)+1),MATCH(W$2,$2:$2,0)-MATCH($A$2,$2:$2,0)+1,FALSE))</f>
        <v>29-1. 雪の中のケモノたち</v>
      </c>
      <c r="X451" s="47">
        <f ca="1">VLOOKUP($C451,OFFSET(quests!$A$1,0,0,COUNTA(quests!$A:$A),MATCH(X$2,quests!$1:$1,0)-MATCH($C$2,quests!$1:$1,0)+1),MATCH(X$2,quests!$1:$1,0)-MATCH($C$2,quests!$1:$1,0)+1,FALSE)</f>
        <v>0</v>
      </c>
      <c r="Y451" s="47">
        <f ca="1">VLOOKUP($C451,OFFSET(quests!$A$1,0,0,COUNTA(quests!$A:$A),MATCH(Y$2,quests!$1:$1,0)-MATCH($C$2,quests!$1:$1,0)+1),MATCH(Y$2,quests!$1:$1,0)-MATCH($C$2,quests!$1:$1,0)+1,FALSE)</f>
        <v>0</v>
      </c>
      <c r="Z451" s="47">
        <f ca="1">VLOOKUP($C451,OFFSET(quests!$A$1,0,0,COUNTA(quests!$A:$A),MATCH(Z$2,quests!$1:$1,0)-MATCH($C$2,quests!$1:$1,0)+1),MATCH(Z$2,quests!$1:$1,0)-MATCH($C$2,quests!$1:$1,0)+1,FALSE)</f>
        <v>1</v>
      </c>
      <c r="AA451" s="47">
        <f ca="1">VLOOKUP($C451,OFFSET(quests!$A$1,0,0,COUNTA(quests!$A:$A),MATCH(AA$2,quests!$1:$1,0)-MATCH($C$2,quests!$1:$1,0)+1),MATCH(AA$2,quests!$1:$1,0)-MATCH($C$2,quests!$1:$1,0)+1,FALSE)</f>
        <v>1</v>
      </c>
      <c r="AB451" s="7" t="s">
        <v>56</v>
      </c>
      <c r="AC451" s="7">
        <v>29</v>
      </c>
      <c r="AD451" s="7">
        <v>6</v>
      </c>
      <c r="AE451" s="7" t="s">
        <v>519</v>
      </c>
      <c r="AF451" s="268">
        <v>0</v>
      </c>
      <c r="AG451" s="7">
        <v>0</v>
      </c>
      <c r="AH451" s="7">
        <v>0</v>
      </c>
      <c r="AI451" s="7">
        <v>-1</v>
      </c>
      <c r="AJ451" s="7">
        <v>-1</v>
      </c>
      <c r="AK451" s="7" t="s">
        <v>1064</v>
      </c>
      <c r="AL451" s="12" t="s">
        <v>1695</v>
      </c>
      <c r="AM451" s="12" t="s">
        <v>2072</v>
      </c>
    </row>
    <row r="452" spans="1:39" ht="21" customHeight="1" x14ac:dyDescent="0.15">
      <c r="A452" s="42" t="str">
        <f t="shared" si="19"/>
        <v>15029_3</v>
      </c>
      <c r="B452" s="23">
        <v>3</v>
      </c>
      <c r="C452" s="197">
        <v>15029</v>
      </c>
      <c r="D452" s="47" t="str">
        <f ca="1">VLOOKUP($C452,OFFSET(quests!$A$1,0,0,COUNTA(quests!$A:$A),MATCH(D$1,quests!$1:$1,0)-MATCH($C$2,quests!$1:$1,0)+1),MATCH(D$1,quests!$1:$1,0)-MATCH($C$2,quests!$1:$1,0)+1,FALSE)</f>
        <v>29. 雪の望郷</v>
      </c>
      <c r="E452" s="48" t="str">
        <f ca="1">VLOOKUP($C452,OFFSET(quests!$A$1,0,0,COUNTA(quests!$A:$A),MATCH(E$2,quests!$1:$1,0)-MATCH($C$2,quests!$1:$1,0)+1),MATCH(E$2,quests!$1:$1,0)-MATCH($C$2,quests!$1:$1,0)+1,FALSE)</f>
        <v>緑黄DL6</v>
      </c>
      <c r="F452" s="34">
        <v>3</v>
      </c>
      <c r="G452" s="7" t="s">
        <v>382</v>
      </c>
      <c r="H452" s="37" t="s">
        <v>1122</v>
      </c>
      <c r="I452" s="37"/>
      <c r="J452" s="12" t="s">
        <v>279</v>
      </c>
      <c r="K452" s="186">
        <v>22</v>
      </c>
      <c r="L452" s="167">
        <v>5970</v>
      </c>
      <c r="M452" s="167">
        <v>1</v>
      </c>
      <c r="N452" s="167">
        <v>1</v>
      </c>
      <c r="O452" s="167">
        <v>1</v>
      </c>
      <c r="P452" s="167">
        <v>1</v>
      </c>
      <c r="Q452" s="167">
        <v>1</v>
      </c>
      <c r="R452" s="167">
        <v>3</v>
      </c>
      <c r="S452" s="167" t="s">
        <v>79</v>
      </c>
      <c r="T452" s="167">
        <v>0</v>
      </c>
      <c r="U452" s="7">
        <v>15029</v>
      </c>
      <c r="V452" s="7">
        <v>2</v>
      </c>
      <c r="W452" s="47" t="str">
        <f t="shared" ca="1" si="20"/>
        <v>29-2. ねこみみマフラー</v>
      </c>
      <c r="X452" s="47">
        <f ca="1">VLOOKUP($C452,OFFSET(quests!$A$1,0,0,COUNTA(quests!$A:$A),MATCH(X$2,quests!$1:$1,0)-MATCH($C$2,quests!$1:$1,0)+1),MATCH(X$2,quests!$1:$1,0)-MATCH($C$2,quests!$1:$1,0)+1,FALSE)</f>
        <v>0</v>
      </c>
      <c r="Y452" s="47">
        <f ca="1">VLOOKUP($C452,OFFSET(quests!$A$1,0,0,COUNTA(quests!$A:$A),MATCH(Y$2,quests!$1:$1,0)-MATCH($C$2,quests!$1:$1,0)+1),MATCH(Y$2,quests!$1:$1,0)-MATCH($C$2,quests!$1:$1,0)+1,FALSE)</f>
        <v>0</v>
      </c>
      <c r="Z452" s="47">
        <f ca="1">VLOOKUP($C452,OFFSET(quests!$A$1,0,0,COUNTA(quests!$A:$A),MATCH(Z$2,quests!$1:$1,0)-MATCH($C$2,quests!$1:$1,0)+1),MATCH(Z$2,quests!$1:$1,0)-MATCH($C$2,quests!$1:$1,0)+1,FALSE)</f>
        <v>1</v>
      </c>
      <c r="AA452" s="47">
        <f ca="1">VLOOKUP($C452,OFFSET(quests!$A$1,0,0,COUNTA(quests!$A:$A),MATCH(AA$2,quests!$1:$1,0)-MATCH($C$2,quests!$1:$1,0)+1),MATCH(AA$2,quests!$1:$1,0)-MATCH($C$2,quests!$1:$1,0)+1,FALSE)</f>
        <v>1</v>
      </c>
      <c r="AB452" s="7" t="s">
        <v>56</v>
      </c>
      <c r="AC452" s="7">
        <v>29</v>
      </c>
      <c r="AD452" s="7">
        <v>6</v>
      </c>
      <c r="AE452" s="7" t="s">
        <v>519</v>
      </c>
      <c r="AF452" s="272">
        <v>3</v>
      </c>
      <c r="AG452" s="7">
        <v>0</v>
      </c>
      <c r="AH452" s="7">
        <v>0</v>
      </c>
      <c r="AI452" s="7">
        <v>-1</v>
      </c>
      <c r="AJ452" s="7">
        <v>-1</v>
      </c>
      <c r="AK452" s="7" t="s">
        <v>1064</v>
      </c>
      <c r="AL452" s="12" t="s">
        <v>1695</v>
      </c>
      <c r="AM452" s="12" t="s">
        <v>2072</v>
      </c>
    </row>
    <row r="453" spans="1:39" ht="21" customHeight="1" x14ac:dyDescent="0.15">
      <c r="A453" s="42" t="str">
        <f t="shared" si="19"/>
        <v>15029_4</v>
      </c>
      <c r="B453" s="23">
        <v>3</v>
      </c>
      <c r="C453" s="197">
        <v>15029</v>
      </c>
      <c r="D453" s="47" t="str">
        <f ca="1">VLOOKUP($C453,OFFSET(quests!$A$1,0,0,COUNTA(quests!$A:$A),MATCH(D$1,quests!$1:$1,0)-MATCH($C$2,quests!$1:$1,0)+1),MATCH(D$1,quests!$1:$1,0)-MATCH($C$2,quests!$1:$1,0)+1,FALSE)</f>
        <v>29. 雪の望郷</v>
      </c>
      <c r="E453" s="48" t="str">
        <f ca="1">VLOOKUP($C453,OFFSET(quests!$A$1,0,0,COUNTA(quests!$A:$A),MATCH(E$2,quests!$1:$1,0)-MATCH($C$2,quests!$1:$1,0)+1),MATCH(E$2,quests!$1:$1,0)-MATCH($C$2,quests!$1:$1,0)+1,FALSE)</f>
        <v>緑黄DL6</v>
      </c>
      <c r="F453" s="34">
        <v>4</v>
      </c>
      <c r="G453" s="7" t="s">
        <v>382</v>
      </c>
      <c r="H453" s="37" t="s">
        <v>1123</v>
      </c>
      <c r="I453" s="12" t="s">
        <v>164</v>
      </c>
      <c r="J453" s="12">
        <v>339</v>
      </c>
      <c r="K453" s="186">
        <v>1</v>
      </c>
      <c r="L453" s="167">
        <v>1</v>
      </c>
      <c r="M453" s="167">
        <v>1</v>
      </c>
      <c r="N453" s="167">
        <v>1</v>
      </c>
      <c r="O453" s="167">
        <v>1</v>
      </c>
      <c r="P453" s="167">
        <v>1</v>
      </c>
      <c r="Q453" s="167">
        <v>1</v>
      </c>
      <c r="R453" s="167">
        <v>3</v>
      </c>
      <c r="S453" s="167" t="s">
        <v>273</v>
      </c>
      <c r="T453" s="191" t="s">
        <v>2177</v>
      </c>
      <c r="U453" s="7">
        <v>15029</v>
      </c>
      <c r="V453" s="7">
        <v>3</v>
      </c>
      <c r="W453" s="47" t="str">
        <f t="shared" ca="1" si="20"/>
        <v>29-3. 仕立屋と兄妹</v>
      </c>
      <c r="X453" s="47">
        <f ca="1">VLOOKUP($C453,OFFSET(quests!$A$1,0,0,COUNTA(quests!$A:$A),MATCH(X$2,quests!$1:$1,0)-MATCH($C$2,quests!$1:$1,0)+1),MATCH(X$2,quests!$1:$1,0)-MATCH($C$2,quests!$1:$1,0)+1,FALSE)</f>
        <v>0</v>
      </c>
      <c r="Y453" s="47">
        <f ca="1">VLOOKUP($C453,OFFSET(quests!$A$1,0,0,COUNTA(quests!$A:$A),MATCH(Y$2,quests!$1:$1,0)-MATCH($C$2,quests!$1:$1,0)+1),MATCH(Y$2,quests!$1:$1,0)-MATCH($C$2,quests!$1:$1,0)+1,FALSE)</f>
        <v>0</v>
      </c>
      <c r="Z453" s="47">
        <f ca="1">VLOOKUP($C453,OFFSET(quests!$A$1,0,0,COUNTA(quests!$A:$A),MATCH(Z$2,quests!$1:$1,0)-MATCH($C$2,quests!$1:$1,0)+1),MATCH(Z$2,quests!$1:$1,0)-MATCH($C$2,quests!$1:$1,0)+1,FALSE)</f>
        <v>1</v>
      </c>
      <c r="AA453" s="47">
        <f ca="1">VLOOKUP($C453,OFFSET(quests!$A$1,0,0,COUNTA(quests!$A:$A),MATCH(AA$2,quests!$1:$1,0)-MATCH($C$2,quests!$1:$1,0)+1),MATCH(AA$2,quests!$1:$1,0)-MATCH($C$2,quests!$1:$1,0)+1,FALSE)</f>
        <v>1</v>
      </c>
      <c r="AB453" s="7" t="s">
        <v>62</v>
      </c>
      <c r="AC453" s="7">
        <v>29</v>
      </c>
      <c r="AD453" s="7">
        <v>6</v>
      </c>
      <c r="AE453" s="7" t="s">
        <v>522</v>
      </c>
      <c r="AF453" s="268">
        <v>1</v>
      </c>
      <c r="AG453" s="7">
        <v>0</v>
      </c>
      <c r="AH453" s="7">
        <v>0</v>
      </c>
      <c r="AI453" s="7">
        <v>-1</v>
      </c>
      <c r="AJ453" s="7">
        <v>-1</v>
      </c>
      <c r="AK453" s="7" t="s">
        <v>1064</v>
      </c>
      <c r="AL453" s="12" t="s">
        <v>1695</v>
      </c>
      <c r="AM453" s="12" t="s">
        <v>2072</v>
      </c>
    </row>
    <row r="454" spans="1:39" ht="21" customHeight="1" x14ac:dyDescent="0.15">
      <c r="A454" s="42" t="str">
        <f t="shared" si="19"/>
        <v>15030_1</v>
      </c>
      <c r="B454" s="23">
        <v>3</v>
      </c>
      <c r="C454" s="197">
        <v>15030</v>
      </c>
      <c r="D454" s="47" t="str">
        <f ca="1">VLOOKUP($C454,OFFSET(quests!$A$1,0,0,COUNTA(quests!$A:$A),MATCH(D$1,quests!$1:$1,0)-MATCH($C$2,quests!$1:$1,0)+1),MATCH(D$1,quests!$1:$1,0)-MATCH($C$2,quests!$1:$1,0)+1,FALSE)</f>
        <v>30. 月夜のオールドシティ</v>
      </c>
      <c r="E454" s="48" t="str">
        <f ca="1">VLOOKUP($C454,OFFSET(quests!$A$1,0,0,COUNTA(quests!$A:$A),MATCH(E$2,quests!$1:$1,0)-MATCH($C$2,quests!$1:$1,0)+1),MATCH(E$2,quests!$1:$1,0)-MATCH($C$2,quests!$1:$1,0)+1,FALSE)</f>
        <v>赤青DL6</v>
      </c>
      <c r="F454" s="34">
        <v>1</v>
      </c>
      <c r="G454" s="7" t="s">
        <v>382</v>
      </c>
      <c r="H454" s="37" t="s">
        <v>1124</v>
      </c>
      <c r="I454" s="37"/>
      <c r="J454" s="12" t="s">
        <v>279</v>
      </c>
      <c r="K454" s="186">
        <v>18</v>
      </c>
      <c r="L454" s="167">
        <v>4460</v>
      </c>
      <c r="M454" s="167">
        <v>1</v>
      </c>
      <c r="N454" s="167">
        <v>1</v>
      </c>
      <c r="O454" s="167">
        <v>1</v>
      </c>
      <c r="P454" s="167">
        <v>1</v>
      </c>
      <c r="Q454" s="167">
        <v>1</v>
      </c>
      <c r="R454" s="167">
        <v>3</v>
      </c>
      <c r="S454" s="167" t="s">
        <v>79</v>
      </c>
      <c r="T454" s="167">
        <v>0</v>
      </c>
      <c r="U454" s="7">
        <v>15029</v>
      </c>
      <c r="V454" s="7">
        <v>4</v>
      </c>
      <c r="W454" s="47" t="str">
        <f t="shared" ca="1" si="20"/>
        <v>29-4. 【1回のみ】ボーナスステージ</v>
      </c>
      <c r="X454" s="47">
        <f ca="1">VLOOKUP($C454,OFFSET(quests!$A$1,0,0,COUNTA(quests!$A:$A),MATCH(X$2,quests!$1:$1,0)-MATCH($C$2,quests!$1:$1,0)+1),MATCH(X$2,quests!$1:$1,0)-MATCH($C$2,quests!$1:$1,0)+1,FALSE)</f>
        <v>1</v>
      </c>
      <c r="Y454" s="47">
        <f ca="1">VLOOKUP($C454,OFFSET(quests!$A$1,0,0,COUNTA(quests!$A:$A),MATCH(Y$2,quests!$1:$1,0)-MATCH($C$2,quests!$1:$1,0)+1),MATCH(Y$2,quests!$1:$1,0)-MATCH($C$2,quests!$1:$1,0)+1,FALSE)</f>
        <v>1</v>
      </c>
      <c r="Z454" s="47">
        <f ca="1">VLOOKUP($C454,OFFSET(quests!$A$1,0,0,COUNTA(quests!$A:$A),MATCH(Z$2,quests!$1:$1,0)-MATCH($C$2,quests!$1:$1,0)+1),MATCH(Z$2,quests!$1:$1,0)-MATCH($C$2,quests!$1:$1,0)+1,FALSE)</f>
        <v>0</v>
      </c>
      <c r="AA454" s="47">
        <f ca="1">VLOOKUP($C454,OFFSET(quests!$A$1,0,0,COUNTA(quests!$A:$A),MATCH(AA$2,quests!$1:$1,0)-MATCH($C$2,quests!$1:$1,0)+1),MATCH(AA$2,quests!$1:$1,0)-MATCH($C$2,quests!$1:$1,0)+1,FALSE)</f>
        <v>0</v>
      </c>
      <c r="AB454" s="7" t="s">
        <v>56</v>
      </c>
      <c r="AC454" s="7">
        <v>30</v>
      </c>
      <c r="AD454" s="7">
        <v>6</v>
      </c>
      <c r="AE454" s="7" t="s">
        <v>519</v>
      </c>
      <c r="AF454" s="268">
        <v>0</v>
      </c>
      <c r="AG454" s="7">
        <v>0</v>
      </c>
      <c r="AH454" s="7">
        <v>0</v>
      </c>
      <c r="AI454" s="7">
        <v>-1</v>
      </c>
      <c r="AJ454" s="7">
        <v>-1</v>
      </c>
      <c r="AK454" s="7" t="s">
        <v>1064</v>
      </c>
      <c r="AL454" s="12" t="s">
        <v>1695</v>
      </c>
      <c r="AM454" s="12" t="s">
        <v>2072</v>
      </c>
    </row>
    <row r="455" spans="1:39" ht="21" customHeight="1" x14ac:dyDescent="0.15">
      <c r="A455" s="42" t="str">
        <f t="shared" si="19"/>
        <v>15030_2</v>
      </c>
      <c r="B455" s="23">
        <v>3</v>
      </c>
      <c r="C455" s="197">
        <v>15030</v>
      </c>
      <c r="D455" s="47" t="str">
        <f ca="1">VLOOKUP($C455,OFFSET(quests!$A$1,0,0,COUNTA(quests!$A:$A),MATCH(D$1,quests!$1:$1,0)-MATCH($C$2,quests!$1:$1,0)+1),MATCH(D$1,quests!$1:$1,0)-MATCH($C$2,quests!$1:$1,0)+1,FALSE)</f>
        <v>30. 月夜のオールドシティ</v>
      </c>
      <c r="E455" s="48" t="str">
        <f ca="1">VLOOKUP($C455,OFFSET(quests!$A$1,0,0,COUNTA(quests!$A:$A),MATCH(E$2,quests!$1:$1,0)-MATCH($C$2,quests!$1:$1,0)+1),MATCH(E$2,quests!$1:$1,0)-MATCH($C$2,quests!$1:$1,0)+1,FALSE)</f>
        <v>赤青DL6</v>
      </c>
      <c r="F455" s="34">
        <v>2</v>
      </c>
      <c r="G455" s="7" t="s">
        <v>382</v>
      </c>
      <c r="H455" s="37" t="s">
        <v>1125</v>
      </c>
      <c r="I455" s="37"/>
      <c r="J455" s="12" t="s">
        <v>279</v>
      </c>
      <c r="K455" s="186">
        <v>19</v>
      </c>
      <c r="L455" s="167">
        <v>5040</v>
      </c>
      <c r="M455" s="167">
        <v>1</v>
      </c>
      <c r="N455" s="167">
        <v>1</v>
      </c>
      <c r="O455" s="167">
        <v>1</v>
      </c>
      <c r="P455" s="167">
        <v>1</v>
      </c>
      <c r="Q455" s="167">
        <v>1</v>
      </c>
      <c r="R455" s="167">
        <v>3</v>
      </c>
      <c r="S455" s="167" t="s">
        <v>79</v>
      </c>
      <c r="T455" s="167">
        <v>0</v>
      </c>
      <c r="U455" s="7">
        <v>15030</v>
      </c>
      <c r="V455" s="7">
        <v>1</v>
      </c>
      <c r="W455" s="47" t="str">
        <f t="shared" ca="1" si="20"/>
        <v>30-1. 月夜に煌めく刃</v>
      </c>
      <c r="X455" s="47">
        <f ca="1">VLOOKUP($C455,OFFSET(quests!$A$1,0,0,COUNTA(quests!$A:$A),MATCH(X$2,quests!$1:$1,0)-MATCH($C$2,quests!$1:$1,0)+1),MATCH(X$2,quests!$1:$1,0)-MATCH($C$2,quests!$1:$1,0)+1,FALSE)</f>
        <v>1</v>
      </c>
      <c r="Y455" s="47">
        <f ca="1">VLOOKUP($C455,OFFSET(quests!$A$1,0,0,COUNTA(quests!$A:$A),MATCH(Y$2,quests!$1:$1,0)-MATCH($C$2,quests!$1:$1,0)+1),MATCH(Y$2,quests!$1:$1,0)-MATCH($C$2,quests!$1:$1,0)+1,FALSE)</f>
        <v>1</v>
      </c>
      <c r="Z455" s="47">
        <f ca="1">VLOOKUP($C455,OFFSET(quests!$A$1,0,0,COUNTA(quests!$A:$A),MATCH(Z$2,quests!$1:$1,0)-MATCH($C$2,quests!$1:$1,0)+1),MATCH(Z$2,quests!$1:$1,0)-MATCH($C$2,quests!$1:$1,0)+1,FALSE)</f>
        <v>0</v>
      </c>
      <c r="AA455" s="47">
        <f ca="1">VLOOKUP($C455,OFFSET(quests!$A$1,0,0,COUNTA(quests!$A:$A),MATCH(AA$2,quests!$1:$1,0)-MATCH($C$2,quests!$1:$1,0)+1),MATCH(AA$2,quests!$1:$1,0)-MATCH($C$2,quests!$1:$1,0)+1,FALSE)</f>
        <v>0</v>
      </c>
      <c r="AB455" s="7" t="s">
        <v>56</v>
      </c>
      <c r="AC455" s="7">
        <v>30</v>
      </c>
      <c r="AD455" s="7">
        <v>6</v>
      </c>
      <c r="AE455" s="7" t="s">
        <v>519</v>
      </c>
      <c r="AF455" s="268">
        <v>0</v>
      </c>
      <c r="AG455" s="7">
        <v>0</v>
      </c>
      <c r="AH455" s="7">
        <v>0</v>
      </c>
      <c r="AI455" s="7">
        <v>-1</v>
      </c>
      <c r="AJ455" s="7">
        <v>-1</v>
      </c>
      <c r="AK455" s="7" t="s">
        <v>1064</v>
      </c>
      <c r="AL455" s="12" t="s">
        <v>1695</v>
      </c>
      <c r="AM455" s="12" t="s">
        <v>2072</v>
      </c>
    </row>
    <row r="456" spans="1:39" ht="21" customHeight="1" x14ac:dyDescent="0.15">
      <c r="A456" s="42" t="str">
        <f t="shared" si="19"/>
        <v>15030_3</v>
      </c>
      <c r="B456" s="23">
        <v>3</v>
      </c>
      <c r="C456" s="197">
        <v>15030</v>
      </c>
      <c r="D456" s="47" t="str">
        <f ca="1">VLOOKUP($C456,OFFSET(quests!$A$1,0,0,COUNTA(quests!$A:$A),MATCH(D$1,quests!$1:$1,0)-MATCH($C$2,quests!$1:$1,0)+1),MATCH(D$1,quests!$1:$1,0)-MATCH($C$2,quests!$1:$1,0)+1,FALSE)</f>
        <v>30. 月夜のオールドシティ</v>
      </c>
      <c r="E456" s="48" t="str">
        <f ca="1">VLOOKUP($C456,OFFSET(quests!$A$1,0,0,COUNTA(quests!$A:$A),MATCH(E$2,quests!$1:$1,0)-MATCH($C$2,quests!$1:$1,0)+1),MATCH(E$2,quests!$1:$1,0)-MATCH($C$2,quests!$1:$1,0)+1,FALSE)</f>
        <v>赤青DL6</v>
      </c>
      <c r="F456" s="34">
        <v>3</v>
      </c>
      <c r="G456" s="7" t="s">
        <v>382</v>
      </c>
      <c r="H456" s="37" t="s">
        <v>1147</v>
      </c>
      <c r="I456" s="37"/>
      <c r="J456" s="12" t="s">
        <v>279</v>
      </c>
      <c r="K456" s="186">
        <v>22</v>
      </c>
      <c r="L456" s="167">
        <v>6370</v>
      </c>
      <c r="M456" s="167">
        <v>1</v>
      </c>
      <c r="N456" s="167">
        <v>1</v>
      </c>
      <c r="O456" s="167">
        <v>1</v>
      </c>
      <c r="P456" s="167">
        <v>1</v>
      </c>
      <c r="Q456" s="167">
        <v>1</v>
      </c>
      <c r="R456" s="167">
        <v>3</v>
      </c>
      <c r="S456" s="167" t="s">
        <v>79</v>
      </c>
      <c r="T456" s="167">
        <v>0</v>
      </c>
      <c r="U456" s="7">
        <v>15030</v>
      </c>
      <c r="V456" s="7">
        <v>2</v>
      </c>
      <c r="W456" s="47" t="str">
        <f t="shared" ca="1" si="20"/>
        <v>30-2. 深夜のお茶会</v>
      </c>
      <c r="X456" s="47">
        <f ca="1">VLOOKUP($C456,OFFSET(quests!$A$1,0,0,COUNTA(quests!$A:$A),MATCH(X$2,quests!$1:$1,0)-MATCH($C$2,quests!$1:$1,0)+1),MATCH(X$2,quests!$1:$1,0)-MATCH($C$2,quests!$1:$1,0)+1,FALSE)</f>
        <v>1</v>
      </c>
      <c r="Y456" s="47">
        <f ca="1">VLOOKUP($C456,OFFSET(quests!$A$1,0,0,COUNTA(quests!$A:$A),MATCH(Y$2,quests!$1:$1,0)-MATCH($C$2,quests!$1:$1,0)+1),MATCH(Y$2,quests!$1:$1,0)-MATCH($C$2,quests!$1:$1,0)+1,FALSE)</f>
        <v>1</v>
      </c>
      <c r="Z456" s="47">
        <f ca="1">VLOOKUP($C456,OFFSET(quests!$A$1,0,0,COUNTA(quests!$A:$A),MATCH(Z$2,quests!$1:$1,0)-MATCH($C$2,quests!$1:$1,0)+1),MATCH(Z$2,quests!$1:$1,0)-MATCH($C$2,quests!$1:$1,0)+1,FALSE)</f>
        <v>0</v>
      </c>
      <c r="AA456" s="47">
        <f ca="1">VLOOKUP($C456,OFFSET(quests!$A$1,0,0,COUNTA(quests!$A:$A),MATCH(AA$2,quests!$1:$1,0)-MATCH($C$2,quests!$1:$1,0)+1),MATCH(AA$2,quests!$1:$1,0)-MATCH($C$2,quests!$1:$1,0)+1,FALSE)</f>
        <v>0</v>
      </c>
      <c r="AB456" s="7" t="s">
        <v>56</v>
      </c>
      <c r="AC456" s="7">
        <v>30</v>
      </c>
      <c r="AD456" s="7">
        <v>6</v>
      </c>
      <c r="AE456" s="7" t="s">
        <v>519</v>
      </c>
      <c r="AF456" s="272">
        <v>3</v>
      </c>
      <c r="AG456" s="7">
        <v>0</v>
      </c>
      <c r="AH456" s="7">
        <v>0</v>
      </c>
      <c r="AI456" s="7">
        <v>-1</v>
      </c>
      <c r="AJ456" s="7">
        <v>-1</v>
      </c>
      <c r="AK456" s="7" t="s">
        <v>1064</v>
      </c>
      <c r="AL456" s="12" t="s">
        <v>1695</v>
      </c>
      <c r="AM456" s="12" t="s">
        <v>2072</v>
      </c>
    </row>
    <row r="457" spans="1:39" ht="21" customHeight="1" x14ac:dyDescent="0.15">
      <c r="A457" s="42" t="str">
        <f t="shared" si="19"/>
        <v>15030_4</v>
      </c>
      <c r="B457" s="23">
        <v>3</v>
      </c>
      <c r="C457" s="197">
        <v>15030</v>
      </c>
      <c r="D457" s="47" t="str">
        <f ca="1">VLOOKUP($C457,OFFSET(quests!$A$1,0,0,COUNTA(quests!$A:$A),MATCH(D$1,quests!$1:$1,0)-MATCH($C$2,quests!$1:$1,0)+1),MATCH(D$1,quests!$1:$1,0)-MATCH($C$2,quests!$1:$1,0)+1,FALSE)</f>
        <v>30. 月夜のオールドシティ</v>
      </c>
      <c r="E457" s="48" t="str">
        <f ca="1">VLOOKUP($C457,OFFSET(quests!$A$1,0,0,COUNTA(quests!$A:$A),MATCH(E$2,quests!$1:$1,0)-MATCH($C$2,quests!$1:$1,0)+1),MATCH(E$2,quests!$1:$1,0)-MATCH($C$2,quests!$1:$1,0)+1,FALSE)</f>
        <v>赤青DL6</v>
      </c>
      <c r="F457" s="34">
        <v>4</v>
      </c>
      <c r="G457" s="7" t="s">
        <v>382</v>
      </c>
      <c r="H457" s="37" t="s">
        <v>1146</v>
      </c>
      <c r="I457" s="12" t="s">
        <v>164</v>
      </c>
      <c r="J457" s="12">
        <v>335</v>
      </c>
      <c r="K457" s="167">
        <v>1</v>
      </c>
      <c r="L457" s="167">
        <v>1</v>
      </c>
      <c r="M457" s="167">
        <v>1</v>
      </c>
      <c r="N457" s="167">
        <v>1</v>
      </c>
      <c r="O457" s="167">
        <v>1</v>
      </c>
      <c r="P457" s="167">
        <v>1</v>
      </c>
      <c r="Q457" s="167">
        <v>1</v>
      </c>
      <c r="R457" s="167">
        <v>3</v>
      </c>
      <c r="S457" s="167" t="s">
        <v>273</v>
      </c>
      <c r="T457" s="191" t="s">
        <v>2176</v>
      </c>
      <c r="U457" s="7">
        <v>15030</v>
      </c>
      <c r="V457" s="7">
        <v>3</v>
      </c>
      <c r="W457" s="47" t="str">
        <f t="shared" ca="1" si="20"/>
        <v>30-3. 月影の襲撃者</v>
      </c>
      <c r="X457" s="47">
        <f ca="1">VLOOKUP($C457,OFFSET(quests!$A$1,0,0,COUNTA(quests!$A:$A),MATCH(X$2,quests!$1:$1,0)-MATCH($C$2,quests!$1:$1,0)+1),MATCH(X$2,quests!$1:$1,0)-MATCH($C$2,quests!$1:$1,0)+1,FALSE)</f>
        <v>1</v>
      </c>
      <c r="Y457" s="47">
        <f ca="1">VLOOKUP($C457,OFFSET(quests!$A$1,0,0,COUNTA(quests!$A:$A),MATCH(Y$2,quests!$1:$1,0)-MATCH($C$2,quests!$1:$1,0)+1),MATCH(Y$2,quests!$1:$1,0)-MATCH($C$2,quests!$1:$1,0)+1,FALSE)</f>
        <v>1</v>
      </c>
      <c r="Z457" s="47">
        <f ca="1">VLOOKUP($C457,OFFSET(quests!$A$1,0,0,COUNTA(quests!$A:$A),MATCH(Z$2,quests!$1:$1,0)-MATCH($C$2,quests!$1:$1,0)+1),MATCH(Z$2,quests!$1:$1,0)-MATCH($C$2,quests!$1:$1,0)+1,FALSE)</f>
        <v>0</v>
      </c>
      <c r="AA457" s="47">
        <f ca="1">VLOOKUP($C457,OFFSET(quests!$A$1,0,0,COUNTA(quests!$A:$A),MATCH(AA$2,quests!$1:$1,0)-MATCH($C$2,quests!$1:$1,0)+1),MATCH(AA$2,quests!$1:$1,0)-MATCH($C$2,quests!$1:$1,0)+1,FALSE)</f>
        <v>0</v>
      </c>
      <c r="AB457" s="7" t="s">
        <v>62</v>
      </c>
      <c r="AC457" s="7">
        <v>30</v>
      </c>
      <c r="AD457" s="7">
        <v>6</v>
      </c>
      <c r="AE457" s="7" t="s">
        <v>522</v>
      </c>
      <c r="AF457" s="268">
        <v>1</v>
      </c>
      <c r="AG457" s="7">
        <v>0</v>
      </c>
      <c r="AH457" s="7">
        <v>0</v>
      </c>
      <c r="AI457" s="7">
        <v>-1</v>
      </c>
      <c r="AJ457" s="7">
        <v>-1</v>
      </c>
      <c r="AK457" s="7" t="s">
        <v>1064</v>
      </c>
      <c r="AL457" s="12" t="s">
        <v>1695</v>
      </c>
      <c r="AM457" s="12" t="s">
        <v>2072</v>
      </c>
    </row>
    <row r="458" spans="1:39" ht="21" customHeight="1" x14ac:dyDescent="0.15">
      <c r="A458" s="42" t="str">
        <f t="shared" si="19"/>
        <v>15031_1</v>
      </c>
      <c r="B458" s="23">
        <v>3</v>
      </c>
      <c r="C458" s="197">
        <v>15031</v>
      </c>
      <c r="D458" s="47" t="str">
        <f ca="1">VLOOKUP($C458,OFFSET(quests!$A$1,0,0,COUNTA(quests!$A:$A),MATCH(D$1,quests!$1:$1,0)-MATCH($C$2,quests!$1:$1,0)+1),MATCH(D$1,quests!$1:$1,0)-MATCH($C$2,quests!$1:$1,0)+1,FALSE)</f>
        <v>31. 桜花乱城</v>
      </c>
      <c r="E458" s="48" t="str">
        <f ca="1">VLOOKUP($C458,OFFSET(quests!$A$1,0,0,COUNTA(quests!$A:$A),MATCH(E$2,quests!$1:$1,0)-MATCH($C$2,quests!$1:$1,0)+1),MATCH(E$2,quests!$1:$1,0)-MATCH($C$2,quests!$1:$1,0)+1,FALSE)</f>
        <v>混色DL6</v>
      </c>
      <c r="F458" s="34">
        <v>1</v>
      </c>
      <c r="G458" s="7" t="s">
        <v>382</v>
      </c>
      <c r="H458" s="37" t="s">
        <v>1148</v>
      </c>
      <c r="I458" s="37"/>
      <c r="J458" s="12" t="s">
        <v>279</v>
      </c>
      <c r="K458" s="186">
        <v>19</v>
      </c>
      <c r="L458" s="167">
        <v>5040</v>
      </c>
      <c r="M458" s="167">
        <v>1</v>
      </c>
      <c r="N458" s="167">
        <v>1</v>
      </c>
      <c r="O458" s="167">
        <v>1</v>
      </c>
      <c r="P458" s="167">
        <v>1</v>
      </c>
      <c r="Q458" s="167">
        <v>1</v>
      </c>
      <c r="R458" s="167">
        <v>3</v>
      </c>
      <c r="S458" s="167" t="s">
        <v>79</v>
      </c>
      <c r="T458" s="167">
        <v>0</v>
      </c>
      <c r="U458" s="7">
        <v>15030</v>
      </c>
      <c r="V458" s="7">
        <v>4</v>
      </c>
      <c r="W458" s="47" t="str">
        <f t="shared" ca="1" si="20"/>
        <v>30-4. 【1回のみ】ボーナスステージ</v>
      </c>
      <c r="X458" s="47">
        <f ca="1">VLOOKUP($C458,OFFSET(quests!$A$1,0,0,COUNTA(quests!$A:$A),MATCH(X$2,quests!$1:$1,0)-MATCH($C$2,quests!$1:$1,0)+1),MATCH(X$2,quests!$1:$1,0)-MATCH($C$2,quests!$1:$1,0)+1,FALSE)</f>
        <v>1</v>
      </c>
      <c r="Y458" s="47">
        <f ca="1">VLOOKUP($C458,OFFSET(quests!$A$1,0,0,COUNTA(quests!$A:$A),MATCH(Y$2,quests!$1:$1,0)-MATCH($C$2,quests!$1:$1,0)+1),MATCH(Y$2,quests!$1:$1,0)-MATCH($C$2,quests!$1:$1,0)+1,FALSE)</f>
        <v>1</v>
      </c>
      <c r="Z458" s="47">
        <f ca="1">VLOOKUP($C458,OFFSET(quests!$A$1,0,0,COUNTA(quests!$A:$A),MATCH(Z$2,quests!$1:$1,0)-MATCH($C$2,quests!$1:$1,0)+1),MATCH(Z$2,quests!$1:$1,0)-MATCH($C$2,quests!$1:$1,0)+1,FALSE)</f>
        <v>1</v>
      </c>
      <c r="AA458" s="47">
        <f ca="1">VLOOKUP($C458,OFFSET(quests!$A$1,0,0,COUNTA(quests!$A:$A),MATCH(AA$2,quests!$1:$1,0)-MATCH($C$2,quests!$1:$1,0)+1),MATCH(AA$2,quests!$1:$1,0)-MATCH($C$2,quests!$1:$1,0)+1,FALSE)</f>
        <v>1</v>
      </c>
      <c r="AB458" s="7" t="s">
        <v>56</v>
      </c>
      <c r="AC458" s="7">
        <v>31</v>
      </c>
      <c r="AD458" s="7">
        <v>6</v>
      </c>
      <c r="AE458" s="7" t="s">
        <v>519</v>
      </c>
      <c r="AF458" s="268">
        <v>0</v>
      </c>
      <c r="AG458" s="7">
        <v>0</v>
      </c>
      <c r="AH458" s="7">
        <v>0</v>
      </c>
      <c r="AI458" s="7">
        <v>-1</v>
      </c>
      <c r="AJ458" s="7">
        <v>-1</v>
      </c>
      <c r="AK458" s="7" t="s">
        <v>1064</v>
      </c>
      <c r="AL458" s="12" t="s">
        <v>1695</v>
      </c>
      <c r="AM458" s="12" t="s">
        <v>2072</v>
      </c>
    </row>
    <row r="459" spans="1:39" ht="21" customHeight="1" x14ac:dyDescent="0.15">
      <c r="A459" s="42" t="str">
        <f t="shared" si="19"/>
        <v>15031_2</v>
      </c>
      <c r="B459" s="23">
        <v>3</v>
      </c>
      <c r="C459" s="197">
        <v>15031</v>
      </c>
      <c r="D459" s="47" t="str">
        <f ca="1">VLOOKUP($C459,OFFSET(quests!$A$1,0,0,COUNTA(quests!$A:$A),MATCH(D$1,quests!$1:$1,0)-MATCH($C$2,quests!$1:$1,0)+1),MATCH(D$1,quests!$1:$1,0)-MATCH($C$2,quests!$1:$1,0)+1,FALSE)</f>
        <v>31. 桜花乱城</v>
      </c>
      <c r="E459" s="48" t="str">
        <f ca="1">VLOOKUP($C459,OFFSET(quests!$A$1,0,0,COUNTA(quests!$A:$A),MATCH(E$2,quests!$1:$1,0)-MATCH($C$2,quests!$1:$1,0)+1),MATCH(E$2,quests!$1:$1,0)-MATCH($C$2,quests!$1:$1,0)+1,FALSE)</f>
        <v>混色DL6</v>
      </c>
      <c r="F459" s="34">
        <v>2</v>
      </c>
      <c r="G459" s="7" t="s">
        <v>382</v>
      </c>
      <c r="H459" s="37" t="s">
        <v>1149</v>
      </c>
      <c r="I459" s="37"/>
      <c r="J459" s="12" t="s">
        <v>279</v>
      </c>
      <c r="K459" s="186">
        <v>21</v>
      </c>
      <c r="L459" s="167">
        <v>5760</v>
      </c>
      <c r="M459" s="167">
        <v>1</v>
      </c>
      <c r="N459" s="167">
        <v>1</v>
      </c>
      <c r="O459" s="167">
        <v>1</v>
      </c>
      <c r="P459" s="167">
        <v>1</v>
      </c>
      <c r="Q459" s="167">
        <v>1</v>
      </c>
      <c r="R459" s="167">
        <v>3</v>
      </c>
      <c r="S459" s="167" t="s">
        <v>79</v>
      </c>
      <c r="T459" s="167">
        <v>0</v>
      </c>
      <c r="U459" s="7">
        <v>15031</v>
      </c>
      <c r="V459" s="7">
        <v>1</v>
      </c>
      <c r="W459" s="47" t="str">
        <f t="shared" ca="1" si="20"/>
        <v>31-1. 忍び寄る影</v>
      </c>
      <c r="X459" s="47">
        <f ca="1">VLOOKUP($C459,OFFSET(quests!$A$1,0,0,COUNTA(quests!$A:$A),MATCH(X$2,quests!$1:$1,0)-MATCH($C$2,quests!$1:$1,0)+1),MATCH(X$2,quests!$1:$1,0)-MATCH($C$2,quests!$1:$1,0)+1,FALSE)</f>
        <v>1</v>
      </c>
      <c r="Y459" s="47">
        <f ca="1">VLOOKUP($C459,OFFSET(quests!$A$1,0,0,COUNTA(quests!$A:$A),MATCH(Y$2,quests!$1:$1,0)-MATCH($C$2,quests!$1:$1,0)+1),MATCH(Y$2,quests!$1:$1,0)-MATCH($C$2,quests!$1:$1,0)+1,FALSE)</f>
        <v>1</v>
      </c>
      <c r="Z459" s="47">
        <f ca="1">VLOOKUP($C459,OFFSET(quests!$A$1,0,0,COUNTA(quests!$A:$A),MATCH(Z$2,quests!$1:$1,0)-MATCH($C$2,quests!$1:$1,0)+1),MATCH(Z$2,quests!$1:$1,0)-MATCH($C$2,quests!$1:$1,0)+1,FALSE)</f>
        <v>1</v>
      </c>
      <c r="AA459" s="47">
        <f ca="1">VLOOKUP($C459,OFFSET(quests!$A$1,0,0,COUNTA(quests!$A:$A),MATCH(AA$2,quests!$1:$1,0)-MATCH($C$2,quests!$1:$1,0)+1),MATCH(AA$2,quests!$1:$1,0)-MATCH($C$2,quests!$1:$1,0)+1,FALSE)</f>
        <v>1</v>
      </c>
      <c r="AB459" s="7" t="s">
        <v>56</v>
      </c>
      <c r="AC459" s="7">
        <v>31</v>
      </c>
      <c r="AD459" s="7">
        <v>6</v>
      </c>
      <c r="AE459" s="7" t="s">
        <v>519</v>
      </c>
      <c r="AF459" s="268">
        <v>0</v>
      </c>
      <c r="AG459" s="7">
        <v>0</v>
      </c>
      <c r="AH459" s="7">
        <v>0</v>
      </c>
      <c r="AI459" s="7">
        <v>-1</v>
      </c>
      <c r="AJ459" s="7">
        <v>-1</v>
      </c>
      <c r="AK459" s="7" t="s">
        <v>1064</v>
      </c>
      <c r="AL459" s="12" t="s">
        <v>1695</v>
      </c>
      <c r="AM459" s="12" t="s">
        <v>2072</v>
      </c>
    </row>
    <row r="460" spans="1:39" ht="21" customHeight="1" x14ac:dyDescent="0.15">
      <c r="A460" s="42" t="str">
        <f t="shared" si="19"/>
        <v>15031_3</v>
      </c>
      <c r="B460" s="23">
        <v>3</v>
      </c>
      <c r="C460" s="197">
        <v>15031</v>
      </c>
      <c r="D460" s="47" t="str">
        <f ca="1">VLOOKUP($C460,OFFSET(quests!$A$1,0,0,COUNTA(quests!$A:$A),MATCH(D$1,quests!$1:$1,0)-MATCH($C$2,quests!$1:$1,0)+1),MATCH(D$1,quests!$1:$1,0)-MATCH($C$2,quests!$1:$1,0)+1,FALSE)</f>
        <v>31. 桜花乱城</v>
      </c>
      <c r="E460" s="48" t="str">
        <f ca="1">VLOOKUP($C460,OFFSET(quests!$A$1,0,0,COUNTA(quests!$A:$A),MATCH(E$2,quests!$1:$1,0)-MATCH($C$2,quests!$1:$1,0)+1),MATCH(E$2,quests!$1:$1,0)-MATCH($C$2,quests!$1:$1,0)+1,FALSE)</f>
        <v>混色DL6</v>
      </c>
      <c r="F460" s="34">
        <v>3</v>
      </c>
      <c r="G460" s="7" t="s">
        <v>382</v>
      </c>
      <c r="H460" s="37" t="s">
        <v>1150</v>
      </c>
      <c r="I460" s="37"/>
      <c r="J460" s="12" t="s">
        <v>279</v>
      </c>
      <c r="K460" s="186">
        <v>24</v>
      </c>
      <c r="L460" s="167">
        <v>7200</v>
      </c>
      <c r="M460" s="167">
        <v>1</v>
      </c>
      <c r="N460" s="167">
        <v>1</v>
      </c>
      <c r="O460" s="167">
        <v>1</v>
      </c>
      <c r="P460" s="167">
        <v>1</v>
      </c>
      <c r="Q460" s="167">
        <v>1</v>
      </c>
      <c r="R460" s="167">
        <v>3</v>
      </c>
      <c r="S460" s="167" t="s">
        <v>79</v>
      </c>
      <c r="T460" s="167">
        <v>0</v>
      </c>
      <c r="U460" s="7">
        <v>15031</v>
      </c>
      <c r="V460" s="7">
        <v>2</v>
      </c>
      <c r="W460" s="47" t="str">
        <f t="shared" ca="1" si="20"/>
        <v>31-2. 赤鉄の将</v>
      </c>
      <c r="X460" s="47">
        <f ca="1">VLOOKUP($C460,OFFSET(quests!$A$1,0,0,COUNTA(quests!$A:$A),MATCH(X$2,quests!$1:$1,0)-MATCH($C$2,quests!$1:$1,0)+1),MATCH(X$2,quests!$1:$1,0)-MATCH($C$2,quests!$1:$1,0)+1,FALSE)</f>
        <v>1</v>
      </c>
      <c r="Y460" s="47">
        <f ca="1">VLOOKUP($C460,OFFSET(quests!$A$1,0,0,COUNTA(quests!$A:$A),MATCH(Y$2,quests!$1:$1,0)-MATCH($C$2,quests!$1:$1,0)+1),MATCH(Y$2,quests!$1:$1,0)-MATCH($C$2,quests!$1:$1,0)+1,FALSE)</f>
        <v>1</v>
      </c>
      <c r="Z460" s="47">
        <f ca="1">VLOOKUP($C460,OFFSET(quests!$A$1,0,0,COUNTA(quests!$A:$A),MATCH(Z$2,quests!$1:$1,0)-MATCH($C$2,quests!$1:$1,0)+1),MATCH(Z$2,quests!$1:$1,0)-MATCH($C$2,quests!$1:$1,0)+1,FALSE)</f>
        <v>1</v>
      </c>
      <c r="AA460" s="47">
        <f ca="1">VLOOKUP($C460,OFFSET(quests!$A$1,0,0,COUNTA(quests!$A:$A),MATCH(AA$2,quests!$1:$1,0)-MATCH($C$2,quests!$1:$1,0)+1),MATCH(AA$2,quests!$1:$1,0)-MATCH($C$2,quests!$1:$1,0)+1,FALSE)</f>
        <v>1</v>
      </c>
      <c r="AB460" s="7" t="s">
        <v>56</v>
      </c>
      <c r="AC460" s="7">
        <v>31</v>
      </c>
      <c r="AD460" s="7">
        <v>6</v>
      </c>
      <c r="AE460" s="7" t="s">
        <v>519</v>
      </c>
      <c r="AF460" s="272">
        <v>3</v>
      </c>
      <c r="AG460" s="7">
        <v>0</v>
      </c>
      <c r="AH460" s="7">
        <v>0</v>
      </c>
      <c r="AI460" s="7">
        <v>-1</v>
      </c>
      <c r="AJ460" s="7">
        <v>-1</v>
      </c>
      <c r="AK460" s="7" t="s">
        <v>1064</v>
      </c>
      <c r="AL460" s="12" t="s">
        <v>1695</v>
      </c>
      <c r="AM460" s="12" t="s">
        <v>2072</v>
      </c>
    </row>
    <row r="461" spans="1:39" ht="21" customHeight="1" x14ac:dyDescent="0.15">
      <c r="A461" s="42" t="str">
        <f t="shared" si="19"/>
        <v>15031_4</v>
      </c>
      <c r="B461" s="23">
        <v>3</v>
      </c>
      <c r="C461" s="197">
        <v>15031</v>
      </c>
      <c r="D461" s="47" t="str">
        <f ca="1">VLOOKUP($C461,OFFSET(quests!$A$1,0,0,COUNTA(quests!$A:$A),MATCH(D$1,quests!$1:$1,0)-MATCH($C$2,quests!$1:$1,0)+1),MATCH(D$1,quests!$1:$1,0)-MATCH($C$2,quests!$1:$1,0)+1,FALSE)</f>
        <v>31. 桜花乱城</v>
      </c>
      <c r="E461" s="48" t="str">
        <f ca="1">VLOOKUP($C461,OFFSET(quests!$A$1,0,0,COUNTA(quests!$A:$A),MATCH(E$2,quests!$1:$1,0)-MATCH($C$2,quests!$1:$1,0)+1),MATCH(E$2,quests!$1:$1,0)-MATCH($C$2,quests!$1:$1,0)+1,FALSE)</f>
        <v>混色DL6</v>
      </c>
      <c r="F461" s="34">
        <v>4</v>
      </c>
      <c r="G461" s="7" t="s">
        <v>382</v>
      </c>
      <c r="H461" s="37" t="s">
        <v>1151</v>
      </c>
      <c r="I461" s="12" t="s">
        <v>164</v>
      </c>
      <c r="J461" s="12">
        <v>343</v>
      </c>
      <c r="K461" s="186">
        <v>1</v>
      </c>
      <c r="L461" s="167">
        <v>1</v>
      </c>
      <c r="M461" s="167">
        <v>1</v>
      </c>
      <c r="N461" s="167">
        <v>1</v>
      </c>
      <c r="O461" s="167">
        <v>1</v>
      </c>
      <c r="P461" s="167">
        <v>1</v>
      </c>
      <c r="Q461" s="167">
        <v>1</v>
      </c>
      <c r="R461" s="167">
        <v>3</v>
      </c>
      <c r="S461" s="167" t="s">
        <v>273</v>
      </c>
      <c r="T461" s="191" t="s">
        <v>2175</v>
      </c>
      <c r="U461" s="7">
        <v>15031</v>
      </c>
      <c r="V461" s="7">
        <v>3</v>
      </c>
      <c r="W461" s="47" t="str">
        <f t="shared" ca="1" si="20"/>
        <v>31-3. 神域の試練</v>
      </c>
      <c r="X461" s="47">
        <f ca="1">VLOOKUP($C461,OFFSET(quests!$A$1,0,0,COUNTA(quests!$A:$A),MATCH(X$2,quests!$1:$1,0)-MATCH($C$2,quests!$1:$1,0)+1),MATCH(X$2,quests!$1:$1,0)-MATCH($C$2,quests!$1:$1,0)+1,FALSE)</f>
        <v>1</v>
      </c>
      <c r="Y461" s="47">
        <f ca="1">VLOOKUP($C461,OFFSET(quests!$A$1,0,0,COUNTA(quests!$A:$A),MATCH(Y$2,quests!$1:$1,0)-MATCH($C$2,quests!$1:$1,0)+1),MATCH(Y$2,quests!$1:$1,0)-MATCH($C$2,quests!$1:$1,0)+1,FALSE)</f>
        <v>1</v>
      </c>
      <c r="Z461" s="47">
        <f ca="1">VLOOKUP($C461,OFFSET(quests!$A$1,0,0,COUNTA(quests!$A:$A),MATCH(Z$2,quests!$1:$1,0)-MATCH($C$2,quests!$1:$1,0)+1),MATCH(Z$2,quests!$1:$1,0)-MATCH($C$2,quests!$1:$1,0)+1,FALSE)</f>
        <v>1</v>
      </c>
      <c r="AA461" s="47">
        <f ca="1">VLOOKUP($C461,OFFSET(quests!$A$1,0,0,COUNTA(quests!$A:$A),MATCH(AA$2,quests!$1:$1,0)-MATCH($C$2,quests!$1:$1,0)+1),MATCH(AA$2,quests!$1:$1,0)-MATCH($C$2,quests!$1:$1,0)+1,FALSE)</f>
        <v>1</v>
      </c>
      <c r="AB461" s="7" t="s">
        <v>62</v>
      </c>
      <c r="AC461" s="7">
        <v>31</v>
      </c>
      <c r="AD461" s="7">
        <v>6</v>
      </c>
      <c r="AE461" s="7" t="s">
        <v>522</v>
      </c>
      <c r="AF461" s="268">
        <v>1</v>
      </c>
      <c r="AG461" s="7">
        <v>0</v>
      </c>
      <c r="AH461" s="7">
        <v>0</v>
      </c>
      <c r="AI461" s="7">
        <v>-1</v>
      </c>
      <c r="AJ461" s="7">
        <v>-1</v>
      </c>
      <c r="AK461" s="7" t="s">
        <v>1064</v>
      </c>
      <c r="AL461" s="12" t="s">
        <v>1695</v>
      </c>
      <c r="AM461" s="12" t="s">
        <v>2072</v>
      </c>
    </row>
    <row r="462" spans="1:39" ht="21" customHeight="1" x14ac:dyDescent="0.15">
      <c r="A462" s="42" t="str">
        <f t="shared" si="19"/>
        <v>20001_1</v>
      </c>
      <c r="B462" s="23">
        <v>3</v>
      </c>
      <c r="C462" s="31">
        <v>20001</v>
      </c>
      <c r="D462" s="47" t="str">
        <f ca="1">VLOOKUP($C462,OFFSET(quests!$A$1,0,0,COUNTA(quests!$A:$A),MATCH(D$1,quests!$1:$1,0)-MATCH($C$2,quests!$1:$1,0)+1),MATCH(D$1,quests!$1:$1,0)-MATCH($C$2,quests!$1:$1,0)+1,FALSE)</f>
        <v>紅き執行者</v>
      </c>
      <c r="E462" s="48" t="str">
        <f ca="1">VLOOKUP($C462,OFFSET(quests!$A$1,0,0,COUNTA(quests!$A:$A),MATCH(E$2,quests!$1:$1,0)-MATCH($C$2,quests!$1:$1,0)+1),MATCH(E$2,quests!$1:$1,0)-MATCH($C$2,quests!$1:$1,0)+1,FALSE)</f>
        <v>ドロップイベント1-1</v>
      </c>
      <c r="F462" s="7">
        <v>1</v>
      </c>
      <c r="G462" s="7" t="s">
        <v>570</v>
      </c>
      <c r="H462" s="12" t="s">
        <v>710</v>
      </c>
      <c r="I462" s="12" t="s">
        <v>58</v>
      </c>
      <c r="J462" s="12">
        <v>262</v>
      </c>
      <c r="K462" s="167">
        <v>8</v>
      </c>
      <c r="L462" s="167">
        <v>384</v>
      </c>
      <c r="M462" s="167">
        <v>1</v>
      </c>
      <c r="N462" s="167">
        <v>1</v>
      </c>
      <c r="O462" s="167">
        <v>1</v>
      </c>
      <c r="P462" s="167">
        <v>1</v>
      </c>
      <c r="Q462" s="167">
        <v>1</v>
      </c>
      <c r="R462" s="167">
        <v>3</v>
      </c>
      <c r="S462" s="167" t="s">
        <v>79</v>
      </c>
      <c r="T462" s="167">
        <v>0</v>
      </c>
      <c r="U462" s="7" t="s">
        <v>169</v>
      </c>
      <c r="V462" s="7" t="s">
        <v>169</v>
      </c>
      <c r="W462" s="47" t="str">
        <f t="shared" ca="1" si="20"/>
        <v/>
      </c>
      <c r="X462" s="47">
        <f ca="1">VLOOKUP($C462,OFFSET(quests!$A$1,0,0,COUNTA(quests!$A:$A),MATCH(X$2,quests!$1:$1,0)-MATCH($C$2,quests!$1:$1,0)+1),MATCH(X$2,quests!$1:$1,0)-MATCH($C$2,quests!$1:$1,0)+1,FALSE)</f>
        <v>0</v>
      </c>
      <c r="Y462" s="47">
        <f ca="1">VLOOKUP($C462,OFFSET(quests!$A$1,0,0,COUNTA(quests!$A:$A),MATCH(Y$2,quests!$1:$1,0)-MATCH($C$2,quests!$1:$1,0)+1),MATCH(Y$2,quests!$1:$1,0)-MATCH($C$2,quests!$1:$1,0)+1,FALSE)</f>
        <v>0</v>
      </c>
      <c r="Z462" s="47">
        <f ca="1">VLOOKUP($C462,OFFSET(quests!$A$1,0,0,COUNTA(quests!$A:$A),MATCH(Z$2,quests!$1:$1,0)-MATCH($C$2,quests!$1:$1,0)+1),MATCH(Z$2,quests!$1:$1,0)-MATCH($C$2,quests!$1:$1,0)+1,FALSE)</f>
        <v>0</v>
      </c>
      <c r="AA462" s="47">
        <f ca="1">VLOOKUP($C462,OFFSET(quests!$A$1,0,0,COUNTA(quests!$A:$A),MATCH(AA$2,quests!$1:$1,0)-MATCH($C$2,quests!$1:$1,0)+1),MATCH(AA$2,quests!$1:$1,0)-MATCH($C$2,quests!$1:$1,0)+1,FALSE)</f>
        <v>0</v>
      </c>
      <c r="AB462" s="7" t="s">
        <v>56</v>
      </c>
      <c r="AC462" s="7">
        <v>14</v>
      </c>
      <c r="AD462" s="7">
        <v>6</v>
      </c>
      <c r="AE462" s="7" t="s">
        <v>519</v>
      </c>
      <c r="AF462" s="96">
        <v>17</v>
      </c>
      <c r="AG462" s="7">
        <v>0</v>
      </c>
      <c r="AH462" s="7">
        <v>0</v>
      </c>
      <c r="AI462" s="7">
        <v>-1</v>
      </c>
      <c r="AJ462" s="7">
        <v>-1</v>
      </c>
      <c r="AK462" s="7" t="s">
        <v>1064</v>
      </c>
      <c r="AL462" s="12" t="s">
        <v>1695</v>
      </c>
      <c r="AM462" s="12" t="s">
        <v>2072</v>
      </c>
    </row>
    <row r="463" spans="1:39" ht="21" customHeight="1" x14ac:dyDescent="0.15">
      <c r="A463" s="42" t="str">
        <f t="shared" si="19"/>
        <v>20001_2</v>
      </c>
      <c r="B463" s="23">
        <v>3</v>
      </c>
      <c r="C463" s="31">
        <v>20001</v>
      </c>
      <c r="D463" s="47" t="str">
        <f ca="1">VLOOKUP($C463,OFFSET(quests!$A$1,0,0,COUNTA(quests!$A:$A),MATCH(D$1,quests!$1:$1,0)-MATCH($C$2,quests!$1:$1,0)+1),MATCH(D$1,quests!$1:$1,0)-MATCH($C$2,quests!$1:$1,0)+1,FALSE)</f>
        <v>紅き執行者</v>
      </c>
      <c r="E463" s="48" t="str">
        <f ca="1">VLOOKUP($C463,OFFSET(quests!$A$1,0,0,COUNTA(quests!$A:$A),MATCH(E$2,quests!$1:$1,0)-MATCH($C$2,quests!$1:$1,0)+1),MATCH(E$2,quests!$1:$1,0)-MATCH($C$2,quests!$1:$1,0)+1,FALSE)</f>
        <v>ドロップイベント1-1</v>
      </c>
      <c r="F463" s="7">
        <v>2</v>
      </c>
      <c r="G463" s="7" t="s">
        <v>570</v>
      </c>
      <c r="H463" s="12" t="s">
        <v>711</v>
      </c>
      <c r="I463" s="12" t="s">
        <v>59</v>
      </c>
      <c r="J463" s="12">
        <v>262</v>
      </c>
      <c r="K463" s="167">
        <v>15</v>
      </c>
      <c r="L463" s="167">
        <v>1200</v>
      </c>
      <c r="M463" s="167">
        <v>1</v>
      </c>
      <c r="N463" s="167">
        <v>1</v>
      </c>
      <c r="O463" s="167">
        <v>1</v>
      </c>
      <c r="P463" s="167">
        <v>1</v>
      </c>
      <c r="Q463" s="167">
        <v>1</v>
      </c>
      <c r="R463" s="167">
        <v>3</v>
      </c>
      <c r="S463" s="167" t="s">
        <v>79</v>
      </c>
      <c r="T463" s="167">
        <v>0</v>
      </c>
      <c r="U463" s="7" t="s">
        <v>169</v>
      </c>
      <c r="V463" s="7" t="s">
        <v>169</v>
      </c>
      <c r="W463" s="47" t="str">
        <f t="shared" ca="1" si="20"/>
        <v/>
      </c>
      <c r="X463" s="47">
        <f ca="1">VLOOKUP($C463,OFFSET(quests!$A$1,0,0,COUNTA(quests!$A:$A),MATCH(X$2,quests!$1:$1,0)-MATCH($C$2,quests!$1:$1,0)+1),MATCH(X$2,quests!$1:$1,0)-MATCH($C$2,quests!$1:$1,0)+1,FALSE)</f>
        <v>0</v>
      </c>
      <c r="Y463" s="47">
        <f ca="1">VLOOKUP($C463,OFFSET(quests!$A$1,0,0,COUNTA(quests!$A:$A),MATCH(Y$2,quests!$1:$1,0)-MATCH($C$2,quests!$1:$1,0)+1),MATCH(Y$2,quests!$1:$1,0)-MATCH($C$2,quests!$1:$1,0)+1,FALSE)</f>
        <v>0</v>
      </c>
      <c r="Z463" s="47">
        <f ca="1">VLOOKUP($C463,OFFSET(quests!$A$1,0,0,COUNTA(quests!$A:$A),MATCH(Z$2,quests!$1:$1,0)-MATCH($C$2,quests!$1:$1,0)+1),MATCH(Z$2,quests!$1:$1,0)-MATCH($C$2,quests!$1:$1,0)+1,FALSE)</f>
        <v>0</v>
      </c>
      <c r="AA463" s="47">
        <f ca="1">VLOOKUP($C463,OFFSET(quests!$A$1,0,0,COUNTA(quests!$A:$A),MATCH(AA$2,quests!$1:$1,0)-MATCH($C$2,quests!$1:$1,0)+1),MATCH(AA$2,quests!$1:$1,0)-MATCH($C$2,quests!$1:$1,0)+1,FALSE)</f>
        <v>0</v>
      </c>
      <c r="AB463" s="7" t="s">
        <v>56</v>
      </c>
      <c r="AC463" s="7">
        <v>14</v>
      </c>
      <c r="AD463" s="7">
        <v>6</v>
      </c>
      <c r="AE463" s="7" t="s">
        <v>519</v>
      </c>
      <c r="AF463" s="96">
        <v>17</v>
      </c>
      <c r="AG463" s="7">
        <v>0</v>
      </c>
      <c r="AH463" s="7">
        <v>0</v>
      </c>
      <c r="AI463" s="7">
        <v>-1</v>
      </c>
      <c r="AJ463" s="7">
        <v>-1</v>
      </c>
      <c r="AK463" s="7" t="s">
        <v>1064</v>
      </c>
      <c r="AL463" s="12" t="s">
        <v>1695</v>
      </c>
      <c r="AM463" s="12" t="s">
        <v>2072</v>
      </c>
    </row>
    <row r="464" spans="1:39" ht="21" customHeight="1" x14ac:dyDescent="0.15">
      <c r="A464" s="42" t="str">
        <f t="shared" si="19"/>
        <v>20001_3</v>
      </c>
      <c r="B464" s="23">
        <v>3</v>
      </c>
      <c r="C464" s="31">
        <v>20001</v>
      </c>
      <c r="D464" s="47" t="str">
        <f ca="1">VLOOKUP($C464,OFFSET(quests!$A$1,0,0,COUNTA(quests!$A:$A),MATCH(D$1,quests!$1:$1,0)-MATCH($C$2,quests!$1:$1,0)+1),MATCH(D$1,quests!$1:$1,0)-MATCH($C$2,quests!$1:$1,0)+1,FALSE)</f>
        <v>紅き執行者</v>
      </c>
      <c r="E464" s="48" t="str">
        <f ca="1">VLOOKUP($C464,OFFSET(quests!$A$1,0,0,COUNTA(quests!$A:$A),MATCH(E$2,quests!$1:$1,0)-MATCH($C$2,quests!$1:$1,0)+1),MATCH(E$2,quests!$1:$1,0)-MATCH($C$2,quests!$1:$1,0)+1,FALSE)</f>
        <v>ドロップイベント1-1</v>
      </c>
      <c r="F464" s="7">
        <v>3</v>
      </c>
      <c r="G464" s="7" t="s">
        <v>570</v>
      </c>
      <c r="H464" s="12" t="s">
        <v>712</v>
      </c>
      <c r="I464" s="12" t="s">
        <v>60</v>
      </c>
      <c r="J464" s="12">
        <v>263</v>
      </c>
      <c r="K464" s="167">
        <v>20</v>
      </c>
      <c r="L464" s="167">
        <v>2000</v>
      </c>
      <c r="M464" s="167">
        <v>1</v>
      </c>
      <c r="N464" s="167">
        <v>1</v>
      </c>
      <c r="O464" s="167">
        <v>1</v>
      </c>
      <c r="P464" s="167">
        <v>1</v>
      </c>
      <c r="Q464" s="167">
        <v>1</v>
      </c>
      <c r="R464" s="167">
        <v>3</v>
      </c>
      <c r="S464" s="167" t="s">
        <v>384</v>
      </c>
      <c r="T464" s="167">
        <v>1</v>
      </c>
      <c r="U464" s="7" t="s">
        <v>169</v>
      </c>
      <c r="V464" s="7" t="s">
        <v>169</v>
      </c>
      <c r="W464" s="47" t="str">
        <f t="shared" ca="1" si="20"/>
        <v/>
      </c>
      <c r="X464" s="47">
        <f ca="1">VLOOKUP($C464,OFFSET(quests!$A$1,0,0,COUNTA(quests!$A:$A),MATCH(X$2,quests!$1:$1,0)-MATCH($C$2,quests!$1:$1,0)+1),MATCH(X$2,quests!$1:$1,0)-MATCH($C$2,quests!$1:$1,0)+1,FALSE)</f>
        <v>0</v>
      </c>
      <c r="Y464" s="47">
        <f ca="1">VLOOKUP($C464,OFFSET(quests!$A$1,0,0,COUNTA(quests!$A:$A),MATCH(Y$2,quests!$1:$1,0)-MATCH($C$2,quests!$1:$1,0)+1),MATCH(Y$2,quests!$1:$1,0)-MATCH($C$2,quests!$1:$1,0)+1,FALSE)</f>
        <v>0</v>
      </c>
      <c r="Z464" s="47">
        <f ca="1">VLOOKUP($C464,OFFSET(quests!$A$1,0,0,COUNTA(quests!$A:$A),MATCH(Z$2,quests!$1:$1,0)-MATCH($C$2,quests!$1:$1,0)+1),MATCH(Z$2,quests!$1:$1,0)-MATCH($C$2,quests!$1:$1,0)+1,FALSE)</f>
        <v>0</v>
      </c>
      <c r="AA464" s="47">
        <f ca="1">VLOOKUP($C464,OFFSET(quests!$A$1,0,0,COUNTA(quests!$A:$A),MATCH(AA$2,quests!$1:$1,0)-MATCH($C$2,quests!$1:$1,0)+1),MATCH(AA$2,quests!$1:$1,0)-MATCH($C$2,quests!$1:$1,0)+1,FALSE)</f>
        <v>0</v>
      </c>
      <c r="AB464" s="7" t="s">
        <v>56</v>
      </c>
      <c r="AC464" s="7">
        <v>14</v>
      </c>
      <c r="AD464" s="7">
        <v>6</v>
      </c>
      <c r="AE464" s="7" t="s">
        <v>519</v>
      </c>
      <c r="AF464" s="96">
        <v>17</v>
      </c>
      <c r="AG464" s="7">
        <v>0</v>
      </c>
      <c r="AH464" s="7">
        <v>0</v>
      </c>
      <c r="AI464" s="7">
        <v>-1</v>
      </c>
      <c r="AJ464" s="7">
        <v>-1</v>
      </c>
      <c r="AK464" s="7" t="s">
        <v>1064</v>
      </c>
      <c r="AL464" s="12" t="s">
        <v>1695</v>
      </c>
      <c r="AM464" s="12" t="s">
        <v>2072</v>
      </c>
    </row>
    <row r="465" spans="1:39" ht="20" customHeight="1" x14ac:dyDescent="0.15">
      <c r="A465" s="42" t="str">
        <f t="shared" si="19"/>
        <v>20002_1</v>
      </c>
      <c r="B465" s="23">
        <v>3</v>
      </c>
      <c r="C465" s="31">
        <v>20002</v>
      </c>
      <c r="D465" s="47" t="str">
        <f ca="1">VLOOKUP($C465,OFFSET(quests!$A$1,0,0,COUNTA(quests!$A:$A),MATCH(D$1,quests!$1:$1,0)-MATCH($C$2,quests!$1:$1,0)+1),MATCH(D$1,quests!$1:$1,0)-MATCH($C$2,quests!$1:$1,0)+1,FALSE)</f>
        <v>孤高の一角獣</v>
      </c>
      <c r="E465" s="48" t="str">
        <f ca="1">VLOOKUP($C465,OFFSET(quests!$A$1,0,0,COUNTA(quests!$A:$A),MATCH(E$2,quests!$1:$1,0)-MATCH($C$2,quests!$1:$1,0)+1),MATCH(E$2,quests!$1:$1,0)-MATCH($C$2,quests!$1:$1,0)+1,FALSE)</f>
        <v>ドロップイベント1-2</v>
      </c>
      <c r="F465" s="7">
        <v>1</v>
      </c>
      <c r="G465" s="7" t="s">
        <v>570</v>
      </c>
      <c r="H465" s="12" t="s">
        <v>1174</v>
      </c>
      <c r="I465" s="12" t="s">
        <v>58</v>
      </c>
      <c r="J465" s="12">
        <v>264</v>
      </c>
      <c r="K465" s="167">
        <v>8</v>
      </c>
      <c r="L465" s="167">
        <v>384</v>
      </c>
      <c r="M465" s="167">
        <v>1</v>
      </c>
      <c r="N465" s="167">
        <v>1</v>
      </c>
      <c r="O465" s="167">
        <v>1</v>
      </c>
      <c r="P465" s="167">
        <v>1</v>
      </c>
      <c r="Q465" s="96">
        <v>0</v>
      </c>
      <c r="R465" s="167">
        <v>3</v>
      </c>
      <c r="S465" s="167" t="s">
        <v>79</v>
      </c>
      <c r="T465" s="167">
        <v>0</v>
      </c>
      <c r="U465" s="7" t="s">
        <v>169</v>
      </c>
      <c r="V465" s="7" t="s">
        <v>169</v>
      </c>
      <c r="W465" s="47" t="str">
        <f t="shared" ca="1" si="20"/>
        <v/>
      </c>
      <c r="X465" s="47">
        <f ca="1">VLOOKUP($C465,OFFSET(quests!$A$1,0,0,COUNTA(quests!$A:$A),MATCH(X$2,quests!$1:$1,0)-MATCH($C$2,quests!$1:$1,0)+1),MATCH(X$2,quests!$1:$1,0)-MATCH($C$2,quests!$1:$1,0)+1,FALSE)</f>
        <v>0</v>
      </c>
      <c r="Y465" s="47">
        <f ca="1">VLOOKUP($C465,OFFSET(quests!$A$1,0,0,COUNTA(quests!$A:$A),MATCH(Y$2,quests!$1:$1,0)-MATCH($C$2,quests!$1:$1,0)+1),MATCH(Y$2,quests!$1:$1,0)-MATCH($C$2,quests!$1:$1,0)+1,FALSE)</f>
        <v>0</v>
      </c>
      <c r="Z465" s="47">
        <f ca="1">VLOOKUP($C465,OFFSET(quests!$A$1,0,0,COUNTA(quests!$A:$A),MATCH(Z$2,quests!$1:$1,0)-MATCH($C$2,quests!$1:$1,0)+1),MATCH(Z$2,quests!$1:$1,0)-MATCH($C$2,quests!$1:$1,0)+1,FALSE)</f>
        <v>0</v>
      </c>
      <c r="AA465" s="47">
        <f ca="1">VLOOKUP($C465,OFFSET(quests!$A$1,0,0,COUNTA(quests!$A:$A),MATCH(AA$2,quests!$1:$1,0)-MATCH($C$2,quests!$1:$1,0)+1),MATCH(AA$2,quests!$1:$1,0)-MATCH($C$2,quests!$1:$1,0)+1,FALSE)</f>
        <v>0</v>
      </c>
      <c r="AB465" s="7" t="s">
        <v>56</v>
      </c>
      <c r="AC465" s="12">
        <v>19</v>
      </c>
      <c r="AD465" s="7">
        <v>6</v>
      </c>
      <c r="AE465" s="7" t="s">
        <v>519</v>
      </c>
      <c r="AF465" s="96">
        <v>17</v>
      </c>
      <c r="AG465" s="7">
        <v>0</v>
      </c>
      <c r="AH465" s="7">
        <v>0</v>
      </c>
      <c r="AI465" s="7">
        <v>-1</v>
      </c>
      <c r="AJ465" s="7">
        <v>-1</v>
      </c>
      <c r="AK465" s="7" t="s">
        <v>1064</v>
      </c>
      <c r="AL465" s="12" t="s">
        <v>1695</v>
      </c>
      <c r="AM465" s="12" t="s">
        <v>2072</v>
      </c>
    </row>
    <row r="466" spans="1:39" ht="21" customHeight="1" x14ac:dyDescent="0.15">
      <c r="A466" s="42" t="str">
        <f t="shared" si="19"/>
        <v>20002_2</v>
      </c>
      <c r="B466" s="23">
        <v>3</v>
      </c>
      <c r="C466" s="31">
        <v>20002</v>
      </c>
      <c r="D466" s="47" t="str">
        <f ca="1">VLOOKUP($C466,OFFSET(quests!$A$1,0,0,COUNTA(quests!$A:$A),MATCH(D$1,quests!$1:$1,0)-MATCH($C$2,quests!$1:$1,0)+1),MATCH(D$1,quests!$1:$1,0)-MATCH($C$2,quests!$1:$1,0)+1,FALSE)</f>
        <v>孤高の一角獣</v>
      </c>
      <c r="E466" s="48" t="str">
        <f ca="1">VLOOKUP($C466,OFFSET(quests!$A$1,0,0,COUNTA(quests!$A:$A),MATCH(E$2,quests!$1:$1,0)-MATCH($C$2,quests!$1:$1,0)+1),MATCH(E$2,quests!$1:$1,0)-MATCH($C$2,quests!$1:$1,0)+1,FALSE)</f>
        <v>ドロップイベント1-2</v>
      </c>
      <c r="F466" s="7">
        <v>2</v>
      </c>
      <c r="G466" s="7" t="s">
        <v>570</v>
      </c>
      <c r="H466" s="12" t="s">
        <v>1175</v>
      </c>
      <c r="I466" s="12" t="s">
        <v>59</v>
      </c>
      <c r="J466" s="12">
        <v>264</v>
      </c>
      <c r="K466" s="167">
        <v>15</v>
      </c>
      <c r="L466" s="167">
        <v>1200</v>
      </c>
      <c r="M466" s="167">
        <v>1</v>
      </c>
      <c r="N466" s="167">
        <v>1</v>
      </c>
      <c r="O466" s="167">
        <v>1</v>
      </c>
      <c r="P466" s="167">
        <v>1</v>
      </c>
      <c r="Q466" s="96">
        <v>0</v>
      </c>
      <c r="R466" s="167">
        <v>3</v>
      </c>
      <c r="S466" s="167" t="s">
        <v>79</v>
      </c>
      <c r="T466" s="167">
        <v>0</v>
      </c>
      <c r="U466" s="7" t="s">
        <v>169</v>
      </c>
      <c r="V466" s="7" t="s">
        <v>169</v>
      </c>
      <c r="W466" s="47" t="str">
        <f t="shared" ca="1" si="20"/>
        <v/>
      </c>
      <c r="X466" s="47">
        <f ca="1">VLOOKUP($C466,OFFSET(quests!$A$1,0,0,COUNTA(quests!$A:$A),MATCH(X$2,quests!$1:$1,0)-MATCH($C$2,quests!$1:$1,0)+1),MATCH(X$2,quests!$1:$1,0)-MATCH($C$2,quests!$1:$1,0)+1,FALSE)</f>
        <v>0</v>
      </c>
      <c r="Y466" s="47">
        <f ca="1">VLOOKUP($C466,OFFSET(quests!$A$1,0,0,COUNTA(quests!$A:$A),MATCH(Y$2,quests!$1:$1,0)-MATCH($C$2,quests!$1:$1,0)+1),MATCH(Y$2,quests!$1:$1,0)-MATCH($C$2,quests!$1:$1,0)+1,FALSE)</f>
        <v>0</v>
      </c>
      <c r="Z466" s="47">
        <f ca="1">VLOOKUP($C466,OFFSET(quests!$A$1,0,0,COUNTA(quests!$A:$A),MATCH(Z$2,quests!$1:$1,0)-MATCH($C$2,quests!$1:$1,0)+1),MATCH(Z$2,quests!$1:$1,0)-MATCH($C$2,quests!$1:$1,0)+1,FALSE)</f>
        <v>0</v>
      </c>
      <c r="AA466" s="47">
        <f ca="1">VLOOKUP($C466,OFFSET(quests!$A$1,0,0,COUNTA(quests!$A:$A),MATCH(AA$2,quests!$1:$1,0)-MATCH($C$2,quests!$1:$1,0)+1),MATCH(AA$2,quests!$1:$1,0)-MATCH($C$2,quests!$1:$1,0)+1,FALSE)</f>
        <v>0</v>
      </c>
      <c r="AB466" s="7" t="s">
        <v>56</v>
      </c>
      <c r="AC466" s="12">
        <v>19</v>
      </c>
      <c r="AD466" s="7">
        <v>6</v>
      </c>
      <c r="AE466" s="7" t="s">
        <v>519</v>
      </c>
      <c r="AF466" s="96">
        <v>17</v>
      </c>
      <c r="AG466" s="7">
        <v>0</v>
      </c>
      <c r="AH466" s="7">
        <v>0</v>
      </c>
      <c r="AI466" s="7">
        <v>-1</v>
      </c>
      <c r="AJ466" s="7">
        <v>-1</v>
      </c>
      <c r="AK466" s="7" t="s">
        <v>1064</v>
      </c>
      <c r="AL466" s="12" t="s">
        <v>1695</v>
      </c>
      <c r="AM466" s="12" t="s">
        <v>2072</v>
      </c>
    </row>
    <row r="467" spans="1:39" ht="21" customHeight="1" x14ac:dyDescent="0.15">
      <c r="A467" s="42" t="str">
        <f t="shared" si="19"/>
        <v>20002_3</v>
      </c>
      <c r="B467" s="23">
        <v>3</v>
      </c>
      <c r="C467" s="31">
        <v>20002</v>
      </c>
      <c r="D467" s="47" t="str">
        <f ca="1">VLOOKUP($C467,OFFSET(quests!$A$1,0,0,COUNTA(quests!$A:$A),MATCH(D$1,quests!$1:$1,0)-MATCH($C$2,quests!$1:$1,0)+1),MATCH(D$1,quests!$1:$1,0)-MATCH($C$2,quests!$1:$1,0)+1,FALSE)</f>
        <v>孤高の一角獣</v>
      </c>
      <c r="E467" s="48" t="str">
        <f ca="1">VLOOKUP($C467,OFFSET(quests!$A$1,0,0,COUNTA(quests!$A:$A),MATCH(E$2,quests!$1:$1,0)-MATCH($C$2,quests!$1:$1,0)+1),MATCH(E$2,quests!$1:$1,0)-MATCH($C$2,quests!$1:$1,0)+1,FALSE)</f>
        <v>ドロップイベント1-2</v>
      </c>
      <c r="F467" s="7">
        <v>3</v>
      </c>
      <c r="G467" s="7" t="s">
        <v>570</v>
      </c>
      <c r="H467" s="12" t="s">
        <v>1176</v>
      </c>
      <c r="I467" s="12" t="s">
        <v>60</v>
      </c>
      <c r="J467" s="12">
        <v>265</v>
      </c>
      <c r="K467" s="167">
        <v>20</v>
      </c>
      <c r="L467" s="167">
        <v>2000</v>
      </c>
      <c r="M467" s="167">
        <v>1</v>
      </c>
      <c r="N467" s="167">
        <v>1</v>
      </c>
      <c r="O467" s="167">
        <v>1</v>
      </c>
      <c r="P467" s="167">
        <v>1</v>
      </c>
      <c r="Q467" s="96">
        <v>0</v>
      </c>
      <c r="R467" s="167">
        <v>3</v>
      </c>
      <c r="S467" s="167" t="s">
        <v>407</v>
      </c>
      <c r="T467" s="167">
        <v>1</v>
      </c>
      <c r="U467" s="7" t="s">
        <v>169</v>
      </c>
      <c r="V467" s="7" t="s">
        <v>169</v>
      </c>
      <c r="W467" s="47" t="str">
        <f t="shared" ca="1" si="20"/>
        <v/>
      </c>
      <c r="X467" s="47">
        <f ca="1">VLOOKUP($C467,OFFSET(quests!$A$1,0,0,COUNTA(quests!$A:$A),MATCH(X$2,quests!$1:$1,0)-MATCH($C$2,quests!$1:$1,0)+1),MATCH(X$2,quests!$1:$1,0)-MATCH($C$2,quests!$1:$1,0)+1,FALSE)</f>
        <v>0</v>
      </c>
      <c r="Y467" s="47">
        <f ca="1">VLOOKUP($C467,OFFSET(quests!$A$1,0,0,COUNTA(quests!$A:$A),MATCH(Y$2,quests!$1:$1,0)-MATCH($C$2,quests!$1:$1,0)+1),MATCH(Y$2,quests!$1:$1,0)-MATCH($C$2,quests!$1:$1,0)+1,FALSE)</f>
        <v>0</v>
      </c>
      <c r="Z467" s="47">
        <f ca="1">VLOOKUP($C467,OFFSET(quests!$A$1,0,0,COUNTA(quests!$A:$A),MATCH(Z$2,quests!$1:$1,0)-MATCH($C$2,quests!$1:$1,0)+1),MATCH(Z$2,quests!$1:$1,0)-MATCH($C$2,quests!$1:$1,0)+1,FALSE)</f>
        <v>0</v>
      </c>
      <c r="AA467" s="47">
        <f ca="1">VLOOKUP($C467,OFFSET(quests!$A$1,0,0,COUNTA(quests!$A:$A),MATCH(AA$2,quests!$1:$1,0)-MATCH($C$2,quests!$1:$1,0)+1),MATCH(AA$2,quests!$1:$1,0)-MATCH($C$2,quests!$1:$1,0)+1,FALSE)</f>
        <v>0</v>
      </c>
      <c r="AB467" s="7" t="s">
        <v>56</v>
      </c>
      <c r="AC467" s="12">
        <v>19</v>
      </c>
      <c r="AD467" s="7">
        <v>6</v>
      </c>
      <c r="AE467" s="7" t="s">
        <v>519</v>
      </c>
      <c r="AF467" s="96">
        <v>17</v>
      </c>
      <c r="AG467" s="7">
        <v>0</v>
      </c>
      <c r="AH467" s="7">
        <v>0</v>
      </c>
      <c r="AI467" s="7">
        <v>-1</v>
      </c>
      <c r="AJ467" s="7">
        <v>-1</v>
      </c>
      <c r="AK467" s="7" t="s">
        <v>1064</v>
      </c>
      <c r="AL467" s="12" t="s">
        <v>1695</v>
      </c>
      <c r="AM467" s="12" t="s">
        <v>2072</v>
      </c>
    </row>
    <row r="468" spans="1:39" ht="21" customHeight="1" x14ac:dyDescent="0.15">
      <c r="A468" s="42" t="str">
        <f t="shared" si="19"/>
        <v>20003_1</v>
      </c>
      <c r="B468" s="23">
        <v>3</v>
      </c>
      <c r="C468" s="31">
        <v>20003</v>
      </c>
      <c r="D468" s="47" t="str">
        <f ca="1">VLOOKUP($C468,OFFSET(quests!$A$1,0,0,COUNTA(quests!$A:$A),MATCH(D$1,quests!$1:$1,0)-MATCH($C$2,quests!$1:$1,0)+1),MATCH(D$1,quests!$1:$1,0)-MATCH($C$2,quests!$1:$1,0)+1,FALSE)</f>
        <v>忍び寄る短剣</v>
      </c>
      <c r="E468" s="48" t="str">
        <f ca="1">VLOOKUP($C468,OFFSET(quests!$A$1,0,0,COUNTA(quests!$A:$A),MATCH(E$2,quests!$1:$1,0)-MATCH($C$2,quests!$1:$1,0)+1),MATCH(E$2,quests!$1:$1,0)-MATCH($C$2,quests!$1:$1,0)+1,FALSE)</f>
        <v>ドロップイベント1-3</v>
      </c>
      <c r="F468" s="7">
        <v>1</v>
      </c>
      <c r="G468" s="7" t="s">
        <v>570</v>
      </c>
      <c r="H468" s="12" t="s">
        <v>713</v>
      </c>
      <c r="I468" s="12" t="s">
        <v>58</v>
      </c>
      <c r="J468" s="12">
        <v>266</v>
      </c>
      <c r="K468" s="167">
        <v>8</v>
      </c>
      <c r="L468" s="167">
        <v>384</v>
      </c>
      <c r="M468" s="167">
        <v>1</v>
      </c>
      <c r="N468" s="167">
        <v>1</v>
      </c>
      <c r="O468" s="167">
        <v>1</v>
      </c>
      <c r="P468" s="167">
        <v>1</v>
      </c>
      <c r="Q468" s="167">
        <v>1</v>
      </c>
      <c r="R468" s="167">
        <v>3</v>
      </c>
      <c r="S468" s="167" t="s">
        <v>79</v>
      </c>
      <c r="T468" s="167">
        <v>0</v>
      </c>
      <c r="U468" s="7" t="s">
        <v>169</v>
      </c>
      <c r="V468" s="7" t="s">
        <v>169</v>
      </c>
      <c r="W468" s="47" t="str">
        <f t="shared" ca="1" si="20"/>
        <v/>
      </c>
      <c r="X468" s="47">
        <f ca="1">VLOOKUP($C468,OFFSET(quests!$A$1,0,0,COUNTA(quests!$A:$A),MATCH(X$2,quests!$1:$1,0)-MATCH($C$2,quests!$1:$1,0)+1),MATCH(X$2,quests!$1:$1,0)-MATCH($C$2,quests!$1:$1,0)+1,FALSE)</f>
        <v>0</v>
      </c>
      <c r="Y468" s="47">
        <f ca="1">VLOOKUP($C468,OFFSET(quests!$A$1,0,0,COUNTA(quests!$A:$A),MATCH(Y$2,quests!$1:$1,0)-MATCH($C$2,quests!$1:$1,0)+1),MATCH(Y$2,quests!$1:$1,0)-MATCH($C$2,quests!$1:$1,0)+1,FALSE)</f>
        <v>0</v>
      </c>
      <c r="Z468" s="47">
        <f ca="1">VLOOKUP($C468,OFFSET(quests!$A$1,0,0,COUNTA(quests!$A:$A),MATCH(Z$2,quests!$1:$1,0)-MATCH($C$2,quests!$1:$1,0)+1),MATCH(Z$2,quests!$1:$1,0)-MATCH($C$2,quests!$1:$1,0)+1,FALSE)</f>
        <v>0</v>
      </c>
      <c r="AA468" s="47">
        <f ca="1">VLOOKUP($C468,OFFSET(quests!$A$1,0,0,COUNTA(quests!$A:$A),MATCH(AA$2,quests!$1:$1,0)-MATCH($C$2,quests!$1:$1,0)+1),MATCH(AA$2,quests!$1:$1,0)-MATCH($C$2,quests!$1:$1,0)+1,FALSE)</f>
        <v>0</v>
      </c>
      <c r="AB468" s="7" t="s">
        <v>56</v>
      </c>
      <c r="AC468" s="8">
        <v>11</v>
      </c>
      <c r="AD468" s="7">
        <v>6</v>
      </c>
      <c r="AE468" s="7" t="s">
        <v>519</v>
      </c>
      <c r="AF468" s="255">
        <v>16</v>
      </c>
      <c r="AG468" s="7">
        <v>0</v>
      </c>
      <c r="AH468" s="7">
        <v>0</v>
      </c>
      <c r="AI468" s="7">
        <v>-1</v>
      </c>
      <c r="AJ468" s="7">
        <v>-1</v>
      </c>
      <c r="AK468" s="7" t="s">
        <v>1064</v>
      </c>
      <c r="AL468" s="12" t="s">
        <v>1695</v>
      </c>
      <c r="AM468" s="12" t="s">
        <v>2072</v>
      </c>
    </row>
    <row r="469" spans="1:39" ht="21" customHeight="1" x14ac:dyDescent="0.15">
      <c r="A469" s="42" t="str">
        <f t="shared" si="19"/>
        <v>20003_2</v>
      </c>
      <c r="B469" s="23">
        <v>3</v>
      </c>
      <c r="C469" s="31">
        <v>20003</v>
      </c>
      <c r="D469" s="47" t="str">
        <f ca="1">VLOOKUP($C469,OFFSET(quests!$A$1,0,0,COUNTA(quests!$A:$A),MATCH(D$1,quests!$1:$1,0)-MATCH($C$2,quests!$1:$1,0)+1),MATCH(D$1,quests!$1:$1,0)-MATCH($C$2,quests!$1:$1,0)+1,FALSE)</f>
        <v>忍び寄る短剣</v>
      </c>
      <c r="E469" s="48" t="str">
        <f ca="1">VLOOKUP($C469,OFFSET(quests!$A$1,0,0,COUNTA(quests!$A:$A),MATCH(E$2,quests!$1:$1,0)-MATCH($C$2,quests!$1:$1,0)+1),MATCH(E$2,quests!$1:$1,0)-MATCH($C$2,quests!$1:$1,0)+1,FALSE)</f>
        <v>ドロップイベント1-3</v>
      </c>
      <c r="F469" s="7">
        <v>2</v>
      </c>
      <c r="G469" s="7" t="s">
        <v>570</v>
      </c>
      <c r="H469" s="12" t="s">
        <v>714</v>
      </c>
      <c r="I469" s="12" t="s">
        <v>59</v>
      </c>
      <c r="J469" s="12">
        <v>266</v>
      </c>
      <c r="K469" s="167">
        <v>15</v>
      </c>
      <c r="L469" s="167">
        <v>1200</v>
      </c>
      <c r="M469" s="167">
        <v>1</v>
      </c>
      <c r="N469" s="167">
        <v>1</v>
      </c>
      <c r="O469" s="167">
        <v>1</v>
      </c>
      <c r="P469" s="167">
        <v>1</v>
      </c>
      <c r="Q469" s="167">
        <v>1</v>
      </c>
      <c r="R469" s="167">
        <v>3</v>
      </c>
      <c r="S469" s="167" t="s">
        <v>79</v>
      </c>
      <c r="T469" s="167">
        <v>0</v>
      </c>
      <c r="U469" s="7" t="s">
        <v>169</v>
      </c>
      <c r="V469" s="7" t="s">
        <v>169</v>
      </c>
      <c r="W469" s="47" t="str">
        <f t="shared" ca="1" si="20"/>
        <v/>
      </c>
      <c r="X469" s="47">
        <f ca="1">VLOOKUP($C469,OFFSET(quests!$A$1,0,0,COUNTA(quests!$A:$A),MATCH(X$2,quests!$1:$1,0)-MATCH($C$2,quests!$1:$1,0)+1),MATCH(X$2,quests!$1:$1,0)-MATCH($C$2,quests!$1:$1,0)+1,FALSE)</f>
        <v>0</v>
      </c>
      <c r="Y469" s="47">
        <f ca="1">VLOOKUP($C469,OFFSET(quests!$A$1,0,0,COUNTA(quests!$A:$A),MATCH(Y$2,quests!$1:$1,0)-MATCH($C$2,quests!$1:$1,0)+1),MATCH(Y$2,quests!$1:$1,0)-MATCH($C$2,quests!$1:$1,0)+1,FALSE)</f>
        <v>0</v>
      </c>
      <c r="Z469" s="47">
        <f ca="1">VLOOKUP($C469,OFFSET(quests!$A$1,0,0,COUNTA(quests!$A:$A),MATCH(Z$2,quests!$1:$1,0)-MATCH($C$2,quests!$1:$1,0)+1),MATCH(Z$2,quests!$1:$1,0)-MATCH($C$2,quests!$1:$1,0)+1,FALSE)</f>
        <v>0</v>
      </c>
      <c r="AA469" s="47">
        <f ca="1">VLOOKUP($C469,OFFSET(quests!$A$1,0,0,COUNTA(quests!$A:$A),MATCH(AA$2,quests!$1:$1,0)-MATCH($C$2,quests!$1:$1,0)+1),MATCH(AA$2,quests!$1:$1,0)-MATCH($C$2,quests!$1:$1,0)+1,FALSE)</f>
        <v>0</v>
      </c>
      <c r="AB469" s="7" t="s">
        <v>56</v>
      </c>
      <c r="AC469" s="8">
        <v>11</v>
      </c>
      <c r="AD469" s="7">
        <v>6</v>
      </c>
      <c r="AE469" s="7" t="s">
        <v>519</v>
      </c>
      <c r="AF469" s="255">
        <v>16</v>
      </c>
      <c r="AG469" s="7">
        <v>0</v>
      </c>
      <c r="AH469" s="7">
        <v>0</v>
      </c>
      <c r="AI469" s="7">
        <v>-1</v>
      </c>
      <c r="AJ469" s="7">
        <v>-1</v>
      </c>
      <c r="AK469" s="7" t="s">
        <v>1064</v>
      </c>
      <c r="AL469" s="12" t="s">
        <v>1695</v>
      </c>
      <c r="AM469" s="12" t="s">
        <v>2072</v>
      </c>
    </row>
    <row r="470" spans="1:39" ht="21" customHeight="1" x14ac:dyDescent="0.15">
      <c r="A470" s="42" t="str">
        <f t="shared" si="19"/>
        <v>20003_3</v>
      </c>
      <c r="B470" s="23">
        <v>3</v>
      </c>
      <c r="C470" s="31">
        <v>20003</v>
      </c>
      <c r="D470" s="47" t="str">
        <f ca="1">VLOOKUP($C470,OFFSET(quests!$A$1,0,0,COUNTA(quests!$A:$A),MATCH(D$1,quests!$1:$1,0)-MATCH($C$2,quests!$1:$1,0)+1),MATCH(D$1,quests!$1:$1,0)-MATCH($C$2,quests!$1:$1,0)+1,FALSE)</f>
        <v>忍び寄る短剣</v>
      </c>
      <c r="E470" s="48" t="str">
        <f ca="1">VLOOKUP($C470,OFFSET(quests!$A$1,0,0,COUNTA(quests!$A:$A),MATCH(E$2,quests!$1:$1,0)-MATCH($C$2,quests!$1:$1,0)+1),MATCH(E$2,quests!$1:$1,0)-MATCH($C$2,quests!$1:$1,0)+1,FALSE)</f>
        <v>ドロップイベント1-3</v>
      </c>
      <c r="F470" s="7">
        <v>3</v>
      </c>
      <c r="G470" s="7" t="s">
        <v>570</v>
      </c>
      <c r="H470" s="12" t="s">
        <v>715</v>
      </c>
      <c r="I470" s="12" t="s">
        <v>60</v>
      </c>
      <c r="J470" s="12">
        <v>267</v>
      </c>
      <c r="K470" s="167">
        <v>20</v>
      </c>
      <c r="L470" s="167">
        <v>2000</v>
      </c>
      <c r="M470" s="167">
        <v>1</v>
      </c>
      <c r="N470" s="167">
        <v>1</v>
      </c>
      <c r="O470" s="167">
        <v>1</v>
      </c>
      <c r="P470" s="167">
        <v>1</v>
      </c>
      <c r="Q470" s="167">
        <v>1</v>
      </c>
      <c r="R470" s="167">
        <v>3</v>
      </c>
      <c r="S470" s="167" t="s">
        <v>385</v>
      </c>
      <c r="T470" s="167">
        <v>1</v>
      </c>
      <c r="U470" s="7" t="s">
        <v>169</v>
      </c>
      <c r="V470" s="7" t="s">
        <v>169</v>
      </c>
      <c r="W470" s="47" t="str">
        <f t="shared" ca="1" si="20"/>
        <v/>
      </c>
      <c r="X470" s="47">
        <f ca="1">VLOOKUP($C470,OFFSET(quests!$A$1,0,0,COUNTA(quests!$A:$A),MATCH(X$2,quests!$1:$1,0)-MATCH($C$2,quests!$1:$1,0)+1),MATCH(X$2,quests!$1:$1,0)-MATCH($C$2,quests!$1:$1,0)+1,FALSE)</f>
        <v>0</v>
      </c>
      <c r="Y470" s="47">
        <f ca="1">VLOOKUP($C470,OFFSET(quests!$A$1,0,0,COUNTA(quests!$A:$A),MATCH(Y$2,quests!$1:$1,0)-MATCH($C$2,quests!$1:$1,0)+1),MATCH(Y$2,quests!$1:$1,0)-MATCH($C$2,quests!$1:$1,0)+1,FALSE)</f>
        <v>0</v>
      </c>
      <c r="Z470" s="47">
        <f ca="1">VLOOKUP($C470,OFFSET(quests!$A$1,0,0,COUNTA(quests!$A:$A),MATCH(Z$2,quests!$1:$1,0)-MATCH($C$2,quests!$1:$1,0)+1),MATCH(Z$2,quests!$1:$1,0)-MATCH($C$2,quests!$1:$1,0)+1,FALSE)</f>
        <v>0</v>
      </c>
      <c r="AA470" s="47">
        <f ca="1">VLOOKUP($C470,OFFSET(quests!$A$1,0,0,COUNTA(quests!$A:$A),MATCH(AA$2,quests!$1:$1,0)-MATCH($C$2,quests!$1:$1,0)+1),MATCH(AA$2,quests!$1:$1,0)-MATCH($C$2,quests!$1:$1,0)+1,FALSE)</f>
        <v>0</v>
      </c>
      <c r="AB470" s="7" t="s">
        <v>56</v>
      </c>
      <c r="AC470" s="8">
        <v>11</v>
      </c>
      <c r="AD470" s="7">
        <v>6</v>
      </c>
      <c r="AE470" s="7" t="s">
        <v>519</v>
      </c>
      <c r="AF470" s="255">
        <v>16</v>
      </c>
      <c r="AG470" s="7">
        <v>0</v>
      </c>
      <c r="AH470" s="7">
        <v>0</v>
      </c>
      <c r="AI470" s="7">
        <v>-1</v>
      </c>
      <c r="AJ470" s="7">
        <v>-1</v>
      </c>
      <c r="AK470" s="7" t="s">
        <v>1064</v>
      </c>
      <c r="AL470" s="12" t="s">
        <v>1695</v>
      </c>
      <c r="AM470" s="12" t="s">
        <v>2072</v>
      </c>
    </row>
    <row r="471" spans="1:39" ht="21" customHeight="1" x14ac:dyDescent="0.15">
      <c r="A471" s="42" t="str">
        <f t="shared" si="19"/>
        <v>20004_1</v>
      </c>
      <c r="B471" s="23">
        <v>3</v>
      </c>
      <c r="C471" s="31">
        <v>20004</v>
      </c>
      <c r="D471" s="47" t="str">
        <f ca="1">VLOOKUP($C471,OFFSET(quests!$A$1,0,0,COUNTA(quests!$A:$A),MATCH(D$1,quests!$1:$1,0)-MATCH($C$2,quests!$1:$1,0)+1),MATCH(D$1,quests!$1:$1,0)-MATCH($C$2,quests!$1:$1,0)+1,FALSE)</f>
        <v>雷雲からの刺客</v>
      </c>
      <c r="E471" s="48" t="str">
        <f ca="1">VLOOKUP($C471,OFFSET(quests!$A$1,0,0,COUNTA(quests!$A:$A),MATCH(E$2,quests!$1:$1,0)-MATCH($C$2,quests!$1:$1,0)+1),MATCH(E$2,quests!$1:$1,0)-MATCH($C$2,quests!$1:$1,0)+1,FALSE)</f>
        <v>ドロップイベント1-4</v>
      </c>
      <c r="F471" s="7">
        <v>1</v>
      </c>
      <c r="G471" s="7" t="s">
        <v>570</v>
      </c>
      <c r="H471" s="12" t="s">
        <v>1173</v>
      </c>
      <c r="I471" s="12" t="s">
        <v>58</v>
      </c>
      <c r="J471" s="12">
        <v>268</v>
      </c>
      <c r="K471" s="167">
        <v>8</v>
      </c>
      <c r="L471" s="167">
        <v>384</v>
      </c>
      <c r="M471" s="167">
        <v>1</v>
      </c>
      <c r="N471" s="167">
        <v>1</v>
      </c>
      <c r="O471" s="167">
        <v>1</v>
      </c>
      <c r="P471" s="167">
        <v>1</v>
      </c>
      <c r="Q471" s="96">
        <v>0</v>
      </c>
      <c r="R471" s="167">
        <v>3</v>
      </c>
      <c r="S471" s="167" t="s">
        <v>79</v>
      </c>
      <c r="T471" s="167">
        <v>0</v>
      </c>
      <c r="U471" s="7" t="s">
        <v>169</v>
      </c>
      <c r="V471" s="7" t="s">
        <v>169</v>
      </c>
      <c r="W471" s="47" t="str">
        <f t="shared" ca="1" si="20"/>
        <v/>
      </c>
      <c r="X471" s="47">
        <f ca="1">VLOOKUP($C471,OFFSET(quests!$A$1,0,0,COUNTA(quests!$A:$A),MATCH(X$2,quests!$1:$1,0)-MATCH($C$2,quests!$1:$1,0)+1),MATCH(X$2,quests!$1:$1,0)-MATCH($C$2,quests!$1:$1,0)+1,FALSE)</f>
        <v>0</v>
      </c>
      <c r="Y471" s="47">
        <f ca="1">VLOOKUP($C471,OFFSET(quests!$A$1,0,0,COUNTA(quests!$A:$A),MATCH(Y$2,quests!$1:$1,0)-MATCH($C$2,quests!$1:$1,0)+1),MATCH(Y$2,quests!$1:$1,0)-MATCH($C$2,quests!$1:$1,0)+1,FALSE)</f>
        <v>0</v>
      </c>
      <c r="Z471" s="47">
        <f ca="1">VLOOKUP($C471,OFFSET(quests!$A$1,0,0,COUNTA(quests!$A:$A),MATCH(Z$2,quests!$1:$1,0)-MATCH($C$2,quests!$1:$1,0)+1),MATCH(Z$2,quests!$1:$1,0)-MATCH($C$2,quests!$1:$1,0)+1,FALSE)</f>
        <v>0</v>
      </c>
      <c r="AA471" s="47">
        <f ca="1">VLOOKUP($C471,OFFSET(quests!$A$1,0,0,COUNTA(quests!$A:$A),MATCH(AA$2,quests!$1:$1,0)-MATCH($C$2,quests!$1:$1,0)+1),MATCH(AA$2,quests!$1:$1,0)-MATCH($C$2,quests!$1:$1,0)+1,FALSE)</f>
        <v>0</v>
      </c>
      <c r="AB471" s="7" t="s">
        <v>56</v>
      </c>
      <c r="AC471" s="66">
        <v>4</v>
      </c>
      <c r="AD471" s="7">
        <v>6</v>
      </c>
      <c r="AE471" s="7" t="s">
        <v>519</v>
      </c>
      <c r="AF471" s="33">
        <v>11</v>
      </c>
      <c r="AG471" s="7">
        <v>0</v>
      </c>
      <c r="AH471" s="7">
        <v>0</v>
      </c>
      <c r="AI471" s="7">
        <v>-1</v>
      </c>
      <c r="AJ471" s="7">
        <v>-1</v>
      </c>
      <c r="AK471" s="7" t="s">
        <v>1064</v>
      </c>
      <c r="AL471" s="12" t="s">
        <v>1695</v>
      </c>
      <c r="AM471" s="12" t="s">
        <v>2072</v>
      </c>
    </row>
    <row r="472" spans="1:39" ht="21" customHeight="1" x14ac:dyDescent="0.15">
      <c r="A472" s="42" t="str">
        <f t="shared" si="19"/>
        <v>20004_2</v>
      </c>
      <c r="B472" s="23">
        <v>3</v>
      </c>
      <c r="C472" s="31">
        <v>20004</v>
      </c>
      <c r="D472" s="47" t="str">
        <f ca="1">VLOOKUP($C472,OFFSET(quests!$A$1,0,0,COUNTA(quests!$A:$A),MATCH(D$1,quests!$1:$1,0)-MATCH($C$2,quests!$1:$1,0)+1),MATCH(D$1,quests!$1:$1,0)-MATCH($C$2,quests!$1:$1,0)+1,FALSE)</f>
        <v>雷雲からの刺客</v>
      </c>
      <c r="E472" s="48" t="str">
        <f ca="1">VLOOKUP($C472,OFFSET(quests!$A$1,0,0,COUNTA(quests!$A:$A),MATCH(E$2,quests!$1:$1,0)-MATCH($C$2,quests!$1:$1,0)+1),MATCH(E$2,quests!$1:$1,0)-MATCH($C$2,quests!$1:$1,0)+1,FALSE)</f>
        <v>ドロップイベント1-4</v>
      </c>
      <c r="F472" s="7">
        <v>2</v>
      </c>
      <c r="G472" s="7" t="s">
        <v>570</v>
      </c>
      <c r="H472" s="12" t="s">
        <v>1171</v>
      </c>
      <c r="I472" s="12" t="s">
        <v>59</v>
      </c>
      <c r="J472" s="12">
        <v>268</v>
      </c>
      <c r="K472" s="167">
        <v>15</v>
      </c>
      <c r="L472" s="167">
        <v>1200</v>
      </c>
      <c r="M472" s="167">
        <v>1</v>
      </c>
      <c r="N472" s="167">
        <v>1</v>
      </c>
      <c r="O472" s="167">
        <v>1</v>
      </c>
      <c r="P472" s="167">
        <v>1</v>
      </c>
      <c r="Q472" s="96">
        <v>0</v>
      </c>
      <c r="R472" s="167">
        <v>3</v>
      </c>
      <c r="S472" s="167" t="s">
        <v>79</v>
      </c>
      <c r="T472" s="167">
        <v>0</v>
      </c>
      <c r="U472" s="7" t="s">
        <v>169</v>
      </c>
      <c r="V472" s="7" t="s">
        <v>169</v>
      </c>
      <c r="W472" s="47" t="str">
        <f t="shared" ca="1" si="20"/>
        <v/>
      </c>
      <c r="X472" s="47">
        <f ca="1">VLOOKUP($C472,OFFSET(quests!$A$1,0,0,COUNTA(quests!$A:$A),MATCH(X$2,quests!$1:$1,0)-MATCH($C$2,quests!$1:$1,0)+1),MATCH(X$2,quests!$1:$1,0)-MATCH($C$2,quests!$1:$1,0)+1,FALSE)</f>
        <v>0</v>
      </c>
      <c r="Y472" s="47">
        <f ca="1">VLOOKUP($C472,OFFSET(quests!$A$1,0,0,COUNTA(quests!$A:$A),MATCH(Y$2,quests!$1:$1,0)-MATCH($C$2,quests!$1:$1,0)+1),MATCH(Y$2,quests!$1:$1,0)-MATCH($C$2,quests!$1:$1,0)+1,FALSE)</f>
        <v>0</v>
      </c>
      <c r="Z472" s="47">
        <f ca="1">VLOOKUP($C472,OFFSET(quests!$A$1,0,0,COUNTA(quests!$A:$A),MATCH(Z$2,quests!$1:$1,0)-MATCH($C$2,quests!$1:$1,0)+1),MATCH(Z$2,quests!$1:$1,0)-MATCH($C$2,quests!$1:$1,0)+1,FALSE)</f>
        <v>0</v>
      </c>
      <c r="AA472" s="47">
        <f ca="1">VLOOKUP($C472,OFFSET(quests!$A$1,0,0,COUNTA(quests!$A:$A),MATCH(AA$2,quests!$1:$1,0)-MATCH($C$2,quests!$1:$1,0)+1),MATCH(AA$2,quests!$1:$1,0)-MATCH($C$2,quests!$1:$1,0)+1,FALSE)</f>
        <v>0</v>
      </c>
      <c r="AB472" s="7" t="s">
        <v>56</v>
      </c>
      <c r="AC472" s="66">
        <v>4</v>
      </c>
      <c r="AD472" s="7">
        <v>6</v>
      </c>
      <c r="AE472" s="7" t="s">
        <v>519</v>
      </c>
      <c r="AF472" s="33">
        <v>11</v>
      </c>
      <c r="AG472" s="7">
        <v>0</v>
      </c>
      <c r="AH472" s="7">
        <v>0</v>
      </c>
      <c r="AI472" s="7">
        <v>-1</v>
      </c>
      <c r="AJ472" s="7">
        <v>-1</v>
      </c>
      <c r="AK472" s="7" t="s">
        <v>1064</v>
      </c>
      <c r="AL472" s="12" t="s">
        <v>1695</v>
      </c>
      <c r="AM472" s="12" t="s">
        <v>2072</v>
      </c>
    </row>
    <row r="473" spans="1:39" ht="21" customHeight="1" x14ac:dyDescent="0.15">
      <c r="A473" s="42" t="str">
        <f t="shared" si="19"/>
        <v>20004_3</v>
      </c>
      <c r="B473" s="23">
        <v>3</v>
      </c>
      <c r="C473" s="31">
        <v>20004</v>
      </c>
      <c r="D473" s="47" t="str">
        <f ca="1">VLOOKUP($C473,OFFSET(quests!$A$1,0,0,COUNTA(quests!$A:$A),MATCH(D$1,quests!$1:$1,0)-MATCH($C$2,quests!$1:$1,0)+1),MATCH(D$1,quests!$1:$1,0)-MATCH($C$2,quests!$1:$1,0)+1,FALSE)</f>
        <v>雷雲からの刺客</v>
      </c>
      <c r="E473" s="48" t="str">
        <f ca="1">VLOOKUP($C473,OFFSET(quests!$A$1,0,0,COUNTA(quests!$A:$A),MATCH(E$2,quests!$1:$1,0)-MATCH($C$2,quests!$1:$1,0)+1),MATCH(E$2,quests!$1:$1,0)-MATCH($C$2,quests!$1:$1,0)+1,FALSE)</f>
        <v>ドロップイベント1-4</v>
      </c>
      <c r="F473" s="7">
        <v>3</v>
      </c>
      <c r="G473" s="7" t="s">
        <v>570</v>
      </c>
      <c r="H473" s="12" t="s">
        <v>1172</v>
      </c>
      <c r="I473" s="12" t="s">
        <v>60</v>
      </c>
      <c r="J473" s="12">
        <v>269</v>
      </c>
      <c r="K473" s="167">
        <v>20</v>
      </c>
      <c r="L473" s="167">
        <v>2000</v>
      </c>
      <c r="M473" s="167">
        <v>1</v>
      </c>
      <c r="N473" s="167">
        <v>1</v>
      </c>
      <c r="O473" s="167">
        <v>1</v>
      </c>
      <c r="P473" s="167">
        <v>1</v>
      </c>
      <c r="Q473" s="96">
        <v>0</v>
      </c>
      <c r="R473" s="167">
        <v>3</v>
      </c>
      <c r="S473" s="167" t="s">
        <v>407</v>
      </c>
      <c r="T473" s="167">
        <v>1</v>
      </c>
      <c r="U473" s="7" t="s">
        <v>169</v>
      </c>
      <c r="V473" s="7" t="s">
        <v>169</v>
      </c>
      <c r="W473" s="47" t="str">
        <f t="shared" ca="1" si="20"/>
        <v/>
      </c>
      <c r="X473" s="47">
        <f ca="1">VLOOKUP($C473,OFFSET(quests!$A$1,0,0,COUNTA(quests!$A:$A),MATCH(X$2,quests!$1:$1,0)-MATCH($C$2,quests!$1:$1,0)+1),MATCH(X$2,quests!$1:$1,0)-MATCH($C$2,quests!$1:$1,0)+1,FALSE)</f>
        <v>0</v>
      </c>
      <c r="Y473" s="47">
        <f ca="1">VLOOKUP($C473,OFFSET(quests!$A$1,0,0,COUNTA(quests!$A:$A),MATCH(Y$2,quests!$1:$1,0)-MATCH($C$2,quests!$1:$1,0)+1),MATCH(Y$2,quests!$1:$1,0)-MATCH($C$2,quests!$1:$1,0)+1,FALSE)</f>
        <v>0</v>
      </c>
      <c r="Z473" s="47">
        <f ca="1">VLOOKUP($C473,OFFSET(quests!$A$1,0,0,COUNTA(quests!$A:$A),MATCH(Z$2,quests!$1:$1,0)-MATCH($C$2,quests!$1:$1,0)+1),MATCH(Z$2,quests!$1:$1,0)-MATCH($C$2,quests!$1:$1,0)+1,FALSE)</f>
        <v>0</v>
      </c>
      <c r="AA473" s="47">
        <f ca="1">VLOOKUP($C473,OFFSET(quests!$A$1,0,0,COUNTA(quests!$A:$A),MATCH(AA$2,quests!$1:$1,0)-MATCH($C$2,quests!$1:$1,0)+1),MATCH(AA$2,quests!$1:$1,0)-MATCH($C$2,quests!$1:$1,0)+1,FALSE)</f>
        <v>0</v>
      </c>
      <c r="AB473" s="7" t="s">
        <v>56</v>
      </c>
      <c r="AC473" s="66">
        <v>4</v>
      </c>
      <c r="AD473" s="7">
        <v>6</v>
      </c>
      <c r="AE473" s="7" t="s">
        <v>519</v>
      </c>
      <c r="AF473" s="33">
        <v>11</v>
      </c>
      <c r="AG473" s="7">
        <v>0</v>
      </c>
      <c r="AH473" s="7">
        <v>0</v>
      </c>
      <c r="AI473" s="7">
        <v>-1</v>
      </c>
      <c r="AJ473" s="7">
        <v>-1</v>
      </c>
      <c r="AK473" s="7" t="s">
        <v>1064</v>
      </c>
      <c r="AL473" s="12" t="s">
        <v>1695</v>
      </c>
      <c r="AM473" s="12" t="s">
        <v>2072</v>
      </c>
    </row>
    <row r="474" spans="1:39" ht="21" customHeight="1" x14ac:dyDescent="0.15">
      <c r="A474" s="42" t="str">
        <f t="shared" si="19"/>
        <v>20005_1</v>
      </c>
      <c r="B474" s="23">
        <v>3</v>
      </c>
      <c r="C474" s="31">
        <v>20005</v>
      </c>
      <c r="D474" s="47" t="str">
        <f ca="1">VLOOKUP($C474,OFFSET(quests!$A$1,0,0,COUNTA(quests!$A:$A),MATCH(D$1,quests!$1:$1,0)-MATCH($C$2,quests!$1:$1,0)+1),MATCH(D$1,quests!$1:$1,0)-MATCH($C$2,quests!$1:$1,0)+1,FALSE)</f>
        <v>ザ・キャノン</v>
      </c>
      <c r="E474" s="48" t="str">
        <f ca="1">VLOOKUP($C474,OFFSET(quests!$A$1,0,0,COUNTA(quests!$A:$A),MATCH(E$2,quests!$1:$1,0)-MATCH($C$2,quests!$1:$1,0)+1),MATCH(E$2,quests!$1:$1,0)-MATCH($C$2,quests!$1:$1,0)+1,FALSE)</f>
        <v>ドロップイベント2-2</v>
      </c>
      <c r="F474" s="7">
        <v>1</v>
      </c>
      <c r="G474" s="7" t="s">
        <v>570</v>
      </c>
      <c r="H474" s="12" t="s">
        <v>716</v>
      </c>
      <c r="I474" s="12" t="s">
        <v>58</v>
      </c>
      <c r="J474" s="12">
        <v>286</v>
      </c>
      <c r="K474" s="167">
        <v>8</v>
      </c>
      <c r="L474" s="167">
        <v>384</v>
      </c>
      <c r="M474" s="167">
        <v>1</v>
      </c>
      <c r="N474" s="167">
        <v>1</v>
      </c>
      <c r="O474" s="167">
        <v>1</v>
      </c>
      <c r="P474" s="167">
        <v>1</v>
      </c>
      <c r="Q474" s="167">
        <v>1</v>
      </c>
      <c r="R474" s="167">
        <v>4</v>
      </c>
      <c r="S474" s="167" t="s">
        <v>79</v>
      </c>
      <c r="T474" s="167">
        <v>0</v>
      </c>
      <c r="U474" s="7" t="s">
        <v>169</v>
      </c>
      <c r="V474" s="7" t="s">
        <v>169</v>
      </c>
      <c r="W474" s="47" t="str">
        <f t="shared" ca="1" si="20"/>
        <v/>
      </c>
      <c r="X474" s="47">
        <f ca="1">VLOOKUP($C474,OFFSET(quests!$A$1,0,0,COUNTA(quests!$A:$A),MATCH(X$2,quests!$1:$1,0)-MATCH($C$2,quests!$1:$1,0)+1),MATCH(X$2,quests!$1:$1,0)-MATCH($C$2,quests!$1:$1,0)+1,FALSE)</f>
        <v>0</v>
      </c>
      <c r="Y474" s="47">
        <f ca="1">VLOOKUP($C474,OFFSET(quests!$A$1,0,0,COUNTA(quests!$A:$A),MATCH(Y$2,quests!$1:$1,0)-MATCH($C$2,quests!$1:$1,0)+1),MATCH(Y$2,quests!$1:$1,0)-MATCH($C$2,quests!$1:$1,0)+1,FALSE)</f>
        <v>0</v>
      </c>
      <c r="Z474" s="47">
        <f ca="1">VLOOKUP($C474,OFFSET(quests!$A$1,0,0,COUNTA(quests!$A:$A),MATCH(Z$2,quests!$1:$1,0)-MATCH($C$2,quests!$1:$1,0)+1),MATCH(Z$2,quests!$1:$1,0)-MATCH($C$2,quests!$1:$1,0)+1,FALSE)</f>
        <v>0</v>
      </c>
      <c r="AA474" s="47">
        <f ca="1">VLOOKUP($C474,OFFSET(quests!$A$1,0,0,COUNTA(quests!$A:$A),MATCH(AA$2,quests!$1:$1,0)-MATCH($C$2,quests!$1:$1,0)+1),MATCH(AA$2,quests!$1:$1,0)-MATCH($C$2,quests!$1:$1,0)+1,FALSE)</f>
        <v>0</v>
      </c>
      <c r="AB474" s="7" t="s">
        <v>56</v>
      </c>
      <c r="AC474" s="7">
        <v>14</v>
      </c>
      <c r="AD474" s="7">
        <v>6</v>
      </c>
      <c r="AE474" s="7" t="s">
        <v>519</v>
      </c>
      <c r="AF474" s="255">
        <v>16</v>
      </c>
      <c r="AG474" s="7">
        <v>0</v>
      </c>
      <c r="AH474" s="7">
        <v>0</v>
      </c>
      <c r="AI474" s="7">
        <v>-1</v>
      </c>
      <c r="AJ474" s="7">
        <v>-1</v>
      </c>
      <c r="AK474" s="7" t="s">
        <v>1064</v>
      </c>
      <c r="AL474" s="12" t="s">
        <v>1695</v>
      </c>
      <c r="AM474" s="12" t="s">
        <v>2072</v>
      </c>
    </row>
    <row r="475" spans="1:39" ht="21" customHeight="1" x14ac:dyDescent="0.15">
      <c r="A475" s="42" t="str">
        <f t="shared" si="19"/>
        <v>20005_2</v>
      </c>
      <c r="B475" s="23">
        <v>3</v>
      </c>
      <c r="C475" s="31">
        <v>20005</v>
      </c>
      <c r="D475" s="47" t="str">
        <f ca="1">VLOOKUP($C475,OFFSET(quests!$A$1,0,0,COUNTA(quests!$A:$A),MATCH(D$1,quests!$1:$1,0)-MATCH($C$2,quests!$1:$1,0)+1),MATCH(D$1,quests!$1:$1,0)-MATCH($C$2,quests!$1:$1,0)+1,FALSE)</f>
        <v>ザ・キャノン</v>
      </c>
      <c r="E475" s="48" t="str">
        <f ca="1">VLOOKUP($C475,OFFSET(quests!$A$1,0,0,COUNTA(quests!$A:$A),MATCH(E$2,quests!$1:$1,0)-MATCH($C$2,quests!$1:$1,0)+1),MATCH(E$2,quests!$1:$1,0)-MATCH($C$2,quests!$1:$1,0)+1,FALSE)</f>
        <v>ドロップイベント2-2</v>
      </c>
      <c r="F475" s="7">
        <v>2</v>
      </c>
      <c r="G475" s="7" t="s">
        <v>570</v>
      </c>
      <c r="H475" s="12" t="s">
        <v>717</v>
      </c>
      <c r="I475" s="12" t="s">
        <v>59</v>
      </c>
      <c r="J475" s="12">
        <v>286</v>
      </c>
      <c r="K475" s="167">
        <v>15</v>
      </c>
      <c r="L475" s="167">
        <v>1200</v>
      </c>
      <c r="M475" s="167">
        <v>1</v>
      </c>
      <c r="N475" s="167">
        <v>1</v>
      </c>
      <c r="O475" s="167">
        <v>1</v>
      </c>
      <c r="P475" s="167">
        <v>1</v>
      </c>
      <c r="Q475" s="167">
        <v>1</v>
      </c>
      <c r="R475" s="167">
        <v>4</v>
      </c>
      <c r="S475" s="167" t="s">
        <v>79</v>
      </c>
      <c r="T475" s="167">
        <v>0</v>
      </c>
      <c r="U475" s="7" t="s">
        <v>169</v>
      </c>
      <c r="V475" s="7" t="s">
        <v>169</v>
      </c>
      <c r="W475" s="47" t="str">
        <f t="shared" ca="1" si="20"/>
        <v/>
      </c>
      <c r="X475" s="47">
        <f ca="1">VLOOKUP($C475,OFFSET(quests!$A$1,0,0,COUNTA(quests!$A:$A),MATCH(X$2,quests!$1:$1,0)-MATCH($C$2,quests!$1:$1,0)+1),MATCH(X$2,quests!$1:$1,0)-MATCH($C$2,quests!$1:$1,0)+1,FALSE)</f>
        <v>0</v>
      </c>
      <c r="Y475" s="47">
        <f ca="1">VLOOKUP($C475,OFFSET(quests!$A$1,0,0,COUNTA(quests!$A:$A),MATCH(Y$2,quests!$1:$1,0)-MATCH($C$2,quests!$1:$1,0)+1),MATCH(Y$2,quests!$1:$1,0)-MATCH($C$2,quests!$1:$1,0)+1,FALSE)</f>
        <v>0</v>
      </c>
      <c r="Z475" s="47">
        <f ca="1">VLOOKUP($C475,OFFSET(quests!$A$1,0,0,COUNTA(quests!$A:$A),MATCH(Z$2,quests!$1:$1,0)-MATCH($C$2,quests!$1:$1,0)+1),MATCH(Z$2,quests!$1:$1,0)-MATCH($C$2,quests!$1:$1,0)+1,FALSE)</f>
        <v>0</v>
      </c>
      <c r="AA475" s="47">
        <f ca="1">VLOOKUP($C475,OFFSET(quests!$A$1,0,0,COUNTA(quests!$A:$A),MATCH(AA$2,quests!$1:$1,0)-MATCH($C$2,quests!$1:$1,0)+1),MATCH(AA$2,quests!$1:$1,0)-MATCH($C$2,quests!$1:$1,0)+1,FALSE)</f>
        <v>0</v>
      </c>
      <c r="AB475" s="7" t="s">
        <v>56</v>
      </c>
      <c r="AC475" s="7">
        <v>14</v>
      </c>
      <c r="AD475" s="7">
        <v>6</v>
      </c>
      <c r="AE475" s="7" t="s">
        <v>519</v>
      </c>
      <c r="AF475" s="255">
        <v>16</v>
      </c>
      <c r="AG475" s="7">
        <v>0</v>
      </c>
      <c r="AH475" s="7">
        <v>0</v>
      </c>
      <c r="AI475" s="7">
        <v>-1</v>
      </c>
      <c r="AJ475" s="7">
        <v>-1</v>
      </c>
      <c r="AK475" s="7" t="s">
        <v>1064</v>
      </c>
      <c r="AL475" s="12" t="s">
        <v>1695</v>
      </c>
      <c r="AM475" s="12" t="s">
        <v>2072</v>
      </c>
    </row>
    <row r="476" spans="1:39" ht="21" customHeight="1" x14ac:dyDescent="0.15">
      <c r="A476" s="42" t="str">
        <f t="shared" si="19"/>
        <v>20005_3</v>
      </c>
      <c r="B476" s="23">
        <v>3</v>
      </c>
      <c r="C476" s="31">
        <v>20005</v>
      </c>
      <c r="D476" s="47" t="str">
        <f ca="1">VLOOKUP($C476,OFFSET(quests!$A$1,0,0,COUNTA(quests!$A:$A),MATCH(D$1,quests!$1:$1,0)-MATCH($C$2,quests!$1:$1,0)+1),MATCH(D$1,quests!$1:$1,0)-MATCH($C$2,quests!$1:$1,0)+1,FALSE)</f>
        <v>ザ・キャノン</v>
      </c>
      <c r="E476" s="48" t="str">
        <f ca="1">VLOOKUP($C476,OFFSET(quests!$A$1,0,0,COUNTA(quests!$A:$A),MATCH(E$2,quests!$1:$1,0)-MATCH($C$2,quests!$1:$1,0)+1),MATCH(E$2,quests!$1:$1,0)-MATCH($C$2,quests!$1:$1,0)+1,FALSE)</f>
        <v>ドロップイベント2-2</v>
      </c>
      <c r="F476" s="7">
        <v>3</v>
      </c>
      <c r="G476" s="7" t="s">
        <v>570</v>
      </c>
      <c r="H476" s="12" t="s">
        <v>718</v>
      </c>
      <c r="I476" s="12" t="s">
        <v>60</v>
      </c>
      <c r="J476" s="12">
        <v>287</v>
      </c>
      <c r="K476" s="167">
        <v>20</v>
      </c>
      <c r="L476" s="167">
        <v>2000</v>
      </c>
      <c r="M476" s="167">
        <v>1</v>
      </c>
      <c r="N476" s="167">
        <v>1</v>
      </c>
      <c r="O476" s="167">
        <v>1</v>
      </c>
      <c r="P476" s="167">
        <v>1</v>
      </c>
      <c r="Q476" s="167">
        <v>1</v>
      </c>
      <c r="R476" s="167">
        <v>4</v>
      </c>
      <c r="S476" s="167" t="s">
        <v>407</v>
      </c>
      <c r="T476" s="167">
        <v>1</v>
      </c>
      <c r="U476" s="7" t="s">
        <v>169</v>
      </c>
      <c r="V476" s="7" t="s">
        <v>169</v>
      </c>
      <c r="W476" s="47" t="str">
        <f t="shared" ca="1" si="20"/>
        <v/>
      </c>
      <c r="X476" s="47">
        <f ca="1">VLOOKUP($C476,OFFSET(quests!$A$1,0,0,COUNTA(quests!$A:$A),MATCH(X$2,quests!$1:$1,0)-MATCH($C$2,quests!$1:$1,0)+1),MATCH(X$2,quests!$1:$1,0)-MATCH($C$2,quests!$1:$1,0)+1,FALSE)</f>
        <v>0</v>
      </c>
      <c r="Y476" s="47">
        <f ca="1">VLOOKUP($C476,OFFSET(quests!$A$1,0,0,COUNTA(quests!$A:$A),MATCH(Y$2,quests!$1:$1,0)-MATCH($C$2,quests!$1:$1,0)+1),MATCH(Y$2,quests!$1:$1,0)-MATCH($C$2,quests!$1:$1,0)+1,FALSE)</f>
        <v>0</v>
      </c>
      <c r="Z476" s="47">
        <f ca="1">VLOOKUP($C476,OFFSET(quests!$A$1,0,0,COUNTA(quests!$A:$A),MATCH(Z$2,quests!$1:$1,0)-MATCH($C$2,quests!$1:$1,0)+1),MATCH(Z$2,quests!$1:$1,0)-MATCH($C$2,quests!$1:$1,0)+1,FALSE)</f>
        <v>0</v>
      </c>
      <c r="AA476" s="47">
        <f ca="1">VLOOKUP($C476,OFFSET(quests!$A$1,0,0,COUNTA(quests!$A:$A),MATCH(AA$2,quests!$1:$1,0)-MATCH($C$2,quests!$1:$1,0)+1),MATCH(AA$2,quests!$1:$1,0)-MATCH($C$2,quests!$1:$1,0)+1,FALSE)</f>
        <v>0</v>
      </c>
      <c r="AB476" s="7" t="s">
        <v>56</v>
      </c>
      <c r="AC476" s="7">
        <v>14</v>
      </c>
      <c r="AD476" s="7">
        <v>6</v>
      </c>
      <c r="AE476" s="7" t="s">
        <v>519</v>
      </c>
      <c r="AF476" s="255">
        <v>16</v>
      </c>
      <c r="AG476" s="7">
        <v>0</v>
      </c>
      <c r="AH476" s="7">
        <v>0</v>
      </c>
      <c r="AI476" s="7">
        <v>-1</v>
      </c>
      <c r="AJ476" s="7">
        <v>-1</v>
      </c>
      <c r="AK476" s="7" t="s">
        <v>1064</v>
      </c>
      <c r="AL476" s="12" t="s">
        <v>1695</v>
      </c>
      <c r="AM476" s="12" t="s">
        <v>2072</v>
      </c>
    </row>
    <row r="477" spans="1:39" ht="21" customHeight="1" x14ac:dyDescent="0.15">
      <c r="A477" s="42" t="str">
        <f t="shared" si="19"/>
        <v>20006_1</v>
      </c>
      <c r="B477" s="23">
        <v>3</v>
      </c>
      <c r="C477" s="31">
        <v>20006</v>
      </c>
      <c r="D477" s="47" t="str">
        <f ca="1">VLOOKUP($C477,OFFSET(quests!$A$1,0,0,COUNTA(quests!$A:$A),MATCH(D$1,quests!$1:$1,0)-MATCH($C$2,quests!$1:$1,0)+1),MATCH(D$1,quests!$1:$1,0)-MATCH($C$2,quests!$1:$1,0)+1,FALSE)</f>
        <v>スチール・プレデター</v>
      </c>
      <c r="E477" s="48" t="str">
        <f ca="1">VLOOKUP($C477,OFFSET(quests!$A$1,0,0,COUNTA(quests!$A:$A),MATCH(E$2,quests!$1:$1,0)-MATCH($C$2,quests!$1:$1,0)+1),MATCH(E$2,quests!$1:$1,0)-MATCH($C$2,quests!$1:$1,0)+1,FALSE)</f>
        <v>ドロップイベント2-3</v>
      </c>
      <c r="F477" s="7">
        <v>1</v>
      </c>
      <c r="G477" s="7" t="s">
        <v>570</v>
      </c>
      <c r="H477" s="12" t="s">
        <v>719</v>
      </c>
      <c r="I477" s="12" t="s">
        <v>58</v>
      </c>
      <c r="J477" s="12">
        <v>280</v>
      </c>
      <c r="K477" s="167">
        <v>8</v>
      </c>
      <c r="L477" s="167">
        <v>384</v>
      </c>
      <c r="M477" s="167">
        <v>1</v>
      </c>
      <c r="N477" s="167">
        <v>1</v>
      </c>
      <c r="O477" s="167">
        <v>1</v>
      </c>
      <c r="P477" s="167">
        <v>1</v>
      </c>
      <c r="Q477" s="167">
        <v>1</v>
      </c>
      <c r="R477" s="167">
        <v>2</v>
      </c>
      <c r="S477" s="167" t="s">
        <v>79</v>
      </c>
      <c r="T477" s="167">
        <v>0</v>
      </c>
      <c r="U477" s="7" t="s">
        <v>169</v>
      </c>
      <c r="V477" s="7" t="s">
        <v>169</v>
      </c>
      <c r="W477" s="47" t="str">
        <f t="shared" ca="1" si="20"/>
        <v/>
      </c>
      <c r="X477" s="47">
        <f ca="1">VLOOKUP($C477,OFFSET(quests!$A$1,0,0,COUNTA(quests!$A:$A),MATCH(X$2,quests!$1:$1,0)-MATCH($C$2,quests!$1:$1,0)+1),MATCH(X$2,quests!$1:$1,0)-MATCH($C$2,quests!$1:$1,0)+1,FALSE)</f>
        <v>0</v>
      </c>
      <c r="Y477" s="47">
        <f ca="1">VLOOKUP($C477,OFFSET(quests!$A$1,0,0,COUNTA(quests!$A:$A),MATCH(Y$2,quests!$1:$1,0)-MATCH($C$2,quests!$1:$1,0)+1),MATCH(Y$2,quests!$1:$1,0)-MATCH($C$2,quests!$1:$1,0)+1,FALSE)</f>
        <v>0</v>
      </c>
      <c r="Z477" s="47">
        <f ca="1">VLOOKUP($C477,OFFSET(quests!$A$1,0,0,COUNTA(quests!$A:$A),MATCH(Z$2,quests!$1:$1,0)-MATCH($C$2,quests!$1:$1,0)+1),MATCH(Z$2,quests!$1:$1,0)-MATCH($C$2,quests!$1:$1,0)+1,FALSE)</f>
        <v>0</v>
      </c>
      <c r="AA477" s="47">
        <f ca="1">VLOOKUP($C477,OFFSET(quests!$A$1,0,0,COUNTA(quests!$A:$A),MATCH(AA$2,quests!$1:$1,0)-MATCH($C$2,quests!$1:$1,0)+1),MATCH(AA$2,quests!$1:$1,0)-MATCH($C$2,quests!$1:$1,0)+1,FALSE)</f>
        <v>0</v>
      </c>
      <c r="AB477" s="7" t="s">
        <v>56</v>
      </c>
      <c r="AC477" s="7">
        <v>19</v>
      </c>
      <c r="AD477" s="7">
        <v>6</v>
      </c>
      <c r="AE477" s="7" t="s">
        <v>519</v>
      </c>
      <c r="AF477" s="33">
        <v>11</v>
      </c>
      <c r="AG477" s="7">
        <v>0</v>
      </c>
      <c r="AH477" s="7">
        <v>0</v>
      </c>
      <c r="AI477" s="7">
        <v>-1</v>
      </c>
      <c r="AJ477" s="7">
        <v>-1</v>
      </c>
      <c r="AK477" s="7" t="s">
        <v>1064</v>
      </c>
      <c r="AL477" s="12" t="s">
        <v>1695</v>
      </c>
      <c r="AM477" s="12" t="s">
        <v>2072</v>
      </c>
    </row>
    <row r="478" spans="1:39" ht="21" customHeight="1" x14ac:dyDescent="0.15">
      <c r="A478" s="42" t="str">
        <f t="shared" si="19"/>
        <v>20006_2</v>
      </c>
      <c r="B478" s="23">
        <v>3</v>
      </c>
      <c r="C478" s="31">
        <v>20006</v>
      </c>
      <c r="D478" s="47" t="str">
        <f ca="1">VLOOKUP($C478,OFFSET(quests!$A$1,0,0,COUNTA(quests!$A:$A),MATCH(D$1,quests!$1:$1,0)-MATCH($C$2,quests!$1:$1,0)+1),MATCH(D$1,quests!$1:$1,0)-MATCH($C$2,quests!$1:$1,0)+1,FALSE)</f>
        <v>スチール・プレデター</v>
      </c>
      <c r="E478" s="48" t="str">
        <f ca="1">VLOOKUP($C478,OFFSET(quests!$A$1,0,0,COUNTA(quests!$A:$A),MATCH(E$2,quests!$1:$1,0)-MATCH($C$2,quests!$1:$1,0)+1),MATCH(E$2,quests!$1:$1,0)-MATCH($C$2,quests!$1:$1,0)+1,FALSE)</f>
        <v>ドロップイベント2-3</v>
      </c>
      <c r="F478" s="7">
        <v>2</v>
      </c>
      <c r="G478" s="7" t="s">
        <v>570</v>
      </c>
      <c r="H478" s="12" t="s">
        <v>720</v>
      </c>
      <c r="I478" s="12" t="s">
        <v>59</v>
      </c>
      <c r="J478" s="12">
        <v>280</v>
      </c>
      <c r="K478" s="167">
        <v>15</v>
      </c>
      <c r="L478" s="167">
        <v>1200</v>
      </c>
      <c r="M478" s="167">
        <v>1</v>
      </c>
      <c r="N478" s="167">
        <v>1</v>
      </c>
      <c r="O478" s="167">
        <v>1</v>
      </c>
      <c r="P478" s="167">
        <v>1</v>
      </c>
      <c r="Q478" s="167">
        <v>1</v>
      </c>
      <c r="R478" s="167">
        <v>2</v>
      </c>
      <c r="S478" s="167" t="s">
        <v>79</v>
      </c>
      <c r="T478" s="167">
        <v>0</v>
      </c>
      <c r="U478" s="7" t="s">
        <v>169</v>
      </c>
      <c r="V478" s="7" t="s">
        <v>169</v>
      </c>
      <c r="W478" s="47" t="str">
        <f t="shared" ca="1" si="20"/>
        <v/>
      </c>
      <c r="X478" s="47">
        <f ca="1">VLOOKUP($C478,OFFSET(quests!$A$1,0,0,COUNTA(quests!$A:$A),MATCH(X$2,quests!$1:$1,0)-MATCH($C$2,quests!$1:$1,0)+1),MATCH(X$2,quests!$1:$1,0)-MATCH($C$2,quests!$1:$1,0)+1,FALSE)</f>
        <v>0</v>
      </c>
      <c r="Y478" s="47">
        <f ca="1">VLOOKUP($C478,OFFSET(quests!$A$1,0,0,COUNTA(quests!$A:$A),MATCH(Y$2,quests!$1:$1,0)-MATCH($C$2,quests!$1:$1,0)+1),MATCH(Y$2,quests!$1:$1,0)-MATCH($C$2,quests!$1:$1,0)+1,FALSE)</f>
        <v>0</v>
      </c>
      <c r="Z478" s="47">
        <f ca="1">VLOOKUP($C478,OFFSET(quests!$A$1,0,0,COUNTA(quests!$A:$A),MATCH(Z$2,quests!$1:$1,0)-MATCH($C$2,quests!$1:$1,0)+1),MATCH(Z$2,quests!$1:$1,0)-MATCH($C$2,quests!$1:$1,0)+1,FALSE)</f>
        <v>0</v>
      </c>
      <c r="AA478" s="47">
        <f ca="1">VLOOKUP($C478,OFFSET(quests!$A$1,0,0,COUNTA(quests!$A:$A),MATCH(AA$2,quests!$1:$1,0)-MATCH($C$2,quests!$1:$1,0)+1),MATCH(AA$2,quests!$1:$1,0)-MATCH($C$2,quests!$1:$1,0)+1,FALSE)</f>
        <v>0</v>
      </c>
      <c r="AB478" s="7" t="s">
        <v>56</v>
      </c>
      <c r="AC478" s="7">
        <v>19</v>
      </c>
      <c r="AD478" s="7">
        <v>6</v>
      </c>
      <c r="AE478" s="7" t="s">
        <v>519</v>
      </c>
      <c r="AF478" s="33">
        <v>11</v>
      </c>
      <c r="AG478" s="7">
        <v>0</v>
      </c>
      <c r="AH478" s="7">
        <v>0</v>
      </c>
      <c r="AI478" s="7">
        <v>-1</v>
      </c>
      <c r="AJ478" s="7">
        <v>-1</v>
      </c>
      <c r="AK478" s="7" t="s">
        <v>1064</v>
      </c>
      <c r="AL478" s="12" t="s">
        <v>1695</v>
      </c>
      <c r="AM478" s="12" t="s">
        <v>2072</v>
      </c>
    </row>
    <row r="479" spans="1:39" ht="21" customHeight="1" x14ac:dyDescent="0.15">
      <c r="A479" s="42" t="str">
        <f t="shared" si="19"/>
        <v>20006_3</v>
      </c>
      <c r="B479" s="23">
        <v>3</v>
      </c>
      <c r="C479" s="31">
        <v>20006</v>
      </c>
      <c r="D479" s="47" t="str">
        <f ca="1">VLOOKUP($C479,OFFSET(quests!$A$1,0,0,COUNTA(quests!$A:$A),MATCH(D$1,quests!$1:$1,0)-MATCH($C$2,quests!$1:$1,0)+1),MATCH(D$1,quests!$1:$1,0)-MATCH($C$2,quests!$1:$1,0)+1,FALSE)</f>
        <v>スチール・プレデター</v>
      </c>
      <c r="E479" s="48" t="str">
        <f ca="1">VLOOKUP($C479,OFFSET(quests!$A$1,0,0,COUNTA(quests!$A:$A),MATCH(E$2,quests!$1:$1,0)-MATCH($C$2,quests!$1:$1,0)+1),MATCH(E$2,quests!$1:$1,0)-MATCH($C$2,quests!$1:$1,0)+1,FALSE)</f>
        <v>ドロップイベント2-3</v>
      </c>
      <c r="F479" s="7">
        <v>3</v>
      </c>
      <c r="G479" s="7" t="s">
        <v>570</v>
      </c>
      <c r="H479" s="12" t="s">
        <v>721</v>
      </c>
      <c r="I479" s="12" t="s">
        <v>60</v>
      </c>
      <c r="J479" s="12">
        <v>281</v>
      </c>
      <c r="K479" s="167">
        <v>20</v>
      </c>
      <c r="L479" s="167">
        <v>2000</v>
      </c>
      <c r="M479" s="167">
        <v>1</v>
      </c>
      <c r="N479" s="167">
        <v>1</v>
      </c>
      <c r="O479" s="167">
        <v>1</v>
      </c>
      <c r="P479" s="167">
        <v>1</v>
      </c>
      <c r="Q479" s="167">
        <v>1</v>
      </c>
      <c r="R479" s="167">
        <v>2</v>
      </c>
      <c r="S479" s="167" t="s">
        <v>407</v>
      </c>
      <c r="T479" s="167">
        <v>1</v>
      </c>
      <c r="U479" s="7" t="s">
        <v>169</v>
      </c>
      <c r="V479" s="7" t="s">
        <v>169</v>
      </c>
      <c r="W479" s="47" t="str">
        <f t="shared" ca="1" si="20"/>
        <v/>
      </c>
      <c r="X479" s="47">
        <f ca="1">VLOOKUP($C479,OFFSET(quests!$A$1,0,0,COUNTA(quests!$A:$A),MATCH(X$2,quests!$1:$1,0)-MATCH($C$2,quests!$1:$1,0)+1),MATCH(X$2,quests!$1:$1,0)-MATCH($C$2,quests!$1:$1,0)+1,FALSE)</f>
        <v>0</v>
      </c>
      <c r="Y479" s="47">
        <f ca="1">VLOOKUP($C479,OFFSET(quests!$A$1,0,0,COUNTA(quests!$A:$A),MATCH(Y$2,quests!$1:$1,0)-MATCH($C$2,quests!$1:$1,0)+1),MATCH(Y$2,quests!$1:$1,0)-MATCH($C$2,quests!$1:$1,0)+1,FALSE)</f>
        <v>0</v>
      </c>
      <c r="Z479" s="47">
        <f ca="1">VLOOKUP($C479,OFFSET(quests!$A$1,0,0,COUNTA(quests!$A:$A),MATCH(Z$2,quests!$1:$1,0)-MATCH($C$2,quests!$1:$1,0)+1),MATCH(Z$2,quests!$1:$1,0)-MATCH($C$2,quests!$1:$1,0)+1,FALSE)</f>
        <v>0</v>
      </c>
      <c r="AA479" s="47">
        <f ca="1">VLOOKUP($C479,OFFSET(quests!$A$1,0,0,COUNTA(quests!$A:$A),MATCH(AA$2,quests!$1:$1,0)-MATCH($C$2,quests!$1:$1,0)+1),MATCH(AA$2,quests!$1:$1,0)-MATCH($C$2,quests!$1:$1,0)+1,FALSE)</f>
        <v>0</v>
      </c>
      <c r="AB479" s="7" t="s">
        <v>56</v>
      </c>
      <c r="AC479" s="7">
        <v>19</v>
      </c>
      <c r="AD479" s="7">
        <v>6</v>
      </c>
      <c r="AE479" s="7" t="s">
        <v>519</v>
      </c>
      <c r="AF479" s="33">
        <v>11</v>
      </c>
      <c r="AG479" s="7">
        <v>0</v>
      </c>
      <c r="AH479" s="7">
        <v>0</v>
      </c>
      <c r="AI479" s="7">
        <v>-1</v>
      </c>
      <c r="AJ479" s="7">
        <v>-1</v>
      </c>
      <c r="AK479" s="7" t="s">
        <v>1064</v>
      </c>
      <c r="AL479" s="12" t="s">
        <v>1695</v>
      </c>
      <c r="AM479" s="12" t="s">
        <v>2072</v>
      </c>
    </row>
    <row r="480" spans="1:39" ht="21" customHeight="1" x14ac:dyDescent="0.15">
      <c r="A480" s="42" t="str">
        <f t="shared" si="19"/>
        <v>20007_1</v>
      </c>
      <c r="B480" s="23">
        <v>3</v>
      </c>
      <c r="C480" s="31">
        <v>20007</v>
      </c>
      <c r="D480" s="47" t="str">
        <f ca="1">VLOOKUP($C480,OFFSET(quests!$A$1,0,0,COUNTA(quests!$A:$A),MATCH(D$1,quests!$1:$1,0)-MATCH($C$2,quests!$1:$1,0)+1),MATCH(D$1,quests!$1:$1,0)-MATCH($C$2,quests!$1:$1,0)+1,FALSE)</f>
        <v>女王陛下の処刑龍</v>
      </c>
      <c r="E480" s="48" t="str">
        <f ca="1">VLOOKUP($C480,OFFSET(quests!$A$1,0,0,COUNTA(quests!$A:$A),MATCH(E$2,quests!$1:$1,0)-MATCH($C$2,quests!$1:$1,0)+1),MATCH(E$2,quests!$1:$1,0)-MATCH($C$2,quests!$1:$1,0)+1,FALSE)</f>
        <v>ドロップイベント2-1</v>
      </c>
      <c r="F480" s="7">
        <v>1</v>
      </c>
      <c r="G480" s="7" t="s">
        <v>570</v>
      </c>
      <c r="H480" s="12" t="s">
        <v>1168</v>
      </c>
      <c r="I480" s="12" t="s">
        <v>58</v>
      </c>
      <c r="J480" s="12">
        <v>282</v>
      </c>
      <c r="K480" s="167">
        <v>8</v>
      </c>
      <c r="L480" s="167">
        <v>384</v>
      </c>
      <c r="M480" s="167">
        <v>1</v>
      </c>
      <c r="N480" s="167">
        <v>1</v>
      </c>
      <c r="O480" s="167">
        <v>1</v>
      </c>
      <c r="P480" s="167">
        <v>1</v>
      </c>
      <c r="Q480" s="167">
        <v>1</v>
      </c>
      <c r="R480" s="167">
        <v>4</v>
      </c>
      <c r="S480" s="167" t="s">
        <v>79</v>
      </c>
      <c r="T480" s="167">
        <v>0</v>
      </c>
      <c r="U480" s="7" t="s">
        <v>169</v>
      </c>
      <c r="V480" s="7" t="s">
        <v>169</v>
      </c>
      <c r="W480" s="47" t="str">
        <f t="shared" ca="1" si="20"/>
        <v/>
      </c>
      <c r="X480" s="47">
        <f ca="1">VLOOKUP($C480,OFFSET(quests!$A$1,0,0,COUNTA(quests!$A:$A),MATCH(X$2,quests!$1:$1,0)-MATCH($C$2,quests!$1:$1,0)+1),MATCH(X$2,quests!$1:$1,0)-MATCH($C$2,quests!$1:$1,0)+1,FALSE)</f>
        <v>0</v>
      </c>
      <c r="Y480" s="47">
        <f ca="1">VLOOKUP($C480,OFFSET(quests!$A$1,0,0,COUNTA(quests!$A:$A),MATCH(Y$2,quests!$1:$1,0)-MATCH($C$2,quests!$1:$1,0)+1),MATCH(Y$2,quests!$1:$1,0)-MATCH($C$2,quests!$1:$1,0)+1,FALSE)</f>
        <v>0</v>
      </c>
      <c r="Z480" s="47">
        <f ca="1">VLOOKUP($C480,OFFSET(quests!$A$1,0,0,COUNTA(quests!$A:$A),MATCH(Z$2,quests!$1:$1,0)-MATCH($C$2,quests!$1:$1,0)+1),MATCH(Z$2,quests!$1:$1,0)-MATCH($C$2,quests!$1:$1,0)+1,FALSE)</f>
        <v>0</v>
      </c>
      <c r="AA480" s="47">
        <f ca="1">VLOOKUP($C480,OFFSET(quests!$A$1,0,0,COUNTA(quests!$A:$A),MATCH(AA$2,quests!$1:$1,0)-MATCH($C$2,quests!$1:$1,0)+1),MATCH(AA$2,quests!$1:$1,0)-MATCH($C$2,quests!$1:$1,0)+1,FALSE)</f>
        <v>0</v>
      </c>
      <c r="AB480" s="7" t="s">
        <v>56</v>
      </c>
      <c r="AC480" s="7">
        <v>17</v>
      </c>
      <c r="AD480" s="7">
        <v>6</v>
      </c>
      <c r="AE480" s="7" t="s">
        <v>519</v>
      </c>
      <c r="AF480" s="33">
        <v>11</v>
      </c>
      <c r="AG480" s="7">
        <v>0</v>
      </c>
      <c r="AH480" s="7">
        <v>0</v>
      </c>
      <c r="AI480" s="7">
        <v>-1</v>
      </c>
      <c r="AJ480" s="7">
        <v>-1</v>
      </c>
      <c r="AK480" s="7" t="s">
        <v>1064</v>
      </c>
      <c r="AL480" s="12" t="s">
        <v>1695</v>
      </c>
      <c r="AM480" s="12" t="s">
        <v>2072</v>
      </c>
    </row>
    <row r="481" spans="1:39" ht="21" customHeight="1" x14ac:dyDescent="0.15">
      <c r="A481" s="42" t="str">
        <f t="shared" si="19"/>
        <v>20007_2</v>
      </c>
      <c r="B481" s="23">
        <v>3</v>
      </c>
      <c r="C481" s="31">
        <v>20007</v>
      </c>
      <c r="D481" s="47" t="str">
        <f ca="1">VLOOKUP($C481,OFFSET(quests!$A$1,0,0,COUNTA(quests!$A:$A),MATCH(D$1,quests!$1:$1,0)-MATCH($C$2,quests!$1:$1,0)+1),MATCH(D$1,quests!$1:$1,0)-MATCH($C$2,quests!$1:$1,0)+1,FALSE)</f>
        <v>女王陛下の処刑龍</v>
      </c>
      <c r="E481" s="48" t="str">
        <f ca="1">VLOOKUP($C481,OFFSET(quests!$A$1,0,0,COUNTA(quests!$A:$A),MATCH(E$2,quests!$1:$1,0)-MATCH($C$2,quests!$1:$1,0)+1),MATCH(E$2,quests!$1:$1,0)-MATCH($C$2,quests!$1:$1,0)+1,FALSE)</f>
        <v>ドロップイベント2-1</v>
      </c>
      <c r="F481" s="7">
        <v>2</v>
      </c>
      <c r="G481" s="7" t="s">
        <v>570</v>
      </c>
      <c r="H481" s="12" t="s">
        <v>1169</v>
      </c>
      <c r="I481" s="12" t="s">
        <v>59</v>
      </c>
      <c r="J481" s="12">
        <v>282</v>
      </c>
      <c r="K481" s="167">
        <v>15</v>
      </c>
      <c r="L481" s="167">
        <v>1200</v>
      </c>
      <c r="M481" s="167">
        <v>1</v>
      </c>
      <c r="N481" s="167">
        <v>1</v>
      </c>
      <c r="O481" s="167">
        <v>1</v>
      </c>
      <c r="P481" s="167">
        <v>1</v>
      </c>
      <c r="Q481" s="167">
        <v>1</v>
      </c>
      <c r="R481" s="167">
        <v>4</v>
      </c>
      <c r="S481" s="167" t="s">
        <v>79</v>
      </c>
      <c r="T481" s="167">
        <v>0</v>
      </c>
      <c r="U481" s="7" t="s">
        <v>169</v>
      </c>
      <c r="V481" s="7" t="s">
        <v>169</v>
      </c>
      <c r="W481" s="47" t="str">
        <f t="shared" ca="1" si="20"/>
        <v/>
      </c>
      <c r="X481" s="47">
        <f ca="1">VLOOKUP($C481,OFFSET(quests!$A$1,0,0,COUNTA(quests!$A:$A),MATCH(X$2,quests!$1:$1,0)-MATCH($C$2,quests!$1:$1,0)+1),MATCH(X$2,quests!$1:$1,0)-MATCH($C$2,quests!$1:$1,0)+1,FALSE)</f>
        <v>0</v>
      </c>
      <c r="Y481" s="47">
        <f ca="1">VLOOKUP($C481,OFFSET(quests!$A$1,0,0,COUNTA(quests!$A:$A),MATCH(Y$2,quests!$1:$1,0)-MATCH($C$2,quests!$1:$1,0)+1),MATCH(Y$2,quests!$1:$1,0)-MATCH($C$2,quests!$1:$1,0)+1,FALSE)</f>
        <v>0</v>
      </c>
      <c r="Z481" s="47">
        <f ca="1">VLOOKUP($C481,OFFSET(quests!$A$1,0,0,COUNTA(quests!$A:$A),MATCH(Z$2,quests!$1:$1,0)-MATCH($C$2,quests!$1:$1,0)+1),MATCH(Z$2,quests!$1:$1,0)-MATCH($C$2,quests!$1:$1,0)+1,FALSE)</f>
        <v>0</v>
      </c>
      <c r="AA481" s="47">
        <f ca="1">VLOOKUP($C481,OFFSET(quests!$A$1,0,0,COUNTA(quests!$A:$A),MATCH(AA$2,quests!$1:$1,0)-MATCH($C$2,quests!$1:$1,0)+1),MATCH(AA$2,quests!$1:$1,0)-MATCH($C$2,quests!$1:$1,0)+1,FALSE)</f>
        <v>0</v>
      </c>
      <c r="AB481" s="7" t="s">
        <v>56</v>
      </c>
      <c r="AC481" s="7">
        <v>17</v>
      </c>
      <c r="AD481" s="7">
        <v>6</v>
      </c>
      <c r="AE481" s="7" t="s">
        <v>519</v>
      </c>
      <c r="AF481" s="33">
        <v>11</v>
      </c>
      <c r="AG481" s="7">
        <v>0</v>
      </c>
      <c r="AH481" s="7">
        <v>0</v>
      </c>
      <c r="AI481" s="7">
        <v>-1</v>
      </c>
      <c r="AJ481" s="7">
        <v>-1</v>
      </c>
      <c r="AK481" s="7" t="s">
        <v>1064</v>
      </c>
      <c r="AL481" s="12" t="s">
        <v>1695</v>
      </c>
      <c r="AM481" s="12" t="s">
        <v>2072</v>
      </c>
    </row>
    <row r="482" spans="1:39" ht="21" customHeight="1" x14ac:dyDescent="0.15">
      <c r="A482" s="42" t="str">
        <f t="shared" si="19"/>
        <v>20007_3</v>
      </c>
      <c r="B482" s="23">
        <v>3</v>
      </c>
      <c r="C482" s="31">
        <v>20007</v>
      </c>
      <c r="D482" s="47" t="str">
        <f ca="1">VLOOKUP($C482,OFFSET(quests!$A$1,0,0,COUNTA(quests!$A:$A),MATCH(D$1,quests!$1:$1,0)-MATCH($C$2,quests!$1:$1,0)+1),MATCH(D$1,quests!$1:$1,0)-MATCH($C$2,quests!$1:$1,0)+1,FALSE)</f>
        <v>女王陛下の処刑龍</v>
      </c>
      <c r="E482" s="48" t="str">
        <f ca="1">VLOOKUP($C482,OFFSET(quests!$A$1,0,0,COUNTA(quests!$A:$A),MATCH(E$2,quests!$1:$1,0)-MATCH($C$2,quests!$1:$1,0)+1),MATCH(E$2,quests!$1:$1,0)-MATCH($C$2,quests!$1:$1,0)+1,FALSE)</f>
        <v>ドロップイベント2-1</v>
      </c>
      <c r="F482" s="7">
        <v>3</v>
      </c>
      <c r="G482" s="7" t="s">
        <v>570</v>
      </c>
      <c r="H482" s="12" t="s">
        <v>1170</v>
      </c>
      <c r="I482" s="12" t="s">
        <v>60</v>
      </c>
      <c r="J482" s="12">
        <v>283</v>
      </c>
      <c r="K482" s="167">
        <v>20</v>
      </c>
      <c r="L482" s="167">
        <v>2000</v>
      </c>
      <c r="M482" s="167">
        <v>1</v>
      </c>
      <c r="N482" s="167">
        <v>1</v>
      </c>
      <c r="O482" s="167">
        <v>1</v>
      </c>
      <c r="P482" s="167">
        <v>1</v>
      </c>
      <c r="Q482" s="167">
        <v>1</v>
      </c>
      <c r="R482" s="167">
        <v>4</v>
      </c>
      <c r="S482" s="167" t="s">
        <v>407</v>
      </c>
      <c r="T482" s="167">
        <v>1</v>
      </c>
      <c r="U482" s="7" t="s">
        <v>169</v>
      </c>
      <c r="V482" s="7" t="s">
        <v>169</v>
      </c>
      <c r="W482" s="47" t="str">
        <f t="shared" ca="1" si="20"/>
        <v/>
      </c>
      <c r="X482" s="47">
        <f ca="1">VLOOKUP($C482,OFFSET(quests!$A$1,0,0,COUNTA(quests!$A:$A),MATCH(X$2,quests!$1:$1,0)-MATCH($C$2,quests!$1:$1,0)+1),MATCH(X$2,quests!$1:$1,0)-MATCH($C$2,quests!$1:$1,0)+1,FALSE)</f>
        <v>0</v>
      </c>
      <c r="Y482" s="47">
        <f ca="1">VLOOKUP($C482,OFFSET(quests!$A$1,0,0,COUNTA(quests!$A:$A),MATCH(Y$2,quests!$1:$1,0)-MATCH($C$2,quests!$1:$1,0)+1),MATCH(Y$2,quests!$1:$1,0)-MATCH($C$2,quests!$1:$1,0)+1,FALSE)</f>
        <v>0</v>
      </c>
      <c r="Z482" s="47">
        <f ca="1">VLOOKUP($C482,OFFSET(quests!$A$1,0,0,COUNTA(quests!$A:$A),MATCH(Z$2,quests!$1:$1,0)-MATCH($C$2,quests!$1:$1,0)+1),MATCH(Z$2,quests!$1:$1,0)-MATCH($C$2,quests!$1:$1,0)+1,FALSE)</f>
        <v>0</v>
      </c>
      <c r="AA482" s="47">
        <f ca="1">VLOOKUP($C482,OFFSET(quests!$A$1,0,0,COUNTA(quests!$A:$A),MATCH(AA$2,quests!$1:$1,0)-MATCH($C$2,quests!$1:$1,0)+1),MATCH(AA$2,quests!$1:$1,0)-MATCH($C$2,quests!$1:$1,0)+1,FALSE)</f>
        <v>0</v>
      </c>
      <c r="AB482" s="7" t="s">
        <v>56</v>
      </c>
      <c r="AC482" s="7">
        <v>17</v>
      </c>
      <c r="AD482" s="7">
        <v>6</v>
      </c>
      <c r="AE482" s="7" t="s">
        <v>519</v>
      </c>
      <c r="AF482" s="33">
        <v>11</v>
      </c>
      <c r="AG482" s="7">
        <v>0</v>
      </c>
      <c r="AH482" s="7">
        <v>0</v>
      </c>
      <c r="AI482" s="7">
        <v>-1</v>
      </c>
      <c r="AJ482" s="7">
        <v>-1</v>
      </c>
      <c r="AK482" s="7" t="s">
        <v>1064</v>
      </c>
      <c r="AL482" s="12" t="s">
        <v>1695</v>
      </c>
      <c r="AM482" s="12" t="s">
        <v>2072</v>
      </c>
    </row>
    <row r="483" spans="1:39" ht="21" customHeight="1" x14ac:dyDescent="0.15">
      <c r="A483" s="42" t="str">
        <f t="shared" si="19"/>
        <v>20008_1</v>
      </c>
      <c r="B483" s="23">
        <v>3</v>
      </c>
      <c r="C483" s="31">
        <v>20008</v>
      </c>
      <c r="D483" s="47" t="str">
        <f ca="1">VLOOKUP($C483,OFFSET(quests!$A$1,0,0,COUNTA(quests!$A:$A),MATCH(D$1,quests!$1:$1,0)-MATCH($C$2,quests!$1:$1,0)+1),MATCH(D$1,quests!$1:$1,0)-MATCH($C$2,quests!$1:$1,0)+1,FALSE)</f>
        <v>天翔ける金轟機龍</v>
      </c>
      <c r="E483" s="48" t="str">
        <f ca="1">VLOOKUP($C483,OFFSET(quests!$A$1,0,0,COUNTA(quests!$A:$A),MATCH(E$2,quests!$1:$1,0)-MATCH($C$2,quests!$1:$1,0)+1),MATCH(E$2,quests!$1:$1,0)-MATCH($C$2,quests!$1:$1,0)+1,FALSE)</f>
        <v>ドロップイベント2-4</v>
      </c>
      <c r="F483" s="7">
        <v>1</v>
      </c>
      <c r="G483" s="7" t="s">
        <v>570</v>
      </c>
      <c r="H483" s="12" t="s">
        <v>722</v>
      </c>
      <c r="I483" s="12" t="s">
        <v>58</v>
      </c>
      <c r="J483" s="12">
        <v>284</v>
      </c>
      <c r="K483" s="167">
        <v>8</v>
      </c>
      <c r="L483" s="167">
        <v>384</v>
      </c>
      <c r="M483" s="167">
        <v>1</v>
      </c>
      <c r="N483" s="167">
        <v>1</v>
      </c>
      <c r="O483" s="167">
        <v>1</v>
      </c>
      <c r="P483" s="167">
        <v>1</v>
      </c>
      <c r="Q483" s="167">
        <v>1</v>
      </c>
      <c r="R483" s="167">
        <v>3</v>
      </c>
      <c r="S483" s="167" t="s">
        <v>79</v>
      </c>
      <c r="T483" s="167">
        <v>0</v>
      </c>
      <c r="U483" s="7" t="s">
        <v>169</v>
      </c>
      <c r="V483" s="7" t="s">
        <v>169</v>
      </c>
      <c r="W483" s="47" t="str">
        <f t="shared" ca="1" si="20"/>
        <v/>
      </c>
      <c r="X483" s="47">
        <f ca="1">VLOOKUP($C483,OFFSET(quests!$A$1,0,0,COUNTA(quests!$A:$A),MATCH(X$2,quests!$1:$1,0)-MATCH($C$2,quests!$1:$1,0)+1),MATCH(X$2,quests!$1:$1,0)-MATCH($C$2,quests!$1:$1,0)+1,FALSE)</f>
        <v>0</v>
      </c>
      <c r="Y483" s="47">
        <f ca="1">VLOOKUP($C483,OFFSET(quests!$A$1,0,0,COUNTA(quests!$A:$A),MATCH(Y$2,quests!$1:$1,0)-MATCH($C$2,quests!$1:$1,0)+1),MATCH(Y$2,quests!$1:$1,0)-MATCH($C$2,quests!$1:$1,0)+1,FALSE)</f>
        <v>0</v>
      </c>
      <c r="Z483" s="47">
        <f ca="1">VLOOKUP($C483,OFFSET(quests!$A$1,0,0,COUNTA(quests!$A:$A),MATCH(Z$2,quests!$1:$1,0)-MATCH($C$2,quests!$1:$1,0)+1),MATCH(Z$2,quests!$1:$1,0)-MATCH($C$2,quests!$1:$1,0)+1,FALSE)</f>
        <v>0</v>
      </c>
      <c r="AA483" s="47">
        <f ca="1">VLOOKUP($C483,OFFSET(quests!$A$1,0,0,COUNTA(quests!$A:$A),MATCH(AA$2,quests!$1:$1,0)-MATCH($C$2,quests!$1:$1,0)+1),MATCH(AA$2,quests!$1:$1,0)-MATCH($C$2,quests!$1:$1,0)+1,FALSE)</f>
        <v>0</v>
      </c>
      <c r="AB483" s="7" t="s">
        <v>56</v>
      </c>
      <c r="AC483" s="7">
        <v>8</v>
      </c>
      <c r="AD483" s="7">
        <v>6</v>
      </c>
      <c r="AE483" s="7" t="s">
        <v>519</v>
      </c>
      <c r="AF483" s="255">
        <v>16</v>
      </c>
      <c r="AG483" s="7">
        <v>0</v>
      </c>
      <c r="AH483" s="7">
        <v>0</v>
      </c>
      <c r="AI483" s="7">
        <v>-1</v>
      </c>
      <c r="AJ483" s="7">
        <v>-1</v>
      </c>
      <c r="AK483" s="7" t="s">
        <v>1064</v>
      </c>
      <c r="AL483" s="12" t="s">
        <v>1695</v>
      </c>
      <c r="AM483" s="12" t="s">
        <v>2072</v>
      </c>
    </row>
    <row r="484" spans="1:39" ht="21" customHeight="1" x14ac:dyDescent="0.15">
      <c r="A484" s="42" t="str">
        <f t="shared" si="19"/>
        <v>20008_2</v>
      </c>
      <c r="B484" s="23">
        <v>3</v>
      </c>
      <c r="C484" s="31">
        <v>20008</v>
      </c>
      <c r="D484" s="47" t="str">
        <f ca="1">VLOOKUP($C484,OFFSET(quests!$A$1,0,0,COUNTA(quests!$A:$A),MATCH(D$1,quests!$1:$1,0)-MATCH($C$2,quests!$1:$1,0)+1),MATCH(D$1,quests!$1:$1,0)-MATCH($C$2,quests!$1:$1,0)+1,FALSE)</f>
        <v>天翔ける金轟機龍</v>
      </c>
      <c r="E484" s="48" t="str">
        <f ca="1">VLOOKUP($C484,OFFSET(quests!$A$1,0,0,COUNTA(quests!$A:$A),MATCH(E$2,quests!$1:$1,0)-MATCH($C$2,quests!$1:$1,0)+1),MATCH(E$2,quests!$1:$1,0)-MATCH($C$2,quests!$1:$1,0)+1,FALSE)</f>
        <v>ドロップイベント2-4</v>
      </c>
      <c r="F484" s="7">
        <v>2</v>
      </c>
      <c r="G484" s="7" t="s">
        <v>570</v>
      </c>
      <c r="H484" s="12" t="s">
        <v>723</v>
      </c>
      <c r="I484" s="12" t="s">
        <v>59</v>
      </c>
      <c r="J484" s="12">
        <v>284</v>
      </c>
      <c r="K484" s="167">
        <v>15</v>
      </c>
      <c r="L484" s="167">
        <v>1200</v>
      </c>
      <c r="M484" s="167">
        <v>1</v>
      </c>
      <c r="N484" s="167">
        <v>1</v>
      </c>
      <c r="O484" s="167">
        <v>1</v>
      </c>
      <c r="P484" s="167">
        <v>1</v>
      </c>
      <c r="Q484" s="167">
        <v>1</v>
      </c>
      <c r="R484" s="167">
        <v>3</v>
      </c>
      <c r="S484" s="167" t="s">
        <v>79</v>
      </c>
      <c r="T484" s="167">
        <v>0</v>
      </c>
      <c r="U484" s="7" t="s">
        <v>169</v>
      </c>
      <c r="V484" s="7" t="s">
        <v>169</v>
      </c>
      <c r="W484" s="47" t="str">
        <f t="shared" ca="1" si="20"/>
        <v/>
      </c>
      <c r="X484" s="47">
        <f ca="1">VLOOKUP($C484,OFFSET(quests!$A$1,0,0,COUNTA(quests!$A:$A),MATCH(X$2,quests!$1:$1,0)-MATCH($C$2,quests!$1:$1,0)+1),MATCH(X$2,quests!$1:$1,0)-MATCH($C$2,quests!$1:$1,0)+1,FALSE)</f>
        <v>0</v>
      </c>
      <c r="Y484" s="47">
        <f ca="1">VLOOKUP($C484,OFFSET(quests!$A$1,0,0,COUNTA(quests!$A:$A),MATCH(Y$2,quests!$1:$1,0)-MATCH($C$2,quests!$1:$1,0)+1),MATCH(Y$2,quests!$1:$1,0)-MATCH($C$2,quests!$1:$1,0)+1,FALSE)</f>
        <v>0</v>
      </c>
      <c r="Z484" s="47">
        <f ca="1">VLOOKUP($C484,OFFSET(quests!$A$1,0,0,COUNTA(quests!$A:$A),MATCH(Z$2,quests!$1:$1,0)-MATCH($C$2,quests!$1:$1,0)+1),MATCH(Z$2,quests!$1:$1,0)-MATCH($C$2,quests!$1:$1,0)+1,FALSE)</f>
        <v>0</v>
      </c>
      <c r="AA484" s="47">
        <f ca="1">VLOOKUP($C484,OFFSET(quests!$A$1,0,0,COUNTA(quests!$A:$A),MATCH(AA$2,quests!$1:$1,0)-MATCH($C$2,quests!$1:$1,0)+1),MATCH(AA$2,quests!$1:$1,0)-MATCH($C$2,quests!$1:$1,0)+1,FALSE)</f>
        <v>0</v>
      </c>
      <c r="AB484" s="7" t="s">
        <v>56</v>
      </c>
      <c r="AC484" s="7">
        <v>8</v>
      </c>
      <c r="AD484" s="7">
        <v>6</v>
      </c>
      <c r="AE484" s="7" t="s">
        <v>519</v>
      </c>
      <c r="AF484" s="255">
        <v>16</v>
      </c>
      <c r="AG484" s="7">
        <v>0</v>
      </c>
      <c r="AH484" s="7">
        <v>0</v>
      </c>
      <c r="AI484" s="7">
        <v>-1</v>
      </c>
      <c r="AJ484" s="7">
        <v>-1</v>
      </c>
      <c r="AK484" s="7" t="s">
        <v>1064</v>
      </c>
      <c r="AL484" s="12" t="s">
        <v>1695</v>
      </c>
      <c r="AM484" s="12" t="s">
        <v>2072</v>
      </c>
    </row>
    <row r="485" spans="1:39" ht="21" customHeight="1" x14ac:dyDescent="0.15">
      <c r="A485" s="42" t="str">
        <f t="shared" si="19"/>
        <v>20008_3</v>
      </c>
      <c r="B485" s="23">
        <v>3</v>
      </c>
      <c r="C485" s="31">
        <v>20008</v>
      </c>
      <c r="D485" s="47" t="str">
        <f ca="1">VLOOKUP($C485,OFFSET(quests!$A$1,0,0,COUNTA(quests!$A:$A),MATCH(D$1,quests!$1:$1,0)-MATCH($C$2,quests!$1:$1,0)+1),MATCH(D$1,quests!$1:$1,0)-MATCH($C$2,quests!$1:$1,0)+1,FALSE)</f>
        <v>天翔ける金轟機龍</v>
      </c>
      <c r="E485" s="48" t="str">
        <f ca="1">VLOOKUP($C485,OFFSET(quests!$A$1,0,0,COUNTA(quests!$A:$A),MATCH(E$2,quests!$1:$1,0)-MATCH($C$2,quests!$1:$1,0)+1),MATCH(E$2,quests!$1:$1,0)-MATCH($C$2,quests!$1:$1,0)+1,FALSE)</f>
        <v>ドロップイベント2-4</v>
      </c>
      <c r="F485" s="7">
        <v>3</v>
      </c>
      <c r="G485" s="7" t="s">
        <v>570</v>
      </c>
      <c r="H485" s="12" t="s">
        <v>724</v>
      </c>
      <c r="I485" s="12" t="s">
        <v>60</v>
      </c>
      <c r="J485" s="12">
        <v>285</v>
      </c>
      <c r="K485" s="167">
        <v>20</v>
      </c>
      <c r="L485" s="167">
        <v>2000</v>
      </c>
      <c r="M485" s="167">
        <v>1</v>
      </c>
      <c r="N485" s="167">
        <v>1</v>
      </c>
      <c r="O485" s="167">
        <v>1</v>
      </c>
      <c r="P485" s="167">
        <v>1</v>
      </c>
      <c r="Q485" s="167">
        <v>1</v>
      </c>
      <c r="R485" s="167">
        <v>3</v>
      </c>
      <c r="S485" s="167" t="s">
        <v>407</v>
      </c>
      <c r="T485" s="167">
        <v>1</v>
      </c>
      <c r="U485" s="7" t="s">
        <v>169</v>
      </c>
      <c r="V485" s="7" t="s">
        <v>169</v>
      </c>
      <c r="W485" s="47" t="str">
        <f t="shared" ca="1" si="20"/>
        <v/>
      </c>
      <c r="X485" s="47">
        <f ca="1">VLOOKUP($C485,OFFSET(quests!$A$1,0,0,COUNTA(quests!$A:$A),MATCH(X$2,quests!$1:$1,0)-MATCH($C$2,quests!$1:$1,0)+1),MATCH(X$2,quests!$1:$1,0)-MATCH($C$2,quests!$1:$1,0)+1,FALSE)</f>
        <v>0</v>
      </c>
      <c r="Y485" s="47">
        <f ca="1">VLOOKUP($C485,OFFSET(quests!$A$1,0,0,COUNTA(quests!$A:$A),MATCH(Y$2,quests!$1:$1,0)-MATCH($C$2,quests!$1:$1,0)+1),MATCH(Y$2,quests!$1:$1,0)-MATCH($C$2,quests!$1:$1,0)+1,FALSE)</f>
        <v>0</v>
      </c>
      <c r="Z485" s="47">
        <f ca="1">VLOOKUP($C485,OFFSET(quests!$A$1,0,0,COUNTA(quests!$A:$A),MATCH(Z$2,quests!$1:$1,0)-MATCH($C$2,quests!$1:$1,0)+1),MATCH(Z$2,quests!$1:$1,0)-MATCH($C$2,quests!$1:$1,0)+1,FALSE)</f>
        <v>0</v>
      </c>
      <c r="AA485" s="47">
        <f ca="1">VLOOKUP($C485,OFFSET(quests!$A$1,0,0,COUNTA(quests!$A:$A),MATCH(AA$2,quests!$1:$1,0)-MATCH($C$2,quests!$1:$1,0)+1),MATCH(AA$2,quests!$1:$1,0)-MATCH($C$2,quests!$1:$1,0)+1,FALSE)</f>
        <v>0</v>
      </c>
      <c r="AB485" s="7" t="s">
        <v>56</v>
      </c>
      <c r="AC485" s="7">
        <v>8</v>
      </c>
      <c r="AD485" s="7">
        <v>6</v>
      </c>
      <c r="AE485" s="7" t="s">
        <v>519</v>
      </c>
      <c r="AF485" s="255">
        <v>16</v>
      </c>
      <c r="AG485" s="7">
        <v>0</v>
      </c>
      <c r="AH485" s="7">
        <v>0</v>
      </c>
      <c r="AI485" s="7">
        <v>-1</v>
      </c>
      <c r="AJ485" s="7">
        <v>-1</v>
      </c>
      <c r="AK485" s="7" t="s">
        <v>1064</v>
      </c>
      <c r="AL485" s="12" t="s">
        <v>1695</v>
      </c>
      <c r="AM485" s="12" t="s">
        <v>2072</v>
      </c>
    </row>
    <row r="486" spans="1:39" s="143" customFormat="1" ht="21" customHeight="1" x14ac:dyDescent="0.15">
      <c r="A486" s="138" t="str">
        <f t="shared" si="19"/>
        <v>20009_1</v>
      </c>
      <c r="B486" s="139">
        <v>0</v>
      </c>
      <c r="C486" s="198">
        <v>20009</v>
      </c>
      <c r="D486" s="140" t="str">
        <f ca="1">VLOOKUP($C486,OFFSET(quests!$A$1,0,0,COUNTA(quests!$A:$A),MATCH(D$1,quests!$1:$1,0)-MATCH($C$2,quests!$1:$1,0)+1),MATCH(D$1,quests!$1:$1,0)-MATCH($C$2,quests!$1:$1,0)+1,FALSE)</f>
        <v>迫り来る窒息</v>
      </c>
      <c r="E486" s="141" t="str">
        <f ca="1">VLOOKUP($C486,OFFSET(quests!$A$1,0,0,COUNTA(quests!$A:$A),MATCH(E$2,quests!$1:$1,0)-MATCH($C$2,quests!$1:$1,0)+1),MATCH(E$2,quests!$1:$1,0)-MATCH($C$2,quests!$1:$1,0)+1,FALSE)</f>
        <v>ドロップイベント3</v>
      </c>
      <c r="F486" s="142">
        <v>1</v>
      </c>
      <c r="G486" s="142" t="s">
        <v>570</v>
      </c>
      <c r="H486" s="199" t="s">
        <v>725</v>
      </c>
      <c r="I486" s="139" t="s">
        <v>58</v>
      </c>
      <c r="J486" s="139" t="s">
        <v>279</v>
      </c>
      <c r="K486" s="142">
        <v>8</v>
      </c>
      <c r="L486" s="142">
        <v>384</v>
      </c>
      <c r="M486" s="142">
        <v>1</v>
      </c>
      <c r="N486" s="142">
        <v>1</v>
      </c>
      <c r="O486" s="142">
        <v>1</v>
      </c>
      <c r="P486" s="142">
        <v>1</v>
      </c>
      <c r="Q486" s="142">
        <v>1</v>
      </c>
      <c r="R486" s="142">
        <v>3</v>
      </c>
      <c r="S486" s="142" t="s">
        <v>79</v>
      </c>
      <c r="T486" s="142">
        <v>0</v>
      </c>
      <c r="U486" s="142" t="s">
        <v>169</v>
      </c>
      <c r="V486" s="142" t="s">
        <v>169</v>
      </c>
      <c r="W486" s="140" t="str">
        <f t="shared" ca="1" si="20"/>
        <v/>
      </c>
      <c r="X486" s="140">
        <f ca="1">VLOOKUP($C486,OFFSET(quests!$A$1,0,0,COUNTA(quests!$A:$A),MATCH(X$2,quests!$1:$1,0)-MATCH($C$2,quests!$1:$1,0)+1),MATCH(X$2,quests!$1:$1,0)-MATCH($C$2,quests!$1:$1,0)+1,FALSE)</f>
        <v>0</v>
      </c>
      <c r="Y486" s="140">
        <f ca="1">VLOOKUP($C486,OFFSET(quests!$A$1,0,0,COUNTA(quests!$A:$A),MATCH(Y$2,quests!$1:$1,0)-MATCH($C$2,quests!$1:$1,0)+1),MATCH(Y$2,quests!$1:$1,0)-MATCH($C$2,quests!$1:$1,0)+1,FALSE)</f>
        <v>0</v>
      </c>
      <c r="Z486" s="140">
        <f ca="1">VLOOKUP($C486,OFFSET(quests!$A$1,0,0,COUNTA(quests!$A:$A),MATCH(Z$2,quests!$1:$1,0)-MATCH($C$2,quests!$1:$1,0)+1),MATCH(Z$2,quests!$1:$1,0)-MATCH($C$2,quests!$1:$1,0)+1,FALSE)</f>
        <v>0</v>
      </c>
      <c r="AA486" s="140">
        <f ca="1">VLOOKUP($C486,OFFSET(quests!$A$1,0,0,COUNTA(quests!$A:$A),MATCH(AA$2,quests!$1:$1,0)-MATCH($C$2,quests!$1:$1,0)+1),MATCH(AA$2,quests!$1:$1,0)-MATCH($C$2,quests!$1:$1,0)+1,FALSE)</f>
        <v>0</v>
      </c>
      <c r="AB486" s="142" t="s">
        <v>56</v>
      </c>
      <c r="AC486" s="142">
        <v>25</v>
      </c>
      <c r="AD486" s="142">
        <v>5</v>
      </c>
      <c r="AE486" s="142" t="s">
        <v>519</v>
      </c>
      <c r="AF486" s="33">
        <v>11</v>
      </c>
      <c r="AG486" s="142">
        <v>0</v>
      </c>
      <c r="AH486" s="142">
        <v>0</v>
      </c>
      <c r="AI486" s="142">
        <v>-1</v>
      </c>
      <c r="AJ486" s="142">
        <v>-1</v>
      </c>
      <c r="AK486" s="7" t="s">
        <v>1064</v>
      </c>
      <c r="AL486" s="12" t="s">
        <v>1695</v>
      </c>
      <c r="AM486" s="12" t="s">
        <v>2072</v>
      </c>
    </row>
    <row r="487" spans="1:39" ht="21" customHeight="1" x14ac:dyDescent="0.15">
      <c r="A487" s="42" t="str">
        <f t="shared" si="19"/>
        <v>20009_2</v>
      </c>
      <c r="B487" s="23">
        <v>3</v>
      </c>
      <c r="C487" s="31">
        <v>20009</v>
      </c>
      <c r="D487" s="47" t="str">
        <f ca="1">VLOOKUP($C487,OFFSET(quests!$A$1,0,0,COUNTA(quests!$A:$A),MATCH(D$1,quests!$1:$1,0)-MATCH($C$2,quests!$1:$1,0)+1),MATCH(D$1,quests!$1:$1,0)-MATCH($C$2,quests!$1:$1,0)+1,FALSE)</f>
        <v>迫り来る窒息</v>
      </c>
      <c r="E487" s="48" t="str">
        <f ca="1">VLOOKUP($C487,OFFSET(quests!$A$1,0,0,COUNTA(quests!$A:$A),MATCH(E$2,quests!$1:$1,0)-MATCH($C$2,quests!$1:$1,0)+1),MATCH(E$2,quests!$1:$1,0)-MATCH($C$2,quests!$1:$1,0)+1,FALSE)</f>
        <v>ドロップイベント3</v>
      </c>
      <c r="F487" s="7">
        <v>2</v>
      </c>
      <c r="G487" s="7" t="s">
        <v>570</v>
      </c>
      <c r="H487" s="82" t="s">
        <v>726</v>
      </c>
      <c r="I487" s="12" t="s">
        <v>59</v>
      </c>
      <c r="J487" s="12">
        <v>302</v>
      </c>
      <c r="K487" s="167">
        <v>15</v>
      </c>
      <c r="L487" s="167">
        <v>1200</v>
      </c>
      <c r="M487" s="167">
        <v>1</v>
      </c>
      <c r="N487" s="167">
        <v>1</v>
      </c>
      <c r="O487" s="167">
        <v>1</v>
      </c>
      <c r="P487" s="167">
        <v>1</v>
      </c>
      <c r="Q487" s="167">
        <v>1</v>
      </c>
      <c r="R487" s="167">
        <v>3</v>
      </c>
      <c r="S487" s="167" t="s">
        <v>79</v>
      </c>
      <c r="T487" s="167">
        <v>0</v>
      </c>
      <c r="U487" s="7" t="s">
        <v>531</v>
      </c>
      <c r="V487" s="7" t="s">
        <v>532</v>
      </c>
      <c r="W487" s="47" t="str">
        <f t="shared" ca="1" si="20"/>
        <v/>
      </c>
      <c r="X487" s="47">
        <f ca="1">VLOOKUP($C487,OFFSET(quests!$A$1,0,0,COUNTA(quests!$A:$A),MATCH(X$2,quests!$1:$1,0)-MATCH($C$2,quests!$1:$1,0)+1),MATCH(X$2,quests!$1:$1,0)-MATCH($C$2,quests!$1:$1,0)+1,FALSE)</f>
        <v>0</v>
      </c>
      <c r="Y487" s="47">
        <f ca="1">VLOOKUP($C487,OFFSET(quests!$A$1,0,0,COUNTA(quests!$A:$A),MATCH(Y$2,quests!$1:$1,0)-MATCH($C$2,quests!$1:$1,0)+1),MATCH(Y$2,quests!$1:$1,0)-MATCH($C$2,quests!$1:$1,0)+1,FALSE)</f>
        <v>0</v>
      </c>
      <c r="Z487" s="47">
        <f ca="1">VLOOKUP($C487,OFFSET(quests!$A$1,0,0,COUNTA(quests!$A:$A),MATCH(Z$2,quests!$1:$1,0)-MATCH($C$2,quests!$1:$1,0)+1),MATCH(Z$2,quests!$1:$1,0)-MATCH($C$2,quests!$1:$1,0)+1,FALSE)</f>
        <v>0</v>
      </c>
      <c r="AA487" s="47">
        <f ca="1">VLOOKUP($C487,OFFSET(quests!$A$1,0,0,COUNTA(quests!$A:$A),MATCH(AA$2,quests!$1:$1,0)-MATCH($C$2,quests!$1:$1,0)+1),MATCH(AA$2,quests!$1:$1,0)-MATCH($C$2,quests!$1:$1,0)+1,FALSE)</f>
        <v>0</v>
      </c>
      <c r="AB487" s="7" t="s">
        <v>56</v>
      </c>
      <c r="AC487" s="7">
        <v>25</v>
      </c>
      <c r="AD487" s="7">
        <v>5</v>
      </c>
      <c r="AE487" s="7" t="s">
        <v>519</v>
      </c>
      <c r="AF487" s="33">
        <v>11</v>
      </c>
      <c r="AG487" s="7">
        <v>0</v>
      </c>
      <c r="AH487" s="7">
        <v>0</v>
      </c>
      <c r="AI487" s="7">
        <v>-1</v>
      </c>
      <c r="AJ487" s="7">
        <v>-1</v>
      </c>
      <c r="AK487" s="7" t="s">
        <v>1064</v>
      </c>
      <c r="AL487" s="12" t="s">
        <v>1695</v>
      </c>
      <c r="AM487" s="12" t="s">
        <v>2072</v>
      </c>
    </row>
    <row r="488" spans="1:39" ht="21" customHeight="1" x14ac:dyDescent="0.15">
      <c r="A488" s="42" t="str">
        <f t="shared" si="19"/>
        <v>20009_3</v>
      </c>
      <c r="B488" s="23">
        <v>3</v>
      </c>
      <c r="C488" s="31">
        <v>20009</v>
      </c>
      <c r="D488" s="47" t="str">
        <f ca="1">VLOOKUP($C488,OFFSET(quests!$A$1,0,0,COUNTA(quests!$A:$A),MATCH(D$1,quests!$1:$1,0)-MATCH($C$2,quests!$1:$1,0)+1),MATCH(D$1,quests!$1:$1,0)-MATCH($C$2,quests!$1:$1,0)+1,FALSE)</f>
        <v>迫り来る窒息</v>
      </c>
      <c r="E488" s="48" t="str">
        <f ca="1">VLOOKUP($C488,OFFSET(quests!$A$1,0,0,COUNTA(quests!$A:$A),MATCH(E$2,quests!$1:$1,0)-MATCH($C$2,quests!$1:$1,0)+1),MATCH(E$2,quests!$1:$1,0)-MATCH($C$2,quests!$1:$1,0)+1,FALSE)</f>
        <v>ドロップイベント3</v>
      </c>
      <c r="F488" s="7">
        <v>3</v>
      </c>
      <c r="G488" s="7" t="s">
        <v>570</v>
      </c>
      <c r="H488" s="82" t="s">
        <v>727</v>
      </c>
      <c r="I488" s="12" t="s">
        <v>60</v>
      </c>
      <c r="J488" s="12">
        <v>303</v>
      </c>
      <c r="K488" s="167">
        <v>20</v>
      </c>
      <c r="L488" s="167">
        <v>2000</v>
      </c>
      <c r="M488" s="167">
        <v>1</v>
      </c>
      <c r="N488" s="167">
        <v>1</v>
      </c>
      <c r="O488" s="167">
        <v>1</v>
      </c>
      <c r="P488" s="167">
        <v>1</v>
      </c>
      <c r="Q488" s="167">
        <v>1</v>
      </c>
      <c r="R488" s="167">
        <v>3</v>
      </c>
      <c r="S488" s="167" t="s">
        <v>526</v>
      </c>
      <c r="T488" s="167">
        <v>1</v>
      </c>
      <c r="U488" s="7" t="s">
        <v>533</v>
      </c>
      <c r="V488" s="7" t="s">
        <v>533</v>
      </c>
      <c r="W488" s="47" t="str">
        <f t="shared" ca="1" si="20"/>
        <v/>
      </c>
      <c r="X488" s="47">
        <f ca="1">VLOOKUP($C488,OFFSET(quests!$A$1,0,0,COUNTA(quests!$A:$A),MATCH(X$2,quests!$1:$1,0)-MATCH($C$2,quests!$1:$1,0)+1),MATCH(X$2,quests!$1:$1,0)-MATCH($C$2,quests!$1:$1,0)+1,FALSE)</f>
        <v>0</v>
      </c>
      <c r="Y488" s="47">
        <f ca="1">VLOOKUP($C488,OFFSET(quests!$A$1,0,0,COUNTA(quests!$A:$A),MATCH(Y$2,quests!$1:$1,0)-MATCH($C$2,quests!$1:$1,0)+1),MATCH(Y$2,quests!$1:$1,0)-MATCH($C$2,quests!$1:$1,0)+1,FALSE)</f>
        <v>0</v>
      </c>
      <c r="Z488" s="47">
        <f ca="1">VLOOKUP($C488,OFFSET(quests!$A$1,0,0,COUNTA(quests!$A:$A),MATCH(Z$2,quests!$1:$1,0)-MATCH($C$2,quests!$1:$1,0)+1),MATCH(Z$2,quests!$1:$1,0)-MATCH($C$2,quests!$1:$1,0)+1,FALSE)</f>
        <v>0</v>
      </c>
      <c r="AA488" s="47">
        <f ca="1">VLOOKUP($C488,OFFSET(quests!$A$1,0,0,COUNTA(quests!$A:$A),MATCH(AA$2,quests!$1:$1,0)-MATCH($C$2,quests!$1:$1,0)+1),MATCH(AA$2,quests!$1:$1,0)-MATCH($C$2,quests!$1:$1,0)+1,FALSE)</f>
        <v>0</v>
      </c>
      <c r="AB488" s="7" t="s">
        <v>56</v>
      </c>
      <c r="AC488" s="7">
        <v>25</v>
      </c>
      <c r="AD488" s="7">
        <v>5</v>
      </c>
      <c r="AE488" s="7" t="s">
        <v>519</v>
      </c>
      <c r="AF488" s="33">
        <v>11</v>
      </c>
      <c r="AG488" s="7">
        <v>0</v>
      </c>
      <c r="AH488" s="7">
        <v>0</v>
      </c>
      <c r="AI488" s="7">
        <v>-1</v>
      </c>
      <c r="AJ488" s="7">
        <v>-1</v>
      </c>
      <c r="AK488" s="7" t="s">
        <v>1064</v>
      </c>
      <c r="AL488" s="12" t="s">
        <v>1695</v>
      </c>
      <c r="AM488" s="12" t="s">
        <v>2072</v>
      </c>
    </row>
    <row r="489" spans="1:39" ht="21" customHeight="1" x14ac:dyDescent="0.15">
      <c r="A489" s="42" t="str">
        <f t="shared" si="19"/>
        <v>20010_1</v>
      </c>
      <c r="B489" s="23">
        <v>3</v>
      </c>
      <c r="C489" s="31">
        <v>20010</v>
      </c>
      <c r="D489" s="47" t="str">
        <f ca="1">VLOOKUP($C489,OFFSET(quests!$A$1,0,0,COUNTA(quests!$A:$A),MATCH(D$1,quests!$1:$1,0)-MATCH($C$2,quests!$1:$1,0)+1),MATCH(D$1,quests!$1:$1,0)-MATCH($C$2,quests!$1:$1,0)+1,FALSE)</f>
        <v>悪夢の一目惚れ</v>
      </c>
      <c r="E489" s="48" t="str">
        <f ca="1">VLOOKUP($C489,OFFSET(quests!$A$1,0,0,COUNTA(quests!$A:$A),MATCH(E$2,quests!$1:$1,0)-MATCH($C$2,quests!$1:$1,0)+1),MATCH(E$2,quests!$1:$1,0)-MATCH($C$2,quests!$1:$1,0)+1,FALSE)</f>
        <v>ドロップイベント3</v>
      </c>
      <c r="F489" s="7">
        <v>1</v>
      </c>
      <c r="G489" s="7" t="s">
        <v>570</v>
      </c>
      <c r="H489" s="82" t="s">
        <v>728</v>
      </c>
      <c r="I489" s="12" t="s">
        <v>58</v>
      </c>
      <c r="J489" s="12">
        <v>304</v>
      </c>
      <c r="K489" s="167">
        <v>8</v>
      </c>
      <c r="L489" s="167">
        <v>384</v>
      </c>
      <c r="M489" s="167">
        <v>1</v>
      </c>
      <c r="N489" s="167">
        <v>1</v>
      </c>
      <c r="O489" s="96">
        <v>0</v>
      </c>
      <c r="P489" s="167">
        <v>1</v>
      </c>
      <c r="Q489" s="167">
        <v>1</v>
      </c>
      <c r="R489" s="167">
        <v>3</v>
      </c>
      <c r="S489" s="167" t="s">
        <v>79</v>
      </c>
      <c r="T489" s="167">
        <v>0</v>
      </c>
      <c r="U489" s="7" t="s">
        <v>169</v>
      </c>
      <c r="V489" s="7" t="s">
        <v>169</v>
      </c>
      <c r="W489" s="47" t="str">
        <f t="shared" ca="1" si="20"/>
        <v/>
      </c>
      <c r="X489" s="47">
        <f ca="1">VLOOKUP($C489,OFFSET(quests!$A$1,0,0,COUNTA(quests!$A:$A),MATCH(X$2,quests!$1:$1,0)-MATCH($C$2,quests!$1:$1,0)+1),MATCH(X$2,quests!$1:$1,0)-MATCH($C$2,quests!$1:$1,0)+1,FALSE)</f>
        <v>0</v>
      </c>
      <c r="Y489" s="47">
        <f ca="1">VLOOKUP($C489,OFFSET(quests!$A$1,0,0,COUNTA(quests!$A:$A),MATCH(Y$2,quests!$1:$1,0)-MATCH($C$2,quests!$1:$1,0)+1),MATCH(Y$2,quests!$1:$1,0)-MATCH($C$2,quests!$1:$1,0)+1,FALSE)</f>
        <v>0</v>
      </c>
      <c r="Z489" s="47">
        <f ca="1">VLOOKUP($C489,OFFSET(quests!$A$1,0,0,COUNTA(quests!$A:$A),MATCH(Z$2,quests!$1:$1,0)-MATCH($C$2,quests!$1:$1,0)+1),MATCH(Z$2,quests!$1:$1,0)-MATCH($C$2,quests!$1:$1,0)+1,FALSE)</f>
        <v>0</v>
      </c>
      <c r="AA489" s="47">
        <f ca="1">VLOOKUP($C489,OFFSET(quests!$A$1,0,0,COUNTA(quests!$A:$A),MATCH(AA$2,quests!$1:$1,0)-MATCH($C$2,quests!$1:$1,0)+1),MATCH(AA$2,quests!$1:$1,0)-MATCH($C$2,quests!$1:$1,0)+1,FALSE)</f>
        <v>0</v>
      </c>
      <c r="AB489" s="7" t="s">
        <v>56</v>
      </c>
      <c r="AC489" s="7">
        <v>2601</v>
      </c>
      <c r="AD489" s="7">
        <v>6</v>
      </c>
      <c r="AE489" s="7" t="s">
        <v>519</v>
      </c>
      <c r="AF489" s="96">
        <v>17</v>
      </c>
      <c r="AG489" s="7">
        <v>0</v>
      </c>
      <c r="AH489" s="7">
        <v>0</v>
      </c>
      <c r="AI489" s="7">
        <v>-1</v>
      </c>
      <c r="AJ489" s="7">
        <v>-1</v>
      </c>
      <c r="AK489" s="7" t="s">
        <v>1064</v>
      </c>
      <c r="AL489" s="12" t="s">
        <v>1695</v>
      </c>
      <c r="AM489" s="12" t="s">
        <v>2072</v>
      </c>
    </row>
    <row r="490" spans="1:39" ht="21" customHeight="1" x14ac:dyDescent="0.15">
      <c r="A490" s="42" t="str">
        <f t="shared" si="19"/>
        <v>20010_2</v>
      </c>
      <c r="B490" s="23">
        <v>3</v>
      </c>
      <c r="C490" s="31">
        <v>20010</v>
      </c>
      <c r="D490" s="47" t="str">
        <f ca="1">VLOOKUP($C490,OFFSET(quests!$A$1,0,0,COUNTA(quests!$A:$A),MATCH(D$1,quests!$1:$1,0)-MATCH($C$2,quests!$1:$1,0)+1),MATCH(D$1,quests!$1:$1,0)-MATCH($C$2,quests!$1:$1,0)+1,FALSE)</f>
        <v>悪夢の一目惚れ</v>
      </c>
      <c r="E490" s="48" t="str">
        <f ca="1">VLOOKUP($C490,OFFSET(quests!$A$1,0,0,COUNTA(quests!$A:$A),MATCH(E$2,quests!$1:$1,0)-MATCH($C$2,quests!$1:$1,0)+1),MATCH(E$2,quests!$1:$1,0)-MATCH($C$2,quests!$1:$1,0)+1,FALSE)</f>
        <v>ドロップイベント3</v>
      </c>
      <c r="F490" s="7">
        <v>2</v>
      </c>
      <c r="G490" s="7" t="s">
        <v>570</v>
      </c>
      <c r="H490" s="82" t="s">
        <v>729</v>
      </c>
      <c r="I490" s="12" t="s">
        <v>59</v>
      </c>
      <c r="J490" s="12">
        <v>304</v>
      </c>
      <c r="K490" s="167">
        <v>15</v>
      </c>
      <c r="L490" s="167">
        <v>1200</v>
      </c>
      <c r="M490" s="167">
        <v>1</v>
      </c>
      <c r="N490" s="167">
        <v>1</v>
      </c>
      <c r="O490" s="96">
        <v>0</v>
      </c>
      <c r="P490" s="167">
        <v>1</v>
      </c>
      <c r="Q490" s="167">
        <v>1</v>
      </c>
      <c r="R490" s="167">
        <v>3</v>
      </c>
      <c r="S490" s="167" t="s">
        <v>79</v>
      </c>
      <c r="T490" s="167">
        <v>0</v>
      </c>
      <c r="U490" s="7" t="s">
        <v>169</v>
      </c>
      <c r="V490" s="7" t="s">
        <v>169</v>
      </c>
      <c r="W490" s="47" t="str">
        <f t="shared" ca="1" si="20"/>
        <v/>
      </c>
      <c r="X490" s="47">
        <f ca="1">VLOOKUP($C490,OFFSET(quests!$A$1,0,0,COUNTA(quests!$A:$A),MATCH(X$2,quests!$1:$1,0)-MATCH($C$2,quests!$1:$1,0)+1),MATCH(X$2,quests!$1:$1,0)-MATCH($C$2,quests!$1:$1,0)+1,FALSE)</f>
        <v>0</v>
      </c>
      <c r="Y490" s="47">
        <f ca="1">VLOOKUP($C490,OFFSET(quests!$A$1,0,0,COUNTA(quests!$A:$A),MATCH(Y$2,quests!$1:$1,0)-MATCH($C$2,quests!$1:$1,0)+1),MATCH(Y$2,quests!$1:$1,0)-MATCH($C$2,quests!$1:$1,0)+1,FALSE)</f>
        <v>0</v>
      </c>
      <c r="Z490" s="47">
        <f ca="1">VLOOKUP($C490,OFFSET(quests!$A$1,0,0,COUNTA(quests!$A:$A),MATCH(Z$2,quests!$1:$1,0)-MATCH($C$2,quests!$1:$1,0)+1),MATCH(Z$2,quests!$1:$1,0)-MATCH($C$2,quests!$1:$1,0)+1,FALSE)</f>
        <v>0</v>
      </c>
      <c r="AA490" s="47">
        <f ca="1">VLOOKUP($C490,OFFSET(quests!$A$1,0,0,COUNTA(quests!$A:$A),MATCH(AA$2,quests!$1:$1,0)-MATCH($C$2,quests!$1:$1,0)+1),MATCH(AA$2,quests!$1:$1,0)-MATCH($C$2,quests!$1:$1,0)+1,FALSE)</f>
        <v>0</v>
      </c>
      <c r="AB490" s="7" t="s">
        <v>56</v>
      </c>
      <c r="AC490" s="7">
        <v>2601</v>
      </c>
      <c r="AD490" s="7">
        <v>6</v>
      </c>
      <c r="AE490" s="7" t="s">
        <v>519</v>
      </c>
      <c r="AF490" s="96">
        <v>17</v>
      </c>
      <c r="AG490" s="7">
        <v>0</v>
      </c>
      <c r="AH490" s="7">
        <v>0</v>
      </c>
      <c r="AI490" s="7">
        <v>-1</v>
      </c>
      <c r="AJ490" s="7">
        <v>-1</v>
      </c>
      <c r="AK490" s="7" t="s">
        <v>1064</v>
      </c>
      <c r="AL490" s="12" t="s">
        <v>1695</v>
      </c>
      <c r="AM490" s="12" t="s">
        <v>2072</v>
      </c>
    </row>
    <row r="491" spans="1:39" ht="21" customHeight="1" x14ac:dyDescent="0.15">
      <c r="A491" s="42" t="str">
        <f t="shared" si="19"/>
        <v>20010_3</v>
      </c>
      <c r="B491" s="23">
        <v>3</v>
      </c>
      <c r="C491" s="31">
        <v>20010</v>
      </c>
      <c r="D491" s="47" t="str">
        <f ca="1">VLOOKUP($C491,OFFSET(quests!$A$1,0,0,COUNTA(quests!$A:$A),MATCH(D$1,quests!$1:$1,0)-MATCH($C$2,quests!$1:$1,0)+1),MATCH(D$1,quests!$1:$1,0)-MATCH($C$2,quests!$1:$1,0)+1,FALSE)</f>
        <v>悪夢の一目惚れ</v>
      </c>
      <c r="E491" s="48" t="str">
        <f ca="1">VLOOKUP($C491,OFFSET(quests!$A$1,0,0,COUNTA(quests!$A:$A),MATCH(E$2,quests!$1:$1,0)-MATCH($C$2,quests!$1:$1,0)+1),MATCH(E$2,quests!$1:$1,0)-MATCH($C$2,quests!$1:$1,0)+1,FALSE)</f>
        <v>ドロップイベント3</v>
      </c>
      <c r="F491" s="7">
        <v>3</v>
      </c>
      <c r="G491" s="7" t="s">
        <v>570</v>
      </c>
      <c r="H491" s="82" t="s">
        <v>730</v>
      </c>
      <c r="I491" s="12" t="s">
        <v>60</v>
      </c>
      <c r="J491" s="12">
        <v>305</v>
      </c>
      <c r="K491" s="167">
        <v>20</v>
      </c>
      <c r="L491" s="167">
        <v>2000</v>
      </c>
      <c r="M491" s="167">
        <v>1</v>
      </c>
      <c r="N491" s="167">
        <v>1</v>
      </c>
      <c r="O491" s="96">
        <v>0</v>
      </c>
      <c r="P491" s="167">
        <v>1</v>
      </c>
      <c r="Q491" s="167">
        <v>1</v>
      </c>
      <c r="R491" s="167">
        <v>3</v>
      </c>
      <c r="S491" s="167" t="s">
        <v>385</v>
      </c>
      <c r="T491" s="167">
        <v>1</v>
      </c>
      <c r="U491" s="7" t="s">
        <v>169</v>
      </c>
      <c r="V491" s="7" t="s">
        <v>169</v>
      </c>
      <c r="W491" s="47" t="str">
        <f t="shared" ca="1" si="20"/>
        <v/>
      </c>
      <c r="X491" s="47">
        <f ca="1">VLOOKUP($C491,OFFSET(quests!$A$1,0,0,COUNTA(quests!$A:$A),MATCH(X$2,quests!$1:$1,0)-MATCH($C$2,quests!$1:$1,0)+1),MATCH(X$2,quests!$1:$1,0)-MATCH($C$2,quests!$1:$1,0)+1,FALSE)</f>
        <v>0</v>
      </c>
      <c r="Y491" s="47">
        <f ca="1">VLOOKUP($C491,OFFSET(quests!$A$1,0,0,COUNTA(quests!$A:$A),MATCH(Y$2,quests!$1:$1,0)-MATCH($C$2,quests!$1:$1,0)+1),MATCH(Y$2,quests!$1:$1,0)-MATCH($C$2,quests!$1:$1,0)+1,FALSE)</f>
        <v>0</v>
      </c>
      <c r="Z491" s="47">
        <f ca="1">VLOOKUP($C491,OFFSET(quests!$A$1,0,0,COUNTA(quests!$A:$A),MATCH(Z$2,quests!$1:$1,0)-MATCH($C$2,quests!$1:$1,0)+1),MATCH(Z$2,quests!$1:$1,0)-MATCH($C$2,quests!$1:$1,0)+1,FALSE)</f>
        <v>0</v>
      </c>
      <c r="AA491" s="47">
        <f ca="1">VLOOKUP($C491,OFFSET(quests!$A$1,0,0,COUNTA(quests!$A:$A),MATCH(AA$2,quests!$1:$1,0)-MATCH($C$2,quests!$1:$1,0)+1),MATCH(AA$2,quests!$1:$1,0)-MATCH($C$2,quests!$1:$1,0)+1,FALSE)</f>
        <v>0</v>
      </c>
      <c r="AB491" s="7" t="s">
        <v>56</v>
      </c>
      <c r="AC491" s="7">
        <v>2601</v>
      </c>
      <c r="AD491" s="7">
        <v>6</v>
      </c>
      <c r="AE491" s="7" t="s">
        <v>519</v>
      </c>
      <c r="AF491" s="96">
        <v>17</v>
      </c>
      <c r="AG491" s="7">
        <v>0</v>
      </c>
      <c r="AH491" s="7">
        <v>0</v>
      </c>
      <c r="AI491" s="7">
        <v>-1</v>
      </c>
      <c r="AJ491" s="7">
        <v>-1</v>
      </c>
      <c r="AK491" s="7" t="s">
        <v>1064</v>
      </c>
      <c r="AL491" s="12" t="s">
        <v>1695</v>
      </c>
      <c r="AM491" s="12" t="s">
        <v>2072</v>
      </c>
    </row>
    <row r="492" spans="1:39" ht="21" customHeight="1" x14ac:dyDescent="0.15">
      <c r="A492" s="42" t="str">
        <f t="shared" si="19"/>
        <v>20011_1</v>
      </c>
      <c r="B492" s="23">
        <v>3</v>
      </c>
      <c r="C492" s="31">
        <v>20011</v>
      </c>
      <c r="D492" s="47" t="str">
        <f ca="1">VLOOKUP($C492,OFFSET(quests!$A$1,0,0,COUNTA(quests!$A:$A),MATCH(D$1,quests!$1:$1,0)-MATCH($C$2,quests!$1:$1,0)+1),MATCH(D$1,quests!$1:$1,0)-MATCH($C$2,quests!$1:$1,0)+1,FALSE)</f>
        <v>すべてが灰になる</v>
      </c>
      <c r="E492" s="48" t="str">
        <f ca="1">VLOOKUP($C492,OFFSET(quests!$A$1,0,0,COUNTA(quests!$A:$A),MATCH(E$2,quests!$1:$1,0)-MATCH($C$2,quests!$1:$1,0)+1),MATCH(E$2,quests!$1:$1,0)-MATCH($C$2,quests!$1:$1,0)+1,FALSE)</f>
        <v>ドロップイベント3</v>
      </c>
      <c r="F492" s="7">
        <v>1</v>
      </c>
      <c r="G492" s="7" t="s">
        <v>570</v>
      </c>
      <c r="H492" s="82" t="s">
        <v>731</v>
      </c>
      <c r="I492" s="12" t="s">
        <v>58</v>
      </c>
      <c r="J492" s="12">
        <v>298</v>
      </c>
      <c r="K492" s="167">
        <v>8</v>
      </c>
      <c r="L492" s="167">
        <v>384</v>
      </c>
      <c r="M492" s="167">
        <v>1</v>
      </c>
      <c r="N492" s="167">
        <v>1</v>
      </c>
      <c r="O492" s="167">
        <v>1</v>
      </c>
      <c r="P492" s="167">
        <v>1</v>
      </c>
      <c r="Q492" s="167">
        <v>1</v>
      </c>
      <c r="R492" s="167">
        <v>3</v>
      </c>
      <c r="S492" s="167" t="s">
        <v>79</v>
      </c>
      <c r="T492" s="167">
        <v>0</v>
      </c>
      <c r="U492" s="7" t="s">
        <v>169</v>
      </c>
      <c r="V492" s="7" t="s">
        <v>169</v>
      </c>
      <c r="W492" s="47" t="str">
        <f t="shared" ca="1" si="20"/>
        <v/>
      </c>
      <c r="X492" s="47">
        <f ca="1">VLOOKUP($C492,OFFSET(quests!$A$1,0,0,COUNTA(quests!$A:$A),MATCH(X$2,quests!$1:$1,0)-MATCH($C$2,quests!$1:$1,0)+1),MATCH(X$2,quests!$1:$1,0)-MATCH($C$2,quests!$1:$1,0)+1,FALSE)</f>
        <v>0</v>
      </c>
      <c r="Y492" s="47">
        <f ca="1">VLOOKUP($C492,OFFSET(quests!$A$1,0,0,COUNTA(quests!$A:$A),MATCH(Y$2,quests!$1:$1,0)-MATCH($C$2,quests!$1:$1,0)+1),MATCH(Y$2,quests!$1:$1,0)-MATCH($C$2,quests!$1:$1,0)+1,FALSE)</f>
        <v>0</v>
      </c>
      <c r="Z492" s="47">
        <f ca="1">VLOOKUP($C492,OFFSET(quests!$A$1,0,0,COUNTA(quests!$A:$A),MATCH(Z$2,quests!$1:$1,0)-MATCH($C$2,quests!$1:$1,0)+1),MATCH(Z$2,quests!$1:$1,0)-MATCH($C$2,quests!$1:$1,0)+1,FALSE)</f>
        <v>0</v>
      </c>
      <c r="AA492" s="47">
        <f ca="1">VLOOKUP($C492,OFFSET(quests!$A$1,0,0,COUNTA(quests!$A:$A),MATCH(AA$2,quests!$1:$1,0)-MATCH($C$2,quests!$1:$1,0)+1),MATCH(AA$2,quests!$1:$1,0)-MATCH($C$2,quests!$1:$1,0)+1,FALSE)</f>
        <v>0</v>
      </c>
      <c r="AB492" s="7" t="s">
        <v>56</v>
      </c>
      <c r="AC492" s="7">
        <v>10</v>
      </c>
      <c r="AD492" s="7">
        <v>5</v>
      </c>
      <c r="AE492" s="7" t="s">
        <v>519</v>
      </c>
      <c r="AF492" s="255">
        <v>16</v>
      </c>
      <c r="AG492" s="7">
        <v>0</v>
      </c>
      <c r="AH492" s="7">
        <v>0</v>
      </c>
      <c r="AI492" s="7">
        <v>-1</v>
      </c>
      <c r="AJ492" s="7">
        <v>-1</v>
      </c>
      <c r="AK492" s="7" t="s">
        <v>1064</v>
      </c>
      <c r="AL492" s="12" t="s">
        <v>1695</v>
      </c>
      <c r="AM492" s="12" t="s">
        <v>2072</v>
      </c>
    </row>
    <row r="493" spans="1:39" ht="21" customHeight="1" x14ac:dyDescent="0.15">
      <c r="A493" s="42" t="str">
        <f t="shared" si="19"/>
        <v>20011_2</v>
      </c>
      <c r="B493" s="23">
        <v>3</v>
      </c>
      <c r="C493" s="31">
        <v>20011</v>
      </c>
      <c r="D493" s="47" t="str">
        <f ca="1">VLOOKUP($C493,OFFSET(quests!$A$1,0,0,COUNTA(quests!$A:$A),MATCH(D$1,quests!$1:$1,0)-MATCH($C$2,quests!$1:$1,0)+1),MATCH(D$1,quests!$1:$1,0)-MATCH($C$2,quests!$1:$1,0)+1,FALSE)</f>
        <v>すべてが灰になる</v>
      </c>
      <c r="E493" s="48" t="str">
        <f ca="1">VLOOKUP($C493,OFFSET(quests!$A$1,0,0,COUNTA(quests!$A:$A),MATCH(E$2,quests!$1:$1,0)-MATCH($C$2,quests!$1:$1,0)+1),MATCH(E$2,quests!$1:$1,0)-MATCH($C$2,quests!$1:$1,0)+1,FALSE)</f>
        <v>ドロップイベント3</v>
      </c>
      <c r="F493" s="7">
        <v>2</v>
      </c>
      <c r="G493" s="7" t="s">
        <v>570</v>
      </c>
      <c r="H493" s="82" t="s">
        <v>732</v>
      </c>
      <c r="I493" s="12" t="s">
        <v>59</v>
      </c>
      <c r="J493" s="12">
        <v>298</v>
      </c>
      <c r="K493" s="167">
        <v>15</v>
      </c>
      <c r="L493" s="167">
        <v>1200</v>
      </c>
      <c r="M493" s="167">
        <v>1</v>
      </c>
      <c r="N493" s="167">
        <v>1</v>
      </c>
      <c r="O493" s="167">
        <v>1</v>
      </c>
      <c r="P493" s="167">
        <v>1</v>
      </c>
      <c r="Q493" s="167">
        <v>1</v>
      </c>
      <c r="R493" s="167">
        <v>3</v>
      </c>
      <c r="S493" s="167" t="s">
        <v>79</v>
      </c>
      <c r="T493" s="167">
        <v>0</v>
      </c>
      <c r="U493" s="7" t="s">
        <v>169</v>
      </c>
      <c r="V493" s="7" t="s">
        <v>169</v>
      </c>
      <c r="W493" s="47" t="str">
        <f t="shared" ca="1" si="20"/>
        <v/>
      </c>
      <c r="X493" s="47">
        <f ca="1">VLOOKUP($C493,OFFSET(quests!$A$1,0,0,COUNTA(quests!$A:$A),MATCH(X$2,quests!$1:$1,0)-MATCH($C$2,quests!$1:$1,0)+1),MATCH(X$2,quests!$1:$1,0)-MATCH($C$2,quests!$1:$1,0)+1,FALSE)</f>
        <v>0</v>
      </c>
      <c r="Y493" s="47">
        <f ca="1">VLOOKUP($C493,OFFSET(quests!$A$1,0,0,COUNTA(quests!$A:$A),MATCH(Y$2,quests!$1:$1,0)-MATCH($C$2,quests!$1:$1,0)+1),MATCH(Y$2,quests!$1:$1,0)-MATCH($C$2,quests!$1:$1,0)+1,FALSE)</f>
        <v>0</v>
      </c>
      <c r="Z493" s="47">
        <f ca="1">VLOOKUP($C493,OFFSET(quests!$A$1,0,0,COUNTA(quests!$A:$A),MATCH(Z$2,quests!$1:$1,0)-MATCH($C$2,quests!$1:$1,0)+1),MATCH(Z$2,quests!$1:$1,0)-MATCH($C$2,quests!$1:$1,0)+1,FALSE)</f>
        <v>0</v>
      </c>
      <c r="AA493" s="47">
        <f ca="1">VLOOKUP($C493,OFFSET(quests!$A$1,0,0,COUNTA(quests!$A:$A),MATCH(AA$2,quests!$1:$1,0)-MATCH($C$2,quests!$1:$1,0)+1),MATCH(AA$2,quests!$1:$1,0)-MATCH($C$2,quests!$1:$1,0)+1,FALSE)</f>
        <v>0</v>
      </c>
      <c r="AB493" s="7" t="s">
        <v>56</v>
      </c>
      <c r="AC493" s="7">
        <v>10</v>
      </c>
      <c r="AD493" s="7">
        <v>5</v>
      </c>
      <c r="AE493" s="7" t="s">
        <v>519</v>
      </c>
      <c r="AF493" s="255">
        <v>16</v>
      </c>
      <c r="AG493" s="7">
        <v>0</v>
      </c>
      <c r="AH493" s="7">
        <v>0</v>
      </c>
      <c r="AI493" s="7">
        <v>-1</v>
      </c>
      <c r="AJ493" s="7">
        <v>-1</v>
      </c>
      <c r="AK493" s="7" t="s">
        <v>1064</v>
      </c>
      <c r="AL493" s="12" t="s">
        <v>1695</v>
      </c>
      <c r="AM493" s="12" t="s">
        <v>2072</v>
      </c>
    </row>
    <row r="494" spans="1:39" ht="21" customHeight="1" x14ac:dyDescent="0.15">
      <c r="A494" s="42" t="str">
        <f t="shared" si="19"/>
        <v>20011_3</v>
      </c>
      <c r="B494" s="23">
        <v>3</v>
      </c>
      <c r="C494" s="31">
        <v>20011</v>
      </c>
      <c r="D494" s="47" t="str">
        <f ca="1">VLOOKUP($C494,OFFSET(quests!$A$1,0,0,COUNTA(quests!$A:$A),MATCH(D$1,quests!$1:$1,0)-MATCH($C$2,quests!$1:$1,0)+1),MATCH(D$1,quests!$1:$1,0)-MATCH($C$2,quests!$1:$1,0)+1,FALSE)</f>
        <v>すべてが灰になる</v>
      </c>
      <c r="E494" s="48" t="str">
        <f ca="1">VLOOKUP($C494,OFFSET(quests!$A$1,0,0,COUNTA(quests!$A:$A),MATCH(E$2,quests!$1:$1,0)-MATCH($C$2,quests!$1:$1,0)+1),MATCH(E$2,quests!$1:$1,0)-MATCH($C$2,quests!$1:$1,0)+1,FALSE)</f>
        <v>ドロップイベント3</v>
      </c>
      <c r="F494" s="7">
        <v>3</v>
      </c>
      <c r="G494" s="7" t="s">
        <v>570</v>
      </c>
      <c r="H494" s="82" t="s">
        <v>733</v>
      </c>
      <c r="I494" s="12" t="s">
        <v>60</v>
      </c>
      <c r="J494" s="12">
        <v>299</v>
      </c>
      <c r="K494" s="167">
        <v>20</v>
      </c>
      <c r="L494" s="167">
        <v>2000</v>
      </c>
      <c r="M494" s="167">
        <v>1</v>
      </c>
      <c r="N494" s="167">
        <v>1</v>
      </c>
      <c r="O494" s="167">
        <v>1</v>
      </c>
      <c r="P494" s="167">
        <v>1</v>
      </c>
      <c r="Q494" s="167">
        <v>1</v>
      </c>
      <c r="R494" s="167">
        <v>3</v>
      </c>
      <c r="S494" s="167" t="s">
        <v>385</v>
      </c>
      <c r="T494" s="167">
        <v>1</v>
      </c>
      <c r="U494" s="7" t="s">
        <v>169</v>
      </c>
      <c r="V494" s="7" t="s">
        <v>169</v>
      </c>
      <c r="W494" s="47" t="str">
        <f t="shared" ca="1" si="20"/>
        <v/>
      </c>
      <c r="X494" s="47">
        <f ca="1">VLOOKUP($C494,OFFSET(quests!$A$1,0,0,COUNTA(quests!$A:$A),MATCH(X$2,quests!$1:$1,0)-MATCH($C$2,quests!$1:$1,0)+1),MATCH(X$2,quests!$1:$1,0)-MATCH($C$2,quests!$1:$1,0)+1,FALSE)</f>
        <v>0</v>
      </c>
      <c r="Y494" s="47">
        <f ca="1">VLOOKUP($C494,OFFSET(quests!$A$1,0,0,COUNTA(quests!$A:$A),MATCH(Y$2,quests!$1:$1,0)-MATCH($C$2,quests!$1:$1,0)+1),MATCH(Y$2,quests!$1:$1,0)-MATCH($C$2,quests!$1:$1,0)+1,FALSE)</f>
        <v>0</v>
      </c>
      <c r="Z494" s="47">
        <f ca="1">VLOOKUP($C494,OFFSET(quests!$A$1,0,0,COUNTA(quests!$A:$A),MATCH(Z$2,quests!$1:$1,0)-MATCH($C$2,quests!$1:$1,0)+1),MATCH(Z$2,quests!$1:$1,0)-MATCH($C$2,quests!$1:$1,0)+1,FALSE)</f>
        <v>0</v>
      </c>
      <c r="AA494" s="47">
        <f ca="1">VLOOKUP($C494,OFFSET(quests!$A$1,0,0,COUNTA(quests!$A:$A),MATCH(AA$2,quests!$1:$1,0)-MATCH($C$2,quests!$1:$1,0)+1),MATCH(AA$2,quests!$1:$1,0)-MATCH($C$2,quests!$1:$1,0)+1,FALSE)</f>
        <v>0</v>
      </c>
      <c r="AB494" s="7" t="s">
        <v>56</v>
      </c>
      <c r="AC494" s="7">
        <v>10</v>
      </c>
      <c r="AD494" s="7">
        <v>5</v>
      </c>
      <c r="AE494" s="7" t="s">
        <v>519</v>
      </c>
      <c r="AF494" s="255">
        <v>16</v>
      </c>
      <c r="AG494" s="7">
        <v>0</v>
      </c>
      <c r="AH494" s="7">
        <v>0</v>
      </c>
      <c r="AI494" s="7">
        <v>-1</v>
      </c>
      <c r="AJ494" s="7">
        <v>-1</v>
      </c>
      <c r="AK494" s="7" t="s">
        <v>1064</v>
      </c>
      <c r="AL494" s="12" t="s">
        <v>1695</v>
      </c>
      <c r="AM494" s="12" t="s">
        <v>2072</v>
      </c>
    </row>
    <row r="495" spans="1:39" ht="21" customHeight="1" x14ac:dyDescent="0.15">
      <c r="A495" s="42" t="str">
        <f t="shared" si="19"/>
        <v>20012_1</v>
      </c>
      <c r="B495" s="23">
        <v>3</v>
      </c>
      <c r="C495" s="31">
        <v>20012</v>
      </c>
      <c r="D495" s="47" t="str">
        <f ca="1">VLOOKUP($C495,OFFSET(quests!$A$1,0,0,COUNTA(quests!$A:$A),MATCH(D$1,quests!$1:$1,0)-MATCH($C$2,quests!$1:$1,0)+1),MATCH(D$1,quests!$1:$1,0)-MATCH($C$2,quests!$1:$1,0)+1,FALSE)</f>
        <v>罪と劇薬</v>
      </c>
      <c r="E495" s="48" t="str">
        <f ca="1">VLOOKUP($C495,OFFSET(quests!$A$1,0,0,COUNTA(quests!$A:$A),MATCH(E$2,quests!$1:$1,0)-MATCH($C$2,quests!$1:$1,0)+1),MATCH(E$2,quests!$1:$1,0)-MATCH($C$2,quests!$1:$1,0)+1,FALSE)</f>
        <v>ドロップイベント3</v>
      </c>
      <c r="F495" s="7">
        <v>1</v>
      </c>
      <c r="G495" s="7" t="s">
        <v>570</v>
      </c>
      <c r="H495" s="82" t="s">
        <v>734</v>
      </c>
      <c r="I495" s="12" t="s">
        <v>58</v>
      </c>
      <c r="J495" s="12">
        <v>300</v>
      </c>
      <c r="K495" s="167">
        <v>8</v>
      </c>
      <c r="L495" s="167">
        <v>384</v>
      </c>
      <c r="M495" s="96">
        <v>0</v>
      </c>
      <c r="N495" s="167">
        <v>1</v>
      </c>
      <c r="O495" s="167">
        <v>1</v>
      </c>
      <c r="P495" s="167">
        <v>1</v>
      </c>
      <c r="Q495" s="167">
        <v>1</v>
      </c>
      <c r="R495" s="167">
        <v>3</v>
      </c>
      <c r="S495" s="167" t="s">
        <v>79</v>
      </c>
      <c r="T495" s="167">
        <v>0</v>
      </c>
      <c r="U495" s="7" t="s">
        <v>169</v>
      </c>
      <c r="V495" s="7" t="s">
        <v>169</v>
      </c>
      <c r="W495" s="47" t="str">
        <f t="shared" ca="1" si="20"/>
        <v/>
      </c>
      <c r="X495" s="47">
        <f ca="1">VLOOKUP($C495,OFFSET(quests!$A$1,0,0,COUNTA(quests!$A:$A),MATCH(X$2,quests!$1:$1,0)-MATCH($C$2,quests!$1:$1,0)+1),MATCH(X$2,quests!$1:$1,0)-MATCH($C$2,quests!$1:$1,0)+1,FALSE)</f>
        <v>0</v>
      </c>
      <c r="Y495" s="47">
        <f ca="1">VLOOKUP($C495,OFFSET(quests!$A$1,0,0,COUNTA(quests!$A:$A),MATCH(Y$2,quests!$1:$1,0)-MATCH($C$2,quests!$1:$1,0)+1),MATCH(Y$2,quests!$1:$1,0)-MATCH($C$2,quests!$1:$1,0)+1,FALSE)</f>
        <v>0</v>
      </c>
      <c r="Z495" s="47">
        <f ca="1">VLOOKUP($C495,OFFSET(quests!$A$1,0,0,COUNTA(quests!$A:$A),MATCH(Z$2,quests!$1:$1,0)-MATCH($C$2,quests!$1:$1,0)+1),MATCH(Z$2,quests!$1:$1,0)-MATCH($C$2,quests!$1:$1,0)+1,FALSE)</f>
        <v>0</v>
      </c>
      <c r="AA495" s="47">
        <f ca="1">VLOOKUP($C495,OFFSET(quests!$A$1,0,0,COUNTA(quests!$A:$A),MATCH(AA$2,quests!$1:$1,0)-MATCH($C$2,quests!$1:$1,0)+1),MATCH(AA$2,quests!$1:$1,0)-MATCH($C$2,quests!$1:$1,0)+1,FALSE)</f>
        <v>0</v>
      </c>
      <c r="AB495" s="7" t="s">
        <v>56</v>
      </c>
      <c r="AC495" s="7">
        <v>19</v>
      </c>
      <c r="AD495" s="7">
        <v>6</v>
      </c>
      <c r="AE495" s="7" t="s">
        <v>519</v>
      </c>
      <c r="AF495" s="33">
        <v>11</v>
      </c>
      <c r="AG495" s="7">
        <v>0</v>
      </c>
      <c r="AH495" s="7">
        <v>0</v>
      </c>
      <c r="AI495" s="7">
        <v>-1</v>
      </c>
      <c r="AJ495" s="7">
        <v>-1</v>
      </c>
      <c r="AK495" s="7" t="s">
        <v>1064</v>
      </c>
      <c r="AL495" s="12" t="s">
        <v>1695</v>
      </c>
      <c r="AM495" s="12" t="s">
        <v>2072</v>
      </c>
    </row>
    <row r="496" spans="1:39" ht="21" customHeight="1" x14ac:dyDescent="0.15">
      <c r="A496" s="42" t="str">
        <f t="shared" si="19"/>
        <v>20012_2</v>
      </c>
      <c r="B496" s="23">
        <v>3</v>
      </c>
      <c r="C496" s="31">
        <v>20012</v>
      </c>
      <c r="D496" s="47" t="str">
        <f ca="1">VLOOKUP($C496,OFFSET(quests!$A$1,0,0,COUNTA(quests!$A:$A),MATCH(D$1,quests!$1:$1,0)-MATCH($C$2,quests!$1:$1,0)+1),MATCH(D$1,quests!$1:$1,0)-MATCH($C$2,quests!$1:$1,0)+1,FALSE)</f>
        <v>罪と劇薬</v>
      </c>
      <c r="E496" s="48" t="str">
        <f ca="1">VLOOKUP($C496,OFFSET(quests!$A$1,0,0,COUNTA(quests!$A:$A),MATCH(E$2,quests!$1:$1,0)-MATCH($C$2,quests!$1:$1,0)+1),MATCH(E$2,quests!$1:$1,0)-MATCH($C$2,quests!$1:$1,0)+1,FALSE)</f>
        <v>ドロップイベント3</v>
      </c>
      <c r="F496" s="7">
        <v>2</v>
      </c>
      <c r="G496" s="7" t="s">
        <v>570</v>
      </c>
      <c r="H496" s="82" t="s">
        <v>735</v>
      </c>
      <c r="I496" s="12" t="s">
        <v>59</v>
      </c>
      <c r="J496" s="12">
        <v>300</v>
      </c>
      <c r="K496" s="167">
        <v>15</v>
      </c>
      <c r="L496" s="167">
        <v>1200</v>
      </c>
      <c r="M496" s="96">
        <v>0</v>
      </c>
      <c r="N496" s="167">
        <v>1</v>
      </c>
      <c r="O496" s="167">
        <v>1</v>
      </c>
      <c r="P496" s="167">
        <v>1</v>
      </c>
      <c r="Q496" s="167">
        <v>1</v>
      </c>
      <c r="R496" s="167">
        <v>3</v>
      </c>
      <c r="S496" s="167" t="s">
        <v>79</v>
      </c>
      <c r="T496" s="167">
        <v>0</v>
      </c>
      <c r="U496" s="7" t="s">
        <v>169</v>
      </c>
      <c r="V496" s="7" t="s">
        <v>169</v>
      </c>
      <c r="W496" s="47" t="str">
        <f t="shared" ca="1" si="20"/>
        <v/>
      </c>
      <c r="X496" s="47">
        <f ca="1">VLOOKUP($C496,OFFSET(quests!$A$1,0,0,COUNTA(quests!$A:$A),MATCH(X$2,quests!$1:$1,0)-MATCH($C$2,quests!$1:$1,0)+1),MATCH(X$2,quests!$1:$1,0)-MATCH($C$2,quests!$1:$1,0)+1,FALSE)</f>
        <v>0</v>
      </c>
      <c r="Y496" s="47">
        <f ca="1">VLOOKUP($C496,OFFSET(quests!$A$1,0,0,COUNTA(quests!$A:$A),MATCH(Y$2,quests!$1:$1,0)-MATCH($C$2,quests!$1:$1,0)+1),MATCH(Y$2,quests!$1:$1,0)-MATCH($C$2,quests!$1:$1,0)+1,FALSE)</f>
        <v>0</v>
      </c>
      <c r="Z496" s="47">
        <f ca="1">VLOOKUP($C496,OFFSET(quests!$A$1,0,0,COUNTA(quests!$A:$A),MATCH(Z$2,quests!$1:$1,0)-MATCH($C$2,quests!$1:$1,0)+1),MATCH(Z$2,quests!$1:$1,0)-MATCH($C$2,quests!$1:$1,0)+1,FALSE)</f>
        <v>0</v>
      </c>
      <c r="AA496" s="47">
        <f ca="1">VLOOKUP($C496,OFFSET(quests!$A$1,0,0,COUNTA(quests!$A:$A),MATCH(AA$2,quests!$1:$1,0)-MATCH($C$2,quests!$1:$1,0)+1),MATCH(AA$2,quests!$1:$1,0)-MATCH($C$2,quests!$1:$1,0)+1,FALSE)</f>
        <v>0</v>
      </c>
      <c r="AB496" s="7" t="s">
        <v>56</v>
      </c>
      <c r="AC496" s="7">
        <v>19</v>
      </c>
      <c r="AD496" s="7">
        <v>6</v>
      </c>
      <c r="AE496" s="7" t="s">
        <v>519</v>
      </c>
      <c r="AF496" s="33">
        <v>11</v>
      </c>
      <c r="AG496" s="7">
        <v>0</v>
      </c>
      <c r="AH496" s="7">
        <v>0</v>
      </c>
      <c r="AI496" s="7">
        <v>-1</v>
      </c>
      <c r="AJ496" s="7">
        <v>-1</v>
      </c>
      <c r="AK496" s="7" t="s">
        <v>1064</v>
      </c>
      <c r="AL496" s="12" t="s">
        <v>1695</v>
      </c>
      <c r="AM496" s="12" t="s">
        <v>2072</v>
      </c>
    </row>
    <row r="497" spans="1:39" ht="21" customHeight="1" x14ac:dyDescent="0.15">
      <c r="A497" s="42" t="str">
        <f t="shared" si="19"/>
        <v>20012_3</v>
      </c>
      <c r="B497" s="23">
        <v>3</v>
      </c>
      <c r="C497" s="31">
        <v>20012</v>
      </c>
      <c r="D497" s="47" t="str">
        <f ca="1">VLOOKUP($C497,OFFSET(quests!$A$1,0,0,COUNTA(quests!$A:$A),MATCH(D$1,quests!$1:$1,0)-MATCH($C$2,quests!$1:$1,0)+1),MATCH(D$1,quests!$1:$1,0)-MATCH($C$2,quests!$1:$1,0)+1,FALSE)</f>
        <v>罪と劇薬</v>
      </c>
      <c r="E497" s="48" t="str">
        <f ca="1">VLOOKUP($C497,OFFSET(quests!$A$1,0,0,COUNTA(quests!$A:$A),MATCH(E$2,quests!$1:$1,0)-MATCH($C$2,quests!$1:$1,0)+1),MATCH(E$2,quests!$1:$1,0)-MATCH($C$2,quests!$1:$1,0)+1,FALSE)</f>
        <v>ドロップイベント3</v>
      </c>
      <c r="F497" s="7">
        <v>3</v>
      </c>
      <c r="G497" s="7" t="s">
        <v>570</v>
      </c>
      <c r="H497" s="82" t="s">
        <v>736</v>
      </c>
      <c r="I497" s="12" t="s">
        <v>60</v>
      </c>
      <c r="J497" s="12">
        <v>301</v>
      </c>
      <c r="K497" s="167">
        <v>20</v>
      </c>
      <c r="L497" s="167">
        <v>2000</v>
      </c>
      <c r="M497" s="96">
        <v>0</v>
      </c>
      <c r="N497" s="167">
        <v>1</v>
      </c>
      <c r="O497" s="167">
        <v>1</v>
      </c>
      <c r="P497" s="167">
        <v>1</v>
      </c>
      <c r="Q497" s="167">
        <v>1</v>
      </c>
      <c r="R497" s="167">
        <v>3</v>
      </c>
      <c r="S497" s="167" t="s">
        <v>527</v>
      </c>
      <c r="T497" s="167">
        <v>1</v>
      </c>
      <c r="U497" s="7" t="s">
        <v>169</v>
      </c>
      <c r="V497" s="7" t="s">
        <v>169</v>
      </c>
      <c r="W497" s="47" t="str">
        <f t="shared" ca="1" si="20"/>
        <v/>
      </c>
      <c r="X497" s="47">
        <f ca="1">VLOOKUP($C497,OFFSET(quests!$A$1,0,0,COUNTA(quests!$A:$A),MATCH(X$2,quests!$1:$1,0)-MATCH($C$2,quests!$1:$1,0)+1),MATCH(X$2,quests!$1:$1,0)-MATCH($C$2,quests!$1:$1,0)+1,FALSE)</f>
        <v>0</v>
      </c>
      <c r="Y497" s="47">
        <f ca="1">VLOOKUP($C497,OFFSET(quests!$A$1,0,0,COUNTA(quests!$A:$A),MATCH(Y$2,quests!$1:$1,0)-MATCH($C$2,quests!$1:$1,0)+1),MATCH(Y$2,quests!$1:$1,0)-MATCH($C$2,quests!$1:$1,0)+1,FALSE)</f>
        <v>0</v>
      </c>
      <c r="Z497" s="47">
        <f ca="1">VLOOKUP($C497,OFFSET(quests!$A$1,0,0,COUNTA(quests!$A:$A),MATCH(Z$2,quests!$1:$1,0)-MATCH($C$2,quests!$1:$1,0)+1),MATCH(Z$2,quests!$1:$1,0)-MATCH($C$2,quests!$1:$1,0)+1,FALSE)</f>
        <v>0</v>
      </c>
      <c r="AA497" s="47">
        <f ca="1">VLOOKUP($C497,OFFSET(quests!$A$1,0,0,COUNTA(quests!$A:$A),MATCH(AA$2,quests!$1:$1,0)-MATCH($C$2,quests!$1:$1,0)+1),MATCH(AA$2,quests!$1:$1,0)-MATCH($C$2,quests!$1:$1,0)+1,FALSE)</f>
        <v>0</v>
      </c>
      <c r="AB497" s="7" t="s">
        <v>56</v>
      </c>
      <c r="AC497" s="7">
        <v>19</v>
      </c>
      <c r="AD497" s="7">
        <v>6</v>
      </c>
      <c r="AE497" s="7" t="s">
        <v>519</v>
      </c>
      <c r="AF497" s="33">
        <v>11</v>
      </c>
      <c r="AG497" s="7">
        <v>0</v>
      </c>
      <c r="AH497" s="7">
        <v>0</v>
      </c>
      <c r="AI497" s="7">
        <v>-1</v>
      </c>
      <c r="AJ497" s="7">
        <v>-1</v>
      </c>
      <c r="AK497" s="7" t="s">
        <v>1064</v>
      </c>
      <c r="AL497" s="12" t="s">
        <v>1695</v>
      </c>
      <c r="AM497" s="12" t="s">
        <v>2072</v>
      </c>
    </row>
    <row r="498" spans="1:39" ht="21" customHeight="1" x14ac:dyDescent="0.15">
      <c r="A498" s="42" t="str">
        <f t="shared" si="19"/>
        <v>20013_1</v>
      </c>
      <c r="B498" s="23">
        <v>3</v>
      </c>
      <c r="C498" s="31">
        <v>20013</v>
      </c>
      <c r="D498" s="47" t="str">
        <f ca="1">VLOOKUP($C498,OFFSET(quests!$A$1,0,0,COUNTA(quests!$A:$A),MATCH(D$1,quests!$1:$1,0)-MATCH($C$2,quests!$1:$1,0)+1),MATCH(D$1,quests!$1:$1,0)-MATCH($C$2,quests!$1:$1,0)+1,FALSE)</f>
        <v>天の時、地の利、人の和</v>
      </c>
      <c r="E498" s="48" t="str">
        <f ca="1">VLOOKUP($C498,OFFSET(quests!$A$1,0,0,COUNTA(quests!$A:$A),MATCH(E$2,quests!$1:$1,0)-MATCH($C$2,quests!$1:$1,0)+1),MATCH(E$2,quests!$1:$1,0)-MATCH($C$2,quests!$1:$1,0)+1,FALSE)</f>
        <v>ドロップイベント4</v>
      </c>
      <c r="F498" s="7">
        <v>1</v>
      </c>
      <c r="G498" s="7" t="s">
        <v>570</v>
      </c>
      <c r="H498" s="82" t="s">
        <v>1071</v>
      </c>
      <c r="I498" s="12" t="s">
        <v>58</v>
      </c>
      <c r="J498" s="12">
        <v>720</v>
      </c>
      <c r="K498" s="167">
        <v>8</v>
      </c>
      <c r="L498" s="167">
        <v>384</v>
      </c>
      <c r="M498" s="167">
        <v>1</v>
      </c>
      <c r="N498" s="167">
        <v>1</v>
      </c>
      <c r="O498" s="167">
        <v>1</v>
      </c>
      <c r="P498" s="167">
        <v>1</v>
      </c>
      <c r="Q498" s="167">
        <v>1</v>
      </c>
      <c r="R498" s="167">
        <v>3</v>
      </c>
      <c r="S498" s="167" t="s">
        <v>79</v>
      </c>
      <c r="T498" s="167">
        <v>0</v>
      </c>
      <c r="U498" s="7" t="s">
        <v>169</v>
      </c>
      <c r="V498" s="7" t="s">
        <v>169</v>
      </c>
      <c r="W498" s="47" t="str">
        <f t="shared" ca="1" si="20"/>
        <v/>
      </c>
      <c r="X498" s="47">
        <f ca="1">VLOOKUP($C498,OFFSET(quests!$A$1,0,0,COUNTA(quests!$A:$A),MATCH(X$2,quests!$1:$1,0)-MATCH($C$2,quests!$1:$1,0)+1),MATCH(X$2,quests!$1:$1,0)-MATCH($C$2,quests!$1:$1,0)+1,FALSE)</f>
        <v>0</v>
      </c>
      <c r="Y498" s="47">
        <f ca="1">VLOOKUP($C498,OFFSET(quests!$A$1,0,0,COUNTA(quests!$A:$A),MATCH(Y$2,quests!$1:$1,0)-MATCH($C$2,quests!$1:$1,0)+1),MATCH(Y$2,quests!$1:$1,0)-MATCH($C$2,quests!$1:$1,0)+1,FALSE)</f>
        <v>0</v>
      </c>
      <c r="Z498" s="47">
        <f ca="1">VLOOKUP($C498,OFFSET(quests!$A$1,0,0,COUNTA(quests!$A:$A),MATCH(Z$2,quests!$1:$1,0)-MATCH($C$2,quests!$1:$1,0)+1),MATCH(Z$2,quests!$1:$1,0)-MATCH($C$2,quests!$1:$1,0)+1,FALSE)</f>
        <v>0</v>
      </c>
      <c r="AA498" s="47">
        <f ca="1">VLOOKUP($C498,OFFSET(quests!$A$1,0,0,COUNTA(quests!$A:$A),MATCH(AA$2,quests!$1:$1,0)-MATCH($C$2,quests!$1:$1,0)+1),MATCH(AA$2,quests!$1:$1,0)-MATCH($C$2,quests!$1:$1,0)+1,FALSE)</f>
        <v>0</v>
      </c>
      <c r="AB498" s="7" t="s">
        <v>56</v>
      </c>
      <c r="AC498" s="7">
        <v>10</v>
      </c>
      <c r="AD498" s="7">
        <v>6</v>
      </c>
      <c r="AE498" s="7" t="s">
        <v>519</v>
      </c>
      <c r="AF498" s="255">
        <v>16</v>
      </c>
      <c r="AG498" s="7">
        <v>0</v>
      </c>
      <c r="AH498" s="7">
        <v>0</v>
      </c>
      <c r="AI498" s="7">
        <v>-1</v>
      </c>
      <c r="AJ498" s="7">
        <v>-1</v>
      </c>
      <c r="AK498" s="7" t="s">
        <v>1064</v>
      </c>
      <c r="AL498" s="12" t="s">
        <v>1695</v>
      </c>
      <c r="AM498" s="12" t="s">
        <v>2072</v>
      </c>
    </row>
    <row r="499" spans="1:39" ht="21" customHeight="1" x14ac:dyDescent="0.15">
      <c r="A499" s="42" t="str">
        <f t="shared" si="19"/>
        <v>20013_2</v>
      </c>
      <c r="B499" s="23">
        <v>3</v>
      </c>
      <c r="C499" s="31">
        <v>20013</v>
      </c>
      <c r="D499" s="47" t="str">
        <f ca="1">VLOOKUP($C499,OFFSET(quests!$A$1,0,0,COUNTA(quests!$A:$A),MATCH(D$1,quests!$1:$1,0)-MATCH($C$2,quests!$1:$1,0)+1),MATCH(D$1,quests!$1:$1,0)-MATCH($C$2,quests!$1:$1,0)+1,FALSE)</f>
        <v>天の時、地の利、人の和</v>
      </c>
      <c r="E499" s="48" t="str">
        <f ca="1">VLOOKUP($C499,OFFSET(quests!$A$1,0,0,COUNTA(quests!$A:$A),MATCH(E$2,quests!$1:$1,0)-MATCH($C$2,quests!$1:$1,0)+1),MATCH(E$2,quests!$1:$1,0)-MATCH($C$2,quests!$1:$1,0)+1,FALSE)</f>
        <v>ドロップイベント4</v>
      </c>
      <c r="F499" s="7">
        <v>2</v>
      </c>
      <c r="G499" s="7" t="s">
        <v>570</v>
      </c>
      <c r="H499" s="82" t="s">
        <v>1072</v>
      </c>
      <c r="I499" s="12" t="s">
        <v>59</v>
      </c>
      <c r="J499" s="12">
        <v>720</v>
      </c>
      <c r="K499" s="167">
        <v>15</v>
      </c>
      <c r="L499" s="167">
        <v>1200</v>
      </c>
      <c r="M499" s="167">
        <v>1</v>
      </c>
      <c r="N499" s="167">
        <v>1</v>
      </c>
      <c r="O499" s="167">
        <v>1</v>
      </c>
      <c r="P499" s="167">
        <v>1</v>
      </c>
      <c r="Q499" s="167">
        <v>1</v>
      </c>
      <c r="R499" s="167">
        <v>3</v>
      </c>
      <c r="S499" s="167" t="s">
        <v>79</v>
      </c>
      <c r="T499" s="167">
        <v>0</v>
      </c>
      <c r="U499" s="7" t="s">
        <v>169</v>
      </c>
      <c r="V499" s="7" t="s">
        <v>169</v>
      </c>
      <c r="W499" s="47" t="str">
        <f t="shared" ca="1" si="20"/>
        <v/>
      </c>
      <c r="X499" s="47">
        <f ca="1">VLOOKUP($C499,OFFSET(quests!$A$1,0,0,COUNTA(quests!$A:$A),MATCH(X$2,quests!$1:$1,0)-MATCH($C$2,quests!$1:$1,0)+1),MATCH(X$2,quests!$1:$1,0)-MATCH($C$2,quests!$1:$1,0)+1,FALSE)</f>
        <v>0</v>
      </c>
      <c r="Y499" s="47">
        <f ca="1">VLOOKUP($C499,OFFSET(quests!$A$1,0,0,COUNTA(quests!$A:$A),MATCH(Y$2,quests!$1:$1,0)-MATCH($C$2,quests!$1:$1,0)+1),MATCH(Y$2,quests!$1:$1,0)-MATCH($C$2,quests!$1:$1,0)+1,FALSE)</f>
        <v>0</v>
      </c>
      <c r="Z499" s="47">
        <f ca="1">VLOOKUP($C499,OFFSET(quests!$A$1,0,0,COUNTA(quests!$A:$A),MATCH(Z$2,quests!$1:$1,0)-MATCH($C$2,quests!$1:$1,0)+1),MATCH(Z$2,quests!$1:$1,0)-MATCH($C$2,quests!$1:$1,0)+1,FALSE)</f>
        <v>0</v>
      </c>
      <c r="AA499" s="47">
        <f ca="1">VLOOKUP($C499,OFFSET(quests!$A$1,0,0,COUNTA(quests!$A:$A),MATCH(AA$2,quests!$1:$1,0)-MATCH($C$2,quests!$1:$1,0)+1),MATCH(AA$2,quests!$1:$1,0)-MATCH($C$2,quests!$1:$1,0)+1,FALSE)</f>
        <v>0</v>
      </c>
      <c r="AB499" s="7" t="s">
        <v>56</v>
      </c>
      <c r="AC499" s="7">
        <v>10</v>
      </c>
      <c r="AD499" s="7">
        <v>6</v>
      </c>
      <c r="AE499" s="7" t="s">
        <v>519</v>
      </c>
      <c r="AF499" s="255">
        <v>16</v>
      </c>
      <c r="AG499" s="7">
        <v>0</v>
      </c>
      <c r="AH499" s="7">
        <v>0</v>
      </c>
      <c r="AI499" s="7">
        <v>-1</v>
      </c>
      <c r="AJ499" s="7">
        <v>-1</v>
      </c>
      <c r="AK499" s="7" t="s">
        <v>1064</v>
      </c>
      <c r="AL499" s="12" t="s">
        <v>1695</v>
      </c>
      <c r="AM499" s="12" t="s">
        <v>2072</v>
      </c>
    </row>
    <row r="500" spans="1:39" ht="22" customHeight="1" x14ac:dyDescent="0.15">
      <c r="A500" s="42" t="str">
        <f t="shared" si="19"/>
        <v>20013_3</v>
      </c>
      <c r="B500" s="23">
        <v>3</v>
      </c>
      <c r="C500" s="31">
        <v>20013</v>
      </c>
      <c r="D500" s="47" t="str">
        <f ca="1">VLOOKUP($C500,OFFSET(quests!$A$1,0,0,COUNTA(quests!$A:$A),MATCH(D$1,quests!$1:$1,0)-MATCH($C$2,quests!$1:$1,0)+1),MATCH(D$1,quests!$1:$1,0)-MATCH($C$2,quests!$1:$1,0)+1,FALSE)</f>
        <v>天の時、地の利、人の和</v>
      </c>
      <c r="E500" s="48" t="str">
        <f ca="1">VLOOKUP($C500,OFFSET(quests!$A$1,0,0,COUNTA(quests!$A:$A),MATCH(E$2,quests!$1:$1,0)-MATCH($C$2,quests!$1:$1,0)+1),MATCH(E$2,quests!$1:$1,0)-MATCH($C$2,quests!$1:$1,0)+1,FALSE)</f>
        <v>ドロップイベント4</v>
      </c>
      <c r="F500" s="7">
        <v>3</v>
      </c>
      <c r="G500" s="7" t="s">
        <v>570</v>
      </c>
      <c r="H500" s="82" t="s">
        <v>1073</v>
      </c>
      <c r="I500" s="12" t="s">
        <v>60</v>
      </c>
      <c r="J500" s="12">
        <v>721</v>
      </c>
      <c r="K500" s="167">
        <v>20</v>
      </c>
      <c r="L500" s="167">
        <v>2000</v>
      </c>
      <c r="M500" s="167">
        <v>1</v>
      </c>
      <c r="N500" s="167">
        <v>1</v>
      </c>
      <c r="O500" s="167">
        <v>1</v>
      </c>
      <c r="P500" s="167">
        <v>1</v>
      </c>
      <c r="Q500" s="167">
        <v>1</v>
      </c>
      <c r="R500" s="167">
        <v>3</v>
      </c>
      <c r="S500" s="167" t="s">
        <v>527</v>
      </c>
      <c r="T500" s="167">
        <v>1</v>
      </c>
      <c r="U500" s="7" t="s">
        <v>169</v>
      </c>
      <c r="V500" s="7" t="s">
        <v>169</v>
      </c>
      <c r="W500" s="47" t="str">
        <f t="shared" ca="1" si="20"/>
        <v/>
      </c>
      <c r="X500" s="47">
        <f ca="1">VLOOKUP($C500,OFFSET(quests!$A$1,0,0,COUNTA(quests!$A:$A),MATCH(X$2,quests!$1:$1,0)-MATCH($C$2,quests!$1:$1,0)+1),MATCH(X$2,quests!$1:$1,0)-MATCH($C$2,quests!$1:$1,0)+1,FALSE)</f>
        <v>0</v>
      </c>
      <c r="Y500" s="47">
        <f ca="1">VLOOKUP($C500,OFFSET(quests!$A$1,0,0,COUNTA(quests!$A:$A),MATCH(Y$2,quests!$1:$1,0)-MATCH($C$2,quests!$1:$1,0)+1),MATCH(Y$2,quests!$1:$1,0)-MATCH($C$2,quests!$1:$1,0)+1,FALSE)</f>
        <v>0</v>
      </c>
      <c r="Z500" s="47">
        <f ca="1">VLOOKUP($C500,OFFSET(quests!$A$1,0,0,COUNTA(quests!$A:$A),MATCH(Z$2,quests!$1:$1,0)-MATCH($C$2,quests!$1:$1,0)+1),MATCH(Z$2,quests!$1:$1,0)-MATCH($C$2,quests!$1:$1,0)+1,FALSE)</f>
        <v>0</v>
      </c>
      <c r="AA500" s="47">
        <f ca="1">VLOOKUP($C500,OFFSET(quests!$A$1,0,0,COUNTA(quests!$A:$A),MATCH(AA$2,quests!$1:$1,0)-MATCH($C$2,quests!$1:$1,0)+1),MATCH(AA$2,quests!$1:$1,0)-MATCH($C$2,quests!$1:$1,0)+1,FALSE)</f>
        <v>0</v>
      </c>
      <c r="AB500" s="7" t="s">
        <v>56</v>
      </c>
      <c r="AC500" s="7">
        <v>10</v>
      </c>
      <c r="AD500" s="7">
        <v>6</v>
      </c>
      <c r="AE500" s="7" t="s">
        <v>519</v>
      </c>
      <c r="AF500" s="255">
        <v>16</v>
      </c>
      <c r="AG500" s="7">
        <v>0</v>
      </c>
      <c r="AH500" s="7">
        <v>0</v>
      </c>
      <c r="AI500" s="7">
        <v>-1</v>
      </c>
      <c r="AJ500" s="7">
        <v>-1</v>
      </c>
      <c r="AK500" s="7" t="s">
        <v>1064</v>
      </c>
      <c r="AL500" s="12" t="s">
        <v>1695</v>
      </c>
      <c r="AM500" s="12" t="s">
        <v>2072</v>
      </c>
    </row>
    <row r="501" spans="1:39" ht="21" customHeight="1" x14ac:dyDescent="0.15">
      <c r="A501" s="42" t="str">
        <f t="shared" si="19"/>
        <v>20014_1</v>
      </c>
      <c r="B501" s="23">
        <v>3</v>
      </c>
      <c r="C501" s="31">
        <v>20014</v>
      </c>
      <c r="D501" s="47" t="str">
        <f ca="1">VLOOKUP($C501,OFFSET(quests!$A$1,0,0,COUNTA(quests!$A:$A),MATCH(D$1,quests!$1:$1,0)-MATCH($C$2,quests!$1:$1,0)+1),MATCH(D$1,quests!$1:$1,0)-MATCH($C$2,quests!$1:$1,0)+1,FALSE)</f>
        <v>魅了する歌声</v>
      </c>
      <c r="E501" s="48" t="str">
        <f ca="1">VLOOKUP($C501,OFFSET(quests!$A$1,0,0,COUNTA(quests!$A:$A),MATCH(E$2,quests!$1:$1,0)-MATCH($C$2,quests!$1:$1,0)+1),MATCH(E$2,quests!$1:$1,0)-MATCH($C$2,quests!$1:$1,0)+1,FALSE)</f>
        <v>天使と悪魔編1</v>
      </c>
      <c r="F501" s="7">
        <v>1</v>
      </c>
      <c r="G501" s="7" t="s">
        <v>570</v>
      </c>
      <c r="H501" s="82" t="s">
        <v>1157</v>
      </c>
      <c r="I501" s="12" t="s">
        <v>58</v>
      </c>
      <c r="J501" s="12">
        <v>842</v>
      </c>
      <c r="K501" s="167">
        <v>8</v>
      </c>
      <c r="L501" s="167">
        <v>384</v>
      </c>
      <c r="M501" s="167">
        <v>1</v>
      </c>
      <c r="N501" s="167">
        <v>1</v>
      </c>
      <c r="O501" s="167">
        <v>1</v>
      </c>
      <c r="P501" s="167">
        <v>1</v>
      </c>
      <c r="Q501" s="167">
        <v>1</v>
      </c>
      <c r="R501" s="167">
        <v>3</v>
      </c>
      <c r="S501" s="167" t="s">
        <v>79</v>
      </c>
      <c r="T501" s="167">
        <v>0</v>
      </c>
      <c r="U501" s="7" t="s">
        <v>169</v>
      </c>
      <c r="V501" s="7" t="s">
        <v>169</v>
      </c>
      <c r="W501" s="47" t="str">
        <f t="shared" ca="1" si="20"/>
        <v/>
      </c>
      <c r="X501" s="47">
        <f ca="1">VLOOKUP($C501,OFFSET(quests!$A$1,0,0,COUNTA(quests!$A:$A),MATCH(X$2,quests!$1:$1,0)-MATCH($C$2,quests!$1:$1,0)+1),MATCH(X$2,quests!$1:$1,0)-MATCH($C$2,quests!$1:$1,0)+1,FALSE)</f>
        <v>0</v>
      </c>
      <c r="Y501" s="47">
        <f ca="1">VLOOKUP($C501,OFFSET(quests!$A$1,0,0,COUNTA(quests!$A:$A),MATCH(Y$2,quests!$1:$1,0)-MATCH($C$2,quests!$1:$1,0)+1),MATCH(Y$2,quests!$1:$1,0)-MATCH($C$2,quests!$1:$1,0)+1,FALSE)</f>
        <v>0</v>
      </c>
      <c r="Z501" s="47">
        <f ca="1">VLOOKUP($C501,OFFSET(quests!$A$1,0,0,COUNTA(quests!$A:$A),MATCH(Z$2,quests!$1:$1,0)-MATCH($C$2,quests!$1:$1,0)+1),MATCH(Z$2,quests!$1:$1,0)-MATCH($C$2,quests!$1:$1,0)+1,FALSE)</f>
        <v>0</v>
      </c>
      <c r="AA501" s="47">
        <f ca="1">VLOOKUP($C501,OFFSET(quests!$A$1,0,0,COUNTA(quests!$A:$A),MATCH(AA$2,quests!$1:$1,0)-MATCH($C$2,quests!$1:$1,0)+1),MATCH(AA$2,quests!$1:$1,0)-MATCH($C$2,quests!$1:$1,0)+1,FALSE)</f>
        <v>0</v>
      </c>
      <c r="AB501" s="7" t="s">
        <v>56</v>
      </c>
      <c r="AC501" s="7">
        <v>17</v>
      </c>
      <c r="AD501" s="7">
        <v>4</v>
      </c>
      <c r="AE501" s="7" t="s">
        <v>519</v>
      </c>
      <c r="AF501" s="96">
        <v>17</v>
      </c>
      <c r="AG501" s="7">
        <v>0</v>
      </c>
      <c r="AH501" s="7">
        <v>0</v>
      </c>
      <c r="AI501" s="7">
        <v>-1</v>
      </c>
      <c r="AJ501" s="7">
        <v>-1</v>
      </c>
      <c r="AK501" s="7" t="s">
        <v>1064</v>
      </c>
      <c r="AL501" s="12" t="s">
        <v>1695</v>
      </c>
      <c r="AM501" s="12" t="s">
        <v>2072</v>
      </c>
    </row>
    <row r="502" spans="1:39" ht="21" customHeight="1" x14ac:dyDescent="0.15">
      <c r="A502" s="42" t="str">
        <f t="shared" ref="A502:A566" si="21">C502&amp;"_"&amp;F502</f>
        <v>20014_2</v>
      </c>
      <c r="B502" s="23">
        <v>3</v>
      </c>
      <c r="C502" s="31">
        <v>20014</v>
      </c>
      <c r="D502" s="47" t="str">
        <f ca="1">VLOOKUP($C502,OFFSET(quests!$A$1,0,0,COUNTA(quests!$A:$A),MATCH(D$1,quests!$1:$1,0)-MATCH($C$2,quests!$1:$1,0)+1),MATCH(D$1,quests!$1:$1,0)-MATCH($C$2,quests!$1:$1,0)+1,FALSE)</f>
        <v>魅了する歌声</v>
      </c>
      <c r="E502" s="48" t="str">
        <f ca="1">VLOOKUP($C502,OFFSET(quests!$A$1,0,0,COUNTA(quests!$A:$A),MATCH(E$2,quests!$1:$1,0)-MATCH($C$2,quests!$1:$1,0)+1),MATCH(E$2,quests!$1:$1,0)-MATCH($C$2,quests!$1:$1,0)+1,FALSE)</f>
        <v>天使と悪魔編1</v>
      </c>
      <c r="F502" s="7">
        <v>2</v>
      </c>
      <c r="G502" s="7" t="s">
        <v>570</v>
      </c>
      <c r="H502" s="82" t="s">
        <v>1158</v>
      </c>
      <c r="I502" s="12" t="s">
        <v>59</v>
      </c>
      <c r="J502" s="12">
        <v>842</v>
      </c>
      <c r="K502" s="167">
        <v>15</v>
      </c>
      <c r="L502" s="167">
        <v>1200</v>
      </c>
      <c r="M502" s="167">
        <v>1</v>
      </c>
      <c r="N502" s="167">
        <v>1</v>
      </c>
      <c r="O502" s="167">
        <v>1</v>
      </c>
      <c r="P502" s="167">
        <v>1</v>
      </c>
      <c r="Q502" s="167">
        <v>1</v>
      </c>
      <c r="R502" s="167">
        <v>3</v>
      </c>
      <c r="S502" s="167" t="s">
        <v>79</v>
      </c>
      <c r="T502" s="167">
        <v>0</v>
      </c>
      <c r="U502" s="7" t="s">
        <v>169</v>
      </c>
      <c r="V502" s="7" t="s">
        <v>169</v>
      </c>
      <c r="W502" s="47" t="str">
        <f t="shared" ca="1" si="20"/>
        <v/>
      </c>
      <c r="X502" s="47">
        <f ca="1">VLOOKUP($C502,OFFSET(quests!$A$1,0,0,COUNTA(quests!$A:$A),MATCH(X$2,quests!$1:$1,0)-MATCH($C$2,quests!$1:$1,0)+1),MATCH(X$2,quests!$1:$1,0)-MATCH($C$2,quests!$1:$1,0)+1,FALSE)</f>
        <v>0</v>
      </c>
      <c r="Y502" s="47">
        <f ca="1">VLOOKUP($C502,OFFSET(quests!$A$1,0,0,COUNTA(quests!$A:$A),MATCH(Y$2,quests!$1:$1,0)-MATCH($C$2,quests!$1:$1,0)+1),MATCH(Y$2,quests!$1:$1,0)-MATCH($C$2,quests!$1:$1,0)+1,FALSE)</f>
        <v>0</v>
      </c>
      <c r="Z502" s="47">
        <f ca="1">VLOOKUP($C502,OFFSET(quests!$A$1,0,0,COUNTA(quests!$A:$A),MATCH(Z$2,quests!$1:$1,0)-MATCH($C$2,quests!$1:$1,0)+1),MATCH(Z$2,quests!$1:$1,0)-MATCH($C$2,quests!$1:$1,0)+1,FALSE)</f>
        <v>0</v>
      </c>
      <c r="AA502" s="47">
        <f ca="1">VLOOKUP($C502,OFFSET(quests!$A$1,0,0,COUNTA(quests!$A:$A),MATCH(AA$2,quests!$1:$1,0)-MATCH($C$2,quests!$1:$1,0)+1),MATCH(AA$2,quests!$1:$1,0)-MATCH($C$2,quests!$1:$1,0)+1,FALSE)</f>
        <v>0</v>
      </c>
      <c r="AB502" s="7" t="s">
        <v>56</v>
      </c>
      <c r="AC502" s="7">
        <v>17</v>
      </c>
      <c r="AD502" s="7">
        <v>4</v>
      </c>
      <c r="AE502" s="7" t="s">
        <v>519</v>
      </c>
      <c r="AF502" s="96">
        <v>17</v>
      </c>
      <c r="AG502" s="7">
        <v>0</v>
      </c>
      <c r="AH502" s="7">
        <v>0</v>
      </c>
      <c r="AI502" s="7">
        <v>-1</v>
      </c>
      <c r="AJ502" s="7">
        <v>-1</v>
      </c>
      <c r="AK502" s="7" t="s">
        <v>1064</v>
      </c>
      <c r="AL502" s="12" t="s">
        <v>1695</v>
      </c>
      <c r="AM502" s="12" t="s">
        <v>2072</v>
      </c>
    </row>
    <row r="503" spans="1:39" ht="22" customHeight="1" x14ac:dyDescent="0.15">
      <c r="A503" s="42" t="str">
        <f t="shared" si="21"/>
        <v>20014_3</v>
      </c>
      <c r="B503" s="23">
        <v>3</v>
      </c>
      <c r="C503" s="31">
        <v>20014</v>
      </c>
      <c r="D503" s="47" t="str">
        <f ca="1">VLOOKUP($C503,OFFSET(quests!$A$1,0,0,COUNTA(quests!$A:$A),MATCH(D$1,quests!$1:$1,0)-MATCH($C$2,quests!$1:$1,0)+1),MATCH(D$1,quests!$1:$1,0)-MATCH($C$2,quests!$1:$1,0)+1,FALSE)</f>
        <v>魅了する歌声</v>
      </c>
      <c r="E503" s="48" t="str">
        <f ca="1">VLOOKUP($C503,OFFSET(quests!$A$1,0,0,COUNTA(quests!$A:$A),MATCH(E$2,quests!$1:$1,0)-MATCH($C$2,quests!$1:$1,0)+1),MATCH(E$2,quests!$1:$1,0)-MATCH($C$2,quests!$1:$1,0)+1,FALSE)</f>
        <v>天使と悪魔編1</v>
      </c>
      <c r="F503" s="7">
        <v>3</v>
      </c>
      <c r="G503" s="7" t="s">
        <v>570</v>
      </c>
      <c r="H503" s="82" t="s">
        <v>1159</v>
      </c>
      <c r="I503" s="12" t="s">
        <v>60</v>
      </c>
      <c r="J503" s="12">
        <v>842</v>
      </c>
      <c r="K503" s="167">
        <v>20</v>
      </c>
      <c r="L503" s="167">
        <v>2000</v>
      </c>
      <c r="M503" s="167">
        <v>1</v>
      </c>
      <c r="N503" s="167">
        <v>1</v>
      </c>
      <c r="O503" s="167">
        <v>1</v>
      </c>
      <c r="P503" s="167">
        <v>1</v>
      </c>
      <c r="Q503" s="167">
        <v>1</v>
      </c>
      <c r="R503" s="167">
        <v>3</v>
      </c>
      <c r="S503" s="167" t="s">
        <v>527</v>
      </c>
      <c r="T503" s="167">
        <v>1</v>
      </c>
      <c r="U503" s="7" t="s">
        <v>169</v>
      </c>
      <c r="V503" s="7" t="s">
        <v>169</v>
      </c>
      <c r="W503" s="47" t="str">
        <f t="shared" ca="1" si="20"/>
        <v/>
      </c>
      <c r="X503" s="47">
        <f ca="1">VLOOKUP($C503,OFFSET(quests!$A$1,0,0,COUNTA(quests!$A:$A),MATCH(X$2,quests!$1:$1,0)-MATCH($C$2,quests!$1:$1,0)+1),MATCH(X$2,quests!$1:$1,0)-MATCH($C$2,quests!$1:$1,0)+1,FALSE)</f>
        <v>0</v>
      </c>
      <c r="Y503" s="47">
        <f ca="1">VLOOKUP($C503,OFFSET(quests!$A$1,0,0,COUNTA(quests!$A:$A),MATCH(Y$2,quests!$1:$1,0)-MATCH($C$2,quests!$1:$1,0)+1),MATCH(Y$2,quests!$1:$1,0)-MATCH($C$2,quests!$1:$1,0)+1,FALSE)</f>
        <v>0</v>
      </c>
      <c r="Z503" s="47">
        <f ca="1">VLOOKUP($C503,OFFSET(quests!$A$1,0,0,COUNTA(quests!$A:$A),MATCH(Z$2,quests!$1:$1,0)-MATCH($C$2,quests!$1:$1,0)+1),MATCH(Z$2,quests!$1:$1,0)-MATCH($C$2,quests!$1:$1,0)+1,FALSE)</f>
        <v>0</v>
      </c>
      <c r="AA503" s="47">
        <f ca="1">VLOOKUP($C503,OFFSET(quests!$A$1,0,0,COUNTA(quests!$A:$A),MATCH(AA$2,quests!$1:$1,0)-MATCH($C$2,quests!$1:$1,0)+1),MATCH(AA$2,quests!$1:$1,0)-MATCH($C$2,quests!$1:$1,0)+1,FALSE)</f>
        <v>0</v>
      </c>
      <c r="AB503" s="7" t="s">
        <v>56</v>
      </c>
      <c r="AC503" s="7">
        <v>17</v>
      </c>
      <c r="AD503" s="7">
        <v>4</v>
      </c>
      <c r="AE503" s="7" t="s">
        <v>519</v>
      </c>
      <c r="AF503" s="96">
        <v>17</v>
      </c>
      <c r="AG503" s="7">
        <v>0</v>
      </c>
      <c r="AH503" s="7">
        <v>0</v>
      </c>
      <c r="AI503" s="7">
        <v>-1</v>
      </c>
      <c r="AJ503" s="7">
        <v>-1</v>
      </c>
      <c r="AK503" s="7" t="s">
        <v>1064</v>
      </c>
      <c r="AL503" s="12" t="s">
        <v>1695</v>
      </c>
      <c r="AM503" s="12" t="s">
        <v>2072</v>
      </c>
    </row>
    <row r="504" spans="1:39" ht="22" customHeight="1" x14ac:dyDescent="0.15">
      <c r="A504" s="42" t="str">
        <f t="shared" si="21"/>
        <v>20015_1</v>
      </c>
      <c r="B504" s="23">
        <v>3</v>
      </c>
      <c r="C504" s="31">
        <v>20015</v>
      </c>
      <c r="D504" s="47" t="str">
        <f ca="1">VLOOKUP($C504,OFFSET(quests!$A$1,0,0,COUNTA(quests!$A:$A),MATCH(D$1,quests!$1:$1,0)-MATCH($C$2,quests!$1:$1,0)+1),MATCH(D$1,quests!$1:$1,0)-MATCH($C$2,quests!$1:$1,0)+1,FALSE)</f>
        <v>妄執とり憑く美貌の妃</v>
      </c>
      <c r="E504" s="48" t="str">
        <f ca="1">VLOOKUP($C504,OFFSET(quests!$A$1,0,0,COUNTA(quests!$A:$A),MATCH(E$2,quests!$1:$1,0)-MATCH($C$2,quests!$1:$1,0)+1),MATCH(E$2,quests!$1:$1,0)-MATCH($C$2,quests!$1:$1,0)+1,FALSE)</f>
        <v>おとぎ話シリーズ3</v>
      </c>
      <c r="F504" s="7">
        <v>1</v>
      </c>
      <c r="G504" s="7" t="s">
        <v>568</v>
      </c>
      <c r="H504" s="82" t="s">
        <v>1211</v>
      </c>
      <c r="I504" s="12" t="s">
        <v>58</v>
      </c>
      <c r="J504" s="12">
        <v>856</v>
      </c>
      <c r="K504" s="167">
        <v>8</v>
      </c>
      <c r="L504" s="167">
        <v>384</v>
      </c>
      <c r="M504" s="167">
        <v>1</v>
      </c>
      <c r="N504" s="167">
        <v>1</v>
      </c>
      <c r="O504" s="167">
        <v>1</v>
      </c>
      <c r="P504" s="167">
        <v>1</v>
      </c>
      <c r="Q504" s="167">
        <v>1</v>
      </c>
      <c r="R504" s="167">
        <v>3</v>
      </c>
      <c r="S504" s="167" t="s">
        <v>79</v>
      </c>
      <c r="T504" s="167">
        <v>0</v>
      </c>
      <c r="U504" s="7" t="s">
        <v>169</v>
      </c>
      <c r="V504" s="7" t="s">
        <v>169</v>
      </c>
      <c r="W504" s="47" t="str">
        <f t="shared" ca="1" si="20"/>
        <v/>
      </c>
      <c r="X504" s="47">
        <f ca="1">VLOOKUP($C504,OFFSET(quests!$A$1,0,0,COUNTA(quests!$A:$A),MATCH(X$2,quests!$1:$1,0)-MATCH($C$2,quests!$1:$1,0)+1),MATCH(X$2,quests!$1:$1,0)-MATCH($C$2,quests!$1:$1,0)+1,FALSE)</f>
        <v>0</v>
      </c>
      <c r="Y504" s="47">
        <f ca="1">VLOOKUP($C504,OFFSET(quests!$A$1,0,0,COUNTA(quests!$A:$A),MATCH(Y$2,quests!$1:$1,0)-MATCH($C$2,quests!$1:$1,0)+1),MATCH(Y$2,quests!$1:$1,0)-MATCH($C$2,quests!$1:$1,0)+1,FALSE)</f>
        <v>0</v>
      </c>
      <c r="Z504" s="47">
        <f ca="1">VLOOKUP($C504,OFFSET(quests!$A$1,0,0,COUNTA(quests!$A:$A),MATCH(Z$2,quests!$1:$1,0)-MATCH($C$2,quests!$1:$1,0)+1),MATCH(Z$2,quests!$1:$1,0)-MATCH($C$2,quests!$1:$1,0)+1,FALSE)</f>
        <v>0</v>
      </c>
      <c r="AA504" s="47">
        <f ca="1">VLOOKUP($C504,OFFSET(quests!$A$1,0,0,COUNTA(quests!$A:$A),MATCH(AA$2,quests!$1:$1,0)-MATCH($C$2,quests!$1:$1,0)+1),MATCH(AA$2,quests!$1:$1,0)-MATCH($C$2,quests!$1:$1,0)+1,FALSE)</f>
        <v>0</v>
      </c>
      <c r="AB504" s="7" t="s">
        <v>56</v>
      </c>
      <c r="AC504" s="7">
        <v>6</v>
      </c>
      <c r="AD504" s="7">
        <v>6</v>
      </c>
      <c r="AE504" s="7" t="s">
        <v>519</v>
      </c>
      <c r="AF504" s="255">
        <v>16</v>
      </c>
      <c r="AG504" s="7">
        <v>0</v>
      </c>
      <c r="AH504" s="7">
        <v>0</v>
      </c>
      <c r="AI504" s="7">
        <v>-1</v>
      </c>
      <c r="AJ504" s="7">
        <v>-1</v>
      </c>
      <c r="AK504" s="7" t="s">
        <v>1064</v>
      </c>
      <c r="AL504" s="12" t="s">
        <v>1695</v>
      </c>
      <c r="AM504" s="12" t="s">
        <v>2072</v>
      </c>
    </row>
    <row r="505" spans="1:39" ht="22" customHeight="1" x14ac:dyDescent="0.15">
      <c r="A505" s="42" t="str">
        <f t="shared" si="21"/>
        <v>20015_2</v>
      </c>
      <c r="B505" s="23">
        <v>3</v>
      </c>
      <c r="C505" s="31">
        <v>20015</v>
      </c>
      <c r="D505" s="47" t="str">
        <f ca="1">VLOOKUP($C505,OFFSET(quests!$A$1,0,0,COUNTA(quests!$A:$A),MATCH(D$1,quests!$1:$1,0)-MATCH($C$2,quests!$1:$1,0)+1),MATCH(D$1,quests!$1:$1,0)-MATCH($C$2,quests!$1:$1,0)+1,FALSE)</f>
        <v>妄執とり憑く美貌の妃</v>
      </c>
      <c r="E505" s="48" t="str">
        <f ca="1">VLOOKUP($C505,OFFSET(quests!$A$1,0,0,COUNTA(quests!$A:$A),MATCH(E$2,quests!$1:$1,0)-MATCH($C$2,quests!$1:$1,0)+1),MATCH(E$2,quests!$1:$1,0)-MATCH($C$2,quests!$1:$1,0)+1,FALSE)</f>
        <v>おとぎ話シリーズ3</v>
      </c>
      <c r="F505" s="7">
        <v>2</v>
      </c>
      <c r="G505" s="7" t="s">
        <v>568</v>
      </c>
      <c r="H505" s="82" t="s">
        <v>1212</v>
      </c>
      <c r="I505" s="12" t="s">
        <v>59</v>
      </c>
      <c r="J505" s="12">
        <v>856</v>
      </c>
      <c r="K505" s="167">
        <v>15</v>
      </c>
      <c r="L505" s="167">
        <v>1200</v>
      </c>
      <c r="M505" s="167">
        <v>1</v>
      </c>
      <c r="N505" s="167">
        <v>1</v>
      </c>
      <c r="O505" s="167">
        <v>1</v>
      </c>
      <c r="P505" s="167">
        <v>1</v>
      </c>
      <c r="Q505" s="167">
        <v>1</v>
      </c>
      <c r="R505" s="167">
        <v>3</v>
      </c>
      <c r="S505" s="167" t="s">
        <v>79</v>
      </c>
      <c r="T505" s="167">
        <v>0</v>
      </c>
      <c r="U505" s="7" t="s">
        <v>169</v>
      </c>
      <c r="V505" s="7" t="s">
        <v>169</v>
      </c>
      <c r="W505" s="47" t="str">
        <f t="shared" ca="1" si="20"/>
        <v/>
      </c>
      <c r="X505" s="47">
        <f ca="1">VLOOKUP($C505,OFFSET(quests!$A$1,0,0,COUNTA(quests!$A:$A),MATCH(X$2,quests!$1:$1,0)-MATCH($C$2,quests!$1:$1,0)+1),MATCH(X$2,quests!$1:$1,0)-MATCH($C$2,quests!$1:$1,0)+1,FALSE)</f>
        <v>0</v>
      </c>
      <c r="Y505" s="47">
        <f ca="1">VLOOKUP($C505,OFFSET(quests!$A$1,0,0,COUNTA(quests!$A:$A),MATCH(Y$2,quests!$1:$1,0)-MATCH($C$2,quests!$1:$1,0)+1),MATCH(Y$2,quests!$1:$1,0)-MATCH($C$2,quests!$1:$1,0)+1,FALSE)</f>
        <v>0</v>
      </c>
      <c r="Z505" s="47">
        <f ca="1">VLOOKUP($C505,OFFSET(quests!$A$1,0,0,COUNTA(quests!$A:$A),MATCH(Z$2,quests!$1:$1,0)-MATCH($C$2,quests!$1:$1,0)+1),MATCH(Z$2,quests!$1:$1,0)-MATCH($C$2,quests!$1:$1,0)+1,FALSE)</f>
        <v>0</v>
      </c>
      <c r="AA505" s="47">
        <f ca="1">VLOOKUP($C505,OFFSET(quests!$A$1,0,0,COUNTA(quests!$A:$A),MATCH(AA$2,quests!$1:$1,0)-MATCH($C$2,quests!$1:$1,0)+1),MATCH(AA$2,quests!$1:$1,0)-MATCH($C$2,quests!$1:$1,0)+1,FALSE)</f>
        <v>0</v>
      </c>
      <c r="AB505" s="7" t="s">
        <v>56</v>
      </c>
      <c r="AC505" s="7">
        <v>6</v>
      </c>
      <c r="AD505" s="7">
        <v>6</v>
      </c>
      <c r="AE505" s="7" t="s">
        <v>519</v>
      </c>
      <c r="AF505" s="255">
        <v>16</v>
      </c>
      <c r="AG505" s="7">
        <v>0</v>
      </c>
      <c r="AH505" s="7">
        <v>0</v>
      </c>
      <c r="AI505" s="7">
        <v>-1</v>
      </c>
      <c r="AJ505" s="7">
        <v>-1</v>
      </c>
      <c r="AK505" s="7" t="s">
        <v>1064</v>
      </c>
      <c r="AL505" s="12" t="s">
        <v>1695</v>
      </c>
      <c r="AM505" s="12" t="s">
        <v>2072</v>
      </c>
    </row>
    <row r="506" spans="1:39" ht="22" customHeight="1" x14ac:dyDescent="0.15">
      <c r="A506" s="42" t="str">
        <f t="shared" si="21"/>
        <v>20015_3</v>
      </c>
      <c r="B506" s="23">
        <v>3</v>
      </c>
      <c r="C506" s="31">
        <v>20015</v>
      </c>
      <c r="D506" s="47" t="str">
        <f ca="1">VLOOKUP($C506,OFFSET(quests!$A$1,0,0,COUNTA(quests!$A:$A),MATCH(D$1,quests!$1:$1,0)-MATCH($C$2,quests!$1:$1,0)+1),MATCH(D$1,quests!$1:$1,0)-MATCH($C$2,quests!$1:$1,0)+1,FALSE)</f>
        <v>妄執とり憑く美貌の妃</v>
      </c>
      <c r="E506" s="48" t="str">
        <f ca="1">VLOOKUP($C506,OFFSET(quests!$A$1,0,0,COUNTA(quests!$A:$A),MATCH(E$2,quests!$1:$1,0)-MATCH($C$2,quests!$1:$1,0)+1),MATCH(E$2,quests!$1:$1,0)-MATCH($C$2,quests!$1:$1,0)+1,FALSE)</f>
        <v>おとぎ話シリーズ3</v>
      </c>
      <c r="F506" s="7">
        <v>3</v>
      </c>
      <c r="G506" s="7" t="s">
        <v>568</v>
      </c>
      <c r="H506" s="82" t="s">
        <v>1213</v>
      </c>
      <c r="I506" s="12" t="s">
        <v>60</v>
      </c>
      <c r="J506" s="12">
        <v>857</v>
      </c>
      <c r="K506" s="167">
        <v>20</v>
      </c>
      <c r="L506" s="167">
        <v>2000</v>
      </c>
      <c r="M506" s="167">
        <v>1</v>
      </c>
      <c r="N506" s="167">
        <v>1</v>
      </c>
      <c r="O506" s="167">
        <v>1</v>
      </c>
      <c r="P506" s="167">
        <v>1</v>
      </c>
      <c r="Q506" s="167">
        <v>1</v>
      </c>
      <c r="R506" s="167">
        <v>3</v>
      </c>
      <c r="S506" s="167" t="s">
        <v>278</v>
      </c>
      <c r="T506" s="167">
        <v>1</v>
      </c>
      <c r="U506" s="7" t="s">
        <v>169</v>
      </c>
      <c r="V506" s="7" t="s">
        <v>169</v>
      </c>
      <c r="W506" s="47" t="str">
        <f t="shared" ca="1" si="20"/>
        <v/>
      </c>
      <c r="X506" s="47">
        <f ca="1">VLOOKUP($C506,OFFSET(quests!$A$1,0,0,COUNTA(quests!$A:$A),MATCH(X$2,quests!$1:$1,0)-MATCH($C$2,quests!$1:$1,0)+1),MATCH(X$2,quests!$1:$1,0)-MATCH($C$2,quests!$1:$1,0)+1,FALSE)</f>
        <v>0</v>
      </c>
      <c r="Y506" s="47">
        <f ca="1">VLOOKUP($C506,OFFSET(quests!$A$1,0,0,COUNTA(quests!$A:$A),MATCH(Y$2,quests!$1:$1,0)-MATCH($C$2,quests!$1:$1,0)+1),MATCH(Y$2,quests!$1:$1,0)-MATCH($C$2,quests!$1:$1,0)+1,FALSE)</f>
        <v>0</v>
      </c>
      <c r="Z506" s="47">
        <f ca="1">VLOOKUP($C506,OFFSET(quests!$A$1,0,0,COUNTA(quests!$A:$A),MATCH(Z$2,quests!$1:$1,0)-MATCH($C$2,quests!$1:$1,0)+1),MATCH(Z$2,quests!$1:$1,0)-MATCH($C$2,quests!$1:$1,0)+1,FALSE)</f>
        <v>0</v>
      </c>
      <c r="AA506" s="47">
        <f ca="1">VLOOKUP($C506,OFFSET(quests!$A$1,0,0,COUNTA(quests!$A:$A),MATCH(AA$2,quests!$1:$1,0)-MATCH($C$2,quests!$1:$1,0)+1),MATCH(AA$2,quests!$1:$1,0)-MATCH($C$2,quests!$1:$1,0)+1,FALSE)</f>
        <v>0</v>
      </c>
      <c r="AB506" s="7" t="s">
        <v>56</v>
      </c>
      <c r="AC506" s="7">
        <v>6</v>
      </c>
      <c r="AD506" s="7">
        <v>6</v>
      </c>
      <c r="AE506" s="7" t="s">
        <v>519</v>
      </c>
      <c r="AF506" s="255">
        <v>16</v>
      </c>
      <c r="AG506" s="7">
        <v>0</v>
      </c>
      <c r="AH506" s="7">
        <v>0</v>
      </c>
      <c r="AI506" s="7">
        <v>-1</v>
      </c>
      <c r="AJ506" s="7">
        <v>-1</v>
      </c>
      <c r="AK506" s="7" t="s">
        <v>1064</v>
      </c>
      <c r="AL506" s="12" t="s">
        <v>1695</v>
      </c>
      <c r="AM506" s="12" t="s">
        <v>2072</v>
      </c>
    </row>
    <row r="507" spans="1:39" ht="22" customHeight="1" x14ac:dyDescent="0.15">
      <c r="A507" s="42" t="str">
        <f t="shared" si="21"/>
        <v>20016_1</v>
      </c>
      <c r="B507" s="23">
        <v>3</v>
      </c>
      <c r="C507" s="31">
        <v>20016</v>
      </c>
      <c r="D507" s="47" t="str">
        <f ca="1">VLOOKUP($C507,OFFSET(quests!$A$1,0,0,COUNTA(quests!$A:$A),MATCH(D$1,quests!$1:$1,0)-MATCH($C$2,quests!$1:$1,0)+1),MATCH(D$1,quests!$1:$1,0)-MATCH($C$2,quests!$1:$1,0)+1,FALSE)</f>
        <v>寡黙な翼竜の侵攻</v>
      </c>
      <c r="E507" s="48" t="str">
        <f ca="1">VLOOKUP($C507,OFFSET(quests!$A$1,0,0,COUNTA(quests!$A:$A),MATCH(E$2,quests!$1:$1,0)-MATCH($C$2,quests!$1:$1,0)+1),MATCH(E$2,quests!$1:$1,0)-MATCH($C$2,quests!$1:$1,0)+1,FALSE)</f>
        <v>ギリシャ神話01</v>
      </c>
      <c r="F507" s="7">
        <v>1</v>
      </c>
      <c r="G507" s="7" t="s">
        <v>568</v>
      </c>
      <c r="H507" s="82" t="s">
        <v>1363</v>
      </c>
      <c r="I507" s="12" t="s">
        <v>58</v>
      </c>
      <c r="J507" s="12">
        <v>739</v>
      </c>
      <c r="K507" s="167">
        <v>8</v>
      </c>
      <c r="L507" s="167">
        <v>384</v>
      </c>
      <c r="M507" s="167">
        <v>1</v>
      </c>
      <c r="N507" s="167">
        <v>1</v>
      </c>
      <c r="O507" s="167">
        <v>1</v>
      </c>
      <c r="P507" s="167">
        <v>1</v>
      </c>
      <c r="Q507" s="167">
        <v>1</v>
      </c>
      <c r="R507" s="167">
        <v>3</v>
      </c>
      <c r="S507" s="167" t="s">
        <v>79</v>
      </c>
      <c r="T507" s="167">
        <v>0</v>
      </c>
      <c r="U507" s="7" t="s">
        <v>169</v>
      </c>
      <c r="V507" s="7" t="s">
        <v>169</v>
      </c>
      <c r="W507" s="47" t="str">
        <f t="shared" ca="1" si="20"/>
        <v/>
      </c>
      <c r="X507" s="47">
        <f ca="1">VLOOKUP($C507,OFFSET(quests!$A$1,0,0,COUNTA(quests!$A:$A),MATCH(X$2,quests!$1:$1,0)-MATCH($C$2,quests!$1:$1,0)+1),MATCH(X$2,quests!$1:$1,0)-MATCH($C$2,quests!$1:$1,0)+1,FALSE)</f>
        <v>0</v>
      </c>
      <c r="Y507" s="47">
        <f ca="1">VLOOKUP($C507,OFFSET(quests!$A$1,0,0,COUNTA(quests!$A:$A),MATCH(Y$2,quests!$1:$1,0)-MATCH($C$2,quests!$1:$1,0)+1),MATCH(Y$2,quests!$1:$1,0)-MATCH($C$2,quests!$1:$1,0)+1,FALSE)</f>
        <v>0</v>
      </c>
      <c r="Z507" s="47">
        <f ca="1">VLOOKUP($C507,OFFSET(quests!$A$1,0,0,COUNTA(quests!$A:$A),MATCH(Z$2,quests!$1:$1,0)-MATCH($C$2,quests!$1:$1,0)+1),MATCH(Z$2,quests!$1:$1,0)-MATCH($C$2,quests!$1:$1,0)+1,FALSE)</f>
        <v>0</v>
      </c>
      <c r="AA507" s="47">
        <f ca="1">VLOOKUP($C507,OFFSET(quests!$A$1,0,0,COUNTA(quests!$A:$A),MATCH(AA$2,quests!$1:$1,0)-MATCH($C$2,quests!$1:$1,0)+1),MATCH(AA$2,quests!$1:$1,0)-MATCH($C$2,quests!$1:$1,0)+1,FALSE)</f>
        <v>0</v>
      </c>
      <c r="AB507" s="7" t="s">
        <v>56</v>
      </c>
      <c r="AC507" s="7">
        <v>13</v>
      </c>
      <c r="AD507" s="7">
        <v>6</v>
      </c>
      <c r="AE507" s="7" t="s">
        <v>519</v>
      </c>
      <c r="AF507" s="33">
        <v>11</v>
      </c>
      <c r="AG507" s="7">
        <v>0</v>
      </c>
      <c r="AH507" s="7">
        <v>0</v>
      </c>
      <c r="AI507" s="7">
        <v>-1</v>
      </c>
      <c r="AJ507" s="7">
        <v>-1</v>
      </c>
      <c r="AK507" s="7" t="s">
        <v>1064</v>
      </c>
      <c r="AL507" s="12" t="s">
        <v>1695</v>
      </c>
      <c r="AM507" s="12" t="s">
        <v>2072</v>
      </c>
    </row>
    <row r="508" spans="1:39" ht="21" customHeight="1" x14ac:dyDescent="0.15">
      <c r="A508" s="42" t="str">
        <f t="shared" si="21"/>
        <v>20016_2</v>
      </c>
      <c r="B508" s="23">
        <v>3</v>
      </c>
      <c r="C508" s="31">
        <v>20016</v>
      </c>
      <c r="D508" s="47" t="str">
        <f ca="1">VLOOKUP($C508,OFFSET(quests!$A$1,0,0,COUNTA(quests!$A:$A),MATCH(D$1,quests!$1:$1,0)-MATCH($C$2,quests!$1:$1,0)+1),MATCH(D$1,quests!$1:$1,0)-MATCH($C$2,quests!$1:$1,0)+1,FALSE)</f>
        <v>寡黙な翼竜の侵攻</v>
      </c>
      <c r="E508" s="48" t="str">
        <f ca="1">VLOOKUP($C508,OFFSET(quests!$A$1,0,0,COUNTA(quests!$A:$A),MATCH(E$2,quests!$1:$1,0)-MATCH($C$2,quests!$1:$1,0)+1),MATCH(E$2,quests!$1:$1,0)-MATCH($C$2,quests!$1:$1,0)+1,FALSE)</f>
        <v>ギリシャ神話01</v>
      </c>
      <c r="F508" s="7">
        <v>2</v>
      </c>
      <c r="G508" s="7" t="s">
        <v>568</v>
      </c>
      <c r="H508" s="82" t="s">
        <v>1364</v>
      </c>
      <c r="I508" s="12" t="s">
        <v>59</v>
      </c>
      <c r="J508" s="12">
        <v>739</v>
      </c>
      <c r="K508" s="167">
        <v>15</v>
      </c>
      <c r="L508" s="167">
        <v>1200</v>
      </c>
      <c r="M508" s="167">
        <v>1</v>
      </c>
      <c r="N508" s="167">
        <v>1</v>
      </c>
      <c r="O508" s="167">
        <v>1</v>
      </c>
      <c r="P508" s="167">
        <v>1</v>
      </c>
      <c r="Q508" s="167">
        <v>1</v>
      </c>
      <c r="R508" s="167">
        <v>3</v>
      </c>
      <c r="S508" s="167" t="s">
        <v>79</v>
      </c>
      <c r="T508" s="167">
        <v>0</v>
      </c>
      <c r="U508" s="7" t="s">
        <v>169</v>
      </c>
      <c r="V508" s="7" t="s">
        <v>169</v>
      </c>
      <c r="W508" s="47" t="str">
        <f t="shared" ca="1" si="20"/>
        <v/>
      </c>
      <c r="X508" s="47">
        <f ca="1">VLOOKUP($C508,OFFSET(quests!$A$1,0,0,COUNTA(quests!$A:$A),MATCH(X$2,quests!$1:$1,0)-MATCH($C$2,quests!$1:$1,0)+1),MATCH(X$2,quests!$1:$1,0)-MATCH($C$2,quests!$1:$1,0)+1,FALSE)</f>
        <v>0</v>
      </c>
      <c r="Y508" s="47">
        <f ca="1">VLOOKUP($C508,OFFSET(quests!$A$1,0,0,COUNTA(quests!$A:$A),MATCH(Y$2,quests!$1:$1,0)-MATCH($C$2,quests!$1:$1,0)+1),MATCH(Y$2,quests!$1:$1,0)-MATCH($C$2,quests!$1:$1,0)+1,FALSE)</f>
        <v>0</v>
      </c>
      <c r="Z508" s="47">
        <f ca="1">VLOOKUP($C508,OFFSET(quests!$A$1,0,0,COUNTA(quests!$A:$A),MATCH(Z$2,quests!$1:$1,0)-MATCH($C$2,quests!$1:$1,0)+1),MATCH(Z$2,quests!$1:$1,0)-MATCH($C$2,quests!$1:$1,0)+1,FALSE)</f>
        <v>0</v>
      </c>
      <c r="AA508" s="47">
        <f ca="1">VLOOKUP($C508,OFFSET(quests!$A$1,0,0,COUNTA(quests!$A:$A),MATCH(AA$2,quests!$1:$1,0)-MATCH($C$2,quests!$1:$1,0)+1),MATCH(AA$2,quests!$1:$1,0)-MATCH($C$2,quests!$1:$1,0)+1,FALSE)</f>
        <v>0</v>
      </c>
      <c r="AB508" s="7" t="s">
        <v>56</v>
      </c>
      <c r="AC508" s="7">
        <v>13</v>
      </c>
      <c r="AD508" s="7">
        <v>6</v>
      </c>
      <c r="AE508" s="7" t="s">
        <v>519</v>
      </c>
      <c r="AF508" s="33">
        <v>11</v>
      </c>
      <c r="AG508" s="7">
        <v>0</v>
      </c>
      <c r="AH508" s="7">
        <v>0</v>
      </c>
      <c r="AI508" s="7">
        <v>-1</v>
      </c>
      <c r="AJ508" s="7">
        <v>-1</v>
      </c>
      <c r="AK508" s="7" t="s">
        <v>1064</v>
      </c>
      <c r="AL508" s="12" t="s">
        <v>1695</v>
      </c>
      <c r="AM508" s="12" t="s">
        <v>2072</v>
      </c>
    </row>
    <row r="509" spans="1:39" ht="21" customHeight="1" x14ac:dyDescent="0.15">
      <c r="A509" s="42" t="str">
        <f t="shared" si="21"/>
        <v>20016_3</v>
      </c>
      <c r="B509" s="23">
        <v>3</v>
      </c>
      <c r="C509" s="31">
        <v>20016</v>
      </c>
      <c r="D509" s="47" t="str">
        <f ca="1">VLOOKUP($C509,OFFSET(quests!$A$1,0,0,COUNTA(quests!$A:$A),MATCH(D$1,quests!$1:$1,0)-MATCH($C$2,quests!$1:$1,0)+1),MATCH(D$1,quests!$1:$1,0)-MATCH($C$2,quests!$1:$1,0)+1,FALSE)</f>
        <v>寡黙な翼竜の侵攻</v>
      </c>
      <c r="E509" s="48" t="str">
        <f ca="1">VLOOKUP($C509,OFFSET(quests!$A$1,0,0,COUNTA(quests!$A:$A),MATCH(E$2,quests!$1:$1,0)-MATCH($C$2,quests!$1:$1,0)+1),MATCH(E$2,quests!$1:$1,0)-MATCH($C$2,quests!$1:$1,0)+1,FALSE)</f>
        <v>ギリシャ神話01</v>
      </c>
      <c r="F509" s="7">
        <v>3</v>
      </c>
      <c r="G509" s="7" t="s">
        <v>568</v>
      </c>
      <c r="H509" s="82" t="s">
        <v>1365</v>
      </c>
      <c r="I509" s="12" t="s">
        <v>60</v>
      </c>
      <c r="J509" s="12">
        <v>739</v>
      </c>
      <c r="K509" s="167">
        <v>20</v>
      </c>
      <c r="L509" s="167">
        <v>2000</v>
      </c>
      <c r="M509" s="167">
        <v>1</v>
      </c>
      <c r="N509" s="167">
        <v>1</v>
      </c>
      <c r="O509" s="167">
        <v>1</v>
      </c>
      <c r="P509" s="167">
        <v>1</v>
      </c>
      <c r="Q509" s="167">
        <v>1</v>
      </c>
      <c r="R509" s="167">
        <v>3</v>
      </c>
      <c r="S509" s="167" t="s">
        <v>278</v>
      </c>
      <c r="T509" s="167">
        <v>1</v>
      </c>
      <c r="U509" s="7" t="s">
        <v>169</v>
      </c>
      <c r="V509" s="7" t="s">
        <v>169</v>
      </c>
      <c r="W509" s="47" t="str">
        <f t="shared" ca="1" si="20"/>
        <v/>
      </c>
      <c r="X509" s="47">
        <f ca="1">VLOOKUP($C509,OFFSET(quests!$A$1,0,0,COUNTA(quests!$A:$A),MATCH(X$2,quests!$1:$1,0)-MATCH($C$2,quests!$1:$1,0)+1),MATCH(X$2,quests!$1:$1,0)-MATCH($C$2,quests!$1:$1,0)+1,FALSE)</f>
        <v>0</v>
      </c>
      <c r="Y509" s="47">
        <f ca="1">VLOOKUP($C509,OFFSET(quests!$A$1,0,0,COUNTA(quests!$A:$A),MATCH(Y$2,quests!$1:$1,0)-MATCH($C$2,quests!$1:$1,0)+1),MATCH(Y$2,quests!$1:$1,0)-MATCH($C$2,quests!$1:$1,0)+1,FALSE)</f>
        <v>0</v>
      </c>
      <c r="Z509" s="47">
        <f ca="1">VLOOKUP($C509,OFFSET(quests!$A$1,0,0,COUNTA(quests!$A:$A),MATCH(Z$2,quests!$1:$1,0)-MATCH($C$2,quests!$1:$1,0)+1),MATCH(Z$2,quests!$1:$1,0)-MATCH($C$2,quests!$1:$1,0)+1,FALSE)</f>
        <v>0</v>
      </c>
      <c r="AA509" s="47">
        <f ca="1">VLOOKUP($C509,OFFSET(quests!$A$1,0,0,COUNTA(quests!$A:$A),MATCH(AA$2,quests!$1:$1,0)-MATCH($C$2,quests!$1:$1,0)+1),MATCH(AA$2,quests!$1:$1,0)-MATCH($C$2,quests!$1:$1,0)+1,FALSE)</f>
        <v>0</v>
      </c>
      <c r="AB509" s="7" t="s">
        <v>56</v>
      </c>
      <c r="AC509" s="7">
        <v>13</v>
      </c>
      <c r="AD509" s="7">
        <v>6</v>
      </c>
      <c r="AE509" s="7" t="s">
        <v>519</v>
      </c>
      <c r="AF509" s="33">
        <v>11</v>
      </c>
      <c r="AG509" s="7">
        <v>0</v>
      </c>
      <c r="AH509" s="7">
        <v>0</v>
      </c>
      <c r="AI509" s="7">
        <v>-1</v>
      </c>
      <c r="AJ509" s="7">
        <v>-1</v>
      </c>
      <c r="AK509" s="7" t="s">
        <v>1064</v>
      </c>
      <c r="AL509" s="12" t="s">
        <v>1695</v>
      </c>
      <c r="AM509" s="12" t="s">
        <v>2072</v>
      </c>
    </row>
    <row r="510" spans="1:39" ht="22" customHeight="1" x14ac:dyDescent="0.15">
      <c r="A510" s="42" t="str">
        <f t="shared" si="21"/>
        <v>20017_1</v>
      </c>
      <c r="B510" s="23">
        <v>3</v>
      </c>
      <c r="C510" s="31">
        <v>20017</v>
      </c>
      <c r="D510" s="47" t="str">
        <f ca="1">VLOOKUP($C510,OFFSET(quests!$A$1,0,0,COUNTA(quests!$A:$A),MATCH(D$1,quests!$1:$1,0)-MATCH($C$2,quests!$1:$1,0)+1),MATCH(D$1,quests!$1:$1,0)-MATCH($C$2,quests!$1:$1,0)+1,FALSE)</f>
        <v>隻腕の提督</v>
      </c>
      <c r="E510" s="48" t="str">
        <f ca="1">VLOOKUP($C510,OFFSET(quests!$A$1,0,0,COUNTA(quests!$A:$A),MATCH(E$2,quests!$1:$1,0)-MATCH($C$2,quests!$1:$1,0)+1),MATCH(E$2,quests!$1:$1,0)-MATCH($C$2,quests!$1:$1,0)+1,FALSE)</f>
        <v>フランス革命01</v>
      </c>
      <c r="F510" s="7">
        <v>1</v>
      </c>
      <c r="G510" s="7" t="s">
        <v>568</v>
      </c>
      <c r="H510" s="82" t="s">
        <v>1397</v>
      </c>
      <c r="I510" s="12" t="s">
        <v>58</v>
      </c>
      <c r="J510" s="12">
        <v>932</v>
      </c>
      <c r="K510" s="167">
        <v>8</v>
      </c>
      <c r="L510" s="167">
        <v>384</v>
      </c>
      <c r="M510" s="167">
        <v>1</v>
      </c>
      <c r="N510" s="167">
        <v>1</v>
      </c>
      <c r="O510" s="167">
        <v>1</v>
      </c>
      <c r="P510" s="167">
        <v>0</v>
      </c>
      <c r="Q510" s="167">
        <v>1</v>
      </c>
      <c r="R510" s="167">
        <v>3</v>
      </c>
      <c r="S510" s="167" t="s">
        <v>79</v>
      </c>
      <c r="T510" s="167">
        <v>0</v>
      </c>
      <c r="U510" s="7" t="s">
        <v>169</v>
      </c>
      <c r="V510" s="7" t="s">
        <v>169</v>
      </c>
      <c r="W510" s="47" t="str">
        <f t="shared" ca="1" si="20"/>
        <v/>
      </c>
      <c r="X510" s="47">
        <f ca="1">VLOOKUP($C510,OFFSET(quests!$A$1,0,0,COUNTA(quests!$A:$A),MATCH(X$2,quests!$1:$1,0)-MATCH($C$2,quests!$1:$1,0)+1),MATCH(X$2,quests!$1:$1,0)-MATCH($C$2,quests!$1:$1,0)+1,FALSE)</f>
        <v>0</v>
      </c>
      <c r="Y510" s="47">
        <f ca="1">VLOOKUP($C510,OFFSET(quests!$A$1,0,0,COUNTA(quests!$A:$A),MATCH(Y$2,quests!$1:$1,0)-MATCH($C$2,quests!$1:$1,0)+1),MATCH(Y$2,quests!$1:$1,0)-MATCH($C$2,quests!$1:$1,0)+1,FALSE)</f>
        <v>0</v>
      </c>
      <c r="Z510" s="47">
        <f ca="1">VLOOKUP($C510,OFFSET(quests!$A$1,0,0,COUNTA(quests!$A:$A),MATCH(Z$2,quests!$1:$1,0)-MATCH($C$2,quests!$1:$1,0)+1),MATCH(Z$2,quests!$1:$1,0)-MATCH($C$2,quests!$1:$1,0)+1,FALSE)</f>
        <v>0</v>
      </c>
      <c r="AA510" s="47">
        <f ca="1">VLOOKUP($C510,OFFSET(quests!$A$1,0,0,COUNTA(quests!$A:$A),MATCH(AA$2,quests!$1:$1,0)-MATCH($C$2,quests!$1:$1,0)+1),MATCH(AA$2,quests!$1:$1,0)-MATCH($C$2,quests!$1:$1,0)+1,FALSE)</f>
        <v>0</v>
      </c>
      <c r="AB510" s="7" t="s">
        <v>56</v>
      </c>
      <c r="AC510" s="7">
        <v>24</v>
      </c>
      <c r="AD510" s="7">
        <v>6</v>
      </c>
      <c r="AE510" s="7" t="s">
        <v>519</v>
      </c>
      <c r="AF510" s="255">
        <v>16</v>
      </c>
      <c r="AG510" s="7">
        <v>0</v>
      </c>
      <c r="AH510" s="7">
        <v>0</v>
      </c>
      <c r="AI510" s="7">
        <v>-1</v>
      </c>
      <c r="AJ510" s="7">
        <v>-1</v>
      </c>
      <c r="AK510" s="7" t="s">
        <v>1064</v>
      </c>
      <c r="AL510" s="12" t="s">
        <v>1695</v>
      </c>
      <c r="AM510" s="12" t="s">
        <v>2072</v>
      </c>
    </row>
    <row r="511" spans="1:39" ht="21" customHeight="1" x14ac:dyDescent="0.15">
      <c r="A511" s="42" t="str">
        <f t="shared" si="21"/>
        <v>20017_2</v>
      </c>
      <c r="B511" s="23">
        <v>3</v>
      </c>
      <c r="C511" s="31">
        <v>20017</v>
      </c>
      <c r="D511" s="47" t="str">
        <f ca="1">VLOOKUP($C511,OFFSET(quests!$A$1,0,0,COUNTA(quests!$A:$A),MATCH(D$1,quests!$1:$1,0)-MATCH($C$2,quests!$1:$1,0)+1),MATCH(D$1,quests!$1:$1,0)-MATCH($C$2,quests!$1:$1,0)+1,FALSE)</f>
        <v>隻腕の提督</v>
      </c>
      <c r="E511" s="48" t="str">
        <f ca="1">VLOOKUP($C511,OFFSET(quests!$A$1,0,0,COUNTA(quests!$A:$A),MATCH(E$2,quests!$1:$1,0)-MATCH($C$2,quests!$1:$1,0)+1),MATCH(E$2,quests!$1:$1,0)-MATCH($C$2,quests!$1:$1,0)+1,FALSE)</f>
        <v>フランス革命01</v>
      </c>
      <c r="F511" s="7">
        <v>2</v>
      </c>
      <c r="G511" s="7" t="s">
        <v>568</v>
      </c>
      <c r="H511" s="82" t="s">
        <v>1398</v>
      </c>
      <c r="I511" s="12" t="s">
        <v>59</v>
      </c>
      <c r="J511" s="12">
        <v>932</v>
      </c>
      <c r="K511" s="167">
        <v>15</v>
      </c>
      <c r="L511" s="167">
        <v>1200</v>
      </c>
      <c r="M511" s="167">
        <v>1</v>
      </c>
      <c r="N511" s="167">
        <v>1</v>
      </c>
      <c r="O511" s="167">
        <v>1</v>
      </c>
      <c r="P511" s="167">
        <v>0</v>
      </c>
      <c r="Q511" s="167">
        <v>1</v>
      </c>
      <c r="R511" s="167">
        <v>3</v>
      </c>
      <c r="S511" s="167" t="s">
        <v>79</v>
      </c>
      <c r="T511" s="167">
        <v>0</v>
      </c>
      <c r="U511" s="7" t="s">
        <v>169</v>
      </c>
      <c r="V511" s="7" t="s">
        <v>169</v>
      </c>
      <c r="W511" s="47" t="str">
        <f t="shared" ca="1" si="20"/>
        <v/>
      </c>
      <c r="X511" s="47">
        <f ca="1">VLOOKUP($C511,OFFSET(quests!$A$1,0,0,COUNTA(quests!$A:$A),MATCH(X$2,quests!$1:$1,0)-MATCH($C$2,quests!$1:$1,0)+1),MATCH(X$2,quests!$1:$1,0)-MATCH($C$2,quests!$1:$1,0)+1,FALSE)</f>
        <v>0</v>
      </c>
      <c r="Y511" s="47">
        <f ca="1">VLOOKUP($C511,OFFSET(quests!$A$1,0,0,COUNTA(quests!$A:$A),MATCH(Y$2,quests!$1:$1,0)-MATCH($C$2,quests!$1:$1,0)+1),MATCH(Y$2,quests!$1:$1,0)-MATCH($C$2,quests!$1:$1,0)+1,FALSE)</f>
        <v>0</v>
      </c>
      <c r="Z511" s="47">
        <f ca="1">VLOOKUP($C511,OFFSET(quests!$A$1,0,0,COUNTA(quests!$A:$A),MATCH(Z$2,quests!$1:$1,0)-MATCH($C$2,quests!$1:$1,0)+1),MATCH(Z$2,quests!$1:$1,0)-MATCH($C$2,quests!$1:$1,0)+1,FALSE)</f>
        <v>0</v>
      </c>
      <c r="AA511" s="47">
        <f ca="1">VLOOKUP($C511,OFFSET(quests!$A$1,0,0,COUNTA(quests!$A:$A),MATCH(AA$2,quests!$1:$1,0)-MATCH($C$2,quests!$1:$1,0)+1),MATCH(AA$2,quests!$1:$1,0)-MATCH($C$2,quests!$1:$1,0)+1,FALSE)</f>
        <v>0</v>
      </c>
      <c r="AB511" s="7" t="s">
        <v>56</v>
      </c>
      <c r="AC511" s="7">
        <v>24</v>
      </c>
      <c r="AD511" s="7">
        <v>6</v>
      </c>
      <c r="AE511" s="7" t="s">
        <v>519</v>
      </c>
      <c r="AF511" s="255">
        <v>16</v>
      </c>
      <c r="AG511" s="7">
        <v>0</v>
      </c>
      <c r="AH511" s="7">
        <v>0</v>
      </c>
      <c r="AI511" s="7">
        <v>-1</v>
      </c>
      <c r="AJ511" s="7">
        <v>-1</v>
      </c>
      <c r="AK511" s="7" t="s">
        <v>1064</v>
      </c>
      <c r="AL511" s="12" t="s">
        <v>1695</v>
      </c>
      <c r="AM511" s="12" t="s">
        <v>2072</v>
      </c>
    </row>
    <row r="512" spans="1:39" ht="21" customHeight="1" x14ac:dyDescent="0.15">
      <c r="A512" s="42" t="str">
        <f t="shared" si="21"/>
        <v>20017_3</v>
      </c>
      <c r="B512" s="23">
        <v>3</v>
      </c>
      <c r="C512" s="31">
        <v>20017</v>
      </c>
      <c r="D512" s="47" t="str">
        <f ca="1">VLOOKUP($C512,OFFSET(quests!$A$1,0,0,COUNTA(quests!$A:$A),MATCH(D$1,quests!$1:$1,0)-MATCH($C$2,quests!$1:$1,0)+1),MATCH(D$1,quests!$1:$1,0)-MATCH($C$2,quests!$1:$1,0)+1,FALSE)</f>
        <v>隻腕の提督</v>
      </c>
      <c r="E512" s="48" t="str">
        <f ca="1">VLOOKUP($C512,OFFSET(quests!$A$1,0,0,COUNTA(quests!$A:$A),MATCH(E$2,quests!$1:$1,0)-MATCH($C$2,quests!$1:$1,0)+1),MATCH(E$2,quests!$1:$1,0)-MATCH($C$2,quests!$1:$1,0)+1,FALSE)</f>
        <v>フランス革命01</v>
      </c>
      <c r="F512" s="7">
        <v>3</v>
      </c>
      <c r="G512" s="7" t="s">
        <v>568</v>
      </c>
      <c r="H512" s="82" t="s">
        <v>1399</v>
      </c>
      <c r="I512" s="12" t="s">
        <v>60</v>
      </c>
      <c r="J512" s="12">
        <v>932</v>
      </c>
      <c r="K512" s="167">
        <v>20</v>
      </c>
      <c r="L512" s="167">
        <v>2000</v>
      </c>
      <c r="M512" s="167">
        <v>1</v>
      </c>
      <c r="N512" s="167">
        <v>1</v>
      </c>
      <c r="O512" s="167">
        <v>1</v>
      </c>
      <c r="P512" s="167">
        <v>0</v>
      </c>
      <c r="Q512" s="167">
        <v>1</v>
      </c>
      <c r="R512" s="167">
        <v>3</v>
      </c>
      <c r="S512" s="167" t="s">
        <v>278</v>
      </c>
      <c r="T512" s="167">
        <v>1</v>
      </c>
      <c r="U512" s="7" t="s">
        <v>169</v>
      </c>
      <c r="V512" s="7" t="s">
        <v>169</v>
      </c>
      <c r="W512" s="47" t="str">
        <f t="shared" ca="1" si="20"/>
        <v/>
      </c>
      <c r="X512" s="47">
        <f ca="1">VLOOKUP($C512,OFFSET(quests!$A$1,0,0,COUNTA(quests!$A:$A),MATCH(X$2,quests!$1:$1,0)-MATCH($C$2,quests!$1:$1,0)+1),MATCH(X$2,quests!$1:$1,0)-MATCH($C$2,quests!$1:$1,0)+1,FALSE)</f>
        <v>0</v>
      </c>
      <c r="Y512" s="47">
        <f ca="1">VLOOKUP($C512,OFFSET(quests!$A$1,0,0,COUNTA(quests!$A:$A),MATCH(Y$2,quests!$1:$1,0)-MATCH($C$2,quests!$1:$1,0)+1),MATCH(Y$2,quests!$1:$1,0)-MATCH($C$2,quests!$1:$1,0)+1,FALSE)</f>
        <v>0</v>
      </c>
      <c r="Z512" s="47">
        <f ca="1">VLOOKUP($C512,OFFSET(quests!$A$1,0,0,COUNTA(quests!$A:$A),MATCH(Z$2,quests!$1:$1,0)-MATCH($C$2,quests!$1:$1,0)+1),MATCH(Z$2,quests!$1:$1,0)-MATCH($C$2,quests!$1:$1,0)+1,FALSE)</f>
        <v>0</v>
      </c>
      <c r="AA512" s="47">
        <f ca="1">VLOOKUP($C512,OFFSET(quests!$A$1,0,0,COUNTA(quests!$A:$A),MATCH(AA$2,quests!$1:$1,0)-MATCH($C$2,quests!$1:$1,0)+1),MATCH(AA$2,quests!$1:$1,0)-MATCH($C$2,quests!$1:$1,0)+1,FALSE)</f>
        <v>0</v>
      </c>
      <c r="AB512" s="7" t="s">
        <v>56</v>
      </c>
      <c r="AC512" s="7">
        <v>24</v>
      </c>
      <c r="AD512" s="7">
        <v>6</v>
      </c>
      <c r="AE512" s="7" t="s">
        <v>519</v>
      </c>
      <c r="AF512" s="255">
        <v>16</v>
      </c>
      <c r="AG512" s="7">
        <v>0</v>
      </c>
      <c r="AH512" s="7">
        <v>0</v>
      </c>
      <c r="AI512" s="7">
        <v>-1</v>
      </c>
      <c r="AJ512" s="7">
        <v>-1</v>
      </c>
      <c r="AK512" s="7" t="s">
        <v>1064</v>
      </c>
      <c r="AL512" s="12" t="s">
        <v>1695</v>
      </c>
      <c r="AM512" s="12" t="s">
        <v>2072</v>
      </c>
    </row>
    <row r="513" spans="1:39" ht="22" customHeight="1" x14ac:dyDescent="0.15">
      <c r="A513" s="42" t="str">
        <f t="shared" si="21"/>
        <v>20018_1</v>
      </c>
      <c r="B513" s="23">
        <v>3</v>
      </c>
      <c r="C513" s="31">
        <v>20018</v>
      </c>
      <c r="D513" s="47" t="str">
        <f ca="1">VLOOKUP($C513,OFFSET(quests!$A$1,0,0,COUNTA(quests!$A:$A),MATCH(D$1,quests!$1:$1,0)-MATCH($C$2,quests!$1:$1,0)+1),MATCH(D$1,quests!$1:$1,0)-MATCH($C$2,quests!$1:$1,0)+1,FALSE)</f>
        <v>魂を屠る黒影</v>
      </c>
      <c r="E513" s="48" t="str">
        <f ca="1">VLOOKUP($C513,OFFSET(quests!$A$1,0,0,COUNTA(quests!$A:$A),MATCH(E$2,quests!$1:$1,0)-MATCH($C$2,quests!$1:$1,0)+1),MATCH(E$2,quests!$1:$1,0)-MATCH($C$2,quests!$1:$1,0)+1,FALSE)</f>
        <v>エジプト01</v>
      </c>
      <c r="F513" s="7">
        <v>1</v>
      </c>
      <c r="G513" s="7" t="s">
        <v>382</v>
      </c>
      <c r="H513" s="82" t="s">
        <v>1443</v>
      </c>
      <c r="I513" s="12" t="s">
        <v>58</v>
      </c>
      <c r="J513" s="12">
        <v>1005</v>
      </c>
      <c r="K513" s="167">
        <v>8</v>
      </c>
      <c r="L513" s="167">
        <v>384</v>
      </c>
      <c r="M513" s="167">
        <v>1</v>
      </c>
      <c r="N513" s="167">
        <v>1</v>
      </c>
      <c r="O513" s="167">
        <v>1</v>
      </c>
      <c r="P513" s="167">
        <v>1</v>
      </c>
      <c r="Q513" s="167">
        <v>1</v>
      </c>
      <c r="R513" s="167">
        <v>3</v>
      </c>
      <c r="S513" s="167" t="s">
        <v>79</v>
      </c>
      <c r="T513" s="167">
        <v>0</v>
      </c>
      <c r="U513" s="7" t="s">
        <v>169</v>
      </c>
      <c r="V513" s="7" t="s">
        <v>169</v>
      </c>
      <c r="W513" s="47" t="str">
        <f t="shared" ca="1" si="20"/>
        <v/>
      </c>
      <c r="X513" s="47">
        <f ca="1">VLOOKUP($C513,OFFSET(quests!$A$1,0,0,COUNTA(quests!$A:$A),MATCH(X$2,quests!$1:$1,0)-MATCH($C$2,quests!$1:$1,0)+1),MATCH(X$2,quests!$1:$1,0)-MATCH($C$2,quests!$1:$1,0)+1,FALSE)</f>
        <v>0</v>
      </c>
      <c r="Y513" s="47">
        <f ca="1">VLOOKUP($C513,OFFSET(quests!$A$1,0,0,COUNTA(quests!$A:$A),MATCH(Y$2,quests!$1:$1,0)-MATCH($C$2,quests!$1:$1,0)+1),MATCH(Y$2,quests!$1:$1,0)-MATCH($C$2,quests!$1:$1,0)+1,FALSE)</f>
        <v>0</v>
      </c>
      <c r="Z513" s="47">
        <f ca="1">VLOOKUP($C513,OFFSET(quests!$A$1,0,0,COUNTA(quests!$A:$A),MATCH(Z$2,quests!$1:$1,0)-MATCH($C$2,quests!$1:$1,0)+1),MATCH(Z$2,quests!$1:$1,0)-MATCH($C$2,quests!$1:$1,0)+1,FALSE)</f>
        <v>0</v>
      </c>
      <c r="AA513" s="47">
        <f ca="1">VLOOKUP($C513,OFFSET(quests!$A$1,0,0,COUNTA(quests!$A:$A),MATCH(AA$2,quests!$1:$1,0)-MATCH($C$2,quests!$1:$1,0)+1),MATCH(AA$2,quests!$1:$1,0)-MATCH($C$2,quests!$1:$1,0)+1,FALSE)</f>
        <v>0</v>
      </c>
      <c r="AB513" s="7" t="s">
        <v>56</v>
      </c>
      <c r="AC513" s="7">
        <v>7</v>
      </c>
      <c r="AD513" s="7">
        <v>6</v>
      </c>
      <c r="AE513" s="7" t="s">
        <v>519</v>
      </c>
      <c r="AF513" s="33">
        <v>11</v>
      </c>
      <c r="AG513" s="7">
        <v>0</v>
      </c>
      <c r="AH513" s="7">
        <v>0</v>
      </c>
      <c r="AI513" s="7">
        <v>-1</v>
      </c>
      <c r="AJ513" s="7">
        <v>-1</v>
      </c>
      <c r="AK513" s="7" t="s">
        <v>1064</v>
      </c>
      <c r="AL513" s="12" t="s">
        <v>1695</v>
      </c>
      <c r="AM513" s="12" t="s">
        <v>2072</v>
      </c>
    </row>
    <row r="514" spans="1:39" ht="21" customHeight="1" x14ac:dyDescent="0.15">
      <c r="A514" s="42" t="str">
        <f t="shared" si="21"/>
        <v>20018_2</v>
      </c>
      <c r="B514" s="23">
        <v>3</v>
      </c>
      <c r="C514" s="31">
        <v>20018</v>
      </c>
      <c r="D514" s="47" t="str">
        <f ca="1">VLOOKUP($C514,OFFSET(quests!$A$1,0,0,COUNTA(quests!$A:$A),MATCH(D$1,quests!$1:$1,0)-MATCH($C$2,quests!$1:$1,0)+1),MATCH(D$1,quests!$1:$1,0)-MATCH($C$2,quests!$1:$1,0)+1,FALSE)</f>
        <v>魂を屠る黒影</v>
      </c>
      <c r="E514" s="48" t="str">
        <f ca="1">VLOOKUP($C514,OFFSET(quests!$A$1,0,0,COUNTA(quests!$A:$A),MATCH(E$2,quests!$1:$1,0)-MATCH($C$2,quests!$1:$1,0)+1),MATCH(E$2,quests!$1:$1,0)-MATCH($C$2,quests!$1:$1,0)+1,FALSE)</f>
        <v>エジプト01</v>
      </c>
      <c r="F514" s="7">
        <v>2</v>
      </c>
      <c r="G514" s="7" t="s">
        <v>382</v>
      </c>
      <c r="H514" s="82" t="s">
        <v>1444</v>
      </c>
      <c r="I514" s="12" t="s">
        <v>59</v>
      </c>
      <c r="J514" s="12">
        <v>1005</v>
      </c>
      <c r="K514" s="167">
        <v>15</v>
      </c>
      <c r="L514" s="167">
        <v>1200</v>
      </c>
      <c r="M514" s="167">
        <v>1</v>
      </c>
      <c r="N514" s="167">
        <v>1</v>
      </c>
      <c r="O514" s="167">
        <v>1</v>
      </c>
      <c r="P514" s="167">
        <v>1</v>
      </c>
      <c r="Q514" s="167">
        <v>1</v>
      </c>
      <c r="R514" s="167">
        <v>3</v>
      </c>
      <c r="S514" s="167" t="s">
        <v>79</v>
      </c>
      <c r="T514" s="167">
        <v>0</v>
      </c>
      <c r="U514" s="7" t="s">
        <v>169</v>
      </c>
      <c r="V514" s="7" t="s">
        <v>169</v>
      </c>
      <c r="W514" s="47" t="str">
        <f t="shared" ca="1" si="20"/>
        <v/>
      </c>
      <c r="X514" s="47">
        <f ca="1">VLOOKUP($C514,OFFSET(quests!$A$1,0,0,COUNTA(quests!$A:$A),MATCH(X$2,quests!$1:$1,0)-MATCH($C$2,quests!$1:$1,0)+1),MATCH(X$2,quests!$1:$1,0)-MATCH($C$2,quests!$1:$1,0)+1,FALSE)</f>
        <v>0</v>
      </c>
      <c r="Y514" s="47">
        <f ca="1">VLOOKUP($C514,OFFSET(quests!$A$1,0,0,COUNTA(quests!$A:$A),MATCH(Y$2,quests!$1:$1,0)-MATCH($C$2,quests!$1:$1,0)+1),MATCH(Y$2,quests!$1:$1,0)-MATCH($C$2,quests!$1:$1,0)+1,FALSE)</f>
        <v>0</v>
      </c>
      <c r="Z514" s="47">
        <f ca="1">VLOOKUP($C514,OFFSET(quests!$A$1,0,0,COUNTA(quests!$A:$A),MATCH(Z$2,quests!$1:$1,0)-MATCH($C$2,quests!$1:$1,0)+1),MATCH(Z$2,quests!$1:$1,0)-MATCH($C$2,quests!$1:$1,0)+1,FALSE)</f>
        <v>0</v>
      </c>
      <c r="AA514" s="47">
        <f ca="1">VLOOKUP($C514,OFFSET(quests!$A$1,0,0,COUNTA(quests!$A:$A),MATCH(AA$2,quests!$1:$1,0)-MATCH($C$2,quests!$1:$1,0)+1),MATCH(AA$2,quests!$1:$1,0)-MATCH($C$2,quests!$1:$1,0)+1,FALSE)</f>
        <v>0</v>
      </c>
      <c r="AB514" s="7" t="s">
        <v>56</v>
      </c>
      <c r="AC514" s="7">
        <v>7</v>
      </c>
      <c r="AD514" s="7">
        <v>6</v>
      </c>
      <c r="AE514" s="7" t="s">
        <v>519</v>
      </c>
      <c r="AF514" s="33">
        <v>11</v>
      </c>
      <c r="AG514" s="7">
        <v>0</v>
      </c>
      <c r="AH514" s="7">
        <v>0</v>
      </c>
      <c r="AI514" s="7">
        <v>-1</v>
      </c>
      <c r="AJ514" s="7">
        <v>-1</v>
      </c>
      <c r="AK514" s="7" t="s">
        <v>1064</v>
      </c>
      <c r="AL514" s="12" t="s">
        <v>1695</v>
      </c>
      <c r="AM514" s="12" t="s">
        <v>2072</v>
      </c>
    </row>
    <row r="515" spans="1:39" ht="21" customHeight="1" x14ac:dyDescent="0.15">
      <c r="A515" s="42" t="str">
        <f t="shared" si="21"/>
        <v>20018_3</v>
      </c>
      <c r="B515" s="23">
        <v>3</v>
      </c>
      <c r="C515" s="31">
        <v>20018</v>
      </c>
      <c r="D515" s="47" t="str">
        <f ca="1">VLOOKUP($C515,OFFSET(quests!$A$1,0,0,COUNTA(quests!$A:$A),MATCH(D$1,quests!$1:$1,0)-MATCH($C$2,quests!$1:$1,0)+1),MATCH(D$1,quests!$1:$1,0)-MATCH($C$2,quests!$1:$1,0)+1,FALSE)</f>
        <v>魂を屠る黒影</v>
      </c>
      <c r="E515" s="48" t="str">
        <f ca="1">VLOOKUP($C515,OFFSET(quests!$A$1,0,0,COUNTA(quests!$A:$A),MATCH(E$2,quests!$1:$1,0)-MATCH($C$2,quests!$1:$1,0)+1),MATCH(E$2,quests!$1:$1,0)-MATCH($C$2,quests!$1:$1,0)+1,FALSE)</f>
        <v>エジプト01</v>
      </c>
      <c r="F515" s="7">
        <v>3</v>
      </c>
      <c r="G515" s="7" t="s">
        <v>382</v>
      </c>
      <c r="H515" s="82" t="s">
        <v>1445</v>
      </c>
      <c r="I515" s="12" t="s">
        <v>60</v>
      </c>
      <c r="J515" s="12">
        <v>1005</v>
      </c>
      <c r="K515" s="167">
        <v>20</v>
      </c>
      <c r="L515" s="167">
        <v>2000</v>
      </c>
      <c r="M515" s="167">
        <v>1</v>
      </c>
      <c r="N515" s="167">
        <v>1</v>
      </c>
      <c r="O515" s="167">
        <v>1</v>
      </c>
      <c r="P515" s="167">
        <v>1</v>
      </c>
      <c r="Q515" s="167">
        <v>1</v>
      </c>
      <c r="R515" s="167">
        <v>3</v>
      </c>
      <c r="S515" s="167" t="s">
        <v>278</v>
      </c>
      <c r="T515" s="167">
        <v>1</v>
      </c>
      <c r="U515" s="7" t="s">
        <v>169</v>
      </c>
      <c r="V515" s="7" t="s">
        <v>169</v>
      </c>
      <c r="W515" s="47" t="str">
        <f t="shared" ref="W515:W578" ca="1" si="22">IF(U515="NULL","",VLOOKUP($U515&amp;"_"&amp;$V515,OFFSET($A$1,0,0,COUNTA($A:$A),MATCH(W$2,$2:$2,0)-MATCH($A$2,$2:$2,0)+1),MATCH(W$2,$2:$2,0)-MATCH($A$2,$2:$2,0)+1,FALSE))</f>
        <v/>
      </c>
      <c r="X515" s="47">
        <f ca="1">VLOOKUP($C515,OFFSET(quests!$A$1,0,0,COUNTA(quests!$A:$A),MATCH(X$2,quests!$1:$1,0)-MATCH($C$2,quests!$1:$1,0)+1),MATCH(X$2,quests!$1:$1,0)-MATCH($C$2,quests!$1:$1,0)+1,FALSE)</f>
        <v>0</v>
      </c>
      <c r="Y515" s="47">
        <f ca="1">VLOOKUP($C515,OFFSET(quests!$A$1,0,0,COUNTA(quests!$A:$A),MATCH(Y$2,quests!$1:$1,0)-MATCH($C$2,quests!$1:$1,0)+1),MATCH(Y$2,quests!$1:$1,0)-MATCH($C$2,quests!$1:$1,0)+1,FALSE)</f>
        <v>0</v>
      </c>
      <c r="Z515" s="47">
        <f ca="1">VLOOKUP($C515,OFFSET(quests!$A$1,0,0,COUNTA(quests!$A:$A),MATCH(Z$2,quests!$1:$1,0)-MATCH($C$2,quests!$1:$1,0)+1),MATCH(Z$2,quests!$1:$1,0)-MATCH($C$2,quests!$1:$1,0)+1,FALSE)</f>
        <v>0</v>
      </c>
      <c r="AA515" s="47">
        <f ca="1">VLOOKUP($C515,OFFSET(quests!$A$1,0,0,COUNTA(quests!$A:$A),MATCH(AA$2,quests!$1:$1,0)-MATCH($C$2,quests!$1:$1,0)+1),MATCH(AA$2,quests!$1:$1,0)-MATCH($C$2,quests!$1:$1,0)+1,FALSE)</f>
        <v>0</v>
      </c>
      <c r="AB515" s="7" t="s">
        <v>56</v>
      </c>
      <c r="AC515" s="7">
        <v>7</v>
      </c>
      <c r="AD515" s="7">
        <v>6</v>
      </c>
      <c r="AE515" s="7" t="s">
        <v>519</v>
      </c>
      <c r="AF515" s="33">
        <v>11</v>
      </c>
      <c r="AG515" s="7">
        <v>0</v>
      </c>
      <c r="AH515" s="7">
        <v>0</v>
      </c>
      <c r="AI515" s="7">
        <v>-1</v>
      </c>
      <c r="AJ515" s="7">
        <v>-1</v>
      </c>
      <c r="AK515" s="7" t="s">
        <v>1064</v>
      </c>
      <c r="AL515" s="12" t="s">
        <v>1695</v>
      </c>
      <c r="AM515" s="12" t="s">
        <v>2072</v>
      </c>
    </row>
    <row r="516" spans="1:39" ht="22" customHeight="1" x14ac:dyDescent="0.15">
      <c r="A516" s="42" t="str">
        <f t="shared" si="21"/>
        <v>20019_1</v>
      </c>
      <c r="B516" s="39">
        <v>3</v>
      </c>
      <c r="C516" s="31">
        <v>20019</v>
      </c>
      <c r="D516" s="47" t="str">
        <f ca="1">VLOOKUP($C516,OFFSET(quests!$A$1,0,0,COUNTA(quests!$A:$A),MATCH(D$1,quests!$1:$1,0)-MATCH($C$2,quests!$1:$1,0)+1),MATCH(D$1,quests!$1:$1,0)-MATCH($C$2,quests!$1:$1,0)+1,FALSE)</f>
        <v>灼熱の舞姫</v>
      </c>
      <c r="E516" s="48" t="str">
        <f ca="1">VLOOKUP($C516,OFFSET(quests!$A$1,0,0,COUNTA(quests!$A:$A),MATCH(E$2,quests!$1:$1,0)-MATCH($C$2,quests!$1:$1,0)+1),MATCH(E$2,quests!$1:$1,0)-MATCH($C$2,quests!$1:$1,0)+1,FALSE)</f>
        <v>平安01</v>
      </c>
      <c r="F516" s="7">
        <v>1</v>
      </c>
      <c r="G516" s="7" t="s">
        <v>382</v>
      </c>
      <c r="H516" s="242" t="s">
        <v>1519</v>
      </c>
      <c r="I516" s="12" t="s">
        <v>58</v>
      </c>
      <c r="J516" s="39">
        <v>1020</v>
      </c>
      <c r="K516" s="167">
        <v>8</v>
      </c>
      <c r="L516" s="167">
        <v>384</v>
      </c>
      <c r="M516" s="167">
        <v>1</v>
      </c>
      <c r="N516" s="167">
        <v>1</v>
      </c>
      <c r="O516" s="167">
        <v>1</v>
      </c>
      <c r="P516" s="167">
        <v>1</v>
      </c>
      <c r="Q516" s="167">
        <v>1</v>
      </c>
      <c r="R516" s="167">
        <v>3</v>
      </c>
      <c r="S516" s="167" t="s">
        <v>79</v>
      </c>
      <c r="T516" s="167">
        <v>0</v>
      </c>
      <c r="U516" s="7" t="s">
        <v>169</v>
      </c>
      <c r="V516" s="7" t="s">
        <v>169</v>
      </c>
      <c r="W516" s="47" t="str">
        <f t="shared" ca="1" si="22"/>
        <v/>
      </c>
      <c r="X516" s="47">
        <f ca="1">VLOOKUP($C516,OFFSET(quests!$A$1,0,0,COUNTA(quests!$A:$A),MATCH(X$2,quests!$1:$1,0)-MATCH($C$2,quests!$1:$1,0)+1),MATCH(X$2,quests!$1:$1,0)-MATCH($C$2,quests!$1:$1,0)+1,FALSE)</f>
        <v>0</v>
      </c>
      <c r="Y516" s="47">
        <f ca="1">VLOOKUP($C516,OFFSET(quests!$A$1,0,0,COUNTA(quests!$A:$A),MATCH(Y$2,quests!$1:$1,0)-MATCH($C$2,quests!$1:$1,0)+1),MATCH(Y$2,quests!$1:$1,0)-MATCH($C$2,quests!$1:$1,0)+1,FALSE)</f>
        <v>0</v>
      </c>
      <c r="Z516" s="47">
        <f ca="1">VLOOKUP($C516,OFFSET(quests!$A$1,0,0,COUNTA(quests!$A:$A),MATCH(Z$2,quests!$1:$1,0)-MATCH($C$2,quests!$1:$1,0)+1),MATCH(Z$2,quests!$1:$1,0)-MATCH($C$2,quests!$1:$1,0)+1,FALSE)</f>
        <v>0</v>
      </c>
      <c r="AA516" s="47">
        <f ca="1">VLOOKUP($C516,OFFSET(quests!$A$1,0,0,COUNTA(quests!$A:$A),MATCH(AA$2,quests!$1:$1,0)-MATCH($C$2,quests!$1:$1,0)+1),MATCH(AA$2,quests!$1:$1,0)-MATCH($C$2,quests!$1:$1,0)+1,FALSE)</f>
        <v>0</v>
      </c>
      <c r="AB516" s="7" t="s">
        <v>56</v>
      </c>
      <c r="AC516" s="33">
        <v>2</v>
      </c>
      <c r="AD516" s="7">
        <v>6</v>
      </c>
      <c r="AE516" s="7" t="s">
        <v>519</v>
      </c>
      <c r="AF516" s="96">
        <v>17</v>
      </c>
      <c r="AG516" s="7">
        <v>0</v>
      </c>
      <c r="AH516" s="7">
        <v>0</v>
      </c>
      <c r="AI516" s="7">
        <v>-1</v>
      </c>
      <c r="AJ516" s="7">
        <v>-1</v>
      </c>
      <c r="AK516" s="7" t="s">
        <v>1064</v>
      </c>
      <c r="AL516" s="12" t="s">
        <v>1695</v>
      </c>
      <c r="AM516" s="12" t="s">
        <v>2072</v>
      </c>
    </row>
    <row r="517" spans="1:39" ht="21" customHeight="1" x14ac:dyDescent="0.15">
      <c r="A517" s="42" t="str">
        <f t="shared" si="21"/>
        <v>20019_2</v>
      </c>
      <c r="B517" s="39">
        <v>3</v>
      </c>
      <c r="C517" s="31">
        <v>20019</v>
      </c>
      <c r="D517" s="47" t="str">
        <f ca="1">VLOOKUP($C517,OFFSET(quests!$A$1,0,0,COUNTA(quests!$A:$A),MATCH(D$1,quests!$1:$1,0)-MATCH($C$2,quests!$1:$1,0)+1),MATCH(D$1,quests!$1:$1,0)-MATCH($C$2,quests!$1:$1,0)+1,FALSE)</f>
        <v>灼熱の舞姫</v>
      </c>
      <c r="E517" s="48" t="str">
        <f ca="1">VLOOKUP($C517,OFFSET(quests!$A$1,0,0,COUNTA(quests!$A:$A),MATCH(E$2,quests!$1:$1,0)-MATCH($C$2,quests!$1:$1,0)+1),MATCH(E$2,quests!$1:$1,0)-MATCH($C$2,quests!$1:$1,0)+1,FALSE)</f>
        <v>平安01</v>
      </c>
      <c r="F517" s="7">
        <v>2</v>
      </c>
      <c r="G517" s="7" t="s">
        <v>382</v>
      </c>
      <c r="H517" s="242" t="s">
        <v>1520</v>
      </c>
      <c r="I517" s="12" t="s">
        <v>59</v>
      </c>
      <c r="J517" s="39">
        <v>1020</v>
      </c>
      <c r="K517" s="167">
        <v>15</v>
      </c>
      <c r="L517" s="167">
        <v>1200</v>
      </c>
      <c r="M517" s="167">
        <v>1</v>
      </c>
      <c r="N517" s="167">
        <v>1</v>
      </c>
      <c r="O517" s="167">
        <v>1</v>
      </c>
      <c r="P517" s="167">
        <v>1</v>
      </c>
      <c r="Q517" s="167">
        <v>1</v>
      </c>
      <c r="R517" s="167">
        <v>3</v>
      </c>
      <c r="S517" s="167" t="s">
        <v>79</v>
      </c>
      <c r="T517" s="167">
        <v>0</v>
      </c>
      <c r="U517" s="7" t="s">
        <v>169</v>
      </c>
      <c r="V517" s="7" t="s">
        <v>169</v>
      </c>
      <c r="W517" s="47" t="str">
        <f t="shared" ca="1" si="22"/>
        <v/>
      </c>
      <c r="X517" s="47">
        <f ca="1">VLOOKUP($C517,OFFSET(quests!$A$1,0,0,COUNTA(quests!$A:$A),MATCH(X$2,quests!$1:$1,0)-MATCH($C$2,quests!$1:$1,0)+1),MATCH(X$2,quests!$1:$1,0)-MATCH($C$2,quests!$1:$1,0)+1,FALSE)</f>
        <v>0</v>
      </c>
      <c r="Y517" s="47">
        <f ca="1">VLOOKUP($C517,OFFSET(quests!$A$1,0,0,COUNTA(quests!$A:$A),MATCH(Y$2,quests!$1:$1,0)-MATCH($C$2,quests!$1:$1,0)+1),MATCH(Y$2,quests!$1:$1,0)-MATCH($C$2,quests!$1:$1,0)+1,FALSE)</f>
        <v>0</v>
      </c>
      <c r="Z517" s="47">
        <f ca="1">VLOOKUP($C517,OFFSET(quests!$A$1,0,0,COUNTA(quests!$A:$A),MATCH(Z$2,quests!$1:$1,0)-MATCH($C$2,quests!$1:$1,0)+1),MATCH(Z$2,quests!$1:$1,0)-MATCH($C$2,quests!$1:$1,0)+1,FALSE)</f>
        <v>0</v>
      </c>
      <c r="AA517" s="47">
        <f ca="1">VLOOKUP($C517,OFFSET(quests!$A$1,0,0,COUNTA(quests!$A:$A),MATCH(AA$2,quests!$1:$1,0)-MATCH($C$2,quests!$1:$1,0)+1),MATCH(AA$2,quests!$1:$1,0)-MATCH($C$2,quests!$1:$1,0)+1,FALSE)</f>
        <v>0</v>
      </c>
      <c r="AB517" s="7" t="s">
        <v>56</v>
      </c>
      <c r="AC517" s="33">
        <v>2</v>
      </c>
      <c r="AD517" s="7">
        <v>6</v>
      </c>
      <c r="AE517" s="7" t="s">
        <v>519</v>
      </c>
      <c r="AF517" s="96">
        <v>17</v>
      </c>
      <c r="AG517" s="7">
        <v>0</v>
      </c>
      <c r="AH517" s="7">
        <v>0</v>
      </c>
      <c r="AI517" s="7">
        <v>-1</v>
      </c>
      <c r="AJ517" s="7">
        <v>-1</v>
      </c>
      <c r="AK517" s="7" t="s">
        <v>1064</v>
      </c>
      <c r="AL517" s="12" t="s">
        <v>1695</v>
      </c>
      <c r="AM517" s="12" t="s">
        <v>2072</v>
      </c>
    </row>
    <row r="518" spans="1:39" ht="22" customHeight="1" x14ac:dyDescent="0.15">
      <c r="A518" s="42" t="str">
        <f t="shared" si="21"/>
        <v>20019_3</v>
      </c>
      <c r="B518" s="39">
        <v>3</v>
      </c>
      <c r="C518" s="31">
        <v>20019</v>
      </c>
      <c r="D518" s="47" t="str">
        <f ca="1">VLOOKUP($C518,OFFSET(quests!$A$1,0,0,COUNTA(quests!$A:$A),MATCH(D$1,quests!$1:$1,0)-MATCH($C$2,quests!$1:$1,0)+1),MATCH(D$1,quests!$1:$1,0)-MATCH($C$2,quests!$1:$1,0)+1,FALSE)</f>
        <v>灼熱の舞姫</v>
      </c>
      <c r="E518" s="48" t="str">
        <f ca="1">VLOOKUP($C518,OFFSET(quests!$A$1,0,0,COUNTA(quests!$A:$A),MATCH(E$2,quests!$1:$1,0)-MATCH($C$2,quests!$1:$1,0)+1),MATCH(E$2,quests!$1:$1,0)-MATCH($C$2,quests!$1:$1,0)+1,FALSE)</f>
        <v>平安01</v>
      </c>
      <c r="F518" s="7">
        <v>3</v>
      </c>
      <c r="G518" s="7" t="s">
        <v>382</v>
      </c>
      <c r="H518" s="242" t="s">
        <v>1521</v>
      </c>
      <c r="I518" s="12" t="s">
        <v>60</v>
      </c>
      <c r="J518" s="39">
        <v>1020</v>
      </c>
      <c r="K518" s="167">
        <v>20</v>
      </c>
      <c r="L518" s="167">
        <v>2000</v>
      </c>
      <c r="M518" s="167">
        <v>1</v>
      </c>
      <c r="N518" s="167">
        <v>1</v>
      </c>
      <c r="O518" s="167">
        <v>1</v>
      </c>
      <c r="P518" s="167">
        <v>1</v>
      </c>
      <c r="Q518" s="167">
        <v>1</v>
      </c>
      <c r="R518" s="167">
        <v>3</v>
      </c>
      <c r="S518" s="167" t="s">
        <v>278</v>
      </c>
      <c r="T518" s="167">
        <v>1</v>
      </c>
      <c r="U518" s="7" t="s">
        <v>169</v>
      </c>
      <c r="V518" s="7" t="s">
        <v>169</v>
      </c>
      <c r="W518" s="47" t="str">
        <f t="shared" ca="1" si="22"/>
        <v/>
      </c>
      <c r="X518" s="47">
        <f ca="1">VLOOKUP($C518,OFFSET(quests!$A$1,0,0,COUNTA(quests!$A:$A),MATCH(X$2,quests!$1:$1,0)-MATCH($C$2,quests!$1:$1,0)+1),MATCH(X$2,quests!$1:$1,0)-MATCH($C$2,quests!$1:$1,0)+1,FALSE)</f>
        <v>0</v>
      </c>
      <c r="Y518" s="47">
        <f ca="1">VLOOKUP($C518,OFFSET(quests!$A$1,0,0,COUNTA(quests!$A:$A),MATCH(Y$2,quests!$1:$1,0)-MATCH($C$2,quests!$1:$1,0)+1),MATCH(Y$2,quests!$1:$1,0)-MATCH($C$2,quests!$1:$1,0)+1,FALSE)</f>
        <v>0</v>
      </c>
      <c r="Z518" s="47">
        <f ca="1">VLOOKUP($C518,OFFSET(quests!$A$1,0,0,COUNTA(quests!$A:$A),MATCH(Z$2,quests!$1:$1,0)-MATCH($C$2,quests!$1:$1,0)+1),MATCH(Z$2,quests!$1:$1,0)-MATCH($C$2,quests!$1:$1,0)+1,FALSE)</f>
        <v>0</v>
      </c>
      <c r="AA518" s="47">
        <f ca="1">VLOOKUP($C518,OFFSET(quests!$A$1,0,0,COUNTA(quests!$A:$A),MATCH(AA$2,quests!$1:$1,0)-MATCH($C$2,quests!$1:$1,0)+1),MATCH(AA$2,quests!$1:$1,0)-MATCH($C$2,quests!$1:$1,0)+1,FALSE)</f>
        <v>0</v>
      </c>
      <c r="AB518" s="7" t="s">
        <v>56</v>
      </c>
      <c r="AC518" s="33">
        <v>2</v>
      </c>
      <c r="AD518" s="7">
        <v>6</v>
      </c>
      <c r="AE518" s="7" t="s">
        <v>519</v>
      </c>
      <c r="AF518" s="96">
        <v>17</v>
      </c>
      <c r="AG518" s="7">
        <v>0</v>
      </c>
      <c r="AH518" s="7">
        <v>0</v>
      </c>
      <c r="AI518" s="7">
        <v>-1</v>
      </c>
      <c r="AJ518" s="7">
        <v>-1</v>
      </c>
      <c r="AK518" s="7" t="s">
        <v>1064</v>
      </c>
      <c r="AL518" s="12" t="s">
        <v>1695</v>
      </c>
      <c r="AM518" s="12" t="s">
        <v>2072</v>
      </c>
    </row>
    <row r="519" spans="1:39" ht="21" customHeight="1" x14ac:dyDescent="0.15">
      <c r="A519" s="42" t="str">
        <f t="shared" si="21"/>
        <v>20020_1</v>
      </c>
      <c r="B519" s="76">
        <v>3</v>
      </c>
      <c r="C519" s="31">
        <v>20020</v>
      </c>
      <c r="D519" s="47" t="str">
        <f ca="1">VLOOKUP($C519,OFFSET(quests!$A$1,0,0,COUNTA(quests!$A:$A),MATCH(D$1,quests!$1:$1,0)-MATCH($C$2,quests!$1:$1,0)+1),MATCH(D$1,quests!$1:$1,0)-MATCH($C$2,quests!$1:$1,0)+1,FALSE)</f>
        <v>変幻自在の風</v>
      </c>
      <c r="E519" s="48" t="str">
        <f ca="1">VLOOKUP($C519,OFFSET(quests!$A$1,0,0,COUNTA(quests!$A:$A),MATCH(E$2,quests!$1:$1,0)-MATCH($C$2,quests!$1:$1,0)+1),MATCH(E$2,quests!$1:$1,0)-MATCH($C$2,quests!$1:$1,0)+1,FALSE)</f>
        <v>メソポタミア01</v>
      </c>
      <c r="F519" s="7">
        <v>1</v>
      </c>
      <c r="G519" s="7" t="s">
        <v>382</v>
      </c>
      <c r="H519" s="249" t="s">
        <v>1595</v>
      </c>
      <c r="I519" s="12" t="s">
        <v>1537</v>
      </c>
      <c r="J519" s="12">
        <v>1060</v>
      </c>
      <c r="K519" s="167">
        <v>8</v>
      </c>
      <c r="L519" s="185">
        <v>384</v>
      </c>
      <c r="M519" s="167">
        <v>1</v>
      </c>
      <c r="N519" s="167">
        <v>1</v>
      </c>
      <c r="O519" s="167">
        <v>1</v>
      </c>
      <c r="P519" s="167">
        <v>1</v>
      </c>
      <c r="Q519" s="167">
        <v>1</v>
      </c>
      <c r="R519" s="167">
        <v>3</v>
      </c>
      <c r="S519" s="167" t="s">
        <v>79</v>
      </c>
      <c r="T519" s="167">
        <v>0</v>
      </c>
      <c r="U519" s="7" t="s">
        <v>169</v>
      </c>
      <c r="V519" s="7" t="s">
        <v>169</v>
      </c>
      <c r="W519" s="47" t="str">
        <f t="shared" ca="1" si="22"/>
        <v/>
      </c>
      <c r="X519" s="47">
        <f ca="1">VLOOKUP($C519,OFFSET(quests!$A$1,0,0,COUNTA(quests!$A:$A),MATCH(X$2,quests!$1:$1,0)-MATCH($C$2,quests!$1:$1,0)+1),MATCH(X$2,quests!$1:$1,0)-MATCH($C$2,quests!$1:$1,0)+1,FALSE)</f>
        <v>0</v>
      </c>
      <c r="Y519" s="47">
        <f ca="1">VLOOKUP($C519,OFFSET(quests!$A$1,0,0,COUNTA(quests!$A:$A),MATCH(Y$2,quests!$1:$1,0)-MATCH($C$2,quests!$1:$1,0)+1),MATCH(Y$2,quests!$1:$1,0)-MATCH($C$2,quests!$1:$1,0)+1,FALSE)</f>
        <v>0</v>
      </c>
      <c r="Z519" s="47">
        <f ca="1">VLOOKUP($C519,OFFSET(quests!$A$1,0,0,COUNTA(quests!$A:$A),MATCH(Z$2,quests!$1:$1,0)-MATCH($C$2,quests!$1:$1,0)+1),MATCH(Z$2,quests!$1:$1,0)-MATCH($C$2,quests!$1:$1,0)+1,FALSE)</f>
        <v>0</v>
      </c>
      <c r="AA519" s="47">
        <f ca="1">VLOOKUP($C519,OFFSET(quests!$A$1,0,0,COUNTA(quests!$A:$A),MATCH(AA$2,quests!$1:$1,0)-MATCH($C$2,quests!$1:$1,0)+1),MATCH(AA$2,quests!$1:$1,0)-MATCH($C$2,quests!$1:$1,0)+1,FALSE)</f>
        <v>0</v>
      </c>
      <c r="AB519" s="7" t="s">
        <v>56</v>
      </c>
      <c r="AC519" s="33">
        <v>23</v>
      </c>
      <c r="AD519" s="7">
        <v>6</v>
      </c>
      <c r="AE519" s="7" t="s">
        <v>519</v>
      </c>
      <c r="AF519" s="96">
        <v>17</v>
      </c>
      <c r="AG519" s="7">
        <v>0</v>
      </c>
      <c r="AH519" s="7">
        <v>0</v>
      </c>
      <c r="AI519" s="7">
        <v>-1</v>
      </c>
      <c r="AJ519" s="7">
        <v>-1</v>
      </c>
      <c r="AK519" s="7" t="s">
        <v>1064</v>
      </c>
      <c r="AL519" s="12" t="s">
        <v>1695</v>
      </c>
      <c r="AM519" s="12" t="s">
        <v>2072</v>
      </c>
    </row>
    <row r="520" spans="1:39" ht="21" customHeight="1" x14ac:dyDescent="0.15">
      <c r="A520" s="42" t="str">
        <f t="shared" si="21"/>
        <v>20020_2</v>
      </c>
      <c r="B520" s="76">
        <v>3</v>
      </c>
      <c r="C520" s="31">
        <v>20020</v>
      </c>
      <c r="D520" s="47" t="str">
        <f ca="1">VLOOKUP($C520,OFFSET(quests!$A$1,0,0,COUNTA(quests!$A:$A),MATCH(D$1,quests!$1:$1,0)-MATCH($C$2,quests!$1:$1,0)+1),MATCH(D$1,quests!$1:$1,0)-MATCH($C$2,quests!$1:$1,0)+1,FALSE)</f>
        <v>変幻自在の風</v>
      </c>
      <c r="E520" s="48" t="str">
        <f ca="1">VLOOKUP($C520,OFFSET(quests!$A$1,0,0,COUNTA(quests!$A:$A),MATCH(E$2,quests!$1:$1,0)-MATCH($C$2,quests!$1:$1,0)+1),MATCH(E$2,quests!$1:$1,0)-MATCH($C$2,quests!$1:$1,0)+1,FALSE)</f>
        <v>メソポタミア01</v>
      </c>
      <c r="F520" s="7">
        <v>2</v>
      </c>
      <c r="G520" s="7" t="s">
        <v>382</v>
      </c>
      <c r="H520" s="249" t="s">
        <v>1596</v>
      </c>
      <c r="I520" s="12" t="s">
        <v>1538</v>
      </c>
      <c r="J520" s="12">
        <v>1060</v>
      </c>
      <c r="K520" s="167">
        <v>15</v>
      </c>
      <c r="L520" s="185">
        <v>1200</v>
      </c>
      <c r="M520" s="167">
        <v>1</v>
      </c>
      <c r="N520" s="167">
        <v>1</v>
      </c>
      <c r="O520" s="167">
        <v>1</v>
      </c>
      <c r="P520" s="167">
        <v>1</v>
      </c>
      <c r="Q520" s="167">
        <v>1</v>
      </c>
      <c r="R520" s="167">
        <v>3</v>
      </c>
      <c r="S520" s="167" t="s">
        <v>79</v>
      </c>
      <c r="T520" s="167">
        <v>0</v>
      </c>
      <c r="U520" s="7" t="s">
        <v>169</v>
      </c>
      <c r="V520" s="7" t="s">
        <v>169</v>
      </c>
      <c r="W520" s="47" t="str">
        <f t="shared" ca="1" si="22"/>
        <v/>
      </c>
      <c r="X520" s="47">
        <f ca="1">VLOOKUP($C520,OFFSET(quests!$A$1,0,0,COUNTA(quests!$A:$A),MATCH(X$2,quests!$1:$1,0)-MATCH($C$2,quests!$1:$1,0)+1),MATCH(X$2,quests!$1:$1,0)-MATCH($C$2,quests!$1:$1,0)+1,FALSE)</f>
        <v>0</v>
      </c>
      <c r="Y520" s="47">
        <f ca="1">VLOOKUP($C520,OFFSET(quests!$A$1,0,0,COUNTA(quests!$A:$A),MATCH(Y$2,quests!$1:$1,0)-MATCH($C$2,quests!$1:$1,0)+1),MATCH(Y$2,quests!$1:$1,0)-MATCH($C$2,quests!$1:$1,0)+1,FALSE)</f>
        <v>0</v>
      </c>
      <c r="Z520" s="47">
        <f ca="1">VLOOKUP($C520,OFFSET(quests!$A$1,0,0,COUNTA(quests!$A:$A),MATCH(Z$2,quests!$1:$1,0)-MATCH($C$2,quests!$1:$1,0)+1),MATCH(Z$2,quests!$1:$1,0)-MATCH($C$2,quests!$1:$1,0)+1,FALSE)</f>
        <v>0</v>
      </c>
      <c r="AA520" s="47">
        <f ca="1">VLOOKUP($C520,OFFSET(quests!$A$1,0,0,COUNTA(quests!$A:$A),MATCH(AA$2,quests!$1:$1,0)-MATCH($C$2,quests!$1:$1,0)+1),MATCH(AA$2,quests!$1:$1,0)-MATCH($C$2,quests!$1:$1,0)+1,FALSE)</f>
        <v>0</v>
      </c>
      <c r="AB520" s="7" t="s">
        <v>56</v>
      </c>
      <c r="AC520" s="33">
        <v>23</v>
      </c>
      <c r="AD520" s="7">
        <v>6</v>
      </c>
      <c r="AE520" s="7" t="s">
        <v>519</v>
      </c>
      <c r="AF520" s="96">
        <v>17</v>
      </c>
      <c r="AG520" s="7">
        <v>0</v>
      </c>
      <c r="AH520" s="7">
        <v>0</v>
      </c>
      <c r="AI520" s="7">
        <v>-1</v>
      </c>
      <c r="AJ520" s="7">
        <v>-1</v>
      </c>
      <c r="AK520" s="7" t="s">
        <v>1064</v>
      </c>
      <c r="AL520" s="12" t="s">
        <v>1695</v>
      </c>
      <c r="AM520" s="12" t="s">
        <v>2072</v>
      </c>
    </row>
    <row r="521" spans="1:39" ht="21" customHeight="1" x14ac:dyDescent="0.15">
      <c r="A521" s="42" t="str">
        <f t="shared" si="21"/>
        <v>20020_3</v>
      </c>
      <c r="B521" s="76">
        <v>3</v>
      </c>
      <c r="C521" s="31">
        <v>20020</v>
      </c>
      <c r="D521" s="47" t="str">
        <f ca="1">VLOOKUP($C521,OFFSET(quests!$A$1,0,0,COUNTA(quests!$A:$A),MATCH(D$1,quests!$1:$1,0)-MATCH($C$2,quests!$1:$1,0)+1),MATCH(D$1,quests!$1:$1,0)-MATCH($C$2,quests!$1:$1,0)+1,FALSE)</f>
        <v>変幻自在の風</v>
      </c>
      <c r="E521" s="48" t="str">
        <f ca="1">VLOOKUP($C521,OFFSET(quests!$A$1,0,0,COUNTA(quests!$A:$A),MATCH(E$2,quests!$1:$1,0)-MATCH($C$2,quests!$1:$1,0)+1),MATCH(E$2,quests!$1:$1,0)-MATCH($C$2,quests!$1:$1,0)+1,FALSE)</f>
        <v>メソポタミア01</v>
      </c>
      <c r="F521" s="7">
        <v>3</v>
      </c>
      <c r="G521" s="7" t="s">
        <v>382</v>
      </c>
      <c r="H521" s="249" t="s">
        <v>1597</v>
      </c>
      <c r="I521" s="12" t="s">
        <v>1539</v>
      </c>
      <c r="J521" s="12">
        <v>1060</v>
      </c>
      <c r="K521" s="167">
        <v>20</v>
      </c>
      <c r="L521" s="185">
        <v>2000</v>
      </c>
      <c r="M521" s="167">
        <v>1</v>
      </c>
      <c r="N521" s="167">
        <v>1</v>
      </c>
      <c r="O521" s="167">
        <v>1</v>
      </c>
      <c r="P521" s="167">
        <v>1</v>
      </c>
      <c r="Q521" s="167">
        <v>1</v>
      </c>
      <c r="R521" s="167">
        <v>3</v>
      </c>
      <c r="S521" s="167" t="s">
        <v>278</v>
      </c>
      <c r="T521" s="167">
        <v>1</v>
      </c>
      <c r="U521" s="7" t="s">
        <v>169</v>
      </c>
      <c r="V521" s="7" t="s">
        <v>169</v>
      </c>
      <c r="W521" s="47" t="str">
        <f t="shared" ca="1" si="22"/>
        <v/>
      </c>
      <c r="X521" s="47">
        <f ca="1">VLOOKUP($C521,OFFSET(quests!$A$1,0,0,COUNTA(quests!$A:$A),MATCH(X$2,quests!$1:$1,0)-MATCH($C$2,quests!$1:$1,0)+1),MATCH(X$2,quests!$1:$1,0)-MATCH($C$2,quests!$1:$1,0)+1,FALSE)</f>
        <v>0</v>
      </c>
      <c r="Y521" s="47">
        <f ca="1">VLOOKUP($C521,OFFSET(quests!$A$1,0,0,COUNTA(quests!$A:$A),MATCH(Y$2,quests!$1:$1,0)-MATCH($C$2,quests!$1:$1,0)+1),MATCH(Y$2,quests!$1:$1,0)-MATCH($C$2,quests!$1:$1,0)+1,FALSE)</f>
        <v>0</v>
      </c>
      <c r="Z521" s="47">
        <f ca="1">VLOOKUP($C521,OFFSET(quests!$A$1,0,0,COUNTA(quests!$A:$A),MATCH(Z$2,quests!$1:$1,0)-MATCH($C$2,quests!$1:$1,0)+1),MATCH(Z$2,quests!$1:$1,0)-MATCH($C$2,quests!$1:$1,0)+1,FALSE)</f>
        <v>0</v>
      </c>
      <c r="AA521" s="47">
        <f ca="1">VLOOKUP($C521,OFFSET(quests!$A$1,0,0,COUNTA(quests!$A:$A),MATCH(AA$2,quests!$1:$1,0)-MATCH($C$2,quests!$1:$1,0)+1),MATCH(AA$2,quests!$1:$1,0)-MATCH($C$2,quests!$1:$1,0)+1,FALSE)</f>
        <v>0</v>
      </c>
      <c r="AB521" s="7" t="s">
        <v>56</v>
      </c>
      <c r="AC521" s="33">
        <v>23</v>
      </c>
      <c r="AD521" s="7">
        <v>6</v>
      </c>
      <c r="AE521" s="7" t="s">
        <v>519</v>
      </c>
      <c r="AF521" s="96">
        <v>17</v>
      </c>
      <c r="AG521" s="7">
        <v>0</v>
      </c>
      <c r="AH521" s="7">
        <v>0</v>
      </c>
      <c r="AI521" s="7">
        <v>-1</v>
      </c>
      <c r="AJ521" s="7">
        <v>-1</v>
      </c>
      <c r="AK521" s="7" t="s">
        <v>1064</v>
      </c>
      <c r="AL521" s="12" t="s">
        <v>1695</v>
      </c>
      <c r="AM521" s="12" t="s">
        <v>2072</v>
      </c>
    </row>
    <row r="522" spans="1:39" ht="21" customHeight="1" x14ac:dyDescent="0.15">
      <c r="A522" s="42" t="str">
        <f t="shared" si="21"/>
        <v>20021_1</v>
      </c>
      <c r="B522" s="76">
        <v>3</v>
      </c>
      <c r="C522" s="31">
        <v>20021</v>
      </c>
      <c r="D522" s="47" t="str">
        <f ca="1">VLOOKUP($C522,OFFSET(quests!$A$1,0,0,COUNTA(quests!$A:$A),MATCH(D$1,quests!$1:$1,0)-MATCH($C$2,quests!$1:$1,0)+1),MATCH(D$1,quests!$1:$1,0)-MATCH($C$2,quests!$1:$1,0)+1,FALSE)</f>
        <v>ペインター・オブ・ラブ</v>
      </c>
      <c r="E522" s="48" t="str">
        <f ca="1">VLOOKUP($C522,OFFSET(quests!$A$1,0,0,COUNTA(quests!$A:$A),MATCH(E$2,quests!$1:$1,0)-MATCH($C$2,quests!$1:$1,0)+1),MATCH(E$2,quests!$1:$1,0)-MATCH($C$2,quests!$1:$1,0)+1,FALSE)</f>
        <v>画家シリーズ01</v>
      </c>
      <c r="F522" s="7">
        <v>1</v>
      </c>
      <c r="G522" s="7" t="s">
        <v>382</v>
      </c>
      <c r="H522" s="249" t="s">
        <v>1639</v>
      </c>
      <c r="I522" s="12" t="s">
        <v>1537</v>
      </c>
      <c r="J522" s="12">
        <v>1095</v>
      </c>
      <c r="K522" s="167">
        <v>8</v>
      </c>
      <c r="L522" s="185">
        <v>384</v>
      </c>
      <c r="M522" s="167">
        <v>1</v>
      </c>
      <c r="N522" s="167">
        <v>1</v>
      </c>
      <c r="O522" s="167">
        <v>1</v>
      </c>
      <c r="P522" s="167">
        <v>1</v>
      </c>
      <c r="Q522" s="167">
        <v>1</v>
      </c>
      <c r="R522" s="167">
        <v>3</v>
      </c>
      <c r="S522" s="167" t="s">
        <v>79</v>
      </c>
      <c r="T522" s="167">
        <v>0</v>
      </c>
      <c r="U522" s="7" t="s">
        <v>169</v>
      </c>
      <c r="V522" s="7" t="s">
        <v>169</v>
      </c>
      <c r="W522" s="47" t="str">
        <f t="shared" ca="1" si="22"/>
        <v/>
      </c>
      <c r="X522" s="47">
        <f ca="1">VLOOKUP($C522,OFFSET(quests!$A$1,0,0,COUNTA(quests!$A:$A),MATCH(X$2,quests!$1:$1,0)-MATCH($C$2,quests!$1:$1,0)+1),MATCH(X$2,quests!$1:$1,0)-MATCH($C$2,quests!$1:$1,0)+1,FALSE)</f>
        <v>0</v>
      </c>
      <c r="Y522" s="47">
        <f ca="1">VLOOKUP($C522,OFFSET(quests!$A$1,0,0,COUNTA(quests!$A:$A),MATCH(Y$2,quests!$1:$1,0)-MATCH($C$2,quests!$1:$1,0)+1),MATCH(Y$2,quests!$1:$1,0)-MATCH($C$2,quests!$1:$1,0)+1,FALSE)</f>
        <v>0</v>
      </c>
      <c r="Z522" s="47">
        <f ca="1">VLOOKUP($C522,OFFSET(quests!$A$1,0,0,COUNTA(quests!$A:$A),MATCH(Z$2,quests!$1:$1,0)-MATCH($C$2,quests!$1:$1,0)+1),MATCH(Z$2,quests!$1:$1,0)-MATCH($C$2,quests!$1:$1,0)+1,FALSE)</f>
        <v>0</v>
      </c>
      <c r="AA522" s="47">
        <f ca="1">VLOOKUP($C522,OFFSET(quests!$A$1,0,0,COUNTA(quests!$A:$A),MATCH(AA$2,quests!$1:$1,0)-MATCH($C$2,quests!$1:$1,0)+1),MATCH(AA$2,quests!$1:$1,0)-MATCH($C$2,quests!$1:$1,0)+1,FALSE)</f>
        <v>0</v>
      </c>
      <c r="AB522" s="7" t="s">
        <v>56</v>
      </c>
      <c r="AC522" s="167">
        <v>4</v>
      </c>
      <c r="AD522" s="7">
        <v>6</v>
      </c>
      <c r="AE522" s="7" t="s">
        <v>519</v>
      </c>
      <c r="AF522" s="96">
        <v>17</v>
      </c>
      <c r="AG522" s="7">
        <v>0</v>
      </c>
      <c r="AH522" s="7">
        <v>0</v>
      </c>
      <c r="AI522" s="7">
        <v>-1</v>
      </c>
      <c r="AJ522" s="7">
        <v>-1</v>
      </c>
      <c r="AK522" s="7" t="s">
        <v>1064</v>
      </c>
      <c r="AL522" s="12" t="s">
        <v>1695</v>
      </c>
      <c r="AM522" s="12" t="s">
        <v>2072</v>
      </c>
    </row>
    <row r="523" spans="1:39" ht="21" customHeight="1" x14ac:dyDescent="0.15">
      <c r="A523" s="42" t="str">
        <f t="shared" si="21"/>
        <v>20021_2</v>
      </c>
      <c r="B523" s="76">
        <v>3</v>
      </c>
      <c r="C523" s="31">
        <v>20021</v>
      </c>
      <c r="D523" s="47" t="str">
        <f ca="1">VLOOKUP($C523,OFFSET(quests!$A$1,0,0,COUNTA(quests!$A:$A),MATCH(D$1,quests!$1:$1,0)-MATCH($C$2,quests!$1:$1,0)+1),MATCH(D$1,quests!$1:$1,0)-MATCH($C$2,quests!$1:$1,0)+1,FALSE)</f>
        <v>ペインター・オブ・ラブ</v>
      </c>
      <c r="E523" s="48" t="str">
        <f ca="1">VLOOKUP($C523,OFFSET(quests!$A$1,0,0,COUNTA(quests!$A:$A),MATCH(E$2,quests!$1:$1,0)-MATCH($C$2,quests!$1:$1,0)+1),MATCH(E$2,quests!$1:$1,0)-MATCH($C$2,quests!$1:$1,0)+1,FALSE)</f>
        <v>画家シリーズ01</v>
      </c>
      <c r="F523" s="7">
        <v>2</v>
      </c>
      <c r="G523" s="7" t="s">
        <v>382</v>
      </c>
      <c r="H523" s="249" t="s">
        <v>1640</v>
      </c>
      <c r="I523" s="12" t="s">
        <v>1538</v>
      </c>
      <c r="J523" s="12">
        <v>1095</v>
      </c>
      <c r="K523" s="167">
        <v>15</v>
      </c>
      <c r="L523" s="185">
        <v>1200</v>
      </c>
      <c r="M523" s="167">
        <v>1</v>
      </c>
      <c r="N523" s="167">
        <v>1</v>
      </c>
      <c r="O523" s="167">
        <v>1</v>
      </c>
      <c r="P523" s="167">
        <v>1</v>
      </c>
      <c r="Q523" s="167">
        <v>1</v>
      </c>
      <c r="R523" s="167">
        <v>3</v>
      </c>
      <c r="S523" s="167" t="s">
        <v>79</v>
      </c>
      <c r="T523" s="167">
        <v>0</v>
      </c>
      <c r="U523" s="7" t="s">
        <v>169</v>
      </c>
      <c r="V523" s="7" t="s">
        <v>169</v>
      </c>
      <c r="W523" s="47" t="str">
        <f t="shared" ca="1" si="22"/>
        <v/>
      </c>
      <c r="X523" s="47">
        <f ca="1">VLOOKUP($C523,OFFSET(quests!$A$1,0,0,COUNTA(quests!$A:$A),MATCH(X$2,quests!$1:$1,0)-MATCH($C$2,quests!$1:$1,0)+1),MATCH(X$2,quests!$1:$1,0)-MATCH($C$2,quests!$1:$1,0)+1,FALSE)</f>
        <v>0</v>
      </c>
      <c r="Y523" s="47">
        <f ca="1">VLOOKUP($C523,OFFSET(quests!$A$1,0,0,COUNTA(quests!$A:$A),MATCH(Y$2,quests!$1:$1,0)-MATCH($C$2,quests!$1:$1,0)+1),MATCH(Y$2,quests!$1:$1,0)-MATCH($C$2,quests!$1:$1,0)+1,FALSE)</f>
        <v>0</v>
      </c>
      <c r="Z523" s="47">
        <f ca="1">VLOOKUP($C523,OFFSET(quests!$A$1,0,0,COUNTA(quests!$A:$A),MATCH(Z$2,quests!$1:$1,0)-MATCH($C$2,quests!$1:$1,0)+1),MATCH(Z$2,quests!$1:$1,0)-MATCH($C$2,quests!$1:$1,0)+1,FALSE)</f>
        <v>0</v>
      </c>
      <c r="AA523" s="47">
        <f ca="1">VLOOKUP($C523,OFFSET(quests!$A$1,0,0,COUNTA(quests!$A:$A),MATCH(AA$2,quests!$1:$1,0)-MATCH($C$2,quests!$1:$1,0)+1),MATCH(AA$2,quests!$1:$1,0)-MATCH($C$2,quests!$1:$1,0)+1,FALSE)</f>
        <v>0</v>
      </c>
      <c r="AB523" s="7" t="s">
        <v>56</v>
      </c>
      <c r="AC523" s="167">
        <v>4</v>
      </c>
      <c r="AD523" s="7">
        <v>6</v>
      </c>
      <c r="AE523" s="7" t="s">
        <v>519</v>
      </c>
      <c r="AF523" s="96">
        <v>17</v>
      </c>
      <c r="AG523" s="7">
        <v>0</v>
      </c>
      <c r="AH523" s="7">
        <v>0</v>
      </c>
      <c r="AI523" s="7">
        <v>-1</v>
      </c>
      <c r="AJ523" s="7">
        <v>-1</v>
      </c>
      <c r="AK523" s="7" t="s">
        <v>1064</v>
      </c>
      <c r="AL523" s="12" t="s">
        <v>1695</v>
      </c>
      <c r="AM523" s="12" t="s">
        <v>2072</v>
      </c>
    </row>
    <row r="524" spans="1:39" ht="21" customHeight="1" x14ac:dyDescent="0.15">
      <c r="A524" s="42" t="str">
        <f t="shared" si="21"/>
        <v>20021_3</v>
      </c>
      <c r="B524" s="76">
        <v>3</v>
      </c>
      <c r="C524" s="31">
        <v>20021</v>
      </c>
      <c r="D524" s="47" t="str">
        <f ca="1">VLOOKUP($C524,OFFSET(quests!$A$1,0,0,COUNTA(quests!$A:$A),MATCH(D$1,quests!$1:$1,0)-MATCH($C$2,quests!$1:$1,0)+1),MATCH(D$1,quests!$1:$1,0)-MATCH($C$2,quests!$1:$1,0)+1,FALSE)</f>
        <v>ペインター・オブ・ラブ</v>
      </c>
      <c r="E524" s="48" t="str">
        <f ca="1">VLOOKUP($C524,OFFSET(quests!$A$1,0,0,COUNTA(quests!$A:$A),MATCH(E$2,quests!$1:$1,0)-MATCH($C$2,quests!$1:$1,0)+1),MATCH(E$2,quests!$1:$1,0)-MATCH($C$2,quests!$1:$1,0)+1,FALSE)</f>
        <v>画家シリーズ01</v>
      </c>
      <c r="F524" s="7">
        <v>3</v>
      </c>
      <c r="G524" s="7" t="s">
        <v>382</v>
      </c>
      <c r="H524" s="249" t="s">
        <v>1641</v>
      </c>
      <c r="I524" s="12" t="s">
        <v>1539</v>
      </c>
      <c r="J524" s="12">
        <v>1095</v>
      </c>
      <c r="K524" s="167">
        <v>20</v>
      </c>
      <c r="L524" s="185">
        <v>2000</v>
      </c>
      <c r="M524" s="167">
        <v>1</v>
      </c>
      <c r="N524" s="167">
        <v>1</v>
      </c>
      <c r="O524" s="167">
        <v>1</v>
      </c>
      <c r="P524" s="167">
        <v>1</v>
      </c>
      <c r="Q524" s="167">
        <v>1</v>
      </c>
      <c r="R524" s="167">
        <v>3</v>
      </c>
      <c r="S524" s="167" t="s">
        <v>278</v>
      </c>
      <c r="T524" s="167">
        <v>1</v>
      </c>
      <c r="U524" s="7" t="s">
        <v>169</v>
      </c>
      <c r="V524" s="7" t="s">
        <v>169</v>
      </c>
      <c r="W524" s="47" t="str">
        <f t="shared" ca="1" si="22"/>
        <v/>
      </c>
      <c r="X524" s="47">
        <f ca="1">VLOOKUP($C524,OFFSET(quests!$A$1,0,0,COUNTA(quests!$A:$A),MATCH(X$2,quests!$1:$1,0)-MATCH($C$2,quests!$1:$1,0)+1),MATCH(X$2,quests!$1:$1,0)-MATCH($C$2,quests!$1:$1,0)+1,FALSE)</f>
        <v>0</v>
      </c>
      <c r="Y524" s="47">
        <f ca="1">VLOOKUP($C524,OFFSET(quests!$A$1,0,0,COUNTA(quests!$A:$A),MATCH(Y$2,quests!$1:$1,0)-MATCH($C$2,quests!$1:$1,0)+1),MATCH(Y$2,quests!$1:$1,0)-MATCH($C$2,quests!$1:$1,0)+1,FALSE)</f>
        <v>0</v>
      </c>
      <c r="Z524" s="47">
        <f ca="1">VLOOKUP($C524,OFFSET(quests!$A$1,0,0,COUNTA(quests!$A:$A),MATCH(Z$2,quests!$1:$1,0)-MATCH($C$2,quests!$1:$1,0)+1),MATCH(Z$2,quests!$1:$1,0)-MATCH($C$2,quests!$1:$1,0)+1,FALSE)</f>
        <v>0</v>
      </c>
      <c r="AA524" s="47">
        <f ca="1">VLOOKUP($C524,OFFSET(quests!$A$1,0,0,COUNTA(quests!$A:$A),MATCH(AA$2,quests!$1:$1,0)-MATCH($C$2,quests!$1:$1,0)+1),MATCH(AA$2,quests!$1:$1,0)-MATCH($C$2,quests!$1:$1,0)+1,FALSE)</f>
        <v>0</v>
      </c>
      <c r="AB524" s="7" t="s">
        <v>56</v>
      </c>
      <c r="AC524" s="167">
        <v>4</v>
      </c>
      <c r="AD524" s="7">
        <v>6</v>
      </c>
      <c r="AE524" s="7" t="s">
        <v>519</v>
      </c>
      <c r="AF524" s="96">
        <v>17</v>
      </c>
      <c r="AG524" s="7">
        <v>0</v>
      </c>
      <c r="AH524" s="7">
        <v>0</v>
      </c>
      <c r="AI524" s="7">
        <v>-1</v>
      </c>
      <c r="AJ524" s="7">
        <v>-1</v>
      </c>
      <c r="AK524" s="7" t="s">
        <v>1064</v>
      </c>
      <c r="AL524" s="12" t="s">
        <v>1695</v>
      </c>
      <c r="AM524" s="12" t="s">
        <v>2072</v>
      </c>
    </row>
    <row r="525" spans="1:39" ht="21" customHeight="1" x14ac:dyDescent="0.15">
      <c r="A525" s="42" t="str">
        <f t="shared" si="21"/>
        <v>20022_1</v>
      </c>
      <c r="B525" s="76">
        <v>3</v>
      </c>
      <c r="C525" s="172">
        <v>20022</v>
      </c>
      <c r="D525" s="47" t="str">
        <f ca="1">VLOOKUP($C525,OFFSET(quests!$A$1,0,0,COUNTA(quests!$A:$A),MATCH(D$1,quests!$1:$1,0)-MATCH($C$2,quests!$1:$1,0)+1),MATCH(D$1,quests!$1:$1,0)-MATCH($C$2,quests!$1:$1,0)+1,FALSE)</f>
        <v>年を越える宴</v>
      </c>
      <c r="E525" s="48" t="str">
        <f ca="1">VLOOKUP($C525,OFFSET(quests!$A$1,0,0,COUNTA(quests!$A:$A),MATCH(E$2,quests!$1:$1,0)-MATCH($C$2,quests!$1:$1,0)+1),MATCH(E$2,quests!$1:$1,0)-MATCH($C$2,quests!$1:$1,0)+1,FALSE)</f>
        <v>季節イベント</v>
      </c>
      <c r="F525" s="34">
        <v>1</v>
      </c>
      <c r="G525" s="7" t="s">
        <v>382</v>
      </c>
      <c r="H525" s="37" t="s">
        <v>835</v>
      </c>
      <c r="I525" s="37" t="s">
        <v>1978</v>
      </c>
      <c r="J525" s="37">
        <v>377</v>
      </c>
      <c r="K525" s="167">
        <v>10</v>
      </c>
      <c r="L525" s="167">
        <v>350</v>
      </c>
      <c r="M525" s="159">
        <v>1</v>
      </c>
      <c r="N525" s="159">
        <v>1</v>
      </c>
      <c r="O525" s="159">
        <v>1</v>
      </c>
      <c r="P525" s="159">
        <v>1</v>
      </c>
      <c r="Q525" s="196">
        <v>0</v>
      </c>
      <c r="R525" s="159">
        <v>3</v>
      </c>
      <c r="S525" s="167" t="s">
        <v>278</v>
      </c>
      <c r="T525" s="167">
        <v>1</v>
      </c>
      <c r="U525" s="7" t="s">
        <v>169</v>
      </c>
      <c r="V525" s="7" t="s">
        <v>169</v>
      </c>
      <c r="W525" s="47" t="str">
        <f t="shared" ca="1" si="22"/>
        <v/>
      </c>
      <c r="X525" s="47">
        <f ca="1">VLOOKUP($C525,OFFSET(quests!$A$1,0,0,COUNTA(quests!$A:$A),MATCH(X$2,quests!$1:$1,0)-MATCH($C$2,quests!$1:$1,0)+1),MATCH(X$2,quests!$1:$1,0)-MATCH($C$2,quests!$1:$1,0)+1,FALSE)</f>
        <v>0</v>
      </c>
      <c r="Y525" s="47">
        <f ca="1">VLOOKUP($C525,OFFSET(quests!$A$1,0,0,COUNTA(quests!$A:$A),MATCH(Y$2,quests!$1:$1,0)-MATCH($C$2,quests!$1:$1,0)+1),MATCH(Y$2,quests!$1:$1,0)-MATCH($C$2,quests!$1:$1,0)+1,FALSE)</f>
        <v>0</v>
      </c>
      <c r="Z525" s="47">
        <f ca="1">VLOOKUP($C525,OFFSET(quests!$A$1,0,0,COUNTA(quests!$A:$A),MATCH(Z$2,quests!$1:$1,0)-MATCH($C$2,quests!$1:$1,0)+1),MATCH(Z$2,quests!$1:$1,0)-MATCH($C$2,quests!$1:$1,0)+1,FALSE)</f>
        <v>0</v>
      </c>
      <c r="AA525" s="47">
        <f ca="1">VLOOKUP($C525,OFFSET(quests!$A$1,0,0,COUNTA(quests!$A:$A),MATCH(AA$2,quests!$1:$1,0)-MATCH($C$2,quests!$1:$1,0)+1),MATCH(AA$2,quests!$1:$1,0)-MATCH($C$2,quests!$1:$1,0)+1,FALSE)</f>
        <v>0</v>
      </c>
      <c r="AB525" s="34" t="s">
        <v>56</v>
      </c>
      <c r="AC525" s="7">
        <v>901</v>
      </c>
      <c r="AD525" s="7">
        <v>6</v>
      </c>
      <c r="AE525" s="7" t="s">
        <v>819</v>
      </c>
      <c r="AF525" s="7">
        <v>0</v>
      </c>
      <c r="AG525" s="7">
        <v>0</v>
      </c>
      <c r="AH525" s="7">
        <v>0</v>
      </c>
      <c r="AI525" s="7">
        <v>-1</v>
      </c>
      <c r="AJ525" s="7">
        <v>-1</v>
      </c>
      <c r="AK525" s="7" t="s">
        <v>1064</v>
      </c>
      <c r="AL525" s="12" t="s">
        <v>1695</v>
      </c>
      <c r="AM525" s="12" t="s">
        <v>2072</v>
      </c>
    </row>
    <row r="526" spans="1:39" ht="21" customHeight="1" x14ac:dyDescent="0.15">
      <c r="A526" s="42" t="str">
        <f t="shared" si="21"/>
        <v>30001_1</v>
      </c>
      <c r="B526" s="23">
        <v>3</v>
      </c>
      <c r="C526" s="31">
        <v>30001</v>
      </c>
      <c r="D526" s="47" t="str">
        <f ca="1">VLOOKUP($C526,OFFSET(quests!$A$1,0,0,COUNTA(quests!$A:$A),MATCH(D$1,quests!$1:$1,0)-MATCH($C$2,quests!$1:$1,0)+1),MATCH(D$1,quests!$1:$1,0)-MATCH($C$2,quests!$1:$1,0)+1,FALSE)</f>
        <v>ハンター・オブ・ハンター</v>
      </c>
      <c r="E526" s="48" t="str">
        <f ca="1">VLOOKUP($C526,OFFSET(quests!$A$1,0,0,COUNTA(quests!$A:$A),MATCH(E$2,quests!$1:$1,0)-MATCH($C$2,quests!$1:$1,0)+1),MATCH(E$2,quests!$1:$1,0)-MATCH($C$2,quests!$1:$1,0)+1,FALSE)</f>
        <v>ドロップイベント1-1（マルチ専用）</v>
      </c>
      <c r="F526" s="7">
        <v>1</v>
      </c>
      <c r="G526" s="7" t="s">
        <v>570</v>
      </c>
      <c r="H526" s="12" t="s">
        <v>737</v>
      </c>
      <c r="I526" s="12" t="s">
        <v>59</v>
      </c>
      <c r="J526" s="12">
        <v>270</v>
      </c>
      <c r="K526" s="192">
        <v>15</v>
      </c>
      <c r="L526" s="193">
        <v>1200</v>
      </c>
      <c r="M526" s="167">
        <v>1</v>
      </c>
      <c r="N526" s="167">
        <v>1</v>
      </c>
      <c r="O526" s="167">
        <v>1</v>
      </c>
      <c r="P526" s="167">
        <v>1</v>
      </c>
      <c r="Q526" s="167">
        <v>1</v>
      </c>
      <c r="R526" s="167">
        <v>3</v>
      </c>
      <c r="S526" s="167" t="s">
        <v>79</v>
      </c>
      <c r="T526" s="167">
        <v>0</v>
      </c>
      <c r="U526" s="7" t="s">
        <v>169</v>
      </c>
      <c r="V526" s="7" t="s">
        <v>169</v>
      </c>
      <c r="W526" s="47" t="str">
        <f t="shared" ca="1" si="22"/>
        <v/>
      </c>
      <c r="X526" s="47">
        <f ca="1">VLOOKUP($C526,OFFSET(quests!$A$1,0,0,COUNTA(quests!$A:$A),MATCH(X$2,quests!$1:$1,0)-MATCH($C$2,quests!$1:$1,0)+1),MATCH(X$2,quests!$1:$1,0)-MATCH($C$2,quests!$1:$1,0)+1,FALSE)</f>
        <v>0</v>
      </c>
      <c r="Y526" s="47">
        <f ca="1">VLOOKUP($C526,OFFSET(quests!$A$1,0,0,COUNTA(quests!$A:$A),MATCH(Y$2,quests!$1:$1,0)-MATCH($C$2,quests!$1:$1,0)+1),MATCH(Y$2,quests!$1:$1,0)-MATCH($C$2,quests!$1:$1,0)+1,FALSE)</f>
        <v>0</v>
      </c>
      <c r="Z526" s="47">
        <f ca="1">VLOOKUP($C526,OFFSET(quests!$A$1,0,0,COUNTA(quests!$A:$A),MATCH(Z$2,quests!$1:$1,0)-MATCH($C$2,quests!$1:$1,0)+1),MATCH(Z$2,quests!$1:$1,0)-MATCH($C$2,quests!$1:$1,0)+1,FALSE)</f>
        <v>0</v>
      </c>
      <c r="AA526" s="47">
        <f ca="1">VLOOKUP($C526,OFFSET(quests!$A$1,0,0,COUNTA(quests!$A:$A),MATCH(AA$2,quests!$1:$1,0)-MATCH($C$2,quests!$1:$1,0)+1),MATCH(AA$2,quests!$1:$1,0)-MATCH($C$2,quests!$1:$1,0)+1,FALSE)</f>
        <v>0</v>
      </c>
      <c r="AB526" s="7" t="s">
        <v>56</v>
      </c>
      <c r="AC526" s="8">
        <v>7</v>
      </c>
      <c r="AD526" s="7">
        <v>6</v>
      </c>
      <c r="AE526" s="7" t="s">
        <v>519</v>
      </c>
      <c r="AF526" s="33">
        <v>11</v>
      </c>
      <c r="AG526" s="7">
        <v>0</v>
      </c>
      <c r="AH526" s="7">
        <v>0</v>
      </c>
      <c r="AI526" s="7">
        <v>-1</v>
      </c>
      <c r="AJ526" s="7">
        <v>-1</v>
      </c>
      <c r="AK526" s="7" t="s">
        <v>1064</v>
      </c>
      <c r="AL526" s="12" t="s">
        <v>1695</v>
      </c>
      <c r="AM526" s="12" t="s">
        <v>2072</v>
      </c>
    </row>
    <row r="527" spans="1:39" ht="21" customHeight="1" x14ac:dyDescent="0.15">
      <c r="A527" s="42" t="str">
        <f t="shared" si="21"/>
        <v>30001_2</v>
      </c>
      <c r="B527" s="23">
        <v>3</v>
      </c>
      <c r="C527" s="31">
        <v>30001</v>
      </c>
      <c r="D527" s="47" t="str">
        <f ca="1">VLOOKUP($C527,OFFSET(quests!$A$1,0,0,COUNTA(quests!$A:$A),MATCH(D$1,quests!$1:$1,0)-MATCH($C$2,quests!$1:$1,0)+1),MATCH(D$1,quests!$1:$1,0)-MATCH($C$2,quests!$1:$1,0)+1,FALSE)</f>
        <v>ハンター・オブ・ハンター</v>
      </c>
      <c r="E527" s="48" t="str">
        <f ca="1">VLOOKUP($C527,OFFSET(quests!$A$1,0,0,COUNTA(quests!$A:$A),MATCH(E$2,quests!$1:$1,0)-MATCH($C$2,quests!$1:$1,0)+1),MATCH(E$2,quests!$1:$1,0)-MATCH($C$2,quests!$1:$1,0)+1,FALSE)</f>
        <v>ドロップイベント1-1（マルチ専用）</v>
      </c>
      <c r="F527" s="7">
        <v>2</v>
      </c>
      <c r="G527" s="7" t="s">
        <v>570</v>
      </c>
      <c r="H527" s="12" t="s">
        <v>738</v>
      </c>
      <c r="I527" s="12" t="s">
        <v>60</v>
      </c>
      <c r="J527" s="12">
        <v>270</v>
      </c>
      <c r="K527" s="194">
        <v>20</v>
      </c>
      <c r="L527" s="195">
        <v>2000</v>
      </c>
      <c r="M527" s="167">
        <v>1</v>
      </c>
      <c r="N527" s="167">
        <v>1</v>
      </c>
      <c r="O527" s="167">
        <v>1</v>
      </c>
      <c r="P527" s="167">
        <v>1</v>
      </c>
      <c r="Q527" s="167">
        <v>1</v>
      </c>
      <c r="R527" s="167">
        <v>3</v>
      </c>
      <c r="S527" s="167" t="s">
        <v>79</v>
      </c>
      <c r="T527" s="167">
        <v>0</v>
      </c>
      <c r="U527" s="7" t="s">
        <v>169</v>
      </c>
      <c r="V527" s="7" t="s">
        <v>169</v>
      </c>
      <c r="W527" s="47" t="str">
        <f t="shared" ca="1" si="22"/>
        <v/>
      </c>
      <c r="X527" s="47">
        <f ca="1">VLOOKUP($C527,OFFSET(quests!$A$1,0,0,COUNTA(quests!$A:$A),MATCH(X$2,quests!$1:$1,0)-MATCH($C$2,quests!$1:$1,0)+1),MATCH(X$2,quests!$1:$1,0)-MATCH($C$2,quests!$1:$1,0)+1,FALSE)</f>
        <v>0</v>
      </c>
      <c r="Y527" s="47">
        <f ca="1">VLOOKUP($C527,OFFSET(quests!$A$1,0,0,COUNTA(quests!$A:$A),MATCH(Y$2,quests!$1:$1,0)-MATCH($C$2,quests!$1:$1,0)+1),MATCH(Y$2,quests!$1:$1,0)-MATCH($C$2,quests!$1:$1,0)+1,FALSE)</f>
        <v>0</v>
      </c>
      <c r="Z527" s="47">
        <f ca="1">VLOOKUP($C527,OFFSET(quests!$A$1,0,0,COUNTA(quests!$A:$A),MATCH(Z$2,quests!$1:$1,0)-MATCH($C$2,quests!$1:$1,0)+1),MATCH(Z$2,quests!$1:$1,0)-MATCH($C$2,quests!$1:$1,0)+1,FALSE)</f>
        <v>0</v>
      </c>
      <c r="AA527" s="47">
        <f ca="1">VLOOKUP($C527,OFFSET(quests!$A$1,0,0,COUNTA(quests!$A:$A),MATCH(AA$2,quests!$1:$1,0)-MATCH($C$2,quests!$1:$1,0)+1),MATCH(AA$2,quests!$1:$1,0)-MATCH($C$2,quests!$1:$1,0)+1,FALSE)</f>
        <v>0</v>
      </c>
      <c r="AB527" s="7" t="s">
        <v>56</v>
      </c>
      <c r="AC527" s="8">
        <v>7</v>
      </c>
      <c r="AD527" s="7">
        <v>6</v>
      </c>
      <c r="AE527" s="7" t="s">
        <v>519</v>
      </c>
      <c r="AF527" s="33">
        <v>11</v>
      </c>
      <c r="AG527" s="7">
        <v>0</v>
      </c>
      <c r="AH527" s="7">
        <v>0</v>
      </c>
      <c r="AI527" s="7">
        <v>-1</v>
      </c>
      <c r="AJ527" s="7">
        <v>-1</v>
      </c>
      <c r="AK527" s="7" t="s">
        <v>1064</v>
      </c>
      <c r="AL527" s="12" t="s">
        <v>1695</v>
      </c>
      <c r="AM527" s="12" t="s">
        <v>2072</v>
      </c>
    </row>
    <row r="528" spans="1:39" ht="21" customHeight="1" x14ac:dyDescent="0.15">
      <c r="A528" s="42" t="str">
        <f t="shared" si="21"/>
        <v>30001_3</v>
      </c>
      <c r="B528" s="23">
        <v>3</v>
      </c>
      <c r="C528" s="31">
        <v>30001</v>
      </c>
      <c r="D528" s="47" t="str">
        <f ca="1">VLOOKUP($C528,OFFSET(quests!$A$1,0,0,COUNTA(quests!$A:$A),MATCH(D$1,quests!$1:$1,0)-MATCH($C$2,quests!$1:$1,0)+1),MATCH(D$1,quests!$1:$1,0)-MATCH($C$2,quests!$1:$1,0)+1,FALSE)</f>
        <v>ハンター・オブ・ハンター</v>
      </c>
      <c r="E528" s="48" t="str">
        <f ca="1">VLOOKUP($C528,OFFSET(quests!$A$1,0,0,COUNTA(quests!$A:$A),MATCH(E$2,quests!$1:$1,0)-MATCH($C$2,quests!$1:$1,0)+1),MATCH(E$2,quests!$1:$1,0)-MATCH($C$2,quests!$1:$1,0)+1,FALSE)</f>
        <v>ドロップイベント1-1（マルチ専用）</v>
      </c>
      <c r="F528" s="7">
        <v>3</v>
      </c>
      <c r="G528" s="7" t="s">
        <v>570</v>
      </c>
      <c r="H528" s="12" t="s">
        <v>792</v>
      </c>
      <c r="I528" s="12" t="s">
        <v>383</v>
      </c>
      <c r="J528" s="12">
        <v>271</v>
      </c>
      <c r="K528" s="194">
        <v>30</v>
      </c>
      <c r="L528" s="195">
        <v>3300</v>
      </c>
      <c r="M528" s="167">
        <v>1</v>
      </c>
      <c r="N528" s="167">
        <v>1</v>
      </c>
      <c r="O528" s="167">
        <v>1</v>
      </c>
      <c r="P528" s="167">
        <v>1</v>
      </c>
      <c r="Q528" s="167">
        <v>1</v>
      </c>
      <c r="R528" s="167">
        <v>3</v>
      </c>
      <c r="S528" s="167" t="s">
        <v>407</v>
      </c>
      <c r="T528" s="167">
        <v>1</v>
      </c>
      <c r="U528" s="7" t="s">
        <v>169</v>
      </c>
      <c r="V528" s="7" t="s">
        <v>169</v>
      </c>
      <c r="W528" s="47" t="str">
        <f t="shared" ca="1" si="22"/>
        <v/>
      </c>
      <c r="X528" s="47">
        <f ca="1">VLOOKUP($C528,OFFSET(quests!$A$1,0,0,COUNTA(quests!$A:$A),MATCH(X$2,quests!$1:$1,0)-MATCH($C$2,quests!$1:$1,0)+1),MATCH(X$2,quests!$1:$1,0)-MATCH($C$2,quests!$1:$1,0)+1,FALSE)</f>
        <v>0</v>
      </c>
      <c r="Y528" s="47">
        <f ca="1">VLOOKUP($C528,OFFSET(quests!$A$1,0,0,COUNTA(quests!$A:$A),MATCH(Y$2,quests!$1:$1,0)-MATCH($C$2,quests!$1:$1,0)+1),MATCH(Y$2,quests!$1:$1,0)-MATCH($C$2,quests!$1:$1,0)+1,FALSE)</f>
        <v>0</v>
      </c>
      <c r="Z528" s="47">
        <f ca="1">VLOOKUP($C528,OFFSET(quests!$A$1,0,0,COUNTA(quests!$A:$A),MATCH(Z$2,quests!$1:$1,0)-MATCH($C$2,quests!$1:$1,0)+1),MATCH(Z$2,quests!$1:$1,0)-MATCH($C$2,quests!$1:$1,0)+1,FALSE)</f>
        <v>0</v>
      </c>
      <c r="AA528" s="47">
        <f ca="1">VLOOKUP($C528,OFFSET(quests!$A$1,0,0,COUNTA(quests!$A:$A),MATCH(AA$2,quests!$1:$1,0)-MATCH($C$2,quests!$1:$1,0)+1),MATCH(AA$2,quests!$1:$1,0)-MATCH($C$2,quests!$1:$1,0)+1,FALSE)</f>
        <v>0</v>
      </c>
      <c r="AB528" s="7" t="s">
        <v>56</v>
      </c>
      <c r="AC528" s="8">
        <v>7</v>
      </c>
      <c r="AD528" s="7">
        <v>6</v>
      </c>
      <c r="AE528" s="7" t="s">
        <v>519</v>
      </c>
      <c r="AF528" s="33">
        <v>11</v>
      </c>
      <c r="AG528" s="7">
        <v>0</v>
      </c>
      <c r="AH528" s="7">
        <v>0</v>
      </c>
      <c r="AI528" s="7">
        <v>-1</v>
      </c>
      <c r="AJ528" s="7">
        <v>-1</v>
      </c>
      <c r="AK528" s="7" t="s">
        <v>1065</v>
      </c>
      <c r="AL528" s="12" t="s">
        <v>1695</v>
      </c>
      <c r="AM528" s="12" t="s">
        <v>2072</v>
      </c>
    </row>
    <row r="529" spans="1:39" ht="21" customHeight="1" x14ac:dyDescent="0.15">
      <c r="A529" s="42" t="str">
        <f t="shared" si="21"/>
        <v>30002_1</v>
      </c>
      <c r="B529" s="23">
        <v>3</v>
      </c>
      <c r="C529" s="31">
        <v>30002</v>
      </c>
      <c r="D529" s="47" t="str">
        <f ca="1">VLOOKUP($C529,OFFSET(quests!$A$1,0,0,COUNTA(quests!$A:$A),MATCH(D$1,quests!$1:$1,0)-MATCH($C$2,quests!$1:$1,0)+1),MATCH(D$1,quests!$1:$1,0)-MATCH($C$2,quests!$1:$1,0)+1,FALSE)</f>
        <v>トリックスター</v>
      </c>
      <c r="E529" s="48" t="str">
        <f ca="1">VLOOKUP($C529,OFFSET(quests!$A$1,0,0,COUNTA(quests!$A:$A),MATCH(E$2,quests!$1:$1,0)-MATCH($C$2,quests!$1:$1,0)+1),MATCH(E$2,quests!$1:$1,0)-MATCH($C$2,quests!$1:$1,0)+1,FALSE)</f>
        <v>ドロップイベント1-2（マルチ専用）</v>
      </c>
      <c r="F529" s="7">
        <v>1</v>
      </c>
      <c r="G529" s="7" t="s">
        <v>570</v>
      </c>
      <c r="H529" s="12" t="s">
        <v>739</v>
      </c>
      <c r="I529" s="12" t="s">
        <v>59</v>
      </c>
      <c r="J529" s="12">
        <v>272</v>
      </c>
      <c r="K529" s="167">
        <v>15</v>
      </c>
      <c r="L529" s="167">
        <v>1200</v>
      </c>
      <c r="M529" s="167">
        <v>1</v>
      </c>
      <c r="N529" s="167">
        <v>1</v>
      </c>
      <c r="O529" s="167">
        <v>1</v>
      </c>
      <c r="P529" s="167">
        <v>1</v>
      </c>
      <c r="Q529" s="167">
        <v>1</v>
      </c>
      <c r="R529" s="167">
        <v>3</v>
      </c>
      <c r="S529" s="167" t="s">
        <v>79</v>
      </c>
      <c r="T529" s="167">
        <v>0</v>
      </c>
      <c r="U529" s="7" t="s">
        <v>169</v>
      </c>
      <c r="V529" s="7" t="s">
        <v>169</v>
      </c>
      <c r="W529" s="47" t="str">
        <f t="shared" ca="1" si="22"/>
        <v/>
      </c>
      <c r="X529" s="47">
        <f ca="1">VLOOKUP($C529,OFFSET(quests!$A$1,0,0,COUNTA(quests!$A:$A),MATCH(X$2,quests!$1:$1,0)-MATCH($C$2,quests!$1:$1,0)+1),MATCH(X$2,quests!$1:$1,0)-MATCH($C$2,quests!$1:$1,0)+1,FALSE)</f>
        <v>0</v>
      </c>
      <c r="Y529" s="47">
        <f ca="1">VLOOKUP($C529,OFFSET(quests!$A$1,0,0,COUNTA(quests!$A:$A),MATCH(Y$2,quests!$1:$1,0)-MATCH($C$2,quests!$1:$1,0)+1),MATCH(Y$2,quests!$1:$1,0)-MATCH($C$2,quests!$1:$1,0)+1,FALSE)</f>
        <v>0</v>
      </c>
      <c r="Z529" s="47">
        <f ca="1">VLOOKUP($C529,OFFSET(quests!$A$1,0,0,COUNTA(quests!$A:$A),MATCH(Z$2,quests!$1:$1,0)-MATCH($C$2,quests!$1:$1,0)+1),MATCH(Z$2,quests!$1:$1,0)-MATCH($C$2,quests!$1:$1,0)+1,FALSE)</f>
        <v>0</v>
      </c>
      <c r="AA529" s="47">
        <f ca="1">VLOOKUP($C529,OFFSET(quests!$A$1,0,0,COUNTA(quests!$A:$A),MATCH(AA$2,quests!$1:$1,0)-MATCH($C$2,quests!$1:$1,0)+1),MATCH(AA$2,quests!$1:$1,0)-MATCH($C$2,quests!$1:$1,0)+1,FALSE)</f>
        <v>0</v>
      </c>
      <c r="AB529" s="7" t="s">
        <v>56</v>
      </c>
      <c r="AC529" s="7">
        <v>17</v>
      </c>
      <c r="AD529" s="7">
        <v>6</v>
      </c>
      <c r="AE529" s="7" t="s">
        <v>519</v>
      </c>
      <c r="AF529" s="255">
        <v>16</v>
      </c>
      <c r="AG529" s="7">
        <v>0</v>
      </c>
      <c r="AH529" s="7">
        <v>0</v>
      </c>
      <c r="AI529" s="7">
        <v>-1</v>
      </c>
      <c r="AJ529" s="7">
        <v>-1</v>
      </c>
      <c r="AK529" s="7" t="s">
        <v>1064</v>
      </c>
      <c r="AL529" s="12" t="s">
        <v>1695</v>
      </c>
      <c r="AM529" s="12" t="s">
        <v>2072</v>
      </c>
    </row>
    <row r="530" spans="1:39" ht="21" customHeight="1" x14ac:dyDescent="0.15">
      <c r="A530" s="42" t="str">
        <f t="shared" si="21"/>
        <v>30002_2</v>
      </c>
      <c r="B530" s="23">
        <v>3</v>
      </c>
      <c r="C530" s="31">
        <v>30002</v>
      </c>
      <c r="D530" s="47" t="str">
        <f ca="1">VLOOKUP($C530,OFFSET(quests!$A$1,0,0,COUNTA(quests!$A:$A),MATCH(D$1,quests!$1:$1,0)-MATCH($C$2,quests!$1:$1,0)+1),MATCH(D$1,quests!$1:$1,0)-MATCH($C$2,quests!$1:$1,0)+1,FALSE)</f>
        <v>トリックスター</v>
      </c>
      <c r="E530" s="48" t="str">
        <f ca="1">VLOOKUP($C530,OFFSET(quests!$A$1,0,0,COUNTA(quests!$A:$A),MATCH(E$2,quests!$1:$1,0)-MATCH($C$2,quests!$1:$1,0)+1),MATCH(E$2,quests!$1:$1,0)-MATCH($C$2,quests!$1:$1,0)+1,FALSE)</f>
        <v>ドロップイベント1-2（マルチ専用）</v>
      </c>
      <c r="F530" s="7">
        <v>2</v>
      </c>
      <c r="G530" s="7" t="s">
        <v>570</v>
      </c>
      <c r="H530" s="12" t="s">
        <v>740</v>
      </c>
      <c r="I530" s="12" t="s">
        <v>60</v>
      </c>
      <c r="J530" s="12">
        <v>272</v>
      </c>
      <c r="K530" s="167">
        <v>20</v>
      </c>
      <c r="L530" s="167">
        <v>2000</v>
      </c>
      <c r="M530" s="167">
        <v>1</v>
      </c>
      <c r="N530" s="167">
        <v>1</v>
      </c>
      <c r="O530" s="167">
        <v>1</v>
      </c>
      <c r="P530" s="167">
        <v>1</v>
      </c>
      <c r="Q530" s="167">
        <v>1</v>
      </c>
      <c r="R530" s="167">
        <v>3</v>
      </c>
      <c r="S530" s="167" t="s">
        <v>79</v>
      </c>
      <c r="T530" s="167">
        <v>0</v>
      </c>
      <c r="U530" s="7" t="s">
        <v>169</v>
      </c>
      <c r="V530" s="7" t="s">
        <v>169</v>
      </c>
      <c r="W530" s="47" t="str">
        <f t="shared" ca="1" si="22"/>
        <v/>
      </c>
      <c r="X530" s="47">
        <f ca="1">VLOOKUP($C530,OFFSET(quests!$A$1,0,0,COUNTA(quests!$A:$A),MATCH(X$2,quests!$1:$1,0)-MATCH($C$2,quests!$1:$1,0)+1),MATCH(X$2,quests!$1:$1,0)-MATCH($C$2,quests!$1:$1,0)+1,FALSE)</f>
        <v>0</v>
      </c>
      <c r="Y530" s="47">
        <f ca="1">VLOOKUP($C530,OFFSET(quests!$A$1,0,0,COUNTA(quests!$A:$A),MATCH(Y$2,quests!$1:$1,0)-MATCH($C$2,quests!$1:$1,0)+1),MATCH(Y$2,quests!$1:$1,0)-MATCH($C$2,quests!$1:$1,0)+1,FALSE)</f>
        <v>0</v>
      </c>
      <c r="Z530" s="47">
        <f ca="1">VLOOKUP($C530,OFFSET(quests!$A$1,0,0,COUNTA(quests!$A:$A),MATCH(Z$2,quests!$1:$1,0)-MATCH($C$2,quests!$1:$1,0)+1),MATCH(Z$2,quests!$1:$1,0)-MATCH($C$2,quests!$1:$1,0)+1,FALSE)</f>
        <v>0</v>
      </c>
      <c r="AA530" s="47">
        <f ca="1">VLOOKUP($C530,OFFSET(quests!$A$1,0,0,COUNTA(quests!$A:$A),MATCH(AA$2,quests!$1:$1,0)-MATCH($C$2,quests!$1:$1,0)+1),MATCH(AA$2,quests!$1:$1,0)-MATCH($C$2,quests!$1:$1,0)+1,FALSE)</f>
        <v>0</v>
      </c>
      <c r="AB530" s="7" t="s">
        <v>56</v>
      </c>
      <c r="AC530" s="7">
        <v>17</v>
      </c>
      <c r="AD530" s="7">
        <v>6</v>
      </c>
      <c r="AE530" s="7" t="s">
        <v>519</v>
      </c>
      <c r="AF530" s="255">
        <v>16</v>
      </c>
      <c r="AG530" s="7">
        <v>0</v>
      </c>
      <c r="AH530" s="7">
        <v>0</v>
      </c>
      <c r="AI530" s="7">
        <v>-1</v>
      </c>
      <c r="AJ530" s="7">
        <v>-1</v>
      </c>
      <c r="AK530" s="7" t="s">
        <v>1064</v>
      </c>
      <c r="AL530" s="12" t="s">
        <v>1695</v>
      </c>
      <c r="AM530" s="12" t="s">
        <v>2072</v>
      </c>
    </row>
    <row r="531" spans="1:39" ht="21" customHeight="1" x14ac:dyDescent="0.15">
      <c r="A531" s="42" t="str">
        <f t="shared" si="21"/>
        <v>30002_3</v>
      </c>
      <c r="B531" s="23">
        <v>3</v>
      </c>
      <c r="C531" s="31">
        <v>30002</v>
      </c>
      <c r="D531" s="47" t="str">
        <f ca="1">VLOOKUP($C531,OFFSET(quests!$A$1,0,0,COUNTA(quests!$A:$A),MATCH(D$1,quests!$1:$1,0)-MATCH($C$2,quests!$1:$1,0)+1),MATCH(D$1,quests!$1:$1,0)-MATCH($C$2,quests!$1:$1,0)+1,FALSE)</f>
        <v>トリックスター</v>
      </c>
      <c r="E531" s="48" t="str">
        <f ca="1">VLOOKUP($C531,OFFSET(quests!$A$1,0,0,COUNTA(quests!$A:$A),MATCH(E$2,quests!$1:$1,0)-MATCH($C$2,quests!$1:$1,0)+1),MATCH(E$2,quests!$1:$1,0)-MATCH($C$2,quests!$1:$1,0)+1,FALSE)</f>
        <v>ドロップイベント1-2（マルチ専用）</v>
      </c>
      <c r="F531" s="7">
        <v>3</v>
      </c>
      <c r="G531" s="7" t="s">
        <v>570</v>
      </c>
      <c r="H531" s="12" t="s">
        <v>793</v>
      </c>
      <c r="I531" s="12" t="s">
        <v>383</v>
      </c>
      <c r="J531" s="12">
        <v>273</v>
      </c>
      <c r="K531" s="167">
        <v>30</v>
      </c>
      <c r="L531" s="167">
        <v>3300</v>
      </c>
      <c r="M531" s="167">
        <v>1</v>
      </c>
      <c r="N531" s="167">
        <v>1</v>
      </c>
      <c r="O531" s="167">
        <v>1</v>
      </c>
      <c r="P531" s="167">
        <v>1</v>
      </c>
      <c r="Q531" s="167">
        <v>1</v>
      </c>
      <c r="R531" s="167">
        <v>3</v>
      </c>
      <c r="S531" s="167" t="s">
        <v>407</v>
      </c>
      <c r="T531" s="167">
        <v>1</v>
      </c>
      <c r="U531" s="7" t="s">
        <v>169</v>
      </c>
      <c r="V531" s="7" t="s">
        <v>169</v>
      </c>
      <c r="W531" s="47" t="str">
        <f t="shared" ca="1" si="22"/>
        <v/>
      </c>
      <c r="X531" s="47">
        <f ca="1">VLOOKUP($C531,OFFSET(quests!$A$1,0,0,COUNTA(quests!$A:$A),MATCH(X$2,quests!$1:$1,0)-MATCH($C$2,quests!$1:$1,0)+1),MATCH(X$2,quests!$1:$1,0)-MATCH($C$2,quests!$1:$1,0)+1,FALSE)</f>
        <v>0</v>
      </c>
      <c r="Y531" s="47">
        <f ca="1">VLOOKUP($C531,OFFSET(quests!$A$1,0,0,COUNTA(quests!$A:$A),MATCH(Y$2,quests!$1:$1,0)-MATCH($C$2,quests!$1:$1,0)+1),MATCH(Y$2,quests!$1:$1,0)-MATCH($C$2,quests!$1:$1,0)+1,FALSE)</f>
        <v>0</v>
      </c>
      <c r="Z531" s="47">
        <f ca="1">VLOOKUP($C531,OFFSET(quests!$A$1,0,0,COUNTA(quests!$A:$A),MATCH(Z$2,quests!$1:$1,0)-MATCH($C$2,quests!$1:$1,0)+1),MATCH(Z$2,quests!$1:$1,0)-MATCH($C$2,quests!$1:$1,0)+1,FALSE)</f>
        <v>0</v>
      </c>
      <c r="AA531" s="47">
        <f ca="1">VLOOKUP($C531,OFFSET(quests!$A$1,0,0,COUNTA(quests!$A:$A),MATCH(AA$2,quests!$1:$1,0)-MATCH($C$2,quests!$1:$1,0)+1),MATCH(AA$2,quests!$1:$1,0)-MATCH($C$2,quests!$1:$1,0)+1,FALSE)</f>
        <v>0</v>
      </c>
      <c r="AB531" s="7" t="s">
        <v>56</v>
      </c>
      <c r="AC531" s="7">
        <v>17</v>
      </c>
      <c r="AD531" s="7">
        <v>6</v>
      </c>
      <c r="AE531" s="7" t="s">
        <v>519</v>
      </c>
      <c r="AF531" s="255">
        <v>16</v>
      </c>
      <c r="AG531" s="7">
        <v>0</v>
      </c>
      <c r="AH531" s="7">
        <v>0</v>
      </c>
      <c r="AI531" s="7">
        <v>-1</v>
      </c>
      <c r="AJ531" s="7">
        <v>-1</v>
      </c>
      <c r="AK531" s="7" t="s">
        <v>1065</v>
      </c>
      <c r="AL531" s="12" t="s">
        <v>1695</v>
      </c>
      <c r="AM531" s="12" t="s">
        <v>2072</v>
      </c>
    </row>
    <row r="532" spans="1:39" ht="21" customHeight="1" x14ac:dyDescent="0.15">
      <c r="A532" s="42" t="str">
        <f t="shared" si="21"/>
        <v>30003_1</v>
      </c>
      <c r="B532" s="23">
        <v>3</v>
      </c>
      <c r="C532" s="31">
        <v>30003</v>
      </c>
      <c r="D532" s="47" t="str">
        <f ca="1">VLOOKUP($C532,OFFSET(quests!$A$1,0,0,COUNTA(quests!$A:$A),MATCH(D$1,quests!$1:$1,0)-MATCH($C$2,quests!$1:$1,0)+1),MATCH(D$1,quests!$1:$1,0)-MATCH($C$2,quests!$1:$1,0)+1,FALSE)</f>
        <v>打ち下ろされる砕棒</v>
      </c>
      <c r="E532" s="48" t="str">
        <f ca="1">VLOOKUP($C532,OFFSET(quests!$A$1,0,0,COUNTA(quests!$A:$A),MATCH(E$2,quests!$1:$1,0)-MATCH($C$2,quests!$1:$1,0)+1),MATCH(E$2,quests!$1:$1,0)-MATCH($C$2,quests!$1:$1,0)+1,FALSE)</f>
        <v>ドロップイベント1-3（マルチ専用）</v>
      </c>
      <c r="F532" s="7">
        <v>1</v>
      </c>
      <c r="G532" s="7" t="s">
        <v>570</v>
      </c>
      <c r="H532" s="12" t="s">
        <v>741</v>
      </c>
      <c r="I532" s="12" t="s">
        <v>59</v>
      </c>
      <c r="J532" s="12">
        <v>274</v>
      </c>
      <c r="K532" s="167">
        <v>15</v>
      </c>
      <c r="L532" s="167">
        <v>1200</v>
      </c>
      <c r="M532" s="167">
        <v>1</v>
      </c>
      <c r="N532" s="167">
        <v>1</v>
      </c>
      <c r="O532" s="167">
        <v>1</v>
      </c>
      <c r="P532" s="167">
        <v>1</v>
      </c>
      <c r="Q532" s="167">
        <v>1</v>
      </c>
      <c r="R532" s="167">
        <v>3</v>
      </c>
      <c r="S532" s="167" t="s">
        <v>79</v>
      </c>
      <c r="T532" s="167">
        <v>0</v>
      </c>
      <c r="U532" s="7" t="s">
        <v>169</v>
      </c>
      <c r="V532" s="7" t="s">
        <v>169</v>
      </c>
      <c r="W532" s="47" t="str">
        <f t="shared" ca="1" si="22"/>
        <v/>
      </c>
      <c r="X532" s="47">
        <f ca="1">VLOOKUP($C532,OFFSET(quests!$A$1,0,0,COUNTA(quests!$A:$A),MATCH(X$2,quests!$1:$1,0)-MATCH($C$2,quests!$1:$1,0)+1),MATCH(X$2,quests!$1:$1,0)-MATCH($C$2,quests!$1:$1,0)+1,FALSE)</f>
        <v>0</v>
      </c>
      <c r="Y532" s="47">
        <f ca="1">VLOOKUP($C532,OFFSET(quests!$A$1,0,0,COUNTA(quests!$A:$A),MATCH(Y$2,quests!$1:$1,0)-MATCH($C$2,quests!$1:$1,0)+1),MATCH(Y$2,quests!$1:$1,0)-MATCH($C$2,quests!$1:$1,0)+1,FALSE)</f>
        <v>0</v>
      </c>
      <c r="Z532" s="47">
        <f ca="1">VLOOKUP($C532,OFFSET(quests!$A$1,0,0,COUNTA(quests!$A:$A),MATCH(Z$2,quests!$1:$1,0)-MATCH($C$2,quests!$1:$1,0)+1),MATCH(Z$2,quests!$1:$1,0)-MATCH($C$2,quests!$1:$1,0)+1,FALSE)</f>
        <v>0</v>
      </c>
      <c r="AA532" s="47">
        <f ca="1">VLOOKUP($C532,OFFSET(quests!$A$1,0,0,COUNTA(quests!$A:$A),MATCH(AA$2,quests!$1:$1,0)-MATCH($C$2,quests!$1:$1,0)+1),MATCH(AA$2,quests!$1:$1,0)-MATCH($C$2,quests!$1:$1,0)+1,FALSE)</f>
        <v>0</v>
      </c>
      <c r="AB532" s="7" t="s">
        <v>56</v>
      </c>
      <c r="AC532" s="7">
        <v>20</v>
      </c>
      <c r="AD532" s="7">
        <v>6</v>
      </c>
      <c r="AE532" s="7" t="s">
        <v>519</v>
      </c>
      <c r="AF532" s="33">
        <v>11</v>
      </c>
      <c r="AG532" s="7">
        <v>0</v>
      </c>
      <c r="AH532" s="7">
        <v>0</v>
      </c>
      <c r="AI532" s="7">
        <v>-1</v>
      </c>
      <c r="AJ532" s="7">
        <v>-1</v>
      </c>
      <c r="AK532" s="7" t="s">
        <v>1064</v>
      </c>
      <c r="AL532" s="12" t="s">
        <v>1695</v>
      </c>
      <c r="AM532" s="12" t="s">
        <v>2072</v>
      </c>
    </row>
    <row r="533" spans="1:39" ht="21" customHeight="1" x14ac:dyDescent="0.15">
      <c r="A533" s="42" t="str">
        <f t="shared" si="21"/>
        <v>30003_2</v>
      </c>
      <c r="B533" s="23">
        <v>3</v>
      </c>
      <c r="C533" s="31">
        <v>30003</v>
      </c>
      <c r="D533" s="47" t="str">
        <f ca="1">VLOOKUP($C533,OFFSET(quests!$A$1,0,0,COUNTA(quests!$A:$A),MATCH(D$1,quests!$1:$1,0)-MATCH($C$2,quests!$1:$1,0)+1),MATCH(D$1,quests!$1:$1,0)-MATCH($C$2,quests!$1:$1,0)+1,FALSE)</f>
        <v>打ち下ろされる砕棒</v>
      </c>
      <c r="E533" s="48" t="str">
        <f ca="1">VLOOKUP($C533,OFFSET(quests!$A$1,0,0,COUNTA(quests!$A:$A),MATCH(E$2,quests!$1:$1,0)-MATCH($C$2,quests!$1:$1,0)+1),MATCH(E$2,quests!$1:$1,0)-MATCH($C$2,quests!$1:$1,0)+1,FALSE)</f>
        <v>ドロップイベント1-3（マルチ専用）</v>
      </c>
      <c r="F533" s="7">
        <v>2</v>
      </c>
      <c r="G533" s="7" t="s">
        <v>570</v>
      </c>
      <c r="H533" s="12" t="s">
        <v>742</v>
      </c>
      <c r="I533" s="12" t="s">
        <v>60</v>
      </c>
      <c r="J533" s="12">
        <v>274</v>
      </c>
      <c r="K533" s="167">
        <v>20</v>
      </c>
      <c r="L533" s="167">
        <v>2000</v>
      </c>
      <c r="M533" s="167">
        <v>1</v>
      </c>
      <c r="N533" s="167">
        <v>1</v>
      </c>
      <c r="O533" s="167">
        <v>1</v>
      </c>
      <c r="P533" s="167">
        <v>1</v>
      </c>
      <c r="Q533" s="167">
        <v>1</v>
      </c>
      <c r="R533" s="167">
        <v>3</v>
      </c>
      <c r="S533" s="167" t="s">
        <v>79</v>
      </c>
      <c r="T533" s="167">
        <v>0</v>
      </c>
      <c r="U533" s="7" t="s">
        <v>169</v>
      </c>
      <c r="V533" s="7" t="s">
        <v>169</v>
      </c>
      <c r="W533" s="47" t="str">
        <f t="shared" ca="1" si="22"/>
        <v/>
      </c>
      <c r="X533" s="47">
        <f ca="1">VLOOKUP($C533,OFFSET(quests!$A$1,0,0,COUNTA(quests!$A:$A),MATCH(X$2,quests!$1:$1,0)-MATCH($C$2,quests!$1:$1,0)+1),MATCH(X$2,quests!$1:$1,0)-MATCH($C$2,quests!$1:$1,0)+1,FALSE)</f>
        <v>0</v>
      </c>
      <c r="Y533" s="47">
        <f ca="1">VLOOKUP($C533,OFFSET(quests!$A$1,0,0,COUNTA(quests!$A:$A),MATCH(Y$2,quests!$1:$1,0)-MATCH($C$2,quests!$1:$1,0)+1),MATCH(Y$2,quests!$1:$1,0)-MATCH($C$2,quests!$1:$1,0)+1,FALSE)</f>
        <v>0</v>
      </c>
      <c r="Z533" s="47">
        <f ca="1">VLOOKUP($C533,OFFSET(quests!$A$1,0,0,COUNTA(quests!$A:$A),MATCH(Z$2,quests!$1:$1,0)-MATCH($C$2,quests!$1:$1,0)+1),MATCH(Z$2,quests!$1:$1,0)-MATCH($C$2,quests!$1:$1,0)+1,FALSE)</f>
        <v>0</v>
      </c>
      <c r="AA533" s="47">
        <f ca="1">VLOOKUP($C533,OFFSET(quests!$A$1,0,0,COUNTA(quests!$A:$A),MATCH(AA$2,quests!$1:$1,0)-MATCH($C$2,quests!$1:$1,0)+1),MATCH(AA$2,quests!$1:$1,0)-MATCH($C$2,quests!$1:$1,0)+1,FALSE)</f>
        <v>0</v>
      </c>
      <c r="AB533" s="7" t="s">
        <v>56</v>
      </c>
      <c r="AC533" s="7">
        <v>20</v>
      </c>
      <c r="AD533" s="7">
        <v>6</v>
      </c>
      <c r="AE533" s="7" t="s">
        <v>519</v>
      </c>
      <c r="AF533" s="33">
        <v>11</v>
      </c>
      <c r="AG533" s="7">
        <v>0</v>
      </c>
      <c r="AH533" s="7">
        <v>0</v>
      </c>
      <c r="AI533" s="7">
        <v>-1</v>
      </c>
      <c r="AJ533" s="7">
        <v>-1</v>
      </c>
      <c r="AK533" s="7" t="s">
        <v>1064</v>
      </c>
      <c r="AL533" s="12" t="s">
        <v>1695</v>
      </c>
      <c r="AM533" s="12" t="s">
        <v>2072</v>
      </c>
    </row>
    <row r="534" spans="1:39" ht="21" customHeight="1" x14ac:dyDescent="0.15">
      <c r="A534" s="42" t="str">
        <f t="shared" si="21"/>
        <v>30003_3</v>
      </c>
      <c r="B534" s="23">
        <v>3</v>
      </c>
      <c r="C534" s="31">
        <v>30003</v>
      </c>
      <c r="D534" s="47" t="str">
        <f ca="1">VLOOKUP($C534,OFFSET(quests!$A$1,0,0,COUNTA(quests!$A:$A),MATCH(D$1,quests!$1:$1,0)-MATCH($C$2,quests!$1:$1,0)+1),MATCH(D$1,quests!$1:$1,0)-MATCH($C$2,quests!$1:$1,0)+1,FALSE)</f>
        <v>打ち下ろされる砕棒</v>
      </c>
      <c r="E534" s="48" t="str">
        <f ca="1">VLOOKUP($C534,OFFSET(quests!$A$1,0,0,COUNTA(quests!$A:$A),MATCH(E$2,quests!$1:$1,0)-MATCH($C$2,quests!$1:$1,0)+1),MATCH(E$2,quests!$1:$1,0)-MATCH($C$2,quests!$1:$1,0)+1,FALSE)</f>
        <v>ドロップイベント1-3（マルチ専用）</v>
      </c>
      <c r="F534" s="7">
        <v>3</v>
      </c>
      <c r="G534" s="7" t="s">
        <v>570</v>
      </c>
      <c r="H534" s="12" t="s">
        <v>794</v>
      </c>
      <c r="I534" s="12" t="s">
        <v>383</v>
      </c>
      <c r="J534" s="12">
        <v>275</v>
      </c>
      <c r="K534" s="167">
        <v>30</v>
      </c>
      <c r="L534" s="167">
        <v>3300</v>
      </c>
      <c r="M534" s="167">
        <v>1</v>
      </c>
      <c r="N534" s="167">
        <v>1</v>
      </c>
      <c r="O534" s="167">
        <v>1</v>
      </c>
      <c r="P534" s="167">
        <v>1</v>
      </c>
      <c r="Q534" s="167">
        <v>1</v>
      </c>
      <c r="R534" s="167">
        <v>3</v>
      </c>
      <c r="S534" s="167" t="s">
        <v>406</v>
      </c>
      <c r="T534" s="167">
        <v>1</v>
      </c>
      <c r="U534" s="7" t="s">
        <v>169</v>
      </c>
      <c r="V534" s="7" t="s">
        <v>169</v>
      </c>
      <c r="W534" s="47" t="str">
        <f t="shared" ca="1" si="22"/>
        <v/>
      </c>
      <c r="X534" s="47">
        <f ca="1">VLOOKUP($C534,OFFSET(quests!$A$1,0,0,COUNTA(quests!$A:$A),MATCH(X$2,quests!$1:$1,0)-MATCH($C$2,quests!$1:$1,0)+1),MATCH(X$2,quests!$1:$1,0)-MATCH($C$2,quests!$1:$1,0)+1,FALSE)</f>
        <v>0</v>
      </c>
      <c r="Y534" s="47">
        <f ca="1">VLOOKUP($C534,OFFSET(quests!$A$1,0,0,COUNTA(quests!$A:$A),MATCH(Y$2,quests!$1:$1,0)-MATCH($C$2,quests!$1:$1,0)+1),MATCH(Y$2,quests!$1:$1,0)-MATCH($C$2,quests!$1:$1,0)+1,FALSE)</f>
        <v>0</v>
      </c>
      <c r="Z534" s="47">
        <f ca="1">VLOOKUP($C534,OFFSET(quests!$A$1,0,0,COUNTA(quests!$A:$A),MATCH(Z$2,quests!$1:$1,0)-MATCH($C$2,quests!$1:$1,0)+1),MATCH(Z$2,quests!$1:$1,0)-MATCH($C$2,quests!$1:$1,0)+1,FALSE)</f>
        <v>0</v>
      </c>
      <c r="AA534" s="47">
        <f ca="1">VLOOKUP($C534,OFFSET(quests!$A$1,0,0,COUNTA(quests!$A:$A),MATCH(AA$2,quests!$1:$1,0)-MATCH($C$2,quests!$1:$1,0)+1),MATCH(AA$2,quests!$1:$1,0)-MATCH($C$2,quests!$1:$1,0)+1,FALSE)</f>
        <v>0</v>
      </c>
      <c r="AB534" s="7" t="s">
        <v>56</v>
      </c>
      <c r="AC534" s="7">
        <v>20</v>
      </c>
      <c r="AD534" s="7">
        <v>6</v>
      </c>
      <c r="AE534" s="7" t="s">
        <v>519</v>
      </c>
      <c r="AF534" s="33">
        <v>11</v>
      </c>
      <c r="AG534" s="7">
        <v>0</v>
      </c>
      <c r="AH534" s="7">
        <v>0</v>
      </c>
      <c r="AI534" s="7">
        <v>-1</v>
      </c>
      <c r="AJ534" s="7">
        <v>-1</v>
      </c>
      <c r="AK534" s="7" t="s">
        <v>1065</v>
      </c>
      <c r="AL534" s="12" t="s">
        <v>1695</v>
      </c>
      <c r="AM534" s="12" t="s">
        <v>2072</v>
      </c>
    </row>
    <row r="535" spans="1:39" ht="21" customHeight="1" x14ac:dyDescent="0.15">
      <c r="A535" s="42" t="str">
        <f t="shared" si="21"/>
        <v>30004_1</v>
      </c>
      <c r="B535" s="23">
        <v>3</v>
      </c>
      <c r="C535" s="31">
        <v>30004</v>
      </c>
      <c r="D535" s="47" t="str">
        <f ca="1">VLOOKUP($C535,OFFSET(quests!$A$1,0,0,COUNTA(quests!$A:$A),MATCH(D$1,quests!$1:$1,0)-MATCH($C$2,quests!$1:$1,0)+1),MATCH(D$1,quests!$1:$1,0)-MATCH($C$2,quests!$1:$1,0)+1,FALSE)</f>
        <v>危険な仲裁者</v>
      </c>
      <c r="E535" s="48" t="str">
        <f ca="1">VLOOKUP($C535,OFFSET(quests!$A$1,0,0,COUNTA(quests!$A:$A),MATCH(E$2,quests!$1:$1,0)-MATCH($C$2,quests!$1:$1,0)+1),MATCH(E$2,quests!$1:$1,0)-MATCH($C$2,quests!$1:$1,0)+1,FALSE)</f>
        <v>ドロップイベント1-4（マルチ専用）</v>
      </c>
      <c r="F535" s="7">
        <v>1</v>
      </c>
      <c r="G535" s="7" t="s">
        <v>570</v>
      </c>
      <c r="H535" s="12" t="s">
        <v>743</v>
      </c>
      <c r="I535" s="12" t="s">
        <v>59</v>
      </c>
      <c r="J535" s="12">
        <v>276</v>
      </c>
      <c r="K535" s="192">
        <v>15</v>
      </c>
      <c r="L535" s="193">
        <v>1200</v>
      </c>
      <c r="M535" s="167">
        <v>1</v>
      </c>
      <c r="N535" s="167">
        <v>1</v>
      </c>
      <c r="O535" s="167">
        <v>1</v>
      </c>
      <c r="P535" s="167">
        <v>1</v>
      </c>
      <c r="Q535" s="167">
        <v>1</v>
      </c>
      <c r="R535" s="167">
        <v>3</v>
      </c>
      <c r="S535" s="167" t="s">
        <v>79</v>
      </c>
      <c r="T535" s="167">
        <v>0</v>
      </c>
      <c r="U535" s="7" t="s">
        <v>169</v>
      </c>
      <c r="V535" s="7" t="s">
        <v>169</v>
      </c>
      <c r="W535" s="47" t="str">
        <f t="shared" ca="1" si="22"/>
        <v/>
      </c>
      <c r="X535" s="47">
        <f ca="1">VLOOKUP($C535,OFFSET(quests!$A$1,0,0,COUNTA(quests!$A:$A),MATCH(X$2,quests!$1:$1,0)-MATCH($C$2,quests!$1:$1,0)+1),MATCH(X$2,quests!$1:$1,0)-MATCH($C$2,quests!$1:$1,0)+1,FALSE)</f>
        <v>0</v>
      </c>
      <c r="Y535" s="47">
        <f ca="1">VLOOKUP($C535,OFFSET(quests!$A$1,0,0,COUNTA(quests!$A:$A),MATCH(Y$2,quests!$1:$1,0)-MATCH($C$2,quests!$1:$1,0)+1),MATCH(Y$2,quests!$1:$1,0)-MATCH($C$2,quests!$1:$1,0)+1,FALSE)</f>
        <v>0</v>
      </c>
      <c r="Z535" s="47">
        <f ca="1">VLOOKUP($C535,OFFSET(quests!$A$1,0,0,COUNTA(quests!$A:$A),MATCH(Z$2,quests!$1:$1,0)-MATCH($C$2,quests!$1:$1,0)+1),MATCH(Z$2,quests!$1:$1,0)-MATCH($C$2,quests!$1:$1,0)+1,FALSE)</f>
        <v>0</v>
      </c>
      <c r="AA535" s="47">
        <f ca="1">VLOOKUP($C535,OFFSET(quests!$A$1,0,0,COUNTA(quests!$A:$A),MATCH(AA$2,quests!$1:$1,0)-MATCH($C$2,quests!$1:$1,0)+1),MATCH(AA$2,quests!$1:$1,0)-MATCH($C$2,quests!$1:$1,0)+1,FALSE)</f>
        <v>0</v>
      </c>
      <c r="AB535" s="7" t="s">
        <v>56</v>
      </c>
      <c r="AC535" s="8">
        <v>14</v>
      </c>
      <c r="AD535" s="7">
        <v>6</v>
      </c>
      <c r="AE535" s="7" t="s">
        <v>519</v>
      </c>
      <c r="AF535" s="33">
        <v>11</v>
      </c>
      <c r="AG535" s="7">
        <v>0</v>
      </c>
      <c r="AH535" s="7">
        <v>0</v>
      </c>
      <c r="AI535" s="7">
        <v>-1</v>
      </c>
      <c r="AJ535" s="7">
        <v>-1</v>
      </c>
      <c r="AK535" s="7" t="s">
        <v>1064</v>
      </c>
      <c r="AL535" s="12" t="s">
        <v>1695</v>
      </c>
      <c r="AM535" s="12" t="s">
        <v>2072</v>
      </c>
    </row>
    <row r="536" spans="1:39" ht="21" customHeight="1" x14ac:dyDescent="0.15">
      <c r="A536" s="42" t="str">
        <f t="shared" si="21"/>
        <v>30004_2</v>
      </c>
      <c r="B536" s="23">
        <v>3</v>
      </c>
      <c r="C536" s="31">
        <v>30004</v>
      </c>
      <c r="D536" s="47" t="str">
        <f ca="1">VLOOKUP($C536,OFFSET(quests!$A$1,0,0,COUNTA(quests!$A:$A),MATCH(D$1,quests!$1:$1,0)-MATCH($C$2,quests!$1:$1,0)+1),MATCH(D$1,quests!$1:$1,0)-MATCH($C$2,quests!$1:$1,0)+1,FALSE)</f>
        <v>危険な仲裁者</v>
      </c>
      <c r="E536" s="48" t="str">
        <f ca="1">VLOOKUP($C536,OFFSET(quests!$A$1,0,0,COUNTA(quests!$A:$A),MATCH(E$2,quests!$1:$1,0)-MATCH($C$2,quests!$1:$1,0)+1),MATCH(E$2,quests!$1:$1,0)-MATCH($C$2,quests!$1:$1,0)+1,FALSE)</f>
        <v>ドロップイベント1-4（マルチ専用）</v>
      </c>
      <c r="F536" s="7">
        <v>2</v>
      </c>
      <c r="G536" s="7" t="s">
        <v>570</v>
      </c>
      <c r="H536" s="12" t="s">
        <v>744</v>
      </c>
      <c r="I536" s="12" t="s">
        <v>60</v>
      </c>
      <c r="J536" s="12">
        <v>276</v>
      </c>
      <c r="K536" s="194">
        <v>20</v>
      </c>
      <c r="L536" s="195">
        <v>2000</v>
      </c>
      <c r="M536" s="167">
        <v>1</v>
      </c>
      <c r="N536" s="167">
        <v>1</v>
      </c>
      <c r="O536" s="167">
        <v>1</v>
      </c>
      <c r="P536" s="167">
        <v>1</v>
      </c>
      <c r="Q536" s="167">
        <v>1</v>
      </c>
      <c r="R536" s="167">
        <v>3</v>
      </c>
      <c r="S536" s="167" t="s">
        <v>79</v>
      </c>
      <c r="T536" s="167">
        <v>0</v>
      </c>
      <c r="U536" s="7" t="s">
        <v>169</v>
      </c>
      <c r="V536" s="7" t="s">
        <v>169</v>
      </c>
      <c r="W536" s="47" t="str">
        <f t="shared" ca="1" si="22"/>
        <v/>
      </c>
      <c r="X536" s="47">
        <f ca="1">VLOOKUP($C536,OFFSET(quests!$A$1,0,0,COUNTA(quests!$A:$A),MATCH(X$2,quests!$1:$1,0)-MATCH($C$2,quests!$1:$1,0)+1),MATCH(X$2,quests!$1:$1,0)-MATCH($C$2,quests!$1:$1,0)+1,FALSE)</f>
        <v>0</v>
      </c>
      <c r="Y536" s="47">
        <f ca="1">VLOOKUP($C536,OFFSET(quests!$A$1,0,0,COUNTA(quests!$A:$A),MATCH(Y$2,quests!$1:$1,0)-MATCH($C$2,quests!$1:$1,0)+1),MATCH(Y$2,quests!$1:$1,0)-MATCH($C$2,quests!$1:$1,0)+1,FALSE)</f>
        <v>0</v>
      </c>
      <c r="Z536" s="47">
        <f ca="1">VLOOKUP($C536,OFFSET(quests!$A$1,0,0,COUNTA(quests!$A:$A),MATCH(Z$2,quests!$1:$1,0)-MATCH($C$2,quests!$1:$1,0)+1),MATCH(Z$2,quests!$1:$1,0)-MATCH($C$2,quests!$1:$1,0)+1,FALSE)</f>
        <v>0</v>
      </c>
      <c r="AA536" s="47">
        <f ca="1">VLOOKUP($C536,OFFSET(quests!$A$1,0,0,COUNTA(quests!$A:$A),MATCH(AA$2,quests!$1:$1,0)-MATCH($C$2,quests!$1:$1,0)+1),MATCH(AA$2,quests!$1:$1,0)-MATCH($C$2,quests!$1:$1,0)+1,FALSE)</f>
        <v>0</v>
      </c>
      <c r="AB536" s="7" t="s">
        <v>56</v>
      </c>
      <c r="AC536" s="8">
        <v>14</v>
      </c>
      <c r="AD536" s="7">
        <v>6</v>
      </c>
      <c r="AE536" s="7" t="s">
        <v>519</v>
      </c>
      <c r="AF536" s="33">
        <v>11</v>
      </c>
      <c r="AG536" s="7">
        <v>0</v>
      </c>
      <c r="AH536" s="7">
        <v>0</v>
      </c>
      <c r="AI536" s="7">
        <v>-1</v>
      </c>
      <c r="AJ536" s="7">
        <v>-1</v>
      </c>
      <c r="AK536" s="7" t="s">
        <v>1064</v>
      </c>
      <c r="AL536" s="12" t="s">
        <v>1695</v>
      </c>
      <c r="AM536" s="12" t="s">
        <v>2072</v>
      </c>
    </row>
    <row r="537" spans="1:39" ht="21" customHeight="1" x14ac:dyDescent="0.15">
      <c r="A537" s="42" t="str">
        <f t="shared" si="21"/>
        <v>30004_3</v>
      </c>
      <c r="B537" s="23">
        <v>3</v>
      </c>
      <c r="C537" s="31">
        <v>30004</v>
      </c>
      <c r="D537" s="47" t="str">
        <f ca="1">VLOOKUP($C537,OFFSET(quests!$A$1,0,0,COUNTA(quests!$A:$A),MATCH(D$1,quests!$1:$1,0)-MATCH($C$2,quests!$1:$1,0)+1),MATCH(D$1,quests!$1:$1,0)-MATCH($C$2,quests!$1:$1,0)+1,FALSE)</f>
        <v>危険な仲裁者</v>
      </c>
      <c r="E537" s="48" t="str">
        <f ca="1">VLOOKUP($C537,OFFSET(quests!$A$1,0,0,COUNTA(quests!$A:$A),MATCH(E$2,quests!$1:$1,0)-MATCH($C$2,quests!$1:$1,0)+1),MATCH(E$2,quests!$1:$1,0)-MATCH($C$2,quests!$1:$1,0)+1,FALSE)</f>
        <v>ドロップイベント1-4（マルチ専用）</v>
      </c>
      <c r="F537" s="7">
        <v>3</v>
      </c>
      <c r="G537" s="7" t="s">
        <v>570</v>
      </c>
      <c r="H537" s="12" t="s">
        <v>795</v>
      </c>
      <c r="I537" s="12" t="s">
        <v>383</v>
      </c>
      <c r="J537" s="12">
        <v>277</v>
      </c>
      <c r="K537" s="194">
        <v>30</v>
      </c>
      <c r="L537" s="195">
        <v>3300</v>
      </c>
      <c r="M537" s="167">
        <v>1</v>
      </c>
      <c r="N537" s="167">
        <v>1</v>
      </c>
      <c r="O537" s="167">
        <v>1</v>
      </c>
      <c r="P537" s="167">
        <v>1</v>
      </c>
      <c r="Q537" s="167">
        <v>1</v>
      </c>
      <c r="R537" s="167">
        <v>3</v>
      </c>
      <c r="S537" s="167" t="s">
        <v>407</v>
      </c>
      <c r="T537" s="167">
        <v>1</v>
      </c>
      <c r="U537" s="7" t="s">
        <v>169</v>
      </c>
      <c r="V537" s="7" t="s">
        <v>169</v>
      </c>
      <c r="W537" s="47" t="str">
        <f t="shared" ca="1" si="22"/>
        <v/>
      </c>
      <c r="X537" s="47">
        <f ca="1">VLOOKUP($C537,OFFSET(quests!$A$1,0,0,COUNTA(quests!$A:$A),MATCH(X$2,quests!$1:$1,0)-MATCH($C$2,quests!$1:$1,0)+1),MATCH(X$2,quests!$1:$1,0)-MATCH($C$2,quests!$1:$1,0)+1,FALSE)</f>
        <v>0</v>
      </c>
      <c r="Y537" s="47">
        <f ca="1">VLOOKUP($C537,OFFSET(quests!$A$1,0,0,COUNTA(quests!$A:$A),MATCH(Y$2,quests!$1:$1,0)-MATCH($C$2,quests!$1:$1,0)+1),MATCH(Y$2,quests!$1:$1,0)-MATCH($C$2,quests!$1:$1,0)+1,FALSE)</f>
        <v>0</v>
      </c>
      <c r="Z537" s="47">
        <f ca="1">VLOOKUP($C537,OFFSET(quests!$A$1,0,0,COUNTA(quests!$A:$A),MATCH(Z$2,quests!$1:$1,0)-MATCH($C$2,quests!$1:$1,0)+1),MATCH(Z$2,quests!$1:$1,0)-MATCH($C$2,quests!$1:$1,0)+1,FALSE)</f>
        <v>0</v>
      </c>
      <c r="AA537" s="47">
        <f ca="1">VLOOKUP($C537,OFFSET(quests!$A$1,0,0,COUNTA(quests!$A:$A),MATCH(AA$2,quests!$1:$1,0)-MATCH($C$2,quests!$1:$1,0)+1),MATCH(AA$2,quests!$1:$1,0)-MATCH($C$2,quests!$1:$1,0)+1,FALSE)</f>
        <v>0</v>
      </c>
      <c r="AB537" s="7" t="s">
        <v>56</v>
      </c>
      <c r="AC537" s="8">
        <v>14</v>
      </c>
      <c r="AD537" s="7">
        <v>6</v>
      </c>
      <c r="AE537" s="7" t="s">
        <v>519</v>
      </c>
      <c r="AF537" s="33">
        <v>11</v>
      </c>
      <c r="AG537" s="7">
        <v>0</v>
      </c>
      <c r="AH537" s="7">
        <v>0</v>
      </c>
      <c r="AI537" s="7">
        <v>-1</v>
      </c>
      <c r="AJ537" s="7">
        <v>-1</v>
      </c>
      <c r="AK537" s="7" t="s">
        <v>1065</v>
      </c>
      <c r="AL537" s="12" t="s">
        <v>1695</v>
      </c>
      <c r="AM537" s="12" t="s">
        <v>2072</v>
      </c>
    </row>
    <row r="538" spans="1:39" ht="18" customHeight="1" x14ac:dyDescent="0.15">
      <c r="A538" s="42" t="str">
        <f t="shared" si="21"/>
        <v>30005_1</v>
      </c>
      <c r="B538" s="23">
        <v>3</v>
      </c>
      <c r="C538" s="31">
        <v>30005</v>
      </c>
      <c r="D538" s="47" t="str">
        <f ca="1">VLOOKUP($C538,OFFSET(quests!$A$1,0,0,COUNTA(quests!$A:$A),MATCH(D$1,quests!$1:$1,0)-MATCH($C$2,quests!$1:$1,0)+1),MATCH(D$1,quests!$1:$1,0)-MATCH($C$2,quests!$1:$1,0)+1,FALSE)</f>
        <v>ニンゲンにしてあげる☆</v>
      </c>
      <c r="E538" s="48" t="str">
        <f ca="1">VLOOKUP($C538,OFFSET(quests!$A$1,0,0,COUNTA(quests!$A:$A),MATCH(E$2,quests!$1:$1,0)-MATCH($C$2,quests!$1:$1,0)+1),MATCH(E$2,quests!$1:$1,0)-MATCH($C$2,quests!$1:$1,0)+1,FALSE)</f>
        <v>ドロップイベント2-1（マルチ専用）</v>
      </c>
      <c r="F538" s="7">
        <v>1</v>
      </c>
      <c r="G538" s="7" t="s">
        <v>570</v>
      </c>
      <c r="H538" s="12" t="s">
        <v>745</v>
      </c>
      <c r="I538" s="12" t="s">
        <v>59</v>
      </c>
      <c r="J538" s="12">
        <v>290</v>
      </c>
      <c r="K538" s="192">
        <v>15</v>
      </c>
      <c r="L538" s="193">
        <v>1200</v>
      </c>
      <c r="M538" s="167">
        <v>1</v>
      </c>
      <c r="N538" s="167">
        <v>1</v>
      </c>
      <c r="O538" s="167">
        <v>1</v>
      </c>
      <c r="P538" s="167">
        <v>1</v>
      </c>
      <c r="Q538" s="167">
        <v>1</v>
      </c>
      <c r="R538" s="167">
        <v>3</v>
      </c>
      <c r="S538" s="167" t="s">
        <v>79</v>
      </c>
      <c r="T538" s="167">
        <v>0</v>
      </c>
      <c r="U538" s="7" t="s">
        <v>169</v>
      </c>
      <c r="V538" s="7" t="s">
        <v>169</v>
      </c>
      <c r="W538" s="47" t="str">
        <f t="shared" ca="1" si="22"/>
        <v/>
      </c>
      <c r="X538" s="47">
        <f ca="1">VLOOKUP($C538,OFFSET(quests!$A$1,0,0,COUNTA(quests!$A:$A),MATCH(X$2,quests!$1:$1,0)-MATCH($C$2,quests!$1:$1,0)+1),MATCH(X$2,quests!$1:$1,0)-MATCH($C$2,quests!$1:$1,0)+1,FALSE)</f>
        <v>0</v>
      </c>
      <c r="Y538" s="47">
        <f ca="1">VLOOKUP($C538,OFFSET(quests!$A$1,0,0,COUNTA(quests!$A:$A),MATCH(Y$2,quests!$1:$1,0)-MATCH($C$2,quests!$1:$1,0)+1),MATCH(Y$2,quests!$1:$1,0)-MATCH($C$2,quests!$1:$1,0)+1,FALSE)</f>
        <v>0</v>
      </c>
      <c r="Z538" s="47">
        <f ca="1">VLOOKUP($C538,OFFSET(quests!$A$1,0,0,COUNTA(quests!$A:$A),MATCH(Z$2,quests!$1:$1,0)-MATCH($C$2,quests!$1:$1,0)+1),MATCH(Z$2,quests!$1:$1,0)-MATCH($C$2,quests!$1:$1,0)+1,FALSE)</f>
        <v>0</v>
      </c>
      <c r="AA538" s="47">
        <f ca="1">VLOOKUP($C538,OFFSET(quests!$A$1,0,0,COUNTA(quests!$A:$A),MATCH(AA$2,quests!$1:$1,0)-MATCH($C$2,quests!$1:$1,0)+1),MATCH(AA$2,quests!$1:$1,0)-MATCH($C$2,quests!$1:$1,0)+1,FALSE)</f>
        <v>0</v>
      </c>
      <c r="AB538" s="7" t="s">
        <v>56</v>
      </c>
      <c r="AC538" s="7">
        <v>11</v>
      </c>
      <c r="AD538" s="7">
        <v>6</v>
      </c>
      <c r="AE538" s="7" t="s">
        <v>519</v>
      </c>
      <c r="AF538" s="96">
        <v>17</v>
      </c>
      <c r="AG538" s="7">
        <v>0</v>
      </c>
      <c r="AH538" s="7">
        <v>0</v>
      </c>
      <c r="AI538" s="7">
        <v>-1</v>
      </c>
      <c r="AJ538" s="7">
        <v>-1</v>
      </c>
      <c r="AK538" s="7" t="s">
        <v>1064</v>
      </c>
      <c r="AL538" s="12" t="s">
        <v>1695</v>
      </c>
      <c r="AM538" s="12" t="s">
        <v>2072</v>
      </c>
    </row>
    <row r="539" spans="1:39" ht="21" customHeight="1" x14ac:dyDescent="0.15">
      <c r="A539" s="42" t="str">
        <f t="shared" si="21"/>
        <v>30005_2</v>
      </c>
      <c r="B539" s="23">
        <v>3</v>
      </c>
      <c r="C539" s="31">
        <v>30005</v>
      </c>
      <c r="D539" s="47" t="str">
        <f ca="1">VLOOKUP($C539,OFFSET(quests!$A$1,0,0,COUNTA(quests!$A:$A),MATCH(D$1,quests!$1:$1,0)-MATCH($C$2,quests!$1:$1,0)+1),MATCH(D$1,quests!$1:$1,0)-MATCH($C$2,quests!$1:$1,0)+1,FALSE)</f>
        <v>ニンゲンにしてあげる☆</v>
      </c>
      <c r="E539" s="48" t="str">
        <f ca="1">VLOOKUP($C539,OFFSET(quests!$A$1,0,0,COUNTA(quests!$A:$A),MATCH(E$2,quests!$1:$1,0)-MATCH($C$2,quests!$1:$1,0)+1),MATCH(E$2,quests!$1:$1,0)-MATCH($C$2,quests!$1:$1,0)+1,FALSE)</f>
        <v>ドロップイベント2-1（マルチ専用）</v>
      </c>
      <c r="F539" s="7">
        <v>2</v>
      </c>
      <c r="G539" s="7" t="s">
        <v>570</v>
      </c>
      <c r="H539" s="12" t="s">
        <v>746</v>
      </c>
      <c r="I539" s="12" t="s">
        <v>60</v>
      </c>
      <c r="J539" s="12">
        <v>290</v>
      </c>
      <c r="K539" s="194">
        <v>20</v>
      </c>
      <c r="L539" s="195">
        <v>2000</v>
      </c>
      <c r="M539" s="167">
        <v>1</v>
      </c>
      <c r="N539" s="167">
        <v>1</v>
      </c>
      <c r="O539" s="167">
        <v>1</v>
      </c>
      <c r="P539" s="167">
        <v>1</v>
      </c>
      <c r="Q539" s="167">
        <v>1</v>
      </c>
      <c r="R539" s="167">
        <v>3</v>
      </c>
      <c r="S539" s="167" t="s">
        <v>79</v>
      </c>
      <c r="T539" s="167">
        <v>0</v>
      </c>
      <c r="U539" s="7" t="s">
        <v>169</v>
      </c>
      <c r="V539" s="7" t="s">
        <v>169</v>
      </c>
      <c r="W539" s="47" t="str">
        <f t="shared" ca="1" si="22"/>
        <v/>
      </c>
      <c r="X539" s="47">
        <f ca="1">VLOOKUP($C539,OFFSET(quests!$A$1,0,0,COUNTA(quests!$A:$A),MATCH(X$2,quests!$1:$1,0)-MATCH($C$2,quests!$1:$1,0)+1),MATCH(X$2,quests!$1:$1,0)-MATCH($C$2,quests!$1:$1,0)+1,FALSE)</f>
        <v>0</v>
      </c>
      <c r="Y539" s="47">
        <f ca="1">VLOOKUP($C539,OFFSET(quests!$A$1,0,0,COUNTA(quests!$A:$A),MATCH(Y$2,quests!$1:$1,0)-MATCH($C$2,quests!$1:$1,0)+1),MATCH(Y$2,quests!$1:$1,0)-MATCH($C$2,quests!$1:$1,0)+1,FALSE)</f>
        <v>0</v>
      </c>
      <c r="Z539" s="47">
        <f ca="1">VLOOKUP($C539,OFFSET(quests!$A$1,0,0,COUNTA(quests!$A:$A),MATCH(Z$2,quests!$1:$1,0)-MATCH($C$2,quests!$1:$1,0)+1),MATCH(Z$2,quests!$1:$1,0)-MATCH($C$2,quests!$1:$1,0)+1,FALSE)</f>
        <v>0</v>
      </c>
      <c r="AA539" s="47">
        <f ca="1">VLOOKUP($C539,OFFSET(quests!$A$1,0,0,COUNTA(quests!$A:$A),MATCH(AA$2,quests!$1:$1,0)-MATCH($C$2,quests!$1:$1,0)+1),MATCH(AA$2,quests!$1:$1,0)-MATCH($C$2,quests!$1:$1,0)+1,FALSE)</f>
        <v>0</v>
      </c>
      <c r="AB539" s="7" t="s">
        <v>56</v>
      </c>
      <c r="AC539" s="7">
        <v>11</v>
      </c>
      <c r="AD539" s="7">
        <v>6</v>
      </c>
      <c r="AE539" s="7" t="s">
        <v>519</v>
      </c>
      <c r="AF539" s="96">
        <v>17</v>
      </c>
      <c r="AG539" s="7">
        <v>0</v>
      </c>
      <c r="AH539" s="7">
        <v>0</v>
      </c>
      <c r="AI539" s="7">
        <v>-1</v>
      </c>
      <c r="AJ539" s="7">
        <v>-1</v>
      </c>
      <c r="AK539" s="7" t="s">
        <v>1064</v>
      </c>
      <c r="AL539" s="12" t="s">
        <v>1695</v>
      </c>
      <c r="AM539" s="12" t="s">
        <v>2072</v>
      </c>
    </row>
    <row r="540" spans="1:39" ht="21" customHeight="1" x14ac:dyDescent="0.15">
      <c r="A540" s="42" t="str">
        <f t="shared" si="21"/>
        <v>30005_3</v>
      </c>
      <c r="B540" s="23">
        <v>3</v>
      </c>
      <c r="C540" s="31">
        <v>30005</v>
      </c>
      <c r="D540" s="47" t="str">
        <f ca="1">VLOOKUP($C540,OFFSET(quests!$A$1,0,0,COUNTA(quests!$A:$A),MATCH(D$1,quests!$1:$1,0)-MATCH($C$2,quests!$1:$1,0)+1),MATCH(D$1,quests!$1:$1,0)-MATCH($C$2,quests!$1:$1,0)+1,FALSE)</f>
        <v>ニンゲンにしてあげる☆</v>
      </c>
      <c r="E540" s="48" t="str">
        <f ca="1">VLOOKUP($C540,OFFSET(quests!$A$1,0,0,COUNTA(quests!$A:$A),MATCH(E$2,quests!$1:$1,0)-MATCH($C$2,quests!$1:$1,0)+1),MATCH(E$2,quests!$1:$1,0)-MATCH($C$2,quests!$1:$1,0)+1,FALSE)</f>
        <v>ドロップイベント2-1（マルチ専用）</v>
      </c>
      <c r="F540" s="7">
        <v>3</v>
      </c>
      <c r="G540" s="7" t="s">
        <v>570</v>
      </c>
      <c r="H540" s="12" t="s">
        <v>796</v>
      </c>
      <c r="I540" s="12" t="s">
        <v>383</v>
      </c>
      <c r="J540" s="12">
        <v>291</v>
      </c>
      <c r="K540" s="194">
        <v>30</v>
      </c>
      <c r="L540" s="195">
        <v>3300</v>
      </c>
      <c r="M540" s="167">
        <v>1</v>
      </c>
      <c r="N540" s="167">
        <v>1</v>
      </c>
      <c r="O540" s="167">
        <v>1</v>
      </c>
      <c r="P540" s="167">
        <v>1</v>
      </c>
      <c r="Q540" s="167">
        <v>1</v>
      </c>
      <c r="R540" s="167">
        <v>3</v>
      </c>
      <c r="S540" s="167" t="s">
        <v>407</v>
      </c>
      <c r="T540" s="167">
        <v>1</v>
      </c>
      <c r="U540" s="7" t="s">
        <v>169</v>
      </c>
      <c r="V540" s="7" t="s">
        <v>169</v>
      </c>
      <c r="W540" s="47" t="str">
        <f t="shared" ca="1" si="22"/>
        <v/>
      </c>
      <c r="X540" s="47">
        <f ca="1">VLOOKUP($C540,OFFSET(quests!$A$1,0,0,COUNTA(quests!$A:$A),MATCH(X$2,quests!$1:$1,0)-MATCH($C$2,quests!$1:$1,0)+1),MATCH(X$2,quests!$1:$1,0)-MATCH($C$2,quests!$1:$1,0)+1,FALSE)</f>
        <v>0</v>
      </c>
      <c r="Y540" s="47">
        <f ca="1">VLOOKUP($C540,OFFSET(quests!$A$1,0,0,COUNTA(quests!$A:$A),MATCH(Y$2,quests!$1:$1,0)-MATCH($C$2,quests!$1:$1,0)+1),MATCH(Y$2,quests!$1:$1,0)-MATCH($C$2,quests!$1:$1,0)+1,FALSE)</f>
        <v>0</v>
      </c>
      <c r="Z540" s="47">
        <f ca="1">VLOOKUP($C540,OFFSET(quests!$A$1,0,0,COUNTA(quests!$A:$A),MATCH(Z$2,quests!$1:$1,0)-MATCH($C$2,quests!$1:$1,0)+1),MATCH(Z$2,quests!$1:$1,0)-MATCH($C$2,quests!$1:$1,0)+1,FALSE)</f>
        <v>0</v>
      </c>
      <c r="AA540" s="47">
        <f ca="1">VLOOKUP($C540,OFFSET(quests!$A$1,0,0,COUNTA(quests!$A:$A),MATCH(AA$2,quests!$1:$1,0)-MATCH($C$2,quests!$1:$1,0)+1),MATCH(AA$2,quests!$1:$1,0)-MATCH($C$2,quests!$1:$1,0)+1,FALSE)</f>
        <v>0</v>
      </c>
      <c r="AB540" s="7" t="s">
        <v>56</v>
      </c>
      <c r="AC540" s="7">
        <v>11</v>
      </c>
      <c r="AD540" s="7">
        <v>6</v>
      </c>
      <c r="AE540" s="7" t="s">
        <v>519</v>
      </c>
      <c r="AF540" s="96">
        <v>17</v>
      </c>
      <c r="AG540" s="7">
        <v>0</v>
      </c>
      <c r="AH540" s="7">
        <v>0</v>
      </c>
      <c r="AI540" s="7">
        <v>-1</v>
      </c>
      <c r="AJ540" s="7">
        <v>-1</v>
      </c>
      <c r="AK540" s="7" t="s">
        <v>1065</v>
      </c>
      <c r="AL540" s="12" t="s">
        <v>1695</v>
      </c>
      <c r="AM540" s="12" t="s">
        <v>2072</v>
      </c>
    </row>
    <row r="541" spans="1:39" ht="21" customHeight="1" x14ac:dyDescent="0.15">
      <c r="A541" s="42" t="str">
        <f t="shared" si="21"/>
        <v>30006_1</v>
      </c>
      <c r="B541" s="23">
        <v>3</v>
      </c>
      <c r="C541" s="31">
        <v>30006</v>
      </c>
      <c r="D541" s="47" t="str">
        <f ca="1">VLOOKUP($C541,OFFSET(quests!$A$1,0,0,COUNTA(quests!$A:$A),MATCH(D$1,quests!$1:$1,0)-MATCH($C$2,quests!$1:$1,0)+1),MATCH(D$1,quests!$1:$1,0)-MATCH($C$2,quests!$1:$1,0)+1,FALSE)</f>
        <v>それはお前を食べるためさ</v>
      </c>
      <c r="E541" s="48" t="str">
        <f ca="1">VLOOKUP($C541,OFFSET(quests!$A$1,0,0,COUNTA(quests!$A:$A),MATCH(E$2,quests!$1:$1,0)-MATCH($C$2,quests!$1:$1,0)+1),MATCH(E$2,quests!$1:$1,0)-MATCH($C$2,quests!$1:$1,0)+1,FALSE)</f>
        <v>ドロップイベント2-3（マルチ専用）</v>
      </c>
      <c r="F541" s="7">
        <v>1</v>
      </c>
      <c r="G541" s="7" t="s">
        <v>570</v>
      </c>
      <c r="H541" s="12" t="s">
        <v>747</v>
      </c>
      <c r="I541" s="12" t="s">
        <v>59</v>
      </c>
      <c r="J541" s="12">
        <v>294</v>
      </c>
      <c r="K541" s="192">
        <v>15</v>
      </c>
      <c r="L541" s="193">
        <v>1200</v>
      </c>
      <c r="M541" s="167">
        <v>1</v>
      </c>
      <c r="N541" s="167">
        <v>1</v>
      </c>
      <c r="O541" s="167">
        <v>1</v>
      </c>
      <c r="P541" s="167">
        <v>1</v>
      </c>
      <c r="Q541" s="167">
        <v>1</v>
      </c>
      <c r="R541" s="167">
        <v>3</v>
      </c>
      <c r="S541" s="167" t="s">
        <v>79</v>
      </c>
      <c r="T541" s="167">
        <v>0</v>
      </c>
      <c r="U541" s="7" t="s">
        <v>169</v>
      </c>
      <c r="V541" s="7" t="s">
        <v>169</v>
      </c>
      <c r="W541" s="47" t="str">
        <f t="shared" ca="1" si="22"/>
        <v/>
      </c>
      <c r="X541" s="47">
        <f ca="1">VLOOKUP($C541,OFFSET(quests!$A$1,0,0,COUNTA(quests!$A:$A),MATCH(X$2,quests!$1:$1,0)-MATCH($C$2,quests!$1:$1,0)+1),MATCH(X$2,quests!$1:$1,0)-MATCH($C$2,quests!$1:$1,0)+1,FALSE)</f>
        <v>0</v>
      </c>
      <c r="Y541" s="47">
        <f ca="1">VLOOKUP($C541,OFFSET(quests!$A$1,0,0,COUNTA(quests!$A:$A),MATCH(Y$2,quests!$1:$1,0)-MATCH($C$2,quests!$1:$1,0)+1),MATCH(Y$2,quests!$1:$1,0)-MATCH($C$2,quests!$1:$1,0)+1,FALSE)</f>
        <v>0</v>
      </c>
      <c r="Z541" s="47">
        <f ca="1">VLOOKUP($C541,OFFSET(quests!$A$1,0,0,COUNTA(quests!$A:$A),MATCH(Z$2,quests!$1:$1,0)-MATCH($C$2,quests!$1:$1,0)+1),MATCH(Z$2,quests!$1:$1,0)-MATCH($C$2,quests!$1:$1,0)+1,FALSE)</f>
        <v>0</v>
      </c>
      <c r="AA541" s="47">
        <f ca="1">VLOOKUP($C541,OFFSET(quests!$A$1,0,0,COUNTA(quests!$A:$A),MATCH(AA$2,quests!$1:$1,0)-MATCH($C$2,quests!$1:$1,0)+1),MATCH(AA$2,quests!$1:$1,0)-MATCH($C$2,quests!$1:$1,0)+1,FALSE)</f>
        <v>0</v>
      </c>
      <c r="AB541" s="7" t="s">
        <v>56</v>
      </c>
      <c r="AC541" s="7">
        <v>7</v>
      </c>
      <c r="AD541" s="7">
        <v>6</v>
      </c>
      <c r="AE541" s="7" t="s">
        <v>519</v>
      </c>
      <c r="AF541" s="33">
        <v>11</v>
      </c>
      <c r="AG541" s="7">
        <v>0</v>
      </c>
      <c r="AH541" s="7">
        <v>0</v>
      </c>
      <c r="AI541" s="7">
        <v>-1</v>
      </c>
      <c r="AJ541" s="7">
        <v>-1</v>
      </c>
      <c r="AK541" s="7" t="s">
        <v>1064</v>
      </c>
      <c r="AL541" s="12" t="s">
        <v>1695</v>
      </c>
      <c r="AM541" s="12" t="s">
        <v>2072</v>
      </c>
    </row>
    <row r="542" spans="1:39" ht="21" customHeight="1" x14ac:dyDescent="0.15">
      <c r="A542" s="42" t="str">
        <f t="shared" si="21"/>
        <v>30006_2</v>
      </c>
      <c r="B542" s="23">
        <v>3</v>
      </c>
      <c r="C542" s="31">
        <v>30006</v>
      </c>
      <c r="D542" s="47" t="str">
        <f ca="1">VLOOKUP($C542,OFFSET(quests!$A$1,0,0,COUNTA(quests!$A:$A),MATCH(D$1,quests!$1:$1,0)-MATCH($C$2,quests!$1:$1,0)+1),MATCH(D$1,quests!$1:$1,0)-MATCH($C$2,quests!$1:$1,0)+1,FALSE)</f>
        <v>それはお前を食べるためさ</v>
      </c>
      <c r="E542" s="48" t="str">
        <f ca="1">VLOOKUP($C542,OFFSET(quests!$A$1,0,0,COUNTA(quests!$A:$A),MATCH(E$2,quests!$1:$1,0)-MATCH($C$2,quests!$1:$1,0)+1),MATCH(E$2,quests!$1:$1,0)-MATCH($C$2,quests!$1:$1,0)+1,FALSE)</f>
        <v>ドロップイベント2-3（マルチ専用）</v>
      </c>
      <c r="F542" s="7">
        <v>2</v>
      </c>
      <c r="G542" s="7" t="s">
        <v>570</v>
      </c>
      <c r="H542" s="12" t="s">
        <v>748</v>
      </c>
      <c r="I542" s="12" t="s">
        <v>60</v>
      </c>
      <c r="J542" s="12">
        <v>294</v>
      </c>
      <c r="K542" s="194">
        <v>20</v>
      </c>
      <c r="L542" s="195">
        <v>2000</v>
      </c>
      <c r="M542" s="167">
        <v>1</v>
      </c>
      <c r="N542" s="167">
        <v>1</v>
      </c>
      <c r="O542" s="167">
        <v>1</v>
      </c>
      <c r="P542" s="167">
        <v>1</v>
      </c>
      <c r="Q542" s="167">
        <v>1</v>
      </c>
      <c r="R542" s="167">
        <v>3</v>
      </c>
      <c r="S542" s="167" t="s">
        <v>79</v>
      </c>
      <c r="T542" s="167">
        <v>0</v>
      </c>
      <c r="U542" s="7" t="s">
        <v>169</v>
      </c>
      <c r="V542" s="7" t="s">
        <v>169</v>
      </c>
      <c r="W542" s="47" t="str">
        <f t="shared" ca="1" si="22"/>
        <v/>
      </c>
      <c r="X542" s="47">
        <f ca="1">VLOOKUP($C542,OFFSET(quests!$A$1,0,0,COUNTA(quests!$A:$A),MATCH(X$2,quests!$1:$1,0)-MATCH($C$2,quests!$1:$1,0)+1),MATCH(X$2,quests!$1:$1,0)-MATCH($C$2,quests!$1:$1,0)+1,FALSE)</f>
        <v>0</v>
      </c>
      <c r="Y542" s="47">
        <f ca="1">VLOOKUP($C542,OFFSET(quests!$A$1,0,0,COUNTA(quests!$A:$A),MATCH(Y$2,quests!$1:$1,0)-MATCH($C$2,quests!$1:$1,0)+1),MATCH(Y$2,quests!$1:$1,0)-MATCH($C$2,quests!$1:$1,0)+1,FALSE)</f>
        <v>0</v>
      </c>
      <c r="Z542" s="47">
        <f ca="1">VLOOKUP($C542,OFFSET(quests!$A$1,0,0,COUNTA(quests!$A:$A),MATCH(Z$2,quests!$1:$1,0)-MATCH($C$2,quests!$1:$1,0)+1),MATCH(Z$2,quests!$1:$1,0)-MATCH($C$2,quests!$1:$1,0)+1,FALSE)</f>
        <v>0</v>
      </c>
      <c r="AA542" s="47">
        <f ca="1">VLOOKUP($C542,OFFSET(quests!$A$1,0,0,COUNTA(quests!$A:$A),MATCH(AA$2,quests!$1:$1,0)-MATCH($C$2,quests!$1:$1,0)+1),MATCH(AA$2,quests!$1:$1,0)-MATCH($C$2,quests!$1:$1,0)+1,FALSE)</f>
        <v>0</v>
      </c>
      <c r="AB542" s="7" t="s">
        <v>56</v>
      </c>
      <c r="AC542" s="7">
        <v>7</v>
      </c>
      <c r="AD542" s="7">
        <v>6</v>
      </c>
      <c r="AE542" s="7" t="s">
        <v>519</v>
      </c>
      <c r="AF542" s="33">
        <v>11</v>
      </c>
      <c r="AG542" s="7">
        <v>0</v>
      </c>
      <c r="AH542" s="7">
        <v>0</v>
      </c>
      <c r="AI542" s="7">
        <v>-1</v>
      </c>
      <c r="AJ542" s="7">
        <v>-1</v>
      </c>
      <c r="AK542" s="7" t="s">
        <v>1064</v>
      </c>
      <c r="AL542" s="12" t="s">
        <v>1695</v>
      </c>
      <c r="AM542" s="12" t="s">
        <v>2072</v>
      </c>
    </row>
    <row r="543" spans="1:39" ht="21" customHeight="1" x14ac:dyDescent="0.15">
      <c r="A543" s="42" t="str">
        <f t="shared" si="21"/>
        <v>30006_3</v>
      </c>
      <c r="B543" s="23">
        <v>3</v>
      </c>
      <c r="C543" s="31">
        <v>30006</v>
      </c>
      <c r="D543" s="47" t="str">
        <f ca="1">VLOOKUP($C543,OFFSET(quests!$A$1,0,0,COUNTA(quests!$A:$A),MATCH(D$1,quests!$1:$1,0)-MATCH($C$2,quests!$1:$1,0)+1),MATCH(D$1,quests!$1:$1,0)-MATCH($C$2,quests!$1:$1,0)+1,FALSE)</f>
        <v>それはお前を食べるためさ</v>
      </c>
      <c r="E543" s="48" t="str">
        <f ca="1">VLOOKUP($C543,OFFSET(quests!$A$1,0,0,COUNTA(quests!$A:$A),MATCH(E$2,quests!$1:$1,0)-MATCH($C$2,quests!$1:$1,0)+1),MATCH(E$2,quests!$1:$1,0)-MATCH($C$2,quests!$1:$1,0)+1,FALSE)</f>
        <v>ドロップイベント2-3（マルチ専用）</v>
      </c>
      <c r="F543" s="7">
        <v>3</v>
      </c>
      <c r="G543" s="7" t="s">
        <v>570</v>
      </c>
      <c r="H543" s="12" t="s">
        <v>750</v>
      </c>
      <c r="I543" s="12" t="s">
        <v>383</v>
      </c>
      <c r="J543" s="12">
        <v>295</v>
      </c>
      <c r="K543" s="194">
        <v>30</v>
      </c>
      <c r="L543" s="195">
        <v>3300</v>
      </c>
      <c r="M543" s="167">
        <v>1</v>
      </c>
      <c r="N543" s="167">
        <v>1</v>
      </c>
      <c r="O543" s="167">
        <v>1</v>
      </c>
      <c r="P543" s="167">
        <v>1</v>
      </c>
      <c r="Q543" s="167">
        <v>1</v>
      </c>
      <c r="R543" s="167">
        <v>3</v>
      </c>
      <c r="S543" s="167" t="s">
        <v>407</v>
      </c>
      <c r="T543" s="167">
        <v>1</v>
      </c>
      <c r="U543" s="7" t="s">
        <v>169</v>
      </c>
      <c r="V543" s="7" t="s">
        <v>169</v>
      </c>
      <c r="W543" s="47" t="str">
        <f t="shared" ca="1" si="22"/>
        <v/>
      </c>
      <c r="X543" s="47">
        <f ca="1">VLOOKUP($C543,OFFSET(quests!$A$1,0,0,COUNTA(quests!$A:$A),MATCH(X$2,quests!$1:$1,0)-MATCH($C$2,quests!$1:$1,0)+1),MATCH(X$2,quests!$1:$1,0)-MATCH($C$2,quests!$1:$1,0)+1,FALSE)</f>
        <v>0</v>
      </c>
      <c r="Y543" s="47">
        <f ca="1">VLOOKUP($C543,OFFSET(quests!$A$1,0,0,COUNTA(quests!$A:$A),MATCH(Y$2,quests!$1:$1,0)-MATCH($C$2,quests!$1:$1,0)+1),MATCH(Y$2,quests!$1:$1,0)-MATCH($C$2,quests!$1:$1,0)+1,FALSE)</f>
        <v>0</v>
      </c>
      <c r="Z543" s="47">
        <f ca="1">VLOOKUP($C543,OFFSET(quests!$A$1,0,0,COUNTA(quests!$A:$A),MATCH(Z$2,quests!$1:$1,0)-MATCH($C$2,quests!$1:$1,0)+1),MATCH(Z$2,quests!$1:$1,0)-MATCH($C$2,quests!$1:$1,0)+1,FALSE)</f>
        <v>0</v>
      </c>
      <c r="AA543" s="47">
        <f ca="1">VLOOKUP($C543,OFFSET(quests!$A$1,0,0,COUNTA(quests!$A:$A),MATCH(AA$2,quests!$1:$1,0)-MATCH($C$2,quests!$1:$1,0)+1),MATCH(AA$2,quests!$1:$1,0)-MATCH($C$2,quests!$1:$1,0)+1,FALSE)</f>
        <v>0</v>
      </c>
      <c r="AB543" s="7" t="s">
        <v>56</v>
      </c>
      <c r="AC543" s="7">
        <v>7</v>
      </c>
      <c r="AD543" s="7">
        <v>6</v>
      </c>
      <c r="AE543" s="7" t="s">
        <v>519</v>
      </c>
      <c r="AF543" s="33">
        <v>11</v>
      </c>
      <c r="AG543" s="7">
        <v>0</v>
      </c>
      <c r="AH543" s="7">
        <v>0</v>
      </c>
      <c r="AI543" s="7">
        <v>-1</v>
      </c>
      <c r="AJ543" s="7">
        <v>-1</v>
      </c>
      <c r="AK543" s="7" t="s">
        <v>1065</v>
      </c>
      <c r="AL543" s="12" t="s">
        <v>1695</v>
      </c>
      <c r="AM543" s="12" t="s">
        <v>2072</v>
      </c>
    </row>
    <row r="544" spans="1:39" ht="21" customHeight="1" x14ac:dyDescent="0.15">
      <c r="A544" s="42" t="str">
        <f t="shared" si="21"/>
        <v>30007_1</v>
      </c>
      <c r="B544" s="23">
        <v>3</v>
      </c>
      <c r="C544" s="31">
        <v>30007</v>
      </c>
      <c r="D544" s="47" t="str">
        <f ca="1">VLOOKUP($C544,OFFSET(quests!$A$1,0,0,COUNTA(quests!$A:$A),MATCH(D$1,quests!$1:$1,0)-MATCH($C$2,quests!$1:$1,0)+1),MATCH(D$1,quests!$1:$1,0)-MATCH($C$2,quests!$1:$1,0)+1,FALSE)</f>
        <v>ガラスの靴は私のもの</v>
      </c>
      <c r="E544" s="48" t="str">
        <f ca="1">VLOOKUP($C544,OFFSET(quests!$A$1,0,0,COUNTA(quests!$A:$A),MATCH(E$2,quests!$1:$1,0)-MATCH($C$2,quests!$1:$1,0)+1),MATCH(E$2,quests!$1:$1,0)-MATCH($C$2,quests!$1:$1,0)+1,FALSE)</f>
        <v>ドロップイベント2-2（マルチ専用）</v>
      </c>
      <c r="F544" s="7">
        <v>1</v>
      </c>
      <c r="G544" s="7" t="s">
        <v>570</v>
      </c>
      <c r="H544" s="12" t="s">
        <v>749</v>
      </c>
      <c r="I544" s="12" t="s">
        <v>59</v>
      </c>
      <c r="J544" s="12">
        <v>292</v>
      </c>
      <c r="K544" s="192">
        <v>15</v>
      </c>
      <c r="L544" s="193">
        <v>1200</v>
      </c>
      <c r="M544" s="167">
        <v>1</v>
      </c>
      <c r="N544" s="167">
        <v>1</v>
      </c>
      <c r="O544" s="167">
        <v>1</v>
      </c>
      <c r="P544" s="167">
        <v>1</v>
      </c>
      <c r="Q544" s="167">
        <v>1</v>
      </c>
      <c r="R544" s="167">
        <v>3</v>
      </c>
      <c r="S544" s="167" t="s">
        <v>79</v>
      </c>
      <c r="T544" s="167">
        <v>0</v>
      </c>
      <c r="U544" s="7" t="s">
        <v>169</v>
      </c>
      <c r="V544" s="7" t="s">
        <v>169</v>
      </c>
      <c r="W544" s="47" t="str">
        <f t="shared" ca="1" si="22"/>
        <v/>
      </c>
      <c r="X544" s="47">
        <f ca="1">VLOOKUP($C544,OFFSET(quests!$A$1,0,0,COUNTA(quests!$A:$A),MATCH(X$2,quests!$1:$1,0)-MATCH($C$2,quests!$1:$1,0)+1),MATCH(X$2,quests!$1:$1,0)-MATCH($C$2,quests!$1:$1,0)+1,FALSE)</f>
        <v>0</v>
      </c>
      <c r="Y544" s="47">
        <f ca="1">VLOOKUP($C544,OFFSET(quests!$A$1,0,0,COUNTA(quests!$A:$A),MATCH(Y$2,quests!$1:$1,0)-MATCH($C$2,quests!$1:$1,0)+1),MATCH(Y$2,quests!$1:$1,0)-MATCH($C$2,quests!$1:$1,0)+1,FALSE)</f>
        <v>0</v>
      </c>
      <c r="Z544" s="47">
        <f ca="1">VLOOKUP($C544,OFFSET(quests!$A$1,0,0,COUNTA(quests!$A:$A),MATCH(Z$2,quests!$1:$1,0)-MATCH($C$2,quests!$1:$1,0)+1),MATCH(Z$2,quests!$1:$1,0)-MATCH($C$2,quests!$1:$1,0)+1,FALSE)</f>
        <v>0</v>
      </c>
      <c r="AA544" s="47">
        <f ca="1">VLOOKUP($C544,OFFSET(quests!$A$1,0,0,COUNTA(quests!$A:$A),MATCH(AA$2,quests!$1:$1,0)-MATCH($C$2,quests!$1:$1,0)+1),MATCH(AA$2,quests!$1:$1,0)-MATCH($C$2,quests!$1:$1,0)+1,FALSE)</f>
        <v>0</v>
      </c>
      <c r="AB544" s="7" t="s">
        <v>56</v>
      </c>
      <c r="AC544" s="7">
        <v>9</v>
      </c>
      <c r="AD544" s="7">
        <v>6</v>
      </c>
      <c r="AE544" s="7" t="s">
        <v>519</v>
      </c>
      <c r="AF544" s="255">
        <v>16</v>
      </c>
      <c r="AG544" s="7">
        <v>0</v>
      </c>
      <c r="AH544" s="7">
        <v>0</v>
      </c>
      <c r="AI544" s="7">
        <v>-1</v>
      </c>
      <c r="AJ544" s="7">
        <v>-1</v>
      </c>
      <c r="AK544" s="7" t="s">
        <v>1064</v>
      </c>
      <c r="AL544" s="12" t="s">
        <v>1695</v>
      </c>
      <c r="AM544" s="12" t="s">
        <v>2072</v>
      </c>
    </row>
    <row r="545" spans="1:39" ht="21" customHeight="1" x14ac:dyDescent="0.15">
      <c r="A545" s="42" t="str">
        <f t="shared" si="21"/>
        <v>30007_2</v>
      </c>
      <c r="B545" s="23">
        <v>3</v>
      </c>
      <c r="C545" s="31">
        <v>30007</v>
      </c>
      <c r="D545" s="47" t="str">
        <f ca="1">VLOOKUP($C545,OFFSET(quests!$A$1,0,0,COUNTA(quests!$A:$A),MATCH(D$1,quests!$1:$1,0)-MATCH($C$2,quests!$1:$1,0)+1),MATCH(D$1,quests!$1:$1,0)-MATCH($C$2,quests!$1:$1,0)+1,FALSE)</f>
        <v>ガラスの靴は私のもの</v>
      </c>
      <c r="E545" s="48" t="str">
        <f ca="1">VLOOKUP($C545,OFFSET(quests!$A$1,0,0,COUNTA(quests!$A:$A),MATCH(E$2,quests!$1:$1,0)-MATCH($C$2,quests!$1:$1,0)+1),MATCH(E$2,quests!$1:$1,0)-MATCH($C$2,quests!$1:$1,0)+1,FALSE)</f>
        <v>ドロップイベント2-2（マルチ専用）</v>
      </c>
      <c r="F545" s="7">
        <v>2</v>
      </c>
      <c r="G545" s="7" t="s">
        <v>570</v>
      </c>
      <c r="H545" s="12" t="s">
        <v>751</v>
      </c>
      <c r="I545" s="12" t="s">
        <v>60</v>
      </c>
      <c r="J545" s="12">
        <v>292</v>
      </c>
      <c r="K545" s="194">
        <v>20</v>
      </c>
      <c r="L545" s="195">
        <v>2000</v>
      </c>
      <c r="M545" s="167">
        <v>1</v>
      </c>
      <c r="N545" s="167">
        <v>1</v>
      </c>
      <c r="O545" s="167">
        <v>1</v>
      </c>
      <c r="P545" s="167">
        <v>1</v>
      </c>
      <c r="Q545" s="167">
        <v>1</v>
      </c>
      <c r="R545" s="167">
        <v>3</v>
      </c>
      <c r="S545" s="167" t="s">
        <v>79</v>
      </c>
      <c r="T545" s="167">
        <v>0</v>
      </c>
      <c r="U545" s="7" t="s">
        <v>169</v>
      </c>
      <c r="V545" s="7" t="s">
        <v>169</v>
      </c>
      <c r="W545" s="47" t="str">
        <f t="shared" ca="1" si="22"/>
        <v/>
      </c>
      <c r="X545" s="47">
        <f ca="1">VLOOKUP($C545,OFFSET(quests!$A$1,0,0,COUNTA(quests!$A:$A),MATCH(X$2,quests!$1:$1,0)-MATCH($C$2,quests!$1:$1,0)+1),MATCH(X$2,quests!$1:$1,0)-MATCH($C$2,quests!$1:$1,0)+1,FALSE)</f>
        <v>0</v>
      </c>
      <c r="Y545" s="47">
        <f ca="1">VLOOKUP($C545,OFFSET(quests!$A$1,0,0,COUNTA(quests!$A:$A),MATCH(Y$2,quests!$1:$1,0)-MATCH($C$2,quests!$1:$1,0)+1),MATCH(Y$2,quests!$1:$1,0)-MATCH($C$2,quests!$1:$1,0)+1,FALSE)</f>
        <v>0</v>
      </c>
      <c r="Z545" s="47">
        <f ca="1">VLOOKUP($C545,OFFSET(quests!$A$1,0,0,COUNTA(quests!$A:$A),MATCH(Z$2,quests!$1:$1,0)-MATCH($C$2,quests!$1:$1,0)+1),MATCH(Z$2,quests!$1:$1,0)-MATCH($C$2,quests!$1:$1,0)+1,FALSE)</f>
        <v>0</v>
      </c>
      <c r="AA545" s="47">
        <f ca="1">VLOOKUP($C545,OFFSET(quests!$A$1,0,0,COUNTA(quests!$A:$A),MATCH(AA$2,quests!$1:$1,0)-MATCH($C$2,quests!$1:$1,0)+1),MATCH(AA$2,quests!$1:$1,0)-MATCH($C$2,quests!$1:$1,0)+1,FALSE)</f>
        <v>0</v>
      </c>
      <c r="AB545" s="7" t="s">
        <v>56</v>
      </c>
      <c r="AC545" s="7">
        <v>9</v>
      </c>
      <c r="AD545" s="7">
        <v>6</v>
      </c>
      <c r="AE545" s="7" t="s">
        <v>519</v>
      </c>
      <c r="AF545" s="255">
        <v>16</v>
      </c>
      <c r="AG545" s="7">
        <v>0</v>
      </c>
      <c r="AH545" s="7">
        <v>0</v>
      </c>
      <c r="AI545" s="7">
        <v>-1</v>
      </c>
      <c r="AJ545" s="7">
        <v>-1</v>
      </c>
      <c r="AK545" s="7" t="s">
        <v>1064</v>
      </c>
      <c r="AL545" s="12" t="s">
        <v>1695</v>
      </c>
      <c r="AM545" s="12" t="s">
        <v>2072</v>
      </c>
    </row>
    <row r="546" spans="1:39" ht="21" customHeight="1" x14ac:dyDescent="0.15">
      <c r="A546" s="42" t="str">
        <f t="shared" si="21"/>
        <v>30007_3</v>
      </c>
      <c r="B546" s="23">
        <v>3</v>
      </c>
      <c r="C546" s="31">
        <v>30007</v>
      </c>
      <c r="D546" s="47" t="str">
        <f ca="1">VLOOKUP($C546,OFFSET(quests!$A$1,0,0,COUNTA(quests!$A:$A),MATCH(D$1,quests!$1:$1,0)-MATCH($C$2,quests!$1:$1,0)+1),MATCH(D$1,quests!$1:$1,0)-MATCH($C$2,quests!$1:$1,0)+1,FALSE)</f>
        <v>ガラスの靴は私のもの</v>
      </c>
      <c r="E546" s="48" t="str">
        <f ca="1">VLOOKUP($C546,OFFSET(quests!$A$1,0,0,COUNTA(quests!$A:$A),MATCH(E$2,quests!$1:$1,0)-MATCH($C$2,quests!$1:$1,0)+1),MATCH(E$2,quests!$1:$1,0)-MATCH($C$2,quests!$1:$1,0)+1,FALSE)</f>
        <v>ドロップイベント2-2（マルチ専用）</v>
      </c>
      <c r="F546" s="7">
        <v>3</v>
      </c>
      <c r="G546" s="7" t="s">
        <v>570</v>
      </c>
      <c r="H546" s="12" t="s">
        <v>797</v>
      </c>
      <c r="I546" s="12" t="s">
        <v>383</v>
      </c>
      <c r="J546" s="12">
        <v>293</v>
      </c>
      <c r="K546" s="194">
        <v>30</v>
      </c>
      <c r="L546" s="195">
        <v>3300</v>
      </c>
      <c r="M546" s="167">
        <v>1</v>
      </c>
      <c r="N546" s="167">
        <v>1</v>
      </c>
      <c r="O546" s="167">
        <v>1</v>
      </c>
      <c r="P546" s="167">
        <v>1</v>
      </c>
      <c r="Q546" s="167">
        <v>1</v>
      </c>
      <c r="R546" s="167">
        <v>3</v>
      </c>
      <c r="S546" s="167" t="s">
        <v>407</v>
      </c>
      <c r="T546" s="167">
        <v>1</v>
      </c>
      <c r="U546" s="7" t="s">
        <v>169</v>
      </c>
      <c r="V546" s="7" t="s">
        <v>169</v>
      </c>
      <c r="W546" s="47" t="str">
        <f t="shared" ca="1" si="22"/>
        <v/>
      </c>
      <c r="X546" s="47">
        <f ca="1">VLOOKUP($C546,OFFSET(quests!$A$1,0,0,COUNTA(quests!$A:$A),MATCH(X$2,quests!$1:$1,0)-MATCH($C$2,quests!$1:$1,0)+1),MATCH(X$2,quests!$1:$1,0)-MATCH($C$2,quests!$1:$1,0)+1,FALSE)</f>
        <v>0</v>
      </c>
      <c r="Y546" s="47">
        <f ca="1">VLOOKUP($C546,OFFSET(quests!$A$1,0,0,COUNTA(quests!$A:$A),MATCH(Y$2,quests!$1:$1,0)-MATCH($C$2,quests!$1:$1,0)+1),MATCH(Y$2,quests!$1:$1,0)-MATCH($C$2,quests!$1:$1,0)+1,FALSE)</f>
        <v>0</v>
      </c>
      <c r="Z546" s="47">
        <f ca="1">VLOOKUP($C546,OFFSET(quests!$A$1,0,0,COUNTA(quests!$A:$A),MATCH(Z$2,quests!$1:$1,0)-MATCH($C$2,quests!$1:$1,0)+1),MATCH(Z$2,quests!$1:$1,0)-MATCH($C$2,quests!$1:$1,0)+1,FALSE)</f>
        <v>0</v>
      </c>
      <c r="AA546" s="47">
        <f ca="1">VLOOKUP($C546,OFFSET(quests!$A$1,0,0,COUNTA(quests!$A:$A),MATCH(AA$2,quests!$1:$1,0)-MATCH($C$2,quests!$1:$1,0)+1),MATCH(AA$2,quests!$1:$1,0)-MATCH($C$2,quests!$1:$1,0)+1,FALSE)</f>
        <v>0</v>
      </c>
      <c r="AB546" s="7" t="s">
        <v>56</v>
      </c>
      <c r="AC546" s="7">
        <v>9</v>
      </c>
      <c r="AD546" s="7">
        <v>6</v>
      </c>
      <c r="AE546" s="7" t="s">
        <v>519</v>
      </c>
      <c r="AF546" s="255">
        <v>16</v>
      </c>
      <c r="AG546" s="7">
        <v>0</v>
      </c>
      <c r="AH546" s="7">
        <v>0</v>
      </c>
      <c r="AI546" s="7">
        <v>-1</v>
      </c>
      <c r="AJ546" s="7">
        <v>-1</v>
      </c>
      <c r="AK546" s="7" t="s">
        <v>1065</v>
      </c>
      <c r="AL546" s="12" t="s">
        <v>1695</v>
      </c>
      <c r="AM546" s="12" t="s">
        <v>2072</v>
      </c>
    </row>
    <row r="547" spans="1:39" s="143" customFormat="1" ht="21" customHeight="1" x14ac:dyDescent="0.15">
      <c r="A547" s="42" t="str">
        <f t="shared" si="21"/>
        <v>30008_1</v>
      </c>
      <c r="B547" s="23">
        <v>3</v>
      </c>
      <c r="C547" s="31">
        <v>30008</v>
      </c>
      <c r="D547" s="47" t="str">
        <f ca="1">VLOOKUP($C547,OFFSET(quests!$A$1,0,0,COUNTA(quests!$A:$A),MATCH(D$1,quests!$1:$1,0)-MATCH($C$2,quests!$1:$1,0)+1),MATCH(D$1,quests!$1:$1,0)-MATCH($C$2,quests!$1:$1,0)+1,FALSE)</f>
        <v>わたしの嫁を返してもらおう</v>
      </c>
      <c r="E547" s="48" t="str">
        <f ca="1">VLOOKUP($C547,OFFSET(quests!$A$1,0,0,COUNTA(quests!$A:$A),MATCH(E$2,quests!$1:$1,0)-MATCH($C$2,quests!$1:$1,0)+1),MATCH(E$2,quests!$1:$1,0)-MATCH($C$2,quests!$1:$1,0)+1,FALSE)</f>
        <v>ドロップイベント2-4（マルチ専用）</v>
      </c>
      <c r="F547" s="7">
        <v>1</v>
      </c>
      <c r="G547" s="7" t="s">
        <v>570</v>
      </c>
      <c r="H547" s="12" t="s">
        <v>752</v>
      </c>
      <c r="I547" s="12" t="s">
        <v>59</v>
      </c>
      <c r="J547" s="12">
        <v>288</v>
      </c>
      <c r="K547" s="192">
        <v>15</v>
      </c>
      <c r="L547" s="193">
        <v>1200</v>
      </c>
      <c r="M547" s="167">
        <v>1</v>
      </c>
      <c r="N547" s="167">
        <v>1</v>
      </c>
      <c r="O547" s="167">
        <v>1</v>
      </c>
      <c r="P547" s="167">
        <v>1</v>
      </c>
      <c r="Q547" s="167">
        <v>1</v>
      </c>
      <c r="R547" s="167">
        <v>3</v>
      </c>
      <c r="S547" s="167" t="s">
        <v>79</v>
      </c>
      <c r="T547" s="167">
        <v>0</v>
      </c>
      <c r="U547" s="7" t="s">
        <v>169</v>
      </c>
      <c r="V547" s="7" t="s">
        <v>169</v>
      </c>
      <c r="W547" s="47" t="str">
        <f t="shared" ca="1" si="22"/>
        <v/>
      </c>
      <c r="X547" s="47">
        <f ca="1">VLOOKUP($C547,OFFSET(quests!$A$1,0,0,COUNTA(quests!$A:$A),MATCH(X$2,quests!$1:$1,0)-MATCH($C$2,quests!$1:$1,0)+1),MATCH(X$2,quests!$1:$1,0)-MATCH($C$2,quests!$1:$1,0)+1,FALSE)</f>
        <v>0</v>
      </c>
      <c r="Y547" s="47">
        <f ca="1">VLOOKUP($C547,OFFSET(quests!$A$1,0,0,COUNTA(quests!$A:$A),MATCH(Y$2,quests!$1:$1,0)-MATCH($C$2,quests!$1:$1,0)+1),MATCH(Y$2,quests!$1:$1,0)-MATCH($C$2,quests!$1:$1,0)+1,FALSE)</f>
        <v>0</v>
      </c>
      <c r="Z547" s="47">
        <f ca="1">VLOOKUP($C547,OFFSET(quests!$A$1,0,0,COUNTA(quests!$A:$A),MATCH(Z$2,quests!$1:$1,0)-MATCH($C$2,quests!$1:$1,0)+1),MATCH(Z$2,quests!$1:$1,0)-MATCH($C$2,quests!$1:$1,0)+1,FALSE)</f>
        <v>0</v>
      </c>
      <c r="AA547" s="47">
        <f ca="1">VLOOKUP($C547,OFFSET(quests!$A$1,0,0,COUNTA(quests!$A:$A),MATCH(AA$2,quests!$1:$1,0)-MATCH($C$2,quests!$1:$1,0)+1),MATCH(AA$2,quests!$1:$1,0)-MATCH($C$2,quests!$1:$1,0)+1,FALSE)</f>
        <v>0</v>
      </c>
      <c r="AB547" s="7" t="s">
        <v>56</v>
      </c>
      <c r="AC547" s="7">
        <v>22</v>
      </c>
      <c r="AD547" s="7">
        <v>6</v>
      </c>
      <c r="AE547" s="7" t="s">
        <v>519</v>
      </c>
      <c r="AF547" s="33">
        <v>11</v>
      </c>
      <c r="AG547" s="7">
        <v>0</v>
      </c>
      <c r="AH547" s="7">
        <v>0</v>
      </c>
      <c r="AI547" s="7">
        <v>-1</v>
      </c>
      <c r="AJ547" s="7">
        <v>-1</v>
      </c>
      <c r="AK547" s="7" t="s">
        <v>1064</v>
      </c>
      <c r="AL547" s="12" t="s">
        <v>1695</v>
      </c>
      <c r="AM547" s="12" t="s">
        <v>2072</v>
      </c>
    </row>
    <row r="548" spans="1:39" ht="21" customHeight="1" x14ac:dyDescent="0.15">
      <c r="A548" s="42" t="str">
        <f t="shared" si="21"/>
        <v>30008_2</v>
      </c>
      <c r="B548" s="23">
        <v>3</v>
      </c>
      <c r="C548" s="31">
        <v>30008</v>
      </c>
      <c r="D548" s="47" t="str">
        <f ca="1">VLOOKUP($C548,OFFSET(quests!$A$1,0,0,COUNTA(quests!$A:$A),MATCH(D$1,quests!$1:$1,0)-MATCH($C$2,quests!$1:$1,0)+1),MATCH(D$1,quests!$1:$1,0)-MATCH($C$2,quests!$1:$1,0)+1,FALSE)</f>
        <v>わたしの嫁を返してもらおう</v>
      </c>
      <c r="E548" s="48" t="str">
        <f ca="1">VLOOKUP($C548,OFFSET(quests!$A$1,0,0,COUNTA(quests!$A:$A),MATCH(E$2,quests!$1:$1,0)-MATCH($C$2,quests!$1:$1,0)+1),MATCH(E$2,quests!$1:$1,0)-MATCH($C$2,quests!$1:$1,0)+1,FALSE)</f>
        <v>ドロップイベント2-4（マルチ専用）</v>
      </c>
      <c r="F548" s="7">
        <v>2</v>
      </c>
      <c r="G548" s="7" t="s">
        <v>570</v>
      </c>
      <c r="H548" s="12" t="s">
        <v>753</v>
      </c>
      <c r="I548" s="12" t="s">
        <v>60</v>
      </c>
      <c r="J548" s="12">
        <v>288</v>
      </c>
      <c r="K548" s="194">
        <v>20</v>
      </c>
      <c r="L548" s="195">
        <v>2000</v>
      </c>
      <c r="M548" s="167">
        <v>1</v>
      </c>
      <c r="N548" s="167">
        <v>1</v>
      </c>
      <c r="O548" s="167">
        <v>1</v>
      </c>
      <c r="P548" s="167">
        <v>1</v>
      </c>
      <c r="Q548" s="167">
        <v>1</v>
      </c>
      <c r="R548" s="167">
        <v>3</v>
      </c>
      <c r="S548" s="167" t="s">
        <v>79</v>
      </c>
      <c r="T548" s="167">
        <v>0</v>
      </c>
      <c r="U548" s="7" t="s">
        <v>169</v>
      </c>
      <c r="V548" s="7" t="s">
        <v>169</v>
      </c>
      <c r="W548" s="47" t="str">
        <f t="shared" ca="1" si="22"/>
        <v/>
      </c>
      <c r="X548" s="47">
        <f ca="1">VLOOKUP($C548,OFFSET(quests!$A$1,0,0,COUNTA(quests!$A:$A),MATCH(X$2,quests!$1:$1,0)-MATCH($C$2,quests!$1:$1,0)+1),MATCH(X$2,quests!$1:$1,0)-MATCH($C$2,quests!$1:$1,0)+1,FALSE)</f>
        <v>0</v>
      </c>
      <c r="Y548" s="47">
        <f ca="1">VLOOKUP($C548,OFFSET(quests!$A$1,0,0,COUNTA(quests!$A:$A),MATCH(Y$2,quests!$1:$1,0)-MATCH($C$2,quests!$1:$1,0)+1),MATCH(Y$2,quests!$1:$1,0)-MATCH($C$2,quests!$1:$1,0)+1,FALSE)</f>
        <v>0</v>
      </c>
      <c r="Z548" s="47">
        <f ca="1">VLOOKUP($C548,OFFSET(quests!$A$1,0,0,COUNTA(quests!$A:$A),MATCH(Z$2,quests!$1:$1,0)-MATCH($C$2,quests!$1:$1,0)+1),MATCH(Z$2,quests!$1:$1,0)-MATCH($C$2,quests!$1:$1,0)+1,FALSE)</f>
        <v>0</v>
      </c>
      <c r="AA548" s="47">
        <f ca="1">VLOOKUP($C548,OFFSET(quests!$A$1,0,0,COUNTA(quests!$A:$A),MATCH(AA$2,quests!$1:$1,0)-MATCH($C$2,quests!$1:$1,0)+1),MATCH(AA$2,quests!$1:$1,0)-MATCH($C$2,quests!$1:$1,0)+1,FALSE)</f>
        <v>0</v>
      </c>
      <c r="AB548" s="7" t="s">
        <v>56</v>
      </c>
      <c r="AC548" s="7">
        <v>22</v>
      </c>
      <c r="AD548" s="7">
        <v>6</v>
      </c>
      <c r="AE548" s="7" t="s">
        <v>519</v>
      </c>
      <c r="AF548" s="33">
        <v>11</v>
      </c>
      <c r="AG548" s="7">
        <v>0</v>
      </c>
      <c r="AH548" s="7">
        <v>0</v>
      </c>
      <c r="AI548" s="7">
        <v>-1</v>
      </c>
      <c r="AJ548" s="7">
        <v>-1</v>
      </c>
      <c r="AK548" s="7" t="s">
        <v>1064</v>
      </c>
      <c r="AL548" s="12" t="s">
        <v>1695</v>
      </c>
      <c r="AM548" s="12" t="s">
        <v>2072</v>
      </c>
    </row>
    <row r="549" spans="1:39" ht="21" customHeight="1" x14ac:dyDescent="0.15">
      <c r="A549" s="42" t="str">
        <f t="shared" si="21"/>
        <v>30008_3</v>
      </c>
      <c r="B549" s="23">
        <v>3</v>
      </c>
      <c r="C549" s="31">
        <v>30008</v>
      </c>
      <c r="D549" s="47" t="str">
        <f ca="1">VLOOKUP($C549,OFFSET(quests!$A$1,0,0,COUNTA(quests!$A:$A),MATCH(D$1,quests!$1:$1,0)-MATCH($C$2,quests!$1:$1,0)+1),MATCH(D$1,quests!$1:$1,0)-MATCH($C$2,quests!$1:$1,0)+1,FALSE)</f>
        <v>わたしの嫁を返してもらおう</v>
      </c>
      <c r="E549" s="48" t="str">
        <f ca="1">VLOOKUP($C549,OFFSET(quests!$A$1,0,0,COUNTA(quests!$A:$A),MATCH(E$2,quests!$1:$1,0)-MATCH($C$2,quests!$1:$1,0)+1),MATCH(E$2,quests!$1:$1,0)-MATCH($C$2,quests!$1:$1,0)+1,FALSE)</f>
        <v>ドロップイベント2-4（マルチ専用）</v>
      </c>
      <c r="F549" s="7">
        <v>3</v>
      </c>
      <c r="G549" s="7" t="s">
        <v>570</v>
      </c>
      <c r="H549" s="12" t="s">
        <v>754</v>
      </c>
      <c r="I549" s="12" t="s">
        <v>383</v>
      </c>
      <c r="J549" s="12">
        <v>289</v>
      </c>
      <c r="K549" s="194">
        <v>30</v>
      </c>
      <c r="L549" s="195">
        <v>3300</v>
      </c>
      <c r="M549" s="167">
        <v>1</v>
      </c>
      <c r="N549" s="167">
        <v>1</v>
      </c>
      <c r="O549" s="167">
        <v>1</v>
      </c>
      <c r="P549" s="167">
        <v>1</v>
      </c>
      <c r="Q549" s="167">
        <v>1</v>
      </c>
      <c r="R549" s="167">
        <v>3</v>
      </c>
      <c r="S549" s="167" t="s">
        <v>407</v>
      </c>
      <c r="T549" s="167">
        <v>1</v>
      </c>
      <c r="U549" s="7" t="s">
        <v>169</v>
      </c>
      <c r="V549" s="7" t="s">
        <v>169</v>
      </c>
      <c r="W549" s="47" t="str">
        <f t="shared" ca="1" si="22"/>
        <v/>
      </c>
      <c r="X549" s="47">
        <f ca="1">VLOOKUP($C549,OFFSET(quests!$A$1,0,0,COUNTA(quests!$A:$A),MATCH(X$2,quests!$1:$1,0)-MATCH($C$2,quests!$1:$1,0)+1),MATCH(X$2,quests!$1:$1,0)-MATCH($C$2,quests!$1:$1,0)+1,FALSE)</f>
        <v>0</v>
      </c>
      <c r="Y549" s="47">
        <f ca="1">VLOOKUP($C549,OFFSET(quests!$A$1,0,0,COUNTA(quests!$A:$A),MATCH(Y$2,quests!$1:$1,0)-MATCH($C$2,quests!$1:$1,0)+1),MATCH(Y$2,quests!$1:$1,0)-MATCH($C$2,quests!$1:$1,0)+1,FALSE)</f>
        <v>0</v>
      </c>
      <c r="Z549" s="47">
        <f ca="1">VLOOKUP($C549,OFFSET(quests!$A$1,0,0,COUNTA(quests!$A:$A),MATCH(Z$2,quests!$1:$1,0)-MATCH($C$2,quests!$1:$1,0)+1),MATCH(Z$2,quests!$1:$1,0)-MATCH($C$2,quests!$1:$1,0)+1,FALSE)</f>
        <v>0</v>
      </c>
      <c r="AA549" s="47">
        <f ca="1">VLOOKUP($C549,OFFSET(quests!$A$1,0,0,COUNTA(quests!$A:$A),MATCH(AA$2,quests!$1:$1,0)-MATCH($C$2,quests!$1:$1,0)+1),MATCH(AA$2,quests!$1:$1,0)-MATCH($C$2,quests!$1:$1,0)+1,FALSE)</f>
        <v>0</v>
      </c>
      <c r="AB549" s="7" t="s">
        <v>56</v>
      </c>
      <c r="AC549" s="7">
        <v>22</v>
      </c>
      <c r="AD549" s="7">
        <v>6</v>
      </c>
      <c r="AE549" s="7" t="s">
        <v>519</v>
      </c>
      <c r="AF549" s="33">
        <v>11</v>
      </c>
      <c r="AG549" s="7">
        <v>0</v>
      </c>
      <c r="AH549" s="7">
        <v>0</v>
      </c>
      <c r="AI549" s="7">
        <v>-1</v>
      </c>
      <c r="AJ549" s="7">
        <v>-1</v>
      </c>
      <c r="AK549" s="7" t="s">
        <v>1065</v>
      </c>
      <c r="AL549" s="12" t="s">
        <v>1695</v>
      </c>
      <c r="AM549" s="12" t="s">
        <v>2072</v>
      </c>
    </row>
    <row r="550" spans="1:39" ht="21" customHeight="1" x14ac:dyDescent="0.15">
      <c r="A550" s="138" t="str">
        <f t="shared" si="21"/>
        <v>30009_3</v>
      </c>
      <c r="B550" s="139">
        <v>0</v>
      </c>
      <c r="C550" s="198">
        <v>30009</v>
      </c>
      <c r="D550" s="140" t="str">
        <f ca="1">VLOOKUP($C550,OFFSET(quests!$A$1,0,0,COUNTA(quests!$A:$A),MATCH(D$1,quests!$1:$1,0)-MATCH($C$2,quests!$1:$1,0)+1),MATCH(D$1,quests!$1:$1,0)-MATCH($C$2,quests!$1:$1,0)+1,FALSE)</f>
        <v>復活の捕食者</v>
      </c>
      <c r="E550" s="141" t="str">
        <f ca="1">VLOOKUP($C550,OFFSET(quests!$A$1,0,0,COUNTA(quests!$A:$A),MATCH(E$2,quests!$1:$1,0)-MATCH($C$2,quests!$1:$1,0)+1),MATCH(E$2,quests!$1:$1,0)-MATCH($C$2,quests!$1:$1,0)+1,FALSE)</f>
        <v>ドロップイベント3（マルチ専用）</v>
      </c>
      <c r="F550" s="142">
        <v>3</v>
      </c>
      <c r="G550" s="142" t="s">
        <v>570</v>
      </c>
      <c r="H550" s="139" t="s">
        <v>755</v>
      </c>
      <c r="I550" s="139" t="s">
        <v>60</v>
      </c>
      <c r="J550" s="139">
        <v>312</v>
      </c>
      <c r="K550" s="261">
        <v>20</v>
      </c>
      <c r="L550" s="262">
        <v>2000</v>
      </c>
      <c r="M550" s="142">
        <v>1</v>
      </c>
      <c r="N550" s="142">
        <v>1</v>
      </c>
      <c r="O550" s="142">
        <v>1</v>
      </c>
      <c r="P550" s="142">
        <v>1</v>
      </c>
      <c r="Q550" s="142">
        <v>1</v>
      </c>
      <c r="R550" s="142">
        <v>2</v>
      </c>
      <c r="S550" s="142" t="s">
        <v>79</v>
      </c>
      <c r="T550" s="142">
        <v>0</v>
      </c>
      <c r="U550" s="142" t="s">
        <v>169</v>
      </c>
      <c r="V550" s="142" t="s">
        <v>169</v>
      </c>
      <c r="W550" s="140" t="str">
        <f t="shared" ca="1" si="22"/>
        <v/>
      </c>
      <c r="X550" s="140">
        <f ca="1">VLOOKUP($C550,OFFSET(quests!$A$1,0,0,COUNTA(quests!$A:$A),MATCH(X$2,quests!$1:$1,0)-MATCH($C$2,quests!$1:$1,0)+1),MATCH(X$2,quests!$1:$1,0)-MATCH($C$2,quests!$1:$1,0)+1,FALSE)</f>
        <v>0</v>
      </c>
      <c r="Y550" s="140">
        <f ca="1">VLOOKUP($C550,OFFSET(quests!$A$1,0,0,COUNTA(quests!$A:$A),MATCH(Y$2,quests!$1:$1,0)-MATCH($C$2,quests!$1:$1,0)+1),MATCH(Y$2,quests!$1:$1,0)-MATCH($C$2,quests!$1:$1,0)+1,FALSE)</f>
        <v>0</v>
      </c>
      <c r="Z550" s="140">
        <f ca="1">VLOOKUP($C550,OFFSET(quests!$A$1,0,0,COUNTA(quests!$A:$A),MATCH(Z$2,quests!$1:$1,0)-MATCH($C$2,quests!$1:$1,0)+1),MATCH(Z$2,quests!$1:$1,0)-MATCH($C$2,quests!$1:$1,0)+1,FALSE)</f>
        <v>0</v>
      </c>
      <c r="AA550" s="140">
        <f ca="1">VLOOKUP($C550,OFFSET(quests!$A$1,0,0,COUNTA(quests!$A:$A),MATCH(AA$2,quests!$1:$1,0)-MATCH($C$2,quests!$1:$1,0)+1),MATCH(AA$2,quests!$1:$1,0)-MATCH($C$2,quests!$1:$1,0)+1,FALSE)</f>
        <v>0</v>
      </c>
      <c r="AB550" s="142" t="s">
        <v>56</v>
      </c>
      <c r="AC550" s="142">
        <v>8</v>
      </c>
      <c r="AD550" s="142">
        <v>6</v>
      </c>
      <c r="AE550" s="142" t="s">
        <v>519</v>
      </c>
      <c r="AF550" s="96">
        <v>17</v>
      </c>
      <c r="AG550" s="142">
        <v>0</v>
      </c>
      <c r="AH550" s="142">
        <v>0</v>
      </c>
      <c r="AI550" s="142">
        <v>-1</v>
      </c>
      <c r="AJ550" s="142">
        <v>-1</v>
      </c>
      <c r="AK550" s="7" t="s">
        <v>1064</v>
      </c>
      <c r="AL550" s="12" t="s">
        <v>1695</v>
      </c>
      <c r="AM550" s="12" t="s">
        <v>2072</v>
      </c>
    </row>
    <row r="551" spans="1:39" ht="21" customHeight="1" x14ac:dyDescent="0.15">
      <c r="A551" s="42" t="str">
        <f t="shared" si="21"/>
        <v>30009_1</v>
      </c>
      <c r="B551" s="23">
        <v>3</v>
      </c>
      <c r="C551" s="31">
        <v>30009</v>
      </c>
      <c r="D551" s="47" t="str">
        <f ca="1">VLOOKUP($C551,OFFSET(quests!$A$1,0,0,COUNTA(quests!$A:$A),MATCH(D$1,quests!$1:$1,0)-MATCH($C$2,quests!$1:$1,0)+1),MATCH(D$1,quests!$1:$1,0)-MATCH($C$2,quests!$1:$1,0)+1,FALSE)</f>
        <v>復活の捕食者</v>
      </c>
      <c r="E551" s="48" t="str">
        <f ca="1">VLOOKUP($C551,OFFSET(quests!$A$1,0,0,COUNTA(quests!$A:$A),MATCH(E$2,quests!$1:$1,0)-MATCH($C$2,quests!$1:$1,0)+1),MATCH(E$2,quests!$1:$1,0)-MATCH($C$2,quests!$1:$1,0)+1,FALSE)</f>
        <v>ドロップイベント3（マルチ専用）</v>
      </c>
      <c r="F551" s="7">
        <v>1</v>
      </c>
      <c r="G551" s="7" t="s">
        <v>570</v>
      </c>
      <c r="H551" s="12" t="s">
        <v>798</v>
      </c>
      <c r="I551" s="12" t="s">
        <v>383</v>
      </c>
      <c r="J551" s="12">
        <v>312</v>
      </c>
      <c r="K551" s="194">
        <v>30</v>
      </c>
      <c r="L551" s="195">
        <v>3300</v>
      </c>
      <c r="M551" s="167">
        <v>1</v>
      </c>
      <c r="N551" s="167">
        <v>1</v>
      </c>
      <c r="O551" s="167">
        <v>1</v>
      </c>
      <c r="P551" s="167">
        <v>1</v>
      </c>
      <c r="Q551" s="167">
        <v>1</v>
      </c>
      <c r="R551" s="167">
        <v>2</v>
      </c>
      <c r="S551" s="167" t="s">
        <v>79</v>
      </c>
      <c r="T551" s="167">
        <v>0</v>
      </c>
      <c r="U551" s="7" t="s">
        <v>169</v>
      </c>
      <c r="V551" s="7" t="s">
        <v>169</v>
      </c>
      <c r="W551" s="47" t="str">
        <f t="shared" ca="1" si="22"/>
        <v/>
      </c>
      <c r="X551" s="47">
        <f ca="1">VLOOKUP($C551,OFFSET(quests!$A$1,0,0,COUNTA(quests!$A:$A),MATCH(X$2,quests!$1:$1,0)-MATCH($C$2,quests!$1:$1,0)+1),MATCH(X$2,quests!$1:$1,0)-MATCH($C$2,quests!$1:$1,0)+1,FALSE)</f>
        <v>0</v>
      </c>
      <c r="Y551" s="47">
        <f ca="1">VLOOKUP($C551,OFFSET(quests!$A$1,0,0,COUNTA(quests!$A:$A),MATCH(Y$2,quests!$1:$1,0)-MATCH($C$2,quests!$1:$1,0)+1),MATCH(Y$2,quests!$1:$1,0)-MATCH($C$2,quests!$1:$1,0)+1,FALSE)</f>
        <v>0</v>
      </c>
      <c r="Z551" s="47">
        <f ca="1">VLOOKUP($C551,OFFSET(quests!$A$1,0,0,COUNTA(quests!$A:$A),MATCH(Z$2,quests!$1:$1,0)-MATCH($C$2,quests!$1:$1,0)+1),MATCH(Z$2,quests!$1:$1,0)-MATCH($C$2,quests!$1:$1,0)+1,FALSE)</f>
        <v>0</v>
      </c>
      <c r="AA551" s="47">
        <f ca="1">VLOOKUP($C551,OFFSET(quests!$A$1,0,0,COUNTA(quests!$A:$A),MATCH(AA$2,quests!$1:$1,0)-MATCH($C$2,quests!$1:$1,0)+1),MATCH(AA$2,quests!$1:$1,0)-MATCH($C$2,quests!$1:$1,0)+1,FALSE)</f>
        <v>0</v>
      </c>
      <c r="AB551" s="7" t="s">
        <v>56</v>
      </c>
      <c r="AC551" s="7">
        <v>8</v>
      </c>
      <c r="AD551" s="7">
        <v>6</v>
      </c>
      <c r="AE551" s="7" t="s">
        <v>519</v>
      </c>
      <c r="AF551" s="96">
        <v>17</v>
      </c>
      <c r="AG551" s="7">
        <v>0</v>
      </c>
      <c r="AH551" s="7">
        <v>0</v>
      </c>
      <c r="AI551" s="7">
        <v>-1</v>
      </c>
      <c r="AJ551" s="7">
        <v>-1</v>
      </c>
      <c r="AK551" s="7" t="s">
        <v>1065</v>
      </c>
      <c r="AL551" s="12" t="s">
        <v>1695</v>
      </c>
      <c r="AM551" s="12" t="s">
        <v>2072</v>
      </c>
    </row>
    <row r="552" spans="1:39" ht="21" customHeight="1" x14ac:dyDescent="0.15">
      <c r="A552" s="42" t="str">
        <f t="shared" si="21"/>
        <v>30009_2</v>
      </c>
      <c r="B552" s="23">
        <v>3</v>
      </c>
      <c r="C552" s="31">
        <v>30009</v>
      </c>
      <c r="D552" s="47" t="str">
        <f ca="1">VLOOKUP($C552,OFFSET(quests!$A$1,0,0,COUNTA(quests!$A:$A),MATCH(D$1,quests!$1:$1,0)-MATCH($C$2,quests!$1:$1,0)+1),MATCH(D$1,quests!$1:$1,0)-MATCH($C$2,quests!$1:$1,0)+1,FALSE)</f>
        <v>復活の捕食者</v>
      </c>
      <c r="E552" s="48" t="str">
        <f ca="1">VLOOKUP($C552,OFFSET(quests!$A$1,0,0,COUNTA(quests!$A:$A),MATCH(E$2,quests!$1:$1,0)-MATCH($C$2,quests!$1:$1,0)+1),MATCH(E$2,quests!$1:$1,0)-MATCH($C$2,quests!$1:$1,0)+1,FALSE)</f>
        <v>ドロップイベント3（マルチ専用）</v>
      </c>
      <c r="F552" s="7">
        <v>2</v>
      </c>
      <c r="G552" s="7" t="s">
        <v>570</v>
      </c>
      <c r="H552" s="12" t="s">
        <v>756</v>
      </c>
      <c r="I552" s="12" t="s">
        <v>534</v>
      </c>
      <c r="J552" s="12">
        <v>312</v>
      </c>
      <c r="K552" s="194">
        <v>35</v>
      </c>
      <c r="L552" s="195">
        <v>4200</v>
      </c>
      <c r="M552" s="167">
        <v>1</v>
      </c>
      <c r="N552" s="167">
        <v>1</v>
      </c>
      <c r="O552" s="167">
        <v>1</v>
      </c>
      <c r="P552" s="167">
        <v>1</v>
      </c>
      <c r="Q552" s="167">
        <v>1</v>
      </c>
      <c r="R552" s="167">
        <v>2</v>
      </c>
      <c r="S552" s="167" t="s">
        <v>278</v>
      </c>
      <c r="T552" s="167">
        <v>1</v>
      </c>
      <c r="U552" s="7" t="s">
        <v>169</v>
      </c>
      <c r="V552" s="7" t="s">
        <v>169</v>
      </c>
      <c r="W552" s="47" t="str">
        <f t="shared" ca="1" si="22"/>
        <v/>
      </c>
      <c r="X552" s="47">
        <f ca="1">VLOOKUP($C552,OFFSET(quests!$A$1,0,0,COUNTA(quests!$A:$A),MATCH(X$2,quests!$1:$1,0)-MATCH($C$2,quests!$1:$1,0)+1),MATCH(X$2,quests!$1:$1,0)-MATCH($C$2,quests!$1:$1,0)+1,FALSE)</f>
        <v>0</v>
      </c>
      <c r="Y552" s="47">
        <f ca="1">VLOOKUP($C552,OFFSET(quests!$A$1,0,0,COUNTA(quests!$A:$A),MATCH(Y$2,quests!$1:$1,0)-MATCH($C$2,quests!$1:$1,0)+1),MATCH(Y$2,quests!$1:$1,0)-MATCH($C$2,quests!$1:$1,0)+1,FALSE)</f>
        <v>0</v>
      </c>
      <c r="Z552" s="47">
        <f ca="1">VLOOKUP($C552,OFFSET(quests!$A$1,0,0,COUNTA(quests!$A:$A),MATCH(Z$2,quests!$1:$1,0)-MATCH($C$2,quests!$1:$1,0)+1),MATCH(Z$2,quests!$1:$1,0)-MATCH($C$2,quests!$1:$1,0)+1,FALSE)</f>
        <v>0</v>
      </c>
      <c r="AA552" s="47">
        <f ca="1">VLOOKUP($C552,OFFSET(quests!$A$1,0,0,COUNTA(quests!$A:$A),MATCH(AA$2,quests!$1:$1,0)-MATCH($C$2,quests!$1:$1,0)+1),MATCH(AA$2,quests!$1:$1,0)-MATCH($C$2,quests!$1:$1,0)+1,FALSE)</f>
        <v>0</v>
      </c>
      <c r="AB552" s="7" t="s">
        <v>56</v>
      </c>
      <c r="AC552" s="7">
        <v>8</v>
      </c>
      <c r="AD552" s="7">
        <v>6</v>
      </c>
      <c r="AE552" s="7" t="s">
        <v>519</v>
      </c>
      <c r="AF552" s="96">
        <v>17</v>
      </c>
      <c r="AG552" s="7">
        <v>0</v>
      </c>
      <c r="AH552" s="7">
        <v>0</v>
      </c>
      <c r="AI552" s="7">
        <v>-1</v>
      </c>
      <c r="AJ552" s="7">
        <v>-1</v>
      </c>
      <c r="AK552" s="7" t="s">
        <v>1065</v>
      </c>
      <c r="AL552" s="12" t="s">
        <v>1695</v>
      </c>
      <c r="AM552" s="12" t="s">
        <v>2072</v>
      </c>
    </row>
    <row r="553" spans="1:39" ht="21" customHeight="1" x14ac:dyDescent="0.15">
      <c r="A553" s="42" t="str">
        <f t="shared" si="21"/>
        <v>30010_1</v>
      </c>
      <c r="B553" s="23">
        <v>3</v>
      </c>
      <c r="C553" s="31">
        <v>30010</v>
      </c>
      <c r="D553" s="47" t="str">
        <f ca="1">VLOOKUP($C553,OFFSET(quests!$A$1,0,0,COUNTA(quests!$A:$A),MATCH(D$1,quests!$1:$1,0)-MATCH($C$2,quests!$1:$1,0)+1),MATCH(D$1,quests!$1:$1,0)-MATCH($C$2,quests!$1:$1,0)+1,FALSE)</f>
        <v>最大最凶</v>
      </c>
      <c r="E553" s="48" t="str">
        <f ca="1">VLOOKUP($C553,OFFSET(quests!$A$1,0,0,COUNTA(quests!$A:$A),MATCH(E$2,quests!$1:$1,0)-MATCH($C$2,quests!$1:$1,0)+1),MATCH(E$2,quests!$1:$1,0)-MATCH($C$2,quests!$1:$1,0)+1,FALSE)</f>
        <v>ドロップイベント3（マルチ専用）</v>
      </c>
      <c r="F553" s="7">
        <v>1</v>
      </c>
      <c r="G553" s="7" t="s">
        <v>570</v>
      </c>
      <c r="H553" s="12" t="s">
        <v>757</v>
      </c>
      <c r="I553" s="12" t="s">
        <v>60</v>
      </c>
      <c r="J553" s="12">
        <v>306</v>
      </c>
      <c r="K553" s="192">
        <v>20</v>
      </c>
      <c r="L553" s="193">
        <v>2000</v>
      </c>
      <c r="M553" s="167">
        <v>1</v>
      </c>
      <c r="N553" s="167">
        <v>1</v>
      </c>
      <c r="O553" s="167">
        <v>1</v>
      </c>
      <c r="P553" s="167">
        <v>1</v>
      </c>
      <c r="Q553" s="167">
        <v>1</v>
      </c>
      <c r="R553" s="167">
        <v>3</v>
      </c>
      <c r="S553" s="167" t="s">
        <v>79</v>
      </c>
      <c r="T553" s="167">
        <v>0</v>
      </c>
      <c r="U553" s="7" t="s">
        <v>169</v>
      </c>
      <c r="V553" s="7" t="s">
        <v>169</v>
      </c>
      <c r="W553" s="47" t="str">
        <f t="shared" ca="1" si="22"/>
        <v/>
      </c>
      <c r="X553" s="47">
        <f ca="1">VLOOKUP($C553,OFFSET(quests!$A$1,0,0,COUNTA(quests!$A:$A),MATCH(X$2,quests!$1:$1,0)-MATCH($C$2,quests!$1:$1,0)+1),MATCH(X$2,quests!$1:$1,0)-MATCH($C$2,quests!$1:$1,0)+1,FALSE)</f>
        <v>0</v>
      </c>
      <c r="Y553" s="47">
        <f ca="1">VLOOKUP($C553,OFFSET(quests!$A$1,0,0,COUNTA(quests!$A:$A),MATCH(Y$2,quests!$1:$1,0)-MATCH($C$2,quests!$1:$1,0)+1),MATCH(Y$2,quests!$1:$1,0)-MATCH($C$2,quests!$1:$1,0)+1,FALSE)</f>
        <v>0</v>
      </c>
      <c r="Z553" s="47">
        <f ca="1">VLOOKUP($C553,OFFSET(quests!$A$1,0,0,COUNTA(quests!$A:$A),MATCH(Z$2,quests!$1:$1,0)-MATCH($C$2,quests!$1:$1,0)+1),MATCH(Z$2,quests!$1:$1,0)-MATCH($C$2,quests!$1:$1,0)+1,FALSE)</f>
        <v>0</v>
      </c>
      <c r="AA553" s="47">
        <f ca="1">VLOOKUP($C553,OFFSET(quests!$A$1,0,0,COUNTA(quests!$A:$A),MATCH(AA$2,quests!$1:$1,0)-MATCH($C$2,quests!$1:$1,0)+1),MATCH(AA$2,quests!$1:$1,0)-MATCH($C$2,quests!$1:$1,0)+1,FALSE)</f>
        <v>0</v>
      </c>
      <c r="AB553" s="7" t="s">
        <v>56</v>
      </c>
      <c r="AC553" s="7">
        <v>2</v>
      </c>
      <c r="AD553" s="7">
        <v>7</v>
      </c>
      <c r="AE553" s="7" t="s">
        <v>519</v>
      </c>
      <c r="AF553" s="33">
        <v>11</v>
      </c>
      <c r="AG553" s="7">
        <v>0</v>
      </c>
      <c r="AH553" s="7">
        <v>0</v>
      </c>
      <c r="AI553" s="7">
        <v>-1</v>
      </c>
      <c r="AJ553" s="7">
        <v>-1</v>
      </c>
      <c r="AK553" s="7" t="s">
        <v>1064</v>
      </c>
      <c r="AL553" s="12" t="s">
        <v>1695</v>
      </c>
      <c r="AM553" s="12" t="s">
        <v>2072</v>
      </c>
    </row>
    <row r="554" spans="1:39" ht="21" customHeight="1" x14ac:dyDescent="0.15">
      <c r="A554" s="42" t="str">
        <f t="shared" si="21"/>
        <v>30010_2</v>
      </c>
      <c r="B554" s="23">
        <v>3</v>
      </c>
      <c r="C554" s="31">
        <v>30010</v>
      </c>
      <c r="D554" s="47" t="str">
        <f ca="1">VLOOKUP($C554,OFFSET(quests!$A$1,0,0,COUNTA(quests!$A:$A),MATCH(D$1,quests!$1:$1,0)-MATCH($C$2,quests!$1:$1,0)+1),MATCH(D$1,quests!$1:$1,0)-MATCH($C$2,quests!$1:$1,0)+1,FALSE)</f>
        <v>最大最凶</v>
      </c>
      <c r="E554" s="48" t="str">
        <f ca="1">VLOOKUP($C554,OFFSET(quests!$A$1,0,0,COUNTA(quests!$A:$A),MATCH(E$2,quests!$1:$1,0)-MATCH($C$2,quests!$1:$1,0)+1),MATCH(E$2,quests!$1:$1,0)-MATCH($C$2,quests!$1:$1,0)+1,FALSE)</f>
        <v>ドロップイベント3（マルチ専用）</v>
      </c>
      <c r="F554" s="7">
        <v>2</v>
      </c>
      <c r="G554" s="7" t="s">
        <v>570</v>
      </c>
      <c r="H554" s="12" t="s">
        <v>758</v>
      </c>
      <c r="I554" s="12" t="s">
        <v>383</v>
      </c>
      <c r="J554" s="12">
        <v>306</v>
      </c>
      <c r="K554" s="194">
        <v>30</v>
      </c>
      <c r="L554" s="195">
        <v>3300</v>
      </c>
      <c r="M554" s="167">
        <v>1</v>
      </c>
      <c r="N554" s="167">
        <v>1</v>
      </c>
      <c r="O554" s="167">
        <v>1</v>
      </c>
      <c r="P554" s="167">
        <v>1</v>
      </c>
      <c r="Q554" s="167">
        <v>1</v>
      </c>
      <c r="R554" s="167">
        <v>3</v>
      </c>
      <c r="S554" s="167" t="s">
        <v>79</v>
      </c>
      <c r="T554" s="167">
        <v>0</v>
      </c>
      <c r="U554" s="7" t="s">
        <v>169</v>
      </c>
      <c r="V554" s="7" t="s">
        <v>169</v>
      </c>
      <c r="W554" s="47" t="str">
        <f t="shared" ca="1" si="22"/>
        <v/>
      </c>
      <c r="X554" s="47">
        <f ca="1">VLOOKUP($C554,OFFSET(quests!$A$1,0,0,COUNTA(quests!$A:$A),MATCH(X$2,quests!$1:$1,0)-MATCH($C$2,quests!$1:$1,0)+1),MATCH(X$2,quests!$1:$1,0)-MATCH($C$2,quests!$1:$1,0)+1,FALSE)</f>
        <v>0</v>
      </c>
      <c r="Y554" s="47">
        <f ca="1">VLOOKUP($C554,OFFSET(quests!$A$1,0,0,COUNTA(quests!$A:$A),MATCH(Y$2,quests!$1:$1,0)-MATCH($C$2,quests!$1:$1,0)+1),MATCH(Y$2,quests!$1:$1,0)-MATCH($C$2,quests!$1:$1,0)+1,FALSE)</f>
        <v>0</v>
      </c>
      <c r="Z554" s="47">
        <f ca="1">VLOOKUP($C554,OFFSET(quests!$A$1,0,0,COUNTA(quests!$A:$A),MATCH(Z$2,quests!$1:$1,0)-MATCH($C$2,quests!$1:$1,0)+1),MATCH(Z$2,quests!$1:$1,0)-MATCH($C$2,quests!$1:$1,0)+1,FALSE)</f>
        <v>0</v>
      </c>
      <c r="AA554" s="47">
        <f ca="1">VLOOKUP($C554,OFFSET(quests!$A$1,0,0,COUNTA(quests!$A:$A),MATCH(AA$2,quests!$1:$1,0)-MATCH($C$2,quests!$1:$1,0)+1),MATCH(AA$2,quests!$1:$1,0)-MATCH($C$2,quests!$1:$1,0)+1,FALSE)</f>
        <v>0</v>
      </c>
      <c r="AB554" s="7" t="s">
        <v>56</v>
      </c>
      <c r="AC554" s="7">
        <v>2</v>
      </c>
      <c r="AD554" s="7">
        <v>7</v>
      </c>
      <c r="AE554" s="7" t="s">
        <v>519</v>
      </c>
      <c r="AF554" s="33">
        <v>11</v>
      </c>
      <c r="AG554" s="7">
        <v>0</v>
      </c>
      <c r="AH554" s="7">
        <v>0</v>
      </c>
      <c r="AI554" s="7">
        <v>-1</v>
      </c>
      <c r="AJ554" s="7">
        <v>-1</v>
      </c>
      <c r="AK554" s="7" t="s">
        <v>1065</v>
      </c>
      <c r="AL554" s="12" t="s">
        <v>1695</v>
      </c>
      <c r="AM554" s="12" t="s">
        <v>2072</v>
      </c>
    </row>
    <row r="555" spans="1:39" ht="21" customHeight="1" x14ac:dyDescent="0.15">
      <c r="A555" s="42" t="str">
        <f t="shared" si="21"/>
        <v>30010_3</v>
      </c>
      <c r="B555" s="23">
        <v>3</v>
      </c>
      <c r="C555" s="31">
        <v>30010</v>
      </c>
      <c r="D555" s="47" t="str">
        <f ca="1">VLOOKUP($C555,OFFSET(quests!$A$1,0,0,COUNTA(quests!$A:$A),MATCH(D$1,quests!$1:$1,0)-MATCH($C$2,quests!$1:$1,0)+1),MATCH(D$1,quests!$1:$1,0)-MATCH($C$2,quests!$1:$1,0)+1,FALSE)</f>
        <v>最大最凶</v>
      </c>
      <c r="E555" s="48" t="str">
        <f ca="1">VLOOKUP($C555,OFFSET(quests!$A$1,0,0,COUNTA(quests!$A:$A),MATCH(E$2,quests!$1:$1,0)-MATCH($C$2,quests!$1:$1,0)+1),MATCH(E$2,quests!$1:$1,0)-MATCH($C$2,quests!$1:$1,0)+1,FALSE)</f>
        <v>ドロップイベント3（マルチ専用）</v>
      </c>
      <c r="F555" s="7">
        <v>3</v>
      </c>
      <c r="G555" s="7" t="s">
        <v>570</v>
      </c>
      <c r="H555" s="12" t="s">
        <v>759</v>
      </c>
      <c r="I555" s="12" t="s">
        <v>534</v>
      </c>
      <c r="J555" s="12">
        <v>306</v>
      </c>
      <c r="K555" s="194">
        <v>35</v>
      </c>
      <c r="L555" s="195">
        <v>4200</v>
      </c>
      <c r="M555" s="167">
        <v>1</v>
      </c>
      <c r="N555" s="167">
        <v>1</v>
      </c>
      <c r="O555" s="167">
        <v>1</v>
      </c>
      <c r="P555" s="167">
        <v>1</v>
      </c>
      <c r="Q555" s="167">
        <v>1</v>
      </c>
      <c r="R555" s="167">
        <v>3</v>
      </c>
      <c r="S555" s="167" t="s">
        <v>278</v>
      </c>
      <c r="T555" s="167">
        <v>1</v>
      </c>
      <c r="U555" s="7" t="s">
        <v>169</v>
      </c>
      <c r="V555" s="7" t="s">
        <v>169</v>
      </c>
      <c r="W555" s="47" t="str">
        <f t="shared" ca="1" si="22"/>
        <v/>
      </c>
      <c r="X555" s="47">
        <f ca="1">VLOOKUP($C555,OFFSET(quests!$A$1,0,0,COUNTA(quests!$A:$A),MATCH(X$2,quests!$1:$1,0)-MATCH($C$2,quests!$1:$1,0)+1),MATCH(X$2,quests!$1:$1,0)-MATCH($C$2,quests!$1:$1,0)+1,FALSE)</f>
        <v>0</v>
      </c>
      <c r="Y555" s="47">
        <f ca="1">VLOOKUP($C555,OFFSET(quests!$A$1,0,0,COUNTA(quests!$A:$A),MATCH(Y$2,quests!$1:$1,0)-MATCH($C$2,quests!$1:$1,0)+1),MATCH(Y$2,quests!$1:$1,0)-MATCH($C$2,quests!$1:$1,0)+1,FALSE)</f>
        <v>0</v>
      </c>
      <c r="Z555" s="47">
        <f ca="1">VLOOKUP($C555,OFFSET(quests!$A$1,0,0,COUNTA(quests!$A:$A),MATCH(Z$2,quests!$1:$1,0)-MATCH($C$2,quests!$1:$1,0)+1),MATCH(Z$2,quests!$1:$1,0)-MATCH($C$2,quests!$1:$1,0)+1,FALSE)</f>
        <v>0</v>
      </c>
      <c r="AA555" s="47">
        <f ca="1">VLOOKUP($C555,OFFSET(quests!$A$1,0,0,COUNTA(quests!$A:$A),MATCH(AA$2,quests!$1:$1,0)-MATCH($C$2,quests!$1:$1,0)+1),MATCH(AA$2,quests!$1:$1,0)-MATCH($C$2,quests!$1:$1,0)+1,FALSE)</f>
        <v>0</v>
      </c>
      <c r="AB555" s="7" t="s">
        <v>56</v>
      </c>
      <c r="AC555" s="7">
        <v>2</v>
      </c>
      <c r="AD555" s="7">
        <v>7</v>
      </c>
      <c r="AE555" s="7" t="s">
        <v>519</v>
      </c>
      <c r="AF555" s="33">
        <v>11</v>
      </c>
      <c r="AG555" s="7">
        <v>0</v>
      </c>
      <c r="AH555" s="7">
        <v>0</v>
      </c>
      <c r="AI555" s="7">
        <v>-1</v>
      </c>
      <c r="AJ555" s="7">
        <v>-1</v>
      </c>
      <c r="AK555" s="7" t="s">
        <v>1065</v>
      </c>
      <c r="AL555" s="12" t="s">
        <v>1695</v>
      </c>
      <c r="AM555" s="12" t="s">
        <v>2072</v>
      </c>
    </row>
    <row r="556" spans="1:39" ht="21" customHeight="1" x14ac:dyDescent="0.15">
      <c r="A556" s="42" t="str">
        <f t="shared" si="21"/>
        <v>30011_1</v>
      </c>
      <c r="B556" s="23">
        <v>3</v>
      </c>
      <c r="C556" s="31">
        <v>30011</v>
      </c>
      <c r="D556" s="47" t="str">
        <f ca="1">VLOOKUP($C556,OFFSET(quests!$A$1,0,0,COUNTA(quests!$A:$A),MATCH(D$1,quests!$1:$1,0)-MATCH($C$2,quests!$1:$1,0)+1),MATCH(D$1,quests!$1:$1,0)-MATCH($C$2,quests!$1:$1,0)+1,FALSE)</f>
        <v>気怠い巨読者</v>
      </c>
      <c r="E556" s="48" t="str">
        <f ca="1">VLOOKUP($C556,OFFSET(quests!$A$1,0,0,COUNTA(quests!$A:$A),MATCH(E$2,quests!$1:$1,0)-MATCH($C$2,quests!$1:$1,0)+1),MATCH(E$2,quests!$1:$1,0)-MATCH($C$2,quests!$1:$1,0)+1,FALSE)</f>
        <v>ドロップイベント3（マルチ専用）</v>
      </c>
      <c r="F556" s="7">
        <v>1</v>
      </c>
      <c r="G556" s="7" t="s">
        <v>570</v>
      </c>
      <c r="H556" s="12" t="s">
        <v>760</v>
      </c>
      <c r="I556" s="12" t="s">
        <v>60</v>
      </c>
      <c r="J556" s="12">
        <v>308</v>
      </c>
      <c r="K556" s="192">
        <v>20</v>
      </c>
      <c r="L556" s="193">
        <v>2000</v>
      </c>
      <c r="M556" s="167">
        <v>1</v>
      </c>
      <c r="N556" s="167">
        <v>1</v>
      </c>
      <c r="O556" s="167">
        <v>1</v>
      </c>
      <c r="P556" s="167">
        <v>1</v>
      </c>
      <c r="Q556" s="167">
        <v>1</v>
      </c>
      <c r="R556" s="167">
        <v>2</v>
      </c>
      <c r="S556" s="167" t="s">
        <v>79</v>
      </c>
      <c r="T556" s="167">
        <v>0</v>
      </c>
      <c r="U556" s="7" t="s">
        <v>169</v>
      </c>
      <c r="V556" s="7" t="s">
        <v>169</v>
      </c>
      <c r="W556" s="47" t="str">
        <f t="shared" ca="1" si="22"/>
        <v/>
      </c>
      <c r="X556" s="47">
        <f ca="1">VLOOKUP($C556,OFFSET(quests!$A$1,0,0,COUNTA(quests!$A:$A),MATCH(X$2,quests!$1:$1,0)-MATCH($C$2,quests!$1:$1,0)+1),MATCH(X$2,quests!$1:$1,0)-MATCH($C$2,quests!$1:$1,0)+1,FALSE)</f>
        <v>0</v>
      </c>
      <c r="Y556" s="47">
        <f ca="1">VLOOKUP($C556,OFFSET(quests!$A$1,0,0,COUNTA(quests!$A:$A),MATCH(Y$2,quests!$1:$1,0)-MATCH($C$2,quests!$1:$1,0)+1),MATCH(Y$2,quests!$1:$1,0)-MATCH($C$2,quests!$1:$1,0)+1,FALSE)</f>
        <v>0</v>
      </c>
      <c r="Z556" s="47">
        <f ca="1">VLOOKUP($C556,OFFSET(quests!$A$1,0,0,COUNTA(quests!$A:$A),MATCH(Z$2,quests!$1:$1,0)-MATCH($C$2,quests!$1:$1,0)+1),MATCH(Z$2,quests!$1:$1,0)-MATCH($C$2,quests!$1:$1,0)+1,FALSE)</f>
        <v>0</v>
      </c>
      <c r="AA556" s="47">
        <f ca="1">VLOOKUP($C556,OFFSET(quests!$A$1,0,0,COUNTA(quests!$A:$A),MATCH(AA$2,quests!$1:$1,0)-MATCH($C$2,quests!$1:$1,0)+1),MATCH(AA$2,quests!$1:$1,0)-MATCH($C$2,quests!$1:$1,0)+1,FALSE)</f>
        <v>0</v>
      </c>
      <c r="AB556" s="7" t="s">
        <v>56</v>
      </c>
      <c r="AC556" s="7">
        <v>19</v>
      </c>
      <c r="AD556" s="7">
        <v>6</v>
      </c>
      <c r="AE556" s="7" t="s">
        <v>519</v>
      </c>
      <c r="AF556" s="255">
        <v>16</v>
      </c>
      <c r="AG556" s="7">
        <v>0</v>
      </c>
      <c r="AH556" s="7">
        <v>0</v>
      </c>
      <c r="AI556" s="7">
        <v>-1</v>
      </c>
      <c r="AJ556" s="7">
        <v>-1</v>
      </c>
      <c r="AK556" s="7" t="s">
        <v>1064</v>
      </c>
      <c r="AL556" s="12" t="s">
        <v>1695</v>
      </c>
      <c r="AM556" s="12" t="s">
        <v>2072</v>
      </c>
    </row>
    <row r="557" spans="1:39" ht="21" customHeight="1" x14ac:dyDescent="0.15">
      <c r="A557" s="42" t="str">
        <f t="shared" si="21"/>
        <v>30011_2</v>
      </c>
      <c r="B557" s="23">
        <v>3</v>
      </c>
      <c r="C557" s="31">
        <v>30011</v>
      </c>
      <c r="D557" s="47" t="str">
        <f ca="1">VLOOKUP($C557,OFFSET(quests!$A$1,0,0,COUNTA(quests!$A:$A),MATCH(D$1,quests!$1:$1,0)-MATCH($C$2,quests!$1:$1,0)+1),MATCH(D$1,quests!$1:$1,0)-MATCH($C$2,quests!$1:$1,0)+1,FALSE)</f>
        <v>気怠い巨読者</v>
      </c>
      <c r="E557" s="48" t="str">
        <f ca="1">VLOOKUP($C557,OFFSET(quests!$A$1,0,0,COUNTA(quests!$A:$A),MATCH(E$2,quests!$1:$1,0)-MATCH($C$2,quests!$1:$1,0)+1),MATCH(E$2,quests!$1:$1,0)-MATCH($C$2,quests!$1:$1,0)+1,FALSE)</f>
        <v>ドロップイベント3（マルチ専用）</v>
      </c>
      <c r="F557" s="7">
        <v>2</v>
      </c>
      <c r="G557" s="7" t="s">
        <v>570</v>
      </c>
      <c r="H557" s="12" t="s">
        <v>761</v>
      </c>
      <c r="I557" s="12" t="s">
        <v>383</v>
      </c>
      <c r="J557" s="12">
        <v>308</v>
      </c>
      <c r="K557" s="194">
        <v>30</v>
      </c>
      <c r="L557" s="195">
        <v>3300</v>
      </c>
      <c r="M557" s="167">
        <v>1</v>
      </c>
      <c r="N557" s="167">
        <v>1</v>
      </c>
      <c r="O557" s="167">
        <v>1</v>
      </c>
      <c r="P557" s="167">
        <v>1</v>
      </c>
      <c r="Q557" s="167">
        <v>1</v>
      </c>
      <c r="R557" s="167">
        <v>2</v>
      </c>
      <c r="S557" s="167" t="s">
        <v>79</v>
      </c>
      <c r="T557" s="167">
        <v>0</v>
      </c>
      <c r="U557" s="7" t="s">
        <v>169</v>
      </c>
      <c r="V557" s="7" t="s">
        <v>169</v>
      </c>
      <c r="W557" s="47" t="str">
        <f t="shared" ca="1" si="22"/>
        <v/>
      </c>
      <c r="X557" s="47">
        <f ca="1">VLOOKUP($C557,OFFSET(quests!$A$1,0,0,COUNTA(quests!$A:$A),MATCH(X$2,quests!$1:$1,0)-MATCH($C$2,quests!$1:$1,0)+1),MATCH(X$2,quests!$1:$1,0)-MATCH($C$2,quests!$1:$1,0)+1,FALSE)</f>
        <v>0</v>
      </c>
      <c r="Y557" s="47">
        <f ca="1">VLOOKUP($C557,OFFSET(quests!$A$1,0,0,COUNTA(quests!$A:$A),MATCH(Y$2,quests!$1:$1,0)-MATCH($C$2,quests!$1:$1,0)+1),MATCH(Y$2,quests!$1:$1,0)-MATCH($C$2,quests!$1:$1,0)+1,FALSE)</f>
        <v>0</v>
      </c>
      <c r="Z557" s="47">
        <f ca="1">VLOOKUP($C557,OFFSET(quests!$A$1,0,0,COUNTA(quests!$A:$A),MATCH(Z$2,quests!$1:$1,0)-MATCH($C$2,quests!$1:$1,0)+1),MATCH(Z$2,quests!$1:$1,0)-MATCH($C$2,quests!$1:$1,0)+1,FALSE)</f>
        <v>0</v>
      </c>
      <c r="AA557" s="47">
        <f ca="1">VLOOKUP($C557,OFFSET(quests!$A$1,0,0,COUNTA(quests!$A:$A),MATCH(AA$2,quests!$1:$1,0)-MATCH($C$2,quests!$1:$1,0)+1),MATCH(AA$2,quests!$1:$1,0)-MATCH($C$2,quests!$1:$1,0)+1,FALSE)</f>
        <v>0</v>
      </c>
      <c r="AB557" s="7" t="s">
        <v>56</v>
      </c>
      <c r="AC557" s="7">
        <v>19</v>
      </c>
      <c r="AD557" s="7">
        <v>6</v>
      </c>
      <c r="AE557" s="7" t="s">
        <v>519</v>
      </c>
      <c r="AF557" s="255">
        <v>16</v>
      </c>
      <c r="AG557" s="7">
        <v>0</v>
      </c>
      <c r="AH557" s="7">
        <v>0</v>
      </c>
      <c r="AI557" s="7">
        <v>-1</v>
      </c>
      <c r="AJ557" s="7">
        <v>-1</v>
      </c>
      <c r="AK557" s="7" t="s">
        <v>1065</v>
      </c>
      <c r="AL557" s="12" t="s">
        <v>1695</v>
      </c>
      <c r="AM557" s="12" t="s">
        <v>2072</v>
      </c>
    </row>
    <row r="558" spans="1:39" ht="21" customHeight="1" x14ac:dyDescent="0.15">
      <c r="A558" s="42" t="str">
        <f t="shared" si="21"/>
        <v>30011_3</v>
      </c>
      <c r="B558" s="23">
        <v>3</v>
      </c>
      <c r="C558" s="31">
        <v>30011</v>
      </c>
      <c r="D558" s="47" t="str">
        <f ca="1">VLOOKUP($C558,OFFSET(quests!$A$1,0,0,COUNTA(quests!$A:$A),MATCH(D$1,quests!$1:$1,0)-MATCH($C$2,quests!$1:$1,0)+1),MATCH(D$1,quests!$1:$1,0)-MATCH($C$2,quests!$1:$1,0)+1,FALSE)</f>
        <v>気怠い巨読者</v>
      </c>
      <c r="E558" s="48" t="str">
        <f ca="1">VLOOKUP($C558,OFFSET(quests!$A$1,0,0,COUNTA(quests!$A:$A),MATCH(E$2,quests!$1:$1,0)-MATCH($C$2,quests!$1:$1,0)+1),MATCH(E$2,quests!$1:$1,0)-MATCH($C$2,quests!$1:$1,0)+1,FALSE)</f>
        <v>ドロップイベント3（マルチ専用）</v>
      </c>
      <c r="F558" s="7">
        <v>3</v>
      </c>
      <c r="G558" s="7" t="s">
        <v>570</v>
      </c>
      <c r="H558" s="12" t="s">
        <v>762</v>
      </c>
      <c r="I558" s="12" t="s">
        <v>534</v>
      </c>
      <c r="J558" s="12">
        <v>309</v>
      </c>
      <c r="K558" s="194">
        <v>35</v>
      </c>
      <c r="L558" s="195">
        <v>4200</v>
      </c>
      <c r="M558" s="167">
        <v>1</v>
      </c>
      <c r="N558" s="167">
        <v>1</v>
      </c>
      <c r="O558" s="167">
        <v>1</v>
      </c>
      <c r="P558" s="167">
        <v>1</v>
      </c>
      <c r="Q558" s="167">
        <v>1</v>
      </c>
      <c r="R558" s="167">
        <v>2</v>
      </c>
      <c r="S558" s="167" t="s">
        <v>278</v>
      </c>
      <c r="T558" s="167">
        <v>1</v>
      </c>
      <c r="U558" s="7" t="s">
        <v>169</v>
      </c>
      <c r="V558" s="7" t="s">
        <v>169</v>
      </c>
      <c r="W558" s="47" t="str">
        <f t="shared" ca="1" si="22"/>
        <v/>
      </c>
      <c r="X558" s="47">
        <f ca="1">VLOOKUP($C558,OFFSET(quests!$A$1,0,0,COUNTA(quests!$A:$A),MATCH(X$2,quests!$1:$1,0)-MATCH($C$2,quests!$1:$1,0)+1),MATCH(X$2,quests!$1:$1,0)-MATCH($C$2,quests!$1:$1,0)+1,FALSE)</f>
        <v>0</v>
      </c>
      <c r="Y558" s="47">
        <f ca="1">VLOOKUP($C558,OFFSET(quests!$A$1,0,0,COUNTA(quests!$A:$A),MATCH(Y$2,quests!$1:$1,0)-MATCH($C$2,quests!$1:$1,0)+1),MATCH(Y$2,quests!$1:$1,0)-MATCH($C$2,quests!$1:$1,0)+1,FALSE)</f>
        <v>0</v>
      </c>
      <c r="Z558" s="47">
        <f ca="1">VLOOKUP($C558,OFFSET(quests!$A$1,0,0,COUNTA(quests!$A:$A),MATCH(Z$2,quests!$1:$1,0)-MATCH($C$2,quests!$1:$1,0)+1),MATCH(Z$2,quests!$1:$1,0)-MATCH($C$2,quests!$1:$1,0)+1,FALSE)</f>
        <v>0</v>
      </c>
      <c r="AA558" s="47">
        <f ca="1">VLOOKUP($C558,OFFSET(quests!$A$1,0,0,COUNTA(quests!$A:$A),MATCH(AA$2,quests!$1:$1,0)-MATCH($C$2,quests!$1:$1,0)+1),MATCH(AA$2,quests!$1:$1,0)-MATCH($C$2,quests!$1:$1,0)+1,FALSE)</f>
        <v>0</v>
      </c>
      <c r="AB558" s="7" t="s">
        <v>56</v>
      </c>
      <c r="AC558" s="7">
        <v>19</v>
      </c>
      <c r="AD558" s="7">
        <v>6</v>
      </c>
      <c r="AE558" s="7" t="s">
        <v>519</v>
      </c>
      <c r="AF558" s="255">
        <v>16</v>
      </c>
      <c r="AG558" s="7">
        <v>0</v>
      </c>
      <c r="AH558" s="7">
        <v>0</v>
      </c>
      <c r="AI558" s="7">
        <v>-1</v>
      </c>
      <c r="AJ558" s="7">
        <v>-1</v>
      </c>
      <c r="AK558" s="7" t="s">
        <v>1065</v>
      </c>
      <c r="AL558" s="12" t="s">
        <v>1695</v>
      </c>
      <c r="AM558" s="12" t="s">
        <v>2072</v>
      </c>
    </row>
    <row r="559" spans="1:39" ht="21" customHeight="1" x14ac:dyDescent="0.15">
      <c r="A559" s="42" t="str">
        <f t="shared" si="21"/>
        <v>30012_1</v>
      </c>
      <c r="B559" s="23">
        <v>3</v>
      </c>
      <c r="C559" s="31">
        <v>30012</v>
      </c>
      <c r="D559" s="47" t="str">
        <f ca="1">VLOOKUP($C559,OFFSET(quests!$A$1,0,0,COUNTA(quests!$A:$A),MATCH(D$1,quests!$1:$1,0)-MATCH($C$2,quests!$1:$1,0)+1),MATCH(D$1,quests!$1:$1,0)-MATCH($C$2,quests!$1:$1,0)+1,FALSE)</f>
        <v>底なしの胃袋</v>
      </c>
      <c r="E559" s="48" t="str">
        <f ca="1">VLOOKUP($C559,OFFSET(quests!$A$1,0,0,COUNTA(quests!$A:$A),MATCH(E$2,quests!$1:$1,0)-MATCH($C$2,quests!$1:$1,0)+1),MATCH(E$2,quests!$1:$1,0)-MATCH($C$2,quests!$1:$1,0)+1,FALSE)</f>
        <v>ドロップイベント3（マルチ専用）</v>
      </c>
      <c r="F559" s="7">
        <v>1</v>
      </c>
      <c r="G559" s="7" t="s">
        <v>570</v>
      </c>
      <c r="H559" s="12" t="s">
        <v>763</v>
      </c>
      <c r="I559" s="12" t="s">
        <v>60</v>
      </c>
      <c r="J559" s="12">
        <v>310</v>
      </c>
      <c r="K559" s="192">
        <v>20</v>
      </c>
      <c r="L559" s="193">
        <v>2000</v>
      </c>
      <c r="M559" s="167">
        <v>1</v>
      </c>
      <c r="N559" s="167">
        <v>1</v>
      </c>
      <c r="O559" s="167">
        <v>1</v>
      </c>
      <c r="P559" s="167">
        <v>1</v>
      </c>
      <c r="Q559" s="96">
        <v>0</v>
      </c>
      <c r="R559" s="167">
        <v>3</v>
      </c>
      <c r="S559" s="167" t="s">
        <v>79</v>
      </c>
      <c r="T559" s="167">
        <v>0</v>
      </c>
      <c r="U559" s="7" t="s">
        <v>169</v>
      </c>
      <c r="V559" s="7" t="s">
        <v>169</v>
      </c>
      <c r="W559" s="47" t="str">
        <f t="shared" ca="1" si="22"/>
        <v/>
      </c>
      <c r="X559" s="47">
        <f ca="1">VLOOKUP($C559,OFFSET(quests!$A$1,0,0,COUNTA(quests!$A:$A),MATCH(X$2,quests!$1:$1,0)-MATCH($C$2,quests!$1:$1,0)+1),MATCH(X$2,quests!$1:$1,0)-MATCH($C$2,quests!$1:$1,0)+1,FALSE)</f>
        <v>0</v>
      </c>
      <c r="Y559" s="47">
        <f ca="1">VLOOKUP($C559,OFFSET(quests!$A$1,0,0,COUNTA(quests!$A:$A),MATCH(Y$2,quests!$1:$1,0)-MATCH($C$2,quests!$1:$1,0)+1),MATCH(Y$2,quests!$1:$1,0)-MATCH($C$2,quests!$1:$1,0)+1,FALSE)</f>
        <v>0</v>
      </c>
      <c r="Z559" s="47">
        <f ca="1">VLOOKUP($C559,OFFSET(quests!$A$1,0,0,COUNTA(quests!$A:$A),MATCH(Z$2,quests!$1:$1,0)-MATCH($C$2,quests!$1:$1,0)+1),MATCH(Z$2,quests!$1:$1,0)-MATCH($C$2,quests!$1:$1,0)+1,FALSE)</f>
        <v>0</v>
      </c>
      <c r="AA559" s="47">
        <f ca="1">VLOOKUP($C559,OFFSET(quests!$A$1,0,0,COUNTA(quests!$A:$A),MATCH(AA$2,quests!$1:$1,0)-MATCH($C$2,quests!$1:$1,0)+1),MATCH(AA$2,quests!$1:$1,0)-MATCH($C$2,quests!$1:$1,0)+1,FALSE)</f>
        <v>0</v>
      </c>
      <c r="AB559" s="7" t="s">
        <v>56</v>
      </c>
      <c r="AC559" s="7">
        <v>5</v>
      </c>
      <c r="AD559" s="7">
        <v>6</v>
      </c>
      <c r="AE559" s="7" t="s">
        <v>519</v>
      </c>
      <c r="AF559" s="96">
        <v>17</v>
      </c>
      <c r="AG559" s="7">
        <v>0</v>
      </c>
      <c r="AH559" s="7">
        <v>0</v>
      </c>
      <c r="AI559" s="7">
        <v>-1</v>
      </c>
      <c r="AJ559" s="7">
        <v>-1</v>
      </c>
      <c r="AK559" s="7" t="s">
        <v>1064</v>
      </c>
      <c r="AL559" s="12" t="s">
        <v>1695</v>
      </c>
      <c r="AM559" s="12" t="s">
        <v>2072</v>
      </c>
    </row>
    <row r="560" spans="1:39" ht="21" customHeight="1" x14ac:dyDescent="0.15">
      <c r="A560" s="42" t="str">
        <f t="shared" si="21"/>
        <v>30012_2</v>
      </c>
      <c r="B560" s="23">
        <v>3</v>
      </c>
      <c r="C560" s="31">
        <v>30012</v>
      </c>
      <c r="D560" s="47" t="str">
        <f ca="1">VLOOKUP($C560,OFFSET(quests!$A$1,0,0,COUNTA(quests!$A:$A),MATCH(D$1,quests!$1:$1,0)-MATCH($C$2,quests!$1:$1,0)+1),MATCH(D$1,quests!$1:$1,0)-MATCH($C$2,quests!$1:$1,0)+1,FALSE)</f>
        <v>底なしの胃袋</v>
      </c>
      <c r="E560" s="48" t="str">
        <f ca="1">VLOOKUP($C560,OFFSET(quests!$A$1,0,0,COUNTA(quests!$A:$A),MATCH(E$2,quests!$1:$1,0)-MATCH($C$2,quests!$1:$1,0)+1),MATCH(E$2,quests!$1:$1,0)-MATCH($C$2,quests!$1:$1,0)+1,FALSE)</f>
        <v>ドロップイベント3（マルチ専用）</v>
      </c>
      <c r="F560" s="7">
        <v>2</v>
      </c>
      <c r="G560" s="7" t="s">
        <v>570</v>
      </c>
      <c r="H560" s="12" t="s">
        <v>764</v>
      </c>
      <c r="I560" s="12" t="s">
        <v>383</v>
      </c>
      <c r="J560" s="12">
        <v>310</v>
      </c>
      <c r="K560" s="194">
        <v>30</v>
      </c>
      <c r="L560" s="195">
        <v>3300</v>
      </c>
      <c r="M560" s="167">
        <v>1</v>
      </c>
      <c r="N560" s="167">
        <v>1</v>
      </c>
      <c r="O560" s="167">
        <v>1</v>
      </c>
      <c r="P560" s="167">
        <v>1</v>
      </c>
      <c r="Q560" s="96">
        <v>0</v>
      </c>
      <c r="R560" s="167">
        <v>3</v>
      </c>
      <c r="S560" s="167" t="s">
        <v>79</v>
      </c>
      <c r="T560" s="167">
        <v>0</v>
      </c>
      <c r="U560" s="7" t="s">
        <v>169</v>
      </c>
      <c r="V560" s="7" t="s">
        <v>169</v>
      </c>
      <c r="W560" s="47" t="str">
        <f t="shared" ca="1" si="22"/>
        <v/>
      </c>
      <c r="X560" s="47">
        <f ca="1">VLOOKUP($C560,OFFSET(quests!$A$1,0,0,COUNTA(quests!$A:$A),MATCH(X$2,quests!$1:$1,0)-MATCH($C$2,quests!$1:$1,0)+1),MATCH(X$2,quests!$1:$1,0)-MATCH($C$2,quests!$1:$1,0)+1,FALSE)</f>
        <v>0</v>
      </c>
      <c r="Y560" s="47">
        <f ca="1">VLOOKUP($C560,OFFSET(quests!$A$1,0,0,COUNTA(quests!$A:$A),MATCH(Y$2,quests!$1:$1,0)-MATCH($C$2,quests!$1:$1,0)+1),MATCH(Y$2,quests!$1:$1,0)-MATCH($C$2,quests!$1:$1,0)+1,FALSE)</f>
        <v>0</v>
      </c>
      <c r="Z560" s="47">
        <f ca="1">VLOOKUP($C560,OFFSET(quests!$A$1,0,0,COUNTA(quests!$A:$A),MATCH(Z$2,quests!$1:$1,0)-MATCH($C$2,quests!$1:$1,0)+1),MATCH(Z$2,quests!$1:$1,0)-MATCH($C$2,quests!$1:$1,0)+1,FALSE)</f>
        <v>0</v>
      </c>
      <c r="AA560" s="47">
        <f ca="1">VLOOKUP($C560,OFFSET(quests!$A$1,0,0,COUNTA(quests!$A:$A),MATCH(AA$2,quests!$1:$1,0)-MATCH($C$2,quests!$1:$1,0)+1),MATCH(AA$2,quests!$1:$1,0)-MATCH($C$2,quests!$1:$1,0)+1,FALSE)</f>
        <v>0</v>
      </c>
      <c r="AB560" s="7" t="s">
        <v>56</v>
      </c>
      <c r="AC560" s="7">
        <v>5</v>
      </c>
      <c r="AD560" s="7">
        <v>6</v>
      </c>
      <c r="AE560" s="7" t="s">
        <v>519</v>
      </c>
      <c r="AF560" s="96">
        <v>17</v>
      </c>
      <c r="AG560" s="7">
        <v>0</v>
      </c>
      <c r="AH560" s="7">
        <v>0</v>
      </c>
      <c r="AI560" s="7">
        <v>-1</v>
      </c>
      <c r="AJ560" s="7">
        <v>-1</v>
      </c>
      <c r="AK560" s="7" t="s">
        <v>1065</v>
      </c>
      <c r="AL560" s="12" t="s">
        <v>1695</v>
      </c>
      <c r="AM560" s="12" t="s">
        <v>2072</v>
      </c>
    </row>
    <row r="561" spans="1:39" ht="21" customHeight="1" x14ac:dyDescent="0.15">
      <c r="A561" s="42" t="str">
        <f t="shared" si="21"/>
        <v>30012_3</v>
      </c>
      <c r="B561" s="23">
        <v>3</v>
      </c>
      <c r="C561" s="31">
        <v>30012</v>
      </c>
      <c r="D561" s="47" t="str">
        <f ca="1">VLOOKUP($C561,OFFSET(quests!$A$1,0,0,COUNTA(quests!$A:$A),MATCH(D$1,quests!$1:$1,0)-MATCH($C$2,quests!$1:$1,0)+1),MATCH(D$1,quests!$1:$1,0)-MATCH($C$2,quests!$1:$1,0)+1,FALSE)</f>
        <v>底なしの胃袋</v>
      </c>
      <c r="E561" s="48" t="str">
        <f ca="1">VLOOKUP($C561,OFFSET(quests!$A$1,0,0,COUNTA(quests!$A:$A),MATCH(E$2,quests!$1:$1,0)-MATCH($C$2,quests!$1:$1,0)+1),MATCH(E$2,quests!$1:$1,0)-MATCH($C$2,quests!$1:$1,0)+1,FALSE)</f>
        <v>ドロップイベント3（マルチ専用）</v>
      </c>
      <c r="F561" s="7">
        <v>3</v>
      </c>
      <c r="G561" s="7" t="s">
        <v>570</v>
      </c>
      <c r="H561" s="12" t="s">
        <v>765</v>
      </c>
      <c r="I561" s="12" t="s">
        <v>534</v>
      </c>
      <c r="J561" s="12">
        <v>310</v>
      </c>
      <c r="K561" s="194">
        <v>35</v>
      </c>
      <c r="L561" s="195">
        <v>4200</v>
      </c>
      <c r="M561" s="167">
        <v>1</v>
      </c>
      <c r="N561" s="167">
        <v>1</v>
      </c>
      <c r="O561" s="167">
        <v>1</v>
      </c>
      <c r="P561" s="167">
        <v>1</v>
      </c>
      <c r="Q561" s="96">
        <v>0</v>
      </c>
      <c r="R561" s="167">
        <v>3</v>
      </c>
      <c r="S561" s="167" t="s">
        <v>278</v>
      </c>
      <c r="T561" s="167">
        <v>1</v>
      </c>
      <c r="U561" s="7" t="s">
        <v>169</v>
      </c>
      <c r="V561" s="7" t="s">
        <v>169</v>
      </c>
      <c r="W561" s="47" t="str">
        <f t="shared" ca="1" si="22"/>
        <v/>
      </c>
      <c r="X561" s="47">
        <f ca="1">VLOOKUP($C561,OFFSET(quests!$A$1,0,0,COUNTA(quests!$A:$A),MATCH(X$2,quests!$1:$1,0)-MATCH($C$2,quests!$1:$1,0)+1),MATCH(X$2,quests!$1:$1,0)-MATCH($C$2,quests!$1:$1,0)+1,FALSE)</f>
        <v>0</v>
      </c>
      <c r="Y561" s="47">
        <f ca="1">VLOOKUP($C561,OFFSET(quests!$A$1,0,0,COUNTA(quests!$A:$A),MATCH(Y$2,quests!$1:$1,0)-MATCH($C$2,quests!$1:$1,0)+1),MATCH(Y$2,quests!$1:$1,0)-MATCH($C$2,quests!$1:$1,0)+1,FALSE)</f>
        <v>0</v>
      </c>
      <c r="Z561" s="47">
        <f ca="1">VLOOKUP($C561,OFFSET(quests!$A$1,0,0,COUNTA(quests!$A:$A),MATCH(Z$2,quests!$1:$1,0)-MATCH($C$2,quests!$1:$1,0)+1),MATCH(Z$2,quests!$1:$1,0)-MATCH($C$2,quests!$1:$1,0)+1,FALSE)</f>
        <v>0</v>
      </c>
      <c r="AA561" s="47">
        <f ca="1">VLOOKUP($C561,OFFSET(quests!$A$1,0,0,COUNTA(quests!$A:$A),MATCH(AA$2,quests!$1:$1,0)-MATCH($C$2,quests!$1:$1,0)+1),MATCH(AA$2,quests!$1:$1,0)-MATCH($C$2,quests!$1:$1,0)+1,FALSE)</f>
        <v>0</v>
      </c>
      <c r="AB561" s="7" t="s">
        <v>56</v>
      </c>
      <c r="AC561" s="7">
        <v>5</v>
      </c>
      <c r="AD561" s="7">
        <v>6</v>
      </c>
      <c r="AE561" s="7" t="s">
        <v>519</v>
      </c>
      <c r="AF561" s="96">
        <v>17</v>
      </c>
      <c r="AG561" s="7">
        <v>0</v>
      </c>
      <c r="AH561" s="7">
        <v>0</v>
      </c>
      <c r="AI561" s="7">
        <v>-1</v>
      </c>
      <c r="AJ561" s="7">
        <v>-1</v>
      </c>
      <c r="AK561" s="7" t="s">
        <v>1065</v>
      </c>
      <c r="AL561" s="12" t="s">
        <v>1695</v>
      </c>
      <c r="AM561" s="12" t="s">
        <v>2072</v>
      </c>
    </row>
    <row r="562" spans="1:39" ht="21" customHeight="1" x14ac:dyDescent="0.15">
      <c r="A562" s="42" t="str">
        <f t="shared" si="21"/>
        <v>30013_1</v>
      </c>
      <c r="B562" s="23">
        <v>3</v>
      </c>
      <c r="C562" s="31">
        <v>30013</v>
      </c>
      <c r="D562" s="47" t="str">
        <f ca="1">VLOOKUP($C562,OFFSET(quests!$A$1,0,0,COUNTA(quests!$A:$A),MATCH(D$1,quests!$1:$1,0)-MATCH($C$2,quests!$1:$1,0)+1),MATCH(D$1,quests!$1:$1,0)-MATCH($C$2,quests!$1:$1,0)+1,FALSE)</f>
        <v>決戦・竜宮城</v>
      </c>
      <c r="E562" s="48" t="str">
        <f ca="1">VLOOKUP($C562,OFFSET(quests!$A$1,0,0,COUNTA(quests!$A:$A),MATCH(E$2,quests!$1:$1,0)-MATCH($C$2,quests!$1:$1,0)+1),MATCH(E$2,quests!$1:$1,0)-MATCH($C$2,quests!$1:$1,0)+1,FALSE)</f>
        <v>ドロップイベント4（マルチ専用）</v>
      </c>
      <c r="F562" s="7">
        <v>1</v>
      </c>
      <c r="G562" s="7" t="s">
        <v>382</v>
      </c>
      <c r="H562" s="12" t="s">
        <v>799</v>
      </c>
      <c r="I562" s="12" t="s">
        <v>576</v>
      </c>
      <c r="J562" s="12">
        <v>418</v>
      </c>
      <c r="K562" s="194">
        <v>30</v>
      </c>
      <c r="L562" s="195">
        <v>3300</v>
      </c>
      <c r="M562" s="167">
        <v>1</v>
      </c>
      <c r="N562" s="167">
        <v>1</v>
      </c>
      <c r="O562" s="167">
        <v>1</v>
      </c>
      <c r="P562" s="167">
        <v>1</v>
      </c>
      <c r="Q562" s="167">
        <v>1</v>
      </c>
      <c r="R562" s="167">
        <v>3</v>
      </c>
      <c r="S562" s="167" t="s">
        <v>79</v>
      </c>
      <c r="T562" s="167">
        <v>0</v>
      </c>
      <c r="U562" s="7" t="s">
        <v>169</v>
      </c>
      <c r="V562" s="7" t="s">
        <v>169</v>
      </c>
      <c r="W562" s="47" t="str">
        <f t="shared" ca="1" si="22"/>
        <v/>
      </c>
      <c r="X562" s="47">
        <f ca="1">VLOOKUP($C562,OFFSET(quests!$A$1,0,0,COUNTA(quests!$A:$A),MATCH(X$2,quests!$1:$1,0)-MATCH($C$2,quests!$1:$1,0)+1),MATCH(X$2,quests!$1:$1,0)-MATCH($C$2,quests!$1:$1,0)+1,FALSE)</f>
        <v>0</v>
      </c>
      <c r="Y562" s="47">
        <f ca="1">VLOOKUP($C562,OFFSET(quests!$A$1,0,0,COUNTA(quests!$A:$A),MATCH(Y$2,quests!$1:$1,0)-MATCH($C$2,quests!$1:$1,0)+1),MATCH(Y$2,quests!$1:$1,0)-MATCH($C$2,quests!$1:$1,0)+1,FALSE)</f>
        <v>0</v>
      </c>
      <c r="Z562" s="47">
        <f ca="1">VLOOKUP($C562,OFFSET(quests!$A$1,0,0,COUNTA(quests!$A:$A),MATCH(Z$2,quests!$1:$1,0)-MATCH($C$2,quests!$1:$1,0)+1),MATCH(Z$2,quests!$1:$1,0)-MATCH($C$2,quests!$1:$1,0)+1,FALSE)</f>
        <v>0</v>
      </c>
      <c r="AA562" s="47">
        <f ca="1">VLOOKUP($C562,OFFSET(quests!$A$1,0,0,COUNTA(quests!$A:$A),MATCH(AA$2,quests!$1:$1,0)-MATCH($C$2,quests!$1:$1,0)+1),MATCH(AA$2,quests!$1:$1,0)-MATCH($C$2,quests!$1:$1,0)+1,FALSE)</f>
        <v>0</v>
      </c>
      <c r="AB562" s="7" t="s">
        <v>56</v>
      </c>
      <c r="AC562" s="7">
        <v>17</v>
      </c>
      <c r="AD562" s="7">
        <v>6</v>
      </c>
      <c r="AE562" s="7" t="s">
        <v>519</v>
      </c>
      <c r="AF562" s="33">
        <v>11</v>
      </c>
      <c r="AG562" s="7">
        <v>0</v>
      </c>
      <c r="AH562" s="7">
        <v>0</v>
      </c>
      <c r="AI562" s="7">
        <v>-1</v>
      </c>
      <c r="AJ562" s="7">
        <v>-1</v>
      </c>
      <c r="AK562" s="7" t="s">
        <v>1065</v>
      </c>
      <c r="AL562" s="12" t="s">
        <v>1695</v>
      </c>
      <c r="AM562" s="12" t="s">
        <v>2072</v>
      </c>
    </row>
    <row r="563" spans="1:39" ht="21" customHeight="1" x14ac:dyDescent="0.15">
      <c r="A563" s="42" t="str">
        <f t="shared" si="21"/>
        <v>30013_2</v>
      </c>
      <c r="B563" s="23">
        <v>3</v>
      </c>
      <c r="C563" s="31">
        <v>30013</v>
      </c>
      <c r="D563" s="47" t="str">
        <f ca="1">VLOOKUP($C563,OFFSET(quests!$A$1,0,0,COUNTA(quests!$A:$A),MATCH(D$1,quests!$1:$1,0)-MATCH($C$2,quests!$1:$1,0)+1),MATCH(D$1,quests!$1:$1,0)-MATCH($C$2,quests!$1:$1,0)+1,FALSE)</f>
        <v>決戦・竜宮城</v>
      </c>
      <c r="E563" s="48" t="str">
        <f ca="1">VLOOKUP($C563,OFFSET(quests!$A$1,0,0,COUNTA(quests!$A:$A),MATCH(E$2,quests!$1:$1,0)-MATCH($C$2,quests!$1:$1,0)+1),MATCH(E$2,quests!$1:$1,0)-MATCH($C$2,quests!$1:$1,0)+1,FALSE)</f>
        <v>ドロップイベント4（マルチ専用）</v>
      </c>
      <c r="F563" s="7">
        <v>2</v>
      </c>
      <c r="G563" s="7" t="s">
        <v>382</v>
      </c>
      <c r="H563" s="12" t="s">
        <v>766</v>
      </c>
      <c r="I563" s="12" t="s">
        <v>534</v>
      </c>
      <c r="J563" s="12">
        <v>419</v>
      </c>
      <c r="K563" s="194">
        <v>35</v>
      </c>
      <c r="L563" s="195">
        <v>4200</v>
      </c>
      <c r="M563" s="167">
        <v>1</v>
      </c>
      <c r="N563" s="167">
        <v>1</v>
      </c>
      <c r="O563" s="167">
        <v>1</v>
      </c>
      <c r="P563" s="167">
        <v>1</v>
      </c>
      <c r="Q563" s="167">
        <v>1</v>
      </c>
      <c r="R563" s="167">
        <v>3</v>
      </c>
      <c r="S563" s="167" t="s">
        <v>278</v>
      </c>
      <c r="T563" s="167">
        <v>1</v>
      </c>
      <c r="U563" s="7" t="s">
        <v>169</v>
      </c>
      <c r="V563" s="7" t="s">
        <v>169</v>
      </c>
      <c r="W563" s="47" t="str">
        <f t="shared" ca="1" si="22"/>
        <v/>
      </c>
      <c r="X563" s="47">
        <f ca="1">VLOOKUP($C563,OFFSET(quests!$A$1,0,0,COUNTA(quests!$A:$A),MATCH(X$2,quests!$1:$1,0)-MATCH($C$2,quests!$1:$1,0)+1),MATCH(X$2,quests!$1:$1,0)-MATCH($C$2,quests!$1:$1,0)+1,FALSE)</f>
        <v>0</v>
      </c>
      <c r="Y563" s="47">
        <f ca="1">VLOOKUP($C563,OFFSET(quests!$A$1,0,0,COUNTA(quests!$A:$A),MATCH(Y$2,quests!$1:$1,0)-MATCH($C$2,quests!$1:$1,0)+1),MATCH(Y$2,quests!$1:$1,0)-MATCH($C$2,quests!$1:$1,0)+1,FALSE)</f>
        <v>0</v>
      </c>
      <c r="Z563" s="47">
        <f ca="1">VLOOKUP($C563,OFFSET(quests!$A$1,0,0,COUNTA(quests!$A:$A),MATCH(Z$2,quests!$1:$1,0)-MATCH($C$2,quests!$1:$1,0)+1),MATCH(Z$2,quests!$1:$1,0)-MATCH($C$2,quests!$1:$1,0)+1,FALSE)</f>
        <v>0</v>
      </c>
      <c r="AA563" s="47">
        <f ca="1">VLOOKUP($C563,OFFSET(quests!$A$1,0,0,COUNTA(quests!$A:$A),MATCH(AA$2,quests!$1:$1,0)-MATCH($C$2,quests!$1:$1,0)+1),MATCH(AA$2,quests!$1:$1,0)-MATCH($C$2,quests!$1:$1,0)+1,FALSE)</f>
        <v>0</v>
      </c>
      <c r="AB563" s="7" t="s">
        <v>56</v>
      </c>
      <c r="AC563" s="7">
        <v>17</v>
      </c>
      <c r="AD563" s="7">
        <v>6</v>
      </c>
      <c r="AE563" s="7" t="s">
        <v>519</v>
      </c>
      <c r="AF563" s="33">
        <v>11</v>
      </c>
      <c r="AG563" s="7">
        <v>0</v>
      </c>
      <c r="AH563" s="7">
        <v>0</v>
      </c>
      <c r="AI563" s="7">
        <v>-1</v>
      </c>
      <c r="AJ563" s="7">
        <v>-1</v>
      </c>
      <c r="AK563" s="7" t="s">
        <v>1065</v>
      </c>
      <c r="AL563" s="12" t="s">
        <v>1695</v>
      </c>
      <c r="AM563" s="12" t="s">
        <v>2072</v>
      </c>
    </row>
    <row r="564" spans="1:39" ht="21" customHeight="1" x14ac:dyDescent="0.15">
      <c r="A564" s="42" t="str">
        <f t="shared" si="21"/>
        <v>30014_1</v>
      </c>
      <c r="B564" s="23">
        <v>3</v>
      </c>
      <c r="C564" s="31">
        <v>30014</v>
      </c>
      <c r="D564" s="47" t="str">
        <f ca="1">VLOOKUP($C564,OFFSET(quests!$A$1,0,0,COUNTA(quests!$A:$A),MATCH(D$1,quests!$1:$1,0)-MATCH($C$2,quests!$1:$1,0)+1),MATCH(D$1,quests!$1:$1,0)-MATCH($C$2,quests!$1:$1,0)+1,FALSE)</f>
        <v>親指を突き立てろ！</v>
      </c>
      <c r="E564" s="48" t="str">
        <f ca="1">VLOOKUP($C564,OFFSET(quests!$A$1,0,0,COUNTA(quests!$A:$A),MATCH(E$2,quests!$1:$1,0)-MATCH($C$2,quests!$1:$1,0)+1),MATCH(E$2,quests!$1:$1,0)-MATCH($C$2,quests!$1:$1,0)+1,FALSE)</f>
        <v>ドロップイベント4（マルチ専用）</v>
      </c>
      <c r="F564" s="7">
        <v>1</v>
      </c>
      <c r="G564" s="7" t="s">
        <v>382</v>
      </c>
      <c r="H564" s="12" t="s">
        <v>800</v>
      </c>
      <c r="I564" s="12" t="s">
        <v>576</v>
      </c>
      <c r="J564" s="12">
        <v>420</v>
      </c>
      <c r="K564" s="194">
        <v>30</v>
      </c>
      <c r="L564" s="195">
        <v>3300</v>
      </c>
      <c r="M564" s="167">
        <v>1</v>
      </c>
      <c r="N564" s="167">
        <v>1</v>
      </c>
      <c r="O564" s="167">
        <v>1</v>
      </c>
      <c r="P564" s="167">
        <v>1</v>
      </c>
      <c r="Q564" s="167">
        <v>1</v>
      </c>
      <c r="R564" s="167">
        <v>3</v>
      </c>
      <c r="S564" s="167" t="s">
        <v>79</v>
      </c>
      <c r="T564" s="167">
        <v>0</v>
      </c>
      <c r="U564" s="7" t="s">
        <v>169</v>
      </c>
      <c r="V564" s="7" t="s">
        <v>169</v>
      </c>
      <c r="W564" s="47" t="str">
        <f t="shared" ca="1" si="22"/>
        <v/>
      </c>
      <c r="X564" s="47">
        <f ca="1">VLOOKUP($C564,OFFSET(quests!$A$1,0,0,COUNTA(quests!$A:$A),MATCH(X$2,quests!$1:$1,0)-MATCH($C$2,quests!$1:$1,0)+1),MATCH(X$2,quests!$1:$1,0)-MATCH($C$2,quests!$1:$1,0)+1,FALSE)</f>
        <v>0</v>
      </c>
      <c r="Y564" s="47">
        <f ca="1">VLOOKUP($C564,OFFSET(quests!$A$1,0,0,COUNTA(quests!$A:$A),MATCH(Y$2,quests!$1:$1,0)-MATCH($C$2,quests!$1:$1,0)+1),MATCH(Y$2,quests!$1:$1,0)-MATCH($C$2,quests!$1:$1,0)+1,FALSE)</f>
        <v>0</v>
      </c>
      <c r="Z564" s="47">
        <f ca="1">VLOOKUP($C564,OFFSET(quests!$A$1,0,0,COUNTA(quests!$A:$A),MATCH(Z$2,quests!$1:$1,0)-MATCH($C$2,quests!$1:$1,0)+1),MATCH(Z$2,quests!$1:$1,0)-MATCH($C$2,quests!$1:$1,0)+1,FALSE)</f>
        <v>0</v>
      </c>
      <c r="AA564" s="47">
        <f ca="1">VLOOKUP($C564,OFFSET(quests!$A$1,0,0,COUNTA(quests!$A:$A),MATCH(AA$2,quests!$1:$1,0)-MATCH($C$2,quests!$1:$1,0)+1),MATCH(AA$2,quests!$1:$1,0)-MATCH($C$2,quests!$1:$1,0)+1,FALSE)</f>
        <v>0</v>
      </c>
      <c r="AB564" s="7" t="s">
        <v>56</v>
      </c>
      <c r="AC564" s="7">
        <v>23</v>
      </c>
      <c r="AD564" s="7">
        <v>5</v>
      </c>
      <c r="AE564" s="7" t="s">
        <v>519</v>
      </c>
      <c r="AF564" s="96">
        <v>17</v>
      </c>
      <c r="AG564" s="7">
        <v>0</v>
      </c>
      <c r="AH564" s="7">
        <v>0</v>
      </c>
      <c r="AI564" s="7">
        <v>-1</v>
      </c>
      <c r="AJ564" s="7">
        <v>-1</v>
      </c>
      <c r="AK564" s="7" t="s">
        <v>1065</v>
      </c>
      <c r="AL564" s="12" t="s">
        <v>1695</v>
      </c>
      <c r="AM564" s="12" t="s">
        <v>2072</v>
      </c>
    </row>
    <row r="565" spans="1:39" ht="21" customHeight="1" x14ac:dyDescent="0.15">
      <c r="A565" s="42" t="str">
        <f t="shared" si="21"/>
        <v>30014_2</v>
      </c>
      <c r="B565" s="23">
        <v>3</v>
      </c>
      <c r="C565" s="31">
        <v>30014</v>
      </c>
      <c r="D565" s="47" t="str">
        <f ca="1">VLOOKUP($C565,OFFSET(quests!$A$1,0,0,COUNTA(quests!$A:$A),MATCH(D$1,quests!$1:$1,0)-MATCH($C$2,quests!$1:$1,0)+1),MATCH(D$1,quests!$1:$1,0)-MATCH($C$2,quests!$1:$1,0)+1,FALSE)</f>
        <v>親指を突き立てろ！</v>
      </c>
      <c r="E565" s="48" t="str">
        <f ca="1">VLOOKUP($C565,OFFSET(quests!$A$1,0,0,COUNTA(quests!$A:$A),MATCH(E$2,quests!$1:$1,0)-MATCH($C$2,quests!$1:$1,0)+1),MATCH(E$2,quests!$1:$1,0)-MATCH($C$2,quests!$1:$1,0)+1,FALSE)</f>
        <v>ドロップイベント4（マルチ専用）</v>
      </c>
      <c r="F565" s="7">
        <v>2</v>
      </c>
      <c r="G565" s="7" t="s">
        <v>382</v>
      </c>
      <c r="H565" s="12" t="s">
        <v>767</v>
      </c>
      <c r="I565" s="12" t="s">
        <v>534</v>
      </c>
      <c r="J565" s="12">
        <v>421</v>
      </c>
      <c r="K565" s="194">
        <v>35</v>
      </c>
      <c r="L565" s="195">
        <v>4200</v>
      </c>
      <c r="M565" s="167">
        <v>1</v>
      </c>
      <c r="N565" s="167">
        <v>1</v>
      </c>
      <c r="O565" s="167">
        <v>1</v>
      </c>
      <c r="P565" s="167">
        <v>1</v>
      </c>
      <c r="Q565" s="167">
        <v>1</v>
      </c>
      <c r="R565" s="167">
        <v>3</v>
      </c>
      <c r="S565" s="167" t="s">
        <v>278</v>
      </c>
      <c r="T565" s="167">
        <v>1</v>
      </c>
      <c r="U565" s="7" t="s">
        <v>169</v>
      </c>
      <c r="V565" s="7" t="s">
        <v>169</v>
      </c>
      <c r="W565" s="47" t="str">
        <f t="shared" ca="1" si="22"/>
        <v/>
      </c>
      <c r="X565" s="47">
        <f ca="1">VLOOKUP($C565,OFFSET(quests!$A$1,0,0,COUNTA(quests!$A:$A),MATCH(X$2,quests!$1:$1,0)-MATCH($C$2,quests!$1:$1,0)+1),MATCH(X$2,quests!$1:$1,0)-MATCH($C$2,quests!$1:$1,0)+1,FALSE)</f>
        <v>0</v>
      </c>
      <c r="Y565" s="47">
        <f ca="1">VLOOKUP($C565,OFFSET(quests!$A$1,0,0,COUNTA(quests!$A:$A),MATCH(Y$2,quests!$1:$1,0)-MATCH($C$2,quests!$1:$1,0)+1),MATCH(Y$2,quests!$1:$1,0)-MATCH($C$2,quests!$1:$1,0)+1,FALSE)</f>
        <v>0</v>
      </c>
      <c r="Z565" s="47">
        <f ca="1">VLOOKUP($C565,OFFSET(quests!$A$1,0,0,COUNTA(quests!$A:$A),MATCH(Z$2,quests!$1:$1,0)-MATCH($C$2,quests!$1:$1,0)+1),MATCH(Z$2,quests!$1:$1,0)-MATCH($C$2,quests!$1:$1,0)+1,FALSE)</f>
        <v>0</v>
      </c>
      <c r="AA565" s="47">
        <f ca="1">VLOOKUP($C565,OFFSET(quests!$A$1,0,0,COUNTA(quests!$A:$A),MATCH(AA$2,quests!$1:$1,0)-MATCH($C$2,quests!$1:$1,0)+1),MATCH(AA$2,quests!$1:$1,0)-MATCH($C$2,quests!$1:$1,0)+1,FALSE)</f>
        <v>0</v>
      </c>
      <c r="AB565" s="7" t="s">
        <v>56</v>
      </c>
      <c r="AC565" s="7">
        <v>23</v>
      </c>
      <c r="AD565" s="7">
        <v>5</v>
      </c>
      <c r="AE565" s="7" t="s">
        <v>519</v>
      </c>
      <c r="AF565" s="96">
        <v>17</v>
      </c>
      <c r="AG565" s="7">
        <v>0</v>
      </c>
      <c r="AH565" s="7">
        <v>0</v>
      </c>
      <c r="AI565" s="7">
        <v>-1</v>
      </c>
      <c r="AJ565" s="7">
        <v>-1</v>
      </c>
      <c r="AK565" s="7" t="s">
        <v>1065</v>
      </c>
      <c r="AL565" s="12" t="s">
        <v>1695</v>
      </c>
      <c r="AM565" s="12" t="s">
        <v>2072</v>
      </c>
    </row>
    <row r="566" spans="1:39" ht="21" customHeight="1" x14ac:dyDescent="0.15">
      <c r="A566" s="42" t="str">
        <f t="shared" si="21"/>
        <v>30015_1</v>
      </c>
      <c r="B566" s="23">
        <v>3</v>
      </c>
      <c r="C566" s="31">
        <v>30015</v>
      </c>
      <c r="D566" s="47" t="str">
        <f ca="1">VLOOKUP($C566,OFFSET(quests!$A$1,0,0,COUNTA(quests!$A:$A),MATCH(D$1,quests!$1:$1,0)-MATCH($C$2,quests!$1:$1,0)+1),MATCH(D$1,quests!$1:$1,0)-MATCH($C$2,quests!$1:$1,0)+1,FALSE)</f>
        <v>兄妹の大冒険</v>
      </c>
      <c r="E566" s="48" t="str">
        <f ca="1">VLOOKUP($C566,OFFSET(quests!$A$1,0,0,COUNTA(quests!$A:$A),MATCH(E$2,quests!$1:$1,0)-MATCH($C$2,quests!$1:$1,0)+1),MATCH(E$2,quests!$1:$1,0)-MATCH($C$2,quests!$1:$1,0)+1,FALSE)</f>
        <v>ドロップイベント4（マルチ専用）</v>
      </c>
      <c r="F566" s="7">
        <v>1</v>
      </c>
      <c r="G566" s="7" t="s">
        <v>382</v>
      </c>
      <c r="H566" s="12" t="s">
        <v>801</v>
      </c>
      <c r="I566" s="12" t="s">
        <v>576</v>
      </c>
      <c r="J566" s="12">
        <v>422</v>
      </c>
      <c r="K566" s="194">
        <v>30</v>
      </c>
      <c r="L566" s="195">
        <v>3300</v>
      </c>
      <c r="M566" s="167">
        <v>1</v>
      </c>
      <c r="N566" s="167">
        <v>1</v>
      </c>
      <c r="O566" s="167">
        <v>1</v>
      </c>
      <c r="P566" s="167">
        <v>1</v>
      </c>
      <c r="Q566" s="167">
        <v>1</v>
      </c>
      <c r="R566" s="167">
        <v>3</v>
      </c>
      <c r="S566" s="167" t="s">
        <v>79</v>
      </c>
      <c r="T566" s="167">
        <v>0</v>
      </c>
      <c r="U566" s="7" t="s">
        <v>169</v>
      </c>
      <c r="V566" s="7" t="s">
        <v>169</v>
      </c>
      <c r="W566" s="47" t="str">
        <f t="shared" ca="1" si="22"/>
        <v/>
      </c>
      <c r="X566" s="47">
        <f ca="1">VLOOKUP($C566,OFFSET(quests!$A$1,0,0,COUNTA(quests!$A:$A),MATCH(X$2,quests!$1:$1,0)-MATCH($C$2,quests!$1:$1,0)+1),MATCH(X$2,quests!$1:$1,0)-MATCH($C$2,quests!$1:$1,0)+1,FALSE)</f>
        <v>0</v>
      </c>
      <c r="Y566" s="47">
        <f ca="1">VLOOKUP($C566,OFFSET(quests!$A$1,0,0,COUNTA(quests!$A:$A),MATCH(Y$2,quests!$1:$1,0)-MATCH($C$2,quests!$1:$1,0)+1),MATCH(Y$2,quests!$1:$1,0)-MATCH($C$2,quests!$1:$1,0)+1,FALSE)</f>
        <v>0</v>
      </c>
      <c r="Z566" s="47">
        <f ca="1">VLOOKUP($C566,OFFSET(quests!$A$1,0,0,COUNTA(quests!$A:$A),MATCH(Z$2,quests!$1:$1,0)-MATCH($C$2,quests!$1:$1,0)+1),MATCH(Z$2,quests!$1:$1,0)-MATCH($C$2,quests!$1:$1,0)+1,FALSE)</f>
        <v>0</v>
      </c>
      <c r="AA566" s="47">
        <f ca="1">VLOOKUP($C566,OFFSET(quests!$A$1,0,0,COUNTA(quests!$A:$A),MATCH(AA$2,quests!$1:$1,0)-MATCH($C$2,quests!$1:$1,0)+1),MATCH(AA$2,quests!$1:$1,0)-MATCH($C$2,quests!$1:$1,0)+1,FALSE)</f>
        <v>0</v>
      </c>
      <c r="AB566" s="7" t="s">
        <v>56</v>
      </c>
      <c r="AC566" s="7">
        <v>16</v>
      </c>
      <c r="AD566" s="7">
        <v>6</v>
      </c>
      <c r="AE566" s="7" t="s">
        <v>519</v>
      </c>
      <c r="AF566" s="255">
        <v>16</v>
      </c>
      <c r="AG566" s="7">
        <v>0</v>
      </c>
      <c r="AH566" s="7">
        <v>0</v>
      </c>
      <c r="AI566" s="7">
        <v>-1</v>
      </c>
      <c r="AJ566" s="7">
        <v>-1</v>
      </c>
      <c r="AK566" s="7" t="s">
        <v>1065</v>
      </c>
      <c r="AL566" s="12" t="s">
        <v>1695</v>
      </c>
      <c r="AM566" s="12" t="s">
        <v>2072</v>
      </c>
    </row>
    <row r="567" spans="1:39" ht="21" customHeight="1" x14ac:dyDescent="0.15">
      <c r="A567" s="42" t="str">
        <f t="shared" ref="A567:A630" si="23">C567&amp;"_"&amp;F567</f>
        <v>30015_2</v>
      </c>
      <c r="B567" s="23">
        <v>3</v>
      </c>
      <c r="C567" s="31">
        <v>30015</v>
      </c>
      <c r="D567" s="47" t="str">
        <f ca="1">VLOOKUP($C567,OFFSET(quests!$A$1,0,0,COUNTA(quests!$A:$A),MATCH(D$1,quests!$1:$1,0)-MATCH($C$2,quests!$1:$1,0)+1),MATCH(D$1,quests!$1:$1,0)-MATCH($C$2,quests!$1:$1,0)+1,FALSE)</f>
        <v>兄妹の大冒険</v>
      </c>
      <c r="E567" s="48" t="str">
        <f ca="1">VLOOKUP($C567,OFFSET(quests!$A$1,0,0,COUNTA(quests!$A:$A),MATCH(E$2,quests!$1:$1,0)-MATCH($C$2,quests!$1:$1,0)+1),MATCH(E$2,quests!$1:$1,0)-MATCH($C$2,quests!$1:$1,0)+1,FALSE)</f>
        <v>ドロップイベント4（マルチ専用）</v>
      </c>
      <c r="F567" s="7">
        <v>2</v>
      </c>
      <c r="G567" s="7" t="s">
        <v>382</v>
      </c>
      <c r="H567" s="12" t="s">
        <v>768</v>
      </c>
      <c r="I567" s="12" t="s">
        <v>534</v>
      </c>
      <c r="J567" s="12">
        <v>423</v>
      </c>
      <c r="K567" s="194">
        <v>35</v>
      </c>
      <c r="L567" s="195">
        <v>4200</v>
      </c>
      <c r="M567" s="167">
        <v>1</v>
      </c>
      <c r="N567" s="167">
        <v>1</v>
      </c>
      <c r="O567" s="167">
        <v>1</v>
      </c>
      <c r="P567" s="167">
        <v>1</v>
      </c>
      <c r="Q567" s="167">
        <v>1</v>
      </c>
      <c r="R567" s="167">
        <v>3</v>
      </c>
      <c r="S567" s="167" t="s">
        <v>278</v>
      </c>
      <c r="T567" s="167">
        <v>1</v>
      </c>
      <c r="U567" s="7" t="s">
        <v>169</v>
      </c>
      <c r="V567" s="7" t="s">
        <v>169</v>
      </c>
      <c r="W567" s="47" t="str">
        <f t="shared" ca="1" si="22"/>
        <v/>
      </c>
      <c r="X567" s="47">
        <f ca="1">VLOOKUP($C567,OFFSET(quests!$A$1,0,0,COUNTA(quests!$A:$A),MATCH(X$2,quests!$1:$1,0)-MATCH($C$2,quests!$1:$1,0)+1),MATCH(X$2,quests!$1:$1,0)-MATCH($C$2,quests!$1:$1,0)+1,FALSE)</f>
        <v>0</v>
      </c>
      <c r="Y567" s="47">
        <f ca="1">VLOOKUP($C567,OFFSET(quests!$A$1,0,0,COUNTA(quests!$A:$A),MATCH(Y$2,quests!$1:$1,0)-MATCH($C$2,quests!$1:$1,0)+1),MATCH(Y$2,quests!$1:$1,0)-MATCH($C$2,quests!$1:$1,0)+1,FALSE)</f>
        <v>0</v>
      </c>
      <c r="Z567" s="47">
        <f ca="1">VLOOKUP($C567,OFFSET(quests!$A$1,0,0,COUNTA(quests!$A:$A),MATCH(Z$2,quests!$1:$1,0)-MATCH($C$2,quests!$1:$1,0)+1),MATCH(Z$2,quests!$1:$1,0)-MATCH($C$2,quests!$1:$1,0)+1,FALSE)</f>
        <v>0</v>
      </c>
      <c r="AA567" s="47">
        <f ca="1">VLOOKUP($C567,OFFSET(quests!$A$1,0,0,COUNTA(quests!$A:$A),MATCH(AA$2,quests!$1:$1,0)-MATCH($C$2,quests!$1:$1,0)+1),MATCH(AA$2,quests!$1:$1,0)-MATCH($C$2,quests!$1:$1,0)+1,FALSE)</f>
        <v>0</v>
      </c>
      <c r="AB567" s="7" t="s">
        <v>56</v>
      </c>
      <c r="AC567" s="7">
        <v>16</v>
      </c>
      <c r="AD567" s="7">
        <v>6</v>
      </c>
      <c r="AE567" s="7" t="s">
        <v>519</v>
      </c>
      <c r="AF567" s="255">
        <v>16</v>
      </c>
      <c r="AG567" s="7">
        <v>0</v>
      </c>
      <c r="AH567" s="7">
        <v>0</v>
      </c>
      <c r="AI567" s="7">
        <v>-1</v>
      </c>
      <c r="AJ567" s="7">
        <v>-1</v>
      </c>
      <c r="AK567" s="7" t="s">
        <v>1065</v>
      </c>
      <c r="AL567" s="12" t="s">
        <v>1695</v>
      </c>
      <c r="AM567" s="12" t="s">
        <v>2072</v>
      </c>
    </row>
    <row r="568" spans="1:39" ht="21" customHeight="1" x14ac:dyDescent="0.15">
      <c r="A568" s="42" t="str">
        <f t="shared" si="23"/>
        <v>30016_1</v>
      </c>
      <c r="B568" s="23">
        <v>3</v>
      </c>
      <c r="C568" s="31">
        <v>30016</v>
      </c>
      <c r="D568" s="47" t="str">
        <f ca="1">VLOOKUP($C568,OFFSET(quests!$A$1,0,0,COUNTA(quests!$A:$A),MATCH(D$1,quests!$1:$1,0)-MATCH($C$2,quests!$1:$1,0)+1),MATCH(D$1,quests!$1:$1,0)-MATCH($C$2,quests!$1:$1,0)+1,FALSE)</f>
        <v>私がワニの天敵よ？</v>
      </c>
      <c r="E568" s="48" t="str">
        <f ca="1">VLOOKUP($C568,OFFSET(quests!$A$1,0,0,COUNTA(quests!$A:$A),MATCH(E$2,quests!$1:$1,0)-MATCH($C$2,quests!$1:$1,0)+1),MATCH(E$2,quests!$1:$1,0)-MATCH($C$2,quests!$1:$1,0)+1,FALSE)</f>
        <v>ドロップイベント4（マルチ専用）</v>
      </c>
      <c r="F568" s="7">
        <v>1</v>
      </c>
      <c r="G568" s="7" t="s">
        <v>382</v>
      </c>
      <c r="H568" s="12" t="s">
        <v>769</v>
      </c>
      <c r="I568" s="12" t="s">
        <v>576</v>
      </c>
      <c r="J568" s="12">
        <v>424</v>
      </c>
      <c r="K568" s="194">
        <v>30</v>
      </c>
      <c r="L568" s="195">
        <v>3300</v>
      </c>
      <c r="M568" s="167">
        <v>1</v>
      </c>
      <c r="N568" s="167">
        <v>1</v>
      </c>
      <c r="O568" s="167">
        <v>1</v>
      </c>
      <c r="P568" s="167">
        <v>1</v>
      </c>
      <c r="Q568" s="167">
        <v>1</v>
      </c>
      <c r="R568" s="167">
        <v>3</v>
      </c>
      <c r="S568" s="167" t="s">
        <v>79</v>
      </c>
      <c r="T568" s="167">
        <v>0</v>
      </c>
      <c r="U568" s="7" t="s">
        <v>169</v>
      </c>
      <c r="V568" s="7" t="s">
        <v>169</v>
      </c>
      <c r="W568" s="47" t="str">
        <f t="shared" ca="1" si="22"/>
        <v/>
      </c>
      <c r="X568" s="47">
        <f ca="1">VLOOKUP($C568,OFFSET(quests!$A$1,0,0,COUNTA(quests!$A:$A),MATCH(X$2,quests!$1:$1,0)-MATCH($C$2,quests!$1:$1,0)+1),MATCH(X$2,quests!$1:$1,0)-MATCH($C$2,quests!$1:$1,0)+1,FALSE)</f>
        <v>0</v>
      </c>
      <c r="Y568" s="47">
        <f ca="1">VLOOKUP($C568,OFFSET(quests!$A$1,0,0,COUNTA(quests!$A:$A),MATCH(Y$2,quests!$1:$1,0)-MATCH($C$2,quests!$1:$1,0)+1),MATCH(Y$2,quests!$1:$1,0)-MATCH($C$2,quests!$1:$1,0)+1,FALSE)</f>
        <v>0</v>
      </c>
      <c r="Z568" s="47">
        <f ca="1">VLOOKUP($C568,OFFSET(quests!$A$1,0,0,COUNTA(quests!$A:$A),MATCH(Z$2,quests!$1:$1,0)-MATCH($C$2,quests!$1:$1,0)+1),MATCH(Z$2,quests!$1:$1,0)-MATCH($C$2,quests!$1:$1,0)+1,FALSE)</f>
        <v>0</v>
      </c>
      <c r="AA568" s="47">
        <f ca="1">VLOOKUP($C568,OFFSET(quests!$A$1,0,0,COUNTA(quests!$A:$A),MATCH(AA$2,quests!$1:$1,0)-MATCH($C$2,quests!$1:$1,0)+1),MATCH(AA$2,quests!$1:$1,0)-MATCH($C$2,quests!$1:$1,0)+1,FALSE)</f>
        <v>0</v>
      </c>
      <c r="AB568" s="7" t="s">
        <v>56</v>
      </c>
      <c r="AC568" s="7">
        <v>4</v>
      </c>
      <c r="AD568" s="7">
        <v>6</v>
      </c>
      <c r="AE568" s="7" t="s">
        <v>519</v>
      </c>
      <c r="AF568" s="96">
        <v>17</v>
      </c>
      <c r="AG568" s="7">
        <v>0</v>
      </c>
      <c r="AH568" s="7">
        <v>0</v>
      </c>
      <c r="AI568" s="7">
        <v>-1</v>
      </c>
      <c r="AJ568" s="7">
        <v>-1</v>
      </c>
      <c r="AK568" s="7" t="s">
        <v>1065</v>
      </c>
      <c r="AL568" s="12" t="s">
        <v>1695</v>
      </c>
      <c r="AM568" s="12" t="s">
        <v>2072</v>
      </c>
    </row>
    <row r="569" spans="1:39" ht="21" customHeight="1" x14ac:dyDescent="0.15">
      <c r="A569" s="42" t="str">
        <f t="shared" si="23"/>
        <v>30016_2</v>
      </c>
      <c r="B569" s="23">
        <v>3</v>
      </c>
      <c r="C569" s="31">
        <v>30016</v>
      </c>
      <c r="D569" s="47" t="str">
        <f ca="1">VLOOKUP($C569,OFFSET(quests!$A$1,0,0,COUNTA(quests!$A:$A),MATCH(D$1,quests!$1:$1,0)-MATCH($C$2,quests!$1:$1,0)+1),MATCH(D$1,quests!$1:$1,0)-MATCH($C$2,quests!$1:$1,0)+1,FALSE)</f>
        <v>私がワニの天敵よ？</v>
      </c>
      <c r="E569" s="48" t="str">
        <f ca="1">VLOOKUP($C569,OFFSET(quests!$A$1,0,0,COUNTA(quests!$A:$A),MATCH(E$2,quests!$1:$1,0)-MATCH($C$2,quests!$1:$1,0)+1),MATCH(E$2,quests!$1:$1,0)-MATCH($C$2,quests!$1:$1,0)+1,FALSE)</f>
        <v>ドロップイベント4（マルチ専用）</v>
      </c>
      <c r="F569" s="7">
        <v>2</v>
      </c>
      <c r="G569" s="7" t="s">
        <v>382</v>
      </c>
      <c r="H569" s="12" t="s">
        <v>770</v>
      </c>
      <c r="I569" s="12" t="s">
        <v>534</v>
      </c>
      <c r="J569" s="12">
        <v>425</v>
      </c>
      <c r="K569" s="194">
        <v>35</v>
      </c>
      <c r="L569" s="195">
        <v>4200</v>
      </c>
      <c r="M569" s="167">
        <v>1</v>
      </c>
      <c r="N569" s="167">
        <v>1</v>
      </c>
      <c r="O569" s="167">
        <v>1</v>
      </c>
      <c r="P569" s="167">
        <v>1</v>
      </c>
      <c r="Q569" s="167">
        <v>1</v>
      </c>
      <c r="R569" s="167">
        <v>3</v>
      </c>
      <c r="S569" s="167" t="s">
        <v>278</v>
      </c>
      <c r="T569" s="167">
        <v>1</v>
      </c>
      <c r="U569" s="7" t="s">
        <v>169</v>
      </c>
      <c r="V569" s="7" t="s">
        <v>169</v>
      </c>
      <c r="W569" s="47" t="str">
        <f t="shared" ca="1" si="22"/>
        <v/>
      </c>
      <c r="X569" s="47">
        <f ca="1">VLOOKUP($C569,OFFSET(quests!$A$1,0,0,COUNTA(quests!$A:$A),MATCH(X$2,quests!$1:$1,0)-MATCH($C$2,quests!$1:$1,0)+1),MATCH(X$2,quests!$1:$1,0)-MATCH($C$2,quests!$1:$1,0)+1,FALSE)</f>
        <v>0</v>
      </c>
      <c r="Y569" s="47">
        <f ca="1">VLOOKUP($C569,OFFSET(quests!$A$1,0,0,COUNTA(quests!$A:$A),MATCH(Y$2,quests!$1:$1,0)-MATCH($C$2,quests!$1:$1,0)+1),MATCH(Y$2,quests!$1:$1,0)-MATCH($C$2,quests!$1:$1,0)+1,FALSE)</f>
        <v>0</v>
      </c>
      <c r="Z569" s="47">
        <f ca="1">VLOOKUP($C569,OFFSET(quests!$A$1,0,0,COUNTA(quests!$A:$A),MATCH(Z$2,quests!$1:$1,0)-MATCH($C$2,quests!$1:$1,0)+1),MATCH(Z$2,quests!$1:$1,0)-MATCH($C$2,quests!$1:$1,0)+1,FALSE)</f>
        <v>0</v>
      </c>
      <c r="AA569" s="47">
        <f ca="1">VLOOKUP($C569,OFFSET(quests!$A$1,0,0,COUNTA(quests!$A:$A),MATCH(AA$2,quests!$1:$1,0)-MATCH($C$2,quests!$1:$1,0)+1),MATCH(AA$2,quests!$1:$1,0)-MATCH($C$2,quests!$1:$1,0)+1,FALSE)</f>
        <v>0</v>
      </c>
      <c r="AB569" s="7" t="s">
        <v>56</v>
      </c>
      <c r="AC569" s="7">
        <v>4</v>
      </c>
      <c r="AD569" s="7">
        <v>6</v>
      </c>
      <c r="AE569" s="7" t="s">
        <v>519</v>
      </c>
      <c r="AF569" s="96">
        <v>17</v>
      </c>
      <c r="AG569" s="7">
        <v>0</v>
      </c>
      <c r="AH569" s="7">
        <v>0</v>
      </c>
      <c r="AI569" s="7">
        <v>-1</v>
      </c>
      <c r="AJ569" s="7">
        <v>-1</v>
      </c>
      <c r="AK569" s="7" t="s">
        <v>1065</v>
      </c>
      <c r="AL569" s="12" t="s">
        <v>1695</v>
      </c>
      <c r="AM569" s="12" t="s">
        <v>2072</v>
      </c>
    </row>
    <row r="570" spans="1:39" ht="21" customHeight="1" x14ac:dyDescent="0.15">
      <c r="A570" s="42" t="str">
        <f t="shared" si="23"/>
        <v>30017_1</v>
      </c>
      <c r="B570" s="23">
        <v>3</v>
      </c>
      <c r="C570" s="31">
        <v>30017</v>
      </c>
      <c r="D570" s="47" t="str">
        <f ca="1">VLOOKUP($C570,OFFSET(quests!$A$1,0,0,COUNTA(quests!$A:$A),MATCH(D$1,quests!$1:$1,0)-MATCH($C$2,quests!$1:$1,0)+1),MATCH(D$1,quests!$1:$1,0)-MATCH($C$2,quests!$1:$1,0)+1,FALSE)</f>
        <v>狩人の挽歌</v>
      </c>
      <c r="E570" s="48" t="str">
        <f ca="1">VLOOKUP($C570,OFFSET(quests!$A$1,0,0,COUNTA(quests!$A:$A),MATCH(E$2,quests!$1:$1,0)-MATCH($C$2,quests!$1:$1,0)+1),MATCH(E$2,quests!$1:$1,0)-MATCH($C$2,quests!$1:$1,0)+1,FALSE)</f>
        <v>ドロップイベント5（マルチ専用）</v>
      </c>
      <c r="F570" s="7">
        <v>1</v>
      </c>
      <c r="G570" s="7" t="s">
        <v>382</v>
      </c>
      <c r="H570" s="12" t="s">
        <v>771</v>
      </c>
      <c r="I570" s="12" t="s">
        <v>576</v>
      </c>
      <c r="J570" s="12">
        <v>452</v>
      </c>
      <c r="K570" s="194">
        <v>30</v>
      </c>
      <c r="L570" s="195">
        <v>3300</v>
      </c>
      <c r="M570" s="167">
        <v>1</v>
      </c>
      <c r="N570" s="167">
        <v>1</v>
      </c>
      <c r="O570" s="167">
        <v>1</v>
      </c>
      <c r="P570" s="167">
        <v>1</v>
      </c>
      <c r="Q570" s="167">
        <v>1</v>
      </c>
      <c r="R570" s="167">
        <v>3</v>
      </c>
      <c r="S570" s="167" t="s">
        <v>79</v>
      </c>
      <c r="T570" s="167">
        <v>0</v>
      </c>
      <c r="U570" s="7" t="s">
        <v>169</v>
      </c>
      <c r="V570" s="7" t="s">
        <v>169</v>
      </c>
      <c r="W570" s="47" t="str">
        <f t="shared" ca="1" si="22"/>
        <v/>
      </c>
      <c r="X570" s="47">
        <f ca="1">VLOOKUP($C570,OFFSET(quests!$A$1,0,0,COUNTA(quests!$A:$A),MATCH(X$2,quests!$1:$1,0)-MATCH($C$2,quests!$1:$1,0)+1),MATCH(X$2,quests!$1:$1,0)-MATCH($C$2,quests!$1:$1,0)+1,FALSE)</f>
        <v>0</v>
      </c>
      <c r="Y570" s="47">
        <f ca="1">VLOOKUP($C570,OFFSET(quests!$A$1,0,0,COUNTA(quests!$A:$A),MATCH(Y$2,quests!$1:$1,0)-MATCH($C$2,quests!$1:$1,0)+1),MATCH(Y$2,quests!$1:$1,0)-MATCH($C$2,quests!$1:$1,0)+1,FALSE)</f>
        <v>0</v>
      </c>
      <c r="Z570" s="47">
        <f ca="1">VLOOKUP($C570,OFFSET(quests!$A$1,0,0,COUNTA(quests!$A:$A),MATCH(Z$2,quests!$1:$1,0)-MATCH($C$2,quests!$1:$1,0)+1),MATCH(Z$2,quests!$1:$1,0)-MATCH($C$2,quests!$1:$1,0)+1,FALSE)</f>
        <v>0</v>
      </c>
      <c r="AA570" s="47">
        <f ca="1">VLOOKUP($C570,OFFSET(quests!$A$1,0,0,COUNTA(quests!$A:$A),MATCH(AA$2,quests!$1:$1,0)-MATCH($C$2,quests!$1:$1,0)+1),MATCH(AA$2,quests!$1:$1,0)-MATCH($C$2,quests!$1:$1,0)+1,FALSE)</f>
        <v>0</v>
      </c>
      <c r="AB570" s="7" t="s">
        <v>56</v>
      </c>
      <c r="AC570" s="7">
        <v>20</v>
      </c>
      <c r="AD570" s="7">
        <v>6</v>
      </c>
      <c r="AE570" s="7" t="s">
        <v>541</v>
      </c>
      <c r="AF570" s="33">
        <v>11</v>
      </c>
      <c r="AG570" s="7">
        <v>0</v>
      </c>
      <c r="AH570" s="7">
        <v>0</v>
      </c>
      <c r="AI570" s="7">
        <v>-1</v>
      </c>
      <c r="AJ570" s="7">
        <v>-1</v>
      </c>
      <c r="AK570" s="7" t="s">
        <v>1065</v>
      </c>
      <c r="AL570" s="12" t="s">
        <v>1695</v>
      </c>
      <c r="AM570" s="12" t="s">
        <v>2072</v>
      </c>
    </row>
    <row r="571" spans="1:39" ht="21" customHeight="1" x14ac:dyDescent="0.15">
      <c r="A571" s="42" t="str">
        <f t="shared" si="23"/>
        <v>30017_2</v>
      </c>
      <c r="B571" s="23">
        <v>3</v>
      </c>
      <c r="C571" s="31">
        <v>30017</v>
      </c>
      <c r="D571" s="47" t="str">
        <f ca="1">VLOOKUP($C571,OFFSET(quests!$A$1,0,0,COUNTA(quests!$A:$A),MATCH(D$1,quests!$1:$1,0)-MATCH($C$2,quests!$1:$1,0)+1),MATCH(D$1,quests!$1:$1,0)-MATCH($C$2,quests!$1:$1,0)+1,FALSE)</f>
        <v>狩人の挽歌</v>
      </c>
      <c r="E571" s="48" t="str">
        <f ca="1">VLOOKUP($C571,OFFSET(quests!$A$1,0,0,COUNTA(quests!$A:$A),MATCH(E$2,quests!$1:$1,0)-MATCH($C$2,quests!$1:$1,0)+1),MATCH(E$2,quests!$1:$1,0)-MATCH($C$2,quests!$1:$1,0)+1,FALSE)</f>
        <v>ドロップイベント5（マルチ専用）</v>
      </c>
      <c r="F571" s="7">
        <v>2</v>
      </c>
      <c r="G571" s="7" t="s">
        <v>382</v>
      </c>
      <c r="H571" s="12" t="s">
        <v>772</v>
      </c>
      <c r="I571" s="12" t="s">
        <v>534</v>
      </c>
      <c r="J571" s="12">
        <v>453</v>
      </c>
      <c r="K571" s="194">
        <v>35</v>
      </c>
      <c r="L571" s="195">
        <v>4200</v>
      </c>
      <c r="M571" s="167">
        <v>1</v>
      </c>
      <c r="N571" s="167">
        <v>1</v>
      </c>
      <c r="O571" s="167">
        <v>1</v>
      </c>
      <c r="P571" s="167">
        <v>1</v>
      </c>
      <c r="Q571" s="167">
        <v>1</v>
      </c>
      <c r="R571" s="167">
        <v>3</v>
      </c>
      <c r="S571" s="167" t="s">
        <v>278</v>
      </c>
      <c r="T571" s="167">
        <v>1</v>
      </c>
      <c r="U571" s="7" t="s">
        <v>169</v>
      </c>
      <c r="V571" s="7" t="s">
        <v>169</v>
      </c>
      <c r="W571" s="47" t="str">
        <f t="shared" ca="1" si="22"/>
        <v/>
      </c>
      <c r="X571" s="47">
        <f ca="1">VLOOKUP($C571,OFFSET(quests!$A$1,0,0,COUNTA(quests!$A:$A),MATCH(X$2,quests!$1:$1,0)-MATCH($C$2,quests!$1:$1,0)+1),MATCH(X$2,quests!$1:$1,0)-MATCH($C$2,quests!$1:$1,0)+1,FALSE)</f>
        <v>0</v>
      </c>
      <c r="Y571" s="47">
        <f ca="1">VLOOKUP($C571,OFFSET(quests!$A$1,0,0,COUNTA(quests!$A:$A),MATCH(Y$2,quests!$1:$1,0)-MATCH($C$2,quests!$1:$1,0)+1),MATCH(Y$2,quests!$1:$1,0)-MATCH($C$2,quests!$1:$1,0)+1,FALSE)</f>
        <v>0</v>
      </c>
      <c r="Z571" s="47">
        <f ca="1">VLOOKUP($C571,OFFSET(quests!$A$1,0,0,COUNTA(quests!$A:$A),MATCH(Z$2,quests!$1:$1,0)-MATCH($C$2,quests!$1:$1,0)+1),MATCH(Z$2,quests!$1:$1,0)-MATCH($C$2,quests!$1:$1,0)+1,FALSE)</f>
        <v>0</v>
      </c>
      <c r="AA571" s="47">
        <f ca="1">VLOOKUP($C571,OFFSET(quests!$A$1,0,0,COUNTA(quests!$A:$A),MATCH(AA$2,quests!$1:$1,0)-MATCH($C$2,quests!$1:$1,0)+1),MATCH(AA$2,quests!$1:$1,0)-MATCH($C$2,quests!$1:$1,0)+1,FALSE)</f>
        <v>0</v>
      </c>
      <c r="AB571" s="7" t="s">
        <v>56</v>
      </c>
      <c r="AC571" s="7">
        <v>20</v>
      </c>
      <c r="AD571" s="7">
        <v>6</v>
      </c>
      <c r="AE571" s="7" t="s">
        <v>541</v>
      </c>
      <c r="AF571" s="33">
        <v>11</v>
      </c>
      <c r="AG571" s="7">
        <v>0</v>
      </c>
      <c r="AH571" s="7">
        <v>0</v>
      </c>
      <c r="AI571" s="7">
        <v>-1</v>
      </c>
      <c r="AJ571" s="7">
        <v>-1</v>
      </c>
      <c r="AK571" s="7" t="s">
        <v>1065</v>
      </c>
      <c r="AL571" s="12" t="s">
        <v>1695</v>
      </c>
      <c r="AM571" s="12" t="s">
        <v>2072</v>
      </c>
    </row>
    <row r="572" spans="1:39" ht="21" customHeight="1" x14ac:dyDescent="0.15">
      <c r="A572" s="42" t="str">
        <f t="shared" si="23"/>
        <v>30018_1</v>
      </c>
      <c r="B572" s="23">
        <v>3</v>
      </c>
      <c r="C572" s="31">
        <v>30018</v>
      </c>
      <c r="D572" s="47" t="str">
        <f ca="1">VLOOKUP($C572,OFFSET(quests!$A$1,0,0,COUNTA(quests!$A:$A),MATCH(D$1,quests!$1:$1,0)-MATCH($C$2,quests!$1:$1,0)+1),MATCH(D$1,quests!$1:$1,0)-MATCH($C$2,quests!$1:$1,0)+1,FALSE)</f>
        <v>バックストリートファイト</v>
      </c>
      <c r="E572" s="48" t="str">
        <f ca="1">VLOOKUP($C572,OFFSET(quests!$A$1,0,0,COUNTA(quests!$A:$A),MATCH(E$2,quests!$1:$1,0)-MATCH($C$2,quests!$1:$1,0)+1),MATCH(E$2,quests!$1:$1,0)-MATCH($C$2,quests!$1:$1,0)+1,FALSE)</f>
        <v>ドロップイベント5（マルチ専用）</v>
      </c>
      <c r="F572" s="7">
        <v>1</v>
      </c>
      <c r="G572" s="7" t="s">
        <v>382</v>
      </c>
      <c r="H572" s="12" t="s">
        <v>773</v>
      </c>
      <c r="I572" s="12" t="s">
        <v>576</v>
      </c>
      <c r="J572" s="12">
        <v>454</v>
      </c>
      <c r="K572" s="194">
        <v>30</v>
      </c>
      <c r="L572" s="195">
        <v>3300</v>
      </c>
      <c r="M572" s="167">
        <v>1</v>
      </c>
      <c r="N572" s="167">
        <v>1</v>
      </c>
      <c r="O572" s="167">
        <v>1</v>
      </c>
      <c r="P572" s="167">
        <v>1</v>
      </c>
      <c r="Q572" s="96">
        <v>0</v>
      </c>
      <c r="R572" s="167">
        <v>3</v>
      </c>
      <c r="S572" s="167" t="s">
        <v>79</v>
      </c>
      <c r="T572" s="167">
        <v>0</v>
      </c>
      <c r="U572" s="7" t="s">
        <v>169</v>
      </c>
      <c r="V572" s="7" t="s">
        <v>169</v>
      </c>
      <c r="W572" s="47" t="str">
        <f t="shared" ca="1" si="22"/>
        <v/>
      </c>
      <c r="X572" s="47">
        <f ca="1">VLOOKUP($C572,OFFSET(quests!$A$1,0,0,COUNTA(quests!$A:$A),MATCH(X$2,quests!$1:$1,0)-MATCH($C$2,quests!$1:$1,0)+1),MATCH(X$2,quests!$1:$1,0)-MATCH($C$2,quests!$1:$1,0)+1,FALSE)</f>
        <v>0</v>
      </c>
      <c r="Y572" s="47">
        <f ca="1">VLOOKUP($C572,OFFSET(quests!$A$1,0,0,COUNTA(quests!$A:$A),MATCH(Y$2,quests!$1:$1,0)-MATCH($C$2,quests!$1:$1,0)+1),MATCH(Y$2,quests!$1:$1,0)-MATCH($C$2,quests!$1:$1,0)+1,FALSE)</f>
        <v>0</v>
      </c>
      <c r="Z572" s="47">
        <f ca="1">VLOOKUP($C572,OFFSET(quests!$A$1,0,0,COUNTA(quests!$A:$A),MATCH(Z$2,quests!$1:$1,0)-MATCH($C$2,quests!$1:$1,0)+1),MATCH(Z$2,quests!$1:$1,0)-MATCH($C$2,quests!$1:$1,0)+1,FALSE)</f>
        <v>0</v>
      </c>
      <c r="AA572" s="47">
        <f ca="1">VLOOKUP($C572,OFFSET(quests!$A$1,0,0,COUNTA(quests!$A:$A),MATCH(AA$2,quests!$1:$1,0)-MATCH($C$2,quests!$1:$1,0)+1),MATCH(AA$2,quests!$1:$1,0)-MATCH($C$2,quests!$1:$1,0)+1,FALSE)</f>
        <v>0</v>
      </c>
      <c r="AB572" s="7" t="s">
        <v>56</v>
      </c>
      <c r="AC572" s="7">
        <v>14</v>
      </c>
      <c r="AD572" s="7">
        <v>6</v>
      </c>
      <c r="AE572" s="7" t="s">
        <v>519</v>
      </c>
      <c r="AF572" s="255">
        <v>16</v>
      </c>
      <c r="AG572" s="7">
        <v>0</v>
      </c>
      <c r="AH572" s="7">
        <v>0</v>
      </c>
      <c r="AI572" s="33">
        <v>0</v>
      </c>
      <c r="AJ572" s="167">
        <v>-1</v>
      </c>
      <c r="AK572" s="7" t="s">
        <v>1065</v>
      </c>
      <c r="AL572" s="12" t="s">
        <v>1695</v>
      </c>
      <c r="AM572" s="12" t="s">
        <v>2072</v>
      </c>
    </row>
    <row r="573" spans="1:39" ht="21" customHeight="1" x14ac:dyDescent="0.15">
      <c r="A573" s="42" t="str">
        <f t="shared" si="23"/>
        <v>30018_2</v>
      </c>
      <c r="B573" s="23">
        <v>3</v>
      </c>
      <c r="C573" s="31">
        <v>30018</v>
      </c>
      <c r="D573" s="47" t="str">
        <f ca="1">VLOOKUP($C573,OFFSET(quests!$A$1,0,0,COUNTA(quests!$A:$A),MATCH(D$1,quests!$1:$1,0)-MATCH($C$2,quests!$1:$1,0)+1),MATCH(D$1,quests!$1:$1,0)-MATCH($C$2,quests!$1:$1,0)+1,FALSE)</f>
        <v>バックストリートファイト</v>
      </c>
      <c r="E573" s="48" t="str">
        <f ca="1">VLOOKUP($C573,OFFSET(quests!$A$1,0,0,COUNTA(quests!$A:$A),MATCH(E$2,quests!$1:$1,0)-MATCH($C$2,quests!$1:$1,0)+1),MATCH(E$2,quests!$1:$1,0)-MATCH($C$2,quests!$1:$1,0)+1,FALSE)</f>
        <v>ドロップイベント5（マルチ専用）</v>
      </c>
      <c r="F573" s="7">
        <v>2</v>
      </c>
      <c r="G573" s="7" t="s">
        <v>382</v>
      </c>
      <c r="H573" s="12" t="s">
        <v>774</v>
      </c>
      <c r="I573" s="12" t="s">
        <v>534</v>
      </c>
      <c r="J573" s="12">
        <v>455</v>
      </c>
      <c r="K573" s="194">
        <v>35</v>
      </c>
      <c r="L573" s="195">
        <v>4200</v>
      </c>
      <c r="M573" s="167">
        <v>1</v>
      </c>
      <c r="N573" s="167">
        <v>1</v>
      </c>
      <c r="O573" s="167">
        <v>1</v>
      </c>
      <c r="P573" s="167">
        <v>1</v>
      </c>
      <c r="Q573" s="96">
        <v>0</v>
      </c>
      <c r="R573" s="167">
        <v>3</v>
      </c>
      <c r="S573" s="167" t="s">
        <v>278</v>
      </c>
      <c r="T573" s="167">
        <v>1</v>
      </c>
      <c r="U573" s="7" t="s">
        <v>169</v>
      </c>
      <c r="V573" s="7" t="s">
        <v>169</v>
      </c>
      <c r="W573" s="47" t="str">
        <f t="shared" ca="1" si="22"/>
        <v/>
      </c>
      <c r="X573" s="47">
        <f ca="1">VLOOKUP($C573,OFFSET(quests!$A$1,0,0,COUNTA(quests!$A:$A),MATCH(X$2,quests!$1:$1,0)-MATCH($C$2,quests!$1:$1,0)+1),MATCH(X$2,quests!$1:$1,0)-MATCH($C$2,quests!$1:$1,0)+1,FALSE)</f>
        <v>0</v>
      </c>
      <c r="Y573" s="47">
        <f ca="1">VLOOKUP($C573,OFFSET(quests!$A$1,0,0,COUNTA(quests!$A:$A),MATCH(Y$2,quests!$1:$1,0)-MATCH($C$2,quests!$1:$1,0)+1),MATCH(Y$2,quests!$1:$1,0)-MATCH($C$2,quests!$1:$1,0)+1,FALSE)</f>
        <v>0</v>
      </c>
      <c r="Z573" s="47">
        <f ca="1">VLOOKUP($C573,OFFSET(quests!$A$1,0,0,COUNTA(quests!$A:$A),MATCH(Z$2,quests!$1:$1,0)-MATCH($C$2,quests!$1:$1,0)+1),MATCH(Z$2,quests!$1:$1,0)-MATCH($C$2,quests!$1:$1,0)+1,FALSE)</f>
        <v>0</v>
      </c>
      <c r="AA573" s="47">
        <f ca="1">VLOOKUP($C573,OFFSET(quests!$A$1,0,0,COUNTA(quests!$A:$A),MATCH(AA$2,quests!$1:$1,0)-MATCH($C$2,quests!$1:$1,0)+1),MATCH(AA$2,quests!$1:$1,0)-MATCH($C$2,quests!$1:$1,0)+1,FALSE)</f>
        <v>0</v>
      </c>
      <c r="AB573" s="7" t="s">
        <v>56</v>
      </c>
      <c r="AC573" s="7">
        <v>14</v>
      </c>
      <c r="AD573" s="7">
        <v>6</v>
      </c>
      <c r="AE573" s="7" t="s">
        <v>519</v>
      </c>
      <c r="AF573" s="255">
        <v>16</v>
      </c>
      <c r="AG573" s="7">
        <v>0</v>
      </c>
      <c r="AH573" s="7">
        <v>0</v>
      </c>
      <c r="AI573" s="33">
        <v>0</v>
      </c>
      <c r="AJ573" s="167">
        <v>-1</v>
      </c>
      <c r="AK573" s="7" t="s">
        <v>1065</v>
      </c>
      <c r="AL573" s="12" t="s">
        <v>1695</v>
      </c>
      <c r="AM573" s="12" t="s">
        <v>2072</v>
      </c>
    </row>
    <row r="574" spans="1:39" ht="21" customHeight="1" x14ac:dyDescent="0.15">
      <c r="A574" s="42" t="str">
        <f t="shared" si="23"/>
        <v>30019_1</v>
      </c>
      <c r="B574" s="23">
        <v>3</v>
      </c>
      <c r="C574" s="31">
        <v>30019</v>
      </c>
      <c r="D574" s="47" t="str">
        <f ca="1">VLOOKUP($C574,OFFSET(quests!$A$1,0,0,COUNTA(quests!$A:$A),MATCH(D$1,quests!$1:$1,0)-MATCH($C$2,quests!$1:$1,0)+1),MATCH(D$1,quests!$1:$1,0)-MATCH($C$2,quests!$1:$1,0)+1,FALSE)</f>
        <v>狙撃は終わらない</v>
      </c>
      <c r="E574" s="48" t="str">
        <f ca="1">VLOOKUP($C574,OFFSET(quests!$A$1,0,0,COUNTA(quests!$A:$A),MATCH(E$2,quests!$1:$1,0)-MATCH($C$2,quests!$1:$1,0)+1),MATCH(E$2,quests!$1:$1,0)-MATCH($C$2,quests!$1:$1,0)+1,FALSE)</f>
        <v>ドロップイベント5（マルチ専用）</v>
      </c>
      <c r="F574" s="7">
        <v>1</v>
      </c>
      <c r="G574" s="7" t="s">
        <v>382</v>
      </c>
      <c r="H574" s="12" t="s">
        <v>775</v>
      </c>
      <c r="I574" s="12" t="s">
        <v>576</v>
      </c>
      <c r="J574" s="12">
        <v>456</v>
      </c>
      <c r="K574" s="194">
        <v>30</v>
      </c>
      <c r="L574" s="195">
        <v>3300</v>
      </c>
      <c r="M574" s="167">
        <v>1</v>
      </c>
      <c r="N574" s="167">
        <v>1</v>
      </c>
      <c r="O574" s="167">
        <v>1</v>
      </c>
      <c r="P574" s="167">
        <v>1</v>
      </c>
      <c r="Q574" s="167">
        <v>1</v>
      </c>
      <c r="R574" s="167">
        <v>3</v>
      </c>
      <c r="S574" s="167" t="s">
        <v>79</v>
      </c>
      <c r="T574" s="167">
        <v>0</v>
      </c>
      <c r="U574" s="7" t="s">
        <v>169</v>
      </c>
      <c r="V574" s="7" t="s">
        <v>169</v>
      </c>
      <c r="W574" s="47" t="str">
        <f t="shared" ca="1" si="22"/>
        <v/>
      </c>
      <c r="X574" s="47">
        <f ca="1">VLOOKUP($C574,OFFSET(quests!$A$1,0,0,COUNTA(quests!$A:$A),MATCH(X$2,quests!$1:$1,0)-MATCH($C$2,quests!$1:$1,0)+1),MATCH(X$2,quests!$1:$1,0)-MATCH($C$2,quests!$1:$1,0)+1,FALSE)</f>
        <v>0</v>
      </c>
      <c r="Y574" s="47">
        <f ca="1">VLOOKUP($C574,OFFSET(quests!$A$1,0,0,COUNTA(quests!$A:$A),MATCH(Y$2,quests!$1:$1,0)-MATCH($C$2,quests!$1:$1,0)+1),MATCH(Y$2,quests!$1:$1,0)-MATCH($C$2,quests!$1:$1,0)+1,FALSE)</f>
        <v>0</v>
      </c>
      <c r="Z574" s="47">
        <f ca="1">VLOOKUP($C574,OFFSET(quests!$A$1,0,0,COUNTA(quests!$A:$A),MATCH(Z$2,quests!$1:$1,0)-MATCH($C$2,quests!$1:$1,0)+1),MATCH(Z$2,quests!$1:$1,0)-MATCH($C$2,quests!$1:$1,0)+1,FALSE)</f>
        <v>0</v>
      </c>
      <c r="AA574" s="47">
        <f ca="1">VLOOKUP($C574,OFFSET(quests!$A$1,0,0,COUNTA(quests!$A:$A),MATCH(AA$2,quests!$1:$1,0)-MATCH($C$2,quests!$1:$1,0)+1),MATCH(AA$2,quests!$1:$1,0)-MATCH($C$2,quests!$1:$1,0)+1,FALSE)</f>
        <v>0</v>
      </c>
      <c r="AB574" s="7" t="s">
        <v>56</v>
      </c>
      <c r="AC574" s="7">
        <v>24</v>
      </c>
      <c r="AD574" s="7">
        <v>6</v>
      </c>
      <c r="AE574" s="7" t="s">
        <v>823</v>
      </c>
      <c r="AF574" s="255">
        <v>16</v>
      </c>
      <c r="AG574" s="7">
        <v>0</v>
      </c>
      <c r="AH574" s="7">
        <v>0</v>
      </c>
      <c r="AI574" s="7">
        <v>-1</v>
      </c>
      <c r="AJ574" s="7">
        <v>-1</v>
      </c>
      <c r="AK574" s="7" t="s">
        <v>1065</v>
      </c>
      <c r="AL574" s="12" t="s">
        <v>1695</v>
      </c>
      <c r="AM574" s="12" t="s">
        <v>2072</v>
      </c>
    </row>
    <row r="575" spans="1:39" ht="21" customHeight="1" x14ac:dyDescent="0.15">
      <c r="A575" s="42" t="str">
        <f t="shared" si="23"/>
        <v>30019_2</v>
      </c>
      <c r="B575" s="23">
        <v>3</v>
      </c>
      <c r="C575" s="31">
        <v>30019</v>
      </c>
      <c r="D575" s="47" t="str">
        <f ca="1">VLOOKUP($C575,OFFSET(quests!$A$1,0,0,COUNTA(quests!$A:$A),MATCH(D$1,quests!$1:$1,0)-MATCH($C$2,quests!$1:$1,0)+1),MATCH(D$1,quests!$1:$1,0)-MATCH($C$2,quests!$1:$1,0)+1,FALSE)</f>
        <v>狙撃は終わらない</v>
      </c>
      <c r="E575" s="48" t="str">
        <f ca="1">VLOOKUP($C575,OFFSET(quests!$A$1,0,0,COUNTA(quests!$A:$A),MATCH(E$2,quests!$1:$1,0)-MATCH($C$2,quests!$1:$1,0)+1),MATCH(E$2,quests!$1:$1,0)-MATCH($C$2,quests!$1:$1,0)+1,FALSE)</f>
        <v>ドロップイベント5（マルチ専用）</v>
      </c>
      <c r="F575" s="7">
        <v>2</v>
      </c>
      <c r="G575" s="7" t="s">
        <v>382</v>
      </c>
      <c r="H575" s="12" t="s">
        <v>776</v>
      </c>
      <c r="I575" s="12" t="s">
        <v>534</v>
      </c>
      <c r="J575" s="12">
        <v>457</v>
      </c>
      <c r="K575" s="194">
        <v>35</v>
      </c>
      <c r="L575" s="195">
        <v>4200</v>
      </c>
      <c r="M575" s="167">
        <v>1</v>
      </c>
      <c r="N575" s="167">
        <v>1</v>
      </c>
      <c r="O575" s="167">
        <v>1</v>
      </c>
      <c r="P575" s="167">
        <v>1</v>
      </c>
      <c r="Q575" s="167">
        <v>1</v>
      </c>
      <c r="R575" s="167">
        <v>3</v>
      </c>
      <c r="S575" s="167" t="s">
        <v>278</v>
      </c>
      <c r="T575" s="167">
        <v>1</v>
      </c>
      <c r="U575" s="7" t="s">
        <v>169</v>
      </c>
      <c r="V575" s="7" t="s">
        <v>169</v>
      </c>
      <c r="W575" s="47" t="str">
        <f t="shared" ca="1" si="22"/>
        <v/>
      </c>
      <c r="X575" s="47">
        <f ca="1">VLOOKUP($C575,OFFSET(quests!$A$1,0,0,COUNTA(quests!$A:$A),MATCH(X$2,quests!$1:$1,0)-MATCH($C$2,quests!$1:$1,0)+1),MATCH(X$2,quests!$1:$1,0)-MATCH($C$2,quests!$1:$1,0)+1,FALSE)</f>
        <v>0</v>
      </c>
      <c r="Y575" s="47">
        <f ca="1">VLOOKUP($C575,OFFSET(quests!$A$1,0,0,COUNTA(quests!$A:$A),MATCH(Y$2,quests!$1:$1,0)-MATCH($C$2,quests!$1:$1,0)+1),MATCH(Y$2,quests!$1:$1,0)-MATCH($C$2,quests!$1:$1,0)+1,FALSE)</f>
        <v>0</v>
      </c>
      <c r="Z575" s="47">
        <f ca="1">VLOOKUP($C575,OFFSET(quests!$A$1,0,0,COUNTA(quests!$A:$A),MATCH(Z$2,quests!$1:$1,0)-MATCH($C$2,quests!$1:$1,0)+1),MATCH(Z$2,quests!$1:$1,0)-MATCH($C$2,quests!$1:$1,0)+1,FALSE)</f>
        <v>0</v>
      </c>
      <c r="AA575" s="47">
        <f ca="1">VLOOKUP($C575,OFFSET(quests!$A$1,0,0,COUNTA(quests!$A:$A),MATCH(AA$2,quests!$1:$1,0)-MATCH($C$2,quests!$1:$1,0)+1),MATCH(AA$2,quests!$1:$1,0)-MATCH($C$2,quests!$1:$1,0)+1,FALSE)</f>
        <v>0</v>
      </c>
      <c r="AB575" s="7" t="s">
        <v>56</v>
      </c>
      <c r="AC575" s="7">
        <v>24</v>
      </c>
      <c r="AD575" s="7">
        <v>6</v>
      </c>
      <c r="AE575" s="158" t="s">
        <v>822</v>
      </c>
      <c r="AF575" s="255">
        <v>16</v>
      </c>
      <c r="AG575" s="7">
        <v>0</v>
      </c>
      <c r="AH575" s="7">
        <v>0</v>
      </c>
      <c r="AI575" s="7">
        <v>-1</v>
      </c>
      <c r="AJ575" s="7">
        <v>-1</v>
      </c>
      <c r="AK575" s="7" t="s">
        <v>1065</v>
      </c>
      <c r="AL575" s="12" t="s">
        <v>1695</v>
      </c>
      <c r="AM575" s="12" t="s">
        <v>2072</v>
      </c>
    </row>
    <row r="576" spans="1:39" ht="21" customHeight="1" x14ac:dyDescent="0.15">
      <c r="A576" s="42" t="str">
        <f t="shared" si="23"/>
        <v>30020_1</v>
      </c>
      <c r="B576" s="23">
        <v>3</v>
      </c>
      <c r="C576" s="31">
        <v>30020</v>
      </c>
      <c r="D576" s="47" t="str">
        <f ca="1">VLOOKUP($C576,OFFSET(quests!$A$1,0,0,COUNTA(quests!$A:$A),MATCH(D$1,quests!$1:$1,0)-MATCH($C$2,quests!$1:$1,0)+1),MATCH(D$1,quests!$1:$1,0)-MATCH($C$2,quests!$1:$1,0)+1,FALSE)</f>
        <v>若造よ、身の程を知れ</v>
      </c>
      <c r="E576" s="48" t="str">
        <f ca="1">VLOOKUP($C576,OFFSET(quests!$A$1,0,0,COUNTA(quests!$A:$A),MATCH(E$2,quests!$1:$1,0)-MATCH($C$2,quests!$1:$1,0)+1),MATCH(E$2,quests!$1:$1,0)-MATCH($C$2,quests!$1:$1,0)+1,FALSE)</f>
        <v>ドロップイベント5（マルチ専用）</v>
      </c>
      <c r="F576" s="7">
        <v>1</v>
      </c>
      <c r="G576" s="7" t="s">
        <v>382</v>
      </c>
      <c r="H576" s="12" t="s">
        <v>777</v>
      </c>
      <c r="I576" s="12" t="s">
        <v>576</v>
      </c>
      <c r="J576" s="12">
        <v>458</v>
      </c>
      <c r="K576" s="194">
        <v>30</v>
      </c>
      <c r="L576" s="195">
        <v>3300</v>
      </c>
      <c r="M576" s="167">
        <v>1</v>
      </c>
      <c r="N576" s="167">
        <v>1</v>
      </c>
      <c r="O576" s="167">
        <v>1</v>
      </c>
      <c r="P576" s="167">
        <v>1</v>
      </c>
      <c r="Q576" s="167">
        <v>1</v>
      </c>
      <c r="R576" s="167">
        <v>3</v>
      </c>
      <c r="S576" s="167" t="s">
        <v>79</v>
      </c>
      <c r="T576" s="167">
        <v>0</v>
      </c>
      <c r="U576" s="7" t="s">
        <v>169</v>
      </c>
      <c r="V576" s="7" t="s">
        <v>169</v>
      </c>
      <c r="W576" s="47" t="str">
        <f t="shared" ca="1" si="22"/>
        <v/>
      </c>
      <c r="X576" s="47">
        <f ca="1">VLOOKUP($C576,OFFSET(quests!$A$1,0,0,COUNTA(quests!$A:$A),MATCH(X$2,quests!$1:$1,0)-MATCH($C$2,quests!$1:$1,0)+1),MATCH(X$2,quests!$1:$1,0)-MATCH($C$2,quests!$1:$1,0)+1,FALSE)</f>
        <v>0</v>
      </c>
      <c r="Y576" s="47">
        <f ca="1">VLOOKUP($C576,OFFSET(quests!$A$1,0,0,COUNTA(quests!$A:$A),MATCH(Y$2,quests!$1:$1,0)-MATCH($C$2,quests!$1:$1,0)+1),MATCH(Y$2,quests!$1:$1,0)-MATCH($C$2,quests!$1:$1,0)+1,FALSE)</f>
        <v>0</v>
      </c>
      <c r="Z576" s="47">
        <f ca="1">VLOOKUP($C576,OFFSET(quests!$A$1,0,0,COUNTA(quests!$A:$A),MATCH(Z$2,quests!$1:$1,0)-MATCH($C$2,quests!$1:$1,0)+1),MATCH(Z$2,quests!$1:$1,0)-MATCH($C$2,quests!$1:$1,0)+1,FALSE)</f>
        <v>0</v>
      </c>
      <c r="AA576" s="47">
        <f ca="1">VLOOKUP($C576,OFFSET(quests!$A$1,0,0,COUNTA(quests!$A:$A),MATCH(AA$2,quests!$1:$1,0)-MATCH($C$2,quests!$1:$1,0)+1),MATCH(AA$2,quests!$1:$1,0)-MATCH($C$2,quests!$1:$1,0)+1,FALSE)</f>
        <v>0</v>
      </c>
      <c r="AB576" s="7" t="s">
        <v>56</v>
      </c>
      <c r="AC576" s="7">
        <v>13</v>
      </c>
      <c r="AD576" s="7">
        <v>6</v>
      </c>
      <c r="AE576" s="7" t="s">
        <v>519</v>
      </c>
      <c r="AF576" s="33">
        <v>11</v>
      </c>
      <c r="AG576" s="7">
        <v>0</v>
      </c>
      <c r="AH576" s="7">
        <v>0</v>
      </c>
      <c r="AI576" s="7">
        <v>0</v>
      </c>
      <c r="AJ576" s="7">
        <v>-1</v>
      </c>
      <c r="AK576" s="7" t="s">
        <v>1065</v>
      </c>
      <c r="AL576" s="12" t="s">
        <v>1695</v>
      </c>
      <c r="AM576" s="12" t="s">
        <v>2072</v>
      </c>
    </row>
    <row r="577" spans="1:39" ht="21" customHeight="1" x14ac:dyDescent="0.15">
      <c r="A577" s="42" t="str">
        <f t="shared" si="23"/>
        <v>30020_2</v>
      </c>
      <c r="B577" s="23">
        <v>3</v>
      </c>
      <c r="C577" s="31">
        <v>30020</v>
      </c>
      <c r="D577" s="47" t="str">
        <f ca="1">VLOOKUP($C577,OFFSET(quests!$A$1,0,0,COUNTA(quests!$A:$A),MATCH(D$1,quests!$1:$1,0)-MATCH($C$2,quests!$1:$1,0)+1),MATCH(D$1,quests!$1:$1,0)-MATCH($C$2,quests!$1:$1,0)+1,FALSE)</f>
        <v>若造よ、身の程を知れ</v>
      </c>
      <c r="E577" s="48" t="str">
        <f ca="1">VLOOKUP($C577,OFFSET(quests!$A$1,0,0,COUNTA(quests!$A:$A),MATCH(E$2,quests!$1:$1,0)-MATCH($C$2,quests!$1:$1,0)+1),MATCH(E$2,quests!$1:$1,0)-MATCH($C$2,quests!$1:$1,0)+1,FALSE)</f>
        <v>ドロップイベント5（マルチ専用）</v>
      </c>
      <c r="F577" s="7">
        <v>2</v>
      </c>
      <c r="G577" s="7" t="s">
        <v>382</v>
      </c>
      <c r="H577" s="12" t="s">
        <v>778</v>
      </c>
      <c r="I577" s="12" t="s">
        <v>534</v>
      </c>
      <c r="J577" s="12">
        <v>459</v>
      </c>
      <c r="K577" s="194">
        <v>35</v>
      </c>
      <c r="L577" s="195">
        <v>4200</v>
      </c>
      <c r="M577" s="167">
        <v>1</v>
      </c>
      <c r="N577" s="167">
        <v>1</v>
      </c>
      <c r="O577" s="167">
        <v>1</v>
      </c>
      <c r="P577" s="167">
        <v>1</v>
      </c>
      <c r="Q577" s="167">
        <v>1</v>
      </c>
      <c r="R577" s="167">
        <v>3</v>
      </c>
      <c r="S577" s="167" t="s">
        <v>278</v>
      </c>
      <c r="T577" s="167">
        <v>1</v>
      </c>
      <c r="U577" s="7" t="s">
        <v>169</v>
      </c>
      <c r="V577" s="7" t="s">
        <v>169</v>
      </c>
      <c r="W577" s="47" t="str">
        <f t="shared" ca="1" si="22"/>
        <v/>
      </c>
      <c r="X577" s="47">
        <f ca="1">VLOOKUP($C577,OFFSET(quests!$A$1,0,0,COUNTA(quests!$A:$A),MATCH(X$2,quests!$1:$1,0)-MATCH($C$2,quests!$1:$1,0)+1),MATCH(X$2,quests!$1:$1,0)-MATCH($C$2,quests!$1:$1,0)+1,FALSE)</f>
        <v>0</v>
      </c>
      <c r="Y577" s="47">
        <f ca="1">VLOOKUP($C577,OFFSET(quests!$A$1,0,0,COUNTA(quests!$A:$A),MATCH(Y$2,quests!$1:$1,0)-MATCH($C$2,quests!$1:$1,0)+1),MATCH(Y$2,quests!$1:$1,0)-MATCH($C$2,quests!$1:$1,0)+1,FALSE)</f>
        <v>0</v>
      </c>
      <c r="Z577" s="47">
        <f ca="1">VLOOKUP($C577,OFFSET(quests!$A$1,0,0,COUNTA(quests!$A:$A),MATCH(Z$2,quests!$1:$1,0)-MATCH($C$2,quests!$1:$1,0)+1),MATCH(Z$2,quests!$1:$1,0)-MATCH($C$2,quests!$1:$1,0)+1,FALSE)</f>
        <v>0</v>
      </c>
      <c r="AA577" s="47">
        <f ca="1">VLOOKUP($C577,OFFSET(quests!$A$1,0,0,COUNTA(quests!$A:$A),MATCH(AA$2,quests!$1:$1,0)-MATCH($C$2,quests!$1:$1,0)+1),MATCH(AA$2,quests!$1:$1,0)-MATCH($C$2,quests!$1:$1,0)+1,FALSE)</f>
        <v>0</v>
      </c>
      <c r="AB577" s="7" t="s">
        <v>56</v>
      </c>
      <c r="AC577" s="7">
        <v>13</v>
      </c>
      <c r="AD577" s="7">
        <v>6</v>
      </c>
      <c r="AE577" s="7" t="s">
        <v>519</v>
      </c>
      <c r="AF577" s="33">
        <v>11</v>
      </c>
      <c r="AG577" s="7">
        <v>0</v>
      </c>
      <c r="AH577" s="7">
        <v>0</v>
      </c>
      <c r="AI577" s="7">
        <v>0</v>
      </c>
      <c r="AJ577" s="7">
        <v>-1</v>
      </c>
      <c r="AK577" s="7" t="s">
        <v>1065</v>
      </c>
      <c r="AL577" s="12" t="s">
        <v>1695</v>
      </c>
      <c r="AM577" s="12" t="s">
        <v>2072</v>
      </c>
    </row>
    <row r="578" spans="1:39" ht="21" customHeight="1" x14ac:dyDescent="0.15">
      <c r="A578" s="42" t="str">
        <f t="shared" si="23"/>
        <v>30021_1</v>
      </c>
      <c r="B578" s="23">
        <v>3</v>
      </c>
      <c r="C578" s="31">
        <v>30021</v>
      </c>
      <c r="D578" s="47" t="str">
        <f ca="1">VLOOKUP($C578,OFFSET(quests!$A$1,0,0,COUNTA(quests!$A:$A),MATCH(D$1,quests!$1:$1,0)-MATCH($C$2,quests!$1:$1,0)+1),MATCH(D$1,quests!$1:$1,0)-MATCH($C$2,quests!$1:$1,0)+1,FALSE)</f>
        <v>野獣死すべしっ！</v>
      </c>
      <c r="E578" s="48" t="str">
        <f ca="1">VLOOKUP($C578,OFFSET(quests!$A$1,0,0,COUNTA(quests!$A:$A),MATCH(E$2,quests!$1:$1,0)-MATCH($C$2,quests!$1:$1,0)+1),MATCH(E$2,quests!$1:$1,0)-MATCH($C$2,quests!$1:$1,0)+1,FALSE)</f>
        <v>ドロップイベント6（マルチ専用）</v>
      </c>
      <c r="F578" s="7">
        <v>1</v>
      </c>
      <c r="G578" s="7" t="s">
        <v>382</v>
      </c>
      <c r="H578" s="12" t="s">
        <v>892</v>
      </c>
      <c r="I578" s="12" t="s">
        <v>831</v>
      </c>
      <c r="J578" s="12">
        <v>502</v>
      </c>
      <c r="K578" s="192">
        <v>15</v>
      </c>
      <c r="L578" s="193">
        <v>1200</v>
      </c>
      <c r="M578" s="167">
        <v>1</v>
      </c>
      <c r="N578" s="167">
        <v>1</v>
      </c>
      <c r="O578" s="96">
        <v>0</v>
      </c>
      <c r="P578" s="167">
        <v>1</v>
      </c>
      <c r="Q578" s="167">
        <v>1</v>
      </c>
      <c r="R578" s="167">
        <v>3</v>
      </c>
      <c r="S578" s="167" t="s">
        <v>833</v>
      </c>
      <c r="T578" s="167">
        <v>0</v>
      </c>
      <c r="U578" s="7" t="s">
        <v>169</v>
      </c>
      <c r="V578" s="7" t="s">
        <v>169</v>
      </c>
      <c r="W578" s="47" t="str">
        <f t="shared" ca="1" si="22"/>
        <v/>
      </c>
      <c r="X578" s="47">
        <f ca="1">VLOOKUP($C578,OFFSET(quests!$A$1,0,0,COUNTA(quests!$A:$A),MATCH(X$2,quests!$1:$1,0)-MATCH($C$2,quests!$1:$1,0)+1),MATCH(X$2,quests!$1:$1,0)-MATCH($C$2,quests!$1:$1,0)+1,FALSE)</f>
        <v>0</v>
      </c>
      <c r="Y578" s="47">
        <f ca="1">VLOOKUP($C578,OFFSET(quests!$A$1,0,0,COUNTA(quests!$A:$A),MATCH(Y$2,quests!$1:$1,0)-MATCH($C$2,quests!$1:$1,0)+1),MATCH(Y$2,quests!$1:$1,0)-MATCH($C$2,quests!$1:$1,0)+1,FALSE)</f>
        <v>0</v>
      </c>
      <c r="Z578" s="47">
        <f ca="1">VLOOKUP($C578,OFFSET(quests!$A$1,0,0,COUNTA(quests!$A:$A),MATCH(Z$2,quests!$1:$1,0)-MATCH($C$2,quests!$1:$1,0)+1),MATCH(Z$2,quests!$1:$1,0)-MATCH($C$2,quests!$1:$1,0)+1,FALSE)</f>
        <v>0</v>
      </c>
      <c r="AA578" s="47">
        <f ca="1">VLOOKUP($C578,OFFSET(quests!$A$1,0,0,COUNTA(quests!$A:$A),MATCH(AA$2,quests!$1:$1,0)-MATCH($C$2,quests!$1:$1,0)+1),MATCH(AA$2,quests!$1:$1,0)-MATCH($C$2,quests!$1:$1,0)+1,FALSE)</f>
        <v>0</v>
      </c>
      <c r="AB578" s="7" t="s">
        <v>56</v>
      </c>
      <c r="AC578" s="7">
        <v>14</v>
      </c>
      <c r="AD578" s="7">
        <v>6</v>
      </c>
      <c r="AE578" s="7" t="s">
        <v>519</v>
      </c>
      <c r="AF578" s="96">
        <v>17</v>
      </c>
      <c r="AG578" s="7">
        <v>0</v>
      </c>
      <c r="AH578" s="7">
        <v>0</v>
      </c>
      <c r="AI578" s="7">
        <v>-1</v>
      </c>
      <c r="AJ578" s="7">
        <v>-1</v>
      </c>
      <c r="AK578" s="7" t="s">
        <v>1064</v>
      </c>
      <c r="AL578" s="12" t="s">
        <v>1695</v>
      </c>
      <c r="AM578" s="12" t="s">
        <v>2072</v>
      </c>
    </row>
    <row r="579" spans="1:39" ht="21" customHeight="1" x14ac:dyDescent="0.15">
      <c r="A579" s="42" t="str">
        <f t="shared" si="23"/>
        <v>30021_2</v>
      </c>
      <c r="B579" s="23">
        <v>3</v>
      </c>
      <c r="C579" s="31">
        <v>30021</v>
      </c>
      <c r="D579" s="47" t="str">
        <f ca="1">VLOOKUP($C579,OFFSET(quests!$A$1,0,0,COUNTA(quests!$A:$A),MATCH(D$1,quests!$1:$1,0)-MATCH($C$2,quests!$1:$1,0)+1),MATCH(D$1,quests!$1:$1,0)-MATCH($C$2,quests!$1:$1,0)+1,FALSE)</f>
        <v>野獣死すべしっ！</v>
      </c>
      <c r="E579" s="48" t="str">
        <f ca="1">VLOOKUP($C579,OFFSET(quests!$A$1,0,0,COUNTA(quests!$A:$A),MATCH(E$2,quests!$1:$1,0)-MATCH($C$2,quests!$1:$1,0)+1),MATCH(E$2,quests!$1:$1,0)-MATCH($C$2,quests!$1:$1,0)+1,FALSE)</f>
        <v>ドロップイベント6（マルチ専用）</v>
      </c>
      <c r="F579" s="7">
        <v>2</v>
      </c>
      <c r="G579" s="7" t="s">
        <v>382</v>
      </c>
      <c r="H579" s="12" t="s">
        <v>893</v>
      </c>
      <c r="I579" s="12" t="s">
        <v>830</v>
      </c>
      <c r="J579" s="12">
        <v>502</v>
      </c>
      <c r="K579" s="194">
        <v>20</v>
      </c>
      <c r="L579" s="195">
        <v>2000</v>
      </c>
      <c r="M579" s="167">
        <v>1</v>
      </c>
      <c r="N579" s="167">
        <v>1</v>
      </c>
      <c r="O579" s="96">
        <v>0</v>
      </c>
      <c r="P579" s="167">
        <v>1</v>
      </c>
      <c r="Q579" s="167">
        <v>1</v>
      </c>
      <c r="R579" s="167">
        <v>3</v>
      </c>
      <c r="S579" s="167" t="s">
        <v>79</v>
      </c>
      <c r="T579" s="167">
        <v>0</v>
      </c>
      <c r="U579" s="7" t="s">
        <v>169</v>
      </c>
      <c r="V579" s="7" t="s">
        <v>169</v>
      </c>
      <c r="W579" s="47" t="str">
        <f t="shared" ref="W579:W642" ca="1" si="24">IF(U579="NULL","",VLOOKUP($U579&amp;"_"&amp;$V579,OFFSET($A$1,0,0,COUNTA($A:$A),MATCH(W$2,$2:$2,0)-MATCH($A$2,$2:$2,0)+1),MATCH(W$2,$2:$2,0)-MATCH($A$2,$2:$2,0)+1,FALSE))</f>
        <v/>
      </c>
      <c r="X579" s="47">
        <f ca="1">VLOOKUP($C579,OFFSET(quests!$A$1,0,0,COUNTA(quests!$A:$A),MATCH(X$2,quests!$1:$1,0)-MATCH($C$2,quests!$1:$1,0)+1),MATCH(X$2,quests!$1:$1,0)-MATCH($C$2,quests!$1:$1,0)+1,FALSE)</f>
        <v>0</v>
      </c>
      <c r="Y579" s="47">
        <f ca="1">VLOOKUP($C579,OFFSET(quests!$A$1,0,0,COUNTA(quests!$A:$A),MATCH(Y$2,quests!$1:$1,0)-MATCH($C$2,quests!$1:$1,0)+1),MATCH(Y$2,quests!$1:$1,0)-MATCH($C$2,quests!$1:$1,0)+1,FALSE)</f>
        <v>0</v>
      </c>
      <c r="Z579" s="47">
        <f ca="1">VLOOKUP($C579,OFFSET(quests!$A$1,0,0,COUNTA(quests!$A:$A),MATCH(Z$2,quests!$1:$1,0)-MATCH($C$2,quests!$1:$1,0)+1),MATCH(Z$2,quests!$1:$1,0)-MATCH($C$2,quests!$1:$1,0)+1,FALSE)</f>
        <v>0</v>
      </c>
      <c r="AA579" s="47">
        <f ca="1">VLOOKUP($C579,OFFSET(quests!$A$1,0,0,COUNTA(quests!$A:$A),MATCH(AA$2,quests!$1:$1,0)-MATCH($C$2,quests!$1:$1,0)+1),MATCH(AA$2,quests!$1:$1,0)-MATCH($C$2,quests!$1:$1,0)+1,FALSE)</f>
        <v>0</v>
      </c>
      <c r="AB579" s="7" t="s">
        <v>56</v>
      </c>
      <c r="AC579" s="7">
        <v>14</v>
      </c>
      <c r="AD579" s="7">
        <v>6</v>
      </c>
      <c r="AE579" s="7" t="s">
        <v>519</v>
      </c>
      <c r="AF579" s="96">
        <v>17</v>
      </c>
      <c r="AG579" s="7">
        <v>0</v>
      </c>
      <c r="AH579" s="7">
        <v>0</v>
      </c>
      <c r="AI579" s="7">
        <v>-1</v>
      </c>
      <c r="AJ579" s="7">
        <v>-1</v>
      </c>
      <c r="AK579" s="7" t="s">
        <v>1064</v>
      </c>
      <c r="AL579" s="12" t="s">
        <v>1695</v>
      </c>
      <c r="AM579" s="12" t="s">
        <v>2072</v>
      </c>
    </row>
    <row r="580" spans="1:39" ht="21" customHeight="1" x14ac:dyDescent="0.15">
      <c r="A580" s="42" t="str">
        <f t="shared" si="23"/>
        <v>30021_3</v>
      </c>
      <c r="B580" s="23">
        <v>3</v>
      </c>
      <c r="C580" s="31">
        <v>30021</v>
      </c>
      <c r="D580" s="47" t="str">
        <f ca="1">VLOOKUP($C580,OFFSET(quests!$A$1,0,0,COUNTA(quests!$A:$A),MATCH(D$1,quests!$1:$1,0)-MATCH($C$2,quests!$1:$1,0)+1),MATCH(D$1,quests!$1:$1,0)-MATCH($C$2,quests!$1:$1,0)+1,FALSE)</f>
        <v>野獣死すべしっ！</v>
      </c>
      <c r="E580" s="48" t="str">
        <f ca="1">VLOOKUP($C580,OFFSET(quests!$A$1,0,0,COUNTA(quests!$A:$A),MATCH(E$2,quests!$1:$1,0)-MATCH($C$2,quests!$1:$1,0)+1),MATCH(E$2,quests!$1:$1,0)-MATCH($C$2,quests!$1:$1,0)+1,FALSE)</f>
        <v>ドロップイベント6（マルチ専用）</v>
      </c>
      <c r="F580" s="7">
        <v>3</v>
      </c>
      <c r="G580" s="7" t="s">
        <v>382</v>
      </c>
      <c r="H580" s="12" t="s">
        <v>891</v>
      </c>
      <c r="I580" s="12" t="s">
        <v>832</v>
      </c>
      <c r="J580" s="12">
        <v>503</v>
      </c>
      <c r="K580" s="194">
        <v>30</v>
      </c>
      <c r="L580" s="195">
        <v>3300</v>
      </c>
      <c r="M580" s="167">
        <v>1</v>
      </c>
      <c r="N580" s="167">
        <v>1</v>
      </c>
      <c r="O580" s="96">
        <v>0</v>
      </c>
      <c r="P580" s="167">
        <v>1</v>
      </c>
      <c r="Q580" s="167">
        <v>1</v>
      </c>
      <c r="R580" s="167">
        <v>3</v>
      </c>
      <c r="S580" s="167" t="s">
        <v>278</v>
      </c>
      <c r="T580" s="167">
        <v>1</v>
      </c>
      <c r="U580" s="7" t="s">
        <v>169</v>
      </c>
      <c r="V580" s="7" t="s">
        <v>169</v>
      </c>
      <c r="W580" s="47" t="str">
        <f t="shared" ca="1" si="24"/>
        <v/>
      </c>
      <c r="X580" s="47">
        <f ca="1">VLOOKUP($C580,OFFSET(quests!$A$1,0,0,COUNTA(quests!$A:$A),MATCH(X$2,quests!$1:$1,0)-MATCH($C$2,quests!$1:$1,0)+1),MATCH(X$2,quests!$1:$1,0)-MATCH($C$2,quests!$1:$1,0)+1,FALSE)</f>
        <v>0</v>
      </c>
      <c r="Y580" s="47">
        <f ca="1">VLOOKUP($C580,OFFSET(quests!$A$1,0,0,COUNTA(quests!$A:$A),MATCH(Y$2,quests!$1:$1,0)-MATCH($C$2,quests!$1:$1,0)+1),MATCH(Y$2,quests!$1:$1,0)-MATCH($C$2,quests!$1:$1,0)+1,FALSE)</f>
        <v>0</v>
      </c>
      <c r="Z580" s="47">
        <f ca="1">VLOOKUP($C580,OFFSET(quests!$A$1,0,0,COUNTA(quests!$A:$A),MATCH(Z$2,quests!$1:$1,0)-MATCH($C$2,quests!$1:$1,0)+1),MATCH(Z$2,quests!$1:$1,0)-MATCH($C$2,quests!$1:$1,0)+1,FALSE)</f>
        <v>0</v>
      </c>
      <c r="AA580" s="47">
        <f ca="1">VLOOKUP($C580,OFFSET(quests!$A$1,0,0,COUNTA(quests!$A:$A),MATCH(AA$2,quests!$1:$1,0)-MATCH($C$2,quests!$1:$1,0)+1),MATCH(AA$2,quests!$1:$1,0)-MATCH($C$2,quests!$1:$1,0)+1,FALSE)</f>
        <v>0</v>
      </c>
      <c r="AB580" s="7" t="s">
        <v>56</v>
      </c>
      <c r="AC580" s="7">
        <v>14</v>
      </c>
      <c r="AD580" s="7">
        <v>6</v>
      </c>
      <c r="AE580" s="7" t="s">
        <v>519</v>
      </c>
      <c r="AF580" s="96">
        <v>17</v>
      </c>
      <c r="AG580" s="7">
        <v>0</v>
      </c>
      <c r="AH580" s="7">
        <v>0</v>
      </c>
      <c r="AI580" s="7">
        <v>-1</v>
      </c>
      <c r="AJ580" s="7">
        <v>-1</v>
      </c>
      <c r="AK580" s="7" t="s">
        <v>1065</v>
      </c>
      <c r="AL580" s="12" t="s">
        <v>1695</v>
      </c>
      <c r="AM580" s="12" t="s">
        <v>2072</v>
      </c>
    </row>
    <row r="581" spans="1:39" ht="21" customHeight="1" x14ac:dyDescent="0.15">
      <c r="A581" s="42" t="str">
        <f t="shared" si="23"/>
        <v>30022_1</v>
      </c>
      <c r="B581" s="23">
        <v>3</v>
      </c>
      <c r="C581" s="31">
        <v>30022</v>
      </c>
      <c r="D581" s="47" t="str">
        <f ca="1">VLOOKUP($C581,OFFSET(quests!$A$1,0,0,COUNTA(quests!$A:$A),MATCH(D$1,quests!$1:$1,0)-MATCH($C$2,quests!$1:$1,0)+1),MATCH(D$1,quests!$1:$1,0)-MATCH($C$2,quests!$1:$1,0)+1,FALSE)</f>
        <v>凶鼠ネコを咬む</v>
      </c>
      <c r="E581" s="48" t="str">
        <f ca="1">VLOOKUP($C581,OFFSET(quests!$A$1,0,0,COUNTA(quests!$A:$A),MATCH(E$2,quests!$1:$1,0)-MATCH($C$2,quests!$1:$1,0)+1),MATCH(E$2,quests!$1:$1,0)-MATCH($C$2,quests!$1:$1,0)+1,FALSE)</f>
        <v>ドロップイベント6（マルチ専用）</v>
      </c>
      <c r="F581" s="7">
        <v>1</v>
      </c>
      <c r="G581" s="7" t="s">
        <v>382</v>
      </c>
      <c r="H581" s="12" t="s">
        <v>842</v>
      </c>
      <c r="I581" s="12" t="s">
        <v>383</v>
      </c>
      <c r="J581" s="12">
        <v>504</v>
      </c>
      <c r="K581" s="192">
        <v>30</v>
      </c>
      <c r="L581" s="193">
        <v>3300</v>
      </c>
      <c r="M581" s="167">
        <v>1</v>
      </c>
      <c r="N581" s="167">
        <v>1</v>
      </c>
      <c r="O581" s="167">
        <v>1</v>
      </c>
      <c r="P581" s="167">
        <v>1</v>
      </c>
      <c r="Q581" s="167">
        <v>1</v>
      </c>
      <c r="R581" s="167">
        <v>3</v>
      </c>
      <c r="S581" s="167" t="s">
        <v>833</v>
      </c>
      <c r="T581" s="167">
        <v>0</v>
      </c>
      <c r="U581" s="7" t="s">
        <v>169</v>
      </c>
      <c r="V581" s="7" t="s">
        <v>169</v>
      </c>
      <c r="W581" s="47" t="str">
        <f t="shared" ca="1" si="24"/>
        <v/>
      </c>
      <c r="X581" s="47">
        <f ca="1">VLOOKUP($C581,OFFSET(quests!$A$1,0,0,COUNTA(quests!$A:$A),MATCH(X$2,quests!$1:$1,0)-MATCH($C$2,quests!$1:$1,0)+1),MATCH(X$2,quests!$1:$1,0)-MATCH($C$2,quests!$1:$1,0)+1,FALSE)</f>
        <v>0</v>
      </c>
      <c r="Y581" s="47">
        <f ca="1">VLOOKUP($C581,OFFSET(quests!$A$1,0,0,COUNTA(quests!$A:$A),MATCH(Y$2,quests!$1:$1,0)-MATCH($C$2,quests!$1:$1,0)+1),MATCH(Y$2,quests!$1:$1,0)-MATCH($C$2,quests!$1:$1,0)+1,FALSE)</f>
        <v>0</v>
      </c>
      <c r="Z581" s="47">
        <f ca="1">VLOOKUP($C581,OFFSET(quests!$A$1,0,0,COUNTA(quests!$A:$A),MATCH(Z$2,quests!$1:$1,0)-MATCH($C$2,quests!$1:$1,0)+1),MATCH(Z$2,quests!$1:$1,0)-MATCH($C$2,quests!$1:$1,0)+1,FALSE)</f>
        <v>0</v>
      </c>
      <c r="AA581" s="47">
        <f ca="1">VLOOKUP($C581,OFFSET(quests!$A$1,0,0,COUNTA(quests!$A:$A),MATCH(AA$2,quests!$1:$1,0)-MATCH($C$2,quests!$1:$1,0)+1),MATCH(AA$2,quests!$1:$1,0)-MATCH($C$2,quests!$1:$1,0)+1,FALSE)</f>
        <v>0</v>
      </c>
      <c r="AB581" s="7" t="s">
        <v>56</v>
      </c>
      <c r="AC581" s="7">
        <v>6</v>
      </c>
      <c r="AD581" s="7">
        <v>6</v>
      </c>
      <c r="AE581" s="7" t="s">
        <v>519</v>
      </c>
      <c r="AF581" s="33">
        <v>11</v>
      </c>
      <c r="AG581" s="7">
        <v>0</v>
      </c>
      <c r="AH581" s="7">
        <v>0</v>
      </c>
      <c r="AI581" s="7">
        <v>-1</v>
      </c>
      <c r="AJ581" s="7">
        <v>-1</v>
      </c>
      <c r="AK581" s="7" t="s">
        <v>1065</v>
      </c>
      <c r="AL581" s="12" t="s">
        <v>1695</v>
      </c>
      <c r="AM581" s="12" t="s">
        <v>2072</v>
      </c>
    </row>
    <row r="582" spans="1:39" ht="21" customHeight="1" x14ac:dyDescent="0.15">
      <c r="A582" s="42" t="str">
        <f t="shared" si="23"/>
        <v>30022_2</v>
      </c>
      <c r="B582" s="23">
        <v>3</v>
      </c>
      <c r="C582" s="31">
        <v>30022</v>
      </c>
      <c r="D582" s="47" t="str">
        <f ca="1">VLOOKUP($C582,OFFSET(quests!$A$1,0,0,COUNTA(quests!$A:$A),MATCH(D$1,quests!$1:$1,0)-MATCH($C$2,quests!$1:$1,0)+1),MATCH(D$1,quests!$1:$1,0)-MATCH($C$2,quests!$1:$1,0)+1,FALSE)</f>
        <v>凶鼠ネコを咬む</v>
      </c>
      <c r="E582" s="48" t="str">
        <f ca="1">VLOOKUP($C582,OFFSET(quests!$A$1,0,0,COUNTA(quests!$A:$A),MATCH(E$2,quests!$1:$1,0)-MATCH($C$2,quests!$1:$1,0)+1),MATCH(E$2,quests!$1:$1,0)-MATCH($C$2,quests!$1:$1,0)+1,FALSE)</f>
        <v>ドロップイベント6（マルチ専用）</v>
      </c>
      <c r="F582" s="7">
        <v>2</v>
      </c>
      <c r="G582" s="7" t="s">
        <v>382</v>
      </c>
      <c r="H582" s="12" t="s">
        <v>843</v>
      </c>
      <c r="I582" s="12" t="s">
        <v>534</v>
      </c>
      <c r="J582" s="12">
        <v>505</v>
      </c>
      <c r="K582" s="194">
        <v>35</v>
      </c>
      <c r="L582" s="195">
        <v>4200</v>
      </c>
      <c r="M582" s="167">
        <v>1</v>
      </c>
      <c r="N582" s="167">
        <v>1</v>
      </c>
      <c r="O582" s="167">
        <v>1</v>
      </c>
      <c r="P582" s="167">
        <v>1</v>
      </c>
      <c r="Q582" s="167">
        <v>1</v>
      </c>
      <c r="R582" s="167">
        <v>3</v>
      </c>
      <c r="S582" s="167" t="s">
        <v>844</v>
      </c>
      <c r="T582" s="167">
        <v>1</v>
      </c>
      <c r="U582" s="7" t="s">
        <v>169</v>
      </c>
      <c r="V582" s="7" t="s">
        <v>169</v>
      </c>
      <c r="W582" s="47" t="str">
        <f t="shared" ca="1" si="24"/>
        <v/>
      </c>
      <c r="X582" s="47">
        <f ca="1">VLOOKUP($C582,OFFSET(quests!$A$1,0,0,COUNTA(quests!$A:$A),MATCH(X$2,quests!$1:$1,0)-MATCH($C$2,quests!$1:$1,0)+1),MATCH(X$2,quests!$1:$1,0)-MATCH($C$2,quests!$1:$1,0)+1,FALSE)</f>
        <v>0</v>
      </c>
      <c r="Y582" s="47">
        <f ca="1">VLOOKUP($C582,OFFSET(quests!$A$1,0,0,COUNTA(quests!$A:$A),MATCH(Y$2,quests!$1:$1,0)-MATCH($C$2,quests!$1:$1,0)+1),MATCH(Y$2,quests!$1:$1,0)-MATCH($C$2,quests!$1:$1,0)+1,FALSE)</f>
        <v>0</v>
      </c>
      <c r="Z582" s="47">
        <f ca="1">VLOOKUP($C582,OFFSET(quests!$A$1,0,0,COUNTA(quests!$A:$A),MATCH(Z$2,quests!$1:$1,0)-MATCH($C$2,quests!$1:$1,0)+1),MATCH(Z$2,quests!$1:$1,0)-MATCH($C$2,quests!$1:$1,0)+1,FALSE)</f>
        <v>0</v>
      </c>
      <c r="AA582" s="47">
        <f ca="1">VLOOKUP($C582,OFFSET(quests!$A$1,0,0,COUNTA(quests!$A:$A),MATCH(AA$2,quests!$1:$1,0)-MATCH($C$2,quests!$1:$1,0)+1),MATCH(AA$2,quests!$1:$1,0)-MATCH($C$2,quests!$1:$1,0)+1,FALSE)</f>
        <v>0</v>
      </c>
      <c r="AB582" s="7" t="s">
        <v>56</v>
      </c>
      <c r="AC582" s="7">
        <v>6</v>
      </c>
      <c r="AD582" s="7">
        <v>6</v>
      </c>
      <c r="AE582" s="7" t="s">
        <v>519</v>
      </c>
      <c r="AF582" s="33">
        <v>11</v>
      </c>
      <c r="AG582" s="7">
        <v>0</v>
      </c>
      <c r="AH582" s="7">
        <v>0</v>
      </c>
      <c r="AI582" s="7">
        <v>-1</v>
      </c>
      <c r="AJ582" s="7">
        <v>-1</v>
      </c>
      <c r="AK582" s="7" t="s">
        <v>1065</v>
      </c>
      <c r="AL582" s="12" t="s">
        <v>1695</v>
      </c>
      <c r="AM582" s="12" t="s">
        <v>2072</v>
      </c>
    </row>
    <row r="583" spans="1:39" ht="21" customHeight="1" x14ac:dyDescent="0.15">
      <c r="A583" s="42" t="str">
        <f t="shared" si="23"/>
        <v>30023_1</v>
      </c>
      <c r="B583" s="23">
        <v>3</v>
      </c>
      <c r="C583" s="31">
        <v>30023</v>
      </c>
      <c r="D583" s="47" t="str">
        <f ca="1">VLOOKUP($C583,OFFSET(quests!$A$1,0,0,COUNTA(quests!$A:$A),MATCH(D$1,quests!$1:$1,0)-MATCH($C$2,quests!$1:$1,0)+1),MATCH(D$1,quests!$1:$1,0)-MATCH($C$2,quests!$1:$1,0)+1,FALSE)</f>
        <v>隔離からのエスケイプ</v>
      </c>
      <c r="E583" s="48" t="str">
        <f ca="1">VLOOKUP($C583,OFFSET(quests!$A$1,0,0,COUNTA(quests!$A:$A),MATCH(E$2,quests!$1:$1,0)-MATCH($C$2,quests!$1:$1,0)+1),MATCH(E$2,quests!$1:$1,0)-MATCH($C$2,quests!$1:$1,0)+1,FALSE)</f>
        <v>ドロップイベント6（マルチ専用）</v>
      </c>
      <c r="F583" s="7">
        <v>1</v>
      </c>
      <c r="G583" s="7" t="s">
        <v>382</v>
      </c>
      <c r="H583" s="12" t="str">
        <f ca="1">"【中級】"&amp;D583</f>
        <v>【中級】隔離からのエスケイプ</v>
      </c>
      <c r="I583" s="12" t="s">
        <v>831</v>
      </c>
      <c r="J583" s="12">
        <v>506</v>
      </c>
      <c r="K583" s="192">
        <v>15</v>
      </c>
      <c r="L583" s="193">
        <v>1200</v>
      </c>
      <c r="M583" s="167">
        <v>1</v>
      </c>
      <c r="N583" s="167">
        <v>1</v>
      </c>
      <c r="O583" s="167">
        <v>1</v>
      </c>
      <c r="P583" s="167">
        <v>1</v>
      </c>
      <c r="Q583" s="167">
        <v>1</v>
      </c>
      <c r="R583" s="167">
        <v>3</v>
      </c>
      <c r="S583" s="167" t="s">
        <v>833</v>
      </c>
      <c r="T583" s="167">
        <v>0</v>
      </c>
      <c r="U583" s="7" t="s">
        <v>169</v>
      </c>
      <c r="V583" s="7" t="s">
        <v>169</v>
      </c>
      <c r="W583" s="47" t="str">
        <f t="shared" ca="1" si="24"/>
        <v/>
      </c>
      <c r="X583" s="47">
        <f ca="1">VLOOKUP($C583,OFFSET(quests!$A$1,0,0,COUNTA(quests!$A:$A),MATCH(X$2,quests!$1:$1,0)-MATCH($C$2,quests!$1:$1,0)+1),MATCH(X$2,quests!$1:$1,0)-MATCH($C$2,quests!$1:$1,0)+1,FALSE)</f>
        <v>0</v>
      </c>
      <c r="Y583" s="47">
        <f ca="1">VLOOKUP($C583,OFFSET(quests!$A$1,0,0,COUNTA(quests!$A:$A),MATCH(Y$2,quests!$1:$1,0)-MATCH($C$2,quests!$1:$1,0)+1),MATCH(Y$2,quests!$1:$1,0)-MATCH($C$2,quests!$1:$1,0)+1,FALSE)</f>
        <v>0</v>
      </c>
      <c r="Z583" s="47">
        <f ca="1">VLOOKUP($C583,OFFSET(quests!$A$1,0,0,COUNTA(quests!$A:$A),MATCH(Z$2,quests!$1:$1,0)-MATCH($C$2,quests!$1:$1,0)+1),MATCH(Z$2,quests!$1:$1,0)-MATCH($C$2,quests!$1:$1,0)+1,FALSE)</f>
        <v>0</v>
      </c>
      <c r="AA583" s="47">
        <f ca="1">VLOOKUP($C583,OFFSET(quests!$A$1,0,0,COUNTA(quests!$A:$A),MATCH(AA$2,quests!$1:$1,0)-MATCH($C$2,quests!$1:$1,0)+1),MATCH(AA$2,quests!$1:$1,0)-MATCH($C$2,quests!$1:$1,0)+1,FALSE)</f>
        <v>0</v>
      </c>
      <c r="AB583" s="7" t="s">
        <v>56</v>
      </c>
      <c r="AC583" s="7">
        <v>25</v>
      </c>
      <c r="AD583" s="7">
        <v>6</v>
      </c>
      <c r="AE583" s="7" t="s">
        <v>519</v>
      </c>
      <c r="AF583" s="255">
        <v>16</v>
      </c>
      <c r="AG583" s="7">
        <v>0</v>
      </c>
      <c r="AH583" s="7">
        <v>0</v>
      </c>
      <c r="AI583" s="33">
        <v>0</v>
      </c>
      <c r="AJ583" s="167">
        <v>-1</v>
      </c>
      <c r="AK583" s="7" t="s">
        <v>1064</v>
      </c>
      <c r="AL583" s="12" t="s">
        <v>1695</v>
      </c>
      <c r="AM583" s="12" t="s">
        <v>2072</v>
      </c>
    </row>
    <row r="584" spans="1:39" ht="21" customHeight="1" x14ac:dyDescent="0.15">
      <c r="A584" s="42" t="str">
        <f t="shared" si="23"/>
        <v>30023_2</v>
      </c>
      <c r="B584" s="23">
        <v>3</v>
      </c>
      <c r="C584" s="31">
        <v>30023</v>
      </c>
      <c r="D584" s="47" t="str">
        <f ca="1">VLOOKUP($C584,OFFSET(quests!$A$1,0,0,COUNTA(quests!$A:$A),MATCH(D$1,quests!$1:$1,0)-MATCH($C$2,quests!$1:$1,0)+1),MATCH(D$1,quests!$1:$1,0)-MATCH($C$2,quests!$1:$1,0)+1,FALSE)</f>
        <v>隔離からのエスケイプ</v>
      </c>
      <c r="E584" s="48" t="str">
        <f ca="1">VLOOKUP($C584,OFFSET(quests!$A$1,0,0,COUNTA(quests!$A:$A),MATCH(E$2,quests!$1:$1,0)-MATCH($C$2,quests!$1:$1,0)+1),MATCH(E$2,quests!$1:$1,0)-MATCH($C$2,quests!$1:$1,0)+1,FALSE)</f>
        <v>ドロップイベント6（マルチ専用）</v>
      </c>
      <c r="F584" s="7">
        <v>2</v>
      </c>
      <c r="G584" s="7" t="s">
        <v>382</v>
      </c>
      <c r="H584" s="12" t="str">
        <f ca="1">"【上級】"&amp;D584</f>
        <v>【上級】隔離からのエスケイプ</v>
      </c>
      <c r="I584" s="12" t="s">
        <v>830</v>
      </c>
      <c r="J584" s="12">
        <v>506</v>
      </c>
      <c r="K584" s="194">
        <v>20</v>
      </c>
      <c r="L584" s="195">
        <v>2000</v>
      </c>
      <c r="M584" s="167">
        <v>1</v>
      </c>
      <c r="N584" s="167">
        <v>1</v>
      </c>
      <c r="O584" s="167">
        <v>1</v>
      </c>
      <c r="P584" s="167">
        <v>1</v>
      </c>
      <c r="Q584" s="167">
        <v>1</v>
      </c>
      <c r="R584" s="167">
        <v>3</v>
      </c>
      <c r="S584" s="167" t="s">
        <v>833</v>
      </c>
      <c r="T584" s="167">
        <v>0</v>
      </c>
      <c r="U584" s="7" t="s">
        <v>169</v>
      </c>
      <c r="V584" s="7" t="s">
        <v>169</v>
      </c>
      <c r="W584" s="47" t="str">
        <f t="shared" ca="1" si="24"/>
        <v/>
      </c>
      <c r="X584" s="47">
        <f ca="1">VLOOKUP($C584,OFFSET(quests!$A$1,0,0,COUNTA(quests!$A:$A),MATCH(X$2,quests!$1:$1,0)-MATCH($C$2,quests!$1:$1,0)+1),MATCH(X$2,quests!$1:$1,0)-MATCH($C$2,quests!$1:$1,0)+1,FALSE)</f>
        <v>0</v>
      </c>
      <c r="Y584" s="47">
        <f ca="1">VLOOKUP($C584,OFFSET(quests!$A$1,0,0,COUNTA(quests!$A:$A),MATCH(Y$2,quests!$1:$1,0)-MATCH($C$2,quests!$1:$1,0)+1),MATCH(Y$2,quests!$1:$1,0)-MATCH($C$2,quests!$1:$1,0)+1,FALSE)</f>
        <v>0</v>
      </c>
      <c r="Z584" s="47">
        <f ca="1">VLOOKUP($C584,OFFSET(quests!$A$1,0,0,COUNTA(quests!$A:$A),MATCH(Z$2,quests!$1:$1,0)-MATCH($C$2,quests!$1:$1,0)+1),MATCH(Z$2,quests!$1:$1,0)-MATCH($C$2,quests!$1:$1,0)+1,FALSE)</f>
        <v>0</v>
      </c>
      <c r="AA584" s="47">
        <f ca="1">VLOOKUP($C584,OFFSET(quests!$A$1,0,0,COUNTA(quests!$A:$A),MATCH(AA$2,quests!$1:$1,0)-MATCH($C$2,quests!$1:$1,0)+1),MATCH(AA$2,quests!$1:$1,0)-MATCH($C$2,quests!$1:$1,0)+1,FALSE)</f>
        <v>0</v>
      </c>
      <c r="AB584" s="7" t="s">
        <v>56</v>
      </c>
      <c r="AC584" s="7">
        <v>25</v>
      </c>
      <c r="AD584" s="7">
        <v>6</v>
      </c>
      <c r="AE584" s="7" t="s">
        <v>519</v>
      </c>
      <c r="AF584" s="255">
        <v>16</v>
      </c>
      <c r="AG584" s="7">
        <v>0</v>
      </c>
      <c r="AH584" s="7">
        <v>0</v>
      </c>
      <c r="AI584" s="33">
        <v>0</v>
      </c>
      <c r="AJ584" s="167">
        <v>-1</v>
      </c>
      <c r="AK584" s="7" t="s">
        <v>1064</v>
      </c>
      <c r="AL584" s="12" t="s">
        <v>1695</v>
      </c>
      <c r="AM584" s="12" t="s">
        <v>2072</v>
      </c>
    </row>
    <row r="585" spans="1:39" ht="21" customHeight="1" x14ac:dyDescent="0.15">
      <c r="A585" s="42" t="str">
        <f t="shared" si="23"/>
        <v>30023_3</v>
      </c>
      <c r="B585" s="23">
        <v>3</v>
      </c>
      <c r="C585" s="31">
        <v>30023</v>
      </c>
      <c r="D585" s="47" t="str">
        <f ca="1">VLOOKUP($C585,OFFSET(quests!$A$1,0,0,COUNTA(quests!$A:$A),MATCH(D$1,quests!$1:$1,0)-MATCH($C$2,quests!$1:$1,0)+1),MATCH(D$1,quests!$1:$1,0)-MATCH($C$2,quests!$1:$1,0)+1,FALSE)</f>
        <v>隔離からのエスケイプ</v>
      </c>
      <c r="E585" s="48" t="str">
        <f ca="1">VLOOKUP($C585,OFFSET(quests!$A$1,0,0,COUNTA(quests!$A:$A),MATCH(E$2,quests!$1:$1,0)-MATCH($C$2,quests!$1:$1,0)+1),MATCH(E$2,quests!$1:$1,0)-MATCH($C$2,quests!$1:$1,0)+1,FALSE)</f>
        <v>ドロップイベント6（マルチ専用）</v>
      </c>
      <c r="F585" s="7">
        <v>3</v>
      </c>
      <c r="G585" s="7" t="s">
        <v>382</v>
      </c>
      <c r="H585" s="12" t="str">
        <f ca="1">"【超級】"&amp;D585</f>
        <v>【超級】隔離からのエスケイプ</v>
      </c>
      <c r="I585" s="12" t="s">
        <v>832</v>
      </c>
      <c r="J585" s="12">
        <v>507</v>
      </c>
      <c r="K585" s="194">
        <v>30</v>
      </c>
      <c r="L585" s="195">
        <v>3300</v>
      </c>
      <c r="M585" s="167">
        <v>1</v>
      </c>
      <c r="N585" s="167">
        <v>1</v>
      </c>
      <c r="O585" s="167">
        <v>1</v>
      </c>
      <c r="P585" s="167">
        <v>1</v>
      </c>
      <c r="Q585" s="167">
        <v>1</v>
      </c>
      <c r="R585" s="167">
        <v>3</v>
      </c>
      <c r="S585" s="167" t="s">
        <v>278</v>
      </c>
      <c r="T585" s="167">
        <v>1</v>
      </c>
      <c r="U585" s="7" t="s">
        <v>169</v>
      </c>
      <c r="V585" s="7" t="s">
        <v>169</v>
      </c>
      <c r="W585" s="47" t="str">
        <f t="shared" ca="1" si="24"/>
        <v/>
      </c>
      <c r="X585" s="47">
        <f ca="1">VLOOKUP($C585,OFFSET(quests!$A$1,0,0,COUNTA(quests!$A:$A),MATCH(X$2,quests!$1:$1,0)-MATCH($C$2,quests!$1:$1,0)+1),MATCH(X$2,quests!$1:$1,0)-MATCH($C$2,quests!$1:$1,0)+1,FALSE)</f>
        <v>0</v>
      </c>
      <c r="Y585" s="47">
        <f ca="1">VLOOKUP($C585,OFFSET(quests!$A$1,0,0,COUNTA(quests!$A:$A),MATCH(Y$2,quests!$1:$1,0)-MATCH($C$2,quests!$1:$1,0)+1),MATCH(Y$2,quests!$1:$1,0)-MATCH($C$2,quests!$1:$1,0)+1,FALSE)</f>
        <v>0</v>
      </c>
      <c r="Z585" s="47">
        <f ca="1">VLOOKUP($C585,OFFSET(quests!$A$1,0,0,COUNTA(quests!$A:$A),MATCH(Z$2,quests!$1:$1,0)-MATCH($C$2,quests!$1:$1,0)+1),MATCH(Z$2,quests!$1:$1,0)-MATCH($C$2,quests!$1:$1,0)+1,FALSE)</f>
        <v>0</v>
      </c>
      <c r="AA585" s="47">
        <f ca="1">VLOOKUP($C585,OFFSET(quests!$A$1,0,0,COUNTA(quests!$A:$A),MATCH(AA$2,quests!$1:$1,0)-MATCH($C$2,quests!$1:$1,0)+1),MATCH(AA$2,quests!$1:$1,0)-MATCH($C$2,quests!$1:$1,0)+1,FALSE)</f>
        <v>0</v>
      </c>
      <c r="AB585" s="7" t="s">
        <v>56</v>
      </c>
      <c r="AC585" s="7">
        <v>25</v>
      </c>
      <c r="AD585" s="7">
        <v>6</v>
      </c>
      <c r="AE585" s="7" t="s">
        <v>519</v>
      </c>
      <c r="AF585" s="255">
        <v>16</v>
      </c>
      <c r="AG585" s="7">
        <v>0</v>
      </c>
      <c r="AH585" s="7">
        <v>0</v>
      </c>
      <c r="AI585" s="33">
        <v>0</v>
      </c>
      <c r="AJ585" s="167">
        <v>-1</v>
      </c>
      <c r="AK585" s="7" t="s">
        <v>1065</v>
      </c>
      <c r="AL585" s="12" t="s">
        <v>1695</v>
      </c>
      <c r="AM585" s="12" t="s">
        <v>2072</v>
      </c>
    </row>
    <row r="586" spans="1:39" ht="21" customHeight="1" x14ac:dyDescent="0.15">
      <c r="A586" s="42" t="str">
        <f t="shared" si="23"/>
        <v>30024_1</v>
      </c>
      <c r="B586" s="23">
        <v>3</v>
      </c>
      <c r="C586" s="31">
        <v>30024</v>
      </c>
      <c r="D586" s="47" t="str">
        <f ca="1">VLOOKUP($C586,OFFSET(quests!$A$1,0,0,COUNTA(quests!$A:$A),MATCH(D$1,quests!$1:$1,0)-MATCH($C$2,quests!$1:$1,0)+1),MATCH(D$1,quests!$1:$1,0)-MATCH($C$2,quests!$1:$1,0)+1,FALSE)</f>
        <v>雷鎚の選定</v>
      </c>
      <c r="E586" s="48" t="str">
        <f ca="1">VLOOKUP($C586,OFFSET(quests!$A$1,0,0,COUNTA(quests!$A:$A),MATCH(E$2,quests!$1:$1,0)-MATCH($C$2,quests!$1:$1,0)+1),MATCH(E$2,quests!$1:$1,0)-MATCH($C$2,quests!$1:$1,0)+1,FALSE)</f>
        <v>ドロップイベント7（マルチ専用）</v>
      </c>
      <c r="F586" s="7">
        <v>1</v>
      </c>
      <c r="G586" s="7" t="s">
        <v>382</v>
      </c>
      <c r="H586" s="12" t="str">
        <f ca="1">"【中級】"&amp;D586</f>
        <v>【中級】雷鎚の選定</v>
      </c>
      <c r="I586" s="12" t="s">
        <v>831</v>
      </c>
      <c r="J586" s="12">
        <v>583</v>
      </c>
      <c r="K586" s="192">
        <v>15</v>
      </c>
      <c r="L586" s="193">
        <v>1200</v>
      </c>
      <c r="M586" s="167">
        <v>1</v>
      </c>
      <c r="N586" s="167">
        <v>1</v>
      </c>
      <c r="O586" s="167">
        <v>1</v>
      </c>
      <c r="P586" s="167">
        <v>1</v>
      </c>
      <c r="Q586" s="167">
        <v>1</v>
      </c>
      <c r="R586" s="167">
        <v>3</v>
      </c>
      <c r="S586" s="167" t="s">
        <v>833</v>
      </c>
      <c r="T586" s="167">
        <v>0</v>
      </c>
      <c r="U586" s="7" t="s">
        <v>169</v>
      </c>
      <c r="V586" s="7" t="s">
        <v>169</v>
      </c>
      <c r="W586" s="47" t="str">
        <f t="shared" ca="1" si="24"/>
        <v/>
      </c>
      <c r="X586" s="47">
        <f ca="1">VLOOKUP($C586,OFFSET(quests!$A$1,0,0,COUNTA(quests!$A:$A),MATCH(X$2,quests!$1:$1,0)-MATCH($C$2,quests!$1:$1,0)+1),MATCH(X$2,quests!$1:$1,0)-MATCH($C$2,quests!$1:$1,0)+1,FALSE)</f>
        <v>0</v>
      </c>
      <c r="Y586" s="47">
        <f ca="1">VLOOKUP($C586,OFFSET(quests!$A$1,0,0,COUNTA(quests!$A:$A),MATCH(Y$2,quests!$1:$1,0)-MATCH($C$2,quests!$1:$1,0)+1),MATCH(Y$2,quests!$1:$1,0)-MATCH($C$2,quests!$1:$1,0)+1,FALSE)</f>
        <v>0</v>
      </c>
      <c r="Z586" s="47">
        <f ca="1">VLOOKUP($C586,OFFSET(quests!$A$1,0,0,COUNTA(quests!$A:$A),MATCH(Z$2,quests!$1:$1,0)-MATCH($C$2,quests!$1:$1,0)+1),MATCH(Z$2,quests!$1:$1,0)-MATCH($C$2,quests!$1:$1,0)+1,FALSE)</f>
        <v>0</v>
      </c>
      <c r="AA586" s="47">
        <f ca="1">VLOOKUP($C586,OFFSET(quests!$A$1,0,0,COUNTA(quests!$A:$A),MATCH(AA$2,quests!$1:$1,0)-MATCH($C$2,quests!$1:$1,0)+1),MATCH(AA$2,quests!$1:$1,0)-MATCH($C$2,quests!$1:$1,0)+1,FALSE)</f>
        <v>0</v>
      </c>
      <c r="AB586" s="7" t="s">
        <v>56</v>
      </c>
      <c r="AC586" s="7">
        <v>20</v>
      </c>
      <c r="AD586" s="7">
        <v>6</v>
      </c>
      <c r="AE586" s="7" t="s">
        <v>541</v>
      </c>
      <c r="AF586" s="33">
        <v>11</v>
      </c>
      <c r="AG586" s="7">
        <v>0</v>
      </c>
      <c r="AH586" s="7">
        <v>0</v>
      </c>
      <c r="AI586" s="7">
        <v>-1</v>
      </c>
      <c r="AJ586" s="7">
        <v>-1</v>
      </c>
      <c r="AK586" s="7" t="s">
        <v>1064</v>
      </c>
      <c r="AL586" s="12" t="s">
        <v>1695</v>
      </c>
      <c r="AM586" s="12" t="s">
        <v>2072</v>
      </c>
    </row>
    <row r="587" spans="1:39" ht="21" customHeight="1" x14ac:dyDescent="0.15">
      <c r="A587" s="42" t="str">
        <f t="shared" si="23"/>
        <v>30024_2</v>
      </c>
      <c r="B587" s="23">
        <v>3</v>
      </c>
      <c r="C587" s="31">
        <v>30024</v>
      </c>
      <c r="D587" s="47" t="str">
        <f ca="1">VLOOKUP($C587,OFFSET(quests!$A$1,0,0,COUNTA(quests!$A:$A),MATCH(D$1,quests!$1:$1,0)-MATCH($C$2,quests!$1:$1,0)+1),MATCH(D$1,quests!$1:$1,0)-MATCH($C$2,quests!$1:$1,0)+1,FALSE)</f>
        <v>雷鎚の選定</v>
      </c>
      <c r="E587" s="48" t="str">
        <f ca="1">VLOOKUP($C587,OFFSET(quests!$A$1,0,0,COUNTA(quests!$A:$A),MATCH(E$2,quests!$1:$1,0)-MATCH($C$2,quests!$1:$1,0)+1),MATCH(E$2,quests!$1:$1,0)-MATCH($C$2,quests!$1:$1,0)+1,FALSE)</f>
        <v>ドロップイベント7（マルチ専用）</v>
      </c>
      <c r="F587" s="7">
        <v>2</v>
      </c>
      <c r="G587" s="7" t="s">
        <v>382</v>
      </c>
      <c r="H587" s="12" t="str">
        <f ca="1">"【上級】"&amp;D587</f>
        <v>【上級】雷鎚の選定</v>
      </c>
      <c r="I587" s="12" t="s">
        <v>830</v>
      </c>
      <c r="J587" s="12">
        <v>583</v>
      </c>
      <c r="K587" s="194">
        <v>20</v>
      </c>
      <c r="L587" s="195">
        <v>2000</v>
      </c>
      <c r="M587" s="167">
        <v>1</v>
      </c>
      <c r="N587" s="167">
        <v>1</v>
      </c>
      <c r="O587" s="167">
        <v>1</v>
      </c>
      <c r="P587" s="167">
        <v>1</v>
      </c>
      <c r="Q587" s="167">
        <v>1</v>
      </c>
      <c r="R587" s="167">
        <v>3</v>
      </c>
      <c r="S587" s="167" t="s">
        <v>833</v>
      </c>
      <c r="T587" s="167">
        <v>0</v>
      </c>
      <c r="U587" s="7" t="s">
        <v>169</v>
      </c>
      <c r="V587" s="7" t="s">
        <v>169</v>
      </c>
      <c r="W587" s="47" t="str">
        <f t="shared" ca="1" si="24"/>
        <v/>
      </c>
      <c r="X587" s="47">
        <f ca="1">VLOOKUP($C587,OFFSET(quests!$A$1,0,0,COUNTA(quests!$A:$A),MATCH(X$2,quests!$1:$1,0)-MATCH($C$2,quests!$1:$1,0)+1),MATCH(X$2,quests!$1:$1,0)-MATCH($C$2,quests!$1:$1,0)+1,FALSE)</f>
        <v>0</v>
      </c>
      <c r="Y587" s="47">
        <f ca="1">VLOOKUP($C587,OFFSET(quests!$A$1,0,0,COUNTA(quests!$A:$A),MATCH(Y$2,quests!$1:$1,0)-MATCH($C$2,quests!$1:$1,0)+1),MATCH(Y$2,quests!$1:$1,0)-MATCH($C$2,quests!$1:$1,0)+1,FALSE)</f>
        <v>0</v>
      </c>
      <c r="Z587" s="47">
        <f ca="1">VLOOKUP($C587,OFFSET(quests!$A$1,0,0,COUNTA(quests!$A:$A),MATCH(Z$2,quests!$1:$1,0)-MATCH($C$2,quests!$1:$1,0)+1),MATCH(Z$2,quests!$1:$1,0)-MATCH($C$2,quests!$1:$1,0)+1,FALSE)</f>
        <v>0</v>
      </c>
      <c r="AA587" s="47">
        <f ca="1">VLOOKUP($C587,OFFSET(quests!$A$1,0,0,COUNTA(quests!$A:$A),MATCH(AA$2,quests!$1:$1,0)-MATCH($C$2,quests!$1:$1,0)+1),MATCH(AA$2,quests!$1:$1,0)-MATCH($C$2,quests!$1:$1,0)+1,FALSE)</f>
        <v>0</v>
      </c>
      <c r="AB587" s="7" t="s">
        <v>56</v>
      </c>
      <c r="AC587" s="7">
        <v>20</v>
      </c>
      <c r="AD587" s="7">
        <v>6</v>
      </c>
      <c r="AE587" s="7" t="s">
        <v>541</v>
      </c>
      <c r="AF587" s="33">
        <v>11</v>
      </c>
      <c r="AG587" s="7">
        <v>0</v>
      </c>
      <c r="AH587" s="7">
        <v>0</v>
      </c>
      <c r="AI587" s="7">
        <v>-1</v>
      </c>
      <c r="AJ587" s="7">
        <v>-1</v>
      </c>
      <c r="AK587" s="7" t="s">
        <v>1064</v>
      </c>
      <c r="AL587" s="12" t="s">
        <v>1695</v>
      </c>
      <c r="AM587" s="12" t="s">
        <v>2072</v>
      </c>
    </row>
    <row r="588" spans="1:39" ht="21" customHeight="1" x14ac:dyDescent="0.15">
      <c r="A588" s="42" t="str">
        <f t="shared" si="23"/>
        <v>30024_3</v>
      </c>
      <c r="B588" s="23">
        <v>3</v>
      </c>
      <c r="C588" s="31">
        <v>30024</v>
      </c>
      <c r="D588" s="47" t="str">
        <f ca="1">VLOOKUP($C588,OFFSET(quests!$A$1,0,0,COUNTA(quests!$A:$A),MATCH(D$1,quests!$1:$1,0)-MATCH($C$2,quests!$1:$1,0)+1),MATCH(D$1,quests!$1:$1,0)-MATCH($C$2,quests!$1:$1,0)+1,FALSE)</f>
        <v>雷鎚の選定</v>
      </c>
      <c r="E588" s="48" t="str">
        <f ca="1">VLOOKUP($C588,OFFSET(quests!$A$1,0,0,COUNTA(quests!$A:$A),MATCH(E$2,quests!$1:$1,0)-MATCH($C$2,quests!$1:$1,0)+1),MATCH(E$2,quests!$1:$1,0)-MATCH($C$2,quests!$1:$1,0)+1,FALSE)</f>
        <v>ドロップイベント7（マルチ専用）</v>
      </c>
      <c r="F588" s="7">
        <v>3</v>
      </c>
      <c r="G588" s="7" t="s">
        <v>382</v>
      </c>
      <c r="H588" s="12" t="str">
        <f ca="1">"【超級】"&amp;D588</f>
        <v>【超級】雷鎚の選定</v>
      </c>
      <c r="I588" s="12" t="s">
        <v>832</v>
      </c>
      <c r="J588" s="12">
        <v>584</v>
      </c>
      <c r="K588" s="194">
        <v>30</v>
      </c>
      <c r="L588" s="195">
        <v>3300</v>
      </c>
      <c r="M588" s="167">
        <v>1</v>
      </c>
      <c r="N588" s="167">
        <v>1</v>
      </c>
      <c r="O588" s="167">
        <v>1</v>
      </c>
      <c r="P588" s="167">
        <v>1</v>
      </c>
      <c r="Q588" s="167">
        <v>1</v>
      </c>
      <c r="R588" s="167">
        <v>3</v>
      </c>
      <c r="S588" s="167" t="s">
        <v>278</v>
      </c>
      <c r="T588" s="167">
        <v>1</v>
      </c>
      <c r="U588" s="7" t="s">
        <v>169</v>
      </c>
      <c r="V588" s="7" t="s">
        <v>169</v>
      </c>
      <c r="W588" s="47" t="str">
        <f t="shared" ca="1" si="24"/>
        <v/>
      </c>
      <c r="X588" s="47">
        <f ca="1">VLOOKUP($C588,OFFSET(quests!$A$1,0,0,COUNTA(quests!$A:$A),MATCH(X$2,quests!$1:$1,0)-MATCH($C$2,quests!$1:$1,0)+1),MATCH(X$2,quests!$1:$1,0)-MATCH($C$2,quests!$1:$1,0)+1,FALSE)</f>
        <v>0</v>
      </c>
      <c r="Y588" s="47">
        <f ca="1">VLOOKUP($C588,OFFSET(quests!$A$1,0,0,COUNTA(quests!$A:$A),MATCH(Y$2,quests!$1:$1,0)-MATCH($C$2,quests!$1:$1,0)+1),MATCH(Y$2,quests!$1:$1,0)-MATCH($C$2,quests!$1:$1,0)+1,FALSE)</f>
        <v>0</v>
      </c>
      <c r="Z588" s="47">
        <f ca="1">VLOOKUP($C588,OFFSET(quests!$A$1,0,0,COUNTA(quests!$A:$A),MATCH(Z$2,quests!$1:$1,0)-MATCH($C$2,quests!$1:$1,0)+1),MATCH(Z$2,quests!$1:$1,0)-MATCH($C$2,quests!$1:$1,0)+1,FALSE)</f>
        <v>0</v>
      </c>
      <c r="AA588" s="47">
        <f ca="1">VLOOKUP($C588,OFFSET(quests!$A$1,0,0,COUNTA(quests!$A:$A),MATCH(AA$2,quests!$1:$1,0)-MATCH($C$2,quests!$1:$1,0)+1),MATCH(AA$2,quests!$1:$1,0)-MATCH($C$2,quests!$1:$1,0)+1,FALSE)</f>
        <v>0</v>
      </c>
      <c r="AB588" s="7" t="s">
        <v>56</v>
      </c>
      <c r="AC588" s="7">
        <v>20</v>
      </c>
      <c r="AD588" s="7">
        <v>6</v>
      </c>
      <c r="AE588" s="7" t="s">
        <v>541</v>
      </c>
      <c r="AF588" s="33">
        <v>11</v>
      </c>
      <c r="AG588" s="7">
        <v>0</v>
      </c>
      <c r="AH588" s="7">
        <v>0</v>
      </c>
      <c r="AI588" s="7">
        <v>-1</v>
      </c>
      <c r="AJ588" s="7">
        <v>-1</v>
      </c>
      <c r="AK588" s="7" t="s">
        <v>1065</v>
      </c>
      <c r="AL588" s="12" t="s">
        <v>1695</v>
      </c>
      <c r="AM588" s="12" t="s">
        <v>2072</v>
      </c>
    </row>
    <row r="589" spans="1:39" ht="21" customHeight="1" x14ac:dyDescent="0.15">
      <c r="A589" s="42" t="str">
        <f t="shared" si="23"/>
        <v>30025_1</v>
      </c>
      <c r="B589" s="23">
        <v>3</v>
      </c>
      <c r="C589" s="31">
        <v>30025</v>
      </c>
      <c r="D589" s="47" t="str">
        <f ca="1">VLOOKUP($C589,OFFSET(quests!$A$1,0,0,COUNTA(quests!$A:$A),MATCH(D$1,quests!$1:$1,0)-MATCH($C$2,quests!$1:$1,0)+1),MATCH(D$1,quests!$1:$1,0)-MATCH($C$2,quests!$1:$1,0)+1,FALSE)</f>
        <v>真実の探求者</v>
      </c>
      <c r="E589" s="48" t="str">
        <f ca="1">VLOOKUP($C589,OFFSET(quests!$A$1,0,0,COUNTA(quests!$A:$A),MATCH(E$2,quests!$1:$1,0)-MATCH($C$2,quests!$1:$1,0)+1),MATCH(E$2,quests!$1:$1,0)-MATCH($C$2,quests!$1:$1,0)+1,FALSE)</f>
        <v>ドロップイベント7（マルチ専用）</v>
      </c>
      <c r="F589" s="7">
        <v>1</v>
      </c>
      <c r="G589" s="7" t="s">
        <v>382</v>
      </c>
      <c r="H589" s="12" t="str">
        <f ca="1">"【中級】"&amp;D589</f>
        <v>【中級】真実の探求者</v>
      </c>
      <c r="I589" s="12" t="s">
        <v>831</v>
      </c>
      <c r="J589" s="12">
        <v>579</v>
      </c>
      <c r="K589" s="192">
        <v>15</v>
      </c>
      <c r="L589" s="193">
        <v>1200</v>
      </c>
      <c r="M589" s="167">
        <v>1</v>
      </c>
      <c r="N589" s="167">
        <v>1</v>
      </c>
      <c r="O589" s="167">
        <v>1</v>
      </c>
      <c r="P589" s="167">
        <v>1</v>
      </c>
      <c r="Q589" s="167">
        <v>1</v>
      </c>
      <c r="R589" s="167">
        <v>3</v>
      </c>
      <c r="S589" s="167" t="s">
        <v>817</v>
      </c>
      <c r="T589" s="167">
        <v>0</v>
      </c>
      <c r="U589" s="7" t="s">
        <v>169</v>
      </c>
      <c r="V589" s="7" t="s">
        <v>169</v>
      </c>
      <c r="W589" s="47" t="str">
        <f t="shared" ca="1" si="24"/>
        <v/>
      </c>
      <c r="X589" s="47">
        <f ca="1">VLOOKUP($C589,OFFSET(quests!$A$1,0,0,COUNTA(quests!$A:$A),MATCH(X$2,quests!$1:$1,0)-MATCH($C$2,quests!$1:$1,0)+1),MATCH(X$2,quests!$1:$1,0)-MATCH($C$2,quests!$1:$1,0)+1,FALSE)</f>
        <v>0</v>
      </c>
      <c r="Y589" s="47">
        <f ca="1">VLOOKUP($C589,OFFSET(quests!$A$1,0,0,COUNTA(quests!$A:$A),MATCH(Y$2,quests!$1:$1,0)-MATCH($C$2,quests!$1:$1,0)+1),MATCH(Y$2,quests!$1:$1,0)-MATCH($C$2,quests!$1:$1,0)+1,FALSE)</f>
        <v>0</v>
      </c>
      <c r="Z589" s="47">
        <f ca="1">VLOOKUP($C589,OFFSET(quests!$A$1,0,0,COUNTA(quests!$A:$A),MATCH(Z$2,quests!$1:$1,0)-MATCH($C$2,quests!$1:$1,0)+1),MATCH(Z$2,quests!$1:$1,0)-MATCH($C$2,quests!$1:$1,0)+1,FALSE)</f>
        <v>0</v>
      </c>
      <c r="AA589" s="47">
        <f ca="1">VLOOKUP($C589,OFFSET(quests!$A$1,0,0,COUNTA(quests!$A:$A),MATCH(AA$2,quests!$1:$1,0)-MATCH($C$2,quests!$1:$1,0)+1),MATCH(AA$2,quests!$1:$1,0)-MATCH($C$2,quests!$1:$1,0)+1,FALSE)</f>
        <v>0</v>
      </c>
      <c r="AB589" s="7" t="s">
        <v>56</v>
      </c>
      <c r="AC589" s="7">
        <v>7</v>
      </c>
      <c r="AD589" s="7">
        <v>6</v>
      </c>
      <c r="AE589" s="7" t="s">
        <v>519</v>
      </c>
      <c r="AF589" s="33">
        <v>11</v>
      </c>
      <c r="AG589" s="7">
        <v>0</v>
      </c>
      <c r="AH589" s="7">
        <v>0</v>
      </c>
      <c r="AI589" s="7">
        <v>0</v>
      </c>
      <c r="AJ589" s="7">
        <v>-1</v>
      </c>
      <c r="AK589" s="7" t="s">
        <v>1064</v>
      </c>
      <c r="AL589" s="12" t="s">
        <v>1695</v>
      </c>
      <c r="AM589" s="12" t="s">
        <v>2072</v>
      </c>
    </row>
    <row r="590" spans="1:39" ht="21" customHeight="1" x14ac:dyDescent="0.15">
      <c r="A590" s="42" t="str">
        <f t="shared" si="23"/>
        <v>30025_2</v>
      </c>
      <c r="B590" s="23">
        <v>3</v>
      </c>
      <c r="C590" s="31">
        <v>30025</v>
      </c>
      <c r="D590" s="47" t="str">
        <f ca="1">VLOOKUP($C590,OFFSET(quests!$A$1,0,0,COUNTA(quests!$A:$A),MATCH(D$1,quests!$1:$1,0)-MATCH($C$2,quests!$1:$1,0)+1),MATCH(D$1,quests!$1:$1,0)-MATCH($C$2,quests!$1:$1,0)+1,FALSE)</f>
        <v>真実の探求者</v>
      </c>
      <c r="E590" s="48" t="str">
        <f ca="1">VLOOKUP($C590,OFFSET(quests!$A$1,0,0,COUNTA(quests!$A:$A),MATCH(E$2,quests!$1:$1,0)-MATCH($C$2,quests!$1:$1,0)+1),MATCH(E$2,quests!$1:$1,0)-MATCH($C$2,quests!$1:$1,0)+1,FALSE)</f>
        <v>ドロップイベント7（マルチ専用）</v>
      </c>
      <c r="F590" s="7">
        <v>2</v>
      </c>
      <c r="G590" s="7" t="s">
        <v>382</v>
      </c>
      <c r="H590" s="12" t="str">
        <f ca="1">"【上級】"&amp;D590</f>
        <v>【上級】真実の探求者</v>
      </c>
      <c r="I590" s="12" t="s">
        <v>830</v>
      </c>
      <c r="J590" s="12">
        <v>579</v>
      </c>
      <c r="K590" s="194">
        <v>20</v>
      </c>
      <c r="L590" s="195">
        <v>2000</v>
      </c>
      <c r="M590" s="167">
        <v>1</v>
      </c>
      <c r="N590" s="167">
        <v>1</v>
      </c>
      <c r="O590" s="167">
        <v>1</v>
      </c>
      <c r="P590" s="167">
        <v>1</v>
      </c>
      <c r="Q590" s="167">
        <v>1</v>
      </c>
      <c r="R590" s="167">
        <v>3</v>
      </c>
      <c r="S590" s="167" t="s">
        <v>817</v>
      </c>
      <c r="T590" s="167">
        <v>0</v>
      </c>
      <c r="U590" s="7" t="s">
        <v>169</v>
      </c>
      <c r="V590" s="7" t="s">
        <v>169</v>
      </c>
      <c r="W590" s="47" t="str">
        <f t="shared" ca="1" si="24"/>
        <v/>
      </c>
      <c r="X590" s="47">
        <f ca="1">VLOOKUP($C590,OFFSET(quests!$A$1,0,0,COUNTA(quests!$A:$A),MATCH(X$2,quests!$1:$1,0)-MATCH($C$2,quests!$1:$1,0)+1),MATCH(X$2,quests!$1:$1,0)-MATCH($C$2,quests!$1:$1,0)+1,FALSE)</f>
        <v>0</v>
      </c>
      <c r="Y590" s="47">
        <f ca="1">VLOOKUP($C590,OFFSET(quests!$A$1,0,0,COUNTA(quests!$A:$A),MATCH(Y$2,quests!$1:$1,0)-MATCH($C$2,quests!$1:$1,0)+1),MATCH(Y$2,quests!$1:$1,0)-MATCH($C$2,quests!$1:$1,0)+1,FALSE)</f>
        <v>0</v>
      </c>
      <c r="Z590" s="47">
        <f ca="1">VLOOKUP($C590,OFFSET(quests!$A$1,0,0,COUNTA(quests!$A:$A),MATCH(Z$2,quests!$1:$1,0)-MATCH($C$2,quests!$1:$1,0)+1),MATCH(Z$2,quests!$1:$1,0)-MATCH($C$2,quests!$1:$1,0)+1,FALSE)</f>
        <v>0</v>
      </c>
      <c r="AA590" s="47">
        <f ca="1">VLOOKUP($C590,OFFSET(quests!$A$1,0,0,COUNTA(quests!$A:$A),MATCH(AA$2,quests!$1:$1,0)-MATCH($C$2,quests!$1:$1,0)+1),MATCH(AA$2,quests!$1:$1,0)-MATCH($C$2,quests!$1:$1,0)+1,FALSE)</f>
        <v>0</v>
      </c>
      <c r="AB590" s="7" t="s">
        <v>56</v>
      </c>
      <c r="AC590" s="7">
        <v>7</v>
      </c>
      <c r="AD590" s="7">
        <v>6</v>
      </c>
      <c r="AE590" s="7" t="s">
        <v>519</v>
      </c>
      <c r="AF590" s="33">
        <v>11</v>
      </c>
      <c r="AG590" s="7">
        <v>0</v>
      </c>
      <c r="AH590" s="7">
        <v>0</v>
      </c>
      <c r="AI590" s="7">
        <v>0</v>
      </c>
      <c r="AJ590" s="7">
        <v>-1</v>
      </c>
      <c r="AK590" s="7" t="s">
        <v>1064</v>
      </c>
      <c r="AL590" s="12" t="s">
        <v>1695</v>
      </c>
      <c r="AM590" s="12" t="s">
        <v>2072</v>
      </c>
    </row>
    <row r="591" spans="1:39" ht="21" customHeight="1" x14ac:dyDescent="0.15">
      <c r="A591" s="42" t="str">
        <f t="shared" si="23"/>
        <v>30025_3</v>
      </c>
      <c r="B591" s="23">
        <v>3</v>
      </c>
      <c r="C591" s="31">
        <v>30025</v>
      </c>
      <c r="D591" s="47" t="str">
        <f ca="1">VLOOKUP($C591,OFFSET(quests!$A$1,0,0,COUNTA(quests!$A:$A),MATCH(D$1,quests!$1:$1,0)-MATCH($C$2,quests!$1:$1,0)+1),MATCH(D$1,quests!$1:$1,0)-MATCH($C$2,quests!$1:$1,0)+1,FALSE)</f>
        <v>真実の探求者</v>
      </c>
      <c r="E591" s="48" t="str">
        <f ca="1">VLOOKUP($C591,OFFSET(quests!$A$1,0,0,COUNTA(quests!$A:$A),MATCH(E$2,quests!$1:$1,0)-MATCH($C$2,quests!$1:$1,0)+1),MATCH(E$2,quests!$1:$1,0)-MATCH($C$2,quests!$1:$1,0)+1,FALSE)</f>
        <v>ドロップイベント7（マルチ専用）</v>
      </c>
      <c r="F591" s="7">
        <v>3</v>
      </c>
      <c r="G591" s="7" t="s">
        <v>382</v>
      </c>
      <c r="H591" s="12" t="str">
        <f ca="1">"【超級】"&amp;D591</f>
        <v>【超級】真実の探求者</v>
      </c>
      <c r="I591" s="12" t="s">
        <v>832</v>
      </c>
      <c r="J591" s="12">
        <v>580</v>
      </c>
      <c r="K591" s="194">
        <v>30</v>
      </c>
      <c r="L591" s="195">
        <v>3300</v>
      </c>
      <c r="M591" s="167">
        <v>1</v>
      </c>
      <c r="N591" s="167">
        <v>1</v>
      </c>
      <c r="O591" s="167">
        <v>1</v>
      </c>
      <c r="P591" s="167">
        <v>1</v>
      </c>
      <c r="Q591" s="167">
        <v>1</v>
      </c>
      <c r="R591" s="167">
        <v>3</v>
      </c>
      <c r="S591" s="167" t="s">
        <v>278</v>
      </c>
      <c r="T591" s="167">
        <v>1</v>
      </c>
      <c r="U591" s="7" t="s">
        <v>169</v>
      </c>
      <c r="V591" s="7" t="s">
        <v>169</v>
      </c>
      <c r="W591" s="47" t="str">
        <f t="shared" ca="1" si="24"/>
        <v/>
      </c>
      <c r="X591" s="47">
        <f ca="1">VLOOKUP($C591,OFFSET(quests!$A$1,0,0,COUNTA(quests!$A:$A),MATCH(X$2,quests!$1:$1,0)-MATCH($C$2,quests!$1:$1,0)+1),MATCH(X$2,quests!$1:$1,0)-MATCH($C$2,quests!$1:$1,0)+1,FALSE)</f>
        <v>0</v>
      </c>
      <c r="Y591" s="47">
        <f ca="1">VLOOKUP($C591,OFFSET(quests!$A$1,0,0,COUNTA(quests!$A:$A),MATCH(Y$2,quests!$1:$1,0)-MATCH($C$2,quests!$1:$1,0)+1),MATCH(Y$2,quests!$1:$1,0)-MATCH($C$2,quests!$1:$1,0)+1,FALSE)</f>
        <v>0</v>
      </c>
      <c r="Z591" s="47">
        <f ca="1">VLOOKUP($C591,OFFSET(quests!$A$1,0,0,COUNTA(quests!$A:$A),MATCH(Z$2,quests!$1:$1,0)-MATCH($C$2,quests!$1:$1,0)+1),MATCH(Z$2,quests!$1:$1,0)-MATCH($C$2,quests!$1:$1,0)+1,FALSE)</f>
        <v>0</v>
      </c>
      <c r="AA591" s="47">
        <f ca="1">VLOOKUP($C591,OFFSET(quests!$A$1,0,0,COUNTA(quests!$A:$A),MATCH(AA$2,quests!$1:$1,0)-MATCH($C$2,quests!$1:$1,0)+1),MATCH(AA$2,quests!$1:$1,0)-MATCH($C$2,quests!$1:$1,0)+1,FALSE)</f>
        <v>0</v>
      </c>
      <c r="AB591" s="7" t="s">
        <v>56</v>
      </c>
      <c r="AC591" s="7">
        <v>7</v>
      </c>
      <c r="AD591" s="7">
        <v>6</v>
      </c>
      <c r="AE591" s="7" t="s">
        <v>519</v>
      </c>
      <c r="AF591" s="33">
        <v>11</v>
      </c>
      <c r="AG591" s="7">
        <v>0</v>
      </c>
      <c r="AH591" s="7">
        <v>0</v>
      </c>
      <c r="AI591" s="7">
        <v>0</v>
      </c>
      <c r="AJ591" s="7">
        <v>-1</v>
      </c>
      <c r="AK591" s="7" t="s">
        <v>1065</v>
      </c>
      <c r="AL591" s="12" t="s">
        <v>1695</v>
      </c>
      <c r="AM591" s="12" t="s">
        <v>2072</v>
      </c>
    </row>
    <row r="592" spans="1:39" ht="21" customHeight="1" x14ac:dyDescent="0.15">
      <c r="A592" s="42" t="str">
        <f t="shared" si="23"/>
        <v>30026_1</v>
      </c>
      <c r="B592" s="23">
        <v>3</v>
      </c>
      <c r="C592" s="31">
        <v>30026</v>
      </c>
      <c r="D592" s="47" t="str">
        <f ca="1">VLOOKUP($C592,OFFSET(quests!$A$1,0,0,COUNTA(quests!$A:$A),MATCH(D$1,quests!$1:$1,0)-MATCH($C$2,quests!$1:$1,0)+1),MATCH(D$1,quests!$1:$1,0)-MATCH($C$2,quests!$1:$1,0)+1,FALSE)</f>
        <v>道を阻む妖精夫婦</v>
      </c>
      <c r="E592" s="48" t="str">
        <f ca="1">VLOOKUP($C592,OFFSET(quests!$A$1,0,0,COUNTA(quests!$A:$A),MATCH(E$2,quests!$1:$1,0)-MATCH($C$2,quests!$1:$1,0)+1),MATCH(E$2,quests!$1:$1,0)-MATCH($C$2,quests!$1:$1,0)+1,FALSE)</f>
        <v>ドロップイベント7（マルチ専用）</v>
      </c>
      <c r="F592" s="7">
        <v>1</v>
      </c>
      <c r="G592" s="7" t="s">
        <v>382</v>
      </c>
      <c r="H592" s="12" t="str">
        <f ca="1">"【中級】"&amp;D592</f>
        <v>【中級】道を阻む妖精夫婦</v>
      </c>
      <c r="I592" s="12" t="s">
        <v>831</v>
      </c>
      <c r="J592" s="12">
        <v>577</v>
      </c>
      <c r="K592" s="192">
        <v>15</v>
      </c>
      <c r="L592" s="193">
        <v>1200</v>
      </c>
      <c r="M592" s="167">
        <v>1</v>
      </c>
      <c r="N592" s="167">
        <v>1</v>
      </c>
      <c r="O592" s="167">
        <v>1</v>
      </c>
      <c r="P592" s="167">
        <v>1</v>
      </c>
      <c r="Q592" s="167">
        <v>1</v>
      </c>
      <c r="R592" s="167">
        <v>3</v>
      </c>
      <c r="S592" s="167" t="s">
        <v>817</v>
      </c>
      <c r="T592" s="167">
        <v>0</v>
      </c>
      <c r="U592" s="7" t="s">
        <v>169</v>
      </c>
      <c r="V592" s="7" t="s">
        <v>169</v>
      </c>
      <c r="W592" s="47" t="str">
        <f t="shared" ca="1" si="24"/>
        <v/>
      </c>
      <c r="X592" s="47">
        <f ca="1">VLOOKUP($C592,OFFSET(quests!$A$1,0,0,COUNTA(quests!$A:$A),MATCH(X$2,quests!$1:$1,0)-MATCH($C$2,quests!$1:$1,0)+1),MATCH(X$2,quests!$1:$1,0)-MATCH($C$2,quests!$1:$1,0)+1,FALSE)</f>
        <v>0</v>
      </c>
      <c r="Y592" s="47">
        <f ca="1">VLOOKUP($C592,OFFSET(quests!$A$1,0,0,COUNTA(quests!$A:$A),MATCH(Y$2,quests!$1:$1,0)-MATCH($C$2,quests!$1:$1,0)+1),MATCH(Y$2,quests!$1:$1,0)-MATCH($C$2,quests!$1:$1,0)+1,FALSE)</f>
        <v>0</v>
      </c>
      <c r="Z592" s="47">
        <f ca="1">VLOOKUP($C592,OFFSET(quests!$A$1,0,0,COUNTA(quests!$A:$A),MATCH(Z$2,quests!$1:$1,0)-MATCH($C$2,quests!$1:$1,0)+1),MATCH(Z$2,quests!$1:$1,0)-MATCH($C$2,quests!$1:$1,0)+1,FALSE)</f>
        <v>0</v>
      </c>
      <c r="AA592" s="47">
        <f ca="1">VLOOKUP($C592,OFFSET(quests!$A$1,0,0,COUNTA(quests!$A:$A),MATCH(AA$2,quests!$1:$1,0)-MATCH($C$2,quests!$1:$1,0)+1),MATCH(AA$2,quests!$1:$1,0)-MATCH($C$2,quests!$1:$1,0)+1,FALSE)</f>
        <v>0</v>
      </c>
      <c r="AB592" s="7" t="s">
        <v>56</v>
      </c>
      <c r="AC592" s="7">
        <v>21</v>
      </c>
      <c r="AD592" s="7">
        <v>6</v>
      </c>
      <c r="AE592" s="7" t="s">
        <v>519</v>
      </c>
      <c r="AF592" s="96">
        <v>17</v>
      </c>
      <c r="AG592" s="7">
        <v>0</v>
      </c>
      <c r="AH592" s="7">
        <v>0</v>
      </c>
      <c r="AI592" s="7">
        <v>-1</v>
      </c>
      <c r="AJ592" s="7">
        <v>-1</v>
      </c>
      <c r="AK592" s="7" t="s">
        <v>1064</v>
      </c>
      <c r="AL592" s="12" t="s">
        <v>1695</v>
      </c>
      <c r="AM592" s="12" t="s">
        <v>2072</v>
      </c>
    </row>
    <row r="593" spans="1:39" ht="21" customHeight="1" x14ac:dyDescent="0.15">
      <c r="A593" s="42" t="str">
        <f t="shared" si="23"/>
        <v>30026_2</v>
      </c>
      <c r="B593" s="23">
        <v>3</v>
      </c>
      <c r="C593" s="31">
        <v>30026</v>
      </c>
      <c r="D593" s="47" t="str">
        <f ca="1">VLOOKUP($C593,OFFSET(quests!$A$1,0,0,COUNTA(quests!$A:$A),MATCH(D$1,quests!$1:$1,0)-MATCH($C$2,quests!$1:$1,0)+1),MATCH(D$1,quests!$1:$1,0)-MATCH($C$2,quests!$1:$1,0)+1,FALSE)</f>
        <v>道を阻む妖精夫婦</v>
      </c>
      <c r="E593" s="48" t="str">
        <f ca="1">VLOOKUP($C593,OFFSET(quests!$A$1,0,0,COUNTA(quests!$A:$A),MATCH(E$2,quests!$1:$1,0)-MATCH($C$2,quests!$1:$1,0)+1),MATCH(E$2,quests!$1:$1,0)-MATCH($C$2,quests!$1:$1,0)+1,FALSE)</f>
        <v>ドロップイベント7（マルチ専用）</v>
      </c>
      <c r="F593" s="7">
        <v>2</v>
      </c>
      <c r="G593" s="7" t="s">
        <v>382</v>
      </c>
      <c r="H593" s="12" t="str">
        <f ca="1">"【上級】"&amp;D593</f>
        <v>【上級】道を阻む妖精夫婦</v>
      </c>
      <c r="I593" s="12" t="s">
        <v>830</v>
      </c>
      <c r="J593" s="12">
        <v>577</v>
      </c>
      <c r="K593" s="194">
        <v>20</v>
      </c>
      <c r="L593" s="195">
        <v>2000</v>
      </c>
      <c r="M593" s="167">
        <v>1</v>
      </c>
      <c r="N593" s="167">
        <v>1</v>
      </c>
      <c r="O593" s="167">
        <v>1</v>
      </c>
      <c r="P593" s="167">
        <v>1</v>
      </c>
      <c r="Q593" s="167">
        <v>1</v>
      </c>
      <c r="R593" s="167">
        <v>3</v>
      </c>
      <c r="S593" s="167" t="s">
        <v>817</v>
      </c>
      <c r="T593" s="167">
        <v>0</v>
      </c>
      <c r="U593" s="7" t="s">
        <v>169</v>
      </c>
      <c r="V593" s="7" t="s">
        <v>169</v>
      </c>
      <c r="W593" s="47" t="str">
        <f t="shared" ca="1" si="24"/>
        <v/>
      </c>
      <c r="X593" s="47">
        <f ca="1">VLOOKUP($C593,OFFSET(quests!$A$1,0,0,COUNTA(quests!$A:$A),MATCH(X$2,quests!$1:$1,0)-MATCH($C$2,quests!$1:$1,0)+1),MATCH(X$2,quests!$1:$1,0)-MATCH($C$2,quests!$1:$1,0)+1,FALSE)</f>
        <v>0</v>
      </c>
      <c r="Y593" s="47">
        <f ca="1">VLOOKUP($C593,OFFSET(quests!$A$1,0,0,COUNTA(quests!$A:$A),MATCH(Y$2,quests!$1:$1,0)-MATCH($C$2,quests!$1:$1,0)+1),MATCH(Y$2,quests!$1:$1,0)-MATCH($C$2,quests!$1:$1,0)+1,FALSE)</f>
        <v>0</v>
      </c>
      <c r="Z593" s="47">
        <f ca="1">VLOOKUP($C593,OFFSET(quests!$A$1,0,0,COUNTA(quests!$A:$A),MATCH(Z$2,quests!$1:$1,0)-MATCH($C$2,quests!$1:$1,0)+1),MATCH(Z$2,quests!$1:$1,0)-MATCH($C$2,quests!$1:$1,0)+1,FALSE)</f>
        <v>0</v>
      </c>
      <c r="AA593" s="47">
        <f ca="1">VLOOKUP($C593,OFFSET(quests!$A$1,0,0,COUNTA(quests!$A:$A),MATCH(AA$2,quests!$1:$1,0)-MATCH($C$2,quests!$1:$1,0)+1),MATCH(AA$2,quests!$1:$1,0)-MATCH($C$2,quests!$1:$1,0)+1,FALSE)</f>
        <v>0</v>
      </c>
      <c r="AB593" s="7" t="s">
        <v>56</v>
      </c>
      <c r="AC593" s="7">
        <v>21</v>
      </c>
      <c r="AD593" s="7">
        <v>6</v>
      </c>
      <c r="AE593" s="7" t="s">
        <v>519</v>
      </c>
      <c r="AF593" s="96">
        <v>17</v>
      </c>
      <c r="AG593" s="7">
        <v>0</v>
      </c>
      <c r="AH593" s="7">
        <v>0</v>
      </c>
      <c r="AI593" s="7">
        <v>-1</v>
      </c>
      <c r="AJ593" s="7">
        <v>-1</v>
      </c>
      <c r="AK593" s="7" t="s">
        <v>1064</v>
      </c>
      <c r="AL593" s="12" t="s">
        <v>1695</v>
      </c>
      <c r="AM593" s="12" t="s">
        <v>2072</v>
      </c>
    </row>
    <row r="594" spans="1:39" ht="21" customHeight="1" x14ac:dyDescent="0.15">
      <c r="A594" s="42" t="str">
        <f t="shared" si="23"/>
        <v>30026_3</v>
      </c>
      <c r="B594" s="23">
        <v>3</v>
      </c>
      <c r="C594" s="31">
        <v>30026</v>
      </c>
      <c r="D594" s="47" t="str">
        <f ca="1">VLOOKUP($C594,OFFSET(quests!$A$1,0,0,COUNTA(quests!$A:$A),MATCH(D$1,quests!$1:$1,0)-MATCH($C$2,quests!$1:$1,0)+1),MATCH(D$1,quests!$1:$1,0)-MATCH($C$2,quests!$1:$1,0)+1,FALSE)</f>
        <v>道を阻む妖精夫婦</v>
      </c>
      <c r="E594" s="48" t="str">
        <f ca="1">VLOOKUP($C594,OFFSET(quests!$A$1,0,0,COUNTA(quests!$A:$A),MATCH(E$2,quests!$1:$1,0)-MATCH($C$2,quests!$1:$1,0)+1),MATCH(E$2,quests!$1:$1,0)-MATCH($C$2,quests!$1:$1,0)+1,FALSE)</f>
        <v>ドロップイベント7（マルチ専用）</v>
      </c>
      <c r="F594" s="7">
        <v>3</v>
      </c>
      <c r="G594" s="7" t="s">
        <v>382</v>
      </c>
      <c r="H594" s="12" t="str">
        <f ca="1">"【超級】"&amp;D594</f>
        <v>【超級】道を阻む妖精夫婦</v>
      </c>
      <c r="I594" s="12" t="s">
        <v>832</v>
      </c>
      <c r="J594" s="12">
        <v>578</v>
      </c>
      <c r="K594" s="194">
        <v>30</v>
      </c>
      <c r="L594" s="195">
        <v>3300</v>
      </c>
      <c r="M594" s="167">
        <v>1</v>
      </c>
      <c r="N594" s="167">
        <v>1</v>
      </c>
      <c r="O594" s="167">
        <v>1</v>
      </c>
      <c r="P594" s="167">
        <v>1</v>
      </c>
      <c r="Q594" s="167">
        <v>1</v>
      </c>
      <c r="R594" s="167">
        <v>3</v>
      </c>
      <c r="S594" s="167" t="s">
        <v>278</v>
      </c>
      <c r="T594" s="167">
        <v>1</v>
      </c>
      <c r="U594" s="7" t="s">
        <v>169</v>
      </c>
      <c r="V594" s="7" t="s">
        <v>169</v>
      </c>
      <c r="W594" s="47" t="str">
        <f t="shared" ca="1" si="24"/>
        <v/>
      </c>
      <c r="X594" s="47">
        <f ca="1">VLOOKUP($C594,OFFSET(quests!$A$1,0,0,COUNTA(quests!$A:$A),MATCH(X$2,quests!$1:$1,0)-MATCH($C$2,quests!$1:$1,0)+1),MATCH(X$2,quests!$1:$1,0)-MATCH($C$2,quests!$1:$1,0)+1,FALSE)</f>
        <v>0</v>
      </c>
      <c r="Y594" s="47">
        <f ca="1">VLOOKUP($C594,OFFSET(quests!$A$1,0,0,COUNTA(quests!$A:$A),MATCH(Y$2,quests!$1:$1,0)-MATCH($C$2,quests!$1:$1,0)+1),MATCH(Y$2,quests!$1:$1,0)-MATCH($C$2,quests!$1:$1,0)+1,FALSE)</f>
        <v>0</v>
      </c>
      <c r="Z594" s="47">
        <f ca="1">VLOOKUP($C594,OFFSET(quests!$A$1,0,0,COUNTA(quests!$A:$A),MATCH(Z$2,quests!$1:$1,0)-MATCH($C$2,quests!$1:$1,0)+1),MATCH(Z$2,quests!$1:$1,0)-MATCH($C$2,quests!$1:$1,0)+1,FALSE)</f>
        <v>0</v>
      </c>
      <c r="AA594" s="47">
        <f ca="1">VLOOKUP($C594,OFFSET(quests!$A$1,0,0,COUNTA(quests!$A:$A),MATCH(AA$2,quests!$1:$1,0)-MATCH($C$2,quests!$1:$1,0)+1),MATCH(AA$2,quests!$1:$1,0)-MATCH($C$2,quests!$1:$1,0)+1,FALSE)</f>
        <v>0</v>
      </c>
      <c r="AB594" s="7" t="s">
        <v>56</v>
      </c>
      <c r="AC594" s="7">
        <v>21</v>
      </c>
      <c r="AD594" s="7">
        <v>6</v>
      </c>
      <c r="AE594" s="7" t="s">
        <v>519</v>
      </c>
      <c r="AF594" s="96">
        <v>17</v>
      </c>
      <c r="AG594" s="7">
        <v>0</v>
      </c>
      <c r="AH594" s="7">
        <v>0</v>
      </c>
      <c r="AI594" s="7">
        <v>-1</v>
      </c>
      <c r="AJ594" s="7">
        <v>-1</v>
      </c>
      <c r="AK594" s="7" t="s">
        <v>1065</v>
      </c>
      <c r="AL594" s="12" t="s">
        <v>1695</v>
      </c>
      <c r="AM594" s="12" t="s">
        <v>2072</v>
      </c>
    </row>
    <row r="595" spans="1:39" ht="21" customHeight="1" x14ac:dyDescent="0.15">
      <c r="A595" s="42" t="str">
        <f t="shared" si="23"/>
        <v>30027_1</v>
      </c>
      <c r="B595" s="23">
        <v>3</v>
      </c>
      <c r="C595" s="31">
        <v>30027</v>
      </c>
      <c r="D595" s="47" t="str">
        <f ca="1">VLOOKUP($C595,OFFSET(quests!$A$1,0,0,COUNTA(quests!$A:$A),MATCH(D$1,quests!$1:$1,0)-MATCH($C$2,quests!$1:$1,0)+1),MATCH(D$1,quests!$1:$1,0)-MATCH($C$2,quests!$1:$1,0)+1,FALSE)</f>
        <v>凍りつくまで愛してあげる</v>
      </c>
      <c r="E595" s="48" t="str">
        <f ca="1">VLOOKUP($C595,OFFSET(quests!$A$1,0,0,COUNTA(quests!$A:$A),MATCH(E$2,quests!$1:$1,0)-MATCH($C$2,quests!$1:$1,0)+1),MATCH(E$2,quests!$1:$1,0)-MATCH($C$2,quests!$1:$1,0)+1,FALSE)</f>
        <v>ドロップイベント7（マルチ専用）</v>
      </c>
      <c r="F595" s="7">
        <v>1</v>
      </c>
      <c r="G595" s="7" t="s">
        <v>382</v>
      </c>
      <c r="H595" s="12" t="str">
        <f ca="1">"【中級】"&amp;D595</f>
        <v>【中級】凍りつくまで愛してあげる</v>
      </c>
      <c r="I595" s="12" t="s">
        <v>831</v>
      </c>
      <c r="J595" s="12">
        <v>646</v>
      </c>
      <c r="K595" s="192">
        <v>15</v>
      </c>
      <c r="L595" s="193">
        <v>1200</v>
      </c>
      <c r="M595" s="96">
        <v>0</v>
      </c>
      <c r="N595" s="167">
        <v>1</v>
      </c>
      <c r="O595" s="167">
        <v>1</v>
      </c>
      <c r="P595" s="167">
        <v>1</v>
      </c>
      <c r="Q595" s="167">
        <v>1</v>
      </c>
      <c r="R595" s="167">
        <v>3</v>
      </c>
      <c r="S595" s="167" t="s">
        <v>817</v>
      </c>
      <c r="T595" s="167">
        <v>0</v>
      </c>
      <c r="U595" s="7" t="s">
        <v>169</v>
      </c>
      <c r="V595" s="7" t="s">
        <v>169</v>
      </c>
      <c r="W595" s="47" t="str">
        <f t="shared" ca="1" si="24"/>
        <v/>
      </c>
      <c r="X595" s="47">
        <f ca="1">VLOOKUP($C595,OFFSET(quests!$A$1,0,0,COUNTA(quests!$A:$A),MATCH(X$2,quests!$1:$1,0)-MATCH($C$2,quests!$1:$1,0)+1),MATCH(X$2,quests!$1:$1,0)-MATCH($C$2,quests!$1:$1,0)+1,FALSE)</f>
        <v>0</v>
      </c>
      <c r="Y595" s="47">
        <f ca="1">VLOOKUP($C595,OFFSET(quests!$A$1,0,0,COUNTA(quests!$A:$A),MATCH(Y$2,quests!$1:$1,0)-MATCH($C$2,quests!$1:$1,0)+1),MATCH(Y$2,quests!$1:$1,0)-MATCH($C$2,quests!$1:$1,0)+1,FALSE)</f>
        <v>0</v>
      </c>
      <c r="Z595" s="47">
        <f ca="1">VLOOKUP($C595,OFFSET(quests!$A$1,0,0,COUNTA(quests!$A:$A),MATCH(Z$2,quests!$1:$1,0)-MATCH($C$2,quests!$1:$1,0)+1),MATCH(Z$2,quests!$1:$1,0)-MATCH($C$2,quests!$1:$1,0)+1,FALSE)</f>
        <v>0</v>
      </c>
      <c r="AA595" s="47">
        <f ca="1">VLOOKUP($C595,OFFSET(quests!$A$1,0,0,COUNTA(quests!$A:$A),MATCH(AA$2,quests!$1:$1,0)-MATCH($C$2,quests!$1:$1,0)+1),MATCH(AA$2,quests!$1:$1,0)-MATCH($C$2,quests!$1:$1,0)+1,FALSE)</f>
        <v>0</v>
      </c>
      <c r="AB595" s="7" t="s">
        <v>56</v>
      </c>
      <c r="AC595" s="7">
        <v>9</v>
      </c>
      <c r="AD595" s="7">
        <v>6</v>
      </c>
      <c r="AE595" s="7" t="s">
        <v>519</v>
      </c>
      <c r="AF595" s="255">
        <v>16</v>
      </c>
      <c r="AG595" s="7">
        <v>0</v>
      </c>
      <c r="AH595" s="7">
        <v>0</v>
      </c>
      <c r="AI595" s="7">
        <v>-1</v>
      </c>
      <c r="AJ595" s="7">
        <v>-1</v>
      </c>
      <c r="AK595" s="7" t="s">
        <v>1064</v>
      </c>
      <c r="AL595" s="12" t="s">
        <v>1695</v>
      </c>
      <c r="AM595" s="12" t="s">
        <v>2072</v>
      </c>
    </row>
    <row r="596" spans="1:39" ht="21" customHeight="1" x14ac:dyDescent="0.15">
      <c r="A596" s="42" t="str">
        <f t="shared" si="23"/>
        <v>30027_2</v>
      </c>
      <c r="B596" s="23">
        <v>3</v>
      </c>
      <c r="C596" s="31">
        <v>30027</v>
      </c>
      <c r="D596" s="47" t="str">
        <f ca="1">VLOOKUP($C596,OFFSET(quests!$A$1,0,0,COUNTA(quests!$A:$A),MATCH(D$1,quests!$1:$1,0)-MATCH($C$2,quests!$1:$1,0)+1),MATCH(D$1,quests!$1:$1,0)-MATCH($C$2,quests!$1:$1,0)+1,FALSE)</f>
        <v>凍りつくまで愛してあげる</v>
      </c>
      <c r="E596" s="48" t="str">
        <f ca="1">VLOOKUP($C596,OFFSET(quests!$A$1,0,0,COUNTA(quests!$A:$A),MATCH(E$2,quests!$1:$1,0)-MATCH($C$2,quests!$1:$1,0)+1),MATCH(E$2,quests!$1:$1,0)-MATCH($C$2,quests!$1:$1,0)+1,FALSE)</f>
        <v>ドロップイベント7（マルチ専用）</v>
      </c>
      <c r="F596" s="7">
        <v>2</v>
      </c>
      <c r="G596" s="7" t="s">
        <v>382</v>
      </c>
      <c r="H596" s="12" t="str">
        <f ca="1">"【上級】"&amp;D596</f>
        <v>【上級】凍りつくまで愛してあげる</v>
      </c>
      <c r="I596" s="12" t="s">
        <v>830</v>
      </c>
      <c r="J596" s="12">
        <v>646</v>
      </c>
      <c r="K596" s="194">
        <v>20</v>
      </c>
      <c r="L596" s="195">
        <v>2000</v>
      </c>
      <c r="M596" s="96">
        <v>0</v>
      </c>
      <c r="N596" s="167">
        <v>1</v>
      </c>
      <c r="O596" s="167">
        <v>1</v>
      </c>
      <c r="P596" s="167">
        <v>1</v>
      </c>
      <c r="Q596" s="167">
        <v>1</v>
      </c>
      <c r="R596" s="167">
        <v>3</v>
      </c>
      <c r="S596" s="167" t="s">
        <v>817</v>
      </c>
      <c r="T596" s="167">
        <v>0</v>
      </c>
      <c r="U596" s="7" t="s">
        <v>169</v>
      </c>
      <c r="V596" s="7" t="s">
        <v>169</v>
      </c>
      <c r="W596" s="47" t="str">
        <f t="shared" ca="1" si="24"/>
        <v/>
      </c>
      <c r="X596" s="47">
        <f ca="1">VLOOKUP($C596,OFFSET(quests!$A$1,0,0,COUNTA(quests!$A:$A),MATCH(X$2,quests!$1:$1,0)-MATCH($C$2,quests!$1:$1,0)+1),MATCH(X$2,quests!$1:$1,0)-MATCH($C$2,quests!$1:$1,0)+1,FALSE)</f>
        <v>0</v>
      </c>
      <c r="Y596" s="47">
        <f ca="1">VLOOKUP($C596,OFFSET(quests!$A$1,0,0,COUNTA(quests!$A:$A),MATCH(Y$2,quests!$1:$1,0)-MATCH($C$2,quests!$1:$1,0)+1),MATCH(Y$2,quests!$1:$1,0)-MATCH($C$2,quests!$1:$1,0)+1,FALSE)</f>
        <v>0</v>
      </c>
      <c r="Z596" s="47">
        <f ca="1">VLOOKUP($C596,OFFSET(quests!$A$1,0,0,COUNTA(quests!$A:$A),MATCH(Z$2,quests!$1:$1,0)-MATCH($C$2,quests!$1:$1,0)+1),MATCH(Z$2,quests!$1:$1,0)-MATCH($C$2,quests!$1:$1,0)+1,FALSE)</f>
        <v>0</v>
      </c>
      <c r="AA596" s="47">
        <f ca="1">VLOOKUP($C596,OFFSET(quests!$A$1,0,0,COUNTA(quests!$A:$A),MATCH(AA$2,quests!$1:$1,0)-MATCH($C$2,quests!$1:$1,0)+1),MATCH(AA$2,quests!$1:$1,0)-MATCH($C$2,quests!$1:$1,0)+1,FALSE)</f>
        <v>0</v>
      </c>
      <c r="AB596" s="7" t="s">
        <v>56</v>
      </c>
      <c r="AC596" s="7">
        <v>9</v>
      </c>
      <c r="AD596" s="7">
        <v>6</v>
      </c>
      <c r="AE596" s="7" t="s">
        <v>519</v>
      </c>
      <c r="AF596" s="255">
        <v>16</v>
      </c>
      <c r="AG596" s="7">
        <v>0</v>
      </c>
      <c r="AH596" s="7">
        <v>0</v>
      </c>
      <c r="AI596" s="7">
        <v>-1</v>
      </c>
      <c r="AJ596" s="7">
        <v>-1</v>
      </c>
      <c r="AK596" s="7" t="s">
        <v>1064</v>
      </c>
      <c r="AL596" s="12" t="s">
        <v>1695</v>
      </c>
      <c r="AM596" s="12" t="s">
        <v>2072</v>
      </c>
    </row>
    <row r="597" spans="1:39" ht="21" customHeight="1" x14ac:dyDescent="0.15">
      <c r="A597" s="42" t="str">
        <f t="shared" si="23"/>
        <v>30027_3</v>
      </c>
      <c r="B597" s="23">
        <v>3</v>
      </c>
      <c r="C597" s="31">
        <v>30027</v>
      </c>
      <c r="D597" s="47" t="str">
        <f ca="1">VLOOKUP($C597,OFFSET(quests!$A$1,0,0,COUNTA(quests!$A:$A),MATCH(D$1,quests!$1:$1,0)-MATCH($C$2,quests!$1:$1,0)+1),MATCH(D$1,quests!$1:$1,0)-MATCH($C$2,quests!$1:$1,0)+1,FALSE)</f>
        <v>凍りつくまで愛してあげる</v>
      </c>
      <c r="E597" s="48" t="str">
        <f ca="1">VLOOKUP($C597,OFFSET(quests!$A$1,0,0,COUNTA(quests!$A:$A),MATCH(E$2,quests!$1:$1,0)-MATCH($C$2,quests!$1:$1,0)+1),MATCH(E$2,quests!$1:$1,0)-MATCH($C$2,quests!$1:$1,0)+1,FALSE)</f>
        <v>ドロップイベント7（マルチ専用）</v>
      </c>
      <c r="F597" s="7">
        <v>3</v>
      </c>
      <c r="G597" s="7" t="s">
        <v>382</v>
      </c>
      <c r="H597" s="12" t="str">
        <f ca="1">"【超級】"&amp;D597</f>
        <v>【超級】凍りつくまで愛してあげる</v>
      </c>
      <c r="I597" s="12" t="s">
        <v>832</v>
      </c>
      <c r="J597" s="12">
        <v>647</v>
      </c>
      <c r="K597" s="194">
        <v>30</v>
      </c>
      <c r="L597" s="195">
        <v>3300</v>
      </c>
      <c r="M597" s="96">
        <v>0</v>
      </c>
      <c r="N597" s="167">
        <v>1</v>
      </c>
      <c r="O597" s="167">
        <v>1</v>
      </c>
      <c r="P597" s="167">
        <v>1</v>
      </c>
      <c r="Q597" s="167">
        <v>1</v>
      </c>
      <c r="R597" s="167">
        <v>3</v>
      </c>
      <c r="S597" s="167" t="s">
        <v>278</v>
      </c>
      <c r="T597" s="167">
        <v>1</v>
      </c>
      <c r="U597" s="7" t="s">
        <v>169</v>
      </c>
      <c r="V597" s="7" t="s">
        <v>169</v>
      </c>
      <c r="W597" s="47" t="str">
        <f t="shared" ca="1" si="24"/>
        <v/>
      </c>
      <c r="X597" s="47">
        <f ca="1">VLOOKUP($C597,OFFSET(quests!$A$1,0,0,COUNTA(quests!$A:$A),MATCH(X$2,quests!$1:$1,0)-MATCH($C$2,quests!$1:$1,0)+1),MATCH(X$2,quests!$1:$1,0)-MATCH($C$2,quests!$1:$1,0)+1,FALSE)</f>
        <v>0</v>
      </c>
      <c r="Y597" s="47">
        <f ca="1">VLOOKUP($C597,OFFSET(quests!$A$1,0,0,COUNTA(quests!$A:$A),MATCH(Y$2,quests!$1:$1,0)-MATCH($C$2,quests!$1:$1,0)+1),MATCH(Y$2,quests!$1:$1,0)-MATCH($C$2,quests!$1:$1,0)+1,FALSE)</f>
        <v>0</v>
      </c>
      <c r="Z597" s="47">
        <f ca="1">VLOOKUP($C597,OFFSET(quests!$A$1,0,0,COUNTA(quests!$A:$A),MATCH(Z$2,quests!$1:$1,0)-MATCH($C$2,quests!$1:$1,0)+1),MATCH(Z$2,quests!$1:$1,0)-MATCH($C$2,quests!$1:$1,0)+1,FALSE)</f>
        <v>0</v>
      </c>
      <c r="AA597" s="47">
        <f ca="1">VLOOKUP($C597,OFFSET(quests!$A$1,0,0,COUNTA(quests!$A:$A),MATCH(AA$2,quests!$1:$1,0)-MATCH($C$2,quests!$1:$1,0)+1),MATCH(AA$2,quests!$1:$1,0)-MATCH($C$2,quests!$1:$1,0)+1,FALSE)</f>
        <v>0</v>
      </c>
      <c r="AB597" s="7" t="s">
        <v>56</v>
      </c>
      <c r="AC597" s="7">
        <v>9</v>
      </c>
      <c r="AD597" s="7">
        <v>6</v>
      </c>
      <c r="AE597" s="7" t="s">
        <v>519</v>
      </c>
      <c r="AF597" s="255">
        <v>16</v>
      </c>
      <c r="AG597" s="7">
        <v>0</v>
      </c>
      <c r="AH597" s="7">
        <v>0</v>
      </c>
      <c r="AI597" s="7">
        <v>-1</v>
      </c>
      <c r="AJ597" s="7">
        <v>-1</v>
      </c>
      <c r="AK597" s="7" t="s">
        <v>1065</v>
      </c>
      <c r="AL597" s="12" t="s">
        <v>1695</v>
      </c>
      <c r="AM597" s="12" t="s">
        <v>2072</v>
      </c>
    </row>
    <row r="598" spans="1:39" ht="21" customHeight="1" x14ac:dyDescent="0.15">
      <c r="A598" s="42" t="str">
        <f t="shared" si="23"/>
        <v>30028_1</v>
      </c>
      <c r="B598" s="23">
        <v>3</v>
      </c>
      <c r="C598" s="31">
        <v>30028</v>
      </c>
      <c r="D598" s="47" t="str">
        <f ca="1">VLOOKUP($C598,OFFSET(quests!$A$1,0,0,COUNTA(quests!$A:$A),MATCH(D$1,quests!$1:$1,0)-MATCH($C$2,quests!$1:$1,0)+1),MATCH(D$1,quests!$1:$1,0)-MATCH($C$2,quests!$1:$1,0)+1,FALSE)</f>
        <v>最悪の刺客</v>
      </c>
      <c r="E598" s="48" t="str">
        <f ca="1">VLOOKUP($C598,OFFSET(quests!$A$1,0,0,COUNTA(quests!$A:$A),MATCH(E$2,quests!$1:$1,0)-MATCH($C$2,quests!$1:$1,0)+1),MATCH(E$2,quests!$1:$1,0)-MATCH($C$2,quests!$1:$1,0)+1,FALSE)</f>
        <v>ドロップイベント8（マルチ専用）</v>
      </c>
      <c r="F598" s="7">
        <v>1</v>
      </c>
      <c r="G598" s="7" t="s">
        <v>382</v>
      </c>
      <c r="H598" s="12" t="str">
        <f ca="1">"【中級】"&amp;D598</f>
        <v>【中級】最悪の刺客</v>
      </c>
      <c r="I598" s="12" t="s">
        <v>831</v>
      </c>
      <c r="J598" s="12">
        <v>650</v>
      </c>
      <c r="K598" s="192">
        <v>15</v>
      </c>
      <c r="L598" s="193">
        <v>1200</v>
      </c>
      <c r="M598" s="167">
        <v>1</v>
      </c>
      <c r="N598" s="167">
        <v>1</v>
      </c>
      <c r="O598" s="167">
        <v>1</v>
      </c>
      <c r="P598" s="167">
        <v>1</v>
      </c>
      <c r="Q598" s="167">
        <v>1</v>
      </c>
      <c r="R598" s="167">
        <v>3</v>
      </c>
      <c r="S598" s="167" t="s">
        <v>817</v>
      </c>
      <c r="T598" s="167">
        <v>0</v>
      </c>
      <c r="U598" s="7" t="s">
        <v>169</v>
      </c>
      <c r="V598" s="7" t="s">
        <v>169</v>
      </c>
      <c r="W598" s="47" t="str">
        <f t="shared" ca="1" si="24"/>
        <v/>
      </c>
      <c r="X598" s="47">
        <f ca="1">VLOOKUP($C598,OFFSET(quests!$A$1,0,0,COUNTA(quests!$A:$A),MATCH(X$2,quests!$1:$1,0)-MATCH($C$2,quests!$1:$1,0)+1),MATCH(X$2,quests!$1:$1,0)-MATCH($C$2,quests!$1:$1,0)+1,FALSE)</f>
        <v>0</v>
      </c>
      <c r="Y598" s="47">
        <f ca="1">VLOOKUP($C598,OFFSET(quests!$A$1,0,0,COUNTA(quests!$A:$A),MATCH(Y$2,quests!$1:$1,0)-MATCH($C$2,quests!$1:$1,0)+1),MATCH(Y$2,quests!$1:$1,0)-MATCH($C$2,quests!$1:$1,0)+1,FALSE)</f>
        <v>0</v>
      </c>
      <c r="Z598" s="47">
        <f ca="1">VLOOKUP($C598,OFFSET(quests!$A$1,0,0,COUNTA(quests!$A:$A),MATCH(Z$2,quests!$1:$1,0)-MATCH($C$2,quests!$1:$1,0)+1),MATCH(Z$2,quests!$1:$1,0)-MATCH($C$2,quests!$1:$1,0)+1,FALSE)</f>
        <v>0</v>
      </c>
      <c r="AA598" s="47">
        <f ca="1">VLOOKUP($C598,OFFSET(quests!$A$1,0,0,COUNTA(quests!$A:$A),MATCH(AA$2,quests!$1:$1,0)-MATCH($C$2,quests!$1:$1,0)+1),MATCH(AA$2,quests!$1:$1,0)-MATCH($C$2,quests!$1:$1,0)+1,FALSE)</f>
        <v>0</v>
      </c>
      <c r="AB598" s="7" t="s">
        <v>56</v>
      </c>
      <c r="AC598" s="7">
        <v>2601</v>
      </c>
      <c r="AD598" s="7">
        <v>6</v>
      </c>
      <c r="AE598" s="7" t="s">
        <v>519</v>
      </c>
      <c r="AF598" s="33">
        <v>11</v>
      </c>
      <c r="AG598" s="7">
        <v>0</v>
      </c>
      <c r="AH598" s="7">
        <v>0</v>
      </c>
      <c r="AI598" s="7">
        <v>-1</v>
      </c>
      <c r="AJ598" s="7">
        <v>-1</v>
      </c>
      <c r="AK598" s="7" t="s">
        <v>1064</v>
      </c>
      <c r="AL598" s="12" t="s">
        <v>1695</v>
      </c>
      <c r="AM598" s="12" t="s">
        <v>2072</v>
      </c>
    </row>
    <row r="599" spans="1:39" ht="21" customHeight="1" x14ac:dyDescent="0.15">
      <c r="A599" s="42" t="str">
        <f t="shared" si="23"/>
        <v>30028_2</v>
      </c>
      <c r="B599" s="23">
        <v>3</v>
      </c>
      <c r="C599" s="31">
        <v>30028</v>
      </c>
      <c r="D599" s="47" t="str">
        <f ca="1">VLOOKUP($C599,OFFSET(quests!$A$1,0,0,COUNTA(quests!$A:$A),MATCH(D$1,quests!$1:$1,0)-MATCH($C$2,quests!$1:$1,0)+1),MATCH(D$1,quests!$1:$1,0)-MATCH($C$2,quests!$1:$1,0)+1,FALSE)</f>
        <v>最悪の刺客</v>
      </c>
      <c r="E599" s="48" t="str">
        <f ca="1">VLOOKUP($C599,OFFSET(quests!$A$1,0,0,COUNTA(quests!$A:$A),MATCH(E$2,quests!$1:$1,0)-MATCH($C$2,quests!$1:$1,0)+1),MATCH(E$2,quests!$1:$1,0)-MATCH($C$2,quests!$1:$1,0)+1,FALSE)</f>
        <v>ドロップイベント8（マルチ専用）</v>
      </c>
      <c r="F599" s="7">
        <v>2</v>
      </c>
      <c r="G599" s="7" t="s">
        <v>382</v>
      </c>
      <c r="H599" s="12" t="str">
        <f ca="1">"【上級】"&amp;D599</f>
        <v>【上級】最悪の刺客</v>
      </c>
      <c r="I599" s="12" t="s">
        <v>830</v>
      </c>
      <c r="J599" s="12">
        <v>650</v>
      </c>
      <c r="K599" s="194">
        <v>20</v>
      </c>
      <c r="L599" s="195">
        <v>2000</v>
      </c>
      <c r="M599" s="167">
        <v>1</v>
      </c>
      <c r="N599" s="167">
        <v>1</v>
      </c>
      <c r="O599" s="167">
        <v>1</v>
      </c>
      <c r="P599" s="167">
        <v>1</v>
      </c>
      <c r="Q599" s="167">
        <v>1</v>
      </c>
      <c r="R599" s="167">
        <v>3</v>
      </c>
      <c r="S599" s="167" t="s">
        <v>817</v>
      </c>
      <c r="T599" s="167">
        <v>0</v>
      </c>
      <c r="U599" s="7" t="s">
        <v>169</v>
      </c>
      <c r="V599" s="7" t="s">
        <v>169</v>
      </c>
      <c r="W599" s="47" t="str">
        <f t="shared" ca="1" si="24"/>
        <v/>
      </c>
      <c r="X599" s="47">
        <f ca="1">VLOOKUP($C599,OFFSET(quests!$A$1,0,0,COUNTA(quests!$A:$A),MATCH(X$2,quests!$1:$1,0)-MATCH($C$2,quests!$1:$1,0)+1),MATCH(X$2,quests!$1:$1,0)-MATCH($C$2,quests!$1:$1,0)+1,FALSE)</f>
        <v>0</v>
      </c>
      <c r="Y599" s="47">
        <f ca="1">VLOOKUP($C599,OFFSET(quests!$A$1,0,0,COUNTA(quests!$A:$A),MATCH(Y$2,quests!$1:$1,0)-MATCH($C$2,quests!$1:$1,0)+1),MATCH(Y$2,quests!$1:$1,0)-MATCH($C$2,quests!$1:$1,0)+1,FALSE)</f>
        <v>0</v>
      </c>
      <c r="Z599" s="47">
        <f ca="1">VLOOKUP($C599,OFFSET(quests!$A$1,0,0,COUNTA(quests!$A:$A),MATCH(Z$2,quests!$1:$1,0)-MATCH($C$2,quests!$1:$1,0)+1),MATCH(Z$2,quests!$1:$1,0)-MATCH($C$2,quests!$1:$1,0)+1,FALSE)</f>
        <v>0</v>
      </c>
      <c r="AA599" s="47">
        <f ca="1">VLOOKUP($C599,OFFSET(quests!$A$1,0,0,COUNTA(quests!$A:$A),MATCH(AA$2,quests!$1:$1,0)-MATCH($C$2,quests!$1:$1,0)+1),MATCH(AA$2,quests!$1:$1,0)-MATCH($C$2,quests!$1:$1,0)+1,FALSE)</f>
        <v>0</v>
      </c>
      <c r="AB599" s="7" t="s">
        <v>56</v>
      </c>
      <c r="AC599" s="7">
        <v>2601</v>
      </c>
      <c r="AD599" s="7">
        <v>6</v>
      </c>
      <c r="AE599" s="7" t="s">
        <v>519</v>
      </c>
      <c r="AF599" s="33">
        <v>11</v>
      </c>
      <c r="AG599" s="7">
        <v>0</v>
      </c>
      <c r="AH599" s="7">
        <v>0</v>
      </c>
      <c r="AI599" s="7">
        <v>-1</v>
      </c>
      <c r="AJ599" s="7">
        <v>-1</v>
      </c>
      <c r="AK599" s="7" t="s">
        <v>1064</v>
      </c>
      <c r="AL599" s="12" t="s">
        <v>1695</v>
      </c>
      <c r="AM599" s="12" t="s">
        <v>2072</v>
      </c>
    </row>
    <row r="600" spans="1:39" ht="21" customHeight="1" x14ac:dyDescent="0.15">
      <c r="A600" s="42" t="str">
        <f t="shared" si="23"/>
        <v>30028_3</v>
      </c>
      <c r="B600" s="23">
        <v>3</v>
      </c>
      <c r="C600" s="31">
        <v>30028</v>
      </c>
      <c r="D600" s="47" t="str">
        <f ca="1">VLOOKUP($C600,OFFSET(quests!$A$1,0,0,COUNTA(quests!$A:$A),MATCH(D$1,quests!$1:$1,0)-MATCH($C$2,quests!$1:$1,0)+1),MATCH(D$1,quests!$1:$1,0)-MATCH($C$2,quests!$1:$1,0)+1,FALSE)</f>
        <v>最悪の刺客</v>
      </c>
      <c r="E600" s="48" t="str">
        <f ca="1">VLOOKUP($C600,OFFSET(quests!$A$1,0,0,COUNTA(quests!$A:$A),MATCH(E$2,quests!$1:$1,0)-MATCH($C$2,quests!$1:$1,0)+1),MATCH(E$2,quests!$1:$1,0)-MATCH($C$2,quests!$1:$1,0)+1,FALSE)</f>
        <v>ドロップイベント8（マルチ専用）</v>
      </c>
      <c r="F600" s="7">
        <v>3</v>
      </c>
      <c r="G600" s="7" t="s">
        <v>382</v>
      </c>
      <c r="H600" s="12" t="str">
        <f ca="1">"【超級】"&amp;D600</f>
        <v>【超級】最悪の刺客</v>
      </c>
      <c r="I600" s="12" t="s">
        <v>832</v>
      </c>
      <c r="J600" s="12">
        <v>651</v>
      </c>
      <c r="K600" s="194">
        <v>30</v>
      </c>
      <c r="L600" s="195">
        <v>3300</v>
      </c>
      <c r="M600" s="167">
        <v>1</v>
      </c>
      <c r="N600" s="167">
        <v>1</v>
      </c>
      <c r="O600" s="167">
        <v>1</v>
      </c>
      <c r="P600" s="167">
        <v>1</v>
      </c>
      <c r="Q600" s="167">
        <v>1</v>
      </c>
      <c r="R600" s="167">
        <v>3</v>
      </c>
      <c r="S600" s="167" t="s">
        <v>278</v>
      </c>
      <c r="T600" s="167">
        <v>1</v>
      </c>
      <c r="U600" s="7" t="s">
        <v>169</v>
      </c>
      <c r="V600" s="7" t="s">
        <v>169</v>
      </c>
      <c r="W600" s="47" t="str">
        <f t="shared" ca="1" si="24"/>
        <v/>
      </c>
      <c r="X600" s="47">
        <f ca="1">VLOOKUP($C600,OFFSET(quests!$A$1,0,0,COUNTA(quests!$A:$A),MATCH(X$2,quests!$1:$1,0)-MATCH($C$2,quests!$1:$1,0)+1),MATCH(X$2,quests!$1:$1,0)-MATCH($C$2,quests!$1:$1,0)+1,FALSE)</f>
        <v>0</v>
      </c>
      <c r="Y600" s="47">
        <f ca="1">VLOOKUP($C600,OFFSET(quests!$A$1,0,0,COUNTA(quests!$A:$A),MATCH(Y$2,quests!$1:$1,0)-MATCH($C$2,quests!$1:$1,0)+1),MATCH(Y$2,quests!$1:$1,0)-MATCH($C$2,quests!$1:$1,0)+1,FALSE)</f>
        <v>0</v>
      </c>
      <c r="Z600" s="47">
        <f ca="1">VLOOKUP($C600,OFFSET(quests!$A$1,0,0,COUNTA(quests!$A:$A),MATCH(Z$2,quests!$1:$1,0)-MATCH($C$2,quests!$1:$1,0)+1),MATCH(Z$2,quests!$1:$1,0)-MATCH($C$2,quests!$1:$1,0)+1,FALSE)</f>
        <v>0</v>
      </c>
      <c r="AA600" s="47">
        <f ca="1">VLOOKUP($C600,OFFSET(quests!$A$1,0,0,COUNTA(quests!$A:$A),MATCH(AA$2,quests!$1:$1,0)-MATCH($C$2,quests!$1:$1,0)+1),MATCH(AA$2,quests!$1:$1,0)-MATCH($C$2,quests!$1:$1,0)+1,FALSE)</f>
        <v>0</v>
      </c>
      <c r="AB600" s="7" t="s">
        <v>56</v>
      </c>
      <c r="AC600" s="7">
        <v>2601</v>
      </c>
      <c r="AD600" s="7">
        <v>6</v>
      </c>
      <c r="AE600" s="7" t="s">
        <v>519</v>
      </c>
      <c r="AF600" s="33">
        <v>11</v>
      </c>
      <c r="AG600" s="7">
        <v>0</v>
      </c>
      <c r="AH600" s="7">
        <v>0</v>
      </c>
      <c r="AI600" s="7">
        <v>-1</v>
      </c>
      <c r="AJ600" s="7">
        <v>-1</v>
      </c>
      <c r="AK600" s="7" t="s">
        <v>1065</v>
      </c>
      <c r="AL600" s="12" t="s">
        <v>1695</v>
      </c>
      <c r="AM600" s="12" t="s">
        <v>2072</v>
      </c>
    </row>
    <row r="601" spans="1:39" ht="21" customHeight="1" x14ac:dyDescent="0.15">
      <c r="A601" s="42" t="str">
        <f t="shared" si="23"/>
        <v>30029_1</v>
      </c>
      <c r="B601" s="23">
        <v>3</v>
      </c>
      <c r="C601" s="31">
        <v>30029</v>
      </c>
      <c r="D601" s="47" t="str">
        <f ca="1">VLOOKUP($C601,OFFSET(quests!$A$1,0,0,COUNTA(quests!$A:$A),MATCH(D$1,quests!$1:$1,0)-MATCH($C$2,quests!$1:$1,0)+1),MATCH(D$1,quests!$1:$1,0)-MATCH($C$2,quests!$1:$1,0)+1,FALSE)</f>
        <v>全ては主のために</v>
      </c>
      <c r="E601" s="48" t="str">
        <f ca="1">VLOOKUP($C601,OFFSET(quests!$A$1,0,0,COUNTA(quests!$A:$A),MATCH(E$2,quests!$1:$1,0)-MATCH($C$2,quests!$1:$1,0)+1),MATCH(E$2,quests!$1:$1,0)-MATCH($C$2,quests!$1:$1,0)+1,FALSE)</f>
        <v>ドロップイベント8（マルチ専用）</v>
      </c>
      <c r="F601" s="7">
        <v>1</v>
      </c>
      <c r="G601" s="7" t="s">
        <v>382</v>
      </c>
      <c r="H601" s="12" t="str">
        <f ca="1">"【中級】"&amp;D601</f>
        <v>【中級】全ては主のために</v>
      </c>
      <c r="I601" s="12" t="s">
        <v>831</v>
      </c>
      <c r="J601" s="12">
        <v>648</v>
      </c>
      <c r="K601" s="192">
        <v>15</v>
      </c>
      <c r="L601" s="193">
        <v>1200</v>
      </c>
      <c r="M601" s="167">
        <v>1</v>
      </c>
      <c r="N601" s="167">
        <v>1</v>
      </c>
      <c r="O601" s="167">
        <v>1</v>
      </c>
      <c r="P601" s="167">
        <v>1</v>
      </c>
      <c r="Q601" s="167">
        <v>1</v>
      </c>
      <c r="R601" s="167">
        <v>3</v>
      </c>
      <c r="S601" s="167" t="s">
        <v>817</v>
      </c>
      <c r="T601" s="167">
        <v>0</v>
      </c>
      <c r="U601" s="7" t="s">
        <v>169</v>
      </c>
      <c r="V601" s="7" t="s">
        <v>169</v>
      </c>
      <c r="W601" s="47" t="str">
        <f t="shared" ca="1" si="24"/>
        <v/>
      </c>
      <c r="X601" s="47">
        <f ca="1">VLOOKUP($C601,OFFSET(quests!$A$1,0,0,COUNTA(quests!$A:$A),MATCH(X$2,quests!$1:$1,0)-MATCH($C$2,quests!$1:$1,0)+1),MATCH(X$2,quests!$1:$1,0)-MATCH($C$2,quests!$1:$1,0)+1,FALSE)</f>
        <v>0</v>
      </c>
      <c r="Y601" s="47">
        <f ca="1">VLOOKUP($C601,OFFSET(quests!$A$1,0,0,COUNTA(quests!$A:$A),MATCH(Y$2,quests!$1:$1,0)-MATCH($C$2,quests!$1:$1,0)+1),MATCH(Y$2,quests!$1:$1,0)-MATCH($C$2,quests!$1:$1,0)+1,FALSE)</f>
        <v>0</v>
      </c>
      <c r="Z601" s="47">
        <f ca="1">VLOOKUP($C601,OFFSET(quests!$A$1,0,0,COUNTA(quests!$A:$A),MATCH(Z$2,quests!$1:$1,0)-MATCH($C$2,quests!$1:$1,0)+1),MATCH(Z$2,quests!$1:$1,0)-MATCH($C$2,quests!$1:$1,0)+1,FALSE)</f>
        <v>0</v>
      </c>
      <c r="AA601" s="47">
        <f ca="1">VLOOKUP($C601,OFFSET(quests!$A$1,0,0,COUNTA(quests!$A:$A),MATCH(AA$2,quests!$1:$1,0)-MATCH($C$2,quests!$1:$1,0)+1),MATCH(AA$2,quests!$1:$1,0)-MATCH($C$2,quests!$1:$1,0)+1,FALSE)</f>
        <v>0</v>
      </c>
      <c r="AB601" s="7" t="s">
        <v>56</v>
      </c>
      <c r="AC601" s="7">
        <v>5</v>
      </c>
      <c r="AD601" s="7">
        <v>6</v>
      </c>
      <c r="AE601" s="7" t="s">
        <v>519</v>
      </c>
      <c r="AF601" s="33">
        <v>11</v>
      </c>
      <c r="AG601" s="7">
        <v>0</v>
      </c>
      <c r="AH601" s="7">
        <v>0</v>
      </c>
      <c r="AI601" s="7">
        <v>-1</v>
      </c>
      <c r="AJ601" s="7">
        <v>-1</v>
      </c>
      <c r="AK601" s="7" t="s">
        <v>1064</v>
      </c>
      <c r="AL601" s="12" t="s">
        <v>1695</v>
      </c>
      <c r="AM601" s="12" t="s">
        <v>2072</v>
      </c>
    </row>
    <row r="602" spans="1:39" ht="21" customHeight="1" x14ac:dyDescent="0.15">
      <c r="A602" s="42" t="str">
        <f t="shared" si="23"/>
        <v>30029_2</v>
      </c>
      <c r="B602" s="23">
        <v>3</v>
      </c>
      <c r="C602" s="31">
        <v>30029</v>
      </c>
      <c r="D602" s="47" t="str">
        <f ca="1">VLOOKUP($C602,OFFSET(quests!$A$1,0,0,COUNTA(quests!$A:$A),MATCH(D$1,quests!$1:$1,0)-MATCH($C$2,quests!$1:$1,0)+1),MATCH(D$1,quests!$1:$1,0)-MATCH($C$2,quests!$1:$1,0)+1,FALSE)</f>
        <v>全ては主のために</v>
      </c>
      <c r="E602" s="48" t="str">
        <f ca="1">VLOOKUP($C602,OFFSET(quests!$A$1,0,0,COUNTA(quests!$A:$A),MATCH(E$2,quests!$1:$1,0)-MATCH($C$2,quests!$1:$1,0)+1),MATCH(E$2,quests!$1:$1,0)-MATCH($C$2,quests!$1:$1,0)+1,FALSE)</f>
        <v>ドロップイベント8（マルチ専用）</v>
      </c>
      <c r="F602" s="7">
        <v>2</v>
      </c>
      <c r="G602" s="7" t="s">
        <v>382</v>
      </c>
      <c r="H602" s="12" t="str">
        <f ca="1">"【上級】"&amp;D602</f>
        <v>【上級】全ては主のために</v>
      </c>
      <c r="I602" s="12" t="s">
        <v>830</v>
      </c>
      <c r="J602" s="12">
        <v>648</v>
      </c>
      <c r="K602" s="194">
        <v>20</v>
      </c>
      <c r="L602" s="195">
        <v>2000</v>
      </c>
      <c r="M602" s="167">
        <v>1</v>
      </c>
      <c r="N602" s="167">
        <v>1</v>
      </c>
      <c r="O602" s="167">
        <v>1</v>
      </c>
      <c r="P602" s="167">
        <v>1</v>
      </c>
      <c r="Q602" s="167">
        <v>1</v>
      </c>
      <c r="R602" s="167">
        <v>3</v>
      </c>
      <c r="S602" s="167" t="s">
        <v>817</v>
      </c>
      <c r="T602" s="167">
        <v>0</v>
      </c>
      <c r="U602" s="7" t="s">
        <v>169</v>
      </c>
      <c r="V602" s="7" t="s">
        <v>169</v>
      </c>
      <c r="W602" s="47" t="str">
        <f t="shared" ca="1" si="24"/>
        <v/>
      </c>
      <c r="X602" s="47">
        <f ca="1">VLOOKUP($C602,OFFSET(quests!$A$1,0,0,COUNTA(quests!$A:$A),MATCH(X$2,quests!$1:$1,0)-MATCH($C$2,quests!$1:$1,0)+1),MATCH(X$2,quests!$1:$1,0)-MATCH($C$2,quests!$1:$1,0)+1,FALSE)</f>
        <v>0</v>
      </c>
      <c r="Y602" s="47">
        <f ca="1">VLOOKUP($C602,OFFSET(quests!$A$1,0,0,COUNTA(quests!$A:$A),MATCH(Y$2,quests!$1:$1,0)-MATCH($C$2,quests!$1:$1,0)+1),MATCH(Y$2,quests!$1:$1,0)-MATCH($C$2,quests!$1:$1,0)+1,FALSE)</f>
        <v>0</v>
      </c>
      <c r="Z602" s="47">
        <f ca="1">VLOOKUP($C602,OFFSET(quests!$A$1,0,0,COUNTA(quests!$A:$A),MATCH(Z$2,quests!$1:$1,0)-MATCH($C$2,quests!$1:$1,0)+1),MATCH(Z$2,quests!$1:$1,0)-MATCH($C$2,quests!$1:$1,0)+1,FALSE)</f>
        <v>0</v>
      </c>
      <c r="AA602" s="47">
        <f ca="1">VLOOKUP($C602,OFFSET(quests!$A$1,0,0,COUNTA(quests!$A:$A),MATCH(AA$2,quests!$1:$1,0)-MATCH($C$2,quests!$1:$1,0)+1),MATCH(AA$2,quests!$1:$1,0)-MATCH($C$2,quests!$1:$1,0)+1,FALSE)</f>
        <v>0</v>
      </c>
      <c r="AB602" s="7" t="s">
        <v>56</v>
      </c>
      <c r="AC602" s="7">
        <v>5</v>
      </c>
      <c r="AD602" s="7">
        <v>6</v>
      </c>
      <c r="AE602" s="7" t="s">
        <v>519</v>
      </c>
      <c r="AF602" s="33">
        <v>11</v>
      </c>
      <c r="AG602" s="7">
        <v>0</v>
      </c>
      <c r="AH602" s="7">
        <v>0</v>
      </c>
      <c r="AI602" s="7">
        <v>-1</v>
      </c>
      <c r="AJ602" s="7">
        <v>-1</v>
      </c>
      <c r="AK602" s="7" t="s">
        <v>1064</v>
      </c>
      <c r="AL602" s="12" t="s">
        <v>1695</v>
      </c>
      <c r="AM602" s="12" t="s">
        <v>2072</v>
      </c>
    </row>
    <row r="603" spans="1:39" ht="21" customHeight="1" x14ac:dyDescent="0.15">
      <c r="A603" s="42" t="str">
        <f t="shared" si="23"/>
        <v>30029_3</v>
      </c>
      <c r="B603" s="23">
        <v>3</v>
      </c>
      <c r="C603" s="31">
        <v>30029</v>
      </c>
      <c r="D603" s="47" t="str">
        <f ca="1">VLOOKUP($C603,OFFSET(quests!$A$1,0,0,COUNTA(quests!$A:$A),MATCH(D$1,quests!$1:$1,0)-MATCH($C$2,quests!$1:$1,0)+1),MATCH(D$1,quests!$1:$1,0)-MATCH($C$2,quests!$1:$1,0)+1,FALSE)</f>
        <v>全ては主のために</v>
      </c>
      <c r="E603" s="48" t="str">
        <f ca="1">VLOOKUP($C603,OFFSET(quests!$A$1,0,0,COUNTA(quests!$A:$A),MATCH(E$2,quests!$1:$1,0)-MATCH($C$2,quests!$1:$1,0)+1),MATCH(E$2,quests!$1:$1,0)-MATCH($C$2,quests!$1:$1,0)+1,FALSE)</f>
        <v>ドロップイベント8（マルチ専用）</v>
      </c>
      <c r="F603" s="7">
        <v>3</v>
      </c>
      <c r="G603" s="7" t="s">
        <v>382</v>
      </c>
      <c r="H603" s="12" t="str">
        <f ca="1">"【超級】"&amp;D603</f>
        <v>【超級】全ては主のために</v>
      </c>
      <c r="I603" s="12" t="s">
        <v>832</v>
      </c>
      <c r="J603" s="12">
        <v>648</v>
      </c>
      <c r="K603" s="194">
        <v>30</v>
      </c>
      <c r="L603" s="195">
        <v>3300</v>
      </c>
      <c r="M603" s="167">
        <v>1</v>
      </c>
      <c r="N603" s="167">
        <v>1</v>
      </c>
      <c r="O603" s="167">
        <v>1</v>
      </c>
      <c r="P603" s="167">
        <v>1</v>
      </c>
      <c r="Q603" s="167">
        <v>1</v>
      </c>
      <c r="R603" s="167">
        <v>3</v>
      </c>
      <c r="S603" s="167" t="s">
        <v>278</v>
      </c>
      <c r="T603" s="167">
        <v>1</v>
      </c>
      <c r="U603" s="7" t="s">
        <v>169</v>
      </c>
      <c r="V603" s="7" t="s">
        <v>169</v>
      </c>
      <c r="W603" s="47" t="str">
        <f t="shared" ca="1" si="24"/>
        <v/>
      </c>
      <c r="X603" s="47">
        <f ca="1">VLOOKUP($C603,OFFSET(quests!$A$1,0,0,COUNTA(quests!$A:$A),MATCH(X$2,quests!$1:$1,0)-MATCH($C$2,quests!$1:$1,0)+1),MATCH(X$2,quests!$1:$1,0)-MATCH($C$2,quests!$1:$1,0)+1,FALSE)</f>
        <v>0</v>
      </c>
      <c r="Y603" s="47">
        <f ca="1">VLOOKUP($C603,OFFSET(quests!$A$1,0,0,COUNTA(quests!$A:$A),MATCH(Y$2,quests!$1:$1,0)-MATCH($C$2,quests!$1:$1,0)+1),MATCH(Y$2,quests!$1:$1,0)-MATCH($C$2,quests!$1:$1,0)+1,FALSE)</f>
        <v>0</v>
      </c>
      <c r="Z603" s="47">
        <f ca="1">VLOOKUP($C603,OFFSET(quests!$A$1,0,0,COUNTA(quests!$A:$A),MATCH(Z$2,quests!$1:$1,0)-MATCH($C$2,quests!$1:$1,0)+1),MATCH(Z$2,quests!$1:$1,0)-MATCH($C$2,quests!$1:$1,0)+1,FALSE)</f>
        <v>0</v>
      </c>
      <c r="AA603" s="47">
        <f ca="1">VLOOKUP($C603,OFFSET(quests!$A$1,0,0,COUNTA(quests!$A:$A),MATCH(AA$2,quests!$1:$1,0)-MATCH($C$2,quests!$1:$1,0)+1),MATCH(AA$2,quests!$1:$1,0)-MATCH($C$2,quests!$1:$1,0)+1,FALSE)</f>
        <v>0</v>
      </c>
      <c r="AB603" s="7" t="s">
        <v>56</v>
      </c>
      <c r="AC603" s="7">
        <v>5</v>
      </c>
      <c r="AD603" s="7">
        <v>6</v>
      </c>
      <c r="AE603" s="7" t="s">
        <v>519</v>
      </c>
      <c r="AF603" s="33">
        <v>11</v>
      </c>
      <c r="AG603" s="7">
        <v>0</v>
      </c>
      <c r="AH603" s="7">
        <v>0</v>
      </c>
      <c r="AI603" s="7">
        <v>-1</v>
      </c>
      <c r="AJ603" s="7">
        <v>-1</v>
      </c>
      <c r="AK603" s="7" t="s">
        <v>1065</v>
      </c>
      <c r="AL603" s="12" t="s">
        <v>1695</v>
      </c>
      <c r="AM603" s="12" t="s">
        <v>2072</v>
      </c>
    </row>
    <row r="604" spans="1:39" ht="21" customHeight="1" x14ac:dyDescent="0.15">
      <c r="A604" s="42" t="str">
        <f t="shared" si="23"/>
        <v>30030_1</v>
      </c>
      <c r="B604" s="76">
        <v>3</v>
      </c>
      <c r="C604" s="31">
        <v>30030</v>
      </c>
      <c r="D604" s="47" t="str">
        <f ca="1">VLOOKUP($C604,OFFSET(quests!$A$1,0,0,COUNTA(quests!$A:$A),MATCH(D$1,quests!$1:$1,0)-MATCH($C$2,quests!$1:$1,0)+1),MATCH(D$1,quests!$1:$1,0)-MATCH($C$2,quests!$1:$1,0)+1,FALSE)</f>
        <v>ここは誰の箱庭じゃ？</v>
      </c>
      <c r="E604" s="48" t="str">
        <f ca="1">VLOOKUP($C604,OFFSET(quests!$A$1,0,0,COUNTA(quests!$A:$A),MATCH(E$2,quests!$1:$1,0)-MATCH($C$2,quests!$1:$1,0)+1),MATCH(E$2,quests!$1:$1,0)-MATCH($C$2,quests!$1:$1,0)+1,FALSE)</f>
        <v>ドロップイベント9（マルチ専用）</v>
      </c>
      <c r="F604" s="7">
        <v>1</v>
      </c>
      <c r="G604" s="7" t="s">
        <v>382</v>
      </c>
      <c r="H604" s="12" t="str">
        <f ca="1">"【中級】"&amp;D604</f>
        <v>【中級】ここは誰の箱庭じゃ？</v>
      </c>
      <c r="I604" s="12" t="s">
        <v>831</v>
      </c>
      <c r="J604" s="12">
        <v>652</v>
      </c>
      <c r="K604" s="192">
        <v>15</v>
      </c>
      <c r="L604" s="193">
        <v>1200</v>
      </c>
      <c r="M604" s="167">
        <v>1</v>
      </c>
      <c r="N604" s="167">
        <v>1</v>
      </c>
      <c r="O604" s="167">
        <v>1</v>
      </c>
      <c r="P604" s="167">
        <v>1</v>
      </c>
      <c r="Q604" s="167">
        <v>1</v>
      </c>
      <c r="R604" s="167">
        <v>3</v>
      </c>
      <c r="S604" s="167" t="s">
        <v>817</v>
      </c>
      <c r="T604" s="167">
        <v>0</v>
      </c>
      <c r="U604" s="7" t="s">
        <v>169</v>
      </c>
      <c r="V604" s="7" t="s">
        <v>169</v>
      </c>
      <c r="W604" s="47" t="str">
        <f t="shared" ca="1" si="24"/>
        <v/>
      </c>
      <c r="X604" s="47">
        <f ca="1">VLOOKUP($C604,OFFSET(quests!$A$1,0,0,COUNTA(quests!$A:$A),MATCH(X$2,quests!$1:$1,0)-MATCH($C$2,quests!$1:$1,0)+1),MATCH(X$2,quests!$1:$1,0)-MATCH($C$2,quests!$1:$1,0)+1,FALSE)</f>
        <v>0</v>
      </c>
      <c r="Y604" s="47">
        <f ca="1">VLOOKUP($C604,OFFSET(quests!$A$1,0,0,COUNTA(quests!$A:$A),MATCH(Y$2,quests!$1:$1,0)-MATCH($C$2,quests!$1:$1,0)+1),MATCH(Y$2,quests!$1:$1,0)-MATCH($C$2,quests!$1:$1,0)+1,FALSE)</f>
        <v>0</v>
      </c>
      <c r="Z604" s="47">
        <f ca="1">VLOOKUP($C604,OFFSET(quests!$A$1,0,0,COUNTA(quests!$A:$A),MATCH(Z$2,quests!$1:$1,0)-MATCH($C$2,quests!$1:$1,0)+1),MATCH(Z$2,quests!$1:$1,0)-MATCH($C$2,quests!$1:$1,0)+1,FALSE)</f>
        <v>0</v>
      </c>
      <c r="AA604" s="47">
        <f ca="1">VLOOKUP($C604,OFFSET(quests!$A$1,0,0,COUNTA(quests!$A:$A),MATCH(AA$2,quests!$1:$1,0)-MATCH($C$2,quests!$1:$1,0)+1),MATCH(AA$2,quests!$1:$1,0)-MATCH($C$2,quests!$1:$1,0)+1,FALSE)</f>
        <v>0</v>
      </c>
      <c r="AB604" s="7" t="s">
        <v>56</v>
      </c>
      <c r="AC604" s="7">
        <v>8</v>
      </c>
      <c r="AD604" s="7">
        <v>6</v>
      </c>
      <c r="AE604" s="7" t="s">
        <v>519</v>
      </c>
      <c r="AF604" s="96">
        <v>17</v>
      </c>
      <c r="AG604" s="7">
        <v>0</v>
      </c>
      <c r="AH604" s="7">
        <v>0</v>
      </c>
      <c r="AI604" s="7">
        <v>-1</v>
      </c>
      <c r="AJ604" s="7">
        <v>-1</v>
      </c>
      <c r="AK604" s="7" t="s">
        <v>1064</v>
      </c>
      <c r="AL604" s="12" t="s">
        <v>1695</v>
      </c>
      <c r="AM604" s="12" t="s">
        <v>2072</v>
      </c>
    </row>
    <row r="605" spans="1:39" ht="21" customHeight="1" x14ac:dyDescent="0.15">
      <c r="A605" s="42" t="str">
        <f t="shared" si="23"/>
        <v>30030_2</v>
      </c>
      <c r="B605" s="76">
        <v>3</v>
      </c>
      <c r="C605" s="31">
        <v>30030</v>
      </c>
      <c r="D605" s="47" t="str">
        <f ca="1">VLOOKUP($C605,OFFSET(quests!$A$1,0,0,COUNTA(quests!$A:$A),MATCH(D$1,quests!$1:$1,0)-MATCH($C$2,quests!$1:$1,0)+1),MATCH(D$1,quests!$1:$1,0)-MATCH($C$2,quests!$1:$1,0)+1,FALSE)</f>
        <v>ここは誰の箱庭じゃ？</v>
      </c>
      <c r="E605" s="48" t="str">
        <f ca="1">VLOOKUP($C605,OFFSET(quests!$A$1,0,0,COUNTA(quests!$A:$A),MATCH(E$2,quests!$1:$1,0)-MATCH($C$2,quests!$1:$1,0)+1),MATCH(E$2,quests!$1:$1,0)-MATCH($C$2,quests!$1:$1,0)+1,FALSE)</f>
        <v>ドロップイベント9（マルチ専用）</v>
      </c>
      <c r="F605" s="7">
        <v>2</v>
      </c>
      <c r="G605" s="7" t="s">
        <v>382</v>
      </c>
      <c r="H605" s="12" t="str">
        <f ca="1">"【上級】"&amp;D605</f>
        <v>【上級】ここは誰の箱庭じゃ？</v>
      </c>
      <c r="I605" s="12" t="s">
        <v>830</v>
      </c>
      <c r="J605" s="12">
        <v>653</v>
      </c>
      <c r="K605" s="194">
        <v>20</v>
      </c>
      <c r="L605" s="195">
        <v>2000</v>
      </c>
      <c r="M605" s="167">
        <v>1</v>
      </c>
      <c r="N605" s="167">
        <v>1</v>
      </c>
      <c r="O605" s="167">
        <v>1</v>
      </c>
      <c r="P605" s="167">
        <v>1</v>
      </c>
      <c r="Q605" s="167">
        <v>1</v>
      </c>
      <c r="R605" s="167">
        <v>3</v>
      </c>
      <c r="S605" s="167" t="s">
        <v>817</v>
      </c>
      <c r="T605" s="167">
        <v>0</v>
      </c>
      <c r="U605" s="7" t="s">
        <v>169</v>
      </c>
      <c r="V605" s="7" t="s">
        <v>169</v>
      </c>
      <c r="W605" s="47" t="str">
        <f t="shared" ca="1" si="24"/>
        <v/>
      </c>
      <c r="X605" s="47">
        <f ca="1">VLOOKUP($C605,OFFSET(quests!$A$1,0,0,COUNTA(quests!$A:$A),MATCH(X$2,quests!$1:$1,0)-MATCH($C$2,quests!$1:$1,0)+1),MATCH(X$2,quests!$1:$1,0)-MATCH($C$2,quests!$1:$1,0)+1,FALSE)</f>
        <v>0</v>
      </c>
      <c r="Y605" s="47">
        <f ca="1">VLOOKUP($C605,OFFSET(quests!$A$1,0,0,COUNTA(quests!$A:$A),MATCH(Y$2,quests!$1:$1,0)-MATCH($C$2,quests!$1:$1,0)+1),MATCH(Y$2,quests!$1:$1,0)-MATCH($C$2,quests!$1:$1,0)+1,FALSE)</f>
        <v>0</v>
      </c>
      <c r="Z605" s="47">
        <f ca="1">VLOOKUP($C605,OFFSET(quests!$A$1,0,0,COUNTA(quests!$A:$A),MATCH(Z$2,quests!$1:$1,0)-MATCH($C$2,quests!$1:$1,0)+1),MATCH(Z$2,quests!$1:$1,0)-MATCH($C$2,quests!$1:$1,0)+1,FALSE)</f>
        <v>0</v>
      </c>
      <c r="AA605" s="47">
        <f ca="1">VLOOKUP($C605,OFFSET(quests!$A$1,0,0,COUNTA(quests!$A:$A),MATCH(AA$2,quests!$1:$1,0)-MATCH($C$2,quests!$1:$1,0)+1),MATCH(AA$2,quests!$1:$1,0)-MATCH($C$2,quests!$1:$1,0)+1,FALSE)</f>
        <v>0</v>
      </c>
      <c r="AB605" s="7" t="s">
        <v>56</v>
      </c>
      <c r="AC605" s="7">
        <v>8</v>
      </c>
      <c r="AD605" s="7">
        <v>6</v>
      </c>
      <c r="AE605" s="7" t="s">
        <v>519</v>
      </c>
      <c r="AF605" s="96">
        <v>17</v>
      </c>
      <c r="AG605" s="7">
        <v>0</v>
      </c>
      <c r="AH605" s="7">
        <v>0</v>
      </c>
      <c r="AI605" s="7">
        <v>-1</v>
      </c>
      <c r="AJ605" s="7">
        <v>-1</v>
      </c>
      <c r="AK605" s="7" t="s">
        <v>1064</v>
      </c>
      <c r="AL605" s="12" t="s">
        <v>1695</v>
      </c>
      <c r="AM605" s="12" t="s">
        <v>2072</v>
      </c>
    </row>
    <row r="606" spans="1:39" ht="21" customHeight="1" x14ac:dyDescent="0.15">
      <c r="A606" s="42" t="str">
        <f t="shared" si="23"/>
        <v>30030_3</v>
      </c>
      <c r="B606" s="76">
        <v>3</v>
      </c>
      <c r="C606" s="31">
        <v>30030</v>
      </c>
      <c r="D606" s="47" t="str">
        <f ca="1">VLOOKUP($C606,OFFSET(quests!$A$1,0,0,COUNTA(quests!$A:$A),MATCH(D$1,quests!$1:$1,0)-MATCH($C$2,quests!$1:$1,0)+1),MATCH(D$1,quests!$1:$1,0)-MATCH($C$2,quests!$1:$1,0)+1,FALSE)</f>
        <v>ここは誰の箱庭じゃ？</v>
      </c>
      <c r="E606" s="48" t="str">
        <f ca="1">VLOOKUP($C606,OFFSET(quests!$A$1,0,0,COUNTA(quests!$A:$A),MATCH(E$2,quests!$1:$1,0)-MATCH($C$2,quests!$1:$1,0)+1),MATCH(E$2,quests!$1:$1,0)-MATCH($C$2,quests!$1:$1,0)+1,FALSE)</f>
        <v>ドロップイベント9（マルチ専用）</v>
      </c>
      <c r="F606" s="7">
        <v>3</v>
      </c>
      <c r="G606" s="7" t="s">
        <v>382</v>
      </c>
      <c r="H606" s="12" t="str">
        <f ca="1">"【超級】"&amp;D606</f>
        <v>【超級】ここは誰の箱庭じゃ？</v>
      </c>
      <c r="I606" s="12" t="s">
        <v>832</v>
      </c>
      <c r="J606" s="12">
        <v>653</v>
      </c>
      <c r="K606" s="194">
        <v>30</v>
      </c>
      <c r="L606" s="195">
        <v>3300</v>
      </c>
      <c r="M606" s="167">
        <v>1</v>
      </c>
      <c r="N606" s="167">
        <v>1</v>
      </c>
      <c r="O606" s="167">
        <v>1</v>
      </c>
      <c r="P606" s="167">
        <v>1</v>
      </c>
      <c r="Q606" s="167">
        <v>1</v>
      </c>
      <c r="R606" s="167">
        <v>3</v>
      </c>
      <c r="S606" s="167" t="s">
        <v>278</v>
      </c>
      <c r="T606" s="167">
        <v>1</v>
      </c>
      <c r="U606" s="7" t="s">
        <v>169</v>
      </c>
      <c r="V606" s="7" t="s">
        <v>169</v>
      </c>
      <c r="W606" s="47" t="str">
        <f t="shared" ca="1" si="24"/>
        <v/>
      </c>
      <c r="X606" s="47">
        <f ca="1">VLOOKUP($C606,OFFSET(quests!$A$1,0,0,COUNTA(quests!$A:$A),MATCH(X$2,quests!$1:$1,0)-MATCH($C$2,quests!$1:$1,0)+1),MATCH(X$2,quests!$1:$1,0)-MATCH($C$2,quests!$1:$1,0)+1,FALSE)</f>
        <v>0</v>
      </c>
      <c r="Y606" s="47">
        <f ca="1">VLOOKUP($C606,OFFSET(quests!$A$1,0,0,COUNTA(quests!$A:$A),MATCH(Y$2,quests!$1:$1,0)-MATCH($C$2,quests!$1:$1,0)+1),MATCH(Y$2,quests!$1:$1,0)-MATCH($C$2,quests!$1:$1,0)+1,FALSE)</f>
        <v>0</v>
      </c>
      <c r="Z606" s="47">
        <f ca="1">VLOOKUP($C606,OFFSET(quests!$A$1,0,0,COUNTA(quests!$A:$A),MATCH(Z$2,quests!$1:$1,0)-MATCH($C$2,quests!$1:$1,0)+1),MATCH(Z$2,quests!$1:$1,0)-MATCH($C$2,quests!$1:$1,0)+1,FALSE)</f>
        <v>0</v>
      </c>
      <c r="AA606" s="47">
        <f ca="1">VLOOKUP($C606,OFFSET(quests!$A$1,0,0,COUNTA(quests!$A:$A),MATCH(AA$2,quests!$1:$1,0)-MATCH($C$2,quests!$1:$1,0)+1),MATCH(AA$2,quests!$1:$1,0)-MATCH($C$2,quests!$1:$1,0)+1,FALSE)</f>
        <v>0</v>
      </c>
      <c r="AB606" s="7" t="s">
        <v>56</v>
      </c>
      <c r="AC606" s="7">
        <v>8</v>
      </c>
      <c r="AD606" s="7">
        <v>6</v>
      </c>
      <c r="AE606" s="7" t="s">
        <v>519</v>
      </c>
      <c r="AF606" s="96">
        <v>17</v>
      </c>
      <c r="AG606" s="7">
        <v>0</v>
      </c>
      <c r="AH606" s="7">
        <v>0</v>
      </c>
      <c r="AI606" s="7">
        <v>-1</v>
      </c>
      <c r="AJ606" s="7">
        <v>-1</v>
      </c>
      <c r="AK606" s="7" t="s">
        <v>1065</v>
      </c>
      <c r="AL606" s="12" t="s">
        <v>1695</v>
      </c>
      <c r="AM606" s="12" t="s">
        <v>2072</v>
      </c>
    </row>
    <row r="607" spans="1:39" ht="21" customHeight="1" x14ac:dyDescent="0.15">
      <c r="A607" s="42" t="str">
        <f t="shared" si="23"/>
        <v>30031_1</v>
      </c>
      <c r="B607" s="39">
        <v>3</v>
      </c>
      <c r="C607" s="31">
        <v>30031</v>
      </c>
      <c r="D607" s="47" t="str">
        <f ca="1">VLOOKUP($C607,OFFSET(quests!$A$1,0,0,COUNTA(quests!$A:$A),MATCH(D$1,quests!$1:$1,0)-MATCH($C$2,quests!$1:$1,0)+1),MATCH(D$1,quests!$1:$1,0)-MATCH($C$2,quests!$1:$1,0)+1,FALSE)</f>
        <v>力への羨望</v>
      </c>
      <c r="E607" s="48" t="str">
        <f ca="1">VLOOKUP($C607,OFFSET(quests!$A$1,0,0,COUNTA(quests!$A:$A),MATCH(E$2,quests!$1:$1,0)-MATCH($C$2,quests!$1:$1,0)+1),MATCH(E$2,quests!$1:$1,0)-MATCH($C$2,quests!$1:$1,0)+1,FALSE)</f>
        <v>ドロップイベント10（マルチ専用）</v>
      </c>
      <c r="F607" s="7">
        <v>1</v>
      </c>
      <c r="G607" s="7" t="s">
        <v>382</v>
      </c>
      <c r="H607" s="12" t="str">
        <f ca="1">"【中級】"&amp;D607</f>
        <v>【中級】力への羨望</v>
      </c>
      <c r="I607" s="12" t="s">
        <v>831</v>
      </c>
      <c r="J607" s="12">
        <v>764</v>
      </c>
      <c r="K607" s="192">
        <v>15</v>
      </c>
      <c r="L607" s="193">
        <v>1200</v>
      </c>
      <c r="M607" s="167">
        <v>1</v>
      </c>
      <c r="N607" s="167">
        <v>1</v>
      </c>
      <c r="O607" s="167">
        <v>1</v>
      </c>
      <c r="P607" s="167">
        <v>1</v>
      </c>
      <c r="Q607" s="167">
        <v>1</v>
      </c>
      <c r="R607" s="167">
        <v>3</v>
      </c>
      <c r="S607" s="167" t="s">
        <v>817</v>
      </c>
      <c r="T607" s="167">
        <v>0</v>
      </c>
      <c r="U607" s="7" t="s">
        <v>169</v>
      </c>
      <c r="V607" s="7" t="s">
        <v>169</v>
      </c>
      <c r="W607" s="47" t="str">
        <f t="shared" ca="1" si="24"/>
        <v/>
      </c>
      <c r="X607" s="47">
        <f ca="1">VLOOKUP($C607,OFFSET(quests!$A$1,0,0,COUNTA(quests!$A:$A),MATCH(X$2,quests!$1:$1,0)-MATCH($C$2,quests!$1:$1,0)+1),MATCH(X$2,quests!$1:$1,0)-MATCH($C$2,quests!$1:$1,0)+1,FALSE)</f>
        <v>0</v>
      </c>
      <c r="Y607" s="47">
        <f ca="1">VLOOKUP($C607,OFFSET(quests!$A$1,0,0,COUNTA(quests!$A:$A),MATCH(Y$2,quests!$1:$1,0)-MATCH($C$2,quests!$1:$1,0)+1),MATCH(Y$2,quests!$1:$1,0)-MATCH($C$2,quests!$1:$1,0)+1,FALSE)</f>
        <v>0</v>
      </c>
      <c r="Z607" s="47">
        <f ca="1">VLOOKUP($C607,OFFSET(quests!$A$1,0,0,COUNTA(quests!$A:$A),MATCH(Z$2,quests!$1:$1,0)-MATCH($C$2,quests!$1:$1,0)+1),MATCH(Z$2,quests!$1:$1,0)-MATCH($C$2,quests!$1:$1,0)+1,FALSE)</f>
        <v>0</v>
      </c>
      <c r="AA607" s="47">
        <f ca="1">VLOOKUP($C607,OFFSET(quests!$A$1,0,0,COUNTA(quests!$A:$A),MATCH(AA$2,quests!$1:$1,0)-MATCH($C$2,quests!$1:$1,0)+1),MATCH(AA$2,quests!$1:$1,0)-MATCH($C$2,quests!$1:$1,0)+1,FALSE)</f>
        <v>0</v>
      </c>
      <c r="AB607" s="7" t="s">
        <v>56</v>
      </c>
      <c r="AC607" s="7">
        <v>20</v>
      </c>
      <c r="AD607" s="7">
        <v>6</v>
      </c>
      <c r="AE607" s="7" t="s">
        <v>519</v>
      </c>
      <c r="AF607" s="255">
        <v>16</v>
      </c>
      <c r="AG607" s="7">
        <v>0</v>
      </c>
      <c r="AH607" s="7">
        <v>0</v>
      </c>
      <c r="AI607" s="7">
        <v>-1</v>
      </c>
      <c r="AJ607" s="7">
        <v>-1</v>
      </c>
      <c r="AK607" s="7" t="s">
        <v>1064</v>
      </c>
      <c r="AL607" s="12" t="s">
        <v>1695</v>
      </c>
      <c r="AM607" s="12" t="s">
        <v>2072</v>
      </c>
    </row>
    <row r="608" spans="1:39" ht="21" customHeight="1" x14ac:dyDescent="0.15">
      <c r="A608" s="42" t="str">
        <f t="shared" si="23"/>
        <v>30031_2</v>
      </c>
      <c r="B608" s="39">
        <v>3</v>
      </c>
      <c r="C608" s="31">
        <v>30031</v>
      </c>
      <c r="D608" s="47" t="str">
        <f ca="1">VLOOKUP($C608,OFFSET(quests!$A$1,0,0,COUNTA(quests!$A:$A),MATCH(D$1,quests!$1:$1,0)-MATCH($C$2,quests!$1:$1,0)+1),MATCH(D$1,quests!$1:$1,0)-MATCH($C$2,quests!$1:$1,0)+1,FALSE)</f>
        <v>力への羨望</v>
      </c>
      <c r="E608" s="48" t="str">
        <f ca="1">VLOOKUP($C608,OFFSET(quests!$A$1,0,0,COUNTA(quests!$A:$A),MATCH(E$2,quests!$1:$1,0)-MATCH($C$2,quests!$1:$1,0)+1),MATCH(E$2,quests!$1:$1,0)-MATCH($C$2,quests!$1:$1,0)+1,FALSE)</f>
        <v>ドロップイベント10（マルチ専用）</v>
      </c>
      <c r="F608" s="7">
        <v>2</v>
      </c>
      <c r="G608" s="7" t="s">
        <v>382</v>
      </c>
      <c r="H608" s="12" t="str">
        <f ca="1">"【上級】"&amp;D608</f>
        <v>【上級】力への羨望</v>
      </c>
      <c r="I608" s="12" t="s">
        <v>830</v>
      </c>
      <c r="J608" s="12">
        <v>764</v>
      </c>
      <c r="K608" s="194">
        <v>20</v>
      </c>
      <c r="L608" s="195">
        <v>2000</v>
      </c>
      <c r="M608" s="167">
        <v>1</v>
      </c>
      <c r="N608" s="167">
        <v>1</v>
      </c>
      <c r="O608" s="167">
        <v>1</v>
      </c>
      <c r="P608" s="167">
        <v>1</v>
      </c>
      <c r="Q608" s="167">
        <v>1</v>
      </c>
      <c r="R608" s="167">
        <v>3</v>
      </c>
      <c r="S608" s="167" t="s">
        <v>817</v>
      </c>
      <c r="T608" s="167">
        <v>0</v>
      </c>
      <c r="U608" s="7" t="s">
        <v>169</v>
      </c>
      <c r="V608" s="7" t="s">
        <v>169</v>
      </c>
      <c r="W608" s="47" t="str">
        <f t="shared" ca="1" si="24"/>
        <v/>
      </c>
      <c r="X608" s="47">
        <f ca="1">VLOOKUP($C608,OFFSET(quests!$A$1,0,0,COUNTA(quests!$A:$A),MATCH(X$2,quests!$1:$1,0)-MATCH($C$2,quests!$1:$1,0)+1),MATCH(X$2,quests!$1:$1,0)-MATCH($C$2,quests!$1:$1,0)+1,FALSE)</f>
        <v>0</v>
      </c>
      <c r="Y608" s="47">
        <f ca="1">VLOOKUP($C608,OFFSET(quests!$A$1,0,0,COUNTA(quests!$A:$A),MATCH(Y$2,quests!$1:$1,0)-MATCH($C$2,quests!$1:$1,0)+1),MATCH(Y$2,quests!$1:$1,0)-MATCH($C$2,quests!$1:$1,0)+1,FALSE)</f>
        <v>0</v>
      </c>
      <c r="Z608" s="47">
        <f ca="1">VLOOKUP($C608,OFFSET(quests!$A$1,0,0,COUNTA(quests!$A:$A),MATCH(Z$2,quests!$1:$1,0)-MATCH($C$2,quests!$1:$1,0)+1),MATCH(Z$2,quests!$1:$1,0)-MATCH($C$2,quests!$1:$1,0)+1,FALSE)</f>
        <v>0</v>
      </c>
      <c r="AA608" s="47">
        <f ca="1">VLOOKUP($C608,OFFSET(quests!$A$1,0,0,COUNTA(quests!$A:$A),MATCH(AA$2,quests!$1:$1,0)-MATCH($C$2,quests!$1:$1,0)+1),MATCH(AA$2,quests!$1:$1,0)-MATCH($C$2,quests!$1:$1,0)+1,FALSE)</f>
        <v>0</v>
      </c>
      <c r="AB608" s="7" t="s">
        <v>56</v>
      </c>
      <c r="AC608" s="7">
        <v>20</v>
      </c>
      <c r="AD608" s="7">
        <v>6</v>
      </c>
      <c r="AE608" s="7" t="s">
        <v>519</v>
      </c>
      <c r="AF608" s="255">
        <v>16</v>
      </c>
      <c r="AG608" s="7">
        <v>0</v>
      </c>
      <c r="AH608" s="7">
        <v>0</v>
      </c>
      <c r="AI608" s="7">
        <v>-1</v>
      </c>
      <c r="AJ608" s="7">
        <v>-1</v>
      </c>
      <c r="AK608" s="7" t="s">
        <v>1064</v>
      </c>
      <c r="AL608" s="12" t="s">
        <v>1695</v>
      </c>
      <c r="AM608" s="12" t="s">
        <v>2072</v>
      </c>
    </row>
    <row r="609" spans="1:39" ht="21" customHeight="1" x14ac:dyDescent="0.15">
      <c r="A609" s="42" t="str">
        <f t="shared" si="23"/>
        <v>30031_3</v>
      </c>
      <c r="B609" s="39">
        <v>3</v>
      </c>
      <c r="C609" s="31">
        <v>30031</v>
      </c>
      <c r="D609" s="47" t="str">
        <f ca="1">VLOOKUP($C609,OFFSET(quests!$A$1,0,0,COUNTA(quests!$A:$A),MATCH(D$1,quests!$1:$1,0)-MATCH($C$2,quests!$1:$1,0)+1),MATCH(D$1,quests!$1:$1,0)-MATCH($C$2,quests!$1:$1,0)+1,FALSE)</f>
        <v>力への羨望</v>
      </c>
      <c r="E609" s="48" t="str">
        <f ca="1">VLOOKUP($C609,OFFSET(quests!$A$1,0,0,COUNTA(quests!$A:$A),MATCH(E$2,quests!$1:$1,0)-MATCH($C$2,quests!$1:$1,0)+1),MATCH(E$2,quests!$1:$1,0)-MATCH($C$2,quests!$1:$1,0)+1,FALSE)</f>
        <v>ドロップイベント10（マルチ専用）</v>
      </c>
      <c r="F609" s="7">
        <v>3</v>
      </c>
      <c r="G609" s="7" t="s">
        <v>382</v>
      </c>
      <c r="H609" s="12" t="str">
        <f ca="1">"【超級】"&amp;D609</f>
        <v>【超級】力への羨望</v>
      </c>
      <c r="I609" s="12" t="s">
        <v>832</v>
      </c>
      <c r="J609" s="12">
        <v>765</v>
      </c>
      <c r="K609" s="194">
        <v>30</v>
      </c>
      <c r="L609" s="195">
        <v>3300</v>
      </c>
      <c r="M609" s="167">
        <v>1</v>
      </c>
      <c r="N609" s="167">
        <v>1</v>
      </c>
      <c r="O609" s="167">
        <v>1</v>
      </c>
      <c r="P609" s="167">
        <v>1</v>
      </c>
      <c r="Q609" s="167">
        <v>1</v>
      </c>
      <c r="R609" s="167">
        <v>3</v>
      </c>
      <c r="S609" s="167" t="s">
        <v>278</v>
      </c>
      <c r="T609" s="167">
        <v>1</v>
      </c>
      <c r="U609" s="7" t="s">
        <v>169</v>
      </c>
      <c r="V609" s="7" t="s">
        <v>169</v>
      </c>
      <c r="W609" s="47" t="str">
        <f t="shared" ca="1" si="24"/>
        <v/>
      </c>
      <c r="X609" s="47">
        <f ca="1">VLOOKUP($C609,OFFSET(quests!$A$1,0,0,COUNTA(quests!$A:$A),MATCH(X$2,quests!$1:$1,0)-MATCH($C$2,quests!$1:$1,0)+1),MATCH(X$2,quests!$1:$1,0)-MATCH($C$2,quests!$1:$1,0)+1,FALSE)</f>
        <v>0</v>
      </c>
      <c r="Y609" s="47">
        <f ca="1">VLOOKUP($C609,OFFSET(quests!$A$1,0,0,COUNTA(quests!$A:$A),MATCH(Y$2,quests!$1:$1,0)-MATCH($C$2,quests!$1:$1,0)+1),MATCH(Y$2,quests!$1:$1,0)-MATCH($C$2,quests!$1:$1,0)+1,FALSE)</f>
        <v>0</v>
      </c>
      <c r="Z609" s="47">
        <f ca="1">VLOOKUP($C609,OFFSET(quests!$A$1,0,0,COUNTA(quests!$A:$A),MATCH(Z$2,quests!$1:$1,0)-MATCH($C$2,quests!$1:$1,0)+1),MATCH(Z$2,quests!$1:$1,0)-MATCH($C$2,quests!$1:$1,0)+1,FALSE)</f>
        <v>0</v>
      </c>
      <c r="AA609" s="47">
        <f ca="1">VLOOKUP($C609,OFFSET(quests!$A$1,0,0,COUNTA(quests!$A:$A),MATCH(AA$2,quests!$1:$1,0)-MATCH($C$2,quests!$1:$1,0)+1),MATCH(AA$2,quests!$1:$1,0)-MATCH($C$2,quests!$1:$1,0)+1,FALSE)</f>
        <v>0</v>
      </c>
      <c r="AB609" s="7" t="s">
        <v>56</v>
      </c>
      <c r="AC609" s="7">
        <v>20</v>
      </c>
      <c r="AD609" s="7">
        <v>6</v>
      </c>
      <c r="AE609" s="7" t="s">
        <v>519</v>
      </c>
      <c r="AF609" s="255">
        <v>16</v>
      </c>
      <c r="AG609" s="7">
        <v>0</v>
      </c>
      <c r="AH609" s="7">
        <v>0</v>
      </c>
      <c r="AI609" s="7">
        <v>-1</v>
      </c>
      <c r="AJ609" s="7">
        <v>-1</v>
      </c>
      <c r="AK609" s="7" t="s">
        <v>1065</v>
      </c>
      <c r="AL609" s="12" t="s">
        <v>1695</v>
      </c>
      <c r="AM609" s="12" t="s">
        <v>2072</v>
      </c>
    </row>
    <row r="610" spans="1:39" ht="21" customHeight="1" x14ac:dyDescent="0.15">
      <c r="A610" s="42" t="str">
        <f t="shared" si="23"/>
        <v>30032_1</v>
      </c>
      <c r="B610" s="39">
        <v>3</v>
      </c>
      <c r="C610" s="31">
        <v>30032</v>
      </c>
      <c r="D610" s="47" t="str">
        <f ca="1">VLOOKUP($C610,OFFSET(quests!$A$1,0,0,COUNTA(quests!$A:$A),MATCH(D$1,quests!$1:$1,0)-MATCH($C$2,quests!$1:$1,0)+1),MATCH(D$1,quests!$1:$1,0)-MATCH($C$2,quests!$1:$1,0)+1,FALSE)</f>
        <v>赤き竜の制裁</v>
      </c>
      <c r="E610" s="48" t="str">
        <f ca="1">VLOOKUP($C610,OFFSET(quests!$A$1,0,0,COUNTA(quests!$A:$A),MATCH(E$2,quests!$1:$1,0)-MATCH($C$2,quests!$1:$1,0)+1),MATCH(E$2,quests!$1:$1,0)-MATCH($C$2,quests!$1:$1,0)+1,FALSE)</f>
        <v>円卓2（マルチ専用）</v>
      </c>
      <c r="F610" s="7">
        <v>1</v>
      </c>
      <c r="G610" s="7" t="s">
        <v>382</v>
      </c>
      <c r="H610" s="12" t="str">
        <f ca="1">"【中級】"&amp;D610</f>
        <v>【中級】赤き竜の制裁</v>
      </c>
      <c r="I610" s="12" t="s">
        <v>831</v>
      </c>
      <c r="J610" s="12">
        <v>767</v>
      </c>
      <c r="K610" s="192">
        <v>15</v>
      </c>
      <c r="L610" s="193">
        <v>1200</v>
      </c>
      <c r="M610" s="167">
        <v>1</v>
      </c>
      <c r="N610" s="167">
        <v>1</v>
      </c>
      <c r="O610" s="167">
        <v>1</v>
      </c>
      <c r="P610" s="167">
        <v>1</v>
      </c>
      <c r="Q610" s="167">
        <v>1</v>
      </c>
      <c r="R610" s="167">
        <v>3</v>
      </c>
      <c r="S610" s="167" t="s">
        <v>817</v>
      </c>
      <c r="T610" s="167">
        <v>0</v>
      </c>
      <c r="U610" s="7" t="s">
        <v>169</v>
      </c>
      <c r="V610" s="7" t="s">
        <v>169</v>
      </c>
      <c r="W610" s="47" t="str">
        <f t="shared" ca="1" si="24"/>
        <v/>
      </c>
      <c r="X610" s="47">
        <f ca="1">VLOOKUP($C610,OFFSET(quests!$A$1,0,0,COUNTA(quests!$A:$A),MATCH(X$2,quests!$1:$1,0)-MATCH($C$2,quests!$1:$1,0)+1),MATCH(X$2,quests!$1:$1,0)-MATCH($C$2,quests!$1:$1,0)+1,FALSE)</f>
        <v>0</v>
      </c>
      <c r="Y610" s="47">
        <f ca="1">VLOOKUP($C610,OFFSET(quests!$A$1,0,0,COUNTA(quests!$A:$A),MATCH(Y$2,quests!$1:$1,0)-MATCH($C$2,quests!$1:$1,0)+1),MATCH(Y$2,quests!$1:$1,0)-MATCH($C$2,quests!$1:$1,0)+1,FALSE)</f>
        <v>0</v>
      </c>
      <c r="Z610" s="47">
        <f ca="1">VLOOKUP($C610,OFFSET(quests!$A$1,0,0,COUNTA(quests!$A:$A),MATCH(Z$2,quests!$1:$1,0)-MATCH($C$2,quests!$1:$1,0)+1),MATCH(Z$2,quests!$1:$1,0)-MATCH($C$2,quests!$1:$1,0)+1,FALSE)</f>
        <v>0</v>
      </c>
      <c r="AA610" s="47">
        <f ca="1">VLOOKUP($C610,OFFSET(quests!$A$1,0,0,COUNTA(quests!$A:$A),MATCH(AA$2,quests!$1:$1,0)-MATCH($C$2,quests!$1:$1,0)+1),MATCH(AA$2,quests!$1:$1,0)-MATCH($C$2,quests!$1:$1,0)+1,FALSE)</f>
        <v>0</v>
      </c>
      <c r="AB610" s="7" t="s">
        <v>56</v>
      </c>
      <c r="AC610" s="7">
        <v>14</v>
      </c>
      <c r="AD610" s="7">
        <v>6</v>
      </c>
      <c r="AE610" s="7" t="s">
        <v>519</v>
      </c>
      <c r="AF610" s="33">
        <v>11</v>
      </c>
      <c r="AG610" s="7">
        <v>0</v>
      </c>
      <c r="AH610" s="7">
        <v>0</v>
      </c>
      <c r="AI610" s="7">
        <v>-1</v>
      </c>
      <c r="AJ610" s="7">
        <v>-1</v>
      </c>
      <c r="AK610" s="7" t="s">
        <v>1064</v>
      </c>
      <c r="AL610" s="12" t="s">
        <v>1695</v>
      </c>
      <c r="AM610" s="12" t="s">
        <v>2072</v>
      </c>
    </row>
    <row r="611" spans="1:39" ht="21" customHeight="1" x14ac:dyDescent="0.15">
      <c r="A611" s="42" t="str">
        <f t="shared" si="23"/>
        <v>30032_2</v>
      </c>
      <c r="B611" s="39">
        <v>3</v>
      </c>
      <c r="C611" s="31">
        <v>30032</v>
      </c>
      <c r="D611" s="47" t="str">
        <f ca="1">VLOOKUP($C611,OFFSET(quests!$A$1,0,0,COUNTA(quests!$A:$A),MATCH(D$1,quests!$1:$1,0)-MATCH($C$2,quests!$1:$1,0)+1),MATCH(D$1,quests!$1:$1,0)-MATCH($C$2,quests!$1:$1,0)+1,FALSE)</f>
        <v>赤き竜の制裁</v>
      </c>
      <c r="E611" s="48" t="str">
        <f ca="1">VLOOKUP($C611,OFFSET(quests!$A$1,0,0,COUNTA(quests!$A:$A),MATCH(E$2,quests!$1:$1,0)-MATCH($C$2,quests!$1:$1,0)+1),MATCH(E$2,quests!$1:$1,0)-MATCH($C$2,quests!$1:$1,0)+1,FALSE)</f>
        <v>円卓2（マルチ専用）</v>
      </c>
      <c r="F611" s="7">
        <v>2</v>
      </c>
      <c r="G611" s="7" t="s">
        <v>382</v>
      </c>
      <c r="H611" s="12" t="str">
        <f ca="1">"【上級】"&amp;D611</f>
        <v>【上級】赤き竜の制裁</v>
      </c>
      <c r="I611" s="12" t="s">
        <v>830</v>
      </c>
      <c r="J611" s="12">
        <v>767</v>
      </c>
      <c r="K611" s="194">
        <v>20</v>
      </c>
      <c r="L611" s="195">
        <v>2000</v>
      </c>
      <c r="M611" s="167">
        <v>1</v>
      </c>
      <c r="N611" s="167">
        <v>1</v>
      </c>
      <c r="O611" s="167">
        <v>1</v>
      </c>
      <c r="P611" s="167">
        <v>1</v>
      </c>
      <c r="Q611" s="167">
        <v>1</v>
      </c>
      <c r="R611" s="167">
        <v>3</v>
      </c>
      <c r="S611" s="167" t="s">
        <v>817</v>
      </c>
      <c r="T611" s="167">
        <v>0</v>
      </c>
      <c r="U611" s="7" t="s">
        <v>169</v>
      </c>
      <c r="V611" s="7" t="s">
        <v>169</v>
      </c>
      <c r="W611" s="47" t="str">
        <f t="shared" ca="1" si="24"/>
        <v/>
      </c>
      <c r="X611" s="47">
        <f ca="1">VLOOKUP($C611,OFFSET(quests!$A$1,0,0,COUNTA(quests!$A:$A),MATCH(X$2,quests!$1:$1,0)-MATCH($C$2,quests!$1:$1,0)+1),MATCH(X$2,quests!$1:$1,0)-MATCH($C$2,quests!$1:$1,0)+1,FALSE)</f>
        <v>0</v>
      </c>
      <c r="Y611" s="47">
        <f ca="1">VLOOKUP($C611,OFFSET(quests!$A$1,0,0,COUNTA(quests!$A:$A),MATCH(Y$2,quests!$1:$1,0)-MATCH($C$2,quests!$1:$1,0)+1),MATCH(Y$2,quests!$1:$1,0)-MATCH($C$2,quests!$1:$1,0)+1,FALSE)</f>
        <v>0</v>
      </c>
      <c r="Z611" s="47">
        <f ca="1">VLOOKUP($C611,OFFSET(quests!$A$1,0,0,COUNTA(quests!$A:$A),MATCH(Z$2,quests!$1:$1,0)-MATCH($C$2,quests!$1:$1,0)+1),MATCH(Z$2,quests!$1:$1,0)-MATCH($C$2,quests!$1:$1,0)+1,FALSE)</f>
        <v>0</v>
      </c>
      <c r="AA611" s="47">
        <f ca="1">VLOOKUP($C611,OFFSET(quests!$A$1,0,0,COUNTA(quests!$A:$A),MATCH(AA$2,quests!$1:$1,0)-MATCH($C$2,quests!$1:$1,0)+1),MATCH(AA$2,quests!$1:$1,0)-MATCH($C$2,quests!$1:$1,0)+1,FALSE)</f>
        <v>0</v>
      </c>
      <c r="AB611" s="7" t="s">
        <v>56</v>
      </c>
      <c r="AC611" s="7">
        <v>14</v>
      </c>
      <c r="AD611" s="7">
        <v>6</v>
      </c>
      <c r="AE611" s="7" t="s">
        <v>519</v>
      </c>
      <c r="AF611" s="33">
        <v>11</v>
      </c>
      <c r="AG611" s="7">
        <v>0</v>
      </c>
      <c r="AH611" s="7">
        <v>0</v>
      </c>
      <c r="AI611" s="7">
        <v>-1</v>
      </c>
      <c r="AJ611" s="7">
        <v>-1</v>
      </c>
      <c r="AK611" s="7" t="s">
        <v>1064</v>
      </c>
      <c r="AL611" s="12" t="s">
        <v>1695</v>
      </c>
      <c r="AM611" s="12" t="s">
        <v>2072</v>
      </c>
    </row>
    <row r="612" spans="1:39" ht="22" customHeight="1" x14ac:dyDescent="0.15">
      <c r="A612" s="42" t="str">
        <f t="shared" si="23"/>
        <v>30032_3</v>
      </c>
      <c r="B612" s="39">
        <v>3</v>
      </c>
      <c r="C612" s="31">
        <v>30032</v>
      </c>
      <c r="D612" s="47" t="str">
        <f ca="1">VLOOKUP($C612,OFFSET(quests!$A$1,0,0,COUNTA(quests!$A:$A),MATCH(D$1,quests!$1:$1,0)-MATCH($C$2,quests!$1:$1,0)+1),MATCH(D$1,quests!$1:$1,0)-MATCH($C$2,quests!$1:$1,0)+1,FALSE)</f>
        <v>赤き竜の制裁</v>
      </c>
      <c r="E612" s="48" t="str">
        <f ca="1">VLOOKUP($C612,OFFSET(quests!$A$1,0,0,COUNTA(quests!$A:$A),MATCH(E$2,quests!$1:$1,0)-MATCH($C$2,quests!$1:$1,0)+1),MATCH(E$2,quests!$1:$1,0)-MATCH($C$2,quests!$1:$1,0)+1,FALSE)</f>
        <v>円卓2（マルチ専用）</v>
      </c>
      <c r="F612" s="7">
        <v>3</v>
      </c>
      <c r="G612" s="7" t="s">
        <v>382</v>
      </c>
      <c r="H612" s="12" t="str">
        <f ca="1">"【超級】"&amp;D612</f>
        <v>【超級】赤き竜の制裁</v>
      </c>
      <c r="I612" s="12" t="s">
        <v>832</v>
      </c>
      <c r="J612" s="12">
        <v>767</v>
      </c>
      <c r="K612" s="194">
        <v>30</v>
      </c>
      <c r="L612" s="195">
        <v>3300</v>
      </c>
      <c r="M612" s="167">
        <v>1</v>
      </c>
      <c r="N612" s="167">
        <v>1</v>
      </c>
      <c r="O612" s="167">
        <v>1</v>
      </c>
      <c r="P612" s="167">
        <v>1</v>
      </c>
      <c r="Q612" s="167">
        <v>1</v>
      </c>
      <c r="R612" s="167">
        <v>3</v>
      </c>
      <c r="S612" s="167" t="s">
        <v>278</v>
      </c>
      <c r="T612" s="167">
        <v>1</v>
      </c>
      <c r="U612" s="7" t="s">
        <v>169</v>
      </c>
      <c r="V612" s="7" t="s">
        <v>169</v>
      </c>
      <c r="W612" s="47" t="str">
        <f t="shared" ca="1" si="24"/>
        <v/>
      </c>
      <c r="X612" s="47">
        <f ca="1">VLOOKUP($C612,OFFSET(quests!$A$1,0,0,COUNTA(quests!$A:$A),MATCH(X$2,quests!$1:$1,0)-MATCH($C$2,quests!$1:$1,0)+1),MATCH(X$2,quests!$1:$1,0)-MATCH($C$2,quests!$1:$1,0)+1,FALSE)</f>
        <v>0</v>
      </c>
      <c r="Y612" s="47">
        <f ca="1">VLOOKUP($C612,OFFSET(quests!$A$1,0,0,COUNTA(quests!$A:$A),MATCH(Y$2,quests!$1:$1,0)-MATCH($C$2,quests!$1:$1,0)+1),MATCH(Y$2,quests!$1:$1,0)-MATCH($C$2,quests!$1:$1,0)+1,FALSE)</f>
        <v>0</v>
      </c>
      <c r="Z612" s="47">
        <f ca="1">VLOOKUP($C612,OFFSET(quests!$A$1,0,0,COUNTA(quests!$A:$A),MATCH(Z$2,quests!$1:$1,0)-MATCH($C$2,quests!$1:$1,0)+1),MATCH(Z$2,quests!$1:$1,0)-MATCH($C$2,quests!$1:$1,0)+1,FALSE)</f>
        <v>0</v>
      </c>
      <c r="AA612" s="47">
        <f ca="1">VLOOKUP($C612,OFFSET(quests!$A$1,0,0,COUNTA(quests!$A:$A),MATCH(AA$2,quests!$1:$1,0)-MATCH($C$2,quests!$1:$1,0)+1),MATCH(AA$2,quests!$1:$1,0)-MATCH($C$2,quests!$1:$1,0)+1,FALSE)</f>
        <v>0</v>
      </c>
      <c r="AB612" s="7" t="s">
        <v>56</v>
      </c>
      <c r="AC612" s="7">
        <v>14</v>
      </c>
      <c r="AD612" s="7">
        <v>6</v>
      </c>
      <c r="AE612" s="7" t="s">
        <v>519</v>
      </c>
      <c r="AF612" s="33">
        <v>11</v>
      </c>
      <c r="AG612" s="7">
        <v>0</v>
      </c>
      <c r="AH612" s="7">
        <v>0</v>
      </c>
      <c r="AI612" s="7">
        <v>-1</v>
      </c>
      <c r="AJ612" s="7">
        <v>-1</v>
      </c>
      <c r="AK612" s="7" t="s">
        <v>1065</v>
      </c>
      <c r="AL612" s="12" t="s">
        <v>1695</v>
      </c>
      <c r="AM612" s="12" t="s">
        <v>2072</v>
      </c>
    </row>
    <row r="613" spans="1:39" ht="21" customHeight="1" x14ac:dyDescent="0.15">
      <c r="A613" s="42" t="str">
        <f t="shared" si="23"/>
        <v>30033_1</v>
      </c>
      <c r="B613" s="23">
        <v>3</v>
      </c>
      <c r="C613" s="31">
        <v>30033</v>
      </c>
      <c r="D613" s="47" t="str">
        <f ca="1">VLOOKUP($C613,OFFSET(quests!$A$1,0,0,COUNTA(quests!$A:$A),MATCH(D$1,quests!$1:$1,0)-MATCH($C$2,quests!$1:$1,0)+1),MATCH(D$1,quests!$1:$1,0)-MATCH($C$2,quests!$1:$1,0)+1,FALSE)</f>
        <v>御館様の懐刀</v>
      </c>
      <c r="E613" s="48" t="str">
        <f ca="1">VLOOKUP($C613,OFFSET(quests!$A$1,0,0,COUNTA(quests!$A:$A),MATCH(E$2,quests!$1:$1,0)-MATCH($C$2,quests!$1:$1,0)+1),MATCH(E$2,quests!$1:$1,0)-MATCH($C$2,quests!$1:$1,0)+1,FALSE)</f>
        <v>戦国１</v>
      </c>
      <c r="F613" s="7">
        <v>1</v>
      </c>
      <c r="G613" s="7" t="s">
        <v>382</v>
      </c>
      <c r="H613" s="12" t="s">
        <v>1078</v>
      </c>
      <c r="I613" s="12" t="s">
        <v>831</v>
      </c>
      <c r="J613" s="12">
        <v>722</v>
      </c>
      <c r="K613" s="192">
        <v>15</v>
      </c>
      <c r="L613" s="193">
        <v>1200</v>
      </c>
      <c r="M613" s="167">
        <v>1</v>
      </c>
      <c r="N613" s="167">
        <v>1</v>
      </c>
      <c r="O613" s="167">
        <v>1</v>
      </c>
      <c r="P613" s="167">
        <v>1</v>
      </c>
      <c r="Q613" s="167">
        <v>1</v>
      </c>
      <c r="R613" s="167">
        <v>3</v>
      </c>
      <c r="S613" s="167" t="s">
        <v>811</v>
      </c>
      <c r="T613" s="167">
        <v>0</v>
      </c>
      <c r="U613" s="7" t="s">
        <v>169</v>
      </c>
      <c r="V613" s="7" t="s">
        <v>169</v>
      </c>
      <c r="W613" s="47" t="str">
        <f t="shared" ca="1" si="24"/>
        <v/>
      </c>
      <c r="X613" s="47">
        <f ca="1">VLOOKUP($C613,OFFSET(quests!$A$1,0,0,COUNTA(quests!$A:$A),MATCH(X$2,quests!$1:$1,0)-MATCH($C$2,quests!$1:$1,0)+1),MATCH(X$2,quests!$1:$1,0)-MATCH($C$2,quests!$1:$1,0)+1,FALSE)</f>
        <v>0</v>
      </c>
      <c r="Y613" s="47">
        <f ca="1">VLOOKUP($C613,OFFSET(quests!$A$1,0,0,COUNTA(quests!$A:$A),MATCH(Y$2,quests!$1:$1,0)-MATCH($C$2,quests!$1:$1,0)+1),MATCH(Y$2,quests!$1:$1,0)-MATCH($C$2,quests!$1:$1,0)+1,FALSE)</f>
        <v>0</v>
      </c>
      <c r="Z613" s="47">
        <f ca="1">VLOOKUP($C613,OFFSET(quests!$A$1,0,0,COUNTA(quests!$A:$A),MATCH(Z$2,quests!$1:$1,0)-MATCH($C$2,quests!$1:$1,0)+1),MATCH(Z$2,quests!$1:$1,0)-MATCH($C$2,quests!$1:$1,0)+1,FALSE)</f>
        <v>0</v>
      </c>
      <c r="AA613" s="47">
        <f ca="1">VLOOKUP($C613,OFFSET(quests!$A$1,0,0,COUNTA(quests!$A:$A),MATCH(AA$2,quests!$1:$1,0)-MATCH($C$2,quests!$1:$1,0)+1),MATCH(AA$2,quests!$1:$1,0)-MATCH($C$2,quests!$1:$1,0)+1,FALSE)</f>
        <v>0</v>
      </c>
      <c r="AB613" s="7" t="s">
        <v>56</v>
      </c>
      <c r="AC613" s="7">
        <v>2</v>
      </c>
      <c r="AD613" s="7">
        <v>6</v>
      </c>
      <c r="AE613" s="7" t="s">
        <v>519</v>
      </c>
      <c r="AF613" s="33">
        <v>11</v>
      </c>
      <c r="AG613" s="7">
        <v>0</v>
      </c>
      <c r="AH613" s="7">
        <v>0</v>
      </c>
      <c r="AI613" s="7">
        <v>-1</v>
      </c>
      <c r="AJ613" s="7">
        <v>-1</v>
      </c>
      <c r="AK613" s="7" t="s">
        <v>1064</v>
      </c>
      <c r="AL613" s="12" t="s">
        <v>1695</v>
      </c>
      <c r="AM613" s="12" t="s">
        <v>2072</v>
      </c>
    </row>
    <row r="614" spans="1:39" ht="21" customHeight="1" x14ac:dyDescent="0.15">
      <c r="A614" s="42" t="str">
        <f t="shared" si="23"/>
        <v>30033_2</v>
      </c>
      <c r="B614" s="23">
        <v>3</v>
      </c>
      <c r="C614" s="31">
        <v>30033</v>
      </c>
      <c r="D614" s="47" t="str">
        <f ca="1">VLOOKUP($C614,OFFSET(quests!$A$1,0,0,COUNTA(quests!$A:$A),MATCH(D$1,quests!$1:$1,0)-MATCH($C$2,quests!$1:$1,0)+1),MATCH(D$1,quests!$1:$1,0)-MATCH($C$2,quests!$1:$1,0)+1,FALSE)</f>
        <v>御館様の懐刀</v>
      </c>
      <c r="E614" s="48" t="str">
        <f ca="1">VLOOKUP($C614,OFFSET(quests!$A$1,0,0,COUNTA(quests!$A:$A),MATCH(E$2,quests!$1:$1,0)-MATCH($C$2,quests!$1:$1,0)+1),MATCH(E$2,quests!$1:$1,0)-MATCH($C$2,quests!$1:$1,0)+1,FALSE)</f>
        <v>戦国１</v>
      </c>
      <c r="F614" s="7">
        <v>2</v>
      </c>
      <c r="G614" s="7" t="s">
        <v>382</v>
      </c>
      <c r="H614" s="12" t="s">
        <v>1079</v>
      </c>
      <c r="I614" s="12" t="s">
        <v>830</v>
      </c>
      <c r="J614" s="12">
        <v>722</v>
      </c>
      <c r="K614" s="194">
        <v>20</v>
      </c>
      <c r="L614" s="195">
        <v>2000</v>
      </c>
      <c r="M614" s="167">
        <v>1</v>
      </c>
      <c r="N614" s="167">
        <v>1</v>
      </c>
      <c r="O614" s="167">
        <v>1</v>
      </c>
      <c r="P614" s="167">
        <v>1</v>
      </c>
      <c r="Q614" s="167">
        <v>1</v>
      </c>
      <c r="R614" s="167">
        <v>3</v>
      </c>
      <c r="S614" s="167" t="s">
        <v>811</v>
      </c>
      <c r="T614" s="167">
        <v>0</v>
      </c>
      <c r="U614" s="7" t="s">
        <v>169</v>
      </c>
      <c r="V614" s="7" t="s">
        <v>169</v>
      </c>
      <c r="W614" s="47" t="str">
        <f t="shared" ca="1" si="24"/>
        <v/>
      </c>
      <c r="X614" s="47">
        <f ca="1">VLOOKUP($C614,OFFSET(quests!$A$1,0,0,COUNTA(quests!$A:$A),MATCH(X$2,quests!$1:$1,0)-MATCH($C$2,quests!$1:$1,0)+1),MATCH(X$2,quests!$1:$1,0)-MATCH($C$2,quests!$1:$1,0)+1,FALSE)</f>
        <v>0</v>
      </c>
      <c r="Y614" s="47">
        <f ca="1">VLOOKUP($C614,OFFSET(quests!$A$1,0,0,COUNTA(quests!$A:$A),MATCH(Y$2,quests!$1:$1,0)-MATCH($C$2,quests!$1:$1,0)+1),MATCH(Y$2,quests!$1:$1,0)-MATCH($C$2,quests!$1:$1,0)+1,FALSE)</f>
        <v>0</v>
      </c>
      <c r="Z614" s="47">
        <f ca="1">VLOOKUP($C614,OFFSET(quests!$A$1,0,0,COUNTA(quests!$A:$A),MATCH(Z$2,quests!$1:$1,0)-MATCH($C$2,quests!$1:$1,0)+1),MATCH(Z$2,quests!$1:$1,0)-MATCH($C$2,quests!$1:$1,0)+1,FALSE)</f>
        <v>0</v>
      </c>
      <c r="AA614" s="47">
        <f ca="1">VLOOKUP($C614,OFFSET(quests!$A$1,0,0,COUNTA(quests!$A:$A),MATCH(AA$2,quests!$1:$1,0)-MATCH($C$2,quests!$1:$1,0)+1),MATCH(AA$2,quests!$1:$1,0)-MATCH($C$2,quests!$1:$1,0)+1,FALSE)</f>
        <v>0</v>
      </c>
      <c r="AB614" s="7" t="s">
        <v>56</v>
      </c>
      <c r="AC614" s="7">
        <v>2</v>
      </c>
      <c r="AD614" s="7">
        <v>6</v>
      </c>
      <c r="AE614" s="7" t="s">
        <v>519</v>
      </c>
      <c r="AF614" s="33">
        <v>11</v>
      </c>
      <c r="AG614" s="7">
        <v>0</v>
      </c>
      <c r="AH614" s="7">
        <v>0</v>
      </c>
      <c r="AI614" s="7">
        <v>-1</v>
      </c>
      <c r="AJ614" s="7">
        <v>-1</v>
      </c>
      <c r="AK614" s="7" t="s">
        <v>1064</v>
      </c>
      <c r="AL614" s="12" t="s">
        <v>1695</v>
      </c>
      <c r="AM614" s="12" t="s">
        <v>2072</v>
      </c>
    </row>
    <row r="615" spans="1:39" ht="22" customHeight="1" x14ac:dyDescent="0.15">
      <c r="A615" s="42" t="str">
        <f t="shared" si="23"/>
        <v>30033_3</v>
      </c>
      <c r="B615" s="23">
        <v>3</v>
      </c>
      <c r="C615" s="31">
        <v>30033</v>
      </c>
      <c r="D615" s="47" t="str">
        <f ca="1">VLOOKUP($C615,OFFSET(quests!$A$1,0,0,COUNTA(quests!$A:$A),MATCH(D$1,quests!$1:$1,0)-MATCH($C$2,quests!$1:$1,0)+1),MATCH(D$1,quests!$1:$1,0)-MATCH($C$2,quests!$1:$1,0)+1,FALSE)</f>
        <v>御館様の懐刀</v>
      </c>
      <c r="E615" s="48" t="str">
        <f ca="1">VLOOKUP($C615,OFFSET(quests!$A$1,0,0,COUNTA(quests!$A:$A),MATCH(E$2,quests!$1:$1,0)-MATCH($C$2,quests!$1:$1,0)+1),MATCH(E$2,quests!$1:$1,0)-MATCH($C$2,quests!$1:$1,0)+1,FALSE)</f>
        <v>戦国１</v>
      </c>
      <c r="F615" s="7">
        <v>3</v>
      </c>
      <c r="G615" s="7" t="s">
        <v>382</v>
      </c>
      <c r="H615" s="12" t="s">
        <v>1080</v>
      </c>
      <c r="I615" s="12" t="s">
        <v>832</v>
      </c>
      <c r="J615" s="12">
        <v>723</v>
      </c>
      <c r="K615" s="194">
        <v>30</v>
      </c>
      <c r="L615" s="195">
        <v>3300</v>
      </c>
      <c r="M615" s="167">
        <v>1</v>
      </c>
      <c r="N615" s="167">
        <v>1</v>
      </c>
      <c r="O615" s="167">
        <v>1</v>
      </c>
      <c r="P615" s="167">
        <v>1</v>
      </c>
      <c r="Q615" s="167">
        <v>1</v>
      </c>
      <c r="R615" s="167">
        <v>3</v>
      </c>
      <c r="S615" s="167" t="s">
        <v>278</v>
      </c>
      <c r="T615" s="167">
        <v>1</v>
      </c>
      <c r="U615" s="7" t="s">
        <v>169</v>
      </c>
      <c r="V615" s="7" t="s">
        <v>169</v>
      </c>
      <c r="W615" s="47" t="str">
        <f t="shared" ca="1" si="24"/>
        <v/>
      </c>
      <c r="X615" s="47">
        <f ca="1">VLOOKUP($C615,OFFSET(quests!$A$1,0,0,COUNTA(quests!$A:$A),MATCH(X$2,quests!$1:$1,0)-MATCH($C$2,quests!$1:$1,0)+1),MATCH(X$2,quests!$1:$1,0)-MATCH($C$2,quests!$1:$1,0)+1,FALSE)</f>
        <v>0</v>
      </c>
      <c r="Y615" s="47">
        <f ca="1">VLOOKUP($C615,OFFSET(quests!$A$1,0,0,COUNTA(quests!$A:$A),MATCH(Y$2,quests!$1:$1,0)-MATCH($C$2,quests!$1:$1,0)+1),MATCH(Y$2,quests!$1:$1,0)-MATCH($C$2,quests!$1:$1,0)+1,FALSE)</f>
        <v>0</v>
      </c>
      <c r="Z615" s="47">
        <f ca="1">VLOOKUP($C615,OFFSET(quests!$A$1,0,0,COUNTA(quests!$A:$A),MATCH(Z$2,quests!$1:$1,0)-MATCH($C$2,quests!$1:$1,0)+1),MATCH(Z$2,quests!$1:$1,0)-MATCH($C$2,quests!$1:$1,0)+1,FALSE)</f>
        <v>0</v>
      </c>
      <c r="AA615" s="47">
        <f ca="1">VLOOKUP($C615,OFFSET(quests!$A$1,0,0,COUNTA(quests!$A:$A),MATCH(AA$2,quests!$1:$1,0)-MATCH($C$2,quests!$1:$1,0)+1),MATCH(AA$2,quests!$1:$1,0)-MATCH($C$2,quests!$1:$1,0)+1,FALSE)</f>
        <v>0</v>
      </c>
      <c r="AB615" s="7" t="s">
        <v>56</v>
      </c>
      <c r="AC615" s="7">
        <v>2</v>
      </c>
      <c r="AD615" s="7">
        <v>6</v>
      </c>
      <c r="AE615" s="7" t="s">
        <v>519</v>
      </c>
      <c r="AF615" s="33">
        <v>11</v>
      </c>
      <c r="AG615" s="7">
        <v>0</v>
      </c>
      <c r="AH615" s="7">
        <v>0</v>
      </c>
      <c r="AI615" s="7">
        <v>-1</v>
      </c>
      <c r="AJ615" s="7">
        <v>-1</v>
      </c>
      <c r="AK615" s="7" t="s">
        <v>1065</v>
      </c>
      <c r="AL615" s="12" t="s">
        <v>1695</v>
      </c>
      <c r="AM615" s="12" t="s">
        <v>2072</v>
      </c>
    </row>
    <row r="616" spans="1:39" ht="21" customHeight="1" x14ac:dyDescent="0.15">
      <c r="A616" s="42" t="str">
        <f t="shared" si="23"/>
        <v>30034_1</v>
      </c>
      <c r="B616" s="23">
        <v>3</v>
      </c>
      <c r="C616" s="31">
        <v>30034</v>
      </c>
      <c r="D616" s="47" t="str">
        <f ca="1">VLOOKUP($C616,OFFSET(quests!$A$1,0,0,COUNTA(quests!$A:$A),MATCH(D$1,quests!$1:$1,0)-MATCH($C$2,quests!$1:$1,0)+1),MATCH(D$1,quests!$1:$1,0)-MATCH($C$2,quests!$1:$1,0)+1,FALSE)</f>
        <v>孤高の焔翼</v>
      </c>
      <c r="E616" s="48" t="str">
        <f ca="1">VLOOKUP($C616,OFFSET(quests!$A$1,0,0,COUNTA(quests!$A:$A),MATCH(E$2,quests!$1:$1,0)-MATCH($C$2,quests!$1:$1,0)+1),MATCH(E$2,quests!$1:$1,0)-MATCH($C$2,quests!$1:$1,0)+1,FALSE)</f>
        <v>天使と悪魔</v>
      </c>
      <c r="F616" s="7">
        <v>1</v>
      </c>
      <c r="G616" s="7" t="s">
        <v>570</v>
      </c>
      <c r="H616" s="82" t="s">
        <v>1200</v>
      </c>
      <c r="I616" s="12" t="s">
        <v>831</v>
      </c>
      <c r="J616" s="12">
        <v>840</v>
      </c>
      <c r="K616" s="192">
        <v>15</v>
      </c>
      <c r="L616" s="193">
        <v>1200</v>
      </c>
      <c r="M616" s="167">
        <v>1</v>
      </c>
      <c r="N616" s="167">
        <v>1</v>
      </c>
      <c r="O616" s="167">
        <v>1</v>
      </c>
      <c r="P616" s="167">
        <v>1</v>
      </c>
      <c r="Q616" s="167">
        <v>1</v>
      </c>
      <c r="R616" s="167">
        <v>3</v>
      </c>
      <c r="S616" s="167" t="s">
        <v>79</v>
      </c>
      <c r="T616" s="167">
        <v>0</v>
      </c>
      <c r="U616" s="7" t="s">
        <v>169</v>
      </c>
      <c r="V616" s="7" t="s">
        <v>169</v>
      </c>
      <c r="W616" s="47" t="str">
        <f t="shared" ca="1" si="24"/>
        <v/>
      </c>
      <c r="X616" s="47">
        <f ca="1">VLOOKUP($C616,OFFSET(quests!$A$1,0,0,COUNTA(quests!$A:$A),MATCH(X$2,quests!$1:$1,0)-MATCH($C$2,quests!$1:$1,0)+1),MATCH(X$2,quests!$1:$1,0)-MATCH($C$2,quests!$1:$1,0)+1,FALSE)</f>
        <v>0</v>
      </c>
      <c r="Y616" s="47">
        <f ca="1">VLOOKUP($C616,OFFSET(quests!$A$1,0,0,COUNTA(quests!$A:$A),MATCH(Y$2,quests!$1:$1,0)-MATCH($C$2,quests!$1:$1,0)+1),MATCH(Y$2,quests!$1:$1,0)-MATCH($C$2,quests!$1:$1,0)+1,FALSE)</f>
        <v>0</v>
      </c>
      <c r="Z616" s="47">
        <f ca="1">VLOOKUP($C616,OFFSET(quests!$A$1,0,0,COUNTA(quests!$A:$A),MATCH(Z$2,quests!$1:$1,0)-MATCH($C$2,quests!$1:$1,0)+1),MATCH(Z$2,quests!$1:$1,0)-MATCH($C$2,quests!$1:$1,0)+1,FALSE)</f>
        <v>0</v>
      </c>
      <c r="AA616" s="47">
        <f ca="1">VLOOKUP($C616,OFFSET(quests!$A$1,0,0,COUNTA(quests!$A:$A),MATCH(AA$2,quests!$1:$1,0)-MATCH($C$2,quests!$1:$1,0)+1),MATCH(AA$2,quests!$1:$1,0)-MATCH($C$2,quests!$1:$1,0)+1,FALSE)</f>
        <v>0</v>
      </c>
      <c r="AB616" s="7" t="s">
        <v>56</v>
      </c>
      <c r="AC616" s="7">
        <v>10</v>
      </c>
      <c r="AD616" s="7">
        <v>6</v>
      </c>
      <c r="AE616" s="7" t="s">
        <v>519</v>
      </c>
      <c r="AF616" s="33">
        <v>11</v>
      </c>
      <c r="AG616" s="7">
        <v>0</v>
      </c>
      <c r="AH616" s="7">
        <v>0</v>
      </c>
      <c r="AI616" s="7">
        <v>-1</v>
      </c>
      <c r="AJ616" s="7">
        <v>-1</v>
      </c>
      <c r="AK616" s="7" t="s">
        <v>1064</v>
      </c>
      <c r="AL616" s="12" t="s">
        <v>1695</v>
      </c>
      <c r="AM616" s="12" t="s">
        <v>2072</v>
      </c>
    </row>
    <row r="617" spans="1:39" ht="21" customHeight="1" x14ac:dyDescent="0.15">
      <c r="A617" s="42" t="str">
        <f t="shared" si="23"/>
        <v>30034_2</v>
      </c>
      <c r="B617" s="23">
        <v>3</v>
      </c>
      <c r="C617" s="31">
        <v>30034</v>
      </c>
      <c r="D617" s="47" t="str">
        <f ca="1">VLOOKUP($C617,OFFSET(quests!$A$1,0,0,COUNTA(quests!$A:$A),MATCH(D$1,quests!$1:$1,0)-MATCH($C$2,quests!$1:$1,0)+1),MATCH(D$1,quests!$1:$1,0)-MATCH($C$2,quests!$1:$1,0)+1,FALSE)</f>
        <v>孤高の焔翼</v>
      </c>
      <c r="E617" s="48" t="str">
        <f ca="1">VLOOKUP($C617,OFFSET(quests!$A$1,0,0,COUNTA(quests!$A:$A),MATCH(E$2,quests!$1:$1,0)-MATCH($C$2,quests!$1:$1,0)+1),MATCH(E$2,quests!$1:$1,0)-MATCH($C$2,quests!$1:$1,0)+1,FALSE)</f>
        <v>天使と悪魔</v>
      </c>
      <c r="F617" s="7">
        <v>2</v>
      </c>
      <c r="G617" s="7" t="s">
        <v>570</v>
      </c>
      <c r="H617" s="82" t="s">
        <v>1201</v>
      </c>
      <c r="I617" s="12" t="s">
        <v>830</v>
      </c>
      <c r="J617" s="12">
        <v>840</v>
      </c>
      <c r="K617" s="194">
        <v>20</v>
      </c>
      <c r="L617" s="195">
        <v>2000</v>
      </c>
      <c r="M617" s="167">
        <v>1</v>
      </c>
      <c r="N617" s="167">
        <v>1</v>
      </c>
      <c r="O617" s="167">
        <v>1</v>
      </c>
      <c r="P617" s="167">
        <v>1</v>
      </c>
      <c r="Q617" s="167">
        <v>1</v>
      </c>
      <c r="R617" s="167">
        <v>3</v>
      </c>
      <c r="S617" s="167" t="s">
        <v>79</v>
      </c>
      <c r="T617" s="167">
        <v>0</v>
      </c>
      <c r="U617" s="7" t="s">
        <v>169</v>
      </c>
      <c r="V617" s="7" t="s">
        <v>169</v>
      </c>
      <c r="W617" s="47" t="str">
        <f t="shared" ca="1" si="24"/>
        <v/>
      </c>
      <c r="X617" s="47">
        <f ca="1">VLOOKUP($C617,OFFSET(quests!$A$1,0,0,COUNTA(quests!$A:$A),MATCH(X$2,quests!$1:$1,0)-MATCH($C$2,quests!$1:$1,0)+1),MATCH(X$2,quests!$1:$1,0)-MATCH($C$2,quests!$1:$1,0)+1,FALSE)</f>
        <v>0</v>
      </c>
      <c r="Y617" s="47">
        <f ca="1">VLOOKUP($C617,OFFSET(quests!$A$1,0,0,COUNTA(quests!$A:$A),MATCH(Y$2,quests!$1:$1,0)-MATCH($C$2,quests!$1:$1,0)+1),MATCH(Y$2,quests!$1:$1,0)-MATCH($C$2,quests!$1:$1,0)+1,FALSE)</f>
        <v>0</v>
      </c>
      <c r="Z617" s="47">
        <f ca="1">VLOOKUP($C617,OFFSET(quests!$A$1,0,0,COUNTA(quests!$A:$A),MATCH(Z$2,quests!$1:$1,0)-MATCH($C$2,quests!$1:$1,0)+1),MATCH(Z$2,quests!$1:$1,0)-MATCH($C$2,quests!$1:$1,0)+1,FALSE)</f>
        <v>0</v>
      </c>
      <c r="AA617" s="47">
        <f ca="1">VLOOKUP($C617,OFFSET(quests!$A$1,0,0,COUNTA(quests!$A:$A),MATCH(AA$2,quests!$1:$1,0)-MATCH($C$2,quests!$1:$1,0)+1),MATCH(AA$2,quests!$1:$1,0)-MATCH($C$2,quests!$1:$1,0)+1,FALSE)</f>
        <v>0</v>
      </c>
      <c r="AB617" s="7" t="s">
        <v>56</v>
      </c>
      <c r="AC617" s="7">
        <v>10</v>
      </c>
      <c r="AD617" s="7">
        <v>6</v>
      </c>
      <c r="AE617" s="7" t="s">
        <v>519</v>
      </c>
      <c r="AF617" s="33">
        <v>11</v>
      </c>
      <c r="AG617" s="7">
        <v>0</v>
      </c>
      <c r="AH617" s="7">
        <v>0</v>
      </c>
      <c r="AI617" s="7">
        <v>-1</v>
      </c>
      <c r="AJ617" s="7">
        <v>-1</v>
      </c>
      <c r="AK617" s="7" t="s">
        <v>1064</v>
      </c>
      <c r="AL617" s="12" t="s">
        <v>1695</v>
      </c>
      <c r="AM617" s="12" t="s">
        <v>2072</v>
      </c>
    </row>
    <row r="618" spans="1:39" ht="22" customHeight="1" x14ac:dyDescent="0.15">
      <c r="A618" s="42" t="str">
        <f t="shared" si="23"/>
        <v>30034_3</v>
      </c>
      <c r="B618" s="23">
        <v>3</v>
      </c>
      <c r="C618" s="31">
        <v>30034</v>
      </c>
      <c r="D618" s="47" t="str">
        <f ca="1">VLOOKUP($C618,OFFSET(quests!$A$1,0,0,COUNTA(quests!$A:$A),MATCH(D$1,quests!$1:$1,0)-MATCH($C$2,quests!$1:$1,0)+1),MATCH(D$1,quests!$1:$1,0)-MATCH($C$2,quests!$1:$1,0)+1,FALSE)</f>
        <v>孤高の焔翼</v>
      </c>
      <c r="E618" s="48" t="str">
        <f ca="1">VLOOKUP($C618,OFFSET(quests!$A$1,0,0,COUNTA(quests!$A:$A),MATCH(E$2,quests!$1:$1,0)-MATCH($C$2,quests!$1:$1,0)+1),MATCH(E$2,quests!$1:$1,0)-MATCH($C$2,quests!$1:$1,0)+1,FALSE)</f>
        <v>天使と悪魔</v>
      </c>
      <c r="F618" s="7">
        <v>3</v>
      </c>
      <c r="G618" s="7" t="s">
        <v>570</v>
      </c>
      <c r="H618" s="82" t="s">
        <v>1202</v>
      </c>
      <c r="I618" s="12" t="s">
        <v>832</v>
      </c>
      <c r="J618" s="12">
        <v>841</v>
      </c>
      <c r="K618" s="194">
        <v>30</v>
      </c>
      <c r="L618" s="195">
        <v>3300</v>
      </c>
      <c r="M618" s="167">
        <v>1</v>
      </c>
      <c r="N618" s="167">
        <v>1</v>
      </c>
      <c r="O618" s="167">
        <v>1</v>
      </c>
      <c r="P618" s="167">
        <v>1</v>
      </c>
      <c r="Q618" s="167">
        <v>1</v>
      </c>
      <c r="R618" s="167">
        <v>3</v>
      </c>
      <c r="S618" s="167" t="s">
        <v>527</v>
      </c>
      <c r="T618" s="167">
        <v>1</v>
      </c>
      <c r="U618" s="7" t="s">
        <v>169</v>
      </c>
      <c r="V618" s="7" t="s">
        <v>169</v>
      </c>
      <c r="W618" s="47" t="str">
        <f t="shared" ca="1" si="24"/>
        <v/>
      </c>
      <c r="X618" s="47">
        <f ca="1">VLOOKUP($C618,OFFSET(quests!$A$1,0,0,COUNTA(quests!$A:$A),MATCH(X$2,quests!$1:$1,0)-MATCH($C$2,quests!$1:$1,0)+1),MATCH(X$2,quests!$1:$1,0)-MATCH($C$2,quests!$1:$1,0)+1,FALSE)</f>
        <v>0</v>
      </c>
      <c r="Y618" s="47">
        <f ca="1">VLOOKUP($C618,OFFSET(quests!$A$1,0,0,COUNTA(quests!$A:$A),MATCH(Y$2,quests!$1:$1,0)-MATCH($C$2,quests!$1:$1,0)+1),MATCH(Y$2,quests!$1:$1,0)-MATCH($C$2,quests!$1:$1,0)+1,FALSE)</f>
        <v>0</v>
      </c>
      <c r="Z618" s="47">
        <f ca="1">VLOOKUP($C618,OFFSET(quests!$A$1,0,0,COUNTA(quests!$A:$A),MATCH(Z$2,quests!$1:$1,0)-MATCH($C$2,quests!$1:$1,0)+1),MATCH(Z$2,quests!$1:$1,0)-MATCH($C$2,quests!$1:$1,0)+1,FALSE)</f>
        <v>0</v>
      </c>
      <c r="AA618" s="47">
        <f ca="1">VLOOKUP($C618,OFFSET(quests!$A$1,0,0,COUNTA(quests!$A:$A),MATCH(AA$2,quests!$1:$1,0)-MATCH($C$2,quests!$1:$1,0)+1),MATCH(AA$2,quests!$1:$1,0)-MATCH($C$2,quests!$1:$1,0)+1,FALSE)</f>
        <v>0</v>
      </c>
      <c r="AB618" s="7" t="s">
        <v>56</v>
      </c>
      <c r="AC618" s="7">
        <v>10</v>
      </c>
      <c r="AD618" s="7">
        <v>6</v>
      </c>
      <c r="AE618" s="7" t="s">
        <v>519</v>
      </c>
      <c r="AF618" s="33">
        <v>11</v>
      </c>
      <c r="AG618" s="7">
        <v>0</v>
      </c>
      <c r="AH618" s="7">
        <v>0</v>
      </c>
      <c r="AI618" s="7">
        <v>-1</v>
      </c>
      <c r="AJ618" s="7">
        <v>-1</v>
      </c>
      <c r="AK618" s="7" t="s">
        <v>1065</v>
      </c>
      <c r="AL618" s="12" t="s">
        <v>1695</v>
      </c>
      <c r="AM618" s="12" t="s">
        <v>2072</v>
      </c>
    </row>
    <row r="619" spans="1:39" ht="21" customHeight="1" x14ac:dyDescent="0.15">
      <c r="A619" s="42" t="str">
        <f t="shared" si="23"/>
        <v>30035_1</v>
      </c>
      <c r="B619" s="23">
        <v>3</v>
      </c>
      <c r="C619" s="31">
        <v>30035</v>
      </c>
      <c r="D619" s="47" t="str">
        <f ca="1">VLOOKUP($C619,OFFSET(quests!$A$1,0,0,COUNTA(quests!$A:$A),MATCH(D$1,quests!$1:$1,0)-MATCH($C$2,quests!$1:$1,0)+1),MATCH(D$1,quests!$1:$1,0)-MATCH($C$2,quests!$1:$1,0)+1,FALSE)</f>
        <v>大鯨の呼び声</v>
      </c>
      <c r="E619" s="48" t="str">
        <f ca="1">VLOOKUP($C619,OFFSET(quests!$A$1,0,0,COUNTA(quests!$A:$A),MATCH(E$2,quests!$1:$1,0)-MATCH($C$2,quests!$1:$1,0)+1),MATCH(E$2,quests!$1:$1,0)-MATCH($C$2,quests!$1:$1,0)+1,FALSE)</f>
        <v>童話シリーズ3本目</v>
      </c>
      <c r="F619" s="7">
        <v>1</v>
      </c>
      <c r="G619" s="7" t="s">
        <v>570</v>
      </c>
      <c r="H619" s="82" t="s">
        <v>1206</v>
      </c>
      <c r="I619" s="12" t="s">
        <v>831</v>
      </c>
      <c r="J619" s="12">
        <v>858</v>
      </c>
      <c r="K619" s="192">
        <v>15</v>
      </c>
      <c r="L619" s="193">
        <v>1200</v>
      </c>
      <c r="M619" s="167">
        <v>1</v>
      </c>
      <c r="N619" s="167">
        <v>1</v>
      </c>
      <c r="O619" s="167">
        <v>1</v>
      </c>
      <c r="P619" s="167">
        <v>1</v>
      </c>
      <c r="Q619" s="167">
        <v>1</v>
      </c>
      <c r="R619" s="167">
        <v>3</v>
      </c>
      <c r="S619" s="167" t="s">
        <v>79</v>
      </c>
      <c r="T619" s="167">
        <v>0</v>
      </c>
      <c r="U619" s="7" t="s">
        <v>169</v>
      </c>
      <c r="V619" s="7" t="s">
        <v>169</v>
      </c>
      <c r="W619" s="47" t="str">
        <f t="shared" ca="1" si="24"/>
        <v/>
      </c>
      <c r="X619" s="47">
        <f ca="1">VLOOKUP($C619,OFFSET(quests!$A$1,0,0,COUNTA(quests!$A:$A),MATCH(X$2,quests!$1:$1,0)-MATCH($C$2,quests!$1:$1,0)+1),MATCH(X$2,quests!$1:$1,0)-MATCH($C$2,quests!$1:$1,0)+1,FALSE)</f>
        <v>0</v>
      </c>
      <c r="Y619" s="47">
        <f ca="1">VLOOKUP($C619,OFFSET(quests!$A$1,0,0,COUNTA(quests!$A:$A),MATCH(Y$2,quests!$1:$1,0)-MATCH($C$2,quests!$1:$1,0)+1),MATCH(Y$2,quests!$1:$1,0)-MATCH($C$2,quests!$1:$1,0)+1,FALSE)</f>
        <v>0</v>
      </c>
      <c r="Z619" s="47">
        <f ca="1">VLOOKUP($C619,OFFSET(quests!$A$1,0,0,COUNTA(quests!$A:$A),MATCH(Z$2,quests!$1:$1,0)-MATCH($C$2,quests!$1:$1,0)+1),MATCH(Z$2,quests!$1:$1,0)-MATCH($C$2,quests!$1:$1,0)+1,FALSE)</f>
        <v>0</v>
      </c>
      <c r="AA619" s="47">
        <f ca="1">VLOOKUP($C619,OFFSET(quests!$A$1,0,0,COUNTA(quests!$A:$A),MATCH(AA$2,quests!$1:$1,0)-MATCH($C$2,quests!$1:$1,0)+1),MATCH(AA$2,quests!$1:$1,0)-MATCH($C$2,quests!$1:$1,0)+1,FALSE)</f>
        <v>0</v>
      </c>
      <c r="AB619" s="7" t="s">
        <v>56</v>
      </c>
      <c r="AC619" s="7">
        <v>5</v>
      </c>
      <c r="AD619" s="7">
        <v>6</v>
      </c>
      <c r="AE619" s="7" t="s">
        <v>519</v>
      </c>
      <c r="AF619" s="96">
        <v>17</v>
      </c>
      <c r="AG619" s="7">
        <v>0</v>
      </c>
      <c r="AH619" s="7">
        <v>0</v>
      </c>
      <c r="AI619" s="7">
        <v>-1</v>
      </c>
      <c r="AJ619" s="7">
        <v>-1</v>
      </c>
      <c r="AK619" s="7" t="s">
        <v>1064</v>
      </c>
      <c r="AL619" s="12" t="s">
        <v>1695</v>
      </c>
      <c r="AM619" s="12" t="s">
        <v>2072</v>
      </c>
    </row>
    <row r="620" spans="1:39" ht="21" customHeight="1" x14ac:dyDescent="0.15">
      <c r="A620" s="42" t="str">
        <f t="shared" si="23"/>
        <v>30035_2</v>
      </c>
      <c r="B620" s="23">
        <v>3</v>
      </c>
      <c r="C620" s="31">
        <v>30035</v>
      </c>
      <c r="D620" s="47" t="str">
        <f ca="1">VLOOKUP($C620,OFFSET(quests!$A$1,0,0,COUNTA(quests!$A:$A),MATCH(D$1,quests!$1:$1,0)-MATCH($C$2,quests!$1:$1,0)+1),MATCH(D$1,quests!$1:$1,0)-MATCH($C$2,quests!$1:$1,0)+1,FALSE)</f>
        <v>大鯨の呼び声</v>
      </c>
      <c r="E620" s="48" t="str">
        <f ca="1">VLOOKUP($C620,OFFSET(quests!$A$1,0,0,COUNTA(quests!$A:$A),MATCH(E$2,quests!$1:$1,0)-MATCH($C$2,quests!$1:$1,0)+1),MATCH(E$2,quests!$1:$1,0)-MATCH($C$2,quests!$1:$1,0)+1,FALSE)</f>
        <v>童話シリーズ3本目</v>
      </c>
      <c r="F620" s="7">
        <v>2</v>
      </c>
      <c r="G620" s="7" t="s">
        <v>570</v>
      </c>
      <c r="H620" s="82" t="s">
        <v>1207</v>
      </c>
      <c r="I620" s="12" t="s">
        <v>830</v>
      </c>
      <c r="J620" s="12">
        <v>858</v>
      </c>
      <c r="K620" s="194">
        <v>20</v>
      </c>
      <c r="L620" s="195">
        <v>2000</v>
      </c>
      <c r="M620" s="167">
        <v>1</v>
      </c>
      <c r="N620" s="167">
        <v>1</v>
      </c>
      <c r="O620" s="167">
        <v>1</v>
      </c>
      <c r="P620" s="167">
        <v>1</v>
      </c>
      <c r="Q620" s="167">
        <v>1</v>
      </c>
      <c r="R620" s="167">
        <v>3</v>
      </c>
      <c r="S620" s="167" t="s">
        <v>79</v>
      </c>
      <c r="T620" s="167">
        <v>0</v>
      </c>
      <c r="U620" s="7" t="s">
        <v>169</v>
      </c>
      <c r="V620" s="7" t="s">
        <v>169</v>
      </c>
      <c r="W620" s="47" t="str">
        <f t="shared" ca="1" si="24"/>
        <v/>
      </c>
      <c r="X620" s="47">
        <f ca="1">VLOOKUP($C620,OFFSET(quests!$A$1,0,0,COUNTA(quests!$A:$A),MATCH(X$2,quests!$1:$1,0)-MATCH($C$2,quests!$1:$1,0)+1),MATCH(X$2,quests!$1:$1,0)-MATCH($C$2,quests!$1:$1,0)+1,FALSE)</f>
        <v>0</v>
      </c>
      <c r="Y620" s="47">
        <f ca="1">VLOOKUP($C620,OFFSET(quests!$A$1,0,0,COUNTA(quests!$A:$A),MATCH(Y$2,quests!$1:$1,0)-MATCH($C$2,quests!$1:$1,0)+1),MATCH(Y$2,quests!$1:$1,0)-MATCH($C$2,quests!$1:$1,0)+1,FALSE)</f>
        <v>0</v>
      </c>
      <c r="Z620" s="47">
        <f ca="1">VLOOKUP($C620,OFFSET(quests!$A$1,0,0,COUNTA(quests!$A:$A),MATCH(Z$2,quests!$1:$1,0)-MATCH($C$2,quests!$1:$1,0)+1),MATCH(Z$2,quests!$1:$1,0)-MATCH($C$2,quests!$1:$1,0)+1,FALSE)</f>
        <v>0</v>
      </c>
      <c r="AA620" s="47">
        <f ca="1">VLOOKUP($C620,OFFSET(quests!$A$1,0,0,COUNTA(quests!$A:$A),MATCH(AA$2,quests!$1:$1,0)-MATCH($C$2,quests!$1:$1,0)+1),MATCH(AA$2,quests!$1:$1,0)-MATCH($C$2,quests!$1:$1,0)+1,FALSE)</f>
        <v>0</v>
      </c>
      <c r="AB620" s="7" t="s">
        <v>56</v>
      </c>
      <c r="AC620" s="7">
        <v>5</v>
      </c>
      <c r="AD620" s="7">
        <v>6</v>
      </c>
      <c r="AE620" s="7" t="s">
        <v>519</v>
      </c>
      <c r="AF620" s="96">
        <v>17</v>
      </c>
      <c r="AG620" s="7">
        <v>0</v>
      </c>
      <c r="AH620" s="7">
        <v>0</v>
      </c>
      <c r="AI620" s="7">
        <v>-1</v>
      </c>
      <c r="AJ620" s="7">
        <v>-1</v>
      </c>
      <c r="AK620" s="7" t="s">
        <v>1064</v>
      </c>
      <c r="AL620" s="12" t="s">
        <v>1695</v>
      </c>
      <c r="AM620" s="12" t="s">
        <v>2072</v>
      </c>
    </row>
    <row r="621" spans="1:39" ht="22" customHeight="1" x14ac:dyDescent="0.15">
      <c r="A621" s="42" t="str">
        <f t="shared" si="23"/>
        <v>30035_3</v>
      </c>
      <c r="B621" s="23">
        <v>3</v>
      </c>
      <c r="C621" s="31">
        <v>30035</v>
      </c>
      <c r="D621" s="47" t="str">
        <f ca="1">VLOOKUP($C621,OFFSET(quests!$A$1,0,0,COUNTA(quests!$A:$A),MATCH(D$1,quests!$1:$1,0)-MATCH($C$2,quests!$1:$1,0)+1),MATCH(D$1,quests!$1:$1,0)-MATCH($C$2,quests!$1:$1,0)+1,FALSE)</f>
        <v>大鯨の呼び声</v>
      </c>
      <c r="E621" s="48" t="str">
        <f ca="1">VLOOKUP($C621,OFFSET(quests!$A$1,0,0,COUNTA(quests!$A:$A),MATCH(E$2,quests!$1:$1,0)-MATCH($C$2,quests!$1:$1,0)+1),MATCH(E$2,quests!$1:$1,0)-MATCH($C$2,quests!$1:$1,0)+1,FALSE)</f>
        <v>童話シリーズ3本目</v>
      </c>
      <c r="F621" s="7">
        <v>3</v>
      </c>
      <c r="G621" s="7" t="s">
        <v>570</v>
      </c>
      <c r="H621" s="82" t="s">
        <v>1208</v>
      </c>
      <c r="I621" s="12" t="s">
        <v>832</v>
      </c>
      <c r="J621" s="12">
        <v>859</v>
      </c>
      <c r="K621" s="194">
        <v>30</v>
      </c>
      <c r="L621" s="195">
        <v>3300</v>
      </c>
      <c r="M621" s="167">
        <v>1</v>
      </c>
      <c r="N621" s="167">
        <v>1</v>
      </c>
      <c r="O621" s="167">
        <v>1</v>
      </c>
      <c r="P621" s="167">
        <v>1</v>
      </c>
      <c r="Q621" s="167">
        <v>1</v>
      </c>
      <c r="R621" s="167">
        <v>3</v>
      </c>
      <c r="S621" s="167" t="s">
        <v>527</v>
      </c>
      <c r="T621" s="167">
        <v>1</v>
      </c>
      <c r="U621" s="7" t="s">
        <v>169</v>
      </c>
      <c r="V621" s="7" t="s">
        <v>169</v>
      </c>
      <c r="W621" s="47" t="str">
        <f t="shared" ca="1" si="24"/>
        <v/>
      </c>
      <c r="X621" s="47">
        <f ca="1">VLOOKUP($C621,OFFSET(quests!$A$1,0,0,COUNTA(quests!$A:$A),MATCH(X$2,quests!$1:$1,0)-MATCH($C$2,quests!$1:$1,0)+1),MATCH(X$2,quests!$1:$1,0)-MATCH($C$2,quests!$1:$1,0)+1,FALSE)</f>
        <v>0</v>
      </c>
      <c r="Y621" s="47">
        <f ca="1">VLOOKUP($C621,OFFSET(quests!$A$1,0,0,COUNTA(quests!$A:$A),MATCH(Y$2,quests!$1:$1,0)-MATCH($C$2,quests!$1:$1,0)+1),MATCH(Y$2,quests!$1:$1,0)-MATCH($C$2,quests!$1:$1,0)+1,FALSE)</f>
        <v>0</v>
      </c>
      <c r="Z621" s="47">
        <f ca="1">VLOOKUP($C621,OFFSET(quests!$A$1,0,0,COUNTA(quests!$A:$A),MATCH(Z$2,quests!$1:$1,0)-MATCH($C$2,quests!$1:$1,0)+1),MATCH(Z$2,quests!$1:$1,0)-MATCH($C$2,quests!$1:$1,0)+1,FALSE)</f>
        <v>0</v>
      </c>
      <c r="AA621" s="47">
        <f ca="1">VLOOKUP($C621,OFFSET(quests!$A$1,0,0,COUNTA(quests!$A:$A),MATCH(AA$2,quests!$1:$1,0)-MATCH($C$2,quests!$1:$1,0)+1),MATCH(AA$2,quests!$1:$1,0)-MATCH($C$2,quests!$1:$1,0)+1,FALSE)</f>
        <v>0</v>
      </c>
      <c r="AB621" s="7" t="s">
        <v>56</v>
      </c>
      <c r="AC621" s="7">
        <v>5</v>
      </c>
      <c r="AD621" s="7">
        <v>6</v>
      </c>
      <c r="AE621" s="7" t="s">
        <v>519</v>
      </c>
      <c r="AF621" s="96">
        <v>17</v>
      </c>
      <c r="AG621" s="7">
        <v>0</v>
      </c>
      <c r="AH621" s="7">
        <v>0</v>
      </c>
      <c r="AI621" s="7">
        <v>-1</v>
      </c>
      <c r="AJ621" s="7">
        <v>-1</v>
      </c>
      <c r="AK621" s="7" t="s">
        <v>1065</v>
      </c>
      <c r="AL621" s="12" t="s">
        <v>1695</v>
      </c>
      <c r="AM621" s="12" t="s">
        <v>2072</v>
      </c>
    </row>
    <row r="622" spans="1:39" ht="21" customHeight="1" x14ac:dyDescent="0.15">
      <c r="A622" s="42" t="str">
        <f t="shared" si="23"/>
        <v>30036_1</v>
      </c>
      <c r="B622" s="23">
        <v>3</v>
      </c>
      <c r="C622" s="31">
        <v>30036</v>
      </c>
      <c r="D622" s="47" t="str">
        <f ca="1">VLOOKUP($C622,OFFSET(quests!$A$1,0,0,COUNTA(quests!$A:$A),MATCH(D$1,quests!$1:$1,0)-MATCH($C$2,quests!$1:$1,0)+1),MATCH(D$1,quests!$1:$1,0)-MATCH($C$2,quests!$1:$1,0)+1,FALSE)</f>
        <v>猛然たる炎獣使い</v>
      </c>
      <c r="E622" s="48" t="str">
        <f ca="1">VLOOKUP($C622,OFFSET(quests!$A$1,0,0,COUNTA(quests!$A:$A),MATCH(E$2,quests!$1:$1,0)-MATCH($C$2,quests!$1:$1,0)+1),MATCH(E$2,quests!$1:$1,0)-MATCH($C$2,quests!$1:$1,0)+1,FALSE)</f>
        <v>ギリシャ神話シリーズ超級</v>
      </c>
      <c r="F622" s="7">
        <v>1</v>
      </c>
      <c r="G622" s="7" t="s">
        <v>570</v>
      </c>
      <c r="H622" s="82" t="s">
        <v>1368</v>
      </c>
      <c r="I622" s="12" t="s">
        <v>831</v>
      </c>
      <c r="J622" s="12">
        <v>736</v>
      </c>
      <c r="K622" s="192">
        <v>15</v>
      </c>
      <c r="L622" s="193">
        <v>1200</v>
      </c>
      <c r="M622" s="167">
        <v>1</v>
      </c>
      <c r="N622" s="167">
        <v>1</v>
      </c>
      <c r="O622" s="167">
        <v>1</v>
      </c>
      <c r="P622" s="167">
        <v>1</v>
      </c>
      <c r="Q622" s="167">
        <v>1</v>
      </c>
      <c r="R622" s="167">
        <v>3</v>
      </c>
      <c r="S622" s="167" t="s">
        <v>79</v>
      </c>
      <c r="T622" s="167">
        <v>0</v>
      </c>
      <c r="U622" s="7" t="s">
        <v>169</v>
      </c>
      <c r="V622" s="7" t="s">
        <v>169</v>
      </c>
      <c r="W622" s="47" t="str">
        <f t="shared" ca="1" si="24"/>
        <v/>
      </c>
      <c r="X622" s="47">
        <f ca="1">VLOOKUP($C622,OFFSET(quests!$A$1,0,0,COUNTA(quests!$A:$A),MATCH(X$2,quests!$1:$1,0)-MATCH($C$2,quests!$1:$1,0)+1),MATCH(X$2,quests!$1:$1,0)-MATCH($C$2,quests!$1:$1,0)+1,FALSE)</f>
        <v>0</v>
      </c>
      <c r="Y622" s="47">
        <f ca="1">VLOOKUP($C622,OFFSET(quests!$A$1,0,0,COUNTA(quests!$A:$A),MATCH(Y$2,quests!$1:$1,0)-MATCH($C$2,quests!$1:$1,0)+1),MATCH(Y$2,quests!$1:$1,0)-MATCH($C$2,quests!$1:$1,0)+1,FALSE)</f>
        <v>0</v>
      </c>
      <c r="Z622" s="47">
        <f ca="1">VLOOKUP($C622,OFFSET(quests!$A$1,0,0,COUNTA(quests!$A:$A),MATCH(Z$2,quests!$1:$1,0)-MATCH($C$2,quests!$1:$1,0)+1),MATCH(Z$2,quests!$1:$1,0)-MATCH($C$2,quests!$1:$1,0)+1,FALSE)</f>
        <v>0</v>
      </c>
      <c r="AA622" s="47">
        <f ca="1">VLOOKUP($C622,OFFSET(quests!$A$1,0,0,COUNTA(quests!$A:$A),MATCH(AA$2,quests!$1:$1,0)-MATCH($C$2,quests!$1:$1,0)+1),MATCH(AA$2,quests!$1:$1,0)-MATCH($C$2,quests!$1:$1,0)+1,FALSE)</f>
        <v>0</v>
      </c>
      <c r="AB622" s="7" t="s">
        <v>56</v>
      </c>
      <c r="AC622" s="7">
        <v>14</v>
      </c>
      <c r="AD622" s="7">
        <v>6</v>
      </c>
      <c r="AE622" s="7" t="s">
        <v>519</v>
      </c>
      <c r="AF622" s="33">
        <v>11</v>
      </c>
      <c r="AG622" s="7">
        <v>0</v>
      </c>
      <c r="AH622" s="7">
        <v>0</v>
      </c>
      <c r="AI622" s="7">
        <v>-1</v>
      </c>
      <c r="AJ622" s="7">
        <v>-1</v>
      </c>
      <c r="AK622" s="7" t="s">
        <v>1064</v>
      </c>
      <c r="AL622" s="12" t="s">
        <v>1695</v>
      </c>
      <c r="AM622" s="12" t="s">
        <v>2072</v>
      </c>
    </row>
    <row r="623" spans="1:39" ht="21" customHeight="1" x14ac:dyDescent="0.15">
      <c r="A623" s="42" t="str">
        <f t="shared" si="23"/>
        <v>30036_2</v>
      </c>
      <c r="B623" s="23">
        <v>3</v>
      </c>
      <c r="C623" s="31">
        <v>30036</v>
      </c>
      <c r="D623" s="47" t="str">
        <f ca="1">VLOOKUP($C623,OFFSET(quests!$A$1,0,0,COUNTA(quests!$A:$A),MATCH(D$1,quests!$1:$1,0)-MATCH($C$2,quests!$1:$1,0)+1),MATCH(D$1,quests!$1:$1,0)-MATCH($C$2,quests!$1:$1,0)+1,FALSE)</f>
        <v>猛然たる炎獣使い</v>
      </c>
      <c r="E623" s="48" t="str">
        <f ca="1">VLOOKUP($C623,OFFSET(quests!$A$1,0,0,COUNTA(quests!$A:$A),MATCH(E$2,quests!$1:$1,0)-MATCH($C$2,quests!$1:$1,0)+1),MATCH(E$2,quests!$1:$1,0)-MATCH($C$2,quests!$1:$1,0)+1,FALSE)</f>
        <v>ギリシャ神話シリーズ超級</v>
      </c>
      <c r="F623" s="7">
        <v>2</v>
      </c>
      <c r="G623" s="7" t="s">
        <v>570</v>
      </c>
      <c r="H623" s="82" t="s">
        <v>1369</v>
      </c>
      <c r="I623" s="12" t="s">
        <v>830</v>
      </c>
      <c r="J623" s="12">
        <v>737</v>
      </c>
      <c r="K623" s="194">
        <v>20</v>
      </c>
      <c r="L623" s="195">
        <v>2000</v>
      </c>
      <c r="M623" s="167">
        <v>1</v>
      </c>
      <c r="N623" s="167">
        <v>1</v>
      </c>
      <c r="O623" s="167">
        <v>1</v>
      </c>
      <c r="P623" s="167">
        <v>1</v>
      </c>
      <c r="Q623" s="167">
        <v>1</v>
      </c>
      <c r="R623" s="167">
        <v>3</v>
      </c>
      <c r="S623" s="167" t="s">
        <v>79</v>
      </c>
      <c r="T623" s="167">
        <v>0</v>
      </c>
      <c r="U623" s="7" t="s">
        <v>169</v>
      </c>
      <c r="V623" s="7" t="s">
        <v>169</v>
      </c>
      <c r="W623" s="47" t="str">
        <f t="shared" ca="1" si="24"/>
        <v/>
      </c>
      <c r="X623" s="47">
        <f ca="1">VLOOKUP($C623,OFFSET(quests!$A$1,0,0,COUNTA(quests!$A:$A),MATCH(X$2,quests!$1:$1,0)-MATCH($C$2,quests!$1:$1,0)+1),MATCH(X$2,quests!$1:$1,0)-MATCH($C$2,quests!$1:$1,0)+1,FALSE)</f>
        <v>0</v>
      </c>
      <c r="Y623" s="47">
        <f ca="1">VLOOKUP($C623,OFFSET(quests!$A$1,0,0,COUNTA(quests!$A:$A),MATCH(Y$2,quests!$1:$1,0)-MATCH($C$2,quests!$1:$1,0)+1),MATCH(Y$2,quests!$1:$1,0)-MATCH($C$2,quests!$1:$1,0)+1,FALSE)</f>
        <v>0</v>
      </c>
      <c r="Z623" s="47">
        <f ca="1">VLOOKUP($C623,OFFSET(quests!$A$1,0,0,COUNTA(quests!$A:$A),MATCH(Z$2,quests!$1:$1,0)-MATCH($C$2,quests!$1:$1,0)+1),MATCH(Z$2,quests!$1:$1,0)-MATCH($C$2,quests!$1:$1,0)+1,FALSE)</f>
        <v>0</v>
      </c>
      <c r="AA623" s="47">
        <f ca="1">VLOOKUP($C623,OFFSET(quests!$A$1,0,0,COUNTA(quests!$A:$A),MATCH(AA$2,quests!$1:$1,0)-MATCH($C$2,quests!$1:$1,0)+1),MATCH(AA$2,quests!$1:$1,0)-MATCH($C$2,quests!$1:$1,0)+1,FALSE)</f>
        <v>0</v>
      </c>
      <c r="AB623" s="7" t="s">
        <v>56</v>
      </c>
      <c r="AC623" s="7">
        <v>14</v>
      </c>
      <c r="AD623" s="7">
        <v>6</v>
      </c>
      <c r="AE623" s="7" t="s">
        <v>519</v>
      </c>
      <c r="AF623" s="33">
        <v>11</v>
      </c>
      <c r="AG623" s="7">
        <v>0</v>
      </c>
      <c r="AH623" s="7">
        <v>0</v>
      </c>
      <c r="AI623" s="7">
        <v>-1</v>
      </c>
      <c r="AJ623" s="7">
        <v>-1</v>
      </c>
      <c r="AK623" s="7" t="s">
        <v>1064</v>
      </c>
      <c r="AL623" s="12" t="s">
        <v>1695</v>
      </c>
      <c r="AM623" s="12" t="s">
        <v>2072</v>
      </c>
    </row>
    <row r="624" spans="1:39" ht="21" customHeight="1" x14ac:dyDescent="0.15">
      <c r="A624" s="42" t="str">
        <f t="shared" si="23"/>
        <v>30036_3</v>
      </c>
      <c r="B624" s="23">
        <v>3</v>
      </c>
      <c r="C624" s="31">
        <v>30036</v>
      </c>
      <c r="D624" s="47" t="str">
        <f ca="1">VLOOKUP($C624,OFFSET(quests!$A$1,0,0,COUNTA(quests!$A:$A),MATCH(D$1,quests!$1:$1,0)-MATCH($C$2,quests!$1:$1,0)+1),MATCH(D$1,quests!$1:$1,0)-MATCH($C$2,quests!$1:$1,0)+1,FALSE)</f>
        <v>猛然たる炎獣使い</v>
      </c>
      <c r="E624" s="48" t="str">
        <f ca="1">VLOOKUP($C624,OFFSET(quests!$A$1,0,0,COUNTA(quests!$A:$A),MATCH(E$2,quests!$1:$1,0)-MATCH($C$2,quests!$1:$1,0)+1),MATCH(E$2,quests!$1:$1,0)-MATCH($C$2,quests!$1:$1,0)+1,FALSE)</f>
        <v>ギリシャ神話シリーズ超級</v>
      </c>
      <c r="F624" s="7">
        <v>3</v>
      </c>
      <c r="G624" s="7" t="s">
        <v>570</v>
      </c>
      <c r="H624" s="82" t="s">
        <v>1370</v>
      </c>
      <c r="I624" s="12" t="s">
        <v>832</v>
      </c>
      <c r="J624" s="12">
        <v>737</v>
      </c>
      <c r="K624" s="194">
        <v>30</v>
      </c>
      <c r="L624" s="195">
        <v>3300</v>
      </c>
      <c r="M624" s="167">
        <v>1</v>
      </c>
      <c r="N624" s="167">
        <v>1</v>
      </c>
      <c r="O624" s="167">
        <v>1</v>
      </c>
      <c r="P624" s="167">
        <v>1</v>
      </c>
      <c r="Q624" s="167">
        <v>1</v>
      </c>
      <c r="R624" s="167">
        <v>3</v>
      </c>
      <c r="S624" s="167" t="s">
        <v>527</v>
      </c>
      <c r="T624" s="167">
        <v>1</v>
      </c>
      <c r="U624" s="7" t="s">
        <v>169</v>
      </c>
      <c r="V624" s="7" t="s">
        <v>169</v>
      </c>
      <c r="W624" s="47" t="str">
        <f t="shared" ca="1" si="24"/>
        <v/>
      </c>
      <c r="X624" s="47">
        <f ca="1">VLOOKUP($C624,OFFSET(quests!$A$1,0,0,COUNTA(quests!$A:$A),MATCH(X$2,quests!$1:$1,0)-MATCH($C$2,quests!$1:$1,0)+1),MATCH(X$2,quests!$1:$1,0)-MATCH($C$2,quests!$1:$1,0)+1,FALSE)</f>
        <v>0</v>
      </c>
      <c r="Y624" s="47">
        <f ca="1">VLOOKUP($C624,OFFSET(quests!$A$1,0,0,COUNTA(quests!$A:$A),MATCH(Y$2,quests!$1:$1,0)-MATCH($C$2,quests!$1:$1,0)+1),MATCH(Y$2,quests!$1:$1,0)-MATCH($C$2,quests!$1:$1,0)+1,FALSE)</f>
        <v>0</v>
      </c>
      <c r="Z624" s="47">
        <f ca="1">VLOOKUP($C624,OFFSET(quests!$A$1,0,0,COUNTA(quests!$A:$A),MATCH(Z$2,quests!$1:$1,0)-MATCH($C$2,quests!$1:$1,0)+1),MATCH(Z$2,quests!$1:$1,0)-MATCH($C$2,quests!$1:$1,0)+1,FALSE)</f>
        <v>0</v>
      </c>
      <c r="AA624" s="47">
        <f ca="1">VLOOKUP($C624,OFFSET(quests!$A$1,0,0,COUNTA(quests!$A:$A),MATCH(AA$2,quests!$1:$1,0)-MATCH($C$2,quests!$1:$1,0)+1),MATCH(AA$2,quests!$1:$1,0)-MATCH($C$2,quests!$1:$1,0)+1,FALSE)</f>
        <v>0</v>
      </c>
      <c r="AB624" s="7" t="s">
        <v>56</v>
      </c>
      <c r="AC624" s="7">
        <v>14</v>
      </c>
      <c r="AD624" s="7">
        <v>6</v>
      </c>
      <c r="AE624" s="7" t="s">
        <v>519</v>
      </c>
      <c r="AF624" s="33">
        <v>11</v>
      </c>
      <c r="AG624" s="7">
        <v>0</v>
      </c>
      <c r="AH624" s="7">
        <v>0</v>
      </c>
      <c r="AI624" s="7">
        <v>-1</v>
      </c>
      <c r="AJ624" s="7">
        <v>-1</v>
      </c>
      <c r="AK624" s="7" t="s">
        <v>1065</v>
      </c>
      <c r="AL624" s="12" t="s">
        <v>1695</v>
      </c>
      <c r="AM624" s="12" t="s">
        <v>2072</v>
      </c>
    </row>
    <row r="625" spans="1:39" ht="21" customHeight="1" x14ac:dyDescent="0.15">
      <c r="A625" s="42" t="str">
        <f t="shared" si="23"/>
        <v>30037_1</v>
      </c>
      <c r="B625" s="23">
        <v>3</v>
      </c>
      <c r="C625" s="31">
        <v>30037</v>
      </c>
      <c r="D625" s="47" t="str">
        <f ca="1">VLOOKUP($C625,OFFSET(quests!$A$1,0,0,COUNTA(quests!$A:$A),MATCH(D$1,quests!$1:$1,0)-MATCH($C$2,quests!$1:$1,0)+1),MATCH(D$1,quests!$1:$1,0)-MATCH($C$2,quests!$1:$1,0)+1,FALSE)</f>
        <v>灯り火の麗人</v>
      </c>
      <c r="E625" s="48" t="str">
        <f ca="1">VLOOKUP($C625,OFFSET(quests!$A$1,0,0,COUNTA(quests!$A:$A),MATCH(E$2,quests!$1:$1,0)-MATCH($C$2,quests!$1:$1,0)+1),MATCH(E$2,quests!$1:$1,0)-MATCH($C$2,quests!$1:$1,0)+1,FALSE)</f>
        <v>フランス革命シリーズ超級</v>
      </c>
      <c r="F625" s="7">
        <v>1</v>
      </c>
      <c r="G625" s="7" t="s">
        <v>570</v>
      </c>
      <c r="H625" s="82" t="s">
        <v>1394</v>
      </c>
      <c r="I625" s="12" t="s">
        <v>831</v>
      </c>
      <c r="J625" s="12">
        <v>934</v>
      </c>
      <c r="K625" s="192">
        <v>15</v>
      </c>
      <c r="L625" s="193">
        <v>1200</v>
      </c>
      <c r="M625" s="167">
        <v>1</v>
      </c>
      <c r="N625" s="167">
        <v>1</v>
      </c>
      <c r="O625" s="167">
        <v>1</v>
      </c>
      <c r="P625" s="167">
        <v>1</v>
      </c>
      <c r="Q625" s="167">
        <v>1</v>
      </c>
      <c r="R625" s="167">
        <v>3</v>
      </c>
      <c r="S625" s="167" t="s">
        <v>79</v>
      </c>
      <c r="T625" s="167">
        <v>0</v>
      </c>
      <c r="U625" s="7" t="s">
        <v>169</v>
      </c>
      <c r="V625" s="7" t="s">
        <v>169</v>
      </c>
      <c r="W625" s="47" t="str">
        <f t="shared" ca="1" si="24"/>
        <v/>
      </c>
      <c r="X625" s="47">
        <f ca="1">VLOOKUP($C625,OFFSET(quests!$A$1,0,0,COUNTA(quests!$A:$A),MATCH(X$2,quests!$1:$1,0)-MATCH($C$2,quests!$1:$1,0)+1),MATCH(X$2,quests!$1:$1,0)-MATCH($C$2,quests!$1:$1,0)+1,FALSE)</f>
        <v>0</v>
      </c>
      <c r="Y625" s="47">
        <f ca="1">VLOOKUP($C625,OFFSET(quests!$A$1,0,0,COUNTA(quests!$A:$A),MATCH(Y$2,quests!$1:$1,0)-MATCH($C$2,quests!$1:$1,0)+1),MATCH(Y$2,quests!$1:$1,0)-MATCH($C$2,quests!$1:$1,0)+1,FALSE)</f>
        <v>0</v>
      </c>
      <c r="Z625" s="47">
        <f ca="1">VLOOKUP($C625,OFFSET(quests!$A$1,0,0,COUNTA(quests!$A:$A),MATCH(Z$2,quests!$1:$1,0)-MATCH($C$2,quests!$1:$1,0)+1),MATCH(Z$2,quests!$1:$1,0)-MATCH($C$2,quests!$1:$1,0)+1,FALSE)</f>
        <v>0</v>
      </c>
      <c r="AA625" s="47">
        <f ca="1">VLOOKUP($C625,OFFSET(quests!$A$1,0,0,COUNTA(quests!$A:$A),MATCH(AA$2,quests!$1:$1,0)-MATCH($C$2,quests!$1:$1,0)+1),MATCH(AA$2,quests!$1:$1,0)-MATCH($C$2,quests!$1:$1,0)+1,FALSE)</f>
        <v>0</v>
      </c>
      <c r="AB625" s="7" t="s">
        <v>56</v>
      </c>
      <c r="AC625" s="7">
        <v>6</v>
      </c>
      <c r="AD625" s="7">
        <v>6</v>
      </c>
      <c r="AE625" s="7" t="s">
        <v>519</v>
      </c>
      <c r="AF625" s="255">
        <v>16</v>
      </c>
      <c r="AG625" s="7">
        <v>0</v>
      </c>
      <c r="AH625" s="7">
        <v>0</v>
      </c>
      <c r="AI625" s="7">
        <v>-1</v>
      </c>
      <c r="AJ625" s="7">
        <v>-1</v>
      </c>
      <c r="AK625" s="7" t="s">
        <v>1064</v>
      </c>
      <c r="AL625" s="12" t="s">
        <v>1695</v>
      </c>
      <c r="AM625" s="12" t="s">
        <v>2072</v>
      </c>
    </row>
    <row r="626" spans="1:39" ht="21" customHeight="1" x14ac:dyDescent="0.15">
      <c r="A626" s="42" t="str">
        <f t="shared" si="23"/>
        <v>30037_2</v>
      </c>
      <c r="B626" s="23">
        <v>3</v>
      </c>
      <c r="C626" s="31">
        <v>30037</v>
      </c>
      <c r="D626" s="47" t="str">
        <f ca="1">VLOOKUP($C626,OFFSET(quests!$A$1,0,0,COUNTA(quests!$A:$A),MATCH(D$1,quests!$1:$1,0)-MATCH($C$2,quests!$1:$1,0)+1),MATCH(D$1,quests!$1:$1,0)-MATCH($C$2,quests!$1:$1,0)+1,FALSE)</f>
        <v>灯り火の麗人</v>
      </c>
      <c r="E626" s="48" t="str">
        <f ca="1">VLOOKUP($C626,OFFSET(quests!$A$1,0,0,COUNTA(quests!$A:$A),MATCH(E$2,quests!$1:$1,0)-MATCH($C$2,quests!$1:$1,0)+1),MATCH(E$2,quests!$1:$1,0)-MATCH($C$2,quests!$1:$1,0)+1,FALSE)</f>
        <v>フランス革命シリーズ超級</v>
      </c>
      <c r="F626" s="7">
        <v>2</v>
      </c>
      <c r="G626" s="7" t="s">
        <v>570</v>
      </c>
      <c r="H626" s="82" t="s">
        <v>1395</v>
      </c>
      <c r="I626" s="12" t="s">
        <v>830</v>
      </c>
      <c r="J626" s="12">
        <v>934</v>
      </c>
      <c r="K626" s="194">
        <v>20</v>
      </c>
      <c r="L626" s="195">
        <v>2000</v>
      </c>
      <c r="M626" s="167">
        <v>1</v>
      </c>
      <c r="N626" s="167">
        <v>1</v>
      </c>
      <c r="O626" s="167">
        <v>1</v>
      </c>
      <c r="P626" s="167">
        <v>1</v>
      </c>
      <c r="Q626" s="167">
        <v>1</v>
      </c>
      <c r="R626" s="167">
        <v>3</v>
      </c>
      <c r="S626" s="167" t="s">
        <v>79</v>
      </c>
      <c r="T626" s="167">
        <v>0</v>
      </c>
      <c r="U626" s="7" t="s">
        <v>169</v>
      </c>
      <c r="V626" s="7" t="s">
        <v>169</v>
      </c>
      <c r="W626" s="47" t="str">
        <f t="shared" ca="1" si="24"/>
        <v/>
      </c>
      <c r="X626" s="47">
        <f ca="1">VLOOKUP($C626,OFFSET(quests!$A$1,0,0,COUNTA(quests!$A:$A),MATCH(X$2,quests!$1:$1,0)-MATCH($C$2,quests!$1:$1,0)+1),MATCH(X$2,quests!$1:$1,0)-MATCH($C$2,quests!$1:$1,0)+1,FALSE)</f>
        <v>0</v>
      </c>
      <c r="Y626" s="47">
        <f ca="1">VLOOKUP($C626,OFFSET(quests!$A$1,0,0,COUNTA(quests!$A:$A),MATCH(Y$2,quests!$1:$1,0)-MATCH($C$2,quests!$1:$1,0)+1),MATCH(Y$2,quests!$1:$1,0)-MATCH($C$2,quests!$1:$1,0)+1,FALSE)</f>
        <v>0</v>
      </c>
      <c r="Z626" s="47">
        <f ca="1">VLOOKUP($C626,OFFSET(quests!$A$1,0,0,COUNTA(quests!$A:$A),MATCH(Z$2,quests!$1:$1,0)-MATCH($C$2,quests!$1:$1,0)+1),MATCH(Z$2,quests!$1:$1,0)-MATCH($C$2,quests!$1:$1,0)+1,FALSE)</f>
        <v>0</v>
      </c>
      <c r="AA626" s="47">
        <f ca="1">VLOOKUP($C626,OFFSET(quests!$A$1,0,0,COUNTA(quests!$A:$A),MATCH(AA$2,quests!$1:$1,0)-MATCH($C$2,quests!$1:$1,0)+1),MATCH(AA$2,quests!$1:$1,0)-MATCH($C$2,quests!$1:$1,0)+1,FALSE)</f>
        <v>0</v>
      </c>
      <c r="AB626" s="7" t="s">
        <v>56</v>
      </c>
      <c r="AC626" s="7">
        <v>6</v>
      </c>
      <c r="AD626" s="7">
        <v>6</v>
      </c>
      <c r="AE626" s="7" t="s">
        <v>519</v>
      </c>
      <c r="AF626" s="255">
        <v>16</v>
      </c>
      <c r="AG626" s="7">
        <v>0</v>
      </c>
      <c r="AH626" s="7">
        <v>0</v>
      </c>
      <c r="AI626" s="7">
        <v>-1</v>
      </c>
      <c r="AJ626" s="7">
        <v>-1</v>
      </c>
      <c r="AK626" s="7" t="s">
        <v>1064</v>
      </c>
      <c r="AL626" s="12" t="s">
        <v>1695</v>
      </c>
      <c r="AM626" s="12" t="s">
        <v>2072</v>
      </c>
    </row>
    <row r="627" spans="1:39" ht="21" customHeight="1" x14ac:dyDescent="0.15">
      <c r="A627" s="42" t="str">
        <f t="shared" si="23"/>
        <v>30037_3</v>
      </c>
      <c r="B627" s="23">
        <v>3</v>
      </c>
      <c r="C627" s="31">
        <v>30037</v>
      </c>
      <c r="D627" s="47" t="str">
        <f ca="1">VLOOKUP($C627,OFFSET(quests!$A$1,0,0,COUNTA(quests!$A:$A),MATCH(D$1,quests!$1:$1,0)-MATCH($C$2,quests!$1:$1,0)+1),MATCH(D$1,quests!$1:$1,0)-MATCH($C$2,quests!$1:$1,0)+1,FALSE)</f>
        <v>灯り火の麗人</v>
      </c>
      <c r="E627" s="48" t="str">
        <f ca="1">VLOOKUP($C627,OFFSET(quests!$A$1,0,0,COUNTA(quests!$A:$A),MATCH(E$2,quests!$1:$1,0)-MATCH($C$2,quests!$1:$1,0)+1),MATCH(E$2,quests!$1:$1,0)-MATCH($C$2,quests!$1:$1,0)+1,FALSE)</f>
        <v>フランス革命シリーズ超級</v>
      </c>
      <c r="F627" s="7">
        <v>3</v>
      </c>
      <c r="G627" s="7" t="s">
        <v>570</v>
      </c>
      <c r="H627" s="82" t="s">
        <v>1396</v>
      </c>
      <c r="I627" s="12" t="s">
        <v>832</v>
      </c>
      <c r="J627" s="12">
        <v>934</v>
      </c>
      <c r="K627" s="194">
        <v>30</v>
      </c>
      <c r="L627" s="195">
        <v>3300</v>
      </c>
      <c r="M627" s="167">
        <v>1</v>
      </c>
      <c r="N627" s="167">
        <v>1</v>
      </c>
      <c r="O627" s="167">
        <v>1</v>
      </c>
      <c r="P627" s="167">
        <v>1</v>
      </c>
      <c r="Q627" s="167">
        <v>1</v>
      </c>
      <c r="R627" s="167">
        <v>3</v>
      </c>
      <c r="S627" s="167" t="s">
        <v>278</v>
      </c>
      <c r="T627" s="167">
        <v>1</v>
      </c>
      <c r="U627" s="7" t="s">
        <v>169</v>
      </c>
      <c r="V627" s="7" t="s">
        <v>169</v>
      </c>
      <c r="W627" s="47" t="str">
        <f t="shared" ca="1" si="24"/>
        <v/>
      </c>
      <c r="X627" s="47">
        <f ca="1">VLOOKUP($C627,OFFSET(quests!$A$1,0,0,COUNTA(quests!$A:$A),MATCH(X$2,quests!$1:$1,0)-MATCH($C$2,quests!$1:$1,0)+1),MATCH(X$2,quests!$1:$1,0)-MATCH($C$2,quests!$1:$1,0)+1,FALSE)</f>
        <v>0</v>
      </c>
      <c r="Y627" s="47">
        <f ca="1">VLOOKUP($C627,OFFSET(quests!$A$1,0,0,COUNTA(quests!$A:$A),MATCH(Y$2,quests!$1:$1,0)-MATCH($C$2,quests!$1:$1,0)+1),MATCH(Y$2,quests!$1:$1,0)-MATCH($C$2,quests!$1:$1,0)+1,FALSE)</f>
        <v>0</v>
      </c>
      <c r="Z627" s="47">
        <f ca="1">VLOOKUP($C627,OFFSET(quests!$A$1,0,0,COUNTA(quests!$A:$A),MATCH(Z$2,quests!$1:$1,0)-MATCH($C$2,quests!$1:$1,0)+1),MATCH(Z$2,quests!$1:$1,0)-MATCH($C$2,quests!$1:$1,0)+1,FALSE)</f>
        <v>0</v>
      </c>
      <c r="AA627" s="47">
        <f ca="1">VLOOKUP($C627,OFFSET(quests!$A$1,0,0,COUNTA(quests!$A:$A),MATCH(AA$2,quests!$1:$1,0)-MATCH($C$2,quests!$1:$1,0)+1),MATCH(AA$2,quests!$1:$1,0)-MATCH($C$2,quests!$1:$1,0)+1,FALSE)</f>
        <v>0</v>
      </c>
      <c r="AB627" s="7" t="s">
        <v>56</v>
      </c>
      <c r="AC627" s="7">
        <v>6</v>
      </c>
      <c r="AD627" s="7">
        <v>6</v>
      </c>
      <c r="AE627" s="7" t="s">
        <v>519</v>
      </c>
      <c r="AF627" s="255">
        <v>16</v>
      </c>
      <c r="AG627" s="7">
        <v>0</v>
      </c>
      <c r="AH627" s="7">
        <v>0</v>
      </c>
      <c r="AI627" s="7">
        <v>-1</v>
      </c>
      <c r="AJ627" s="7">
        <v>-1</v>
      </c>
      <c r="AK627" s="7" t="s">
        <v>1065</v>
      </c>
      <c r="AL627" s="12" t="s">
        <v>1695</v>
      </c>
      <c r="AM627" s="12" t="s">
        <v>2072</v>
      </c>
    </row>
    <row r="628" spans="1:39" ht="21" customHeight="1" x14ac:dyDescent="0.15">
      <c r="A628" s="42" t="str">
        <f t="shared" si="23"/>
        <v>30038_1</v>
      </c>
      <c r="B628" s="23">
        <v>3</v>
      </c>
      <c r="C628" s="31">
        <v>30038</v>
      </c>
      <c r="D628" s="47" t="str">
        <f ca="1">VLOOKUP($C628,OFFSET(quests!$A$1,0,0,COUNTA(quests!$A:$A),MATCH(D$1,quests!$1:$1,0)-MATCH($C$2,quests!$1:$1,0)+1),MATCH(D$1,quests!$1:$1,0)-MATCH($C$2,quests!$1:$1,0)+1,FALSE)</f>
        <v>毒絶神の願い</v>
      </c>
      <c r="E628" s="48" t="str">
        <f ca="1">VLOOKUP($C628,OFFSET(quests!$A$1,0,0,COUNTA(quests!$A:$A),MATCH(E$2,quests!$1:$1,0)-MATCH($C$2,quests!$1:$1,0)+1),MATCH(E$2,quests!$1:$1,0)-MATCH($C$2,quests!$1:$1,0)+1,FALSE)</f>
        <v>エジプト神話シリーズ超級</v>
      </c>
      <c r="F628" s="7">
        <v>1</v>
      </c>
      <c r="G628" s="7" t="s">
        <v>382</v>
      </c>
      <c r="H628" s="82" t="s">
        <v>1453</v>
      </c>
      <c r="I628" s="12" t="s">
        <v>831</v>
      </c>
      <c r="J628" s="12">
        <v>1007</v>
      </c>
      <c r="K628" s="192">
        <v>15</v>
      </c>
      <c r="L628" s="193">
        <v>1200</v>
      </c>
      <c r="M628" s="167">
        <v>1</v>
      </c>
      <c r="N628" s="167">
        <v>1</v>
      </c>
      <c r="O628" s="167">
        <v>1</v>
      </c>
      <c r="P628" s="167">
        <v>1</v>
      </c>
      <c r="Q628" s="167">
        <v>1</v>
      </c>
      <c r="R628" s="167">
        <v>3</v>
      </c>
      <c r="S628" s="167" t="s">
        <v>79</v>
      </c>
      <c r="T628" s="167">
        <v>0</v>
      </c>
      <c r="U628" s="7" t="s">
        <v>169</v>
      </c>
      <c r="V628" s="7" t="s">
        <v>169</v>
      </c>
      <c r="W628" s="47" t="str">
        <f t="shared" ca="1" si="24"/>
        <v/>
      </c>
      <c r="X628" s="47">
        <f ca="1">VLOOKUP($C628,OFFSET(quests!$A$1,0,0,COUNTA(quests!$A:$A),MATCH(X$2,quests!$1:$1,0)-MATCH($C$2,quests!$1:$1,0)+1),MATCH(X$2,quests!$1:$1,0)-MATCH($C$2,quests!$1:$1,0)+1,FALSE)</f>
        <v>0</v>
      </c>
      <c r="Y628" s="47">
        <f ca="1">VLOOKUP($C628,OFFSET(quests!$A$1,0,0,COUNTA(quests!$A:$A),MATCH(Y$2,quests!$1:$1,0)-MATCH($C$2,quests!$1:$1,0)+1),MATCH(Y$2,quests!$1:$1,0)-MATCH($C$2,quests!$1:$1,0)+1,FALSE)</f>
        <v>0</v>
      </c>
      <c r="Z628" s="47">
        <f ca="1">VLOOKUP($C628,OFFSET(quests!$A$1,0,0,COUNTA(quests!$A:$A),MATCH(Z$2,quests!$1:$1,0)-MATCH($C$2,quests!$1:$1,0)+1),MATCH(Z$2,quests!$1:$1,0)-MATCH($C$2,quests!$1:$1,0)+1,FALSE)</f>
        <v>0</v>
      </c>
      <c r="AA628" s="47">
        <f ca="1">VLOOKUP($C628,OFFSET(quests!$A$1,0,0,COUNTA(quests!$A:$A),MATCH(AA$2,quests!$1:$1,0)-MATCH($C$2,quests!$1:$1,0)+1),MATCH(AA$2,quests!$1:$1,0)-MATCH($C$2,quests!$1:$1,0)+1,FALSE)</f>
        <v>0</v>
      </c>
      <c r="AB628" s="7" t="s">
        <v>56</v>
      </c>
      <c r="AC628" s="7">
        <v>8</v>
      </c>
      <c r="AD628" s="7">
        <v>6</v>
      </c>
      <c r="AE628" s="7" t="s">
        <v>519</v>
      </c>
      <c r="AF628" s="33">
        <v>11</v>
      </c>
      <c r="AG628" s="7">
        <v>0</v>
      </c>
      <c r="AH628" s="7">
        <v>0</v>
      </c>
      <c r="AI628" s="7">
        <v>-1</v>
      </c>
      <c r="AJ628" s="7">
        <v>-1</v>
      </c>
      <c r="AK628" s="7" t="s">
        <v>1064</v>
      </c>
      <c r="AL628" s="12" t="s">
        <v>1695</v>
      </c>
      <c r="AM628" s="12" t="s">
        <v>2072</v>
      </c>
    </row>
    <row r="629" spans="1:39" ht="21" customHeight="1" x14ac:dyDescent="0.15">
      <c r="A629" s="42" t="str">
        <f t="shared" si="23"/>
        <v>30038_2</v>
      </c>
      <c r="B629" s="23">
        <v>3</v>
      </c>
      <c r="C629" s="31">
        <v>30038</v>
      </c>
      <c r="D629" s="47" t="str">
        <f ca="1">VLOOKUP($C629,OFFSET(quests!$A$1,0,0,COUNTA(quests!$A:$A),MATCH(D$1,quests!$1:$1,0)-MATCH($C$2,quests!$1:$1,0)+1),MATCH(D$1,quests!$1:$1,0)-MATCH($C$2,quests!$1:$1,0)+1,FALSE)</f>
        <v>毒絶神の願い</v>
      </c>
      <c r="E629" s="48" t="str">
        <f ca="1">VLOOKUP($C629,OFFSET(quests!$A$1,0,0,COUNTA(quests!$A:$A),MATCH(E$2,quests!$1:$1,0)-MATCH($C$2,quests!$1:$1,0)+1),MATCH(E$2,quests!$1:$1,0)-MATCH($C$2,quests!$1:$1,0)+1,FALSE)</f>
        <v>エジプト神話シリーズ超級</v>
      </c>
      <c r="F629" s="7">
        <v>2</v>
      </c>
      <c r="G629" s="7" t="s">
        <v>382</v>
      </c>
      <c r="H629" s="82" t="s">
        <v>1454</v>
      </c>
      <c r="I629" s="12" t="s">
        <v>830</v>
      </c>
      <c r="J629" s="12">
        <v>1007</v>
      </c>
      <c r="K629" s="194">
        <v>20</v>
      </c>
      <c r="L629" s="195">
        <v>2000</v>
      </c>
      <c r="M629" s="167">
        <v>1</v>
      </c>
      <c r="N629" s="167">
        <v>1</v>
      </c>
      <c r="O629" s="167">
        <v>1</v>
      </c>
      <c r="P629" s="167">
        <v>1</v>
      </c>
      <c r="Q629" s="167">
        <v>1</v>
      </c>
      <c r="R629" s="167">
        <v>3</v>
      </c>
      <c r="S629" s="167" t="s">
        <v>79</v>
      </c>
      <c r="T629" s="167">
        <v>0</v>
      </c>
      <c r="U629" s="7" t="s">
        <v>169</v>
      </c>
      <c r="V629" s="7" t="s">
        <v>169</v>
      </c>
      <c r="W629" s="47" t="str">
        <f t="shared" ca="1" si="24"/>
        <v/>
      </c>
      <c r="X629" s="47">
        <f ca="1">VLOOKUP($C629,OFFSET(quests!$A$1,0,0,COUNTA(quests!$A:$A),MATCH(X$2,quests!$1:$1,0)-MATCH($C$2,quests!$1:$1,0)+1),MATCH(X$2,quests!$1:$1,0)-MATCH($C$2,quests!$1:$1,0)+1,FALSE)</f>
        <v>0</v>
      </c>
      <c r="Y629" s="47">
        <f ca="1">VLOOKUP($C629,OFFSET(quests!$A$1,0,0,COUNTA(quests!$A:$A),MATCH(Y$2,quests!$1:$1,0)-MATCH($C$2,quests!$1:$1,0)+1),MATCH(Y$2,quests!$1:$1,0)-MATCH($C$2,quests!$1:$1,0)+1,FALSE)</f>
        <v>0</v>
      </c>
      <c r="Z629" s="47">
        <f ca="1">VLOOKUP($C629,OFFSET(quests!$A$1,0,0,COUNTA(quests!$A:$A),MATCH(Z$2,quests!$1:$1,0)-MATCH($C$2,quests!$1:$1,0)+1),MATCH(Z$2,quests!$1:$1,0)-MATCH($C$2,quests!$1:$1,0)+1,FALSE)</f>
        <v>0</v>
      </c>
      <c r="AA629" s="47">
        <f ca="1">VLOOKUP($C629,OFFSET(quests!$A$1,0,0,COUNTA(quests!$A:$A),MATCH(AA$2,quests!$1:$1,0)-MATCH($C$2,quests!$1:$1,0)+1),MATCH(AA$2,quests!$1:$1,0)-MATCH($C$2,quests!$1:$1,0)+1,FALSE)</f>
        <v>0</v>
      </c>
      <c r="AB629" s="7" t="s">
        <v>56</v>
      </c>
      <c r="AC629" s="7">
        <v>8</v>
      </c>
      <c r="AD629" s="7">
        <v>6</v>
      </c>
      <c r="AE629" s="7" t="s">
        <v>519</v>
      </c>
      <c r="AF629" s="33">
        <v>11</v>
      </c>
      <c r="AG629" s="7">
        <v>0</v>
      </c>
      <c r="AH629" s="7">
        <v>0</v>
      </c>
      <c r="AI629" s="7">
        <v>-1</v>
      </c>
      <c r="AJ629" s="7">
        <v>-1</v>
      </c>
      <c r="AK629" s="7" t="s">
        <v>1064</v>
      </c>
      <c r="AL629" s="12" t="s">
        <v>1695</v>
      </c>
      <c r="AM629" s="12" t="s">
        <v>2072</v>
      </c>
    </row>
    <row r="630" spans="1:39" ht="21" customHeight="1" x14ac:dyDescent="0.15">
      <c r="A630" s="42" t="str">
        <f t="shared" si="23"/>
        <v>30038_3</v>
      </c>
      <c r="B630" s="23">
        <v>3</v>
      </c>
      <c r="C630" s="31">
        <v>30038</v>
      </c>
      <c r="D630" s="47" t="str">
        <f ca="1">VLOOKUP($C630,OFFSET(quests!$A$1,0,0,COUNTA(quests!$A:$A),MATCH(D$1,quests!$1:$1,0)-MATCH($C$2,quests!$1:$1,0)+1),MATCH(D$1,quests!$1:$1,0)-MATCH($C$2,quests!$1:$1,0)+1,FALSE)</f>
        <v>毒絶神の願い</v>
      </c>
      <c r="E630" s="48" t="str">
        <f ca="1">VLOOKUP($C630,OFFSET(quests!$A$1,0,0,COUNTA(quests!$A:$A),MATCH(E$2,quests!$1:$1,0)-MATCH($C$2,quests!$1:$1,0)+1),MATCH(E$2,quests!$1:$1,0)-MATCH($C$2,quests!$1:$1,0)+1,FALSE)</f>
        <v>エジプト神話シリーズ超級</v>
      </c>
      <c r="F630" s="7">
        <v>3</v>
      </c>
      <c r="G630" s="7" t="s">
        <v>382</v>
      </c>
      <c r="H630" s="82" t="s">
        <v>1455</v>
      </c>
      <c r="I630" s="12" t="s">
        <v>832</v>
      </c>
      <c r="J630" s="12">
        <v>1007</v>
      </c>
      <c r="K630" s="194">
        <v>30</v>
      </c>
      <c r="L630" s="195">
        <v>3300</v>
      </c>
      <c r="M630" s="167">
        <v>1</v>
      </c>
      <c r="N630" s="167">
        <v>1</v>
      </c>
      <c r="O630" s="167">
        <v>1</v>
      </c>
      <c r="P630" s="167">
        <v>1</v>
      </c>
      <c r="Q630" s="167">
        <v>1</v>
      </c>
      <c r="R630" s="167">
        <v>3</v>
      </c>
      <c r="S630" s="167" t="s">
        <v>278</v>
      </c>
      <c r="T630" s="167">
        <v>1</v>
      </c>
      <c r="U630" s="7" t="s">
        <v>169</v>
      </c>
      <c r="V630" s="7" t="s">
        <v>169</v>
      </c>
      <c r="W630" s="47" t="str">
        <f t="shared" ca="1" si="24"/>
        <v/>
      </c>
      <c r="X630" s="47">
        <f ca="1">VLOOKUP($C630,OFFSET(quests!$A$1,0,0,COUNTA(quests!$A:$A),MATCH(X$2,quests!$1:$1,0)-MATCH($C$2,quests!$1:$1,0)+1),MATCH(X$2,quests!$1:$1,0)-MATCH($C$2,quests!$1:$1,0)+1,FALSE)</f>
        <v>0</v>
      </c>
      <c r="Y630" s="47">
        <f ca="1">VLOOKUP($C630,OFFSET(quests!$A$1,0,0,COUNTA(quests!$A:$A),MATCH(Y$2,quests!$1:$1,0)-MATCH($C$2,quests!$1:$1,0)+1),MATCH(Y$2,quests!$1:$1,0)-MATCH($C$2,quests!$1:$1,0)+1,FALSE)</f>
        <v>0</v>
      </c>
      <c r="Z630" s="47">
        <f ca="1">VLOOKUP($C630,OFFSET(quests!$A$1,0,0,COUNTA(quests!$A:$A),MATCH(Z$2,quests!$1:$1,0)-MATCH($C$2,quests!$1:$1,0)+1),MATCH(Z$2,quests!$1:$1,0)-MATCH($C$2,quests!$1:$1,0)+1,FALSE)</f>
        <v>0</v>
      </c>
      <c r="AA630" s="47">
        <f ca="1">VLOOKUP($C630,OFFSET(quests!$A$1,0,0,COUNTA(quests!$A:$A),MATCH(AA$2,quests!$1:$1,0)-MATCH($C$2,quests!$1:$1,0)+1),MATCH(AA$2,quests!$1:$1,0)-MATCH($C$2,quests!$1:$1,0)+1,FALSE)</f>
        <v>0</v>
      </c>
      <c r="AB630" s="7" t="s">
        <v>56</v>
      </c>
      <c r="AC630" s="7">
        <v>8</v>
      </c>
      <c r="AD630" s="7">
        <v>6</v>
      </c>
      <c r="AE630" s="7" t="s">
        <v>519</v>
      </c>
      <c r="AF630" s="33">
        <v>11</v>
      </c>
      <c r="AG630" s="7">
        <v>0</v>
      </c>
      <c r="AH630" s="7">
        <v>0</v>
      </c>
      <c r="AI630" s="7">
        <v>-1</v>
      </c>
      <c r="AJ630" s="7">
        <v>-1</v>
      </c>
      <c r="AK630" s="7" t="s">
        <v>1065</v>
      </c>
      <c r="AL630" s="12" t="s">
        <v>1695</v>
      </c>
      <c r="AM630" s="12" t="s">
        <v>2072</v>
      </c>
    </row>
    <row r="631" spans="1:39" ht="21" customHeight="1" x14ac:dyDescent="0.15">
      <c r="A631" s="42" t="str">
        <f t="shared" ref="A631:A747" si="25">C631&amp;"_"&amp;F631</f>
        <v>30039_1</v>
      </c>
      <c r="B631" s="23">
        <v>3</v>
      </c>
      <c r="C631" s="31">
        <v>30039</v>
      </c>
      <c r="D631" s="47" t="str">
        <f ca="1">VLOOKUP($C631,OFFSET(quests!$A$1,0,0,COUNTA(quests!$A:$A),MATCH(D$1,quests!$1:$1,0)-MATCH($C$2,quests!$1:$1,0)+1),MATCH(D$1,quests!$1:$1,0)-MATCH($C$2,quests!$1:$1,0)+1,FALSE)</f>
        <v>ゼロワン・ゲーム</v>
      </c>
      <c r="E631" s="48" t="str">
        <f ca="1">VLOOKUP($C631,OFFSET(quests!$A$1,0,0,COUNTA(quests!$A:$A),MATCH(E$2,quests!$1:$1,0)-MATCH($C$2,quests!$1:$1,0)+1),MATCH(E$2,quests!$1:$1,0)-MATCH($C$2,quests!$1:$1,0)+1,FALSE)</f>
        <v>平安シリーズ超級</v>
      </c>
      <c r="F631" s="7">
        <v>1</v>
      </c>
      <c r="G631" s="7" t="s">
        <v>382</v>
      </c>
      <c r="H631" s="82" t="s">
        <v>1514</v>
      </c>
      <c r="I631" s="12" t="s">
        <v>831</v>
      </c>
      <c r="J631" s="12">
        <v>1022</v>
      </c>
      <c r="K631" s="192">
        <v>15</v>
      </c>
      <c r="L631" s="193">
        <v>1200</v>
      </c>
      <c r="M631" s="167">
        <v>1</v>
      </c>
      <c r="N631" s="167">
        <v>1</v>
      </c>
      <c r="O631" s="167">
        <v>1</v>
      </c>
      <c r="P631" s="167">
        <v>1</v>
      </c>
      <c r="Q631" s="167">
        <v>1</v>
      </c>
      <c r="R631" s="167">
        <v>3</v>
      </c>
      <c r="S631" s="167" t="s">
        <v>79</v>
      </c>
      <c r="T631" s="167">
        <v>0</v>
      </c>
      <c r="U631" s="7" t="s">
        <v>169</v>
      </c>
      <c r="V631" s="7" t="s">
        <v>169</v>
      </c>
      <c r="W631" s="47" t="str">
        <f t="shared" ca="1" si="24"/>
        <v/>
      </c>
      <c r="X631" s="47">
        <f ca="1">VLOOKUP($C631,OFFSET(quests!$A$1,0,0,COUNTA(quests!$A:$A),MATCH(X$2,quests!$1:$1,0)-MATCH($C$2,quests!$1:$1,0)+1),MATCH(X$2,quests!$1:$1,0)-MATCH($C$2,quests!$1:$1,0)+1,FALSE)</f>
        <v>0</v>
      </c>
      <c r="Y631" s="47">
        <f ca="1">VLOOKUP($C631,OFFSET(quests!$A$1,0,0,COUNTA(quests!$A:$A),MATCH(Y$2,quests!$1:$1,0)-MATCH($C$2,quests!$1:$1,0)+1),MATCH(Y$2,quests!$1:$1,0)-MATCH($C$2,quests!$1:$1,0)+1,FALSE)</f>
        <v>0</v>
      </c>
      <c r="Z631" s="47">
        <f ca="1">VLOOKUP($C631,OFFSET(quests!$A$1,0,0,COUNTA(quests!$A:$A),MATCH(Z$2,quests!$1:$1,0)-MATCH($C$2,quests!$1:$1,0)+1),MATCH(Z$2,quests!$1:$1,0)-MATCH($C$2,quests!$1:$1,0)+1,FALSE)</f>
        <v>0</v>
      </c>
      <c r="AA631" s="47">
        <f ca="1">VLOOKUP($C631,OFFSET(quests!$A$1,0,0,COUNTA(quests!$A:$A),MATCH(AA$2,quests!$1:$1,0)-MATCH($C$2,quests!$1:$1,0)+1),MATCH(AA$2,quests!$1:$1,0)-MATCH($C$2,quests!$1:$1,0)+1,FALSE)</f>
        <v>0</v>
      </c>
      <c r="AB631" s="7" t="s">
        <v>56</v>
      </c>
      <c r="AC631" s="7">
        <v>18</v>
      </c>
      <c r="AD631" s="7">
        <v>6</v>
      </c>
      <c r="AE631" s="7" t="s">
        <v>519</v>
      </c>
      <c r="AF631" s="33">
        <v>11</v>
      </c>
      <c r="AG631" s="7">
        <v>0</v>
      </c>
      <c r="AH631" s="7">
        <v>0</v>
      </c>
      <c r="AI631" s="7">
        <v>-1</v>
      </c>
      <c r="AJ631" s="7">
        <v>-1</v>
      </c>
      <c r="AK631" s="7" t="s">
        <v>1064</v>
      </c>
      <c r="AL631" s="12" t="s">
        <v>1695</v>
      </c>
      <c r="AM631" s="12" t="s">
        <v>2072</v>
      </c>
    </row>
    <row r="632" spans="1:39" ht="21" customHeight="1" x14ac:dyDescent="0.15">
      <c r="A632" s="42" t="str">
        <f t="shared" si="25"/>
        <v>30039_2</v>
      </c>
      <c r="B632" s="23">
        <v>3</v>
      </c>
      <c r="C632" s="31">
        <v>30039</v>
      </c>
      <c r="D632" s="47" t="str">
        <f ca="1">VLOOKUP($C632,OFFSET(quests!$A$1,0,0,COUNTA(quests!$A:$A),MATCH(D$1,quests!$1:$1,0)-MATCH($C$2,quests!$1:$1,0)+1),MATCH(D$1,quests!$1:$1,0)-MATCH($C$2,quests!$1:$1,0)+1,FALSE)</f>
        <v>ゼロワン・ゲーム</v>
      </c>
      <c r="E632" s="48" t="str">
        <f ca="1">VLOOKUP($C632,OFFSET(quests!$A$1,0,0,COUNTA(quests!$A:$A),MATCH(E$2,quests!$1:$1,0)-MATCH($C$2,quests!$1:$1,0)+1),MATCH(E$2,quests!$1:$1,0)-MATCH($C$2,quests!$1:$1,0)+1,FALSE)</f>
        <v>平安シリーズ超級</v>
      </c>
      <c r="F632" s="7">
        <v>2</v>
      </c>
      <c r="G632" s="7" t="s">
        <v>382</v>
      </c>
      <c r="H632" s="82" t="s">
        <v>1515</v>
      </c>
      <c r="I632" s="12" t="s">
        <v>830</v>
      </c>
      <c r="J632" s="12">
        <v>1022</v>
      </c>
      <c r="K632" s="194">
        <v>20</v>
      </c>
      <c r="L632" s="195">
        <v>2000</v>
      </c>
      <c r="M632" s="167">
        <v>1</v>
      </c>
      <c r="N632" s="167">
        <v>1</v>
      </c>
      <c r="O632" s="167">
        <v>1</v>
      </c>
      <c r="P632" s="167">
        <v>1</v>
      </c>
      <c r="Q632" s="167">
        <v>1</v>
      </c>
      <c r="R632" s="167">
        <v>3</v>
      </c>
      <c r="S632" s="167" t="s">
        <v>79</v>
      </c>
      <c r="T632" s="167">
        <v>0</v>
      </c>
      <c r="U632" s="7" t="s">
        <v>169</v>
      </c>
      <c r="V632" s="7" t="s">
        <v>169</v>
      </c>
      <c r="W632" s="47" t="str">
        <f t="shared" ca="1" si="24"/>
        <v/>
      </c>
      <c r="X632" s="47">
        <f ca="1">VLOOKUP($C632,OFFSET(quests!$A$1,0,0,COUNTA(quests!$A:$A),MATCH(X$2,quests!$1:$1,0)-MATCH($C$2,quests!$1:$1,0)+1),MATCH(X$2,quests!$1:$1,0)-MATCH($C$2,quests!$1:$1,0)+1,FALSE)</f>
        <v>0</v>
      </c>
      <c r="Y632" s="47">
        <f ca="1">VLOOKUP($C632,OFFSET(quests!$A$1,0,0,COUNTA(quests!$A:$A),MATCH(Y$2,quests!$1:$1,0)-MATCH($C$2,quests!$1:$1,0)+1),MATCH(Y$2,quests!$1:$1,0)-MATCH($C$2,quests!$1:$1,0)+1,FALSE)</f>
        <v>0</v>
      </c>
      <c r="Z632" s="47">
        <f ca="1">VLOOKUP($C632,OFFSET(quests!$A$1,0,0,COUNTA(quests!$A:$A),MATCH(Z$2,quests!$1:$1,0)-MATCH($C$2,quests!$1:$1,0)+1),MATCH(Z$2,quests!$1:$1,0)-MATCH($C$2,quests!$1:$1,0)+1,FALSE)</f>
        <v>0</v>
      </c>
      <c r="AA632" s="47">
        <f ca="1">VLOOKUP($C632,OFFSET(quests!$A$1,0,0,COUNTA(quests!$A:$A),MATCH(AA$2,quests!$1:$1,0)-MATCH($C$2,quests!$1:$1,0)+1),MATCH(AA$2,quests!$1:$1,0)-MATCH($C$2,quests!$1:$1,0)+1,FALSE)</f>
        <v>0</v>
      </c>
      <c r="AB632" s="7" t="s">
        <v>56</v>
      </c>
      <c r="AC632" s="7">
        <v>18</v>
      </c>
      <c r="AD632" s="7">
        <v>6</v>
      </c>
      <c r="AE632" s="7" t="s">
        <v>519</v>
      </c>
      <c r="AF632" s="33">
        <v>11</v>
      </c>
      <c r="AG632" s="7">
        <v>0</v>
      </c>
      <c r="AH632" s="7">
        <v>0</v>
      </c>
      <c r="AI632" s="7">
        <v>-1</v>
      </c>
      <c r="AJ632" s="7">
        <v>-1</v>
      </c>
      <c r="AK632" s="7" t="s">
        <v>1064</v>
      </c>
      <c r="AL632" s="12" t="s">
        <v>1695</v>
      </c>
      <c r="AM632" s="12" t="s">
        <v>2072</v>
      </c>
    </row>
    <row r="633" spans="1:39" ht="21" customHeight="1" x14ac:dyDescent="0.15">
      <c r="A633" s="42" t="str">
        <f t="shared" si="25"/>
        <v>30039_3</v>
      </c>
      <c r="B633" s="23">
        <v>3</v>
      </c>
      <c r="C633" s="31">
        <v>30039</v>
      </c>
      <c r="D633" s="47" t="str">
        <f ca="1">VLOOKUP($C633,OFFSET(quests!$A$1,0,0,COUNTA(quests!$A:$A),MATCH(D$1,quests!$1:$1,0)-MATCH($C$2,quests!$1:$1,0)+1),MATCH(D$1,quests!$1:$1,0)-MATCH($C$2,quests!$1:$1,0)+1,FALSE)</f>
        <v>ゼロワン・ゲーム</v>
      </c>
      <c r="E633" s="48" t="str">
        <f ca="1">VLOOKUP($C633,OFFSET(quests!$A$1,0,0,COUNTA(quests!$A:$A),MATCH(E$2,quests!$1:$1,0)-MATCH($C$2,quests!$1:$1,0)+1),MATCH(E$2,quests!$1:$1,0)-MATCH($C$2,quests!$1:$1,0)+1,FALSE)</f>
        <v>平安シリーズ超級</v>
      </c>
      <c r="F633" s="7">
        <v>3</v>
      </c>
      <c r="G633" s="7" t="s">
        <v>382</v>
      </c>
      <c r="H633" s="82" t="s">
        <v>1516</v>
      </c>
      <c r="I633" s="12" t="s">
        <v>832</v>
      </c>
      <c r="J633" s="12">
        <v>1023</v>
      </c>
      <c r="K633" s="194">
        <v>30</v>
      </c>
      <c r="L633" s="195">
        <v>3300</v>
      </c>
      <c r="M633" s="167">
        <v>1</v>
      </c>
      <c r="N633" s="167">
        <v>1</v>
      </c>
      <c r="O633" s="167">
        <v>1</v>
      </c>
      <c r="P633" s="167">
        <v>1</v>
      </c>
      <c r="Q633" s="167">
        <v>1</v>
      </c>
      <c r="R633" s="167">
        <v>3</v>
      </c>
      <c r="S633" s="167" t="s">
        <v>278</v>
      </c>
      <c r="T633" s="167">
        <v>1</v>
      </c>
      <c r="U633" s="7" t="s">
        <v>169</v>
      </c>
      <c r="V633" s="7" t="s">
        <v>169</v>
      </c>
      <c r="W633" s="47" t="str">
        <f t="shared" ca="1" si="24"/>
        <v/>
      </c>
      <c r="X633" s="47">
        <f ca="1">VLOOKUP($C633,OFFSET(quests!$A$1,0,0,COUNTA(quests!$A:$A),MATCH(X$2,quests!$1:$1,0)-MATCH($C$2,quests!$1:$1,0)+1),MATCH(X$2,quests!$1:$1,0)-MATCH($C$2,quests!$1:$1,0)+1,FALSE)</f>
        <v>0</v>
      </c>
      <c r="Y633" s="47">
        <f ca="1">VLOOKUP($C633,OFFSET(quests!$A$1,0,0,COUNTA(quests!$A:$A),MATCH(Y$2,quests!$1:$1,0)-MATCH($C$2,quests!$1:$1,0)+1),MATCH(Y$2,quests!$1:$1,0)-MATCH($C$2,quests!$1:$1,0)+1,FALSE)</f>
        <v>0</v>
      </c>
      <c r="Z633" s="47">
        <f ca="1">VLOOKUP($C633,OFFSET(quests!$A$1,0,0,COUNTA(quests!$A:$A),MATCH(Z$2,quests!$1:$1,0)-MATCH($C$2,quests!$1:$1,0)+1),MATCH(Z$2,quests!$1:$1,0)-MATCH($C$2,quests!$1:$1,0)+1,FALSE)</f>
        <v>0</v>
      </c>
      <c r="AA633" s="47">
        <f ca="1">VLOOKUP($C633,OFFSET(quests!$A$1,0,0,COUNTA(quests!$A:$A),MATCH(AA$2,quests!$1:$1,0)-MATCH($C$2,quests!$1:$1,0)+1),MATCH(AA$2,quests!$1:$1,0)-MATCH($C$2,quests!$1:$1,0)+1,FALSE)</f>
        <v>0</v>
      </c>
      <c r="AB633" s="7" t="s">
        <v>56</v>
      </c>
      <c r="AC633" s="7">
        <v>18</v>
      </c>
      <c r="AD633" s="7">
        <v>6</v>
      </c>
      <c r="AE633" s="7" t="s">
        <v>519</v>
      </c>
      <c r="AF633" s="33">
        <v>11</v>
      </c>
      <c r="AG633" s="7">
        <v>0</v>
      </c>
      <c r="AH633" s="7">
        <v>0</v>
      </c>
      <c r="AI633" s="7">
        <v>-1</v>
      </c>
      <c r="AJ633" s="7">
        <v>-1</v>
      </c>
      <c r="AK633" s="7" t="s">
        <v>1065</v>
      </c>
      <c r="AL633" s="12" t="s">
        <v>1695</v>
      </c>
      <c r="AM633" s="12" t="s">
        <v>2072</v>
      </c>
    </row>
    <row r="634" spans="1:39" ht="21" customHeight="1" x14ac:dyDescent="0.15">
      <c r="A634" s="42" t="str">
        <f t="shared" si="25"/>
        <v>30040_1</v>
      </c>
      <c r="B634" s="23">
        <v>3</v>
      </c>
      <c r="C634" s="31">
        <v>30040</v>
      </c>
      <c r="D634" s="47" t="str">
        <f ca="1">VLOOKUP($C634,OFFSET(quests!$A$1,0,0,COUNTA(quests!$A:$A),MATCH(D$1,quests!$1:$1,0)-MATCH($C$2,quests!$1:$1,0)+1),MATCH(D$1,quests!$1:$1,0)-MATCH($C$2,quests!$1:$1,0)+1,FALSE)</f>
        <v>闇ヨリ出ル魔獣</v>
      </c>
      <c r="E634" s="48" t="str">
        <f ca="1">VLOOKUP($C634,OFFSET(quests!$A$1,0,0,COUNTA(quests!$A:$A),MATCH(E$2,quests!$1:$1,0)-MATCH($C$2,quests!$1:$1,0)+1),MATCH(E$2,quests!$1:$1,0)-MATCH($C$2,quests!$1:$1,0)+1,FALSE)</f>
        <v>メソポタミア文明シリーズ超級</v>
      </c>
      <c r="F634" s="7">
        <v>1</v>
      </c>
      <c r="G634" s="7" t="s">
        <v>382</v>
      </c>
      <c r="H634" s="82" t="s">
        <v>1601</v>
      </c>
      <c r="I634" s="12" t="s">
        <v>831</v>
      </c>
      <c r="J634" s="12">
        <v>1061</v>
      </c>
      <c r="K634" s="192">
        <v>15</v>
      </c>
      <c r="L634" s="193">
        <v>1200</v>
      </c>
      <c r="M634" s="167">
        <v>1</v>
      </c>
      <c r="N634" s="167">
        <v>1</v>
      </c>
      <c r="O634" s="167">
        <v>1</v>
      </c>
      <c r="P634" s="167">
        <v>1</v>
      </c>
      <c r="Q634" s="167">
        <v>1</v>
      </c>
      <c r="R634" s="167">
        <v>3</v>
      </c>
      <c r="S634" s="167" t="s">
        <v>79</v>
      </c>
      <c r="T634" s="167">
        <v>0</v>
      </c>
      <c r="U634" s="7" t="s">
        <v>169</v>
      </c>
      <c r="V634" s="7" t="s">
        <v>169</v>
      </c>
      <c r="W634" s="47" t="str">
        <f t="shared" ca="1" si="24"/>
        <v/>
      </c>
      <c r="X634" s="47">
        <f ca="1">VLOOKUP($C634,OFFSET(quests!$A$1,0,0,COUNTA(quests!$A:$A),MATCH(X$2,quests!$1:$1,0)-MATCH($C$2,quests!$1:$1,0)+1),MATCH(X$2,quests!$1:$1,0)-MATCH($C$2,quests!$1:$1,0)+1,FALSE)</f>
        <v>0</v>
      </c>
      <c r="Y634" s="47">
        <f ca="1">VLOOKUP($C634,OFFSET(quests!$A$1,0,0,COUNTA(quests!$A:$A),MATCH(Y$2,quests!$1:$1,0)-MATCH($C$2,quests!$1:$1,0)+1),MATCH(Y$2,quests!$1:$1,0)-MATCH($C$2,quests!$1:$1,0)+1,FALSE)</f>
        <v>0</v>
      </c>
      <c r="Z634" s="47">
        <f ca="1">VLOOKUP($C634,OFFSET(quests!$A$1,0,0,COUNTA(quests!$A:$A),MATCH(Z$2,quests!$1:$1,0)-MATCH($C$2,quests!$1:$1,0)+1),MATCH(Z$2,quests!$1:$1,0)-MATCH($C$2,quests!$1:$1,0)+1,FALSE)</f>
        <v>0</v>
      </c>
      <c r="AA634" s="47">
        <f ca="1">VLOOKUP($C634,OFFSET(quests!$A$1,0,0,COUNTA(quests!$A:$A),MATCH(AA$2,quests!$1:$1,0)-MATCH($C$2,quests!$1:$1,0)+1),MATCH(AA$2,quests!$1:$1,0)-MATCH($C$2,quests!$1:$1,0)+1,FALSE)</f>
        <v>0</v>
      </c>
      <c r="AB634" s="7" t="s">
        <v>56</v>
      </c>
      <c r="AC634" s="167">
        <v>7</v>
      </c>
      <c r="AD634" s="7">
        <v>6</v>
      </c>
      <c r="AE634" s="7" t="s">
        <v>519</v>
      </c>
      <c r="AF634" s="255">
        <v>16</v>
      </c>
      <c r="AG634" s="7">
        <v>0</v>
      </c>
      <c r="AH634" s="7">
        <v>0</v>
      </c>
      <c r="AI634" s="7">
        <v>-1</v>
      </c>
      <c r="AJ634" s="7">
        <v>-1</v>
      </c>
      <c r="AK634" s="7" t="s">
        <v>1064</v>
      </c>
      <c r="AL634" s="12" t="s">
        <v>1695</v>
      </c>
      <c r="AM634" s="12" t="s">
        <v>2072</v>
      </c>
    </row>
    <row r="635" spans="1:39" ht="21" customHeight="1" x14ac:dyDescent="0.15">
      <c r="A635" s="42" t="str">
        <f t="shared" si="25"/>
        <v>30040_2</v>
      </c>
      <c r="B635" s="23">
        <v>3</v>
      </c>
      <c r="C635" s="31">
        <v>30040</v>
      </c>
      <c r="D635" s="47" t="str">
        <f ca="1">VLOOKUP($C635,OFFSET(quests!$A$1,0,0,COUNTA(quests!$A:$A),MATCH(D$1,quests!$1:$1,0)-MATCH($C$2,quests!$1:$1,0)+1),MATCH(D$1,quests!$1:$1,0)-MATCH($C$2,quests!$1:$1,0)+1,FALSE)</f>
        <v>闇ヨリ出ル魔獣</v>
      </c>
      <c r="E635" s="48" t="str">
        <f ca="1">VLOOKUP($C635,OFFSET(quests!$A$1,0,0,COUNTA(quests!$A:$A),MATCH(E$2,quests!$1:$1,0)-MATCH($C$2,quests!$1:$1,0)+1),MATCH(E$2,quests!$1:$1,0)-MATCH($C$2,quests!$1:$1,0)+1,FALSE)</f>
        <v>メソポタミア文明シリーズ超級</v>
      </c>
      <c r="F635" s="7">
        <v>2</v>
      </c>
      <c r="G635" s="7" t="s">
        <v>382</v>
      </c>
      <c r="H635" s="82" t="s">
        <v>1602</v>
      </c>
      <c r="I635" s="12" t="s">
        <v>830</v>
      </c>
      <c r="J635" s="12">
        <v>1062</v>
      </c>
      <c r="K635" s="194">
        <v>20</v>
      </c>
      <c r="L635" s="195">
        <v>2000</v>
      </c>
      <c r="M635" s="167">
        <v>1</v>
      </c>
      <c r="N635" s="167">
        <v>1</v>
      </c>
      <c r="O635" s="167">
        <v>1</v>
      </c>
      <c r="P635" s="167">
        <v>1</v>
      </c>
      <c r="Q635" s="167">
        <v>1</v>
      </c>
      <c r="R635" s="167">
        <v>3</v>
      </c>
      <c r="S635" s="167" t="s">
        <v>79</v>
      </c>
      <c r="T635" s="167">
        <v>0</v>
      </c>
      <c r="U635" s="7" t="s">
        <v>169</v>
      </c>
      <c r="V635" s="7" t="s">
        <v>169</v>
      </c>
      <c r="W635" s="47" t="str">
        <f t="shared" ca="1" si="24"/>
        <v/>
      </c>
      <c r="X635" s="47">
        <f ca="1">VLOOKUP($C635,OFFSET(quests!$A$1,0,0,COUNTA(quests!$A:$A),MATCH(X$2,quests!$1:$1,0)-MATCH($C$2,quests!$1:$1,0)+1),MATCH(X$2,quests!$1:$1,0)-MATCH($C$2,quests!$1:$1,0)+1,FALSE)</f>
        <v>0</v>
      </c>
      <c r="Y635" s="47">
        <f ca="1">VLOOKUP($C635,OFFSET(quests!$A$1,0,0,COUNTA(quests!$A:$A),MATCH(Y$2,quests!$1:$1,0)-MATCH($C$2,quests!$1:$1,0)+1),MATCH(Y$2,quests!$1:$1,0)-MATCH($C$2,quests!$1:$1,0)+1,FALSE)</f>
        <v>0</v>
      </c>
      <c r="Z635" s="47">
        <f ca="1">VLOOKUP($C635,OFFSET(quests!$A$1,0,0,COUNTA(quests!$A:$A),MATCH(Z$2,quests!$1:$1,0)-MATCH($C$2,quests!$1:$1,0)+1),MATCH(Z$2,quests!$1:$1,0)-MATCH($C$2,quests!$1:$1,0)+1,FALSE)</f>
        <v>0</v>
      </c>
      <c r="AA635" s="47">
        <f ca="1">VLOOKUP($C635,OFFSET(quests!$A$1,0,0,COUNTA(quests!$A:$A),MATCH(AA$2,quests!$1:$1,0)-MATCH($C$2,quests!$1:$1,0)+1),MATCH(AA$2,quests!$1:$1,0)-MATCH($C$2,quests!$1:$1,0)+1,FALSE)</f>
        <v>0</v>
      </c>
      <c r="AB635" s="7" t="s">
        <v>56</v>
      </c>
      <c r="AC635" s="167">
        <v>7</v>
      </c>
      <c r="AD635" s="7">
        <v>6</v>
      </c>
      <c r="AE635" s="7" t="s">
        <v>519</v>
      </c>
      <c r="AF635" s="255">
        <v>16</v>
      </c>
      <c r="AG635" s="7">
        <v>0</v>
      </c>
      <c r="AH635" s="7">
        <v>0</v>
      </c>
      <c r="AI635" s="7">
        <v>-1</v>
      </c>
      <c r="AJ635" s="7">
        <v>-1</v>
      </c>
      <c r="AK635" s="7" t="s">
        <v>1064</v>
      </c>
      <c r="AL635" s="12" t="s">
        <v>1695</v>
      </c>
      <c r="AM635" s="12" t="s">
        <v>2072</v>
      </c>
    </row>
    <row r="636" spans="1:39" ht="21" customHeight="1" x14ac:dyDescent="0.15">
      <c r="A636" s="42" t="str">
        <f t="shared" si="25"/>
        <v>30040_3</v>
      </c>
      <c r="B636" s="23">
        <v>3</v>
      </c>
      <c r="C636" s="31">
        <v>30040</v>
      </c>
      <c r="D636" s="47" t="str">
        <f ca="1">VLOOKUP($C636,OFFSET(quests!$A$1,0,0,COUNTA(quests!$A:$A),MATCH(D$1,quests!$1:$1,0)-MATCH($C$2,quests!$1:$1,0)+1),MATCH(D$1,quests!$1:$1,0)-MATCH($C$2,quests!$1:$1,0)+1,FALSE)</f>
        <v>闇ヨリ出ル魔獣</v>
      </c>
      <c r="E636" s="48" t="str">
        <f ca="1">VLOOKUP($C636,OFFSET(quests!$A$1,0,0,COUNTA(quests!$A:$A),MATCH(E$2,quests!$1:$1,0)-MATCH($C$2,quests!$1:$1,0)+1),MATCH(E$2,quests!$1:$1,0)-MATCH($C$2,quests!$1:$1,0)+1,FALSE)</f>
        <v>メソポタミア文明シリーズ超級</v>
      </c>
      <c r="F636" s="7">
        <v>3</v>
      </c>
      <c r="G636" s="7" t="s">
        <v>382</v>
      </c>
      <c r="H636" s="82" t="s">
        <v>1603</v>
      </c>
      <c r="I636" s="12" t="s">
        <v>832</v>
      </c>
      <c r="J636" s="12">
        <v>1062</v>
      </c>
      <c r="K636" s="194">
        <v>30</v>
      </c>
      <c r="L636" s="195">
        <v>3300</v>
      </c>
      <c r="M636" s="167">
        <v>1</v>
      </c>
      <c r="N636" s="167">
        <v>1</v>
      </c>
      <c r="O636" s="167">
        <v>1</v>
      </c>
      <c r="P636" s="167">
        <v>1</v>
      </c>
      <c r="Q636" s="167">
        <v>1</v>
      </c>
      <c r="R636" s="167">
        <v>3</v>
      </c>
      <c r="S636" s="167" t="s">
        <v>278</v>
      </c>
      <c r="T636" s="167">
        <v>1</v>
      </c>
      <c r="U636" s="7" t="s">
        <v>169</v>
      </c>
      <c r="V636" s="7" t="s">
        <v>169</v>
      </c>
      <c r="W636" s="47" t="str">
        <f t="shared" ca="1" si="24"/>
        <v/>
      </c>
      <c r="X636" s="47">
        <f ca="1">VLOOKUP($C636,OFFSET(quests!$A$1,0,0,COUNTA(quests!$A:$A),MATCH(X$2,quests!$1:$1,0)-MATCH($C$2,quests!$1:$1,0)+1),MATCH(X$2,quests!$1:$1,0)-MATCH($C$2,quests!$1:$1,0)+1,FALSE)</f>
        <v>0</v>
      </c>
      <c r="Y636" s="47">
        <f ca="1">VLOOKUP($C636,OFFSET(quests!$A$1,0,0,COUNTA(quests!$A:$A),MATCH(Y$2,quests!$1:$1,0)-MATCH($C$2,quests!$1:$1,0)+1),MATCH(Y$2,quests!$1:$1,0)-MATCH($C$2,quests!$1:$1,0)+1,FALSE)</f>
        <v>0</v>
      </c>
      <c r="Z636" s="47">
        <f ca="1">VLOOKUP($C636,OFFSET(quests!$A$1,0,0,COUNTA(quests!$A:$A),MATCH(Z$2,quests!$1:$1,0)-MATCH($C$2,quests!$1:$1,0)+1),MATCH(Z$2,quests!$1:$1,0)-MATCH($C$2,quests!$1:$1,0)+1,FALSE)</f>
        <v>0</v>
      </c>
      <c r="AA636" s="47">
        <f ca="1">VLOOKUP($C636,OFFSET(quests!$A$1,0,0,COUNTA(quests!$A:$A),MATCH(AA$2,quests!$1:$1,0)-MATCH($C$2,quests!$1:$1,0)+1),MATCH(AA$2,quests!$1:$1,0)-MATCH($C$2,quests!$1:$1,0)+1,FALSE)</f>
        <v>0</v>
      </c>
      <c r="AB636" s="7" t="s">
        <v>56</v>
      </c>
      <c r="AC636" s="167">
        <v>7</v>
      </c>
      <c r="AD636" s="7">
        <v>6</v>
      </c>
      <c r="AE636" s="7" t="s">
        <v>519</v>
      </c>
      <c r="AF636" s="255">
        <v>16</v>
      </c>
      <c r="AG636" s="7">
        <v>0</v>
      </c>
      <c r="AH636" s="7">
        <v>0</v>
      </c>
      <c r="AI636" s="7">
        <v>-1</v>
      </c>
      <c r="AJ636" s="7">
        <v>-1</v>
      </c>
      <c r="AK636" s="7" t="s">
        <v>1065</v>
      </c>
      <c r="AL636" s="12" t="s">
        <v>1695</v>
      </c>
      <c r="AM636" s="12" t="s">
        <v>2072</v>
      </c>
    </row>
    <row r="637" spans="1:39" ht="21" customHeight="1" x14ac:dyDescent="0.15">
      <c r="A637" s="42" t="str">
        <f t="shared" si="25"/>
        <v>30041_1</v>
      </c>
      <c r="B637" s="23">
        <v>3</v>
      </c>
      <c r="C637" s="31">
        <v>30041</v>
      </c>
      <c r="D637" s="47" t="str">
        <f ca="1">VLOOKUP($C637,OFFSET(quests!$A$1,0,0,COUNTA(quests!$A:$A),MATCH(D$1,quests!$1:$1,0)-MATCH($C$2,quests!$1:$1,0)+1),MATCH(D$1,quests!$1:$1,0)-MATCH($C$2,quests!$1:$1,0)+1,FALSE)</f>
        <v>パラノイア・アート</v>
      </c>
      <c r="E637" s="48" t="str">
        <f ca="1">VLOOKUP($C637,OFFSET(quests!$A$1,0,0,COUNTA(quests!$A:$A),MATCH(E$2,quests!$1:$1,0)-MATCH($C$2,quests!$1:$1,0)+1),MATCH(E$2,quests!$1:$1,0)-MATCH($C$2,quests!$1:$1,0)+1,FALSE)</f>
        <v>画家シリーズ超級</v>
      </c>
      <c r="F637" s="7">
        <v>1</v>
      </c>
      <c r="G637" s="7" t="s">
        <v>382</v>
      </c>
      <c r="H637" s="82" t="s">
        <v>1628</v>
      </c>
      <c r="I637" s="12" t="s">
        <v>831</v>
      </c>
      <c r="J637" s="12">
        <v>1096</v>
      </c>
      <c r="K637" s="192">
        <v>15</v>
      </c>
      <c r="L637" s="193">
        <v>1200</v>
      </c>
      <c r="M637" s="167">
        <v>1</v>
      </c>
      <c r="N637" s="96">
        <v>0</v>
      </c>
      <c r="O637" s="167">
        <v>1</v>
      </c>
      <c r="P637" s="167">
        <v>1</v>
      </c>
      <c r="Q637" s="167">
        <v>1</v>
      </c>
      <c r="R637" s="167">
        <v>3</v>
      </c>
      <c r="S637" s="167" t="s">
        <v>79</v>
      </c>
      <c r="T637" s="167">
        <v>0</v>
      </c>
      <c r="U637" s="7" t="s">
        <v>169</v>
      </c>
      <c r="V637" s="7" t="s">
        <v>169</v>
      </c>
      <c r="W637" s="47" t="str">
        <f t="shared" ca="1" si="24"/>
        <v/>
      </c>
      <c r="X637" s="47">
        <f ca="1">VLOOKUP($C637,OFFSET(quests!$A$1,0,0,COUNTA(quests!$A:$A),MATCH(X$2,quests!$1:$1,0)-MATCH($C$2,quests!$1:$1,0)+1),MATCH(X$2,quests!$1:$1,0)-MATCH($C$2,quests!$1:$1,0)+1,FALSE)</f>
        <v>0</v>
      </c>
      <c r="Y637" s="47">
        <f ca="1">VLOOKUP($C637,OFFSET(quests!$A$1,0,0,COUNTA(quests!$A:$A),MATCH(Y$2,quests!$1:$1,0)-MATCH($C$2,quests!$1:$1,0)+1),MATCH(Y$2,quests!$1:$1,0)-MATCH($C$2,quests!$1:$1,0)+1,FALSE)</f>
        <v>0</v>
      </c>
      <c r="Z637" s="47">
        <f ca="1">VLOOKUP($C637,OFFSET(quests!$A$1,0,0,COUNTA(quests!$A:$A),MATCH(Z$2,quests!$1:$1,0)-MATCH($C$2,quests!$1:$1,0)+1),MATCH(Z$2,quests!$1:$1,0)-MATCH($C$2,quests!$1:$1,0)+1,FALSE)</f>
        <v>0</v>
      </c>
      <c r="AA637" s="47">
        <f ca="1">VLOOKUP($C637,OFFSET(quests!$A$1,0,0,COUNTA(quests!$A:$A),MATCH(AA$2,quests!$1:$1,0)-MATCH($C$2,quests!$1:$1,0)+1),MATCH(AA$2,quests!$1:$1,0)-MATCH($C$2,quests!$1:$1,0)+1,FALSE)</f>
        <v>0</v>
      </c>
      <c r="AB637" s="7" t="s">
        <v>56</v>
      </c>
      <c r="AC637" s="167">
        <v>25</v>
      </c>
      <c r="AD637" s="7">
        <v>6</v>
      </c>
      <c r="AE637" s="7" t="s">
        <v>519</v>
      </c>
      <c r="AF637" s="255">
        <v>16</v>
      </c>
      <c r="AG637" s="7">
        <v>0</v>
      </c>
      <c r="AH637" s="7">
        <v>0</v>
      </c>
      <c r="AI637" s="7">
        <v>-1</v>
      </c>
      <c r="AJ637" s="7">
        <v>-1</v>
      </c>
      <c r="AK637" s="7" t="s">
        <v>1064</v>
      </c>
      <c r="AL637" s="12" t="s">
        <v>1695</v>
      </c>
      <c r="AM637" s="12" t="s">
        <v>2072</v>
      </c>
    </row>
    <row r="638" spans="1:39" ht="21" customHeight="1" x14ac:dyDescent="0.15">
      <c r="A638" s="42" t="str">
        <f t="shared" si="25"/>
        <v>30041_2</v>
      </c>
      <c r="B638" s="23">
        <v>3</v>
      </c>
      <c r="C638" s="31">
        <v>30041</v>
      </c>
      <c r="D638" s="47" t="str">
        <f ca="1">VLOOKUP($C638,OFFSET(quests!$A$1,0,0,COUNTA(quests!$A:$A),MATCH(D$1,quests!$1:$1,0)-MATCH($C$2,quests!$1:$1,0)+1),MATCH(D$1,quests!$1:$1,0)-MATCH($C$2,quests!$1:$1,0)+1,FALSE)</f>
        <v>パラノイア・アート</v>
      </c>
      <c r="E638" s="48" t="str">
        <f ca="1">VLOOKUP($C638,OFFSET(quests!$A$1,0,0,COUNTA(quests!$A:$A),MATCH(E$2,quests!$1:$1,0)-MATCH($C$2,quests!$1:$1,0)+1),MATCH(E$2,quests!$1:$1,0)-MATCH($C$2,quests!$1:$1,0)+1,FALSE)</f>
        <v>画家シリーズ超級</v>
      </c>
      <c r="F638" s="7">
        <v>2</v>
      </c>
      <c r="G638" s="7" t="s">
        <v>382</v>
      </c>
      <c r="H638" s="82" t="s">
        <v>1629</v>
      </c>
      <c r="I638" s="12" t="s">
        <v>830</v>
      </c>
      <c r="J638" s="12">
        <v>1097</v>
      </c>
      <c r="K638" s="194">
        <v>20</v>
      </c>
      <c r="L638" s="195">
        <v>2000</v>
      </c>
      <c r="M638" s="167">
        <v>1</v>
      </c>
      <c r="N638" s="96">
        <v>0</v>
      </c>
      <c r="O638" s="167">
        <v>1</v>
      </c>
      <c r="P638" s="167">
        <v>1</v>
      </c>
      <c r="Q638" s="167">
        <v>1</v>
      </c>
      <c r="R638" s="167">
        <v>3</v>
      </c>
      <c r="S638" s="167" t="s">
        <v>79</v>
      </c>
      <c r="T638" s="167">
        <v>0</v>
      </c>
      <c r="U638" s="7" t="s">
        <v>169</v>
      </c>
      <c r="V638" s="7" t="s">
        <v>169</v>
      </c>
      <c r="W638" s="47" t="str">
        <f t="shared" ca="1" si="24"/>
        <v/>
      </c>
      <c r="X638" s="47">
        <f ca="1">VLOOKUP($C638,OFFSET(quests!$A$1,0,0,COUNTA(quests!$A:$A),MATCH(X$2,quests!$1:$1,0)-MATCH($C$2,quests!$1:$1,0)+1),MATCH(X$2,quests!$1:$1,0)-MATCH($C$2,quests!$1:$1,0)+1,FALSE)</f>
        <v>0</v>
      </c>
      <c r="Y638" s="47">
        <f ca="1">VLOOKUP($C638,OFFSET(quests!$A$1,0,0,COUNTA(quests!$A:$A),MATCH(Y$2,quests!$1:$1,0)-MATCH($C$2,quests!$1:$1,0)+1),MATCH(Y$2,quests!$1:$1,0)-MATCH($C$2,quests!$1:$1,0)+1,FALSE)</f>
        <v>0</v>
      </c>
      <c r="Z638" s="47">
        <f ca="1">VLOOKUP($C638,OFFSET(quests!$A$1,0,0,COUNTA(quests!$A:$A),MATCH(Z$2,quests!$1:$1,0)-MATCH($C$2,quests!$1:$1,0)+1),MATCH(Z$2,quests!$1:$1,0)-MATCH($C$2,quests!$1:$1,0)+1,FALSE)</f>
        <v>0</v>
      </c>
      <c r="AA638" s="47">
        <f ca="1">VLOOKUP($C638,OFFSET(quests!$A$1,0,0,COUNTA(quests!$A:$A),MATCH(AA$2,quests!$1:$1,0)-MATCH($C$2,quests!$1:$1,0)+1),MATCH(AA$2,quests!$1:$1,0)-MATCH($C$2,quests!$1:$1,0)+1,FALSE)</f>
        <v>0</v>
      </c>
      <c r="AB638" s="7" t="s">
        <v>56</v>
      </c>
      <c r="AC638" s="167">
        <v>25</v>
      </c>
      <c r="AD638" s="7">
        <v>6</v>
      </c>
      <c r="AE638" s="7" t="s">
        <v>519</v>
      </c>
      <c r="AF638" s="255">
        <v>16</v>
      </c>
      <c r="AG638" s="7">
        <v>0</v>
      </c>
      <c r="AH638" s="7">
        <v>0</v>
      </c>
      <c r="AI638" s="7">
        <v>-1</v>
      </c>
      <c r="AJ638" s="7">
        <v>-1</v>
      </c>
      <c r="AK638" s="7" t="s">
        <v>1064</v>
      </c>
      <c r="AL638" s="12" t="s">
        <v>1695</v>
      </c>
      <c r="AM638" s="12" t="s">
        <v>2072</v>
      </c>
    </row>
    <row r="639" spans="1:39" ht="21" customHeight="1" x14ac:dyDescent="0.15">
      <c r="A639" s="42" t="str">
        <f t="shared" si="25"/>
        <v>30041_3</v>
      </c>
      <c r="B639" s="23">
        <v>3</v>
      </c>
      <c r="C639" s="31">
        <v>30041</v>
      </c>
      <c r="D639" s="47" t="str">
        <f ca="1">VLOOKUP($C639,OFFSET(quests!$A$1,0,0,COUNTA(quests!$A:$A),MATCH(D$1,quests!$1:$1,0)-MATCH($C$2,quests!$1:$1,0)+1),MATCH(D$1,quests!$1:$1,0)-MATCH($C$2,quests!$1:$1,0)+1,FALSE)</f>
        <v>パラノイア・アート</v>
      </c>
      <c r="E639" s="48" t="str">
        <f ca="1">VLOOKUP($C639,OFFSET(quests!$A$1,0,0,COUNTA(quests!$A:$A),MATCH(E$2,quests!$1:$1,0)-MATCH($C$2,quests!$1:$1,0)+1),MATCH(E$2,quests!$1:$1,0)-MATCH($C$2,quests!$1:$1,0)+1,FALSE)</f>
        <v>画家シリーズ超級</v>
      </c>
      <c r="F639" s="7">
        <v>3</v>
      </c>
      <c r="G639" s="7" t="s">
        <v>382</v>
      </c>
      <c r="H639" s="82" t="s">
        <v>1630</v>
      </c>
      <c r="I639" s="12" t="s">
        <v>832</v>
      </c>
      <c r="J639" s="12">
        <v>1097</v>
      </c>
      <c r="K639" s="194">
        <v>30</v>
      </c>
      <c r="L639" s="195">
        <v>3300</v>
      </c>
      <c r="M639" s="167">
        <v>1</v>
      </c>
      <c r="N639" s="96">
        <v>0</v>
      </c>
      <c r="O639" s="167">
        <v>1</v>
      </c>
      <c r="P639" s="167">
        <v>1</v>
      </c>
      <c r="Q639" s="167">
        <v>1</v>
      </c>
      <c r="R639" s="167">
        <v>3</v>
      </c>
      <c r="S639" s="167" t="s">
        <v>278</v>
      </c>
      <c r="T639" s="167">
        <v>1</v>
      </c>
      <c r="U639" s="7" t="s">
        <v>169</v>
      </c>
      <c r="V639" s="7" t="s">
        <v>169</v>
      </c>
      <c r="W639" s="47" t="str">
        <f t="shared" ca="1" si="24"/>
        <v/>
      </c>
      <c r="X639" s="47">
        <f ca="1">VLOOKUP($C639,OFFSET(quests!$A$1,0,0,COUNTA(quests!$A:$A),MATCH(X$2,quests!$1:$1,0)-MATCH($C$2,quests!$1:$1,0)+1),MATCH(X$2,quests!$1:$1,0)-MATCH($C$2,quests!$1:$1,0)+1,FALSE)</f>
        <v>0</v>
      </c>
      <c r="Y639" s="47">
        <f ca="1">VLOOKUP($C639,OFFSET(quests!$A$1,0,0,COUNTA(quests!$A:$A),MATCH(Y$2,quests!$1:$1,0)-MATCH($C$2,quests!$1:$1,0)+1),MATCH(Y$2,quests!$1:$1,0)-MATCH($C$2,quests!$1:$1,0)+1,FALSE)</f>
        <v>0</v>
      </c>
      <c r="Z639" s="47">
        <f ca="1">VLOOKUP($C639,OFFSET(quests!$A$1,0,0,COUNTA(quests!$A:$A),MATCH(Z$2,quests!$1:$1,0)-MATCH($C$2,quests!$1:$1,0)+1),MATCH(Z$2,quests!$1:$1,0)-MATCH($C$2,quests!$1:$1,0)+1,FALSE)</f>
        <v>0</v>
      </c>
      <c r="AA639" s="47">
        <f ca="1">VLOOKUP($C639,OFFSET(quests!$A$1,0,0,COUNTA(quests!$A:$A),MATCH(AA$2,quests!$1:$1,0)-MATCH($C$2,quests!$1:$1,0)+1),MATCH(AA$2,quests!$1:$1,0)-MATCH($C$2,quests!$1:$1,0)+1,FALSE)</f>
        <v>0</v>
      </c>
      <c r="AB639" s="7" t="s">
        <v>56</v>
      </c>
      <c r="AC639" s="167">
        <v>25</v>
      </c>
      <c r="AD639" s="7">
        <v>6</v>
      </c>
      <c r="AE639" s="7" t="s">
        <v>519</v>
      </c>
      <c r="AF639" s="255">
        <v>16</v>
      </c>
      <c r="AG639" s="7">
        <v>0</v>
      </c>
      <c r="AH639" s="7">
        <v>0</v>
      </c>
      <c r="AI639" s="7">
        <v>-1</v>
      </c>
      <c r="AJ639" s="7">
        <v>-1</v>
      </c>
      <c r="AK639" s="7" t="s">
        <v>1065</v>
      </c>
      <c r="AL639" s="12" t="s">
        <v>1695</v>
      </c>
      <c r="AM639" s="12" t="s">
        <v>2072</v>
      </c>
    </row>
    <row r="640" spans="1:39" ht="21" customHeight="1" x14ac:dyDescent="0.15">
      <c r="A640" s="42" t="str">
        <f t="shared" si="25"/>
        <v>30042_1</v>
      </c>
      <c r="B640" s="23">
        <v>3</v>
      </c>
      <c r="C640" s="31">
        <v>30042</v>
      </c>
      <c r="D640" s="47" t="str">
        <f ca="1">VLOOKUP($C640,OFFSET(quests!$A$1,0,0,COUNTA(quests!$A:$A),MATCH(D$1,quests!$1:$1,0)-MATCH($C$2,quests!$1:$1,0)+1),MATCH(D$1,quests!$1:$1,0)-MATCH($C$2,quests!$1:$1,0)+1,FALSE)</f>
        <v>馬中に赤兎あり！</v>
      </c>
      <c r="E640" s="48" t="str">
        <f ca="1">VLOOKUP($C640,OFFSET(quests!$A$1,0,0,COUNTA(quests!$A:$A),MATCH(E$2,quests!$1:$1,0)-MATCH($C$2,quests!$1:$1,0)+1),MATCH(E$2,quests!$1:$1,0)-MATCH($C$2,quests!$1:$1,0)+1,FALSE)</f>
        <v>三国志シリーズ超級</v>
      </c>
      <c r="F640" s="7">
        <v>1</v>
      </c>
      <c r="G640" s="7" t="s">
        <v>382</v>
      </c>
      <c r="H640" s="82" t="s">
        <v>1671</v>
      </c>
      <c r="I640" s="12" t="s">
        <v>831</v>
      </c>
      <c r="J640" s="12">
        <v>1130</v>
      </c>
      <c r="K640" s="192">
        <v>15</v>
      </c>
      <c r="L640" s="193">
        <v>1200</v>
      </c>
      <c r="M640" s="167">
        <v>1</v>
      </c>
      <c r="N640" s="167">
        <v>1</v>
      </c>
      <c r="O640" s="167">
        <v>1</v>
      </c>
      <c r="P640" s="167">
        <v>1</v>
      </c>
      <c r="Q640" s="96">
        <v>0</v>
      </c>
      <c r="R640" s="167">
        <v>3</v>
      </c>
      <c r="S640" s="167" t="s">
        <v>79</v>
      </c>
      <c r="T640" s="167">
        <v>0</v>
      </c>
      <c r="U640" s="7" t="s">
        <v>169</v>
      </c>
      <c r="V640" s="7" t="s">
        <v>169</v>
      </c>
      <c r="W640" s="47" t="str">
        <f t="shared" ca="1" si="24"/>
        <v/>
      </c>
      <c r="X640" s="47">
        <f ca="1">VLOOKUP($C640,OFFSET(quests!$A$1,0,0,COUNTA(quests!$A:$A),MATCH(X$2,quests!$1:$1,0)-MATCH($C$2,quests!$1:$1,0)+1),MATCH(X$2,quests!$1:$1,0)-MATCH($C$2,quests!$1:$1,0)+1,FALSE)</f>
        <v>0</v>
      </c>
      <c r="Y640" s="47">
        <f ca="1">VLOOKUP($C640,OFFSET(quests!$A$1,0,0,COUNTA(quests!$A:$A),MATCH(Y$2,quests!$1:$1,0)-MATCH($C$2,quests!$1:$1,0)+1),MATCH(Y$2,quests!$1:$1,0)-MATCH($C$2,quests!$1:$1,0)+1,FALSE)</f>
        <v>0</v>
      </c>
      <c r="Z640" s="47">
        <f ca="1">VLOOKUP($C640,OFFSET(quests!$A$1,0,0,COUNTA(quests!$A:$A),MATCH(Z$2,quests!$1:$1,0)-MATCH($C$2,quests!$1:$1,0)+1),MATCH(Z$2,quests!$1:$1,0)-MATCH($C$2,quests!$1:$1,0)+1,FALSE)</f>
        <v>0</v>
      </c>
      <c r="AA640" s="47">
        <f ca="1">VLOOKUP($C640,OFFSET(quests!$A$1,0,0,COUNTA(quests!$A:$A),MATCH(AA$2,quests!$1:$1,0)-MATCH($C$2,quests!$1:$1,0)+1),MATCH(AA$2,quests!$1:$1,0)-MATCH($C$2,quests!$1:$1,0)+1,FALSE)</f>
        <v>0</v>
      </c>
      <c r="AB640" s="7" t="s">
        <v>56</v>
      </c>
      <c r="AC640" s="167">
        <v>14</v>
      </c>
      <c r="AD640" s="7">
        <v>6</v>
      </c>
      <c r="AE640" s="33" t="s">
        <v>1669</v>
      </c>
      <c r="AF640" s="7">
        <v>11</v>
      </c>
      <c r="AG640" s="7">
        <v>0</v>
      </c>
      <c r="AH640" s="7">
        <v>0</v>
      </c>
      <c r="AI640" s="7">
        <v>-1</v>
      </c>
      <c r="AJ640" s="7">
        <v>-1</v>
      </c>
      <c r="AK640" s="7" t="s">
        <v>1064</v>
      </c>
      <c r="AL640" s="12" t="s">
        <v>1695</v>
      </c>
      <c r="AM640" s="12" t="s">
        <v>2072</v>
      </c>
    </row>
    <row r="641" spans="1:39" ht="21" customHeight="1" x14ac:dyDescent="0.15">
      <c r="A641" s="42" t="str">
        <f t="shared" si="25"/>
        <v>30042_2</v>
      </c>
      <c r="B641" s="23">
        <v>3</v>
      </c>
      <c r="C641" s="31">
        <v>30042</v>
      </c>
      <c r="D641" s="47" t="str">
        <f ca="1">VLOOKUP($C641,OFFSET(quests!$A$1,0,0,COUNTA(quests!$A:$A),MATCH(D$1,quests!$1:$1,0)-MATCH($C$2,quests!$1:$1,0)+1),MATCH(D$1,quests!$1:$1,0)-MATCH($C$2,quests!$1:$1,0)+1,FALSE)</f>
        <v>馬中に赤兎あり！</v>
      </c>
      <c r="E641" s="48" t="str">
        <f ca="1">VLOOKUP($C641,OFFSET(quests!$A$1,0,0,COUNTA(quests!$A:$A),MATCH(E$2,quests!$1:$1,0)-MATCH($C$2,quests!$1:$1,0)+1),MATCH(E$2,quests!$1:$1,0)-MATCH($C$2,quests!$1:$1,0)+1,FALSE)</f>
        <v>三国志シリーズ超級</v>
      </c>
      <c r="F641" s="7">
        <v>2</v>
      </c>
      <c r="G641" s="7" t="s">
        <v>382</v>
      </c>
      <c r="H641" s="82" t="s">
        <v>1672</v>
      </c>
      <c r="I641" s="12" t="s">
        <v>830</v>
      </c>
      <c r="J641" s="12">
        <v>1130</v>
      </c>
      <c r="K641" s="194">
        <v>20</v>
      </c>
      <c r="L641" s="195">
        <v>2000</v>
      </c>
      <c r="M641" s="167">
        <v>1</v>
      </c>
      <c r="N641" s="167">
        <v>1</v>
      </c>
      <c r="O641" s="167">
        <v>1</v>
      </c>
      <c r="P641" s="167">
        <v>1</v>
      </c>
      <c r="Q641" s="96">
        <v>0</v>
      </c>
      <c r="R641" s="167">
        <v>3</v>
      </c>
      <c r="S641" s="167" t="s">
        <v>79</v>
      </c>
      <c r="T641" s="167">
        <v>0</v>
      </c>
      <c r="U641" s="7" t="s">
        <v>169</v>
      </c>
      <c r="V641" s="7" t="s">
        <v>169</v>
      </c>
      <c r="W641" s="47" t="str">
        <f t="shared" ca="1" si="24"/>
        <v/>
      </c>
      <c r="X641" s="47">
        <f ca="1">VLOOKUP($C641,OFFSET(quests!$A$1,0,0,COUNTA(quests!$A:$A),MATCH(X$2,quests!$1:$1,0)-MATCH($C$2,quests!$1:$1,0)+1),MATCH(X$2,quests!$1:$1,0)-MATCH($C$2,quests!$1:$1,0)+1,FALSE)</f>
        <v>0</v>
      </c>
      <c r="Y641" s="47">
        <f ca="1">VLOOKUP($C641,OFFSET(quests!$A$1,0,0,COUNTA(quests!$A:$A),MATCH(Y$2,quests!$1:$1,0)-MATCH($C$2,quests!$1:$1,0)+1),MATCH(Y$2,quests!$1:$1,0)-MATCH($C$2,quests!$1:$1,0)+1,FALSE)</f>
        <v>0</v>
      </c>
      <c r="Z641" s="47">
        <f ca="1">VLOOKUP($C641,OFFSET(quests!$A$1,0,0,COUNTA(quests!$A:$A),MATCH(Z$2,quests!$1:$1,0)-MATCH($C$2,quests!$1:$1,0)+1),MATCH(Z$2,quests!$1:$1,0)-MATCH($C$2,quests!$1:$1,0)+1,FALSE)</f>
        <v>0</v>
      </c>
      <c r="AA641" s="47">
        <f ca="1">VLOOKUP($C641,OFFSET(quests!$A$1,0,0,COUNTA(quests!$A:$A),MATCH(AA$2,quests!$1:$1,0)-MATCH($C$2,quests!$1:$1,0)+1),MATCH(AA$2,quests!$1:$1,0)-MATCH($C$2,quests!$1:$1,0)+1,FALSE)</f>
        <v>0</v>
      </c>
      <c r="AB641" s="7" t="s">
        <v>56</v>
      </c>
      <c r="AC641" s="167">
        <v>14</v>
      </c>
      <c r="AD641" s="7">
        <v>6</v>
      </c>
      <c r="AE641" s="33" t="s">
        <v>1669</v>
      </c>
      <c r="AF641" s="7">
        <v>11</v>
      </c>
      <c r="AG641" s="7">
        <v>0</v>
      </c>
      <c r="AH641" s="7">
        <v>0</v>
      </c>
      <c r="AI641" s="7">
        <v>-1</v>
      </c>
      <c r="AJ641" s="7">
        <v>-1</v>
      </c>
      <c r="AK641" s="7" t="s">
        <v>1064</v>
      </c>
      <c r="AL641" s="12" t="s">
        <v>1695</v>
      </c>
      <c r="AM641" s="12" t="s">
        <v>2072</v>
      </c>
    </row>
    <row r="642" spans="1:39" ht="21" customHeight="1" x14ac:dyDescent="0.15">
      <c r="A642" s="42" t="str">
        <f t="shared" si="25"/>
        <v>30042_3</v>
      </c>
      <c r="B642" s="23">
        <v>3</v>
      </c>
      <c r="C642" s="31">
        <v>30042</v>
      </c>
      <c r="D642" s="47" t="str">
        <f ca="1">VLOOKUP($C642,OFFSET(quests!$A$1,0,0,COUNTA(quests!$A:$A),MATCH(D$1,quests!$1:$1,0)-MATCH($C$2,quests!$1:$1,0)+1),MATCH(D$1,quests!$1:$1,0)-MATCH($C$2,quests!$1:$1,0)+1,FALSE)</f>
        <v>馬中に赤兎あり！</v>
      </c>
      <c r="E642" s="48" t="str">
        <f ca="1">VLOOKUP($C642,OFFSET(quests!$A$1,0,0,COUNTA(quests!$A:$A),MATCH(E$2,quests!$1:$1,0)-MATCH($C$2,quests!$1:$1,0)+1),MATCH(E$2,quests!$1:$1,0)-MATCH($C$2,quests!$1:$1,0)+1,FALSE)</f>
        <v>三国志シリーズ超級</v>
      </c>
      <c r="F642" s="7">
        <v>3</v>
      </c>
      <c r="G642" s="7" t="s">
        <v>382</v>
      </c>
      <c r="H642" s="82" t="s">
        <v>1673</v>
      </c>
      <c r="I642" s="12" t="s">
        <v>832</v>
      </c>
      <c r="J642" s="12">
        <v>1130</v>
      </c>
      <c r="K642" s="194">
        <v>30</v>
      </c>
      <c r="L642" s="195">
        <v>3300</v>
      </c>
      <c r="M642" s="167">
        <v>1</v>
      </c>
      <c r="N642" s="167">
        <v>1</v>
      </c>
      <c r="O642" s="167">
        <v>1</v>
      </c>
      <c r="P642" s="167">
        <v>1</v>
      </c>
      <c r="Q642" s="96">
        <v>0</v>
      </c>
      <c r="R642" s="167">
        <v>3</v>
      </c>
      <c r="S642" s="167" t="s">
        <v>278</v>
      </c>
      <c r="T642" s="167">
        <v>1</v>
      </c>
      <c r="U642" s="7" t="s">
        <v>169</v>
      </c>
      <c r="V642" s="7" t="s">
        <v>169</v>
      </c>
      <c r="W642" s="47" t="str">
        <f t="shared" ca="1" si="24"/>
        <v/>
      </c>
      <c r="X642" s="47">
        <f ca="1">VLOOKUP($C642,OFFSET(quests!$A$1,0,0,COUNTA(quests!$A:$A),MATCH(X$2,quests!$1:$1,0)-MATCH($C$2,quests!$1:$1,0)+1),MATCH(X$2,quests!$1:$1,0)-MATCH($C$2,quests!$1:$1,0)+1,FALSE)</f>
        <v>0</v>
      </c>
      <c r="Y642" s="47">
        <f ca="1">VLOOKUP($C642,OFFSET(quests!$A$1,0,0,COUNTA(quests!$A:$A),MATCH(Y$2,quests!$1:$1,0)-MATCH($C$2,quests!$1:$1,0)+1),MATCH(Y$2,quests!$1:$1,0)-MATCH($C$2,quests!$1:$1,0)+1,FALSE)</f>
        <v>0</v>
      </c>
      <c r="Z642" s="47">
        <f ca="1">VLOOKUP($C642,OFFSET(quests!$A$1,0,0,COUNTA(quests!$A:$A),MATCH(Z$2,quests!$1:$1,0)-MATCH($C$2,quests!$1:$1,0)+1),MATCH(Z$2,quests!$1:$1,0)-MATCH($C$2,quests!$1:$1,0)+1,FALSE)</f>
        <v>0</v>
      </c>
      <c r="AA642" s="47">
        <f ca="1">VLOOKUP($C642,OFFSET(quests!$A$1,0,0,COUNTA(quests!$A:$A),MATCH(AA$2,quests!$1:$1,0)-MATCH($C$2,quests!$1:$1,0)+1),MATCH(AA$2,quests!$1:$1,0)-MATCH($C$2,quests!$1:$1,0)+1,FALSE)</f>
        <v>0</v>
      </c>
      <c r="AB642" s="7" t="s">
        <v>56</v>
      </c>
      <c r="AC642" s="167">
        <v>14</v>
      </c>
      <c r="AD642" s="7">
        <v>6</v>
      </c>
      <c r="AE642" s="33" t="s">
        <v>522</v>
      </c>
      <c r="AF642" s="7">
        <v>11</v>
      </c>
      <c r="AG642" s="7">
        <v>0</v>
      </c>
      <c r="AH642" s="7">
        <v>0</v>
      </c>
      <c r="AI642" s="7">
        <v>-1</v>
      </c>
      <c r="AJ642" s="7">
        <v>-1</v>
      </c>
      <c r="AK642" s="7" t="s">
        <v>1065</v>
      </c>
      <c r="AL642" s="12" t="s">
        <v>1695</v>
      </c>
      <c r="AM642" s="12" t="s">
        <v>2072</v>
      </c>
    </row>
    <row r="643" spans="1:39" ht="21" customHeight="1" x14ac:dyDescent="0.15">
      <c r="A643" s="42" t="str">
        <f t="shared" si="25"/>
        <v>30043_1</v>
      </c>
      <c r="B643" s="23">
        <v>3</v>
      </c>
      <c r="C643" s="31">
        <v>30043</v>
      </c>
      <c r="D643" s="47" t="str">
        <f ca="1">VLOOKUP($C643,OFFSET(quests!$A$1,0,0,COUNTA(quests!$A:$A),MATCH(D$1,quests!$1:$1,0)-MATCH($C$2,quests!$1:$1,0)+1),MATCH(D$1,quests!$1:$1,0)-MATCH($C$2,quests!$1:$1,0)+1,FALSE)</f>
        <v>小さな破壊竜</v>
      </c>
      <c r="E643" s="48" t="str">
        <f ca="1">VLOOKUP($C643,OFFSET(quests!$A$1,0,0,COUNTA(quests!$A:$A),MATCH(E$2,quests!$1:$1,0)-MATCH($C$2,quests!$1:$1,0)+1),MATCH(E$2,quests!$1:$1,0)-MATCH($C$2,quests!$1:$1,0)+1,FALSE)</f>
        <v>ヒンドゥー神話第二弾超級</v>
      </c>
      <c r="F643" s="7">
        <v>1</v>
      </c>
      <c r="G643" s="7" t="s">
        <v>382</v>
      </c>
      <c r="H643" s="82" t="s">
        <v>1705</v>
      </c>
      <c r="I643" s="12" t="s">
        <v>831</v>
      </c>
      <c r="J643" s="12">
        <v>1146</v>
      </c>
      <c r="K643" s="192">
        <v>15</v>
      </c>
      <c r="L643" s="193">
        <v>1200</v>
      </c>
      <c r="M643" s="167">
        <v>1</v>
      </c>
      <c r="N643" s="96">
        <v>0</v>
      </c>
      <c r="O643" s="167">
        <v>1</v>
      </c>
      <c r="P643" s="167">
        <v>1</v>
      </c>
      <c r="Q643" s="241">
        <v>1</v>
      </c>
      <c r="R643" s="167">
        <v>3</v>
      </c>
      <c r="S643" s="167" t="s">
        <v>79</v>
      </c>
      <c r="T643" s="167">
        <v>0</v>
      </c>
      <c r="U643" s="7" t="s">
        <v>169</v>
      </c>
      <c r="V643" s="7" t="s">
        <v>169</v>
      </c>
      <c r="W643" s="47" t="str">
        <f t="shared" ref="W643:W706" ca="1" si="26">IF(U643="NULL","",VLOOKUP($U643&amp;"_"&amp;$V643,OFFSET($A$1,0,0,COUNTA($A:$A),MATCH(W$2,$2:$2,0)-MATCH($A$2,$2:$2,0)+1),MATCH(W$2,$2:$2,0)-MATCH($A$2,$2:$2,0)+1,FALSE))</f>
        <v/>
      </c>
      <c r="X643" s="47">
        <f ca="1">VLOOKUP($C643,OFFSET(quests!$A$1,0,0,COUNTA(quests!$A:$A),MATCH(X$2,quests!$1:$1,0)-MATCH($C$2,quests!$1:$1,0)+1),MATCH(X$2,quests!$1:$1,0)-MATCH($C$2,quests!$1:$1,0)+1,FALSE)</f>
        <v>0</v>
      </c>
      <c r="Y643" s="47">
        <f ca="1">VLOOKUP($C643,OFFSET(quests!$A$1,0,0,COUNTA(quests!$A:$A),MATCH(Y$2,quests!$1:$1,0)-MATCH($C$2,quests!$1:$1,0)+1),MATCH(Y$2,quests!$1:$1,0)-MATCH($C$2,quests!$1:$1,0)+1,FALSE)</f>
        <v>0</v>
      </c>
      <c r="Z643" s="47">
        <f ca="1">VLOOKUP($C643,OFFSET(quests!$A$1,0,0,COUNTA(quests!$A:$A),MATCH(Z$2,quests!$1:$1,0)-MATCH($C$2,quests!$1:$1,0)+1),MATCH(Z$2,quests!$1:$1,0)-MATCH($C$2,quests!$1:$1,0)+1,FALSE)</f>
        <v>0</v>
      </c>
      <c r="AA643" s="47">
        <f ca="1">VLOOKUP($C643,OFFSET(quests!$A$1,0,0,COUNTA(quests!$A:$A),MATCH(AA$2,quests!$1:$1,0)-MATCH($C$2,quests!$1:$1,0)+1),MATCH(AA$2,quests!$1:$1,0)-MATCH($C$2,quests!$1:$1,0)+1,FALSE)</f>
        <v>0</v>
      </c>
      <c r="AB643" s="7" t="s">
        <v>56</v>
      </c>
      <c r="AC643" s="167">
        <v>24</v>
      </c>
      <c r="AD643" s="7">
        <v>6</v>
      </c>
      <c r="AE643" s="158" t="s">
        <v>1712</v>
      </c>
      <c r="AF643" s="7">
        <v>11</v>
      </c>
      <c r="AG643" s="7">
        <v>0</v>
      </c>
      <c r="AH643" s="7">
        <v>0</v>
      </c>
      <c r="AI643" s="7">
        <v>-1</v>
      </c>
      <c r="AJ643" s="7">
        <v>-1</v>
      </c>
      <c r="AK643" s="7" t="s">
        <v>1064</v>
      </c>
      <c r="AL643" s="12" t="s">
        <v>1695</v>
      </c>
      <c r="AM643" s="12" t="s">
        <v>2072</v>
      </c>
    </row>
    <row r="644" spans="1:39" ht="21" customHeight="1" x14ac:dyDescent="0.15">
      <c r="A644" s="42" t="str">
        <f t="shared" si="25"/>
        <v>30043_2</v>
      </c>
      <c r="B644" s="23">
        <v>3</v>
      </c>
      <c r="C644" s="31">
        <v>30043</v>
      </c>
      <c r="D644" s="47" t="str">
        <f ca="1">VLOOKUP($C644,OFFSET(quests!$A$1,0,0,COUNTA(quests!$A:$A),MATCH(D$1,quests!$1:$1,0)-MATCH($C$2,quests!$1:$1,0)+1),MATCH(D$1,quests!$1:$1,0)-MATCH($C$2,quests!$1:$1,0)+1,FALSE)</f>
        <v>小さな破壊竜</v>
      </c>
      <c r="E644" s="48" t="str">
        <f ca="1">VLOOKUP($C644,OFFSET(quests!$A$1,0,0,COUNTA(quests!$A:$A),MATCH(E$2,quests!$1:$1,0)-MATCH($C$2,quests!$1:$1,0)+1),MATCH(E$2,quests!$1:$1,0)-MATCH($C$2,quests!$1:$1,0)+1,FALSE)</f>
        <v>ヒンドゥー神話第二弾超級</v>
      </c>
      <c r="F644" s="7">
        <v>2</v>
      </c>
      <c r="G644" s="7" t="s">
        <v>382</v>
      </c>
      <c r="H644" s="82" t="s">
        <v>1706</v>
      </c>
      <c r="I644" s="12" t="s">
        <v>830</v>
      </c>
      <c r="J644" s="12">
        <v>1146</v>
      </c>
      <c r="K644" s="194">
        <v>20</v>
      </c>
      <c r="L644" s="195">
        <v>2000</v>
      </c>
      <c r="M644" s="167">
        <v>1</v>
      </c>
      <c r="N644" s="96">
        <v>0</v>
      </c>
      <c r="O644" s="167">
        <v>1</v>
      </c>
      <c r="P644" s="167">
        <v>1</v>
      </c>
      <c r="Q644" s="241">
        <v>1</v>
      </c>
      <c r="R644" s="167">
        <v>3</v>
      </c>
      <c r="S644" s="167" t="s">
        <v>79</v>
      </c>
      <c r="T644" s="167">
        <v>0</v>
      </c>
      <c r="U644" s="7" t="s">
        <v>169</v>
      </c>
      <c r="V644" s="7" t="s">
        <v>169</v>
      </c>
      <c r="W644" s="47" t="str">
        <f t="shared" ca="1" si="26"/>
        <v/>
      </c>
      <c r="X644" s="47">
        <f ca="1">VLOOKUP($C644,OFFSET(quests!$A$1,0,0,COUNTA(quests!$A:$A),MATCH(X$2,quests!$1:$1,0)-MATCH($C$2,quests!$1:$1,0)+1),MATCH(X$2,quests!$1:$1,0)-MATCH($C$2,quests!$1:$1,0)+1,FALSE)</f>
        <v>0</v>
      </c>
      <c r="Y644" s="47">
        <f ca="1">VLOOKUP($C644,OFFSET(quests!$A$1,0,0,COUNTA(quests!$A:$A),MATCH(Y$2,quests!$1:$1,0)-MATCH($C$2,quests!$1:$1,0)+1),MATCH(Y$2,quests!$1:$1,0)-MATCH($C$2,quests!$1:$1,0)+1,FALSE)</f>
        <v>0</v>
      </c>
      <c r="Z644" s="47">
        <f ca="1">VLOOKUP($C644,OFFSET(quests!$A$1,0,0,COUNTA(quests!$A:$A),MATCH(Z$2,quests!$1:$1,0)-MATCH($C$2,quests!$1:$1,0)+1),MATCH(Z$2,quests!$1:$1,0)-MATCH($C$2,quests!$1:$1,0)+1,FALSE)</f>
        <v>0</v>
      </c>
      <c r="AA644" s="47">
        <f ca="1">VLOOKUP($C644,OFFSET(quests!$A$1,0,0,COUNTA(quests!$A:$A),MATCH(AA$2,quests!$1:$1,0)-MATCH($C$2,quests!$1:$1,0)+1),MATCH(AA$2,quests!$1:$1,0)-MATCH($C$2,quests!$1:$1,0)+1,FALSE)</f>
        <v>0</v>
      </c>
      <c r="AB644" s="7" t="s">
        <v>56</v>
      </c>
      <c r="AC644" s="167">
        <v>24</v>
      </c>
      <c r="AD644" s="7">
        <v>6</v>
      </c>
      <c r="AE644" s="268" t="s">
        <v>1712</v>
      </c>
      <c r="AF644" s="7">
        <v>11</v>
      </c>
      <c r="AG644" s="7">
        <v>0</v>
      </c>
      <c r="AH644" s="7">
        <v>0</v>
      </c>
      <c r="AI644" s="7">
        <v>-1</v>
      </c>
      <c r="AJ644" s="7">
        <v>-1</v>
      </c>
      <c r="AK644" s="7" t="s">
        <v>1064</v>
      </c>
      <c r="AL644" s="12" t="s">
        <v>1695</v>
      </c>
      <c r="AM644" s="12" t="s">
        <v>2072</v>
      </c>
    </row>
    <row r="645" spans="1:39" ht="21" customHeight="1" x14ac:dyDescent="0.15">
      <c r="A645" s="42" t="str">
        <f t="shared" si="25"/>
        <v>30043_3</v>
      </c>
      <c r="B645" s="23">
        <v>3</v>
      </c>
      <c r="C645" s="31">
        <v>30043</v>
      </c>
      <c r="D645" s="47" t="str">
        <f ca="1">VLOOKUP($C645,OFFSET(quests!$A$1,0,0,COUNTA(quests!$A:$A),MATCH(D$1,quests!$1:$1,0)-MATCH($C$2,quests!$1:$1,0)+1),MATCH(D$1,quests!$1:$1,0)-MATCH($C$2,quests!$1:$1,0)+1,FALSE)</f>
        <v>小さな破壊竜</v>
      </c>
      <c r="E645" s="48" t="str">
        <f ca="1">VLOOKUP($C645,OFFSET(quests!$A$1,0,0,COUNTA(quests!$A:$A),MATCH(E$2,quests!$1:$1,0)-MATCH($C$2,quests!$1:$1,0)+1),MATCH(E$2,quests!$1:$1,0)-MATCH($C$2,quests!$1:$1,0)+1,FALSE)</f>
        <v>ヒンドゥー神話第二弾超級</v>
      </c>
      <c r="F645" s="7">
        <v>3</v>
      </c>
      <c r="G645" s="7" t="s">
        <v>382</v>
      </c>
      <c r="H645" s="82" t="s">
        <v>1707</v>
      </c>
      <c r="I645" s="12" t="s">
        <v>832</v>
      </c>
      <c r="J645" s="12">
        <v>1146</v>
      </c>
      <c r="K645" s="194">
        <v>30</v>
      </c>
      <c r="L645" s="195">
        <v>3300</v>
      </c>
      <c r="M645" s="167">
        <v>1</v>
      </c>
      <c r="N645" s="96">
        <v>0</v>
      </c>
      <c r="O645" s="167">
        <v>1</v>
      </c>
      <c r="P645" s="167">
        <v>1</v>
      </c>
      <c r="Q645" s="241">
        <v>1</v>
      </c>
      <c r="R645" s="167">
        <v>3</v>
      </c>
      <c r="S645" s="167" t="s">
        <v>278</v>
      </c>
      <c r="T645" s="167">
        <v>1</v>
      </c>
      <c r="U645" s="7" t="s">
        <v>169</v>
      </c>
      <c r="V645" s="7" t="s">
        <v>169</v>
      </c>
      <c r="W645" s="47" t="str">
        <f t="shared" ca="1" si="26"/>
        <v/>
      </c>
      <c r="X645" s="47">
        <f ca="1">VLOOKUP($C645,OFFSET(quests!$A$1,0,0,COUNTA(quests!$A:$A),MATCH(X$2,quests!$1:$1,0)-MATCH($C$2,quests!$1:$1,0)+1),MATCH(X$2,quests!$1:$1,0)-MATCH($C$2,quests!$1:$1,0)+1,FALSE)</f>
        <v>0</v>
      </c>
      <c r="Y645" s="47">
        <f ca="1">VLOOKUP($C645,OFFSET(quests!$A$1,0,0,COUNTA(quests!$A:$A),MATCH(Y$2,quests!$1:$1,0)-MATCH($C$2,quests!$1:$1,0)+1),MATCH(Y$2,quests!$1:$1,0)-MATCH($C$2,quests!$1:$1,0)+1,FALSE)</f>
        <v>0</v>
      </c>
      <c r="Z645" s="47">
        <f ca="1">VLOOKUP($C645,OFFSET(quests!$A$1,0,0,COUNTA(quests!$A:$A),MATCH(Z$2,quests!$1:$1,0)-MATCH($C$2,quests!$1:$1,0)+1),MATCH(Z$2,quests!$1:$1,0)-MATCH($C$2,quests!$1:$1,0)+1,FALSE)</f>
        <v>0</v>
      </c>
      <c r="AA645" s="47">
        <f ca="1">VLOOKUP($C645,OFFSET(quests!$A$1,0,0,COUNTA(quests!$A:$A),MATCH(AA$2,quests!$1:$1,0)-MATCH($C$2,quests!$1:$1,0)+1),MATCH(AA$2,quests!$1:$1,0)-MATCH($C$2,quests!$1:$1,0)+1,FALSE)</f>
        <v>0</v>
      </c>
      <c r="AB645" s="7" t="s">
        <v>56</v>
      </c>
      <c r="AC645" s="167">
        <v>24</v>
      </c>
      <c r="AD645" s="7">
        <v>6</v>
      </c>
      <c r="AE645" s="268" t="s">
        <v>1712</v>
      </c>
      <c r="AF645" s="7">
        <v>11</v>
      </c>
      <c r="AG645" s="7">
        <v>0</v>
      </c>
      <c r="AH645" s="7">
        <v>0</v>
      </c>
      <c r="AI645" s="7">
        <v>-1</v>
      </c>
      <c r="AJ645" s="7">
        <v>-1</v>
      </c>
      <c r="AK645" s="7" t="s">
        <v>1065</v>
      </c>
      <c r="AL645" s="12" t="s">
        <v>1695</v>
      </c>
      <c r="AM645" s="12" t="s">
        <v>2072</v>
      </c>
    </row>
    <row r="646" spans="1:39" ht="21" customHeight="1" x14ac:dyDescent="0.15">
      <c r="A646" s="42" t="str">
        <f t="shared" ref="A646:A651" si="27">C646&amp;"_"&amp;F646</f>
        <v>30044_1</v>
      </c>
      <c r="B646" s="23">
        <v>3</v>
      </c>
      <c r="C646" s="31">
        <v>30044</v>
      </c>
      <c r="D646" s="47" t="str">
        <f ca="1">VLOOKUP($C646,OFFSET(quests!$A$1,0,0,COUNTA(quests!$A:$A),MATCH(D$1,quests!$1:$1,0)-MATCH($C$2,quests!$1:$1,0)+1),MATCH(D$1,quests!$1:$1,0)-MATCH($C$2,quests!$1:$1,0)+1,FALSE)</f>
        <v>冷酷なる遂行者</v>
      </c>
      <c r="E646" s="48" t="str">
        <f ca="1">VLOOKUP($C646,OFFSET(quests!$A$1,0,0,COUNTA(quests!$A:$A),MATCH(E$2,quests!$1:$1,0)-MATCH($C$2,quests!$1:$1,0)+1),MATCH(E$2,quests!$1:$1,0)-MATCH($C$2,quests!$1:$1,0)+1,FALSE)</f>
        <v>ギリシャ神話第二弾超級</v>
      </c>
      <c r="F646" s="7">
        <v>1</v>
      </c>
      <c r="G646" s="7" t="s">
        <v>382</v>
      </c>
      <c r="H646" s="82" t="s">
        <v>1786</v>
      </c>
      <c r="I646" s="12" t="s">
        <v>831</v>
      </c>
      <c r="J646" s="12">
        <v>1201</v>
      </c>
      <c r="K646" s="192">
        <v>15</v>
      </c>
      <c r="L646" s="193">
        <v>1200</v>
      </c>
      <c r="M646" s="167">
        <v>1</v>
      </c>
      <c r="N646" s="241">
        <v>1</v>
      </c>
      <c r="O646" s="167">
        <v>1</v>
      </c>
      <c r="P646" s="167">
        <v>1</v>
      </c>
      <c r="Q646" s="241">
        <v>1</v>
      </c>
      <c r="R646" s="167">
        <v>3</v>
      </c>
      <c r="S646" s="167" t="s">
        <v>79</v>
      </c>
      <c r="T646" s="167">
        <v>0</v>
      </c>
      <c r="U646" s="7" t="s">
        <v>169</v>
      </c>
      <c r="V646" s="7" t="s">
        <v>169</v>
      </c>
      <c r="W646" s="47" t="str">
        <f t="shared" ca="1" si="26"/>
        <v/>
      </c>
      <c r="X646" s="47">
        <f ca="1">VLOOKUP($C646,OFFSET(quests!$A$1,0,0,COUNTA(quests!$A:$A),MATCH(X$2,quests!$1:$1,0)-MATCH($C$2,quests!$1:$1,0)+1),MATCH(X$2,quests!$1:$1,0)-MATCH($C$2,quests!$1:$1,0)+1,FALSE)</f>
        <v>0</v>
      </c>
      <c r="Y646" s="47">
        <f ca="1">VLOOKUP($C646,OFFSET(quests!$A$1,0,0,COUNTA(quests!$A:$A),MATCH(Y$2,quests!$1:$1,0)-MATCH($C$2,quests!$1:$1,0)+1),MATCH(Y$2,quests!$1:$1,0)-MATCH($C$2,quests!$1:$1,0)+1,FALSE)</f>
        <v>0</v>
      </c>
      <c r="Z646" s="47">
        <f ca="1">VLOOKUP($C646,OFFSET(quests!$A$1,0,0,COUNTA(quests!$A:$A),MATCH(Z$2,quests!$1:$1,0)-MATCH($C$2,quests!$1:$1,0)+1),MATCH(Z$2,quests!$1:$1,0)-MATCH($C$2,quests!$1:$1,0)+1,FALSE)</f>
        <v>0</v>
      </c>
      <c r="AA646" s="47">
        <f ca="1">VLOOKUP($C646,OFFSET(quests!$A$1,0,0,COUNTA(quests!$A:$A),MATCH(AA$2,quests!$1:$1,0)-MATCH($C$2,quests!$1:$1,0)+1),MATCH(AA$2,quests!$1:$1,0)-MATCH($C$2,quests!$1:$1,0)+1,FALSE)</f>
        <v>0</v>
      </c>
      <c r="AB646" s="7" t="s">
        <v>56</v>
      </c>
      <c r="AC646" s="167">
        <v>26</v>
      </c>
      <c r="AD646" s="7">
        <v>6</v>
      </c>
      <c r="AE646" s="158" t="s">
        <v>1712</v>
      </c>
      <c r="AF646" s="7">
        <v>11</v>
      </c>
      <c r="AG646" s="7">
        <v>0</v>
      </c>
      <c r="AH646" s="7">
        <v>0</v>
      </c>
      <c r="AI646" s="7">
        <v>-1</v>
      </c>
      <c r="AJ646" s="7">
        <v>-1</v>
      </c>
      <c r="AK646" s="7" t="s">
        <v>1064</v>
      </c>
      <c r="AL646" s="12" t="s">
        <v>1388</v>
      </c>
      <c r="AM646" s="12" t="s">
        <v>2072</v>
      </c>
    </row>
    <row r="647" spans="1:39" ht="21" customHeight="1" x14ac:dyDescent="0.15">
      <c r="A647" s="42" t="str">
        <f t="shared" si="27"/>
        <v>30044_2</v>
      </c>
      <c r="B647" s="23">
        <v>3</v>
      </c>
      <c r="C647" s="31">
        <v>30044</v>
      </c>
      <c r="D647" s="47" t="str">
        <f ca="1">VLOOKUP($C647,OFFSET(quests!$A$1,0,0,COUNTA(quests!$A:$A),MATCH(D$1,quests!$1:$1,0)-MATCH($C$2,quests!$1:$1,0)+1),MATCH(D$1,quests!$1:$1,0)-MATCH($C$2,quests!$1:$1,0)+1,FALSE)</f>
        <v>冷酷なる遂行者</v>
      </c>
      <c r="E647" s="48" t="str">
        <f ca="1">VLOOKUP($C647,OFFSET(quests!$A$1,0,0,COUNTA(quests!$A:$A),MATCH(E$2,quests!$1:$1,0)-MATCH($C$2,quests!$1:$1,0)+1),MATCH(E$2,quests!$1:$1,0)-MATCH($C$2,quests!$1:$1,0)+1,FALSE)</f>
        <v>ギリシャ神話第二弾超級</v>
      </c>
      <c r="F647" s="7">
        <v>2</v>
      </c>
      <c r="G647" s="7" t="s">
        <v>382</v>
      </c>
      <c r="H647" s="82" t="s">
        <v>1787</v>
      </c>
      <c r="I647" s="12" t="s">
        <v>830</v>
      </c>
      <c r="J647" s="12">
        <v>1201</v>
      </c>
      <c r="K647" s="194">
        <v>20</v>
      </c>
      <c r="L647" s="195">
        <v>2000</v>
      </c>
      <c r="M647" s="167">
        <v>1</v>
      </c>
      <c r="N647" s="241">
        <v>1</v>
      </c>
      <c r="O647" s="167">
        <v>1</v>
      </c>
      <c r="P647" s="167">
        <v>1</v>
      </c>
      <c r="Q647" s="241">
        <v>1</v>
      </c>
      <c r="R647" s="167">
        <v>3</v>
      </c>
      <c r="S647" s="167" t="s">
        <v>79</v>
      </c>
      <c r="T647" s="167">
        <v>0</v>
      </c>
      <c r="U647" s="7" t="s">
        <v>169</v>
      </c>
      <c r="V647" s="7" t="s">
        <v>169</v>
      </c>
      <c r="W647" s="47" t="str">
        <f t="shared" ca="1" si="26"/>
        <v/>
      </c>
      <c r="X647" s="47">
        <f ca="1">VLOOKUP($C647,OFFSET(quests!$A$1,0,0,COUNTA(quests!$A:$A),MATCH(X$2,quests!$1:$1,0)-MATCH($C$2,quests!$1:$1,0)+1),MATCH(X$2,quests!$1:$1,0)-MATCH($C$2,quests!$1:$1,0)+1,FALSE)</f>
        <v>0</v>
      </c>
      <c r="Y647" s="47">
        <f ca="1">VLOOKUP($C647,OFFSET(quests!$A$1,0,0,COUNTA(quests!$A:$A),MATCH(Y$2,quests!$1:$1,0)-MATCH($C$2,quests!$1:$1,0)+1),MATCH(Y$2,quests!$1:$1,0)-MATCH($C$2,quests!$1:$1,0)+1,FALSE)</f>
        <v>0</v>
      </c>
      <c r="Z647" s="47">
        <f ca="1">VLOOKUP($C647,OFFSET(quests!$A$1,0,0,COUNTA(quests!$A:$A),MATCH(Z$2,quests!$1:$1,0)-MATCH($C$2,quests!$1:$1,0)+1),MATCH(Z$2,quests!$1:$1,0)-MATCH($C$2,quests!$1:$1,0)+1,FALSE)</f>
        <v>0</v>
      </c>
      <c r="AA647" s="47">
        <f ca="1">VLOOKUP($C647,OFFSET(quests!$A$1,0,0,COUNTA(quests!$A:$A),MATCH(AA$2,quests!$1:$1,0)-MATCH($C$2,quests!$1:$1,0)+1),MATCH(AA$2,quests!$1:$1,0)-MATCH($C$2,quests!$1:$1,0)+1,FALSE)</f>
        <v>0</v>
      </c>
      <c r="AB647" s="7" t="s">
        <v>56</v>
      </c>
      <c r="AC647" s="167">
        <v>26</v>
      </c>
      <c r="AD647" s="7">
        <v>6</v>
      </c>
      <c r="AE647" s="268" t="s">
        <v>1712</v>
      </c>
      <c r="AF647" s="7">
        <v>11</v>
      </c>
      <c r="AG647" s="7">
        <v>0</v>
      </c>
      <c r="AH647" s="7">
        <v>0</v>
      </c>
      <c r="AI647" s="7">
        <v>-1</v>
      </c>
      <c r="AJ647" s="7">
        <v>-1</v>
      </c>
      <c r="AK647" s="7" t="s">
        <v>1064</v>
      </c>
      <c r="AL647" s="12" t="s">
        <v>1388</v>
      </c>
      <c r="AM647" s="12" t="s">
        <v>2072</v>
      </c>
    </row>
    <row r="648" spans="1:39" ht="21" customHeight="1" x14ac:dyDescent="0.15">
      <c r="A648" s="42" t="str">
        <f t="shared" si="27"/>
        <v>30044_3</v>
      </c>
      <c r="B648" s="23">
        <v>3</v>
      </c>
      <c r="C648" s="31">
        <v>30044</v>
      </c>
      <c r="D648" s="47" t="str">
        <f ca="1">VLOOKUP($C648,OFFSET(quests!$A$1,0,0,COUNTA(quests!$A:$A),MATCH(D$1,quests!$1:$1,0)-MATCH($C$2,quests!$1:$1,0)+1),MATCH(D$1,quests!$1:$1,0)-MATCH($C$2,quests!$1:$1,0)+1,FALSE)</f>
        <v>冷酷なる遂行者</v>
      </c>
      <c r="E648" s="48" t="str">
        <f ca="1">VLOOKUP($C648,OFFSET(quests!$A$1,0,0,COUNTA(quests!$A:$A),MATCH(E$2,quests!$1:$1,0)-MATCH($C$2,quests!$1:$1,0)+1),MATCH(E$2,quests!$1:$1,0)-MATCH($C$2,quests!$1:$1,0)+1,FALSE)</f>
        <v>ギリシャ神話第二弾超級</v>
      </c>
      <c r="F648" s="7">
        <v>3</v>
      </c>
      <c r="G648" s="7" t="s">
        <v>382</v>
      </c>
      <c r="H648" s="82" t="s">
        <v>1788</v>
      </c>
      <c r="I648" s="12" t="s">
        <v>832</v>
      </c>
      <c r="J648" s="12">
        <v>1201</v>
      </c>
      <c r="K648" s="194">
        <v>30</v>
      </c>
      <c r="L648" s="195">
        <v>3300</v>
      </c>
      <c r="M648" s="167">
        <v>1</v>
      </c>
      <c r="N648" s="241">
        <v>1</v>
      </c>
      <c r="O648" s="167">
        <v>1</v>
      </c>
      <c r="P648" s="167">
        <v>1</v>
      </c>
      <c r="Q648" s="241">
        <v>1</v>
      </c>
      <c r="R648" s="167">
        <v>3</v>
      </c>
      <c r="S648" s="167" t="s">
        <v>278</v>
      </c>
      <c r="T648" s="167">
        <v>1</v>
      </c>
      <c r="U648" s="7" t="s">
        <v>169</v>
      </c>
      <c r="V648" s="7" t="s">
        <v>169</v>
      </c>
      <c r="W648" s="47" t="str">
        <f t="shared" ca="1" si="26"/>
        <v/>
      </c>
      <c r="X648" s="47">
        <f ca="1">VLOOKUP($C648,OFFSET(quests!$A$1,0,0,COUNTA(quests!$A:$A),MATCH(X$2,quests!$1:$1,0)-MATCH($C$2,quests!$1:$1,0)+1),MATCH(X$2,quests!$1:$1,0)-MATCH($C$2,quests!$1:$1,0)+1,FALSE)</f>
        <v>0</v>
      </c>
      <c r="Y648" s="47">
        <f ca="1">VLOOKUP($C648,OFFSET(quests!$A$1,0,0,COUNTA(quests!$A:$A),MATCH(Y$2,quests!$1:$1,0)-MATCH($C$2,quests!$1:$1,0)+1),MATCH(Y$2,quests!$1:$1,0)-MATCH($C$2,quests!$1:$1,0)+1,FALSE)</f>
        <v>0</v>
      </c>
      <c r="Z648" s="47">
        <f ca="1">VLOOKUP($C648,OFFSET(quests!$A$1,0,0,COUNTA(quests!$A:$A),MATCH(Z$2,quests!$1:$1,0)-MATCH($C$2,quests!$1:$1,0)+1),MATCH(Z$2,quests!$1:$1,0)-MATCH($C$2,quests!$1:$1,0)+1,FALSE)</f>
        <v>0</v>
      </c>
      <c r="AA648" s="47">
        <f ca="1">VLOOKUP($C648,OFFSET(quests!$A$1,0,0,COUNTA(quests!$A:$A),MATCH(AA$2,quests!$1:$1,0)-MATCH($C$2,quests!$1:$1,0)+1),MATCH(AA$2,quests!$1:$1,0)-MATCH($C$2,quests!$1:$1,0)+1,FALSE)</f>
        <v>0</v>
      </c>
      <c r="AB648" s="7" t="s">
        <v>56</v>
      </c>
      <c r="AC648" s="167">
        <v>26</v>
      </c>
      <c r="AD648" s="7">
        <v>6</v>
      </c>
      <c r="AE648" s="268" t="s">
        <v>1712</v>
      </c>
      <c r="AF648" s="7">
        <v>11</v>
      </c>
      <c r="AG648" s="7">
        <v>0</v>
      </c>
      <c r="AH648" s="7">
        <v>0</v>
      </c>
      <c r="AI648" s="7">
        <v>-1</v>
      </c>
      <c r="AJ648" s="7">
        <v>-1</v>
      </c>
      <c r="AK648" s="7" t="s">
        <v>1065</v>
      </c>
      <c r="AL648" s="12" t="s">
        <v>1388</v>
      </c>
      <c r="AM648" s="12" t="s">
        <v>2072</v>
      </c>
    </row>
    <row r="649" spans="1:39" ht="21" customHeight="1" x14ac:dyDescent="0.15">
      <c r="A649" s="42" t="str">
        <f t="shared" si="27"/>
        <v>30045_1</v>
      </c>
      <c r="B649" s="23">
        <v>3</v>
      </c>
      <c r="C649" s="31">
        <v>30045</v>
      </c>
      <c r="D649" s="47" t="str">
        <f ca="1">VLOOKUP($C649,OFFSET(quests!$A$1,0,0,COUNTA(quests!$A:$A),MATCH(D$1,quests!$1:$1,0)-MATCH($C$2,quests!$1:$1,0)+1),MATCH(D$1,quests!$1:$1,0)-MATCH($C$2,quests!$1:$1,0)+1,FALSE)</f>
        <v>れもん色の衝動</v>
      </c>
      <c r="E649" s="48" t="str">
        <f ca="1">VLOOKUP($C649,OFFSET(quests!$A$1,0,0,COUNTA(quests!$A:$A),MATCH(E$2,quests!$1:$1,0)-MATCH($C$2,quests!$1:$1,0)+1),MATCH(E$2,quests!$1:$1,0)-MATCH($C$2,quests!$1:$1,0)+1,FALSE)</f>
        <v>文豪シリーズ　超級</v>
      </c>
      <c r="F649" s="7">
        <v>1</v>
      </c>
      <c r="G649" s="7" t="s">
        <v>382</v>
      </c>
      <c r="H649" s="82" t="s">
        <v>1845</v>
      </c>
      <c r="I649" s="12" t="s">
        <v>831</v>
      </c>
      <c r="J649" s="12">
        <v>1217</v>
      </c>
      <c r="K649" s="194">
        <v>15</v>
      </c>
      <c r="L649" s="195">
        <v>1200</v>
      </c>
      <c r="M649" s="167">
        <v>1</v>
      </c>
      <c r="N649" s="241">
        <v>1</v>
      </c>
      <c r="O649" s="167">
        <v>1</v>
      </c>
      <c r="P649" s="167">
        <v>1</v>
      </c>
      <c r="Q649" s="241">
        <v>1</v>
      </c>
      <c r="R649" s="167">
        <v>3</v>
      </c>
      <c r="S649" s="167" t="s">
        <v>811</v>
      </c>
      <c r="T649" s="167">
        <v>0</v>
      </c>
      <c r="U649" s="7" t="s">
        <v>169</v>
      </c>
      <c r="V649" s="7" t="s">
        <v>169</v>
      </c>
      <c r="W649" s="47" t="str">
        <f t="shared" ca="1" si="26"/>
        <v/>
      </c>
      <c r="X649" s="47">
        <f ca="1">VLOOKUP($C649,OFFSET(quests!$A$1,0,0,COUNTA(quests!$A:$A),MATCH(X$2,quests!$1:$1,0)-MATCH($C$2,quests!$1:$1,0)+1),MATCH(X$2,quests!$1:$1,0)-MATCH($C$2,quests!$1:$1,0)+1,FALSE)</f>
        <v>0</v>
      </c>
      <c r="Y649" s="47">
        <f ca="1">VLOOKUP($C649,OFFSET(quests!$A$1,0,0,COUNTA(quests!$A:$A),MATCH(Y$2,quests!$1:$1,0)-MATCH($C$2,quests!$1:$1,0)+1),MATCH(Y$2,quests!$1:$1,0)-MATCH($C$2,quests!$1:$1,0)+1,FALSE)</f>
        <v>0</v>
      </c>
      <c r="Z649" s="47">
        <f ca="1">VLOOKUP($C649,OFFSET(quests!$A$1,0,0,COUNTA(quests!$A:$A),MATCH(Z$2,quests!$1:$1,0)-MATCH($C$2,quests!$1:$1,0)+1),MATCH(Z$2,quests!$1:$1,0)-MATCH($C$2,quests!$1:$1,0)+1,FALSE)</f>
        <v>0</v>
      </c>
      <c r="AA649" s="47">
        <f ca="1">VLOOKUP($C649,OFFSET(quests!$A$1,0,0,COUNTA(quests!$A:$A),MATCH(AA$2,quests!$1:$1,0)-MATCH($C$2,quests!$1:$1,0)+1),MATCH(AA$2,quests!$1:$1,0)-MATCH($C$2,quests!$1:$1,0)+1,FALSE)</f>
        <v>0</v>
      </c>
      <c r="AB649" s="7" t="s">
        <v>56</v>
      </c>
      <c r="AC649" s="167">
        <v>25</v>
      </c>
      <c r="AD649" s="7">
        <v>6</v>
      </c>
      <c r="AE649" s="268" t="s">
        <v>1712</v>
      </c>
      <c r="AF649" s="7">
        <v>11</v>
      </c>
      <c r="AG649" s="7">
        <v>0</v>
      </c>
      <c r="AH649" s="7">
        <v>0</v>
      </c>
      <c r="AI649" s="7">
        <v>-1</v>
      </c>
      <c r="AJ649" s="7">
        <v>-1</v>
      </c>
      <c r="AK649" s="7" t="s">
        <v>1064</v>
      </c>
      <c r="AL649" s="12" t="s">
        <v>1388</v>
      </c>
      <c r="AM649" s="12" t="s">
        <v>2072</v>
      </c>
    </row>
    <row r="650" spans="1:39" ht="21" customHeight="1" x14ac:dyDescent="0.15">
      <c r="A650" s="42" t="str">
        <f t="shared" si="27"/>
        <v>30045_2</v>
      </c>
      <c r="B650" s="23">
        <v>3</v>
      </c>
      <c r="C650" s="31">
        <v>30045</v>
      </c>
      <c r="D650" s="47" t="str">
        <f ca="1">VLOOKUP($C650,OFFSET(quests!$A$1,0,0,COUNTA(quests!$A:$A),MATCH(D$1,quests!$1:$1,0)-MATCH($C$2,quests!$1:$1,0)+1),MATCH(D$1,quests!$1:$1,0)-MATCH($C$2,quests!$1:$1,0)+1,FALSE)</f>
        <v>れもん色の衝動</v>
      </c>
      <c r="E650" s="48" t="str">
        <f ca="1">VLOOKUP($C650,OFFSET(quests!$A$1,0,0,COUNTA(quests!$A:$A),MATCH(E$2,quests!$1:$1,0)-MATCH($C$2,quests!$1:$1,0)+1),MATCH(E$2,quests!$1:$1,0)-MATCH($C$2,quests!$1:$1,0)+1,FALSE)</f>
        <v>文豪シリーズ　超級</v>
      </c>
      <c r="F650" s="7">
        <v>2</v>
      </c>
      <c r="G650" s="7" t="s">
        <v>382</v>
      </c>
      <c r="H650" s="82" t="s">
        <v>1846</v>
      </c>
      <c r="I650" s="12" t="s">
        <v>830</v>
      </c>
      <c r="J650" s="12">
        <v>1217</v>
      </c>
      <c r="K650" s="194">
        <v>20</v>
      </c>
      <c r="L650" s="195">
        <v>2000</v>
      </c>
      <c r="M650" s="167">
        <v>1</v>
      </c>
      <c r="N650" s="241">
        <v>1</v>
      </c>
      <c r="O650" s="167">
        <v>1</v>
      </c>
      <c r="P650" s="167">
        <v>1</v>
      </c>
      <c r="Q650" s="241">
        <v>1</v>
      </c>
      <c r="R650" s="167">
        <v>3</v>
      </c>
      <c r="S650" s="167" t="s">
        <v>1793</v>
      </c>
      <c r="T650" s="167">
        <v>0</v>
      </c>
      <c r="U650" s="7" t="s">
        <v>169</v>
      </c>
      <c r="V650" s="7" t="s">
        <v>169</v>
      </c>
      <c r="W650" s="47" t="str">
        <f t="shared" ca="1" si="26"/>
        <v/>
      </c>
      <c r="X650" s="47">
        <f ca="1">VLOOKUP($C650,OFFSET(quests!$A$1,0,0,COUNTA(quests!$A:$A),MATCH(X$2,quests!$1:$1,0)-MATCH($C$2,quests!$1:$1,0)+1),MATCH(X$2,quests!$1:$1,0)-MATCH($C$2,quests!$1:$1,0)+1,FALSE)</f>
        <v>0</v>
      </c>
      <c r="Y650" s="47">
        <f ca="1">VLOOKUP($C650,OFFSET(quests!$A$1,0,0,COUNTA(quests!$A:$A),MATCH(Y$2,quests!$1:$1,0)-MATCH($C$2,quests!$1:$1,0)+1),MATCH(Y$2,quests!$1:$1,0)-MATCH($C$2,quests!$1:$1,0)+1,FALSE)</f>
        <v>0</v>
      </c>
      <c r="Z650" s="47">
        <f ca="1">VLOOKUP($C650,OFFSET(quests!$A$1,0,0,COUNTA(quests!$A:$A),MATCH(Z$2,quests!$1:$1,0)-MATCH($C$2,quests!$1:$1,0)+1),MATCH(Z$2,quests!$1:$1,0)-MATCH($C$2,quests!$1:$1,0)+1,FALSE)</f>
        <v>0</v>
      </c>
      <c r="AA650" s="47">
        <f ca="1">VLOOKUP($C650,OFFSET(quests!$A$1,0,0,COUNTA(quests!$A:$A),MATCH(AA$2,quests!$1:$1,0)-MATCH($C$2,quests!$1:$1,0)+1),MATCH(AA$2,quests!$1:$1,0)-MATCH($C$2,quests!$1:$1,0)+1,FALSE)</f>
        <v>0</v>
      </c>
      <c r="AB650" s="7" t="s">
        <v>56</v>
      </c>
      <c r="AC650" s="167">
        <v>25</v>
      </c>
      <c r="AD650" s="7">
        <v>6</v>
      </c>
      <c r="AE650" s="268" t="s">
        <v>1712</v>
      </c>
      <c r="AF650" s="7">
        <v>11</v>
      </c>
      <c r="AG650" s="7">
        <v>0</v>
      </c>
      <c r="AH650" s="7">
        <v>0</v>
      </c>
      <c r="AI650" s="7">
        <v>-1</v>
      </c>
      <c r="AJ650" s="7">
        <v>-1</v>
      </c>
      <c r="AK650" s="7" t="s">
        <v>1064</v>
      </c>
      <c r="AL650" s="12" t="s">
        <v>1388</v>
      </c>
      <c r="AM650" s="12" t="s">
        <v>2072</v>
      </c>
    </row>
    <row r="651" spans="1:39" ht="21" customHeight="1" x14ac:dyDescent="0.15">
      <c r="A651" s="42" t="str">
        <f t="shared" si="27"/>
        <v>30045_3</v>
      </c>
      <c r="B651" s="23">
        <v>3</v>
      </c>
      <c r="C651" s="31">
        <v>30045</v>
      </c>
      <c r="D651" s="47" t="str">
        <f ca="1">VLOOKUP($C651,OFFSET(quests!$A$1,0,0,COUNTA(quests!$A:$A),MATCH(D$1,quests!$1:$1,0)-MATCH($C$2,quests!$1:$1,0)+1),MATCH(D$1,quests!$1:$1,0)-MATCH($C$2,quests!$1:$1,0)+1,FALSE)</f>
        <v>れもん色の衝動</v>
      </c>
      <c r="E651" s="48" t="str">
        <f ca="1">VLOOKUP($C651,OFFSET(quests!$A$1,0,0,COUNTA(quests!$A:$A),MATCH(E$2,quests!$1:$1,0)-MATCH($C$2,quests!$1:$1,0)+1),MATCH(E$2,quests!$1:$1,0)-MATCH($C$2,quests!$1:$1,0)+1,FALSE)</f>
        <v>文豪シリーズ　超級</v>
      </c>
      <c r="F651" s="7">
        <v>3</v>
      </c>
      <c r="G651" s="7" t="s">
        <v>382</v>
      </c>
      <c r="H651" s="82" t="s">
        <v>1847</v>
      </c>
      <c r="I651" s="12" t="s">
        <v>832</v>
      </c>
      <c r="J651" s="12">
        <v>1217</v>
      </c>
      <c r="K651" s="194">
        <v>30</v>
      </c>
      <c r="L651" s="195">
        <v>3300</v>
      </c>
      <c r="M651" s="167">
        <v>1</v>
      </c>
      <c r="N651" s="241">
        <v>1</v>
      </c>
      <c r="O651" s="167">
        <v>1</v>
      </c>
      <c r="P651" s="167">
        <v>1</v>
      </c>
      <c r="Q651" s="241">
        <v>1</v>
      </c>
      <c r="R651" s="167">
        <v>3</v>
      </c>
      <c r="S651" s="167" t="s">
        <v>278</v>
      </c>
      <c r="T651" s="167">
        <v>1</v>
      </c>
      <c r="U651" s="7" t="s">
        <v>169</v>
      </c>
      <c r="V651" s="7" t="s">
        <v>169</v>
      </c>
      <c r="W651" s="47" t="str">
        <f t="shared" ca="1" si="26"/>
        <v/>
      </c>
      <c r="X651" s="47">
        <f ca="1">VLOOKUP($C651,OFFSET(quests!$A$1,0,0,COUNTA(quests!$A:$A),MATCH(X$2,quests!$1:$1,0)-MATCH($C$2,quests!$1:$1,0)+1),MATCH(X$2,quests!$1:$1,0)-MATCH($C$2,quests!$1:$1,0)+1,FALSE)</f>
        <v>0</v>
      </c>
      <c r="Y651" s="47">
        <f ca="1">VLOOKUP($C651,OFFSET(quests!$A$1,0,0,COUNTA(quests!$A:$A),MATCH(Y$2,quests!$1:$1,0)-MATCH($C$2,quests!$1:$1,0)+1),MATCH(Y$2,quests!$1:$1,0)-MATCH($C$2,quests!$1:$1,0)+1,FALSE)</f>
        <v>0</v>
      </c>
      <c r="Z651" s="47">
        <f ca="1">VLOOKUP($C651,OFFSET(quests!$A$1,0,0,COUNTA(quests!$A:$A),MATCH(Z$2,quests!$1:$1,0)-MATCH($C$2,quests!$1:$1,0)+1),MATCH(Z$2,quests!$1:$1,0)-MATCH($C$2,quests!$1:$1,0)+1,FALSE)</f>
        <v>0</v>
      </c>
      <c r="AA651" s="47">
        <f ca="1">VLOOKUP($C651,OFFSET(quests!$A$1,0,0,COUNTA(quests!$A:$A),MATCH(AA$2,quests!$1:$1,0)-MATCH($C$2,quests!$1:$1,0)+1),MATCH(AA$2,quests!$1:$1,0)-MATCH($C$2,quests!$1:$1,0)+1,FALSE)</f>
        <v>0</v>
      </c>
      <c r="AB651" s="7" t="s">
        <v>56</v>
      </c>
      <c r="AC651" s="167">
        <v>25</v>
      </c>
      <c r="AD651" s="7">
        <v>6</v>
      </c>
      <c r="AE651" s="268" t="s">
        <v>1712</v>
      </c>
      <c r="AF651" s="7">
        <v>11</v>
      </c>
      <c r="AG651" s="7">
        <v>0</v>
      </c>
      <c r="AH651" s="7">
        <v>0</v>
      </c>
      <c r="AI651" s="7">
        <v>-1</v>
      </c>
      <c r="AJ651" s="7">
        <v>-1</v>
      </c>
      <c r="AK651" s="7" t="s">
        <v>1065</v>
      </c>
      <c r="AL651" s="12" t="s">
        <v>1388</v>
      </c>
      <c r="AM651" s="12" t="s">
        <v>2072</v>
      </c>
    </row>
    <row r="652" spans="1:39" ht="21" customHeight="1" x14ac:dyDescent="0.15">
      <c r="A652" s="42" t="str">
        <f t="shared" ref="A652:A654" si="28">C652&amp;"_"&amp;F652</f>
        <v>30046_1</v>
      </c>
      <c r="B652" s="76">
        <v>3</v>
      </c>
      <c r="C652" s="31">
        <v>30046</v>
      </c>
      <c r="D652" s="47" t="str">
        <f ca="1">VLOOKUP($C652,OFFSET(quests!$A$1,0,0,COUNTA(quests!$A:$A),MATCH(D$1,quests!$1:$1,0)-MATCH($C$2,quests!$1:$1,0)+1),MATCH(D$1,quests!$1:$1,0)-MATCH($C$2,quests!$1:$1,0)+1,FALSE)</f>
        <v>千利の道も一歩から！</v>
      </c>
      <c r="E652" s="48" t="str">
        <f ca="1">VLOOKUP($C652,OFFSET(quests!$A$1,0,0,COUNTA(quests!$A:$A),MATCH(E$2,quests!$1:$1,0)-MATCH($C$2,quests!$1:$1,0)+1),MATCH(E$2,quests!$1:$1,0)-MATCH($C$2,quests!$1:$1,0)+1,FALSE)</f>
        <v>戦国シリーズ第二弾　超級</v>
      </c>
      <c r="F652" s="7">
        <v>1</v>
      </c>
      <c r="G652" s="7" t="s">
        <v>382</v>
      </c>
      <c r="H652" s="82" t="s">
        <v>1964</v>
      </c>
      <c r="I652" s="12" t="s">
        <v>831</v>
      </c>
      <c r="J652" s="12">
        <v>1237</v>
      </c>
      <c r="K652" s="194">
        <v>15</v>
      </c>
      <c r="L652" s="195">
        <v>1200</v>
      </c>
      <c r="M652" s="167">
        <v>1</v>
      </c>
      <c r="N652" s="241">
        <v>1</v>
      </c>
      <c r="O652" s="167">
        <v>1</v>
      </c>
      <c r="P652" s="167">
        <v>1</v>
      </c>
      <c r="Q652" s="241">
        <v>1</v>
      </c>
      <c r="R652" s="167">
        <v>3</v>
      </c>
      <c r="S652" s="167" t="s">
        <v>811</v>
      </c>
      <c r="T652" s="167">
        <v>0</v>
      </c>
      <c r="U652" s="7" t="s">
        <v>169</v>
      </c>
      <c r="V652" s="7" t="s">
        <v>169</v>
      </c>
      <c r="W652" s="47" t="str">
        <f t="shared" ca="1" si="26"/>
        <v/>
      </c>
      <c r="X652" s="47">
        <f ca="1">VLOOKUP($C652,OFFSET(quests!$A$1,0,0,COUNTA(quests!$A:$A),MATCH(X$2,quests!$1:$1,0)-MATCH($C$2,quests!$1:$1,0)+1),MATCH(X$2,quests!$1:$1,0)-MATCH($C$2,quests!$1:$1,0)+1,FALSE)</f>
        <v>0</v>
      </c>
      <c r="Y652" s="47">
        <f ca="1">VLOOKUP($C652,OFFSET(quests!$A$1,0,0,COUNTA(quests!$A:$A),MATCH(Y$2,quests!$1:$1,0)-MATCH($C$2,quests!$1:$1,0)+1),MATCH(Y$2,quests!$1:$1,0)-MATCH($C$2,quests!$1:$1,0)+1,FALSE)</f>
        <v>0</v>
      </c>
      <c r="Z652" s="47">
        <f ca="1">VLOOKUP($C652,OFFSET(quests!$A$1,0,0,COUNTA(quests!$A:$A),MATCH(Z$2,quests!$1:$1,0)-MATCH($C$2,quests!$1:$1,0)+1),MATCH(Z$2,quests!$1:$1,0)-MATCH($C$2,quests!$1:$1,0)+1,FALSE)</f>
        <v>0</v>
      </c>
      <c r="AA652" s="47">
        <f ca="1">VLOOKUP($C652,OFFSET(quests!$A$1,0,0,COUNTA(quests!$A:$A),MATCH(AA$2,quests!$1:$1,0)-MATCH($C$2,quests!$1:$1,0)+1),MATCH(AA$2,quests!$1:$1,0)-MATCH($C$2,quests!$1:$1,0)+1,FALSE)</f>
        <v>0</v>
      </c>
      <c r="AB652" s="7" t="s">
        <v>56</v>
      </c>
      <c r="AC652" s="167">
        <v>30</v>
      </c>
      <c r="AD652" s="7">
        <v>6</v>
      </c>
      <c r="AE652" s="268" t="s">
        <v>1712</v>
      </c>
      <c r="AF652" s="7">
        <v>11</v>
      </c>
      <c r="AG652" s="7">
        <v>0</v>
      </c>
      <c r="AH652" s="7">
        <v>0</v>
      </c>
      <c r="AI652" s="7">
        <v>-1</v>
      </c>
      <c r="AJ652" s="7">
        <v>-1</v>
      </c>
      <c r="AK652" s="7" t="s">
        <v>1064</v>
      </c>
      <c r="AL652" s="12" t="s">
        <v>1388</v>
      </c>
      <c r="AM652" s="12" t="s">
        <v>2072</v>
      </c>
    </row>
    <row r="653" spans="1:39" ht="21" customHeight="1" x14ac:dyDescent="0.15">
      <c r="A653" s="42" t="str">
        <f t="shared" si="28"/>
        <v>30046_2</v>
      </c>
      <c r="B653" s="76">
        <v>3</v>
      </c>
      <c r="C653" s="31">
        <v>30046</v>
      </c>
      <c r="D653" s="47" t="str">
        <f ca="1">VLOOKUP($C653,OFFSET(quests!$A$1,0,0,COUNTA(quests!$A:$A),MATCH(D$1,quests!$1:$1,0)-MATCH($C$2,quests!$1:$1,0)+1),MATCH(D$1,quests!$1:$1,0)-MATCH($C$2,quests!$1:$1,0)+1,FALSE)</f>
        <v>千利の道も一歩から！</v>
      </c>
      <c r="E653" s="48" t="str">
        <f ca="1">VLOOKUP($C653,OFFSET(quests!$A$1,0,0,COUNTA(quests!$A:$A),MATCH(E$2,quests!$1:$1,0)-MATCH($C$2,quests!$1:$1,0)+1),MATCH(E$2,quests!$1:$1,0)-MATCH($C$2,quests!$1:$1,0)+1,FALSE)</f>
        <v>戦国シリーズ第二弾　超級</v>
      </c>
      <c r="F653" s="7">
        <v>2</v>
      </c>
      <c r="G653" s="7" t="s">
        <v>382</v>
      </c>
      <c r="H653" s="82" t="s">
        <v>1965</v>
      </c>
      <c r="I653" s="12" t="s">
        <v>830</v>
      </c>
      <c r="J653" s="12">
        <v>1237</v>
      </c>
      <c r="K653" s="194">
        <v>20</v>
      </c>
      <c r="L653" s="195">
        <v>2000</v>
      </c>
      <c r="M653" s="167">
        <v>1</v>
      </c>
      <c r="N653" s="241">
        <v>1</v>
      </c>
      <c r="O653" s="167">
        <v>1</v>
      </c>
      <c r="P653" s="167">
        <v>1</v>
      </c>
      <c r="Q653" s="241">
        <v>1</v>
      </c>
      <c r="R653" s="167">
        <v>3</v>
      </c>
      <c r="S653" s="167" t="s">
        <v>1793</v>
      </c>
      <c r="T653" s="167">
        <v>0</v>
      </c>
      <c r="U653" s="7" t="s">
        <v>169</v>
      </c>
      <c r="V653" s="7" t="s">
        <v>169</v>
      </c>
      <c r="W653" s="47" t="str">
        <f t="shared" ca="1" si="26"/>
        <v/>
      </c>
      <c r="X653" s="47">
        <f ca="1">VLOOKUP($C653,OFFSET(quests!$A$1,0,0,COUNTA(quests!$A:$A),MATCH(X$2,quests!$1:$1,0)-MATCH($C$2,quests!$1:$1,0)+1),MATCH(X$2,quests!$1:$1,0)-MATCH($C$2,quests!$1:$1,0)+1,FALSE)</f>
        <v>0</v>
      </c>
      <c r="Y653" s="47">
        <f ca="1">VLOOKUP($C653,OFFSET(quests!$A$1,0,0,COUNTA(quests!$A:$A),MATCH(Y$2,quests!$1:$1,0)-MATCH($C$2,quests!$1:$1,0)+1),MATCH(Y$2,quests!$1:$1,0)-MATCH($C$2,quests!$1:$1,0)+1,FALSE)</f>
        <v>0</v>
      </c>
      <c r="Z653" s="47">
        <f ca="1">VLOOKUP($C653,OFFSET(quests!$A$1,0,0,COUNTA(quests!$A:$A),MATCH(Z$2,quests!$1:$1,0)-MATCH($C$2,quests!$1:$1,0)+1),MATCH(Z$2,quests!$1:$1,0)-MATCH($C$2,quests!$1:$1,0)+1,FALSE)</f>
        <v>0</v>
      </c>
      <c r="AA653" s="47">
        <f ca="1">VLOOKUP($C653,OFFSET(quests!$A$1,0,0,COUNTA(quests!$A:$A),MATCH(AA$2,quests!$1:$1,0)-MATCH($C$2,quests!$1:$1,0)+1),MATCH(AA$2,quests!$1:$1,0)-MATCH($C$2,quests!$1:$1,0)+1,FALSE)</f>
        <v>0</v>
      </c>
      <c r="AB653" s="7" t="s">
        <v>56</v>
      </c>
      <c r="AC653" s="167">
        <v>30</v>
      </c>
      <c r="AD653" s="7">
        <v>6</v>
      </c>
      <c r="AE653" s="268" t="s">
        <v>1712</v>
      </c>
      <c r="AF653" s="7">
        <v>11</v>
      </c>
      <c r="AG653" s="7">
        <v>0</v>
      </c>
      <c r="AH653" s="7">
        <v>0</v>
      </c>
      <c r="AI653" s="7">
        <v>-1</v>
      </c>
      <c r="AJ653" s="7">
        <v>-1</v>
      </c>
      <c r="AK653" s="7" t="s">
        <v>1064</v>
      </c>
      <c r="AL653" s="12" t="s">
        <v>1388</v>
      </c>
      <c r="AM653" s="12" t="s">
        <v>2072</v>
      </c>
    </row>
    <row r="654" spans="1:39" ht="21" customHeight="1" x14ac:dyDescent="0.15">
      <c r="A654" s="42" t="str">
        <f t="shared" si="28"/>
        <v>30046_3</v>
      </c>
      <c r="B654" s="76">
        <v>3</v>
      </c>
      <c r="C654" s="31">
        <v>30046</v>
      </c>
      <c r="D654" s="47" t="str">
        <f ca="1">VLOOKUP($C654,OFFSET(quests!$A$1,0,0,COUNTA(quests!$A:$A),MATCH(D$1,quests!$1:$1,0)-MATCH($C$2,quests!$1:$1,0)+1),MATCH(D$1,quests!$1:$1,0)-MATCH($C$2,quests!$1:$1,0)+1,FALSE)</f>
        <v>千利の道も一歩から！</v>
      </c>
      <c r="E654" s="48" t="str">
        <f ca="1">VLOOKUP($C654,OFFSET(quests!$A$1,0,0,COUNTA(quests!$A:$A),MATCH(E$2,quests!$1:$1,0)-MATCH($C$2,quests!$1:$1,0)+1),MATCH(E$2,quests!$1:$1,0)-MATCH($C$2,quests!$1:$1,0)+1,FALSE)</f>
        <v>戦国シリーズ第二弾　超級</v>
      </c>
      <c r="F654" s="7">
        <v>3</v>
      </c>
      <c r="G654" s="7" t="s">
        <v>382</v>
      </c>
      <c r="H654" s="82" t="s">
        <v>1966</v>
      </c>
      <c r="I654" s="12" t="s">
        <v>832</v>
      </c>
      <c r="J654" s="12">
        <v>1237</v>
      </c>
      <c r="K654" s="194">
        <v>30</v>
      </c>
      <c r="L654" s="195">
        <v>3300</v>
      </c>
      <c r="M654" s="167">
        <v>1</v>
      </c>
      <c r="N654" s="241">
        <v>1</v>
      </c>
      <c r="O654" s="167">
        <v>1</v>
      </c>
      <c r="P654" s="167">
        <v>1</v>
      </c>
      <c r="Q654" s="241">
        <v>1</v>
      </c>
      <c r="R654" s="167">
        <v>3</v>
      </c>
      <c r="S654" s="167" t="s">
        <v>278</v>
      </c>
      <c r="T654" s="167">
        <v>1</v>
      </c>
      <c r="U654" s="7" t="s">
        <v>169</v>
      </c>
      <c r="V654" s="7" t="s">
        <v>169</v>
      </c>
      <c r="W654" s="47" t="str">
        <f t="shared" ca="1" si="26"/>
        <v/>
      </c>
      <c r="X654" s="47">
        <f ca="1">VLOOKUP($C654,OFFSET(quests!$A$1,0,0,COUNTA(quests!$A:$A),MATCH(X$2,quests!$1:$1,0)-MATCH($C$2,quests!$1:$1,0)+1),MATCH(X$2,quests!$1:$1,0)-MATCH($C$2,quests!$1:$1,0)+1,FALSE)</f>
        <v>0</v>
      </c>
      <c r="Y654" s="47">
        <f ca="1">VLOOKUP($C654,OFFSET(quests!$A$1,0,0,COUNTA(quests!$A:$A),MATCH(Y$2,quests!$1:$1,0)-MATCH($C$2,quests!$1:$1,0)+1),MATCH(Y$2,quests!$1:$1,0)-MATCH($C$2,quests!$1:$1,0)+1,FALSE)</f>
        <v>0</v>
      </c>
      <c r="Z654" s="47">
        <f ca="1">VLOOKUP($C654,OFFSET(quests!$A$1,0,0,COUNTA(quests!$A:$A),MATCH(Z$2,quests!$1:$1,0)-MATCH($C$2,quests!$1:$1,0)+1),MATCH(Z$2,quests!$1:$1,0)-MATCH($C$2,quests!$1:$1,0)+1,FALSE)</f>
        <v>0</v>
      </c>
      <c r="AA654" s="47">
        <f ca="1">VLOOKUP($C654,OFFSET(quests!$A$1,0,0,COUNTA(quests!$A:$A),MATCH(AA$2,quests!$1:$1,0)-MATCH($C$2,quests!$1:$1,0)+1),MATCH(AA$2,quests!$1:$1,0)-MATCH($C$2,quests!$1:$1,0)+1,FALSE)</f>
        <v>0</v>
      </c>
      <c r="AB654" s="7" t="s">
        <v>56</v>
      </c>
      <c r="AC654" s="167">
        <v>30</v>
      </c>
      <c r="AD654" s="7">
        <v>6</v>
      </c>
      <c r="AE654" s="268" t="s">
        <v>1712</v>
      </c>
      <c r="AF654" s="7">
        <v>11</v>
      </c>
      <c r="AG654" s="7">
        <v>0</v>
      </c>
      <c r="AH654" s="7">
        <v>0</v>
      </c>
      <c r="AI654" s="7">
        <v>-1</v>
      </c>
      <c r="AJ654" s="7">
        <v>-1</v>
      </c>
      <c r="AK654" s="7" t="s">
        <v>1065</v>
      </c>
      <c r="AL654" s="12" t="s">
        <v>1388</v>
      </c>
      <c r="AM654" s="12" t="s">
        <v>2072</v>
      </c>
    </row>
    <row r="655" spans="1:39" ht="21" customHeight="1" x14ac:dyDescent="0.15">
      <c r="A655" s="42" t="str">
        <f t="shared" ref="A655:A657" si="29">C655&amp;"_"&amp;F655</f>
        <v>30047_1</v>
      </c>
      <c r="B655" s="76">
        <v>3</v>
      </c>
      <c r="C655" s="31">
        <v>30047</v>
      </c>
      <c r="D655" s="47" t="str">
        <f ca="1">VLOOKUP($C655,OFFSET(quests!$A$1,0,0,COUNTA(quests!$A:$A),MATCH(D$1,quests!$1:$1,0)-MATCH($C$2,quests!$1:$1,0)+1),MATCH(D$1,quests!$1:$1,0)-MATCH($C$2,quests!$1:$1,0)+1,FALSE)</f>
        <v>終末の旋律</v>
      </c>
      <c r="E655" s="48" t="str">
        <f ca="1">VLOOKUP($C655,OFFSET(quests!$A$1,0,0,COUNTA(quests!$A:$A),MATCH(E$2,quests!$1:$1,0)-MATCH($C$2,quests!$1:$1,0)+1),MATCH(E$2,quests!$1:$1,0)-MATCH($C$2,quests!$1:$1,0)+1,FALSE)</f>
        <v>北欧シリーズ第三弾　超級</v>
      </c>
      <c r="F655" s="7">
        <v>1</v>
      </c>
      <c r="G655" s="7" t="s">
        <v>382</v>
      </c>
      <c r="H655" s="82" t="s">
        <v>1986</v>
      </c>
      <c r="I655" s="12" t="s">
        <v>831</v>
      </c>
      <c r="J655" s="12">
        <v>1253</v>
      </c>
      <c r="K655" s="194">
        <v>15</v>
      </c>
      <c r="L655" s="195">
        <v>1200</v>
      </c>
      <c r="M655" s="167">
        <v>1</v>
      </c>
      <c r="N655" s="241">
        <v>1</v>
      </c>
      <c r="O655" s="167">
        <v>1</v>
      </c>
      <c r="P655" s="167">
        <v>1</v>
      </c>
      <c r="Q655" s="241">
        <v>1</v>
      </c>
      <c r="R655" s="167">
        <v>3</v>
      </c>
      <c r="S655" s="167" t="s">
        <v>811</v>
      </c>
      <c r="T655" s="167">
        <v>0</v>
      </c>
      <c r="U655" s="7" t="s">
        <v>169</v>
      </c>
      <c r="V655" s="7" t="s">
        <v>169</v>
      </c>
      <c r="W655" s="47" t="str">
        <f t="shared" ca="1" si="26"/>
        <v/>
      </c>
      <c r="X655" s="47">
        <f ca="1">VLOOKUP($C655,OFFSET(quests!$A$1,0,0,COUNTA(quests!$A:$A),MATCH(X$2,quests!$1:$1,0)-MATCH($C$2,quests!$1:$1,0)+1),MATCH(X$2,quests!$1:$1,0)-MATCH($C$2,quests!$1:$1,0)+1,FALSE)</f>
        <v>0</v>
      </c>
      <c r="Y655" s="47">
        <f ca="1">VLOOKUP($C655,OFFSET(quests!$A$1,0,0,COUNTA(quests!$A:$A),MATCH(Y$2,quests!$1:$1,0)-MATCH($C$2,quests!$1:$1,0)+1),MATCH(Y$2,quests!$1:$1,0)-MATCH($C$2,quests!$1:$1,0)+1,FALSE)</f>
        <v>0</v>
      </c>
      <c r="Z655" s="47">
        <f ca="1">VLOOKUP($C655,OFFSET(quests!$A$1,0,0,COUNTA(quests!$A:$A),MATCH(Z$2,quests!$1:$1,0)-MATCH($C$2,quests!$1:$1,0)+1),MATCH(Z$2,quests!$1:$1,0)-MATCH($C$2,quests!$1:$1,0)+1,FALSE)</f>
        <v>0</v>
      </c>
      <c r="AA655" s="47">
        <f ca="1">VLOOKUP($C655,OFFSET(quests!$A$1,0,0,COUNTA(quests!$A:$A),MATCH(AA$2,quests!$1:$1,0)-MATCH($C$2,quests!$1:$1,0)+1),MATCH(AA$2,quests!$1:$1,0)-MATCH($C$2,quests!$1:$1,0)+1,FALSE)</f>
        <v>0</v>
      </c>
      <c r="AB655" s="7" t="s">
        <v>56</v>
      </c>
      <c r="AC655" s="167">
        <v>25</v>
      </c>
      <c r="AD655" s="7">
        <v>6</v>
      </c>
      <c r="AE655" s="268" t="s">
        <v>1712</v>
      </c>
      <c r="AF655" s="7">
        <v>11</v>
      </c>
      <c r="AG655" s="7">
        <v>0</v>
      </c>
      <c r="AH655" s="7">
        <v>0</v>
      </c>
      <c r="AI655" s="7">
        <v>-1</v>
      </c>
      <c r="AJ655" s="7">
        <v>-1</v>
      </c>
      <c r="AK655" s="7" t="s">
        <v>1064</v>
      </c>
      <c r="AL655" s="12" t="s">
        <v>1269</v>
      </c>
      <c r="AM655" s="12" t="s">
        <v>2072</v>
      </c>
    </row>
    <row r="656" spans="1:39" ht="21" customHeight="1" x14ac:dyDescent="0.15">
      <c r="A656" s="42" t="str">
        <f t="shared" si="29"/>
        <v>30047_2</v>
      </c>
      <c r="B656" s="76">
        <v>3</v>
      </c>
      <c r="C656" s="31">
        <v>30047</v>
      </c>
      <c r="D656" s="47" t="str">
        <f ca="1">VLOOKUP($C656,OFFSET(quests!$A$1,0,0,COUNTA(quests!$A:$A),MATCH(D$1,quests!$1:$1,0)-MATCH($C$2,quests!$1:$1,0)+1),MATCH(D$1,quests!$1:$1,0)-MATCH($C$2,quests!$1:$1,0)+1,FALSE)</f>
        <v>終末の旋律</v>
      </c>
      <c r="E656" s="48" t="str">
        <f ca="1">VLOOKUP($C656,OFFSET(quests!$A$1,0,0,COUNTA(quests!$A:$A),MATCH(E$2,quests!$1:$1,0)-MATCH($C$2,quests!$1:$1,0)+1),MATCH(E$2,quests!$1:$1,0)-MATCH($C$2,quests!$1:$1,0)+1,FALSE)</f>
        <v>北欧シリーズ第三弾　超級</v>
      </c>
      <c r="F656" s="7">
        <v>2</v>
      </c>
      <c r="G656" s="7" t="s">
        <v>382</v>
      </c>
      <c r="H656" s="82" t="s">
        <v>1987</v>
      </c>
      <c r="I656" s="12" t="s">
        <v>830</v>
      </c>
      <c r="J656" s="12">
        <v>1253</v>
      </c>
      <c r="K656" s="194">
        <v>20</v>
      </c>
      <c r="L656" s="195">
        <v>2000</v>
      </c>
      <c r="M656" s="167">
        <v>1</v>
      </c>
      <c r="N656" s="241">
        <v>1</v>
      </c>
      <c r="O656" s="167">
        <v>1</v>
      </c>
      <c r="P656" s="167">
        <v>1</v>
      </c>
      <c r="Q656" s="241">
        <v>1</v>
      </c>
      <c r="R656" s="167">
        <v>3</v>
      </c>
      <c r="S656" s="167" t="s">
        <v>811</v>
      </c>
      <c r="T656" s="167">
        <v>0</v>
      </c>
      <c r="U656" s="7" t="s">
        <v>169</v>
      </c>
      <c r="V656" s="7" t="s">
        <v>169</v>
      </c>
      <c r="W656" s="47" t="str">
        <f t="shared" ca="1" si="26"/>
        <v/>
      </c>
      <c r="X656" s="47">
        <f ca="1">VLOOKUP($C656,OFFSET(quests!$A$1,0,0,COUNTA(quests!$A:$A),MATCH(X$2,quests!$1:$1,0)-MATCH($C$2,quests!$1:$1,0)+1),MATCH(X$2,quests!$1:$1,0)-MATCH($C$2,quests!$1:$1,0)+1,FALSE)</f>
        <v>0</v>
      </c>
      <c r="Y656" s="47">
        <f ca="1">VLOOKUP($C656,OFFSET(quests!$A$1,0,0,COUNTA(quests!$A:$A),MATCH(Y$2,quests!$1:$1,0)-MATCH($C$2,quests!$1:$1,0)+1),MATCH(Y$2,quests!$1:$1,0)-MATCH($C$2,quests!$1:$1,0)+1,FALSE)</f>
        <v>0</v>
      </c>
      <c r="Z656" s="47">
        <f ca="1">VLOOKUP($C656,OFFSET(quests!$A$1,0,0,COUNTA(quests!$A:$A),MATCH(Z$2,quests!$1:$1,0)-MATCH($C$2,quests!$1:$1,0)+1),MATCH(Z$2,quests!$1:$1,0)-MATCH($C$2,quests!$1:$1,0)+1,FALSE)</f>
        <v>0</v>
      </c>
      <c r="AA656" s="47">
        <f ca="1">VLOOKUP($C656,OFFSET(quests!$A$1,0,0,COUNTA(quests!$A:$A),MATCH(AA$2,quests!$1:$1,0)-MATCH($C$2,quests!$1:$1,0)+1),MATCH(AA$2,quests!$1:$1,0)-MATCH($C$2,quests!$1:$1,0)+1,FALSE)</f>
        <v>0</v>
      </c>
      <c r="AB656" s="7" t="s">
        <v>56</v>
      </c>
      <c r="AC656" s="167">
        <v>25</v>
      </c>
      <c r="AD656" s="7">
        <v>6</v>
      </c>
      <c r="AE656" s="268" t="s">
        <v>1712</v>
      </c>
      <c r="AF656" s="7">
        <v>11</v>
      </c>
      <c r="AG656" s="7">
        <v>0</v>
      </c>
      <c r="AH656" s="7">
        <v>0</v>
      </c>
      <c r="AI656" s="7">
        <v>-1</v>
      </c>
      <c r="AJ656" s="7">
        <v>-1</v>
      </c>
      <c r="AK656" s="7" t="s">
        <v>1064</v>
      </c>
      <c r="AL656" s="12" t="s">
        <v>1269</v>
      </c>
      <c r="AM656" s="12" t="s">
        <v>2072</v>
      </c>
    </row>
    <row r="657" spans="1:39" ht="21" customHeight="1" x14ac:dyDescent="0.15">
      <c r="A657" s="42" t="str">
        <f t="shared" si="29"/>
        <v>30047_3</v>
      </c>
      <c r="B657" s="76">
        <v>3</v>
      </c>
      <c r="C657" s="31">
        <v>30047</v>
      </c>
      <c r="D657" s="47" t="str">
        <f ca="1">VLOOKUP($C657,OFFSET(quests!$A$1,0,0,COUNTA(quests!$A:$A),MATCH(D$1,quests!$1:$1,0)-MATCH($C$2,quests!$1:$1,0)+1),MATCH(D$1,quests!$1:$1,0)-MATCH($C$2,quests!$1:$1,0)+1,FALSE)</f>
        <v>終末の旋律</v>
      </c>
      <c r="E657" s="48" t="str">
        <f ca="1">VLOOKUP($C657,OFFSET(quests!$A$1,0,0,COUNTA(quests!$A:$A),MATCH(E$2,quests!$1:$1,0)-MATCH($C$2,quests!$1:$1,0)+1),MATCH(E$2,quests!$1:$1,0)-MATCH($C$2,quests!$1:$1,0)+1,FALSE)</f>
        <v>北欧シリーズ第三弾　超級</v>
      </c>
      <c r="F657" s="7">
        <v>3</v>
      </c>
      <c r="G657" s="7" t="s">
        <v>382</v>
      </c>
      <c r="H657" s="82" t="s">
        <v>1988</v>
      </c>
      <c r="I657" s="12" t="s">
        <v>832</v>
      </c>
      <c r="J657" s="12">
        <v>1253</v>
      </c>
      <c r="K657" s="194">
        <v>30</v>
      </c>
      <c r="L657" s="195">
        <v>3300</v>
      </c>
      <c r="M657" s="167">
        <v>1</v>
      </c>
      <c r="N657" s="241">
        <v>1</v>
      </c>
      <c r="O657" s="167">
        <v>1</v>
      </c>
      <c r="P657" s="167">
        <v>1</v>
      </c>
      <c r="Q657" s="241">
        <v>1</v>
      </c>
      <c r="R657" s="167">
        <v>3</v>
      </c>
      <c r="S657" s="167" t="s">
        <v>278</v>
      </c>
      <c r="T657" s="167">
        <v>1</v>
      </c>
      <c r="U657" s="7" t="s">
        <v>169</v>
      </c>
      <c r="V657" s="7" t="s">
        <v>169</v>
      </c>
      <c r="W657" s="47" t="str">
        <f t="shared" ca="1" si="26"/>
        <v/>
      </c>
      <c r="X657" s="47">
        <f ca="1">VLOOKUP($C657,OFFSET(quests!$A$1,0,0,COUNTA(quests!$A:$A),MATCH(X$2,quests!$1:$1,0)-MATCH($C$2,quests!$1:$1,0)+1),MATCH(X$2,quests!$1:$1,0)-MATCH($C$2,quests!$1:$1,0)+1,FALSE)</f>
        <v>0</v>
      </c>
      <c r="Y657" s="47">
        <f ca="1">VLOOKUP($C657,OFFSET(quests!$A$1,0,0,COUNTA(quests!$A:$A),MATCH(Y$2,quests!$1:$1,0)-MATCH($C$2,quests!$1:$1,0)+1),MATCH(Y$2,quests!$1:$1,0)-MATCH($C$2,quests!$1:$1,0)+1,FALSE)</f>
        <v>0</v>
      </c>
      <c r="Z657" s="47">
        <f ca="1">VLOOKUP($C657,OFFSET(quests!$A$1,0,0,COUNTA(quests!$A:$A),MATCH(Z$2,quests!$1:$1,0)-MATCH($C$2,quests!$1:$1,0)+1),MATCH(Z$2,quests!$1:$1,0)-MATCH($C$2,quests!$1:$1,0)+1,FALSE)</f>
        <v>0</v>
      </c>
      <c r="AA657" s="47">
        <f ca="1">VLOOKUP($C657,OFFSET(quests!$A$1,0,0,COUNTA(quests!$A:$A),MATCH(AA$2,quests!$1:$1,0)-MATCH($C$2,quests!$1:$1,0)+1),MATCH(AA$2,quests!$1:$1,0)-MATCH($C$2,quests!$1:$1,0)+1,FALSE)</f>
        <v>0</v>
      </c>
      <c r="AB657" s="7" t="s">
        <v>56</v>
      </c>
      <c r="AC657" s="167">
        <v>25</v>
      </c>
      <c r="AD657" s="7">
        <v>6</v>
      </c>
      <c r="AE657" s="268" t="s">
        <v>1712</v>
      </c>
      <c r="AF657" s="7">
        <v>11</v>
      </c>
      <c r="AG657" s="7">
        <v>0</v>
      </c>
      <c r="AH657" s="7">
        <v>0</v>
      </c>
      <c r="AI657" s="7">
        <v>-1</v>
      </c>
      <c r="AJ657" s="7">
        <v>-1</v>
      </c>
      <c r="AK657" s="7" t="s">
        <v>1065</v>
      </c>
      <c r="AL657" s="12" t="s">
        <v>1269</v>
      </c>
      <c r="AM657" s="12" t="s">
        <v>2072</v>
      </c>
    </row>
    <row r="658" spans="1:39" ht="21" customHeight="1" x14ac:dyDescent="0.15">
      <c r="A658" s="42" t="str">
        <f t="shared" ref="A658:A660" si="30">C658&amp;"_"&amp;F658</f>
        <v>30048_1</v>
      </c>
      <c r="B658" s="76">
        <v>3</v>
      </c>
      <c r="C658" s="31">
        <v>30048</v>
      </c>
      <c r="D658" s="47" t="str">
        <f ca="1">VLOOKUP($C658,OFFSET(quests!$A$1,0,0,COUNTA(quests!$A:$A),MATCH(D$1,quests!$1:$1,0)-MATCH($C$2,quests!$1:$1,0)+1),MATCH(D$1,quests!$1:$1,0)-MATCH($C$2,quests!$1:$1,0)+1,FALSE)</f>
        <v>惑乱の双神使！？</v>
      </c>
      <c r="E658" s="48" t="str">
        <f ca="1">VLOOKUP($C658,OFFSET(quests!$A$1,0,0,COUNTA(quests!$A:$A),MATCH(E$2,quests!$1:$1,0)-MATCH($C$2,quests!$1:$1,0)+1),MATCH(E$2,quests!$1:$1,0)-MATCH($C$2,quests!$1:$1,0)+1,FALSE)</f>
        <v>日本神話シリーズ　超級</v>
      </c>
      <c r="F658" s="7">
        <v>1</v>
      </c>
      <c r="G658" s="7" t="s">
        <v>382</v>
      </c>
      <c r="H658" s="82" t="s">
        <v>2053</v>
      </c>
      <c r="I658" s="12" t="s">
        <v>831</v>
      </c>
      <c r="J658" s="12">
        <v>1325</v>
      </c>
      <c r="K658" s="194">
        <v>15</v>
      </c>
      <c r="L658" s="195">
        <v>1200</v>
      </c>
      <c r="M658" s="167">
        <v>1</v>
      </c>
      <c r="N658" s="241">
        <v>1</v>
      </c>
      <c r="O658" s="167">
        <v>1</v>
      </c>
      <c r="P658" s="167">
        <v>1</v>
      </c>
      <c r="Q658" s="241">
        <v>1</v>
      </c>
      <c r="R658" s="167">
        <v>3</v>
      </c>
      <c r="S658" s="167" t="s">
        <v>811</v>
      </c>
      <c r="T658" s="167">
        <v>0</v>
      </c>
      <c r="U658" s="7" t="s">
        <v>169</v>
      </c>
      <c r="V658" s="7" t="s">
        <v>169</v>
      </c>
      <c r="W658" s="47" t="str">
        <f t="shared" ca="1" si="26"/>
        <v/>
      </c>
      <c r="X658" s="47">
        <f ca="1">VLOOKUP($C658,OFFSET(quests!$A$1,0,0,COUNTA(quests!$A:$A),MATCH(X$2,quests!$1:$1,0)-MATCH($C$2,quests!$1:$1,0)+1),MATCH(X$2,quests!$1:$1,0)-MATCH($C$2,quests!$1:$1,0)+1,FALSE)</f>
        <v>0</v>
      </c>
      <c r="Y658" s="47">
        <f ca="1">VLOOKUP($C658,OFFSET(quests!$A$1,0,0,COUNTA(quests!$A:$A),MATCH(Y$2,quests!$1:$1,0)-MATCH($C$2,quests!$1:$1,0)+1),MATCH(Y$2,quests!$1:$1,0)-MATCH($C$2,quests!$1:$1,0)+1,FALSE)</f>
        <v>0</v>
      </c>
      <c r="Z658" s="47">
        <f ca="1">VLOOKUP($C658,OFFSET(quests!$A$1,0,0,COUNTA(quests!$A:$A),MATCH(Z$2,quests!$1:$1,0)-MATCH($C$2,quests!$1:$1,0)+1),MATCH(Z$2,quests!$1:$1,0)-MATCH($C$2,quests!$1:$1,0)+1,FALSE)</f>
        <v>0</v>
      </c>
      <c r="AA658" s="47">
        <f ca="1">VLOOKUP($C658,OFFSET(quests!$A$1,0,0,COUNTA(quests!$A:$A),MATCH(AA$2,quests!$1:$1,0)-MATCH($C$2,quests!$1:$1,0)+1),MATCH(AA$2,quests!$1:$1,0)-MATCH($C$2,quests!$1:$1,0)+1,FALSE)</f>
        <v>0</v>
      </c>
      <c r="AB658" s="7" t="s">
        <v>56</v>
      </c>
      <c r="AC658" s="167">
        <v>2</v>
      </c>
      <c r="AD658" s="7">
        <v>6</v>
      </c>
      <c r="AE658" s="268" t="s">
        <v>1712</v>
      </c>
      <c r="AF658" s="7">
        <v>11</v>
      </c>
      <c r="AG658" s="7">
        <v>0</v>
      </c>
      <c r="AH658" s="7">
        <v>0</v>
      </c>
      <c r="AI658" s="7">
        <v>-1</v>
      </c>
      <c r="AJ658" s="7">
        <v>-1</v>
      </c>
      <c r="AK658" s="7" t="s">
        <v>1064</v>
      </c>
      <c r="AL658" s="12" t="s">
        <v>1269</v>
      </c>
      <c r="AM658" s="12" t="s">
        <v>2072</v>
      </c>
    </row>
    <row r="659" spans="1:39" ht="21" customHeight="1" x14ac:dyDescent="0.15">
      <c r="A659" s="42" t="str">
        <f t="shared" si="30"/>
        <v>30048_2</v>
      </c>
      <c r="B659" s="76">
        <v>3</v>
      </c>
      <c r="C659" s="31">
        <v>30048</v>
      </c>
      <c r="D659" s="47" t="str">
        <f ca="1">VLOOKUP($C659,OFFSET(quests!$A$1,0,0,COUNTA(quests!$A:$A),MATCH(D$1,quests!$1:$1,0)-MATCH($C$2,quests!$1:$1,0)+1),MATCH(D$1,quests!$1:$1,0)-MATCH($C$2,quests!$1:$1,0)+1,FALSE)</f>
        <v>惑乱の双神使！？</v>
      </c>
      <c r="E659" s="48" t="str">
        <f ca="1">VLOOKUP($C659,OFFSET(quests!$A$1,0,0,COUNTA(quests!$A:$A),MATCH(E$2,quests!$1:$1,0)-MATCH($C$2,quests!$1:$1,0)+1),MATCH(E$2,quests!$1:$1,0)-MATCH($C$2,quests!$1:$1,0)+1,FALSE)</f>
        <v>日本神話シリーズ　超級</v>
      </c>
      <c r="F659" s="7">
        <v>2</v>
      </c>
      <c r="G659" s="7" t="s">
        <v>382</v>
      </c>
      <c r="H659" s="82" t="s">
        <v>2054</v>
      </c>
      <c r="I659" s="12" t="s">
        <v>830</v>
      </c>
      <c r="J659" s="12">
        <v>1325</v>
      </c>
      <c r="K659" s="194">
        <v>20</v>
      </c>
      <c r="L659" s="195">
        <v>2000</v>
      </c>
      <c r="M659" s="167">
        <v>1</v>
      </c>
      <c r="N659" s="241">
        <v>1</v>
      </c>
      <c r="O659" s="167">
        <v>1</v>
      </c>
      <c r="P659" s="167">
        <v>1</v>
      </c>
      <c r="Q659" s="241">
        <v>1</v>
      </c>
      <c r="R659" s="167">
        <v>3</v>
      </c>
      <c r="S659" s="167" t="s">
        <v>811</v>
      </c>
      <c r="T659" s="167">
        <v>0</v>
      </c>
      <c r="U659" s="7" t="s">
        <v>169</v>
      </c>
      <c r="V659" s="7" t="s">
        <v>169</v>
      </c>
      <c r="W659" s="47" t="str">
        <f t="shared" ca="1" si="26"/>
        <v/>
      </c>
      <c r="X659" s="47">
        <f ca="1">VLOOKUP($C659,OFFSET(quests!$A$1,0,0,COUNTA(quests!$A:$A),MATCH(X$2,quests!$1:$1,0)-MATCH($C$2,quests!$1:$1,0)+1),MATCH(X$2,quests!$1:$1,0)-MATCH($C$2,quests!$1:$1,0)+1,FALSE)</f>
        <v>0</v>
      </c>
      <c r="Y659" s="47">
        <f ca="1">VLOOKUP($C659,OFFSET(quests!$A$1,0,0,COUNTA(quests!$A:$A),MATCH(Y$2,quests!$1:$1,0)-MATCH($C$2,quests!$1:$1,0)+1),MATCH(Y$2,quests!$1:$1,0)-MATCH($C$2,quests!$1:$1,0)+1,FALSE)</f>
        <v>0</v>
      </c>
      <c r="Z659" s="47">
        <f ca="1">VLOOKUP($C659,OFFSET(quests!$A$1,0,0,COUNTA(quests!$A:$A),MATCH(Z$2,quests!$1:$1,0)-MATCH($C$2,quests!$1:$1,0)+1),MATCH(Z$2,quests!$1:$1,0)-MATCH($C$2,quests!$1:$1,0)+1,FALSE)</f>
        <v>0</v>
      </c>
      <c r="AA659" s="47">
        <f ca="1">VLOOKUP($C659,OFFSET(quests!$A$1,0,0,COUNTA(quests!$A:$A),MATCH(AA$2,quests!$1:$1,0)-MATCH($C$2,quests!$1:$1,0)+1),MATCH(AA$2,quests!$1:$1,0)-MATCH($C$2,quests!$1:$1,0)+1,FALSE)</f>
        <v>0</v>
      </c>
      <c r="AB659" s="7" t="s">
        <v>56</v>
      </c>
      <c r="AC659" s="167">
        <v>2</v>
      </c>
      <c r="AD659" s="7">
        <v>6</v>
      </c>
      <c r="AE659" s="268" t="s">
        <v>1712</v>
      </c>
      <c r="AF659" s="7">
        <v>11</v>
      </c>
      <c r="AG659" s="7">
        <v>0</v>
      </c>
      <c r="AH659" s="7">
        <v>0</v>
      </c>
      <c r="AI659" s="7">
        <v>-1</v>
      </c>
      <c r="AJ659" s="7">
        <v>-1</v>
      </c>
      <c r="AK659" s="7" t="s">
        <v>1064</v>
      </c>
      <c r="AL659" s="12" t="s">
        <v>1269</v>
      </c>
      <c r="AM659" s="12" t="s">
        <v>2072</v>
      </c>
    </row>
    <row r="660" spans="1:39" ht="21" customHeight="1" x14ac:dyDescent="0.15">
      <c r="A660" s="42" t="str">
        <f t="shared" si="30"/>
        <v>30048_3</v>
      </c>
      <c r="B660" s="76">
        <v>3</v>
      </c>
      <c r="C660" s="31">
        <v>30048</v>
      </c>
      <c r="D660" s="47" t="str">
        <f ca="1">VLOOKUP($C660,OFFSET(quests!$A$1,0,0,COUNTA(quests!$A:$A),MATCH(D$1,quests!$1:$1,0)-MATCH($C$2,quests!$1:$1,0)+1),MATCH(D$1,quests!$1:$1,0)-MATCH($C$2,quests!$1:$1,0)+1,FALSE)</f>
        <v>惑乱の双神使！？</v>
      </c>
      <c r="E660" s="48" t="str">
        <f ca="1">VLOOKUP($C660,OFFSET(quests!$A$1,0,0,COUNTA(quests!$A:$A),MATCH(E$2,quests!$1:$1,0)-MATCH($C$2,quests!$1:$1,0)+1),MATCH(E$2,quests!$1:$1,0)-MATCH($C$2,quests!$1:$1,0)+1,FALSE)</f>
        <v>日本神話シリーズ　超級</v>
      </c>
      <c r="F660" s="7">
        <v>3</v>
      </c>
      <c r="G660" s="7" t="s">
        <v>382</v>
      </c>
      <c r="H660" s="82" t="s">
        <v>2055</v>
      </c>
      <c r="I660" s="12" t="s">
        <v>832</v>
      </c>
      <c r="J660" s="12">
        <v>1325</v>
      </c>
      <c r="K660" s="194">
        <v>30</v>
      </c>
      <c r="L660" s="195">
        <v>3300</v>
      </c>
      <c r="M660" s="167">
        <v>1</v>
      </c>
      <c r="N660" s="241">
        <v>1</v>
      </c>
      <c r="O660" s="167">
        <v>1</v>
      </c>
      <c r="P660" s="167">
        <v>1</v>
      </c>
      <c r="Q660" s="241">
        <v>1</v>
      </c>
      <c r="R660" s="167">
        <v>3</v>
      </c>
      <c r="S660" s="167" t="s">
        <v>278</v>
      </c>
      <c r="T660" s="167">
        <v>1</v>
      </c>
      <c r="U660" s="7" t="s">
        <v>169</v>
      </c>
      <c r="V660" s="7" t="s">
        <v>169</v>
      </c>
      <c r="W660" s="47" t="str">
        <f t="shared" ca="1" si="26"/>
        <v/>
      </c>
      <c r="X660" s="47">
        <f ca="1">VLOOKUP($C660,OFFSET(quests!$A$1,0,0,COUNTA(quests!$A:$A),MATCH(X$2,quests!$1:$1,0)-MATCH($C$2,quests!$1:$1,0)+1),MATCH(X$2,quests!$1:$1,0)-MATCH($C$2,quests!$1:$1,0)+1,FALSE)</f>
        <v>0</v>
      </c>
      <c r="Y660" s="47">
        <f ca="1">VLOOKUP($C660,OFFSET(quests!$A$1,0,0,COUNTA(quests!$A:$A),MATCH(Y$2,quests!$1:$1,0)-MATCH($C$2,quests!$1:$1,0)+1),MATCH(Y$2,quests!$1:$1,0)-MATCH($C$2,quests!$1:$1,0)+1,FALSE)</f>
        <v>0</v>
      </c>
      <c r="Z660" s="47">
        <f ca="1">VLOOKUP($C660,OFFSET(quests!$A$1,0,0,COUNTA(quests!$A:$A),MATCH(Z$2,quests!$1:$1,0)-MATCH($C$2,quests!$1:$1,0)+1),MATCH(Z$2,quests!$1:$1,0)-MATCH($C$2,quests!$1:$1,0)+1,FALSE)</f>
        <v>0</v>
      </c>
      <c r="AA660" s="47">
        <f ca="1">VLOOKUP($C660,OFFSET(quests!$A$1,0,0,COUNTA(quests!$A:$A),MATCH(AA$2,quests!$1:$1,0)-MATCH($C$2,quests!$1:$1,0)+1),MATCH(AA$2,quests!$1:$1,0)-MATCH($C$2,quests!$1:$1,0)+1,FALSE)</f>
        <v>0</v>
      </c>
      <c r="AB660" s="7" t="s">
        <v>56</v>
      </c>
      <c r="AC660" s="167">
        <v>2</v>
      </c>
      <c r="AD660" s="7">
        <v>6</v>
      </c>
      <c r="AE660" s="268" t="s">
        <v>1712</v>
      </c>
      <c r="AF660" s="7">
        <v>11</v>
      </c>
      <c r="AG660" s="7">
        <v>0</v>
      </c>
      <c r="AH660" s="7">
        <v>0</v>
      </c>
      <c r="AI660" s="7">
        <v>-1</v>
      </c>
      <c r="AJ660" s="7">
        <v>-1</v>
      </c>
      <c r="AK660" s="7" t="s">
        <v>1065</v>
      </c>
      <c r="AL660" s="12" t="s">
        <v>1269</v>
      </c>
      <c r="AM660" s="12" t="s">
        <v>2072</v>
      </c>
    </row>
    <row r="661" spans="1:39" ht="21" customHeight="1" x14ac:dyDescent="0.15">
      <c r="A661" s="42" t="str">
        <f t="shared" ref="A661:A663" si="31">C661&amp;"_"&amp;F661</f>
        <v>30049_1</v>
      </c>
      <c r="B661" s="76">
        <v>3</v>
      </c>
      <c r="C661" s="31">
        <v>30049</v>
      </c>
      <c r="D661" s="47" t="str">
        <f ca="1">VLOOKUP($C661,OFFSET(quests!$A$1,0,0,COUNTA(quests!$A:$A),MATCH(D$1,quests!$1:$1,0)-MATCH($C$2,quests!$1:$1,0)+1),MATCH(D$1,quests!$1:$1,0)-MATCH($C$2,quests!$1:$1,0)+1,FALSE)</f>
        <v>鉄壁の子豚要塞</v>
      </c>
      <c r="E661" s="48" t="str">
        <f ca="1">VLOOKUP($C661,OFFSET(quests!$A$1,0,0,COUNTA(quests!$A:$A),MATCH(E$2,quests!$1:$1,0)-MATCH($C$2,quests!$1:$1,0)+1),MATCH(E$2,quests!$1:$1,0)-MATCH($C$2,quests!$1:$1,0)+1,FALSE)</f>
        <v>童話シリーズ　超級</v>
      </c>
      <c r="F661" s="7">
        <v>1</v>
      </c>
      <c r="G661" s="7" t="s">
        <v>382</v>
      </c>
      <c r="H661" s="82" t="s">
        <v>2263</v>
      </c>
      <c r="I661" s="12" t="s">
        <v>831</v>
      </c>
      <c r="J661" s="12">
        <v>1374</v>
      </c>
      <c r="K661" s="194">
        <v>15</v>
      </c>
      <c r="L661" s="195">
        <v>1200</v>
      </c>
      <c r="M661" s="167">
        <v>1</v>
      </c>
      <c r="N661" s="241">
        <v>1</v>
      </c>
      <c r="O661" s="167">
        <v>1</v>
      </c>
      <c r="P661" s="167">
        <v>1</v>
      </c>
      <c r="Q661" s="241">
        <v>1</v>
      </c>
      <c r="R661" s="167">
        <v>3</v>
      </c>
      <c r="S661" s="167" t="s">
        <v>811</v>
      </c>
      <c r="T661" s="167">
        <v>0</v>
      </c>
      <c r="U661" s="7" t="s">
        <v>169</v>
      </c>
      <c r="V661" s="7" t="s">
        <v>169</v>
      </c>
      <c r="W661" s="47" t="str">
        <f t="shared" ca="1" si="26"/>
        <v/>
      </c>
      <c r="X661" s="47">
        <f ca="1">VLOOKUP($C661,OFFSET(quests!$A$1,0,0,COUNTA(quests!$A:$A),MATCH(X$2,quests!$1:$1,0)-MATCH($C$2,quests!$1:$1,0)+1),MATCH(X$2,quests!$1:$1,0)-MATCH($C$2,quests!$1:$1,0)+1,FALSE)</f>
        <v>0</v>
      </c>
      <c r="Y661" s="47">
        <f ca="1">VLOOKUP($C661,OFFSET(quests!$A$1,0,0,COUNTA(quests!$A:$A),MATCH(Y$2,quests!$1:$1,0)-MATCH($C$2,quests!$1:$1,0)+1),MATCH(Y$2,quests!$1:$1,0)-MATCH($C$2,quests!$1:$1,0)+1,FALSE)</f>
        <v>0</v>
      </c>
      <c r="Z661" s="47">
        <f ca="1">VLOOKUP($C661,OFFSET(quests!$A$1,0,0,COUNTA(quests!$A:$A),MATCH(Z$2,quests!$1:$1,0)-MATCH($C$2,quests!$1:$1,0)+1),MATCH(Z$2,quests!$1:$1,0)-MATCH($C$2,quests!$1:$1,0)+1,FALSE)</f>
        <v>0</v>
      </c>
      <c r="AA661" s="47">
        <f ca="1">VLOOKUP($C661,OFFSET(quests!$A$1,0,0,COUNTA(quests!$A:$A),MATCH(AA$2,quests!$1:$1,0)-MATCH($C$2,quests!$1:$1,0)+1),MATCH(AA$2,quests!$1:$1,0)-MATCH($C$2,quests!$1:$1,0)+1,FALSE)</f>
        <v>0</v>
      </c>
      <c r="AB661" s="7" t="s">
        <v>56</v>
      </c>
      <c r="AC661" s="33">
        <v>4</v>
      </c>
      <c r="AD661" s="7">
        <v>6</v>
      </c>
      <c r="AE661" s="268" t="s">
        <v>1712</v>
      </c>
      <c r="AF661" s="7">
        <v>11</v>
      </c>
      <c r="AG661" s="7">
        <v>0</v>
      </c>
      <c r="AH661" s="7">
        <v>0</v>
      </c>
      <c r="AI661" s="7">
        <v>-1</v>
      </c>
      <c r="AJ661" s="7">
        <v>-1</v>
      </c>
      <c r="AK661" s="7" t="s">
        <v>1064</v>
      </c>
      <c r="AL661" s="12" t="s">
        <v>1269</v>
      </c>
      <c r="AM661" s="12" t="s">
        <v>2072</v>
      </c>
    </row>
    <row r="662" spans="1:39" ht="21" customHeight="1" x14ac:dyDescent="0.15">
      <c r="A662" s="42" t="str">
        <f t="shared" si="31"/>
        <v>30049_2</v>
      </c>
      <c r="B662" s="76">
        <v>3</v>
      </c>
      <c r="C662" s="31">
        <v>30049</v>
      </c>
      <c r="D662" s="47" t="str">
        <f ca="1">VLOOKUP($C662,OFFSET(quests!$A$1,0,0,COUNTA(quests!$A:$A),MATCH(D$1,quests!$1:$1,0)-MATCH($C$2,quests!$1:$1,0)+1),MATCH(D$1,quests!$1:$1,0)-MATCH($C$2,quests!$1:$1,0)+1,FALSE)</f>
        <v>鉄壁の子豚要塞</v>
      </c>
      <c r="E662" s="48" t="str">
        <f ca="1">VLOOKUP($C662,OFFSET(quests!$A$1,0,0,COUNTA(quests!$A:$A),MATCH(E$2,quests!$1:$1,0)-MATCH($C$2,quests!$1:$1,0)+1),MATCH(E$2,quests!$1:$1,0)-MATCH($C$2,quests!$1:$1,0)+1,FALSE)</f>
        <v>童話シリーズ　超級</v>
      </c>
      <c r="F662" s="7">
        <v>2</v>
      </c>
      <c r="G662" s="7" t="s">
        <v>382</v>
      </c>
      <c r="H662" s="82" t="s">
        <v>2264</v>
      </c>
      <c r="I662" s="12" t="s">
        <v>830</v>
      </c>
      <c r="J662" s="12">
        <v>1374</v>
      </c>
      <c r="K662" s="194">
        <v>20</v>
      </c>
      <c r="L662" s="195">
        <v>2000</v>
      </c>
      <c r="M662" s="167">
        <v>1</v>
      </c>
      <c r="N662" s="241">
        <v>1</v>
      </c>
      <c r="O662" s="167">
        <v>1</v>
      </c>
      <c r="P662" s="167">
        <v>1</v>
      </c>
      <c r="Q662" s="241">
        <v>1</v>
      </c>
      <c r="R662" s="167">
        <v>3</v>
      </c>
      <c r="S662" s="167" t="s">
        <v>811</v>
      </c>
      <c r="T662" s="167">
        <v>0</v>
      </c>
      <c r="U662" s="7" t="s">
        <v>169</v>
      </c>
      <c r="V662" s="7" t="s">
        <v>169</v>
      </c>
      <c r="W662" s="47" t="str">
        <f t="shared" ca="1" si="26"/>
        <v/>
      </c>
      <c r="X662" s="47">
        <f ca="1">VLOOKUP($C662,OFFSET(quests!$A$1,0,0,COUNTA(quests!$A:$A),MATCH(X$2,quests!$1:$1,0)-MATCH($C$2,quests!$1:$1,0)+1),MATCH(X$2,quests!$1:$1,0)-MATCH($C$2,quests!$1:$1,0)+1,FALSE)</f>
        <v>0</v>
      </c>
      <c r="Y662" s="47">
        <f ca="1">VLOOKUP($C662,OFFSET(quests!$A$1,0,0,COUNTA(quests!$A:$A),MATCH(Y$2,quests!$1:$1,0)-MATCH($C$2,quests!$1:$1,0)+1),MATCH(Y$2,quests!$1:$1,0)-MATCH($C$2,quests!$1:$1,0)+1,FALSE)</f>
        <v>0</v>
      </c>
      <c r="Z662" s="47">
        <f ca="1">VLOOKUP($C662,OFFSET(quests!$A$1,0,0,COUNTA(quests!$A:$A),MATCH(Z$2,quests!$1:$1,0)-MATCH($C$2,quests!$1:$1,0)+1),MATCH(Z$2,quests!$1:$1,0)-MATCH($C$2,quests!$1:$1,0)+1,FALSE)</f>
        <v>0</v>
      </c>
      <c r="AA662" s="47">
        <f ca="1">VLOOKUP($C662,OFFSET(quests!$A$1,0,0,COUNTA(quests!$A:$A),MATCH(AA$2,quests!$1:$1,0)-MATCH($C$2,quests!$1:$1,0)+1),MATCH(AA$2,quests!$1:$1,0)-MATCH($C$2,quests!$1:$1,0)+1,FALSE)</f>
        <v>0</v>
      </c>
      <c r="AB662" s="7" t="s">
        <v>56</v>
      </c>
      <c r="AC662" s="33">
        <v>4</v>
      </c>
      <c r="AD662" s="7">
        <v>6</v>
      </c>
      <c r="AE662" s="268" t="s">
        <v>1712</v>
      </c>
      <c r="AF662" s="7">
        <v>11</v>
      </c>
      <c r="AG662" s="7">
        <v>0</v>
      </c>
      <c r="AH662" s="7">
        <v>0</v>
      </c>
      <c r="AI662" s="7">
        <v>-1</v>
      </c>
      <c r="AJ662" s="7">
        <v>-1</v>
      </c>
      <c r="AK662" s="7" t="s">
        <v>1064</v>
      </c>
      <c r="AL662" s="12" t="s">
        <v>1269</v>
      </c>
      <c r="AM662" s="12" t="s">
        <v>2072</v>
      </c>
    </row>
    <row r="663" spans="1:39" ht="21" customHeight="1" x14ac:dyDescent="0.15">
      <c r="A663" s="42" t="str">
        <f t="shared" si="31"/>
        <v>30049_3</v>
      </c>
      <c r="B663" s="76">
        <v>3</v>
      </c>
      <c r="C663" s="31">
        <v>30049</v>
      </c>
      <c r="D663" s="47" t="str">
        <f ca="1">VLOOKUP($C663,OFFSET(quests!$A$1,0,0,COUNTA(quests!$A:$A),MATCH(D$1,quests!$1:$1,0)-MATCH($C$2,quests!$1:$1,0)+1),MATCH(D$1,quests!$1:$1,0)-MATCH($C$2,quests!$1:$1,0)+1,FALSE)</f>
        <v>鉄壁の子豚要塞</v>
      </c>
      <c r="E663" s="48" t="str">
        <f ca="1">VLOOKUP($C663,OFFSET(quests!$A$1,0,0,COUNTA(quests!$A:$A),MATCH(E$2,quests!$1:$1,0)-MATCH($C$2,quests!$1:$1,0)+1),MATCH(E$2,quests!$1:$1,0)-MATCH($C$2,quests!$1:$1,0)+1,FALSE)</f>
        <v>童話シリーズ　超級</v>
      </c>
      <c r="F663" s="7">
        <v>3</v>
      </c>
      <c r="G663" s="7" t="s">
        <v>382</v>
      </c>
      <c r="H663" s="82" t="s">
        <v>2265</v>
      </c>
      <c r="I663" s="12" t="s">
        <v>832</v>
      </c>
      <c r="J663" s="12">
        <v>1374</v>
      </c>
      <c r="K663" s="194">
        <v>30</v>
      </c>
      <c r="L663" s="195">
        <v>3300</v>
      </c>
      <c r="M663" s="167">
        <v>1</v>
      </c>
      <c r="N663" s="241">
        <v>1</v>
      </c>
      <c r="O663" s="167">
        <v>1</v>
      </c>
      <c r="P663" s="167">
        <v>1</v>
      </c>
      <c r="Q663" s="241">
        <v>1</v>
      </c>
      <c r="R663" s="167">
        <v>3</v>
      </c>
      <c r="S663" s="167" t="s">
        <v>278</v>
      </c>
      <c r="T663" s="167">
        <v>1</v>
      </c>
      <c r="U663" s="7" t="s">
        <v>169</v>
      </c>
      <c r="V663" s="7" t="s">
        <v>169</v>
      </c>
      <c r="W663" s="47" t="str">
        <f t="shared" ca="1" si="26"/>
        <v/>
      </c>
      <c r="X663" s="47">
        <f ca="1">VLOOKUP($C663,OFFSET(quests!$A$1,0,0,COUNTA(quests!$A:$A),MATCH(X$2,quests!$1:$1,0)-MATCH($C$2,quests!$1:$1,0)+1),MATCH(X$2,quests!$1:$1,0)-MATCH($C$2,quests!$1:$1,0)+1,FALSE)</f>
        <v>0</v>
      </c>
      <c r="Y663" s="47">
        <f ca="1">VLOOKUP($C663,OFFSET(quests!$A$1,0,0,COUNTA(quests!$A:$A),MATCH(Y$2,quests!$1:$1,0)-MATCH($C$2,quests!$1:$1,0)+1),MATCH(Y$2,quests!$1:$1,0)-MATCH($C$2,quests!$1:$1,0)+1,FALSE)</f>
        <v>0</v>
      </c>
      <c r="Z663" s="47">
        <f ca="1">VLOOKUP($C663,OFFSET(quests!$A$1,0,0,COUNTA(quests!$A:$A),MATCH(Z$2,quests!$1:$1,0)-MATCH($C$2,quests!$1:$1,0)+1),MATCH(Z$2,quests!$1:$1,0)-MATCH($C$2,quests!$1:$1,0)+1,FALSE)</f>
        <v>0</v>
      </c>
      <c r="AA663" s="47">
        <f ca="1">VLOOKUP($C663,OFFSET(quests!$A$1,0,0,COUNTA(quests!$A:$A),MATCH(AA$2,quests!$1:$1,0)-MATCH($C$2,quests!$1:$1,0)+1),MATCH(AA$2,quests!$1:$1,0)-MATCH($C$2,quests!$1:$1,0)+1,FALSE)</f>
        <v>0</v>
      </c>
      <c r="AB663" s="7" t="s">
        <v>56</v>
      </c>
      <c r="AC663" s="33">
        <v>4</v>
      </c>
      <c r="AD663" s="7">
        <v>6</v>
      </c>
      <c r="AE663" s="268" t="s">
        <v>1712</v>
      </c>
      <c r="AF663" s="7">
        <v>11</v>
      </c>
      <c r="AG663" s="7">
        <v>0</v>
      </c>
      <c r="AH663" s="7">
        <v>0</v>
      </c>
      <c r="AI663" s="7">
        <v>-1</v>
      </c>
      <c r="AJ663" s="7">
        <v>-1</v>
      </c>
      <c r="AK663" s="7" t="s">
        <v>1065</v>
      </c>
      <c r="AL663" s="12" t="s">
        <v>1269</v>
      </c>
      <c r="AM663" s="12" t="s">
        <v>2072</v>
      </c>
    </row>
    <row r="664" spans="1:39" ht="21" customHeight="1" x14ac:dyDescent="0.15">
      <c r="A664" s="42" t="str">
        <f t="shared" ref="A664:A666" si="32">C664&amp;"_"&amp;F664</f>
        <v>30050_1</v>
      </c>
      <c r="B664" s="76">
        <v>3</v>
      </c>
      <c r="C664" s="31">
        <v>30050</v>
      </c>
      <c r="D664" s="47" t="str">
        <f ca="1">VLOOKUP($C664,OFFSET(quests!$A$1,0,0,COUNTA(quests!$A:$A),MATCH(D$1,quests!$1:$1,0)-MATCH($C$2,quests!$1:$1,0)+1),MATCH(D$1,quests!$1:$1,0)-MATCH($C$2,quests!$1:$1,0)+1,FALSE)</f>
        <v>忍耐と服従</v>
      </c>
      <c r="E664" s="48" t="str">
        <f ca="1">VLOOKUP($C664,OFFSET(quests!$A$1,0,0,COUNTA(quests!$A:$A),MATCH(E$2,quests!$1:$1,0)-MATCH($C$2,quests!$1:$1,0)+1),MATCH(E$2,quests!$1:$1,0)-MATCH($C$2,quests!$1:$1,0)+1,FALSE)</f>
        <v>英傑シリーズ　超級</v>
      </c>
      <c r="F664" s="7">
        <v>1</v>
      </c>
      <c r="G664" s="7" t="s">
        <v>382</v>
      </c>
      <c r="H664" s="82" t="s">
        <v>2324</v>
      </c>
      <c r="I664" s="12" t="s">
        <v>831</v>
      </c>
      <c r="J664" s="316">
        <v>1437</v>
      </c>
      <c r="K664" s="194">
        <v>15</v>
      </c>
      <c r="L664" s="195">
        <v>1200</v>
      </c>
      <c r="M664" s="167">
        <v>1</v>
      </c>
      <c r="N664" s="241">
        <v>1</v>
      </c>
      <c r="O664" s="167">
        <v>1</v>
      </c>
      <c r="P664" s="167">
        <v>1</v>
      </c>
      <c r="Q664" s="241">
        <v>1</v>
      </c>
      <c r="R664" s="167">
        <v>3</v>
      </c>
      <c r="S664" s="167" t="s">
        <v>811</v>
      </c>
      <c r="T664" s="167">
        <v>0</v>
      </c>
      <c r="U664" s="7" t="s">
        <v>169</v>
      </c>
      <c r="V664" s="7" t="s">
        <v>169</v>
      </c>
      <c r="W664" s="47" t="str">
        <f t="shared" ca="1" si="26"/>
        <v/>
      </c>
      <c r="X664" s="47">
        <f ca="1">VLOOKUP($C664,OFFSET(quests!$A$1,0,0,COUNTA(quests!$A:$A),MATCH(X$2,quests!$1:$1,0)-MATCH($C$2,quests!$1:$1,0)+1),MATCH(X$2,quests!$1:$1,0)-MATCH($C$2,quests!$1:$1,0)+1,FALSE)</f>
        <v>0</v>
      </c>
      <c r="Y664" s="47">
        <f ca="1">VLOOKUP($C664,OFFSET(quests!$A$1,0,0,COUNTA(quests!$A:$A),MATCH(Y$2,quests!$1:$1,0)-MATCH($C$2,quests!$1:$1,0)+1),MATCH(Y$2,quests!$1:$1,0)-MATCH($C$2,quests!$1:$1,0)+1,FALSE)</f>
        <v>0</v>
      </c>
      <c r="Z664" s="47">
        <f ca="1">VLOOKUP($C664,OFFSET(quests!$A$1,0,0,COUNTA(quests!$A:$A),MATCH(Z$2,quests!$1:$1,0)-MATCH($C$2,quests!$1:$1,0)+1),MATCH(Z$2,quests!$1:$1,0)-MATCH($C$2,quests!$1:$1,0)+1,FALSE)</f>
        <v>0</v>
      </c>
      <c r="AA664" s="47">
        <f ca="1">VLOOKUP($C664,OFFSET(quests!$A$1,0,0,COUNTA(quests!$A:$A),MATCH(AA$2,quests!$1:$1,0)-MATCH($C$2,quests!$1:$1,0)+1),MATCH(AA$2,quests!$1:$1,0)-MATCH($C$2,quests!$1:$1,0)+1,FALSE)</f>
        <v>0</v>
      </c>
      <c r="AB664" s="7" t="s">
        <v>56</v>
      </c>
      <c r="AC664" s="33">
        <v>20</v>
      </c>
      <c r="AD664" s="7">
        <v>6</v>
      </c>
      <c r="AE664" s="268" t="s">
        <v>1712</v>
      </c>
      <c r="AF664" s="7">
        <v>11</v>
      </c>
      <c r="AG664" s="7">
        <v>0</v>
      </c>
      <c r="AH664" s="7">
        <v>0</v>
      </c>
      <c r="AI664" s="7">
        <v>-1</v>
      </c>
      <c r="AJ664" s="7">
        <v>-1</v>
      </c>
      <c r="AK664" s="7" t="s">
        <v>1064</v>
      </c>
      <c r="AL664" s="12" t="s">
        <v>1269</v>
      </c>
      <c r="AM664" s="12" t="s">
        <v>2072</v>
      </c>
    </row>
    <row r="665" spans="1:39" ht="21" customHeight="1" x14ac:dyDescent="0.15">
      <c r="A665" s="42" t="str">
        <f t="shared" si="32"/>
        <v>30050_2</v>
      </c>
      <c r="B665" s="76">
        <v>3</v>
      </c>
      <c r="C665" s="31">
        <v>30050</v>
      </c>
      <c r="D665" s="47" t="str">
        <f ca="1">VLOOKUP($C665,OFFSET(quests!$A$1,0,0,COUNTA(quests!$A:$A),MATCH(D$1,quests!$1:$1,0)-MATCH($C$2,quests!$1:$1,0)+1),MATCH(D$1,quests!$1:$1,0)-MATCH($C$2,quests!$1:$1,0)+1,FALSE)</f>
        <v>忍耐と服従</v>
      </c>
      <c r="E665" s="48" t="str">
        <f ca="1">VLOOKUP($C665,OFFSET(quests!$A$1,0,0,COUNTA(quests!$A:$A),MATCH(E$2,quests!$1:$1,0)-MATCH($C$2,quests!$1:$1,0)+1),MATCH(E$2,quests!$1:$1,0)-MATCH($C$2,quests!$1:$1,0)+1,FALSE)</f>
        <v>英傑シリーズ　超級</v>
      </c>
      <c r="F665" s="7">
        <v>2</v>
      </c>
      <c r="G665" s="7" t="s">
        <v>382</v>
      </c>
      <c r="H665" s="82" t="s">
        <v>2325</v>
      </c>
      <c r="I665" s="12" t="s">
        <v>830</v>
      </c>
      <c r="J665" s="316">
        <v>1437</v>
      </c>
      <c r="K665" s="194">
        <v>20</v>
      </c>
      <c r="L665" s="195">
        <v>2000</v>
      </c>
      <c r="M665" s="167">
        <v>1</v>
      </c>
      <c r="N665" s="241">
        <v>1</v>
      </c>
      <c r="O665" s="167">
        <v>1</v>
      </c>
      <c r="P665" s="167">
        <v>1</v>
      </c>
      <c r="Q665" s="241">
        <v>1</v>
      </c>
      <c r="R665" s="167">
        <v>3</v>
      </c>
      <c r="S665" s="167" t="s">
        <v>811</v>
      </c>
      <c r="T665" s="167">
        <v>0</v>
      </c>
      <c r="U665" s="7" t="s">
        <v>169</v>
      </c>
      <c r="V665" s="7" t="s">
        <v>169</v>
      </c>
      <c r="W665" s="47" t="str">
        <f t="shared" ca="1" si="26"/>
        <v/>
      </c>
      <c r="X665" s="47">
        <f ca="1">VLOOKUP($C665,OFFSET(quests!$A$1,0,0,COUNTA(quests!$A:$A),MATCH(X$2,quests!$1:$1,0)-MATCH($C$2,quests!$1:$1,0)+1),MATCH(X$2,quests!$1:$1,0)-MATCH($C$2,quests!$1:$1,0)+1,FALSE)</f>
        <v>0</v>
      </c>
      <c r="Y665" s="47">
        <f ca="1">VLOOKUP($C665,OFFSET(quests!$A$1,0,0,COUNTA(quests!$A:$A),MATCH(Y$2,quests!$1:$1,0)-MATCH($C$2,quests!$1:$1,0)+1),MATCH(Y$2,quests!$1:$1,0)-MATCH($C$2,quests!$1:$1,0)+1,FALSE)</f>
        <v>0</v>
      </c>
      <c r="Z665" s="47">
        <f ca="1">VLOOKUP($C665,OFFSET(quests!$A$1,0,0,COUNTA(quests!$A:$A),MATCH(Z$2,quests!$1:$1,0)-MATCH($C$2,quests!$1:$1,0)+1),MATCH(Z$2,quests!$1:$1,0)-MATCH($C$2,quests!$1:$1,0)+1,FALSE)</f>
        <v>0</v>
      </c>
      <c r="AA665" s="47">
        <f ca="1">VLOOKUP($C665,OFFSET(quests!$A$1,0,0,COUNTA(quests!$A:$A),MATCH(AA$2,quests!$1:$1,0)-MATCH($C$2,quests!$1:$1,0)+1),MATCH(AA$2,quests!$1:$1,0)-MATCH($C$2,quests!$1:$1,0)+1,FALSE)</f>
        <v>0</v>
      </c>
      <c r="AB665" s="7" t="s">
        <v>56</v>
      </c>
      <c r="AC665" s="33">
        <v>20</v>
      </c>
      <c r="AD665" s="7">
        <v>6</v>
      </c>
      <c r="AE665" s="268" t="s">
        <v>1712</v>
      </c>
      <c r="AF665" s="7">
        <v>11</v>
      </c>
      <c r="AG665" s="7">
        <v>0</v>
      </c>
      <c r="AH665" s="7">
        <v>0</v>
      </c>
      <c r="AI665" s="7">
        <v>-1</v>
      </c>
      <c r="AJ665" s="7">
        <v>-1</v>
      </c>
      <c r="AK665" s="7" t="s">
        <v>1064</v>
      </c>
      <c r="AL665" s="12" t="s">
        <v>1269</v>
      </c>
      <c r="AM665" s="12" t="s">
        <v>2072</v>
      </c>
    </row>
    <row r="666" spans="1:39" ht="21" customHeight="1" x14ac:dyDescent="0.15">
      <c r="A666" s="42" t="str">
        <f t="shared" si="32"/>
        <v>30050_3</v>
      </c>
      <c r="B666" s="76">
        <v>3</v>
      </c>
      <c r="C666" s="31">
        <v>30050</v>
      </c>
      <c r="D666" s="47" t="str">
        <f ca="1">VLOOKUP($C666,OFFSET(quests!$A$1,0,0,COUNTA(quests!$A:$A),MATCH(D$1,quests!$1:$1,0)-MATCH($C$2,quests!$1:$1,0)+1),MATCH(D$1,quests!$1:$1,0)-MATCH($C$2,quests!$1:$1,0)+1,FALSE)</f>
        <v>忍耐と服従</v>
      </c>
      <c r="E666" s="48" t="str">
        <f ca="1">VLOOKUP($C666,OFFSET(quests!$A$1,0,0,COUNTA(quests!$A:$A),MATCH(E$2,quests!$1:$1,0)-MATCH($C$2,quests!$1:$1,0)+1),MATCH(E$2,quests!$1:$1,0)-MATCH($C$2,quests!$1:$1,0)+1,FALSE)</f>
        <v>英傑シリーズ　超級</v>
      </c>
      <c r="F666" s="7">
        <v>3</v>
      </c>
      <c r="G666" s="7" t="s">
        <v>382</v>
      </c>
      <c r="H666" s="82" t="s">
        <v>2326</v>
      </c>
      <c r="I666" s="12" t="s">
        <v>832</v>
      </c>
      <c r="J666" s="316">
        <v>1437</v>
      </c>
      <c r="K666" s="194">
        <v>30</v>
      </c>
      <c r="L666" s="195">
        <v>3300</v>
      </c>
      <c r="M666" s="167">
        <v>1</v>
      </c>
      <c r="N666" s="241">
        <v>1</v>
      </c>
      <c r="O666" s="167">
        <v>1</v>
      </c>
      <c r="P666" s="167">
        <v>1</v>
      </c>
      <c r="Q666" s="241">
        <v>1</v>
      </c>
      <c r="R666" s="167">
        <v>3</v>
      </c>
      <c r="S666" s="167" t="s">
        <v>278</v>
      </c>
      <c r="T666" s="167">
        <v>1</v>
      </c>
      <c r="U666" s="7" t="s">
        <v>169</v>
      </c>
      <c r="V666" s="7" t="s">
        <v>169</v>
      </c>
      <c r="W666" s="47" t="str">
        <f t="shared" ca="1" si="26"/>
        <v/>
      </c>
      <c r="X666" s="47">
        <f ca="1">VLOOKUP($C666,OFFSET(quests!$A$1,0,0,COUNTA(quests!$A:$A),MATCH(X$2,quests!$1:$1,0)-MATCH($C$2,quests!$1:$1,0)+1),MATCH(X$2,quests!$1:$1,0)-MATCH($C$2,quests!$1:$1,0)+1,FALSE)</f>
        <v>0</v>
      </c>
      <c r="Y666" s="47">
        <f ca="1">VLOOKUP($C666,OFFSET(quests!$A$1,0,0,COUNTA(quests!$A:$A),MATCH(Y$2,quests!$1:$1,0)-MATCH($C$2,quests!$1:$1,0)+1),MATCH(Y$2,quests!$1:$1,0)-MATCH($C$2,quests!$1:$1,0)+1,FALSE)</f>
        <v>0</v>
      </c>
      <c r="Z666" s="47">
        <f ca="1">VLOOKUP($C666,OFFSET(quests!$A$1,0,0,COUNTA(quests!$A:$A),MATCH(Z$2,quests!$1:$1,0)-MATCH($C$2,quests!$1:$1,0)+1),MATCH(Z$2,quests!$1:$1,0)-MATCH($C$2,quests!$1:$1,0)+1,FALSE)</f>
        <v>0</v>
      </c>
      <c r="AA666" s="47">
        <f ca="1">VLOOKUP($C666,OFFSET(quests!$A$1,0,0,COUNTA(quests!$A:$A),MATCH(AA$2,quests!$1:$1,0)-MATCH($C$2,quests!$1:$1,0)+1),MATCH(AA$2,quests!$1:$1,0)-MATCH($C$2,quests!$1:$1,0)+1,FALSE)</f>
        <v>0</v>
      </c>
      <c r="AB666" s="7" t="s">
        <v>56</v>
      </c>
      <c r="AC666" s="33">
        <v>20</v>
      </c>
      <c r="AD666" s="7">
        <v>6</v>
      </c>
      <c r="AE666" s="268" t="s">
        <v>1712</v>
      </c>
      <c r="AF666" s="7">
        <v>11</v>
      </c>
      <c r="AG666" s="7">
        <v>0</v>
      </c>
      <c r="AH666" s="7">
        <v>0</v>
      </c>
      <c r="AI666" s="7">
        <v>-1</v>
      </c>
      <c r="AJ666" s="7">
        <v>-1</v>
      </c>
      <c r="AK666" s="7" t="s">
        <v>1065</v>
      </c>
      <c r="AL666" s="12" t="s">
        <v>1269</v>
      </c>
      <c r="AM666" s="12" t="s">
        <v>2072</v>
      </c>
    </row>
    <row r="667" spans="1:39" ht="21" customHeight="1" x14ac:dyDescent="0.15">
      <c r="A667" s="42" t="str">
        <f t="shared" ref="A667" si="33">C667&amp;"_"&amp;F667</f>
        <v>38101_1</v>
      </c>
      <c r="B667" s="76">
        <v>1</v>
      </c>
      <c r="C667" s="31">
        <v>38101</v>
      </c>
      <c r="D667" s="47" t="str">
        <f ca="1">VLOOKUP($C667,OFFSET(quests!$A$1,0,0,COUNTA(quests!$A:$A),MATCH(D$1,quests!$1:$1,0)-MATCH($C$2,quests!$1:$1,0)+1),MATCH(D$1,quests!$1:$1,0)-MATCH($C$2,quests!$1:$1,0)+1,FALSE)</f>
        <v>安多</v>
      </c>
      <c r="E667" s="48" t="str">
        <f ca="1">VLOOKUP($C667,OFFSET(quests!$A$1,0,0,COUNTA(quests!$A:$A),MATCH(E$2,quests!$1:$1,0)-MATCH($C$2,quests!$1:$1,0)+1),MATCH(E$2,quests!$1:$1,0)-MATCH($C$2,quests!$1:$1,0)+1,FALSE)</f>
        <v>台湾版コラボ降臨1　超級</v>
      </c>
      <c r="F667" s="7">
        <v>1</v>
      </c>
      <c r="G667" s="7" t="s">
        <v>382</v>
      </c>
      <c r="H667" s="82" t="s">
        <v>2352</v>
      </c>
      <c r="I667" s="12" t="s">
        <v>2355</v>
      </c>
      <c r="J667" s="274">
        <v>8138</v>
      </c>
      <c r="K667" s="194">
        <v>15</v>
      </c>
      <c r="L667" s="195">
        <v>1200</v>
      </c>
      <c r="M667" s="167">
        <v>1</v>
      </c>
      <c r="N667" s="241">
        <v>1</v>
      </c>
      <c r="O667" s="167">
        <v>1</v>
      </c>
      <c r="P667" s="167">
        <v>1</v>
      </c>
      <c r="Q667" s="241">
        <v>1</v>
      </c>
      <c r="R667" s="167">
        <v>3</v>
      </c>
      <c r="S667" s="167" t="s">
        <v>811</v>
      </c>
      <c r="T667" s="167">
        <v>0</v>
      </c>
      <c r="U667" s="7" t="s">
        <v>169</v>
      </c>
      <c r="V667" s="7" t="s">
        <v>169</v>
      </c>
      <c r="W667" s="47" t="str">
        <f t="shared" ca="1" si="26"/>
        <v/>
      </c>
      <c r="X667" s="47">
        <f ca="1">VLOOKUP($C667,OFFSET(quests!$A$1,0,0,COUNTA(quests!$A:$A),MATCH(X$2,quests!$1:$1,0)-MATCH($C$2,quests!$1:$1,0)+1),MATCH(X$2,quests!$1:$1,0)-MATCH($C$2,quests!$1:$1,0)+1,FALSE)</f>
        <v>0</v>
      </c>
      <c r="Y667" s="47">
        <f ca="1">VLOOKUP($C667,OFFSET(quests!$A$1,0,0,COUNTA(quests!$A:$A),MATCH(Y$2,quests!$1:$1,0)-MATCH($C$2,quests!$1:$1,0)+1),MATCH(Y$2,quests!$1:$1,0)-MATCH($C$2,quests!$1:$1,0)+1,FALSE)</f>
        <v>0</v>
      </c>
      <c r="Z667" s="47">
        <f ca="1">VLOOKUP($C667,OFFSET(quests!$A$1,0,0,COUNTA(quests!$A:$A),MATCH(Z$2,quests!$1:$1,0)-MATCH($C$2,quests!$1:$1,0)+1),MATCH(Z$2,quests!$1:$1,0)-MATCH($C$2,quests!$1:$1,0)+1,FALSE)</f>
        <v>0</v>
      </c>
      <c r="AA667" s="47">
        <f ca="1">VLOOKUP($C667,OFFSET(quests!$A$1,0,0,COUNTA(quests!$A:$A),MATCH(AA$2,quests!$1:$1,0)-MATCH($C$2,quests!$1:$1,0)+1),MATCH(AA$2,quests!$1:$1,0)-MATCH($C$2,quests!$1:$1,0)+1,FALSE)</f>
        <v>0</v>
      </c>
      <c r="AB667" s="7" t="s">
        <v>56</v>
      </c>
      <c r="AC667" s="33">
        <v>1013</v>
      </c>
      <c r="AD667" s="7">
        <v>6</v>
      </c>
      <c r="AE667" s="268" t="s">
        <v>1712</v>
      </c>
      <c r="AF667" s="7">
        <v>8101</v>
      </c>
      <c r="AG667" s="7">
        <v>8101</v>
      </c>
      <c r="AH667" s="7">
        <v>0</v>
      </c>
      <c r="AI667" s="7">
        <v>-1</v>
      </c>
      <c r="AJ667" s="7">
        <v>-1</v>
      </c>
      <c r="AK667" s="7" t="s">
        <v>1064</v>
      </c>
      <c r="AL667" s="12" t="s">
        <v>1269</v>
      </c>
      <c r="AM667" s="12" t="s">
        <v>2072</v>
      </c>
    </row>
    <row r="668" spans="1:39" ht="21" customHeight="1" x14ac:dyDescent="0.15">
      <c r="A668" s="42" t="str">
        <f t="shared" ref="A668:A669" si="34">C668&amp;"_"&amp;F668</f>
        <v>38101_2</v>
      </c>
      <c r="B668" s="76">
        <v>1</v>
      </c>
      <c r="C668" s="31">
        <v>38101</v>
      </c>
      <c r="D668" s="47" t="str">
        <f ca="1">VLOOKUP($C668,OFFSET(quests!$A$1,0,0,COUNTA(quests!$A:$A),MATCH(D$1,quests!$1:$1,0)-MATCH($C$2,quests!$1:$1,0)+1),MATCH(D$1,quests!$1:$1,0)-MATCH($C$2,quests!$1:$1,0)+1,FALSE)</f>
        <v>安多</v>
      </c>
      <c r="E668" s="48" t="str">
        <f ca="1">VLOOKUP($C668,OFFSET(quests!$A$1,0,0,COUNTA(quests!$A:$A),MATCH(E$2,quests!$1:$1,0)-MATCH($C$2,quests!$1:$1,0)+1),MATCH(E$2,quests!$1:$1,0)-MATCH($C$2,quests!$1:$1,0)+1,FALSE)</f>
        <v>台湾版コラボ降臨1　超級</v>
      </c>
      <c r="F668" s="7">
        <v>2</v>
      </c>
      <c r="G668" s="7" t="s">
        <v>382</v>
      </c>
      <c r="H668" s="82" t="s">
        <v>2353</v>
      </c>
      <c r="I668" s="12" t="s">
        <v>2356</v>
      </c>
      <c r="J668" s="274">
        <v>8138</v>
      </c>
      <c r="K668" s="194">
        <v>20</v>
      </c>
      <c r="L668" s="195">
        <v>2000</v>
      </c>
      <c r="M668" s="167">
        <v>1</v>
      </c>
      <c r="N668" s="241">
        <v>1</v>
      </c>
      <c r="O668" s="167">
        <v>1</v>
      </c>
      <c r="P668" s="167">
        <v>1</v>
      </c>
      <c r="Q668" s="241">
        <v>1</v>
      </c>
      <c r="R668" s="167">
        <v>3</v>
      </c>
      <c r="S668" s="167" t="s">
        <v>811</v>
      </c>
      <c r="T668" s="167">
        <v>0</v>
      </c>
      <c r="U668" s="7" t="s">
        <v>169</v>
      </c>
      <c r="V668" s="7" t="s">
        <v>169</v>
      </c>
      <c r="W668" s="47" t="str">
        <f t="shared" ca="1" si="26"/>
        <v/>
      </c>
      <c r="X668" s="47">
        <f ca="1">VLOOKUP($C668,OFFSET(quests!$A$1,0,0,COUNTA(quests!$A:$A),MATCH(X$2,quests!$1:$1,0)-MATCH($C$2,quests!$1:$1,0)+1),MATCH(X$2,quests!$1:$1,0)-MATCH($C$2,quests!$1:$1,0)+1,FALSE)</f>
        <v>0</v>
      </c>
      <c r="Y668" s="47">
        <f ca="1">VLOOKUP($C668,OFFSET(quests!$A$1,0,0,COUNTA(quests!$A:$A),MATCH(Y$2,quests!$1:$1,0)-MATCH($C$2,quests!$1:$1,0)+1),MATCH(Y$2,quests!$1:$1,0)-MATCH($C$2,quests!$1:$1,0)+1,FALSE)</f>
        <v>0</v>
      </c>
      <c r="Z668" s="47">
        <f ca="1">VLOOKUP($C668,OFFSET(quests!$A$1,0,0,COUNTA(quests!$A:$A),MATCH(Z$2,quests!$1:$1,0)-MATCH($C$2,quests!$1:$1,0)+1),MATCH(Z$2,quests!$1:$1,0)-MATCH($C$2,quests!$1:$1,0)+1,FALSE)</f>
        <v>0</v>
      </c>
      <c r="AA668" s="47">
        <f ca="1">VLOOKUP($C668,OFFSET(quests!$A$1,0,0,COUNTA(quests!$A:$A),MATCH(AA$2,quests!$1:$1,0)-MATCH($C$2,quests!$1:$1,0)+1),MATCH(AA$2,quests!$1:$1,0)-MATCH($C$2,quests!$1:$1,0)+1,FALSE)</f>
        <v>0</v>
      </c>
      <c r="AB668" s="7" t="s">
        <v>56</v>
      </c>
      <c r="AC668" s="33">
        <v>1013</v>
      </c>
      <c r="AD668" s="7">
        <v>6</v>
      </c>
      <c r="AE668" s="268" t="s">
        <v>1712</v>
      </c>
      <c r="AF668" s="7">
        <v>8101</v>
      </c>
      <c r="AG668" s="7">
        <v>8101</v>
      </c>
      <c r="AH668" s="7">
        <v>0</v>
      </c>
      <c r="AI668" s="7">
        <v>-1</v>
      </c>
      <c r="AJ668" s="7">
        <v>-1</v>
      </c>
      <c r="AK668" s="7" t="s">
        <v>1064</v>
      </c>
      <c r="AL668" s="12" t="s">
        <v>1269</v>
      </c>
      <c r="AM668" s="12" t="s">
        <v>2072</v>
      </c>
    </row>
    <row r="669" spans="1:39" ht="21" customHeight="1" x14ac:dyDescent="0.15">
      <c r="A669" s="42" t="str">
        <f t="shared" si="34"/>
        <v>38101_3</v>
      </c>
      <c r="B669" s="76">
        <v>1</v>
      </c>
      <c r="C669" s="31">
        <v>38101</v>
      </c>
      <c r="D669" s="47" t="str">
        <f ca="1">VLOOKUP($C669,OFFSET(quests!$A$1,0,0,COUNTA(quests!$A:$A),MATCH(D$1,quests!$1:$1,0)-MATCH($C$2,quests!$1:$1,0)+1),MATCH(D$1,quests!$1:$1,0)-MATCH($C$2,quests!$1:$1,0)+1,FALSE)</f>
        <v>安多</v>
      </c>
      <c r="E669" s="48" t="str">
        <f ca="1">VLOOKUP($C669,OFFSET(quests!$A$1,0,0,COUNTA(quests!$A:$A),MATCH(E$2,quests!$1:$1,0)-MATCH($C$2,quests!$1:$1,0)+1),MATCH(E$2,quests!$1:$1,0)-MATCH($C$2,quests!$1:$1,0)+1,FALSE)</f>
        <v>台湾版コラボ降臨1　超級</v>
      </c>
      <c r="F669" s="7">
        <v>3</v>
      </c>
      <c r="G669" s="7" t="s">
        <v>382</v>
      </c>
      <c r="H669" s="82" t="s">
        <v>2354</v>
      </c>
      <c r="I669" s="12" t="s">
        <v>832</v>
      </c>
      <c r="J669" s="274">
        <v>8138</v>
      </c>
      <c r="K669" s="194">
        <v>30</v>
      </c>
      <c r="L669" s="195">
        <v>3300</v>
      </c>
      <c r="M669" s="167">
        <v>1</v>
      </c>
      <c r="N669" s="241">
        <v>1</v>
      </c>
      <c r="O669" s="167">
        <v>1</v>
      </c>
      <c r="P669" s="167">
        <v>1</v>
      </c>
      <c r="Q669" s="241">
        <v>1</v>
      </c>
      <c r="R669" s="167">
        <v>3</v>
      </c>
      <c r="S669" s="167" t="s">
        <v>278</v>
      </c>
      <c r="T669" s="167">
        <v>1</v>
      </c>
      <c r="U669" s="7" t="s">
        <v>169</v>
      </c>
      <c r="V669" s="7" t="s">
        <v>169</v>
      </c>
      <c r="W669" s="47" t="str">
        <f t="shared" ca="1" si="26"/>
        <v/>
      </c>
      <c r="X669" s="47">
        <f ca="1">VLOOKUP($C669,OFFSET(quests!$A$1,0,0,COUNTA(quests!$A:$A),MATCH(X$2,quests!$1:$1,0)-MATCH($C$2,quests!$1:$1,0)+1),MATCH(X$2,quests!$1:$1,0)-MATCH($C$2,quests!$1:$1,0)+1,FALSE)</f>
        <v>0</v>
      </c>
      <c r="Y669" s="47">
        <f ca="1">VLOOKUP($C669,OFFSET(quests!$A$1,0,0,COUNTA(quests!$A:$A),MATCH(Y$2,quests!$1:$1,0)-MATCH($C$2,quests!$1:$1,0)+1),MATCH(Y$2,quests!$1:$1,0)-MATCH($C$2,quests!$1:$1,0)+1,FALSE)</f>
        <v>0</v>
      </c>
      <c r="Z669" s="47">
        <f ca="1">VLOOKUP($C669,OFFSET(quests!$A$1,0,0,COUNTA(quests!$A:$A),MATCH(Z$2,quests!$1:$1,0)-MATCH($C$2,quests!$1:$1,0)+1),MATCH(Z$2,quests!$1:$1,0)-MATCH($C$2,quests!$1:$1,0)+1,FALSE)</f>
        <v>0</v>
      </c>
      <c r="AA669" s="47">
        <f ca="1">VLOOKUP($C669,OFFSET(quests!$A$1,0,0,COUNTA(quests!$A:$A),MATCH(AA$2,quests!$1:$1,0)-MATCH($C$2,quests!$1:$1,0)+1),MATCH(AA$2,quests!$1:$1,0)-MATCH($C$2,quests!$1:$1,0)+1,FALSE)</f>
        <v>0</v>
      </c>
      <c r="AB669" s="7" t="s">
        <v>56</v>
      </c>
      <c r="AC669" s="33">
        <v>1013</v>
      </c>
      <c r="AD669" s="7">
        <v>6</v>
      </c>
      <c r="AE669" s="268" t="s">
        <v>1712</v>
      </c>
      <c r="AF669" s="7">
        <v>8101</v>
      </c>
      <c r="AG669" s="7">
        <v>8101</v>
      </c>
      <c r="AH669" s="7">
        <v>0</v>
      </c>
      <c r="AI669" s="7">
        <v>-1</v>
      </c>
      <c r="AJ669" s="7">
        <v>-1</v>
      </c>
      <c r="AK669" s="7" t="s">
        <v>1065</v>
      </c>
      <c r="AL669" s="12" t="s">
        <v>1269</v>
      </c>
      <c r="AM669" s="12" t="s">
        <v>2072</v>
      </c>
    </row>
    <row r="670" spans="1:39" ht="21" customHeight="1" x14ac:dyDescent="0.15">
      <c r="A670" s="42" t="str">
        <f t="shared" si="25"/>
        <v>39001_1</v>
      </c>
      <c r="B670" s="23">
        <v>3</v>
      </c>
      <c r="C670" s="31">
        <v>39001</v>
      </c>
      <c r="D670" s="47" t="str">
        <f ca="1">VLOOKUP($C670,OFFSET(quests!$A$1,0,0,COUNTA(quests!$A:$A),MATCH(D$1,quests!$1:$1,0)-MATCH($C$2,quests!$1:$1,0)+1),MATCH(D$1,quests!$1:$1,0)-MATCH($C$2,quests!$1:$1,0)+1,FALSE)</f>
        <v>雪の歌姫</v>
      </c>
      <c r="E670" s="48" t="str">
        <f ca="1">VLOOKUP($C670,OFFSET(quests!$A$1,0,0,COUNTA(quests!$A:$A),MATCH(E$2,quests!$1:$1,0)-MATCH($C$2,quests!$1:$1,0)+1),MATCH(E$2,quests!$1:$1,0)-MATCH($C$2,quests!$1:$1,0)+1,FALSE)</f>
        <v>コラボクエスト</v>
      </c>
      <c r="F670" s="7">
        <v>1</v>
      </c>
      <c r="G670" s="7" t="s">
        <v>382</v>
      </c>
      <c r="H670" s="12" t="s">
        <v>852</v>
      </c>
      <c r="I670" s="12" t="s">
        <v>857</v>
      </c>
      <c r="J670" s="12">
        <v>525</v>
      </c>
      <c r="K670" s="192">
        <v>8</v>
      </c>
      <c r="L670" s="167">
        <v>384</v>
      </c>
      <c r="M670" s="167">
        <v>1</v>
      </c>
      <c r="N670" s="167">
        <v>1</v>
      </c>
      <c r="O670" s="167">
        <v>1</v>
      </c>
      <c r="P670" s="167">
        <v>1</v>
      </c>
      <c r="Q670" s="167">
        <v>1</v>
      </c>
      <c r="R670" s="167">
        <v>3</v>
      </c>
      <c r="S670" s="167" t="s">
        <v>833</v>
      </c>
      <c r="T670" s="167">
        <v>0</v>
      </c>
      <c r="U670" s="7" t="s">
        <v>169</v>
      </c>
      <c r="V670" s="7" t="s">
        <v>169</v>
      </c>
      <c r="W670" s="47" t="str">
        <f t="shared" ca="1" si="26"/>
        <v/>
      </c>
      <c r="X670" s="47">
        <f ca="1">VLOOKUP($C670,OFFSET(quests!$A$1,0,0,COUNTA(quests!$A:$A),MATCH(X$2,quests!$1:$1,0)-MATCH($C$2,quests!$1:$1,0)+1),MATCH(X$2,quests!$1:$1,0)-MATCH($C$2,quests!$1:$1,0)+1,FALSE)</f>
        <v>0</v>
      </c>
      <c r="Y670" s="47">
        <f ca="1">VLOOKUP($C670,OFFSET(quests!$A$1,0,0,COUNTA(quests!$A:$A),MATCH(Y$2,quests!$1:$1,0)-MATCH($C$2,quests!$1:$1,0)+1),MATCH(Y$2,quests!$1:$1,0)-MATCH($C$2,quests!$1:$1,0)+1,FALSE)</f>
        <v>0</v>
      </c>
      <c r="Z670" s="47">
        <f ca="1">VLOOKUP($C670,OFFSET(quests!$A$1,0,0,COUNTA(quests!$A:$A),MATCH(Z$2,quests!$1:$1,0)-MATCH($C$2,quests!$1:$1,0)+1),MATCH(Z$2,quests!$1:$1,0)-MATCH($C$2,quests!$1:$1,0)+1,FALSE)</f>
        <v>0</v>
      </c>
      <c r="AA670" s="47">
        <f ca="1">VLOOKUP($C670,OFFSET(quests!$A$1,0,0,COUNTA(quests!$A:$A),MATCH(AA$2,quests!$1:$1,0)-MATCH($C$2,quests!$1:$1,0)+1),MATCH(AA$2,quests!$1:$1,0)-MATCH($C$2,quests!$1:$1,0)+1,FALSE)</f>
        <v>0</v>
      </c>
      <c r="AB670" s="7" t="s">
        <v>56</v>
      </c>
      <c r="AC670" s="7">
        <v>909</v>
      </c>
      <c r="AD670" s="7">
        <v>6</v>
      </c>
      <c r="AE670" s="7" t="s">
        <v>519</v>
      </c>
      <c r="AF670" s="7">
        <v>3900</v>
      </c>
      <c r="AG670" s="7">
        <v>3900</v>
      </c>
      <c r="AH670" s="7">
        <v>0</v>
      </c>
      <c r="AI670" s="7">
        <v>-1</v>
      </c>
      <c r="AJ670" s="7">
        <v>-1</v>
      </c>
      <c r="AK670" s="7" t="s">
        <v>1064</v>
      </c>
      <c r="AL670" s="12" t="s">
        <v>1695</v>
      </c>
      <c r="AM670" s="12" t="s">
        <v>2072</v>
      </c>
    </row>
    <row r="671" spans="1:39" ht="21" customHeight="1" x14ac:dyDescent="0.15">
      <c r="A671" s="42" t="str">
        <f t="shared" si="25"/>
        <v>39001_2</v>
      </c>
      <c r="B671" s="23">
        <v>3</v>
      </c>
      <c r="C671" s="31">
        <v>39001</v>
      </c>
      <c r="D671" s="47" t="str">
        <f ca="1">VLOOKUP($C671,OFFSET(quests!$A$1,0,0,COUNTA(quests!$A:$A),MATCH(D$1,quests!$1:$1,0)-MATCH($C$2,quests!$1:$1,0)+1),MATCH(D$1,quests!$1:$1,0)-MATCH($C$2,quests!$1:$1,0)+1,FALSE)</f>
        <v>雪の歌姫</v>
      </c>
      <c r="E671" s="48" t="str">
        <f ca="1">VLOOKUP($C671,OFFSET(quests!$A$1,0,0,COUNTA(quests!$A:$A),MATCH(E$2,quests!$1:$1,0)-MATCH($C$2,quests!$1:$1,0)+1),MATCH(E$2,quests!$1:$1,0)-MATCH($C$2,quests!$1:$1,0)+1,FALSE)</f>
        <v>コラボクエスト</v>
      </c>
      <c r="F671" s="7">
        <v>2</v>
      </c>
      <c r="G671" s="7" t="s">
        <v>382</v>
      </c>
      <c r="H671" s="12" t="s">
        <v>853</v>
      </c>
      <c r="I671" s="12" t="s">
        <v>831</v>
      </c>
      <c r="J671" s="12">
        <v>525</v>
      </c>
      <c r="K671" s="194">
        <v>15</v>
      </c>
      <c r="L671" s="167">
        <v>1200</v>
      </c>
      <c r="M671" s="167">
        <v>1</v>
      </c>
      <c r="N671" s="167">
        <v>1</v>
      </c>
      <c r="O671" s="167">
        <v>1</v>
      </c>
      <c r="P671" s="167">
        <v>1</v>
      </c>
      <c r="Q671" s="167">
        <v>1</v>
      </c>
      <c r="R671" s="167">
        <v>3</v>
      </c>
      <c r="S671" s="167" t="s">
        <v>79</v>
      </c>
      <c r="T671" s="167">
        <v>0</v>
      </c>
      <c r="U671" s="7" t="s">
        <v>169</v>
      </c>
      <c r="V671" s="7" t="s">
        <v>169</v>
      </c>
      <c r="W671" s="47" t="str">
        <f t="shared" ca="1" si="26"/>
        <v/>
      </c>
      <c r="X671" s="47">
        <f ca="1">VLOOKUP($C671,OFFSET(quests!$A$1,0,0,COUNTA(quests!$A:$A),MATCH(X$2,quests!$1:$1,0)-MATCH($C$2,quests!$1:$1,0)+1),MATCH(X$2,quests!$1:$1,0)-MATCH($C$2,quests!$1:$1,0)+1,FALSE)</f>
        <v>0</v>
      </c>
      <c r="Y671" s="47">
        <f ca="1">VLOOKUP($C671,OFFSET(quests!$A$1,0,0,COUNTA(quests!$A:$A),MATCH(Y$2,quests!$1:$1,0)-MATCH($C$2,quests!$1:$1,0)+1),MATCH(Y$2,quests!$1:$1,0)-MATCH($C$2,quests!$1:$1,0)+1,FALSE)</f>
        <v>0</v>
      </c>
      <c r="Z671" s="47">
        <f ca="1">VLOOKUP($C671,OFFSET(quests!$A$1,0,0,COUNTA(quests!$A:$A),MATCH(Z$2,quests!$1:$1,0)-MATCH($C$2,quests!$1:$1,0)+1),MATCH(Z$2,quests!$1:$1,0)-MATCH($C$2,quests!$1:$1,0)+1,FALSE)</f>
        <v>0</v>
      </c>
      <c r="AA671" s="47">
        <f ca="1">VLOOKUP($C671,OFFSET(quests!$A$1,0,0,COUNTA(quests!$A:$A),MATCH(AA$2,quests!$1:$1,0)-MATCH($C$2,quests!$1:$1,0)+1),MATCH(AA$2,quests!$1:$1,0)-MATCH($C$2,quests!$1:$1,0)+1,FALSE)</f>
        <v>0</v>
      </c>
      <c r="AB671" s="7" t="s">
        <v>56</v>
      </c>
      <c r="AC671" s="7">
        <v>909</v>
      </c>
      <c r="AD671" s="7">
        <v>6</v>
      </c>
      <c r="AE671" s="7" t="s">
        <v>519</v>
      </c>
      <c r="AF671" s="7">
        <v>3900</v>
      </c>
      <c r="AG671" s="7">
        <v>3900</v>
      </c>
      <c r="AH671" s="7">
        <v>0</v>
      </c>
      <c r="AI671" s="7">
        <v>-1</v>
      </c>
      <c r="AJ671" s="7">
        <v>-1</v>
      </c>
      <c r="AK671" s="7" t="s">
        <v>1064</v>
      </c>
      <c r="AL671" s="12" t="s">
        <v>1695</v>
      </c>
      <c r="AM671" s="12" t="s">
        <v>2072</v>
      </c>
    </row>
    <row r="672" spans="1:39" ht="21" customHeight="1" x14ac:dyDescent="0.15">
      <c r="A672" s="42" t="str">
        <f t="shared" si="25"/>
        <v>39001_3</v>
      </c>
      <c r="B672" s="23">
        <v>3</v>
      </c>
      <c r="C672" s="31">
        <v>39001</v>
      </c>
      <c r="D672" s="47" t="str">
        <f ca="1">VLOOKUP($C672,OFFSET(quests!$A$1,0,0,COUNTA(quests!$A:$A),MATCH(D$1,quests!$1:$1,0)-MATCH($C$2,quests!$1:$1,0)+1),MATCH(D$1,quests!$1:$1,0)-MATCH($C$2,quests!$1:$1,0)+1,FALSE)</f>
        <v>雪の歌姫</v>
      </c>
      <c r="E672" s="48" t="str">
        <f ca="1">VLOOKUP($C672,OFFSET(quests!$A$1,0,0,COUNTA(quests!$A:$A),MATCH(E$2,quests!$1:$1,0)-MATCH($C$2,quests!$1:$1,0)+1),MATCH(E$2,quests!$1:$1,0)-MATCH($C$2,quests!$1:$1,0)+1,FALSE)</f>
        <v>コラボクエスト</v>
      </c>
      <c r="F672" s="7">
        <v>3</v>
      </c>
      <c r="G672" s="7" t="s">
        <v>382</v>
      </c>
      <c r="H672" s="12" t="s">
        <v>854</v>
      </c>
      <c r="I672" s="12" t="s">
        <v>830</v>
      </c>
      <c r="J672" s="12">
        <v>525</v>
      </c>
      <c r="K672" s="194">
        <v>20</v>
      </c>
      <c r="L672" s="167">
        <v>2000</v>
      </c>
      <c r="M672" s="167">
        <v>1</v>
      </c>
      <c r="N672" s="167">
        <v>1</v>
      </c>
      <c r="O672" s="167">
        <v>1</v>
      </c>
      <c r="P672" s="167">
        <v>1</v>
      </c>
      <c r="Q672" s="167">
        <v>1</v>
      </c>
      <c r="R672" s="167">
        <v>3</v>
      </c>
      <c r="S672" s="167" t="s">
        <v>79</v>
      </c>
      <c r="T672" s="167">
        <v>0</v>
      </c>
      <c r="U672" s="7" t="s">
        <v>169</v>
      </c>
      <c r="V672" s="7" t="s">
        <v>169</v>
      </c>
      <c r="W672" s="47" t="str">
        <f t="shared" ca="1" si="26"/>
        <v/>
      </c>
      <c r="X672" s="47">
        <f ca="1">VLOOKUP($C672,OFFSET(quests!$A$1,0,0,COUNTA(quests!$A:$A),MATCH(X$2,quests!$1:$1,0)-MATCH($C$2,quests!$1:$1,0)+1),MATCH(X$2,quests!$1:$1,0)-MATCH($C$2,quests!$1:$1,0)+1,FALSE)</f>
        <v>0</v>
      </c>
      <c r="Y672" s="47">
        <f ca="1">VLOOKUP($C672,OFFSET(quests!$A$1,0,0,COUNTA(quests!$A:$A),MATCH(Y$2,quests!$1:$1,0)-MATCH($C$2,quests!$1:$1,0)+1),MATCH(Y$2,quests!$1:$1,0)-MATCH($C$2,quests!$1:$1,0)+1,FALSE)</f>
        <v>0</v>
      </c>
      <c r="Z672" s="47">
        <f ca="1">VLOOKUP($C672,OFFSET(quests!$A$1,0,0,COUNTA(quests!$A:$A),MATCH(Z$2,quests!$1:$1,0)-MATCH($C$2,quests!$1:$1,0)+1),MATCH(Z$2,quests!$1:$1,0)-MATCH($C$2,quests!$1:$1,0)+1,FALSE)</f>
        <v>0</v>
      </c>
      <c r="AA672" s="47">
        <f ca="1">VLOOKUP($C672,OFFSET(quests!$A$1,0,0,COUNTA(quests!$A:$A),MATCH(AA$2,quests!$1:$1,0)-MATCH($C$2,quests!$1:$1,0)+1),MATCH(AA$2,quests!$1:$1,0)-MATCH($C$2,quests!$1:$1,0)+1,FALSE)</f>
        <v>0</v>
      </c>
      <c r="AB672" s="7" t="s">
        <v>56</v>
      </c>
      <c r="AC672" s="7">
        <v>909</v>
      </c>
      <c r="AD672" s="7">
        <v>6</v>
      </c>
      <c r="AE672" s="7" t="s">
        <v>519</v>
      </c>
      <c r="AF672" s="7">
        <v>3900</v>
      </c>
      <c r="AG672" s="7">
        <v>3900</v>
      </c>
      <c r="AH672" s="7">
        <v>0</v>
      </c>
      <c r="AI672" s="7">
        <v>-1</v>
      </c>
      <c r="AJ672" s="7">
        <v>-1</v>
      </c>
      <c r="AK672" s="7" t="s">
        <v>1064</v>
      </c>
      <c r="AL672" s="12" t="s">
        <v>1695</v>
      </c>
      <c r="AM672" s="12" t="s">
        <v>2072</v>
      </c>
    </row>
    <row r="673" spans="1:39" ht="21" customHeight="1" x14ac:dyDescent="0.15">
      <c r="A673" s="42" t="str">
        <f t="shared" si="25"/>
        <v>39001_4</v>
      </c>
      <c r="B673" s="23">
        <v>3</v>
      </c>
      <c r="C673" s="31">
        <v>39001</v>
      </c>
      <c r="D673" s="47" t="str">
        <f ca="1">VLOOKUP($C673,OFFSET(quests!$A$1,0,0,COUNTA(quests!$A:$A),MATCH(D$1,quests!$1:$1,0)-MATCH($C$2,quests!$1:$1,0)+1),MATCH(D$1,quests!$1:$1,0)-MATCH($C$2,quests!$1:$1,0)+1,FALSE)</f>
        <v>雪の歌姫</v>
      </c>
      <c r="E673" s="48" t="str">
        <f ca="1">VLOOKUP($C673,OFFSET(quests!$A$1,0,0,COUNTA(quests!$A:$A),MATCH(E$2,quests!$1:$1,0)-MATCH($C$2,quests!$1:$1,0)+1),MATCH(E$2,quests!$1:$1,0)-MATCH($C$2,quests!$1:$1,0)+1,FALSE)</f>
        <v>コラボクエスト</v>
      </c>
      <c r="F673" s="7">
        <v>4</v>
      </c>
      <c r="G673" s="7" t="s">
        <v>382</v>
      </c>
      <c r="H673" s="12" t="s">
        <v>855</v>
      </c>
      <c r="I673" s="12" t="s">
        <v>832</v>
      </c>
      <c r="J673" s="12">
        <v>526</v>
      </c>
      <c r="K673" s="192">
        <v>30</v>
      </c>
      <c r="L673" s="193">
        <v>3300</v>
      </c>
      <c r="M673" s="167">
        <v>1</v>
      </c>
      <c r="N673" s="167">
        <v>1</v>
      </c>
      <c r="O673" s="167">
        <v>1</v>
      </c>
      <c r="P673" s="167">
        <v>1</v>
      </c>
      <c r="Q673" s="167">
        <v>1</v>
      </c>
      <c r="R673" s="167">
        <v>3</v>
      </c>
      <c r="S673" s="167" t="s">
        <v>833</v>
      </c>
      <c r="T673" s="167">
        <v>0</v>
      </c>
      <c r="U673" s="7" t="s">
        <v>169</v>
      </c>
      <c r="V673" s="7" t="s">
        <v>169</v>
      </c>
      <c r="W673" s="47" t="str">
        <f t="shared" ca="1" si="26"/>
        <v/>
      </c>
      <c r="X673" s="47">
        <f ca="1">VLOOKUP($C673,OFFSET(quests!$A$1,0,0,COUNTA(quests!$A:$A),MATCH(X$2,quests!$1:$1,0)-MATCH($C$2,quests!$1:$1,0)+1),MATCH(X$2,quests!$1:$1,0)-MATCH($C$2,quests!$1:$1,0)+1,FALSE)</f>
        <v>0</v>
      </c>
      <c r="Y673" s="47">
        <f ca="1">VLOOKUP($C673,OFFSET(quests!$A$1,0,0,COUNTA(quests!$A:$A),MATCH(Y$2,quests!$1:$1,0)-MATCH($C$2,quests!$1:$1,0)+1),MATCH(Y$2,quests!$1:$1,0)-MATCH($C$2,quests!$1:$1,0)+1,FALSE)</f>
        <v>0</v>
      </c>
      <c r="Z673" s="47">
        <f ca="1">VLOOKUP($C673,OFFSET(quests!$A$1,0,0,COUNTA(quests!$A:$A),MATCH(Z$2,quests!$1:$1,0)-MATCH($C$2,quests!$1:$1,0)+1),MATCH(Z$2,quests!$1:$1,0)-MATCH($C$2,quests!$1:$1,0)+1,FALSE)</f>
        <v>0</v>
      </c>
      <c r="AA673" s="47">
        <f ca="1">VLOOKUP($C673,OFFSET(quests!$A$1,0,0,COUNTA(quests!$A:$A),MATCH(AA$2,quests!$1:$1,0)-MATCH($C$2,quests!$1:$1,0)+1),MATCH(AA$2,quests!$1:$1,0)-MATCH($C$2,quests!$1:$1,0)+1,FALSE)</f>
        <v>0</v>
      </c>
      <c r="AB673" s="7" t="s">
        <v>56</v>
      </c>
      <c r="AC673" s="7">
        <v>909</v>
      </c>
      <c r="AD673" s="7">
        <v>6</v>
      </c>
      <c r="AE673" s="7" t="s">
        <v>519</v>
      </c>
      <c r="AF673" s="7">
        <v>3900</v>
      </c>
      <c r="AG673" s="7">
        <v>3900</v>
      </c>
      <c r="AH673" s="7">
        <v>0</v>
      </c>
      <c r="AI673" s="7">
        <v>-1</v>
      </c>
      <c r="AJ673" s="7">
        <v>-1</v>
      </c>
      <c r="AK673" s="7" t="s">
        <v>1065</v>
      </c>
      <c r="AL673" s="12" t="s">
        <v>1695</v>
      </c>
      <c r="AM673" s="12" t="s">
        <v>2072</v>
      </c>
    </row>
    <row r="674" spans="1:39" ht="21" customHeight="1" x14ac:dyDescent="0.15">
      <c r="A674" s="42" t="str">
        <f t="shared" si="25"/>
        <v>39001_5</v>
      </c>
      <c r="B674" s="23">
        <v>3</v>
      </c>
      <c r="C674" s="31">
        <v>39001</v>
      </c>
      <c r="D674" s="47" t="str">
        <f ca="1">VLOOKUP($C674,OFFSET(quests!$A$1,0,0,COUNTA(quests!$A:$A),MATCH(D$1,quests!$1:$1,0)-MATCH($C$2,quests!$1:$1,0)+1),MATCH(D$1,quests!$1:$1,0)-MATCH($C$2,quests!$1:$1,0)+1,FALSE)</f>
        <v>雪の歌姫</v>
      </c>
      <c r="E674" s="48" t="str">
        <f ca="1">VLOOKUP($C674,OFFSET(quests!$A$1,0,0,COUNTA(quests!$A:$A),MATCH(E$2,quests!$1:$1,0)-MATCH($C$2,quests!$1:$1,0)+1),MATCH(E$2,quests!$1:$1,0)-MATCH($C$2,quests!$1:$1,0)+1,FALSE)</f>
        <v>コラボクエスト</v>
      </c>
      <c r="F674" s="7">
        <v>5</v>
      </c>
      <c r="G674" s="7" t="s">
        <v>382</v>
      </c>
      <c r="H674" s="12" t="s">
        <v>856</v>
      </c>
      <c r="I674" s="12" t="s">
        <v>534</v>
      </c>
      <c r="J674" s="12">
        <v>526</v>
      </c>
      <c r="K674" s="194">
        <v>35</v>
      </c>
      <c r="L674" s="195">
        <v>4200</v>
      </c>
      <c r="M674" s="167">
        <v>1</v>
      </c>
      <c r="N674" s="167">
        <v>1</v>
      </c>
      <c r="O674" s="167">
        <v>1</v>
      </c>
      <c r="P674" s="167">
        <v>1</v>
      </c>
      <c r="Q674" s="167">
        <v>1</v>
      </c>
      <c r="R674" s="167">
        <v>3</v>
      </c>
      <c r="S674" s="167" t="s">
        <v>844</v>
      </c>
      <c r="T674" s="167">
        <v>1</v>
      </c>
      <c r="U674" s="7" t="s">
        <v>169</v>
      </c>
      <c r="V674" s="7" t="s">
        <v>169</v>
      </c>
      <c r="W674" s="47" t="str">
        <f t="shared" ca="1" si="26"/>
        <v/>
      </c>
      <c r="X674" s="47">
        <f ca="1">VLOOKUP($C674,OFFSET(quests!$A$1,0,0,COUNTA(quests!$A:$A),MATCH(X$2,quests!$1:$1,0)-MATCH($C$2,quests!$1:$1,0)+1),MATCH(X$2,quests!$1:$1,0)-MATCH($C$2,quests!$1:$1,0)+1,FALSE)</f>
        <v>0</v>
      </c>
      <c r="Y674" s="47">
        <f ca="1">VLOOKUP($C674,OFFSET(quests!$A$1,0,0,COUNTA(quests!$A:$A),MATCH(Y$2,quests!$1:$1,0)-MATCH($C$2,quests!$1:$1,0)+1),MATCH(Y$2,quests!$1:$1,0)-MATCH($C$2,quests!$1:$1,0)+1,FALSE)</f>
        <v>0</v>
      </c>
      <c r="Z674" s="47">
        <f ca="1">VLOOKUP($C674,OFFSET(quests!$A$1,0,0,COUNTA(quests!$A:$A),MATCH(Z$2,quests!$1:$1,0)-MATCH($C$2,quests!$1:$1,0)+1),MATCH(Z$2,quests!$1:$1,0)-MATCH($C$2,quests!$1:$1,0)+1,FALSE)</f>
        <v>0</v>
      </c>
      <c r="AA674" s="47">
        <f ca="1">VLOOKUP($C674,OFFSET(quests!$A$1,0,0,COUNTA(quests!$A:$A),MATCH(AA$2,quests!$1:$1,0)-MATCH($C$2,quests!$1:$1,0)+1),MATCH(AA$2,quests!$1:$1,0)-MATCH($C$2,quests!$1:$1,0)+1,FALSE)</f>
        <v>0</v>
      </c>
      <c r="AB674" s="7" t="s">
        <v>56</v>
      </c>
      <c r="AC674" s="7">
        <v>909</v>
      </c>
      <c r="AD674" s="7">
        <v>6</v>
      </c>
      <c r="AE674" s="7" t="s">
        <v>519</v>
      </c>
      <c r="AF674" s="7">
        <v>3900</v>
      </c>
      <c r="AG674" s="7">
        <v>3900</v>
      </c>
      <c r="AH674" s="7">
        <v>0</v>
      </c>
      <c r="AI674" s="7">
        <v>-1</v>
      </c>
      <c r="AJ674" s="7">
        <v>-1</v>
      </c>
      <c r="AK674" s="7" t="s">
        <v>1065</v>
      </c>
      <c r="AL674" s="12" t="s">
        <v>1695</v>
      </c>
      <c r="AM674" s="12" t="s">
        <v>2072</v>
      </c>
    </row>
    <row r="675" spans="1:39" ht="21" customHeight="1" x14ac:dyDescent="0.15">
      <c r="A675" s="42" t="str">
        <f t="shared" si="25"/>
        <v>39002_1</v>
      </c>
      <c r="B675" s="23">
        <v>3</v>
      </c>
      <c r="C675" s="31">
        <v>39002</v>
      </c>
      <c r="D675" s="47" t="str">
        <f ca="1">VLOOKUP($C675,OFFSET(quests!$A$1,0,0,COUNTA(quests!$A:$A),MATCH(D$1,quests!$1:$1,0)-MATCH($C$2,quests!$1:$1,0)+1),MATCH(D$1,quests!$1:$1,0)-MATCH($C$2,quests!$1:$1,0)+1,FALSE)</f>
        <v>黄巾賊の暴走を止めろ！</v>
      </c>
      <c r="E675" s="48" t="str">
        <f ca="1">VLOOKUP($C675,OFFSET(quests!$A$1,0,0,COUNTA(quests!$A:$A),MATCH(E$2,quests!$1:$1,0)-MATCH($C$2,quests!$1:$1,0)+1),MATCH(E$2,quests!$1:$1,0)-MATCH($C$2,quests!$1:$1,0)+1,FALSE)</f>
        <v>コラボクエスト</v>
      </c>
      <c r="F675" s="7">
        <v>1</v>
      </c>
      <c r="G675" s="7" t="s">
        <v>382</v>
      </c>
      <c r="H675" s="12" t="s">
        <v>1101</v>
      </c>
      <c r="I675" s="12" t="s">
        <v>857</v>
      </c>
      <c r="J675" s="12">
        <v>694</v>
      </c>
      <c r="K675" s="192">
        <v>8</v>
      </c>
      <c r="L675" s="167">
        <v>384</v>
      </c>
      <c r="M675" s="167">
        <v>1</v>
      </c>
      <c r="N675" s="167">
        <v>1</v>
      </c>
      <c r="O675" s="167">
        <v>1</v>
      </c>
      <c r="P675" s="167">
        <v>1</v>
      </c>
      <c r="Q675" s="167">
        <v>1</v>
      </c>
      <c r="R675" s="167">
        <v>3</v>
      </c>
      <c r="S675" s="167" t="s">
        <v>833</v>
      </c>
      <c r="T675" s="167">
        <v>0</v>
      </c>
      <c r="U675" s="7" t="s">
        <v>169</v>
      </c>
      <c r="V675" s="7" t="s">
        <v>169</v>
      </c>
      <c r="W675" s="47" t="str">
        <f t="shared" ca="1" si="26"/>
        <v/>
      </c>
      <c r="X675" s="47">
        <f ca="1">VLOOKUP($C675,OFFSET(quests!$A$1,0,0,COUNTA(quests!$A:$A),MATCH(X$2,quests!$1:$1,0)-MATCH($C$2,quests!$1:$1,0)+1),MATCH(X$2,quests!$1:$1,0)-MATCH($C$2,quests!$1:$1,0)+1,FALSE)</f>
        <v>0</v>
      </c>
      <c r="Y675" s="47">
        <f ca="1">VLOOKUP($C675,OFFSET(quests!$A$1,0,0,COUNTA(quests!$A:$A),MATCH(Y$2,quests!$1:$1,0)-MATCH($C$2,quests!$1:$1,0)+1),MATCH(Y$2,quests!$1:$1,0)-MATCH($C$2,quests!$1:$1,0)+1,FALSE)</f>
        <v>0</v>
      </c>
      <c r="Z675" s="47">
        <f ca="1">VLOOKUP($C675,OFFSET(quests!$A$1,0,0,COUNTA(quests!$A:$A),MATCH(Z$2,quests!$1:$1,0)-MATCH($C$2,quests!$1:$1,0)+1),MATCH(Z$2,quests!$1:$1,0)-MATCH($C$2,quests!$1:$1,0)+1,FALSE)</f>
        <v>0</v>
      </c>
      <c r="AA675" s="47">
        <f ca="1">VLOOKUP($C675,OFFSET(quests!$A$1,0,0,COUNTA(quests!$A:$A),MATCH(AA$2,quests!$1:$1,0)-MATCH($C$2,quests!$1:$1,0)+1),MATCH(AA$2,quests!$1:$1,0)-MATCH($C$2,quests!$1:$1,0)+1,FALSE)</f>
        <v>0</v>
      </c>
      <c r="AB675" s="7" t="s">
        <v>56</v>
      </c>
      <c r="AC675" s="7">
        <v>12</v>
      </c>
      <c r="AD675" s="7">
        <v>6</v>
      </c>
      <c r="AE675" s="7" t="s">
        <v>519</v>
      </c>
      <c r="AF675" s="7">
        <v>11</v>
      </c>
      <c r="AG675" s="7">
        <v>0</v>
      </c>
      <c r="AH675" s="7">
        <v>0</v>
      </c>
      <c r="AI675" s="7">
        <v>-1</v>
      </c>
      <c r="AJ675" s="7">
        <v>-1</v>
      </c>
      <c r="AK675" s="7" t="s">
        <v>1064</v>
      </c>
      <c r="AL675" s="12" t="s">
        <v>1695</v>
      </c>
      <c r="AM675" s="12" t="s">
        <v>2072</v>
      </c>
    </row>
    <row r="676" spans="1:39" ht="21" customHeight="1" x14ac:dyDescent="0.15">
      <c r="A676" s="42" t="str">
        <f t="shared" si="25"/>
        <v>39002_2</v>
      </c>
      <c r="B676" s="23">
        <v>3</v>
      </c>
      <c r="C676" s="31">
        <v>39002</v>
      </c>
      <c r="D676" s="47" t="str">
        <f ca="1">VLOOKUP($C676,OFFSET(quests!$A$1,0,0,COUNTA(quests!$A:$A),MATCH(D$1,quests!$1:$1,0)-MATCH($C$2,quests!$1:$1,0)+1),MATCH(D$1,quests!$1:$1,0)-MATCH($C$2,quests!$1:$1,0)+1,FALSE)</f>
        <v>黄巾賊の暴走を止めろ！</v>
      </c>
      <c r="E676" s="48" t="str">
        <f ca="1">VLOOKUP($C676,OFFSET(quests!$A$1,0,0,COUNTA(quests!$A:$A),MATCH(E$2,quests!$1:$1,0)-MATCH($C$2,quests!$1:$1,0)+1),MATCH(E$2,quests!$1:$1,0)-MATCH($C$2,quests!$1:$1,0)+1,FALSE)</f>
        <v>コラボクエスト</v>
      </c>
      <c r="F676" s="7">
        <v>2</v>
      </c>
      <c r="G676" s="7" t="s">
        <v>382</v>
      </c>
      <c r="H676" s="12" t="s">
        <v>1102</v>
      </c>
      <c r="I676" s="12" t="s">
        <v>831</v>
      </c>
      <c r="J676" s="12">
        <v>694</v>
      </c>
      <c r="K676" s="194">
        <v>15</v>
      </c>
      <c r="L676" s="167">
        <v>1200</v>
      </c>
      <c r="M676" s="167">
        <v>1</v>
      </c>
      <c r="N676" s="167">
        <v>1</v>
      </c>
      <c r="O676" s="167">
        <v>1</v>
      </c>
      <c r="P676" s="167">
        <v>1</v>
      </c>
      <c r="Q676" s="167">
        <v>1</v>
      </c>
      <c r="R676" s="167">
        <v>3</v>
      </c>
      <c r="S676" s="167" t="s">
        <v>833</v>
      </c>
      <c r="T676" s="167">
        <v>0</v>
      </c>
      <c r="U676" s="7" t="s">
        <v>169</v>
      </c>
      <c r="V676" s="7" t="s">
        <v>169</v>
      </c>
      <c r="W676" s="47" t="str">
        <f t="shared" ca="1" si="26"/>
        <v/>
      </c>
      <c r="X676" s="47">
        <f ca="1">VLOOKUP($C676,OFFSET(quests!$A$1,0,0,COUNTA(quests!$A:$A),MATCH(X$2,quests!$1:$1,0)-MATCH($C$2,quests!$1:$1,0)+1),MATCH(X$2,quests!$1:$1,0)-MATCH($C$2,quests!$1:$1,0)+1,FALSE)</f>
        <v>0</v>
      </c>
      <c r="Y676" s="47">
        <f ca="1">VLOOKUP($C676,OFFSET(quests!$A$1,0,0,COUNTA(quests!$A:$A),MATCH(Y$2,quests!$1:$1,0)-MATCH($C$2,quests!$1:$1,0)+1),MATCH(Y$2,quests!$1:$1,0)-MATCH($C$2,quests!$1:$1,0)+1,FALSE)</f>
        <v>0</v>
      </c>
      <c r="Z676" s="47">
        <f ca="1">VLOOKUP($C676,OFFSET(quests!$A$1,0,0,COUNTA(quests!$A:$A),MATCH(Z$2,quests!$1:$1,0)-MATCH($C$2,quests!$1:$1,0)+1),MATCH(Z$2,quests!$1:$1,0)-MATCH($C$2,quests!$1:$1,0)+1,FALSE)</f>
        <v>0</v>
      </c>
      <c r="AA676" s="47">
        <f ca="1">VLOOKUP($C676,OFFSET(quests!$A$1,0,0,COUNTA(quests!$A:$A),MATCH(AA$2,quests!$1:$1,0)-MATCH($C$2,quests!$1:$1,0)+1),MATCH(AA$2,quests!$1:$1,0)-MATCH($C$2,quests!$1:$1,0)+1,FALSE)</f>
        <v>0</v>
      </c>
      <c r="AB676" s="7" t="s">
        <v>56</v>
      </c>
      <c r="AC676" s="7">
        <v>12</v>
      </c>
      <c r="AD676" s="7">
        <v>6</v>
      </c>
      <c r="AE676" s="7" t="s">
        <v>519</v>
      </c>
      <c r="AF676" s="7">
        <v>11</v>
      </c>
      <c r="AG676" s="7">
        <v>0</v>
      </c>
      <c r="AH676" s="7">
        <v>0</v>
      </c>
      <c r="AI676" s="7">
        <v>-1</v>
      </c>
      <c r="AJ676" s="7">
        <v>-1</v>
      </c>
      <c r="AK676" s="7" t="s">
        <v>1064</v>
      </c>
      <c r="AL676" s="12" t="s">
        <v>1695</v>
      </c>
      <c r="AM676" s="12" t="s">
        <v>2072</v>
      </c>
    </row>
    <row r="677" spans="1:39" ht="21" customHeight="1" x14ac:dyDescent="0.15">
      <c r="A677" s="42" t="str">
        <f t="shared" si="25"/>
        <v>39002_3</v>
      </c>
      <c r="B677" s="23">
        <v>3</v>
      </c>
      <c r="C677" s="31">
        <v>39002</v>
      </c>
      <c r="D677" s="47" t="str">
        <f ca="1">VLOOKUP($C677,OFFSET(quests!$A$1,0,0,COUNTA(quests!$A:$A),MATCH(D$1,quests!$1:$1,0)-MATCH($C$2,quests!$1:$1,0)+1),MATCH(D$1,quests!$1:$1,0)-MATCH($C$2,quests!$1:$1,0)+1,FALSE)</f>
        <v>黄巾賊の暴走を止めろ！</v>
      </c>
      <c r="E677" s="48" t="str">
        <f ca="1">VLOOKUP($C677,OFFSET(quests!$A$1,0,0,COUNTA(quests!$A:$A),MATCH(E$2,quests!$1:$1,0)-MATCH($C$2,quests!$1:$1,0)+1),MATCH(E$2,quests!$1:$1,0)-MATCH($C$2,quests!$1:$1,0)+1,FALSE)</f>
        <v>コラボクエスト</v>
      </c>
      <c r="F677" s="7">
        <v>3</v>
      </c>
      <c r="G677" s="7" t="s">
        <v>382</v>
      </c>
      <c r="H677" s="12" t="s">
        <v>1103</v>
      </c>
      <c r="I677" s="12" t="s">
        <v>830</v>
      </c>
      <c r="J677" s="12">
        <v>694</v>
      </c>
      <c r="K677" s="194">
        <v>20</v>
      </c>
      <c r="L677" s="167">
        <v>2000</v>
      </c>
      <c r="M677" s="167">
        <v>1</v>
      </c>
      <c r="N677" s="167">
        <v>1</v>
      </c>
      <c r="O677" s="167">
        <v>1</v>
      </c>
      <c r="P677" s="167">
        <v>1</v>
      </c>
      <c r="Q677" s="167">
        <v>1</v>
      </c>
      <c r="R677" s="167">
        <v>3</v>
      </c>
      <c r="S677" s="167" t="s">
        <v>833</v>
      </c>
      <c r="T677" s="167">
        <v>0</v>
      </c>
      <c r="U677" s="7" t="s">
        <v>169</v>
      </c>
      <c r="V677" s="7" t="s">
        <v>169</v>
      </c>
      <c r="W677" s="47" t="str">
        <f t="shared" ca="1" si="26"/>
        <v/>
      </c>
      <c r="X677" s="47">
        <f ca="1">VLOOKUP($C677,OFFSET(quests!$A$1,0,0,COUNTA(quests!$A:$A),MATCH(X$2,quests!$1:$1,0)-MATCH($C$2,quests!$1:$1,0)+1),MATCH(X$2,quests!$1:$1,0)-MATCH($C$2,quests!$1:$1,0)+1,FALSE)</f>
        <v>0</v>
      </c>
      <c r="Y677" s="47">
        <f ca="1">VLOOKUP($C677,OFFSET(quests!$A$1,0,0,COUNTA(quests!$A:$A),MATCH(Y$2,quests!$1:$1,0)-MATCH($C$2,quests!$1:$1,0)+1),MATCH(Y$2,quests!$1:$1,0)-MATCH($C$2,quests!$1:$1,0)+1,FALSE)</f>
        <v>0</v>
      </c>
      <c r="Z677" s="47">
        <f ca="1">VLOOKUP($C677,OFFSET(quests!$A$1,0,0,COUNTA(quests!$A:$A),MATCH(Z$2,quests!$1:$1,0)-MATCH($C$2,quests!$1:$1,0)+1),MATCH(Z$2,quests!$1:$1,0)-MATCH($C$2,quests!$1:$1,0)+1,FALSE)</f>
        <v>0</v>
      </c>
      <c r="AA677" s="47">
        <f ca="1">VLOOKUP($C677,OFFSET(quests!$A$1,0,0,COUNTA(quests!$A:$A),MATCH(AA$2,quests!$1:$1,0)-MATCH($C$2,quests!$1:$1,0)+1),MATCH(AA$2,quests!$1:$1,0)-MATCH($C$2,quests!$1:$1,0)+1,FALSE)</f>
        <v>0</v>
      </c>
      <c r="AB677" s="7" t="s">
        <v>56</v>
      </c>
      <c r="AC677" s="7">
        <v>12</v>
      </c>
      <c r="AD677" s="7">
        <v>6</v>
      </c>
      <c r="AE677" s="7" t="s">
        <v>519</v>
      </c>
      <c r="AF677" s="7">
        <v>11</v>
      </c>
      <c r="AG677" s="7">
        <v>0</v>
      </c>
      <c r="AH677" s="7">
        <v>0</v>
      </c>
      <c r="AI677" s="7">
        <v>-1</v>
      </c>
      <c r="AJ677" s="7">
        <v>-1</v>
      </c>
      <c r="AK677" s="7" t="s">
        <v>1064</v>
      </c>
      <c r="AL677" s="12" t="s">
        <v>1695</v>
      </c>
      <c r="AM677" s="12" t="s">
        <v>2072</v>
      </c>
    </row>
    <row r="678" spans="1:39" ht="21" customHeight="1" x14ac:dyDescent="0.15">
      <c r="A678" s="42" t="str">
        <f t="shared" si="25"/>
        <v>39002_4</v>
      </c>
      <c r="B678" s="23">
        <v>3</v>
      </c>
      <c r="C678" s="31">
        <v>39002</v>
      </c>
      <c r="D678" s="47" t="str">
        <f ca="1">VLOOKUP($C678,OFFSET(quests!$A$1,0,0,COUNTA(quests!$A:$A),MATCH(D$1,quests!$1:$1,0)-MATCH($C$2,quests!$1:$1,0)+1),MATCH(D$1,quests!$1:$1,0)-MATCH($C$2,quests!$1:$1,0)+1,FALSE)</f>
        <v>黄巾賊の暴走を止めろ！</v>
      </c>
      <c r="E678" s="48" t="str">
        <f ca="1">VLOOKUP($C678,OFFSET(quests!$A$1,0,0,COUNTA(quests!$A:$A),MATCH(E$2,quests!$1:$1,0)-MATCH($C$2,quests!$1:$1,0)+1),MATCH(E$2,quests!$1:$1,0)-MATCH($C$2,quests!$1:$1,0)+1,FALSE)</f>
        <v>コラボクエスト</v>
      </c>
      <c r="F678" s="7">
        <v>4</v>
      </c>
      <c r="G678" s="7" t="s">
        <v>382</v>
      </c>
      <c r="H678" s="12" t="s">
        <v>1104</v>
      </c>
      <c r="I678" s="12" t="s">
        <v>832</v>
      </c>
      <c r="J678" s="12">
        <v>694</v>
      </c>
      <c r="K678" s="192">
        <v>30</v>
      </c>
      <c r="L678" s="193">
        <v>3300</v>
      </c>
      <c r="M678" s="167">
        <v>1</v>
      </c>
      <c r="N678" s="167">
        <v>1</v>
      </c>
      <c r="O678" s="167">
        <v>1</v>
      </c>
      <c r="P678" s="167">
        <v>1</v>
      </c>
      <c r="Q678" s="167">
        <v>1</v>
      </c>
      <c r="R678" s="167">
        <v>3</v>
      </c>
      <c r="S678" s="167" t="s">
        <v>384</v>
      </c>
      <c r="T678" s="167">
        <v>1</v>
      </c>
      <c r="U678" s="7" t="s">
        <v>169</v>
      </c>
      <c r="V678" s="7" t="s">
        <v>169</v>
      </c>
      <c r="W678" s="47" t="str">
        <f t="shared" ca="1" si="26"/>
        <v/>
      </c>
      <c r="X678" s="47">
        <f ca="1">VLOOKUP($C678,OFFSET(quests!$A$1,0,0,COUNTA(quests!$A:$A),MATCH(X$2,quests!$1:$1,0)-MATCH($C$2,quests!$1:$1,0)+1),MATCH(X$2,quests!$1:$1,0)-MATCH($C$2,quests!$1:$1,0)+1,FALSE)</f>
        <v>0</v>
      </c>
      <c r="Y678" s="47">
        <f ca="1">VLOOKUP($C678,OFFSET(quests!$A$1,0,0,COUNTA(quests!$A:$A),MATCH(Y$2,quests!$1:$1,0)-MATCH($C$2,quests!$1:$1,0)+1),MATCH(Y$2,quests!$1:$1,0)-MATCH($C$2,quests!$1:$1,0)+1,FALSE)</f>
        <v>0</v>
      </c>
      <c r="Z678" s="47">
        <f ca="1">VLOOKUP($C678,OFFSET(quests!$A$1,0,0,COUNTA(quests!$A:$A),MATCH(Z$2,quests!$1:$1,0)-MATCH($C$2,quests!$1:$1,0)+1),MATCH(Z$2,quests!$1:$1,0)-MATCH($C$2,quests!$1:$1,0)+1,FALSE)</f>
        <v>0</v>
      </c>
      <c r="AA678" s="47">
        <f ca="1">VLOOKUP($C678,OFFSET(quests!$A$1,0,0,COUNTA(quests!$A:$A),MATCH(AA$2,quests!$1:$1,0)-MATCH($C$2,quests!$1:$1,0)+1),MATCH(AA$2,quests!$1:$1,0)-MATCH($C$2,quests!$1:$1,0)+1,FALSE)</f>
        <v>0</v>
      </c>
      <c r="AB678" s="7" t="s">
        <v>56</v>
      </c>
      <c r="AC678" s="7">
        <v>12</v>
      </c>
      <c r="AD678" s="7">
        <v>6</v>
      </c>
      <c r="AE678" s="7" t="s">
        <v>519</v>
      </c>
      <c r="AF678" s="7">
        <v>11</v>
      </c>
      <c r="AG678" s="7">
        <v>0</v>
      </c>
      <c r="AH678" s="7">
        <v>0</v>
      </c>
      <c r="AI678" s="7">
        <v>-1</v>
      </c>
      <c r="AJ678" s="7">
        <v>-1</v>
      </c>
      <c r="AK678" s="7" t="s">
        <v>1065</v>
      </c>
      <c r="AL678" s="12" t="s">
        <v>1695</v>
      </c>
      <c r="AM678" s="12" t="s">
        <v>2072</v>
      </c>
    </row>
    <row r="679" spans="1:39" ht="21" customHeight="1" x14ac:dyDescent="0.15">
      <c r="A679" s="42" t="str">
        <f t="shared" si="25"/>
        <v>39003_1</v>
      </c>
      <c r="B679" s="23">
        <v>3</v>
      </c>
      <c r="C679" s="31">
        <v>39003</v>
      </c>
      <c r="D679" s="47" t="str">
        <f ca="1">VLOOKUP($C679,OFFSET(quests!$A$1,0,0,COUNTA(quests!$A:$A),MATCH(D$1,quests!$1:$1,0)-MATCH($C$2,quests!$1:$1,0)+1),MATCH(D$1,quests!$1:$1,0)-MATCH($C$2,quests!$1:$1,0)+1,FALSE)</f>
        <v>ブルースクウェアを追え！</v>
      </c>
      <c r="E679" s="48" t="str">
        <f ca="1">VLOOKUP($C679,OFFSET(quests!$A$1,0,0,COUNTA(quests!$A:$A),MATCH(E$2,quests!$1:$1,0)-MATCH($C$2,quests!$1:$1,0)+1),MATCH(E$2,quests!$1:$1,0)-MATCH($C$2,quests!$1:$1,0)+1,FALSE)</f>
        <v>コラボクエスト</v>
      </c>
      <c r="F679" s="7">
        <v>1</v>
      </c>
      <c r="G679" s="7" t="s">
        <v>382</v>
      </c>
      <c r="H679" s="12" t="s">
        <v>1105</v>
      </c>
      <c r="I679" s="12" t="s">
        <v>857</v>
      </c>
      <c r="J679" s="12">
        <v>691</v>
      </c>
      <c r="K679" s="192">
        <v>8</v>
      </c>
      <c r="L679" s="167">
        <v>384</v>
      </c>
      <c r="M679" s="167">
        <v>1</v>
      </c>
      <c r="N679" s="167">
        <v>1</v>
      </c>
      <c r="O679" s="167">
        <v>1</v>
      </c>
      <c r="P679" s="167">
        <v>1</v>
      </c>
      <c r="Q679" s="167">
        <v>1</v>
      </c>
      <c r="R679" s="167">
        <v>3</v>
      </c>
      <c r="S679" s="167" t="s">
        <v>833</v>
      </c>
      <c r="T679" s="167">
        <v>0</v>
      </c>
      <c r="U679" s="7" t="s">
        <v>169</v>
      </c>
      <c r="V679" s="7" t="s">
        <v>169</v>
      </c>
      <c r="W679" s="47" t="str">
        <f t="shared" ca="1" si="26"/>
        <v/>
      </c>
      <c r="X679" s="47">
        <f ca="1">VLOOKUP($C679,OFFSET(quests!$A$1,0,0,COUNTA(quests!$A:$A),MATCH(X$2,quests!$1:$1,0)-MATCH($C$2,quests!$1:$1,0)+1),MATCH(X$2,quests!$1:$1,0)-MATCH($C$2,quests!$1:$1,0)+1,FALSE)</f>
        <v>0</v>
      </c>
      <c r="Y679" s="47">
        <f ca="1">VLOOKUP($C679,OFFSET(quests!$A$1,0,0,COUNTA(quests!$A:$A),MATCH(Y$2,quests!$1:$1,0)-MATCH($C$2,quests!$1:$1,0)+1),MATCH(Y$2,quests!$1:$1,0)-MATCH($C$2,quests!$1:$1,0)+1,FALSE)</f>
        <v>0</v>
      </c>
      <c r="Z679" s="47">
        <f ca="1">VLOOKUP($C679,OFFSET(quests!$A$1,0,0,COUNTA(quests!$A:$A),MATCH(Z$2,quests!$1:$1,0)-MATCH($C$2,quests!$1:$1,0)+1),MATCH(Z$2,quests!$1:$1,0)-MATCH($C$2,quests!$1:$1,0)+1,FALSE)</f>
        <v>0</v>
      </c>
      <c r="AA679" s="47">
        <f ca="1">VLOOKUP($C679,OFFSET(quests!$A$1,0,0,COUNTA(quests!$A:$A),MATCH(AA$2,quests!$1:$1,0)-MATCH($C$2,quests!$1:$1,0)+1),MATCH(AA$2,quests!$1:$1,0)-MATCH($C$2,quests!$1:$1,0)+1,FALSE)</f>
        <v>0</v>
      </c>
      <c r="AB679" s="7" t="s">
        <v>56</v>
      </c>
      <c r="AC679" s="7">
        <v>14</v>
      </c>
      <c r="AD679" s="7">
        <v>6</v>
      </c>
      <c r="AE679" s="7" t="s">
        <v>519</v>
      </c>
      <c r="AF679" s="7">
        <v>11</v>
      </c>
      <c r="AG679" s="7">
        <v>0</v>
      </c>
      <c r="AH679" s="7">
        <v>0</v>
      </c>
      <c r="AI679" s="7">
        <v>-1</v>
      </c>
      <c r="AJ679" s="7">
        <v>-1</v>
      </c>
      <c r="AK679" s="7" t="s">
        <v>1064</v>
      </c>
      <c r="AL679" s="12" t="s">
        <v>1695</v>
      </c>
      <c r="AM679" s="12" t="s">
        <v>2072</v>
      </c>
    </row>
    <row r="680" spans="1:39" ht="21" customHeight="1" x14ac:dyDescent="0.15">
      <c r="A680" s="42" t="str">
        <f t="shared" si="25"/>
        <v>39003_2</v>
      </c>
      <c r="B680" s="23">
        <v>3</v>
      </c>
      <c r="C680" s="31">
        <v>39003</v>
      </c>
      <c r="D680" s="47" t="str">
        <f ca="1">VLOOKUP($C680,OFFSET(quests!$A$1,0,0,COUNTA(quests!$A:$A),MATCH(D$1,quests!$1:$1,0)-MATCH($C$2,quests!$1:$1,0)+1),MATCH(D$1,quests!$1:$1,0)-MATCH($C$2,quests!$1:$1,0)+1,FALSE)</f>
        <v>ブルースクウェアを追え！</v>
      </c>
      <c r="E680" s="48" t="str">
        <f ca="1">VLOOKUP($C680,OFFSET(quests!$A$1,0,0,COUNTA(quests!$A:$A),MATCH(E$2,quests!$1:$1,0)-MATCH($C$2,quests!$1:$1,0)+1),MATCH(E$2,quests!$1:$1,0)-MATCH($C$2,quests!$1:$1,0)+1,FALSE)</f>
        <v>コラボクエスト</v>
      </c>
      <c r="F680" s="7">
        <v>2</v>
      </c>
      <c r="G680" s="7" t="s">
        <v>382</v>
      </c>
      <c r="H680" s="12" t="s">
        <v>1106</v>
      </c>
      <c r="I680" s="12" t="s">
        <v>831</v>
      </c>
      <c r="J680" s="12">
        <v>691</v>
      </c>
      <c r="K680" s="194">
        <v>15</v>
      </c>
      <c r="L680" s="167">
        <v>1200</v>
      </c>
      <c r="M680" s="167">
        <v>1</v>
      </c>
      <c r="N680" s="167">
        <v>1</v>
      </c>
      <c r="O680" s="167">
        <v>1</v>
      </c>
      <c r="P680" s="167">
        <v>1</v>
      </c>
      <c r="Q680" s="167">
        <v>1</v>
      </c>
      <c r="R680" s="167">
        <v>3</v>
      </c>
      <c r="S680" s="167" t="s">
        <v>833</v>
      </c>
      <c r="T680" s="167">
        <v>0</v>
      </c>
      <c r="U680" s="7" t="s">
        <v>169</v>
      </c>
      <c r="V680" s="7" t="s">
        <v>169</v>
      </c>
      <c r="W680" s="47" t="str">
        <f t="shared" ca="1" si="26"/>
        <v/>
      </c>
      <c r="X680" s="47">
        <f ca="1">VLOOKUP($C680,OFFSET(quests!$A$1,0,0,COUNTA(quests!$A:$A),MATCH(X$2,quests!$1:$1,0)-MATCH($C$2,quests!$1:$1,0)+1),MATCH(X$2,quests!$1:$1,0)-MATCH($C$2,quests!$1:$1,0)+1,FALSE)</f>
        <v>0</v>
      </c>
      <c r="Y680" s="47">
        <f ca="1">VLOOKUP($C680,OFFSET(quests!$A$1,0,0,COUNTA(quests!$A:$A),MATCH(Y$2,quests!$1:$1,0)-MATCH($C$2,quests!$1:$1,0)+1),MATCH(Y$2,quests!$1:$1,0)-MATCH($C$2,quests!$1:$1,0)+1,FALSE)</f>
        <v>0</v>
      </c>
      <c r="Z680" s="47">
        <f ca="1">VLOOKUP($C680,OFFSET(quests!$A$1,0,0,COUNTA(quests!$A:$A),MATCH(Z$2,quests!$1:$1,0)-MATCH($C$2,quests!$1:$1,0)+1),MATCH(Z$2,quests!$1:$1,0)-MATCH($C$2,quests!$1:$1,0)+1,FALSE)</f>
        <v>0</v>
      </c>
      <c r="AA680" s="47">
        <f ca="1">VLOOKUP($C680,OFFSET(quests!$A$1,0,0,COUNTA(quests!$A:$A),MATCH(AA$2,quests!$1:$1,0)-MATCH($C$2,quests!$1:$1,0)+1),MATCH(AA$2,quests!$1:$1,0)-MATCH($C$2,quests!$1:$1,0)+1,FALSE)</f>
        <v>0</v>
      </c>
      <c r="AB680" s="7" t="s">
        <v>56</v>
      </c>
      <c r="AC680" s="7">
        <v>14</v>
      </c>
      <c r="AD680" s="7">
        <v>6</v>
      </c>
      <c r="AE680" s="7" t="s">
        <v>519</v>
      </c>
      <c r="AF680" s="7">
        <v>11</v>
      </c>
      <c r="AG680" s="7">
        <v>0</v>
      </c>
      <c r="AH680" s="7">
        <v>0</v>
      </c>
      <c r="AI680" s="7">
        <v>-1</v>
      </c>
      <c r="AJ680" s="7">
        <v>-1</v>
      </c>
      <c r="AK680" s="7" t="s">
        <v>1064</v>
      </c>
      <c r="AL680" s="12" t="s">
        <v>1695</v>
      </c>
      <c r="AM680" s="12" t="s">
        <v>2072</v>
      </c>
    </row>
    <row r="681" spans="1:39" ht="21" customHeight="1" x14ac:dyDescent="0.15">
      <c r="A681" s="42" t="str">
        <f t="shared" si="25"/>
        <v>39003_3</v>
      </c>
      <c r="B681" s="23">
        <v>3</v>
      </c>
      <c r="C681" s="31">
        <v>39003</v>
      </c>
      <c r="D681" s="47" t="str">
        <f ca="1">VLOOKUP($C681,OFFSET(quests!$A$1,0,0,COUNTA(quests!$A:$A),MATCH(D$1,quests!$1:$1,0)-MATCH($C$2,quests!$1:$1,0)+1),MATCH(D$1,quests!$1:$1,0)-MATCH($C$2,quests!$1:$1,0)+1,FALSE)</f>
        <v>ブルースクウェアを追え！</v>
      </c>
      <c r="E681" s="48" t="str">
        <f ca="1">VLOOKUP($C681,OFFSET(quests!$A$1,0,0,COUNTA(quests!$A:$A),MATCH(E$2,quests!$1:$1,0)-MATCH($C$2,quests!$1:$1,0)+1),MATCH(E$2,quests!$1:$1,0)-MATCH($C$2,quests!$1:$1,0)+1,FALSE)</f>
        <v>コラボクエスト</v>
      </c>
      <c r="F681" s="7">
        <v>3</v>
      </c>
      <c r="G681" s="7" t="s">
        <v>382</v>
      </c>
      <c r="H681" s="12" t="s">
        <v>1107</v>
      </c>
      <c r="I681" s="12" t="s">
        <v>830</v>
      </c>
      <c r="J681" s="12">
        <v>691</v>
      </c>
      <c r="K681" s="194">
        <v>20</v>
      </c>
      <c r="L681" s="167">
        <v>2000</v>
      </c>
      <c r="M681" s="167">
        <v>1</v>
      </c>
      <c r="N681" s="167">
        <v>1</v>
      </c>
      <c r="O681" s="167">
        <v>1</v>
      </c>
      <c r="P681" s="167">
        <v>1</v>
      </c>
      <c r="Q681" s="167">
        <v>1</v>
      </c>
      <c r="R681" s="167">
        <v>3</v>
      </c>
      <c r="S681" s="167" t="s">
        <v>833</v>
      </c>
      <c r="T681" s="167">
        <v>0</v>
      </c>
      <c r="U681" s="7" t="s">
        <v>169</v>
      </c>
      <c r="V681" s="7" t="s">
        <v>169</v>
      </c>
      <c r="W681" s="47" t="str">
        <f t="shared" ca="1" si="26"/>
        <v/>
      </c>
      <c r="X681" s="47">
        <f ca="1">VLOOKUP($C681,OFFSET(quests!$A$1,0,0,COUNTA(quests!$A:$A),MATCH(X$2,quests!$1:$1,0)-MATCH($C$2,quests!$1:$1,0)+1),MATCH(X$2,quests!$1:$1,0)-MATCH($C$2,quests!$1:$1,0)+1,FALSE)</f>
        <v>0</v>
      </c>
      <c r="Y681" s="47">
        <f ca="1">VLOOKUP($C681,OFFSET(quests!$A$1,0,0,COUNTA(quests!$A:$A),MATCH(Y$2,quests!$1:$1,0)-MATCH($C$2,quests!$1:$1,0)+1),MATCH(Y$2,quests!$1:$1,0)-MATCH($C$2,quests!$1:$1,0)+1,FALSE)</f>
        <v>0</v>
      </c>
      <c r="Z681" s="47">
        <f ca="1">VLOOKUP($C681,OFFSET(quests!$A$1,0,0,COUNTA(quests!$A:$A),MATCH(Z$2,quests!$1:$1,0)-MATCH($C$2,quests!$1:$1,0)+1),MATCH(Z$2,quests!$1:$1,0)-MATCH($C$2,quests!$1:$1,0)+1,FALSE)</f>
        <v>0</v>
      </c>
      <c r="AA681" s="47">
        <f ca="1">VLOOKUP($C681,OFFSET(quests!$A$1,0,0,COUNTA(quests!$A:$A),MATCH(AA$2,quests!$1:$1,0)-MATCH($C$2,quests!$1:$1,0)+1),MATCH(AA$2,quests!$1:$1,0)-MATCH($C$2,quests!$1:$1,0)+1,FALSE)</f>
        <v>0</v>
      </c>
      <c r="AB681" s="7" t="s">
        <v>56</v>
      </c>
      <c r="AC681" s="7">
        <v>14</v>
      </c>
      <c r="AD681" s="7">
        <v>6</v>
      </c>
      <c r="AE681" s="7" t="s">
        <v>519</v>
      </c>
      <c r="AF681" s="7">
        <v>11</v>
      </c>
      <c r="AG681" s="7">
        <v>0</v>
      </c>
      <c r="AH681" s="7">
        <v>0</v>
      </c>
      <c r="AI681" s="7">
        <v>-1</v>
      </c>
      <c r="AJ681" s="7">
        <v>-1</v>
      </c>
      <c r="AK681" s="7" t="s">
        <v>1064</v>
      </c>
      <c r="AL681" s="12" t="s">
        <v>1695</v>
      </c>
      <c r="AM681" s="12" t="s">
        <v>2072</v>
      </c>
    </row>
    <row r="682" spans="1:39" ht="21" customHeight="1" x14ac:dyDescent="0.15">
      <c r="A682" s="42" t="str">
        <f t="shared" si="25"/>
        <v>39003_4</v>
      </c>
      <c r="B682" s="23">
        <v>3</v>
      </c>
      <c r="C682" s="31">
        <v>39003</v>
      </c>
      <c r="D682" s="47" t="str">
        <f ca="1">VLOOKUP($C682,OFFSET(quests!$A$1,0,0,COUNTA(quests!$A:$A),MATCH(D$1,quests!$1:$1,0)-MATCH($C$2,quests!$1:$1,0)+1),MATCH(D$1,quests!$1:$1,0)-MATCH($C$2,quests!$1:$1,0)+1,FALSE)</f>
        <v>ブルースクウェアを追え！</v>
      </c>
      <c r="E682" s="48" t="str">
        <f ca="1">VLOOKUP($C682,OFFSET(quests!$A$1,0,0,COUNTA(quests!$A:$A),MATCH(E$2,quests!$1:$1,0)-MATCH($C$2,quests!$1:$1,0)+1),MATCH(E$2,quests!$1:$1,0)-MATCH($C$2,quests!$1:$1,0)+1,FALSE)</f>
        <v>コラボクエスト</v>
      </c>
      <c r="F682" s="7">
        <v>4</v>
      </c>
      <c r="G682" s="7" t="s">
        <v>382</v>
      </c>
      <c r="H682" s="12" t="s">
        <v>1108</v>
      </c>
      <c r="I682" s="12" t="s">
        <v>832</v>
      </c>
      <c r="J682" s="12">
        <v>691</v>
      </c>
      <c r="K682" s="192">
        <v>30</v>
      </c>
      <c r="L682" s="193">
        <v>3300</v>
      </c>
      <c r="M682" s="167">
        <v>1</v>
      </c>
      <c r="N682" s="167">
        <v>1</v>
      </c>
      <c r="O682" s="167">
        <v>1</v>
      </c>
      <c r="P682" s="167">
        <v>1</v>
      </c>
      <c r="Q682" s="167">
        <v>1</v>
      </c>
      <c r="R682" s="167">
        <v>3</v>
      </c>
      <c r="S682" s="167" t="s">
        <v>384</v>
      </c>
      <c r="T682" s="167">
        <v>1</v>
      </c>
      <c r="U682" s="7" t="s">
        <v>169</v>
      </c>
      <c r="V682" s="7" t="s">
        <v>169</v>
      </c>
      <c r="W682" s="47" t="str">
        <f t="shared" ca="1" si="26"/>
        <v/>
      </c>
      <c r="X682" s="47">
        <f ca="1">VLOOKUP($C682,OFFSET(quests!$A$1,0,0,COUNTA(quests!$A:$A),MATCH(X$2,quests!$1:$1,0)-MATCH($C$2,quests!$1:$1,0)+1),MATCH(X$2,quests!$1:$1,0)-MATCH($C$2,quests!$1:$1,0)+1,FALSE)</f>
        <v>0</v>
      </c>
      <c r="Y682" s="47">
        <f ca="1">VLOOKUP($C682,OFFSET(quests!$A$1,0,0,COUNTA(quests!$A:$A),MATCH(Y$2,quests!$1:$1,0)-MATCH($C$2,quests!$1:$1,0)+1),MATCH(Y$2,quests!$1:$1,0)-MATCH($C$2,quests!$1:$1,0)+1,FALSE)</f>
        <v>0</v>
      </c>
      <c r="Z682" s="47">
        <f ca="1">VLOOKUP($C682,OFFSET(quests!$A$1,0,0,COUNTA(quests!$A:$A),MATCH(Z$2,quests!$1:$1,0)-MATCH($C$2,quests!$1:$1,0)+1),MATCH(Z$2,quests!$1:$1,0)-MATCH($C$2,quests!$1:$1,0)+1,FALSE)</f>
        <v>0</v>
      </c>
      <c r="AA682" s="47">
        <f ca="1">VLOOKUP($C682,OFFSET(quests!$A$1,0,0,COUNTA(quests!$A:$A),MATCH(AA$2,quests!$1:$1,0)-MATCH($C$2,quests!$1:$1,0)+1),MATCH(AA$2,quests!$1:$1,0)-MATCH($C$2,quests!$1:$1,0)+1,FALSE)</f>
        <v>0</v>
      </c>
      <c r="AB682" s="7" t="s">
        <v>56</v>
      </c>
      <c r="AC682" s="7">
        <v>14</v>
      </c>
      <c r="AD682" s="7">
        <v>6</v>
      </c>
      <c r="AE682" s="7" t="s">
        <v>519</v>
      </c>
      <c r="AF682" s="7">
        <v>11</v>
      </c>
      <c r="AG682" s="7">
        <v>0</v>
      </c>
      <c r="AH682" s="7">
        <v>0</v>
      </c>
      <c r="AI682" s="7">
        <v>-1</v>
      </c>
      <c r="AJ682" s="7">
        <v>-1</v>
      </c>
      <c r="AK682" s="7" t="s">
        <v>1065</v>
      </c>
      <c r="AL682" s="12" t="s">
        <v>1695</v>
      </c>
      <c r="AM682" s="12" t="s">
        <v>2072</v>
      </c>
    </row>
    <row r="683" spans="1:39" ht="21" customHeight="1" x14ac:dyDescent="0.15">
      <c r="A683" s="42" t="str">
        <f t="shared" si="25"/>
        <v>39004_1</v>
      </c>
      <c r="B683" s="23">
        <v>3</v>
      </c>
      <c r="C683" s="31">
        <v>39004</v>
      </c>
      <c r="D683" s="47" t="str">
        <f ca="1">VLOOKUP($C683,OFFSET(quests!$A$1,0,0,COUNTA(quests!$A:$A),MATCH(D$1,quests!$1:$1,0)-MATCH($C$2,quests!$1:$1,0)+1),MATCH(D$1,quests!$1:$1,0)-MATCH($C$2,quests!$1:$1,0)+1,FALSE)</f>
        <v xml:space="preserve">ニムダのおきにいり♪ </v>
      </c>
      <c r="E683" s="48" t="str">
        <f ca="1">VLOOKUP($C683,OFFSET(quests!$A$1,0,0,COUNTA(quests!$A:$A),MATCH(E$2,quests!$1:$1,0)-MATCH($C$2,quests!$1:$1,0)+1),MATCH(E$2,quests!$1:$1,0)-MATCH($C$2,quests!$1:$1,0)+1,FALSE)</f>
        <v>コラボクエスト</v>
      </c>
      <c r="F683" s="7">
        <v>1</v>
      </c>
      <c r="G683" s="7" t="s">
        <v>382</v>
      </c>
      <c r="H683" s="12" t="s">
        <v>1229</v>
      </c>
      <c r="I683" s="12" t="s">
        <v>857</v>
      </c>
      <c r="J683" s="12">
        <v>902</v>
      </c>
      <c r="K683" s="192">
        <v>8</v>
      </c>
      <c r="L683" s="167">
        <v>384</v>
      </c>
      <c r="M683" s="167">
        <v>1</v>
      </c>
      <c r="N683" s="167">
        <v>1</v>
      </c>
      <c r="O683" s="167">
        <v>1</v>
      </c>
      <c r="P683" s="167">
        <v>1</v>
      </c>
      <c r="Q683" s="167">
        <v>1</v>
      </c>
      <c r="R683" s="167">
        <v>3</v>
      </c>
      <c r="S683" s="167" t="s">
        <v>817</v>
      </c>
      <c r="T683" s="167">
        <v>0</v>
      </c>
      <c r="U683" s="7" t="s">
        <v>169</v>
      </c>
      <c r="V683" s="7" t="s">
        <v>169</v>
      </c>
      <c r="W683" s="47" t="str">
        <f t="shared" ca="1" si="26"/>
        <v/>
      </c>
      <c r="X683" s="47">
        <f ca="1">VLOOKUP($C683,OFFSET(quests!$A$1,0,0,COUNTA(quests!$A:$A),MATCH(X$2,quests!$1:$1,0)-MATCH($C$2,quests!$1:$1,0)+1),MATCH(X$2,quests!$1:$1,0)-MATCH($C$2,quests!$1:$1,0)+1,FALSE)</f>
        <v>0</v>
      </c>
      <c r="Y683" s="47">
        <f ca="1">VLOOKUP($C683,OFFSET(quests!$A$1,0,0,COUNTA(quests!$A:$A),MATCH(Y$2,quests!$1:$1,0)-MATCH($C$2,quests!$1:$1,0)+1),MATCH(Y$2,quests!$1:$1,0)-MATCH($C$2,quests!$1:$1,0)+1,FALSE)</f>
        <v>0</v>
      </c>
      <c r="Z683" s="47">
        <f ca="1">VLOOKUP($C683,OFFSET(quests!$A$1,0,0,COUNTA(quests!$A:$A),MATCH(Z$2,quests!$1:$1,0)-MATCH($C$2,quests!$1:$1,0)+1),MATCH(Z$2,quests!$1:$1,0)-MATCH($C$2,quests!$1:$1,0)+1,FALSE)</f>
        <v>0</v>
      </c>
      <c r="AA683" s="47">
        <f ca="1">VLOOKUP($C683,OFFSET(quests!$A$1,0,0,COUNTA(quests!$A:$A),MATCH(AA$2,quests!$1:$1,0)-MATCH($C$2,quests!$1:$1,0)+1),MATCH(AA$2,quests!$1:$1,0)-MATCH($C$2,quests!$1:$1,0)+1,FALSE)</f>
        <v>0</v>
      </c>
      <c r="AB683" s="7" t="s">
        <v>56</v>
      </c>
      <c r="AC683" s="7">
        <v>933</v>
      </c>
      <c r="AD683" s="7">
        <v>6</v>
      </c>
      <c r="AE683" s="7" t="s">
        <v>519</v>
      </c>
      <c r="AF683" s="7">
        <v>11</v>
      </c>
      <c r="AG683" s="7">
        <v>0</v>
      </c>
      <c r="AH683" s="7">
        <v>0</v>
      </c>
      <c r="AI683" s="7">
        <v>-1</v>
      </c>
      <c r="AJ683" s="7">
        <v>-1</v>
      </c>
      <c r="AK683" s="7" t="s">
        <v>1064</v>
      </c>
      <c r="AL683" s="12" t="s">
        <v>1695</v>
      </c>
      <c r="AM683" s="12" t="s">
        <v>2072</v>
      </c>
    </row>
    <row r="684" spans="1:39" ht="21" customHeight="1" x14ac:dyDescent="0.15">
      <c r="A684" s="42" t="str">
        <f t="shared" si="25"/>
        <v>39004_2</v>
      </c>
      <c r="B684" s="23">
        <v>3</v>
      </c>
      <c r="C684" s="31">
        <v>39004</v>
      </c>
      <c r="D684" s="47" t="str">
        <f ca="1">VLOOKUP($C684,OFFSET(quests!$A$1,0,0,COUNTA(quests!$A:$A),MATCH(D$1,quests!$1:$1,0)-MATCH($C$2,quests!$1:$1,0)+1),MATCH(D$1,quests!$1:$1,0)-MATCH($C$2,quests!$1:$1,0)+1,FALSE)</f>
        <v xml:space="preserve">ニムダのおきにいり♪ </v>
      </c>
      <c r="E684" s="48" t="str">
        <f ca="1">VLOOKUP($C684,OFFSET(quests!$A$1,0,0,COUNTA(quests!$A:$A),MATCH(E$2,quests!$1:$1,0)-MATCH($C$2,quests!$1:$1,0)+1),MATCH(E$2,quests!$1:$1,0)-MATCH($C$2,quests!$1:$1,0)+1,FALSE)</f>
        <v>コラボクエスト</v>
      </c>
      <c r="F684" s="7">
        <v>2</v>
      </c>
      <c r="G684" s="7" t="s">
        <v>382</v>
      </c>
      <c r="H684" s="12" t="s">
        <v>1230</v>
      </c>
      <c r="I684" s="12" t="s">
        <v>831</v>
      </c>
      <c r="J684" s="12">
        <v>902</v>
      </c>
      <c r="K684" s="194">
        <v>15</v>
      </c>
      <c r="L684" s="167">
        <v>1200</v>
      </c>
      <c r="M684" s="167">
        <v>1</v>
      </c>
      <c r="N684" s="167">
        <v>1</v>
      </c>
      <c r="O684" s="167">
        <v>1</v>
      </c>
      <c r="P684" s="167">
        <v>1</v>
      </c>
      <c r="Q684" s="167">
        <v>1</v>
      </c>
      <c r="R684" s="167">
        <v>3</v>
      </c>
      <c r="S684" s="167" t="s">
        <v>817</v>
      </c>
      <c r="T684" s="167">
        <v>0</v>
      </c>
      <c r="U684" s="7" t="s">
        <v>169</v>
      </c>
      <c r="V684" s="7" t="s">
        <v>169</v>
      </c>
      <c r="W684" s="47" t="str">
        <f t="shared" ca="1" si="26"/>
        <v/>
      </c>
      <c r="X684" s="47">
        <f ca="1">VLOOKUP($C684,OFFSET(quests!$A$1,0,0,COUNTA(quests!$A:$A),MATCH(X$2,quests!$1:$1,0)-MATCH($C$2,quests!$1:$1,0)+1),MATCH(X$2,quests!$1:$1,0)-MATCH($C$2,quests!$1:$1,0)+1,FALSE)</f>
        <v>0</v>
      </c>
      <c r="Y684" s="47">
        <f ca="1">VLOOKUP($C684,OFFSET(quests!$A$1,0,0,COUNTA(quests!$A:$A),MATCH(Y$2,quests!$1:$1,0)-MATCH($C$2,quests!$1:$1,0)+1),MATCH(Y$2,quests!$1:$1,0)-MATCH($C$2,quests!$1:$1,0)+1,FALSE)</f>
        <v>0</v>
      </c>
      <c r="Z684" s="47">
        <f ca="1">VLOOKUP($C684,OFFSET(quests!$A$1,0,0,COUNTA(quests!$A:$A),MATCH(Z$2,quests!$1:$1,0)-MATCH($C$2,quests!$1:$1,0)+1),MATCH(Z$2,quests!$1:$1,0)-MATCH($C$2,quests!$1:$1,0)+1,FALSE)</f>
        <v>0</v>
      </c>
      <c r="AA684" s="47">
        <f ca="1">VLOOKUP($C684,OFFSET(quests!$A$1,0,0,COUNTA(quests!$A:$A),MATCH(AA$2,quests!$1:$1,0)-MATCH($C$2,quests!$1:$1,0)+1),MATCH(AA$2,quests!$1:$1,0)-MATCH($C$2,quests!$1:$1,0)+1,FALSE)</f>
        <v>0</v>
      </c>
      <c r="AB684" s="7" t="s">
        <v>56</v>
      </c>
      <c r="AC684" s="7">
        <v>933</v>
      </c>
      <c r="AD684" s="7">
        <v>6</v>
      </c>
      <c r="AE684" s="7" t="s">
        <v>519</v>
      </c>
      <c r="AF684" s="7">
        <v>11</v>
      </c>
      <c r="AG684" s="7">
        <v>0</v>
      </c>
      <c r="AH684" s="7">
        <v>0</v>
      </c>
      <c r="AI684" s="7">
        <v>-1</v>
      </c>
      <c r="AJ684" s="7">
        <v>-1</v>
      </c>
      <c r="AK684" s="7" t="s">
        <v>1064</v>
      </c>
      <c r="AL684" s="12" t="s">
        <v>1695</v>
      </c>
      <c r="AM684" s="12" t="s">
        <v>2072</v>
      </c>
    </row>
    <row r="685" spans="1:39" ht="21" customHeight="1" x14ac:dyDescent="0.15">
      <c r="A685" s="42" t="str">
        <f t="shared" si="25"/>
        <v>39004_3</v>
      </c>
      <c r="B685" s="23">
        <v>3</v>
      </c>
      <c r="C685" s="31">
        <v>39004</v>
      </c>
      <c r="D685" s="47" t="str">
        <f ca="1">VLOOKUP($C685,OFFSET(quests!$A$1,0,0,COUNTA(quests!$A:$A),MATCH(D$1,quests!$1:$1,0)-MATCH($C$2,quests!$1:$1,0)+1),MATCH(D$1,quests!$1:$1,0)-MATCH($C$2,quests!$1:$1,0)+1,FALSE)</f>
        <v xml:space="preserve">ニムダのおきにいり♪ </v>
      </c>
      <c r="E685" s="48" t="str">
        <f ca="1">VLOOKUP($C685,OFFSET(quests!$A$1,0,0,COUNTA(quests!$A:$A),MATCH(E$2,quests!$1:$1,0)-MATCH($C$2,quests!$1:$1,0)+1),MATCH(E$2,quests!$1:$1,0)-MATCH($C$2,quests!$1:$1,0)+1,FALSE)</f>
        <v>コラボクエスト</v>
      </c>
      <c r="F685" s="7">
        <v>3</v>
      </c>
      <c r="G685" s="7" t="s">
        <v>382</v>
      </c>
      <c r="H685" s="12" t="s">
        <v>1231</v>
      </c>
      <c r="I685" s="12" t="s">
        <v>830</v>
      </c>
      <c r="J685" s="12">
        <v>902</v>
      </c>
      <c r="K685" s="194">
        <v>20</v>
      </c>
      <c r="L685" s="167">
        <v>2000</v>
      </c>
      <c r="M685" s="167">
        <v>1</v>
      </c>
      <c r="N685" s="167">
        <v>1</v>
      </c>
      <c r="O685" s="167">
        <v>1</v>
      </c>
      <c r="P685" s="167">
        <v>1</v>
      </c>
      <c r="Q685" s="167">
        <v>1</v>
      </c>
      <c r="R685" s="167">
        <v>3</v>
      </c>
      <c r="S685" s="167" t="s">
        <v>817</v>
      </c>
      <c r="T685" s="167">
        <v>0</v>
      </c>
      <c r="U685" s="7" t="s">
        <v>169</v>
      </c>
      <c r="V685" s="7" t="s">
        <v>169</v>
      </c>
      <c r="W685" s="47" t="str">
        <f t="shared" ca="1" si="26"/>
        <v/>
      </c>
      <c r="X685" s="47">
        <f ca="1">VLOOKUP($C685,OFFSET(quests!$A$1,0,0,COUNTA(quests!$A:$A),MATCH(X$2,quests!$1:$1,0)-MATCH($C$2,quests!$1:$1,0)+1),MATCH(X$2,quests!$1:$1,0)-MATCH($C$2,quests!$1:$1,0)+1,FALSE)</f>
        <v>0</v>
      </c>
      <c r="Y685" s="47">
        <f ca="1">VLOOKUP($C685,OFFSET(quests!$A$1,0,0,COUNTA(quests!$A:$A),MATCH(Y$2,quests!$1:$1,0)-MATCH($C$2,quests!$1:$1,0)+1),MATCH(Y$2,quests!$1:$1,0)-MATCH($C$2,quests!$1:$1,0)+1,FALSE)</f>
        <v>0</v>
      </c>
      <c r="Z685" s="47">
        <f ca="1">VLOOKUP($C685,OFFSET(quests!$A$1,0,0,COUNTA(quests!$A:$A),MATCH(Z$2,quests!$1:$1,0)-MATCH($C$2,quests!$1:$1,0)+1),MATCH(Z$2,quests!$1:$1,0)-MATCH($C$2,quests!$1:$1,0)+1,FALSE)</f>
        <v>0</v>
      </c>
      <c r="AA685" s="47">
        <f ca="1">VLOOKUP($C685,OFFSET(quests!$A$1,0,0,COUNTA(quests!$A:$A),MATCH(AA$2,quests!$1:$1,0)-MATCH($C$2,quests!$1:$1,0)+1),MATCH(AA$2,quests!$1:$1,0)-MATCH($C$2,quests!$1:$1,0)+1,FALSE)</f>
        <v>0</v>
      </c>
      <c r="AB685" s="7" t="s">
        <v>56</v>
      </c>
      <c r="AC685" s="7">
        <v>933</v>
      </c>
      <c r="AD685" s="7">
        <v>6</v>
      </c>
      <c r="AE685" s="7" t="s">
        <v>519</v>
      </c>
      <c r="AF685" s="7">
        <v>11</v>
      </c>
      <c r="AG685" s="7">
        <v>0</v>
      </c>
      <c r="AH685" s="7">
        <v>0</v>
      </c>
      <c r="AI685" s="7">
        <v>-1</v>
      </c>
      <c r="AJ685" s="7">
        <v>-1</v>
      </c>
      <c r="AK685" s="7" t="s">
        <v>1064</v>
      </c>
      <c r="AL685" s="12" t="s">
        <v>1695</v>
      </c>
      <c r="AM685" s="12" t="s">
        <v>2072</v>
      </c>
    </row>
    <row r="686" spans="1:39" ht="21" customHeight="1" x14ac:dyDescent="0.15">
      <c r="A686" s="42" t="str">
        <f t="shared" si="25"/>
        <v>39004_4</v>
      </c>
      <c r="B686" s="23">
        <v>3</v>
      </c>
      <c r="C686" s="31">
        <v>39004</v>
      </c>
      <c r="D686" s="47" t="str">
        <f ca="1">VLOOKUP($C686,OFFSET(quests!$A$1,0,0,COUNTA(quests!$A:$A),MATCH(D$1,quests!$1:$1,0)-MATCH($C$2,quests!$1:$1,0)+1),MATCH(D$1,quests!$1:$1,0)-MATCH($C$2,quests!$1:$1,0)+1,FALSE)</f>
        <v xml:space="preserve">ニムダのおきにいり♪ </v>
      </c>
      <c r="E686" s="48" t="str">
        <f ca="1">VLOOKUP($C686,OFFSET(quests!$A$1,0,0,COUNTA(quests!$A:$A),MATCH(E$2,quests!$1:$1,0)-MATCH($C$2,quests!$1:$1,0)+1),MATCH(E$2,quests!$1:$1,0)-MATCH($C$2,quests!$1:$1,0)+1,FALSE)</f>
        <v>コラボクエスト</v>
      </c>
      <c r="F686" s="7">
        <v>4</v>
      </c>
      <c r="G686" s="7" t="s">
        <v>382</v>
      </c>
      <c r="H686" s="12" t="s">
        <v>1232</v>
      </c>
      <c r="I686" s="12" t="s">
        <v>832</v>
      </c>
      <c r="J686" s="12">
        <v>902</v>
      </c>
      <c r="K686" s="192">
        <v>30</v>
      </c>
      <c r="L686" s="193">
        <v>3300</v>
      </c>
      <c r="M686" s="167">
        <v>1</v>
      </c>
      <c r="N686" s="167">
        <v>1</v>
      </c>
      <c r="O686" s="167">
        <v>1</v>
      </c>
      <c r="P686" s="167">
        <v>1</v>
      </c>
      <c r="Q686" s="167">
        <v>1</v>
      </c>
      <c r="R686" s="167">
        <v>3</v>
      </c>
      <c r="S686" s="167" t="s">
        <v>384</v>
      </c>
      <c r="T686" s="167">
        <v>1</v>
      </c>
      <c r="U686" s="7" t="s">
        <v>169</v>
      </c>
      <c r="V686" s="7" t="s">
        <v>169</v>
      </c>
      <c r="W686" s="47" t="str">
        <f t="shared" ca="1" si="26"/>
        <v/>
      </c>
      <c r="X686" s="47">
        <f ca="1">VLOOKUP($C686,OFFSET(quests!$A$1,0,0,COUNTA(quests!$A:$A),MATCH(X$2,quests!$1:$1,0)-MATCH($C$2,quests!$1:$1,0)+1),MATCH(X$2,quests!$1:$1,0)-MATCH($C$2,quests!$1:$1,0)+1,FALSE)</f>
        <v>0</v>
      </c>
      <c r="Y686" s="47">
        <f ca="1">VLOOKUP($C686,OFFSET(quests!$A$1,0,0,COUNTA(quests!$A:$A),MATCH(Y$2,quests!$1:$1,0)-MATCH($C$2,quests!$1:$1,0)+1),MATCH(Y$2,quests!$1:$1,0)-MATCH($C$2,quests!$1:$1,0)+1,FALSE)</f>
        <v>0</v>
      </c>
      <c r="Z686" s="47">
        <f ca="1">VLOOKUP($C686,OFFSET(quests!$A$1,0,0,COUNTA(quests!$A:$A),MATCH(Z$2,quests!$1:$1,0)-MATCH($C$2,quests!$1:$1,0)+1),MATCH(Z$2,quests!$1:$1,0)-MATCH($C$2,quests!$1:$1,0)+1,FALSE)</f>
        <v>0</v>
      </c>
      <c r="AA686" s="47">
        <f ca="1">VLOOKUP($C686,OFFSET(quests!$A$1,0,0,COUNTA(quests!$A:$A),MATCH(AA$2,quests!$1:$1,0)-MATCH($C$2,quests!$1:$1,0)+1),MATCH(AA$2,quests!$1:$1,0)-MATCH($C$2,quests!$1:$1,0)+1,FALSE)</f>
        <v>0</v>
      </c>
      <c r="AB686" s="7" t="s">
        <v>56</v>
      </c>
      <c r="AC686" s="7">
        <v>933</v>
      </c>
      <c r="AD686" s="7">
        <v>6</v>
      </c>
      <c r="AE686" s="7" t="s">
        <v>519</v>
      </c>
      <c r="AF686" s="7">
        <v>11</v>
      </c>
      <c r="AG686" s="7">
        <v>0</v>
      </c>
      <c r="AH686" s="7">
        <v>0</v>
      </c>
      <c r="AI686" s="7">
        <v>-1</v>
      </c>
      <c r="AJ686" s="7">
        <v>-1</v>
      </c>
      <c r="AK686" s="7" t="s">
        <v>1065</v>
      </c>
      <c r="AL686" s="12" t="s">
        <v>1695</v>
      </c>
      <c r="AM686" s="12" t="s">
        <v>2072</v>
      </c>
    </row>
    <row r="687" spans="1:39" ht="21" customHeight="1" x14ac:dyDescent="0.15">
      <c r="A687" s="42" t="str">
        <f t="shared" si="25"/>
        <v>39005_1</v>
      </c>
      <c r="B687" s="23">
        <v>1</v>
      </c>
      <c r="C687" s="31">
        <v>39005</v>
      </c>
      <c r="D687" s="47" t="str">
        <f ca="1">VLOOKUP($C687,OFFSET(quests!$A$1,0,0,COUNTA(quests!$A:$A),MATCH(D$1,quests!$1:$1,0)-MATCH($C$2,quests!$1:$1,0)+1),MATCH(D$1,quests!$1:$1,0)-MATCH($C$2,quests!$1:$1,0)+1,FALSE)</f>
        <v xml:space="preserve">ポ </v>
      </c>
      <c r="E687" s="48" t="str">
        <f ca="1">VLOOKUP($C687,OFFSET(quests!$A$1,0,0,COUNTA(quests!$A:$A),MATCH(E$2,quests!$1:$1,0)-MATCH($C$2,quests!$1:$1,0)+1),MATCH(E$2,quests!$1:$1,0)-MATCH($C$2,quests!$1:$1,0)+1,FALSE)</f>
        <v>コラボクエスト</v>
      </c>
      <c r="F687" s="7">
        <v>1</v>
      </c>
      <c r="G687" s="7" t="s">
        <v>382</v>
      </c>
      <c r="H687" s="12" t="s">
        <v>1301</v>
      </c>
      <c r="I687" s="12" t="s">
        <v>857</v>
      </c>
      <c r="J687" s="12">
        <v>8029</v>
      </c>
      <c r="K687" s="192">
        <v>8</v>
      </c>
      <c r="L687" s="167">
        <v>384</v>
      </c>
      <c r="M687" s="167">
        <v>1</v>
      </c>
      <c r="N687" s="167">
        <v>1</v>
      </c>
      <c r="O687" s="167">
        <v>1</v>
      </c>
      <c r="P687" s="167">
        <v>1</v>
      </c>
      <c r="Q687" s="167">
        <v>1</v>
      </c>
      <c r="R687" s="167">
        <v>3</v>
      </c>
      <c r="S687" s="167" t="s">
        <v>817</v>
      </c>
      <c r="T687" s="167">
        <v>0</v>
      </c>
      <c r="U687" s="7" t="s">
        <v>169</v>
      </c>
      <c r="V687" s="7" t="s">
        <v>169</v>
      </c>
      <c r="W687" s="47" t="str">
        <f t="shared" ca="1" si="26"/>
        <v/>
      </c>
      <c r="X687" s="47">
        <f ca="1">VLOOKUP($C687,OFFSET(quests!$A$1,0,0,COUNTA(quests!$A:$A),MATCH(X$2,quests!$1:$1,0)-MATCH($C$2,quests!$1:$1,0)+1),MATCH(X$2,quests!$1:$1,0)-MATCH($C$2,quests!$1:$1,0)+1,FALSE)</f>
        <v>0</v>
      </c>
      <c r="Y687" s="47">
        <f ca="1">VLOOKUP($C687,OFFSET(quests!$A$1,0,0,COUNTA(quests!$A:$A),MATCH(Y$2,quests!$1:$1,0)-MATCH($C$2,quests!$1:$1,0)+1),MATCH(Y$2,quests!$1:$1,0)-MATCH($C$2,quests!$1:$1,0)+1,FALSE)</f>
        <v>0</v>
      </c>
      <c r="Z687" s="47">
        <f ca="1">VLOOKUP($C687,OFFSET(quests!$A$1,0,0,COUNTA(quests!$A:$A),MATCH(Z$2,quests!$1:$1,0)-MATCH($C$2,quests!$1:$1,0)+1),MATCH(Z$2,quests!$1:$1,0)-MATCH($C$2,quests!$1:$1,0)+1,FALSE)</f>
        <v>0</v>
      </c>
      <c r="AA687" s="47">
        <f ca="1">VLOOKUP($C687,OFFSET(quests!$A$1,0,0,COUNTA(quests!$A:$A),MATCH(AA$2,quests!$1:$1,0)-MATCH($C$2,quests!$1:$1,0)+1),MATCH(AA$2,quests!$1:$1,0)-MATCH($C$2,quests!$1:$1,0)+1,FALSE)</f>
        <v>0</v>
      </c>
      <c r="AB687" s="7" t="s">
        <v>56</v>
      </c>
      <c r="AC687" s="7">
        <v>909</v>
      </c>
      <c r="AD687" s="7">
        <v>6</v>
      </c>
      <c r="AE687" s="7" t="s">
        <v>519</v>
      </c>
      <c r="AF687" s="7">
        <v>3900</v>
      </c>
      <c r="AG687" s="7">
        <v>3900</v>
      </c>
      <c r="AH687" s="7">
        <v>0</v>
      </c>
      <c r="AI687" s="7">
        <v>-1</v>
      </c>
      <c r="AJ687" s="7">
        <v>-1</v>
      </c>
      <c r="AK687" s="7" t="s">
        <v>1064</v>
      </c>
      <c r="AL687" s="12" t="s">
        <v>1695</v>
      </c>
      <c r="AM687" s="12" t="s">
        <v>2072</v>
      </c>
    </row>
    <row r="688" spans="1:39" ht="21" customHeight="1" x14ac:dyDescent="0.15">
      <c r="A688" s="42" t="str">
        <f t="shared" si="25"/>
        <v>39005_2</v>
      </c>
      <c r="B688" s="23">
        <v>1</v>
      </c>
      <c r="C688" s="31">
        <v>39005</v>
      </c>
      <c r="D688" s="47" t="str">
        <f ca="1">VLOOKUP($C688,OFFSET(quests!$A$1,0,0,COUNTA(quests!$A:$A),MATCH(D$1,quests!$1:$1,0)-MATCH($C$2,quests!$1:$1,0)+1),MATCH(D$1,quests!$1:$1,0)-MATCH($C$2,quests!$1:$1,0)+1,FALSE)</f>
        <v xml:space="preserve">ポ </v>
      </c>
      <c r="E688" s="48" t="str">
        <f ca="1">VLOOKUP($C688,OFFSET(quests!$A$1,0,0,COUNTA(quests!$A:$A),MATCH(E$2,quests!$1:$1,0)-MATCH($C$2,quests!$1:$1,0)+1),MATCH(E$2,quests!$1:$1,0)-MATCH($C$2,quests!$1:$1,0)+1,FALSE)</f>
        <v>コラボクエスト</v>
      </c>
      <c r="F688" s="7">
        <v>2</v>
      </c>
      <c r="G688" s="7" t="s">
        <v>382</v>
      </c>
      <c r="H688" s="12" t="s">
        <v>1302</v>
      </c>
      <c r="I688" s="12" t="s">
        <v>831</v>
      </c>
      <c r="J688" s="12">
        <v>8029</v>
      </c>
      <c r="K688" s="194">
        <v>15</v>
      </c>
      <c r="L688" s="167">
        <v>1200</v>
      </c>
      <c r="M688" s="167">
        <v>1</v>
      </c>
      <c r="N688" s="167">
        <v>1</v>
      </c>
      <c r="O688" s="167">
        <v>1</v>
      </c>
      <c r="P688" s="167">
        <v>1</v>
      </c>
      <c r="Q688" s="167">
        <v>1</v>
      </c>
      <c r="R688" s="167">
        <v>3</v>
      </c>
      <c r="S688" s="167" t="s">
        <v>79</v>
      </c>
      <c r="T688" s="167">
        <v>0</v>
      </c>
      <c r="U688" s="7" t="s">
        <v>169</v>
      </c>
      <c r="V688" s="7" t="s">
        <v>169</v>
      </c>
      <c r="W688" s="47" t="str">
        <f t="shared" ca="1" si="26"/>
        <v/>
      </c>
      <c r="X688" s="47">
        <f ca="1">VLOOKUP($C688,OFFSET(quests!$A$1,0,0,COUNTA(quests!$A:$A),MATCH(X$2,quests!$1:$1,0)-MATCH($C$2,quests!$1:$1,0)+1),MATCH(X$2,quests!$1:$1,0)-MATCH($C$2,quests!$1:$1,0)+1,FALSE)</f>
        <v>0</v>
      </c>
      <c r="Y688" s="47">
        <f ca="1">VLOOKUP($C688,OFFSET(quests!$A$1,0,0,COUNTA(quests!$A:$A),MATCH(Y$2,quests!$1:$1,0)-MATCH($C$2,quests!$1:$1,0)+1),MATCH(Y$2,quests!$1:$1,0)-MATCH($C$2,quests!$1:$1,0)+1,FALSE)</f>
        <v>0</v>
      </c>
      <c r="Z688" s="47">
        <f ca="1">VLOOKUP($C688,OFFSET(quests!$A$1,0,0,COUNTA(quests!$A:$A),MATCH(Z$2,quests!$1:$1,0)-MATCH($C$2,quests!$1:$1,0)+1),MATCH(Z$2,quests!$1:$1,0)-MATCH($C$2,quests!$1:$1,0)+1,FALSE)</f>
        <v>0</v>
      </c>
      <c r="AA688" s="47">
        <f ca="1">VLOOKUP($C688,OFFSET(quests!$A$1,0,0,COUNTA(quests!$A:$A),MATCH(AA$2,quests!$1:$1,0)-MATCH($C$2,quests!$1:$1,0)+1),MATCH(AA$2,quests!$1:$1,0)-MATCH($C$2,quests!$1:$1,0)+1,FALSE)</f>
        <v>0</v>
      </c>
      <c r="AB688" s="7" t="s">
        <v>56</v>
      </c>
      <c r="AC688" s="7">
        <v>909</v>
      </c>
      <c r="AD688" s="7">
        <v>6</v>
      </c>
      <c r="AE688" s="7" t="s">
        <v>519</v>
      </c>
      <c r="AF688" s="7">
        <v>3900</v>
      </c>
      <c r="AG688" s="7">
        <v>3900</v>
      </c>
      <c r="AH688" s="7">
        <v>0</v>
      </c>
      <c r="AI688" s="7">
        <v>-1</v>
      </c>
      <c r="AJ688" s="7">
        <v>-1</v>
      </c>
      <c r="AK688" s="7" t="s">
        <v>1064</v>
      </c>
      <c r="AL688" s="12" t="s">
        <v>1695</v>
      </c>
      <c r="AM688" s="12" t="s">
        <v>2072</v>
      </c>
    </row>
    <row r="689" spans="1:39" ht="21" customHeight="1" x14ac:dyDescent="0.15">
      <c r="A689" s="42" t="str">
        <f t="shared" si="25"/>
        <v>39005_3</v>
      </c>
      <c r="B689" s="23">
        <v>1</v>
      </c>
      <c r="C689" s="31">
        <v>39005</v>
      </c>
      <c r="D689" s="47" t="str">
        <f ca="1">VLOOKUP($C689,OFFSET(quests!$A$1,0,0,COUNTA(quests!$A:$A),MATCH(D$1,quests!$1:$1,0)-MATCH($C$2,quests!$1:$1,0)+1),MATCH(D$1,quests!$1:$1,0)-MATCH($C$2,quests!$1:$1,0)+1,FALSE)</f>
        <v xml:space="preserve">ポ </v>
      </c>
      <c r="E689" s="48" t="str">
        <f ca="1">VLOOKUP($C689,OFFSET(quests!$A$1,0,0,COUNTA(quests!$A:$A),MATCH(E$2,quests!$1:$1,0)-MATCH($C$2,quests!$1:$1,0)+1),MATCH(E$2,quests!$1:$1,0)-MATCH($C$2,quests!$1:$1,0)+1,FALSE)</f>
        <v>コラボクエスト</v>
      </c>
      <c r="F689" s="7">
        <v>3</v>
      </c>
      <c r="G689" s="7" t="s">
        <v>382</v>
      </c>
      <c r="H689" s="12" t="s">
        <v>1303</v>
      </c>
      <c r="I689" s="12" t="s">
        <v>830</v>
      </c>
      <c r="J689" s="12">
        <v>8029</v>
      </c>
      <c r="K689" s="194">
        <v>20</v>
      </c>
      <c r="L689" s="167">
        <v>2000</v>
      </c>
      <c r="M689" s="167">
        <v>1</v>
      </c>
      <c r="N689" s="167">
        <v>1</v>
      </c>
      <c r="O689" s="167">
        <v>1</v>
      </c>
      <c r="P689" s="167">
        <v>1</v>
      </c>
      <c r="Q689" s="167">
        <v>1</v>
      </c>
      <c r="R689" s="167">
        <v>3</v>
      </c>
      <c r="S689" s="167" t="s">
        <v>79</v>
      </c>
      <c r="T689" s="167">
        <v>0</v>
      </c>
      <c r="U689" s="7" t="s">
        <v>169</v>
      </c>
      <c r="V689" s="7" t="s">
        <v>169</v>
      </c>
      <c r="W689" s="47" t="str">
        <f t="shared" ca="1" si="26"/>
        <v/>
      </c>
      <c r="X689" s="47">
        <f ca="1">VLOOKUP($C689,OFFSET(quests!$A$1,0,0,COUNTA(quests!$A:$A),MATCH(X$2,quests!$1:$1,0)-MATCH($C$2,quests!$1:$1,0)+1),MATCH(X$2,quests!$1:$1,0)-MATCH($C$2,quests!$1:$1,0)+1,FALSE)</f>
        <v>0</v>
      </c>
      <c r="Y689" s="47">
        <f ca="1">VLOOKUP($C689,OFFSET(quests!$A$1,0,0,COUNTA(quests!$A:$A),MATCH(Y$2,quests!$1:$1,0)-MATCH($C$2,quests!$1:$1,0)+1),MATCH(Y$2,quests!$1:$1,0)-MATCH($C$2,quests!$1:$1,0)+1,FALSE)</f>
        <v>0</v>
      </c>
      <c r="Z689" s="47">
        <f ca="1">VLOOKUP($C689,OFFSET(quests!$A$1,0,0,COUNTA(quests!$A:$A),MATCH(Z$2,quests!$1:$1,0)-MATCH($C$2,quests!$1:$1,0)+1),MATCH(Z$2,quests!$1:$1,0)-MATCH($C$2,quests!$1:$1,0)+1,FALSE)</f>
        <v>0</v>
      </c>
      <c r="AA689" s="47">
        <f ca="1">VLOOKUP($C689,OFFSET(quests!$A$1,0,0,COUNTA(quests!$A:$A),MATCH(AA$2,quests!$1:$1,0)-MATCH($C$2,quests!$1:$1,0)+1),MATCH(AA$2,quests!$1:$1,0)-MATCH($C$2,quests!$1:$1,0)+1,FALSE)</f>
        <v>0</v>
      </c>
      <c r="AB689" s="7" t="s">
        <v>56</v>
      </c>
      <c r="AC689" s="7">
        <v>909</v>
      </c>
      <c r="AD689" s="7">
        <v>6</v>
      </c>
      <c r="AE689" s="7" t="s">
        <v>519</v>
      </c>
      <c r="AF689" s="7">
        <v>3900</v>
      </c>
      <c r="AG689" s="7">
        <v>3900</v>
      </c>
      <c r="AH689" s="7">
        <v>0</v>
      </c>
      <c r="AI689" s="7">
        <v>-1</v>
      </c>
      <c r="AJ689" s="7">
        <v>-1</v>
      </c>
      <c r="AK689" s="7" t="s">
        <v>1064</v>
      </c>
      <c r="AL689" s="12" t="s">
        <v>1695</v>
      </c>
      <c r="AM689" s="12" t="s">
        <v>2072</v>
      </c>
    </row>
    <row r="690" spans="1:39" ht="21" customHeight="1" x14ac:dyDescent="0.15">
      <c r="A690" s="42" t="str">
        <f t="shared" si="25"/>
        <v>39005_4</v>
      </c>
      <c r="B690" s="23">
        <v>1</v>
      </c>
      <c r="C690" s="31">
        <v>39005</v>
      </c>
      <c r="D690" s="47" t="str">
        <f ca="1">VLOOKUP($C690,OFFSET(quests!$A$1,0,0,COUNTA(quests!$A:$A),MATCH(D$1,quests!$1:$1,0)-MATCH($C$2,quests!$1:$1,0)+1),MATCH(D$1,quests!$1:$1,0)-MATCH($C$2,quests!$1:$1,0)+1,FALSE)</f>
        <v xml:space="preserve">ポ </v>
      </c>
      <c r="E690" s="48" t="str">
        <f ca="1">VLOOKUP($C690,OFFSET(quests!$A$1,0,0,COUNTA(quests!$A:$A),MATCH(E$2,quests!$1:$1,0)-MATCH($C$2,quests!$1:$1,0)+1),MATCH(E$2,quests!$1:$1,0)-MATCH($C$2,quests!$1:$1,0)+1,FALSE)</f>
        <v>コラボクエスト</v>
      </c>
      <c r="F690" s="7">
        <v>4</v>
      </c>
      <c r="G690" s="7" t="s">
        <v>382</v>
      </c>
      <c r="H690" s="12" t="s">
        <v>1304</v>
      </c>
      <c r="I690" s="12" t="s">
        <v>832</v>
      </c>
      <c r="J690" s="12">
        <v>8029</v>
      </c>
      <c r="K690" s="192">
        <v>30</v>
      </c>
      <c r="L690" s="193">
        <v>3300</v>
      </c>
      <c r="M690" s="167">
        <v>1</v>
      </c>
      <c r="N690" s="167">
        <v>1</v>
      </c>
      <c r="O690" s="167">
        <v>1</v>
      </c>
      <c r="P690" s="167">
        <v>1</v>
      </c>
      <c r="Q690" s="167">
        <v>1</v>
      </c>
      <c r="R690" s="167">
        <v>3</v>
      </c>
      <c r="S690" s="167" t="s">
        <v>817</v>
      </c>
      <c r="T690" s="167">
        <v>0</v>
      </c>
      <c r="U690" s="7" t="s">
        <v>169</v>
      </c>
      <c r="V690" s="7" t="s">
        <v>169</v>
      </c>
      <c r="W690" s="47" t="str">
        <f t="shared" ca="1" si="26"/>
        <v/>
      </c>
      <c r="X690" s="47">
        <f ca="1">VLOOKUP($C690,OFFSET(quests!$A$1,0,0,COUNTA(quests!$A:$A),MATCH(X$2,quests!$1:$1,0)-MATCH($C$2,quests!$1:$1,0)+1),MATCH(X$2,quests!$1:$1,0)-MATCH($C$2,quests!$1:$1,0)+1,FALSE)</f>
        <v>0</v>
      </c>
      <c r="Y690" s="47">
        <f ca="1">VLOOKUP($C690,OFFSET(quests!$A$1,0,0,COUNTA(quests!$A:$A),MATCH(Y$2,quests!$1:$1,0)-MATCH($C$2,quests!$1:$1,0)+1),MATCH(Y$2,quests!$1:$1,0)-MATCH($C$2,quests!$1:$1,0)+1,FALSE)</f>
        <v>0</v>
      </c>
      <c r="Z690" s="47">
        <f ca="1">VLOOKUP($C690,OFFSET(quests!$A$1,0,0,COUNTA(quests!$A:$A),MATCH(Z$2,quests!$1:$1,0)-MATCH($C$2,quests!$1:$1,0)+1),MATCH(Z$2,quests!$1:$1,0)-MATCH($C$2,quests!$1:$1,0)+1,FALSE)</f>
        <v>0</v>
      </c>
      <c r="AA690" s="47">
        <f ca="1">VLOOKUP($C690,OFFSET(quests!$A$1,0,0,COUNTA(quests!$A:$A),MATCH(AA$2,quests!$1:$1,0)-MATCH($C$2,quests!$1:$1,0)+1),MATCH(AA$2,quests!$1:$1,0)-MATCH($C$2,quests!$1:$1,0)+1,FALSE)</f>
        <v>0</v>
      </c>
      <c r="AB690" s="7" t="s">
        <v>56</v>
      </c>
      <c r="AC690" s="7">
        <v>909</v>
      </c>
      <c r="AD690" s="7">
        <v>6</v>
      </c>
      <c r="AE690" s="7" t="s">
        <v>519</v>
      </c>
      <c r="AF690" s="7">
        <v>3900</v>
      </c>
      <c r="AG690" s="7">
        <v>3900</v>
      </c>
      <c r="AH690" s="7">
        <v>0</v>
      </c>
      <c r="AI690" s="7">
        <v>-1</v>
      </c>
      <c r="AJ690" s="7">
        <v>-1</v>
      </c>
      <c r="AK690" s="7" t="s">
        <v>1065</v>
      </c>
      <c r="AL690" s="12" t="s">
        <v>1695</v>
      </c>
      <c r="AM690" s="12" t="s">
        <v>2072</v>
      </c>
    </row>
    <row r="691" spans="1:39" ht="21" customHeight="1" x14ac:dyDescent="0.15">
      <c r="A691" s="42" t="str">
        <f t="shared" si="25"/>
        <v>39005_5</v>
      </c>
      <c r="B691" s="23">
        <v>1</v>
      </c>
      <c r="C691" s="31">
        <v>39005</v>
      </c>
      <c r="D691" s="47" t="str">
        <f ca="1">VLOOKUP($C691,OFFSET(quests!$A$1,0,0,COUNTA(quests!$A:$A),MATCH(D$1,quests!$1:$1,0)-MATCH($C$2,quests!$1:$1,0)+1),MATCH(D$1,quests!$1:$1,0)-MATCH($C$2,quests!$1:$1,0)+1,FALSE)</f>
        <v xml:space="preserve">ポ </v>
      </c>
      <c r="E691" s="48" t="str">
        <f ca="1">VLOOKUP($C691,OFFSET(quests!$A$1,0,0,COUNTA(quests!$A:$A),MATCH(E$2,quests!$1:$1,0)-MATCH($C$2,quests!$1:$1,0)+1),MATCH(E$2,quests!$1:$1,0)-MATCH($C$2,quests!$1:$1,0)+1,FALSE)</f>
        <v>コラボクエスト</v>
      </c>
      <c r="F691" s="7">
        <v>5</v>
      </c>
      <c r="G691" s="7" t="s">
        <v>382</v>
      </c>
      <c r="H691" s="12" t="s">
        <v>1305</v>
      </c>
      <c r="I691" s="12" t="s">
        <v>534</v>
      </c>
      <c r="J691" s="12">
        <v>8030</v>
      </c>
      <c r="K691" s="194">
        <v>35</v>
      </c>
      <c r="L691" s="195">
        <v>4200</v>
      </c>
      <c r="M691" s="167">
        <v>1</v>
      </c>
      <c r="N691" s="167">
        <v>1</v>
      </c>
      <c r="O691" s="167">
        <v>1</v>
      </c>
      <c r="P691" s="167">
        <v>1</v>
      </c>
      <c r="Q691" s="167">
        <v>1</v>
      </c>
      <c r="R691" s="167">
        <v>3</v>
      </c>
      <c r="S691" s="167" t="s">
        <v>406</v>
      </c>
      <c r="T691" s="167">
        <v>1</v>
      </c>
      <c r="U691" s="7" t="s">
        <v>169</v>
      </c>
      <c r="V691" s="7" t="s">
        <v>169</v>
      </c>
      <c r="W691" s="47" t="str">
        <f t="shared" ca="1" si="26"/>
        <v/>
      </c>
      <c r="X691" s="47">
        <f ca="1">VLOOKUP($C691,OFFSET(quests!$A$1,0,0,COUNTA(quests!$A:$A),MATCH(X$2,quests!$1:$1,0)-MATCH($C$2,quests!$1:$1,0)+1),MATCH(X$2,quests!$1:$1,0)-MATCH($C$2,quests!$1:$1,0)+1,FALSE)</f>
        <v>0</v>
      </c>
      <c r="Y691" s="47">
        <f ca="1">VLOOKUP($C691,OFFSET(quests!$A$1,0,0,COUNTA(quests!$A:$A),MATCH(Y$2,quests!$1:$1,0)-MATCH($C$2,quests!$1:$1,0)+1),MATCH(Y$2,quests!$1:$1,0)-MATCH($C$2,quests!$1:$1,0)+1,FALSE)</f>
        <v>0</v>
      </c>
      <c r="Z691" s="47">
        <f ca="1">VLOOKUP($C691,OFFSET(quests!$A$1,0,0,COUNTA(quests!$A:$A),MATCH(Z$2,quests!$1:$1,0)-MATCH($C$2,quests!$1:$1,0)+1),MATCH(Z$2,quests!$1:$1,0)-MATCH($C$2,quests!$1:$1,0)+1,FALSE)</f>
        <v>0</v>
      </c>
      <c r="AA691" s="47">
        <f ca="1">VLOOKUP($C691,OFFSET(quests!$A$1,0,0,COUNTA(quests!$A:$A),MATCH(AA$2,quests!$1:$1,0)-MATCH($C$2,quests!$1:$1,0)+1),MATCH(AA$2,quests!$1:$1,0)-MATCH($C$2,quests!$1:$1,0)+1,FALSE)</f>
        <v>0</v>
      </c>
      <c r="AB691" s="7" t="s">
        <v>56</v>
      </c>
      <c r="AC691" s="7">
        <v>909</v>
      </c>
      <c r="AD691" s="7">
        <v>6</v>
      </c>
      <c r="AE691" s="7" t="s">
        <v>519</v>
      </c>
      <c r="AF691" s="7">
        <v>3900</v>
      </c>
      <c r="AG691" s="7">
        <v>3900</v>
      </c>
      <c r="AH691" s="7">
        <v>0</v>
      </c>
      <c r="AI691" s="7">
        <v>-1</v>
      </c>
      <c r="AJ691" s="7">
        <v>-1</v>
      </c>
      <c r="AK691" s="7" t="s">
        <v>1065</v>
      </c>
      <c r="AL691" s="12" t="s">
        <v>1695</v>
      </c>
      <c r="AM691" s="12" t="s">
        <v>2072</v>
      </c>
    </row>
    <row r="692" spans="1:39" ht="21" customHeight="1" x14ac:dyDescent="0.15">
      <c r="A692" s="42" t="str">
        <f t="shared" si="25"/>
        <v>39006_1</v>
      </c>
      <c r="B692" s="23">
        <v>3</v>
      </c>
      <c r="C692" s="31">
        <v>39006</v>
      </c>
      <c r="D692" s="47" t="str">
        <f ca="1">VLOOKUP($C692,OFFSET(quests!$A$1,0,0,COUNTA(quests!$A:$A),MATCH(D$1,quests!$1:$1,0)-MATCH($C$2,quests!$1:$1,0)+1),MATCH(D$1,quests!$1:$1,0)-MATCH($C$2,quests!$1:$1,0)+1,FALSE)</f>
        <v>シガンシナ区攻防戦</v>
      </c>
      <c r="E692" s="48" t="str">
        <f ca="1">VLOOKUP($C692,OFFSET(quests!$A$1,0,0,COUNTA(quests!$A:$A),MATCH(E$2,quests!$1:$1,0)-MATCH($C$2,quests!$1:$1,0)+1),MATCH(E$2,quests!$1:$1,0)-MATCH($C$2,quests!$1:$1,0)+1,FALSE)</f>
        <v>コラボクエスト</v>
      </c>
      <c r="F692" s="7">
        <v>1</v>
      </c>
      <c r="G692" s="7" t="s">
        <v>382</v>
      </c>
      <c r="H692" s="12" t="s">
        <v>1498</v>
      </c>
      <c r="I692" s="12" t="s">
        <v>857</v>
      </c>
      <c r="J692" s="12">
        <v>0</v>
      </c>
      <c r="K692" s="192">
        <v>8</v>
      </c>
      <c r="L692" s="167">
        <v>384</v>
      </c>
      <c r="M692" s="167">
        <v>1</v>
      </c>
      <c r="N692" s="167">
        <v>1</v>
      </c>
      <c r="O692" s="167">
        <v>1</v>
      </c>
      <c r="P692" s="167">
        <v>1</v>
      </c>
      <c r="Q692" s="167">
        <v>1</v>
      </c>
      <c r="R692" s="167">
        <v>3</v>
      </c>
      <c r="S692" s="167" t="s">
        <v>817</v>
      </c>
      <c r="T692" s="167">
        <v>0</v>
      </c>
      <c r="U692" s="7" t="s">
        <v>169</v>
      </c>
      <c r="V692" s="7" t="s">
        <v>169</v>
      </c>
      <c r="W692" s="47" t="str">
        <f t="shared" ca="1" si="26"/>
        <v/>
      </c>
      <c r="X692" s="47">
        <f ca="1">VLOOKUP($C692,OFFSET(quests!$A$1,0,0,COUNTA(quests!$A:$A),MATCH(X$2,quests!$1:$1,0)-MATCH($C$2,quests!$1:$1,0)+1),MATCH(X$2,quests!$1:$1,0)-MATCH($C$2,quests!$1:$1,0)+1,FALSE)</f>
        <v>0</v>
      </c>
      <c r="Y692" s="47">
        <f ca="1">VLOOKUP($C692,OFFSET(quests!$A$1,0,0,COUNTA(quests!$A:$A),MATCH(Y$2,quests!$1:$1,0)-MATCH($C$2,quests!$1:$1,0)+1),MATCH(Y$2,quests!$1:$1,0)-MATCH($C$2,quests!$1:$1,0)+1,FALSE)</f>
        <v>0</v>
      </c>
      <c r="Z692" s="47">
        <f ca="1">VLOOKUP($C692,OFFSET(quests!$A$1,0,0,COUNTA(quests!$A:$A),MATCH(Z$2,quests!$1:$1,0)-MATCH($C$2,quests!$1:$1,0)+1),MATCH(Z$2,quests!$1:$1,0)-MATCH($C$2,quests!$1:$1,0)+1,FALSE)</f>
        <v>0</v>
      </c>
      <c r="AA692" s="47">
        <f ca="1">VLOOKUP($C692,OFFSET(quests!$A$1,0,0,COUNTA(quests!$A:$A),MATCH(AA$2,quests!$1:$1,0)-MATCH($C$2,quests!$1:$1,0)+1),MATCH(AA$2,quests!$1:$1,0)-MATCH($C$2,quests!$1:$1,0)+1,FALSE)</f>
        <v>0</v>
      </c>
      <c r="AB692" s="7" t="s">
        <v>56</v>
      </c>
      <c r="AC692" s="7">
        <v>938</v>
      </c>
      <c r="AD692" s="7">
        <v>6</v>
      </c>
      <c r="AE692" s="7" t="s">
        <v>519</v>
      </c>
      <c r="AF692" s="7">
        <v>11</v>
      </c>
      <c r="AG692" s="7">
        <v>0</v>
      </c>
      <c r="AH692" s="7">
        <v>0</v>
      </c>
      <c r="AI692" s="7">
        <v>-1</v>
      </c>
      <c r="AJ692" s="7">
        <v>-1</v>
      </c>
      <c r="AK692" s="7" t="s">
        <v>1064</v>
      </c>
      <c r="AL692" s="12" t="s">
        <v>1695</v>
      </c>
      <c r="AM692" s="12" t="s">
        <v>2072</v>
      </c>
    </row>
    <row r="693" spans="1:39" ht="21" customHeight="1" x14ac:dyDescent="0.15">
      <c r="A693" s="42" t="str">
        <f t="shared" si="25"/>
        <v>39006_2</v>
      </c>
      <c r="B693" s="23">
        <v>3</v>
      </c>
      <c r="C693" s="31">
        <v>39006</v>
      </c>
      <c r="D693" s="47" t="str">
        <f ca="1">VLOOKUP($C693,OFFSET(quests!$A$1,0,0,COUNTA(quests!$A:$A),MATCH(D$1,quests!$1:$1,0)-MATCH($C$2,quests!$1:$1,0)+1),MATCH(D$1,quests!$1:$1,0)-MATCH($C$2,quests!$1:$1,0)+1,FALSE)</f>
        <v>シガンシナ区攻防戦</v>
      </c>
      <c r="E693" s="48" t="str">
        <f ca="1">VLOOKUP($C693,OFFSET(quests!$A$1,0,0,COUNTA(quests!$A:$A),MATCH(E$2,quests!$1:$1,0)-MATCH($C$2,quests!$1:$1,0)+1),MATCH(E$2,quests!$1:$1,0)-MATCH($C$2,quests!$1:$1,0)+1,FALSE)</f>
        <v>コラボクエスト</v>
      </c>
      <c r="F693" s="7">
        <v>2</v>
      </c>
      <c r="G693" s="7" t="s">
        <v>382</v>
      </c>
      <c r="H693" s="12" t="s">
        <v>1499</v>
      </c>
      <c r="I693" s="12" t="s">
        <v>831</v>
      </c>
      <c r="J693" s="12">
        <v>0</v>
      </c>
      <c r="K693" s="194">
        <v>15</v>
      </c>
      <c r="L693" s="167">
        <v>1200</v>
      </c>
      <c r="M693" s="167">
        <v>1</v>
      </c>
      <c r="N693" s="167">
        <v>1</v>
      </c>
      <c r="O693" s="167">
        <v>1</v>
      </c>
      <c r="P693" s="167">
        <v>1</v>
      </c>
      <c r="Q693" s="167">
        <v>1</v>
      </c>
      <c r="R693" s="167">
        <v>3</v>
      </c>
      <c r="S693" s="167" t="s">
        <v>817</v>
      </c>
      <c r="T693" s="167">
        <v>0</v>
      </c>
      <c r="U693" s="7" t="s">
        <v>169</v>
      </c>
      <c r="V693" s="7" t="s">
        <v>169</v>
      </c>
      <c r="W693" s="47" t="str">
        <f t="shared" ca="1" si="26"/>
        <v/>
      </c>
      <c r="X693" s="47">
        <f ca="1">VLOOKUP($C693,OFFSET(quests!$A$1,0,0,COUNTA(quests!$A:$A),MATCH(X$2,quests!$1:$1,0)-MATCH($C$2,quests!$1:$1,0)+1),MATCH(X$2,quests!$1:$1,0)-MATCH($C$2,quests!$1:$1,0)+1,FALSE)</f>
        <v>0</v>
      </c>
      <c r="Y693" s="47">
        <f ca="1">VLOOKUP($C693,OFFSET(quests!$A$1,0,0,COUNTA(quests!$A:$A),MATCH(Y$2,quests!$1:$1,0)-MATCH($C$2,quests!$1:$1,0)+1),MATCH(Y$2,quests!$1:$1,0)-MATCH($C$2,quests!$1:$1,0)+1,FALSE)</f>
        <v>0</v>
      </c>
      <c r="Z693" s="47">
        <f ca="1">VLOOKUP($C693,OFFSET(quests!$A$1,0,0,COUNTA(quests!$A:$A),MATCH(Z$2,quests!$1:$1,0)-MATCH($C$2,quests!$1:$1,0)+1),MATCH(Z$2,quests!$1:$1,0)-MATCH($C$2,quests!$1:$1,0)+1,FALSE)</f>
        <v>0</v>
      </c>
      <c r="AA693" s="47">
        <f ca="1">VLOOKUP($C693,OFFSET(quests!$A$1,0,0,COUNTA(quests!$A:$A),MATCH(AA$2,quests!$1:$1,0)-MATCH($C$2,quests!$1:$1,0)+1),MATCH(AA$2,quests!$1:$1,0)-MATCH($C$2,quests!$1:$1,0)+1,FALSE)</f>
        <v>0</v>
      </c>
      <c r="AB693" s="7" t="s">
        <v>56</v>
      </c>
      <c r="AC693" s="7">
        <v>938</v>
      </c>
      <c r="AD693" s="7">
        <v>6</v>
      </c>
      <c r="AE693" s="7" t="s">
        <v>519</v>
      </c>
      <c r="AF693" s="7">
        <v>11</v>
      </c>
      <c r="AG693" s="7">
        <v>0</v>
      </c>
      <c r="AH693" s="7">
        <v>0</v>
      </c>
      <c r="AI693" s="7">
        <v>-1</v>
      </c>
      <c r="AJ693" s="7">
        <v>-1</v>
      </c>
      <c r="AK693" s="7" t="s">
        <v>1064</v>
      </c>
      <c r="AL693" s="12" t="s">
        <v>1695</v>
      </c>
      <c r="AM693" s="12" t="s">
        <v>2072</v>
      </c>
    </row>
    <row r="694" spans="1:39" ht="21" customHeight="1" x14ac:dyDescent="0.15">
      <c r="A694" s="42" t="str">
        <f t="shared" si="25"/>
        <v>39006_3</v>
      </c>
      <c r="B694" s="23">
        <v>3</v>
      </c>
      <c r="C694" s="31">
        <v>39006</v>
      </c>
      <c r="D694" s="47" t="str">
        <f ca="1">VLOOKUP($C694,OFFSET(quests!$A$1,0,0,COUNTA(quests!$A:$A),MATCH(D$1,quests!$1:$1,0)-MATCH($C$2,quests!$1:$1,0)+1),MATCH(D$1,quests!$1:$1,0)-MATCH($C$2,quests!$1:$1,0)+1,FALSE)</f>
        <v>シガンシナ区攻防戦</v>
      </c>
      <c r="E694" s="48" t="str">
        <f ca="1">VLOOKUP($C694,OFFSET(quests!$A$1,0,0,COUNTA(quests!$A:$A),MATCH(E$2,quests!$1:$1,0)-MATCH($C$2,quests!$1:$1,0)+1),MATCH(E$2,quests!$1:$1,0)-MATCH($C$2,quests!$1:$1,0)+1,FALSE)</f>
        <v>コラボクエスト</v>
      </c>
      <c r="F694" s="7">
        <v>3</v>
      </c>
      <c r="G694" s="7" t="s">
        <v>382</v>
      </c>
      <c r="H694" s="12" t="s">
        <v>1500</v>
      </c>
      <c r="I694" s="12" t="s">
        <v>830</v>
      </c>
      <c r="J694" s="12">
        <v>0</v>
      </c>
      <c r="K694" s="194">
        <v>20</v>
      </c>
      <c r="L694" s="167">
        <v>2000</v>
      </c>
      <c r="M694" s="167">
        <v>1</v>
      </c>
      <c r="N694" s="167">
        <v>1</v>
      </c>
      <c r="O694" s="167">
        <v>1</v>
      </c>
      <c r="P694" s="167">
        <v>1</v>
      </c>
      <c r="Q694" s="167">
        <v>1</v>
      </c>
      <c r="R694" s="167">
        <v>3</v>
      </c>
      <c r="S694" s="167" t="s">
        <v>817</v>
      </c>
      <c r="T694" s="167">
        <v>0</v>
      </c>
      <c r="U694" s="7" t="s">
        <v>169</v>
      </c>
      <c r="V694" s="7" t="s">
        <v>169</v>
      </c>
      <c r="W694" s="47" t="str">
        <f t="shared" ca="1" si="26"/>
        <v/>
      </c>
      <c r="X694" s="47">
        <f ca="1">VLOOKUP($C694,OFFSET(quests!$A$1,0,0,COUNTA(quests!$A:$A),MATCH(X$2,quests!$1:$1,0)-MATCH($C$2,quests!$1:$1,0)+1),MATCH(X$2,quests!$1:$1,0)-MATCH($C$2,quests!$1:$1,0)+1,FALSE)</f>
        <v>0</v>
      </c>
      <c r="Y694" s="47">
        <f ca="1">VLOOKUP($C694,OFFSET(quests!$A$1,0,0,COUNTA(quests!$A:$A),MATCH(Y$2,quests!$1:$1,0)-MATCH($C$2,quests!$1:$1,0)+1),MATCH(Y$2,quests!$1:$1,0)-MATCH($C$2,quests!$1:$1,0)+1,FALSE)</f>
        <v>0</v>
      </c>
      <c r="Z694" s="47">
        <f ca="1">VLOOKUP($C694,OFFSET(quests!$A$1,0,0,COUNTA(quests!$A:$A),MATCH(Z$2,quests!$1:$1,0)-MATCH($C$2,quests!$1:$1,0)+1),MATCH(Z$2,quests!$1:$1,0)-MATCH($C$2,quests!$1:$1,0)+1,FALSE)</f>
        <v>0</v>
      </c>
      <c r="AA694" s="47">
        <f ca="1">VLOOKUP($C694,OFFSET(quests!$A$1,0,0,COUNTA(quests!$A:$A),MATCH(AA$2,quests!$1:$1,0)-MATCH($C$2,quests!$1:$1,0)+1),MATCH(AA$2,quests!$1:$1,0)-MATCH($C$2,quests!$1:$1,0)+1,FALSE)</f>
        <v>0</v>
      </c>
      <c r="AB694" s="7" t="s">
        <v>56</v>
      </c>
      <c r="AC694" s="7">
        <v>938</v>
      </c>
      <c r="AD694" s="7">
        <v>6</v>
      </c>
      <c r="AE694" s="7" t="s">
        <v>519</v>
      </c>
      <c r="AF694" s="7">
        <v>11</v>
      </c>
      <c r="AG694" s="7">
        <v>0</v>
      </c>
      <c r="AH694" s="7">
        <v>0</v>
      </c>
      <c r="AI694" s="7">
        <v>-1</v>
      </c>
      <c r="AJ694" s="7">
        <v>-1</v>
      </c>
      <c r="AK694" s="7" t="s">
        <v>1064</v>
      </c>
      <c r="AL694" s="12" t="s">
        <v>1695</v>
      </c>
      <c r="AM694" s="12" t="s">
        <v>2072</v>
      </c>
    </row>
    <row r="695" spans="1:39" ht="21" customHeight="1" x14ac:dyDescent="0.15">
      <c r="A695" s="42" t="str">
        <f t="shared" si="25"/>
        <v>39006_4</v>
      </c>
      <c r="B695" s="23">
        <v>3</v>
      </c>
      <c r="C695" s="31">
        <v>39006</v>
      </c>
      <c r="D695" s="47" t="str">
        <f ca="1">VLOOKUP($C695,OFFSET(quests!$A$1,0,0,COUNTA(quests!$A:$A),MATCH(D$1,quests!$1:$1,0)-MATCH($C$2,quests!$1:$1,0)+1),MATCH(D$1,quests!$1:$1,0)-MATCH($C$2,quests!$1:$1,0)+1,FALSE)</f>
        <v>シガンシナ区攻防戦</v>
      </c>
      <c r="E695" s="48" t="str">
        <f ca="1">VLOOKUP($C695,OFFSET(quests!$A$1,0,0,COUNTA(quests!$A:$A),MATCH(E$2,quests!$1:$1,0)-MATCH($C$2,quests!$1:$1,0)+1),MATCH(E$2,quests!$1:$1,0)-MATCH($C$2,quests!$1:$1,0)+1,FALSE)</f>
        <v>コラボクエスト</v>
      </c>
      <c r="F695" s="7">
        <v>4</v>
      </c>
      <c r="G695" s="7" t="s">
        <v>382</v>
      </c>
      <c r="H695" s="12" t="s">
        <v>1501</v>
      </c>
      <c r="I695" s="12" t="s">
        <v>832</v>
      </c>
      <c r="J695" s="12">
        <v>0</v>
      </c>
      <c r="K695" s="192">
        <v>30</v>
      </c>
      <c r="L695" s="193">
        <v>3300</v>
      </c>
      <c r="M695" s="167">
        <v>1</v>
      </c>
      <c r="N695" s="167">
        <v>1</v>
      </c>
      <c r="O695" s="167">
        <v>1</v>
      </c>
      <c r="P695" s="167">
        <v>1</v>
      </c>
      <c r="Q695" s="167">
        <v>1</v>
      </c>
      <c r="R695" s="167">
        <v>3</v>
      </c>
      <c r="S695" s="167" t="s">
        <v>384</v>
      </c>
      <c r="T695" s="167">
        <v>1</v>
      </c>
      <c r="U695" s="7" t="s">
        <v>169</v>
      </c>
      <c r="V695" s="7" t="s">
        <v>169</v>
      </c>
      <c r="W695" s="47" t="str">
        <f t="shared" ca="1" si="26"/>
        <v/>
      </c>
      <c r="X695" s="47">
        <f ca="1">VLOOKUP($C695,OFFSET(quests!$A$1,0,0,COUNTA(quests!$A:$A),MATCH(X$2,quests!$1:$1,0)-MATCH($C$2,quests!$1:$1,0)+1),MATCH(X$2,quests!$1:$1,0)-MATCH($C$2,quests!$1:$1,0)+1,FALSE)</f>
        <v>0</v>
      </c>
      <c r="Y695" s="47">
        <f ca="1">VLOOKUP($C695,OFFSET(quests!$A$1,0,0,COUNTA(quests!$A:$A),MATCH(Y$2,quests!$1:$1,0)-MATCH($C$2,quests!$1:$1,0)+1),MATCH(Y$2,quests!$1:$1,0)-MATCH($C$2,quests!$1:$1,0)+1,FALSE)</f>
        <v>0</v>
      </c>
      <c r="Z695" s="47">
        <f ca="1">VLOOKUP($C695,OFFSET(quests!$A$1,0,0,COUNTA(quests!$A:$A),MATCH(Z$2,quests!$1:$1,0)-MATCH($C$2,quests!$1:$1,0)+1),MATCH(Z$2,quests!$1:$1,0)-MATCH($C$2,quests!$1:$1,0)+1,FALSE)</f>
        <v>0</v>
      </c>
      <c r="AA695" s="47">
        <f ca="1">VLOOKUP($C695,OFFSET(quests!$A$1,0,0,COUNTA(quests!$A:$A),MATCH(AA$2,quests!$1:$1,0)-MATCH($C$2,quests!$1:$1,0)+1),MATCH(AA$2,quests!$1:$1,0)-MATCH($C$2,quests!$1:$1,0)+1,FALSE)</f>
        <v>0</v>
      </c>
      <c r="AB695" s="7" t="s">
        <v>56</v>
      </c>
      <c r="AC695" s="7">
        <v>938</v>
      </c>
      <c r="AD695" s="7">
        <v>6</v>
      </c>
      <c r="AE695" s="7" t="s">
        <v>519</v>
      </c>
      <c r="AF695" s="7">
        <v>11</v>
      </c>
      <c r="AG695" s="7">
        <v>0</v>
      </c>
      <c r="AH695" s="7">
        <v>0</v>
      </c>
      <c r="AI695" s="7">
        <v>-1</v>
      </c>
      <c r="AJ695" s="7">
        <v>-1</v>
      </c>
      <c r="AK695" s="7" t="s">
        <v>1065</v>
      </c>
      <c r="AL695" s="12" t="s">
        <v>1695</v>
      </c>
      <c r="AM695" s="12" t="s">
        <v>2072</v>
      </c>
    </row>
    <row r="696" spans="1:39" ht="21" customHeight="1" x14ac:dyDescent="0.15">
      <c r="A696" s="42" t="str">
        <f t="shared" si="25"/>
        <v>39007_1</v>
      </c>
      <c r="B696" s="23">
        <v>1</v>
      </c>
      <c r="C696" s="31">
        <v>39007</v>
      </c>
      <c r="D696" s="47" t="str">
        <f ca="1">VLOOKUP($C696,OFFSET(quests!$A$1,0,0,COUNTA(quests!$A:$A),MATCH(D$1,quests!$1:$1,0)-MATCH($C$2,quests!$1:$1,0)+1),MATCH(D$1,quests!$1:$1,0)-MATCH($C$2,quests!$1:$1,0)+1,FALSE)</f>
        <v>ニムダ（台）</v>
      </c>
      <c r="E696" s="48" t="str">
        <f ca="1">VLOOKUP($C696,OFFSET(quests!$A$1,0,0,COUNTA(quests!$A:$A),MATCH(E$2,quests!$1:$1,0)-MATCH($C$2,quests!$1:$1,0)+1),MATCH(E$2,quests!$1:$1,0)-MATCH($C$2,quests!$1:$1,0)+1,FALSE)</f>
        <v>コラボクエスト</v>
      </c>
      <c r="F696" s="7">
        <v>1</v>
      </c>
      <c r="G696" s="7" t="s">
        <v>382</v>
      </c>
      <c r="H696" s="12" t="s">
        <v>1528</v>
      </c>
      <c r="I696" s="12" t="s">
        <v>857</v>
      </c>
      <c r="J696" s="12">
        <v>902</v>
      </c>
      <c r="K696" s="192">
        <v>8</v>
      </c>
      <c r="L696" s="167">
        <v>384</v>
      </c>
      <c r="M696" s="167">
        <v>1</v>
      </c>
      <c r="N696" s="167">
        <v>1</v>
      </c>
      <c r="O696" s="167">
        <v>1</v>
      </c>
      <c r="P696" s="167">
        <v>1</v>
      </c>
      <c r="Q696" s="167">
        <v>1</v>
      </c>
      <c r="R696" s="167">
        <v>3</v>
      </c>
      <c r="S696" s="167" t="s">
        <v>817</v>
      </c>
      <c r="T696" s="167">
        <v>0</v>
      </c>
      <c r="U696" s="7" t="s">
        <v>169</v>
      </c>
      <c r="V696" s="7" t="s">
        <v>169</v>
      </c>
      <c r="W696" s="47" t="str">
        <f t="shared" ca="1" si="26"/>
        <v/>
      </c>
      <c r="X696" s="47">
        <f ca="1">VLOOKUP($C696,OFFSET(quests!$A$1,0,0,COUNTA(quests!$A:$A),MATCH(X$2,quests!$1:$1,0)-MATCH($C$2,quests!$1:$1,0)+1),MATCH(X$2,quests!$1:$1,0)-MATCH($C$2,quests!$1:$1,0)+1,FALSE)</f>
        <v>0</v>
      </c>
      <c r="Y696" s="47">
        <f ca="1">VLOOKUP($C696,OFFSET(quests!$A$1,0,0,COUNTA(quests!$A:$A),MATCH(Y$2,quests!$1:$1,0)-MATCH($C$2,quests!$1:$1,0)+1),MATCH(Y$2,quests!$1:$1,0)-MATCH($C$2,quests!$1:$1,0)+1,FALSE)</f>
        <v>0</v>
      </c>
      <c r="Z696" s="47">
        <f ca="1">VLOOKUP($C696,OFFSET(quests!$A$1,0,0,COUNTA(quests!$A:$A),MATCH(Z$2,quests!$1:$1,0)-MATCH($C$2,quests!$1:$1,0)+1),MATCH(Z$2,quests!$1:$1,0)-MATCH($C$2,quests!$1:$1,0)+1,FALSE)</f>
        <v>0</v>
      </c>
      <c r="AA696" s="47">
        <f ca="1">VLOOKUP($C696,OFFSET(quests!$A$1,0,0,COUNTA(quests!$A:$A),MATCH(AA$2,quests!$1:$1,0)-MATCH($C$2,quests!$1:$1,0)+1),MATCH(AA$2,quests!$1:$1,0)-MATCH($C$2,quests!$1:$1,0)+1,FALSE)</f>
        <v>0</v>
      </c>
      <c r="AB696" s="7" t="s">
        <v>56</v>
      </c>
      <c r="AC696" s="7">
        <v>933</v>
      </c>
      <c r="AD696" s="7">
        <v>6</v>
      </c>
      <c r="AE696" s="7" t="s">
        <v>519</v>
      </c>
      <c r="AF696" s="7">
        <v>11</v>
      </c>
      <c r="AG696" s="7">
        <v>0</v>
      </c>
      <c r="AH696" s="7">
        <v>0</v>
      </c>
      <c r="AI696" s="7">
        <v>-1</v>
      </c>
      <c r="AJ696" s="7">
        <v>-1</v>
      </c>
      <c r="AK696" s="7" t="s">
        <v>1064</v>
      </c>
      <c r="AL696" s="12" t="s">
        <v>1695</v>
      </c>
      <c r="AM696" s="12" t="s">
        <v>2072</v>
      </c>
    </row>
    <row r="697" spans="1:39" ht="21" customHeight="1" x14ac:dyDescent="0.15">
      <c r="A697" s="42" t="str">
        <f t="shared" si="25"/>
        <v>39007_2</v>
      </c>
      <c r="B697" s="23">
        <v>1</v>
      </c>
      <c r="C697" s="31">
        <v>39007</v>
      </c>
      <c r="D697" s="47" t="str">
        <f ca="1">VLOOKUP($C697,OFFSET(quests!$A$1,0,0,COUNTA(quests!$A:$A),MATCH(D$1,quests!$1:$1,0)-MATCH($C$2,quests!$1:$1,0)+1),MATCH(D$1,quests!$1:$1,0)-MATCH($C$2,quests!$1:$1,0)+1,FALSE)</f>
        <v>ニムダ（台）</v>
      </c>
      <c r="E697" s="48" t="str">
        <f ca="1">VLOOKUP($C697,OFFSET(quests!$A$1,0,0,COUNTA(quests!$A:$A),MATCH(E$2,quests!$1:$1,0)-MATCH($C$2,quests!$1:$1,0)+1),MATCH(E$2,quests!$1:$1,0)-MATCH($C$2,quests!$1:$1,0)+1,FALSE)</f>
        <v>コラボクエスト</v>
      </c>
      <c r="F697" s="7">
        <v>2</v>
      </c>
      <c r="G697" s="7" t="s">
        <v>382</v>
      </c>
      <c r="H697" s="12" t="s">
        <v>1529</v>
      </c>
      <c r="I697" s="12" t="s">
        <v>831</v>
      </c>
      <c r="J697" s="12">
        <v>902</v>
      </c>
      <c r="K697" s="194">
        <v>15</v>
      </c>
      <c r="L697" s="167">
        <v>1200</v>
      </c>
      <c r="M697" s="167">
        <v>1</v>
      </c>
      <c r="N697" s="167">
        <v>1</v>
      </c>
      <c r="O697" s="167">
        <v>1</v>
      </c>
      <c r="P697" s="167">
        <v>1</v>
      </c>
      <c r="Q697" s="167">
        <v>1</v>
      </c>
      <c r="R697" s="167">
        <v>3</v>
      </c>
      <c r="S697" s="167" t="s">
        <v>817</v>
      </c>
      <c r="T697" s="167">
        <v>0</v>
      </c>
      <c r="U697" s="7" t="s">
        <v>169</v>
      </c>
      <c r="V697" s="7" t="s">
        <v>169</v>
      </c>
      <c r="W697" s="47" t="str">
        <f t="shared" ca="1" si="26"/>
        <v/>
      </c>
      <c r="X697" s="47">
        <f ca="1">VLOOKUP($C697,OFFSET(quests!$A$1,0,0,COUNTA(quests!$A:$A),MATCH(X$2,quests!$1:$1,0)-MATCH($C$2,quests!$1:$1,0)+1),MATCH(X$2,quests!$1:$1,0)-MATCH($C$2,quests!$1:$1,0)+1,FALSE)</f>
        <v>0</v>
      </c>
      <c r="Y697" s="47">
        <f ca="1">VLOOKUP($C697,OFFSET(quests!$A$1,0,0,COUNTA(quests!$A:$A),MATCH(Y$2,quests!$1:$1,0)-MATCH($C$2,quests!$1:$1,0)+1),MATCH(Y$2,quests!$1:$1,0)-MATCH($C$2,quests!$1:$1,0)+1,FALSE)</f>
        <v>0</v>
      </c>
      <c r="Z697" s="47">
        <f ca="1">VLOOKUP($C697,OFFSET(quests!$A$1,0,0,COUNTA(quests!$A:$A),MATCH(Z$2,quests!$1:$1,0)-MATCH($C$2,quests!$1:$1,0)+1),MATCH(Z$2,quests!$1:$1,0)-MATCH($C$2,quests!$1:$1,0)+1,FALSE)</f>
        <v>0</v>
      </c>
      <c r="AA697" s="47">
        <f ca="1">VLOOKUP($C697,OFFSET(quests!$A$1,0,0,COUNTA(quests!$A:$A),MATCH(AA$2,quests!$1:$1,0)-MATCH($C$2,quests!$1:$1,0)+1),MATCH(AA$2,quests!$1:$1,0)-MATCH($C$2,quests!$1:$1,0)+1,FALSE)</f>
        <v>0</v>
      </c>
      <c r="AB697" s="7" t="s">
        <v>56</v>
      </c>
      <c r="AC697" s="7">
        <v>933</v>
      </c>
      <c r="AD697" s="7">
        <v>6</v>
      </c>
      <c r="AE697" s="7" t="s">
        <v>519</v>
      </c>
      <c r="AF697" s="7">
        <v>11</v>
      </c>
      <c r="AG697" s="7">
        <v>0</v>
      </c>
      <c r="AH697" s="7">
        <v>0</v>
      </c>
      <c r="AI697" s="7">
        <v>-1</v>
      </c>
      <c r="AJ697" s="7">
        <v>-1</v>
      </c>
      <c r="AK697" s="7" t="s">
        <v>1064</v>
      </c>
      <c r="AL697" s="12" t="s">
        <v>1695</v>
      </c>
      <c r="AM697" s="12" t="s">
        <v>2072</v>
      </c>
    </row>
    <row r="698" spans="1:39" ht="21" customHeight="1" x14ac:dyDescent="0.15">
      <c r="A698" s="42" t="str">
        <f t="shared" si="25"/>
        <v>39007_3</v>
      </c>
      <c r="B698" s="23">
        <v>1</v>
      </c>
      <c r="C698" s="31">
        <v>39007</v>
      </c>
      <c r="D698" s="47" t="str">
        <f ca="1">VLOOKUP($C698,OFFSET(quests!$A$1,0,0,COUNTA(quests!$A:$A),MATCH(D$1,quests!$1:$1,0)-MATCH($C$2,quests!$1:$1,0)+1),MATCH(D$1,quests!$1:$1,0)-MATCH($C$2,quests!$1:$1,0)+1,FALSE)</f>
        <v>ニムダ（台）</v>
      </c>
      <c r="E698" s="48" t="str">
        <f ca="1">VLOOKUP($C698,OFFSET(quests!$A$1,0,0,COUNTA(quests!$A:$A),MATCH(E$2,quests!$1:$1,0)-MATCH($C$2,quests!$1:$1,0)+1),MATCH(E$2,quests!$1:$1,0)-MATCH($C$2,quests!$1:$1,0)+1,FALSE)</f>
        <v>コラボクエスト</v>
      </c>
      <c r="F698" s="7">
        <v>3</v>
      </c>
      <c r="G698" s="7" t="s">
        <v>382</v>
      </c>
      <c r="H698" s="12" t="s">
        <v>1530</v>
      </c>
      <c r="I698" s="12" t="s">
        <v>830</v>
      </c>
      <c r="J698" s="12">
        <v>902</v>
      </c>
      <c r="K698" s="194">
        <v>20</v>
      </c>
      <c r="L698" s="167">
        <v>2000</v>
      </c>
      <c r="M698" s="167">
        <v>1</v>
      </c>
      <c r="N698" s="167">
        <v>1</v>
      </c>
      <c r="O698" s="167">
        <v>1</v>
      </c>
      <c r="P698" s="167">
        <v>1</v>
      </c>
      <c r="Q698" s="167">
        <v>1</v>
      </c>
      <c r="R698" s="167">
        <v>3</v>
      </c>
      <c r="S698" s="167" t="s">
        <v>817</v>
      </c>
      <c r="T698" s="167">
        <v>0</v>
      </c>
      <c r="U698" s="7" t="s">
        <v>169</v>
      </c>
      <c r="V698" s="7" t="s">
        <v>169</v>
      </c>
      <c r="W698" s="47" t="str">
        <f t="shared" ca="1" si="26"/>
        <v/>
      </c>
      <c r="X698" s="47">
        <f ca="1">VLOOKUP($C698,OFFSET(quests!$A$1,0,0,COUNTA(quests!$A:$A),MATCH(X$2,quests!$1:$1,0)-MATCH($C$2,quests!$1:$1,0)+1),MATCH(X$2,quests!$1:$1,0)-MATCH($C$2,quests!$1:$1,0)+1,FALSE)</f>
        <v>0</v>
      </c>
      <c r="Y698" s="47">
        <f ca="1">VLOOKUP($C698,OFFSET(quests!$A$1,0,0,COUNTA(quests!$A:$A),MATCH(Y$2,quests!$1:$1,0)-MATCH($C$2,quests!$1:$1,0)+1),MATCH(Y$2,quests!$1:$1,0)-MATCH($C$2,quests!$1:$1,0)+1,FALSE)</f>
        <v>0</v>
      </c>
      <c r="Z698" s="47">
        <f ca="1">VLOOKUP($C698,OFFSET(quests!$A$1,0,0,COUNTA(quests!$A:$A),MATCH(Z$2,quests!$1:$1,0)-MATCH($C$2,quests!$1:$1,0)+1),MATCH(Z$2,quests!$1:$1,0)-MATCH($C$2,quests!$1:$1,0)+1,FALSE)</f>
        <v>0</v>
      </c>
      <c r="AA698" s="47">
        <f ca="1">VLOOKUP($C698,OFFSET(quests!$A$1,0,0,COUNTA(quests!$A:$A),MATCH(AA$2,quests!$1:$1,0)-MATCH($C$2,quests!$1:$1,0)+1),MATCH(AA$2,quests!$1:$1,0)-MATCH($C$2,quests!$1:$1,0)+1,FALSE)</f>
        <v>0</v>
      </c>
      <c r="AB698" s="7" t="s">
        <v>56</v>
      </c>
      <c r="AC698" s="7">
        <v>933</v>
      </c>
      <c r="AD698" s="7">
        <v>6</v>
      </c>
      <c r="AE698" s="7" t="s">
        <v>519</v>
      </c>
      <c r="AF698" s="7">
        <v>11</v>
      </c>
      <c r="AG698" s="7">
        <v>0</v>
      </c>
      <c r="AH698" s="7">
        <v>0</v>
      </c>
      <c r="AI698" s="7">
        <v>-1</v>
      </c>
      <c r="AJ698" s="7">
        <v>-1</v>
      </c>
      <c r="AK698" s="7" t="s">
        <v>1064</v>
      </c>
      <c r="AL698" s="12" t="s">
        <v>1695</v>
      </c>
      <c r="AM698" s="12" t="s">
        <v>2072</v>
      </c>
    </row>
    <row r="699" spans="1:39" ht="21" customHeight="1" x14ac:dyDescent="0.15">
      <c r="A699" s="42" t="str">
        <f t="shared" si="25"/>
        <v>39007_4</v>
      </c>
      <c r="B699" s="23">
        <v>1</v>
      </c>
      <c r="C699" s="31">
        <v>39007</v>
      </c>
      <c r="D699" s="47" t="str">
        <f ca="1">VLOOKUP($C699,OFFSET(quests!$A$1,0,0,COUNTA(quests!$A:$A),MATCH(D$1,quests!$1:$1,0)-MATCH($C$2,quests!$1:$1,0)+1),MATCH(D$1,quests!$1:$1,0)-MATCH($C$2,quests!$1:$1,0)+1,FALSE)</f>
        <v>ニムダ（台）</v>
      </c>
      <c r="E699" s="48" t="str">
        <f ca="1">VLOOKUP($C699,OFFSET(quests!$A$1,0,0,COUNTA(quests!$A:$A),MATCH(E$2,quests!$1:$1,0)-MATCH($C$2,quests!$1:$1,0)+1),MATCH(E$2,quests!$1:$1,0)-MATCH($C$2,quests!$1:$1,0)+1,FALSE)</f>
        <v>コラボクエスト</v>
      </c>
      <c r="F699" s="7">
        <v>4</v>
      </c>
      <c r="G699" s="7" t="s">
        <v>382</v>
      </c>
      <c r="H699" s="12" t="s">
        <v>1531</v>
      </c>
      <c r="I699" s="12" t="s">
        <v>832</v>
      </c>
      <c r="J699" s="12">
        <v>902</v>
      </c>
      <c r="K699" s="192">
        <v>30</v>
      </c>
      <c r="L699" s="193">
        <v>3300</v>
      </c>
      <c r="M699" s="167">
        <v>1</v>
      </c>
      <c r="N699" s="167">
        <v>1</v>
      </c>
      <c r="O699" s="167">
        <v>1</v>
      </c>
      <c r="P699" s="167">
        <v>1</v>
      </c>
      <c r="Q699" s="167">
        <v>1</v>
      </c>
      <c r="R699" s="167">
        <v>3</v>
      </c>
      <c r="S699" s="167" t="s">
        <v>384</v>
      </c>
      <c r="T699" s="167">
        <v>1</v>
      </c>
      <c r="U699" s="7" t="s">
        <v>169</v>
      </c>
      <c r="V699" s="7" t="s">
        <v>169</v>
      </c>
      <c r="W699" s="47" t="str">
        <f t="shared" ca="1" si="26"/>
        <v/>
      </c>
      <c r="X699" s="47">
        <f ca="1">VLOOKUP($C699,OFFSET(quests!$A$1,0,0,COUNTA(quests!$A:$A),MATCH(X$2,quests!$1:$1,0)-MATCH($C$2,quests!$1:$1,0)+1),MATCH(X$2,quests!$1:$1,0)-MATCH($C$2,quests!$1:$1,0)+1,FALSE)</f>
        <v>0</v>
      </c>
      <c r="Y699" s="47">
        <f ca="1">VLOOKUP($C699,OFFSET(quests!$A$1,0,0,COUNTA(quests!$A:$A),MATCH(Y$2,quests!$1:$1,0)-MATCH($C$2,quests!$1:$1,0)+1),MATCH(Y$2,quests!$1:$1,0)-MATCH($C$2,quests!$1:$1,0)+1,FALSE)</f>
        <v>0</v>
      </c>
      <c r="Z699" s="47">
        <f ca="1">VLOOKUP($C699,OFFSET(quests!$A$1,0,0,COUNTA(quests!$A:$A),MATCH(Z$2,quests!$1:$1,0)-MATCH($C$2,quests!$1:$1,0)+1),MATCH(Z$2,quests!$1:$1,0)-MATCH($C$2,quests!$1:$1,0)+1,FALSE)</f>
        <v>0</v>
      </c>
      <c r="AA699" s="47">
        <f ca="1">VLOOKUP($C699,OFFSET(quests!$A$1,0,0,COUNTA(quests!$A:$A),MATCH(AA$2,quests!$1:$1,0)-MATCH($C$2,quests!$1:$1,0)+1),MATCH(AA$2,quests!$1:$1,0)-MATCH($C$2,quests!$1:$1,0)+1,FALSE)</f>
        <v>0</v>
      </c>
      <c r="AB699" s="7" t="s">
        <v>56</v>
      </c>
      <c r="AC699" s="7">
        <v>933</v>
      </c>
      <c r="AD699" s="7">
        <v>6</v>
      </c>
      <c r="AE699" s="7" t="s">
        <v>519</v>
      </c>
      <c r="AF699" s="7">
        <v>11</v>
      </c>
      <c r="AG699" s="7">
        <v>0</v>
      </c>
      <c r="AH699" s="7">
        <v>0</v>
      </c>
      <c r="AI699" s="7">
        <v>-1</v>
      </c>
      <c r="AJ699" s="7">
        <v>-1</v>
      </c>
      <c r="AK699" s="7" t="s">
        <v>1065</v>
      </c>
      <c r="AL699" s="12" t="s">
        <v>1695</v>
      </c>
      <c r="AM699" s="12" t="s">
        <v>2072</v>
      </c>
    </row>
    <row r="700" spans="1:39" ht="21" customHeight="1" x14ac:dyDescent="0.15">
      <c r="A700" s="42" t="str">
        <f t="shared" ref="A700:A704" si="35">C700&amp;"_"&amp;F700</f>
        <v>39008_1</v>
      </c>
      <c r="B700" s="23">
        <v>3</v>
      </c>
      <c r="C700" s="31">
        <v>39008</v>
      </c>
      <c r="D700" s="47" t="str">
        <f ca="1">VLOOKUP($C700,OFFSET(quests!$A$1,0,0,COUNTA(quests!$A:$A),MATCH(D$1,quests!$1:$1,0)-MATCH($C$2,quests!$1:$1,0)+1),MATCH(D$1,quests!$1:$1,0)-MATCH($C$2,quests!$1:$1,0)+1,FALSE)</f>
        <v>雪の歌姫</v>
      </c>
      <c r="E700" s="48" t="str">
        <f ca="1">VLOOKUP($C700,OFFSET(quests!$A$1,0,0,COUNTA(quests!$A:$A),MATCH(E$2,quests!$1:$1,0)-MATCH($C$2,quests!$1:$1,0)+1),MATCH(E$2,quests!$1:$1,0)-MATCH($C$2,quests!$1:$1,0)+1,FALSE)</f>
        <v>復刻コラボクエスト</v>
      </c>
      <c r="F700" s="7">
        <v>1</v>
      </c>
      <c r="G700" s="7" t="s">
        <v>382</v>
      </c>
      <c r="H700" s="12" t="s">
        <v>2014</v>
      </c>
      <c r="I700" s="12" t="s">
        <v>857</v>
      </c>
      <c r="J700" s="12">
        <v>525</v>
      </c>
      <c r="K700" s="192">
        <v>5</v>
      </c>
      <c r="L700" s="167">
        <v>384</v>
      </c>
      <c r="M700" s="167">
        <v>1</v>
      </c>
      <c r="N700" s="167">
        <v>1</v>
      </c>
      <c r="O700" s="167">
        <v>1</v>
      </c>
      <c r="P700" s="167">
        <v>1</v>
      </c>
      <c r="Q700" s="167">
        <v>1</v>
      </c>
      <c r="R700" s="167">
        <v>3</v>
      </c>
      <c r="S700" s="167" t="s">
        <v>811</v>
      </c>
      <c r="T700" s="167">
        <v>0</v>
      </c>
      <c r="U700" s="7" t="s">
        <v>169</v>
      </c>
      <c r="V700" s="7" t="s">
        <v>169</v>
      </c>
      <c r="W700" s="47" t="str">
        <f t="shared" ca="1" si="26"/>
        <v/>
      </c>
      <c r="X700" s="47">
        <f ca="1">VLOOKUP($C700,OFFSET(quests!$A$1,0,0,COUNTA(quests!$A:$A),MATCH(X$2,quests!$1:$1,0)-MATCH($C$2,quests!$1:$1,0)+1),MATCH(X$2,quests!$1:$1,0)-MATCH($C$2,quests!$1:$1,0)+1,FALSE)</f>
        <v>0</v>
      </c>
      <c r="Y700" s="47">
        <f ca="1">VLOOKUP($C700,OFFSET(quests!$A$1,0,0,COUNTA(quests!$A:$A),MATCH(Y$2,quests!$1:$1,0)-MATCH($C$2,quests!$1:$1,0)+1),MATCH(Y$2,quests!$1:$1,0)-MATCH($C$2,quests!$1:$1,0)+1,FALSE)</f>
        <v>0</v>
      </c>
      <c r="Z700" s="47">
        <f ca="1">VLOOKUP($C700,OFFSET(quests!$A$1,0,0,COUNTA(quests!$A:$A),MATCH(Z$2,quests!$1:$1,0)-MATCH($C$2,quests!$1:$1,0)+1),MATCH(Z$2,quests!$1:$1,0)-MATCH($C$2,quests!$1:$1,0)+1,FALSE)</f>
        <v>0</v>
      </c>
      <c r="AA700" s="47">
        <f ca="1">VLOOKUP($C700,OFFSET(quests!$A$1,0,0,COUNTA(quests!$A:$A),MATCH(AA$2,quests!$1:$1,0)-MATCH($C$2,quests!$1:$1,0)+1),MATCH(AA$2,quests!$1:$1,0)-MATCH($C$2,quests!$1:$1,0)+1,FALSE)</f>
        <v>0</v>
      </c>
      <c r="AB700" s="7" t="s">
        <v>56</v>
      </c>
      <c r="AC700" s="33">
        <v>910</v>
      </c>
      <c r="AD700" s="7">
        <v>6</v>
      </c>
      <c r="AE700" s="7" t="s">
        <v>519</v>
      </c>
      <c r="AF700" s="33">
        <v>3900</v>
      </c>
      <c r="AG700" s="33">
        <v>3900</v>
      </c>
      <c r="AH700" s="33" t="s">
        <v>1269</v>
      </c>
      <c r="AI700" s="7">
        <v>-1</v>
      </c>
      <c r="AJ700" s="7">
        <v>-1</v>
      </c>
      <c r="AK700" s="7" t="s">
        <v>1064</v>
      </c>
      <c r="AL700" s="12" t="s">
        <v>1337</v>
      </c>
      <c r="AM700" s="12" t="s">
        <v>2072</v>
      </c>
    </row>
    <row r="701" spans="1:39" ht="21" customHeight="1" x14ac:dyDescent="0.15">
      <c r="A701" s="42" t="str">
        <f t="shared" si="35"/>
        <v>39008_2</v>
      </c>
      <c r="B701" s="23">
        <v>3</v>
      </c>
      <c r="C701" s="31">
        <v>39008</v>
      </c>
      <c r="D701" s="47" t="str">
        <f ca="1">VLOOKUP($C701,OFFSET(quests!$A$1,0,0,COUNTA(quests!$A:$A),MATCH(D$1,quests!$1:$1,0)-MATCH($C$2,quests!$1:$1,0)+1),MATCH(D$1,quests!$1:$1,0)-MATCH($C$2,quests!$1:$1,0)+1,FALSE)</f>
        <v>雪の歌姫</v>
      </c>
      <c r="E701" s="48" t="str">
        <f ca="1">VLOOKUP($C701,OFFSET(quests!$A$1,0,0,COUNTA(quests!$A:$A),MATCH(E$2,quests!$1:$1,0)-MATCH($C$2,quests!$1:$1,0)+1),MATCH(E$2,quests!$1:$1,0)-MATCH($C$2,quests!$1:$1,0)+1,FALSE)</f>
        <v>復刻コラボクエスト</v>
      </c>
      <c r="F701" s="7">
        <v>2</v>
      </c>
      <c r="G701" s="7" t="s">
        <v>382</v>
      </c>
      <c r="H701" s="12" t="s">
        <v>853</v>
      </c>
      <c r="I701" s="12" t="s">
        <v>831</v>
      </c>
      <c r="J701" s="12">
        <v>525</v>
      </c>
      <c r="K701" s="194">
        <v>9</v>
      </c>
      <c r="L701" s="167">
        <v>1200</v>
      </c>
      <c r="M701" s="167">
        <v>1</v>
      </c>
      <c r="N701" s="167">
        <v>1</v>
      </c>
      <c r="O701" s="167">
        <v>1</v>
      </c>
      <c r="P701" s="167">
        <v>1</v>
      </c>
      <c r="Q701" s="167">
        <v>1</v>
      </c>
      <c r="R701" s="167">
        <v>3</v>
      </c>
      <c r="S701" s="167" t="s">
        <v>79</v>
      </c>
      <c r="T701" s="167">
        <v>0</v>
      </c>
      <c r="U701" s="7" t="s">
        <v>169</v>
      </c>
      <c r="V701" s="7" t="s">
        <v>169</v>
      </c>
      <c r="W701" s="47" t="str">
        <f t="shared" ca="1" si="26"/>
        <v/>
      </c>
      <c r="X701" s="47">
        <f ca="1">VLOOKUP($C701,OFFSET(quests!$A$1,0,0,COUNTA(quests!$A:$A),MATCH(X$2,quests!$1:$1,0)-MATCH($C$2,quests!$1:$1,0)+1),MATCH(X$2,quests!$1:$1,0)-MATCH($C$2,quests!$1:$1,0)+1,FALSE)</f>
        <v>0</v>
      </c>
      <c r="Y701" s="47">
        <f ca="1">VLOOKUP($C701,OFFSET(quests!$A$1,0,0,COUNTA(quests!$A:$A),MATCH(Y$2,quests!$1:$1,0)-MATCH($C$2,quests!$1:$1,0)+1),MATCH(Y$2,quests!$1:$1,0)-MATCH($C$2,quests!$1:$1,0)+1,FALSE)</f>
        <v>0</v>
      </c>
      <c r="Z701" s="47">
        <f ca="1">VLOOKUP($C701,OFFSET(quests!$A$1,0,0,COUNTA(quests!$A:$A),MATCH(Z$2,quests!$1:$1,0)-MATCH($C$2,quests!$1:$1,0)+1),MATCH(Z$2,quests!$1:$1,0)-MATCH($C$2,quests!$1:$1,0)+1,FALSE)</f>
        <v>0</v>
      </c>
      <c r="AA701" s="47">
        <f ca="1">VLOOKUP($C701,OFFSET(quests!$A$1,0,0,COUNTA(quests!$A:$A),MATCH(AA$2,quests!$1:$1,0)-MATCH($C$2,quests!$1:$1,0)+1),MATCH(AA$2,quests!$1:$1,0)-MATCH($C$2,quests!$1:$1,0)+1,FALSE)</f>
        <v>0</v>
      </c>
      <c r="AB701" s="7" t="s">
        <v>56</v>
      </c>
      <c r="AC701" s="33">
        <v>910</v>
      </c>
      <c r="AD701" s="7">
        <v>6</v>
      </c>
      <c r="AE701" s="7" t="s">
        <v>519</v>
      </c>
      <c r="AF701" s="33">
        <v>3900</v>
      </c>
      <c r="AG701" s="33">
        <v>3900</v>
      </c>
      <c r="AH701" s="33" t="s">
        <v>1269</v>
      </c>
      <c r="AI701" s="7">
        <v>-1</v>
      </c>
      <c r="AJ701" s="7">
        <v>-1</v>
      </c>
      <c r="AK701" s="7" t="s">
        <v>1064</v>
      </c>
      <c r="AL701" s="12" t="s">
        <v>1337</v>
      </c>
      <c r="AM701" s="12" t="s">
        <v>2072</v>
      </c>
    </row>
    <row r="702" spans="1:39" ht="21" customHeight="1" x14ac:dyDescent="0.15">
      <c r="A702" s="42" t="str">
        <f t="shared" si="35"/>
        <v>39008_3</v>
      </c>
      <c r="B702" s="23">
        <v>3</v>
      </c>
      <c r="C702" s="31">
        <v>39008</v>
      </c>
      <c r="D702" s="47" t="str">
        <f ca="1">VLOOKUP($C702,OFFSET(quests!$A$1,0,0,COUNTA(quests!$A:$A),MATCH(D$1,quests!$1:$1,0)-MATCH($C$2,quests!$1:$1,0)+1),MATCH(D$1,quests!$1:$1,0)-MATCH($C$2,quests!$1:$1,0)+1,FALSE)</f>
        <v>雪の歌姫</v>
      </c>
      <c r="E702" s="48" t="str">
        <f ca="1">VLOOKUP($C702,OFFSET(quests!$A$1,0,0,COUNTA(quests!$A:$A),MATCH(E$2,quests!$1:$1,0)-MATCH($C$2,quests!$1:$1,0)+1),MATCH(E$2,quests!$1:$1,0)-MATCH($C$2,quests!$1:$1,0)+1,FALSE)</f>
        <v>復刻コラボクエスト</v>
      </c>
      <c r="F702" s="7">
        <v>3</v>
      </c>
      <c r="G702" s="7" t="s">
        <v>382</v>
      </c>
      <c r="H702" s="12" t="s">
        <v>854</v>
      </c>
      <c r="I702" s="12" t="s">
        <v>830</v>
      </c>
      <c r="J702" s="12">
        <v>525</v>
      </c>
      <c r="K702" s="194">
        <v>14</v>
      </c>
      <c r="L702" s="167">
        <v>2000</v>
      </c>
      <c r="M702" s="167">
        <v>1</v>
      </c>
      <c r="N702" s="167">
        <v>1</v>
      </c>
      <c r="O702" s="167">
        <v>1</v>
      </c>
      <c r="P702" s="167">
        <v>1</v>
      </c>
      <c r="Q702" s="167">
        <v>1</v>
      </c>
      <c r="R702" s="167">
        <v>3</v>
      </c>
      <c r="S702" s="167" t="s">
        <v>79</v>
      </c>
      <c r="T702" s="167">
        <v>0</v>
      </c>
      <c r="U702" s="7" t="s">
        <v>169</v>
      </c>
      <c r="V702" s="7" t="s">
        <v>169</v>
      </c>
      <c r="W702" s="47" t="str">
        <f t="shared" ca="1" si="26"/>
        <v/>
      </c>
      <c r="X702" s="47">
        <f ca="1">VLOOKUP($C702,OFFSET(quests!$A$1,0,0,COUNTA(quests!$A:$A),MATCH(X$2,quests!$1:$1,0)-MATCH($C$2,quests!$1:$1,0)+1),MATCH(X$2,quests!$1:$1,0)-MATCH($C$2,quests!$1:$1,0)+1,FALSE)</f>
        <v>0</v>
      </c>
      <c r="Y702" s="47">
        <f ca="1">VLOOKUP($C702,OFFSET(quests!$A$1,0,0,COUNTA(quests!$A:$A),MATCH(Y$2,quests!$1:$1,0)-MATCH($C$2,quests!$1:$1,0)+1),MATCH(Y$2,quests!$1:$1,0)-MATCH($C$2,quests!$1:$1,0)+1,FALSE)</f>
        <v>0</v>
      </c>
      <c r="Z702" s="47">
        <f ca="1">VLOOKUP($C702,OFFSET(quests!$A$1,0,0,COUNTA(quests!$A:$A),MATCH(Z$2,quests!$1:$1,0)-MATCH($C$2,quests!$1:$1,0)+1),MATCH(Z$2,quests!$1:$1,0)-MATCH($C$2,quests!$1:$1,0)+1,FALSE)</f>
        <v>0</v>
      </c>
      <c r="AA702" s="47">
        <f ca="1">VLOOKUP($C702,OFFSET(quests!$A$1,0,0,COUNTA(quests!$A:$A),MATCH(AA$2,quests!$1:$1,0)-MATCH($C$2,quests!$1:$1,0)+1),MATCH(AA$2,quests!$1:$1,0)-MATCH($C$2,quests!$1:$1,0)+1,FALSE)</f>
        <v>0</v>
      </c>
      <c r="AB702" s="7" t="s">
        <v>56</v>
      </c>
      <c r="AC702" s="33">
        <v>910</v>
      </c>
      <c r="AD702" s="7">
        <v>6</v>
      </c>
      <c r="AE702" s="7" t="s">
        <v>519</v>
      </c>
      <c r="AF702" s="33">
        <v>3900</v>
      </c>
      <c r="AG702" s="33">
        <v>3900</v>
      </c>
      <c r="AH702" s="33" t="s">
        <v>1269</v>
      </c>
      <c r="AI702" s="7">
        <v>-1</v>
      </c>
      <c r="AJ702" s="7">
        <v>-1</v>
      </c>
      <c r="AK702" s="7" t="s">
        <v>1064</v>
      </c>
      <c r="AL702" s="12" t="s">
        <v>1337</v>
      </c>
      <c r="AM702" s="12" t="s">
        <v>2072</v>
      </c>
    </row>
    <row r="703" spans="1:39" ht="21" customHeight="1" x14ac:dyDescent="0.15">
      <c r="A703" s="42" t="str">
        <f t="shared" si="35"/>
        <v>39008_4</v>
      </c>
      <c r="B703" s="23">
        <v>3</v>
      </c>
      <c r="C703" s="31">
        <v>39008</v>
      </c>
      <c r="D703" s="47" t="str">
        <f ca="1">VLOOKUP($C703,OFFSET(quests!$A$1,0,0,COUNTA(quests!$A:$A),MATCH(D$1,quests!$1:$1,0)-MATCH($C$2,quests!$1:$1,0)+1),MATCH(D$1,quests!$1:$1,0)-MATCH($C$2,quests!$1:$1,0)+1,FALSE)</f>
        <v>雪の歌姫</v>
      </c>
      <c r="E703" s="48" t="str">
        <f ca="1">VLOOKUP($C703,OFFSET(quests!$A$1,0,0,COUNTA(quests!$A:$A),MATCH(E$2,quests!$1:$1,0)-MATCH($C$2,quests!$1:$1,0)+1),MATCH(E$2,quests!$1:$1,0)-MATCH($C$2,quests!$1:$1,0)+1,FALSE)</f>
        <v>復刻コラボクエスト</v>
      </c>
      <c r="F703" s="7">
        <v>4</v>
      </c>
      <c r="G703" s="7" t="s">
        <v>382</v>
      </c>
      <c r="H703" s="12" t="s">
        <v>855</v>
      </c>
      <c r="I703" s="12" t="s">
        <v>832</v>
      </c>
      <c r="J703" s="12">
        <v>526</v>
      </c>
      <c r="K703" s="192">
        <v>20</v>
      </c>
      <c r="L703" s="193">
        <v>3300</v>
      </c>
      <c r="M703" s="167">
        <v>1</v>
      </c>
      <c r="N703" s="167">
        <v>1</v>
      </c>
      <c r="O703" s="167">
        <v>1</v>
      </c>
      <c r="P703" s="167">
        <v>1</v>
      </c>
      <c r="Q703" s="167">
        <v>1</v>
      </c>
      <c r="R703" s="167">
        <v>3</v>
      </c>
      <c r="S703" s="167" t="s">
        <v>811</v>
      </c>
      <c r="T703" s="167">
        <v>0</v>
      </c>
      <c r="U703" s="7" t="s">
        <v>169</v>
      </c>
      <c r="V703" s="7" t="s">
        <v>169</v>
      </c>
      <c r="W703" s="47" t="str">
        <f t="shared" ca="1" si="26"/>
        <v/>
      </c>
      <c r="X703" s="47">
        <f ca="1">VLOOKUP($C703,OFFSET(quests!$A$1,0,0,COUNTA(quests!$A:$A),MATCH(X$2,quests!$1:$1,0)-MATCH($C$2,quests!$1:$1,0)+1),MATCH(X$2,quests!$1:$1,0)-MATCH($C$2,quests!$1:$1,0)+1,FALSE)</f>
        <v>0</v>
      </c>
      <c r="Y703" s="47">
        <f ca="1">VLOOKUP($C703,OFFSET(quests!$A$1,0,0,COUNTA(quests!$A:$A),MATCH(Y$2,quests!$1:$1,0)-MATCH($C$2,quests!$1:$1,0)+1),MATCH(Y$2,quests!$1:$1,0)-MATCH($C$2,quests!$1:$1,0)+1,FALSE)</f>
        <v>0</v>
      </c>
      <c r="Z703" s="47">
        <f ca="1">VLOOKUP($C703,OFFSET(quests!$A$1,0,0,COUNTA(quests!$A:$A),MATCH(Z$2,quests!$1:$1,0)-MATCH($C$2,quests!$1:$1,0)+1),MATCH(Z$2,quests!$1:$1,0)-MATCH($C$2,quests!$1:$1,0)+1,FALSE)</f>
        <v>0</v>
      </c>
      <c r="AA703" s="47">
        <f ca="1">VLOOKUP($C703,OFFSET(quests!$A$1,0,0,COUNTA(quests!$A:$A),MATCH(AA$2,quests!$1:$1,0)-MATCH($C$2,quests!$1:$1,0)+1),MATCH(AA$2,quests!$1:$1,0)-MATCH($C$2,quests!$1:$1,0)+1,FALSE)</f>
        <v>0</v>
      </c>
      <c r="AB703" s="7" t="s">
        <v>56</v>
      </c>
      <c r="AC703" s="33">
        <v>910</v>
      </c>
      <c r="AD703" s="7">
        <v>6</v>
      </c>
      <c r="AE703" s="7" t="s">
        <v>519</v>
      </c>
      <c r="AF703" s="33">
        <v>3900</v>
      </c>
      <c r="AG703" s="33">
        <v>3900</v>
      </c>
      <c r="AH703" s="33" t="s">
        <v>1269</v>
      </c>
      <c r="AI703" s="7">
        <v>-1</v>
      </c>
      <c r="AJ703" s="7">
        <v>-1</v>
      </c>
      <c r="AK703" s="7" t="s">
        <v>1065</v>
      </c>
      <c r="AL703" s="12" t="s">
        <v>1337</v>
      </c>
      <c r="AM703" s="12" t="s">
        <v>2072</v>
      </c>
    </row>
    <row r="704" spans="1:39" ht="21" customHeight="1" x14ac:dyDescent="0.15">
      <c r="A704" s="42" t="str">
        <f t="shared" si="35"/>
        <v>39008_5</v>
      </c>
      <c r="B704" s="23">
        <v>3</v>
      </c>
      <c r="C704" s="31">
        <v>39008</v>
      </c>
      <c r="D704" s="47" t="str">
        <f ca="1">VLOOKUP($C704,OFFSET(quests!$A$1,0,0,COUNTA(quests!$A:$A),MATCH(D$1,quests!$1:$1,0)-MATCH($C$2,quests!$1:$1,0)+1),MATCH(D$1,quests!$1:$1,0)-MATCH($C$2,quests!$1:$1,0)+1,FALSE)</f>
        <v>雪の歌姫</v>
      </c>
      <c r="E704" s="48" t="str">
        <f ca="1">VLOOKUP($C704,OFFSET(quests!$A$1,0,0,COUNTA(quests!$A:$A),MATCH(E$2,quests!$1:$1,0)-MATCH($C$2,quests!$1:$1,0)+1),MATCH(E$2,quests!$1:$1,0)-MATCH($C$2,quests!$1:$1,0)+1,FALSE)</f>
        <v>復刻コラボクエスト</v>
      </c>
      <c r="F704" s="7">
        <v>5</v>
      </c>
      <c r="G704" s="7" t="s">
        <v>382</v>
      </c>
      <c r="H704" s="12" t="s">
        <v>856</v>
      </c>
      <c r="I704" s="12" t="s">
        <v>534</v>
      </c>
      <c r="J704" s="12">
        <v>526</v>
      </c>
      <c r="K704" s="194">
        <v>25</v>
      </c>
      <c r="L704" s="195">
        <v>4200</v>
      </c>
      <c r="M704" s="167">
        <v>1</v>
      </c>
      <c r="N704" s="167">
        <v>1</v>
      </c>
      <c r="O704" s="167">
        <v>1</v>
      </c>
      <c r="P704" s="167">
        <v>1</v>
      </c>
      <c r="Q704" s="167">
        <v>1</v>
      </c>
      <c r="R704" s="167">
        <v>3</v>
      </c>
      <c r="S704" s="167" t="s">
        <v>278</v>
      </c>
      <c r="T704" s="167">
        <v>1</v>
      </c>
      <c r="U704" s="7" t="s">
        <v>169</v>
      </c>
      <c r="V704" s="7" t="s">
        <v>169</v>
      </c>
      <c r="W704" s="47" t="str">
        <f t="shared" ca="1" si="26"/>
        <v/>
      </c>
      <c r="X704" s="47">
        <f ca="1">VLOOKUP($C704,OFFSET(quests!$A$1,0,0,COUNTA(quests!$A:$A),MATCH(X$2,quests!$1:$1,0)-MATCH($C$2,quests!$1:$1,0)+1),MATCH(X$2,quests!$1:$1,0)-MATCH($C$2,quests!$1:$1,0)+1,FALSE)</f>
        <v>0</v>
      </c>
      <c r="Y704" s="47">
        <f ca="1">VLOOKUP($C704,OFFSET(quests!$A$1,0,0,COUNTA(quests!$A:$A),MATCH(Y$2,quests!$1:$1,0)-MATCH($C$2,quests!$1:$1,0)+1),MATCH(Y$2,quests!$1:$1,0)-MATCH($C$2,quests!$1:$1,0)+1,FALSE)</f>
        <v>0</v>
      </c>
      <c r="Z704" s="47">
        <f ca="1">VLOOKUP($C704,OFFSET(quests!$A$1,0,0,COUNTA(quests!$A:$A),MATCH(Z$2,quests!$1:$1,0)-MATCH($C$2,quests!$1:$1,0)+1),MATCH(Z$2,quests!$1:$1,0)-MATCH($C$2,quests!$1:$1,0)+1,FALSE)</f>
        <v>0</v>
      </c>
      <c r="AA704" s="47">
        <f ca="1">VLOOKUP($C704,OFFSET(quests!$A$1,0,0,COUNTA(quests!$A:$A),MATCH(AA$2,quests!$1:$1,0)-MATCH($C$2,quests!$1:$1,0)+1),MATCH(AA$2,quests!$1:$1,0)-MATCH($C$2,quests!$1:$1,0)+1,FALSE)</f>
        <v>0</v>
      </c>
      <c r="AB704" s="7" t="s">
        <v>56</v>
      </c>
      <c r="AC704" s="33">
        <v>910</v>
      </c>
      <c r="AD704" s="7">
        <v>6</v>
      </c>
      <c r="AE704" s="7" t="s">
        <v>519</v>
      </c>
      <c r="AF704" s="33">
        <v>3900</v>
      </c>
      <c r="AG704" s="33">
        <v>3900</v>
      </c>
      <c r="AH704" s="33" t="s">
        <v>1269</v>
      </c>
      <c r="AI704" s="7">
        <v>-1</v>
      </c>
      <c r="AJ704" s="7">
        <v>-1</v>
      </c>
      <c r="AK704" s="7" t="s">
        <v>1065</v>
      </c>
      <c r="AL704" s="12" t="s">
        <v>1337</v>
      </c>
      <c r="AM704" s="12" t="s">
        <v>2072</v>
      </c>
    </row>
    <row r="705" spans="1:39" ht="21" customHeight="1" x14ac:dyDescent="0.15">
      <c r="A705" s="42" t="str">
        <f t="shared" ref="A705:A717" si="36">C705&amp;"_"&amp;F705</f>
        <v>39009_1</v>
      </c>
      <c r="B705" s="23">
        <v>3</v>
      </c>
      <c r="C705" s="31">
        <v>39009</v>
      </c>
      <c r="D705" s="47" t="str">
        <f ca="1">VLOOKUP($C705,OFFSET(quests!$A$1,0,0,COUNTA(quests!$A:$A),MATCH(D$1,quests!$1:$1,0)-MATCH($C$2,quests!$1:$1,0)+1),MATCH(D$1,quests!$1:$1,0)-MATCH($C$2,quests!$1:$1,0)+1,FALSE)</f>
        <v>星空の歌姫</v>
      </c>
      <c r="E705" s="48" t="str">
        <f ca="1">VLOOKUP($C705,OFFSET(quests!$A$1,0,0,COUNTA(quests!$A:$A),MATCH(E$2,quests!$1:$1,0)-MATCH($C$2,quests!$1:$1,0)+1),MATCH(E$2,quests!$1:$1,0)-MATCH($C$2,quests!$1:$1,0)+1,FALSE)</f>
        <v>コラボクエスト</v>
      </c>
      <c r="F705" s="7">
        <v>1</v>
      </c>
      <c r="G705" s="7" t="s">
        <v>382</v>
      </c>
      <c r="H705" s="12" t="s">
        <v>2009</v>
      </c>
      <c r="I705" s="12" t="s">
        <v>857</v>
      </c>
      <c r="J705" s="39">
        <v>1298</v>
      </c>
      <c r="K705" s="192">
        <v>5</v>
      </c>
      <c r="L705" s="167">
        <v>384</v>
      </c>
      <c r="M705" s="167">
        <v>1</v>
      </c>
      <c r="N705" s="167">
        <v>1</v>
      </c>
      <c r="O705" s="167">
        <v>1</v>
      </c>
      <c r="P705" s="167">
        <v>1</v>
      </c>
      <c r="Q705" s="167">
        <v>1</v>
      </c>
      <c r="R705" s="167">
        <v>3</v>
      </c>
      <c r="S705" s="33" t="s">
        <v>811</v>
      </c>
      <c r="T705" s="33">
        <v>0</v>
      </c>
      <c r="U705" s="7" t="s">
        <v>169</v>
      </c>
      <c r="V705" s="7" t="s">
        <v>169</v>
      </c>
      <c r="W705" s="47" t="str">
        <f t="shared" ca="1" si="26"/>
        <v/>
      </c>
      <c r="X705" s="47">
        <f ca="1">VLOOKUP($C705,OFFSET(quests!$A$1,0,0,COUNTA(quests!$A:$A),MATCH(X$2,quests!$1:$1,0)-MATCH($C$2,quests!$1:$1,0)+1),MATCH(X$2,quests!$1:$1,0)-MATCH($C$2,quests!$1:$1,0)+1,FALSE)</f>
        <v>0</v>
      </c>
      <c r="Y705" s="47">
        <f ca="1">VLOOKUP($C705,OFFSET(quests!$A$1,0,0,COUNTA(quests!$A:$A),MATCH(Y$2,quests!$1:$1,0)-MATCH($C$2,quests!$1:$1,0)+1),MATCH(Y$2,quests!$1:$1,0)-MATCH($C$2,quests!$1:$1,0)+1,FALSE)</f>
        <v>0</v>
      </c>
      <c r="Z705" s="47">
        <f ca="1">VLOOKUP($C705,OFFSET(quests!$A$1,0,0,COUNTA(quests!$A:$A),MATCH(Z$2,quests!$1:$1,0)-MATCH($C$2,quests!$1:$1,0)+1),MATCH(Z$2,quests!$1:$1,0)-MATCH($C$2,quests!$1:$1,0)+1,FALSE)</f>
        <v>0</v>
      </c>
      <c r="AA705" s="47">
        <f ca="1">VLOOKUP($C705,OFFSET(quests!$A$1,0,0,COUNTA(quests!$A:$A),MATCH(AA$2,quests!$1:$1,0)-MATCH($C$2,quests!$1:$1,0)+1),MATCH(AA$2,quests!$1:$1,0)-MATCH($C$2,quests!$1:$1,0)+1,FALSE)</f>
        <v>0</v>
      </c>
      <c r="AB705" s="7" t="s">
        <v>56</v>
      </c>
      <c r="AC705" s="33">
        <v>910</v>
      </c>
      <c r="AD705" s="7">
        <v>6</v>
      </c>
      <c r="AE705" s="7" t="s">
        <v>519</v>
      </c>
      <c r="AF705" s="33">
        <v>3939</v>
      </c>
      <c r="AG705" s="33">
        <v>3939</v>
      </c>
      <c r="AH705" s="33" t="s">
        <v>1269</v>
      </c>
      <c r="AI705" s="7">
        <v>-1</v>
      </c>
      <c r="AJ705" s="7">
        <v>-1</v>
      </c>
      <c r="AK705" s="7" t="s">
        <v>1064</v>
      </c>
      <c r="AL705" s="12" t="s">
        <v>1337</v>
      </c>
      <c r="AM705" s="12" t="s">
        <v>2072</v>
      </c>
    </row>
    <row r="706" spans="1:39" ht="21" customHeight="1" x14ac:dyDescent="0.15">
      <c r="A706" s="42" t="str">
        <f t="shared" si="36"/>
        <v>39009_2</v>
      </c>
      <c r="B706" s="23">
        <v>3</v>
      </c>
      <c r="C706" s="31">
        <v>39009</v>
      </c>
      <c r="D706" s="47" t="str">
        <f ca="1">VLOOKUP($C706,OFFSET(quests!$A$1,0,0,COUNTA(quests!$A:$A),MATCH(D$1,quests!$1:$1,0)-MATCH($C$2,quests!$1:$1,0)+1),MATCH(D$1,quests!$1:$1,0)-MATCH($C$2,quests!$1:$1,0)+1,FALSE)</f>
        <v>星空の歌姫</v>
      </c>
      <c r="E706" s="48" t="str">
        <f ca="1">VLOOKUP($C706,OFFSET(quests!$A$1,0,0,COUNTA(quests!$A:$A),MATCH(E$2,quests!$1:$1,0)-MATCH($C$2,quests!$1:$1,0)+1),MATCH(E$2,quests!$1:$1,0)-MATCH($C$2,quests!$1:$1,0)+1,FALSE)</f>
        <v>コラボクエスト</v>
      </c>
      <c r="F706" s="7">
        <v>2</v>
      </c>
      <c r="G706" s="7" t="s">
        <v>382</v>
      </c>
      <c r="H706" s="12" t="s">
        <v>2010</v>
      </c>
      <c r="I706" s="12" t="s">
        <v>831</v>
      </c>
      <c r="J706" s="39">
        <v>1298</v>
      </c>
      <c r="K706" s="194">
        <v>9</v>
      </c>
      <c r="L706" s="167">
        <v>1200</v>
      </c>
      <c r="M706" s="167">
        <v>1</v>
      </c>
      <c r="N706" s="167">
        <v>1</v>
      </c>
      <c r="O706" s="167">
        <v>1</v>
      </c>
      <c r="P706" s="167">
        <v>1</v>
      </c>
      <c r="Q706" s="167">
        <v>1</v>
      </c>
      <c r="R706" s="167">
        <v>3</v>
      </c>
      <c r="S706" s="33" t="s">
        <v>79</v>
      </c>
      <c r="T706" s="33">
        <v>0</v>
      </c>
      <c r="U706" s="7" t="s">
        <v>169</v>
      </c>
      <c r="V706" s="7" t="s">
        <v>169</v>
      </c>
      <c r="W706" s="47" t="str">
        <f t="shared" ca="1" si="26"/>
        <v/>
      </c>
      <c r="X706" s="47">
        <f ca="1">VLOOKUP($C706,OFFSET(quests!$A$1,0,0,COUNTA(quests!$A:$A),MATCH(X$2,quests!$1:$1,0)-MATCH($C$2,quests!$1:$1,0)+1),MATCH(X$2,quests!$1:$1,0)-MATCH($C$2,quests!$1:$1,0)+1,FALSE)</f>
        <v>0</v>
      </c>
      <c r="Y706" s="47">
        <f ca="1">VLOOKUP($C706,OFFSET(quests!$A$1,0,0,COUNTA(quests!$A:$A),MATCH(Y$2,quests!$1:$1,0)-MATCH($C$2,quests!$1:$1,0)+1),MATCH(Y$2,quests!$1:$1,0)-MATCH($C$2,quests!$1:$1,0)+1,FALSE)</f>
        <v>0</v>
      </c>
      <c r="Z706" s="47">
        <f ca="1">VLOOKUP($C706,OFFSET(quests!$A$1,0,0,COUNTA(quests!$A:$A),MATCH(Z$2,quests!$1:$1,0)-MATCH($C$2,quests!$1:$1,0)+1),MATCH(Z$2,quests!$1:$1,0)-MATCH($C$2,quests!$1:$1,0)+1,FALSE)</f>
        <v>0</v>
      </c>
      <c r="AA706" s="47">
        <f ca="1">VLOOKUP($C706,OFFSET(quests!$A$1,0,0,COUNTA(quests!$A:$A),MATCH(AA$2,quests!$1:$1,0)-MATCH($C$2,quests!$1:$1,0)+1),MATCH(AA$2,quests!$1:$1,0)-MATCH($C$2,quests!$1:$1,0)+1,FALSE)</f>
        <v>0</v>
      </c>
      <c r="AB706" s="7" t="s">
        <v>56</v>
      </c>
      <c r="AC706" s="33">
        <v>910</v>
      </c>
      <c r="AD706" s="7">
        <v>6</v>
      </c>
      <c r="AE706" s="7" t="s">
        <v>519</v>
      </c>
      <c r="AF706" s="33">
        <v>3939</v>
      </c>
      <c r="AG706" s="33">
        <v>3939</v>
      </c>
      <c r="AH706" s="33" t="s">
        <v>1269</v>
      </c>
      <c r="AI706" s="7">
        <v>-1</v>
      </c>
      <c r="AJ706" s="7">
        <v>-1</v>
      </c>
      <c r="AK706" s="7" t="s">
        <v>1064</v>
      </c>
      <c r="AL706" s="12" t="s">
        <v>1337</v>
      </c>
      <c r="AM706" s="12" t="s">
        <v>2072</v>
      </c>
    </row>
    <row r="707" spans="1:39" ht="21" customHeight="1" x14ac:dyDescent="0.15">
      <c r="A707" s="42" t="str">
        <f t="shared" si="36"/>
        <v>39009_3</v>
      </c>
      <c r="B707" s="23">
        <v>3</v>
      </c>
      <c r="C707" s="31">
        <v>39009</v>
      </c>
      <c r="D707" s="47" t="str">
        <f ca="1">VLOOKUP($C707,OFFSET(quests!$A$1,0,0,COUNTA(quests!$A:$A),MATCH(D$1,quests!$1:$1,0)-MATCH($C$2,quests!$1:$1,0)+1),MATCH(D$1,quests!$1:$1,0)-MATCH($C$2,quests!$1:$1,0)+1,FALSE)</f>
        <v>星空の歌姫</v>
      </c>
      <c r="E707" s="48" t="str">
        <f ca="1">VLOOKUP($C707,OFFSET(quests!$A$1,0,0,COUNTA(quests!$A:$A),MATCH(E$2,quests!$1:$1,0)-MATCH($C$2,quests!$1:$1,0)+1),MATCH(E$2,quests!$1:$1,0)-MATCH($C$2,quests!$1:$1,0)+1,FALSE)</f>
        <v>コラボクエスト</v>
      </c>
      <c r="F707" s="7">
        <v>3</v>
      </c>
      <c r="G707" s="7" t="s">
        <v>382</v>
      </c>
      <c r="H707" s="12" t="s">
        <v>2011</v>
      </c>
      <c r="I707" s="12" t="s">
        <v>830</v>
      </c>
      <c r="J707" s="39">
        <v>1298</v>
      </c>
      <c r="K707" s="194">
        <v>14</v>
      </c>
      <c r="L707" s="167">
        <v>2000</v>
      </c>
      <c r="M707" s="167">
        <v>1</v>
      </c>
      <c r="N707" s="167">
        <v>1</v>
      </c>
      <c r="O707" s="167">
        <v>1</v>
      </c>
      <c r="P707" s="167">
        <v>1</v>
      </c>
      <c r="Q707" s="167">
        <v>1</v>
      </c>
      <c r="R707" s="167">
        <v>3</v>
      </c>
      <c r="S707" s="33" t="s">
        <v>79</v>
      </c>
      <c r="T707" s="33">
        <v>0</v>
      </c>
      <c r="U707" s="7" t="s">
        <v>169</v>
      </c>
      <c r="V707" s="7" t="s">
        <v>169</v>
      </c>
      <c r="W707" s="47" t="str">
        <f t="shared" ref="W707:W770" ca="1" si="37">IF(U707="NULL","",VLOOKUP($U707&amp;"_"&amp;$V707,OFFSET($A$1,0,0,COUNTA($A:$A),MATCH(W$2,$2:$2,0)-MATCH($A$2,$2:$2,0)+1),MATCH(W$2,$2:$2,0)-MATCH($A$2,$2:$2,0)+1,FALSE))</f>
        <v/>
      </c>
      <c r="X707" s="47">
        <f ca="1">VLOOKUP($C707,OFFSET(quests!$A$1,0,0,COUNTA(quests!$A:$A),MATCH(X$2,quests!$1:$1,0)-MATCH($C$2,quests!$1:$1,0)+1),MATCH(X$2,quests!$1:$1,0)-MATCH($C$2,quests!$1:$1,0)+1,FALSE)</f>
        <v>0</v>
      </c>
      <c r="Y707" s="47">
        <f ca="1">VLOOKUP($C707,OFFSET(quests!$A$1,0,0,COUNTA(quests!$A:$A),MATCH(Y$2,quests!$1:$1,0)-MATCH($C$2,quests!$1:$1,0)+1),MATCH(Y$2,quests!$1:$1,0)-MATCH($C$2,quests!$1:$1,0)+1,FALSE)</f>
        <v>0</v>
      </c>
      <c r="Z707" s="47">
        <f ca="1">VLOOKUP($C707,OFFSET(quests!$A$1,0,0,COUNTA(quests!$A:$A),MATCH(Z$2,quests!$1:$1,0)-MATCH($C$2,quests!$1:$1,0)+1),MATCH(Z$2,quests!$1:$1,0)-MATCH($C$2,quests!$1:$1,0)+1,FALSE)</f>
        <v>0</v>
      </c>
      <c r="AA707" s="47">
        <f ca="1">VLOOKUP($C707,OFFSET(quests!$A$1,0,0,COUNTA(quests!$A:$A),MATCH(AA$2,quests!$1:$1,0)-MATCH($C$2,quests!$1:$1,0)+1),MATCH(AA$2,quests!$1:$1,0)-MATCH($C$2,quests!$1:$1,0)+1,FALSE)</f>
        <v>0</v>
      </c>
      <c r="AB707" s="7" t="s">
        <v>56</v>
      </c>
      <c r="AC707" s="33">
        <v>910</v>
      </c>
      <c r="AD707" s="7">
        <v>6</v>
      </c>
      <c r="AE707" s="7" t="s">
        <v>519</v>
      </c>
      <c r="AF707" s="33">
        <v>3939</v>
      </c>
      <c r="AG707" s="33">
        <v>3939</v>
      </c>
      <c r="AH707" s="33" t="s">
        <v>1269</v>
      </c>
      <c r="AI707" s="7">
        <v>-1</v>
      </c>
      <c r="AJ707" s="7">
        <v>-1</v>
      </c>
      <c r="AK707" s="7" t="s">
        <v>1064</v>
      </c>
      <c r="AL707" s="12" t="s">
        <v>1337</v>
      </c>
      <c r="AM707" s="12" t="s">
        <v>2072</v>
      </c>
    </row>
    <row r="708" spans="1:39" ht="21" customHeight="1" x14ac:dyDescent="0.15">
      <c r="A708" s="42" t="str">
        <f t="shared" si="36"/>
        <v>39009_4</v>
      </c>
      <c r="B708" s="23">
        <v>3</v>
      </c>
      <c r="C708" s="31">
        <v>39009</v>
      </c>
      <c r="D708" s="47" t="str">
        <f ca="1">VLOOKUP($C708,OFFSET(quests!$A$1,0,0,COUNTA(quests!$A:$A),MATCH(D$1,quests!$1:$1,0)-MATCH($C$2,quests!$1:$1,0)+1),MATCH(D$1,quests!$1:$1,0)-MATCH($C$2,quests!$1:$1,0)+1,FALSE)</f>
        <v>星空の歌姫</v>
      </c>
      <c r="E708" s="48" t="str">
        <f ca="1">VLOOKUP($C708,OFFSET(quests!$A$1,0,0,COUNTA(quests!$A:$A),MATCH(E$2,quests!$1:$1,0)-MATCH($C$2,quests!$1:$1,0)+1),MATCH(E$2,quests!$1:$1,0)-MATCH($C$2,quests!$1:$1,0)+1,FALSE)</f>
        <v>コラボクエスト</v>
      </c>
      <c r="F708" s="7">
        <v>4</v>
      </c>
      <c r="G708" s="7" t="s">
        <v>382</v>
      </c>
      <c r="H708" s="12" t="s">
        <v>2012</v>
      </c>
      <c r="I708" s="12" t="s">
        <v>832</v>
      </c>
      <c r="J708" s="39">
        <v>1298</v>
      </c>
      <c r="K708" s="192">
        <v>20</v>
      </c>
      <c r="L708" s="193">
        <v>3300</v>
      </c>
      <c r="M708" s="167">
        <v>1</v>
      </c>
      <c r="N708" s="167">
        <v>1</v>
      </c>
      <c r="O708" s="167">
        <v>1</v>
      </c>
      <c r="P708" s="167">
        <v>1</v>
      </c>
      <c r="Q708" s="167">
        <v>1</v>
      </c>
      <c r="R708" s="167">
        <v>3</v>
      </c>
      <c r="S708" s="33" t="s">
        <v>811</v>
      </c>
      <c r="T708" s="33">
        <v>0</v>
      </c>
      <c r="U708" s="7" t="s">
        <v>169</v>
      </c>
      <c r="V708" s="7" t="s">
        <v>169</v>
      </c>
      <c r="W708" s="47" t="str">
        <f t="shared" ca="1" si="37"/>
        <v/>
      </c>
      <c r="X708" s="47">
        <f ca="1">VLOOKUP($C708,OFFSET(quests!$A$1,0,0,COUNTA(quests!$A:$A),MATCH(X$2,quests!$1:$1,0)-MATCH($C$2,quests!$1:$1,0)+1),MATCH(X$2,quests!$1:$1,0)-MATCH($C$2,quests!$1:$1,0)+1,FALSE)</f>
        <v>0</v>
      </c>
      <c r="Y708" s="47">
        <f ca="1">VLOOKUP($C708,OFFSET(quests!$A$1,0,0,COUNTA(quests!$A:$A),MATCH(Y$2,quests!$1:$1,0)-MATCH($C$2,quests!$1:$1,0)+1),MATCH(Y$2,quests!$1:$1,0)-MATCH($C$2,quests!$1:$1,0)+1,FALSE)</f>
        <v>0</v>
      </c>
      <c r="Z708" s="47">
        <f ca="1">VLOOKUP($C708,OFFSET(quests!$A$1,0,0,COUNTA(quests!$A:$A),MATCH(Z$2,quests!$1:$1,0)-MATCH($C$2,quests!$1:$1,0)+1),MATCH(Z$2,quests!$1:$1,0)-MATCH($C$2,quests!$1:$1,0)+1,FALSE)</f>
        <v>0</v>
      </c>
      <c r="AA708" s="47">
        <f ca="1">VLOOKUP($C708,OFFSET(quests!$A$1,0,0,COUNTA(quests!$A:$A),MATCH(AA$2,quests!$1:$1,0)-MATCH($C$2,quests!$1:$1,0)+1),MATCH(AA$2,quests!$1:$1,0)-MATCH($C$2,quests!$1:$1,0)+1,FALSE)</f>
        <v>0</v>
      </c>
      <c r="AB708" s="7" t="s">
        <v>56</v>
      </c>
      <c r="AC708" s="33">
        <v>910</v>
      </c>
      <c r="AD708" s="7">
        <v>6</v>
      </c>
      <c r="AE708" s="7" t="s">
        <v>519</v>
      </c>
      <c r="AF708" s="33">
        <v>3939</v>
      </c>
      <c r="AG708" s="33">
        <v>3939</v>
      </c>
      <c r="AH708" s="33" t="s">
        <v>1269</v>
      </c>
      <c r="AI708" s="7">
        <v>-1</v>
      </c>
      <c r="AJ708" s="7">
        <v>-1</v>
      </c>
      <c r="AK708" s="7" t="s">
        <v>1065</v>
      </c>
      <c r="AL708" s="12" t="s">
        <v>1337</v>
      </c>
      <c r="AM708" s="12" t="s">
        <v>2072</v>
      </c>
    </row>
    <row r="709" spans="1:39" ht="21" customHeight="1" x14ac:dyDescent="0.15">
      <c r="A709" s="42" t="str">
        <f t="shared" si="36"/>
        <v>39009_5</v>
      </c>
      <c r="B709" s="23">
        <v>3</v>
      </c>
      <c r="C709" s="31">
        <v>39009</v>
      </c>
      <c r="D709" s="47" t="str">
        <f ca="1">VLOOKUP($C709,OFFSET(quests!$A$1,0,0,COUNTA(quests!$A:$A),MATCH(D$1,quests!$1:$1,0)-MATCH($C$2,quests!$1:$1,0)+1),MATCH(D$1,quests!$1:$1,0)-MATCH($C$2,quests!$1:$1,0)+1,FALSE)</f>
        <v>星空の歌姫</v>
      </c>
      <c r="E709" s="48" t="str">
        <f ca="1">VLOOKUP($C709,OFFSET(quests!$A$1,0,0,COUNTA(quests!$A:$A),MATCH(E$2,quests!$1:$1,0)-MATCH($C$2,quests!$1:$1,0)+1),MATCH(E$2,quests!$1:$1,0)-MATCH($C$2,quests!$1:$1,0)+1,FALSE)</f>
        <v>コラボクエスト</v>
      </c>
      <c r="F709" s="7">
        <v>5</v>
      </c>
      <c r="G709" s="7" t="s">
        <v>382</v>
      </c>
      <c r="H709" s="12" t="s">
        <v>2013</v>
      </c>
      <c r="I709" s="12" t="s">
        <v>534</v>
      </c>
      <c r="J709" s="39">
        <v>1298</v>
      </c>
      <c r="K709" s="194">
        <v>25</v>
      </c>
      <c r="L709" s="195">
        <v>4200</v>
      </c>
      <c r="M709" s="167">
        <v>1</v>
      </c>
      <c r="N709" s="167">
        <v>1</v>
      </c>
      <c r="O709" s="167">
        <v>1</v>
      </c>
      <c r="P709" s="167">
        <v>1</v>
      </c>
      <c r="Q709" s="167">
        <v>1</v>
      </c>
      <c r="R709" s="167">
        <v>3</v>
      </c>
      <c r="S709" s="33" t="s">
        <v>278</v>
      </c>
      <c r="T709" s="33">
        <v>1</v>
      </c>
      <c r="U709" s="7" t="s">
        <v>169</v>
      </c>
      <c r="V709" s="7" t="s">
        <v>169</v>
      </c>
      <c r="W709" s="47" t="str">
        <f t="shared" ca="1" si="37"/>
        <v/>
      </c>
      <c r="X709" s="47">
        <f ca="1">VLOOKUP($C709,OFFSET(quests!$A$1,0,0,COUNTA(quests!$A:$A),MATCH(X$2,quests!$1:$1,0)-MATCH($C$2,quests!$1:$1,0)+1),MATCH(X$2,quests!$1:$1,0)-MATCH($C$2,quests!$1:$1,0)+1,FALSE)</f>
        <v>0</v>
      </c>
      <c r="Y709" s="47">
        <f ca="1">VLOOKUP($C709,OFFSET(quests!$A$1,0,0,COUNTA(quests!$A:$A),MATCH(Y$2,quests!$1:$1,0)-MATCH($C$2,quests!$1:$1,0)+1),MATCH(Y$2,quests!$1:$1,0)-MATCH($C$2,quests!$1:$1,0)+1,FALSE)</f>
        <v>0</v>
      </c>
      <c r="Z709" s="47">
        <f ca="1">VLOOKUP($C709,OFFSET(quests!$A$1,0,0,COUNTA(quests!$A:$A),MATCH(Z$2,quests!$1:$1,0)-MATCH($C$2,quests!$1:$1,0)+1),MATCH(Z$2,quests!$1:$1,0)-MATCH($C$2,quests!$1:$1,0)+1,FALSE)</f>
        <v>0</v>
      </c>
      <c r="AA709" s="47">
        <f ca="1">VLOOKUP($C709,OFFSET(quests!$A$1,0,0,COUNTA(quests!$A:$A),MATCH(AA$2,quests!$1:$1,0)-MATCH($C$2,quests!$1:$1,0)+1),MATCH(AA$2,quests!$1:$1,0)-MATCH($C$2,quests!$1:$1,0)+1,FALSE)</f>
        <v>0</v>
      </c>
      <c r="AB709" s="7" t="s">
        <v>56</v>
      </c>
      <c r="AC709" s="33">
        <v>910</v>
      </c>
      <c r="AD709" s="7">
        <v>6</v>
      </c>
      <c r="AE709" s="7" t="s">
        <v>519</v>
      </c>
      <c r="AF709" s="33">
        <v>3939</v>
      </c>
      <c r="AG709" s="33">
        <v>3939</v>
      </c>
      <c r="AH709" s="33" t="s">
        <v>1269</v>
      </c>
      <c r="AI709" s="7">
        <v>-1</v>
      </c>
      <c r="AJ709" s="7">
        <v>-1</v>
      </c>
      <c r="AK709" s="7" t="s">
        <v>1065</v>
      </c>
      <c r="AL709" s="12" t="s">
        <v>1337</v>
      </c>
      <c r="AM709" s="12" t="s">
        <v>2072</v>
      </c>
    </row>
    <row r="710" spans="1:39" ht="21" customHeight="1" x14ac:dyDescent="0.15">
      <c r="A710" s="42" t="str">
        <f t="shared" si="36"/>
        <v>39010_1</v>
      </c>
      <c r="B710" s="23">
        <v>3</v>
      </c>
      <c r="C710" s="31">
        <v>39010</v>
      </c>
      <c r="D710" s="47" t="str">
        <f ca="1">VLOOKUP($C710,OFFSET(quests!$A$1,0,0,COUNTA(quests!$A:$A),MATCH(D$1,quests!$1:$1,0)-MATCH($C$2,quests!$1:$1,0)+1),MATCH(D$1,quests!$1:$1,0)-MATCH($C$2,quests!$1:$1,0)+1,FALSE)</f>
        <v>黄巾賊の暴走を止めろ！</v>
      </c>
      <c r="E710" s="48" t="str">
        <f ca="1">VLOOKUP($C710,OFFSET(quests!$A$1,0,0,COUNTA(quests!$A:$A),MATCH(E$2,quests!$1:$1,0)-MATCH($C$2,quests!$1:$1,0)+1),MATCH(E$2,quests!$1:$1,0)-MATCH($C$2,quests!$1:$1,0)+1,FALSE)</f>
        <v>コラボクエスト（復刻）</v>
      </c>
      <c r="F710" s="7">
        <v>1</v>
      </c>
      <c r="G710" s="7" t="s">
        <v>382</v>
      </c>
      <c r="H710" s="12" t="s">
        <v>1952</v>
      </c>
      <c r="I710" s="12" t="s">
        <v>857</v>
      </c>
      <c r="J710" s="12">
        <v>694</v>
      </c>
      <c r="K710" s="192">
        <v>8</v>
      </c>
      <c r="L710" s="167">
        <v>384</v>
      </c>
      <c r="M710" s="167">
        <v>1</v>
      </c>
      <c r="N710" s="167">
        <v>1</v>
      </c>
      <c r="O710" s="167">
        <v>1</v>
      </c>
      <c r="P710" s="167">
        <v>1</v>
      </c>
      <c r="Q710" s="167">
        <v>1</v>
      </c>
      <c r="R710" s="167">
        <v>3</v>
      </c>
      <c r="S710" s="167" t="s">
        <v>811</v>
      </c>
      <c r="T710" s="167">
        <v>0</v>
      </c>
      <c r="U710" s="7" t="s">
        <v>169</v>
      </c>
      <c r="V710" s="7" t="s">
        <v>169</v>
      </c>
      <c r="W710" s="47" t="str">
        <f t="shared" ca="1" si="37"/>
        <v/>
      </c>
      <c r="X710" s="47">
        <f ca="1">VLOOKUP($C710,OFFSET(quests!$A$1,0,0,COUNTA(quests!$A:$A),MATCH(X$2,quests!$1:$1,0)-MATCH($C$2,quests!$1:$1,0)+1),MATCH(X$2,quests!$1:$1,0)-MATCH($C$2,quests!$1:$1,0)+1,FALSE)</f>
        <v>0</v>
      </c>
      <c r="Y710" s="47">
        <f ca="1">VLOOKUP($C710,OFFSET(quests!$A$1,0,0,COUNTA(quests!$A:$A),MATCH(Y$2,quests!$1:$1,0)-MATCH($C$2,quests!$1:$1,0)+1),MATCH(Y$2,quests!$1:$1,0)-MATCH($C$2,quests!$1:$1,0)+1,FALSE)</f>
        <v>0</v>
      </c>
      <c r="Z710" s="47">
        <f ca="1">VLOOKUP($C710,OFFSET(quests!$A$1,0,0,COUNTA(quests!$A:$A),MATCH(Z$2,quests!$1:$1,0)-MATCH($C$2,quests!$1:$1,0)+1),MATCH(Z$2,quests!$1:$1,0)-MATCH($C$2,quests!$1:$1,0)+1,FALSE)</f>
        <v>0</v>
      </c>
      <c r="AA710" s="47">
        <f ca="1">VLOOKUP($C710,OFFSET(quests!$A$1,0,0,COUNTA(quests!$A:$A),MATCH(AA$2,quests!$1:$1,0)-MATCH($C$2,quests!$1:$1,0)+1),MATCH(AA$2,quests!$1:$1,0)-MATCH($C$2,quests!$1:$1,0)+1,FALSE)</f>
        <v>0</v>
      </c>
      <c r="AB710" s="7" t="s">
        <v>56</v>
      </c>
      <c r="AC710" s="7">
        <v>12</v>
      </c>
      <c r="AD710" s="7">
        <v>6</v>
      </c>
      <c r="AE710" s="7" t="s">
        <v>519</v>
      </c>
      <c r="AF710" s="7">
        <v>11</v>
      </c>
      <c r="AG710" s="7">
        <v>0</v>
      </c>
      <c r="AH710" s="7">
        <v>0</v>
      </c>
      <c r="AI710" s="7">
        <v>-1</v>
      </c>
      <c r="AJ710" s="7">
        <v>-1</v>
      </c>
      <c r="AK710" s="7" t="s">
        <v>1064</v>
      </c>
      <c r="AL710" s="12" t="s">
        <v>1269</v>
      </c>
      <c r="AM710" s="12" t="s">
        <v>2072</v>
      </c>
    </row>
    <row r="711" spans="1:39" ht="21" customHeight="1" x14ac:dyDescent="0.15">
      <c r="A711" s="42" t="str">
        <f t="shared" si="36"/>
        <v>39010_2</v>
      </c>
      <c r="B711" s="23">
        <v>3</v>
      </c>
      <c r="C711" s="31">
        <v>39010</v>
      </c>
      <c r="D711" s="47" t="str">
        <f ca="1">VLOOKUP($C711,OFFSET(quests!$A$1,0,0,COUNTA(quests!$A:$A),MATCH(D$1,quests!$1:$1,0)-MATCH($C$2,quests!$1:$1,0)+1),MATCH(D$1,quests!$1:$1,0)-MATCH($C$2,quests!$1:$1,0)+1,FALSE)</f>
        <v>黄巾賊の暴走を止めろ！</v>
      </c>
      <c r="E711" s="48" t="str">
        <f ca="1">VLOOKUP($C711,OFFSET(quests!$A$1,0,0,COUNTA(quests!$A:$A),MATCH(E$2,quests!$1:$1,0)-MATCH($C$2,quests!$1:$1,0)+1),MATCH(E$2,quests!$1:$1,0)-MATCH($C$2,quests!$1:$1,0)+1,FALSE)</f>
        <v>コラボクエスト（復刻）</v>
      </c>
      <c r="F711" s="7">
        <v>2</v>
      </c>
      <c r="G711" s="7" t="s">
        <v>382</v>
      </c>
      <c r="H711" s="12" t="s">
        <v>1953</v>
      </c>
      <c r="I711" s="12" t="s">
        <v>831</v>
      </c>
      <c r="J711" s="12">
        <v>694</v>
      </c>
      <c r="K711" s="194">
        <v>15</v>
      </c>
      <c r="L711" s="167">
        <v>1200</v>
      </c>
      <c r="M711" s="167">
        <v>1</v>
      </c>
      <c r="N711" s="167">
        <v>1</v>
      </c>
      <c r="O711" s="167">
        <v>1</v>
      </c>
      <c r="P711" s="167">
        <v>1</v>
      </c>
      <c r="Q711" s="167">
        <v>1</v>
      </c>
      <c r="R711" s="167">
        <v>3</v>
      </c>
      <c r="S711" s="167" t="s">
        <v>811</v>
      </c>
      <c r="T711" s="167">
        <v>0</v>
      </c>
      <c r="U711" s="7" t="s">
        <v>169</v>
      </c>
      <c r="V711" s="7" t="s">
        <v>169</v>
      </c>
      <c r="W711" s="47" t="str">
        <f t="shared" ca="1" si="37"/>
        <v/>
      </c>
      <c r="X711" s="47">
        <f ca="1">VLOOKUP($C711,OFFSET(quests!$A$1,0,0,COUNTA(quests!$A:$A),MATCH(X$2,quests!$1:$1,0)-MATCH($C$2,quests!$1:$1,0)+1),MATCH(X$2,quests!$1:$1,0)-MATCH($C$2,quests!$1:$1,0)+1,FALSE)</f>
        <v>0</v>
      </c>
      <c r="Y711" s="47">
        <f ca="1">VLOOKUP($C711,OFFSET(quests!$A$1,0,0,COUNTA(quests!$A:$A),MATCH(Y$2,quests!$1:$1,0)-MATCH($C$2,quests!$1:$1,0)+1),MATCH(Y$2,quests!$1:$1,0)-MATCH($C$2,quests!$1:$1,0)+1,FALSE)</f>
        <v>0</v>
      </c>
      <c r="Z711" s="47">
        <f ca="1">VLOOKUP($C711,OFFSET(quests!$A$1,0,0,COUNTA(quests!$A:$A),MATCH(Z$2,quests!$1:$1,0)-MATCH($C$2,quests!$1:$1,0)+1),MATCH(Z$2,quests!$1:$1,0)-MATCH($C$2,quests!$1:$1,0)+1,FALSE)</f>
        <v>0</v>
      </c>
      <c r="AA711" s="47">
        <f ca="1">VLOOKUP($C711,OFFSET(quests!$A$1,0,0,COUNTA(quests!$A:$A),MATCH(AA$2,quests!$1:$1,0)-MATCH($C$2,quests!$1:$1,0)+1),MATCH(AA$2,quests!$1:$1,0)-MATCH($C$2,quests!$1:$1,0)+1,FALSE)</f>
        <v>0</v>
      </c>
      <c r="AB711" s="7" t="s">
        <v>56</v>
      </c>
      <c r="AC711" s="7">
        <v>12</v>
      </c>
      <c r="AD711" s="7">
        <v>6</v>
      </c>
      <c r="AE711" s="7" t="s">
        <v>519</v>
      </c>
      <c r="AF711" s="7">
        <v>11</v>
      </c>
      <c r="AG711" s="7">
        <v>0</v>
      </c>
      <c r="AH711" s="7">
        <v>0</v>
      </c>
      <c r="AI711" s="7">
        <v>-1</v>
      </c>
      <c r="AJ711" s="7">
        <v>-1</v>
      </c>
      <c r="AK711" s="7" t="s">
        <v>1064</v>
      </c>
      <c r="AL711" s="12" t="s">
        <v>1269</v>
      </c>
      <c r="AM711" s="12" t="s">
        <v>2072</v>
      </c>
    </row>
    <row r="712" spans="1:39" ht="21" customHeight="1" x14ac:dyDescent="0.15">
      <c r="A712" s="42" t="str">
        <f t="shared" si="36"/>
        <v>39010_3</v>
      </c>
      <c r="B712" s="23">
        <v>3</v>
      </c>
      <c r="C712" s="31">
        <v>39010</v>
      </c>
      <c r="D712" s="47" t="str">
        <f ca="1">VLOOKUP($C712,OFFSET(quests!$A$1,0,0,COUNTA(quests!$A:$A),MATCH(D$1,quests!$1:$1,0)-MATCH($C$2,quests!$1:$1,0)+1),MATCH(D$1,quests!$1:$1,0)-MATCH($C$2,quests!$1:$1,0)+1,FALSE)</f>
        <v>黄巾賊の暴走を止めろ！</v>
      </c>
      <c r="E712" s="48" t="str">
        <f ca="1">VLOOKUP($C712,OFFSET(quests!$A$1,0,0,COUNTA(quests!$A:$A),MATCH(E$2,quests!$1:$1,0)-MATCH($C$2,quests!$1:$1,0)+1),MATCH(E$2,quests!$1:$1,0)-MATCH($C$2,quests!$1:$1,0)+1,FALSE)</f>
        <v>コラボクエスト（復刻）</v>
      </c>
      <c r="F712" s="7">
        <v>3</v>
      </c>
      <c r="G712" s="7" t="s">
        <v>382</v>
      </c>
      <c r="H712" s="12" t="s">
        <v>1954</v>
      </c>
      <c r="I712" s="12" t="s">
        <v>830</v>
      </c>
      <c r="J712" s="12">
        <v>694</v>
      </c>
      <c r="K712" s="194">
        <v>20</v>
      </c>
      <c r="L712" s="167">
        <v>2000</v>
      </c>
      <c r="M712" s="167">
        <v>1</v>
      </c>
      <c r="N712" s="167">
        <v>1</v>
      </c>
      <c r="O712" s="167">
        <v>1</v>
      </c>
      <c r="P712" s="167">
        <v>1</v>
      </c>
      <c r="Q712" s="167">
        <v>1</v>
      </c>
      <c r="R712" s="167">
        <v>3</v>
      </c>
      <c r="S712" s="167" t="s">
        <v>811</v>
      </c>
      <c r="T712" s="167">
        <v>0</v>
      </c>
      <c r="U712" s="7" t="s">
        <v>169</v>
      </c>
      <c r="V712" s="7" t="s">
        <v>169</v>
      </c>
      <c r="W712" s="47" t="str">
        <f t="shared" ca="1" si="37"/>
        <v/>
      </c>
      <c r="X712" s="47">
        <f ca="1">VLOOKUP($C712,OFFSET(quests!$A$1,0,0,COUNTA(quests!$A:$A),MATCH(X$2,quests!$1:$1,0)-MATCH($C$2,quests!$1:$1,0)+1),MATCH(X$2,quests!$1:$1,0)-MATCH($C$2,quests!$1:$1,0)+1,FALSE)</f>
        <v>0</v>
      </c>
      <c r="Y712" s="47">
        <f ca="1">VLOOKUP($C712,OFFSET(quests!$A$1,0,0,COUNTA(quests!$A:$A),MATCH(Y$2,quests!$1:$1,0)-MATCH($C$2,quests!$1:$1,0)+1),MATCH(Y$2,quests!$1:$1,0)-MATCH($C$2,quests!$1:$1,0)+1,FALSE)</f>
        <v>0</v>
      </c>
      <c r="Z712" s="47">
        <f ca="1">VLOOKUP($C712,OFFSET(quests!$A$1,0,0,COUNTA(quests!$A:$A),MATCH(Z$2,quests!$1:$1,0)-MATCH($C$2,quests!$1:$1,0)+1),MATCH(Z$2,quests!$1:$1,0)-MATCH($C$2,quests!$1:$1,0)+1,FALSE)</f>
        <v>0</v>
      </c>
      <c r="AA712" s="47">
        <f ca="1">VLOOKUP($C712,OFFSET(quests!$A$1,0,0,COUNTA(quests!$A:$A),MATCH(AA$2,quests!$1:$1,0)-MATCH($C$2,quests!$1:$1,0)+1),MATCH(AA$2,quests!$1:$1,0)-MATCH($C$2,quests!$1:$1,0)+1,FALSE)</f>
        <v>0</v>
      </c>
      <c r="AB712" s="7" t="s">
        <v>56</v>
      </c>
      <c r="AC712" s="7">
        <v>12</v>
      </c>
      <c r="AD712" s="7">
        <v>6</v>
      </c>
      <c r="AE712" s="7" t="s">
        <v>519</v>
      </c>
      <c r="AF712" s="7">
        <v>11</v>
      </c>
      <c r="AG712" s="7">
        <v>0</v>
      </c>
      <c r="AH712" s="7">
        <v>0</v>
      </c>
      <c r="AI712" s="7">
        <v>-1</v>
      </c>
      <c r="AJ712" s="7">
        <v>-1</v>
      </c>
      <c r="AK712" s="7" t="s">
        <v>1064</v>
      </c>
      <c r="AL712" s="12" t="s">
        <v>1269</v>
      </c>
      <c r="AM712" s="12" t="s">
        <v>2072</v>
      </c>
    </row>
    <row r="713" spans="1:39" ht="21" customHeight="1" x14ac:dyDescent="0.15">
      <c r="A713" s="42" t="str">
        <f t="shared" si="36"/>
        <v>39010_4</v>
      </c>
      <c r="B713" s="23">
        <v>3</v>
      </c>
      <c r="C713" s="31">
        <v>39010</v>
      </c>
      <c r="D713" s="47" t="str">
        <f ca="1">VLOOKUP($C713,OFFSET(quests!$A$1,0,0,COUNTA(quests!$A:$A),MATCH(D$1,quests!$1:$1,0)-MATCH($C$2,quests!$1:$1,0)+1),MATCH(D$1,quests!$1:$1,0)-MATCH($C$2,quests!$1:$1,0)+1,FALSE)</f>
        <v>黄巾賊の暴走を止めろ！</v>
      </c>
      <c r="E713" s="48" t="str">
        <f ca="1">VLOOKUP($C713,OFFSET(quests!$A$1,0,0,COUNTA(quests!$A:$A),MATCH(E$2,quests!$1:$1,0)-MATCH($C$2,quests!$1:$1,0)+1),MATCH(E$2,quests!$1:$1,0)-MATCH($C$2,quests!$1:$1,0)+1,FALSE)</f>
        <v>コラボクエスト（復刻）</v>
      </c>
      <c r="F713" s="7">
        <v>4</v>
      </c>
      <c r="G713" s="7" t="s">
        <v>382</v>
      </c>
      <c r="H713" s="12" t="s">
        <v>1955</v>
      </c>
      <c r="I713" s="12" t="s">
        <v>832</v>
      </c>
      <c r="J713" s="12">
        <v>694</v>
      </c>
      <c r="K713" s="192">
        <v>30</v>
      </c>
      <c r="L713" s="193">
        <v>3300</v>
      </c>
      <c r="M713" s="167">
        <v>1</v>
      </c>
      <c r="N713" s="167">
        <v>1</v>
      </c>
      <c r="O713" s="167">
        <v>1</v>
      </c>
      <c r="P713" s="167">
        <v>1</v>
      </c>
      <c r="Q713" s="167">
        <v>1</v>
      </c>
      <c r="R713" s="167">
        <v>3</v>
      </c>
      <c r="S713" s="167" t="s">
        <v>384</v>
      </c>
      <c r="T713" s="167">
        <v>1</v>
      </c>
      <c r="U713" s="7" t="s">
        <v>169</v>
      </c>
      <c r="V713" s="7" t="s">
        <v>169</v>
      </c>
      <c r="W713" s="47" t="str">
        <f t="shared" ca="1" si="37"/>
        <v/>
      </c>
      <c r="X713" s="47">
        <f ca="1">VLOOKUP($C713,OFFSET(quests!$A$1,0,0,COUNTA(quests!$A:$A),MATCH(X$2,quests!$1:$1,0)-MATCH($C$2,quests!$1:$1,0)+1),MATCH(X$2,quests!$1:$1,0)-MATCH($C$2,quests!$1:$1,0)+1,FALSE)</f>
        <v>0</v>
      </c>
      <c r="Y713" s="47">
        <f ca="1">VLOOKUP($C713,OFFSET(quests!$A$1,0,0,COUNTA(quests!$A:$A),MATCH(Y$2,quests!$1:$1,0)-MATCH($C$2,quests!$1:$1,0)+1),MATCH(Y$2,quests!$1:$1,0)-MATCH($C$2,quests!$1:$1,0)+1,FALSE)</f>
        <v>0</v>
      </c>
      <c r="Z713" s="47">
        <f ca="1">VLOOKUP($C713,OFFSET(quests!$A$1,0,0,COUNTA(quests!$A:$A),MATCH(Z$2,quests!$1:$1,0)-MATCH($C$2,quests!$1:$1,0)+1),MATCH(Z$2,quests!$1:$1,0)-MATCH($C$2,quests!$1:$1,0)+1,FALSE)</f>
        <v>0</v>
      </c>
      <c r="AA713" s="47">
        <f ca="1">VLOOKUP($C713,OFFSET(quests!$A$1,0,0,COUNTA(quests!$A:$A),MATCH(AA$2,quests!$1:$1,0)-MATCH($C$2,quests!$1:$1,0)+1),MATCH(AA$2,quests!$1:$1,0)-MATCH($C$2,quests!$1:$1,0)+1,FALSE)</f>
        <v>0</v>
      </c>
      <c r="AB713" s="7" t="s">
        <v>56</v>
      </c>
      <c r="AC713" s="7">
        <v>12</v>
      </c>
      <c r="AD713" s="7">
        <v>6</v>
      </c>
      <c r="AE713" s="7" t="s">
        <v>519</v>
      </c>
      <c r="AF713" s="7">
        <v>11</v>
      </c>
      <c r="AG713" s="7">
        <v>0</v>
      </c>
      <c r="AH713" s="7">
        <v>0</v>
      </c>
      <c r="AI713" s="7">
        <v>-1</v>
      </c>
      <c r="AJ713" s="7">
        <v>-1</v>
      </c>
      <c r="AK713" s="7" t="s">
        <v>1065</v>
      </c>
      <c r="AL713" s="12" t="s">
        <v>1269</v>
      </c>
      <c r="AM713" s="12" t="s">
        <v>2072</v>
      </c>
    </row>
    <row r="714" spans="1:39" ht="21" customHeight="1" x14ac:dyDescent="0.15">
      <c r="A714" s="42" t="str">
        <f t="shared" si="36"/>
        <v>39011_1</v>
      </c>
      <c r="B714" s="23">
        <v>3</v>
      </c>
      <c r="C714" s="31">
        <v>39011</v>
      </c>
      <c r="D714" s="47" t="str">
        <f ca="1">VLOOKUP($C714,OFFSET(quests!$A$1,0,0,COUNTA(quests!$A:$A),MATCH(D$1,quests!$1:$1,0)-MATCH($C$2,quests!$1:$1,0)+1),MATCH(D$1,quests!$1:$1,0)-MATCH($C$2,quests!$1:$1,0)+1,FALSE)</f>
        <v>ブルースクウェアを追え！</v>
      </c>
      <c r="E714" s="48" t="str">
        <f ca="1">VLOOKUP($C714,OFFSET(quests!$A$1,0,0,COUNTA(quests!$A:$A),MATCH(E$2,quests!$1:$1,0)-MATCH($C$2,quests!$1:$1,0)+1),MATCH(E$2,quests!$1:$1,0)-MATCH($C$2,quests!$1:$1,0)+1,FALSE)</f>
        <v>コラボクエスト（復刻）</v>
      </c>
      <c r="F714" s="7">
        <v>1</v>
      </c>
      <c r="G714" s="7" t="s">
        <v>382</v>
      </c>
      <c r="H714" s="12" t="s">
        <v>1105</v>
      </c>
      <c r="I714" s="12" t="s">
        <v>857</v>
      </c>
      <c r="J714" s="12">
        <v>691</v>
      </c>
      <c r="K714" s="192">
        <v>8</v>
      </c>
      <c r="L714" s="167">
        <v>384</v>
      </c>
      <c r="M714" s="167">
        <v>1</v>
      </c>
      <c r="N714" s="167">
        <v>1</v>
      </c>
      <c r="O714" s="167">
        <v>1</v>
      </c>
      <c r="P714" s="167">
        <v>1</v>
      </c>
      <c r="Q714" s="167">
        <v>1</v>
      </c>
      <c r="R714" s="167">
        <v>3</v>
      </c>
      <c r="S714" s="167" t="s">
        <v>811</v>
      </c>
      <c r="T714" s="167">
        <v>0</v>
      </c>
      <c r="U714" s="7" t="s">
        <v>169</v>
      </c>
      <c r="V714" s="7" t="s">
        <v>169</v>
      </c>
      <c r="W714" s="47" t="str">
        <f t="shared" ca="1" si="37"/>
        <v/>
      </c>
      <c r="X714" s="47">
        <f ca="1">VLOOKUP($C714,OFFSET(quests!$A$1,0,0,COUNTA(quests!$A:$A),MATCH(X$2,quests!$1:$1,0)-MATCH($C$2,quests!$1:$1,0)+1),MATCH(X$2,quests!$1:$1,0)-MATCH($C$2,quests!$1:$1,0)+1,FALSE)</f>
        <v>0</v>
      </c>
      <c r="Y714" s="47">
        <f ca="1">VLOOKUP($C714,OFFSET(quests!$A$1,0,0,COUNTA(quests!$A:$A),MATCH(Y$2,quests!$1:$1,0)-MATCH($C$2,quests!$1:$1,0)+1),MATCH(Y$2,quests!$1:$1,0)-MATCH($C$2,quests!$1:$1,0)+1,FALSE)</f>
        <v>0</v>
      </c>
      <c r="Z714" s="47">
        <f ca="1">VLOOKUP($C714,OFFSET(quests!$A$1,0,0,COUNTA(quests!$A:$A),MATCH(Z$2,quests!$1:$1,0)-MATCH($C$2,quests!$1:$1,0)+1),MATCH(Z$2,quests!$1:$1,0)-MATCH($C$2,quests!$1:$1,0)+1,FALSE)</f>
        <v>0</v>
      </c>
      <c r="AA714" s="47">
        <f ca="1">VLOOKUP($C714,OFFSET(quests!$A$1,0,0,COUNTA(quests!$A:$A),MATCH(AA$2,quests!$1:$1,0)-MATCH($C$2,quests!$1:$1,0)+1),MATCH(AA$2,quests!$1:$1,0)-MATCH($C$2,quests!$1:$1,0)+1,FALSE)</f>
        <v>0</v>
      </c>
      <c r="AB714" s="7" t="s">
        <v>56</v>
      </c>
      <c r="AC714" s="7">
        <v>14</v>
      </c>
      <c r="AD714" s="7">
        <v>6</v>
      </c>
      <c r="AE714" s="7" t="s">
        <v>519</v>
      </c>
      <c r="AF714" s="7">
        <v>11</v>
      </c>
      <c r="AG714" s="7">
        <v>0</v>
      </c>
      <c r="AH714" s="7">
        <v>0</v>
      </c>
      <c r="AI714" s="7">
        <v>-1</v>
      </c>
      <c r="AJ714" s="7">
        <v>-1</v>
      </c>
      <c r="AK714" s="7" t="s">
        <v>1064</v>
      </c>
      <c r="AL714" s="12" t="s">
        <v>1269</v>
      </c>
      <c r="AM714" s="12" t="s">
        <v>2072</v>
      </c>
    </row>
    <row r="715" spans="1:39" ht="21" customHeight="1" x14ac:dyDescent="0.15">
      <c r="A715" s="42" t="str">
        <f t="shared" si="36"/>
        <v>39011_2</v>
      </c>
      <c r="B715" s="23">
        <v>3</v>
      </c>
      <c r="C715" s="31">
        <v>39011</v>
      </c>
      <c r="D715" s="47" t="str">
        <f ca="1">VLOOKUP($C715,OFFSET(quests!$A$1,0,0,COUNTA(quests!$A:$A),MATCH(D$1,quests!$1:$1,0)-MATCH($C$2,quests!$1:$1,0)+1),MATCH(D$1,quests!$1:$1,0)-MATCH($C$2,quests!$1:$1,0)+1,FALSE)</f>
        <v>ブルースクウェアを追え！</v>
      </c>
      <c r="E715" s="48" t="str">
        <f ca="1">VLOOKUP($C715,OFFSET(quests!$A$1,0,0,COUNTA(quests!$A:$A),MATCH(E$2,quests!$1:$1,0)-MATCH($C$2,quests!$1:$1,0)+1),MATCH(E$2,quests!$1:$1,0)-MATCH($C$2,quests!$1:$1,0)+1,FALSE)</f>
        <v>コラボクエスト（復刻）</v>
      </c>
      <c r="F715" s="7">
        <v>2</v>
      </c>
      <c r="G715" s="7" t="s">
        <v>382</v>
      </c>
      <c r="H715" s="12" t="s">
        <v>1106</v>
      </c>
      <c r="I715" s="12" t="s">
        <v>831</v>
      </c>
      <c r="J715" s="12">
        <v>691</v>
      </c>
      <c r="K715" s="194">
        <v>15</v>
      </c>
      <c r="L715" s="167">
        <v>1200</v>
      </c>
      <c r="M715" s="167">
        <v>1</v>
      </c>
      <c r="N715" s="167">
        <v>1</v>
      </c>
      <c r="O715" s="167">
        <v>1</v>
      </c>
      <c r="P715" s="167">
        <v>1</v>
      </c>
      <c r="Q715" s="167">
        <v>1</v>
      </c>
      <c r="R715" s="167">
        <v>3</v>
      </c>
      <c r="S715" s="167" t="s">
        <v>811</v>
      </c>
      <c r="T715" s="167">
        <v>0</v>
      </c>
      <c r="U715" s="7" t="s">
        <v>169</v>
      </c>
      <c r="V715" s="7" t="s">
        <v>169</v>
      </c>
      <c r="W715" s="47" t="str">
        <f t="shared" ca="1" si="37"/>
        <v/>
      </c>
      <c r="X715" s="47">
        <f ca="1">VLOOKUP($C715,OFFSET(quests!$A$1,0,0,COUNTA(quests!$A:$A),MATCH(X$2,quests!$1:$1,0)-MATCH($C$2,quests!$1:$1,0)+1),MATCH(X$2,quests!$1:$1,0)-MATCH($C$2,quests!$1:$1,0)+1,FALSE)</f>
        <v>0</v>
      </c>
      <c r="Y715" s="47">
        <f ca="1">VLOOKUP($C715,OFFSET(quests!$A$1,0,0,COUNTA(quests!$A:$A),MATCH(Y$2,quests!$1:$1,0)-MATCH($C$2,quests!$1:$1,0)+1),MATCH(Y$2,quests!$1:$1,0)-MATCH($C$2,quests!$1:$1,0)+1,FALSE)</f>
        <v>0</v>
      </c>
      <c r="Z715" s="47">
        <f ca="1">VLOOKUP($C715,OFFSET(quests!$A$1,0,0,COUNTA(quests!$A:$A),MATCH(Z$2,quests!$1:$1,0)-MATCH($C$2,quests!$1:$1,0)+1),MATCH(Z$2,quests!$1:$1,0)-MATCH($C$2,quests!$1:$1,0)+1,FALSE)</f>
        <v>0</v>
      </c>
      <c r="AA715" s="47">
        <f ca="1">VLOOKUP($C715,OFFSET(quests!$A$1,0,0,COUNTA(quests!$A:$A),MATCH(AA$2,quests!$1:$1,0)-MATCH($C$2,quests!$1:$1,0)+1),MATCH(AA$2,quests!$1:$1,0)-MATCH($C$2,quests!$1:$1,0)+1,FALSE)</f>
        <v>0</v>
      </c>
      <c r="AB715" s="7" t="s">
        <v>56</v>
      </c>
      <c r="AC715" s="7">
        <v>14</v>
      </c>
      <c r="AD715" s="7">
        <v>6</v>
      </c>
      <c r="AE715" s="7" t="s">
        <v>519</v>
      </c>
      <c r="AF715" s="7">
        <v>11</v>
      </c>
      <c r="AG715" s="7">
        <v>0</v>
      </c>
      <c r="AH715" s="7">
        <v>0</v>
      </c>
      <c r="AI715" s="7">
        <v>-1</v>
      </c>
      <c r="AJ715" s="7">
        <v>-1</v>
      </c>
      <c r="AK715" s="7" t="s">
        <v>1064</v>
      </c>
      <c r="AL715" s="12" t="s">
        <v>1269</v>
      </c>
      <c r="AM715" s="12" t="s">
        <v>2072</v>
      </c>
    </row>
    <row r="716" spans="1:39" ht="21" customHeight="1" x14ac:dyDescent="0.15">
      <c r="A716" s="42" t="str">
        <f t="shared" si="36"/>
        <v>39011_3</v>
      </c>
      <c r="B716" s="23">
        <v>3</v>
      </c>
      <c r="C716" s="31">
        <v>39011</v>
      </c>
      <c r="D716" s="47" t="str">
        <f ca="1">VLOOKUP($C716,OFFSET(quests!$A$1,0,0,COUNTA(quests!$A:$A),MATCH(D$1,quests!$1:$1,0)-MATCH($C$2,quests!$1:$1,0)+1),MATCH(D$1,quests!$1:$1,0)-MATCH($C$2,quests!$1:$1,0)+1,FALSE)</f>
        <v>ブルースクウェアを追え！</v>
      </c>
      <c r="E716" s="48" t="str">
        <f ca="1">VLOOKUP($C716,OFFSET(quests!$A$1,0,0,COUNTA(quests!$A:$A),MATCH(E$2,quests!$1:$1,0)-MATCH($C$2,quests!$1:$1,0)+1),MATCH(E$2,quests!$1:$1,0)-MATCH($C$2,quests!$1:$1,0)+1,FALSE)</f>
        <v>コラボクエスト（復刻）</v>
      </c>
      <c r="F716" s="7">
        <v>3</v>
      </c>
      <c r="G716" s="7" t="s">
        <v>382</v>
      </c>
      <c r="H716" s="12" t="s">
        <v>1107</v>
      </c>
      <c r="I716" s="12" t="s">
        <v>830</v>
      </c>
      <c r="J716" s="12">
        <v>691</v>
      </c>
      <c r="K716" s="194">
        <v>20</v>
      </c>
      <c r="L716" s="167">
        <v>2000</v>
      </c>
      <c r="M716" s="167">
        <v>1</v>
      </c>
      <c r="N716" s="167">
        <v>1</v>
      </c>
      <c r="O716" s="167">
        <v>1</v>
      </c>
      <c r="P716" s="167">
        <v>1</v>
      </c>
      <c r="Q716" s="167">
        <v>1</v>
      </c>
      <c r="R716" s="167">
        <v>3</v>
      </c>
      <c r="S716" s="167" t="s">
        <v>811</v>
      </c>
      <c r="T716" s="167">
        <v>0</v>
      </c>
      <c r="U716" s="7" t="s">
        <v>169</v>
      </c>
      <c r="V716" s="7" t="s">
        <v>169</v>
      </c>
      <c r="W716" s="47" t="str">
        <f t="shared" ca="1" si="37"/>
        <v/>
      </c>
      <c r="X716" s="47">
        <f ca="1">VLOOKUP($C716,OFFSET(quests!$A$1,0,0,COUNTA(quests!$A:$A),MATCH(X$2,quests!$1:$1,0)-MATCH($C$2,quests!$1:$1,0)+1),MATCH(X$2,quests!$1:$1,0)-MATCH($C$2,quests!$1:$1,0)+1,FALSE)</f>
        <v>0</v>
      </c>
      <c r="Y716" s="47">
        <f ca="1">VLOOKUP($C716,OFFSET(quests!$A$1,0,0,COUNTA(quests!$A:$A),MATCH(Y$2,quests!$1:$1,0)-MATCH($C$2,quests!$1:$1,0)+1),MATCH(Y$2,quests!$1:$1,0)-MATCH($C$2,quests!$1:$1,0)+1,FALSE)</f>
        <v>0</v>
      </c>
      <c r="Z716" s="47">
        <f ca="1">VLOOKUP($C716,OFFSET(quests!$A$1,0,0,COUNTA(quests!$A:$A),MATCH(Z$2,quests!$1:$1,0)-MATCH($C$2,quests!$1:$1,0)+1),MATCH(Z$2,quests!$1:$1,0)-MATCH($C$2,quests!$1:$1,0)+1,FALSE)</f>
        <v>0</v>
      </c>
      <c r="AA716" s="47">
        <f ca="1">VLOOKUP($C716,OFFSET(quests!$A$1,0,0,COUNTA(quests!$A:$A),MATCH(AA$2,quests!$1:$1,0)-MATCH($C$2,quests!$1:$1,0)+1),MATCH(AA$2,quests!$1:$1,0)-MATCH($C$2,quests!$1:$1,0)+1,FALSE)</f>
        <v>0</v>
      </c>
      <c r="AB716" s="7" t="s">
        <v>56</v>
      </c>
      <c r="AC716" s="7">
        <v>14</v>
      </c>
      <c r="AD716" s="7">
        <v>6</v>
      </c>
      <c r="AE716" s="7" t="s">
        <v>519</v>
      </c>
      <c r="AF716" s="7">
        <v>11</v>
      </c>
      <c r="AG716" s="7">
        <v>0</v>
      </c>
      <c r="AH716" s="7">
        <v>0</v>
      </c>
      <c r="AI716" s="7">
        <v>-1</v>
      </c>
      <c r="AJ716" s="7">
        <v>-1</v>
      </c>
      <c r="AK716" s="7" t="s">
        <v>1064</v>
      </c>
      <c r="AL716" s="12" t="s">
        <v>1269</v>
      </c>
      <c r="AM716" s="12" t="s">
        <v>2072</v>
      </c>
    </row>
    <row r="717" spans="1:39" ht="21" customHeight="1" x14ac:dyDescent="0.15">
      <c r="A717" s="42" t="str">
        <f t="shared" si="36"/>
        <v>39011_4</v>
      </c>
      <c r="B717" s="23">
        <v>3</v>
      </c>
      <c r="C717" s="31">
        <v>39011</v>
      </c>
      <c r="D717" s="47" t="str">
        <f ca="1">VLOOKUP($C717,OFFSET(quests!$A$1,0,0,COUNTA(quests!$A:$A),MATCH(D$1,quests!$1:$1,0)-MATCH($C$2,quests!$1:$1,0)+1),MATCH(D$1,quests!$1:$1,0)-MATCH($C$2,quests!$1:$1,0)+1,FALSE)</f>
        <v>ブルースクウェアを追え！</v>
      </c>
      <c r="E717" s="48" t="str">
        <f ca="1">VLOOKUP($C717,OFFSET(quests!$A$1,0,0,COUNTA(quests!$A:$A),MATCH(E$2,quests!$1:$1,0)-MATCH($C$2,quests!$1:$1,0)+1),MATCH(E$2,quests!$1:$1,0)-MATCH($C$2,quests!$1:$1,0)+1,FALSE)</f>
        <v>コラボクエスト（復刻）</v>
      </c>
      <c r="F717" s="7">
        <v>4</v>
      </c>
      <c r="G717" s="7" t="s">
        <v>382</v>
      </c>
      <c r="H717" s="12" t="s">
        <v>1108</v>
      </c>
      <c r="I717" s="12" t="s">
        <v>832</v>
      </c>
      <c r="J717" s="12">
        <v>691</v>
      </c>
      <c r="K717" s="192">
        <v>30</v>
      </c>
      <c r="L717" s="193">
        <v>3300</v>
      </c>
      <c r="M717" s="167">
        <v>1</v>
      </c>
      <c r="N717" s="167">
        <v>1</v>
      </c>
      <c r="O717" s="167">
        <v>1</v>
      </c>
      <c r="P717" s="167">
        <v>1</v>
      </c>
      <c r="Q717" s="167">
        <v>1</v>
      </c>
      <c r="R717" s="167">
        <v>3</v>
      </c>
      <c r="S717" s="167" t="s">
        <v>384</v>
      </c>
      <c r="T717" s="167">
        <v>1</v>
      </c>
      <c r="U717" s="7" t="s">
        <v>169</v>
      </c>
      <c r="V717" s="7" t="s">
        <v>169</v>
      </c>
      <c r="W717" s="47" t="str">
        <f t="shared" ca="1" si="37"/>
        <v/>
      </c>
      <c r="X717" s="47">
        <f ca="1">VLOOKUP($C717,OFFSET(quests!$A$1,0,0,COUNTA(quests!$A:$A),MATCH(X$2,quests!$1:$1,0)-MATCH($C$2,quests!$1:$1,0)+1),MATCH(X$2,quests!$1:$1,0)-MATCH($C$2,quests!$1:$1,0)+1,FALSE)</f>
        <v>0</v>
      </c>
      <c r="Y717" s="47">
        <f ca="1">VLOOKUP($C717,OFFSET(quests!$A$1,0,0,COUNTA(quests!$A:$A),MATCH(Y$2,quests!$1:$1,0)-MATCH($C$2,quests!$1:$1,0)+1),MATCH(Y$2,quests!$1:$1,0)-MATCH($C$2,quests!$1:$1,0)+1,FALSE)</f>
        <v>0</v>
      </c>
      <c r="Z717" s="47">
        <f ca="1">VLOOKUP($C717,OFFSET(quests!$A$1,0,0,COUNTA(quests!$A:$A),MATCH(Z$2,quests!$1:$1,0)-MATCH($C$2,quests!$1:$1,0)+1),MATCH(Z$2,quests!$1:$1,0)-MATCH($C$2,quests!$1:$1,0)+1,FALSE)</f>
        <v>0</v>
      </c>
      <c r="AA717" s="47">
        <f ca="1">VLOOKUP($C717,OFFSET(quests!$A$1,0,0,COUNTA(quests!$A:$A),MATCH(AA$2,quests!$1:$1,0)-MATCH($C$2,quests!$1:$1,0)+1),MATCH(AA$2,quests!$1:$1,0)-MATCH($C$2,quests!$1:$1,0)+1,FALSE)</f>
        <v>0</v>
      </c>
      <c r="AB717" s="7" t="s">
        <v>56</v>
      </c>
      <c r="AC717" s="7">
        <v>14</v>
      </c>
      <c r="AD717" s="7">
        <v>6</v>
      </c>
      <c r="AE717" s="7" t="s">
        <v>519</v>
      </c>
      <c r="AF717" s="7">
        <v>11</v>
      </c>
      <c r="AG717" s="7">
        <v>0</v>
      </c>
      <c r="AH717" s="7">
        <v>0</v>
      </c>
      <c r="AI717" s="7">
        <v>-1</v>
      </c>
      <c r="AJ717" s="7">
        <v>-1</v>
      </c>
      <c r="AK717" s="7" t="s">
        <v>1065</v>
      </c>
      <c r="AL717" s="12" t="s">
        <v>1269</v>
      </c>
      <c r="AM717" s="12" t="s">
        <v>2072</v>
      </c>
    </row>
    <row r="718" spans="1:39" ht="21" customHeight="1" x14ac:dyDescent="0.15">
      <c r="A718" s="42" t="str">
        <f t="shared" ref="A718:A722" si="38">C718&amp;"_"&amp;F718</f>
        <v>39012_1</v>
      </c>
      <c r="B718" s="39">
        <v>3</v>
      </c>
      <c r="C718" s="31">
        <v>39012</v>
      </c>
      <c r="D718" s="47" t="str">
        <f ca="1">VLOOKUP($C718,OFFSET(quests!$A$1,0,0,COUNTA(quests!$A:$A),MATCH(D$1,quests!$1:$1,0)-MATCH($C$2,quests!$1:$1,0)+1),MATCH(D$1,quests!$1:$1,0)-MATCH($C$2,quests!$1:$1,0)+1,FALSE)</f>
        <v>侵略！？にゃんこ軍団現る！</v>
      </c>
      <c r="E718" s="48" t="str">
        <f ca="1">VLOOKUP($C718,OFFSET(quests!$A$1,0,0,COUNTA(quests!$A:$A),MATCH(E$2,quests!$1:$1,0)-MATCH($C$2,quests!$1:$1,0)+1),MATCH(E$2,quests!$1:$1,0)-MATCH($C$2,quests!$1:$1,0)+1,FALSE)</f>
        <v>コラボクエスト</v>
      </c>
      <c r="F718" s="7">
        <v>1</v>
      </c>
      <c r="G718" s="7" t="s">
        <v>382</v>
      </c>
      <c r="H718" s="12" t="s">
        <v>2186</v>
      </c>
      <c r="I718" s="12" t="s">
        <v>857</v>
      </c>
      <c r="J718" s="12">
        <v>1506</v>
      </c>
      <c r="K718" s="192">
        <v>8</v>
      </c>
      <c r="L718" s="167">
        <v>600</v>
      </c>
      <c r="M718" s="167">
        <v>1</v>
      </c>
      <c r="N718" s="167">
        <v>1</v>
      </c>
      <c r="O718" s="167">
        <v>1</v>
      </c>
      <c r="P718" s="167">
        <v>1</v>
      </c>
      <c r="Q718" s="167">
        <v>1</v>
      </c>
      <c r="R718" s="167">
        <v>3</v>
      </c>
      <c r="S718" s="167" t="s">
        <v>2187</v>
      </c>
      <c r="T718" s="167">
        <v>704</v>
      </c>
      <c r="U718" s="7" t="s">
        <v>169</v>
      </c>
      <c r="V718" s="7" t="s">
        <v>169</v>
      </c>
      <c r="W718" s="47" t="str">
        <f t="shared" ca="1" si="37"/>
        <v/>
      </c>
      <c r="X718" s="47">
        <f ca="1">VLOOKUP($C718,OFFSET(quests!$A$1,0,0,COUNTA(quests!$A:$A),MATCH(X$2,quests!$1:$1,0)-MATCH($C$2,quests!$1:$1,0)+1),MATCH(X$2,quests!$1:$1,0)-MATCH($C$2,quests!$1:$1,0)+1,FALSE)</f>
        <v>0</v>
      </c>
      <c r="Y718" s="47">
        <f ca="1">VLOOKUP($C718,OFFSET(quests!$A$1,0,0,COUNTA(quests!$A:$A),MATCH(Y$2,quests!$1:$1,0)-MATCH($C$2,quests!$1:$1,0)+1),MATCH(Y$2,quests!$1:$1,0)-MATCH($C$2,quests!$1:$1,0)+1,FALSE)</f>
        <v>0</v>
      </c>
      <c r="Z718" s="47">
        <f ca="1">VLOOKUP($C718,OFFSET(quests!$A$1,0,0,COUNTA(quests!$A:$A),MATCH(Z$2,quests!$1:$1,0)-MATCH($C$2,quests!$1:$1,0)+1),MATCH(Z$2,quests!$1:$1,0)-MATCH($C$2,quests!$1:$1,0)+1,FALSE)</f>
        <v>0</v>
      </c>
      <c r="AA718" s="47">
        <f ca="1">VLOOKUP($C718,OFFSET(quests!$A$1,0,0,COUNTA(quests!$A:$A),MATCH(AA$2,quests!$1:$1,0)-MATCH($C$2,quests!$1:$1,0)+1),MATCH(AA$2,quests!$1:$1,0)-MATCH($C$2,quests!$1:$1,0)+1,FALSE)</f>
        <v>0</v>
      </c>
      <c r="AB718" s="7" t="s">
        <v>56</v>
      </c>
      <c r="AC718" s="33">
        <v>980</v>
      </c>
      <c r="AD718" s="7">
        <v>6</v>
      </c>
      <c r="AE718" s="7" t="s">
        <v>519</v>
      </c>
      <c r="AF718" s="7">
        <v>2222</v>
      </c>
      <c r="AG718" s="7">
        <v>2222</v>
      </c>
      <c r="AH718" s="7">
        <v>2222</v>
      </c>
      <c r="AI718" s="7">
        <v>-1</v>
      </c>
      <c r="AJ718" s="7">
        <v>-1</v>
      </c>
      <c r="AK718" s="7" t="s">
        <v>2072</v>
      </c>
      <c r="AL718" s="12" t="s">
        <v>1269</v>
      </c>
      <c r="AM718" s="12" t="s">
        <v>2072</v>
      </c>
    </row>
    <row r="719" spans="1:39" ht="21" customHeight="1" x14ac:dyDescent="0.15">
      <c r="A719" s="42" t="str">
        <f t="shared" si="38"/>
        <v>39012_2</v>
      </c>
      <c r="B719" s="39">
        <v>3</v>
      </c>
      <c r="C719" s="31">
        <v>39012</v>
      </c>
      <c r="D719" s="47" t="str">
        <f ca="1">VLOOKUP($C719,OFFSET(quests!$A$1,0,0,COUNTA(quests!$A:$A),MATCH(D$1,quests!$1:$1,0)-MATCH($C$2,quests!$1:$1,0)+1),MATCH(D$1,quests!$1:$1,0)-MATCH($C$2,quests!$1:$1,0)+1,FALSE)</f>
        <v>侵略！？にゃんこ軍団現る！</v>
      </c>
      <c r="E719" s="48" t="str">
        <f ca="1">VLOOKUP($C719,OFFSET(quests!$A$1,0,0,COUNTA(quests!$A:$A),MATCH(E$2,quests!$1:$1,0)-MATCH($C$2,quests!$1:$1,0)+1),MATCH(E$2,quests!$1:$1,0)-MATCH($C$2,quests!$1:$1,0)+1,FALSE)</f>
        <v>コラボクエスト</v>
      </c>
      <c r="F719" s="7">
        <v>2</v>
      </c>
      <c r="G719" s="7" t="s">
        <v>382</v>
      </c>
      <c r="H719" s="12" t="s">
        <v>2185</v>
      </c>
      <c r="I719" s="12" t="s">
        <v>831</v>
      </c>
      <c r="J719" s="12">
        <v>1507</v>
      </c>
      <c r="K719" s="194">
        <v>12</v>
      </c>
      <c r="L719" s="167">
        <v>1200</v>
      </c>
      <c r="M719" s="167">
        <v>1</v>
      </c>
      <c r="N719" s="167">
        <v>1</v>
      </c>
      <c r="O719" s="167">
        <v>1</v>
      </c>
      <c r="P719" s="167">
        <v>1</v>
      </c>
      <c r="Q719" s="167">
        <v>1</v>
      </c>
      <c r="R719" s="167">
        <v>3</v>
      </c>
      <c r="S719" s="167" t="s">
        <v>2187</v>
      </c>
      <c r="T719" s="167">
        <v>704</v>
      </c>
      <c r="U719" s="7" t="s">
        <v>169</v>
      </c>
      <c r="V719" s="7" t="s">
        <v>169</v>
      </c>
      <c r="W719" s="47" t="str">
        <f t="shared" ca="1" si="37"/>
        <v/>
      </c>
      <c r="X719" s="47">
        <f ca="1">VLOOKUP($C719,OFFSET(quests!$A$1,0,0,COUNTA(quests!$A:$A),MATCH(X$2,quests!$1:$1,0)-MATCH($C$2,quests!$1:$1,0)+1),MATCH(X$2,quests!$1:$1,0)-MATCH($C$2,quests!$1:$1,0)+1,FALSE)</f>
        <v>0</v>
      </c>
      <c r="Y719" s="47">
        <f ca="1">VLOOKUP($C719,OFFSET(quests!$A$1,0,0,COUNTA(quests!$A:$A),MATCH(Y$2,quests!$1:$1,0)-MATCH($C$2,quests!$1:$1,0)+1),MATCH(Y$2,quests!$1:$1,0)-MATCH($C$2,quests!$1:$1,0)+1,FALSE)</f>
        <v>0</v>
      </c>
      <c r="Z719" s="47">
        <f ca="1">VLOOKUP($C719,OFFSET(quests!$A$1,0,0,COUNTA(quests!$A:$A),MATCH(Z$2,quests!$1:$1,0)-MATCH($C$2,quests!$1:$1,0)+1),MATCH(Z$2,quests!$1:$1,0)-MATCH($C$2,quests!$1:$1,0)+1,FALSE)</f>
        <v>0</v>
      </c>
      <c r="AA719" s="47">
        <f ca="1">VLOOKUP($C719,OFFSET(quests!$A$1,0,0,COUNTA(quests!$A:$A),MATCH(AA$2,quests!$1:$1,0)-MATCH($C$2,quests!$1:$1,0)+1),MATCH(AA$2,quests!$1:$1,0)-MATCH($C$2,quests!$1:$1,0)+1,FALSE)</f>
        <v>0</v>
      </c>
      <c r="AB719" s="7" t="s">
        <v>56</v>
      </c>
      <c r="AC719" s="33">
        <v>980</v>
      </c>
      <c r="AD719" s="7">
        <v>6</v>
      </c>
      <c r="AE719" s="7" t="s">
        <v>519</v>
      </c>
      <c r="AF719" s="7">
        <v>2222</v>
      </c>
      <c r="AG719" s="7">
        <v>2222</v>
      </c>
      <c r="AH719" s="7">
        <v>2222</v>
      </c>
      <c r="AI719" s="7">
        <v>-1</v>
      </c>
      <c r="AJ719" s="7">
        <v>-1</v>
      </c>
      <c r="AK719" s="7" t="s">
        <v>2073</v>
      </c>
      <c r="AL719" s="12" t="s">
        <v>1269</v>
      </c>
      <c r="AM719" s="12" t="s">
        <v>2072</v>
      </c>
    </row>
    <row r="720" spans="1:39" ht="21" customHeight="1" x14ac:dyDescent="0.15">
      <c r="A720" s="42" t="str">
        <f t="shared" si="38"/>
        <v>39012_3</v>
      </c>
      <c r="B720" s="39">
        <v>3</v>
      </c>
      <c r="C720" s="31">
        <v>39012</v>
      </c>
      <c r="D720" s="47" t="str">
        <f ca="1">VLOOKUP($C720,OFFSET(quests!$A$1,0,0,COUNTA(quests!$A:$A),MATCH(D$1,quests!$1:$1,0)-MATCH($C$2,quests!$1:$1,0)+1),MATCH(D$1,quests!$1:$1,0)-MATCH($C$2,quests!$1:$1,0)+1,FALSE)</f>
        <v>侵略！？にゃんこ軍団現る！</v>
      </c>
      <c r="E720" s="48" t="str">
        <f ca="1">VLOOKUP($C720,OFFSET(quests!$A$1,0,0,COUNTA(quests!$A:$A),MATCH(E$2,quests!$1:$1,0)-MATCH($C$2,quests!$1:$1,0)+1),MATCH(E$2,quests!$1:$1,0)-MATCH($C$2,quests!$1:$1,0)+1,FALSE)</f>
        <v>コラボクエスト</v>
      </c>
      <c r="F720" s="7">
        <v>3</v>
      </c>
      <c r="G720" s="7" t="s">
        <v>382</v>
      </c>
      <c r="H720" s="12" t="s">
        <v>2184</v>
      </c>
      <c r="I720" s="12" t="s">
        <v>830</v>
      </c>
      <c r="J720" s="12">
        <v>1508</v>
      </c>
      <c r="K720" s="194">
        <v>16</v>
      </c>
      <c r="L720" s="167">
        <v>2000</v>
      </c>
      <c r="M720" s="167">
        <v>1</v>
      </c>
      <c r="N720" s="167">
        <v>1</v>
      </c>
      <c r="O720" s="167">
        <v>1</v>
      </c>
      <c r="P720" s="167">
        <v>1</v>
      </c>
      <c r="Q720" s="167">
        <v>1</v>
      </c>
      <c r="R720" s="167">
        <v>3</v>
      </c>
      <c r="S720" s="167" t="s">
        <v>2187</v>
      </c>
      <c r="T720" s="167">
        <v>704</v>
      </c>
      <c r="U720" s="7" t="s">
        <v>169</v>
      </c>
      <c r="V720" s="7" t="s">
        <v>169</v>
      </c>
      <c r="W720" s="47" t="str">
        <f t="shared" ca="1" si="37"/>
        <v/>
      </c>
      <c r="X720" s="47">
        <f ca="1">VLOOKUP($C720,OFFSET(quests!$A$1,0,0,COUNTA(quests!$A:$A),MATCH(X$2,quests!$1:$1,0)-MATCH($C$2,quests!$1:$1,0)+1),MATCH(X$2,quests!$1:$1,0)-MATCH($C$2,quests!$1:$1,0)+1,FALSE)</f>
        <v>0</v>
      </c>
      <c r="Y720" s="47">
        <f ca="1">VLOOKUP($C720,OFFSET(quests!$A$1,0,0,COUNTA(quests!$A:$A),MATCH(Y$2,quests!$1:$1,0)-MATCH($C$2,quests!$1:$1,0)+1),MATCH(Y$2,quests!$1:$1,0)-MATCH($C$2,quests!$1:$1,0)+1,FALSE)</f>
        <v>0</v>
      </c>
      <c r="Z720" s="47">
        <f ca="1">VLOOKUP($C720,OFFSET(quests!$A$1,0,0,COUNTA(quests!$A:$A),MATCH(Z$2,quests!$1:$1,0)-MATCH($C$2,quests!$1:$1,0)+1),MATCH(Z$2,quests!$1:$1,0)-MATCH($C$2,quests!$1:$1,0)+1,FALSE)</f>
        <v>0</v>
      </c>
      <c r="AA720" s="47">
        <f ca="1">VLOOKUP($C720,OFFSET(quests!$A$1,0,0,COUNTA(quests!$A:$A),MATCH(AA$2,quests!$1:$1,0)-MATCH($C$2,quests!$1:$1,0)+1),MATCH(AA$2,quests!$1:$1,0)-MATCH($C$2,quests!$1:$1,0)+1,FALSE)</f>
        <v>0</v>
      </c>
      <c r="AB720" s="7" t="s">
        <v>56</v>
      </c>
      <c r="AC720" s="33">
        <v>980</v>
      </c>
      <c r="AD720" s="7">
        <v>6</v>
      </c>
      <c r="AE720" s="7" t="s">
        <v>519</v>
      </c>
      <c r="AF720" s="7">
        <v>2222</v>
      </c>
      <c r="AG720" s="7">
        <v>2222</v>
      </c>
      <c r="AH720" s="7">
        <v>2222</v>
      </c>
      <c r="AI720" s="7">
        <v>-1</v>
      </c>
      <c r="AJ720" s="7">
        <v>-1</v>
      </c>
      <c r="AK720" s="7" t="s">
        <v>2073</v>
      </c>
      <c r="AL720" s="12" t="s">
        <v>1269</v>
      </c>
      <c r="AM720" s="12" t="s">
        <v>2072</v>
      </c>
    </row>
    <row r="721" spans="1:39" ht="21" customHeight="1" x14ac:dyDescent="0.15">
      <c r="A721" s="42" t="str">
        <f t="shared" si="38"/>
        <v>39012_4</v>
      </c>
      <c r="B721" s="39">
        <v>3</v>
      </c>
      <c r="C721" s="31">
        <v>39012</v>
      </c>
      <c r="D721" s="47" t="str">
        <f ca="1">VLOOKUP($C721,OFFSET(quests!$A$1,0,0,COUNTA(quests!$A:$A),MATCH(D$1,quests!$1:$1,0)-MATCH($C$2,quests!$1:$1,0)+1),MATCH(D$1,quests!$1:$1,0)-MATCH($C$2,quests!$1:$1,0)+1,FALSE)</f>
        <v>侵略！？にゃんこ軍団現る！</v>
      </c>
      <c r="E721" s="48" t="str">
        <f ca="1">VLOOKUP($C721,OFFSET(quests!$A$1,0,0,COUNTA(quests!$A:$A),MATCH(E$2,quests!$1:$1,0)-MATCH($C$2,quests!$1:$1,0)+1),MATCH(E$2,quests!$1:$1,0)-MATCH($C$2,quests!$1:$1,0)+1,FALSE)</f>
        <v>コラボクエスト</v>
      </c>
      <c r="F721" s="7">
        <v>4</v>
      </c>
      <c r="G721" s="7" t="s">
        <v>382</v>
      </c>
      <c r="H721" s="12" t="s">
        <v>2188</v>
      </c>
      <c r="I721" s="12" t="s">
        <v>832</v>
      </c>
      <c r="J721" s="12">
        <v>1509</v>
      </c>
      <c r="K721" s="192">
        <v>20</v>
      </c>
      <c r="L721" s="193">
        <v>3000</v>
      </c>
      <c r="M721" s="167">
        <v>1</v>
      </c>
      <c r="N721" s="167">
        <v>1</v>
      </c>
      <c r="O721" s="167">
        <v>1</v>
      </c>
      <c r="P721" s="167">
        <v>1</v>
      </c>
      <c r="Q721" s="167">
        <v>1</v>
      </c>
      <c r="R721" s="167">
        <v>3</v>
      </c>
      <c r="S721" s="167" t="s">
        <v>2187</v>
      </c>
      <c r="T721" s="167">
        <v>704</v>
      </c>
      <c r="U721" s="7" t="s">
        <v>169</v>
      </c>
      <c r="V721" s="7" t="s">
        <v>169</v>
      </c>
      <c r="W721" s="47" t="str">
        <f t="shared" ca="1" si="37"/>
        <v/>
      </c>
      <c r="X721" s="47">
        <f ca="1">VLOOKUP($C721,OFFSET(quests!$A$1,0,0,COUNTA(quests!$A:$A),MATCH(X$2,quests!$1:$1,0)-MATCH($C$2,quests!$1:$1,0)+1),MATCH(X$2,quests!$1:$1,0)-MATCH($C$2,quests!$1:$1,0)+1,FALSE)</f>
        <v>0</v>
      </c>
      <c r="Y721" s="47">
        <f ca="1">VLOOKUP($C721,OFFSET(quests!$A$1,0,0,COUNTA(quests!$A:$A),MATCH(Y$2,quests!$1:$1,0)-MATCH($C$2,quests!$1:$1,0)+1),MATCH(Y$2,quests!$1:$1,0)-MATCH($C$2,quests!$1:$1,0)+1,FALSE)</f>
        <v>0</v>
      </c>
      <c r="Z721" s="47">
        <f ca="1">VLOOKUP($C721,OFFSET(quests!$A$1,0,0,COUNTA(quests!$A:$A),MATCH(Z$2,quests!$1:$1,0)-MATCH($C$2,quests!$1:$1,0)+1),MATCH(Z$2,quests!$1:$1,0)-MATCH($C$2,quests!$1:$1,0)+1,FALSE)</f>
        <v>0</v>
      </c>
      <c r="AA721" s="47">
        <f ca="1">VLOOKUP($C721,OFFSET(quests!$A$1,0,0,COUNTA(quests!$A:$A),MATCH(AA$2,quests!$1:$1,0)-MATCH($C$2,quests!$1:$1,0)+1),MATCH(AA$2,quests!$1:$1,0)-MATCH($C$2,quests!$1:$1,0)+1,FALSE)</f>
        <v>0</v>
      </c>
      <c r="AB721" s="7" t="s">
        <v>56</v>
      </c>
      <c r="AC721" s="33">
        <v>980</v>
      </c>
      <c r="AD721" s="7">
        <v>6</v>
      </c>
      <c r="AE721" s="7" t="s">
        <v>519</v>
      </c>
      <c r="AF721" s="7">
        <v>2222</v>
      </c>
      <c r="AG721" s="7">
        <v>2222</v>
      </c>
      <c r="AH721" s="7">
        <v>2222</v>
      </c>
      <c r="AI721" s="7">
        <v>-1</v>
      </c>
      <c r="AJ721" s="7">
        <v>-1</v>
      </c>
      <c r="AK721" s="7" t="s">
        <v>2074</v>
      </c>
      <c r="AL721" s="12" t="s">
        <v>1269</v>
      </c>
      <c r="AM721" s="12" t="s">
        <v>2072</v>
      </c>
    </row>
    <row r="722" spans="1:39" ht="21" customHeight="1" x14ac:dyDescent="0.15">
      <c r="A722" s="42" t="str">
        <f t="shared" si="38"/>
        <v>39012_5</v>
      </c>
      <c r="B722" s="39">
        <v>3</v>
      </c>
      <c r="C722" s="31">
        <v>39012</v>
      </c>
      <c r="D722" s="47" t="str">
        <f ca="1">VLOOKUP($C722,OFFSET(quests!$A$1,0,0,COUNTA(quests!$A:$A),MATCH(D$1,quests!$1:$1,0)-MATCH($C$2,quests!$1:$1,0)+1),MATCH(D$1,quests!$1:$1,0)-MATCH($C$2,quests!$1:$1,0)+1,FALSE)</f>
        <v>侵略！？にゃんこ軍団現る！</v>
      </c>
      <c r="E722" s="48" t="str">
        <f ca="1">VLOOKUP($C722,OFFSET(quests!$A$1,0,0,COUNTA(quests!$A:$A),MATCH(E$2,quests!$1:$1,0)-MATCH($C$2,quests!$1:$1,0)+1),MATCH(E$2,quests!$1:$1,0)-MATCH($C$2,quests!$1:$1,0)+1,FALSE)</f>
        <v>コラボクエスト</v>
      </c>
      <c r="F722" s="7">
        <v>5</v>
      </c>
      <c r="G722" s="7" t="s">
        <v>382</v>
      </c>
      <c r="H722" s="12" t="s">
        <v>2189</v>
      </c>
      <c r="I722" s="12" t="s">
        <v>534</v>
      </c>
      <c r="J722" s="12">
        <v>1512</v>
      </c>
      <c r="K722" s="192">
        <v>26</v>
      </c>
      <c r="L722" s="195">
        <v>4000</v>
      </c>
      <c r="M722" s="167">
        <v>1</v>
      </c>
      <c r="N722" s="167">
        <v>1</v>
      </c>
      <c r="O722" s="167">
        <v>1</v>
      </c>
      <c r="P722" s="167">
        <v>1</v>
      </c>
      <c r="Q722" s="167">
        <v>1</v>
      </c>
      <c r="R722" s="167">
        <v>3</v>
      </c>
      <c r="S722" s="167" t="s">
        <v>384</v>
      </c>
      <c r="T722" s="167">
        <v>1</v>
      </c>
      <c r="U722" s="7" t="s">
        <v>169</v>
      </c>
      <c r="V722" s="7" t="s">
        <v>169</v>
      </c>
      <c r="W722" s="47" t="str">
        <f t="shared" ca="1" si="37"/>
        <v/>
      </c>
      <c r="X722" s="47">
        <f ca="1">VLOOKUP($C722,OFFSET(quests!$A$1,0,0,COUNTA(quests!$A:$A),MATCH(X$2,quests!$1:$1,0)-MATCH($C$2,quests!$1:$1,0)+1),MATCH(X$2,quests!$1:$1,0)-MATCH($C$2,quests!$1:$1,0)+1,FALSE)</f>
        <v>0</v>
      </c>
      <c r="Y722" s="47">
        <f ca="1">VLOOKUP($C722,OFFSET(quests!$A$1,0,0,COUNTA(quests!$A:$A),MATCH(Y$2,quests!$1:$1,0)-MATCH($C$2,quests!$1:$1,0)+1),MATCH(Y$2,quests!$1:$1,0)-MATCH($C$2,quests!$1:$1,0)+1,FALSE)</f>
        <v>0</v>
      </c>
      <c r="Z722" s="47">
        <f ca="1">VLOOKUP($C722,OFFSET(quests!$A$1,0,0,COUNTA(quests!$A:$A),MATCH(Z$2,quests!$1:$1,0)-MATCH($C$2,quests!$1:$1,0)+1),MATCH(Z$2,quests!$1:$1,0)-MATCH($C$2,quests!$1:$1,0)+1,FALSE)</f>
        <v>0</v>
      </c>
      <c r="AA722" s="47">
        <f ca="1">VLOOKUP($C722,OFFSET(quests!$A$1,0,0,COUNTA(quests!$A:$A),MATCH(AA$2,quests!$1:$1,0)-MATCH($C$2,quests!$1:$1,0)+1),MATCH(AA$2,quests!$1:$1,0)-MATCH($C$2,quests!$1:$1,0)+1,FALSE)</f>
        <v>0</v>
      </c>
      <c r="AB722" s="7" t="s">
        <v>56</v>
      </c>
      <c r="AC722" s="33">
        <v>980</v>
      </c>
      <c r="AD722" s="7">
        <v>6</v>
      </c>
      <c r="AE722" s="7" t="s">
        <v>519</v>
      </c>
      <c r="AF722" s="7">
        <v>2222</v>
      </c>
      <c r="AG722" s="7">
        <v>2222</v>
      </c>
      <c r="AH722" s="7">
        <v>2222</v>
      </c>
      <c r="AI722" s="7">
        <v>-1</v>
      </c>
      <c r="AJ722" s="7">
        <v>-1</v>
      </c>
      <c r="AK722" s="7" t="s">
        <v>1065</v>
      </c>
      <c r="AL722" s="12" t="s">
        <v>1269</v>
      </c>
      <c r="AM722" s="12" t="s">
        <v>2072</v>
      </c>
    </row>
    <row r="723" spans="1:39" ht="21" customHeight="1" x14ac:dyDescent="0.15">
      <c r="A723" s="42" t="str">
        <f t="shared" ref="A723:A726" si="39">C723&amp;"_"&amp;F723</f>
        <v>39013_1</v>
      </c>
      <c r="B723" s="326">
        <v>1</v>
      </c>
      <c r="C723" s="31">
        <v>39013</v>
      </c>
      <c r="D723" s="47" t="str">
        <f ca="1">VLOOKUP($C723,OFFSET(quests!$A$1,0,0,COUNTA(quests!$A:$A),MATCH(D$1,quests!$1:$1,0)-MATCH($C$2,quests!$1:$1,0)+1),MATCH(D$1,quests!$1:$1,0)-MATCH($C$2,quests!$1:$1,0)+1,FALSE)</f>
        <v>兄左</v>
      </c>
      <c r="E723" s="48" t="str">
        <f ca="1">VLOOKUP($C723,OFFSET(quests!$A$1,0,0,COUNTA(quests!$A:$A),MATCH(E$2,quests!$1:$1,0)-MATCH($C$2,quests!$1:$1,0)+1),MATCH(E$2,quests!$1:$1,0)-MATCH($C$2,quests!$1:$1,0)+1,FALSE)</f>
        <v>コラボクエスト</v>
      </c>
      <c r="F723" s="7">
        <v>1</v>
      </c>
      <c r="G723" s="7" t="s">
        <v>382</v>
      </c>
      <c r="H723" s="12" t="s">
        <v>2270</v>
      </c>
      <c r="I723" s="12" t="s">
        <v>2274</v>
      </c>
      <c r="J723" s="23">
        <v>1584</v>
      </c>
      <c r="K723" s="192">
        <v>8</v>
      </c>
      <c r="L723" s="167">
        <v>384</v>
      </c>
      <c r="M723" s="167">
        <v>1</v>
      </c>
      <c r="N723" s="167">
        <v>1</v>
      </c>
      <c r="O723" s="167">
        <v>1</v>
      </c>
      <c r="P723" s="167">
        <v>1</v>
      </c>
      <c r="Q723" s="167">
        <v>1</v>
      </c>
      <c r="R723" s="167">
        <v>3</v>
      </c>
      <c r="S723" s="167" t="s">
        <v>79</v>
      </c>
      <c r="T723" s="167">
        <v>0</v>
      </c>
      <c r="U723" s="7" t="s">
        <v>169</v>
      </c>
      <c r="V723" s="7" t="s">
        <v>169</v>
      </c>
      <c r="W723" s="47" t="str">
        <f t="shared" ca="1" si="37"/>
        <v/>
      </c>
      <c r="X723" s="47">
        <f ca="1">VLOOKUP($C723,OFFSET(quests!$A$1,0,0,COUNTA(quests!$A:$A),MATCH(X$2,quests!$1:$1,0)-MATCH($C$2,quests!$1:$1,0)+1),MATCH(X$2,quests!$1:$1,0)-MATCH($C$2,quests!$1:$1,0)+1,FALSE)</f>
        <v>0</v>
      </c>
      <c r="Y723" s="47">
        <f ca="1">VLOOKUP($C723,OFFSET(quests!$A$1,0,0,COUNTA(quests!$A:$A),MATCH(Y$2,quests!$1:$1,0)-MATCH($C$2,quests!$1:$1,0)+1),MATCH(Y$2,quests!$1:$1,0)-MATCH($C$2,quests!$1:$1,0)+1,FALSE)</f>
        <v>0</v>
      </c>
      <c r="Z723" s="47">
        <f ca="1">VLOOKUP($C723,OFFSET(quests!$A$1,0,0,COUNTA(quests!$A:$A),MATCH(Z$2,quests!$1:$1,0)-MATCH($C$2,quests!$1:$1,0)+1),MATCH(Z$2,quests!$1:$1,0)-MATCH($C$2,quests!$1:$1,0)+1,FALSE)</f>
        <v>0</v>
      </c>
      <c r="AA723" s="47">
        <f ca="1">VLOOKUP($C723,OFFSET(quests!$A$1,0,0,COUNTA(quests!$A:$A),MATCH(AA$2,quests!$1:$1,0)-MATCH($C$2,quests!$1:$1,0)+1),MATCH(AA$2,quests!$1:$1,0)-MATCH($C$2,quests!$1:$1,0)+1,FALSE)</f>
        <v>0</v>
      </c>
      <c r="AB723" s="7" t="s">
        <v>56</v>
      </c>
      <c r="AC723" s="167">
        <v>996</v>
      </c>
      <c r="AD723" s="7">
        <v>6</v>
      </c>
      <c r="AE723" s="7" t="s">
        <v>519</v>
      </c>
      <c r="AF723" s="167">
        <v>9800</v>
      </c>
      <c r="AG723" s="167">
        <v>9800</v>
      </c>
      <c r="AH723" s="167">
        <v>0</v>
      </c>
      <c r="AI723" s="7">
        <v>-1</v>
      </c>
      <c r="AJ723" s="7">
        <v>-1</v>
      </c>
      <c r="AK723" s="7" t="s">
        <v>1064</v>
      </c>
      <c r="AL723" s="12" t="s">
        <v>1269</v>
      </c>
      <c r="AM723" s="12" t="s">
        <v>2072</v>
      </c>
    </row>
    <row r="724" spans="1:39" ht="21" customHeight="1" x14ac:dyDescent="0.15">
      <c r="A724" s="42" t="str">
        <f t="shared" si="39"/>
        <v>39013_2</v>
      </c>
      <c r="B724" s="326">
        <v>1</v>
      </c>
      <c r="C724" s="31">
        <v>39013</v>
      </c>
      <c r="D724" s="47" t="str">
        <f ca="1">VLOOKUP($C724,OFFSET(quests!$A$1,0,0,COUNTA(quests!$A:$A),MATCH(D$1,quests!$1:$1,0)-MATCH($C$2,quests!$1:$1,0)+1),MATCH(D$1,quests!$1:$1,0)-MATCH($C$2,quests!$1:$1,0)+1,FALSE)</f>
        <v>兄左</v>
      </c>
      <c r="E724" s="48" t="str">
        <f ca="1">VLOOKUP($C724,OFFSET(quests!$A$1,0,0,COUNTA(quests!$A:$A),MATCH(E$2,quests!$1:$1,0)-MATCH($C$2,quests!$1:$1,0)+1),MATCH(E$2,quests!$1:$1,0)-MATCH($C$2,quests!$1:$1,0)+1,FALSE)</f>
        <v>コラボクエスト</v>
      </c>
      <c r="F724" s="7">
        <v>2</v>
      </c>
      <c r="G724" s="7" t="s">
        <v>382</v>
      </c>
      <c r="H724" s="12" t="s">
        <v>2271</v>
      </c>
      <c r="I724" s="12" t="s">
        <v>831</v>
      </c>
      <c r="J724" s="23">
        <v>1584</v>
      </c>
      <c r="K724" s="194">
        <v>15</v>
      </c>
      <c r="L724" s="167">
        <v>1200</v>
      </c>
      <c r="M724" s="167">
        <v>1</v>
      </c>
      <c r="N724" s="167">
        <v>1</v>
      </c>
      <c r="O724" s="167">
        <v>1</v>
      </c>
      <c r="P724" s="167">
        <v>1</v>
      </c>
      <c r="Q724" s="167">
        <v>1</v>
      </c>
      <c r="R724" s="167">
        <v>3</v>
      </c>
      <c r="S724" s="167" t="s">
        <v>79</v>
      </c>
      <c r="T724" s="167">
        <v>0</v>
      </c>
      <c r="U724" s="7" t="s">
        <v>169</v>
      </c>
      <c r="V724" s="7" t="s">
        <v>169</v>
      </c>
      <c r="W724" s="47" t="str">
        <f t="shared" ca="1" si="37"/>
        <v/>
      </c>
      <c r="X724" s="47">
        <f ca="1">VLOOKUP($C724,OFFSET(quests!$A$1,0,0,COUNTA(quests!$A:$A),MATCH(X$2,quests!$1:$1,0)-MATCH($C$2,quests!$1:$1,0)+1),MATCH(X$2,quests!$1:$1,0)-MATCH($C$2,quests!$1:$1,0)+1,FALSE)</f>
        <v>0</v>
      </c>
      <c r="Y724" s="47">
        <f ca="1">VLOOKUP($C724,OFFSET(quests!$A$1,0,0,COUNTA(quests!$A:$A),MATCH(Y$2,quests!$1:$1,0)-MATCH($C$2,quests!$1:$1,0)+1),MATCH(Y$2,quests!$1:$1,0)-MATCH($C$2,quests!$1:$1,0)+1,FALSE)</f>
        <v>0</v>
      </c>
      <c r="Z724" s="47">
        <f ca="1">VLOOKUP($C724,OFFSET(quests!$A$1,0,0,COUNTA(quests!$A:$A),MATCH(Z$2,quests!$1:$1,0)-MATCH($C$2,quests!$1:$1,0)+1),MATCH(Z$2,quests!$1:$1,0)-MATCH($C$2,quests!$1:$1,0)+1,FALSE)</f>
        <v>0</v>
      </c>
      <c r="AA724" s="47">
        <f ca="1">VLOOKUP($C724,OFFSET(quests!$A$1,0,0,COUNTA(quests!$A:$A),MATCH(AA$2,quests!$1:$1,0)-MATCH($C$2,quests!$1:$1,0)+1),MATCH(AA$2,quests!$1:$1,0)-MATCH($C$2,quests!$1:$1,0)+1,FALSE)</f>
        <v>0</v>
      </c>
      <c r="AB724" s="7" t="s">
        <v>56</v>
      </c>
      <c r="AC724" s="167">
        <v>996</v>
      </c>
      <c r="AD724" s="7">
        <v>6</v>
      </c>
      <c r="AE724" s="7" t="s">
        <v>519</v>
      </c>
      <c r="AF724" s="167">
        <v>9800</v>
      </c>
      <c r="AG724" s="167">
        <v>9800</v>
      </c>
      <c r="AH724" s="167">
        <v>0</v>
      </c>
      <c r="AI724" s="7">
        <v>-1</v>
      </c>
      <c r="AJ724" s="7">
        <v>-1</v>
      </c>
      <c r="AK724" s="7" t="s">
        <v>1064</v>
      </c>
      <c r="AL724" s="12" t="s">
        <v>1269</v>
      </c>
      <c r="AM724" s="12" t="s">
        <v>2072</v>
      </c>
    </row>
    <row r="725" spans="1:39" ht="21" customHeight="1" x14ac:dyDescent="0.15">
      <c r="A725" s="42" t="str">
        <f t="shared" si="39"/>
        <v>39013_3</v>
      </c>
      <c r="B725" s="326">
        <v>1</v>
      </c>
      <c r="C725" s="31">
        <v>39013</v>
      </c>
      <c r="D725" s="47" t="str">
        <f ca="1">VLOOKUP($C725,OFFSET(quests!$A$1,0,0,COUNTA(quests!$A:$A),MATCH(D$1,quests!$1:$1,0)-MATCH($C$2,quests!$1:$1,0)+1),MATCH(D$1,quests!$1:$1,0)-MATCH($C$2,quests!$1:$1,0)+1,FALSE)</f>
        <v>兄左</v>
      </c>
      <c r="E725" s="48" t="str">
        <f ca="1">VLOOKUP($C725,OFFSET(quests!$A$1,0,0,COUNTA(quests!$A:$A),MATCH(E$2,quests!$1:$1,0)-MATCH($C$2,quests!$1:$1,0)+1),MATCH(E$2,quests!$1:$1,0)-MATCH($C$2,quests!$1:$1,0)+1,FALSE)</f>
        <v>コラボクエスト</v>
      </c>
      <c r="F725" s="7">
        <v>3</v>
      </c>
      <c r="G725" s="7" t="s">
        <v>382</v>
      </c>
      <c r="H725" s="12" t="s">
        <v>2272</v>
      </c>
      <c r="I725" s="12" t="s">
        <v>2275</v>
      </c>
      <c r="J725" s="23">
        <v>1585</v>
      </c>
      <c r="K725" s="194">
        <v>20</v>
      </c>
      <c r="L725" s="167">
        <v>2000</v>
      </c>
      <c r="M725" s="167">
        <v>1</v>
      </c>
      <c r="N725" s="167">
        <v>1</v>
      </c>
      <c r="O725" s="167">
        <v>1</v>
      </c>
      <c r="P725" s="167">
        <v>1</v>
      </c>
      <c r="Q725" s="167">
        <v>1</v>
      </c>
      <c r="R725" s="167">
        <v>3</v>
      </c>
      <c r="S725" s="167" t="s">
        <v>79</v>
      </c>
      <c r="T725" s="167">
        <v>0</v>
      </c>
      <c r="U725" s="7" t="s">
        <v>169</v>
      </c>
      <c r="V725" s="7" t="s">
        <v>169</v>
      </c>
      <c r="W725" s="47" t="str">
        <f t="shared" ca="1" si="37"/>
        <v/>
      </c>
      <c r="X725" s="47">
        <f ca="1">VLOOKUP($C725,OFFSET(quests!$A$1,0,0,COUNTA(quests!$A:$A),MATCH(X$2,quests!$1:$1,0)-MATCH($C$2,quests!$1:$1,0)+1),MATCH(X$2,quests!$1:$1,0)-MATCH($C$2,quests!$1:$1,0)+1,FALSE)</f>
        <v>0</v>
      </c>
      <c r="Y725" s="47">
        <f ca="1">VLOOKUP($C725,OFFSET(quests!$A$1,0,0,COUNTA(quests!$A:$A),MATCH(Y$2,quests!$1:$1,0)-MATCH($C$2,quests!$1:$1,0)+1),MATCH(Y$2,quests!$1:$1,0)-MATCH($C$2,quests!$1:$1,0)+1,FALSE)</f>
        <v>0</v>
      </c>
      <c r="Z725" s="47">
        <f ca="1">VLOOKUP($C725,OFFSET(quests!$A$1,0,0,COUNTA(quests!$A:$A),MATCH(Z$2,quests!$1:$1,0)-MATCH($C$2,quests!$1:$1,0)+1),MATCH(Z$2,quests!$1:$1,0)-MATCH($C$2,quests!$1:$1,0)+1,FALSE)</f>
        <v>0</v>
      </c>
      <c r="AA725" s="47">
        <f ca="1">VLOOKUP($C725,OFFSET(quests!$A$1,0,0,COUNTA(quests!$A:$A),MATCH(AA$2,quests!$1:$1,0)-MATCH($C$2,quests!$1:$1,0)+1),MATCH(AA$2,quests!$1:$1,0)-MATCH($C$2,quests!$1:$1,0)+1,FALSE)</f>
        <v>0</v>
      </c>
      <c r="AB725" s="7" t="s">
        <v>56</v>
      </c>
      <c r="AC725" s="167">
        <v>996</v>
      </c>
      <c r="AD725" s="7">
        <v>6</v>
      </c>
      <c r="AE725" s="7" t="s">
        <v>519</v>
      </c>
      <c r="AF725" s="167">
        <v>9800</v>
      </c>
      <c r="AG725" s="167">
        <v>9800</v>
      </c>
      <c r="AH725" s="167">
        <v>0</v>
      </c>
      <c r="AI725" s="7">
        <v>-1</v>
      </c>
      <c r="AJ725" s="7">
        <v>-1</v>
      </c>
      <c r="AK725" s="7" t="s">
        <v>1064</v>
      </c>
      <c r="AL725" s="12" t="s">
        <v>1269</v>
      </c>
      <c r="AM725" s="12" t="s">
        <v>2072</v>
      </c>
    </row>
    <row r="726" spans="1:39" ht="21" customHeight="1" x14ac:dyDescent="0.15">
      <c r="A726" s="42" t="str">
        <f t="shared" si="39"/>
        <v>39013_4</v>
      </c>
      <c r="B726" s="326">
        <v>1</v>
      </c>
      <c r="C726" s="31">
        <v>39013</v>
      </c>
      <c r="D726" s="47" t="str">
        <f ca="1">VLOOKUP($C726,OFFSET(quests!$A$1,0,0,COUNTA(quests!$A:$A),MATCH(D$1,quests!$1:$1,0)-MATCH($C$2,quests!$1:$1,0)+1),MATCH(D$1,quests!$1:$1,0)-MATCH($C$2,quests!$1:$1,0)+1,FALSE)</f>
        <v>兄左</v>
      </c>
      <c r="E726" s="48" t="str">
        <f ca="1">VLOOKUP($C726,OFFSET(quests!$A$1,0,0,COUNTA(quests!$A:$A),MATCH(E$2,quests!$1:$1,0)-MATCH($C$2,quests!$1:$1,0)+1),MATCH(E$2,quests!$1:$1,0)-MATCH($C$2,quests!$1:$1,0)+1,FALSE)</f>
        <v>コラボクエスト</v>
      </c>
      <c r="F726" s="7">
        <v>4</v>
      </c>
      <c r="G726" s="7" t="s">
        <v>382</v>
      </c>
      <c r="H726" s="12" t="s">
        <v>2273</v>
      </c>
      <c r="I726" s="12" t="s">
        <v>832</v>
      </c>
      <c r="J726" s="23">
        <v>1586</v>
      </c>
      <c r="K726" s="192">
        <v>30</v>
      </c>
      <c r="L726" s="195">
        <v>3300</v>
      </c>
      <c r="M726" s="167">
        <v>1</v>
      </c>
      <c r="N726" s="167">
        <v>1</v>
      </c>
      <c r="O726" s="167">
        <v>1</v>
      </c>
      <c r="P726" s="167">
        <v>1</v>
      </c>
      <c r="Q726" s="167">
        <v>1</v>
      </c>
      <c r="R726" s="167">
        <v>3</v>
      </c>
      <c r="S726" s="167" t="s">
        <v>527</v>
      </c>
      <c r="T726" s="167">
        <v>1</v>
      </c>
      <c r="U726" s="7" t="s">
        <v>169</v>
      </c>
      <c r="V726" s="7" t="s">
        <v>169</v>
      </c>
      <c r="W726" s="47" t="str">
        <f t="shared" ca="1" si="37"/>
        <v/>
      </c>
      <c r="X726" s="47">
        <f ca="1">VLOOKUP($C726,OFFSET(quests!$A$1,0,0,COUNTA(quests!$A:$A),MATCH(X$2,quests!$1:$1,0)-MATCH($C$2,quests!$1:$1,0)+1),MATCH(X$2,quests!$1:$1,0)-MATCH($C$2,quests!$1:$1,0)+1,FALSE)</f>
        <v>0</v>
      </c>
      <c r="Y726" s="47">
        <f ca="1">VLOOKUP($C726,OFFSET(quests!$A$1,0,0,COUNTA(quests!$A:$A),MATCH(Y$2,quests!$1:$1,0)-MATCH($C$2,quests!$1:$1,0)+1),MATCH(Y$2,quests!$1:$1,0)-MATCH($C$2,quests!$1:$1,0)+1,FALSE)</f>
        <v>0</v>
      </c>
      <c r="Z726" s="47">
        <f ca="1">VLOOKUP($C726,OFFSET(quests!$A$1,0,0,COUNTA(quests!$A:$A),MATCH(Z$2,quests!$1:$1,0)-MATCH($C$2,quests!$1:$1,0)+1),MATCH(Z$2,quests!$1:$1,0)-MATCH($C$2,quests!$1:$1,0)+1,FALSE)</f>
        <v>0</v>
      </c>
      <c r="AA726" s="47">
        <f ca="1">VLOOKUP($C726,OFFSET(quests!$A$1,0,0,COUNTA(quests!$A:$A),MATCH(AA$2,quests!$1:$1,0)-MATCH($C$2,quests!$1:$1,0)+1),MATCH(AA$2,quests!$1:$1,0)-MATCH($C$2,quests!$1:$1,0)+1,FALSE)</f>
        <v>0</v>
      </c>
      <c r="AB726" s="7" t="s">
        <v>56</v>
      </c>
      <c r="AC726" s="167">
        <v>996</v>
      </c>
      <c r="AD726" s="7">
        <v>6</v>
      </c>
      <c r="AE726" s="7" t="s">
        <v>519</v>
      </c>
      <c r="AF726" s="167">
        <v>9800</v>
      </c>
      <c r="AG726" s="167">
        <v>9800</v>
      </c>
      <c r="AH726" s="167">
        <v>0</v>
      </c>
      <c r="AI726" s="7">
        <v>-1</v>
      </c>
      <c r="AJ726" s="7">
        <v>-1</v>
      </c>
      <c r="AK726" s="7" t="s">
        <v>1065</v>
      </c>
      <c r="AL726" s="12" t="s">
        <v>1269</v>
      </c>
      <c r="AM726" s="12" t="s">
        <v>2072</v>
      </c>
    </row>
    <row r="727" spans="1:39" ht="21" customHeight="1" x14ac:dyDescent="0.15">
      <c r="A727" s="42" t="str">
        <f>C727&amp;"_"&amp;F727</f>
        <v>39014_1</v>
      </c>
      <c r="B727" s="23">
        <v>1</v>
      </c>
      <c r="C727" s="325">
        <v>39014</v>
      </c>
      <c r="D727" s="47" t="str">
        <f ca="1">VLOOKUP($C727,OFFSET(quests!$A$1,0,0,COUNTA(quests!$A:$A),MATCH(D$1,quests!$1:$1,0)-MATCH($C$2,quests!$1:$1,0)+1),MATCH(D$1,quests!$1:$1,0)-MATCH($C$2,quests!$1:$1,0)+1,FALSE)</f>
        <v>金券</v>
      </c>
      <c r="E727" s="48" t="str">
        <f ca="1">VLOOKUP($C727,OFFSET(quests!$A$1,0,0,COUNTA(quests!$A:$A),MATCH(E$2,quests!$1:$1,0)-MATCH($C$2,quests!$1:$1,0)+1),MATCH(E$2,quests!$1:$1,0)-MATCH($C$2,quests!$1:$1,0)+1,FALSE)</f>
        <v>コラボクエスト</v>
      </c>
      <c r="F727" s="7">
        <v>1</v>
      </c>
      <c r="G727" s="7" t="s">
        <v>382</v>
      </c>
      <c r="H727" s="12" t="s">
        <v>2283</v>
      </c>
      <c r="I727" s="12" t="s">
        <v>832</v>
      </c>
      <c r="J727" s="12">
        <v>1576</v>
      </c>
      <c r="K727" s="192">
        <v>30</v>
      </c>
      <c r="L727" s="195">
        <v>3300</v>
      </c>
      <c r="M727" s="167">
        <v>1</v>
      </c>
      <c r="N727" s="167">
        <v>1</v>
      </c>
      <c r="O727" s="167">
        <v>1</v>
      </c>
      <c r="P727" s="167">
        <v>1</v>
      </c>
      <c r="Q727" s="167">
        <v>1</v>
      </c>
      <c r="R727" s="167">
        <v>3</v>
      </c>
      <c r="S727" s="167" t="s">
        <v>384</v>
      </c>
      <c r="T727" s="167">
        <v>1</v>
      </c>
      <c r="U727" s="7" t="s">
        <v>169</v>
      </c>
      <c r="V727" s="7" t="s">
        <v>169</v>
      </c>
      <c r="W727" s="47" t="str">
        <f t="shared" ca="1" si="37"/>
        <v/>
      </c>
      <c r="X727" s="47">
        <f ca="1">VLOOKUP($C727,OFFSET(quests!$A$1,0,0,COUNTA(quests!$A:$A),MATCH(X$2,quests!$1:$1,0)-MATCH($C$2,quests!$1:$1,0)+1),MATCH(X$2,quests!$1:$1,0)-MATCH($C$2,quests!$1:$1,0)+1,FALSE)</f>
        <v>0</v>
      </c>
      <c r="Y727" s="47">
        <f ca="1">VLOOKUP($C727,OFFSET(quests!$A$1,0,0,COUNTA(quests!$A:$A),MATCH(Y$2,quests!$1:$1,0)-MATCH($C$2,quests!$1:$1,0)+1),MATCH(Y$2,quests!$1:$1,0)-MATCH($C$2,quests!$1:$1,0)+1,FALSE)</f>
        <v>0</v>
      </c>
      <c r="Z727" s="47">
        <f ca="1">VLOOKUP($C727,OFFSET(quests!$A$1,0,0,COUNTA(quests!$A:$A),MATCH(Z$2,quests!$1:$1,0)-MATCH($C$2,quests!$1:$1,0)+1),MATCH(Z$2,quests!$1:$1,0)-MATCH($C$2,quests!$1:$1,0)+1,FALSE)</f>
        <v>0</v>
      </c>
      <c r="AA727" s="47">
        <f ca="1">VLOOKUP($C727,OFFSET(quests!$A$1,0,0,COUNTA(quests!$A:$A),MATCH(AA$2,quests!$1:$1,0)-MATCH($C$2,quests!$1:$1,0)+1),MATCH(AA$2,quests!$1:$1,0)-MATCH($C$2,quests!$1:$1,0)+1,FALSE)</f>
        <v>0</v>
      </c>
      <c r="AB727" s="7" t="s">
        <v>56</v>
      </c>
      <c r="AC727" s="167">
        <v>997</v>
      </c>
      <c r="AD727" s="7">
        <v>6</v>
      </c>
      <c r="AE727" s="7" t="s">
        <v>519</v>
      </c>
      <c r="AF727" s="7">
        <v>9802</v>
      </c>
      <c r="AG727" s="7">
        <v>9801</v>
      </c>
      <c r="AH727" s="7">
        <v>0</v>
      </c>
      <c r="AI727" s="7">
        <v>-1</v>
      </c>
      <c r="AJ727" s="7">
        <v>-1</v>
      </c>
      <c r="AK727" s="7" t="s">
        <v>1065</v>
      </c>
      <c r="AL727" s="12" t="s">
        <v>1269</v>
      </c>
      <c r="AM727" s="12" t="s">
        <v>2072</v>
      </c>
    </row>
    <row r="728" spans="1:39" ht="21" customHeight="1" x14ac:dyDescent="0.15">
      <c r="A728" s="42" t="str">
        <f>C728&amp;"_"&amp;F728</f>
        <v>39014_2</v>
      </c>
      <c r="B728" s="23">
        <v>1</v>
      </c>
      <c r="C728" s="325">
        <v>39014</v>
      </c>
      <c r="D728" s="47" t="str">
        <f ca="1">VLOOKUP($C728,OFFSET(quests!$A$1,0,0,COUNTA(quests!$A:$A),MATCH(D$1,quests!$1:$1,0)-MATCH($C$2,quests!$1:$1,0)+1),MATCH(D$1,quests!$1:$1,0)-MATCH($C$2,quests!$1:$1,0)+1,FALSE)</f>
        <v>金券</v>
      </c>
      <c r="E728" s="48" t="str">
        <f ca="1">VLOOKUP($C728,OFFSET(quests!$A$1,0,0,COUNTA(quests!$A:$A),MATCH(E$2,quests!$1:$1,0)-MATCH($C$2,quests!$1:$1,0)+1),MATCH(E$2,quests!$1:$1,0)-MATCH($C$2,quests!$1:$1,0)+1,FALSE)</f>
        <v>コラボクエスト</v>
      </c>
      <c r="F728" s="7">
        <v>2</v>
      </c>
      <c r="G728" s="7" t="s">
        <v>382</v>
      </c>
      <c r="H728" s="12" t="s">
        <v>2362</v>
      </c>
      <c r="I728" s="12" t="s">
        <v>832</v>
      </c>
      <c r="J728" s="12">
        <v>1576</v>
      </c>
      <c r="K728" s="192">
        <v>30</v>
      </c>
      <c r="L728" s="195">
        <v>3300</v>
      </c>
      <c r="M728" s="167">
        <v>1</v>
      </c>
      <c r="N728" s="167">
        <v>1</v>
      </c>
      <c r="O728" s="167">
        <v>1</v>
      </c>
      <c r="P728" s="167">
        <v>1</v>
      </c>
      <c r="Q728" s="167">
        <v>1</v>
      </c>
      <c r="R728" s="167">
        <v>3</v>
      </c>
      <c r="S728" s="167" t="s">
        <v>384</v>
      </c>
      <c r="T728" s="167">
        <v>1</v>
      </c>
      <c r="U728" s="324" t="s">
        <v>169</v>
      </c>
      <c r="V728" s="324" t="s">
        <v>169</v>
      </c>
      <c r="W728" s="47" t="str">
        <f t="shared" ca="1" si="37"/>
        <v/>
      </c>
      <c r="X728" s="47">
        <f ca="1">VLOOKUP($C728,OFFSET(quests!$A$1,0,0,COUNTA(quests!$A:$A),MATCH(X$2,quests!$1:$1,0)-MATCH($C$2,quests!$1:$1,0)+1),MATCH(X$2,quests!$1:$1,0)-MATCH($C$2,quests!$1:$1,0)+1,FALSE)</f>
        <v>0</v>
      </c>
      <c r="Y728" s="47">
        <f ca="1">VLOOKUP($C728,OFFSET(quests!$A$1,0,0,COUNTA(quests!$A:$A),MATCH(Y$2,quests!$1:$1,0)-MATCH($C$2,quests!$1:$1,0)+1),MATCH(Y$2,quests!$1:$1,0)-MATCH($C$2,quests!$1:$1,0)+1,FALSE)</f>
        <v>0</v>
      </c>
      <c r="Z728" s="47">
        <f ca="1">VLOOKUP($C728,OFFSET(quests!$A$1,0,0,COUNTA(quests!$A:$A),MATCH(Z$2,quests!$1:$1,0)-MATCH($C$2,quests!$1:$1,0)+1),MATCH(Z$2,quests!$1:$1,0)-MATCH($C$2,quests!$1:$1,0)+1,FALSE)</f>
        <v>0</v>
      </c>
      <c r="AA728" s="47">
        <f ca="1">VLOOKUP($C728,OFFSET(quests!$A$1,0,0,COUNTA(quests!$A:$A),MATCH(AA$2,quests!$1:$1,0)-MATCH($C$2,quests!$1:$1,0)+1),MATCH(AA$2,quests!$1:$1,0)-MATCH($C$2,quests!$1:$1,0)+1,FALSE)</f>
        <v>0</v>
      </c>
      <c r="AB728" s="7" t="s">
        <v>56</v>
      </c>
      <c r="AC728" s="167">
        <v>997</v>
      </c>
      <c r="AD728" s="7">
        <v>6</v>
      </c>
      <c r="AE728" s="7" t="s">
        <v>519</v>
      </c>
      <c r="AF728" s="7">
        <v>9802</v>
      </c>
      <c r="AG728" s="7">
        <v>9801</v>
      </c>
      <c r="AH728" s="7">
        <v>0</v>
      </c>
      <c r="AI728" s="7">
        <v>0</v>
      </c>
      <c r="AJ728" s="7">
        <v>-1</v>
      </c>
      <c r="AK728" s="7" t="s">
        <v>1065</v>
      </c>
      <c r="AL728" s="12" t="s">
        <v>1269</v>
      </c>
      <c r="AM728" s="12" t="s">
        <v>2379</v>
      </c>
    </row>
    <row r="729" spans="1:39" ht="21" customHeight="1" x14ac:dyDescent="0.15">
      <c r="A729" s="42" t="str">
        <f t="shared" si="25"/>
        <v>40001_1</v>
      </c>
      <c r="B729" s="207">
        <v>1</v>
      </c>
      <c r="C729" s="31">
        <v>40001</v>
      </c>
      <c r="D729" s="47" t="str">
        <f ca="1">VLOOKUP($C729,OFFSET(quests!$A$1,0,0,COUNTA(quests!$A:$A),MATCH(D$1,quests!$1:$1,0)-MATCH($C$2,quests!$1:$1,0)+1),MATCH(D$1,quests!$1:$1,0)-MATCH($C$2,quests!$1:$1,0)+1,FALSE)</f>
        <v>アマテラス襲来！</v>
      </c>
      <c r="E729" s="48" t="str">
        <f ca="1">VLOOKUP($C729,OFFSET(quests!$A$1,0,0,COUNTA(quests!$A:$A),MATCH(E$2,quests!$1:$1,0)-MATCH($C$2,quests!$1:$1,0)+1),MATCH(E$2,quests!$1:$1,0)-MATCH($C$2,quests!$1:$1,0)+1,FALSE)</f>
        <v>降臨1</v>
      </c>
      <c r="F729" s="7">
        <v>1</v>
      </c>
      <c r="G729" s="7" t="s">
        <v>570</v>
      </c>
      <c r="H729" s="12" t="s">
        <v>779</v>
      </c>
      <c r="I729" s="12" t="s">
        <v>61</v>
      </c>
      <c r="J729" s="65">
        <v>278</v>
      </c>
      <c r="K729" s="167">
        <v>35</v>
      </c>
      <c r="L729" s="167">
        <v>4200</v>
      </c>
      <c r="M729" s="167">
        <v>1</v>
      </c>
      <c r="N729" s="167">
        <v>1</v>
      </c>
      <c r="O729" s="167">
        <v>1</v>
      </c>
      <c r="P729" s="167">
        <v>1</v>
      </c>
      <c r="Q729" s="167">
        <v>1</v>
      </c>
      <c r="R729" s="167">
        <v>3</v>
      </c>
      <c r="S729" s="167" t="s">
        <v>79</v>
      </c>
      <c r="T729" s="167">
        <v>0</v>
      </c>
      <c r="U729" s="7" t="s">
        <v>169</v>
      </c>
      <c r="V729" s="7" t="s">
        <v>169</v>
      </c>
      <c r="W729" s="47" t="str">
        <f t="shared" ca="1" si="37"/>
        <v/>
      </c>
      <c r="X729" s="47">
        <f ca="1">VLOOKUP($C729,OFFSET(quests!$A$1,0,0,COUNTA(quests!$A:$A),MATCH(X$2,quests!$1:$1,0)-MATCH($C$2,quests!$1:$1,0)+1),MATCH(X$2,quests!$1:$1,0)-MATCH($C$2,quests!$1:$1,0)+1,FALSE)</f>
        <v>0</v>
      </c>
      <c r="Y729" s="47">
        <f ca="1">VLOOKUP($C729,OFFSET(quests!$A$1,0,0,COUNTA(quests!$A:$A),MATCH(Y$2,quests!$1:$1,0)-MATCH($C$2,quests!$1:$1,0)+1),MATCH(Y$2,quests!$1:$1,0)-MATCH($C$2,quests!$1:$1,0)+1,FALSE)</f>
        <v>0</v>
      </c>
      <c r="Z729" s="47">
        <f ca="1">VLOOKUP($C729,OFFSET(quests!$A$1,0,0,COUNTA(quests!$A:$A),MATCH(Z$2,quests!$1:$1,0)-MATCH($C$2,quests!$1:$1,0)+1),MATCH(Z$2,quests!$1:$1,0)-MATCH($C$2,quests!$1:$1,0)+1,FALSE)</f>
        <v>0</v>
      </c>
      <c r="AA729" s="47">
        <f ca="1">VLOOKUP($C729,OFFSET(quests!$A$1,0,0,COUNTA(quests!$A:$A),MATCH(AA$2,quests!$1:$1,0)-MATCH($C$2,quests!$1:$1,0)+1),MATCH(AA$2,quests!$1:$1,0)-MATCH($C$2,quests!$1:$1,0)+1,FALSE)</f>
        <v>0</v>
      </c>
      <c r="AB729" s="7" t="s">
        <v>56</v>
      </c>
      <c r="AC729" s="7">
        <v>901</v>
      </c>
      <c r="AD729" s="7">
        <v>6</v>
      </c>
      <c r="AE729" s="7" t="s">
        <v>519</v>
      </c>
      <c r="AF729" s="7">
        <v>40</v>
      </c>
      <c r="AG729" s="7">
        <v>40</v>
      </c>
      <c r="AH729" s="7">
        <v>0</v>
      </c>
      <c r="AI729" s="7">
        <v>-1</v>
      </c>
      <c r="AJ729" s="7">
        <v>-1</v>
      </c>
      <c r="AK729" s="7" t="s">
        <v>1065</v>
      </c>
      <c r="AL729" s="12" t="s">
        <v>1695</v>
      </c>
      <c r="AM729" s="12" t="s">
        <v>2072</v>
      </c>
    </row>
    <row r="730" spans="1:39" ht="21" customHeight="1" x14ac:dyDescent="0.15">
      <c r="A730" s="42" t="str">
        <f t="shared" si="25"/>
        <v>40002_1</v>
      </c>
      <c r="B730" s="207">
        <v>1</v>
      </c>
      <c r="C730" s="31">
        <v>40002</v>
      </c>
      <c r="D730" s="47" t="str">
        <f ca="1">VLOOKUP($C730,OFFSET(quests!$A$1,0,0,COUNTA(quests!$A:$A),MATCH(D$1,quests!$1:$1,0)-MATCH($C$2,quests!$1:$1,0)+1),MATCH(D$1,quests!$1:$1,0)-MATCH($C$2,quests!$1:$1,0)+1,FALSE)</f>
        <v>アザゼル襲来！</v>
      </c>
      <c r="E730" s="48" t="str">
        <f ca="1">VLOOKUP($C730,OFFSET(quests!$A$1,0,0,COUNTA(quests!$A:$A),MATCH(E$2,quests!$1:$1,0)-MATCH($C$2,quests!$1:$1,0)+1),MATCH(E$2,quests!$1:$1,0)-MATCH($C$2,quests!$1:$1,0)+1,FALSE)</f>
        <v>降臨2</v>
      </c>
      <c r="F730" s="7">
        <v>1</v>
      </c>
      <c r="G730" s="7" t="s">
        <v>570</v>
      </c>
      <c r="H730" s="12" t="s">
        <v>780</v>
      </c>
      <c r="I730" s="12" t="s">
        <v>524</v>
      </c>
      <c r="J730" s="12">
        <v>296</v>
      </c>
      <c r="K730" s="167">
        <v>25</v>
      </c>
      <c r="L730" s="167">
        <v>2000</v>
      </c>
      <c r="M730" s="167">
        <v>1</v>
      </c>
      <c r="N730" s="167">
        <v>1</v>
      </c>
      <c r="O730" s="167">
        <v>1</v>
      </c>
      <c r="P730" s="167">
        <v>1</v>
      </c>
      <c r="Q730" s="167">
        <v>1</v>
      </c>
      <c r="R730" s="167">
        <v>3</v>
      </c>
      <c r="S730" s="167" t="s">
        <v>79</v>
      </c>
      <c r="T730" s="167">
        <v>0</v>
      </c>
      <c r="U730" s="7" t="s">
        <v>169</v>
      </c>
      <c r="V730" s="7" t="s">
        <v>169</v>
      </c>
      <c r="W730" s="47" t="str">
        <f t="shared" ca="1" si="37"/>
        <v/>
      </c>
      <c r="X730" s="47">
        <f ca="1">VLOOKUP($C730,OFFSET(quests!$A$1,0,0,COUNTA(quests!$A:$A),MATCH(X$2,quests!$1:$1,0)-MATCH($C$2,quests!$1:$1,0)+1),MATCH(X$2,quests!$1:$1,0)-MATCH($C$2,quests!$1:$1,0)+1,FALSE)</f>
        <v>0</v>
      </c>
      <c r="Y730" s="47">
        <f ca="1">VLOOKUP($C730,OFFSET(quests!$A$1,0,0,COUNTA(quests!$A:$A),MATCH(Y$2,quests!$1:$1,0)-MATCH($C$2,quests!$1:$1,0)+1),MATCH(Y$2,quests!$1:$1,0)-MATCH($C$2,quests!$1:$1,0)+1,FALSE)</f>
        <v>0</v>
      </c>
      <c r="Z730" s="47">
        <f ca="1">VLOOKUP($C730,OFFSET(quests!$A$1,0,0,COUNTA(quests!$A:$A),MATCH(Z$2,quests!$1:$1,0)-MATCH($C$2,quests!$1:$1,0)+1),MATCH(Z$2,quests!$1:$1,0)-MATCH($C$2,quests!$1:$1,0)+1,FALSE)</f>
        <v>0</v>
      </c>
      <c r="AA730" s="47">
        <f ca="1">VLOOKUP($C730,OFFSET(quests!$A$1,0,0,COUNTA(quests!$A:$A),MATCH(AA$2,quests!$1:$1,0)-MATCH($C$2,quests!$1:$1,0)+1),MATCH(AA$2,quests!$1:$1,0)-MATCH($C$2,quests!$1:$1,0)+1,FALSE)</f>
        <v>0</v>
      </c>
      <c r="AB730" s="7" t="s">
        <v>56</v>
      </c>
      <c r="AC730" s="7">
        <v>902</v>
      </c>
      <c r="AD730" s="7">
        <v>6</v>
      </c>
      <c r="AE730" s="7" t="s">
        <v>519</v>
      </c>
      <c r="AF730" s="7">
        <v>40</v>
      </c>
      <c r="AG730" s="7">
        <v>40</v>
      </c>
      <c r="AH730" s="7">
        <v>0</v>
      </c>
      <c r="AI730" s="7">
        <v>-1</v>
      </c>
      <c r="AJ730" s="7">
        <v>-1</v>
      </c>
      <c r="AK730" s="7" t="s">
        <v>1065</v>
      </c>
      <c r="AL730" s="12" t="s">
        <v>1695</v>
      </c>
      <c r="AM730" s="12" t="s">
        <v>2072</v>
      </c>
    </row>
    <row r="731" spans="1:39" ht="21" customHeight="1" x14ac:dyDescent="0.15">
      <c r="A731" s="42" t="str">
        <f t="shared" si="25"/>
        <v>40002_2</v>
      </c>
      <c r="B731" s="207">
        <v>1</v>
      </c>
      <c r="C731" s="31">
        <v>40002</v>
      </c>
      <c r="D731" s="47" t="str">
        <f ca="1">VLOOKUP($C731,OFFSET(quests!$A$1,0,0,COUNTA(quests!$A:$A),MATCH(D$1,quests!$1:$1,0)-MATCH($C$2,quests!$1:$1,0)+1),MATCH(D$1,quests!$1:$1,0)-MATCH($C$2,quests!$1:$1,0)+1,FALSE)</f>
        <v>アザゼル襲来！</v>
      </c>
      <c r="E731" s="48" t="str">
        <f ca="1">VLOOKUP($C731,OFFSET(quests!$A$1,0,0,COUNTA(quests!$A:$A),MATCH(E$2,quests!$1:$1,0)-MATCH($C$2,quests!$1:$1,0)+1),MATCH(E$2,quests!$1:$1,0)-MATCH($C$2,quests!$1:$1,0)+1,FALSE)</f>
        <v>降臨2</v>
      </c>
      <c r="F731" s="7">
        <v>2</v>
      </c>
      <c r="G731" s="7" t="s">
        <v>570</v>
      </c>
      <c r="H731" s="12" t="s">
        <v>781</v>
      </c>
      <c r="I731" s="12" t="s">
        <v>525</v>
      </c>
      <c r="J731" s="12">
        <v>297</v>
      </c>
      <c r="K731" s="167">
        <v>30</v>
      </c>
      <c r="L731" s="167">
        <v>3300</v>
      </c>
      <c r="M731" s="167">
        <v>1</v>
      </c>
      <c r="N731" s="167">
        <v>1</v>
      </c>
      <c r="O731" s="167">
        <v>1</v>
      </c>
      <c r="P731" s="167">
        <v>1</v>
      </c>
      <c r="Q731" s="167">
        <v>1</v>
      </c>
      <c r="R731" s="167">
        <v>3</v>
      </c>
      <c r="S731" s="167" t="s">
        <v>79</v>
      </c>
      <c r="T731" s="167">
        <v>0</v>
      </c>
      <c r="U731" s="7" t="s">
        <v>169</v>
      </c>
      <c r="V731" s="7" t="s">
        <v>169</v>
      </c>
      <c r="W731" s="47" t="str">
        <f t="shared" ca="1" si="37"/>
        <v/>
      </c>
      <c r="X731" s="47">
        <f ca="1">VLOOKUP($C731,OFFSET(quests!$A$1,0,0,COUNTA(quests!$A:$A),MATCH(X$2,quests!$1:$1,0)-MATCH($C$2,quests!$1:$1,0)+1),MATCH(X$2,quests!$1:$1,0)-MATCH($C$2,quests!$1:$1,0)+1,FALSE)</f>
        <v>0</v>
      </c>
      <c r="Y731" s="47">
        <f ca="1">VLOOKUP($C731,OFFSET(quests!$A$1,0,0,COUNTA(quests!$A:$A),MATCH(Y$2,quests!$1:$1,0)-MATCH($C$2,quests!$1:$1,0)+1),MATCH(Y$2,quests!$1:$1,0)-MATCH($C$2,quests!$1:$1,0)+1,FALSE)</f>
        <v>0</v>
      </c>
      <c r="Z731" s="47">
        <f ca="1">VLOOKUP($C731,OFFSET(quests!$A$1,0,0,COUNTA(quests!$A:$A),MATCH(Z$2,quests!$1:$1,0)-MATCH($C$2,quests!$1:$1,0)+1),MATCH(Z$2,quests!$1:$1,0)-MATCH($C$2,quests!$1:$1,0)+1,FALSE)</f>
        <v>0</v>
      </c>
      <c r="AA731" s="47">
        <f ca="1">VLOOKUP($C731,OFFSET(quests!$A$1,0,0,COUNTA(quests!$A:$A),MATCH(AA$2,quests!$1:$1,0)-MATCH($C$2,quests!$1:$1,0)+1),MATCH(AA$2,quests!$1:$1,0)-MATCH($C$2,quests!$1:$1,0)+1,FALSE)</f>
        <v>0</v>
      </c>
      <c r="AB731" s="7" t="s">
        <v>56</v>
      </c>
      <c r="AC731" s="7">
        <v>902</v>
      </c>
      <c r="AD731" s="7">
        <v>6</v>
      </c>
      <c r="AE731" s="7" t="s">
        <v>519</v>
      </c>
      <c r="AF731" s="7">
        <v>40</v>
      </c>
      <c r="AG731" s="7">
        <v>40</v>
      </c>
      <c r="AH731" s="7">
        <v>0</v>
      </c>
      <c r="AI731" s="7">
        <v>-1</v>
      </c>
      <c r="AJ731" s="7">
        <v>-1</v>
      </c>
      <c r="AK731" s="7" t="s">
        <v>1065</v>
      </c>
      <c r="AL731" s="12" t="s">
        <v>1695</v>
      </c>
      <c r="AM731" s="12" t="s">
        <v>2072</v>
      </c>
    </row>
    <row r="732" spans="1:39" ht="21" customHeight="1" x14ac:dyDescent="0.15">
      <c r="A732" s="42" t="str">
        <f t="shared" si="25"/>
        <v>40002_3</v>
      </c>
      <c r="B732" s="207">
        <v>1</v>
      </c>
      <c r="C732" s="31">
        <v>40002</v>
      </c>
      <c r="D732" s="47" t="str">
        <f ca="1">VLOOKUP($C732,OFFSET(quests!$A$1,0,0,COUNTA(quests!$A:$A),MATCH(D$1,quests!$1:$1,0)-MATCH($C$2,quests!$1:$1,0)+1),MATCH(D$1,quests!$1:$1,0)-MATCH($C$2,quests!$1:$1,0)+1,FALSE)</f>
        <v>アザゼル襲来！</v>
      </c>
      <c r="E732" s="48" t="str">
        <f ca="1">VLOOKUP($C732,OFFSET(quests!$A$1,0,0,COUNTA(quests!$A:$A),MATCH(E$2,quests!$1:$1,0)-MATCH($C$2,quests!$1:$1,0)+1),MATCH(E$2,quests!$1:$1,0)-MATCH($C$2,quests!$1:$1,0)+1,FALSE)</f>
        <v>降臨2</v>
      </c>
      <c r="F732" s="7">
        <v>3</v>
      </c>
      <c r="G732" s="7" t="s">
        <v>570</v>
      </c>
      <c r="H732" s="12" t="s">
        <v>782</v>
      </c>
      <c r="I732" s="12" t="s">
        <v>61</v>
      </c>
      <c r="J732" s="12">
        <v>297</v>
      </c>
      <c r="K732" s="167">
        <v>35</v>
      </c>
      <c r="L732" s="167">
        <v>4200</v>
      </c>
      <c r="M732" s="167">
        <v>1</v>
      </c>
      <c r="N732" s="167">
        <v>1</v>
      </c>
      <c r="O732" s="167">
        <v>1</v>
      </c>
      <c r="P732" s="167">
        <v>1</v>
      </c>
      <c r="Q732" s="167">
        <v>1</v>
      </c>
      <c r="R732" s="167">
        <v>3</v>
      </c>
      <c r="S732" s="167" t="s">
        <v>530</v>
      </c>
      <c r="T732" s="167">
        <v>296</v>
      </c>
      <c r="U732" s="7" t="s">
        <v>169</v>
      </c>
      <c r="V732" s="7" t="s">
        <v>169</v>
      </c>
      <c r="W732" s="47" t="str">
        <f t="shared" ca="1" si="37"/>
        <v/>
      </c>
      <c r="X732" s="47">
        <f ca="1">VLOOKUP($C732,OFFSET(quests!$A$1,0,0,COUNTA(quests!$A:$A),MATCH(X$2,quests!$1:$1,0)-MATCH($C$2,quests!$1:$1,0)+1),MATCH(X$2,quests!$1:$1,0)-MATCH($C$2,quests!$1:$1,0)+1,FALSE)</f>
        <v>0</v>
      </c>
      <c r="Y732" s="47">
        <f ca="1">VLOOKUP($C732,OFFSET(quests!$A$1,0,0,COUNTA(quests!$A:$A),MATCH(Y$2,quests!$1:$1,0)-MATCH($C$2,quests!$1:$1,0)+1),MATCH(Y$2,quests!$1:$1,0)-MATCH($C$2,quests!$1:$1,0)+1,FALSE)</f>
        <v>0</v>
      </c>
      <c r="Z732" s="47">
        <f ca="1">VLOOKUP($C732,OFFSET(quests!$A$1,0,0,COUNTA(quests!$A:$A),MATCH(Z$2,quests!$1:$1,0)-MATCH($C$2,quests!$1:$1,0)+1),MATCH(Z$2,quests!$1:$1,0)-MATCH($C$2,quests!$1:$1,0)+1,FALSE)</f>
        <v>0</v>
      </c>
      <c r="AA732" s="47">
        <f ca="1">VLOOKUP($C732,OFFSET(quests!$A$1,0,0,COUNTA(quests!$A:$A),MATCH(AA$2,quests!$1:$1,0)-MATCH($C$2,quests!$1:$1,0)+1),MATCH(AA$2,quests!$1:$1,0)-MATCH($C$2,quests!$1:$1,0)+1,FALSE)</f>
        <v>0</v>
      </c>
      <c r="AB732" s="7" t="s">
        <v>56</v>
      </c>
      <c r="AC732" s="7">
        <v>902</v>
      </c>
      <c r="AD732" s="7">
        <v>6</v>
      </c>
      <c r="AE732" s="7" t="s">
        <v>519</v>
      </c>
      <c r="AF732" s="7">
        <v>40</v>
      </c>
      <c r="AG732" s="7">
        <v>40</v>
      </c>
      <c r="AH732" s="7">
        <v>0</v>
      </c>
      <c r="AI732" s="7">
        <v>-1</v>
      </c>
      <c r="AJ732" s="7">
        <v>-1</v>
      </c>
      <c r="AK732" s="7" t="s">
        <v>1065</v>
      </c>
      <c r="AL732" s="12" t="s">
        <v>1695</v>
      </c>
      <c r="AM732" s="12" t="s">
        <v>2072</v>
      </c>
    </row>
    <row r="733" spans="1:39" ht="21" customHeight="1" x14ac:dyDescent="0.15">
      <c r="A733" s="42" t="str">
        <f t="shared" si="25"/>
        <v>40003_1</v>
      </c>
      <c r="B733" s="207">
        <v>1</v>
      </c>
      <c r="C733" s="31">
        <v>40003</v>
      </c>
      <c r="D733" s="47" t="str">
        <f ca="1">VLOOKUP($C733,OFFSET(quests!$A$1,0,0,COUNTA(quests!$A:$A),MATCH(D$1,quests!$1:$1,0)-MATCH($C$2,quests!$1:$1,0)+1),MATCH(D$1,quests!$1:$1,0)-MATCH($C$2,quests!$1:$1,0)+1,FALSE)</f>
        <v>ジャンヌ襲来！</v>
      </c>
      <c r="E733" s="48" t="str">
        <f ca="1">VLOOKUP($C733,OFFSET(quests!$A$1,0,0,COUNTA(quests!$A:$A),MATCH(E$2,quests!$1:$1,0)-MATCH($C$2,quests!$1:$1,0)+1),MATCH(E$2,quests!$1:$1,0)-MATCH($C$2,quests!$1:$1,0)+1,FALSE)</f>
        <v>降臨3</v>
      </c>
      <c r="F733" s="7">
        <v>1</v>
      </c>
      <c r="G733" s="7" t="s">
        <v>570</v>
      </c>
      <c r="H733" s="12" t="s">
        <v>783</v>
      </c>
      <c r="I733" s="12" t="s">
        <v>61</v>
      </c>
      <c r="J733" s="65">
        <v>315</v>
      </c>
      <c r="K733" s="167">
        <v>35</v>
      </c>
      <c r="L733" s="167">
        <v>4200</v>
      </c>
      <c r="M733" s="167">
        <v>1</v>
      </c>
      <c r="N733" s="167">
        <v>1</v>
      </c>
      <c r="O733" s="167">
        <v>1</v>
      </c>
      <c r="P733" s="167">
        <v>1</v>
      </c>
      <c r="Q733" s="167">
        <v>1</v>
      </c>
      <c r="R733" s="167">
        <v>3</v>
      </c>
      <c r="S733" s="167" t="s">
        <v>530</v>
      </c>
      <c r="T733" s="167">
        <v>314</v>
      </c>
      <c r="U733" s="7" t="s">
        <v>169</v>
      </c>
      <c r="V733" s="7" t="s">
        <v>169</v>
      </c>
      <c r="W733" s="47" t="str">
        <f t="shared" ca="1" si="37"/>
        <v/>
      </c>
      <c r="X733" s="47">
        <f ca="1">VLOOKUP($C733,OFFSET(quests!$A$1,0,0,COUNTA(quests!$A:$A),MATCH(X$2,quests!$1:$1,0)-MATCH($C$2,quests!$1:$1,0)+1),MATCH(X$2,quests!$1:$1,0)-MATCH($C$2,quests!$1:$1,0)+1,FALSE)</f>
        <v>0</v>
      </c>
      <c r="Y733" s="47">
        <f ca="1">VLOOKUP($C733,OFFSET(quests!$A$1,0,0,COUNTA(quests!$A:$A),MATCH(Y$2,quests!$1:$1,0)-MATCH($C$2,quests!$1:$1,0)+1),MATCH(Y$2,quests!$1:$1,0)-MATCH($C$2,quests!$1:$1,0)+1,FALSE)</f>
        <v>0</v>
      </c>
      <c r="Z733" s="47">
        <f ca="1">VLOOKUP($C733,OFFSET(quests!$A$1,0,0,COUNTA(quests!$A:$A),MATCH(Z$2,quests!$1:$1,0)-MATCH($C$2,quests!$1:$1,0)+1),MATCH(Z$2,quests!$1:$1,0)-MATCH($C$2,quests!$1:$1,0)+1,FALSE)</f>
        <v>0</v>
      </c>
      <c r="AA733" s="47">
        <f ca="1">VLOOKUP($C733,OFFSET(quests!$A$1,0,0,COUNTA(quests!$A:$A),MATCH(AA$2,quests!$1:$1,0)-MATCH($C$2,quests!$1:$1,0)+1),MATCH(AA$2,quests!$1:$1,0)-MATCH($C$2,quests!$1:$1,0)+1,FALSE)</f>
        <v>0</v>
      </c>
      <c r="AB733" s="7" t="s">
        <v>56</v>
      </c>
      <c r="AC733" s="7">
        <v>903</v>
      </c>
      <c r="AD733" s="7">
        <v>6</v>
      </c>
      <c r="AE733" s="7" t="s">
        <v>519</v>
      </c>
      <c r="AF733" s="7">
        <v>40</v>
      </c>
      <c r="AG733" s="7">
        <v>40</v>
      </c>
      <c r="AH733" s="7">
        <v>0</v>
      </c>
      <c r="AI733" s="7">
        <v>1</v>
      </c>
      <c r="AJ733" s="7">
        <v>-1</v>
      </c>
      <c r="AK733" s="7" t="s">
        <v>1065</v>
      </c>
      <c r="AL733" s="12" t="s">
        <v>1695</v>
      </c>
      <c r="AM733" s="12" t="s">
        <v>2072</v>
      </c>
    </row>
    <row r="734" spans="1:39" ht="21" customHeight="1" x14ac:dyDescent="0.15">
      <c r="A734" s="42" t="str">
        <f t="shared" si="25"/>
        <v>40004_1</v>
      </c>
      <c r="B734" s="207">
        <v>1</v>
      </c>
      <c r="C734" s="31">
        <v>40004</v>
      </c>
      <c r="D734" s="47" t="str">
        <f ca="1">VLOOKUP($C734,OFFSET(quests!$A$1,0,0,COUNTA(quests!$A:$A),MATCH(D$1,quests!$1:$1,0)-MATCH($C$2,quests!$1:$1,0)+1),MATCH(D$1,quests!$1:$1,0)-MATCH($C$2,quests!$1:$1,0)+1,FALSE)</f>
        <v>宮本武蔵襲来！</v>
      </c>
      <c r="E734" s="48" t="str">
        <f ca="1">VLOOKUP($C734,OFFSET(quests!$A$1,0,0,COUNTA(quests!$A:$A),MATCH(E$2,quests!$1:$1,0)-MATCH($C$2,quests!$1:$1,0)+1),MATCH(E$2,quests!$1:$1,0)-MATCH($C$2,quests!$1:$1,0)+1,FALSE)</f>
        <v>降臨4</v>
      </c>
      <c r="F734" s="7">
        <v>1</v>
      </c>
      <c r="G734" s="7" t="s">
        <v>570</v>
      </c>
      <c r="H734" s="12" t="s">
        <v>784</v>
      </c>
      <c r="I734" s="12" t="s">
        <v>61</v>
      </c>
      <c r="J734" s="65">
        <v>427</v>
      </c>
      <c r="K734" s="167">
        <v>35</v>
      </c>
      <c r="L734" s="167">
        <v>4200</v>
      </c>
      <c r="M734" s="167">
        <v>1</v>
      </c>
      <c r="N734" s="167">
        <v>1</v>
      </c>
      <c r="O734" s="167">
        <v>1</v>
      </c>
      <c r="P734" s="167">
        <v>1</v>
      </c>
      <c r="Q734" s="167">
        <v>1</v>
      </c>
      <c r="R734" s="167">
        <v>3</v>
      </c>
      <c r="S734" s="167" t="s">
        <v>273</v>
      </c>
      <c r="T734" s="167">
        <v>426</v>
      </c>
      <c r="U734" s="7" t="s">
        <v>169</v>
      </c>
      <c r="V734" s="7" t="s">
        <v>169</v>
      </c>
      <c r="W734" s="47" t="str">
        <f t="shared" ca="1" si="37"/>
        <v/>
      </c>
      <c r="X734" s="47">
        <f ca="1">VLOOKUP($C734,OFFSET(quests!$A$1,0,0,COUNTA(quests!$A:$A),MATCH(X$2,quests!$1:$1,0)-MATCH($C$2,quests!$1:$1,0)+1),MATCH(X$2,quests!$1:$1,0)-MATCH($C$2,quests!$1:$1,0)+1,FALSE)</f>
        <v>0</v>
      </c>
      <c r="Y734" s="47">
        <f ca="1">VLOOKUP($C734,OFFSET(quests!$A$1,0,0,COUNTA(quests!$A:$A),MATCH(Y$2,quests!$1:$1,0)-MATCH($C$2,quests!$1:$1,0)+1),MATCH(Y$2,quests!$1:$1,0)-MATCH($C$2,quests!$1:$1,0)+1,FALSE)</f>
        <v>0</v>
      </c>
      <c r="Z734" s="47">
        <f ca="1">VLOOKUP($C734,OFFSET(quests!$A$1,0,0,COUNTA(quests!$A:$A),MATCH(Z$2,quests!$1:$1,0)-MATCH($C$2,quests!$1:$1,0)+1),MATCH(Z$2,quests!$1:$1,0)-MATCH($C$2,quests!$1:$1,0)+1,FALSE)</f>
        <v>0</v>
      </c>
      <c r="AA734" s="47">
        <f ca="1">VLOOKUP($C734,OFFSET(quests!$A$1,0,0,COUNTA(quests!$A:$A),MATCH(AA$2,quests!$1:$1,0)-MATCH($C$2,quests!$1:$1,0)+1),MATCH(AA$2,quests!$1:$1,0)-MATCH($C$2,quests!$1:$1,0)+1,FALSE)</f>
        <v>0</v>
      </c>
      <c r="AB734" s="7" t="s">
        <v>56</v>
      </c>
      <c r="AC734" s="7">
        <v>904</v>
      </c>
      <c r="AD734" s="7">
        <v>6</v>
      </c>
      <c r="AE734" s="7" t="s">
        <v>519</v>
      </c>
      <c r="AF734" s="7">
        <v>40</v>
      </c>
      <c r="AG734" s="7">
        <v>40</v>
      </c>
      <c r="AH734" s="7">
        <v>0</v>
      </c>
      <c r="AI734" s="7">
        <v>1</v>
      </c>
      <c r="AJ734" s="7">
        <v>-1</v>
      </c>
      <c r="AK734" s="7" t="s">
        <v>1065</v>
      </c>
      <c r="AL734" s="12" t="s">
        <v>1695</v>
      </c>
      <c r="AM734" s="12" t="s">
        <v>2072</v>
      </c>
    </row>
    <row r="735" spans="1:39" ht="21" customHeight="1" x14ac:dyDescent="0.15">
      <c r="A735" s="42" t="str">
        <f t="shared" si="25"/>
        <v>40005_1</v>
      </c>
      <c r="B735" s="207">
        <v>1</v>
      </c>
      <c r="C735" s="31">
        <v>40005</v>
      </c>
      <c r="D735" s="47" t="str">
        <f ca="1">VLOOKUP($C735,OFFSET(quests!$A$1,0,0,COUNTA(quests!$A:$A),MATCH(D$1,quests!$1:$1,0)-MATCH($C$2,quests!$1:$1,0)+1),MATCH(D$1,quests!$1:$1,0)-MATCH($C$2,quests!$1:$1,0)+1,FALSE)</f>
        <v>オズ襲来！</v>
      </c>
      <c r="E735" s="48" t="str">
        <f ca="1">VLOOKUP($C735,OFFSET(quests!$A$1,0,0,COUNTA(quests!$A:$A),MATCH(E$2,quests!$1:$1,0)-MATCH($C$2,quests!$1:$1,0)+1),MATCH(E$2,quests!$1:$1,0)-MATCH($C$2,quests!$1:$1,0)+1,FALSE)</f>
        <v>降臨5</v>
      </c>
      <c r="F735" s="7">
        <v>1</v>
      </c>
      <c r="G735" s="7" t="s">
        <v>570</v>
      </c>
      <c r="H735" s="12" t="s">
        <v>785</v>
      </c>
      <c r="I735" s="12" t="s">
        <v>61</v>
      </c>
      <c r="J735" s="65">
        <v>461</v>
      </c>
      <c r="K735" s="167">
        <v>35</v>
      </c>
      <c r="L735" s="167">
        <v>4200</v>
      </c>
      <c r="M735" s="167">
        <v>1</v>
      </c>
      <c r="N735" s="167">
        <v>1</v>
      </c>
      <c r="O735" s="167">
        <v>1</v>
      </c>
      <c r="P735" s="167">
        <v>1</v>
      </c>
      <c r="Q735" s="167">
        <v>1</v>
      </c>
      <c r="R735" s="167">
        <v>3</v>
      </c>
      <c r="S735" s="167" t="s">
        <v>273</v>
      </c>
      <c r="T735" s="167">
        <v>460</v>
      </c>
      <c r="U735" s="7" t="s">
        <v>169</v>
      </c>
      <c r="V735" s="7" t="s">
        <v>169</v>
      </c>
      <c r="W735" s="47" t="str">
        <f t="shared" ca="1" si="37"/>
        <v/>
      </c>
      <c r="X735" s="47">
        <f ca="1">VLOOKUP($C735,OFFSET(quests!$A$1,0,0,COUNTA(quests!$A:$A),MATCH(X$2,quests!$1:$1,0)-MATCH($C$2,quests!$1:$1,0)+1),MATCH(X$2,quests!$1:$1,0)-MATCH($C$2,quests!$1:$1,0)+1,FALSE)</f>
        <v>0</v>
      </c>
      <c r="Y735" s="47">
        <f ca="1">VLOOKUP($C735,OFFSET(quests!$A$1,0,0,COUNTA(quests!$A:$A),MATCH(Y$2,quests!$1:$1,0)-MATCH($C$2,quests!$1:$1,0)+1),MATCH(Y$2,quests!$1:$1,0)-MATCH($C$2,quests!$1:$1,0)+1,FALSE)</f>
        <v>0</v>
      </c>
      <c r="Z735" s="47">
        <f ca="1">VLOOKUP($C735,OFFSET(quests!$A$1,0,0,COUNTA(quests!$A:$A),MATCH(Z$2,quests!$1:$1,0)-MATCH($C$2,quests!$1:$1,0)+1),MATCH(Z$2,quests!$1:$1,0)-MATCH($C$2,quests!$1:$1,0)+1,FALSE)</f>
        <v>0</v>
      </c>
      <c r="AA735" s="47">
        <f ca="1">VLOOKUP($C735,OFFSET(quests!$A$1,0,0,COUNTA(quests!$A:$A),MATCH(AA$2,quests!$1:$1,0)-MATCH($C$2,quests!$1:$1,0)+1),MATCH(AA$2,quests!$1:$1,0)-MATCH($C$2,quests!$1:$1,0)+1,FALSE)</f>
        <v>0</v>
      </c>
      <c r="AB735" s="7" t="s">
        <v>56</v>
      </c>
      <c r="AC735" s="7">
        <v>906</v>
      </c>
      <c r="AD735" s="7">
        <v>6</v>
      </c>
      <c r="AE735" s="7" t="s">
        <v>519</v>
      </c>
      <c r="AF735" s="7">
        <v>40</v>
      </c>
      <c r="AG735" s="7">
        <v>40</v>
      </c>
      <c r="AH735" s="7">
        <v>0</v>
      </c>
      <c r="AI735" s="7">
        <v>1</v>
      </c>
      <c r="AJ735" s="7">
        <v>-1</v>
      </c>
      <c r="AK735" s="7" t="s">
        <v>1065</v>
      </c>
      <c r="AL735" s="12" t="s">
        <v>1695</v>
      </c>
      <c r="AM735" s="12" t="s">
        <v>2072</v>
      </c>
    </row>
    <row r="736" spans="1:39" ht="21" customHeight="1" x14ac:dyDescent="0.15">
      <c r="A736" s="42" t="str">
        <f t="shared" si="25"/>
        <v>40006_1</v>
      </c>
      <c r="B736" s="207">
        <v>1</v>
      </c>
      <c r="C736" s="31">
        <v>40006</v>
      </c>
      <c r="D736" s="47" t="str">
        <f ca="1">VLOOKUP($C736,OFFSET(quests!$A$1,0,0,COUNTA(quests!$A:$A),MATCH(D$1,quests!$1:$1,0)-MATCH($C$2,quests!$1:$1,0)+1),MATCH(D$1,quests!$1:$1,0)-MATCH($C$2,quests!$1:$1,0)+1,FALSE)</f>
        <v>アーサー襲来！</v>
      </c>
      <c r="E736" s="48" t="str">
        <f ca="1">VLOOKUP($C736,OFFSET(quests!$A$1,0,0,COUNTA(quests!$A:$A),MATCH(E$2,quests!$1:$1,0)-MATCH($C$2,quests!$1:$1,0)+1),MATCH(E$2,quests!$1:$1,0)-MATCH($C$2,quests!$1:$1,0)+1,FALSE)</f>
        <v>降臨6</v>
      </c>
      <c r="F736" s="7">
        <v>1</v>
      </c>
      <c r="G736" s="7" t="s">
        <v>570</v>
      </c>
      <c r="H736" s="12" t="s">
        <v>787</v>
      </c>
      <c r="I736" s="12" t="s">
        <v>61</v>
      </c>
      <c r="J736" s="65">
        <v>473</v>
      </c>
      <c r="K736" s="167">
        <v>35</v>
      </c>
      <c r="L736" s="167">
        <v>4200</v>
      </c>
      <c r="M736" s="167">
        <v>1</v>
      </c>
      <c r="N736" s="167">
        <v>1</v>
      </c>
      <c r="O736" s="167">
        <v>1</v>
      </c>
      <c r="P736" s="167">
        <v>1</v>
      </c>
      <c r="Q736" s="167">
        <v>1</v>
      </c>
      <c r="R736" s="167">
        <v>3</v>
      </c>
      <c r="S736" s="167" t="s">
        <v>273</v>
      </c>
      <c r="T736" s="167">
        <v>472</v>
      </c>
      <c r="U736" s="7" t="s">
        <v>169</v>
      </c>
      <c r="V736" s="7" t="s">
        <v>169</v>
      </c>
      <c r="W736" s="47" t="str">
        <f t="shared" ca="1" si="37"/>
        <v/>
      </c>
      <c r="X736" s="47">
        <f ca="1">VLOOKUP($C736,OFFSET(quests!$A$1,0,0,COUNTA(quests!$A:$A),MATCH(X$2,quests!$1:$1,0)-MATCH($C$2,quests!$1:$1,0)+1),MATCH(X$2,quests!$1:$1,0)-MATCH($C$2,quests!$1:$1,0)+1,FALSE)</f>
        <v>0</v>
      </c>
      <c r="Y736" s="47">
        <f ca="1">VLOOKUP($C736,OFFSET(quests!$A$1,0,0,COUNTA(quests!$A:$A),MATCH(Y$2,quests!$1:$1,0)-MATCH($C$2,quests!$1:$1,0)+1),MATCH(Y$2,quests!$1:$1,0)-MATCH($C$2,quests!$1:$1,0)+1,FALSE)</f>
        <v>0</v>
      </c>
      <c r="Z736" s="47">
        <f ca="1">VLOOKUP($C736,OFFSET(quests!$A$1,0,0,COUNTA(quests!$A:$A),MATCH(Z$2,quests!$1:$1,0)-MATCH($C$2,quests!$1:$1,0)+1),MATCH(Z$2,quests!$1:$1,0)-MATCH($C$2,quests!$1:$1,0)+1,FALSE)</f>
        <v>0</v>
      </c>
      <c r="AA736" s="47">
        <f ca="1">VLOOKUP($C736,OFFSET(quests!$A$1,0,0,COUNTA(quests!$A:$A),MATCH(AA$2,quests!$1:$1,0)-MATCH($C$2,quests!$1:$1,0)+1),MATCH(AA$2,quests!$1:$1,0)-MATCH($C$2,quests!$1:$1,0)+1,FALSE)</f>
        <v>0</v>
      </c>
      <c r="AB736" s="7" t="s">
        <v>56</v>
      </c>
      <c r="AC736" s="7">
        <v>907</v>
      </c>
      <c r="AD736" s="7">
        <v>6</v>
      </c>
      <c r="AE736" s="7" t="s">
        <v>519</v>
      </c>
      <c r="AF736" s="7">
        <v>40</v>
      </c>
      <c r="AG736" s="7">
        <v>40</v>
      </c>
      <c r="AH736" s="7">
        <v>0</v>
      </c>
      <c r="AI736" s="7">
        <v>1</v>
      </c>
      <c r="AJ736" s="7">
        <v>-1</v>
      </c>
      <c r="AK736" s="7" t="s">
        <v>1065</v>
      </c>
      <c r="AL736" s="12" t="s">
        <v>1695</v>
      </c>
      <c r="AM736" s="12" t="s">
        <v>2072</v>
      </c>
    </row>
    <row r="737" spans="1:39" ht="21" customHeight="1" x14ac:dyDescent="0.15">
      <c r="A737" s="42" t="str">
        <f t="shared" si="25"/>
        <v>40007_1</v>
      </c>
      <c r="B737" s="207">
        <v>1</v>
      </c>
      <c r="C737" s="31">
        <v>40007</v>
      </c>
      <c r="D737" s="47" t="str">
        <f ca="1">VLOOKUP($C737,OFFSET(quests!$A$1,0,0,COUNTA(quests!$A:$A),MATCH(D$1,quests!$1:$1,0)-MATCH($C$2,quests!$1:$1,0)+1),MATCH(D$1,quests!$1:$1,0)-MATCH($C$2,quests!$1:$1,0)+1,FALSE)</f>
        <v>グリム襲来！</v>
      </c>
      <c r="E737" s="48" t="str">
        <f ca="1">VLOOKUP($C737,OFFSET(quests!$A$1,0,0,COUNTA(quests!$A:$A),MATCH(E$2,quests!$1:$1,0)-MATCH($C$2,quests!$1:$1,0)+1),MATCH(E$2,quests!$1:$1,0)-MATCH($C$2,quests!$1:$1,0)+1,FALSE)</f>
        <v>降臨7</v>
      </c>
      <c r="F737" s="7">
        <v>1</v>
      </c>
      <c r="G737" s="7" t="s">
        <v>382</v>
      </c>
      <c r="H737" s="12" t="s">
        <v>847</v>
      </c>
      <c r="I737" s="12" t="s">
        <v>61</v>
      </c>
      <c r="J737" s="65">
        <v>491</v>
      </c>
      <c r="K737" s="167">
        <v>35</v>
      </c>
      <c r="L737" s="167">
        <v>4200</v>
      </c>
      <c r="M737" s="167">
        <v>1</v>
      </c>
      <c r="N737" s="167">
        <v>1</v>
      </c>
      <c r="O737" s="167">
        <v>1</v>
      </c>
      <c r="P737" s="167">
        <v>1</v>
      </c>
      <c r="Q737" s="167">
        <v>1</v>
      </c>
      <c r="R737" s="167">
        <v>3</v>
      </c>
      <c r="S737" s="167" t="s">
        <v>273</v>
      </c>
      <c r="T737" s="167">
        <v>490</v>
      </c>
      <c r="U737" s="7" t="s">
        <v>169</v>
      </c>
      <c r="V737" s="7" t="s">
        <v>169</v>
      </c>
      <c r="W737" s="47" t="str">
        <f t="shared" ca="1" si="37"/>
        <v/>
      </c>
      <c r="X737" s="47">
        <f ca="1">VLOOKUP($C737,OFFSET(quests!$A$1,0,0,COUNTA(quests!$A:$A),MATCH(X$2,quests!$1:$1,0)-MATCH($C$2,quests!$1:$1,0)+1),MATCH(X$2,quests!$1:$1,0)-MATCH($C$2,quests!$1:$1,0)+1,FALSE)</f>
        <v>0</v>
      </c>
      <c r="Y737" s="47">
        <f ca="1">VLOOKUP($C737,OFFSET(quests!$A$1,0,0,COUNTA(quests!$A:$A),MATCH(Y$2,quests!$1:$1,0)-MATCH($C$2,quests!$1:$1,0)+1),MATCH(Y$2,quests!$1:$1,0)-MATCH($C$2,quests!$1:$1,0)+1,FALSE)</f>
        <v>0</v>
      </c>
      <c r="Z737" s="47">
        <f ca="1">VLOOKUP($C737,OFFSET(quests!$A$1,0,0,COUNTA(quests!$A:$A),MATCH(Z$2,quests!$1:$1,0)-MATCH($C$2,quests!$1:$1,0)+1),MATCH(Z$2,quests!$1:$1,0)-MATCH($C$2,quests!$1:$1,0)+1,FALSE)</f>
        <v>0</v>
      </c>
      <c r="AA737" s="47">
        <f ca="1">VLOOKUP($C737,OFFSET(quests!$A$1,0,0,COUNTA(quests!$A:$A),MATCH(AA$2,quests!$1:$1,0)-MATCH($C$2,quests!$1:$1,0)+1),MATCH(AA$2,quests!$1:$1,0)-MATCH($C$2,quests!$1:$1,0)+1,FALSE)</f>
        <v>0</v>
      </c>
      <c r="AB737" s="7" t="s">
        <v>56</v>
      </c>
      <c r="AC737" s="7">
        <v>908</v>
      </c>
      <c r="AD737" s="7">
        <v>6</v>
      </c>
      <c r="AE737" s="7" t="s">
        <v>519</v>
      </c>
      <c r="AF737" s="7">
        <v>40</v>
      </c>
      <c r="AG737" s="7">
        <v>40</v>
      </c>
      <c r="AH737" s="7">
        <v>0</v>
      </c>
      <c r="AI737" s="7">
        <v>1</v>
      </c>
      <c r="AJ737" s="7">
        <v>-1</v>
      </c>
      <c r="AK737" s="7" t="s">
        <v>1065</v>
      </c>
      <c r="AL737" s="12" t="s">
        <v>1695</v>
      </c>
      <c r="AM737" s="12" t="s">
        <v>2072</v>
      </c>
    </row>
    <row r="738" spans="1:39" ht="21" customHeight="1" x14ac:dyDescent="0.15">
      <c r="A738" s="42" t="str">
        <f t="shared" si="25"/>
        <v>40008_1</v>
      </c>
      <c r="B738" s="207">
        <v>1</v>
      </c>
      <c r="C738" s="31">
        <v>40008</v>
      </c>
      <c r="D738" s="47" t="str">
        <f ca="1">VLOOKUP($C738,OFFSET(quests!$A$1,0,0,COUNTA(quests!$A:$A),MATCH(D$1,quests!$1:$1,0)-MATCH($C$2,quests!$1:$1,0)+1),MATCH(D$1,quests!$1:$1,0)-MATCH($C$2,quests!$1:$1,0)+1,FALSE)</f>
        <v>Gスター襲来！</v>
      </c>
      <c r="E738" s="48" t="str">
        <f ca="1">VLOOKUP($C738,OFFSET(quests!$A$1,0,0,COUNTA(quests!$A:$A),MATCH(E$2,quests!$1:$1,0)-MATCH($C$2,quests!$1:$1,0)+1),MATCH(E$2,quests!$1:$1,0)-MATCH($C$2,quests!$1:$1,0)+1,FALSE)</f>
        <v>降臨8</v>
      </c>
      <c r="F738" s="7">
        <v>1</v>
      </c>
      <c r="G738" s="7" t="s">
        <v>382</v>
      </c>
      <c r="H738" s="12" t="s">
        <v>929</v>
      </c>
      <c r="I738" s="12" t="s">
        <v>61</v>
      </c>
      <c r="J738" s="65">
        <v>509</v>
      </c>
      <c r="K738" s="167">
        <v>35</v>
      </c>
      <c r="L738" s="167">
        <v>4200</v>
      </c>
      <c r="M738" s="167">
        <v>1</v>
      </c>
      <c r="N738" s="167">
        <v>1</v>
      </c>
      <c r="O738" s="167">
        <v>1</v>
      </c>
      <c r="P738" s="167">
        <v>1</v>
      </c>
      <c r="Q738" s="167">
        <v>1</v>
      </c>
      <c r="R738" s="167">
        <v>3</v>
      </c>
      <c r="S738" s="167" t="s">
        <v>273</v>
      </c>
      <c r="T738" s="167">
        <v>508</v>
      </c>
      <c r="U738" s="7" t="s">
        <v>169</v>
      </c>
      <c r="V738" s="7" t="s">
        <v>169</v>
      </c>
      <c r="W738" s="47" t="str">
        <f t="shared" ca="1" si="37"/>
        <v/>
      </c>
      <c r="X738" s="47">
        <f ca="1">VLOOKUP($C738,OFFSET(quests!$A$1,0,0,COUNTA(quests!$A:$A),MATCH(X$2,quests!$1:$1,0)-MATCH($C$2,quests!$1:$1,0)+1),MATCH(X$2,quests!$1:$1,0)-MATCH($C$2,quests!$1:$1,0)+1,FALSE)</f>
        <v>0</v>
      </c>
      <c r="Y738" s="47">
        <f ca="1">VLOOKUP($C738,OFFSET(quests!$A$1,0,0,COUNTA(quests!$A:$A),MATCH(Y$2,quests!$1:$1,0)-MATCH($C$2,quests!$1:$1,0)+1),MATCH(Y$2,quests!$1:$1,0)-MATCH($C$2,quests!$1:$1,0)+1,FALSE)</f>
        <v>0</v>
      </c>
      <c r="Z738" s="47">
        <f ca="1">VLOOKUP($C738,OFFSET(quests!$A$1,0,0,COUNTA(quests!$A:$A),MATCH(Z$2,quests!$1:$1,0)-MATCH($C$2,quests!$1:$1,0)+1),MATCH(Z$2,quests!$1:$1,0)-MATCH($C$2,quests!$1:$1,0)+1,FALSE)</f>
        <v>0</v>
      </c>
      <c r="AA738" s="47">
        <f ca="1">VLOOKUP($C738,OFFSET(quests!$A$1,0,0,COUNTA(quests!$A:$A),MATCH(AA$2,quests!$1:$1,0)-MATCH($C$2,quests!$1:$1,0)+1),MATCH(AA$2,quests!$1:$1,0)-MATCH($C$2,quests!$1:$1,0)+1,FALSE)</f>
        <v>0</v>
      </c>
      <c r="AB738" s="7" t="s">
        <v>56</v>
      </c>
      <c r="AC738" s="7">
        <v>2601</v>
      </c>
      <c r="AD738" s="7">
        <v>6</v>
      </c>
      <c r="AE738" s="7" t="s">
        <v>519</v>
      </c>
      <c r="AF738" s="7">
        <v>40</v>
      </c>
      <c r="AG738" s="7">
        <v>40</v>
      </c>
      <c r="AH738" s="7">
        <v>0</v>
      </c>
      <c r="AI738" s="7">
        <v>1</v>
      </c>
      <c r="AJ738" s="7">
        <v>-1</v>
      </c>
      <c r="AK738" s="7" t="s">
        <v>1065</v>
      </c>
      <c r="AL738" s="12" t="s">
        <v>1695</v>
      </c>
      <c r="AM738" s="12" t="s">
        <v>2072</v>
      </c>
    </row>
    <row r="739" spans="1:39" ht="21" customHeight="1" x14ac:dyDescent="0.15">
      <c r="A739" s="42" t="str">
        <f t="shared" si="25"/>
        <v>40009_1</v>
      </c>
      <c r="B739" s="207">
        <v>1</v>
      </c>
      <c r="C739" s="31">
        <v>40009</v>
      </c>
      <c r="D739" s="47" t="str">
        <f ca="1">VLOOKUP($C739,OFFSET(quests!$A$1,0,0,COUNTA(quests!$A:$A),MATCH(D$1,quests!$1:$1,0)-MATCH($C$2,quests!$1:$1,0)+1),MATCH(D$1,quests!$1:$1,0)-MATCH($C$2,quests!$1:$1,0)+1,FALSE)</f>
        <v>フギンとムニン襲来！</v>
      </c>
      <c r="E739" s="48" t="str">
        <f ca="1">VLOOKUP($C739,OFFSET(quests!$A$1,0,0,COUNTA(quests!$A:$A),MATCH(E$2,quests!$1:$1,0)-MATCH($C$2,quests!$1:$1,0)+1),MATCH(E$2,quests!$1:$1,0)-MATCH($C$2,quests!$1:$1,0)+1,FALSE)</f>
        <v>降臨9</v>
      </c>
      <c r="F739" s="7">
        <v>1</v>
      </c>
      <c r="G739" s="7" t="s">
        <v>382</v>
      </c>
      <c r="H739" s="12" t="s">
        <v>925</v>
      </c>
      <c r="I739" s="12" t="s">
        <v>61</v>
      </c>
      <c r="J739" s="65">
        <v>582</v>
      </c>
      <c r="K739" s="167">
        <v>35</v>
      </c>
      <c r="L739" s="167">
        <v>4200</v>
      </c>
      <c r="M739" s="167">
        <v>1</v>
      </c>
      <c r="N739" s="167">
        <v>1</v>
      </c>
      <c r="O739" s="167">
        <v>1</v>
      </c>
      <c r="P739" s="167">
        <v>1</v>
      </c>
      <c r="Q739" s="167">
        <v>1</v>
      </c>
      <c r="R739" s="167">
        <v>3</v>
      </c>
      <c r="S739" s="167" t="s">
        <v>273</v>
      </c>
      <c r="T739" s="167">
        <v>581</v>
      </c>
      <c r="U739" s="7" t="s">
        <v>169</v>
      </c>
      <c r="V739" s="7" t="s">
        <v>169</v>
      </c>
      <c r="W739" s="47" t="str">
        <f t="shared" ca="1" si="37"/>
        <v/>
      </c>
      <c r="X739" s="47">
        <f ca="1">VLOOKUP($C739,OFFSET(quests!$A$1,0,0,COUNTA(quests!$A:$A),MATCH(X$2,quests!$1:$1,0)-MATCH($C$2,quests!$1:$1,0)+1),MATCH(X$2,quests!$1:$1,0)-MATCH($C$2,quests!$1:$1,0)+1,FALSE)</f>
        <v>0</v>
      </c>
      <c r="Y739" s="47">
        <f ca="1">VLOOKUP($C739,OFFSET(quests!$A$1,0,0,COUNTA(quests!$A:$A),MATCH(Y$2,quests!$1:$1,0)-MATCH($C$2,quests!$1:$1,0)+1),MATCH(Y$2,quests!$1:$1,0)-MATCH($C$2,quests!$1:$1,0)+1,FALSE)</f>
        <v>0</v>
      </c>
      <c r="Z739" s="47">
        <f ca="1">VLOOKUP($C739,OFFSET(quests!$A$1,0,0,COUNTA(quests!$A:$A),MATCH(Z$2,quests!$1:$1,0)-MATCH($C$2,quests!$1:$1,0)+1),MATCH(Z$2,quests!$1:$1,0)-MATCH($C$2,quests!$1:$1,0)+1,FALSE)</f>
        <v>0</v>
      </c>
      <c r="AA739" s="47">
        <f ca="1">VLOOKUP($C739,OFFSET(quests!$A$1,0,0,COUNTA(quests!$A:$A),MATCH(AA$2,quests!$1:$1,0)-MATCH($C$2,quests!$1:$1,0)+1),MATCH(AA$2,quests!$1:$1,0)-MATCH($C$2,quests!$1:$1,0)+1,FALSE)</f>
        <v>0</v>
      </c>
      <c r="AB739" s="7" t="s">
        <v>56</v>
      </c>
      <c r="AC739" s="7">
        <v>25</v>
      </c>
      <c r="AD739" s="7">
        <v>6</v>
      </c>
      <c r="AE739" s="7" t="s">
        <v>519</v>
      </c>
      <c r="AF739" s="7">
        <v>40</v>
      </c>
      <c r="AG739" s="7">
        <v>40</v>
      </c>
      <c r="AH739" s="7">
        <v>0</v>
      </c>
      <c r="AI739" s="7">
        <v>1</v>
      </c>
      <c r="AJ739" s="7">
        <v>-1</v>
      </c>
      <c r="AK739" s="7" t="s">
        <v>1065</v>
      </c>
      <c r="AL739" s="12" t="s">
        <v>1695</v>
      </c>
      <c r="AM739" s="12" t="s">
        <v>2072</v>
      </c>
    </row>
    <row r="740" spans="1:39" ht="21" customHeight="1" x14ac:dyDescent="0.15">
      <c r="A740" s="42" t="str">
        <f t="shared" si="25"/>
        <v>40010_1</v>
      </c>
      <c r="B740" s="207">
        <v>1</v>
      </c>
      <c r="C740" s="31">
        <v>40010</v>
      </c>
      <c r="D740" s="47" t="str">
        <f ca="1">VLOOKUP($C740,OFFSET(quests!$A$1,0,0,COUNTA(quests!$A:$A),MATCH(D$1,quests!$1:$1,0)-MATCH($C$2,quests!$1:$1,0)+1),MATCH(D$1,quests!$1:$1,0)-MATCH($C$2,quests!$1:$1,0)+1,FALSE)</f>
        <v>フレイ襲来！</v>
      </c>
      <c r="E740" s="48" t="str">
        <f ca="1">VLOOKUP($C740,OFFSET(quests!$A$1,0,0,COUNTA(quests!$A:$A),MATCH(E$2,quests!$1:$1,0)-MATCH($C$2,quests!$1:$1,0)+1),MATCH(E$2,quests!$1:$1,0)-MATCH($C$2,quests!$1:$1,0)+1,FALSE)</f>
        <v>降臨10</v>
      </c>
      <c r="F740" s="7">
        <v>1</v>
      </c>
      <c r="G740" s="7" t="s">
        <v>382</v>
      </c>
      <c r="H740" s="12" t="s">
        <v>957</v>
      </c>
      <c r="I740" s="12" t="s">
        <v>61</v>
      </c>
      <c r="J740" s="65">
        <v>575</v>
      </c>
      <c r="K740" s="167">
        <v>35</v>
      </c>
      <c r="L740" s="167">
        <v>4200</v>
      </c>
      <c r="M740" s="167">
        <v>1</v>
      </c>
      <c r="N740" s="167">
        <v>1</v>
      </c>
      <c r="O740" s="167">
        <v>1</v>
      </c>
      <c r="P740" s="96">
        <v>0</v>
      </c>
      <c r="Q740" s="167">
        <v>1</v>
      </c>
      <c r="R740" s="167">
        <v>3</v>
      </c>
      <c r="S740" s="167" t="s">
        <v>273</v>
      </c>
      <c r="T740" s="167">
        <v>575</v>
      </c>
      <c r="U740" s="7" t="s">
        <v>169</v>
      </c>
      <c r="V740" s="7" t="s">
        <v>169</v>
      </c>
      <c r="W740" s="47" t="str">
        <f t="shared" ca="1" si="37"/>
        <v/>
      </c>
      <c r="X740" s="47">
        <f ca="1">VLOOKUP($C740,OFFSET(quests!$A$1,0,0,COUNTA(quests!$A:$A),MATCH(X$2,quests!$1:$1,0)-MATCH($C$2,quests!$1:$1,0)+1),MATCH(X$2,quests!$1:$1,0)-MATCH($C$2,quests!$1:$1,0)+1,FALSE)</f>
        <v>0</v>
      </c>
      <c r="Y740" s="47">
        <f ca="1">VLOOKUP($C740,OFFSET(quests!$A$1,0,0,COUNTA(quests!$A:$A),MATCH(Y$2,quests!$1:$1,0)-MATCH($C$2,quests!$1:$1,0)+1),MATCH(Y$2,quests!$1:$1,0)-MATCH($C$2,quests!$1:$1,0)+1,FALSE)</f>
        <v>0</v>
      </c>
      <c r="Z740" s="47">
        <f ca="1">VLOOKUP($C740,OFFSET(quests!$A$1,0,0,COUNTA(quests!$A:$A),MATCH(Z$2,quests!$1:$1,0)-MATCH($C$2,quests!$1:$1,0)+1),MATCH(Z$2,quests!$1:$1,0)-MATCH($C$2,quests!$1:$1,0)+1,FALSE)</f>
        <v>0</v>
      </c>
      <c r="AA740" s="47">
        <f ca="1">VLOOKUP($C740,OFFSET(quests!$A$1,0,0,COUNTA(quests!$A:$A),MATCH(AA$2,quests!$1:$1,0)-MATCH($C$2,quests!$1:$1,0)+1),MATCH(AA$2,quests!$1:$1,0)-MATCH($C$2,quests!$1:$1,0)+1,FALSE)</f>
        <v>0</v>
      </c>
      <c r="AB740" s="7" t="s">
        <v>56</v>
      </c>
      <c r="AC740" s="7">
        <v>912</v>
      </c>
      <c r="AD740" s="7">
        <v>6</v>
      </c>
      <c r="AE740" s="7" t="s">
        <v>519</v>
      </c>
      <c r="AF740" s="7">
        <v>40</v>
      </c>
      <c r="AG740" s="7">
        <v>40</v>
      </c>
      <c r="AH740" s="7">
        <v>0</v>
      </c>
      <c r="AI740" s="7">
        <v>1</v>
      </c>
      <c r="AJ740" s="7">
        <v>-1</v>
      </c>
      <c r="AK740" s="7" t="s">
        <v>1065</v>
      </c>
      <c r="AL740" s="12" t="s">
        <v>1695</v>
      </c>
      <c r="AM740" s="12" t="s">
        <v>2072</v>
      </c>
    </row>
    <row r="741" spans="1:39" ht="21" customHeight="1" x14ac:dyDescent="0.15">
      <c r="A741" s="42" t="str">
        <f t="shared" si="25"/>
        <v>40011_1</v>
      </c>
      <c r="B741" s="207">
        <v>1</v>
      </c>
      <c r="C741" s="31">
        <v>40011</v>
      </c>
      <c r="D741" s="47" t="str">
        <f ca="1">VLOOKUP($C741,OFFSET(quests!$A$1,0,0,COUNTA(quests!$A:$A),MATCH(D$1,quests!$1:$1,0)-MATCH($C$2,quests!$1:$1,0)+1),MATCH(D$1,quests!$1:$1,0)-MATCH($C$2,quests!$1:$1,0)+1,FALSE)</f>
        <v>ヨミ襲来！</v>
      </c>
      <c r="E741" s="48" t="str">
        <f ca="1">VLOOKUP($C741,OFFSET(quests!$A$1,0,0,COUNTA(quests!$A:$A),MATCH(E$2,quests!$1:$1,0)-MATCH($C$2,quests!$1:$1,0)+1),MATCH(E$2,quests!$1:$1,0)-MATCH($C$2,quests!$1:$1,0)+1,FALSE)</f>
        <v>降臨11</v>
      </c>
      <c r="F741" s="7">
        <v>1</v>
      </c>
      <c r="G741" s="7" t="s">
        <v>382</v>
      </c>
      <c r="H741" s="12" t="s">
        <v>1013</v>
      </c>
      <c r="I741" s="12" t="s">
        <v>61</v>
      </c>
      <c r="J741" s="65">
        <v>655</v>
      </c>
      <c r="K741" s="167">
        <v>35</v>
      </c>
      <c r="L741" s="167">
        <v>4200</v>
      </c>
      <c r="M741" s="167">
        <v>1</v>
      </c>
      <c r="N741" s="167">
        <v>1</v>
      </c>
      <c r="O741" s="167">
        <v>1</v>
      </c>
      <c r="P741" s="167">
        <v>1</v>
      </c>
      <c r="Q741" s="167">
        <v>1</v>
      </c>
      <c r="R741" s="167">
        <v>3</v>
      </c>
      <c r="S741" s="167" t="s">
        <v>273</v>
      </c>
      <c r="T741" s="167">
        <v>654</v>
      </c>
      <c r="U741" s="7" t="s">
        <v>169</v>
      </c>
      <c r="V741" s="7" t="s">
        <v>169</v>
      </c>
      <c r="W741" s="47" t="str">
        <f t="shared" ca="1" si="37"/>
        <v/>
      </c>
      <c r="X741" s="47">
        <f ca="1">VLOOKUP($C741,OFFSET(quests!$A$1,0,0,COUNTA(quests!$A:$A),MATCH(X$2,quests!$1:$1,0)-MATCH($C$2,quests!$1:$1,0)+1),MATCH(X$2,quests!$1:$1,0)-MATCH($C$2,quests!$1:$1,0)+1,FALSE)</f>
        <v>0</v>
      </c>
      <c r="Y741" s="47">
        <f ca="1">VLOOKUP($C741,OFFSET(quests!$A$1,0,0,COUNTA(quests!$A:$A),MATCH(Y$2,quests!$1:$1,0)-MATCH($C$2,quests!$1:$1,0)+1),MATCH(Y$2,quests!$1:$1,0)-MATCH($C$2,quests!$1:$1,0)+1,FALSE)</f>
        <v>0</v>
      </c>
      <c r="Z741" s="47">
        <f ca="1">VLOOKUP($C741,OFFSET(quests!$A$1,0,0,COUNTA(quests!$A:$A),MATCH(Z$2,quests!$1:$1,0)-MATCH($C$2,quests!$1:$1,0)+1),MATCH(Z$2,quests!$1:$1,0)-MATCH($C$2,quests!$1:$1,0)+1,FALSE)</f>
        <v>0</v>
      </c>
      <c r="AA741" s="47">
        <f ca="1">VLOOKUP($C741,OFFSET(quests!$A$1,0,0,COUNTA(quests!$A:$A),MATCH(AA$2,quests!$1:$1,0)-MATCH($C$2,quests!$1:$1,0)+1),MATCH(AA$2,quests!$1:$1,0)-MATCH($C$2,quests!$1:$1,0)+1,FALSE)</f>
        <v>0</v>
      </c>
      <c r="AB741" s="7" t="s">
        <v>56</v>
      </c>
      <c r="AC741" s="7">
        <v>913</v>
      </c>
      <c r="AD741" s="7">
        <v>6</v>
      </c>
      <c r="AE741" s="7" t="s">
        <v>519</v>
      </c>
      <c r="AF741" s="7">
        <v>40</v>
      </c>
      <c r="AG741" s="7">
        <v>40</v>
      </c>
      <c r="AH741" s="7">
        <v>0</v>
      </c>
      <c r="AI741" s="7">
        <v>1</v>
      </c>
      <c r="AJ741" s="7">
        <v>-1</v>
      </c>
      <c r="AK741" s="7" t="s">
        <v>1065</v>
      </c>
      <c r="AL741" s="12" t="s">
        <v>1695</v>
      </c>
      <c r="AM741" s="12" t="s">
        <v>2072</v>
      </c>
    </row>
    <row r="742" spans="1:39" ht="21" customHeight="1" x14ac:dyDescent="0.15">
      <c r="A742" s="42" t="str">
        <f t="shared" si="25"/>
        <v>40012_1</v>
      </c>
      <c r="B742" s="207">
        <v>1</v>
      </c>
      <c r="C742" s="31">
        <v>40012</v>
      </c>
      <c r="D742" s="47" t="str">
        <f ca="1">VLOOKUP($C742,OFFSET(quests!$A$1,0,0,COUNTA(quests!$A:$A),MATCH(D$1,quests!$1:$1,0)-MATCH($C$2,quests!$1:$1,0)+1),MATCH(D$1,quests!$1:$1,0)-MATCH($C$2,quests!$1:$1,0)+1,FALSE)</f>
        <v>ショウキ襲来！</v>
      </c>
      <c r="E742" s="48" t="str">
        <f ca="1">VLOOKUP($C742,OFFSET(quests!$A$1,0,0,COUNTA(quests!$A:$A),MATCH(E$2,quests!$1:$1,0)-MATCH($C$2,quests!$1:$1,0)+1),MATCH(E$2,quests!$1:$1,0)-MATCH($C$2,quests!$1:$1,0)+1,FALSE)</f>
        <v>降臨12</v>
      </c>
      <c r="F742" s="7">
        <v>1</v>
      </c>
      <c r="G742" s="7" t="s">
        <v>382</v>
      </c>
      <c r="H742" s="12" t="s">
        <v>985</v>
      </c>
      <c r="I742" s="12" t="s">
        <v>61</v>
      </c>
      <c r="J742" s="65">
        <v>645</v>
      </c>
      <c r="K742" s="167">
        <v>35</v>
      </c>
      <c r="L742" s="167">
        <v>4200</v>
      </c>
      <c r="M742" s="167">
        <v>1</v>
      </c>
      <c r="N742" s="167">
        <v>1</v>
      </c>
      <c r="O742" s="167">
        <v>1</v>
      </c>
      <c r="P742" s="167">
        <v>1</v>
      </c>
      <c r="Q742" s="167">
        <v>1</v>
      </c>
      <c r="R742" s="167">
        <v>3</v>
      </c>
      <c r="S742" s="167" t="s">
        <v>273</v>
      </c>
      <c r="T742" s="167">
        <v>644</v>
      </c>
      <c r="U742" s="7" t="s">
        <v>169</v>
      </c>
      <c r="V742" s="7" t="s">
        <v>169</v>
      </c>
      <c r="W742" s="47" t="str">
        <f t="shared" ca="1" si="37"/>
        <v/>
      </c>
      <c r="X742" s="47">
        <f ca="1">VLOOKUP($C742,OFFSET(quests!$A$1,0,0,COUNTA(quests!$A:$A),MATCH(X$2,quests!$1:$1,0)-MATCH($C$2,quests!$1:$1,0)+1),MATCH(X$2,quests!$1:$1,0)-MATCH($C$2,quests!$1:$1,0)+1,FALSE)</f>
        <v>0</v>
      </c>
      <c r="Y742" s="47">
        <f ca="1">VLOOKUP($C742,OFFSET(quests!$A$1,0,0,COUNTA(quests!$A:$A),MATCH(Y$2,quests!$1:$1,0)-MATCH($C$2,quests!$1:$1,0)+1),MATCH(Y$2,quests!$1:$1,0)-MATCH($C$2,quests!$1:$1,0)+1,FALSE)</f>
        <v>0</v>
      </c>
      <c r="Z742" s="47">
        <f ca="1">VLOOKUP($C742,OFFSET(quests!$A$1,0,0,COUNTA(quests!$A:$A),MATCH(Z$2,quests!$1:$1,0)-MATCH($C$2,quests!$1:$1,0)+1),MATCH(Z$2,quests!$1:$1,0)-MATCH($C$2,quests!$1:$1,0)+1,FALSE)</f>
        <v>0</v>
      </c>
      <c r="AA742" s="47">
        <f ca="1">VLOOKUP($C742,OFFSET(quests!$A$1,0,0,COUNTA(quests!$A:$A),MATCH(AA$2,quests!$1:$1,0)-MATCH($C$2,quests!$1:$1,0)+1),MATCH(AA$2,quests!$1:$1,0)-MATCH($C$2,quests!$1:$1,0)+1,FALSE)</f>
        <v>0</v>
      </c>
      <c r="AB742" s="7" t="s">
        <v>56</v>
      </c>
      <c r="AC742" s="7">
        <v>915</v>
      </c>
      <c r="AD742" s="7">
        <v>6</v>
      </c>
      <c r="AE742" s="7" t="s">
        <v>519</v>
      </c>
      <c r="AF742" s="7">
        <v>40</v>
      </c>
      <c r="AG742" s="7">
        <v>40</v>
      </c>
      <c r="AH742" s="7">
        <v>0</v>
      </c>
      <c r="AI742" s="7">
        <v>1</v>
      </c>
      <c r="AJ742" s="7">
        <v>-1</v>
      </c>
      <c r="AK742" s="7" t="s">
        <v>1065</v>
      </c>
      <c r="AL742" s="12" t="s">
        <v>1695</v>
      </c>
      <c r="AM742" s="12" t="s">
        <v>2072</v>
      </c>
    </row>
    <row r="743" spans="1:39" ht="21" customHeight="1" x14ac:dyDescent="0.15">
      <c r="A743" s="42" t="str">
        <f t="shared" si="25"/>
        <v>40013_1</v>
      </c>
      <c r="B743" s="207">
        <v>1</v>
      </c>
      <c r="C743" s="31">
        <v>40013</v>
      </c>
      <c r="D743" s="47" t="str">
        <f ca="1">VLOOKUP($C743,OFFSET(quests!$A$1,0,0,COUNTA(quests!$A:$A),MATCH(D$1,quests!$1:$1,0)-MATCH($C$2,quests!$1:$1,0)+1),MATCH(D$1,quests!$1:$1,0)-MATCH($C$2,quests!$1:$1,0)+1,FALSE)</f>
        <v>カーマ襲来！</v>
      </c>
      <c r="E743" s="48" t="str">
        <f ca="1">VLOOKUP($C743,OFFSET(quests!$A$1,0,0,COUNTA(quests!$A:$A),MATCH(E$2,quests!$1:$1,0)-MATCH($C$2,quests!$1:$1,0)+1),MATCH(E$2,quests!$1:$1,0)-MATCH($C$2,quests!$1:$1,0)+1,FALSE)</f>
        <v>降臨13</v>
      </c>
      <c r="F743" s="7">
        <v>1</v>
      </c>
      <c r="G743" s="7" t="s">
        <v>382</v>
      </c>
      <c r="H743" s="12" t="s">
        <v>1029</v>
      </c>
      <c r="I743" s="12" t="s">
        <v>61</v>
      </c>
      <c r="J743" s="65">
        <v>643</v>
      </c>
      <c r="K743" s="167">
        <v>35</v>
      </c>
      <c r="L743" s="167">
        <v>4200</v>
      </c>
      <c r="M743" s="167">
        <v>1</v>
      </c>
      <c r="N743" s="167">
        <v>1</v>
      </c>
      <c r="O743" s="167">
        <v>1</v>
      </c>
      <c r="P743" s="167">
        <v>1</v>
      </c>
      <c r="Q743" s="96">
        <v>0</v>
      </c>
      <c r="R743" s="167">
        <v>3</v>
      </c>
      <c r="S743" s="167" t="s">
        <v>273</v>
      </c>
      <c r="T743" s="65">
        <v>642</v>
      </c>
      <c r="U743" s="7" t="s">
        <v>169</v>
      </c>
      <c r="V743" s="7" t="s">
        <v>169</v>
      </c>
      <c r="W743" s="47" t="str">
        <f t="shared" ca="1" si="37"/>
        <v/>
      </c>
      <c r="X743" s="47">
        <f ca="1">VLOOKUP($C743,OFFSET(quests!$A$1,0,0,COUNTA(quests!$A:$A),MATCH(X$2,quests!$1:$1,0)-MATCH($C$2,quests!$1:$1,0)+1),MATCH(X$2,quests!$1:$1,0)-MATCH($C$2,quests!$1:$1,0)+1,FALSE)</f>
        <v>0</v>
      </c>
      <c r="Y743" s="47">
        <f ca="1">VLOOKUP($C743,OFFSET(quests!$A$1,0,0,COUNTA(quests!$A:$A),MATCH(Y$2,quests!$1:$1,0)-MATCH($C$2,quests!$1:$1,0)+1),MATCH(Y$2,quests!$1:$1,0)-MATCH($C$2,quests!$1:$1,0)+1,FALSE)</f>
        <v>0</v>
      </c>
      <c r="Z743" s="47">
        <f ca="1">VLOOKUP($C743,OFFSET(quests!$A$1,0,0,COUNTA(quests!$A:$A),MATCH(Z$2,quests!$1:$1,0)-MATCH($C$2,quests!$1:$1,0)+1),MATCH(Z$2,quests!$1:$1,0)-MATCH($C$2,quests!$1:$1,0)+1,FALSE)</f>
        <v>0</v>
      </c>
      <c r="AA743" s="47">
        <f ca="1">VLOOKUP($C743,OFFSET(quests!$A$1,0,0,COUNTA(quests!$A:$A),MATCH(AA$2,quests!$1:$1,0)-MATCH($C$2,quests!$1:$1,0)+1),MATCH(AA$2,quests!$1:$1,0)-MATCH($C$2,quests!$1:$1,0)+1,FALSE)</f>
        <v>0</v>
      </c>
      <c r="AB743" s="7" t="s">
        <v>56</v>
      </c>
      <c r="AC743" s="7">
        <v>916</v>
      </c>
      <c r="AD743" s="7">
        <v>6</v>
      </c>
      <c r="AE743" s="7" t="s">
        <v>519</v>
      </c>
      <c r="AF743" s="7">
        <v>40</v>
      </c>
      <c r="AG743" s="7">
        <v>40</v>
      </c>
      <c r="AH743" s="7">
        <v>0</v>
      </c>
      <c r="AI743" s="7">
        <v>1</v>
      </c>
      <c r="AJ743" s="7">
        <v>-1</v>
      </c>
      <c r="AK743" s="7" t="s">
        <v>1065</v>
      </c>
      <c r="AL743" s="12" t="s">
        <v>1695</v>
      </c>
      <c r="AM743" s="12" t="s">
        <v>2072</v>
      </c>
    </row>
    <row r="744" spans="1:39" ht="21" customHeight="1" x14ac:dyDescent="0.15">
      <c r="A744" s="42" t="str">
        <f t="shared" si="25"/>
        <v>40014_1</v>
      </c>
      <c r="B744" s="207">
        <v>1</v>
      </c>
      <c r="C744" s="31">
        <v>40014</v>
      </c>
      <c r="D744" s="47" t="str">
        <f ca="1">VLOOKUP($C744,OFFSET(quests!$A$1,0,0,COUNTA(quests!$A:$A),MATCH(D$1,quests!$1:$1,0)-MATCH($C$2,quests!$1:$1,0)+1),MATCH(D$1,quests!$1:$1,0)-MATCH($C$2,quests!$1:$1,0)+1,FALSE)</f>
        <v>シヴァ襲来！</v>
      </c>
      <c r="E744" s="48" t="str">
        <f ca="1">VLOOKUP($C744,OFFSET(quests!$A$1,0,0,COUNTA(quests!$A:$A),MATCH(E$2,quests!$1:$1,0)-MATCH($C$2,quests!$1:$1,0)+1),MATCH(E$2,quests!$1:$1,0)-MATCH($C$2,quests!$1:$1,0)+1,FALSE)</f>
        <v>降臨14</v>
      </c>
      <c r="F744" s="7">
        <v>1</v>
      </c>
      <c r="G744" s="7" t="s">
        <v>382</v>
      </c>
      <c r="H744" s="12" t="s">
        <v>1009</v>
      </c>
      <c r="I744" s="12" t="s">
        <v>61</v>
      </c>
      <c r="J744" s="65">
        <v>657</v>
      </c>
      <c r="K744" s="167">
        <v>35</v>
      </c>
      <c r="L744" s="167">
        <v>4200</v>
      </c>
      <c r="M744" s="167">
        <v>1</v>
      </c>
      <c r="N744" s="167">
        <v>1</v>
      </c>
      <c r="O744" s="167">
        <v>1</v>
      </c>
      <c r="P744" s="167">
        <v>1</v>
      </c>
      <c r="Q744" s="167">
        <v>1</v>
      </c>
      <c r="R744" s="167">
        <v>3</v>
      </c>
      <c r="S744" s="167" t="s">
        <v>273</v>
      </c>
      <c r="T744" s="65">
        <v>656</v>
      </c>
      <c r="U744" s="7" t="s">
        <v>169</v>
      </c>
      <c r="V744" s="7" t="s">
        <v>169</v>
      </c>
      <c r="W744" s="47" t="str">
        <f t="shared" ca="1" si="37"/>
        <v/>
      </c>
      <c r="X744" s="47">
        <f ca="1">VLOOKUP($C744,OFFSET(quests!$A$1,0,0,COUNTA(quests!$A:$A),MATCH(X$2,quests!$1:$1,0)-MATCH($C$2,quests!$1:$1,0)+1),MATCH(X$2,quests!$1:$1,0)-MATCH($C$2,quests!$1:$1,0)+1,FALSE)</f>
        <v>0</v>
      </c>
      <c r="Y744" s="47">
        <f ca="1">VLOOKUP($C744,OFFSET(quests!$A$1,0,0,COUNTA(quests!$A:$A),MATCH(Y$2,quests!$1:$1,0)-MATCH($C$2,quests!$1:$1,0)+1),MATCH(Y$2,quests!$1:$1,0)-MATCH($C$2,quests!$1:$1,0)+1,FALSE)</f>
        <v>0</v>
      </c>
      <c r="Z744" s="47">
        <f ca="1">VLOOKUP($C744,OFFSET(quests!$A$1,0,0,COUNTA(quests!$A:$A),MATCH(Z$2,quests!$1:$1,0)-MATCH($C$2,quests!$1:$1,0)+1),MATCH(Z$2,quests!$1:$1,0)-MATCH($C$2,quests!$1:$1,0)+1,FALSE)</f>
        <v>0</v>
      </c>
      <c r="AA744" s="47">
        <f ca="1">VLOOKUP($C744,OFFSET(quests!$A$1,0,0,COUNTA(quests!$A:$A),MATCH(AA$2,quests!$1:$1,0)-MATCH($C$2,quests!$1:$1,0)+1),MATCH(AA$2,quests!$1:$1,0)-MATCH($C$2,quests!$1:$1,0)+1,FALSE)</f>
        <v>0</v>
      </c>
      <c r="AB744" s="7" t="s">
        <v>56</v>
      </c>
      <c r="AC744" s="7">
        <v>916</v>
      </c>
      <c r="AD744" s="7">
        <v>6</v>
      </c>
      <c r="AE744" s="7" t="s">
        <v>519</v>
      </c>
      <c r="AF744" s="7">
        <v>40</v>
      </c>
      <c r="AG744" s="7">
        <v>40</v>
      </c>
      <c r="AH744" s="7">
        <v>0</v>
      </c>
      <c r="AI744" s="7">
        <v>1</v>
      </c>
      <c r="AJ744" s="7">
        <v>-1</v>
      </c>
      <c r="AK744" s="7" t="s">
        <v>1065</v>
      </c>
      <c r="AL744" s="12" t="s">
        <v>1695</v>
      </c>
      <c r="AM744" s="12" t="s">
        <v>2072</v>
      </c>
    </row>
    <row r="745" spans="1:39" ht="21" customHeight="1" x14ac:dyDescent="0.15">
      <c r="A745" s="42" t="str">
        <f t="shared" si="25"/>
        <v>40015_1</v>
      </c>
      <c r="B745" s="207">
        <v>1</v>
      </c>
      <c r="C745" s="31">
        <v>40015</v>
      </c>
      <c r="D745" s="47" t="str">
        <f ca="1">VLOOKUP($C745,OFFSET(quests!$A$1,0,0,COUNTA(quests!$A:$A),MATCH(D$1,quests!$1:$1,0)-MATCH($C$2,quests!$1:$1,0)+1),MATCH(D$1,quests!$1:$1,0)-MATCH($C$2,quests!$1:$1,0)+1,FALSE)</f>
        <v>ガレス襲来！</v>
      </c>
      <c r="E745" s="48" t="str">
        <f ca="1">VLOOKUP($C745,OFFSET(quests!$A$1,0,0,COUNTA(quests!$A:$A),MATCH(E$2,quests!$1:$1,0)-MATCH($C$2,quests!$1:$1,0)+1),MATCH(E$2,quests!$1:$1,0)-MATCH($C$2,quests!$1:$1,0)+1,FALSE)</f>
        <v>降臨15</v>
      </c>
      <c r="F745" s="7">
        <v>1</v>
      </c>
      <c r="G745" s="7" t="s">
        <v>382</v>
      </c>
      <c r="H745" s="12" t="s">
        <v>1042</v>
      </c>
      <c r="I745" s="12" t="s">
        <v>61</v>
      </c>
      <c r="J745" s="65">
        <v>769</v>
      </c>
      <c r="K745" s="167">
        <v>35</v>
      </c>
      <c r="L745" s="167">
        <v>4200</v>
      </c>
      <c r="M745" s="167">
        <v>1</v>
      </c>
      <c r="N745" s="167">
        <v>1</v>
      </c>
      <c r="O745" s="167">
        <v>1</v>
      </c>
      <c r="P745" s="167">
        <v>1</v>
      </c>
      <c r="Q745" s="167">
        <v>1</v>
      </c>
      <c r="R745" s="167">
        <v>3</v>
      </c>
      <c r="S745" s="167" t="s">
        <v>273</v>
      </c>
      <c r="T745" s="167">
        <v>768</v>
      </c>
      <c r="U745" s="7" t="s">
        <v>169</v>
      </c>
      <c r="V745" s="7" t="s">
        <v>169</v>
      </c>
      <c r="W745" s="47" t="str">
        <f t="shared" ca="1" si="37"/>
        <v/>
      </c>
      <c r="X745" s="47">
        <f ca="1">VLOOKUP($C745,OFFSET(quests!$A$1,0,0,COUNTA(quests!$A:$A),MATCH(X$2,quests!$1:$1,0)-MATCH($C$2,quests!$1:$1,0)+1),MATCH(X$2,quests!$1:$1,0)-MATCH($C$2,quests!$1:$1,0)+1,FALSE)</f>
        <v>0</v>
      </c>
      <c r="Y745" s="47">
        <f ca="1">VLOOKUP($C745,OFFSET(quests!$A$1,0,0,COUNTA(quests!$A:$A),MATCH(Y$2,quests!$1:$1,0)-MATCH($C$2,quests!$1:$1,0)+1),MATCH(Y$2,quests!$1:$1,0)-MATCH($C$2,quests!$1:$1,0)+1,FALSE)</f>
        <v>0</v>
      </c>
      <c r="Z745" s="47">
        <f ca="1">VLOOKUP($C745,OFFSET(quests!$A$1,0,0,COUNTA(quests!$A:$A),MATCH(Z$2,quests!$1:$1,0)-MATCH($C$2,quests!$1:$1,0)+1),MATCH(Z$2,quests!$1:$1,0)-MATCH($C$2,quests!$1:$1,0)+1,FALSE)</f>
        <v>0</v>
      </c>
      <c r="AA745" s="47">
        <f ca="1">VLOOKUP($C745,OFFSET(quests!$A$1,0,0,COUNTA(quests!$A:$A),MATCH(AA$2,quests!$1:$1,0)-MATCH($C$2,quests!$1:$1,0)+1),MATCH(AA$2,quests!$1:$1,0)-MATCH($C$2,quests!$1:$1,0)+1,FALSE)</f>
        <v>0</v>
      </c>
      <c r="AB745" s="7" t="s">
        <v>56</v>
      </c>
      <c r="AC745" s="7">
        <v>907</v>
      </c>
      <c r="AD745" s="7">
        <v>6</v>
      </c>
      <c r="AE745" s="7" t="s">
        <v>519</v>
      </c>
      <c r="AF745" s="7">
        <v>40</v>
      </c>
      <c r="AG745" s="7">
        <v>40</v>
      </c>
      <c r="AH745" s="7">
        <v>0</v>
      </c>
      <c r="AI745" s="7">
        <v>1</v>
      </c>
      <c r="AJ745" s="7">
        <v>-1</v>
      </c>
      <c r="AK745" s="7" t="s">
        <v>1065</v>
      </c>
      <c r="AL745" s="12" t="s">
        <v>1695</v>
      </c>
      <c r="AM745" s="12" t="s">
        <v>2072</v>
      </c>
    </row>
    <row r="746" spans="1:39" ht="21" customHeight="1" x14ac:dyDescent="0.15">
      <c r="A746" s="42" t="str">
        <f t="shared" si="25"/>
        <v>40016_1</v>
      </c>
      <c r="B746" s="23">
        <v>3</v>
      </c>
      <c r="C746" s="31">
        <v>40016</v>
      </c>
      <c r="D746" s="47" t="str">
        <f ca="1">VLOOKUP($C746,OFFSET(quests!$A$1,0,0,COUNTA(quests!$A:$A),MATCH(D$1,quests!$1:$1,0)-MATCH($C$2,quests!$1:$1,0)+1),MATCH(D$1,quests!$1:$1,0)-MATCH($C$2,quests!$1:$1,0)+1,FALSE)</f>
        <v>武田信玄襲来！</v>
      </c>
      <c r="E746" s="48" t="str">
        <f ca="1">VLOOKUP($C746,OFFSET(quests!$A$1,0,0,COUNTA(quests!$A:$A),MATCH(E$2,quests!$1:$1,0)-MATCH($C$2,quests!$1:$1,0)+1),MATCH(E$2,quests!$1:$1,0)-MATCH($C$2,quests!$1:$1,0)+1,FALSE)</f>
        <v>降臨16</v>
      </c>
      <c r="F746" s="7">
        <v>1</v>
      </c>
      <c r="G746" s="7" t="s">
        <v>382</v>
      </c>
      <c r="H746" s="12" t="s">
        <v>1060</v>
      </c>
      <c r="I746" s="12" t="s">
        <v>61</v>
      </c>
      <c r="J746" s="65">
        <v>725</v>
      </c>
      <c r="K746" s="167">
        <v>40</v>
      </c>
      <c r="L746" s="167">
        <v>4500</v>
      </c>
      <c r="M746" s="167">
        <v>1</v>
      </c>
      <c r="N746" s="167">
        <v>1</v>
      </c>
      <c r="O746" s="167">
        <v>1</v>
      </c>
      <c r="P746" s="167">
        <v>1</v>
      </c>
      <c r="Q746" s="167">
        <v>1</v>
      </c>
      <c r="R746" s="167">
        <v>3</v>
      </c>
      <c r="S746" s="167" t="s">
        <v>923</v>
      </c>
      <c r="T746" s="167">
        <v>1</v>
      </c>
      <c r="U746" s="7" t="s">
        <v>169</v>
      </c>
      <c r="V746" s="7" t="s">
        <v>169</v>
      </c>
      <c r="W746" s="47" t="str">
        <f t="shared" ca="1" si="37"/>
        <v/>
      </c>
      <c r="X746" s="47">
        <f ca="1">VLOOKUP($C746,OFFSET(quests!$A$1,0,0,COUNTA(quests!$A:$A),MATCH(X$2,quests!$1:$1,0)-MATCH($C$2,quests!$1:$1,0)+1),MATCH(X$2,quests!$1:$1,0)-MATCH($C$2,quests!$1:$1,0)+1,FALSE)</f>
        <v>0</v>
      </c>
      <c r="Y746" s="47">
        <f ca="1">VLOOKUP($C746,OFFSET(quests!$A$1,0,0,COUNTA(quests!$A:$A),MATCH(Y$2,quests!$1:$1,0)-MATCH($C$2,quests!$1:$1,0)+1),MATCH(Y$2,quests!$1:$1,0)-MATCH($C$2,quests!$1:$1,0)+1,FALSE)</f>
        <v>0</v>
      </c>
      <c r="Z746" s="47">
        <f ca="1">VLOOKUP($C746,OFFSET(quests!$A$1,0,0,COUNTA(quests!$A:$A),MATCH(Z$2,quests!$1:$1,0)-MATCH($C$2,quests!$1:$1,0)+1),MATCH(Z$2,quests!$1:$1,0)-MATCH($C$2,quests!$1:$1,0)+1,FALSE)</f>
        <v>0</v>
      </c>
      <c r="AA746" s="47">
        <f ca="1">VLOOKUP($C746,OFFSET(quests!$A$1,0,0,COUNTA(quests!$A:$A),MATCH(AA$2,quests!$1:$1,0)-MATCH($C$2,quests!$1:$1,0)+1),MATCH(AA$2,quests!$1:$1,0)-MATCH($C$2,quests!$1:$1,0)+1,FALSE)</f>
        <v>0</v>
      </c>
      <c r="AB746" s="7" t="s">
        <v>56</v>
      </c>
      <c r="AC746" s="7">
        <v>919</v>
      </c>
      <c r="AD746" s="7">
        <v>6</v>
      </c>
      <c r="AE746" s="7" t="s">
        <v>519</v>
      </c>
      <c r="AF746" s="7">
        <v>40</v>
      </c>
      <c r="AG746" s="7">
        <v>40</v>
      </c>
      <c r="AH746" s="7">
        <v>0</v>
      </c>
      <c r="AI746" s="7">
        <v>-1</v>
      </c>
      <c r="AJ746" s="7">
        <v>-1</v>
      </c>
      <c r="AK746" s="7" t="s">
        <v>1065</v>
      </c>
      <c r="AL746" s="12" t="s">
        <v>1695</v>
      </c>
      <c r="AM746" s="12" t="s">
        <v>2072</v>
      </c>
    </row>
    <row r="747" spans="1:39" s="45" customFormat="1" ht="21" customHeight="1" x14ac:dyDescent="0.15">
      <c r="A747" s="230" t="str">
        <f t="shared" si="25"/>
        <v>40016_2</v>
      </c>
      <c r="B747" s="44">
        <v>1</v>
      </c>
      <c r="C747" s="231">
        <v>40016</v>
      </c>
      <c r="D747" s="47" t="str">
        <f ca="1">VLOOKUP($C747,OFFSET(quests!$A$1,0,0,COUNTA(quests!$A:$A),MATCH(D$1,quests!$1:$1,0)-MATCH($C$2,quests!$1:$1,0)+1),MATCH(D$1,quests!$1:$1,0)-MATCH($C$2,quests!$1:$1,0)+1,FALSE)</f>
        <v>武田信玄襲来！</v>
      </c>
      <c r="E747" s="48" t="str">
        <f ca="1">VLOOKUP($C747,OFFSET(quests!$A$1,0,0,COUNTA(quests!$A:$A),MATCH(E$2,quests!$1:$1,0)-MATCH($C$2,quests!$1:$1,0)+1),MATCH(E$2,quests!$1:$1,0)-MATCH($C$2,quests!$1:$1,0)+1,FALSE)</f>
        <v>降臨16</v>
      </c>
      <c r="F747" s="232">
        <v>2</v>
      </c>
      <c r="G747" s="232" t="s">
        <v>382</v>
      </c>
      <c r="H747" s="44" t="s">
        <v>1092</v>
      </c>
      <c r="I747" s="44" t="s">
        <v>61</v>
      </c>
      <c r="J747" s="233">
        <v>725</v>
      </c>
      <c r="K747" s="232">
        <v>40</v>
      </c>
      <c r="L747" s="232">
        <v>4500</v>
      </c>
      <c r="M747" s="232">
        <v>1</v>
      </c>
      <c r="N747" s="232">
        <v>1</v>
      </c>
      <c r="O747" s="232">
        <v>1</v>
      </c>
      <c r="P747" s="232">
        <v>1</v>
      </c>
      <c r="Q747" s="232">
        <v>1</v>
      </c>
      <c r="R747" s="232">
        <v>3</v>
      </c>
      <c r="S747" s="232" t="s">
        <v>923</v>
      </c>
      <c r="T747" s="232">
        <v>1</v>
      </c>
      <c r="U747" s="232" t="s">
        <v>169</v>
      </c>
      <c r="V747" s="232" t="s">
        <v>169</v>
      </c>
      <c r="W747" s="47" t="str">
        <f t="shared" ca="1" si="37"/>
        <v/>
      </c>
      <c r="X747" s="47">
        <f ca="1">VLOOKUP($C747,OFFSET(quests!$A$1,0,0,COUNTA(quests!$A:$A),MATCH(X$2,quests!$1:$1,0)-MATCH($C$2,quests!$1:$1,0)+1),MATCH(X$2,quests!$1:$1,0)-MATCH($C$2,quests!$1:$1,0)+1,FALSE)</f>
        <v>0</v>
      </c>
      <c r="Y747" s="47">
        <f ca="1">VLOOKUP($C747,OFFSET(quests!$A$1,0,0,COUNTA(quests!$A:$A),MATCH(Y$2,quests!$1:$1,0)-MATCH($C$2,quests!$1:$1,0)+1),MATCH(Y$2,quests!$1:$1,0)-MATCH($C$2,quests!$1:$1,0)+1,FALSE)</f>
        <v>0</v>
      </c>
      <c r="Z747" s="47">
        <f ca="1">VLOOKUP($C747,OFFSET(quests!$A$1,0,0,COUNTA(quests!$A:$A),MATCH(Z$2,quests!$1:$1,0)-MATCH($C$2,quests!$1:$1,0)+1),MATCH(Z$2,quests!$1:$1,0)-MATCH($C$2,quests!$1:$1,0)+1,FALSE)</f>
        <v>0</v>
      </c>
      <c r="AA747" s="47">
        <f ca="1">VLOOKUP($C747,OFFSET(quests!$A$1,0,0,COUNTA(quests!$A:$A),MATCH(AA$2,quests!$1:$1,0)-MATCH($C$2,quests!$1:$1,0)+1),MATCH(AA$2,quests!$1:$1,0)-MATCH($C$2,quests!$1:$1,0)+1,FALSE)</f>
        <v>0</v>
      </c>
      <c r="AB747" s="232" t="s">
        <v>56</v>
      </c>
      <c r="AC747" s="232">
        <v>919</v>
      </c>
      <c r="AD747" s="232">
        <v>6</v>
      </c>
      <c r="AE747" s="232" t="s">
        <v>519</v>
      </c>
      <c r="AF747" s="232">
        <v>40</v>
      </c>
      <c r="AG747" s="232">
        <v>40</v>
      </c>
      <c r="AH747" s="232">
        <v>0</v>
      </c>
      <c r="AI747" s="232">
        <v>0</v>
      </c>
      <c r="AJ747" s="232">
        <v>-1</v>
      </c>
      <c r="AK747" s="232" t="s">
        <v>1065</v>
      </c>
      <c r="AL747" s="12" t="s">
        <v>1695</v>
      </c>
      <c r="AM747" s="12" t="s">
        <v>2072</v>
      </c>
    </row>
    <row r="748" spans="1:39" ht="21" customHeight="1" x14ac:dyDescent="0.15">
      <c r="A748" s="42" t="str">
        <f t="shared" ref="A748:A836" si="40">C748&amp;"_"&amp;F748</f>
        <v>40017_1</v>
      </c>
      <c r="B748" s="23">
        <v>3</v>
      </c>
      <c r="C748" s="31">
        <v>40017</v>
      </c>
      <c r="D748" s="47" t="str">
        <f ca="1">VLOOKUP($C748,OFFSET(quests!$A$1,0,0,COUNTA(quests!$A:$A),MATCH(D$1,quests!$1:$1,0)-MATCH($C$2,quests!$1:$1,0)+1),MATCH(D$1,quests!$1:$1,0)-MATCH($C$2,quests!$1:$1,0)+1,FALSE)</f>
        <v>ベルゼブブ襲来！</v>
      </c>
      <c r="E748" s="48" t="str">
        <f ca="1">VLOOKUP($C748,OFFSET(quests!$A$1,0,0,COUNTA(quests!$A:$A),MATCH(E$2,quests!$1:$1,0)-MATCH($C$2,quests!$1:$1,0)+1),MATCH(E$2,quests!$1:$1,0)-MATCH($C$2,quests!$1:$1,0)+1,FALSE)</f>
        <v>降臨17</v>
      </c>
      <c r="F748" s="7">
        <v>1</v>
      </c>
      <c r="G748" s="7" t="s">
        <v>382</v>
      </c>
      <c r="H748" s="12" t="s">
        <v>1134</v>
      </c>
      <c r="I748" s="12" t="s">
        <v>61</v>
      </c>
      <c r="J748" s="65">
        <v>845</v>
      </c>
      <c r="K748" s="167">
        <v>35</v>
      </c>
      <c r="L748" s="167">
        <v>4200</v>
      </c>
      <c r="M748" s="167">
        <v>1</v>
      </c>
      <c r="N748" s="167">
        <v>1</v>
      </c>
      <c r="O748" s="167">
        <v>1</v>
      </c>
      <c r="P748" s="167">
        <v>1</v>
      </c>
      <c r="Q748" s="167">
        <v>1</v>
      </c>
      <c r="R748" s="167">
        <v>3</v>
      </c>
      <c r="S748" s="167" t="s">
        <v>385</v>
      </c>
      <c r="T748" s="167">
        <v>1</v>
      </c>
      <c r="U748" s="7" t="s">
        <v>169</v>
      </c>
      <c r="V748" s="7" t="s">
        <v>169</v>
      </c>
      <c r="W748" s="47" t="str">
        <f t="shared" ca="1" si="37"/>
        <v/>
      </c>
      <c r="X748" s="47">
        <f ca="1">VLOOKUP($C748,OFFSET(quests!$A$1,0,0,COUNTA(quests!$A:$A),MATCH(X$2,quests!$1:$1,0)-MATCH($C$2,quests!$1:$1,0)+1),MATCH(X$2,quests!$1:$1,0)-MATCH($C$2,quests!$1:$1,0)+1,FALSE)</f>
        <v>0</v>
      </c>
      <c r="Y748" s="47">
        <f ca="1">VLOOKUP($C748,OFFSET(quests!$A$1,0,0,COUNTA(quests!$A:$A),MATCH(Y$2,quests!$1:$1,0)-MATCH($C$2,quests!$1:$1,0)+1),MATCH(Y$2,quests!$1:$1,0)-MATCH($C$2,quests!$1:$1,0)+1,FALSE)</f>
        <v>0</v>
      </c>
      <c r="Z748" s="47">
        <f ca="1">VLOOKUP($C748,OFFSET(quests!$A$1,0,0,COUNTA(quests!$A:$A),MATCH(Z$2,quests!$1:$1,0)-MATCH($C$2,quests!$1:$1,0)+1),MATCH(Z$2,quests!$1:$1,0)-MATCH($C$2,quests!$1:$1,0)+1,FALSE)</f>
        <v>0</v>
      </c>
      <c r="AA748" s="47">
        <f ca="1">VLOOKUP($C748,OFFSET(quests!$A$1,0,0,COUNTA(quests!$A:$A),MATCH(AA$2,quests!$1:$1,0)-MATCH($C$2,quests!$1:$1,0)+1),MATCH(AA$2,quests!$1:$1,0)-MATCH($C$2,quests!$1:$1,0)+1,FALSE)</f>
        <v>0</v>
      </c>
      <c r="AB748" s="7" t="s">
        <v>56</v>
      </c>
      <c r="AC748" s="7">
        <v>927</v>
      </c>
      <c r="AD748" s="7">
        <v>6</v>
      </c>
      <c r="AE748" s="7" t="s">
        <v>519</v>
      </c>
      <c r="AF748" s="7">
        <v>40</v>
      </c>
      <c r="AG748" s="7">
        <v>40</v>
      </c>
      <c r="AH748" s="7">
        <v>0</v>
      </c>
      <c r="AI748" s="7">
        <v>-1</v>
      </c>
      <c r="AJ748" s="7">
        <v>-1</v>
      </c>
      <c r="AK748" s="7" t="s">
        <v>1065</v>
      </c>
      <c r="AL748" s="12" t="s">
        <v>1695</v>
      </c>
      <c r="AM748" s="12" t="s">
        <v>2072</v>
      </c>
    </row>
    <row r="749" spans="1:39" ht="21" customHeight="1" x14ac:dyDescent="0.15">
      <c r="A749" s="42" t="str">
        <f t="shared" si="40"/>
        <v>40017_2</v>
      </c>
      <c r="B749" s="23">
        <v>3</v>
      </c>
      <c r="C749" s="31">
        <v>40017</v>
      </c>
      <c r="D749" s="47" t="str">
        <f ca="1">VLOOKUP($C749,OFFSET(quests!$A$1,0,0,COUNTA(quests!$A:$A),MATCH(D$1,quests!$1:$1,0)-MATCH($C$2,quests!$1:$1,0)+1),MATCH(D$1,quests!$1:$1,0)-MATCH($C$2,quests!$1:$1,0)+1,FALSE)</f>
        <v>ベルゼブブ襲来！</v>
      </c>
      <c r="E749" s="48" t="str">
        <f ca="1">VLOOKUP($C749,OFFSET(quests!$A$1,0,0,COUNTA(quests!$A:$A),MATCH(E$2,quests!$1:$1,0)-MATCH($C$2,quests!$1:$1,0)+1),MATCH(E$2,quests!$1:$1,0)-MATCH($C$2,quests!$1:$1,0)+1,FALSE)</f>
        <v>降臨17</v>
      </c>
      <c r="F749" s="7">
        <v>2</v>
      </c>
      <c r="G749" s="7" t="s">
        <v>382</v>
      </c>
      <c r="H749" s="12" t="s">
        <v>1135</v>
      </c>
      <c r="I749" s="12" t="s">
        <v>61</v>
      </c>
      <c r="J749" s="65">
        <v>845</v>
      </c>
      <c r="K749" s="167">
        <v>40</v>
      </c>
      <c r="L749" s="167">
        <v>4500</v>
      </c>
      <c r="M749" s="167">
        <v>1</v>
      </c>
      <c r="N749" s="167">
        <v>1</v>
      </c>
      <c r="O749" s="167">
        <v>1</v>
      </c>
      <c r="P749" s="167">
        <v>1</v>
      </c>
      <c r="Q749" s="167">
        <v>1</v>
      </c>
      <c r="R749" s="167">
        <v>3</v>
      </c>
      <c r="S749" s="167" t="s">
        <v>385</v>
      </c>
      <c r="T749" s="167">
        <v>1</v>
      </c>
      <c r="U749" s="7" t="s">
        <v>169</v>
      </c>
      <c r="V749" s="7" t="s">
        <v>169</v>
      </c>
      <c r="W749" s="47" t="str">
        <f t="shared" ca="1" si="37"/>
        <v/>
      </c>
      <c r="X749" s="47">
        <f ca="1">VLOOKUP($C749,OFFSET(quests!$A$1,0,0,COUNTA(quests!$A:$A),MATCH(X$2,quests!$1:$1,0)-MATCH($C$2,quests!$1:$1,0)+1),MATCH(X$2,quests!$1:$1,0)-MATCH($C$2,quests!$1:$1,0)+1,FALSE)</f>
        <v>0</v>
      </c>
      <c r="Y749" s="47">
        <f ca="1">VLOOKUP($C749,OFFSET(quests!$A$1,0,0,COUNTA(quests!$A:$A),MATCH(Y$2,quests!$1:$1,0)-MATCH($C$2,quests!$1:$1,0)+1),MATCH(Y$2,quests!$1:$1,0)-MATCH($C$2,quests!$1:$1,0)+1,FALSE)</f>
        <v>0</v>
      </c>
      <c r="Z749" s="47">
        <f ca="1">VLOOKUP($C749,OFFSET(quests!$A$1,0,0,COUNTA(quests!$A:$A),MATCH(Z$2,quests!$1:$1,0)-MATCH($C$2,quests!$1:$1,0)+1),MATCH(Z$2,quests!$1:$1,0)-MATCH($C$2,quests!$1:$1,0)+1,FALSE)</f>
        <v>0</v>
      </c>
      <c r="AA749" s="47">
        <f ca="1">VLOOKUP($C749,OFFSET(quests!$A$1,0,0,COUNTA(quests!$A:$A),MATCH(AA$2,quests!$1:$1,0)-MATCH($C$2,quests!$1:$1,0)+1),MATCH(AA$2,quests!$1:$1,0)-MATCH($C$2,quests!$1:$1,0)+1,FALSE)</f>
        <v>0</v>
      </c>
      <c r="AB749" s="7" t="s">
        <v>56</v>
      </c>
      <c r="AC749" s="7">
        <v>927</v>
      </c>
      <c r="AD749" s="7">
        <v>6</v>
      </c>
      <c r="AE749" s="7" t="s">
        <v>519</v>
      </c>
      <c r="AF749" s="7">
        <v>40</v>
      </c>
      <c r="AG749" s="7">
        <v>40</v>
      </c>
      <c r="AH749" s="7">
        <v>0</v>
      </c>
      <c r="AI749" s="7">
        <v>-1</v>
      </c>
      <c r="AJ749" s="7">
        <v>-1</v>
      </c>
      <c r="AK749" s="7" t="s">
        <v>1065</v>
      </c>
      <c r="AL749" s="12" t="s">
        <v>1695</v>
      </c>
      <c r="AM749" s="12" t="s">
        <v>2072</v>
      </c>
    </row>
    <row r="750" spans="1:39" s="45" customFormat="1" ht="21" customHeight="1" x14ac:dyDescent="0.15">
      <c r="A750" s="230" t="str">
        <f t="shared" si="40"/>
        <v>40017_3</v>
      </c>
      <c r="B750" s="44">
        <v>1</v>
      </c>
      <c r="C750" s="231">
        <v>40017</v>
      </c>
      <c r="D750" s="47" t="str">
        <f ca="1">VLOOKUP($C750,OFFSET(quests!$A$1,0,0,COUNTA(quests!$A:$A),MATCH(D$1,quests!$1:$1,0)-MATCH($C$2,quests!$1:$1,0)+1),MATCH(D$1,quests!$1:$1,0)-MATCH($C$2,quests!$1:$1,0)+1,FALSE)</f>
        <v>ベルゼブブ襲来！</v>
      </c>
      <c r="E750" s="48" t="str">
        <f ca="1">VLOOKUP($C750,OFFSET(quests!$A$1,0,0,COUNTA(quests!$A:$A),MATCH(E$2,quests!$1:$1,0)-MATCH($C$2,quests!$1:$1,0)+1),MATCH(E$2,quests!$1:$1,0)-MATCH($C$2,quests!$1:$1,0)+1,FALSE)</f>
        <v>降臨17</v>
      </c>
      <c r="F750" s="232">
        <v>3</v>
      </c>
      <c r="G750" s="232" t="s">
        <v>382</v>
      </c>
      <c r="H750" s="44" t="s">
        <v>1224</v>
      </c>
      <c r="I750" s="44" t="s">
        <v>61</v>
      </c>
      <c r="J750" s="233">
        <v>845</v>
      </c>
      <c r="K750" s="232">
        <v>40</v>
      </c>
      <c r="L750" s="232">
        <v>4500</v>
      </c>
      <c r="M750" s="232">
        <v>1</v>
      </c>
      <c r="N750" s="232">
        <v>1</v>
      </c>
      <c r="O750" s="232">
        <v>1</v>
      </c>
      <c r="P750" s="232">
        <v>1</v>
      </c>
      <c r="Q750" s="232">
        <v>1</v>
      </c>
      <c r="R750" s="232">
        <v>3</v>
      </c>
      <c r="S750" s="232" t="s">
        <v>385</v>
      </c>
      <c r="T750" s="232">
        <v>1</v>
      </c>
      <c r="U750" s="232" t="s">
        <v>169</v>
      </c>
      <c r="V750" s="232" t="s">
        <v>169</v>
      </c>
      <c r="W750" s="47" t="str">
        <f t="shared" ca="1" si="37"/>
        <v/>
      </c>
      <c r="X750" s="47">
        <f ca="1">VLOOKUP($C750,OFFSET(quests!$A$1,0,0,COUNTA(quests!$A:$A),MATCH(X$2,quests!$1:$1,0)-MATCH($C$2,quests!$1:$1,0)+1),MATCH(X$2,quests!$1:$1,0)-MATCH($C$2,quests!$1:$1,0)+1,FALSE)</f>
        <v>0</v>
      </c>
      <c r="Y750" s="47">
        <f ca="1">VLOOKUP($C750,OFFSET(quests!$A$1,0,0,COUNTA(quests!$A:$A),MATCH(Y$2,quests!$1:$1,0)-MATCH($C$2,quests!$1:$1,0)+1),MATCH(Y$2,quests!$1:$1,0)-MATCH($C$2,quests!$1:$1,0)+1,FALSE)</f>
        <v>0</v>
      </c>
      <c r="Z750" s="47">
        <f ca="1">VLOOKUP($C750,OFFSET(quests!$A$1,0,0,COUNTA(quests!$A:$A),MATCH(Z$2,quests!$1:$1,0)-MATCH($C$2,quests!$1:$1,0)+1),MATCH(Z$2,quests!$1:$1,0)-MATCH($C$2,quests!$1:$1,0)+1,FALSE)</f>
        <v>0</v>
      </c>
      <c r="AA750" s="47">
        <f ca="1">VLOOKUP($C750,OFFSET(quests!$A$1,0,0,COUNTA(quests!$A:$A),MATCH(AA$2,quests!$1:$1,0)-MATCH($C$2,quests!$1:$1,0)+1),MATCH(AA$2,quests!$1:$1,0)-MATCH($C$2,quests!$1:$1,0)+1,FALSE)</f>
        <v>0</v>
      </c>
      <c r="AB750" s="232" t="s">
        <v>56</v>
      </c>
      <c r="AC750" s="232">
        <v>927</v>
      </c>
      <c r="AD750" s="232">
        <v>6</v>
      </c>
      <c r="AE750" s="232" t="s">
        <v>519</v>
      </c>
      <c r="AF750" s="232">
        <v>40</v>
      </c>
      <c r="AG750" s="232">
        <v>40</v>
      </c>
      <c r="AH750" s="232">
        <v>0</v>
      </c>
      <c r="AI750" s="232">
        <v>0</v>
      </c>
      <c r="AJ750" s="232">
        <v>-1</v>
      </c>
      <c r="AK750" s="232" t="s">
        <v>1065</v>
      </c>
      <c r="AL750" s="12" t="s">
        <v>1695</v>
      </c>
      <c r="AM750" s="12" t="s">
        <v>2072</v>
      </c>
    </row>
    <row r="751" spans="1:39" ht="21" customHeight="1" x14ac:dyDescent="0.15">
      <c r="A751" s="42" t="str">
        <f t="shared" si="40"/>
        <v>40018_1</v>
      </c>
      <c r="B751" s="23">
        <v>3</v>
      </c>
      <c r="C751" s="31">
        <v>40018</v>
      </c>
      <c r="D751" s="47" t="str">
        <f ca="1">VLOOKUP($C751,OFFSET(quests!$A$1,0,0,COUNTA(quests!$A:$A),MATCH(D$1,quests!$1:$1,0)-MATCH($C$2,quests!$1:$1,0)+1),MATCH(D$1,quests!$1:$1,0)-MATCH($C$2,quests!$1:$1,0)+1,FALSE)</f>
        <v>ジーナ襲来！</v>
      </c>
      <c r="E751" s="48" t="str">
        <f ca="1">VLOOKUP($C751,OFFSET(quests!$A$1,0,0,COUNTA(quests!$A:$A),MATCH(E$2,quests!$1:$1,0)-MATCH($C$2,quests!$1:$1,0)+1),MATCH(E$2,quests!$1:$1,0)-MATCH($C$2,quests!$1:$1,0)+1,FALSE)</f>
        <v>降臨18</v>
      </c>
      <c r="F751" s="7">
        <v>1</v>
      </c>
      <c r="G751" s="7" t="s">
        <v>382</v>
      </c>
      <c r="H751" s="12" t="s">
        <v>1225</v>
      </c>
      <c r="I751" s="12" t="s">
        <v>61</v>
      </c>
      <c r="J751" s="65">
        <v>861</v>
      </c>
      <c r="K751" s="167">
        <v>35</v>
      </c>
      <c r="L751" s="167">
        <v>4200</v>
      </c>
      <c r="M751" s="167">
        <v>1</v>
      </c>
      <c r="N751" s="167">
        <v>1</v>
      </c>
      <c r="O751" s="167">
        <v>1</v>
      </c>
      <c r="P751" s="167">
        <v>1</v>
      </c>
      <c r="Q751" s="167">
        <v>1</v>
      </c>
      <c r="R751" s="167">
        <v>3</v>
      </c>
      <c r="S751" s="167" t="s">
        <v>385</v>
      </c>
      <c r="T751" s="167">
        <v>1</v>
      </c>
      <c r="U751" s="7" t="s">
        <v>169</v>
      </c>
      <c r="V751" s="7" t="s">
        <v>169</v>
      </c>
      <c r="W751" s="47" t="str">
        <f t="shared" ca="1" si="37"/>
        <v/>
      </c>
      <c r="X751" s="47">
        <f ca="1">VLOOKUP($C751,OFFSET(quests!$A$1,0,0,COUNTA(quests!$A:$A),MATCH(X$2,quests!$1:$1,0)-MATCH($C$2,quests!$1:$1,0)+1),MATCH(X$2,quests!$1:$1,0)-MATCH($C$2,quests!$1:$1,0)+1,FALSE)</f>
        <v>0</v>
      </c>
      <c r="Y751" s="47">
        <f ca="1">VLOOKUP($C751,OFFSET(quests!$A$1,0,0,COUNTA(quests!$A:$A),MATCH(Y$2,quests!$1:$1,0)-MATCH($C$2,quests!$1:$1,0)+1),MATCH(Y$2,quests!$1:$1,0)-MATCH($C$2,quests!$1:$1,0)+1,FALSE)</f>
        <v>0</v>
      </c>
      <c r="Z751" s="47">
        <f ca="1">VLOOKUP($C751,OFFSET(quests!$A$1,0,0,COUNTA(quests!$A:$A),MATCH(Z$2,quests!$1:$1,0)-MATCH($C$2,quests!$1:$1,0)+1),MATCH(Z$2,quests!$1:$1,0)-MATCH($C$2,quests!$1:$1,0)+1,FALSE)</f>
        <v>0</v>
      </c>
      <c r="AA751" s="47">
        <f ca="1">VLOOKUP($C751,OFFSET(quests!$A$1,0,0,COUNTA(quests!$A:$A),MATCH(AA$2,quests!$1:$1,0)-MATCH($C$2,quests!$1:$1,0)+1),MATCH(AA$2,quests!$1:$1,0)-MATCH($C$2,quests!$1:$1,0)+1,FALSE)</f>
        <v>0</v>
      </c>
      <c r="AB751" s="7" t="s">
        <v>56</v>
      </c>
      <c r="AC751" s="7">
        <v>929</v>
      </c>
      <c r="AD751" s="7">
        <v>6</v>
      </c>
      <c r="AE751" s="7" t="s">
        <v>519</v>
      </c>
      <c r="AF751" s="7">
        <v>40</v>
      </c>
      <c r="AG751" s="7">
        <v>40</v>
      </c>
      <c r="AH751" s="7">
        <v>0</v>
      </c>
      <c r="AI751" s="7">
        <v>-1</v>
      </c>
      <c r="AJ751" s="7">
        <v>-1</v>
      </c>
      <c r="AK751" s="7" t="s">
        <v>1065</v>
      </c>
      <c r="AL751" s="12" t="s">
        <v>1695</v>
      </c>
      <c r="AM751" s="12" t="s">
        <v>2072</v>
      </c>
    </row>
    <row r="752" spans="1:39" ht="21" customHeight="1" x14ac:dyDescent="0.15">
      <c r="A752" s="42" t="str">
        <f t="shared" si="40"/>
        <v>40018_2</v>
      </c>
      <c r="B752" s="23">
        <v>3</v>
      </c>
      <c r="C752" s="31">
        <v>40018</v>
      </c>
      <c r="D752" s="47" t="str">
        <f ca="1">VLOOKUP($C752,OFFSET(quests!$A$1,0,0,COUNTA(quests!$A:$A),MATCH(D$1,quests!$1:$1,0)-MATCH($C$2,quests!$1:$1,0)+1),MATCH(D$1,quests!$1:$1,0)-MATCH($C$2,quests!$1:$1,0)+1,FALSE)</f>
        <v>ジーナ襲来！</v>
      </c>
      <c r="E752" s="48" t="str">
        <f ca="1">VLOOKUP($C752,OFFSET(quests!$A$1,0,0,COUNTA(quests!$A:$A),MATCH(E$2,quests!$1:$1,0)-MATCH($C$2,quests!$1:$1,0)+1),MATCH(E$2,quests!$1:$1,0)-MATCH($C$2,quests!$1:$1,0)+1,FALSE)</f>
        <v>降臨18</v>
      </c>
      <c r="F752" s="7">
        <v>2</v>
      </c>
      <c r="G752" s="7" t="s">
        <v>382</v>
      </c>
      <c r="H752" s="12" t="s">
        <v>1226</v>
      </c>
      <c r="I752" s="12" t="s">
        <v>61</v>
      </c>
      <c r="J752" s="65">
        <v>861</v>
      </c>
      <c r="K752" s="167">
        <v>40</v>
      </c>
      <c r="L752" s="167">
        <v>4500</v>
      </c>
      <c r="M752" s="167">
        <v>1</v>
      </c>
      <c r="N752" s="167">
        <v>1</v>
      </c>
      <c r="O752" s="167">
        <v>1</v>
      </c>
      <c r="P752" s="167">
        <v>1</v>
      </c>
      <c r="Q752" s="167">
        <v>1</v>
      </c>
      <c r="R752" s="167">
        <v>3</v>
      </c>
      <c r="S752" s="167" t="s">
        <v>385</v>
      </c>
      <c r="T752" s="167">
        <v>1</v>
      </c>
      <c r="U752" s="7" t="s">
        <v>169</v>
      </c>
      <c r="V752" s="7" t="s">
        <v>169</v>
      </c>
      <c r="W752" s="47" t="str">
        <f t="shared" ca="1" si="37"/>
        <v/>
      </c>
      <c r="X752" s="47">
        <f ca="1">VLOOKUP($C752,OFFSET(quests!$A$1,0,0,COUNTA(quests!$A:$A),MATCH(X$2,quests!$1:$1,0)-MATCH($C$2,quests!$1:$1,0)+1),MATCH(X$2,quests!$1:$1,0)-MATCH($C$2,quests!$1:$1,0)+1,FALSE)</f>
        <v>0</v>
      </c>
      <c r="Y752" s="47">
        <f ca="1">VLOOKUP($C752,OFFSET(quests!$A$1,0,0,COUNTA(quests!$A:$A),MATCH(Y$2,quests!$1:$1,0)-MATCH($C$2,quests!$1:$1,0)+1),MATCH(Y$2,quests!$1:$1,0)-MATCH($C$2,quests!$1:$1,0)+1,FALSE)</f>
        <v>0</v>
      </c>
      <c r="Z752" s="47">
        <f ca="1">VLOOKUP($C752,OFFSET(quests!$A$1,0,0,COUNTA(quests!$A:$A),MATCH(Z$2,quests!$1:$1,0)-MATCH($C$2,quests!$1:$1,0)+1),MATCH(Z$2,quests!$1:$1,0)-MATCH($C$2,quests!$1:$1,0)+1,FALSE)</f>
        <v>0</v>
      </c>
      <c r="AA752" s="47">
        <f ca="1">VLOOKUP($C752,OFFSET(quests!$A$1,0,0,COUNTA(quests!$A:$A),MATCH(AA$2,quests!$1:$1,0)-MATCH($C$2,quests!$1:$1,0)+1),MATCH(AA$2,quests!$1:$1,0)-MATCH($C$2,quests!$1:$1,0)+1,FALSE)</f>
        <v>0</v>
      </c>
      <c r="AB752" s="7" t="s">
        <v>56</v>
      </c>
      <c r="AC752" s="7">
        <v>929</v>
      </c>
      <c r="AD752" s="7">
        <v>6</v>
      </c>
      <c r="AE752" s="7" t="s">
        <v>519</v>
      </c>
      <c r="AF752" s="7">
        <v>40</v>
      </c>
      <c r="AG752" s="7">
        <v>40</v>
      </c>
      <c r="AH752" s="7">
        <v>0</v>
      </c>
      <c r="AI752" s="7">
        <v>-1</v>
      </c>
      <c r="AJ752" s="7">
        <v>-1</v>
      </c>
      <c r="AK752" s="7" t="s">
        <v>1065</v>
      </c>
      <c r="AL752" s="12" t="s">
        <v>1695</v>
      </c>
      <c r="AM752" s="12" t="s">
        <v>2072</v>
      </c>
    </row>
    <row r="753" spans="1:39" s="45" customFormat="1" ht="21" customHeight="1" x14ac:dyDescent="0.15">
      <c r="A753" s="230" t="str">
        <f t="shared" si="40"/>
        <v>40018_3</v>
      </c>
      <c r="B753" s="44">
        <v>1</v>
      </c>
      <c r="C753" s="231">
        <v>40018</v>
      </c>
      <c r="D753" s="47" t="str">
        <f ca="1">VLOOKUP($C753,OFFSET(quests!$A$1,0,0,COUNTA(quests!$A:$A),MATCH(D$1,quests!$1:$1,0)-MATCH($C$2,quests!$1:$1,0)+1),MATCH(D$1,quests!$1:$1,0)-MATCH($C$2,quests!$1:$1,0)+1,FALSE)</f>
        <v>ジーナ襲来！</v>
      </c>
      <c r="E753" s="48" t="str">
        <f ca="1">VLOOKUP($C753,OFFSET(quests!$A$1,0,0,COUNTA(quests!$A:$A),MATCH(E$2,quests!$1:$1,0)-MATCH($C$2,quests!$1:$1,0)+1),MATCH(E$2,quests!$1:$1,0)-MATCH($C$2,quests!$1:$1,0)+1,FALSE)</f>
        <v>降臨18</v>
      </c>
      <c r="F753" s="232">
        <v>3</v>
      </c>
      <c r="G753" s="232" t="s">
        <v>382</v>
      </c>
      <c r="H753" s="44" t="s">
        <v>1227</v>
      </c>
      <c r="I753" s="44" t="s">
        <v>61</v>
      </c>
      <c r="J753" s="233">
        <v>861</v>
      </c>
      <c r="K753" s="232">
        <v>40</v>
      </c>
      <c r="L753" s="232">
        <v>4500</v>
      </c>
      <c r="M753" s="232">
        <v>1</v>
      </c>
      <c r="N753" s="232">
        <v>1</v>
      </c>
      <c r="O753" s="232">
        <v>1</v>
      </c>
      <c r="P753" s="232">
        <v>1</v>
      </c>
      <c r="Q753" s="232">
        <v>1</v>
      </c>
      <c r="R753" s="232">
        <v>3</v>
      </c>
      <c r="S753" s="232" t="s">
        <v>385</v>
      </c>
      <c r="T753" s="232">
        <v>1</v>
      </c>
      <c r="U753" s="232" t="s">
        <v>169</v>
      </c>
      <c r="V753" s="232" t="s">
        <v>169</v>
      </c>
      <c r="W753" s="47" t="str">
        <f t="shared" ca="1" si="37"/>
        <v/>
      </c>
      <c r="X753" s="47">
        <f ca="1">VLOOKUP($C753,OFFSET(quests!$A$1,0,0,COUNTA(quests!$A:$A),MATCH(X$2,quests!$1:$1,0)-MATCH($C$2,quests!$1:$1,0)+1),MATCH(X$2,quests!$1:$1,0)-MATCH($C$2,quests!$1:$1,0)+1,FALSE)</f>
        <v>0</v>
      </c>
      <c r="Y753" s="47">
        <f ca="1">VLOOKUP($C753,OFFSET(quests!$A$1,0,0,COUNTA(quests!$A:$A),MATCH(Y$2,quests!$1:$1,0)-MATCH($C$2,quests!$1:$1,0)+1),MATCH(Y$2,quests!$1:$1,0)-MATCH($C$2,quests!$1:$1,0)+1,FALSE)</f>
        <v>0</v>
      </c>
      <c r="Z753" s="47">
        <f ca="1">VLOOKUP($C753,OFFSET(quests!$A$1,0,0,COUNTA(quests!$A:$A),MATCH(Z$2,quests!$1:$1,0)-MATCH($C$2,quests!$1:$1,0)+1),MATCH(Z$2,quests!$1:$1,0)-MATCH($C$2,quests!$1:$1,0)+1,FALSE)</f>
        <v>0</v>
      </c>
      <c r="AA753" s="47">
        <f ca="1">VLOOKUP($C753,OFFSET(quests!$A$1,0,0,COUNTA(quests!$A:$A),MATCH(AA$2,quests!$1:$1,0)-MATCH($C$2,quests!$1:$1,0)+1),MATCH(AA$2,quests!$1:$1,0)-MATCH($C$2,quests!$1:$1,0)+1,FALSE)</f>
        <v>0</v>
      </c>
      <c r="AB753" s="232" t="s">
        <v>56</v>
      </c>
      <c r="AC753" s="232">
        <v>929</v>
      </c>
      <c r="AD753" s="232">
        <v>6</v>
      </c>
      <c r="AE753" s="232" t="s">
        <v>519</v>
      </c>
      <c r="AF753" s="232">
        <v>40</v>
      </c>
      <c r="AG753" s="232">
        <v>40</v>
      </c>
      <c r="AH753" s="232">
        <v>0</v>
      </c>
      <c r="AI753" s="232">
        <v>0</v>
      </c>
      <c r="AJ753" s="232">
        <v>-1</v>
      </c>
      <c r="AK753" s="232" t="s">
        <v>1065</v>
      </c>
      <c r="AL753" s="12" t="s">
        <v>1695</v>
      </c>
      <c r="AM753" s="12" t="s">
        <v>2072</v>
      </c>
    </row>
    <row r="754" spans="1:39" ht="21" customHeight="1" x14ac:dyDescent="0.15">
      <c r="A754" s="42" t="str">
        <f t="shared" si="40"/>
        <v>40019_1</v>
      </c>
      <c r="B754" s="23">
        <v>3</v>
      </c>
      <c r="C754" s="31">
        <v>40019</v>
      </c>
      <c r="D754" s="47" t="str">
        <f ca="1">VLOOKUP($C754,OFFSET(quests!$A$1,0,0,COUNTA(quests!$A:$A),MATCH(D$1,quests!$1:$1,0)-MATCH($C$2,quests!$1:$1,0)+1),MATCH(D$1,quests!$1:$1,0)-MATCH($C$2,quests!$1:$1,0)+1,FALSE)</f>
        <v>テュポーン襲来！</v>
      </c>
      <c r="E754" s="48" t="str">
        <f ca="1">VLOOKUP($C754,OFFSET(quests!$A$1,0,0,COUNTA(quests!$A:$A),MATCH(E$2,quests!$1:$1,0)-MATCH($C$2,quests!$1:$1,0)+1),MATCH(E$2,quests!$1:$1,0)-MATCH($C$2,quests!$1:$1,0)+1,FALSE)</f>
        <v>降臨19</v>
      </c>
      <c r="F754" s="7">
        <v>1</v>
      </c>
      <c r="G754" s="7" t="s">
        <v>382</v>
      </c>
      <c r="H754" s="12" t="s">
        <v>1314</v>
      </c>
      <c r="I754" s="12" t="s">
        <v>1070</v>
      </c>
      <c r="J754" s="65">
        <v>741</v>
      </c>
      <c r="K754" s="167">
        <v>35</v>
      </c>
      <c r="L754" s="167">
        <v>4200</v>
      </c>
      <c r="M754" s="167">
        <v>1</v>
      </c>
      <c r="N754" s="167">
        <v>1</v>
      </c>
      <c r="O754" s="167">
        <v>1</v>
      </c>
      <c r="P754" s="167">
        <v>1</v>
      </c>
      <c r="Q754" s="167">
        <v>1</v>
      </c>
      <c r="R754" s="167">
        <v>3</v>
      </c>
      <c r="S754" s="167" t="s">
        <v>385</v>
      </c>
      <c r="T754" s="167">
        <v>1</v>
      </c>
      <c r="U754" s="7" t="s">
        <v>169</v>
      </c>
      <c r="V754" s="7" t="s">
        <v>169</v>
      </c>
      <c r="W754" s="47" t="str">
        <f t="shared" ca="1" si="37"/>
        <v/>
      </c>
      <c r="X754" s="47">
        <f ca="1">VLOOKUP($C754,OFFSET(quests!$A$1,0,0,COUNTA(quests!$A:$A),MATCH(X$2,quests!$1:$1,0)-MATCH($C$2,quests!$1:$1,0)+1),MATCH(X$2,quests!$1:$1,0)-MATCH($C$2,quests!$1:$1,0)+1,FALSE)</f>
        <v>0</v>
      </c>
      <c r="Y754" s="47">
        <f ca="1">VLOOKUP($C754,OFFSET(quests!$A$1,0,0,COUNTA(quests!$A:$A),MATCH(Y$2,quests!$1:$1,0)-MATCH($C$2,quests!$1:$1,0)+1),MATCH(Y$2,quests!$1:$1,0)-MATCH($C$2,quests!$1:$1,0)+1,FALSE)</f>
        <v>0</v>
      </c>
      <c r="Z754" s="47">
        <f ca="1">VLOOKUP($C754,OFFSET(quests!$A$1,0,0,COUNTA(quests!$A:$A),MATCH(Z$2,quests!$1:$1,0)-MATCH($C$2,quests!$1:$1,0)+1),MATCH(Z$2,quests!$1:$1,0)-MATCH($C$2,quests!$1:$1,0)+1,FALSE)</f>
        <v>0</v>
      </c>
      <c r="AA754" s="47">
        <f ca="1">VLOOKUP($C754,OFFSET(quests!$A$1,0,0,COUNTA(quests!$A:$A),MATCH(AA$2,quests!$1:$1,0)-MATCH($C$2,quests!$1:$1,0)+1),MATCH(AA$2,quests!$1:$1,0)-MATCH($C$2,quests!$1:$1,0)+1,FALSE)</f>
        <v>0</v>
      </c>
      <c r="AB754" s="7" t="s">
        <v>56</v>
      </c>
      <c r="AC754" s="7">
        <v>921</v>
      </c>
      <c r="AD754" s="7">
        <v>6</v>
      </c>
      <c r="AE754" s="7" t="s">
        <v>519</v>
      </c>
      <c r="AF754" s="7">
        <v>40</v>
      </c>
      <c r="AG754" s="7">
        <v>40</v>
      </c>
      <c r="AH754" s="7">
        <v>0</v>
      </c>
      <c r="AI754" s="7">
        <v>-1</v>
      </c>
      <c r="AJ754" s="7">
        <v>-1</v>
      </c>
      <c r="AK754" s="7" t="s">
        <v>1065</v>
      </c>
      <c r="AL754" s="12" t="s">
        <v>1695</v>
      </c>
      <c r="AM754" s="12" t="s">
        <v>2072</v>
      </c>
    </row>
    <row r="755" spans="1:39" ht="21" customHeight="1" x14ac:dyDescent="0.15">
      <c r="A755" s="42" t="str">
        <f t="shared" si="40"/>
        <v>40019_2</v>
      </c>
      <c r="B755" s="23">
        <v>3</v>
      </c>
      <c r="C755" s="31">
        <v>40019</v>
      </c>
      <c r="D755" s="47" t="str">
        <f ca="1">VLOOKUP($C755,OFFSET(quests!$A$1,0,0,COUNTA(quests!$A:$A),MATCH(D$1,quests!$1:$1,0)-MATCH($C$2,quests!$1:$1,0)+1),MATCH(D$1,quests!$1:$1,0)-MATCH($C$2,quests!$1:$1,0)+1,FALSE)</f>
        <v>テュポーン襲来！</v>
      </c>
      <c r="E755" s="48" t="str">
        <f ca="1">VLOOKUP($C755,OFFSET(quests!$A$1,0,0,COUNTA(quests!$A:$A),MATCH(E$2,quests!$1:$1,0)-MATCH($C$2,quests!$1:$1,0)+1),MATCH(E$2,quests!$1:$1,0)-MATCH($C$2,quests!$1:$1,0)+1,FALSE)</f>
        <v>降臨19</v>
      </c>
      <c r="F755" s="7">
        <v>2</v>
      </c>
      <c r="G755" s="7" t="s">
        <v>382</v>
      </c>
      <c r="H755" s="12" t="s">
        <v>1315</v>
      </c>
      <c r="I755" s="12" t="s">
        <v>61</v>
      </c>
      <c r="J755" s="65">
        <v>741</v>
      </c>
      <c r="K755" s="167">
        <v>40</v>
      </c>
      <c r="L755" s="167">
        <v>4500</v>
      </c>
      <c r="M755" s="167">
        <v>1</v>
      </c>
      <c r="N755" s="167">
        <v>1</v>
      </c>
      <c r="O755" s="167">
        <v>1</v>
      </c>
      <c r="P755" s="167">
        <v>1</v>
      </c>
      <c r="Q755" s="167">
        <v>1</v>
      </c>
      <c r="R755" s="167">
        <v>3</v>
      </c>
      <c r="S755" s="167" t="s">
        <v>385</v>
      </c>
      <c r="T755" s="167">
        <v>1</v>
      </c>
      <c r="U755" s="7" t="s">
        <v>169</v>
      </c>
      <c r="V755" s="7" t="s">
        <v>169</v>
      </c>
      <c r="W755" s="47" t="str">
        <f t="shared" ca="1" si="37"/>
        <v/>
      </c>
      <c r="X755" s="47">
        <f ca="1">VLOOKUP($C755,OFFSET(quests!$A$1,0,0,COUNTA(quests!$A:$A),MATCH(X$2,quests!$1:$1,0)-MATCH($C$2,quests!$1:$1,0)+1),MATCH(X$2,quests!$1:$1,0)-MATCH($C$2,quests!$1:$1,0)+1,FALSE)</f>
        <v>0</v>
      </c>
      <c r="Y755" s="47">
        <f ca="1">VLOOKUP($C755,OFFSET(quests!$A$1,0,0,COUNTA(quests!$A:$A),MATCH(Y$2,quests!$1:$1,0)-MATCH($C$2,quests!$1:$1,0)+1),MATCH(Y$2,quests!$1:$1,0)-MATCH($C$2,quests!$1:$1,0)+1,FALSE)</f>
        <v>0</v>
      </c>
      <c r="Z755" s="47">
        <f ca="1">VLOOKUP($C755,OFFSET(quests!$A$1,0,0,COUNTA(quests!$A:$A),MATCH(Z$2,quests!$1:$1,0)-MATCH($C$2,quests!$1:$1,0)+1),MATCH(Z$2,quests!$1:$1,0)-MATCH($C$2,quests!$1:$1,0)+1,FALSE)</f>
        <v>0</v>
      </c>
      <c r="AA755" s="47">
        <f ca="1">VLOOKUP($C755,OFFSET(quests!$A$1,0,0,COUNTA(quests!$A:$A),MATCH(AA$2,quests!$1:$1,0)-MATCH($C$2,quests!$1:$1,0)+1),MATCH(AA$2,quests!$1:$1,0)-MATCH($C$2,quests!$1:$1,0)+1,FALSE)</f>
        <v>0</v>
      </c>
      <c r="AB755" s="7" t="s">
        <v>56</v>
      </c>
      <c r="AC755" s="7">
        <v>921</v>
      </c>
      <c r="AD755" s="7">
        <v>6</v>
      </c>
      <c r="AE755" s="7" t="s">
        <v>519</v>
      </c>
      <c r="AF755" s="7">
        <v>40</v>
      </c>
      <c r="AG755" s="7">
        <v>40</v>
      </c>
      <c r="AH755" s="7">
        <v>0</v>
      </c>
      <c r="AI755" s="7">
        <v>-1</v>
      </c>
      <c r="AJ755" s="7">
        <v>-1</v>
      </c>
      <c r="AK755" s="7" t="s">
        <v>1065</v>
      </c>
      <c r="AL755" s="12" t="s">
        <v>1695</v>
      </c>
      <c r="AM755" s="12" t="s">
        <v>2072</v>
      </c>
    </row>
    <row r="756" spans="1:39" s="45" customFormat="1" ht="21" customHeight="1" x14ac:dyDescent="0.15">
      <c r="A756" s="230" t="str">
        <f t="shared" si="40"/>
        <v>40019_3</v>
      </c>
      <c r="B756" s="44">
        <v>1</v>
      </c>
      <c r="C756" s="231">
        <v>40019</v>
      </c>
      <c r="D756" s="47" t="str">
        <f ca="1">VLOOKUP($C756,OFFSET(quests!$A$1,0,0,COUNTA(quests!$A:$A),MATCH(D$1,quests!$1:$1,0)-MATCH($C$2,quests!$1:$1,0)+1),MATCH(D$1,quests!$1:$1,0)-MATCH($C$2,quests!$1:$1,0)+1,FALSE)</f>
        <v>テュポーン襲来！</v>
      </c>
      <c r="E756" s="48" t="str">
        <f ca="1">VLOOKUP($C756,OFFSET(quests!$A$1,0,0,COUNTA(quests!$A:$A),MATCH(E$2,quests!$1:$1,0)-MATCH($C$2,quests!$1:$1,0)+1),MATCH(E$2,quests!$1:$1,0)-MATCH($C$2,quests!$1:$1,0)+1,FALSE)</f>
        <v>降臨19</v>
      </c>
      <c r="F756" s="232">
        <v>3</v>
      </c>
      <c r="G756" s="232" t="s">
        <v>382</v>
      </c>
      <c r="H756" s="44" t="s">
        <v>1316</v>
      </c>
      <c r="I756" s="44" t="s">
        <v>61</v>
      </c>
      <c r="J756" s="233">
        <v>741</v>
      </c>
      <c r="K756" s="232">
        <v>40</v>
      </c>
      <c r="L756" s="232">
        <v>4500</v>
      </c>
      <c r="M756" s="232">
        <v>1</v>
      </c>
      <c r="N756" s="232">
        <v>1</v>
      </c>
      <c r="O756" s="232">
        <v>1</v>
      </c>
      <c r="P756" s="232">
        <v>1</v>
      </c>
      <c r="Q756" s="232">
        <v>1</v>
      </c>
      <c r="R756" s="232">
        <v>3</v>
      </c>
      <c r="S756" s="232" t="s">
        <v>385</v>
      </c>
      <c r="T756" s="232">
        <v>1</v>
      </c>
      <c r="U756" s="232" t="s">
        <v>169</v>
      </c>
      <c r="V756" s="232" t="s">
        <v>169</v>
      </c>
      <c r="W756" s="47" t="str">
        <f t="shared" ca="1" si="37"/>
        <v/>
      </c>
      <c r="X756" s="47">
        <f ca="1">VLOOKUP($C756,OFFSET(quests!$A$1,0,0,COUNTA(quests!$A:$A),MATCH(X$2,quests!$1:$1,0)-MATCH($C$2,quests!$1:$1,0)+1),MATCH(X$2,quests!$1:$1,0)-MATCH($C$2,quests!$1:$1,0)+1,FALSE)</f>
        <v>0</v>
      </c>
      <c r="Y756" s="47">
        <f ca="1">VLOOKUP($C756,OFFSET(quests!$A$1,0,0,COUNTA(quests!$A:$A),MATCH(Y$2,quests!$1:$1,0)-MATCH($C$2,quests!$1:$1,0)+1),MATCH(Y$2,quests!$1:$1,0)-MATCH($C$2,quests!$1:$1,0)+1,FALSE)</f>
        <v>0</v>
      </c>
      <c r="Z756" s="47">
        <f ca="1">VLOOKUP($C756,OFFSET(quests!$A$1,0,0,COUNTA(quests!$A:$A),MATCH(Z$2,quests!$1:$1,0)-MATCH($C$2,quests!$1:$1,0)+1),MATCH(Z$2,quests!$1:$1,0)-MATCH($C$2,quests!$1:$1,0)+1,FALSE)</f>
        <v>0</v>
      </c>
      <c r="AA756" s="47">
        <f ca="1">VLOOKUP($C756,OFFSET(quests!$A$1,0,0,COUNTA(quests!$A:$A),MATCH(AA$2,quests!$1:$1,0)-MATCH($C$2,quests!$1:$1,0)+1),MATCH(AA$2,quests!$1:$1,0)-MATCH($C$2,quests!$1:$1,0)+1,FALSE)</f>
        <v>0</v>
      </c>
      <c r="AB756" s="232" t="s">
        <v>56</v>
      </c>
      <c r="AC756" s="232">
        <v>921</v>
      </c>
      <c r="AD756" s="232">
        <v>6</v>
      </c>
      <c r="AE756" s="232" t="s">
        <v>519</v>
      </c>
      <c r="AF756" s="232">
        <v>40</v>
      </c>
      <c r="AG756" s="232">
        <v>40</v>
      </c>
      <c r="AH756" s="232">
        <v>0</v>
      </c>
      <c r="AI756" s="232">
        <v>0</v>
      </c>
      <c r="AJ756" s="232">
        <v>-1</v>
      </c>
      <c r="AK756" s="232" t="s">
        <v>1065</v>
      </c>
      <c r="AL756" s="12" t="s">
        <v>1695</v>
      </c>
      <c r="AM756" s="12" t="s">
        <v>2072</v>
      </c>
    </row>
    <row r="757" spans="1:39" ht="21" customHeight="1" x14ac:dyDescent="0.15">
      <c r="A757" s="42" t="str">
        <f t="shared" si="40"/>
        <v>40021_1</v>
      </c>
      <c r="B757" s="23">
        <v>3</v>
      </c>
      <c r="C757" s="31">
        <v>40021</v>
      </c>
      <c r="D757" s="47" t="str">
        <f ca="1">VLOOKUP($C757,OFFSET(quests!$A$1,0,0,COUNTA(quests!$A:$A),MATCH(D$1,quests!$1:$1,0)-MATCH($C$2,quests!$1:$1,0)+1),MATCH(D$1,quests!$1:$1,0)-MATCH($C$2,quests!$1:$1,0)+1,FALSE)</f>
        <v>ルイ16世襲来！</v>
      </c>
      <c r="E757" s="48" t="str">
        <f ca="1">VLOOKUP($C757,OFFSET(quests!$A$1,0,0,COUNTA(quests!$A:$A),MATCH(E$2,quests!$1:$1,0)-MATCH($C$2,quests!$1:$1,0)+1),MATCH(E$2,quests!$1:$1,0)-MATCH($C$2,quests!$1:$1,0)+1,FALSE)</f>
        <v>降臨21</v>
      </c>
      <c r="F757" s="7">
        <v>1</v>
      </c>
      <c r="G757" s="7" t="s">
        <v>382</v>
      </c>
      <c r="H757" s="12" t="s">
        <v>1374</v>
      </c>
      <c r="I757" s="12" t="s">
        <v>1070</v>
      </c>
      <c r="J757" s="65">
        <v>936</v>
      </c>
      <c r="K757" s="167">
        <v>35</v>
      </c>
      <c r="L757" s="167">
        <v>4200</v>
      </c>
      <c r="M757" s="167">
        <v>1</v>
      </c>
      <c r="N757" s="167">
        <v>1</v>
      </c>
      <c r="O757" s="167">
        <v>1</v>
      </c>
      <c r="P757" s="167">
        <v>1</v>
      </c>
      <c r="Q757" s="167">
        <v>1</v>
      </c>
      <c r="R757" s="167">
        <v>3</v>
      </c>
      <c r="S757" s="167" t="s">
        <v>385</v>
      </c>
      <c r="T757" s="167">
        <v>1</v>
      </c>
      <c r="U757" s="7" t="s">
        <v>169</v>
      </c>
      <c r="V757" s="7" t="s">
        <v>169</v>
      </c>
      <c r="W757" s="47" t="str">
        <f t="shared" ca="1" si="37"/>
        <v/>
      </c>
      <c r="X757" s="47">
        <f ca="1">VLOOKUP($C757,OFFSET(quests!$A$1,0,0,COUNTA(quests!$A:$A),MATCH(X$2,quests!$1:$1,0)-MATCH($C$2,quests!$1:$1,0)+1),MATCH(X$2,quests!$1:$1,0)-MATCH($C$2,quests!$1:$1,0)+1,FALSE)</f>
        <v>0</v>
      </c>
      <c r="Y757" s="47">
        <f ca="1">VLOOKUP($C757,OFFSET(quests!$A$1,0,0,COUNTA(quests!$A:$A),MATCH(Y$2,quests!$1:$1,0)-MATCH($C$2,quests!$1:$1,0)+1),MATCH(Y$2,quests!$1:$1,0)-MATCH($C$2,quests!$1:$1,0)+1,FALSE)</f>
        <v>0</v>
      </c>
      <c r="Z757" s="47">
        <f ca="1">VLOOKUP($C757,OFFSET(quests!$A$1,0,0,COUNTA(quests!$A:$A),MATCH(Z$2,quests!$1:$1,0)-MATCH($C$2,quests!$1:$1,0)+1),MATCH(Z$2,quests!$1:$1,0)-MATCH($C$2,quests!$1:$1,0)+1,FALSE)</f>
        <v>0</v>
      </c>
      <c r="AA757" s="47">
        <f ca="1">VLOOKUP($C757,OFFSET(quests!$A$1,0,0,COUNTA(quests!$A:$A),MATCH(AA$2,quests!$1:$1,0)-MATCH($C$2,quests!$1:$1,0)+1),MATCH(AA$2,quests!$1:$1,0)-MATCH($C$2,quests!$1:$1,0)+1,FALSE)</f>
        <v>0</v>
      </c>
      <c r="AB757" s="7" t="s">
        <v>56</v>
      </c>
      <c r="AC757" s="7">
        <v>936</v>
      </c>
      <c r="AD757" s="7">
        <v>6</v>
      </c>
      <c r="AE757" s="7" t="s">
        <v>519</v>
      </c>
      <c r="AF757" s="7">
        <v>40</v>
      </c>
      <c r="AG757" s="7">
        <v>40</v>
      </c>
      <c r="AH757" s="7">
        <v>0</v>
      </c>
      <c r="AI757" s="7">
        <v>-1</v>
      </c>
      <c r="AJ757" s="7">
        <v>-1</v>
      </c>
      <c r="AK757" s="7" t="s">
        <v>1065</v>
      </c>
      <c r="AL757" s="12" t="s">
        <v>1695</v>
      </c>
      <c r="AM757" s="12" t="s">
        <v>2072</v>
      </c>
    </row>
    <row r="758" spans="1:39" ht="21" customHeight="1" x14ac:dyDescent="0.15">
      <c r="A758" s="42" t="str">
        <f t="shared" si="40"/>
        <v>40021_2</v>
      </c>
      <c r="B758" s="23">
        <v>3</v>
      </c>
      <c r="C758" s="31">
        <v>40021</v>
      </c>
      <c r="D758" s="47" t="str">
        <f ca="1">VLOOKUP($C758,OFFSET(quests!$A$1,0,0,COUNTA(quests!$A:$A),MATCH(D$1,quests!$1:$1,0)-MATCH($C$2,quests!$1:$1,0)+1),MATCH(D$1,quests!$1:$1,0)-MATCH($C$2,quests!$1:$1,0)+1,FALSE)</f>
        <v>ルイ16世襲来！</v>
      </c>
      <c r="E758" s="48" t="str">
        <f ca="1">VLOOKUP($C758,OFFSET(quests!$A$1,0,0,COUNTA(quests!$A:$A),MATCH(E$2,quests!$1:$1,0)-MATCH($C$2,quests!$1:$1,0)+1),MATCH(E$2,quests!$1:$1,0)-MATCH($C$2,quests!$1:$1,0)+1,FALSE)</f>
        <v>降臨21</v>
      </c>
      <c r="F758" s="7">
        <v>2</v>
      </c>
      <c r="G758" s="7" t="s">
        <v>382</v>
      </c>
      <c r="H758" s="12" t="s">
        <v>1375</v>
      </c>
      <c r="I758" s="12" t="s">
        <v>61</v>
      </c>
      <c r="J758" s="65">
        <v>936</v>
      </c>
      <c r="K758" s="167">
        <v>40</v>
      </c>
      <c r="L758" s="167">
        <v>4500</v>
      </c>
      <c r="M758" s="167">
        <v>1</v>
      </c>
      <c r="N758" s="167">
        <v>1</v>
      </c>
      <c r="O758" s="167">
        <v>1</v>
      </c>
      <c r="P758" s="167">
        <v>1</v>
      </c>
      <c r="Q758" s="167">
        <v>1</v>
      </c>
      <c r="R758" s="167">
        <v>3</v>
      </c>
      <c r="S758" s="167" t="s">
        <v>385</v>
      </c>
      <c r="T758" s="167">
        <v>1</v>
      </c>
      <c r="U758" s="7" t="s">
        <v>169</v>
      </c>
      <c r="V758" s="7" t="s">
        <v>169</v>
      </c>
      <c r="W758" s="47" t="str">
        <f t="shared" ca="1" si="37"/>
        <v/>
      </c>
      <c r="X758" s="47">
        <f ca="1">VLOOKUP($C758,OFFSET(quests!$A$1,0,0,COUNTA(quests!$A:$A),MATCH(X$2,quests!$1:$1,0)-MATCH($C$2,quests!$1:$1,0)+1),MATCH(X$2,quests!$1:$1,0)-MATCH($C$2,quests!$1:$1,0)+1,FALSE)</f>
        <v>0</v>
      </c>
      <c r="Y758" s="47">
        <f ca="1">VLOOKUP($C758,OFFSET(quests!$A$1,0,0,COUNTA(quests!$A:$A),MATCH(Y$2,quests!$1:$1,0)-MATCH($C$2,quests!$1:$1,0)+1),MATCH(Y$2,quests!$1:$1,0)-MATCH($C$2,quests!$1:$1,0)+1,FALSE)</f>
        <v>0</v>
      </c>
      <c r="Z758" s="47">
        <f ca="1">VLOOKUP($C758,OFFSET(quests!$A$1,0,0,COUNTA(quests!$A:$A),MATCH(Z$2,quests!$1:$1,0)-MATCH($C$2,quests!$1:$1,0)+1),MATCH(Z$2,quests!$1:$1,0)-MATCH($C$2,quests!$1:$1,0)+1,FALSE)</f>
        <v>0</v>
      </c>
      <c r="AA758" s="47">
        <f ca="1">VLOOKUP($C758,OFFSET(quests!$A$1,0,0,COUNTA(quests!$A:$A),MATCH(AA$2,quests!$1:$1,0)-MATCH($C$2,quests!$1:$1,0)+1),MATCH(AA$2,quests!$1:$1,0)-MATCH($C$2,quests!$1:$1,0)+1,FALSE)</f>
        <v>0</v>
      </c>
      <c r="AB758" s="7" t="s">
        <v>56</v>
      </c>
      <c r="AC758" s="7">
        <v>936</v>
      </c>
      <c r="AD758" s="7">
        <v>6</v>
      </c>
      <c r="AE758" s="7" t="s">
        <v>519</v>
      </c>
      <c r="AF758" s="7">
        <v>40</v>
      </c>
      <c r="AG758" s="7">
        <v>40</v>
      </c>
      <c r="AH758" s="7">
        <v>0</v>
      </c>
      <c r="AI758" s="7">
        <v>-1</v>
      </c>
      <c r="AJ758" s="7">
        <v>-1</v>
      </c>
      <c r="AK758" s="7" t="s">
        <v>1065</v>
      </c>
      <c r="AL758" s="12" t="s">
        <v>1695</v>
      </c>
      <c r="AM758" s="12" t="s">
        <v>2072</v>
      </c>
    </row>
    <row r="759" spans="1:39" ht="21" customHeight="1" x14ac:dyDescent="0.15">
      <c r="A759" s="42" t="str">
        <f t="shared" si="40"/>
        <v>40022_1</v>
      </c>
      <c r="B759" s="23">
        <v>3</v>
      </c>
      <c r="C759" s="31">
        <v>40022</v>
      </c>
      <c r="D759" s="47" t="str">
        <f ca="1">VLOOKUP($C759,OFFSET(quests!$A$1,0,0,COUNTA(quests!$A:$A),MATCH(D$1,quests!$1:$1,0)-MATCH($C$2,quests!$1:$1,0)+1),MATCH(D$1,quests!$1:$1,0)-MATCH($C$2,quests!$1:$1,0)+1,FALSE)</f>
        <v>オシリス襲来！</v>
      </c>
      <c r="E759" s="48" t="str">
        <f ca="1">VLOOKUP($C759,OFFSET(quests!$A$1,0,0,COUNTA(quests!$A:$A),MATCH(E$2,quests!$1:$1,0)-MATCH($C$2,quests!$1:$1,0)+1),MATCH(E$2,quests!$1:$1,0)-MATCH($C$2,quests!$1:$1,0)+1,FALSE)</f>
        <v>降臨22</v>
      </c>
      <c r="F759" s="7">
        <v>1</v>
      </c>
      <c r="G759" s="7" t="s">
        <v>382</v>
      </c>
      <c r="H759" s="12" t="s">
        <v>1449</v>
      </c>
      <c r="I759" s="12" t="s">
        <v>1070</v>
      </c>
      <c r="J759" s="65">
        <v>1009</v>
      </c>
      <c r="K759" s="167">
        <v>35</v>
      </c>
      <c r="L759" s="167">
        <v>4200</v>
      </c>
      <c r="M759" s="167">
        <v>1</v>
      </c>
      <c r="N759" s="167">
        <v>1</v>
      </c>
      <c r="O759" s="167">
        <v>1</v>
      </c>
      <c r="P759" s="96">
        <v>0</v>
      </c>
      <c r="Q759" s="167">
        <v>1</v>
      </c>
      <c r="R759" s="167">
        <v>3</v>
      </c>
      <c r="S759" s="167" t="s">
        <v>278</v>
      </c>
      <c r="T759" s="167">
        <v>1</v>
      </c>
      <c r="U759" s="7" t="s">
        <v>169</v>
      </c>
      <c r="V759" s="7" t="s">
        <v>169</v>
      </c>
      <c r="W759" s="47" t="str">
        <f t="shared" ca="1" si="37"/>
        <v/>
      </c>
      <c r="X759" s="47">
        <f ca="1">VLOOKUP($C759,OFFSET(quests!$A$1,0,0,COUNTA(quests!$A:$A),MATCH(X$2,quests!$1:$1,0)-MATCH($C$2,quests!$1:$1,0)+1),MATCH(X$2,quests!$1:$1,0)-MATCH($C$2,quests!$1:$1,0)+1,FALSE)</f>
        <v>0</v>
      </c>
      <c r="Y759" s="47">
        <f ca="1">VLOOKUP($C759,OFFSET(quests!$A$1,0,0,COUNTA(quests!$A:$A),MATCH(Y$2,quests!$1:$1,0)-MATCH($C$2,quests!$1:$1,0)+1),MATCH(Y$2,quests!$1:$1,0)-MATCH($C$2,quests!$1:$1,0)+1,FALSE)</f>
        <v>0</v>
      </c>
      <c r="Z759" s="47">
        <f ca="1">VLOOKUP($C759,OFFSET(quests!$A$1,0,0,COUNTA(quests!$A:$A),MATCH(Z$2,quests!$1:$1,0)-MATCH($C$2,quests!$1:$1,0)+1),MATCH(Z$2,quests!$1:$1,0)-MATCH($C$2,quests!$1:$1,0)+1,FALSE)</f>
        <v>0</v>
      </c>
      <c r="AA759" s="47">
        <f ca="1">VLOOKUP($C759,OFFSET(quests!$A$1,0,0,COUNTA(quests!$A:$A),MATCH(AA$2,quests!$1:$1,0)-MATCH($C$2,quests!$1:$1,0)+1),MATCH(AA$2,quests!$1:$1,0)-MATCH($C$2,quests!$1:$1,0)+1,FALSE)</f>
        <v>0</v>
      </c>
      <c r="AB759" s="7" t="s">
        <v>56</v>
      </c>
      <c r="AC759" s="7">
        <v>940</v>
      </c>
      <c r="AD759" s="7">
        <v>6</v>
      </c>
      <c r="AE759" s="7" t="s">
        <v>519</v>
      </c>
      <c r="AF759" s="7">
        <v>40</v>
      </c>
      <c r="AG759" s="7">
        <v>40</v>
      </c>
      <c r="AH759" s="7">
        <v>0</v>
      </c>
      <c r="AI759" s="7">
        <v>-1</v>
      </c>
      <c r="AJ759" s="7">
        <v>-1</v>
      </c>
      <c r="AK759" s="7" t="s">
        <v>1065</v>
      </c>
      <c r="AL759" s="12" t="s">
        <v>1695</v>
      </c>
      <c r="AM759" s="12" t="s">
        <v>2072</v>
      </c>
    </row>
    <row r="760" spans="1:39" ht="21" customHeight="1" x14ac:dyDescent="0.15">
      <c r="A760" s="42" t="str">
        <f t="shared" si="40"/>
        <v>40022_2</v>
      </c>
      <c r="B760" s="23">
        <v>3</v>
      </c>
      <c r="C760" s="31">
        <v>40022</v>
      </c>
      <c r="D760" s="47" t="str">
        <f ca="1">VLOOKUP($C760,OFFSET(quests!$A$1,0,0,COUNTA(quests!$A:$A),MATCH(D$1,quests!$1:$1,0)-MATCH($C$2,quests!$1:$1,0)+1),MATCH(D$1,quests!$1:$1,0)-MATCH($C$2,quests!$1:$1,0)+1,FALSE)</f>
        <v>オシリス襲来！</v>
      </c>
      <c r="E760" s="48" t="str">
        <f ca="1">VLOOKUP($C760,OFFSET(quests!$A$1,0,0,COUNTA(quests!$A:$A),MATCH(E$2,quests!$1:$1,0)-MATCH($C$2,quests!$1:$1,0)+1),MATCH(E$2,quests!$1:$1,0)-MATCH($C$2,quests!$1:$1,0)+1,FALSE)</f>
        <v>降臨22</v>
      </c>
      <c r="F760" s="7">
        <v>2</v>
      </c>
      <c r="G760" s="7" t="s">
        <v>382</v>
      </c>
      <c r="H760" s="12" t="s">
        <v>1446</v>
      </c>
      <c r="I760" s="12" t="s">
        <v>61</v>
      </c>
      <c r="J760" s="65">
        <v>1009</v>
      </c>
      <c r="K760" s="167">
        <v>40</v>
      </c>
      <c r="L760" s="167">
        <v>4500</v>
      </c>
      <c r="M760" s="167">
        <v>1</v>
      </c>
      <c r="N760" s="167">
        <v>1</v>
      </c>
      <c r="O760" s="167">
        <v>1</v>
      </c>
      <c r="P760" s="96">
        <v>0</v>
      </c>
      <c r="Q760" s="167">
        <v>1</v>
      </c>
      <c r="R760" s="167">
        <v>3</v>
      </c>
      <c r="S760" s="167" t="s">
        <v>278</v>
      </c>
      <c r="T760" s="167">
        <v>1</v>
      </c>
      <c r="U760" s="7" t="s">
        <v>169</v>
      </c>
      <c r="V760" s="7" t="s">
        <v>169</v>
      </c>
      <c r="W760" s="47" t="str">
        <f t="shared" ca="1" si="37"/>
        <v/>
      </c>
      <c r="X760" s="47">
        <f ca="1">VLOOKUP($C760,OFFSET(quests!$A$1,0,0,COUNTA(quests!$A:$A),MATCH(X$2,quests!$1:$1,0)-MATCH($C$2,quests!$1:$1,0)+1),MATCH(X$2,quests!$1:$1,0)-MATCH($C$2,quests!$1:$1,0)+1,FALSE)</f>
        <v>0</v>
      </c>
      <c r="Y760" s="47">
        <f ca="1">VLOOKUP($C760,OFFSET(quests!$A$1,0,0,COUNTA(quests!$A:$A),MATCH(Y$2,quests!$1:$1,0)-MATCH($C$2,quests!$1:$1,0)+1),MATCH(Y$2,quests!$1:$1,0)-MATCH($C$2,quests!$1:$1,0)+1,FALSE)</f>
        <v>0</v>
      </c>
      <c r="Z760" s="47">
        <f ca="1">VLOOKUP($C760,OFFSET(quests!$A$1,0,0,COUNTA(quests!$A:$A),MATCH(Z$2,quests!$1:$1,0)-MATCH($C$2,quests!$1:$1,0)+1),MATCH(Z$2,quests!$1:$1,0)-MATCH($C$2,quests!$1:$1,0)+1,FALSE)</f>
        <v>0</v>
      </c>
      <c r="AA760" s="47">
        <f ca="1">VLOOKUP($C760,OFFSET(quests!$A$1,0,0,COUNTA(quests!$A:$A),MATCH(AA$2,quests!$1:$1,0)-MATCH($C$2,quests!$1:$1,0)+1),MATCH(AA$2,quests!$1:$1,0)-MATCH($C$2,quests!$1:$1,0)+1,FALSE)</f>
        <v>0</v>
      </c>
      <c r="AB760" s="7" t="s">
        <v>56</v>
      </c>
      <c r="AC760" s="7">
        <v>940</v>
      </c>
      <c r="AD760" s="7">
        <v>6</v>
      </c>
      <c r="AE760" s="7" t="s">
        <v>519</v>
      </c>
      <c r="AF760" s="7">
        <v>40</v>
      </c>
      <c r="AG760" s="7">
        <v>40</v>
      </c>
      <c r="AH760" s="7">
        <v>0</v>
      </c>
      <c r="AI760" s="7">
        <v>-1</v>
      </c>
      <c r="AJ760" s="7">
        <v>-1</v>
      </c>
      <c r="AK760" s="7" t="s">
        <v>1065</v>
      </c>
      <c r="AL760" s="12" t="s">
        <v>1695</v>
      </c>
      <c r="AM760" s="12" t="s">
        <v>2072</v>
      </c>
    </row>
    <row r="761" spans="1:39" ht="21" customHeight="1" x14ac:dyDescent="0.15">
      <c r="A761" s="42" t="str">
        <f t="shared" si="40"/>
        <v>40023_1</v>
      </c>
      <c r="B761" s="23">
        <v>3</v>
      </c>
      <c r="C761" s="31">
        <v>40023</v>
      </c>
      <c r="D761" s="47" t="str">
        <f ca="1">VLOOKUP($C761,OFFSET(quests!$A$1,0,0,COUNTA(quests!$A:$A),MATCH(D$1,quests!$1:$1,0)-MATCH($C$2,quests!$1:$1,0)+1),MATCH(D$1,quests!$1:$1,0)-MATCH($C$2,quests!$1:$1,0)+1,FALSE)</f>
        <v>武蔵坊弁慶襲来！</v>
      </c>
      <c r="E761" s="48" t="str">
        <f ca="1">VLOOKUP($C761,OFFSET(quests!$A$1,0,0,COUNTA(quests!$A:$A),MATCH(E$2,quests!$1:$1,0)-MATCH($C$2,quests!$1:$1,0)+1),MATCH(E$2,quests!$1:$1,0)-MATCH($C$2,quests!$1:$1,0)+1,FALSE)</f>
        <v>降臨23</v>
      </c>
      <c r="F761" s="7">
        <v>1</v>
      </c>
      <c r="G761" s="7" t="s">
        <v>382</v>
      </c>
      <c r="H761" s="12" t="s">
        <v>1576</v>
      </c>
      <c r="I761" s="12" t="s">
        <v>1070</v>
      </c>
      <c r="J761" s="65">
        <v>1025</v>
      </c>
      <c r="K761" s="167">
        <v>35</v>
      </c>
      <c r="L761" s="167">
        <v>4200</v>
      </c>
      <c r="M761" s="167">
        <v>1</v>
      </c>
      <c r="N761" s="167">
        <v>1</v>
      </c>
      <c r="O761" s="167">
        <v>1</v>
      </c>
      <c r="P761" s="167">
        <v>1</v>
      </c>
      <c r="Q761" s="167">
        <v>1</v>
      </c>
      <c r="R761" s="167">
        <v>3</v>
      </c>
      <c r="S761" s="167" t="s">
        <v>278</v>
      </c>
      <c r="T761" s="167">
        <v>1</v>
      </c>
      <c r="U761" s="7" t="s">
        <v>169</v>
      </c>
      <c r="V761" s="7" t="s">
        <v>169</v>
      </c>
      <c r="W761" s="47" t="str">
        <f t="shared" ca="1" si="37"/>
        <v/>
      </c>
      <c r="X761" s="47">
        <f ca="1">VLOOKUP($C761,OFFSET(quests!$A$1,0,0,COUNTA(quests!$A:$A),MATCH(X$2,quests!$1:$1,0)-MATCH($C$2,quests!$1:$1,0)+1),MATCH(X$2,quests!$1:$1,0)-MATCH($C$2,quests!$1:$1,0)+1,FALSE)</f>
        <v>0</v>
      </c>
      <c r="Y761" s="47">
        <f ca="1">VLOOKUP($C761,OFFSET(quests!$A$1,0,0,COUNTA(quests!$A:$A),MATCH(Y$2,quests!$1:$1,0)-MATCH($C$2,quests!$1:$1,0)+1),MATCH(Y$2,quests!$1:$1,0)-MATCH($C$2,quests!$1:$1,0)+1,FALSE)</f>
        <v>0</v>
      </c>
      <c r="Z761" s="47">
        <f ca="1">VLOOKUP($C761,OFFSET(quests!$A$1,0,0,COUNTA(quests!$A:$A),MATCH(Z$2,quests!$1:$1,0)-MATCH($C$2,quests!$1:$1,0)+1),MATCH(Z$2,quests!$1:$1,0)-MATCH($C$2,quests!$1:$1,0)+1,FALSE)</f>
        <v>0</v>
      </c>
      <c r="AA761" s="47">
        <f ca="1">VLOOKUP($C761,OFFSET(quests!$A$1,0,0,COUNTA(quests!$A:$A),MATCH(AA$2,quests!$1:$1,0)-MATCH($C$2,quests!$1:$1,0)+1),MATCH(AA$2,quests!$1:$1,0)-MATCH($C$2,quests!$1:$1,0)+1,FALSE)</f>
        <v>0</v>
      </c>
      <c r="AB761" s="7" t="s">
        <v>56</v>
      </c>
      <c r="AC761" s="7">
        <v>941</v>
      </c>
      <c r="AD761" s="7">
        <v>6</v>
      </c>
      <c r="AE761" s="7" t="s">
        <v>519</v>
      </c>
      <c r="AF761" s="7">
        <v>40</v>
      </c>
      <c r="AG761" s="7">
        <v>40</v>
      </c>
      <c r="AH761" s="7">
        <v>0</v>
      </c>
      <c r="AI761" s="7">
        <v>-1</v>
      </c>
      <c r="AJ761" s="7">
        <v>-1</v>
      </c>
      <c r="AK761" s="7" t="s">
        <v>1065</v>
      </c>
      <c r="AL761" s="12" t="s">
        <v>1695</v>
      </c>
      <c r="AM761" s="12" t="s">
        <v>2072</v>
      </c>
    </row>
    <row r="762" spans="1:39" ht="21" customHeight="1" x14ac:dyDescent="0.15">
      <c r="A762" s="42" t="str">
        <f t="shared" si="40"/>
        <v>40023_2</v>
      </c>
      <c r="B762" s="23">
        <v>3</v>
      </c>
      <c r="C762" s="31">
        <v>40023</v>
      </c>
      <c r="D762" s="47" t="str">
        <f ca="1">VLOOKUP($C762,OFFSET(quests!$A$1,0,0,COUNTA(quests!$A:$A),MATCH(D$1,quests!$1:$1,0)-MATCH($C$2,quests!$1:$1,0)+1),MATCH(D$1,quests!$1:$1,0)-MATCH($C$2,quests!$1:$1,0)+1,FALSE)</f>
        <v>武蔵坊弁慶襲来！</v>
      </c>
      <c r="E762" s="48" t="str">
        <f ca="1">VLOOKUP($C762,OFFSET(quests!$A$1,0,0,COUNTA(quests!$A:$A),MATCH(E$2,quests!$1:$1,0)-MATCH($C$2,quests!$1:$1,0)+1),MATCH(E$2,quests!$1:$1,0)-MATCH($C$2,quests!$1:$1,0)+1,FALSE)</f>
        <v>降臨23</v>
      </c>
      <c r="F762" s="7">
        <v>2</v>
      </c>
      <c r="G762" s="7" t="s">
        <v>382</v>
      </c>
      <c r="H762" s="12" t="s">
        <v>1577</v>
      </c>
      <c r="I762" s="12" t="s">
        <v>61</v>
      </c>
      <c r="J762" s="65">
        <v>1025</v>
      </c>
      <c r="K762" s="167">
        <v>40</v>
      </c>
      <c r="L762" s="167">
        <v>4500</v>
      </c>
      <c r="M762" s="167">
        <v>1</v>
      </c>
      <c r="N762" s="167">
        <v>1</v>
      </c>
      <c r="O762" s="167">
        <v>1</v>
      </c>
      <c r="P762" s="167">
        <v>1</v>
      </c>
      <c r="Q762" s="167">
        <v>1</v>
      </c>
      <c r="R762" s="167">
        <v>3</v>
      </c>
      <c r="S762" s="167" t="s">
        <v>278</v>
      </c>
      <c r="T762" s="167">
        <v>1</v>
      </c>
      <c r="U762" s="7" t="s">
        <v>169</v>
      </c>
      <c r="V762" s="7" t="s">
        <v>169</v>
      </c>
      <c r="W762" s="47" t="str">
        <f t="shared" ca="1" si="37"/>
        <v/>
      </c>
      <c r="X762" s="47">
        <f ca="1">VLOOKUP($C762,OFFSET(quests!$A$1,0,0,COUNTA(quests!$A:$A),MATCH(X$2,quests!$1:$1,0)-MATCH($C$2,quests!$1:$1,0)+1),MATCH(X$2,quests!$1:$1,0)-MATCH($C$2,quests!$1:$1,0)+1,FALSE)</f>
        <v>0</v>
      </c>
      <c r="Y762" s="47">
        <f ca="1">VLOOKUP($C762,OFFSET(quests!$A$1,0,0,COUNTA(quests!$A:$A),MATCH(Y$2,quests!$1:$1,0)-MATCH($C$2,quests!$1:$1,0)+1),MATCH(Y$2,quests!$1:$1,0)-MATCH($C$2,quests!$1:$1,0)+1,FALSE)</f>
        <v>0</v>
      </c>
      <c r="Z762" s="47">
        <f ca="1">VLOOKUP($C762,OFFSET(quests!$A$1,0,0,COUNTA(quests!$A:$A),MATCH(Z$2,quests!$1:$1,0)-MATCH($C$2,quests!$1:$1,0)+1),MATCH(Z$2,quests!$1:$1,0)-MATCH($C$2,quests!$1:$1,0)+1,FALSE)</f>
        <v>0</v>
      </c>
      <c r="AA762" s="47">
        <f ca="1">VLOOKUP($C762,OFFSET(quests!$A$1,0,0,COUNTA(quests!$A:$A),MATCH(AA$2,quests!$1:$1,0)-MATCH($C$2,quests!$1:$1,0)+1),MATCH(AA$2,quests!$1:$1,0)-MATCH($C$2,quests!$1:$1,0)+1,FALSE)</f>
        <v>0</v>
      </c>
      <c r="AB762" s="7" t="s">
        <v>56</v>
      </c>
      <c r="AC762" s="7">
        <v>941</v>
      </c>
      <c r="AD762" s="7">
        <v>6</v>
      </c>
      <c r="AE762" s="7" t="s">
        <v>519</v>
      </c>
      <c r="AF762" s="7">
        <v>40</v>
      </c>
      <c r="AG762" s="7">
        <v>40</v>
      </c>
      <c r="AH762" s="7">
        <v>0</v>
      </c>
      <c r="AI762" s="7">
        <v>-1</v>
      </c>
      <c r="AJ762" s="7">
        <v>-1</v>
      </c>
      <c r="AK762" s="7" t="s">
        <v>1065</v>
      </c>
      <c r="AL762" s="12" t="s">
        <v>1695</v>
      </c>
      <c r="AM762" s="12" t="s">
        <v>2072</v>
      </c>
    </row>
    <row r="763" spans="1:39" ht="21" customHeight="1" x14ac:dyDescent="0.15">
      <c r="A763" s="42" t="str">
        <f t="shared" si="40"/>
        <v>40024_1</v>
      </c>
      <c r="B763" s="23">
        <v>3</v>
      </c>
      <c r="C763" s="31">
        <v>40024</v>
      </c>
      <c r="D763" s="47" t="str">
        <f ca="1">VLOOKUP($C763,OFFSET(quests!$A$1,0,0,COUNTA(quests!$A:$A),MATCH(D$1,quests!$1:$1,0)-MATCH($C$2,quests!$1:$1,0)+1),MATCH(D$1,quests!$1:$1,0)-MATCH($C$2,quests!$1:$1,0)+1,FALSE)</f>
        <v>アトラス襲来！</v>
      </c>
      <c r="E763" s="48" t="str">
        <f ca="1">VLOOKUP($C763,OFFSET(quests!$A$1,0,0,COUNTA(quests!$A:$A),MATCH(E$2,quests!$1:$1,0)-MATCH($C$2,quests!$1:$1,0)+1),MATCH(E$2,quests!$1:$1,0)-MATCH($C$2,quests!$1:$1,0)+1,FALSE)</f>
        <v>降臨24</v>
      </c>
      <c r="F763" s="7">
        <v>1</v>
      </c>
      <c r="G763" s="7" t="s">
        <v>382</v>
      </c>
      <c r="H763" s="12" t="s">
        <v>1589</v>
      </c>
      <c r="I763" s="12" t="s">
        <v>1070</v>
      </c>
      <c r="J763" s="65">
        <v>789</v>
      </c>
      <c r="K763" s="167">
        <v>35</v>
      </c>
      <c r="L763" s="167">
        <v>4200</v>
      </c>
      <c r="M763" s="167">
        <v>1</v>
      </c>
      <c r="N763" s="167">
        <v>1</v>
      </c>
      <c r="O763" s="167">
        <v>1</v>
      </c>
      <c r="P763" s="167">
        <v>1</v>
      </c>
      <c r="Q763" s="167">
        <v>1</v>
      </c>
      <c r="R763" s="167">
        <v>3</v>
      </c>
      <c r="S763" s="167" t="s">
        <v>278</v>
      </c>
      <c r="T763" s="167">
        <v>1</v>
      </c>
      <c r="U763" s="7" t="s">
        <v>169</v>
      </c>
      <c r="V763" s="7" t="s">
        <v>169</v>
      </c>
      <c r="W763" s="47" t="str">
        <f t="shared" ca="1" si="37"/>
        <v/>
      </c>
      <c r="X763" s="47">
        <f ca="1">VLOOKUP($C763,OFFSET(quests!$A$1,0,0,COUNTA(quests!$A:$A),MATCH(X$2,quests!$1:$1,0)-MATCH($C$2,quests!$1:$1,0)+1),MATCH(X$2,quests!$1:$1,0)-MATCH($C$2,quests!$1:$1,0)+1,FALSE)</f>
        <v>0</v>
      </c>
      <c r="Y763" s="47">
        <f ca="1">VLOOKUP($C763,OFFSET(quests!$A$1,0,0,COUNTA(quests!$A:$A),MATCH(Y$2,quests!$1:$1,0)-MATCH($C$2,quests!$1:$1,0)+1),MATCH(Y$2,quests!$1:$1,0)-MATCH($C$2,quests!$1:$1,0)+1,FALSE)</f>
        <v>0</v>
      </c>
      <c r="Z763" s="47">
        <f ca="1">VLOOKUP($C763,OFFSET(quests!$A$1,0,0,COUNTA(quests!$A:$A),MATCH(Z$2,quests!$1:$1,0)-MATCH($C$2,quests!$1:$1,0)+1),MATCH(Z$2,quests!$1:$1,0)-MATCH($C$2,quests!$1:$1,0)+1,FALSE)</f>
        <v>0</v>
      </c>
      <c r="AA763" s="47">
        <f ca="1">VLOOKUP($C763,OFFSET(quests!$A$1,0,0,COUNTA(quests!$A:$A),MATCH(AA$2,quests!$1:$1,0)-MATCH($C$2,quests!$1:$1,0)+1),MATCH(AA$2,quests!$1:$1,0)-MATCH($C$2,quests!$1:$1,0)+1,FALSE)</f>
        <v>0</v>
      </c>
      <c r="AB763" s="7" t="s">
        <v>56</v>
      </c>
      <c r="AC763" s="33">
        <v>20</v>
      </c>
      <c r="AD763" s="7">
        <v>6</v>
      </c>
      <c r="AE763" s="7" t="s">
        <v>519</v>
      </c>
      <c r="AF763" s="7">
        <v>40</v>
      </c>
      <c r="AG763" s="7">
        <v>40</v>
      </c>
      <c r="AH763" s="7">
        <v>0</v>
      </c>
      <c r="AI763" s="7">
        <v>-1</v>
      </c>
      <c r="AJ763" s="7">
        <v>-1</v>
      </c>
      <c r="AK763" s="7" t="s">
        <v>1065</v>
      </c>
      <c r="AL763" s="12" t="s">
        <v>1695</v>
      </c>
      <c r="AM763" s="12" t="s">
        <v>2072</v>
      </c>
    </row>
    <row r="764" spans="1:39" ht="21" customHeight="1" x14ac:dyDescent="0.15">
      <c r="A764" s="42" t="str">
        <f t="shared" si="40"/>
        <v>40024_2</v>
      </c>
      <c r="B764" s="23">
        <v>3</v>
      </c>
      <c r="C764" s="31">
        <v>40024</v>
      </c>
      <c r="D764" s="47" t="str">
        <f ca="1">VLOOKUP($C764,OFFSET(quests!$A$1,0,0,COUNTA(quests!$A:$A),MATCH(D$1,quests!$1:$1,0)-MATCH($C$2,quests!$1:$1,0)+1),MATCH(D$1,quests!$1:$1,0)-MATCH($C$2,quests!$1:$1,0)+1,FALSE)</f>
        <v>アトラス襲来！</v>
      </c>
      <c r="E764" s="48" t="str">
        <f ca="1">VLOOKUP($C764,OFFSET(quests!$A$1,0,0,COUNTA(quests!$A:$A),MATCH(E$2,quests!$1:$1,0)-MATCH($C$2,quests!$1:$1,0)+1),MATCH(E$2,quests!$1:$1,0)-MATCH($C$2,quests!$1:$1,0)+1,FALSE)</f>
        <v>降臨24</v>
      </c>
      <c r="F764" s="7">
        <v>2</v>
      </c>
      <c r="G764" s="7" t="s">
        <v>382</v>
      </c>
      <c r="H764" s="12" t="s">
        <v>1590</v>
      </c>
      <c r="I764" s="12" t="s">
        <v>61</v>
      </c>
      <c r="J764" s="65">
        <v>789</v>
      </c>
      <c r="K764" s="167">
        <v>40</v>
      </c>
      <c r="L764" s="167">
        <v>4500</v>
      </c>
      <c r="M764" s="167">
        <v>1</v>
      </c>
      <c r="N764" s="167">
        <v>1</v>
      </c>
      <c r="O764" s="167">
        <v>1</v>
      </c>
      <c r="P764" s="167">
        <v>1</v>
      </c>
      <c r="Q764" s="167">
        <v>1</v>
      </c>
      <c r="R764" s="167">
        <v>3</v>
      </c>
      <c r="S764" s="167" t="s">
        <v>278</v>
      </c>
      <c r="T764" s="167">
        <v>1</v>
      </c>
      <c r="U764" s="7" t="s">
        <v>169</v>
      </c>
      <c r="V764" s="7" t="s">
        <v>169</v>
      </c>
      <c r="W764" s="47" t="str">
        <f t="shared" ca="1" si="37"/>
        <v/>
      </c>
      <c r="X764" s="47">
        <f ca="1">VLOOKUP($C764,OFFSET(quests!$A$1,0,0,COUNTA(quests!$A:$A),MATCH(X$2,quests!$1:$1,0)-MATCH($C$2,quests!$1:$1,0)+1),MATCH(X$2,quests!$1:$1,0)-MATCH($C$2,quests!$1:$1,0)+1,FALSE)</f>
        <v>0</v>
      </c>
      <c r="Y764" s="47">
        <f ca="1">VLOOKUP($C764,OFFSET(quests!$A$1,0,0,COUNTA(quests!$A:$A),MATCH(Y$2,quests!$1:$1,0)-MATCH($C$2,quests!$1:$1,0)+1),MATCH(Y$2,quests!$1:$1,0)-MATCH($C$2,quests!$1:$1,0)+1,FALSE)</f>
        <v>0</v>
      </c>
      <c r="Z764" s="47">
        <f ca="1">VLOOKUP($C764,OFFSET(quests!$A$1,0,0,COUNTA(quests!$A:$A),MATCH(Z$2,quests!$1:$1,0)-MATCH($C$2,quests!$1:$1,0)+1),MATCH(Z$2,quests!$1:$1,0)-MATCH($C$2,quests!$1:$1,0)+1,FALSE)</f>
        <v>0</v>
      </c>
      <c r="AA764" s="47">
        <f ca="1">VLOOKUP($C764,OFFSET(quests!$A$1,0,0,COUNTA(quests!$A:$A),MATCH(AA$2,quests!$1:$1,0)-MATCH($C$2,quests!$1:$1,0)+1),MATCH(AA$2,quests!$1:$1,0)-MATCH($C$2,quests!$1:$1,0)+1,FALSE)</f>
        <v>0</v>
      </c>
      <c r="AB764" s="7" t="s">
        <v>56</v>
      </c>
      <c r="AC764" s="33">
        <v>20</v>
      </c>
      <c r="AD764" s="7">
        <v>6</v>
      </c>
      <c r="AE764" s="7" t="s">
        <v>519</v>
      </c>
      <c r="AF764" s="7">
        <v>40</v>
      </c>
      <c r="AG764" s="7">
        <v>40</v>
      </c>
      <c r="AH764" s="7">
        <v>0</v>
      </c>
      <c r="AI764" s="7">
        <v>-1</v>
      </c>
      <c r="AJ764" s="7">
        <v>-1</v>
      </c>
      <c r="AK764" s="7" t="s">
        <v>1065</v>
      </c>
      <c r="AL764" s="12" t="s">
        <v>1695</v>
      </c>
      <c r="AM764" s="12" t="s">
        <v>2072</v>
      </c>
    </row>
    <row r="765" spans="1:39" ht="21" customHeight="1" x14ac:dyDescent="0.15">
      <c r="A765" s="42" t="str">
        <f t="shared" si="40"/>
        <v>40025_1</v>
      </c>
      <c r="B765" s="23">
        <v>3</v>
      </c>
      <c r="C765" s="31">
        <v>40025</v>
      </c>
      <c r="D765" s="47" t="str">
        <f ca="1">VLOOKUP($C765,OFFSET(quests!$A$1,0,0,COUNTA(quests!$A:$A),MATCH(D$1,quests!$1:$1,0)-MATCH($C$2,quests!$1:$1,0)+1),MATCH(D$1,quests!$1:$1,0)-MATCH($C$2,quests!$1:$1,0)+1,FALSE)</f>
        <v>ティアマト襲来！</v>
      </c>
      <c r="E765" s="48" t="str">
        <f ca="1">VLOOKUP($C765,OFFSET(quests!$A$1,0,0,COUNTA(quests!$A:$A),MATCH(E$2,quests!$1:$1,0)-MATCH($C$2,quests!$1:$1,0)+1),MATCH(E$2,quests!$1:$1,0)-MATCH($C$2,quests!$1:$1,0)+1,FALSE)</f>
        <v>降臨25</v>
      </c>
      <c r="F765" s="7">
        <v>1</v>
      </c>
      <c r="G765" s="7" t="s">
        <v>382</v>
      </c>
      <c r="H765" s="12" t="s">
        <v>1552</v>
      </c>
      <c r="I765" s="12" t="s">
        <v>1070</v>
      </c>
      <c r="J765" s="65">
        <v>1064</v>
      </c>
      <c r="K765" s="167">
        <v>35</v>
      </c>
      <c r="L765" s="167">
        <v>4200</v>
      </c>
      <c r="M765" s="167">
        <v>1</v>
      </c>
      <c r="N765" s="167">
        <v>1</v>
      </c>
      <c r="O765" s="167">
        <v>1</v>
      </c>
      <c r="P765" s="167">
        <v>1</v>
      </c>
      <c r="Q765" s="167">
        <v>1</v>
      </c>
      <c r="R765" s="167">
        <v>3</v>
      </c>
      <c r="S765" s="167" t="s">
        <v>278</v>
      </c>
      <c r="T765" s="167">
        <v>1</v>
      </c>
      <c r="U765" s="7" t="s">
        <v>169</v>
      </c>
      <c r="V765" s="7" t="s">
        <v>169</v>
      </c>
      <c r="W765" s="47" t="str">
        <f t="shared" ca="1" si="37"/>
        <v/>
      </c>
      <c r="X765" s="47">
        <f ca="1">VLOOKUP($C765,OFFSET(quests!$A$1,0,0,COUNTA(quests!$A:$A),MATCH(X$2,quests!$1:$1,0)-MATCH($C$2,quests!$1:$1,0)+1),MATCH(X$2,quests!$1:$1,0)-MATCH($C$2,quests!$1:$1,0)+1,FALSE)</f>
        <v>0</v>
      </c>
      <c r="Y765" s="47">
        <f ca="1">VLOOKUP($C765,OFFSET(quests!$A$1,0,0,COUNTA(quests!$A:$A),MATCH(Y$2,quests!$1:$1,0)-MATCH($C$2,quests!$1:$1,0)+1),MATCH(Y$2,quests!$1:$1,0)-MATCH($C$2,quests!$1:$1,0)+1,FALSE)</f>
        <v>0</v>
      </c>
      <c r="Z765" s="47">
        <f ca="1">VLOOKUP($C765,OFFSET(quests!$A$1,0,0,COUNTA(quests!$A:$A),MATCH(Z$2,quests!$1:$1,0)-MATCH($C$2,quests!$1:$1,0)+1),MATCH(Z$2,quests!$1:$1,0)-MATCH($C$2,quests!$1:$1,0)+1,FALSE)</f>
        <v>0</v>
      </c>
      <c r="AA765" s="47">
        <f ca="1">VLOOKUP($C765,OFFSET(quests!$A$1,0,0,COUNTA(quests!$A:$A),MATCH(AA$2,quests!$1:$1,0)-MATCH($C$2,quests!$1:$1,0)+1),MATCH(AA$2,quests!$1:$1,0)-MATCH($C$2,quests!$1:$1,0)+1,FALSE)</f>
        <v>0</v>
      </c>
      <c r="AB765" s="7" t="s">
        <v>56</v>
      </c>
      <c r="AC765" s="33">
        <v>944</v>
      </c>
      <c r="AD765" s="7">
        <v>6</v>
      </c>
      <c r="AE765" s="7" t="s">
        <v>519</v>
      </c>
      <c r="AF765" s="7">
        <v>40</v>
      </c>
      <c r="AG765" s="7">
        <v>40</v>
      </c>
      <c r="AH765" s="7">
        <v>0</v>
      </c>
      <c r="AI765" s="7">
        <v>-1</v>
      </c>
      <c r="AJ765" s="7">
        <v>-1</v>
      </c>
      <c r="AK765" s="7" t="s">
        <v>1065</v>
      </c>
      <c r="AL765" s="12" t="s">
        <v>1695</v>
      </c>
      <c r="AM765" s="12" t="s">
        <v>2072</v>
      </c>
    </row>
    <row r="766" spans="1:39" ht="21" customHeight="1" x14ac:dyDescent="0.15">
      <c r="A766" s="42" t="str">
        <f t="shared" si="40"/>
        <v>40025_2</v>
      </c>
      <c r="B766" s="23">
        <v>3</v>
      </c>
      <c r="C766" s="31">
        <v>40025</v>
      </c>
      <c r="D766" s="47" t="str">
        <f ca="1">VLOOKUP($C766,OFFSET(quests!$A$1,0,0,COUNTA(quests!$A:$A),MATCH(D$1,quests!$1:$1,0)-MATCH($C$2,quests!$1:$1,0)+1),MATCH(D$1,quests!$1:$1,0)-MATCH($C$2,quests!$1:$1,0)+1,FALSE)</f>
        <v>ティアマト襲来！</v>
      </c>
      <c r="E766" s="48" t="str">
        <f ca="1">VLOOKUP($C766,OFFSET(quests!$A$1,0,0,COUNTA(quests!$A:$A),MATCH(E$2,quests!$1:$1,0)-MATCH($C$2,quests!$1:$1,0)+1),MATCH(E$2,quests!$1:$1,0)-MATCH($C$2,quests!$1:$1,0)+1,FALSE)</f>
        <v>降臨25</v>
      </c>
      <c r="F766" s="7">
        <v>2</v>
      </c>
      <c r="G766" s="7" t="s">
        <v>382</v>
      </c>
      <c r="H766" s="12" t="s">
        <v>1553</v>
      </c>
      <c r="I766" s="12" t="s">
        <v>61</v>
      </c>
      <c r="J766" s="65">
        <v>1064</v>
      </c>
      <c r="K766" s="167">
        <v>40</v>
      </c>
      <c r="L766" s="167">
        <v>4500</v>
      </c>
      <c r="M766" s="167">
        <v>1</v>
      </c>
      <c r="N766" s="167">
        <v>1</v>
      </c>
      <c r="O766" s="167">
        <v>1</v>
      </c>
      <c r="P766" s="167">
        <v>1</v>
      </c>
      <c r="Q766" s="167">
        <v>1</v>
      </c>
      <c r="R766" s="167">
        <v>3</v>
      </c>
      <c r="S766" s="167" t="s">
        <v>278</v>
      </c>
      <c r="T766" s="167">
        <v>1</v>
      </c>
      <c r="U766" s="7" t="s">
        <v>169</v>
      </c>
      <c r="V766" s="7" t="s">
        <v>169</v>
      </c>
      <c r="W766" s="47" t="str">
        <f t="shared" ca="1" si="37"/>
        <v/>
      </c>
      <c r="X766" s="47">
        <f ca="1">VLOOKUP($C766,OFFSET(quests!$A$1,0,0,COUNTA(quests!$A:$A),MATCH(X$2,quests!$1:$1,0)-MATCH($C$2,quests!$1:$1,0)+1),MATCH(X$2,quests!$1:$1,0)-MATCH($C$2,quests!$1:$1,0)+1,FALSE)</f>
        <v>0</v>
      </c>
      <c r="Y766" s="47">
        <f ca="1">VLOOKUP($C766,OFFSET(quests!$A$1,0,0,COUNTA(quests!$A:$A),MATCH(Y$2,quests!$1:$1,0)-MATCH($C$2,quests!$1:$1,0)+1),MATCH(Y$2,quests!$1:$1,0)-MATCH($C$2,quests!$1:$1,0)+1,FALSE)</f>
        <v>0</v>
      </c>
      <c r="Z766" s="47">
        <f ca="1">VLOOKUP($C766,OFFSET(quests!$A$1,0,0,COUNTA(quests!$A:$A),MATCH(Z$2,quests!$1:$1,0)-MATCH($C$2,quests!$1:$1,0)+1),MATCH(Z$2,quests!$1:$1,0)-MATCH($C$2,quests!$1:$1,0)+1,FALSE)</f>
        <v>0</v>
      </c>
      <c r="AA766" s="47">
        <f ca="1">VLOOKUP($C766,OFFSET(quests!$A$1,0,0,COUNTA(quests!$A:$A),MATCH(AA$2,quests!$1:$1,0)-MATCH($C$2,quests!$1:$1,0)+1),MATCH(AA$2,quests!$1:$1,0)-MATCH($C$2,quests!$1:$1,0)+1,FALSE)</f>
        <v>0</v>
      </c>
      <c r="AB766" s="7" t="s">
        <v>56</v>
      </c>
      <c r="AC766" s="33">
        <v>944</v>
      </c>
      <c r="AD766" s="7">
        <v>6</v>
      </c>
      <c r="AE766" s="7" t="s">
        <v>519</v>
      </c>
      <c r="AF766" s="7">
        <v>40</v>
      </c>
      <c r="AG766" s="7">
        <v>40</v>
      </c>
      <c r="AH766" s="7">
        <v>0</v>
      </c>
      <c r="AI766" s="7">
        <v>-1</v>
      </c>
      <c r="AJ766" s="7">
        <v>-1</v>
      </c>
      <c r="AK766" s="7" t="s">
        <v>1065</v>
      </c>
      <c r="AL766" s="12" t="s">
        <v>1695</v>
      </c>
      <c r="AM766" s="12" t="s">
        <v>2072</v>
      </c>
    </row>
    <row r="767" spans="1:39" ht="21" customHeight="1" x14ac:dyDescent="0.15">
      <c r="A767" s="42" t="str">
        <f t="shared" si="40"/>
        <v>40026_1</v>
      </c>
      <c r="B767" s="39">
        <v>3</v>
      </c>
      <c r="C767" s="31">
        <v>40026</v>
      </c>
      <c r="D767" s="47" t="str">
        <f ca="1">VLOOKUP($C767,OFFSET(quests!$A$1,0,0,COUNTA(quests!$A:$A),MATCH(D$1,quests!$1:$1,0)-MATCH($C$2,quests!$1:$1,0)+1),MATCH(D$1,quests!$1:$1,0)-MATCH($C$2,quests!$1:$1,0)+1,FALSE)</f>
        <v>ミケランジェロ襲来！</v>
      </c>
      <c r="E767" s="48" t="str">
        <f ca="1">VLOOKUP($C767,OFFSET(quests!$A$1,0,0,COUNTA(quests!$A:$A),MATCH(E$2,quests!$1:$1,0)-MATCH($C$2,quests!$1:$1,0)+1),MATCH(E$2,quests!$1:$1,0)-MATCH($C$2,quests!$1:$1,0)+1,FALSE)</f>
        <v>降臨26</v>
      </c>
      <c r="F767" s="7">
        <v>1</v>
      </c>
      <c r="G767" s="7" t="s">
        <v>382</v>
      </c>
      <c r="H767" s="39" t="s">
        <v>1582</v>
      </c>
      <c r="I767" s="12" t="s">
        <v>1070</v>
      </c>
      <c r="J767" s="251">
        <v>1089</v>
      </c>
      <c r="K767" s="167">
        <v>35</v>
      </c>
      <c r="L767" s="167">
        <v>4200</v>
      </c>
      <c r="M767" s="167">
        <v>1</v>
      </c>
      <c r="N767" s="167">
        <v>1</v>
      </c>
      <c r="O767" s="167">
        <v>1</v>
      </c>
      <c r="P767" s="167">
        <v>1</v>
      </c>
      <c r="Q767" s="167">
        <v>1</v>
      </c>
      <c r="R767" s="167">
        <v>3</v>
      </c>
      <c r="S767" s="167" t="s">
        <v>278</v>
      </c>
      <c r="T767" s="167">
        <v>1</v>
      </c>
      <c r="U767" s="7" t="s">
        <v>169</v>
      </c>
      <c r="V767" s="7" t="s">
        <v>169</v>
      </c>
      <c r="W767" s="47" t="str">
        <f t="shared" ca="1" si="37"/>
        <v/>
      </c>
      <c r="X767" s="47">
        <f ca="1">VLOOKUP($C767,OFFSET(quests!$A$1,0,0,COUNTA(quests!$A:$A),MATCH(X$2,quests!$1:$1,0)-MATCH($C$2,quests!$1:$1,0)+1),MATCH(X$2,quests!$1:$1,0)-MATCH($C$2,quests!$1:$1,0)+1,FALSE)</f>
        <v>0</v>
      </c>
      <c r="Y767" s="47">
        <f ca="1">VLOOKUP($C767,OFFSET(quests!$A$1,0,0,COUNTA(quests!$A:$A),MATCH(Y$2,quests!$1:$1,0)-MATCH($C$2,quests!$1:$1,0)+1),MATCH(Y$2,quests!$1:$1,0)-MATCH($C$2,quests!$1:$1,0)+1,FALSE)</f>
        <v>0</v>
      </c>
      <c r="Z767" s="47">
        <f ca="1">VLOOKUP($C767,OFFSET(quests!$A$1,0,0,COUNTA(quests!$A:$A),MATCH(Z$2,quests!$1:$1,0)-MATCH($C$2,quests!$1:$1,0)+1),MATCH(Z$2,quests!$1:$1,0)-MATCH($C$2,quests!$1:$1,0)+1,FALSE)</f>
        <v>0</v>
      </c>
      <c r="AA767" s="47">
        <f ca="1">VLOOKUP($C767,OFFSET(quests!$A$1,0,0,COUNTA(quests!$A:$A),MATCH(AA$2,quests!$1:$1,0)-MATCH($C$2,quests!$1:$1,0)+1),MATCH(AA$2,quests!$1:$1,0)-MATCH($C$2,quests!$1:$1,0)+1,FALSE)</f>
        <v>0</v>
      </c>
      <c r="AB767" s="7" t="s">
        <v>56</v>
      </c>
      <c r="AC767" s="33">
        <v>26</v>
      </c>
      <c r="AD767" s="7">
        <v>6</v>
      </c>
      <c r="AE767" s="7" t="s">
        <v>519</v>
      </c>
      <c r="AF767" s="33">
        <v>40</v>
      </c>
      <c r="AG767" s="33">
        <v>40</v>
      </c>
      <c r="AH767" s="33">
        <v>0</v>
      </c>
      <c r="AI767" s="7">
        <v>-1</v>
      </c>
      <c r="AJ767" s="7">
        <v>-1</v>
      </c>
      <c r="AK767" s="7" t="s">
        <v>1065</v>
      </c>
      <c r="AL767" s="12" t="s">
        <v>1695</v>
      </c>
      <c r="AM767" s="12" t="s">
        <v>2072</v>
      </c>
    </row>
    <row r="768" spans="1:39" ht="21" customHeight="1" x14ac:dyDescent="0.15">
      <c r="A768" s="42" t="str">
        <f t="shared" si="40"/>
        <v>40026_2</v>
      </c>
      <c r="B768" s="39">
        <v>3</v>
      </c>
      <c r="C768" s="31">
        <v>40026</v>
      </c>
      <c r="D768" s="47" t="str">
        <f ca="1">VLOOKUP($C768,OFFSET(quests!$A$1,0,0,COUNTA(quests!$A:$A),MATCH(D$1,quests!$1:$1,0)-MATCH($C$2,quests!$1:$1,0)+1),MATCH(D$1,quests!$1:$1,0)-MATCH($C$2,quests!$1:$1,0)+1,FALSE)</f>
        <v>ミケランジェロ襲来！</v>
      </c>
      <c r="E768" s="48" t="str">
        <f ca="1">VLOOKUP($C768,OFFSET(quests!$A$1,0,0,COUNTA(quests!$A:$A),MATCH(E$2,quests!$1:$1,0)-MATCH($C$2,quests!$1:$1,0)+1),MATCH(E$2,quests!$1:$1,0)-MATCH($C$2,quests!$1:$1,0)+1,FALSE)</f>
        <v>降臨26</v>
      </c>
      <c r="F768" s="7">
        <v>2</v>
      </c>
      <c r="G768" s="7" t="s">
        <v>382</v>
      </c>
      <c r="H768" s="39" t="s">
        <v>1583</v>
      </c>
      <c r="I768" s="12" t="s">
        <v>61</v>
      </c>
      <c r="J768" s="251">
        <v>1089</v>
      </c>
      <c r="K768" s="167">
        <v>40</v>
      </c>
      <c r="L768" s="167">
        <v>4500</v>
      </c>
      <c r="M768" s="167">
        <v>1</v>
      </c>
      <c r="N768" s="167">
        <v>1</v>
      </c>
      <c r="O768" s="167">
        <v>1</v>
      </c>
      <c r="P768" s="167">
        <v>1</v>
      </c>
      <c r="Q768" s="167">
        <v>1</v>
      </c>
      <c r="R768" s="167">
        <v>3</v>
      </c>
      <c r="S768" s="167" t="s">
        <v>278</v>
      </c>
      <c r="T768" s="167">
        <v>1</v>
      </c>
      <c r="U768" s="7" t="s">
        <v>169</v>
      </c>
      <c r="V768" s="7" t="s">
        <v>169</v>
      </c>
      <c r="W768" s="47" t="str">
        <f t="shared" ca="1" si="37"/>
        <v/>
      </c>
      <c r="X768" s="47">
        <f ca="1">VLOOKUP($C768,OFFSET(quests!$A$1,0,0,COUNTA(quests!$A:$A),MATCH(X$2,quests!$1:$1,0)-MATCH($C$2,quests!$1:$1,0)+1),MATCH(X$2,quests!$1:$1,0)-MATCH($C$2,quests!$1:$1,0)+1,FALSE)</f>
        <v>0</v>
      </c>
      <c r="Y768" s="47">
        <f ca="1">VLOOKUP($C768,OFFSET(quests!$A$1,0,0,COUNTA(quests!$A:$A),MATCH(Y$2,quests!$1:$1,0)-MATCH($C$2,quests!$1:$1,0)+1),MATCH(Y$2,quests!$1:$1,0)-MATCH($C$2,quests!$1:$1,0)+1,FALSE)</f>
        <v>0</v>
      </c>
      <c r="Z768" s="47">
        <f ca="1">VLOOKUP($C768,OFFSET(quests!$A$1,0,0,COUNTA(quests!$A:$A),MATCH(Z$2,quests!$1:$1,0)-MATCH($C$2,quests!$1:$1,0)+1),MATCH(Z$2,quests!$1:$1,0)-MATCH($C$2,quests!$1:$1,0)+1,FALSE)</f>
        <v>0</v>
      </c>
      <c r="AA768" s="47">
        <f ca="1">VLOOKUP($C768,OFFSET(quests!$A$1,0,0,COUNTA(quests!$A:$A),MATCH(AA$2,quests!$1:$1,0)-MATCH($C$2,quests!$1:$1,0)+1),MATCH(AA$2,quests!$1:$1,0)-MATCH($C$2,quests!$1:$1,0)+1,FALSE)</f>
        <v>0</v>
      </c>
      <c r="AB768" s="7" t="s">
        <v>56</v>
      </c>
      <c r="AC768" s="33">
        <v>26</v>
      </c>
      <c r="AD768" s="7">
        <v>6</v>
      </c>
      <c r="AE768" s="7" t="s">
        <v>519</v>
      </c>
      <c r="AF768" s="33">
        <v>40</v>
      </c>
      <c r="AG768" s="33">
        <v>40</v>
      </c>
      <c r="AH768" s="33">
        <v>0</v>
      </c>
      <c r="AI768" s="7">
        <v>-1</v>
      </c>
      <c r="AJ768" s="7">
        <v>-1</v>
      </c>
      <c r="AK768" s="7" t="s">
        <v>1065</v>
      </c>
      <c r="AL768" s="12" t="s">
        <v>1695</v>
      </c>
      <c r="AM768" s="12" t="s">
        <v>2072</v>
      </c>
    </row>
    <row r="769" spans="1:39" ht="21" customHeight="1" x14ac:dyDescent="0.15">
      <c r="A769" s="42" t="str">
        <f t="shared" si="40"/>
        <v>40027_1</v>
      </c>
      <c r="B769" s="39">
        <v>3</v>
      </c>
      <c r="C769" s="31">
        <v>40027</v>
      </c>
      <c r="D769" s="47" t="str">
        <f ca="1">VLOOKUP($C769,OFFSET(quests!$A$1,0,0,COUNTA(quests!$A:$A),MATCH(D$1,quests!$1:$1,0)-MATCH($C$2,quests!$1:$1,0)+1),MATCH(D$1,quests!$1:$1,0)-MATCH($C$2,quests!$1:$1,0)+1,FALSE)</f>
        <v>コルキス襲来！</v>
      </c>
      <c r="E769" s="48" t="str">
        <f ca="1">VLOOKUP($C769,OFFSET(quests!$A$1,0,0,COUNTA(quests!$A:$A),MATCH(E$2,quests!$1:$1,0)-MATCH($C$2,quests!$1:$1,0)+1),MATCH(E$2,quests!$1:$1,0)-MATCH($C$2,quests!$1:$1,0)+1,FALSE)</f>
        <v>降臨27</v>
      </c>
      <c r="F769" s="7">
        <v>1</v>
      </c>
      <c r="G769" s="7" t="s">
        <v>382</v>
      </c>
      <c r="H769" s="12" t="s">
        <v>1591</v>
      </c>
      <c r="I769" s="12" t="s">
        <v>1070</v>
      </c>
      <c r="J769" s="251">
        <v>892</v>
      </c>
      <c r="K769" s="167">
        <v>35</v>
      </c>
      <c r="L769" s="167">
        <v>4200</v>
      </c>
      <c r="M769" s="167">
        <v>1</v>
      </c>
      <c r="N769" s="167">
        <v>1</v>
      </c>
      <c r="O769" s="253">
        <v>0</v>
      </c>
      <c r="P769" s="167">
        <v>1</v>
      </c>
      <c r="Q769" s="167">
        <v>1</v>
      </c>
      <c r="R769" s="167">
        <v>3</v>
      </c>
      <c r="S769" s="167" t="s">
        <v>278</v>
      </c>
      <c r="T769" s="167">
        <v>1</v>
      </c>
      <c r="U769" s="7" t="s">
        <v>169</v>
      </c>
      <c r="V769" s="7" t="s">
        <v>169</v>
      </c>
      <c r="W769" s="47" t="str">
        <f t="shared" ca="1" si="37"/>
        <v/>
      </c>
      <c r="X769" s="47">
        <f ca="1">VLOOKUP($C769,OFFSET(quests!$A$1,0,0,COUNTA(quests!$A:$A),MATCH(X$2,quests!$1:$1,0)-MATCH($C$2,quests!$1:$1,0)+1),MATCH(X$2,quests!$1:$1,0)-MATCH($C$2,quests!$1:$1,0)+1,FALSE)</f>
        <v>0</v>
      </c>
      <c r="Y769" s="47">
        <f ca="1">VLOOKUP($C769,OFFSET(quests!$A$1,0,0,COUNTA(quests!$A:$A),MATCH(Y$2,quests!$1:$1,0)-MATCH($C$2,quests!$1:$1,0)+1),MATCH(Y$2,quests!$1:$1,0)-MATCH($C$2,quests!$1:$1,0)+1,FALSE)</f>
        <v>0</v>
      </c>
      <c r="Z769" s="47">
        <f ca="1">VLOOKUP($C769,OFFSET(quests!$A$1,0,0,COUNTA(quests!$A:$A),MATCH(Z$2,quests!$1:$1,0)-MATCH($C$2,quests!$1:$1,0)+1),MATCH(Z$2,quests!$1:$1,0)-MATCH($C$2,quests!$1:$1,0)+1,FALSE)</f>
        <v>0</v>
      </c>
      <c r="AA769" s="47">
        <f ca="1">VLOOKUP($C769,OFFSET(quests!$A$1,0,0,COUNTA(quests!$A:$A),MATCH(AA$2,quests!$1:$1,0)-MATCH($C$2,quests!$1:$1,0)+1),MATCH(AA$2,quests!$1:$1,0)-MATCH($C$2,quests!$1:$1,0)+1,FALSE)</f>
        <v>0</v>
      </c>
      <c r="AB769" s="7" t="s">
        <v>56</v>
      </c>
      <c r="AC769" s="33">
        <v>11</v>
      </c>
      <c r="AD769" s="7">
        <v>6</v>
      </c>
      <c r="AE769" s="7" t="s">
        <v>519</v>
      </c>
      <c r="AF769" s="33">
        <v>40</v>
      </c>
      <c r="AG769" s="33">
        <v>40</v>
      </c>
      <c r="AH769" s="33">
        <v>0</v>
      </c>
      <c r="AI769" s="7">
        <v>-1</v>
      </c>
      <c r="AJ769" s="7">
        <v>-1</v>
      </c>
      <c r="AK769" s="7" t="s">
        <v>1065</v>
      </c>
      <c r="AL769" s="12" t="s">
        <v>1695</v>
      </c>
      <c r="AM769" s="12" t="s">
        <v>2072</v>
      </c>
    </row>
    <row r="770" spans="1:39" ht="21" customHeight="1" x14ac:dyDescent="0.15">
      <c r="A770" s="42" t="str">
        <f t="shared" si="40"/>
        <v>40027_2</v>
      </c>
      <c r="B770" s="39">
        <v>3</v>
      </c>
      <c r="C770" s="31">
        <v>40027</v>
      </c>
      <c r="D770" s="47" t="str">
        <f ca="1">VLOOKUP($C770,OFFSET(quests!$A$1,0,0,COUNTA(quests!$A:$A),MATCH(D$1,quests!$1:$1,0)-MATCH($C$2,quests!$1:$1,0)+1),MATCH(D$1,quests!$1:$1,0)-MATCH($C$2,quests!$1:$1,0)+1,FALSE)</f>
        <v>コルキス襲来！</v>
      </c>
      <c r="E770" s="48" t="str">
        <f ca="1">VLOOKUP($C770,OFFSET(quests!$A$1,0,0,COUNTA(quests!$A:$A),MATCH(E$2,quests!$1:$1,0)-MATCH($C$2,quests!$1:$1,0)+1),MATCH(E$2,quests!$1:$1,0)-MATCH($C$2,quests!$1:$1,0)+1,FALSE)</f>
        <v>降臨27</v>
      </c>
      <c r="F770" s="7">
        <v>2</v>
      </c>
      <c r="G770" s="7" t="s">
        <v>382</v>
      </c>
      <c r="H770" s="12" t="s">
        <v>1592</v>
      </c>
      <c r="I770" s="12" t="s">
        <v>61</v>
      </c>
      <c r="J770" s="251">
        <v>892</v>
      </c>
      <c r="K770" s="167">
        <v>40</v>
      </c>
      <c r="L770" s="167">
        <v>4500</v>
      </c>
      <c r="M770" s="167">
        <v>1</v>
      </c>
      <c r="N770" s="167">
        <v>1</v>
      </c>
      <c r="O770" s="253">
        <v>0</v>
      </c>
      <c r="P770" s="167">
        <v>1</v>
      </c>
      <c r="Q770" s="167">
        <v>1</v>
      </c>
      <c r="R770" s="167">
        <v>3</v>
      </c>
      <c r="S770" s="167" t="s">
        <v>278</v>
      </c>
      <c r="T770" s="167">
        <v>1</v>
      </c>
      <c r="U770" s="7" t="s">
        <v>169</v>
      </c>
      <c r="V770" s="7" t="s">
        <v>169</v>
      </c>
      <c r="W770" s="47" t="str">
        <f t="shared" ca="1" si="37"/>
        <v/>
      </c>
      <c r="X770" s="47">
        <f ca="1">VLOOKUP($C770,OFFSET(quests!$A$1,0,0,COUNTA(quests!$A:$A),MATCH(X$2,quests!$1:$1,0)-MATCH($C$2,quests!$1:$1,0)+1),MATCH(X$2,quests!$1:$1,0)-MATCH($C$2,quests!$1:$1,0)+1,FALSE)</f>
        <v>0</v>
      </c>
      <c r="Y770" s="47">
        <f ca="1">VLOOKUP($C770,OFFSET(quests!$A$1,0,0,COUNTA(quests!$A:$A),MATCH(Y$2,quests!$1:$1,0)-MATCH($C$2,quests!$1:$1,0)+1),MATCH(Y$2,quests!$1:$1,0)-MATCH($C$2,quests!$1:$1,0)+1,FALSE)</f>
        <v>0</v>
      </c>
      <c r="Z770" s="47">
        <f ca="1">VLOOKUP($C770,OFFSET(quests!$A$1,0,0,COUNTA(quests!$A:$A),MATCH(Z$2,quests!$1:$1,0)-MATCH($C$2,quests!$1:$1,0)+1),MATCH(Z$2,quests!$1:$1,0)-MATCH($C$2,quests!$1:$1,0)+1,FALSE)</f>
        <v>0</v>
      </c>
      <c r="AA770" s="47">
        <f ca="1">VLOOKUP($C770,OFFSET(quests!$A$1,0,0,COUNTA(quests!$A:$A),MATCH(AA$2,quests!$1:$1,0)-MATCH($C$2,quests!$1:$1,0)+1),MATCH(AA$2,quests!$1:$1,0)-MATCH($C$2,quests!$1:$1,0)+1,FALSE)</f>
        <v>0</v>
      </c>
      <c r="AB770" s="7" t="s">
        <v>56</v>
      </c>
      <c r="AC770" s="33">
        <v>11</v>
      </c>
      <c r="AD770" s="7">
        <v>6</v>
      </c>
      <c r="AE770" s="7" t="s">
        <v>519</v>
      </c>
      <c r="AF770" s="33">
        <v>40</v>
      </c>
      <c r="AG770" s="33">
        <v>40</v>
      </c>
      <c r="AH770" s="33">
        <v>0</v>
      </c>
      <c r="AI770" s="7">
        <v>-1</v>
      </c>
      <c r="AJ770" s="7">
        <v>-1</v>
      </c>
      <c r="AK770" s="7" t="s">
        <v>1065</v>
      </c>
      <c r="AL770" s="12" t="s">
        <v>1695</v>
      </c>
      <c r="AM770" s="12" t="s">
        <v>2072</v>
      </c>
    </row>
    <row r="771" spans="1:39" ht="21" customHeight="1" x14ac:dyDescent="0.15">
      <c r="A771" s="42" t="str">
        <f t="shared" si="40"/>
        <v>40028_1</v>
      </c>
      <c r="B771" s="23">
        <v>3</v>
      </c>
      <c r="C771" s="31">
        <v>40028</v>
      </c>
      <c r="D771" s="47" t="str">
        <f ca="1">VLOOKUP($C771,OFFSET(quests!$A$1,0,0,COUNTA(quests!$A:$A),MATCH(D$1,quests!$1:$1,0)-MATCH($C$2,quests!$1:$1,0)+1),MATCH(D$1,quests!$1:$1,0)-MATCH($C$2,quests!$1:$1,0)+1,FALSE)</f>
        <v>ルピカ襲来！</v>
      </c>
      <c r="E771" s="48" t="str">
        <f ca="1">VLOOKUP($C771,OFFSET(quests!$A$1,0,0,COUNTA(quests!$A:$A),MATCH(E$2,quests!$1:$1,0)-MATCH($C$2,quests!$1:$1,0)+1),MATCH(E$2,quests!$1:$1,0)-MATCH($C$2,quests!$1:$1,0)+1,FALSE)</f>
        <v>降臨28</v>
      </c>
      <c r="F771" s="7">
        <v>1</v>
      </c>
      <c r="G771" s="7" t="s">
        <v>382</v>
      </c>
      <c r="H771" s="12" t="s">
        <v>1634</v>
      </c>
      <c r="I771" s="12" t="s">
        <v>1070</v>
      </c>
      <c r="J771" s="65">
        <v>1098</v>
      </c>
      <c r="K771" s="167">
        <v>35</v>
      </c>
      <c r="L771" s="167">
        <v>4200</v>
      </c>
      <c r="M771" s="167">
        <v>1</v>
      </c>
      <c r="N771" s="167">
        <v>1</v>
      </c>
      <c r="O771" s="167">
        <v>1</v>
      </c>
      <c r="P771" s="167">
        <v>1</v>
      </c>
      <c r="Q771" s="167">
        <v>1</v>
      </c>
      <c r="R771" s="167">
        <v>3</v>
      </c>
      <c r="S771" s="167" t="s">
        <v>278</v>
      </c>
      <c r="T771" s="167">
        <v>1</v>
      </c>
      <c r="U771" s="7" t="s">
        <v>169</v>
      </c>
      <c r="V771" s="7" t="s">
        <v>169</v>
      </c>
      <c r="W771" s="47" t="str">
        <f t="shared" ref="W771:W823" ca="1" si="41">IF(U771="NULL","",VLOOKUP($U771&amp;"_"&amp;$V771,OFFSET($A$1,0,0,COUNTA($A:$A),MATCH(W$2,$2:$2,0)-MATCH($A$2,$2:$2,0)+1),MATCH(W$2,$2:$2,0)-MATCH($A$2,$2:$2,0)+1,FALSE))</f>
        <v/>
      </c>
      <c r="X771" s="47">
        <f ca="1">VLOOKUP($C771,OFFSET(quests!$A$1,0,0,COUNTA(quests!$A:$A),MATCH(X$2,quests!$1:$1,0)-MATCH($C$2,quests!$1:$1,0)+1),MATCH(X$2,quests!$1:$1,0)-MATCH($C$2,quests!$1:$1,0)+1,FALSE)</f>
        <v>0</v>
      </c>
      <c r="Y771" s="47">
        <f ca="1">VLOOKUP($C771,OFFSET(quests!$A$1,0,0,COUNTA(quests!$A:$A),MATCH(Y$2,quests!$1:$1,0)-MATCH($C$2,quests!$1:$1,0)+1),MATCH(Y$2,quests!$1:$1,0)-MATCH($C$2,quests!$1:$1,0)+1,FALSE)</f>
        <v>0</v>
      </c>
      <c r="Z771" s="47">
        <f ca="1">VLOOKUP($C771,OFFSET(quests!$A$1,0,0,COUNTA(quests!$A:$A),MATCH(Z$2,quests!$1:$1,0)-MATCH($C$2,quests!$1:$1,0)+1),MATCH(Z$2,quests!$1:$1,0)-MATCH($C$2,quests!$1:$1,0)+1,FALSE)</f>
        <v>0</v>
      </c>
      <c r="AA771" s="47">
        <f ca="1">VLOOKUP($C771,OFFSET(quests!$A$1,0,0,COUNTA(quests!$A:$A),MATCH(AA$2,quests!$1:$1,0)-MATCH($C$2,quests!$1:$1,0)+1),MATCH(AA$2,quests!$1:$1,0)-MATCH($C$2,quests!$1:$1,0)+1,FALSE)</f>
        <v>0</v>
      </c>
      <c r="AB771" s="7" t="s">
        <v>56</v>
      </c>
      <c r="AC771" s="33">
        <v>947</v>
      </c>
      <c r="AD771" s="7">
        <v>6</v>
      </c>
      <c r="AE771" s="7" t="s">
        <v>519</v>
      </c>
      <c r="AF771" s="33">
        <v>40</v>
      </c>
      <c r="AG771" s="33">
        <v>40</v>
      </c>
      <c r="AH771" s="33">
        <v>0</v>
      </c>
      <c r="AI771" s="7">
        <v>-1</v>
      </c>
      <c r="AJ771" s="7">
        <v>-1</v>
      </c>
      <c r="AK771" s="7" t="s">
        <v>1065</v>
      </c>
      <c r="AL771" s="12" t="s">
        <v>1695</v>
      </c>
      <c r="AM771" s="12" t="s">
        <v>2072</v>
      </c>
    </row>
    <row r="772" spans="1:39" ht="21" customHeight="1" x14ac:dyDescent="0.15">
      <c r="A772" s="42" t="str">
        <f t="shared" si="40"/>
        <v>40028_2</v>
      </c>
      <c r="B772" s="23">
        <v>3</v>
      </c>
      <c r="C772" s="31">
        <v>40028</v>
      </c>
      <c r="D772" s="47" t="str">
        <f ca="1">VLOOKUP($C772,OFFSET(quests!$A$1,0,0,COUNTA(quests!$A:$A),MATCH(D$1,quests!$1:$1,0)-MATCH($C$2,quests!$1:$1,0)+1),MATCH(D$1,quests!$1:$1,0)-MATCH($C$2,quests!$1:$1,0)+1,FALSE)</f>
        <v>ルピカ襲来！</v>
      </c>
      <c r="E772" s="48" t="str">
        <f ca="1">VLOOKUP($C772,OFFSET(quests!$A$1,0,0,COUNTA(quests!$A:$A),MATCH(E$2,quests!$1:$1,0)-MATCH($C$2,quests!$1:$1,0)+1),MATCH(E$2,quests!$1:$1,0)-MATCH($C$2,quests!$1:$1,0)+1,FALSE)</f>
        <v>降臨28</v>
      </c>
      <c r="F772" s="7">
        <v>2</v>
      </c>
      <c r="G772" s="7" t="s">
        <v>382</v>
      </c>
      <c r="H772" s="12" t="s">
        <v>1635</v>
      </c>
      <c r="I772" s="12" t="s">
        <v>61</v>
      </c>
      <c r="J772" s="65">
        <v>1099</v>
      </c>
      <c r="K772" s="167">
        <v>40</v>
      </c>
      <c r="L772" s="167">
        <v>4500</v>
      </c>
      <c r="M772" s="167">
        <v>1</v>
      </c>
      <c r="N772" s="167">
        <v>1</v>
      </c>
      <c r="O772" s="167">
        <v>1</v>
      </c>
      <c r="P772" s="167">
        <v>1</v>
      </c>
      <c r="Q772" s="167">
        <v>1</v>
      </c>
      <c r="R772" s="167">
        <v>3</v>
      </c>
      <c r="S772" s="167" t="s">
        <v>278</v>
      </c>
      <c r="T772" s="167">
        <v>1</v>
      </c>
      <c r="U772" s="7" t="s">
        <v>169</v>
      </c>
      <c r="V772" s="7" t="s">
        <v>169</v>
      </c>
      <c r="W772" s="47" t="str">
        <f t="shared" ca="1" si="41"/>
        <v/>
      </c>
      <c r="X772" s="47">
        <f ca="1">VLOOKUP($C772,OFFSET(quests!$A$1,0,0,COUNTA(quests!$A:$A),MATCH(X$2,quests!$1:$1,0)-MATCH($C$2,quests!$1:$1,0)+1),MATCH(X$2,quests!$1:$1,0)-MATCH($C$2,quests!$1:$1,0)+1,FALSE)</f>
        <v>0</v>
      </c>
      <c r="Y772" s="47">
        <f ca="1">VLOOKUP($C772,OFFSET(quests!$A$1,0,0,COUNTA(quests!$A:$A),MATCH(Y$2,quests!$1:$1,0)-MATCH($C$2,quests!$1:$1,0)+1),MATCH(Y$2,quests!$1:$1,0)-MATCH($C$2,quests!$1:$1,0)+1,FALSE)</f>
        <v>0</v>
      </c>
      <c r="Z772" s="47">
        <f ca="1">VLOOKUP($C772,OFFSET(quests!$A$1,0,0,COUNTA(quests!$A:$A),MATCH(Z$2,quests!$1:$1,0)-MATCH($C$2,quests!$1:$1,0)+1),MATCH(Z$2,quests!$1:$1,0)-MATCH($C$2,quests!$1:$1,0)+1,FALSE)</f>
        <v>0</v>
      </c>
      <c r="AA772" s="47">
        <f ca="1">VLOOKUP($C772,OFFSET(quests!$A$1,0,0,COUNTA(quests!$A:$A),MATCH(AA$2,quests!$1:$1,0)-MATCH($C$2,quests!$1:$1,0)+1),MATCH(AA$2,quests!$1:$1,0)-MATCH($C$2,quests!$1:$1,0)+1,FALSE)</f>
        <v>0</v>
      </c>
      <c r="AB772" s="7" t="s">
        <v>56</v>
      </c>
      <c r="AC772" s="33">
        <v>947</v>
      </c>
      <c r="AD772" s="7">
        <v>6</v>
      </c>
      <c r="AE772" s="7" t="s">
        <v>519</v>
      </c>
      <c r="AF772" s="33">
        <v>40</v>
      </c>
      <c r="AG772" s="33">
        <v>40</v>
      </c>
      <c r="AH772" s="33">
        <v>0</v>
      </c>
      <c r="AI772" s="7">
        <v>-1</v>
      </c>
      <c r="AJ772" s="7">
        <v>-1</v>
      </c>
      <c r="AK772" s="7" t="s">
        <v>1065</v>
      </c>
      <c r="AL772" s="12" t="s">
        <v>1695</v>
      </c>
      <c r="AM772" s="12" t="s">
        <v>2072</v>
      </c>
    </row>
    <row r="773" spans="1:39" ht="21" customHeight="1" x14ac:dyDescent="0.15">
      <c r="A773" s="42" t="str">
        <f t="shared" si="40"/>
        <v>40029_1</v>
      </c>
      <c r="B773" s="23">
        <v>3</v>
      </c>
      <c r="C773" s="31">
        <v>40029</v>
      </c>
      <c r="D773" s="47" t="str">
        <f ca="1">VLOOKUP($C773,OFFSET(quests!$A$1,0,0,COUNTA(quests!$A:$A),MATCH(D$1,quests!$1:$1,0)-MATCH($C$2,quests!$1:$1,0)+1),MATCH(D$1,quests!$1:$1,0)-MATCH($C$2,quests!$1:$1,0)+1,FALSE)</f>
        <v>カスケード襲来！</v>
      </c>
      <c r="E773" s="48" t="str">
        <f ca="1">VLOOKUP($C773,OFFSET(quests!$A$1,0,0,COUNTA(quests!$A:$A),MATCH(E$2,quests!$1:$1,0)-MATCH($C$2,quests!$1:$1,0)+1),MATCH(E$2,quests!$1:$1,0)-MATCH($C$2,quests!$1:$1,0)+1,FALSE)</f>
        <v>降臨29</v>
      </c>
      <c r="F773" s="7">
        <v>1</v>
      </c>
      <c r="G773" s="7" t="s">
        <v>382</v>
      </c>
      <c r="H773" s="12" t="s">
        <v>1612</v>
      </c>
      <c r="I773" s="12" t="s">
        <v>1070</v>
      </c>
      <c r="J773" s="65">
        <v>781</v>
      </c>
      <c r="K773" s="167">
        <v>35</v>
      </c>
      <c r="L773" s="167">
        <v>4200</v>
      </c>
      <c r="M773" s="167">
        <v>1</v>
      </c>
      <c r="N773" s="167">
        <v>1</v>
      </c>
      <c r="O773" s="167">
        <v>1</v>
      </c>
      <c r="P773" s="167">
        <v>1</v>
      </c>
      <c r="Q773" s="167">
        <v>1</v>
      </c>
      <c r="R773" s="167">
        <v>3</v>
      </c>
      <c r="S773" s="167" t="s">
        <v>278</v>
      </c>
      <c r="T773" s="167">
        <v>1</v>
      </c>
      <c r="U773" s="7" t="s">
        <v>169</v>
      </c>
      <c r="V773" s="7" t="s">
        <v>169</v>
      </c>
      <c r="W773" s="47" t="str">
        <f t="shared" ca="1" si="41"/>
        <v/>
      </c>
      <c r="X773" s="47">
        <f ca="1">VLOOKUP($C773,OFFSET(quests!$A$1,0,0,COUNTA(quests!$A:$A),MATCH(X$2,quests!$1:$1,0)-MATCH($C$2,quests!$1:$1,0)+1),MATCH(X$2,quests!$1:$1,0)-MATCH($C$2,quests!$1:$1,0)+1,FALSE)</f>
        <v>0</v>
      </c>
      <c r="Y773" s="47">
        <f ca="1">VLOOKUP($C773,OFFSET(quests!$A$1,0,0,COUNTA(quests!$A:$A),MATCH(Y$2,quests!$1:$1,0)-MATCH($C$2,quests!$1:$1,0)+1),MATCH(Y$2,quests!$1:$1,0)-MATCH($C$2,quests!$1:$1,0)+1,FALSE)</f>
        <v>0</v>
      </c>
      <c r="Z773" s="47">
        <f ca="1">VLOOKUP($C773,OFFSET(quests!$A$1,0,0,COUNTA(quests!$A:$A),MATCH(Z$2,quests!$1:$1,0)-MATCH($C$2,quests!$1:$1,0)+1),MATCH(Z$2,quests!$1:$1,0)-MATCH($C$2,quests!$1:$1,0)+1,FALSE)</f>
        <v>0</v>
      </c>
      <c r="AA773" s="47">
        <f ca="1">VLOOKUP($C773,OFFSET(quests!$A$1,0,0,COUNTA(quests!$A:$A),MATCH(AA$2,quests!$1:$1,0)-MATCH($C$2,quests!$1:$1,0)+1),MATCH(AA$2,quests!$1:$1,0)-MATCH($C$2,quests!$1:$1,0)+1,FALSE)</f>
        <v>0</v>
      </c>
      <c r="AB773" s="7" t="s">
        <v>56</v>
      </c>
      <c r="AC773" s="33">
        <v>12</v>
      </c>
      <c r="AD773" s="7">
        <v>6</v>
      </c>
      <c r="AE773" s="7" t="s">
        <v>519</v>
      </c>
      <c r="AF773" s="33">
        <v>40</v>
      </c>
      <c r="AG773" s="33">
        <v>40</v>
      </c>
      <c r="AH773" s="33">
        <v>0</v>
      </c>
      <c r="AI773" s="7">
        <v>-1</v>
      </c>
      <c r="AJ773" s="7">
        <v>-1</v>
      </c>
      <c r="AK773" s="7" t="s">
        <v>1065</v>
      </c>
      <c r="AL773" s="12" t="s">
        <v>1695</v>
      </c>
      <c r="AM773" s="12" t="s">
        <v>2072</v>
      </c>
    </row>
    <row r="774" spans="1:39" ht="21" customHeight="1" x14ac:dyDescent="0.15">
      <c r="A774" s="42" t="str">
        <f t="shared" si="40"/>
        <v>40029_2</v>
      </c>
      <c r="B774" s="23">
        <v>3</v>
      </c>
      <c r="C774" s="31">
        <v>40029</v>
      </c>
      <c r="D774" s="47" t="str">
        <f ca="1">VLOOKUP($C774,OFFSET(quests!$A$1,0,0,COUNTA(quests!$A:$A),MATCH(D$1,quests!$1:$1,0)-MATCH($C$2,quests!$1:$1,0)+1),MATCH(D$1,quests!$1:$1,0)-MATCH($C$2,quests!$1:$1,0)+1,FALSE)</f>
        <v>カスケード襲来！</v>
      </c>
      <c r="E774" s="48" t="str">
        <f ca="1">VLOOKUP($C774,OFFSET(quests!$A$1,0,0,COUNTA(quests!$A:$A),MATCH(E$2,quests!$1:$1,0)-MATCH($C$2,quests!$1:$1,0)+1),MATCH(E$2,quests!$1:$1,0)-MATCH($C$2,quests!$1:$1,0)+1,FALSE)</f>
        <v>降臨29</v>
      </c>
      <c r="F774" s="7">
        <v>2</v>
      </c>
      <c r="G774" s="7" t="s">
        <v>382</v>
      </c>
      <c r="H774" s="12" t="s">
        <v>1613</v>
      </c>
      <c r="I774" s="12" t="s">
        <v>61</v>
      </c>
      <c r="J774" s="65">
        <v>781</v>
      </c>
      <c r="K774" s="167">
        <v>40</v>
      </c>
      <c r="L774" s="167">
        <v>4500</v>
      </c>
      <c r="M774" s="167">
        <v>1</v>
      </c>
      <c r="N774" s="167">
        <v>1</v>
      </c>
      <c r="O774" s="167">
        <v>1</v>
      </c>
      <c r="P774" s="167">
        <v>1</v>
      </c>
      <c r="Q774" s="167">
        <v>1</v>
      </c>
      <c r="R774" s="167">
        <v>3</v>
      </c>
      <c r="S774" s="167" t="s">
        <v>278</v>
      </c>
      <c r="T774" s="167">
        <v>1</v>
      </c>
      <c r="U774" s="7" t="s">
        <v>169</v>
      </c>
      <c r="V774" s="7" t="s">
        <v>169</v>
      </c>
      <c r="W774" s="47" t="str">
        <f t="shared" ca="1" si="41"/>
        <v/>
      </c>
      <c r="X774" s="47">
        <f ca="1">VLOOKUP($C774,OFFSET(quests!$A$1,0,0,COUNTA(quests!$A:$A),MATCH(X$2,quests!$1:$1,0)-MATCH($C$2,quests!$1:$1,0)+1),MATCH(X$2,quests!$1:$1,0)-MATCH($C$2,quests!$1:$1,0)+1,FALSE)</f>
        <v>0</v>
      </c>
      <c r="Y774" s="47">
        <f ca="1">VLOOKUP($C774,OFFSET(quests!$A$1,0,0,COUNTA(quests!$A:$A),MATCH(Y$2,quests!$1:$1,0)-MATCH($C$2,quests!$1:$1,0)+1),MATCH(Y$2,quests!$1:$1,0)-MATCH($C$2,quests!$1:$1,0)+1,FALSE)</f>
        <v>0</v>
      </c>
      <c r="Z774" s="47">
        <f ca="1">VLOOKUP($C774,OFFSET(quests!$A$1,0,0,COUNTA(quests!$A:$A),MATCH(Z$2,quests!$1:$1,0)-MATCH($C$2,quests!$1:$1,0)+1),MATCH(Z$2,quests!$1:$1,0)-MATCH($C$2,quests!$1:$1,0)+1,FALSE)</f>
        <v>0</v>
      </c>
      <c r="AA774" s="47">
        <f ca="1">VLOOKUP($C774,OFFSET(quests!$A$1,0,0,COUNTA(quests!$A:$A),MATCH(AA$2,quests!$1:$1,0)-MATCH($C$2,quests!$1:$1,0)+1),MATCH(AA$2,quests!$1:$1,0)-MATCH($C$2,quests!$1:$1,0)+1,FALSE)</f>
        <v>0</v>
      </c>
      <c r="AB774" s="7" t="s">
        <v>56</v>
      </c>
      <c r="AC774" s="33">
        <v>12</v>
      </c>
      <c r="AD774" s="7">
        <v>6</v>
      </c>
      <c r="AE774" s="7" t="s">
        <v>519</v>
      </c>
      <c r="AF774" s="33">
        <v>40</v>
      </c>
      <c r="AG774" s="33">
        <v>40</v>
      </c>
      <c r="AH774" s="33">
        <v>0</v>
      </c>
      <c r="AI774" s="7">
        <v>-1</v>
      </c>
      <c r="AJ774" s="7">
        <v>-1</v>
      </c>
      <c r="AK774" s="7" t="s">
        <v>1065</v>
      </c>
      <c r="AL774" s="12" t="s">
        <v>1695</v>
      </c>
      <c r="AM774" s="12" t="s">
        <v>2072</v>
      </c>
    </row>
    <row r="775" spans="1:39" ht="21" customHeight="1" x14ac:dyDescent="0.15">
      <c r="A775" s="42" t="str">
        <f t="shared" si="40"/>
        <v>40030_1</v>
      </c>
      <c r="B775" s="23">
        <v>3</v>
      </c>
      <c r="C775" s="31">
        <v>40030</v>
      </c>
      <c r="D775" s="47" t="str">
        <f ca="1">VLOOKUP($C775,OFFSET(quests!$A$1,0,0,COUNTA(quests!$A:$A),MATCH(D$1,quests!$1:$1,0)-MATCH($C$2,quests!$1:$1,0)+1),MATCH(D$1,quests!$1:$1,0)-MATCH($C$2,quests!$1:$1,0)+1,FALSE)</f>
        <v>エリス襲来！</v>
      </c>
      <c r="E775" s="48" t="str">
        <f ca="1">VLOOKUP($C775,OFFSET(quests!$A$1,0,0,COUNTA(quests!$A:$A),MATCH(E$2,quests!$1:$1,0)-MATCH($C$2,quests!$1:$1,0)+1),MATCH(E$2,quests!$1:$1,0)-MATCH($C$2,quests!$1:$1,0)+1,FALSE)</f>
        <v>降臨30</v>
      </c>
      <c r="F775" s="7">
        <v>1</v>
      </c>
      <c r="G775" s="7" t="s">
        <v>382</v>
      </c>
      <c r="H775" s="12" t="s">
        <v>1620</v>
      </c>
      <c r="I775" s="12" t="s">
        <v>1070</v>
      </c>
      <c r="J775" s="65">
        <v>888</v>
      </c>
      <c r="K775" s="167">
        <v>35</v>
      </c>
      <c r="L775" s="167">
        <v>4200</v>
      </c>
      <c r="M775" s="167">
        <v>1</v>
      </c>
      <c r="N775" s="167">
        <v>1</v>
      </c>
      <c r="O775" s="167">
        <v>1</v>
      </c>
      <c r="P775" s="167">
        <v>1</v>
      </c>
      <c r="Q775" s="167">
        <v>1</v>
      </c>
      <c r="R775" s="167">
        <v>3</v>
      </c>
      <c r="S775" s="167" t="s">
        <v>278</v>
      </c>
      <c r="T775" s="167">
        <v>1</v>
      </c>
      <c r="U775" s="7" t="s">
        <v>169</v>
      </c>
      <c r="V775" s="7" t="s">
        <v>169</v>
      </c>
      <c r="W775" s="47" t="str">
        <f t="shared" ca="1" si="41"/>
        <v/>
      </c>
      <c r="X775" s="47">
        <f ca="1">VLOOKUP($C775,OFFSET(quests!$A$1,0,0,COUNTA(quests!$A:$A),MATCH(X$2,quests!$1:$1,0)-MATCH($C$2,quests!$1:$1,0)+1),MATCH(X$2,quests!$1:$1,0)-MATCH($C$2,quests!$1:$1,0)+1,FALSE)</f>
        <v>0</v>
      </c>
      <c r="Y775" s="47">
        <f ca="1">VLOOKUP($C775,OFFSET(quests!$A$1,0,0,COUNTA(quests!$A:$A),MATCH(Y$2,quests!$1:$1,0)-MATCH($C$2,quests!$1:$1,0)+1),MATCH(Y$2,quests!$1:$1,0)-MATCH($C$2,quests!$1:$1,0)+1,FALSE)</f>
        <v>0</v>
      </c>
      <c r="Z775" s="47">
        <f ca="1">VLOOKUP($C775,OFFSET(quests!$A$1,0,0,COUNTA(quests!$A:$A),MATCH(Z$2,quests!$1:$1,0)-MATCH($C$2,quests!$1:$1,0)+1),MATCH(Z$2,quests!$1:$1,0)-MATCH($C$2,quests!$1:$1,0)+1,FALSE)</f>
        <v>0</v>
      </c>
      <c r="AA775" s="47">
        <f ca="1">VLOOKUP($C775,OFFSET(quests!$A$1,0,0,COUNTA(quests!$A:$A),MATCH(AA$2,quests!$1:$1,0)-MATCH($C$2,quests!$1:$1,0)+1),MATCH(AA$2,quests!$1:$1,0)-MATCH($C$2,quests!$1:$1,0)+1,FALSE)</f>
        <v>0</v>
      </c>
      <c r="AB775" s="7" t="s">
        <v>56</v>
      </c>
      <c r="AC775" s="33">
        <v>17</v>
      </c>
      <c r="AD775" s="7">
        <v>6</v>
      </c>
      <c r="AE775" s="7" t="s">
        <v>519</v>
      </c>
      <c r="AF775" s="33">
        <v>40</v>
      </c>
      <c r="AG775" s="33">
        <v>40</v>
      </c>
      <c r="AH775" s="33">
        <v>0</v>
      </c>
      <c r="AI775" s="7">
        <v>-1</v>
      </c>
      <c r="AJ775" s="7">
        <v>-1</v>
      </c>
      <c r="AK775" s="7" t="s">
        <v>1065</v>
      </c>
      <c r="AL775" s="12" t="s">
        <v>1695</v>
      </c>
      <c r="AM775" s="12" t="s">
        <v>2072</v>
      </c>
    </row>
    <row r="776" spans="1:39" ht="21" customHeight="1" x14ac:dyDescent="0.15">
      <c r="A776" s="42" t="str">
        <f t="shared" si="40"/>
        <v>40030_2</v>
      </c>
      <c r="B776" s="23">
        <v>3</v>
      </c>
      <c r="C776" s="31">
        <v>40030</v>
      </c>
      <c r="D776" s="47" t="str">
        <f ca="1">VLOOKUP($C776,OFFSET(quests!$A$1,0,0,COUNTA(quests!$A:$A),MATCH(D$1,quests!$1:$1,0)-MATCH($C$2,quests!$1:$1,0)+1),MATCH(D$1,quests!$1:$1,0)-MATCH($C$2,quests!$1:$1,0)+1,FALSE)</f>
        <v>エリス襲来！</v>
      </c>
      <c r="E776" s="48" t="str">
        <f ca="1">VLOOKUP($C776,OFFSET(quests!$A$1,0,0,COUNTA(quests!$A:$A),MATCH(E$2,quests!$1:$1,0)-MATCH($C$2,quests!$1:$1,0)+1),MATCH(E$2,quests!$1:$1,0)-MATCH($C$2,quests!$1:$1,0)+1,FALSE)</f>
        <v>降臨30</v>
      </c>
      <c r="F776" s="7">
        <v>2</v>
      </c>
      <c r="G776" s="7" t="s">
        <v>382</v>
      </c>
      <c r="H776" s="12" t="s">
        <v>1621</v>
      </c>
      <c r="I776" s="12" t="s">
        <v>61</v>
      </c>
      <c r="J776" s="65">
        <v>888</v>
      </c>
      <c r="K776" s="167">
        <v>40</v>
      </c>
      <c r="L776" s="167">
        <v>4500</v>
      </c>
      <c r="M776" s="167">
        <v>1</v>
      </c>
      <c r="N776" s="167">
        <v>1</v>
      </c>
      <c r="O776" s="167">
        <v>1</v>
      </c>
      <c r="P776" s="167">
        <v>1</v>
      </c>
      <c r="Q776" s="167">
        <v>1</v>
      </c>
      <c r="R776" s="167">
        <v>3</v>
      </c>
      <c r="S776" s="167" t="s">
        <v>278</v>
      </c>
      <c r="T776" s="167">
        <v>1</v>
      </c>
      <c r="U776" s="7" t="s">
        <v>169</v>
      </c>
      <c r="V776" s="7" t="s">
        <v>169</v>
      </c>
      <c r="W776" s="47" t="str">
        <f t="shared" ca="1" si="41"/>
        <v/>
      </c>
      <c r="X776" s="47">
        <f ca="1">VLOOKUP($C776,OFFSET(quests!$A$1,0,0,COUNTA(quests!$A:$A),MATCH(X$2,quests!$1:$1,0)-MATCH($C$2,quests!$1:$1,0)+1),MATCH(X$2,quests!$1:$1,0)-MATCH($C$2,quests!$1:$1,0)+1,FALSE)</f>
        <v>0</v>
      </c>
      <c r="Y776" s="47">
        <f ca="1">VLOOKUP($C776,OFFSET(quests!$A$1,0,0,COUNTA(quests!$A:$A),MATCH(Y$2,quests!$1:$1,0)-MATCH($C$2,quests!$1:$1,0)+1),MATCH(Y$2,quests!$1:$1,0)-MATCH($C$2,quests!$1:$1,0)+1,FALSE)</f>
        <v>0</v>
      </c>
      <c r="Z776" s="47">
        <f ca="1">VLOOKUP($C776,OFFSET(quests!$A$1,0,0,COUNTA(quests!$A:$A),MATCH(Z$2,quests!$1:$1,0)-MATCH($C$2,quests!$1:$1,0)+1),MATCH(Z$2,quests!$1:$1,0)-MATCH($C$2,quests!$1:$1,0)+1,FALSE)</f>
        <v>0</v>
      </c>
      <c r="AA776" s="47">
        <f ca="1">VLOOKUP($C776,OFFSET(quests!$A$1,0,0,COUNTA(quests!$A:$A),MATCH(AA$2,quests!$1:$1,0)-MATCH($C$2,quests!$1:$1,0)+1),MATCH(AA$2,quests!$1:$1,0)-MATCH($C$2,quests!$1:$1,0)+1,FALSE)</f>
        <v>0</v>
      </c>
      <c r="AB776" s="7" t="s">
        <v>56</v>
      </c>
      <c r="AC776" s="33">
        <v>17</v>
      </c>
      <c r="AD776" s="7">
        <v>6</v>
      </c>
      <c r="AE776" s="7" t="s">
        <v>519</v>
      </c>
      <c r="AF776" s="33">
        <v>40</v>
      </c>
      <c r="AG776" s="33">
        <v>40</v>
      </c>
      <c r="AH776" s="33">
        <v>0</v>
      </c>
      <c r="AI776" s="7">
        <v>-1</v>
      </c>
      <c r="AJ776" s="7">
        <v>-1</v>
      </c>
      <c r="AK776" s="7" t="s">
        <v>1065</v>
      </c>
      <c r="AL776" s="12" t="s">
        <v>1695</v>
      </c>
      <c r="AM776" s="12" t="s">
        <v>2072</v>
      </c>
    </row>
    <row r="777" spans="1:39" ht="21" customHeight="1" x14ac:dyDescent="0.15">
      <c r="A777" s="42" t="str">
        <f t="shared" si="40"/>
        <v>40031_1</v>
      </c>
      <c r="B777" s="39">
        <v>3</v>
      </c>
      <c r="C777" s="31">
        <v>40031</v>
      </c>
      <c r="D777" s="47" t="str">
        <f ca="1">VLOOKUP($C777,OFFSET(quests!$A$1,0,0,COUNTA(quests!$A:$A),MATCH(D$1,quests!$1:$1,0)-MATCH($C$2,quests!$1:$1,0)+1),MATCH(D$1,quests!$1:$1,0)-MATCH($C$2,quests!$1:$1,0)+1,FALSE)</f>
        <v>董卓襲来！</v>
      </c>
      <c r="E777" s="48" t="str">
        <f ca="1">VLOOKUP($C777,OFFSET(quests!$A$1,0,0,COUNTA(quests!$A:$A),MATCH(E$2,quests!$1:$1,0)-MATCH($C$2,quests!$1:$1,0)+1),MATCH(E$2,quests!$1:$1,0)-MATCH($C$2,quests!$1:$1,0)+1,FALSE)</f>
        <v>降臨31</v>
      </c>
      <c r="F777" s="7">
        <v>1</v>
      </c>
      <c r="G777" s="7" t="s">
        <v>382</v>
      </c>
      <c r="H777" s="12" t="s">
        <v>1653</v>
      </c>
      <c r="I777" s="12" t="s">
        <v>1070</v>
      </c>
      <c r="J777" s="251">
        <v>1131</v>
      </c>
      <c r="K777" s="167">
        <v>35</v>
      </c>
      <c r="L777" s="167">
        <v>4200</v>
      </c>
      <c r="M777" s="167">
        <v>1</v>
      </c>
      <c r="N777" s="167">
        <v>1</v>
      </c>
      <c r="O777" s="167">
        <v>1</v>
      </c>
      <c r="P777" s="167">
        <v>1</v>
      </c>
      <c r="Q777" s="167">
        <v>1</v>
      </c>
      <c r="R777" s="167">
        <v>3</v>
      </c>
      <c r="S777" s="167" t="s">
        <v>278</v>
      </c>
      <c r="T777" s="167">
        <v>1</v>
      </c>
      <c r="U777" s="7" t="s">
        <v>169</v>
      </c>
      <c r="V777" s="7" t="s">
        <v>169</v>
      </c>
      <c r="W777" s="47" t="str">
        <f t="shared" ca="1" si="41"/>
        <v/>
      </c>
      <c r="X777" s="47">
        <f ca="1">VLOOKUP($C777,OFFSET(quests!$A$1,0,0,COUNTA(quests!$A:$A),MATCH(X$2,quests!$1:$1,0)-MATCH($C$2,quests!$1:$1,0)+1),MATCH(X$2,quests!$1:$1,0)-MATCH($C$2,quests!$1:$1,0)+1,FALSE)</f>
        <v>0</v>
      </c>
      <c r="Y777" s="47">
        <f ca="1">VLOOKUP($C777,OFFSET(quests!$A$1,0,0,COUNTA(quests!$A:$A),MATCH(Y$2,quests!$1:$1,0)-MATCH($C$2,quests!$1:$1,0)+1),MATCH(Y$2,quests!$1:$1,0)-MATCH($C$2,quests!$1:$1,0)+1,FALSE)</f>
        <v>0</v>
      </c>
      <c r="Z777" s="47">
        <f ca="1">VLOOKUP($C777,OFFSET(quests!$A$1,0,0,COUNTA(quests!$A:$A),MATCH(Z$2,quests!$1:$1,0)-MATCH($C$2,quests!$1:$1,0)+1),MATCH(Z$2,quests!$1:$1,0)-MATCH($C$2,quests!$1:$1,0)+1,FALSE)</f>
        <v>0</v>
      </c>
      <c r="AA777" s="47">
        <f ca="1">VLOOKUP($C777,OFFSET(quests!$A$1,0,0,COUNTA(quests!$A:$A),MATCH(AA$2,quests!$1:$1,0)-MATCH($C$2,quests!$1:$1,0)+1),MATCH(AA$2,quests!$1:$1,0)-MATCH($C$2,quests!$1:$1,0)+1,FALSE)</f>
        <v>0</v>
      </c>
      <c r="AB777" s="7" t="s">
        <v>56</v>
      </c>
      <c r="AC777" s="33">
        <v>949</v>
      </c>
      <c r="AD777" s="7">
        <v>6</v>
      </c>
      <c r="AE777" s="7" t="s">
        <v>519</v>
      </c>
      <c r="AF777" s="33">
        <v>40</v>
      </c>
      <c r="AG777" s="33">
        <v>40</v>
      </c>
      <c r="AH777" s="33">
        <v>0</v>
      </c>
      <c r="AI777" s="7">
        <v>-1</v>
      </c>
      <c r="AJ777" s="7">
        <v>-1</v>
      </c>
      <c r="AK777" s="7" t="s">
        <v>1065</v>
      </c>
      <c r="AL777" s="12" t="s">
        <v>1695</v>
      </c>
      <c r="AM777" s="12" t="s">
        <v>2072</v>
      </c>
    </row>
    <row r="778" spans="1:39" ht="21" customHeight="1" x14ac:dyDescent="0.15">
      <c r="A778" s="42" t="str">
        <f t="shared" si="40"/>
        <v>40031_2</v>
      </c>
      <c r="B778" s="39">
        <v>3</v>
      </c>
      <c r="C778" s="31">
        <v>40031</v>
      </c>
      <c r="D778" s="47" t="str">
        <f ca="1">VLOOKUP($C778,OFFSET(quests!$A$1,0,0,COUNTA(quests!$A:$A),MATCH(D$1,quests!$1:$1,0)-MATCH($C$2,quests!$1:$1,0)+1),MATCH(D$1,quests!$1:$1,0)-MATCH($C$2,quests!$1:$1,0)+1,FALSE)</f>
        <v>董卓襲来！</v>
      </c>
      <c r="E778" s="48" t="str">
        <f ca="1">VLOOKUP($C778,OFFSET(quests!$A$1,0,0,COUNTA(quests!$A:$A),MATCH(E$2,quests!$1:$1,0)-MATCH($C$2,quests!$1:$1,0)+1),MATCH(E$2,quests!$1:$1,0)-MATCH($C$2,quests!$1:$1,0)+1,FALSE)</f>
        <v>降臨31</v>
      </c>
      <c r="F778" s="7">
        <v>2</v>
      </c>
      <c r="G778" s="7" t="s">
        <v>382</v>
      </c>
      <c r="H778" s="12" t="s">
        <v>1654</v>
      </c>
      <c r="I778" s="12" t="s">
        <v>61</v>
      </c>
      <c r="J778" s="251">
        <v>1132</v>
      </c>
      <c r="K778" s="167">
        <v>40</v>
      </c>
      <c r="L778" s="167">
        <v>4500</v>
      </c>
      <c r="M778" s="167">
        <v>1</v>
      </c>
      <c r="N778" s="167">
        <v>1</v>
      </c>
      <c r="O778" s="167">
        <v>1</v>
      </c>
      <c r="P778" s="167">
        <v>1</v>
      </c>
      <c r="Q778" s="167">
        <v>1</v>
      </c>
      <c r="R778" s="167">
        <v>3</v>
      </c>
      <c r="S778" s="167" t="s">
        <v>278</v>
      </c>
      <c r="T778" s="167">
        <v>1</v>
      </c>
      <c r="U778" s="7" t="s">
        <v>169</v>
      </c>
      <c r="V778" s="7" t="s">
        <v>169</v>
      </c>
      <c r="W778" s="47" t="str">
        <f t="shared" ca="1" si="41"/>
        <v/>
      </c>
      <c r="X778" s="47">
        <f ca="1">VLOOKUP($C778,OFFSET(quests!$A$1,0,0,COUNTA(quests!$A:$A),MATCH(X$2,quests!$1:$1,0)-MATCH($C$2,quests!$1:$1,0)+1),MATCH(X$2,quests!$1:$1,0)-MATCH($C$2,quests!$1:$1,0)+1,FALSE)</f>
        <v>0</v>
      </c>
      <c r="Y778" s="47">
        <f ca="1">VLOOKUP($C778,OFFSET(quests!$A$1,0,0,COUNTA(quests!$A:$A),MATCH(Y$2,quests!$1:$1,0)-MATCH($C$2,quests!$1:$1,0)+1),MATCH(Y$2,quests!$1:$1,0)-MATCH($C$2,quests!$1:$1,0)+1,FALSE)</f>
        <v>0</v>
      </c>
      <c r="Z778" s="47">
        <f ca="1">VLOOKUP($C778,OFFSET(quests!$A$1,0,0,COUNTA(quests!$A:$A),MATCH(Z$2,quests!$1:$1,0)-MATCH($C$2,quests!$1:$1,0)+1),MATCH(Z$2,quests!$1:$1,0)-MATCH($C$2,quests!$1:$1,0)+1,FALSE)</f>
        <v>0</v>
      </c>
      <c r="AA778" s="47">
        <f ca="1">VLOOKUP($C778,OFFSET(quests!$A$1,0,0,COUNTA(quests!$A:$A),MATCH(AA$2,quests!$1:$1,0)-MATCH($C$2,quests!$1:$1,0)+1),MATCH(AA$2,quests!$1:$1,0)-MATCH($C$2,quests!$1:$1,0)+1,FALSE)</f>
        <v>0</v>
      </c>
      <c r="AB778" s="7" t="s">
        <v>56</v>
      </c>
      <c r="AC778" s="33">
        <v>949</v>
      </c>
      <c r="AD778" s="7">
        <v>6</v>
      </c>
      <c r="AE778" s="7" t="s">
        <v>519</v>
      </c>
      <c r="AF778" s="33">
        <v>40</v>
      </c>
      <c r="AG778" s="33">
        <v>40</v>
      </c>
      <c r="AH778" s="33">
        <v>0</v>
      </c>
      <c r="AI778" s="7">
        <v>-1</v>
      </c>
      <c r="AJ778" s="7">
        <v>-1</v>
      </c>
      <c r="AK778" s="7" t="s">
        <v>1065</v>
      </c>
      <c r="AL778" s="12" t="s">
        <v>1695</v>
      </c>
      <c r="AM778" s="12" t="s">
        <v>2072</v>
      </c>
    </row>
    <row r="779" spans="1:39" ht="21" customHeight="1" x14ac:dyDescent="0.15">
      <c r="A779" s="42" t="str">
        <f t="shared" si="40"/>
        <v>40032_1</v>
      </c>
      <c r="B779" s="23">
        <v>3</v>
      </c>
      <c r="C779" s="31">
        <v>40032</v>
      </c>
      <c r="D779" s="47" t="str">
        <f ca="1">VLOOKUP($C779,OFFSET(quests!$A$1,0,0,COUNTA(quests!$A:$A),MATCH(D$1,quests!$1:$1,0)-MATCH($C$2,quests!$1:$1,0)+1),MATCH(D$1,quests!$1:$1,0)-MATCH($C$2,quests!$1:$1,0)+1,FALSE)</f>
        <v>貂蝉襲来！</v>
      </c>
      <c r="E779" s="48" t="str">
        <f ca="1">VLOOKUP($C779,OFFSET(quests!$A$1,0,0,COUNTA(quests!$A:$A),MATCH(E$2,quests!$1:$1,0)-MATCH($C$2,quests!$1:$1,0)+1),MATCH(E$2,quests!$1:$1,0)-MATCH($C$2,quests!$1:$1,0)+1,FALSE)</f>
        <v>降臨32</v>
      </c>
      <c r="F779" s="7">
        <v>1</v>
      </c>
      <c r="G779" s="7" t="s">
        <v>382</v>
      </c>
      <c r="H779" s="12" t="s">
        <v>1648</v>
      </c>
      <c r="I779" s="12" t="s">
        <v>1070</v>
      </c>
      <c r="J779" s="65">
        <v>1133</v>
      </c>
      <c r="K779" s="167">
        <v>35</v>
      </c>
      <c r="L779" s="167">
        <v>4200</v>
      </c>
      <c r="M779" s="167">
        <v>1</v>
      </c>
      <c r="N779" s="167">
        <v>1</v>
      </c>
      <c r="O779" s="167">
        <v>1</v>
      </c>
      <c r="P779" s="167">
        <v>1</v>
      </c>
      <c r="Q779" s="167">
        <v>1</v>
      </c>
      <c r="R779" s="167">
        <v>3</v>
      </c>
      <c r="S779" s="167" t="s">
        <v>278</v>
      </c>
      <c r="T779" s="167">
        <v>1</v>
      </c>
      <c r="U779" s="7" t="s">
        <v>169</v>
      </c>
      <c r="V779" s="7" t="s">
        <v>169</v>
      </c>
      <c r="W779" s="47" t="str">
        <f t="shared" ca="1" si="41"/>
        <v/>
      </c>
      <c r="X779" s="47">
        <f ca="1">VLOOKUP($C779,OFFSET(quests!$A$1,0,0,COUNTA(quests!$A:$A),MATCH(X$2,quests!$1:$1,0)-MATCH($C$2,quests!$1:$1,0)+1),MATCH(X$2,quests!$1:$1,0)-MATCH($C$2,quests!$1:$1,0)+1,FALSE)</f>
        <v>0</v>
      </c>
      <c r="Y779" s="47">
        <f ca="1">VLOOKUP($C779,OFFSET(quests!$A$1,0,0,COUNTA(quests!$A:$A),MATCH(Y$2,quests!$1:$1,0)-MATCH($C$2,quests!$1:$1,0)+1),MATCH(Y$2,quests!$1:$1,0)-MATCH($C$2,quests!$1:$1,0)+1,FALSE)</f>
        <v>0</v>
      </c>
      <c r="Z779" s="47">
        <f ca="1">VLOOKUP($C779,OFFSET(quests!$A$1,0,0,COUNTA(quests!$A:$A),MATCH(Z$2,quests!$1:$1,0)-MATCH($C$2,quests!$1:$1,0)+1),MATCH(Z$2,quests!$1:$1,0)-MATCH($C$2,quests!$1:$1,0)+1,FALSE)</f>
        <v>0</v>
      </c>
      <c r="AA779" s="47">
        <f ca="1">VLOOKUP($C779,OFFSET(quests!$A$1,0,0,COUNTA(quests!$A:$A),MATCH(AA$2,quests!$1:$1,0)-MATCH($C$2,quests!$1:$1,0)+1),MATCH(AA$2,quests!$1:$1,0)-MATCH($C$2,quests!$1:$1,0)+1,FALSE)</f>
        <v>0</v>
      </c>
      <c r="AB779" s="7" t="s">
        <v>56</v>
      </c>
      <c r="AC779" s="167">
        <v>949</v>
      </c>
      <c r="AD779" s="7">
        <v>6</v>
      </c>
      <c r="AE779" s="7" t="s">
        <v>519</v>
      </c>
      <c r="AF779" s="167">
        <v>40</v>
      </c>
      <c r="AG779" s="167">
        <v>40</v>
      </c>
      <c r="AH779" s="167">
        <v>0</v>
      </c>
      <c r="AI779" s="7">
        <v>-1</v>
      </c>
      <c r="AJ779" s="7">
        <v>-1</v>
      </c>
      <c r="AK779" s="7" t="s">
        <v>1065</v>
      </c>
      <c r="AL779" s="12" t="s">
        <v>1695</v>
      </c>
      <c r="AM779" s="12" t="s">
        <v>2072</v>
      </c>
    </row>
    <row r="780" spans="1:39" ht="21" customHeight="1" x14ac:dyDescent="0.15">
      <c r="A780" s="42" t="str">
        <f t="shared" si="40"/>
        <v>40032_2</v>
      </c>
      <c r="B780" s="23">
        <v>3</v>
      </c>
      <c r="C780" s="31">
        <v>40032</v>
      </c>
      <c r="D780" s="47" t="str">
        <f ca="1">VLOOKUP($C780,OFFSET(quests!$A$1,0,0,COUNTA(quests!$A:$A),MATCH(D$1,quests!$1:$1,0)-MATCH($C$2,quests!$1:$1,0)+1),MATCH(D$1,quests!$1:$1,0)-MATCH($C$2,quests!$1:$1,0)+1,FALSE)</f>
        <v>貂蝉襲来！</v>
      </c>
      <c r="E780" s="48" t="str">
        <f ca="1">VLOOKUP($C780,OFFSET(quests!$A$1,0,0,COUNTA(quests!$A:$A),MATCH(E$2,quests!$1:$1,0)-MATCH($C$2,quests!$1:$1,0)+1),MATCH(E$2,quests!$1:$1,0)-MATCH($C$2,quests!$1:$1,0)+1,FALSE)</f>
        <v>降臨32</v>
      </c>
      <c r="F780" s="7">
        <v>2</v>
      </c>
      <c r="G780" s="7" t="s">
        <v>382</v>
      </c>
      <c r="H780" s="12" t="s">
        <v>1649</v>
      </c>
      <c r="I780" s="12" t="s">
        <v>61</v>
      </c>
      <c r="J780" s="65">
        <v>1134</v>
      </c>
      <c r="K780" s="167">
        <v>40</v>
      </c>
      <c r="L780" s="167">
        <v>4500</v>
      </c>
      <c r="M780" s="167">
        <v>1</v>
      </c>
      <c r="N780" s="167">
        <v>1</v>
      </c>
      <c r="O780" s="167">
        <v>1</v>
      </c>
      <c r="P780" s="167">
        <v>1</v>
      </c>
      <c r="Q780" s="167">
        <v>1</v>
      </c>
      <c r="R780" s="167">
        <v>3</v>
      </c>
      <c r="S780" s="167" t="s">
        <v>278</v>
      </c>
      <c r="T780" s="167">
        <v>1</v>
      </c>
      <c r="U780" s="7" t="s">
        <v>169</v>
      </c>
      <c r="V780" s="7" t="s">
        <v>169</v>
      </c>
      <c r="W780" s="47" t="str">
        <f t="shared" ca="1" si="41"/>
        <v/>
      </c>
      <c r="X780" s="47">
        <f ca="1">VLOOKUP($C780,OFFSET(quests!$A$1,0,0,COUNTA(quests!$A:$A),MATCH(X$2,quests!$1:$1,0)-MATCH($C$2,quests!$1:$1,0)+1),MATCH(X$2,quests!$1:$1,0)-MATCH($C$2,quests!$1:$1,0)+1,FALSE)</f>
        <v>0</v>
      </c>
      <c r="Y780" s="47">
        <f ca="1">VLOOKUP($C780,OFFSET(quests!$A$1,0,0,COUNTA(quests!$A:$A),MATCH(Y$2,quests!$1:$1,0)-MATCH($C$2,quests!$1:$1,0)+1),MATCH(Y$2,quests!$1:$1,0)-MATCH($C$2,quests!$1:$1,0)+1,FALSE)</f>
        <v>0</v>
      </c>
      <c r="Z780" s="47">
        <f ca="1">VLOOKUP($C780,OFFSET(quests!$A$1,0,0,COUNTA(quests!$A:$A),MATCH(Z$2,quests!$1:$1,0)-MATCH($C$2,quests!$1:$1,0)+1),MATCH(Z$2,quests!$1:$1,0)-MATCH($C$2,quests!$1:$1,0)+1,FALSE)</f>
        <v>0</v>
      </c>
      <c r="AA780" s="47">
        <f ca="1">VLOOKUP($C780,OFFSET(quests!$A$1,0,0,COUNTA(quests!$A:$A),MATCH(AA$2,quests!$1:$1,0)-MATCH($C$2,quests!$1:$1,0)+1),MATCH(AA$2,quests!$1:$1,0)-MATCH($C$2,quests!$1:$1,0)+1,FALSE)</f>
        <v>0</v>
      </c>
      <c r="AB780" s="7" t="s">
        <v>56</v>
      </c>
      <c r="AC780" s="167">
        <v>949</v>
      </c>
      <c r="AD780" s="7">
        <v>6</v>
      </c>
      <c r="AE780" s="7" t="s">
        <v>519</v>
      </c>
      <c r="AF780" s="167">
        <v>40</v>
      </c>
      <c r="AG780" s="167">
        <v>40</v>
      </c>
      <c r="AH780" s="167">
        <v>0</v>
      </c>
      <c r="AI780" s="7">
        <v>-1</v>
      </c>
      <c r="AJ780" s="7">
        <v>-1</v>
      </c>
      <c r="AK780" s="7" t="s">
        <v>1065</v>
      </c>
      <c r="AL780" s="12" t="s">
        <v>1695</v>
      </c>
      <c r="AM780" s="12" t="s">
        <v>2072</v>
      </c>
    </row>
    <row r="781" spans="1:39" ht="21" customHeight="1" x14ac:dyDescent="0.15">
      <c r="A781" s="42" t="str">
        <f t="shared" si="40"/>
        <v>40033_1</v>
      </c>
      <c r="B781" s="23">
        <v>3</v>
      </c>
      <c r="C781" s="31">
        <v>40033</v>
      </c>
      <c r="D781" s="47" t="str">
        <f ca="1">VLOOKUP($C781,OFFSET(quests!$A$1,0,0,COUNTA(quests!$A:$A),MATCH(D$1,quests!$1:$1,0)-MATCH($C$2,quests!$1:$1,0)+1),MATCH(D$1,quests!$1:$1,0)-MATCH($C$2,quests!$1:$1,0)+1,FALSE)</f>
        <v>アテナ襲来！</v>
      </c>
      <c r="E781" s="48" t="str">
        <f ca="1">VLOOKUP($C781,OFFSET(quests!$A$1,0,0,COUNTA(quests!$A:$A),MATCH(E$2,quests!$1:$1,0)-MATCH($C$2,quests!$1:$1,0)+1),MATCH(E$2,quests!$1:$1,0)-MATCH($C$2,quests!$1:$1,0)+1,FALSE)</f>
        <v>降臨33</v>
      </c>
      <c r="F781" s="7">
        <v>1</v>
      </c>
      <c r="G781" s="7" t="s">
        <v>382</v>
      </c>
      <c r="H781" s="12" t="s">
        <v>1665</v>
      </c>
      <c r="I781" s="12" t="s">
        <v>1070</v>
      </c>
      <c r="J781" s="65">
        <v>893</v>
      </c>
      <c r="K781" s="167">
        <v>35</v>
      </c>
      <c r="L781" s="167">
        <v>4200</v>
      </c>
      <c r="M781" s="167">
        <v>1</v>
      </c>
      <c r="N781" s="167">
        <v>1</v>
      </c>
      <c r="O781" s="167">
        <v>1</v>
      </c>
      <c r="P781" s="167">
        <v>1</v>
      </c>
      <c r="Q781" s="167">
        <v>1</v>
      </c>
      <c r="R781" s="167">
        <v>3</v>
      </c>
      <c r="S781" s="167" t="s">
        <v>278</v>
      </c>
      <c r="T781" s="167">
        <v>1</v>
      </c>
      <c r="U781" s="7" t="s">
        <v>169</v>
      </c>
      <c r="V781" s="7" t="s">
        <v>169</v>
      </c>
      <c r="W781" s="47" t="str">
        <f t="shared" ca="1" si="41"/>
        <v/>
      </c>
      <c r="X781" s="47">
        <f ca="1">VLOOKUP($C781,OFFSET(quests!$A$1,0,0,COUNTA(quests!$A:$A),MATCH(X$2,quests!$1:$1,0)-MATCH($C$2,quests!$1:$1,0)+1),MATCH(X$2,quests!$1:$1,0)-MATCH($C$2,quests!$1:$1,0)+1,FALSE)</f>
        <v>0</v>
      </c>
      <c r="Y781" s="47">
        <f ca="1">VLOOKUP($C781,OFFSET(quests!$A$1,0,0,COUNTA(quests!$A:$A),MATCH(Y$2,quests!$1:$1,0)-MATCH($C$2,quests!$1:$1,0)+1),MATCH(Y$2,quests!$1:$1,0)-MATCH($C$2,quests!$1:$1,0)+1,FALSE)</f>
        <v>0</v>
      </c>
      <c r="Z781" s="47">
        <f ca="1">VLOOKUP($C781,OFFSET(quests!$A$1,0,0,COUNTA(quests!$A:$A),MATCH(Z$2,quests!$1:$1,0)-MATCH($C$2,quests!$1:$1,0)+1),MATCH(Z$2,quests!$1:$1,0)-MATCH($C$2,quests!$1:$1,0)+1,FALSE)</f>
        <v>0</v>
      </c>
      <c r="AA781" s="47">
        <f ca="1">VLOOKUP($C781,OFFSET(quests!$A$1,0,0,COUNTA(quests!$A:$A),MATCH(AA$2,quests!$1:$1,0)-MATCH($C$2,quests!$1:$1,0)+1),MATCH(AA$2,quests!$1:$1,0)-MATCH($C$2,quests!$1:$1,0)+1,FALSE)</f>
        <v>0</v>
      </c>
      <c r="AB781" s="7" t="s">
        <v>56</v>
      </c>
      <c r="AC781" s="241">
        <v>13</v>
      </c>
      <c r="AD781" s="7">
        <v>6</v>
      </c>
      <c r="AE781" s="7" t="s">
        <v>519</v>
      </c>
      <c r="AF781" s="33">
        <v>40</v>
      </c>
      <c r="AG781" s="33">
        <v>40</v>
      </c>
      <c r="AH781" s="33">
        <v>0</v>
      </c>
      <c r="AI781" s="7">
        <v>-1</v>
      </c>
      <c r="AJ781" s="7">
        <v>-1</v>
      </c>
      <c r="AK781" s="7" t="s">
        <v>1065</v>
      </c>
      <c r="AL781" s="12" t="s">
        <v>1695</v>
      </c>
      <c r="AM781" s="12" t="s">
        <v>2072</v>
      </c>
    </row>
    <row r="782" spans="1:39" ht="21" customHeight="1" x14ac:dyDescent="0.15">
      <c r="A782" s="42" t="str">
        <f t="shared" si="40"/>
        <v>40033_2</v>
      </c>
      <c r="B782" s="23">
        <v>3</v>
      </c>
      <c r="C782" s="31">
        <v>40033</v>
      </c>
      <c r="D782" s="47" t="str">
        <f ca="1">VLOOKUP($C782,OFFSET(quests!$A$1,0,0,COUNTA(quests!$A:$A),MATCH(D$1,quests!$1:$1,0)-MATCH($C$2,quests!$1:$1,0)+1),MATCH(D$1,quests!$1:$1,0)-MATCH($C$2,quests!$1:$1,0)+1,FALSE)</f>
        <v>アテナ襲来！</v>
      </c>
      <c r="E782" s="48" t="str">
        <f ca="1">VLOOKUP($C782,OFFSET(quests!$A$1,0,0,COUNTA(quests!$A:$A),MATCH(E$2,quests!$1:$1,0)-MATCH($C$2,quests!$1:$1,0)+1),MATCH(E$2,quests!$1:$1,0)-MATCH($C$2,quests!$1:$1,0)+1,FALSE)</f>
        <v>降臨33</v>
      </c>
      <c r="F782" s="7">
        <v>2</v>
      </c>
      <c r="G782" s="7" t="s">
        <v>382</v>
      </c>
      <c r="H782" s="12" t="s">
        <v>1666</v>
      </c>
      <c r="I782" s="12" t="s">
        <v>61</v>
      </c>
      <c r="J782" s="65">
        <v>894</v>
      </c>
      <c r="K782" s="167">
        <v>40</v>
      </c>
      <c r="L782" s="167">
        <v>4500</v>
      </c>
      <c r="M782" s="167">
        <v>1</v>
      </c>
      <c r="N782" s="167">
        <v>1</v>
      </c>
      <c r="O782" s="167">
        <v>1</v>
      </c>
      <c r="P782" s="167">
        <v>1</v>
      </c>
      <c r="Q782" s="167">
        <v>1</v>
      </c>
      <c r="R782" s="167">
        <v>3</v>
      </c>
      <c r="S782" s="167" t="s">
        <v>278</v>
      </c>
      <c r="T782" s="167">
        <v>1</v>
      </c>
      <c r="U782" s="7" t="s">
        <v>169</v>
      </c>
      <c r="V782" s="7" t="s">
        <v>169</v>
      </c>
      <c r="W782" s="47" t="str">
        <f t="shared" ca="1" si="41"/>
        <v/>
      </c>
      <c r="X782" s="47">
        <f ca="1">VLOOKUP($C782,OFFSET(quests!$A$1,0,0,COUNTA(quests!$A:$A),MATCH(X$2,quests!$1:$1,0)-MATCH($C$2,quests!$1:$1,0)+1),MATCH(X$2,quests!$1:$1,0)-MATCH($C$2,quests!$1:$1,0)+1,FALSE)</f>
        <v>0</v>
      </c>
      <c r="Y782" s="47">
        <f ca="1">VLOOKUP($C782,OFFSET(quests!$A$1,0,0,COUNTA(quests!$A:$A),MATCH(Y$2,quests!$1:$1,0)-MATCH($C$2,quests!$1:$1,0)+1),MATCH(Y$2,quests!$1:$1,0)-MATCH($C$2,quests!$1:$1,0)+1,FALSE)</f>
        <v>0</v>
      </c>
      <c r="Z782" s="47">
        <f ca="1">VLOOKUP($C782,OFFSET(quests!$A$1,0,0,COUNTA(quests!$A:$A),MATCH(Z$2,quests!$1:$1,0)-MATCH($C$2,quests!$1:$1,0)+1),MATCH(Z$2,quests!$1:$1,0)-MATCH($C$2,quests!$1:$1,0)+1,FALSE)</f>
        <v>0</v>
      </c>
      <c r="AA782" s="47">
        <f ca="1">VLOOKUP($C782,OFFSET(quests!$A$1,0,0,COUNTA(quests!$A:$A),MATCH(AA$2,quests!$1:$1,0)-MATCH($C$2,quests!$1:$1,0)+1),MATCH(AA$2,quests!$1:$1,0)-MATCH($C$2,quests!$1:$1,0)+1,FALSE)</f>
        <v>0</v>
      </c>
      <c r="AB782" s="7" t="s">
        <v>56</v>
      </c>
      <c r="AC782" s="241">
        <v>13</v>
      </c>
      <c r="AD782" s="7">
        <v>6</v>
      </c>
      <c r="AE782" s="7" t="s">
        <v>519</v>
      </c>
      <c r="AF782" s="33">
        <v>40</v>
      </c>
      <c r="AG782" s="33">
        <v>40</v>
      </c>
      <c r="AH782" s="33">
        <v>0</v>
      </c>
      <c r="AI782" s="7">
        <v>-1</v>
      </c>
      <c r="AJ782" s="7">
        <v>-1</v>
      </c>
      <c r="AK782" s="7" t="s">
        <v>1065</v>
      </c>
      <c r="AL782" s="12" t="s">
        <v>1695</v>
      </c>
      <c r="AM782" s="12" t="s">
        <v>2072</v>
      </c>
    </row>
    <row r="783" spans="1:39" ht="21" customHeight="1" x14ac:dyDescent="0.15">
      <c r="A783" s="42" t="str">
        <f t="shared" si="40"/>
        <v>40034_1</v>
      </c>
      <c r="B783" s="23">
        <v>3</v>
      </c>
      <c r="C783" s="31">
        <v>40034</v>
      </c>
      <c r="D783" s="47" t="str">
        <f ca="1">VLOOKUP($C783,OFFSET(quests!$A$1,0,0,COUNTA(quests!$A:$A),MATCH(D$1,quests!$1:$1,0)-MATCH($C$2,quests!$1:$1,0)+1),MATCH(D$1,quests!$1:$1,0)-MATCH($C$2,quests!$1:$1,0)+1,FALSE)</f>
        <v>カーリー襲来！</v>
      </c>
      <c r="E783" s="48" t="str">
        <f ca="1">VLOOKUP($C783,OFFSET(quests!$A$1,0,0,COUNTA(quests!$A:$A),MATCH(E$2,quests!$1:$1,0)-MATCH($C$2,quests!$1:$1,0)+1),MATCH(E$2,quests!$1:$1,0)-MATCH($C$2,quests!$1:$1,0)+1,FALSE)</f>
        <v>降臨34</v>
      </c>
      <c r="F783" s="7">
        <v>1</v>
      </c>
      <c r="G783" s="7" t="s">
        <v>382</v>
      </c>
      <c r="H783" s="12" t="s">
        <v>1684</v>
      </c>
      <c r="I783" s="12" t="s">
        <v>1070</v>
      </c>
      <c r="J783" s="65">
        <v>1148</v>
      </c>
      <c r="K783" s="167">
        <v>35</v>
      </c>
      <c r="L783" s="167">
        <v>4200</v>
      </c>
      <c r="M783" s="167">
        <v>1</v>
      </c>
      <c r="N783" s="167">
        <v>1</v>
      </c>
      <c r="O783" s="167">
        <v>1</v>
      </c>
      <c r="P783" s="167">
        <v>1</v>
      </c>
      <c r="Q783" s="167">
        <v>1</v>
      </c>
      <c r="R783" s="167">
        <v>3</v>
      </c>
      <c r="S783" s="167" t="s">
        <v>278</v>
      </c>
      <c r="T783" s="167">
        <v>1</v>
      </c>
      <c r="U783" s="7" t="s">
        <v>169</v>
      </c>
      <c r="V783" s="7" t="s">
        <v>169</v>
      </c>
      <c r="W783" s="47" t="str">
        <f t="shared" ca="1" si="41"/>
        <v/>
      </c>
      <c r="X783" s="47">
        <f ca="1">VLOOKUP($C783,OFFSET(quests!$A$1,0,0,COUNTA(quests!$A:$A),MATCH(X$2,quests!$1:$1,0)-MATCH($C$2,quests!$1:$1,0)+1),MATCH(X$2,quests!$1:$1,0)-MATCH($C$2,quests!$1:$1,0)+1,FALSE)</f>
        <v>0</v>
      </c>
      <c r="Y783" s="47">
        <f ca="1">VLOOKUP($C783,OFFSET(quests!$A$1,0,0,COUNTA(quests!$A:$A),MATCH(Y$2,quests!$1:$1,0)-MATCH($C$2,quests!$1:$1,0)+1),MATCH(Y$2,quests!$1:$1,0)-MATCH($C$2,quests!$1:$1,0)+1,FALSE)</f>
        <v>0</v>
      </c>
      <c r="Z783" s="47">
        <f ca="1">VLOOKUP($C783,OFFSET(quests!$A$1,0,0,COUNTA(quests!$A:$A),MATCH(Z$2,quests!$1:$1,0)-MATCH($C$2,quests!$1:$1,0)+1),MATCH(Z$2,quests!$1:$1,0)-MATCH($C$2,quests!$1:$1,0)+1,FALSE)</f>
        <v>0</v>
      </c>
      <c r="AA783" s="47">
        <f ca="1">VLOOKUP($C783,OFFSET(quests!$A$1,0,0,COUNTA(quests!$A:$A),MATCH(AA$2,quests!$1:$1,0)-MATCH($C$2,quests!$1:$1,0)+1),MATCH(AA$2,quests!$1:$1,0)-MATCH($C$2,quests!$1:$1,0)+1,FALSE)</f>
        <v>0</v>
      </c>
      <c r="AB783" s="7" t="s">
        <v>56</v>
      </c>
      <c r="AC783" s="241">
        <v>951</v>
      </c>
      <c r="AD783" s="7">
        <v>6</v>
      </c>
      <c r="AE783" s="7" t="s">
        <v>519</v>
      </c>
      <c r="AF783" s="33">
        <v>40</v>
      </c>
      <c r="AG783" s="33">
        <v>40</v>
      </c>
      <c r="AH783" s="33">
        <v>0</v>
      </c>
      <c r="AI783" s="7">
        <v>-1</v>
      </c>
      <c r="AJ783" s="7">
        <v>-1</v>
      </c>
      <c r="AK783" s="7" t="s">
        <v>1065</v>
      </c>
      <c r="AL783" s="12" t="s">
        <v>1695</v>
      </c>
      <c r="AM783" s="12" t="s">
        <v>2072</v>
      </c>
    </row>
    <row r="784" spans="1:39" ht="21" customHeight="1" x14ac:dyDescent="0.15">
      <c r="A784" s="42" t="str">
        <f t="shared" si="40"/>
        <v>40034_2</v>
      </c>
      <c r="B784" s="23">
        <v>3</v>
      </c>
      <c r="C784" s="31">
        <v>40034</v>
      </c>
      <c r="D784" s="47" t="str">
        <f ca="1">VLOOKUP($C784,OFFSET(quests!$A$1,0,0,COUNTA(quests!$A:$A),MATCH(D$1,quests!$1:$1,0)-MATCH($C$2,quests!$1:$1,0)+1),MATCH(D$1,quests!$1:$1,0)-MATCH($C$2,quests!$1:$1,0)+1,FALSE)</f>
        <v>カーリー襲来！</v>
      </c>
      <c r="E784" s="48" t="str">
        <f ca="1">VLOOKUP($C784,OFFSET(quests!$A$1,0,0,COUNTA(quests!$A:$A),MATCH(E$2,quests!$1:$1,0)-MATCH($C$2,quests!$1:$1,0)+1),MATCH(E$2,quests!$1:$1,0)-MATCH($C$2,quests!$1:$1,0)+1,FALSE)</f>
        <v>降臨34</v>
      </c>
      <c r="F784" s="7">
        <v>2</v>
      </c>
      <c r="G784" s="7" t="s">
        <v>382</v>
      </c>
      <c r="H784" s="12" t="s">
        <v>1685</v>
      </c>
      <c r="I784" s="12" t="s">
        <v>61</v>
      </c>
      <c r="J784" s="65">
        <v>1148</v>
      </c>
      <c r="K784" s="167">
        <v>40</v>
      </c>
      <c r="L784" s="167">
        <v>4500</v>
      </c>
      <c r="M784" s="167">
        <v>1</v>
      </c>
      <c r="N784" s="167">
        <v>1</v>
      </c>
      <c r="O784" s="167">
        <v>1</v>
      </c>
      <c r="P784" s="167">
        <v>1</v>
      </c>
      <c r="Q784" s="167">
        <v>1</v>
      </c>
      <c r="R784" s="167">
        <v>3</v>
      </c>
      <c r="S784" s="167" t="s">
        <v>278</v>
      </c>
      <c r="T784" s="167">
        <v>1</v>
      </c>
      <c r="U784" s="7" t="s">
        <v>169</v>
      </c>
      <c r="V784" s="7" t="s">
        <v>169</v>
      </c>
      <c r="W784" s="47" t="str">
        <f t="shared" ca="1" si="41"/>
        <v/>
      </c>
      <c r="X784" s="47">
        <f ca="1">VLOOKUP($C784,OFFSET(quests!$A$1,0,0,COUNTA(quests!$A:$A),MATCH(X$2,quests!$1:$1,0)-MATCH($C$2,quests!$1:$1,0)+1),MATCH(X$2,quests!$1:$1,0)-MATCH($C$2,quests!$1:$1,0)+1,FALSE)</f>
        <v>0</v>
      </c>
      <c r="Y784" s="47">
        <f ca="1">VLOOKUP($C784,OFFSET(quests!$A$1,0,0,COUNTA(quests!$A:$A),MATCH(Y$2,quests!$1:$1,0)-MATCH($C$2,quests!$1:$1,0)+1),MATCH(Y$2,quests!$1:$1,0)-MATCH($C$2,quests!$1:$1,0)+1,FALSE)</f>
        <v>0</v>
      </c>
      <c r="Z784" s="47">
        <f ca="1">VLOOKUP($C784,OFFSET(quests!$A$1,0,0,COUNTA(quests!$A:$A),MATCH(Z$2,quests!$1:$1,0)-MATCH($C$2,quests!$1:$1,0)+1),MATCH(Z$2,quests!$1:$1,0)-MATCH($C$2,quests!$1:$1,0)+1,FALSE)</f>
        <v>0</v>
      </c>
      <c r="AA784" s="47">
        <f ca="1">VLOOKUP($C784,OFFSET(quests!$A$1,0,0,COUNTA(quests!$A:$A),MATCH(AA$2,quests!$1:$1,0)-MATCH($C$2,quests!$1:$1,0)+1),MATCH(AA$2,quests!$1:$1,0)-MATCH($C$2,quests!$1:$1,0)+1,FALSE)</f>
        <v>0</v>
      </c>
      <c r="AB784" s="7" t="s">
        <v>56</v>
      </c>
      <c r="AC784" s="241">
        <v>951</v>
      </c>
      <c r="AD784" s="7">
        <v>6</v>
      </c>
      <c r="AE784" s="7" t="s">
        <v>519</v>
      </c>
      <c r="AF784" s="33">
        <v>40</v>
      </c>
      <c r="AG784" s="33">
        <v>40</v>
      </c>
      <c r="AH784" s="33">
        <v>0</v>
      </c>
      <c r="AI784" s="7">
        <v>-1</v>
      </c>
      <c r="AJ784" s="7">
        <v>-1</v>
      </c>
      <c r="AK784" s="7" t="s">
        <v>1065</v>
      </c>
      <c r="AL784" s="12" t="s">
        <v>1695</v>
      </c>
      <c r="AM784" s="12" t="s">
        <v>2072</v>
      </c>
    </row>
    <row r="785" spans="1:39" ht="21" customHeight="1" x14ac:dyDescent="0.15">
      <c r="A785" s="42" t="str">
        <f t="shared" si="40"/>
        <v>40035_1</v>
      </c>
      <c r="B785" s="23">
        <v>3</v>
      </c>
      <c r="C785" s="31">
        <v>40035</v>
      </c>
      <c r="D785" s="47" t="str">
        <f ca="1">VLOOKUP($C785,OFFSET(quests!$A$1,0,0,COUNTA(quests!$A:$A),MATCH(D$1,quests!$1:$1,0)-MATCH($C$2,quests!$1:$1,0)+1),MATCH(D$1,quests!$1:$1,0)-MATCH($C$2,quests!$1:$1,0)+1,FALSE)</f>
        <v>ブラフマー襲来！</v>
      </c>
      <c r="E785" s="48" t="str">
        <f ca="1">VLOOKUP($C785,OFFSET(quests!$A$1,0,0,COUNTA(quests!$A:$A),MATCH(E$2,quests!$1:$1,0)-MATCH($C$2,quests!$1:$1,0)+1),MATCH(E$2,quests!$1:$1,0)-MATCH($C$2,quests!$1:$1,0)+1,FALSE)</f>
        <v>降臨35</v>
      </c>
      <c r="F785" s="7">
        <v>1</v>
      </c>
      <c r="G785" s="7" t="s">
        <v>382</v>
      </c>
      <c r="H785" s="12" t="s">
        <v>1689</v>
      </c>
      <c r="I785" s="12" t="s">
        <v>1070</v>
      </c>
      <c r="J785" s="65">
        <v>1150</v>
      </c>
      <c r="K785" s="167">
        <v>35</v>
      </c>
      <c r="L785" s="167">
        <v>4200</v>
      </c>
      <c r="M785" s="167">
        <v>1</v>
      </c>
      <c r="N785" s="167">
        <v>1</v>
      </c>
      <c r="O785" s="167">
        <v>1</v>
      </c>
      <c r="P785" s="167">
        <v>1</v>
      </c>
      <c r="Q785" s="167">
        <v>1</v>
      </c>
      <c r="R785" s="167">
        <v>3</v>
      </c>
      <c r="S785" s="167" t="s">
        <v>278</v>
      </c>
      <c r="T785" s="167">
        <v>1</v>
      </c>
      <c r="U785" s="7" t="s">
        <v>169</v>
      </c>
      <c r="V785" s="7" t="s">
        <v>169</v>
      </c>
      <c r="W785" s="47" t="str">
        <f t="shared" ca="1" si="41"/>
        <v/>
      </c>
      <c r="X785" s="47">
        <f ca="1">VLOOKUP($C785,OFFSET(quests!$A$1,0,0,COUNTA(quests!$A:$A),MATCH(X$2,quests!$1:$1,0)-MATCH($C$2,quests!$1:$1,0)+1),MATCH(X$2,quests!$1:$1,0)-MATCH($C$2,quests!$1:$1,0)+1,FALSE)</f>
        <v>0</v>
      </c>
      <c r="Y785" s="47">
        <f ca="1">VLOOKUP($C785,OFFSET(quests!$A$1,0,0,COUNTA(quests!$A:$A),MATCH(Y$2,quests!$1:$1,0)-MATCH($C$2,quests!$1:$1,0)+1),MATCH(Y$2,quests!$1:$1,0)-MATCH($C$2,quests!$1:$1,0)+1,FALSE)</f>
        <v>0</v>
      </c>
      <c r="Z785" s="47">
        <f ca="1">VLOOKUP($C785,OFFSET(quests!$A$1,0,0,COUNTA(quests!$A:$A),MATCH(Z$2,quests!$1:$1,0)-MATCH($C$2,quests!$1:$1,0)+1),MATCH(Z$2,quests!$1:$1,0)-MATCH($C$2,quests!$1:$1,0)+1,FALSE)</f>
        <v>0</v>
      </c>
      <c r="AA785" s="47">
        <f ca="1">VLOOKUP($C785,OFFSET(quests!$A$1,0,0,COUNTA(quests!$A:$A),MATCH(AA$2,quests!$1:$1,0)-MATCH($C$2,quests!$1:$1,0)+1),MATCH(AA$2,quests!$1:$1,0)-MATCH($C$2,quests!$1:$1,0)+1,FALSE)</f>
        <v>0</v>
      </c>
      <c r="AB785" s="7" t="s">
        <v>56</v>
      </c>
      <c r="AC785" s="241">
        <v>951</v>
      </c>
      <c r="AD785" s="7">
        <v>6</v>
      </c>
      <c r="AE785" s="7" t="s">
        <v>519</v>
      </c>
      <c r="AF785" s="33">
        <v>40</v>
      </c>
      <c r="AG785" s="33">
        <v>40</v>
      </c>
      <c r="AH785" s="33">
        <v>0</v>
      </c>
      <c r="AI785" s="7">
        <v>-1</v>
      </c>
      <c r="AJ785" s="7">
        <v>-1</v>
      </c>
      <c r="AK785" s="7" t="s">
        <v>1065</v>
      </c>
      <c r="AL785" s="12" t="s">
        <v>1695</v>
      </c>
      <c r="AM785" s="12" t="s">
        <v>2072</v>
      </c>
    </row>
    <row r="786" spans="1:39" ht="21" customHeight="1" x14ac:dyDescent="0.15">
      <c r="A786" s="42" t="str">
        <f t="shared" si="40"/>
        <v>40035_2</v>
      </c>
      <c r="B786" s="23">
        <v>3</v>
      </c>
      <c r="C786" s="31">
        <v>40035</v>
      </c>
      <c r="D786" s="47" t="str">
        <f ca="1">VLOOKUP($C786,OFFSET(quests!$A$1,0,0,COUNTA(quests!$A:$A),MATCH(D$1,quests!$1:$1,0)-MATCH($C$2,quests!$1:$1,0)+1),MATCH(D$1,quests!$1:$1,0)-MATCH($C$2,quests!$1:$1,0)+1,FALSE)</f>
        <v>ブラフマー襲来！</v>
      </c>
      <c r="E786" s="48" t="str">
        <f ca="1">VLOOKUP($C786,OFFSET(quests!$A$1,0,0,COUNTA(quests!$A:$A),MATCH(E$2,quests!$1:$1,0)-MATCH($C$2,quests!$1:$1,0)+1),MATCH(E$2,quests!$1:$1,0)-MATCH($C$2,quests!$1:$1,0)+1,FALSE)</f>
        <v>降臨35</v>
      </c>
      <c r="F786" s="7">
        <v>2</v>
      </c>
      <c r="G786" s="7" t="s">
        <v>382</v>
      </c>
      <c r="H786" s="12" t="s">
        <v>1690</v>
      </c>
      <c r="I786" s="12" t="s">
        <v>61</v>
      </c>
      <c r="J786" s="65">
        <v>1150</v>
      </c>
      <c r="K786" s="167">
        <v>40</v>
      </c>
      <c r="L786" s="167">
        <v>4500</v>
      </c>
      <c r="M786" s="167">
        <v>1</v>
      </c>
      <c r="N786" s="167">
        <v>1</v>
      </c>
      <c r="O786" s="167">
        <v>1</v>
      </c>
      <c r="P786" s="167">
        <v>1</v>
      </c>
      <c r="Q786" s="167">
        <v>1</v>
      </c>
      <c r="R786" s="167">
        <v>3</v>
      </c>
      <c r="S786" s="167" t="s">
        <v>278</v>
      </c>
      <c r="T786" s="167">
        <v>1</v>
      </c>
      <c r="U786" s="7" t="s">
        <v>169</v>
      </c>
      <c r="V786" s="7" t="s">
        <v>169</v>
      </c>
      <c r="W786" s="47" t="str">
        <f t="shared" ca="1" si="41"/>
        <v/>
      </c>
      <c r="X786" s="47">
        <f ca="1">VLOOKUP($C786,OFFSET(quests!$A$1,0,0,COUNTA(quests!$A:$A),MATCH(X$2,quests!$1:$1,0)-MATCH($C$2,quests!$1:$1,0)+1),MATCH(X$2,quests!$1:$1,0)-MATCH($C$2,quests!$1:$1,0)+1,FALSE)</f>
        <v>0</v>
      </c>
      <c r="Y786" s="47">
        <f ca="1">VLOOKUP($C786,OFFSET(quests!$A$1,0,0,COUNTA(quests!$A:$A),MATCH(Y$2,quests!$1:$1,0)-MATCH($C$2,quests!$1:$1,0)+1),MATCH(Y$2,quests!$1:$1,0)-MATCH($C$2,quests!$1:$1,0)+1,FALSE)</f>
        <v>0</v>
      </c>
      <c r="Z786" s="47">
        <f ca="1">VLOOKUP($C786,OFFSET(quests!$A$1,0,0,COUNTA(quests!$A:$A),MATCH(Z$2,quests!$1:$1,0)-MATCH($C$2,quests!$1:$1,0)+1),MATCH(Z$2,quests!$1:$1,0)-MATCH($C$2,quests!$1:$1,0)+1,FALSE)</f>
        <v>0</v>
      </c>
      <c r="AA786" s="47">
        <f ca="1">VLOOKUP($C786,OFFSET(quests!$A$1,0,0,COUNTA(quests!$A:$A),MATCH(AA$2,quests!$1:$1,0)-MATCH($C$2,quests!$1:$1,0)+1),MATCH(AA$2,quests!$1:$1,0)-MATCH($C$2,quests!$1:$1,0)+1,FALSE)</f>
        <v>0</v>
      </c>
      <c r="AB786" s="7" t="s">
        <v>56</v>
      </c>
      <c r="AC786" s="241">
        <v>951</v>
      </c>
      <c r="AD786" s="7">
        <v>6</v>
      </c>
      <c r="AE786" s="7" t="s">
        <v>519</v>
      </c>
      <c r="AF786" s="33">
        <v>40</v>
      </c>
      <c r="AG786" s="33">
        <v>40</v>
      </c>
      <c r="AH786" s="33">
        <v>0</v>
      </c>
      <c r="AI786" s="7">
        <v>-1</v>
      </c>
      <c r="AJ786" s="7">
        <v>-1</v>
      </c>
      <c r="AK786" s="7" t="s">
        <v>1065</v>
      </c>
      <c r="AL786" s="12" t="s">
        <v>1695</v>
      </c>
      <c r="AM786" s="12" t="s">
        <v>2072</v>
      </c>
    </row>
    <row r="787" spans="1:39" ht="21" customHeight="1" x14ac:dyDescent="0.15">
      <c r="A787" s="42" t="str">
        <f t="shared" ref="A787:A788" si="42">C787&amp;"_"&amp;F787</f>
        <v>40036_1</v>
      </c>
      <c r="B787" s="23">
        <v>3</v>
      </c>
      <c r="C787" s="31">
        <v>40036</v>
      </c>
      <c r="D787" s="47" t="str">
        <f ca="1">VLOOKUP($C787,OFFSET(quests!$A$1,0,0,COUNTA(quests!$A:$A),MATCH(D$1,quests!$1:$1,0)-MATCH($C$2,quests!$1:$1,0)+1),MATCH(D$1,quests!$1:$1,0)-MATCH($C$2,quests!$1:$1,0)+1,FALSE)</f>
        <v>ウラヌス襲来！</v>
      </c>
      <c r="E787" s="48" t="str">
        <f ca="1">VLOOKUP($C787,OFFSET(quests!$A$1,0,0,COUNTA(quests!$A:$A),MATCH(E$2,quests!$1:$1,0)-MATCH($C$2,quests!$1:$1,0)+1),MATCH(E$2,quests!$1:$1,0)-MATCH($C$2,quests!$1:$1,0)+1,FALSE)</f>
        <v>降臨36</v>
      </c>
      <c r="F787" s="7">
        <v>1</v>
      </c>
      <c r="G787" s="7" t="s">
        <v>382</v>
      </c>
      <c r="H787" s="12" t="s">
        <v>1723</v>
      </c>
      <c r="I787" s="12" t="s">
        <v>1070</v>
      </c>
      <c r="J787" s="65">
        <v>1203</v>
      </c>
      <c r="K787" s="167">
        <v>35</v>
      </c>
      <c r="L787" s="167">
        <v>4200</v>
      </c>
      <c r="M787" s="167">
        <v>1</v>
      </c>
      <c r="N787" s="167">
        <v>1</v>
      </c>
      <c r="O787" s="167">
        <v>1</v>
      </c>
      <c r="P787" s="167">
        <v>1</v>
      </c>
      <c r="Q787" s="167">
        <v>1</v>
      </c>
      <c r="R787" s="167">
        <v>3</v>
      </c>
      <c r="S787" s="167" t="s">
        <v>278</v>
      </c>
      <c r="T787" s="167">
        <v>1</v>
      </c>
      <c r="U787" s="7" t="s">
        <v>169</v>
      </c>
      <c r="V787" s="7" t="s">
        <v>169</v>
      </c>
      <c r="W787" s="47" t="str">
        <f t="shared" ca="1" si="41"/>
        <v/>
      </c>
      <c r="X787" s="47">
        <f ca="1">VLOOKUP($C787,OFFSET(quests!$A$1,0,0,COUNTA(quests!$A:$A),MATCH(X$2,quests!$1:$1,0)-MATCH($C$2,quests!$1:$1,0)+1),MATCH(X$2,quests!$1:$1,0)-MATCH($C$2,quests!$1:$1,0)+1,FALSE)</f>
        <v>0</v>
      </c>
      <c r="Y787" s="47">
        <f ca="1">VLOOKUP($C787,OFFSET(quests!$A$1,0,0,COUNTA(quests!$A:$A),MATCH(Y$2,quests!$1:$1,0)-MATCH($C$2,quests!$1:$1,0)+1),MATCH(Y$2,quests!$1:$1,0)-MATCH($C$2,quests!$1:$1,0)+1,FALSE)</f>
        <v>0</v>
      </c>
      <c r="Z787" s="47">
        <f ca="1">VLOOKUP($C787,OFFSET(quests!$A$1,0,0,COUNTA(quests!$A:$A),MATCH(Z$2,quests!$1:$1,0)-MATCH($C$2,quests!$1:$1,0)+1),MATCH(Z$2,quests!$1:$1,0)-MATCH($C$2,quests!$1:$1,0)+1,FALSE)</f>
        <v>0</v>
      </c>
      <c r="AA787" s="47">
        <f ca="1">VLOOKUP($C787,OFFSET(quests!$A$1,0,0,COUNTA(quests!$A:$A),MATCH(AA$2,quests!$1:$1,0)-MATCH($C$2,quests!$1:$1,0)+1),MATCH(AA$2,quests!$1:$1,0)-MATCH($C$2,quests!$1:$1,0)+1,FALSE)</f>
        <v>0</v>
      </c>
      <c r="AB787" s="7" t="s">
        <v>56</v>
      </c>
      <c r="AC787" s="241">
        <v>954</v>
      </c>
      <c r="AD787" s="7">
        <v>6</v>
      </c>
      <c r="AE787" s="7" t="s">
        <v>519</v>
      </c>
      <c r="AF787" s="33">
        <v>40</v>
      </c>
      <c r="AG787" s="33">
        <v>40</v>
      </c>
      <c r="AH787" s="33">
        <v>0</v>
      </c>
      <c r="AI787" s="7">
        <v>-1</v>
      </c>
      <c r="AJ787" s="7">
        <v>-1</v>
      </c>
      <c r="AK787" s="7" t="s">
        <v>1065</v>
      </c>
      <c r="AL787" s="12" t="s">
        <v>1695</v>
      </c>
      <c r="AM787" s="12" t="s">
        <v>2072</v>
      </c>
    </row>
    <row r="788" spans="1:39" ht="21" customHeight="1" x14ac:dyDescent="0.15">
      <c r="A788" s="42" t="str">
        <f t="shared" si="42"/>
        <v>40036_2</v>
      </c>
      <c r="B788" s="23">
        <v>3</v>
      </c>
      <c r="C788" s="31">
        <v>40036</v>
      </c>
      <c r="D788" s="47" t="str">
        <f ca="1">VLOOKUP($C788,OFFSET(quests!$A$1,0,0,COUNTA(quests!$A:$A),MATCH(D$1,quests!$1:$1,0)-MATCH($C$2,quests!$1:$1,0)+1),MATCH(D$1,quests!$1:$1,0)-MATCH($C$2,quests!$1:$1,0)+1,FALSE)</f>
        <v>ウラヌス襲来！</v>
      </c>
      <c r="E788" s="48" t="str">
        <f ca="1">VLOOKUP($C788,OFFSET(quests!$A$1,0,0,COUNTA(quests!$A:$A),MATCH(E$2,quests!$1:$1,0)-MATCH($C$2,quests!$1:$1,0)+1),MATCH(E$2,quests!$1:$1,0)-MATCH($C$2,quests!$1:$1,0)+1,FALSE)</f>
        <v>降臨36</v>
      </c>
      <c r="F788" s="7">
        <v>2</v>
      </c>
      <c r="G788" s="7" t="s">
        <v>382</v>
      </c>
      <c r="H788" s="12" t="s">
        <v>1724</v>
      </c>
      <c r="I788" s="12" t="s">
        <v>61</v>
      </c>
      <c r="J788" s="65">
        <v>1203</v>
      </c>
      <c r="K788" s="167">
        <v>40</v>
      </c>
      <c r="L788" s="167">
        <v>4500</v>
      </c>
      <c r="M788" s="167">
        <v>1</v>
      </c>
      <c r="N788" s="167">
        <v>1</v>
      </c>
      <c r="O788" s="167">
        <v>1</v>
      </c>
      <c r="P788" s="167">
        <v>1</v>
      </c>
      <c r="Q788" s="167">
        <v>1</v>
      </c>
      <c r="R788" s="167">
        <v>3</v>
      </c>
      <c r="S788" s="167" t="s">
        <v>278</v>
      </c>
      <c r="T788" s="167">
        <v>1</v>
      </c>
      <c r="U788" s="7" t="s">
        <v>169</v>
      </c>
      <c r="V788" s="7" t="s">
        <v>169</v>
      </c>
      <c r="W788" s="47" t="str">
        <f t="shared" ca="1" si="41"/>
        <v/>
      </c>
      <c r="X788" s="47">
        <f ca="1">VLOOKUP($C788,OFFSET(quests!$A$1,0,0,COUNTA(quests!$A:$A),MATCH(X$2,quests!$1:$1,0)-MATCH($C$2,quests!$1:$1,0)+1),MATCH(X$2,quests!$1:$1,0)-MATCH($C$2,quests!$1:$1,0)+1,FALSE)</f>
        <v>0</v>
      </c>
      <c r="Y788" s="47">
        <f ca="1">VLOOKUP($C788,OFFSET(quests!$A$1,0,0,COUNTA(quests!$A:$A),MATCH(Y$2,quests!$1:$1,0)-MATCH($C$2,quests!$1:$1,0)+1),MATCH(Y$2,quests!$1:$1,0)-MATCH($C$2,quests!$1:$1,0)+1,FALSE)</f>
        <v>0</v>
      </c>
      <c r="Z788" s="47">
        <f ca="1">VLOOKUP($C788,OFFSET(quests!$A$1,0,0,COUNTA(quests!$A:$A),MATCH(Z$2,quests!$1:$1,0)-MATCH($C$2,quests!$1:$1,0)+1),MATCH(Z$2,quests!$1:$1,0)-MATCH($C$2,quests!$1:$1,0)+1,FALSE)</f>
        <v>0</v>
      </c>
      <c r="AA788" s="47">
        <f ca="1">VLOOKUP($C788,OFFSET(quests!$A$1,0,0,COUNTA(quests!$A:$A),MATCH(AA$2,quests!$1:$1,0)-MATCH($C$2,quests!$1:$1,0)+1),MATCH(AA$2,quests!$1:$1,0)-MATCH($C$2,quests!$1:$1,0)+1,FALSE)</f>
        <v>0</v>
      </c>
      <c r="AB788" s="7" t="s">
        <v>56</v>
      </c>
      <c r="AC788" s="241">
        <v>954</v>
      </c>
      <c r="AD788" s="7">
        <v>6</v>
      </c>
      <c r="AE788" s="7" t="s">
        <v>519</v>
      </c>
      <c r="AF788" s="33">
        <v>40</v>
      </c>
      <c r="AG788" s="33">
        <v>40</v>
      </c>
      <c r="AH788" s="33">
        <v>0</v>
      </c>
      <c r="AI788" s="7">
        <v>-1</v>
      </c>
      <c r="AJ788" s="7">
        <v>-1</v>
      </c>
      <c r="AK788" s="7" t="s">
        <v>1065</v>
      </c>
      <c r="AL788" s="12" t="s">
        <v>1695</v>
      </c>
      <c r="AM788" s="12" t="s">
        <v>2072</v>
      </c>
    </row>
    <row r="789" spans="1:39" ht="21" customHeight="1" x14ac:dyDescent="0.15">
      <c r="A789" s="42" t="str">
        <f t="shared" ref="A789:A792" si="43">C789&amp;"_"&amp;F789</f>
        <v>40037_1</v>
      </c>
      <c r="B789" s="23">
        <v>3</v>
      </c>
      <c r="C789" s="31">
        <v>40037</v>
      </c>
      <c r="D789" s="47" t="str">
        <f ca="1">VLOOKUP($C789,OFFSET(quests!$A$1,0,0,COUNTA(quests!$A:$A),MATCH(D$1,quests!$1:$1,0)-MATCH($C$2,quests!$1:$1,0)+1),MATCH(D$1,quests!$1:$1,0)-MATCH($C$2,quests!$1:$1,0)+1,FALSE)</f>
        <v>デルピュネー襲来！</v>
      </c>
      <c r="E789" s="48" t="str">
        <f ca="1">VLOOKUP($C789,OFFSET(quests!$A$1,0,0,COUNTA(quests!$A:$A),MATCH(E$2,quests!$1:$1,0)-MATCH($C$2,quests!$1:$1,0)+1),MATCH(E$2,quests!$1:$1,0)-MATCH($C$2,quests!$1:$1,0)+1,FALSE)</f>
        <v>降臨37</v>
      </c>
      <c r="F789" s="7">
        <v>1</v>
      </c>
      <c r="G789" s="7" t="s">
        <v>382</v>
      </c>
      <c r="H789" s="12" t="s">
        <v>1728</v>
      </c>
      <c r="I789" s="12" t="s">
        <v>1070</v>
      </c>
      <c r="J789" s="65">
        <v>1205</v>
      </c>
      <c r="K789" s="167">
        <v>35</v>
      </c>
      <c r="L789" s="167">
        <v>4200</v>
      </c>
      <c r="M789" s="167">
        <v>1</v>
      </c>
      <c r="N789" s="167">
        <v>1</v>
      </c>
      <c r="O789" s="167">
        <v>1</v>
      </c>
      <c r="P789" s="167">
        <v>1</v>
      </c>
      <c r="Q789" s="167">
        <v>1</v>
      </c>
      <c r="R789" s="167">
        <v>3</v>
      </c>
      <c r="S789" s="167" t="s">
        <v>278</v>
      </c>
      <c r="T789" s="167">
        <v>1</v>
      </c>
      <c r="U789" s="7" t="s">
        <v>169</v>
      </c>
      <c r="V789" s="7" t="s">
        <v>169</v>
      </c>
      <c r="W789" s="47" t="str">
        <f t="shared" ca="1" si="41"/>
        <v/>
      </c>
      <c r="X789" s="47">
        <f ca="1">VLOOKUP($C789,OFFSET(quests!$A$1,0,0,COUNTA(quests!$A:$A),MATCH(X$2,quests!$1:$1,0)-MATCH($C$2,quests!$1:$1,0)+1),MATCH(X$2,quests!$1:$1,0)-MATCH($C$2,quests!$1:$1,0)+1,FALSE)</f>
        <v>0</v>
      </c>
      <c r="Y789" s="47">
        <f ca="1">VLOOKUP($C789,OFFSET(quests!$A$1,0,0,COUNTA(quests!$A:$A),MATCH(Y$2,quests!$1:$1,0)-MATCH($C$2,quests!$1:$1,0)+1),MATCH(Y$2,quests!$1:$1,0)-MATCH($C$2,quests!$1:$1,0)+1,FALSE)</f>
        <v>0</v>
      </c>
      <c r="Z789" s="47">
        <f ca="1">VLOOKUP($C789,OFFSET(quests!$A$1,0,0,COUNTA(quests!$A:$A),MATCH(Z$2,quests!$1:$1,0)-MATCH($C$2,quests!$1:$1,0)+1),MATCH(Z$2,quests!$1:$1,0)-MATCH($C$2,quests!$1:$1,0)+1,FALSE)</f>
        <v>0</v>
      </c>
      <c r="AA789" s="47">
        <f ca="1">VLOOKUP($C789,OFFSET(quests!$A$1,0,0,COUNTA(quests!$A:$A),MATCH(AA$2,quests!$1:$1,0)-MATCH($C$2,quests!$1:$1,0)+1),MATCH(AA$2,quests!$1:$1,0)-MATCH($C$2,quests!$1:$1,0)+1,FALSE)</f>
        <v>0</v>
      </c>
      <c r="AB789" s="7" t="s">
        <v>56</v>
      </c>
      <c r="AC789" s="241">
        <v>954</v>
      </c>
      <c r="AD789" s="7">
        <v>6</v>
      </c>
      <c r="AE789" s="7" t="s">
        <v>519</v>
      </c>
      <c r="AF789" s="33">
        <v>40</v>
      </c>
      <c r="AG789" s="33">
        <v>40</v>
      </c>
      <c r="AH789" s="33">
        <v>0</v>
      </c>
      <c r="AI789" s="7">
        <v>-1</v>
      </c>
      <c r="AJ789" s="7">
        <v>-1</v>
      </c>
      <c r="AK789" s="7" t="s">
        <v>1065</v>
      </c>
      <c r="AL789" s="12" t="s">
        <v>1695</v>
      </c>
      <c r="AM789" s="12" t="s">
        <v>2072</v>
      </c>
    </row>
    <row r="790" spans="1:39" ht="21" customHeight="1" x14ac:dyDescent="0.15">
      <c r="A790" s="42" t="str">
        <f t="shared" si="43"/>
        <v>40037_2</v>
      </c>
      <c r="B790" s="23">
        <v>3</v>
      </c>
      <c r="C790" s="31">
        <v>40037</v>
      </c>
      <c r="D790" s="47" t="str">
        <f ca="1">VLOOKUP($C790,OFFSET(quests!$A$1,0,0,COUNTA(quests!$A:$A),MATCH(D$1,quests!$1:$1,0)-MATCH($C$2,quests!$1:$1,0)+1),MATCH(D$1,quests!$1:$1,0)-MATCH($C$2,quests!$1:$1,0)+1,FALSE)</f>
        <v>デルピュネー襲来！</v>
      </c>
      <c r="E790" s="48" t="str">
        <f ca="1">VLOOKUP($C790,OFFSET(quests!$A$1,0,0,COUNTA(quests!$A:$A),MATCH(E$2,quests!$1:$1,0)-MATCH($C$2,quests!$1:$1,0)+1),MATCH(E$2,quests!$1:$1,0)-MATCH($C$2,quests!$1:$1,0)+1,FALSE)</f>
        <v>降臨37</v>
      </c>
      <c r="F790" s="7">
        <v>2</v>
      </c>
      <c r="G790" s="7" t="s">
        <v>382</v>
      </c>
      <c r="H790" s="12" t="s">
        <v>1729</v>
      </c>
      <c r="I790" s="12" t="s">
        <v>61</v>
      </c>
      <c r="J790" s="65">
        <v>1205</v>
      </c>
      <c r="K790" s="167">
        <v>40</v>
      </c>
      <c r="L790" s="167">
        <v>4500</v>
      </c>
      <c r="M790" s="167">
        <v>1</v>
      </c>
      <c r="N790" s="167">
        <v>1</v>
      </c>
      <c r="O790" s="167">
        <v>1</v>
      </c>
      <c r="P790" s="167">
        <v>1</v>
      </c>
      <c r="Q790" s="167">
        <v>1</v>
      </c>
      <c r="R790" s="167">
        <v>3</v>
      </c>
      <c r="S790" s="167" t="s">
        <v>278</v>
      </c>
      <c r="T790" s="167">
        <v>1</v>
      </c>
      <c r="U790" s="7" t="s">
        <v>169</v>
      </c>
      <c r="V790" s="7" t="s">
        <v>169</v>
      </c>
      <c r="W790" s="47" t="str">
        <f t="shared" ca="1" si="41"/>
        <v/>
      </c>
      <c r="X790" s="47">
        <f ca="1">VLOOKUP($C790,OFFSET(quests!$A$1,0,0,COUNTA(quests!$A:$A),MATCH(X$2,quests!$1:$1,0)-MATCH($C$2,quests!$1:$1,0)+1),MATCH(X$2,quests!$1:$1,0)-MATCH($C$2,quests!$1:$1,0)+1,FALSE)</f>
        <v>0</v>
      </c>
      <c r="Y790" s="47">
        <f ca="1">VLOOKUP($C790,OFFSET(quests!$A$1,0,0,COUNTA(quests!$A:$A),MATCH(Y$2,quests!$1:$1,0)-MATCH($C$2,quests!$1:$1,0)+1),MATCH(Y$2,quests!$1:$1,0)-MATCH($C$2,quests!$1:$1,0)+1,FALSE)</f>
        <v>0</v>
      </c>
      <c r="Z790" s="47">
        <f ca="1">VLOOKUP($C790,OFFSET(quests!$A$1,0,0,COUNTA(quests!$A:$A),MATCH(Z$2,quests!$1:$1,0)-MATCH($C$2,quests!$1:$1,0)+1),MATCH(Z$2,quests!$1:$1,0)-MATCH($C$2,quests!$1:$1,0)+1,FALSE)</f>
        <v>0</v>
      </c>
      <c r="AA790" s="47">
        <f ca="1">VLOOKUP($C790,OFFSET(quests!$A$1,0,0,COUNTA(quests!$A:$A),MATCH(AA$2,quests!$1:$1,0)-MATCH($C$2,quests!$1:$1,0)+1),MATCH(AA$2,quests!$1:$1,0)-MATCH($C$2,quests!$1:$1,0)+1,FALSE)</f>
        <v>0</v>
      </c>
      <c r="AB790" s="7" t="s">
        <v>56</v>
      </c>
      <c r="AC790" s="241">
        <v>954</v>
      </c>
      <c r="AD790" s="7">
        <v>6</v>
      </c>
      <c r="AE790" s="7" t="s">
        <v>519</v>
      </c>
      <c r="AF790" s="33">
        <v>40</v>
      </c>
      <c r="AG790" s="33">
        <v>40</v>
      </c>
      <c r="AH790" s="33">
        <v>0</v>
      </c>
      <c r="AI790" s="7">
        <v>-1</v>
      </c>
      <c r="AJ790" s="7">
        <v>-1</v>
      </c>
      <c r="AK790" s="7" t="s">
        <v>1065</v>
      </c>
      <c r="AL790" s="12" t="s">
        <v>1695</v>
      </c>
      <c r="AM790" s="12" t="s">
        <v>2072</v>
      </c>
    </row>
    <row r="791" spans="1:39" ht="21" customHeight="1" x14ac:dyDescent="0.15">
      <c r="A791" s="42" t="str">
        <f t="shared" si="43"/>
        <v>40038_1</v>
      </c>
      <c r="B791" s="23">
        <v>3</v>
      </c>
      <c r="C791" s="31">
        <v>40038</v>
      </c>
      <c r="D791" s="47" t="str">
        <f ca="1">VLOOKUP($C791,OFFSET(quests!$A$1,0,0,COUNTA(quests!$A:$A),MATCH(D$1,quests!$1:$1,0)-MATCH($C$2,quests!$1:$1,0)+1),MATCH(D$1,quests!$1:$1,0)-MATCH($C$2,quests!$1:$1,0)+1,FALSE)</f>
        <v>太宰治襲来！</v>
      </c>
      <c r="E791" s="48" t="str">
        <f ca="1">VLOOKUP($C791,OFFSET(quests!$A$1,0,0,COUNTA(quests!$A:$A),MATCH(E$2,quests!$1:$1,0)-MATCH($C$2,quests!$1:$1,0)+1),MATCH(E$2,quests!$1:$1,0)-MATCH($C$2,quests!$1:$1,0)+1,FALSE)</f>
        <v>降臨38</v>
      </c>
      <c r="F791" s="7">
        <v>1</v>
      </c>
      <c r="G791" s="7" t="s">
        <v>382</v>
      </c>
      <c r="H791" s="12" t="s">
        <v>1827</v>
      </c>
      <c r="I791" s="12" t="s">
        <v>1070</v>
      </c>
      <c r="J791" s="65">
        <v>1218</v>
      </c>
      <c r="K791" s="167">
        <v>35</v>
      </c>
      <c r="L791" s="167">
        <v>4200</v>
      </c>
      <c r="M791" s="167">
        <v>1</v>
      </c>
      <c r="N791" s="167">
        <v>1</v>
      </c>
      <c r="O791" s="167">
        <v>1</v>
      </c>
      <c r="P791" s="167">
        <v>1</v>
      </c>
      <c r="Q791" s="96">
        <v>0</v>
      </c>
      <c r="R791" s="167">
        <v>3</v>
      </c>
      <c r="S791" s="167" t="s">
        <v>278</v>
      </c>
      <c r="T791" s="167">
        <v>1</v>
      </c>
      <c r="U791" s="7" t="s">
        <v>169</v>
      </c>
      <c r="V791" s="7" t="s">
        <v>169</v>
      </c>
      <c r="W791" s="47" t="str">
        <f t="shared" ca="1" si="41"/>
        <v/>
      </c>
      <c r="X791" s="47">
        <f ca="1">VLOOKUP($C791,OFFSET(quests!$A$1,0,0,COUNTA(quests!$A:$A),MATCH(X$2,quests!$1:$1,0)-MATCH($C$2,quests!$1:$1,0)+1),MATCH(X$2,quests!$1:$1,0)-MATCH($C$2,quests!$1:$1,0)+1,FALSE)</f>
        <v>0</v>
      </c>
      <c r="Y791" s="47">
        <f ca="1">VLOOKUP($C791,OFFSET(quests!$A$1,0,0,COUNTA(quests!$A:$A),MATCH(Y$2,quests!$1:$1,0)-MATCH($C$2,quests!$1:$1,0)+1),MATCH(Y$2,quests!$1:$1,0)-MATCH($C$2,quests!$1:$1,0)+1,FALSE)</f>
        <v>0</v>
      </c>
      <c r="Z791" s="47">
        <f ca="1">VLOOKUP($C791,OFFSET(quests!$A$1,0,0,COUNTA(quests!$A:$A),MATCH(Z$2,quests!$1:$1,0)-MATCH($C$2,quests!$1:$1,0)+1),MATCH(Z$2,quests!$1:$1,0)-MATCH($C$2,quests!$1:$1,0)+1,FALSE)</f>
        <v>0</v>
      </c>
      <c r="AA791" s="47">
        <f ca="1">VLOOKUP($C791,OFFSET(quests!$A$1,0,0,COUNTA(quests!$A:$A),MATCH(AA$2,quests!$1:$1,0)-MATCH($C$2,quests!$1:$1,0)+1),MATCH(AA$2,quests!$1:$1,0)-MATCH($C$2,quests!$1:$1,0)+1,FALSE)</f>
        <v>0</v>
      </c>
      <c r="AB791" s="7" t="s">
        <v>56</v>
      </c>
      <c r="AC791" s="167">
        <v>956</v>
      </c>
      <c r="AD791" s="7">
        <v>6</v>
      </c>
      <c r="AE791" s="7" t="s">
        <v>519</v>
      </c>
      <c r="AF791" s="167">
        <v>40</v>
      </c>
      <c r="AG791" s="167">
        <v>40</v>
      </c>
      <c r="AH791" s="167">
        <v>0</v>
      </c>
      <c r="AI791" s="7">
        <v>-1</v>
      </c>
      <c r="AJ791" s="7">
        <v>-1</v>
      </c>
      <c r="AK791" s="7" t="s">
        <v>1065</v>
      </c>
      <c r="AL791" s="12" t="s">
        <v>1579</v>
      </c>
      <c r="AM791" s="12" t="s">
        <v>2072</v>
      </c>
    </row>
    <row r="792" spans="1:39" ht="21" customHeight="1" x14ac:dyDescent="0.15">
      <c r="A792" s="42" t="str">
        <f t="shared" si="43"/>
        <v>40038_2</v>
      </c>
      <c r="B792" s="23">
        <v>3</v>
      </c>
      <c r="C792" s="31">
        <v>40038</v>
      </c>
      <c r="D792" s="47" t="str">
        <f ca="1">VLOOKUP($C792,OFFSET(quests!$A$1,0,0,COUNTA(quests!$A:$A),MATCH(D$1,quests!$1:$1,0)-MATCH($C$2,quests!$1:$1,0)+1),MATCH(D$1,quests!$1:$1,0)-MATCH($C$2,quests!$1:$1,0)+1,FALSE)</f>
        <v>太宰治襲来！</v>
      </c>
      <c r="E792" s="48" t="str">
        <f ca="1">VLOOKUP($C792,OFFSET(quests!$A$1,0,0,COUNTA(quests!$A:$A),MATCH(E$2,quests!$1:$1,0)-MATCH($C$2,quests!$1:$1,0)+1),MATCH(E$2,quests!$1:$1,0)-MATCH($C$2,quests!$1:$1,0)+1,FALSE)</f>
        <v>降臨38</v>
      </c>
      <c r="F792" s="7">
        <v>2</v>
      </c>
      <c r="G792" s="7" t="s">
        <v>382</v>
      </c>
      <c r="H792" s="12" t="s">
        <v>1828</v>
      </c>
      <c r="I792" s="12" t="s">
        <v>61</v>
      </c>
      <c r="J792" s="65">
        <v>1219</v>
      </c>
      <c r="K792" s="167">
        <v>40</v>
      </c>
      <c r="L792" s="167">
        <v>4500</v>
      </c>
      <c r="M792" s="167">
        <v>1</v>
      </c>
      <c r="N792" s="167">
        <v>1</v>
      </c>
      <c r="O792" s="167">
        <v>1</v>
      </c>
      <c r="P792" s="167">
        <v>1</v>
      </c>
      <c r="Q792" s="96">
        <v>0</v>
      </c>
      <c r="R792" s="167">
        <v>3</v>
      </c>
      <c r="S792" s="167" t="s">
        <v>278</v>
      </c>
      <c r="T792" s="167">
        <v>1</v>
      </c>
      <c r="U792" s="7" t="s">
        <v>169</v>
      </c>
      <c r="V792" s="7" t="s">
        <v>169</v>
      </c>
      <c r="W792" s="47" t="str">
        <f t="shared" ca="1" si="41"/>
        <v/>
      </c>
      <c r="X792" s="47">
        <f ca="1">VLOOKUP($C792,OFFSET(quests!$A$1,0,0,COUNTA(quests!$A:$A),MATCH(X$2,quests!$1:$1,0)-MATCH($C$2,quests!$1:$1,0)+1),MATCH(X$2,quests!$1:$1,0)-MATCH($C$2,quests!$1:$1,0)+1,FALSE)</f>
        <v>0</v>
      </c>
      <c r="Y792" s="47">
        <f ca="1">VLOOKUP($C792,OFFSET(quests!$A$1,0,0,COUNTA(quests!$A:$A),MATCH(Y$2,quests!$1:$1,0)-MATCH($C$2,quests!$1:$1,0)+1),MATCH(Y$2,quests!$1:$1,0)-MATCH($C$2,quests!$1:$1,0)+1,FALSE)</f>
        <v>0</v>
      </c>
      <c r="Z792" s="47">
        <f ca="1">VLOOKUP($C792,OFFSET(quests!$A$1,0,0,COUNTA(quests!$A:$A),MATCH(Z$2,quests!$1:$1,0)-MATCH($C$2,quests!$1:$1,0)+1),MATCH(Z$2,quests!$1:$1,0)-MATCH($C$2,quests!$1:$1,0)+1,FALSE)</f>
        <v>0</v>
      </c>
      <c r="AA792" s="47">
        <f ca="1">VLOOKUP($C792,OFFSET(quests!$A$1,0,0,COUNTA(quests!$A:$A),MATCH(AA$2,quests!$1:$1,0)-MATCH($C$2,quests!$1:$1,0)+1),MATCH(AA$2,quests!$1:$1,0)-MATCH($C$2,quests!$1:$1,0)+1,FALSE)</f>
        <v>0</v>
      </c>
      <c r="AB792" s="7" t="s">
        <v>56</v>
      </c>
      <c r="AC792" s="167">
        <v>956</v>
      </c>
      <c r="AD792" s="7">
        <v>6</v>
      </c>
      <c r="AE792" s="7" t="s">
        <v>519</v>
      </c>
      <c r="AF792" s="167">
        <v>40</v>
      </c>
      <c r="AG792" s="167">
        <v>40</v>
      </c>
      <c r="AH792" s="167">
        <v>0</v>
      </c>
      <c r="AI792" s="7">
        <v>-1</v>
      </c>
      <c r="AJ792" s="7">
        <v>-1</v>
      </c>
      <c r="AK792" s="7" t="s">
        <v>1065</v>
      </c>
      <c r="AL792" s="12" t="s">
        <v>1579</v>
      </c>
      <c r="AM792" s="12" t="s">
        <v>2072</v>
      </c>
    </row>
    <row r="793" spans="1:39" ht="21" customHeight="1" x14ac:dyDescent="0.15">
      <c r="A793" s="42" t="str">
        <f t="shared" ref="A793:A794" si="44">C793&amp;"_"&amp;F793</f>
        <v>40039_1</v>
      </c>
      <c r="B793" s="23">
        <v>3</v>
      </c>
      <c r="C793" s="31">
        <v>40039</v>
      </c>
      <c r="D793" s="47" t="str">
        <f ca="1">VLOOKUP($C793,OFFSET(quests!$A$1,0,0,COUNTA(quests!$A:$A),MATCH(D$1,quests!$1:$1,0)-MATCH($C$2,quests!$1:$1,0)+1),MATCH(D$1,quests!$1:$1,0)-MATCH($C$2,quests!$1:$1,0)+1,FALSE)</f>
        <v>シェイクスピア襲来！</v>
      </c>
      <c r="E793" s="48" t="str">
        <f ca="1">VLOOKUP($C793,OFFSET(quests!$A$1,0,0,COUNTA(quests!$A:$A),MATCH(E$2,quests!$1:$1,0)-MATCH($C$2,quests!$1:$1,0)+1),MATCH(E$2,quests!$1:$1,0)-MATCH($C$2,quests!$1:$1,0)+1,FALSE)</f>
        <v>降臨39</v>
      </c>
      <c r="F793" s="7">
        <v>1</v>
      </c>
      <c r="G793" s="7" t="s">
        <v>382</v>
      </c>
      <c r="H793" s="12" t="s">
        <v>1801</v>
      </c>
      <c r="I793" s="12" t="s">
        <v>1070</v>
      </c>
      <c r="J793" s="65">
        <v>1220</v>
      </c>
      <c r="K793" s="167">
        <v>35</v>
      </c>
      <c r="L793" s="167">
        <v>4200</v>
      </c>
      <c r="M793" s="167">
        <v>1</v>
      </c>
      <c r="N793" s="167">
        <v>1</v>
      </c>
      <c r="O793" s="167">
        <v>1</v>
      </c>
      <c r="P793" s="167">
        <v>1</v>
      </c>
      <c r="Q793" s="167">
        <v>1</v>
      </c>
      <c r="R793" s="167">
        <v>3</v>
      </c>
      <c r="S793" s="167" t="s">
        <v>278</v>
      </c>
      <c r="T793" s="167">
        <v>1</v>
      </c>
      <c r="U793" s="7" t="s">
        <v>169</v>
      </c>
      <c r="V793" s="7" t="s">
        <v>169</v>
      </c>
      <c r="W793" s="47" t="str">
        <f t="shared" ca="1" si="41"/>
        <v/>
      </c>
      <c r="X793" s="47">
        <f ca="1">VLOOKUP($C793,OFFSET(quests!$A$1,0,0,COUNTA(quests!$A:$A),MATCH(X$2,quests!$1:$1,0)-MATCH($C$2,quests!$1:$1,0)+1),MATCH(X$2,quests!$1:$1,0)-MATCH($C$2,quests!$1:$1,0)+1,FALSE)</f>
        <v>0</v>
      </c>
      <c r="Y793" s="47">
        <f ca="1">VLOOKUP($C793,OFFSET(quests!$A$1,0,0,COUNTA(quests!$A:$A),MATCH(Y$2,quests!$1:$1,0)-MATCH($C$2,quests!$1:$1,0)+1),MATCH(Y$2,quests!$1:$1,0)-MATCH($C$2,quests!$1:$1,0)+1,FALSE)</f>
        <v>0</v>
      </c>
      <c r="Z793" s="47">
        <f ca="1">VLOOKUP($C793,OFFSET(quests!$A$1,0,0,COUNTA(quests!$A:$A),MATCH(Z$2,quests!$1:$1,0)-MATCH($C$2,quests!$1:$1,0)+1),MATCH(Z$2,quests!$1:$1,0)-MATCH($C$2,quests!$1:$1,0)+1,FALSE)</f>
        <v>0</v>
      </c>
      <c r="AA793" s="47">
        <f ca="1">VLOOKUP($C793,OFFSET(quests!$A$1,0,0,COUNTA(quests!$A:$A),MATCH(AA$2,quests!$1:$1,0)-MATCH($C$2,quests!$1:$1,0)+1),MATCH(AA$2,quests!$1:$1,0)-MATCH($C$2,quests!$1:$1,0)+1,FALSE)</f>
        <v>0</v>
      </c>
      <c r="AB793" s="7" t="s">
        <v>56</v>
      </c>
      <c r="AC793" s="167">
        <v>956</v>
      </c>
      <c r="AD793" s="7">
        <v>6</v>
      </c>
      <c r="AE793" s="7" t="s">
        <v>519</v>
      </c>
      <c r="AF793" s="33">
        <v>40</v>
      </c>
      <c r="AG793" s="33">
        <v>40</v>
      </c>
      <c r="AH793" s="33">
        <v>0</v>
      </c>
      <c r="AI793" s="7">
        <v>-1</v>
      </c>
      <c r="AJ793" s="7">
        <v>-1</v>
      </c>
      <c r="AK793" s="7" t="s">
        <v>1065</v>
      </c>
      <c r="AL793" s="12" t="s">
        <v>1695</v>
      </c>
      <c r="AM793" s="12" t="s">
        <v>2072</v>
      </c>
    </row>
    <row r="794" spans="1:39" ht="21" customHeight="1" x14ac:dyDescent="0.15">
      <c r="A794" s="42" t="str">
        <f t="shared" si="44"/>
        <v>40039_2</v>
      </c>
      <c r="B794" s="23">
        <v>3</v>
      </c>
      <c r="C794" s="31">
        <v>40039</v>
      </c>
      <c r="D794" s="47" t="str">
        <f ca="1">VLOOKUP($C794,OFFSET(quests!$A$1,0,0,COUNTA(quests!$A:$A),MATCH(D$1,quests!$1:$1,0)-MATCH($C$2,quests!$1:$1,0)+1),MATCH(D$1,quests!$1:$1,0)-MATCH($C$2,quests!$1:$1,0)+1,FALSE)</f>
        <v>シェイクスピア襲来！</v>
      </c>
      <c r="E794" s="48" t="str">
        <f ca="1">VLOOKUP($C794,OFFSET(quests!$A$1,0,0,COUNTA(quests!$A:$A),MATCH(E$2,quests!$1:$1,0)-MATCH($C$2,quests!$1:$1,0)+1),MATCH(E$2,quests!$1:$1,0)-MATCH($C$2,quests!$1:$1,0)+1,FALSE)</f>
        <v>降臨39</v>
      </c>
      <c r="F794" s="7">
        <v>2</v>
      </c>
      <c r="G794" s="7" t="s">
        <v>382</v>
      </c>
      <c r="H794" s="12" t="s">
        <v>1802</v>
      </c>
      <c r="I794" s="12" t="s">
        <v>61</v>
      </c>
      <c r="J794" s="65">
        <v>1221</v>
      </c>
      <c r="K794" s="167">
        <v>40</v>
      </c>
      <c r="L794" s="167">
        <v>4500</v>
      </c>
      <c r="M794" s="167">
        <v>1</v>
      </c>
      <c r="N794" s="167">
        <v>1</v>
      </c>
      <c r="O794" s="167">
        <v>1</v>
      </c>
      <c r="P794" s="167">
        <v>1</v>
      </c>
      <c r="Q794" s="167">
        <v>1</v>
      </c>
      <c r="R794" s="167">
        <v>3</v>
      </c>
      <c r="S794" s="167" t="s">
        <v>278</v>
      </c>
      <c r="T794" s="167">
        <v>1</v>
      </c>
      <c r="U794" s="7" t="s">
        <v>169</v>
      </c>
      <c r="V794" s="7" t="s">
        <v>169</v>
      </c>
      <c r="W794" s="47" t="str">
        <f t="shared" ca="1" si="41"/>
        <v/>
      </c>
      <c r="X794" s="47">
        <f ca="1">VLOOKUP($C794,OFFSET(quests!$A$1,0,0,COUNTA(quests!$A:$A),MATCH(X$2,quests!$1:$1,0)-MATCH($C$2,quests!$1:$1,0)+1),MATCH(X$2,quests!$1:$1,0)-MATCH($C$2,quests!$1:$1,0)+1,FALSE)</f>
        <v>0</v>
      </c>
      <c r="Y794" s="47">
        <f ca="1">VLOOKUP($C794,OFFSET(quests!$A$1,0,0,COUNTA(quests!$A:$A),MATCH(Y$2,quests!$1:$1,0)-MATCH($C$2,quests!$1:$1,0)+1),MATCH(Y$2,quests!$1:$1,0)-MATCH($C$2,quests!$1:$1,0)+1,FALSE)</f>
        <v>0</v>
      </c>
      <c r="Z794" s="47">
        <f ca="1">VLOOKUP($C794,OFFSET(quests!$A$1,0,0,COUNTA(quests!$A:$A),MATCH(Z$2,quests!$1:$1,0)-MATCH($C$2,quests!$1:$1,0)+1),MATCH(Z$2,quests!$1:$1,0)-MATCH($C$2,quests!$1:$1,0)+1,FALSE)</f>
        <v>0</v>
      </c>
      <c r="AA794" s="47">
        <f ca="1">VLOOKUP($C794,OFFSET(quests!$A$1,0,0,COUNTA(quests!$A:$A),MATCH(AA$2,quests!$1:$1,0)-MATCH($C$2,quests!$1:$1,0)+1),MATCH(AA$2,quests!$1:$1,0)-MATCH($C$2,quests!$1:$1,0)+1,FALSE)</f>
        <v>0</v>
      </c>
      <c r="AB794" s="7" t="s">
        <v>56</v>
      </c>
      <c r="AC794" s="167">
        <v>956</v>
      </c>
      <c r="AD794" s="7">
        <v>6</v>
      </c>
      <c r="AE794" s="7" t="s">
        <v>519</v>
      </c>
      <c r="AF794" s="33">
        <v>40</v>
      </c>
      <c r="AG794" s="33">
        <v>40</v>
      </c>
      <c r="AH794" s="33">
        <v>0</v>
      </c>
      <c r="AI794" s="7">
        <v>-1</v>
      </c>
      <c r="AJ794" s="7">
        <v>-1</v>
      </c>
      <c r="AK794" s="7" t="s">
        <v>1065</v>
      </c>
      <c r="AL794" s="12" t="s">
        <v>1695</v>
      </c>
      <c r="AM794" s="12" t="s">
        <v>2072</v>
      </c>
    </row>
    <row r="795" spans="1:39" ht="21" customHeight="1" x14ac:dyDescent="0.15">
      <c r="A795" s="42" t="str">
        <f t="shared" ref="A795:A796" si="45">C795&amp;"_"&amp;F795</f>
        <v>40040_1</v>
      </c>
      <c r="B795" s="23">
        <v>3</v>
      </c>
      <c r="C795" s="31">
        <v>40040</v>
      </c>
      <c r="D795" s="47" t="str">
        <f ca="1">VLOOKUP($C795,OFFSET(quests!$A$1,0,0,COUNTA(quests!$A:$A),MATCH(D$1,quests!$1:$1,0)-MATCH($C$2,quests!$1:$1,0)+1),MATCH(D$1,quests!$1:$1,0)-MATCH($C$2,quests!$1:$1,0)+1,FALSE)</f>
        <v>竹中半兵衛襲来！</v>
      </c>
      <c r="E795" s="48" t="str">
        <f ca="1">VLOOKUP($C795,OFFSET(quests!$A$1,0,0,COUNTA(quests!$A:$A),MATCH(E$2,quests!$1:$1,0)-MATCH($C$2,quests!$1:$1,0)+1),MATCH(E$2,quests!$1:$1,0)-MATCH($C$2,quests!$1:$1,0)+1,FALSE)</f>
        <v>降臨40</v>
      </c>
      <c r="F795" s="7">
        <v>1</v>
      </c>
      <c r="G795" s="7" t="s">
        <v>382</v>
      </c>
      <c r="H795" s="12" t="s">
        <v>1859</v>
      </c>
      <c r="I795" s="12" t="s">
        <v>1070</v>
      </c>
      <c r="J795" s="65">
        <v>1241</v>
      </c>
      <c r="K795" s="167">
        <v>35</v>
      </c>
      <c r="L795" s="167">
        <v>4200</v>
      </c>
      <c r="M795" s="167">
        <v>1</v>
      </c>
      <c r="N795" s="167">
        <v>1</v>
      </c>
      <c r="O795" s="167">
        <v>1</v>
      </c>
      <c r="P795" s="167">
        <v>1</v>
      </c>
      <c r="Q795" s="167">
        <v>1</v>
      </c>
      <c r="R795" s="167">
        <v>3</v>
      </c>
      <c r="S795" s="167" t="s">
        <v>278</v>
      </c>
      <c r="T795" s="167">
        <v>1</v>
      </c>
      <c r="U795" s="7" t="s">
        <v>169</v>
      </c>
      <c r="V795" s="7" t="s">
        <v>169</v>
      </c>
      <c r="W795" s="47" t="str">
        <f t="shared" ca="1" si="41"/>
        <v/>
      </c>
      <c r="X795" s="47">
        <f ca="1">VLOOKUP($C795,OFFSET(quests!$A$1,0,0,COUNTA(quests!$A:$A),MATCH(X$2,quests!$1:$1,0)-MATCH($C$2,quests!$1:$1,0)+1),MATCH(X$2,quests!$1:$1,0)-MATCH($C$2,quests!$1:$1,0)+1,FALSE)</f>
        <v>0</v>
      </c>
      <c r="Y795" s="47">
        <f ca="1">VLOOKUP($C795,OFFSET(quests!$A$1,0,0,COUNTA(quests!$A:$A),MATCH(Y$2,quests!$1:$1,0)-MATCH($C$2,quests!$1:$1,0)+1),MATCH(Y$2,quests!$1:$1,0)-MATCH($C$2,quests!$1:$1,0)+1,FALSE)</f>
        <v>0</v>
      </c>
      <c r="Z795" s="47">
        <f ca="1">VLOOKUP($C795,OFFSET(quests!$A$1,0,0,COUNTA(quests!$A:$A),MATCH(Z$2,quests!$1:$1,0)-MATCH($C$2,quests!$1:$1,0)+1),MATCH(Z$2,quests!$1:$1,0)-MATCH($C$2,quests!$1:$1,0)+1,FALSE)</f>
        <v>0</v>
      </c>
      <c r="AA795" s="47">
        <f ca="1">VLOOKUP($C795,OFFSET(quests!$A$1,0,0,COUNTA(quests!$A:$A),MATCH(AA$2,quests!$1:$1,0)-MATCH($C$2,quests!$1:$1,0)+1),MATCH(AA$2,quests!$1:$1,0)-MATCH($C$2,quests!$1:$1,0)+1,FALSE)</f>
        <v>0</v>
      </c>
      <c r="AB795" s="7" t="s">
        <v>56</v>
      </c>
      <c r="AC795" s="33">
        <v>958</v>
      </c>
      <c r="AD795" s="7">
        <v>6</v>
      </c>
      <c r="AE795" s="7" t="s">
        <v>519</v>
      </c>
      <c r="AF795" s="33">
        <v>40</v>
      </c>
      <c r="AG795" s="33">
        <v>40</v>
      </c>
      <c r="AH795" s="33">
        <v>0</v>
      </c>
      <c r="AI795" s="7">
        <v>-1</v>
      </c>
      <c r="AJ795" s="7">
        <v>-1</v>
      </c>
      <c r="AK795" s="7" t="s">
        <v>1065</v>
      </c>
      <c r="AL795" s="12" t="s">
        <v>1337</v>
      </c>
      <c r="AM795" s="12" t="s">
        <v>2072</v>
      </c>
    </row>
    <row r="796" spans="1:39" ht="21" customHeight="1" x14ac:dyDescent="0.15">
      <c r="A796" s="42" t="str">
        <f t="shared" si="45"/>
        <v>40040_2</v>
      </c>
      <c r="B796" s="23">
        <v>3</v>
      </c>
      <c r="C796" s="31">
        <v>40040</v>
      </c>
      <c r="D796" s="47" t="str">
        <f ca="1">VLOOKUP($C796,OFFSET(quests!$A$1,0,0,COUNTA(quests!$A:$A),MATCH(D$1,quests!$1:$1,0)-MATCH($C$2,quests!$1:$1,0)+1),MATCH(D$1,quests!$1:$1,0)-MATCH($C$2,quests!$1:$1,0)+1,FALSE)</f>
        <v>竹中半兵衛襲来！</v>
      </c>
      <c r="E796" s="48" t="str">
        <f ca="1">VLOOKUP($C796,OFFSET(quests!$A$1,0,0,COUNTA(quests!$A:$A),MATCH(E$2,quests!$1:$1,0)-MATCH($C$2,quests!$1:$1,0)+1),MATCH(E$2,quests!$1:$1,0)-MATCH($C$2,quests!$1:$1,0)+1,FALSE)</f>
        <v>降臨40</v>
      </c>
      <c r="F796" s="7">
        <v>2</v>
      </c>
      <c r="G796" s="7" t="s">
        <v>382</v>
      </c>
      <c r="H796" s="12" t="s">
        <v>1860</v>
      </c>
      <c r="I796" s="12" t="s">
        <v>61</v>
      </c>
      <c r="J796" s="65">
        <v>1241</v>
      </c>
      <c r="K796" s="167">
        <v>40</v>
      </c>
      <c r="L796" s="167">
        <v>4500</v>
      </c>
      <c r="M796" s="167">
        <v>1</v>
      </c>
      <c r="N796" s="167">
        <v>1</v>
      </c>
      <c r="O796" s="167">
        <v>1</v>
      </c>
      <c r="P796" s="167">
        <v>1</v>
      </c>
      <c r="Q796" s="167">
        <v>1</v>
      </c>
      <c r="R796" s="167">
        <v>3</v>
      </c>
      <c r="S796" s="167" t="s">
        <v>278</v>
      </c>
      <c r="T796" s="167">
        <v>1</v>
      </c>
      <c r="U796" s="7" t="s">
        <v>169</v>
      </c>
      <c r="V796" s="7" t="s">
        <v>169</v>
      </c>
      <c r="W796" s="47" t="str">
        <f t="shared" ca="1" si="41"/>
        <v/>
      </c>
      <c r="X796" s="47">
        <f ca="1">VLOOKUP($C796,OFFSET(quests!$A$1,0,0,COUNTA(quests!$A:$A),MATCH(X$2,quests!$1:$1,0)-MATCH($C$2,quests!$1:$1,0)+1),MATCH(X$2,quests!$1:$1,0)-MATCH($C$2,quests!$1:$1,0)+1,FALSE)</f>
        <v>0</v>
      </c>
      <c r="Y796" s="47">
        <f ca="1">VLOOKUP($C796,OFFSET(quests!$A$1,0,0,COUNTA(quests!$A:$A),MATCH(Y$2,quests!$1:$1,0)-MATCH($C$2,quests!$1:$1,0)+1),MATCH(Y$2,quests!$1:$1,0)-MATCH($C$2,quests!$1:$1,0)+1,FALSE)</f>
        <v>0</v>
      </c>
      <c r="Z796" s="47">
        <f ca="1">VLOOKUP($C796,OFFSET(quests!$A$1,0,0,COUNTA(quests!$A:$A),MATCH(Z$2,quests!$1:$1,0)-MATCH($C$2,quests!$1:$1,0)+1),MATCH(Z$2,quests!$1:$1,0)-MATCH($C$2,quests!$1:$1,0)+1,FALSE)</f>
        <v>0</v>
      </c>
      <c r="AA796" s="47">
        <f ca="1">VLOOKUP($C796,OFFSET(quests!$A$1,0,0,COUNTA(quests!$A:$A),MATCH(AA$2,quests!$1:$1,0)-MATCH($C$2,quests!$1:$1,0)+1),MATCH(AA$2,quests!$1:$1,0)-MATCH($C$2,quests!$1:$1,0)+1,FALSE)</f>
        <v>0</v>
      </c>
      <c r="AB796" s="7" t="s">
        <v>56</v>
      </c>
      <c r="AC796" s="33">
        <v>958</v>
      </c>
      <c r="AD796" s="7">
        <v>6</v>
      </c>
      <c r="AE796" s="7" t="s">
        <v>519</v>
      </c>
      <c r="AF796" s="33">
        <v>40</v>
      </c>
      <c r="AG796" s="33">
        <v>40</v>
      </c>
      <c r="AH796" s="33">
        <v>0</v>
      </c>
      <c r="AI796" s="7">
        <v>-1</v>
      </c>
      <c r="AJ796" s="7">
        <v>-1</v>
      </c>
      <c r="AK796" s="7" t="s">
        <v>1065</v>
      </c>
      <c r="AL796" s="12" t="s">
        <v>1337</v>
      </c>
      <c r="AM796" s="12" t="s">
        <v>2072</v>
      </c>
    </row>
    <row r="797" spans="1:39" ht="21" customHeight="1" x14ac:dyDescent="0.15">
      <c r="A797" s="42" t="str">
        <f t="shared" ref="A797:A802" si="46">C797&amp;"_"&amp;F797</f>
        <v>40041_1</v>
      </c>
      <c r="B797" s="39">
        <v>3</v>
      </c>
      <c r="C797" s="31">
        <v>40041</v>
      </c>
      <c r="D797" s="47" t="str">
        <f ca="1">VLOOKUP($C797,OFFSET(quests!$A$1,0,0,COUNTA(quests!$A:$A),MATCH(D$1,quests!$1:$1,0)-MATCH($C$2,quests!$1:$1,0)+1),MATCH(D$1,quests!$1:$1,0)-MATCH($C$2,quests!$1:$1,0)+1,FALSE)</f>
        <v>ポーラとダニー襲来！</v>
      </c>
      <c r="E797" s="48" t="str">
        <f ca="1">VLOOKUP($C797,OFFSET(quests!$A$1,0,0,COUNTA(quests!$A:$A),MATCH(E$2,quests!$1:$1,0)-MATCH($C$2,quests!$1:$1,0)+1),MATCH(E$2,quests!$1:$1,0)-MATCH($C$2,quests!$1:$1,0)+1,FALSE)</f>
        <v>降臨41</v>
      </c>
      <c r="F797" s="7">
        <v>1</v>
      </c>
      <c r="G797" s="7" t="s">
        <v>382</v>
      </c>
      <c r="H797" s="23" t="s">
        <v>2375</v>
      </c>
      <c r="I797" s="12" t="s">
        <v>61</v>
      </c>
      <c r="J797" s="239">
        <v>1283</v>
      </c>
      <c r="K797" s="167">
        <v>35</v>
      </c>
      <c r="L797" s="167">
        <v>4200</v>
      </c>
      <c r="M797" s="167">
        <v>1</v>
      </c>
      <c r="N797" s="167">
        <v>1</v>
      </c>
      <c r="O797" s="167">
        <v>1</v>
      </c>
      <c r="P797" s="167">
        <v>1</v>
      </c>
      <c r="Q797" s="167">
        <v>1</v>
      </c>
      <c r="R797" s="167">
        <v>3</v>
      </c>
      <c r="S797" s="167" t="s">
        <v>278</v>
      </c>
      <c r="T797" s="167">
        <v>1</v>
      </c>
      <c r="U797" s="7" t="s">
        <v>169</v>
      </c>
      <c r="V797" s="7" t="s">
        <v>169</v>
      </c>
      <c r="W797" s="47" t="str">
        <f t="shared" ca="1" si="41"/>
        <v/>
      </c>
      <c r="X797" s="47">
        <f ca="1">VLOOKUP($C797,OFFSET(quests!$A$1,0,0,COUNTA(quests!$A:$A),MATCH(X$2,quests!$1:$1,0)-MATCH($C$2,quests!$1:$1,0)+1),MATCH(X$2,quests!$1:$1,0)-MATCH($C$2,quests!$1:$1,0)+1,FALSE)</f>
        <v>0</v>
      </c>
      <c r="Y797" s="47">
        <f ca="1">VLOOKUP($C797,OFFSET(quests!$A$1,0,0,COUNTA(quests!$A:$A),MATCH(Y$2,quests!$1:$1,0)-MATCH($C$2,quests!$1:$1,0)+1),MATCH(Y$2,quests!$1:$1,0)-MATCH($C$2,quests!$1:$1,0)+1,FALSE)</f>
        <v>0</v>
      </c>
      <c r="Z797" s="47">
        <f ca="1">VLOOKUP($C797,OFFSET(quests!$A$1,0,0,COUNTA(quests!$A:$A),MATCH(Z$2,quests!$1:$1,0)-MATCH($C$2,quests!$1:$1,0)+1),MATCH(Z$2,quests!$1:$1,0)-MATCH($C$2,quests!$1:$1,0)+1,FALSE)</f>
        <v>0</v>
      </c>
      <c r="AA797" s="47">
        <f ca="1">VLOOKUP($C797,OFFSET(quests!$A$1,0,0,COUNTA(quests!$A:$A),MATCH(AA$2,quests!$1:$1,0)-MATCH($C$2,quests!$1:$1,0)+1),MATCH(AA$2,quests!$1:$1,0)-MATCH($C$2,quests!$1:$1,0)+1,FALSE)</f>
        <v>0</v>
      </c>
      <c r="AB797" s="7" t="s">
        <v>56</v>
      </c>
      <c r="AC797" s="241">
        <v>962</v>
      </c>
      <c r="AD797" s="7">
        <v>6</v>
      </c>
      <c r="AE797" s="7" t="s">
        <v>519</v>
      </c>
      <c r="AF797" s="277">
        <v>1225</v>
      </c>
      <c r="AG797" s="277">
        <v>1225</v>
      </c>
      <c r="AH797" s="7">
        <v>0</v>
      </c>
      <c r="AI797" s="7">
        <v>-1</v>
      </c>
      <c r="AJ797" s="7">
        <v>-1</v>
      </c>
      <c r="AK797" s="7" t="s">
        <v>1065</v>
      </c>
      <c r="AL797" s="12" t="s">
        <v>1269</v>
      </c>
      <c r="AM797" s="12" t="s">
        <v>2072</v>
      </c>
    </row>
    <row r="798" spans="1:39" s="45" customFormat="1" ht="21" customHeight="1" x14ac:dyDescent="0.15">
      <c r="A798" s="42" t="str">
        <f t="shared" si="46"/>
        <v>40041_2</v>
      </c>
      <c r="B798" s="39">
        <v>3</v>
      </c>
      <c r="C798" s="31">
        <v>40041</v>
      </c>
      <c r="D798" s="47" t="str">
        <f ca="1">VLOOKUP($C798,OFFSET(quests!$A$1,0,0,COUNTA(quests!$A:$A),MATCH(D$1,quests!$1:$1,0)-MATCH($C$2,quests!$1:$1,0)+1),MATCH(D$1,quests!$1:$1,0)-MATCH($C$2,quests!$1:$1,0)+1,FALSE)</f>
        <v>ポーラとダニー襲来！</v>
      </c>
      <c r="E798" s="48" t="str">
        <f ca="1">VLOOKUP($C798,OFFSET(quests!$A$1,0,0,COUNTA(quests!$A:$A),MATCH(E$2,quests!$1:$1,0)-MATCH($C$2,quests!$1:$1,0)+1),MATCH(E$2,quests!$1:$1,0)-MATCH($C$2,quests!$1:$1,0)+1,FALSE)</f>
        <v>降臨41</v>
      </c>
      <c r="F798" s="7">
        <v>2</v>
      </c>
      <c r="G798" s="7" t="s">
        <v>382</v>
      </c>
      <c r="H798" s="23" t="s">
        <v>2376</v>
      </c>
      <c r="I798" s="12" t="s">
        <v>61</v>
      </c>
      <c r="J798" s="239">
        <v>1283</v>
      </c>
      <c r="K798" s="167">
        <v>40</v>
      </c>
      <c r="L798" s="167">
        <v>4500</v>
      </c>
      <c r="M798" s="167">
        <v>1</v>
      </c>
      <c r="N798" s="167">
        <v>1</v>
      </c>
      <c r="O798" s="167">
        <v>1</v>
      </c>
      <c r="P798" s="167">
        <v>1</v>
      </c>
      <c r="Q798" s="167">
        <v>1</v>
      </c>
      <c r="R798" s="167">
        <v>3</v>
      </c>
      <c r="S798" s="167" t="s">
        <v>278</v>
      </c>
      <c r="T798" s="167">
        <v>1</v>
      </c>
      <c r="U798" s="7" t="s">
        <v>169</v>
      </c>
      <c r="V798" s="7" t="s">
        <v>169</v>
      </c>
      <c r="W798" s="47" t="str">
        <f t="shared" ca="1" si="41"/>
        <v/>
      </c>
      <c r="X798" s="47">
        <f ca="1">VLOOKUP($C798,OFFSET(quests!$A$1,0,0,COUNTA(quests!$A:$A),MATCH(X$2,quests!$1:$1,0)-MATCH($C$2,quests!$1:$1,0)+1),MATCH(X$2,quests!$1:$1,0)-MATCH($C$2,quests!$1:$1,0)+1,FALSE)</f>
        <v>0</v>
      </c>
      <c r="Y798" s="47">
        <f ca="1">VLOOKUP($C798,OFFSET(quests!$A$1,0,0,COUNTA(quests!$A:$A),MATCH(Y$2,quests!$1:$1,0)-MATCH($C$2,quests!$1:$1,0)+1),MATCH(Y$2,quests!$1:$1,0)-MATCH($C$2,quests!$1:$1,0)+1,FALSE)</f>
        <v>0</v>
      </c>
      <c r="Z798" s="47">
        <f ca="1">VLOOKUP($C798,OFFSET(quests!$A$1,0,0,COUNTA(quests!$A:$A),MATCH(Z$2,quests!$1:$1,0)-MATCH($C$2,quests!$1:$1,0)+1),MATCH(Z$2,quests!$1:$1,0)-MATCH($C$2,quests!$1:$1,0)+1,FALSE)</f>
        <v>0</v>
      </c>
      <c r="AA798" s="47">
        <f ca="1">VLOOKUP($C798,OFFSET(quests!$A$1,0,0,COUNTA(quests!$A:$A),MATCH(AA$2,quests!$1:$1,0)-MATCH($C$2,quests!$1:$1,0)+1),MATCH(AA$2,quests!$1:$1,0)-MATCH($C$2,quests!$1:$1,0)+1,FALSE)</f>
        <v>0</v>
      </c>
      <c r="AB798" s="7" t="s">
        <v>56</v>
      </c>
      <c r="AC798" s="241">
        <v>962</v>
      </c>
      <c r="AD798" s="7">
        <v>6</v>
      </c>
      <c r="AE798" s="7" t="s">
        <v>519</v>
      </c>
      <c r="AF798" s="277">
        <v>1225</v>
      </c>
      <c r="AG798" s="277">
        <v>1225</v>
      </c>
      <c r="AH798" s="7">
        <v>0</v>
      </c>
      <c r="AI798" s="7">
        <v>-1</v>
      </c>
      <c r="AJ798" s="7">
        <v>-1</v>
      </c>
      <c r="AK798" s="7" t="s">
        <v>1065</v>
      </c>
      <c r="AL798" s="12" t="s">
        <v>1269</v>
      </c>
      <c r="AM798" s="12" t="s">
        <v>2072</v>
      </c>
    </row>
    <row r="799" spans="1:39" ht="21" customHeight="1" x14ac:dyDescent="0.15">
      <c r="A799" s="42" t="str">
        <f t="shared" si="46"/>
        <v>40042_1</v>
      </c>
      <c r="B799" s="23">
        <v>3</v>
      </c>
      <c r="C799" s="31">
        <v>40042</v>
      </c>
      <c r="D799" s="47" t="str">
        <f ca="1">VLOOKUP($C799,OFFSET(quests!$A$1,0,0,COUNTA(quests!$A:$A),MATCH(D$1,quests!$1:$1,0)-MATCH($C$2,quests!$1:$1,0)+1),MATCH(D$1,quests!$1:$1,0)-MATCH($C$2,quests!$1:$1,0)+1,FALSE)</f>
        <v>ヘル襲来！</v>
      </c>
      <c r="E799" s="48" t="str">
        <f ca="1">VLOOKUP($C799,OFFSET(quests!$A$1,0,0,COUNTA(quests!$A:$A),MATCH(E$2,quests!$1:$1,0)-MATCH($C$2,quests!$1:$1,0)+1),MATCH(E$2,quests!$1:$1,0)-MATCH($C$2,quests!$1:$1,0)+1,FALSE)</f>
        <v>降臨42</v>
      </c>
      <c r="F799" s="7">
        <v>1</v>
      </c>
      <c r="G799" s="7" t="s">
        <v>382</v>
      </c>
      <c r="H799" s="12" t="s">
        <v>1940</v>
      </c>
      <c r="I799" s="12" t="s">
        <v>1070</v>
      </c>
      <c r="J799" s="65">
        <v>1257</v>
      </c>
      <c r="K799" s="167">
        <v>35</v>
      </c>
      <c r="L799" s="167">
        <v>4200</v>
      </c>
      <c r="M799" s="167">
        <v>1</v>
      </c>
      <c r="N799" s="167">
        <v>1</v>
      </c>
      <c r="O799" s="167">
        <v>1</v>
      </c>
      <c r="P799" s="167">
        <v>1</v>
      </c>
      <c r="Q799" s="167">
        <v>1</v>
      </c>
      <c r="R799" s="167">
        <v>3</v>
      </c>
      <c r="S799" s="167" t="s">
        <v>278</v>
      </c>
      <c r="T799" s="167">
        <v>1</v>
      </c>
      <c r="U799" s="7" t="s">
        <v>169</v>
      </c>
      <c r="V799" s="7" t="s">
        <v>169</v>
      </c>
      <c r="W799" s="47" t="str">
        <f t="shared" ca="1" si="41"/>
        <v/>
      </c>
      <c r="X799" s="47">
        <f ca="1">VLOOKUP($C799,OFFSET(quests!$A$1,0,0,COUNTA(quests!$A:$A),MATCH(X$2,quests!$1:$1,0)-MATCH($C$2,quests!$1:$1,0)+1),MATCH(X$2,quests!$1:$1,0)-MATCH($C$2,quests!$1:$1,0)+1,FALSE)</f>
        <v>0</v>
      </c>
      <c r="Y799" s="47">
        <f ca="1">VLOOKUP($C799,OFFSET(quests!$A$1,0,0,COUNTA(quests!$A:$A),MATCH(Y$2,quests!$1:$1,0)-MATCH($C$2,quests!$1:$1,0)+1),MATCH(Y$2,quests!$1:$1,0)-MATCH($C$2,quests!$1:$1,0)+1,FALSE)</f>
        <v>0</v>
      </c>
      <c r="Z799" s="47">
        <f ca="1">VLOOKUP($C799,OFFSET(quests!$A$1,0,0,COUNTA(quests!$A:$A),MATCH(Z$2,quests!$1:$1,0)-MATCH($C$2,quests!$1:$1,0)+1),MATCH(Z$2,quests!$1:$1,0)-MATCH($C$2,quests!$1:$1,0)+1,FALSE)</f>
        <v>0</v>
      </c>
      <c r="AA799" s="47">
        <f ca="1">VLOOKUP($C799,OFFSET(quests!$A$1,0,0,COUNTA(quests!$A:$A),MATCH(AA$2,quests!$1:$1,0)-MATCH($C$2,quests!$1:$1,0)+1),MATCH(AA$2,quests!$1:$1,0)-MATCH($C$2,quests!$1:$1,0)+1,FALSE)</f>
        <v>0</v>
      </c>
      <c r="AB799" s="7" t="s">
        <v>56</v>
      </c>
      <c r="AC799" s="167">
        <v>960</v>
      </c>
      <c r="AD799" s="7">
        <v>6</v>
      </c>
      <c r="AE799" s="7" t="s">
        <v>519</v>
      </c>
      <c r="AF799" s="167">
        <v>40</v>
      </c>
      <c r="AG799" s="167">
        <v>40</v>
      </c>
      <c r="AH799" s="167">
        <v>0</v>
      </c>
      <c r="AI799" s="7">
        <v>-1</v>
      </c>
      <c r="AJ799" s="7">
        <v>-1</v>
      </c>
      <c r="AK799" s="7" t="s">
        <v>1065</v>
      </c>
      <c r="AL799" s="12" t="s">
        <v>1269</v>
      </c>
      <c r="AM799" s="12" t="s">
        <v>2072</v>
      </c>
    </row>
    <row r="800" spans="1:39" ht="21" customHeight="1" x14ac:dyDescent="0.15">
      <c r="A800" s="42" t="str">
        <f t="shared" si="46"/>
        <v>40042_2</v>
      </c>
      <c r="B800" s="23">
        <v>3</v>
      </c>
      <c r="C800" s="31">
        <v>40042</v>
      </c>
      <c r="D800" s="47" t="str">
        <f ca="1">VLOOKUP($C800,OFFSET(quests!$A$1,0,0,COUNTA(quests!$A:$A),MATCH(D$1,quests!$1:$1,0)-MATCH($C$2,quests!$1:$1,0)+1),MATCH(D$1,quests!$1:$1,0)-MATCH($C$2,quests!$1:$1,0)+1,FALSE)</f>
        <v>ヘル襲来！</v>
      </c>
      <c r="E800" s="48" t="str">
        <f ca="1">VLOOKUP($C800,OFFSET(quests!$A$1,0,0,COUNTA(quests!$A:$A),MATCH(E$2,quests!$1:$1,0)-MATCH($C$2,quests!$1:$1,0)+1),MATCH(E$2,quests!$1:$1,0)-MATCH($C$2,quests!$1:$1,0)+1,FALSE)</f>
        <v>降臨42</v>
      </c>
      <c r="F800" s="7">
        <v>2</v>
      </c>
      <c r="G800" s="7" t="s">
        <v>382</v>
      </c>
      <c r="H800" s="12" t="s">
        <v>1941</v>
      </c>
      <c r="I800" s="12" t="s">
        <v>61</v>
      </c>
      <c r="J800" s="65">
        <v>1257</v>
      </c>
      <c r="K800" s="167">
        <v>40</v>
      </c>
      <c r="L800" s="167">
        <v>4500</v>
      </c>
      <c r="M800" s="167">
        <v>1</v>
      </c>
      <c r="N800" s="167">
        <v>1</v>
      </c>
      <c r="O800" s="167">
        <v>1</v>
      </c>
      <c r="P800" s="167">
        <v>1</v>
      </c>
      <c r="Q800" s="167">
        <v>1</v>
      </c>
      <c r="R800" s="167">
        <v>3</v>
      </c>
      <c r="S800" s="167" t="s">
        <v>278</v>
      </c>
      <c r="T800" s="167">
        <v>1</v>
      </c>
      <c r="U800" s="7" t="s">
        <v>169</v>
      </c>
      <c r="V800" s="7" t="s">
        <v>169</v>
      </c>
      <c r="W800" s="47" t="str">
        <f t="shared" ca="1" si="41"/>
        <v/>
      </c>
      <c r="X800" s="47">
        <f ca="1">VLOOKUP($C800,OFFSET(quests!$A$1,0,0,COUNTA(quests!$A:$A),MATCH(X$2,quests!$1:$1,0)-MATCH($C$2,quests!$1:$1,0)+1),MATCH(X$2,quests!$1:$1,0)-MATCH($C$2,quests!$1:$1,0)+1,FALSE)</f>
        <v>0</v>
      </c>
      <c r="Y800" s="47">
        <f ca="1">VLOOKUP($C800,OFFSET(quests!$A$1,0,0,COUNTA(quests!$A:$A),MATCH(Y$2,quests!$1:$1,0)-MATCH($C$2,quests!$1:$1,0)+1),MATCH(Y$2,quests!$1:$1,0)-MATCH($C$2,quests!$1:$1,0)+1,FALSE)</f>
        <v>0</v>
      </c>
      <c r="Z800" s="47">
        <f ca="1">VLOOKUP($C800,OFFSET(quests!$A$1,0,0,COUNTA(quests!$A:$A),MATCH(Z$2,quests!$1:$1,0)-MATCH($C$2,quests!$1:$1,0)+1),MATCH(Z$2,quests!$1:$1,0)-MATCH($C$2,quests!$1:$1,0)+1,FALSE)</f>
        <v>0</v>
      </c>
      <c r="AA800" s="47">
        <f ca="1">VLOOKUP($C800,OFFSET(quests!$A$1,0,0,COUNTA(quests!$A:$A),MATCH(AA$2,quests!$1:$1,0)-MATCH($C$2,quests!$1:$1,0)+1),MATCH(AA$2,quests!$1:$1,0)-MATCH($C$2,quests!$1:$1,0)+1,FALSE)</f>
        <v>0</v>
      </c>
      <c r="AB800" s="7" t="s">
        <v>56</v>
      </c>
      <c r="AC800" s="167">
        <v>960</v>
      </c>
      <c r="AD800" s="7">
        <v>6</v>
      </c>
      <c r="AE800" s="7" t="s">
        <v>519</v>
      </c>
      <c r="AF800" s="167">
        <v>40</v>
      </c>
      <c r="AG800" s="167">
        <v>40</v>
      </c>
      <c r="AH800" s="167">
        <v>0</v>
      </c>
      <c r="AI800" s="7">
        <v>-1</v>
      </c>
      <c r="AJ800" s="7">
        <v>-1</v>
      </c>
      <c r="AK800" s="7" t="s">
        <v>1065</v>
      </c>
      <c r="AL800" s="12" t="s">
        <v>1269</v>
      </c>
      <c r="AM800" s="12" t="s">
        <v>2072</v>
      </c>
    </row>
    <row r="801" spans="1:39" ht="21" customHeight="1" x14ac:dyDescent="0.15">
      <c r="A801" s="42" t="str">
        <f t="shared" si="46"/>
        <v>40043_1</v>
      </c>
      <c r="B801" s="23">
        <v>3</v>
      </c>
      <c r="C801" s="31">
        <v>40043</v>
      </c>
      <c r="D801" s="47" t="str">
        <f ca="1">VLOOKUP($C801,OFFSET(quests!$A$1,0,0,COUNTA(quests!$A:$A),MATCH(D$1,quests!$1:$1,0)-MATCH($C$2,quests!$1:$1,0)+1),MATCH(D$1,quests!$1:$1,0)-MATCH($C$2,quests!$1:$1,0)+1,FALSE)</f>
        <v>ワカヒルメ襲来！</v>
      </c>
      <c r="E801" s="48" t="str">
        <f ca="1">VLOOKUP($C801,OFFSET(quests!$A$1,0,0,COUNTA(quests!$A:$A),MATCH(E$2,quests!$1:$1,0)-MATCH($C$2,quests!$1:$1,0)+1),MATCH(E$2,quests!$1:$1,0)-MATCH($C$2,quests!$1:$1,0)+1,FALSE)</f>
        <v>降臨43</v>
      </c>
      <c r="F801" s="7">
        <v>1</v>
      </c>
      <c r="G801" s="7" t="s">
        <v>382</v>
      </c>
      <c r="H801" s="12" t="s">
        <v>2033</v>
      </c>
      <c r="I801" s="12" t="s">
        <v>1070</v>
      </c>
      <c r="J801" s="65">
        <v>1327</v>
      </c>
      <c r="K801" s="167">
        <v>35</v>
      </c>
      <c r="L801" s="167">
        <v>4200</v>
      </c>
      <c r="M801" s="167">
        <v>1</v>
      </c>
      <c r="N801" s="167">
        <v>1</v>
      </c>
      <c r="O801" s="167">
        <v>1</v>
      </c>
      <c r="P801" s="167">
        <v>1</v>
      </c>
      <c r="Q801" s="167">
        <v>1</v>
      </c>
      <c r="R801" s="167">
        <v>3</v>
      </c>
      <c r="S801" s="167" t="s">
        <v>278</v>
      </c>
      <c r="T801" s="167">
        <v>1</v>
      </c>
      <c r="U801" s="7" t="s">
        <v>169</v>
      </c>
      <c r="V801" s="7" t="s">
        <v>169</v>
      </c>
      <c r="W801" s="47" t="str">
        <f t="shared" ca="1" si="41"/>
        <v/>
      </c>
      <c r="X801" s="47">
        <f ca="1">VLOOKUP($C801,OFFSET(quests!$A$1,0,0,COUNTA(quests!$A:$A),MATCH(X$2,quests!$1:$1,0)-MATCH($C$2,quests!$1:$1,0)+1),MATCH(X$2,quests!$1:$1,0)-MATCH($C$2,quests!$1:$1,0)+1,FALSE)</f>
        <v>0</v>
      </c>
      <c r="Y801" s="47">
        <f ca="1">VLOOKUP($C801,OFFSET(quests!$A$1,0,0,COUNTA(quests!$A:$A),MATCH(Y$2,quests!$1:$1,0)-MATCH($C$2,quests!$1:$1,0)+1),MATCH(Y$2,quests!$1:$1,0)-MATCH($C$2,quests!$1:$1,0)+1,FALSE)</f>
        <v>0</v>
      </c>
      <c r="Z801" s="47">
        <f ca="1">VLOOKUP($C801,OFFSET(quests!$A$1,0,0,COUNTA(quests!$A:$A),MATCH(Z$2,quests!$1:$1,0)-MATCH($C$2,quests!$1:$1,0)+1),MATCH(Z$2,quests!$1:$1,0)-MATCH($C$2,quests!$1:$1,0)+1,FALSE)</f>
        <v>0</v>
      </c>
      <c r="AA801" s="47">
        <f ca="1">VLOOKUP($C801,OFFSET(quests!$A$1,0,0,COUNTA(quests!$A:$A),MATCH(AA$2,quests!$1:$1,0)-MATCH($C$2,quests!$1:$1,0)+1),MATCH(AA$2,quests!$1:$1,0)-MATCH($C$2,quests!$1:$1,0)+1,FALSE)</f>
        <v>0</v>
      </c>
      <c r="AB801" s="7" t="s">
        <v>56</v>
      </c>
      <c r="AC801" s="33">
        <v>966</v>
      </c>
      <c r="AD801" s="7">
        <v>6</v>
      </c>
      <c r="AE801" s="7" t="s">
        <v>519</v>
      </c>
      <c r="AF801" s="167">
        <v>40</v>
      </c>
      <c r="AG801" s="167">
        <v>40</v>
      </c>
      <c r="AH801" s="167">
        <v>0</v>
      </c>
      <c r="AI801" s="7">
        <v>-1</v>
      </c>
      <c r="AJ801" s="7">
        <v>-1</v>
      </c>
      <c r="AK801" s="7" t="s">
        <v>1065</v>
      </c>
      <c r="AL801" s="12" t="s">
        <v>1269</v>
      </c>
      <c r="AM801" s="12" t="s">
        <v>2072</v>
      </c>
    </row>
    <row r="802" spans="1:39" ht="21" customHeight="1" x14ac:dyDescent="0.15">
      <c r="A802" s="42" t="str">
        <f t="shared" si="46"/>
        <v>40043_2</v>
      </c>
      <c r="B802" s="23">
        <v>3</v>
      </c>
      <c r="C802" s="31">
        <v>40043</v>
      </c>
      <c r="D802" s="47" t="str">
        <f ca="1">VLOOKUP($C802,OFFSET(quests!$A$1,0,0,COUNTA(quests!$A:$A),MATCH(D$1,quests!$1:$1,0)-MATCH($C$2,quests!$1:$1,0)+1),MATCH(D$1,quests!$1:$1,0)-MATCH($C$2,quests!$1:$1,0)+1,FALSE)</f>
        <v>ワカヒルメ襲来！</v>
      </c>
      <c r="E802" s="48" t="str">
        <f ca="1">VLOOKUP($C802,OFFSET(quests!$A$1,0,0,COUNTA(quests!$A:$A),MATCH(E$2,quests!$1:$1,0)-MATCH($C$2,quests!$1:$1,0)+1),MATCH(E$2,quests!$1:$1,0)-MATCH($C$2,quests!$1:$1,0)+1,FALSE)</f>
        <v>降臨43</v>
      </c>
      <c r="F802" s="7">
        <v>2</v>
      </c>
      <c r="G802" s="7" t="s">
        <v>382</v>
      </c>
      <c r="H802" s="12" t="s">
        <v>2034</v>
      </c>
      <c r="I802" s="12" t="s">
        <v>61</v>
      </c>
      <c r="J802" s="65">
        <v>1327</v>
      </c>
      <c r="K802" s="167">
        <v>40</v>
      </c>
      <c r="L802" s="167">
        <v>4500</v>
      </c>
      <c r="M802" s="167">
        <v>1</v>
      </c>
      <c r="N802" s="167">
        <v>1</v>
      </c>
      <c r="O802" s="167">
        <v>1</v>
      </c>
      <c r="P802" s="167">
        <v>1</v>
      </c>
      <c r="Q802" s="167">
        <v>1</v>
      </c>
      <c r="R802" s="167">
        <v>3</v>
      </c>
      <c r="S802" s="167" t="s">
        <v>278</v>
      </c>
      <c r="T802" s="167">
        <v>1</v>
      </c>
      <c r="U802" s="7" t="s">
        <v>169</v>
      </c>
      <c r="V802" s="7" t="s">
        <v>169</v>
      </c>
      <c r="W802" s="47" t="str">
        <f t="shared" ca="1" si="41"/>
        <v/>
      </c>
      <c r="X802" s="47">
        <f ca="1">VLOOKUP($C802,OFFSET(quests!$A$1,0,0,COUNTA(quests!$A:$A),MATCH(X$2,quests!$1:$1,0)-MATCH($C$2,quests!$1:$1,0)+1),MATCH(X$2,quests!$1:$1,0)-MATCH($C$2,quests!$1:$1,0)+1,FALSE)</f>
        <v>0</v>
      </c>
      <c r="Y802" s="47">
        <f ca="1">VLOOKUP($C802,OFFSET(quests!$A$1,0,0,COUNTA(quests!$A:$A),MATCH(Y$2,quests!$1:$1,0)-MATCH($C$2,quests!$1:$1,0)+1),MATCH(Y$2,quests!$1:$1,0)-MATCH($C$2,quests!$1:$1,0)+1,FALSE)</f>
        <v>0</v>
      </c>
      <c r="Z802" s="47">
        <f ca="1">VLOOKUP($C802,OFFSET(quests!$A$1,0,0,COUNTA(quests!$A:$A),MATCH(Z$2,quests!$1:$1,0)-MATCH($C$2,quests!$1:$1,0)+1),MATCH(Z$2,quests!$1:$1,0)-MATCH($C$2,quests!$1:$1,0)+1,FALSE)</f>
        <v>0</v>
      </c>
      <c r="AA802" s="47">
        <f ca="1">VLOOKUP($C802,OFFSET(quests!$A$1,0,0,COUNTA(quests!$A:$A),MATCH(AA$2,quests!$1:$1,0)-MATCH($C$2,quests!$1:$1,0)+1),MATCH(AA$2,quests!$1:$1,0)-MATCH($C$2,quests!$1:$1,0)+1,FALSE)</f>
        <v>0</v>
      </c>
      <c r="AB802" s="7" t="s">
        <v>56</v>
      </c>
      <c r="AC802" s="33">
        <v>966</v>
      </c>
      <c r="AD802" s="7">
        <v>6</v>
      </c>
      <c r="AE802" s="7" t="s">
        <v>519</v>
      </c>
      <c r="AF802" s="167">
        <v>40</v>
      </c>
      <c r="AG802" s="167">
        <v>40</v>
      </c>
      <c r="AH802" s="167">
        <v>0</v>
      </c>
      <c r="AI802" s="7">
        <v>-1</v>
      </c>
      <c r="AJ802" s="7">
        <v>-1</v>
      </c>
      <c r="AK802" s="7" t="s">
        <v>1065</v>
      </c>
      <c r="AL802" s="12" t="s">
        <v>1269</v>
      </c>
      <c r="AM802" s="12" t="s">
        <v>2072</v>
      </c>
    </row>
    <row r="803" spans="1:39" ht="21" customHeight="1" x14ac:dyDescent="0.15">
      <c r="A803" s="42" t="str">
        <f t="shared" ref="A803:A804" si="47">C803&amp;"_"&amp;F803</f>
        <v>40044_1</v>
      </c>
      <c r="B803" s="23">
        <v>3</v>
      </c>
      <c r="C803" s="31">
        <v>40044</v>
      </c>
      <c r="D803" s="47" t="str">
        <f ca="1">VLOOKUP($C803,OFFSET(quests!$A$1,0,0,COUNTA(quests!$A:$A),MATCH(D$1,quests!$1:$1,0)-MATCH($C$2,quests!$1:$1,0)+1),MATCH(D$1,quests!$1:$1,0)-MATCH($C$2,quests!$1:$1,0)+1,FALSE)</f>
        <v>ジキル&amp;ハイド襲来！</v>
      </c>
      <c r="E803" s="48" t="str">
        <f ca="1">VLOOKUP($C803,OFFSET(quests!$A$1,0,0,COUNTA(quests!$A:$A),MATCH(E$2,quests!$1:$1,0)-MATCH($C$2,quests!$1:$1,0)+1),MATCH(E$2,quests!$1:$1,0)-MATCH($C$2,quests!$1:$1,0)+1,FALSE)</f>
        <v>降臨44</v>
      </c>
      <c r="F803" s="7">
        <v>1</v>
      </c>
      <c r="G803" s="7" t="s">
        <v>382</v>
      </c>
      <c r="H803" s="12" t="s">
        <v>2249</v>
      </c>
      <c r="I803" s="12" t="s">
        <v>1070</v>
      </c>
      <c r="J803" s="65">
        <v>1376</v>
      </c>
      <c r="K803" s="167">
        <v>35</v>
      </c>
      <c r="L803" s="167">
        <v>4200</v>
      </c>
      <c r="M803" s="167">
        <v>1</v>
      </c>
      <c r="N803" s="167">
        <v>1</v>
      </c>
      <c r="O803" s="167">
        <v>1</v>
      </c>
      <c r="P803" s="167">
        <v>1</v>
      </c>
      <c r="Q803" s="167">
        <v>1</v>
      </c>
      <c r="R803" s="167">
        <v>3</v>
      </c>
      <c r="S803" s="167" t="s">
        <v>278</v>
      </c>
      <c r="T803" s="167">
        <v>1</v>
      </c>
      <c r="U803" s="7" t="s">
        <v>169</v>
      </c>
      <c r="V803" s="7" t="s">
        <v>169</v>
      </c>
      <c r="W803" s="47" t="str">
        <f t="shared" ca="1" si="41"/>
        <v/>
      </c>
      <c r="X803" s="47">
        <f ca="1">VLOOKUP($C803,OFFSET(quests!$A$1,0,0,COUNTA(quests!$A:$A),MATCH(X$2,quests!$1:$1,0)-MATCH($C$2,quests!$1:$1,0)+1),MATCH(X$2,quests!$1:$1,0)-MATCH($C$2,quests!$1:$1,0)+1,FALSE)</f>
        <v>0</v>
      </c>
      <c r="Y803" s="47">
        <f ca="1">VLOOKUP($C803,OFFSET(quests!$A$1,0,0,COUNTA(quests!$A:$A),MATCH(Y$2,quests!$1:$1,0)-MATCH($C$2,quests!$1:$1,0)+1),MATCH(Y$2,quests!$1:$1,0)-MATCH($C$2,quests!$1:$1,0)+1,FALSE)</f>
        <v>0</v>
      </c>
      <c r="Z803" s="47">
        <f ca="1">VLOOKUP($C803,OFFSET(quests!$A$1,0,0,COUNTA(quests!$A:$A),MATCH(Z$2,quests!$1:$1,0)-MATCH($C$2,quests!$1:$1,0)+1),MATCH(Z$2,quests!$1:$1,0)-MATCH($C$2,quests!$1:$1,0)+1,FALSE)</f>
        <v>0</v>
      </c>
      <c r="AA803" s="47">
        <f ca="1">VLOOKUP($C803,OFFSET(quests!$A$1,0,0,COUNTA(quests!$A:$A),MATCH(AA$2,quests!$1:$1,0)-MATCH($C$2,quests!$1:$1,0)+1),MATCH(AA$2,quests!$1:$1,0)-MATCH($C$2,quests!$1:$1,0)+1,FALSE)</f>
        <v>0</v>
      </c>
      <c r="AB803" s="7" t="s">
        <v>56</v>
      </c>
      <c r="AC803" s="167">
        <v>973</v>
      </c>
      <c r="AD803" s="7">
        <v>6</v>
      </c>
      <c r="AE803" s="7" t="s">
        <v>519</v>
      </c>
      <c r="AF803" s="167">
        <v>40</v>
      </c>
      <c r="AG803" s="167">
        <v>40</v>
      </c>
      <c r="AH803" s="167">
        <v>0</v>
      </c>
      <c r="AI803" s="7">
        <v>-1</v>
      </c>
      <c r="AJ803" s="7">
        <v>-1</v>
      </c>
      <c r="AK803" s="7" t="s">
        <v>1065</v>
      </c>
      <c r="AL803" s="12" t="s">
        <v>1269</v>
      </c>
      <c r="AM803" s="12" t="s">
        <v>2072</v>
      </c>
    </row>
    <row r="804" spans="1:39" ht="21" customHeight="1" x14ac:dyDescent="0.15">
      <c r="A804" s="42" t="str">
        <f t="shared" si="47"/>
        <v>40044_2</v>
      </c>
      <c r="B804" s="23">
        <v>3</v>
      </c>
      <c r="C804" s="31">
        <v>40044</v>
      </c>
      <c r="D804" s="47" t="str">
        <f ca="1">VLOOKUP($C804,OFFSET(quests!$A$1,0,0,COUNTA(quests!$A:$A),MATCH(D$1,quests!$1:$1,0)-MATCH($C$2,quests!$1:$1,0)+1),MATCH(D$1,quests!$1:$1,0)-MATCH($C$2,quests!$1:$1,0)+1,FALSE)</f>
        <v>ジキル&amp;ハイド襲来！</v>
      </c>
      <c r="E804" s="48" t="str">
        <f ca="1">VLOOKUP($C804,OFFSET(quests!$A$1,0,0,COUNTA(quests!$A:$A),MATCH(E$2,quests!$1:$1,0)-MATCH($C$2,quests!$1:$1,0)+1),MATCH(E$2,quests!$1:$1,0)-MATCH($C$2,quests!$1:$1,0)+1,FALSE)</f>
        <v>降臨44</v>
      </c>
      <c r="F804" s="7">
        <v>2</v>
      </c>
      <c r="G804" s="7" t="s">
        <v>382</v>
      </c>
      <c r="H804" s="12" t="s">
        <v>2250</v>
      </c>
      <c r="I804" s="12" t="s">
        <v>61</v>
      </c>
      <c r="J804" s="65">
        <v>1376</v>
      </c>
      <c r="K804" s="167">
        <v>40</v>
      </c>
      <c r="L804" s="167">
        <v>4500</v>
      </c>
      <c r="M804" s="167">
        <v>1</v>
      </c>
      <c r="N804" s="167">
        <v>1</v>
      </c>
      <c r="O804" s="167">
        <v>1</v>
      </c>
      <c r="P804" s="167">
        <v>1</v>
      </c>
      <c r="Q804" s="167">
        <v>1</v>
      </c>
      <c r="R804" s="167">
        <v>3</v>
      </c>
      <c r="S804" s="167" t="s">
        <v>278</v>
      </c>
      <c r="T804" s="167">
        <v>1</v>
      </c>
      <c r="U804" s="7" t="s">
        <v>169</v>
      </c>
      <c r="V804" s="7" t="s">
        <v>169</v>
      </c>
      <c r="W804" s="47" t="str">
        <f t="shared" ca="1" si="41"/>
        <v/>
      </c>
      <c r="X804" s="47">
        <f ca="1">VLOOKUP($C804,OFFSET(quests!$A$1,0,0,COUNTA(quests!$A:$A),MATCH(X$2,quests!$1:$1,0)-MATCH($C$2,quests!$1:$1,0)+1),MATCH(X$2,quests!$1:$1,0)-MATCH($C$2,quests!$1:$1,0)+1,FALSE)</f>
        <v>0</v>
      </c>
      <c r="Y804" s="47">
        <f ca="1">VLOOKUP($C804,OFFSET(quests!$A$1,0,0,COUNTA(quests!$A:$A),MATCH(Y$2,quests!$1:$1,0)-MATCH($C$2,quests!$1:$1,0)+1),MATCH(Y$2,quests!$1:$1,0)-MATCH($C$2,quests!$1:$1,0)+1,FALSE)</f>
        <v>0</v>
      </c>
      <c r="Z804" s="47">
        <f ca="1">VLOOKUP($C804,OFFSET(quests!$A$1,0,0,COUNTA(quests!$A:$A),MATCH(Z$2,quests!$1:$1,0)-MATCH($C$2,quests!$1:$1,0)+1),MATCH(Z$2,quests!$1:$1,0)-MATCH($C$2,quests!$1:$1,0)+1,FALSE)</f>
        <v>0</v>
      </c>
      <c r="AA804" s="47">
        <f ca="1">VLOOKUP($C804,OFFSET(quests!$A$1,0,0,COUNTA(quests!$A:$A),MATCH(AA$2,quests!$1:$1,0)-MATCH($C$2,quests!$1:$1,0)+1),MATCH(AA$2,quests!$1:$1,0)-MATCH($C$2,quests!$1:$1,0)+1,FALSE)</f>
        <v>0</v>
      </c>
      <c r="AB804" s="7" t="s">
        <v>56</v>
      </c>
      <c r="AC804" s="167">
        <v>973</v>
      </c>
      <c r="AD804" s="7">
        <v>6</v>
      </c>
      <c r="AE804" s="7" t="s">
        <v>519</v>
      </c>
      <c r="AF804" s="167">
        <v>40</v>
      </c>
      <c r="AG804" s="167">
        <v>40</v>
      </c>
      <c r="AH804" s="167">
        <v>0</v>
      </c>
      <c r="AI804" s="7">
        <v>-1</v>
      </c>
      <c r="AJ804" s="7">
        <v>-1</v>
      </c>
      <c r="AK804" s="7" t="s">
        <v>1065</v>
      </c>
      <c r="AL804" s="12" t="s">
        <v>1269</v>
      </c>
      <c r="AM804" s="12" t="s">
        <v>2072</v>
      </c>
    </row>
    <row r="805" spans="1:39" ht="21" customHeight="1" x14ac:dyDescent="0.15">
      <c r="A805" s="42" t="str">
        <f t="shared" ref="A805:A806" si="48">C805&amp;"_"&amp;F805</f>
        <v>40045_1</v>
      </c>
      <c r="B805" s="23">
        <v>3</v>
      </c>
      <c r="C805" s="31">
        <v>40045</v>
      </c>
      <c r="D805" s="47" t="str">
        <f ca="1">VLOOKUP($C805,OFFSET(quests!$A$1,0,0,COUNTA(quests!$A:$A),MATCH(D$1,quests!$1:$1,0)-MATCH($C$2,quests!$1:$1,0)+1),MATCH(D$1,quests!$1:$1,0)-MATCH($C$2,quests!$1:$1,0)+1,FALSE)</f>
        <v>服部半蔵襲来！</v>
      </c>
      <c r="E805" s="48" t="str">
        <f ca="1">VLOOKUP($C805,OFFSET(quests!$A$1,0,0,COUNTA(quests!$A:$A),MATCH(E$2,quests!$1:$1,0)-MATCH($C$2,quests!$1:$1,0)+1),MATCH(E$2,quests!$1:$1,0)-MATCH($C$2,quests!$1:$1,0)+1,FALSE)</f>
        <v>降臨45</v>
      </c>
      <c r="F805" s="7">
        <v>1</v>
      </c>
      <c r="G805" s="7" t="s">
        <v>382</v>
      </c>
      <c r="H805" s="12" t="s">
        <v>2230</v>
      </c>
      <c r="I805" s="12" t="s">
        <v>1070</v>
      </c>
      <c r="J805" s="65">
        <v>1239</v>
      </c>
      <c r="K805" s="167">
        <v>35</v>
      </c>
      <c r="L805" s="167">
        <v>4200</v>
      </c>
      <c r="M805" s="167">
        <v>1</v>
      </c>
      <c r="N805" s="167">
        <v>1</v>
      </c>
      <c r="O805" s="167">
        <v>1</v>
      </c>
      <c r="P805" s="167">
        <v>1</v>
      </c>
      <c r="Q805" s="167">
        <v>1</v>
      </c>
      <c r="R805" s="167">
        <v>3</v>
      </c>
      <c r="S805" s="167" t="s">
        <v>278</v>
      </c>
      <c r="T805" s="167">
        <v>1</v>
      </c>
      <c r="U805" s="7" t="s">
        <v>169</v>
      </c>
      <c r="V805" s="7" t="s">
        <v>169</v>
      </c>
      <c r="W805" s="47" t="str">
        <f t="shared" ca="1" si="41"/>
        <v/>
      </c>
      <c r="X805" s="47">
        <f ca="1">VLOOKUP($C805,OFFSET(quests!$A$1,0,0,COUNTA(quests!$A:$A),MATCH(X$2,quests!$1:$1,0)-MATCH($C$2,quests!$1:$1,0)+1),MATCH(X$2,quests!$1:$1,0)-MATCH($C$2,quests!$1:$1,0)+1,FALSE)</f>
        <v>0</v>
      </c>
      <c r="Y805" s="47">
        <f ca="1">VLOOKUP($C805,OFFSET(quests!$A$1,0,0,COUNTA(quests!$A:$A),MATCH(Y$2,quests!$1:$1,0)-MATCH($C$2,quests!$1:$1,0)+1),MATCH(Y$2,quests!$1:$1,0)-MATCH($C$2,quests!$1:$1,0)+1,FALSE)</f>
        <v>0</v>
      </c>
      <c r="Z805" s="47">
        <f ca="1">VLOOKUP($C805,OFFSET(quests!$A$1,0,0,COUNTA(quests!$A:$A),MATCH(Z$2,quests!$1:$1,0)-MATCH($C$2,quests!$1:$1,0)+1),MATCH(Z$2,quests!$1:$1,0)-MATCH($C$2,quests!$1:$1,0)+1,FALSE)</f>
        <v>0</v>
      </c>
      <c r="AA805" s="47">
        <f ca="1">VLOOKUP($C805,OFFSET(quests!$A$1,0,0,COUNTA(quests!$A:$A),MATCH(AA$2,quests!$1:$1,0)-MATCH($C$2,quests!$1:$1,0)+1),MATCH(AA$2,quests!$1:$1,0)-MATCH($C$2,quests!$1:$1,0)+1,FALSE)</f>
        <v>0</v>
      </c>
      <c r="AB805" s="7" t="s">
        <v>56</v>
      </c>
      <c r="AC805" s="167">
        <v>958</v>
      </c>
      <c r="AD805" s="7">
        <v>6</v>
      </c>
      <c r="AE805" s="7" t="s">
        <v>519</v>
      </c>
      <c r="AF805" s="167">
        <v>40</v>
      </c>
      <c r="AG805" s="167">
        <v>40</v>
      </c>
      <c r="AH805" s="167">
        <v>0</v>
      </c>
      <c r="AI805" s="7">
        <v>-1</v>
      </c>
      <c r="AJ805" s="7">
        <v>-1</v>
      </c>
      <c r="AK805" s="7" t="s">
        <v>1065</v>
      </c>
      <c r="AL805" s="12" t="s">
        <v>1269</v>
      </c>
      <c r="AM805" s="12" t="s">
        <v>2072</v>
      </c>
    </row>
    <row r="806" spans="1:39" ht="21" customHeight="1" x14ac:dyDescent="0.15">
      <c r="A806" s="42" t="str">
        <f t="shared" si="48"/>
        <v>40045_2</v>
      </c>
      <c r="B806" s="23">
        <v>3</v>
      </c>
      <c r="C806" s="31">
        <v>40045</v>
      </c>
      <c r="D806" s="47" t="str">
        <f ca="1">VLOOKUP($C806,OFFSET(quests!$A$1,0,0,COUNTA(quests!$A:$A),MATCH(D$1,quests!$1:$1,0)-MATCH($C$2,quests!$1:$1,0)+1),MATCH(D$1,quests!$1:$1,0)-MATCH($C$2,quests!$1:$1,0)+1,FALSE)</f>
        <v>服部半蔵襲来！</v>
      </c>
      <c r="E806" s="48" t="str">
        <f ca="1">VLOOKUP($C806,OFFSET(quests!$A$1,0,0,COUNTA(quests!$A:$A),MATCH(E$2,quests!$1:$1,0)-MATCH($C$2,quests!$1:$1,0)+1),MATCH(E$2,quests!$1:$1,0)-MATCH($C$2,quests!$1:$1,0)+1,FALSE)</f>
        <v>降臨45</v>
      </c>
      <c r="F806" s="7">
        <v>2</v>
      </c>
      <c r="G806" s="7" t="s">
        <v>382</v>
      </c>
      <c r="H806" s="12" t="s">
        <v>2231</v>
      </c>
      <c r="I806" s="12" t="s">
        <v>61</v>
      </c>
      <c r="J806" s="65">
        <v>1239</v>
      </c>
      <c r="K806" s="167">
        <v>40</v>
      </c>
      <c r="L806" s="167">
        <v>4500</v>
      </c>
      <c r="M806" s="167">
        <v>1</v>
      </c>
      <c r="N806" s="167">
        <v>1</v>
      </c>
      <c r="O806" s="167">
        <v>1</v>
      </c>
      <c r="P806" s="167">
        <v>1</v>
      </c>
      <c r="Q806" s="167">
        <v>1</v>
      </c>
      <c r="R806" s="167">
        <v>3</v>
      </c>
      <c r="S806" s="167" t="s">
        <v>278</v>
      </c>
      <c r="T806" s="167">
        <v>1</v>
      </c>
      <c r="U806" s="7" t="s">
        <v>169</v>
      </c>
      <c r="V806" s="7" t="s">
        <v>169</v>
      </c>
      <c r="W806" s="47" t="str">
        <f t="shared" ca="1" si="41"/>
        <v/>
      </c>
      <c r="X806" s="47">
        <f ca="1">VLOOKUP($C806,OFFSET(quests!$A$1,0,0,COUNTA(quests!$A:$A),MATCH(X$2,quests!$1:$1,0)-MATCH($C$2,quests!$1:$1,0)+1),MATCH(X$2,quests!$1:$1,0)-MATCH($C$2,quests!$1:$1,0)+1,FALSE)</f>
        <v>0</v>
      </c>
      <c r="Y806" s="47">
        <f ca="1">VLOOKUP($C806,OFFSET(quests!$A$1,0,0,COUNTA(quests!$A:$A),MATCH(Y$2,quests!$1:$1,0)-MATCH($C$2,quests!$1:$1,0)+1),MATCH(Y$2,quests!$1:$1,0)-MATCH($C$2,quests!$1:$1,0)+1,FALSE)</f>
        <v>0</v>
      </c>
      <c r="Z806" s="47">
        <f ca="1">VLOOKUP($C806,OFFSET(quests!$A$1,0,0,COUNTA(quests!$A:$A),MATCH(Z$2,quests!$1:$1,0)-MATCH($C$2,quests!$1:$1,0)+1),MATCH(Z$2,quests!$1:$1,0)-MATCH($C$2,quests!$1:$1,0)+1,FALSE)</f>
        <v>0</v>
      </c>
      <c r="AA806" s="47">
        <f ca="1">VLOOKUP($C806,OFFSET(quests!$A$1,0,0,COUNTA(quests!$A:$A),MATCH(AA$2,quests!$1:$1,0)-MATCH($C$2,quests!$1:$1,0)+1),MATCH(AA$2,quests!$1:$1,0)-MATCH($C$2,quests!$1:$1,0)+1,FALSE)</f>
        <v>0</v>
      </c>
      <c r="AB806" s="7" t="s">
        <v>56</v>
      </c>
      <c r="AC806" s="167">
        <v>958</v>
      </c>
      <c r="AD806" s="7">
        <v>6</v>
      </c>
      <c r="AE806" s="7" t="s">
        <v>519</v>
      </c>
      <c r="AF806" s="167">
        <v>40</v>
      </c>
      <c r="AG806" s="167">
        <v>40</v>
      </c>
      <c r="AH806" s="167">
        <v>0</v>
      </c>
      <c r="AI806" s="7">
        <v>-1</v>
      </c>
      <c r="AJ806" s="7">
        <v>-1</v>
      </c>
      <c r="AK806" s="7" t="s">
        <v>1065</v>
      </c>
      <c r="AL806" s="12" t="s">
        <v>1269</v>
      </c>
      <c r="AM806" s="12" t="s">
        <v>2072</v>
      </c>
    </row>
    <row r="807" spans="1:39" ht="21" customHeight="1" x14ac:dyDescent="0.15">
      <c r="A807" s="42" t="str">
        <f t="shared" ref="A807:A808" si="49">C807&amp;"_"&amp;F807</f>
        <v>40046_1</v>
      </c>
      <c r="B807" s="23">
        <v>3</v>
      </c>
      <c r="C807" s="31">
        <v>40046</v>
      </c>
      <c r="D807" s="47" t="str">
        <f ca="1">VLOOKUP($C807,OFFSET(quests!$A$1,0,0,COUNTA(quests!$A:$A),MATCH(D$1,quests!$1:$1,0)-MATCH($C$2,quests!$1:$1,0)+1),MATCH(D$1,quests!$1:$1,0)-MATCH($C$2,quests!$1:$1,0)+1,FALSE)</f>
        <v>ゼノビア襲来！</v>
      </c>
      <c r="E807" s="48" t="str">
        <f ca="1">VLOOKUP($C807,OFFSET(quests!$A$1,0,0,COUNTA(quests!$A:$A),MATCH(E$2,quests!$1:$1,0)-MATCH($C$2,quests!$1:$1,0)+1),MATCH(E$2,quests!$1:$1,0)-MATCH($C$2,quests!$1:$1,0)+1,FALSE)</f>
        <v>降臨46</v>
      </c>
      <c r="F807" s="7">
        <v>1</v>
      </c>
      <c r="G807" s="7" t="s">
        <v>382</v>
      </c>
      <c r="H807" s="12" t="s">
        <v>2295</v>
      </c>
      <c r="I807" s="12" t="s">
        <v>1070</v>
      </c>
      <c r="J807" s="65">
        <v>1438</v>
      </c>
      <c r="K807" s="167">
        <v>35</v>
      </c>
      <c r="L807" s="167">
        <v>4200</v>
      </c>
      <c r="M807" s="167">
        <v>1</v>
      </c>
      <c r="N807" s="167">
        <v>1</v>
      </c>
      <c r="O807" s="167">
        <v>1</v>
      </c>
      <c r="P807" s="167">
        <v>1</v>
      </c>
      <c r="Q807" s="167">
        <v>1</v>
      </c>
      <c r="R807" s="167">
        <v>3</v>
      </c>
      <c r="S807" s="167" t="s">
        <v>278</v>
      </c>
      <c r="T807" s="167">
        <v>1</v>
      </c>
      <c r="U807" s="7" t="s">
        <v>169</v>
      </c>
      <c r="V807" s="7" t="s">
        <v>169</v>
      </c>
      <c r="W807" s="47" t="str">
        <f t="shared" ca="1" si="41"/>
        <v/>
      </c>
      <c r="X807" s="47">
        <f ca="1">VLOOKUP($C807,OFFSET(quests!$A$1,0,0,COUNTA(quests!$A:$A),MATCH(X$2,quests!$1:$1,0)-MATCH($C$2,quests!$1:$1,0)+1),MATCH(X$2,quests!$1:$1,0)-MATCH($C$2,quests!$1:$1,0)+1,FALSE)</f>
        <v>0</v>
      </c>
      <c r="Y807" s="47">
        <f ca="1">VLOOKUP($C807,OFFSET(quests!$A$1,0,0,COUNTA(quests!$A:$A),MATCH(Y$2,quests!$1:$1,0)-MATCH($C$2,quests!$1:$1,0)+1),MATCH(Y$2,quests!$1:$1,0)-MATCH($C$2,quests!$1:$1,0)+1,FALSE)</f>
        <v>0</v>
      </c>
      <c r="Z807" s="47">
        <f ca="1">VLOOKUP($C807,OFFSET(quests!$A$1,0,0,COUNTA(quests!$A:$A),MATCH(Z$2,quests!$1:$1,0)-MATCH($C$2,quests!$1:$1,0)+1),MATCH(Z$2,quests!$1:$1,0)-MATCH($C$2,quests!$1:$1,0)+1,FALSE)</f>
        <v>0</v>
      </c>
      <c r="AA807" s="47">
        <f ca="1">VLOOKUP($C807,OFFSET(quests!$A$1,0,0,COUNTA(quests!$A:$A),MATCH(AA$2,quests!$1:$1,0)-MATCH($C$2,quests!$1:$1,0)+1),MATCH(AA$2,quests!$1:$1,0)-MATCH($C$2,quests!$1:$1,0)+1,FALSE)</f>
        <v>0</v>
      </c>
      <c r="AB807" s="7" t="s">
        <v>56</v>
      </c>
      <c r="AC807" s="167">
        <v>988</v>
      </c>
      <c r="AD807" s="7">
        <v>6</v>
      </c>
      <c r="AE807" s="7" t="s">
        <v>519</v>
      </c>
      <c r="AF807" s="167">
        <v>40</v>
      </c>
      <c r="AG807" s="167">
        <v>40</v>
      </c>
      <c r="AH807" s="167">
        <v>0</v>
      </c>
      <c r="AI807" s="7">
        <v>-1</v>
      </c>
      <c r="AJ807" s="7">
        <v>-1</v>
      </c>
      <c r="AK807" s="7" t="s">
        <v>1065</v>
      </c>
      <c r="AL807" s="12" t="s">
        <v>1269</v>
      </c>
      <c r="AM807" s="12" t="s">
        <v>2072</v>
      </c>
    </row>
    <row r="808" spans="1:39" ht="21" customHeight="1" x14ac:dyDescent="0.15">
      <c r="A808" s="42" t="str">
        <f t="shared" si="49"/>
        <v>40046_2</v>
      </c>
      <c r="B808" s="23">
        <v>3</v>
      </c>
      <c r="C808" s="31">
        <v>40046</v>
      </c>
      <c r="D808" s="47" t="str">
        <f ca="1">VLOOKUP($C808,OFFSET(quests!$A$1,0,0,COUNTA(quests!$A:$A),MATCH(D$1,quests!$1:$1,0)-MATCH($C$2,quests!$1:$1,0)+1),MATCH(D$1,quests!$1:$1,0)-MATCH($C$2,quests!$1:$1,0)+1,FALSE)</f>
        <v>ゼノビア襲来！</v>
      </c>
      <c r="E808" s="48" t="str">
        <f ca="1">VLOOKUP($C808,OFFSET(quests!$A$1,0,0,COUNTA(quests!$A:$A),MATCH(E$2,quests!$1:$1,0)-MATCH($C$2,quests!$1:$1,0)+1),MATCH(E$2,quests!$1:$1,0)-MATCH($C$2,quests!$1:$1,0)+1,FALSE)</f>
        <v>降臨46</v>
      </c>
      <c r="F808" s="7">
        <v>2</v>
      </c>
      <c r="G808" s="7" t="s">
        <v>382</v>
      </c>
      <c r="H808" s="12" t="s">
        <v>2296</v>
      </c>
      <c r="I808" s="12" t="s">
        <v>61</v>
      </c>
      <c r="J808" s="65">
        <v>1439</v>
      </c>
      <c r="K808" s="167">
        <v>40</v>
      </c>
      <c r="L808" s="167">
        <v>4500</v>
      </c>
      <c r="M808" s="167">
        <v>1</v>
      </c>
      <c r="N808" s="167">
        <v>1</v>
      </c>
      <c r="O808" s="167">
        <v>1</v>
      </c>
      <c r="P808" s="167">
        <v>1</v>
      </c>
      <c r="Q808" s="167">
        <v>1</v>
      </c>
      <c r="R808" s="167">
        <v>3</v>
      </c>
      <c r="S808" s="167" t="s">
        <v>278</v>
      </c>
      <c r="T808" s="167">
        <v>1</v>
      </c>
      <c r="U808" s="7" t="s">
        <v>169</v>
      </c>
      <c r="V808" s="7" t="s">
        <v>169</v>
      </c>
      <c r="W808" s="47" t="str">
        <f t="shared" ca="1" si="41"/>
        <v/>
      </c>
      <c r="X808" s="47">
        <f ca="1">VLOOKUP($C808,OFFSET(quests!$A$1,0,0,COUNTA(quests!$A:$A),MATCH(X$2,quests!$1:$1,0)-MATCH($C$2,quests!$1:$1,0)+1),MATCH(X$2,quests!$1:$1,0)-MATCH($C$2,quests!$1:$1,0)+1,FALSE)</f>
        <v>0</v>
      </c>
      <c r="Y808" s="47">
        <f ca="1">VLOOKUP($C808,OFFSET(quests!$A$1,0,0,COUNTA(quests!$A:$A),MATCH(Y$2,quests!$1:$1,0)-MATCH($C$2,quests!$1:$1,0)+1),MATCH(Y$2,quests!$1:$1,0)-MATCH($C$2,quests!$1:$1,0)+1,FALSE)</f>
        <v>0</v>
      </c>
      <c r="Z808" s="47">
        <f ca="1">VLOOKUP($C808,OFFSET(quests!$A$1,0,0,COUNTA(quests!$A:$A),MATCH(Z$2,quests!$1:$1,0)-MATCH($C$2,quests!$1:$1,0)+1),MATCH(Z$2,quests!$1:$1,0)-MATCH($C$2,quests!$1:$1,0)+1,FALSE)</f>
        <v>0</v>
      </c>
      <c r="AA808" s="47">
        <f ca="1">VLOOKUP($C808,OFFSET(quests!$A$1,0,0,COUNTA(quests!$A:$A),MATCH(AA$2,quests!$1:$1,0)-MATCH($C$2,quests!$1:$1,0)+1),MATCH(AA$2,quests!$1:$1,0)-MATCH($C$2,quests!$1:$1,0)+1,FALSE)</f>
        <v>0</v>
      </c>
      <c r="AB808" s="7" t="s">
        <v>56</v>
      </c>
      <c r="AC808" s="167">
        <v>988</v>
      </c>
      <c r="AD808" s="7">
        <v>6</v>
      </c>
      <c r="AE808" s="7" t="s">
        <v>519</v>
      </c>
      <c r="AF808" s="167">
        <v>40</v>
      </c>
      <c r="AG808" s="167">
        <v>40</v>
      </c>
      <c r="AH808" s="167">
        <v>0</v>
      </c>
      <c r="AI808" s="7">
        <v>-1</v>
      </c>
      <c r="AJ808" s="7">
        <v>-1</v>
      </c>
      <c r="AK808" s="7" t="s">
        <v>1065</v>
      </c>
      <c r="AL808" s="12" t="s">
        <v>1269</v>
      </c>
      <c r="AM808" s="12" t="s">
        <v>2072</v>
      </c>
    </row>
    <row r="809" spans="1:39" ht="21" customHeight="1" x14ac:dyDescent="0.15">
      <c r="A809" s="42" t="str">
        <f t="shared" si="40"/>
        <v>41001_1</v>
      </c>
      <c r="B809" s="23">
        <v>3</v>
      </c>
      <c r="C809" s="31">
        <v>41001</v>
      </c>
      <c r="D809" s="47" t="str">
        <f ca="1">VLOOKUP($C809,OFFSET(quests!$A$1,0,0,COUNTA(quests!$A:$A),MATCH(D$1,quests!$1:$1,0)-MATCH($C$2,quests!$1:$1,0)+1),MATCH(D$1,quests!$1:$1,0)-MATCH($C$2,quests!$1:$1,0)+1,FALSE)</f>
        <v>アマテラス襲来！</v>
      </c>
      <c r="E809" s="48" t="str">
        <f ca="1">VLOOKUP($C809,OFFSET(quests!$A$1,0,0,COUNTA(quests!$A:$A),MATCH(E$2,quests!$1:$1,0)-MATCH($C$2,quests!$1:$1,0)+1),MATCH(E$2,quests!$1:$1,0)-MATCH($C$2,quests!$1:$1,0)+1,FALSE)</f>
        <v>降臨1</v>
      </c>
      <c r="F809" s="7">
        <v>1</v>
      </c>
      <c r="G809" s="7" t="s">
        <v>570</v>
      </c>
      <c r="H809" s="12" t="s">
        <v>1136</v>
      </c>
      <c r="I809" s="12" t="s">
        <v>1070</v>
      </c>
      <c r="J809" s="65">
        <v>279</v>
      </c>
      <c r="K809" s="167">
        <v>35</v>
      </c>
      <c r="L809" s="167">
        <v>4200</v>
      </c>
      <c r="M809" s="167">
        <v>1</v>
      </c>
      <c r="N809" s="167">
        <v>1</v>
      </c>
      <c r="O809" s="167">
        <v>1</v>
      </c>
      <c r="P809" s="167">
        <v>1</v>
      </c>
      <c r="Q809" s="167">
        <v>1</v>
      </c>
      <c r="R809" s="167">
        <v>3</v>
      </c>
      <c r="S809" s="167" t="s">
        <v>923</v>
      </c>
      <c r="T809" s="167">
        <v>1</v>
      </c>
      <c r="U809" s="7" t="s">
        <v>169</v>
      </c>
      <c r="V809" s="7" t="s">
        <v>169</v>
      </c>
      <c r="W809" s="47" t="str">
        <f t="shared" ca="1" si="41"/>
        <v/>
      </c>
      <c r="X809" s="47">
        <f ca="1">VLOOKUP($C809,OFFSET(quests!$A$1,0,0,COUNTA(quests!$A:$A),MATCH(X$2,quests!$1:$1,0)-MATCH($C$2,quests!$1:$1,0)+1),MATCH(X$2,quests!$1:$1,0)-MATCH($C$2,quests!$1:$1,0)+1,FALSE)</f>
        <v>0</v>
      </c>
      <c r="Y809" s="47">
        <f ca="1">VLOOKUP($C809,OFFSET(quests!$A$1,0,0,COUNTA(quests!$A:$A),MATCH(Y$2,quests!$1:$1,0)-MATCH($C$2,quests!$1:$1,0)+1),MATCH(Y$2,quests!$1:$1,0)-MATCH($C$2,quests!$1:$1,0)+1,FALSE)</f>
        <v>0</v>
      </c>
      <c r="Z809" s="47">
        <f ca="1">VLOOKUP($C809,OFFSET(quests!$A$1,0,0,COUNTA(quests!$A:$A),MATCH(Z$2,quests!$1:$1,0)-MATCH($C$2,quests!$1:$1,0)+1),MATCH(Z$2,quests!$1:$1,0)-MATCH($C$2,quests!$1:$1,0)+1,FALSE)</f>
        <v>0</v>
      </c>
      <c r="AA809" s="47">
        <f ca="1">VLOOKUP($C809,OFFSET(quests!$A$1,0,0,COUNTA(quests!$A:$A),MATCH(AA$2,quests!$1:$1,0)-MATCH($C$2,quests!$1:$1,0)+1),MATCH(AA$2,quests!$1:$1,0)-MATCH($C$2,quests!$1:$1,0)+1,FALSE)</f>
        <v>0</v>
      </c>
      <c r="AB809" s="7" t="s">
        <v>56</v>
      </c>
      <c r="AC809" s="7">
        <v>901</v>
      </c>
      <c r="AD809" s="7">
        <v>6</v>
      </c>
      <c r="AE809" s="7" t="s">
        <v>519</v>
      </c>
      <c r="AF809" s="7">
        <v>40</v>
      </c>
      <c r="AG809" s="7">
        <v>40</v>
      </c>
      <c r="AH809" s="7">
        <v>0</v>
      </c>
      <c r="AI809" s="7">
        <v>-1</v>
      </c>
      <c r="AJ809" s="7">
        <v>-1</v>
      </c>
      <c r="AK809" s="7" t="s">
        <v>1065</v>
      </c>
      <c r="AL809" s="12" t="s">
        <v>1695</v>
      </c>
      <c r="AM809" s="12" t="s">
        <v>2072</v>
      </c>
    </row>
    <row r="810" spans="1:39" ht="21" customHeight="1" x14ac:dyDescent="0.15">
      <c r="A810" s="42" t="str">
        <f t="shared" si="40"/>
        <v>41001_2</v>
      </c>
      <c r="B810" s="23">
        <v>3</v>
      </c>
      <c r="C810" s="31">
        <v>41001</v>
      </c>
      <c r="D810" s="47" t="str">
        <f ca="1">VLOOKUP($C810,OFFSET(quests!$A$1,0,0,COUNTA(quests!$A:$A),MATCH(D$1,quests!$1:$1,0)-MATCH($C$2,quests!$1:$1,0)+1),MATCH(D$1,quests!$1:$1,0)-MATCH($C$2,quests!$1:$1,0)+1,FALSE)</f>
        <v>アマテラス襲来！</v>
      </c>
      <c r="E810" s="48" t="str">
        <f ca="1">VLOOKUP($C810,OFFSET(quests!$A$1,0,0,COUNTA(quests!$A:$A),MATCH(E$2,quests!$1:$1,0)-MATCH($C$2,quests!$1:$1,0)+1),MATCH(E$2,quests!$1:$1,0)-MATCH($C$2,quests!$1:$1,0)+1,FALSE)</f>
        <v>降臨1</v>
      </c>
      <c r="F810" s="7">
        <v>2</v>
      </c>
      <c r="G810" s="7" t="s">
        <v>570</v>
      </c>
      <c r="H810" s="12" t="s">
        <v>1137</v>
      </c>
      <c r="I810" s="12" t="s">
        <v>61</v>
      </c>
      <c r="J810" s="65">
        <v>810</v>
      </c>
      <c r="K810" s="167">
        <v>40</v>
      </c>
      <c r="L810" s="167">
        <v>4500</v>
      </c>
      <c r="M810" s="167">
        <v>1</v>
      </c>
      <c r="N810" s="167">
        <v>1</v>
      </c>
      <c r="O810" s="167">
        <v>1</v>
      </c>
      <c r="P810" s="167">
        <v>1</v>
      </c>
      <c r="Q810" s="167">
        <v>1</v>
      </c>
      <c r="R810" s="167">
        <v>3</v>
      </c>
      <c r="S810" s="167" t="s">
        <v>923</v>
      </c>
      <c r="T810" s="167">
        <v>1</v>
      </c>
      <c r="U810" s="7" t="s">
        <v>169</v>
      </c>
      <c r="V810" s="7" t="s">
        <v>169</v>
      </c>
      <c r="W810" s="47" t="str">
        <f t="shared" ca="1" si="41"/>
        <v/>
      </c>
      <c r="X810" s="47">
        <f ca="1">VLOOKUP($C810,OFFSET(quests!$A$1,0,0,COUNTA(quests!$A:$A),MATCH(X$2,quests!$1:$1,0)-MATCH($C$2,quests!$1:$1,0)+1),MATCH(X$2,quests!$1:$1,0)-MATCH($C$2,quests!$1:$1,0)+1,FALSE)</f>
        <v>0</v>
      </c>
      <c r="Y810" s="47">
        <f ca="1">VLOOKUP($C810,OFFSET(quests!$A$1,0,0,COUNTA(quests!$A:$A),MATCH(Y$2,quests!$1:$1,0)-MATCH($C$2,quests!$1:$1,0)+1),MATCH(Y$2,quests!$1:$1,0)-MATCH($C$2,quests!$1:$1,0)+1,FALSE)</f>
        <v>0</v>
      </c>
      <c r="Z810" s="47">
        <f ca="1">VLOOKUP($C810,OFFSET(quests!$A$1,0,0,COUNTA(quests!$A:$A),MATCH(Z$2,quests!$1:$1,0)-MATCH($C$2,quests!$1:$1,0)+1),MATCH(Z$2,quests!$1:$1,0)-MATCH($C$2,quests!$1:$1,0)+1,FALSE)</f>
        <v>0</v>
      </c>
      <c r="AA810" s="47">
        <f ca="1">VLOOKUP($C810,OFFSET(quests!$A$1,0,0,COUNTA(quests!$A:$A),MATCH(AA$2,quests!$1:$1,0)-MATCH($C$2,quests!$1:$1,0)+1),MATCH(AA$2,quests!$1:$1,0)-MATCH($C$2,quests!$1:$1,0)+1,FALSE)</f>
        <v>0</v>
      </c>
      <c r="AB810" s="7" t="s">
        <v>56</v>
      </c>
      <c r="AC810" s="7">
        <v>901</v>
      </c>
      <c r="AD810" s="7">
        <v>6</v>
      </c>
      <c r="AE810" s="7" t="s">
        <v>519</v>
      </c>
      <c r="AF810" s="7">
        <v>40</v>
      </c>
      <c r="AG810" s="7">
        <v>40</v>
      </c>
      <c r="AH810" s="7">
        <v>0</v>
      </c>
      <c r="AI810" s="7">
        <v>-1</v>
      </c>
      <c r="AJ810" s="7">
        <v>-1</v>
      </c>
      <c r="AK810" s="7" t="s">
        <v>1065</v>
      </c>
      <c r="AL810" s="12" t="s">
        <v>1695</v>
      </c>
      <c r="AM810" s="12" t="s">
        <v>2072</v>
      </c>
    </row>
    <row r="811" spans="1:39" ht="21" customHeight="1" x14ac:dyDescent="0.15">
      <c r="A811" s="230" t="str">
        <f t="shared" si="40"/>
        <v>41001_3</v>
      </c>
      <c r="B811" s="44">
        <v>1</v>
      </c>
      <c r="C811" s="231">
        <v>41001</v>
      </c>
      <c r="D811" s="47" t="str">
        <f ca="1">VLOOKUP($C811,OFFSET(quests!$A$1,0,0,COUNTA(quests!$A:$A),MATCH(D$1,quests!$1:$1,0)-MATCH($C$2,quests!$1:$1,0)+1),MATCH(D$1,quests!$1:$1,0)-MATCH($C$2,quests!$1:$1,0)+1,FALSE)</f>
        <v>アマテラス襲来！</v>
      </c>
      <c r="E811" s="48" t="str">
        <f ca="1">VLOOKUP($C811,OFFSET(quests!$A$1,0,0,COUNTA(quests!$A:$A),MATCH(E$2,quests!$1:$1,0)-MATCH($C$2,quests!$1:$1,0)+1),MATCH(E$2,quests!$1:$1,0)-MATCH($C$2,quests!$1:$1,0)+1,FALSE)</f>
        <v>降臨1</v>
      </c>
      <c r="F811" s="232">
        <v>3</v>
      </c>
      <c r="G811" s="232" t="s">
        <v>568</v>
      </c>
      <c r="H811" s="44" t="s">
        <v>1138</v>
      </c>
      <c r="I811" s="44" t="s">
        <v>61</v>
      </c>
      <c r="J811" s="233">
        <v>810</v>
      </c>
      <c r="K811" s="232">
        <v>40</v>
      </c>
      <c r="L811" s="232">
        <v>4500</v>
      </c>
      <c r="M811" s="232">
        <v>1</v>
      </c>
      <c r="N811" s="232">
        <v>1</v>
      </c>
      <c r="O811" s="232">
        <v>1</v>
      </c>
      <c r="P811" s="232">
        <v>1</v>
      </c>
      <c r="Q811" s="232">
        <v>1</v>
      </c>
      <c r="R811" s="232">
        <v>3</v>
      </c>
      <c r="S811" s="232" t="s">
        <v>923</v>
      </c>
      <c r="T811" s="232">
        <v>1</v>
      </c>
      <c r="U811" s="232" t="s">
        <v>169</v>
      </c>
      <c r="V811" s="232" t="s">
        <v>169</v>
      </c>
      <c r="W811" s="47" t="str">
        <f t="shared" ca="1" si="41"/>
        <v/>
      </c>
      <c r="X811" s="47">
        <f ca="1">VLOOKUP($C811,OFFSET(quests!$A$1,0,0,COUNTA(quests!$A:$A),MATCH(X$2,quests!$1:$1,0)-MATCH($C$2,quests!$1:$1,0)+1),MATCH(X$2,quests!$1:$1,0)-MATCH($C$2,quests!$1:$1,0)+1,FALSE)</f>
        <v>0</v>
      </c>
      <c r="Y811" s="47">
        <f ca="1">VLOOKUP($C811,OFFSET(quests!$A$1,0,0,COUNTA(quests!$A:$A),MATCH(Y$2,quests!$1:$1,0)-MATCH($C$2,quests!$1:$1,0)+1),MATCH(Y$2,quests!$1:$1,0)-MATCH($C$2,quests!$1:$1,0)+1,FALSE)</f>
        <v>0</v>
      </c>
      <c r="Z811" s="47">
        <f ca="1">VLOOKUP($C811,OFFSET(quests!$A$1,0,0,COUNTA(quests!$A:$A),MATCH(Z$2,quests!$1:$1,0)-MATCH($C$2,quests!$1:$1,0)+1),MATCH(Z$2,quests!$1:$1,0)-MATCH($C$2,quests!$1:$1,0)+1,FALSE)</f>
        <v>0</v>
      </c>
      <c r="AA811" s="47">
        <f ca="1">VLOOKUP($C811,OFFSET(quests!$A$1,0,0,COUNTA(quests!$A:$A),MATCH(AA$2,quests!$1:$1,0)-MATCH($C$2,quests!$1:$1,0)+1),MATCH(AA$2,quests!$1:$1,0)-MATCH($C$2,quests!$1:$1,0)+1,FALSE)</f>
        <v>0</v>
      </c>
      <c r="AB811" s="232" t="s">
        <v>56</v>
      </c>
      <c r="AC811" s="232">
        <v>901</v>
      </c>
      <c r="AD811" s="232">
        <v>6</v>
      </c>
      <c r="AE811" s="232" t="s">
        <v>519</v>
      </c>
      <c r="AF811" s="232">
        <v>40</v>
      </c>
      <c r="AG811" s="232">
        <v>40</v>
      </c>
      <c r="AH811" s="232">
        <v>0</v>
      </c>
      <c r="AI811" s="232">
        <v>0</v>
      </c>
      <c r="AJ811" s="232">
        <v>-1</v>
      </c>
      <c r="AK811" s="232" t="s">
        <v>1065</v>
      </c>
      <c r="AL811" s="12" t="s">
        <v>1695</v>
      </c>
      <c r="AM811" s="12" t="s">
        <v>2072</v>
      </c>
    </row>
    <row r="812" spans="1:39" ht="21" customHeight="1" x14ac:dyDescent="0.15">
      <c r="A812" s="42" t="str">
        <f t="shared" ref="A812" si="50">C812&amp;"_"&amp;F812</f>
        <v>41001_4</v>
      </c>
      <c r="B812" s="326">
        <v>1</v>
      </c>
      <c r="C812" s="31">
        <v>41001</v>
      </c>
      <c r="D812" s="47" t="str">
        <f ca="1">VLOOKUP($C812,OFFSET(quests!$A$1,0,0,COUNTA(quests!$A:$A),MATCH(D$1,quests!$1:$1,0)-MATCH($C$2,quests!$1:$1,0)+1),MATCH(D$1,quests!$1:$1,0)-MATCH($C$2,quests!$1:$1,0)+1,FALSE)</f>
        <v>アマテラス襲来！</v>
      </c>
      <c r="E812" s="48" t="str">
        <f ca="1">VLOOKUP($C812,OFFSET(quests!$A$1,0,0,COUNTA(quests!$A:$A),MATCH(E$2,quests!$1:$1,0)-MATCH($C$2,quests!$1:$1,0)+1),MATCH(E$2,quests!$1:$1,0)-MATCH($C$2,quests!$1:$1,0)+1,FALSE)</f>
        <v>降臨1</v>
      </c>
      <c r="F812" s="327">
        <v>4</v>
      </c>
      <c r="G812" s="7" t="s">
        <v>382</v>
      </c>
      <c r="H812" s="12" t="s">
        <v>2420</v>
      </c>
      <c r="I812" s="12" t="s">
        <v>61</v>
      </c>
      <c r="J812" s="65">
        <v>810</v>
      </c>
      <c r="K812" s="167">
        <v>40</v>
      </c>
      <c r="L812" s="167">
        <v>4500</v>
      </c>
      <c r="M812" s="167">
        <v>1</v>
      </c>
      <c r="N812" s="167">
        <v>1</v>
      </c>
      <c r="O812" s="167">
        <v>1</v>
      </c>
      <c r="P812" s="167">
        <v>1</v>
      </c>
      <c r="Q812" s="167">
        <v>1</v>
      </c>
      <c r="R812" s="167">
        <v>3</v>
      </c>
      <c r="S812" s="167" t="s">
        <v>278</v>
      </c>
      <c r="T812" s="167">
        <v>1</v>
      </c>
      <c r="U812" s="7" t="s">
        <v>169</v>
      </c>
      <c r="V812" s="7" t="s">
        <v>169</v>
      </c>
      <c r="W812" s="47" t="str">
        <f t="shared" ca="1" si="41"/>
        <v/>
      </c>
      <c r="X812" s="47">
        <f ca="1">VLOOKUP($C812,OFFSET(quests!$A$1,0,0,COUNTA(quests!$A:$A),MATCH(X$2,quests!$1:$1,0)-MATCH($C$2,quests!$1:$1,0)+1),MATCH(X$2,quests!$1:$1,0)-MATCH($C$2,quests!$1:$1,0)+1,FALSE)</f>
        <v>0</v>
      </c>
      <c r="Y812" s="47">
        <f ca="1">VLOOKUP($C812,OFFSET(quests!$A$1,0,0,COUNTA(quests!$A:$A),MATCH(Y$2,quests!$1:$1,0)-MATCH($C$2,quests!$1:$1,0)+1),MATCH(Y$2,quests!$1:$1,0)-MATCH($C$2,quests!$1:$1,0)+1,FALSE)</f>
        <v>0</v>
      </c>
      <c r="Z812" s="47">
        <f ca="1">VLOOKUP($C812,OFFSET(quests!$A$1,0,0,COUNTA(quests!$A:$A),MATCH(Z$2,quests!$1:$1,0)-MATCH($C$2,quests!$1:$1,0)+1),MATCH(Z$2,quests!$1:$1,0)-MATCH($C$2,quests!$1:$1,0)+1,FALSE)</f>
        <v>0</v>
      </c>
      <c r="AA812" s="47">
        <f ca="1">VLOOKUP($C812,OFFSET(quests!$A$1,0,0,COUNTA(quests!$A:$A),MATCH(AA$2,quests!$1:$1,0)-MATCH($C$2,quests!$1:$1,0)+1),MATCH(AA$2,quests!$1:$1,0)-MATCH($C$2,quests!$1:$1,0)+1,FALSE)</f>
        <v>0</v>
      </c>
      <c r="AB812" s="7" t="s">
        <v>56</v>
      </c>
      <c r="AC812" s="7">
        <v>901</v>
      </c>
      <c r="AD812" s="7">
        <v>6</v>
      </c>
      <c r="AE812" s="7" t="s">
        <v>519</v>
      </c>
      <c r="AF812" s="7">
        <v>40</v>
      </c>
      <c r="AG812" s="7">
        <v>40</v>
      </c>
      <c r="AH812" s="7">
        <v>0</v>
      </c>
      <c r="AI812" s="7">
        <v>-1</v>
      </c>
      <c r="AJ812" s="7">
        <v>-1</v>
      </c>
      <c r="AK812" s="7" t="s">
        <v>1065</v>
      </c>
      <c r="AL812" s="12" t="s">
        <v>1269</v>
      </c>
      <c r="AM812" s="317" t="s">
        <v>2321</v>
      </c>
    </row>
    <row r="813" spans="1:39" ht="21" customHeight="1" x14ac:dyDescent="0.15">
      <c r="A813" s="42" t="str">
        <f t="shared" si="40"/>
        <v>41002_1</v>
      </c>
      <c r="B813" s="23">
        <v>3</v>
      </c>
      <c r="C813" s="31">
        <v>41002</v>
      </c>
      <c r="D813" s="47" t="str">
        <f ca="1">VLOOKUP($C813,OFFSET(quests!$A$1,0,0,COUNTA(quests!$A:$A),MATCH(D$1,quests!$1:$1,0)-MATCH($C$2,quests!$1:$1,0)+1),MATCH(D$1,quests!$1:$1,0)-MATCH($C$2,quests!$1:$1,0)+1,FALSE)</f>
        <v>アザゼル襲来！</v>
      </c>
      <c r="E813" s="48" t="str">
        <f ca="1">VLOOKUP($C813,OFFSET(quests!$A$1,0,0,COUNTA(quests!$A:$A),MATCH(E$2,quests!$1:$1,0)-MATCH($C$2,quests!$1:$1,0)+1),MATCH(E$2,quests!$1:$1,0)-MATCH($C$2,quests!$1:$1,0)+1,FALSE)</f>
        <v>降臨1</v>
      </c>
      <c r="F813" s="7">
        <v>1</v>
      </c>
      <c r="G813" s="7" t="s">
        <v>568</v>
      </c>
      <c r="H813" s="12" t="s">
        <v>1139</v>
      </c>
      <c r="I813" s="12" t="s">
        <v>1070</v>
      </c>
      <c r="J813" s="65">
        <v>297</v>
      </c>
      <c r="K813" s="167">
        <v>35</v>
      </c>
      <c r="L813" s="167">
        <v>4200</v>
      </c>
      <c r="M813" s="167">
        <v>1</v>
      </c>
      <c r="N813" s="167">
        <v>1</v>
      </c>
      <c r="O813" s="167">
        <v>1</v>
      </c>
      <c r="P813" s="167">
        <v>1</v>
      </c>
      <c r="Q813" s="167">
        <v>1</v>
      </c>
      <c r="R813" s="167">
        <v>3</v>
      </c>
      <c r="S813" s="167" t="s">
        <v>923</v>
      </c>
      <c r="T813" s="167">
        <v>1</v>
      </c>
      <c r="U813" s="7" t="s">
        <v>169</v>
      </c>
      <c r="V813" s="7" t="s">
        <v>169</v>
      </c>
      <c r="W813" s="47" t="str">
        <f t="shared" ca="1" si="41"/>
        <v/>
      </c>
      <c r="X813" s="47">
        <f ca="1">VLOOKUP($C813,OFFSET(quests!$A$1,0,0,COUNTA(quests!$A:$A),MATCH(X$2,quests!$1:$1,0)-MATCH($C$2,quests!$1:$1,0)+1),MATCH(X$2,quests!$1:$1,0)-MATCH($C$2,quests!$1:$1,0)+1,FALSE)</f>
        <v>0</v>
      </c>
      <c r="Y813" s="47">
        <f ca="1">VLOOKUP($C813,OFFSET(quests!$A$1,0,0,COUNTA(quests!$A:$A),MATCH(Y$2,quests!$1:$1,0)-MATCH($C$2,quests!$1:$1,0)+1),MATCH(Y$2,quests!$1:$1,0)-MATCH($C$2,quests!$1:$1,0)+1,FALSE)</f>
        <v>0</v>
      </c>
      <c r="Z813" s="47">
        <f ca="1">VLOOKUP($C813,OFFSET(quests!$A$1,0,0,COUNTA(quests!$A:$A),MATCH(Z$2,quests!$1:$1,0)-MATCH($C$2,quests!$1:$1,0)+1),MATCH(Z$2,quests!$1:$1,0)-MATCH($C$2,quests!$1:$1,0)+1,FALSE)</f>
        <v>0</v>
      </c>
      <c r="AA813" s="47">
        <f ca="1">VLOOKUP($C813,OFFSET(quests!$A$1,0,0,COUNTA(quests!$A:$A),MATCH(AA$2,quests!$1:$1,0)-MATCH($C$2,quests!$1:$1,0)+1),MATCH(AA$2,quests!$1:$1,0)-MATCH($C$2,quests!$1:$1,0)+1,FALSE)</f>
        <v>0</v>
      </c>
      <c r="AB813" s="7" t="s">
        <v>56</v>
      </c>
      <c r="AC813" s="7">
        <v>902</v>
      </c>
      <c r="AD813" s="7">
        <v>6</v>
      </c>
      <c r="AE813" s="7" t="s">
        <v>519</v>
      </c>
      <c r="AF813" s="7">
        <v>40</v>
      </c>
      <c r="AG813" s="7">
        <v>40</v>
      </c>
      <c r="AH813" s="7">
        <v>0</v>
      </c>
      <c r="AI813" s="7">
        <v>-1</v>
      </c>
      <c r="AJ813" s="7">
        <v>-1</v>
      </c>
      <c r="AK813" s="7" t="s">
        <v>1065</v>
      </c>
      <c r="AL813" s="12" t="s">
        <v>1695</v>
      </c>
      <c r="AM813" s="12" t="s">
        <v>2072</v>
      </c>
    </row>
    <row r="814" spans="1:39" ht="21" customHeight="1" x14ac:dyDescent="0.15">
      <c r="A814" s="42" t="str">
        <f t="shared" si="40"/>
        <v>41002_2</v>
      </c>
      <c r="B814" s="23">
        <v>3</v>
      </c>
      <c r="C814" s="31">
        <v>41002</v>
      </c>
      <c r="D814" s="47" t="str">
        <f ca="1">VLOOKUP($C814,OFFSET(quests!$A$1,0,0,COUNTA(quests!$A:$A),MATCH(D$1,quests!$1:$1,0)-MATCH($C$2,quests!$1:$1,0)+1),MATCH(D$1,quests!$1:$1,0)-MATCH($C$2,quests!$1:$1,0)+1,FALSE)</f>
        <v>アザゼル襲来！</v>
      </c>
      <c r="E814" s="48" t="str">
        <f ca="1">VLOOKUP($C814,OFFSET(quests!$A$1,0,0,COUNTA(quests!$A:$A),MATCH(E$2,quests!$1:$1,0)-MATCH($C$2,quests!$1:$1,0)+1),MATCH(E$2,quests!$1:$1,0)-MATCH($C$2,quests!$1:$1,0)+1,FALSE)</f>
        <v>降臨1</v>
      </c>
      <c r="F814" s="7">
        <v>2</v>
      </c>
      <c r="G814" s="7" t="s">
        <v>568</v>
      </c>
      <c r="H814" s="12" t="s">
        <v>1140</v>
      </c>
      <c r="I814" s="12" t="s">
        <v>61</v>
      </c>
      <c r="J814" s="65">
        <v>812</v>
      </c>
      <c r="K814" s="167">
        <v>40</v>
      </c>
      <c r="L814" s="167">
        <v>4500</v>
      </c>
      <c r="M814" s="167">
        <v>1</v>
      </c>
      <c r="N814" s="167">
        <v>1</v>
      </c>
      <c r="O814" s="167">
        <v>1</v>
      </c>
      <c r="P814" s="167">
        <v>1</v>
      </c>
      <c r="Q814" s="167">
        <v>1</v>
      </c>
      <c r="R814" s="167">
        <v>3</v>
      </c>
      <c r="S814" s="167" t="s">
        <v>923</v>
      </c>
      <c r="T814" s="167">
        <v>1</v>
      </c>
      <c r="U814" s="7" t="s">
        <v>169</v>
      </c>
      <c r="V814" s="7" t="s">
        <v>169</v>
      </c>
      <c r="W814" s="47" t="str">
        <f t="shared" ca="1" si="41"/>
        <v/>
      </c>
      <c r="X814" s="47">
        <f ca="1">VLOOKUP($C814,OFFSET(quests!$A$1,0,0,COUNTA(quests!$A:$A),MATCH(X$2,quests!$1:$1,0)-MATCH($C$2,quests!$1:$1,0)+1),MATCH(X$2,quests!$1:$1,0)-MATCH($C$2,quests!$1:$1,0)+1,FALSE)</f>
        <v>0</v>
      </c>
      <c r="Y814" s="47">
        <f ca="1">VLOOKUP($C814,OFFSET(quests!$A$1,0,0,COUNTA(quests!$A:$A),MATCH(Y$2,quests!$1:$1,0)-MATCH($C$2,quests!$1:$1,0)+1),MATCH(Y$2,quests!$1:$1,0)-MATCH($C$2,quests!$1:$1,0)+1,FALSE)</f>
        <v>0</v>
      </c>
      <c r="Z814" s="47">
        <f ca="1">VLOOKUP($C814,OFFSET(quests!$A$1,0,0,COUNTA(quests!$A:$A),MATCH(Z$2,quests!$1:$1,0)-MATCH($C$2,quests!$1:$1,0)+1),MATCH(Z$2,quests!$1:$1,0)-MATCH($C$2,quests!$1:$1,0)+1,FALSE)</f>
        <v>0</v>
      </c>
      <c r="AA814" s="47">
        <f ca="1">VLOOKUP($C814,OFFSET(quests!$A$1,0,0,COUNTA(quests!$A:$A),MATCH(AA$2,quests!$1:$1,0)-MATCH($C$2,quests!$1:$1,0)+1),MATCH(AA$2,quests!$1:$1,0)-MATCH($C$2,quests!$1:$1,0)+1,FALSE)</f>
        <v>0</v>
      </c>
      <c r="AB814" s="7" t="s">
        <v>56</v>
      </c>
      <c r="AC814" s="7">
        <v>902</v>
      </c>
      <c r="AD814" s="7">
        <v>6</v>
      </c>
      <c r="AE814" s="7" t="s">
        <v>519</v>
      </c>
      <c r="AF814" s="7">
        <v>40</v>
      </c>
      <c r="AG814" s="7">
        <v>40</v>
      </c>
      <c r="AH814" s="7">
        <v>0</v>
      </c>
      <c r="AI814" s="7">
        <v>-1</v>
      </c>
      <c r="AJ814" s="7">
        <v>-1</v>
      </c>
      <c r="AK814" s="7" t="s">
        <v>1065</v>
      </c>
      <c r="AL814" s="12" t="s">
        <v>1695</v>
      </c>
      <c r="AM814" s="12" t="s">
        <v>2072</v>
      </c>
    </row>
    <row r="815" spans="1:39" ht="21" customHeight="1" x14ac:dyDescent="0.15">
      <c r="A815" s="230" t="str">
        <f t="shared" si="40"/>
        <v>41002_3</v>
      </c>
      <c r="B815" s="44">
        <v>1</v>
      </c>
      <c r="C815" s="231">
        <v>41002</v>
      </c>
      <c r="D815" s="47" t="str">
        <f ca="1">VLOOKUP($C815,OFFSET(quests!$A$1,0,0,COUNTA(quests!$A:$A),MATCH(D$1,quests!$1:$1,0)-MATCH($C$2,quests!$1:$1,0)+1),MATCH(D$1,quests!$1:$1,0)-MATCH($C$2,quests!$1:$1,0)+1,FALSE)</f>
        <v>アザゼル襲来！</v>
      </c>
      <c r="E815" s="48" t="str">
        <f ca="1">VLOOKUP($C815,OFFSET(quests!$A$1,0,0,COUNTA(quests!$A:$A),MATCH(E$2,quests!$1:$1,0)-MATCH($C$2,quests!$1:$1,0)+1),MATCH(E$2,quests!$1:$1,0)-MATCH($C$2,quests!$1:$1,0)+1,FALSE)</f>
        <v>降臨1</v>
      </c>
      <c r="F815" s="232">
        <v>3</v>
      </c>
      <c r="G815" s="232" t="s">
        <v>568</v>
      </c>
      <c r="H815" s="44" t="s">
        <v>2413</v>
      </c>
      <c r="I815" s="44" t="s">
        <v>61</v>
      </c>
      <c r="J815" s="233">
        <v>812</v>
      </c>
      <c r="K815" s="232">
        <v>40</v>
      </c>
      <c r="L815" s="232">
        <v>4500</v>
      </c>
      <c r="M815" s="232">
        <v>1</v>
      </c>
      <c r="N815" s="232">
        <v>1</v>
      </c>
      <c r="O815" s="232">
        <v>1</v>
      </c>
      <c r="P815" s="232">
        <v>1</v>
      </c>
      <c r="Q815" s="232">
        <v>1</v>
      </c>
      <c r="R815" s="232">
        <v>3</v>
      </c>
      <c r="S815" s="232" t="s">
        <v>923</v>
      </c>
      <c r="T815" s="232">
        <v>1</v>
      </c>
      <c r="U815" s="232" t="s">
        <v>169</v>
      </c>
      <c r="V815" s="232" t="s">
        <v>169</v>
      </c>
      <c r="W815" s="47" t="str">
        <f t="shared" ca="1" si="41"/>
        <v/>
      </c>
      <c r="X815" s="47">
        <f ca="1">VLOOKUP($C815,OFFSET(quests!$A$1,0,0,COUNTA(quests!$A:$A),MATCH(X$2,quests!$1:$1,0)-MATCH($C$2,quests!$1:$1,0)+1),MATCH(X$2,quests!$1:$1,0)-MATCH($C$2,quests!$1:$1,0)+1,FALSE)</f>
        <v>0</v>
      </c>
      <c r="Y815" s="47">
        <f ca="1">VLOOKUP($C815,OFFSET(quests!$A$1,0,0,COUNTA(quests!$A:$A),MATCH(Y$2,quests!$1:$1,0)-MATCH($C$2,quests!$1:$1,0)+1),MATCH(Y$2,quests!$1:$1,0)-MATCH($C$2,quests!$1:$1,0)+1,FALSE)</f>
        <v>0</v>
      </c>
      <c r="Z815" s="47">
        <f ca="1">VLOOKUP($C815,OFFSET(quests!$A$1,0,0,COUNTA(quests!$A:$A),MATCH(Z$2,quests!$1:$1,0)-MATCH($C$2,quests!$1:$1,0)+1),MATCH(Z$2,quests!$1:$1,0)-MATCH($C$2,quests!$1:$1,0)+1,FALSE)</f>
        <v>0</v>
      </c>
      <c r="AA815" s="47">
        <f ca="1">VLOOKUP($C815,OFFSET(quests!$A$1,0,0,COUNTA(quests!$A:$A),MATCH(AA$2,quests!$1:$1,0)-MATCH($C$2,quests!$1:$1,0)+1),MATCH(AA$2,quests!$1:$1,0)-MATCH($C$2,quests!$1:$1,0)+1,FALSE)</f>
        <v>0</v>
      </c>
      <c r="AB815" s="232" t="s">
        <v>56</v>
      </c>
      <c r="AC815" s="232">
        <v>902</v>
      </c>
      <c r="AD815" s="232">
        <v>6</v>
      </c>
      <c r="AE815" s="232" t="s">
        <v>519</v>
      </c>
      <c r="AF815" s="232">
        <v>40</v>
      </c>
      <c r="AG815" s="232">
        <v>40</v>
      </c>
      <c r="AH815" s="232">
        <v>0</v>
      </c>
      <c r="AI815" s="232">
        <v>0</v>
      </c>
      <c r="AJ815" s="232">
        <v>-1</v>
      </c>
      <c r="AK815" s="232" t="s">
        <v>1065</v>
      </c>
      <c r="AL815" s="12" t="s">
        <v>1695</v>
      </c>
      <c r="AM815" s="12" t="s">
        <v>2072</v>
      </c>
    </row>
    <row r="816" spans="1:39" ht="21" customHeight="1" x14ac:dyDescent="0.15">
      <c r="A816" s="42" t="str">
        <f t="shared" ref="A816" si="51">C816&amp;"_"&amp;F816</f>
        <v>41002_4</v>
      </c>
      <c r="B816" s="39">
        <v>1</v>
      </c>
      <c r="C816" s="31">
        <v>41002</v>
      </c>
      <c r="D816" s="47" t="str">
        <f ca="1">VLOOKUP($C816,OFFSET(quests!$A$1,0,0,COUNTA(quests!$A:$A),MATCH(D$1,quests!$1:$1,0)-MATCH($C$2,quests!$1:$1,0)+1),MATCH(D$1,quests!$1:$1,0)-MATCH($C$2,quests!$1:$1,0)+1,FALSE)</f>
        <v>アザゼル襲来！</v>
      </c>
      <c r="E816" s="48" t="str">
        <f ca="1">VLOOKUP($C816,OFFSET(quests!$A$1,0,0,COUNTA(quests!$A:$A),MATCH(E$2,quests!$1:$1,0)-MATCH($C$2,quests!$1:$1,0)+1),MATCH(E$2,quests!$1:$1,0)-MATCH($C$2,quests!$1:$1,0)+1,FALSE)</f>
        <v>降臨1</v>
      </c>
      <c r="F816" s="327">
        <v>4</v>
      </c>
      <c r="G816" s="7" t="s">
        <v>382</v>
      </c>
      <c r="H816" s="12" t="s">
        <v>2414</v>
      </c>
      <c r="I816" s="12" t="s">
        <v>61</v>
      </c>
      <c r="J816" s="65">
        <v>812</v>
      </c>
      <c r="K816" s="167">
        <v>40</v>
      </c>
      <c r="L816" s="167">
        <v>4500</v>
      </c>
      <c r="M816" s="167">
        <v>1</v>
      </c>
      <c r="N816" s="167">
        <v>1</v>
      </c>
      <c r="O816" s="167">
        <v>1</v>
      </c>
      <c r="P816" s="167">
        <v>1</v>
      </c>
      <c r="Q816" s="167">
        <v>1</v>
      </c>
      <c r="R816" s="167">
        <v>3</v>
      </c>
      <c r="S816" s="167" t="s">
        <v>384</v>
      </c>
      <c r="T816" s="167">
        <v>1</v>
      </c>
      <c r="U816" s="7" t="s">
        <v>169</v>
      </c>
      <c r="V816" s="7" t="s">
        <v>169</v>
      </c>
      <c r="W816" s="47" t="str">
        <f t="shared" ca="1" si="41"/>
        <v/>
      </c>
      <c r="X816" s="47">
        <f ca="1">VLOOKUP($C816,OFFSET(quests!$A$1,0,0,COUNTA(quests!$A:$A),MATCH(X$2,quests!$1:$1,0)-MATCH($C$2,quests!$1:$1,0)+1),MATCH(X$2,quests!$1:$1,0)-MATCH($C$2,quests!$1:$1,0)+1,FALSE)</f>
        <v>0</v>
      </c>
      <c r="Y816" s="47">
        <f ca="1">VLOOKUP($C816,OFFSET(quests!$A$1,0,0,COUNTA(quests!$A:$A),MATCH(Y$2,quests!$1:$1,0)-MATCH($C$2,quests!$1:$1,0)+1),MATCH(Y$2,quests!$1:$1,0)-MATCH($C$2,quests!$1:$1,0)+1,FALSE)</f>
        <v>0</v>
      </c>
      <c r="Z816" s="47">
        <f ca="1">VLOOKUP($C816,OFFSET(quests!$A$1,0,0,COUNTA(quests!$A:$A),MATCH(Z$2,quests!$1:$1,0)-MATCH($C$2,quests!$1:$1,0)+1),MATCH(Z$2,quests!$1:$1,0)-MATCH($C$2,quests!$1:$1,0)+1,FALSE)</f>
        <v>0</v>
      </c>
      <c r="AA816" s="47">
        <f ca="1">VLOOKUP($C816,OFFSET(quests!$A$1,0,0,COUNTA(quests!$A:$A),MATCH(AA$2,quests!$1:$1,0)-MATCH($C$2,quests!$1:$1,0)+1),MATCH(AA$2,quests!$1:$1,0)-MATCH($C$2,quests!$1:$1,0)+1,FALSE)</f>
        <v>0</v>
      </c>
      <c r="AB816" s="7" t="s">
        <v>56</v>
      </c>
      <c r="AC816" s="7">
        <v>902</v>
      </c>
      <c r="AD816" s="7">
        <v>6</v>
      </c>
      <c r="AE816" s="7" t="s">
        <v>519</v>
      </c>
      <c r="AF816" s="7">
        <v>40</v>
      </c>
      <c r="AG816" s="7">
        <v>40</v>
      </c>
      <c r="AH816" s="7">
        <v>0</v>
      </c>
      <c r="AI816" s="7">
        <v>-1</v>
      </c>
      <c r="AJ816" s="7">
        <v>-1</v>
      </c>
      <c r="AK816" s="7" t="s">
        <v>1065</v>
      </c>
      <c r="AL816" s="12" t="s">
        <v>1269</v>
      </c>
      <c r="AM816" s="317" t="s">
        <v>2321</v>
      </c>
    </row>
    <row r="817" spans="1:39" ht="21" customHeight="1" x14ac:dyDescent="0.15">
      <c r="A817" s="42" t="str">
        <f t="shared" si="40"/>
        <v>41003_1</v>
      </c>
      <c r="B817" s="23">
        <v>3</v>
      </c>
      <c r="C817" s="31">
        <v>41003</v>
      </c>
      <c r="D817" s="47" t="str">
        <f ca="1">VLOOKUP($C817,OFFSET(quests!$A$1,0,0,COUNTA(quests!$A:$A),MATCH(D$1,quests!$1:$1,0)-MATCH($C$2,quests!$1:$1,0)+1),MATCH(D$1,quests!$1:$1,0)-MATCH($C$2,quests!$1:$1,0)+1,FALSE)</f>
        <v>ジャンヌ襲来！</v>
      </c>
      <c r="E817" s="48" t="str">
        <f ca="1">VLOOKUP($C817,OFFSET(quests!$A$1,0,0,COUNTA(quests!$A:$A),MATCH(E$2,quests!$1:$1,0)-MATCH($C$2,quests!$1:$1,0)+1),MATCH(E$2,quests!$1:$1,0)-MATCH($C$2,quests!$1:$1,0)+1,FALSE)</f>
        <v>降臨1</v>
      </c>
      <c r="F817" s="7">
        <v>1</v>
      </c>
      <c r="G817" s="7" t="s">
        <v>568</v>
      </c>
      <c r="H817" s="12" t="s">
        <v>1115</v>
      </c>
      <c r="I817" s="12" t="s">
        <v>1070</v>
      </c>
      <c r="J817" s="65">
        <v>315</v>
      </c>
      <c r="K817" s="167">
        <v>35</v>
      </c>
      <c r="L817" s="167">
        <v>4200</v>
      </c>
      <c r="M817" s="167">
        <v>1</v>
      </c>
      <c r="N817" s="167">
        <v>1</v>
      </c>
      <c r="O817" s="167">
        <v>1</v>
      </c>
      <c r="P817" s="167">
        <v>1</v>
      </c>
      <c r="Q817" s="167">
        <v>1</v>
      </c>
      <c r="R817" s="167">
        <v>3</v>
      </c>
      <c r="S817" s="167" t="s">
        <v>384</v>
      </c>
      <c r="T817" s="167">
        <v>1</v>
      </c>
      <c r="U817" s="7" t="s">
        <v>169</v>
      </c>
      <c r="V817" s="7" t="s">
        <v>169</v>
      </c>
      <c r="W817" s="47" t="str">
        <f t="shared" ca="1" si="41"/>
        <v/>
      </c>
      <c r="X817" s="47">
        <f ca="1">VLOOKUP($C817,OFFSET(quests!$A$1,0,0,COUNTA(quests!$A:$A),MATCH(X$2,quests!$1:$1,0)-MATCH($C$2,quests!$1:$1,0)+1),MATCH(X$2,quests!$1:$1,0)-MATCH($C$2,quests!$1:$1,0)+1,FALSE)</f>
        <v>0</v>
      </c>
      <c r="Y817" s="47">
        <f ca="1">VLOOKUP($C817,OFFSET(quests!$A$1,0,0,COUNTA(quests!$A:$A),MATCH(Y$2,quests!$1:$1,0)-MATCH($C$2,quests!$1:$1,0)+1),MATCH(Y$2,quests!$1:$1,0)-MATCH($C$2,quests!$1:$1,0)+1,FALSE)</f>
        <v>0</v>
      </c>
      <c r="Z817" s="47">
        <f ca="1">VLOOKUP($C817,OFFSET(quests!$A$1,0,0,COUNTA(quests!$A:$A),MATCH(Z$2,quests!$1:$1,0)-MATCH($C$2,quests!$1:$1,0)+1),MATCH(Z$2,quests!$1:$1,0)-MATCH($C$2,quests!$1:$1,0)+1,FALSE)</f>
        <v>0</v>
      </c>
      <c r="AA817" s="47">
        <f ca="1">VLOOKUP($C817,OFFSET(quests!$A$1,0,0,COUNTA(quests!$A:$A),MATCH(AA$2,quests!$1:$1,0)-MATCH($C$2,quests!$1:$1,0)+1),MATCH(AA$2,quests!$1:$1,0)-MATCH($C$2,quests!$1:$1,0)+1,FALSE)</f>
        <v>0</v>
      </c>
      <c r="AB817" s="7" t="s">
        <v>56</v>
      </c>
      <c r="AC817" s="7">
        <v>903</v>
      </c>
      <c r="AD817" s="7">
        <v>6</v>
      </c>
      <c r="AE817" s="7" t="s">
        <v>519</v>
      </c>
      <c r="AF817" s="7">
        <v>40</v>
      </c>
      <c r="AG817" s="7">
        <v>40</v>
      </c>
      <c r="AH817" s="7">
        <v>0</v>
      </c>
      <c r="AI817" s="7">
        <v>-1</v>
      </c>
      <c r="AJ817" s="7">
        <v>-1</v>
      </c>
      <c r="AK817" s="7" t="s">
        <v>1065</v>
      </c>
      <c r="AL817" s="12" t="s">
        <v>1695</v>
      </c>
      <c r="AM817" s="12" t="s">
        <v>2072</v>
      </c>
    </row>
    <row r="818" spans="1:39" ht="21" customHeight="1" x14ac:dyDescent="0.15">
      <c r="A818" s="42" t="str">
        <f t="shared" si="40"/>
        <v>41003_2</v>
      </c>
      <c r="B818" s="23">
        <v>3</v>
      </c>
      <c r="C818" s="31">
        <v>41003</v>
      </c>
      <c r="D818" s="47" t="str">
        <f ca="1">VLOOKUP($C818,OFFSET(quests!$A$1,0,0,COUNTA(quests!$A:$A),MATCH(D$1,quests!$1:$1,0)-MATCH($C$2,quests!$1:$1,0)+1),MATCH(D$1,quests!$1:$1,0)-MATCH($C$2,quests!$1:$1,0)+1,FALSE)</f>
        <v>ジャンヌ襲来！</v>
      </c>
      <c r="E818" s="48" t="str">
        <f ca="1">VLOOKUP($C818,OFFSET(quests!$A$1,0,0,COUNTA(quests!$A:$A),MATCH(E$2,quests!$1:$1,0)-MATCH($C$2,quests!$1:$1,0)+1),MATCH(E$2,quests!$1:$1,0)-MATCH($C$2,quests!$1:$1,0)+1,FALSE)</f>
        <v>降臨1</v>
      </c>
      <c r="F818" s="7">
        <v>2</v>
      </c>
      <c r="G818" s="7" t="s">
        <v>568</v>
      </c>
      <c r="H818" s="12" t="s">
        <v>1116</v>
      </c>
      <c r="I818" s="12" t="s">
        <v>61</v>
      </c>
      <c r="J818" s="65">
        <v>814</v>
      </c>
      <c r="K818" s="167">
        <v>40</v>
      </c>
      <c r="L818" s="167">
        <v>4500</v>
      </c>
      <c r="M818" s="167">
        <v>1</v>
      </c>
      <c r="N818" s="167">
        <v>1</v>
      </c>
      <c r="O818" s="167">
        <v>1</v>
      </c>
      <c r="P818" s="167">
        <v>1</v>
      </c>
      <c r="Q818" s="167">
        <v>1</v>
      </c>
      <c r="R818" s="167">
        <v>3</v>
      </c>
      <c r="S818" s="167" t="s">
        <v>384</v>
      </c>
      <c r="T818" s="167">
        <v>1</v>
      </c>
      <c r="U818" s="7" t="s">
        <v>169</v>
      </c>
      <c r="V818" s="7" t="s">
        <v>169</v>
      </c>
      <c r="W818" s="47" t="str">
        <f t="shared" ca="1" si="41"/>
        <v/>
      </c>
      <c r="X818" s="47">
        <f ca="1">VLOOKUP($C818,OFFSET(quests!$A$1,0,0,COUNTA(quests!$A:$A),MATCH(X$2,quests!$1:$1,0)-MATCH($C$2,quests!$1:$1,0)+1),MATCH(X$2,quests!$1:$1,0)-MATCH($C$2,quests!$1:$1,0)+1,FALSE)</f>
        <v>0</v>
      </c>
      <c r="Y818" s="47">
        <f ca="1">VLOOKUP($C818,OFFSET(quests!$A$1,0,0,COUNTA(quests!$A:$A),MATCH(Y$2,quests!$1:$1,0)-MATCH($C$2,quests!$1:$1,0)+1),MATCH(Y$2,quests!$1:$1,0)-MATCH($C$2,quests!$1:$1,0)+1,FALSE)</f>
        <v>0</v>
      </c>
      <c r="Z818" s="47">
        <f ca="1">VLOOKUP($C818,OFFSET(quests!$A$1,0,0,COUNTA(quests!$A:$A),MATCH(Z$2,quests!$1:$1,0)-MATCH($C$2,quests!$1:$1,0)+1),MATCH(Z$2,quests!$1:$1,0)-MATCH($C$2,quests!$1:$1,0)+1,FALSE)</f>
        <v>0</v>
      </c>
      <c r="AA818" s="47">
        <f ca="1">VLOOKUP($C818,OFFSET(quests!$A$1,0,0,COUNTA(quests!$A:$A),MATCH(AA$2,quests!$1:$1,0)-MATCH($C$2,quests!$1:$1,0)+1),MATCH(AA$2,quests!$1:$1,0)-MATCH($C$2,quests!$1:$1,0)+1,FALSE)</f>
        <v>0</v>
      </c>
      <c r="AB818" s="7" t="s">
        <v>56</v>
      </c>
      <c r="AC818" s="7">
        <v>903</v>
      </c>
      <c r="AD818" s="7">
        <v>6</v>
      </c>
      <c r="AE818" s="7" t="s">
        <v>519</v>
      </c>
      <c r="AF818" s="7">
        <v>40</v>
      </c>
      <c r="AG818" s="7">
        <v>40</v>
      </c>
      <c r="AH818" s="7">
        <v>0</v>
      </c>
      <c r="AI818" s="7">
        <v>-1</v>
      </c>
      <c r="AJ818" s="7">
        <v>-1</v>
      </c>
      <c r="AK818" s="7" t="s">
        <v>1065</v>
      </c>
      <c r="AL818" s="12" t="s">
        <v>1695</v>
      </c>
      <c r="AM818" s="12" t="s">
        <v>2072</v>
      </c>
    </row>
    <row r="819" spans="1:39" ht="21" customHeight="1" x14ac:dyDescent="0.15">
      <c r="A819" s="230" t="str">
        <f t="shared" si="40"/>
        <v>41003_3</v>
      </c>
      <c r="B819" s="44">
        <v>1</v>
      </c>
      <c r="C819" s="231">
        <v>41003</v>
      </c>
      <c r="D819" s="47" t="str">
        <f ca="1">VLOOKUP($C819,OFFSET(quests!$A$1,0,0,COUNTA(quests!$A:$A),MATCH(D$1,quests!$1:$1,0)-MATCH($C$2,quests!$1:$1,0)+1),MATCH(D$1,quests!$1:$1,0)-MATCH($C$2,quests!$1:$1,0)+1,FALSE)</f>
        <v>ジャンヌ襲来！</v>
      </c>
      <c r="E819" s="48" t="str">
        <f ca="1">VLOOKUP($C819,OFFSET(quests!$A$1,0,0,COUNTA(quests!$A:$A),MATCH(E$2,quests!$1:$1,0)-MATCH($C$2,quests!$1:$1,0)+1),MATCH(E$2,quests!$1:$1,0)-MATCH($C$2,quests!$1:$1,0)+1,FALSE)</f>
        <v>降臨1</v>
      </c>
      <c r="F819" s="232">
        <v>3</v>
      </c>
      <c r="G819" s="232" t="s">
        <v>568</v>
      </c>
      <c r="H819" s="44" t="s">
        <v>1117</v>
      </c>
      <c r="I819" s="44" t="s">
        <v>61</v>
      </c>
      <c r="J819" s="233">
        <v>814</v>
      </c>
      <c r="K819" s="232">
        <v>40</v>
      </c>
      <c r="L819" s="232">
        <v>4500</v>
      </c>
      <c r="M819" s="232">
        <v>1</v>
      </c>
      <c r="N819" s="232">
        <v>1</v>
      </c>
      <c r="O819" s="232">
        <v>1</v>
      </c>
      <c r="P819" s="232">
        <v>1</v>
      </c>
      <c r="Q819" s="232">
        <v>1</v>
      </c>
      <c r="R819" s="232">
        <v>3</v>
      </c>
      <c r="S819" s="232" t="s">
        <v>384</v>
      </c>
      <c r="T819" s="232">
        <v>1</v>
      </c>
      <c r="U819" s="232" t="s">
        <v>169</v>
      </c>
      <c r="V819" s="232" t="s">
        <v>169</v>
      </c>
      <c r="W819" s="47" t="str">
        <f t="shared" ca="1" si="41"/>
        <v/>
      </c>
      <c r="X819" s="47">
        <f ca="1">VLOOKUP($C819,OFFSET(quests!$A$1,0,0,COUNTA(quests!$A:$A),MATCH(X$2,quests!$1:$1,0)-MATCH($C$2,quests!$1:$1,0)+1),MATCH(X$2,quests!$1:$1,0)-MATCH($C$2,quests!$1:$1,0)+1,FALSE)</f>
        <v>0</v>
      </c>
      <c r="Y819" s="47">
        <f ca="1">VLOOKUP($C819,OFFSET(quests!$A$1,0,0,COUNTA(quests!$A:$A),MATCH(Y$2,quests!$1:$1,0)-MATCH($C$2,quests!$1:$1,0)+1),MATCH(Y$2,quests!$1:$1,0)-MATCH($C$2,quests!$1:$1,0)+1,FALSE)</f>
        <v>0</v>
      </c>
      <c r="Z819" s="47">
        <f ca="1">VLOOKUP($C819,OFFSET(quests!$A$1,0,0,COUNTA(quests!$A:$A),MATCH(Z$2,quests!$1:$1,0)-MATCH($C$2,quests!$1:$1,0)+1),MATCH(Z$2,quests!$1:$1,0)-MATCH($C$2,quests!$1:$1,0)+1,FALSE)</f>
        <v>0</v>
      </c>
      <c r="AA819" s="47">
        <f ca="1">VLOOKUP($C819,OFFSET(quests!$A$1,0,0,COUNTA(quests!$A:$A),MATCH(AA$2,quests!$1:$1,0)-MATCH($C$2,quests!$1:$1,0)+1),MATCH(AA$2,quests!$1:$1,0)-MATCH($C$2,quests!$1:$1,0)+1,FALSE)</f>
        <v>0</v>
      </c>
      <c r="AB819" s="232" t="s">
        <v>56</v>
      </c>
      <c r="AC819" s="232">
        <v>903</v>
      </c>
      <c r="AD819" s="232">
        <v>6</v>
      </c>
      <c r="AE819" s="232" t="s">
        <v>519</v>
      </c>
      <c r="AF819" s="232">
        <v>40</v>
      </c>
      <c r="AG819" s="232">
        <v>40</v>
      </c>
      <c r="AH819" s="232">
        <v>0</v>
      </c>
      <c r="AI819" s="232">
        <v>0</v>
      </c>
      <c r="AJ819" s="232">
        <v>-1</v>
      </c>
      <c r="AK819" s="232" t="s">
        <v>1065</v>
      </c>
      <c r="AL819" s="12" t="s">
        <v>1695</v>
      </c>
      <c r="AM819" s="12" t="s">
        <v>2072</v>
      </c>
    </row>
    <row r="820" spans="1:39" ht="21" customHeight="1" x14ac:dyDescent="0.15">
      <c r="A820" s="42" t="str">
        <f t="shared" ref="A820" si="52">C820&amp;"_"&amp;F820</f>
        <v>41003_4</v>
      </c>
      <c r="B820" s="39">
        <v>1</v>
      </c>
      <c r="C820" s="31">
        <v>41003</v>
      </c>
      <c r="D820" s="47" t="str">
        <f ca="1">VLOOKUP($C820,OFFSET(quests!$A$1,0,0,COUNTA(quests!$A:$A),MATCH(D$1,quests!$1:$1,0)-MATCH($C$2,quests!$1:$1,0)+1),MATCH(D$1,quests!$1:$1,0)-MATCH($C$2,quests!$1:$1,0)+1,FALSE)</f>
        <v>ジャンヌ襲来！</v>
      </c>
      <c r="E820" s="48" t="str">
        <f ca="1">VLOOKUP($C820,OFFSET(quests!$A$1,0,0,COUNTA(quests!$A:$A),MATCH(E$2,quests!$1:$1,0)-MATCH($C$2,quests!$1:$1,0)+1),MATCH(E$2,quests!$1:$1,0)-MATCH($C$2,quests!$1:$1,0)+1,FALSE)</f>
        <v>降臨1</v>
      </c>
      <c r="F820" s="327">
        <v>4</v>
      </c>
      <c r="G820" s="7" t="s">
        <v>568</v>
      </c>
      <c r="H820" s="12" t="s">
        <v>2412</v>
      </c>
      <c r="I820" s="12" t="s">
        <v>61</v>
      </c>
      <c r="J820" s="65">
        <v>814</v>
      </c>
      <c r="K820" s="167">
        <v>40</v>
      </c>
      <c r="L820" s="167">
        <v>4500</v>
      </c>
      <c r="M820" s="167">
        <v>1</v>
      </c>
      <c r="N820" s="167">
        <v>1</v>
      </c>
      <c r="O820" s="167">
        <v>1</v>
      </c>
      <c r="P820" s="167">
        <v>1</v>
      </c>
      <c r="Q820" s="167">
        <v>1</v>
      </c>
      <c r="R820" s="167">
        <v>3</v>
      </c>
      <c r="S820" s="167" t="s">
        <v>278</v>
      </c>
      <c r="T820" s="167">
        <v>1</v>
      </c>
      <c r="U820" s="7" t="s">
        <v>169</v>
      </c>
      <c r="V820" s="7" t="s">
        <v>169</v>
      </c>
      <c r="W820" s="47" t="str">
        <f t="shared" ca="1" si="41"/>
        <v/>
      </c>
      <c r="X820" s="47">
        <f ca="1">VLOOKUP($C820,OFFSET(quests!$A$1,0,0,COUNTA(quests!$A:$A),MATCH(X$2,quests!$1:$1,0)-MATCH($C$2,quests!$1:$1,0)+1),MATCH(X$2,quests!$1:$1,0)-MATCH($C$2,quests!$1:$1,0)+1,FALSE)</f>
        <v>0</v>
      </c>
      <c r="Y820" s="47">
        <f ca="1">VLOOKUP($C820,OFFSET(quests!$A$1,0,0,COUNTA(quests!$A:$A),MATCH(Y$2,quests!$1:$1,0)-MATCH($C$2,quests!$1:$1,0)+1),MATCH(Y$2,quests!$1:$1,0)-MATCH($C$2,quests!$1:$1,0)+1,FALSE)</f>
        <v>0</v>
      </c>
      <c r="Z820" s="47">
        <f ca="1">VLOOKUP($C820,OFFSET(quests!$A$1,0,0,COUNTA(quests!$A:$A),MATCH(Z$2,quests!$1:$1,0)-MATCH($C$2,quests!$1:$1,0)+1),MATCH(Z$2,quests!$1:$1,0)-MATCH($C$2,quests!$1:$1,0)+1,FALSE)</f>
        <v>0</v>
      </c>
      <c r="AA820" s="47">
        <f ca="1">VLOOKUP($C820,OFFSET(quests!$A$1,0,0,COUNTA(quests!$A:$A),MATCH(AA$2,quests!$1:$1,0)-MATCH($C$2,quests!$1:$1,0)+1),MATCH(AA$2,quests!$1:$1,0)-MATCH($C$2,quests!$1:$1,0)+1,FALSE)</f>
        <v>0</v>
      </c>
      <c r="AB820" s="7" t="s">
        <v>56</v>
      </c>
      <c r="AC820" s="7">
        <v>903</v>
      </c>
      <c r="AD820" s="7">
        <v>6</v>
      </c>
      <c r="AE820" s="7" t="s">
        <v>519</v>
      </c>
      <c r="AF820" s="7">
        <v>40</v>
      </c>
      <c r="AG820" s="7">
        <v>40</v>
      </c>
      <c r="AH820" s="7">
        <v>0</v>
      </c>
      <c r="AI820" s="7">
        <v>0</v>
      </c>
      <c r="AJ820" s="7">
        <v>-1</v>
      </c>
      <c r="AK820" s="7" t="s">
        <v>1065</v>
      </c>
      <c r="AL820" s="12" t="s">
        <v>1269</v>
      </c>
      <c r="AM820" s="317" t="s">
        <v>2321</v>
      </c>
    </row>
    <row r="821" spans="1:39" ht="21" customHeight="1" x14ac:dyDescent="0.15">
      <c r="A821" s="42" t="str">
        <f t="shared" si="40"/>
        <v>41004_1</v>
      </c>
      <c r="B821" s="23">
        <v>3</v>
      </c>
      <c r="C821" s="31">
        <v>41004</v>
      </c>
      <c r="D821" s="47" t="str">
        <f ca="1">VLOOKUP($C821,OFFSET(quests!$A$1,0,0,COUNTA(quests!$A:$A),MATCH(D$1,quests!$1:$1,0)-MATCH($C$2,quests!$1:$1,0)+1),MATCH(D$1,quests!$1:$1,0)-MATCH($C$2,quests!$1:$1,0)+1,FALSE)</f>
        <v>宮本武蔵襲来！</v>
      </c>
      <c r="E821" s="48" t="str">
        <f ca="1">VLOOKUP($C821,OFFSET(quests!$A$1,0,0,COUNTA(quests!$A:$A),MATCH(E$2,quests!$1:$1,0)-MATCH($C$2,quests!$1:$1,0)+1),MATCH(E$2,quests!$1:$1,0)-MATCH($C$2,quests!$1:$1,0)+1,FALSE)</f>
        <v>降臨1</v>
      </c>
      <c r="F821" s="7">
        <v>1</v>
      </c>
      <c r="G821" s="7" t="s">
        <v>568</v>
      </c>
      <c r="H821" s="12" t="s">
        <v>1190</v>
      </c>
      <c r="I821" s="12" t="s">
        <v>1070</v>
      </c>
      <c r="J821" s="65">
        <v>427</v>
      </c>
      <c r="K821" s="167">
        <v>35</v>
      </c>
      <c r="L821" s="167">
        <v>4200</v>
      </c>
      <c r="M821" s="167">
        <v>1</v>
      </c>
      <c r="N821" s="167">
        <v>1</v>
      </c>
      <c r="O821" s="167">
        <v>1</v>
      </c>
      <c r="P821" s="167">
        <v>1</v>
      </c>
      <c r="Q821" s="167">
        <v>1</v>
      </c>
      <c r="R821" s="167">
        <v>3</v>
      </c>
      <c r="S821" s="167" t="s">
        <v>384</v>
      </c>
      <c r="T821" s="167">
        <v>1</v>
      </c>
      <c r="U821" s="7" t="s">
        <v>169</v>
      </c>
      <c r="V821" s="7" t="s">
        <v>169</v>
      </c>
      <c r="W821" s="47" t="str">
        <f t="shared" ca="1" si="41"/>
        <v/>
      </c>
      <c r="X821" s="47">
        <f ca="1">VLOOKUP($C821,OFFSET(quests!$A$1,0,0,COUNTA(quests!$A:$A),MATCH(X$2,quests!$1:$1,0)-MATCH($C$2,quests!$1:$1,0)+1),MATCH(X$2,quests!$1:$1,0)-MATCH($C$2,quests!$1:$1,0)+1,FALSE)</f>
        <v>0</v>
      </c>
      <c r="Y821" s="47">
        <f ca="1">VLOOKUP($C821,OFFSET(quests!$A$1,0,0,COUNTA(quests!$A:$A),MATCH(Y$2,quests!$1:$1,0)-MATCH($C$2,quests!$1:$1,0)+1),MATCH(Y$2,quests!$1:$1,0)-MATCH($C$2,quests!$1:$1,0)+1,FALSE)</f>
        <v>0</v>
      </c>
      <c r="Z821" s="47">
        <f ca="1">VLOOKUP($C821,OFFSET(quests!$A$1,0,0,COUNTA(quests!$A:$A),MATCH(Z$2,quests!$1:$1,0)-MATCH($C$2,quests!$1:$1,0)+1),MATCH(Z$2,quests!$1:$1,0)-MATCH($C$2,quests!$1:$1,0)+1,FALSE)</f>
        <v>0</v>
      </c>
      <c r="AA821" s="47">
        <f ca="1">VLOOKUP($C821,OFFSET(quests!$A$1,0,0,COUNTA(quests!$A:$A),MATCH(AA$2,quests!$1:$1,0)-MATCH($C$2,quests!$1:$1,0)+1),MATCH(AA$2,quests!$1:$1,0)-MATCH($C$2,quests!$1:$1,0)+1,FALSE)</f>
        <v>0</v>
      </c>
      <c r="AB821" s="7" t="s">
        <v>56</v>
      </c>
      <c r="AC821" s="7">
        <v>904</v>
      </c>
      <c r="AD821" s="7">
        <v>6</v>
      </c>
      <c r="AE821" s="7" t="s">
        <v>519</v>
      </c>
      <c r="AF821" s="7">
        <v>40</v>
      </c>
      <c r="AG821" s="7">
        <v>40</v>
      </c>
      <c r="AH821" s="7">
        <v>0</v>
      </c>
      <c r="AI821" s="7">
        <v>-1</v>
      </c>
      <c r="AJ821" s="7">
        <v>-1</v>
      </c>
      <c r="AK821" s="7" t="s">
        <v>1065</v>
      </c>
      <c r="AL821" s="12" t="s">
        <v>1695</v>
      </c>
      <c r="AM821" s="12" t="s">
        <v>2072</v>
      </c>
    </row>
    <row r="822" spans="1:39" ht="21" customHeight="1" x14ac:dyDescent="0.15">
      <c r="A822" s="42" t="str">
        <f t="shared" si="40"/>
        <v>41004_2</v>
      </c>
      <c r="B822" s="23">
        <v>3</v>
      </c>
      <c r="C822" s="31">
        <v>41004</v>
      </c>
      <c r="D822" s="47" t="str">
        <f ca="1">VLOOKUP($C822,OFFSET(quests!$A$1,0,0,COUNTA(quests!$A:$A),MATCH(D$1,quests!$1:$1,0)-MATCH($C$2,quests!$1:$1,0)+1),MATCH(D$1,quests!$1:$1,0)-MATCH($C$2,quests!$1:$1,0)+1,FALSE)</f>
        <v>宮本武蔵襲来！</v>
      </c>
      <c r="E822" s="48" t="str">
        <f ca="1">VLOOKUP($C822,OFFSET(quests!$A$1,0,0,COUNTA(quests!$A:$A),MATCH(E$2,quests!$1:$1,0)-MATCH($C$2,quests!$1:$1,0)+1),MATCH(E$2,quests!$1:$1,0)-MATCH($C$2,quests!$1:$1,0)+1,FALSE)</f>
        <v>降臨1</v>
      </c>
      <c r="F822" s="7">
        <v>2</v>
      </c>
      <c r="G822" s="7" t="s">
        <v>568</v>
      </c>
      <c r="H822" s="12" t="s">
        <v>1191</v>
      </c>
      <c r="I822" s="12" t="s">
        <v>61</v>
      </c>
      <c r="J822" s="65">
        <v>816</v>
      </c>
      <c r="K822" s="167">
        <v>40</v>
      </c>
      <c r="L822" s="167">
        <v>4500</v>
      </c>
      <c r="M822" s="167">
        <v>1</v>
      </c>
      <c r="N822" s="167">
        <v>1</v>
      </c>
      <c r="O822" s="167">
        <v>1</v>
      </c>
      <c r="P822" s="167">
        <v>1</v>
      </c>
      <c r="Q822" s="167">
        <v>1</v>
      </c>
      <c r="R822" s="167">
        <v>3</v>
      </c>
      <c r="S822" s="167" t="s">
        <v>384</v>
      </c>
      <c r="T822" s="167">
        <v>1</v>
      </c>
      <c r="U822" s="7" t="s">
        <v>169</v>
      </c>
      <c r="V822" s="7" t="s">
        <v>169</v>
      </c>
      <c r="W822" s="47" t="str">
        <f t="shared" ca="1" si="41"/>
        <v/>
      </c>
      <c r="X822" s="47">
        <f ca="1">VLOOKUP($C822,OFFSET(quests!$A$1,0,0,COUNTA(quests!$A:$A),MATCH(X$2,quests!$1:$1,0)-MATCH($C$2,quests!$1:$1,0)+1),MATCH(X$2,quests!$1:$1,0)-MATCH($C$2,quests!$1:$1,0)+1,FALSE)</f>
        <v>0</v>
      </c>
      <c r="Y822" s="47">
        <f ca="1">VLOOKUP($C822,OFFSET(quests!$A$1,0,0,COUNTA(quests!$A:$A),MATCH(Y$2,quests!$1:$1,0)-MATCH($C$2,quests!$1:$1,0)+1),MATCH(Y$2,quests!$1:$1,0)-MATCH($C$2,quests!$1:$1,0)+1,FALSE)</f>
        <v>0</v>
      </c>
      <c r="Z822" s="47">
        <f ca="1">VLOOKUP($C822,OFFSET(quests!$A$1,0,0,COUNTA(quests!$A:$A),MATCH(Z$2,quests!$1:$1,0)-MATCH($C$2,quests!$1:$1,0)+1),MATCH(Z$2,quests!$1:$1,0)-MATCH($C$2,quests!$1:$1,0)+1,FALSE)</f>
        <v>0</v>
      </c>
      <c r="AA822" s="47">
        <f ca="1">VLOOKUP($C822,OFFSET(quests!$A$1,0,0,COUNTA(quests!$A:$A),MATCH(AA$2,quests!$1:$1,0)-MATCH($C$2,quests!$1:$1,0)+1),MATCH(AA$2,quests!$1:$1,0)-MATCH($C$2,quests!$1:$1,0)+1,FALSE)</f>
        <v>0</v>
      </c>
      <c r="AB822" s="7" t="s">
        <v>56</v>
      </c>
      <c r="AC822" s="7">
        <v>904</v>
      </c>
      <c r="AD822" s="7">
        <v>6</v>
      </c>
      <c r="AE822" s="7" t="s">
        <v>519</v>
      </c>
      <c r="AF822" s="7">
        <v>40</v>
      </c>
      <c r="AG822" s="7">
        <v>40</v>
      </c>
      <c r="AH822" s="7">
        <v>0</v>
      </c>
      <c r="AI822" s="7">
        <v>-1</v>
      </c>
      <c r="AJ822" s="7">
        <v>-1</v>
      </c>
      <c r="AK822" s="7" t="s">
        <v>1065</v>
      </c>
      <c r="AL822" s="12" t="s">
        <v>1695</v>
      </c>
      <c r="AM822" s="12" t="s">
        <v>2072</v>
      </c>
    </row>
    <row r="823" spans="1:39" ht="21" customHeight="1" x14ac:dyDescent="0.15">
      <c r="A823" s="230" t="str">
        <f t="shared" si="40"/>
        <v>41004_3</v>
      </c>
      <c r="B823" s="44">
        <v>1</v>
      </c>
      <c r="C823" s="231">
        <v>41004</v>
      </c>
      <c r="D823" s="47" t="str">
        <f ca="1">VLOOKUP($C823,OFFSET(quests!$A$1,0,0,COUNTA(quests!$A:$A),MATCH(D$1,quests!$1:$1,0)-MATCH($C$2,quests!$1:$1,0)+1),MATCH(D$1,quests!$1:$1,0)-MATCH($C$2,quests!$1:$1,0)+1,FALSE)</f>
        <v>宮本武蔵襲来！</v>
      </c>
      <c r="E823" s="48" t="str">
        <f ca="1">VLOOKUP($C823,OFFSET(quests!$A$1,0,0,COUNTA(quests!$A:$A),MATCH(E$2,quests!$1:$1,0)-MATCH($C$2,quests!$1:$1,0)+1),MATCH(E$2,quests!$1:$1,0)-MATCH($C$2,quests!$1:$1,0)+1,FALSE)</f>
        <v>降臨1</v>
      </c>
      <c r="F823" s="232">
        <v>3</v>
      </c>
      <c r="G823" s="232" t="s">
        <v>568</v>
      </c>
      <c r="H823" s="44" t="s">
        <v>1192</v>
      </c>
      <c r="I823" s="44" t="s">
        <v>61</v>
      </c>
      <c r="J823" s="233">
        <v>816</v>
      </c>
      <c r="K823" s="232">
        <v>40</v>
      </c>
      <c r="L823" s="232">
        <v>4500</v>
      </c>
      <c r="M823" s="232">
        <v>1</v>
      </c>
      <c r="N823" s="232">
        <v>1</v>
      </c>
      <c r="O823" s="232">
        <v>1</v>
      </c>
      <c r="P823" s="232">
        <v>1</v>
      </c>
      <c r="Q823" s="232">
        <v>1</v>
      </c>
      <c r="R823" s="232">
        <v>3</v>
      </c>
      <c r="S823" s="232" t="s">
        <v>384</v>
      </c>
      <c r="T823" s="232">
        <v>1</v>
      </c>
      <c r="U823" s="232" t="s">
        <v>169</v>
      </c>
      <c r="V823" s="232" t="s">
        <v>169</v>
      </c>
      <c r="W823" s="47" t="str">
        <f t="shared" ca="1" si="41"/>
        <v/>
      </c>
      <c r="X823" s="47">
        <f ca="1">VLOOKUP($C823,OFFSET(quests!$A$1,0,0,COUNTA(quests!$A:$A),MATCH(X$2,quests!$1:$1,0)-MATCH($C$2,quests!$1:$1,0)+1),MATCH(X$2,quests!$1:$1,0)-MATCH($C$2,quests!$1:$1,0)+1,FALSE)</f>
        <v>0</v>
      </c>
      <c r="Y823" s="47">
        <f ca="1">VLOOKUP($C823,OFFSET(quests!$A$1,0,0,COUNTA(quests!$A:$A),MATCH(Y$2,quests!$1:$1,0)-MATCH($C$2,quests!$1:$1,0)+1),MATCH(Y$2,quests!$1:$1,0)-MATCH($C$2,quests!$1:$1,0)+1,FALSE)</f>
        <v>0</v>
      </c>
      <c r="Z823" s="47">
        <f ca="1">VLOOKUP($C823,OFFSET(quests!$A$1,0,0,COUNTA(quests!$A:$A),MATCH(Z$2,quests!$1:$1,0)-MATCH($C$2,quests!$1:$1,0)+1),MATCH(Z$2,quests!$1:$1,0)-MATCH($C$2,quests!$1:$1,0)+1,FALSE)</f>
        <v>0</v>
      </c>
      <c r="AA823" s="47">
        <f ca="1">VLOOKUP($C823,OFFSET(quests!$A$1,0,0,COUNTA(quests!$A:$A),MATCH(AA$2,quests!$1:$1,0)-MATCH($C$2,quests!$1:$1,0)+1),MATCH(AA$2,quests!$1:$1,0)-MATCH($C$2,quests!$1:$1,0)+1,FALSE)</f>
        <v>0</v>
      </c>
      <c r="AB823" s="232" t="s">
        <v>56</v>
      </c>
      <c r="AC823" s="232">
        <v>904</v>
      </c>
      <c r="AD823" s="232">
        <v>6</v>
      </c>
      <c r="AE823" s="232" t="s">
        <v>519</v>
      </c>
      <c r="AF823" s="232">
        <v>40</v>
      </c>
      <c r="AG823" s="232">
        <v>40</v>
      </c>
      <c r="AH823" s="232">
        <v>0</v>
      </c>
      <c r="AI823" s="232">
        <v>0</v>
      </c>
      <c r="AJ823" s="232">
        <v>-1</v>
      </c>
      <c r="AK823" s="232" t="s">
        <v>1065</v>
      </c>
      <c r="AL823" s="12" t="s">
        <v>1695</v>
      </c>
      <c r="AM823" s="12" t="s">
        <v>2072</v>
      </c>
    </row>
    <row r="824" spans="1:39" ht="21" customHeight="1" x14ac:dyDescent="0.15">
      <c r="A824" s="42" t="str">
        <f t="shared" si="40"/>
        <v>41005_1</v>
      </c>
      <c r="B824" s="23">
        <v>3</v>
      </c>
      <c r="C824" s="31">
        <v>41005</v>
      </c>
      <c r="D824" s="47" t="str">
        <f ca="1">VLOOKUP($C824,OFFSET(quests!$A$1,0,0,COUNTA(quests!$A:$A),MATCH(D$1,quests!$1:$1,0)-MATCH($C$2,quests!$1:$1,0)+1),MATCH(D$1,quests!$1:$1,0)-MATCH($C$2,quests!$1:$1,0)+1,FALSE)</f>
        <v>オズ襲来！</v>
      </c>
      <c r="E824" s="48" t="str">
        <f ca="1">VLOOKUP($C824,OFFSET(quests!$A$1,0,0,COUNTA(quests!$A:$A),MATCH(E$2,quests!$1:$1,0)-MATCH($C$2,quests!$1:$1,0)+1),MATCH(E$2,quests!$1:$1,0)-MATCH($C$2,quests!$1:$1,0)+1,FALSE)</f>
        <v>降臨1</v>
      </c>
      <c r="F824" s="7">
        <v>1</v>
      </c>
      <c r="G824" s="7" t="s">
        <v>568</v>
      </c>
      <c r="H824" s="12" t="s">
        <v>1216</v>
      </c>
      <c r="I824" s="12" t="s">
        <v>1070</v>
      </c>
      <c r="J824" s="65">
        <v>461</v>
      </c>
      <c r="K824" s="167">
        <v>35</v>
      </c>
      <c r="L824" s="167">
        <v>4200</v>
      </c>
      <c r="M824" s="167">
        <v>1</v>
      </c>
      <c r="N824" s="167">
        <v>1</v>
      </c>
      <c r="O824" s="167">
        <v>1</v>
      </c>
      <c r="P824" s="167">
        <v>1</v>
      </c>
      <c r="Q824" s="167">
        <v>1</v>
      </c>
      <c r="R824" s="167">
        <v>3</v>
      </c>
      <c r="S824" s="167" t="s">
        <v>384</v>
      </c>
      <c r="T824" s="167">
        <v>1</v>
      </c>
      <c r="U824" s="7" t="s">
        <v>169</v>
      </c>
      <c r="V824" s="7" t="s">
        <v>169</v>
      </c>
      <c r="W824" s="47"/>
      <c r="X824" s="47">
        <f ca="1">VLOOKUP($C824,OFFSET(quests!$A$1,0,0,COUNTA(quests!$A:$A),MATCH(X$2,quests!$1:$1,0)-MATCH($C$2,quests!$1:$1,0)+1),MATCH(X$2,quests!$1:$1,0)-MATCH($C$2,quests!$1:$1,0)+1,FALSE)</f>
        <v>0</v>
      </c>
      <c r="Y824" s="47">
        <f ca="1">VLOOKUP($C824,OFFSET(quests!$A$1,0,0,COUNTA(quests!$A:$A),MATCH(Y$2,quests!$1:$1,0)-MATCH($C$2,quests!$1:$1,0)+1),MATCH(Y$2,quests!$1:$1,0)-MATCH($C$2,quests!$1:$1,0)+1,FALSE)</f>
        <v>0</v>
      </c>
      <c r="Z824" s="47">
        <f ca="1">VLOOKUP($C824,OFFSET(quests!$A$1,0,0,COUNTA(quests!$A:$A),MATCH(Z$2,quests!$1:$1,0)-MATCH($C$2,quests!$1:$1,0)+1),MATCH(Z$2,quests!$1:$1,0)-MATCH($C$2,quests!$1:$1,0)+1,FALSE)</f>
        <v>0</v>
      </c>
      <c r="AA824" s="47">
        <f ca="1">VLOOKUP($C824,OFFSET(quests!$A$1,0,0,COUNTA(quests!$A:$A),MATCH(AA$2,quests!$1:$1,0)-MATCH($C$2,quests!$1:$1,0)+1),MATCH(AA$2,quests!$1:$1,0)-MATCH($C$2,quests!$1:$1,0)+1,FALSE)</f>
        <v>0</v>
      </c>
      <c r="AB824" s="7" t="s">
        <v>56</v>
      </c>
      <c r="AC824" s="7">
        <v>906</v>
      </c>
      <c r="AD824" s="7">
        <v>6</v>
      </c>
      <c r="AE824" s="7" t="s">
        <v>519</v>
      </c>
      <c r="AF824" s="7">
        <v>40</v>
      </c>
      <c r="AG824" s="7">
        <v>40</v>
      </c>
      <c r="AH824" s="7">
        <v>0</v>
      </c>
      <c r="AI824" s="7">
        <v>-1</v>
      </c>
      <c r="AJ824" s="7">
        <v>-1</v>
      </c>
      <c r="AK824" s="7" t="s">
        <v>1065</v>
      </c>
      <c r="AL824" s="12" t="s">
        <v>1695</v>
      </c>
      <c r="AM824" s="12" t="s">
        <v>2072</v>
      </c>
    </row>
    <row r="825" spans="1:39" ht="21" customHeight="1" x14ac:dyDescent="0.15">
      <c r="A825" s="42" t="str">
        <f t="shared" si="40"/>
        <v>41005_2</v>
      </c>
      <c r="B825" s="23">
        <v>3</v>
      </c>
      <c r="C825" s="31">
        <v>41005</v>
      </c>
      <c r="D825" s="47" t="str">
        <f ca="1">VLOOKUP($C825,OFFSET(quests!$A$1,0,0,COUNTA(quests!$A:$A),MATCH(D$1,quests!$1:$1,0)-MATCH($C$2,quests!$1:$1,0)+1),MATCH(D$1,quests!$1:$1,0)-MATCH($C$2,quests!$1:$1,0)+1,FALSE)</f>
        <v>オズ襲来！</v>
      </c>
      <c r="E825" s="48" t="str">
        <f ca="1">VLOOKUP($C825,OFFSET(quests!$A$1,0,0,COUNTA(quests!$A:$A),MATCH(E$2,quests!$1:$1,0)-MATCH($C$2,quests!$1:$1,0)+1),MATCH(E$2,quests!$1:$1,0)-MATCH($C$2,quests!$1:$1,0)+1,FALSE)</f>
        <v>降臨1</v>
      </c>
      <c r="F825" s="7">
        <v>2</v>
      </c>
      <c r="G825" s="7" t="s">
        <v>568</v>
      </c>
      <c r="H825" s="12" t="s">
        <v>1217</v>
      </c>
      <c r="I825" s="12" t="s">
        <v>61</v>
      </c>
      <c r="J825" s="65">
        <v>818</v>
      </c>
      <c r="K825" s="167">
        <v>40</v>
      </c>
      <c r="L825" s="167">
        <v>4500</v>
      </c>
      <c r="M825" s="167">
        <v>1</v>
      </c>
      <c r="N825" s="167">
        <v>1</v>
      </c>
      <c r="O825" s="167">
        <v>1</v>
      </c>
      <c r="P825" s="167">
        <v>1</v>
      </c>
      <c r="Q825" s="167">
        <v>1</v>
      </c>
      <c r="R825" s="167">
        <v>3</v>
      </c>
      <c r="S825" s="167" t="s">
        <v>384</v>
      </c>
      <c r="T825" s="167">
        <v>1</v>
      </c>
      <c r="U825" s="7" t="s">
        <v>169</v>
      </c>
      <c r="V825" s="7" t="s">
        <v>169</v>
      </c>
      <c r="W825" s="47"/>
      <c r="X825" s="47">
        <f ca="1">VLOOKUP($C825,OFFSET(quests!$A$1,0,0,COUNTA(quests!$A:$A),MATCH(X$2,quests!$1:$1,0)-MATCH($C$2,quests!$1:$1,0)+1),MATCH(X$2,quests!$1:$1,0)-MATCH($C$2,quests!$1:$1,0)+1,FALSE)</f>
        <v>0</v>
      </c>
      <c r="Y825" s="47">
        <f ca="1">VLOOKUP($C825,OFFSET(quests!$A$1,0,0,COUNTA(quests!$A:$A),MATCH(Y$2,quests!$1:$1,0)-MATCH($C$2,quests!$1:$1,0)+1),MATCH(Y$2,quests!$1:$1,0)-MATCH($C$2,quests!$1:$1,0)+1,FALSE)</f>
        <v>0</v>
      </c>
      <c r="Z825" s="47">
        <f ca="1">VLOOKUP($C825,OFFSET(quests!$A$1,0,0,COUNTA(quests!$A:$A),MATCH(Z$2,quests!$1:$1,0)-MATCH($C$2,quests!$1:$1,0)+1),MATCH(Z$2,quests!$1:$1,0)-MATCH($C$2,quests!$1:$1,0)+1,FALSE)</f>
        <v>0</v>
      </c>
      <c r="AA825" s="47">
        <f ca="1">VLOOKUP($C825,OFFSET(quests!$A$1,0,0,COUNTA(quests!$A:$A),MATCH(AA$2,quests!$1:$1,0)-MATCH($C$2,quests!$1:$1,0)+1),MATCH(AA$2,quests!$1:$1,0)-MATCH($C$2,quests!$1:$1,0)+1,FALSE)</f>
        <v>0</v>
      </c>
      <c r="AB825" s="7" t="s">
        <v>56</v>
      </c>
      <c r="AC825" s="7">
        <v>906</v>
      </c>
      <c r="AD825" s="7">
        <v>6</v>
      </c>
      <c r="AE825" s="7" t="s">
        <v>519</v>
      </c>
      <c r="AF825" s="7">
        <v>40</v>
      </c>
      <c r="AG825" s="7">
        <v>40</v>
      </c>
      <c r="AH825" s="7">
        <v>0</v>
      </c>
      <c r="AI825" s="7">
        <v>-1</v>
      </c>
      <c r="AJ825" s="7">
        <v>-1</v>
      </c>
      <c r="AK825" s="7" t="s">
        <v>1065</v>
      </c>
      <c r="AL825" s="12" t="s">
        <v>1695</v>
      </c>
      <c r="AM825" s="12" t="s">
        <v>2072</v>
      </c>
    </row>
    <row r="826" spans="1:39" ht="21" customHeight="1" x14ac:dyDescent="0.15">
      <c r="A826" s="230" t="str">
        <f t="shared" si="40"/>
        <v>41005_3</v>
      </c>
      <c r="B826" s="44">
        <v>1</v>
      </c>
      <c r="C826" s="231">
        <v>41005</v>
      </c>
      <c r="D826" s="47" t="str">
        <f ca="1">VLOOKUP($C826,OFFSET(quests!$A$1,0,0,COUNTA(quests!$A:$A),MATCH(D$1,quests!$1:$1,0)-MATCH($C$2,quests!$1:$1,0)+1),MATCH(D$1,quests!$1:$1,0)-MATCH($C$2,quests!$1:$1,0)+1,FALSE)</f>
        <v>オズ襲来！</v>
      </c>
      <c r="E826" s="48" t="str">
        <f ca="1">VLOOKUP($C826,OFFSET(quests!$A$1,0,0,COUNTA(quests!$A:$A),MATCH(E$2,quests!$1:$1,0)-MATCH($C$2,quests!$1:$1,0)+1),MATCH(E$2,quests!$1:$1,0)-MATCH($C$2,quests!$1:$1,0)+1,FALSE)</f>
        <v>降臨1</v>
      </c>
      <c r="F826" s="232">
        <v>3</v>
      </c>
      <c r="G826" s="232" t="s">
        <v>568</v>
      </c>
      <c r="H826" s="44" t="s">
        <v>1218</v>
      </c>
      <c r="I826" s="44" t="s">
        <v>61</v>
      </c>
      <c r="J826" s="233">
        <v>818</v>
      </c>
      <c r="K826" s="232">
        <v>40</v>
      </c>
      <c r="L826" s="232">
        <v>4500</v>
      </c>
      <c r="M826" s="232">
        <v>1</v>
      </c>
      <c r="N826" s="232">
        <v>1</v>
      </c>
      <c r="O826" s="232">
        <v>1</v>
      </c>
      <c r="P826" s="232">
        <v>1</v>
      </c>
      <c r="Q826" s="232">
        <v>1</v>
      </c>
      <c r="R826" s="232">
        <v>3</v>
      </c>
      <c r="S826" s="232" t="s">
        <v>384</v>
      </c>
      <c r="T826" s="232">
        <v>1</v>
      </c>
      <c r="U826" s="232" t="s">
        <v>169</v>
      </c>
      <c r="V826" s="232" t="s">
        <v>169</v>
      </c>
      <c r="W826" s="47"/>
      <c r="X826" s="47">
        <f ca="1">VLOOKUP($C826,OFFSET(quests!$A$1,0,0,COUNTA(quests!$A:$A),MATCH(X$2,quests!$1:$1,0)-MATCH($C$2,quests!$1:$1,0)+1),MATCH(X$2,quests!$1:$1,0)-MATCH($C$2,quests!$1:$1,0)+1,FALSE)</f>
        <v>0</v>
      </c>
      <c r="Y826" s="47">
        <f ca="1">VLOOKUP($C826,OFFSET(quests!$A$1,0,0,COUNTA(quests!$A:$A),MATCH(Y$2,quests!$1:$1,0)-MATCH($C$2,quests!$1:$1,0)+1),MATCH(Y$2,quests!$1:$1,0)-MATCH($C$2,quests!$1:$1,0)+1,FALSE)</f>
        <v>0</v>
      </c>
      <c r="Z826" s="47">
        <f ca="1">VLOOKUP($C826,OFFSET(quests!$A$1,0,0,COUNTA(quests!$A:$A),MATCH(Z$2,quests!$1:$1,0)-MATCH($C$2,quests!$1:$1,0)+1),MATCH(Z$2,quests!$1:$1,0)-MATCH($C$2,quests!$1:$1,0)+1,FALSE)</f>
        <v>0</v>
      </c>
      <c r="AA826" s="47">
        <f ca="1">VLOOKUP($C826,OFFSET(quests!$A$1,0,0,COUNTA(quests!$A:$A),MATCH(AA$2,quests!$1:$1,0)-MATCH($C$2,quests!$1:$1,0)+1),MATCH(AA$2,quests!$1:$1,0)-MATCH($C$2,quests!$1:$1,0)+1,FALSE)</f>
        <v>0</v>
      </c>
      <c r="AB826" s="232" t="s">
        <v>56</v>
      </c>
      <c r="AC826" s="232">
        <v>906</v>
      </c>
      <c r="AD826" s="232">
        <v>6</v>
      </c>
      <c r="AE826" s="232" t="s">
        <v>519</v>
      </c>
      <c r="AF826" s="232">
        <v>40</v>
      </c>
      <c r="AG826" s="232">
        <v>40</v>
      </c>
      <c r="AH826" s="232">
        <v>0</v>
      </c>
      <c r="AI826" s="232">
        <v>0</v>
      </c>
      <c r="AJ826" s="232">
        <v>-1</v>
      </c>
      <c r="AK826" s="232" t="s">
        <v>1065</v>
      </c>
      <c r="AL826" s="12" t="s">
        <v>1695</v>
      </c>
      <c r="AM826" s="12" t="s">
        <v>2072</v>
      </c>
    </row>
    <row r="827" spans="1:39" ht="21" customHeight="1" x14ac:dyDescent="0.15">
      <c r="A827" s="42" t="str">
        <f t="shared" si="40"/>
        <v>41006_1</v>
      </c>
      <c r="B827" s="23">
        <v>3</v>
      </c>
      <c r="C827" s="31">
        <v>41006</v>
      </c>
      <c r="D827" s="47" t="str">
        <f ca="1">VLOOKUP($C827,OFFSET(quests!$A$1,0,0,COUNTA(quests!$A:$A),MATCH(D$1,quests!$1:$1,0)-MATCH($C$2,quests!$1:$1,0)+1),MATCH(D$1,quests!$1:$1,0)-MATCH($C$2,quests!$1:$1,0)+1,FALSE)</f>
        <v>アーサー襲来！</v>
      </c>
      <c r="E827" s="48" t="str">
        <f ca="1">VLOOKUP($C827,OFFSET(quests!$A$1,0,0,COUNTA(quests!$A:$A),MATCH(E$2,quests!$1:$1,0)-MATCH($C$2,quests!$1:$1,0)+1),MATCH(E$2,quests!$1:$1,0)-MATCH($C$2,quests!$1:$1,0)+1,FALSE)</f>
        <v>降臨1</v>
      </c>
      <c r="F827" s="7">
        <v>1</v>
      </c>
      <c r="G827" s="7" t="s">
        <v>568</v>
      </c>
      <c r="H827" s="12" t="s">
        <v>1234</v>
      </c>
      <c r="I827" s="12" t="s">
        <v>1070</v>
      </c>
      <c r="J827" s="65">
        <v>473</v>
      </c>
      <c r="K827" s="167">
        <v>35</v>
      </c>
      <c r="L827" s="167">
        <v>4200</v>
      </c>
      <c r="M827" s="167">
        <v>1</v>
      </c>
      <c r="N827" s="167">
        <v>1</v>
      </c>
      <c r="O827" s="167">
        <v>1</v>
      </c>
      <c r="P827" s="167">
        <v>1</v>
      </c>
      <c r="Q827" s="167">
        <v>1</v>
      </c>
      <c r="R827" s="167">
        <v>3</v>
      </c>
      <c r="S827" s="167" t="s">
        <v>384</v>
      </c>
      <c r="T827" s="167">
        <v>1</v>
      </c>
      <c r="U827" s="7" t="s">
        <v>169</v>
      </c>
      <c r="V827" s="7" t="s">
        <v>169</v>
      </c>
      <c r="W827" s="47"/>
      <c r="X827" s="47">
        <f ca="1">VLOOKUP($C827,OFFSET(quests!$A$1,0,0,COUNTA(quests!$A:$A),MATCH(X$2,quests!$1:$1,0)-MATCH($C$2,quests!$1:$1,0)+1),MATCH(X$2,quests!$1:$1,0)-MATCH($C$2,quests!$1:$1,0)+1,FALSE)</f>
        <v>0</v>
      </c>
      <c r="Y827" s="47">
        <f ca="1">VLOOKUP($C827,OFFSET(quests!$A$1,0,0,COUNTA(quests!$A:$A),MATCH(Y$2,quests!$1:$1,0)-MATCH($C$2,quests!$1:$1,0)+1),MATCH(Y$2,quests!$1:$1,0)-MATCH($C$2,quests!$1:$1,0)+1,FALSE)</f>
        <v>0</v>
      </c>
      <c r="Z827" s="47">
        <f ca="1">VLOOKUP($C827,OFFSET(quests!$A$1,0,0,COUNTA(quests!$A:$A),MATCH(Z$2,quests!$1:$1,0)-MATCH($C$2,quests!$1:$1,0)+1),MATCH(Z$2,quests!$1:$1,0)-MATCH($C$2,quests!$1:$1,0)+1,FALSE)</f>
        <v>0</v>
      </c>
      <c r="AA827" s="47">
        <f ca="1">VLOOKUP($C827,OFFSET(quests!$A$1,0,0,COUNTA(quests!$A:$A),MATCH(AA$2,quests!$1:$1,0)-MATCH($C$2,quests!$1:$1,0)+1),MATCH(AA$2,quests!$1:$1,0)-MATCH($C$2,quests!$1:$1,0)+1,FALSE)</f>
        <v>0</v>
      </c>
      <c r="AB827" s="7" t="s">
        <v>56</v>
      </c>
      <c r="AC827" s="7">
        <v>907</v>
      </c>
      <c r="AD827" s="7">
        <v>6</v>
      </c>
      <c r="AE827" s="7" t="s">
        <v>519</v>
      </c>
      <c r="AF827" s="7">
        <v>40</v>
      </c>
      <c r="AG827" s="7">
        <v>40</v>
      </c>
      <c r="AH827" s="7">
        <v>0</v>
      </c>
      <c r="AI827" s="7">
        <v>-1</v>
      </c>
      <c r="AJ827" s="7">
        <v>-1</v>
      </c>
      <c r="AK827" s="7" t="s">
        <v>1065</v>
      </c>
      <c r="AL827" s="12" t="s">
        <v>1695</v>
      </c>
      <c r="AM827" s="12" t="s">
        <v>2072</v>
      </c>
    </row>
    <row r="828" spans="1:39" s="45" customFormat="1" ht="21" customHeight="1" x14ac:dyDescent="0.15">
      <c r="A828" s="42" t="str">
        <f t="shared" si="40"/>
        <v>41006_2</v>
      </c>
      <c r="B828" s="23">
        <v>3</v>
      </c>
      <c r="C828" s="31">
        <v>41006</v>
      </c>
      <c r="D828" s="47" t="str">
        <f ca="1">VLOOKUP($C828,OFFSET(quests!$A$1,0,0,COUNTA(quests!$A:$A),MATCH(D$1,quests!$1:$1,0)-MATCH($C$2,quests!$1:$1,0)+1),MATCH(D$1,quests!$1:$1,0)-MATCH($C$2,quests!$1:$1,0)+1,FALSE)</f>
        <v>アーサー襲来！</v>
      </c>
      <c r="E828" s="48" t="str">
        <f ca="1">VLOOKUP($C828,OFFSET(quests!$A$1,0,0,COUNTA(quests!$A:$A),MATCH(E$2,quests!$1:$1,0)-MATCH($C$2,quests!$1:$1,0)+1),MATCH(E$2,quests!$1:$1,0)-MATCH($C$2,quests!$1:$1,0)+1,FALSE)</f>
        <v>降臨1</v>
      </c>
      <c r="F828" s="7">
        <v>2</v>
      </c>
      <c r="G828" s="7" t="s">
        <v>568</v>
      </c>
      <c r="H828" s="12" t="s">
        <v>1235</v>
      </c>
      <c r="I828" s="12" t="s">
        <v>61</v>
      </c>
      <c r="J828" s="65">
        <v>820</v>
      </c>
      <c r="K828" s="167">
        <v>40</v>
      </c>
      <c r="L828" s="167">
        <v>4500</v>
      </c>
      <c r="M828" s="167">
        <v>1</v>
      </c>
      <c r="N828" s="167">
        <v>1</v>
      </c>
      <c r="O828" s="167">
        <v>1</v>
      </c>
      <c r="P828" s="167">
        <v>1</v>
      </c>
      <c r="Q828" s="167">
        <v>1</v>
      </c>
      <c r="R828" s="167">
        <v>3</v>
      </c>
      <c r="S828" s="167" t="s">
        <v>384</v>
      </c>
      <c r="T828" s="167">
        <v>1</v>
      </c>
      <c r="U828" s="7" t="s">
        <v>169</v>
      </c>
      <c r="V828" s="7" t="s">
        <v>169</v>
      </c>
      <c r="W828" s="47"/>
      <c r="X828" s="47">
        <f ca="1">VLOOKUP($C828,OFFSET(quests!$A$1,0,0,COUNTA(quests!$A:$A),MATCH(X$2,quests!$1:$1,0)-MATCH($C$2,quests!$1:$1,0)+1),MATCH(X$2,quests!$1:$1,0)-MATCH($C$2,quests!$1:$1,0)+1,FALSE)</f>
        <v>0</v>
      </c>
      <c r="Y828" s="47">
        <f ca="1">VLOOKUP($C828,OFFSET(quests!$A$1,0,0,COUNTA(quests!$A:$A),MATCH(Y$2,quests!$1:$1,0)-MATCH($C$2,quests!$1:$1,0)+1),MATCH(Y$2,quests!$1:$1,0)-MATCH($C$2,quests!$1:$1,0)+1,FALSE)</f>
        <v>0</v>
      </c>
      <c r="Z828" s="47">
        <f ca="1">VLOOKUP($C828,OFFSET(quests!$A$1,0,0,COUNTA(quests!$A:$A),MATCH(Z$2,quests!$1:$1,0)-MATCH($C$2,quests!$1:$1,0)+1),MATCH(Z$2,quests!$1:$1,0)-MATCH($C$2,quests!$1:$1,0)+1,FALSE)</f>
        <v>0</v>
      </c>
      <c r="AA828" s="47">
        <f ca="1">VLOOKUP($C828,OFFSET(quests!$A$1,0,0,COUNTA(quests!$A:$A),MATCH(AA$2,quests!$1:$1,0)-MATCH($C$2,quests!$1:$1,0)+1),MATCH(AA$2,quests!$1:$1,0)-MATCH($C$2,quests!$1:$1,0)+1,FALSE)</f>
        <v>0</v>
      </c>
      <c r="AB828" s="7" t="s">
        <v>56</v>
      </c>
      <c r="AC828" s="7">
        <v>907</v>
      </c>
      <c r="AD828" s="7">
        <v>6</v>
      </c>
      <c r="AE828" s="7" t="s">
        <v>519</v>
      </c>
      <c r="AF828" s="7">
        <v>40</v>
      </c>
      <c r="AG828" s="7">
        <v>40</v>
      </c>
      <c r="AH828" s="7">
        <v>0</v>
      </c>
      <c r="AI828" s="7">
        <v>-1</v>
      </c>
      <c r="AJ828" s="7">
        <v>-1</v>
      </c>
      <c r="AK828" s="7" t="s">
        <v>1065</v>
      </c>
      <c r="AL828" s="12" t="s">
        <v>1695</v>
      </c>
      <c r="AM828" s="12" t="s">
        <v>2072</v>
      </c>
    </row>
    <row r="829" spans="1:39" ht="21" customHeight="1" x14ac:dyDescent="0.15">
      <c r="A829" s="230" t="str">
        <f t="shared" si="40"/>
        <v>41006_3</v>
      </c>
      <c r="B829" s="44">
        <v>1</v>
      </c>
      <c r="C829" s="231">
        <v>41006</v>
      </c>
      <c r="D829" s="47" t="str">
        <f ca="1">VLOOKUP($C829,OFFSET(quests!$A$1,0,0,COUNTA(quests!$A:$A),MATCH(D$1,quests!$1:$1,0)-MATCH($C$2,quests!$1:$1,0)+1),MATCH(D$1,quests!$1:$1,0)-MATCH($C$2,quests!$1:$1,0)+1,FALSE)</f>
        <v>アーサー襲来！</v>
      </c>
      <c r="E829" s="48" t="str">
        <f ca="1">VLOOKUP($C829,OFFSET(quests!$A$1,0,0,COUNTA(quests!$A:$A),MATCH(E$2,quests!$1:$1,0)-MATCH($C$2,quests!$1:$1,0)+1),MATCH(E$2,quests!$1:$1,0)-MATCH($C$2,quests!$1:$1,0)+1,FALSE)</f>
        <v>降臨1</v>
      </c>
      <c r="F829" s="232">
        <v>3</v>
      </c>
      <c r="G829" s="232" t="s">
        <v>568</v>
      </c>
      <c r="H829" s="44" t="s">
        <v>1236</v>
      </c>
      <c r="I829" s="44" t="s">
        <v>61</v>
      </c>
      <c r="J829" s="233">
        <v>820</v>
      </c>
      <c r="K829" s="232">
        <v>40</v>
      </c>
      <c r="L829" s="232">
        <v>4500</v>
      </c>
      <c r="M829" s="232">
        <v>1</v>
      </c>
      <c r="N829" s="232">
        <v>1</v>
      </c>
      <c r="O829" s="232">
        <v>1</v>
      </c>
      <c r="P829" s="232">
        <v>1</v>
      </c>
      <c r="Q829" s="232">
        <v>1</v>
      </c>
      <c r="R829" s="232">
        <v>3</v>
      </c>
      <c r="S829" s="232" t="s">
        <v>384</v>
      </c>
      <c r="T829" s="232">
        <v>1</v>
      </c>
      <c r="U829" s="232" t="s">
        <v>169</v>
      </c>
      <c r="V829" s="232" t="s">
        <v>169</v>
      </c>
      <c r="W829" s="47"/>
      <c r="X829" s="47">
        <f ca="1">VLOOKUP($C829,OFFSET(quests!$A$1,0,0,COUNTA(quests!$A:$A),MATCH(X$2,quests!$1:$1,0)-MATCH($C$2,quests!$1:$1,0)+1),MATCH(X$2,quests!$1:$1,0)-MATCH($C$2,quests!$1:$1,0)+1,FALSE)</f>
        <v>0</v>
      </c>
      <c r="Y829" s="47">
        <f ca="1">VLOOKUP($C829,OFFSET(quests!$A$1,0,0,COUNTA(quests!$A:$A),MATCH(Y$2,quests!$1:$1,0)-MATCH($C$2,quests!$1:$1,0)+1),MATCH(Y$2,quests!$1:$1,0)-MATCH($C$2,quests!$1:$1,0)+1,FALSE)</f>
        <v>0</v>
      </c>
      <c r="Z829" s="47">
        <f ca="1">VLOOKUP($C829,OFFSET(quests!$A$1,0,0,COUNTA(quests!$A:$A),MATCH(Z$2,quests!$1:$1,0)-MATCH($C$2,quests!$1:$1,0)+1),MATCH(Z$2,quests!$1:$1,0)-MATCH($C$2,quests!$1:$1,0)+1,FALSE)</f>
        <v>0</v>
      </c>
      <c r="AA829" s="47">
        <f ca="1">VLOOKUP($C829,OFFSET(quests!$A$1,0,0,COUNTA(quests!$A:$A),MATCH(AA$2,quests!$1:$1,0)-MATCH($C$2,quests!$1:$1,0)+1),MATCH(AA$2,quests!$1:$1,0)-MATCH($C$2,quests!$1:$1,0)+1,FALSE)</f>
        <v>0</v>
      </c>
      <c r="AB829" s="232" t="s">
        <v>56</v>
      </c>
      <c r="AC829" s="232">
        <v>907</v>
      </c>
      <c r="AD829" s="232">
        <v>6</v>
      </c>
      <c r="AE829" s="232" t="s">
        <v>519</v>
      </c>
      <c r="AF829" s="232">
        <v>40</v>
      </c>
      <c r="AG829" s="232">
        <v>40</v>
      </c>
      <c r="AH829" s="232">
        <v>0</v>
      </c>
      <c r="AI829" s="232">
        <v>0</v>
      </c>
      <c r="AJ829" s="232">
        <v>-1</v>
      </c>
      <c r="AK829" s="232" t="s">
        <v>1065</v>
      </c>
      <c r="AL829" s="12" t="s">
        <v>1695</v>
      </c>
      <c r="AM829" s="12" t="s">
        <v>2072</v>
      </c>
    </row>
    <row r="830" spans="1:39" ht="21" customHeight="1" x14ac:dyDescent="0.15">
      <c r="A830" s="42" t="str">
        <f t="shared" si="40"/>
        <v>41007_1</v>
      </c>
      <c r="B830" s="23">
        <v>3</v>
      </c>
      <c r="C830" s="31">
        <v>41007</v>
      </c>
      <c r="D830" s="47" t="str">
        <f ca="1">VLOOKUP($C830,OFFSET(quests!$A$1,0,0,COUNTA(quests!$A:$A),MATCH(D$1,quests!$1:$1,0)-MATCH($C$2,quests!$1:$1,0)+1),MATCH(D$1,quests!$1:$1,0)-MATCH($C$2,quests!$1:$1,0)+1,FALSE)</f>
        <v>グリム襲来！</v>
      </c>
      <c r="E830" s="48" t="str">
        <f ca="1">VLOOKUP($C830,OFFSET(quests!$A$1,0,0,COUNTA(quests!$A:$A),MATCH(E$2,quests!$1:$1,0)-MATCH($C$2,quests!$1:$1,0)+1),MATCH(E$2,quests!$1:$1,0)-MATCH($C$2,quests!$1:$1,0)+1,FALSE)</f>
        <v>降臨1</v>
      </c>
      <c r="F830" s="7">
        <v>1</v>
      </c>
      <c r="G830" s="7" t="s">
        <v>568</v>
      </c>
      <c r="H830" s="12" t="s">
        <v>1324</v>
      </c>
      <c r="I830" s="12" t="s">
        <v>1070</v>
      </c>
      <c r="J830" s="65">
        <v>491</v>
      </c>
      <c r="K830" s="167">
        <v>35</v>
      </c>
      <c r="L830" s="167">
        <v>4200</v>
      </c>
      <c r="M830" s="167">
        <v>1</v>
      </c>
      <c r="N830" s="167">
        <v>1</v>
      </c>
      <c r="O830" s="167">
        <v>1</v>
      </c>
      <c r="P830" s="167">
        <v>1</v>
      </c>
      <c r="Q830" s="167">
        <v>1</v>
      </c>
      <c r="R830" s="167">
        <v>3</v>
      </c>
      <c r="S830" s="167" t="s">
        <v>384</v>
      </c>
      <c r="T830" s="167">
        <v>1</v>
      </c>
      <c r="U830" s="7" t="s">
        <v>169</v>
      </c>
      <c r="V830" s="7" t="s">
        <v>169</v>
      </c>
      <c r="W830" s="47"/>
      <c r="X830" s="47">
        <f ca="1">VLOOKUP($C830,OFFSET(quests!$A$1,0,0,COUNTA(quests!$A:$A),MATCH(X$2,quests!$1:$1,0)-MATCH($C$2,quests!$1:$1,0)+1),MATCH(X$2,quests!$1:$1,0)-MATCH($C$2,quests!$1:$1,0)+1,FALSE)</f>
        <v>0</v>
      </c>
      <c r="Y830" s="47">
        <f ca="1">VLOOKUP($C830,OFFSET(quests!$A$1,0,0,COUNTA(quests!$A:$A),MATCH(Y$2,quests!$1:$1,0)-MATCH($C$2,quests!$1:$1,0)+1),MATCH(Y$2,quests!$1:$1,0)-MATCH($C$2,quests!$1:$1,0)+1,FALSE)</f>
        <v>0</v>
      </c>
      <c r="Z830" s="47">
        <f ca="1">VLOOKUP($C830,OFFSET(quests!$A$1,0,0,COUNTA(quests!$A:$A),MATCH(Z$2,quests!$1:$1,0)-MATCH($C$2,quests!$1:$1,0)+1),MATCH(Z$2,quests!$1:$1,0)-MATCH($C$2,quests!$1:$1,0)+1,FALSE)</f>
        <v>0</v>
      </c>
      <c r="AA830" s="47">
        <f ca="1">VLOOKUP($C830,OFFSET(quests!$A$1,0,0,COUNTA(quests!$A:$A),MATCH(AA$2,quests!$1:$1,0)-MATCH($C$2,quests!$1:$1,0)+1),MATCH(AA$2,quests!$1:$1,0)-MATCH($C$2,quests!$1:$1,0)+1,FALSE)</f>
        <v>0</v>
      </c>
      <c r="AB830" s="7" t="s">
        <v>56</v>
      </c>
      <c r="AC830" s="7">
        <v>908</v>
      </c>
      <c r="AD830" s="7">
        <v>6</v>
      </c>
      <c r="AE830" s="7" t="s">
        <v>519</v>
      </c>
      <c r="AF830" s="7">
        <v>40</v>
      </c>
      <c r="AG830" s="7">
        <v>40</v>
      </c>
      <c r="AH830" s="7">
        <v>0</v>
      </c>
      <c r="AI830" s="7">
        <v>-1</v>
      </c>
      <c r="AJ830" s="7">
        <v>-1</v>
      </c>
      <c r="AK830" s="7" t="s">
        <v>1065</v>
      </c>
      <c r="AL830" s="12" t="s">
        <v>1695</v>
      </c>
      <c r="AM830" s="12" t="s">
        <v>2072</v>
      </c>
    </row>
    <row r="831" spans="1:39" s="45" customFormat="1" ht="21" customHeight="1" x14ac:dyDescent="0.15">
      <c r="A831" s="42" t="str">
        <f t="shared" si="40"/>
        <v>41007_2</v>
      </c>
      <c r="B831" s="23">
        <v>3</v>
      </c>
      <c r="C831" s="31">
        <v>41007</v>
      </c>
      <c r="D831" s="47" t="str">
        <f ca="1">VLOOKUP($C831,OFFSET(quests!$A$1,0,0,COUNTA(quests!$A:$A),MATCH(D$1,quests!$1:$1,0)-MATCH($C$2,quests!$1:$1,0)+1),MATCH(D$1,quests!$1:$1,0)-MATCH($C$2,quests!$1:$1,0)+1,FALSE)</f>
        <v>グリム襲来！</v>
      </c>
      <c r="E831" s="48" t="str">
        <f ca="1">VLOOKUP($C831,OFFSET(quests!$A$1,0,0,COUNTA(quests!$A:$A),MATCH(E$2,quests!$1:$1,0)-MATCH($C$2,quests!$1:$1,0)+1),MATCH(E$2,quests!$1:$1,0)-MATCH($C$2,quests!$1:$1,0)+1,FALSE)</f>
        <v>降臨1</v>
      </c>
      <c r="F831" s="7">
        <v>2</v>
      </c>
      <c r="G831" s="7" t="s">
        <v>568</v>
      </c>
      <c r="H831" s="12" t="s">
        <v>1325</v>
      </c>
      <c r="I831" s="12" t="s">
        <v>61</v>
      </c>
      <c r="J831" s="65">
        <v>822</v>
      </c>
      <c r="K831" s="167">
        <v>40</v>
      </c>
      <c r="L831" s="167">
        <v>4500</v>
      </c>
      <c r="M831" s="167">
        <v>1</v>
      </c>
      <c r="N831" s="167">
        <v>1</v>
      </c>
      <c r="O831" s="167">
        <v>1</v>
      </c>
      <c r="P831" s="167">
        <v>1</v>
      </c>
      <c r="Q831" s="167">
        <v>1</v>
      </c>
      <c r="R831" s="167">
        <v>3</v>
      </c>
      <c r="S831" s="167" t="s">
        <v>384</v>
      </c>
      <c r="T831" s="167">
        <v>1</v>
      </c>
      <c r="U831" s="7" t="s">
        <v>169</v>
      </c>
      <c r="V831" s="7" t="s">
        <v>169</v>
      </c>
      <c r="W831" s="47"/>
      <c r="X831" s="47">
        <f ca="1">VLOOKUP($C831,OFFSET(quests!$A$1,0,0,COUNTA(quests!$A:$A),MATCH(X$2,quests!$1:$1,0)-MATCH($C$2,quests!$1:$1,0)+1),MATCH(X$2,quests!$1:$1,0)-MATCH($C$2,quests!$1:$1,0)+1,FALSE)</f>
        <v>0</v>
      </c>
      <c r="Y831" s="47">
        <f ca="1">VLOOKUP($C831,OFFSET(quests!$A$1,0,0,COUNTA(quests!$A:$A),MATCH(Y$2,quests!$1:$1,0)-MATCH($C$2,quests!$1:$1,0)+1),MATCH(Y$2,quests!$1:$1,0)-MATCH($C$2,quests!$1:$1,0)+1,FALSE)</f>
        <v>0</v>
      </c>
      <c r="Z831" s="47">
        <f ca="1">VLOOKUP($C831,OFFSET(quests!$A$1,0,0,COUNTA(quests!$A:$A),MATCH(Z$2,quests!$1:$1,0)-MATCH($C$2,quests!$1:$1,0)+1),MATCH(Z$2,quests!$1:$1,0)-MATCH($C$2,quests!$1:$1,0)+1,FALSE)</f>
        <v>0</v>
      </c>
      <c r="AA831" s="47">
        <f ca="1">VLOOKUP($C831,OFFSET(quests!$A$1,0,0,COUNTA(quests!$A:$A),MATCH(AA$2,quests!$1:$1,0)-MATCH($C$2,quests!$1:$1,0)+1),MATCH(AA$2,quests!$1:$1,0)-MATCH($C$2,quests!$1:$1,0)+1,FALSE)</f>
        <v>0</v>
      </c>
      <c r="AB831" s="7" t="s">
        <v>56</v>
      </c>
      <c r="AC831" s="7">
        <v>908</v>
      </c>
      <c r="AD831" s="7">
        <v>6</v>
      </c>
      <c r="AE831" s="7" t="s">
        <v>519</v>
      </c>
      <c r="AF831" s="7">
        <v>40</v>
      </c>
      <c r="AG831" s="7">
        <v>40</v>
      </c>
      <c r="AH831" s="7">
        <v>0</v>
      </c>
      <c r="AI831" s="7">
        <v>-1</v>
      </c>
      <c r="AJ831" s="7">
        <v>-1</v>
      </c>
      <c r="AK831" s="7" t="s">
        <v>1065</v>
      </c>
      <c r="AL831" s="12" t="s">
        <v>1695</v>
      </c>
      <c r="AM831" s="12" t="s">
        <v>2072</v>
      </c>
    </row>
    <row r="832" spans="1:39" ht="21" customHeight="1" x14ac:dyDescent="0.15">
      <c r="A832" s="230" t="str">
        <f t="shared" si="40"/>
        <v>41007_3</v>
      </c>
      <c r="B832" s="44">
        <v>1</v>
      </c>
      <c r="C832" s="231">
        <v>41007</v>
      </c>
      <c r="D832" s="47" t="str">
        <f ca="1">VLOOKUP($C832,OFFSET(quests!$A$1,0,0,COUNTA(quests!$A:$A),MATCH(D$1,quests!$1:$1,0)-MATCH($C$2,quests!$1:$1,0)+1),MATCH(D$1,quests!$1:$1,0)-MATCH($C$2,quests!$1:$1,0)+1,FALSE)</f>
        <v>グリム襲来！</v>
      </c>
      <c r="E832" s="48" t="str">
        <f ca="1">VLOOKUP($C832,OFFSET(quests!$A$1,0,0,COUNTA(quests!$A:$A),MATCH(E$2,quests!$1:$1,0)-MATCH($C$2,quests!$1:$1,0)+1),MATCH(E$2,quests!$1:$1,0)-MATCH($C$2,quests!$1:$1,0)+1,FALSE)</f>
        <v>降臨1</v>
      </c>
      <c r="F832" s="232">
        <v>3</v>
      </c>
      <c r="G832" s="232" t="s">
        <v>568</v>
      </c>
      <c r="H832" s="44" t="s">
        <v>1326</v>
      </c>
      <c r="I832" s="44" t="s">
        <v>61</v>
      </c>
      <c r="J832" s="233">
        <v>822</v>
      </c>
      <c r="K832" s="232">
        <v>40</v>
      </c>
      <c r="L832" s="232">
        <v>4500</v>
      </c>
      <c r="M832" s="232">
        <v>1</v>
      </c>
      <c r="N832" s="232">
        <v>1</v>
      </c>
      <c r="O832" s="232">
        <v>1</v>
      </c>
      <c r="P832" s="232">
        <v>1</v>
      </c>
      <c r="Q832" s="232">
        <v>1</v>
      </c>
      <c r="R832" s="232">
        <v>3</v>
      </c>
      <c r="S832" s="232" t="s">
        <v>384</v>
      </c>
      <c r="T832" s="232">
        <v>1</v>
      </c>
      <c r="U832" s="232" t="s">
        <v>169</v>
      </c>
      <c r="V832" s="232" t="s">
        <v>169</v>
      </c>
      <c r="W832" s="47"/>
      <c r="X832" s="47">
        <f ca="1">VLOOKUP($C832,OFFSET(quests!$A$1,0,0,COUNTA(quests!$A:$A),MATCH(X$2,quests!$1:$1,0)-MATCH($C$2,quests!$1:$1,0)+1),MATCH(X$2,quests!$1:$1,0)-MATCH($C$2,quests!$1:$1,0)+1,FALSE)</f>
        <v>0</v>
      </c>
      <c r="Y832" s="47">
        <f ca="1">VLOOKUP($C832,OFFSET(quests!$A$1,0,0,COUNTA(quests!$A:$A),MATCH(Y$2,quests!$1:$1,0)-MATCH($C$2,quests!$1:$1,0)+1),MATCH(Y$2,quests!$1:$1,0)-MATCH($C$2,quests!$1:$1,0)+1,FALSE)</f>
        <v>0</v>
      </c>
      <c r="Z832" s="47">
        <f ca="1">VLOOKUP($C832,OFFSET(quests!$A$1,0,0,COUNTA(quests!$A:$A),MATCH(Z$2,quests!$1:$1,0)-MATCH($C$2,quests!$1:$1,0)+1),MATCH(Z$2,quests!$1:$1,0)-MATCH($C$2,quests!$1:$1,0)+1,FALSE)</f>
        <v>0</v>
      </c>
      <c r="AA832" s="47">
        <f ca="1">VLOOKUP($C832,OFFSET(quests!$A$1,0,0,COUNTA(quests!$A:$A),MATCH(AA$2,quests!$1:$1,0)-MATCH($C$2,quests!$1:$1,0)+1),MATCH(AA$2,quests!$1:$1,0)-MATCH($C$2,quests!$1:$1,0)+1,FALSE)</f>
        <v>0</v>
      </c>
      <c r="AB832" s="232" t="s">
        <v>56</v>
      </c>
      <c r="AC832" s="232">
        <v>908</v>
      </c>
      <c r="AD832" s="232">
        <v>6</v>
      </c>
      <c r="AE832" s="232" t="s">
        <v>519</v>
      </c>
      <c r="AF832" s="232">
        <v>40</v>
      </c>
      <c r="AG832" s="232">
        <v>40</v>
      </c>
      <c r="AH832" s="232">
        <v>0</v>
      </c>
      <c r="AI832" s="232">
        <v>0</v>
      </c>
      <c r="AJ832" s="232">
        <v>-1</v>
      </c>
      <c r="AK832" s="232" t="s">
        <v>1065</v>
      </c>
      <c r="AL832" s="12" t="s">
        <v>1695</v>
      </c>
      <c r="AM832" s="12" t="s">
        <v>2072</v>
      </c>
    </row>
    <row r="833" spans="1:39" ht="21" customHeight="1" x14ac:dyDescent="0.15">
      <c r="A833" s="42" t="str">
        <f t="shared" si="40"/>
        <v>41008_1</v>
      </c>
      <c r="B833" s="23">
        <v>3</v>
      </c>
      <c r="C833" s="31">
        <v>41008</v>
      </c>
      <c r="D833" s="47" t="str">
        <f ca="1">VLOOKUP($C833,OFFSET(quests!$A$1,0,0,COUNTA(quests!$A:$A),MATCH(D$1,quests!$1:$1,0)-MATCH($C$2,quests!$1:$1,0)+1),MATCH(D$1,quests!$1:$1,0)-MATCH($C$2,quests!$1:$1,0)+1,FALSE)</f>
        <v>Gスター襲来！</v>
      </c>
      <c r="E833" s="48" t="str">
        <f ca="1">VLOOKUP($C833,OFFSET(quests!$A$1,0,0,COUNTA(quests!$A:$A),MATCH(E$2,quests!$1:$1,0)-MATCH($C$2,quests!$1:$1,0)+1),MATCH(E$2,quests!$1:$1,0)-MATCH($C$2,quests!$1:$1,0)+1,FALSE)</f>
        <v>降臨1</v>
      </c>
      <c r="F833" s="7">
        <v>1</v>
      </c>
      <c r="G833" s="7" t="s">
        <v>568</v>
      </c>
      <c r="H833" s="12" t="s">
        <v>1309</v>
      </c>
      <c r="I833" s="12" t="s">
        <v>1070</v>
      </c>
      <c r="J833" s="65">
        <v>509</v>
      </c>
      <c r="K833" s="167">
        <v>35</v>
      </c>
      <c r="L833" s="167">
        <v>4200</v>
      </c>
      <c r="M833" s="167">
        <v>1</v>
      </c>
      <c r="N833" s="167">
        <v>1</v>
      </c>
      <c r="O833" s="167">
        <v>1</v>
      </c>
      <c r="P833" s="167">
        <v>1</v>
      </c>
      <c r="Q833" s="167">
        <v>1</v>
      </c>
      <c r="R833" s="167">
        <v>3</v>
      </c>
      <c r="S833" s="167" t="s">
        <v>384</v>
      </c>
      <c r="T833" s="167">
        <v>1</v>
      </c>
      <c r="U833" s="7" t="s">
        <v>169</v>
      </c>
      <c r="V833" s="7" t="s">
        <v>169</v>
      </c>
      <c r="W833" s="47"/>
      <c r="X833" s="47">
        <f ca="1">VLOOKUP($C833,OFFSET(quests!$A$1,0,0,COUNTA(quests!$A:$A),MATCH(X$2,quests!$1:$1,0)-MATCH($C$2,quests!$1:$1,0)+1),MATCH(X$2,quests!$1:$1,0)-MATCH($C$2,quests!$1:$1,0)+1,FALSE)</f>
        <v>0</v>
      </c>
      <c r="Y833" s="47">
        <f ca="1">VLOOKUP($C833,OFFSET(quests!$A$1,0,0,COUNTA(quests!$A:$A),MATCH(Y$2,quests!$1:$1,0)-MATCH($C$2,quests!$1:$1,0)+1),MATCH(Y$2,quests!$1:$1,0)-MATCH($C$2,quests!$1:$1,0)+1,FALSE)</f>
        <v>0</v>
      </c>
      <c r="Z833" s="47">
        <f ca="1">VLOOKUP($C833,OFFSET(quests!$A$1,0,0,COUNTA(quests!$A:$A),MATCH(Z$2,quests!$1:$1,0)-MATCH($C$2,quests!$1:$1,0)+1),MATCH(Z$2,quests!$1:$1,0)-MATCH($C$2,quests!$1:$1,0)+1,FALSE)</f>
        <v>0</v>
      </c>
      <c r="AA833" s="47">
        <f ca="1">VLOOKUP($C833,OFFSET(quests!$A$1,0,0,COUNTA(quests!$A:$A),MATCH(AA$2,quests!$1:$1,0)-MATCH($C$2,quests!$1:$1,0)+1),MATCH(AA$2,quests!$1:$1,0)-MATCH($C$2,quests!$1:$1,0)+1,FALSE)</f>
        <v>0</v>
      </c>
      <c r="AB833" s="7" t="s">
        <v>56</v>
      </c>
      <c r="AC833" s="7">
        <v>2601</v>
      </c>
      <c r="AD833" s="7">
        <v>6</v>
      </c>
      <c r="AE833" s="7" t="s">
        <v>519</v>
      </c>
      <c r="AF833" s="7">
        <v>40</v>
      </c>
      <c r="AG833" s="7">
        <v>40</v>
      </c>
      <c r="AH833" s="7">
        <v>0</v>
      </c>
      <c r="AI833" s="7">
        <v>-1</v>
      </c>
      <c r="AJ833" s="7">
        <v>-1</v>
      </c>
      <c r="AK833" s="7" t="s">
        <v>1065</v>
      </c>
      <c r="AL833" s="12" t="s">
        <v>1695</v>
      </c>
      <c r="AM833" s="12" t="s">
        <v>2072</v>
      </c>
    </row>
    <row r="834" spans="1:39" s="45" customFormat="1" ht="21" customHeight="1" x14ac:dyDescent="0.15">
      <c r="A834" s="42" t="str">
        <f t="shared" si="40"/>
        <v>41008_2</v>
      </c>
      <c r="B834" s="23">
        <v>3</v>
      </c>
      <c r="C834" s="31">
        <v>41008</v>
      </c>
      <c r="D834" s="47" t="str">
        <f ca="1">VLOOKUP($C834,OFFSET(quests!$A$1,0,0,COUNTA(quests!$A:$A),MATCH(D$1,quests!$1:$1,0)-MATCH($C$2,quests!$1:$1,0)+1),MATCH(D$1,quests!$1:$1,0)-MATCH($C$2,quests!$1:$1,0)+1,FALSE)</f>
        <v>Gスター襲来！</v>
      </c>
      <c r="E834" s="48" t="str">
        <f ca="1">VLOOKUP($C834,OFFSET(quests!$A$1,0,0,COUNTA(quests!$A:$A),MATCH(E$2,quests!$1:$1,0)-MATCH($C$2,quests!$1:$1,0)+1),MATCH(E$2,quests!$1:$1,0)-MATCH($C$2,quests!$1:$1,0)+1,FALSE)</f>
        <v>降臨1</v>
      </c>
      <c r="F834" s="7">
        <v>2</v>
      </c>
      <c r="G834" s="7" t="s">
        <v>568</v>
      </c>
      <c r="H834" s="12" t="s">
        <v>1310</v>
      </c>
      <c r="I834" s="12" t="s">
        <v>61</v>
      </c>
      <c r="J834" s="65">
        <v>824</v>
      </c>
      <c r="K834" s="167">
        <v>40</v>
      </c>
      <c r="L834" s="167">
        <v>4500</v>
      </c>
      <c r="M834" s="167">
        <v>1</v>
      </c>
      <c r="N834" s="167">
        <v>1</v>
      </c>
      <c r="O834" s="167">
        <v>1</v>
      </c>
      <c r="P834" s="167">
        <v>1</v>
      </c>
      <c r="Q834" s="167">
        <v>1</v>
      </c>
      <c r="R834" s="167">
        <v>3</v>
      </c>
      <c r="S834" s="167" t="s">
        <v>384</v>
      </c>
      <c r="T834" s="167">
        <v>1</v>
      </c>
      <c r="U834" s="7" t="s">
        <v>169</v>
      </c>
      <c r="V834" s="7" t="s">
        <v>169</v>
      </c>
      <c r="W834" s="47"/>
      <c r="X834" s="47">
        <f ca="1">VLOOKUP($C834,OFFSET(quests!$A$1,0,0,COUNTA(quests!$A:$A),MATCH(X$2,quests!$1:$1,0)-MATCH($C$2,quests!$1:$1,0)+1),MATCH(X$2,quests!$1:$1,0)-MATCH($C$2,quests!$1:$1,0)+1,FALSE)</f>
        <v>0</v>
      </c>
      <c r="Y834" s="47">
        <f ca="1">VLOOKUP($C834,OFFSET(quests!$A$1,0,0,COUNTA(quests!$A:$A),MATCH(Y$2,quests!$1:$1,0)-MATCH($C$2,quests!$1:$1,0)+1),MATCH(Y$2,quests!$1:$1,0)-MATCH($C$2,quests!$1:$1,0)+1,FALSE)</f>
        <v>0</v>
      </c>
      <c r="Z834" s="47">
        <f ca="1">VLOOKUP($C834,OFFSET(quests!$A$1,0,0,COUNTA(quests!$A:$A),MATCH(Z$2,quests!$1:$1,0)-MATCH($C$2,quests!$1:$1,0)+1),MATCH(Z$2,quests!$1:$1,0)-MATCH($C$2,quests!$1:$1,0)+1,FALSE)</f>
        <v>0</v>
      </c>
      <c r="AA834" s="47">
        <f ca="1">VLOOKUP($C834,OFFSET(quests!$A$1,0,0,COUNTA(quests!$A:$A),MATCH(AA$2,quests!$1:$1,0)-MATCH($C$2,quests!$1:$1,0)+1),MATCH(AA$2,quests!$1:$1,0)-MATCH($C$2,quests!$1:$1,0)+1,FALSE)</f>
        <v>0</v>
      </c>
      <c r="AB834" s="7" t="s">
        <v>56</v>
      </c>
      <c r="AC834" s="7">
        <v>2601</v>
      </c>
      <c r="AD834" s="7">
        <v>6</v>
      </c>
      <c r="AE834" s="7" t="s">
        <v>519</v>
      </c>
      <c r="AF834" s="7">
        <v>40</v>
      </c>
      <c r="AG834" s="7">
        <v>40</v>
      </c>
      <c r="AH834" s="7">
        <v>0</v>
      </c>
      <c r="AI834" s="7">
        <v>-1</v>
      </c>
      <c r="AJ834" s="7">
        <v>-1</v>
      </c>
      <c r="AK834" s="7" t="s">
        <v>1065</v>
      </c>
      <c r="AL834" s="12" t="s">
        <v>1695</v>
      </c>
      <c r="AM834" s="12" t="s">
        <v>2072</v>
      </c>
    </row>
    <row r="835" spans="1:39" ht="21" customHeight="1" x14ac:dyDescent="0.15">
      <c r="A835" s="230" t="str">
        <f t="shared" si="40"/>
        <v>41008_3</v>
      </c>
      <c r="B835" s="44">
        <v>1</v>
      </c>
      <c r="C835" s="231">
        <v>41008</v>
      </c>
      <c r="D835" s="47" t="str">
        <f ca="1">VLOOKUP($C835,OFFSET(quests!$A$1,0,0,COUNTA(quests!$A:$A),MATCH(D$1,quests!$1:$1,0)-MATCH($C$2,quests!$1:$1,0)+1),MATCH(D$1,quests!$1:$1,0)-MATCH($C$2,quests!$1:$1,0)+1,FALSE)</f>
        <v>Gスター襲来！</v>
      </c>
      <c r="E835" s="48" t="str">
        <f ca="1">VLOOKUP($C835,OFFSET(quests!$A$1,0,0,COUNTA(quests!$A:$A),MATCH(E$2,quests!$1:$1,0)-MATCH($C$2,quests!$1:$1,0)+1),MATCH(E$2,quests!$1:$1,0)-MATCH($C$2,quests!$1:$1,0)+1,FALSE)</f>
        <v>降臨1</v>
      </c>
      <c r="F835" s="232">
        <v>3</v>
      </c>
      <c r="G835" s="232" t="s">
        <v>568</v>
      </c>
      <c r="H835" s="44" t="s">
        <v>1311</v>
      </c>
      <c r="I835" s="44" t="s">
        <v>61</v>
      </c>
      <c r="J835" s="233">
        <v>824</v>
      </c>
      <c r="K835" s="232">
        <v>40</v>
      </c>
      <c r="L835" s="232">
        <v>4500</v>
      </c>
      <c r="M835" s="232">
        <v>1</v>
      </c>
      <c r="N835" s="232">
        <v>1</v>
      </c>
      <c r="O835" s="232">
        <v>1</v>
      </c>
      <c r="P835" s="232">
        <v>1</v>
      </c>
      <c r="Q835" s="232">
        <v>1</v>
      </c>
      <c r="R835" s="232">
        <v>3</v>
      </c>
      <c r="S835" s="232" t="s">
        <v>384</v>
      </c>
      <c r="T835" s="232">
        <v>1</v>
      </c>
      <c r="U835" s="232" t="s">
        <v>169</v>
      </c>
      <c r="V835" s="232" t="s">
        <v>169</v>
      </c>
      <c r="W835" s="47"/>
      <c r="X835" s="47">
        <f ca="1">VLOOKUP($C835,OFFSET(quests!$A$1,0,0,COUNTA(quests!$A:$A),MATCH(X$2,quests!$1:$1,0)-MATCH($C$2,quests!$1:$1,0)+1),MATCH(X$2,quests!$1:$1,0)-MATCH($C$2,quests!$1:$1,0)+1,FALSE)</f>
        <v>0</v>
      </c>
      <c r="Y835" s="47">
        <f ca="1">VLOOKUP($C835,OFFSET(quests!$A$1,0,0,COUNTA(quests!$A:$A),MATCH(Y$2,quests!$1:$1,0)-MATCH($C$2,quests!$1:$1,0)+1),MATCH(Y$2,quests!$1:$1,0)-MATCH($C$2,quests!$1:$1,0)+1,FALSE)</f>
        <v>0</v>
      </c>
      <c r="Z835" s="47">
        <f ca="1">VLOOKUP($C835,OFFSET(quests!$A$1,0,0,COUNTA(quests!$A:$A),MATCH(Z$2,quests!$1:$1,0)-MATCH($C$2,quests!$1:$1,0)+1),MATCH(Z$2,quests!$1:$1,0)-MATCH($C$2,quests!$1:$1,0)+1,FALSE)</f>
        <v>0</v>
      </c>
      <c r="AA835" s="47">
        <f ca="1">VLOOKUP($C835,OFFSET(quests!$A$1,0,0,COUNTA(quests!$A:$A),MATCH(AA$2,quests!$1:$1,0)-MATCH($C$2,quests!$1:$1,0)+1),MATCH(AA$2,quests!$1:$1,0)-MATCH($C$2,quests!$1:$1,0)+1,FALSE)</f>
        <v>0</v>
      </c>
      <c r="AB835" s="232" t="s">
        <v>56</v>
      </c>
      <c r="AC835" s="232">
        <v>2601</v>
      </c>
      <c r="AD835" s="232">
        <v>6</v>
      </c>
      <c r="AE835" s="232" t="s">
        <v>519</v>
      </c>
      <c r="AF835" s="232">
        <v>40</v>
      </c>
      <c r="AG835" s="232">
        <v>40</v>
      </c>
      <c r="AH835" s="232">
        <v>0</v>
      </c>
      <c r="AI835" s="232">
        <v>0</v>
      </c>
      <c r="AJ835" s="232">
        <v>-1</v>
      </c>
      <c r="AK835" s="232" t="s">
        <v>1065</v>
      </c>
      <c r="AL835" s="12" t="s">
        <v>1695</v>
      </c>
      <c r="AM835" s="12" t="s">
        <v>2072</v>
      </c>
    </row>
    <row r="836" spans="1:39" ht="21" customHeight="1" x14ac:dyDescent="0.15">
      <c r="A836" s="42" t="str">
        <f t="shared" si="40"/>
        <v>41009_1</v>
      </c>
      <c r="B836" s="23">
        <v>3</v>
      </c>
      <c r="C836" s="31">
        <v>41009</v>
      </c>
      <c r="D836" s="47" t="str">
        <f ca="1">VLOOKUP($C836,OFFSET(quests!$A$1,0,0,COUNTA(quests!$A:$A),MATCH(D$1,quests!$1:$1,0)-MATCH($C$2,quests!$1:$1,0)+1),MATCH(D$1,quests!$1:$1,0)-MATCH($C$2,quests!$1:$1,0)+1,FALSE)</f>
        <v>フギンとムニン襲来！</v>
      </c>
      <c r="E836" s="48" t="str">
        <f ca="1">VLOOKUP($C836,OFFSET(quests!$A$1,0,0,COUNTA(quests!$A:$A),MATCH(E$2,quests!$1:$1,0)-MATCH($C$2,quests!$1:$1,0)+1),MATCH(E$2,quests!$1:$1,0)-MATCH($C$2,quests!$1:$1,0)+1,FALSE)</f>
        <v>降臨1</v>
      </c>
      <c r="F836" s="7">
        <v>1</v>
      </c>
      <c r="G836" s="7" t="s">
        <v>568</v>
      </c>
      <c r="H836" s="12" t="s">
        <v>1339</v>
      </c>
      <c r="I836" s="12" t="s">
        <v>1070</v>
      </c>
      <c r="J836" s="65">
        <v>582</v>
      </c>
      <c r="K836" s="167">
        <v>35</v>
      </c>
      <c r="L836" s="167">
        <v>4200</v>
      </c>
      <c r="M836" s="167">
        <v>1</v>
      </c>
      <c r="N836" s="167">
        <v>1</v>
      </c>
      <c r="O836" s="167">
        <v>1</v>
      </c>
      <c r="P836" s="167">
        <v>1</v>
      </c>
      <c r="Q836" s="167">
        <v>1</v>
      </c>
      <c r="R836" s="167">
        <v>3</v>
      </c>
      <c r="S836" s="167" t="s">
        <v>278</v>
      </c>
      <c r="T836" s="167">
        <v>1</v>
      </c>
      <c r="U836" s="7" t="s">
        <v>169</v>
      </c>
      <c r="V836" s="7" t="s">
        <v>169</v>
      </c>
      <c r="W836" s="47"/>
      <c r="X836" s="47">
        <f ca="1">VLOOKUP($C836,OFFSET(quests!$A$1,0,0,COUNTA(quests!$A:$A),MATCH(X$2,quests!$1:$1,0)-MATCH($C$2,quests!$1:$1,0)+1),MATCH(X$2,quests!$1:$1,0)-MATCH($C$2,quests!$1:$1,0)+1,FALSE)</f>
        <v>0</v>
      </c>
      <c r="Y836" s="47">
        <f ca="1">VLOOKUP($C836,OFFSET(quests!$A$1,0,0,COUNTA(quests!$A:$A),MATCH(Y$2,quests!$1:$1,0)-MATCH($C$2,quests!$1:$1,0)+1),MATCH(Y$2,quests!$1:$1,0)-MATCH($C$2,quests!$1:$1,0)+1,FALSE)</f>
        <v>0</v>
      </c>
      <c r="Z836" s="47">
        <f ca="1">VLOOKUP($C836,OFFSET(quests!$A$1,0,0,COUNTA(quests!$A:$A),MATCH(Z$2,quests!$1:$1,0)-MATCH($C$2,quests!$1:$1,0)+1),MATCH(Z$2,quests!$1:$1,0)-MATCH($C$2,quests!$1:$1,0)+1,FALSE)</f>
        <v>0</v>
      </c>
      <c r="AA836" s="47">
        <f ca="1">VLOOKUP($C836,OFFSET(quests!$A$1,0,0,COUNTA(quests!$A:$A),MATCH(AA$2,quests!$1:$1,0)-MATCH($C$2,quests!$1:$1,0)+1),MATCH(AA$2,quests!$1:$1,0)-MATCH($C$2,quests!$1:$1,0)+1,FALSE)</f>
        <v>0</v>
      </c>
      <c r="AB836" s="7" t="s">
        <v>56</v>
      </c>
      <c r="AC836" s="7">
        <v>25</v>
      </c>
      <c r="AD836" s="7">
        <v>6</v>
      </c>
      <c r="AE836" s="7" t="s">
        <v>519</v>
      </c>
      <c r="AF836" s="7">
        <v>40</v>
      </c>
      <c r="AG836" s="7">
        <v>40</v>
      </c>
      <c r="AH836" s="7">
        <v>0</v>
      </c>
      <c r="AI836" s="7">
        <v>-1</v>
      </c>
      <c r="AJ836" s="7">
        <v>-1</v>
      </c>
      <c r="AK836" s="7" t="s">
        <v>1065</v>
      </c>
      <c r="AL836" s="12" t="s">
        <v>1695</v>
      </c>
      <c r="AM836" s="12" t="s">
        <v>2072</v>
      </c>
    </row>
    <row r="837" spans="1:39" s="45" customFormat="1" ht="21" customHeight="1" x14ac:dyDescent="0.15">
      <c r="A837" s="42" t="str">
        <f t="shared" ref="A837:A996" si="53">C837&amp;"_"&amp;F837</f>
        <v>41009_2</v>
      </c>
      <c r="B837" s="23">
        <v>3</v>
      </c>
      <c r="C837" s="31">
        <v>41009</v>
      </c>
      <c r="D837" s="47" t="str">
        <f ca="1">VLOOKUP($C837,OFFSET(quests!$A$1,0,0,COUNTA(quests!$A:$A),MATCH(D$1,quests!$1:$1,0)-MATCH($C$2,quests!$1:$1,0)+1),MATCH(D$1,quests!$1:$1,0)-MATCH($C$2,quests!$1:$1,0)+1,FALSE)</f>
        <v>フギンとムニン襲来！</v>
      </c>
      <c r="E837" s="48" t="str">
        <f ca="1">VLOOKUP($C837,OFFSET(quests!$A$1,0,0,COUNTA(quests!$A:$A),MATCH(E$2,quests!$1:$1,0)-MATCH($C$2,quests!$1:$1,0)+1),MATCH(E$2,quests!$1:$1,0)-MATCH($C$2,quests!$1:$1,0)+1,FALSE)</f>
        <v>降臨1</v>
      </c>
      <c r="F837" s="7">
        <v>2</v>
      </c>
      <c r="G837" s="7" t="s">
        <v>568</v>
      </c>
      <c r="H837" s="12" t="s">
        <v>1340</v>
      </c>
      <c r="I837" s="12" t="s">
        <v>61</v>
      </c>
      <c r="J837" s="65">
        <v>828</v>
      </c>
      <c r="K837" s="167">
        <v>40</v>
      </c>
      <c r="L837" s="167">
        <v>4500</v>
      </c>
      <c r="M837" s="167">
        <v>1</v>
      </c>
      <c r="N837" s="167">
        <v>1</v>
      </c>
      <c r="O837" s="167">
        <v>1</v>
      </c>
      <c r="P837" s="167">
        <v>1</v>
      </c>
      <c r="Q837" s="167">
        <v>1</v>
      </c>
      <c r="R837" s="167">
        <v>3</v>
      </c>
      <c r="S837" s="167" t="s">
        <v>278</v>
      </c>
      <c r="T837" s="167">
        <v>1</v>
      </c>
      <c r="U837" s="7" t="s">
        <v>169</v>
      </c>
      <c r="V837" s="7" t="s">
        <v>169</v>
      </c>
      <c r="W837" s="47"/>
      <c r="X837" s="47">
        <f ca="1">VLOOKUP($C837,OFFSET(quests!$A$1,0,0,COUNTA(quests!$A:$A),MATCH(X$2,quests!$1:$1,0)-MATCH($C$2,quests!$1:$1,0)+1),MATCH(X$2,quests!$1:$1,0)-MATCH($C$2,quests!$1:$1,0)+1,FALSE)</f>
        <v>0</v>
      </c>
      <c r="Y837" s="47">
        <f ca="1">VLOOKUP($C837,OFFSET(quests!$A$1,0,0,COUNTA(quests!$A:$A),MATCH(Y$2,quests!$1:$1,0)-MATCH($C$2,quests!$1:$1,0)+1),MATCH(Y$2,quests!$1:$1,0)-MATCH($C$2,quests!$1:$1,0)+1,FALSE)</f>
        <v>0</v>
      </c>
      <c r="Z837" s="47">
        <f ca="1">VLOOKUP($C837,OFFSET(quests!$A$1,0,0,COUNTA(quests!$A:$A),MATCH(Z$2,quests!$1:$1,0)-MATCH($C$2,quests!$1:$1,0)+1),MATCH(Z$2,quests!$1:$1,0)-MATCH($C$2,quests!$1:$1,0)+1,FALSE)</f>
        <v>0</v>
      </c>
      <c r="AA837" s="47">
        <f ca="1">VLOOKUP($C837,OFFSET(quests!$A$1,0,0,COUNTA(quests!$A:$A),MATCH(AA$2,quests!$1:$1,0)-MATCH($C$2,quests!$1:$1,0)+1),MATCH(AA$2,quests!$1:$1,0)-MATCH($C$2,quests!$1:$1,0)+1,FALSE)</f>
        <v>0</v>
      </c>
      <c r="AB837" s="7" t="s">
        <v>56</v>
      </c>
      <c r="AC837" s="7">
        <v>25</v>
      </c>
      <c r="AD837" s="7">
        <v>6</v>
      </c>
      <c r="AE837" s="7" t="s">
        <v>519</v>
      </c>
      <c r="AF837" s="7">
        <v>40</v>
      </c>
      <c r="AG837" s="7">
        <v>40</v>
      </c>
      <c r="AH837" s="7">
        <v>0</v>
      </c>
      <c r="AI837" s="7">
        <v>-1</v>
      </c>
      <c r="AJ837" s="7">
        <v>-1</v>
      </c>
      <c r="AK837" s="7" t="s">
        <v>1065</v>
      </c>
      <c r="AL837" s="12" t="s">
        <v>1695</v>
      </c>
      <c r="AM837" s="12" t="s">
        <v>2072</v>
      </c>
    </row>
    <row r="838" spans="1:39" ht="22" customHeight="1" x14ac:dyDescent="0.15">
      <c r="A838" s="230" t="str">
        <f t="shared" si="53"/>
        <v>41009_3</v>
      </c>
      <c r="B838" s="44">
        <v>1</v>
      </c>
      <c r="C838" s="231">
        <v>41009</v>
      </c>
      <c r="D838" s="47" t="str">
        <f ca="1">VLOOKUP($C838,OFFSET(quests!$A$1,0,0,COUNTA(quests!$A:$A),MATCH(D$1,quests!$1:$1,0)-MATCH($C$2,quests!$1:$1,0)+1),MATCH(D$1,quests!$1:$1,0)-MATCH($C$2,quests!$1:$1,0)+1,FALSE)</f>
        <v>フギンとムニン襲来！</v>
      </c>
      <c r="E838" s="48" t="str">
        <f ca="1">VLOOKUP($C838,OFFSET(quests!$A$1,0,0,COUNTA(quests!$A:$A),MATCH(E$2,quests!$1:$1,0)-MATCH($C$2,quests!$1:$1,0)+1),MATCH(E$2,quests!$1:$1,0)-MATCH($C$2,quests!$1:$1,0)+1,FALSE)</f>
        <v>降臨1</v>
      </c>
      <c r="F838" s="232">
        <v>3</v>
      </c>
      <c r="G838" s="232" t="s">
        <v>568</v>
      </c>
      <c r="H838" s="44" t="s">
        <v>1341</v>
      </c>
      <c r="I838" s="44" t="s">
        <v>61</v>
      </c>
      <c r="J838" s="233">
        <v>1</v>
      </c>
      <c r="K838" s="232">
        <v>40</v>
      </c>
      <c r="L838" s="232">
        <v>4500</v>
      </c>
      <c r="M838" s="232">
        <v>1</v>
      </c>
      <c r="N838" s="232">
        <v>1</v>
      </c>
      <c r="O838" s="232">
        <v>1</v>
      </c>
      <c r="P838" s="232">
        <v>1</v>
      </c>
      <c r="Q838" s="232">
        <v>1</v>
      </c>
      <c r="R838" s="232">
        <v>3</v>
      </c>
      <c r="S838" s="232" t="s">
        <v>278</v>
      </c>
      <c r="T838" s="232">
        <v>1</v>
      </c>
      <c r="U838" s="232" t="s">
        <v>169</v>
      </c>
      <c r="V838" s="232" t="s">
        <v>169</v>
      </c>
      <c r="W838" s="47"/>
      <c r="X838" s="47">
        <f ca="1">VLOOKUP($C838,OFFSET(quests!$A$1,0,0,COUNTA(quests!$A:$A),MATCH(X$2,quests!$1:$1,0)-MATCH($C$2,quests!$1:$1,0)+1),MATCH(X$2,quests!$1:$1,0)-MATCH($C$2,quests!$1:$1,0)+1,FALSE)</f>
        <v>0</v>
      </c>
      <c r="Y838" s="47">
        <f ca="1">VLOOKUP($C838,OFFSET(quests!$A$1,0,0,COUNTA(quests!$A:$A),MATCH(Y$2,quests!$1:$1,0)-MATCH($C$2,quests!$1:$1,0)+1),MATCH(Y$2,quests!$1:$1,0)-MATCH($C$2,quests!$1:$1,0)+1,FALSE)</f>
        <v>0</v>
      </c>
      <c r="Z838" s="47">
        <f ca="1">VLOOKUP($C838,OFFSET(quests!$A$1,0,0,COUNTA(quests!$A:$A),MATCH(Z$2,quests!$1:$1,0)-MATCH($C$2,quests!$1:$1,0)+1),MATCH(Z$2,quests!$1:$1,0)-MATCH($C$2,quests!$1:$1,0)+1,FALSE)</f>
        <v>0</v>
      </c>
      <c r="AA838" s="47">
        <f ca="1">VLOOKUP($C838,OFFSET(quests!$A$1,0,0,COUNTA(quests!$A:$A),MATCH(AA$2,quests!$1:$1,0)-MATCH($C$2,quests!$1:$1,0)+1),MATCH(AA$2,quests!$1:$1,0)-MATCH($C$2,quests!$1:$1,0)+1,FALSE)</f>
        <v>0</v>
      </c>
      <c r="AB838" s="232" t="s">
        <v>56</v>
      </c>
      <c r="AC838" s="232">
        <v>25</v>
      </c>
      <c r="AD838" s="232">
        <v>6</v>
      </c>
      <c r="AE838" s="232" t="s">
        <v>519</v>
      </c>
      <c r="AF838" s="232">
        <v>40</v>
      </c>
      <c r="AG838" s="232">
        <v>40</v>
      </c>
      <c r="AH838" s="232">
        <v>0</v>
      </c>
      <c r="AI838" s="232">
        <v>0</v>
      </c>
      <c r="AJ838" s="232">
        <v>-1</v>
      </c>
      <c r="AK838" s="232" t="s">
        <v>1065</v>
      </c>
      <c r="AL838" s="12" t="s">
        <v>1695</v>
      </c>
      <c r="AM838" s="12" t="s">
        <v>2072</v>
      </c>
    </row>
    <row r="839" spans="1:39" ht="21" customHeight="1" x14ac:dyDescent="0.15">
      <c r="A839" s="42" t="str">
        <f t="shared" si="53"/>
        <v>41010_1</v>
      </c>
      <c r="B839" s="23">
        <v>3</v>
      </c>
      <c r="C839" s="31">
        <v>41010</v>
      </c>
      <c r="D839" s="47" t="str">
        <f ca="1">VLOOKUP($C839,OFFSET(quests!$A$1,0,0,COUNTA(quests!$A:$A),MATCH(D$1,quests!$1:$1,0)-MATCH($C$2,quests!$1:$1,0)+1),MATCH(D$1,quests!$1:$1,0)-MATCH($C$2,quests!$1:$1,0)+1,FALSE)</f>
        <v>フレイ襲来！</v>
      </c>
      <c r="E839" s="48" t="str">
        <f ca="1">VLOOKUP($C839,OFFSET(quests!$A$1,0,0,COUNTA(quests!$A:$A),MATCH(E$2,quests!$1:$1,0)-MATCH($C$2,quests!$1:$1,0)+1),MATCH(E$2,quests!$1:$1,0)-MATCH($C$2,quests!$1:$1,0)+1,FALSE)</f>
        <v>降臨1</v>
      </c>
      <c r="F839" s="7">
        <v>1</v>
      </c>
      <c r="G839" s="7" t="s">
        <v>568</v>
      </c>
      <c r="H839" s="12" t="s">
        <v>1358</v>
      </c>
      <c r="I839" s="12" t="s">
        <v>1070</v>
      </c>
      <c r="J839" s="65">
        <v>576</v>
      </c>
      <c r="K839" s="167">
        <v>35</v>
      </c>
      <c r="L839" s="167">
        <v>4200</v>
      </c>
      <c r="M839" s="167">
        <v>1</v>
      </c>
      <c r="N839" s="167">
        <v>1</v>
      </c>
      <c r="O839" s="167">
        <v>1</v>
      </c>
      <c r="P839" s="96">
        <v>0</v>
      </c>
      <c r="Q839" s="167">
        <v>1</v>
      </c>
      <c r="R839" s="167">
        <v>3</v>
      </c>
      <c r="S839" s="167" t="s">
        <v>278</v>
      </c>
      <c r="T839" s="167">
        <v>1</v>
      </c>
      <c r="U839" s="7" t="s">
        <v>169</v>
      </c>
      <c r="V839" s="7" t="s">
        <v>169</v>
      </c>
      <c r="W839" s="47"/>
      <c r="X839" s="47">
        <f ca="1">VLOOKUP($C839,OFFSET(quests!$A$1,0,0,COUNTA(quests!$A:$A),MATCH(X$2,quests!$1:$1,0)-MATCH($C$2,quests!$1:$1,0)+1),MATCH(X$2,quests!$1:$1,0)-MATCH($C$2,quests!$1:$1,0)+1,FALSE)</f>
        <v>0</v>
      </c>
      <c r="Y839" s="47">
        <f ca="1">VLOOKUP($C839,OFFSET(quests!$A$1,0,0,COUNTA(quests!$A:$A),MATCH(Y$2,quests!$1:$1,0)-MATCH($C$2,quests!$1:$1,0)+1),MATCH(Y$2,quests!$1:$1,0)-MATCH($C$2,quests!$1:$1,0)+1,FALSE)</f>
        <v>0</v>
      </c>
      <c r="Z839" s="47">
        <f ca="1">VLOOKUP($C839,OFFSET(quests!$A$1,0,0,COUNTA(quests!$A:$A),MATCH(Z$2,quests!$1:$1,0)-MATCH($C$2,quests!$1:$1,0)+1),MATCH(Z$2,quests!$1:$1,0)-MATCH($C$2,quests!$1:$1,0)+1,FALSE)</f>
        <v>0</v>
      </c>
      <c r="AA839" s="47">
        <f ca="1">VLOOKUP($C839,OFFSET(quests!$A$1,0,0,COUNTA(quests!$A:$A),MATCH(AA$2,quests!$1:$1,0)-MATCH($C$2,quests!$1:$1,0)+1),MATCH(AA$2,quests!$1:$1,0)-MATCH($C$2,quests!$1:$1,0)+1,FALSE)</f>
        <v>0</v>
      </c>
      <c r="AB839" s="7" t="s">
        <v>56</v>
      </c>
      <c r="AC839" s="7">
        <v>912</v>
      </c>
      <c r="AD839" s="7">
        <v>6</v>
      </c>
      <c r="AE839" s="7" t="s">
        <v>519</v>
      </c>
      <c r="AF839" s="7">
        <v>40</v>
      </c>
      <c r="AG839" s="7">
        <v>40</v>
      </c>
      <c r="AH839" s="7">
        <v>0</v>
      </c>
      <c r="AI839" s="7">
        <v>-1</v>
      </c>
      <c r="AJ839" s="7">
        <v>-1</v>
      </c>
      <c r="AK839" s="7" t="s">
        <v>1065</v>
      </c>
      <c r="AL839" s="12" t="s">
        <v>1695</v>
      </c>
      <c r="AM839" s="12" t="s">
        <v>2072</v>
      </c>
    </row>
    <row r="840" spans="1:39" s="45" customFormat="1" ht="21" customHeight="1" x14ac:dyDescent="0.15">
      <c r="A840" s="42" t="str">
        <f t="shared" si="53"/>
        <v>41010_2</v>
      </c>
      <c r="B840" s="23">
        <v>3</v>
      </c>
      <c r="C840" s="31">
        <v>41010</v>
      </c>
      <c r="D840" s="47" t="str">
        <f ca="1">VLOOKUP($C840,OFFSET(quests!$A$1,0,0,COUNTA(quests!$A:$A),MATCH(D$1,quests!$1:$1,0)-MATCH($C$2,quests!$1:$1,0)+1),MATCH(D$1,quests!$1:$1,0)-MATCH($C$2,quests!$1:$1,0)+1,FALSE)</f>
        <v>フレイ襲来！</v>
      </c>
      <c r="E840" s="48" t="str">
        <f ca="1">VLOOKUP($C840,OFFSET(quests!$A$1,0,0,COUNTA(quests!$A:$A),MATCH(E$2,quests!$1:$1,0)-MATCH($C$2,quests!$1:$1,0)+1),MATCH(E$2,quests!$1:$1,0)-MATCH($C$2,quests!$1:$1,0)+1,FALSE)</f>
        <v>降臨1</v>
      </c>
      <c r="F840" s="7">
        <v>2</v>
      </c>
      <c r="G840" s="7" t="s">
        <v>568</v>
      </c>
      <c r="H840" s="12" t="s">
        <v>1359</v>
      </c>
      <c r="I840" s="12" t="s">
        <v>61</v>
      </c>
      <c r="J840" s="65">
        <v>826</v>
      </c>
      <c r="K840" s="167">
        <v>40</v>
      </c>
      <c r="L840" s="167">
        <v>4500</v>
      </c>
      <c r="M840" s="167">
        <v>1</v>
      </c>
      <c r="N840" s="167">
        <v>1</v>
      </c>
      <c r="O840" s="167">
        <v>1</v>
      </c>
      <c r="P840" s="96">
        <v>0</v>
      </c>
      <c r="Q840" s="167">
        <v>1</v>
      </c>
      <c r="R840" s="167">
        <v>3</v>
      </c>
      <c r="S840" s="167" t="s">
        <v>278</v>
      </c>
      <c r="T840" s="167">
        <v>1</v>
      </c>
      <c r="U840" s="7" t="s">
        <v>169</v>
      </c>
      <c r="V840" s="7" t="s">
        <v>169</v>
      </c>
      <c r="W840" s="47"/>
      <c r="X840" s="47">
        <f ca="1">VLOOKUP($C840,OFFSET(quests!$A$1,0,0,COUNTA(quests!$A:$A),MATCH(X$2,quests!$1:$1,0)-MATCH($C$2,quests!$1:$1,0)+1),MATCH(X$2,quests!$1:$1,0)-MATCH($C$2,quests!$1:$1,0)+1,FALSE)</f>
        <v>0</v>
      </c>
      <c r="Y840" s="47">
        <f ca="1">VLOOKUP($C840,OFFSET(quests!$A$1,0,0,COUNTA(quests!$A:$A),MATCH(Y$2,quests!$1:$1,0)-MATCH($C$2,quests!$1:$1,0)+1),MATCH(Y$2,quests!$1:$1,0)-MATCH($C$2,quests!$1:$1,0)+1,FALSE)</f>
        <v>0</v>
      </c>
      <c r="Z840" s="47">
        <f ca="1">VLOOKUP($C840,OFFSET(quests!$A$1,0,0,COUNTA(quests!$A:$A),MATCH(Z$2,quests!$1:$1,0)-MATCH($C$2,quests!$1:$1,0)+1),MATCH(Z$2,quests!$1:$1,0)-MATCH($C$2,quests!$1:$1,0)+1,FALSE)</f>
        <v>0</v>
      </c>
      <c r="AA840" s="47">
        <f ca="1">VLOOKUP($C840,OFFSET(quests!$A$1,0,0,COUNTA(quests!$A:$A),MATCH(AA$2,quests!$1:$1,0)-MATCH($C$2,quests!$1:$1,0)+1),MATCH(AA$2,quests!$1:$1,0)-MATCH($C$2,quests!$1:$1,0)+1,FALSE)</f>
        <v>0</v>
      </c>
      <c r="AB840" s="7" t="s">
        <v>56</v>
      </c>
      <c r="AC840" s="7">
        <v>912</v>
      </c>
      <c r="AD840" s="7">
        <v>6</v>
      </c>
      <c r="AE840" s="7" t="s">
        <v>519</v>
      </c>
      <c r="AF840" s="7">
        <v>40</v>
      </c>
      <c r="AG840" s="7">
        <v>40</v>
      </c>
      <c r="AH840" s="7">
        <v>0</v>
      </c>
      <c r="AI840" s="7">
        <v>-1</v>
      </c>
      <c r="AJ840" s="7">
        <v>-1</v>
      </c>
      <c r="AK840" s="7" t="s">
        <v>1065</v>
      </c>
      <c r="AL840" s="12" t="s">
        <v>1695</v>
      </c>
      <c r="AM840" s="12" t="s">
        <v>2072</v>
      </c>
    </row>
    <row r="841" spans="1:39" ht="22" customHeight="1" x14ac:dyDescent="0.15">
      <c r="A841" s="230" t="str">
        <f t="shared" si="53"/>
        <v>41010_3</v>
      </c>
      <c r="B841" s="44">
        <v>1</v>
      </c>
      <c r="C841" s="231">
        <v>41010</v>
      </c>
      <c r="D841" s="47" t="str">
        <f ca="1">VLOOKUP($C841,OFFSET(quests!$A$1,0,0,COUNTA(quests!$A:$A),MATCH(D$1,quests!$1:$1,0)-MATCH($C$2,quests!$1:$1,0)+1),MATCH(D$1,quests!$1:$1,0)-MATCH($C$2,quests!$1:$1,0)+1,FALSE)</f>
        <v>フレイ襲来！</v>
      </c>
      <c r="E841" s="48" t="str">
        <f ca="1">VLOOKUP($C841,OFFSET(quests!$A$1,0,0,COUNTA(quests!$A:$A),MATCH(E$2,quests!$1:$1,0)-MATCH($C$2,quests!$1:$1,0)+1),MATCH(E$2,quests!$1:$1,0)-MATCH($C$2,quests!$1:$1,0)+1,FALSE)</f>
        <v>降臨1</v>
      </c>
      <c r="F841" s="232">
        <v>3</v>
      </c>
      <c r="G841" s="232" t="s">
        <v>568</v>
      </c>
      <c r="H841" s="44" t="s">
        <v>1360</v>
      </c>
      <c r="I841" s="44" t="s">
        <v>61</v>
      </c>
      <c r="J841" s="233">
        <v>1</v>
      </c>
      <c r="K841" s="232">
        <v>40</v>
      </c>
      <c r="L841" s="232">
        <v>4500</v>
      </c>
      <c r="M841" s="232">
        <v>1</v>
      </c>
      <c r="N841" s="232">
        <v>1</v>
      </c>
      <c r="O841" s="232">
        <v>1</v>
      </c>
      <c r="P841" s="232">
        <v>0</v>
      </c>
      <c r="Q841" s="232">
        <v>1</v>
      </c>
      <c r="R841" s="232">
        <v>3</v>
      </c>
      <c r="S841" s="232" t="s">
        <v>278</v>
      </c>
      <c r="T841" s="232">
        <v>1</v>
      </c>
      <c r="U841" s="232" t="s">
        <v>169</v>
      </c>
      <c r="V841" s="232" t="s">
        <v>169</v>
      </c>
      <c r="W841" s="47"/>
      <c r="X841" s="47">
        <f ca="1">VLOOKUP($C841,OFFSET(quests!$A$1,0,0,COUNTA(quests!$A:$A),MATCH(X$2,quests!$1:$1,0)-MATCH($C$2,quests!$1:$1,0)+1),MATCH(X$2,quests!$1:$1,0)-MATCH($C$2,quests!$1:$1,0)+1,FALSE)</f>
        <v>0</v>
      </c>
      <c r="Y841" s="47">
        <f ca="1">VLOOKUP($C841,OFFSET(quests!$A$1,0,0,COUNTA(quests!$A:$A),MATCH(Y$2,quests!$1:$1,0)-MATCH($C$2,quests!$1:$1,0)+1),MATCH(Y$2,quests!$1:$1,0)-MATCH($C$2,quests!$1:$1,0)+1,FALSE)</f>
        <v>0</v>
      </c>
      <c r="Z841" s="47">
        <f ca="1">VLOOKUP($C841,OFFSET(quests!$A$1,0,0,COUNTA(quests!$A:$A),MATCH(Z$2,quests!$1:$1,0)-MATCH($C$2,quests!$1:$1,0)+1),MATCH(Z$2,quests!$1:$1,0)-MATCH($C$2,quests!$1:$1,0)+1,FALSE)</f>
        <v>0</v>
      </c>
      <c r="AA841" s="47">
        <f ca="1">VLOOKUP($C841,OFFSET(quests!$A$1,0,0,COUNTA(quests!$A:$A),MATCH(AA$2,quests!$1:$1,0)-MATCH($C$2,quests!$1:$1,0)+1),MATCH(AA$2,quests!$1:$1,0)-MATCH($C$2,quests!$1:$1,0)+1,FALSE)</f>
        <v>0</v>
      </c>
      <c r="AB841" s="232" t="s">
        <v>56</v>
      </c>
      <c r="AC841" s="232">
        <v>912</v>
      </c>
      <c r="AD841" s="232">
        <v>6</v>
      </c>
      <c r="AE841" s="232" t="s">
        <v>519</v>
      </c>
      <c r="AF841" s="232">
        <v>40</v>
      </c>
      <c r="AG841" s="232">
        <v>40</v>
      </c>
      <c r="AH841" s="232">
        <v>0</v>
      </c>
      <c r="AI841" s="232">
        <v>0</v>
      </c>
      <c r="AJ841" s="232">
        <v>-1</v>
      </c>
      <c r="AK841" s="232" t="s">
        <v>1065</v>
      </c>
      <c r="AL841" s="12" t="s">
        <v>1695</v>
      </c>
      <c r="AM841" s="12" t="s">
        <v>2072</v>
      </c>
    </row>
    <row r="842" spans="1:39" ht="21" customHeight="1" x14ac:dyDescent="0.15">
      <c r="A842" s="42" t="str">
        <f t="shared" si="53"/>
        <v>41011_1</v>
      </c>
      <c r="B842" s="23">
        <v>3</v>
      </c>
      <c r="C842" s="31">
        <v>41011</v>
      </c>
      <c r="D842" s="47" t="str">
        <f ca="1">VLOOKUP($C842,OFFSET(quests!$A$1,0,0,COUNTA(quests!$A:$A),MATCH(D$1,quests!$1:$1,0)-MATCH($C$2,quests!$1:$1,0)+1),MATCH(D$1,quests!$1:$1,0)-MATCH($C$2,quests!$1:$1,0)+1,FALSE)</f>
        <v>ヨミ襲来！</v>
      </c>
      <c r="E842" s="48" t="str">
        <f ca="1">VLOOKUP($C842,OFFSET(quests!$A$1,0,0,COUNTA(quests!$A:$A),MATCH(E$2,quests!$1:$1,0)-MATCH($C$2,quests!$1:$1,0)+1),MATCH(E$2,quests!$1:$1,0)-MATCH($C$2,quests!$1:$1,0)+1,FALSE)</f>
        <v>降臨1</v>
      </c>
      <c r="F842" s="7">
        <v>1</v>
      </c>
      <c r="G842" s="7" t="s">
        <v>382</v>
      </c>
      <c r="H842" s="12" t="s">
        <v>1463</v>
      </c>
      <c r="I842" s="12" t="s">
        <v>1070</v>
      </c>
      <c r="J842" s="65">
        <v>655</v>
      </c>
      <c r="K842" s="167">
        <v>35</v>
      </c>
      <c r="L842" s="167">
        <v>4200</v>
      </c>
      <c r="M842" s="167">
        <v>1</v>
      </c>
      <c r="N842" s="167">
        <v>1</v>
      </c>
      <c r="O842" s="167">
        <v>1</v>
      </c>
      <c r="P842" s="167">
        <v>1</v>
      </c>
      <c r="Q842" s="167">
        <v>1</v>
      </c>
      <c r="R842" s="167">
        <v>3</v>
      </c>
      <c r="S842" s="167" t="s">
        <v>278</v>
      </c>
      <c r="T842" s="167">
        <v>1</v>
      </c>
      <c r="U842" s="7" t="s">
        <v>169</v>
      </c>
      <c r="V842" s="7" t="s">
        <v>169</v>
      </c>
      <c r="W842" s="47"/>
      <c r="X842" s="47">
        <f ca="1">VLOOKUP($C842,OFFSET(quests!$A$1,0,0,COUNTA(quests!$A:$A),MATCH(X$2,quests!$1:$1,0)-MATCH($C$2,quests!$1:$1,0)+1),MATCH(X$2,quests!$1:$1,0)-MATCH($C$2,quests!$1:$1,0)+1,FALSE)</f>
        <v>0</v>
      </c>
      <c r="Y842" s="47">
        <f ca="1">VLOOKUP($C842,OFFSET(quests!$A$1,0,0,COUNTA(quests!$A:$A),MATCH(Y$2,quests!$1:$1,0)-MATCH($C$2,quests!$1:$1,0)+1),MATCH(Y$2,quests!$1:$1,0)-MATCH($C$2,quests!$1:$1,0)+1,FALSE)</f>
        <v>0</v>
      </c>
      <c r="Z842" s="47">
        <f ca="1">VLOOKUP($C842,OFFSET(quests!$A$1,0,0,COUNTA(quests!$A:$A),MATCH(Z$2,quests!$1:$1,0)-MATCH($C$2,quests!$1:$1,0)+1),MATCH(Z$2,quests!$1:$1,0)-MATCH($C$2,quests!$1:$1,0)+1,FALSE)</f>
        <v>0</v>
      </c>
      <c r="AA842" s="47">
        <f ca="1">VLOOKUP($C842,OFFSET(quests!$A$1,0,0,COUNTA(quests!$A:$A),MATCH(AA$2,quests!$1:$1,0)-MATCH($C$2,quests!$1:$1,0)+1),MATCH(AA$2,quests!$1:$1,0)-MATCH($C$2,quests!$1:$1,0)+1,FALSE)</f>
        <v>0</v>
      </c>
      <c r="AB842" s="7" t="s">
        <v>56</v>
      </c>
      <c r="AC842" s="7">
        <v>913</v>
      </c>
      <c r="AD842" s="7">
        <v>6</v>
      </c>
      <c r="AE842" s="7" t="s">
        <v>519</v>
      </c>
      <c r="AF842" s="7">
        <v>40</v>
      </c>
      <c r="AG842" s="7">
        <v>40</v>
      </c>
      <c r="AH842" s="7">
        <v>0</v>
      </c>
      <c r="AI842" s="7">
        <v>-1</v>
      </c>
      <c r="AJ842" s="7">
        <v>-1</v>
      </c>
      <c r="AK842" s="7" t="s">
        <v>1065</v>
      </c>
      <c r="AL842" s="12" t="s">
        <v>1695</v>
      </c>
      <c r="AM842" s="12" t="s">
        <v>2072</v>
      </c>
    </row>
    <row r="843" spans="1:39" s="45" customFormat="1" ht="21" customHeight="1" x14ac:dyDescent="0.15">
      <c r="A843" s="42" t="str">
        <f t="shared" si="53"/>
        <v>41011_2</v>
      </c>
      <c r="B843" s="23">
        <v>3</v>
      </c>
      <c r="C843" s="31">
        <v>41011</v>
      </c>
      <c r="D843" s="47" t="str">
        <f ca="1">VLOOKUP($C843,OFFSET(quests!$A$1,0,0,COUNTA(quests!$A:$A),MATCH(D$1,quests!$1:$1,0)-MATCH($C$2,quests!$1:$1,0)+1),MATCH(D$1,quests!$1:$1,0)-MATCH($C$2,quests!$1:$1,0)+1,FALSE)</f>
        <v>ヨミ襲来！</v>
      </c>
      <c r="E843" s="48" t="str">
        <f ca="1">VLOOKUP($C843,OFFSET(quests!$A$1,0,0,COUNTA(quests!$A:$A),MATCH(E$2,quests!$1:$1,0)-MATCH($C$2,quests!$1:$1,0)+1),MATCH(E$2,quests!$1:$1,0)-MATCH($C$2,quests!$1:$1,0)+1,FALSE)</f>
        <v>降臨1</v>
      </c>
      <c r="F843" s="7">
        <v>2</v>
      </c>
      <c r="G843" s="7" t="s">
        <v>382</v>
      </c>
      <c r="H843" s="12" t="s">
        <v>1464</v>
      </c>
      <c r="I843" s="12" t="s">
        <v>1408</v>
      </c>
      <c r="J843" s="65">
        <v>832</v>
      </c>
      <c r="K843" s="167">
        <v>40</v>
      </c>
      <c r="L843" s="167">
        <v>4500</v>
      </c>
      <c r="M843" s="167">
        <v>1</v>
      </c>
      <c r="N843" s="167">
        <v>1</v>
      </c>
      <c r="O843" s="167">
        <v>1</v>
      </c>
      <c r="P843" s="167">
        <v>1</v>
      </c>
      <c r="Q843" s="167">
        <v>1</v>
      </c>
      <c r="R843" s="167">
        <v>3</v>
      </c>
      <c r="S843" s="167" t="s">
        <v>278</v>
      </c>
      <c r="T843" s="167">
        <v>1</v>
      </c>
      <c r="U843" s="7" t="s">
        <v>169</v>
      </c>
      <c r="V843" s="7" t="s">
        <v>169</v>
      </c>
      <c r="W843" s="47"/>
      <c r="X843" s="47">
        <f ca="1">VLOOKUP($C843,OFFSET(quests!$A$1,0,0,COUNTA(quests!$A:$A),MATCH(X$2,quests!$1:$1,0)-MATCH($C$2,quests!$1:$1,0)+1),MATCH(X$2,quests!$1:$1,0)-MATCH($C$2,quests!$1:$1,0)+1,FALSE)</f>
        <v>0</v>
      </c>
      <c r="Y843" s="47">
        <f ca="1">VLOOKUP($C843,OFFSET(quests!$A$1,0,0,COUNTA(quests!$A:$A),MATCH(Y$2,quests!$1:$1,0)-MATCH($C$2,quests!$1:$1,0)+1),MATCH(Y$2,quests!$1:$1,0)-MATCH($C$2,quests!$1:$1,0)+1,FALSE)</f>
        <v>0</v>
      </c>
      <c r="Z843" s="47">
        <f ca="1">VLOOKUP($C843,OFFSET(quests!$A$1,0,0,COUNTA(quests!$A:$A),MATCH(Z$2,quests!$1:$1,0)-MATCH($C$2,quests!$1:$1,0)+1),MATCH(Z$2,quests!$1:$1,0)-MATCH($C$2,quests!$1:$1,0)+1,FALSE)</f>
        <v>0</v>
      </c>
      <c r="AA843" s="47">
        <f ca="1">VLOOKUP($C843,OFFSET(quests!$A$1,0,0,COUNTA(quests!$A:$A),MATCH(AA$2,quests!$1:$1,0)-MATCH($C$2,quests!$1:$1,0)+1),MATCH(AA$2,quests!$1:$1,0)-MATCH($C$2,quests!$1:$1,0)+1,FALSE)</f>
        <v>0</v>
      </c>
      <c r="AB843" s="7" t="s">
        <v>56</v>
      </c>
      <c r="AC843" s="7">
        <v>913</v>
      </c>
      <c r="AD843" s="7">
        <v>6</v>
      </c>
      <c r="AE843" s="7" t="s">
        <v>519</v>
      </c>
      <c r="AF843" s="7">
        <v>40</v>
      </c>
      <c r="AG843" s="7">
        <v>40</v>
      </c>
      <c r="AH843" s="7">
        <v>0</v>
      </c>
      <c r="AI843" s="7">
        <v>-1</v>
      </c>
      <c r="AJ843" s="7">
        <v>-1</v>
      </c>
      <c r="AK843" s="7" t="s">
        <v>1065</v>
      </c>
      <c r="AL843" s="12" t="s">
        <v>1695</v>
      </c>
      <c r="AM843" s="12" t="s">
        <v>2072</v>
      </c>
    </row>
    <row r="844" spans="1:39" ht="22" customHeight="1" x14ac:dyDescent="0.15">
      <c r="A844" s="42" t="str">
        <f t="shared" si="53"/>
        <v>41012_1</v>
      </c>
      <c r="B844" s="23">
        <v>3</v>
      </c>
      <c r="C844" s="31">
        <v>41012</v>
      </c>
      <c r="D844" s="47" t="str">
        <f ca="1">VLOOKUP($C844,OFFSET(quests!$A$1,0,0,COUNTA(quests!$A:$A),MATCH(D$1,quests!$1:$1,0)-MATCH($C$2,quests!$1:$1,0)+1),MATCH(D$1,quests!$1:$1,0)-MATCH($C$2,quests!$1:$1,0)+1,FALSE)</f>
        <v>ショウキ襲来！</v>
      </c>
      <c r="E844" s="48" t="str">
        <f ca="1">VLOOKUP($C844,OFFSET(quests!$A$1,0,0,COUNTA(quests!$A:$A),MATCH(E$2,quests!$1:$1,0)-MATCH($C$2,quests!$1:$1,0)+1),MATCH(E$2,quests!$1:$1,0)-MATCH($C$2,quests!$1:$1,0)+1,FALSE)</f>
        <v>降臨1</v>
      </c>
      <c r="F844" s="7">
        <v>1</v>
      </c>
      <c r="G844" s="7" t="s">
        <v>568</v>
      </c>
      <c r="H844" s="12" t="s">
        <v>1406</v>
      </c>
      <c r="I844" s="12" t="s">
        <v>1070</v>
      </c>
      <c r="J844" s="65">
        <v>645</v>
      </c>
      <c r="K844" s="167">
        <v>35</v>
      </c>
      <c r="L844" s="167">
        <v>4200</v>
      </c>
      <c r="M844" s="167">
        <v>1</v>
      </c>
      <c r="N844" s="167">
        <v>1</v>
      </c>
      <c r="O844" s="167">
        <v>1</v>
      </c>
      <c r="P844" s="167">
        <v>1</v>
      </c>
      <c r="Q844" s="167">
        <v>1</v>
      </c>
      <c r="R844" s="167">
        <v>3</v>
      </c>
      <c r="S844" s="167" t="s">
        <v>278</v>
      </c>
      <c r="T844" s="167">
        <v>1</v>
      </c>
      <c r="U844" s="7" t="s">
        <v>169</v>
      </c>
      <c r="V844" s="7" t="s">
        <v>169</v>
      </c>
      <c r="W844" s="47"/>
      <c r="X844" s="47">
        <f ca="1">VLOOKUP($C844,OFFSET(quests!$A$1,0,0,COUNTA(quests!$A:$A),MATCH(X$2,quests!$1:$1,0)-MATCH($C$2,quests!$1:$1,0)+1),MATCH(X$2,quests!$1:$1,0)-MATCH($C$2,quests!$1:$1,0)+1,FALSE)</f>
        <v>0</v>
      </c>
      <c r="Y844" s="47">
        <f ca="1">VLOOKUP($C844,OFFSET(quests!$A$1,0,0,COUNTA(quests!$A:$A),MATCH(Y$2,quests!$1:$1,0)-MATCH($C$2,quests!$1:$1,0)+1),MATCH(Y$2,quests!$1:$1,0)-MATCH($C$2,quests!$1:$1,0)+1,FALSE)</f>
        <v>0</v>
      </c>
      <c r="Z844" s="47">
        <f ca="1">VLOOKUP($C844,OFFSET(quests!$A$1,0,0,COUNTA(quests!$A:$A),MATCH(Z$2,quests!$1:$1,0)-MATCH($C$2,quests!$1:$1,0)+1),MATCH(Z$2,quests!$1:$1,0)-MATCH($C$2,quests!$1:$1,0)+1,FALSE)</f>
        <v>0</v>
      </c>
      <c r="AA844" s="47">
        <f ca="1">VLOOKUP($C844,OFFSET(quests!$A$1,0,0,COUNTA(quests!$A:$A),MATCH(AA$2,quests!$1:$1,0)-MATCH($C$2,quests!$1:$1,0)+1),MATCH(AA$2,quests!$1:$1,0)-MATCH($C$2,quests!$1:$1,0)+1,FALSE)</f>
        <v>0</v>
      </c>
      <c r="AB844" s="7" t="s">
        <v>56</v>
      </c>
      <c r="AC844" s="7">
        <v>915</v>
      </c>
      <c r="AD844" s="7">
        <v>6</v>
      </c>
      <c r="AE844" s="7" t="s">
        <v>519</v>
      </c>
      <c r="AF844" s="7">
        <v>40</v>
      </c>
      <c r="AG844" s="7">
        <v>40</v>
      </c>
      <c r="AH844" s="7">
        <v>0</v>
      </c>
      <c r="AI844" s="7">
        <v>-1</v>
      </c>
      <c r="AJ844" s="7">
        <v>-1</v>
      </c>
      <c r="AK844" s="7" t="s">
        <v>1065</v>
      </c>
      <c r="AL844" s="12" t="s">
        <v>1695</v>
      </c>
      <c r="AM844" s="12" t="s">
        <v>2072</v>
      </c>
    </row>
    <row r="845" spans="1:39" ht="21" customHeight="1" x14ac:dyDescent="0.15">
      <c r="A845" s="42" t="str">
        <f t="shared" si="53"/>
        <v>41012_2</v>
      </c>
      <c r="B845" s="23">
        <v>3</v>
      </c>
      <c r="C845" s="31">
        <v>41012</v>
      </c>
      <c r="D845" s="47" t="str">
        <f ca="1">VLOOKUP($C845,OFFSET(quests!$A$1,0,0,COUNTA(quests!$A:$A),MATCH(D$1,quests!$1:$1,0)-MATCH($C$2,quests!$1:$1,0)+1),MATCH(D$1,quests!$1:$1,0)-MATCH($C$2,quests!$1:$1,0)+1,FALSE)</f>
        <v>ショウキ襲来！</v>
      </c>
      <c r="E845" s="48" t="str">
        <f ca="1">VLOOKUP($C845,OFFSET(quests!$A$1,0,0,COUNTA(quests!$A:$A),MATCH(E$2,quests!$1:$1,0)-MATCH($C$2,quests!$1:$1,0)+1),MATCH(E$2,quests!$1:$1,0)-MATCH($C$2,quests!$1:$1,0)+1,FALSE)</f>
        <v>降臨1</v>
      </c>
      <c r="F845" s="7">
        <v>2</v>
      </c>
      <c r="G845" s="7" t="s">
        <v>568</v>
      </c>
      <c r="H845" s="12" t="s">
        <v>1407</v>
      </c>
      <c r="I845" s="12" t="s">
        <v>61</v>
      </c>
      <c r="J845" s="65">
        <v>831</v>
      </c>
      <c r="K845" s="167">
        <v>40</v>
      </c>
      <c r="L845" s="167">
        <v>4500</v>
      </c>
      <c r="M845" s="167">
        <v>1</v>
      </c>
      <c r="N845" s="167">
        <v>1</v>
      </c>
      <c r="O845" s="167">
        <v>1</v>
      </c>
      <c r="P845" s="167">
        <v>1</v>
      </c>
      <c r="Q845" s="167">
        <v>1</v>
      </c>
      <c r="R845" s="167">
        <v>3</v>
      </c>
      <c r="S845" s="167" t="s">
        <v>278</v>
      </c>
      <c r="T845" s="167">
        <v>1</v>
      </c>
      <c r="U845" s="7" t="s">
        <v>169</v>
      </c>
      <c r="V845" s="7" t="s">
        <v>169</v>
      </c>
      <c r="W845" s="47"/>
      <c r="X845" s="47">
        <f ca="1">VLOOKUP($C845,OFFSET(quests!$A$1,0,0,COUNTA(quests!$A:$A),MATCH(X$2,quests!$1:$1,0)-MATCH($C$2,quests!$1:$1,0)+1),MATCH(X$2,quests!$1:$1,0)-MATCH($C$2,quests!$1:$1,0)+1,FALSE)</f>
        <v>0</v>
      </c>
      <c r="Y845" s="47">
        <f ca="1">VLOOKUP($C845,OFFSET(quests!$A$1,0,0,COUNTA(quests!$A:$A),MATCH(Y$2,quests!$1:$1,0)-MATCH($C$2,quests!$1:$1,0)+1),MATCH(Y$2,quests!$1:$1,0)-MATCH($C$2,quests!$1:$1,0)+1,FALSE)</f>
        <v>0</v>
      </c>
      <c r="Z845" s="47">
        <f ca="1">VLOOKUP($C845,OFFSET(quests!$A$1,0,0,COUNTA(quests!$A:$A),MATCH(Z$2,quests!$1:$1,0)-MATCH($C$2,quests!$1:$1,0)+1),MATCH(Z$2,quests!$1:$1,0)-MATCH($C$2,quests!$1:$1,0)+1,FALSE)</f>
        <v>0</v>
      </c>
      <c r="AA845" s="47">
        <f ca="1">VLOOKUP($C845,OFFSET(quests!$A$1,0,0,COUNTA(quests!$A:$A),MATCH(AA$2,quests!$1:$1,0)-MATCH($C$2,quests!$1:$1,0)+1),MATCH(AA$2,quests!$1:$1,0)-MATCH($C$2,quests!$1:$1,0)+1,FALSE)</f>
        <v>0</v>
      </c>
      <c r="AB845" s="7" t="s">
        <v>56</v>
      </c>
      <c r="AC845" s="7">
        <v>915</v>
      </c>
      <c r="AD845" s="7">
        <v>6</v>
      </c>
      <c r="AE845" s="7" t="s">
        <v>519</v>
      </c>
      <c r="AF845" s="7">
        <v>40</v>
      </c>
      <c r="AG845" s="7">
        <v>40</v>
      </c>
      <c r="AH845" s="7">
        <v>0</v>
      </c>
      <c r="AI845" s="7">
        <v>-1</v>
      </c>
      <c r="AJ845" s="7">
        <v>-1</v>
      </c>
      <c r="AK845" s="7" t="s">
        <v>1065</v>
      </c>
      <c r="AL845" s="12" t="s">
        <v>1695</v>
      </c>
      <c r="AM845" s="12" t="s">
        <v>2072</v>
      </c>
    </row>
    <row r="846" spans="1:39" s="45" customFormat="1" ht="21" customHeight="1" x14ac:dyDescent="0.15">
      <c r="A846" s="42" t="str">
        <f t="shared" si="53"/>
        <v>41013_1</v>
      </c>
      <c r="B846" s="23">
        <v>3</v>
      </c>
      <c r="C846" s="31">
        <v>41013</v>
      </c>
      <c r="D846" s="47" t="str">
        <f ca="1">VLOOKUP($C846,OFFSET(quests!$A$1,0,0,COUNTA(quests!$A:$A),MATCH(D$1,quests!$1:$1,0)-MATCH($C$2,quests!$1:$1,0)+1),MATCH(D$1,quests!$1:$1,0)-MATCH($C$2,quests!$1:$1,0)+1,FALSE)</f>
        <v>カーマ襲来！</v>
      </c>
      <c r="E846" s="48" t="str">
        <f ca="1">VLOOKUP($C846,OFFSET(quests!$A$1,0,0,COUNTA(quests!$A:$A),MATCH(E$2,quests!$1:$1,0)-MATCH($C$2,quests!$1:$1,0)+1),MATCH(E$2,quests!$1:$1,0)-MATCH($C$2,quests!$1:$1,0)+1,FALSE)</f>
        <v>降臨1</v>
      </c>
      <c r="F846" s="7">
        <v>1</v>
      </c>
      <c r="G846" s="7" t="s">
        <v>382</v>
      </c>
      <c r="H846" s="12" t="s">
        <v>1457</v>
      </c>
      <c r="I846" s="12" t="s">
        <v>1070</v>
      </c>
      <c r="J846" s="65">
        <v>643</v>
      </c>
      <c r="K846" s="167">
        <v>35</v>
      </c>
      <c r="L846" s="167">
        <v>4200</v>
      </c>
      <c r="M846" s="167">
        <v>1</v>
      </c>
      <c r="N846" s="167">
        <v>1</v>
      </c>
      <c r="O846" s="167">
        <v>1</v>
      </c>
      <c r="P846" s="167">
        <v>1</v>
      </c>
      <c r="Q846" s="96">
        <v>0</v>
      </c>
      <c r="R846" s="167">
        <v>3</v>
      </c>
      <c r="S846" s="167" t="s">
        <v>278</v>
      </c>
      <c r="T846" s="167">
        <v>1</v>
      </c>
      <c r="U846" s="7" t="s">
        <v>169</v>
      </c>
      <c r="V846" s="7" t="s">
        <v>169</v>
      </c>
      <c r="W846" s="47"/>
      <c r="X846" s="47">
        <f ca="1">VLOOKUP($C846,OFFSET(quests!$A$1,0,0,COUNTA(quests!$A:$A),MATCH(X$2,quests!$1:$1,0)-MATCH($C$2,quests!$1:$1,0)+1),MATCH(X$2,quests!$1:$1,0)-MATCH($C$2,quests!$1:$1,0)+1,FALSE)</f>
        <v>0</v>
      </c>
      <c r="Y846" s="47">
        <f ca="1">VLOOKUP($C846,OFFSET(quests!$A$1,0,0,COUNTA(quests!$A:$A),MATCH(Y$2,quests!$1:$1,0)-MATCH($C$2,quests!$1:$1,0)+1),MATCH(Y$2,quests!$1:$1,0)-MATCH($C$2,quests!$1:$1,0)+1,FALSE)</f>
        <v>0</v>
      </c>
      <c r="Z846" s="47">
        <f ca="1">VLOOKUP($C846,OFFSET(quests!$A$1,0,0,COUNTA(quests!$A:$A),MATCH(Z$2,quests!$1:$1,0)-MATCH($C$2,quests!$1:$1,0)+1),MATCH(Z$2,quests!$1:$1,0)-MATCH($C$2,quests!$1:$1,0)+1,FALSE)</f>
        <v>0</v>
      </c>
      <c r="AA846" s="47">
        <f ca="1">VLOOKUP($C846,OFFSET(quests!$A$1,0,0,COUNTA(quests!$A:$A),MATCH(AA$2,quests!$1:$1,0)-MATCH($C$2,quests!$1:$1,0)+1),MATCH(AA$2,quests!$1:$1,0)-MATCH($C$2,quests!$1:$1,0)+1,FALSE)</f>
        <v>0</v>
      </c>
      <c r="AB846" s="7" t="s">
        <v>56</v>
      </c>
      <c r="AC846" s="7">
        <v>916</v>
      </c>
      <c r="AD846" s="7">
        <v>6</v>
      </c>
      <c r="AE846" s="7" t="s">
        <v>519</v>
      </c>
      <c r="AF846" s="7">
        <v>40</v>
      </c>
      <c r="AG846" s="7">
        <v>40</v>
      </c>
      <c r="AH846" s="7">
        <v>0</v>
      </c>
      <c r="AI846" s="7">
        <v>-1</v>
      </c>
      <c r="AJ846" s="7">
        <v>-1</v>
      </c>
      <c r="AK846" s="7" t="s">
        <v>1065</v>
      </c>
      <c r="AL846" s="12" t="s">
        <v>1695</v>
      </c>
      <c r="AM846" s="12" t="s">
        <v>2072</v>
      </c>
    </row>
    <row r="847" spans="1:39" ht="22" customHeight="1" x14ac:dyDescent="0.15">
      <c r="A847" s="42" t="str">
        <f t="shared" si="53"/>
        <v>41013_2</v>
      </c>
      <c r="B847" s="23">
        <v>3</v>
      </c>
      <c r="C847" s="31">
        <v>41013</v>
      </c>
      <c r="D847" s="47" t="str">
        <f ca="1">VLOOKUP($C847,OFFSET(quests!$A$1,0,0,COUNTA(quests!$A:$A),MATCH(D$1,quests!$1:$1,0)-MATCH($C$2,quests!$1:$1,0)+1),MATCH(D$1,quests!$1:$1,0)-MATCH($C$2,quests!$1:$1,0)+1,FALSE)</f>
        <v>カーマ襲来！</v>
      </c>
      <c r="E847" s="48" t="str">
        <f ca="1">VLOOKUP($C847,OFFSET(quests!$A$1,0,0,COUNTA(quests!$A:$A),MATCH(E$2,quests!$1:$1,0)-MATCH($C$2,quests!$1:$1,0)+1),MATCH(E$2,quests!$1:$1,0)-MATCH($C$2,quests!$1:$1,0)+1,FALSE)</f>
        <v>降臨1</v>
      </c>
      <c r="F847" s="7">
        <v>2</v>
      </c>
      <c r="G847" s="7" t="s">
        <v>382</v>
      </c>
      <c r="H847" s="12" t="s">
        <v>1458</v>
      </c>
      <c r="I847" s="12" t="s">
        <v>61</v>
      </c>
      <c r="J847" s="65">
        <v>836</v>
      </c>
      <c r="K847" s="167">
        <v>40</v>
      </c>
      <c r="L847" s="167">
        <v>4500</v>
      </c>
      <c r="M847" s="167">
        <v>1</v>
      </c>
      <c r="N847" s="167">
        <v>1</v>
      </c>
      <c r="O847" s="167">
        <v>1</v>
      </c>
      <c r="P847" s="167">
        <v>1</v>
      </c>
      <c r="Q847" s="96">
        <v>0</v>
      </c>
      <c r="R847" s="167">
        <v>3</v>
      </c>
      <c r="S847" s="167" t="s">
        <v>278</v>
      </c>
      <c r="T847" s="167">
        <v>1</v>
      </c>
      <c r="U847" s="7" t="s">
        <v>169</v>
      </c>
      <c r="V847" s="7" t="s">
        <v>169</v>
      </c>
      <c r="W847" s="47"/>
      <c r="X847" s="47">
        <f ca="1">VLOOKUP($C847,OFFSET(quests!$A$1,0,0,COUNTA(quests!$A:$A),MATCH(X$2,quests!$1:$1,0)-MATCH($C$2,quests!$1:$1,0)+1),MATCH(X$2,quests!$1:$1,0)-MATCH($C$2,quests!$1:$1,0)+1,FALSE)</f>
        <v>0</v>
      </c>
      <c r="Y847" s="47">
        <f ca="1">VLOOKUP($C847,OFFSET(quests!$A$1,0,0,COUNTA(quests!$A:$A),MATCH(Y$2,quests!$1:$1,0)-MATCH($C$2,quests!$1:$1,0)+1),MATCH(Y$2,quests!$1:$1,0)-MATCH($C$2,quests!$1:$1,0)+1,FALSE)</f>
        <v>0</v>
      </c>
      <c r="Z847" s="47">
        <f ca="1">VLOOKUP($C847,OFFSET(quests!$A$1,0,0,COUNTA(quests!$A:$A),MATCH(Z$2,quests!$1:$1,0)-MATCH($C$2,quests!$1:$1,0)+1),MATCH(Z$2,quests!$1:$1,0)-MATCH($C$2,quests!$1:$1,0)+1,FALSE)</f>
        <v>0</v>
      </c>
      <c r="AA847" s="47">
        <f ca="1">VLOOKUP($C847,OFFSET(quests!$A$1,0,0,COUNTA(quests!$A:$A),MATCH(AA$2,quests!$1:$1,0)-MATCH($C$2,quests!$1:$1,0)+1),MATCH(AA$2,quests!$1:$1,0)-MATCH($C$2,quests!$1:$1,0)+1,FALSE)</f>
        <v>0</v>
      </c>
      <c r="AB847" s="7" t="s">
        <v>56</v>
      </c>
      <c r="AC847" s="7">
        <v>916</v>
      </c>
      <c r="AD847" s="7">
        <v>6</v>
      </c>
      <c r="AE847" s="7" t="s">
        <v>519</v>
      </c>
      <c r="AF847" s="7">
        <v>40</v>
      </c>
      <c r="AG847" s="7">
        <v>40</v>
      </c>
      <c r="AH847" s="7">
        <v>0</v>
      </c>
      <c r="AI847" s="7">
        <v>-1</v>
      </c>
      <c r="AJ847" s="7">
        <v>-1</v>
      </c>
      <c r="AK847" s="7" t="s">
        <v>1065</v>
      </c>
      <c r="AL847" s="12" t="s">
        <v>1695</v>
      </c>
      <c r="AM847" s="12" t="s">
        <v>2072</v>
      </c>
    </row>
    <row r="848" spans="1:39" ht="21" customHeight="1" x14ac:dyDescent="0.15">
      <c r="A848" s="42" t="str">
        <f t="shared" si="53"/>
        <v>41014_1</v>
      </c>
      <c r="B848" s="23">
        <v>3</v>
      </c>
      <c r="C848" s="31">
        <v>41014</v>
      </c>
      <c r="D848" s="47" t="str">
        <f ca="1">VLOOKUP($C848,OFFSET(quests!$A$1,0,0,COUNTA(quests!$A:$A),MATCH(D$1,quests!$1:$1,0)-MATCH($C$2,quests!$1:$1,0)+1),MATCH(D$1,quests!$1:$1,0)-MATCH($C$2,quests!$1:$1,0)+1,FALSE)</f>
        <v>シヴァ襲来！</v>
      </c>
      <c r="E848" s="48" t="str">
        <f ca="1">VLOOKUP($C848,OFFSET(quests!$A$1,0,0,COUNTA(quests!$A:$A),MATCH(E$2,quests!$1:$1,0)-MATCH($C$2,quests!$1:$1,0)+1),MATCH(E$2,quests!$1:$1,0)-MATCH($C$2,quests!$1:$1,0)+1,FALSE)</f>
        <v>降臨1</v>
      </c>
      <c r="F848" s="7">
        <v>1</v>
      </c>
      <c r="G848" s="7" t="s">
        <v>382</v>
      </c>
      <c r="H848" s="12" t="s">
        <v>1471</v>
      </c>
      <c r="I848" s="12" t="s">
        <v>1435</v>
      </c>
      <c r="J848" s="65">
        <v>657</v>
      </c>
      <c r="K848" s="167">
        <v>35</v>
      </c>
      <c r="L848" s="167">
        <v>4200</v>
      </c>
      <c r="M848" s="241">
        <v>1</v>
      </c>
      <c r="N848" s="241">
        <v>1</v>
      </c>
      <c r="O848" s="241">
        <v>1</v>
      </c>
      <c r="P848" s="241">
        <v>1</v>
      </c>
      <c r="Q848" s="241">
        <v>1</v>
      </c>
      <c r="R848" s="167">
        <v>3</v>
      </c>
      <c r="S848" s="167" t="s">
        <v>278</v>
      </c>
      <c r="T848" s="65">
        <v>1</v>
      </c>
      <c r="U848" s="7" t="s">
        <v>169</v>
      </c>
      <c r="V848" s="7" t="s">
        <v>169</v>
      </c>
      <c r="W848" s="47" t="str">
        <f ca="1">IF(U848="NULL","",VLOOKUP($U848&amp;"_"&amp;$V848,OFFSET($A$1,0,0,COUNTA($A:$A),MATCH(W$2,$2:$2,0)-MATCH($A$2,$2:$2,0)+1),MATCH(W$2,$2:$2,0)-MATCH($A$2,$2:$2,0)+1,FALSE))</f>
        <v/>
      </c>
      <c r="X848" s="47">
        <f ca="1">VLOOKUP($C848,OFFSET(quests!$A$1,0,0,COUNTA(quests!$A:$A),MATCH(X$2,quests!$1:$1,0)-MATCH($C$2,quests!$1:$1,0)+1),MATCH(X$2,quests!$1:$1,0)-MATCH($C$2,quests!$1:$1,0)+1,FALSE)</f>
        <v>0</v>
      </c>
      <c r="Y848" s="47">
        <f ca="1">VLOOKUP($C848,OFFSET(quests!$A$1,0,0,COUNTA(quests!$A:$A),MATCH(Y$2,quests!$1:$1,0)-MATCH($C$2,quests!$1:$1,0)+1),MATCH(Y$2,quests!$1:$1,0)-MATCH($C$2,quests!$1:$1,0)+1,FALSE)</f>
        <v>0</v>
      </c>
      <c r="Z848" s="47">
        <f ca="1">VLOOKUP($C848,OFFSET(quests!$A$1,0,0,COUNTA(quests!$A:$A),MATCH(Z$2,quests!$1:$1,0)-MATCH($C$2,quests!$1:$1,0)+1),MATCH(Z$2,quests!$1:$1,0)-MATCH($C$2,quests!$1:$1,0)+1,FALSE)</f>
        <v>0</v>
      </c>
      <c r="AA848" s="47">
        <f ca="1">VLOOKUP($C848,OFFSET(quests!$A$1,0,0,COUNTA(quests!$A:$A),MATCH(AA$2,quests!$1:$1,0)-MATCH($C$2,quests!$1:$1,0)+1),MATCH(AA$2,quests!$1:$1,0)-MATCH($C$2,quests!$1:$1,0)+1,FALSE)</f>
        <v>0</v>
      </c>
      <c r="AB848" s="7" t="s">
        <v>56</v>
      </c>
      <c r="AC848" s="7">
        <v>914</v>
      </c>
      <c r="AD848" s="7">
        <v>6</v>
      </c>
      <c r="AE848" s="7" t="s">
        <v>519</v>
      </c>
      <c r="AF848" s="7">
        <v>40</v>
      </c>
      <c r="AG848" s="7">
        <v>40</v>
      </c>
      <c r="AH848" s="7">
        <v>0</v>
      </c>
      <c r="AI848" s="7">
        <v>-1</v>
      </c>
      <c r="AJ848" s="7">
        <v>-1</v>
      </c>
      <c r="AK848" s="7" t="s">
        <v>1065</v>
      </c>
      <c r="AL848" s="12" t="s">
        <v>1695</v>
      </c>
      <c r="AM848" s="12" t="s">
        <v>2072</v>
      </c>
    </row>
    <row r="849" spans="1:39" s="45" customFormat="1" ht="21" customHeight="1" x14ac:dyDescent="0.15">
      <c r="A849" s="42" t="str">
        <f t="shared" si="53"/>
        <v>41014_2</v>
      </c>
      <c r="B849" s="23">
        <v>3</v>
      </c>
      <c r="C849" s="31">
        <v>41014</v>
      </c>
      <c r="D849" s="47" t="str">
        <f ca="1">VLOOKUP($C849,OFFSET(quests!$A$1,0,0,COUNTA(quests!$A:$A),MATCH(D$1,quests!$1:$1,0)-MATCH($C$2,quests!$1:$1,0)+1),MATCH(D$1,quests!$1:$1,0)-MATCH($C$2,quests!$1:$1,0)+1,FALSE)</f>
        <v>シヴァ襲来！</v>
      </c>
      <c r="E849" s="48" t="str">
        <f ca="1">VLOOKUP($C849,OFFSET(quests!$A$1,0,0,COUNTA(quests!$A:$A),MATCH(E$2,quests!$1:$1,0)-MATCH($C$2,quests!$1:$1,0)+1),MATCH(E$2,quests!$1:$1,0)-MATCH($C$2,quests!$1:$1,0)+1,FALSE)</f>
        <v>降臨1</v>
      </c>
      <c r="F849" s="7">
        <v>2</v>
      </c>
      <c r="G849" s="7" t="s">
        <v>382</v>
      </c>
      <c r="H849" s="12" t="s">
        <v>1472</v>
      </c>
      <c r="I849" s="12" t="s">
        <v>1473</v>
      </c>
      <c r="J849" s="65">
        <v>834</v>
      </c>
      <c r="K849" s="167">
        <v>40</v>
      </c>
      <c r="L849" s="167">
        <v>4500</v>
      </c>
      <c r="M849" s="241">
        <v>1</v>
      </c>
      <c r="N849" s="241">
        <v>1</v>
      </c>
      <c r="O849" s="241">
        <v>1</v>
      </c>
      <c r="P849" s="241">
        <v>1</v>
      </c>
      <c r="Q849" s="241">
        <v>1</v>
      </c>
      <c r="R849" s="167">
        <v>3</v>
      </c>
      <c r="S849" s="167" t="s">
        <v>278</v>
      </c>
      <c r="T849" s="65">
        <v>1</v>
      </c>
      <c r="U849" s="7" t="s">
        <v>169</v>
      </c>
      <c r="V849" s="7" t="s">
        <v>169</v>
      </c>
      <c r="W849" s="47" t="str">
        <f ca="1">IF(U849="NULL","",VLOOKUP($U849&amp;"_"&amp;$V849,OFFSET($A$1,0,0,COUNTA($A:$A),MATCH(W$2,$2:$2,0)-MATCH($A$2,$2:$2,0)+1),MATCH(W$2,$2:$2,0)-MATCH($A$2,$2:$2,0)+1,FALSE))</f>
        <v/>
      </c>
      <c r="X849" s="47">
        <f ca="1">VLOOKUP($C849,OFFSET(quests!$A$1,0,0,COUNTA(quests!$A:$A),MATCH(X$2,quests!$1:$1,0)-MATCH($C$2,quests!$1:$1,0)+1),MATCH(X$2,quests!$1:$1,0)-MATCH($C$2,quests!$1:$1,0)+1,FALSE)</f>
        <v>0</v>
      </c>
      <c r="Y849" s="47">
        <f ca="1">VLOOKUP($C849,OFFSET(quests!$A$1,0,0,COUNTA(quests!$A:$A),MATCH(Y$2,quests!$1:$1,0)-MATCH($C$2,quests!$1:$1,0)+1),MATCH(Y$2,quests!$1:$1,0)-MATCH($C$2,quests!$1:$1,0)+1,FALSE)</f>
        <v>0</v>
      </c>
      <c r="Z849" s="47">
        <f ca="1">VLOOKUP($C849,OFFSET(quests!$A$1,0,0,COUNTA(quests!$A:$A),MATCH(Z$2,quests!$1:$1,0)-MATCH($C$2,quests!$1:$1,0)+1),MATCH(Z$2,quests!$1:$1,0)-MATCH($C$2,quests!$1:$1,0)+1,FALSE)</f>
        <v>0</v>
      </c>
      <c r="AA849" s="47">
        <f ca="1">VLOOKUP($C849,OFFSET(quests!$A$1,0,0,COUNTA(quests!$A:$A),MATCH(AA$2,quests!$1:$1,0)-MATCH($C$2,quests!$1:$1,0)+1),MATCH(AA$2,quests!$1:$1,0)-MATCH($C$2,quests!$1:$1,0)+1,FALSE)</f>
        <v>0</v>
      </c>
      <c r="AB849" s="7" t="s">
        <v>56</v>
      </c>
      <c r="AC849" s="7">
        <v>914</v>
      </c>
      <c r="AD849" s="7">
        <v>6</v>
      </c>
      <c r="AE849" s="7" t="s">
        <v>519</v>
      </c>
      <c r="AF849" s="7">
        <v>40</v>
      </c>
      <c r="AG849" s="7">
        <v>40</v>
      </c>
      <c r="AH849" s="7">
        <v>0</v>
      </c>
      <c r="AI849" s="7">
        <v>-1</v>
      </c>
      <c r="AJ849" s="7">
        <v>-1</v>
      </c>
      <c r="AK849" s="7" t="s">
        <v>1065</v>
      </c>
      <c r="AL849" s="12" t="s">
        <v>1695</v>
      </c>
      <c r="AM849" s="12" t="s">
        <v>2072</v>
      </c>
    </row>
    <row r="850" spans="1:39" ht="22" customHeight="1" x14ac:dyDescent="0.15">
      <c r="A850" s="42" t="str">
        <f t="shared" si="53"/>
        <v>41015_1</v>
      </c>
      <c r="B850" s="23">
        <v>3</v>
      </c>
      <c r="C850" s="31">
        <v>41015</v>
      </c>
      <c r="D850" s="47" t="str">
        <f ca="1">VLOOKUP($C850,OFFSET(quests!$A$1,0,0,COUNTA(quests!$A:$A),MATCH(D$1,quests!$1:$1,0)-MATCH($C$2,quests!$1:$1,0)+1),MATCH(D$1,quests!$1:$1,0)-MATCH($C$2,quests!$1:$1,0)+1,FALSE)</f>
        <v>ガレス襲来！</v>
      </c>
      <c r="E850" s="48" t="str">
        <f ca="1">VLOOKUP($C850,OFFSET(quests!$A$1,0,0,COUNTA(quests!$A:$A),MATCH(E$2,quests!$1:$1,0)-MATCH($C$2,quests!$1:$1,0)+1),MATCH(E$2,quests!$1:$1,0)-MATCH($C$2,quests!$1:$1,0)+1,FALSE)</f>
        <v>降臨1</v>
      </c>
      <c r="F850" s="7">
        <v>1</v>
      </c>
      <c r="G850" s="7" t="s">
        <v>568</v>
      </c>
      <c r="H850" s="12" t="s">
        <v>1479</v>
      </c>
      <c r="I850" s="12" t="s">
        <v>1070</v>
      </c>
      <c r="J850" s="65">
        <v>769</v>
      </c>
      <c r="K850" s="167">
        <v>35</v>
      </c>
      <c r="L850" s="167">
        <v>4200</v>
      </c>
      <c r="M850" s="167">
        <v>1</v>
      </c>
      <c r="N850" s="167">
        <v>1</v>
      </c>
      <c r="O850" s="167">
        <v>1</v>
      </c>
      <c r="P850" s="167">
        <v>1</v>
      </c>
      <c r="Q850" s="167">
        <v>1</v>
      </c>
      <c r="R850" s="167">
        <v>3</v>
      </c>
      <c r="S850" s="167" t="s">
        <v>278</v>
      </c>
      <c r="T850" s="167">
        <v>1</v>
      </c>
      <c r="U850" s="7" t="s">
        <v>169</v>
      </c>
      <c r="V850" s="7" t="s">
        <v>169</v>
      </c>
      <c r="W850" s="47"/>
      <c r="X850" s="47">
        <f ca="1">VLOOKUP($C850,OFFSET(quests!$A$1,0,0,COUNTA(quests!$A:$A),MATCH(X$2,quests!$1:$1,0)-MATCH($C$2,quests!$1:$1,0)+1),MATCH(X$2,quests!$1:$1,0)-MATCH($C$2,quests!$1:$1,0)+1,FALSE)</f>
        <v>0</v>
      </c>
      <c r="Y850" s="47">
        <f ca="1">VLOOKUP($C850,OFFSET(quests!$A$1,0,0,COUNTA(quests!$A:$A),MATCH(Y$2,quests!$1:$1,0)-MATCH($C$2,quests!$1:$1,0)+1),MATCH(Y$2,quests!$1:$1,0)-MATCH($C$2,quests!$1:$1,0)+1,FALSE)</f>
        <v>0</v>
      </c>
      <c r="Z850" s="47">
        <f ca="1">VLOOKUP($C850,OFFSET(quests!$A$1,0,0,COUNTA(quests!$A:$A),MATCH(Z$2,quests!$1:$1,0)-MATCH($C$2,quests!$1:$1,0)+1),MATCH(Z$2,quests!$1:$1,0)-MATCH($C$2,quests!$1:$1,0)+1,FALSE)</f>
        <v>0</v>
      </c>
      <c r="AA850" s="47">
        <f ca="1">VLOOKUP($C850,OFFSET(quests!$A$1,0,0,COUNTA(quests!$A:$A),MATCH(AA$2,quests!$1:$1,0)-MATCH($C$2,quests!$1:$1,0)+1),MATCH(AA$2,quests!$1:$1,0)-MATCH($C$2,quests!$1:$1,0)+1,FALSE)</f>
        <v>0</v>
      </c>
      <c r="AB850" s="7" t="s">
        <v>56</v>
      </c>
      <c r="AC850" s="7">
        <v>907</v>
      </c>
      <c r="AD850" s="7">
        <v>6</v>
      </c>
      <c r="AE850" s="7" t="s">
        <v>519</v>
      </c>
      <c r="AF850" s="7">
        <v>40</v>
      </c>
      <c r="AG850" s="7">
        <v>40</v>
      </c>
      <c r="AH850" s="7">
        <v>0</v>
      </c>
      <c r="AI850" s="7">
        <v>-1</v>
      </c>
      <c r="AJ850" s="7">
        <v>-1</v>
      </c>
      <c r="AK850" s="7" t="s">
        <v>1065</v>
      </c>
      <c r="AL850" s="12" t="s">
        <v>1695</v>
      </c>
      <c r="AM850" s="12" t="s">
        <v>2072</v>
      </c>
    </row>
    <row r="851" spans="1:39" ht="21" customHeight="1" x14ac:dyDescent="0.15">
      <c r="A851" s="42" t="str">
        <f t="shared" si="53"/>
        <v>41015_2</v>
      </c>
      <c r="B851" s="23">
        <v>3</v>
      </c>
      <c r="C851" s="31">
        <v>41015</v>
      </c>
      <c r="D851" s="47" t="str">
        <f ca="1">VLOOKUP($C851,OFFSET(quests!$A$1,0,0,COUNTA(quests!$A:$A),MATCH(D$1,quests!$1:$1,0)-MATCH($C$2,quests!$1:$1,0)+1),MATCH(D$1,quests!$1:$1,0)-MATCH($C$2,quests!$1:$1,0)+1,FALSE)</f>
        <v>ガレス襲来！</v>
      </c>
      <c r="E851" s="48" t="str">
        <f ca="1">VLOOKUP($C851,OFFSET(quests!$A$1,0,0,COUNTA(quests!$A:$A),MATCH(E$2,quests!$1:$1,0)-MATCH($C$2,quests!$1:$1,0)+1),MATCH(E$2,quests!$1:$1,0)-MATCH($C$2,quests!$1:$1,0)+1,FALSE)</f>
        <v>降臨1</v>
      </c>
      <c r="F851" s="7">
        <v>2</v>
      </c>
      <c r="G851" s="7" t="s">
        <v>568</v>
      </c>
      <c r="H851" s="12" t="s">
        <v>1480</v>
      </c>
      <c r="I851" s="12" t="s">
        <v>61</v>
      </c>
      <c r="J851" s="65">
        <v>961</v>
      </c>
      <c r="K851" s="167">
        <v>40</v>
      </c>
      <c r="L851" s="167">
        <v>4500</v>
      </c>
      <c r="M851" s="167">
        <v>1</v>
      </c>
      <c r="N851" s="167">
        <v>1</v>
      </c>
      <c r="O851" s="167">
        <v>1</v>
      </c>
      <c r="P851" s="167">
        <v>1</v>
      </c>
      <c r="Q851" s="167">
        <v>1</v>
      </c>
      <c r="R851" s="167">
        <v>3</v>
      </c>
      <c r="S851" s="167" t="s">
        <v>278</v>
      </c>
      <c r="T851" s="167">
        <v>1</v>
      </c>
      <c r="U851" s="7" t="s">
        <v>169</v>
      </c>
      <c r="V851" s="7" t="s">
        <v>169</v>
      </c>
      <c r="W851" s="47"/>
      <c r="X851" s="47">
        <f ca="1">VLOOKUP($C851,OFFSET(quests!$A$1,0,0,COUNTA(quests!$A:$A),MATCH(X$2,quests!$1:$1,0)-MATCH($C$2,quests!$1:$1,0)+1),MATCH(X$2,quests!$1:$1,0)-MATCH($C$2,quests!$1:$1,0)+1,FALSE)</f>
        <v>0</v>
      </c>
      <c r="Y851" s="47">
        <f ca="1">VLOOKUP($C851,OFFSET(quests!$A$1,0,0,COUNTA(quests!$A:$A),MATCH(Y$2,quests!$1:$1,0)-MATCH($C$2,quests!$1:$1,0)+1),MATCH(Y$2,quests!$1:$1,0)-MATCH($C$2,quests!$1:$1,0)+1,FALSE)</f>
        <v>0</v>
      </c>
      <c r="Z851" s="47">
        <f ca="1">VLOOKUP($C851,OFFSET(quests!$A$1,0,0,COUNTA(quests!$A:$A),MATCH(Z$2,quests!$1:$1,0)-MATCH($C$2,quests!$1:$1,0)+1),MATCH(Z$2,quests!$1:$1,0)-MATCH($C$2,quests!$1:$1,0)+1,FALSE)</f>
        <v>0</v>
      </c>
      <c r="AA851" s="47">
        <f ca="1">VLOOKUP($C851,OFFSET(quests!$A$1,0,0,COUNTA(quests!$A:$A),MATCH(AA$2,quests!$1:$1,0)-MATCH($C$2,quests!$1:$1,0)+1),MATCH(AA$2,quests!$1:$1,0)-MATCH($C$2,quests!$1:$1,0)+1,FALSE)</f>
        <v>0</v>
      </c>
      <c r="AB851" s="7" t="s">
        <v>56</v>
      </c>
      <c r="AC851" s="7">
        <v>907</v>
      </c>
      <c r="AD851" s="7">
        <v>6</v>
      </c>
      <c r="AE851" s="7" t="s">
        <v>519</v>
      </c>
      <c r="AF851" s="7">
        <v>40</v>
      </c>
      <c r="AG851" s="7">
        <v>40</v>
      </c>
      <c r="AH851" s="7">
        <v>0</v>
      </c>
      <c r="AI851" s="7">
        <v>-1</v>
      </c>
      <c r="AJ851" s="7">
        <v>-1</v>
      </c>
      <c r="AK851" s="7" t="s">
        <v>1065</v>
      </c>
      <c r="AL851" s="12" t="s">
        <v>1695</v>
      </c>
      <c r="AM851" s="12" t="s">
        <v>2072</v>
      </c>
    </row>
    <row r="852" spans="1:39" s="45" customFormat="1" ht="21" customHeight="1" x14ac:dyDescent="0.15">
      <c r="A852" s="42" t="str">
        <f t="shared" si="53"/>
        <v>47001_1</v>
      </c>
      <c r="B852" s="23">
        <v>3</v>
      </c>
      <c r="C852" s="31">
        <v>47001</v>
      </c>
      <c r="D852" s="47" t="str">
        <f ca="1">VLOOKUP($C852,OFFSET(quests!$A$1,0,0,COUNTA(quests!$A:$A),MATCH(D$1,quests!$1:$1,0)-MATCH($C$2,quests!$1:$1,0)+1),MATCH(D$1,quests!$1:$1,0)-MATCH($C$2,quests!$1:$1,0)+1,FALSE)</f>
        <v>彦星襲来！</v>
      </c>
      <c r="E852" s="48" t="str">
        <f ca="1">VLOOKUP($C852,OFFSET(quests!$A$1,0,0,COUNTA(quests!$A:$A),MATCH(E$2,quests!$1:$1,0)-MATCH($C$2,quests!$1:$1,0)+1),MATCH(E$2,quests!$1:$1,0)-MATCH($C$2,quests!$1:$1,0)+1,FALSE)</f>
        <v>季節イベント</v>
      </c>
      <c r="F852" s="7">
        <v>1</v>
      </c>
      <c r="G852" s="7" t="s">
        <v>382</v>
      </c>
      <c r="H852" s="12" t="s">
        <v>1350</v>
      </c>
      <c r="I852" s="12" t="s">
        <v>61</v>
      </c>
      <c r="J852" s="65">
        <v>1043</v>
      </c>
      <c r="K852" s="167">
        <v>35</v>
      </c>
      <c r="L852" s="167">
        <v>4200</v>
      </c>
      <c r="M852" s="241">
        <v>1</v>
      </c>
      <c r="N852" s="241">
        <v>1</v>
      </c>
      <c r="O852" s="241">
        <v>1</v>
      </c>
      <c r="P852" s="241">
        <v>1</v>
      </c>
      <c r="Q852" s="241">
        <v>1</v>
      </c>
      <c r="R852" s="167">
        <v>3</v>
      </c>
      <c r="S852" s="167" t="s">
        <v>385</v>
      </c>
      <c r="T852" s="167">
        <v>1</v>
      </c>
      <c r="U852" s="7" t="s">
        <v>169</v>
      </c>
      <c r="V852" s="7" t="s">
        <v>169</v>
      </c>
      <c r="W852" s="47" t="str">
        <f t="shared" ref="W852:W915" ca="1" si="54">IF(U852="NULL","",VLOOKUP($U852&amp;"_"&amp;$V852,OFFSET($A$1,0,0,COUNTA($A:$A),MATCH(W$2,$2:$2,0)-MATCH($A$2,$2:$2,0)+1),MATCH(W$2,$2:$2,0)-MATCH($A$2,$2:$2,0)+1,FALSE))</f>
        <v/>
      </c>
      <c r="X852" s="47">
        <f ca="1">VLOOKUP($C852,OFFSET(quests!$A$1,0,0,COUNTA(quests!$A:$A),MATCH(X$2,quests!$1:$1,0)-MATCH($C$2,quests!$1:$1,0)+1),MATCH(X$2,quests!$1:$1,0)-MATCH($C$2,quests!$1:$1,0)+1,FALSE)</f>
        <v>0</v>
      </c>
      <c r="Y852" s="47">
        <f ca="1">VLOOKUP($C852,OFFSET(quests!$A$1,0,0,COUNTA(quests!$A:$A),MATCH(Y$2,quests!$1:$1,0)-MATCH($C$2,quests!$1:$1,0)+1),MATCH(Y$2,quests!$1:$1,0)-MATCH($C$2,quests!$1:$1,0)+1,FALSE)</f>
        <v>0</v>
      </c>
      <c r="Z852" s="47">
        <f ca="1">VLOOKUP($C852,OFFSET(quests!$A$1,0,0,COUNTA(quests!$A:$A),MATCH(Z$2,quests!$1:$1,0)-MATCH($C$2,quests!$1:$1,0)+1),MATCH(Z$2,quests!$1:$1,0)-MATCH($C$2,quests!$1:$1,0)+1,FALSE)</f>
        <v>0</v>
      </c>
      <c r="AA852" s="47">
        <f ca="1">VLOOKUP($C852,OFFSET(quests!$A$1,0,0,COUNTA(quests!$A:$A),MATCH(AA$2,quests!$1:$1,0)-MATCH($C$2,quests!$1:$1,0)+1),MATCH(AA$2,quests!$1:$1,0)-MATCH($C$2,quests!$1:$1,0)+1,FALSE)</f>
        <v>0</v>
      </c>
      <c r="AB852" s="7" t="s">
        <v>56</v>
      </c>
      <c r="AC852" s="7">
        <v>943</v>
      </c>
      <c r="AD852" s="7">
        <v>6</v>
      </c>
      <c r="AE852" s="7" t="s">
        <v>519</v>
      </c>
      <c r="AF852" s="7">
        <v>40</v>
      </c>
      <c r="AG852" s="7">
        <v>40</v>
      </c>
      <c r="AH852" s="7">
        <v>0</v>
      </c>
      <c r="AI852" s="7">
        <v>-1</v>
      </c>
      <c r="AJ852" s="7">
        <v>-1</v>
      </c>
      <c r="AK852" s="7" t="s">
        <v>1065</v>
      </c>
      <c r="AL852" s="12" t="s">
        <v>1695</v>
      </c>
      <c r="AM852" s="12" t="s">
        <v>2072</v>
      </c>
    </row>
    <row r="853" spans="1:39" ht="22" customHeight="1" x14ac:dyDescent="0.15">
      <c r="A853" s="42" t="str">
        <f t="shared" si="53"/>
        <v>47001_2</v>
      </c>
      <c r="B853" s="23">
        <v>3</v>
      </c>
      <c r="C853" s="31">
        <v>47001</v>
      </c>
      <c r="D853" s="47" t="str">
        <f ca="1">VLOOKUP($C853,OFFSET(quests!$A$1,0,0,COUNTA(quests!$A:$A),MATCH(D$1,quests!$1:$1,0)-MATCH($C$2,quests!$1:$1,0)+1),MATCH(D$1,quests!$1:$1,0)-MATCH($C$2,quests!$1:$1,0)+1,FALSE)</f>
        <v>彦星襲来！</v>
      </c>
      <c r="E853" s="48" t="str">
        <f ca="1">VLOOKUP($C853,OFFSET(quests!$A$1,0,0,COUNTA(quests!$A:$A),MATCH(E$2,quests!$1:$1,0)-MATCH($C$2,quests!$1:$1,0)+1),MATCH(E$2,quests!$1:$1,0)-MATCH($C$2,quests!$1:$1,0)+1,FALSE)</f>
        <v>季節イベント</v>
      </c>
      <c r="F853" s="7">
        <v>2</v>
      </c>
      <c r="G853" s="7" t="s">
        <v>382</v>
      </c>
      <c r="H853" s="12" t="s">
        <v>1349</v>
      </c>
      <c r="I853" s="12" t="s">
        <v>61</v>
      </c>
      <c r="J853" s="65">
        <v>1044</v>
      </c>
      <c r="K853" s="167">
        <v>40</v>
      </c>
      <c r="L853" s="167">
        <v>4500</v>
      </c>
      <c r="M853" s="167">
        <v>1</v>
      </c>
      <c r="N853" s="167">
        <v>1</v>
      </c>
      <c r="O853" s="167">
        <v>1</v>
      </c>
      <c r="P853" s="167">
        <v>1</v>
      </c>
      <c r="Q853" s="167">
        <v>1</v>
      </c>
      <c r="R853" s="167">
        <v>3</v>
      </c>
      <c r="S853" s="167" t="s">
        <v>385</v>
      </c>
      <c r="T853" s="167">
        <v>1</v>
      </c>
      <c r="U853" s="7" t="s">
        <v>169</v>
      </c>
      <c r="V853" s="7" t="s">
        <v>169</v>
      </c>
      <c r="W853" s="47" t="str">
        <f t="shared" ca="1" si="54"/>
        <v/>
      </c>
      <c r="X853" s="47">
        <f ca="1">VLOOKUP($C853,OFFSET(quests!$A$1,0,0,COUNTA(quests!$A:$A),MATCH(X$2,quests!$1:$1,0)-MATCH($C$2,quests!$1:$1,0)+1),MATCH(X$2,quests!$1:$1,0)-MATCH($C$2,quests!$1:$1,0)+1,FALSE)</f>
        <v>0</v>
      </c>
      <c r="Y853" s="47">
        <f ca="1">VLOOKUP($C853,OFFSET(quests!$A$1,0,0,COUNTA(quests!$A:$A),MATCH(Y$2,quests!$1:$1,0)-MATCH($C$2,quests!$1:$1,0)+1),MATCH(Y$2,quests!$1:$1,0)-MATCH($C$2,quests!$1:$1,0)+1,FALSE)</f>
        <v>0</v>
      </c>
      <c r="Z853" s="47">
        <f ca="1">VLOOKUP($C853,OFFSET(quests!$A$1,0,0,COUNTA(quests!$A:$A),MATCH(Z$2,quests!$1:$1,0)-MATCH($C$2,quests!$1:$1,0)+1),MATCH(Z$2,quests!$1:$1,0)-MATCH($C$2,quests!$1:$1,0)+1,FALSE)</f>
        <v>0</v>
      </c>
      <c r="AA853" s="47">
        <f ca="1">VLOOKUP($C853,OFFSET(quests!$A$1,0,0,COUNTA(quests!$A:$A),MATCH(AA$2,quests!$1:$1,0)-MATCH($C$2,quests!$1:$1,0)+1),MATCH(AA$2,quests!$1:$1,0)-MATCH($C$2,quests!$1:$1,0)+1,FALSE)</f>
        <v>0</v>
      </c>
      <c r="AB853" s="7" t="s">
        <v>56</v>
      </c>
      <c r="AC853" s="7">
        <v>943</v>
      </c>
      <c r="AD853" s="7">
        <v>6</v>
      </c>
      <c r="AE853" s="7" t="s">
        <v>519</v>
      </c>
      <c r="AF853" s="7">
        <v>40</v>
      </c>
      <c r="AG853" s="7">
        <v>40</v>
      </c>
      <c r="AH853" s="7">
        <v>0</v>
      </c>
      <c r="AI853" s="7">
        <v>-1</v>
      </c>
      <c r="AJ853" s="7">
        <v>-1</v>
      </c>
      <c r="AK853" s="7" t="s">
        <v>1065</v>
      </c>
      <c r="AL853" s="12" t="s">
        <v>1695</v>
      </c>
      <c r="AM853" s="12" t="s">
        <v>2072</v>
      </c>
    </row>
    <row r="854" spans="1:39" ht="21" customHeight="1" x14ac:dyDescent="0.15">
      <c r="A854" s="42" t="str">
        <f t="shared" si="53"/>
        <v>47002_1</v>
      </c>
      <c r="B854" s="23">
        <v>3</v>
      </c>
      <c r="C854" s="31">
        <v>47002</v>
      </c>
      <c r="D854" s="47" t="str">
        <f ca="1">VLOOKUP($C854,OFFSET(quests!$A$1,0,0,COUNTA(quests!$A:$A),MATCH(D$1,quests!$1:$1,0)-MATCH($C$2,quests!$1:$1,0)+1),MATCH(D$1,quests!$1:$1,0)-MATCH($C$2,quests!$1:$1,0)+1,FALSE)</f>
        <v>夏☆襲来！</v>
      </c>
      <c r="E854" s="48" t="str">
        <f ca="1">VLOOKUP($C854,OFFSET(quests!$A$1,0,0,COUNTA(quests!$A:$A),MATCH(E$2,quests!$1:$1,0)-MATCH($C$2,quests!$1:$1,0)+1),MATCH(E$2,quests!$1:$1,0)-MATCH($C$2,quests!$1:$1,0)+1,FALSE)</f>
        <v>季節イベント</v>
      </c>
      <c r="F854" s="7">
        <v>1</v>
      </c>
      <c r="G854" s="7" t="s">
        <v>382</v>
      </c>
      <c r="H854" s="12" t="s">
        <v>1410</v>
      </c>
      <c r="I854" s="12" t="s">
        <v>61</v>
      </c>
      <c r="J854" s="239">
        <v>1053</v>
      </c>
      <c r="K854" s="167">
        <v>35</v>
      </c>
      <c r="L854" s="167">
        <v>4200</v>
      </c>
      <c r="M854" s="167">
        <v>1</v>
      </c>
      <c r="N854" s="167">
        <v>1</v>
      </c>
      <c r="O854" s="167">
        <v>1</v>
      </c>
      <c r="P854" s="167">
        <v>1</v>
      </c>
      <c r="Q854" s="167">
        <v>1</v>
      </c>
      <c r="R854" s="167">
        <v>3</v>
      </c>
      <c r="S854" s="167" t="s">
        <v>385</v>
      </c>
      <c r="T854" s="167">
        <v>1</v>
      </c>
      <c r="U854" s="7" t="s">
        <v>169</v>
      </c>
      <c r="V854" s="7" t="s">
        <v>169</v>
      </c>
      <c r="W854" s="47" t="str">
        <f t="shared" ca="1" si="54"/>
        <v/>
      </c>
      <c r="X854" s="47">
        <f ca="1">VLOOKUP($C854,OFFSET(quests!$A$1,0,0,COUNTA(quests!$A:$A),MATCH(X$2,quests!$1:$1,0)-MATCH($C$2,quests!$1:$1,0)+1),MATCH(X$2,quests!$1:$1,0)-MATCH($C$2,quests!$1:$1,0)+1,FALSE)</f>
        <v>0</v>
      </c>
      <c r="Y854" s="47">
        <f ca="1">VLOOKUP($C854,OFFSET(quests!$A$1,0,0,COUNTA(quests!$A:$A),MATCH(Y$2,quests!$1:$1,0)-MATCH($C$2,quests!$1:$1,0)+1),MATCH(Y$2,quests!$1:$1,0)-MATCH($C$2,quests!$1:$1,0)+1,FALSE)</f>
        <v>0</v>
      </c>
      <c r="Z854" s="47">
        <f ca="1">VLOOKUP($C854,OFFSET(quests!$A$1,0,0,COUNTA(quests!$A:$A),MATCH(Z$2,quests!$1:$1,0)-MATCH($C$2,quests!$1:$1,0)+1),MATCH(Z$2,quests!$1:$1,0)-MATCH($C$2,quests!$1:$1,0)+1,FALSE)</f>
        <v>0</v>
      </c>
      <c r="AA854" s="47">
        <f ca="1">VLOOKUP($C854,OFFSET(quests!$A$1,0,0,COUNTA(quests!$A:$A),MATCH(AA$2,quests!$1:$1,0)-MATCH($C$2,quests!$1:$1,0)+1),MATCH(AA$2,quests!$1:$1,0)-MATCH($C$2,quests!$1:$1,0)+1,FALSE)</f>
        <v>0</v>
      </c>
      <c r="AB854" s="7" t="s">
        <v>56</v>
      </c>
      <c r="AC854" s="7">
        <v>5</v>
      </c>
      <c r="AD854" s="7">
        <v>6</v>
      </c>
      <c r="AE854" s="7" t="s">
        <v>519</v>
      </c>
      <c r="AF854" s="7">
        <v>40</v>
      </c>
      <c r="AG854" s="7">
        <v>40</v>
      </c>
      <c r="AH854" s="7">
        <v>0</v>
      </c>
      <c r="AI854" s="7">
        <v>-1</v>
      </c>
      <c r="AJ854" s="7">
        <v>-1</v>
      </c>
      <c r="AK854" s="7" t="s">
        <v>1065</v>
      </c>
      <c r="AL854" s="12" t="s">
        <v>1695</v>
      </c>
      <c r="AM854" s="12" t="s">
        <v>2072</v>
      </c>
    </row>
    <row r="855" spans="1:39" s="45" customFormat="1" ht="21" customHeight="1" x14ac:dyDescent="0.15">
      <c r="A855" s="42" t="str">
        <f t="shared" si="53"/>
        <v>47002_2</v>
      </c>
      <c r="B855" s="23">
        <v>3</v>
      </c>
      <c r="C855" s="31">
        <v>47002</v>
      </c>
      <c r="D855" s="47" t="str">
        <f ca="1">VLOOKUP($C855,OFFSET(quests!$A$1,0,0,COUNTA(quests!$A:$A),MATCH(D$1,quests!$1:$1,0)-MATCH($C$2,quests!$1:$1,0)+1),MATCH(D$1,quests!$1:$1,0)-MATCH($C$2,quests!$1:$1,0)+1,FALSE)</f>
        <v>夏☆襲来！</v>
      </c>
      <c r="E855" s="48" t="str">
        <f ca="1">VLOOKUP($C855,OFFSET(quests!$A$1,0,0,COUNTA(quests!$A:$A),MATCH(E$2,quests!$1:$1,0)-MATCH($C$2,quests!$1:$1,0)+1),MATCH(E$2,quests!$1:$1,0)-MATCH($C$2,quests!$1:$1,0)+1,FALSE)</f>
        <v>季節イベント</v>
      </c>
      <c r="F855" s="7">
        <v>2</v>
      </c>
      <c r="G855" s="7" t="s">
        <v>382</v>
      </c>
      <c r="H855" s="12" t="s">
        <v>1411</v>
      </c>
      <c r="I855" s="12" t="s">
        <v>61</v>
      </c>
      <c r="J855" s="239">
        <v>1054</v>
      </c>
      <c r="K855" s="167">
        <v>40</v>
      </c>
      <c r="L855" s="167">
        <v>4500</v>
      </c>
      <c r="M855" s="167">
        <v>1</v>
      </c>
      <c r="N855" s="167">
        <v>1</v>
      </c>
      <c r="O855" s="167">
        <v>1</v>
      </c>
      <c r="P855" s="167">
        <v>1</v>
      </c>
      <c r="Q855" s="167">
        <v>1</v>
      </c>
      <c r="R855" s="167">
        <v>3</v>
      </c>
      <c r="S855" s="167" t="s">
        <v>385</v>
      </c>
      <c r="T855" s="167">
        <v>1</v>
      </c>
      <c r="U855" s="7" t="s">
        <v>169</v>
      </c>
      <c r="V855" s="7" t="s">
        <v>169</v>
      </c>
      <c r="W855" s="47" t="str">
        <f t="shared" ca="1" si="54"/>
        <v/>
      </c>
      <c r="X855" s="47">
        <f ca="1">VLOOKUP($C855,OFFSET(quests!$A$1,0,0,COUNTA(quests!$A:$A),MATCH(X$2,quests!$1:$1,0)-MATCH($C$2,quests!$1:$1,0)+1),MATCH(X$2,quests!$1:$1,0)-MATCH($C$2,quests!$1:$1,0)+1,FALSE)</f>
        <v>0</v>
      </c>
      <c r="Y855" s="47">
        <f ca="1">VLOOKUP($C855,OFFSET(quests!$A$1,0,0,COUNTA(quests!$A:$A),MATCH(Y$2,quests!$1:$1,0)-MATCH($C$2,quests!$1:$1,0)+1),MATCH(Y$2,quests!$1:$1,0)-MATCH($C$2,quests!$1:$1,0)+1,FALSE)</f>
        <v>0</v>
      </c>
      <c r="Z855" s="47">
        <f ca="1">VLOOKUP($C855,OFFSET(quests!$A$1,0,0,COUNTA(quests!$A:$A),MATCH(Z$2,quests!$1:$1,0)-MATCH($C$2,quests!$1:$1,0)+1),MATCH(Z$2,quests!$1:$1,0)-MATCH($C$2,quests!$1:$1,0)+1,FALSE)</f>
        <v>0</v>
      </c>
      <c r="AA855" s="47">
        <f ca="1">VLOOKUP($C855,OFFSET(quests!$A$1,0,0,COUNTA(quests!$A:$A),MATCH(AA$2,quests!$1:$1,0)-MATCH($C$2,quests!$1:$1,0)+1),MATCH(AA$2,quests!$1:$1,0)-MATCH($C$2,quests!$1:$1,0)+1,FALSE)</f>
        <v>0</v>
      </c>
      <c r="AB855" s="7" t="s">
        <v>56</v>
      </c>
      <c r="AC855" s="7">
        <v>5</v>
      </c>
      <c r="AD855" s="7">
        <v>6</v>
      </c>
      <c r="AE855" s="7" t="s">
        <v>519</v>
      </c>
      <c r="AF855" s="7">
        <v>40</v>
      </c>
      <c r="AG855" s="7">
        <v>40</v>
      </c>
      <c r="AH855" s="7">
        <v>0</v>
      </c>
      <c r="AI855" s="7">
        <v>-1</v>
      </c>
      <c r="AJ855" s="7">
        <v>-1</v>
      </c>
      <c r="AK855" s="7" t="s">
        <v>1065</v>
      </c>
      <c r="AL855" s="12" t="s">
        <v>1695</v>
      </c>
      <c r="AM855" s="12" t="s">
        <v>2072</v>
      </c>
    </row>
    <row r="856" spans="1:39" ht="21" customHeight="1" x14ac:dyDescent="0.15">
      <c r="A856" s="42" t="str">
        <f t="shared" ref="A856:A857" si="55">C856&amp;"_"&amp;F856</f>
        <v>47003_1</v>
      </c>
      <c r="B856" s="23">
        <v>3</v>
      </c>
      <c r="C856" s="31">
        <v>47003</v>
      </c>
      <c r="D856" s="47" t="str">
        <f ca="1">VLOOKUP($C856,OFFSET(quests!$A$1,0,0,COUNTA(quests!$A:$A),MATCH(D$1,quests!$1:$1,0)-MATCH($C$2,quests!$1:$1,0)+1),MATCH(D$1,quests!$1:$1,0)-MATCH($C$2,quests!$1:$1,0)+1,FALSE)</f>
        <v>ハロウィンナイトパニック！</v>
      </c>
      <c r="E856" s="48" t="str">
        <f ca="1">VLOOKUP($C856,OFFSET(quests!$A$1,0,0,COUNTA(quests!$A:$A),MATCH(E$2,quests!$1:$1,0)-MATCH($C$2,quests!$1:$1,0)+1),MATCH(E$2,quests!$1:$1,0)-MATCH($C$2,quests!$1:$1,0)+1,FALSE)</f>
        <v>季節イベント</v>
      </c>
      <c r="F856" s="7">
        <v>1</v>
      </c>
      <c r="G856" s="7" t="s">
        <v>382</v>
      </c>
      <c r="H856" s="23" t="s">
        <v>1749</v>
      </c>
      <c r="I856" s="12" t="s">
        <v>61</v>
      </c>
      <c r="J856" s="239">
        <v>1192</v>
      </c>
      <c r="K856" s="192">
        <v>20</v>
      </c>
      <c r="L856" s="193">
        <v>2000</v>
      </c>
      <c r="M856" s="167">
        <v>1</v>
      </c>
      <c r="N856" s="167">
        <v>1</v>
      </c>
      <c r="O856" s="167">
        <v>1</v>
      </c>
      <c r="P856" s="167">
        <v>1</v>
      </c>
      <c r="Q856" s="167">
        <v>1</v>
      </c>
      <c r="R856" s="167">
        <v>3</v>
      </c>
      <c r="S856" s="167" t="s">
        <v>811</v>
      </c>
      <c r="T856" s="167">
        <v>0</v>
      </c>
      <c r="U856" s="7" t="s">
        <v>169</v>
      </c>
      <c r="V856" s="7" t="s">
        <v>169</v>
      </c>
      <c r="W856" s="47" t="str">
        <f t="shared" ca="1" si="54"/>
        <v/>
      </c>
      <c r="X856" s="47">
        <f ca="1">VLOOKUP($C856,OFFSET(quests!$A$1,0,0,COUNTA(quests!$A:$A),MATCH(X$2,quests!$1:$1,0)-MATCH($C$2,quests!$1:$1,0)+1),MATCH(X$2,quests!$1:$1,0)-MATCH($C$2,quests!$1:$1,0)+1,FALSE)</f>
        <v>0</v>
      </c>
      <c r="Y856" s="47">
        <f ca="1">VLOOKUP($C856,OFFSET(quests!$A$1,0,0,COUNTA(quests!$A:$A),MATCH(Y$2,quests!$1:$1,0)-MATCH($C$2,quests!$1:$1,0)+1),MATCH(Y$2,quests!$1:$1,0)-MATCH($C$2,quests!$1:$1,0)+1,FALSE)</f>
        <v>0</v>
      </c>
      <c r="Z856" s="47">
        <f ca="1">VLOOKUP($C856,OFFSET(quests!$A$1,0,0,COUNTA(quests!$A:$A),MATCH(Z$2,quests!$1:$1,0)-MATCH($C$2,quests!$1:$1,0)+1),MATCH(Z$2,quests!$1:$1,0)-MATCH($C$2,quests!$1:$1,0)+1,FALSE)</f>
        <v>0</v>
      </c>
      <c r="AA856" s="47">
        <f ca="1">VLOOKUP($C856,OFFSET(quests!$A$1,0,0,COUNTA(quests!$A:$A),MATCH(AA$2,quests!$1:$1,0)-MATCH($C$2,quests!$1:$1,0)+1),MATCH(AA$2,quests!$1:$1,0)-MATCH($C$2,quests!$1:$1,0)+1,FALSE)</f>
        <v>0</v>
      </c>
      <c r="AB856" s="7" t="s">
        <v>56</v>
      </c>
      <c r="AC856" s="7">
        <v>952</v>
      </c>
      <c r="AD856" s="7">
        <v>6</v>
      </c>
      <c r="AE856" s="7" t="s">
        <v>519</v>
      </c>
      <c r="AF856" s="7">
        <v>40</v>
      </c>
      <c r="AG856" s="7">
        <v>40</v>
      </c>
      <c r="AH856" s="7">
        <v>0</v>
      </c>
      <c r="AI856" s="7">
        <v>-1</v>
      </c>
      <c r="AJ856" s="7">
        <v>-1</v>
      </c>
      <c r="AK856" s="7" t="s">
        <v>1065</v>
      </c>
      <c r="AL856" s="12" t="s">
        <v>1269</v>
      </c>
      <c r="AM856" s="12" t="s">
        <v>2072</v>
      </c>
    </row>
    <row r="857" spans="1:39" s="45" customFormat="1" ht="21" customHeight="1" x14ac:dyDescent="0.15">
      <c r="A857" s="42" t="str">
        <f t="shared" si="55"/>
        <v>47003_2</v>
      </c>
      <c r="B857" s="23">
        <v>3</v>
      </c>
      <c r="C857" s="31">
        <v>47003</v>
      </c>
      <c r="D857" s="47" t="str">
        <f ca="1">VLOOKUP($C857,OFFSET(quests!$A$1,0,0,COUNTA(quests!$A:$A),MATCH(D$1,quests!$1:$1,0)-MATCH($C$2,quests!$1:$1,0)+1),MATCH(D$1,quests!$1:$1,0)-MATCH($C$2,quests!$1:$1,0)+1,FALSE)</f>
        <v>ハロウィンナイトパニック！</v>
      </c>
      <c r="E857" s="48" t="str">
        <f ca="1">VLOOKUP($C857,OFFSET(quests!$A$1,0,0,COUNTA(quests!$A:$A),MATCH(E$2,quests!$1:$1,0)-MATCH($C$2,quests!$1:$1,0)+1),MATCH(E$2,quests!$1:$1,0)-MATCH($C$2,quests!$1:$1,0)+1,FALSE)</f>
        <v>季節イベント</v>
      </c>
      <c r="F857" s="7">
        <v>2</v>
      </c>
      <c r="G857" s="7" t="s">
        <v>382</v>
      </c>
      <c r="H857" s="23" t="s">
        <v>1750</v>
      </c>
      <c r="I857" s="12" t="s">
        <v>61</v>
      </c>
      <c r="J857" s="239">
        <v>1192</v>
      </c>
      <c r="K857" s="194">
        <v>30</v>
      </c>
      <c r="L857" s="195">
        <v>3300</v>
      </c>
      <c r="M857" s="167">
        <v>1</v>
      </c>
      <c r="N857" s="167">
        <v>1</v>
      </c>
      <c r="O857" s="167">
        <v>1</v>
      </c>
      <c r="P857" s="167">
        <v>1</v>
      </c>
      <c r="Q857" s="167">
        <v>1</v>
      </c>
      <c r="R857" s="167">
        <v>3</v>
      </c>
      <c r="S857" s="167" t="s">
        <v>811</v>
      </c>
      <c r="T857" s="167">
        <v>0</v>
      </c>
      <c r="U857" s="7" t="s">
        <v>169</v>
      </c>
      <c r="V857" s="7" t="s">
        <v>169</v>
      </c>
      <c r="W857" s="47" t="str">
        <f t="shared" ca="1" si="54"/>
        <v/>
      </c>
      <c r="X857" s="47">
        <f ca="1">VLOOKUP($C857,OFFSET(quests!$A$1,0,0,COUNTA(quests!$A:$A),MATCH(X$2,quests!$1:$1,0)-MATCH($C$2,quests!$1:$1,0)+1),MATCH(X$2,quests!$1:$1,0)-MATCH($C$2,quests!$1:$1,0)+1,FALSE)</f>
        <v>0</v>
      </c>
      <c r="Y857" s="47">
        <f ca="1">VLOOKUP($C857,OFFSET(quests!$A$1,0,0,COUNTA(quests!$A:$A),MATCH(Y$2,quests!$1:$1,0)-MATCH($C$2,quests!$1:$1,0)+1),MATCH(Y$2,quests!$1:$1,0)-MATCH($C$2,quests!$1:$1,0)+1,FALSE)</f>
        <v>0</v>
      </c>
      <c r="Z857" s="47">
        <f ca="1">VLOOKUP($C857,OFFSET(quests!$A$1,0,0,COUNTA(quests!$A:$A),MATCH(Z$2,quests!$1:$1,0)-MATCH($C$2,quests!$1:$1,0)+1),MATCH(Z$2,quests!$1:$1,0)-MATCH($C$2,quests!$1:$1,0)+1,FALSE)</f>
        <v>0</v>
      </c>
      <c r="AA857" s="47">
        <f ca="1">VLOOKUP($C857,OFFSET(quests!$A$1,0,0,COUNTA(quests!$A:$A),MATCH(AA$2,quests!$1:$1,0)-MATCH($C$2,quests!$1:$1,0)+1),MATCH(AA$2,quests!$1:$1,0)-MATCH($C$2,quests!$1:$1,0)+1,FALSE)</f>
        <v>0</v>
      </c>
      <c r="AB857" s="7" t="s">
        <v>56</v>
      </c>
      <c r="AC857" s="7">
        <v>952</v>
      </c>
      <c r="AD857" s="7">
        <v>6</v>
      </c>
      <c r="AE857" s="7" t="s">
        <v>519</v>
      </c>
      <c r="AF857" s="7">
        <v>40</v>
      </c>
      <c r="AG857" s="7">
        <v>40</v>
      </c>
      <c r="AH857" s="7">
        <v>0</v>
      </c>
      <c r="AI857" s="7">
        <v>-1</v>
      </c>
      <c r="AJ857" s="7">
        <v>-1</v>
      </c>
      <c r="AK857" s="7" t="s">
        <v>1065</v>
      </c>
      <c r="AL857" s="12" t="s">
        <v>1269</v>
      </c>
      <c r="AM857" s="12" t="s">
        <v>2072</v>
      </c>
    </row>
    <row r="858" spans="1:39" ht="21" customHeight="1" x14ac:dyDescent="0.15">
      <c r="A858" s="42" t="str">
        <f t="shared" ref="A858:A861" si="56">C858&amp;"_"&amp;F858</f>
        <v>47003_3</v>
      </c>
      <c r="B858" s="23">
        <v>3</v>
      </c>
      <c r="C858" s="31">
        <v>47003</v>
      </c>
      <c r="D858" s="47" t="str">
        <f ca="1">VLOOKUP($C858,OFFSET(quests!$A$1,0,0,COUNTA(quests!$A:$A),MATCH(D$1,quests!$1:$1,0)-MATCH($C$2,quests!$1:$1,0)+1),MATCH(D$1,quests!$1:$1,0)-MATCH($C$2,quests!$1:$1,0)+1,FALSE)</f>
        <v>ハロウィンナイトパニック！</v>
      </c>
      <c r="E858" s="48" t="str">
        <f ca="1">VLOOKUP($C858,OFFSET(quests!$A$1,0,0,COUNTA(quests!$A:$A),MATCH(E$2,quests!$1:$1,0)-MATCH($C$2,quests!$1:$1,0)+1),MATCH(E$2,quests!$1:$1,0)-MATCH($C$2,quests!$1:$1,0)+1,FALSE)</f>
        <v>季節イベント</v>
      </c>
      <c r="F858" s="7">
        <v>3</v>
      </c>
      <c r="G858" s="7" t="s">
        <v>382</v>
      </c>
      <c r="H858" s="23" t="s">
        <v>1751</v>
      </c>
      <c r="I858" s="12" t="s">
        <v>61</v>
      </c>
      <c r="J858" s="239">
        <v>1192</v>
      </c>
      <c r="K858" s="167">
        <v>35</v>
      </c>
      <c r="L858" s="167">
        <v>4200</v>
      </c>
      <c r="M858" s="167">
        <v>1</v>
      </c>
      <c r="N858" s="167">
        <v>1</v>
      </c>
      <c r="O858" s="167">
        <v>1</v>
      </c>
      <c r="P858" s="167">
        <v>1</v>
      </c>
      <c r="Q858" s="167">
        <v>1</v>
      </c>
      <c r="R858" s="167">
        <v>3</v>
      </c>
      <c r="S858" s="167" t="s">
        <v>278</v>
      </c>
      <c r="T858" s="167">
        <v>1</v>
      </c>
      <c r="U858" s="7" t="s">
        <v>169</v>
      </c>
      <c r="V858" s="7" t="s">
        <v>169</v>
      </c>
      <c r="W858" s="47" t="str">
        <f t="shared" ca="1" si="54"/>
        <v/>
      </c>
      <c r="X858" s="47">
        <f ca="1">VLOOKUP($C858,OFFSET(quests!$A$1,0,0,COUNTA(quests!$A:$A),MATCH(X$2,quests!$1:$1,0)-MATCH($C$2,quests!$1:$1,0)+1),MATCH(X$2,quests!$1:$1,0)-MATCH($C$2,quests!$1:$1,0)+1,FALSE)</f>
        <v>0</v>
      </c>
      <c r="Y858" s="47">
        <f ca="1">VLOOKUP($C858,OFFSET(quests!$A$1,0,0,COUNTA(quests!$A:$A),MATCH(Y$2,quests!$1:$1,0)-MATCH($C$2,quests!$1:$1,0)+1),MATCH(Y$2,quests!$1:$1,0)-MATCH($C$2,quests!$1:$1,0)+1,FALSE)</f>
        <v>0</v>
      </c>
      <c r="Z858" s="47">
        <f ca="1">VLOOKUP($C858,OFFSET(quests!$A$1,0,0,COUNTA(quests!$A:$A),MATCH(Z$2,quests!$1:$1,0)-MATCH($C$2,quests!$1:$1,0)+1),MATCH(Z$2,quests!$1:$1,0)-MATCH($C$2,quests!$1:$1,0)+1,FALSE)</f>
        <v>0</v>
      </c>
      <c r="AA858" s="47">
        <f ca="1">VLOOKUP($C858,OFFSET(quests!$A$1,0,0,COUNTA(quests!$A:$A),MATCH(AA$2,quests!$1:$1,0)-MATCH($C$2,quests!$1:$1,0)+1),MATCH(AA$2,quests!$1:$1,0)-MATCH($C$2,quests!$1:$1,0)+1,FALSE)</f>
        <v>0</v>
      </c>
      <c r="AB858" s="7" t="s">
        <v>56</v>
      </c>
      <c r="AC858" s="7">
        <v>952</v>
      </c>
      <c r="AD858" s="7">
        <v>6</v>
      </c>
      <c r="AE858" s="7" t="s">
        <v>519</v>
      </c>
      <c r="AF858" s="7">
        <v>40</v>
      </c>
      <c r="AG858" s="7">
        <v>40</v>
      </c>
      <c r="AH858" s="7">
        <v>0</v>
      </c>
      <c r="AI858" s="7">
        <v>-1</v>
      </c>
      <c r="AJ858" s="7">
        <v>-1</v>
      </c>
      <c r="AK858" s="7" t="s">
        <v>1065</v>
      </c>
      <c r="AL858" s="12" t="s">
        <v>1269</v>
      </c>
      <c r="AM858" s="12" t="s">
        <v>2072</v>
      </c>
    </row>
    <row r="859" spans="1:39" s="45" customFormat="1" ht="21" customHeight="1" x14ac:dyDescent="0.15">
      <c r="A859" s="42" t="str">
        <f t="shared" si="56"/>
        <v>47003_4</v>
      </c>
      <c r="B859" s="23">
        <v>3</v>
      </c>
      <c r="C859" s="31">
        <v>47003</v>
      </c>
      <c r="D859" s="47" t="str">
        <f ca="1">VLOOKUP($C859,OFFSET(quests!$A$1,0,0,COUNTA(quests!$A:$A),MATCH(D$1,quests!$1:$1,0)-MATCH($C$2,quests!$1:$1,0)+1),MATCH(D$1,quests!$1:$1,0)-MATCH($C$2,quests!$1:$1,0)+1,FALSE)</f>
        <v>ハロウィンナイトパニック！</v>
      </c>
      <c r="E859" s="48" t="str">
        <f ca="1">VLOOKUP($C859,OFFSET(quests!$A$1,0,0,COUNTA(quests!$A:$A),MATCH(E$2,quests!$1:$1,0)-MATCH($C$2,quests!$1:$1,0)+1),MATCH(E$2,quests!$1:$1,0)-MATCH($C$2,quests!$1:$1,0)+1,FALSE)</f>
        <v>季節イベント</v>
      </c>
      <c r="F859" s="7">
        <v>4</v>
      </c>
      <c r="G859" s="7" t="s">
        <v>382</v>
      </c>
      <c r="H859" s="23" t="s">
        <v>2061</v>
      </c>
      <c r="I859" s="12" t="s">
        <v>61</v>
      </c>
      <c r="J859" s="239">
        <v>1192</v>
      </c>
      <c r="K859" s="167">
        <v>40</v>
      </c>
      <c r="L859" s="167">
        <v>4500</v>
      </c>
      <c r="M859" s="167">
        <v>1</v>
      </c>
      <c r="N859" s="167">
        <v>1</v>
      </c>
      <c r="O859" s="167">
        <v>1</v>
      </c>
      <c r="P859" s="167">
        <v>1</v>
      </c>
      <c r="Q859" s="167">
        <v>1</v>
      </c>
      <c r="R859" s="167">
        <v>3</v>
      </c>
      <c r="S859" s="167" t="s">
        <v>278</v>
      </c>
      <c r="T859" s="167">
        <v>1</v>
      </c>
      <c r="U859" s="7" t="s">
        <v>169</v>
      </c>
      <c r="V859" s="7" t="s">
        <v>169</v>
      </c>
      <c r="W859" s="47" t="str">
        <f t="shared" ca="1" si="54"/>
        <v/>
      </c>
      <c r="X859" s="47">
        <f ca="1">VLOOKUP($C859,OFFSET(quests!$A$1,0,0,COUNTA(quests!$A:$A),MATCH(X$2,quests!$1:$1,0)-MATCH($C$2,quests!$1:$1,0)+1),MATCH(X$2,quests!$1:$1,0)-MATCH($C$2,quests!$1:$1,0)+1,FALSE)</f>
        <v>0</v>
      </c>
      <c r="Y859" s="47">
        <f ca="1">VLOOKUP($C859,OFFSET(quests!$A$1,0,0,COUNTA(quests!$A:$A),MATCH(Y$2,quests!$1:$1,0)-MATCH($C$2,quests!$1:$1,0)+1),MATCH(Y$2,quests!$1:$1,0)-MATCH($C$2,quests!$1:$1,0)+1,FALSE)</f>
        <v>0</v>
      </c>
      <c r="Z859" s="47">
        <f ca="1">VLOOKUP($C859,OFFSET(quests!$A$1,0,0,COUNTA(quests!$A:$A),MATCH(Z$2,quests!$1:$1,0)-MATCH($C$2,quests!$1:$1,0)+1),MATCH(Z$2,quests!$1:$1,0)-MATCH($C$2,quests!$1:$1,0)+1,FALSE)</f>
        <v>0</v>
      </c>
      <c r="AA859" s="47">
        <f ca="1">VLOOKUP($C859,OFFSET(quests!$A$1,0,0,COUNTA(quests!$A:$A),MATCH(AA$2,quests!$1:$1,0)-MATCH($C$2,quests!$1:$1,0)+1),MATCH(AA$2,quests!$1:$1,0)-MATCH($C$2,quests!$1:$1,0)+1,FALSE)</f>
        <v>0</v>
      </c>
      <c r="AB859" s="7" t="s">
        <v>56</v>
      </c>
      <c r="AC859" s="7">
        <v>952</v>
      </c>
      <c r="AD859" s="7">
        <v>6</v>
      </c>
      <c r="AE859" s="7" t="s">
        <v>519</v>
      </c>
      <c r="AF859" s="7">
        <v>40</v>
      </c>
      <c r="AG859" s="7">
        <v>40</v>
      </c>
      <c r="AH859" s="7">
        <v>0</v>
      </c>
      <c r="AI859" s="7">
        <v>-1</v>
      </c>
      <c r="AJ859" s="7">
        <v>-1</v>
      </c>
      <c r="AK859" s="7" t="s">
        <v>1065</v>
      </c>
      <c r="AL859" s="12" t="s">
        <v>1269</v>
      </c>
      <c r="AM859" s="12" t="s">
        <v>2072</v>
      </c>
    </row>
    <row r="860" spans="1:39" ht="21" customHeight="1" x14ac:dyDescent="0.15">
      <c r="A860" s="42" t="str">
        <f t="shared" si="56"/>
        <v>47004_1</v>
      </c>
      <c r="B860" s="23">
        <v>3</v>
      </c>
      <c r="C860" s="31">
        <v>47004</v>
      </c>
      <c r="D860" s="47" t="str">
        <f ca="1">VLOOKUP($C860,OFFSET(quests!$A$1,0,0,COUNTA(quests!$A:$A),MATCH(D$1,quests!$1:$1,0)-MATCH($C$2,quests!$1:$1,0)+1),MATCH(D$1,quests!$1:$1,0)-MATCH($C$2,quests!$1:$1,0)+1,FALSE)</f>
        <v>聖なる夜に祝福を</v>
      </c>
      <c r="E860" s="48" t="str">
        <f ca="1">VLOOKUP($C860,OFFSET(quests!$A$1,0,0,COUNTA(quests!$A:$A),MATCH(E$2,quests!$1:$1,0)-MATCH($C$2,quests!$1:$1,0)+1),MATCH(E$2,quests!$1:$1,0)-MATCH($C$2,quests!$1:$1,0)+1,FALSE)</f>
        <v>季節イベント</v>
      </c>
      <c r="F860" s="7">
        <v>1</v>
      </c>
      <c r="G860" s="7" t="s">
        <v>382</v>
      </c>
      <c r="H860" s="23" t="s">
        <v>1875</v>
      </c>
      <c r="I860" s="12" t="s">
        <v>1905</v>
      </c>
      <c r="J860" s="239">
        <v>1284</v>
      </c>
      <c r="K860" s="192">
        <v>20</v>
      </c>
      <c r="L860" s="193">
        <v>2000</v>
      </c>
      <c r="M860" s="167">
        <v>1</v>
      </c>
      <c r="N860" s="167">
        <v>1</v>
      </c>
      <c r="O860" s="167">
        <v>1</v>
      </c>
      <c r="P860" s="167">
        <v>1</v>
      </c>
      <c r="Q860" s="167">
        <v>1</v>
      </c>
      <c r="R860" s="167">
        <v>3</v>
      </c>
      <c r="S860" s="167" t="s">
        <v>811</v>
      </c>
      <c r="T860" s="167">
        <v>0</v>
      </c>
      <c r="U860" s="7" t="s">
        <v>169</v>
      </c>
      <c r="V860" s="7" t="s">
        <v>169</v>
      </c>
      <c r="W860" s="47" t="str">
        <f t="shared" ca="1" si="54"/>
        <v/>
      </c>
      <c r="X860" s="47">
        <f ca="1">VLOOKUP($C860,OFFSET(quests!$A$1,0,0,COUNTA(quests!$A:$A),MATCH(X$2,quests!$1:$1,0)-MATCH($C$2,quests!$1:$1,0)+1),MATCH(X$2,quests!$1:$1,0)-MATCH($C$2,quests!$1:$1,0)+1,FALSE)</f>
        <v>0</v>
      </c>
      <c r="Y860" s="47">
        <f ca="1">VLOOKUP($C860,OFFSET(quests!$A$1,0,0,COUNTA(quests!$A:$A),MATCH(Y$2,quests!$1:$1,0)-MATCH($C$2,quests!$1:$1,0)+1),MATCH(Y$2,quests!$1:$1,0)-MATCH($C$2,quests!$1:$1,0)+1,FALSE)</f>
        <v>0</v>
      </c>
      <c r="Z860" s="47">
        <f ca="1">VLOOKUP($C860,OFFSET(quests!$A$1,0,0,COUNTA(quests!$A:$A),MATCH(Z$2,quests!$1:$1,0)-MATCH($C$2,quests!$1:$1,0)+1),MATCH(Z$2,quests!$1:$1,0)-MATCH($C$2,quests!$1:$1,0)+1,FALSE)</f>
        <v>0</v>
      </c>
      <c r="AA860" s="47">
        <f ca="1">VLOOKUP($C860,OFFSET(quests!$A$1,0,0,COUNTA(quests!$A:$A),MATCH(AA$2,quests!$1:$1,0)-MATCH($C$2,quests!$1:$1,0)+1),MATCH(AA$2,quests!$1:$1,0)-MATCH($C$2,quests!$1:$1,0)+1,FALSE)</f>
        <v>0</v>
      </c>
      <c r="AB860" s="7" t="s">
        <v>56</v>
      </c>
      <c r="AC860" s="7">
        <v>962</v>
      </c>
      <c r="AD860" s="7">
        <v>6</v>
      </c>
      <c r="AE860" s="7" t="s">
        <v>519</v>
      </c>
      <c r="AF860" s="167">
        <v>1225</v>
      </c>
      <c r="AG860" s="167">
        <v>1225</v>
      </c>
      <c r="AH860" s="7">
        <v>0</v>
      </c>
      <c r="AI860" s="7">
        <v>-1</v>
      </c>
      <c r="AJ860" s="7">
        <v>-1</v>
      </c>
      <c r="AK860" s="7" t="s">
        <v>1065</v>
      </c>
      <c r="AL860" s="12" t="s">
        <v>1269</v>
      </c>
      <c r="AM860" s="12" t="s">
        <v>2072</v>
      </c>
    </row>
    <row r="861" spans="1:39" s="45" customFormat="1" ht="21" customHeight="1" x14ac:dyDescent="0.15">
      <c r="A861" s="42" t="str">
        <f t="shared" si="56"/>
        <v>47004_2</v>
      </c>
      <c r="B861" s="23">
        <v>3</v>
      </c>
      <c r="C861" s="31">
        <v>47004</v>
      </c>
      <c r="D861" s="47" t="str">
        <f ca="1">VLOOKUP($C861,OFFSET(quests!$A$1,0,0,COUNTA(quests!$A:$A),MATCH(D$1,quests!$1:$1,0)-MATCH($C$2,quests!$1:$1,0)+1),MATCH(D$1,quests!$1:$1,0)-MATCH($C$2,quests!$1:$1,0)+1,FALSE)</f>
        <v>聖なる夜に祝福を</v>
      </c>
      <c r="E861" s="48" t="str">
        <f ca="1">VLOOKUP($C861,OFFSET(quests!$A$1,0,0,COUNTA(quests!$A:$A),MATCH(E$2,quests!$1:$1,0)-MATCH($C$2,quests!$1:$1,0)+1),MATCH(E$2,quests!$1:$1,0)-MATCH($C$2,quests!$1:$1,0)+1,FALSE)</f>
        <v>季節イベント</v>
      </c>
      <c r="F861" s="7">
        <v>2</v>
      </c>
      <c r="G861" s="7" t="s">
        <v>382</v>
      </c>
      <c r="H861" s="23" t="s">
        <v>1884</v>
      </c>
      <c r="I861" s="12" t="s">
        <v>1906</v>
      </c>
      <c r="J861" s="239">
        <v>1284</v>
      </c>
      <c r="K861" s="194">
        <v>30</v>
      </c>
      <c r="L861" s="195">
        <v>3300</v>
      </c>
      <c r="M861" s="167">
        <v>1</v>
      </c>
      <c r="N861" s="167">
        <v>1</v>
      </c>
      <c r="O861" s="167">
        <v>1</v>
      </c>
      <c r="P861" s="167">
        <v>1</v>
      </c>
      <c r="Q861" s="167">
        <v>1</v>
      </c>
      <c r="R861" s="167">
        <v>3</v>
      </c>
      <c r="S861" s="167" t="s">
        <v>811</v>
      </c>
      <c r="T861" s="167">
        <v>0</v>
      </c>
      <c r="U861" s="7" t="s">
        <v>169</v>
      </c>
      <c r="V861" s="7" t="s">
        <v>169</v>
      </c>
      <c r="W861" s="47" t="str">
        <f t="shared" ca="1" si="54"/>
        <v/>
      </c>
      <c r="X861" s="47">
        <f ca="1">VLOOKUP($C861,OFFSET(quests!$A$1,0,0,COUNTA(quests!$A:$A),MATCH(X$2,quests!$1:$1,0)-MATCH($C$2,quests!$1:$1,0)+1),MATCH(X$2,quests!$1:$1,0)-MATCH($C$2,quests!$1:$1,0)+1,FALSE)</f>
        <v>0</v>
      </c>
      <c r="Y861" s="47">
        <f ca="1">VLOOKUP($C861,OFFSET(quests!$A$1,0,0,COUNTA(quests!$A:$A),MATCH(Y$2,quests!$1:$1,0)-MATCH($C$2,quests!$1:$1,0)+1),MATCH(Y$2,quests!$1:$1,0)-MATCH($C$2,quests!$1:$1,0)+1,FALSE)</f>
        <v>0</v>
      </c>
      <c r="Z861" s="47">
        <f ca="1">VLOOKUP($C861,OFFSET(quests!$A$1,0,0,COUNTA(quests!$A:$A),MATCH(Z$2,quests!$1:$1,0)-MATCH($C$2,quests!$1:$1,0)+1),MATCH(Z$2,quests!$1:$1,0)-MATCH($C$2,quests!$1:$1,0)+1,FALSE)</f>
        <v>0</v>
      </c>
      <c r="AA861" s="47">
        <f ca="1">VLOOKUP($C861,OFFSET(quests!$A$1,0,0,COUNTA(quests!$A:$A),MATCH(AA$2,quests!$1:$1,0)-MATCH($C$2,quests!$1:$1,0)+1),MATCH(AA$2,quests!$1:$1,0)-MATCH($C$2,quests!$1:$1,0)+1,FALSE)</f>
        <v>0</v>
      </c>
      <c r="AB861" s="7" t="s">
        <v>56</v>
      </c>
      <c r="AC861" s="7">
        <v>962</v>
      </c>
      <c r="AD861" s="7">
        <v>6</v>
      </c>
      <c r="AE861" s="7" t="s">
        <v>519</v>
      </c>
      <c r="AF861" s="167">
        <v>1225</v>
      </c>
      <c r="AG861" s="167">
        <v>1225</v>
      </c>
      <c r="AH861" s="7">
        <v>0</v>
      </c>
      <c r="AI861" s="7">
        <v>-1</v>
      </c>
      <c r="AJ861" s="7">
        <v>-1</v>
      </c>
      <c r="AK861" s="7" t="s">
        <v>1065</v>
      </c>
      <c r="AL861" s="12" t="s">
        <v>1269</v>
      </c>
      <c r="AM861" s="12" t="s">
        <v>2072</v>
      </c>
    </row>
    <row r="862" spans="1:39" ht="21" customHeight="1" x14ac:dyDescent="0.15">
      <c r="A862" s="42" t="str">
        <f t="shared" ref="A862:A863" si="57">C862&amp;"_"&amp;F862</f>
        <v>47004_3</v>
      </c>
      <c r="B862" s="23">
        <v>3</v>
      </c>
      <c r="C862" s="31">
        <v>47004</v>
      </c>
      <c r="D862" s="47" t="str">
        <f ca="1">VLOOKUP($C862,OFFSET(quests!$A$1,0,0,COUNTA(quests!$A:$A),MATCH(D$1,quests!$1:$1,0)-MATCH($C$2,quests!$1:$1,0)+1),MATCH(D$1,quests!$1:$1,0)-MATCH($C$2,quests!$1:$1,0)+1,FALSE)</f>
        <v>聖なる夜に祝福を</v>
      </c>
      <c r="E862" s="48" t="str">
        <f ca="1">VLOOKUP($C862,OFFSET(quests!$A$1,0,0,COUNTA(quests!$A:$A),MATCH(E$2,quests!$1:$1,0)-MATCH($C$2,quests!$1:$1,0)+1),MATCH(E$2,quests!$1:$1,0)-MATCH($C$2,quests!$1:$1,0)+1,FALSE)</f>
        <v>季節イベント</v>
      </c>
      <c r="F862" s="7">
        <v>3</v>
      </c>
      <c r="G862" s="7" t="s">
        <v>382</v>
      </c>
      <c r="H862" s="23" t="s">
        <v>1876</v>
      </c>
      <c r="I862" s="12" t="s">
        <v>1907</v>
      </c>
      <c r="J862" s="239">
        <v>1284</v>
      </c>
      <c r="K862" s="167">
        <v>35</v>
      </c>
      <c r="L862" s="167">
        <v>4200</v>
      </c>
      <c r="M862" s="167">
        <v>1</v>
      </c>
      <c r="N862" s="167">
        <v>1</v>
      </c>
      <c r="O862" s="167">
        <v>1</v>
      </c>
      <c r="P862" s="167">
        <v>1</v>
      </c>
      <c r="Q862" s="167">
        <v>1</v>
      </c>
      <c r="R862" s="167">
        <v>3</v>
      </c>
      <c r="S862" s="167" t="s">
        <v>278</v>
      </c>
      <c r="T862" s="167">
        <v>1</v>
      </c>
      <c r="U862" s="7" t="s">
        <v>169</v>
      </c>
      <c r="V862" s="7" t="s">
        <v>169</v>
      </c>
      <c r="W862" s="47" t="str">
        <f t="shared" ca="1" si="54"/>
        <v/>
      </c>
      <c r="X862" s="47">
        <f ca="1">VLOOKUP($C862,OFFSET(quests!$A$1,0,0,COUNTA(quests!$A:$A),MATCH(X$2,quests!$1:$1,0)-MATCH($C$2,quests!$1:$1,0)+1),MATCH(X$2,quests!$1:$1,0)-MATCH($C$2,quests!$1:$1,0)+1,FALSE)</f>
        <v>0</v>
      </c>
      <c r="Y862" s="47">
        <f ca="1">VLOOKUP($C862,OFFSET(quests!$A$1,0,0,COUNTA(quests!$A:$A),MATCH(Y$2,quests!$1:$1,0)-MATCH($C$2,quests!$1:$1,0)+1),MATCH(Y$2,quests!$1:$1,0)-MATCH($C$2,quests!$1:$1,0)+1,FALSE)</f>
        <v>0</v>
      </c>
      <c r="Z862" s="47">
        <f ca="1">VLOOKUP($C862,OFFSET(quests!$A$1,0,0,COUNTA(quests!$A:$A),MATCH(Z$2,quests!$1:$1,0)-MATCH($C$2,quests!$1:$1,0)+1),MATCH(Z$2,quests!$1:$1,0)-MATCH($C$2,quests!$1:$1,0)+1,FALSE)</f>
        <v>0</v>
      </c>
      <c r="AA862" s="47">
        <f ca="1">VLOOKUP($C862,OFFSET(quests!$A$1,0,0,COUNTA(quests!$A:$A),MATCH(AA$2,quests!$1:$1,0)-MATCH($C$2,quests!$1:$1,0)+1),MATCH(AA$2,quests!$1:$1,0)-MATCH($C$2,quests!$1:$1,0)+1,FALSE)</f>
        <v>0</v>
      </c>
      <c r="AB862" s="7" t="s">
        <v>56</v>
      </c>
      <c r="AC862" s="7">
        <v>962</v>
      </c>
      <c r="AD862" s="7">
        <v>6</v>
      </c>
      <c r="AE862" s="7" t="s">
        <v>519</v>
      </c>
      <c r="AF862" s="167">
        <v>1225</v>
      </c>
      <c r="AG862" s="167">
        <v>1225</v>
      </c>
      <c r="AH862" s="7">
        <v>0</v>
      </c>
      <c r="AI862" s="7">
        <v>-1</v>
      </c>
      <c r="AJ862" s="7">
        <v>-1</v>
      </c>
      <c r="AK862" s="7" t="s">
        <v>1065</v>
      </c>
      <c r="AL862" s="12" t="s">
        <v>1269</v>
      </c>
      <c r="AM862" s="12" t="s">
        <v>2072</v>
      </c>
    </row>
    <row r="863" spans="1:39" s="45" customFormat="1" ht="21" customHeight="1" x14ac:dyDescent="0.15">
      <c r="A863" s="42" t="str">
        <f t="shared" si="57"/>
        <v>47004_4</v>
      </c>
      <c r="B863" s="23">
        <v>3</v>
      </c>
      <c r="C863" s="31">
        <v>47004</v>
      </c>
      <c r="D863" s="47" t="str">
        <f ca="1">VLOOKUP($C863,OFFSET(quests!$A$1,0,0,COUNTA(quests!$A:$A),MATCH(D$1,quests!$1:$1,0)-MATCH($C$2,quests!$1:$1,0)+1),MATCH(D$1,quests!$1:$1,0)-MATCH($C$2,quests!$1:$1,0)+1,FALSE)</f>
        <v>聖なる夜に祝福を</v>
      </c>
      <c r="E863" s="48" t="str">
        <f ca="1">VLOOKUP($C863,OFFSET(quests!$A$1,0,0,COUNTA(quests!$A:$A),MATCH(E$2,quests!$1:$1,0)-MATCH($C$2,quests!$1:$1,0)+1),MATCH(E$2,quests!$1:$1,0)-MATCH($C$2,quests!$1:$1,0)+1,FALSE)</f>
        <v>季節イベント</v>
      </c>
      <c r="F863" s="7">
        <v>4</v>
      </c>
      <c r="G863" s="7" t="s">
        <v>382</v>
      </c>
      <c r="H863" s="23" t="s">
        <v>1877</v>
      </c>
      <c r="I863" s="12" t="s">
        <v>61</v>
      </c>
      <c r="J863" s="239">
        <v>1284</v>
      </c>
      <c r="K863" s="167">
        <v>40</v>
      </c>
      <c r="L863" s="167">
        <v>4500</v>
      </c>
      <c r="M863" s="167">
        <v>1</v>
      </c>
      <c r="N863" s="167">
        <v>1</v>
      </c>
      <c r="O863" s="167">
        <v>1</v>
      </c>
      <c r="P863" s="167">
        <v>1</v>
      </c>
      <c r="Q863" s="167">
        <v>1</v>
      </c>
      <c r="R863" s="167">
        <v>3</v>
      </c>
      <c r="S863" s="167" t="s">
        <v>278</v>
      </c>
      <c r="T863" s="167">
        <v>1</v>
      </c>
      <c r="U863" s="7" t="s">
        <v>169</v>
      </c>
      <c r="V863" s="7" t="s">
        <v>169</v>
      </c>
      <c r="W863" s="47" t="str">
        <f t="shared" ca="1" si="54"/>
        <v/>
      </c>
      <c r="X863" s="47">
        <f ca="1">VLOOKUP($C863,OFFSET(quests!$A$1,0,0,COUNTA(quests!$A:$A),MATCH(X$2,quests!$1:$1,0)-MATCH($C$2,quests!$1:$1,0)+1),MATCH(X$2,quests!$1:$1,0)-MATCH($C$2,quests!$1:$1,0)+1,FALSE)</f>
        <v>0</v>
      </c>
      <c r="Y863" s="47">
        <f ca="1">VLOOKUP($C863,OFFSET(quests!$A$1,0,0,COUNTA(quests!$A:$A),MATCH(Y$2,quests!$1:$1,0)-MATCH($C$2,quests!$1:$1,0)+1),MATCH(Y$2,quests!$1:$1,0)-MATCH($C$2,quests!$1:$1,0)+1,FALSE)</f>
        <v>0</v>
      </c>
      <c r="Z863" s="47">
        <f ca="1">VLOOKUP($C863,OFFSET(quests!$A$1,0,0,COUNTA(quests!$A:$A),MATCH(Z$2,quests!$1:$1,0)-MATCH($C$2,quests!$1:$1,0)+1),MATCH(Z$2,quests!$1:$1,0)-MATCH($C$2,quests!$1:$1,0)+1,FALSE)</f>
        <v>0</v>
      </c>
      <c r="AA863" s="47">
        <f ca="1">VLOOKUP($C863,OFFSET(quests!$A$1,0,0,COUNTA(quests!$A:$A),MATCH(AA$2,quests!$1:$1,0)-MATCH($C$2,quests!$1:$1,0)+1),MATCH(AA$2,quests!$1:$1,0)-MATCH($C$2,quests!$1:$1,0)+1,FALSE)</f>
        <v>0</v>
      </c>
      <c r="AB863" s="7" t="s">
        <v>56</v>
      </c>
      <c r="AC863" s="7">
        <v>962</v>
      </c>
      <c r="AD863" s="7">
        <v>6</v>
      </c>
      <c r="AE863" s="7" t="s">
        <v>519</v>
      </c>
      <c r="AF863" s="167">
        <v>1225</v>
      </c>
      <c r="AG863" s="167">
        <v>1225</v>
      </c>
      <c r="AH863" s="7">
        <v>0</v>
      </c>
      <c r="AI863" s="7">
        <v>-1</v>
      </c>
      <c r="AJ863" s="7">
        <v>-1</v>
      </c>
      <c r="AK863" s="7" t="s">
        <v>1065</v>
      </c>
      <c r="AL863" s="12" t="s">
        <v>1269</v>
      </c>
      <c r="AM863" s="12" t="s">
        <v>2072</v>
      </c>
    </row>
    <row r="864" spans="1:39" s="45" customFormat="1" ht="21" customHeight="1" x14ac:dyDescent="0.15">
      <c r="A864" s="42" t="str">
        <f t="shared" ref="A864" si="58">C864&amp;"_"&amp;F864</f>
        <v>47005_1</v>
      </c>
      <c r="B864" s="23">
        <v>3</v>
      </c>
      <c r="C864" s="31">
        <v>47005</v>
      </c>
      <c r="D864" s="47" t="str">
        <f ca="1">VLOOKUP($C864,OFFSET(quests!$A$1,0,0,COUNTA(quests!$A:$A),MATCH(D$1,quests!$1:$1,0)-MATCH($C$2,quests!$1:$1,0)+1),MATCH(D$1,quests!$1:$1,0)-MATCH($C$2,quests!$1:$1,0)+1,FALSE)</f>
        <v>年を越える儀式</v>
      </c>
      <c r="E864" s="48" t="str">
        <f ca="1">VLOOKUP($C864,OFFSET(quests!$A$1,0,0,COUNTA(quests!$A:$A),MATCH(E$2,quests!$1:$1,0)-MATCH($C$2,quests!$1:$1,0)+1),MATCH(E$2,quests!$1:$1,0)-MATCH($C$2,quests!$1:$1,0)+1,FALSE)</f>
        <v>季節イベント</v>
      </c>
      <c r="F864" s="7">
        <v>1</v>
      </c>
      <c r="G864" s="7" t="s">
        <v>382</v>
      </c>
      <c r="H864" s="23" t="s">
        <v>1918</v>
      </c>
      <c r="I864" s="12" t="s">
        <v>61</v>
      </c>
      <c r="J864" s="239">
        <v>1292</v>
      </c>
      <c r="K864" s="167">
        <v>30</v>
      </c>
      <c r="L864" s="167">
        <v>4000</v>
      </c>
      <c r="M864" s="167">
        <v>1</v>
      </c>
      <c r="N864" s="167">
        <v>1</v>
      </c>
      <c r="O864" s="167">
        <v>1</v>
      </c>
      <c r="P864" s="167">
        <v>1</v>
      </c>
      <c r="Q864" s="167">
        <v>1</v>
      </c>
      <c r="R864" s="167">
        <v>3</v>
      </c>
      <c r="S864" s="167" t="s">
        <v>278</v>
      </c>
      <c r="T864" s="167">
        <v>1</v>
      </c>
      <c r="U864" s="7" t="s">
        <v>169</v>
      </c>
      <c r="V864" s="7" t="s">
        <v>169</v>
      </c>
      <c r="W864" s="47" t="str">
        <f t="shared" ca="1" si="54"/>
        <v/>
      </c>
      <c r="X864" s="47">
        <f ca="1">VLOOKUP($C864,OFFSET(quests!$A$1,0,0,COUNTA(quests!$A:$A),MATCH(X$2,quests!$1:$1,0)-MATCH($C$2,quests!$1:$1,0)+1),MATCH(X$2,quests!$1:$1,0)-MATCH($C$2,quests!$1:$1,0)+1,FALSE)</f>
        <v>0</v>
      </c>
      <c r="Y864" s="47">
        <f ca="1">VLOOKUP($C864,OFFSET(quests!$A$1,0,0,COUNTA(quests!$A:$A),MATCH(Y$2,quests!$1:$1,0)-MATCH($C$2,quests!$1:$1,0)+1),MATCH(Y$2,quests!$1:$1,0)-MATCH($C$2,quests!$1:$1,0)+1,FALSE)</f>
        <v>0</v>
      </c>
      <c r="Z864" s="47">
        <f ca="1">VLOOKUP($C864,OFFSET(quests!$A$1,0,0,COUNTA(quests!$A:$A),MATCH(Z$2,quests!$1:$1,0)-MATCH($C$2,quests!$1:$1,0)+1),MATCH(Z$2,quests!$1:$1,0)-MATCH($C$2,quests!$1:$1,0)+1,FALSE)</f>
        <v>0</v>
      </c>
      <c r="AA864" s="47">
        <f ca="1">VLOOKUP($C864,OFFSET(quests!$A$1,0,0,COUNTA(quests!$A:$A),MATCH(AA$2,quests!$1:$1,0)-MATCH($C$2,quests!$1:$1,0)+1),MATCH(AA$2,quests!$1:$1,0)-MATCH($C$2,quests!$1:$1,0)+1,FALSE)</f>
        <v>0</v>
      </c>
      <c r="AB864" s="7" t="s">
        <v>56</v>
      </c>
      <c r="AC864" s="7">
        <v>901</v>
      </c>
      <c r="AD864" s="7">
        <v>6</v>
      </c>
      <c r="AE864" s="7" t="s">
        <v>519</v>
      </c>
      <c r="AF864" s="167">
        <v>40</v>
      </c>
      <c r="AG864" s="167">
        <v>40</v>
      </c>
      <c r="AH864" s="7">
        <v>0</v>
      </c>
      <c r="AI864" s="7">
        <v>-1</v>
      </c>
      <c r="AJ864" s="7">
        <v>-1</v>
      </c>
      <c r="AK864" s="7" t="s">
        <v>1065</v>
      </c>
      <c r="AL864" s="12" t="s">
        <v>1269</v>
      </c>
      <c r="AM864" s="12" t="s">
        <v>2072</v>
      </c>
    </row>
    <row r="865" spans="1:39" s="45" customFormat="1" ht="21" customHeight="1" x14ac:dyDescent="0.15">
      <c r="A865" s="42" t="str">
        <f t="shared" ref="A865" si="59">C865&amp;"_"&amp;F865</f>
        <v>47006_1</v>
      </c>
      <c r="B865" s="23">
        <v>3</v>
      </c>
      <c r="C865" s="31">
        <v>47006</v>
      </c>
      <c r="D865" s="47" t="str">
        <f ca="1">VLOOKUP($C865,OFFSET(quests!$A$1,0,0,COUNTA(quests!$A:$A),MATCH(D$1,quests!$1:$1,0)-MATCH($C$2,quests!$1:$1,0)+1),MATCH(D$1,quests!$1:$1,0)-MATCH($C$2,quests!$1:$1,0)+1,FALSE)</f>
        <v>酉の初めはたまごから</v>
      </c>
      <c r="E865" s="48" t="str">
        <f ca="1">VLOOKUP($C865,OFFSET(quests!$A$1,0,0,COUNTA(quests!$A:$A),MATCH(E$2,quests!$1:$1,0)-MATCH($C$2,quests!$1:$1,0)+1),MATCH(E$2,quests!$1:$1,0)-MATCH($C$2,quests!$1:$1,0)+1,FALSE)</f>
        <v>季節イベント</v>
      </c>
      <c r="F865" s="7">
        <v>1</v>
      </c>
      <c r="G865" s="7" t="s">
        <v>382</v>
      </c>
      <c r="H865" s="23" t="s">
        <v>1971</v>
      </c>
      <c r="I865" s="12" t="s">
        <v>525</v>
      </c>
      <c r="J865" s="239">
        <v>1294</v>
      </c>
      <c r="K865" s="167">
        <v>30</v>
      </c>
      <c r="L865" s="167">
        <v>4200</v>
      </c>
      <c r="M865" s="167">
        <v>1</v>
      </c>
      <c r="N865" s="167">
        <v>1</v>
      </c>
      <c r="O865" s="167">
        <v>1</v>
      </c>
      <c r="P865" s="167">
        <v>0</v>
      </c>
      <c r="Q865" s="167">
        <v>1</v>
      </c>
      <c r="R865" s="167">
        <v>3</v>
      </c>
      <c r="S865" s="167" t="s">
        <v>278</v>
      </c>
      <c r="T865" s="167">
        <v>1</v>
      </c>
      <c r="U865" s="7" t="s">
        <v>169</v>
      </c>
      <c r="V865" s="7" t="s">
        <v>169</v>
      </c>
      <c r="W865" s="47" t="str">
        <f t="shared" ca="1" si="54"/>
        <v/>
      </c>
      <c r="X865" s="47">
        <f ca="1">VLOOKUP($C865,OFFSET(quests!$A$1,0,0,COUNTA(quests!$A:$A),MATCH(X$2,quests!$1:$1,0)-MATCH($C$2,quests!$1:$1,0)+1),MATCH(X$2,quests!$1:$1,0)-MATCH($C$2,quests!$1:$1,0)+1,FALSE)</f>
        <v>0</v>
      </c>
      <c r="Y865" s="47">
        <f ca="1">VLOOKUP($C865,OFFSET(quests!$A$1,0,0,COUNTA(quests!$A:$A),MATCH(Y$2,quests!$1:$1,0)-MATCH($C$2,quests!$1:$1,0)+1),MATCH(Y$2,quests!$1:$1,0)-MATCH($C$2,quests!$1:$1,0)+1,FALSE)</f>
        <v>0</v>
      </c>
      <c r="Z865" s="47">
        <f ca="1">VLOOKUP($C865,OFFSET(quests!$A$1,0,0,COUNTA(quests!$A:$A),MATCH(Z$2,quests!$1:$1,0)-MATCH($C$2,quests!$1:$1,0)+1),MATCH(Z$2,quests!$1:$1,0)-MATCH($C$2,quests!$1:$1,0)+1,FALSE)</f>
        <v>0</v>
      </c>
      <c r="AA865" s="47">
        <f ca="1">VLOOKUP($C865,OFFSET(quests!$A$1,0,0,COUNTA(quests!$A:$A),MATCH(AA$2,quests!$1:$1,0)-MATCH($C$2,quests!$1:$1,0)+1),MATCH(AA$2,quests!$1:$1,0)-MATCH($C$2,quests!$1:$1,0)+1,FALSE)</f>
        <v>0</v>
      </c>
      <c r="AB865" s="7" t="s">
        <v>56</v>
      </c>
      <c r="AC865" s="7">
        <v>2</v>
      </c>
      <c r="AD865" s="7">
        <v>6</v>
      </c>
      <c r="AE865" s="7" t="s">
        <v>519</v>
      </c>
      <c r="AF865" s="167">
        <v>1001</v>
      </c>
      <c r="AG865" s="167">
        <v>1001</v>
      </c>
      <c r="AH865" s="7">
        <v>0</v>
      </c>
      <c r="AI865" s="7">
        <v>-1</v>
      </c>
      <c r="AJ865" s="7">
        <v>-1</v>
      </c>
      <c r="AK865" s="7" t="s">
        <v>1065</v>
      </c>
      <c r="AL865" s="12" t="s">
        <v>1269</v>
      </c>
      <c r="AM865" s="12" t="s">
        <v>2072</v>
      </c>
    </row>
    <row r="866" spans="1:39" s="45" customFormat="1" ht="21" customHeight="1" x14ac:dyDescent="0.15">
      <c r="A866" s="42" t="str">
        <f t="shared" ref="A866:A867" si="60">C866&amp;"_"&amp;F866</f>
        <v>47006_2</v>
      </c>
      <c r="B866" s="23">
        <v>3</v>
      </c>
      <c r="C866" s="31">
        <v>47006</v>
      </c>
      <c r="D866" s="47" t="str">
        <f ca="1">VLOOKUP($C866,OFFSET(quests!$A$1,0,0,COUNTA(quests!$A:$A),MATCH(D$1,quests!$1:$1,0)-MATCH($C$2,quests!$1:$1,0)+1),MATCH(D$1,quests!$1:$1,0)-MATCH($C$2,quests!$1:$1,0)+1,FALSE)</f>
        <v>酉の初めはたまごから</v>
      </c>
      <c r="E866" s="48" t="str">
        <f ca="1">VLOOKUP($C866,OFFSET(quests!$A$1,0,0,COUNTA(quests!$A:$A),MATCH(E$2,quests!$1:$1,0)-MATCH($C$2,quests!$1:$1,0)+1),MATCH(E$2,quests!$1:$1,0)-MATCH($C$2,quests!$1:$1,0)+1,FALSE)</f>
        <v>季節イベント</v>
      </c>
      <c r="F866" s="7">
        <v>2</v>
      </c>
      <c r="G866" s="7" t="s">
        <v>382</v>
      </c>
      <c r="H866" s="23" t="s">
        <v>1972</v>
      </c>
      <c r="I866" s="12" t="s">
        <v>61</v>
      </c>
      <c r="J866" s="239">
        <v>1294</v>
      </c>
      <c r="K866" s="167">
        <v>35</v>
      </c>
      <c r="L866" s="167">
        <v>4500</v>
      </c>
      <c r="M866" s="167">
        <v>1</v>
      </c>
      <c r="N866" s="167">
        <v>1</v>
      </c>
      <c r="O866" s="167">
        <v>1</v>
      </c>
      <c r="P866" s="167">
        <v>0</v>
      </c>
      <c r="Q866" s="167">
        <v>1</v>
      </c>
      <c r="R866" s="167">
        <v>3</v>
      </c>
      <c r="S866" s="167" t="s">
        <v>278</v>
      </c>
      <c r="T866" s="167">
        <v>1</v>
      </c>
      <c r="U866" s="7" t="s">
        <v>169</v>
      </c>
      <c r="V866" s="7" t="s">
        <v>169</v>
      </c>
      <c r="W866" s="47" t="str">
        <f t="shared" ca="1" si="54"/>
        <v/>
      </c>
      <c r="X866" s="47">
        <f ca="1">VLOOKUP($C866,OFFSET(quests!$A$1,0,0,COUNTA(quests!$A:$A),MATCH(X$2,quests!$1:$1,0)-MATCH($C$2,quests!$1:$1,0)+1),MATCH(X$2,quests!$1:$1,0)-MATCH($C$2,quests!$1:$1,0)+1,FALSE)</f>
        <v>0</v>
      </c>
      <c r="Y866" s="47">
        <f ca="1">VLOOKUP($C866,OFFSET(quests!$A$1,0,0,COUNTA(quests!$A:$A),MATCH(Y$2,quests!$1:$1,0)-MATCH($C$2,quests!$1:$1,0)+1),MATCH(Y$2,quests!$1:$1,0)-MATCH($C$2,quests!$1:$1,0)+1,FALSE)</f>
        <v>0</v>
      </c>
      <c r="Z866" s="47">
        <f ca="1">VLOOKUP($C866,OFFSET(quests!$A$1,0,0,COUNTA(quests!$A:$A),MATCH(Z$2,quests!$1:$1,0)-MATCH($C$2,quests!$1:$1,0)+1),MATCH(Z$2,quests!$1:$1,0)-MATCH($C$2,quests!$1:$1,0)+1,FALSE)</f>
        <v>0</v>
      </c>
      <c r="AA866" s="47">
        <f ca="1">VLOOKUP($C866,OFFSET(quests!$A$1,0,0,COUNTA(quests!$A:$A),MATCH(AA$2,quests!$1:$1,0)-MATCH($C$2,quests!$1:$1,0)+1),MATCH(AA$2,quests!$1:$1,0)-MATCH($C$2,quests!$1:$1,0)+1,FALSE)</f>
        <v>0</v>
      </c>
      <c r="AB866" s="7" t="s">
        <v>56</v>
      </c>
      <c r="AC866" s="7">
        <v>2</v>
      </c>
      <c r="AD866" s="7">
        <v>6</v>
      </c>
      <c r="AE866" s="7" t="s">
        <v>519</v>
      </c>
      <c r="AF866" s="167">
        <v>1001</v>
      </c>
      <c r="AG866" s="167">
        <v>1001</v>
      </c>
      <c r="AH866" s="7">
        <v>0</v>
      </c>
      <c r="AI866" s="7">
        <v>-1</v>
      </c>
      <c r="AJ866" s="7">
        <v>-1</v>
      </c>
      <c r="AK866" s="7" t="s">
        <v>1065</v>
      </c>
      <c r="AL866" s="12" t="s">
        <v>1269</v>
      </c>
      <c r="AM866" s="12" t="s">
        <v>2072</v>
      </c>
    </row>
    <row r="867" spans="1:39" s="45" customFormat="1" ht="21" customHeight="1" x14ac:dyDescent="0.15">
      <c r="A867" s="42" t="str">
        <f t="shared" si="60"/>
        <v>47007_1</v>
      </c>
      <c r="B867" s="23">
        <v>3</v>
      </c>
      <c r="C867" s="31">
        <v>47007</v>
      </c>
      <c r="D867" s="47" t="str">
        <f ca="1">VLOOKUP($C867,OFFSET(quests!$A$1,0,0,COUNTA(quests!$A:$A),MATCH(D$1,quests!$1:$1,0)-MATCH($C$2,quests!$1:$1,0)+1),MATCH(D$1,quests!$1:$1,0)-MATCH($C$2,quests!$1:$1,0)+1,FALSE)</f>
        <v>ツンデレ少女の恋心</v>
      </c>
      <c r="E867" s="48" t="str">
        <f ca="1">VLOOKUP($C867,OFFSET(quests!$A$1,0,0,COUNTA(quests!$A:$A),MATCH(E$2,quests!$1:$1,0)-MATCH($C$2,quests!$1:$1,0)+1),MATCH(E$2,quests!$1:$1,0)-MATCH($C$2,quests!$1:$1,0)+1,FALSE)</f>
        <v>季節イベント</v>
      </c>
      <c r="F867" s="7">
        <v>1</v>
      </c>
      <c r="G867" s="7" t="s">
        <v>382</v>
      </c>
      <c r="H867" s="23" t="s">
        <v>2059</v>
      </c>
      <c r="I867" s="12" t="s">
        <v>525</v>
      </c>
      <c r="J867" s="65">
        <v>1351</v>
      </c>
      <c r="K867" s="167">
        <v>15</v>
      </c>
      <c r="L867" s="167">
        <v>2000</v>
      </c>
      <c r="M867" s="167">
        <v>1</v>
      </c>
      <c r="N867" s="167">
        <v>1</v>
      </c>
      <c r="O867" s="167">
        <v>0</v>
      </c>
      <c r="P867" s="167">
        <v>1</v>
      </c>
      <c r="Q867" s="167">
        <v>1</v>
      </c>
      <c r="R867" s="167">
        <v>3</v>
      </c>
      <c r="S867" s="167" t="s">
        <v>811</v>
      </c>
      <c r="T867" s="167">
        <v>0</v>
      </c>
      <c r="U867" s="7" t="s">
        <v>169</v>
      </c>
      <c r="V867" s="7" t="s">
        <v>169</v>
      </c>
      <c r="W867" s="47" t="str">
        <f t="shared" ca="1" si="54"/>
        <v/>
      </c>
      <c r="X867" s="47">
        <f ca="1">VLOOKUP($C867,OFFSET(quests!$A$1,0,0,COUNTA(quests!$A:$A),MATCH(X$2,quests!$1:$1,0)-MATCH($C$2,quests!$1:$1,0)+1),MATCH(X$2,quests!$1:$1,0)-MATCH($C$2,quests!$1:$1,0)+1,FALSE)</f>
        <v>0</v>
      </c>
      <c r="Y867" s="47">
        <f ca="1">VLOOKUP($C867,OFFSET(quests!$A$1,0,0,COUNTA(quests!$A:$A),MATCH(Y$2,quests!$1:$1,0)-MATCH($C$2,quests!$1:$1,0)+1),MATCH(Y$2,quests!$1:$1,0)-MATCH($C$2,quests!$1:$1,0)+1,FALSE)</f>
        <v>0</v>
      </c>
      <c r="Z867" s="47">
        <f ca="1">VLOOKUP($C867,OFFSET(quests!$A$1,0,0,COUNTA(quests!$A:$A),MATCH(Z$2,quests!$1:$1,0)-MATCH($C$2,quests!$1:$1,0)+1),MATCH(Z$2,quests!$1:$1,0)-MATCH($C$2,quests!$1:$1,0)+1,FALSE)</f>
        <v>0</v>
      </c>
      <c r="AA867" s="47">
        <f ca="1">VLOOKUP($C867,OFFSET(quests!$A$1,0,0,COUNTA(quests!$A:$A),MATCH(AA$2,quests!$1:$1,0)-MATCH($C$2,quests!$1:$1,0)+1),MATCH(AA$2,quests!$1:$1,0)-MATCH($C$2,quests!$1:$1,0)+1,FALSE)</f>
        <v>0</v>
      </c>
      <c r="AB867" s="7" t="s">
        <v>56</v>
      </c>
      <c r="AC867" s="167">
        <v>969</v>
      </c>
      <c r="AD867" s="7">
        <v>6</v>
      </c>
      <c r="AE867" s="7" t="s">
        <v>519</v>
      </c>
      <c r="AF867" s="33">
        <v>40</v>
      </c>
      <c r="AG867" s="33">
        <v>40</v>
      </c>
      <c r="AH867" s="7">
        <v>0</v>
      </c>
      <c r="AI867" s="7">
        <v>-1</v>
      </c>
      <c r="AJ867" s="7">
        <v>-1</v>
      </c>
      <c r="AK867" s="7" t="s">
        <v>1065</v>
      </c>
      <c r="AL867" s="12" t="s">
        <v>1269</v>
      </c>
      <c r="AM867" s="12" t="s">
        <v>2072</v>
      </c>
    </row>
    <row r="868" spans="1:39" s="45" customFormat="1" ht="21" customHeight="1" x14ac:dyDescent="0.15">
      <c r="A868" s="42" t="str">
        <f t="shared" ref="A868:A869" si="61">C868&amp;"_"&amp;F868</f>
        <v>47007_2</v>
      </c>
      <c r="B868" s="23">
        <v>3</v>
      </c>
      <c r="C868" s="31">
        <v>47007</v>
      </c>
      <c r="D868" s="47" t="str">
        <f ca="1">VLOOKUP($C868,OFFSET(quests!$A$1,0,0,COUNTA(quests!$A:$A),MATCH(D$1,quests!$1:$1,0)-MATCH($C$2,quests!$1:$1,0)+1),MATCH(D$1,quests!$1:$1,0)-MATCH($C$2,quests!$1:$1,0)+1,FALSE)</f>
        <v>ツンデレ少女の恋心</v>
      </c>
      <c r="E868" s="48" t="str">
        <f ca="1">VLOOKUP($C868,OFFSET(quests!$A$1,0,0,COUNTA(quests!$A:$A),MATCH(E$2,quests!$1:$1,0)-MATCH($C$2,quests!$1:$1,0)+1),MATCH(E$2,quests!$1:$1,0)-MATCH($C$2,quests!$1:$1,0)+1,FALSE)</f>
        <v>季節イベント</v>
      </c>
      <c r="F868" s="7">
        <v>2</v>
      </c>
      <c r="G868" s="7" t="s">
        <v>382</v>
      </c>
      <c r="H868" s="23" t="s">
        <v>2060</v>
      </c>
      <c r="I868" s="12" t="s">
        <v>61</v>
      </c>
      <c r="J868" s="65">
        <v>1351</v>
      </c>
      <c r="K868" s="167">
        <v>30</v>
      </c>
      <c r="L868" s="167">
        <v>4500</v>
      </c>
      <c r="M868" s="167">
        <v>1</v>
      </c>
      <c r="N868" s="167">
        <v>1</v>
      </c>
      <c r="O868" s="167">
        <v>0</v>
      </c>
      <c r="P868" s="167">
        <v>1</v>
      </c>
      <c r="Q868" s="167">
        <v>1</v>
      </c>
      <c r="R868" s="167">
        <v>3</v>
      </c>
      <c r="S868" s="167" t="s">
        <v>278</v>
      </c>
      <c r="T868" s="167">
        <v>1</v>
      </c>
      <c r="U868" s="7" t="s">
        <v>169</v>
      </c>
      <c r="V868" s="7" t="s">
        <v>169</v>
      </c>
      <c r="W868" s="47" t="str">
        <f t="shared" ca="1" si="54"/>
        <v/>
      </c>
      <c r="X868" s="47">
        <f ca="1">VLOOKUP($C868,OFFSET(quests!$A$1,0,0,COUNTA(quests!$A:$A),MATCH(X$2,quests!$1:$1,0)-MATCH($C$2,quests!$1:$1,0)+1),MATCH(X$2,quests!$1:$1,0)-MATCH($C$2,quests!$1:$1,0)+1,FALSE)</f>
        <v>0</v>
      </c>
      <c r="Y868" s="47">
        <f ca="1">VLOOKUP($C868,OFFSET(quests!$A$1,0,0,COUNTA(quests!$A:$A),MATCH(Y$2,quests!$1:$1,0)-MATCH($C$2,quests!$1:$1,0)+1),MATCH(Y$2,quests!$1:$1,0)-MATCH($C$2,quests!$1:$1,0)+1,FALSE)</f>
        <v>0</v>
      </c>
      <c r="Z868" s="47">
        <f ca="1">VLOOKUP($C868,OFFSET(quests!$A$1,0,0,COUNTA(quests!$A:$A),MATCH(Z$2,quests!$1:$1,0)-MATCH($C$2,quests!$1:$1,0)+1),MATCH(Z$2,quests!$1:$1,0)-MATCH($C$2,quests!$1:$1,0)+1,FALSE)</f>
        <v>0</v>
      </c>
      <c r="AA868" s="47">
        <f ca="1">VLOOKUP($C868,OFFSET(quests!$A$1,0,0,COUNTA(quests!$A:$A),MATCH(AA$2,quests!$1:$1,0)-MATCH($C$2,quests!$1:$1,0)+1),MATCH(AA$2,quests!$1:$1,0)-MATCH($C$2,quests!$1:$1,0)+1,FALSE)</f>
        <v>0</v>
      </c>
      <c r="AB868" s="7" t="s">
        <v>56</v>
      </c>
      <c r="AC868" s="167">
        <v>969</v>
      </c>
      <c r="AD868" s="7">
        <v>6</v>
      </c>
      <c r="AE868" s="7" t="s">
        <v>519</v>
      </c>
      <c r="AF868" s="33">
        <v>40</v>
      </c>
      <c r="AG868" s="33">
        <v>40</v>
      </c>
      <c r="AH868" s="7">
        <v>0</v>
      </c>
      <c r="AI868" s="7">
        <v>-1</v>
      </c>
      <c r="AJ868" s="7">
        <v>-1</v>
      </c>
      <c r="AK868" s="7" t="s">
        <v>1065</v>
      </c>
      <c r="AL868" s="12" t="s">
        <v>1269</v>
      </c>
      <c r="AM868" s="12" t="s">
        <v>2072</v>
      </c>
    </row>
    <row r="869" spans="1:39" s="45" customFormat="1" ht="21" customHeight="1" x14ac:dyDescent="0.15">
      <c r="A869" s="42" t="str">
        <f t="shared" si="61"/>
        <v>47008_1</v>
      </c>
      <c r="B869" s="23">
        <v>3</v>
      </c>
      <c r="C869" s="31">
        <v>47008</v>
      </c>
      <c r="D869" s="47" t="str">
        <f ca="1">VLOOKUP($C869,OFFSET(quests!$A$1,0,0,COUNTA(quests!$A:$A),MATCH(D$1,quests!$1:$1,0)-MATCH($C$2,quests!$1:$1,0)+1),MATCH(D$1,quests!$1:$1,0)-MATCH($C$2,quests!$1:$1,0)+1,FALSE)</f>
        <v>ふんわり少女の恋心</v>
      </c>
      <c r="E869" s="48" t="str">
        <f ca="1">VLOOKUP($C869,OFFSET(quests!$A$1,0,0,COUNTA(quests!$A:$A),MATCH(E$2,quests!$1:$1,0)-MATCH($C$2,quests!$1:$1,0)+1),MATCH(E$2,quests!$1:$1,0)-MATCH($C$2,quests!$1:$1,0)+1,FALSE)</f>
        <v>季節イベント</v>
      </c>
      <c r="F869" s="7">
        <v>1</v>
      </c>
      <c r="G869" s="7" t="s">
        <v>382</v>
      </c>
      <c r="H869" s="23" t="s">
        <v>2062</v>
      </c>
      <c r="I869" s="12" t="s">
        <v>525</v>
      </c>
      <c r="J869" s="65">
        <v>1364</v>
      </c>
      <c r="K869" s="167">
        <v>15</v>
      </c>
      <c r="L869" s="167">
        <v>2000</v>
      </c>
      <c r="M869" s="167">
        <v>1</v>
      </c>
      <c r="N869" s="167">
        <v>1</v>
      </c>
      <c r="O869" s="167">
        <v>1</v>
      </c>
      <c r="P869" s="167">
        <v>0</v>
      </c>
      <c r="Q869" s="167">
        <v>1</v>
      </c>
      <c r="R869" s="167">
        <v>3</v>
      </c>
      <c r="S869" s="167" t="s">
        <v>811</v>
      </c>
      <c r="T869" s="167">
        <v>0</v>
      </c>
      <c r="U869" s="7" t="s">
        <v>169</v>
      </c>
      <c r="V869" s="7" t="s">
        <v>169</v>
      </c>
      <c r="W869" s="47" t="str">
        <f t="shared" ca="1" si="54"/>
        <v/>
      </c>
      <c r="X869" s="47">
        <f ca="1">VLOOKUP($C869,OFFSET(quests!$A$1,0,0,COUNTA(quests!$A:$A),MATCH(X$2,quests!$1:$1,0)-MATCH($C$2,quests!$1:$1,0)+1),MATCH(X$2,quests!$1:$1,0)-MATCH($C$2,quests!$1:$1,0)+1,FALSE)</f>
        <v>0</v>
      </c>
      <c r="Y869" s="47">
        <f ca="1">VLOOKUP($C869,OFFSET(quests!$A$1,0,0,COUNTA(quests!$A:$A),MATCH(Y$2,quests!$1:$1,0)-MATCH($C$2,quests!$1:$1,0)+1),MATCH(Y$2,quests!$1:$1,0)-MATCH($C$2,quests!$1:$1,0)+1,FALSE)</f>
        <v>0</v>
      </c>
      <c r="Z869" s="47">
        <f ca="1">VLOOKUP($C869,OFFSET(quests!$A$1,0,0,COUNTA(quests!$A:$A),MATCH(Z$2,quests!$1:$1,0)-MATCH($C$2,quests!$1:$1,0)+1),MATCH(Z$2,quests!$1:$1,0)-MATCH($C$2,quests!$1:$1,0)+1,FALSE)</f>
        <v>0</v>
      </c>
      <c r="AA869" s="47">
        <f ca="1">VLOOKUP($C869,OFFSET(quests!$A$1,0,0,COUNTA(quests!$A:$A),MATCH(AA$2,quests!$1:$1,0)-MATCH($C$2,quests!$1:$1,0)+1),MATCH(AA$2,quests!$1:$1,0)-MATCH($C$2,quests!$1:$1,0)+1,FALSE)</f>
        <v>0</v>
      </c>
      <c r="AB869" s="7" t="s">
        <v>56</v>
      </c>
      <c r="AC869" s="167">
        <v>969</v>
      </c>
      <c r="AD869" s="7">
        <v>6</v>
      </c>
      <c r="AE869" s="7" t="s">
        <v>519</v>
      </c>
      <c r="AF869" s="33">
        <v>40</v>
      </c>
      <c r="AG869" s="33">
        <v>40</v>
      </c>
      <c r="AH869" s="7">
        <v>0</v>
      </c>
      <c r="AI869" s="7">
        <v>-1</v>
      </c>
      <c r="AJ869" s="7">
        <v>-1</v>
      </c>
      <c r="AK869" s="7" t="s">
        <v>1065</v>
      </c>
      <c r="AL869" s="12" t="s">
        <v>1269</v>
      </c>
      <c r="AM869" s="12" t="s">
        <v>2072</v>
      </c>
    </row>
    <row r="870" spans="1:39" s="45" customFormat="1" ht="21" customHeight="1" x14ac:dyDescent="0.15">
      <c r="A870" s="42" t="str">
        <f t="shared" ref="A870:A872" si="62">C870&amp;"_"&amp;F870</f>
        <v>47008_2</v>
      </c>
      <c r="B870" s="23">
        <v>3</v>
      </c>
      <c r="C870" s="31">
        <v>47008</v>
      </c>
      <c r="D870" s="47" t="str">
        <f ca="1">VLOOKUP($C870,OFFSET(quests!$A$1,0,0,COUNTA(quests!$A:$A),MATCH(D$1,quests!$1:$1,0)-MATCH($C$2,quests!$1:$1,0)+1),MATCH(D$1,quests!$1:$1,0)-MATCH($C$2,quests!$1:$1,0)+1,FALSE)</f>
        <v>ふんわり少女の恋心</v>
      </c>
      <c r="E870" s="48" t="str">
        <f ca="1">VLOOKUP($C870,OFFSET(quests!$A$1,0,0,COUNTA(quests!$A:$A),MATCH(E$2,quests!$1:$1,0)-MATCH($C$2,quests!$1:$1,0)+1),MATCH(E$2,quests!$1:$1,0)-MATCH($C$2,quests!$1:$1,0)+1,FALSE)</f>
        <v>季節イベント</v>
      </c>
      <c r="F870" s="7">
        <v>2</v>
      </c>
      <c r="G870" s="7" t="s">
        <v>382</v>
      </c>
      <c r="H870" s="23" t="s">
        <v>2063</v>
      </c>
      <c r="I870" s="12" t="s">
        <v>61</v>
      </c>
      <c r="J870" s="65">
        <v>1364</v>
      </c>
      <c r="K870" s="167">
        <v>30</v>
      </c>
      <c r="L870" s="167">
        <v>4500</v>
      </c>
      <c r="M870" s="167">
        <v>1</v>
      </c>
      <c r="N870" s="167">
        <v>1</v>
      </c>
      <c r="O870" s="167">
        <v>1</v>
      </c>
      <c r="P870" s="167">
        <v>0</v>
      </c>
      <c r="Q870" s="167">
        <v>1</v>
      </c>
      <c r="R870" s="167">
        <v>3</v>
      </c>
      <c r="S870" s="167" t="s">
        <v>278</v>
      </c>
      <c r="T870" s="167">
        <v>1</v>
      </c>
      <c r="U870" s="7" t="s">
        <v>169</v>
      </c>
      <c r="V870" s="7" t="s">
        <v>169</v>
      </c>
      <c r="W870" s="47" t="str">
        <f t="shared" ca="1" si="54"/>
        <v/>
      </c>
      <c r="X870" s="47">
        <f ca="1">VLOOKUP($C870,OFFSET(quests!$A$1,0,0,COUNTA(quests!$A:$A),MATCH(X$2,quests!$1:$1,0)-MATCH($C$2,quests!$1:$1,0)+1),MATCH(X$2,quests!$1:$1,0)-MATCH($C$2,quests!$1:$1,0)+1,FALSE)</f>
        <v>0</v>
      </c>
      <c r="Y870" s="47">
        <f ca="1">VLOOKUP($C870,OFFSET(quests!$A$1,0,0,COUNTA(quests!$A:$A),MATCH(Y$2,quests!$1:$1,0)-MATCH($C$2,quests!$1:$1,0)+1),MATCH(Y$2,quests!$1:$1,0)-MATCH($C$2,quests!$1:$1,0)+1,FALSE)</f>
        <v>0</v>
      </c>
      <c r="Z870" s="47">
        <f ca="1">VLOOKUP($C870,OFFSET(quests!$A$1,0,0,COUNTA(quests!$A:$A),MATCH(Z$2,quests!$1:$1,0)-MATCH($C$2,quests!$1:$1,0)+1),MATCH(Z$2,quests!$1:$1,0)-MATCH($C$2,quests!$1:$1,0)+1,FALSE)</f>
        <v>0</v>
      </c>
      <c r="AA870" s="47">
        <f ca="1">VLOOKUP($C870,OFFSET(quests!$A$1,0,0,COUNTA(quests!$A:$A),MATCH(AA$2,quests!$1:$1,0)-MATCH($C$2,quests!$1:$1,0)+1),MATCH(AA$2,quests!$1:$1,0)-MATCH($C$2,quests!$1:$1,0)+1,FALSE)</f>
        <v>0</v>
      </c>
      <c r="AB870" s="7" t="s">
        <v>56</v>
      </c>
      <c r="AC870" s="167">
        <v>969</v>
      </c>
      <c r="AD870" s="7">
        <v>6</v>
      </c>
      <c r="AE870" s="7" t="s">
        <v>519</v>
      </c>
      <c r="AF870" s="33">
        <v>40</v>
      </c>
      <c r="AG870" s="33">
        <v>40</v>
      </c>
      <c r="AH870" s="7">
        <v>0</v>
      </c>
      <c r="AI870" s="7">
        <v>-1</v>
      </c>
      <c r="AJ870" s="7">
        <v>-1</v>
      </c>
      <c r="AK870" s="7" t="s">
        <v>1065</v>
      </c>
      <c r="AL870" s="12" t="s">
        <v>1269</v>
      </c>
      <c r="AM870" s="12" t="s">
        <v>2072</v>
      </c>
    </row>
    <row r="871" spans="1:39" ht="21" customHeight="1" x14ac:dyDescent="0.15">
      <c r="A871" s="42" t="str">
        <f t="shared" si="62"/>
        <v>47009_1</v>
      </c>
      <c r="B871" s="23">
        <v>3</v>
      </c>
      <c r="C871" s="31">
        <v>47009</v>
      </c>
      <c r="D871" s="47" t="str">
        <f ca="1">VLOOKUP($C871,OFFSET(quests!$A$1,0,0,COUNTA(quests!$A:$A),MATCH(D$1,quests!$1:$1,0)-MATCH($C$2,quests!$1:$1,0)+1),MATCH(D$1,quests!$1:$1,0)-MATCH($C$2,quests!$1:$1,0)+1,FALSE)</f>
        <v>夏☆襲来！</v>
      </c>
      <c r="E871" s="48" t="str">
        <f ca="1">VLOOKUP($C871,OFFSET(quests!$A$1,0,0,COUNTA(quests!$A:$A),MATCH(E$2,quests!$1:$1,0)-MATCH($C$2,quests!$1:$1,0)+1),MATCH(E$2,quests!$1:$1,0)-MATCH($C$2,quests!$1:$1,0)+1,FALSE)</f>
        <v>（復刻）季節イベント</v>
      </c>
      <c r="F871" s="7">
        <v>1</v>
      </c>
      <c r="G871" s="7" t="s">
        <v>382</v>
      </c>
      <c r="H871" s="12" t="s">
        <v>1410</v>
      </c>
      <c r="I871" s="12" t="s">
        <v>61</v>
      </c>
      <c r="J871" s="239">
        <v>1053</v>
      </c>
      <c r="K871" s="167">
        <v>35</v>
      </c>
      <c r="L871" s="167">
        <v>4200</v>
      </c>
      <c r="M871" s="167">
        <v>1</v>
      </c>
      <c r="N871" s="167">
        <v>1</v>
      </c>
      <c r="O871" s="167">
        <v>1</v>
      </c>
      <c r="P871" s="167">
        <v>1</v>
      </c>
      <c r="Q871" s="167">
        <v>1</v>
      </c>
      <c r="R871" s="167">
        <v>3</v>
      </c>
      <c r="S871" s="167" t="s">
        <v>385</v>
      </c>
      <c r="T871" s="167">
        <v>1</v>
      </c>
      <c r="U871" s="7" t="s">
        <v>169</v>
      </c>
      <c r="V871" s="7" t="s">
        <v>169</v>
      </c>
      <c r="W871" s="47" t="str">
        <f t="shared" ca="1" si="54"/>
        <v/>
      </c>
      <c r="X871" s="47">
        <f ca="1">VLOOKUP($C871,OFFSET(quests!$A$1,0,0,COUNTA(quests!$A:$A),MATCH(X$2,quests!$1:$1,0)-MATCH($C$2,quests!$1:$1,0)+1),MATCH(X$2,quests!$1:$1,0)-MATCH($C$2,quests!$1:$1,0)+1,FALSE)</f>
        <v>0</v>
      </c>
      <c r="Y871" s="47">
        <f ca="1">VLOOKUP($C871,OFFSET(quests!$A$1,0,0,COUNTA(quests!$A:$A),MATCH(Y$2,quests!$1:$1,0)-MATCH($C$2,quests!$1:$1,0)+1),MATCH(Y$2,quests!$1:$1,0)-MATCH($C$2,quests!$1:$1,0)+1,FALSE)</f>
        <v>0</v>
      </c>
      <c r="Z871" s="47">
        <f ca="1">VLOOKUP($C871,OFFSET(quests!$A$1,0,0,COUNTA(quests!$A:$A),MATCH(Z$2,quests!$1:$1,0)-MATCH($C$2,quests!$1:$1,0)+1),MATCH(Z$2,quests!$1:$1,0)-MATCH($C$2,quests!$1:$1,0)+1,FALSE)</f>
        <v>0</v>
      </c>
      <c r="AA871" s="47">
        <f ca="1">VLOOKUP($C871,OFFSET(quests!$A$1,0,0,COUNTA(quests!$A:$A),MATCH(AA$2,quests!$1:$1,0)-MATCH($C$2,quests!$1:$1,0)+1),MATCH(AA$2,quests!$1:$1,0)-MATCH($C$2,quests!$1:$1,0)+1,FALSE)</f>
        <v>0</v>
      </c>
      <c r="AB871" s="7" t="s">
        <v>56</v>
      </c>
      <c r="AC871" s="7">
        <v>5</v>
      </c>
      <c r="AD871" s="7">
        <v>6</v>
      </c>
      <c r="AE871" s="7" t="s">
        <v>519</v>
      </c>
      <c r="AF871" s="7">
        <v>40</v>
      </c>
      <c r="AG871" s="7">
        <v>40</v>
      </c>
      <c r="AH871" s="7">
        <v>0</v>
      </c>
      <c r="AI871" s="7">
        <v>-1</v>
      </c>
      <c r="AJ871" s="7">
        <v>-1</v>
      </c>
      <c r="AK871" s="7" t="s">
        <v>1065</v>
      </c>
      <c r="AL871" s="12" t="s">
        <v>1388</v>
      </c>
      <c r="AM871" s="12" t="s">
        <v>2072</v>
      </c>
    </row>
    <row r="872" spans="1:39" s="45" customFormat="1" ht="21" customHeight="1" x14ac:dyDescent="0.15">
      <c r="A872" s="42" t="str">
        <f t="shared" si="62"/>
        <v>47009_2</v>
      </c>
      <c r="B872" s="23">
        <v>3</v>
      </c>
      <c r="C872" s="31">
        <v>47009</v>
      </c>
      <c r="D872" s="47" t="str">
        <f ca="1">VLOOKUP($C872,OFFSET(quests!$A$1,0,0,COUNTA(quests!$A:$A),MATCH(D$1,quests!$1:$1,0)-MATCH($C$2,quests!$1:$1,0)+1),MATCH(D$1,quests!$1:$1,0)-MATCH($C$2,quests!$1:$1,0)+1,FALSE)</f>
        <v>夏☆襲来！</v>
      </c>
      <c r="E872" s="48" t="str">
        <f ca="1">VLOOKUP($C872,OFFSET(quests!$A$1,0,0,COUNTA(quests!$A:$A),MATCH(E$2,quests!$1:$1,0)-MATCH($C$2,quests!$1:$1,0)+1),MATCH(E$2,quests!$1:$1,0)-MATCH($C$2,quests!$1:$1,0)+1,FALSE)</f>
        <v>（復刻）季節イベント</v>
      </c>
      <c r="F872" s="7">
        <v>2</v>
      </c>
      <c r="G872" s="7" t="s">
        <v>382</v>
      </c>
      <c r="H872" s="12" t="s">
        <v>1411</v>
      </c>
      <c r="I872" s="12" t="s">
        <v>61</v>
      </c>
      <c r="J872" s="239">
        <v>1054</v>
      </c>
      <c r="K872" s="167">
        <v>40</v>
      </c>
      <c r="L872" s="167">
        <v>4500</v>
      </c>
      <c r="M872" s="167">
        <v>1</v>
      </c>
      <c r="N872" s="167">
        <v>1</v>
      </c>
      <c r="O872" s="167">
        <v>1</v>
      </c>
      <c r="P872" s="167">
        <v>1</v>
      </c>
      <c r="Q872" s="167">
        <v>1</v>
      </c>
      <c r="R872" s="167">
        <v>3</v>
      </c>
      <c r="S872" s="167" t="s">
        <v>385</v>
      </c>
      <c r="T872" s="167">
        <v>1</v>
      </c>
      <c r="U872" s="7" t="s">
        <v>169</v>
      </c>
      <c r="V872" s="7" t="s">
        <v>169</v>
      </c>
      <c r="W872" s="47" t="str">
        <f t="shared" ca="1" si="54"/>
        <v/>
      </c>
      <c r="X872" s="47">
        <f ca="1">VLOOKUP($C872,OFFSET(quests!$A$1,0,0,COUNTA(quests!$A:$A),MATCH(X$2,quests!$1:$1,0)-MATCH($C$2,quests!$1:$1,0)+1),MATCH(X$2,quests!$1:$1,0)-MATCH($C$2,quests!$1:$1,0)+1,FALSE)</f>
        <v>0</v>
      </c>
      <c r="Y872" s="47">
        <f ca="1">VLOOKUP($C872,OFFSET(quests!$A$1,0,0,COUNTA(quests!$A:$A),MATCH(Y$2,quests!$1:$1,0)-MATCH($C$2,quests!$1:$1,0)+1),MATCH(Y$2,quests!$1:$1,0)-MATCH($C$2,quests!$1:$1,0)+1,FALSE)</f>
        <v>0</v>
      </c>
      <c r="Z872" s="47">
        <f ca="1">VLOOKUP($C872,OFFSET(quests!$A$1,0,0,COUNTA(quests!$A:$A),MATCH(Z$2,quests!$1:$1,0)-MATCH($C$2,quests!$1:$1,0)+1),MATCH(Z$2,quests!$1:$1,0)-MATCH($C$2,quests!$1:$1,0)+1,FALSE)</f>
        <v>0</v>
      </c>
      <c r="AA872" s="47">
        <f ca="1">VLOOKUP($C872,OFFSET(quests!$A$1,0,0,COUNTA(quests!$A:$A),MATCH(AA$2,quests!$1:$1,0)-MATCH($C$2,quests!$1:$1,0)+1),MATCH(AA$2,quests!$1:$1,0)-MATCH($C$2,quests!$1:$1,0)+1,FALSE)</f>
        <v>0</v>
      </c>
      <c r="AB872" s="7" t="s">
        <v>56</v>
      </c>
      <c r="AC872" s="7">
        <v>5</v>
      </c>
      <c r="AD872" s="7">
        <v>6</v>
      </c>
      <c r="AE872" s="7" t="s">
        <v>519</v>
      </c>
      <c r="AF872" s="7">
        <v>40</v>
      </c>
      <c r="AG872" s="7">
        <v>40</v>
      </c>
      <c r="AH872" s="7">
        <v>0</v>
      </c>
      <c r="AI872" s="7">
        <v>-1</v>
      </c>
      <c r="AJ872" s="7">
        <v>-1</v>
      </c>
      <c r="AK872" s="7" t="s">
        <v>1065</v>
      </c>
      <c r="AL872" s="12" t="s">
        <v>1388</v>
      </c>
      <c r="AM872" s="12" t="s">
        <v>2072</v>
      </c>
    </row>
    <row r="873" spans="1:39" ht="21" customHeight="1" x14ac:dyDescent="0.15">
      <c r="A873" s="42" t="str">
        <f t="shared" ref="A873:A874" si="63">C873&amp;"_"&amp;F873</f>
        <v>47010_1</v>
      </c>
      <c r="B873" s="23">
        <v>3</v>
      </c>
      <c r="C873" s="31">
        <v>47010</v>
      </c>
      <c r="D873" s="47" t="str">
        <f ca="1">VLOOKUP($C873,OFFSET(quests!$A$1,0,0,COUNTA(quests!$A:$A),MATCH(D$1,quests!$1:$1,0)-MATCH($C$2,quests!$1:$1,0)+1),MATCH(D$1,quests!$1:$1,0)-MATCH($C$2,quests!$1:$1,0)+1,FALSE)</f>
        <v>僕の愛よあの子にとどけ！</v>
      </c>
      <c r="E873" s="48" t="str">
        <f ca="1">VLOOKUP($C873,OFFSET(quests!$A$1,0,0,COUNTA(quests!$A:$A),MATCH(E$2,quests!$1:$1,0)-MATCH($C$2,quests!$1:$1,0)+1),MATCH(E$2,quests!$1:$1,0)-MATCH($C$2,quests!$1:$1,0)+1,FALSE)</f>
        <v>季節イベント</v>
      </c>
      <c r="F873" s="7">
        <v>1</v>
      </c>
      <c r="G873" s="7" t="s">
        <v>382</v>
      </c>
      <c r="H873" s="12" t="s">
        <v>2113</v>
      </c>
      <c r="I873" s="12" t="s">
        <v>61</v>
      </c>
      <c r="J873" s="239">
        <v>1408</v>
      </c>
      <c r="K873" s="167">
        <v>20</v>
      </c>
      <c r="L873" s="167">
        <v>2000</v>
      </c>
      <c r="M873" s="167">
        <v>1</v>
      </c>
      <c r="N873" s="167">
        <v>1</v>
      </c>
      <c r="O873" s="167">
        <v>1</v>
      </c>
      <c r="P873" s="167">
        <v>1</v>
      </c>
      <c r="Q873" s="167">
        <v>1</v>
      </c>
      <c r="R873" s="167">
        <v>3</v>
      </c>
      <c r="S873" s="167" t="s">
        <v>2117</v>
      </c>
      <c r="T873" s="167">
        <v>703</v>
      </c>
      <c r="U873" s="7" t="s">
        <v>169</v>
      </c>
      <c r="V873" s="7" t="s">
        <v>169</v>
      </c>
      <c r="W873" s="47" t="str">
        <f t="shared" ca="1" si="54"/>
        <v/>
      </c>
      <c r="X873" s="47">
        <f ca="1">VLOOKUP($C873,OFFSET(quests!$A$1,0,0,COUNTA(quests!$A:$A),MATCH(X$2,quests!$1:$1,0)-MATCH($C$2,quests!$1:$1,0)+1),MATCH(X$2,quests!$1:$1,0)-MATCH($C$2,quests!$1:$1,0)+1,FALSE)</f>
        <v>0</v>
      </c>
      <c r="Y873" s="47">
        <f ca="1">VLOOKUP($C873,OFFSET(quests!$A$1,0,0,COUNTA(quests!$A:$A),MATCH(Y$2,quests!$1:$1,0)-MATCH($C$2,quests!$1:$1,0)+1),MATCH(Y$2,quests!$1:$1,0)-MATCH($C$2,quests!$1:$1,0)+1,FALSE)</f>
        <v>0</v>
      </c>
      <c r="Z873" s="47">
        <f ca="1">VLOOKUP($C873,OFFSET(quests!$A$1,0,0,COUNTA(quests!$A:$A),MATCH(Z$2,quests!$1:$1,0)-MATCH($C$2,quests!$1:$1,0)+1),MATCH(Z$2,quests!$1:$1,0)-MATCH($C$2,quests!$1:$1,0)+1,FALSE)</f>
        <v>0</v>
      </c>
      <c r="AA873" s="47">
        <f ca="1">VLOOKUP($C873,OFFSET(quests!$A$1,0,0,COUNTA(quests!$A:$A),MATCH(AA$2,quests!$1:$1,0)-MATCH($C$2,quests!$1:$1,0)+1),MATCH(AA$2,quests!$1:$1,0)-MATCH($C$2,quests!$1:$1,0)+1,FALSE)</f>
        <v>0</v>
      </c>
      <c r="AB873" s="7" t="s">
        <v>56</v>
      </c>
      <c r="AC873" s="7">
        <v>908</v>
      </c>
      <c r="AD873" s="7">
        <v>6</v>
      </c>
      <c r="AE873" s="7" t="s">
        <v>519</v>
      </c>
      <c r="AF873" s="7">
        <v>11</v>
      </c>
      <c r="AG873" s="7">
        <v>15</v>
      </c>
      <c r="AH873" s="7">
        <v>0</v>
      </c>
      <c r="AI873" s="7">
        <v>-1</v>
      </c>
      <c r="AJ873" s="7">
        <v>-1</v>
      </c>
      <c r="AK873" s="7" t="s">
        <v>1065</v>
      </c>
      <c r="AL873" s="12" t="s">
        <v>1388</v>
      </c>
      <c r="AM873" s="12" t="s">
        <v>2072</v>
      </c>
    </row>
    <row r="874" spans="1:39" s="45" customFormat="1" ht="21" customHeight="1" x14ac:dyDescent="0.15">
      <c r="A874" s="42" t="str">
        <f t="shared" si="63"/>
        <v>47010_2</v>
      </c>
      <c r="B874" s="23">
        <v>3</v>
      </c>
      <c r="C874" s="31">
        <v>47010</v>
      </c>
      <c r="D874" s="47" t="str">
        <f ca="1">VLOOKUP($C874,OFFSET(quests!$A$1,0,0,COUNTA(quests!$A:$A),MATCH(D$1,quests!$1:$1,0)-MATCH($C$2,quests!$1:$1,0)+1),MATCH(D$1,quests!$1:$1,0)-MATCH($C$2,quests!$1:$1,0)+1,FALSE)</f>
        <v>僕の愛よあの子にとどけ！</v>
      </c>
      <c r="E874" s="48" t="str">
        <f ca="1">VLOOKUP($C874,OFFSET(quests!$A$1,0,0,COUNTA(quests!$A:$A),MATCH(E$2,quests!$1:$1,0)-MATCH($C$2,quests!$1:$1,0)+1),MATCH(E$2,quests!$1:$1,0)-MATCH($C$2,quests!$1:$1,0)+1,FALSE)</f>
        <v>季節イベント</v>
      </c>
      <c r="F874" s="7">
        <v>2</v>
      </c>
      <c r="G874" s="7" t="s">
        <v>382</v>
      </c>
      <c r="H874" s="12" t="s">
        <v>2112</v>
      </c>
      <c r="I874" s="12" t="s">
        <v>61</v>
      </c>
      <c r="J874" s="239">
        <v>1408</v>
      </c>
      <c r="K874" s="167">
        <v>40</v>
      </c>
      <c r="L874" s="167">
        <v>4500</v>
      </c>
      <c r="M874" s="167">
        <v>1</v>
      </c>
      <c r="N874" s="167">
        <v>1</v>
      </c>
      <c r="O874" s="167">
        <v>1</v>
      </c>
      <c r="P874" s="167">
        <v>1</v>
      </c>
      <c r="Q874" s="167">
        <v>1</v>
      </c>
      <c r="R874" s="167">
        <v>3</v>
      </c>
      <c r="S874" s="167" t="s">
        <v>384</v>
      </c>
      <c r="T874" s="167">
        <v>1</v>
      </c>
      <c r="U874" s="7" t="s">
        <v>169</v>
      </c>
      <c r="V874" s="7" t="s">
        <v>169</v>
      </c>
      <c r="W874" s="47" t="str">
        <f t="shared" ca="1" si="54"/>
        <v/>
      </c>
      <c r="X874" s="47">
        <f ca="1">VLOOKUP($C874,OFFSET(quests!$A$1,0,0,COUNTA(quests!$A:$A),MATCH(X$2,quests!$1:$1,0)-MATCH($C$2,quests!$1:$1,0)+1),MATCH(X$2,quests!$1:$1,0)-MATCH($C$2,quests!$1:$1,0)+1,FALSE)</f>
        <v>0</v>
      </c>
      <c r="Y874" s="47">
        <f ca="1">VLOOKUP($C874,OFFSET(quests!$A$1,0,0,COUNTA(quests!$A:$A),MATCH(Y$2,quests!$1:$1,0)-MATCH($C$2,quests!$1:$1,0)+1),MATCH(Y$2,quests!$1:$1,0)-MATCH($C$2,quests!$1:$1,0)+1,FALSE)</f>
        <v>0</v>
      </c>
      <c r="Z874" s="47">
        <f ca="1">VLOOKUP($C874,OFFSET(quests!$A$1,0,0,COUNTA(quests!$A:$A),MATCH(Z$2,quests!$1:$1,0)-MATCH($C$2,quests!$1:$1,0)+1),MATCH(Z$2,quests!$1:$1,0)-MATCH($C$2,quests!$1:$1,0)+1,FALSE)</f>
        <v>0</v>
      </c>
      <c r="AA874" s="47">
        <f ca="1">VLOOKUP($C874,OFFSET(quests!$A$1,0,0,COUNTA(quests!$A:$A),MATCH(AA$2,quests!$1:$1,0)-MATCH($C$2,quests!$1:$1,0)+1),MATCH(AA$2,quests!$1:$1,0)-MATCH($C$2,quests!$1:$1,0)+1,FALSE)</f>
        <v>0</v>
      </c>
      <c r="AB874" s="7" t="s">
        <v>56</v>
      </c>
      <c r="AC874" s="7">
        <v>908</v>
      </c>
      <c r="AD874" s="7">
        <v>6</v>
      </c>
      <c r="AE874" s="7" t="s">
        <v>519</v>
      </c>
      <c r="AF874" s="7">
        <v>11</v>
      </c>
      <c r="AG874" s="7">
        <v>15</v>
      </c>
      <c r="AH874" s="7">
        <v>0</v>
      </c>
      <c r="AI874" s="7">
        <v>-1</v>
      </c>
      <c r="AJ874" s="7">
        <v>-1</v>
      </c>
      <c r="AK874" s="7" t="s">
        <v>1065</v>
      </c>
      <c r="AL874" s="12" t="s">
        <v>1388</v>
      </c>
      <c r="AM874" s="12" t="s">
        <v>2072</v>
      </c>
    </row>
    <row r="875" spans="1:39" ht="21" customHeight="1" x14ac:dyDescent="0.15">
      <c r="A875" s="42" t="str">
        <f t="shared" ref="A875:A877" si="64">C875&amp;"_"&amp;F875</f>
        <v>47011_1</v>
      </c>
      <c r="B875" s="23">
        <v>3</v>
      </c>
      <c r="C875" s="31">
        <v>47011</v>
      </c>
      <c r="D875" s="47" t="str">
        <f ca="1">VLOOKUP($C875,OFFSET(quests!$A$1,0,0,COUNTA(quests!$A:$A),MATCH(D$1,quests!$1:$1,0)-MATCH($C$2,quests!$1:$1,0)+1),MATCH(D$1,quests!$1:$1,0)-MATCH($C$2,quests!$1:$1,0)+1,FALSE)</f>
        <v>ツンデレ少女にお返しを！</v>
      </c>
      <c r="E875" s="48" t="str">
        <f ca="1">VLOOKUP($C875,OFFSET(quests!$A$1,0,0,COUNTA(quests!$A:$A),MATCH(E$2,quests!$1:$1,0)-MATCH($C$2,quests!$1:$1,0)+1),MATCH(E$2,quests!$1:$1,0)-MATCH($C$2,quests!$1:$1,0)+1,FALSE)</f>
        <v>季節イベント</v>
      </c>
      <c r="F875" s="7">
        <v>1</v>
      </c>
      <c r="G875" s="7" t="s">
        <v>382</v>
      </c>
      <c r="H875" s="12" t="s">
        <v>2111</v>
      </c>
      <c r="I875" s="12" t="s">
        <v>61</v>
      </c>
      <c r="J875" s="239">
        <v>1351</v>
      </c>
      <c r="K875" s="167">
        <v>1</v>
      </c>
      <c r="L875" s="167">
        <v>0</v>
      </c>
      <c r="M875" s="167">
        <v>1</v>
      </c>
      <c r="N875" s="167">
        <v>1</v>
      </c>
      <c r="O875" s="167">
        <v>1</v>
      </c>
      <c r="P875" s="167">
        <v>1</v>
      </c>
      <c r="Q875" s="167">
        <v>1</v>
      </c>
      <c r="R875" s="167">
        <v>3</v>
      </c>
      <c r="S875" s="167" t="s">
        <v>278</v>
      </c>
      <c r="T875" s="167">
        <v>1</v>
      </c>
      <c r="U875" s="7" t="s">
        <v>169</v>
      </c>
      <c r="V875" s="7" t="s">
        <v>169</v>
      </c>
      <c r="W875" s="47" t="str">
        <f t="shared" ca="1" si="54"/>
        <v/>
      </c>
      <c r="X875" s="47">
        <f ca="1">VLOOKUP($C875,OFFSET(quests!$A$1,0,0,COUNTA(quests!$A:$A),MATCH(X$2,quests!$1:$1,0)-MATCH($C$2,quests!$1:$1,0)+1),MATCH(X$2,quests!$1:$1,0)-MATCH($C$2,quests!$1:$1,0)+1,FALSE)</f>
        <v>0</v>
      </c>
      <c r="Y875" s="47">
        <f ca="1">VLOOKUP($C875,OFFSET(quests!$A$1,0,0,COUNTA(quests!$A:$A),MATCH(Y$2,quests!$1:$1,0)-MATCH($C$2,quests!$1:$1,0)+1),MATCH(Y$2,quests!$1:$1,0)-MATCH($C$2,quests!$1:$1,0)+1,FALSE)</f>
        <v>0</v>
      </c>
      <c r="Z875" s="47">
        <f ca="1">VLOOKUP($C875,OFFSET(quests!$A$1,0,0,COUNTA(quests!$A:$A),MATCH(Z$2,quests!$1:$1,0)-MATCH($C$2,quests!$1:$1,0)+1),MATCH(Z$2,quests!$1:$1,0)-MATCH($C$2,quests!$1:$1,0)+1,FALSE)</f>
        <v>0</v>
      </c>
      <c r="AA875" s="47">
        <f ca="1">VLOOKUP($C875,OFFSET(quests!$A$1,0,0,COUNTA(quests!$A:$A),MATCH(AA$2,quests!$1:$1,0)-MATCH($C$2,quests!$1:$1,0)+1),MATCH(AA$2,quests!$1:$1,0)-MATCH($C$2,quests!$1:$1,0)+1,FALSE)</f>
        <v>0</v>
      </c>
      <c r="AB875" s="7" t="s">
        <v>56</v>
      </c>
      <c r="AC875" s="7">
        <v>926</v>
      </c>
      <c r="AD875" s="7">
        <v>6</v>
      </c>
      <c r="AE875" s="7" t="s">
        <v>2114</v>
      </c>
      <c r="AF875" s="167">
        <v>17</v>
      </c>
      <c r="AG875" s="167">
        <v>17</v>
      </c>
      <c r="AH875" s="7">
        <v>0</v>
      </c>
      <c r="AI875" s="7">
        <v>0</v>
      </c>
      <c r="AJ875" s="7">
        <v>-1</v>
      </c>
      <c r="AK875" s="7" t="s">
        <v>1065</v>
      </c>
      <c r="AL875" s="12" t="s">
        <v>1388</v>
      </c>
      <c r="AM875" s="12" t="s">
        <v>2072</v>
      </c>
    </row>
    <row r="876" spans="1:39" s="45" customFormat="1" ht="21" customHeight="1" x14ac:dyDescent="0.15">
      <c r="A876" s="42" t="str">
        <f t="shared" si="64"/>
        <v>47012_1</v>
      </c>
      <c r="B876" s="23">
        <v>3</v>
      </c>
      <c r="C876" s="31">
        <v>47012</v>
      </c>
      <c r="D876" s="47" t="str">
        <f ca="1">VLOOKUP($C876,OFFSET(quests!$A$1,0,0,COUNTA(quests!$A:$A),MATCH(D$1,quests!$1:$1,0)-MATCH($C$2,quests!$1:$1,0)+1),MATCH(D$1,quests!$1:$1,0)-MATCH($C$2,quests!$1:$1,0)+1,FALSE)</f>
        <v>春呼ぶキミの行方</v>
      </c>
      <c r="E876" s="48" t="str">
        <f ca="1">VLOOKUP($C876,OFFSET(quests!$A$1,0,0,COUNTA(quests!$A:$A),MATCH(E$2,quests!$1:$1,0)-MATCH($C$2,quests!$1:$1,0)+1),MATCH(E$2,quests!$1:$1,0)-MATCH($C$2,quests!$1:$1,0)+1,FALSE)</f>
        <v>季節イベント</v>
      </c>
      <c r="F876" s="7">
        <v>1</v>
      </c>
      <c r="G876" s="7" t="s">
        <v>382</v>
      </c>
      <c r="H876" s="23" t="s">
        <v>2218</v>
      </c>
      <c r="I876" s="12" t="s">
        <v>525</v>
      </c>
      <c r="J876" s="65">
        <v>1498</v>
      </c>
      <c r="K876" s="167">
        <v>20</v>
      </c>
      <c r="L876" s="167">
        <v>2000</v>
      </c>
      <c r="M876" s="167">
        <v>1</v>
      </c>
      <c r="N876" s="167">
        <v>1</v>
      </c>
      <c r="O876" s="167">
        <v>1</v>
      </c>
      <c r="P876" s="167">
        <v>1</v>
      </c>
      <c r="Q876" s="167">
        <v>1</v>
      </c>
      <c r="R876" s="167">
        <v>3</v>
      </c>
      <c r="S876" s="167" t="s">
        <v>2241</v>
      </c>
      <c r="T876" s="167">
        <v>705</v>
      </c>
      <c r="U876" s="7" t="s">
        <v>169</v>
      </c>
      <c r="V876" s="7" t="s">
        <v>169</v>
      </c>
      <c r="W876" s="47" t="str">
        <f t="shared" ca="1" si="54"/>
        <v/>
      </c>
      <c r="X876" s="47">
        <f ca="1">VLOOKUP($C876,OFFSET(quests!$A$1,0,0,COUNTA(quests!$A:$A),MATCH(X$2,quests!$1:$1,0)-MATCH($C$2,quests!$1:$1,0)+1),MATCH(X$2,quests!$1:$1,0)-MATCH($C$2,quests!$1:$1,0)+1,FALSE)</f>
        <v>0</v>
      </c>
      <c r="Y876" s="47">
        <f ca="1">VLOOKUP($C876,OFFSET(quests!$A$1,0,0,COUNTA(quests!$A:$A),MATCH(Y$2,quests!$1:$1,0)-MATCH($C$2,quests!$1:$1,0)+1),MATCH(Y$2,quests!$1:$1,0)-MATCH($C$2,quests!$1:$1,0)+1,FALSE)</f>
        <v>0</v>
      </c>
      <c r="Z876" s="47">
        <f ca="1">VLOOKUP($C876,OFFSET(quests!$A$1,0,0,COUNTA(quests!$A:$A),MATCH(Z$2,quests!$1:$1,0)-MATCH($C$2,quests!$1:$1,0)+1),MATCH(Z$2,quests!$1:$1,0)-MATCH($C$2,quests!$1:$1,0)+1,FALSE)</f>
        <v>0</v>
      </c>
      <c r="AA876" s="47">
        <f ca="1">VLOOKUP($C876,OFFSET(quests!$A$1,0,0,COUNTA(quests!$A:$A),MATCH(AA$2,quests!$1:$1,0)-MATCH($C$2,quests!$1:$1,0)+1),MATCH(AA$2,quests!$1:$1,0)-MATCH($C$2,quests!$1:$1,0)+1,FALSE)</f>
        <v>0</v>
      </c>
      <c r="AB876" s="7" t="s">
        <v>2233</v>
      </c>
      <c r="AC876" s="167">
        <v>1009</v>
      </c>
      <c r="AD876" s="7">
        <v>6</v>
      </c>
      <c r="AE876" s="7" t="s">
        <v>519</v>
      </c>
      <c r="AF876" s="167">
        <v>1001</v>
      </c>
      <c r="AG876" s="167">
        <v>1001</v>
      </c>
      <c r="AH876" s="7" t="s">
        <v>1269</v>
      </c>
      <c r="AI876" s="7">
        <v>-1</v>
      </c>
      <c r="AJ876" s="7">
        <v>-1</v>
      </c>
      <c r="AK876" s="7" t="s">
        <v>1065</v>
      </c>
      <c r="AL876" s="12" t="s">
        <v>1269</v>
      </c>
      <c r="AM876" s="12" t="s">
        <v>2072</v>
      </c>
    </row>
    <row r="877" spans="1:39" s="45" customFormat="1" ht="21" customHeight="1" x14ac:dyDescent="0.15">
      <c r="A877" s="42" t="str">
        <f t="shared" si="64"/>
        <v>47012_2</v>
      </c>
      <c r="B877" s="23">
        <v>3</v>
      </c>
      <c r="C877" s="31">
        <v>47012</v>
      </c>
      <c r="D877" s="47" t="str">
        <f ca="1">VLOOKUP($C877,OFFSET(quests!$A$1,0,0,COUNTA(quests!$A:$A),MATCH(D$1,quests!$1:$1,0)-MATCH($C$2,quests!$1:$1,0)+1),MATCH(D$1,quests!$1:$1,0)-MATCH($C$2,quests!$1:$1,0)+1,FALSE)</f>
        <v>春呼ぶキミの行方</v>
      </c>
      <c r="E877" s="48" t="str">
        <f ca="1">VLOOKUP($C877,OFFSET(quests!$A$1,0,0,COUNTA(quests!$A:$A),MATCH(E$2,quests!$1:$1,0)-MATCH($C$2,quests!$1:$1,0)+1),MATCH(E$2,quests!$1:$1,0)-MATCH($C$2,quests!$1:$1,0)+1,FALSE)</f>
        <v>季節イベント</v>
      </c>
      <c r="F877" s="7">
        <v>2</v>
      </c>
      <c r="G877" s="7" t="s">
        <v>382</v>
      </c>
      <c r="H877" s="23" t="s">
        <v>2219</v>
      </c>
      <c r="I877" s="12" t="s">
        <v>61</v>
      </c>
      <c r="J877" s="65">
        <v>1498</v>
      </c>
      <c r="K877" s="167">
        <v>40</v>
      </c>
      <c r="L877" s="167">
        <v>4500</v>
      </c>
      <c r="M877" s="167">
        <v>1</v>
      </c>
      <c r="N877" s="167">
        <v>1</v>
      </c>
      <c r="O877" s="167">
        <v>1</v>
      </c>
      <c r="P877" s="167">
        <v>1</v>
      </c>
      <c r="Q877" s="167">
        <v>1</v>
      </c>
      <c r="R877" s="167">
        <v>3</v>
      </c>
      <c r="S877" s="167" t="s">
        <v>278</v>
      </c>
      <c r="T877" s="167">
        <v>1</v>
      </c>
      <c r="U877" s="7" t="s">
        <v>169</v>
      </c>
      <c r="V877" s="7" t="s">
        <v>169</v>
      </c>
      <c r="W877" s="47" t="str">
        <f t="shared" ca="1" si="54"/>
        <v/>
      </c>
      <c r="X877" s="47">
        <f ca="1">VLOOKUP($C877,OFFSET(quests!$A$1,0,0,COUNTA(quests!$A:$A),MATCH(X$2,quests!$1:$1,0)-MATCH($C$2,quests!$1:$1,0)+1),MATCH(X$2,quests!$1:$1,0)-MATCH($C$2,quests!$1:$1,0)+1,FALSE)</f>
        <v>0</v>
      </c>
      <c r="Y877" s="47">
        <f ca="1">VLOOKUP($C877,OFFSET(quests!$A$1,0,0,COUNTA(quests!$A:$A),MATCH(Y$2,quests!$1:$1,0)-MATCH($C$2,quests!$1:$1,0)+1),MATCH(Y$2,quests!$1:$1,0)-MATCH($C$2,quests!$1:$1,0)+1,FALSE)</f>
        <v>0</v>
      </c>
      <c r="Z877" s="47">
        <f ca="1">VLOOKUP($C877,OFFSET(quests!$A$1,0,0,COUNTA(quests!$A:$A),MATCH(Z$2,quests!$1:$1,0)-MATCH($C$2,quests!$1:$1,0)+1),MATCH(Z$2,quests!$1:$1,0)-MATCH($C$2,quests!$1:$1,0)+1,FALSE)</f>
        <v>0</v>
      </c>
      <c r="AA877" s="47">
        <f ca="1">VLOOKUP($C877,OFFSET(quests!$A$1,0,0,COUNTA(quests!$A:$A),MATCH(AA$2,quests!$1:$1,0)-MATCH($C$2,quests!$1:$1,0)+1),MATCH(AA$2,quests!$1:$1,0)-MATCH($C$2,quests!$1:$1,0)+1,FALSE)</f>
        <v>0</v>
      </c>
      <c r="AB877" s="7" t="s">
        <v>56</v>
      </c>
      <c r="AC877" s="167">
        <v>1009</v>
      </c>
      <c r="AD877" s="7">
        <v>6</v>
      </c>
      <c r="AE877" s="7" t="s">
        <v>519</v>
      </c>
      <c r="AF877" s="167">
        <v>1001</v>
      </c>
      <c r="AG877" s="167">
        <v>1001</v>
      </c>
      <c r="AH877" s="7" t="s">
        <v>1269</v>
      </c>
      <c r="AI877" s="7">
        <v>-1</v>
      </c>
      <c r="AJ877" s="7">
        <v>-1</v>
      </c>
      <c r="AK877" s="7" t="s">
        <v>1065</v>
      </c>
      <c r="AL877" s="12" t="s">
        <v>1269</v>
      </c>
      <c r="AM877" s="12" t="s">
        <v>2072</v>
      </c>
    </row>
    <row r="878" spans="1:39" s="45" customFormat="1" ht="21" customHeight="1" x14ac:dyDescent="0.15">
      <c r="A878" s="42" t="str">
        <f t="shared" ref="A878:A879" si="65">C878&amp;"_"&amp;F878</f>
        <v>47013_1</v>
      </c>
      <c r="B878" s="23">
        <v>3</v>
      </c>
      <c r="C878" s="31">
        <v>47013</v>
      </c>
      <c r="D878" s="47" t="str">
        <f ca="1">VLOOKUP($C878,OFFSET(quests!$A$1,0,0,COUNTA(quests!$A:$A),MATCH(D$1,quests!$1:$1,0)-MATCH($C$2,quests!$1:$1,0)+1),MATCH(D$1,quests!$1:$1,0)-MATCH($C$2,quests!$1:$1,0)+1,FALSE)</f>
        <v>スカルズ襲来！</v>
      </c>
      <c r="E878" s="48" t="str">
        <f ca="1">VLOOKUP($C878,OFFSET(quests!$A$1,0,0,COUNTA(quests!$A:$A),MATCH(E$2,quests!$1:$1,0)-MATCH($C$2,quests!$1:$1,0)+1),MATCH(E$2,quests!$1:$1,0)-MATCH($C$2,quests!$1:$1,0)+1,FALSE)</f>
        <v>1000億パネル破壊記念イベント</v>
      </c>
      <c r="F878" s="7">
        <v>1</v>
      </c>
      <c r="G878" s="7" t="s">
        <v>382</v>
      </c>
      <c r="H878" s="23" t="s">
        <v>2374</v>
      </c>
      <c r="I878" s="12" t="s">
        <v>525</v>
      </c>
      <c r="J878" s="251">
        <v>1036</v>
      </c>
      <c r="K878" s="167">
        <v>35</v>
      </c>
      <c r="L878" s="167">
        <v>4200</v>
      </c>
      <c r="M878" s="167">
        <v>1</v>
      </c>
      <c r="N878" s="167">
        <v>1</v>
      </c>
      <c r="O878" s="167">
        <v>1</v>
      </c>
      <c r="P878" s="167">
        <v>1</v>
      </c>
      <c r="Q878" s="167">
        <v>1</v>
      </c>
      <c r="R878" s="167">
        <v>3</v>
      </c>
      <c r="S878" s="167" t="s">
        <v>526</v>
      </c>
      <c r="T878" s="167">
        <v>1</v>
      </c>
      <c r="U878" s="7" t="s">
        <v>169</v>
      </c>
      <c r="V878" s="7" t="s">
        <v>169</v>
      </c>
      <c r="W878" s="47" t="str">
        <f t="shared" ca="1" si="54"/>
        <v/>
      </c>
      <c r="X878" s="47">
        <f ca="1">VLOOKUP($C878,OFFSET(quests!$A$1,0,0,COUNTA(quests!$A:$A),MATCH(X$2,quests!$1:$1,0)-MATCH($C$2,quests!$1:$1,0)+1),MATCH(X$2,quests!$1:$1,0)-MATCH($C$2,quests!$1:$1,0)+1,FALSE)</f>
        <v>0</v>
      </c>
      <c r="Y878" s="47">
        <f ca="1">VLOOKUP($C878,OFFSET(quests!$A$1,0,0,COUNTA(quests!$A:$A),MATCH(Y$2,quests!$1:$1,0)-MATCH($C$2,quests!$1:$1,0)+1),MATCH(Y$2,quests!$1:$1,0)-MATCH($C$2,quests!$1:$1,0)+1,FALSE)</f>
        <v>0</v>
      </c>
      <c r="Z878" s="47">
        <f ca="1">VLOOKUP($C878,OFFSET(quests!$A$1,0,0,COUNTA(quests!$A:$A),MATCH(Z$2,quests!$1:$1,0)-MATCH($C$2,quests!$1:$1,0)+1),MATCH(Z$2,quests!$1:$1,0)-MATCH($C$2,quests!$1:$1,0)+1,FALSE)</f>
        <v>0</v>
      </c>
      <c r="AA878" s="47">
        <f ca="1">VLOOKUP($C878,OFFSET(quests!$A$1,0,0,COUNTA(quests!$A:$A),MATCH(AA$2,quests!$1:$1,0)-MATCH($C$2,quests!$1:$1,0)+1),MATCH(AA$2,quests!$1:$1,0)-MATCH($C$2,quests!$1:$1,0)+1,FALSE)</f>
        <v>0</v>
      </c>
      <c r="AB878" s="7" t="s">
        <v>2233</v>
      </c>
      <c r="AC878" s="167">
        <v>954</v>
      </c>
      <c r="AD878" s="7">
        <v>6</v>
      </c>
      <c r="AE878" s="7" t="s">
        <v>519</v>
      </c>
      <c r="AF878" s="167">
        <v>40</v>
      </c>
      <c r="AG878" s="167">
        <v>40</v>
      </c>
      <c r="AH878" s="7">
        <v>0</v>
      </c>
      <c r="AI878" s="7">
        <v>-1</v>
      </c>
      <c r="AJ878" s="7">
        <v>-1</v>
      </c>
      <c r="AK878" s="7" t="s">
        <v>1065</v>
      </c>
      <c r="AL878" s="12" t="s">
        <v>1269</v>
      </c>
      <c r="AM878" s="12" t="s">
        <v>2072</v>
      </c>
    </row>
    <row r="879" spans="1:39" s="45" customFormat="1" ht="21" customHeight="1" x14ac:dyDescent="0.15">
      <c r="A879" s="42" t="str">
        <f t="shared" si="65"/>
        <v>47013_2</v>
      </c>
      <c r="B879" s="23">
        <v>3</v>
      </c>
      <c r="C879" s="31">
        <v>47013</v>
      </c>
      <c r="D879" s="47" t="str">
        <f ca="1">VLOOKUP($C879,OFFSET(quests!$A$1,0,0,COUNTA(quests!$A:$A),MATCH(D$1,quests!$1:$1,0)-MATCH($C$2,quests!$1:$1,0)+1),MATCH(D$1,quests!$1:$1,0)-MATCH($C$2,quests!$1:$1,0)+1,FALSE)</f>
        <v>スカルズ襲来！</v>
      </c>
      <c r="E879" s="48" t="str">
        <f ca="1">VLOOKUP($C879,OFFSET(quests!$A$1,0,0,COUNTA(quests!$A:$A),MATCH(E$2,quests!$1:$1,0)-MATCH($C$2,quests!$1:$1,0)+1),MATCH(E$2,quests!$1:$1,0)-MATCH($C$2,quests!$1:$1,0)+1,FALSE)</f>
        <v>1000億パネル破壊記念イベント</v>
      </c>
      <c r="F879" s="7">
        <v>2</v>
      </c>
      <c r="G879" s="7" t="s">
        <v>382</v>
      </c>
      <c r="H879" s="23" t="s">
        <v>2373</v>
      </c>
      <c r="I879" s="12" t="s">
        <v>61</v>
      </c>
      <c r="J879" s="251">
        <v>1036</v>
      </c>
      <c r="K879" s="167">
        <v>40</v>
      </c>
      <c r="L879" s="167">
        <v>4500</v>
      </c>
      <c r="M879" s="167">
        <v>1</v>
      </c>
      <c r="N879" s="167">
        <v>1</v>
      </c>
      <c r="O879" s="167">
        <v>1</v>
      </c>
      <c r="P879" s="167">
        <v>1</v>
      </c>
      <c r="Q879" s="167">
        <v>1</v>
      </c>
      <c r="R879" s="167">
        <v>3</v>
      </c>
      <c r="S879" s="167" t="s">
        <v>278</v>
      </c>
      <c r="T879" s="167">
        <v>1</v>
      </c>
      <c r="U879" s="7" t="s">
        <v>169</v>
      </c>
      <c r="V879" s="7" t="s">
        <v>169</v>
      </c>
      <c r="W879" s="47" t="str">
        <f t="shared" ca="1" si="54"/>
        <v/>
      </c>
      <c r="X879" s="47">
        <f ca="1">VLOOKUP($C879,OFFSET(quests!$A$1,0,0,COUNTA(quests!$A:$A),MATCH(X$2,quests!$1:$1,0)-MATCH($C$2,quests!$1:$1,0)+1),MATCH(X$2,quests!$1:$1,0)-MATCH($C$2,quests!$1:$1,0)+1,FALSE)</f>
        <v>0</v>
      </c>
      <c r="Y879" s="47">
        <f ca="1">VLOOKUP($C879,OFFSET(quests!$A$1,0,0,COUNTA(quests!$A:$A),MATCH(Y$2,quests!$1:$1,0)-MATCH($C$2,quests!$1:$1,0)+1),MATCH(Y$2,quests!$1:$1,0)-MATCH($C$2,quests!$1:$1,0)+1,FALSE)</f>
        <v>0</v>
      </c>
      <c r="Z879" s="47">
        <f ca="1">VLOOKUP($C879,OFFSET(quests!$A$1,0,0,COUNTA(quests!$A:$A),MATCH(Z$2,quests!$1:$1,0)-MATCH($C$2,quests!$1:$1,0)+1),MATCH(Z$2,quests!$1:$1,0)-MATCH($C$2,quests!$1:$1,0)+1,FALSE)</f>
        <v>0</v>
      </c>
      <c r="AA879" s="47">
        <f ca="1">VLOOKUP($C879,OFFSET(quests!$A$1,0,0,COUNTA(quests!$A:$A),MATCH(AA$2,quests!$1:$1,0)-MATCH($C$2,quests!$1:$1,0)+1),MATCH(AA$2,quests!$1:$1,0)-MATCH($C$2,quests!$1:$1,0)+1,FALSE)</f>
        <v>0</v>
      </c>
      <c r="AB879" s="7" t="s">
        <v>56</v>
      </c>
      <c r="AC879" s="167">
        <v>954</v>
      </c>
      <c r="AD879" s="7">
        <v>6</v>
      </c>
      <c r="AE879" s="7" t="s">
        <v>519</v>
      </c>
      <c r="AF879" s="167">
        <v>40</v>
      </c>
      <c r="AG879" s="167">
        <v>40</v>
      </c>
      <c r="AH879" s="7">
        <v>0</v>
      </c>
      <c r="AI879" s="7">
        <v>-1</v>
      </c>
      <c r="AJ879" s="7">
        <v>-1</v>
      </c>
      <c r="AK879" s="7" t="s">
        <v>1065</v>
      </c>
      <c r="AL879" s="12" t="s">
        <v>1269</v>
      </c>
      <c r="AM879" s="12" t="s">
        <v>2072</v>
      </c>
    </row>
    <row r="880" spans="1:39" s="45" customFormat="1" ht="21" customHeight="1" x14ac:dyDescent="0.15">
      <c r="A880" s="42" t="str">
        <f t="shared" ref="A880:A881" si="66">C880&amp;"_"&amp;F880</f>
        <v>47013_3</v>
      </c>
      <c r="B880" s="137">
        <v>0</v>
      </c>
      <c r="C880" s="321">
        <v>47013</v>
      </c>
      <c r="D880" s="151" t="str">
        <f ca="1">VLOOKUP($C880,OFFSET(quests!$A$1,0,0,COUNTA(quests!$A:$A),MATCH(D$1,quests!$1:$1,0)-MATCH($C$2,quests!$1:$1,0)+1),MATCH(D$1,quests!$1:$1,0)-MATCH($C$2,quests!$1:$1,0)+1,FALSE)</f>
        <v>スカルズ襲来！</v>
      </c>
      <c r="E880" s="152" t="str">
        <f ca="1">VLOOKUP($C880,OFFSET(quests!$A$1,0,0,COUNTA(quests!$A:$A),MATCH(E$2,quests!$1:$1,0)-MATCH($C$2,quests!$1:$1,0)+1),MATCH(E$2,quests!$1:$1,0)-MATCH($C$2,quests!$1:$1,0)+1,FALSE)</f>
        <v>1000億パネル破壊記念イベント</v>
      </c>
      <c r="F880" s="153">
        <v>3</v>
      </c>
      <c r="G880" s="153" t="s">
        <v>382</v>
      </c>
      <c r="H880" s="137" t="s">
        <v>2372</v>
      </c>
      <c r="I880" s="137" t="s">
        <v>525</v>
      </c>
      <c r="J880" s="322">
        <v>1036</v>
      </c>
      <c r="K880" s="153">
        <v>35</v>
      </c>
      <c r="L880" s="153">
        <v>4200</v>
      </c>
      <c r="M880" s="153">
        <v>1</v>
      </c>
      <c r="N880" s="153">
        <v>1</v>
      </c>
      <c r="O880" s="153">
        <v>1</v>
      </c>
      <c r="P880" s="153">
        <v>1</v>
      </c>
      <c r="Q880" s="153">
        <v>1</v>
      </c>
      <c r="R880" s="153">
        <v>3</v>
      </c>
      <c r="S880" s="153" t="s">
        <v>278</v>
      </c>
      <c r="T880" s="153">
        <v>1</v>
      </c>
      <c r="U880" s="153" t="s">
        <v>169</v>
      </c>
      <c r="V880" s="153" t="s">
        <v>169</v>
      </c>
      <c r="W880" s="151" t="str">
        <f t="shared" ca="1" si="54"/>
        <v/>
      </c>
      <c r="X880" s="151">
        <f ca="1">VLOOKUP($C880,OFFSET(quests!$A$1,0,0,COUNTA(quests!$A:$A),MATCH(X$2,quests!$1:$1,0)-MATCH($C$2,quests!$1:$1,0)+1),MATCH(X$2,quests!$1:$1,0)-MATCH($C$2,quests!$1:$1,0)+1,FALSE)</f>
        <v>0</v>
      </c>
      <c r="Y880" s="151">
        <f ca="1">VLOOKUP($C880,OFFSET(quests!$A$1,0,0,COUNTA(quests!$A:$A),MATCH(Y$2,quests!$1:$1,0)-MATCH($C$2,quests!$1:$1,0)+1),MATCH(Y$2,quests!$1:$1,0)-MATCH($C$2,quests!$1:$1,0)+1,FALSE)</f>
        <v>0</v>
      </c>
      <c r="Z880" s="151">
        <f ca="1">VLOOKUP($C880,OFFSET(quests!$A$1,0,0,COUNTA(quests!$A:$A),MATCH(Z$2,quests!$1:$1,0)-MATCH($C$2,quests!$1:$1,0)+1),MATCH(Z$2,quests!$1:$1,0)-MATCH($C$2,quests!$1:$1,0)+1,FALSE)</f>
        <v>0</v>
      </c>
      <c r="AA880" s="151">
        <f ca="1">VLOOKUP($C880,OFFSET(quests!$A$1,0,0,COUNTA(quests!$A:$A),MATCH(AA$2,quests!$1:$1,0)-MATCH($C$2,quests!$1:$1,0)+1),MATCH(AA$2,quests!$1:$1,0)-MATCH($C$2,quests!$1:$1,0)+1,FALSE)</f>
        <v>0</v>
      </c>
      <c r="AB880" s="153" t="s">
        <v>971</v>
      </c>
      <c r="AC880" s="153">
        <v>954</v>
      </c>
      <c r="AD880" s="153">
        <v>6</v>
      </c>
      <c r="AE880" s="153" t="s">
        <v>519</v>
      </c>
      <c r="AF880" s="153">
        <v>40</v>
      </c>
      <c r="AG880" s="153">
        <v>40</v>
      </c>
      <c r="AH880" s="153">
        <v>0</v>
      </c>
      <c r="AI880" s="153">
        <v>0</v>
      </c>
      <c r="AJ880" s="153">
        <v>-1</v>
      </c>
      <c r="AK880" s="153" t="s">
        <v>1065</v>
      </c>
      <c r="AL880" s="137" t="s">
        <v>1269</v>
      </c>
      <c r="AM880" s="323" t="s">
        <v>2321</v>
      </c>
    </row>
    <row r="881" spans="1:39" s="45" customFormat="1" ht="21" customHeight="1" x14ac:dyDescent="0.15">
      <c r="A881" s="42" t="str">
        <f t="shared" si="66"/>
        <v>47013_4</v>
      </c>
      <c r="B881" s="23">
        <v>3</v>
      </c>
      <c r="C881" s="31">
        <v>47013</v>
      </c>
      <c r="D881" s="47" t="str">
        <f ca="1">VLOOKUP($C881,OFFSET(quests!$A$1,0,0,COUNTA(quests!$A:$A),MATCH(D$1,quests!$1:$1,0)-MATCH($C$2,quests!$1:$1,0)+1),MATCH(D$1,quests!$1:$1,0)-MATCH($C$2,quests!$1:$1,0)+1,FALSE)</f>
        <v>スカルズ襲来！</v>
      </c>
      <c r="E881" s="48" t="str">
        <f ca="1">VLOOKUP($C881,OFFSET(quests!$A$1,0,0,COUNTA(quests!$A:$A),MATCH(E$2,quests!$1:$1,0)-MATCH($C$2,quests!$1:$1,0)+1),MATCH(E$2,quests!$1:$1,0)-MATCH($C$2,quests!$1:$1,0)+1,FALSE)</f>
        <v>1000億パネル破壊記念イベント</v>
      </c>
      <c r="F881" s="7">
        <v>4</v>
      </c>
      <c r="G881" s="7" t="s">
        <v>382</v>
      </c>
      <c r="H881" s="23" t="s">
        <v>2371</v>
      </c>
      <c r="I881" s="12" t="s">
        <v>61</v>
      </c>
      <c r="J881" s="251">
        <v>1036</v>
      </c>
      <c r="K881" s="167">
        <v>40</v>
      </c>
      <c r="L881" s="167">
        <v>4500</v>
      </c>
      <c r="M881" s="167">
        <v>1</v>
      </c>
      <c r="N881" s="167">
        <v>1</v>
      </c>
      <c r="O881" s="167">
        <v>1</v>
      </c>
      <c r="P881" s="167">
        <v>1</v>
      </c>
      <c r="Q881" s="167">
        <v>1</v>
      </c>
      <c r="R881" s="167">
        <v>3</v>
      </c>
      <c r="S881" s="167" t="s">
        <v>278</v>
      </c>
      <c r="T881" s="167">
        <v>1</v>
      </c>
      <c r="U881" s="7" t="s">
        <v>169</v>
      </c>
      <c r="V881" s="7" t="s">
        <v>169</v>
      </c>
      <c r="W881" s="47" t="str">
        <f t="shared" ca="1" si="54"/>
        <v/>
      </c>
      <c r="X881" s="47">
        <f ca="1">VLOOKUP($C881,OFFSET(quests!$A$1,0,0,COUNTA(quests!$A:$A),MATCH(X$2,quests!$1:$1,0)-MATCH($C$2,quests!$1:$1,0)+1),MATCH(X$2,quests!$1:$1,0)-MATCH($C$2,quests!$1:$1,0)+1,FALSE)</f>
        <v>0</v>
      </c>
      <c r="Y881" s="47">
        <f ca="1">VLOOKUP($C881,OFFSET(quests!$A$1,0,0,COUNTA(quests!$A:$A),MATCH(Y$2,quests!$1:$1,0)-MATCH($C$2,quests!$1:$1,0)+1),MATCH(Y$2,quests!$1:$1,0)-MATCH($C$2,quests!$1:$1,0)+1,FALSE)</f>
        <v>0</v>
      </c>
      <c r="Z881" s="47">
        <f ca="1">VLOOKUP($C881,OFFSET(quests!$A$1,0,0,COUNTA(quests!$A:$A),MATCH(Z$2,quests!$1:$1,0)-MATCH($C$2,quests!$1:$1,0)+1),MATCH(Z$2,quests!$1:$1,0)-MATCH($C$2,quests!$1:$1,0)+1,FALSE)</f>
        <v>0</v>
      </c>
      <c r="AA881" s="47">
        <f ca="1">VLOOKUP($C881,OFFSET(quests!$A$1,0,0,COUNTA(quests!$A:$A),MATCH(AA$2,quests!$1:$1,0)-MATCH($C$2,quests!$1:$1,0)+1),MATCH(AA$2,quests!$1:$1,0)-MATCH($C$2,quests!$1:$1,0)+1,FALSE)</f>
        <v>0</v>
      </c>
      <c r="AB881" s="7" t="s">
        <v>56</v>
      </c>
      <c r="AC881" s="167">
        <v>954</v>
      </c>
      <c r="AD881" s="7">
        <v>6</v>
      </c>
      <c r="AE881" s="7" t="s">
        <v>807</v>
      </c>
      <c r="AF881" s="167">
        <v>40</v>
      </c>
      <c r="AG881" s="167">
        <v>40</v>
      </c>
      <c r="AH881" s="7">
        <v>0</v>
      </c>
      <c r="AI881" s="7">
        <v>0</v>
      </c>
      <c r="AJ881" s="7">
        <v>-1</v>
      </c>
      <c r="AK881" s="7" t="s">
        <v>1065</v>
      </c>
      <c r="AL881" s="12" t="s">
        <v>1269</v>
      </c>
      <c r="AM881" s="317" t="s">
        <v>2321</v>
      </c>
    </row>
    <row r="882" spans="1:39" s="45" customFormat="1" ht="21" customHeight="1" x14ac:dyDescent="0.15">
      <c r="A882" s="42" t="str">
        <f t="shared" ref="A882" si="67">C882&amp;"_"&amp;F882</f>
        <v>47014_1</v>
      </c>
      <c r="B882" s="23">
        <v>3</v>
      </c>
      <c r="C882" s="31">
        <v>47014</v>
      </c>
      <c r="D882" s="47" t="str">
        <f ca="1">VLOOKUP($C882,OFFSET(quests!$A$1,0,0,COUNTA(quests!$A:$A),MATCH(D$1,quests!$1:$1,0)-MATCH($C$2,quests!$1:$1,0)+1),MATCH(D$1,quests!$1:$1,0)-MATCH($C$2,quests!$1:$1,0)+1,FALSE)</f>
        <v>ヘルレイザー襲来！</v>
      </c>
      <c r="E882" s="48" t="str">
        <f ca="1">VLOOKUP($C882,OFFSET(quests!$A$1,0,0,COUNTA(quests!$A:$A),MATCH(E$2,quests!$1:$1,0)-MATCH($C$2,quests!$1:$1,0)+1),MATCH(E$2,quests!$1:$1,0)-MATCH($C$2,quests!$1:$1,0)+1,FALSE)</f>
        <v>800万ダウンロード記念イベント</v>
      </c>
      <c r="F882" s="7">
        <v>1</v>
      </c>
      <c r="G882" s="7" t="s">
        <v>382</v>
      </c>
      <c r="H882" s="23" t="s">
        <v>2370</v>
      </c>
      <c r="I882" s="12" t="s">
        <v>61</v>
      </c>
      <c r="J882" s="251">
        <v>1343</v>
      </c>
      <c r="K882" s="167">
        <v>20</v>
      </c>
      <c r="L882" s="167">
        <v>2000</v>
      </c>
      <c r="M882" s="167">
        <v>1</v>
      </c>
      <c r="N882" s="167">
        <v>1</v>
      </c>
      <c r="O882" s="167">
        <v>1</v>
      </c>
      <c r="P882" s="167">
        <v>1</v>
      </c>
      <c r="Q882" s="167">
        <v>1</v>
      </c>
      <c r="R882" s="167">
        <v>3</v>
      </c>
      <c r="S882" s="167" t="s">
        <v>278</v>
      </c>
      <c r="T882" s="167">
        <v>1</v>
      </c>
      <c r="U882" s="7" t="s">
        <v>169</v>
      </c>
      <c r="V882" s="7" t="s">
        <v>169</v>
      </c>
      <c r="W882" s="47" t="str">
        <f t="shared" ca="1" si="54"/>
        <v/>
      </c>
      <c r="X882" s="47">
        <f ca="1">VLOOKUP($C882,OFFSET(quests!$A$1,0,0,COUNTA(quests!$A:$A),MATCH(X$2,quests!$1:$1,0)-MATCH($C$2,quests!$1:$1,0)+1),MATCH(X$2,quests!$1:$1,0)-MATCH($C$2,quests!$1:$1,0)+1,FALSE)</f>
        <v>0</v>
      </c>
      <c r="Y882" s="47">
        <f ca="1">VLOOKUP($C882,OFFSET(quests!$A$1,0,0,COUNTA(quests!$A:$A),MATCH(Y$2,quests!$1:$1,0)-MATCH($C$2,quests!$1:$1,0)+1),MATCH(Y$2,quests!$1:$1,0)-MATCH($C$2,quests!$1:$1,0)+1,FALSE)</f>
        <v>0</v>
      </c>
      <c r="Z882" s="47">
        <f ca="1">VLOOKUP($C882,OFFSET(quests!$A$1,0,0,COUNTA(quests!$A:$A),MATCH(Z$2,quests!$1:$1,0)-MATCH($C$2,quests!$1:$1,0)+1),MATCH(Z$2,quests!$1:$1,0)-MATCH($C$2,quests!$1:$1,0)+1,FALSE)</f>
        <v>0</v>
      </c>
      <c r="AA882" s="47">
        <f ca="1">VLOOKUP($C882,OFFSET(quests!$A$1,0,0,COUNTA(quests!$A:$A),MATCH(AA$2,quests!$1:$1,0)-MATCH($C$2,quests!$1:$1,0)+1),MATCH(AA$2,quests!$1:$1,0)-MATCH($C$2,quests!$1:$1,0)+1,FALSE)</f>
        <v>0</v>
      </c>
      <c r="AB882" s="7" t="s">
        <v>56</v>
      </c>
      <c r="AC882" s="167">
        <v>906</v>
      </c>
      <c r="AD882" s="7">
        <v>6</v>
      </c>
      <c r="AE882" s="7" t="s">
        <v>519</v>
      </c>
      <c r="AF882" s="167">
        <v>40</v>
      </c>
      <c r="AG882" s="167">
        <v>40</v>
      </c>
      <c r="AH882" s="7">
        <v>0</v>
      </c>
      <c r="AI882" s="7">
        <v>-1</v>
      </c>
      <c r="AJ882" s="7">
        <v>-1</v>
      </c>
      <c r="AK882" s="158" t="s">
        <v>80</v>
      </c>
      <c r="AL882" s="12" t="s">
        <v>1269</v>
      </c>
      <c r="AM882" s="12" t="s">
        <v>2072</v>
      </c>
    </row>
    <row r="883" spans="1:39" s="45" customFormat="1" ht="21" customHeight="1" x14ac:dyDescent="0.15">
      <c r="A883" s="42" t="str">
        <f t="shared" ref="A883:A888" si="68">C883&amp;"_"&amp;F883</f>
        <v>47014_2</v>
      </c>
      <c r="B883" s="23">
        <v>3</v>
      </c>
      <c r="C883" s="31">
        <v>47014</v>
      </c>
      <c r="D883" s="47" t="str">
        <f ca="1">VLOOKUP($C883,OFFSET(quests!$A$1,0,0,COUNTA(quests!$A:$A),MATCH(D$1,quests!$1:$1,0)-MATCH($C$2,quests!$1:$1,0)+1),MATCH(D$1,quests!$1:$1,0)-MATCH($C$2,quests!$1:$1,0)+1,FALSE)</f>
        <v>ヘルレイザー襲来！</v>
      </c>
      <c r="E883" s="48" t="str">
        <f ca="1">VLOOKUP($C883,OFFSET(quests!$A$1,0,0,COUNTA(quests!$A:$A),MATCH(E$2,quests!$1:$1,0)-MATCH($C$2,quests!$1:$1,0)+1),MATCH(E$2,quests!$1:$1,0)-MATCH($C$2,quests!$1:$1,0)+1,FALSE)</f>
        <v>800万ダウンロード記念イベント</v>
      </c>
      <c r="F883" s="7">
        <v>2</v>
      </c>
      <c r="G883" s="7" t="s">
        <v>382</v>
      </c>
      <c r="H883" s="23" t="s">
        <v>2369</v>
      </c>
      <c r="I883" s="12" t="s">
        <v>61</v>
      </c>
      <c r="J883" s="251">
        <v>1343</v>
      </c>
      <c r="K883" s="167">
        <v>35</v>
      </c>
      <c r="L883" s="167">
        <v>4200</v>
      </c>
      <c r="M883" s="167">
        <v>1</v>
      </c>
      <c r="N883" s="167">
        <v>1</v>
      </c>
      <c r="O883" s="167">
        <v>1</v>
      </c>
      <c r="P883" s="167">
        <v>1</v>
      </c>
      <c r="Q883" s="167">
        <v>1</v>
      </c>
      <c r="R883" s="167">
        <v>3</v>
      </c>
      <c r="S883" s="167" t="s">
        <v>278</v>
      </c>
      <c r="T883" s="167">
        <v>1</v>
      </c>
      <c r="U883" s="7" t="s">
        <v>169</v>
      </c>
      <c r="V883" s="7" t="s">
        <v>169</v>
      </c>
      <c r="W883" s="47" t="str">
        <f t="shared" ca="1" si="54"/>
        <v/>
      </c>
      <c r="X883" s="47">
        <f ca="1">VLOOKUP($C883,OFFSET(quests!$A$1,0,0,COUNTA(quests!$A:$A),MATCH(X$2,quests!$1:$1,0)-MATCH($C$2,quests!$1:$1,0)+1),MATCH(X$2,quests!$1:$1,0)-MATCH($C$2,quests!$1:$1,0)+1,FALSE)</f>
        <v>0</v>
      </c>
      <c r="Y883" s="47">
        <f ca="1">VLOOKUP($C883,OFFSET(quests!$A$1,0,0,COUNTA(quests!$A:$A),MATCH(Y$2,quests!$1:$1,0)-MATCH($C$2,quests!$1:$1,0)+1),MATCH(Y$2,quests!$1:$1,0)-MATCH($C$2,quests!$1:$1,0)+1,FALSE)</f>
        <v>0</v>
      </c>
      <c r="Z883" s="47">
        <f ca="1">VLOOKUP($C883,OFFSET(quests!$A$1,0,0,COUNTA(quests!$A:$A),MATCH(Z$2,quests!$1:$1,0)-MATCH($C$2,quests!$1:$1,0)+1),MATCH(Z$2,quests!$1:$1,0)-MATCH($C$2,quests!$1:$1,0)+1,FALSE)</f>
        <v>0</v>
      </c>
      <c r="AA883" s="47">
        <f ca="1">VLOOKUP($C883,OFFSET(quests!$A$1,0,0,COUNTA(quests!$A:$A),MATCH(AA$2,quests!$1:$1,0)-MATCH($C$2,quests!$1:$1,0)+1),MATCH(AA$2,quests!$1:$1,0)-MATCH($C$2,quests!$1:$1,0)+1,FALSE)</f>
        <v>0</v>
      </c>
      <c r="AB883" s="7" t="s">
        <v>56</v>
      </c>
      <c r="AC883" s="167">
        <v>906</v>
      </c>
      <c r="AD883" s="7">
        <v>6</v>
      </c>
      <c r="AE883" s="7" t="s">
        <v>519</v>
      </c>
      <c r="AF883" s="167">
        <v>40</v>
      </c>
      <c r="AG883" s="167">
        <v>40</v>
      </c>
      <c r="AH883" s="7">
        <v>0</v>
      </c>
      <c r="AI883" s="7">
        <v>-1</v>
      </c>
      <c r="AJ883" s="7">
        <v>-1</v>
      </c>
      <c r="AK883" s="7" t="s">
        <v>1065</v>
      </c>
      <c r="AL883" s="12" t="s">
        <v>1269</v>
      </c>
      <c r="AM883" s="12" t="s">
        <v>2072</v>
      </c>
    </row>
    <row r="884" spans="1:39" s="45" customFormat="1" ht="21" customHeight="1" x14ac:dyDescent="0.15">
      <c r="A884" s="42" t="str">
        <f t="shared" si="68"/>
        <v>47014_3</v>
      </c>
      <c r="B884" s="23">
        <v>3</v>
      </c>
      <c r="C884" s="31">
        <v>47014</v>
      </c>
      <c r="D884" s="47" t="str">
        <f ca="1">VLOOKUP($C884,OFFSET(quests!$A$1,0,0,COUNTA(quests!$A:$A),MATCH(D$1,quests!$1:$1,0)-MATCH($C$2,quests!$1:$1,0)+1),MATCH(D$1,quests!$1:$1,0)-MATCH($C$2,quests!$1:$1,0)+1,FALSE)</f>
        <v>ヘルレイザー襲来！</v>
      </c>
      <c r="E884" s="48" t="str">
        <f ca="1">VLOOKUP($C884,OFFSET(quests!$A$1,0,0,COUNTA(quests!$A:$A),MATCH(E$2,quests!$1:$1,0)-MATCH($C$2,quests!$1:$1,0)+1),MATCH(E$2,quests!$1:$1,0)-MATCH($C$2,quests!$1:$1,0)+1,FALSE)</f>
        <v>800万ダウンロード記念イベント</v>
      </c>
      <c r="F884" s="7">
        <v>3</v>
      </c>
      <c r="G884" s="7" t="s">
        <v>382</v>
      </c>
      <c r="H884" s="23" t="s">
        <v>2368</v>
      </c>
      <c r="I884" s="12" t="s">
        <v>61</v>
      </c>
      <c r="J884" s="251">
        <v>1343</v>
      </c>
      <c r="K884" s="167">
        <v>40</v>
      </c>
      <c r="L884" s="167">
        <v>4500</v>
      </c>
      <c r="M884" s="167">
        <v>1</v>
      </c>
      <c r="N884" s="167">
        <v>1</v>
      </c>
      <c r="O884" s="167">
        <v>1</v>
      </c>
      <c r="P884" s="167">
        <v>1</v>
      </c>
      <c r="Q884" s="167">
        <v>1</v>
      </c>
      <c r="R884" s="167">
        <v>3</v>
      </c>
      <c r="S884" s="167" t="s">
        <v>278</v>
      </c>
      <c r="T884" s="167">
        <v>1</v>
      </c>
      <c r="U884" s="7" t="s">
        <v>169</v>
      </c>
      <c r="V884" s="7" t="s">
        <v>169</v>
      </c>
      <c r="W884" s="47" t="str">
        <f t="shared" ca="1" si="54"/>
        <v/>
      </c>
      <c r="X884" s="47">
        <f ca="1">VLOOKUP($C884,OFFSET(quests!$A$1,0,0,COUNTA(quests!$A:$A),MATCH(X$2,quests!$1:$1,0)-MATCH($C$2,quests!$1:$1,0)+1),MATCH(X$2,quests!$1:$1,0)-MATCH($C$2,quests!$1:$1,0)+1,FALSE)</f>
        <v>0</v>
      </c>
      <c r="Y884" s="47">
        <f ca="1">VLOOKUP($C884,OFFSET(quests!$A$1,0,0,COUNTA(quests!$A:$A),MATCH(Y$2,quests!$1:$1,0)-MATCH($C$2,quests!$1:$1,0)+1),MATCH(Y$2,quests!$1:$1,0)-MATCH($C$2,quests!$1:$1,0)+1,FALSE)</f>
        <v>0</v>
      </c>
      <c r="Z884" s="47">
        <f ca="1">VLOOKUP($C884,OFFSET(quests!$A$1,0,0,COUNTA(quests!$A:$A),MATCH(Z$2,quests!$1:$1,0)-MATCH($C$2,quests!$1:$1,0)+1),MATCH(Z$2,quests!$1:$1,0)-MATCH($C$2,quests!$1:$1,0)+1,FALSE)</f>
        <v>0</v>
      </c>
      <c r="AA884" s="47">
        <f ca="1">VLOOKUP($C884,OFFSET(quests!$A$1,0,0,COUNTA(quests!$A:$A),MATCH(AA$2,quests!$1:$1,0)-MATCH($C$2,quests!$1:$1,0)+1),MATCH(AA$2,quests!$1:$1,0)-MATCH($C$2,quests!$1:$1,0)+1,FALSE)</f>
        <v>0</v>
      </c>
      <c r="AB884" s="7" t="s">
        <v>56</v>
      </c>
      <c r="AC884" s="167">
        <v>906</v>
      </c>
      <c r="AD884" s="7">
        <v>6</v>
      </c>
      <c r="AE884" s="7" t="s">
        <v>519</v>
      </c>
      <c r="AF884" s="167">
        <v>40</v>
      </c>
      <c r="AG884" s="167">
        <v>40</v>
      </c>
      <c r="AH884" s="7">
        <v>0</v>
      </c>
      <c r="AI884" s="7">
        <v>-1</v>
      </c>
      <c r="AJ884" s="7">
        <v>-1</v>
      </c>
      <c r="AK884" s="7" t="s">
        <v>1065</v>
      </c>
      <c r="AL884" s="12" t="s">
        <v>1269</v>
      </c>
      <c r="AM884" s="12" t="s">
        <v>2072</v>
      </c>
    </row>
    <row r="885" spans="1:39" s="45" customFormat="1" ht="21" customHeight="1" x14ac:dyDescent="0.15">
      <c r="A885" s="42" t="str">
        <f t="shared" ref="A885:A887" si="69">C885&amp;"_"&amp;F885</f>
        <v>47015_1</v>
      </c>
      <c r="B885" s="23">
        <v>3</v>
      </c>
      <c r="C885" s="31">
        <v>47015</v>
      </c>
      <c r="D885" s="47" t="str">
        <f ca="1">VLOOKUP($C885,OFFSET(quests!$A$1,0,0,COUNTA(quests!$A:$A),MATCH(D$1,quests!$1:$1,0)-MATCH($C$2,quests!$1:$1,0)+1),MATCH(D$1,quests!$1:$1,0)-MATCH($C$2,quests!$1:$1,0)+1,FALSE)</f>
        <v>後光射す白無垢装束</v>
      </c>
      <c r="E885" s="48" t="str">
        <f ca="1">VLOOKUP($C885,OFFSET(quests!$A$1,0,0,COUNTA(quests!$A:$A),MATCH(E$2,quests!$1:$1,0)-MATCH($C$2,quests!$1:$1,0)+1),MATCH(E$2,quests!$1:$1,0)-MATCH($C$2,quests!$1:$1,0)+1,FALSE)</f>
        <v>季節イベント</v>
      </c>
      <c r="F885" s="7">
        <v>1</v>
      </c>
      <c r="G885" s="7" t="s">
        <v>382</v>
      </c>
      <c r="H885" s="23" t="s">
        <v>2391</v>
      </c>
      <c r="I885" s="12" t="s">
        <v>1905</v>
      </c>
      <c r="J885" s="251">
        <v>1699</v>
      </c>
      <c r="K885" s="167">
        <v>20</v>
      </c>
      <c r="L885" s="167">
        <v>2000</v>
      </c>
      <c r="M885" s="167">
        <v>1</v>
      </c>
      <c r="N885" s="167">
        <v>1</v>
      </c>
      <c r="O885" s="167">
        <v>1</v>
      </c>
      <c r="P885" s="167">
        <v>1</v>
      </c>
      <c r="Q885" s="167">
        <v>1</v>
      </c>
      <c r="R885" s="167">
        <v>3</v>
      </c>
      <c r="S885" s="167" t="s">
        <v>278</v>
      </c>
      <c r="T885" s="167">
        <v>1</v>
      </c>
      <c r="U885" s="7" t="s">
        <v>169</v>
      </c>
      <c r="V885" s="7" t="s">
        <v>169</v>
      </c>
      <c r="W885" s="47" t="str">
        <f t="shared" ca="1" si="54"/>
        <v/>
      </c>
      <c r="X885" s="47">
        <f ca="1">VLOOKUP($C885,OFFSET(quests!$A$1,0,0,COUNTA(quests!$A:$A),MATCH(X$2,quests!$1:$1,0)-MATCH($C$2,quests!$1:$1,0)+1),MATCH(X$2,quests!$1:$1,0)-MATCH($C$2,quests!$1:$1,0)+1,FALSE)</f>
        <v>0</v>
      </c>
      <c r="Y885" s="47">
        <f ca="1">VLOOKUP($C885,OFFSET(quests!$A$1,0,0,COUNTA(quests!$A:$A),MATCH(Y$2,quests!$1:$1,0)-MATCH($C$2,quests!$1:$1,0)+1),MATCH(Y$2,quests!$1:$1,0)-MATCH($C$2,quests!$1:$1,0)+1,FALSE)</f>
        <v>0</v>
      </c>
      <c r="Z885" s="47">
        <f ca="1">VLOOKUP($C885,OFFSET(quests!$A$1,0,0,COUNTA(quests!$A:$A),MATCH(Z$2,quests!$1:$1,0)-MATCH($C$2,quests!$1:$1,0)+1),MATCH(Z$2,quests!$1:$1,0)-MATCH($C$2,quests!$1:$1,0)+1,FALSE)</f>
        <v>0</v>
      </c>
      <c r="AA885" s="47">
        <f ca="1">VLOOKUP($C885,OFFSET(quests!$A$1,0,0,COUNTA(quests!$A:$A),MATCH(AA$2,quests!$1:$1,0)-MATCH($C$2,quests!$1:$1,0)+1),MATCH(AA$2,quests!$1:$1,0)-MATCH($C$2,quests!$1:$1,0)+1,FALSE)</f>
        <v>0</v>
      </c>
      <c r="AB885" s="7" t="s">
        <v>56</v>
      </c>
      <c r="AC885" s="167">
        <v>2</v>
      </c>
      <c r="AD885" s="7">
        <v>6</v>
      </c>
      <c r="AE885" s="7" t="s">
        <v>519</v>
      </c>
      <c r="AF885" s="167">
        <v>40</v>
      </c>
      <c r="AG885" s="167">
        <v>40</v>
      </c>
      <c r="AH885" s="7">
        <v>0</v>
      </c>
      <c r="AI885" s="7">
        <v>-1</v>
      </c>
      <c r="AJ885" s="7">
        <v>-1</v>
      </c>
      <c r="AK885" s="7" t="s">
        <v>1064</v>
      </c>
      <c r="AL885" s="12" t="s">
        <v>1269</v>
      </c>
      <c r="AM885" s="12" t="s">
        <v>1064</v>
      </c>
    </row>
    <row r="886" spans="1:39" s="45" customFormat="1" ht="21" customHeight="1" x14ac:dyDescent="0.15">
      <c r="A886" s="42" t="str">
        <f t="shared" si="69"/>
        <v>47015_2</v>
      </c>
      <c r="B886" s="23">
        <v>3</v>
      </c>
      <c r="C886" s="31">
        <v>47015</v>
      </c>
      <c r="D886" s="47" t="str">
        <f ca="1">VLOOKUP($C886,OFFSET(quests!$A$1,0,0,COUNTA(quests!$A:$A),MATCH(D$1,quests!$1:$1,0)-MATCH($C$2,quests!$1:$1,0)+1),MATCH(D$1,quests!$1:$1,0)-MATCH($C$2,quests!$1:$1,0)+1,FALSE)</f>
        <v>後光射す白無垢装束</v>
      </c>
      <c r="E886" s="48" t="str">
        <f ca="1">VLOOKUP($C886,OFFSET(quests!$A$1,0,0,COUNTA(quests!$A:$A),MATCH(E$2,quests!$1:$1,0)-MATCH($C$2,quests!$1:$1,0)+1),MATCH(E$2,quests!$1:$1,0)-MATCH($C$2,quests!$1:$1,0)+1,FALSE)</f>
        <v>季節イベント</v>
      </c>
      <c r="F886" s="7">
        <v>2</v>
      </c>
      <c r="G886" s="7" t="s">
        <v>382</v>
      </c>
      <c r="H886" s="23" t="s">
        <v>2392</v>
      </c>
      <c r="I886" s="12" t="s">
        <v>1906</v>
      </c>
      <c r="J886" s="251">
        <v>1699</v>
      </c>
      <c r="K886" s="167">
        <v>30</v>
      </c>
      <c r="L886" s="167">
        <v>3300</v>
      </c>
      <c r="M886" s="167">
        <v>1</v>
      </c>
      <c r="N886" s="167">
        <v>1</v>
      </c>
      <c r="O886" s="167">
        <v>1</v>
      </c>
      <c r="P886" s="167">
        <v>1</v>
      </c>
      <c r="Q886" s="167">
        <v>1</v>
      </c>
      <c r="R886" s="167">
        <v>3</v>
      </c>
      <c r="S886" s="167" t="s">
        <v>278</v>
      </c>
      <c r="T886" s="167">
        <v>1</v>
      </c>
      <c r="U886" s="7" t="s">
        <v>169</v>
      </c>
      <c r="V886" s="7" t="s">
        <v>169</v>
      </c>
      <c r="W886" s="47" t="str">
        <f t="shared" ca="1" si="54"/>
        <v/>
      </c>
      <c r="X886" s="47">
        <f ca="1">VLOOKUP($C886,OFFSET(quests!$A$1,0,0,COUNTA(quests!$A:$A),MATCH(X$2,quests!$1:$1,0)-MATCH($C$2,quests!$1:$1,0)+1),MATCH(X$2,quests!$1:$1,0)-MATCH($C$2,quests!$1:$1,0)+1,FALSE)</f>
        <v>0</v>
      </c>
      <c r="Y886" s="47">
        <f ca="1">VLOOKUP($C886,OFFSET(quests!$A$1,0,0,COUNTA(quests!$A:$A),MATCH(Y$2,quests!$1:$1,0)-MATCH($C$2,quests!$1:$1,0)+1),MATCH(Y$2,quests!$1:$1,0)-MATCH($C$2,quests!$1:$1,0)+1,FALSE)</f>
        <v>0</v>
      </c>
      <c r="Z886" s="47">
        <f ca="1">VLOOKUP($C886,OFFSET(quests!$A$1,0,0,COUNTA(quests!$A:$A),MATCH(Z$2,quests!$1:$1,0)-MATCH($C$2,quests!$1:$1,0)+1),MATCH(Z$2,quests!$1:$1,0)-MATCH($C$2,quests!$1:$1,0)+1,FALSE)</f>
        <v>0</v>
      </c>
      <c r="AA886" s="47">
        <f ca="1">VLOOKUP($C886,OFFSET(quests!$A$1,0,0,COUNTA(quests!$A:$A),MATCH(AA$2,quests!$1:$1,0)-MATCH($C$2,quests!$1:$1,0)+1),MATCH(AA$2,quests!$1:$1,0)-MATCH($C$2,quests!$1:$1,0)+1,FALSE)</f>
        <v>0</v>
      </c>
      <c r="AB886" s="7" t="s">
        <v>56</v>
      </c>
      <c r="AC886" s="167">
        <v>2</v>
      </c>
      <c r="AD886" s="7">
        <v>6</v>
      </c>
      <c r="AE886" s="7" t="s">
        <v>519</v>
      </c>
      <c r="AF886" s="167">
        <v>40</v>
      </c>
      <c r="AG886" s="167">
        <v>40</v>
      </c>
      <c r="AH886" s="7">
        <v>0</v>
      </c>
      <c r="AI886" s="7">
        <v>-1</v>
      </c>
      <c r="AJ886" s="7">
        <v>-1</v>
      </c>
      <c r="AK886" s="7" t="s">
        <v>1065</v>
      </c>
      <c r="AL886" s="12" t="s">
        <v>1269</v>
      </c>
      <c r="AM886" s="12" t="s">
        <v>1064</v>
      </c>
    </row>
    <row r="887" spans="1:39" s="45" customFormat="1" ht="21" customHeight="1" x14ac:dyDescent="0.15">
      <c r="A887" s="42" t="str">
        <f t="shared" si="69"/>
        <v>47015_3</v>
      </c>
      <c r="B887" s="23">
        <v>3</v>
      </c>
      <c r="C887" s="31">
        <v>47015</v>
      </c>
      <c r="D887" s="47" t="str">
        <f ca="1">VLOOKUP($C887,OFFSET(quests!$A$1,0,0,COUNTA(quests!$A:$A),MATCH(D$1,quests!$1:$1,0)-MATCH($C$2,quests!$1:$1,0)+1),MATCH(D$1,quests!$1:$1,0)-MATCH($C$2,quests!$1:$1,0)+1,FALSE)</f>
        <v>後光射す白無垢装束</v>
      </c>
      <c r="E887" s="48" t="str">
        <f ca="1">VLOOKUP($C887,OFFSET(quests!$A$1,0,0,COUNTA(quests!$A:$A),MATCH(E$2,quests!$1:$1,0)-MATCH($C$2,quests!$1:$1,0)+1),MATCH(E$2,quests!$1:$1,0)-MATCH($C$2,quests!$1:$1,0)+1,FALSE)</f>
        <v>季節イベント</v>
      </c>
      <c r="F887" s="7">
        <v>3</v>
      </c>
      <c r="G887" s="7" t="s">
        <v>382</v>
      </c>
      <c r="H887" s="23" t="s">
        <v>2393</v>
      </c>
      <c r="I887" s="12" t="s">
        <v>61</v>
      </c>
      <c r="J887" s="251">
        <v>1699</v>
      </c>
      <c r="K887" s="167">
        <v>40</v>
      </c>
      <c r="L887" s="167">
        <v>4500</v>
      </c>
      <c r="M887" s="167">
        <v>1</v>
      </c>
      <c r="N887" s="167">
        <v>1</v>
      </c>
      <c r="O887" s="167">
        <v>1</v>
      </c>
      <c r="P887" s="167">
        <v>1</v>
      </c>
      <c r="Q887" s="167">
        <v>1</v>
      </c>
      <c r="R887" s="167">
        <v>3</v>
      </c>
      <c r="S887" s="167" t="s">
        <v>278</v>
      </c>
      <c r="T887" s="167">
        <v>1</v>
      </c>
      <c r="U887" s="7" t="s">
        <v>169</v>
      </c>
      <c r="V887" s="7" t="s">
        <v>169</v>
      </c>
      <c r="W887" s="47" t="str">
        <f t="shared" ca="1" si="54"/>
        <v/>
      </c>
      <c r="X887" s="47">
        <f ca="1">VLOOKUP($C887,OFFSET(quests!$A$1,0,0,COUNTA(quests!$A:$A),MATCH(X$2,quests!$1:$1,0)-MATCH($C$2,quests!$1:$1,0)+1),MATCH(X$2,quests!$1:$1,0)-MATCH($C$2,quests!$1:$1,0)+1,FALSE)</f>
        <v>0</v>
      </c>
      <c r="Y887" s="47">
        <f ca="1">VLOOKUP($C887,OFFSET(quests!$A$1,0,0,COUNTA(quests!$A:$A),MATCH(Y$2,quests!$1:$1,0)-MATCH($C$2,quests!$1:$1,0)+1),MATCH(Y$2,quests!$1:$1,0)-MATCH($C$2,quests!$1:$1,0)+1,FALSE)</f>
        <v>0</v>
      </c>
      <c r="Z887" s="47">
        <f ca="1">VLOOKUP($C887,OFFSET(quests!$A$1,0,0,COUNTA(quests!$A:$A),MATCH(Z$2,quests!$1:$1,0)-MATCH($C$2,quests!$1:$1,0)+1),MATCH(Z$2,quests!$1:$1,0)-MATCH($C$2,quests!$1:$1,0)+1,FALSE)</f>
        <v>0</v>
      </c>
      <c r="AA887" s="47">
        <f ca="1">VLOOKUP($C887,OFFSET(quests!$A$1,0,0,COUNTA(quests!$A:$A),MATCH(AA$2,quests!$1:$1,0)-MATCH($C$2,quests!$1:$1,0)+1),MATCH(AA$2,quests!$1:$1,0)-MATCH($C$2,quests!$1:$1,0)+1,FALSE)</f>
        <v>0</v>
      </c>
      <c r="AB887" s="7" t="s">
        <v>56</v>
      </c>
      <c r="AC887" s="167">
        <v>2</v>
      </c>
      <c r="AD887" s="7">
        <v>6</v>
      </c>
      <c r="AE887" s="7" t="s">
        <v>519</v>
      </c>
      <c r="AF887" s="167">
        <v>40</v>
      </c>
      <c r="AG887" s="167">
        <v>40</v>
      </c>
      <c r="AH887" s="7">
        <v>0</v>
      </c>
      <c r="AI887" s="7">
        <v>-1</v>
      </c>
      <c r="AJ887" s="7">
        <v>-1</v>
      </c>
      <c r="AK887" s="7" t="s">
        <v>1065</v>
      </c>
      <c r="AL887" s="12" t="s">
        <v>1269</v>
      </c>
      <c r="AM887" s="12" t="s">
        <v>1064</v>
      </c>
    </row>
    <row r="888" spans="1:39" s="45" customFormat="1" ht="21" customHeight="1" x14ac:dyDescent="0.15">
      <c r="A888" s="42" t="str">
        <f t="shared" si="68"/>
        <v>47016_1</v>
      </c>
      <c r="B888" s="23">
        <v>3</v>
      </c>
      <c r="C888" s="31">
        <v>47016</v>
      </c>
      <c r="D888" s="47" t="str">
        <f ca="1">VLOOKUP($C888,OFFSET(quests!$A$1,0,0,COUNTA(quests!$A:$A),MATCH(D$1,quests!$1:$1,0)-MATCH($C$2,quests!$1:$1,0)+1),MATCH(D$1,quests!$1:$1,0)-MATCH($C$2,quests!$1:$1,0)+1,FALSE)</f>
        <v>嫁入り道具はチェーンソー</v>
      </c>
      <c r="E888" s="48" t="str">
        <f ca="1">VLOOKUP($C888,OFFSET(quests!$A$1,0,0,COUNTA(quests!$A:$A),MATCH(E$2,quests!$1:$1,0)-MATCH($C$2,quests!$1:$1,0)+1),MATCH(E$2,quests!$1:$1,0)-MATCH($C$2,quests!$1:$1,0)+1,FALSE)</f>
        <v>季節イベント</v>
      </c>
      <c r="F888" s="7">
        <v>1</v>
      </c>
      <c r="G888" s="7" t="s">
        <v>382</v>
      </c>
      <c r="H888" s="23" t="s">
        <v>2384</v>
      </c>
      <c r="I888" s="12" t="s">
        <v>1905</v>
      </c>
      <c r="J888" s="251">
        <v>1697</v>
      </c>
      <c r="K888" s="167">
        <v>20</v>
      </c>
      <c r="L888" s="167">
        <v>2000</v>
      </c>
      <c r="M888" s="167">
        <v>1</v>
      </c>
      <c r="N888" s="167">
        <v>1</v>
      </c>
      <c r="O888" s="167">
        <v>1</v>
      </c>
      <c r="P888" s="167">
        <v>1</v>
      </c>
      <c r="Q888" s="167">
        <v>1</v>
      </c>
      <c r="R888" s="167">
        <v>3</v>
      </c>
      <c r="S888" s="167" t="s">
        <v>278</v>
      </c>
      <c r="T888" s="167">
        <v>1</v>
      </c>
      <c r="U888" s="7" t="s">
        <v>169</v>
      </c>
      <c r="V888" s="7" t="s">
        <v>169</v>
      </c>
      <c r="W888" s="47" t="str">
        <f t="shared" ca="1" si="54"/>
        <v/>
      </c>
      <c r="X888" s="47">
        <f ca="1">VLOOKUP($C888,OFFSET(quests!$A$1,0,0,COUNTA(quests!$A:$A),MATCH(X$2,quests!$1:$1,0)-MATCH($C$2,quests!$1:$1,0)+1),MATCH(X$2,quests!$1:$1,0)-MATCH($C$2,quests!$1:$1,0)+1,FALSE)</f>
        <v>0</v>
      </c>
      <c r="Y888" s="47">
        <f ca="1">VLOOKUP($C888,OFFSET(quests!$A$1,0,0,COUNTA(quests!$A:$A),MATCH(Y$2,quests!$1:$1,0)-MATCH($C$2,quests!$1:$1,0)+1),MATCH(Y$2,quests!$1:$1,0)-MATCH($C$2,quests!$1:$1,0)+1,FALSE)</f>
        <v>0</v>
      </c>
      <c r="Z888" s="47">
        <f ca="1">VLOOKUP($C888,OFFSET(quests!$A$1,0,0,COUNTA(quests!$A:$A),MATCH(Z$2,quests!$1:$1,0)-MATCH($C$2,quests!$1:$1,0)+1),MATCH(Z$2,quests!$1:$1,0)-MATCH($C$2,quests!$1:$1,0)+1,FALSE)</f>
        <v>0</v>
      </c>
      <c r="AA888" s="47">
        <f ca="1">VLOOKUP($C888,OFFSET(quests!$A$1,0,0,COUNTA(quests!$A:$A),MATCH(AA$2,quests!$1:$1,0)-MATCH($C$2,quests!$1:$1,0)+1),MATCH(AA$2,quests!$1:$1,0)-MATCH($C$2,quests!$1:$1,0)+1,FALSE)</f>
        <v>0</v>
      </c>
      <c r="AB888" s="7" t="s">
        <v>56</v>
      </c>
      <c r="AC888" s="167">
        <v>1010</v>
      </c>
      <c r="AD888" s="7">
        <v>6</v>
      </c>
      <c r="AE888" s="7" t="s">
        <v>519</v>
      </c>
      <c r="AF888" s="167">
        <v>40</v>
      </c>
      <c r="AG888" s="167">
        <v>40</v>
      </c>
      <c r="AH888" s="7">
        <v>0</v>
      </c>
      <c r="AI888" s="7">
        <v>-1</v>
      </c>
      <c r="AJ888" s="7">
        <v>-1</v>
      </c>
      <c r="AK888" s="158" t="s">
        <v>80</v>
      </c>
      <c r="AL888" s="12" t="s">
        <v>1388</v>
      </c>
      <c r="AM888" s="12" t="s">
        <v>1064</v>
      </c>
    </row>
    <row r="889" spans="1:39" s="45" customFormat="1" ht="21" customHeight="1" x14ac:dyDescent="0.15">
      <c r="A889" s="42" t="str">
        <f t="shared" ref="A889:A890" si="70">C889&amp;"_"&amp;F889</f>
        <v>47016_2</v>
      </c>
      <c r="B889" s="23">
        <v>3</v>
      </c>
      <c r="C889" s="31">
        <v>47016</v>
      </c>
      <c r="D889" s="47" t="str">
        <f ca="1">VLOOKUP($C889,OFFSET(quests!$A$1,0,0,COUNTA(quests!$A:$A),MATCH(D$1,quests!$1:$1,0)-MATCH($C$2,quests!$1:$1,0)+1),MATCH(D$1,quests!$1:$1,0)-MATCH($C$2,quests!$1:$1,0)+1,FALSE)</f>
        <v>嫁入り道具はチェーンソー</v>
      </c>
      <c r="E889" s="48" t="str">
        <f ca="1">VLOOKUP($C889,OFFSET(quests!$A$1,0,0,COUNTA(quests!$A:$A),MATCH(E$2,quests!$1:$1,0)-MATCH($C$2,quests!$1:$1,0)+1),MATCH(E$2,quests!$1:$1,0)-MATCH($C$2,quests!$1:$1,0)+1,FALSE)</f>
        <v>季節イベント</v>
      </c>
      <c r="F889" s="7">
        <v>2</v>
      </c>
      <c r="G889" s="7" t="s">
        <v>382</v>
      </c>
      <c r="H889" s="23" t="s">
        <v>2385</v>
      </c>
      <c r="I889" s="12" t="s">
        <v>1906</v>
      </c>
      <c r="J889" s="251">
        <v>1697</v>
      </c>
      <c r="K889" s="167">
        <v>30</v>
      </c>
      <c r="L889" s="167">
        <v>3300</v>
      </c>
      <c r="M889" s="167">
        <v>1</v>
      </c>
      <c r="N889" s="167">
        <v>1</v>
      </c>
      <c r="O889" s="167">
        <v>1</v>
      </c>
      <c r="P889" s="167">
        <v>1</v>
      </c>
      <c r="Q889" s="167">
        <v>1</v>
      </c>
      <c r="R889" s="167">
        <v>3</v>
      </c>
      <c r="S889" s="167" t="s">
        <v>278</v>
      </c>
      <c r="T889" s="167">
        <v>1</v>
      </c>
      <c r="U889" s="7" t="s">
        <v>169</v>
      </c>
      <c r="V889" s="7" t="s">
        <v>169</v>
      </c>
      <c r="W889" s="47" t="str">
        <f t="shared" ca="1" si="54"/>
        <v/>
      </c>
      <c r="X889" s="47">
        <f ca="1">VLOOKUP($C889,OFFSET(quests!$A$1,0,0,COUNTA(quests!$A:$A),MATCH(X$2,quests!$1:$1,0)-MATCH($C$2,quests!$1:$1,0)+1),MATCH(X$2,quests!$1:$1,0)-MATCH($C$2,quests!$1:$1,0)+1,FALSE)</f>
        <v>0</v>
      </c>
      <c r="Y889" s="47">
        <f ca="1">VLOOKUP($C889,OFFSET(quests!$A$1,0,0,COUNTA(quests!$A:$A),MATCH(Y$2,quests!$1:$1,0)-MATCH($C$2,quests!$1:$1,0)+1),MATCH(Y$2,quests!$1:$1,0)-MATCH($C$2,quests!$1:$1,0)+1,FALSE)</f>
        <v>0</v>
      </c>
      <c r="Z889" s="47">
        <f ca="1">VLOOKUP($C889,OFFSET(quests!$A$1,0,0,COUNTA(quests!$A:$A),MATCH(Z$2,quests!$1:$1,0)-MATCH($C$2,quests!$1:$1,0)+1),MATCH(Z$2,quests!$1:$1,0)-MATCH($C$2,quests!$1:$1,0)+1,FALSE)</f>
        <v>0</v>
      </c>
      <c r="AA889" s="47">
        <f ca="1">VLOOKUP($C889,OFFSET(quests!$A$1,0,0,COUNTA(quests!$A:$A),MATCH(AA$2,quests!$1:$1,0)-MATCH($C$2,quests!$1:$1,0)+1),MATCH(AA$2,quests!$1:$1,0)-MATCH($C$2,quests!$1:$1,0)+1,FALSE)</f>
        <v>0</v>
      </c>
      <c r="AB889" s="7" t="s">
        <v>56</v>
      </c>
      <c r="AC889" s="167">
        <v>1010</v>
      </c>
      <c r="AD889" s="7">
        <v>6</v>
      </c>
      <c r="AE889" s="7" t="s">
        <v>519</v>
      </c>
      <c r="AF889" s="167">
        <v>40</v>
      </c>
      <c r="AG889" s="167">
        <v>40</v>
      </c>
      <c r="AH889" s="7">
        <v>0</v>
      </c>
      <c r="AI889" s="7">
        <v>-1</v>
      </c>
      <c r="AJ889" s="7">
        <v>-1</v>
      </c>
      <c r="AK889" s="7" t="s">
        <v>1065</v>
      </c>
      <c r="AL889" s="12" t="s">
        <v>1269</v>
      </c>
      <c r="AM889" s="12" t="s">
        <v>1064</v>
      </c>
    </row>
    <row r="890" spans="1:39" s="45" customFormat="1" ht="21" customHeight="1" x14ac:dyDescent="0.15">
      <c r="A890" s="42" t="str">
        <f t="shared" si="70"/>
        <v>47016_3</v>
      </c>
      <c r="B890" s="23">
        <v>3</v>
      </c>
      <c r="C890" s="31">
        <v>47016</v>
      </c>
      <c r="D890" s="47" t="str">
        <f ca="1">VLOOKUP($C890,OFFSET(quests!$A$1,0,0,COUNTA(quests!$A:$A),MATCH(D$1,quests!$1:$1,0)-MATCH($C$2,quests!$1:$1,0)+1),MATCH(D$1,quests!$1:$1,0)-MATCH($C$2,quests!$1:$1,0)+1,FALSE)</f>
        <v>嫁入り道具はチェーンソー</v>
      </c>
      <c r="E890" s="48" t="str">
        <f ca="1">VLOOKUP($C890,OFFSET(quests!$A$1,0,0,COUNTA(quests!$A:$A),MATCH(E$2,quests!$1:$1,0)-MATCH($C$2,quests!$1:$1,0)+1),MATCH(E$2,quests!$1:$1,0)-MATCH($C$2,quests!$1:$1,0)+1,FALSE)</f>
        <v>季節イベント</v>
      </c>
      <c r="F890" s="7">
        <v>3</v>
      </c>
      <c r="G890" s="7" t="s">
        <v>382</v>
      </c>
      <c r="H890" s="23" t="s">
        <v>2386</v>
      </c>
      <c r="I890" s="12" t="s">
        <v>61</v>
      </c>
      <c r="J890" s="251">
        <v>1697</v>
      </c>
      <c r="K890" s="167">
        <v>40</v>
      </c>
      <c r="L890" s="167">
        <v>4500</v>
      </c>
      <c r="M890" s="167">
        <v>1</v>
      </c>
      <c r="N890" s="167">
        <v>1</v>
      </c>
      <c r="O890" s="167">
        <v>1</v>
      </c>
      <c r="P890" s="167">
        <v>1</v>
      </c>
      <c r="Q890" s="167">
        <v>1</v>
      </c>
      <c r="R890" s="167">
        <v>3</v>
      </c>
      <c r="S890" s="167" t="s">
        <v>278</v>
      </c>
      <c r="T890" s="167">
        <v>1</v>
      </c>
      <c r="U890" s="7" t="s">
        <v>169</v>
      </c>
      <c r="V890" s="7" t="s">
        <v>169</v>
      </c>
      <c r="W890" s="47" t="str">
        <f t="shared" ca="1" si="54"/>
        <v/>
      </c>
      <c r="X890" s="47">
        <f ca="1">VLOOKUP($C890,OFFSET(quests!$A$1,0,0,COUNTA(quests!$A:$A),MATCH(X$2,quests!$1:$1,0)-MATCH($C$2,quests!$1:$1,0)+1),MATCH(X$2,quests!$1:$1,0)-MATCH($C$2,quests!$1:$1,0)+1,FALSE)</f>
        <v>0</v>
      </c>
      <c r="Y890" s="47">
        <f ca="1">VLOOKUP($C890,OFFSET(quests!$A$1,0,0,COUNTA(quests!$A:$A),MATCH(Y$2,quests!$1:$1,0)-MATCH($C$2,quests!$1:$1,0)+1),MATCH(Y$2,quests!$1:$1,0)-MATCH($C$2,quests!$1:$1,0)+1,FALSE)</f>
        <v>0</v>
      </c>
      <c r="Z890" s="47">
        <f ca="1">VLOOKUP($C890,OFFSET(quests!$A$1,0,0,COUNTA(quests!$A:$A),MATCH(Z$2,quests!$1:$1,0)-MATCH($C$2,quests!$1:$1,0)+1),MATCH(Z$2,quests!$1:$1,0)-MATCH($C$2,quests!$1:$1,0)+1,FALSE)</f>
        <v>0</v>
      </c>
      <c r="AA890" s="47">
        <f ca="1">VLOOKUP($C890,OFFSET(quests!$A$1,0,0,COUNTA(quests!$A:$A),MATCH(AA$2,quests!$1:$1,0)-MATCH($C$2,quests!$1:$1,0)+1),MATCH(AA$2,quests!$1:$1,0)-MATCH($C$2,quests!$1:$1,0)+1,FALSE)</f>
        <v>0</v>
      </c>
      <c r="AB890" s="7" t="s">
        <v>56</v>
      </c>
      <c r="AC890" s="167">
        <v>1010</v>
      </c>
      <c r="AD890" s="7">
        <v>6</v>
      </c>
      <c r="AE890" s="7" t="s">
        <v>519</v>
      </c>
      <c r="AF890" s="167">
        <v>40</v>
      </c>
      <c r="AG890" s="167">
        <v>40</v>
      </c>
      <c r="AH890" s="7">
        <v>0</v>
      </c>
      <c r="AI890" s="7">
        <v>-1</v>
      </c>
      <c r="AJ890" s="7">
        <v>-1</v>
      </c>
      <c r="AK890" s="7" t="s">
        <v>1065</v>
      </c>
      <c r="AL890" s="12" t="s">
        <v>1269</v>
      </c>
      <c r="AM890" s="12" t="s">
        <v>1064</v>
      </c>
    </row>
    <row r="891" spans="1:39" ht="22" customHeight="1" x14ac:dyDescent="0.15">
      <c r="A891" s="42" t="str">
        <f t="shared" si="53"/>
        <v>48001_1</v>
      </c>
      <c r="B891" s="23">
        <v>1</v>
      </c>
      <c r="C891" s="31">
        <v>48001</v>
      </c>
      <c r="D891" s="47" t="str">
        <f ca="1">VLOOKUP($C891,OFFSET(quests!$A$1,0,0,COUNTA(quests!$A:$A),MATCH(D$1,quests!$1:$1,0)-MATCH($C$2,quests!$1:$1,0)+1),MATCH(D$1,quests!$1:$1,0)-MATCH($C$2,quests!$1:$1,0)+1,FALSE)</f>
        <v>蛟龍襲来！</v>
      </c>
      <c r="E891" s="48" t="str">
        <f ca="1">VLOOKUP($C891,OFFSET(quests!$A$1,0,0,COUNTA(quests!$A:$A),MATCH(E$2,quests!$1:$1,0)-MATCH($C$2,quests!$1:$1,0)+1),MATCH(E$2,quests!$1:$1,0)-MATCH($C$2,quests!$1:$1,0)+1,FALSE)</f>
        <v>台湾版降臨1</v>
      </c>
      <c r="F891" s="7">
        <v>1</v>
      </c>
      <c r="G891" s="7" t="s">
        <v>382</v>
      </c>
      <c r="H891" s="12" t="s">
        <v>1240</v>
      </c>
      <c r="I891" s="12" t="s">
        <v>61</v>
      </c>
      <c r="J891" s="65">
        <v>8003</v>
      </c>
      <c r="K891" s="167">
        <v>35</v>
      </c>
      <c r="L891" s="167">
        <v>4200</v>
      </c>
      <c r="M891" s="167">
        <v>1</v>
      </c>
      <c r="N891" s="167">
        <v>1</v>
      </c>
      <c r="O891" s="167">
        <v>1</v>
      </c>
      <c r="P891" s="167">
        <v>1</v>
      </c>
      <c r="Q891" s="167">
        <v>1</v>
      </c>
      <c r="R891" s="167">
        <v>3</v>
      </c>
      <c r="S891" s="167" t="s">
        <v>273</v>
      </c>
      <c r="T891" s="167">
        <v>8003</v>
      </c>
      <c r="U891" s="7" t="s">
        <v>169</v>
      </c>
      <c r="V891" s="7" t="s">
        <v>169</v>
      </c>
      <c r="W891" s="47" t="str">
        <f t="shared" ca="1" si="54"/>
        <v/>
      </c>
      <c r="X891" s="47">
        <f ca="1">VLOOKUP($C891,OFFSET(quests!$A$1,0,0,COUNTA(quests!$A:$A),MATCH(X$2,quests!$1:$1,0)-MATCH($C$2,quests!$1:$1,0)+1),MATCH(X$2,quests!$1:$1,0)-MATCH($C$2,quests!$1:$1,0)+1,FALSE)</f>
        <v>0</v>
      </c>
      <c r="Y891" s="47">
        <f ca="1">VLOOKUP($C891,OFFSET(quests!$A$1,0,0,COUNTA(quests!$A:$A),MATCH(Y$2,quests!$1:$1,0)-MATCH($C$2,quests!$1:$1,0)+1),MATCH(Y$2,quests!$1:$1,0)-MATCH($C$2,quests!$1:$1,0)+1,FALSE)</f>
        <v>0</v>
      </c>
      <c r="Z891" s="47">
        <f ca="1">VLOOKUP($C891,OFFSET(quests!$A$1,0,0,COUNTA(quests!$A:$A),MATCH(Z$2,quests!$1:$1,0)-MATCH($C$2,quests!$1:$1,0)+1),MATCH(Z$2,quests!$1:$1,0)-MATCH($C$2,quests!$1:$1,0)+1,FALSE)</f>
        <v>0</v>
      </c>
      <c r="AA891" s="47">
        <f ca="1">VLOOKUP($C891,OFFSET(quests!$A$1,0,0,COUNTA(quests!$A:$A),MATCH(AA$2,quests!$1:$1,0)-MATCH($C$2,quests!$1:$1,0)+1),MATCH(AA$2,quests!$1:$1,0)-MATCH($C$2,quests!$1:$1,0)+1,FALSE)</f>
        <v>0</v>
      </c>
      <c r="AB891" s="7" t="s">
        <v>56</v>
      </c>
      <c r="AC891" s="7">
        <v>930</v>
      </c>
      <c r="AD891" s="7">
        <v>6</v>
      </c>
      <c r="AE891" s="7" t="s">
        <v>519</v>
      </c>
      <c r="AF891" s="7">
        <v>40</v>
      </c>
      <c r="AG891" s="7">
        <v>40</v>
      </c>
      <c r="AH891" s="7">
        <v>0</v>
      </c>
      <c r="AI891" s="7">
        <v>-1</v>
      </c>
      <c r="AJ891" s="7">
        <v>-1</v>
      </c>
      <c r="AK891" s="7" t="s">
        <v>1065</v>
      </c>
      <c r="AL891" s="12" t="s">
        <v>1695</v>
      </c>
      <c r="AM891" s="12" t="s">
        <v>2072</v>
      </c>
    </row>
    <row r="892" spans="1:39" ht="22" customHeight="1" x14ac:dyDescent="0.15">
      <c r="A892" s="42" t="str">
        <f t="shared" si="53"/>
        <v>48002_1</v>
      </c>
      <c r="B892" s="23">
        <v>1</v>
      </c>
      <c r="C892" s="31">
        <v>48002</v>
      </c>
      <c r="D892" s="47" t="str">
        <f ca="1">VLOOKUP($C892,OFFSET(quests!$A$1,0,0,COUNTA(quests!$A:$A),MATCH(D$1,quests!$1:$1,0)-MATCH($C$2,quests!$1:$1,0)+1),MATCH(D$1,quests!$1:$1,0)-MATCH($C$2,quests!$1:$1,0)+1,FALSE)</f>
        <v>孫悟空襲来！</v>
      </c>
      <c r="E892" s="48" t="str">
        <f ca="1">VLOOKUP($C892,OFFSET(quests!$A$1,0,0,COUNTA(quests!$A:$A),MATCH(E$2,quests!$1:$1,0)-MATCH($C$2,quests!$1:$1,0)+1),MATCH(E$2,quests!$1:$1,0)-MATCH($C$2,quests!$1:$1,0)+1,FALSE)</f>
        <v>台湾版降臨2</v>
      </c>
      <c r="F892" s="7">
        <v>1</v>
      </c>
      <c r="G892" s="7" t="s">
        <v>382</v>
      </c>
      <c r="H892" s="12" t="s">
        <v>1344</v>
      </c>
      <c r="I892" s="12" t="s">
        <v>61</v>
      </c>
      <c r="J892" s="65">
        <v>8007</v>
      </c>
      <c r="K892" s="167">
        <v>35</v>
      </c>
      <c r="L892" s="167">
        <v>4200</v>
      </c>
      <c r="M892" s="167">
        <v>1</v>
      </c>
      <c r="N892" s="167">
        <v>1</v>
      </c>
      <c r="O892" s="167">
        <v>1</v>
      </c>
      <c r="P892" s="167">
        <v>1</v>
      </c>
      <c r="Q892" s="167">
        <v>1</v>
      </c>
      <c r="R892" s="167">
        <v>3</v>
      </c>
      <c r="S892" s="167" t="s">
        <v>385</v>
      </c>
      <c r="T892" s="167">
        <v>1</v>
      </c>
      <c r="U892" s="7" t="s">
        <v>169</v>
      </c>
      <c r="V892" s="7" t="s">
        <v>169</v>
      </c>
      <c r="W892" s="47" t="str">
        <f t="shared" ca="1" si="54"/>
        <v/>
      </c>
      <c r="X892" s="47">
        <f ca="1">VLOOKUP($C892,OFFSET(quests!$A$1,0,0,COUNTA(quests!$A:$A),MATCH(X$2,quests!$1:$1,0)-MATCH($C$2,quests!$1:$1,0)+1),MATCH(X$2,quests!$1:$1,0)-MATCH($C$2,quests!$1:$1,0)+1,FALSE)</f>
        <v>0</v>
      </c>
      <c r="Y892" s="47">
        <f ca="1">VLOOKUP($C892,OFFSET(quests!$A$1,0,0,COUNTA(quests!$A:$A),MATCH(Y$2,quests!$1:$1,0)-MATCH($C$2,quests!$1:$1,0)+1),MATCH(Y$2,quests!$1:$1,0)-MATCH($C$2,quests!$1:$1,0)+1,FALSE)</f>
        <v>0</v>
      </c>
      <c r="Z892" s="47">
        <f ca="1">VLOOKUP($C892,OFFSET(quests!$A$1,0,0,COUNTA(quests!$A:$A),MATCH(Z$2,quests!$1:$1,0)-MATCH($C$2,quests!$1:$1,0)+1),MATCH(Z$2,quests!$1:$1,0)-MATCH($C$2,quests!$1:$1,0)+1,FALSE)</f>
        <v>0</v>
      </c>
      <c r="AA892" s="47">
        <f ca="1">VLOOKUP($C892,OFFSET(quests!$A$1,0,0,COUNTA(quests!$A:$A),MATCH(AA$2,quests!$1:$1,0)-MATCH($C$2,quests!$1:$1,0)+1),MATCH(AA$2,quests!$1:$1,0)-MATCH($C$2,quests!$1:$1,0)+1,FALSE)</f>
        <v>0</v>
      </c>
      <c r="AB892" s="7" t="s">
        <v>56</v>
      </c>
      <c r="AC892" s="7">
        <v>927</v>
      </c>
      <c r="AD892" s="7">
        <v>6</v>
      </c>
      <c r="AE892" s="7" t="s">
        <v>519</v>
      </c>
      <c r="AF892" s="7">
        <v>40</v>
      </c>
      <c r="AG892" s="7">
        <v>40</v>
      </c>
      <c r="AH892" s="7">
        <v>0</v>
      </c>
      <c r="AI892" s="7">
        <v>-1</v>
      </c>
      <c r="AJ892" s="7">
        <v>-1</v>
      </c>
      <c r="AK892" s="7" t="s">
        <v>1065</v>
      </c>
      <c r="AL892" s="12" t="s">
        <v>1695</v>
      </c>
      <c r="AM892" s="12" t="s">
        <v>2072</v>
      </c>
    </row>
    <row r="893" spans="1:39" ht="22" customHeight="1" x14ac:dyDescent="0.15">
      <c r="A893" s="42" t="str">
        <f t="shared" si="53"/>
        <v>48002_2</v>
      </c>
      <c r="B893" s="23">
        <v>1</v>
      </c>
      <c r="C893" s="31">
        <v>48002</v>
      </c>
      <c r="D893" s="47" t="str">
        <f ca="1">VLOOKUP($C893,OFFSET(quests!$A$1,0,0,COUNTA(quests!$A:$A),MATCH(D$1,quests!$1:$1,0)-MATCH($C$2,quests!$1:$1,0)+1),MATCH(D$1,quests!$1:$1,0)-MATCH($C$2,quests!$1:$1,0)+1,FALSE)</f>
        <v>孫悟空襲来！</v>
      </c>
      <c r="E893" s="48" t="str">
        <f ca="1">VLOOKUP($C893,OFFSET(quests!$A$1,0,0,COUNTA(quests!$A:$A),MATCH(E$2,quests!$1:$1,0)-MATCH($C$2,quests!$1:$1,0)+1),MATCH(E$2,quests!$1:$1,0)-MATCH($C$2,quests!$1:$1,0)+1,FALSE)</f>
        <v>台湾版降臨2</v>
      </c>
      <c r="F893" s="7">
        <v>2</v>
      </c>
      <c r="G893" s="7" t="s">
        <v>382</v>
      </c>
      <c r="H893" s="12" t="s">
        <v>1345</v>
      </c>
      <c r="I893" s="12" t="s">
        <v>61</v>
      </c>
      <c r="J893" s="65">
        <v>8007</v>
      </c>
      <c r="K893" s="167">
        <v>40</v>
      </c>
      <c r="L893" s="167">
        <v>4500</v>
      </c>
      <c r="M893" s="167">
        <v>1</v>
      </c>
      <c r="N893" s="167">
        <v>1</v>
      </c>
      <c r="O893" s="167">
        <v>1</v>
      </c>
      <c r="P893" s="167">
        <v>1</v>
      </c>
      <c r="Q893" s="167">
        <v>1</v>
      </c>
      <c r="R893" s="167">
        <v>3</v>
      </c>
      <c r="S893" s="167" t="s">
        <v>385</v>
      </c>
      <c r="T893" s="167">
        <v>1</v>
      </c>
      <c r="U893" s="7" t="s">
        <v>169</v>
      </c>
      <c r="V893" s="7" t="s">
        <v>169</v>
      </c>
      <c r="W893" s="47" t="str">
        <f t="shared" ca="1" si="54"/>
        <v/>
      </c>
      <c r="X893" s="47">
        <f ca="1">VLOOKUP($C893,OFFSET(quests!$A$1,0,0,COUNTA(quests!$A:$A),MATCH(X$2,quests!$1:$1,0)-MATCH($C$2,quests!$1:$1,0)+1),MATCH(X$2,quests!$1:$1,0)-MATCH($C$2,quests!$1:$1,0)+1,FALSE)</f>
        <v>0</v>
      </c>
      <c r="Y893" s="47">
        <f ca="1">VLOOKUP($C893,OFFSET(quests!$A$1,0,0,COUNTA(quests!$A:$A),MATCH(Y$2,quests!$1:$1,0)-MATCH($C$2,quests!$1:$1,0)+1),MATCH(Y$2,quests!$1:$1,0)-MATCH($C$2,quests!$1:$1,0)+1,FALSE)</f>
        <v>0</v>
      </c>
      <c r="Z893" s="47">
        <f ca="1">VLOOKUP($C893,OFFSET(quests!$A$1,0,0,COUNTA(quests!$A:$A),MATCH(Z$2,quests!$1:$1,0)-MATCH($C$2,quests!$1:$1,0)+1),MATCH(Z$2,quests!$1:$1,0)-MATCH($C$2,quests!$1:$1,0)+1,FALSE)</f>
        <v>0</v>
      </c>
      <c r="AA893" s="47">
        <f ca="1">VLOOKUP($C893,OFFSET(quests!$A$1,0,0,COUNTA(quests!$A:$A),MATCH(AA$2,quests!$1:$1,0)-MATCH($C$2,quests!$1:$1,0)+1),MATCH(AA$2,quests!$1:$1,0)-MATCH($C$2,quests!$1:$1,0)+1,FALSE)</f>
        <v>0</v>
      </c>
      <c r="AB893" s="7" t="s">
        <v>56</v>
      </c>
      <c r="AC893" s="7">
        <v>927</v>
      </c>
      <c r="AD893" s="7">
        <v>6</v>
      </c>
      <c r="AE893" s="7" t="s">
        <v>519</v>
      </c>
      <c r="AF893" s="7">
        <v>40</v>
      </c>
      <c r="AG893" s="7">
        <v>40</v>
      </c>
      <c r="AH893" s="7">
        <v>0</v>
      </c>
      <c r="AI893" s="7">
        <v>-1</v>
      </c>
      <c r="AJ893" s="7">
        <v>-1</v>
      </c>
      <c r="AK893" s="7" t="s">
        <v>1065</v>
      </c>
      <c r="AL893" s="12" t="s">
        <v>1695</v>
      </c>
      <c r="AM893" s="12" t="s">
        <v>2072</v>
      </c>
    </row>
    <row r="894" spans="1:39" ht="21" customHeight="1" x14ac:dyDescent="0.15">
      <c r="A894" s="42" t="str">
        <f t="shared" si="53"/>
        <v>48002_3</v>
      </c>
      <c r="B894" s="23">
        <v>1</v>
      </c>
      <c r="C894" s="31">
        <v>48002</v>
      </c>
      <c r="D894" s="47" t="str">
        <f ca="1">VLOOKUP($C894,OFFSET(quests!$A$1,0,0,COUNTA(quests!$A:$A),MATCH(D$1,quests!$1:$1,0)-MATCH($C$2,quests!$1:$1,0)+1),MATCH(D$1,quests!$1:$1,0)-MATCH($C$2,quests!$1:$1,0)+1,FALSE)</f>
        <v>孫悟空襲来！</v>
      </c>
      <c r="E894" s="48" t="str">
        <f ca="1">VLOOKUP($C894,OFFSET(quests!$A$1,0,0,COUNTA(quests!$A:$A),MATCH(E$2,quests!$1:$1,0)-MATCH($C$2,quests!$1:$1,0)+1),MATCH(E$2,quests!$1:$1,0)-MATCH($C$2,quests!$1:$1,0)+1,FALSE)</f>
        <v>台湾版降臨2</v>
      </c>
      <c r="F894" s="7">
        <v>3</v>
      </c>
      <c r="G894" s="7" t="s">
        <v>382</v>
      </c>
      <c r="H894" s="12" t="s">
        <v>1346</v>
      </c>
      <c r="I894" s="12" t="s">
        <v>61</v>
      </c>
      <c r="J894" s="65">
        <v>8007</v>
      </c>
      <c r="K894" s="167">
        <v>40</v>
      </c>
      <c r="L894" s="167">
        <v>4500</v>
      </c>
      <c r="M894" s="167">
        <v>1</v>
      </c>
      <c r="N894" s="167">
        <v>1</v>
      </c>
      <c r="O894" s="167">
        <v>1</v>
      </c>
      <c r="P894" s="167">
        <v>1</v>
      </c>
      <c r="Q894" s="167">
        <v>1</v>
      </c>
      <c r="R894" s="167">
        <v>3</v>
      </c>
      <c r="S894" s="167" t="s">
        <v>273</v>
      </c>
      <c r="T894" s="167">
        <v>8007</v>
      </c>
      <c r="U894" s="7" t="s">
        <v>169</v>
      </c>
      <c r="V894" s="7" t="s">
        <v>169</v>
      </c>
      <c r="W894" s="47" t="str">
        <f t="shared" ca="1" si="54"/>
        <v/>
      </c>
      <c r="X894" s="47">
        <f ca="1">VLOOKUP($C894,OFFSET(quests!$A$1,0,0,COUNTA(quests!$A:$A),MATCH(X$2,quests!$1:$1,0)-MATCH($C$2,quests!$1:$1,0)+1),MATCH(X$2,quests!$1:$1,0)-MATCH($C$2,quests!$1:$1,0)+1,FALSE)</f>
        <v>0</v>
      </c>
      <c r="Y894" s="47">
        <f ca="1">VLOOKUP($C894,OFFSET(quests!$A$1,0,0,COUNTA(quests!$A:$A),MATCH(Y$2,quests!$1:$1,0)-MATCH($C$2,quests!$1:$1,0)+1),MATCH(Y$2,quests!$1:$1,0)-MATCH($C$2,quests!$1:$1,0)+1,FALSE)</f>
        <v>0</v>
      </c>
      <c r="Z894" s="47">
        <f ca="1">VLOOKUP($C894,OFFSET(quests!$A$1,0,0,COUNTA(quests!$A:$A),MATCH(Z$2,quests!$1:$1,0)-MATCH($C$2,quests!$1:$1,0)+1),MATCH(Z$2,quests!$1:$1,0)-MATCH($C$2,quests!$1:$1,0)+1,FALSE)</f>
        <v>0</v>
      </c>
      <c r="AA894" s="47">
        <f ca="1">VLOOKUP($C894,OFFSET(quests!$A$1,0,0,COUNTA(quests!$A:$A),MATCH(AA$2,quests!$1:$1,0)-MATCH($C$2,quests!$1:$1,0)+1),MATCH(AA$2,quests!$1:$1,0)-MATCH($C$2,quests!$1:$1,0)+1,FALSE)</f>
        <v>0</v>
      </c>
      <c r="AB894" s="7" t="s">
        <v>56</v>
      </c>
      <c r="AC894" s="7">
        <v>927</v>
      </c>
      <c r="AD894" s="7">
        <v>6</v>
      </c>
      <c r="AE894" s="7" t="s">
        <v>519</v>
      </c>
      <c r="AF894" s="7">
        <v>40</v>
      </c>
      <c r="AG894" s="7">
        <v>40</v>
      </c>
      <c r="AH894" s="7">
        <v>0</v>
      </c>
      <c r="AI894" s="7">
        <v>0</v>
      </c>
      <c r="AJ894" s="7">
        <v>-1</v>
      </c>
      <c r="AK894" s="7" t="s">
        <v>1065</v>
      </c>
      <c r="AL894" s="12" t="s">
        <v>1695</v>
      </c>
      <c r="AM894" s="12" t="s">
        <v>2072</v>
      </c>
    </row>
    <row r="895" spans="1:39" ht="22" customHeight="1" x14ac:dyDescent="0.15">
      <c r="A895" s="42" t="str">
        <f t="shared" si="53"/>
        <v>48003_1</v>
      </c>
      <c r="B895" s="23">
        <v>3</v>
      </c>
      <c r="C895" s="31">
        <v>48003</v>
      </c>
      <c r="D895" s="47" t="str">
        <f ca="1">VLOOKUP($C895,OFFSET(quests!$A$1,0,0,COUNTA(quests!$A:$A),MATCH(D$1,quests!$1:$1,0)-MATCH($C$2,quests!$1:$1,0)+1),MATCH(D$1,quests!$1:$1,0)-MATCH($C$2,quests!$1:$1,0)+1,FALSE)</f>
        <v>月下老人襲来！</v>
      </c>
      <c r="E895" s="48" t="str">
        <f ca="1">VLOOKUP($C895,OFFSET(quests!$A$1,0,0,COUNTA(quests!$A:$A),MATCH(E$2,quests!$1:$1,0)-MATCH($C$2,quests!$1:$1,0)+1),MATCH(E$2,quests!$1:$1,0)-MATCH($C$2,quests!$1:$1,0)+1,FALSE)</f>
        <v>台湾版降臨4</v>
      </c>
      <c r="F895" s="7">
        <v>1</v>
      </c>
      <c r="G895" s="7" t="s">
        <v>382</v>
      </c>
      <c r="H895" s="12" t="s">
        <v>1483</v>
      </c>
      <c r="I895" s="12" t="s">
        <v>534</v>
      </c>
      <c r="J895" s="65">
        <v>8012</v>
      </c>
      <c r="K895" s="167">
        <v>35</v>
      </c>
      <c r="L895" s="167">
        <v>4200</v>
      </c>
      <c r="M895" s="167">
        <v>1</v>
      </c>
      <c r="N895" s="167">
        <v>1</v>
      </c>
      <c r="O895" s="167">
        <v>1</v>
      </c>
      <c r="P895" s="167">
        <v>1</v>
      </c>
      <c r="Q895" s="167">
        <v>1</v>
      </c>
      <c r="R895" s="167">
        <v>3</v>
      </c>
      <c r="S895" s="167" t="s">
        <v>385</v>
      </c>
      <c r="T895" s="167">
        <v>1</v>
      </c>
      <c r="U895" s="7" t="s">
        <v>169</v>
      </c>
      <c r="V895" s="7" t="s">
        <v>169</v>
      </c>
      <c r="W895" s="47" t="str">
        <f t="shared" ca="1" si="54"/>
        <v/>
      </c>
      <c r="X895" s="47">
        <f ca="1">VLOOKUP($C895,OFFSET(quests!$A$1,0,0,COUNTA(quests!$A:$A),MATCH(X$2,quests!$1:$1,0)-MATCH($C$2,quests!$1:$1,0)+1),MATCH(X$2,quests!$1:$1,0)-MATCH($C$2,quests!$1:$1,0)+1,FALSE)</f>
        <v>0</v>
      </c>
      <c r="Y895" s="47">
        <f ca="1">VLOOKUP($C895,OFFSET(quests!$A$1,0,0,COUNTA(quests!$A:$A),MATCH(Y$2,quests!$1:$1,0)-MATCH($C$2,quests!$1:$1,0)+1),MATCH(Y$2,quests!$1:$1,0)-MATCH($C$2,quests!$1:$1,0)+1,FALSE)</f>
        <v>0</v>
      </c>
      <c r="Z895" s="47">
        <f ca="1">VLOOKUP($C895,OFFSET(quests!$A$1,0,0,COUNTA(quests!$A:$A),MATCH(Z$2,quests!$1:$1,0)-MATCH($C$2,quests!$1:$1,0)+1),MATCH(Z$2,quests!$1:$1,0)-MATCH($C$2,quests!$1:$1,0)+1,FALSE)</f>
        <v>0</v>
      </c>
      <c r="AA895" s="47">
        <f ca="1">VLOOKUP($C895,OFFSET(quests!$A$1,0,0,COUNTA(quests!$A:$A),MATCH(AA$2,quests!$1:$1,0)-MATCH($C$2,quests!$1:$1,0)+1),MATCH(AA$2,quests!$1:$1,0)-MATCH($C$2,quests!$1:$1,0)+1,FALSE)</f>
        <v>0</v>
      </c>
      <c r="AB895" s="7" t="s">
        <v>56</v>
      </c>
      <c r="AC895" s="167">
        <v>942</v>
      </c>
      <c r="AD895" s="7">
        <v>6</v>
      </c>
      <c r="AE895" s="7" t="s">
        <v>519</v>
      </c>
      <c r="AF895" s="7">
        <v>40</v>
      </c>
      <c r="AG895" s="7">
        <v>40</v>
      </c>
      <c r="AH895" s="7">
        <v>0</v>
      </c>
      <c r="AI895" s="7">
        <v>-1</v>
      </c>
      <c r="AJ895" s="7">
        <v>-1</v>
      </c>
      <c r="AK895" s="7" t="s">
        <v>1065</v>
      </c>
      <c r="AL895" s="12" t="s">
        <v>1695</v>
      </c>
      <c r="AM895" s="12" t="s">
        <v>2072</v>
      </c>
    </row>
    <row r="896" spans="1:39" ht="21" customHeight="1" x14ac:dyDescent="0.15">
      <c r="A896" s="42" t="str">
        <f t="shared" si="53"/>
        <v>48003_2</v>
      </c>
      <c r="B896" s="23">
        <v>3</v>
      </c>
      <c r="C896" s="31">
        <v>48003</v>
      </c>
      <c r="D896" s="47" t="str">
        <f ca="1">VLOOKUP($C896,OFFSET(quests!$A$1,0,0,COUNTA(quests!$A:$A),MATCH(D$1,quests!$1:$1,0)-MATCH($C$2,quests!$1:$1,0)+1),MATCH(D$1,quests!$1:$1,0)-MATCH($C$2,quests!$1:$1,0)+1,FALSE)</f>
        <v>月下老人襲来！</v>
      </c>
      <c r="E896" s="48" t="str">
        <f ca="1">VLOOKUP($C896,OFFSET(quests!$A$1,0,0,COUNTA(quests!$A:$A),MATCH(E$2,quests!$1:$1,0)-MATCH($C$2,quests!$1:$1,0)+1),MATCH(E$2,quests!$1:$1,0)-MATCH($C$2,quests!$1:$1,0)+1,FALSE)</f>
        <v>台湾版降臨4</v>
      </c>
      <c r="F896" s="7">
        <v>2</v>
      </c>
      <c r="G896" s="7" t="s">
        <v>382</v>
      </c>
      <c r="H896" s="12" t="s">
        <v>1484</v>
      </c>
      <c r="I896" s="12" t="s">
        <v>61</v>
      </c>
      <c r="J896" s="65">
        <v>8012</v>
      </c>
      <c r="K896" s="167">
        <v>40</v>
      </c>
      <c r="L896" s="167">
        <v>4500</v>
      </c>
      <c r="M896" s="167">
        <v>1</v>
      </c>
      <c r="N896" s="167">
        <v>1</v>
      </c>
      <c r="O896" s="167">
        <v>1</v>
      </c>
      <c r="P896" s="167">
        <v>1</v>
      </c>
      <c r="Q896" s="167">
        <v>1</v>
      </c>
      <c r="R896" s="167">
        <v>3</v>
      </c>
      <c r="S896" s="167" t="s">
        <v>385</v>
      </c>
      <c r="T896" s="167">
        <v>1</v>
      </c>
      <c r="U896" s="7" t="s">
        <v>169</v>
      </c>
      <c r="V896" s="7" t="s">
        <v>169</v>
      </c>
      <c r="W896" s="47" t="str">
        <f t="shared" ca="1" si="54"/>
        <v/>
      </c>
      <c r="X896" s="47">
        <f ca="1">VLOOKUP($C896,OFFSET(quests!$A$1,0,0,COUNTA(quests!$A:$A),MATCH(X$2,quests!$1:$1,0)-MATCH($C$2,quests!$1:$1,0)+1),MATCH(X$2,quests!$1:$1,0)-MATCH($C$2,quests!$1:$1,0)+1,FALSE)</f>
        <v>0</v>
      </c>
      <c r="Y896" s="47">
        <f ca="1">VLOOKUP($C896,OFFSET(quests!$A$1,0,0,COUNTA(quests!$A:$A),MATCH(Y$2,quests!$1:$1,0)-MATCH($C$2,quests!$1:$1,0)+1),MATCH(Y$2,quests!$1:$1,0)-MATCH($C$2,quests!$1:$1,0)+1,FALSE)</f>
        <v>0</v>
      </c>
      <c r="Z896" s="47">
        <f ca="1">VLOOKUP($C896,OFFSET(quests!$A$1,0,0,COUNTA(quests!$A:$A),MATCH(Z$2,quests!$1:$1,0)-MATCH($C$2,quests!$1:$1,0)+1),MATCH(Z$2,quests!$1:$1,0)-MATCH($C$2,quests!$1:$1,0)+1,FALSE)</f>
        <v>0</v>
      </c>
      <c r="AA896" s="47">
        <f ca="1">VLOOKUP($C896,OFFSET(quests!$A$1,0,0,COUNTA(quests!$A:$A),MATCH(AA$2,quests!$1:$1,0)-MATCH($C$2,quests!$1:$1,0)+1),MATCH(AA$2,quests!$1:$1,0)-MATCH($C$2,quests!$1:$1,0)+1,FALSE)</f>
        <v>0</v>
      </c>
      <c r="AB896" s="7" t="s">
        <v>56</v>
      </c>
      <c r="AC896" s="167">
        <v>942</v>
      </c>
      <c r="AD896" s="7">
        <v>6</v>
      </c>
      <c r="AE896" s="7" t="s">
        <v>519</v>
      </c>
      <c r="AF896" s="7">
        <v>40</v>
      </c>
      <c r="AG896" s="7">
        <v>40</v>
      </c>
      <c r="AH896" s="7">
        <v>0</v>
      </c>
      <c r="AI896" s="7">
        <v>-1</v>
      </c>
      <c r="AJ896" s="7">
        <v>-1</v>
      </c>
      <c r="AK896" s="7" t="s">
        <v>1065</v>
      </c>
      <c r="AL896" s="12" t="s">
        <v>1695</v>
      </c>
      <c r="AM896" s="12" t="s">
        <v>2072</v>
      </c>
    </row>
    <row r="897" spans="1:39" ht="21" customHeight="1" x14ac:dyDescent="0.15">
      <c r="A897" s="42" t="str">
        <f t="shared" si="53"/>
        <v>48004_1</v>
      </c>
      <c r="B897" s="23">
        <v>3</v>
      </c>
      <c r="C897" s="31">
        <v>48004</v>
      </c>
      <c r="D897" s="47" t="str">
        <f ca="1">VLOOKUP($C897,OFFSET(quests!$A$1,0,0,COUNTA(quests!$A:$A),MATCH(D$1,quests!$1:$1,0)-MATCH($C$2,quests!$1:$1,0)+1),MATCH(D$1,quests!$1:$1,0)-MATCH($C$2,quests!$1:$1,0)+1,FALSE)</f>
        <v>蛟龍襲来！</v>
      </c>
      <c r="E897" s="48" t="str">
        <f ca="1">VLOOKUP($C897,OFFSET(quests!$A$1,0,0,COUNTA(quests!$A:$A),MATCH(E$2,quests!$1:$1,0)-MATCH($C$2,quests!$1:$1,0)+1),MATCH(E$2,quests!$1:$1,0)-MATCH($C$2,quests!$1:$1,0)+1,FALSE)</f>
        <v>台湾版降臨5</v>
      </c>
      <c r="F897" s="7">
        <v>1</v>
      </c>
      <c r="G897" s="7" t="s">
        <v>382</v>
      </c>
      <c r="H897" s="12" t="s">
        <v>1658</v>
      </c>
      <c r="I897" s="12" t="s">
        <v>61</v>
      </c>
      <c r="J897" s="65">
        <v>8003</v>
      </c>
      <c r="K897" s="167">
        <v>35</v>
      </c>
      <c r="L897" s="167">
        <v>4200</v>
      </c>
      <c r="M897" s="167">
        <v>1</v>
      </c>
      <c r="N897" s="167">
        <v>1</v>
      </c>
      <c r="O897" s="167">
        <v>1</v>
      </c>
      <c r="P897" s="167">
        <v>1</v>
      </c>
      <c r="Q897" s="167">
        <v>1</v>
      </c>
      <c r="R897" s="167">
        <v>3</v>
      </c>
      <c r="S897" s="167" t="s">
        <v>278</v>
      </c>
      <c r="T897" s="167">
        <v>1</v>
      </c>
      <c r="U897" s="7" t="s">
        <v>169</v>
      </c>
      <c r="V897" s="7" t="s">
        <v>169</v>
      </c>
      <c r="W897" s="47" t="str">
        <f t="shared" ca="1" si="54"/>
        <v/>
      </c>
      <c r="X897" s="47">
        <f ca="1">VLOOKUP($C897,OFFSET(quests!$A$1,0,0,COUNTA(quests!$A:$A),MATCH(X$2,quests!$1:$1,0)-MATCH($C$2,quests!$1:$1,0)+1),MATCH(X$2,quests!$1:$1,0)-MATCH($C$2,quests!$1:$1,0)+1,FALSE)</f>
        <v>0</v>
      </c>
      <c r="Y897" s="47">
        <f ca="1">VLOOKUP($C897,OFFSET(quests!$A$1,0,0,COUNTA(quests!$A:$A),MATCH(Y$2,quests!$1:$1,0)-MATCH($C$2,quests!$1:$1,0)+1),MATCH(Y$2,quests!$1:$1,0)-MATCH($C$2,quests!$1:$1,0)+1,FALSE)</f>
        <v>0</v>
      </c>
      <c r="Z897" s="47">
        <f ca="1">VLOOKUP($C897,OFFSET(quests!$A$1,0,0,COUNTA(quests!$A:$A),MATCH(Z$2,quests!$1:$1,0)-MATCH($C$2,quests!$1:$1,0)+1),MATCH(Z$2,quests!$1:$1,0)-MATCH($C$2,quests!$1:$1,0)+1,FALSE)</f>
        <v>0</v>
      </c>
      <c r="AA897" s="47">
        <f ca="1">VLOOKUP($C897,OFFSET(quests!$A$1,0,0,COUNTA(quests!$A:$A),MATCH(AA$2,quests!$1:$1,0)-MATCH($C$2,quests!$1:$1,0)+1),MATCH(AA$2,quests!$1:$1,0)-MATCH($C$2,quests!$1:$1,0)+1,FALSE)</f>
        <v>0</v>
      </c>
      <c r="AB897" s="7" t="s">
        <v>56</v>
      </c>
      <c r="AC897" s="167">
        <v>930</v>
      </c>
      <c r="AD897" s="7">
        <v>6</v>
      </c>
      <c r="AE897" s="7" t="s">
        <v>519</v>
      </c>
      <c r="AF897" s="7">
        <v>40</v>
      </c>
      <c r="AG897" s="7">
        <v>40</v>
      </c>
      <c r="AH897" s="7">
        <v>0</v>
      </c>
      <c r="AI897" s="7">
        <v>-1</v>
      </c>
      <c r="AJ897" s="7">
        <v>-1</v>
      </c>
      <c r="AK897" s="7" t="s">
        <v>1065</v>
      </c>
      <c r="AL897" s="12" t="s">
        <v>1695</v>
      </c>
      <c r="AM897" s="12" t="s">
        <v>2072</v>
      </c>
    </row>
    <row r="898" spans="1:39" ht="22" customHeight="1" x14ac:dyDescent="0.15">
      <c r="A898" s="42" t="str">
        <f t="shared" si="53"/>
        <v>48004_2</v>
      </c>
      <c r="B898" s="23">
        <v>3</v>
      </c>
      <c r="C898" s="31">
        <v>48004</v>
      </c>
      <c r="D898" s="47" t="str">
        <f ca="1">VLOOKUP($C898,OFFSET(quests!$A$1,0,0,COUNTA(quests!$A:$A),MATCH(D$1,quests!$1:$1,0)-MATCH($C$2,quests!$1:$1,0)+1),MATCH(D$1,quests!$1:$1,0)-MATCH($C$2,quests!$1:$1,0)+1,FALSE)</f>
        <v>蛟龍襲来！</v>
      </c>
      <c r="E898" s="48" t="str">
        <f ca="1">VLOOKUP($C898,OFFSET(quests!$A$1,0,0,COUNTA(quests!$A:$A),MATCH(E$2,quests!$1:$1,0)-MATCH($C$2,quests!$1:$1,0)+1),MATCH(E$2,quests!$1:$1,0)-MATCH($C$2,quests!$1:$1,0)+1,FALSE)</f>
        <v>台湾版降臨5</v>
      </c>
      <c r="F898" s="7">
        <v>2</v>
      </c>
      <c r="G898" s="7" t="s">
        <v>382</v>
      </c>
      <c r="H898" s="12" t="s">
        <v>1240</v>
      </c>
      <c r="I898" s="12" t="s">
        <v>61</v>
      </c>
      <c r="J898" s="65">
        <v>8004</v>
      </c>
      <c r="K898" s="167">
        <v>40</v>
      </c>
      <c r="L898" s="167">
        <v>4500</v>
      </c>
      <c r="M898" s="167">
        <v>1</v>
      </c>
      <c r="N898" s="167">
        <v>1</v>
      </c>
      <c r="O898" s="167">
        <v>1</v>
      </c>
      <c r="P898" s="167">
        <v>1</v>
      </c>
      <c r="Q898" s="167">
        <v>1</v>
      </c>
      <c r="R898" s="167">
        <v>3</v>
      </c>
      <c r="S898" s="167" t="s">
        <v>278</v>
      </c>
      <c r="T898" s="167">
        <v>1</v>
      </c>
      <c r="U898" s="7" t="s">
        <v>169</v>
      </c>
      <c r="V898" s="7" t="s">
        <v>169</v>
      </c>
      <c r="W898" s="47" t="str">
        <f t="shared" ca="1" si="54"/>
        <v/>
      </c>
      <c r="X898" s="47">
        <f ca="1">VLOOKUP($C898,OFFSET(quests!$A$1,0,0,COUNTA(quests!$A:$A),MATCH(X$2,quests!$1:$1,0)-MATCH($C$2,quests!$1:$1,0)+1),MATCH(X$2,quests!$1:$1,0)-MATCH($C$2,quests!$1:$1,0)+1,FALSE)</f>
        <v>0</v>
      </c>
      <c r="Y898" s="47">
        <f ca="1">VLOOKUP($C898,OFFSET(quests!$A$1,0,0,COUNTA(quests!$A:$A),MATCH(Y$2,quests!$1:$1,0)-MATCH($C$2,quests!$1:$1,0)+1),MATCH(Y$2,quests!$1:$1,0)-MATCH($C$2,quests!$1:$1,0)+1,FALSE)</f>
        <v>0</v>
      </c>
      <c r="Z898" s="47">
        <f ca="1">VLOOKUP($C898,OFFSET(quests!$A$1,0,0,COUNTA(quests!$A:$A),MATCH(Z$2,quests!$1:$1,0)-MATCH($C$2,quests!$1:$1,0)+1),MATCH(Z$2,quests!$1:$1,0)-MATCH($C$2,quests!$1:$1,0)+1,FALSE)</f>
        <v>0</v>
      </c>
      <c r="AA898" s="47">
        <f ca="1">VLOOKUP($C898,OFFSET(quests!$A$1,0,0,COUNTA(quests!$A:$A),MATCH(AA$2,quests!$1:$1,0)-MATCH($C$2,quests!$1:$1,0)+1),MATCH(AA$2,quests!$1:$1,0)-MATCH($C$2,quests!$1:$1,0)+1,FALSE)</f>
        <v>0</v>
      </c>
      <c r="AB898" s="7" t="s">
        <v>56</v>
      </c>
      <c r="AC898" s="167">
        <v>930</v>
      </c>
      <c r="AD898" s="7">
        <v>6</v>
      </c>
      <c r="AE898" s="7" t="s">
        <v>519</v>
      </c>
      <c r="AF898" s="7">
        <v>40</v>
      </c>
      <c r="AG898" s="7">
        <v>40</v>
      </c>
      <c r="AH898" s="7">
        <v>0</v>
      </c>
      <c r="AI898" s="7">
        <v>-1</v>
      </c>
      <c r="AJ898" s="7">
        <v>-1</v>
      </c>
      <c r="AK898" s="7" t="s">
        <v>1065</v>
      </c>
      <c r="AL898" s="12" t="s">
        <v>1695</v>
      </c>
      <c r="AM898" s="12" t="s">
        <v>2072</v>
      </c>
    </row>
    <row r="899" spans="1:39" ht="21" customHeight="1" x14ac:dyDescent="0.15">
      <c r="A899" s="42" t="str">
        <f t="shared" si="53"/>
        <v>48005_1</v>
      </c>
      <c r="B899" s="23">
        <v>3</v>
      </c>
      <c r="C899" s="31">
        <v>48005</v>
      </c>
      <c r="D899" s="47" t="str">
        <f ca="1">VLOOKUP($C899,OFFSET(quests!$A$1,0,0,COUNTA(quests!$A:$A),MATCH(D$1,quests!$1:$1,0)-MATCH($C$2,quests!$1:$1,0)+1),MATCH(D$1,quests!$1:$1,0)-MATCH($C$2,quests!$1:$1,0)+1,FALSE)</f>
        <v>孫悟空襲来！</v>
      </c>
      <c r="E899" s="48" t="str">
        <f ca="1">VLOOKUP($C899,OFFSET(quests!$A$1,0,0,COUNTA(quests!$A:$A),MATCH(E$2,quests!$1:$1,0)-MATCH($C$2,quests!$1:$1,0)+1),MATCH(E$2,quests!$1:$1,0)-MATCH($C$2,quests!$1:$1,0)+1,FALSE)</f>
        <v>台湾版降臨6</v>
      </c>
      <c r="F899" s="7">
        <v>1</v>
      </c>
      <c r="G899" s="7" t="s">
        <v>382</v>
      </c>
      <c r="H899" s="12" t="s">
        <v>1608</v>
      </c>
      <c r="I899" s="12" t="s">
        <v>61</v>
      </c>
      <c r="J899" s="65">
        <v>8007</v>
      </c>
      <c r="K899" s="167">
        <v>35</v>
      </c>
      <c r="L899" s="167">
        <v>4200</v>
      </c>
      <c r="M899" s="167">
        <v>1</v>
      </c>
      <c r="N899" s="167">
        <v>1</v>
      </c>
      <c r="O899" s="167">
        <v>1</v>
      </c>
      <c r="P899" s="167">
        <v>1</v>
      </c>
      <c r="Q899" s="167">
        <v>1</v>
      </c>
      <c r="R899" s="167">
        <v>3</v>
      </c>
      <c r="S899" s="167" t="s">
        <v>278</v>
      </c>
      <c r="T899" s="167">
        <v>1</v>
      </c>
      <c r="U899" s="7" t="s">
        <v>169</v>
      </c>
      <c r="V899" s="7" t="s">
        <v>169</v>
      </c>
      <c r="W899" s="47" t="str">
        <f t="shared" ca="1" si="54"/>
        <v/>
      </c>
      <c r="X899" s="47">
        <f ca="1">VLOOKUP($C899,OFFSET(quests!$A$1,0,0,COUNTA(quests!$A:$A),MATCH(X$2,quests!$1:$1,0)-MATCH($C$2,quests!$1:$1,0)+1),MATCH(X$2,quests!$1:$1,0)-MATCH($C$2,quests!$1:$1,0)+1,FALSE)</f>
        <v>0</v>
      </c>
      <c r="Y899" s="47">
        <f ca="1">VLOOKUP($C899,OFFSET(quests!$A$1,0,0,COUNTA(quests!$A:$A),MATCH(Y$2,quests!$1:$1,0)-MATCH($C$2,quests!$1:$1,0)+1),MATCH(Y$2,quests!$1:$1,0)-MATCH($C$2,quests!$1:$1,0)+1,FALSE)</f>
        <v>0</v>
      </c>
      <c r="Z899" s="47">
        <f ca="1">VLOOKUP($C899,OFFSET(quests!$A$1,0,0,COUNTA(quests!$A:$A),MATCH(Z$2,quests!$1:$1,0)-MATCH($C$2,quests!$1:$1,0)+1),MATCH(Z$2,quests!$1:$1,0)-MATCH($C$2,quests!$1:$1,0)+1,FALSE)</f>
        <v>0</v>
      </c>
      <c r="AA899" s="47">
        <f ca="1">VLOOKUP($C899,OFFSET(quests!$A$1,0,0,COUNTA(quests!$A:$A),MATCH(AA$2,quests!$1:$1,0)-MATCH($C$2,quests!$1:$1,0)+1),MATCH(AA$2,quests!$1:$1,0)-MATCH($C$2,quests!$1:$1,0)+1,FALSE)</f>
        <v>0</v>
      </c>
      <c r="AB899" s="7" t="s">
        <v>56</v>
      </c>
      <c r="AC899" s="167">
        <v>932</v>
      </c>
      <c r="AD899" s="7">
        <v>6</v>
      </c>
      <c r="AE899" s="7" t="s">
        <v>519</v>
      </c>
      <c r="AF899" s="7">
        <v>40</v>
      </c>
      <c r="AG899" s="7">
        <v>40</v>
      </c>
      <c r="AH899" s="7">
        <v>0</v>
      </c>
      <c r="AI899" s="7">
        <v>-1</v>
      </c>
      <c r="AJ899" s="7">
        <v>-1</v>
      </c>
      <c r="AK899" s="7" t="s">
        <v>1065</v>
      </c>
      <c r="AL899" s="12" t="s">
        <v>1695</v>
      </c>
      <c r="AM899" s="12" t="s">
        <v>2072</v>
      </c>
    </row>
    <row r="900" spans="1:39" ht="21" customHeight="1" x14ac:dyDescent="0.15">
      <c r="A900" s="42" t="str">
        <f t="shared" si="53"/>
        <v>48005_2</v>
      </c>
      <c r="B900" s="23">
        <v>3</v>
      </c>
      <c r="C900" s="31">
        <v>48005</v>
      </c>
      <c r="D900" s="47" t="str">
        <f ca="1">VLOOKUP($C900,OFFSET(quests!$A$1,0,0,COUNTA(quests!$A:$A),MATCH(D$1,quests!$1:$1,0)-MATCH($C$2,quests!$1:$1,0)+1),MATCH(D$1,quests!$1:$1,0)-MATCH($C$2,quests!$1:$1,0)+1,FALSE)</f>
        <v>孫悟空襲来！</v>
      </c>
      <c r="E900" s="48" t="str">
        <f ca="1">VLOOKUP($C900,OFFSET(quests!$A$1,0,0,COUNTA(quests!$A:$A),MATCH(E$2,quests!$1:$1,0)-MATCH($C$2,quests!$1:$1,0)+1),MATCH(E$2,quests!$1:$1,0)-MATCH($C$2,quests!$1:$1,0)+1,FALSE)</f>
        <v>台湾版降臨6</v>
      </c>
      <c r="F900" s="7">
        <v>2</v>
      </c>
      <c r="G900" s="7" t="s">
        <v>382</v>
      </c>
      <c r="H900" s="12" t="s">
        <v>1607</v>
      </c>
      <c r="I900" s="12" t="s">
        <v>61</v>
      </c>
      <c r="J900" s="65">
        <v>8008</v>
      </c>
      <c r="K900" s="167">
        <v>40</v>
      </c>
      <c r="L900" s="167">
        <v>4500</v>
      </c>
      <c r="M900" s="167">
        <v>1</v>
      </c>
      <c r="N900" s="167">
        <v>1</v>
      </c>
      <c r="O900" s="167">
        <v>1</v>
      </c>
      <c r="P900" s="167">
        <v>1</v>
      </c>
      <c r="Q900" s="167">
        <v>1</v>
      </c>
      <c r="R900" s="167">
        <v>3</v>
      </c>
      <c r="S900" s="167" t="s">
        <v>278</v>
      </c>
      <c r="T900" s="167">
        <v>1</v>
      </c>
      <c r="U900" s="7" t="s">
        <v>169</v>
      </c>
      <c r="V900" s="7" t="s">
        <v>169</v>
      </c>
      <c r="W900" s="47" t="str">
        <f t="shared" ca="1" si="54"/>
        <v/>
      </c>
      <c r="X900" s="47">
        <f ca="1">VLOOKUP($C900,OFFSET(quests!$A$1,0,0,COUNTA(quests!$A:$A),MATCH(X$2,quests!$1:$1,0)-MATCH($C$2,quests!$1:$1,0)+1),MATCH(X$2,quests!$1:$1,0)-MATCH($C$2,quests!$1:$1,0)+1,FALSE)</f>
        <v>0</v>
      </c>
      <c r="Y900" s="47">
        <f ca="1">VLOOKUP($C900,OFFSET(quests!$A$1,0,0,COUNTA(quests!$A:$A),MATCH(Y$2,quests!$1:$1,0)-MATCH($C$2,quests!$1:$1,0)+1),MATCH(Y$2,quests!$1:$1,0)-MATCH($C$2,quests!$1:$1,0)+1,FALSE)</f>
        <v>0</v>
      </c>
      <c r="Z900" s="47">
        <f ca="1">VLOOKUP($C900,OFFSET(quests!$A$1,0,0,COUNTA(quests!$A:$A),MATCH(Z$2,quests!$1:$1,0)-MATCH($C$2,quests!$1:$1,0)+1),MATCH(Z$2,quests!$1:$1,0)-MATCH($C$2,quests!$1:$1,0)+1,FALSE)</f>
        <v>0</v>
      </c>
      <c r="AA900" s="47">
        <f ca="1">VLOOKUP($C900,OFFSET(quests!$A$1,0,0,COUNTA(quests!$A:$A),MATCH(AA$2,quests!$1:$1,0)-MATCH($C$2,quests!$1:$1,0)+1),MATCH(AA$2,quests!$1:$1,0)-MATCH($C$2,quests!$1:$1,0)+1,FALSE)</f>
        <v>0</v>
      </c>
      <c r="AB900" s="7" t="s">
        <v>56</v>
      </c>
      <c r="AC900" s="167">
        <v>932</v>
      </c>
      <c r="AD900" s="7">
        <v>6</v>
      </c>
      <c r="AE900" s="7" t="s">
        <v>519</v>
      </c>
      <c r="AF900" s="7">
        <v>40</v>
      </c>
      <c r="AG900" s="7">
        <v>40</v>
      </c>
      <c r="AH900" s="7">
        <v>0</v>
      </c>
      <c r="AI900" s="7">
        <v>-1</v>
      </c>
      <c r="AJ900" s="7">
        <v>-1</v>
      </c>
      <c r="AK900" s="7" t="s">
        <v>1065</v>
      </c>
      <c r="AL900" s="12" t="s">
        <v>1695</v>
      </c>
      <c r="AM900" s="12" t="s">
        <v>2072</v>
      </c>
    </row>
    <row r="901" spans="1:39" ht="21" customHeight="1" x14ac:dyDescent="0.15">
      <c r="A901" s="42" t="str">
        <f t="shared" si="53"/>
        <v>48006_1</v>
      </c>
      <c r="B901" s="23">
        <v>3</v>
      </c>
      <c r="C901" s="31">
        <v>48006</v>
      </c>
      <c r="D901" s="47" t="str">
        <f ca="1">VLOOKUP($C901,OFFSET(quests!$A$1,0,0,COUNTA(quests!$A:$A),MATCH(D$1,quests!$1:$1,0)-MATCH($C$2,quests!$1:$1,0)+1),MATCH(D$1,quests!$1:$1,0)-MATCH($C$2,quests!$1:$1,0)+1,FALSE)</f>
        <v>牛頭馬面襲来！</v>
      </c>
      <c r="E901" s="48" t="str">
        <f ca="1">VLOOKUP($C901,OFFSET(quests!$A$1,0,0,COUNTA(quests!$A:$A),MATCH(E$2,quests!$1:$1,0)-MATCH($C$2,quests!$1:$1,0)+1),MATCH(E$2,quests!$1:$1,0)-MATCH($C$2,quests!$1:$1,0)+1,FALSE)</f>
        <v>台湾版降臨7</v>
      </c>
      <c r="F901" s="7">
        <v>1</v>
      </c>
      <c r="G901" s="7" t="s">
        <v>382</v>
      </c>
      <c r="H901" s="12" t="s">
        <v>1565</v>
      </c>
      <c r="I901" s="12" t="s">
        <v>61</v>
      </c>
      <c r="J901" s="65">
        <v>8033</v>
      </c>
      <c r="K901" s="167">
        <v>35</v>
      </c>
      <c r="L901" s="167">
        <v>4200</v>
      </c>
      <c r="M901" s="167">
        <v>1</v>
      </c>
      <c r="N901" s="167">
        <v>1</v>
      </c>
      <c r="O901" s="167">
        <v>1</v>
      </c>
      <c r="P901" s="167">
        <v>1</v>
      </c>
      <c r="Q901" s="96">
        <v>0</v>
      </c>
      <c r="R901" s="167">
        <v>3</v>
      </c>
      <c r="S901" s="167" t="s">
        <v>278</v>
      </c>
      <c r="T901" s="167">
        <v>1</v>
      </c>
      <c r="U901" s="7" t="s">
        <v>169</v>
      </c>
      <c r="V901" s="7" t="s">
        <v>169</v>
      </c>
      <c r="W901" s="47" t="str">
        <f t="shared" ca="1" si="54"/>
        <v/>
      </c>
      <c r="X901" s="47">
        <f ca="1">VLOOKUP($C901,OFFSET(quests!$A$1,0,0,COUNTA(quests!$A:$A),MATCH(X$2,quests!$1:$1,0)-MATCH($C$2,quests!$1:$1,0)+1),MATCH(X$2,quests!$1:$1,0)-MATCH($C$2,quests!$1:$1,0)+1,FALSE)</f>
        <v>0</v>
      </c>
      <c r="Y901" s="47">
        <f ca="1">VLOOKUP($C901,OFFSET(quests!$A$1,0,0,COUNTA(quests!$A:$A),MATCH(Y$2,quests!$1:$1,0)-MATCH($C$2,quests!$1:$1,0)+1),MATCH(Y$2,quests!$1:$1,0)-MATCH($C$2,quests!$1:$1,0)+1,FALSE)</f>
        <v>0</v>
      </c>
      <c r="Z901" s="47">
        <f ca="1">VLOOKUP($C901,OFFSET(quests!$A$1,0,0,COUNTA(quests!$A:$A),MATCH(Z$2,quests!$1:$1,0)-MATCH($C$2,quests!$1:$1,0)+1),MATCH(Z$2,quests!$1:$1,0)-MATCH($C$2,quests!$1:$1,0)+1,FALSE)</f>
        <v>0</v>
      </c>
      <c r="AA901" s="47">
        <f ca="1">VLOOKUP($C901,OFFSET(quests!$A$1,0,0,COUNTA(quests!$A:$A),MATCH(AA$2,quests!$1:$1,0)-MATCH($C$2,quests!$1:$1,0)+1),MATCH(AA$2,quests!$1:$1,0)-MATCH($C$2,quests!$1:$1,0)+1,FALSE)</f>
        <v>0</v>
      </c>
      <c r="AB901" s="7" t="s">
        <v>56</v>
      </c>
      <c r="AC901" s="167">
        <v>946</v>
      </c>
      <c r="AD901" s="7">
        <v>6</v>
      </c>
      <c r="AE901" s="7" t="s">
        <v>519</v>
      </c>
      <c r="AF901" s="7">
        <v>40</v>
      </c>
      <c r="AG901" s="7">
        <v>40</v>
      </c>
      <c r="AH901" s="7">
        <v>0</v>
      </c>
      <c r="AI901" s="7">
        <v>-1</v>
      </c>
      <c r="AJ901" s="7">
        <v>-1</v>
      </c>
      <c r="AK901" s="7" t="s">
        <v>1065</v>
      </c>
      <c r="AL901" s="12" t="s">
        <v>1695</v>
      </c>
      <c r="AM901" s="12" t="s">
        <v>2072</v>
      </c>
    </row>
    <row r="902" spans="1:39" ht="21" customHeight="1" x14ac:dyDescent="0.15">
      <c r="A902" s="42" t="str">
        <f t="shared" si="53"/>
        <v>48006_2</v>
      </c>
      <c r="B902" s="23">
        <v>3</v>
      </c>
      <c r="C902" s="31">
        <v>48006</v>
      </c>
      <c r="D902" s="47" t="str">
        <f ca="1">VLOOKUP($C902,OFFSET(quests!$A$1,0,0,COUNTA(quests!$A:$A),MATCH(D$1,quests!$1:$1,0)-MATCH($C$2,quests!$1:$1,0)+1),MATCH(D$1,quests!$1:$1,0)-MATCH($C$2,quests!$1:$1,0)+1,FALSE)</f>
        <v>牛頭馬面襲来！</v>
      </c>
      <c r="E902" s="48" t="str">
        <f ca="1">VLOOKUP($C902,OFFSET(quests!$A$1,0,0,COUNTA(quests!$A:$A),MATCH(E$2,quests!$1:$1,0)-MATCH($C$2,quests!$1:$1,0)+1),MATCH(E$2,quests!$1:$1,0)-MATCH($C$2,quests!$1:$1,0)+1,FALSE)</f>
        <v>台湾版降臨7</v>
      </c>
      <c r="F902" s="7">
        <v>2</v>
      </c>
      <c r="G902" s="7" t="s">
        <v>382</v>
      </c>
      <c r="H902" s="12" t="s">
        <v>1566</v>
      </c>
      <c r="I902" s="12" t="s">
        <v>61</v>
      </c>
      <c r="J902" s="65">
        <v>8034</v>
      </c>
      <c r="K902" s="167">
        <v>40</v>
      </c>
      <c r="L902" s="167">
        <v>4500</v>
      </c>
      <c r="M902" s="167">
        <v>1</v>
      </c>
      <c r="N902" s="167">
        <v>1</v>
      </c>
      <c r="O902" s="167">
        <v>1</v>
      </c>
      <c r="P902" s="167">
        <v>1</v>
      </c>
      <c r="Q902" s="96">
        <v>0</v>
      </c>
      <c r="R902" s="167">
        <v>3</v>
      </c>
      <c r="S902" s="167" t="s">
        <v>278</v>
      </c>
      <c r="T902" s="167">
        <v>1</v>
      </c>
      <c r="U902" s="7" t="s">
        <v>169</v>
      </c>
      <c r="V902" s="7" t="s">
        <v>169</v>
      </c>
      <c r="W902" s="47" t="str">
        <f t="shared" ca="1" si="54"/>
        <v/>
      </c>
      <c r="X902" s="47">
        <f ca="1">VLOOKUP($C902,OFFSET(quests!$A$1,0,0,COUNTA(quests!$A:$A),MATCH(X$2,quests!$1:$1,0)-MATCH($C$2,quests!$1:$1,0)+1),MATCH(X$2,quests!$1:$1,0)-MATCH($C$2,quests!$1:$1,0)+1,FALSE)</f>
        <v>0</v>
      </c>
      <c r="Y902" s="47">
        <f ca="1">VLOOKUP($C902,OFFSET(quests!$A$1,0,0,COUNTA(quests!$A:$A),MATCH(Y$2,quests!$1:$1,0)-MATCH($C$2,quests!$1:$1,0)+1),MATCH(Y$2,quests!$1:$1,0)-MATCH($C$2,quests!$1:$1,0)+1,FALSE)</f>
        <v>0</v>
      </c>
      <c r="Z902" s="47">
        <f ca="1">VLOOKUP($C902,OFFSET(quests!$A$1,0,0,COUNTA(quests!$A:$A),MATCH(Z$2,quests!$1:$1,0)-MATCH($C$2,quests!$1:$1,0)+1),MATCH(Z$2,quests!$1:$1,0)-MATCH($C$2,quests!$1:$1,0)+1,FALSE)</f>
        <v>0</v>
      </c>
      <c r="AA902" s="47">
        <f ca="1">VLOOKUP($C902,OFFSET(quests!$A$1,0,0,COUNTA(quests!$A:$A),MATCH(AA$2,quests!$1:$1,0)-MATCH($C$2,quests!$1:$1,0)+1),MATCH(AA$2,quests!$1:$1,0)-MATCH($C$2,quests!$1:$1,0)+1,FALSE)</f>
        <v>0</v>
      </c>
      <c r="AB902" s="7" t="s">
        <v>56</v>
      </c>
      <c r="AC902" s="167">
        <v>946</v>
      </c>
      <c r="AD902" s="7">
        <v>6</v>
      </c>
      <c r="AE902" s="7" t="s">
        <v>519</v>
      </c>
      <c r="AF902" s="7">
        <v>40</v>
      </c>
      <c r="AG902" s="7">
        <v>40</v>
      </c>
      <c r="AH902" s="7">
        <v>0</v>
      </c>
      <c r="AI902" s="7">
        <v>-1</v>
      </c>
      <c r="AJ902" s="7">
        <v>-1</v>
      </c>
      <c r="AK902" s="7" t="s">
        <v>1065</v>
      </c>
      <c r="AL902" s="12" t="s">
        <v>1695</v>
      </c>
      <c r="AM902" s="12" t="s">
        <v>2072</v>
      </c>
    </row>
    <row r="903" spans="1:39" ht="21" customHeight="1" x14ac:dyDescent="0.15">
      <c r="A903" s="42" t="str">
        <f t="shared" ref="A903:A904" si="71">C903&amp;"_"&amp;F903</f>
        <v>48007_1</v>
      </c>
      <c r="B903" s="23">
        <v>1</v>
      </c>
      <c r="C903" s="31">
        <v>48007</v>
      </c>
      <c r="D903" s="47" t="str">
        <f ca="1">VLOOKUP($C903,OFFSET(quests!$A$1,0,0,COUNTA(quests!$A:$A),MATCH(D$1,quests!$1:$1,0)-MATCH($C$2,quests!$1:$1,0)+1),MATCH(D$1,quests!$1:$1,0)-MATCH($C$2,quests!$1:$1,0)+1,FALSE)</f>
        <v>紅鬼襲来！</v>
      </c>
      <c r="E903" s="48" t="str">
        <f ca="1">VLOOKUP($C903,OFFSET(quests!$A$1,0,0,COUNTA(quests!$A:$A),MATCH(E$2,quests!$1:$1,0)-MATCH($C$2,quests!$1:$1,0)+1),MATCH(E$2,quests!$1:$1,0)-MATCH($C$2,quests!$1:$1,0)+1,FALSE)</f>
        <v>台湾版降臨8</v>
      </c>
      <c r="F903" s="7">
        <v>1</v>
      </c>
      <c r="G903" s="7" t="s">
        <v>382</v>
      </c>
      <c r="H903" s="12" t="s">
        <v>1763</v>
      </c>
      <c r="I903" s="12" t="s">
        <v>61</v>
      </c>
      <c r="J903" s="65">
        <v>8079</v>
      </c>
      <c r="K903" s="167">
        <v>35</v>
      </c>
      <c r="L903" s="167">
        <v>4200</v>
      </c>
      <c r="M903" s="167">
        <v>1</v>
      </c>
      <c r="N903" s="167">
        <v>1</v>
      </c>
      <c r="O903" s="167">
        <v>1</v>
      </c>
      <c r="P903" s="167">
        <v>1</v>
      </c>
      <c r="Q903" s="167">
        <v>1</v>
      </c>
      <c r="R903" s="167">
        <v>3</v>
      </c>
      <c r="S903" s="167" t="s">
        <v>278</v>
      </c>
      <c r="T903" s="167">
        <v>1</v>
      </c>
      <c r="U903" s="7" t="s">
        <v>169</v>
      </c>
      <c r="V903" s="7" t="s">
        <v>169</v>
      </c>
      <c r="W903" s="47" t="str">
        <f t="shared" ca="1" si="54"/>
        <v/>
      </c>
      <c r="X903" s="47">
        <f ca="1">VLOOKUP($C903,OFFSET(quests!$A$1,0,0,COUNTA(quests!$A:$A),MATCH(X$2,quests!$1:$1,0)-MATCH($C$2,quests!$1:$1,0)+1),MATCH(X$2,quests!$1:$1,0)-MATCH($C$2,quests!$1:$1,0)+1,FALSE)</f>
        <v>0</v>
      </c>
      <c r="Y903" s="47">
        <f ca="1">VLOOKUP($C903,OFFSET(quests!$A$1,0,0,COUNTA(quests!$A:$A),MATCH(Y$2,quests!$1:$1,0)-MATCH($C$2,quests!$1:$1,0)+1),MATCH(Y$2,quests!$1:$1,0)-MATCH($C$2,quests!$1:$1,0)+1,FALSE)</f>
        <v>0</v>
      </c>
      <c r="Z903" s="47">
        <f ca="1">VLOOKUP($C903,OFFSET(quests!$A$1,0,0,COUNTA(quests!$A:$A),MATCH(Z$2,quests!$1:$1,0)-MATCH($C$2,quests!$1:$1,0)+1),MATCH(Z$2,quests!$1:$1,0)-MATCH($C$2,quests!$1:$1,0)+1,FALSE)</f>
        <v>0</v>
      </c>
      <c r="AA903" s="47">
        <f ca="1">VLOOKUP($C903,OFFSET(quests!$A$1,0,0,COUNTA(quests!$A:$A),MATCH(AA$2,quests!$1:$1,0)-MATCH($C$2,quests!$1:$1,0)+1),MATCH(AA$2,quests!$1:$1,0)-MATCH($C$2,quests!$1:$1,0)+1,FALSE)</f>
        <v>0</v>
      </c>
      <c r="AB903" s="7" t="s">
        <v>56</v>
      </c>
      <c r="AC903" s="167">
        <v>931</v>
      </c>
      <c r="AD903" s="7">
        <v>6</v>
      </c>
      <c r="AE903" s="7" t="s">
        <v>519</v>
      </c>
      <c r="AF903" s="7">
        <v>40</v>
      </c>
      <c r="AG903" s="7">
        <v>40</v>
      </c>
      <c r="AH903" s="7">
        <v>0</v>
      </c>
      <c r="AI903" s="7">
        <v>-1</v>
      </c>
      <c r="AJ903" s="7">
        <v>-1</v>
      </c>
      <c r="AK903" s="7" t="s">
        <v>1065</v>
      </c>
      <c r="AL903" s="12" t="s">
        <v>1337</v>
      </c>
      <c r="AM903" s="12" t="s">
        <v>2072</v>
      </c>
    </row>
    <row r="904" spans="1:39" ht="21" customHeight="1" x14ac:dyDescent="0.15">
      <c r="A904" s="42" t="str">
        <f t="shared" si="71"/>
        <v>48007_2</v>
      </c>
      <c r="B904" s="23">
        <v>1</v>
      </c>
      <c r="C904" s="31">
        <v>48007</v>
      </c>
      <c r="D904" s="47" t="str">
        <f ca="1">VLOOKUP($C904,OFFSET(quests!$A$1,0,0,COUNTA(quests!$A:$A),MATCH(D$1,quests!$1:$1,0)-MATCH($C$2,quests!$1:$1,0)+1),MATCH(D$1,quests!$1:$1,0)-MATCH($C$2,quests!$1:$1,0)+1,FALSE)</f>
        <v>紅鬼襲来！</v>
      </c>
      <c r="E904" s="48" t="str">
        <f ca="1">VLOOKUP($C904,OFFSET(quests!$A$1,0,0,COUNTA(quests!$A:$A),MATCH(E$2,quests!$1:$1,0)-MATCH($C$2,quests!$1:$1,0)+1),MATCH(E$2,quests!$1:$1,0)-MATCH($C$2,quests!$1:$1,0)+1,FALSE)</f>
        <v>台湾版降臨8</v>
      </c>
      <c r="F904" s="7">
        <v>2</v>
      </c>
      <c r="G904" s="7" t="s">
        <v>382</v>
      </c>
      <c r="H904" s="12" t="s">
        <v>1764</v>
      </c>
      <c r="I904" s="12" t="s">
        <v>61</v>
      </c>
      <c r="J904" s="65">
        <v>8080</v>
      </c>
      <c r="K904" s="167">
        <v>40</v>
      </c>
      <c r="L904" s="167">
        <v>4500</v>
      </c>
      <c r="M904" s="167">
        <v>1</v>
      </c>
      <c r="N904" s="167">
        <v>1</v>
      </c>
      <c r="O904" s="167">
        <v>1</v>
      </c>
      <c r="P904" s="167">
        <v>1</v>
      </c>
      <c r="Q904" s="167">
        <v>1</v>
      </c>
      <c r="R904" s="167">
        <v>3</v>
      </c>
      <c r="S904" s="167" t="s">
        <v>278</v>
      </c>
      <c r="T904" s="167">
        <v>1</v>
      </c>
      <c r="U904" s="7" t="s">
        <v>169</v>
      </c>
      <c r="V904" s="7" t="s">
        <v>169</v>
      </c>
      <c r="W904" s="47" t="str">
        <f t="shared" ca="1" si="54"/>
        <v/>
      </c>
      <c r="X904" s="47">
        <f ca="1">VLOOKUP($C904,OFFSET(quests!$A$1,0,0,COUNTA(quests!$A:$A),MATCH(X$2,quests!$1:$1,0)-MATCH($C$2,quests!$1:$1,0)+1),MATCH(X$2,quests!$1:$1,0)-MATCH($C$2,quests!$1:$1,0)+1,FALSE)</f>
        <v>0</v>
      </c>
      <c r="Y904" s="47">
        <f ca="1">VLOOKUP($C904,OFFSET(quests!$A$1,0,0,COUNTA(quests!$A:$A),MATCH(Y$2,quests!$1:$1,0)-MATCH($C$2,quests!$1:$1,0)+1),MATCH(Y$2,quests!$1:$1,0)-MATCH($C$2,quests!$1:$1,0)+1,FALSE)</f>
        <v>0</v>
      </c>
      <c r="Z904" s="47">
        <f ca="1">VLOOKUP($C904,OFFSET(quests!$A$1,0,0,COUNTA(quests!$A:$A),MATCH(Z$2,quests!$1:$1,0)-MATCH($C$2,quests!$1:$1,0)+1),MATCH(Z$2,quests!$1:$1,0)-MATCH($C$2,quests!$1:$1,0)+1,FALSE)</f>
        <v>0</v>
      </c>
      <c r="AA904" s="47">
        <f ca="1">VLOOKUP($C904,OFFSET(quests!$A$1,0,0,COUNTA(quests!$A:$A),MATCH(AA$2,quests!$1:$1,0)-MATCH($C$2,quests!$1:$1,0)+1),MATCH(AA$2,quests!$1:$1,0)-MATCH($C$2,quests!$1:$1,0)+1,FALSE)</f>
        <v>0</v>
      </c>
      <c r="AB904" s="7" t="s">
        <v>56</v>
      </c>
      <c r="AC904" s="167">
        <v>931</v>
      </c>
      <c r="AD904" s="7">
        <v>6</v>
      </c>
      <c r="AE904" s="7" t="s">
        <v>519</v>
      </c>
      <c r="AF904" s="7">
        <v>40</v>
      </c>
      <c r="AG904" s="7">
        <v>40</v>
      </c>
      <c r="AH904" s="7">
        <v>0</v>
      </c>
      <c r="AI904" s="7">
        <v>-1</v>
      </c>
      <c r="AJ904" s="7">
        <v>-1</v>
      </c>
      <c r="AK904" s="7" t="s">
        <v>1065</v>
      </c>
      <c r="AL904" s="12" t="s">
        <v>1337</v>
      </c>
      <c r="AM904" s="12" t="s">
        <v>2072</v>
      </c>
    </row>
    <row r="905" spans="1:39" ht="21" customHeight="1" x14ac:dyDescent="0.15">
      <c r="A905" s="42" t="str">
        <f t="shared" ref="A905:A906" si="72">C905&amp;"_"&amp;F905</f>
        <v>48008_1</v>
      </c>
      <c r="B905" s="23">
        <v>1</v>
      </c>
      <c r="C905" s="31">
        <v>48008</v>
      </c>
      <c r="D905" s="47" t="str">
        <f ca="1">VLOOKUP($C905,OFFSET(quests!$A$1,0,0,COUNTA(quests!$A:$A),MATCH(D$1,quests!$1:$1,0)-MATCH($C$2,quests!$1:$1,0)+1),MATCH(D$1,quests!$1:$1,0)-MATCH($C$2,quests!$1:$1,0)+1,FALSE)</f>
        <v>紀昌襲来！</v>
      </c>
      <c r="E905" s="48" t="str">
        <f ca="1">VLOOKUP($C905,OFFSET(quests!$A$1,0,0,COUNTA(quests!$A:$A),MATCH(E$2,quests!$1:$1,0)-MATCH($C$2,quests!$1:$1,0)+1),MATCH(E$2,quests!$1:$1,0)-MATCH($C$2,quests!$1:$1,0)+1,FALSE)</f>
        <v>台湾版降臨9</v>
      </c>
      <c r="F905" s="7">
        <v>1</v>
      </c>
      <c r="G905" s="7" t="s">
        <v>382</v>
      </c>
      <c r="H905" s="12" t="s">
        <v>1851</v>
      </c>
      <c r="I905" s="12" t="s">
        <v>61</v>
      </c>
      <c r="J905" s="65">
        <v>8037</v>
      </c>
      <c r="K905" s="167">
        <v>35</v>
      </c>
      <c r="L905" s="167">
        <v>4200</v>
      </c>
      <c r="M905" s="167">
        <v>1</v>
      </c>
      <c r="N905" s="167">
        <v>1</v>
      </c>
      <c r="O905" s="167">
        <v>1</v>
      </c>
      <c r="P905" s="167">
        <v>1</v>
      </c>
      <c r="Q905" s="167">
        <v>1</v>
      </c>
      <c r="R905" s="167">
        <v>3</v>
      </c>
      <c r="S905" s="167" t="s">
        <v>278</v>
      </c>
      <c r="T905" s="167">
        <v>1</v>
      </c>
      <c r="U905" s="7" t="s">
        <v>169</v>
      </c>
      <c r="V905" s="7" t="s">
        <v>169</v>
      </c>
      <c r="W905" s="47" t="str">
        <f t="shared" ca="1" si="54"/>
        <v/>
      </c>
      <c r="X905" s="47">
        <f ca="1">VLOOKUP($C905,OFFSET(quests!$A$1,0,0,COUNTA(quests!$A:$A),MATCH(X$2,quests!$1:$1,0)-MATCH($C$2,quests!$1:$1,0)+1),MATCH(X$2,quests!$1:$1,0)-MATCH($C$2,quests!$1:$1,0)+1,FALSE)</f>
        <v>0</v>
      </c>
      <c r="Y905" s="47">
        <f ca="1">VLOOKUP($C905,OFFSET(quests!$A$1,0,0,COUNTA(quests!$A:$A),MATCH(Y$2,quests!$1:$1,0)-MATCH($C$2,quests!$1:$1,0)+1),MATCH(Y$2,quests!$1:$1,0)-MATCH($C$2,quests!$1:$1,0)+1,FALSE)</f>
        <v>0</v>
      </c>
      <c r="Z905" s="47">
        <f ca="1">VLOOKUP($C905,OFFSET(quests!$A$1,0,0,COUNTA(quests!$A:$A),MATCH(Z$2,quests!$1:$1,0)-MATCH($C$2,quests!$1:$1,0)+1),MATCH(Z$2,quests!$1:$1,0)-MATCH($C$2,quests!$1:$1,0)+1,FALSE)</f>
        <v>0</v>
      </c>
      <c r="AA905" s="47">
        <f ca="1">VLOOKUP($C905,OFFSET(quests!$A$1,0,0,COUNTA(quests!$A:$A),MATCH(AA$2,quests!$1:$1,0)-MATCH($C$2,quests!$1:$1,0)+1),MATCH(AA$2,quests!$1:$1,0)-MATCH($C$2,quests!$1:$1,0)+1,FALSE)</f>
        <v>0</v>
      </c>
      <c r="AB905" s="7" t="s">
        <v>56</v>
      </c>
      <c r="AC905" s="167">
        <v>948</v>
      </c>
      <c r="AD905" s="7">
        <v>6</v>
      </c>
      <c r="AE905" s="7" t="s">
        <v>519</v>
      </c>
      <c r="AF905" s="7">
        <v>40</v>
      </c>
      <c r="AG905" s="7">
        <v>40</v>
      </c>
      <c r="AH905" s="7">
        <v>0</v>
      </c>
      <c r="AI905" s="7">
        <v>-1</v>
      </c>
      <c r="AJ905" s="7">
        <v>-1</v>
      </c>
      <c r="AK905" s="7" t="s">
        <v>1065</v>
      </c>
      <c r="AL905" s="12" t="s">
        <v>1337</v>
      </c>
      <c r="AM905" s="12" t="s">
        <v>2072</v>
      </c>
    </row>
    <row r="906" spans="1:39" ht="21" customHeight="1" x14ac:dyDescent="0.15">
      <c r="A906" s="42" t="str">
        <f t="shared" si="72"/>
        <v>48008_2</v>
      </c>
      <c r="B906" s="23">
        <v>1</v>
      </c>
      <c r="C906" s="31">
        <v>48008</v>
      </c>
      <c r="D906" s="47" t="str">
        <f ca="1">VLOOKUP($C906,OFFSET(quests!$A$1,0,0,COUNTA(quests!$A:$A),MATCH(D$1,quests!$1:$1,0)-MATCH($C$2,quests!$1:$1,0)+1),MATCH(D$1,quests!$1:$1,0)-MATCH($C$2,quests!$1:$1,0)+1,FALSE)</f>
        <v>紀昌襲来！</v>
      </c>
      <c r="E906" s="48" t="str">
        <f ca="1">VLOOKUP($C906,OFFSET(quests!$A$1,0,0,COUNTA(quests!$A:$A),MATCH(E$2,quests!$1:$1,0)-MATCH($C$2,quests!$1:$1,0)+1),MATCH(E$2,quests!$1:$1,0)-MATCH($C$2,quests!$1:$1,0)+1,FALSE)</f>
        <v>台湾版降臨9</v>
      </c>
      <c r="F906" s="7">
        <v>2</v>
      </c>
      <c r="G906" s="7" t="s">
        <v>382</v>
      </c>
      <c r="H906" s="12" t="s">
        <v>1852</v>
      </c>
      <c r="I906" s="12" t="s">
        <v>61</v>
      </c>
      <c r="J906" s="65">
        <v>8038</v>
      </c>
      <c r="K906" s="167">
        <v>40</v>
      </c>
      <c r="L906" s="167">
        <v>4500</v>
      </c>
      <c r="M906" s="167">
        <v>1</v>
      </c>
      <c r="N906" s="167">
        <v>1</v>
      </c>
      <c r="O906" s="167">
        <v>1</v>
      </c>
      <c r="P906" s="167">
        <v>1</v>
      </c>
      <c r="Q906" s="167">
        <v>1</v>
      </c>
      <c r="R906" s="167">
        <v>3</v>
      </c>
      <c r="S906" s="167" t="s">
        <v>278</v>
      </c>
      <c r="T906" s="167">
        <v>1</v>
      </c>
      <c r="U906" s="7" t="s">
        <v>169</v>
      </c>
      <c r="V906" s="7" t="s">
        <v>169</v>
      </c>
      <c r="W906" s="47" t="str">
        <f t="shared" ca="1" si="54"/>
        <v/>
      </c>
      <c r="X906" s="47">
        <f ca="1">VLOOKUP($C906,OFFSET(quests!$A$1,0,0,COUNTA(quests!$A:$A),MATCH(X$2,quests!$1:$1,0)-MATCH($C$2,quests!$1:$1,0)+1),MATCH(X$2,quests!$1:$1,0)-MATCH($C$2,quests!$1:$1,0)+1,FALSE)</f>
        <v>0</v>
      </c>
      <c r="Y906" s="47">
        <f ca="1">VLOOKUP($C906,OFFSET(quests!$A$1,0,0,COUNTA(quests!$A:$A),MATCH(Y$2,quests!$1:$1,0)-MATCH($C$2,quests!$1:$1,0)+1),MATCH(Y$2,quests!$1:$1,0)-MATCH($C$2,quests!$1:$1,0)+1,FALSE)</f>
        <v>0</v>
      </c>
      <c r="Z906" s="47">
        <f ca="1">VLOOKUP($C906,OFFSET(quests!$A$1,0,0,COUNTA(quests!$A:$A),MATCH(Z$2,quests!$1:$1,0)-MATCH($C$2,quests!$1:$1,0)+1),MATCH(Z$2,quests!$1:$1,0)-MATCH($C$2,quests!$1:$1,0)+1,FALSE)</f>
        <v>0</v>
      </c>
      <c r="AA906" s="47">
        <f ca="1">VLOOKUP($C906,OFFSET(quests!$A$1,0,0,COUNTA(quests!$A:$A),MATCH(AA$2,quests!$1:$1,0)-MATCH($C$2,quests!$1:$1,0)+1),MATCH(AA$2,quests!$1:$1,0)-MATCH($C$2,quests!$1:$1,0)+1,FALSE)</f>
        <v>0</v>
      </c>
      <c r="AB906" s="7" t="s">
        <v>56</v>
      </c>
      <c r="AC906" s="167">
        <v>948</v>
      </c>
      <c r="AD906" s="7">
        <v>6</v>
      </c>
      <c r="AE906" s="7" t="s">
        <v>519</v>
      </c>
      <c r="AF906" s="7">
        <v>40</v>
      </c>
      <c r="AG906" s="7">
        <v>40</v>
      </c>
      <c r="AH906" s="7">
        <v>0</v>
      </c>
      <c r="AI906" s="7">
        <v>-1</v>
      </c>
      <c r="AJ906" s="7">
        <v>-1</v>
      </c>
      <c r="AK906" s="7" t="s">
        <v>1065</v>
      </c>
      <c r="AL906" s="12" t="s">
        <v>1337</v>
      </c>
      <c r="AM906" s="12" t="s">
        <v>2072</v>
      </c>
    </row>
    <row r="907" spans="1:39" ht="21" customHeight="1" x14ac:dyDescent="0.15">
      <c r="A907" s="42" t="str">
        <f t="shared" ref="A907:A908" si="73">C907&amp;"_"&amp;F907</f>
        <v>48009_1</v>
      </c>
      <c r="B907" s="23">
        <v>1</v>
      </c>
      <c r="C907" s="31">
        <v>48009</v>
      </c>
      <c r="D907" s="47" t="str">
        <f ca="1">VLOOKUP($C907,OFFSET(quests!$A$1,0,0,COUNTA(quests!$A:$A),MATCH(D$1,quests!$1:$1,0)-MATCH($C$2,quests!$1:$1,0)+1),MATCH(D$1,quests!$1:$1,0)-MATCH($C$2,quests!$1:$1,0)+1,FALSE)</f>
        <v>藍采和襲来！</v>
      </c>
      <c r="E907" s="48" t="str">
        <f ca="1">VLOOKUP($C907,OFFSET(quests!$A$1,0,0,COUNTA(quests!$A:$A),MATCH(E$2,quests!$1:$1,0)-MATCH($C$2,quests!$1:$1,0)+1),MATCH(E$2,quests!$1:$1,0)-MATCH($C$2,quests!$1:$1,0)+1,FALSE)</f>
        <v>台湾版降臨10</v>
      </c>
      <c r="F907" s="7">
        <v>1</v>
      </c>
      <c r="G907" s="7" t="s">
        <v>382</v>
      </c>
      <c r="H907" s="12" t="s">
        <v>1910</v>
      </c>
      <c r="I907" s="12" t="s">
        <v>61</v>
      </c>
      <c r="J907" s="251">
        <v>8042</v>
      </c>
      <c r="K907" s="167">
        <v>35</v>
      </c>
      <c r="L907" s="167">
        <v>4200</v>
      </c>
      <c r="M907" s="167">
        <v>1</v>
      </c>
      <c r="N907" s="167">
        <v>1</v>
      </c>
      <c r="O907" s="167">
        <v>1</v>
      </c>
      <c r="P907" s="167">
        <v>1</v>
      </c>
      <c r="Q907" s="167">
        <v>1</v>
      </c>
      <c r="R907" s="167">
        <v>3</v>
      </c>
      <c r="S907" s="167" t="s">
        <v>278</v>
      </c>
      <c r="T907" s="167">
        <v>1</v>
      </c>
      <c r="U907" s="7" t="s">
        <v>169</v>
      </c>
      <c r="V907" s="7" t="s">
        <v>169</v>
      </c>
      <c r="W907" s="47" t="str">
        <f t="shared" ca="1" si="54"/>
        <v/>
      </c>
      <c r="X907" s="47">
        <f ca="1">VLOOKUP($C907,OFFSET(quests!$A$1,0,0,COUNTA(quests!$A:$A),MATCH(X$2,quests!$1:$1,0)-MATCH($C$2,quests!$1:$1,0)+1),MATCH(X$2,quests!$1:$1,0)-MATCH($C$2,quests!$1:$1,0)+1,FALSE)</f>
        <v>0</v>
      </c>
      <c r="Y907" s="47">
        <f ca="1">VLOOKUP($C907,OFFSET(quests!$A$1,0,0,COUNTA(quests!$A:$A),MATCH(Y$2,quests!$1:$1,0)-MATCH($C$2,quests!$1:$1,0)+1),MATCH(Y$2,quests!$1:$1,0)-MATCH($C$2,quests!$1:$1,0)+1,FALSE)</f>
        <v>0</v>
      </c>
      <c r="Z907" s="47">
        <f ca="1">VLOOKUP($C907,OFFSET(quests!$A$1,0,0,COUNTA(quests!$A:$A),MATCH(Z$2,quests!$1:$1,0)-MATCH($C$2,quests!$1:$1,0)+1),MATCH(Z$2,quests!$1:$1,0)-MATCH($C$2,quests!$1:$1,0)+1,FALSE)</f>
        <v>0</v>
      </c>
      <c r="AA907" s="47">
        <f ca="1">VLOOKUP($C907,OFFSET(quests!$A$1,0,0,COUNTA(quests!$A:$A),MATCH(AA$2,quests!$1:$1,0)-MATCH($C$2,quests!$1:$1,0)+1),MATCH(AA$2,quests!$1:$1,0)-MATCH($C$2,quests!$1:$1,0)+1,FALSE)</f>
        <v>0</v>
      </c>
      <c r="AB907" s="7" t="s">
        <v>56</v>
      </c>
      <c r="AC907" s="65">
        <v>953</v>
      </c>
      <c r="AD907" s="7">
        <v>6</v>
      </c>
      <c r="AE907" s="7" t="s">
        <v>519</v>
      </c>
      <c r="AF907" s="7">
        <v>40</v>
      </c>
      <c r="AG907" s="7">
        <v>40</v>
      </c>
      <c r="AH907" s="7">
        <v>0</v>
      </c>
      <c r="AI907" s="7">
        <v>-1</v>
      </c>
      <c r="AJ907" s="7">
        <v>-1</v>
      </c>
      <c r="AK907" s="7" t="s">
        <v>1065</v>
      </c>
      <c r="AL907" s="12" t="s">
        <v>1337</v>
      </c>
      <c r="AM907" s="12" t="s">
        <v>2072</v>
      </c>
    </row>
    <row r="908" spans="1:39" ht="21" customHeight="1" x14ac:dyDescent="0.15">
      <c r="A908" s="42" t="str">
        <f t="shared" si="73"/>
        <v>48009_2</v>
      </c>
      <c r="B908" s="23">
        <v>1</v>
      </c>
      <c r="C908" s="31">
        <v>48009</v>
      </c>
      <c r="D908" s="47" t="str">
        <f ca="1">VLOOKUP($C908,OFFSET(quests!$A$1,0,0,COUNTA(quests!$A:$A),MATCH(D$1,quests!$1:$1,0)-MATCH($C$2,quests!$1:$1,0)+1),MATCH(D$1,quests!$1:$1,0)-MATCH($C$2,quests!$1:$1,0)+1,FALSE)</f>
        <v>藍采和襲来！</v>
      </c>
      <c r="E908" s="48" t="str">
        <f ca="1">VLOOKUP($C908,OFFSET(quests!$A$1,0,0,COUNTA(quests!$A:$A),MATCH(E$2,quests!$1:$1,0)-MATCH($C$2,quests!$1:$1,0)+1),MATCH(E$2,quests!$1:$1,0)-MATCH($C$2,quests!$1:$1,0)+1,FALSE)</f>
        <v>台湾版降臨10</v>
      </c>
      <c r="F908" s="7">
        <v>2</v>
      </c>
      <c r="G908" s="7" t="s">
        <v>382</v>
      </c>
      <c r="H908" s="12" t="s">
        <v>1911</v>
      </c>
      <c r="I908" s="12" t="s">
        <v>61</v>
      </c>
      <c r="J908" s="251">
        <v>8042</v>
      </c>
      <c r="K908" s="167">
        <v>40</v>
      </c>
      <c r="L908" s="167">
        <v>4500</v>
      </c>
      <c r="M908" s="167">
        <v>1</v>
      </c>
      <c r="N908" s="167">
        <v>1</v>
      </c>
      <c r="O908" s="167">
        <v>1</v>
      </c>
      <c r="P908" s="167">
        <v>1</v>
      </c>
      <c r="Q908" s="167">
        <v>1</v>
      </c>
      <c r="R908" s="167">
        <v>3</v>
      </c>
      <c r="S908" s="167" t="s">
        <v>278</v>
      </c>
      <c r="T908" s="167">
        <v>1</v>
      </c>
      <c r="U908" s="7" t="s">
        <v>169</v>
      </c>
      <c r="V908" s="7" t="s">
        <v>169</v>
      </c>
      <c r="W908" s="47" t="str">
        <f t="shared" ca="1" si="54"/>
        <v/>
      </c>
      <c r="X908" s="47">
        <f ca="1">VLOOKUP($C908,OFFSET(quests!$A$1,0,0,COUNTA(quests!$A:$A),MATCH(X$2,quests!$1:$1,0)-MATCH($C$2,quests!$1:$1,0)+1),MATCH(X$2,quests!$1:$1,0)-MATCH($C$2,quests!$1:$1,0)+1,FALSE)</f>
        <v>0</v>
      </c>
      <c r="Y908" s="47">
        <f ca="1">VLOOKUP($C908,OFFSET(quests!$A$1,0,0,COUNTA(quests!$A:$A),MATCH(Y$2,quests!$1:$1,0)-MATCH($C$2,quests!$1:$1,0)+1),MATCH(Y$2,quests!$1:$1,0)-MATCH($C$2,quests!$1:$1,0)+1,FALSE)</f>
        <v>0</v>
      </c>
      <c r="Z908" s="47">
        <f ca="1">VLOOKUP($C908,OFFSET(quests!$A$1,0,0,COUNTA(quests!$A:$A),MATCH(Z$2,quests!$1:$1,0)-MATCH($C$2,quests!$1:$1,0)+1),MATCH(Z$2,quests!$1:$1,0)-MATCH($C$2,quests!$1:$1,0)+1,FALSE)</f>
        <v>0</v>
      </c>
      <c r="AA908" s="47">
        <f ca="1">VLOOKUP($C908,OFFSET(quests!$A$1,0,0,COUNTA(quests!$A:$A),MATCH(AA$2,quests!$1:$1,0)-MATCH($C$2,quests!$1:$1,0)+1),MATCH(AA$2,quests!$1:$1,0)-MATCH($C$2,quests!$1:$1,0)+1,FALSE)</f>
        <v>0</v>
      </c>
      <c r="AB908" s="7" t="s">
        <v>56</v>
      </c>
      <c r="AC908" s="65">
        <v>953</v>
      </c>
      <c r="AD908" s="7">
        <v>6</v>
      </c>
      <c r="AE908" s="7" t="s">
        <v>519</v>
      </c>
      <c r="AF908" s="7">
        <v>40</v>
      </c>
      <c r="AG908" s="7">
        <v>40</v>
      </c>
      <c r="AH908" s="7">
        <v>0</v>
      </c>
      <c r="AI908" s="7">
        <v>-1</v>
      </c>
      <c r="AJ908" s="7">
        <v>-1</v>
      </c>
      <c r="AK908" s="7" t="s">
        <v>1065</v>
      </c>
      <c r="AL908" s="12" t="s">
        <v>1337</v>
      </c>
      <c r="AM908" s="12" t="s">
        <v>2072</v>
      </c>
    </row>
    <row r="909" spans="1:39" ht="21" customHeight="1" x14ac:dyDescent="0.15">
      <c r="A909" s="42" t="str">
        <f t="shared" ref="A909:A911" si="74">C909&amp;"_"&amp;F909</f>
        <v>48010_1</v>
      </c>
      <c r="B909" s="23">
        <v>1</v>
      </c>
      <c r="C909" s="31">
        <v>48010</v>
      </c>
      <c r="D909" s="47" t="str">
        <f ca="1">VLOOKUP($C909,OFFSET(quests!$A$1,0,0,COUNTA(quests!$A:$A),MATCH(D$1,quests!$1:$1,0)-MATCH($C$2,quests!$1:$1,0)+1),MATCH(D$1,quests!$1:$1,0)-MATCH($C$2,quests!$1:$1,0)+1,FALSE)</f>
        <v>バハムートダックより祝福を</v>
      </c>
      <c r="E909" s="48" t="str">
        <f ca="1">VLOOKUP($C909,OFFSET(quests!$A$1,0,0,COUNTA(quests!$A:$A),MATCH(E$2,quests!$1:$1,0)-MATCH($C$2,quests!$1:$1,0)+1),MATCH(E$2,quests!$1:$1,0)-MATCH($C$2,quests!$1:$1,0)+1,FALSE)</f>
        <v>台湾バハムート記念限定クエスト</v>
      </c>
      <c r="F909" s="7">
        <v>1</v>
      </c>
      <c r="G909" s="7" t="s">
        <v>382</v>
      </c>
      <c r="H909" s="39" t="s">
        <v>1914</v>
      </c>
      <c r="I909" s="12" t="s">
        <v>1913</v>
      </c>
      <c r="J909" s="12">
        <v>8095</v>
      </c>
      <c r="K909" s="167">
        <v>1</v>
      </c>
      <c r="L909" s="167">
        <v>200</v>
      </c>
      <c r="M909" s="167">
        <v>1</v>
      </c>
      <c r="N909" s="167">
        <v>1</v>
      </c>
      <c r="O909" s="167">
        <v>1</v>
      </c>
      <c r="P909" s="167">
        <v>1</v>
      </c>
      <c r="Q909" s="185">
        <v>1</v>
      </c>
      <c r="R909" s="167">
        <v>3</v>
      </c>
      <c r="S909" s="167" t="s">
        <v>278</v>
      </c>
      <c r="T909" s="167">
        <v>1</v>
      </c>
      <c r="U909" s="7" t="s">
        <v>169</v>
      </c>
      <c r="V909" s="7" t="s">
        <v>169</v>
      </c>
      <c r="W909" s="47" t="str">
        <f t="shared" ca="1" si="54"/>
        <v/>
      </c>
      <c r="X909" s="47">
        <f ca="1">VLOOKUP($C909,OFFSET(quests!$A$1,0,0,COUNTA(quests!$A:$A),MATCH(X$2,quests!$1:$1,0)-MATCH($C$2,quests!$1:$1,0)+1),MATCH(X$2,quests!$1:$1,0)-MATCH($C$2,quests!$1:$1,0)+1,FALSE)</f>
        <v>0</v>
      </c>
      <c r="Y909" s="47">
        <f ca="1">VLOOKUP($C909,OFFSET(quests!$A$1,0,0,COUNTA(quests!$A:$A),MATCH(Y$2,quests!$1:$1,0)-MATCH($C$2,quests!$1:$1,0)+1),MATCH(Y$2,quests!$1:$1,0)-MATCH($C$2,quests!$1:$1,0)+1,FALSE)</f>
        <v>0</v>
      </c>
      <c r="Z909" s="47">
        <f ca="1">VLOOKUP($C909,OFFSET(quests!$A$1,0,0,COUNTA(quests!$A:$A),MATCH(Z$2,quests!$1:$1,0)-MATCH($C$2,quests!$1:$1,0)+1),MATCH(Z$2,quests!$1:$1,0)-MATCH($C$2,quests!$1:$1,0)+1,FALSE)</f>
        <v>0</v>
      </c>
      <c r="AA909" s="47">
        <f ca="1">VLOOKUP($C909,OFFSET(quests!$A$1,0,0,COUNTA(quests!$A:$A),MATCH(AA$2,quests!$1:$1,0)-MATCH($C$2,quests!$1:$1,0)+1),MATCH(AA$2,quests!$1:$1,0)-MATCH($C$2,quests!$1:$1,0)+1,FALSE)</f>
        <v>0</v>
      </c>
      <c r="AB909" s="159" t="s">
        <v>593</v>
      </c>
      <c r="AC909" s="167">
        <v>1</v>
      </c>
      <c r="AD909" s="7">
        <v>6</v>
      </c>
      <c r="AE909" s="7" t="s">
        <v>522</v>
      </c>
      <c r="AF909" s="7">
        <v>0</v>
      </c>
      <c r="AG909" s="7">
        <v>1</v>
      </c>
      <c r="AH909" s="7">
        <v>1</v>
      </c>
      <c r="AI909" s="7">
        <v>0</v>
      </c>
      <c r="AJ909" s="7">
        <v>-1</v>
      </c>
      <c r="AK909" s="7" t="s">
        <v>1064</v>
      </c>
      <c r="AL909" s="12" t="s">
        <v>1337</v>
      </c>
      <c r="AM909" s="12" t="s">
        <v>2072</v>
      </c>
    </row>
    <row r="910" spans="1:39" ht="21" customHeight="1" x14ac:dyDescent="0.15">
      <c r="A910" s="42" t="str">
        <f t="shared" si="74"/>
        <v>48011_1</v>
      </c>
      <c r="B910" s="23">
        <v>1</v>
      </c>
      <c r="C910" s="31">
        <v>48011</v>
      </c>
      <c r="D910" s="47" t="str">
        <f ca="1">VLOOKUP($C910,OFFSET(quests!$A$1,0,0,COUNTA(quests!$A:$A),MATCH(D$1,quests!$1:$1,0)-MATCH($C$2,quests!$1:$1,0)+1),MATCH(D$1,quests!$1:$1,0)-MATCH($C$2,quests!$1:$1,0)+1,FALSE)</f>
        <v>年獣襲来！</v>
      </c>
      <c r="E910" s="48" t="str">
        <f ca="1">VLOOKUP($C910,OFFSET(quests!$A$1,0,0,COUNTA(quests!$A:$A),MATCH(E$2,quests!$1:$1,0)-MATCH($C$2,quests!$1:$1,0)+1),MATCH(E$2,quests!$1:$1,0)-MATCH($C$2,quests!$1:$1,0)+1,FALSE)</f>
        <v>台湾版降臨11</v>
      </c>
      <c r="F910" s="7">
        <v>1</v>
      </c>
      <c r="G910" s="7" t="s">
        <v>382</v>
      </c>
      <c r="H910" s="12" t="s">
        <v>1992</v>
      </c>
      <c r="I910" s="12" t="s">
        <v>61</v>
      </c>
      <c r="J910" s="251">
        <v>8090</v>
      </c>
      <c r="K910" s="167">
        <v>35</v>
      </c>
      <c r="L910" s="167">
        <v>4200</v>
      </c>
      <c r="M910" s="167">
        <v>1</v>
      </c>
      <c r="N910" s="167">
        <v>1</v>
      </c>
      <c r="O910" s="167">
        <v>1</v>
      </c>
      <c r="P910" s="167">
        <v>1</v>
      </c>
      <c r="Q910" s="167">
        <v>1</v>
      </c>
      <c r="R910" s="167">
        <v>3</v>
      </c>
      <c r="S910" s="167" t="s">
        <v>278</v>
      </c>
      <c r="T910" s="167">
        <v>1</v>
      </c>
      <c r="U910" s="7" t="s">
        <v>169</v>
      </c>
      <c r="V910" s="7" t="s">
        <v>169</v>
      </c>
      <c r="W910" s="47" t="str">
        <f t="shared" ca="1" si="54"/>
        <v/>
      </c>
      <c r="X910" s="47">
        <f ca="1">VLOOKUP($C910,OFFSET(quests!$A$1,0,0,COUNTA(quests!$A:$A),MATCH(X$2,quests!$1:$1,0)-MATCH($C$2,quests!$1:$1,0)+1),MATCH(X$2,quests!$1:$1,0)-MATCH($C$2,quests!$1:$1,0)+1,FALSE)</f>
        <v>0</v>
      </c>
      <c r="Y910" s="47">
        <f ca="1">VLOOKUP($C910,OFFSET(quests!$A$1,0,0,COUNTA(quests!$A:$A),MATCH(Y$2,quests!$1:$1,0)-MATCH($C$2,quests!$1:$1,0)+1),MATCH(Y$2,quests!$1:$1,0)-MATCH($C$2,quests!$1:$1,0)+1,FALSE)</f>
        <v>0</v>
      </c>
      <c r="Z910" s="47">
        <f ca="1">VLOOKUP($C910,OFFSET(quests!$A$1,0,0,COUNTA(quests!$A:$A),MATCH(Z$2,quests!$1:$1,0)-MATCH($C$2,quests!$1:$1,0)+1),MATCH(Z$2,quests!$1:$1,0)-MATCH($C$2,quests!$1:$1,0)+1,FALSE)</f>
        <v>0</v>
      </c>
      <c r="AA910" s="47">
        <f ca="1">VLOOKUP($C910,OFFSET(quests!$A$1,0,0,COUNTA(quests!$A:$A),MATCH(AA$2,quests!$1:$1,0)-MATCH($C$2,quests!$1:$1,0)+1),MATCH(AA$2,quests!$1:$1,0)-MATCH($C$2,quests!$1:$1,0)+1,FALSE)</f>
        <v>0</v>
      </c>
      <c r="AB910" s="7" t="s">
        <v>56</v>
      </c>
      <c r="AC910" s="65">
        <v>970</v>
      </c>
      <c r="AD910" s="7">
        <v>6</v>
      </c>
      <c r="AE910" s="7" t="s">
        <v>519</v>
      </c>
      <c r="AF910" s="7">
        <v>40</v>
      </c>
      <c r="AG910" s="7">
        <v>40</v>
      </c>
      <c r="AH910" s="7">
        <v>0</v>
      </c>
      <c r="AI910" s="7">
        <v>-1</v>
      </c>
      <c r="AJ910" s="7">
        <v>-1</v>
      </c>
      <c r="AK910" s="7" t="s">
        <v>1065</v>
      </c>
      <c r="AL910" s="12" t="s">
        <v>1269</v>
      </c>
      <c r="AM910" s="12" t="s">
        <v>2072</v>
      </c>
    </row>
    <row r="911" spans="1:39" ht="21" customHeight="1" x14ac:dyDescent="0.15">
      <c r="A911" s="42" t="str">
        <f t="shared" si="74"/>
        <v>48011_2</v>
      </c>
      <c r="B911" s="23">
        <v>1</v>
      </c>
      <c r="C911" s="31">
        <v>48011</v>
      </c>
      <c r="D911" s="47" t="str">
        <f ca="1">VLOOKUP($C911,OFFSET(quests!$A$1,0,0,COUNTA(quests!$A:$A),MATCH(D$1,quests!$1:$1,0)-MATCH($C$2,quests!$1:$1,0)+1),MATCH(D$1,quests!$1:$1,0)-MATCH($C$2,quests!$1:$1,0)+1,FALSE)</f>
        <v>年獣襲来！</v>
      </c>
      <c r="E911" s="48" t="str">
        <f ca="1">VLOOKUP($C911,OFFSET(quests!$A$1,0,0,COUNTA(quests!$A:$A),MATCH(E$2,quests!$1:$1,0)-MATCH($C$2,quests!$1:$1,0)+1),MATCH(E$2,quests!$1:$1,0)-MATCH($C$2,quests!$1:$1,0)+1,FALSE)</f>
        <v>台湾版降臨11</v>
      </c>
      <c r="F911" s="7">
        <v>2</v>
      </c>
      <c r="G911" s="7" t="s">
        <v>382</v>
      </c>
      <c r="H911" s="12" t="s">
        <v>1993</v>
      </c>
      <c r="I911" s="12" t="s">
        <v>61</v>
      </c>
      <c r="J911" s="251">
        <v>8090</v>
      </c>
      <c r="K911" s="167">
        <v>40</v>
      </c>
      <c r="L911" s="167">
        <v>4500</v>
      </c>
      <c r="M911" s="167">
        <v>1</v>
      </c>
      <c r="N911" s="167">
        <v>1</v>
      </c>
      <c r="O911" s="167">
        <v>1</v>
      </c>
      <c r="P911" s="167">
        <v>1</v>
      </c>
      <c r="Q911" s="167">
        <v>1</v>
      </c>
      <c r="R911" s="167">
        <v>3</v>
      </c>
      <c r="S911" s="167" t="s">
        <v>278</v>
      </c>
      <c r="T911" s="167">
        <v>1</v>
      </c>
      <c r="U911" s="7" t="s">
        <v>169</v>
      </c>
      <c r="V911" s="7" t="s">
        <v>169</v>
      </c>
      <c r="W911" s="47" t="str">
        <f t="shared" ca="1" si="54"/>
        <v/>
      </c>
      <c r="X911" s="47">
        <f ca="1">VLOOKUP($C911,OFFSET(quests!$A$1,0,0,COUNTA(quests!$A:$A),MATCH(X$2,quests!$1:$1,0)-MATCH($C$2,quests!$1:$1,0)+1),MATCH(X$2,quests!$1:$1,0)-MATCH($C$2,quests!$1:$1,0)+1,FALSE)</f>
        <v>0</v>
      </c>
      <c r="Y911" s="47">
        <f ca="1">VLOOKUP($C911,OFFSET(quests!$A$1,0,0,COUNTA(quests!$A:$A),MATCH(Y$2,quests!$1:$1,0)-MATCH($C$2,quests!$1:$1,0)+1),MATCH(Y$2,quests!$1:$1,0)-MATCH($C$2,quests!$1:$1,0)+1,FALSE)</f>
        <v>0</v>
      </c>
      <c r="Z911" s="47">
        <f ca="1">VLOOKUP($C911,OFFSET(quests!$A$1,0,0,COUNTA(quests!$A:$A),MATCH(Z$2,quests!$1:$1,0)-MATCH($C$2,quests!$1:$1,0)+1),MATCH(Z$2,quests!$1:$1,0)-MATCH($C$2,quests!$1:$1,0)+1,FALSE)</f>
        <v>0</v>
      </c>
      <c r="AA911" s="47">
        <f ca="1">VLOOKUP($C911,OFFSET(quests!$A$1,0,0,COUNTA(quests!$A:$A),MATCH(AA$2,quests!$1:$1,0)-MATCH($C$2,quests!$1:$1,0)+1),MATCH(AA$2,quests!$1:$1,0)-MATCH($C$2,quests!$1:$1,0)+1,FALSE)</f>
        <v>0</v>
      </c>
      <c r="AB911" s="7" t="s">
        <v>56</v>
      </c>
      <c r="AC911" s="65">
        <v>970</v>
      </c>
      <c r="AD911" s="7">
        <v>6</v>
      </c>
      <c r="AE911" s="7" t="s">
        <v>519</v>
      </c>
      <c r="AF911" s="7">
        <v>40</v>
      </c>
      <c r="AG911" s="7">
        <v>40</v>
      </c>
      <c r="AH911" s="7">
        <v>0</v>
      </c>
      <c r="AI911" s="7">
        <v>-1</v>
      </c>
      <c r="AJ911" s="7">
        <v>-1</v>
      </c>
      <c r="AK911" s="7" t="s">
        <v>1065</v>
      </c>
      <c r="AL911" s="12" t="s">
        <v>1269</v>
      </c>
      <c r="AM911" s="12" t="s">
        <v>2072</v>
      </c>
    </row>
    <row r="912" spans="1:39" ht="21" customHeight="1" x14ac:dyDescent="0.15">
      <c r="A912" s="42" t="str">
        <f t="shared" ref="A912:A913" si="75">C912&amp;"_"&amp;F912</f>
        <v>48012_1</v>
      </c>
      <c r="B912" s="23">
        <v>1</v>
      </c>
      <c r="C912" s="31">
        <v>48012</v>
      </c>
      <c r="D912" s="47" t="str">
        <f ca="1">VLOOKUP($C912,OFFSET(quests!$A$1,0,0,COUNTA(quests!$A:$A),MATCH(D$1,quests!$1:$1,0)-MATCH($C$2,quests!$1:$1,0)+1),MATCH(D$1,quests!$1:$1,0)-MATCH($C$2,quests!$1:$1,0)+1,FALSE)</f>
        <v>張果老襲来！</v>
      </c>
      <c r="E912" s="48" t="str">
        <f ca="1">VLOOKUP($C912,OFFSET(quests!$A$1,0,0,COUNTA(quests!$A:$A),MATCH(E$2,quests!$1:$1,0)-MATCH($C$2,quests!$1:$1,0)+1),MATCH(E$2,quests!$1:$1,0)-MATCH($C$2,quests!$1:$1,0)+1,FALSE)</f>
        <v>台湾版降臨12</v>
      </c>
      <c r="F912" s="7">
        <v>1</v>
      </c>
      <c r="G912" s="7" t="s">
        <v>382</v>
      </c>
      <c r="H912" s="12" t="s">
        <v>2198</v>
      </c>
      <c r="I912" s="12" t="s">
        <v>61</v>
      </c>
      <c r="J912" s="251">
        <v>8102</v>
      </c>
      <c r="K912" s="167">
        <v>35</v>
      </c>
      <c r="L912" s="167">
        <v>4200</v>
      </c>
      <c r="M912" s="167">
        <v>1</v>
      </c>
      <c r="N912" s="167">
        <v>1</v>
      </c>
      <c r="O912" s="167">
        <v>1</v>
      </c>
      <c r="P912" s="167">
        <v>1</v>
      </c>
      <c r="Q912" s="167">
        <v>1</v>
      </c>
      <c r="R912" s="167">
        <v>3</v>
      </c>
      <c r="S912" s="167" t="s">
        <v>278</v>
      </c>
      <c r="T912" s="167">
        <v>1</v>
      </c>
      <c r="U912" s="7" t="s">
        <v>169</v>
      </c>
      <c r="V912" s="7" t="s">
        <v>169</v>
      </c>
      <c r="W912" s="47" t="str">
        <f t="shared" ca="1" si="54"/>
        <v/>
      </c>
      <c r="X912" s="47">
        <f ca="1">VLOOKUP($C912,OFFSET(quests!$A$1,0,0,COUNTA(quests!$A:$A),MATCH(X$2,quests!$1:$1,0)-MATCH($C$2,quests!$1:$1,0)+1),MATCH(X$2,quests!$1:$1,0)-MATCH($C$2,quests!$1:$1,0)+1,FALSE)</f>
        <v>0</v>
      </c>
      <c r="Y912" s="47">
        <f ca="1">VLOOKUP($C912,OFFSET(quests!$A$1,0,0,COUNTA(quests!$A:$A),MATCH(Y$2,quests!$1:$1,0)-MATCH($C$2,quests!$1:$1,0)+1),MATCH(Y$2,quests!$1:$1,0)-MATCH($C$2,quests!$1:$1,0)+1,FALSE)</f>
        <v>0</v>
      </c>
      <c r="Z912" s="47">
        <f ca="1">VLOOKUP($C912,OFFSET(quests!$A$1,0,0,COUNTA(quests!$A:$A),MATCH(Z$2,quests!$1:$1,0)-MATCH($C$2,quests!$1:$1,0)+1),MATCH(Z$2,quests!$1:$1,0)-MATCH($C$2,quests!$1:$1,0)+1,FALSE)</f>
        <v>0</v>
      </c>
      <c r="AA912" s="47">
        <f ca="1">VLOOKUP($C912,OFFSET(quests!$A$1,0,0,COUNTA(quests!$A:$A),MATCH(AA$2,quests!$1:$1,0)-MATCH($C$2,quests!$1:$1,0)+1),MATCH(AA$2,quests!$1:$1,0)-MATCH($C$2,quests!$1:$1,0)+1,FALSE)</f>
        <v>0</v>
      </c>
      <c r="AB912" s="7" t="s">
        <v>56</v>
      </c>
      <c r="AC912" s="65">
        <v>975</v>
      </c>
      <c r="AD912" s="7">
        <v>6</v>
      </c>
      <c r="AE912" s="7" t="s">
        <v>519</v>
      </c>
      <c r="AF912" s="7">
        <v>40</v>
      </c>
      <c r="AG912" s="7">
        <v>40</v>
      </c>
      <c r="AH912" s="7">
        <v>0</v>
      </c>
      <c r="AI912" s="7">
        <v>-1</v>
      </c>
      <c r="AJ912" s="7">
        <v>-1</v>
      </c>
      <c r="AK912" s="7" t="s">
        <v>1065</v>
      </c>
      <c r="AL912" s="12" t="s">
        <v>1269</v>
      </c>
      <c r="AM912" s="12" t="s">
        <v>2072</v>
      </c>
    </row>
    <row r="913" spans="1:39" ht="21" customHeight="1" x14ac:dyDescent="0.15">
      <c r="A913" s="42" t="str">
        <f t="shared" si="75"/>
        <v>48012_2</v>
      </c>
      <c r="B913" s="23">
        <v>1</v>
      </c>
      <c r="C913" s="31">
        <v>48012</v>
      </c>
      <c r="D913" s="47" t="str">
        <f ca="1">VLOOKUP($C913,OFFSET(quests!$A$1,0,0,COUNTA(quests!$A:$A),MATCH(D$1,quests!$1:$1,0)-MATCH($C$2,quests!$1:$1,0)+1),MATCH(D$1,quests!$1:$1,0)-MATCH($C$2,quests!$1:$1,0)+1,FALSE)</f>
        <v>張果老襲来！</v>
      </c>
      <c r="E913" s="48" t="str">
        <f ca="1">VLOOKUP($C913,OFFSET(quests!$A$1,0,0,COUNTA(quests!$A:$A),MATCH(E$2,quests!$1:$1,0)-MATCH($C$2,quests!$1:$1,0)+1),MATCH(E$2,quests!$1:$1,0)-MATCH($C$2,quests!$1:$1,0)+1,FALSE)</f>
        <v>台湾版降臨12</v>
      </c>
      <c r="F913" s="7">
        <v>2</v>
      </c>
      <c r="G913" s="7" t="s">
        <v>382</v>
      </c>
      <c r="H913" s="12" t="s">
        <v>2199</v>
      </c>
      <c r="I913" s="12" t="s">
        <v>61</v>
      </c>
      <c r="J913" s="251">
        <v>8102</v>
      </c>
      <c r="K913" s="167">
        <v>40</v>
      </c>
      <c r="L913" s="167">
        <v>4500</v>
      </c>
      <c r="M913" s="167">
        <v>1</v>
      </c>
      <c r="N913" s="167">
        <v>1</v>
      </c>
      <c r="O913" s="167">
        <v>1</v>
      </c>
      <c r="P913" s="167">
        <v>1</v>
      </c>
      <c r="Q913" s="167">
        <v>1</v>
      </c>
      <c r="R913" s="167">
        <v>3</v>
      </c>
      <c r="S913" s="167" t="s">
        <v>278</v>
      </c>
      <c r="T913" s="167">
        <v>1</v>
      </c>
      <c r="U913" s="7" t="s">
        <v>169</v>
      </c>
      <c r="V913" s="7" t="s">
        <v>169</v>
      </c>
      <c r="W913" s="47" t="str">
        <f t="shared" ca="1" si="54"/>
        <v/>
      </c>
      <c r="X913" s="47">
        <f ca="1">VLOOKUP($C913,OFFSET(quests!$A$1,0,0,COUNTA(quests!$A:$A),MATCH(X$2,quests!$1:$1,0)-MATCH($C$2,quests!$1:$1,0)+1),MATCH(X$2,quests!$1:$1,0)-MATCH($C$2,quests!$1:$1,0)+1,FALSE)</f>
        <v>0</v>
      </c>
      <c r="Y913" s="47">
        <f ca="1">VLOOKUP($C913,OFFSET(quests!$A$1,0,0,COUNTA(quests!$A:$A),MATCH(Y$2,quests!$1:$1,0)-MATCH($C$2,quests!$1:$1,0)+1),MATCH(Y$2,quests!$1:$1,0)-MATCH($C$2,quests!$1:$1,0)+1,FALSE)</f>
        <v>0</v>
      </c>
      <c r="Z913" s="47">
        <f ca="1">VLOOKUP($C913,OFFSET(quests!$A$1,0,0,COUNTA(quests!$A:$A),MATCH(Z$2,quests!$1:$1,0)-MATCH($C$2,quests!$1:$1,0)+1),MATCH(Z$2,quests!$1:$1,0)-MATCH($C$2,quests!$1:$1,0)+1,FALSE)</f>
        <v>0</v>
      </c>
      <c r="AA913" s="47">
        <f ca="1">VLOOKUP($C913,OFFSET(quests!$A$1,0,0,COUNTA(quests!$A:$A),MATCH(AA$2,quests!$1:$1,0)-MATCH($C$2,quests!$1:$1,0)+1),MATCH(AA$2,quests!$1:$1,0)-MATCH($C$2,quests!$1:$1,0)+1,FALSE)</f>
        <v>0</v>
      </c>
      <c r="AB913" s="7" t="s">
        <v>56</v>
      </c>
      <c r="AC913" s="65">
        <v>975</v>
      </c>
      <c r="AD913" s="7">
        <v>6</v>
      </c>
      <c r="AE913" s="7" t="s">
        <v>519</v>
      </c>
      <c r="AF913" s="7">
        <v>40</v>
      </c>
      <c r="AG913" s="7">
        <v>40</v>
      </c>
      <c r="AH913" s="7">
        <v>0</v>
      </c>
      <c r="AI913" s="7">
        <v>-1</v>
      </c>
      <c r="AJ913" s="7">
        <v>-1</v>
      </c>
      <c r="AK913" s="7" t="s">
        <v>1065</v>
      </c>
      <c r="AL913" s="12" t="s">
        <v>1269</v>
      </c>
      <c r="AM913" s="12" t="s">
        <v>2072</v>
      </c>
    </row>
    <row r="914" spans="1:39" ht="21" customHeight="1" x14ac:dyDescent="0.15">
      <c r="A914" s="42" t="str">
        <f t="shared" ref="A914:A919" si="76">C914&amp;"_"&amp;F914</f>
        <v>48013_1</v>
      </c>
      <c r="B914" s="23">
        <v>1</v>
      </c>
      <c r="C914" s="31">
        <v>48013</v>
      </c>
      <c r="D914" s="47" t="str">
        <f ca="1">VLOOKUP($C914,OFFSET(quests!$A$1,0,0,COUNTA(quests!$A:$A),MATCH(D$1,quests!$1:$1,0)-MATCH($C$2,quests!$1:$1,0)+1),MATCH(D$1,quests!$1:$1,0)-MATCH($C$2,quests!$1:$1,0)+1,FALSE)</f>
        <v>法海襲来！</v>
      </c>
      <c r="E914" s="48" t="str">
        <f ca="1">VLOOKUP($C914,OFFSET(quests!$A$1,0,0,COUNTA(quests!$A:$A),MATCH(E$2,quests!$1:$1,0)-MATCH($C$2,quests!$1:$1,0)+1),MATCH(E$2,quests!$1:$1,0)-MATCH($C$2,quests!$1:$1,0)+1,FALSE)</f>
        <v>台湾版降臨13</v>
      </c>
      <c r="F914" s="7">
        <v>1</v>
      </c>
      <c r="G914" s="7" t="s">
        <v>382</v>
      </c>
      <c r="H914" s="12" t="s">
        <v>2310</v>
      </c>
      <c r="I914" s="12" t="s">
        <v>61</v>
      </c>
      <c r="J914" s="251">
        <v>8122</v>
      </c>
      <c r="K914" s="167">
        <v>35</v>
      </c>
      <c r="L914" s="167">
        <v>4200</v>
      </c>
      <c r="M914" s="167">
        <v>1</v>
      </c>
      <c r="N914" s="167">
        <v>1</v>
      </c>
      <c r="O914" s="167">
        <v>1</v>
      </c>
      <c r="P914" s="167">
        <v>1</v>
      </c>
      <c r="Q914" s="167">
        <v>1</v>
      </c>
      <c r="R914" s="167">
        <v>3</v>
      </c>
      <c r="S914" s="167" t="s">
        <v>278</v>
      </c>
      <c r="T914" s="167">
        <v>1</v>
      </c>
      <c r="U914" s="7" t="s">
        <v>169</v>
      </c>
      <c r="V914" s="7" t="s">
        <v>169</v>
      </c>
      <c r="W914" s="47" t="str">
        <f t="shared" ca="1" si="54"/>
        <v/>
      </c>
      <c r="X914" s="47">
        <f ca="1">VLOOKUP($C914,OFFSET(quests!$A$1,0,0,COUNTA(quests!$A:$A),MATCH(X$2,quests!$1:$1,0)-MATCH($C$2,quests!$1:$1,0)+1),MATCH(X$2,quests!$1:$1,0)-MATCH($C$2,quests!$1:$1,0)+1,FALSE)</f>
        <v>0</v>
      </c>
      <c r="Y914" s="47">
        <f ca="1">VLOOKUP($C914,OFFSET(quests!$A$1,0,0,COUNTA(quests!$A:$A),MATCH(Y$2,quests!$1:$1,0)-MATCH($C$2,quests!$1:$1,0)+1),MATCH(Y$2,quests!$1:$1,0)-MATCH($C$2,quests!$1:$1,0)+1,FALSE)</f>
        <v>0</v>
      </c>
      <c r="Z914" s="47">
        <f ca="1">VLOOKUP($C914,OFFSET(quests!$A$1,0,0,COUNTA(quests!$A:$A),MATCH(Z$2,quests!$1:$1,0)-MATCH($C$2,quests!$1:$1,0)+1),MATCH(Z$2,quests!$1:$1,0)-MATCH($C$2,quests!$1:$1,0)+1,FALSE)</f>
        <v>0</v>
      </c>
      <c r="AA914" s="47">
        <f ca="1">VLOOKUP($C914,OFFSET(quests!$A$1,0,0,COUNTA(quests!$A:$A),MATCH(AA$2,quests!$1:$1,0)-MATCH($C$2,quests!$1:$1,0)+1),MATCH(AA$2,quests!$1:$1,0)-MATCH($C$2,quests!$1:$1,0)+1,FALSE)</f>
        <v>0</v>
      </c>
      <c r="AB914" s="7" t="s">
        <v>56</v>
      </c>
      <c r="AC914" s="65">
        <v>1003</v>
      </c>
      <c r="AD914" s="7">
        <v>6</v>
      </c>
      <c r="AE914" s="7" t="s">
        <v>519</v>
      </c>
      <c r="AF914" s="7">
        <v>40</v>
      </c>
      <c r="AG914" s="7">
        <v>40</v>
      </c>
      <c r="AH914" s="7">
        <v>0</v>
      </c>
      <c r="AI914" s="7">
        <v>-1</v>
      </c>
      <c r="AJ914" s="7">
        <v>-1</v>
      </c>
      <c r="AK914" s="7" t="s">
        <v>1065</v>
      </c>
      <c r="AL914" s="12" t="s">
        <v>1269</v>
      </c>
      <c r="AM914" s="12" t="s">
        <v>2072</v>
      </c>
    </row>
    <row r="915" spans="1:39" ht="21" customHeight="1" x14ac:dyDescent="0.15">
      <c r="A915" s="42" t="str">
        <f t="shared" si="76"/>
        <v>48013_2</v>
      </c>
      <c r="B915" s="23">
        <v>1</v>
      </c>
      <c r="C915" s="31">
        <v>48013</v>
      </c>
      <c r="D915" s="47" t="str">
        <f ca="1">VLOOKUP($C915,OFFSET(quests!$A$1,0,0,COUNTA(quests!$A:$A),MATCH(D$1,quests!$1:$1,0)-MATCH($C$2,quests!$1:$1,0)+1),MATCH(D$1,quests!$1:$1,0)-MATCH($C$2,quests!$1:$1,0)+1,FALSE)</f>
        <v>法海襲来！</v>
      </c>
      <c r="E915" s="48" t="str">
        <f ca="1">VLOOKUP($C915,OFFSET(quests!$A$1,0,0,COUNTA(quests!$A:$A),MATCH(E$2,quests!$1:$1,0)-MATCH($C$2,quests!$1:$1,0)+1),MATCH(E$2,quests!$1:$1,0)-MATCH($C$2,quests!$1:$1,0)+1,FALSE)</f>
        <v>台湾版降臨13</v>
      </c>
      <c r="F915" s="7">
        <v>2</v>
      </c>
      <c r="G915" s="7" t="s">
        <v>382</v>
      </c>
      <c r="H915" s="12" t="s">
        <v>2311</v>
      </c>
      <c r="I915" s="12" t="s">
        <v>61</v>
      </c>
      <c r="J915" s="251">
        <v>8122</v>
      </c>
      <c r="K915" s="167">
        <v>40</v>
      </c>
      <c r="L915" s="167">
        <v>4500</v>
      </c>
      <c r="M915" s="167">
        <v>1</v>
      </c>
      <c r="N915" s="167">
        <v>1</v>
      </c>
      <c r="O915" s="167">
        <v>1</v>
      </c>
      <c r="P915" s="167">
        <v>1</v>
      </c>
      <c r="Q915" s="167">
        <v>1</v>
      </c>
      <c r="R915" s="167">
        <v>3</v>
      </c>
      <c r="S915" s="167" t="s">
        <v>278</v>
      </c>
      <c r="T915" s="167">
        <v>1</v>
      </c>
      <c r="U915" s="7" t="s">
        <v>169</v>
      </c>
      <c r="V915" s="7" t="s">
        <v>169</v>
      </c>
      <c r="W915" s="47" t="str">
        <f t="shared" ca="1" si="54"/>
        <v/>
      </c>
      <c r="X915" s="47">
        <f ca="1">VLOOKUP($C915,OFFSET(quests!$A$1,0,0,COUNTA(quests!$A:$A),MATCH(X$2,quests!$1:$1,0)-MATCH($C$2,quests!$1:$1,0)+1),MATCH(X$2,quests!$1:$1,0)-MATCH($C$2,quests!$1:$1,0)+1,FALSE)</f>
        <v>0</v>
      </c>
      <c r="Y915" s="47">
        <f ca="1">VLOOKUP($C915,OFFSET(quests!$A$1,0,0,COUNTA(quests!$A:$A),MATCH(Y$2,quests!$1:$1,0)-MATCH($C$2,quests!$1:$1,0)+1),MATCH(Y$2,quests!$1:$1,0)-MATCH($C$2,quests!$1:$1,0)+1,FALSE)</f>
        <v>0</v>
      </c>
      <c r="Z915" s="47">
        <f ca="1">VLOOKUP($C915,OFFSET(quests!$A$1,0,0,COUNTA(quests!$A:$A),MATCH(Z$2,quests!$1:$1,0)-MATCH($C$2,quests!$1:$1,0)+1),MATCH(Z$2,quests!$1:$1,0)-MATCH($C$2,quests!$1:$1,0)+1,FALSE)</f>
        <v>0</v>
      </c>
      <c r="AA915" s="47">
        <f ca="1">VLOOKUP($C915,OFFSET(quests!$A$1,0,0,COUNTA(quests!$A:$A),MATCH(AA$2,quests!$1:$1,0)-MATCH($C$2,quests!$1:$1,0)+1),MATCH(AA$2,quests!$1:$1,0)-MATCH($C$2,quests!$1:$1,0)+1,FALSE)</f>
        <v>0</v>
      </c>
      <c r="AB915" s="7" t="s">
        <v>56</v>
      </c>
      <c r="AC915" s="65">
        <v>1003</v>
      </c>
      <c r="AD915" s="7">
        <v>6</v>
      </c>
      <c r="AE915" s="7" t="s">
        <v>519</v>
      </c>
      <c r="AF915" s="7">
        <v>40</v>
      </c>
      <c r="AG915" s="7">
        <v>40</v>
      </c>
      <c r="AH915" s="7">
        <v>0</v>
      </c>
      <c r="AI915" s="7">
        <v>-1</v>
      </c>
      <c r="AJ915" s="7">
        <v>-1</v>
      </c>
      <c r="AK915" s="7" t="s">
        <v>1065</v>
      </c>
      <c r="AL915" s="12" t="s">
        <v>1269</v>
      </c>
      <c r="AM915" s="12" t="s">
        <v>2072</v>
      </c>
    </row>
    <row r="916" spans="1:39" ht="21" customHeight="1" x14ac:dyDescent="0.15">
      <c r="A916" s="42" t="str">
        <f t="shared" si="76"/>
        <v>48014_1</v>
      </c>
      <c r="B916" s="23">
        <v>3</v>
      </c>
      <c r="C916" s="31">
        <v>48014</v>
      </c>
      <c r="D916" s="47" t="str">
        <f ca="1">VLOOKUP($C916,OFFSET(quests!$A$1,0,0,COUNTA(quests!$A:$A),MATCH(D$1,quests!$1:$1,0)-MATCH($C$2,quests!$1:$1,0)+1),MATCH(D$1,quests!$1:$1,0)-MATCH($C$2,quests!$1:$1,0)+1,FALSE)</f>
        <v>藍采和襲来！</v>
      </c>
      <c r="E916" s="48" t="str">
        <f ca="1">VLOOKUP($C916,OFFSET(quests!$A$1,0,0,COUNTA(quests!$A:$A),MATCH(E$2,quests!$1:$1,0)-MATCH($C$2,quests!$1:$1,0)+1),MATCH(E$2,quests!$1:$1,0)-MATCH($C$2,quests!$1:$1,0)+1,FALSE)</f>
        <v>台湾版降臨10</v>
      </c>
      <c r="F916" s="7">
        <v>1</v>
      </c>
      <c r="G916" s="7" t="s">
        <v>382</v>
      </c>
      <c r="H916" s="12" t="s">
        <v>1910</v>
      </c>
      <c r="I916" s="12" t="s">
        <v>61</v>
      </c>
      <c r="J916" s="251">
        <v>8042</v>
      </c>
      <c r="K916" s="167">
        <v>35</v>
      </c>
      <c r="L916" s="167">
        <v>4200</v>
      </c>
      <c r="M916" s="167">
        <v>1</v>
      </c>
      <c r="N916" s="167">
        <v>1</v>
      </c>
      <c r="O916" s="167">
        <v>1</v>
      </c>
      <c r="P916" s="167">
        <v>1</v>
      </c>
      <c r="Q916" s="167">
        <v>1</v>
      </c>
      <c r="R916" s="167">
        <v>3</v>
      </c>
      <c r="S916" s="167" t="s">
        <v>278</v>
      </c>
      <c r="T916" s="167">
        <v>1</v>
      </c>
      <c r="U916" s="7" t="s">
        <v>169</v>
      </c>
      <c r="V916" s="7" t="s">
        <v>169</v>
      </c>
      <c r="W916" s="47" t="str">
        <f t="shared" ref="W916:W979" ca="1" si="77">IF(U916="NULL","",VLOOKUP($U916&amp;"_"&amp;$V916,OFFSET($A$1,0,0,COUNTA($A:$A),MATCH(W$2,$2:$2,0)-MATCH($A$2,$2:$2,0)+1),MATCH(W$2,$2:$2,0)-MATCH($A$2,$2:$2,0)+1,FALSE))</f>
        <v/>
      </c>
      <c r="X916" s="47">
        <f ca="1">VLOOKUP($C916,OFFSET(quests!$A$1,0,0,COUNTA(quests!$A:$A),MATCH(X$2,quests!$1:$1,0)-MATCH($C$2,quests!$1:$1,0)+1),MATCH(X$2,quests!$1:$1,0)-MATCH($C$2,quests!$1:$1,0)+1,FALSE)</f>
        <v>0</v>
      </c>
      <c r="Y916" s="47">
        <f ca="1">VLOOKUP($C916,OFFSET(quests!$A$1,0,0,COUNTA(quests!$A:$A),MATCH(Y$2,quests!$1:$1,0)-MATCH($C$2,quests!$1:$1,0)+1),MATCH(Y$2,quests!$1:$1,0)-MATCH($C$2,quests!$1:$1,0)+1,FALSE)</f>
        <v>0</v>
      </c>
      <c r="Z916" s="47">
        <f ca="1">VLOOKUP($C916,OFFSET(quests!$A$1,0,0,COUNTA(quests!$A:$A),MATCH(Z$2,quests!$1:$1,0)-MATCH($C$2,quests!$1:$1,0)+1),MATCH(Z$2,quests!$1:$1,0)-MATCH($C$2,quests!$1:$1,0)+1,FALSE)</f>
        <v>0</v>
      </c>
      <c r="AA916" s="47">
        <f ca="1">VLOOKUP($C916,OFFSET(quests!$A$1,0,0,COUNTA(quests!$A:$A),MATCH(AA$2,quests!$1:$1,0)-MATCH($C$2,quests!$1:$1,0)+1),MATCH(AA$2,quests!$1:$1,0)-MATCH($C$2,quests!$1:$1,0)+1,FALSE)</f>
        <v>0</v>
      </c>
      <c r="AB916" s="7" t="s">
        <v>56</v>
      </c>
      <c r="AC916" s="65">
        <v>953</v>
      </c>
      <c r="AD916" s="7">
        <v>6</v>
      </c>
      <c r="AE916" s="7" t="s">
        <v>519</v>
      </c>
      <c r="AF916" s="7">
        <v>40</v>
      </c>
      <c r="AG916" s="7">
        <v>40</v>
      </c>
      <c r="AH916" s="7">
        <v>0</v>
      </c>
      <c r="AI916" s="7">
        <v>-1</v>
      </c>
      <c r="AJ916" s="7">
        <v>-1</v>
      </c>
      <c r="AK916" s="7" t="s">
        <v>1065</v>
      </c>
      <c r="AL916" s="12" t="s">
        <v>1337</v>
      </c>
      <c r="AM916" s="12" t="s">
        <v>2072</v>
      </c>
    </row>
    <row r="917" spans="1:39" ht="22" customHeight="1" x14ac:dyDescent="0.15">
      <c r="A917" s="42" t="str">
        <f t="shared" si="76"/>
        <v>48014_2</v>
      </c>
      <c r="B917" s="23">
        <v>3</v>
      </c>
      <c r="C917" s="31">
        <v>48014</v>
      </c>
      <c r="D917" s="47" t="str">
        <f ca="1">VLOOKUP($C917,OFFSET(quests!$A$1,0,0,COUNTA(quests!$A:$A),MATCH(D$1,quests!$1:$1,0)-MATCH($C$2,quests!$1:$1,0)+1),MATCH(D$1,quests!$1:$1,0)-MATCH($C$2,quests!$1:$1,0)+1,FALSE)</f>
        <v>藍采和襲来！</v>
      </c>
      <c r="E917" s="48" t="str">
        <f ca="1">VLOOKUP($C917,OFFSET(quests!$A$1,0,0,COUNTA(quests!$A:$A),MATCH(E$2,quests!$1:$1,0)-MATCH($C$2,quests!$1:$1,0)+1),MATCH(E$2,quests!$1:$1,0)-MATCH($C$2,quests!$1:$1,0)+1,FALSE)</f>
        <v>台湾版降臨10</v>
      </c>
      <c r="F917" s="7">
        <v>2</v>
      </c>
      <c r="G917" s="7" t="s">
        <v>382</v>
      </c>
      <c r="H917" s="12" t="s">
        <v>1911</v>
      </c>
      <c r="I917" s="12" t="s">
        <v>61</v>
      </c>
      <c r="J917" s="251">
        <v>8042</v>
      </c>
      <c r="K917" s="167">
        <v>40</v>
      </c>
      <c r="L917" s="167">
        <v>4500</v>
      </c>
      <c r="M917" s="167">
        <v>1</v>
      </c>
      <c r="N917" s="167">
        <v>1</v>
      </c>
      <c r="O917" s="167">
        <v>1</v>
      </c>
      <c r="P917" s="167">
        <v>1</v>
      </c>
      <c r="Q917" s="167">
        <v>1</v>
      </c>
      <c r="R917" s="167">
        <v>3</v>
      </c>
      <c r="S917" s="167" t="s">
        <v>278</v>
      </c>
      <c r="T917" s="167">
        <v>1</v>
      </c>
      <c r="U917" s="7" t="s">
        <v>169</v>
      </c>
      <c r="V917" s="7" t="s">
        <v>169</v>
      </c>
      <c r="W917" s="47" t="str">
        <f t="shared" ca="1" si="77"/>
        <v/>
      </c>
      <c r="X917" s="47">
        <f ca="1">VLOOKUP($C917,OFFSET(quests!$A$1,0,0,COUNTA(quests!$A:$A),MATCH(X$2,quests!$1:$1,0)-MATCH($C$2,quests!$1:$1,0)+1),MATCH(X$2,quests!$1:$1,0)-MATCH($C$2,quests!$1:$1,0)+1,FALSE)</f>
        <v>0</v>
      </c>
      <c r="Y917" s="47">
        <f ca="1">VLOOKUP($C917,OFFSET(quests!$A$1,0,0,COUNTA(quests!$A:$A),MATCH(Y$2,quests!$1:$1,0)-MATCH($C$2,quests!$1:$1,0)+1),MATCH(Y$2,quests!$1:$1,0)-MATCH($C$2,quests!$1:$1,0)+1,FALSE)</f>
        <v>0</v>
      </c>
      <c r="Z917" s="47">
        <f ca="1">VLOOKUP($C917,OFFSET(quests!$A$1,0,0,COUNTA(quests!$A:$A),MATCH(Z$2,quests!$1:$1,0)-MATCH($C$2,quests!$1:$1,0)+1),MATCH(Z$2,quests!$1:$1,0)-MATCH($C$2,quests!$1:$1,0)+1,FALSE)</f>
        <v>0</v>
      </c>
      <c r="AA917" s="47">
        <f ca="1">VLOOKUP($C917,OFFSET(quests!$A$1,0,0,COUNTA(quests!$A:$A),MATCH(AA$2,quests!$1:$1,0)-MATCH($C$2,quests!$1:$1,0)+1),MATCH(AA$2,quests!$1:$1,0)-MATCH($C$2,quests!$1:$1,0)+1,FALSE)</f>
        <v>0</v>
      </c>
      <c r="AB917" s="7" t="s">
        <v>56</v>
      </c>
      <c r="AC917" s="65">
        <v>953</v>
      </c>
      <c r="AD917" s="7">
        <v>6</v>
      </c>
      <c r="AE917" s="7" t="s">
        <v>519</v>
      </c>
      <c r="AF917" s="7">
        <v>40</v>
      </c>
      <c r="AG917" s="7">
        <v>40</v>
      </c>
      <c r="AH917" s="7">
        <v>0</v>
      </c>
      <c r="AI917" s="7">
        <v>-1</v>
      </c>
      <c r="AJ917" s="7">
        <v>-1</v>
      </c>
      <c r="AK917" s="7" t="s">
        <v>1065</v>
      </c>
      <c r="AL917" s="12" t="s">
        <v>1337</v>
      </c>
      <c r="AM917" s="12" t="s">
        <v>2072</v>
      </c>
    </row>
    <row r="918" spans="1:39" ht="21" customHeight="1" x14ac:dyDescent="0.15">
      <c r="A918" s="42" t="str">
        <f t="shared" si="76"/>
        <v>48015_1</v>
      </c>
      <c r="B918" s="23">
        <v>3</v>
      </c>
      <c r="C918" s="31">
        <v>48015</v>
      </c>
      <c r="D918" s="47" t="str">
        <f ca="1">VLOOKUP($C918,OFFSET(quests!$A$1,0,0,COUNTA(quests!$A:$A),MATCH(D$1,quests!$1:$1,0)-MATCH($C$2,quests!$1:$1,0)+1),MATCH(D$1,quests!$1:$1,0)-MATCH($C$2,quests!$1:$1,0)+1,FALSE)</f>
        <v>牛頭馬面襲来！</v>
      </c>
      <c r="E918" s="48" t="str">
        <f ca="1">VLOOKUP($C918,OFFSET(quests!$A$1,0,0,COUNTA(quests!$A:$A),MATCH(E$2,quests!$1:$1,0)-MATCH($C$2,quests!$1:$1,0)+1),MATCH(E$2,quests!$1:$1,0)-MATCH($C$2,quests!$1:$1,0)+1,FALSE)</f>
        <v>台湾版降臨7</v>
      </c>
      <c r="F918" s="7">
        <v>1</v>
      </c>
      <c r="G918" s="7" t="s">
        <v>382</v>
      </c>
      <c r="H918" s="12" t="s">
        <v>1565</v>
      </c>
      <c r="I918" s="12" t="s">
        <v>61</v>
      </c>
      <c r="J918" s="65">
        <v>8033</v>
      </c>
      <c r="K918" s="167">
        <v>35</v>
      </c>
      <c r="L918" s="167">
        <v>4200</v>
      </c>
      <c r="M918" s="167">
        <v>1</v>
      </c>
      <c r="N918" s="167">
        <v>1</v>
      </c>
      <c r="O918" s="167">
        <v>1</v>
      </c>
      <c r="P918" s="167">
        <v>1</v>
      </c>
      <c r="Q918" s="96">
        <v>0</v>
      </c>
      <c r="R918" s="167">
        <v>3</v>
      </c>
      <c r="S918" s="167" t="s">
        <v>278</v>
      </c>
      <c r="T918" s="167">
        <v>1</v>
      </c>
      <c r="U918" s="7" t="s">
        <v>169</v>
      </c>
      <c r="V918" s="7" t="s">
        <v>169</v>
      </c>
      <c r="W918" s="47" t="str">
        <f t="shared" ca="1" si="77"/>
        <v/>
      </c>
      <c r="X918" s="47">
        <f ca="1">VLOOKUP($C918,OFFSET(quests!$A$1,0,0,COUNTA(quests!$A:$A),MATCH(X$2,quests!$1:$1,0)-MATCH($C$2,quests!$1:$1,0)+1),MATCH(X$2,quests!$1:$1,0)-MATCH($C$2,quests!$1:$1,0)+1,FALSE)</f>
        <v>0</v>
      </c>
      <c r="Y918" s="47">
        <f ca="1">VLOOKUP($C918,OFFSET(quests!$A$1,0,0,COUNTA(quests!$A:$A),MATCH(Y$2,quests!$1:$1,0)-MATCH($C$2,quests!$1:$1,0)+1),MATCH(Y$2,quests!$1:$1,0)-MATCH($C$2,quests!$1:$1,0)+1,FALSE)</f>
        <v>0</v>
      </c>
      <c r="Z918" s="47">
        <f ca="1">VLOOKUP($C918,OFFSET(quests!$A$1,0,0,COUNTA(quests!$A:$A),MATCH(Z$2,quests!$1:$1,0)-MATCH($C$2,quests!$1:$1,0)+1),MATCH(Z$2,quests!$1:$1,0)-MATCH($C$2,quests!$1:$1,0)+1,FALSE)</f>
        <v>0</v>
      </c>
      <c r="AA918" s="47">
        <f ca="1">VLOOKUP($C918,OFFSET(quests!$A$1,0,0,COUNTA(quests!$A:$A),MATCH(AA$2,quests!$1:$1,0)-MATCH($C$2,quests!$1:$1,0)+1),MATCH(AA$2,quests!$1:$1,0)-MATCH($C$2,quests!$1:$1,0)+1,FALSE)</f>
        <v>0</v>
      </c>
      <c r="AB918" s="7" t="s">
        <v>56</v>
      </c>
      <c r="AC918" s="167">
        <v>946</v>
      </c>
      <c r="AD918" s="7">
        <v>6</v>
      </c>
      <c r="AE918" s="7" t="s">
        <v>519</v>
      </c>
      <c r="AF918" s="7">
        <v>40</v>
      </c>
      <c r="AG918" s="7">
        <v>40</v>
      </c>
      <c r="AH918" s="7">
        <v>0</v>
      </c>
      <c r="AI918" s="7">
        <v>-1</v>
      </c>
      <c r="AJ918" s="7">
        <v>-1</v>
      </c>
      <c r="AK918" s="7" t="s">
        <v>1065</v>
      </c>
      <c r="AL918" s="12" t="s">
        <v>1337</v>
      </c>
      <c r="AM918" s="12" t="s">
        <v>1064</v>
      </c>
    </row>
    <row r="919" spans="1:39" ht="21" customHeight="1" x14ac:dyDescent="0.15">
      <c r="A919" s="42" t="str">
        <f t="shared" si="76"/>
        <v>48015_2</v>
      </c>
      <c r="B919" s="23">
        <v>3</v>
      </c>
      <c r="C919" s="31">
        <v>48015</v>
      </c>
      <c r="D919" s="47" t="str">
        <f ca="1">VLOOKUP($C919,OFFSET(quests!$A$1,0,0,COUNTA(quests!$A:$A),MATCH(D$1,quests!$1:$1,0)-MATCH($C$2,quests!$1:$1,0)+1),MATCH(D$1,quests!$1:$1,0)-MATCH($C$2,quests!$1:$1,0)+1,FALSE)</f>
        <v>牛頭馬面襲来！</v>
      </c>
      <c r="E919" s="48" t="str">
        <f ca="1">VLOOKUP($C919,OFFSET(quests!$A$1,0,0,COUNTA(quests!$A:$A),MATCH(E$2,quests!$1:$1,0)-MATCH($C$2,quests!$1:$1,0)+1),MATCH(E$2,quests!$1:$1,0)-MATCH($C$2,quests!$1:$1,0)+1,FALSE)</f>
        <v>台湾版降臨7</v>
      </c>
      <c r="F919" s="7">
        <v>2</v>
      </c>
      <c r="G919" s="7" t="s">
        <v>382</v>
      </c>
      <c r="H919" s="12" t="s">
        <v>1566</v>
      </c>
      <c r="I919" s="12" t="s">
        <v>61</v>
      </c>
      <c r="J919" s="65">
        <v>8034</v>
      </c>
      <c r="K919" s="167">
        <v>40</v>
      </c>
      <c r="L919" s="167">
        <v>4500</v>
      </c>
      <c r="M919" s="167">
        <v>1</v>
      </c>
      <c r="N919" s="167">
        <v>1</v>
      </c>
      <c r="O919" s="167">
        <v>1</v>
      </c>
      <c r="P919" s="167">
        <v>1</v>
      </c>
      <c r="Q919" s="96">
        <v>0</v>
      </c>
      <c r="R919" s="167">
        <v>3</v>
      </c>
      <c r="S919" s="167" t="s">
        <v>278</v>
      </c>
      <c r="T919" s="167">
        <v>1</v>
      </c>
      <c r="U919" s="7" t="s">
        <v>169</v>
      </c>
      <c r="V919" s="7" t="s">
        <v>169</v>
      </c>
      <c r="W919" s="47" t="str">
        <f t="shared" ca="1" si="77"/>
        <v/>
      </c>
      <c r="X919" s="47">
        <f ca="1">VLOOKUP($C919,OFFSET(quests!$A$1,0,0,COUNTA(quests!$A:$A),MATCH(X$2,quests!$1:$1,0)-MATCH($C$2,quests!$1:$1,0)+1),MATCH(X$2,quests!$1:$1,0)-MATCH($C$2,quests!$1:$1,0)+1,FALSE)</f>
        <v>0</v>
      </c>
      <c r="Y919" s="47">
        <f ca="1">VLOOKUP($C919,OFFSET(quests!$A$1,0,0,COUNTA(quests!$A:$A),MATCH(Y$2,quests!$1:$1,0)-MATCH($C$2,quests!$1:$1,0)+1),MATCH(Y$2,quests!$1:$1,0)-MATCH($C$2,quests!$1:$1,0)+1,FALSE)</f>
        <v>0</v>
      </c>
      <c r="Z919" s="47">
        <f ca="1">VLOOKUP($C919,OFFSET(quests!$A$1,0,0,COUNTA(quests!$A:$A),MATCH(Z$2,quests!$1:$1,0)-MATCH($C$2,quests!$1:$1,0)+1),MATCH(Z$2,quests!$1:$1,0)-MATCH($C$2,quests!$1:$1,0)+1,FALSE)</f>
        <v>0</v>
      </c>
      <c r="AA919" s="47">
        <f ca="1">VLOOKUP($C919,OFFSET(quests!$A$1,0,0,COUNTA(quests!$A:$A),MATCH(AA$2,quests!$1:$1,0)-MATCH($C$2,quests!$1:$1,0)+1),MATCH(AA$2,quests!$1:$1,0)-MATCH($C$2,quests!$1:$1,0)+1,FALSE)</f>
        <v>0</v>
      </c>
      <c r="AB919" s="7" t="s">
        <v>56</v>
      </c>
      <c r="AC919" s="167">
        <v>946</v>
      </c>
      <c r="AD919" s="7">
        <v>6</v>
      </c>
      <c r="AE919" s="7" t="s">
        <v>519</v>
      </c>
      <c r="AF919" s="7">
        <v>40</v>
      </c>
      <c r="AG919" s="7">
        <v>40</v>
      </c>
      <c r="AH919" s="7">
        <v>0</v>
      </c>
      <c r="AI919" s="7">
        <v>-1</v>
      </c>
      <c r="AJ919" s="7">
        <v>-1</v>
      </c>
      <c r="AK919" s="7" t="s">
        <v>1065</v>
      </c>
      <c r="AL919" s="12" t="s">
        <v>1337</v>
      </c>
      <c r="AM919" s="12" t="s">
        <v>1064</v>
      </c>
    </row>
    <row r="920" spans="1:39" ht="21" customHeight="1" x14ac:dyDescent="0.15">
      <c r="A920" s="42" t="str">
        <f t="shared" ref="A920:A921" si="78">C920&amp;"_"&amp;F920</f>
        <v>48016_1</v>
      </c>
      <c r="B920" s="23">
        <v>1</v>
      </c>
      <c r="C920" s="31">
        <v>48016</v>
      </c>
      <c r="D920" s="47" t="str">
        <f ca="1">VLOOKUP($C920,OFFSET(quests!$A$1,0,0,COUNTA(quests!$A:$A),MATCH(D$1,quests!$1:$1,0)-MATCH($C$2,quests!$1:$1,0)+1),MATCH(D$1,quests!$1:$1,0)-MATCH($C$2,quests!$1:$1,0)+1,FALSE)</f>
        <v>ソウコッキュウ襲来！</v>
      </c>
      <c r="E920" s="48" t="str">
        <f ca="1">VLOOKUP($C920,OFFSET(quests!$A$1,0,0,COUNTA(quests!$A:$A),MATCH(E$2,quests!$1:$1,0)-MATCH($C$2,quests!$1:$1,0)+1),MATCH(E$2,quests!$1:$1,0)-MATCH($C$2,quests!$1:$1,0)+1,FALSE)</f>
        <v>台湾版降臨11</v>
      </c>
      <c r="F920" s="7">
        <v>1</v>
      </c>
      <c r="G920" s="7" t="s">
        <v>382</v>
      </c>
      <c r="H920" s="12" t="s">
        <v>2417</v>
      </c>
      <c r="I920" s="12" t="s">
        <v>61</v>
      </c>
      <c r="J920" s="65">
        <v>1</v>
      </c>
      <c r="K920" s="167">
        <v>35</v>
      </c>
      <c r="L920" s="167">
        <v>4200</v>
      </c>
      <c r="M920" s="167">
        <v>1</v>
      </c>
      <c r="N920" s="167">
        <v>1</v>
      </c>
      <c r="O920" s="167">
        <v>1</v>
      </c>
      <c r="P920" s="96">
        <v>0</v>
      </c>
      <c r="Q920" s="167">
        <v>1</v>
      </c>
      <c r="R920" s="167">
        <v>3</v>
      </c>
      <c r="S920" s="167" t="s">
        <v>278</v>
      </c>
      <c r="T920" s="167">
        <v>1</v>
      </c>
      <c r="U920" s="7" t="s">
        <v>169</v>
      </c>
      <c r="V920" s="7" t="s">
        <v>169</v>
      </c>
      <c r="W920" s="47" t="str">
        <f t="shared" ca="1" si="77"/>
        <v/>
      </c>
      <c r="X920" s="47">
        <f ca="1">VLOOKUP($C920,OFFSET(quests!$A$1,0,0,COUNTA(quests!$A:$A),MATCH(X$2,quests!$1:$1,0)-MATCH($C$2,quests!$1:$1,0)+1),MATCH(X$2,quests!$1:$1,0)-MATCH($C$2,quests!$1:$1,0)+1,FALSE)</f>
        <v>0</v>
      </c>
      <c r="Y920" s="47">
        <f ca="1">VLOOKUP($C920,OFFSET(quests!$A$1,0,0,COUNTA(quests!$A:$A),MATCH(Y$2,quests!$1:$1,0)-MATCH($C$2,quests!$1:$1,0)+1),MATCH(Y$2,quests!$1:$1,0)-MATCH($C$2,quests!$1:$1,0)+1,FALSE)</f>
        <v>0</v>
      </c>
      <c r="Z920" s="47">
        <f ca="1">VLOOKUP($C920,OFFSET(quests!$A$1,0,0,COUNTA(quests!$A:$A),MATCH(Z$2,quests!$1:$1,0)-MATCH($C$2,quests!$1:$1,0)+1),MATCH(Z$2,quests!$1:$1,0)-MATCH($C$2,quests!$1:$1,0)+1,FALSE)</f>
        <v>0</v>
      </c>
      <c r="AA920" s="47">
        <f ca="1">VLOOKUP($C920,OFFSET(quests!$A$1,0,0,COUNTA(quests!$A:$A),MATCH(AA$2,quests!$1:$1,0)-MATCH($C$2,quests!$1:$1,0)+1),MATCH(AA$2,quests!$1:$1,0)-MATCH($C$2,quests!$1:$1,0)+1,FALSE)</f>
        <v>0</v>
      </c>
      <c r="AB920" s="7" t="s">
        <v>56</v>
      </c>
      <c r="AC920" s="167">
        <v>1</v>
      </c>
      <c r="AD920" s="7">
        <v>6</v>
      </c>
      <c r="AE920" s="7" t="s">
        <v>519</v>
      </c>
      <c r="AF920" s="7">
        <v>40</v>
      </c>
      <c r="AG920" s="7">
        <v>40</v>
      </c>
      <c r="AH920" s="7">
        <v>0</v>
      </c>
      <c r="AI920" s="7">
        <v>-1</v>
      </c>
      <c r="AJ920" s="7">
        <v>-1</v>
      </c>
      <c r="AK920" s="7" t="s">
        <v>1065</v>
      </c>
      <c r="AL920" s="12" t="s">
        <v>1337</v>
      </c>
      <c r="AM920" s="12" t="s">
        <v>1064</v>
      </c>
    </row>
    <row r="921" spans="1:39" ht="21" customHeight="1" x14ac:dyDescent="0.15">
      <c r="A921" s="42" t="str">
        <f t="shared" si="78"/>
        <v>48016_2</v>
      </c>
      <c r="B921" s="23">
        <v>1</v>
      </c>
      <c r="C921" s="31">
        <v>48016</v>
      </c>
      <c r="D921" s="47" t="str">
        <f ca="1">VLOOKUP($C921,OFFSET(quests!$A$1,0,0,COUNTA(quests!$A:$A),MATCH(D$1,quests!$1:$1,0)-MATCH($C$2,quests!$1:$1,0)+1),MATCH(D$1,quests!$1:$1,0)-MATCH($C$2,quests!$1:$1,0)+1,FALSE)</f>
        <v>ソウコッキュウ襲来！</v>
      </c>
      <c r="E921" s="48" t="str">
        <f ca="1">VLOOKUP($C921,OFFSET(quests!$A$1,0,0,COUNTA(quests!$A:$A),MATCH(E$2,quests!$1:$1,0)-MATCH($C$2,quests!$1:$1,0)+1),MATCH(E$2,quests!$1:$1,0)-MATCH($C$2,quests!$1:$1,0)+1,FALSE)</f>
        <v>台湾版降臨11</v>
      </c>
      <c r="F921" s="7">
        <v>2</v>
      </c>
      <c r="G921" s="7" t="s">
        <v>382</v>
      </c>
      <c r="H921" s="12" t="s">
        <v>2416</v>
      </c>
      <c r="I921" s="12" t="s">
        <v>61</v>
      </c>
      <c r="J921" s="65">
        <v>1</v>
      </c>
      <c r="K921" s="167">
        <v>40</v>
      </c>
      <c r="L921" s="167">
        <v>4500</v>
      </c>
      <c r="M921" s="167">
        <v>1</v>
      </c>
      <c r="N921" s="167">
        <v>1</v>
      </c>
      <c r="O921" s="167">
        <v>1</v>
      </c>
      <c r="P921" s="96">
        <v>0</v>
      </c>
      <c r="Q921" s="167">
        <v>1</v>
      </c>
      <c r="R921" s="167">
        <v>3</v>
      </c>
      <c r="S921" s="167" t="s">
        <v>278</v>
      </c>
      <c r="T921" s="167">
        <v>1</v>
      </c>
      <c r="U921" s="7" t="s">
        <v>169</v>
      </c>
      <c r="V921" s="7" t="s">
        <v>169</v>
      </c>
      <c r="W921" s="47" t="str">
        <f t="shared" ca="1" si="77"/>
        <v/>
      </c>
      <c r="X921" s="47">
        <f ca="1">VLOOKUP($C921,OFFSET(quests!$A$1,0,0,COUNTA(quests!$A:$A),MATCH(X$2,quests!$1:$1,0)-MATCH($C$2,quests!$1:$1,0)+1),MATCH(X$2,quests!$1:$1,0)-MATCH($C$2,quests!$1:$1,0)+1,FALSE)</f>
        <v>0</v>
      </c>
      <c r="Y921" s="47">
        <f ca="1">VLOOKUP($C921,OFFSET(quests!$A$1,0,0,COUNTA(quests!$A:$A),MATCH(Y$2,quests!$1:$1,0)-MATCH($C$2,quests!$1:$1,0)+1),MATCH(Y$2,quests!$1:$1,0)-MATCH($C$2,quests!$1:$1,0)+1,FALSE)</f>
        <v>0</v>
      </c>
      <c r="Z921" s="47">
        <f ca="1">VLOOKUP($C921,OFFSET(quests!$A$1,0,0,COUNTA(quests!$A:$A),MATCH(Z$2,quests!$1:$1,0)-MATCH($C$2,quests!$1:$1,0)+1),MATCH(Z$2,quests!$1:$1,0)-MATCH($C$2,quests!$1:$1,0)+1,FALSE)</f>
        <v>0</v>
      </c>
      <c r="AA921" s="47">
        <f ca="1">VLOOKUP($C921,OFFSET(quests!$A$1,0,0,COUNTA(quests!$A:$A),MATCH(AA$2,quests!$1:$1,0)-MATCH($C$2,quests!$1:$1,0)+1),MATCH(AA$2,quests!$1:$1,0)-MATCH($C$2,quests!$1:$1,0)+1,FALSE)</f>
        <v>0</v>
      </c>
      <c r="AB921" s="7" t="s">
        <v>56</v>
      </c>
      <c r="AC921" s="167">
        <v>1</v>
      </c>
      <c r="AD921" s="7">
        <v>6</v>
      </c>
      <c r="AE921" s="7" t="s">
        <v>519</v>
      </c>
      <c r="AF921" s="7">
        <v>40</v>
      </c>
      <c r="AG921" s="7">
        <v>40</v>
      </c>
      <c r="AH921" s="7">
        <v>0</v>
      </c>
      <c r="AI921" s="7">
        <v>-1</v>
      </c>
      <c r="AJ921" s="7">
        <v>-1</v>
      </c>
      <c r="AK921" s="7" t="s">
        <v>1065</v>
      </c>
      <c r="AL921" s="12" t="s">
        <v>1337</v>
      </c>
      <c r="AM921" s="12" t="s">
        <v>1064</v>
      </c>
    </row>
    <row r="922" spans="1:39" ht="21" customHeight="1" x14ac:dyDescent="0.15">
      <c r="A922" s="42" t="str">
        <f t="shared" ref="A922:A923" si="79">C922&amp;"_"&amp;F922</f>
        <v>48101_1</v>
      </c>
      <c r="B922" s="23">
        <v>1</v>
      </c>
      <c r="C922" s="31">
        <v>48101</v>
      </c>
      <c r="D922" s="47" t="str">
        <f ca="1">VLOOKUP($C922,OFFSET(quests!$A$1,0,0,COUNTA(quests!$A:$A),MATCH(D$1,quests!$1:$1,0)-MATCH($C$2,quests!$1:$1,0)+1),MATCH(D$1,quests!$1:$1,0)-MATCH($C$2,quests!$1:$1,0)+1,FALSE)</f>
        <v>喀耳刻襲来！</v>
      </c>
      <c r="E922" s="48" t="str">
        <f ca="1">VLOOKUP($C922,OFFSET(quests!$A$1,0,0,COUNTA(quests!$A:$A),MATCH(E$2,quests!$1:$1,0)-MATCH($C$2,quests!$1:$1,0)+1),MATCH(E$2,quests!$1:$1,0)-MATCH($C$2,quests!$1:$1,0)+1,FALSE)</f>
        <v>台湾版コラボ降臨1</v>
      </c>
      <c r="F922" s="7">
        <v>1</v>
      </c>
      <c r="G922" s="7" t="s">
        <v>382</v>
      </c>
      <c r="H922" s="12" t="s">
        <v>2340</v>
      </c>
      <c r="I922" s="12" t="s">
        <v>61</v>
      </c>
      <c r="J922" s="251">
        <v>8137</v>
      </c>
      <c r="K922" s="167">
        <v>35</v>
      </c>
      <c r="L922" s="167">
        <v>4200</v>
      </c>
      <c r="M922" s="167">
        <v>1</v>
      </c>
      <c r="N922" s="167">
        <v>1</v>
      </c>
      <c r="O922" s="167">
        <v>1</v>
      </c>
      <c r="P922" s="167">
        <v>1</v>
      </c>
      <c r="Q922" s="167">
        <v>1</v>
      </c>
      <c r="R922" s="167">
        <v>3</v>
      </c>
      <c r="S922" s="167" t="s">
        <v>278</v>
      </c>
      <c r="T922" s="167">
        <v>1</v>
      </c>
      <c r="U922" s="7" t="s">
        <v>169</v>
      </c>
      <c r="V922" s="7" t="s">
        <v>169</v>
      </c>
      <c r="W922" s="47" t="str">
        <f t="shared" ca="1" si="77"/>
        <v/>
      </c>
      <c r="X922" s="47">
        <f ca="1">VLOOKUP($C922,OFFSET(quests!$A$1,0,0,COUNTA(quests!$A:$A),MATCH(X$2,quests!$1:$1,0)-MATCH($C$2,quests!$1:$1,0)+1),MATCH(X$2,quests!$1:$1,0)-MATCH($C$2,quests!$1:$1,0)+1,FALSE)</f>
        <v>0</v>
      </c>
      <c r="Y922" s="47">
        <f ca="1">VLOOKUP($C922,OFFSET(quests!$A$1,0,0,COUNTA(quests!$A:$A),MATCH(Y$2,quests!$1:$1,0)-MATCH($C$2,quests!$1:$1,0)+1),MATCH(Y$2,quests!$1:$1,0)-MATCH($C$2,quests!$1:$1,0)+1,FALSE)</f>
        <v>0</v>
      </c>
      <c r="Z922" s="47">
        <f ca="1">VLOOKUP($C922,OFFSET(quests!$A$1,0,0,COUNTA(quests!$A:$A),MATCH(Z$2,quests!$1:$1,0)-MATCH($C$2,quests!$1:$1,0)+1),MATCH(Z$2,quests!$1:$1,0)-MATCH($C$2,quests!$1:$1,0)+1,FALSE)</f>
        <v>0</v>
      </c>
      <c r="AA922" s="47">
        <f ca="1">VLOOKUP($C922,OFFSET(quests!$A$1,0,0,COUNTA(quests!$A:$A),MATCH(AA$2,quests!$1:$1,0)-MATCH($C$2,quests!$1:$1,0)+1),MATCH(AA$2,quests!$1:$1,0)-MATCH($C$2,quests!$1:$1,0)+1,FALSE)</f>
        <v>0</v>
      </c>
      <c r="AB922" s="7" t="s">
        <v>56</v>
      </c>
      <c r="AC922" s="65">
        <v>1013</v>
      </c>
      <c r="AD922" s="7">
        <v>6</v>
      </c>
      <c r="AE922" s="7" t="s">
        <v>519</v>
      </c>
      <c r="AF922" s="7">
        <v>8101</v>
      </c>
      <c r="AG922" s="7">
        <v>8101</v>
      </c>
      <c r="AH922" s="7">
        <v>0</v>
      </c>
      <c r="AI922" s="7">
        <v>-1</v>
      </c>
      <c r="AJ922" s="7">
        <v>-1</v>
      </c>
      <c r="AK922" s="7" t="s">
        <v>1065</v>
      </c>
      <c r="AL922" s="12" t="s">
        <v>1337</v>
      </c>
      <c r="AM922" s="12" t="s">
        <v>2072</v>
      </c>
    </row>
    <row r="923" spans="1:39" ht="21" customHeight="1" x14ac:dyDescent="0.15">
      <c r="A923" s="42" t="str">
        <f t="shared" si="79"/>
        <v>48101_2</v>
      </c>
      <c r="B923" s="23">
        <v>1</v>
      </c>
      <c r="C923" s="31">
        <v>48101</v>
      </c>
      <c r="D923" s="47" t="str">
        <f ca="1">VLOOKUP($C923,OFFSET(quests!$A$1,0,0,COUNTA(quests!$A:$A),MATCH(D$1,quests!$1:$1,0)-MATCH($C$2,quests!$1:$1,0)+1),MATCH(D$1,quests!$1:$1,0)-MATCH($C$2,quests!$1:$1,0)+1,FALSE)</f>
        <v>喀耳刻襲来！</v>
      </c>
      <c r="E923" s="48" t="str">
        <f ca="1">VLOOKUP($C923,OFFSET(quests!$A$1,0,0,COUNTA(quests!$A:$A),MATCH(E$2,quests!$1:$1,0)-MATCH($C$2,quests!$1:$1,0)+1),MATCH(E$2,quests!$1:$1,0)-MATCH($C$2,quests!$1:$1,0)+1,FALSE)</f>
        <v>台湾版コラボ降臨1</v>
      </c>
      <c r="F923" s="7">
        <v>2</v>
      </c>
      <c r="G923" s="7" t="s">
        <v>382</v>
      </c>
      <c r="H923" s="12" t="s">
        <v>2341</v>
      </c>
      <c r="I923" s="12" t="s">
        <v>61</v>
      </c>
      <c r="J923" s="251">
        <v>8137</v>
      </c>
      <c r="K923" s="167">
        <v>40</v>
      </c>
      <c r="L923" s="167">
        <v>4500</v>
      </c>
      <c r="M923" s="167">
        <v>1</v>
      </c>
      <c r="N923" s="167">
        <v>1</v>
      </c>
      <c r="O923" s="167">
        <v>1</v>
      </c>
      <c r="P923" s="167">
        <v>1</v>
      </c>
      <c r="Q923" s="167">
        <v>1</v>
      </c>
      <c r="R923" s="167">
        <v>3</v>
      </c>
      <c r="S923" s="167" t="s">
        <v>278</v>
      </c>
      <c r="T923" s="167">
        <v>1</v>
      </c>
      <c r="U923" s="7" t="s">
        <v>169</v>
      </c>
      <c r="V923" s="7" t="s">
        <v>169</v>
      </c>
      <c r="W923" s="47" t="str">
        <f t="shared" ca="1" si="77"/>
        <v/>
      </c>
      <c r="X923" s="47">
        <f ca="1">VLOOKUP($C923,OFFSET(quests!$A$1,0,0,COUNTA(quests!$A:$A),MATCH(X$2,quests!$1:$1,0)-MATCH($C$2,quests!$1:$1,0)+1),MATCH(X$2,quests!$1:$1,0)-MATCH($C$2,quests!$1:$1,0)+1,FALSE)</f>
        <v>0</v>
      </c>
      <c r="Y923" s="47">
        <f ca="1">VLOOKUP($C923,OFFSET(quests!$A$1,0,0,COUNTA(quests!$A:$A),MATCH(Y$2,quests!$1:$1,0)-MATCH($C$2,quests!$1:$1,0)+1),MATCH(Y$2,quests!$1:$1,0)-MATCH($C$2,quests!$1:$1,0)+1,FALSE)</f>
        <v>0</v>
      </c>
      <c r="Z923" s="47">
        <f ca="1">VLOOKUP($C923,OFFSET(quests!$A$1,0,0,COUNTA(quests!$A:$A),MATCH(Z$2,quests!$1:$1,0)-MATCH($C$2,quests!$1:$1,0)+1),MATCH(Z$2,quests!$1:$1,0)-MATCH($C$2,quests!$1:$1,0)+1,FALSE)</f>
        <v>0</v>
      </c>
      <c r="AA923" s="47">
        <f ca="1">VLOOKUP($C923,OFFSET(quests!$A$1,0,0,COUNTA(quests!$A:$A),MATCH(AA$2,quests!$1:$1,0)-MATCH($C$2,quests!$1:$1,0)+1),MATCH(AA$2,quests!$1:$1,0)-MATCH($C$2,quests!$1:$1,0)+1,FALSE)</f>
        <v>0</v>
      </c>
      <c r="AB923" s="7" t="s">
        <v>56</v>
      </c>
      <c r="AC923" s="65">
        <v>1013</v>
      </c>
      <c r="AD923" s="7">
        <v>6</v>
      </c>
      <c r="AE923" s="7" t="s">
        <v>519</v>
      </c>
      <c r="AF923" s="7">
        <v>8101</v>
      </c>
      <c r="AG923" s="7">
        <v>8101</v>
      </c>
      <c r="AH923" s="7">
        <v>0</v>
      </c>
      <c r="AI923" s="7">
        <v>-1</v>
      </c>
      <c r="AJ923" s="7">
        <v>-1</v>
      </c>
      <c r="AK923" s="7" t="s">
        <v>1065</v>
      </c>
      <c r="AL923" s="12" t="s">
        <v>1337</v>
      </c>
      <c r="AM923" s="12" t="s">
        <v>2072</v>
      </c>
    </row>
    <row r="924" spans="1:39" ht="21" customHeight="1" x14ac:dyDescent="0.15">
      <c r="A924" s="42" t="str">
        <f t="shared" ref="A924:A933" si="80">C924&amp;"_"&amp;F924</f>
        <v>48501_1</v>
      </c>
      <c r="B924" s="23">
        <v>1</v>
      </c>
      <c r="C924" s="31">
        <v>48501</v>
      </c>
      <c r="D924" s="47" t="str">
        <f ca="1">VLOOKUP($C924,OFFSET(quests!$A$1,0,0,COUNTA(quests!$A:$A),MATCH(D$1,quests!$1:$1,0)-MATCH($C$2,quests!$1:$1,0)+1),MATCH(D$1,quests!$1:$1,0)-MATCH($C$2,quests!$1:$1,0)+1,FALSE)</f>
        <v>ナーガ襲来！</v>
      </c>
      <c r="E924" s="48" t="str">
        <f ca="1">VLOOKUP($C924,OFFSET(quests!$A$1,0,0,COUNTA(quests!$A:$A),MATCH(E$2,quests!$1:$1,0)-MATCH($C$2,quests!$1:$1,0)+1),MATCH(E$2,quests!$1:$1,0)-MATCH($C$2,quests!$1:$1,0)+1,FALSE)</f>
        <v>グローバル版降臨1</v>
      </c>
      <c r="F924" s="7">
        <v>1</v>
      </c>
      <c r="G924" s="7" t="s">
        <v>382</v>
      </c>
      <c r="H924" s="12" t="s">
        <v>1900</v>
      </c>
      <c r="I924" s="12" t="s">
        <v>61</v>
      </c>
      <c r="J924" s="65">
        <v>5004</v>
      </c>
      <c r="K924" s="167">
        <v>35</v>
      </c>
      <c r="L924" s="167">
        <v>4200</v>
      </c>
      <c r="M924" s="167">
        <v>1</v>
      </c>
      <c r="N924" s="167">
        <v>1</v>
      </c>
      <c r="O924" s="167">
        <v>1</v>
      </c>
      <c r="P924" s="167">
        <v>1</v>
      </c>
      <c r="Q924" s="167">
        <v>1</v>
      </c>
      <c r="R924" s="167">
        <v>3</v>
      </c>
      <c r="S924" s="167" t="s">
        <v>278</v>
      </c>
      <c r="T924" s="167">
        <v>1</v>
      </c>
      <c r="U924" s="7" t="s">
        <v>169</v>
      </c>
      <c r="V924" s="7" t="s">
        <v>169</v>
      </c>
      <c r="W924" s="47" t="str">
        <f t="shared" ca="1" si="77"/>
        <v/>
      </c>
      <c r="X924" s="47">
        <f ca="1">VLOOKUP($C924,OFFSET(quests!$A$1,0,0,COUNTA(quests!$A:$A),MATCH(X$2,quests!$1:$1,0)-MATCH($C$2,quests!$1:$1,0)+1),MATCH(X$2,quests!$1:$1,0)-MATCH($C$2,quests!$1:$1,0)+1,FALSE)</f>
        <v>0</v>
      </c>
      <c r="Y924" s="47">
        <f ca="1">VLOOKUP($C924,OFFSET(quests!$A$1,0,0,COUNTA(quests!$A:$A),MATCH(Y$2,quests!$1:$1,0)-MATCH($C$2,quests!$1:$1,0)+1),MATCH(Y$2,quests!$1:$1,0)-MATCH($C$2,quests!$1:$1,0)+1,FALSE)</f>
        <v>0</v>
      </c>
      <c r="Z924" s="47">
        <f ca="1">VLOOKUP($C924,OFFSET(quests!$A$1,0,0,COUNTA(quests!$A:$A),MATCH(Z$2,quests!$1:$1,0)-MATCH($C$2,quests!$1:$1,0)+1),MATCH(Z$2,quests!$1:$1,0)-MATCH($C$2,quests!$1:$1,0)+1,FALSE)</f>
        <v>0</v>
      </c>
      <c r="AA924" s="47">
        <f ca="1">VLOOKUP($C924,OFFSET(quests!$A$1,0,0,COUNTA(quests!$A:$A),MATCH(AA$2,quests!$1:$1,0)-MATCH($C$2,quests!$1:$1,0)+1),MATCH(AA$2,quests!$1:$1,0)-MATCH($C$2,quests!$1:$1,0)+1,FALSE)</f>
        <v>0</v>
      </c>
      <c r="AB924" s="7" t="s">
        <v>56</v>
      </c>
      <c r="AC924" s="167">
        <v>963</v>
      </c>
      <c r="AD924" s="7">
        <v>6</v>
      </c>
      <c r="AE924" s="7" t="s">
        <v>519</v>
      </c>
      <c r="AF924" s="7">
        <v>40</v>
      </c>
      <c r="AG924" s="7">
        <v>40</v>
      </c>
      <c r="AH924" s="7">
        <v>0</v>
      </c>
      <c r="AI924" s="7">
        <v>-1</v>
      </c>
      <c r="AJ924" s="7">
        <v>-1</v>
      </c>
      <c r="AK924" s="7" t="s">
        <v>1065</v>
      </c>
      <c r="AL924" s="12" t="s">
        <v>1337</v>
      </c>
      <c r="AM924" s="12" t="s">
        <v>2072</v>
      </c>
    </row>
    <row r="925" spans="1:39" ht="21" customHeight="1" x14ac:dyDescent="0.15">
      <c r="A925" s="42" t="str">
        <f t="shared" si="80"/>
        <v>48501_2</v>
      </c>
      <c r="B925" s="23">
        <v>1</v>
      </c>
      <c r="C925" s="31">
        <v>48501</v>
      </c>
      <c r="D925" s="47" t="str">
        <f ca="1">VLOOKUP($C925,OFFSET(quests!$A$1,0,0,COUNTA(quests!$A:$A),MATCH(D$1,quests!$1:$1,0)-MATCH($C$2,quests!$1:$1,0)+1),MATCH(D$1,quests!$1:$1,0)-MATCH($C$2,quests!$1:$1,0)+1,FALSE)</f>
        <v>ナーガ襲来！</v>
      </c>
      <c r="E925" s="48" t="str">
        <f ca="1">VLOOKUP($C925,OFFSET(quests!$A$1,0,0,COUNTA(quests!$A:$A),MATCH(E$2,quests!$1:$1,0)-MATCH($C$2,quests!$1:$1,0)+1),MATCH(E$2,quests!$1:$1,0)-MATCH($C$2,quests!$1:$1,0)+1,FALSE)</f>
        <v>グローバル版降臨1</v>
      </c>
      <c r="F925" s="7">
        <v>2</v>
      </c>
      <c r="G925" s="7" t="s">
        <v>382</v>
      </c>
      <c r="H925" s="12" t="s">
        <v>1901</v>
      </c>
      <c r="I925" s="12" t="s">
        <v>61</v>
      </c>
      <c r="J925" s="65">
        <v>5004</v>
      </c>
      <c r="K925" s="167">
        <v>40</v>
      </c>
      <c r="L925" s="167">
        <v>4500</v>
      </c>
      <c r="M925" s="167">
        <v>1</v>
      </c>
      <c r="N925" s="167">
        <v>1</v>
      </c>
      <c r="O925" s="167">
        <v>1</v>
      </c>
      <c r="P925" s="167">
        <v>1</v>
      </c>
      <c r="Q925" s="167">
        <v>1</v>
      </c>
      <c r="R925" s="167">
        <v>3</v>
      </c>
      <c r="S925" s="167" t="s">
        <v>278</v>
      </c>
      <c r="T925" s="167">
        <v>1</v>
      </c>
      <c r="U925" s="7" t="s">
        <v>169</v>
      </c>
      <c r="V925" s="7" t="s">
        <v>169</v>
      </c>
      <c r="W925" s="47" t="str">
        <f t="shared" ca="1" si="77"/>
        <v/>
      </c>
      <c r="X925" s="47">
        <f ca="1">VLOOKUP($C925,OFFSET(quests!$A$1,0,0,COUNTA(quests!$A:$A),MATCH(X$2,quests!$1:$1,0)-MATCH($C$2,quests!$1:$1,0)+1),MATCH(X$2,quests!$1:$1,0)-MATCH($C$2,quests!$1:$1,0)+1,FALSE)</f>
        <v>0</v>
      </c>
      <c r="Y925" s="47">
        <f ca="1">VLOOKUP($C925,OFFSET(quests!$A$1,0,0,COUNTA(quests!$A:$A),MATCH(Y$2,quests!$1:$1,0)-MATCH($C$2,quests!$1:$1,0)+1),MATCH(Y$2,quests!$1:$1,0)-MATCH($C$2,quests!$1:$1,0)+1,FALSE)</f>
        <v>0</v>
      </c>
      <c r="Z925" s="47">
        <f ca="1">VLOOKUP($C925,OFFSET(quests!$A$1,0,0,COUNTA(quests!$A:$A),MATCH(Z$2,quests!$1:$1,0)-MATCH($C$2,quests!$1:$1,0)+1),MATCH(Z$2,quests!$1:$1,0)-MATCH($C$2,quests!$1:$1,0)+1,FALSE)</f>
        <v>0</v>
      </c>
      <c r="AA925" s="47">
        <f ca="1">VLOOKUP($C925,OFFSET(quests!$A$1,0,0,COUNTA(quests!$A:$A),MATCH(AA$2,quests!$1:$1,0)-MATCH($C$2,quests!$1:$1,0)+1),MATCH(AA$2,quests!$1:$1,0)-MATCH($C$2,quests!$1:$1,0)+1,FALSE)</f>
        <v>0</v>
      </c>
      <c r="AB925" s="7" t="s">
        <v>56</v>
      </c>
      <c r="AC925" s="167">
        <v>963</v>
      </c>
      <c r="AD925" s="7">
        <v>6</v>
      </c>
      <c r="AE925" s="7" t="s">
        <v>519</v>
      </c>
      <c r="AF925" s="7">
        <v>40</v>
      </c>
      <c r="AG925" s="7">
        <v>40</v>
      </c>
      <c r="AH925" s="7">
        <v>0</v>
      </c>
      <c r="AI925" s="7">
        <v>-1</v>
      </c>
      <c r="AJ925" s="7">
        <v>-1</v>
      </c>
      <c r="AK925" s="7" t="s">
        <v>1065</v>
      </c>
      <c r="AL925" s="12" t="s">
        <v>1337</v>
      </c>
      <c r="AM925" s="12" t="s">
        <v>2072</v>
      </c>
    </row>
    <row r="926" spans="1:39" ht="21" customHeight="1" x14ac:dyDescent="0.15">
      <c r="A926" s="42" t="str">
        <f t="shared" si="80"/>
        <v>48502_1</v>
      </c>
      <c r="B926" s="23">
        <v>1</v>
      </c>
      <c r="C926" s="31">
        <v>48502</v>
      </c>
      <c r="D926" s="47" t="str">
        <f ca="1">VLOOKUP($C926,OFFSET(quests!$A$1,0,0,COUNTA(quests!$A:$A),MATCH(D$1,quests!$1:$1,0)-MATCH($C$2,quests!$1:$1,0)+1),MATCH(D$1,quests!$1:$1,0)-MATCH($C$2,quests!$1:$1,0)+1,FALSE)</f>
        <v>ヘルシング襲来！</v>
      </c>
      <c r="E926" s="48" t="str">
        <f ca="1">VLOOKUP($C926,OFFSET(quests!$A$1,0,0,COUNTA(quests!$A:$A),MATCH(E$2,quests!$1:$1,0)-MATCH($C$2,quests!$1:$1,0)+1),MATCH(E$2,quests!$1:$1,0)-MATCH($C$2,quests!$1:$1,0)+1,FALSE)</f>
        <v>グローバル版降臨2</v>
      </c>
      <c r="F926" s="7">
        <v>1</v>
      </c>
      <c r="G926" s="7" t="s">
        <v>382</v>
      </c>
      <c r="H926" s="12" t="s">
        <v>2089</v>
      </c>
      <c r="I926" s="12" t="s">
        <v>61</v>
      </c>
      <c r="J926" s="65">
        <v>5008</v>
      </c>
      <c r="K926" s="167">
        <v>35</v>
      </c>
      <c r="L926" s="167">
        <v>4200</v>
      </c>
      <c r="M926" s="167">
        <v>1</v>
      </c>
      <c r="N926" s="167">
        <v>1</v>
      </c>
      <c r="O926" s="167">
        <v>1</v>
      </c>
      <c r="P926" s="167">
        <v>1</v>
      </c>
      <c r="Q926" s="167">
        <v>1</v>
      </c>
      <c r="R926" s="167">
        <v>3</v>
      </c>
      <c r="S926" s="167" t="s">
        <v>278</v>
      </c>
      <c r="T926" s="167">
        <v>1</v>
      </c>
      <c r="U926" s="7" t="s">
        <v>169</v>
      </c>
      <c r="V926" s="7" t="s">
        <v>169</v>
      </c>
      <c r="W926" s="47" t="str">
        <f t="shared" ca="1" si="77"/>
        <v/>
      </c>
      <c r="X926" s="47">
        <f ca="1">VLOOKUP($C926,OFFSET(quests!$A$1,0,0,COUNTA(quests!$A:$A),MATCH(X$2,quests!$1:$1,0)-MATCH($C$2,quests!$1:$1,0)+1),MATCH(X$2,quests!$1:$1,0)-MATCH($C$2,quests!$1:$1,0)+1,FALSE)</f>
        <v>0</v>
      </c>
      <c r="Y926" s="47">
        <f ca="1">VLOOKUP($C926,OFFSET(quests!$A$1,0,0,COUNTA(quests!$A:$A),MATCH(Y$2,quests!$1:$1,0)-MATCH($C$2,quests!$1:$1,0)+1),MATCH(Y$2,quests!$1:$1,0)-MATCH($C$2,quests!$1:$1,0)+1,FALSE)</f>
        <v>0</v>
      </c>
      <c r="Z926" s="47">
        <f ca="1">VLOOKUP($C926,OFFSET(quests!$A$1,0,0,COUNTA(quests!$A:$A),MATCH(Z$2,quests!$1:$1,0)-MATCH($C$2,quests!$1:$1,0)+1),MATCH(Z$2,quests!$1:$1,0)-MATCH($C$2,quests!$1:$1,0)+1,FALSE)</f>
        <v>0</v>
      </c>
      <c r="AA926" s="47">
        <f ca="1">VLOOKUP($C926,OFFSET(quests!$A$1,0,0,COUNTA(quests!$A:$A),MATCH(AA$2,quests!$1:$1,0)-MATCH($C$2,quests!$1:$1,0)+1),MATCH(AA$2,quests!$1:$1,0)-MATCH($C$2,quests!$1:$1,0)+1,FALSE)</f>
        <v>0</v>
      </c>
      <c r="AB926" s="7" t="s">
        <v>56</v>
      </c>
      <c r="AC926" s="7">
        <v>971</v>
      </c>
      <c r="AD926" s="7">
        <v>6</v>
      </c>
      <c r="AE926" s="7" t="s">
        <v>519</v>
      </c>
      <c r="AF926" s="7">
        <v>40</v>
      </c>
      <c r="AG926" s="7">
        <v>40</v>
      </c>
      <c r="AH926" s="7">
        <v>0</v>
      </c>
      <c r="AI926" s="7">
        <v>-1</v>
      </c>
      <c r="AJ926" s="7">
        <v>-1</v>
      </c>
      <c r="AK926" s="7" t="s">
        <v>1065</v>
      </c>
      <c r="AL926" s="12" t="s">
        <v>1269</v>
      </c>
      <c r="AM926" s="12" t="s">
        <v>2072</v>
      </c>
    </row>
    <row r="927" spans="1:39" ht="21" customHeight="1" x14ac:dyDescent="0.15">
      <c r="A927" s="42" t="str">
        <f t="shared" si="80"/>
        <v>48502_2</v>
      </c>
      <c r="B927" s="23">
        <v>1</v>
      </c>
      <c r="C927" s="31">
        <v>48502</v>
      </c>
      <c r="D927" s="47" t="str">
        <f ca="1">VLOOKUP($C927,OFFSET(quests!$A$1,0,0,COUNTA(quests!$A:$A),MATCH(D$1,quests!$1:$1,0)-MATCH($C$2,quests!$1:$1,0)+1),MATCH(D$1,quests!$1:$1,0)-MATCH($C$2,quests!$1:$1,0)+1,FALSE)</f>
        <v>ヘルシング襲来！</v>
      </c>
      <c r="E927" s="48" t="str">
        <f ca="1">VLOOKUP($C927,OFFSET(quests!$A$1,0,0,COUNTA(quests!$A:$A),MATCH(E$2,quests!$1:$1,0)-MATCH($C$2,quests!$1:$1,0)+1),MATCH(E$2,quests!$1:$1,0)-MATCH($C$2,quests!$1:$1,0)+1,FALSE)</f>
        <v>グローバル版降臨2</v>
      </c>
      <c r="F927" s="7">
        <v>2</v>
      </c>
      <c r="G927" s="7" t="s">
        <v>382</v>
      </c>
      <c r="H927" s="12" t="s">
        <v>2090</v>
      </c>
      <c r="I927" s="12" t="s">
        <v>61</v>
      </c>
      <c r="J927" s="65">
        <v>5008</v>
      </c>
      <c r="K927" s="167">
        <v>40</v>
      </c>
      <c r="L927" s="167">
        <v>4500</v>
      </c>
      <c r="M927" s="167">
        <v>1</v>
      </c>
      <c r="N927" s="167">
        <v>1</v>
      </c>
      <c r="O927" s="167">
        <v>1</v>
      </c>
      <c r="P927" s="167">
        <v>1</v>
      </c>
      <c r="Q927" s="167">
        <v>1</v>
      </c>
      <c r="R927" s="167">
        <v>3</v>
      </c>
      <c r="S927" s="167" t="s">
        <v>278</v>
      </c>
      <c r="T927" s="167">
        <v>1</v>
      </c>
      <c r="U927" s="7" t="s">
        <v>169</v>
      </c>
      <c r="V927" s="7" t="s">
        <v>169</v>
      </c>
      <c r="W927" s="47" t="str">
        <f t="shared" ca="1" si="77"/>
        <v/>
      </c>
      <c r="X927" s="47">
        <f ca="1">VLOOKUP($C927,OFFSET(quests!$A$1,0,0,COUNTA(quests!$A:$A),MATCH(X$2,quests!$1:$1,0)-MATCH($C$2,quests!$1:$1,0)+1),MATCH(X$2,quests!$1:$1,0)-MATCH($C$2,quests!$1:$1,0)+1,FALSE)</f>
        <v>0</v>
      </c>
      <c r="Y927" s="47">
        <f ca="1">VLOOKUP($C927,OFFSET(quests!$A$1,0,0,COUNTA(quests!$A:$A),MATCH(Y$2,quests!$1:$1,0)-MATCH($C$2,quests!$1:$1,0)+1),MATCH(Y$2,quests!$1:$1,0)-MATCH($C$2,quests!$1:$1,0)+1,FALSE)</f>
        <v>0</v>
      </c>
      <c r="Z927" s="47">
        <f ca="1">VLOOKUP($C927,OFFSET(quests!$A$1,0,0,COUNTA(quests!$A:$A),MATCH(Z$2,quests!$1:$1,0)-MATCH($C$2,quests!$1:$1,0)+1),MATCH(Z$2,quests!$1:$1,0)-MATCH($C$2,quests!$1:$1,0)+1,FALSE)</f>
        <v>0</v>
      </c>
      <c r="AA927" s="47">
        <f ca="1">VLOOKUP($C927,OFFSET(quests!$A$1,0,0,COUNTA(quests!$A:$A),MATCH(AA$2,quests!$1:$1,0)-MATCH($C$2,quests!$1:$1,0)+1),MATCH(AA$2,quests!$1:$1,0)-MATCH($C$2,quests!$1:$1,0)+1,FALSE)</f>
        <v>0</v>
      </c>
      <c r="AB927" s="7" t="s">
        <v>56</v>
      </c>
      <c r="AC927" s="7">
        <v>971</v>
      </c>
      <c r="AD927" s="7">
        <v>6</v>
      </c>
      <c r="AE927" s="7" t="s">
        <v>519</v>
      </c>
      <c r="AF927" s="7">
        <v>40</v>
      </c>
      <c r="AG927" s="7">
        <v>40</v>
      </c>
      <c r="AH927" s="7">
        <v>0</v>
      </c>
      <c r="AI927" s="7">
        <v>-1</v>
      </c>
      <c r="AJ927" s="7">
        <v>-1</v>
      </c>
      <c r="AK927" s="7" t="s">
        <v>1065</v>
      </c>
      <c r="AL927" s="12" t="s">
        <v>1269</v>
      </c>
      <c r="AM927" s="12" t="s">
        <v>2072</v>
      </c>
    </row>
    <row r="928" spans="1:39" ht="21" customHeight="1" x14ac:dyDescent="0.15">
      <c r="A928" s="42" t="str">
        <f t="shared" ref="A928:A929" si="81">C928&amp;"_"&amp;F928</f>
        <v>48503_1</v>
      </c>
      <c r="B928" s="23">
        <v>3</v>
      </c>
      <c r="C928" s="31">
        <v>48503</v>
      </c>
      <c r="D928" s="47" t="str">
        <f ca="1">VLOOKUP($C928,OFFSET(quests!$A$1,0,0,COUNTA(quests!$A:$A),MATCH(D$1,quests!$1:$1,0)-MATCH($C$2,quests!$1:$1,0)+1),MATCH(D$1,quests!$1:$1,0)-MATCH($C$2,quests!$1:$1,0)+1,FALSE)</f>
        <v>ナーガ襲来！</v>
      </c>
      <c r="E928" s="48" t="str">
        <f ca="1">VLOOKUP($C928,OFFSET(quests!$A$1,0,0,COUNTA(quests!$A:$A),MATCH(E$2,quests!$1:$1,0)-MATCH($C$2,quests!$1:$1,0)+1),MATCH(E$2,quests!$1:$1,0)-MATCH($C$2,quests!$1:$1,0)+1,FALSE)</f>
        <v>グローバル版降臨3</v>
      </c>
      <c r="F928" s="7">
        <v>1</v>
      </c>
      <c r="G928" s="7" t="s">
        <v>382</v>
      </c>
      <c r="H928" s="12" t="s">
        <v>1900</v>
      </c>
      <c r="I928" s="12" t="s">
        <v>61</v>
      </c>
      <c r="J928" s="65">
        <v>5004</v>
      </c>
      <c r="K928" s="167">
        <v>35</v>
      </c>
      <c r="L928" s="167">
        <v>4200</v>
      </c>
      <c r="M928" s="167">
        <v>1</v>
      </c>
      <c r="N928" s="167">
        <v>1</v>
      </c>
      <c r="O928" s="167">
        <v>1</v>
      </c>
      <c r="P928" s="167">
        <v>1</v>
      </c>
      <c r="Q928" s="167">
        <v>1</v>
      </c>
      <c r="R928" s="167">
        <v>3</v>
      </c>
      <c r="S928" s="167" t="s">
        <v>278</v>
      </c>
      <c r="T928" s="167">
        <v>1</v>
      </c>
      <c r="U928" s="7" t="s">
        <v>169</v>
      </c>
      <c r="V928" s="7" t="s">
        <v>169</v>
      </c>
      <c r="W928" s="47" t="str">
        <f t="shared" ca="1" si="77"/>
        <v/>
      </c>
      <c r="X928" s="47">
        <f ca="1">VLOOKUP($C928,OFFSET(quests!$A$1,0,0,COUNTA(quests!$A:$A),MATCH(X$2,quests!$1:$1,0)-MATCH($C$2,quests!$1:$1,0)+1),MATCH(X$2,quests!$1:$1,0)-MATCH($C$2,quests!$1:$1,0)+1,FALSE)</f>
        <v>0</v>
      </c>
      <c r="Y928" s="47">
        <f ca="1">VLOOKUP($C928,OFFSET(quests!$A$1,0,0,COUNTA(quests!$A:$A),MATCH(Y$2,quests!$1:$1,0)-MATCH($C$2,quests!$1:$1,0)+1),MATCH(Y$2,quests!$1:$1,0)-MATCH($C$2,quests!$1:$1,0)+1,FALSE)</f>
        <v>0</v>
      </c>
      <c r="Z928" s="47">
        <f ca="1">VLOOKUP($C928,OFFSET(quests!$A$1,0,0,COUNTA(quests!$A:$A),MATCH(Z$2,quests!$1:$1,0)-MATCH($C$2,quests!$1:$1,0)+1),MATCH(Z$2,quests!$1:$1,0)-MATCH($C$2,quests!$1:$1,0)+1,FALSE)</f>
        <v>0</v>
      </c>
      <c r="AA928" s="47">
        <f ca="1">VLOOKUP($C928,OFFSET(quests!$A$1,0,0,COUNTA(quests!$A:$A),MATCH(AA$2,quests!$1:$1,0)-MATCH($C$2,quests!$1:$1,0)+1),MATCH(AA$2,quests!$1:$1,0)-MATCH($C$2,quests!$1:$1,0)+1,FALSE)</f>
        <v>0</v>
      </c>
      <c r="AB928" s="7" t="s">
        <v>56</v>
      </c>
      <c r="AC928" s="167">
        <v>963</v>
      </c>
      <c r="AD928" s="7">
        <v>6</v>
      </c>
      <c r="AE928" s="7" t="s">
        <v>519</v>
      </c>
      <c r="AF928" s="7">
        <v>40</v>
      </c>
      <c r="AG928" s="7">
        <v>40</v>
      </c>
      <c r="AH928" s="7">
        <v>0</v>
      </c>
      <c r="AI928" s="7">
        <v>-1</v>
      </c>
      <c r="AJ928" s="7">
        <v>-1</v>
      </c>
      <c r="AK928" s="7" t="s">
        <v>1065</v>
      </c>
      <c r="AL928" s="12" t="s">
        <v>1337</v>
      </c>
      <c r="AM928" s="12" t="s">
        <v>2072</v>
      </c>
    </row>
    <row r="929" spans="1:39" ht="21" customHeight="1" x14ac:dyDescent="0.15">
      <c r="A929" s="42" t="str">
        <f t="shared" si="81"/>
        <v>48503_2</v>
      </c>
      <c r="B929" s="23">
        <v>3</v>
      </c>
      <c r="C929" s="31">
        <v>48503</v>
      </c>
      <c r="D929" s="47" t="str">
        <f ca="1">VLOOKUP($C929,OFFSET(quests!$A$1,0,0,COUNTA(quests!$A:$A),MATCH(D$1,quests!$1:$1,0)-MATCH($C$2,quests!$1:$1,0)+1),MATCH(D$1,quests!$1:$1,0)-MATCH($C$2,quests!$1:$1,0)+1,FALSE)</f>
        <v>ナーガ襲来！</v>
      </c>
      <c r="E929" s="48" t="str">
        <f ca="1">VLOOKUP($C929,OFFSET(quests!$A$1,0,0,COUNTA(quests!$A:$A),MATCH(E$2,quests!$1:$1,0)-MATCH($C$2,quests!$1:$1,0)+1),MATCH(E$2,quests!$1:$1,0)-MATCH($C$2,quests!$1:$1,0)+1,FALSE)</f>
        <v>グローバル版降臨3</v>
      </c>
      <c r="F929" s="7">
        <v>2</v>
      </c>
      <c r="G929" s="7" t="s">
        <v>382</v>
      </c>
      <c r="H929" s="12" t="s">
        <v>1901</v>
      </c>
      <c r="I929" s="12" t="s">
        <v>61</v>
      </c>
      <c r="J929" s="65">
        <v>5004</v>
      </c>
      <c r="K929" s="167">
        <v>40</v>
      </c>
      <c r="L929" s="167">
        <v>4500</v>
      </c>
      <c r="M929" s="167">
        <v>1</v>
      </c>
      <c r="N929" s="167">
        <v>1</v>
      </c>
      <c r="O929" s="167">
        <v>1</v>
      </c>
      <c r="P929" s="167">
        <v>1</v>
      </c>
      <c r="Q929" s="167">
        <v>1</v>
      </c>
      <c r="R929" s="167">
        <v>3</v>
      </c>
      <c r="S929" s="167" t="s">
        <v>278</v>
      </c>
      <c r="T929" s="167">
        <v>1</v>
      </c>
      <c r="U929" s="7" t="s">
        <v>169</v>
      </c>
      <c r="V929" s="7" t="s">
        <v>169</v>
      </c>
      <c r="W929" s="47" t="str">
        <f t="shared" ca="1" si="77"/>
        <v/>
      </c>
      <c r="X929" s="47">
        <f ca="1">VLOOKUP($C929,OFFSET(quests!$A$1,0,0,COUNTA(quests!$A:$A),MATCH(X$2,quests!$1:$1,0)-MATCH($C$2,quests!$1:$1,0)+1),MATCH(X$2,quests!$1:$1,0)-MATCH($C$2,quests!$1:$1,0)+1,FALSE)</f>
        <v>0</v>
      </c>
      <c r="Y929" s="47">
        <f ca="1">VLOOKUP($C929,OFFSET(quests!$A$1,0,0,COUNTA(quests!$A:$A),MATCH(Y$2,quests!$1:$1,0)-MATCH($C$2,quests!$1:$1,0)+1),MATCH(Y$2,quests!$1:$1,0)-MATCH($C$2,quests!$1:$1,0)+1,FALSE)</f>
        <v>0</v>
      </c>
      <c r="Z929" s="47">
        <f ca="1">VLOOKUP($C929,OFFSET(quests!$A$1,0,0,COUNTA(quests!$A:$A),MATCH(Z$2,quests!$1:$1,0)-MATCH($C$2,quests!$1:$1,0)+1),MATCH(Z$2,quests!$1:$1,0)-MATCH($C$2,quests!$1:$1,0)+1,FALSE)</f>
        <v>0</v>
      </c>
      <c r="AA929" s="47">
        <f ca="1">VLOOKUP($C929,OFFSET(quests!$A$1,0,0,COUNTA(quests!$A:$A),MATCH(AA$2,quests!$1:$1,0)-MATCH($C$2,quests!$1:$1,0)+1),MATCH(AA$2,quests!$1:$1,0)-MATCH($C$2,quests!$1:$1,0)+1,FALSE)</f>
        <v>0</v>
      </c>
      <c r="AB929" s="7" t="s">
        <v>56</v>
      </c>
      <c r="AC929" s="167">
        <v>963</v>
      </c>
      <c r="AD929" s="7">
        <v>6</v>
      </c>
      <c r="AE929" s="7" t="s">
        <v>519</v>
      </c>
      <c r="AF929" s="7">
        <v>40</v>
      </c>
      <c r="AG929" s="7">
        <v>40</v>
      </c>
      <c r="AH929" s="7">
        <v>0</v>
      </c>
      <c r="AI929" s="7">
        <v>-1</v>
      </c>
      <c r="AJ929" s="7">
        <v>-1</v>
      </c>
      <c r="AK929" s="7" t="s">
        <v>1065</v>
      </c>
      <c r="AL929" s="12" t="s">
        <v>1337</v>
      </c>
      <c r="AM929" s="12" t="s">
        <v>2072</v>
      </c>
    </row>
    <row r="930" spans="1:39" ht="21" customHeight="1" x14ac:dyDescent="0.15">
      <c r="A930" s="42" t="str">
        <f t="shared" ref="A930:A931" si="82">C930&amp;"_"&amp;F930</f>
        <v>48504_1</v>
      </c>
      <c r="B930" s="23">
        <v>1</v>
      </c>
      <c r="C930" s="31">
        <v>48504</v>
      </c>
      <c r="D930" s="47" t="str">
        <f ca="1">VLOOKUP($C930,OFFSET(quests!$A$1,0,0,COUNTA(quests!$A:$A),MATCH(D$1,quests!$1:$1,0)-MATCH($C$2,quests!$1:$1,0)+1),MATCH(D$1,quests!$1:$1,0)-MATCH($C$2,quests!$1:$1,0)+1,FALSE)</f>
        <v>サン＝テグジュペリ襲来！</v>
      </c>
      <c r="E930" s="48" t="str">
        <f ca="1">VLOOKUP($C930,OFFSET(quests!$A$1,0,0,COUNTA(quests!$A:$A),MATCH(E$2,quests!$1:$1,0)-MATCH($C$2,quests!$1:$1,0)+1),MATCH(E$2,quests!$1:$1,0)-MATCH($C$2,quests!$1:$1,0)+1,FALSE)</f>
        <v>グローバル版降臨4</v>
      </c>
      <c r="F930" s="7">
        <v>1</v>
      </c>
      <c r="G930" s="7" t="s">
        <v>382</v>
      </c>
      <c r="H930" s="12" t="s">
        <v>2397</v>
      </c>
      <c r="I930" s="12" t="s">
        <v>61</v>
      </c>
      <c r="J930" s="65">
        <v>5010</v>
      </c>
      <c r="K930" s="167">
        <v>35</v>
      </c>
      <c r="L930" s="167">
        <v>4200</v>
      </c>
      <c r="M930" s="167">
        <v>1</v>
      </c>
      <c r="N930" s="167">
        <v>1</v>
      </c>
      <c r="O930" s="167">
        <v>1</v>
      </c>
      <c r="P930" s="167">
        <v>1</v>
      </c>
      <c r="Q930" s="167">
        <v>1</v>
      </c>
      <c r="R930" s="167">
        <v>3</v>
      </c>
      <c r="S930" s="167" t="s">
        <v>278</v>
      </c>
      <c r="T930" s="167">
        <v>1</v>
      </c>
      <c r="U930" s="7" t="s">
        <v>169</v>
      </c>
      <c r="V930" s="7" t="s">
        <v>169</v>
      </c>
      <c r="W930" s="47" t="str">
        <f t="shared" ca="1" si="77"/>
        <v/>
      </c>
      <c r="X930" s="47">
        <f ca="1">VLOOKUP($C930,OFFSET(quests!$A$1,0,0,COUNTA(quests!$A:$A),MATCH(X$2,quests!$1:$1,0)-MATCH($C$2,quests!$1:$1,0)+1),MATCH(X$2,quests!$1:$1,0)-MATCH($C$2,quests!$1:$1,0)+1,FALSE)</f>
        <v>0</v>
      </c>
      <c r="Y930" s="47">
        <f ca="1">VLOOKUP($C930,OFFSET(quests!$A$1,0,0,COUNTA(quests!$A:$A),MATCH(Y$2,quests!$1:$1,0)-MATCH($C$2,quests!$1:$1,0)+1),MATCH(Y$2,quests!$1:$1,0)-MATCH($C$2,quests!$1:$1,0)+1,FALSE)</f>
        <v>0</v>
      </c>
      <c r="Z930" s="47">
        <f ca="1">VLOOKUP($C930,OFFSET(quests!$A$1,0,0,COUNTA(quests!$A:$A),MATCH(Z$2,quests!$1:$1,0)-MATCH($C$2,quests!$1:$1,0)+1),MATCH(Z$2,quests!$1:$1,0)-MATCH($C$2,quests!$1:$1,0)+1,FALSE)</f>
        <v>0</v>
      </c>
      <c r="AA930" s="47">
        <f ca="1">VLOOKUP($C930,OFFSET(quests!$A$1,0,0,COUNTA(quests!$A:$A),MATCH(AA$2,quests!$1:$1,0)-MATCH($C$2,quests!$1:$1,0)+1),MATCH(AA$2,quests!$1:$1,0)-MATCH($C$2,quests!$1:$1,0)+1,FALSE)</f>
        <v>0</v>
      </c>
      <c r="AB930" s="7" t="s">
        <v>56</v>
      </c>
      <c r="AC930" s="167">
        <v>963</v>
      </c>
      <c r="AD930" s="7">
        <v>6</v>
      </c>
      <c r="AE930" s="7" t="s">
        <v>519</v>
      </c>
      <c r="AF930" s="7">
        <v>40</v>
      </c>
      <c r="AG930" s="7">
        <v>40</v>
      </c>
      <c r="AH930" s="7">
        <v>0</v>
      </c>
      <c r="AI930" s="7">
        <v>-1</v>
      </c>
      <c r="AJ930" s="7">
        <v>-1</v>
      </c>
      <c r="AK930" s="7" t="s">
        <v>1065</v>
      </c>
      <c r="AL930" s="12" t="s">
        <v>1337</v>
      </c>
      <c r="AM930" s="12" t="s">
        <v>1064</v>
      </c>
    </row>
    <row r="931" spans="1:39" ht="21" customHeight="1" x14ac:dyDescent="0.15">
      <c r="A931" s="42" t="str">
        <f t="shared" si="82"/>
        <v>48504_2</v>
      </c>
      <c r="B931" s="23">
        <v>1</v>
      </c>
      <c r="C931" s="31">
        <v>48504</v>
      </c>
      <c r="D931" s="47" t="str">
        <f ca="1">VLOOKUP($C931,OFFSET(quests!$A$1,0,0,COUNTA(quests!$A:$A),MATCH(D$1,quests!$1:$1,0)-MATCH($C$2,quests!$1:$1,0)+1),MATCH(D$1,quests!$1:$1,0)-MATCH($C$2,quests!$1:$1,0)+1,FALSE)</f>
        <v>サン＝テグジュペリ襲来！</v>
      </c>
      <c r="E931" s="48" t="str">
        <f ca="1">VLOOKUP($C931,OFFSET(quests!$A$1,0,0,COUNTA(quests!$A:$A),MATCH(E$2,quests!$1:$1,0)-MATCH($C$2,quests!$1:$1,0)+1),MATCH(E$2,quests!$1:$1,0)-MATCH($C$2,quests!$1:$1,0)+1,FALSE)</f>
        <v>グローバル版降臨4</v>
      </c>
      <c r="F931" s="7">
        <v>2</v>
      </c>
      <c r="G931" s="7" t="s">
        <v>382</v>
      </c>
      <c r="H931" s="12" t="s">
        <v>2398</v>
      </c>
      <c r="I931" s="12" t="s">
        <v>61</v>
      </c>
      <c r="J931" s="65">
        <v>5010</v>
      </c>
      <c r="K931" s="167">
        <v>40</v>
      </c>
      <c r="L931" s="167">
        <v>4500</v>
      </c>
      <c r="M931" s="167">
        <v>1</v>
      </c>
      <c r="N931" s="167">
        <v>1</v>
      </c>
      <c r="O931" s="167">
        <v>1</v>
      </c>
      <c r="P931" s="167">
        <v>1</v>
      </c>
      <c r="Q931" s="167">
        <v>1</v>
      </c>
      <c r="R931" s="167">
        <v>3</v>
      </c>
      <c r="S931" s="167" t="s">
        <v>278</v>
      </c>
      <c r="T931" s="167">
        <v>1</v>
      </c>
      <c r="U931" s="7" t="s">
        <v>169</v>
      </c>
      <c r="V931" s="7" t="s">
        <v>169</v>
      </c>
      <c r="W931" s="47" t="str">
        <f t="shared" ca="1" si="77"/>
        <v/>
      </c>
      <c r="X931" s="47">
        <f ca="1">VLOOKUP($C931,OFFSET(quests!$A$1,0,0,COUNTA(quests!$A:$A),MATCH(X$2,quests!$1:$1,0)-MATCH($C$2,quests!$1:$1,0)+1),MATCH(X$2,quests!$1:$1,0)-MATCH($C$2,quests!$1:$1,0)+1,FALSE)</f>
        <v>0</v>
      </c>
      <c r="Y931" s="47">
        <f ca="1">VLOOKUP($C931,OFFSET(quests!$A$1,0,0,COUNTA(quests!$A:$A),MATCH(Y$2,quests!$1:$1,0)-MATCH($C$2,quests!$1:$1,0)+1),MATCH(Y$2,quests!$1:$1,0)-MATCH($C$2,quests!$1:$1,0)+1,FALSE)</f>
        <v>0</v>
      </c>
      <c r="Z931" s="47">
        <f ca="1">VLOOKUP($C931,OFFSET(quests!$A$1,0,0,COUNTA(quests!$A:$A),MATCH(Z$2,quests!$1:$1,0)-MATCH($C$2,quests!$1:$1,0)+1),MATCH(Z$2,quests!$1:$1,0)-MATCH($C$2,quests!$1:$1,0)+1,FALSE)</f>
        <v>0</v>
      </c>
      <c r="AA931" s="47">
        <f ca="1">VLOOKUP($C931,OFFSET(quests!$A$1,0,0,COUNTA(quests!$A:$A),MATCH(AA$2,quests!$1:$1,0)-MATCH($C$2,quests!$1:$1,0)+1),MATCH(AA$2,quests!$1:$1,0)-MATCH($C$2,quests!$1:$1,0)+1,FALSE)</f>
        <v>0</v>
      </c>
      <c r="AB931" s="7" t="s">
        <v>56</v>
      </c>
      <c r="AC931" s="167">
        <v>963</v>
      </c>
      <c r="AD931" s="7">
        <v>6</v>
      </c>
      <c r="AE931" s="7" t="s">
        <v>519</v>
      </c>
      <c r="AF931" s="7">
        <v>40</v>
      </c>
      <c r="AG931" s="7">
        <v>40</v>
      </c>
      <c r="AH931" s="7">
        <v>0</v>
      </c>
      <c r="AI931" s="7">
        <v>-1</v>
      </c>
      <c r="AJ931" s="7">
        <v>-1</v>
      </c>
      <c r="AK931" s="7" t="s">
        <v>1065</v>
      </c>
      <c r="AL931" s="12" t="s">
        <v>1337</v>
      </c>
      <c r="AM931" s="12" t="s">
        <v>1064</v>
      </c>
    </row>
    <row r="932" spans="1:39" ht="21" customHeight="1" x14ac:dyDescent="0.15">
      <c r="A932" s="42" t="str">
        <f t="shared" si="80"/>
        <v>48701_1</v>
      </c>
      <c r="B932" s="23">
        <v>1</v>
      </c>
      <c r="C932" s="31">
        <v>48701</v>
      </c>
      <c r="D932" s="47" t="str">
        <f ca="1">VLOOKUP($C932,OFFSET(quests!$A$1,0,0,COUNTA(quests!$A:$A),MATCH(D$1,quests!$1:$1,0)-MATCH($C$2,quests!$1:$1,0)+1),MATCH(D$1,quests!$1:$1,0)-MATCH($C$2,quests!$1:$1,0)+1,FALSE)</f>
        <v>M.Dragon襲来！</v>
      </c>
      <c r="E932" s="48" t="str">
        <f ca="1">VLOOKUP($C932,OFFSET(quests!$A$1,0,0,COUNTA(quests!$A:$A),MATCH(E$2,quests!$1:$1,0)-MATCH($C$2,quests!$1:$1,0)+1),MATCH(E$2,quests!$1:$1,0)-MATCH($C$2,quests!$1:$1,0)+1,FALSE)</f>
        <v>韓国版降臨1</v>
      </c>
      <c r="F932" s="7">
        <v>1</v>
      </c>
      <c r="G932" s="7" t="s">
        <v>382</v>
      </c>
      <c r="H932" s="12" t="s">
        <v>2121</v>
      </c>
      <c r="I932" s="12" t="s">
        <v>61</v>
      </c>
      <c r="J932" s="251">
        <v>9004</v>
      </c>
      <c r="K932" s="167">
        <v>35</v>
      </c>
      <c r="L932" s="167">
        <v>4200</v>
      </c>
      <c r="M932" s="167">
        <v>1</v>
      </c>
      <c r="N932" s="167">
        <v>1</v>
      </c>
      <c r="O932" s="167">
        <v>1</v>
      </c>
      <c r="P932" s="167">
        <v>1</v>
      </c>
      <c r="Q932" s="167">
        <v>1</v>
      </c>
      <c r="R932" s="167">
        <v>3</v>
      </c>
      <c r="S932" s="167" t="s">
        <v>278</v>
      </c>
      <c r="T932" s="167">
        <v>1</v>
      </c>
      <c r="U932" s="7" t="s">
        <v>169</v>
      </c>
      <c r="V932" s="7" t="s">
        <v>169</v>
      </c>
      <c r="W932" s="47" t="str">
        <f t="shared" ca="1" si="77"/>
        <v/>
      </c>
      <c r="X932" s="47">
        <f ca="1">VLOOKUP($C932,OFFSET(quests!$A$1,0,0,COUNTA(quests!$A:$A),MATCH(X$2,quests!$1:$1,0)-MATCH($C$2,quests!$1:$1,0)+1),MATCH(X$2,quests!$1:$1,0)-MATCH($C$2,quests!$1:$1,0)+1,FALSE)</f>
        <v>0</v>
      </c>
      <c r="Y932" s="47">
        <f ca="1">VLOOKUP($C932,OFFSET(quests!$A$1,0,0,COUNTA(quests!$A:$A),MATCH(Y$2,quests!$1:$1,0)-MATCH($C$2,quests!$1:$1,0)+1),MATCH(Y$2,quests!$1:$1,0)-MATCH($C$2,quests!$1:$1,0)+1,FALSE)</f>
        <v>0</v>
      </c>
      <c r="Z932" s="47">
        <f ca="1">VLOOKUP($C932,OFFSET(quests!$A$1,0,0,COUNTA(quests!$A:$A),MATCH(Z$2,quests!$1:$1,0)-MATCH($C$2,quests!$1:$1,0)+1),MATCH(Z$2,quests!$1:$1,0)-MATCH($C$2,quests!$1:$1,0)+1,FALSE)</f>
        <v>0</v>
      </c>
      <c r="AA932" s="47">
        <f ca="1">VLOOKUP($C932,OFFSET(quests!$A$1,0,0,COUNTA(quests!$A:$A),MATCH(AA$2,quests!$1:$1,0)-MATCH($C$2,quests!$1:$1,0)+1),MATCH(AA$2,quests!$1:$1,0)-MATCH($C$2,quests!$1:$1,0)+1,FALSE)</f>
        <v>0</v>
      </c>
      <c r="AB932" s="7" t="s">
        <v>56</v>
      </c>
      <c r="AC932" s="167">
        <v>985</v>
      </c>
      <c r="AD932" s="7">
        <v>6</v>
      </c>
      <c r="AE932" s="7" t="s">
        <v>519</v>
      </c>
      <c r="AF932" s="7">
        <v>40</v>
      </c>
      <c r="AG932" s="7">
        <v>40</v>
      </c>
      <c r="AH932" s="7">
        <v>0</v>
      </c>
      <c r="AI932" s="7">
        <v>-1</v>
      </c>
      <c r="AJ932" s="7">
        <v>-1</v>
      </c>
      <c r="AK932" s="7" t="s">
        <v>1065</v>
      </c>
      <c r="AL932" s="12" t="s">
        <v>1269</v>
      </c>
      <c r="AM932" s="12" t="s">
        <v>2072</v>
      </c>
    </row>
    <row r="933" spans="1:39" ht="21" customHeight="1" x14ac:dyDescent="0.15">
      <c r="A933" s="42" t="str">
        <f t="shared" si="80"/>
        <v>48701_2</v>
      </c>
      <c r="B933" s="23">
        <v>1</v>
      </c>
      <c r="C933" s="31">
        <v>48701</v>
      </c>
      <c r="D933" s="47" t="str">
        <f ca="1">VLOOKUP($C933,OFFSET(quests!$A$1,0,0,COUNTA(quests!$A:$A),MATCH(D$1,quests!$1:$1,0)-MATCH($C$2,quests!$1:$1,0)+1),MATCH(D$1,quests!$1:$1,0)-MATCH($C$2,quests!$1:$1,0)+1,FALSE)</f>
        <v>M.Dragon襲来！</v>
      </c>
      <c r="E933" s="48" t="str">
        <f ca="1">VLOOKUP($C933,OFFSET(quests!$A$1,0,0,COUNTA(quests!$A:$A),MATCH(E$2,quests!$1:$1,0)-MATCH($C$2,quests!$1:$1,0)+1),MATCH(E$2,quests!$1:$1,0)-MATCH($C$2,quests!$1:$1,0)+1,FALSE)</f>
        <v>韓国版降臨1</v>
      </c>
      <c r="F933" s="7">
        <v>2</v>
      </c>
      <c r="G933" s="7" t="s">
        <v>382</v>
      </c>
      <c r="H933" s="12" t="s">
        <v>2122</v>
      </c>
      <c r="I933" s="12" t="s">
        <v>61</v>
      </c>
      <c r="J933" s="251">
        <v>9004</v>
      </c>
      <c r="K933" s="167">
        <v>40</v>
      </c>
      <c r="L933" s="167">
        <v>4500</v>
      </c>
      <c r="M933" s="167">
        <v>1</v>
      </c>
      <c r="N933" s="167">
        <v>1</v>
      </c>
      <c r="O933" s="167">
        <v>1</v>
      </c>
      <c r="P933" s="167">
        <v>1</v>
      </c>
      <c r="Q933" s="167">
        <v>1</v>
      </c>
      <c r="R933" s="167">
        <v>3</v>
      </c>
      <c r="S933" s="167" t="s">
        <v>278</v>
      </c>
      <c r="T933" s="167">
        <v>1</v>
      </c>
      <c r="U933" s="7" t="s">
        <v>169</v>
      </c>
      <c r="V933" s="7" t="s">
        <v>169</v>
      </c>
      <c r="W933" s="47" t="str">
        <f t="shared" ca="1" si="77"/>
        <v/>
      </c>
      <c r="X933" s="47">
        <f ca="1">VLOOKUP($C933,OFFSET(quests!$A$1,0,0,COUNTA(quests!$A:$A),MATCH(X$2,quests!$1:$1,0)-MATCH($C$2,quests!$1:$1,0)+1),MATCH(X$2,quests!$1:$1,0)-MATCH($C$2,quests!$1:$1,0)+1,FALSE)</f>
        <v>0</v>
      </c>
      <c r="Y933" s="47">
        <f ca="1">VLOOKUP($C933,OFFSET(quests!$A$1,0,0,COUNTA(quests!$A:$A),MATCH(Y$2,quests!$1:$1,0)-MATCH($C$2,quests!$1:$1,0)+1),MATCH(Y$2,quests!$1:$1,0)-MATCH($C$2,quests!$1:$1,0)+1,FALSE)</f>
        <v>0</v>
      </c>
      <c r="Z933" s="47">
        <f ca="1">VLOOKUP($C933,OFFSET(quests!$A$1,0,0,COUNTA(quests!$A:$A),MATCH(Z$2,quests!$1:$1,0)-MATCH($C$2,quests!$1:$1,0)+1),MATCH(Z$2,quests!$1:$1,0)-MATCH($C$2,quests!$1:$1,0)+1,FALSE)</f>
        <v>0</v>
      </c>
      <c r="AA933" s="47">
        <f ca="1">VLOOKUP($C933,OFFSET(quests!$A$1,0,0,COUNTA(quests!$A:$A),MATCH(AA$2,quests!$1:$1,0)-MATCH($C$2,quests!$1:$1,0)+1),MATCH(AA$2,quests!$1:$1,0)-MATCH($C$2,quests!$1:$1,0)+1,FALSE)</f>
        <v>0</v>
      </c>
      <c r="AB933" s="7" t="s">
        <v>56</v>
      </c>
      <c r="AC933" s="167">
        <v>985</v>
      </c>
      <c r="AD933" s="7">
        <v>6</v>
      </c>
      <c r="AE933" s="7" t="s">
        <v>519</v>
      </c>
      <c r="AF933" s="7">
        <v>40</v>
      </c>
      <c r="AG933" s="7">
        <v>40</v>
      </c>
      <c r="AH933" s="7">
        <v>0</v>
      </c>
      <c r="AI933" s="7">
        <v>-1</v>
      </c>
      <c r="AJ933" s="7">
        <v>-1</v>
      </c>
      <c r="AK933" s="7" t="s">
        <v>1065</v>
      </c>
      <c r="AL933" s="12" t="s">
        <v>1269</v>
      </c>
      <c r="AM933" s="12" t="s">
        <v>2072</v>
      </c>
    </row>
    <row r="934" spans="1:39" ht="21" customHeight="1" x14ac:dyDescent="0.15">
      <c r="A934" s="42" t="str">
        <f t="shared" ref="A934:A936" si="83">C934&amp;"_"&amp;F934</f>
        <v>48702_1</v>
      </c>
      <c r="B934" s="23">
        <v>1</v>
      </c>
      <c r="C934" s="31">
        <v>48702</v>
      </c>
      <c r="D934" s="47" t="str">
        <f ca="1">VLOOKUP($C934,OFFSET(quests!$A$1,0,0,COUNTA(quests!$A:$A),MATCH(D$1,quests!$1:$1,0)-MATCH($C$2,quests!$1:$1,0)+1),MATCH(D$1,quests!$1:$1,0)-MATCH($C$2,quests!$1:$1,0)+1,FALSE)</f>
        <v>田禹治襲来！</v>
      </c>
      <c r="E934" s="48" t="str">
        <f ca="1">VLOOKUP($C934,OFFSET(quests!$A$1,0,0,COUNTA(quests!$A:$A),MATCH(E$2,quests!$1:$1,0)-MATCH($C$2,quests!$1:$1,0)+1),MATCH(E$2,quests!$1:$1,0)-MATCH($C$2,quests!$1:$1,0)+1,FALSE)</f>
        <v>韓国版降臨2</v>
      </c>
      <c r="F934" s="7">
        <v>1</v>
      </c>
      <c r="G934" s="7" t="s">
        <v>382</v>
      </c>
      <c r="H934" s="12" t="s">
        <v>2260</v>
      </c>
      <c r="I934" s="12" t="s">
        <v>61</v>
      </c>
      <c r="J934" s="251">
        <v>9008</v>
      </c>
      <c r="K934" s="167">
        <v>35</v>
      </c>
      <c r="L934" s="167">
        <v>4200</v>
      </c>
      <c r="M934" s="167">
        <v>1</v>
      </c>
      <c r="N934" s="167">
        <v>1</v>
      </c>
      <c r="O934" s="167">
        <v>1</v>
      </c>
      <c r="P934" s="167">
        <v>1</v>
      </c>
      <c r="Q934" s="167">
        <v>1</v>
      </c>
      <c r="R934" s="167">
        <v>3</v>
      </c>
      <c r="S934" s="167" t="s">
        <v>278</v>
      </c>
      <c r="T934" s="167">
        <v>1</v>
      </c>
      <c r="U934" s="7" t="s">
        <v>169</v>
      </c>
      <c r="V934" s="7" t="s">
        <v>169</v>
      </c>
      <c r="W934" s="47" t="str">
        <f t="shared" ca="1" si="77"/>
        <v/>
      </c>
      <c r="X934" s="47">
        <f ca="1">VLOOKUP($C934,OFFSET(quests!$A$1,0,0,COUNTA(quests!$A:$A),MATCH(X$2,quests!$1:$1,0)-MATCH($C$2,quests!$1:$1,0)+1),MATCH(X$2,quests!$1:$1,0)-MATCH($C$2,quests!$1:$1,0)+1,FALSE)</f>
        <v>0</v>
      </c>
      <c r="Y934" s="47">
        <f ca="1">VLOOKUP($C934,OFFSET(quests!$A$1,0,0,COUNTA(quests!$A:$A),MATCH(Y$2,quests!$1:$1,0)-MATCH($C$2,quests!$1:$1,0)+1),MATCH(Y$2,quests!$1:$1,0)-MATCH($C$2,quests!$1:$1,0)+1,FALSE)</f>
        <v>0</v>
      </c>
      <c r="Z934" s="47">
        <f ca="1">VLOOKUP($C934,OFFSET(quests!$A$1,0,0,COUNTA(quests!$A:$A),MATCH(Z$2,quests!$1:$1,0)-MATCH($C$2,quests!$1:$1,0)+1),MATCH(Z$2,quests!$1:$1,0)-MATCH($C$2,quests!$1:$1,0)+1,FALSE)</f>
        <v>0</v>
      </c>
      <c r="AA934" s="47">
        <f ca="1">VLOOKUP($C934,OFFSET(quests!$A$1,0,0,COUNTA(quests!$A:$A),MATCH(AA$2,quests!$1:$1,0)-MATCH($C$2,quests!$1:$1,0)+1),MATCH(AA$2,quests!$1:$1,0)-MATCH($C$2,quests!$1:$1,0)+1,FALSE)</f>
        <v>0</v>
      </c>
      <c r="AB934" s="7" t="s">
        <v>56</v>
      </c>
      <c r="AC934" s="167">
        <v>991</v>
      </c>
      <c r="AD934" s="7">
        <v>6</v>
      </c>
      <c r="AE934" s="7" t="s">
        <v>519</v>
      </c>
      <c r="AF934" s="7">
        <v>40</v>
      </c>
      <c r="AG934" s="7">
        <v>40</v>
      </c>
      <c r="AH934" s="7">
        <v>0</v>
      </c>
      <c r="AI934" s="7">
        <v>-1</v>
      </c>
      <c r="AJ934" s="7">
        <v>-1</v>
      </c>
      <c r="AK934" s="7" t="s">
        <v>1065</v>
      </c>
      <c r="AL934" s="12" t="s">
        <v>1269</v>
      </c>
      <c r="AM934" s="12" t="s">
        <v>2072</v>
      </c>
    </row>
    <row r="935" spans="1:39" ht="21" customHeight="1" x14ac:dyDescent="0.15">
      <c r="A935" s="42" t="str">
        <f t="shared" ref="A935" si="84">C935&amp;"_"&amp;F935</f>
        <v>48702_2</v>
      </c>
      <c r="B935" s="23">
        <v>1</v>
      </c>
      <c r="C935" s="31">
        <v>48702</v>
      </c>
      <c r="D935" s="47" t="str">
        <f ca="1">VLOOKUP($C935,OFFSET(quests!$A$1,0,0,COUNTA(quests!$A:$A),MATCH(D$1,quests!$1:$1,0)-MATCH($C$2,quests!$1:$1,0)+1),MATCH(D$1,quests!$1:$1,0)-MATCH($C$2,quests!$1:$1,0)+1,FALSE)</f>
        <v>田禹治襲来！</v>
      </c>
      <c r="E935" s="48" t="str">
        <f ca="1">VLOOKUP($C935,OFFSET(quests!$A$1,0,0,COUNTA(quests!$A:$A),MATCH(E$2,quests!$1:$1,0)-MATCH($C$2,quests!$1:$1,0)+1),MATCH(E$2,quests!$1:$1,0)-MATCH($C$2,quests!$1:$1,0)+1,FALSE)</f>
        <v>韓国版降臨2</v>
      </c>
      <c r="F935" s="7">
        <v>2</v>
      </c>
      <c r="G935" s="7" t="s">
        <v>382</v>
      </c>
      <c r="H935" s="12" t="s">
        <v>2261</v>
      </c>
      <c r="I935" s="12" t="s">
        <v>61</v>
      </c>
      <c r="J935" s="251">
        <v>9008</v>
      </c>
      <c r="K935" s="167">
        <v>40</v>
      </c>
      <c r="L935" s="167">
        <v>4500</v>
      </c>
      <c r="M935" s="167">
        <v>1</v>
      </c>
      <c r="N935" s="167">
        <v>1</v>
      </c>
      <c r="O935" s="167">
        <v>1</v>
      </c>
      <c r="P935" s="167">
        <v>1</v>
      </c>
      <c r="Q935" s="167">
        <v>1</v>
      </c>
      <c r="R935" s="167">
        <v>3</v>
      </c>
      <c r="S935" s="167" t="s">
        <v>278</v>
      </c>
      <c r="T935" s="167">
        <v>1</v>
      </c>
      <c r="U935" s="7" t="s">
        <v>169</v>
      </c>
      <c r="V935" s="7" t="s">
        <v>169</v>
      </c>
      <c r="W935" s="47" t="str">
        <f t="shared" ca="1" si="77"/>
        <v/>
      </c>
      <c r="X935" s="47">
        <f ca="1">VLOOKUP($C935,OFFSET(quests!$A$1,0,0,COUNTA(quests!$A:$A),MATCH(X$2,quests!$1:$1,0)-MATCH($C$2,quests!$1:$1,0)+1),MATCH(X$2,quests!$1:$1,0)-MATCH($C$2,quests!$1:$1,0)+1,FALSE)</f>
        <v>0</v>
      </c>
      <c r="Y935" s="47">
        <f ca="1">VLOOKUP($C935,OFFSET(quests!$A$1,0,0,COUNTA(quests!$A:$A),MATCH(Y$2,quests!$1:$1,0)-MATCH($C$2,quests!$1:$1,0)+1),MATCH(Y$2,quests!$1:$1,0)-MATCH($C$2,quests!$1:$1,0)+1,FALSE)</f>
        <v>0</v>
      </c>
      <c r="Z935" s="47">
        <f ca="1">VLOOKUP($C935,OFFSET(quests!$A$1,0,0,COUNTA(quests!$A:$A),MATCH(Z$2,quests!$1:$1,0)-MATCH($C$2,quests!$1:$1,0)+1),MATCH(Z$2,quests!$1:$1,0)-MATCH($C$2,quests!$1:$1,0)+1,FALSE)</f>
        <v>0</v>
      </c>
      <c r="AA935" s="47">
        <f ca="1">VLOOKUP($C935,OFFSET(quests!$A$1,0,0,COUNTA(quests!$A:$A),MATCH(AA$2,quests!$1:$1,0)-MATCH($C$2,quests!$1:$1,0)+1),MATCH(AA$2,quests!$1:$1,0)-MATCH($C$2,quests!$1:$1,0)+1,FALSE)</f>
        <v>0</v>
      </c>
      <c r="AB935" s="7" t="s">
        <v>56</v>
      </c>
      <c r="AC935" s="167">
        <v>991</v>
      </c>
      <c r="AD935" s="7">
        <v>6</v>
      </c>
      <c r="AE935" s="7" t="s">
        <v>519</v>
      </c>
      <c r="AF935" s="7">
        <v>40</v>
      </c>
      <c r="AG935" s="7">
        <v>40</v>
      </c>
      <c r="AH935" s="7">
        <v>0</v>
      </c>
      <c r="AI935" s="7">
        <v>-1</v>
      </c>
      <c r="AJ935" s="7">
        <v>-1</v>
      </c>
      <c r="AK935" s="7" t="s">
        <v>1065</v>
      </c>
      <c r="AL935" s="12" t="s">
        <v>1269</v>
      </c>
      <c r="AM935" s="12" t="s">
        <v>2072</v>
      </c>
    </row>
    <row r="936" spans="1:39" ht="21" customHeight="1" x14ac:dyDescent="0.15">
      <c r="A936" s="42" t="str">
        <f t="shared" si="83"/>
        <v>48703_1</v>
      </c>
      <c r="B936" s="23">
        <v>1</v>
      </c>
      <c r="C936" s="325">
        <v>48703</v>
      </c>
      <c r="D936" s="47" t="str">
        <f ca="1">VLOOKUP($C936,OFFSET(quests!$A$1,0,0,COUNTA(quests!$A:$A),MATCH(D$1,quests!$1:$1,0)-MATCH($C$2,quests!$1:$1,0)+1),MATCH(D$1,quests!$1:$1,0)-MATCH($C$2,quests!$1:$1,0)+1,FALSE)</f>
        <v>紅蓮襲来！</v>
      </c>
      <c r="E936" s="48" t="str">
        <f ca="1">VLOOKUP($C936,OFFSET(quests!$A$1,0,0,COUNTA(quests!$A:$A),MATCH(E$2,quests!$1:$1,0)-MATCH($C$2,quests!$1:$1,0)+1),MATCH(E$2,quests!$1:$1,0)-MATCH($C$2,quests!$1:$1,0)+1,FALSE)</f>
        <v>韓国版降臨3</v>
      </c>
      <c r="F936" s="7">
        <v>1</v>
      </c>
      <c r="G936" s="7" t="s">
        <v>382</v>
      </c>
      <c r="H936" s="12" t="s">
        <v>2421</v>
      </c>
      <c r="I936" s="12" t="s">
        <v>61</v>
      </c>
      <c r="J936" s="328">
        <v>9011</v>
      </c>
      <c r="K936" s="167">
        <v>40</v>
      </c>
      <c r="L936" s="167">
        <v>4500</v>
      </c>
      <c r="M936" s="167">
        <v>1</v>
      </c>
      <c r="N936" s="167">
        <v>1</v>
      </c>
      <c r="O936" s="167">
        <v>1</v>
      </c>
      <c r="P936" s="167">
        <v>1</v>
      </c>
      <c r="Q936" s="167">
        <v>1</v>
      </c>
      <c r="R936" s="167">
        <v>3</v>
      </c>
      <c r="S936" s="167" t="s">
        <v>278</v>
      </c>
      <c r="T936" s="167">
        <v>1</v>
      </c>
      <c r="U936" s="7" t="s">
        <v>169</v>
      </c>
      <c r="V936" s="7" t="s">
        <v>169</v>
      </c>
      <c r="W936" s="47" t="str">
        <f t="shared" ca="1" si="77"/>
        <v/>
      </c>
      <c r="X936" s="47">
        <f ca="1">VLOOKUP($C936,OFFSET(quests!$A$1,0,0,COUNTA(quests!$A:$A),MATCH(X$2,quests!$1:$1,0)-MATCH($C$2,quests!$1:$1,0)+1),MATCH(X$2,quests!$1:$1,0)-MATCH($C$2,quests!$1:$1,0)+1,FALSE)</f>
        <v>0</v>
      </c>
      <c r="Y936" s="47">
        <f ca="1">VLOOKUP($C936,OFFSET(quests!$A$1,0,0,COUNTA(quests!$A:$A),MATCH(Y$2,quests!$1:$1,0)-MATCH($C$2,quests!$1:$1,0)+1),MATCH(Y$2,quests!$1:$1,0)-MATCH($C$2,quests!$1:$1,0)+1,FALSE)</f>
        <v>0</v>
      </c>
      <c r="Z936" s="47">
        <f ca="1">VLOOKUP($C936,OFFSET(quests!$A$1,0,0,COUNTA(quests!$A:$A),MATCH(Z$2,quests!$1:$1,0)-MATCH($C$2,quests!$1:$1,0)+1),MATCH(Z$2,quests!$1:$1,0)-MATCH($C$2,quests!$1:$1,0)+1,FALSE)</f>
        <v>0</v>
      </c>
      <c r="AA936" s="47">
        <f ca="1">VLOOKUP($C936,OFFSET(quests!$A$1,0,0,COUNTA(quests!$A:$A),MATCH(AA$2,quests!$1:$1,0)-MATCH($C$2,quests!$1:$1,0)+1),MATCH(AA$2,quests!$1:$1,0)-MATCH($C$2,quests!$1:$1,0)+1,FALSE)</f>
        <v>0</v>
      </c>
      <c r="AB936" s="7" t="s">
        <v>56</v>
      </c>
      <c r="AC936" s="167">
        <v>991</v>
      </c>
      <c r="AD936" s="7">
        <v>6</v>
      </c>
      <c r="AE936" s="7" t="s">
        <v>519</v>
      </c>
      <c r="AF936" s="7">
        <v>40</v>
      </c>
      <c r="AG936" s="7">
        <v>40</v>
      </c>
      <c r="AH936" s="7">
        <v>0</v>
      </c>
      <c r="AI936" s="7">
        <v>-1</v>
      </c>
      <c r="AJ936" s="7">
        <v>-1</v>
      </c>
      <c r="AK936" s="7" t="s">
        <v>1065</v>
      </c>
      <c r="AL936" s="12" t="s">
        <v>1269</v>
      </c>
      <c r="AM936" s="12" t="s">
        <v>2072</v>
      </c>
    </row>
    <row r="937" spans="1:39" ht="21" customHeight="1" x14ac:dyDescent="0.15">
      <c r="A937" s="42" t="str">
        <f t="shared" si="53"/>
        <v>49001_1</v>
      </c>
      <c r="B937" s="23">
        <v>3</v>
      </c>
      <c r="C937" s="31">
        <v>49001</v>
      </c>
      <c r="D937" s="47" t="str">
        <f ca="1">VLOOKUP($C937,OFFSET(quests!$A$1,0,0,COUNTA(quests!$A:$A),MATCH(D$1,quests!$1:$1,0)-MATCH($C$2,quests!$1:$1,0)+1),MATCH(D$1,quests!$1:$1,0)-MATCH($C$2,quests!$1:$1,0)+1,FALSE)</f>
        <v>熱唱！初音ミクV3</v>
      </c>
      <c r="E937" s="48" t="str">
        <f ca="1">VLOOKUP($C937,OFFSET(quests!$A$1,0,0,COUNTA(quests!$A:$A),MATCH(E$2,quests!$1:$1,0)-MATCH($C$2,quests!$1:$1,0)+1),MATCH(E$2,quests!$1:$1,0)-MATCH($C$2,quests!$1:$1,0)+1,FALSE)</f>
        <v>コラボ降臨1</v>
      </c>
      <c r="F937" s="7">
        <v>1</v>
      </c>
      <c r="G937" s="7" t="s">
        <v>570</v>
      </c>
      <c r="H937" s="12" t="s">
        <v>913</v>
      </c>
      <c r="I937" s="12" t="s">
        <v>849</v>
      </c>
      <c r="J937" s="65">
        <v>528</v>
      </c>
      <c r="K937" s="167">
        <v>40</v>
      </c>
      <c r="L937" s="167">
        <v>4200</v>
      </c>
      <c r="M937" s="167">
        <v>1</v>
      </c>
      <c r="N937" s="167">
        <v>1</v>
      </c>
      <c r="O937" s="167">
        <v>1</v>
      </c>
      <c r="P937" s="167">
        <v>1</v>
      </c>
      <c r="Q937" s="167">
        <v>1</v>
      </c>
      <c r="R937" s="167">
        <v>3</v>
      </c>
      <c r="S937" s="167" t="s">
        <v>923</v>
      </c>
      <c r="T937" s="167">
        <v>1</v>
      </c>
      <c r="U937" s="7" t="s">
        <v>169</v>
      </c>
      <c r="V937" s="7" t="s">
        <v>169</v>
      </c>
      <c r="W937" s="47" t="str">
        <f t="shared" ca="1" si="77"/>
        <v/>
      </c>
      <c r="X937" s="47">
        <f ca="1">VLOOKUP($C937,OFFSET(quests!$A$1,0,0,COUNTA(quests!$A:$A),MATCH(X$2,quests!$1:$1,0)-MATCH($C$2,quests!$1:$1,0)+1),MATCH(X$2,quests!$1:$1,0)-MATCH($C$2,quests!$1:$1,0)+1,FALSE)</f>
        <v>0</v>
      </c>
      <c r="Y937" s="47">
        <f ca="1">VLOOKUP($C937,OFFSET(quests!$A$1,0,0,COUNTA(quests!$A:$A),MATCH(Y$2,quests!$1:$1,0)-MATCH($C$2,quests!$1:$1,0)+1),MATCH(Y$2,quests!$1:$1,0)-MATCH($C$2,quests!$1:$1,0)+1,FALSE)</f>
        <v>0</v>
      </c>
      <c r="Z937" s="47">
        <f ca="1">VLOOKUP($C937,OFFSET(quests!$A$1,0,0,COUNTA(quests!$A:$A),MATCH(Z$2,quests!$1:$1,0)-MATCH($C$2,quests!$1:$1,0)+1),MATCH(Z$2,quests!$1:$1,0)-MATCH($C$2,quests!$1:$1,0)+1,FALSE)</f>
        <v>0</v>
      </c>
      <c r="AA937" s="47">
        <f ca="1">VLOOKUP($C937,OFFSET(quests!$A$1,0,0,COUNTA(quests!$A:$A),MATCH(AA$2,quests!$1:$1,0)-MATCH($C$2,quests!$1:$1,0)+1),MATCH(AA$2,quests!$1:$1,0)-MATCH($C$2,quests!$1:$1,0)+1,FALSE)</f>
        <v>0</v>
      </c>
      <c r="AB937" s="7" t="s">
        <v>56</v>
      </c>
      <c r="AC937" s="7">
        <v>910</v>
      </c>
      <c r="AD937" s="7">
        <v>6</v>
      </c>
      <c r="AE937" s="7" t="s">
        <v>519</v>
      </c>
      <c r="AF937" s="7">
        <v>3900</v>
      </c>
      <c r="AG937" s="7">
        <v>40</v>
      </c>
      <c r="AH937" s="7">
        <v>0</v>
      </c>
      <c r="AI937" s="7">
        <v>1</v>
      </c>
      <c r="AJ937" s="7">
        <v>-1</v>
      </c>
      <c r="AK937" s="7" t="s">
        <v>1065</v>
      </c>
      <c r="AL937" s="12" t="s">
        <v>1695</v>
      </c>
      <c r="AM937" s="12" t="s">
        <v>2072</v>
      </c>
    </row>
    <row r="938" spans="1:39" ht="21" customHeight="1" x14ac:dyDescent="0.15">
      <c r="A938" s="42" t="str">
        <f t="shared" si="53"/>
        <v>49002_1</v>
      </c>
      <c r="B938" s="23">
        <v>3</v>
      </c>
      <c r="C938" s="31">
        <v>49002</v>
      </c>
      <c r="D938" s="47" t="str">
        <f ca="1">VLOOKUP($C938,OFFSET(quests!$A$1,0,0,COUNTA(quests!$A:$A),MATCH(D$1,quests!$1:$1,0)-MATCH($C$2,quests!$1:$1,0)+1),MATCH(D$1,quests!$1:$1,0)-MATCH($C$2,quests!$1:$1,0)+1,FALSE)</f>
        <v>園原杏里襲来！</v>
      </c>
      <c r="E938" s="48" t="str">
        <f ca="1">VLOOKUP($C938,OFFSET(quests!$A$1,0,0,COUNTA(quests!$A:$A),MATCH(E$2,quests!$1:$1,0)-MATCH($C$2,quests!$1:$1,0)+1),MATCH(E$2,quests!$1:$1,0)-MATCH($C$2,quests!$1:$1,0)+1,FALSE)</f>
        <v>コラボ降臨2</v>
      </c>
      <c r="F938" s="7">
        <v>1</v>
      </c>
      <c r="G938" s="7" t="s">
        <v>570</v>
      </c>
      <c r="H938" s="12" t="s">
        <v>1109</v>
      </c>
      <c r="I938" s="12" t="s">
        <v>849</v>
      </c>
      <c r="J938" s="65">
        <v>699</v>
      </c>
      <c r="K938" s="167">
        <v>40</v>
      </c>
      <c r="L938" s="167">
        <v>4500</v>
      </c>
      <c r="M938" s="167">
        <v>1</v>
      </c>
      <c r="N938" s="167">
        <v>1</v>
      </c>
      <c r="O938" s="167">
        <v>1</v>
      </c>
      <c r="P938" s="167">
        <v>1</v>
      </c>
      <c r="Q938" s="167">
        <v>1</v>
      </c>
      <c r="R938" s="167">
        <v>3</v>
      </c>
      <c r="S938" s="167" t="s">
        <v>923</v>
      </c>
      <c r="T938" s="167">
        <v>1</v>
      </c>
      <c r="U938" s="7" t="s">
        <v>169</v>
      </c>
      <c r="V938" s="7" t="s">
        <v>169</v>
      </c>
      <c r="W938" s="47" t="str">
        <f t="shared" ca="1" si="77"/>
        <v/>
      </c>
      <c r="X938" s="47">
        <f ca="1">VLOOKUP($C938,OFFSET(quests!$A$1,0,0,COUNTA(quests!$A:$A),MATCH(X$2,quests!$1:$1,0)-MATCH($C$2,quests!$1:$1,0)+1),MATCH(X$2,quests!$1:$1,0)-MATCH($C$2,quests!$1:$1,0)+1,FALSE)</f>
        <v>0</v>
      </c>
      <c r="Y938" s="47">
        <f ca="1">VLOOKUP($C938,OFFSET(quests!$A$1,0,0,COUNTA(quests!$A:$A),MATCH(Y$2,quests!$1:$1,0)-MATCH($C$2,quests!$1:$1,0)+1),MATCH(Y$2,quests!$1:$1,0)-MATCH($C$2,quests!$1:$1,0)+1,FALSE)</f>
        <v>0</v>
      </c>
      <c r="Z938" s="47">
        <f ca="1">VLOOKUP($C938,OFFSET(quests!$A$1,0,0,COUNTA(quests!$A:$A),MATCH(Z$2,quests!$1:$1,0)-MATCH($C$2,quests!$1:$1,0)+1),MATCH(Z$2,quests!$1:$1,0)-MATCH($C$2,quests!$1:$1,0)+1,FALSE)</f>
        <v>0</v>
      </c>
      <c r="AA938" s="47">
        <f ca="1">VLOOKUP($C938,OFFSET(quests!$A$1,0,0,COUNTA(quests!$A:$A),MATCH(AA$2,quests!$1:$1,0)-MATCH($C$2,quests!$1:$1,0)+1),MATCH(AA$2,quests!$1:$1,0)-MATCH($C$2,quests!$1:$1,0)+1,FALSE)</f>
        <v>0</v>
      </c>
      <c r="AB938" s="7" t="s">
        <v>56</v>
      </c>
      <c r="AC938" s="7">
        <v>917</v>
      </c>
      <c r="AD938" s="7">
        <v>6</v>
      </c>
      <c r="AE938" s="7" t="s">
        <v>519</v>
      </c>
      <c r="AF938" s="7">
        <v>40</v>
      </c>
      <c r="AG938" s="7">
        <v>40</v>
      </c>
      <c r="AH938" s="7">
        <v>0</v>
      </c>
      <c r="AI938" s="7">
        <v>-1</v>
      </c>
      <c r="AJ938" s="7">
        <v>-1</v>
      </c>
      <c r="AK938" s="7" t="s">
        <v>1065</v>
      </c>
      <c r="AL938" s="12" t="s">
        <v>1695</v>
      </c>
      <c r="AM938" s="12" t="s">
        <v>2072</v>
      </c>
    </row>
    <row r="939" spans="1:39" ht="21" customHeight="1" x14ac:dyDescent="0.15">
      <c r="A939" s="42" t="str">
        <f t="shared" si="53"/>
        <v>49002_2</v>
      </c>
      <c r="B939" s="23">
        <v>3</v>
      </c>
      <c r="C939" s="31">
        <v>49002</v>
      </c>
      <c r="D939" s="47" t="str">
        <f ca="1">VLOOKUP($C939,OFFSET(quests!$A$1,0,0,COUNTA(quests!$A:$A),MATCH(D$1,quests!$1:$1,0)-MATCH($C$2,quests!$1:$1,0)+1),MATCH(D$1,quests!$1:$1,0)-MATCH($C$2,quests!$1:$1,0)+1,FALSE)</f>
        <v>園原杏里襲来！</v>
      </c>
      <c r="E939" s="48" t="str">
        <f ca="1">VLOOKUP($C939,OFFSET(quests!$A$1,0,0,COUNTA(quests!$A:$A),MATCH(E$2,quests!$1:$1,0)-MATCH($C$2,quests!$1:$1,0)+1),MATCH(E$2,quests!$1:$1,0)-MATCH($C$2,quests!$1:$1,0)+1,FALSE)</f>
        <v>コラボ降臨2</v>
      </c>
      <c r="F939" s="7">
        <v>2</v>
      </c>
      <c r="G939" s="7" t="s">
        <v>570</v>
      </c>
      <c r="H939" s="12" t="s">
        <v>1320</v>
      </c>
      <c r="I939" s="12" t="s">
        <v>849</v>
      </c>
      <c r="J939" s="65">
        <v>699</v>
      </c>
      <c r="K939" s="167">
        <v>40</v>
      </c>
      <c r="L939" s="167">
        <v>4500</v>
      </c>
      <c r="M939" s="167">
        <v>1</v>
      </c>
      <c r="N939" s="167">
        <v>1</v>
      </c>
      <c r="O939" s="167">
        <v>1</v>
      </c>
      <c r="P939" s="167">
        <v>1</v>
      </c>
      <c r="Q939" s="167">
        <v>1</v>
      </c>
      <c r="R939" s="167">
        <v>3</v>
      </c>
      <c r="S939" s="167" t="s">
        <v>923</v>
      </c>
      <c r="T939" s="167">
        <v>1</v>
      </c>
      <c r="U939" s="7" t="s">
        <v>169</v>
      </c>
      <c r="V939" s="7" t="s">
        <v>169</v>
      </c>
      <c r="W939" s="47" t="str">
        <f t="shared" ca="1" si="77"/>
        <v/>
      </c>
      <c r="X939" s="47">
        <f ca="1">VLOOKUP($C939,OFFSET(quests!$A$1,0,0,COUNTA(quests!$A:$A),MATCH(X$2,quests!$1:$1,0)-MATCH($C$2,quests!$1:$1,0)+1),MATCH(X$2,quests!$1:$1,0)-MATCH($C$2,quests!$1:$1,0)+1,FALSE)</f>
        <v>0</v>
      </c>
      <c r="Y939" s="47">
        <f ca="1">VLOOKUP($C939,OFFSET(quests!$A$1,0,0,COUNTA(quests!$A:$A),MATCH(Y$2,quests!$1:$1,0)-MATCH($C$2,quests!$1:$1,0)+1),MATCH(Y$2,quests!$1:$1,0)-MATCH($C$2,quests!$1:$1,0)+1,FALSE)</f>
        <v>0</v>
      </c>
      <c r="Z939" s="47">
        <f ca="1">VLOOKUP($C939,OFFSET(quests!$A$1,0,0,COUNTA(quests!$A:$A),MATCH(Z$2,quests!$1:$1,0)-MATCH($C$2,quests!$1:$1,0)+1),MATCH(Z$2,quests!$1:$1,0)-MATCH($C$2,quests!$1:$1,0)+1,FALSE)</f>
        <v>0</v>
      </c>
      <c r="AA939" s="47">
        <f ca="1">VLOOKUP($C939,OFFSET(quests!$A$1,0,0,COUNTA(quests!$A:$A),MATCH(AA$2,quests!$1:$1,0)-MATCH($C$2,quests!$1:$1,0)+1),MATCH(AA$2,quests!$1:$1,0)-MATCH($C$2,quests!$1:$1,0)+1,FALSE)</f>
        <v>0</v>
      </c>
      <c r="AB939" s="7" t="s">
        <v>56</v>
      </c>
      <c r="AC939" s="7">
        <v>917</v>
      </c>
      <c r="AD939" s="7">
        <v>6</v>
      </c>
      <c r="AE939" s="7" t="s">
        <v>519</v>
      </c>
      <c r="AF939" s="7">
        <v>40</v>
      </c>
      <c r="AG939" s="7">
        <v>40</v>
      </c>
      <c r="AH939" s="7">
        <v>0</v>
      </c>
      <c r="AI939" s="7">
        <v>0</v>
      </c>
      <c r="AJ939" s="7">
        <v>-1</v>
      </c>
      <c r="AK939" s="7" t="s">
        <v>1065</v>
      </c>
      <c r="AL939" s="12" t="s">
        <v>1695</v>
      </c>
      <c r="AM939" s="12" t="s">
        <v>2072</v>
      </c>
    </row>
    <row r="940" spans="1:39" ht="21" customHeight="1" x14ac:dyDescent="0.15">
      <c r="A940" s="42" t="str">
        <f t="shared" si="53"/>
        <v>49003_1</v>
      </c>
      <c r="B940" s="23">
        <v>3</v>
      </c>
      <c r="C940" s="31">
        <v>49003</v>
      </c>
      <c r="D940" s="47" t="str">
        <f ca="1">VLOOKUP($C940,OFFSET(quests!$A$1,0,0,COUNTA(quests!$A:$A),MATCH(D$1,quests!$1:$1,0)-MATCH($C$2,quests!$1:$1,0)+1),MATCH(D$1,quests!$1:$1,0)-MATCH($C$2,quests!$1:$1,0)+1,FALSE)</f>
        <v>折原臨也襲来！</v>
      </c>
      <c r="E940" s="48" t="str">
        <f ca="1">VLOOKUP($C940,OFFSET(quests!$A$1,0,0,COUNTA(quests!$A:$A),MATCH(E$2,quests!$1:$1,0)-MATCH($C$2,quests!$1:$1,0)+1),MATCH(E$2,quests!$1:$1,0)-MATCH($C$2,quests!$1:$1,0)+1,FALSE)</f>
        <v>コラボ降臨3</v>
      </c>
      <c r="F940" s="7">
        <v>1</v>
      </c>
      <c r="G940" s="7" t="s">
        <v>570</v>
      </c>
      <c r="H940" s="12" t="s">
        <v>1110</v>
      </c>
      <c r="I940" s="12" t="s">
        <v>849</v>
      </c>
      <c r="J940" s="65">
        <v>701</v>
      </c>
      <c r="K940" s="167">
        <v>40</v>
      </c>
      <c r="L940" s="167">
        <v>4500</v>
      </c>
      <c r="M940" s="167">
        <v>1</v>
      </c>
      <c r="N940" s="167">
        <v>1</v>
      </c>
      <c r="O940" s="167">
        <v>1</v>
      </c>
      <c r="P940" s="167">
        <v>1</v>
      </c>
      <c r="Q940" s="167">
        <v>1</v>
      </c>
      <c r="R940" s="167">
        <v>3</v>
      </c>
      <c r="S940" s="167" t="s">
        <v>923</v>
      </c>
      <c r="T940" s="167">
        <v>1</v>
      </c>
      <c r="U940" s="7" t="s">
        <v>169</v>
      </c>
      <c r="V940" s="7" t="s">
        <v>169</v>
      </c>
      <c r="W940" s="47" t="str">
        <f t="shared" ca="1" si="77"/>
        <v/>
      </c>
      <c r="X940" s="47">
        <f ca="1">VLOOKUP($C940,OFFSET(quests!$A$1,0,0,COUNTA(quests!$A:$A),MATCH(X$2,quests!$1:$1,0)-MATCH($C$2,quests!$1:$1,0)+1),MATCH(X$2,quests!$1:$1,0)-MATCH($C$2,quests!$1:$1,0)+1,FALSE)</f>
        <v>0</v>
      </c>
      <c r="Y940" s="47">
        <f ca="1">VLOOKUP($C940,OFFSET(quests!$A$1,0,0,COUNTA(quests!$A:$A),MATCH(Y$2,quests!$1:$1,0)-MATCH($C$2,quests!$1:$1,0)+1),MATCH(Y$2,quests!$1:$1,0)-MATCH($C$2,quests!$1:$1,0)+1,FALSE)</f>
        <v>0</v>
      </c>
      <c r="Z940" s="47">
        <f ca="1">VLOOKUP($C940,OFFSET(quests!$A$1,0,0,COUNTA(quests!$A:$A),MATCH(Z$2,quests!$1:$1,0)-MATCH($C$2,quests!$1:$1,0)+1),MATCH(Z$2,quests!$1:$1,0)-MATCH($C$2,quests!$1:$1,0)+1,FALSE)</f>
        <v>0</v>
      </c>
      <c r="AA940" s="47">
        <f ca="1">VLOOKUP($C940,OFFSET(quests!$A$1,0,0,COUNTA(quests!$A:$A),MATCH(AA$2,quests!$1:$1,0)-MATCH($C$2,quests!$1:$1,0)+1),MATCH(AA$2,quests!$1:$1,0)-MATCH($C$2,quests!$1:$1,0)+1,FALSE)</f>
        <v>0</v>
      </c>
      <c r="AB940" s="7" t="s">
        <v>56</v>
      </c>
      <c r="AC940" s="7">
        <v>918</v>
      </c>
      <c r="AD940" s="7">
        <v>6</v>
      </c>
      <c r="AE940" s="7" t="s">
        <v>519</v>
      </c>
      <c r="AF940" s="7">
        <v>40</v>
      </c>
      <c r="AG940" s="7">
        <v>40</v>
      </c>
      <c r="AH940" s="7">
        <v>0</v>
      </c>
      <c r="AI940" s="7">
        <v>-1</v>
      </c>
      <c r="AJ940" s="7">
        <v>-1</v>
      </c>
      <c r="AK940" s="7" t="s">
        <v>1065</v>
      </c>
      <c r="AL940" s="12" t="s">
        <v>1695</v>
      </c>
      <c r="AM940" s="12" t="s">
        <v>2072</v>
      </c>
    </row>
    <row r="941" spans="1:39" ht="21" customHeight="1" x14ac:dyDescent="0.15">
      <c r="A941" s="42" t="str">
        <f t="shared" si="53"/>
        <v>49003_2</v>
      </c>
      <c r="B941" s="23">
        <v>3</v>
      </c>
      <c r="C941" s="31">
        <v>49003</v>
      </c>
      <c r="D941" s="47" t="str">
        <f ca="1">VLOOKUP($C941,OFFSET(quests!$A$1,0,0,COUNTA(quests!$A:$A),MATCH(D$1,quests!$1:$1,0)-MATCH($C$2,quests!$1:$1,0)+1),MATCH(D$1,quests!$1:$1,0)-MATCH($C$2,quests!$1:$1,0)+1,FALSE)</f>
        <v>折原臨也襲来！</v>
      </c>
      <c r="E941" s="48" t="str">
        <f ca="1">VLOOKUP($C941,OFFSET(quests!$A$1,0,0,COUNTA(quests!$A:$A),MATCH(E$2,quests!$1:$1,0)-MATCH($C$2,quests!$1:$1,0)+1),MATCH(E$2,quests!$1:$1,0)-MATCH($C$2,quests!$1:$1,0)+1,FALSE)</f>
        <v>コラボ降臨3</v>
      </c>
      <c r="F941" s="7">
        <v>2</v>
      </c>
      <c r="G941" s="7" t="s">
        <v>570</v>
      </c>
      <c r="H941" s="12" t="s">
        <v>1119</v>
      </c>
      <c r="I941" s="12" t="s">
        <v>849</v>
      </c>
      <c r="J941" s="65">
        <v>701</v>
      </c>
      <c r="K941" s="167">
        <v>40</v>
      </c>
      <c r="L941" s="167">
        <v>4500</v>
      </c>
      <c r="M941" s="167">
        <v>1</v>
      </c>
      <c r="N941" s="167">
        <v>1</v>
      </c>
      <c r="O941" s="167">
        <v>1</v>
      </c>
      <c r="P941" s="167">
        <v>1</v>
      </c>
      <c r="Q941" s="167">
        <v>1</v>
      </c>
      <c r="R941" s="167">
        <v>3</v>
      </c>
      <c r="S941" s="167" t="s">
        <v>923</v>
      </c>
      <c r="T941" s="167">
        <v>1</v>
      </c>
      <c r="U941" s="7" t="s">
        <v>169</v>
      </c>
      <c r="V941" s="7" t="s">
        <v>169</v>
      </c>
      <c r="W941" s="47" t="str">
        <f t="shared" ca="1" si="77"/>
        <v/>
      </c>
      <c r="X941" s="47">
        <f ca="1">VLOOKUP($C941,OFFSET(quests!$A$1,0,0,COUNTA(quests!$A:$A),MATCH(X$2,quests!$1:$1,0)-MATCH($C$2,quests!$1:$1,0)+1),MATCH(X$2,quests!$1:$1,0)-MATCH($C$2,quests!$1:$1,0)+1,FALSE)</f>
        <v>0</v>
      </c>
      <c r="Y941" s="47">
        <f ca="1">VLOOKUP($C941,OFFSET(quests!$A$1,0,0,COUNTA(quests!$A:$A),MATCH(Y$2,quests!$1:$1,0)-MATCH($C$2,quests!$1:$1,0)+1),MATCH(Y$2,quests!$1:$1,0)-MATCH($C$2,quests!$1:$1,0)+1,FALSE)</f>
        <v>0</v>
      </c>
      <c r="Z941" s="47">
        <f ca="1">VLOOKUP($C941,OFFSET(quests!$A$1,0,0,COUNTA(quests!$A:$A),MATCH(Z$2,quests!$1:$1,0)-MATCH($C$2,quests!$1:$1,0)+1),MATCH(Z$2,quests!$1:$1,0)-MATCH($C$2,quests!$1:$1,0)+1,FALSE)</f>
        <v>0</v>
      </c>
      <c r="AA941" s="47">
        <f ca="1">VLOOKUP($C941,OFFSET(quests!$A$1,0,0,COUNTA(quests!$A:$A),MATCH(AA$2,quests!$1:$1,0)-MATCH($C$2,quests!$1:$1,0)+1),MATCH(AA$2,quests!$1:$1,0)-MATCH($C$2,quests!$1:$1,0)+1,FALSE)</f>
        <v>0</v>
      </c>
      <c r="AB941" s="7" t="s">
        <v>56</v>
      </c>
      <c r="AC941" s="7">
        <v>918</v>
      </c>
      <c r="AD941" s="7">
        <v>6</v>
      </c>
      <c r="AE941" s="7" t="s">
        <v>519</v>
      </c>
      <c r="AF941" s="7">
        <v>40</v>
      </c>
      <c r="AG941" s="7">
        <v>40</v>
      </c>
      <c r="AH941" s="7">
        <v>0</v>
      </c>
      <c r="AI941" s="7">
        <v>0</v>
      </c>
      <c r="AJ941" s="7">
        <v>-1</v>
      </c>
      <c r="AK941" s="7" t="s">
        <v>1065</v>
      </c>
      <c r="AL941" s="12" t="s">
        <v>1695</v>
      </c>
      <c r="AM941" s="12" t="s">
        <v>2072</v>
      </c>
    </row>
    <row r="942" spans="1:39" ht="21" customHeight="1" x14ac:dyDescent="0.15">
      <c r="A942" s="42" t="str">
        <f t="shared" si="53"/>
        <v>49004_1</v>
      </c>
      <c r="B942" s="23">
        <v>3</v>
      </c>
      <c r="C942" s="31">
        <v>49004</v>
      </c>
      <c r="D942" s="47" t="str">
        <f ca="1">VLOOKUP($C942,OFFSET(quests!$A$1,0,0,COUNTA(quests!$A:$A),MATCH(D$1,quests!$1:$1,0)-MATCH($C$2,quests!$1:$1,0)+1),MATCH(D$1,quests!$1:$1,0)-MATCH($C$2,quests!$1:$1,0)+1,FALSE)</f>
        <v>サンリオ好きなのだーれだ♪</v>
      </c>
      <c r="E942" s="48" t="str">
        <f ca="1">VLOOKUP($C942,OFFSET(quests!$A$1,0,0,COUNTA(quests!$A:$A),MATCH(E$2,quests!$1:$1,0)-MATCH($C$2,quests!$1:$1,0)+1),MATCH(E$2,quests!$1:$1,0)-MATCH($C$2,quests!$1:$1,0)+1,FALSE)</f>
        <v>コラボ降臨4</v>
      </c>
      <c r="F942" s="7">
        <v>1</v>
      </c>
      <c r="G942" s="7" t="s">
        <v>570</v>
      </c>
      <c r="H942" s="12" t="s">
        <v>1321</v>
      </c>
      <c r="I942" s="12" t="s">
        <v>849</v>
      </c>
      <c r="J942" s="65">
        <v>0</v>
      </c>
      <c r="K942" s="167">
        <v>35</v>
      </c>
      <c r="L942" s="167">
        <v>4200</v>
      </c>
      <c r="M942" s="167">
        <v>1</v>
      </c>
      <c r="N942" s="167">
        <v>1</v>
      </c>
      <c r="O942" s="167">
        <v>1</v>
      </c>
      <c r="P942" s="167">
        <v>1</v>
      </c>
      <c r="Q942" s="167">
        <v>1</v>
      </c>
      <c r="R942" s="167">
        <v>3</v>
      </c>
      <c r="S942" s="167" t="s">
        <v>526</v>
      </c>
      <c r="T942" s="167">
        <v>1</v>
      </c>
      <c r="U942" s="7" t="s">
        <v>169</v>
      </c>
      <c r="V942" s="7" t="s">
        <v>169</v>
      </c>
      <c r="W942" s="47" t="str">
        <f t="shared" ca="1" si="77"/>
        <v/>
      </c>
      <c r="X942" s="47">
        <f ca="1">VLOOKUP($C942,OFFSET(quests!$A$1,0,0,COUNTA(quests!$A:$A),MATCH(X$2,quests!$1:$1,0)-MATCH($C$2,quests!$1:$1,0)+1),MATCH(X$2,quests!$1:$1,0)-MATCH($C$2,quests!$1:$1,0)+1,FALSE)</f>
        <v>0</v>
      </c>
      <c r="Y942" s="47">
        <f ca="1">VLOOKUP($C942,OFFSET(quests!$A$1,0,0,COUNTA(quests!$A:$A),MATCH(Y$2,quests!$1:$1,0)-MATCH($C$2,quests!$1:$1,0)+1),MATCH(Y$2,quests!$1:$1,0)-MATCH($C$2,quests!$1:$1,0)+1,FALSE)</f>
        <v>0</v>
      </c>
      <c r="Z942" s="47">
        <f ca="1">VLOOKUP($C942,OFFSET(quests!$A$1,0,0,COUNTA(quests!$A:$A),MATCH(Z$2,quests!$1:$1,0)-MATCH($C$2,quests!$1:$1,0)+1),MATCH(Z$2,quests!$1:$1,0)-MATCH($C$2,quests!$1:$1,0)+1,FALSE)</f>
        <v>0</v>
      </c>
      <c r="AA942" s="47">
        <f ca="1">VLOOKUP($C942,OFFSET(quests!$A$1,0,0,COUNTA(quests!$A:$A),MATCH(AA$2,quests!$1:$1,0)-MATCH($C$2,quests!$1:$1,0)+1),MATCH(AA$2,quests!$1:$1,0)-MATCH($C$2,quests!$1:$1,0)+1,FALSE)</f>
        <v>0</v>
      </c>
      <c r="AB942" s="7" t="s">
        <v>56</v>
      </c>
      <c r="AC942" s="7">
        <v>934</v>
      </c>
      <c r="AD942" s="7">
        <v>6</v>
      </c>
      <c r="AE942" s="7" t="s">
        <v>519</v>
      </c>
      <c r="AF942" s="7">
        <v>40</v>
      </c>
      <c r="AG942" s="7">
        <v>40</v>
      </c>
      <c r="AH942" s="7">
        <v>0</v>
      </c>
      <c r="AI942" s="7">
        <v>-1</v>
      </c>
      <c r="AJ942" s="7">
        <v>-1</v>
      </c>
      <c r="AK942" s="7" t="s">
        <v>1065</v>
      </c>
      <c r="AL942" s="12" t="s">
        <v>1695</v>
      </c>
      <c r="AM942" s="12" t="s">
        <v>2072</v>
      </c>
    </row>
    <row r="943" spans="1:39" ht="21" customHeight="1" x14ac:dyDescent="0.15">
      <c r="A943" s="42" t="str">
        <f t="shared" si="53"/>
        <v>49004_2</v>
      </c>
      <c r="B943" s="23">
        <v>3</v>
      </c>
      <c r="C943" s="31">
        <v>49004</v>
      </c>
      <c r="D943" s="47" t="str">
        <f ca="1">VLOOKUP($C943,OFFSET(quests!$A$1,0,0,COUNTA(quests!$A:$A),MATCH(D$1,quests!$1:$1,0)-MATCH($C$2,quests!$1:$1,0)+1),MATCH(D$1,quests!$1:$1,0)-MATCH($C$2,quests!$1:$1,0)+1,FALSE)</f>
        <v>サンリオ好きなのだーれだ♪</v>
      </c>
      <c r="E943" s="48" t="str">
        <f ca="1">VLOOKUP($C943,OFFSET(quests!$A$1,0,0,COUNTA(quests!$A:$A),MATCH(E$2,quests!$1:$1,0)-MATCH($C$2,quests!$1:$1,0)+1),MATCH(E$2,quests!$1:$1,0)-MATCH($C$2,quests!$1:$1,0)+1,FALSE)</f>
        <v>コラボ降臨4</v>
      </c>
      <c r="F943" s="7">
        <v>2</v>
      </c>
      <c r="G943" s="7" t="s">
        <v>570</v>
      </c>
      <c r="H943" s="12" t="s">
        <v>2016</v>
      </c>
      <c r="I943" s="12" t="s">
        <v>849</v>
      </c>
      <c r="J943" s="65">
        <v>0</v>
      </c>
      <c r="K943" s="167">
        <v>40</v>
      </c>
      <c r="L943" s="167">
        <v>4500</v>
      </c>
      <c r="M943" s="167">
        <v>1</v>
      </c>
      <c r="N943" s="167">
        <v>1</v>
      </c>
      <c r="O943" s="167">
        <v>1</v>
      </c>
      <c r="P943" s="167">
        <v>1</v>
      </c>
      <c r="Q943" s="167">
        <v>1</v>
      </c>
      <c r="R943" s="167">
        <v>3</v>
      </c>
      <c r="S943" s="167" t="s">
        <v>526</v>
      </c>
      <c r="T943" s="167">
        <v>1</v>
      </c>
      <c r="U943" s="7" t="s">
        <v>169</v>
      </c>
      <c r="V943" s="7" t="s">
        <v>169</v>
      </c>
      <c r="W943" s="47" t="str">
        <f t="shared" ca="1" si="77"/>
        <v/>
      </c>
      <c r="X943" s="47">
        <f ca="1">VLOOKUP($C943,OFFSET(quests!$A$1,0,0,COUNTA(quests!$A:$A),MATCH(X$2,quests!$1:$1,0)-MATCH($C$2,quests!$1:$1,0)+1),MATCH(X$2,quests!$1:$1,0)-MATCH($C$2,quests!$1:$1,0)+1,FALSE)</f>
        <v>0</v>
      </c>
      <c r="Y943" s="47">
        <f ca="1">VLOOKUP($C943,OFFSET(quests!$A$1,0,0,COUNTA(quests!$A:$A),MATCH(Y$2,quests!$1:$1,0)-MATCH($C$2,quests!$1:$1,0)+1),MATCH(Y$2,quests!$1:$1,0)-MATCH($C$2,quests!$1:$1,0)+1,FALSE)</f>
        <v>0</v>
      </c>
      <c r="Z943" s="47">
        <f ca="1">VLOOKUP($C943,OFFSET(quests!$A$1,0,0,COUNTA(quests!$A:$A),MATCH(Z$2,quests!$1:$1,0)-MATCH($C$2,quests!$1:$1,0)+1),MATCH(Z$2,quests!$1:$1,0)-MATCH($C$2,quests!$1:$1,0)+1,FALSE)</f>
        <v>0</v>
      </c>
      <c r="AA943" s="47">
        <f ca="1">VLOOKUP($C943,OFFSET(quests!$A$1,0,0,COUNTA(quests!$A:$A),MATCH(AA$2,quests!$1:$1,0)-MATCH($C$2,quests!$1:$1,0)+1),MATCH(AA$2,quests!$1:$1,0)-MATCH($C$2,quests!$1:$1,0)+1,FALSE)</f>
        <v>0</v>
      </c>
      <c r="AB943" s="7" t="s">
        <v>56</v>
      </c>
      <c r="AC943" s="7">
        <v>934</v>
      </c>
      <c r="AD943" s="7">
        <v>6</v>
      </c>
      <c r="AE943" s="7" t="s">
        <v>519</v>
      </c>
      <c r="AF943" s="7">
        <v>40</v>
      </c>
      <c r="AG943" s="7">
        <v>40</v>
      </c>
      <c r="AH943" s="7">
        <v>0</v>
      </c>
      <c r="AI943" s="7">
        <v>-1</v>
      </c>
      <c r="AJ943" s="7">
        <v>-1</v>
      </c>
      <c r="AK943" s="7" t="s">
        <v>1065</v>
      </c>
      <c r="AL943" s="12" t="s">
        <v>1695</v>
      </c>
      <c r="AM943" s="12" t="s">
        <v>2072</v>
      </c>
    </row>
    <row r="944" spans="1:39" ht="21" customHeight="1" x14ac:dyDescent="0.15">
      <c r="A944" s="42" t="str">
        <f t="shared" si="53"/>
        <v>49004_3</v>
      </c>
      <c r="B944" s="23">
        <v>3</v>
      </c>
      <c r="C944" s="31">
        <v>49004</v>
      </c>
      <c r="D944" s="47" t="str">
        <f ca="1">VLOOKUP($C944,OFFSET(quests!$A$1,0,0,COUNTA(quests!$A:$A),MATCH(D$1,quests!$1:$1,0)-MATCH($C$2,quests!$1:$1,0)+1),MATCH(D$1,quests!$1:$1,0)-MATCH($C$2,quests!$1:$1,0)+1,FALSE)</f>
        <v>サンリオ好きなのだーれだ♪</v>
      </c>
      <c r="E944" s="48" t="str">
        <f ca="1">VLOOKUP($C944,OFFSET(quests!$A$1,0,0,COUNTA(quests!$A:$A),MATCH(E$2,quests!$1:$1,0)-MATCH($C$2,quests!$1:$1,0)+1),MATCH(E$2,quests!$1:$1,0)-MATCH($C$2,quests!$1:$1,0)+1,FALSE)</f>
        <v>コラボ降臨4</v>
      </c>
      <c r="F944" s="7">
        <v>3</v>
      </c>
      <c r="G944" s="7" t="s">
        <v>382</v>
      </c>
      <c r="H944" s="12" t="s">
        <v>1322</v>
      </c>
      <c r="I944" s="12" t="s">
        <v>849</v>
      </c>
      <c r="J944" s="65">
        <v>0</v>
      </c>
      <c r="K944" s="167">
        <v>40</v>
      </c>
      <c r="L944" s="167">
        <v>4500</v>
      </c>
      <c r="M944" s="167">
        <v>1</v>
      </c>
      <c r="N944" s="167">
        <v>1</v>
      </c>
      <c r="O944" s="167">
        <v>1</v>
      </c>
      <c r="P944" s="167">
        <v>1</v>
      </c>
      <c r="Q944" s="167">
        <v>1</v>
      </c>
      <c r="R944" s="167">
        <v>3</v>
      </c>
      <c r="S944" s="167" t="s">
        <v>526</v>
      </c>
      <c r="T944" s="167">
        <v>1</v>
      </c>
      <c r="U944" s="7" t="s">
        <v>169</v>
      </c>
      <c r="V944" s="7" t="s">
        <v>169</v>
      </c>
      <c r="W944" s="47" t="str">
        <f t="shared" ca="1" si="77"/>
        <v/>
      </c>
      <c r="X944" s="47">
        <f ca="1">VLOOKUP($C944,OFFSET(quests!$A$1,0,0,COUNTA(quests!$A:$A),MATCH(X$2,quests!$1:$1,0)-MATCH($C$2,quests!$1:$1,0)+1),MATCH(X$2,quests!$1:$1,0)-MATCH($C$2,quests!$1:$1,0)+1,FALSE)</f>
        <v>0</v>
      </c>
      <c r="Y944" s="47">
        <f ca="1">VLOOKUP($C944,OFFSET(quests!$A$1,0,0,COUNTA(quests!$A:$A),MATCH(Y$2,quests!$1:$1,0)-MATCH($C$2,quests!$1:$1,0)+1),MATCH(Y$2,quests!$1:$1,0)-MATCH($C$2,quests!$1:$1,0)+1,FALSE)</f>
        <v>0</v>
      </c>
      <c r="Z944" s="47">
        <f ca="1">VLOOKUP($C944,OFFSET(quests!$A$1,0,0,COUNTA(quests!$A:$A),MATCH(Z$2,quests!$1:$1,0)-MATCH($C$2,quests!$1:$1,0)+1),MATCH(Z$2,quests!$1:$1,0)-MATCH($C$2,quests!$1:$1,0)+1,FALSE)</f>
        <v>0</v>
      </c>
      <c r="AA944" s="47">
        <f ca="1">VLOOKUP($C944,OFFSET(quests!$A$1,0,0,COUNTA(quests!$A:$A),MATCH(AA$2,quests!$1:$1,0)-MATCH($C$2,quests!$1:$1,0)+1),MATCH(AA$2,quests!$1:$1,0)-MATCH($C$2,quests!$1:$1,0)+1,FALSE)</f>
        <v>0</v>
      </c>
      <c r="AB944" s="7" t="s">
        <v>56</v>
      </c>
      <c r="AC944" s="7">
        <v>934</v>
      </c>
      <c r="AD944" s="7">
        <v>6</v>
      </c>
      <c r="AE944" s="7" t="s">
        <v>519</v>
      </c>
      <c r="AF944" s="7">
        <v>40</v>
      </c>
      <c r="AG944" s="7">
        <v>40</v>
      </c>
      <c r="AH944" s="7">
        <v>0</v>
      </c>
      <c r="AI944" s="7">
        <v>0</v>
      </c>
      <c r="AJ944" s="7">
        <v>-1</v>
      </c>
      <c r="AK944" s="7" t="s">
        <v>1065</v>
      </c>
      <c r="AL944" s="12" t="s">
        <v>1695</v>
      </c>
      <c r="AM944" s="12" t="s">
        <v>2072</v>
      </c>
    </row>
    <row r="945" spans="1:39" ht="21" customHeight="1" x14ac:dyDescent="0.15">
      <c r="A945" s="42" t="str">
        <f t="shared" si="53"/>
        <v>49005_1</v>
      </c>
      <c r="B945" s="23">
        <v>1</v>
      </c>
      <c r="C945" s="31">
        <v>49005</v>
      </c>
      <c r="D945" s="47" t="str">
        <f ca="1">VLOOKUP($C945,OFFSET(quests!$A$1,0,0,COUNTA(quests!$A:$A),MATCH(D$1,quests!$1:$1,0)-MATCH($C$2,quests!$1:$1,0)+1),MATCH(D$1,quests!$1:$1,0)-MATCH($C$2,quests!$1:$1,0)+1,FALSE)</f>
        <v>襲来クエスト</v>
      </c>
      <c r="E945" s="48" t="str">
        <f ca="1">VLOOKUP($C945,OFFSET(quests!$A$1,0,0,COUNTA(quests!$A:$A),MATCH(E$2,quests!$1:$1,0)-MATCH($C$2,quests!$1:$1,0)+1),MATCH(E$2,quests!$1:$1,0)-MATCH($C$2,quests!$1:$1,0)+1,FALSE)</f>
        <v>コラボ降臨5</v>
      </c>
      <c r="F945" s="7">
        <v>1</v>
      </c>
      <c r="G945" s="7" t="s">
        <v>570</v>
      </c>
      <c r="H945" s="12" t="s">
        <v>1307</v>
      </c>
      <c r="I945" s="12" t="s">
        <v>849</v>
      </c>
      <c r="J945" s="65">
        <v>8013</v>
      </c>
      <c r="K945" s="167">
        <v>40</v>
      </c>
      <c r="L945" s="167">
        <v>4200</v>
      </c>
      <c r="M945" s="167">
        <v>1</v>
      </c>
      <c r="N945" s="167">
        <v>1</v>
      </c>
      <c r="O945" s="167">
        <v>1</v>
      </c>
      <c r="P945" s="167">
        <v>1</v>
      </c>
      <c r="Q945" s="167">
        <v>1</v>
      </c>
      <c r="R945" s="167">
        <v>3</v>
      </c>
      <c r="S945" s="167" t="s">
        <v>384</v>
      </c>
      <c r="T945" s="167">
        <v>1</v>
      </c>
      <c r="U945" s="7" t="s">
        <v>169</v>
      </c>
      <c r="V945" s="7" t="s">
        <v>169</v>
      </c>
      <c r="W945" s="47" t="str">
        <f t="shared" ca="1" si="77"/>
        <v/>
      </c>
      <c r="X945" s="47">
        <f ca="1">VLOOKUP($C945,OFFSET(quests!$A$1,0,0,COUNTA(quests!$A:$A),MATCH(X$2,quests!$1:$1,0)-MATCH($C$2,quests!$1:$1,0)+1),MATCH(X$2,quests!$1:$1,0)-MATCH($C$2,quests!$1:$1,0)+1,FALSE)</f>
        <v>0</v>
      </c>
      <c r="Y945" s="47">
        <f ca="1">VLOOKUP($C945,OFFSET(quests!$A$1,0,0,COUNTA(quests!$A:$A),MATCH(Y$2,quests!$1:$1,0)-MATCH($C$2,quests!$1:$1,0)+1),MATCH(Y$2,quests!$1:$1,0)-MATCH($C$2,quests!$1:$1,0)+1,FALSE)</f>
        <v>0</v>
      </c>
      <c r="Z945" s="47">
        <f ca="1">VLOOKUP($C945,OFFSET(quests!$A$1,0,0,COUNTA(quests!$A:$A),MATCH(Z$2,quests!$1:$1,0)-MATCH($C$2,quests!$1:$1,0)+1),MATCH(Z$2,quests!$1:$1,0)-MATCH($C$2,quests!$1:$1,0)+1,FALSE)</f>
        <v>0</v>
      </c>
      <c r="AA945" s="47">
        <f ca="1">VLOOKUP($C945,OFFSET(quests!$A$1,0,0,COUNTA(quests!$A:$A),MATCH(AA$2,quests!$1:$1,0)-MATCH($C$2,quests!$1:$1,0)+1),MATCH(AA$2,quests!$1:$1,0)-MATCH($C$2,quests!$1:$1,0)+1,FALSE)</f>
        <v>0</v>
      </c>
      <c r="AB945" s="7" t="s">
        <v>56</v>
      </c>
      <c r="AC945" s="7">
        <v>910</v>
      </c>
      <c r="AD945" s="7">
        <v>6</v>
      </c>
      <c r="AE945" s="7" t="s">
        <v>519</v>
      </c>
      <c r="AF945" s="7">
        <v>3900</v>
      </c>
      <c r="AG945" s="7">
        <v>40</v>
      </c>
      <c r="AH945" s="7">
        <v>0</v>
      </c>
      <c r="AI945" s="7">
        <v>1</v>
      </c>
      <c r="AJ945" s="7">
        <v>-1</v>
      </c>
      <c r="AK945" s="7" t="s">
        <v>1065</v>
      </c>
      <c r="AL945" s="12" t="s">
        <v>1695</v>
      </c>
      <c r="AM945" s="12" t="s">
        <v>2072</v>
      </c>
    </row>
    <row r="946" spans="1:39" ht="21" customHeight="1" x14ac:dyDescent="0.15">
      <c r="A946" s="42" t="str">
        <f t="shared" si="53"/>
        <v>49006_1</v>
      </c>
      <c r="B946" s="23">
        <v>3</v>
      </c>
      <c r="C946" s="31">
        <v>49006</v>
      </c>
      <c r="D946" s="47" t="str">
        <f ca="1">VLOOKUP($C946,OFFSET(quests!$A$1,0,0,COUNTA(quests!$A:$A),MATCH(D$1,quests!$1:$1,0)-MATCH($C$2,quests!$1:$1,0)+1),MATCH(D$1,quests!$1:$1,0)-MATCH($C$2,quests!$1:$1,0)+1,FALSE)</f>
        <v>超大型巨人襲来！</v>
      </c>
      <c r="E946" s="48" t="str">
        <f ca="1">VLOOKUP($C946,OFFSET(quests!$A$1,0,0,COUNTA(quests!$A:$A),MATCH(E$2,quests!$1:$1,0)-MATCH($C$2,quests!$1:$1,0)+1),MATCH(E$2,quests!$1:$1,0)-MATCH($C$2,quests!$1:$1,0)+1,FALSE)</f>
        <v>コラボ降臨6</v>
      </c>
      <c r="F946" s="7">
        <v>1</v>
      </c>
      <c r="G946" s="7" t="s">
        <v>382</v>
      </c>
      <c r="H946" s="12" t="s">
        <v>1502</v>
      </c>
      <c r="I946" s="12" t="s">
        <v>849</v>
      </c>
      <c r="J946" s="65">
        <v>980</v>
      </c>
      <c r="K946" s="167">
        <v>35</v>
      </c>
      <c r="L946" s="167">
        <v>4200</v>
      </c>
      <c r="M946" s="167">
        <v>1</v>
      </c>
      <c r="N946" s="167">
        <v>1</v>
      </c>
      <c r="O946" s="167">
        <v>1</v>
      </c>
      <c r="P946" s="167">
        <v>1</v>
      </c>
      <c r="Q946" s="167">
        <v>1</v>
      </c>
      <c r="R946" s="167">
        <v>3</v>
      </c>
      <c r="S946" s="167" t="s">
        <v>526</v>
      </c>
      <c r="T946" s="167">
        <v>1</v>
      </c>
      <c r="U946" s="7" t="s">
        <v>169</v>
      </c>
      <c r="V946" s="7" t="s">
        <v>169</v>
      </c>
      <c r="W946" s="47" t="str">
        <f t="shared" ca="1" si="77"/>
        <v/>
      </c>
      <c r="X946" s="47">
        <f ca="1">VLOOKUP($C946,OFFSET(quests!$A$1,0,0,COUNTA(quests!$A:$A),MATCH(X$2,quests!$1:$1,0)-MATCH($C$2,quests!$1:$1,0)+1),MATCH(X$2,quests!$1:$1,0)-MATCH($C$2,quests!$1:$1,0)+1,FALSE)</f>
        <v>0</v>
      </c>
      <c r="Y946" s="47">
        <f ca="1">VLOOKUP($C946,OFFSET(quests!$A$1,0,0,COUNTA(quests!$A:$A),MATCH(Y$2,quests!$1:$1,0)-MATCH($C$2,quests!$1:$1,0)+1),MATCH(Y$2,quests!$1:$1,0)-MATCH($C$2,quests!$1:$1,0)+1,FALSE)</f>
        <v>0</v>
      </c>
      <c r="Z946" s="47">
        <f ca="1">VLOOKUP($C946,OFFSET(quests!$A$1,0,0,COUNTA(quests!$A:$A),MATCH(Z$2,quests!$1:$1,0)-MATCH($C$2,quests!$1:$1,0)+1),MATCH(Z$2,quests!$1:$1,0)-MATCH($C$2,quests!$1:$1,0)+1,FALSE)</f>
        <v>0</v>
      </c>
      <c r="AA946" s="47">
        <f ca="1">VLOOKUP($C946,OFFSET(quests!$A$1,0,0,COUNTA(quests!$A:$A),MATCH(AA$2,quests!$1:$1,0)-MATCH($C$2,quests!$1:$1,0)+1),MATCH(AA$2,quests!$1:$1,0)-MATCH($C$2,quests!$1:$1,0)+1,FALSE)</f>
        <v>0</v>
      </c>
      <c r="AB946" s="7" t="s">
        <v>56</v>
      </c>
      <c r="AC946" s="7">
        <v>937</v>
      </c>
      <c r="AD946" s="7">
        <v>6</v>
      </c>
      <c r="AE946" s="7" t="s">
        <v>519</v>
      </c>
      <c r="AF946" s="7">
        <v>40</v>
      </c>
      <c r="AG946" s="7">
        <v>40</v>
      </c>
      <c r="AH946" s="7">
        <v>0</v>
      </c>
      <c r="AI946" s="7">
        <v>-1</v>
      </c>
      <c r="AJ946" s="7">
        <v>-1</v>
      </c>
      <c r="AK946" s="7" t="s">
        <v>1065</v>
      </c>
      <c r="AL946" s="12" t="s">
        <v>1695</v>
      </c>
      <c r="AM946" s="12" t="s">
        <v>2072</v>
      </c>
    </row>
    <row r="947" spans="1:39" ht="21" customHeight="1" x14ac:dyDescent="0.15">
      <c r="A947" s="42" t="str">
        <f t="shared" si="53"/>
        <v>49006_2</v>
      </c>
      <c r="B947" s="23">
        <v>3</v>
      </c>
      <c r="C947" s="31">
        <v>49006</v>
      </c>
      <c r="D947" s="47" t="str">
        <f ca="1">VLOOKUP($C947,OFFSET(quests!$A$1,0,0,COUNTA(quests!$A:$A),MATCH(D$1,quests!$1:$1,0)-MATCH($C$2,quests!$1:$1,0)+1),MATCH(D$1,quests!$1:$1,0)-MATCH($C$2,quests!$1:$1,0)+1,FALSE)</f>
        <v>超大型巨人襲来！</v>
      </c>
      <c r="E947" s="48" t="str">
        <f ca="1">VLOOKUP($C947,OFFSET(quests!$A$1,0,0,COUNTA(quests!$A:$A),MATCH(E$2,quests!$1:$1,0)-MATCH($C$2,quests!$1:$1,0)+1),MATCH(E$2,quests!$1:$1,0)-MATCH($C$2,quests!$1:$1,0)+1,FALSE)</f>
        <v>コラボ降臨6</v>
      </c>
      <c r="F947" s="7">
        <v>2</v>
      </c>
      <c r="G947" s="7" t="s">
        <v>382</v>
      </c>
      <c r="H947" s="12" t="s">
        <v>1503</v>
      </c>
      <c r="I947" s="12" t="s">
        <v>849</v>
      </c>
      <c r="J947" s="65">
        <v>980</v>
      </c>
      <c r="K947" s="167">
        <v>40</v>
      </c>
      <c r="L947" s="167">
        <v>4500</v>
      </c>
      <c r="M947" s="167">
        <v>1</v>
      </c>
      <c r="N947" s="167">
        <v>1</v>
      </c>
      <c r="O947" s="167">
        <v>1</v>
      </c>
      <c r="P947" s="167">
        <v>1</v>
      </c>
      <c r="Q947" s="167">
        <v>1</v>
      </c>
      <c r="R947" s="167">
        <v>3</v>
      </c>
      <c r="S947" s="167" t="s">
        <v>526</v>
      </c>
      <c r="T947" s="167">
        <v>1</v>
      </c>
      <c r="U947" s="7" t="s">
        <v>169</v>
      </c>
      <c r="V947" s="7" t="s">
        <v>169</v>
      </c>
      <c r="W947" s="47" t="str">
        <f t="shared" ca="1" si="77"/>
        <v/>
      </c>
      <c r="X947" s="47">
        <f ca="1">VLOOKUP($C947,OFFSET(quests!$A$1,0,0,COUNTA(quests!$A:$A),MATCH(X$2,quests!$1:$1,0)-MATCH($C$2,quests!$1:$1,0)+1),MATCH(X$2,quests!$1:$1,0)-MATCH($C$2,quests!$1:$1,0)+1,FALSE)</f>
        <v>0</v>
      </c>
      <c r="Y947" s="47">
        <f ca="1">VLOOKUP($C947,OFFSET(quests!$A$1,0,0,COUNTA(quests!$A:$A),MATCH(Y$2,quests!$1:$1,0)-MATCH($C$2,quests!$1:$1,0)+1),MATCH(Y$2,quests!$1:$1,0)-MATCH($C$2,quests!$1:$1,0)+1,FALSE)</f>
        <v>0</v>
      </c>
      <c r="Z947" s="47">
        <f ca="1">VLOOKUP($C947,OFFSET(quests!$A$1,0,0,COUNTA(quests!$A:$A),MATCH(Z$2,quests!$1:$1,0)-MATCH($C$2,quests!$1:$1,0)+1),MATCH(Z$2,quests!$1:$1,0)-MATCH($C$2,quests!$1:$1,0)+1,FALSE)</f>
        <v>0</v>
      </c>
      <c r="AA947" s="47">
        <f ca="1">VLOOKUP($C947,OFFSET(quests!$A$1,0,0,COUNTA(quests!$A:$A),MATCH(AA$2,quests!$1:$1,0)-MATCH($C$2,quests!$1:$1,0)+1),MATCH(AA$2,quests!$1:$1,0)-MATCH($C$2,quests!$1:$1,0)+1,FALSE)</f>
        <v>0</v>
      </c>
      <c r="AB947" s="7" t="s">
        <v>56</v>
      </c>
      <c r="AC947" s="7">
        <v>937</v>
      </c>
      <c r="AD947" s="7">
        <v>6</v>
      </c>
      <c r="AE947" s="7" t="s">
        <v>519</v>
      </c>
      <c r="AF947" s="7">
        <v>40</v>
      </c>
      <c r="AG947" s="7">
        <v>40</v>
      </c>
      <c r="AH947" s="7">
        <v>0</v>
      </c>
      <c r="AI947" s="7">
        <v>-1</v>
      </c>
      <c r="AJ947" s="7">
        <v>-1</v>
      </c>
      <c r="AK947" s="7" t="s">
        <v>1065</v>
      </c>
      <c r="AL947" s="12" t="s">
        <v>1695</v>
      </c>
      <c r="AM947" s="12" t="s">
        <v>2072</v>
      </c>
    </row>
    <row r="948" spans="1:39" ht="21" customHeight="1" x14ac:dyDescent="0.15">
      <c r="A948" s="42" t="str">
        <f t="shared" si="53"/>
        <v>49007_1</v>
      </c>
      <c r="B948" s="23">
        <v>1</v>
      </c>
      <c r="C948" s="31">
        <v>49007</v>
      </c>
      <c r="D948" s="47" t="str">
        <f ca="1">VLOOKUP($C948,OFFSET(quests!$A$1,0,0,COUNTA(quests!$A:$A),MATCH(D$1,quests!$1:$1,0)-MATCH($C$2,quests!$1:$1,0)+1),MATCH(D$1,quests!$1:$1,0)-MATCH($C$2,quests!$1:$1,0)+1,FALSE)</f>
        <v>アザゼル（台）</v>
      </c>
      <c r="E948" s="48" t="str">
        <f ca="1">VLOOKUP($C948,OFFSET(quests!$A$1,0,0,COUNTA(quests!$A:$A),MATCH(E$2,quests!$1:$1,0)-MATCH($C$2,quests!$1:$1,0)+1),MATCH(E$2,quests!$1:$1,0)-MATCH($C$2,quests!$1:$1,0)+1,FALSE)</f>
        <v>コラボ降臨4</v>
      </c>
      <c r="F948" s="7">
        <v>1</v>
      </c>
      <c r="G948" s="7" t="s">
        <v>570</v>
      </c>
      <c r="H948" s="12" t="s">
        <v>1532</v>
      </c>
      <c r="I948" s="12" t="s">
        <v>849</v>
      </c>
      <c r="J948" s="65">
        <v>0</v>
      </c>
      <c r="K948" s="167">
        <v>35</v>
      </c>
      <c r="L948" s="167">
        <v>4200</v>
      </c>
      <c r="M948" s="167">
        <v>1</v>
      </c>
      <c r="N948" s="167">
        <v>1</v>
      </c>
      <c r="O948" s="167">
        <v>1</v>
      </c>
      <c r="P948" s="167">
        <v>1</v>
      </c>
      <c r="Q948" s="167">
        <v>1</v>
      </c>
      <c r="R948" s="167">
        <v>3</v>
      </c>
      <c r="S948" s="167" t="s">
        <v>385</v>
      </c>
      <c r="T948" s="167">
        <v>1</v>
      </c>
      <c r="U948" s="7" t="s">
        <v>169</v>
      </c>
      <c r="V948" s="7" t="s">
        <v>169</v>
      </c>
      <c r="W948" s="47" t="str">
        <f t="shared" ca="1" si="77"/>
        <v/>
      </c>
      <c r="X948" s="47">
        <f ca="1">VLOOKUP($C948,OFFSET(quests!$A$1,0,0,COUNTA(quests!$A:$A),MATCH(X$2,quests!$1:$1,0)-MATCH($C$2,quests!$1:$1,0)+1),MATCH(X$2,quests!$1:$1,0)-MATCH($C$2,quests!$1:$1,0)+1,FALSE)</f>
        <v>0</v>
      </c>
      <c r="Y948" s="47">
        <f ca="1">VLOOKUP($C948,OFFSET(quests!$A$1,0,0,COUNTA(quests!$A:$A),MATCH(Y$2,quests!$1:$1,0)-MATCH($C$2,quests!$1:$1,0)+1),MATCH(Y$2,quests!$1:$1,0)-MATCH($C$2,quests!$1:$1,0)+1,FALSE)</f>
        <v>0</v>
      </c>
      <c r="Z948" s="47">
        <f ca="1">VLOOKUP($C948,OFFSET(quests!$A$1,0,0,COUNTA(quests!$A:$A),MATCH(Z$2,quests!$1:$1,0)-MATCH($C$2,quests!$1:$1,0)+1),MATCH(Z$2,quests!$1:$1,0)-MATCH($C$2,quests!$1:$1,0)+1,FALSE)</f>
        <v>0</v>
      </c>
      <c r="AA948" s="47">
        <f ca="1">VLOOKUP($C948,OFFSET(quests!$A$1,0,0,COUNTA(quests!$A:$A),MATCH(AA$2,quests!$1:$1,0)-MATCH($C$2,quests!$1:$1,0)+1),MATCH(AA$2,quests!$1:$1,0)-MATCH($C$2,quests!$1:$1,0)+1,FALSE)</f>
        <v>0</v>
      </c>
      <c r="AB948" s="7" t="s">
        <v>56</v>
      </c>
      <c r="AC948" s="7">
        <v>934</v>
      </c>
      <c r="AD948" s="7">
        <v>6</v>
      </c>
      <c r="AE948" s="7" t="s">
        <v>519</v>
      </c>
      <c r="AF948" s="7">
        <v>40</v>
      </c>
      <c r="AG948" s="7">
        <v>40</v>
      </c>
      <c r="AH948" s="7">
        <v>0</v>
      </c>
      <c r="AI948" s="7">
        <v>-1</v>
      </c>
      <c r="AJ948" s="7">
        <v>-1</v>
      </c>
      <c r="AK948" s="7" t="s">
        <v>1065</v>
      </c>
      <c r="AL948" s="12" t="s">
        <v>1695</v>
      </c>
      <c r="AM948" s="12" t="s">
        <v>2072</v>
      </c>
    </row>
    <row r="949" spans="1:39" ht="21" customHeight="1" x14ac:dyDescent="0.15">
      <c r="A949" s="42" t="str">
        <f t="shared" si="53"/>
        <v>49007_2</v>
      </c>
      <c r="B949" s="23">
        <v>1</v>
      </c>
      <c r="C949" s="31">
        <v>49007</v>
      </c>
      <c r="D949" s="47" t="str">
        <f ca="1">VLOOKUP($C949,OFFSET(quests!$A$1,0,0,COUNTA(quests!$A:$A),MATCH(D$1,quests!$1:$1,0)-MATCH($C$2,quests!$1:$1,0)+1),MATCH(D$1,quests!$1:$1,0)-MATCH($C$2,quests!$1:$1,0)+1,FALSE)</f>
        <v>アザゼル（台）</v>
      </c>
      <c r="E949" s="48" t="str">
        <f ca="1">VLOOKUP($C949,OFFSET(quests!$A$1,0,0,COUNTA(quests!$A:$A),MATCH(E$2,quests!$1:$1,0)-MATCH($C$2,quests!$1:$1,0)+1),MATCH(E$2,quests!$1:$1,0)-MATCH($C$2,quests!$1:$1,0)+1,FALSE)</f>
        <v>コラボ降臨4</v>
      </c>
      <c r="F949" s="7">
        <v>2</v>
      </c>
      <c r="G949" s="7" t="s">
        <v>570</v>
      </c>
      <c r="H949" s="12" t="s">
        <v>1533</v>
      </c>
      <c r="I949" s="12" t="s">
        <v>849</v>
      </c>
      <c r="J949" s="65">
        <v>0</v>
      </c>
      <c r="K949" s="167">
        <v>40</v>
      </c>
      <c r="L949" s="167">
        <v>4500</v>
      </c>
      <c r="M949" s="167">
        <v>1</v>
      </c>
      <c r="N949" s="167">
        <v>1</v>
      </c>
      <c r="O949" s="167">
        <v>1</v>
      </c>
      <c r="P949" s="167">
        <v>1</v>
      </c>
      <c r="Q949" s="167">
        <v>1</v>
      </c>
      <c r="R949" s="167">
        <v>3</v>
      </c>
      <c r="S949" s="167" t="s">
        <v>385</v>
      </c>
      <c r="T949" s="167">
        <v>1</v>
      </c>
      <c r="U949" s="7" t="s">
        <v>169</v>
      </c>
      <c r="V949" s="7" t="s">
        <v>169</v>
      </c>
      <c r="W949" s="47" t="str">
        <f t="shared" ca="1" si="77"/>
        <v/>
      </c>
      <c r="X949" s="47">
        <f ca="1">VLOOKUP($C949,OFFSET(quests!$A$1,0,0,COUNTA(quests!$A:$A),MATCH(X$2,quests!$1:$1,0)-MATCH($C$2,quests!$1:$1,0)+1),MATCH(X$2,quests!$1:$1,0)-MATCH($C$2,quests!$1:$1,0)+1,FALSE)</f>
        <v>0</v>
      </c>
      <c r="Y949" s="47">
        <f ca="1">VLOOKUP($C949,OFFSET(quests!$A$1,0,0,COUNTA(quests!$A:$A),MATCH(Y$2,quests!$1:$1,0)-MATCH($C$2,quests!$1:$1,0)+1),MATCH(Y$2,quests!$1:$1,0)-MATCH($C$2,quests!$1:$1,0)+1,FALSE)</f>
        <v>0</v>
      </c>
      <c r="Z949" s="47">
        <f ca="1">VLOOKUP($C949,OFFSET(quests!$A$1,0,0,COUNTA(quests!$A:$A),MATCH(Z$2,quests!$1:$1,0)-MATCH($C$2,quests!$1:$1,0)+1),MATCH(Z$2,quests!$1:$1,0)-MATCH($C$2,quests!$1:$1,0)+1,FALSE)</f>
        <v>0</v>
      </c>
      <c r="AA949" s="47">
        <f ca="1">VLOOKUP($C949,OFFSET(quests!$A$1,0,0,COUNTA(quests!$A:$A),MATCH(AA$2,quests!$1:$1,0)-MATCH($C$2,quests!$1:$1,0)+1),MATCH(AA$2,quests!$1:$1,0)-MATCH($C$2,quests!$1:$1,0)+1,FALSE)</f>
        <v>0</v>
      </c>
      <c r="AB949" s="7" t="s">
        <v>56</v>
      </c>
      <c r="AC949" s="7">
        <v>934</v>
      </c>
      <c r="AD949" s="7">
        <v>6</v>
      </c>
      <c r="AE949" s="7" t="s">
        <v>519</v>
      </c>
      <c r="AF949" s="7">
        <v>40</v>
      </c>
      <c r="AG949" s="7">
        <v>40</v>
      </c>
      <c r="AH949" s="7">
        <v>0</v>
      </c>
      <c r="AI949" s="7">
        <v>-1</v>
      </c>
      <c r="AJ949" s="7">
        <v>-1</v>
      </c>
      <c r="AK949" s="7" t="s">
        <v>1065</v>
      </c>
      <c r="AL949" s="12" t="s">
        <v>1695</v>
      </c>
      <c r="AM949" s="12" t="s">
        <v>2072</v>
      </c>
    </row>
    <row r="950" spans="1:39" ht="21" customHeight="1" x14ac:dyDescent="0.15">
      <c r="A950" s="42" t="str">
        <f t="shared" si="53"/>
        <v>49007_3</v>
      </c>
      <c r="B950" s="23">
        <v>1</v>
      </c>
      <c r="C950" s="31">
        <v>49007</v>
      </c>
      <c r="D950" s="47" t="str">
        <f ca="1">VLOOKUP($C950,OFFSET(quests!$A$1,0,0,COUNTA(quests!$A:$A),MATCH(D$1,quests!$1:$1,0)-MATCH($C$2,quests!$1:$1,0)+1),MATCH(D$1,quests!$1:$1,0)-MATCH($C$2,quests!$1:$1,0)+1,FALSE)</f>
        <v>アザゼル（台）</v>
      </c>
      <c r="E950" s="48" t="str">
        <f ca="1">VLOOKUP($C950,OFFSET(quests!$A$1,0,0,COUNTA(quests!$A:$A),MATCH(E$2,quests!$1:$1,0)-MATCH($C$2,quests!$1:$1,0)+1),MATCH(E$2,quests!$1:$1,0)-MATCH($C$2,quests!$1:$1,0)+1,FALSE)</f>
        <v>コラボ降臨4</v>
      </c>
      <c r="F950" s="7">
        <v>3</v>
      </c>
      <c r="G950" s="7" t="s">
        <v>382</v>
      </c>
      <c r="H950" s="12" t="s">
        <v>1534</v>
      </c>
      <c r="I950" s="12" t="s">
        <v>849</v>
      </c>
      <c r="J950" s="65">
        <v>0</v>
      </c>
      <c r="K950" s="167">
        <v>40</v>
      </c>
      <c r="L950" s="167">
        <v>4500</v>
      </c>
      <c r="M950" s="167">
        <v>1</v>
      </c>
      <c r="N950" s="167">
        <v>1</v>
      </c>
      <c r="O950" s="167">
        <v>1</v>
      </c>
      <c r="P950" s="167">
        <v>1</v>
      </c>
      <c r="Q950" s="167">
        <v>1</v>
      </c>
      <c r="R950" s="167">
        <v>3</v>
      </c>
      <c r="S950" s="167" t="s">
        <v>385</v>
      </c>
      <c r="T950" s="167">
        <v>1</v>
      </c>
      <c r="U950" s="7" t="s">
        <v>169</v>
      </c>
      <c r="V950" s="7" t="s">
        <v>169</v>
      </c>
      <c r="W950" s="47" t="str">
        <f t="shared" ca="1" si="77"/>
        <v/>
      </c>
      <c r="X950" s="47">
        <f ca="1">VLOOKUP($C950,OFFSET(quests!$A$1,0,0,COUNTA(quests!$A:$A),MATCH(X$2,quests!$1:$1,0)-MATCH($C$2,quests!$1:$1,0)+1),MATCH(X$2,quests!$1:$1,0)-MATCH($C$2,quests!$1:$1,0)+1,FALSE)</f>
        <v>0</v>
      </c>
      <c r="Y950" s="47">
        <f ca="1">VLOOKUP($C950,OFFSET(quests!$A$1,0,0,COUNTA(quests!$A:$A),MATCH(Y$2,quests!$1:$1,0)-MATCH($C$2,quests!$1:$1,0)+1),MATCH(Y$2,quests!$1:$1,0)-MATCH($C$2,quests!$1:$1,0)+1,FALSE)</f>
        <v>0</v>
      </c>
      <c r="Z950" s="47">
        <f ca="1">VLOOKUP($C950,OFFSET(quests!$A$1,0,0,COUNTA(quests!$A:$A),MATCH(Z$2,quests!$1:$1,0)-MATCH($C$2,quests!$1:$1,0)+1),MATCH(Z$2,quests!$1:$1,0)-MATCH($C$2,quests!$1:$1,0)+1,FALSE)</f>
        <v>0</v>
      </c>
      <c r="AA950" s="47">
        <f ca="1">VLOOKUP($C950,OFFSET(quests!$A$1,0,0,COUNTA(quests!$A:$A),MATCH(AA$2,quests!$1:$1,0)-MATCH($C$2,quests!$1:$1,0)+1),MATCH(AA$2,quests!$1:$1,0)-MATCH($C$2,quests!$1:$1,0)+1,FALSE)</f>
        <v>0</v>
      </c>
      <c r="AB950" s="7" t="s">
        <v>56</v>
      </c>
      <c r="AC950" s="7">
        <v>934</v>
      </c>
      <c r="AD950" s="7">
        <v>6</v>
      </c>
      <c r="AE950" s="7" t="s">
        <v>519</v>
      </c>
      <c r="AF950" s="7">
        <v>40</v>
      </c>
      <c r="AG950" s="7">
        <v>40</v>
      </c>
      <c r="AH950" s="7">
        <v>0</v>
      </c>
      <c r="AI950" s="7">
        <v>0</v>
      </c>
      <c r="AJ950" s="7">
        <v>-1</v>
      </c>
      <c r="AK950" s="7" t="s">
        <v>1065</v>
      </c>
      <c r="AL950" s="12" t="s">
        <v>1695</v>
      </c>
      <c r="AM950" s="12" t="s">
        <v>2072</v>
      </c>
    </row>
    <row r="951" spans="1:39" ht="21" customHeight="1" x14ac:dyDescent="0.15">
      <c r="A951" s="42" t="str">
        <f t="shared" ref="A951" si="85">C951&amp;"_"&amp;F951</f>
        <v>49008_1</v>
      </c>
      <c r="B951" s="23">
        <v>3</v>
      </c>
      <c r="C951" s="31">
        <v>49008</v>
      </c>
      <c r="D951" s="47" t="str">
        <f ca="1">VLOOKUP($C951,OFFSET(quests!$A$1,0,0,COUNTA(quests!$A:$A),MATCH(D$1,quests!$1:$1,0)-MATCH($C$2,quests!$1:$1,0)+1),MATCH(D$1,quests!$1:$1,0)-MATCH($C$2,quests!$1:$1,0)+1,FALSE)</f>
        <v>熱唱！初音ミクV3</v>
      </c>
      <c r="E951" s="48" t="str">
        <f ca="1">VLOOKUP($C951,OFFSET(quests!$A$1,0,0,COUNTA(quests!$A:$A),MATCH(E$2,quests!$1:$1,0)-MATCH($C$2,quests!$1:$1,0)+1),MATCH(E$2,quests!$1:$1,0)-MATCH($C$2,quests!$1:$1,0)+1,FALSE)</f>
        <v>コラボ降臨1</v>
      </c>
      <c r="F951" s="7">
        <v>1</v>
      </c>
      <c r="G951" s="7" t="s">
        <v>570</v>
      </c>
      <c r="H951" s="12" t="s">
        <v>913</v>
      </c>
      <c r="I951" s="12" t="s">
        <v>849</v>
      </c>
      <c r="J951" s="251">
        <v>1299</v>
      </c>
      <c r="K951" s="167">
        <v>30</v>
      </c>
      <c r="L951" s="167">
        <v>4500</v>
      </c>
      <c r="M951" s="167">
        <v>1</v>
      </c>
      <c r="N951" s="167">
        <v>1</v>
      </c>
      <c r="O951" s="167">
        <v>1</v>
      </c>
      <c r="P951" s="167">
        <v>1</v>
      </c>
      <c r="Q951" s="167">
        <v>1</v>
      </c>
      <c r="R951" s="167">
        <v>3</v>
      </c>
      <c r="S951" s="33" t="s">
        <v>278</v>
      </c>
      <c r="T951" s="33">
        <v>1</v>
      </c>
      <c r="U951" s="7" t="s">
        <v>169</v>
      </c>
      <c r="V951" s="7" t="s">
        <v>169</v>
      </c>
      <c r="W951" s="47" t="str">
        <f t="shared" ca="1" si="77"/>
        <v/>
      </c>
      <c r="X951" s="47">
        <f ca="1">VLOOKUP($C951,OFFSET(quests!$A$1,0,0,COUNTA(quests!$A:$A),MATCH(X$2,quests!$1:$1,0)-MATCH($C$2,quests!$1:$1,0)+1),MATCH(X$2,quests!$1:$1,0)-MATCH($C$2,quests!$1:$1,0)+1,FALSE)</f>
        <v>0</v>
      </c>
      <c r="Y951" s="47">
        <f ca="1">VLOOKUP($C951,OFFSET(quests!$A$1,0,0,COUNTA(quests!$A:$A),MATCH(Y$2,quests!$1:$1,0)-MATCH($C$2,quests!$1:$1,0)+1),MATCH(Y$2,quests!$1:$1,0)-MATCH($C$2,quests!$1:$1,0)+1,FALSE)</f>
        <v>0</v>
      </c>
      <c r="Z951" s="47">
        <f ca="1">VLOOKUP($C951,OFFSET(quests!$A$1,0,0,COUNTA(quests!$A:$A),MATCH(Z$2,quests!$1:$1,0)-MATCH($C$2,quests!$1:$1,0)+1),MATCH(Z$2,quests!$1:$1,0)-MATCH($C$2,quests!$1:$1,0)+1,FALSE)</f>
        <v>0</v>
      </c>
      <c r="AA951" s="47">
        <f ca="1">VLOOKUP($C951,OFFSET(quests!$A$1,0,0,COUNTA(quests!$A:$A),MATCH(AA$2,quests!$1:$1,0)-MATCH($C$2,quests!$1:$1,0)+1),MATCH(AA$2,quests!$1:$1,0)-MATCH($C$2,quests!$1:$1,0)+1,FALSE)</f>
        <v>0</v>
      </c>
      <c r="AB951" s="7" t="s">
        <v>56</v>
      </c>
      <c r="AC951" s="33">
        <v>910</v>
      </c>
      <c r="AD951" s="7">
        <v>6</v>
      </c>
      <c r="AE951" s="7" t="s">
        <v>519</v>
      </c>
      <c r="AF951" s="33">
        <v>3900</v>
      </c>
      <c r="AG951" s="33">
        <v>3960</v>
      </c>
      <c r="AH951" s="33" t="s">
        <v>1269</v>
      </c>
      <c r="AI951" s="33">
        <v>-1</v>
      </c>
      <c r="AJ951" s="7">
        <v>-1</v>
      </c>
      <c r="AK951" s="7" t="s">
        <v>1065</v>
      </c>
      <c r="AL951" s="12" t="s">
        <v>1337</v>
      </c>
      <c r="AM951" s="12" t="s">
        <v>2072</v>
      </c>
    </row>
    <row r="952" spans="1:39" ht="21" customHeight="1" x14ac:dyDescent="0.15">
      <c r="A952" s="42" t="str">
        <f t="shared" ref="A952" si="86">C952&amp;"_"&amp;F952</f>
        <v>49009_1</v>
      </c>
      <c r="B952" s="23">
        <v>3</v>
      </c>
      <c r="C952" s="31">
        <v>49009</v>
      </c>
      <c r="D952" s="47" t="str">
        <f ca="1">VLOOKUP($C952,OFFSET(quests!$A$1,0,0,COUNTA(quests!$A:$A),MATCH(D$1,quests!$1:$1,0)-MATCH($C$2,quests!$1:$1,0)+1),MATCH(D$1,quests!$1:$1,0)-MATCH($C$2,quests!$1:$1,0)+1,FALSE)</f>
        <v>電子音協奏曲</v>
      </c>
      <c r="E952" s="48" t="str">
        <f ca="1">VLOOKUP($C952,OFFSET(quests!$A$1,0,0,COUNTA(quests!$A:$A),MATCH(E$2,quests!$1:$1,0)-MATCH($C$2,quests!$1:$1,0)+1),MATCH(E$2,quests!$1:$1,0)-MATCH($C$2,quests!$1:$1,0)+1,FALSE)</f>
        <v>コラボ降臨7</v>
      </c>
      <c r="F952" s="7">
        <v>1</v>
      </c>
      <c r="G952" s="7" t="s">
        <v>570</v>
      </c>
      <c r="H952" s="12" t="s">
        <v>2015</v>
      </c>
      <c r="I952" s="12" t="s">
        <v>849</v>
      </c>
      <c r="J952" s="251">
        <v>1305</v>
      </c>
      <c r="K952" s="167">
        <v>30</v>
      </c>
      <c r="L952" s="167">
        <v>4500</v>
      </c>
      <c r="M952" s="167">
        <v>1</v>
      </c>
      <c r="N952" s="167">
        <v>1</v>
      </c>
      <c r="O952" s="167">
        <v>1</v>
      </c>
      <c r="P952" s="167">
        <v>1</v>
      </c>
      <c r="Q952" s="167">
        <v>1</v>
      </c>
      <c r="R952" s="167">
        <v>3</v>
      </c>
      <c r="S952" s="33" t="s">
        <v>278</v>
      </c>
      <c r="T952" s="33">
        <v>1</v>
      </c>
      <c r="U952" s="7" t="s">
        <v>169</v>
      </c>
      <c r="V952" s="7" t="s">
        <v>169</v>
      </c>
      <c r="W952" s="47" t="str">
        <f t="shared" ca="1" si="77"/>
        <v/>
      </c>
      <c r="X952" s="47">
        <f ca="1">VLOOKUP($C952,OFFSET(quests!$A$1,0,0,COUNTA(quests!$A:$A),MATCH(X$2,quests!$1:$1,0)-MATCH($C$2,quests!$1:$1,0)+1),MATCH(X$2,quests!$1:$1,0)-MATCH($C$2,quests!$1:$1,0)+1,FALSE)</f>
        <v>0</v>
      </c>
      <c r="Y952" s="47">
        <f ca="1">VLOOKUP($C952,OFFSET(quests!$A$1,0,0,COUNTA(quests!$A:$A),MATCH(Y$2,quests!$1:$1,0)-MATCH($C$2,quests!$1:$1,0)+1),MATCH(Y$2,quests!$1:$1,0)-MATCH($C$2,quests!$1:$1,0)+1,FALSE)</f>
        <v>0</v>
      </c>
      <c r="Z952" s="47">
        <f ca="1">VLOOKUP($C952,OFFSET(quests!$A$1,0,0,COUNTA(quests!$A:$A),MATCH(Z$2,quests!$1:$1,0)-MATCH($C$2,quests!$1:$1,0)+1),MATCH(Z$2,quests!$1:$1,0)-MATCH($C$2,quests!$1:$1,0)+1,FALSE)</f>
        <v>0</v>
      </c>
      <c r="AA952" s="47">
        <f ca="1">VLOOKUP($C952,OFFSET(quests!$A$1,0,0,COUNTA(quests!$A:$A),MATCH(AA$2,quests!$1:$1,0)-MATCH($C$2,quests!$1:$1,0)+1),MATCH(AA$2,quests!$1:$1,0)-MATCH($C$2,quests!$1:$1,0)+1,FALSE)</f>
        <v>0</v>
      </c>
      <c r="AB952" s="7" t="s">
        <v>56</v>
      </c>
      <c r="AC952" s="33">
        <v>910</v>
      </c>
      <c r="AD952" s="7">
        <v>6</v>
      </c>
      <c r="AE952" s="7" t="s">
        <v>519</v>
      </c>
      <c r="AF952" s="33">
        <v>3960</v>
      </c>
      <c r="AG952" s="33">
        <v>3960</v>
      </c>
      <c r="AH952" s="33" t="s">
        <v>1269</v>
      </c>
      <c r="AI952" s="33">
        <v>-1</v>
      </c>
      <c r="AJ952" s="7">
        <v>-1</v>
      </c>
      <c r="AK952" s="7" t="s">
        <v>1065</v>
      </c>
      <c r="AL952" s="12" t="s">
        <v>1272</v>
      </c>
      <c r="AM952" s="12" t="s">
        <v>2072</v>
      </c>
    </row>
    <row r="953" spans="1:39" ht="21" customHeight="1" x14ac:dyDescent="0.15">
      <c r="A953" s="42" t="str">
        <f t="shared" ref="A953" si="87">C953&amp;"_"&amp;F953</f>
        <v>49010_1</v>
      </c>
      <c r="B953" s="23">
        <v>3</v>
      </c>
      <c r="C953" s="31">
        <v>49010</v>
      </c>
      <c r="D953" s="47" t="str">
        <f ca="1">VLOOKUP($C953,OFFSET(quests!$A$1,0,0,COUNTA(quests!$A:$A),MATCH(D$1,quests!$1:$1,0)-MATCH($C$2,quests!$1:$1,0)+1),MATCH(D$1,quests!$1:$1,0)-MATCH($C$2,quests!$1:$1,0)+1,FALSE)</f>
        <v>走り抜けろ！ALICE GP</v>
      </c>
      <c r="E953" s="48" t="str">
        <f ca="1">VLOOKUP($C953,OFFSET(quests!$A$1,0,0,COUNTA(quests!$A:$A),MATCH(E$2,quests!$1:$1,0)-MATCH($C$2,quests!$1:$1,0)+1),MATCH(E$2,quests!$1:$1,0)-MATCH($C$2,quests!$1:$1,0)+1,FALSE)</f>
        <v>コラボ降臨8</v>
      </c>
      <c r="F953" s="7">
        <v>1</v>
      </c>
      <c r="G953" s="7" t="s">
        <v>570</v>
      </c>
      <c r="H953" s="274" t="s">
        <v>2017</v>
      </c>
      <c r="I953" s="12" t="s">
        <v>849</v>
      </c>
      <c r="J953" s="251">
        <v>1303</v>
      </c>
      <c r="K953" s="167">
        <v>30</v>
      </c>
      <c r="L953" s="167">
        <v>4500</v>
      </c>
      <c r="M953" s="167">
        <v>1</v>
      </c>
      <c r="N953" s="96">
        <v>0</v>
      </c>
      <c r="O953" s="167">
        <v>1</v>
      </c>
      <c r="P953" s="167">
        <v>1</v>
      </c>
      <c r="Q953" s="167">
        <v>1</v>
      </c>
      <c r="R953" s="167">
        <v>3</v>
      </c>
      <c r="S953" s="33" t="s">
        <v>278</v>
      </c>
      <c r="T953" s="33">
        <v>1</v>
      </c>
      <c r="U953" s="7" t="s">
        <v>169</v>
      </c>
      <c r="V953" s="7" t="s">
        <v>169</v>
      </c>
      <c r="W953" s="47" t="str">
        <f t="shared" ca="1" si="77"/>
        <v/>
      </c>
      <c r="X953" s="47">
        <f ca="1">VLOOKUP($C953,OFFSET(quests!$A$1,0,0,COUNTA(quests!$A:$A),MATCH(X$2,quests!$1:$1,0)-MATCH($C$2,quests!$1:$1,0)+1),MATCH(X$2,quests!$1:$1,0)-MATCH($C$2,quests!$1:$1,0)+1,FALSE)</f>
        <v>0</v>
      </c>
      <c r="Y953" s="47">
        <f ca="1">VLOOKUP($C953,OFFSET(quests!$A$1,0,0,COUNTA(quests!$A:$A),MATCH(Y$2,quests!$1:$1,0)-MATCH($C$2,quests!$1:$1,0)+1),MATCH(Y$2,quests!$1:$1,0)-MATCH($C$2,quests!$1:$1,0)+1,FALSE)</f>
        <v>0</v>
      </c>
      <c r="Z953" s="47">
        <f ca="1">VLOOKUP($C953,OFFSET(quests!$A$1,0,0,COUNTA(quests!$A:$A),MATCH(Z$2,quests!$1:$1,0)-MATCH($C$2,quests!$1:$1,0)+1),MATCH(Z$2,quests!$1:$1,0)-MATCH($C$2,quests!$1:$1,0)+1,FALSE)</f>
        <v>0</v>
      </c>
      <c r="AA953" s="47">
        <f ca="1">VLOOKUP($C953,OFFSET(quests!$A$1,0,0,COUNTA(quests!$A:$A),MATCH(AA$2,quests!$1:$1,0)-MATCH($C$2,quests!$1:$1,0)+1),MATCH(AA$2,quests!$1:$1,0)-MATCH($C$2,quests!$1:$1,0)+1,FALSE)</f>
        <v>0</v>
      </c>
      <c r="AB953" s="7" t="s">
        <v>56</v>
      </c>
      <c r="AC953" s="33">
        <v>987</v>
      </c>
      <c r="AD953" s="7">
        <v>6</v>
      </c>
      <c r="AE953" s="7" t="s">
        <v>519</v>
      </c>
      <c r="AF953" s="33">
        <v>3939</v>
      </c>
      <c r="AG953" s="33">
        <v>3950</v>
      </c>
      <c r="AH953" s="33" t="s">
        <v>1269</v>
      </c>
      <c r="AI953" s="33">
        <v>-1</v>
      </c>
      <c r="AJ953" s="7">
        <v>-1</v>
      </c>
      <c r="AK953" s="7" t="s">
        <v>1065</v>
      </c>
      <c r="AL953" s="12" t="s">
        <v>1272</v>
      </c>
      <c r="AM953" s="12" t="s">
        <v>2072</v>
      </c>
    </row>
    <row r="954" spans="1:39" ht="21" customHeight="1" x14ac:dyDescent="0.15">
      <c r="A954" s="42" t="str">
        <f t="shared" ref="A954:A956" si="88">C954&amp;"_"&amp;F954</f>
        <v>49011_1</v>
      </c>
      <c r="B954" s="23">
        <v>3</v>
      </c>
      <c r="C954" s="31">
        <v>49011</v>
      </c>
      <c r="D954" s="47" t="str">
        <f ca="1">VLOOKUP($C954,OFFSET(quests!$A$1,0,0,COUNTA(quests!$A:$A),MATCH(D$1,quests!$1:$1,0)-MATCH($C$2,quests!$1:$1,0)+1),MATCH(D$1,quests!$1:$1,0)-MATCH($C$2,quests!$1:$1,0)+1,FALSE)</f>
        <v>秘密のイベント潜入作戦</v>
      </c>
      <c r="E954" s="48" t="str">
        <f ca="1">VLOOKUP($C954,OFFSET(quests!$A$1,0,0,COUNTA(quests!$A:$A),MATCH(E$2,quests!$1:$1,0)-MATCH($C$2,quests!$1:$1,0)+1),MATCH(E$2,quests!$1:$1,0)-MATCH($C$2,quests!$1:$1,0)+1,FALSE)</f>
        <v>コラボ降臨9</v>
      </c>
      <c r="F954" s="7">
        <v>1</v>
      </c>
      <c r="G954" s="7" t="s">
        <v>382</v>
      </c>
      <c r="H954" s="274" t="s">
        <v>2018</v>
      </c>
      <c r="I954" s="12" t="s">
        <v>849</v>
      </c>
      <c r="J954" s="251">
        <v>1301</v>
      </c>
      <c r="K954" s="167">
        <v>30</v>
      </c>
      <c r="L954" s="167">
        <v>4500</v>
      </c>
      <c r="M954" s="167">
        <v>1</v>
      </c>
      <c r="N954" s="167">
        <v>1</v>
      </c>
      <c r="O954" s="167">
        <v>1</v>
      </c>
      <c r="P954" s="167">
        <v>1</v>
      </c>
      <c r="Q954" s="167">
        <v>1</v>
      </c>
      <c r="R954" s="167">
        <v>3</v>
      </c>
      <c r="S954" s="33" t="s">
        <v>278</v>
      </c>
      <c r="T954" s="33">
        <v>1</v>
      </c>
      <c r="U954" s="7" t="s">
        <v>169</v>
      </c>
      <c r="V954" s="7" t="s">
        <v>169</v>
      </c>
      <c r="W954" s="47" t="str">
        <f t="shared" ca="1" si="77"/>
        <v/>
      </c>
      <c r="X954" s="47">
        <f ca="1">VLOOKUP($C954,OFFSET(quests!$A$1,0,0,COUNTA(quests!$A:$A),MATCH(X$2,quests!$1:$1,0)-MATCH($C$2,quests!$1:$1,0)+1),MATCH(X$2,quests!$1:$1,0)-MATCH($C$2,quests!$1:$1,0)+1,FALSE)</f>
        <v>0</v>
      </c>
      <c r="Y954" s="47">
        <f ca="1">VLOOKUP($C954,OFFSET(quests!$A$1,0,0,COUNTA(quests!$A:$A),MATCH(Y$2,quests!$1:$1,0)-MATCH($C$2,quests!$1:$1,0)+1),MATCH(Y$2,quests!$1:$1,0)-MATCH($C$2,quests!$1:$1,0)+1,FALSE)</f>
        <v>0</v>
      </c>
      <c r="Z954" s="47">
        <f ca="1">VLOOKUP($C954,OFFSET(quests!$A$1,0,0,COUNTA(quests!$A:$A),MATCH(Z$2,quests!$1:$1,0)-MATCH($C$2,quests!$1:$1,0)+1),MATCH(Z$2,quests!$1:$1,0)-MATCH($C$2,quests!$1:$1,0)+1,FALSE)</f>
        <v>0</v>
      </c>
      <c r="AA954" s="47">
        <f ca="1">VLOOKUP($C954,OFFSET(quests!$A$1,0,0,COUNTA(quests!$A:$A),MATCH(AA$2,quests!$1:$1,0)-MATCH($C$2,quests!$1:$1,0)+1),MATCH(AA$2,quests!$1:$1,0)-MATCH($C$2,quests!$1:$1,0)+1,FALSE)</f>
        <v>0</v>
      </c>
      <c r="AB954" s="7" t="s">
        <v>56</v>
      </c>
      <c r="AC954" s="33">
        <v>909</v>
      </c>
      <c r="AD954" s="7">
        <v>6</v>
      </c>
      <c r="AE954" s="7" t="s">
        <v>519</v>
      </c>
      <c r="AF954" s="33">
        <v>3960</v>
      </c>
      <c r="AG954" s="33">
        <v>3960</v>
      </c>
      <c r="AH954" s="33" t="s">
        <v>1269</v>
      </c>
      <c r="AI954" s="33">
        <v>-1</v>
      </c>
      <c r="AJ954" s="7">
        <v>-1</v>
      </c>
      <c r="AK954" s="7" t="s">
        <v>1065</v>
      </c>
      <c r="AL954" s="12" t="s">
        <v>1269</v>
      </c>
      <c r="AM954" s="12" t="s">
        <v>2072</v>
      </c>
    </row>
    <row r="955" spans="1:39" ht="21" customHeight="1" x14ac:dyDescent="0.15">
      <c r="A955" s="42" t="str">
        <f t="shared" si="88"/>
        <v>49012_1</v>
      </c>
      <c r="B955" s="23">
        <v>3</v>
      </c>
      <c r="C955" s="31">
        <v>49012</v>
      </c>
      <c r="D955" s="47" t="str">
        <f ca="1">VLOOKUP($C955,OFFSET(quests!$A$1,0,0,COUNTA(quests!$A:$A),MATCH(D$1,quests!$1:$1,0)-MATCH($C$2,quests!$1:$1,0)+1),MATCH(D$1,quests!$1:$1,0)-MATCH($C$2,quests!$1:$1,0)+1,FALSE)</f>
        <v>園原杏里襲来！</v>
      </c>
      <c r="E955" s="48" t="str">
        <f ca="1">VLOOKUP($C955,OFFSET(quests!$A$1,0,0,COUNTA(quests!$A:$A),MATCH(E$2,quests!$1:$1,0)-MATCH($C$2,quests!$1:$1,0)+1),MATCH(E$2,quests!$1:$1,0)-MATCH($C$2,quests!$1:$1,0)+1,FALSE)</f>
        <v>コラボ降臨2（復刻）</v>
      </c>
      <c r="F955" s="7">
        <v>1</v>
      </c>
      <c r="G955" s="7" t="s">
        <v>568</v>
      </c>
      <c r="H955" s="12" t="s">
        <v>1109</v>
      </c>
      <c r="I955" s="12" t="s">
        <v>849</v>
      </c>
      <c r="J955" s="65">
        <v>699</v>
      </c>
      <c r="K955" s="167">
        <v>40</v>
      </c>
      <c r="L955" s="167">
        <v>4500</v>
      </c>
      <c r="M955" s="167">
        <v>1</v>
      </c>
      <c r="N955" s="167">
        <v>1</v>
      </c>
      <c r="O955" s="167">
        <v>1</v>
      </c>
      <c r="P955" s="167">
        <v>1</v>
      </c>
      <c r="Q955" s="167">
        <v>1</v>
      </c>
      <c r="R955" s="167">
        <v>3</v>
      </c>
      <c r="S955" s="167" t="s">
        <v>526</v>
      </c>
      <c r="T955" s="167">
        <v>1</v>
      </c>
      <c r="U955" s="7" t="s">
        <v>169</v>
      </c>
      <c r="V955" s="7" t="s">
        <v>169</v>
      </c>
      <c r="W955" s="47" t="str">
        <f t="shared" ca="1" si="77"/>
        <v/>
      </c>
      <c r="X955" s="47">
        <f ca="1">VLOOKUP($C955,OFFSET(quests!$A$1,0,0,COUNTA(quests!$A:$A),MATCH(X$2,quests!$1:$1,0)-MATCH($C$2,quests!$1:$1,0)+1),MATCH(X$2,quests!$1:$1,0)-MATCH($C$2,quests!$1:$1,0)+1,FALSE)</f>
        <v>0</v>
      </c>
      <c r="Y955" s="47">
        <f ca="1">VLOOKUP($C955,OFFSET(quests!$A$1,0,0,COUNTA(quests!$A:$A),MATCH(Y$2,quests!$1:$1,0)-MATCH($C$2,quests!$1:$1,0)+1),MATCH(Y$2,quests!$1:$1,0)-MATCH($C$2,quests!$1:$1,0)+1,FALSE)</f>
        <v>0</v>
      </c>
      <c r="Z955" s="47">
        <f ca="1">VLOOKUP($C955,OFFSET(quests!$A$1,0,0,COUNTA(quests!$A:$A),MATCH(Z$2,quests!$1:$1,0)-MATCH($C$2,quests!$1:$1,0)+1),MATCH(Z$2,quests!$1:$1,0)-MATCH($C$2,quests!$1:$1,0)+1,FALSE)</f>
        <v>0</v>
      </c>
      <c r="AA955" s="47">
        <f ca="1">VLOOKUP($C955,OFFSET(quests!$A$1,0,0,COUNTA(quests!$A:$A),MATCH(AA$2,quests!$1:$1,0)-MATCH($C$2,quests!$1:$1,0)+1),MATCH(AA$2,quests!$1:$1,0)-MATCH($C$2,quests!$1:$1,0)+1,FALSE)</f>
        <v>0</v>
      </c>
      <c r="AB955" s="7" t="s">
        <v>56</v>
      </c>
      <c r="AC955" s="7">
        <v>917</v>
      </c>
      <c r="AD955" s="7">
        <v>6</v>
      </c>
      <c r="AE955" s="7" t="s">
        <v>519</v>
      </c>
      <c r="AF955" s="7">
        <v>40</v>
      </c>
      <c r="AG955" s="7">
        <v>40</v>
      </c>
      <c r="AH955" s="7">
        <v>0</v>
      </c>
      <c r="AI955" s="7">
        <v>-1</v>
      </c>
      <c r="AJ955" s="7">
        <v>-1</v>
      </c>
      <c r="AK955" s="7" t="s">
        <v>1065</v>
      </c>
      <c r="AL955" s="12" t="s">
        <v>1269</v>
      </c>
      <c r="AM955" s="12" t="s">
        <v>2072</v>
      </c>
    </row>
    <row r="956" spans="1:39" ht="21" customHeight="1" x14ac:dyDescent="0.15">
      <c r="A956" s="42" t="str">
        <f t="shared" si="88"/>
        <v>49013_1</v>
      </c>
      <c r="B956" s="23">
        <v>3</v>
      </c>
      <c r="C956" s="31">
        <v>49013</v>
      </c>
      <c r="D956" s="47" t="str">
        <f ca="1">VLOOKUP($C956,OFFSET(quests!$A$1,0,0,COUNTA(quests!$A:$A),MATCH(D$1,quests!$1:$1,0)-MATCH($C$2,quests!$1:$1,0)+1),MATCH(D$1,quests!$1:$1,0)-MATCH($C$2,quests!$1:$1,0)+1,FALSE)</f>
        <v>折原臨也襲来！</v>
      </c>
      <c r="E956" s="48" t="str">
        <f ca="1">VLOOKUP($C956,OFFSET(quests!$A$1,0,0,COUNTA(quests!$A:$A),MATCH(E$2,quests!$1:$1,0)-MATCH($C$2,quests!$1:$1,0)+1),MATCH(E$2,quests!$1:$1,0)-MATCH($C$2,quests!$1:$1,0)+1,FALSE)</f>
        <v>コラボ降臨3（復刻）</v>
      </c>
      <c r="F956" s="7">
        <v>1</v>
      </c>
      <c r="G956" s="7" t="s">
        <v>568</v>
      </c>
      <c r="H956" s="12" t="s">
        <v>1110</v>
      </c>
      <c r="I956" s="12" t="s">
        <v>849</v>
      </c>
      <c r="J956" s="65">
        <v>701</v>
      </c>
      <c r="K956" s="167">
        <v>40</v>
      </c>
      <c r="L956" s="167">
        <v>4500</v>
      </c>
      <c r="M956" s="167">
        <v>1</v>
      </c>
      <c r="N956" s="167">
        <v>1</v>
      </c>
      <c r="O956" s="167">
        <v>1</v>
      </c>
      <c r="P956" s="167">
        <v>1</v>
      </c>
      <c r="Q956" s="167">
        <v>1</v>
      </c>
      <c r="R956" s="167">
        <v>3</v>
      </c>
      <c r="S956" s="167" t="s">
        <v>526</v>
      </c>
      <c r="T956" s="167">
        <v>1</v>
      </c>
      <c r="U956" s="7" t="s">
        <v>169</v>
      </c>
      <c r="V956" s="7" t="s">
        <v>169</v>
      </c>
      <c r="W956" s="47" t="str">
        <f t="shared" ca="1" si="77"/>
        <v/>
      </c>
      <c r="X956" s="47">
        <f ca="1">VLOOKUP($C956,OFFSET(quests!$A$1,0,0,COUNTA(quests!$A:$A),MATCH(X$2,quests!$1:$1,0)-MATCH($C$2,quests!$1:$1,0)+1),MATCH(X$2,quests!$1:$1,0)-MATCH($C$2,quests!$1:$1,0)+1,FALSE)</f>
        <v>0</v>
      </c>
      <c r="Y956" s="47">
        <f ca="1">VLOOKUP($C956,OFFSET(quests!$A$1,0,0,COUNTA(quests!$A:$A),MATCH(Y$2,quests!$1:$1,0)-MATCH($C$2,quests!$1:$1,0)+1),MATCH(Y$2,quests!$1:$1,0)-MATCH($C$2,quests!$1:$1,0)+1,FALSE)</f>
        <v>0</v>
      </c>
      <c r="Z956" s="47">
        <f ca="1">VLOOKUP($C956,OFFSET(quests!$A$1,0,0,COUNTA(quests!$A:$A),MATCH(Z$2,quests!$1:$1,0)-MATCH($C$2,quests!$1:$1,0)+1),MATCH(Z$2,quests!$1:$1,0)-MATCH($C$2,quests!$1:$1,0)+1,FALSE)</f>
        <v>0</v>
      </c>
      <c r="AA956" s="47">
        <f ca="1">VLOOKUP($C956,OFFSET(quests!$A$1,0,0,COUNTA(quests!$A:$A),MATCH(AA$2,quests!$1:$1,0)-MATCH($C$2,quests!$1:$1,0)+1),MATCH(AA$2,quests!$1:$1,0)-MATCH($C$2,quests!$1:$1,0)+1,FALSE)</f>
        <v>0</v>
      </c>
      <c r="AB956" s="7" t="s">
        <v>56</v>
      </c>
      <c r="AC956" s="7">
        <v>918</v>
      </c>
      <c r="AD956" s="7">
        <v>6</v>
      </c>
      <c r="AE956" s="7" t="s">
        <v>519</v>
      </c>
      <c r="AF956" s="7">
        <v>40</v>
      </c>
      <c r="AG956" s="7">
        <v>40</v>
      </c>
      <c r="AH956" s="7">
        <v>0</v>
      </c>
      <c r="AI956" s="7">
        <v>-1</v>
      </c>
      <c r="AJ956" s="7">
        <v>-1</v>
      </c>
      <c r="AK956" s="7" t="s">
        <v>1065</v>
      </c>
      <c r="AL956" s="12" t="s">
        <v>1269</v>
      </c>
      <c r="AM956" s="12" t="s">
        <v>2072</v>
      </c>
    </row>
    <row r="957" spans="1:39" ht="21" customHeight="1" x14ac:dyDescent="0.15">
      <c r="A957" s="42" t="str">
        <f t="shared" ref="A957:A958" si="89">C957&amp;"_"&amp;F957</f>
        <v>49014_1</v>
      </c>
      <c r="B957" s="23">
        <v>3</v>
      </c>
      <c r="C957" s="31">
        <v>49014</v>
      </c>
      <c r="D957" s="47" t="str">
        <f ca="1">VLOOKUP($C957,OFFSET(quests!$A$1,0,0,COUNTA(quests!$A:$A),MATCH(D$1,quests!$1:$1,0)-MATCH($C$2,quests!$1:$1,0)+1),MATCH(D$1,quests!$1:$1,0)-MATCH($C$2,quests!$1:$1,0)+1,FALSE)</f>
        <v>ネコムート襲来！</v>
      </c>
      <c r="E957" s="48" t="str">
        <f ca="1">VLOOKUP($C957,OFFSET(quests!$A$1,0,0,COUNTA(quests!$A:$A),MATCH(E$2,quests!$1:$1,0)-MATCH($C$2,quests!$1:$1,0)+1),MATCH(E$2,quests!$1:$1,0)-MATCH($C$2,quests!$1:$1,0)+1,FALSE)</f>
        <v>コラボ降臨10</v>
      </c>
      <c r="F957" s="7">
        <v>1</v>
      </c>
      <c r="G957" s="7" t="s">
        <v>568</v>
      </c>
      <c r="H957" s="12" t="s">
        <v>2366</v>
      </c>
      <c r="I957" s="12" t="s">
        <v>849</v>
      </c>
      <c r="J957" s="65">
        <v>1524</v>
      </c>
      <c r="K957" s="167">
        <v>26</v>
      </c>
      <c r="L957" s="167">
        <v>4000</v>
      </c>
      <c r="M957" s="167">
        <v>1</v>
      </c>
      <c r="N957" s="167">
        <v>1</v>
      </c>
      <c r="O957" s="167">
        <v>1</v>
      </c>
      <c r="P957" s="167">
        <v>1</v>
      </c>
      <c r="Q957" s="167">
        <v>1</v>
      </c>
      <c r="R957" s="167">
        <v>3</v>
      </c>
      <c r="S957" s="167" t="s">
        <v>526</v>
      </c>
      <c r="T957" s="167">
        <v>1</v>
      </c>
      <c r="U957" s="7" t="s">
        <v>169</v>
      </c>
      <c r="V957" s="7" t="s">
        <v>169</v>
      </c>
      <c r="W957" s="47" t="str">
        <f t="shared" ca="1" si="77"/>
        <v/>
      </c>
      <c r="X957" s="47">
        <f ca="1">VLOOKUP($C957,OFFSET(quests!$A$1,0,0,COUNTA(quests!$A:$A),MATCH(X$2,quests!$1:$1,0)-MATCH($C$2,quests!$1:$1,0)+1),MATCH(X$2,quests!$1:$1,0)-MATCH($C$2,quests!$1:$1,0)+1,FALSE)</f>
        <v>0</v>
      </c>
      <c r="Y957" s="47">
        <f ca="1">VLOOKUP($C957,OFFSET(quests!$A$1,0,0,COUNTA(quests!$A:$A),MATCH(Y$2,quests!$1:$1,0)-MATCH($C$2,quests!$1:$1,0)+1),MATCH(Y$2,quests!$1:$1,0)-MATCH($C$2,quests!$1:$1,0)+1,FALSE)</f>
        <v>0</v>
      </c>
      <c r="Z957" s="47">
        <f ca="1">VLOOKUP($C957,OFFSET(quests!$A$1,0,0,COUNTA(quests!$A:$A),MATCH(Z$2,quests!$1:$1,0)-MATCH($C$2,quests!$1:$1,0)+1),MATCH(Z$2,quests!$1:$1,0)-MATCH($C$2,quests!$1:$1,0)+1,FALSE)</f>
        <v>0</v>
      </c>
      <c r="AA957" s="47">
        <f ca="1">VLOOKUP($C957,OFFSET(quests!$A$1,0,0,COUNTA(quests!$A:$A),MATCH(AA$2,quests!$1:$1,0)-MATCH($C$2,quests!$1:$1,0)+1),MATCH(AA$2,quests!$1:$1,0)-MATCH($C$2,quests!$1:$1,0)+1,FALSE)</f>
        <v>0</v>
      </c>
      <c r="AB957" s="7" t="s">
        <v>56</v>
      </c>
      <c r="AC957" s="33">
        <v>981</v>
      </c>
      <c r="AD957" s="7">
        <v>6</v>
      </c>
      <c r="AE957" s="7" t="s">
        <v>519</v>
      </c>
      <c r="AF957" s="7">
        <v>2223</v>
      </c>
      <c r="AG957" s="7">
        <v>2223</v>
      </c>
      <c r="AH957" s="7">
        <v>2222</v>
      </c>
      <c r="AI957" s="7">
        <v>-1</v>
      </c>
      <c r="AJ957" s="7">
        <v>-1</v>
      </c>
      <c r="AK957" s="7" t="s">
        <v>1065</v>
      </c>
      <c r="AL957" s="12" t="s">
        <v>1269</v>
      </c>
      <c r="AM957" s="12" t="s">
        <v>2072</v>
      </c>
    </row>
    <row r="958" spans="1:39" ht="21" customHeight="1" x14ac:dyDescent="0.15">
      <c r="A958" s="42" t="str">
        <f t="shared" si="89"/>
        <v>49014_2</v>
      </c>
      <c r="B958" s="23">
        <v>3</v>
      </c>
      <c r="C958" s="31">
        <v>49014</v>
      </c>
      <c r="D958" s="47" t="str">
        <f ca="1">VLOOKUP($C958,OFFSET(quests!$A$1,0,0,COUNTA(quests!$A:$A),MATCH(D$1,quests!$1:$1,0)-MATCH($C$2,quests!$1:$1,0)+1),MATCH(D$1,quests!$1:$1,0)-MATCH($C$2,quests!$1:$1,0)+1,FALSE)</f>
        <v>ネコムート襲来！</v>
      </c>
      <c r="E958" s="48" t="str">
        <f ca="1">VLOOKUP($C958,OFFSET(quests!$A$1,0,0,COUNTA(quests!$A:$A),MATCH(E$2,quests!$1:$1,0)-MATCH($C$2,quests!$1:$1,0)+1),MATCH(E$2,quests!$1:$1,0)-MATCH($C$2,quests!$1:$1,0)+1,FALSE)</f>
        <v>コラボ降臨10</v>
      </c>
      <c r="F958" s="7">
        <v>2</v>
      </c>
      <c r="G958" s="7" t="s">
        <v>568</v>
      </c>
      <c r="H958" s="12" t="s">
        <v>2367</v>
      </c>
      <c r="I958" s="12" t="s">
        <v>849</v>
      </c>
      <c r="J958" s="65">
        <v>1524</v>
      </c>
      <c r="K958" s="167">
        <v>30</v>
      </c>
      <c r="L958" s="167">
        <v>5000</v>
      </c>
      <c r="M958" s="167">
        <v>1</v>
      </c>
      <c r="N958" s="167">
        <v>1</v>
      </c>
      <c r="O958" s="167">
        <v>1</v>
      </c>
      <c r="P958" s="167">
        <v>1</v>
      </c>
      <c r="Q958" s="167">
        <v>1</v>
      </c>
      <c r="R958" s="167">
        <v>3</v>
      </c>
      <c r="S958" s="167" t="s">
        <v>526</v>
      </c>
      <c r="T958" s="167">
        <v>1</v>
      </c>
      <c r="U958" s="7" t="s">
        <v>169</v>
      </c>
      <c r="V958" s="7" t="s">
        <v>169</v>
      </c>
      <c r="W958" s="47" t="str">
        <f t="shared" ca="1" si="77"/>
        <v/>
      </c>
      <c r="X958" s="47">
        <f ca="1">VLOOKUP($C958,OFFSET(quests!$A$1,0,0,COUNTA(quests!$A:$A),MATCH(X$2,quests!$1:$1,0)-MATCH($C$2,quests!$1:$1,0)+1),MATCH(X$2,quests!$1:$1,0)-MATCH($C$2,quests!$1:$1,0)+1,FALSE)</f>
        <v>0</v>
      </c>
      <c r="Y958" s="47">
        <f ca="1">VLOOKUP($C958,OFFSET(quests!$A$1,0,0,COUNTA(quests!$A:$A),MATCH(Y$2,quests!$1:$1,0)-MATCH($C$2,quests!$1:$1,0)+1),MATCH(Y$2,quests!$1:$1,0)-MATCH($C$2,quests!$1:$1,0)+1,FALSE)</f>
        <v>0</v>
      </c>
      <c r="Z958" s="47">
        <f ca="1">VLOOKUP($C958,OFFSET(quests!$A$1,0,0,COUNTA(quests!$A:$A),MATCH(Z$2,quests!$1:$1,0)-MATCH($C$2,quests!$1:$1,0)+1),MATCH(Z$2,quests!$1:$1,0)-MATCH($C$2,quests!$1:$1,0)+1,FALSE)</f>
        <v>0</v>
      </c>
      <c r="AA958" s="47">
        <f ca="1">VLOOKUP($C958,OFFSET(quests!$A$1,0,0,COUNTA(quests!$A:$A),MATCH(AA$2,quests!$1:$1,0)-MATCH($C$2,quests!$1:$1,0)+1),MATCH(AA$2,quests!$1:$1,0)-MATCH($C$2,quests!$1:$1,0)+1,FALSE)</f>
        <v>0</v>
      </c>
      <c r="AB958" s="7" t="s">
        <v>56</v>
      </c>
      <c r="AC958" s="33">
        <v>981</v>
      </c>
      <c r="AD958" s="7">
        <v>6</v>
      </c>
      <c r="AE958" s="7" t="s">
        <v>519</v>
      </c>
      <c r="AF958" s="7">
        <v>2223</v>
      </c>
      <c r="AG958" s="7">
        <v>2223</v>
      </c>
      <c r="AH958" s="7">
        <v>2222</v>
      </c>
      <c r="AI958" s="7">
        <v>-1</v>
      </c>
      <c r="AJ958" s="7">
        <v>-1</v>
      </c>
      <c r="AK958" s="7" t="s">
        <v>1065</v>
      </c>
      <c r="AL958" s="12" t="s">
        <v>1269</v>
      </c>
      <c r="AM958" s="12" t="s">
        <v>2072</v>
      </c>
    </row>
    <row r="959" spans="1:39" ht="21" customHeight="1" x14ac:dyDescent="0.15">
      <c r="A959" s="42" t="str">
        <f t="shared" ref="A959:A960" si="90">C959&amp;"_"&amp;F959</f>
        <v>49015_1</v>
      </c>
      <c r="B959" s="23">
        <v>3</v>
      </c>
      <c r="C959" s="31">
        <v>49015</v>
      </c>
      <c r="D959" s="47" t="str">
        <f ca="1">VLOOKUP($C959,OFFSET(quests!$A$1,0,0,COUNTA(quests!$A:$A),MATCH(D$1,quests!$1:$1,0)-MATCH($C$2,quests!$1:$1,0)+1),MATCH(D$1,quests!$1:$1,0)-MATCH($C$2,quests!$1:$1,0)+1,FALSE)</f>
        <v>スカー襲来！</v>
      </c>
      <c r="E959" s="48" t="str">
        <f ca="1">VLOOKUP($C959,OFFSET(quests!$A$1,0,0,COUNTA(quests!$A:$A),MATCH(E$2,quests!$1:$1,0)-MATCH($C$2,quests!$1:$1,0)+1),MATCH(E$2,quests!$1:$1,0)-MATCH($C$2,quests!$1:$1,0)+1,FALSE)</f>
        <v>コラボ降臨11</v>
      </c>
      <c r="F959" s="7">
        <v>1</v>
      </c>
      <c r="G959" s="7" t="s">
        <v>568</v>
      </c>
      <c r="H959" s="12" t="s">
        <v>2364</v>
      </c>
      <c r="I959" s="12" t="s">
        <v>830</v>
      </c>
      <c r="J959" s="65">
        <v>1467</v>
      </c>
      <c r="K959" s="194">
        <v>20</v>
      </c>
      <c r="L959" s="195">
        <v>2000</v>
      </c>
      <c r="M959" s="167">
        <v>1</v>
      </c>
      <c r="N959" s="167">
        <v>1</v>
      </c>
      <c r="O959" s="167">
        <v>1</v>
      </c>
      <c r="P959" s="167">
        <v>1</v>
      </c>
      <c r="Q959" s="167">
        <v>1</v>
      </c>
      <c r="R959" s="167">
        <v>3</v>
      </c>
      <c r="S959" s="167" t="s">
        <v>384</v>
      </c>
      <c r="T959" s="167">
        <v>1</v>
      </c>
      <c r="U959" s="7" t="s">
        <v>169</v>
      </c>
      <c r="V959" s="7" t="s">
        <v>169</v>
      </c>
      <c r="W959" s="47" t="str">
        <f t="shared" ca="1" si="77"/>
        <v/>
      </c>
      <c r="X959" s="47">
        <f ca="1">VLOOKUP($C959,OFFSET(quests!$A$1,0,0,COUNTA(quests!$A:$A),MATCH(X$2,quests!$1:$1,0)-MATCH($C$2,quests!$1:$1,0)+1),MATCH(X$2,quests!$1:$1,0)-MATCH($C$2,quests!$1:$1,0)+1,FALSE)</f>
        <v>0</v>
      </c>
      <c r="Y959" s="47">
        <f ca="1">VLOOKUP($C959,OFFSET(quests!$A$1,0,0,COUNTA(quests!$A:$A),MATCH(Y$2,quests!$1:$1,0)-MATCH($C$2,quests!$1:$1,0)+1),MATCH(Y$2,quests!$1:$1,0)-MATCH($C$2,quests!$1:$1,0)+1,FALSE)</f>
        <v>0</v>
      </c>
      <c r="Z959" s="47">
        <f ca="1">VLOOKUP($C959,OFFSET(quests!$A$1,0,0,COUNTA(quests!$A:$A),MATCH(Z$2,quests!$1:$1,0)-MATCH($C$2,quests!$1:$1,0)+1),MATCH(Z$2,quests!$1:$1,0)-MATCH($C$2,quests!$1:$1,0)+1,FALSE)</f>
        <v>0</v>
      </c>
      <c r="AA959" s="47">
        <f ca="1">VLOOKUP($C959,OFFSET(quests!$A$1,0,0,COUNTA(quests!$A:$A),MATCH(AA$2,quests!$1:$1,0)-MATCH($C$2,quests!$1:$1,0)+1),MATCH(AA$2,quests!$1:$1,0)-MATCH($C$2,quests!$1:$1,0)+1,FALSE)</f>
        <v>0</v>
      </c>
      <c r="AB959" s="7" t="s">
        <v>56</v>
      </c>
      <c r="AC959" s="33">
        <v>995</v>
      </c>
      <c r="AD959" s="7">
        <v>6</v>
      </c>
      <c r="AE959" s="7" t="s">
        <v>519</v>
      </c>
      <c r="AF959" s="7">
        <v>40</v>
      </c>
      <c r="AG959" s="7">
        <v>40</v>
      </c>
      <c r="AH959" s="7">
        <v>0</v>
      </c>
      <c r="AI959" s="7">
        <v>-1</v>
      </c>
      <c r="AJ959" s="7">
        <v>-1</v>
      </c>
      <c r="AK959" s="7" t="s">
        <v>1064</v>
      </c>
      <c r="AL959" s="12" t="s">
        <v>1269</v>
      </c>
      <c r="AM959" s="12" t="s">
        <v>2072</v>
      </c>
    </row>
    <row r="960" spans="1:39" ht="21" customHeight="1" x14ac:dyDescent="0.15">
      <c r="A960" s="42" t="str">
        <f t="shared" si="90"/>
        <v>49015_2</v>
      </c>
      <c r="B960" s="23">
        <v>3</v>
      </c>
      <c r="C960" s="31">
        <v>49015</v>
      </c>
      <c r="D960" s="47" t="str">
        <f ca="1">VLOOKUP($C960,OFFSET(quests!$A$1,0,0,COUNTA(quests!$A:$A),MATCH(D$1,quests!$1:$1,0)-MATCH($C$2,quests!$1:$1,0)+1),MATCH(D$1,quests!$1:$1,0)-MATCH($C$2,quests!$1:$1,0)+1,FALSE)</f>
        <v>スカー襲来！</v>
      </c>
      <c r="E960" s="48" t="str">
        <f ca="1">VLOOKUP($C960,OFFSET(quests!$A$1,0,0,COUNTA(quests!$A:$A),MATCH(E$2,quests!$1:$1,0)-MATCH($C$2,quests!$1:$1,0)+1),MATCH(E$2,quests!$1:$1,0)-MATCH($C$2,quests!$1:$1,0)+1,FALSE)</f>
        <v>コラボ降臨11</v>
      </c>
      <c r="F960" s="7">
        <v>2</v>
      </c>
      <c r="G960" s="7" t="s">
        <v>568</v>
      </c>
      <c r="H960" s="12" t="s">
        <v>2363</v>
      </c>
      <c r="I960" s="12" t="s">
        <v>832</v>
      </c>
      <c r="J960" s="65">
        <v>1467</v>
      </c>
      <c r="K960" s="194">
        <v>30</v>
      </c>
      <c r="L960" s="195">
        <v>3300</v>
      </c>
      <c r="M960" s="167">
        <v>1</v>
      </c>
      <c r="N960" s="167">
        <v>1</v>
      </c>
      <c r="O960" s="167">
        <v>1</v>
      </c>
      <c r="P960" s="167">
        <v>1</v>
      </c>
      <c r="Q960" s="167">
        <v>1</v>
      </c>
      <c r="R960" s="167">
        <v>3</v>
      </c>
      <c r="S960" s="167" t="s">
        <v>278</v>
      </c>
      <c r="T960" s="167">
        <v>1</v>
      </c>
      <c r="U960" s="7" t="s">
        <v>169</v>
      </c>
      <c r="V960" s="7" t="s">
        <v>169</v>
      </c>
      <c r="W960" s="47" t="str">
        <f t="shared" ca="1" si="77"/>
        <v/>
      </c>
      <c r="X960" s="47">
        <f ca="1">VLOOKUP($C960,OFFSET(quests!$A$1,0,0,COUNTA(quests!$A:$A),MATCH(X$2,quests!$1:$1,0)-MATCH($C$2,quests!$1:$1,0)+1),MATCH(X$2,quests!$1:$1,0)-MATCH($C$2,quests!$1:$1,0)+1,FALSE)</f>
        <v>0</v>
      </c>
      <c r="Y960" s="47">
        <f ca="1">VLOOKUP($C960,OFFSET(quests!$A$1,0,0,COUNTA(quests!$A:$A),MATCH(Y$2,quests!$1:$1,0)-MATCH($C$2,quests!$1:$1,0)+1),MATCH(Y$2,quests!$1:$1,0)-MATCH($C$2,quests!$1:$1,0)+1,FALSE)</f>
        <v>0</v>
      </c>
      <c r="Z960" s="47">
        <f ca="1">VLOOKUP($C960,OFFSET(quests!$A$1,0,0,COUNTA(quests!$A:$A),MATCH(Z$2,quests!$1:$1,0)-MATCH($C$2,quests!$1:$1,0)+1),MATCH(Z$2,quests!$1:$1,0)-MATCH($C$2,quests!$1:$1,0)+1,FALSE)</f>
        <v>0</v>
      </c>
      <c r="AA960" s="47">
        <f ca="1">VLOOKUP($C960,OFFSET(quests!$A$1,0,0,COUNTA(quests!$A:$A),MATCH(AA$2,quests!$1:$1,0)-MATCH($C$2,quests!$1:$1,0)+1),MATCH(AA$2,quests!$1:$1,0)-MATCH($C$2,quests!$1:$1,0)+1,FALSE)</f>
        <v>0</v>
      </c>
      <c r="AB960" s="7" t="s">
        <v>56</v>
      </c>
      <c r="AC960" s="33">
        <v>995</v>
      </c>
      <c r="AD960" s="7">
        <v>6</v>
      </c>
      <c r="AE960" s="7" t="s">
        <v>519</v>
      </c>
      <c r="AF960" s="7">
        <v>40</v>
      </c>
      <c r="AG960" s="7">
        <v>40</v>
      </c>
      <c r="AH960" s="7">
        <v>0</v>
      </c>
      <c r="AI960" s="7">
        <v>-1</v>
      </c>
      <c r="AJ960" s="7">
        <v>-1</v>
      </c>
      <c r="AK960" s="7" t="s">
        <v>1065</v>
      </c>
      <c r="AL960" s="12" t="s">
        <v>1269</v>
      </c>
      <c r="AM960" s="12" t="s">
        <v>2072</v>
      </c>
    </row>
    <row r="961" spans="1:39" ht="21" customHeight="1" x14ac:dyDescent="0.15">
      <c r="A961" s="42" t="str">
        <f t="shared" ref="A961:A963" si="91">C961&amp;"_"&amp;F961</f>
        <v>49015_3</v>
      </c>
      <c r="B961" s="23">
        <v>3</v>
      </c>
      <c r="C961" s="31">
        <v>49015</v>
      </c>
      <c r="D961" s="47" t="str">
        <f ca="1">VLOOKUP($C961,OFFSET(quests!$A$1,0,0,COUNTA(quests!$A:$A),MATCH(D$1,quests!$1:$1,0)-MATCH($C$2,quests!$1:$1,0)+1),MATCH(D$1,quests!$1:$1,0)-MATCH($C$2,quests!$1:$1,0)+1,FALSE)</f>
        <v>スカー襲来！</v>
      </c>
      <c r="E961" s="48" t="str">
        <f ca="1">VLOOKUP($C961,OFFSET(quests!$A$1,0,0,COUNTA(quests!$A:$A),MATCH(E$2,quests!$1:$1,0)-MATCH($C$2,quests!$1:$1,0)+1),MATCH(E$2,quests!$1:$1,0)-MATCH($C$2,quests!$1:$1,0)+1,FALSE)</f>
        <v>コラボ降臨11</v>
      </c>
      <c r="F961" s="7">
        <v>3</v>
      </c>
      <c r="G961" s="7" t="s">
        <v>568</v>
      </c>
      <c r="H961" s="12" t="s">
        <v>2365</v>
      </c>
      <c r="I961" s="12" t="s">
        <v>849</v>
      </c>
      <c r="J961" s="65">
        <v>1467</v>
      </c>
      <c r="K961" s="167">
        <v>40</v>
      </c>
      <c r="L961" s="167">
        <v>4500</v>
      </c>
      <c r="M961" s="167">
        <v>1</v>
      </c>
      <c r="N961" s="167">
        <v>1</v>
      </c>
      <c r="O961" s="167">
        <v>1</v>
      </c>
      <c r="P961" s="167">
        <v>1</v>
      </c>
      <c r="Q961" s="167">
        <v>1</v>
      </c>
      <c r="R961" s="167">
        <v>3</v>
      </c>
      <c r="S961" s="167" t="s">
        <v>278</v>
      </c>
      <c r="T961" s="167">
        <v>1</v>
      </c>
      <c r="U961" s="7" t="s">
        <v>169</v>
      </c>
      <c r="V961" s="7" t="s">
        <v>169</v>
      </c>
      <c r="W961" s="47" t="str">
        <f t="shared" ca="1" si="77"/>
        <v/>
      </c>
      <c r="X961" s="47">
        <f ca="1">VLOOKUP($C961,OFFSET(quests!$A$1,0,0,COUNTA(quests!$A:$A),MATCH(X$2,quests!$1:$1,0)-MATCH($C$2,quests!$1:$1,0)+1),MATCH(X$2,quests!$1:$1,0)-MATCH($C$2,quests!$1:$1,0)+1,FALSE)</f>
        <v>0</v>
      </c>
      <c r="Y961" s="47">
        <f ca="1">VLOOKUP($C961,OFFSET(quests!$A$1,0,0,COUNTA(quests!$A:$A),MATCH(Y$2,quests!$1:$1,0)-MATCH($C$2,quests!$1:$1,0)+1),MATCH(Y$2,quests!$1:$1,0)-MATCH($C$2,quests!$1:$1,0)+1,FALSE)</f>
        <v>0</v>
      </c>
      <c r="Z961" s="47">
        <f ca="1">VLOOKUP($C961,OFFSET(quests!$A$1,0,0,COUNTA(quests!$A:$A),MATCH(Z$2,quests!$1:$1,0)-MATCH($C$2,quests!$1:$1,0)+1),MATCH(Z$2,quests!$1:$1,0)-MATCH($C$2,quests!$1:$1,0)+1,FALSE)</f>
        <v>0</v>
      </c>
      <c r="AA961" s="47">
        <f ca="1">VLOOKUP($C961,OFFSET(quests!$A$1,0,0,COUNTA(quests!$A:$A),MATCH(AA$2,quests!$1:$1,0)-MATCH($C$2,quests!$1:$1,0)+1),MATCH(AA$2,quests!$1:$1,0)-MATCH($C$2,quests!$1:$1,0)+1,FALSE)</f>
        <v>0</v>
      </c>
      <c r="AB961" s="7" t="s">
        <v>56</v>
      </c>
      <c r="AC961" s="33">
        <v>995</v>
      </c>
      <c r="AD961" s="7">
        <v>6</v>
      </c>
      <c r="AE961" s="7" t="s">
        <v>519</v>
      </c>
      <c r="AF961" s="7">
        <v>40</v>
      </c>
      <c r="AG961" s="7">
        <v>40</v>
      </c>
      <c r="AH961" s="7">
        <v>0</v>
      </c>
      <c r="AI961" s="7">
        <v>-1</v>
      </c>
      <c r="AJ961" s="7">
        <v>-1</v>
      </c>
      <c r="AK961" s="7" t="s">
        <v>1065</v>
      </c>
      <c r="AL961" s="12" t="s">
        <v>1269</v>
      </c>
      <c r="AM961" s="12" t="s">
        <v>2072</v>
      </c>
    </row>
    <row r="962" spans="1:39" ht="21" customHeight="1" x14ac:dyDescent="0.15">
      <c r="A962" s="42" t="str">
        <f t="shared" si="91"/>
        <v>49016_1</v>
      </c>
      <c r="B962" s="326">
        <v>1</v>
      </c>
      <c r="C962" s="31">
        <v>49016</v>
      </c>
      <c r="D962" s="47" t="str">
        <f ca="1">VLOOKUP($C962,OFFSET(quests!$A$1,0,0,COUNTA(quests!$A:$A),MATCH(D$1,quests!$1:$1,0)-MATCH($C$2,quests!$1:$1,0)+1),MATCH(D$1,quests!$1:$1,0)-MATCH($C$2,quests!$1:$1,0)+1,FALSE)</f>
        <v>栗転</v>
      </c>
      <c r="E962" s="48" t="str">
        <f ca="1">VLOOKUP($C962,OFFSET(quests!$A$1,0,0,COUNTA(quests!$A:$A),MATCH(E$2,quests!$1:$1,0)-MATCH($C$2,quests!$1:$1,0)+1),MATCH(E$2,quests!$1:$1,0)-MATCH($C$2,quests!$1:$1,0)+1,FALSE)</f>
        <v>コラボ降臨12</v>
      </c>
      <c r="F962" s="7">
        <v>1</v>
      </c>
      <c r="G962" s="7" t="s">
        <v>568</v>
      </c>
      <c r="H962" s="12" t="s">
        <v>2281</v>
      </c>
      <c r="I962" s="12" t="s">
        <v>849</v>
      </c>
      <c r="J962" s="65">
        <v>1583</v>
      </c>
      <c r="K962" s="167">
        <v>35</v>
      </c>
      <c r="L962" s="167">
        <v>4200</v>
      </c>
      <c r="M962" s="167">
        <v>1</v>
      </c>
      <c r="N962" s="167">
        <v>1</v>
      </c>
      <c r="O962" s="167">
        <v>1</v>
      </c>
      <c r="P962" s="167">
        <v>1</v>
      </c>
      <c r="Q962" s="167">
        <v>1</v>
      </c>
      <c r="R962" s="167">
        <v>3</v>
      </c>
      <c r="S962" s="167" t="s">
        <v>278</v>
      </c>
      <c r="T962" s="167">
        <v>1</v>
      </c>
      <c r="U962" s="7" t="s">
        <v>169</v>
      </c>
      <c r="V962" s="7" t="s">
        <v>169</v>
      </c>
      <c r="W962" s="47" t="str">
        <f t="shared" ca="1" si="77"/>
        <v/>
      </c>
      <c r="X962" s="47">
        <f ca="1">VLOOKUP($C962,OFFSET(quests!$A$1,0,0,COUNTA(quests!$A:$A),MATCH(X$2,quests!$1:$1,0)-MATCH($C$2,quests!$1:$1,0)+1),MATCH(X$2,quests!$1:$1,0)-MATCH($C$2,quests!$1:$1,0)+1,FALSE)</f>
        <v>0</v>
      </c>
      <c r="Y962" s="47">
        <f ca="1">VLOOKUP($C962,OFFSET(quests!$A$1,0,0,COUNTA(quests!$A:$A),MATCH(Y$2,quests!$1:$1,0)-MATCH($C$2,quests!$1:$1,0)+1),MATCH(Y$2,quests!$1:$1,0)-MATCH($C$2,quests!$1:$1,0)+1,FALSE)</f>
        <v>0</v>
      </c>
      <c r="Z962" s="47">
        <f ca="1">VLOOKUP($C962,OFFSET(quests!$A$1,0,0,COUNTA(quests!$A:$A),MATCH(Z$2,quests!$1:$1,0)-MATCH($C$2,quests!$1:$1,0)+1),MATCH(Z$2,quests!$1:$1,0)-MATCH($C$2,quests!$1:$1,0)+1,FALSE)</f>
        <v>0</v>
      </c>
      <c r="AA962" s="47">
        <f ca="1">VLOOKUP($C962,OFFSET(quests!$A$1,0,0,COUNTA(quests!$A:$A),MATCH(AA$2,quests!$1:$1,0)-MATCH($C$2,quests!$1:$1,0)+1),MATCH(AA$2,quests!$1:$1,0)-MATCH($C$2,quests!$1:$1,0)+1,FALSE)</f>
        <v>0</v>
      </c>
      <c r="AB962" s="7" t="s">
        <v>56</v>
      </c>
      <c r="AC962" s="7">
        <v>998</v>
      </c>
      <c r="AD962" s="7">
        <v>6</v>
      </c>
      <c r="AE962" s="7" t="s">
        <v>519</v>
      </c>
      <c r="AF962" s="7">
        <v>9800</v>
      </c>
      <c r="AG962" s="7">
        <v>9802</v>
      </c>
      <c r="AH962" s="7">
        <v>0</v>
      </c>
      <c r="AI962" s="7">
        <v>-1</v>
      </c>
      <c r="AJ962" s="7">
        <v>-1</v>
      </c>
      <c r="AK962" s="7" t="s">
        <v>1065</v>
      </c>
      <c r="AL962" s="12" t="s">
        <v>1337</v>
      </c>
      <c r="AM962" s="12" t="s">
        <v>2072</v>
      </c>
    </row>
    <row r="963" spans="1:39" ht="21" customHeight="1" x14ac:dyDescent="0.15">
      <c r="A963" s="42" t="str">
        <f t="shared" si="91"/>
        <v>49016_2</v>
      </c>
      <c r="B963" s="326">
        <v>1</v>
      </c>
      <c r="C963" s="31">
        <v>49016</v>
      </c>
      <c r="D963" s="47" t="str">
        <f ca="1">VLOOKUP($C963,OFFSET(quests!$A$1,0,0,COUNTA(quests!$A:$A),MATCH(D$1,quests!$1:$1,0)-MATCH($C$2,quests!$1:$1,0)+1),MATCH(D$1,quests!$1:$1,0)-MATCH($C$2,quests!$1:$1,0)+1,FALSE)</f>
        <v>栗転</v>
      </c>
      <c r="E963" s="48" t="str">
        <f ca="1">VLOOKUP($C963,OFFSET(quests!$A$1,0,0,COUNTA(quests!$A:$A),MATCH(E$2,quests!$1:$1,0)-MATCH($C$2,quests!$1:$1,0)+1),MATCH(E$2,quests!$1:$1,0)-MATCH($C$2,quests!$1:$1,0)+1,FALSE)</f>
        <v>コラボ降臨12</v>
      </c>
      <c r="F963" s="7">
        <v>2</v>
      </c>
      <c r="G963" s="7" t="s">
        <v>568</v>
      </c>
      <c r="H963" s="12" t="s">
        <v>2280</v>
      </c>
      <c r="I963" s="12" t="s">
        <v>849</v>
      </c>
      <c r="J963" s="65">
        <v>1583</v>
      </c>
      <c r="K963" s="167">
        <v>40</v>
      </c>
      <c r="L963" s="167">
        <v>4500</v>
      </c>
      <c r="M963" s="167">
        <v>1</v>
      </c>
      <c r="N963" s="167">
        <v>1</v>
      </c>
      <c r="O963" s="167">
        <v>1</v>
      </c>
      <c r="P963" s="167">
        <v>1</v>
      </c>
      <c r="Q963" s="167">
        <v>1</v>
      </c>
      <c r="R963" s="167">
        <v>3</v>
      </c>
      <c r="S963" s="167" t="s">
        <v>278</v>
      </c>
      <c r="T963" s="167">
        <v>1</v>
      </c>
      <c r="U963" s="7" t="s">
        <v>169</v>
      </c>
      <c r="V963" s="7" t="s">
        <v>169</v>
      </c>
      <c r="W963" s="47" t="str">
        <f t="shared" ca="1" si="77"/>
        <v/>
      </c>
      <c r="X963" s="47">
        <f ca="1">VLOOKUP($C963,OFFSET(quests!$A$1,0,0,COUNTA(quests!$A:$A),MATCH(X$2,quests!$1:$1,0)-MATCH($C$2,quests!$1:$1,0)+1),MATCH(X$2,quests!$1:$1,0)-MATCH($C$2,quests!$1:$1,0)+1,FALSE)</f>
        <v>0</v>
      </c>
      <c r="Y963" s="47">
        <f ca="1">VLOOKUP($C963,OFFSET(quests!$A$1,0,0,COUNTA(quests!$A:$A),MATCH(Y$2,quests!$1:$1,0)-MATCH($C$2,quests!$1:$1,0)+1),MATCH(Y$2,quests!$1:$1,0)-MATCH($C$2,quests!$1:$1,0)+1,FALSE)</f>
        <v>0</v>
      </c>
      <c r="Z963" s="47">
        <f ca="1">VLOOKUP($C963,OFFSET(quests!$A$1,0,0,COUNTA(quests!$A:$A),MATCH(Z$2,quests!$1:$1,0)-MATCH($C$2,quests!$1:$1,0)+1),MATCH(Z$2,quests!$1:$1,0)-MATCH($C$2,quests!$1:$1,0)+1,FALSE)</f>
        <v>0</v>
      </c>
      <c r="AA963" s="47">
        <f ca="1">VLOOKUP($C963,OFFSET(quests!$A$1,0,0,COUNTA(quests!$A:$A),MATCH(AA$2,quests!$1:$1,0)-MATCH($C$2,quests!$1:$1,0)+1),MATCH(AA$2,quests!$1:$1,0)-MATCH($C$2,quests!$1:$1,0)+1,FALSE)</f>
        <v>0</v>
      </c>
      <c r="AB963" s="7" t="s">
        <v>56</v>
      </c>
      <c r="AC963" s="7">
        <v>998</v>
      </c>
      <c r="AD963" s="7">
        <v>6</v>
      </c>
      <c r="AE963" s="7" t="s">
        <v>519</v>
      </c>
      <c r="AF963" s="7">
        <v>9800</v>
      </c>
      <c r="AG963" s="7">
        <v>9802</v>
      </c>
      <c r="AH963" s="7">
        <v>0</v>
      </c>
      <c r="AI963" s="7">
        <v>-1</v>
      </c>
      <c r="AJ963" s="7">
        <v>-1</v>
      </c>
      <c r="AK963" s="7" t="s">
        <v>1065</v>
      </c>
      <c r="AL963" s="12" t="s">
        <v>1337</v>
      </c>
      <c r="AM963" s="12" t="s">
        <v>2072</v>
      </c>
    </row>
    <row r="964" spans="1:39" ht="21" customHeight="1" x14ac:dyDescent="0.15">
      <c r="A964" s="42" t="str">
        <f t="shared" si="53"/>
        <v>50001_1</v>
      </c>
      <c r="B964" s="23">
        <v>3</v>
      </c>
      <c r="C964" s="31">
        <v>50001</v>
      </c>
      <c r="D964" s="47" t="str">
        <f ca="1">VLOOKUP($C964,OFFSET(quests!$A$1,0,0,COUNTA(quests!$A:$A),MATCH(D$1,quests!$1:$1,0)-MATCH($C$2,quests!$1:$1,0)+1),MATCH(D$1,quests!$1:$1,0)-MATCH($C$2,quests!$1:$1,0)+1,FALSE)</f>
        <v>麒麟襲来！</v>
      </c>
      <c r="E964" s="48" t="str">
        <f ca="1">VLOOKUP($C964,OFFSET(quests!$A$1,0,0,COUNTA(quests!$A:$A),MATCH(E$2,quests!$1:$1,0)-MATCH($C$2,quests!$1:$1,0)+1),MATCH(E$2,quests!$1:$1,0)-MATCH($C$2,quests!$1:$1,0)+1,FALSE)</f>
        <v>超降臨1</v>
      </c>
      <c r="F964" s="7">
        <v>1</v>
      </c>
      <c r="G964" s="7" t="s">
        <v>570</v>
      </c>
      <c r="H964" s="12" t="s">
        <v>786</v>
      </c>
      <c r="I964" s="12" t="s">
        <v>583</v>
      </c>
      <c r="J964" s="65">
        <v>329</v>
      </c>
      <c r="K964" s="167">
        <v>40</v>
      </c>
      <c r="L964" s="167">
        <v>5200</v>
      </c>
      <c r="M964" s="167">
        <v>1</v>
      </c>
      <c r="N964" s="167">
        <v>1</v>
      </c>
      <c r="O964" s="167">
        <v>1</v>
      </c>
      <c r="P964" s="167">
        <v>1</v>
      </c>
      <c r="Q964" s="167">
        <v>1</v>
      </c>
      <c r="R964" s="167">
        <v>3</v>
      </c>
      <c r="S964" s="167" t="s">
        <v>924</v>
      </c>
      <c r="T964" s="167">
        <v>432</v>
      </c>
      <c r="U964" s="7" t="s">
        <v>169</v>
      </c>
      <c r="V964" s="7" t="s">
        <v>169</v>
      </c>
      <c r="W964" s="47" t="str">
        <f t="shared" ca="1" si="77"/>
        <v/>
      </c>
      <c r="X964" s="47">
        <f ca="1">VLOOKUP($C964,OFFSET(quests!$A$1,0,0,COUNTA(quests!$A:$A),MATCH(X$2,quests!$1:$1,0)-MATCH($C$2,quests!$1:$1,0)+1),MATCH(X$2,quests!$1:$1,0)-MATCH($C$2,quests!$1:$1,0)+1,FALSE)</f>
        <v>0</v>
      </c>
      <c r="Y964" s="47">
        <f ca="1">VLOOKUP($C964,OFFSET(quests!$A$1,0,0,COUNTA(quests!$A:$A),MATCH(Y$2,quests!$1:$1,0)-MATCH($C$2,quests!$1:$1,0)+1),MATCH(Y$2,quests!$1:$1,0)-MATCH($C$2,quests!$1:$1,0)+1,FALSE)</f>
        <v>0</v>
      </c>
      <c r="Z964" s="47">
        <f ca="1">VLOOKUP($C964,OFFSET(quests!$A$1,0,0,COUNTA(quests!$A:$A),MATCH(Z$2,quests!$1:$1,0)-MATCH($C$2,quests!$1:$1,0)+1),MATCH(Z$2,quests!$1:$1,0)-MATCH($C$2,quests!$1:$1,0)+1,FALSE)</f>
        <v>0</v>
      </c>
      <c r="AA964" s="47">
        <f ca="1">VLOOKUP($C964,OFFSET(quests!$A$1,0,0,COUNTA(quests!$A:$A),MATCH(AA$2,quests!$1:$1,0)-MATCH($C$2,quests!$1:$1,0)+1),MATCH(AA$2,quests!$1:$1,0)-MATCH($C$2,quests!$1:$1,0)+1,FALSE)</f>
        <v>0</v>
      </c>
      <c r="AB964" s="7" t="s">
        <v>56</v>
      </c>
      <c r="AC964" s="7">
        <v>905</v>
      </c>
      <c r="AD964" s="7">
        <v>6</v>
      </c>
      <c r="AE964" s="7" t="s">
        <v>519</v>
      </c>
      <c r="AF964" s="7">
        <v>5000</v>
      </c>
      <c r="AG964" s="7">
        <v>5000</v>
      </c>
      <c r="AH964" s="7">
        <v>0</v>
      </c>
      <c r="AI964" s="7">
        <v>0</v>
      </c>
      <c r="AJ964" s="7">
        <v>-1</v>
      </c>
      <c r="AK964" s="7" t="s">
        <v>1065</v>
      </c>
      <c r="AL964" s="12" t="s">
        <v>1695</v>
      </c>
      <c r="AM964" s="12" t="s">
        <v>2072</v>
      </c>
    </row>
    <row r="965" spans="1:39" ht="21" customHeight="1" x14ac:dyDescent="0.15">
      <c r="A965" s="42" t="str">
        <f t="shared" si="53"/>
        <v>50002_1</v>
      </c>
      <c r="B965" s="23">
        <v>3</v>
      </c>
      <c r="C965" s="31">
        <v>50002</v>
      </c>
      <c r="D965" s="47" t="str">
        <f ca="1">VLOOKUP($C965,OFFSET(quests!$A$1,0,0,COUNTA(quests!$A:$A),MATCH(D$1,quests!$1:$1,0)-MATCH($C$2,quests!$1:$1,0)+1),MATCH(D$1,quests!$1:$1,0)-MATCH($C$2,quests!$1:$1,0)+1,FALSE)</f>
        <v>オーディン襲来！</v>
      </c>
      <c r="E965" s="48" t="str">
        <f ca="1">VLOOKUP($C965,OFFSET(quests!$A$1,0,0,COUNTA(quests!$A:$A),MATCH(E$2,quests!$1:$1,0)-MATCH($C$2,quests!$1:$1,0)+1),MATCH(E$2,quests!$1:$1,0)-MATCH($C$2,quests!$1:$1,0)+1,FALSE)</f>
        <v>超降臨2</v>
      </c>
      <c r="F965" s="7">
        <v>1</v>
      </c>
      <c r="G965" s="7" t="s">
        <v>568</v>
      </c>
      <c r="H965" s="12" t="s">
        <v>932</v>
      </c>
      <c r="I965" s="12" t="s">
        <v>583</v>
      </c>
      <c r="J965" s="65">
        <v>331</v>
      </c>
      <c r="K965" s="167">
        <v>40</v>
      </c>
      <c r="L965" s="167">
        <v>5200</v>
      </c>
      <c r="M965" s="167">
        <v>1</v>
      </c>
      <c r="N965" s="167">
        <v>1</v>
      </c>
      <c r="O965" s="167">
        <v>1</v>
      </c>
      <c r="P965" s="167">
        <v>1</v>
      </c>
      <c r="Q965" s="167">
        <v>1</v>
      </c>
      <c r="R965" s="167">
        <v>3</v>
      </c>
      <c r="S965" s="167" t="s">
        <v>924</v>
      </c>
      <c r="T965" s="167">
        <v>573</v>
      </c>
      <c r="U965" s="7" t="s">
        <v>169</v>
      </c>
      <c r="V965" s="7" t="s">
        <v>169</v>
      </c>
      <c r="W965" s="47" t="str">
        <f t="shared" ca="1" si="77"/>
        <v/>
      </c>
      <c r="X965" s="47">
        <f ca="1">VLOOKUP($C965,OFFSET(quests!$A$1,0,0,COUNTA(quests!$A:$A),MATCH(X$2,quests!$1:$1,0)-MATCH($C$2,quests!$1:$1,0)+1),MATCH(X$2,quests!$1:$1,0)-MATCH($C$2,quests!$1:$1,0)+1,FALSE)</f>
        <v>0</v>
      </c>
      <c r="Y965" s="47">
        <f ca="1">VLOOKUP($C965,OFFSET(quests!$A$1,0,0,COUNTA(quests!$A:$A),MATCH(Y$2,quests!$1:$1,0)-MATCH($C$2,quests!$1:$1,0)+1),MATCH(Y$2,quests!$1:$1,0)-MATCH($C$2,quests!$1:$1,0)+1,FALSE)</f>
        <v>0</v>
      </c>
      <c r="Z965" s="47">
        <f ca="1">VLOOKUP($C965,OFFSET(quests!$A$1,0,0,COUNTA(quests!$A:$A),MATCH(Z$2,quests!$1:$1,0)-MATCH($C$2,quests!$1:$1,0)+1),MATCH(Z$2,quests!$1:$1,0)-MATCH($C$2,quests!$1:$1,0)+1,FALSE)</f>
        <v>0</v>
      </c>
      <c r="AA965" s="47">
        <f ca="1">VLOOKUP($C965,OFFSET(quests!$A$1,0,0,COUNTA(quests!$A:$A),MATCH(AA$2,quests!$1:$1,0)-MATCH($C$2,quests!$1:$1,0)+1),MATCH(AA$2,quests!$1:$1,0)-MATCH($C$2,quests!$1:$1,0)+1,FALSE)</f>
        <v>0</v>
      </c>
      <c r="AB965" s="7" t="s">
        <v>56</v>
      </c>
      <c r="AC965" s="7">
        <v>911</v>
      </c>
      <c r="AD965" s="7">
        <v>6</v>
      </c>
      <c r="AE965" s="7" t="s">
        <v>519</v>
      </c>
      <c r="AF965" s="7">
        <v>5000</v>
      </c>
      <c r="AG965" s="7">
        <v>5000</v>
      </c>
      <c r="AH965" s="7">
        <v>0</v>
      </c>
      <c r="AI965" s="7">
        <v>0</v>
      </c>
      <c r="AJ965" s="7">
        <v>-1</v>
      </c>
      <c r="AK965" s="7" t="s">
        <v>1065</v>
      </c>
      <c r="AL965" s="12" t="s">
        <v>1695</v>
      </c>
      <c r="AM965" s="12" t="s">
        <v>2072</v>
      </c>
    </row>
    <row r="966" spans="1:39" ht="21" customHeight="1" x14ac:dyDescent="0.15">
      <c r="A966" s="42" t="str">
        <f t="shared" si="53"/>
        <v>50003_1</v>
      </c>
      <c r="B966" s="23">
        <v>3</v>
      </c>
      <c r="C966" s="31">
        <v>50003</v>
      </c>
      <c r="D966" s="47" t="str">
        <f ca="1">VLOOKUP($C966,OFFSET(quests!$A$1,0,0,COUNTA(quests!$A:$A),MATCH(D$1,quests!$1:$1,0)-MATCH($C$2,quests!$1:$1,0)+1),MATCH(D$1,quests!$1:$1,0)-MATCH($C$2,quests!$1:$1,0)+1,FALSE)</f>
        <v>織田信長襲来！</v>
      </c>
      <c r="E966" s="48" t="str">
        <f ca="1">VLOOKUP($C966,OFFSET(quests!$A$1,0,0,COUNTA(quests!$A:$A),MATCH(E$2,quests!$1:$1,0)-MATCH($C$2,quests!$1:$1,0)+1),MATCH(E$2,quests!$1:$1,0)-MATCH($C$2,quests!$1:$1,0)+1,FALSE)</f>
        <v>超降臨3</v>
      </c>
      <c r="F966" s="7">
        <v>1</v>
      </c>
      <c r="G966" s="7" t="s">
        <v>568</v>
      </c>
      <c r="H966" s="12" t="s">
        <v>1141</v>
      </c>
      <c r="I966" s="12" t="s">
        <v>583</v>
      </c>
      <c r="J966" s="65">
        <v>0</v>
      </c>
      <c r="K966" s="167">
        <v>40</v>
      </c>
      <c r="L966" s="167">
        <v>5200</v>
      </c>
      <c r="M966" s="167">
        <v>1</v>
      </c>
      <c r="N966" s="167">
        <v>1</v>
      </c>
      <c r="O966" s="167">
        <v>1</v>
      </c>
      <c r="P966" s="167">
        <v>1</v>
      </c>
      <c r="Q966" s="167">
        <v>1</v>
      </c>
      <c r="R966" s="167">
        <v>3</v>
      </c>
      <c r="S966" s="167" t="s">
        <v>924</v>
      </c>
      <c r="T966" s="167">
        <v>726</v>
      </c>
      <c r="U966" s="7" t="s">
        <v>169</v>
      </c>
      <c r="V966" s="7" t="s">
        <v>169</v>
      </c>
      <c r="W966" s="47" t="str">
        <f t="shared" ca="1" si="77"/>
        <v/>
      </c>
      <c r="X966" s="47">
        <f ca="1">VLOOKUP($C966,OFFSET(quests!$A$1,0,0,COUNTA(quests!$A:$A),MATCH(X$2,quests!$1:$1,0)-MATCH($C$2,quests!$1:$1,0)+1),MATCH(X$2,quests!$1:$1,0)-MATCH($C$2,quests!$1:$1,0)+1,FALSE)</f>
        <v>0</v>
      </c>
      <c r="Y966" s="47">
        <f ca="1">VLOOKUP($C966,OFFSET(quests!$A$1,0,0,COUNTA(quests!$A:$A),MATCH(Y$2,quests!$1:$1,0)-MATCH($C$2,quests!$1:$1,0)+1),MATCH(Y$2,quests!$1:$1,0)-MATCH($C$2,quests!$1:$1,0)+1,FALSE)</f>
        <v>0</v>
      </c>
      <c r="Z966" s="47">
        <f ca="1">VLOOKUP($C966,OFFSET(quests!$A$1,0,0,COUNTA(quests!$A:$A),MATCH(Z$2,quests!$1:$1,0)-MATCH($C$2,quests!$1:$1,0)+1),MATCH(Z$2,quests!$1:$1,0)-MATCH($C$2,quests!$1:$1,0)+1,FALSE)</f>
        <v>0</v>
      </c>
      <c r="AA966" s="47">
        <f ca="1">VLOOKUP($C966,OFFSET(quests!$A$1,0,0,COUNTA(quests!$A:$A),MATCH(AA$2,quests!$1:$1,0)-MATCH($C$2,quests!$1:$1,0)+1),MATCH(AA$2,quests!$1:$1,0)-MATCH($C$2,quests!$1:$1,0)+1,FALSE)</f>
        <v>0</v>
      </c>
      <c r="AB966" s="7" t="s">
        <v>56</v>
      </c>
      <c r="AC966" s="7">
        <v>920</v>
      </c>
      <c r="AD966" s="7">
        <v>6</v>
      </c>
      <c r="AE966" s="7" t="s">
        <v>519</v>
      </c>
      <c r="AF966" s="7">
        <v>5000</v>
      </c>
      <c r="AG966" s="7">
        <v>5000</v>
      </c>
      <c r="AH966" s="7">
        <v>0</v>
      </c>
      <c r="AI966" s="7">
        <v>0</v>
      </c>
      <c r="AJ966" s="7">
        <v>-1</v>
      </c>
      <c r="AK966" s="7" t="s">
        <v>1065</v>
      </c>
      <c r="AL966" s="12" t="s">
        <v>1695</v>
      </c>
      <c r="AM966" s="12" t="s">
        <v>2072</v>
      </c>
    </row>
    <row r="967" spans="1:39" s="183" customFormat="1" ht="21" customHeight="1" x14ac:dyDescent="0.15">
      <c r="A967" s="42" t="str">
        <f t="shared" si="53"/>
        <v>50004_1</v>
      </c>
      <c r="B967" s="23">
        <v>3</v>
      </c>
      <c r="C967" s="31">
        <v>50004</v>
      </c>
      <c r="D967" s="47" t="str">
        <f ca="1">VLOOKUP($C967,OFFSET(quests!$A$1,0,0,COUNTA(quests!$A:$A),MATCH(D$1,quests!$1:$1,0)-MATCH($C$2,quests!$1:$1,0)+1),MATCH(D$1,quests!$1:$1,0)-MATCH($C$2,quests!$1:$1,0)+1,FALSE)</f>
        <v>ルシファー襲来！</v>
      </c>
      <c r="E967" s="48" t="str">
        <f ca="1">VLOOKUP($C967,OFFSET(quests!$A$1,0,0,COUNTA(quests!$A:$A),MATCH(E$2,quests!$1:$1,0)-MATCH($C$2,quests!$1:$1,0)+1),MATCH(E$2,quests!$1:$1,0)-MATCH($C$2,quests!$1:$1,0)+1,FALSE)</f>
        <v>超降臨4</v>
      </c>
      <c r="F967" s="7">
        <v>1</v>
      </c>
      <c r="G967" s="7" t="s">
        <v>568</v>
      </c>
      <c r="H967" s="12" t="s">
        <v>1181</v>
      </c>
      <c r="I967" s="12" t="s">
        <v>583</v>
      </c>
      <c r="J967" s="65">
        <v>0</v>
      </c>
      <c r="K967" s="167">
        <v>40</v>
      </c>
      <c r="L967" s="167">
        <v>5200</v>
      </c>
      <c r="M967" s="167">
        <v>1</v>
      </c>
      <c r="N967" s="167">
        <v>1</v>
      </c>
      <c r="O967" s="167">
        <v>1</v>
      </c>
      <c r="P967" s="167">
        <v>1</v>
      </c>
      <c r="Q967" s="167">
        <v>1</v>
      </c>
      <c r="R967" s="167">
        <v>3</v>
      </c>
      <c r="S967" s="167" t="s">
        <v>273</v>
      </c>
      <c r="T967" s="167">
        <v>846</v>
      </c>
      <c r="U967" s="7" t="s">
        <v>169</v>
      </c>
      <c r="V967" s="7" t="s">
        <v>169</v>
      </c>
      <c r="W967" s="47" t="str">
        <f t="shared" ca="1" si="77"/>
        <v/>
      </c>
      <c r="X967" s="47">
        <f ca="1">VLOOKUP($C967,OFFSET(quests!$A$1,0,0,COUNTA(quests!$A:$A),MATCH(X$2,quests!$1:$1,0)-MATCH($C$2,quests!$1:$1,0)+1),MATCH(X$2,quests!$1:$1,0)-MATCH($C$2,quests!$1:$1,0)+1,FALSE)</f>
        <v>0</v>
      </c>
      <c r="Y967" s="47">
        <f ca="1">VLOOKUP($C967,OFFSET(quests!$A$1,0,0,COUNTA(quests!$A:$A),MATCH(Y$2,quests!$1:$1,0)-MATCH($C$2,quests!$1:$1,0)+1),MATCH(Y$2,quests!$1:$1,0)-MATCH($C$2,quests!$1:$1,0)+1,FALSE)</f>
        <v>0</v>
      </c>
      <c r="Z967" s="47">
        <f ca="1">VLOOKUP($C967,OFFSET(quests!$A$1,0,0,COUNTA(quests!$A:$A),MATCH(Z$2,quests!$1:$1,0)-MATCH($C$2,quests!$1:$1,0)+1),MATCH(Z$2,quests!$1:$1,0)-MATCH($C$2,quests!$1:$1,0)+1,FALSE)</f>
        <v>0</v>
      </c>
      <c r="AA967" s="47">
        <f ca="1">VLOOKUP($C967,OFFSET(quests!$A$1,0,0,COUNTA(quests!$A:$A),MATCH(AA$2,quests!$1:$1,0)-MATCH($C$2,quests!$1:$1,0)+1),MATCH(AA$2,quests!$1:$1,0)-MATCH($C$2,quests!$1:$1,0)+1,FALSE)</f>
        <v>0</v>
      </c>
      <c r="AB967" s="7" t="s">
        <v>56</v>
      </c>
      <c r="AC967" s="7">
        <v>928</v>
      </c>
      <c r="AD967" s="7">
        <v>6</v>
      </c>
      <c r="AE967" s="7" t="s">
        <v>519</v>
      </c>
      <c r="AF967" s="7">
        <v>5000</v>
      </c>
      <c r="AG967" s="7">
        <v>5000</v>
      </c>
      <c r="AH967" s="7">
        <v>0</v>
      </c>
      <c r="AI967" s="7">
        <v>0</v>
      </c>
      <c r="AJ967" s="7">
        <v>-1</v>
      </c>
      <c r="AK967" s="7" t="s">
        <v>1065</v>
      </c>
      <c r="AL967" s="12" t="s">
        <v>1695</v>
      </c>
      <c r="AM967" s="12" t="s">
        <v>2072</v>
      </c>
    </row>
    <row r="968" spans="1:39" s="183" customFormat="1" ht="21" customHeight="1" x14ac:dyDescent="0.15">
      <c r="A968" s="42" t="str">
        <f t="shared" si="53"/>
        <v>50005_1</v>
      </c>
      <c r="B968" s="23">
        <v>3</v>
      </c>
      <c r="C968" s="31">
        <v>50005</v>
      </c>
      <c r="D968" s="47" t="str">
        <f ca="1">VLOOKUP($C968,OFFSET(quests!$A$1,0,0,COUNTA(quests!$A:$A),MATCH(D$1,quests!$1:$1,0)-MATCH($C$2,quests!$1:$1,0)+1),MATCH(D$1,quests!$1:$1,0)-MATCH($C$2,quests!$1:$1,0)+1,FALSE)</f>
        <v>ゼウス襲来！</v>
      </c>
      <c r="E968" s="48" t="str">
        <f ca="1">VLOOKUP($C968,OFFSET(quests!$A$1,0,0,COUNTA(quests!$A:$A),MATCH(E$2,quests!$1:$1,0)-MATCH($C$2,quests!$1:$1,0)+1),MATCH(E$2,quests!$1:$1,0)-MATCH($C$2,quests!$1:$1,0)+1,FALSE)</f>
        <v>超降臨5</v>
      </c>
      <c r="F968" s="7">
        <v>1</v>
      </c>
      <c r="G968" s="7" t="s">
        <v>568</v>
      </c>
      <c r="H968" s="12" t="s">
        <v>1355</v>
      </c>
      <c r="I968" s="12" t="s">
        <v>583</v>
      </c>
      <c r="J968" s="65">
        <v>0</v>
      </c>
      <c r="K968" s="167">
        <v>40</v>
      </c>
      <c r="L968" s="167">
        <v>5200</v>
      </c>
      <c r="M968" s="167">
        <v>1</v>
      </c>
      <c r="N968" s="167">
        <v>1</v>
      </c>
      <c r="O968" s="167">
        <v>1</v>
      </c>
      <c r="P968" s="167">
        <v>1</v>
      </c>
      <c r="Q968" s="167">
        <v>1</v>
      </c>
      <c r="R968" s="167">
        <v>3</v>
      </c>
      <c r="S968" s="167" t="s">
        <v>273</v>
      </c>
      <c r="T968" s="167">
        <v>929</v>
      </c>
      <c r="U968" s="7" t="s">
        <v>169</v>
      </c>
      <c r="V968" s="7" t="s">
        <v>169</v>
      </c>
      <c r="W968" s="47" t="str">
        <f t="shared" ca="1" si="77"/>
        <v/>
      </c>
      <c r="X968" s="47">
        <f ca="1">VLOOKUP($C968,OFFSET(quests!$A$1,0,0,COUNTA(quests!$A:$A),MATCH(X$2,quests!$1:$1,0)-MATCH($C$2,quests!$1:$1,0)+1),MATCH(X$2,quests!$1:$1,0)-MATCH($C$2,quests!$1:$1,0)+1,FALSE)</f>
        <v>0</v>
      </c>
      <c r="Y968" s="47">
        <f ca="1">VLOOKUP($C968,OFFSET(quests!$A$1,0,0,COUNTA(quests!$A:$A),MATCH(Y$2,quests!$1:$1,0)-MATCH($C$2,quests!$1:$1,0)+1),MATCH(Y$2,quests!$1:$1,0)-MATCH($C$2,quests!$1:$1,0)+1,FALSE)</f>
        <v>0</v>
      </c>
      <c r="Z968" s="47">
        <f ca="1">VLOOKUP($C968,OFFSET(quests!$A$1,0,0,COUNTA(quests!$A:$A),MATCH(Z$2,quests!$1:$1,0)-MATCH($C$2,quests!$1:$1,0)+1),MATCH(Z$2,quests!$1:$1,0)-MATCH($C$2,quests!$1:$1,0)+1,FALSE)</f>
        <v>0</v>
      </c>
      <c r="AA968" s="47">
        <f ca="1">VLOOKUP($C968,OFFSET(quests!$A$1,0,0,COUNTA(quests!$A:$A),MATCH(AA$2,quests!$1:$1,0)-MATCH($C$2,quests!$1:$1,0)+1),MATCH(AA$2,quests!$1:$1,0)-MATCH($C$2,quests!$1:$1,0)+1,FALSE)</f>
        <v>0</v>
      </c>
      <c r="AB968" s="7" t="s">
        <v>56</v>
      </c>
      <c r="AC968" s="167">
        <v>935</v>
      </c>
      <c r="AD968" s="7">
        <v>6</v>
      </c>
      <c r="AE968" s="7" t="s">
        <v>519</v>
      </c>
      <c r="AF968" s="7">
        <v>5000</v>
      </c>
      <c r="AG968" s="7">
        <v>5000</v>
      </c>
      <c r="AH968" s="7">
        <v>0</v>
      </c>
      <c r="AI968" s="7">
        <v>0</v>
      </c>
      <c r="AJ968" s="7">
        <v>-1</v>
      </c>
      <c r="AK968" s="7" t="s">
        <v>1065</v>
      </c>
      <c r="AL968" s="12" t="s">
        <v>1695</v>
      </c>
      <c r="AM968" s="12" t="s">
        <v>2072</v>
      </c>
    </row>
    <row r="969" spans="1:39" s="183" customFormat="1" ht="18" customHeight="1" x14ac:dyDescent="0.15">
      <c r="A969" s="42" t="str">
        <f t="shared" si="53"/>
        <v>50006_1</v>
      </c>
      <c r="B969" s="23">
        <v>3</v>
      </c>
      <c r="C969" s="31">
        <v>50006</v>
      </c>
      <c r="D969" s="47" t="str">
        <f ca="1">VLOOKUP($C969,OFFSET(quests!$A$1,0,0,COUNTA(quests!$A:$A),MATCH(D$1,quests!$1:$1,0)-MATCH($C$2,quests!$1:$1,0)+1),MATCH(D$1,quests!$1:$1,0)-MATCH($C$2,quests!$1:$1,0)+1,FALSE)</f>
        <v>セト襲来！</v>
      </c>
      <c r="E969" s="48" t="str">
        <f ca="1">VLOOKUP($C969,OFFSET(quests!$A$1,0,0,COUNTA(quests!$A:$A),MATCH(E$2,quests!$1:$1,0)-MATCH($C$2,quests!$1:$1,0)+1),MATCH(E$2,quests!$1:$1,0)-MATCH($C$2,quests!$1:$1,0)+1,FALSE)</f>
        <v>超降臨6</v>
      </c>
      <c r="F969" s="7">
        <v>1</v>
      </c>
      <c r="G969" s="7" t="s">
        <v>568</v>
      </c>
      <c r="H969" s="12" t="s">
        <v>1478</v>
      </c>
      <c r="I969" s="12" t="s">
        <v>583</v>
      </c>
      <c r="J969" s="65">
        <v>0</v>
      </c>
      <c r="K969" s="167">
        <v>40</v>
      </c>
      <c r="L969" s="167">
        <v>5200</v>
      </c>
      <c r="M969" s="167">
        <v>1</v>
      </c>
      <c r="N969" s="167">
        <v>1</v>
      </c>
      <c r="O969" s="167">
        <v>1</v>
      </c>
      <c r="P969" s="167">
        <v>1</v>
      </c>
      <c r="Q969" s="167">
        <v>1</v>
      </c>
      <c r="R969" s="167">
        <v>3</v>
      </c>
      <c r="S969" s="167" t="s">
        <v>273</v>
      </c>
      <c r="T969" s="167">
        <v>1010</v>
      </c>
      <c r="U969" s="7" t="s">
        <v>169</v>
      </c>
      <c r="V969" s="7" t="s">
        <v>169</v>
      </c>
      <c r="W969" s="47" t="str">
        <f t="shared" ca="1" si="77"/>
        <v/>
      </c>
      <c r="X969" s="47">
        <f ca="1">VLOOKUP($C969,OFFSET(quests!$A$1,0,0,COUNTA(quests!$A:$A),MATCH(X$2,quests!$1:$1,0)-MATCH($C$2,quests!$1:$1,0)+1),MATCH(X$2,quests!$1:$1,0)-MATCH($C$2,quests!$1:$1,0)+1,FALSE)</f>
        <v>0</v>
      </c>
      <c r="Y969" s="47">
        <f ca="1">VLOOKUP($C969,OFFSET(quests!$A$1,0,0,COUNTA(quests!$A:$A),MATCH(Y$2,quests!$1:$1,0)-MATCH($C$2,quests!$1:$1,0)+1),MATCH(Y$2,quests!$1:$1,0)-MATCH($C$2,quests!$1:$1,0)+1,FALSE)</f>
        <v>0</v>
      </c>
      <c r="Z969" s="47">
        <f ca="1">VLOOKUP($C969,OFFSET(quests!$A$1,0,0,COUNTA(quests!$A:$A),MATCH(Z$2,quests!$1:$1,0)-MATCH($C$2,quests!$1:$1,0)+1),MATCH(Z$2,quests!$1:$1,0)-MATCH($C$2,quests!$1:$1,0)+1,FALSE)</f>
        <v>0</v>
      </c>
      <c r="AA969" s="47">
        <f ca="1">VLOOKUP($C969,OFFSET(quests!$A$1,0,0,COUNTA(quests!$A:$A),MATCH(AA$2,quests!$1:$1,0)-MATCH($C$2,quests!$1:$1,0)+1),MATCH(AA$2,quests!$1:$1,0)-MATCH($C$2,quests!$1:$1,0)+1,FALSE)</f>
        <v>0</v>
      </c>
      <c r="AB969" s="7" t="s">
        <v>56</v>
      </c>
      <c r="AC969" s="167">
        <v>939</v>
      </c>
      <c r="AD969" s="7">
        <v>6</v>
      </c>
      <c r="AE969" s="7" t="s">
        <v>519</v>
      </c>
      <c r="AF969" s="7">
        <v>5000</v>
      </c>
      <c r="AG969" s="7">
        <v>5000</v>
      </c>
      <c r="AH969" s="7">
        <v>0</v>
      </c>
      <c r="AI969" s="7">
        <v>0</v>
      </c>
      <c r="AJ969" s="7">
        <v>-1</v>
      </c>
      <c r="AK969" s="7" t="s">
        <v>1065</v>
      </c>
      <c r="AL969" s="12" t="s">
        <v>1695</v>
      </c>
      <c r="AM969" s="12" t="s">
        <v>2072</v>
      </c>
    </row>
    <row r="970" spans="1:39" s="183" customFormat="1" ht="21" customHeight="1" x14ac:dyDescent="0.15">
      <c r="A970" s="42" t="str">
        <f t="shared" si="53"/>
        <v>50007_1</v>
      </c>
      <c r="B970" s="23">
        <v>3</v>
      </c>
      <c r="C970" s="31">
        <v>50007</v>
      </c>
      <c r="D970" s="47" t="str">
        <f ca="1">VLOOKUP($C970,OFFSET(quests!$A$1,0,0,COUNTA(quests!$A:$A),MATCH(D$1,quests!$1:$1,0)-MATCH($C$2,quests!$1:$1,0)+1),MATCH(D$1,quests!$1:$1,0)-MATCH($C$2,quests!$1:$1,0)+1,FALSE)</f>
        <v>ギルガメッシュ襲来！</v>
      </c>
      <c r="E970" s="48" t="str">
        <f ca="1">VLOOKUP($C970,OFFSET(quests!$A$1,0,0,COUNTA(quests!$A:$A),MATCH(E$2,quests!$1:$1,0)-MATCH($C$2,quests!$1:$1,0)+1),MATCH(E$2,quests!$1:$1,0)-MATCH($C$2,quests!$1:$1,0)+1,FALSE)</f>
        <v>超降臨7</v>
      </c>
      <c r="F970" s="7">
        <v>1</v>
      </c>
      <c r="G970" s="7" t="s">
        <v>568</v>
      </c>
      <c r="H970" s="12" t="s">
        <v>1616</v>
      </c>
      <c r="I970" s="12" t="s">
        <v>583</v>
      </c>
      <c r="J970" s="65">
        <v>0</v>
      </c>
      <c r="K970" s="167">
        <v>40</v>
      </c>
      <c r="L970" s="167">
        <v>5200</v>
      </c>
      <c r="M970" s="167">
        <v>1</v>
      </c>
      <c r="N970" s="167">
        <v>1</v>
      </c>
      <c r="O970" s="167">
        <v>1</v>
      </c>
      <c r="P970" s="167">
        <v>1</v>
      </c>
      <c r="Q970" s="167">
        <v>1</v>
      </c>
      <c r="R970" s="167">
        <v>3</v>
      </c>
      <c r="S970" s="167" t="s">
        <v>273</v>
      </c>
      <c r="T970" s="167">
        <v>1065</v>
      </c>
      <c r="U970" s="7" t="s">
        <v>169</v>
      </c>
      <c r="V970" s="7" t="s">
        <v>169</v>
      </c>
      <c r="W970" s="47" t="str">
        <f t="shared" ca="1" si="77"/>
        <v/>
      </c>
      <c r="X970" s="47">
        <f ca="1">VLOOKUP($C970,OFFSET(quests!$A$1,0,0,COUNTA(quests!$A:$A),MATCH(X$2,quests!$1:$1,0)-MATCH($C$2,quests!$1:$1,0)+1),MATCH(X$2,quests!$1:$1,0)-MATCH($C$2,quests!$1:$1,0)+1,FALSE)</f>
        <v>0</v>
      </c>
      <c r="Y970" s="47">
        <f ca="1">VLOOKUP($C970,OFFSET(quests!$A$1,0,0,COUNTA(quests!$A:$A),MATCH(Y$2,quests!$1:$1,0)-MATCH($C$2,quests!$1:$1,0)+1),MATCH(Y$2,quests!$1:$1,0)-MATCH($C$2,quests!$1:$1,0)+1,FALSE)</f>
        <v>0</v>
      </c>
      <c r="Z970" s="47">
        <f ca="1">VLOOKUP($C970,OFFSET(quests!$A$1,0,0,COUNTA(quests!$A:$A),MATCH(Z$2,quests!$1:$1,0)-MATCH($C$2,quests!$1:$1,0)+1),MATCH(Z$2,quests!$1:$1,0)-MATCH($C$2,quests!$1:$1,0)+1,FALSE)</f>
        <v>0</v>
      </c>
      <c r="AA970" s="47">
        <f ca="1">VLOOKUP($C970,OFFSET(quests!$A$1,0,0,COUNTA(quests!$A:$A),MATCH(AA$2,quests!$1:$1,0)-MATCH($C$2,quests!$1:$1,0)+1),MATCH(AA$2,quests!$1:$1,0)-MATCH($C$2,quests!$1:$1,0)+1,FALSE)</f>
        <v>0</v>
      </c>
      <c r="AB970" s="7" t="s">
        <v>56</v>
      </c>
      <c r="AC970" s="167">
        <v>945</v>
      </c>
      <c r="AD970" s="7">
        <v>6</v>
      </c>
      <c r="AE970" s="7" t="s">
        <v>519</v>
      </c>
      <c r="AF970" s="7">
        <v>5000</v>
      </c>
      <c r="AG970" s="7">
        <v>5000</v>
      </c>
      <c r="AH970" s="7">
        <v>0</v>
      </c>
      <c r="AI970" s="7">
        <v>0</v>
      </c>
      <c r="AJ970" s="7">
        <v>-1</v>
      </c>
      <c r="AK970" s="7" t="s">
        <v>1065</v>
      </c>
      <c r="AL970" s="12" t="s">
        <v>1695</v>
      </c>
      <c r="AM970" s="12" t="s">
        <v>2072</v>
      </c>
    </row>
    <row r="971" spans="1:39" s="183" customFormat="1" ht="21" customHeight="1" x14ac:dyDescent="0.15">
      <c r="A971" s="42" t="str">
        <f t="shared" si="53"/>
        <v>50008_1</v>
      </c>
      <c r="B971" s="23">
        <v>3</v>
      </c>
      <c r="C971" s="31">
        <v>50008</v>
      </c>
      <c r="D971" s="47" t="str">
        <f ca="1">VLOOKUP($C971,OFFSET(quests!$A$1,0,0,COUNTA(quests!$A:$A),MATCH(D$1,quests!$1:$1,0)-MATCH($C$2,quests!$1:$1,0)+1),MATCH(D$1,quests!$1:$1,0)-MATCH($C$2,quests!$1:$1,0)+1,FALSE)</f>
        <v>呂布襲来！</v>
      </c>
      <c r="E971" s="48" t="str">
        <f ca="1">VLOOKUP($C971,OFFSET(quests!$A$1,0,0,COUNTA(quests!$A:$A),MATCH(E$2,quests!$1:$1,0)-MATCH($C$2,quests!$1:$1,0)+1),MATCH(E$2,quests!$1:$1,0)-MATCH($C$2,quests!$1:$1,0)+1,FALSE)</f>
        <v>超降臨8</v>
      </c>
      <c r="F971" s="7">
        <v>1</v>
      </c>
      <c r="G971" s="7" t="s">
        <v>568</v>
      </c>
      <c r="H971" s="12" t="s">
        <v>1734</v>
      </c>
      <c r="I971" s="12" t="s">
        <v>583</v>
      </c>
      <c r="J971" s="65">
        <v>0</v>
      </c>
      <c r="K971" s="167">
        <v>40</v>
      </c>
      <c r="L971" s="167">
        <v>5200</v>
      </c>
      <c r="M971" s="167">
        <v>1</v>
      </c>
      <c r="N971" s="167">
        <v>1</v>
      </c>
      <c r="O971" s="167">
        <v>1</v>
      </c>
      <c r="P971" s="167">
        <v>1</v>
      </c>
      <c r="Q971" s="167">
        <v>1</v>
      </c>
      <c r="R971" s="167">
        <v>3</v>
      </c>
      <c r="S971" s="167" t="s">
        <v>273</v>
      </c>
      <c r="T971" s="167">
        <v>1135</v>
      </c>
      <c r="U971" s="7" t="s">
        <v>169</v>
      </c>
      <c r="V971" s="7" t="s">
        <v>169</v>
      </c>
      <c r="W971" s="47" t="str">
        <f t="shared" ca="1" si="77"/>
        <v/>
      </c>
      <c r="X971" s="47">
        <f ca="1">VLOOKUP($C971,OFFSET(quests!$A$1,0,0,COUNTA(quests!$A:$A),MATCH(X$2,quests!$1:$1,0)-MATCH($C$2,quests!$1:$1,0)+1),MATCH(X$2,quests!$1:$1,0)-MATCH($C$2,quests!$1:$1,0)+1,FALSE)</f>
        <v>0</v>
      </c>
      <c r="Y971" s="47">
        <f ca="1">VLOOKUP($C971,OFFSET(quests!$A$1,0,0,COUNTA(quests!$A:$A),MATCH(Y$2,quests!$1:$1,0)-MATCH($C$2,quests!$1:$1,0)+1),MATCH(Y$2,quests!$1:$1,0)-MATCH($C$2,quests!$1:$1,0)+1,FALSE)</f>
        <v>0</v>
      </c>
      <c r="Z971" s="47">
        <f ca="1">VLOOKUP($C971,OFFSET(quests!$A$1,0,0,COUNTA(quests!$A:$A),MATCH(Z$2,quests!$1:$1,0)-MATCH($C$2,quests!$1:$1,0)+1),MATCH(Z$2,quests!$1:$1,0)-MATCH($C$2,quests!$1:$1,0)+1,FALSE)</f>
        <v>0</v>
      </c>
      <c r="AA971" s="47">
        <f ca="1">VLOOKUP($C971,OFFSET(quests!$A$1,0,0,COUNTA(quests!$A:$A),MATCH(AA$2,quests!$1:$1,0)-MATCH($C$2,quests!$1:$1,0)+1),MATCH(AA$2,quests!$1:$1,0)-MATCH($C$2,quests!$1:$1,0)+1,FALSE)</f>
        <v>0</v>
      </c>
      <c r="AB971" s="7" t="s">
        <v>56</v>
      </c>
      <c r="AC971" s="167">
        <v>950</v>
      </c>
      <c r="AD971" s="7">
        <v>6</v>
      </c>
      <c r="AE971" s="7" t="s">
        <v>519</v>
      </c>
      <c r="AF971" s="7">
        <v>5000</v>
      </c>
      <c r="AG971" s="7">
        <v>5000</v>
      </c>
      <c r="AH971" s="7">
        <v>0</v>
      </c>
      <c r="AI971" s="7">
        <v>0</v>
      </c>
      <c r="AJ971" s="7">
        <v>-1</v>
      </c>
      <c r="AK971" s="7" t="s">
        <v>1065</v>
      </c>
      <c r="AL971" s="12" t="s">
        <v>1695</v>
      </c>
      <c r="AM971" s="12" t="s">
        <v>2072</v>
      </c>
    </row>
    <row r="972" spans="1:39" s="183" customFormat="1" ht="21" customHeight="1" x14ac:dyDescent="0.15">
      <c r="A972" s="42" t="str">
        <f t="shared" ref="A972" si="92">C972&amp;"_"&amp;F972</f>
        <v>50009_1</v>
      </c>
      <c r="B972" s="204">
        <v>1</v>
      </c>
      <c r="C972" s="31">
        <v>50009</v>
      </c>
      <c r="D972" s="47" t="str">
        <f ca="1">VLOOKUP($C972,OFFSET(quests!$A$1,0,0,COUNTA(quests!$A:$A),MATCH(D$1,quests!$1:$1,0)-MATCH($C$2,quests!$1:$1,0)+1),MATCH(D$1,quests!$1:$1,0)-MATCH($C$2,quests!$1:$1,0)+1,FALSE)</f>
        <v>ヘラ襲来！</v>
      </c>
      <c r="E972" s="48" t="str">
        <f ca="1">VLOOKUP($C972,OFFSET(quests!$A$1,0,0,COUNTA(quests!$A:$A),MATCH(E$2,quests!$1:$1,0)-MATCH($C$2,quests!$1:$1,0)+1),MATCH(E$2,quests!$1:$1,0)-MATCH($C$2,quests!$1:$1,0)+1,FALSE)</f>
        <v>超降臨9</v>
      </c>
      <c r="F972" s="7">
        <v>1</v>
      </c>
      <c r="G972" s="7" t="s">
        <v>568</v>
      </c>
      <c r="H972" s="12" t="s">
        <v>1735</v>
      </c>
      <c r="I972" s="12" t="s">
        <v>583</v>
      </c>
      <c r="J972" s="65">
        <v>0</v>
      </c>
      <c r="K972" s="167">
        <v>40</v>
      </c>
      <c r="L972" s="167">
        <v>5200</v>
      </c>
      <c r="M972" s="167">
        <v>1</v>
      </c>
      <c r="N972" s="167">
        <v>1</v>
      </c>
      <c r="O972" s="167">
        <v>1</v>
      </c>
      <c r="P972" s="167">
        <v>1</v>
      </c>
      <c r="Q972" s="167">
        <v>1</v>
      </c>
      <c r="R972" s="167">
        <v>3</v>
      </c>
      <c r="S972" s="167" t="s">
        <v>273</v>
      </c>
      <c r="T972" s="167">
        <v>1206</v>
      </c>
      <c r="U972" s="7" t="s">
        <v>169</v>
      </c>
      <c r="V972" s="7" t="s">
        <v>169</v>
      </c>
      <c r="W972" s="47" t="str">
        <f t="shared" ca="1" si="77"/>
        <v/>
      </c>
      <c r="X972" s="47">
        <f ca="1">VLOOKUP($C972,OFFSET(quests!$A$1,0,0,COUNTA(quests!$A:$A),MATCH(X$2,quests!$1:$1,0)-MATCH($C$2,quests!$1:$1,0)+1),MATCH(X$2,quests!$1:$1,0)-MATCH($C$2,quests!$1:$1,0)+1,FALSE)</f>
        <v>0</v>
      </c>
      <c r="Y972" s="47">
        <f ca="1">VLOOKUP($C972,OFFSET(quests!$A$1,0,0,COUNTA(quests!$A:$A),MATCH(Y$2,quests!$1:$1,0)-MATCH($C$2,quests!$1:$1,0)+1),MATCH(Y$2,quests!$1:$1,0)-MATCH($C$2,quests!$1:$1,0)+1,FALSE)</f>
        <v>0</v>
      </c>
      <c r="Z972" s="47">
        <f ca="1">VLOOKUP($C972,OFFSET(quests!$A$1,0,0,COUNTA(quests!$A:$A),MATCH(Z$2,quests!$1:$1,0)-MATCH($C$2,quests!$1:$1,0)+1),MATCH(Z$2,quests!$1:$1,0)-MATCH($C$2,quests!$1:$1,0)+1,FALSE)</f>
        <v>0</v>
      </c>
      <c r="AA972" s="47">
        <f ca="1">VLOOKUP($C972,OFFSET(quests!$A$1,0,0,COUNTA(quests!$A:$A),MATCH(AA$2,quests!$1:$1,0)-MATCH($C$2,quests!$1:$1,0)+1),MATCH(AA$2,quests!$1:$1,0)-MATCH($C$2,quests!$1:$1,0)+1,FALSE)</f>
        <v>0</v>
      </c>
      <c r="AB972" s="7" t="s">
        <v>56</v>
      </c>
      <c r="AC972" s="167">
        <v>955</v>
      </c>
      <c r="AD972" s="7">
        <v>6</v>
      </c>
      <c r="AE972" s="7" t="s">
        <v>519</v>
      </c>
      <c r="AF972" s="7">
        <v>5000</v>
      </c>
      <c r="AG972" s="7">
        <v>5000</v>
      </c>
      <c r="AH972" s="7">
        <v>0</v>
      </c>
      <c r="AI972" s="7">
        <v>0</v>
      </c>
      <c r="AJ972" s="7">
        <v>-1</v>
      </c>
      <c r="AK972" s="7" t="s">
        <v>1065</v>
      </c>
      <c r="AL972" s="12" t="s">
        <v>1337</v>
      </c>
      <c r="AM972" s="12" t="s">
        <v>2072</v>
      </c>
    </row>
    <row r="973" spans="1:39" s="183" customFormat="1" ht="21" customHeight="1" x14ac:dyDescent="0.15">
      <c r="A973" s="42" t="str">
        <f t="shared" ref="A973:A974" si="93">C973&amp;"_"&amp;F973</f>
        <v>50010_1</v>
      </c>
      <c r="B973" s="23">
        <v>3</v>
      </c>
      <c r="C973" s="31">
        <v>50010</v>
      </c>
      <c r="D973" s="47" t="str">
        <f ca="1">VLOOKUP($C973,OFFSET(quests!$A$1,0,0,COUNTA(quests!$A:$A),MATCH(D$1,quests!$1:$1,0)-MATCH($C$2,quests!$1:$1,0)+1),MATCH(D$1,quests!$1:$1,0)-MATCH($C$2,quests!$1:$1,0)+1,FALSE)</f>
        <v>カフカ襲来！</v>
      </c>
      <c r="E973" s="48" t="str">
        <f ca="1">VLOOKUP($C973,OFFSET(quests!$A$1,0,0,COUNTA(quests!$A:$A),MATCH(E$2,quests!$1:$1,0)-MATCH($C$2,quests!$1:$1,0)+1),MATCH(E$2,quests!$1:$1,0)-MATCH($C$2,quests!$1:$1,0)+1,FALSE)</f>
        <v>超降臨10</v>
      </c>
      <c r="F973" s="7">
        <v>1</v>
      </c>
      <c r="G973" s="7" t="s">
        <v>568</v>
      </c>
      <c r="H973" s="12" t="s">
        <v>1799</v>
      </c>
      <c r="I973" s="12" t="s">
        <v>583</v>
      </c>
      <c r="J973" s="65">
        <v>0</v>
      </c>
      <c r="K973" s="167">
        <v>40</v>
      </c>
      <c r="L973" s="167">
        <v>5200</v>
      </c>
      <c r="M973" s="167">
        <v>1</v>
      </c>
      <c r="N973" s="167">
        <v>1</v>
      </c>
      <c r="O973" s="167">
        <v>1</v>
      </c>
      <c r="P973" s="167">
        <v>1</v>
      </c>
      <c r="Q973" s="167">
        <v>1</v>
      </c>
      <c r="R973" s="167">
        <v>3</v>
      </c>
      <c r="S973" s="167" t="s">
        <v>273</v>
      </c>
      <c r="T973" s="167">
        <v>1222</v>
      </c>
      <c r="U973" s="7" t="s">
        <v>169</v>
      </c>
      <c r="V973" s="7" t="s">
        <v>169</v>
      </c>
      <c r="W973" s="47" t="str">
        <f t="shared" ca="1" si="77"/>
        <v/>
      </c>
      <c r="X973" s="47">
        <f ca="1">VLOOKUP($C973,OFFSET(quests!$A$1,0,0,COUNTA(quests!$A:$A),MATCH(X$2,quests!$1:$1,0)-MATCH($C$2,quests!$1:$1,0)+1),MATCH(X$2,quests!$1:$1,0)-MATCH($C$2,quests!$1:$1,0)+1,FALSE)</f>
        <v>0</v>
      </c>
      <c r="Y973" s="47">
        <f ca="1">VLOOKUP($C973,OFFSET(quests!$A$1,0,0,COUNTA(quests!$A:$A),MATCH(Y$2,quests!$1:$1,0)-MATCH($C$2,quests!$1:$1,0)+1),MATCH(Y$2,quests!$1:$1,0)-MATCH($C$2,quests!$1:$1,0)+1,FALSE)</f>
        <v>0</v>
      </c>
      <c r="Z973" s="47">
        <f ca="1">VLOOKUP($C973,OFFSET(quests!$A$1,0,0,COUNTA(quests!$A:$A),MATCH(Z$2,quests!$1:$1,0)-MATCH($C$2,quests!$1:$1,0)+1),MATCH(Z$2,quests!$1:$1,0)-MATCH($C$2,quests!$1:$1,0)+1,FALSE)</f>
        <v>0</v>
      </c>
      <c r="AA973" s="47">
        <f ca="1">VLOOKUP($C973,OFFSET(quests!$A$1,0,0,COUNTA(quests!$A:$A),MATCH(AA$2,quests!$1:$1,0)-MATCH($C$2,quests!$1:$1,0)+1),MATCH(AA$2,quests!$1:$1,0)-MATCH($C$2,quests!$1:$1,0)+1,FALSE)</f>
        <v>0</v>
      </c>
      <c r="AB973" s="7" t="s">
        <v>56</v>
      </c>
      <c r="AC973" s="167">
        <v>957</v>
      </c>
      <c r="AD973" s="7">
        <v>6</v>
      </c>
      <c r="AE973" s="7" t="s">
        <v>519</v>
      </c>
      <c r="AF973" s="7">
        <v>5000</v>
      </c>
      <c r="AG973" s="7">
        <v>5000</v>
      </c>
      <c r="AH973" s="7">
        <v>0</v>
      </c>
      <c r="AI973" s="7">
        <v>0</v>
      </c>
      <c r="AJ973" s="7">
        <v>-1</v>
      </c>
      <c r="AK973" s="7" t="s">
        <v>1065</v>
      </c>
      <c r="AL973" s="12" t="s">
        <v>1337</v>
      </c>
      <c r="AM973" s="12" t="s">
        <v>2072</v>
      </c>
    </row>
    <row r="974" spans="1:39" s="183" customFormat="1" ht="21" customHeight="1" x14ac:dyDescent="0.15">
      <c r="A974" s="42" t="str">
        <f t="shared" si="93"/>
        <v>50011_1</v>
      </c>
      <c r="B974" s="23">
        <v>3</v>
      </c>
      <c r="C974" s="31">
        <v>50011</v>
      </c>
      <c r="D974" s="47" t="str">
        <f ca="1">VLOOKUP($C974,OFFSET(quests!$A$1,0,0,COUNTA(quests!$A:$A),MATCH(D$1,quests!$1:$1,0)-MATCH($C$2,quests!$1:$1,0)+1),MATCH(D$1,quests!$1:$1,0)-MATCH($C$2,quests!$1:$1,0)+1,FALSE)</f>
        <v>ヘラ襲来！</v>
      </c>
      <c r="E974" s="48" t="str">
        <f ca="1">VLOOKUP($C974,OFFSET(quests!$A$1,0,0,COUNTA(quests!$A:$A),MATCH(E$2,quests!$1:$1,0)-MATCH($C$2,quests!$1:$1,0)+1),MATCH(E$2,quests!$1:$1,0)-MATCH($C$2,quests!$1:$1,0)+1,FALSE)</f>
        <v>超降臨9</v>
      </c>
      <c r="F974" s="7">
        <v>1</v>
      </c>
      <c r="G974" s="7" t="s">
        <v>568</v>
      </c>
      <c r="H974" s="12" t="s">
        <v>1735</v>
      </c>
      <c r="I974" s="12" t="s">
        <v>583</v>
      </c>
      <c r="J974" s="65">
        <v>0</v>
      </c>
      <c r="K974" s="167">
        <v>40</v>
      </c>
      <c r="L974" s="167">
        <v>5200</v>
      </c>
      <c r="M974" s="167">
        <v>1</v>
      </c>
      <c r="N974" s="167">
        <v>1</v>
      </c>
      <c r="O974" s="167">
        <v>1</v>
      </c>
      <c r="P974" s="167">
        <v>1</v>
      </c>
      <c r="Q974" s="167">
        <v>1</v>
      </c>
      <c r="R974" s="167">
        <v>3</v>
      </c>
      <c r="S974" s="167" t="s">
        <v>273</v>
      </c>
      <c r="T974" s="167">
        <v>1206</v>
      </c>
      <c r="U974" s="7" t="s">
        <v>169</v>
      </c>
      <c r="V974" s="7" t="s">
        <v>169</v>
      </c>
      <c r="W974" s="47" t="str">
        <f t="shared" ca="1" si="77"/>
        <v/>
      </c>
      <c r="X974" s="47">
        <f ca="1">VLOOKUP($C974,OFFSET(quests!$A$1,0,0,COUNTA(quests!$A:$A),MATCH(X$2,quests!$1:$1,0)-MATCH($C$2,quests!$1:$1,0)+1),MATCH(X$2,quests!$1:$1,0)-MATCH($C$2,quests!$1:$1,0)+1,FALSE)</f>
        <v>0</v>
      </c>
      <c r="Y974" s="47">
        <f ca="1">VLOOKUP($C974,OFFSET(quests!$A$1,0,0,COUNTA(quests!$A:$A),MATCH(Y$2,quests!$1:$1,0)-MATCH($C$2,quests!$1:$1,0)+1),MATCH(Y$2,quests!$1:$1,0)-MATCH($C$2,quests!$1:$1,0)+1,FALSE)</f>
        <v>0</v>
      </c>
      <c r="Z974" s="47">
        <f ca="1">VLOOKUP($C974,OFFSET(quests!$A$1,0,0,COUNTA(quests!$A:$A),MATCH(Z$2,quests!$1:$1,0)-MATCH($C$2,quests!$1:$1,0)+1),MATCH(Z$2,quests!$1:$1,0)-MATCH($C$2,quests!$1:$1,0)+1,FALSE)</f>
        <v>0</v>
      </c>
      <c r="AA974" s="47">
        <f ca="1">VLOOKUP($C974,OFFSET(quests!$A$1,0,0,COUNTA(quests!$A:$A),MATCH(AA$2,quests!$1:$1,0)-MATCH($C$2,quests!$1:$1,0)+1),MATCH(AA$2,quests!$1:$1,0)-MATCH($C$2,quests!$1:$1,0)+1,FALSE)</f>
        <v>0</v>
      </c>
      <c r="AB974" s="7" t="s">
        <v>56</v>
      </c>
      <c r="AC974" s="167">
        <v>955</v>
      </c>
      <c r="AD974" s="7">
        <v>6</v>
      </c>
      <c r="AE974" s="7" t="s">
        <v>519</v>
      </c>
      <c r="AF974" s="7">
        <v>5000</v>
      </c>
      <c r="AG974" s="7">
        <v>5000</v>
      </c>
      <c r="AH974" s="7">
        <v>0</v>
      </c>
      <c r="AI974" s="7">
        <v>0</v>
      </c>
      <c r="AJ974" s="7">
        <v>-1</v>
      </c>
      <c r="AK974" s="7" t="s">
        <v>1065</v>
      </c>
      <c r="AL974" s="12" t="s">
        <v>1337</v>
      </c>
      <c r="AM974" s="12" t="s">
        <v>2072</v>
      </c>
    </row>
    <row r="975" spans="1:39" s="183" customFormat="1" ht="21" customHeight="1" x14ac:dyDescent="0.15">
      <c r="A975" s="42" t="str">
        <f t="shared" ref="A975" si="94">C975&amp;"_"&amp;F975</f>
        <v>50012_1</v>
      </c>
      <c r="B975" s="23">
        <v>3</v>
      </c>
      <c r="C975" s="31">
        <v>50012</v>
      </c>
      <c r="D975" s="47" t="str">
        <f ca="1">VLOOKUP($C975,OFFSET(quests!$A$1,0,0,COUNTA(quests!$A:$A),MATCH(D$1,quests!$1:$1,0)-MATCH($C$2,quests!$1:$1,0)+1),MATCH(D$1,quests!$1:$1,0)-MATCH($C$2,quests!$1:$1,0)+1,FALSE)</f>
        <v>豊臣秀吉襲来！</v>
      </c>
      <c r="E975" s="48" t="str">
        <f ca="1">VLOOKUP($C975,OFFSET(quests!$A$1,0,0,COUNTA(quests!$A:$A),MATCH(E$2,quests!$1:$1,0)-MATCH($C$2,quests!$1:$1,0)+1),MATCH(E$2,quests!$1:$1,0)-MATCH($C$2,quests!$1:$1,0)+1,FALSE)</f>
        <v>超降臨11</v>
      </c>
      <c r="F975" s="7">
        <v>1</v>
      </c>
      <c r="G975" s="7" t="s">
        <v>568</v>
      </c>
      <c r="H975" s="12" t="s">
        <v>1969</v>
      </c>
      <c r="I975" s="12" t="s">
        <v>583</v>
      </c>
      <c r="J975" s="65">
        <v>0</v>
      </c>
      <c r="K975" s="167">
        <v>40</v>
      </c>
      <c r="L975" s="167">
        <v>5200</v>
      </c>
      <c r="M975" s="167">
        <v>1</v>
      </c>
      <c r="N975" s="167">
        <v>1</v>
      </c>
      <c r="O975" s="167">
        <v>1</v>
      </c>
      <c r="P975" s="167">
        <v>1</v>
      </c>
      <c r="Q975" s="167">
        <v>1</v>
      </c>
      <c r="R975" s="167">
        <v>3</v>
      </c>
      <c r="S975" s="167" t="s">
        <v>273</v>
      </c>
      <c r="T975" s="167">
        <v>1242</v>
      </c>
      <c r="U975" s="7" t="s">
        <v>169</v>
      </c>
      <c r="V975" s="7" t="s">
        <v>169</v>
      </c>
      <c r="W975" s="47" t="str">
        <f t="shared" ca="1" si="77"/>
        <v/>
      </c>
      <c r="X975" s="47">
        <f ca="1">VLOOKUP($C975,OFFSET(quests!$A$1,0,0,COUNTA(quests!$A:$A),MATCH(X$2,quests!$1:$1,0)-MATCH($C$2,quests!$1:$1,0)+1),MATCH(X$2,quests!$1:$1,0)-MATCH($C$2,quests!$1:$1,0)+1,FALSE)</f>
        <v>0</v>
      </c>
      <c r="Y975" s="47">
        <f ca="1">VLOOKUP($C975,OFFSET(quests!$A$1,0,0,COUNTA(quests!$A:$A),MATCH(Y$2,quests!$1:$1,0)-MATCH($C$2,quests!$1:$1,0)+1),MATCH(Y$2,quests!$1:$1,0)-MATCH($C$2,quests!$1:$1,0)+1,FALSE)</f>
        <v>0</v>
      </c>
      <c r="Z975" s="47">
        <f ca="1">VLOOKUP($C975,OFFSET(quests!$A$1,0,0,COUNTA(quests!$A:$A),MATCH(Z$2,quests!$1:$1,0)-MATCH($C$2,quests!$1:$1,0)+1),MATCH(Z$2,quests!$1:$1,0)-MATCH($C$2,quests!$1:$1,0)+1,FALSE)</f>
        <v>0</v>
      </c>
      <c r="AA975" s="47">
        <f ca="1">VLOOKUP($C975,OFFSET(quests!$A$1,0,0,COUNTA(quests!$A:$A),MATCH(AA$2,quests!$1:$1,0)-MATCH($C$2,quests!$1:$1,0)+1),MATCH(AA$2,quests!$1:$1,0)-MATCH($C$2,quests!$1:$1,0)+1,FALSE)</f>
        <v>0</v>
      </c>
      <c r="AB975" s="7" t="s">
        <v>56</v>
      </c>
      <c r="AC975" s="167">
        <v>959</v>
      </c>
      <c r="AD975" s="7">
        <v>6</v>
      </c>
      <c r="AE975" s="7" t="s">
        <v>519</v>
      </c>
      <c r="AF975" s="7">
        <v>5000</v>
      </c>
      <c r="AG975" s="7">
        <v>5000</v>
      </c>
      <c r="AH975" s="7">
        <v>0</v>
      </c>
      <c r="AI975" s="7">
        <v>0</v>
      </c>
      <c r="AJ975" s="7">
        <v>-1</v>
      </c>
      <c r="AK975" s="7" t="s">
        <v>1065</v>
      </c>
      <c r="AL975" s="12" t="s">
        <v>1269</v>
      </c>
      <c r="AM975" s="12" t="s">
        <v>2072</v>
      </c>
    </row>
    <row r="976" spans="1:39" s="183" customFormat="1" ht="21" customHeight="1" x14ac:dyDescent="0.15">
      <c r="A976" s="42" t="str">
        <f t="shared" ref="A976" si="95">C976&amp;"_"&amp;F976</f>
        <v>50013_1</v>
      </c>
      <c r="B976" s="23">
        <v>3</v>
      </c>
      <c r="C976" s="31">
        <v>50013</v>
      </c>
      <c r="D976" s="47" t="str">
        <f ca="1">VLOOKUP($C976,OFFSET(quests!$A$1,0,0,COUNTA(quests!$A:$A),MATCH(D$1,quests!$1:$1,0)-MATCH($C$2,quests!$1:$1,0)+1),MATCH(D$1,quests!$1:$1,0)-MATCH($C$2,quests!$1:$1,0)+1,FALSE)</f>
        <v>ロキ襲来！</v>
      </c>
      <c r="E976" s="48" t="str">
        <f ca="1">VLOOKUP($C976,OFFSET(quests!$A$1,0,0,COUNTA(quests!$A:$A),MATCH(E$2,quests!$1:$1,0)-MATCH($C$2,quests!$1:$1,0)+1),MATCH(E$2,quests!$1:$1,0)-MATCH($C$2,quests!$1:$1,0)+1,FALSE)</f>
        <v>超降臨12</v>
      </c>
      <c r="F976" s="7">
        <v>1</v>
      </c>
      <c r="G976" s="7" t="s">
        <v>568</v>
      </c>
      <c r="H976" s="12" t="s">
        <v>1951</v>
      </c>
      <c r="I976" s="12" t="s">
        <v>583</v>
      </c>
      <c r="J976" s="65">
        <v>0</v>
      </c>
      <c r="K976" s="167">
        <v>40</v>
      </c>
      <c r="L976" s="167">
        <v>5200</v>
      </c>
      <c r="M976" s="167">
        <v>1</v>
      </c>
      <c r="N976" s="167">
        <v>1</v>
      </c>
      <c r="O976" s="167">
        <v>1</v>
      </c>
      <c r="P976" s="167">
        <v>1</v>
      </c>
      <c r="Q976" s="167">
        <v>1</v>
      </c>
      <c r="R976" s="167">
        <v>3</v>
      </c>
      <c r="S976" s="167" t="s">
        <v>273</v>
      </c>
      <c r="T976" s="167">
        <v>1258</v>
      </c>
      <c r="U976" s="7" t="s">
        <v>169</v>
      </c>
      <c r="V976" s="7" t="s">
        <v>169</v>
      </c>
      <c r="W976" s="47" t="str">
        <f t="shared" ca="1" si="77"/>
        <v/>
      </c>
      <c r="X976" s="47">
        <f ca="1">VLOOKUP($C976,OFFSET(quests!$A$1,0,0,COUNTA(quests!$A:$A),MATCH(X$2,quests!$1:$1,0)-MATCH($C$2,quests!$1:$1,0)+1),MATCH(X$2,quests!$1:$1,0)-MATCH($C$2,quests!$1:$1,0)+1,FALSE)</f>
        <v>0</v>
      </c>
      <c r="Y976" s="47">
        <f ca="1">VLOOKUP($C976,OFFSET(quests!$A$1,0,0,COUNTA(quests!$A:$A),MATCH(Y$2,quests!$1:$1,0)-MATCH($C$2,quests!$1:$1,0)+1),MATCH(Y$2,quests!$1:$1,0)-MATCH($C$2,quests!$1:$1,0)+1,FALSE)</f>
        <v>0</v>
      </c>
      <c r="Z976" s="47">
        <f ca="1">VLOOKUP($C976,OFFSET(quests!$A$1,0,0,COUNTA(quests!$A:$A),MATCH(Z$2,quests!$1:$1,0)-MATCH($C$2,quests!$1:$1,0)+1),MATCH(Z$2,quests!$1:$1,0)-MATCH($C$2,quests!$1:$1,0)+1,FALSE)</f>
        <v>0</v>
      </c>
      <c r="AA976" s="47">
        <f ca="1">VLOOKUP($C976,OFFSET(quests!$A$1,0,0,COUNTA(quests!$A:$A),MATCH(AA$2,quests!$1:$1,0)-MATCH($C$2,quests!$1:$1,0)+1),MATCH(AA$2,quests!$1:$1,0)-MATCH($C$2,quests!$1:$1,0)+1,FALSE)</f>
        <v>0</v>
      </c>
      <c r="AB976" s="7" t="s">
        <v>56</v>
      </c>
      <c r="AC976" s="167">
        <v>961</v>
      </c>
      <c r="AD976" s="7">
        <v>6</v>
      </c>
      <c r="AE976" s="7" t="s">
        <v>519</v>
      </c>
      <c r="AF976" s="7">
        <v>5000</v>
      </c>
      <c r="AG976" s="7">
        <v>5000</v>
      </c>
      <c r="AH976" s="7">
        <v>0</v>
      </c>
      <c r="AI976" s="7">
        <v>0</v>
      </c>
      <c r="AJ976" s="7">
        <v>-1</v>
      </c>
      <c r="AK976" s="7" t="s">
        <v>1065</v>
      </c>
      <c r="AL976" s="12" t="s">
        <v>1269</v>
      </c>
      <c r="AM976" s="12" t="s">
        <v>2072</v>
      </c>
    </row>
    <row r="977" spans="1:39" s="183" customFormat="1" ht="21" customHeight="1" x14ac:dyDescent="0.15">
      <c r="A977" s="42" t="str">
        <f t="shared" ref="A977" si="96">C977&amp;"_"&amp;F977</f>
        <v>50014_1</v>
      </c>
      <c r="B977" s="23">
        <v>3</v>
      </c>
      <c r="C977" s="31">
        <v>50014</v>
      </c>
      <c r="D977" s="47" t="str">
        <f ca="1">VLOOKUP($C977,OFFSET(quests!$A$1,0,0,COUNTA(quests!$A:$A),MATCH(D$1,quests!$1:$1,0)-MATCH($C$2,quests!$1:$1,0)+1),MATCH(D$1,quests!$1:$1,0)-MATCH($C$2,quests!$1:$1,0)+1,FALSE)</f>
        <v>スサノオ襲来！</v>
      </c>
      <c r="E977" s="48" t="str">
        <f ca="1">VLOOKUP($C977,OFFSET(quests!$A$1,0,0,COUNTA(quests!$A:$A),MATCH(E$2,quests!$1:$1,0)-MATCH($C$2,quests!$1:$1,0)+1),MATCH(E$2,quests!$1:$1,0)-MATCH($C$2,quests!$1:$1,0)+1,FALSE)</f>
        <v>超降臨13</v>
      </c>
      <c r="F977" s="7">
        <v>1</v>
      </c>
      <c r="G977" s="7" t="s">
        <v>568</v>
      </c>
      <c r="H977" s="12" t="s">
        <v>2040</v>
      </c>
      <c r="I977" s="12" t="s">
        <v>583</v>
      </c>
      <c r="J977" s="65">
        <v>0</v>
      </c>
      <c r="K977" s="167">
        <v>40</v>
      </c>
      <c r="L977" s="167">
        <v>5200</v>
      </c>
      <c r="M977" s="167">
        <v>1</v>
      </c>
      <c r="N977" s="167">
        <v>1</v>
      </c>
      <c r="O977" s="167">
        <v>1</v>
      </c>
      <c r="P977" s="167">
        <v>1</v>
      </c>
      <c r="Q977" s="167">
        <v>1</v>
      </c>
      <c r="R977" s="167">
        <v>3</v>
      </c>
      <c r="S977" s="167" t="s">
        <v>273</v>
      </c>
      <c r="T977" s="167">
        <v>1330</v>
      </c>
      <c r="U977" s="7" t="s">
        <v>169</v>
      </c>
      <c r="V977" s="7" t="s">
        <v>169</v>
      </c>
      <c r="W977" s="47" t="str">
        <f t="shared" ca="1" si="77"/>
        <v/>
      </c>
      <c r="X977" s="47">
        <f ca="1">VLOOKUP($C977,OFFSET(quests!$A$1,0,0,COUNTA(quests!$A:$A),MATCH(X$2,quests!$1:$1,0)-MATCH($C$2,quests!$1:$1,0)+1),MATCH(X$2,quests!$1:$1,0)-MATCH($C$2,quests!$1:$1,0)+1,FALSE)</f>
        <v>0</v>
      </c>
      <c r="Y977" s="47">
        <f ca="1">VLOOKUP($C977,OFFSET(quests!$A$1,0,0,COUNTA(quests!$A:$A),MATCH(Y$2,quests!$1:$1,0)-MATCH($C$2,quests!$1:$1,0)+1),MATCH(Y$2,quests!$1:$1,0)-MATCH($C$2,quests!$1:$1,0)+1,FALSE)</f>
        <v>0</v>
      </c>
      <c r="Z977" s="47">
        <f ca="1">VLOOKUP($C977,OFFSET(quests!$A$1,0,0,COUNTA(quests!$A:$A),MATCH(Z$2,quests!$1:$1,0)-MATCH($C$2,quests!$1:$1,0)+1),MATCH(Z$2,quests!$1:$1,0)-MATCH($C$2,quests!$1:$1,0)+1,FALSE)</f>
        <v>0</v>
      </c>
      <c r="AA977" s="47">
        <f ca="1">VLOOKUP($C977,OFFSET(quests!$A$1,0,0,COUNTA(quests!$A:$A),MATCH(AA$2,quests!$1:$1,0)-MATCH($C$2,quests!$1:$1,0)+1),MATCH(AA$2,quests!$1:$1,0)-MATCH($C$2,quests!$1:$1,0)+1,FALSE)</f>
        <v>0</v>
      </c>
      <c r="AB977" s="7" t="s">
        <v>56</v>
      </c>
      <c r="AC977" s="167">
        <v>967</v>
      </c>
      <c r="AD977" s="7">
        <v>6</v>
      </c>
      <c r="AE977" s="7" t="s">
        <v>519</v>
      </c>
      <c r="AF977" s="7">
        <v>5000</v>
      </c>
      <c r="AG977" s="7">
        <v>5000</v>
      </c>
      <c r="AH977" s="7">
        <v>0</v>
      </c>
      <c r="AI977" s="7">
        <v>0</v>
      </c>
      <c r="AJ977" s="7">
        <v>-1</v>
      </c>
      <c r="AK977" s="7" t="s">
        <v>1065</v>
      </c>
      <c r="AL977" s="12" t="s">
        <v>1269</v>
      </c>
      <c r="AM977" s="12" t="s">
        <v>2072</v>
      </c>
    </row>
    <row r="978" spans="1:39" s="183" customFormat="1" ht="21" customHeight="1" x14ac:dyDescent="0.15">
      <c r="A978" s="42" t="str">
        <f t="shared" ref="A978" si="97">C978&amp;"_"&amp;F978</f>
        <v>50015_1</v>
      </c>
      <c r="B978" s="23">
        <v>3</v>
      </c>
      <c r="C978" s="31">
        <v>50015</v>
      </c>
      <c r="D978" s="47" t="str">
        <f ca="1">VLOOKUP($C978,OFFSET(quests!$A$1,0,0,COUNTA(quests!$A:$A),MATCH(D$1,quests!$1:$1,0)-MATCH($C$2,quests!$1:$1,0)+1),MATCH(D$1,quests!$1:$1,0)-MATCH($C$2,quests!$1:$1,0)+1,FALSE)</f>
        <v>アンデルセン襲来！</v>
      </c>
      <c r="E978" s="48" t="str">
        <f ca="1">VLOOKUP($C978,OFFSET(quests!$A$1,0,0,COUNTA(quests!$A:$A),MATCH(E$2,quests!$1:$1,0)-MATCH($C$2,quests!$1:$1,0)+1),MATCH(E$2,quests!$1:$1,0)-MATCH($C$2,quests!$1:$1,0)+1,FALSE)</f>
        <v>超降臨14</v>
      </c>
      <c r="F978" s="7">
        <v>1</v>
      </c>
      <c r="G978" s="7" t="s">
        <v>568</v>
      </c>
      <c r="H978" s="12" t="s">
        <v>2222</v>
      </c>
      <c r="I978" s="12" t="s">
        <v>583</v>
      </c>
      <c r="J978" s="65">
        <v>0</v>
      </c>
      <c r="K978" s="167">
        <v>40</v>
      </c>
      <c r="L978" s="167">
        <v>5200</v>
      </c>
      <c r="M978" s="167">
        <v>1</v>
      </c>
      <c r="N978" s="167">
        <v>1</v>
      </c>
      <c r="O978" s="167">
        <v>1</v>
      </c>
      <c r="P978" s="167">
        <v>1</v>
      </c>
      <c r="Q978" s="167">
        <v>1</v>
      </c>
      <c r="R978" s="167">
        <v>3</v>
      </c>
      <c r="S978" s="167" t="s">
        <v>273</v>
      </c>
      <c r="T978" s="167">
        <v>1379</v>
      </c>
      <c r="U978" s="7" t="s">
        <v>169</v>
      </c>
      <c r="V978" s="7" t="s">
        <v>169</v>
      </c>
      <c r="W978" s="47" t="str">
        <f t="shared" ca="1" si="77"/>
        <v/>
      </c>
      <c r="X978" s="47">
        <f ca="1">VLOOKUP($C978,OFFSET(quests!$A$1,0,0,COUNTA(quests!$A:$A),MATCH(X$2,quests!$1:$1,0)-MATCH($C$2,quests!$1:$1,0)+1),MATCH(X$2,quests!$1:$1,0)-MATCH($C$2,quests!$1:$1,0)+1,FALSE)</f>
        <v>0</v>
      </c>
      <c r="Y978" s="47">
        <f ca="1">VLOOKUP($C978,OFFSET(quests!$A$1,0,0,COUNTA(quests!$A:$A),MATCH(Y$2,quests!$1:$1,0)-MATCH($C$2,quests!$1:$1,0)+1),MATCH(Y$2,quests!$1:$1,0)-MATCH($C$2,quests!$1:$1,0)+1,FALSE)</f>
        <v>0</v>
      </c>
      <c r="Z978" s="47">
        <f ca="1">VLOOKUP($C978,OFFSET(quests!$A$1,0,0,COUNTA(quests!$A:$A),MATCH(Z$2,quests!$1:$1,0)-MATCH($C$2,quests!$1:$1,0)+1),MATCH(Z$2,quests!$1:$1,0)-MATCH($C$2,quests!$1:$1,0)+1,FALSE)</f>
        <v>0</v>
      </c>
      <c r="AA978" s="47">
        <f ca="1">VLOOKUP($C978,OFFSET(quests!$A$1,0,0,COUNTA(quests!$A:$A),MATCH(AA$2,quests!$1:$1,0)-MATCH($C$2,quests!$1:$1,0)+1),MATCH(AA$2,quests!$1:$1,0)-MATCH($C$2,quests!$1:$1,0)+1,FALSE)</f>
        <v>0</v>
      </c>
      <c r="AB978" s="7" t="s">
        <v>56</v>
      </c>
      <c r="AC978" s="167">
        <v>974</v>
      </c>
      <c r="AD978" s="7">
        <v>6</v>
      </c>
      <c r="AE978" s="7" t="s">
        <v>519</v>
      </c>
      <c r="AF978" s="7">
        <v>5000</v>
      </c>
      <c r="AG978" s="7">
        <v>5000</v>
      </c>
      <c r="AH978" s="7">
        <v>0</v>
      </c>
      <c r="AI978" s="7">
        <v>0</v>
      </c>
      <c r="AJ978" s="7">
        <v>-1</v>
      </c>
      <c r="AK978" s="7" t="s">
        <v>1065</v>
      </c>
      <c r="AL978" s="12" t="s">
        <v>1269</v>
      </c>
      <c r="AM978" s="12" t="s">
        <v>2072</v>
      </c>
    </row>
    <row r="979" spans="1:39" s="183" customFormat="1" ht="21" customHeight="1" x14ac:dyDescent="0.15">
      <c r="A979" s="42" t="str">
        <f t="shared" ref="A979" si="98">C979&amp;"_"&amp;F979</f>
        <v>50016_1</v>
      </c>
      <c r="B979" s="39">
        <v>1</v>
      </c>
      <c r="C979" s="31">
        <v>50016</v>
      </c>
      <c r="D979" s="47" t="str">
        <f ca="1">VLOOKUP($C979,OFFSET(quests!$A$1,0,0,COUNTA(quests!$A:$A),MATCH(D$1,quests!$1:$1,0)-MATCH($C$2,quests!$1:$1,0)+1),MATCH(D$1,quests!$1:$1,0)-MATCH($C$2,quests!$1:$1,0)+1,FALSE)</f>
        <v>アレキサンダー襲来！</v>
      </c>
      <c r="E979" s="48" t="str">
        <f ca="1">VLOOKUP($C979,OFFSET(quests!$A$1,0,0,COUNTA(quests!$A:$A),MATCH(E$2,quests!$1:$1,0)-MATCH($C$2,quests!$1:$1,0)+1),MATCH(E$2,quests!$1:$1,0)-MATCH($C$2,quests!$1:$1,0)+1,FALSE)</f>
        <v>超降臨15</v>
      </c>
      <c r="F979" s="7">
        <v>1</v>
      </c>
      <c r="G979" s="7" t="s">
        <v>568</v>
      </c>
      <c r="H979" s="12" t="s">
        <v>2291</v>
      </c>
      <c r="I979" s="12" t="s">
        <v>583</v>
      </c>
      <c r="J979" s="65">
        <v>0</v>
      </c>
      <c r="K979" s="167">
        <v>40</v>
      </c>
      <c r="L979" s="167">
        <v>5200</v>
      </c>
      <c r="M979" s="167">
        <v>1</v>
      </c>
      <c r="N979" s="167">
        <v>1</v>
      </c>
      <c r="O979" s="167">
        <v>1</v>
      </c>
      <c r="P979" s="167">
        <v>1</v>
      </c>
      <c r="Q979" s="167">
        <v>1</v>
      </c>
      <c r="R979" s="167">
        <v>3</v>
      </c>
      <c r="S979" s="167" t="s">
        <v>273</v>
      </c>
      <c r="T979" s="33">
        <v>1442</v>
      </c>
      <c r="U979" s="7" t="s">
        <v>169</v>
      </c>
      <c r="V979" s="7" t="s">
        <v>169</v>
      </c>
      <c r="W979" s="47" t="str">
        <f t="shared" ca="1" si="77"/>
        <v/>
      </c>
      <c r="X979" s="47">
        <f ca="1">VLOOKUP($C979,OFFSET(quests!$A$1,0,0,COUNTA(quests!$A:$A),MATCH(X$2,quests!$1:$1,0)-MATCH($C$2,quests!$1:$1,0)+1),MATCH(X$2,quests!$1:$1,0)-MATCH($C$2,quests!$1:$1,0)+1,FALSE)</f>
        <v>0</v>
      </c>
      <c r="Y979" s="47">
        <f ca="1">VLOOKUP($C979,OFFSET(quests!$A$1,0,0,COUNTA(quests!$A:$A),MATCH(Y$2,quests!$1:$1,0)-MATCH($C$2,quests!$1:$1,0)+1),MATCH(Y$2,quests!$1:$1,0)-MATCH($C$2,quests!$1:$1,0)+1,FALSE)</f>
        <v>0</v>
      </c>
      <c r="Z979" s="47">
        <f ca="1">VLOOKUP($C979,OFFSET(quests!$A$1,0,0,COUNTA(quests!$A:$A),MATCH(Z$2,quests!$1:$1,0)-MATCH($C$2,quests!$1:$1,0)+1),MATCH(Z$2,quests!$1:$1,0)-MATCH($C$2,quests!$1:$1,0)+1,FALSE)</f>
        <v>0</v>
      </c>
      <c r="AA979" s="47">
        <f ca="1">VLOOKUP($C979,OFFSET(quests!$A$1,0,0,COUNTA(quests!$A:$A),MATCH(AA$2,quests!$1:$1,0)-MATCH($C$2,quests!$1:$1,0)+1),MATCH(AA$2,quests!$1:$1,0)-MATCH($C$2,quests!$1:$1,0)+1,FALSE)</f>
        <v>0</v>
      </c>
      <c r="AB979" s="7" t="s">
        <v>56</v>
      </c>
      <c r="AC979" s="33">
        <v>989</v>
      </c>
      <c r="AD979" s="7">
        <v>6</v>
      </c>
      <c r="AE979" s="7" t="s">
        <v>519</v>
      </c>
      <c r="AF979" s="7">
        <v>5000</v>
      </c>
      <c r="AG979" s="7">
        <v>5000</v>
      </c>
      <c r="AH979" s="7">
        <v>0</v>
      </c>
      <c r="AI979" s="7">
        <v>0</v>
      </c>
      <c r="AJ979" s="7">
        <v>-1</v>
      </c>
      <c r="AK979" s="7" t="s">
        <v>1065</v>
      </c>
      <c r="AL979" s="12" t="s">
        <v>1269</v>
      </c>
      <c r="AM979" s="12" t="s">
        <v>2072</v>
      </c>
    </row>
    <row r="980" spans="1:39" s="183" customFormat="1" ht="21" customHeight="1" x14ac:dyDescent="0.15">
      <c r="A980" s="42" t="str">
        <f t="shared" si="53"/>
        <v>51001_1</v>
      </c>
      <c r="B980" s="23">
        <v>3</v>
      </c>
      <c r="C980" s="31">
        <v>51001</v>
      </c>
      <c r="D980" s="47" t="str">
        <f ca="1">VLOOKUP($C980,OFFSET(quests!$A$1,0,0,COUNTA(quests!$A:$A),MATCH(D$1,quests!$1:$1,0)-MATCH($C$2,quests!$1:$1,0)+1),MATCH(D$1,quests!$1:$1,0)-MATCH($C$2,quests!$1:$1,0)+1,FALSE)</f>
        <v>麒麟襲来！</v>
      </c>
      <c r="E980" s="48" t="str">
        <f ca="1">VLOOKUP($C980,OFFSET(quests!$A$1,0,0,COUNTA(quests!$A:$A),MATCH(E$2,quests!$1:$1,0)-MATCH($C$2,quests!$1:$1,0)+1),MATCH(E$2,quests!$1:$1,0)-MATCH($C$2,quests!$1:$1,0)+1,FALSE)</f>
        <v>超降臨1</v>
      </c>
      <c r="F980" s="7">
        <v>1</v>
      </c>
      <c r="G980" s="7" t="s">
        <v>570</v>
      </c>
      <c r="H980" s="12" t="s">
        <v>786</v>
      </c>
      <c r="I980" s="12" t="s">
        <v>583</v>
      </c>
      <c r="J980" s="65">
        <v>0</v>
      </c>
      <c r="K980" s="167">
        <v>40</v>
      </c>
      <c r="L980" s="167">
        <v>5200</v>
      </c>
      <c r="M980" s="167">
        <v>1</v>
      </c>
      <c r="N980" s="167">
        <v>1</v>
      </c>
      <c r="O980" s="167">
        <v>1</v>
      </c>
      <c r="P980" s="167">
        <v>1</v>
      </c>
      <c r="Q980" s="167">
        <v>1</v>
      </c>
      <c r="R980" s="167">
        <v>3</v>
      </c>
      <c r="S980" s="167" t="s">
        <v>273</v>
      </c>
      <c r="T980" s="167">
        <v>432</v>
      </c>
      <c r="U980" s="7" t="s">
        <v>169</v>
      </c>
      <c r="V980" s="7" t="s">
        <v>169</v>
      </c>
      <c r="W980" s="47" t="str">
        <f t="shared" ref="W980:W1043" ca="1" si="99">IF(U980="NULL","",VLOOKUP($U980&amp;"_"&amp;$V980,OFFSET($A$1,0,0,COUNTA($A:$A),MATCH(W$2,$2:$2,0)-MATCH($A$2,$2:$2,0)+1),MATCH(W$2,$2:$2,0)-MATCH($A$2,$2:$2,0)+1,FALSE))</f>
        <v/>
      </c>
      <c r="X980" s="47">
        <f ca="1">VLOOKUP($C980,OFFSET(quests!$A$1,0,0,COUNTA(quests!$A:$A),MATCH(X$2,quests!$1:$1,0)-MATCH($C$2,quests!$1:$1,0)+1),MATCH(X$2,quests!$1:$1,0)-MATCH($C$2,quests!$1:$1,0)+1,FALSE)</f>
        <v>0</v>
      </c>
      <c r="Y980" s="47">
        <f ca="1">VLOOKUP($C980,OFFSET(quests!$A$1,0,0,COUNTA(quests!$A:$A),MATCH(Y$2,quests!$1:$1,0)-MATCH($C$2,quests!$1:$1,0)+1),MATCH(Y$2,quests!$1:$1,0)-MATCH($C$2,quests!$1:$1,0)+1,FALSE)</f>
        <v>0</v>
      </c>
      <c r="Z980" s="47">
        <f ca="1">VLOOKUP($C980,OFFSET(quests!$A$1,0,0,COUNTA(quests!$A:$A),MATCH(Z$2,quests!$1:$1,0)-MATCH($C$2,quests!$1:$1,0)+1),MATCH(Z$2,quests!$1:$1,0)-MATCH($C$2,quests!$1:$1,0)+1,FALSE)</f>
        <v>0</v>
      </c>
      <c r="AA980" s="47">
        <f ca="1">VLOOKUP($C980,OFFSET(quests!$A$1,0,0,COUNTA(quests!$A:$A),MATCH(AA$2,quests!$1:$1,0)-MATCH($C$2,quests!$1:$1,0)+1),MATCH(AA$2,quests!$1:$1,0)-MATCH($C$2,quests!$1:$1,0)+1,FALSE)</f>
        <v>0</v>
      </c>
      <c r="AB980" s="7" t="s">
        <v>56</v>
      </c>
      <c r="AC980" s="7">
        <v>905</v>
      </c>
      <c r="AD980" s="7">
        <v>6</v>
      </c>
      <c r="AE980" s="7" t="s">
        <v>519</v>
      </c>
      <c r="AF980" s="7">
        <v>5000</v>
      </c>
      <c r="AG980" s="7">
        <v>5000</v>
      </c>
      <c r="AH980" s="7">
        <v>0</v>
      </c>
      <c r="AI980" s="7">
        <v>0</v>
      </c>
      <c r="AJ980" s="7">
        <v>-1</v>
      </c>
      <c r="AK980" s="7" t="s">
        <v>1065</v>
      </c>
      <c r="AL980" s="12" t="s">
        <v>1695</v>
      </c>
      <c r="AM980" s="12" t="s">
        <v>2072</v>
      </c>
    </row>
    <row r="981" spans="1:39" s="183" customFormat="1" ht="21" customHeight="1" x14ac:dyDescent="0.15">
      <c r="A981" s="42" t="str">
        <f t="shared" si="53"/>
        <v>51002_1</v>
      </c>
      <c r="B981" s="23">
        <v>3</v>
      </c>
      <c r="C981" s="31">
        <v>51002</v>
      </c>
      <c r="D981" s="47" t="str">
        <f ca="1">VLOOKUP($C981,OFFSET(quests!$A$1,0,0,COUNTA(quests!$A:$A),MATCH(D$1,quests!$1:$1,0)-MATCH($C$2,quests!$1:$1,0)+1),MATCH(D$1,quests!$1:$1,0)-MATCH($C$2,quests!$1:$1,0)+1,FALSE)</f>
        <v>オーディン襲来！</v>
      </c>
      <c r="E981" s="48" t="str">
        <f ca="1">VLOOKUP($C981,OFFSET(quests!$A$1,0,0,COUNTA(quests!$A:$A),MATCH(E$2,quests!$1:$1,0)-MATCH($C$2,quests!$1:$1,0)+1),MATCH(E$2,quests!$1:$1,0)-MATCH($C$2,quests!$1:$1,0)+1,FALSE)</f>
        <v>超降臨2</v>
      </c>
      <c r="F981" s="7">
        <v>1</v>
      </c>
      <c r="G981" s="7" t="s">
        <v>568</v>
      </c>
      <c r="H981" s="12" t="s">
        <v>1182</v>
      </c>
      <c r="I981" s="12" t="s">
        <v>583</v>
      </c>
      <c r="J981" s="65">
        <v>0</v>
      </c>
      <c r="K981" s="167">
        <v>40</v>
      </c>
      <c r="L981" s="167">
        <v>5200</v>
      </c>
      <c r="M981" s="167">
        <v>1</v>
      </c>
      <c r="N981" s="167">
        <v>1</v>
      </c>
      <c r="O981" s="167">
        <v>1</v>
      </c>
      <c r="P981" s="167">
        <v>1</v>
      </c>
      <c r="Q981" s="167">
        <v>1</v>
      </c>
      <c r="R981" s="167">
        <v>3</v>
      </c>
      <c r="S981" s="167" t="s">
        <v>529</v>
      </c>
      <c r="T981" s="167">
        <v>573</v>
      </c>
      <c r="U981" s="7" t="s">
        <v>169</v>
      </c>
      <c r="V981" s="7" t="s">
        <v>169</v>
      </c>
      <c r="W981" s="47" t="str">
        <f t="shared" ca="1" si="99"/>
        <v/>
      </c>
      <c r="X981" s="47">
        <f ca="1">VLOOKUP($C981,OFFSET(quests!$A$1,0,0,COUNTA(quests!$A:$A),MATCH(X$2,quests!$1:$1,0)-MATCH($C$2,quests!$1:$1,0)+1),MATCH(X$2,quests!$1:$1,0)-MATCH($C$2,quests!$1:$1,0)+1,FALSE)</f>
        <v>0</v>
      </c>
      <c r="Y981" s="47">
        <f ca="1">VLOOKUP($C981,OFFSET(quests!$A$1,0,0,COUNTA(quests!$A:$A),MATCH(Y$2,quests!$1:$1,0)-MATCH($C$2,quests!$1:$1,0)+1),MATCH(Y$2,quests!$1:$1,0)-MATCH($C$2,quests!$1:$1,0)+1,FALSE)</f>
        <v>0</v>
      </c>
      <c r="Z981" s="47">
        <f ca="1">VLOOKUP($C981,OFFSET(quests!$A$1,0,0,COUNTA(quests!$A:$A),MATCH(Z$2,quests!$1:$1,0)-MATCH($C$2,quests!$1:$1,0)+1),MATCH(Z$2,quests!$1:$1,0)-MATCH($C$2,quests!$1:$1,0)+1,FALSE)</f>
        <v>0</v>
      </c>
      <c r="AA981" s="47">
        <f ca="1">VLOOKUP($C981,OFFSET(quests!$A$1,0,0,COUNTA(quests!$A:$A),MATCH(AA$2,quests!$1:$1,0)-MATCH($C$2,quests!$1:$1,0)+1),MATCH(AA$2,quests!$1:$1,0)-MATCH($C$2,quests!$1:$1,0)+1,FALSE)</f>
        <v>0</v>
      </c>
      <c r="AB981" s="7" t="s">
        <v>56</v>
      </c>
      <c r="AC981" s="7">
        <v>911</v>
      </c>
      <c r="AD981" s="7">
        <v>6</v>
      </c>
      <c r="AE981" s="7" t="s">
        <v>519</v>
      </c>
      <c r="AF981" s="7">
        <v>5000</v>
      </c>
      <c r="AG981" s="7">
        <v>5000</v>
      </c>
      <c r="AH981" s="7">
        <v>0</v>
      </c>
      <c r="AI981" s="7">
        <v>0</v>
      </c>
      <c r="AJ981" s="7">
        <v>-1</v>
      </c>
      <c r="AK981" s="7" t="s">
        <v>1065</v>
      </c>
      <c r="AL981" s="12" t="s">
        <v>1695</v>
      </c>
      <c r="AM981" s="12" t="s">
        <v>2072</v>
      </c>
    </row>
    <row r="982" spans="1:39" s="183" customFormat="1" ht="21" customHeight="1" x14ac:dyDescent="0.15">
      <c r="A982" s="42" t="str">
        <f t="shared" ref="A982" si="100">C982&amp;"_"&amp;F982</f>
        <v>58001_1</v>
      </c>
      <c r="B982" s="23">
        <v>1</v>
      </c>
      <c r="C982" s="31">
        <v>58001</v>
      </c>
      <c r="D982" s="47" t="str">
        <f ca="1">VLOOKUP($C982,OFFSET(quests!$A$1,0,0,COUNTA(quests!$A:$A),MATCH(D$1,quests!$1:$1,0)-MATCH($C$2,quests!$1:$1,0)+1),MATCH(D$1,quests!$1:$1,0)-MATCH($C$2,quests!$1:$1,0)+1,FALSE)</f>
        <v>曹操襲来！</v>
      </c>
      <c r="E982" s="48" t="str">
        <f ca="1">VLOOKUP($C982,OFFSET(quests!$A$1,0,0,COUNTA(quests!$A:$A),MATCH(E$2,quests!$1:$1,0)-MATCH($C$2,quests!$1:$1,0)+1),MATCH(E$2,quests!$1:$1,0)-MATCH($C$2,quests!$1:$1,0)+1,FALSE)</f>
        <v>繁体字版超降臨1</v>
      </c>
      <c r="F982" s="7">
        <v>1</v>
      </c>
      <c r="G982" s="7" t="s">
        <v>382</v>
      </c>
      <c r="H982" s="12" t="s">
        <v>2078</v>
      </c>
      <c r="I982" s="12" t="s">
        <v>583</v>
      </c>
      <c r="J982" s="65">
        <v>0</v>
      </c>
      <c r="K982" s="167">
        <v>40</v>
      </c>
      <c r="L982" s="167">
        <v>5200</v>
      </c>
      <c r="M982" s="167">
        <v>1</v>
      </c>
      <c r="N982" s="167">
        <v>1</v>
      </c>
      <c r="O982" s="167">
        <v>1</v>
      </c>
      <c r="P982" s="167">
        <v>1</v>
      </c>
      <c r="Q982" s="167">
        <v>1</v>
      </c>
      <c r="R982" s="167">
        <v>3</v>
      </c>
      <c r="S982" s="167" t="s">
        <v>529</v>
      </c>
      <c r="T982" s="167">
        <v>8083</v>
      </c>
      <c r="U982" s="7" t="s">
        <v>169</v>
      </c>
      <c r="V982" s="7" t="s">
        <v>169</v>
      </c>
      <c r="W982" s="47" t="str">
        <f t="shared" ca="1" si="99"/>
        <v/>
      </c>
      <c r="X982" s="47">
        <f ca="1">VLOOKUP($C982,OFFSET(quests!$A$1,0,0,COUNTA(quests!$A:$A),MATCH(X$2,quests!$1:$1,0)-MATCH($C$2,quests!$1:$1,0)+1),MATCH(X$2,quests!$1:$1,0)-MATCH($C$2,quests!$1:$1,0)+1,FALSE)</f>
        <v>0</v>
      </c>
      <c r="Y982" s="47">
        <f ca="1">VLOOKUP($C982,OFFSET(quests!$A$1,0,0,COUNTA(quests!$A:$A),MATCH(Y$2,quests!$1:$1,0)-MATCH($C$2,quests!$1:$1,0)+1),MATCH(Y$2,quests!$1:$1,0)-MATCH($C$2,quests!$1:$1,0)+1,FALSE)</f>
        <v>0</v>
      </c>
      <c r="Z982" s="47">
        <f ca="1">VLOOKUP($C982,OFFSET(quests!$A$1,0,0,COUNTA(quests!$A:$A),MATCH(Z$2,quests!$1:$1,0)-MATCH($C$2,quests!$1:$1,0)+1),MATCH(Z$2,quests!$1:$1,0)-MATCH($C$2,quests!$1:$1,0)+1,FALSE)</f>
        <v>0</v>
      </c>
      <c r="AA982" s="47">
        <f ca="1">VLOOKUP($C982,OFFSET(quests!$A$1,0,0,COUNTA(quests!$A:$A),MATCH(AA$2,quests!$1:$1,0)-MATCH($C$2,quests!$1:$1,0)+1),MATCH(AA$2,quests!$1:$1,0)-MATCH($C$2,quests!$1:$1,0)+1,FALSE)</f>
        <v>0</v>
      </c>
      <c r="AB982" s="7" t="s">
        <v>56</v>
      </c>
      <c r="AC982" s="7">
        <v>964</v>
      </c>
      <c r="AD982" s="7">
        <v>6</v>
      </c>
      <c r="AE982" s="7" t="s">
        <v>519</v>
      </c>
      <c r="AF982" s="7">
        <v>5000</v>
      </c>
      <c r="AG982" s="7">
        <v>5000</v>
      </c>
      <c r="AH982" s="7">
        <v>0</v>
      </c>
      <c r="AI982" s="7">
        <v>0</v>
      </c>
      <c r="AJ982" s="7">
        <v>-1</v>
      </c>
      <c r="AK982" s="7" t="s">
        <v>1065</v>
      </c>
      <c r="AL982" s="12" t="s">
        <v>1337</v>
      </c>
      <c r="AM982" s="12" t="s">
        <v>2072</v>
      </c>
    </row>
    <row r="983" spans="1:39" s="183" customFormat="1" ht="21" customHeight="1" x14ac:dyDescent="0.15">
      <c r="A983" s="42" t="str">
        <f t="shared" ref="A983" si="101">C983&amp;"_"&amp;F983</f>
        <v>58002_1</v>
      </c>
      <c r="B983" s="23">
        <v>1</v>
      </c>
      <c r="C983" s="31">
        <v>58002</v>
      </c>
      <c r="D983" s="47" t="str">
        <f ca="1">VLOOKUP($C983,OFFSET(quests!$A$1,0,0,COUNTA(quests!$A:$A),MATCH(D$1,quests!$1:$1,0)-MATCH($C$2,quests!$1:$1,0)+1),MATCH(D$1,quests!$1:$1,0)-MATCH($C$2,quests!$1:$1,0)+1,FALSE)</f>
        <v>始皇贏政襲来！</v>
      </c>
      <c r="E983" s="48" t="str">
        <f ca="1">VLOOKUP($C983,OFFSET(quests!$A$1,0,0,COUNTA(quests!$A:$A),MATCH(E$2,quests!$1:$1,0)-MATCH($C$2,quests!$1:$1,0)+1),MATCH(E$2,quests!$1:$1,0)-MATCH($C$2,quests!$1:$1,0)+1,FALSE)</f>
        <v>繁体字版超降臨2</v>
      </c>
      <c r="F983" s="7">
        <v>1</v>
      </c>
      <c r="G983" s="7" t="s">
        <v>382</v>
      </c>
      <c r="H983" s="12" t="s">
        <v>2304</v>
      </c>
      <c r="I983" s="12" t="s">
        <v>583</v>
      </c>
      <c r="J983" s="65">
        <v>0</v>
      </c>
      <c r="K983" s="167">
        <v>40</v>
      </c>
      <c r="L983" s="167">
        <v>5200</v>
      </c>
      <c r="M983" s="167">
        <v>1</v>
      </c>
      <c r="N983" s="167">
        <v>1</v>
      </c>
      <c r="O983" s="167">
        <v>1</v>
      </c>
      <c r="P983" s="167">
        <v>1</v>
      </c>
      <c r="Q983" s="167">
        <v>1</v>
      </c>
      <c r="R983" s="167">
        <v>3</v>
      </c>
      <c r="S983" s="167" t="s">
        <v>529</v>
      </c>
      <c r="T983" s="167">
        <v>8115</v>
      </c>
      <c r="U983" s="7" t="s">
        <v>169</v>
      </c>
      <c r="V983" s="7" t="s">
        <v>169</v>
      </c>
      <c r="W983" s="47" t="str">
        <f t="shared" ca="1" si="99"/>
        <v/>
      </c>
      <c r="X983" s="47">
        <f ca="1">VLOOKUP($C983,OFFSET(quests!$A$1,0,0,COUNTA(quests!$A:$A),MATCH(X$2,quests!$1:$1,0)-MATCH($C$2,quests!$1:$1,0)+1),MATCH(X$2,quests!$1:$1,0)-MATCH($C$2,quests!$1:$1,0)+1,FALSE)</f>
        <v>0</v>
      </c>
      <c r="Y983" s="47">
        <f ca="1">VLOOKUP($C983,OFFSET(quests!$A$1,0,0,COUNTA(quests!$A:$A),MATCH(Y$2,quests!$1:$1,0)-MATCH($C$2,quests!$1:$1,0)+1),MATCH(Y$2,quests!$1:$1,0)-MATCH($C$2,quests!$1:$1,0)+1,FALSE)</f>
        <v>0</v>
      </c>
      <c r="Z983" s="47">
        <f ca="1">VLOOKUP($C983,OFFSET(quests!$A$1,0,0,COUNTA(quests!$A:$A),MATCH(Z$2,quests!$1:$1,0)-MATCH($C$2,quests!$1:$1,0)+1),MATCH(Z$2,quests!$1:$1,0)-MATCH($C$2,quests!$1:$1,0)+1,FALSE)</f>
        <v>0</v>
      </c>
      <c r="AA983" s="47">
        <f ca="1">VLOOKUP($C983,OFFSET(quests!$A$1,0,0,COUNTA(quests!$A:$A),MATCH(AA$2,quests!$1:$1,0)-MATCH($C$2,quests!$1:$1,0)+1),MATCH(AA$2,quests!$1:$1,0)-MATCH($C$2,quests!$1:$1,0)+1,FALSE)</f>
        <v>0</v>
      </c>
      <c r="AB983" s="7" t="s">
        <v>56</v>
      </c>
      <c r="AC983" s="7">
        <v>1002</v>
      </c>
      <c r="AD983" s="7">
        <v>6</v>
      </c>
      <c r="AE983" s="7" t="s">
        <v>519</v>
      </c>
      <c r="AF983" s="7">
        <v>5000</v>
      </c>
      <c r="AG983" s="7">
        <v>5000</v>
      </c>
      <c r="AH983" s="7">
        <v>0</v>
      </c>
      <c r="AI983" s="7">
        <v>0</v>
      </c>
      <c r="AJ983" s="7">
        <v>-1</v>
      </c>
      <c r="AK983" s="7" t="s">
        <v>1065</v>
      </c>
      <c r="AL983" s="12" t="s">
        <v>1269</v>
      </c>
      <c r="AM983" s="12" t="s">
        <v>2072</v>
      </c>
    </row>
    <row r="984" spans="1:39" s="183" customFormat="1" ht="21" customHeight="1" x14ac:dyDescent="0.15">
      <c r="A984" s="42" t="str">
        <f t="shared" ref="A984" si="102">C984&amp;"_"&amp;F984</f>
        <v>58003_1</v>
      </c>
      <c r="B984" s="23">
        <v>3</v>
      </c>
      <c r="C984" s="31">
        <v>58003</v>
      </c>
      <c r="D984" s="47" t="str">
        <f ca="1">VLOOKUP($C984,OFFSET(quests!$A$1,0,0,COUNTA(quests!$A:$A),MATCH(D$1,quests!$1:$1,0)-MATCH($C$2,quests!$1:$1,0)+1),MATCH(D$1,quests!$1:$1,0)-MATCH($C$2,quests!$1:$1,0)+1,FALSE)</f>
        <v>曹操襲来！</v>
      </c>
      <c r="E984" s="48" t="str">
        <f ca="1">VLOOKUP($C984,OFFSET(quests!$A$1,0,0,COUNTA(quests!$A:$A),MATCH(E$2,quests!$1:$1,0)-MATCH($C$2,quests!$1:$1,0)+1),MATCH(E$2,quests!$1:$1,0)-MATCH($C$2,quests!$1:$1,0)+1,FALSE)</f>
        <v>繁体字版超降臨1</v>
      </c>
      <c r="F984" s="7">
        <v>1</v>
      </c>
      <c r="G984" s="7" t="s">
        <v>382</v>
      </c>
      <c r="H984" s="12" t="s">
        <v>2360</v>
      </c>
      <c r="I984" s="12" t="s">
        <v>583</v>
      </c>
      <c r="J984" s="65">
        <v>0</v>
      </c>
      <c r="K984" s="167">
        <v>40</v>
      </c>
      <c r="L984" s="167">
        <v>5200</v>
      </c>
      <c r="M984" s="167">
        <v>1</v>
      </c>
      <c r="N984" s="167">
        <v>1</v>
      </c>
      <c r="O984" s="167">
        <v>1</v>
      </c>
      <c r="P984" s="167">
        <v>1</v>
      </c>
      <c r="Q984" s="167">
        <v>1</v>
      </c>
      <c r="R984" s="167">
        <v>3</v>
      </c>
      <c r="S984" s="167" t="s">
        <v>529</v>
      </c>
      <c r="T984" s="167">
        <v>8083</v>
      </c>
      <c r="U984" s="7" t="s">
        <v>169</v>
      </c>
      <c r="V984" s="7" t="s">
        <v>169</v>
      </c>
      <c r="W984" s="47" t="str">
        <f t="shared" ca="1" si="99"/>
        <v/>
      </c>
      <c r="X984" s="47">
        <f ca="1">VLOOKUP($C984,OFFSET(quests!$A$1,0,0,COUNTA(quests!$A:$A),MATCH(X$2,quests!$1:$1,0)-MATCH($C$2,quests!$1:$1,0)+1),MATCH(X$2,quests!$1:$1,0)-MATCH($C$2,quests!$1:$1,0)+1,FALSE)</f>
        <v>0</v>
      </c>
      <c r="Y984" s="47">
        <f ca="1">VLOOKUP($C984,OFFSET(quests!$A$1,0,0,COUNTA(quests!$A:$A),MATCH(Y$2,quests!$1:$1,0)-MATCH($C$2,quests!$1:$1,0)+1),MATCH(Y$2,quests!$1:$1,0)-MATCH($C$2,quests!$1:$1,0)+1,FALSE)</f>
        <v>0</v>
      </c>
      <c r="Z984" s="47">
        <f ca="1">VLOOKUP($C984,OFFSET(quests!$A$1,0,0,COUNTA(quests!$A:$A),MATCH(Z$2,quests!$1:$1,0)-MATCH($C$2,quests!$1:$1,0)+1),MATCH(Z$2,quests!$1:$1,0)-MATCH($C$2,quests!$1:$1,0)+1,FALSE)</f>
        <v>0</v>
      </c>
      <c r="AA984" s="47">
        <f ca="1">VLOOKUP($C984,OFFSET(quests!$A$1,0,0,COUNTA(quests!$A:$A),MATCH(AA$2,quests!$1:$1,0)-MATCH($C$2,quests!$1:$1,0)+1),MATCH(AA$2,quests!$1:$1,0)-MATCH($C$2,quests!$1:$1,0)+1,FALSE)</f>
        <v>0</v>
      </c>
      <c r="AB984" s="7" t="s">
        <v>56</v>
      </c>
      <c r="AC984" s="7">
        <v>964</v>
      </c>
      <c r="AD984" s="7">
        <v>6</v>
      </c>
      <c r="AE984" s="7" t="s">
        <v>519</v>
      </c>
      <c r="AF984" s="7">
        <v>5000</v>
      </c>
      <c r="AG984" s="7">
        <v>5000</v>
      </c>
      <c r="AH984" s="7">
        <v>0</v>
      </c>
      <c r="AI984" s="7">
        <v>0</v>
      </c>
      <c r="AJ984" s="7">
        <v>-1</v>
      </c>
      <c r="AK984" s="7" t="s">
        <v>1065</v>
      </c>
      <c r="AL984" s="12" t="s">
        <v>1269</v>
      </c>
      <c r="AM984" s="12" t="s">
        <v>2072</v>
      </c>
    </row>
    <row r="985" spans="1:39" s="183" customFormat="1" ht="21" customHeight="1" x14ac:dyDescent="0.15">
      <c r="A985" s="42" t="str">
        <f t="shared" ref="A985" si="103">C985&amp;"_"&amp;F985</f>
        <v>58101_1</v>
      </c>
      <c r="B985" s="23">
        <v>1</v>
      </c>
      <c r="C985" s="31">
        <v>58101</v>
      </c>
      <c r="D985" s="47" t="str">
        <f ca="1">VLOOKUP($C985,OFFSET(quests!$A$1,0,0,COUNTA(quests!$A:$A),MATCH(D$1,quests!$1:$1,0)-MATCH($C$2,quests!$1:$1,0)+1),MATCH(D$1,quests!$1:$1,0)-MATCH($C$2,quests!$1:$1,0)+1,FALSE)</f>
        <v>路西法襲来！</v>
      </c>
      <c r="E985" s="48" t="str">
        <f ca="1">VLOOKUP($C985,OFFSET(quests!$A$1,0,0,COUNTA(quests!$A:$A),MATCH(E$2,quests!$1:$1,0)-MATCH($C$2,quests!$1:$1,0)+1),MATCH(E$2,quests!$1:$1,0)-MATCH($C$2,quests!$1:$1,0)+1,FALSE)</f>
        <v>繁体字版コラボ超降臨1</v>
      </c>
      <c r="F985" s="7">
        <v>1</v>
      </c>
      <c r="G985" s="7" t="s">
        <v>382</v>
      </c>
      <c r="H985" s="12" t="s">
        <v>2336</v>
      </c>
      <c r="I985" s="12" t="s">
        <v>583</v>
      </c>
      <c r="J985" s="65">
        <v>0</v>
      </c>
      <c r="K985" s="167">
        <v>40</v>
      </c>
      <c r="L985" s="167">
        <v>5200</v>
      </c>
      <c r="M985" s="167">
        <v>1</v>
      </c>
      <c r="N985" s="167">
        <v>1</v>
      </c>
      <c r="O985" s="167">
        <v>1</v>
      </c>
      <c r="P985" s="167">
        <v>1</v>
      </c>
      <c r="Q985" s="167">
        <v>1</v>
      </c>
      <c r="R985" s="167">
        <v>3</v>
      </c>
      <c r="S985" s="167" t="s">
        <v>273</v>
      </c>
      <c r="T985" s="167">
        <v>8135</v>
      </c>
      <c r="U985" s="7" t="s">
        <v>169</v>
      </c>
      <c r="V985" s="7" t="s">
        <v>169</v>
      </c>
      <c r="W985" s="47" t="str">
        <f t="shared" ca="1" si="99"/>
        <v/>
      </c>
      <c r="X985" s="47">
        <f ca="1">VLOOKUP($C985,OFFSET(quests!$A$1,0,0,COUNTA(quests!$A:$A),MATCH(X$2,quests!$1:$1,0)-MATCH($C$2,quests!$1:$1,0)+1),MATCH(X$2,quests!$1:$1,0)-MATCH($C$2,quests!$1:$1,0)+1,FALSE)</f>
        <v>0</v>
      </c>
      <c r="Y985" s="47">
        <f ca="1">VLOOKUP($C985,OFFSET(quests!$A$1,0,0,COUNTA(quests!$A:$A),MATCH(Y$2,quests!$1:$1,0)-MATCH($C$2,quests!$1:$1,0)+1),MATCH(Y$2,quests!$1:$1,0)-MATCH($C$2,quests!$1:$1,0)+1,FALSE)</f>
        <v>0</v>
      </c>
      <c r="Z985" s="47">
        <f ca="1">VLOOKUP($C985,OFFSET(quests!$A$1,0,0,COUNTA(quests!$A:$A),MATCH(Z$2,quests!$1:$1,0)-MATCH($C$2,quests!$1:$1,0)+1),MATCH(Z$2,quests!$1:$1,0)-MATCH($C$2,quests!$1:$1,0)+1,FALSE)</f>
        <v>0</v>
      </c>
      <c r="AA985" s="47">
        <f ca="1">VLOOKUP($C985,OFFSET(quests!$A$1,0,0,COUNTA(quests!$A:$A),MATCH(AA$2,quests!$1:$1,0)-MATCH($C$2,quests!$1:$1,0)+1),MATCH(AA$2,quests!$1:$1,0)-MATCH($C$2,quests!$1:$1,0)+1,FALSE)</f>
        <v>0</v>
      </c>
      <c r="AB985" s="7" t="s">
        <v>56</v>
      </c>
      <c r="AC985" s="7">
        <v>1012</v>
      </c>
      <c r="AD985" s="7">
        <v>6</v>
      </c>
      <c r="AE985" s="7" t="s">
        <v>519</v>
      </c>
      <c r="AF985" s="7">
        <v>8101</v>
      </c>
      <c r="AG985" s="7">
        <v>8102</v>
      </c>
      <c r="AH985" s="7">
        <v>0</v>
      </c>
      <c r="AI985" s="7">
        <v>0</v>
      </c>
      <c r="AJ985" s="7">
        <v>-1</v>
      </c>
      <c r="AK985" s="7" t="s">
        <v>1065</v>
      </c>
      <c r="AL985" s="12" t="s">
        <v>1269</v>
      </c>
      <c r="AM985" s="12" t="s">
        <v>1064</v>
      </c>
    </row>
    <row r="986" spans="1:39" s="183" customFormat="1" ht="21" customHeight="1" x14ac:dyDescent="0.15">
      <c r="A986" s="42" t="str">
        <f t="shared" si="53"/>
        <v>59001_1</v>
      </c>
      <c r="B986" s="23">
        <v>3</v>
      </c>
      <c r="C986" s="31">
        <v>59001</v>
      </c>
      <c r="D986" s="47" t="str">
        <f ca="1">VLOOKUP($C986,OFFSET(quests!$A$1,0,0,COUNTA(quests!$A:$A),MATCH(D$1,quests!$1:$1,0)-MATCH($C$2,quests!$1:$1,0)+1),MATCH(D$1,quests!$1:$1,0)-MATCH($C$2,quests!$1:$1,0)+1,FALSE)</f>
        <v>電子歌姫の堕天使</v>
      </c>
      <c r="E986" s="48" t="str">
        <f ca="1">VLOOKUP($C986,OFFSET(quests!$A$1,0,0,COUNTA(quests!$A:$A),MATCH(E$2,quests!$1:$1,0)-MATCH($C$2,quests!$1:$1,0)+1),MATCH(E$2,quests!$1:$1,0)-MATCH($C$2,quests!$1:$1,0)+1,FALSE)</f>
        <v>コラボ超降臨1</v>
      </c>
      <c r="F986" s="7">
        <v>1</v>
      </c>
      <c r="G986" s="7" t="s">
        <v>568</v>
      </c>
      <c r="H986" s="12" t="s">
        <v>2023</v>
      </c>
      <c r="I986" s="12" t="s">
        <v>583</v>
      </c>
      <c r="J986" s="251">
        <v>0</v>
      </c>
      <c r="K986" s="167">
        <v>30</v>
      </c>
      <c r="L986" s="167">
        <v>5200</v>
      </c>
      <c r="M986" s="167">
        <v>1</v>
      </c>
      <c r="N986" s="167">
        <v>1</v>
      </c>
      <c r="O986" s="167">
        <v>1</v>
      </c>
      <c r="P986" s="167">
        <v>1</v>
      </c>
      <c r="Q986" s="167">
        <v>1</v>
      </c>
      <c r="R986" s="167">
        <v>3</v>
      </c>
      <c r="S986" s="167" t="s">
        <v>273</v>
      </c>
      <c r="T986" s="167">
        <v>1306</v>
      </c>
      <c r="U986" s="7" t="s">
        <v>169</v>
      </c>
      <c r="V986" s="7" t="s">
        <v>169</v>
      </c>
      <c r="W986" s="47" t="str">
        <f t="shared" ca="1" si="99"/>
        <v/>
      </c>
      <c r="X986" s="47">
        <f ca="1">VLOOKUP($C986,OFFSET(quests!$A$1,0,0,COUNTA(quests!$A:$A),MATCH(X$2,quests!$1:$1,0)-MATCH($C$2,quests!$1:$1,0)+1),MATCH(X$2,quests!$1:$1,0)-MATCH($C$2,quests!$1:$1,0)+1,FALSE)</f>
        <v>0</v>
      </c>
      <c r="Y986" s="47">
        <f ca="1">VLOOKUP($C986,OFFSET(quests!$A$1,0,0,COUNTA(quests!$A:$A),MATCH(Y$2,quests!$1:$1,0)-MATCH($C$2,quests!$1:$1,0)+1),MATCH(Y$2,quests!$1:$1,0)-MATCH($C$2,quests!$1:$1,0)+1,FALSE)</f>
        <v>0</v>
      </c>
      <c r="Z986" s="47">
        <f ca="1">VLOOKUP($C986,OFFSET(quests!$A$1,0,0,COUNTA(quests!$A:$A),MATCH(Z$2,quests!$1:$1,0)-MATCH($C$2,quests!$1:$1,0)+1),MATCH(Z$2,quests!$1:$1,0)-MATCH($C$2,quests!$1:$1,0)+1,FALSE)</f>
        <v>0</v>
      </c>
      <c r="AA986" s="47">
        <f ca="1">VLOOKUP($C986,OFFSET(quests!$A$1,0,0,COUNTA(quests!$A:$A),MATCH(AA$2,quests!$1:$1,0)-MATCH($C$2,quests!$1:$1,0)+1),MATCH(AA$2,quests!$1:$1,0)-MATCH($C$2,quests!$1:$1,0)+1,FALSE)</f>
        <v>0</v>
      </c>
      <c r="AB986" s="7" t="s">
        <v>56</v>
      </c>
      <c r="AC986" s="33">
        <v>968</v>
      </c>
      <c r="AD986" s="7">
        <v>6</v>
      </c>
      <c r="AE986" s="7" t="s">
        <v>519</v>
      </c>
      <c r="AF986" s="33">
        <v>3940</v>
      </c>
      <c r="AG986" s="33">
        <v>3940</v>
      </c>
      <c r="AH986" s="33" t="s">
        <v>1269</v>
      </c>
      <c r="AI986" s="33">
        <v>0</v>
      </c>
      <c r="AJ986" s="7">
        <v>-1</v>
      </c>
      <c r="AK986" s="7" t="s">
        <v>1065</v>
      </c>
      <c r="AL986" s="12" t="s">
        <v>1337</v>
      </c>
      <c r="AM986" s="12" t="s">
        <v>2072</v>
      </c>
    </row>
    <row r="987" spans="1:39" s="183" customFormat="1" ht="21" customHeight="1" x14ac:dyDescent="0.15">
      <c r="A987" s="42" t="str">
        <f t="shared" si="53"/>
        <v>59002_1</v>
      </c>
      <c r="B987" s="39">
        <v>3</v>
      </c>
      <c r="C987" s="31">
        <v>59002</v>
      </c>
      <c r="D987" s="47" t="str">
        <f ca="1">VLOOKUP($C987,OFFSET(quests!$A$1,0,0,COUNTA(quests!$A:$A),MATCH(D$1,quests!$1:$1,0)-MATCH($C$2,quests!$1:$1,0)+1),MATCH(D$1,quests!$1:$1,0)-MATCH($C$2,quests!$1:$1,0)+1,FALSE)</f>
        <v>狂乱のネコ降臨</v>
      </c>
      <c r="E987" s="48" t="str">
        <f ca="1">VLOOKUP($C987,OFFSET(quests!$A$1,0,0,COUNTA(quests!$A:$A),MATCH(E$2,quests!$1:$1,0)-MATCH($C$2,quests!$1:$1,0)+1),MATCH(E$2,quests!$1:$1,0)-MATCH($C$2,quests!$1:$1,0)+1,FALSE)</f>
        <v>コラボ超降臨2</v>
      </c>
      <c r="F987" s="7">
        <v>1</v>
      </c>
      <c r="G987" s="7" t="s">
        <v>568</v>
      </c>
      <c r="H987" s="12" t="s">
        <v>2190</v>
      </c>
      <c r="I987" s="12" t="s">
        <v>583</v>
      </c>
      <c r="J987" s="251">
        <v>0</v>
      </c>
      <c r="K987" s="167">
        <v>34</v>
      </c>
      <c r="L987" s="167">
        <v>6000</v>
      </c>
      <c r="M987" s="167">
        <v>1</v>
      </c>
      <c r="N987" s="167">
        <v>1</v>
      </c>
      <c r="O987" s="167">
        <v>1</v>
      </c>
      <c r="P987" s="167">
        <v>1</v>
      </c>
      <c r="Q987" s="167">
        <v>1</v>
      </c>
      <c r="R987" s="167">
        <v>3</v>
      </c>
      <c r="S987" s="167" t="s">
        <v>278</v>
      </c>
      <c r="T987" s="167">
        <v>1</v>
      </c>
      <c r="U987" s="7" t="s">
        <v>169</v>
      </c>
      <c r="V987" s="7" t="s">
        <v>169</v>
      </c>
      <c r="W987" s="47" t="str">
        <f t="shared" ca="1" si="99"/>
        <v/>
      </c>
      <c r="X987" s="47">
        <f ca="1">VLOOKUP($C987,OFFSET(quests!$A$1,0,0,COUNTA(quests!$A:$A),MATCH(X$2,quests!$1:$1,0)-MATCH($C$2,quests!$1:$1,0)+1),MATCH(X$2,quests!$1:$1,0)-MATCH($C$2,quests!$1:$1,0)+1,FALSE)</f>
        <v>0</v>
      </c>
      <c r="Y987" s="47">
        <f ca="1">VLOOKUP($C987,OFFSET(quests!$A$1,0,0,COUNTA(quests!$A:$A),MATCH(Y$2,quests!$1:$1,0)-MATCH($C$2,quests!$1:$1,0)+1),MATCH(Y$2,quests!$1:$1,0)-MATCH($C$2,quests!$1:$1,0)+1,FALSE)</f>
        <v>0</v>
      </c>
      <c r="Z987" s="47">
        <f ca="1">VLOOKUP($C987,OFFSET(quests!$A$1,0,0,COUNTA(quests!$A:$A),MATCH(Z$2,quests!$1:$1,0)-MATCH($C$2,quests!$1:$1,0)+1),MATCH(Z$2,quests!$1:$1,0)-MATCH($C$2,quests!$1:$1,0)+1,FALSE)</f>
        <v>0</v>
      </c>
      <c r="AA987" s="47">
        <f ca="1">VLOOKUP($C987,OFFSET(quests!$A$1,0,0,COUNTA(quests!$A:$A),MATCH(AA$2,quests!$1:$1,0)-MATCH($C$2,quests!$1:$1,0)+1),MATCH(AA$2,quests!$1:$1,0)-MATCH($C$2,quests!$1:$1,0)+1,FALSE)</f>
        <v>0</v>
      </c>
      <c r="AB987" s="7" t="s">
        <v>56</v>
      </c>
      <c r="AC987" s="33">
        <v>982</v>
      </c>
      <c r="AD987" s="7">
        <v>6</v>
      </c>
      <c r="AE987" s="7" t="s">
        <v>519</v>
      </c>
      <c r="AF987" s="7">
        <v>2224</v>
      </c>
      <c r="AG987" s="7">
        <v>2224</v>
      </c>
      <c r="AH987" s="7" t="s">
        <v>2180</v>
      </c>
      <c r="AI987" s="7">
        <v>0</v>
      </c>
      <c r="AJ987" s="7">
        <v>-1</v>
      </c>
      <c r="AK987" s="7" t="s">
        <v>1065</v>
      </c>
      <c r="AL987" s="12" t="s">
        <v>1269</v>
      </c>
      <c r="AM987" s="12" t="s">
        <v>2072</v>
      </c>
    </row>
    <row r="988" spans="1:39" s="183" customFormat="1" ht="21" customHeight="1" x14ac:dyDescent="0.15">
      <c r="A988" s="42" t="str">
        <f t="shared" ref="A988" si="104">C988&amp;"_"&amp;F988</f>
        <v>59003_1</v>
      </c>
      <c r="B988" s="39">
        <v>1</v>
      </c>
      <c r="C988" s="31">
        <v>59003</v>
      </c>
      <c r="D988" s="47" t="str">
        <f ca="1">VLOOKUP($C988,OFFSET(quests!$A$1,0,0,COUNTA(quests!$A:$A),MATCH(D$1,quests!$1:$1,0)-MATCH($C$2,quests!$1:$1,0)+1),MATCH(D$1,quests!$1:$1,0)-MATCH($C$2,quests!$1:$1,0)+1,FALSE)</f>
        <v>風雷</v>
      </c>
      <c r="E988" s="48" t="str">
        <f ca="1">VLOOKUP($C988,OFFSET(quests!$A$1,0,0,COUNTA(quests!$A:$A),MATCH(E$2,quests!$1:$1,0)-MATCH($C$2,quests!$1:$1,0)+1),MATCH(E$2,quests!$1:$1,0)-MATCH($C$2,quests!$1:$1,0)+1,FALSE)</f>
        <v>コラボ超降臨3</v>
      </c>
      <c r="F988" s="7">
        <v>1</v>
      </c>
      <c r="G988" s="7" t="s">
        <v>568</v>
      </c>
      <c r="H988" s="39" t="s">
        <v>2287</v>
      </c>
      <c r="I988" s="12" t="s">
        <v>61</v>
      </c>
      <c r="J988" s="65">
        <v>0</v>
      </c>
      <c r="K988" s="167">
        <v>40</v>
      </c>
      <c r="L988" s="167">
        <v>4500</v>
      </c>
      <c r="M988" s="167">
        <v>1</v>
      </c>
      <c r="N988" s="167">
        <v>1</v>
      </c>
      <c r="O988" s="167">
        <v>1</v>
      </c>
      <c r="P988" s="167">
        <v>1</v>
      </c>
      <c r="Q988" s="167">
        <v>1</v>
      </c>
      <c r="R988" s="167">
        <v>3</v>
      </c>
      <c r="S988" s="167" t="s">
        <v>278</v>
      </c>
      <c r="T988" s="167">
        <v>1</v>
      </c>
      <c r="U988" s="7" t="s">
        <v>169</v>
      </c>
      <c r="V988" s="7" t="s">
        <v>169</v>
      </c>
      <c r="W988" s="47" t="str">
        <f t="shared" ca="1" si="99"/>
        <v/>
      </c>
      <c r="X988" s="47">
        <f ca="1">VLOOKUP($C988,OFFSET(quests!$A$1,0,0,COUNTA(quests!$A:$A),MATCH(X$2,quests!$1:$1,0)-MATCH($C$2,quests!$1:$1,0)+1),MATCH(X$2,quests!$1:$1,0)-MATCH($C$2,quests!$1:$1,0)+1,FALSE)</f>
        <v>0</v>
      </c>
      <c r="Y988" s="47">
        <f ca="1">VLOOKUP($C988,OFFSET(quests!$A$1,0,0,COUNTA(quests!$A:$A),MATCH(Y$2,quests!$1:$1,0)-MATCH($C$2,quests!$1:$1,0)+1),MATCH(Y$2,quests!$1:$1,0)-MATCH($C$2,quests!$1:$1,0)+1,FALSE)</f>
        <v>0</v>
      </c>
      <c r="Z988" s="47">
        <f ca="1">VLOOKUP($C988,OFFSET(quests!$A$1,0,0,COUNTA(quests!$A:$A),MATCH(Z$2,quests!$1:$1,0)-MATCH($C$2,quests!$1:$1,0)+1),MATCH(Z$2,quests!$1:$1,0)-MATCH($C$2,quests!$1:$1,0)+1,FALSE)</f>
        <v>0</v>
      </c>
      <c r="AA988" s="47">
        <f ca="1">VLOOKUP($C988,OFFSET(quests!$A$1,0,0,COUNTA(quests!$A:$A),MATCH(AA$2,quests!$1:$1,0)-MATCH($C$2,quests!$1:$1,0)+1),MATCH(AA$2,quests!$1:$1,0)-MATCH($C$2,quests!$1:$1,0)+1,FALSE)</f>
        <v>0</v>
      </c>
      <c r="AB988" s="7" t="s">
        <v>56</v>
      </c>
      <c r="AC988" s="167">
        <v>1000</v>
      </c>
      <c r="AD988" s="7">
        <v>6</v>
      </c>
      <c r="AE988" s="7" t="s">
        <v>519</v>
      </c>
      <c r="AF988" s="167">
        <v>9801</v>
      </c>
      <c r="AG988" s="167">
        <v>9804</v>
      </c>
      <c r="AH988" s="7" t="s">
        <v>2180</v>
      </c>
      <c r="AI988" s="7">
        <v>-1</v>
      </c>
      <c r="AJ988" s="7">
        <v>-1</v>
      </c>
      <c r="AK988" s="7" t="s">
        <v>1065</v>
      </c>
      <c r="AL988" s="12" t="s">
        <v>1269</v>
      </c>
      <c r="AM988" s="12" t="s">
        <v>2072</v>
      </c>
    </row>
    <row r="989" spans="1:39" s="183" customFormat="1" ht="21" customHeight="1" x14ac:dyDescent="0.15">
      <c r="A989" s="42" t="str">
        <f t="shared" ref="A989" si="105">C989&amp;"_"&amp;F989</f>
        <v>59003_2</v>
      </c>
      <c r="B989" s="39">
        <v>1</v>
      </c>
      <c r="C989" s="31">
        <v>59003</v>
      </c>
      <c r="D989" s="47" t="str">
        <f ca="1">VLOOKUP($C989,OFFSET(quests!$A$1,0,0,COUNTA(quests!$A:$A),MATCH(D$1,quests!$1:$1,0)-MATCH($C$2,quests!$1:$1,0)+1),MATCH(D$1,quests!$1:$1,0)-MATCH($C$2,quests!$1:$1,0)+1,FALSE)</f>
        <v>風雷</v>
      </c>
      <c r="E989" s="48" t="str">
        <f ca="1">VLOOKUP($C989,OFFSET(quests!$A$1,0,0,COUNTA(quests!$A:$A),MATCH(E$2,quests!$1:$1,0)-MATCH($C$2,quests!$1:$1,0)+1),MATCH(E$2,quests!$1:$1,0)-MATCH($C$2,quests!$1:$1,0)+1,FALSE)</f>
        <v>コラボ超降臨3</v>
      </c>
      <c r="F989" s="7">
        <v>2</v>
      </c>
      <c r="G989" s="7" t="s">
        <v>568</v>
      </c>
      <c r="H989" s="39" t="s">
        <v>2288</v>
      </c>
      <c r="I989" s="12" t="s">
        <v>583</v>
      </c>
      <c r="J989" s="65">
        <v>0</v>
      </c>
      <c r="K989" s="167">
        <v>40</v>
      </c>
      <c r="L989" s="167">
        <v>5200</v>
      </c>
      <c r="M989" s="167">
        <v>1</v>
      </c>
      <c r="N989" s="167">
        <v>1</v>
      </c>
      <c r="O989" s="167">
        <v>1</v>
      </c>
      <c r="P989" s="167">
        <v>1</v>
      </c>
      <c r="Q989" s="167">
        <v>1</v>
      </c>
      <c r="R989" s="167">
        <v>3</v>
      </c>
      <c r="S989" s="167" t="s">
        <v>2390</v>
      </c>
      <c r="T989" s="167">
        <v>1571</v>
      </c>
      <c r="U989" s="7" t="s">
        <v>169</v>
      </c>
      <c r="V989" s="7" t="s">
        <v>169</v>
      </c>
      <c r="W989" s="47" t="str">
        <f t="shared" ca="1" si="99"/>
        <v/>
      </c>
      <c r="X989" s="47">
        <f ca="1">VLOOKUP($C989,OFFSET(quests!$A$1,0,0,COUNTA(quests!$A:$A),MATCH(X$2,quests!$1:$1,0)-MATCH($C$2,quests!$1:$1,0)+1),MATCH(X$2,quests!$1:$1,0)-MATCH($C$2,quests!$1:$1,0)+1,FALSE)</f>
        <v>0</v>
      </c>
      <c r="Y989" s="47">
        <f ca="1">VLOOKUP($C989,OFFSET(quests!$A$1,0,0,COUNTA(quests!$A:$A),MATCH(Y$2,quests!$1:$1,0)-MATCH($C$2,quests!$1:$1,0)+1),MATCH(Y$2,quests!$1:$1,0)-MATCH($C$2,quests!$1:$1,0)+1,FALSE)</f>
        <v>0</v>
      </c>
      <c r="Z989" s="47">
        <f ca="1">VLOOKUP($C989,OFFSET(quests!$A$1,0,0,COUNTA(quests!$A:$A),MATCH(Z$2,quests!$1:$1,0)-MATCH($C$2,quests!$1:$1,0)+1),MATCH(Z$2,quests!$1:$1,0)-MATCH($C$2,quests!$1:$1,0)+1,FALSE)</f>
        <v>0</v>
      </c>
      <c r="AA989" s="47">
        <f ca="1">VLOOKUP($C989,OFFSET(quests!$A$1,0,0,COUNTA(quests!$A:$A),MATCH(AA$2,quests!$1:$1,0)-MATCH($C$2,quests!$1:$1,0)+1),MATCH(AA$2,quests!$1:$1,0)-MATCH($C$2,quests!$1:$1,0)+1,FALSE)</f>
        <v>0</v>
      </c>
      <c r="AB989" s="7" t="s">
        <v>56</v>
      </c>
      <c r="AC989" s="167">
        <v>1000</v>
      </c>
      <c r="AD989" s="7">
        <v>6</v>
      </c>
      <c r="AE989" s="7" t="s">
        <v>519</v>
      </c>
      <c r="AF989" s="167">
        <v>9801</v>
      </c>
      <c r="AG989" s="167">
        <v>9804</v>
      </c>
      <c r="AH989" s="7" t="s">
        <v>2180</v>
      </c>
      <c r="AI989" s="7">
        <v>0</v>
      </c>
      <c r="AJ989" s="7">
        <v>-1</v>
      </c>
      <c r="AK989" s="7" t="s">
        <v>1065</v>
      </c>
      <c r="AL989" s="12" t="s">
        <v>1269</v>
      </c>
      <c r="AM989" s="12" t="s">
        <v>2072</v>
      </c>
    </row>
    <row r="990" spans="1:39" s="183" customFormat="1" ht="21" customHeight="1" x14ac:dyDescent="0.15">
      <c r="A990" s="175" t="str">
        <f t="shared" si="53"/>
        <v>60001_1</v>
      </c>
      <c r="B990" s="176">
        <v>1</v>
      </c>
      <c r="C990" s="177">
        <v>60001</v>
      </c>
      <c r="D990" s="178" t="str">
        <f ca="1">VLOOKUP($C990,OFFSET(quests!$A$1,0,0,COUNTA(quests!$A:$A),MATCH(D$1,quests!$1:$1,0)-MATCH($C$2,quests!$1:$1,0)+1),MATCH(D$1,quests!$1:$1,0)-MATCH($C$2,quests!$1:$1,0)+1,FALSE)</f>
        <v>ヘンペルチャレンジ</v>
      </c>
      <c r="E990" s="179" t="str">
        <f ca="1">VLOOKUP($C990,OFFSET(quests!$A$1,0,0,COUNTA(quests!$A:$A),MATCH(E$2,quests!$1:$1,0)-MATCH($C$2,quests!$1:$1,0)+1),MATCH(E$2,quests!$1:$1,0)-MATCH($C$2,quests!$1:$1,0)+1,FALSE)</f>
        <v>ランキング1</v>
      </c>
      <c r="F990" s="180">
        <v>1</v>
      </c>
      <c r="G990" s="180" t="s">
        <v>988</v>
      </c>
      <c r="H990" s="176" t="s">
        <v>1023</v>
      </c>
      <c r="I990" s="176" t="s">
        <v>989</v>
      </c>
      <c r="J990" s="181">
        <v>488</v>
      </c>
      <c r="K990" s="180">
        <v>5</v>
      </c>
      <c r="L990" s="182">
        <v>0</v>
      </c>
      <c r="M990" s="180">
        <v>1</v>
      </c>
      <c r="N990" s="180">
        <v>1</v>
      </c>
      <c r="O990" s="180">
        <v>1</v>
      </c>
      <c r="P990" s="180">
        <v>1</v>
      </c>
      <c r="Q990" s="180">
        <v>1</v>
      </c>
      <c r="R990" s="180">
        <v>3</v>
      </c>
      <c r="S990" s="180" t="s">
        <v>990</v>
      </c>
      <c r="T990" s="180">
        <v>0</v>
      </c>
      <c r="U990" s="180" t="s">
        <v>169</v>
      </c>
      <c r="V990" s="180" t="s">
        <v>169</v>
      </c>
      <c r="W990" s="178" t="str">
        <f t="shared" ca="1" si="99"/>
        <v/>
      </c>
      <c r="X990" s="178">
        <f ca="1">VLOOKUP($C990,OFFSET(quests!$A$1,0,0,COUNTA(quests!$A:$A),MATCH(X$2,quests!$1:$1,0)-MATCH($C$2,quests!$1:$1,0)+1),MATCH(X$2,quests!$1:$1,0)-MATCH($C$2,quests!$1:$1,0)+1,FALSE)</f>
        <v>0</v>
      </c>
      <c r="Y990" s="178">
        <f ca="1">VLOOKUP($C990,OFFSET(quests!$A$1,0,0,COUNTA(quests!$A:$A),MATCH(Y$2,quests!$1:$1,0)-MATCH($C$2,quests!$1:$1,0)+1),MATCH(Y$2,quests!$1:$1,0)-MATCH($C$2,quests!$1:$1,0)+1,FALSE)</f>
        <v>0</v>
      </c>
      <c r="Z990" s="178">
        <f ca="1">VLOOKUP($C990,OFFSET(quests!$A$1,0,0,COUNTA(quests!$A:$A),MATCH(Z$2,quests!$1:$1,0)-MATCH($C$2,quests!$1:$1,0)+1),MATCH(Z$2,quests!$1:$1,0)-MATCH($C$2,quests!$1:$1,0)+1,FALSE)</f>
        <v>0</v>
      </c>
      <c r="AA990" s="178">
        <f ca="1">VLOOKUP($C990,OFFSET(quests!$A$1,0,0,COUNTA(quests!$A:$A),MATCH(AA$2,quests!$1:$1,0)-MATCH($C$2,quests!$1:$1,0)+1),MATCH(AA$2,quests!$1:$1,0)-MATCH($C$2,quests!$1:$1,0)+1,FALSE)</f>
        <v>0</v>
      </c>
      <c r="AB990" s="180" t="s">
        <v>1003</v>
      </c>
      <c r="AC990" s="180">
        <v>911</v>
      </c>
      <c r="AD990" s="180">
        <v>6</v>
      </c>
      <c r="AE990" s="180" t="s">
        <v>1004</v>
      </c>
      <c r="AF990" s="180">
        <v>6000</v>
      </c>
      <c r="AG990" s="180">
        <v>40</v>
      </c>
      <c r="AH990" s="180">
        <v>0</v>
      </c>
      <c r="AI990" s="180">
        <v>0</v>
      </c>
      <c r="AJ990" s="180">
        <v>-1</v>
      </c>
      <c r="AK990" s="7" t="s">
        <v>1064</v>
      </c>
      <c r="AL990" s="12" t="s">
        <v>1695</v>
      </c>
      <c r="AM990" s="12" t="s">
        <v>2072</v>
      </c>
    </row>
    <row r="991" spans="1:39" s="183" customFormat="1" ht="21" customHeight="1" x14ac:dyDescent="0.15">
      <c r="A991" s="175" t="str">
        <f t="shared" si="53"/>
        <v>60002_1</v>
      </c>
      <c r="B991" s="176">
        <v>1</v>
      </c>
      <c r="C991" s="177">
        <v>60002</v>
      </c>
      <c r="D991" s="178" t="str">
        <f ca="1">VLOOKUP($C991,OFFSET(quests!$A$1,0,0,COUNTA(quests!$A:$A),MATCH(D$1,quests!$1:$1,0)-MATCH($C$2,quests!$1:$1,0)+1),MATCH(D$1,quests!$1:$1,0)-MATCH($C$2,quests!$1:$1,0)+1,FALSE)</f>
        <v>ヘンペルチャレンジ</v>
      </c>
      <c r="E991" s="179" t="str">
        <f ca="1">VLOOKUP($C991,OFFSET(quests!$A$1,0,0,COUNTA(quests!$A:$A),MATCH(E$2,quests!$1:$1,0)-MATCH($C$2,quests!$1:$1,0)+1),MATCH(E$2,quests!$1:$1,0)-MATCH($C$2,quests!$1:$1,0)+1,FALSE)</f>
        <v>ランキング1</v>
      </c>
      <c r="F991" s="180">
        <v>1</v>
      </c>
      <c r="G991" s="180" t="s">
        <v>382</v>
      </c>
      <c r="H991" s="176" t="s">
        <v>1024</v>
      </c>
      <c r="I991" s="176" t="s">
        <v>989</v>
      </c>
      <c r="J991" s="181">
        <v>488</v>
      </c>
      <c r="K991" s="180">
        <v>5</v>
      </c>
      <c r="L991" s="182">
        <v>0</v>
      </c>
      <c r="M991" s="180">
        <v>1</v>
      </c>
      <c r="N991" s="180">
        <v>1</v>
      </c>
      <c r="O991" s="180">
        <v>1</v>
      </c>
      <c r="P991" s="180">
        <v>1</v>
      </c>
      <c r="Q991" s="180">
        <v>1</v>
      </c>
      <c r="R991" s="180">
        <v>3</v>
      </c>
      <c r="S991" s="180" t="s">
        <v>817</v>
      </c>
      <c r="T991" s="180">
        <v>0</v>
      </c>
      <c r="U991" s="180" t="s">
        <v>169</v>
      </c>
      <c r="V991" s="180" t="s">
        <v>169</v>
      </c>
      <c r="W991" s="178" t="str">
        <f t="shared" ca="1" si="99"/>
        <v/>
      </c>
      <c r="X991" s="178">
        <f ca="1">VLOOKUP($C991,OFFSET(quests!$A$1,0,0,COUNTA(quests!$A:$A),MATCH(X$2,quests!$1:$1,0)-MATCH($C$2,quests!$1:$1,0)+1),MATCH(X$2,quests!$1:$1,0)-MATCH($C$2,quests!$1:$1,0)+1,FALSE)</f>
        <v>0</v>
      </c>
      <c r="Y991" s="178">
        <f ca="1">VLOOKUP($C991,OFFSET(quests!$A$1,0,0,COUNTA(quests!$A:$A),MATCH(Y$2,quests!$1:$1,0)-MATCH($C$2,quests!$1:$1,0)+1),MATCH(Y$2,quests!$1:$1,0)-MATCH($C$2,quests!$1:$1,0)+1,FALSE)</f>
        <v>0</v>
      </c>
      <c r="Z991" s="178">
        <f ca="1">VLOOKUP($C991,OFFSET(quests!$A$1,0,0,COUNTA(quests!$A:$A),MATCH(Z$2,quests!$1:$1,0)-MATCH($C$2,quests!$1:$1,0)+1),MATCH(Z$2,quests!$1:$1,0)-MATCH($C$2,quests!$1:$1,0)+1,FALSE)</f>
        <v>0</v>
      </c>
      <c r="AA991" s="178">
        <f ca="1">VLOOKUP($C991,OFFSET(quests!$A$1,0,0,COUNTA(quests!$A:$A),MATCH(AA$2,quests!$1:$1,0)-MATCH($C$2,quests!$1:$1,0)+1),MATCH(AA$2,quests!$1:$1,0)-MATCH($C$2,quests!$1:$1,0)+1,FALSE)</f>
        <v>0</v>
      </c>
      <c r="AB991" s="180" t="s">
        <v>971</v>
      </c>
      <c r="AC991" s="180">
        <v>911</v>
      </c>
      <c r="AD991" s="180">
        <v>6</v>
      </c>
      <c r="AE991" s="180" t="s">
        <v>1004</v>
      </c>
      <c r="AF991" s="180">
        <v>6000</v>
      </c>
      <c r="AG991" s="180">
        <v>40</v>
      </c>
      <c r="AH991" s="180">
        <v>0</v>
      </c>
      <c r="AI991" s="180">
        <v>0</v>
      </c>
      <c r="AJ991" s="180">
        <v>-1</v>
      </c>
      <c r="AK991" s="7" t="s">
        <v>1064</v>
      </c>
      <c r="AL991" s="12" t="s">
        <v>1695</v>
      </c>
      <c r="AM991" s="12" t="s">
        <v>2072</v>
      </c>
    </row>
    <row r="992" spans="1:39" s="183" customFormat="1" ht="21" customHeight="1" x14ac:dyDescent="0.15">
      <c r="A992" s="175" t="str">
        <f t="shared" si="53"/>
        <v>60002_2</v>
      </c>
      <c r="B992" s="176">
        <v>1</v>
      </c>
      <c r="C992" s="177">
        <v>60002</v>
      </c>
      <c r="D992" s="178" t="str">
        <f ca="1">VLOOKUP($C992,OFFSET(quests!$A$1,0,0,COUNTA(quests!$A:$A),MATCH(D$1,quests!$1:$1,0)-MATCH($C$2,quests!$1:$1,0)+1),MATCH(D$1,quests!$1:$1,0)-MATCH($C$2,quests!$1:$1,0)+1,FALSE)</f>
        <v>ヘンペルチャレンジ</v>
      </c>
      <c r="E992" s="179" t="str">
        <f ca="1">VLOOKUP($C992,OFFSET(quests!$A$1,0,0,COUNTA(quests!$A:$A),MATCH(E$2,quests!$1:$1,0)-MATCH($C$2,quests!$1:$1,0)+1),MATCH(E$2,quests!$1:$1,0)-MATCH($C$2,quests!$1:$1,0)+1,FALSE)</f>
        <v>ランキング1</v>
      </c>
      <c r="F992" s="180">
        <v>2</v>
      </c>
      <c r="G992" s="180" t="s">
        <v>382</v>
      </c>
      <c r="H992" s="176" t="s">
        <v>1025</v>
      </c>
      <c r="I992" s="176" t="s">
        <v>989</v>
      </c>
      <c r="J992" s="181">
        <v>488</v>
      </c>
      <c r="K992" s="180">
        <v>5</v>
      </c>
      <c r="L992" s="182">
        <v>0</v>
      </c>
      <c r="M992" s="180">
        <v>1</v>
      </c>
      <c r="N992" s="180">
        <v>1</v>
      </c>
      <c r="O992" s="180">
        <v>1</v>
      </c>
      <c r="P992" s="180">
        <v>1</v>
      </c>
      <c r="Q992" s="180">
        <v>1</v>
      </c>
      <c r="R992" s="180">
        <v>3</v>
      </c>
      <c r="S992" s="180" t="s">
        <v>817</v>
      </c>
      <c r="T992" s="180">
        <v>0</v>
      </c>
      <c r="U992" s="180" t="s">
        <v>169</v>
      </c>
      <c r="V992" s="180" t="s">
        <v>169</v>
      </c>
      <c r="W992" s="178" t="str">
        <f t="shared" ca="1" si="99"/>
        <v/>
      </c>
      <c r="X992" s="178">
        <f ca="1">VLOOKUP($C992,OFFSET(quests!$A$1,0,0,COUNTA(quests!$A:$A),MATCH(X$2,quests!$1:$1,0)-MATCH($C$2,quests!$1:$1,0)+1),MATCH(X$2,quests!$1:$1,0)-MATCH($C$2,quests!$1:$1,0)+1,FALSE)</f>
        <v>0</v>
      </c>
      <c r="Y992" s="178">
        <f ca="1">VLOOKUP($C992,OFFSET(quests!$A$1,0,0,COUNTA(quests!$A:$A),MATCH(Y$2,quests!$1:$1,0)-MATCH($C$2,quests!$1:$1,0)+1),MATCH(Y$2,quests!$1:$1,0)-MATCH($C$2,quests!$1:$1,0)+1,FALSE)</f>
        <v>0</v>
      </c>
      <c r="Z992" s="178">
        <f ca="1">VLOOKUP($C992,OFFSET(quests!$A$1,0,0,COUNTA(quests!$A:$A),MATCH(Z$2,quests!$1:$1,0)-MATCH($C$2,quests!$1:$1,0)+1),MATCH(Z$2,quests!$1:$1,0)-MATCH($C$2,quests!$1:$1,0)+1,FALSE)</f>
        <v>0</v>
      </c>
      <c r="AA992" s="178">
        <f ca="1">VLOOKUP($C992,OFFSET(quests!$A$1,0,0,COUNTA(quests!$A:$A),MATCH(AA$2,quests!$1:$1,0)-MATCH($C$2,quests!$1:$1,0)+1),MATCH(AA$2,quests!$1:$1,0)-MATCH($C$2,quests!$1:$1,0)+1,FALSE)</f>
        <v>0</v>
      </c>
      <c r="AB992" s="180" t="s">
        <v>971</v>
      </c>
      <c r="AC992" s="180">
        <v>911</v>
      </c>
      <c r="AD992" s="180">
        <v>6</v>
      </c>
      <c r="AE992" s="180" t="s">
        <v>1004</v>
      </c>
      <c r="AF992" s="180">
        <v>6000</v>
      </c>
      <c r="AG992" s="180">
        <v>40</v>
      </c>
      <c r="AH992" s="180">
        <v>0</v>
      </c>
      <c r="AI992" s="180">
        <v>0</v>
      </c>
      <c r="AJ992" s="180">
        <v>-1</v>
      </c>
      <c r="AK992" s="7" t="s">
        <v>1064</v>
      </c>
      <c r="AL992" s="12" t="s">
        <v>1695</v>
      </c>
      <c r="AM992" s="12" t="s">
        <v>2072</v>
      </c>
    </row>
    <row r="993" spans="1:39" s="183" customFormat="1" ht="21" customHeight="1" x14ac:dyDescent="0.15">
      <c r="A993" s="175" t="str">
        <f t="shared" si="53"/>
        <v>60003_1</v>
      </c>
      <c r="B993" s="176">
        <v>1</v>
      </c>
      <c r="C993" s="177">
        <v>60003</v>
      </c>
      <c r="D993" s="178" t="str">
        <f ca="1">VLOOKUP($C993,OFFSET(quests!$A$1,0,0,COUNTA(quests!$A:$A),MATCH(D$1,quests!$1:$1,0)-MATCH($C$2,quests!$1:$1,0)+1),MATCH(D$1,quests!$1:$1,0)-MATCH($C$2,quests!$1:$1,0)+1,FALSE)</f>
        <v>ヘンペルチャレンジ</v>
      </c>
      <c r="E993" s="179" t="str">
        <f ca="1">VLOOKUP($C993,OFFSET(quests!$A$1,0,0,COUNTA(quests!$A:$A),MATCH(E$2,quests!$1:$1,0)-MATCH($C$2,quests!$1:$1,0)+1),MATCH(E$2,quests!$1:$1,0)-MATCH($C$2,quests!$1:$1,0)+1,FALSE)</f>
        <v>ランキング1</v>
      </c>
      <c r="F993" s="180">
        <v>1</v>
      </c>
      <c r="G993" s="180" t="s">
        <v>382</v>
      </c>
      <c r="H993" s="176" t="s">
        <v>1030</v>
      </c>
      <c r="I993" s="176" t="s">
        <v>989</v>
      </c>
      <c r="J993" s="181">
        <v>488</v>
      </c>
      <c r="K993" s="180">
        <v>5</v>
      </c>
      <c r="L993" s="182">
        <v>0</v>
      </c>
      <c r="M993" s="180">
        <v>1</v>
      </c>
      <c r="N993" s="180">
        <v>1</v>
      </c>
      <c r="O993" s="180">
        <v>1</v>
      </c>
      <c r="P993" s="180">
        <v>1</v>
      </c>
      <c r="Q993" s="180">
        <v>1</v>
      </c>
      <c r="R993" s="180">
        <v>3</v>
      </c>
      <c r="S993" s="180" t="s">
        <v>817</v>
      </c>
      <c r="T993" s="180">
        <v>0</v>
      </c>
      <c r="U993" s="180" t="s">
        <v>1043</v>
      </c>
      <c r="V993" s="180" t="s">
        <v>1044</v>
      </c>
      <c r="W993" s="178" t="str">
        <f t="shared" ca="1" si="99"/>
        <v/>
      </c>
      <c r="X993" s="178">
        <f ca="1">VLOOKUP($C993,OFFSET(quests!$A$1,0,0,COUNTA(quests!$A:$A),MATCH(X$2,quests!$1:$1,0)-MATCH($C$2,quests!$1:$1,0)+1),MATCH(X$2,quests!$1:$1,0)-MATCH($C$2,quests!$1:$1,0)+1,FALSE)</f>
        <v>0</v>
      </c>
      <c r="Y993" s="178">
        <f ca="1">VLOOKUP($C993,OFFSET(quests!$A$1,0,0,COUNTA(quests!$A:$A),MATCH(Y$2,quests!$1:$1,0)-MATCH($C$2,quests!$1:$1,0)+1),MATCH(Y$2,quests!$1:$1,0)-MATCH($C$2,quests!$1:$1,0)+1,FALSE)</f>
        <v>0</v>
      </c>
      <c r="Z993" s="178">
        <f ca="1">VLOOKUP($C993,OFFSET(quests!$A$1,0,0,COUNTA(quests!$A:$A),MATCH(Z$2,quests!$1:$1,0)-MATCH($C$2,quests!$1:$1,0)+1),MATCH(Z$2,quests!$1:$1,0)-MATCH($C$2,quests!$1:$1,0)+1,FALSE)</f>
        <v>0</v>
      </c>
      <c r="AA993" s="178">
        <f ca="1">VLOOKUP($C993,OFFSET(quests!$A$1,0,0,COUNTA(quests!$A:$A),MATCH(AA$2,quests!$1:$1,0)-MATCH($C$2,quests!$1:$1,0)+1),MATCH(AA$2,quests!$1:$1,0)-MATCH($C$2,quests!$1:$1,0)+1,FALSE)</f>
        <v>0</v>
      </c>
      <c r="AB993" s="180" t="s">
        <v>971</v>
      </c>
      <c r="AC993" s="180">
        <v>911</v>
      </c>
      <c r="AD993" s="180">
        <v>6</v>
      </c>
      <c r="AE993" s="180" t="s">
        <v>1004</v>
      </c>
      <c r="AF993" s="180">
        <v>6000</v>
      </c>
      <c r="AG993" s="180">
        <v>40</v>
      </c>
      <c r="AH993" s="180">
        <v>0</v>
      </c>
      <c r="AI993" s="180">
        <v>0</v>
      </c>
      <c r="AJ993" s="180">
        <v>-1</v>
      </c>
      <c r="AK993" s="7" t="s">
        <v>1064</v>
      </c>
      <c r="AL993" s="12" t="s">
        <v>1695</v>
      </c>
      <c r="AM993" s="12" t="s">
        <v>2072</v>
      </c>
    </row>
    <row r="994" spans="1:39" s="183" customFormat="1" ht="21" customHeight="1" x14ac:dyDescent="0.15">
      <c r="A994" s="175" t="str">
        <f t="shared" si="53"/>
        <v>60003_2</v>
      </c>
      <c r="B994" s="176">
        <v>1</v>
      </c>
      <c r="C994" s="177">
        <v>60003</v>
      </c>
      <c r="D994" s="178" t="str">
        <f ca="1">VLOOKUP($C994,OFFSET(quests!$A$1,0,0,COUNTA(quests!$A:$A),MATCH(D$1,quests!$1:$1,0)-MATCH($C$2,quests!$1:$1,0)+1),MATCH(D$1,quests!$1:$1,0)-MATCH($C$2,quests!$1:$1,0)+1,FALSE)</f>
        <v>ヘンペルチャレンジ</v>
      </c>
      <c r="E994" s="179" t="str">
        <f ca="1">VLOOKUP($C994,OFFSET(quests!$A$1,0,0,COUNTA(quests!$A:$A),MATCH(E$2,quests!$1:$1,0)-MATCH($C$2,quests!$1:$1,0)+1),MATCH(E$2,quests!$1:$1,0)-MATCH($C$2,quests!$1:$1,0)+1,FALSE)</f>
        <v>ランキング1</v>
      </c>
      <c r="F994" s="180">
        <v>2</v>
      </c>
      <c r="G994" s="180" t="s">
        <v>382</v>
      </c>
      <c r="H994" s="176" t="s">
        <v>1031</v>
      </c>
      <c r="I994" s="176" t="s">
        <v>989</v>
      </c>
      <c r="J994" s="181">
        <v>488</v>
      </c>
      <c r="K994" s="180">
        <v>5</v>
      </c>
      <c r="L994" s="182">
        <v>0</v>
      </c>
      <c r="M994" s="180">
        <v>1</v>
      </c>
      <c r="N994" s="180">
        <v>1</v>
      </c>
      <c r="O994" s="180">
        <v>1</v>
      </c>
      <c r="P994" s="180">
        <v>1</v>
      </c>
      <c r="Q994" s="180">
        <v>1</v>
      </c>
      <c r="R994" s="180">
        <v>3</v>
      </c>
      <c r="S994" s="180" t="s">
        <v>817</v>
      </c>
      <c r="T994" s="180">
        <v>0</v>
      </c>
      <c r="U994" s="180">
        <v>60003</v>
      </c>
      <c r="V994" s="180">
        <v>1</v>
      </c>
      <c r="W994" s="178" t="str">
        <f t="shared" ca="1" si="99"/>
        <v>[中級] 第3回　</v>
      </c>
      <c r="X994" s="178">
        <f ca="1">VLOOKUP($C994,OFFSET(quests!$A$1,0,0,COUNTA(quests!$A:$A),MATCH(X$2,quests!$1:$1,0)-MATCH($C$2,quests!$1:$1,0)+1),MATCH(X$2,quests!$1:$1,0)-MATCH($C$2,quests!$1:$1,0)+1,FALSE)</f>
        <v>0</v>
      </c>
      <c r="Y994" s="178">
        <f ca="1">VLOOKUP($C994,OFFSET(quests!$A$1,0,0,COUNTA(quests!$A:$A),MATCH(Y$2,quests!$1:$1,0)-MATCH($C$2,quests!$1:$1,0)+1),MATCH(Y$2,quests!$1:$1,0)-MATCH($C$2,quests!$1:$1,0)+1,FALSE)</f>
        <v>0</v>
      </c>
      <c r="Z994" s="178">
        <f ca="1">VLOOKUP($C994,OFFSET(quests!$A$1,0,0,COUNTA(quests!$A:$A),MATCH(Z$2,quests!$1:$1,0)-MATCH($C$2,quests!$1:$1,0)+1),MATCH(Z$2,quests!$1:$1,0)-MATCH($C$2,quests!$1:$1,0)+1,FALSE)</f>
        <v>0</v>
      </c>
      <c r="AA994" s="178">
        <f ca="1">VLOOKUP($C994,OFFSET(quests!$A$1,0,0,COUNTA(quests!$A:$A),MATCH(AA$2,quests!$1:$1,0)-MATCH($C$2,quests!$1:$1,0)+1),MATCH(AA$2,quests!$1:$1,0)-MATCH($C$2,quests!$1:$1,0)+1,FALSE)</f>
        <v>0</v>
      </c>
      <c r="AB994" s="180" t="s">
        <v>971</v>
      </c>
      <c r="AC994" s="180">
        <v>911</v>
      </c>
      <c r="AD994" s="180">
        <v>6</v>
      </c>
      <c r="AE994" s="180" t="s">
        <v>1004</v>
      </c>
      <c r="AF994" s="180">
        <v>6000</v>
      </c>
      <c r="AG994" s="180">
        <v>40</v>
      </c>
      <c r="AH994" s="180">
        <v>0</v>
      </c>
      <c r="AI994" s="180">
        <v>0</v>
      </c>
      <c r="AJ994" s="180">
        <v>-1</v>
      </c>
      <c r="AK994" s="7" t="s">
        <v>1064</v>
      </c>
      <c r="AL994" s="12" t="s">
        <v>1695</v>
      </c>
      <c r="AM994" s="12" t="s">
        <v>2072</v>
      </c>
    </row>
    <row r="995" spans="1:39" s="71" customFormat="1" ht="21" customHeight="1" x14ac:dyDescent="0.15">
      <c r="A995" s="175" t="str">
        <f t="shared" si="53"/>
        <v>60003_3</v>
      </c>
      <c r="B995" s="176">
        <v>1</v>
      </c>
      <c r="C995" s="177">
        <v>60003</v>
      </c>
      <c r="D995" s="178" t="str">
        <f ca="1">VLOOKUP($C995,OFFSET(quests!$A$1,0,0,COUNTA(quests!$A:$A),MATCH(D$1,quests!$1:$1,0)-MATCH($C$2,quests!$1:$1,0)+1),MATCH(D$1,quests!$1:$1,0)-MATCH($C$2,quests!$1:$1,0)+1,FALSE)</f>
        <v>ヘンペルチャレンジ</v>
      </c>
      <c r="E995" s="179" t="str">
        <f ca="1">VLOOKUP($C995,OFFSET(quests!$A$1,0,0,COUNTA(quests!$A:$A),MATCH(E$2,quests!$1:$1,0)-MATCH($C$2,quests!$1:$1,0)+1),MATCH(E$2,quests!$1:$1,0)-MATCH($C$2,quests!$1:$1,0)+1,FALSE)</f>
        <v>ランキング1</v>
      </c>
      <c r="F995" s="180">
        <v>3</v>
      </c>
      <c r="G995" s="180" t="s">
        <v>382</v>
      </c>
      <c r="H995" s="176" t="s">
        <v>1032</v>
      </c>
      <c r="I995" s="176" t="s">
        <v>989</v>
      </c>
      <c r="J995" s="181">
        <v>488</v>
      </c>
      <c r="K995" s="180">
        <v>5</v>
      </c>
      <c r="L995" s="182">
        <v>0</v>
      </c>
      <c r="M995" s="180">
        <v>1</v>
      </c>
      <c r="N995" s="180">
        <v>1</v>
      </c>
      <c r="O995" s="180">
        <v>1</v>
      </c>
      <c r="P995" s="180">
        <v>1</v>
      </c>
      <c r="Q995" s="180">
        <v>1</v>
      </c>
      <c r="R995" s="180">
        <v>3</v>
      </c>
      <c r="S995" s="180" t="s">
        <v>817</v>
      </c>
      <c r="T995" s="180">
        <v>0</v>
      </c>
      <c r="U995" s="180">
        <v>60003</v>
      </c>
      <c r="V995" s="180">
        <v>2</v>
      </c>
      <c r="W995" s="178" t="str">
        <f t="shared" ca="1" si="99"/>
        <v>[超級] 第3回　</v>
      </c>
      <c r="X995" s="178">
        <f ca="1">VLOOKUP($C995,OFFSET(quests!$A$1,0,0,COUNTA(quests!$A:$A),MATCH(X$2,quests!$1:$1,0)-MATCH($C$2,quests!$1:$1,0)+1),MATCH(X$2,quests!$1:$1,0)-MATCH($C$2,quests!$1:$1,0)+1,FALSE)</f>
        <v>0</v>
      </c>
      <c r="Y995" s="178">
        <f ca="1">VLOOKUP($C995,OFFSET(quests!$A$1,0,0,COUNTA(quests!$A:$A),MATCH(Y$2,quests!$1:$1,0)-MATCH($C$2,quests!$1:$1,0)+1),MATCH(Y$2,quests!$1:$1,0)-MATCH($C$2,quests!$1:$1,0)+1,FALSE)</f>
        <v>0</v>
      </c>
      <c r="Z995" s="178">
        <f ca="1">VLOOKUP($C995,OFFSET(quests!$A$1,0,0,COUNTA(quests!$A:$A),MATCH(Z$2,quests!$1:$1,0)-MATCH($C$2,quests!$1:$1,0)+1),MATCH(Z$2,quests!$1:$1,0)-MATCH($C$2,quests!$1:$1,0)+1,FALSE)</f>
        <v>0</v>
      </c>
      <c r="AA995" s="178">
        <f ca="1">VLOOKUP($C995,OFFSET(quests!$A$1,0,0,COUNTA(quests!$A:$A),MATCH(AA$2,quests!$1:$1,0)-MATCH($C$2,quests!$1:$1,0)+1),MATCH(AA$2,quests!$1:$1,0)-MATCH($C$2,quests!$1:$1,0)+1,FALSE)</f>
        <v>0</v>
      </c>
      <c r="AB995" s="180" t="s">
        <v>971</v>
      </c>
      <c r="AC995" s="180">
        <v>911</v>
      </c>
      <c r="AD995" s="180">
        <v>6</v>
      </c>
      <c r="AE995" s="180" t="s">
        <v>1004</v>
      </c>
      <c r="AF995" s="180">
        <v>6000</v>
      </c>
      <c r="AG995" s="180">
        <v>40</v>
      </c>
      <c r="AH995" s="180">
        <v>0</v>
      </c>
      <c r="AI995" s="180">
        <v>0</v>
      </c>
      <c r="AJ995" s="180">
        <v>-1</v>
      </c>
      <c r="AK995" s="7" t="s">
        <v>1064</v>
      </c>
      <c r="AL995" s="12" t="s">
        <v>1695</v>
      </c>
      <c r="AM995" s="12" t="s">
        <v>2072</v>
      </c>
    </row>
    <row r="996" spans="1:39" s="71" customFormat="1" ht="21" customHeight="1" x14ac:dyDescent="0.15">
      <c r="A996" s="175" t="str">
        <f t="shared" si="53"/>
        <v>60004_1</v>
      </c>
      <c r="B996" s="176">
        <v>1</v>
      </c>
      <c r="C996" s="177">
        <v>60004</v>
      </c>
      <c r="D996" s="178" t="str">
        <f ca="1">VLOOKUP($C996,OFFSET(quests!$A$1,0,0,COUNTA(quests!$A:$A),MATCH(D$1,quests!$1:$1,0)-MATCH($C$2,quests!$1:$1,0)+1),MATCH(D$1,quests!$1:$1,0)-MATCH($C$2,quests!$1:$1,0)+1,FALSE)</f>
        <v>ヘンペルチャレンジ</v>
      </c>
      <c r="E996" s="179" t="str">
        <f ca="1">VLOOKUP($C996,OFFSET(quests!$A$1,0,0,COUNTA(quests!$A:$A),MATCH(E$2,quests!$1:$1,0)-MATCH($C$2,quests!$1:$1,0)+1),MATCH(E$2,quests!$1:$1,0)-MATCH($C$2,quests!$1:$1,0)+1,FALSE)</f>
        <v>ランキング1</v>
      </c>
      <c r="F996" s="180">
        <v>1</v>
      </c>
      <c r="G996" s="180" t="s">
        <v>382</v>
      </c>
      <c r="H996" s="176" t="s">
        <v>1033</v>
      </c>
      <c r="I996" s="176" t="s">
        <v>989</v>
      </c>
      <c r="J996" s="181">
        <v>488</v>
      </c>
      <c r="K996" s="180">
        <v>5</v>
      </c>
      <c r="L996" s="182">
        <v>0</v>
      </c>
      <c r="M996" s="180">
        <v>1</v>
      </c>
      <c r="N996" s="180">
        <v>1</v>
      </c>
      <c r="O996" s="180">
        <v>1</v>
      </c>
      <c r="P996" s="180">
        <v>1</v>
      </c>
      <c r="Q996" s="180">
        <v>1</v>
      </c>
      <c r="R996" s="180">
        <v>3</v>
      </c>
      <c r="S996" s="180" t="s">
        <v>817</v>
      </c>
      <c r="T996" s="180">
        <v>0</v>
      </c>
      <c r="U996" s="180" t="s">
        <v>169</v>
      </c>
      <c r="V996" s="180" t="s">
        <v>169</v>
      </c>
      <c r="W996" s="178" t="str">
        <f t="shared" ca="1" si="99"/>
        <v/>
      </c>
      <c r="X996" s="178">
        <f ca="1">VLOOKUP($C996,OFFSET(quests!$A$1,0,0,COUNTA(quests!$A:$A),MATCH(X$2,quests!$1:$1,0)-MATCH($C$2,quests!$1:$1,0)+1),MATCH(X$2,quests!$1:$1,0)-MATCH($C$2,quests!$1:$1,0)+1,FALSE)</f>
        <v>0</v>
      </c>
      <c r="Y996" s="178">
        <f ca="1">VLOOKUP($C996,OFFSET(quests!$A$1,0,0,COUNTA(quests!$A:$A),MATCH(Y$2,quests!$1:$1,0)-MATCH($C$2,quests!$1:$1,0)+1),MATCH(Y$2,quests!$1:$1,0)-MATCH($C$2,quests!$1:$1,0)+1,FALSE)</f>
        <v>0</v>
      </c>
      <c r="Z996" s="178">
        <f ca="1">VLOOKUP($C996,OFFSET(quests!$A$1,0,0,COUNTA(quests!$A:$A),MATCH(Z$2,quests!$1:$1,0)-MATCH($C$2,quests!$1:$1,0)+1),MATCH(Z$2,quests!$1:$1,0)-MATCH($C$2,quests!$1:$1,0)+1,FALSE)</f>
        <v>0</v>
      </c>
      <c r="AA996" s="178">
        <f ca="1">VLOOKUP($C996,OFFSET(quests!$A$1,0,0,COUNTA(quests!$A:$A),MATCH(AA$2,quests!$1:$1,0)-MATCH($C$2,quests!$1:$1,0)+1),MATCH(AA$2,quests!$1:$1,0)-MATCH($C$2,quests!$1:$1,0)+1,FALSE)</f>
        <v>0</v>
      </c>
      <c r="AB996" s="180" t="s">
        <v>971</v>
      </c>
      <c r="AC996" s="180">
        <v>911</v>
      </c>
      <c r="AD996" s="180">
        <v>6</v>
      </c>
      <c r="AE996" s="180" t="s">
        <v>1004</v>
      </c>
      <c r="AF996" s="180">
        <v>6000</v>
      </c>
      <c r="AG996" s="180">
        <v>40</v>
      </c>
      <c r="AH996" s="180">
        <v>0</v>
      </c>
      <c r="AI996" s="180">
        <v>0</v>
      </c>
      <c r="AJ996" s="180">
        <v>-1</v>
      </c>
      <c r="AK996" s="7" t="s">
        <v>1064</v>
      </c>
      <c r="AL996" s="12" t="s">
        <v>1695</v>
      </c>
      <c r="AM996" s="12" t="s">
        <v>2072</v>
      </c>
    </row>
    <row r="997" spans="1:39" s="71" customFormat="1" ht="21" customHeight="1" x14ac:dyDescent="0.15">
      <c r="A997" s="175" t="str">
        <f t="shared" ref="A997:A1066" si="106">C997&amp;"_"&amp;F997</f>
        <v>60005_1</v>
      </c>
      <c r="B997" s="176">
        <v>1</v>
      </c>
      <c r="C997" s="177">
        <v>60005</v>
      </c>
      <c r="D997" s="178" t="str">
        <f ca="1">VLOOKUP($C997,OFFSET(quests!$A$1,0,0,COUNTA(quests!$A:$A),MATCH(D$1,quests!$1:$1,0)-MATCH($C$2,quests!$1:$1,0)+1),MATCH(D$1,quests!$1:$1,0)-MATCH($C$2,quests!$1:$1,0)+1,FALSE)</f>
        <v>オイラーチャレンジ</v>
      </c>
      <c r="E997" s="179" t="str">
        <f ca="1">VLOOKUP($C997,OFFSET(quests!$A$1,0,0,COUNTA(quests!$A:$A),MATCH(E$2,quests!$1:$1,0)-MATCH($C$2,quests!$1:$1,0)+1),MATCH(E$2,quests!$1:$1,0)-MATCH($C$2,quests!$1:$1,0)+1,FALSE)</f>
        <v>ランキング1</v>
      </c>
      <c r="F997" s="180">
        <v>1</v>
      </c>
      <c r="G997" s="180" t="s">
        <v>382</v>
      </c>
      <c r="H997" s="176" t="s">
        <v>1049</v>
      </c>
      <c r="I997" s="176" t="s">
        <v>989</v>
      </c>
      <c r="J997" s="181">
        <v>379</v>
      </c>
      <c r="K997" s="180">
        <v>5</v>
      </c>
      <c r="L997" s="182">
        <v>0</v>
      </c>
      <c r="M997" s="180">
        <v>1</v>
      </c>
      <c r="N997" s="180">
        <v>1</v>
      </c>
      <c r="O997" s="180">
        <v>1</v>
      </c>
      <c r="P997" s="180">
        <v>1</v>
      </c>
      <c r="Q997" s="180">
        <v>1</v>
      </c>
      <c r="R997" s="180">
        <v>3</v>
      </c>
      <c r="S997" s="180" t="s">
        <v>817</v>
      </c>
      <c r="T997" s="180">
        <v>0</v>
      </c>
      <c r="U997" s="180" t="s">
        <v>169</v>
      </c>
      <c r="V997" s="180" t="s">
        <v>169</v>
      </c>
      <c r="W997" s="178" t="str">
        <f t="shared" ca="1" si="99"/>
        <v/>
      </c>
      <c r="X997" s="178">
        <f ca="1">VLOOKUP($C997,OFFSET(quests!$A$1,0,0,COUNTA(quests!$A:$A),MATCH(X$2,quests!$1:$1,0)-MATCH($C$2,quests!$1:$1,0)+1),MATCH(X$2,quests!$1:$1,0)-MATCH($C$2,quests!$1:$1,0)+1,FALSE)</f>
        <v>0</v>
      </c>
      <c r="Y997" s="178">
        <f ca="1">VLOOKUP($C997,OFFSET(quests!$A$1,0,0,COUNTA(quests!$A:$A),MATCH(Y$2,quests!$1:$1,0)-MATCH($C$2,quests!$1:$1,0)+1),MATCH(Y$2,quests!$1:$1,0)-MATCH($C$2,quests!$1:$1,0)+1,FALSE)</f>
        <v>0</v>
      </c>
      <c r="Z997" s="178">
        <f ca="1">VLOOKUP($C997,OFFSET(quests!$A$1,0,0,COUNTA(quests!$A:$A),MATCH(Z$2,quests!$1:$1,0)-MATCH($C$2,quests!$1:$1,0)+1),MATCH(Z$2,quests!$1:$1,0)-MATCH($C$2,quests!$1:$1,0)+1,FALSE)</f>
        <v>0</v>
      </c>
      <c r="AA997" s="178">
        <f ca="1">VLOOKUP($C997,OFFSET(quests!$A$1,0,0,COUNTA(quests!$A:$A),MATCH(AA$2,quests!$1:$1,0)-MATCH($C$2,quests!$1:$1,0)+1),MATCH(AA$2,quests!$1:$1,0)-MATCH($C$2,quests!$1:$1,0)+1,FALSE)</f>
        <v>0</v>
      </c>
      <c r="AB997" s="180" t="s">
        <v>971</v>
      </c>
      <c r="AC997" s="180">
        <v>923</v>
      </c>
      <c r="AD997" s="180">
        <v>6</v>
      </c>
      <c r="AE997" s="180" t="s">
        <v>1004</v>
      </c>
      <c r="AF997" s="180">
        <v>6000</v>
      </c>
      <c r="AG997" s="180">
        <v>40</v>
      </c>
      <c r="AH997" s="180">
        <v>0</v>
      </c>
      <c r="AI997" s="180">
        <v>0</v>
      </c>
      <c r="AJ997" s="180">
        <v>-1</v>
      </c>
      <c r="AK997" s="7" t="s">
        <v>1064</v>
      </c>
      <c r="AL997" s="12" t="s">
        <v>1695</v>
      </c>
      <c r="AM997" s="12" t="s">
        <v>2072</v>
      </c>
    </row>
    <row r="998" spans="1:39" s="71" customFormat="1" ht="21" customHeight="1" x14ac:dyDescent="0.15">
      <c r="A998" s="42" t="str">
        <f t="shared" si="106"/>
        <v>60006_1</v>
      </c>
      <c r="B998" s="23">
        <v>0</v>
      </c>
      <c r="C998" s="31">
        <v>60006</v>
      </c>
      <c r="D998" s="200" t="str">
        <f ca="1">VLOOKUP($C998,OFFSET(quests!$A$1,0,0,COUNTA(quests!$A:$A),MATCH(D$1,quests!$1:$1,0)-MATCH($C$2,quests!$1:$1,0)+1),MATCH(D$1,quests!$1:$1,0)-MATCH($C$2,quests!$1:$1,0)+1,FALSE)</f>
        <v>オイラーチャレンジ</v>
      </c>
      <c r="E998" s="203" t="str">
        <f ca="1">VLOOKUP($C998,OFFSET(quests!$A$1,0,0,COUNTA(quests!$A:$A),MATCH(E$2,quests!$1:$1,0)-MATCH($C$2,quests!$1:$1,0)+1),MATCH(E$2,quests!$1:$1,0)-MATCH($C$2,quests!$1:$1,0)+1,FALSE)</f>
        <v>ランキング1（本番実装用）</v>
      </c>
      <c r="F998" s="167">
        <v>1</v>
      </c>
      <c r="G998" s="167" t="s">
        <v>382</v>
      </c>
      <c r="H998" s="12" t="str">
        <f ca="1">"【中級】"&amp;D998</f>
        <v>【中級】オイラーチャレンジ</v>
      </c>
      <c r="I998" s="23" t="s">
        <v>59</v>
      </c>
      <c r="J998" s="65">
        <v>378</v>
      </c>
      <c r="K998" s="194">
        <v>15</v>
      </c>
      <c r="L998" s="167">
        <v>1200</v>
      </c>
      <c r="M998" s="167">
        <v>1</v>
      </c>
      <c r="N998" s="167">
        <v>1</v>
      </c>
      <c r="O998" s="167">
        <v>1</v>
      </c>
      <c r="P998" s="167">
        <v>1</v>
      </c>
      <c r="Q998" s="167">
        <v>1</v>
      </c>
      <c r="R998" s="167">
        <v>3</v>
      </c>
      <c r="S998" s="167" t="s">
        <v>817</v>
      </c>
      <c r="T998" s="167">
        <v>0</v>
      </c>
      <c r="U998" s="167">
        <v>60006</v>
      </c>
      <c r="V998" s="167">
        <v>1</v>
      </c>
      <c r="W998" s="200" t="str">
        <f t="shared" ca="1" si="99"/>
        <v>【中級】オイラーチャレンジ</v>
      </c>
      <c r="X998" s="200">
        <f ca="1">VLOOKUP($C998,OFFSET(quests!$A$1,0,0,COUNTA(quests!$A:$A),MATCH(X$2,quests!$1:$1,0)-MATCH($C$2,quests!$1:$1,0)+1),MATCH(X$2,quests!$1:$1,0)-MATCH($C$2,quests!$1:$1,0)+1,FALSE)</f>
        <v>0</v>
      </c>
      <c r="Y998" s="200">
        <f ca="1">VLOOKUP($C998,OFFSET(quests!$A$1,0,0,COUNTA(quests!$A:$A),MATCH(Y$2,quests!$1:$1,0)-MATCH($C$2,quests!$1:$1,0)+1),MATCH(Y$2,quests!$1:$1,0)-MATCH($C$2,quests!$1:$1,0)+1,FALSE)</f>
        <v>0</v>
      </c>
      <c r="Z998" s="200">
        <f ca="1">VLOOKUP($C998,OFFSET(quests!$A$1,0,0,COUNTA(quests!$A:$A),MATCH(Z$2,quests!$1:$1,0)-MATCH($C$2,quests!$1:$1,0)+1),MATCH(Z$2,quests!$1:$1,0)-MATCH($C$2,quests!$1:$1,0)+1,FALSE)</f>
        <v>0</v>
      </c>
      <c r="AA998" s="200">
        <f ca="1">VLOOKUP($C998,OFFSET(quests!$A$1,0,0,COUNTA(quests!$A:$A),MATCH(AA$2,quests!$1:$1,0)-MATCH($C$2,quests!$1:$1,0)+1),MATCH(AA$2,quests!$1:$1,0)-MATCH($C$2,quests!$1:$1,0)+1,FALSE)</f>
        <v>0</v>
      </c>
      <c r="AB998" s="167" t="s">
        <v>971</v>
      </c>
      <c r="AC998" s="167">
        <v>923</v>
      </c>
      <c r="AD998" s="167">
        <v>6</v>
      </c>
      <c r="AE998" s="167" t="s">
        <v>586</v>
      </c>
      <c r="AF998" s="167">
        <v>6000</v>
      </c>
      <c r="AG998" s="167">
        <v>40</v>
      </c>
      <c r="AH998" s="167">
        <v>0</v>
      </c>
      <c r="AI998" s="167">
        <v>0</v>
      </c>
      <c r="AJ998" s="167">
        <v>-1</v>
      </c>
      <c r="AK998" s="7" t="s">
        <v>1064</v>
      </c>
      <c r="AL998" s="12" t="s">
        <v>1695</v>
      </c>
      <c r="AM998" s="12" t="s">
        <v>2072</v>
      </c>
    </row>
    <row r="999" spans="1:39" s="71" customFormat="1" ht="21" customHeight="1" x14ac:dyDescent="0.15">
      <c r="A999" s="42" t="str">
        <f t="shared" si="106"/>
        <v>60006_2</v>
      </c>
      <c r="B999" s="23">
        <v>0</v>
      </c>
      <c r="C999" s="31">
        <v>60006</v>
      </c>
      <c r="D999" s="200" t="str">
        <f ca="1">VLOOKUP($C999,OFFSET(quests!$A$1,0,0,COUNTA(quests!$A:$A),MATCH(D$1,quests!$1:$1,0)-MATCH($C$2,quests!$1:$1,0)+1),MATCH(D$1,quests!$1:$1,0)-MATCH($C$2,quests!$1:$1,0)+1,FALSE)</f>
        <v>オイラーチャレンジ</v>
      </c>
      <c r="E999" s="203" t="str">
        <f ca="1">VLOOKUP($C999,OFFSET(quests!$A$1,0,0,COUNTA(quests!$A:$A),MATCH(E$2,quests!$1:$1,0)-MATCH($C$2,quests!$1:$1,0)+1),MATCH(E$2,quests!$1:$1,0)-MATCH($C$2,quests!$1:$1,0)+1,FALSE)</f>
        <v>ランキング1（本番実装用）</v>
      </c>
      <c r="F999" s="167">
        <v>2</v>
      </c>
      <c r="G999" s="167" t="s">
        <v>382</v>
      </c>
      <c r="H999" s="12" t="str">
        <f ca="1">"【超級】"&amp;D999</f>
        <v>【超級】オイラーチャレンジ</v>
      </c>
      <c r="I999" s="23" t="s">
        <v>383</v>
      </c>
      <c r="J999" s="65">
        <v>378</v>
      </c>
      <c r="K999" s="192">
        <v>30</v>
      </c>
      <c r="L999" s="193">
        <v>3300</v>
      </c>
      <c r="M999" s="167">
        <v>1</v>
      </c>
      <c r="N999" s="167">
        <v>1</v>
      </c>
      <c r="O999" s="167">
        <v>1</v>
      </c>
      <c r="P999" s="167">
        <v>1</v>
      </c>
      <c r="Q999" s="167">
        <v>1</v>
      </c>
      <c r="R999" s="167">
        <v>3</v>
      </c>
      <c r="S999" s="167" t="s">
        <v>817</v>
      </c>
      <c r="T999" s="167">
        <v>0</v>
      </c>
      <c r="U999" s="167">
        <v>60006</v>
      </c>
      <c r="V999" s="167">
        <v>2</v>
      </c>
      <c r="W999" s="200" t="str">
        <f t="shared" ca="1" si="99"/>
        <v>【超級】オイラーチャレンジ</v>
      </c>
      <c r="X999" s="200">
        <f ca="1">VLOOKUP($C999,OFFSET(quests!$A$1,0,0,COUNTA(quests!$A:$A),MATCH(X$2,quests!$1:$1,0)-MATCH($C$2,quests!$1:$1,0)+1),MATCH(X$2,quests!$1:$1,0)-MATCH($C$2,quests!$1:$1,0)+1,FALSE)</f>
        <v>0</v>
      </c>
      <c r="Y999" s="200">
        <f ca="1">VLOOKUP($C999,OFFSET(quests!$A$1,0,0,COUNTA(quests!$A:$A),MATCH(Y$2,quests!$1:$1,0)-MATCH($C$2,quests!$1:$1,0)+1),MATCH(Y$2,quests!$1:$1,0)-MATCH($C$2,quests!$1:$1,0)+1,FALSE)</f>
        <v>0</v>
      </c>
      <c r="Z999" s="200">
        <f ca="1">VLOOKUP($C999,OFFSET(quests!$A$1,0,0,COUNTA(quests!$A:$A),MATCH(Z$2,quests!$1:$1,0)-MATCH($C$2,quests!$1:$1,0)+1),MATCH(Z$2,quests!$1:$1,0)-MATCH($C$2,quests!$1:$1,0)+1,FALSE)</f>
        <v>0</v>
      </c>
      <c r="AA999" s="200">
        <f ca="1">VLOOKUP($C999,OFFSET(quests!$A$1,0,0,COUNTA(quests!$A:$A),MATCH(AA$2,quests!$1:$1,0)-MATCH($C$2,quests!$1:$1,0)+1),MATCH(AA$2,quests!$1:$1,0)-MATCH($C$2,quests!$1:$1,0)+1,FALSE)</f>
        <v>0</v>
      </c>
      <c r="AB999" s="167" t="s">
        <v>971</v>
      </c>
      <c r="AC999" s="167">
        <v>923</v>
      </c>
      <c r="AD999" s="167">
        <v>6</v>
      </c>
      <c r="AE999" s="167" t="s">
        <v>586</v>
      </c>
      <c r="AF999" s="167">
        <v>6000</v>
      </c>
      <c r="AG999" s="167">
        <v>40</v>
      </c>
      <c r="AH999" s="167">
        <v>0</v>
      </c>
      <c r="AI999" s="167">
        <v>0</v>
      </c>
      <c r="AJ999" s="167">
        <v>-1</v>
      </c>
      <c r="AK999" s="7" t="s">
        <v>1064</v>
      </c>
      <c r="AL999" s="12" t="s">
        <v>1695</v>
      </c>
      <c r="AM999" s="12" t="s">
        <v>2072</v>
      </c>
    </row>
    <row r="1000" spans="1:39" s="71" customFormat="1" ht="21" customHeight="1" x14ac:dyDescent="0.15">
      <c r="A1000" s="42" t="str">
        <f t="shared" si="106"/>
        <v>60006_3</v>
      </c>
      <c r="B1000" s="23">
        <v>3</v>
      </c>
      <c r="C1000" s="31">
        <v>60006</v>
      </c>
      <c r="D1000" s="200" t="str">
        <f ca="1">VLOOKUP($C1000,OFFSET(quests!$A$1,0,0,COUNTA(quests!$A:$A),MATCH(D$1,quests!$1:$1,0)-MATCH($C$2,quests!$1:$1,0)+1),MATCH(D$1,quests!$1:$1,0)-MATCH($C$2,quests!$1:$1,0)+1,FALSE)</f>
        <v>オイラーチャレンジ</v>
      </c>
      <c r="E1000" s="203" t="str">
        <f ca="1">VLOOKUP($C1000,OFFSET(quests!$A$1,0,0,COUNTA(quests!$A:$A),MATCH(E$2,quests!$1:$1,0)-MATCH($C$2,quests!$1:$1,0)+1),MATCH(E$2,quests!$1:$1,0)-MATCH($C$2,quests!$1:$1,0)+1,FALSE)</f>
        <v>ランキング1（本番実装用）</v>
      </c>
      <c r="F1000" s="167">
        <v>3</v>
      </c>
      <c r="G1000" s="167" t="s">
        <v>382</v>
      </c>
      <c r="H1000" s="12" t="str">
        <f ca="1">"【ウィザード級】"&amp;D1000</f>
        <v>【ウィザード級】オイラーチャレンジ</v>
      </c>
      <c r="I1000" s="23" t="s">
        <v>1090</v>
      </c>
      <c r="J1000" s="65">
        <v>379</v>
      </c>
      <c r="K1000" s="167">
        <v>35</v>
      </c>
      <c r="L1000" s="167">
        <v>4200</v>
      </c>
      <c r="M1000" s="167">
        <v>1</v>
      </c>
      <c r="N1000" s="167">
        <v>1</v>
      </c>
      <c r="O1000" s="167">
        <v>1</v>
      </c>
      <c r="P1000" s="167">
        <v>1</v>
      </c>
      <c r="Q1000" s="167">
        <v>1</v>
      </c>
      <c r="R1000" s="167">
        <v>3</v>
      </c>
      <c r="S1000" s="167" t="s">
        <v>817</v>
      </c>
      <c r="T1000" s="167">
        <v>0</v>
      </c>
      <c r="U1000" s="167">
        <v>60006</v>
      </c>
      <c r="V1000" s="167">
        <v>3</v>
      </c>
      <c r="W1000" s="200" t="str">
        <f t="shared" ca="1" si="99"/>
        <v>【ウィザード級】オイラーチャレンジ</v>
      </c>
      <c r="X1000" s="200">
        <f ca="1">VLOOKUP($C1000,OFFSET(quests!$A$1,0,0,COUNTA(quests!$A:$A),MATCH(X$2,quests!$1:$1,0)-MATCH($C$2,quests!$1:$1,0)+1),MATCH(X$2,quests!$1:$1,0)-MATCH($C$2,quests!$1:$1,0)+1,FALSE)</f>
        <v>0</v>
      </c>
      <c r="Y1000" s="200">
        <f ca="1">VLOOKUP($C1000,OFFSET(quests!$A$1,0,0,COUNTA(quests!$A:$A),MATCH(Y$2,quests!$1:$1,0)-MATCH($C$2,quests!$1:$1,0)+1),MATCH(Y$2,quests!$1:$1,0)-MATCH($C$2,quests!$1:$1,0)+1,FALSE)</f>
        <v>0</v>
      </c>
      <c r="Z1000" s="200">
        <f ca="1">VLOOKUP($C1000,OFFSET(quests!$A$1,0,0,COUNTA(quests!$A:$A),MATCH(Z$2,quests!$1:$1,0)-MATCH($C$2,quests!$1:$1,0)+1),MATCH(Z$2,quests!$1:$1,0)-MATCH($C$2,quests!$1:$1,0)+1,FALSE)</f>
        <v>0</v>
      </c>
      <c r="AA1000" s="200">
        <f ca="1">VLOOKUP($C1000,OFFSET(quests!$A$1,0,0,COUNTA(quests!$A:$A),MATCH(AA$2,quests!$1:$1,0)-MATCH($C$2,quests!$1:$1,0)+1),MATCH(AA$2,quests!$1:$1,0)-MATCH($C$2,quests!$1:$1,0)+1,FALSE)</f>
        <v>0</v>
      </c>
      <c r="AB1000" s="167" t="s">
        <v>971</v>
      </c>
      <c r="AC1000" s="167">
        <v>923</v>
      </c>
      <c r="AD1000" s="167">
        <v>6</v>
      </c>
      <c r="AE1000" s="167" t="s">
        <v>586</v>
      </c>
      <c r="AF1000" s="167">
        <v>6000</v>
      </c>
      <c r="AG1000" s="167">
        <v>40</v>
      </c>
      <c r="AH1000" s="167">
        <v>0</v>
      </c>
      <c r="AI1000" s="167">
        <v>0</v>
      </c>
      <c r="AJ1000" s="167">
        <v>-1</v>
      </c>
      <c r="AK1000" s="7" t="s">
        <v>1064</v>
      </c>
      <c r="AL1000" s="12" t="s">
        <v>1695</v>
      </c>
      <c r="AM1000" s="12" t="s">
        <v>2072</v>
      </c>
    </row>
    <row r="1001" spans="1:39" s="71" customFormat="1" ht="21" customHeight="1" x14ac:dyDescent="0.15">
      <c r="A1001" s="42" t="str">
        <f t="shared" si="106"/>
        <v>60007_1</v>
      </c>
      <c r="B1001" s="23">
        <v>0</v>
      </c>
      <c r="C1001" s="31">
        <v>60007</v>
      </c>
      <c r="D1001" s="200" t="str">
        <f ca="1">VLOOKUP($C1001,OFFSET(quests!$A$1,0,0,COUNTA(quests!$A:$A),MATCH(D$1,quests!$1:$1,0)-MATCH($C$2,quests!$1:$1,0)+1),MATCH(D$1,quests!$1:$1,0)-MATCH($C$2,quests!$1:$1,0)+1,FALSE)</f>
        <v>オイラーチャレンジ</v>
      </c>
      <c r="E1001" s="203" t="str">
        <f ca="1">VLOOKUP($C1001,OFFSET(quests!$A$1,0,0,COUNTA(quests!$A:$A),MATCH(E$2,quests!$1:$1,0)-MATCH($C$2,quests!$1:$1,0)+1),MATCH(E$2,quests!$1:$1,0)-MATCH($C$2,quests!$1:$1,0)+1,FALSE)</f>
        <v>ランキング1（改修版）</v>
      </c>
      <c r="F1001" s="167">
        <v>1</v>
      </c>
      <c r="G1001" s="167" t="s">
        <v>382</v>
      </c>
      <c r="H1001" s="12" t="str">
        <f ca="1">"【中級】"&amp;D1001</f>
        <v>【中級】オイラーチャレンジ</v>
      </c>
      <c r="I1001" s="23" t="s">
        <v>59</v>
      </c>
      <c r="J1001" s="65">
        <v>378</v>
      </c>
      <c r="K1001" s="194">
        <v>15</v>
      </c>
      <c r="L1001" s="167">
        <v>1200</v>
      </c>
      <c r="M1001" s="167">
        <v>1</v>
      </c>
      <c r="N1001" s="167">
        <v>1</v>
      </c>
      <c r="O1001" s="167">
        <v>1</v>
      </c>
      <c r="P1001" s="167">
        <v>1</v>
      </c>
      <c r="Q1001" s="167">
        <v>1</v>
      </c>
      <c r="R1001" s="167">
        <v>3</v>
      </c>
      <c r="S1001" s="167" t="s">
        <v>811</v>
      </c>
      <c r="T1001" s="167">
        <v>0</v>
      </c>
      <c r="U1001" s="167" t="s">
        <v>523</v>
      </c>
      <c r="V1001" s="167" t="s">
        <v>523</v>
      </c>
      <c r="W1001" s="200" t="str">
        <f t="shared" ca="1" si="99"/>
        <v/>
      </c>
      <c r="X1001" s="200">
        <f ca="1">VLOOKUP($C1001,OFFSET(quests!$A$1,0,0,COUNTA(quests!$A:$A),MATCH(X$2,quests!$1:$1,0)-MATCH($C$2,quests!$1:$1,0)+1),MATCH(X$2,quests!$1:$1,0)-MATCH($C$2,quests!$1:$1,0)+1,FALSE)</f>
        <v>0</v>
      </c>
      <c r="Y1001" s="200">
        <f ca="1">VLOOKUP($C1001,OFFSET(quests!$A$1,0,0,COUNTA(quests!$A:$A),MATCH(Y$2,quests!$1:$1,0)-MATCH($C$2,quests!$1:$1,0)+1),MATCH(Y$2,quests!$1:$1,0)-MATCH($C$2,quests!$1:$1,0)+1,FALSE)</f>
        <v>0</v>
      </c>
      <c r="Z1001" s="200">
        <f ca="1">VLOOKUP($C1001,OFFSET(quests!$A$1,0,0,COUNTA(quests!$A:$A),MATCH(Z$2,quests!$1:$1,0)-MATCH($C$2,quests!$1:$1,0)+1),MATCH(Z$2,quests!$1:$1,0)-MATCH($C$2,quests!$1:$1,0)+1,FALSE)</f>
        <v>0</v>
      </c>
      <c r="AA1001" s="200">
        <f ca="1">VLOOKUP($C1001,OFFSET(quests!$A$1,0,0,COUNTA(quests!$A:$A),MATCH(AA$2,quests!$1:$1,0)-MATCH($C$2,quests!$1:$1,0)+1),MATCH(AA$2,quests!$1:$1,0)-MATCH($C$2,quests!$1:$1,0)+1,FALSE)</f>
        <v>0</v>
      </c>
      <c r="AB1001" s="167" t="s">
        <v>56</v>
      </c>
      <c r="AC1001" s="167">
        <v>923</v>
      </c>
      <c r="AD1001" s="167">
        <v>6</v>
      </c>
      <c r="AE1001" s="167" t="s">
        <v>586</v>
      </c>
      <c r="AF1001" s="167">
        <v>6000</v>
      </c>
      <c r="AG1001" s="167">
        <v>40</v>
      </c>
      <c r="AH1001" s="167">
        <v>0</v>
      </c>
      <c r="AI1001" s="167">
        <v>0</v>
      </c>
      <c r="AJ1001" s="167">
        <v>-1</v>
      </c>
      <c r="AK1001" s="7" t="s">
        <v>1064</v>
      </c>
      <c r="AL1001" s="12" t="s">
        <v>1695</v>
      </c>
      <c r="AM1001" s="12" t="s">
        <v>2072</v>
      </c>
    </row>
    <row r="1002" spans="1:39" s="71" customFormat="1" ht="21" customHeight="1" x14ac:dyDescent="0.15">
      <c r="A1002" s="42" t="str">
        <f t="shared" si="106"/>
        <v>60007_2</v>
      </c>
      <c r="B1002" s="23">
        <v>0</v>
      </c>
      <c r="C1002" s="31">
        <v>60007</v>
      </c>
      <c r="D1002" s="200" t="str">
        <f ca="1">VLOOKUP($C1002,OFFSET(quests!$A$1,0,0,COUNTA(quests!$A:$A),MATCH(D$1,quests!$1:$1,0)-MATCH($C$2,quests!$1:$1,0)+1),MATCH(D$1,quests!$1:$1,0)-MATCH($C$2,quests!$1:$1,0)+1,FALSE)</f>
        <v>オイラーチャレンジ</v>
      </c>
      <c r="E1002" s="203" t="str">
        <f ca="1">VLOOKUP($C1002,OFFSET(quests!$A$1,0,0,COUNTA(quests!$A:$A),MATCH(E$2,quests!$1:$1,0)-MATCH($C$2,quests!$1:$1,0)+1),MATCH(E$2,quests!$1:$1,0)-MATCH($C$2,quests!$1:$1,0)+1,FALSE)</f>
        <v>ランキング1（改修版）</v>
      </c>
      <c r="F1002" s="167">
        <v>2</v>
      </c>
      <c r="G1002" s="167" t="s">
        <v>382</v>
      </c>
      <c r="H1002" s="12" t="str">
        <f ca="1">"【超級】"&amp;D1002</f>
        <v>【超級】オイラーチャレンジ</v>
      </c>
      <c r="I1002" s="23" t="s">
        <v>383</v>
      </c>
      <c r="J1002" s="65">
        <v>378</v>
      </c>
      <c r="K1002" s="192">
        <v>30</v>
      </c>
      <c r="L1002" s="193">
        <v>3300</v>
      </c>
      <c r="M1002" s="167">
        <v>1</v>
      </c>
      <c r="N1002" s="167">
        <v>1</v>
      </c>
      <c r="O1002" s="167">
        <v>1</v>
      </c>
      <c r="P1002" s="167">
        <v>1</v>
      </c>
      <c r="Q1002" s="167">
        <v>1</v>
      </c>
      <c r="R1002" s="167">
        <v>3</v>
      </c>
      <c r="S1002" s="167" t="s">
        <v>811</v>
      </c>
      <c r="T1002" s="167">
        <v>0</v>
      </c>
      <c r="U1002" s="167" t="s">
        <v>178</v>
      </c>
      <c r="V1002" s="167" t="s">
        <v>1127</v>
      </c>
      <c r="W1002" s="200" t="str">
        <f t="shared" ca="1" si="99"/>
        <v/>
      </c>
      <c r="X1002" s="200">
        <f ca="1">VLOOKUP($C1002,OFFSET(quests!$A$1,0,0,COUNTA(quests!$A:$A),MATCH(X$2,quests!$1:$1,0)-MATCH($C$2,quests!$1:$1,0)+1),MATCH(X$2,quests!$1:$1,0)-MATCH($C$2,quests!$1:$1,0)+1,FALSE)</f>
        <v>0</v>
      </c>
      <c r="Y1002" s="200">
        <f ca="1">VLOOKUP($C1002,OFFSET(quests!$A$1,0,0,COUNTA(quests!$A:$A),MATCH(Y$2,quests!$1:$1,0)-MATCH($C$2,quests!$1:$1,0)+1),MATCH(Y$2,quests!$1:$1,0)-MATCH($C$2,quests!$1:$1,0)+1,FALSE)</f>
        <v>0</v>
      </c>
      <c r="Z1002" s="200">
        <f ca="1">VLOOKUP($C1002,OFFSET(quests!$A$1,0,0,COUNTA(quests!$A:$A),MATCH(Z$2,quests!$1:$1,0)-MATCH($C$2,quests!$1:$1,0)+1),MATCH(Z$2,quests!$1:$1,0)-MATCH($C$2,quests!$1:$1,0)+1,FALSE)</f>
        <v>0</v>
      </c>
      <c r="AA1002" s="200">
        <f ca="1">VLOOKUP($C1002,OFFSET(quests!$A$1,0,0,COUNTA(quests!$A:$A),MATCH(AA$2,quests!$1:$1,0)-MATCH($C$2,quests!$1:$1,0)+1),MATCH(AA$2,quests!$1:$1,0)-MATCH($C$2,quests!$1:$1,0)+1,FALSE)</f>
        <v>0</v>
      </c>
      <c r="AB1002" s="167" t="s">
        <v>56</v>
      </c>
      <c r="AC1002" s="167">
        <v>923</v>
      </c>
      <c r="AD1002" s="167">
        <v>6</v>
      </c>
      <c r="AE1002" s="167" t="s">
        <v>586</v>
      </c>
      <c r="AF1002" s="167">
        <v>6000</v>
      </c>
      <c r="AG1002" s="167">
        <v>40</v>
      </c>
      <c r="AH1002" s="167">
        <v>0</v>
      </c>
      <c r="AI1002" s="167">
        <v>0</v>
      </c>
      <c r="AJ1002" s="167">
        <v>-1</v>
      </c>
      <c r="AK1002" s="7" t="s">
        <v>1064</v>
      </c>
      <c r="AL1002" s="12" t="s">
        <v>1695</v>
      </c>
      <c r="AM1002" s="12" t="s">
        <v>2072</v>
      </c>
    </row>
    <row r="1003" spans="1:39" s="71" customFormat="1" ht="21" customHeight="1" x14ac:dyDescent="0.15">
      <c r="A1003" s="42" t="str">
        <f t="shared" si="106"/>
        <v>60007_3</v>
      </c>
      <c r="B1003" s="23">
        <v>3</v>
      </c>
      <c r="C1003" s="31">
        <v>60007</v>
      </c>
      <c r="D1003" s="200" t="str">
        <f ca="1">VLOOKUP($C1003,OFFSET(quests!$A$1,0,0,COUNTA(quests!$A:$A),MATCH(D$1,quests!$1:$1,0)-MATCH($C$2,quests!$1:$1,0)+1),MATCH(D$1,quests!$1:$1,0)-MATCH($C$2,quests!$1:$1,0)+1,FALSE)</f>
        <v>オイラーチャレンジ</v>
      </c>
      <c r="E1003" s="203" t="str">
        <f ca="1">VLOOKUP($C1003,OFFSET(quests!$A$1,0,0,COUNTA(quests!$A:$A),MATCH(E$2,quests!$1:$1,0)-MATCH($C$2,quests!$1:$1,0)+1),MATCH(E$2,quests!$1:$1,0)-MATCH($C$2,quests!$1:$1,0)+1,FALSE)</f>
        <v>ランキング1（改修版）</v>
      </c>
      <c r="F1003" s="167">
        <v>3</v>
      </c>
      <c r="G1003" s="167" t="s">
        <v>382</v>
      </c>
      <c r="H1003" s="12" t="str">
        <f ca="1">"【ウィザード級】"&amp;D1003</f>
        <v>【ウィザード級】オイラーチャレンジ</v>
      </c>
      <c r="I1003" s="23" t="s">
        <v>1090</v>
      </c>
      <c r="J1003" s="65">
        <v>379</v>
      </c>
      <c r="K1003" s="167">
        <v>35</v>
      </c>
      <c r="L1003" s="167">
        <v>4200</v>
      </c>
      <c r="M1003" s="167">
        <v>1</v>
      </c>
      <c r="N1003" s="167">
        <v>1</v>
      </c>
      <c r="O1003" s="167">
        <v>1</v>
      </c>
      <c r="P1003" s="167">
        <v>1</v>
      </c>
      <c r="Q1003" s="167">
        <v>1</v>
      </c>
      <c r="R1003" s="167">
        <v>3</v>
      </c>
      <c r="S1003" s="167" t="s">
        <v>811</v>
      </c>
      <c r="T1003" s="167">
        <v>0</v>
      </c>
      <c r="U1003" s="167" t="s">
        <v>178</v>
      </c>
      <c r="V1003" s="167" t="s">
        <v>1128</v>
      </c>
      <c r="W1003" s="200" t="str">
        <f t="shared" ca="1" si="99"/>
        <v/>
      </c>
      <c r="X1003" s="200">
        <f ca="1">VLOOKUP($C1003,OFFSET(quests!$A$1,0,0,COUNTA(quests!$A:$A),MATCH(X$2,quests!$1:$1,0)-MATCH($C$2,quests!$1:$1,0)+1),MATCH(X$2,quests!$1:$1,0)-MATCH($C$2,quests!$1:$1,0)+1,FALSE)</f>
        <v>0</v>
      </c>
      <c r="Y1003" s="200">
        <f ca="1">VLOOKUP($C1003,OFFSET(quests!$A$1,0,0,COUNTA(quests!$A:$A),MATCH(Y$2,quests!$1:$1,0)-MATCH($C$2,quests!$1:$1,0)+1),MATCH(Y$2,quests!$1:$1,0)-MATCH($C$2,quests!$1:$1,0)+1,FALSE)</f>
        <v>0</v>
      </c>
      <c r="Z1003" s="200">
        <f ca="1">VLOOKUP($C1003,OFFSET(quests!$A$1,0,0,COUNTA(quests!$A:$A),MATCH(Z$2,quests!$1:$1,0)-MATCH($C$2,quests!$1:$1,0)+1),MATCH(Z$2,quests!$1:$1,0)-MATCH($C$2,quests!$1:$1,0)+1,FALSE)</f>
        <v>0</v>
      </c>
      <c r="AA1003" s="200">
        <f ca="1">VLOOKUP($C1003,OFFSET(quests!$A$1,0,0,COUNTA(quests!$A:$A),MATCH(AA$2,quests!$1:$1,0)-MATCH($C$2,quests!$1:$1,0)+1),MATCH(AA$2,quests!$1:$1,0)-MATCH($C$2,quests!$1:$1,0)+1,FALSE)</f>
        <v>0</v>
      </c>
      <c r="AB1003" s="167" t="s">
        <v>56</v>
      </c>
      <c r="AC1003" s="167">
        <v>923</v>
      </c>
      <c r="AD1003" s="167">
        <v>6</v>
      </c>
      <c r="AE1003" s="167" t="s">
        <v>586</v>
      </c>
      <c r="AF1003" s="167">
        <v>6000</v>
      </c>
      <c r="AG1003" s="167">
        <v>40</v>
      </c>
      <c r="AH1003" s="167">
        <v>0</v>
      </c>
      <c r="AI1003" s="167">
        <v>0</v>
      </c>
      <c r="AJ1003" s="167">
        <v>-1</v>
      </c>
      <c r="AK1003" s="7" t="s">
        <v>1064</v>
      </c>
      <c r="AL1003" s="12" t="s">
        <v>1695</v>
      </c>
      <c r="AM1003" s="12" t="s">
        <v>2072</v>
      </c>
    </row>
    <row r="1004" spans="1:39" s="89" customFormat="1" ht="21" customHeight="1" x14ac:dyDescent="0.15">
      <c r="A1004" s="42" t="str">
        <f t="shared" si="106"/>
        <v>60010_1</v>
      </c>
      <c r="B1004" s="23">
        <v>3</v>
      </c>
      <c r="C1004" s="31">
        <v>60010</v>
      </c>
      <c r="D1004" s="200" t="str">
        <f ca="1">VLOOKUP($C1004,OFFSET(quests!$A$1,0,0,COUNTA(quests!$A:$A),MATCH(D$1,quests!$1:$1,0)-MATCH($C$2,quests!$1:$1,0)+1),MATCH(D$1,quests!$1:$1,0)-MATCH($C$2,quests!$1:$1,0)+1,FALSE)</f>
        <v>ラグランジュチャレンジ</v>
      </c>
      <c r="E1004" s="203" t="str">
        <f ca="1">VLOOKUP($C1004,OFFSET(quests!$A$1,0,0,COUNTA(quests!$A:$A),MATCH(E$2,quests!$1:$1,0)-MATCH($C$2,quests!$1:$1,0)+1),MATCH(E$2,quests!$1:$1,0)-MATCH($C$2,quests!$1:$1,0)+1,FALSE)</f>
        <v>ランキング2（ラグランジュ）</v>
      </c>
      <c r="F1004" s="167">
        <v>1</v>
      </c>
      <c r="G1004" s="167" t="s">
        <v>382</v>
      </c>
      <c r="H1004" s="12" t="str">
        <f ca="1">D1004</f>
        <v>ラグランジュチャレンジ</v>
      </c>
      <c r="I1004" s="23" t="s">
        <v>1090</v>
      </c>
      <c r="J1004" s="65">
        <v>796</v>
      </c>
      <c r="K1004" s="167">
        <v>35</v>
      </c>
      <c r="L1004" s="167">
        <v>4200</v>
      </c>
      <c r="M1004" s="167">
        <v>1</v>
      </c>
      <c r="N1004" s="167">
        <v>1</v>
      </c>
      <c r="O1004" s="167">
        <v>1</v>
      </c>
      <c r="P1004" s="167">
        <v>1</v>
      </c>
      <c r="Q1004" s="167">
        <v>1</v>
      </c>
      <c r="R1004" s="167">
        <v>3</v>
      </c>
      <c r="S1004" s="167" t="s">
        <v>817</v>
      </c>
      <c r="T1004" s="167">
        <v>0</v>
      </c>
      <c r="U1004" s="167" t="s">
        <v>169</v>
      </c>
      <c r="V1004" s="167" t="s">
        <v>169</v>
      </c>
      <c r="W1004" s="200" t="str">
        <f t="shared" ca="1" si="99"/>
        <v/>
      </c>
      <c r="X1004" s="200">
        <f ca="1">VLOOKUP($C1004,OFFSET(quests!$A$1,0,0,COUNTA(quests!$A:$A),MATCH(X$2,quests!$1:$1,0)-MATCH($C$2,quests!$1:$1,0)+1),MATCH(X$2,quests!$1:$1,0)-MATCH($C$2,quests!$1:$1,0)+1,FALSE)</f>
        <v>0</v>
      </c>
      <c r="Y1004" s="200">
        <f ca="1">VLOOKUP($C1004,OFFSET(quests!$A$1,0,0,COUNTA(quests!$A:$A),MATCH(Y$2,quests!$1:$1,0)-MATCH($C$2,quests!$1:$1,0)+1),MATCH(Y$2,quests!$1:$1,0)-MATCH($C$2,quests!$1:$1,0)+1,FALSE)</f>
        <v>0</v>
      </c>
      <c r="Z1004" s="200">
        <f ca="1">VLOOKUP($C1004,OFFSET(quests!$A$1,0,0,COUNTA(quests!$A:$A),MATCH(Z$2,quests!$1:$1,0)-MATCH($C$2,quests!$1:$1,0)+1),MATCH(Z$2,quests!$1:$1,0)-MATCH($C$2,quests!$1:$1,0)+1,FALSE)</f>
        <v>0</v>
      </c>
      <c r="AA1004" s="200">
        <f ca="1">VLOOKUP($C1004,OFFSET(quests!$A$1,0,0,COUNTA(quests!$A:$A),MATCH(AA$2,quests!$1:$1,0)-MATCH($C$2,quests!$1:$1,0)+1),MATCH(AA$2,quests!$1:$1,0)-MATCH($C$2,quests!$1:$1,0)+1,FALSE)</f>
        <v>0</v>
      </c>
      <c r="AB1004" s="167" t="s">
        <v>971</v>
      </c>
      <c r="AC1004" s="167">
        <v>922</v>
      </c>
      <c r="AD1004" s="167">
        <v>6</v>
      </c>
      <c r="AE1004" s="167" t="s">
        <v>586</v>
      </c>
      <c r="AF1004" s="167">
        <v>6000</v>
      </c>
      <c r="AG1004" s="167">
        <v>40</v>
      </c>
      <c r="AH1004" s="167">
        <v>0</v>
      </c>
      <c r="AI1004" s="167">
        <v>0</v>
      </c>
      <c r="AJ1004" s="167">
        <v>-1</v>
      </c>
      <c r="AK1004" s="7" t="s">
        <v>1064</v>
      </c>
      <c r="AL1004" s="12" t="s">
        <v>1695</v>
      </c>
      <c r="AM1004" s="12" t="s">
        <v>2072</v>
      </c>
    </row>
    <row r="1005" spans="1:39" s="89" customFormat="1" ht="21" customHeight="1" x14ac:dyDescent="0.15">
      <c r="A1005" s="42" t="str">
        <f t="shared" si="106"/>
        <v>60011_1</v>
      </c>
      <c r="B1005" s="23">
        <v>3</v>
      </c>
      <c r="C1005" s="31">
        <v>60011</v>
      </c>
      <c r="D1005" s="200" t="str">
        <f ca="1">VLOOKUP($C1005,OFFSET(quests!$A$1,0,0,COUNTA(quests!$A:$A),MATCH(D$1,quests!$1:$1,0)-MATCH($C$2,quests!$1:$1,0)+1),MATCH(D$1,quests!$1:$1,0)-MATCH($C$2,quests!$1:$1,0)+1,FALSE)</f>
        <v>ユークリッドチャレンジ</v>
      </c>
      <c r="E1005" s="203" t="str">
        <f ca="1">VLOOKUP($C1005,OFFSET(quests!$A$1,0,0,COUNTA(quests!$A:$A),MATCH(E$2,quests!$1:$1,0)-MATCH($C$2,quests!$1:$1,0)+1),MATCH(E$2,quests!$1:$1,0)-MATCH($C$2,quests!$1:$1,0)+1,FALSE)</f>
        <v>ランキング3（ユークリッド）</v>
      </c>
      <c r="F1005" s="167">
        <v>1</v>
      </c>
      <c r="G1005" s="167" t="s">
        <v>382</v>
      </c>
      <c r="H1005" s="12" t="s">
        <v>1436</v>
      </c>
      <c r="I1005" s="23" t="s">
        <v>1090</v>
      </c>
      <c r="J1005" s="65">
        <v>690</v>
      </c>
      <c r="K1005" s="167">
        <v>35</v>
      </c>
      <c r="L1005" s="167">
        <v>4200</v>
      </c>
      <c r="M1005" s="167">
        <v>1</v>
      </c>
      <c r="N1005" s="167">
        <v>1</v>
      </c>
      <c r="O1005" s="167">
        <v>1</v>
      </c>
      <c r="P1005" s="167">
        <v>1</v>
      </c>
      <c r="Q1005" s="167">
        <v>1</v>
      </c>
      <c r="R1005" s="167">
        <v>3</v>
      </c>
      <c r="S1005" s="167" t="s">
        <v>817</v>
      </c>
      <c r="T1005" s="167">
        <v>0</v>
      </c>
      <c r="U1005" s="167" t="s">
        <v>169</v>
      </c>
      <c r="V1005" s="167" t="s">
        <v>169</v>
      </c>
      <c r="W1005" s="200" t="str">
        <f t="shared" ca="1" si="99"/>
        <v/>
      </c>
      <c r="X1005" s="200">
        <f ca="1">VLOOKUP($C1005,OFFSET(quests!$A$1,0,0,COUNTA(quests!$A:$A),MATCH(X$2,quests!$1:$1,0)-MATCH($C$2,quests!$1:$1,0)+1),MATCH(X$2,quests!$1:$1,0)-MATCH($C$2,quests!$1:$1,0)+1,FALSE)</f>
        <v>0</v>
      </c>
      <c r="Y1005" s="200">
        <f ca="1">VLOOKUP($C1005,OFFSET(quests!$A$1,0,0,COUNTA(quests!$A:$A),MATCH(Y$2,quests!$1:$1,0)-MATCH($C$2,quests!$1:$1,0)+1),MATCH(Y$2,quests!$1:$1,0)-MATCH($C$2,quests!$1:$1,0)+1,FALSE)</f>
        <v>0</v>
      </c>
      <c r="Z1005" s="200">
        <f ca="1">VLOOKUP($C1005,OFFSET(quests!$A$1,0,0,COUNTA(quests!$A:$A),MATCH(Z$2,quests!$1:$1,0)-MATCH($C$2,quests!$1:$1,0)+1),MATCH(Z$2,quests!$1:$1,0)-MATCH($C$2,quests!$1:$1,0)+1,FALSE)</f>
        <v>0</v>
      </c>
      <c r="AA1005" s="200">
        <f ca="1">VLOOKUP($C1005,OFFSET(quests!$A$1,0,0,COUNTA(quests!$A:$A),MATCH(AA$2,quests!$1:$1,0)-MATCH($C$2,quests!$1:$1,0)+1),MATCH(AA$2,quests!$1:$1,0)-MATCH($C$2,quests!$1:$1,0)+1,FALSE)</f>
        <v>0</v>
      </c>
      <c r="AB1005" s="167" t="s">
        <v>971</v>
      </c>
      <c r="AC1005" s="167">
        <v>924</v>
      </c>
      <c r="AD1005" s="167">
        <v>6</v>
      </c>
      <c r="AE1005" s="167" t="s">
        <v>586</v>
      </c>
      <c r="AF1005" s="167">
        <v>6000</v>
      </c>
      <c r="AG1005" s="167">
        <v>40</v>
      </c>
      <c r="AH1005" s="167">
        <v>0</v>
      </c>
      <c r="AI1005" s="167">
        <v>0</v>
      </c>
      <c r="AJ1005" s="167">
        <v>-1</v>
      </c>
      <c r="AK1005" s="7" t="s">
        <v>1064</v>
      </c>
      <c r="AL1005" s="12" t="s">
        <v>1695</v>
      </c>
      <c r="AM1005" s="12" t="s">
        <v>2072</v>
      </c>
    </row>
    <row r="1006" spans="1:39" s="89" customFormat="1" ht="21" customHeight="1" x14ac:dyDescent="0.15">
      <c r="A1006" s="42" t="str">
        <f t="shared" si="106"/>
        <v>60011_2</v>
      </c>
      <c r="B1006" s="23">
        <v>1</v>
      </c>
      <c r="C1006" s="31">
        <v>60011</v>
      </c>
      <c r="D1006" s="200" t="str">
        <f ca="1">VLOOKUP($C1006,OFFSET(quests!$A$1,0,0,COUNTA(quests!$A:$A),MATCH(D$1,quests!$1:$1,0)-MATCH($C$2,quests!$1:$1,0)+1),MATCH(D$1,quests!$1:$1,0)-MATCH($C$2,quests!$1:$1,0)+1,FALSE)</f>
        <v>ユークリッドチャレンジ</v>
      </c>
      <c r="E1006" s="203" t="str">
        <f ca="1">VLOOKUP($C1006,OFFSET(quests!$A$1,0,0,COUNTA(quests!$A:$A),MATCH(E$2,quests!$1:$1,0)-MATCH($C$2,quests!$1:$1,0)+1),MATCH(E$2,quests!$1:$1,0)-MATCH($C$2,quests!$1:$1,0)+1,FALSE)</f>
        <v>ランキング3（ユークリッド）</v>
      </c>
      <c r="F1006" s="167">
        <v>2</v>
      </c>
      <c r="G1006" s="167" t="s">
        <v>382</v>
      </c>
      <c r="H1006" s="12" t="s">
        <v>1435</v>
      </c>
      <c r="I1006" s="23" t="s">
        <v>1090</v>
      </c>
      <c r="J1006" s="65">
        <v>690</v>
      </c>
      <c r="K1006" s="192">
        <v>30</v>
      </c>
      <c r="L1006" s="193">
        <v>3300</v>
      </c>
      <c r="M1006" s="167">
        <v>1</v>
      </c>
      <c r="N1006" s="167">
        <v>1</v>
      </c>
      <c r="O1006" s="167">
        <v>1</v>
      </c>
      <c r="P1006" s="167">
        <v>1</v>
      </c>
      <c r="Q1006" s="167">
        <v>1</v>
      </c>
      <c r="R1006" s="167">
        <v>3</v>
      </c>
      <c r="S1006" s="167" t="s">
        <v>817</v>
      </c>
      <c r="T1006" s="167">
        <v>0</v>
      </c>
      <c r="U1006" s="167" t="s">
        <v>169</v>
      </c>
      <c r="V1006" s="167" t="s">
        <v>169</v>
      </c>
      <c r="W1006" s="200" t="str">
        <f t="shared" ca="1" si="99"/>
        <v/>
      </c>
      <c r="X1006" s="200">
        <f ca="1">VLOOKUP($C1006,OFFSET(quests!$A$1,0,0,COUNTA(quests!$A:$A),MATCH(X$2,quests!$1:$1,0)-MATCH($C$2,quests!$1:$1,0)+1),MATCH(X$2,quests!$1:$1,0)-MATCH($C$2,quests!$1:$1,0)+1,FALSE)</f>
        <v>0</v>
      </c>
      <c r="Y1006" s="200">
        <f ca="1">VLOOKUP($C1006,OFFSET(quests!$A$1,0,0,COUNTA(quests!$A:$A),MATCH(Y$2,quests!$1:$1,0)-MATCH($C$2,quests!$1:$1,0)+1),MATCH(Y$2,quests!$1:$1,0)-MATCH($C$2,quests!$1:$1,0)+1,FALSE)</f>
        <v>0</v>
      </c>
      <c r="Z1006" s="200">
        <f ca="1">VLOOKUP($C1006,OFFSET(quests!$A$1,0,0,COUNTA(quests!$A:$A),MATCH(Z$2,quests!$1:$1,0)-MATCH($C$2,quests!$1:$1,0)+1),MATCH(Z$2,quests!$1:$1,0)-MATCH($C$2,quests!$1:$1,0)+1,FALSE)</f>
        <v>0</v>
      </c>
      <c r="AA1006" s="200">
        <f ca="1">VLOOKUP($C1006,OFFSET(quests!$A$1,0,0,COUNTA(quests!$A:$A),MATCH(AA$2,quests!$1:$1,0)-MATCH($C$2,quests!$1:$1,0)+1),MATCH(AA$2,quests!$1:$1,0)-MATCH($C$2,quests!$1:$1,0)+1,FALSE)</f>
        <v>0</v>
      </c>
      <c r="AB1006" s="167" t="s">
        <v>971</v>
      </c>
      <c r="AC1006" s="167">
        <v>924</v>
      </c>
      <c r="AD1006" s="167">
        <v>6</v>
      </c>
      <c r="AE1006" s="167" t="s">
        <v>586</v>
      </c>
      <c r="AF1006" s="167">
        <v>6000</v>
      </c>
      <c r="AG1006" s="167">
        <v>40</v>
      </c>
      <c r="AH1006" s="167">
        <v>0</v>
      </c>
      <c r="AI1006" s="167">
        <v>0</v>
      </c>
      <c r="AJ1006" s="167">
        <v>-1</v>
      </c>
      <c r="AK1006" s="7" t="s">
        <v>1064</v>
      </c>
      <c r="AL1006" s="12" t="s">
        <v>1695</v>
      </c>
      <c r="AM1006" s="12" t="s">
        <v>2072</v>
      </c>
    </row>
    <row r="1007" spans="1:39" s="89" customFormat="1" ht="21" customHeight="1" x14ac:dyDescent="0.15">
      <c r="A1007" s="42" t="str">
        <f t="shared" si="106"/>
        <v>60012_1</v>
      </c>
      <c r="B1007" s="23">
        <v>3</v>
      </c>
      <c r="C1007" s="31">
        <v>60012</v>
      </c>
      <c r="D1007" s="200" t="str">
        <f ca="1">VLOOKUP($C1007,OFFSET(quests!$A$1,0,0,COUNTA(quests!$A:$A),MATCH(D$1,quests!$1:$1,0)-MATCH($C$2,quests!$1:$1,0)+1),MATCH(D$1,quests!$1:$1,0)-MATCH($C$2,quests!$1:$1,0)+1,FALSE)</f>
        <v>ユークリッドチャレンジ</v>
      </c>
      <c r="E1007" s="203" t="str">
        <f ca="1">VLOOKUP($C1007,OFFSET(quests!$A$1,0,0,COUNTA(quests!$A:$A),MATCH(E$2,quests!$1:$1,0)-MATCH($C$2,quests!$1:$1,0)+1),MATCH(E$2,quests!$1:$1,0)-MATCH($C$2,quests!$1:$1,0)+1,FALSE)</f>
        <v>ランキング3（ユークリッド）</v>
      </c>
      <c r="F1007" s="167">
        <v>1</v>
      </c>
      <c r="G1007" s="167" t="s">
        <v>382</v>
      </c>
      <c r="H1007" s="12" t="s">
        <v>1440</v>
      </c>
      <c r="I1007" s="23" t="s">
        <v>1090</v>
      </c>
      <c r="J1007" s="65">
        <v>690</v>
      </c>
      <c r="K1007" s="167">
        <v>35</v>
      </c>
      <c r="L1007" s="167">
        <v>4200</v>
      </c>
      <c r="M1007" s="167">
        <v>1</v>
      </c>
      <c r="N1007" s="167">
        <v>1</v>
      </c>
      <c r="O1007" s="167">
        <v>1</v>
      </c>
      <c r="P1007" s="167">
        <v>1</v>
      </c>
      <c r="Q1007" s="167">
        <v>1</v>
      </c>
      <c r="R1007" s="167">
        <v>3</v>
      </c>
      <c r="S1007" s="167" t="s">
        <v>817</v>
      </c>
      <c r="T1007" s="167">
        <v>0</v>
      </c>
      <c r="U1007" s="167" t="s">
        <v>169</v>
      </c>
      <c r="V1007" s="167" t="s">
        <v>169</v>
      </c>
      <c r="W1007" s="200" t="str">
        <f t="shared" ca="1" si="99"/>
        <v/>
      </c>
      <c r="X1007" s="200">
        <f ca="1">VLOOKUP($C1007,OFFSET(quests!$A$1,0,0,COUNTA(quests!$A:$A),MATCH(X$2,quests!$1:$1,0)-MATCH($C$2,quests!$1:$1,0)+1),MATCH(X$2,quests!$1:$1,0)-MATCH($C$2,quests!$1:$1,0)+1,FALSE)</f>
        <v>0</v>
      </c>
      <c r="Y1007" s="200">
        <f ca="1">VLOOKUP($C1007,OFFSET(quests!$A$1,0,0,COUNTA(quests!$A:$A),MATCH(Y$2,quests!$1:$1,0)-MATCH($C$2,quests!$1:$1,0)+1),MATCH(Y$2,quests!$1:$1,0)-MATCH($C$2,quests!$1:$1,0)+1,FALSE)</f>
        <v>0</v>
      </c>
      <c r="Z1007" s="200">
        <f ca="1">VLOOKUP($C1007,OFFSET(quests!$A$1,0,0,COUNTA(quests!$A:$A),MATCH(Z$2,quests!$1:$1,0)-MATCH($C$2,quests!$1:$1,0)+1),MATCH(Z$2,quests!$1:$1,0)-MATCH($C$2,quests!$1:$1,0)+1,FALSE)</f>
        <v>0</v>
      </c>
      <c r="AA1007" s="200">
        <f ca="1">VLOOKUP($C1007,OFFSET(quests!$A$1,0,0,COUNTA(quests!$A:$A),MATCH(AA$2,quests!$1:$1,0)-MATCH($C$2,quests!$1:$1,0)+1),MATCH(AA$2,quests!$1:$1,0)-MATCH($C$2,quests!$1:$1,0)+1,FALSE)</f>
        <v>0</v>
      </c>
      <c r="AB1007" s="167" t="s">
        <v>971</v>
      </c>
      <c r="AC1007" s="167">
        <v>924</v>
      </c>
      <c r="AD1007" s="167">
        <v>6</v>
      </c>
      <c r="AE1007" s="167" t="s">
        <v>522</v>
      </c>
      <c r="AF1007" s="167">
        <v>6000</v>
      </c>
      <c r="AG1007" s="167">
        <v>40</v>
      </c>
      <c r="AH1007" s="167">
        <v>0</v>
      </c>
      <c r="AI1007" s="167">
        <v>0</v>
      </c>
      <c r="AJ1007" s="167">
        <v>-1</v>
      </c>
      <c r="AK1007" s="7" t="s">
        <v>1064</v>
      </c>
      <c r="AL1007" s="12" t="s">
        <v>1695</v>
      </c>
      <c r="AM1007" s="12" t="s">
        <v>2072</v>
      </c>
    </row>
    <row r="1008" spans="1:39" s="89" customFormat="1" ht="21" customHeight="1" x14ac:dyDescent="0.15">
      <c r="A1008" s="42" t="str">
        <f t="shared" si="106"/>
        <v>60013_1</v>
      </c>
      <c r="B1008" s="23">
        <v>0</v>
      </c>
      <c r="C1008" s="31">
        <v>60013</v>
      </c>
      <c r="D1008" s="200" t="str">
        <f ca="1">VLOOKUP($C1008,OFFSET(quests!$A$1,0,0,COUNTA(quests!$A:$A),MATCH(D$1,quests!$1:$1,0)-MATCH($C$2,quests!$1:$1,0)+1),MATCH(D$1,quests!$1:$1,0)-MATCH($C$2,quests!$1:$1,0)+1,FALSE)</f>
        <v>オイラーチャレンジ</v>
      </c>
      <c r="E1008" s="203" t="str">
        <f ca="1">VLOOKUP($C1008,OFFSET(quests!$A$1,0,0,COUNTA(quests!$A:$A),MATCH(E$2,quests!$1:$1,0)-MATCH($C$2,quests!$1:$1,0)+1),MATCH(E$2,quests!$1:$1,0)-MATCH($C$2,quests!$1:$1,0)+1,FALSE)</f>
        <v>ランキング1（再開催版）</v>
      </c>
      <c r="F1008" s="167">
        <v>1</v>
      </c>
      <c r="G1008" s="167" t="s">
        <v>382</v>
      </c>
      <c r="H1008" s="12" t="str">
        <f ca="1">"【中級】"&amp;D1008</f>
        <v>【中級】オイラーチャレンジ</v>
      </c>
      <c r="I1008" s="23" t="s">
        <v>59</v>
      </c>
      <c r="J1008" s="65">
        <v>378</v>
      </c>
      <c r="K1008" s="192">
        <v>15</v>
      </c>
      <c r="L1008" s="167">
        <v>1200</v>
      </c>
      <c r="M1008" s="167">
        <v>1</v>
      </c>
      <c r="N1008" s="167">
        <v>1</v>
      </c>
      <c r="O1008" s="167">
        <v>1</v>
      </c>
      <c r="P1008" s="167">
        <v>1</v>
      </c>
      <c r="Q1008" s="167">
        <v>1</v>
      </c>
      <c r="R1008" s="167">
        <v>3</v>
      </c>
      <c r="S1008" s="167" t="s">
        <v>811</v>
      </c>
      <c r="T1008" s="167">
        <v>0</v>
      </c>
      <c r="U1008" s="167" t="s">
        <v>178</v>
      </c>
      <c r="V1008" s="167" t="s">
        <v>178</v>
      </c>
      <c r="W1008" s="200" t="str">
        <f t="shared" ca="1" si="99"/>
        <v/>
      </c>
      <c r="X1008" s="200">
        <f ca="1">VLOOKUP($C1008,OFFSET(quests!$A$1,0,0,COUNTA(quests!$A:$A),MATCH(X$2,quests!$1:$1,0)-MATCH($C$2,quests!$1:$1,0)+1),MATCH(X$2,quests!$1:$1,0)-MATCH($C$2,quests!$1:$1,0)+1,FALSE)</f>
        <v>0</v>
      </c>
      <c r="Y1008" s="200">
        <f ca="1">VLOOKUP($C1008,OFFSET(quests!$A$1,0,0,COUNTA(quests!$A:$A),MATCH(Y$2,quests!$1:$1,0)-MATCH($C$2,quests!$1:$1,0)+1),MATCH(Y$2,quests!$1:$1,0)-MATCH($C$2,quests!$1:$1,0)+1,FALSE)</f>
        <v>0</v>
      </c>
      <c r="Z1008" s="200">
        <f ca="1">VLOOKUP($C1008,OFFSET(quests!$A$1,0,0,COUNTA(quests!$A:$A),MATCH(Z$2,quests!$1:$1,0)-MATCH($C$2,quests!$1:$1,0)+1),MATCH(Z$2,quests!$1:$1,0)-MATCH($C$2,quests!$1:$1,0)+1,FALSE)</f>
        <v>0</v>
      </c>
      <c r="AA1008" s="200">
        <f ca="1">VLOOKUP($C1008,OFFSET(quests!$A$1,0,0,COUNTA(quests!$A:$A),MATCH(AA$2,quests!$1:$1,0)-MATCH($C$2,quests!$1:$1,0)+1),MATCH(AA$2,quests!$1:$1,0)-MATCH($C$2,quests!$1:$1,0)+1,FALSE)</f>
        <v>0</v>
      </c>
      <c r="AB1008" s="167" t="s">
        <v>56</v>
      </c>
      <c r="AC1008" s="167">
        <v>923</v>
      </c>
      <c r="AD1008" s="167">
        <v>6</v>
      </c>
      <c r="AE1008" s="167" t="s">
        <v>586</v>
      </c>
      <c r="AF1008" s="167">
        <v>6000</v>
      </c>
      <c r="AG1008" s="167">
        <v>40</v>
      </c>
      <c r="AH1008" s="167">
        <v>0</v>
      </c>
      <c r="AI1008" s="167">
        <v>0</v>
      </c>
      <c r="AJ1008" s="167">
        <v>-1</v>
      </c>
      <c r="AK1008" s="7" t="s">
        <v>1064</v>
      </c>
      <c r="AL1008" s="12" t="s">
        <v>1695</v>
      </c>
      <c r="AM1008" s="12" t="s">
        <v>2072</v>
      </c>
    </row>
    <row r="1009" spans="1:39" s="71" customFormat="1" ht="21" customHeight="1" x14ac:dyDescent="0.15">
      <c r="A1009" s="42" t="str">
        <f t="shared" si="106"/>
        <v>60013_2</v>
      </c>
      <c r="B1009" s="23">
        <v>0</v>
      </c>
      <c r="C1009" s="31">
        <v>60013</v>
      </c>
      <c r="D1009" s="200" t="str">
        <f ca="1">VLOOKUP($C1009,OFFSET(quests!$A$1,0,0,COUNTA(quests!$A:$A),MATCH(D$1,quests!$1:$1,0)-MATCH($C$2,quests!$1:$1,0)+1),MATCH(D$1,quests!$1:$1,0)-MATCH($C$2,quests!$1:$1,0)+1,FALSE)</f>
        <v>オイラーチャレンジ</v>
      </c>
      <c r="E1009" s="203" t="str">
        <f ca="1">VLOOKUP($C1009,OFFSET(quests!$A$1,0,0,COUNTA(quests!$A:$A),MATCH(E$2,quests!$1:$1,0)-MATCH($C$2,quests!$1:$1,0)+1),MATCH(E$2,quests!$1:$1,0)-MATCH($C$2,quests!$1:$1,0)+1,FALSE)</f>
        <v>ランキング1（再開催版）</v>
      </c>
      <c r="F1009" s="167">
        <v>2</v>
      </c>
      <c r="G1009" s="167" t="s">
        <v>382</v>
      </c>
      <c r="H1009" s="12" t="str">
        <f ca="1">"【超級】"&amp;D1009</f>
        <v>【超級】オイラーチャレンジ</v>
      </c>
      <c r="I1009" s="23" t="s">
        <v>383</v>
      </c>
      <c r="J1009" s="65">
        <v>378</v>
      </c>
      <c r="K1009" s="194">
        <v>30</v>
      </c>
      <c r="L1009" s="192">
        <v>3300</v>
      </c>
      <c r="M1009" s="167">
        <v>1</v>
      </c>
      <c r="N1009" s="167">
        <v>1</v>
      </c>
      <c r="O1009" s="167">
        <v>1</v>
      </c>
      <c r="P1009" s="167">
        <v>1</v>
      </c>
      <c r="Q1009" s="167">
        <v>1</v>
      </c>
      <c r="R1009" s="167">
        <v>3</v>
      </c>
      <c r="S1009" s="167" t="s">
        <v>811</v>
      </c>
      <c r="T1009" s="167">
        <v>0</v>
      </c>
      <c r="U1009" s="167" t="s">
        <v>178</v>
      </c>
      <c r="V1009" s="167" t="s">
        <v>178</v>
      </c>
      <c r="W1009" s="200" t="str">
        <f t="shared" ca="1" si="99"/>
        <v/>
      </c>
      <c r="X1009" s="200">
        <f ca="1">VLOOKUP($C1009,OFFSET(quests!$A$1,0,0,COUNTA(quests!$A:$A),MATCH(X$2,quests!$1:$1,0)-MATCH($C$2,quests!$1:$1,0)+1),MATCH(X$2,quests!$1:$1,0)-MATCH($C$2,quests!$1:$1,0)+1,FALSE)</f>
        <v>0</v>
      </c>
      <c r="Y1009" s="200">
        <f ca="1">VLOOKUP($C1009,OFFSET(quests!$A$1,0,0,COUNTA(quests!$A:$A),MATCH(Y$2,quests!$1:$1,0)-MATCH($C$2,quests!$1:$1,0)+1),MATCH(Y$2,quests!$1:$1,0)-MATCH($C$2,quests!$1:$1,0)+1,FALSE)</f>
        <v>0</v>
      </c>
      <c r="Z1009" s="200">
        <f ca="1">VLOOKUP($C1009,OFFSET(quests!$A$1,0,0,COUNTA(quests!$A:$A),MATCH(Z$2,quests!$1:$1,0)-MATCH($C$2,quests!$1:$1,0)+1),MATCH(Z$2,quests!$1:$1,0)-MATCH($C$2,quests!$1:$1,0)+1,FALSE)</f>
        <v>0</v>
      </c>
      <c r="AA1009" s="200">
        <f ca="1">VLOOKUP($C1009,OFFSET(quests!$A$1,0,0,COUNTA(quests!$A:$A),MATCH(AA$2,quests!$1:$1,0)-MATCH($C$2,quests!$1:$1,0)+1),MATCH(AA$2,quests!$1:$1,0)-MATCH($C$2,quests!$1:$1,0)+1,FALSE)</f>
        <v>0</v>
      </c>
      <c r="AB1009" s="167" t="s">
        <v>56</v>
      </c>
      <c r="AC1009" s="167">
        <v>923</v>
      </c>
      <c r="AD1009" s="167">
        <v>6</v>
      </c>
      <c r="AE1009" s="167" t="s">
        <v>586</v>
      </c>
      <c r="AF1009" s="167">
        <v>6000</v>
      </c>
      <c r="AG1009" s="167">
        <v>40</v>
      </c>
      <c r="AH1009" s="167">
        <v>0</v>
      </c>
      <c r="AI1009" s="167">
        <v>0</v>
      </c>
      <c r="AJ1009" s="167">
        <v>-1</v>
      </c>
      <c r="AK1009" s="7" t="s">
        <v>1064</v>
      </c>
      <c r="AL1009" s="12" t="s">
        <v>1695</v>
      </c>
      <c r="AM1009" s="12" t="s">
        <v>2072</v>
      </c>
    </row>
    <row r="1010" spans="1:39" s="71" customFormat="1" ht="21" customHeight="1" x14ac:dyDescent="0.15">
      <c r="A1010" s="42" t="str">
        <f t="shared" si="106"/>
        <v>60013_3</v>
      </c>
      <c r="B1010" s="23">
        <v>3</v>
      </c>
      <c r="C1010" s="31">
        <v>60013</v>
      </c>
      <c r="D1010" s="200" t="str">
        <f ca="1">VLOOKUP($C1010,OFFSET(quests!$A$1,0,0,COUNTA(quests!$A:$A),MATCH(D$1,quests!$1:$1,0)-MATCH($C$2,quests!$1:$1,0)+1),MATCH(D$1,quests!$1:$1,0)-MATCH($C$2,quests!$1:$1,0)+1,FALSE)</f>
        <v>オイラーチャレンジ</v>
      </c>
      <c r="E1010" s="203" t="str">
        <f ca="1">VLOOKUP($C1010,OFFSET(quests!$A$1,0,0,COUNTA(quests!$A:$A),MATCH(E$2,quests!$1:$1,0)-MATCH($C$2,quests!$1:$1,0)+1),MATCH(E$2,quests!$1:$1,0)-MATCH($C$2,quests!$1:$1,0)+1,FALSE)</f>
        <v>ランキング1（再開催版）</v>
      </c>
      <c r="F1010" s="167">
        <v>3</v>
      </c>
      <c r="G1010" s="167" t="s">
        <v>382</v>
      </c>
      <c r="H1010" s="12" t="str">
        <f ca="1">"【ウィザード級】"&amp;D1010</f>
        <v>【ウィザード級】オイラーチャレンジ</v>
      </c>
      <c r="I1010" s="23" t="s">
        <v>1090</v>
      </c>
      <c r="J1010" s="65">
        <v>379</v>
      </c>
      <c r="K1010" s="167">
        <v>35</v>
      </c>
      <c r="L1010" s="185">
        <v>4200</v>
      </c>
      <c r="M1010" s="167">
        <v>1</v>
      </c>
      <c r="N1010" s="167">
        <v>1</v>
      </c>
      <c r="O1010" s="167">
        <v>1</v>
      </c>
      <c r="P1010" s="167">
        <v>1</v>
      </c>
      <c r="Q1010" s="167">
        <v>1</v>
      </c>
      <c r="R1010" s="167">
        <v>3</v>
      </c>
      <c r="S1010" s="167" t="s">
        <v>811</v>
      </c>
      <c r="T1010" s="167">
        <v>0</v>
      </c>
      <c r="U1010" s="167" t="s">
        <v>178</v>
      </c>
      <c r="V1010" s="167" t="s">
        <v>1128</v>
      </c>
      <c r="W1010" s="200" t="str">
        <f t="shared" ca="1" si="99"/>
        <v/>
      </c>
      <c r="X1010" s="200">
        <f ca="1">VLOOKUP($C1010,OFFSET(quests!$A$1,0,0,COUNTA(quests!$A:$A),MATCH(X$2,quests!$1:$1,0)-MATCH($C$2,quests!$1:$1,0)+1),MATCH(X$2,quests!$1:$1,0)-MATCH($C$2,quests!$1:$1,0)+1,FALSE)</f>
        <v>0</v>
      </c>
      <c r="Y1010" s="200">
        <f ca="1">VLOOKUP($C1010,OFFSET(quests!$A$1,0,0,COUNTA(quests!$A:$A),MATCH(Y$2,quests!$1:$1,0)-MATCH($C$2,quests!$1:$1,0)+1),MATCH(Y$2,quests!$1:$1,0)-MATCH($C$2,quests!$1:$1,0)+1,FALSE)</f>
        <v>0</v>
      </c>
      <c r="Z1010" s="200">
        <f ca="1">VLOOKUP($C1010,OFFSET(quests!$A$1,0,0,COUNTA(quests!$A:$A),MATCH(Z$2,quests!$1:$1,0)-MATCH($C$2,quests!$1:$1,0)+1),MATCH(Z$2,quests!$1:$1,0)-MATCH($C$2,quests!$1:$1,0)+1,FALSE)</f>
        <v>0</v>
      </c>
      <c r="AA1010" s="200">
        <f ca="1">VLOOKUP($C1010,OFFSET(quests!$A$1,0,0,COUNTA(quests!$A:$A),MATCH(AA$2,quests!$1:$1,0)-MATCH($C$2,quests!$1:$1,0)+1),MATCH(AA$2,quests!$1:$1,0)-MATCH($C$2,quests!$1:$1,0)+1,FALSE)</f>
        <v>0</v>
      </c>
      <c r="AB1010" s="167" t="s">
        <v>56</v>
      </c>
      <c r="AC1010" s="167">
        <v>923</v>
      </c>
      <c r="AD1010" s="167">
        <v>6</v>
      </c>
      <c r="AE1010" s="167" t="s">
        <v>586</v>
      </c>
      <c r="AF1010" s="167">
        <v>6000</v>
      </c>
      <c r="AG1010" s="167">
        <v>40</v>
      </c>
      <c r="AH1010" s="167">
        <v>0</v>
      </c>
      <c r="AI1010" s="167">
        <v>0</v>
      </c>
      <c r="AJ1010" s="167">
        <v>-1</v>
      </c>
      <c r="AK1010" s="7" t="s">
        <v>1064</v>
      </c>
      <c r="AL1010" s="12" t="s">
        <v>1695</v>
      </c>
      <c r="AM1010" s="12" t="s">
        <v>2072</v>
      </c>
    </row>
    <row r="1011" spans="1:39" s="71" customFormat="1" ht="21" customHeight="1" x14ac:dyDescent="0.15">
      <c r="A1011" s="42" t="str">
        <f t="shared" si="106"/>
        <v>60014_1</v>
      </c>
      <c r="B1011" s="23">
        <v>3</v>
      </c>
      <c r="C1011" s="31">
        <v>60014</v>
      </c>
      <c r="D1011" s="200" t="str">
        <f ca="1">VLOOKUP($C1011,OFFSET(quests!$A$1,0,0,COUNTA(quests!$A:$A),MATCH(D$1,quests!$1:$1,0)-MATCH($C$2,quests!$1:$1,0)+1),MATCH(D$1,quests!$1:$1,0)-MATCH($C$2,quests!$1:$1,0)+1,FALSE)</f>
        <v xml:space="preserve">クロネッカーチャレンジ </v>
      </c>
      <c r="E1011" s="203" t="str">
        <f ca="1">VLOOKUP($C1011,OFFSET(quests!$A$1,0,0,COUNTA(quests!$A:$A),MATCH(E$2,quests!$1:$1,0)-MATCH($C$2,quests!$1:$1,0)+1),MATCH(E$2,quests!$1:$1,0)-MATCH($C$2,quests!$1:$1,0)+1,FALSE)</f>
        <v>ランキング4（クロネッカー）</v>
      </c>
      <c r="F1011" s="167">
        <v>1</v>
      </c>
      <c r="G1011" s="167" t="s">
        <v>382</v>
      </c>
      <c r="H1011" s="12" t="s">
        <v>1544</v>
      </c>
      <c r="I1011" s="23" t="s">
        <v>1090</v>
      </c>
      <c r="J1011" s="65">
        <v>761</v>
      </c>
      <c r="K1011" s="167">
        <v>35</v>
      </c>
      <c r="L1011" s="167">
        <v>4200</v>
      </c>
      <c r="M1011" s="167">
        <v>1</v>
      </c>
      <c r="N1011" s="167">
        <v>1</v>
      </c>
      <c r="O1011" s="167">
        <v>1</v>
      </c>
      <c r="P1011" s="167">
        <v>1</v>
      </c>
      <c r="Q1011" s="167">
        <v>1</v>
      </c>
      <c r="R1011" s="167">
        <v>3</v>
      </c>
      <c r="S1011" s="167" t="s">
        <v>811</v>
      </c>
      <c r="T1011" s="167">
        <v>0</v>
      </c>
      <c r="U1011" s="167" t="s">
        <v>178</v>
      </c>
      <c r="V1011" s="167" t="s">
        <v>1128</v>
      </c>
      <c r="W1011" s="200" t="str">
        <f t="shared" ca="1" si="99"/>
        <v/>
      </c>
      <c r="X1011" s="200">
        <f ca="1">VLOOKUP($C1011,OFFSET(quests!$A$1,0,0,COUNTA(quests!$A:$A),MATCH(X$2,quests!$1:$1,0)-MATCH($C$2,quests!$1:$1,0)+1),MATCH(X$2,quests!$1:$1,0)-MATCH($C$2,quests!$1:$1,0)+1,FALSE)</f>
        <v>0</v>
      </c>
      <c r="Y1011" s="200">
        <f ca="1">VLOOKUP($C1011,OFFSET(quests!$A$1,0,0,COUNTA(quests!$A:$A),MATCH(Y$2,quests!$1:$1,0)-MATCH($C$2,quests!$1:$1,0)+1),MATCH(Y$2,quests!$1:$1,0)-MATCH($C$2,quests!$1:$1,0)+1,FALSE)</f>
        <v>0</v>
      </c>
      <c r="Z1011" s="200">
        <f ca="1">VLOOKUP($C1011,OFFSET(quests!$A$1,0,0,COUNTA(quests!$A:$A),MATCH(Z$2,quests!$1:$1,0)-MATCH($C$2,quests!$1:$1,0)+1),MATCH(Z$2,quests!$1:$1,0)-MATCH($C$2,quests!$1:$1,0)+1,FALSE)</f>
        <v>0</v>
      </c>
      <c r="AA1011" s="200">
        <f ca="1">VLOOKUP($C1011,OFFSET(quests!$A$1,0,0,COUNTA(quests!$A:$A),MATCH(AA$2,quests!$1:$1,0)-MATCH($C$2,quests!$1:$1,0)+1),MATCH(AA$2,quests!$1:$1,0)-MATCH($C$2,quests!$1:$1,0)+1,FALSE)</f>
        <v>0</v>
      </c>
      <c r="AB1011" s="167" t="s">
        <v>56</v>
      </c>
      <c r="AC1011" s="167">
        <v>925</v>
      </c>
      <c r="AD1011" s="167">
        <v>6</v>
      </c>
      <c r="AE1011" s="167" t="s">
        <v>586</v>
      </c>
      <c r="AF1011" s="167">
        <v>6000</v>
      </c>
      <c r="AG1011" s="167">
        <v>40</v>
      </c>
      <c r="AH1011" s="167">
        <v>0</v>
      </c>
      <c r="AI1011" s="167">
        <v>0</v>
      </c>
      <c r="AJ1011" s="167">
        <v>-1</v>
      </c>
      <c r="AK1011" s="7" t="s">
        <v>1064</v>
      </c>
      <c r="AL1011" s="12" t="s">
        <v>1695</v>
      </c>
      <c r="AM1011" s="12" t="s">
        <v>2072</v>
      </c>
    </row>
    <row r="1012" spans="1:39" s="71" customFormat="1" ht="21" customHeight="1" x14ac:dyDescent="0.15">
      <c r="A1012" s="42" t="str">
        <f t="shared" si="106"/>
        <v>60015_1</v>
      </c>
      <c r="B1012" s="23">
        <v>3</v>
      </c>
      <c r="C1012" s="31">
        <v>60015</v>
      </c>
      <c r="D1012" s="200" t="str">
        <f ca="1">VLOOKUP($C1012,OFFSET(quests!$A$1,0,0,COUNTA(quests!$A:$A),MATCH(D$1,quests!$1:$1,0)-MATCH($C$2,quests!$1:$1,0)+1),MATCH(D$1,quests!$1:$1,0)-MATCH($C$2,quests!$1:$1,0)+1,FALSE)</f>
        <v>ラグランジュチャレンジ</v>
      </c>
      <c r="E1012" s="203" t="str">
        <f ca="1">VLOOKUP($C1012,OFFSET(quests!$A$1,0,0,COUNTA(quests!$A:$A),MATCH(E$2,quests!$1:$1,0)-MATCH($C$2,quests!$1:$1,0)+1),MATCH(E$2,quests!$1:$1,0)-MATCH($C$2,quests!$1:$1,0)+1,FALSE)</f>
        <v>ランキング2（再開催）</v>
      </c>
      <c r="F1012" s="167">
        <v>1</v>
      </c>
      <c r="G1012" s="167" t="s">
        <v>382</v>
      </c>
      <c r="H1012" s="12" t="str">
        <f t="shared" ref="H1012:H1017" ca="1" si="107">D1012</f>
        <v>ラグランジュチャレンジ</v>
      </c>
      <c r="I1012" s="23" t="s">
        <v>1090</v>
      </c>
      <c r="J1012" s="65">
        <v>796</v>
      </c>
      <c r="K1012" s="167">
        <v>35</v>
      </c>
      <c r="L1012" s="167">
        <v>4200</v>
      </c>
      <c r="M1012" s="167">
        <v>1</v>
      </c>
      <c r="N1012" s="167">
        <v>1</v>
      </c>
      <c r="O1012" s="167">
        <v>1</v>
      </c>
      <c r="P1012" s="167">
        <v>1</v>
      </c>
      <c r="Q1012" s="167">
        <v>1</v>
      </c>
      <c r="R1012" s="167">
        <v>3</v>
      </c>
      <c r="S1012" s="167" t="s">
        <v>811</v>
      </c>
      <c r="T1012" s="167">
        <v>0</v>
      </c>
      <c r="U1012" s="167" t="s">
        <v>169</v>
      </c>
      <c r="V1012" s="167" t="s">
        <v>169</v>
      </c>
      <c r="W1012" s="200" t="str">
        <f t="shared" ca="1" si="99"/>
        <v/>
      </c>
      <c r="X1012" s="200">
        <f ca="1">VLOOKUP($C1012,OFFSET(quests!$A$1,0,0,COUNTA(quests!$A:$A),MATCH(X$2,quests!$1:$1,0)-MATCH($C$2,quests!$1:$1,0)+1),MATCH(X$2,quests!$1:$1,0)-MATCH($C$2,quests!$1:$1,0)+1,FALSE)</f>
        <v>0</v>
      </c>
      <c r="Y1012" s="200">
        <f ca="1">VLOOKUP($C1012,OFFSET(quests!$A$1,0,0,COUNTA(quests!$A:$A),MATCH(Y$2,quests!$1:$1,0)-MATCH($C$2,quests!$1:$1,0)+1),MATCH(Y$2,quests!$1:$1,0)-MATCH($C$2,quests!$1:$1,0)+1,FALSE)</f>
        <v>0</v>
      </c>
      <c r="Z1012" s="200">
        <f ca="1">VLOOKUP($C1012,OFFSET(quests!$A$1,0,0,COUNTA(quests!$A:$A),MATCH(Z$2,quests!$1:$1,0)-MATCH($C$2,quests!$1:$1,0)+1),MATCH(Z$2,quests!$1:$1,0)-MATCH($C$2,quests!$1:$1,0)+1,FALSE)</f>
        <v>0</v>
      </c>
      <c r="AA1012" s="200">
        <f ca="1">VLOOKUP($C1012,OFFSET(quests!$A$1,0,0,COUNTA(quests!$A:$A),MATCH(AA$2,quests!$1:$1,0)-MATCH($C$2,quests!$1:$1,0)+1),MATCH(AA$2,quests!$1:$1,0)-MATCH($C$2,quests!$1:$1,0)+1,FALSE)</f>
        <v>0</v>
      </c>
      <c r="AB1012" s="167" t="s">
        <v>971</v>
      </c>
      <c r="AC1012" s="167">
        <v>922</v>
      </c>
      <c r="AD1012" s="167">
        <v>6</v>
      </c>
      <c r="AE1012" s="167" t="s">
        <v>586</v>
      </c>
      <c r="AF1012" s="167">
        <v>6000</v>
      </c>
      <c r="AG1012" s="167">
        <v>40</v>
      </c>
      <c r="AH1012" s="167">
        <v>0</v>
      </c>
      <c r="AI1012" s="167">
        <v>0</v>
      </c>
      <c r="AJ1012" s="167">
        <v>-1</v>
      </c>
      <c r="AK1012" s="7" t="s">
        <v>1064</v>
      </c>
      <c r="AL1012" s="12" t="s">
        <v>1695</v>
      </c>
      <c r="AM1012" s="12" t="s">
        <v>2072</v>
      </c>
    </row>
    <row r="1013" spans="1:39" s="89" customFormat="1" ht="21" customHeight="1" x14ac:dyDescent="0.15">
      <c r="A1013" s="42" t="str">
        <f t="shared" si="106"/>
        <v>60016_1</v>
      </c>
      <c r="B1013" s="23">
        <v>3</v>
      </c>
      <c r="C1013" s="31">
        <v>60016</v>
      </c>
      <c r="D1013" s="200" t="str">
        <f ca="1">VLOOKUP($C1013,OFFSET(quests!$A$1,0,0,COUNTA(quests!$A:$A),MATCH(D$1,quests!$1:$1,0)-MATCH($C$2,quests!$1:$1,0)+1),MATCH(D$1,quests!$1:$1,0)-MATCH($C$2,quests!$1:$1,0)+1,FALSE)</f>
        <v>シュレディンガーチャレンジ</v>
      </c>
      <c r="E1013" s="203" t="str">
        <f ca="1">VLOOKUP($C1013,OFFSET(quests!$A$1,0,0,COUNTA(quests!$A:$A),MATCH(E$2,quests!$1:$1,0)-MATCH($C$2,quests!$1:$1,0)+1),MATCH(E$2,quests!$1:$1,0)-MATCH($C$2,quests!$1:$1,0)+1,FALSE)</f>
        <v>ランキング5（シュレディンガー）</v>
      </c>
      <c r="F1013" s="167">
        <v>1</v>
      </c>
      <c r="G1013" s="167" t="s">
        <v>382</v>
      </c>
      <c r="H1013" s="12" t="str">
        <f t="shared" ca="1" si="107"/>
        <v>シュレディンガーチャレンジ</v>
      </c>
      <c r="I1013" s="23" t="s">
        <v>1090</v>
      </c>
      <c r="J1013" s="65">
        <v>797</v>
      </c>
      <c r="K1013" s="167">
        <v>35</v>
      </c>
      <c r="L1013" s="167">
        <v>4200</v>
      </c>
      <c r="M1013" s="167">
        <v>1</v>
      </c>
      <c r="N1013" s="167">
        <v>1</v>
      </c>
      <c r="O1013" s="167">
        <v>1</v>
      </c>
      <c r="P1013" s="167">
        <v>1</v>
      </c>
      <c r="Q1013" s="167">
        <v>1</v>
      </c>
      <c r="R1013" s="167">
        <v>3</v>
      </c>
      <c r="S1013" s="167" t="s">
        <v>811</v>
      </c>
      <c r="T1013" s="167">
        <v>0</v>
      </c>
      <c r="U1013" s="167" t="s">
        <v>169</v>
      </c>
      <c r="V1013" s="167" t="s">
        <v>169</v>
      </c>
      <c r="W1013" s="200" t="str">
        <f t="shared" ca="1" si="99"/>
        <v/>
      </c>
      <c r="X1013" s="200">
        <f ca="1">VLOOKUP($C1013,OFFSET(quests!$A$1,0,0,COUNTA(quests!$A:$A),MATCH(X$2,quests!$1:$1,0)-MATCH($C$2,quests!$1:$1,0)+1),MATCH(X$2,quests!$1:$1,0)-MATCH($C$2,quests!$1:$1,0)+1,FALSE)</f>
        <v>0</v>
      </c>
      <c r="Y1013" s="200">
        <f ca="1">VLOOKUP($C1013,OFFSET(quests!$A$1,0,0,COUNTA(quests!$A:$A),MATCH(Y$2,quests!$1:$1,0)-MATCH($C$2,quests!$1:$1,0)+1),MATCH(Y$2,quests!$1:$1,0)-MATCH($C$2,quests!$1:$1,0)+1,FALSE)</f>
        <v>0</v>
      </c>
      <c r="Z1013" s="200">
        <f ca="1">VLOOKUP($C1013,OFFSET(quests!$A$1,0,0,COUNTA(quests!$A:$A),MATCH(Z$2,quests!$1:$1,0)-MATCH($C$2,quests!$1:$1,0)+1),MATCH(Z$2,quests!$1:$1,0)-MATCH($C$2,quests!$1:$1,0)+1,FALSE)</f>
        <v>0</v>
      </c>
      <c r="AA1013" s="200">
        <f ca="1">VLOOKUP($C1013,OFFSET(quests!$A$1,0,0,COUNTA(quests!$A:$A),MATCH(AA$2,quests!$1:$1,0)-MATCH($C$2,quests!$1:$1,0)+1),MATCH(AA$2,quests!$1:$1,0)-MATCH($C$2,quests!$1:$1,0)+1,FALSE)</f>
        <v>0</v>
      </c>
      <c r="AB1013" s="167" t="s">
        <v>971</v>
      </c>
      <c r="AC1013" s="167">
        <v>922</v>
      </c>
      <c r="AD1013" s="167">
        <v>6</v>
      </c>
      <c r="AE1013" s="167" t="s">
        <v>586</v>
      </c>
      <c r="AF1013" s="167">
        <v>6000</v>
      </c>
      <c r="AG1013" s="167">
        <v>40</v>
      </c>
      <c r="AH1013" s="167">
        <v>0</v>
      </c>
      <c r="AI1013" s="167">
        <v>0</v>
      </c>
      <c r="AJ1013" s="167">
        <v>-1</v>
      </c>
      <c r="AK1013" s="7" t="s">
        <v>1064</v>
      </c>
      <c r="AL1013" s="12" t="s">
        <v>1695</v>
      </c>
      <c r="AM1013" s="12" t="s">
        <v>2072</v>
      </c>
    </row>
    <row r="1014" spans="1:39" s="89" customFormat="1" ht="22" customHeight="1" x14ac:dyDescent="0.15">
      <c r="A1014" s="42" t="str">
        <f t="shared" si="106"/>
        <v>60017_1</v>
      </c>
      <c r="B1014" s="23">
        <v>3</v>
      </c>
      <c r="C1014" s="31">
        <v>60017</v>
      </c>
      <c r="D1014" s="200" t="str">
        <f ca="1">VLOOKUP($C1014,OFFSET(quests!$A$1,0,0,COUNTA(quests!$A:$A),MATCH(D$1,quests!$1:$1,0)-MATCH($C$2,quests!$1:$1,0)+1),MATCH(D$1,quests!$1:$1,0)-MATCH($C$2,quests!$1:$1,0)+1,FALSE)</f>
        <v>ユークリッドチャレンジ</v>
      </c>
      <c r="E1014" s="203" t="str">
        <f ca="1">VLOOKUP($C1014,OFFSET(quests!$A$1,0,0,COUNTA(quests!$A:$A),MATCH(E$2,quests!$1:$1,0)-MATCH($C$2,quests!$1:$1,0)+1),MATCH(E$2,quests!$1:$1,0)-MATCH($C$2,quests!$1:$1,0)+1,FALSE)</f>
        <v>ランキング3（再開催）</v>
      </c>
      <c r="F1014" s="167">
        <v>1</v>
      </c>
      <c r="G1014" s="167" t="s">
        <v>382</v>
      </c>
      <c r="H1014" s="12" t="str">
        <f t="shared" ca="1" si="107"/>
        <v>ユークリッドチャレンジ</v>
      </c>
      <c r="I1014" s="23" t="s">
        <v>1090</v>
      </c>
      <c r="J1014" s="65">
        <v>690</v>
      </c>
      <c r="K1014" s="167">
        <v>35</v>
      </c>
      <c r="L1014" s="167">
        <v>4200</v>
      </c>
      <c r="M1014" s="167">
        <v>1</v>
      </c>
      <c r="N1014" s="167">
        <v>1</v>
      </c>
      <c r="O1014" s="167">
        <v>1</v>
      </c>
      <c r="P1014" s="167">
        <v>1</v>
      </c>
      <c r="Q1014" s="167">
        <v>1</v>
      </c>
      <c r="R1014" s="167">
        <v>3</v>
      </c>
      <c r="S1014" s="167" t="s">
        <v>811</v>
      </c>
      <c r="T1014" s="167">
        <v>0</v>
      </c>
      <c r="U1014" s="167" t="s">
        <v>169</v>
      </c>
      <c r="V1014" s="167" t="s">
        <v>169</v>
      </c>
      <c r="W1014" s="200" t="str">
        <f t="shared" ca="1" si="99"/>
        <v/>
      </c>
      <c r="X1014" s="200">
        <f ca="1">VLOOKUP($C1014,OFFSET(quests!$A$1,0,0,COUNTA(quests!$A:$A),MATCH(X$2,quests!$1:$1,0)-MATCH($C$2,quests!$1:$1,0)+1),MATCH(X$2,quests!$1:$1,0)-MATCH($C$2,quests!$1:$1,0)+1,FALSE)</f>
        <v>0</v>
      </c>
      <c r="Y1014" s="200">
        <f ca="1">VLOOKUP($C1014,OFFSET(quests!$A$1,0,0,COUNTA(quests!$A:$A),MATCH(Y$2,quests!$1:$1,0)-MATCH($C$2,quests!$1:$1,0)+1),MATCH(Y$2,quests!$1:$1,0)-MATCH($C$2,quests!$1:$1,0)+1,FALSE)</f>
        <v>0</v>
      </c>
      <c r="Z1014" s="200">
        <f ca="1">VLOOKUP($C1014,OFFSET(quests!$A$1,0,0,COUNTA(quests!$A:$A),MATCH(Z$2,quests!$1:$1,0)-MATCH($C$2,quests!$1:$1,0)+1),MATCH(Z$2,quests!$1:$1,0)-MATCH($C$2,quests!$1:$1,0)+1,FALSE)</f>
        <v>0</v>
      </c>
      <c r="AA1014" s="200">
        <f ca="1">VLOOKUP($C1014,OFFSET(quests!$A$1,0,0,COUNTA(quests!$A:$A),MATCH(AA$2,quests!$1:$1,0)-MATCH($C$2,quests!$1:$1,0)+1),MATCH(AA$2,quests!$1:$1,0)-MATCH($C$2,quests!$1:$1,0)+1,FALSE)</f>
        <v>0</v>
      </c>
      <c r="AB1014" s="167" t="s">
        <v>971</v>
      </c>
      <c r="AC1014" s="167">
        <v>924</v>
      </c>
      <c r="AD1014" s="167">
        <v>6</v>
      </c>
      <c r="AE1014" s="167" t="s">
        <v>586</v>
      </c>
      <c r="AF1014" s="167">
        <v>6000</v>
      </c>
      <c r="AG1014" s="167">
        <v>40</v>
      </c>
      <c r="AH1014" s="167">
        <v>0</v>
      </c>
      <c r="AI1014" s="167">
        <v>0</v>
      </c>
      <c r="AJ1014" s="167">
        <v>-1</v>
      </c>
      <c r="AK1014" s="7" t="s">
        <v>1064</v>
      </c>
      <c r="AL1014" s="12" t="s">
        <v>1695</v>
      </c>
      <c r="AM1014" s="12" t="s">
        <v>2072</v>
      </c>
    </row>
    <row r="1015" spans="1:39" s="89" customFormat="1" ht="21" customHeight="1" x14ac:dyDescent="0.15">
      <c r="A1015" s="42" t="str">
        <f t="shared" si="106"/>
        <v>60018_1</v>
      </c>
      <c r="B1015" s="23">
        <v>3</v>
      </c>
      <c r="C1015" s="31">
        <v>60018</v>
      </c>
      <c r="D1015" s="200" t="str">
        <f ca="1">VLOOKUP($C1015,OFFSET(quests!$A$1,0,0,COUNTA(quests!$A:$A),MATCH(D$1,quests!$1:$1,0)-MATCH($C$2,quests!$1:$1,0)+1),MATCH(D$1,quests!$1:$1,0)-MATCH($C$2,quests!$1:$1,0)+1,FALSE)</f>
        <v>チューリングチャレンジ</v>
      </c>
      <c r="E1015" s="203" t="str">
        <f ca="1">VLOOKUP($C1015,OFFSET(quests!$A$1,0,0,COUNTA(quests!$A:$A),MATCH(E$2,quests!$1:$1,0)-MATCH($C$2,quests!$1:$1,0)+1),MATCH(E$2,quests!$1:$1,0)-MATCH($C$2,quests!$1:$1,0)+1,FALSE)</f>
        <v>ランキング6</v>
      </c>
      <c r="F1015" s="167">
        <v>1</v>
      </c>
      <c r="G1015" s="167" t="s">
        <v>382</v>
      </c>
      <c r="H1015" s="12" t="str">
        <f t="shared" ca="1" si="107"/>
        <v>チューリングチャレンジ</v>
      </c>
      <c r="I1015" s="23" t="s">
        <v>1090</v>
      </c>
      <c r="J1015" s="65">
        <v>799</v>
      </c>
      <c r="K1015" s="167">
        <v>35</v>
      </c>
      <c r="L1015" s="167">
        <v>4200</v>
      </c>
      <c r="M1015" s="167">
        <v>1</v>
      </c>
      <c r="N1015" s="167">
        <v>1</v>
      </c>
      <c r="O1015" s="167">
        <v>1</v>
      </c>
      <c r="P1015" s="167">
        <v>1</v>
      </c>
      <c r="Q1015" s="167">
        <v>1</v>
      </c>
      <c r="R1015" s="167">
        <v>3</v>
      </c>
      <c r="S1015" s="167" t="s">
        <v>811</v>
      </c>
      <c r="T1015" s="167">
        <v>0</v>
      </c>
      <c r="U1015" s="167" t="s">
        <v>169</v>
      </c>
      <c r="V1015" s="167" t="s">
        <v>169</v>
      </c>
      <c r="W1015" s="200" t="str">
        <f t="shared" ca="1" si="99"/>
        <v/>
      </c>
      <c r="X1015" s="200">
        <f ca="1">VLOOKUP($C1015,OFFSET(quests!$A$1,0,0,COUNTA(quests!$A:$A),MATCH(X$2,quests!$1:$1,0)-MATCH($C$2,quests!$1:$1,0)+1),MATCH(X$2,quests!$1:$1,0)-MATCH($C$2,quests!$1:$1,0)+1,FALSE)</f>
        <v>0</v>
      </c>
      <c r="Y1015" s="200">
        <f ca="1">VLOOKUP($C1015,OFFSET(quests!$A$1,0,0,COUNTA(quests!$A:$A),MATCH(Y$2,quests!$1:$1,0)-MATCH($C$2,quests!$1:$1,0)+1),MATCH(Y$2,quests!$1:$1,0)-MATCH($C$2,quests!$1:$1,0)+1,FALSE)</f>
        <v>0</v>
      </c>
      <c r="Z1015" s="200">
        <f ca="1">VLOOKUP($C1015,OFFSET(quests!$A$1,0,0,COUNTA(quests!$A:$A),MATCH(Z$2,quests!$1:$1,0)-MATCH($C$2,quests!$1:$1,0)+1),MATCH(Z$2,quests!$1:$1,0)-MATCH($C$2,quests!$1:$1,0)+1,FALSE)</f>
        <v>0</v>
      </c>
      <c r="AA1015" s="200">
        <f ca="1">VLOOKUP($C1015,OFFSET(quests!$A$1,0,0,COUNTA(quests!$A:$A),MATCH(AA$2,quests!$1:$1,0)-MATCH($C$2,quests!$1:$1,0)+1),MATCH(AA$2,quests!$1:$1,0)-MATCH($C$2,quests!$1:$1,0)+1,FALSE)</f>
        <v>0</v>
      </c>
      <c r="AB1015" s="167" t="s">
        <v>971</v>
      </c>
      <c r="AC1015" s="167">
        <v>923</v>
      </c>
      <c r="AD1015" s="167">
        <v>6</v>
      </c>
      <c r="AE1015" s="167" t="s">
        <v>586</v>
      </c>
      <c r="AF1015" s="167">
        <v>6000</v>
      </c>
      <c r="AG1015" s="167">
        <v>40</v>
      </c>
      <c r="AH1015" s="167">
        <v>0</v>
      </c>
      <c r="AI1015" s="167">
        <v>0</v>
      </c>
      <c r="AJ1015" s="167">
        <v>-1</v>
      </c>
      <c r="AK1015" s="7" t="s">
        <v>1064</v>
      </c>
      <c r="AL1015" s="12" t="s">
        <v>1695</v>
      </c>
      <c r="AM1015" s="12" t="s">
        <v>2072</v>
      </c>
    </row>
    <row r="1016" spans="1:39" s="89" customFormat="1" ht="21" customHeight="1" x14ac:dyDescent="0.15">
      <c r="A1016" s="42" t="str">
        <f t="shared" ref="A1016:A1017" si="108">C1016&amp;"_"&amp;F1016</f>
        <v>60019_1</v>
      </c>
      <c r="B1016" s="23">
        <v>3</v>
      </c>
      <c r="C1016" s="31">
        <v>60019</v>
      </c>
      <c r="D1016" s="200" t="str">
        <f ca="1">VLOOKUP($C1016,OFFSET(quests!$A$1,0,0,COUNTA(quests!$A:$A),MATCH(D$1,quests!$1:$1,0)-MATCH($C$2,quests!$1:$1,0)+1),MATCH(D$1,quests!$1:$1,0)-MATCH($C$2,quests!$1:$1,0)+1,FALSE)</f>
        <v>ヘンペルチャレンジ</v>
      </c>
      <c r="E1016" s="203" t="str">
        <f ca="1">VLOOKUP($C1016,OFFSET(quests!$A$1,0,0,COUNTA(quests!$A:$A),MATCH(E$2,quests!$1:$1,0)-MATCH($C$2,quests!$1:$1,0)+1),MATCH(E$2,quests!$1:$1,0)-MATCH($C$2,quests!$1:$1,0)+1,FALSE)</f>
        <v>ランキング7</v>
      </c>
      <c r="F1016" s="167">
        <v>1</v>
      </c>
      <c r="G1016" s="167" t="s">
        <v>382</v>
      </c>
      <c r="H1016" s="12" t="str">
        <f t="shared" ca="1" si="107"/>
        <v>ヘンペルチャレンジ</v>
      </c>
      <c r="I1016" s="23" t="s">
        <v>1090</v>
      </c>
      <c r="J1016" s="65">
        <v>800</v>
      </c>
      <c r="K1016" s="167">
        <v>35</v>
      </c>
      <c r="L1016" s="167">
        <v>4200</v>
      </c>
      <c r="M1016" s="167">
        <v>1</v>
      </c>
      <c r="N1016" s="167">
        <v>1</v>
      </c>
      <c r="O1016" s="167">
        <v>1</v>
      </c>
      <c r="P1016" s="167">
        <v>1</v>
      </c>
      <c r="Q1016" s="167">
        <v>1</v>
      </c>
      <c r="R1016" s="167">
        <v>3</v>
      </c>
      <c r="S1016" s="167" t="s">
        <v>811</v>
      </c>
      <c r="T1016" s="167">
        <v>0</v>
      </c>
      <c r="U1016" s="167" t="s">
        <v>169</v>
      </c>
      <c r="V1016" s="167" t="s">
        <v>169</v>
      </c>
      <c r="W1016" s="200" t="str">
        <f t="shared" ca="1" si="99"/>
        <v/>
      </c>
      <c r="X1016" s="200">
        <f ca="1">VLOOKUP($C1016,OFFSET(quests!$A$1,0,0,COUNTA(quests!$A:$A),MATCH(X$2,quests!$1:$1,0)-MATCH($C$2,quests!$1:$1,0)+1),MATCH(X$2,quests!$1:$1,0)-MATCH($C$2,quests!$1:$1,0)+1,FALSE)</f>
        <v>0</v>
      </c>
      <c r="Y1016" s="200">
        <f ca="1">VLOOKUP($C1016,OFFSET(quests!$A$1,0,0,COUNTA(quests!$A:$A),MATCH(Y$2,quests!$1:$1,0)-MATCH($C$2,quests!$1:$1,0)+1),MATCH(Y$2,quests!$1:$1,0)-MATCH($C$2,quests!$1:$1,0)+1,FALSE)</f>
        <v>0</v>
      </c>
      <c r="Z1016" s="200">
        <f ca="1">VLOOKUP($C1016,OFFSET(quests!$A$1,0,0,COUNTA(quests!$A:$A),MATCH(Z$2,quests!$1:$1,0)-MATCH($C$2,quests!$1:$1,0)+1),MATCH(Z$2,quests!$1:$1,0)-MATCH($C$2,quests!$1:$1,0)+1,FALSE)</f>
        <v>0</v>
      </c>
      <c r="AA1016" s="200">
        <f ca="1">VLOOKUP($C1016,OFFSET(quests!$A$1,0,0,COUNTA(quests!$A:$A),MATCH(AA$2,quests!$1:$1,0)-MATCH($C$2,quests!$1:$1,0)+1),MATCH(AA$2,quests!$1:$1,0)-MATCH($C$2,quests!$1:$1,0)+1,FALSE)</f>
        <v>0</v>
      </c>
      <c r="AB1016" s="167" t="s">
        <v>971</v>
      </c>
      <c r="AC1016" s="167">
        <v>924</v>
      </c>
      <c r="AD1016" s="167">
        <v>6</v>
      </c>
      <c r="AE1016" s="167" t="s">
        <v>586</v>
      </c>
      <c r="AF1016" s="167">
        <v>6000</v>
      </c>
      <c r="AG1016" s="167">
        <v>40</v>
      </c>
      <c r="AH1016" s="167">
        <v>0</v>
      </c>
      <c r="AI1016" s="167">
        <v>0</v>
      </c>
      <c r="AJ1016" s="167">
        <v>-1</v>
      </c>
      <c r="AK1016" s="7" t="s">
        <v>1064</v>
      </c>
      <c r="AL1016" s="12" t="s">
        <v>1695</v>
      </c>
      <c r="AM1016" s="12" t="s">
        <v>2072</v>
      </c>
    </row>
    <row r="1017" spans="1:39" s="89" customFormat="1" ht="21" customHeight="1" x14ac:dyDescent="0.15">
      <c r="A1017" s="42" t="str">
        <f t="shared" si="108"/>
        <v>60020_1</v>
      </c>
      <c r="B1017" s="23">
        <v>3</v>
      </c>
      <c r="C1017" s="31">
        <v>60020</v>
      </c>
      <c r="D1017" s="200" t="str">
        <f ca="1">VLOOKUP($C1017,OFFSET(quests!$A$1,0,0,COUNTA(quests!$A:$A),MATCH(D$1,quests!$1:$1,0)-MATCH($C$2,quests!$1:$1,0)+1),MATCH(D$1,quests!$1:$1,0)-MATCH($C$2,quests!$1:$1,0)+1,FALSE)</f>
        <v>シュレディンガーチャレンジ</v>
      </c>
      <c r="E1017" s="203" t="str">
        <f ca="1">VLOOKUP($C1017,OFFSET(quests!$A$1,0,0,COUNTA(quests!$A:$A),MATCH(E$2,quests!$1:$1,0)-MATCH($C$2,quests!$1:$1,0)+1),MATCH(E$2,quests!$1:$1,0)-MATCH($C$2,quests!$1:$1,0)+1,FALSE)</f>
        <v>ランキング5（再開催）</v>
      </c>
      <c r="F1017" s="167">
        <v>1</v>
      </c>
      <c r="G1017" s="167" t="s">
        <v>382</v>
      </c>
      <c r="H1017" s="12" t="str">
        <f t="shared" ca="1" si="107"/>
        <v>シュレディンガーチャレンジ</v>
      </c>
      <c r="I1017" s="23" t="s">
        <v>1090</v>
      </c>
      <c r="J1017" s="65">
        <v>797</v>
      </c>
      <c r="K1017" s="167">
        <v>35</v>
      </c>
      <c r="L1017" s="167">
        <v>4200</v>
      </c>
      <c r="M1017" s="167">
        <v>1</v>
      </c>
      <c r="N1017" s="167">
        <v>1</v>
      </c>
      <c r="O1017" s="167">
        <v>1</v>
      </c>
      <c r="P1017" s="167">
        <v>1</v>
      </c>
      <c r="Q1017" s="167">
        <v>1</v>
      </c>
      <c r="R1017" s="167">
        <v>3</v>
      </c>
      <c r="S1017" s="167" t="s">
        <v>811</v>
      </c>
      <c r="T1017" s="167">
        <v>0</v>
      </c>
      <c r="U1017" s="167" t="s">
        <v>169</v>
      </c>
      <c r="V1017" s="167" t="s">
        <v>169</v>
      </c>
      <c r="W1017" s="200" t="str">
        <f t="shared" ca="1" si="99"/>
        <v/>
      </c>
      <c r="X1017" s="200">
        <f ca="1">VLOOKUP($C1017,OFFSET(quests!$A$1,0,0,COUNTA(quests!$A:$A),MATCH(X$2,quests!$1:$1,0)-MATCH($C$2,quests!$1:$1,0)+1),MATCH(X$2,quests!$1:$1,0)-MATCH($C$2,quests!$1:$1,0)+1,FALSE)</f>
        <v>0</v>
      </c>
      <c r="Y1017" s="200">
        <f ca="1">VLOOKUP($C1017,OFFSET(quests!$A$1,0,0,COUNTA(quests!$A:$A),MATCH(Y$2,quests!$1:$1,0)-MATCH($C$2,quests!$1:$1,0)+1),MATCH(Y$2,quests!$1:$1,0)-MATCH($C$2,quests!$1:$1,0)+1,FALSE)</f>
        <v>0</v>
      </c>
      <c r="Z1017" s="200">
        <f ca="1">VLOOKUP($C1017,OFFSET(quests!$A$1,0,0,COUNTA(quests!$A:$A),MATCH(Z$2,quests!$1:$1,0)-MATCH($C$2,quests!$1:$1,0)+1),MATCH(Z$2,quests!$1:$1,0)-MATCH($C$2,quests!$1:$1,0)+1,FALSE)</f>
        <v>0</v>
      </c>
      <c r="AA1017" s="200">
        <f ca="1">VLOOKUP($C1017,OFFSET(quests!$A$1,0,0,COUNTA(quests!$A:$A),MATCH(AA$2,quests!$1:$1,0)-MATCH($C$2,quests!$1:$1,0)+1),MATCH(AA$2,quests!$1:$1,0)-MATCH($C$2,quests!$1:$1,0)+1,FALSE)</f>
        <v>0</v>
      </c>
      <c r="AB1017" s="167" t="s">
        <v>971</v>
      </c>
      <c r="AC1017" s="167">
        <v>922</v>
      </c>
      <c r="AD1017" s="167">
        <v>6</v>
      </c>
      <c r="AE1017" s="167" t="s">
        <v>586</v>
      </c>
      <c r="AF1017" s="167">
        <v>6000</v>
      </c>
      <c r="AG1017" s="167">
        <v>40</v>
      </c>
      <c r="AH1017" s="167">
        <v>0</v>
      </c>
      <c r="AI1017" s="167">
        <v>0</v>
      </c>
      <c r="AJ1017" s="167">
        <v>-1</v>
      </c>
      <c r="AK1017" s="7" t="s">
        <v>1064</v>
      </c>
      <c r="AL1017" s="12" t="s">
        <v>1337</v>
      </c>
      <c r="AM1017" s="12" t="s">
        <v>2072</v>
      </c>
    </row>
    <row r="1018" spans="1:39" s="89" customFormat="1" ht="21" customHeight="1" x14ac:dyDescent="0.15">
      <c r="A1018" s="42" t="str">
        <f t="shared" si="106"/>
        <v>60021_3</v>
      </c>
      <c r="B1018" s="39">
        <v>1</v>
      </c>
      <c r="C1018" s="74">
        <v>60021</v>
      </c>
      <c r="D1018" s="47" t="str">
        <f ca="1">VLOOKUP($C1018,OFFSET(quests!$A$1,0,0,COUNTA(quests!$A:$A),MATCH(D$1,quests!$1:$1,0)-MATCH($C$2,quests!$1:$1,0)+1),MATCH(D$1,quests!$1:$1,0)-MATCH($C$2,quests!$1:$1,0)+1,FALSE)</f>
        <v>【月曜限定】 黄の素材verハンプ検証</v>
      </c>
      <c r="E1018" s="48" t="str">
        <f ca="1">VLOOKUP($C1018,OFFSET(quests!$A$1,0,0,COUNTA(quests!$A:$A),MATCH(E$2,quests!$1:$1,0)-MATCH($C$2,quests!$1:$1,0)+1),MATCH(E$2,quests!$1:$1,0)-MATCH($C$2,quests!$1:$1,0)+1,FALSE)</f>
        <v>検証</v>
      </c>
      <c r="F1018" s="7">
        <v>3</v>
      </c>
      <c r="G1018" s="7" t="s">
        <v>568</v>
      </c>
      <c r="H1018" s="12" t="s">
        <v>1001</v>
      </c>
      <c r="I1018" s="12" t="s">
        <v>60</v>
      </c>
      <c r="J1018" s="12">
        <v>84</v>
      </c>
      <c r="K1018" s="167">
        <v>20</v>
      </c>
      <c r="L1018" s="167">
        <v>860</v>
      </c>
      <c r="M1018" s="167">
        <v>1</v>
      </c>
      <c r="N1018" s="167">
        <v>1</v>
      </c>
      <c r="O1018" s="167">
        <v>1</v>
      </c>
      <c r="P1018" s="167">
        <v>1</v>
      </c>
      <c r="Q1018" s="167">
        <v>1</v>
      </c>
      <c r="R1018" s="167">
        <v>3</v>
      </c>
      <c r="S1018" s="167" t="s">
        <v>79</v>
      </c>
      <c r="T1018" s="167">
        <v>0</v>
      </c>
      <c r="U1018" s="7" t="s">
        <v>169</v>
      </c>
      <c r="V1018" s="7" t="s">
        <v>169</v>
      </c>
      <c r="W1018" s="47" t="str">
        <f t="shared" ca="1" si="99"/>
        <v/>
      </c>
      <c r="X1018" s="47">
        <f ca="1">VLOOKUP($C1018,OFFSET(quests!$A$1,0,0,COUNTA(quests!$A:$A),MATCH(X$2,quests!$1:$1,0)-MATCH($C$2,quests!$1:$1,0)+1),MATCH(X$2,quests!$1:$1,0)-MATCH($C$2,quests!$1:$1,0)+1,FALSE)</f>
        <v>0</v>
      </c>
      <c r="Y1018" s="47">
        <f ca="1">VLOOKUP($C1018,OFFSET(quests!$A$1,0,0,COUNTA(quests!$A:$A),MATCH(Y$2,quests!$1:$1,0)-MATCH($C$2,quests!$1:$1,0)+1),MATCH(Y$2,quests!$1:$1,0)-MATCH($C$2,quests!$1:$1,0)+1,FALSE)</f>
        <v>0</v>
      </c>
      <c r="Z1018" s="47">
        <f ca="1">VLOOKUP($C1018,OFFSET(quests!$A$1,0,0,COUNTA(quests!$A:$A),MATCH(Z$2,quests!$1:$1,0)-MATCH($C$2,quests!$1:$1,0)+1),MATCH(Z$2,quests!$1:$1,0)-MATCH($C$2,quests!$1:$1,0)+1,FALSE)</f>
        <v>0</v>
      </c>
      <c r="AA1018" s="47">
        <f ca="1">VLOOKUP($C1018,OFFSET(quests!$A$1,0,0,COUNTA(quests!$A:$A),MATCH(AA$2,quests!$1:$1,0)-MATCH($C$2,quests!$1:$1,0)+1),MATCH(AA$2,quests!$1:$1,0)-MATCH($C$2,quests!$1:$1,0)+1,FALSE)</f>
        <v>0</v>
      </c>
      <c r="AB1018" s="7" t="s">
        <v>56</v>
      </c>
      <c r="AC1018" s="7">
        <v>101</v>
      </c>
      <c r="AD1018" s="7">
        <v>6</v>
      </c>
      <c r="AE1018" s="174" t="s">
        <v>519</v>
      </c>
      <c r="AF1018" s="7">
        <v>11</v>
      </c>
      <c r="AG1018" s="7">
        <v>0</v>
      </c>
      <c r="AH1018" s="7">
        <v>0</v>
      </c>
      <c r="AI1018" s="7">
        <v>-1</v>
      </c>
      <c r="AJ1018" s="7">
        <v>-1</v>
      </c>
      <c r="AK1018" s="7" t="s">
        <v>1064</v>
      </c>
      <c r="AL1018" s="12" t="s">
        <v>1695</v>
      </c>
      <c r="AM1018" s="12" t="s">
        <v>2072</v>
      </c>
    </row>
    <row r="1019" spans="1:39" s="42" customFormat="1" ht="21" customHeight="1" x14ac:dyDescent="0.15">
      <c r="A1019" s="42" t="str">
        <f t="shared" si="106"/>
        <v>60022_3</v>
      </c>
      <c r="B1019" s="39">
        <v>1</v>
      </c>
      <c r="C1019" s="74">
        <v>60022</v>
      </c>
      <c r="D1019" s="47" t="str">
        <f ca="1">VLOOKUP($C1019,OFFSET(quests!$A$1,0,0,COUNTA(quests!$A:$A),MATCH(D$1,quests!$1:$1,0)-MATCH($C$2,quests!$1:$1,0)+1),MATCH(D$1,quests!$1:$1,0)-MATCH($C$2,quests!$1:$1,0)+1,FALSE)</f>
        <v>【火曜限定】 赤の素材verハンプ検証</v>
      </c>
      <c r="E1019" s="48" t="str">
        <f ca="1">VLOOKUP($C1019,OFFSET(quests!$A$1,0,0,COUNTA(quests!$A:$A),MATCH(E$2,quests!$1:$1,0)-MATCH($C$2,quests!$1:$1,0)+1),MATCH(E$2,quests!$1:$1,0)-MATCH($C$2,quests!$1:$1,0)+1,FALSE)</f>
        <v>検証</v>
      </c>
      <c r="F1019" s="7">
        <v>3</v>
      </c>
      <c r="G1019" s="7" t="s">
        <v>568</v>
      </c>
      <c r="H1019" s="12" t="s">
        <v>1001</v>
      </c>
      <c r="I1019" s="12" t="s">
        <v>60</v>
      </c>
      <c r="J1019" s="12">
        <v>84</v>
      </c>
      <c r="K1019" s="167">
        <v>20</v>
      </c>
      <c r="L1019" s="167">
        <v>860</v>
      </c>
      <c r="M1019" s="167">
        <v>1</v>
      </c>
      <c r="N1019" s="167">
        <v>1</v>
      </c>
      <c r="O1019" s="167">
        <v>1</v>
      </c>
      <c r="P1019" s="167">
        <v>1</v>
      </c>
      <c r="Q1019" s="167">
        <v>1</v>
      </c>
      <c r="R1019" s="167">
        <v>3</v>
      </c>
      <c r="S1019" s="167" t="s">
        <v>79</v>
      </c>
      <c r="T1019" s="167">
        <v>0</v>
      </c>
      <c r="U1019" s="7" t="s">
        <v>169</v>
      </c>
      <c r="V1019" s="7" t="s">
        <v>169</v>
      </c>
      <c r="W1019" s="47" t="str">
        <f t="shared" ca="1" si="99"/>
        <v/>
      </c>
      <c r="X1019" s="47">
        <f ca="1">VLOOKUP($C1019,OFFSET(quests!$A$1,0,0,COUNTA(quests!$A:$A),MATCH(X$2,quests!$1:$1,0)-MATCH($C$2,quests!$1:$1,0)+1),MATCH(X$2,quests!$1:$1,0)-MATCH($C$2,quests!$1:$1,0)+1,FALSE)</f>
        <v>0</v>
      </c>
      <c r="Y1019" s="47">
        <f ca="1">VLOOKUP($C1019,OFFSET(quests!$A$1,0,0,COUNTA(quests!$A:$A),MATCH(Y$2,quests!$1:$1,0)-MATCH($C$2,quests!$1:$1,0)+1),MATCH(Y$2,quests!$1:$1,0)-MATCH($C$2,quests!$1:$1,0)+1,FALSE)</f>
        <v>0</v>
      </c>
      <c r="Z1019" s="47">
        <f ca="1">VLOOKUP($C1019,OFFSET(quests!$A$1,0,0,COUNTA(quests!$A:$A),MATCH(Z$2,quests!$1:$1,0)-MATCH($C$2,quests!$1:$1,0)+1),MATCH(Z$2,quests!$1:$1,0)-MATCH($C$2,quests!$1:$1,0)+1,FALSE)</f>
        <v>0</v>
      </c>
      <c r="AA1019" s="47">
        <f ca="1">VLOOKUP($C1019,OFFSET(quests!$A$1,0,0,COUNTA(quests!$A:$A),MATCH(AA$2,quests!$1:$1,0)-MATCH($C$2,quests!$1:$1,0)+1),MATCH(AA$2,quests!$1:$1,0)-MATCH($C$2,quests!$1:$1,0)+1,FALSE)</f>
        <v>0</v>
      </c>
      <c r="AB1019" s="7" t="s">
        <v>56</v>
      </c>
      <c r="AC1019" s="7">
        <v>101</v>
      </c>
      <c r="AD1019" s="7">
        <v>6</v>
      </c>
      <c r="AE1019" s="174" t="s">
        <v>519</v>
      </c>
      <c r="AF1019" s="7">
        <v>11</v>
      </c>
      <c r="AG1019" s="7">
        <v>0</v>
      </c>
      <c r="AH1019" s="7">
        <v>0</v>
      </c>
      <c r="AI1019" s="7">
        <v>-1</v>
      </c>
      <c r="AJ1019" s="7">
        <v>-1</v>
      </c>
      <c r="AK1019" s="7" t="s">
        <v>1064</v>
      </c>
      <c r="AL1019" s="12" t="s">
        <v>1695</v>
      </c>
      <c r="AM1019" s="12" t="s">
        <v>2072</v>
      </c>
    </row>
    <row r="1020" spans="1:39" s="42" customFormat="1" ht="21" customHeight="1" x14ac:dyDescent="0.15">
      <c r="A1020" s="42" t="str">
        <f t="shared" si="106"/>
        <v>60023_3</v>
      </c>
      <c r="B1020" s="39">
        <v>1</v>
      </c>
      <c r="C1020" s="74">
        <v>60023</v>
      </c>
      <c r="D1020" s="47" t="str">
        <f ca="1">VLOOKUP($C1020,OFFSET(quests!$A$1,0,0,COUNTA(quests!$A:$A),MATCH(D$1,quests!$1:$1,0)-MATCH($C$2,quests!$1:$1,0)+1),MATCH(D$1,quests!$1:$1,0)-MATCH($C$2,quests!$1:$1,0)+1,FALSE)</f>
        <v>【水曜限定】 青の素材verハンプ検証</v>
      </c>
      <c r="E1020" s="48" t="str">
        <f ca="1">VLOOKUP($C1020,OFFSET(quests!$A$1,0,0,COUNTA(quests!$A:$A),MATCH(E$2,quests!$1:$1,0)-MATCH($C$2,quests!$1:$1,0)+1),MATCH(E$2,quests!$1:$1,0)-MATCH($C$2,quests!$1:$1,0)+1,FALSE)</f>
        <v>検証</v>
      </c>
      <c r="F1020" s="7">
        <v>3</v>
      </c>
      <c r="G1020" s="7" t="s">
        <v>568</v>
      </c>
      <c r="H1020" s="12" t="s">
        <v>1001</v>
      </c>
      <c r="I1020" s="12" t="s">
        <v>60</v>
      </c>
      <c r="J1020" s="12">
        <v>84</v>
      </c>
      <c r="K1020" s="256">
        <v>20</v>
      </c>
      <c r="L1020" s="257">
        <v>860</v>
      </c>
      <c r="M1020" s="167">
        <v>1</v>
      </c>
      <c r="N1020" s="167">
        <v>1</v>
      </c>
      <c r="O1020" s="167">
        <v>1</v>
      </c>
      <c r="P1020" s="167">
        <v>1</v>
      </c>
      <c r="Q1020" s="167">
        <v>1</v>
      </c>
      <c r="R1020" s="167">
        <v>3</v>
      </c>
      <c r="S1020" s="167" t="s">
        <v>79</v>
      </c>
      <c r="T1020" s="167">
        <v>0</v>
      </c>
      <c r="U1020" s="7" t="s">
        <v>169</v>
      </c>
      <c r="V1020" s="7" t="s">
        <v>169</v>
      </c>
      <c r="W1020" s="47" t="str">
        <f t="shared" ca="1" si="99"/>
        <v/>
      </c>
      <c r="X1020" s="47">
        <f ca="1">VLOOKUP($C1020,OFFSET(quests!$A$1,0,0,COUNTA(quests!$A:$A),MATCH(X$2,quests!$1:$1,0)-MATCH($C$2,quests!$1:$1,0)+1),MATCH(X$2,quests!$1:$1,0)-MATCH($C$2,quests!$1:$1,0)+1,FALSE)</f>
        <v>0</v>
      </c>
      <c r="Y1020" s="47">
        <f ca="1">VLOOKUP($C1020,OFFSET(quests!$A$1,0,0,COUNTA(quests!$A:$A),MATCH(Y$2,quests!$1:$1,0)-MATCH($C$2,quests!$1:$1,0)+1),MATCH(Y$2,quests!$1:$1,0)-MATCH($C$2,quests!$1:$1,0)+1,FALSE)</f>
        <v>0</v>
      </c>
      <c r="Z1020" s="47">
        <f ca="1">VLOOKUP($C1020,OFFSET(quests!$A$1,0,0,COUNTA(quests!$A:$A),MATCH(Z$2,quests!$1:$1,0)-MATCH($C$2,quests!$1:$1,0)+1),MATCH(Z$2,quests!$1:$1,0)-MATCH($C$2,quests!$1:$1,0)+1,FALSE)</f>
        <v>0</v>
      </c>
      <c r="AA1020" s="47">
        <f ca="1">VLOOKUP($C1020,OFFSET(quests!$A$1,0,0,COUNTA(quests!$A:$A),MATCH(AA$2,quests!$1:$1,0)-MATCH($C$2,quests!$1:$1,0)+1),MATCH(AA$2,quests!$1:$1,0)-MATCH($C$2,quests!$1:$1,0)+1,FALSE)</f>
        <v>0</v>
      </c>
      <c r="AB1020" s="7" t="s">
        <v>56</v>
      </c>
      <c r="AC1020" s="7">
        <v>101</v>
      </c>
      <c r="AD1020" s="7">
        <v>6</v>
      </c>
      <c r="AE1020" s="174" t="s">
        <v>519</v>
      </c>
      <c r="AF1020" s="7">
        <v>11</v>
      </c>
      <c r="AG1020" s="7">
        <v>0</v>
      </c>
      <c r="AH1020" s="7">
        <v>0</v>
      </c>
      <c r="AI1020" s="7">
        <v>-1</v>
      </c>
      <c r="AJ1020" s="7">
        <v>-1</v>
      </c>
      <c r="AK1020" s="7" t="s">
        <v>1064</v>
      </c>
      <c r="AL1020" s="12" t="s">
        <v>1695</v>
      </c>
      <c r="AM1020" s="12" t="s">
        <v>2072</v>
      </c>
    </row>
    <row r="1021" spans="1:39" s="42" customFormat="1" ht="21" customHeight="1" x14ac:dyDescent="0.15">
      <c r="A1021" s="42" t="str">
        <f t="shared" si="106"/>
        <v>60024_3</v>
      </c>
      <c r="B1021" s="39">
        <v>1</v>
      </c>
      <c r="C1021" s="74">
        <v>60024</v>
      </c>
      <c r="D1021" s="47" t="str">
        <f ca="1">VLOOKUP($C1021,OFFSET(quests!$A$1,0,0,COUNTA(quests!$A:$A),MATCH(D$1,quests!$1:$1,0)-MATCH($C$2,quests!$1:$1,0)+1),MATCH(D$1,quests!$1:$1,0)-MATCH($C$2,quests!$1:$1,0)+1,FALSE)</f>
        <v>【木曜限定】 緑の素材verハンプ検証</v>
      </c>
      <c r="E1021" s="48" t="str">
        <f ca="1">VLOOKUP($C1021,OFFSET(quests!$A$1,0,0,COUNTA(quests!$A:$A),MATCH(E$2,quests!$1:$1,0)-MATCH($C$2,quests!$1:$1,0)+1),MATCH(E$2,quests!$1:$1,0)-MATCH($C$2,quests!$1:$1,0)+1,FALSE)</f>
        <v>検証</v>
      </c>
      <c r="F1021" s="7">
        <v>3</v>
      </c>
      <c r="G1021" s="7" t="s">
        <v>568</v>
      </c>
      <c r="H1021" s="12" t="s">
        <v>1001</v>
      </c>
      <c r="I1021" s="12" t="s">
        <v>60</v>
      </c>
      <c r="J1021" s="12">
        <v>84</v>
      </c>
      <c r="K1021" s="256">
        <v>20</v>
      </c>
      <c r="L1021" s="257">
        <v>860</v>
      </c>
      <c r="M1021" s="167">
        <v>1</v>
      </c>
      <c r="N1021" s="167">
        <v>1</v>
      </c>
      <c r="O1021" s="167">
        <v>1</v>
      </c>
      <c r="P1021" s="167">
        <v>1</v>
      </c>
      <c r="Q1021" s="167">
        <v>1</v>
      </c>
      <c r="R1021" s="167">
        <v>3</v>
      </c>
      <c r="S1021" s="167" t="s">
        <v>79</v>
      </c>
      <c r="T1021" s="167">
        <v>0</v>
      </c>
      <c r="U1021" s="7" t="s">
        <v>169</v>
      </c>
      <c r="V1021" s="7" t="s">
        <v>169</v>
      </c>
      <c r="W1021" s="47" t="str">
        <f t="shared" ca="1" si="99"/>
        <v/>
      </c>
      <c r="X1021" s="47">
        <f ca="1">VLOOKUP($C1021,OFFSET(quests!$A$1,0,0,COUNTA(quests!$A:$A),MATCH(X$2,quests!$1:$1,0)-MATCH($C$2,quests!$1:$1,0)+1),MATCH(X$2,quests!$1:$1,0)-MATCH($C$2,quests!$1:$1,0)+1,FALSE)</f>
        <v>0</v>
      </c>
      <c r="Y1021" s="47">
        <f ca="1">VLOOKUP($C1021,OFFSET(quests!$A$1,0,0,COUNTA(quests!$A:$A),MATCH(Y$2,quests!$1:$1,0)-MATCH($C$2,quests!$1:$1,0)+1),MATCH(Y$2,quests!$1:$1,0)-MATCH($C$2,quests!$1:$1,0)+1,FALSE)</f>
        <v>0</v>
      </c>
      <c r="Z1021" s="47">
        <f ca="1">VLOOKUP($C1021,OFFSET(quests!$A$1,0,0,COUNTA(quests!$A:$A),MATCH(Z$2,quests!$1:$1,0)-MATCH($C$2,quests!$1:$1,0)+1),MATCH(Z$2,quests!$1:$1,0)-MATCH($C$2,quests!$1:$1,0)+1,FALSE)</f>
        <v>0</v>
      </c>
      <c r="AA1021" s="47">
        <f ca="1">VLOOKUP($C1021,OFFSET(quests!$A$1,0,0,COUNTA(quests!$A:$A),MATCH(AA$2,quests!$1:$1,0)-MATCH($C$2,quests!$1:$1,0)+1),MATCH(AA$2,quests!$1:$1,0)-MATCH($C$2,quests!$1:$1,0)+1,FALSE)</f>
        <v>0</v>
      </c>
      <c r="AB1021" s="7" t="s">
        <v>56</v>
      </c>
      <c r="AC1021" s="7">
        <v>101</v>
      </c>
      <c r="AD1021" s="7">
        <v>6</v>
      </c>
      <c r="AE1021" s="174" t="s">
        <v>519</v>
      </c>
      <c r="AF1021" s="7">
        <v>11</v>
      </c>
      <c r="AG1021" s="7">
        <v>0</v>
      </c>
      <c r="AH1021" s="7">
        <v>0</v>
      </c>
      <c r="AI1021" s="7">
        <v>-1</v>
      </c>
      <c r="AJ1021" s="7">
        <v>-1</v>
      </c>
      <c r="AK1021" s="7" t="s">
        <v>1064</v>
      </c>
      <c r="AL1021" s="12" t="s">
        <v>1695</v>
      </c>
      <c r="AM1021" s="12" t="s">
        <v>2072</v>
      </c>
    </row>
    <row r="1022" spans="1:39" s="89" customFormat="1" ht="21" customHeight="1" x14ac:dyDescent="0.15">
      <c r="A1022" s="42" t="str">
        <f t="shared" si="106"/>
        <v>60025_1</v>
      </c>
      <c r="B1022" s="23">
        <v>3</v>
      </c>
      <c r="C1022" s="31">
        <v>60025</v>
      </c>
      <c r="D1022" s="200" t="str">
        <f ca="1">VLOOKUP($C1022,OFFSET(quests!$A$1,0,0,COUNTA(quests!$A:$A),MATCH(D$1,quests!$1:$1,0)-MATCH($C$2,quests!$1:$1,0)+1),MATCH(D$1,quests!$1:$1,0)-MATCH($C$2,quests!$1:$1,0)+1,FALSE)</f>
        <v>マリアチャレンジ</v>
      </c>
      <c r="E1022" s="203" t="str">
        <f ca="1">VLOOKUP($C1022,OFFSET(quests!$A$1,0,0,COUNTA(quests!$A:$A),MATCH(E$2,quests!$1:$1,0)-MATCH($C$2,quests!$1:$1,0)+1),MATCH(E$2,quests!$1:$1,0)-MATCH($C$2,quests!$1:$1,0)+1,FALSE)</f>
        <v>ランキング8</v>
      </c>
      <c r="F1022" s="167">
        <v>1</v>
      </c>
      <c r="G1022" s="167" t="s">
        <v>382</v>
      </c>
      <c r="H1022" s="12" t="str">
        <f t="shared" ref="H1022" ca="1" si="109">D1022</f>
        <v>マリアチャレンジ</v>
      </c>
      <c r="I1022" s="23" t="s">
        <v>1090</v>
      </c>
      <c r="J1022" s="65">
        <v>1274</v>
      </c>
      <c r="K1022" s="167">
        <v>35</v>
      </c>
      <c r="L1022" s="167">
        <v>4200</v>
      </c>
      <c r="M1022" s="167">
        <v>1</v>
      </c>
      <c r="N1022" s="167">
        <v>1</v>
      </c>
      <c r="O1022" s="167">
        <v>1</v>
      </c>
      <c r="P1022" s="167">
        <v>1</v>
      </c>
      <c r="Q1022" s="167">
        <v>1</v>
      </c>
      <c r="R1022" s="167">
        <v>3</v>
      </c>
      <c r="S1022" s="167" t="s">
        <v>811</v>
      </c>
      <c r="T1022" s="167">
        <v>0</v>
      </c>
      <c r="U1022" s="167" t="s">
        <v>169</v>
      </c>
      <c r="V1022" s="167" t="s">
        <v>169</v>
      </c>
      <c r="W1022" s="200" t="str">
        <f t="shared" ca="1" si="99"/>
        <v/>
      </c>
      <c r="X1022" s="200">
        <f ca="1">VLOOKUP($C1022,OFFSET(quests!$A$1,0,0,COUNTA(quests!$A:$A),MATCH(X$2,quests!$1:$1,0)-MATCH($C$2,quests!$1:$1,0)+1),MATCH(X$2,quests!$1:$1,0)-MATCH($C$2,quests!$1:$1,0)+1,FALSE)</f>
        <v>0</v>
      </c>
      <c r="Y1022" s="200">
        <f ca="1">VLOOKUP($C1022,OFFSET(quests!$A$1,0,0,COUNTA(quests!$A:$A),MATCH(Y$2,quests!$1:$1,0)-MATCH($C$2,quests!$1:$1,0)+1),MATCH(Y$2,quests!$1:$1,0)-MATCH($C$2,quests!$1:$1,0)+1,FALSE)</f>
        <v>0</v>
      </c>
      <c r="Z1022" s="200">
        <f ca="1">VLOOKUP($C1022,OFFSET(quests!$A$1,0,0,COUNTA(quests!$A:$A),MATCH(Z$2,quests!$1:$1,0)-MATCH($C$2,quests!$1:$1,0)+1),MATCH(Z$2,quests!$1:$1,0)-MATCH($C$2,quests!$1:$1,0)+1,FALSE)</f>
        <v>0</v>
      </c>
      <c r="AA1022" s="200">
        <f ca="1">VLOOKUP($C1022,OFFSET(quests!$A$1,0,0,COUNTA(quests!$A:$A),MATCH(AA$2,quests!$1:$1,0)-MATCH($C$2,quests!$1:$1,0)+1),MATCH(AA$2,quests!$1:$1,0)-MATCH($C$2,quests!$1:$1,0)+1,FALSE)</f>
        <v>0</v>
      </c>
      <c r="AB1022" s="167" t="s">
        <v>971</v>
      </c>
      <c r="AC1022" s="167">
        <v>9</v>
      </c>
      <c r="AD1022" s="167">
        <v>6</v>
      </c>
      <c r="AE1022" s="167" t="s">
        <v>586</v>
      </c>
      <c r="AF1022" s="277">
        <v>6010</v>
      </c>
      <c r="AG1022" s="277">
        <v>1225</v>
      </c>
      <c r="AH1022" s="167">
        <v>0</v>
      </c>
      <c r="AI1022" s="167">
        <v>0</v>
      </c>
      <c r="AJ1022" s="167">
        <v>-1</v>
      </c>
      <c r="AK1022" s="7" t="s">
        <v>1064</v>
      </c>
      <c r="AL1022" s="12" t="s">
        <v>1269</v>
      </c>
      <c r="AM1022" s="12" t="s">
        <v>2072</v>
      </c>
    </row>
    <row r="1023" spans="1:39" s="89" customFormat="1" ht="21" customHeight="1" x14ac:dyDescent="0.15">
      <c r="A1023" s="42" t="str">
        <f t="shared" ref="A1023" si="110">C1023&amp;"_"&amp;F1023</f>
        <v>60026_1</v>
      </c>
      <c r="B1023" s="23">
        <v>3</v>
      </c>
      <c r="C1023" s="31">
        <v>60026</v>
      </c>
      <c r="D1023" s="200" t="str">
        <f ca="1">VLOOKUP($C1023,OFFSET(quests!$A$1,0,0,COUNTA(quests!$A:$A),MATCH(D$1,quests!$1:$1,0)-MATCH($C$2,quests!$1:$1,0)+1),MATCH(D$1,quests!$1:$1,0)-MATCH($C$2,quests!$1:$1,0)+1,FALSE)</f>
        <v>ハップルチャレンジ</v>
      </c>
      <c r="E1023" s="203" t="str">
        <f ca="1">VLOOKUP($C1023,OFFSET(quests!$A$1,0,0,COUNTA(quests!$A:$A),MATCH(E$2,quests!$1:$1,0)-MATCH($C$2,quests!$1:$1,0)+1),MATCH(E$2,quests!$1:$1,0)-MATCH($C$2,quests!$1:$1,0)+1,FALSE)</f>
        <v>ランキング9</v>
      </c>
      <c r="F1023" s="167">
        <v>1</v>
      </c>
      <c r="G1023" s="167" t="s">
        <v>382</v>
      </c>
      <c r="H1023" s="12" t="str">
        <f t="shared" ref="H1023" ca="1" si="111">D1023</f>
        <v>ハップルチャレンジ</v>
      </c>
      <c r="I1023" s="23" t="s">
        <v>1090</v>
      </c>
      <c r="J1023" s="65">
        <v>803</v>
      </c>
      <c r="K1023" s="167">
        <v>35</v>
      </c>
      <c r="L1023" s="167">
        <v>4200</v>
      </c>
      <c r="M1023" s="167">
        <v>1</v>
      </c>
      <c r="N1023" s="167">
        <v>1</v>
      </c>
      <c r="O1023" s="167">
        <v>1</v>
      </c>
      <c r="P1023" s="167">
        <v>1</v>
      </c>
      <c r="Q1023" s="167">
        <v>1</v>
      </c>
      <c r="R1023" s="167">
        <v>3</v>
      </c>
      <c r="S1023" s="167" t="s">
        <v>811</v>
      </c>
      <c r="T1023" s="167">
        <v>0</v>
      </c>
      <c r="U1023" s="167" t="s">
        <v>169</v>
      </c>
      <c r="V1023" s="167" t="s">
        <v>169</v>
      </c>
      <c r="W1023" s="200" t="str">
        <f t="shared" ca="1" si="99"/>
        <v/>
      </c>
      <c r="X1023" s="200">
        <f ca="1">VLOOKUP($C1023,OFFSET(quests!$A$1,0,0,COUNTA(quests!$A:$A),MATCH(X$2,quests!$1:$1,0)-MATCH($C$2,quests!$1:$1,0)+1),MATCH(X$2,quests!$1:$1,0)-MATCH($C$2,quests!$1:$1,0)+1,FALSE)</f>
        <v>0</v>
      </c>
      <c r="Y1023" s="200">
        <f ca="1">VLOOKUP($C1023,OFFSET(quests!$A$1,0,0,COUNTA(quests!$A:$A),MATCH(Y$2,quests!$1:$1,0)-MATCH($C$2,quests!$1:$1,0)+1),MATCH(Y$2,quests!$1:$1,0)-MATCH($C$2,quests!$1:$1,0)+1,FALSE)</f>
        <v>0</v>
      </c>
      <c r="Z1023" s="200">
        <f ca="1">VLOOKUP($C1023,OFFSET(quests!$A$1,0,0,COUNTA(quests!$A:$A),MATCH(Z$2,quests!$1:$1,0)-MATCH($C$2,quests!$1:$1,0)+1),MATCH(Z$2,quests!$1:$1,0)-MATCH($C$2,quests!$1:$1,0)+1,FALSE)</f>
        <v>0</v>
      </c>
      <c r="AA1023" s="200">
        <f ca="1">VLOOKUP($C1023,OFFSET(quests!$A$1,0,0,COUNTA(quests!$A:$A),MATCH(AA$2,quests!$1:$1,0)-MATCH($C$2,quests!$1:$1,0)+1),MATCH(AA$2,quests!$1:$1,0)-MATCH($C$2,quests!$1:$1,0)+1,FALSE)</f>
        <v>0</v>
      </c>
      <c r="AB1023" s="167" t="s">
        <v>971</v>
      </c>
      <c r="AC1023" s="167">
        <v>925</v>
      </c>
      <c r="AD1023" s="167">
        <v>6</v>
      </c>
      <c r="AE1023" s="167" t="s">
        <v>586</v>
      </c>
      <c r="AF1023" s="167">
        <v>6000</v>
      </c>
      <c r="AG1023" s="167">
        <v>40</v>
      </c>
      <c r="AH1023" s="167">
        <v>0</v>
      </c>
      <c r="AI1023" s="167">
        <v>0</v>
      </c>
      <c r="AJ1023" s="167">
        <v>-1</v>
      </c>
      <c r="AK1023" s="7" t="s">
        <v>1064</v>
      </c>
      <c r="AL1023" s="12" t="s">
        <v>1269</v>
      </c>
      <c r="AM1023" s="12" t="s">
        <v>2072</v>
      </c>
    </row>
    <row r="1024" spans="1:39" s="42" customFormat="1" ht="21" customHeight="1" x14ac:dyDescent="0.15">
      <c r="A1024" s="42" t="str">
        <f t="shared" si="106"/>
        <v>61011_1</v>
      </c>
      <c r="B1024" s="23">
        <v>1</v>
      </c>
      <c r="C1024" s="31">
        <v>61011</v>
      </c>
      <c r="D1024" s="200" t="str">
        <f ca="1">VLOOKUP($C1024,OFFSET(quests!$A$1,0,0,COUNTA(quests!$A:$A),MATCH(D$1,quests!$1:$1,0)-MATCH($C$2,quests!$1:$1,0)+1),MATCH(D$1,quests!$1:$1,0)-MATCH($C$2,quests!$1:$1,0)+1,FALSE)</f>
        <v>ユークリッドチャレンジコピー</v>
      </c>
      <c r="E1024" s="203" t="str">
        <f ca="1">VLOOKUP($C1024,OFFSET(quests!$A$1,0,0,COUNTA(quests!$A:$A),MATCH(E$2,quests!$1:$1,0)-MATCH($C$2,quests!$1:$1,0)+1),MATCH(E$2,quests!$1:$1,0)-MATCH($C$2,quests!$1:$1,0)+1,FALSE)</f>
        <v>ランキング3（ユークリッド）</v>
      </c>
      <c r="F1024" s="167">
        <v>1</v>
      </c>
      <c r="G1024" s="167" t="s">
        <v>382</v>
      </c>
      <c r="H1024" s="12" t="s">
        <v>1439</v>
      </c>
      <c r="I1024" s="23" t="s">
        <v>1090</v>
      </c>
      <c r="J1024" s="65">
        <v>690</v>
      </c>
      <c r="K1024" s="167">
        <v>35</v>
      </c>
      <c r="L1024" s="167">
        <v>4200</v>
      </c>
      <c r="M1024" s="167">
        <v>1</v>
      </c>
      <c r="N1024" s="167">
        <v>1</v>
      </c>
      <c r="O1024" s="167">
        <v>1</v>
      </c>
      <c r="P1024" s="167">
        <v>1</v>
      </c>
      <c r="Q1024" s="167">
        <v>1</v>
      </c>
      <c r="R1024" s="167">
        <v>3</v>
      </c>
      <c r="S1024" s="167" t="s">
        <v>817</v>
      </c>
      <c r="T1024" s="167">
        <v>0</v>
      </c>
      <c r="U1024" s="167" t="s">
        <v>169</v>
      </c>
      <c r="V1024" s="167" t="s">
        <v>169</v>
      </c>
      <c r="W1024" s="200" t="str">
        <f t="shared" ca="1" si="99"/>
        <v/>
      </c>
      <c r="X1024" s="200">
        <f ca="1">VLOOKUP($C1024,OFFSET(quests!$A$1,0,0,COUNTA(quests!$A:$A),MATCH(X$2,quests!$1:$1,0)-MATCH($C$2,quests!$1:$1,0)+1),MATCH(X$2,quests!$1:$1,0)-MATCH($C$2,quests!$1:$1,0)+1,FALSE)</f>
        <v>0</v>
      </c>
      <c r="Y1024" s="200">
        <f ca="1">VLOOKUP($C1024,OFFSET(quests!$A$1,0,0,COUNTA(quests!$A:$A),MATCH(Y$2,quests!$1:$1,0)-MATCH($C$2,quests!$1:$1,0)+1),MATCH(Y$2,quests!$1:$1,0)-MATCH($C$2,quests!$1:$1,0)+1,FALSE)</f>
        <v>0</v>
      </c>
      <c r="Z1024" s="200">
        <f ca="1">VLOOKUP($C1024,OFFSET(quests!$A$1,0,0,COUNTA(quests!$A:$A),MATCH(Z$2,quests!$1:$1,0)-MATCH($C$2,quests!$1:$1,0)+1),MATCH(Z$2,quests!$1:$1,0)-MATCH($C$2,quests!$1:$1,0)+1,FALSE)</f>
        <v>0</v>
      </c>
      <c r="AA1024" s="200">
        <f ca="1">VLOOKUP($C1024,OFFSET(quests!$A$1,0,0,COUNTA(quests!$A:$A),MATCH(AA$2,quests!$1:$1,0)-MATCH($C$2,quests!$1:$1,0)+1),MATCH(AA$2,quests!$1:$1,0)-MATCH($C$2,quests!$1:$1,0)+1,FALSE)</f>
        <v>0</v>
      </c>
      <c r="AB1024" s="167" t="s">
        <v>971</v>
      </c>
      <c r="AC1024" s="167">
        <v>925</v>
      </c>
      <c r="AD1024" s="167">
        <v>6</v>
      </c>
      <c r="AE1024" s="167" t="s">
        <v>586</v>
      </c>
      <c r="AF1024" s="167">
        <v>6000</v>
      </c>
      <c r="AG1024" s="167">
        <v>40</v>
      </c>
      <c r="AH1024" s="167">
        <v>0</v>
      </c>
      <c r="AI1024" s="167">
        <v>0</v>
      </c>
      <c r="AJ1024" s="167">
        <v>-1</v>
      </c>
      <c r="AK1024" s="7" t="s">
        <v>1064</v>
      </c>
      <c r="AL1024" s="12" t="s">
        <v>1695</v>
      </c>
      <c r="AM1024" s="12" t="s">
        <v>2072</v>
      </c>
    </row>
    <row r="1025" spans="1:39" s="89" customFormat="1" ht="21" customHeight="1" x14ac:dyDescent="0.15">
      <c r="A1025" s="42" t="str">
        <f t="shared" ref="A1025:A1026" si="112">C1025&amp;"_"&amp;F1025</f>
        <v>60027_1</v>
      </c>
      <c r="B1025" s="23">
        <v>3</v>
      </c>
      <c r="C1025" s="31">
        <v>60027</v>
      </c>
      <c r="D1025" s="200" t="str">
        <f ca="1">VLOOKUP($C1025,OFFSET(quests!$A$1,0,0,COUNTA(quests!$A:$A),MATCH(D$1,quests!$1:$1,0)-MATCH($C$2,quests!$1:$1,0)+1),MATCH(D$1,quests!$1:$1,0)-MATCH($C$2,quests!$1:$1,0)+1,FALSE)</f>
        <v>チューリングチャレンジ</v>
      </c>
      <c r="E1025" s="203" t="str">
        <f ca="1">VLOOKUP($C1025,OFFSET(quests!$A$1,0,0,COUNTA(quests!$A:$A),MATCH(E$2,quests!$1:$1,0)-MATCH($C$2,quests!$1:$1,0)+1),MATCH(E$2,quests!$1:$1,0)-MATCH($C$2,quests!$1:$1,0)+1,FALSE)</f>
        <v>ランキング6（再開催）</v>
      </c>
      <c r="F1025" s="167">
        <v>1</v>
      </c>
      <c r="G1025" s="167" t="s">
        <v>382</v>
      </c>
      <c r="H1025" s="12" t="str">
        <f t="shared" ref="H1025" ca="1" si="113">D1025</f>
        <v>チューリングチャレンジ</v>
      </c>
      <c r="I1025" s="23" t="s">
        <v>1090</v>
      </c>
      <c r="J1025" s="65">
        <v>799</v>
      </c>
      <c r="K1025" s="167">
        <v>35</v>
      </c>
      <c r="L1025" s="167">
        <v>4200</v>
      </c>
      <c r="M1025" s="167">
        <v>1</v>
      </c>
      <c r="N1025" s="167">
        <v>1</v>
      </c>
      <c r="O1025" s="167">
        <v>1</v>
      </c>
      <c r="P1025" s="167">
        <v>1</v>
      </c>
      <c r="Q1025" s="167">
        <v>1</v>
      </c>
      <c r="R1025" s="167">
        <v>3</v>
      </c>
      <c r="S1025" s="167" t="s">
        <v>811</v>
      </c>
      <c r="T1025" s="167">
        <v>0</v>
      </c>
      <c r="U1025" s="167" t="s">
        <v>169</v>
      </c>
      <c r="V1025" s="167" t="s">
        <v>169</v>
      </c>
      <c r="W1025" s="200" t="str">
        <f t="shared" ca="1" si="99"/>
        <v/>
      </c>
      <c r="X1025" s="200">
        <f ca="1">VLOOKUP($C1025,OFFSET(quests!$A$1,0,0,COUNTA(quests!$A:$A),MATCH(X$2,quests!$1:$1,0)-MATCH($C$2,quests!$1:$1,0)+1),MATCH(X$2,quests!$1:$1,0)-MATCH($C$2,quests!$1:$1,0)+1,FALSE)</f>
        <v>0</v>
      </c>
      <c r="Y1025" s="200">
        <f ca="1">VLOOKUP($C1025,OFFSET(quests!$A$1,0,0,COUNTA(quests!$A:$A),MATCH(Y$2,quests!$1:$1,0)-MATCH($C$2,quests!$1:$1,0)+1),MATCH(Y$2,quests!$1:$1,0)-MATCH($C$2,quests!$1:$1,0)+1,FALSE)</f>
        <v>0</v>
      </c>
      <c r="Z1025" s="200">
        <f ca="1">VLOOKUP($C1025,OFFSET(quests!$A$1,0,0,COUNTA(quests!$A:$A),MATCH(Z$2,quests!$1:$1,0)-MATCH($C$2,quests!$1:$1,0)+1),MATCH(Z$2,quests!$1:$1,0)-MATCH($C$2,quests!$1:$1,0)+1,FALSE)</f>
        <v>0</v>
      </c>
      <c r="AA1025" s="200">
        <f ca="1">VLOOKUP($C1025,OFFSET(quests!$A$1,0,0,COUNTA(quests!$A:$A),MATCH(AA$2,quests!$1:$1,0)-MATCH($C$2,quests!$1:$1,0)+1),MATCH(AA$2,quests!$1:$1,0)-MATCH($C$2,quests!$1:$1,0)+1,FALSE)</f>
        <v>0</v>
      </c>
      <c r="AB1025" s="167" t="s">
        <v>971</v>
      </c>
      <c r="AC1025" s="167">
        <v>923</v>
      </c>
      <c r="AD1025" s="167">
        <v>6</v>
      </c>
      <c r="AE1025" s="167" t="s">
        <v>586</v>
      </c>
      <c r="AF1025" s="167">
        <v>6000</v>
      </c>
      <c r="AG1025" s="167">
        <v>40</v>
      </c>
      <c r="AH1025" s="167">
        <v>0</v>
      </c>
      <c r="AI1025" s="167">
        <v>0</v>
      </c>
      <c r="AJ1025" s="167">
        <v>-1</v>
      </c>
      <c r="AK1025" s="7" t="s">
        <v>1064</v>
      </c>
      <c r="AL1025" s="12" t="s">
        <v>1269</v>
      </c>
      <c r="AM1025" s="12" t="s">
        <v>2072</v>
      </c>
    </row>
    <row r="1026" spans="1:39" s="71" customFormat="1" ht="21" customHeight="1" x14ac:dyDescent="0.15">
      <c r="A1026" s="42" t="str">
        <f t="shared" si="112"/>
        <v>60028_1</v>
      </c>
      <c r="B1026" s="23">
        <v>3</v>
      </c>
      <c r="C1026" s="31">
        <v>60028</v>
      </c>
      <c r="D1026" s="200" t="str">
        <f ca="1">VLOOKUP($C1026,OFFSET(quests!$A$1,0,0,COUNTA(quests!$A:$A),MATCH(D$1,quests!$1:$1,0)-MATCH($C$2,quests!$1:$1,0)+1),MATCH(D$1,quests!$1:$1,0)-MATCH($C$2,quests!$1:$1,0)+1,FALSE)</f>
        <v xml:space="preserve">クロネッカーチャレンジ </v>
      </c>
      <c r="E1026" s="203" t="str">
        <f ca="1">VLOOKUP($C1026,OFFSET(quests!$A$1,0,0,COUNTA(quests!$A:$A),MATCH(E$2,quests!$1:$1,0)-MATCH($C$2,quests!$1:$1,0)+1),MATCH(E$2,quests!$1:$1,0)-MATCH($C$2,quests!$1:$1,0)+1,FALSE)</f>
        <v>ランキング4（再開催）</v>
      </c>
      <c r="F1026" s="167">
        <v>1</v>
      </c>
      <c r="G1026" s="167" t="s">
        <v>382</v>
      </c>
      <c r="H1026" s="12" t="s">
        <v>1544</v>
      </c>
      <c r="I1026" s="23" t="s">
        <v>1090</v>
      </c>
      <c r="J1026" s="65">
        <v>761</v>
      </c>
      <c r="K1026" s="167">
        <v>35</v>
      </c>
      <c r="L1026" s="167">
        <v>4200</v>
      </c>
      <c r="M1026" s="167">
        <v>1</v>
      </c>
      <c r="N1026" s="167">
        <v>1</v>
      </c>
      <c r="O1026" s="167">
        <v>1</v>
      </c>
      <c r="P1026" s="167">
        <v>1</v>
      </c>
      <c r="Q1026" s="167">
        <v>1</v>
      </c>
      <c r="R1026" s="167">
        <v>3</v>
      </c>
      <c r="S1026" s="167" t="s">
        <v>811</v>
      </c>
      <c r="T1026" s="167">
        <v>0</v>
      </c>
      <c r="U1026" s="167" t="s">
        <v>169</v>
      </c>
      <c r="V1026" s="167" t="s">
        <v>1128</v>
      </c>
      <c r="W1026" s="200" t="str">
        <f t="shared" ca="1" si="99"/>
        <v/>
      </c>
      <c r="X1026" s="200">
        <f ca="1">VLOOKUP($C1026,OFFSET(quests!$A$1,0,0,COUNTA(quests!$A:$A),MATCH(X$2,quests!$1:$1,0)-MATCH($C$2,quests!$1:$1,0)+1),MATCH(X$2,quests!$1:$1,0)-MATCH($C$2,quests!$1:$1,0)+1,FALSE)</f>
        <v>0</v>
      </c>
      <c r="Y1026" s="200">
        <f ca="1">VLOOKUP($C1026,OFFSET(quests!$A$1,0,0,COUNTA(quests!$A:$A),MATCH(Y$2,quests!$1:$1,0)-MATCH($C$2,quests!$1:$1,0)+1),MATCH(Y$2,quests!$1:$1,0)-MATCH($C$2,quests!$1:$1,0)+1,FALSE)</f>
        <v>0</v>
      </c>
      <c r="Z1026" s="200">
        <f ca="1">VLOOKUP($C1026,OFFSET(quests!$A$1,0,0,COUNTA(quests!$A:$A),MATCH(Z$2,quests!$1:$1,0)-MATCH($C$2,quests!$1:$1,0)+1),MATCH(Z$2,quests!$1:$1,0)-MATCH($C$2,quests!$1:$1,0)+1,FALSE)</f>
        <v>0</v>
      </c>
      <c r="AA1026" s="200">
        <f ca="1">VLOOKUP($C1026,OFFSET(quests!$A$1,0,0,COUNTA(quests!$A:$A),MATCH(AA$2,quests!$1:$1,0)-MATCH($C$2,quests!$1:$1,0)+1),MATCH(AA$2,quests!$1:$1,0)-MATCH($C$2,quests!$1:$1,0)+1,FALSE)</f>
        <v>0</v>
      </c>
      <c r="AB1026" s="167" t="s">
        <v>56</v>
      </c>
      <c r="AC1026" s="167">
        <v>925</v>
      </c>
      <c r="AD1026" s="167">
        <v>6</v>
      </c>
      <c r="AE1026" s="167" t="s">
        <v>522</v>
      </c>
      <c r="AF1026" s="167">
        <v>6000</v>
      </c>
      <c r="AG1026" s="167">
        <v>40</v>
      </c>
      <c r="AH1026" s="167">
        <v>0</v>
      </c>
      <c r="AI1026" s="167">
        <v>0</v>
      </c>
      <c r="AJ1026" s="167">
        <v>-1</v>
      </c>
      <c r="AK1026" s="7" t="s">
        <v>1064</v>
      </c>
      <c r="AL1026" s="12" t="s">
        <v>1695</v>
      </c>
      <c r="AM1026" s="12" t="s">
        <v>2072</v>
      </c>
    </row>
    <row r="1027" spans="1:39" s="71" customFormat="1" ht="21" customHeight="1" x14ac:dyDescent="0.15">
      <c r="A1027" s="42" t="str">
        <f t="shared" ref="A1027:A1038" si="114">C1027&amp;"_"&amp;F1027</f>
        <v>60029_1</v>
      </c>
      <c r="B1027" s="23">
        <v>3</v>
      </c>
      <c r="C1027" s="31">
        <v>60029</v>
      </c>
      <c r="D1027" s="200" t="str">
        <f ca="1">VLOOKUP($C1027,OFFSET(quests!$A$1,0,0,COUNTA(quests!$A:$A),MATCH(D$1,quests!$1:$1,0)-MATCH($C$2,quests!$1:$1,0)+1),MATCH(D$1,quests!$1:$1,0)-MATCH($C$2,quests!$1:$1,0)+1,FALSE)</f>
        <v xml:space="preserve">オイラーチャレンジ </v>
      </c>
      <c r="E1027" s="203" t="str">
        <f ca="1">VLOOKUP($C1027,OFFSET(quests!$A$1,0,0,COUNTA(quests!$A:$A),MATCH(E$2,quests!$1:$1,0)-MATCH($C$2,quests!$1:$1,0)+1),MATCH(E$2,quests!$1:$1,0)-MATCH($C$2,quests!$1:$1,0)+1,FALSE)</f>
        <v>ランキング1（3回目）</v>
      </c>
      <c r="F1027" s="167">
        <v>1</v>
      </c>
      <c r="G1027" s="167" t="s">
        <v>382</v>
      </c>
      <c r="H1027" s="12" t="s">
        <v>2237</v>
      </c>
      <c r="I1027" s="23" t="s">
        <v>1090</v>
      </c>
      <c r="J1027" s="65">
        <v>798</v>
      </c>
      <c r="K1027" s="167">
        <v>35</v>
      </c>
      <c r="L1027" s="185">
        <v>4200</v>
      </c>
      <c r="M1027" s="167">
        <v>1</v>
      </c>
      <c r="N1027" s="167">
        <v>1</v>
      </c>
      <c r="O1027" s="167">
        <v>1</v>
      </c>
      <c r="P1027" s="167">
        <v>1</v>
      </c>
      <c r="Q1027" s="167">
        <v>1</v>
      </c>
      <c r="R1027" s="167">
        <v>3</v>
      </c>
      <c r="S1027" s="167" t="s">
        <v>811</v>
      </c>
      <c r="T1027" s="167">
        <v>0</v>
      </c>
      <c r="U1027" s="167" t="s">
        <v>178</v>
      </c>
      <c r="V1027" s="167" t="s">
        <v>178</v>
      </c>
      <c r="W1027" s="200" t="str">
        <f t="shared" ca="1" si="99"/>
        <v/>
      </c>
      <c r="X1027" s="200">
        <f ca="1">VLOOKUP($C1027,OFFSET(quests!$A$1,0,0,COUNTA(quests!$A:$A),MATCH(X$2,quests!$1:$1,0)-MATCH($C$2,quests!$1:$1,0)+1),MATCH(X$2,quests!$1:$1,0)-MATCH($C$2,quests!$1:$1,0)+1,FALSE)</f>
        <v>0</v>
      </c>
      <c r="Y1027" s="200">
        <f ca="1">VLOOKUP($C1027,OFFSET(quests!$A$1,0,0,COUNTA(quests!$A:$A),MATCH(Y$2,quests!$1:$1,0)-MATCH($C$2,quests!$1:$1,0)+1),MATCH(Y$2,quests!$1:$1,0)-MATCH($C$2,quests!$1:$1,0)+1,FALSE)</f>
        <v>0</v>
      </c>
      <c r="Z1027" s="200">
        <f ca="1">VLOOKUP($C1027,OFFSET(quests!$A$1,0,0,COUNTA(quests!$A:$A),MATCH(Z$2,quests!$1:$1,0)-MATCH($C$2,quests!$1:$1,0)+1),MATCH(Z$2,quests!$1:$1,0)-MATCH($C$2,quests!$1:$1,0)+1,FALSE)</f>
        <v>0</v>
      </c>
      <c r="AA1027" s="200">
        <f ca="1">VLOOKUP($C1027,OFFSET(quests!$A$1,0,0,COUNTA(quests!$A:$A),MATCH(AA$2,quests!$1:$1,0)-MATCH($C$2,quests!$1:$1,0)+1),MATCH(AA$2,quests!$1:$1,0)-MATCH($C$2,quests!$1:$1,0)+1,FALSE)</f>
        <v>0</v>
      </c>
      <c r="AB1027" s="167" t="s">
        <v>56</v>
      </c>
      <c r="AC1027" s="167">
        <v>923</v>
      </c>
      <c r="AD1027" s="167">
        <v>6</v>
      </c>
      <c r="AE1027" s="167" t="s">
        <v>522</v>
      </c>
      <c r="AF1027" s="167">
        <v>6000</v>
      </c>
      <c r="AG1027" s="167">
        <v>40</v>
      </c>
      <c r="AH1027" s="167">
        <v>0</v>
      </c>
      <c r="AI1027" s="167">
        <v>0</v>
      </c>
      <c r="AJ1027" s="167">
        <v>-1</v>
      </c>
      <c r="AK1027" s="7" t="s">
        <v>1064</v>
      </c>
      <c r="AL1027" s="12" t="s">
        <v>1388</v>
      </c>
      <c r="AM1027" s="12" t="s">
        <v>2072</v>
      </c>
    </row>
    <row r="1028" spans="1:39" s="71" customFormat="1" ht="21" customHeight="1" x14ac:dyDescent="0.15">
      <c r="A1028" s="42" t="str">
        <f t="shared" ref="A1028:A1029" si="115">C1028&amp;"_"&amp;F1028</f>
        <v>60030_1</v>
      </c>
      <c r="B1028" s="23">
        <v>3</v>
      </c>
      <c r="C1028" s="31">
        <v>60030</v>
      </c>
      <c r="D1028" s="200" t="str">
        <f ca="1">VLOOKUP($C1028,OFFSET(quests!$A$1,0,0,COUNTA(quests!$A:$A),MATCH(D$1,quests!$1:$1,0)-MATCH($C$2,quests!$1:$1,0)+1),MATCH(D$1,quests!$1:$1,0)-MATCH($C$2,quests!$1:$1,0)+1,FALSE)</f>
        <v xml:space="preserve">フロイトチャレンジ </v>
      </c>
      <c r="E1028" s="203" t="str">
        <f ca="1">VLOOKUP($C1028,OFFSET(quests!$A$1,0,0,COUNTA(quests!$A:$A),MATCH(E$2,quests!$1:$1,0)-MATCH($C$2,quests!$1:$1,0)+1),MATCH(E$2,quests!$1:$1,0)-MATCH($C$2,quests!$1:$1,0)+1,FALSE)</f>
        <v>ランキング10</v>
      </c>
      <c r="F1028" s="167">
        <v>1</v>
      </c>
      <c r="G1028" s="167" t="s">
        <v>382</v>
      </c>
      <c r="H1028" s="12" t="s">
        <v>2300</v>
      </c>
      <c r="I1028" s="23" t="s">
        <v>1090</v>
      </c>
      <c r="J1028" s="65">
        <v>871</v>
      </c>
      <c r="K1028" s="167">
        <v>35</v>
      </c>
      <c r="L1028" s="185">
        <v>4200</v>
      </c>
      <c r="M1028" s="167">
        <v>1</v>
      </c>
      <c r="N1028" s="167">
        <v>1</v>
      </c>
      <c r="O1028" s="167">
        <v>1</v>
      </c>
      <c r="P1028" s="167">
        <v>1</v>
      </c>
      <c r="Q1028" s="96">
        <v>0</v>
      </c>
      <c r="R1028" s="167">
        <v>3</v>
      </c>
      <c r="S1028" s="167" t="s">
        <v>811</v>
      </c>
      <c r="T1028" s="167">
        <v>0</v>
      </c>
      <c r="U1028" s="167" t="s">
        <v>178</v>
      </c>
      <c r="V1028" s="167" t="s">
        <v>178</v>
      </c>
      <c r="W1028" s="200" t="str">
        <f t="shared" ca="1" si="99"/>
        <v/>
      </c>
      <c r="X1028" s="200">
        <f ca="1">VLOOKUP($C1028,OFFSET(quests!$A$1,0,0,COUNTA(quests!$A:$A),MATCH(X$2,quests!$1:$1,0)-MATCH($C$2,quests!$1:$1,0)+1),MATCH(X$2,quests!$1:$1,0)-MATCH($C$2,quests!$1:$1,0)+1,FALSE)</f>
        <v>0</v>
      </c>
      <c r="Y1028" s="200">
        <f ca="1">VLOOKUP($C1028,OFFSET(quests!$A$1,0,0,COUNTA(quests!$A:$A),MATCH(Y$2,quests!$1:$1,0)-MATCH($C$2,quests!$1:$1,0)+1),MATCH(Y$2,quests!$1:$1,0)-MATCH($C$2,quests!$1:$1,0)+1,FALSE)</f>
        <v>0</v>
      </c>
      <c r="Z1028" s="200">
        <f ca="1">VLOOKUP($C1028,OFFSET(quests!$A$1,0,0,COUNTA(quests!$A:$A),MATCH(Z$2,quests!$1:$1,0)-MATCH($C$2,quests!$1:$1,0)+1),MATCH(Z$2,quests!$1:$1,0)-MATCH($C$2,quests!$1:$1,0)+1,FALSE)</f>
        <v>0</v>
      </c>
      <c r="AA1028" s="200">
        <f ca="1">VLOOKUP($C1028,OFFSET(quests!$A$1,0,0,COUNTA(quests!$A:$A),MATCH(AA$2,quests!$1:$1,0)-MATCH($C$2,quests!$1:$1,0)+1),MATCH(AA$2,quests!$1:$1,0)-MATCH($C$2,quests!$1:$1,0)+1,FALSE)</f>
        <v>0</v>
      </c>
      <c r="AB1028" s="167" t="s">
        <v>56</v>
      </c>
      <c r="AC1028" s="167">
        <v>922</v>
      </c>
      <c r="AD1028" s="167">
        <v>6</v>
      </c>
      <c r="AE1028" s="167" t="s">
        <v>522</v>
      </c>
      <c r="AF1028" s="167">
        <v>6000</v>
      </c>
      <c r="AG1028" s="167">
        <v>40</v>
      </c>
      <c r="AH1028" s="167">
        <v>0</v>
      </c>
      <c r="AI1028" s="167">
        <v>0</v>
      </c>
      <c r="AJ1028" s="167">
        <v>-1</v>
      </c>
      <c r="AK1028" s="7" t="s">
        <v>1064</v>
      </c>
      <c r="AL1028" s="12" t="s">
        <v>1388</v>
      </c>
      <c r="AM1028" s="12" t="s">
        <v>2072</v>
      </c>
    </row>
    <row r="1029" spans="1:39" s="89" customFormat="1" ht="21" customHeight="1" x14ac:dyDescent="0.15">
      <c r="A1029" s="42" t="str">
        <f t="shared" si="115"/>
        <v>60031_1</v>
      </c>
      <c r="B1029" s="23">
        <v>3</v>
      </c>
      <c r="C1029" s="31">
        <v>60031</v>
      </c>
      <c r="D1029" s="200" t="str">
        <f ca="1">VLOOKUP($C1029,OFFSET(quests!$A$1,0,0,COUNTA(quests!$A:$A),MATCH(D$1,quests!$1:$1,0)-MATCH($C$2,quests!$1:$1,0)+1),MATCH(D$1,quests!$1:$1,0)-MATCH($C$2,quests!$1:$1,0)+1,FALSE)</f>
        <v xml:space="preserve">ヘンペルチャレンジ </v>
      </c>
      <c r="E1029" s="203" t="str">
        <f ca="1">VLOOKUP($C1029,OFFSET(quests!$A$1,0,0,COUNTA(quests!$A:$A),MATCH(E$2,quests!$1:$1,0)-MATCH($C$2,quests!$1:$1,0)+1),MATCH(E$2,quests!$1:$1,0)-MATCH($C$2,quests!$1:$1,0)+1,FALSE)</f>
        <v>ランキング7（再開催）</v>
      </c>
      <c r="F1029" s="167">
        <v>1</v>
      </c>
      <c r="G1029" s="167" t="s">
        <v>382</v>
      </c>
      <c r="H1029" s="12" t="str">
        <f t="shared" ref="H1029" ca="1" si="116">D1029</f>
        <v xml:space="preserve">ヘンペルチャレンジ </v>
      </c>
      <c r="I1029" s="23" t="s">
        <v>1090</v>
      </c>
      <c r="J1029" s="65">
        <v>800</v>
      </c>
      <c r="K1029" s="167">
        <v>35</v>
      </c>
      <c r="L1029" s="167">
        <v>4200</v>
      </c>
      <c r="M1029" s="167">
        <v>1</v>
      </c>
      <c r="N1029" s="167">
        <v>1</v>
      </c>
      <c r="O1029" s="167">
        <v>1</v>
      </c>
      <c r="P1029" s="167">
        <v>1</v>
      </c>
      <c r="Q1029" s="167">
        <v>1</v>
      </c>
      <c r="R1029" s="167">
        <v>3</v>
      </c>
      <c r="S1029" s="167" t="s">
        <v>811</v>
      </c>
      <c r="T1029" s="167">
        <v>0</v>
      </c>
      <c r="U1029" s="167" t="s">
        <v>169</v>
      </c>
      <c r="V1029" s="167" t="s">
        <v>169</v>
      </c>
      <c r="W1029" s="200" t="str">
        <f t="shared" ca="1" si="99"/>
        <v/>
      </c>
      <c r="X1029" s="200">
        <f ca="1">VLOOKUP($C1029,OFFSET(quests!$A$1,0,0,COUNTA(quests!$A:$A),MATCH(X$2,quests!$1:$1,0)-MATCH($C$2,quests!$1:$1,0)+1),MATCH(X$2,quests!$1:$1,0)-MATCH($C$2,quests!$1:$1,0)+1,FALSE)</f>
        <v>0</v>
      </c>
      <c r="Y1029" s="200">
        <f ca="1">VLOOKUP($C1029,OFFSET(quests!$A$1,0,0,COUNTA(quests!$A:$A),MATCH(Y$2,quests!$1:$1,0)-MATCH($C$2,quests!$1:$1,0)+1),MATCH(Y$2,quests!$1:$1,0)-MATCH($C$2,quests!$1:$1,0)+1,FALSE)</f>
        <v>0</v>
      </c>
      <c r="Z1029" s="200">
        <f ca="1">VLOOKUP($C1029,OFFSET(quests!$A$1,0,0,COUNTA(quests!$A:$A),MATCH(Z$2,quests!$1:$1,0)-MATCH($C$2,quests!$1:$1,0)+1),MATCH(Z$2,quests!$1:$1,0)-MATCH($C$2,quests!$1:$1,0)+1,FALSE)</f>
        <v>0</v>
      </c>
      <c r="AA1029" s="200">
        <f ca="1">VLOOKUP($C1029,OFFSET(quests!$A$1,0,0,COUNTA(quests!$A:$A),MATCH(AA$2,quests!$1:$1,0)-MATCH($C$2,quests!$1:$1,0)+1),MATCH(AA$2,quests!$1:$1,0)-MATCH($C$2,quests!$1:$1,0)+1,FALSE)</f>
        <v>0</v>
      </c>
      <c r="AB1029" s="167" t="s">
        <v>971</v>
      </c>
      <c r="AC1029" s="167">
        <v>924</v>
      </c>
      <c r="AD1029" s="167">
        <v>6</v>
      </c>
      <c r="AE1029" s="167" t="s">
        <v>586</v>
      </c>
      <c r="AF1029" s="167">
        <v>6000</v>
      </c>
      <c r="AG1029" s="167">
        <v>40</v>
      </c>
      <c r="AH1029" s="167">
        <v>0</v>
      </c>
      <c r="AI1029" s="167">
        <v>0</v>
      </c>
      <c r="AJ1029" s="167">
        <v>-1</v>
      </c>
      <c r="AK1029" s="7" t="s">
        <v>1064</v>
      </c>
      <c r="AL1029" s="12" t="s">
        <v>1269</v>
      </c>
      <c r="AM1029" s="12" t="s">
        <v>2072</v>
      </c>
    </row>
    <row r="1030" spans="1:39" s="89" customFormat="1" ht="21" customHeight="1" x14ac:dyDescent="0.15">
      <c r="A1030" s="42" t="str">
        <f t="shared" ref="A1030:A1031" si="117">C1030&amp;"_"&amp;F1030</f>
        <v>60032_1</v>
      </c>
      <c r="B1030" s="23">
        <v>3</v>
      </c>
      <c r="C1030" s="31">
        <v>60032</v>
      </c>
      <c r="D1030" s="200" t="str">
        <f ca="1">VLOOKUP($C1030,OFFSET(quests!$A$1,0,0,COUNTA(quests!$A:$A),MATCH(D$1,quests!$1:$1,0)-MATCH($C$2,quests!$1:$1,0)+1),MATCH(D$1,quests!$1:$1,0)-MATCH($C$2,quests!$1:$1,0)+1,FALSE)</f>
        <v xml:space="preserve">ラグランジュチャレンジ </v>
      </c>
      <c r="E1030" s="203" t="str">
        <f ca="1">VLOOKUP($C1030,OFFSET(quests!$A$1,0,0,COUNTA(quests!$A:$A),MATCH(E$2,quests!$1:$1,0)-MATCH($C$2,quests!$1:$1,0)+1),MATCH(E$2,quests!$1:$1,0)-MATCH($C$2,quests!$1:$1,0)+1,FALSE)</f>
        <v>ランキング2（再開催）</v>
      </c>
      <c r="F1030" s="167">
        <v>1</v>
      </c>
      <c r="G1030" s="167" t="s">
        <v>382</v>
      </c>
      <c r="H1030" s="12" t="str">
        <f t="shared" ref="H1030" ca="1" si="118">D1030</f>
        <v xml:space="preserve">ラグランジュチャレンジ </v>
      </c>
      <c r="I1030" s="23" t="s">
        <v>1090</v>
      </c>
      <c r="J1030" s="65">
        <v>796</v>
      </c>
      <c r="K1030" s="167">
        <v>35</v>
      </c>
      <c r="L1030" s="167">
        <v>4200</v>
      </c>
      <c r="M1030" s="167">
        <v>1</v>
      </c>
      <c r="N1030" s="167">
        <v>1</v>
      </c>
      <c r="O1030" s="167">
        <v>1</v>
      </c>
      <c r="P1030" s="167">
        <v>1</v>
      </c>
      <c r="Q1030" s="167">
        <v>1</v>
      </c>
      <c r="R1030" s="167">
        <v>3</v>
      </c>
      <c r="S1030" s="167" t="s">
        <v>811</v>
      </c>
      <c r="T1030" s="167">
        <v>0</v>
      </c>
      <c r="U1030" s="167" t="s">
        <v>169</v>
      </c>
      <c r="V1030" s="167" t="s">
        <v>169</v>
      </c>
      <c r="W1030" s="200" t="str">
        <f t="shared" ca="1" si="99"/>
        <v/>
      </c>
      <c r="X1030" s="200">
        <f ca="1">VLOOKUP($C1030,OFFSET(quests!$A$1,0,0,COUNTA(quests!$A:$A),MATCH(X$2,quests!$1:$1,0)-MATCH($C$2,quests!$1:$1,0)+1),MATCH(X$2,quests!$1:$1,0)-MATCH($C$2,quests!$1:$1,0)+1,FALSE)</f>
        <v>0</v>
      </c>
      <c r="Y1030" s="200">
        <f ca="1">VLOOKUP($C1030,OFFSET(quests!$A$1,0,0,COUNTA(quests!$A:$A),MATCH(Y$2,quests!$1:$1,0)-MATCH($C$2,quests!$1:$1,0)+1),MATCH(Y$2,quests!$1:$1,0)-MATCH($C$2,quests!$1:$1,0)+1,FALSE)</f>
        <v>0</v>
      </c>
      <c r="Z1030" s="200">
        <f ca="1">VLOOKUP($C1030,OFFSET(quests!$A$1,0,0,COUNTA(quests!$A:$A),MATCH(Z$2,quests!$1:$1,0)-MATCH($C$2,quests!$1:$1,0)+1),MATCH(Z$2,quests!$1:$1,0)-MATCH($C$2,quests!$1:$1,0)+1,FALSE)</f>
        <v>0</v>
      </c>
      <c r="AA1030" s="200">
        <f ca="1">VLOOKUP($C1030,OFFSET(quests!$A$1,0,0,COUNTA(quests!$A:$A),MATCH(AA$2,quests!$1:$1,0)-MATCH($C$2,quests!$1:$1,0)+1),MATCH(AA$2,quests!$1:$1,0)-MATCH($C$2,quests!$1:$1,0)+1,FALSE)</f>
        <v>0</v>
      </c>
      <c r="AB1030" s="167" t="s">
        <v>971</v>
      </c>
      <c r="AC1030" s="167">
        <v>922</v>
      </c>
      <c r="AD1030" s="167">
        <v>6</v>
      </c>
      <c r="AE1030" s="167" t="s">
        <v>586</v>
      </c>
      <c r="AF1030" s="167">
        <v>6000</v>
      </c>
      <c r="AG1030" s="167">
        <v>40</v>
      </c>
      <c r="AH1030" s="167">
        <v>0</v>
      </c>
      <c r="AI1030" s="167">
        <v>0</v>
      </c>
      <c r="AJ1030" s="167">
        <v>-1</v>
      </c>
      <c r="AK1030" s="7" t="s">
        <v>1064</v>
      </c>
      <c r="AL1030" s="12" t="s">
        <v>1269</v>
      </c>
      <c r="AM1030" s="12" t="s">
        <v>2072</v>
      </c>
    </row>
    <row r="1031" spans="1:39" s="183" customFormat="1" ht="21" customHeight="1" x14ac:dyDescent="0.15">
      <c r="A1031" s="42" t="str">
        <f t="shared" si="117"/>
        <v>61001_1</v>
      </c>
      <c r="B1031" s="23">
        <v>1</v>
      </c>
      <c r="C1031" s="31">
        <v>61001</v>
      </c>
      <c r="D1031" s="47" t="str">
        <f ca="1">VLOOKUP($C1031,OFFSET(quests!$A$1,0,0,COUNTA(quests!$A:$A),MATCH(D$1,quests!$1:$1,0)-MATCH($C$2,quests!$1:$1,0)+1),MATCH(D$1,quests!$1:$1,0)-MATCH($C$2,quests!$1:$1,0)+1,FALSE)</f>
        <v>団結クエスト</v>
      </c>
      <c r="E1031" s="48" t="str">
        <f ca="1">VLOOKUP($C1031,OFFSET(quests!$A$1,0,0,COUNTA(quests!$A:$A),MATCH(E$2,quests!$1:$1,0)-MATCH($C$2,quests!$1:$1,0)+1),MATCH(E$2,quests!$1:$1,0)-MATCH($C$2,quests!$1:$1,0)+1,FALSE)</f>
        <v>団結クエスト1</v>
      </c>
      <c r="F1031" s="7">
        <v>1</v>
      </c>
      <c r="G1031" s="7" t="s">
        <v>568</v>
      </c>
      <c r="H1031" s="12" t="s">
        <v>2404</v>
      </c>
      <c r="I1031" s="12" t="s">
        <v>583</v>
      </c>
      <c r="J1031" s="65">
        <v>0</v>
      </c>
      <c r="K1031" s="167">
        <v>40</v>
      </c>
      <c r="L1031" s="167">
        <v>5200</v>
      </c>
      <c r="M1031" s="167">
        <v>1</v>
      </c>
      <c r="N1031" s="167">
        <v>1</v>
      </c>
      <c r="O1031" s="167">
        <v>1</v>
      </c>
      <c r="P1031" s="167">
        <v>1</v>
      </c>
      <c r="Q1031" s="167">
        <v>1</v>
      </c>
      <c r="R1031" s="167">
        <v>3</v>
      </c>
      <c r="S1031" s="167" t="s">
        <v>273</v>
      </c>
      <c r="T1031" s="167">
        <v>0</v>
      </c>
      <c r="U1031" s="7" t="s">
        <v>169</v>
      </c>
      <c r="V1031" s="7" t="s">
        <v>169</v>
      </c>
      <c r="W1031" s="47" t="str">
        <f t="shared" ca="1" si="99"/>
        <v/>
      </c>
      <c r="X1031" s="47">
        <f ca="1">VLOOKUP($C1031,OFFSET(quests!$A$1,0,0,COUNTA(quests!$A:$A),MATCH(X$2,quests!$1:$1,0)-MATCH($C$2,quests!$1:$1,0)+1),MATCH(X$2,quests!$1:$1,0)-MATCH($C$2,quests!$1:$1,0)+1,FALSE)</f>
        <v>0</v>
      </c>
      <c r="Y1031" s="47">
        <f ca="1">VLOOKUP($C1031,OFFSET(quests!$A$1,0,0,COUNTA(quests!$A:$A),MATCH(Y$2,quests!$1:$1,0)-MATCH($C$2,quests!$1:$1,0)+1),MATCH(Y$2,quests!$1:$1,0)-MATCH($C$2,quests!$1:$1,0)+1,FALSE)</f>
        <v>0</v>
      </c>
      <c r="Z1031" s="47">
        <f ca="1">VLOOKUP($C1031,OFFSET(quests!$A$1,0,0,COUNTA(quests!$A:$A),MATCH(Z$2,quests!$1:$1,0)-MATCH($C$2,quests!$1:$1,0)+1),MATCH(Z$2,quests!$1:$1,0)-MATCH($C$2,quests!$1:$1,0)+1,FALSE)</f>
        <v>0</v>
      </c>
      <c r="AA1031" s="47">
        <f ca="1">VLOOKUP($C1031,OFFSET(quests!$A$1,0,0,COUNTA(quests!$A:$A),MATCH(AA$2,quests!$1:$1,0)-MATCH($C$2,quests!$1:$1,0)+1),MATCH(AA$2,quests!$1:$1,0)-MATCH($C$2,quests!$1:$1,0)+1,FALSE)</f>
        <v>0</v>
      </c>
      <c r="AB1031" s="7" t="s">
        <v>56</v>
      </c>
      <c r="AC1031" s="167">
        <v>974</v>
      </c>
      <c r="AD1031" s="7">
        <v>6</v>
      </c>
      <c r="AE1031" s="7" t="s">
        <v>519</v>
      </c>
      <c r="AF1031" s="7">
        <v>5000</v>
      </c>
      <c r="AG1031" s="7">
        <v>5000</v>
      </c>
      <c r="AH1031" s="7">
        <v>0</v>
      </c>
      <c r="AI1031" s="7">
        <v>0</v>
      </c>
      <c r="AJ1031" s="7">
        <v>-1</v>
      </c>
      <c r="AK1031" s="7" t="s">
        <v>1065</v>
      </c>
      <c r="AL1031" s="12" t="s">
        <v>1269</v>
      </c>
      <c r="AM1031" s="12" t="s">
        <v>2072</v>
      </c>
    </row>
    <row r="1032" spans="1:39" s="183" customFormat="1" ht="21" customHeight="1" x14ac:dyDescent="0.15">
      <c r="A1032" s="42" t="str">
        <f t="shared" ref="A1032:A1033" si="119">C1032&amp;"_"&amp;F1032</f>
        <v>61001_2</v>
      </c>
      <c r="B1032" s="23">
        <v>1</v>
      </c>
      <c r="C1032" s="31">
        <v>61001</v>
      </c>
      <c r="D1032" s="47" t="str">
        <f ca="1">VLOOKUP($C1032,OFFSET(quests!$A$1,0,0,COUNTA(quests!$A:$A),MATCH(D$1,quests!$1:$1,0)-MATCH($C$2,quests!$1:$1,0)+1),MATCH(D$1,quests!$1:$1,0)-MATCH($C$2,quests!$1:$1,0)+1,FALSE)</f>
        <v>団結クエスト</v>
      </c>
      <c r="E1032" s="48" t="str">
        <f ca="1">VLOOKUP($C1032,OFFSET(quests!$A$1,0,0,COUNTA(quests!$A:$A),MATCH(E$2,quests!$1:$1,0)-MATCH($C$2,quests!$1:$1,0)+1),MATCH(E$2,quests!$1:$1,0)-MATCH($C$2,quests!$1:$1,0)+1,FALSE)</f>
        <v>団結クエスト1</v>
      </c>
      <c r="F1032" s="7">
        <v>2</v>
      </c>
      <c r="G1032" s="7" t="s">
        <v>568</v>
      </c>
      <c r="H1032" s="12" t="s">
        <v>2405</v>
      </c>
      <c r="I1032" s="12" t="s">
        <v>583</v>
      </c>
      <c r="J1032" s="65">
        <v>0</v>
      </c>
      <c r="K1032" s="167">
        <v>40</v>
      </c>
      <c r="L1032" s="167">
        <v>5200</v>
      </c>
      <c r="M1032" s="167">
        <v>1</v>
      </c>
      <c r="N1032" s="167">
        <v>1</v>
      </c>
      <c r="O1032" s="167">
        <v>1</v>
      </c>
      <c r="P1032" s="167">
        <v>1</v>
      </c>
      <c r="Q1032" s="167">
        <v>1</v>
      </c>
      <c r="R1032" s="167">
        <v>3</v>
      </c>
      <c r="S1032" s="167" t="s">
        <v>273</v>
      </c>
      <c r="T1032" s="167">
        <v>0</v>
      </c>
      <c r="U1032" s="7" t="s">
        <v>169</v>
      </c>
      <c r="V1032" s="7" t="s">
        <v>169</v>
      </c>
      <c r="W1032" s="47" t="str">
        <f t="shared" ca="1" si="99"/>
        <v/>
      </c>
      <c r="X1032" s="47">
        <f ca="1">VLOOKUP($C1032,OFFSET(quests!$A$1,0,0,COUNTA(quests!$A:$A),MATCH(X$2,quests!$1:$1,0)-MATCH($C$2,quests!$1:$1,0)+1),MATCH(X$2,quests!$1:$1,0)-MATCH($C$2,quests!$1:$1,0)+1,FALSE)</f>
        <v>0</v>
      </c>
      <c r="Y1032" s="47">
        <f ca="1">VLOOKUP($C1032,OFFSET(quests!$A$1,0,0,COUNTA(quests!$A:$A),MATCH(Y$2,quests!$1:$1,0)-MATCH($C$2,quests!$1:$1,0)+1),MATCH(Y$2,quests!$1:$1,0)-MATCH($C$2,quests!$1:$1,0)+1,FALSE)</f>
        <v>0</v>
      </c>
      <c r="Z1032" s="47">
        <f ca="1">VLOOKUP($C1032,OFFSET(quests!$A$1,0,0,COUNTA(quests!$A:$A),MATCH(Z$2,quests!$1:$1,0)-MATCH($C$2,quests!$1:$1,0)+1),MATCH(Z$2,quests!$1:$1,0)-MATCH($C$2,quests!$1:$1,0)+1,FALSE)</f>
        <v>0</v>
      </c>
      <c r="AA1032" s="47">
        <f ca="1">VLOOKUP($C1032,OFFSET(quests!$A$1,0,0,COUNTA(quests!$A:$A),MATCH(AA$2,quests!$1:$1,0)-MATCH($C$2,quests!$1:$1,0)+1),MATCH(AA$2,quests!$1:$1,0)-MATCH($C$2,quests!$1:$1,0)+1,FALSE)</f>
        <v>0</v>
      </c>
      <c r="AB1032" s="7" t="s">
        <v>56</v>
      </c>
      <c r="AC1032" s="167">
        <v>974</v>
      </c>
      <c r="AD1032" s="7">
        <v>6</v>
      </c>
      <c r="AE1032" s="7" t="s">
        <v>519</v>
      </c>
      <c r="AF1032" s="7">
        <v>5000</v>
      </c>
      <c r="AG1032" s="7">
        <v>5000</v>
      </c>
      <c r="AH1032" s="7">
        <v>0</v>
      </c>
      <c r="AI1032" s="7">
        <v>0</v>
      </c>
      <c r="AJ1032" s="7">
        <v>-1</v>
      </c>
      <c r="AK1032" s="7" t="s">
        <v>1065</v>
      </c>
      <c r="AL1032" s="12" t="s">
        <v>1269</v>
      </c>
      <c r="AM1032" s="12" t="s">
        <v>2072</v>
      </c>
    </row>
    <row r="1033" spans="1:39" s="183" customFormat="1" ht="21" customHeight="1" x14ac:dyDescent="0.15">
      <c r="A1033" s="42" t="str">
        <f t="shared" si="119"/>
        <v>61001_3</v>
      </c>
      <c r="B1033" s="23">
        <v>1</v>
      </c>
      <c r="C1033" s="31">
        <v>61001</v>
      </c>
      <c r="D1033" s="47" t="str">
        <f ca="1">VLOOKUP($C1033,OFFSET(quests!$A$1,0,0,COUNTA(quests!$A:$A),MATCH(D$1,quests!$1:$1,0)-MATCH($C$2,quests!$1:$1,0)+1),MATCH(D$1,quests!$1:$1,0)-MATCH($C$2,quests!$1:$1,0)+1,FALSE)</f>
        <v>団結クエスト</v>
      </c>
      <c r="E1033" s="48" t="str">
        <f ca="1">VLOOKUP($C1033,OFFSET(quests!$A$1,0,0,COUNTA(quests!$A:$A),MATCH(E$2,quests!$1:$1,0)-MATCH($C$2,quests!$1:$1,0)+1),MATCH(E$2,quests!$1:$1,0)-MATCH($C$2,quests!$1:$1,0)+1,FALSE)</f>
        <v>団結クエスト1</v>
      </c>
      <c r="F1033" s="7">
        <v>3</v>
      </c>
      <c r="G1033" s="7" t="s">
        <v>568</v>
      </c>
      <c r="H1033" s="12" t="s">
        <v>2406</v>
      </c>
      <c r="I1033" s="12" t="s">
        <v>583</v>
      </c>
      <c r="J1033" s="65">
        <v>0</v>
      </c>
      <c r="K1033" s="167">
        <v>40</v>
      </c>
      <c r="L1033" s="167">
        <v>5200</v>
      </c>
      <c r="M1033" s="167">
        <v>1</v>
      </c>
      <c r="N1033" s="167">
        <v>1</v>
      </c>
      <c r="O1033" s="167">
        <v>1</v>
      </c>
      <c r="P1033" s="167">
        <v>1</v>
      </c>
      <c r="Q1033" s="167">
        <v>1</v>
      </c>
      <c r="R1033" s="167">
        <v>3</v>
      </c>
      <c r="S1033" s="167" t="s">
        <v>273</v>
      </c>
      <c r="T1033" s="167">
        <v>0</v>
      </c>
      <c r="U1033" s="7" t="s">
        <v>169</v>
      </c>
      <c r="V1033" s="7" t="s">
        <v>169</v>
      </c>
      <c r="W1033" s="47" t="str">
        <f t="shared" ca="1" si="99"/>
        <v/>
      </c>
      <c r="X1033" s="47">
        <f ca="1">VLOOKUP($C1033,OFFSET(quests!$A$1,0,0,COUNTA(quests!$A:$A),MATCH(X$2,quests!$1:$1,0)-MATCH($C$2,quests!$1:$1,0)+1),MATCH(X$2,quests!$1:$1,0)-MATCH($C$2,quests!$1:$1,0)+1,FALSE)</f>
        <v>0</v>
      </c>
      <c r="Y1033" s="47">
        <f ca="1">VLOOKUP($C1033,OFFSET(quests!$A$1,0,0,COUNTA(quests!$A:$A),MATCH(Y$2,quests!$1:$1,0)-MATCH($C$2,quests!$1:$1,0)+1),MATCH(Y$2,quests!$1:$1,0)-MATCH($C$2,quests!$1:$1,0)+1,FALSE)</f>
        <v>0</v>
      </c>
      <c r="Z1033" s="47">
        <f ca="1">VLOOKUP($C1033,OFFSET(quests!$A$1,0,0,COUNTA(quests!$A:$A),MATCH(Z$2,quests!$1:$1,0)-MATCH($C$2,quests!$1:$1,0)+1),MATCH(Z$2,quests!$1:$1,0)-MATCH($C$2,quests!$1:$1,0)+1,FALSE)</f>
        <v>0</v>
      </c>
      <c r="AA1033" s="47">
        <f ca="1">VLOOKUP($C1033,OFFSET(quests!$A$1,0,0,COUNTA(quests!$A:$A),MATCH(AA$2,quests!$1:$1,0)-MATCH($C$2,quests!$1:$1,0)+1),MATCH(AA$2,quests!$1:$1,0)-MATCH($C$2,quests!$1:$1,0)+1,FALSE)</f>
        <v>0</v>
      </c>
      <c r="AB1033" s="7" t="s">
        <v>56</v>
      </c>
      <c r="AC1033" s="167">
        <v>974</v>
      </c>
      <c r="AD1033" s="7">
        <v>6</v>
      </c>
      <c r="AE1033" s="7" t="s">
        <v>519</v>
      </c>
      <c r="AF1033" s="7">
        <v>5000</v>
      </c>
      <c r="AG1033" s="7">
        <v>5000</v>
      </c>
      <c r="AH1033" s="7">
        <v>0</v>
      </c>
      <c r="AI1033" s="7">
        <v>0</v>
      </c>
      <c r="AJ1033" s="7">
        <v>-1</v>
      </c>
      <c r="AK1033" s="7" t="s">
        <v>1065</v>
      </c>
      <c r="AL1033" s="12" t="s">
        <v>1269</v>
      </c>
      <c r="AM1033" s="12" t="s">
        <v>2072</v>
      </c>
    </row>
    <row r="1034" spans="1:39" s="183" customFormat="1" ht="21" customHeight="1" x14ac:dyDescent="0.15">
      <c r="A1034" s="42" t="str">
        <f t="shared" ref="A1034:A1037" si="120">C1034&amp;"_"&amp;F1034</f>
        <v>61001_4</v>
      </c>
      <c r="B1034" s="23">
        <v>1</v>
      </c>
      <c r="C1034" s="31">
        <v>61001</v>
      </c>
      <c r="D1034" s="47" t="str">
        <f ca="1">VLOOKUP($C1034,OFFSET(quests!$A$1,0,0,COUNTA(quests!$A:$A),MATCH(D$1,quests!$1:$1,0)-MATCH($C$2,quests!$1:$1,0)+1),MATCH(D$1,quests!$1:$1,0)-MATCH($C$2,quests!$1:$1,0)+1,FALSE)</f>
        <v>団結クエスト</v>
      </c>
      <c r="E1034" s="48" t="str">
        <f ca="1">VLOOKUP($C1034,OFFSET(quests!$A$1,0,0,COUNTA(quests!$A:$A),MATCH(E$2,quests!$1:$1,0)-MATCH($C$2,quests!$1:$1,0)+1),MATCH(E$2,quests!$1:$1,0)-MATCH($C$2,quests!$1:$1,0)+1,FALSE)</f>
        <v>団結クエスト1</v>
      </c>
      <c r="F1034" s="7">
        <v>4</v>
      </c>
      <c r="G1034" s="7" t="s">
        <v>568</v>
      </c>
      <c r="H1034" s="12" t="s">
        <v>2407</v>
      </c>
      <c r="I1034" s="12" t="s">
        <v>583</v>
      </c>
      <c r="J1034" s="65">
        <v>0</v>
      </c>
      <c r="K1034" s="167">
        <v>40</v>
      </c>
      <c r="L1034" s="167">
        <v>5200</v>
      </c>
      <c r="M1034" s="167">
        <v>1</v>
      </c>
      <c r="N1034" s="167">
        <v>1</v>
      </c>
      <c r="O1034" s="167">
        <v>1</v>
      </c>
      <c r="P1034" s="167">
        <v>1</v>
      </c>
      <c r="Q1034" s="167">
        <v>1</v>
      </c>
      <c r="R1034" s="167">
        <v>3</v>
      </c>
      <c r="S1034" s="167" t="s">
        <v>273</v>
      </c>
      <c r="T1034" s="167">
        <v>0</v>
      </c>
      <c r="U1034" s="7" t="s">
        <v>169</v>
      </c>
      <c r="V1034" s="7" t="s">
        <v>169</v>
      </c>
      <c r="W1034" s="47" t="str">
        <f t="shared" ca="1" si="99"/>
        <v/>
      </c>
      <c r="X1034" s="47">
        <f ca="1">VLOOKUP($C1034,OFFSET(quests!$A$1,0,0,COUNTA(quests!$A:$A),MATCH(X$2,quests!$1:$1,0)-MATCH($C$2,quests!$1:$1,0)+1),MATCH(X$2,quests!$1:$1,0)-MATCH($C$2,quests!$1:$1,0)+1,FALSE)</f>
        <v>0</v>
      </c>
      <c r="Y1034" s="47">
        <f ca="1">VLOOKUP($C1034,OFFSET(quests!$A$1,0,0,COUNTA(quests!$A:$A),MATCH(Y$2,quests!$1:$1,0)-MATCH($C$2,quests!$1:$1,0)+1),MATCH(Y$2,quests!$1:$1,0)-MATCH($C$2,quests!$1:$1,0)+1,FALSE)</f>
        <v>0</v>
      </c>
      <c r="Z1034" s="47">
        <f ca="1">VLOOKUP($C1034,OFFSET(quests!$A$1,0,0,COUNTA(quests!$A:$A),MATCH(Z$2,quests!$1:$1,0)-MATCH($C$2,quests!$1:$1,0)+1),MATCH(Z$2,quests!$1:$1,0)-MATCH($C$2,quests!$1:$1,0)+1,FALSE)</f>
        <v>0</v>
      </c>
      <c r="AA1034" s="47">
        <f ca="1">VLOOKUP($C1034,OFFSET(quests!$A$1,0,0,COUNTA(quests!$A:$A),MATCH(AA$2,quests!$1:$1,0)-MATCH($C$2,quests!$1:$1,0)+1),MATCH(AA$2,quests!$1:$1,0)-MATCH($C$2,quests!$1:$1,0)+1,FALSE)</f>
        <v>0</v>
      </c>
      <c r="AB1034" s="7" t="s">
        <v>56</v>
      </c>
      <c r="AC1034" s="167">
        <v>974</v>
      </c>
      <c r="AD1034" s="7">
        <v>6</v>
      </c>
      <c r="AE1034" s="7" t="s">
        <v>519</v>
      </c>
      <c r="AF1034" s="7">
        <v>5000</v>
      </c>
      <c r="AG1034" s="7">
        <v>5000</v>
      </c>
      <c r="AH1034" s="7">
        <v>0</v>
      </c>
      <c r="AI1034" s="7">
        <v>0</v>
      </c>
      <c r="AJ1034" s="7">
        <v>-1</v>
      </c>
      <c r="AK1034" s="7" t="s">
        <v>1065</v>
      </c>
      <c r="AL1034" s="12" t="s">
        <v>1269</v>
      </c>
      <c r="AM1034" s="12" t="s">
        <v>2072</v>
      </c>
    </row>
    <row r="1035" spans="1:39" s="183" customFormat="1" ht="21" customHeight="1" x14ac:dyDescent="0.15">
      <c r="A1035" s="42" t="str">
        <f t="shared" si="120"/>
        <v>61001_5</v>
      </c>
      <c r="B1035" s="23">
        <v>1</v>
      </c>
      <c r="C1035" s="31">
        <v>61001</v>
      </c>
      <c r="D1035" s="47" t="str">
        <f ca="1">VLOOKUP($C1035,OFFSET(quests!$A$1,0,0,COUNTA(quests!$A:$A),MATCH(D$1,quests!$1:$1,0)-MATCH($C$2,quests!$1:$1,0)+1),MATCH(D$1,quests!$1:$1,0)-MATCH($C$2,quests!$1:$1,0)+1,FALSE)</f>
        <v>団結クエスト</v>
      </c>
      <c r="E1035" s="48" t="str">
        <f ca="1">VLOOKUP($C1035,OFFSET(quests!$A$1,0,0,COUNTA(quests!$A:$A),MATCH(E$2,quests!$1:$1,0)-MATCH($C$2,quests!$1:$1,0)+1),MATCH(E$2,quests!$1:$1,0)-MATCH($C$2,quests!$1:$1,0)+1,FALSE)</f>
        <v>団結クエスト1</v>
      </c>
      <c r="F1035" s="7">
        <v>5</v>
      </c>
      <c r="G1035" s="7" t="s">
        <v>568</v>
      </c>
      <c r="H1035" s="12" t="s">
        <v>2408</v>
      </c>
      <c r="I1035" s="12" t="s">
        <v>583</v>
      </c>
      <c r="J1035" s="65">
        <v>0</v>
      </c>
      <c r="K1035" s="167">
        <v>40</v>
      </c>
      <c r="L1035" s="167">
        <v>5200</v>
      </c>
      <c r="M1035" s="167">
        <v>1</v>
      </c>
      <c r="N1035" s="167">
        <v>1</v>
      </c>
      <c r="O1035" s="167">
        <v>1</v>
      </c>
      <c r="P1035" s="167">
        <v>1</v>
      </c>
      <c r="Q1035" s="167">
        <v>1</v>
      </c>
      <c r="R1035" s="167">
        <v>3</v>
      </c>
      <c r="S1035" s="167" t="s">
        <v>273</v>
      </c>
      <c r="T1035" s="167">
        <v>0</v>
      </c>
      <c r="U1035" s="7" t="s">
        <v>169</v>
      </c>
      <c r="V1035" s="7" t="s">
        <v>169</v>
      </c>
      <c r="W1035" s="47" t="str">
        <f t="shared" ca="1" si="99"/>
        <v/>
      </c>
      <c r="X1035" s="47">
        <f ca="1">VLOOKUP($C1035,OFFSET(quests!$A$1,0,0,COUNTA(quests!$A:$A),MATCH(X$2,quests!$1:$1,0)-MATCH($C$2,quests!$1:$1,0)+1),MATCH(X$2,quests!$1:$1,0)-MATCH($C$2,quests!$1:$1,0)+1,FALSE)</f>
        <v>0</v>
      </c>
      <c r="Y1035" s="47">
        <f ca="1">VLOOKUP($C1035,OFFSET(quests!$A$1,0,0,COUNTA(quests!$A:$A),MATCH(Y$2,quests!$1:$1,0)-MATCH($C$2,quests!$1:$1,0)+1),MATCH(Y$2,quests!$1:$1,0)-MATCH($C$2,quests!$1:$1,0)+1,FALSE)</f>
        <v>0</v>
      </c>
      <c r="Z1035" s="47">
        <f ca="1">VLOOKUP($C1035,OFFSET(quests!$A$1,0,0,COUNTA(quests!$A:$A),MATCH(Z$2,quests!$1:$1,0)-MATCH($C$2,quests!$1:$1,0)+1),MATCH(Z$2,quests!$1:$1,0)-MATCH($C$2,quests!$1:$1,0)+1,FALSE)</f>
        <v>0</v>
      </c>
      <c r="AA1035" s="47">
        <f ca="1">VLOOKUP($C1035,OFFSET(quests!$A$1,0,0,COUNTA(quests!$A:$A),MATCH(AA$2,quests!$1:$1,0)-MATCH($C$2,quests!$1:$1,0)+1),MATCH(AA$2,quests!$1:$1,0)-MATCH($C$2,quests!$1:$1,0)+1,FALSE)</f>
        <v>0</v>
      </c>
      <c r="AB1035" s="7" t="s">
        <v>56</v>
      </c>
      <c r="AC1035" s="167">
        <v>974</v>
      </c>
      <c r="AD1035" s="7">
        <v>6</v>
      </c>
      <c r="AE1035" s="7" t="s">
        <v>519</v>
      </c>
      <c r="AF1035" s="7">
        <v>5000</v>
      </c>
      <c r="AG1035" s="7">
        <v>5000</v>
      </c>
      <c r="AH1035" s="7">
        <v>0</v>
      </c>
      <c r="AI1035" s="7">
        <v>0</v>
      </c>
      <c r="AJ1035" s="7">
        <v>-1</v>
      </c>
      <c r="AK1035" s="7" t="s">
        <v>1065</v>
      </c>
      <c r="AL1035" s="12" t="s">
        <v>1269</v>
      </c>
      <c r="AM1035" s="12" t="s">
        <v>2072</v>
      </c>
    </row>
    <row r="1036" spans="1:39" s="183" customFormat="1" ht="21" customHeight="1" x14ac:dyDescent="0.15">
      <c r="A1036" s="42" t="str">
        <f t="shared" si="120"/>
        <v>61001_6</v>
      </c>
      <c r="B1036" s="23">
        <v>1</v>
      </c>
      <c r="C1036" s="31">
        <v>61001</v>
      </c>
      <c r="D1036" s="47" t="str">
        <f ca="1">VLOOKUP($C1036,OFFSET(quests!$A$1,0,0,COUNTA(quests!$A:$A),MATCH(D$1,quests!$1:$1,0)-MATCH($C$2,quests!$1:$1,0)+1),MATCH(D$1,quests!$1:$1,0)-MATCH($C$2,quests!$1:$1,0)+1,FALSE)</f>
        <v>団結クエスト</v>
      </c>
      <c r="E1036" s="48" t="str">
        <f ca="1">VLOOKUP($C1036,OFFSET(quests!$A$1,0,0,COUNTA(quests!$A:$A),MATCH(E$2,quests!$1:$1,0)-MATCH($C$2,quests!$1:$1,0)+1),MATCH(E$2,quests!$1:$1,0)-MATCH($C$2,quests!$1:$1,0)+1,FALSE)</f>
        <v>団結クエスト1</v>
      </c>
      <c r="F1036" s="7">
        <v>6</v>
      </c>
      <c r="G1036" s="7" t="s">
        <v>568</v>
      </c>
      <c r="H1036" s="12" t="s">
        <v>2409</v>
      </c>
      <c r="I1036" s="12" t="s">
        <v>583</v>
      </c>
      <c r="J1036" s="65">
        <v>0</v>
      </c>
      <c r="K1036" s="167">
        <v>40</v>
      </c>
      <c r="L1036" s="167">
        <v>5200</v>
      </c>
      <c r="M1036" s="167">
        <v>1</v>
      </c>
      <c r="N1036" s="167">
        <v>1</v>
      </c>
      <c r="O1036" s="167">
        <v>1</v>
      </c>
      <c r="P1036" s="167">
        <v>1</v>
      </c>
      <c r="Q1036" s="167">
        <v>1</v>
      </c>
      <c r="R1036" s="167">
        <v>3</v>
      </c>
      <c r="S1036" s="167" t="s">
        <v>273</v>
      </c>
      <c r="T1036" s="167">
        <v>0</v>
      </c>
      <c r="U1036" s="7" t="s">
        <v>169</v>
      </c>
      <c r="V1036" s="7" t="s">
        <v>169</v>
      </c>
      <c r="W1036" s="47" t="str">
        <f t="shared" ca="1" si="99"/>
        <v/>
      </c>
      <c r="X1036" s="47">
        <f ca="1">VLOOKUP($C1036,OFFSET(quests!$A$1,0,0,COUNTA(quests!$A:$A),MATCH(X$2,quests!$1:$1,0)-MATCH($C$2,quests!$1:$1,0)+1),MATCH(X$2,quests!$1:$1,0)-MATCH($C$2,quests!$1:$1,0)+1,FALSE)</f>
        <v>0</v>
      </c>
      <c r="Y1036" s="47">
        <f ca="1">VLOOKUP($C1036,OFFSET(quests!$A$1,0,0,COUNTA(quests!$A:$A),MATCH(Y$2,quests!$1:$1,0)-MATCH($C$2,quests!$1:$1,0)+1),MATCH(Y$2,quests!$1:$1,0)-MATCH($C$2,quests!$1:$1,0)+1,FALSE)</f>
        <v>0</v>
      </c>
      <c r="Z1036" s="47">
        <f ca="1">VLOOKUP($C1036,OFFSET(quests!$A$1,0,0,COUNTA(quests!$A:$A),MATCH(Z$2,quests!$1:$1,0)-MATCH($C$2,quests!$1:$1,0)+1),MATCH(Z$2,quests!$1:$1,0)-MATCH($C$2,quests!$1:$1,0)+1,FALSE)</f>
        <v>0</v>
      </c>
      <c r="AA1036" s="47">
        <f ca="1">VLOOKUP($C1036,OFFSET(quests!$A$1,0,0,COUNTA(quests!$A:$A),MATCH(AA$2,quests!$1:$1,0)-MATCH($C$2,quests!$1:$1,0)+1),MATCH(AA$2,quests!$1:$1,0)-MATCH($C$2,quests!$1:$1,0)+1,FALSE)</f>
        <v>0</v>
      </c>
      <c r="AB1036" s="7" t="s">
        <v>56</v>
      </c>
      <c r="AC1036" s="167">
        <v>974</v>
      </c>
      <c r="AD1036" s="7">
        <v>6</v>
      </c>
      <c r="AE1036" s="7" t="s">
        <v>519</v>
      </c>
      <c r="AF1036" s="7">
        <v>5000</v>
      </c>
      <c r="AG1036" s="7">
        <v>5000</v>
      </c>
      <c r="AH1036" s="7">
        <v>0</v>
      </c>
      <c r="AI1036" s="7">
        <v>0</v>
      </c>
      <c r="AJ1036" s="7">
        <v>-1</v>
      </c>
      <c r="AK1036" s="7" t="s">
        <v>1065</v>
      </c>
      <c r="AL1036" s="12" t="s">
        <v>1269</v>
      </c>
      <c r="AM1036" s="12" t="s">
        <v>2072</v>
      </c>
    </row>
    <row r="1037" spans="1:39" s="183" customFormat="1" ht="21" customHeight="1" x14ac:dyDescent="0.15">
      <c r="A1037" s="42" t="str">
        <f t="shared" si="120"/>
        <v>61001_7</v>
      </c>
      <c r="B1037" s="23">
        <v>1</v>
      </c>
      <c r="C1037" s="31">
        <v>61001</v>
      </c>
      <c r="D1037" s="47" t="str">
        <f ca="1">VLOOKUP($C1037,OFFSET(quests!$A$1,0,0,COUNTA(quests!$A:$A),MATCH(D$1,quests!$1:$1,0)-MATCH($C$2,quests!$1:$1,0)+1),MATCH(D$1,quests!$1:$1,0)-MATCH($C$2,quests!$1:$1,0)+1,FALSE)</f>
        <v>団結クエスト</v>
      </c>
      <c r="E1037" s="48" t="str">
        <f ca="1">VLOOKUP($C1037,OFFSET(quests!$A$1,0,0,COUNTA(quests!$A:$A),MATCH(E$2,quests!$1:$1,0)-MATCH($C$2,quests!$1:$1,0)+1),MATCH(E$2,quests!$1:$1,0)-MATCH($C$2,quests!$1:$1,0)+1,FALSE)</f>
        <v>団結クエスト1</v>
      </c>
      <c r="F1037" s="7">
        <v>7</v>
      </c>
      <c r="G1037" s="7" t="s">
        <v>568</v>
      </c>
      <c r="H1037" s="12" t="s">
        <v>2410</v>
      </c>
      <c r="I1037" s="12" t="s">
        <v>583</v>
      </c>
      <c r="J1037" s="65">
        <v>0</v>
      </c>
      <c r="K1037" s="167">
        <v>40</v>
      </c>
      <c r="L1037" s="167">
        <v>5200</v>
      </c>
      <c r="M1037" s="167">
        <v>1</v>
      </c>
      <c r="N1037" s="167">
        <v>1</v>
      </c>
      <c r="O1037" s="167">
        <v>1</v>
      </c>
      <c r="P1037" s="167">
        <v>1</v>
      </c>
      <c r="Q1037" s="167">
        <v>1</v>
      </c>
      <c r="R1037" s="167">
        <v>3</v>
      </c>
      <c r="S1037" s="167" t="s">
        <v>273</v>
      </c>
      <c r="T1037" s="167">
        <v>0</v>
      </c>
      <c r="U1037" s="7" t="s">
        <v>169</v>
      </c>
      <c r="V1037" s="7" t="s">
        <v>169</v>
      </c>
      <c r="W1037" s="47" t="str">
        <f t="shared" ca="1" si="99"/>
        <v/>
      </c>
      <c r="X1037" s="47">
        <f ca="1">VLOOKUP($C1037,OFFSET(quests!$A$1,0,0,COUNTA(quests!$A:$A),MATCH(X$2,quests!$1:$1,0)-MATCH($C$2,quests!$1:$1,0)+1),MATCH(X$2,quests!$1:$1,0)-MATCH($C$2,quests!$1:$1,0)+1,FALSE)</f>
        <v>0</v>
      </c>
      <c r="Y1037" s="47">
        <f ca="1">VLOOKUP($C1037,OFFSET(quests!$A$1,0,0,COUNTA(quests!$A:$A),MATCH(Y$2,quests!$1:$1,0)-MATCH($C$2,quests!$1:$1,0)+1),MATCH(Y$2,quests!$1:$1,0)-MATCH($C$2,quests!$1:$1,0)+1,FALSE)</f>
        <v>0</v>
      </c>
      <c r="Z1037" s="47">
        <f ca="1">VLOOKUP($C1037,OFFSET(quests!$A$1,0,0,COUNTA(quests!$A:$A),MATCH(Z$2,quests!$1:$1,0)-MATCH($C$2,quests!$1:$1,0)+1),MATCH(Z$2,quests!$1:$1,0)-MATCH($C$2,quests!$1:$1,0)+1,FALSE)</f>
        <v>0</v>
      </c>
      <c r="AA1037" s="47">
        <f ca="1">VLOOKUP($C1037,OFFSET(quests!$A$1,0,0,COUNTA(quests!$A:$A),MATCH(AA$2,quests!$1:$1,0)-MATCH($C$2,quests!$1:$1,0)+1),MATCH(AA$2,quests!$1:$1,0)-MATCH($C$2,quests!$1:$1,0)+1,FALSE)</f>
        <v>0</v>
      </c>
      <c r="AB1037" s="7" t="s">
        <v>56</v>
      </c>
      <c r="AC1037" s="167">
        <v>974</v>
      </c>
      <c r="AD1037" s="7">
        <v>6</v>
      </c>
      <c r="AE1037" s="7" t="s">
        <v>519</v>
      </c>
      <c r="AF1037" s="7">
        <v>5000</v>
      </c>
      <c r="AG1037" s="7">
        <v>5000</v>
      </c>
      <c r="AH1037" s="7">
        <v>0</v>
      </c>
      <c r="AI1037" s="7">
        <v>0</v>
      </c>
      <c r="AJ1037" s="7">
        <v>-1</v>
      </c>
      <c r="AK1037" s="7" t="s">
        <v>1065</v>
      </c>
      <c r="AL1037" s="12" t="s">
        <v>1269</v>
      </c>
      <c r="AM1037" s="12" t="s">
        <v>2072</v>
      </c>
    </row>
    <row r="1038" spans="1:39" ht="21" customHeight="1" x14ac:dyDescent="0.15">
      <c r="A1038" s="42" t="str">
        <f t="shared" si="114"/>
        <v>65523_1</v>
      </c>
      <c r="B1038" s="244">
        <v>1</v>
      </c>
      <c r="C1038" s="245">
        <v>65523</v>
      </c>
      <c r="D1038" s="246" t="str">
        <f ca="1">VLOOKUP($C1038,OFFSET(quests!$A$1,0,0,COUNTA(quests!$A:$A),MATCH(D$1,quests!$1:$1,0)-MATCH($C$2,quests!$1:$1,0)+1),MATCH(D$1,quests!$1:$1,0)-MATCH($C$2,quests!$1:$1,0)+1,FALSE)</f>
        <v>【LB尾崎】検証クエスト</v>
      </c>
      <c r="E1038" s="92" t="str">
        <f ca="1">VLOOKUP($C1038,OFFSET(quests!$A$1,0,0,COUNTA(quests!$A:$A),MATCH(E$2,quests!$1:$1,0)-MATCH($C$2,quests!$1:$1,0)+1),MATCH(E$2,quests!$1:$1,0)-MATCH($C$2,quests!$1:$1,0)+1,FALSE)</f>
        <v>童話シリーズ　超級</v>
      </c>
      <c r="F1038" s="91">
        <v>1</v>
      </c>
      <c r="G1038" s="91" t="s">
        <v>382</v>
      </c>
      <c r="H1038" s="244" t="s">
        <v>2226</v>
      </c>
      <c r="I1038" s="244" t="s">
        <v>2251</v>
      </c>
      <c r="J1038" s="244">
        <v>1</v>
      </c>
      <c r="K1038" s="91">
        <v>30</v>
      </c>
      <c r="L1038" s="91">
        <v>3300</v>
      </c>
      <c r="M1038" s="91">
        <v>1</v>
      </c>
      <c r="N1038" s="91">
        <v>1</v>
      </c>
      <c r="O1038" s="91">
        <v>1</v>
      </c>
      <c r="P1038" s="91">
        <v>1</v>
      </c>
      <c r="Q1038" s="91">
        <v>1</v>
      </c>
      <c r="R1038" s="91">
        <v>3</v>
      </c>
      <c r="S1038" s="91" t="s">
        <v>384</v>
      </c>
      <c r="T1038" s="91">
        <v>1</v>
      </c>
      <c r="U1038" s="91" t="s">
        <v>169</v>
      </c>
      <c r="V1038" s="91" t="s">
        <v>169</v>
      </c>
      <c r="W1038" s="246" t="str">
        <f t="shared" ca="1" si="99"/>
        <v/>
      </c>
      <c r="X1038" s="246">
        <f ca="1">VLOOKUP($C1038,OFFSET(quests!$A$1,0,0,COUNTA(quests!$A:$A),MATCH(X$2,quests!$1:$1,0)-MATCH($C$2,quests!$1:$1,0)+1),MATCH(X$2,quests!$1:$1,0)-MATCH($C$2,quests!$1:$1,0)+1,FALSE)</f>
        <v>0</v>
      </c>
      <c r="Y1038" s="246">
        <f ca="1">VLOOKUP($C1038,OFFSET(quests!$A$1,0,0,COUNTA(quests!$A:$A),MATCH(Y$2,quests!$1:$1,0)-MATCH($C$2,quests!$1:$1,0)+1),MATCH(Y$2,quests!$1:$1,0)-MATCH($C$2,quests!$1:$1,0)+1,FALSE)</f>
        <v>0</v>
      </c>
      <c r="Z1038" s="246">
        <f ca="1">VLOOKUP($C1038,OFFSET(quests!$A$1,0,0,COUNTA(quests!$A:$A),MATCH(Z$2,quests!$1:$1,0)-MATCH($C$2,quests!$1:$1,0)+1),MATCH(Z$2,quests!$1:$1,0)-MATCH($C$2,quests!$1:$1,0)+1,FALSE)</f>
        <v>0</v>
      </c>
      <c r="AA1038" s="246">
        <f ca="1">VLOOKUP($C1038,OFFSET(quests!$A$1,0,0,COUNTA(quests!$A:$A),MATCH(AA$2,quests!$1:$1,0)-MATCH($C$2,quests!$1:$1,0)+1),MATCH(AA$2,quests!$1:$1,0)-MATCH($C$2,quests!$1:$1,0)+1,FALSE)</f>
        <v>0</v>
      </c>
      <c r="AB1038" s="91" t="s">
        <v>56</v>
      </c>
      <c r="AC1038" s="91">
        <v>2</v>
      </c>
      <c r="AD1038" s="91">
        <v>6</v>
      </c>
      <c r="AE1038" s="91" t="s">
        <v>519</v>
      </c>
      <c r="AF1038" s="91">
        <v>11</v>
      </c>
      <c r="AG1038" s="91">
        <v>0</v>
      </c>
      <c r="AH1038" s="91">
        <v>0</v>
      </c>
      <c r="AI1038" s="91">
        <v>-1</v>
      </c>
      <c r="AJ1038" s="91">
        <v>-1</v>
      </c>
      <c r="AK1038" s="91" t="s">
        <v>1065</v>
      </c>
      <c r="AL1038" s="12" t="s">
        <v>1337</v>
      </c>
      <c r="AM1038" s="12" t="s">
        <v>2072</v>
      </c>
    </row>
    <row r="1039" spans="1:39" ht="21" customHeight="1" x14ac:dyDescent="0.15">
      <c r="A1039" s="42" t="str">
        <f t="shared" ref="A1039" si="121">C1039&amp;"_"&amp;F1039</f>
        <v>65523_2</v>
      </c>
      <c r="B1039" s="244">
        <v>1</v>
      </c>
      <c r="C1039" s="245">
        <v>65523</v>
      </c>
      <c r="D1039" s="246" t="str">
        <f ca="1">VLOOKUP($C1039,OFFSET(quests!$A$1,0,0,COUNTA(quests!$A:$A),MATCH(D$1,quests!$1:$1,0)-MATCH($C$2,quests!$1:$1,0)+1),MATCH(D$1,quests!$1:$1,0)-MATCH($C$2,quests!$1:$1,0)+1,FALSE)</f>
        <v>【LB尾崎】検証クエスト</v>
      </c>
      <c r="E1039" s="92" t="str">
        <f ca="1">VLOOKUP($C1039,OFFSET(quests!$A$1,0,0,COUNTA(quests!$A:$A),MATCH(E$2,quests!$1:$1,0)-MATCH($C$2,quests!$1:$1,0)+1),MATCH(E$2,quests!$1:$1,0)-MATCH($C$2,quests!$1:$1,0)+1,FALSE)</f>
        <v>童話シリーズ　超級</v>
      </c>
      <c r="F1039" s="91">
        <v>2</v>
      </c>
      <c r="G1039" s="91" t="s">
        <v>382</v>
      </c>
      <c r="H1039" s="244" t="s">
        <v>2226</v>
      </c>
      <c r="I1039" s="244" t="s">
        <v>2252</v>
      </c>
      <c r="J1039" s="244">
        <v>1</v>
      </c>
      <c r="K1039" s="91">
        <v>30</v>
      </c>
      <c r="L1039" s="91">
        <v>3300</v>
      </c>
      <c r="M1039" s="91">
        <v>1</v>
      </c>
      <c r="N1039" s="91">
        <v>1</v>
      </c>
      <c r="O1039" s="91">
        <v>1</v>
      </c>
      <c r="P1039" s="91">
        <v>1</v>
      </c>
      <c r="Q1039" s="91">
        <v>1</v>
      </c>
      <c r="R1039" s="91">
        <v>3</v>
      </c>
      <c r="S1039" s="91" t="s">
        <v>278</v>
      </c>
      <c r="T1039" s="91">
        <v>1</v>
      </c>
      <c r="U1039" s="91" t="s">
        <v>169</v>
      </c>
      <c r="V1039" s="91" t="s">
        <v>169</v>
      </c>
      <c r="W1039" s="246" t="str">
        <f t="shared" ca="1" si="99"/>
        <v/>
      </c>
      <c r="X1039" s="246">
        <f ca="1">VLOOKUP($C1039,OFFSET(quests!$A$1,0,0,COUNTA(quests!$A:$A),MATCH(X$2,quests!$1:$1,0)-MATCH($C$2,quests!$1:$1,0)+1),MATCH(X$2,quests!$1:$1,0)-MATCH($C$2,quests!$1:$1,0)+1,FALSE)</f>
        <v>0</v>
      </c>
      <c r="Y1039" s="246">
        <f ca="1">VLOOKUP($C1039,OFFSET(quests!$A$1,0,0,COUNTA(quests!$A:$A),MATCH(Y$2,quests!$1:$1,0)-MATCH($C$2,quests!$1:$1,0)+1),MATCH(Y$2,quests!$1:$1,0)-MATCH($C$2,quests!$1:$1,0)+1,FALSE)</f>
        <v>0</v>
      </c>
      <c r="Z1039" s="246">
        <f ca="1">VLOOKUP($C1039,OFFSET(quests!$A$1,0,0,COUNTA(quests!$A:$A),MATCH(Z$2,quests!$1:$1,0)-MATCH($C$2,quests!$1:$1,0)+1),MATCH(Z$2,quests!$1:$1,0)-MATCH($C$2,quests!$1:$1,0)+1,FALSE)</f>
        <v>0</v>
      </c>
      <c r="AA1039" s="246">
        <f ca="1">VLOOKUP($C1039,OFFSET(quests!$A$1,0,0,COUNTA(quests!$A:$A),MATCH(AA$2,quests!$1:$1,0)-MATCH($C$2,quests!$1:$1,0)+1),MATCH(AA$2,quests!$1:$1,0)-MATCH($C$2,quests!$1:$1,0)+1,FALSE)</f>
        <v>0</v>
      </c>
      <c r="AB1039" s="91" t="s">
        <v>56</v>
      </c>
      <c r="AC1039" s="91">
        <v>2</v>
      </c>
      <c r="AD1039" s="91">
        <v>6</v>
      </c>
      <c r="AE1039" s="91" t="s">
        <v>519</v>
      </c>
      <c r="AF1039" s="91">
        <v>11</v>
      </c>
      <c r="AG1039" s="91">
        <v>0</v>
      </c>
      <c r="AH1039" s="91">
        <v>0</v>
      </c>
      <c r="AI1039" s="91">
        <v>-1</v>
      </c>
      <c r="AJ1039" s="91">
        <v>-1</v>
      </c>
      <c r="AK1039" s="91" t="s">
        <v>1065</v>
      </c>
      <c r="AL1039" s="12" t="s">
        <v>1269</v>
      </c>
      <c r="AM1039" s="12" t="s">
        <v>2072</v>
      </c>
    </row>
    <row r="1040" spans="1:39" ht="21" customHeight="1" x14ac:dyDescent="0.15">
      <c r="A1040" s="42" t="str">
        <f t="shared" ref="A1040" si="122">C1040&amp;"_"&amp;F1040</f>
        <v>65523_3</v>
      </c>
      <c r="B1040" s="244">
        <v>1</v>
      </c>
      <c r="C1040" s="245">
        <v>65523</v>
      </c>
      <c r="D1040" s="246" t="str">
        <f ca="1">VLOOKUP($C1040,OFFSET(quests!$A$1,0,0,COUNTA(quests!$A:$A),MATCH(D$1,quests!$1:$1,0)-MATCH($C$2,quests!$1:$1,0)+1),MATCH(D$1,quests!$1:$1,0)-MATCH($C$2,quests!$1:$1,0)+1,FALSE)</f>
        <v>【LB尾崎】検証クエスト</v>
      </c>
      <c r="E1040" s="92" t="str">
        <f ca="1">VLOOKUP($C1040,OFFSET(quests!$A$1,0,0,COUNTA(quests!$A:$A),MATCH(E$2,quests!$1:$1,0)-MATCH($C$2,quests!$1:$1,0)+1),MATCH(E$2,quests!$1:$1,0)-MATCH($C$2,quests!$1:$1,0)+1,FALSE)</f>
        <v>童話シリーズ　超級</v>
      </c>
      <c r="F1040" s="91">
        <v>3</v>
      </c>
      <c r="G1040" s="91" t="s">
        <v>382</v>
      </c>
      <c r="H1040" s="244" t="s">
        <v>2226</v>
      </c>
      <c r="I1040" s="244" t="s">
        <v>832</v>
      </c>
      <c r="J1040" s="244">
        <v>1</v>
      </c>
      <c r="K1040" s="91">
        <v>30</v>
      </c>
      <c r="L1040" s="91">
        <v>3300</v>
      </c>
      <c r="M1040" s="91">
        <v>1</v>
      </c>
      <c r="N1040" s="91">
        <v>1</v>
      </c>
      <c r="O1040" s="91">
        <v>1</v>
      </c>
      <c r="P1040" s="91">
        <v>1</v>
      </c>
      <c r="Q1040" s="91">
        <v>1</v>
      </c>
      <c r="R1040" s="91">
        <v>3</v>
      </c>
      <c r="S1040" s="91" t="s">
        <v>278</v>
      </c>
      <c r="T1040" s="91">
        <v>1</v>
      </c>
      <c r="U1040" s="91" t="s">
        <v>169</v>
      </c>
      <c r="V1040" s="91" t="s">
        <v>169</v>
      </c>
      <c r="W1040" s="246" t="str">
        <f t="shared" ca="1" si="99"/>
        <v/>
      </c>
      <c r="X1040" s="246">
        <f ca="1">VLOOKUP($C1040,OFFSET(quests!$A$1,0,0,COUNTA(quests!$A:$A),MATCH(X$2,quests!$1:$1,0)-MATCH($C$2,quests!$1:$1,0)+1),MATCH(X$2,quests!$1:$1,0)-MATCH($C$2,quests!$1:$1,0)+1,FALSE)</f>
        <v>0</v>
      </c>
      <c r="Y1040" s="246">
        <f ca="1">VLOOKUP($C1040,OFFSET(quests!$A$1,0,0,COUNTA(quests!$A:$A),MATCH(Y$2,quests!$1:$1,0)-MATCH($C$2,quests!$1:$1,0)+1),MATCH(Y$2,quests!$1:$1,0)-MATCH($C$2,quests!$1:$1,0)+1,FALSE)</f>
        <v>0</v>
      </c>
      <c r="Z1040" s="246">
        <f ca="1">VLOOKUP($C1040,OFFSET(quests!$A$1,0,0,COUNTA(quests!$A:$A),MATCH(Z$2,quests!$1:$1,0)-MATCH($C$2,quests!$1:$1,0)+1),MATCH(Z$2,quests!$1:$1,0)-MATCH($C$2,quests!$1:$1,0)+1,FALSE)</f>
        <v>0</v>
      </c>
      <c r="AA1040" s="246">
        <f ca="1">VLOOKUP($C1040,OFFSET(quests!$A$1,0,0,COUNTA(quests!$A:$A),MATCH(AA$2,quests!$1:$1,0)-MATCH($C$2,quests!$1:$1,0)+1),MATCH(AA$2,quests!$1:$1,0)-MATCH($C$2,quests!$1:$1,0)+1,FALSE)</f>
        <v>0</v>
      </c>
      <c r="AB1040" s="91" t="s">
        <v>56</v>
      </c>
      <c r="AC1040" s="91">
        <v>2</v>
      </c>
      <c r="AD1040" s="91">
        <v>6</v>
      </c>
      <c r="AE1040" s="91" t="s">
        <v>519</v>
      </c>
      <c r="AF1040" s="91">
        <v>11</v>
      </c>
      <c r="AG1040" s="91">
        <v>0</v>
      </c>
      <c r="AH1040" s="91">
        <v>0</v>
      </c>
      <c r="AI1040" s="91">
        <v>-1</v>
      </c>
      <c r="AJ1040" s="91">
        <v>-1</v>
      </c>
      <c r="AK1040" s="91" t="s">
        <v>1065</v>
      </c>
      <c r="AL1040" s="12" t="s">
        <v>1269</v>
      </c>
      <c r="AM1040" s="12" t="s">
        <v>2072</v>
      </c>
    </row>
    <row r="1041" spans="1:39" ht="21" customHeight="1" x14ac:dyDescent="0.15">
      <c r="A1041" s="42" t="str">
        <f t="shared" ref="A1041" si="123">C1041&amp;"_"&amp;F1041</f>
        <v>65524_1</v>
      </c>
      <c r="B1041" s="244">
        <v>1</v>
      </c>
      <c r="C1041" s="245">
        <v>65524</v>
      </c>
      <c r="D1041" s="246" t="str">
        <f ca="1">VLOOKUP($C1041,OFFSET(quests!$A$1,0,0,COUNTA(quests!$A:$A),MATCH(D$1,quests!$1:$1,0)-MATCH($C$2,quests!$1:$1,0)+1),MATCH(D$1,quests!$1:$1,0)-MATCH($C$2,quests!$1:$1,0)+1,FALSE)</f>
        <v>【LB田頭】検証クエスト</v>
      </c>
      <c r="E1041" s="92" t="str">
        <f ca="1">VLOOKUP($C1041,OFFSET(quests!$A$1,0,0,COUNTA(quests!$A:$A),MATCH(E$2,quests!$1:$1,0)-MATCH($C$2,quests!$1:$1,0)+1),MATCH(E$2,quests!$1:$1,0)-MATCH($C$2,quests!$1:$1,0)+1,FALSE)</f>
        <v>童話シリーズ　超級</v>
      </c>
      <c r="F1041" s="91">
        <v>1</v>
      </c>
      <c r="G1041" s="91" t="s">
        <v>382</v>
      </c>
      <c r="H1041" s="244" t="s">
        <v>2256</v>
      </c>
      <c r="I1041" s="244" t="s">
        <v>2247</v>
      </c>
      <c r="J1041" s="244">
        <v>1</v>
      </c>
      <c r="K1041" s="91">
        <v>20</v>
      </c>
      <c r="L1041" s="91">
        <v>2000</v>
      </c>
      <c r="M1041" s="91">
        <v>1</v>
      </c>
      <c r="N1041" s="91">
        <v>1</v>
      </c>
      <c r="O1041" s="91">
        <v>1</v>
      </c>
      <c r="P1041" s="91">
        <v>1</v>
      </c>
      <c r="Q1041" s="91">
        <v>1</v>
      </c>
      <c r="R1041" s="91">
        <v>3</v>
      </c>
      <c r="S1041" s="91" t="s">
        <v>817</v>
      </c>
      <c r="T1041" s="91">
        <v>1</v>
      </c>
      <c r="U1041" s="91" t="s">
        <v>169</v>
      </c>
      <c r="V1041" s="91" t="s">
        <v>169</v>
      </c>
      <c r="W1041" s="246" t="str">
        <f t="shared" ca="1" si="99"/>
        <v/>
      </c>
      <c r="X1041" s="246">
        <f ca="1">VLOOKUP($C1041,OFFSET(quests!$A$1,0,0,COUNTA(quests!$A:$A),MATCH(X$2,quests!$1:$1,0)-MATCH($C$2,quests!$1:$1,0)+1),MATCH(X$2,quests!$1:$1,0)-MATCH($C$2,quests!$1:$1,0)+1,FALSE)</f>
        <v>0</v>
      </c>
      <c r="Y1041" s="246">
        <f ca="1">VLOOKUP($C1041,OFFSET(quests!$A$1,0,0,COUNTA(quests!$A:$A),MATCH(Y$2,quests!$1:$1,0)-MATCH($C$2,quests!$1:$1,0)+1),MATCH(Y$2,quests!$1:$1,0)-MATCH($C$2,quests!$1:$1,0)+1,FALSE)</f>
        <v>0</v>
      </c>
      <c r="Z1041" s="246">
        <f ca="1">VLOOKUP($C1041,OFFSET(quests!$A$1,0,0,COUNTA(quests!$A:$A),MATCH(Z$2,quests!$1:$1,0)-MATCH($C$2,quests!$1:$1,0)+1),MATCH(Z$2,quests!$1:$1,0)-MATCH($C$2,quests!$1:$1,0)+1,FALSE)</f>
        <v>0</v>
      </c>
      <c r="AA1041" s="246">
        <f ca="1">VLOOKUP($C1041,OFFSET(quests!$A$1,0,0,COUNTA(quests!$A:$A),MATCH(AA$2,quests!$1:$1,0)-MATCH($C$2,quests!$1:$1,0)+1),MATCH(AA$2,quests!$1:$1,0)-MATCH($C$2,quests!$1:$1,0)+1,FALSE)</f>
        <v>0</v>
      </c>
      <c r="AB1041" s="91" t="s">
        <v>56</v>
      </c>
      <c r="AC1041" s="91">
        <v>2</v>
      </c>
      <c r="AD1041" s="91">
        <v>6</v>
      </c>
      <c r="AE1041" s="91" t="s">
        <v>519</v>
      </c>
      <c r="AF1041" s="91">
        <v>11</v>
      </c>
      <c r="AG1041" s="91">
        <v>0</v>
      </c>
      <c r="AH1041" s="91">
        <v>0</v>
      </c>
      <c r="AI1041" s="91">
        <v>-1</v>
      </c>
      <c r="AJ1041" s="91">
        <v>-1</v>
      </c>
      <c r="AK1041" s="91" t="s">
        <v>1065</v>
      </c>
      <c r="AL1041" s="12" t="s">
        <v>1269</v>
      </c>
      <c r="AM1041" s="12" t="s">
        <v>2072</v>
      </c>
    </row>
    <row r="1042" spans="1:39" ht="21" customHeight="1" x14ac:dyDescent="0.15">
      <c r="A1042" s="42" t="str">
        <f t="shared" ref="A1042" si="124">C1042&amp;"_"&amp;F1042</f>
        <v>65524_2</v>
      </c>
      <c r="B1042" s="244">
        <v>1</v>
      </c>
      <c r="C1042" s="245">
        <v>65524</v>
      </c>
      <c r="D1042" s="246" t="str">
        <f ca="1">VLOOKUP($C1042,OFFSET(quests!$A$1,0,0,COUNTA(quests!$A:$A),MATCH(D$1,quests!$1:$1,0)-MATCH($C$2,quests!$1:$1,0)+1),MATCH(D$1,quests!$1:$1,0)-MATCH($C$2,quests!$1:$1,0)+1,FALSE)</f>
        <v>【LB田頭】検証クエスト</v>
      </c>
      <c r="E1042" s="92" t="str">
        <f ca="1">VLOOKUP($C1042,OFFSET(quests!$A$1,0,0,COUNTA(quests!$A:$A),MATCH(E$2,quests!$1:$1,0)-MATCH($C$2,quests!$1:$1,0)+1),MATCH(E$2,quests!$1:$1,0)-MATCH($C$2,quests!$1:$1,0)+1,FALSE)</f>
        <v>童話シリーズ　超級</v>
      </c>
      <c r="F1042" s="91">
        <v>2</v>
      </c>
      <c r="G1042" s="91" t="s">
        <v>382</v>
      </c>
      <c r="H1042" s="244" t="s">
        <v>2226</v>
      </c>
      <c r="I1042" s="244" t="s">
        <v>832</v>
      </c>
      <c r="J1042" s="244">
        <v>1</v>
      </c>
      <c r="K1042" s="91">
        <v>30</v>
      </c>
      <c r="L1042" s="91">
        <v>3300</v>
      </c>
      <c r="M1042" s="91">
        <v>1</v>
      </c>
      <c r="N1042" s="91">
        <v>1</v>
      </c>
      <c r="O1042" s="91">
        <v>1</v>
      </c>
      <c r="P1042" s="91">
        <v>1</v>
      </c>
      <c r="Q1042" s="91">
        <v>1</v>
      </c>
      <c r="R1042" s="91">
        <v>3</v>
      </c>
      <c r="S1042" s="91" t="s">
        <v>384</v>
      </c>
      <c r="T1042" s="91">
        <v>1</v>
      </c>
      <c r="U1042" s="91" t="s">
        <v>169</v>
      </c>
      <c r="V1042" s="91" t="s">
        <v>169</v>
      </c>
      <c r="W1042" s="246" t="str">
        <f t="shared" ca="1" si="99"/>
        <v/>
      </c>
      <c r="X1042" s="246">
        <f ca="1">VLOOKUP($C1042,OFFSET(quests!$A$1,0,0,COUNTA(quests!$A:$A),MATCH(X$2,quests!$1:$1,0)-MATCH($C$2,quests!$1:$1,0)+1),MATCH(X$2,quests!$1:$1,0)-MATCH($C$2,quests!$1:$1,0)+1,FALSE)</f>
        <v>0</v>
      </c>
      <c r="Y1042" s="246">
        <f ca="1">VLOOKUP($C1042,OFFSET(quests!$A$1,0,0,COUNTA(quests!$A:$A),MATCH(Y$2,quests!$1:$1,0)-MATCH($C$2,quests!$1:$1,0)+1),MATCH(Y$2,quests!$1:$1,0)-MATCH($C$2,quests!$1:$1,0)+1,FALSE)</f>
        <v>0</v>
      </c>
      <c r="Z1042" s="246">
        <f ca="1">VLOOKUP($C1042,OFFSET(quests!$A$1,0,0,COUNTA(quests!$A:$A),MATCH(Z$2,quests!$1:$1,0)-MATCH($C$2,quests!$1:$1,0)+1),MATCH(Z$2,quests!$1:$1,0)-MATCH($C$2,quests!$1:$1,0)+1,FALSE)</f>
        <v>0</v>
      </c>
      <c r="AA1042" s="246">
        <f ca="1">VLOOKUP($C1042,OFFSET(quests!$A$1,0,0,COUNTA(quests!$A:$A),MATCH(AA$2,quests!$1:$1,0)-MATCH($C$2,quests!$1:$1,0)+1),MATCH(AA$2,quests!$1:$1,0)-MATCH($C$2,quests!$1:$1,0)+1,FALSE)</f>
        <v>0</v>
      </c>
      <c r="AB1042" s="91" t="s">
        <v>56</v>
      </c>
      <c r="AC1042" s="91">
        <v>2</v>
      </c>
      <c r="AD1042" s="91">
        <v>6</v>
      </c>
      <c r="AE1042" s="91" t="s">
        <v>519</v>
      </c>
      <c r="AF1042" s="91">
        <v>11</v>
      </c>
      <c r="AG1042" s="91">
        <v>0</v>
      </c>
      <c r="AH1042" s="91">
        <v>0</v>
      </c>
      <c r="AI1042" s="91">
        <v>-1</v>
      </c>
      <c r="AJ1042" s="91">
        <v>-1</v>
      </c>
      <c r="AK1042" s="91" t="s">
        <v>1065</v>
      </c>
      <c r="AL1042" s="12" t="s">
        <v>1269</v>
      </c>
      <c r="AM1042" s="12" t="s">
        <v>2072</v>
      </c>
    </row>
    <row r="1043" spans="1:39" ht="21" customHeight="1" x14ac:dyDescent="0.15">
      <c r="A1043" s="42" t="str">
        <f t="shared" si="106"/>
        <v>65525_1</v>
      </c>
      <c r="B1043" s="244">
        <v>1</v>
      </c>
      <c r="C1043" s="245">
        <v>65525</v>
      </c>
      <c r="D1043" s="246" t="str">
        <f ca="1">VLOOKUP($C1043,OFFSET(quests!$A$1,0,0,COUNTA(quests!$A:$A),MATCH(D$1,quests!$1:$1,0)-MATCH($C$2,quests!$1:$1,0)+1),MATCH(D$1,quests!$1:$1,0)-MATCH($C$2,quests!$1:$1,0)+1,FALSE)</f>
        <v>【LB田邉】検証クエスト</v>
      </c>
      <c r="E1043" s="92" t="str">
        <f ca="1">VLOOKUP($C1043,OFFSET(quests!$A$1,0,0,COUNTA(quests!$A:$A),MATCH(E$2,quests!$1:$1,0)-MATCH($C$2,quests!$1:$1,0)+1),MATCH(E$2,quests!$1:$1,0)-MATCH($C$2,quests!$1:$1,0)+1,FALSE)</f>
        <v>検証</v>
      </c>
      <c r="F1043" s="91">
        <v>1</v>
      </c>
      <c r="G1043" s="91" t="s">
        <v>568</v>
      </c>
      <c r="H1043" s="244" t="s">
        <v>1626</v>
      </c>
      <c r="I1043" s="244" t="s">
        <v>467</v>
      </c>
      <c r="J1043" s="244">
        <v>1</v>
      </c>
      <c r="K1043" s="91">
        <v>1</v>
      </c>
      <c r="L1043" s="91">
        <v>1</v>
      </c>
      <c r="M1043" s="91">
        <v>1</v>
      </c>
      <c r="N1043" s="91">
        <v>1</v>
      </c>
      <c r="O1043" s="91">
        <v>1</v>
      </c>
      <c r="P1043" s="91">
        <v>1</v>
      </c>
      <c r="Q1043" s="91">
        <v>1</v>
      </c>
      <c r="R1043" s="91">
        <v>3</v>
      </c>
      <c r="S1043" s="91" t="s">
        <v>278</v>
      </c>
      <c r="T1043" s="91">
        <v>0</v>
      </c>
      <c r="U1043" s="91" t="s">
        <v>169</v>
      </c>
      <c r="V1043" s="91" t="s">
        <v>169</v>
      </c>
      <c r="W1043" s="246" t="str">
        <f t="shared" ca="1" si="99"/>
        <v/>
      </c>
      <c r="X1043" s="246">
        <f ca="1">VLOOKUP($C1043,OFFSET(quests!$A$1,0,0,COUNTA(quests!$A:$A),MATCH(X$2,quests!$1:$1,0)-MATCH($C$2,quests!$1:$1,0)+1),MATCH(X$2,quests!$1:$1,0)-MATCH($C$2,quests!$1:$1,0)+1,FALSE)</f>
        <v>0</v>
      </c>
      <c r="Y1043" s="246">
        <f ca="1">VLOOKUP($C1043,OFFSET(quests!$A$1,0,0,COUNTA(quests!$A:$A),MATCH(Y$2,quests!$1:$1,0)-MATCH($C$2,quests!$1:$1,0)+1),MATCH(Y$2,quests!$1:$1,0)-MATCH($C$2,quests!$1:$1,0)+1,FALSE)</f>
        <v>0</v>
      </c>
      <c r="Z1043" s="246">
        <f ca="1">VLOOKUP($C1043,OFFSET(quests!$A$1,0,0,COUNTA(quests!$A:$A),MATCH(Z$2,quests!$1:$1,0)-MATCH($C$2,quests!$1:$1,0)+1),MATCH(Z$2,quests!$1:$1,0)-MATCH($C$2,quests!$1:$1,0)+1,FALSE)</f>
        <v>0</v>
      </c>
      <c r="AA1043" s="246">
        <f ca="1">VLOOKUP($C1043,OFFSET(quests!$A$1,0,0,COUNTA(quests!$A:$A),MATCH(AA$2,quests!$1:$1,0)-MATCH($C$2,quests!$1:$1,0)+1),MATCH(AA$2,quests!$1:$1,0)-MATCH($C$2,quests!$1:$1,0)+1,FALSE)</f>
        <v>0</v>
      </c>
      <c r="AB1043" s="91" t="s">
        <v>56</v>
      </c>
      <c r="AC1043" s="91">
        <v>24</v>
      </c>
      <c r="AD1043" s="91">
        <v>4</v>
      </c>
      <c r="AE1043" s="91" t="s">
        <v>519</v>
      </c>
      <c r="AF1043" s="91">
        <v>11</v>
      </c>
      <c r="AG1043" s="91">
        <v>0</v>
      </c>
      <c r="AH1043" s="91">
        <v>0</v>
      </c>
      <c r="AI1043" s="91">
        <v>-1</v>
      </c>
      <c r="AJ1043" s="91">
        <v>-1</v>
      </c>
      <c r="AK1043" s="91" t="s">
        <v>1064</v>
      </c>
      <c r="AL1043" s="12" t="s">
        <v>1695</v>
      </c>
      <c r="AM1043" s="12" t="s">
        <v>2072</v>
      </c>
    </row>
    <row r="1044" spans="1:39" ht="21" customHeight="1" x14ac:dyDescent="0.15">
      <c r="A1044" s="42" t="str">
        <f t="shared" ref="A1044" si="125">C1044&amp;"_"&amp;F1044</f>
        <v>65526_1</v>
      </c>
      <c r="B1044" s="244">
        <v>1</v>
      </c>
      <c r="C1044" s="245">
        <v>65526</v>
      </c>
      <c r="D1044" s="246" t="str">
        <f ca="1">VLOOKUP($C1044,OFFSET(quests!$A$1,0,0,COUNTA(quests!$A:$A),MATCH(D$1,quests!$1:$1,0)-MATCH($C$2,quests!$1:$1,0)+1),MATCH(D$1,quests!$1:$1,0)-MATCH($C$2,quests!$1:$1,0)+1,FALSE)</f>
        <v>【LB加藤】検証クエスト</v>
      </c>
      <c r="E1044" s="92" t="str">
        <f ca="1">VLOOKUP($C1044,OFFSET(quests!$A$1,0,0,COUNTA(quests!$A:$A),MATCH(E$2,quests!$1:$1,0)-MATCH($C$2,quests!$1:$1,0)+1),MATCH(E$2,quests!$1:$1,0)-MATCH($C$2,quests!$1:$1,0)+1,FALSE)</f>
        <v>検証</v>
      </c>
      <c r="F1044" s="91">
        <v>1</v>
      </c>
      <c r="G1044" s="91" t="s">
        <v>568</v>
      </c>
      <c r="H1044" s="244" t="s">
        <v>1975</v>
      </c>
      <c r="I1044" s="244" t="s">
        <v>467</v>
      </c>
      <c r="J1044" s="244">
        <v>1</v>
      </c>
      <c r="K1044" s="91">
        <v>1</v>
      </c>
      <c r="L1044" s="91">
        <v>1</v>
      </c>
      <c r="M1044" s="91">
        <v>1</v>
      </c>
      <c r="N1044" s="91">
        <v>1</v>
      </c>
      <c r="O1044" s="91">
        <v>1</v>
      </c>
      <c r="P1044" s="91">
        <v>1</v>
      </c>
      <c r="Q1044" s="91">
        <v>1</v>
      </c>
      <c r="R1044" s="91">
        <v>3</v>
      </c>
      <c r="S1044" s="91" t="s">
        <v>278</v>
      </c>
      <c r="T1044" s="91">
        <v>0</v>
      </c>
      <c r="U1044" s="91" t="s">
        <v>169</v>
      </c>
      <c r="V1044" s="91" t="s">
        <v>169</v>
      </c>
      <c r="W1044" s="246" t="str">
        <f t="shared" ref="W1044:W1066" ca="1" si="126">IF(U1044="NULL","",VLOOKUP($U1044&amp;"_"&amp;$V1044,OFFSET($A$1,0,0,COUNTA($A:$A),MATCH(W$2,$2:$2,0)-MATCH($A$2,$2:$2,0)+1),MATCH(W$2,$2:$2,0)-MATCH($A$2,$2:$2,0)+1,FALSE))</f>
        <v/>
      </c>
      <c r="X1044" s="246">
        <f ca="1">VLOOKUP($C1044,OFFSET(quests!$A$1,0,0,COUNTA(quests!$A:$A),MATCH(X$2,quests!$1:$1,0)-MATCH($C$2,quests!$1:$1,0)+1),MATCH(X$2,quests!$1:$1,0)-MATCH($C$2,quests!$1:$1,0)+1,FALSE)</f>
        <v>0</v>
      </c>
      <c r="Y1044" s="246">
        <f ca="1">VLOOKUP($C1044,OFFSET(quests!$A$1,0,0,COUNTA(quests!$A:$A),MATCH(Y$2,quests!$1:$1,0)-MATCH($C$2,quests!$1:$1,0)+1),MATCH(Y$2,quests!$1:$1,0)-MATCH($C$2,quests!$1:$1,0)+1,FALSE)</f>
        <v>0</v>
      </c>
      <c r="Z1044" s="246">
        <f ca="1">VLOOKUP($C1044,OFFSET(quests!$A$1,0,0,COUNTA(quests!$A:$A),MATCH(Z$2,quests!$1:$1,0)-MATCH($C$2,quests!$1:$1,0)+1),MATCH(Z$2,quests!$1:$1,0)-MATCH($C$2,quests!$1:$1,0)+1,FALSE)</f>
        <v>0</v>
      </c>
      <c r="AA1044" s="246">
        <f ca="1">VLOOKUP($C1044,OFFSET(quests!$A$1,0,0,COUNTA(quests!$A:$A),MATCH(AA$2,quests!$1:$1,0)-MATCH($C$2,quests!$1:$1,0)+1),MATCH(AA$2,quests!$1:$1,0)-MATCH($C$2,quests!$1:$1,0)+1,FALSE)</f>
        <v>0</v>
      </c>
      <c r="AB1044" s="91" t="s">
        <v>56</v>
      </c>
      <c r="AC1044" s="91">
        <v>1</v>
      </c>
      <c r="AD1044" s="91">
        <v>6</v>
      </c>
      <c r="AE1044" s="91" t="s">
        <v>519</v>
      </c>
      <c r="AF1044" s="91">
        <v>11</v>
      </c>
      <c r="AG1044" s="91">
        <v>0</v>
      </c>
      <c r="AH1044" s="91">
        <v>0</v>
      </c>
      <c r="AI1044" s="91">
        <v>-1</v>
      </c>
      <c r="AJ1044" s="91">
        <v>-1</v>
      </c>
      <c r="AK1044" s="91" t="s">
        <v>1064</v>
      </c>
      <c r="AL1044" s="12" t="s">
        <v>1695</v>
      </c>
      <c r="AM1044" s="12" t="s">
        <v>2072</v>
      </c>
    </row>
    <row r="1045" spans="1:39" ht="21" customHeight="1" x14ac:dyDescent="0.15">
      <c r="A1045" s="42" t="str">
        <f t="shared" ref="A1045" si="127">C1045&amp;"_"&amp;F1045</f>
        <v>65526_2</v>
      </c>
      <c r="B1045" s="244">
        <v>1</v>
      </c>
      <c r="C1045" s="245">
        <v>65526</v>
      </c>
      <c r="D1045" s="246" t="str">
        <f ca="1">VLOOKUP($C1045,OFFSET(quests!$A$1,0,0,COUNTA(quests!$A:$A),MATCH(D$1,quests!$1:$1,0)-MATCH($C$2,quests!$1:$1,0)+1),MATCH(D$1,quests!$1:$1,0)-MATCH($C$2,quests!$1:$1,0)+1,FALSE)</f>
        <v>【LB加藤】検証クエスト</v>
      </c>
      <c r="E1045" s="92" t="str">
        <f ca="1">VLOOKUP($C1045,OFFSET(quests!$A$1,0,0,COUNTA(quests!$A:$A),MATCH(E$2,quests!$1:$1,0)-MATCH($C$2,quests!$1:$1,0)+1),MATCH(E$2,quests!$1:$1,0)-MATCH($C$2,quests!$1:$1,0)+1,FALSE)</f>
        <v>検証</v>
      </c>
      <c r="F1045" s="91">
        <v>2</v>
      </c>
      <c r="G1045" s="91" t="s">
        <v>382</v>
      </c>
      <c r="H1045" s="244" t="s">
        <v>1974</v>
      </c>
      <c r="I1045" s="244" t="s">
        <v>467</v>
      </c>
      <c r="J1045" s="244">
        <v>1</v>
      </c>
      <c r="K1045" s="91">
        <v>1</v>
      </c>
      <c r="L1045" s="91">
        <v>1</v>
      </c>
      <c r="M1045" s="91">
        <v>1</v>
      </c>
      <c r="N1045" s="91">
        <v>1</v>
      </c>
      <c r="O1045" s="91">
        <v>1</v>
      </c>
      <c r="P1045" s="91">
        <v>1</v>
      </c>
      <c r="Q1045" s="91">
        <v>1</v>
      </c>
      <c r="R1045" s="91">
        <v>3</v>
      </c>
      <c r="S1045" s="91" t="s">
        <v>278</v>
      </c>
      <c r="T1045" s="91">
        <v>0</v>
      </c>
      <c r="U1045" s="91" t="s">
        <v>169</v>
      </c>
      <c r="V1045" s="91" t="s">
        <v>169</v>
      </c>
      <c r="W1045" s="246" t="str">
        <f t="shared" ca="1" si="126"/>
        <v/>
      </c>
      <c r="X1045" s="246">
        <f ca="1">VLOOKUP($C1045,OFFSET(quests!$A$1,0,0,COUNTA(quests!$A:$A),MATCH(X$2,quests!$1:$1,0)-MATCH($C$2,quests!$1:$1,0)+1),MATCH(X$2,quests!$1:$1,0)-MATCH($C$2,quests!$1:$1,0)+1,FALSE)</f>
        <v>0</v>
      </c>
      <c r="Y1045" s="246">
        <f ca="1">VLOOKUP($C1045,OFFSET(quests!$A$1,0,0,COUNTA(quests!$A:$A),MATCH(Y$2,quests!$1:$1,0)-MATCH($C$2,quests!$1:$1,0)+1),MATCH(Y$2,quests!$1:$1,0)-MATCH($C$2,quests!$1:$1,0)+1,FALSE)</f>
        <v>0</v>
      </c>
      <c r="Z1045" s="246">
        <f ca="1">VLOOKUP($C1045,OFFSET(quests!$A$1,0,0,COUNTA(quests!$A:$A),MATCH(Z$2,quests!$1:$1,0)-MATCH($C$2,quests!$1:$1,0)+1),MATCH(Z$2,quests!$1:$1,0)-MATCH($C$2,quests!$1:$1,0)+1,FALSE)</f>
        <v>0</v>
      </c>
      <c r="AA1045" s="246">
        <f ca="1">VLOOKUP($C1045,OFFSET(quests!$A$1,0,0,COUNTA(quests!$A:$A),MATCH(AA$2,quests!$1:$1,0)-MATCH($C$2,quests!$1:$1,0)+1),MATCH(AA$2,quests!$1:$1,0)-MATCH($C$2,quests!$1:$1,0)+1,FALSE)</f>
        <v>0</v>
      </c>
      <c r="AB1045" s="91" t="s">
        <v>56</v>
      </c>
      <c r="AC1045" s="91">
        <v>1</v>
      </c>
      <c r="AD1045" s="91">
        <v>6</v>
      </c>
      <c r="AE1045" s="91" t="s">
        <v>519</v>
      </c>
      <c r="AF1045" s="91">
        <v>11</v>
      </c>
      <c r="AG1045" s="91">
        <v>0</v>
      </c>
      <c r="AH1045" s="91">
        <v>0</v>
      </c>
      <c r="AI1045" s="91">
        <v>-1</v>
      </c>
      <c r="AJ1045" s="91">
        <v>-1</v>
      </c>
      <c r="AK1045" s="91" t="s">
        <v>1064</v>
      </c>
      <c r="AL1045" s="12" t="s">
        <v>1388</v>
      </c>
      <c r="AM1045" s="12" t="s">
        <v>2072</v>
      </c>
    </row>
    <row r="1046" spans="1:39" ht="21" customHeight="1" x14ac:dyDescent="0.15">
      <c r="A1046" s="42" t="str">
        <f t="shared" ref="A1046" si="128">C1046&amp;"_"&amp;F1046</f>
        <v>65527_1</v>
      </c>
      <c r="B1046" s="244">
        <v>1</v>
      </c>
      <c r="C1046" s="245">
        <v>65527</v>
      </c>
      <c r="D1046" s="246" t="str">
        <f ca="1">VLOOKUP($C1046,OFFSET(quests!$A$1,0,0,COUNTA(quests!$A:$A),MATCH(D$1,quests!$1:$1,0)-MATCH($C$2,quests!$1:$1,0)+1),MATCH(D$1,quests!$1:$1,0)-MATCH($C$2,quests!$1:$1,0)+1,FALSE)</f>
        <v>【LB石川】検証クエスト</v>
      </c>
      <c r="E1046" s="92" t="str">
        <f ca="1">VLOOKUP($C1046,OFFSET(quests!$A$1,0,0,COUNTA(quests!$A:$A),MATCH(E$2,quests!$1:$1,0)-MATCH($C$2,quests!$1:$1,0)+1),MATCH(E$2,quests!$1:$1,0)-MATCH($C$2,quests!$1:$1,0)+1,FALSE)</f>
        <v>検証</v>
      </c>
      <c r="F1046" s="91">
        <v>1</v>
      </c>
      <c r="G1046" s="91" t="s">
        <v>568</v>
      </c>
      <c r="H1046" s="244" t="s">
        <v>2333</v>
      </c>
      <c r="I1046" s="244" t="s">
        <v>467</v>
      </c>
      <c r="J1046" s="244">
        <v>1</v>
      </c>
      <c r="K1046" s="91">
        <v>1</v>
      </c>
      <c r="L1046" s="91">
        <v>1</v>
      </c>
      <c r="M1046" s="91">
        <v>1</v>
      </c>
      <c r="N1046" s="91">
        <v>1</v>
      </c>
      <c r="O1046" s="91">
        <v>1</v>
      </c>
      <c r="P1046" s="91">
        <v>1</v>
      </c>
      <c r="Q1046" s="91">
        <v>1</v>
      </c>
      <c r="R1046" s="91">
        <v>3</v>
      </c>
      <c r="S1046" s="91" t="s">
        <v>278</v>
      </c>
      <c r="T1046" s="91">
        <v>0</v>
      </c>
      <c r="U1046" s="91" t="s">
        <v>169</v>
      </c>
      <c r="V1046" s="91" t="s">
        <v>169</v>
      </c>
      <c r="W1046" s="246" t="str">
        <f t="shared" ca="1" si="126"/>
        <v/>
      </c>
      <c r="X1046" s="246">
        <f ca="1">VLOOKUP($C1046,OFFSET(quests!$A$1,0,0,COUNTA(quests!$A:$A),MATCH(X$2,quests!$1:$1,0)-MATCH($C$2,quests!$1:$1,0)+1),MATCH(X$2,quests!$1:$1,0)-MATCH($C$2,quests!$1:$1,0)+1,FALSE)</f>
        <v>0</v>
      </c>
      <c r="Y1046" s="246">
        <f ca="1">VLOOKUP($C1046,OFFSET(quests!$A$1,0,0,COUNTA(quests!$A:$A),MATCH(Y$2,quests!$1:$1,0)-MATCH($C$2,quests!$1:$1,0)+1),MATCH(Y$2,quests!$1:$1,0)-MATCH($C$2,quests!$1:$1,0)+1,FALSE)</f>
        <v>0</v>
      </c>
      <c r="Z1046" s="246">
        <f ca="1">VLOOKUP($C1046,OFFSET(quests!$A$1,0,0,COUNTA(quests!$A:$A),MATCH(Z$2,quests!$1:$1,0)-MATCH($C$2,quests!$1:$1,0)+1),MATCH(Z$2,quests!$1:$1,0)-MATCH($C$2,quests!$1:$1,0)+1,FALSE)</f>
        <v>0</v>
      </c>
      <c r="AA1046" s="246">
        <f ca="1">VLOOKUP($C1046,OFFSET(quests!$A$1,0,0,COUNTA(quests!$A:$A),MATCH(AA$2,quests!$1:$1,0)-MATCH($C$2,quests!$1:$1,0)+1),MATCH(AA$2,quests!$1:$1,0)-MATCH($C$2,quests!$1:$1,0)+1,FALSE)</f>
        <v>0</v>
      </c>
      <c r="AB1046" s="91" t="s">
        <v>56</v>
      </c>
      <c r="AC1046" s="91">
        <v>1</v>
      </c>
      <c r="AD1046" s="91">
        <v>6</v>
      </c>
      <c r="AE1046" s="91" t="s">
        <v>519</v>
      </c>
      <c r="AF1046" s="91">
        <v>11</v>
      </c>
      <c r="AG1046" s="91">
        <v>0</v>
      </c>
      <c r="AH1046" s="91">
        <v>0</v>
      </c>
      <c r="AI1046" s="91">
        <v>-1</v>
      </c>
      <c r="AJ1046" s="91">
        <v>-1</v>
      </c>
      <c r="AK1046" s="91" t="s">
        <v>1064</v>
      </c>
      <c r="AL1046" s="12" t="s">
        <v>1337</v>
      </c>
      <c r="AM1046" s="12" t="s">
        <v>2072</v>
      </c>
    </row>
    <row r="1047" spans="1:39" ht="21" customHeight="1" x14ac:dyDescent="0.15">
      <c r="A1047" s="42" t="str">
        <f t="shared" ref="A1047" si="129">C1047&amp;"_"&amp;F1047</f>
        <v>65528_1</v>
      </c>
      <c r="B1047" s="244">
        <v>1</v>
      </c>
      <c r="C1047" s="245">
        <v>65528</v>
      </c>
      <c r="D1047" s="246" t="str">
        <f ca="1">VLOOKUP($C1047,OFFSET(quests!$A$1,0,0,COUNTA(quests!$A:$A),MATCH(D$1,quests!$1:$1,0)-MATCH($C$2,quests!$1:$1,0)+1),MATCH(D$1,quests!$1:$1,0)-MATCH($C$2,quests!$1:$1,0)+1,FALSE)</f>
        <v>【LB保堂】検証クエスト</v>
      </c>
      <c r="E1047" s="92" t="str">
        <f ca="1">VLOOKUP($C1047,OFFSET(quests!$A$1,0,0,COUNTA(quests!$A:$A),MATCH(E$2,quests!$1:$1,0)-MATCH($C$2,quests!$1:$1,0)+1),MATCH(E$2,quests!$1:$1,0)-MATCH($C$2,quests!$1:$1,0)+1,FALSE)</f>
        <v>検証</v>
      </c>
      <c r="F1047" s="91">
        <v>1</v>
      </c>
      <c r="G1047" s="91" t="s">
        <v>568</v>
      </c>
      <c r="H1047" s="244" t="s">
        <v>1984</v>
      </c>
      <c r="I1047" s="244" t="s">
        <v>467</v>
      </c>
      <c r="J1047" s="244">
        <v>1</v>
      </c>
      <c r="K1047" s="91">
        <v>1</v>
      </c>
      <c r="L1047" s="91">
        <v>1</v>
      </c>
      <c r="M1047" s="91">
        <v>1</v>
      </c>
      <c r="N1047" s="91">
        <v>1</v>
      </c>
      <c r="O1047" s="91">
        <v>1</v>
      </c>
      <c r="P1047" s="91">
        <v>1</v>
      </c>
      <c r="Q1047" s="91">
        <v>1</v>
      </c>
      <c r="R1047" s="91">
        <v>3</v>
      </c>
      <c r="S1047" s="91" t="s">
        <v>278</v>
      </c>
      <c r="T1047" s="91">
        <v>0</v>
      </c>
      <c r="U1047" s="91" t="s">
        <v>169</v>
      </c>
      <c r="V1047" s="91" t="s">
        <v>169</v>
      </c>
      <c r="W1047" s="246" t="str">
        <f t="shared" ca="1" si="126"/>
        <v/>
      </c>
      <c r="X1047" s="246">
        <f ca="1">VLOOKUP($C1047,OFFSET(quests!$A$1,0,0,COUNTA(quests!$A:$A),MATCH(X$2,quests!$1:$1,0)-MATCH($C$2,quests!$1:$1,0)+1),MATCH(X$2,quests!$1:$1,0)-MATCH($C$2,quests!$1:$1,0)+1,FALSE)</f>
        <v>0</v>
      </c>
      <c r="Y1047" s="246">
        <f ca="1">VLOOKUP($C1047,OFFSET(quests!$A$1,0,0,COUNTA(quests!$A:$A),MATCH(Y$2,quests!$1:$1,0)-MATCH($C$2,quests!$1:$1,0)+1),MATCH(Y$2,quests!$1:$1,0)-MATCH($C$2,quests!$1:$1,0)+1,FALSE)</f>
        <v>0</v>
      </c>
      <c r="Z1047" s="246">
        <f ca="1">VLOOKUP($C1047,OFFSET(quests!$A$1,0,0,COUNTA(quests!$A:$A),MATCH(Z$2,quests!$1:$1,0)-MATCH($C$2,quests!$1:$1,0)+1),MATCH(Z$2,quests!$1:$1,0)-MATCH($C$2,quests!$1:$1,0)+1,FALSE)</f>
        <v>0</v>
      </c>
      <c r="AA1047" s="246">
        <f ca="1">VLOOKUP($C1047,OFFSET(quests!$A$1,0,0,COUNTA(quests!$A:$A),MATCH(AA$2,quests!$1:$1,0)-MATCH($C$2,quests!$1:$1,0)+1),MATCH(AA$2,quests!$1:$1,0)-MATCH($C$2,quests!$1:$1,0)+1,FALSE)</f>
        <v>0</v>
      </c>
      <c r="AB1047" s="91" t="s">
        <v>56</v>
      </c>
      <c r="AC1047" s="91">
        <v>1</v>
      </c>
      <c r="AD1047" s="91">
        <v>6</v>
      </c>
      <c r="AE1047" s="91" t="s">
        <v>519</v>
      </c>
      <c r="AF1047" s="91">
        <v>1225</v>
      </c>
      <c r="AG1047" s="91">
        <v>1330</v>
      </c>
      <c r="AH1047" s="91">
        <v>0</v>
      </c>
      <c r="AI1047" s="91">
        <v>0</v>
      </c>
      <c r="AJ1047" s="91">
        <v>-1</v>
      </c>
      <c r="AK1047" s="91" t="s">
        <v>1064</v>
      </c>
      <c r="AL1047" s="12" t="s">
        <v>1269</v>
      </c>
      <c r="AM1047" s="12" t="s">
        <v>2072</v>
      </c>
    </row>
    <row r="1048" spans="1:39" ht="21" customHeight="1" x14ac:dyDescent="0.15">
      <c r="A1048" s="42" t="str">
        <f>C1048&amp;"_"&amp;F1048</f>
        <v>65529_1</v>
      </c>
      <c r="B1048" s="244">
        <v>1</v>
      </c>
      <c r="C1048" s="245">
        <v>65529</v>
      </c>
      <c r="D1048" s="246" t="str">
        <f ca="1">VLOOKUP($C1048,OFFSET(quests!$A$1,0,0,COUNTA(quests!$A:$A),MATCH(D$1,quests!$1:$1,0)-MATCH($C$2,quests!$1:$1,0)+1),MATCH(D$1,quests!$1:$1,0)-MATCH($C$2,quests!$1:$1,0)+1,FALSE)</f>
        <v>【LB中原】検証クエスト</v>
      </c>
      <c r="E1048" s="92" t="str">
        <f ca="1">VLOOKUP($C1048,OFFSET(quests!$A$1,0,0,COUNTA(quests!$A:$A),MATCH(E$2,quests!$1:$1,0)-MATCH($C$2,quests!$1:$1,0)+1),MATCH(E$2,quests!$1:$1,0)-MATCH($C$2,quests!$1:$1,0)+1,FALSE)</f>
        <v>検証</v>
      </c>
      <c r="F1048" s="91">
        <v>1</v>
      </c>
      <c r="G1048" s="91" t="s">
        <v>382</v>
      </c>
      <c r="H1048" s="244" t="s">
        <v>2428</v>
      </c>
      <c r="I1048" s="244" t="s">
        <v>467</v>
      </c>
      <c r="J1048" s="244">
        <v>1</v>
      </c>
      <c r="K1048" s="91">
        <v>1</v>
      </c>
      <c r="L1048" s="91">
        <v>1</v>
      </c>
      <c r="M1048" s="91">
        <v>1</v>
      </c>
      <c r="N1048" s="91">
        <v>1</v>
      </c>
      <c r="O1048" s="91">
        <v>1</v>
      </c>
      <c r="P1048" s="91">
        <v>1</v>
      </c>
      <c r="Q1048" s="91">
        <v>1</v>
      </c>
      <c r="R1048" s="91">
        <v>3</v>
      </c>
      <c r="S1048" s="91" t="s">
        <v>278</v>
      </c>
      <c r="T1048" s="91">
        <v>0</v>
      </c>
      <c r="U1048" s="91" t="s">
        <v>169</v>
      </c>
      <c r="V1048" s="91" t="s">
        <v>169</v>
      </c>
      <c r="W1048" s="246" t="str">
        <f t="shared" ca="1" si="126"/>
        <v/>
      </c>
      <c r="X1048" s="246">
        <f ca="1">VLOOKUP($C1048,OFFSET(quests!$A$1,0,0,COUNTA(quests!$A:$A),MATCH(X$2,quests!$1:$1,0)-MATCH($C$2,quests!$1:$1,0)+1),MATCH(X$2,quests!$1:$1,0)-MATCH($C$2,quests!$1:$1,0)+1,FALSE)</f>
        <v>0</v>
      </c>
      <c r="Y1048" s="246">
        <f ca="1">VLOOKUP($C1048,OFFSET(quests!$A$1,0,0,COUNTA(quests!$A:$A),MATCH(Y$2,quests!$1:$1,0)-MATCH($C$2,quests!$1:$1,0)+1),MATCH(Y$2,quests!$1:$1,0)-MATCH($C$2,quests!$1:$1,0)+1,FALSE)</f>
        <v>0</v>
      </c>
      <c r="Z1048" s="246">
        <f ca="1">VLOOKUP($C1048,OFFSET(quests!$A$1,0,0,COUNTA(quests!$A:$A),MATCH(Z$2,quests!$1:$1,0)-MATCH($C$2,quests!$1:$1,0)+1),MATCH(Z$2,quests!$1:$1,0)-MATCH($C$2,quests!$1:$1,0)+1,FALSE)</f>
        <v>0</v>
      </c>
      <c r="AA1048" s="246">
        <f ca="1">VLOOKUP($C1048,OFFSET(quests!$A$1,0,0,COUNTA(quests!$A:$A),MATCH(AA$2,quests!$1:$1,0)-MATCH($C$2,quests!$1:$1,0)+1),MATCH(AA$2,quests!$1:$1,0)-MATCH($C$2,quests!$1:$1,0)+1,FALSE)</f>
        <v>0</v>
      </c>
      <c r="AB1048" s="91" t="s">
        <v>56</v>
      </c>
      <c r="AC1048" s="91">
        <v>1</v>
      </c>
      <c r="AD1048" s="91">
        <v>6</v>
      </c>
      <c r="AE1048" s="91" t="s">
        <v>519</v>
      </c>
      <c r="AF1048" s="91">
        <v>11</v>
      </c>
      <c r="AG1048" s="91">
        <v>0</v>
      </c>
      <c r="AH1048" s="91">
        <v>0</v>
      </c>
      <c r="AI1048" s="91">
        <v>-1</v>
      </c>
      <c r="AJ1048" s="91">
        <v>-1</v>
      </c>
      <c r="AK1048" s="91" t="s">
        <v>1064</v>
      </c>
      <c r="AL1048" s="12" t="s">
        <v>1269</v>
      </c>
      <c r="AM1048" s="12" t="s">
        <v>2072</v>
      </c>
    </row>
    <row r="1049" spans="1:39" ht="21" customHeight="1" x14ac:dyDescent="0.15">
      <c r="A1049" s="42" t="str">
        <f t="shared" ref="A1049" si="130">C1049&amp;"_"&amp;F1049</f>
        <v>65530_1</v>
      </c>
      <c r="B1049" s="244">
        <v>1</v>
      </c>
      <c r="C1049" s="245">
        <v>65530</v>
      </c>
      <c r="D1049" s="246" t="str">
        <f ca="1">VLOOKUP($C1049,OFFSET(quests!$A$1,0,0,COUNTA(quests!$A:$A),MATCH(D$1,quests!$1:$1,0)-MATCH($C$2,quests!$1:$1,0)+1),MATCH(D$1,quests!$1:$1,0)-MATCH($C$2,quests!$1:$1,0)+1,FALSE)</f>
        <v>【LB渡邉】検証クエスト</v>
      </c>
      <c r="E1049" s="92" t="str">
        <f ca="1">VLOOKUP($C1049,OFFSET(quests!$A$1,0,0,COUNTA(quests!$A:$A),MATCH(E$2,quests!$1:$1,0)-MATCH($C$2,quests!$1:$1,0)+1),MATCH(E$2,quests!$1:$1,0)-MATCH($C$2,quests!$1:$1,0)+1,FALSE)</f>
        <v>検証</v>
      </c>
      <c r="F1049" s="91">
        <v>1</v>
      </c>
      <c r="G1049" s="91" t="s">
        <v>382</v>
      </c>
      <c r="H1049" s="244" t="s">
        <v>1961</v>
      </c>
      <c r="I1049" s="244" t="s">
        <v>467</v>
      </c>
      <c r="J1049" s="244">
        <v>1</v>
      </c>
      <c r="K1049" s="91">
        <v>1</v>
      </c>
      <c r="L1049" s="91">
        <v>1</v>
      </c>
      <c r="M1049" s="91">
        <v>1</v>
      </c>
      <c r="N1049" s="91">
        <v>1</v>
      </c>
      <c r="O1049" s="91">
        <v>1</v>
      </c>
      <c r="P1049" s="91">
        <v>1</v>
      </c>
      <c r="Q1049" s="91">
        <v>1</v>
      </c>
      <c r="R1049" s="91">
        <v>3</v>
      </c>
      <c r="S1049" s="91" t="s">
        <v>278</v>
      </c>
      <c r="T1049" s="91">
        <v>0</v>
      </c>
      <c r="U1049" s="91" t="s">
        <v>169</v>
      </c>
      <c r="V1049" s="91" t="s">
        <v>169</v>
      </c>
      <c r="W1049" s="246" t="str">
        <f t="shared" ca="1" si="126"/>
        <v/>
      </c>
      <c r="X1049" s="246">
        <f ca="1">VLOOKUP($C1049,OFFSET(quests!$A$1,0,0,COUNTA(quests!$A:$A),MATCH(X$2,quests!$1:$1,0)-MATCH($C$2,quests!$1:$1,0)+1),MATCH(X$2,quests!$1:$1,0)-MATCH($C$2,quests!$1:$1,0)+1,FALSE)</f>
        <v>0</v>
      </c>
      <c r="Y1049" s="246">
        <f ca="1">VLOOKUP($C1049,OFFSET(quests!$A$1,0,0,COUNTA(quests!$A:$A),MATCH(Y$2,quests!$1:$1,0)-MATCH($C$2,quests!$1:$1,0)+1),MATCH(Y$2,quests!$1:$1,0)-MATCH($C$2,quests!$1:$1,0)+1,FALSE)</f>
        <v>0</v>
      </c>
      <c r="Z1049" s="246">
        <f ca="1">VLOOKUP($C1049,OFFSET(quests!$A$1,0,0,COUNTA(quests!$A:$A),MATCH(Z$2,quests!$1:$1,0)-MATCH($C$2,quests!$1:$1,0)+1),MATCH(Z$2,quests!$1:$1,0)-MATCH($C$2,quests!$1:$1,0)+1,FALSE)</f>
        <v>0</v>
      </c>
      <c r="AA1049" s="246">
        <f ca="1">VLOOKUP($C1049,OFFSET(quests!$A$1,0,0,COUNTA(quests!$A:$A),MATCH(AA$2,quests!$1:$1,0)-MATCH($C$2,quests!$1:$1,0)+1),MATCH(AA$2,quests!$1:$1,0)-MATCH($C$2,quests!$1:$1,0)+1,FALSE)</f>
        <v>0</v>
      </c>
      <c r="AB1049" s="91" t="s">
        <v>56</v>
      </c>
      <c r="AC1049" s="91">
        <v>1</v>
      </c>
      <c r="AD1049" s="91">
        <v>6</v>
      </c>
      <c r="AE1049" s="91" t="s">
        <v>519</v>
      </c>
      <c r="AF1049" s="91">
        <v>11</v>
      </c>
      <c r="AG1049" s="91">
        <v>0</v>
      </c>
      <c r="AH1049" s="91">
        <v>0</v>
      </c>
      <c r="AI1049" s="91">
        <v>-1</v>
      </c>
      <c r="AJ1049" s="91">
        <v>-1</v>
      </c>
      <c r="AK1049" s="91" t="s">
        <v>1064</v>
      </c>
      <c r="AL1049" s="12" t="s">
        <v>1337</v>
      </c>
      <c r="AM1049" s="12" t="s">
        <v>2072</v>
      </c>
    </row>
    <row r="1050" spans="1:39" ht="21" customHeight="1" x14ac:dyDescent="0.15">
      <c r="A1050" s="42" t="str">
        <f t="shared" ref="A1050:A1052" si="131">C1050&amp;"_"&amp;F1050</f>
        <v>65531_1</v>
      </c>
      <c r="B1050" s="244">
        <v>1</v>
      </c>
      <c r="C1050" s="245">
        <v>65531</v>
      </c>
      <c r="D1050" s="246" t="str">
        <f ca="1">VLOOKUP($C1050,OFFSET(quests!$A$1,0,0,COUNTA(quests!$A:$A),MATCH(D$1,quests!$1:$1,0)-MATCH($C$2,quests!$1:$1,0)+1),MATCH(D$1,quests!$1:$1,0)-MATCH($C$2,quests!$1:$1,0)+1,FALSE)</f>
        <v>【LB塚本】検証クエスト</v>
      </c>
      <c r="E1050" s="92" t="str">
        <f ca="1">VLOOKUP($C1050,OFFSET(quests!$A$1,0,0,COUNTA(quests!$A:$A),MATCH(E$2,quests!$1:$1,0)-MATCH($C$2,quests!$1:$1,0)+1),MATCH(E$2,quests!$1:$1,0)-MATCH($C$2,quests!$1:$1,0)+1,FALSE)</f>
        <v>検証</v>
      </c>
      <c r="F1050" s="91">
        <v>1</v>
      </c>
      <c r="G1050" s="91" t="s">
        <v>568</v>
      </c>
      <c r="H1050" s="244" t="s">
        <v>1930</v>
      </c>
      <c r="I1050" s="244" t="s">
        <v>467</v>
      </c>
      <c r="J1050" s="244">
        <v>1</v>
      </c>
      <c r="K1050" s="91">
        <v>1</v>
      </c>
      <c r="L1050" s="91">
        <v>1</v>
      </c>
      <c r="M1050" s="91">
        <v>1</v>
      </c>
      <c r="N1050" s="91">
        <v>1</v>
      </c>
      <c r="O1050" s="91">
        <v>1</v>
      </c>
      <c r="P1050" s="91">
        <v>1</v>
      </c>
      <c r="Q1050" s="91">
        <v>1</v>
      </c>
      <c r="R1050" s="91">
        <v>3</v>
      </c>
      <c r="S1050" s="91" t="s">
        <v>278</v>
      </c>
      <c r="T1050" s="91">
        <v>0</v>
      </c>
      <c r="U1050" s="91" t="s">
        <v>169</v>
      </c>
      <c r="V1050" s="91" t="s">
        <v>169</v>
      </c>
      <c r="W1050" s="246" t="str">
        <f t="shared" ca="1" si="126"/>
        <v/>
      </c>
      <c r="X1050" s="246">
        <f ca="1">VLOOKUP($C1050,OFFSET(quests!$A$1,0,0,COUNTA(quests!$A:$A),MATCH(X$2,quests!$1:$1,0)-MATCH($C$2,quests!$1:$1,0)+1),MATCH(X$2,quests!$1:$1,0)-MATCH($C$2,quests!$1:$1,0)+1,FALSE)</f>
        <v>0</v>
      </c>
      <c r="Y1050" s="246">
        <f ca="1">VLOOKUP($C1050,OFFSET(quests!$A$1,0,0,COUNTA(quests!$A:$A),MATCH(Y$2,quests!$1:$1,0)-MATCH($C$2,quests!$1:$1,0)+1),MATCH(Y$2,quests!$1:$1,0)-MATCH($C$2,quests!$1:$1,0)+1,FALSE)</f>
        <v>0</v>
      </c>
      <c r="Z1050" s="246">
        <f ca="1">VLOOKUP($C1050,OFFSET(quests!$A$1,0,0,COUNTA(quests!$A:$A),MATCH(Z$2,quests!$1:$1,0)-MATCH($C$2,quests!$1:$1,0)+1),MATCH(Z$2,quests!$1:$1,0)-MATCH($C$2,quests!$1:$1,0)+1,FALSE)</f>
        <v>0</v>
      </c>
      <c r="AA1050" s="246">
        <f ca="1">VLOOKUP($C1050,OFFSET(quests!$A$1,0,0,COUNTA(quests!$A:$A),MATCH(AA$2,quests!$1:$1,0)-MATCH($C$2,quests!$1:$1,0)+1),MATCH(AA$2,quests!$1:$1,0)-MATCH($C$2,quests!$1:$1,0)+1,FALSE)</f>
        <v>0</v>
      </c>
      <c r="AB1050" s="91" t="s">
        <v>56</v>
      </c>
      <c r="AC1050" s="91">
        <v>1</v>
      </c>
      <c r="AD1050" s="91">
        <v>6</v>
      </c>
      <c r="AE1050" s="91" t="s">
        <v>519</v>
      </c>
      <c r="AF1050" s="91">
        <v>11</v>
      </c>
      <c r="AG1050" s="91">
        <v>0</v>
      </c>
      <c r="AH1050" s="91">
        <v>0</v>
      </c>
      <c r="AI1050" s="91">
        <v>-1</v>
      </c>
      <c r="AJ1050" s="91">
        <v>-1</v>
      </c>
      <c r="AK1050" s="91" t="s">
        <v>1064</v>
      </c>
      <c r="AL1050" s="12" t="s">
        <v>1337</v>
      </c>
      <c r="AM1050" s="12" t="s">
        <v>2072</v>
      </c>
    </row>
    <row r="1051" spans="1:39" ht="21" customHeight="1" x14ac:dyDescent="0.15">
      <c r="A1051" s="42" t="str">
        <f t="shared" ref="A1051" si="132">C1051&amp;"_"&amp;F1051</f>
        <v>65531_2</v>
      </c>
      <c r="B1051" s="244">
        <v>1</v>
      </c>
      <c r="C1051" s="245">
        <v>65531</v>
      </c>
      <c r="D1051" s="246" t="str">
        <f ca="1">VLOOKUP($C1051,OFFSET(quests!$A$1,0,0,COUNTA(quests!$A:$A),MATCH(D$1,quests!$1:$1,0)-MATCH($C$2,quests!$1:$1,0)+1),MATCH(D$1,quests!$1:$1,0)-MATCH($C$2,quests!$1:$1,0)+1,FALSE)</f>
        <v>【LB塚本】検証クエスト</v>
      </c>
      <c r="E1051" s="92" t="str">
        <f ca="1">VLOOKUP($C1051,OFFSET(quests!$A$1,0,0,COUNTA(quests!$A:$A),MATCH(E$2,quests!$1:$1,0)-MATCH($C$2,quests!$1:$1,0)+1),MATCH(E$2,quests!$1:$1,0)-MATCH($C$2,quests!$1:$1,0)+1,FALSE)</f>
        <v>検証</v>
      </c>
      <c r="F1051" s="91">
        <v>2</v>
      </c>
      <c r="G1051" s="91" t="s">
        <v>382</v>
      </c>
      <c r="H1051" s="244" t="s">
        <v>1932</v>
      </c>
      <c r="I1051" s="244" t="s">
        <v>467</v>
      </c>
      <c r="J1051" s="244">
        <v>1</v>
      </c>
      <c r="K1051" s="91">
        <v>1</v>
      </c>
      <c r="L1051" s="91">
        <v>1</v>
      </c>
      <c r="M1051" s="91">
        <v>1</v>
      </c>
      <c r="N1051" s="91">
        <v>1</v>
      </c>
      <c r="O1051" s="91">
        <v>1</v>
      </c>
      <c r="P1051" s="91">
        <v>1</v>
      </c>
      <c r="Q1051" s="91">
        <v>1</v>
      </c>
      <c r="R1051" s="91">
        <v>3</v>
      </c>
      <c r="S1051" s="91" t="s">
        <v>278</v>
      </c>
      <c r="T1051" s="91">
        <v>0</v>
      </c>
      <c r="U1051" s="91" t="s">
        <v>169</v>
      </c>
      <c r="V1051" s="91" t="s">
        <v>169</v>
      </c>
      <c r="W1051" s="246" t="str">
        <f t="shared" ca="1" si="126"/>
        <v/>
      </c>
      <c r="X1051" s="246">
        <f ca="1">VLOOKUP($C1051,OFFSET(quests!$A$1,0,0,COUNTA(quests!$A:$A),MATCH(X$2,quests!$1:$1,0)-MATCH($C$2,quests!$1:$1,0)+1),MATCH(X$2,quests!$1:$1,0)-MATCH($C$2,quests!$1:$1,0)+1,FALSE)</f>
        <v>0</v>
      </c>
      <c r="Y1051" s="246">
        <f ca="1">VLOOKUP($C1051,OFFSET(quests!$A$1,0,0,COUNTA(quests!$A:$A),MATCH(Y$2,quests!$1:$1,0)-MATCH($C$2,quests!$1:$1,0)+1),MATCH(Y$2,quests!$1:$1,0)-MATCH($C$2,quests!$1:$1,0)+1,FALSE)</f>
        <v>0</v>
      </c>
      <c r="Z1051" s="246">
        <f ca="1">VLOOKUP($C1051,OFFSET(quests!$A$1,0,0,COUNTA(quests!$A:$A),MATCH(Z$2,quests!$1:$1,0)-MATCH($C$2,quests!$1:$1,0)+1),MATCH(Z$2,quests!$1:$1,0)-MATCH($C$2,quests!$1:$1,0)+1,FALSE)</f>
        <v>0</v>
      </c>
      <c r="AA1051" s="246">
        <f ca="1">VLOOKUP($C1051,OFFSET(quests!$A$1,0,0,COUNTA(quests!$A:$A),MATCH(AA$2,quests!$1:$1,0)-MATCH($C$2,quests!$1:$1,0)+1),MATCH(AA$2,quests!$1:$1,0)-MATCH($C$2,quests!$1:$1,0)+1,FALSE)</f>
        <v>0</v>
      </c>
      <c r="AB1051" s="91" t="s">
        <v>56</v>
      </c>
      <c r="AC1051" s="91">
        <v>1</v>
      </c>
      <c r="AD1051" s="91">
        <v>6</v>
      </c>
      <c r="AE1051" s="91" t="s">
        <v>519</v>
      </c>
      <c r="AF1051" s="91">
        <v>11</v>
      </c>
      <c r="AG1051" s="91">
        <v>0</v>
      </c>
      <c r="AH1051" s="91">
        <v>0</v>
      </c>
      <c r="AI1051" s="91">
        <v>-1</v>
      </c>
      <c r="AJ1051" s="91">
        <v>-1</v>
      </c>
      <c r="AK1051" s="91" t="s">
        <v>1064</v>
      </c>
      <c r="AL1051" s="12" t="s">
        <v>1269</v>
      </c>
      <c r="AM1051" s="12" t="s">
        <v>2072</v>
      </c>
    </row>
    <row r="1052" spans="1:39" ht="21" customHeight="1" x14ac:dyDescent="0.15">
      <c r="A1052" s="42" t="str">
        <f t="shared" si="131"/>
        <v>65532_1</v>
      </c>
      <c r="B1052" s="244">
        <v>1</v>
      </c>
      <c r="C1052" s="245">
        <v>65532</v>
      </c>
      <c r="D1052" s="246" t="str">
        <f ca="1">VLOOKUP($C1052,OFFSET(quests!$A$1,0,0,COUNTA(quests!$A:$A),MATCH(D$1,quests!$1:$1,0)-MATCH($C$2,quests!$1:$1,0)+1),MATCH(D$1,quests!$1:$1,0)-MATCH($C$2,quests!$1:$1,0)+1,FALSE)</f>
        <v>【LB山川】検証クエスト</v>
      </c>
      <c r="E1052" s="92" t="str">
        <f ca="1">VLOOKUP($C1052,OFFSET(quests!$A$1,0,0,COUNTA(quests!$A:$A),MATCH(E$2,quests!$1:$1,0)-MATCH($C$2,quests!$1:$1,0)+1),MATCH(E$2,quests!$1:$1,0)-MATCH($C$2,quests!$1:$1,0)+1,FALSE)</f>
        <v>検証</v>
      </c>
      <c r="F1052" s="91">
        <v>1</v>
      </c>
      <c r="G1052" s="91" t="s">
        <v>568</v>
      </c>
      <c r="H1052" s="244" t="s">
        <v>1929</v>
      </c>
      <c r="I1052" s="244" t="s">
        <v>467</v>
      </c>
      <c r="J1052" s="244">
        <v>1</v>
      </c>
      <c r="K1052" s="91">
        <v>1</v>
      </c>
      <c r="L1052" s="91">
        <v>1</v>
      </c>
      <c r="M1052" s="91">
        <v>1</v>
      </c>
      <c r="N1052" s="91">
        <v>1</v>
      </c>
      <c r="O1052" s="91">
        <v>1</v>
      </c>
      <c r="P1052" s="91">
        <v>1</v>
      </c>
      <c r="Q1052" s="91">
        <v>1</v>
      </c>
      <c r="R1052" s="91">
        <v>3</v>
      </c>
      <c r="S1052" s="91" t="s">
        <v>278</v>
      </c>
      <c r="T1052" s="91">
        <v>0</v>
      </c>
      <c r="U1052" s="91" t="s">
        <v>169</v>
      </c>
      <c r="V1052" s="91" t="s">
        <v>169</v>
      </c>
      <c r="W1052" s="246" t="str">
        <f t="shared" ca="1" si="126"/>
        <v/>
      </c>
      <c r="X1052" s="246">
        <f ca="1">VLOOKUP($C1052,OFFSET(quests!$A$1,0,0,COUNTA(quests!$A:$A),MATCH(X$2,quests!$1:$1,0)-MATCH($C$2,quests!$1:$1,0)+1),MATCH(X$2,quests!$1:$1,0)-MATCH($C$2,quests!$1:$1,0)+1,FALSE)</f>
        <v>0</v>
      </c>
      <c r="Y1052" s="246">
        <f ca="1">VLOOKUP($C1052,OFFSET(quests!$A$1,0,0,COUNTA(quests!$A:$A),MATCH(Y$2,quests!$1:$1,0)-MATCH($C$2,quests!$1:$1,0)+1),MATCH(Y$2,quests!$1:$1,0)-MATCH($C$2,quests!$1:$1,0)+1,FALSE)</f>
        <v>0</v>
      </c>
      <c r="Z1052" s="246">
        <f ca="1">VLOOKUP($C1052,OFFSET(quests!$A$1,0,0,COUNTA(quests!$A:$A),MATCH(Z$2,quests!$1:$1,0)-MATCH($C$2,quests!$1:$1,0)+1),MATCH(Z$2,quests!$1:$1,0)-MATCH($C$2,quests!$1:$1,0)+1,FALSE)</f>
        <v>0</v>
      </c>
      <c r="AA1052" s="246">
        <f ca="1">VLOOKUP($C1052,OFFSET(quests!$A$1,0,0,COUNTA(quests!$A:$A),MATCH(AA$2,quests!$1:$1,0)-MATCH($C$2,quests!$1:$1,0)+1),MATCH(AA$2,quests!$1:$1,0)-MATCH($C$2,quests!$1:$1,0)+1,FALSE)</f>
        <v>0</v>
      </c>
      <c r="AB1052" s="91" t="s">
        <v>56</v>
      </c>
      <c r="AC1052" s="91">
        <v>1</v>
      </c>
      <c r="AD1052" s="91">
        <v>6</v>
      </c>
      <c r="AE1052" s="91" t="s">
        <v>519</v>
      </c>
      <c r="AF1052" s="91">
        <v>11</v>
      </c>
      <c r="AG1052" s="91">
        <v>0</v>
      </c>
      <c r="AH1052" s="91">
        <v>0</v>
      </c>
      <c r="AI1052" s="91">
        <v>-1</v>
      </c>
      <c r="AJ1052" s="91">
        <v>-1</v>
      </c>
      <c r="AK1052" s="91" t="s">
        <v>1064</v>
      </c>
      <c r="AL1052" s="12" t="s">
        <v>1337</v>
      </c>
      <c r="AM1052" s="12" t="s">
        <v>2072</v>
      </c>
    </row>
    <row r="1053" spans="1:39" ht="21" customHeight="1" x14ac:dyDescent="0.15">
      <c r="A1053" s="42" t="str">
        <f t="shared" ref="A1053" si="133">C1053&amp;"_"&amp;F1053</f>
        <v>65532_2</v>
      </c>
      <c r="B1053" s="244">
        <v>1</v>
      </c>
      <c r="C1053" s="245">
        <v>65532</v>
      </c>
      <c r="D1053" s="246" t="str">
        <f ca="1">VLOOKUP($C1053,OFFSET(quests!$A$1,0,0,COUNTA(quests!$A:$A),MATCH(D$1,quests!$1:$1,0)-MATCH($C$2,quests!$1:$1,0)+1),MATCH(D$1,quests!$1:$1,0)-MATCH($C$2,quests!$1:$1,0)+1,FALSE)</f>
        <v>【LB山川】検証クエスト</v>
      </c>
      <c r="E1053" s="92" t="str">
        <f ca="1">VLOOKUP($C1053,OFFSET(quests!$A$1,0,0,COUNTA(quests!$A:$A),MATCH(E$2,quests!$1:$1,0)-MATCH($C$2,quests!$1:$1,0)+1),MATCH(E$2,quests!$1:$1,0)-MATCH($C$2,quests!$1:$1,0)+1,FALSE)</f>
        <v>検証</v>
      </c>
      <c r="F1053" s="91">
        <v>2</v>
      </c>
      <c r="G1053" s="91" t="s">
        <v>382</v>
      </c>
      <c r="H1053" s="244" t="s">
        <v>1931</v>
      </c>
      <c r="I1053" s="244" t="s">
        <v>467</v>
      </c>
      <c r="J1053" s="244">
        <v>1</v>
      </c>
      <c r="K1053" s="91">
        <v>1</v>
      </c>
      <c r="L1053" s="91">
        <v>1</v>
      </c>
      <c r="M1053" s="91">
        <v>1</v>
      </c>
      <c r="N1053" s="91">
        <v>1</v>
      </c>
      <c r="O1053" s="91">
        <v>1</v>
      </c>
      <c r="P1053" s="91">
        <v>1</v>
      </c>
      <c r="Q1053" s="91">
        <v>1</v>
      </c>
      <c r="R1053" s="91">
        <v>3</v>
      </c>
      <c r="S1053" s="91" t="s">
        <v>278</v>
      </c>
      <c r="T1053" s="91">
        <v>0</v>
      </c>
      <c r="U1053" s="91" t="s">
        <v>169</v>
      </c>
      <c r="V1053" s="91" t="s">
        <v>169</v>
      </c>
      <c r="W1053" s="246" t="str">
        <f t="shared" ca="1" si="126"/>
        <v/>
      </c>
      <c r="X1053" s="246">
        <f ca="1">VLOOKUP($C1053,OFFSET(quests!$A$1,0,0,COUNTA(quests!$A:$A),MATCH(X$2,quests!$1:$1,0)-MATCH($C$2,quests!$1:$1,0)+1),MATCH(X$2,quests!$1:$1,0)-MATCH($C$2,quests!$1:$1,0)+1,FALSE)</f>
        <v>0</v>
      </c>
      <c r="Y1053" s="246">
        <f ca="1">VLOOKUP($C1053,OFFSET(quests!$A$1,0,0,COUNTA(quests!$A:$A),MATCH(Y$2,quests!$1:$1,0)-MATCH($C$2,quests!$1:$1,0)+1),MATCH(Y$2,quests!$1:$1,0)-MATCH($C$2,quests!$1:$1,0)+1,FALSE)</f>
        <v>0</v>
      </c>
      <c r="Z1053" s="246">
        <f ca="1">VLOOKUP($C1053,OFFSET(quests!$A$1,0,0,COUNTA(quests!$A:$A),MATCH(Z$2,quests!$1:$1,0)-MATCH($C$2,quests!$1:$1,0)+1),MATCH(Z$2,quests!$1:$1,0)-MATCH($C$2,quests!$1:$1,0)+1,FALSE)</f>
        <v>0</v>
      </c>
      <c r="AA1053" s="246">
        <f ca="1">VLOOKUP($C1053,OFFSET(quests!$A$1,0,0,COUNTA(quests!$A:$A),MATCH(AA$2,quests!$1:$1,0)-MATCH($C$2,quests!$1:$1,0)+1),MATCH(AA$2,quests!$1:$1,0)-MATCH($C$2,quests!$1:$1,0)+1,FALSE)</f>
        <v>0</v>
      </c>
      <c r="AB1053" s="91" t="s">
        <v>56</v>
      </c>
      <c r="AC1053" s="91">
        <v>1</v>
      </c>
      <c r="AD1053" s="91">
        <v>6</v>
      </c>
      <c r="AE1053" s="91" t="s">
        <v>519</v>
      </c>
      <c r="AF1053" s="91">
        <v>11</v>
      </c>
      <c r="AG1053" s="91">
        <v>0</v>
      </c>
      <c r="AH1053" s="91">
        <v>0</v>
      </c>
      <c r="AI1053" s="91">
        <v>-1</v>
      </c>
      <c r="AJ1053" s="91">
        <v>-1</v>
      </c>
      <c r="AK1053" s="91" t="s">
        <v>1064</v>
      </c>
      <c r="AL1053" s="12" t="s">
        <v>1269</v>
      </c>
      <c r="AM1053" s="12" t="s">
        <v>2072</v>
      </c>
    </row>
    <row r="1054" spans="1:39" ht="21" customHeight="1" x14ac:dyDescent="0.15">
      <c r="A1054" s="42" t="str">
        <f t="shared" si="106"/>
        <v>65533_1</v>
      </c>
      <c r="B1054" s="244">
        <v>1</v>
      </c>
      <c r="C1054" s="245">
        <v>65533</v>
      </c>
      <c r="D1054" s="246" t="str">
        <f ca="1">VLOOKUP($C1054,OFFSET(quests!$A$1,0,0,COUNTA(quests!$A:$A),MATCH(D$1,quests!$1:$1,0)-MATCH($C$2,quests!$1:$1,0)+1),MATCH(D$1,quests!$1:$1,0)-MATCH($C$2,quests!$1:$1,0)+1,FALSE)</f>
        <v>【程塚】検証クエスト</v>
      </c>
      <c r="E1054" s="92" t="str">
        <f ca="1">VLOOKUP($C1054,OFFSET(quests!$A$1,0,0,COUNTA(quests!$A:$A),MATCH(E$2,quests!$1:$1,0)-MATCH($C$2,quests!$1:$1,0)+1),MATCH(E$2,quests!$1:$1,0)-MATCH($C$2,quests!$1:$1,0)+1,FALSE)</f>
        <v>検証</v>
      </c>
      <c r="F1054" s="91">
        <v>1</v>
      </c>
      <c r="G1054" s="91" t="s">
        <v>382</v>
      </c>
      <c r="H1054" s="244" t="s">
        <v>777</v>
      </c>
      <c r="I1054" s="244" t="s">
        <v>576</v>
      </c>
      <c r="J1054" s="244">
        <v>458</v>
      </c>
      <c r="K1054" s="91">
        <v>30</v>
      </c>
      <c r="L1054" s="91">
        <v>3300</v>
      </c>
      <c r="M1054" s="91">
        <v>1</v>
      </c>
      <c r="N1054" s="91">
        <v>1</v>
      </c>
      <c r="O1054" s="91">
        <v>1</v>
      </c>
      <c r="P1054" s="91">
        <v>1</v>
      </c>
      <c r="Q1054" s="91">
        <v>1</v>
      </c>
      <c r="R1054" s="91">
        <v>3</v>
      </c>
      <c r="S1054" s="91" t="s">
        <v>79</v>
      </c>
      <c r="T1054" s="91">
        <v>0</v>
      </c>
      <c r="U1054" s="91" t="s">
        <v>169</v>
      </c>
      <c r="V1054" s="91" t="s">
        <v>169</v>
      </c>
      <c r="W1054" s="246" t="str">
        <f t="shared" ca="1" si="126"/>
        <v/>
      </c>
      <c r="X1054" s="246">
        <f ca="1">VLOOKUP($C1054,OFFSET(quests!$A$1,0,0,COUNTA(quests!$A:$A),MATCH(X$2,quests!$1:$1,0)-MATCH($C$2,quests!$1:$1,0)+1),MATCH(X$2,quests!$1:$1,0)-MATCH($C$2,quests!$1:$1,0)+1,FALSE)</f>
        <v>0</v>
      </c>
      <c r="Y1054" s="246">
        <f ca="1">VLOOKUP($C1054,OFFSET(quests!$A$1,0,0,COUNTA(quests!$A:$A),MATCH(Y$2,quests!$1:$1,0)-MATCH($C$2,quests!$1:$1,0)+1),MATCH(Y$2,quests!$1:$1,0)-MATCH($C$2,quests!$1:$1,0)+1,FALSE)</f>
        <v>0</v>
      </c>
      <c r="Z1054" s="246">
        <f ca="1">VLOOKUP($C1054,OFFSET(quests!$A$1,0,0,COUNTA(quests!$A:$A),MATCH(Z$2,quests!$1:$1,0)-MATCH($C$2,quests!$1:$1,0)+1),MATCH(Z$2,quests!$1:$1,0)-MATCH($C$2,quests!$1:$1,0)+1,FALSE)</f>
        <v>0</v>
      </c>
      <c r="AA1054" s="246">
        <f ca="1">VLOOKUP($C1054,OFFSET(quests!$A$1,0,0,COUNTA(quests!$A:$A),MATCH(AA$2,quests!$1:$1,0)-MATCH($C$2,quests!$1:$1,0)+1),MATCH(AA$2,quests!$1:$1,0)-MATCH($C$2,quests!$1:$1,0)+1,FALSE)</f>
        <v>0</v>
      </c>
      <c r="AB1054" s="91" t="s">
        <v>56</v>
      </c>
      <c r="AC1054" s="91">
        <v>13</v>
      </c>
      <c r="AD1054" s="91">
        <v>6</v>
      </c>
      <c r="AE1054" s="91" t="s">
        <v>519</v>
      </c>
      <c r="AF1054" s="91">
        <v>11</v>
      </c>
      <c r="AG1054" s="91">
        <v>0</v>
      </c>
      <c r="AH1054" s="91">
        <v>0</v>
      </c>
      <c r="AI1054" s="91">
        <v>0</v>
      </c>
      <c r="AJ1054" s="91">
        <v>-1</v>
      </c>
      <c r="AK1054" s="91" t="s">
        <v>1065</v>
      </c>
      <c r="AL1054" s="12" t="s">
        <v>1695</v>
      </c>
      <c r="AM1054" s="12" t="s">
        <v>2072</v>
      </c>
    </row>
    <row r="1055" spans="1:39" ht="21" customHeight="1" x14ac:dyDescent="0.15">
      <c r="A1055" s="42" t="str">
        <f t="shared" si="106"/>
        <v>65533_2</v>
      </c>
      <c r="B1055" s="244">
        <v>1</v>
      </c>
      <c r="C1055" s="245">
        <v>65533</v>
      </c>
      <c r="D1055" s="246" t="str">
        <f ca="1">VLOOKUP($C1055,OFFSET(quests!$A$1,0,0,COUNTA(quests!$A:$A),MATCH(D$1,quests!$1:$1,0)-MATCH($C$2,quests!$1:$1,0)+1),MATCH(D$1,quests!$1:$1,0)-MATCH($C$2,quests!$1:$1,0)+1,FALSE)</f>
        <v>【程塚】検証クエスト</v>
      </c>
      <c r="E1055" s="92" t="str">
        <f ca="1">VLOOKUP($C1055,OFFSET(quests!$A$1,0,0,COUNTA(quests!$A:$A),MATCH(E$2,quests!$1:$1,0)-MATCH($C$2,quests!$1:$1,0)+1),MATCH(E$2,quests!$1:$1,0)-MATCH($C$2,quests!$1:$1,0)+1,FALSE)</f>
        <v>検証</v>
      </c>
      <c r="F1055" s="91">
        <v>2</v>
      </c>
      <c r="G1055" s="91" t="s">
        <v>382</v>
      </c>
      <c r="H1055" s="244" t="s">
        <v>778</v>
      </c>
      <c r="I1055" s="244" t="s">
        <v>534</v>
      </c>
      <c r="J1055" s="244">
        <v>459</v>
      </c>
      <c r="K1055" s="91">
        <v>35</v>
      </c>
      <c r="L1055" s="91">
        <v>4200</v>
      </c>
      <c r="M1055" s="91">
        <v>1</v>
      </c>
      <c r="N1055" s="91">
        <v>1</v>
      </c>
      <c r="O1055" s="91">
        <v>1</v>
      </c>
      <c r="P1055" s="91">
        <v>1</v>
      </c>
      <c r="Q1055" s="91">
        <v>1</v>
      </c>
      <c r="R1055" s="91">
        <v>3</v>
      </c>
      <c r="S1055" s="91" t="s">
        <v>278</v>
      </c>
      <c r="T1055" s="91">
        <v>1</v>
      </c>
      <c r="U1055" s="91" t="s">
        <v>169</v>
      </c>
      <c r="V1055" s="91" t="s">
        <v>169</v>
      </c>
      <c r="W1055" s="246" t="str">
        <f t="shared" ca="1" si="126"/>
        <v/>
      </c>
      <c r="X1055" s="246">
        <f ca="1">VLOOKUP($C1055,OFFSET(quests!$A$1,0,0,COUNTA(quests!$A:$A),MATCH(X$2,quests!$1:$1,0)-MATCH($C$2,quests!$1:$1,0)+1),MATCH(X$2,quests!$1:$1,0)-MATCH($C$2,quests!$1:$1,0)+1,FALSE)</f>
        <v>0</v>
      </c>
      <c r="Y1055" s="246">
        <f ca="1">VLOOKUP($C1055,OFFSET(quests!$A$1,0,0,COUNTA(quests!$A:$A),MATCH(Y$2,quests!$1:$1,0)-MATCH($C$2,quests!$1:$1,0)+1),MATCH(Y$2,quests!$1:$1,0)-MATCH($C$2,quests!$1:$1,0)+1,FALSE)</f>
        <v>0</v>
      </c>
      <c r="Z1055" s="246">
        <f ca="1">VLOOKUP($C1055,OFFSET(quests!$A$1,0,0,COUNTA(quests!$A:$A),MATCH(Z$2,quests!$1:$1,0)-MATCH($C$2,quests!$1:$1,0)+1),MATCH(Z$2,quests!$1:$1,0)-MATCH($C$2,quests!$1:$1,0)+1,FALSE)</f>
        <v>0</v>
      </c>
      <c r="AA1055" s="246">
        <f ca="1">VLOOKUP($C1055,OFFSET(quests!$A$1,0,0,COUNTA(quests!$A:$A),MATCH(AA$2,quests!$1:$1,0)-MATCH($C$2,quests!$1:$1,0)+1),MATCH(AA$2,quests!$1:$1,0)-MATCH($C$2,quests!$1:$1,0)+1,FALSE)</f>
        <v>0</v>
      </c>
      <c r="AB1055" s="91" t="s">
        <v>56</v>
      </c>
      <c r="AC1055" s="91">
        <v>13</v>
      </c>
      <c r="AD1055" s="91">
        <v>6</v>
      </c>
      <c r="AE1055" s="91" t="s">
        <v>519</v>
      </c>
      <c r="AF1055" s="91">
        <v>11</v>
      </c>
      <c r="AG1055" s="91">
        <v>0</v>
      </c>
      <c r="AH1055" s="91">
        <v>0</v>
      </c>
      <c r="AI1055" s="91">
        <v>0</v>
      </c>
      <c r="AJ1055" s="91">
        <v>-1</v>
      </c>
      <c r="AK1055" s="91" t="s">
        <v>1065</v>
      </c>
      <c r="AL1055" s="12" t="s">
        <v>1695</v>
      </c>
      <c r="AM1055" s="12" t="s">
        <v>2072</v>
      </c>
    </row>
    <row r="1056" spans="1:39" ht="21" customHeight="1" x14ac:dyDescent="0.15">
      <c r="A1056" s="42" t="str">
        <f t="shared" si="106"/>
        <v>65534_1</v>
      </c>
      <c r="B1056" s="244">
        <v>1</v>
      </c>
      <c r="C1056" s="245">
        <v>65534</v>
      </c>
      <c r="D1056" s="246" t="str">
        <f ca="1">VLOOKUP($C1056,OFFSET(quests!$A$1,0,0,COUNTA(quests!$A:$A),MATCH(D$1,quests!$1:$1,0)-MATCH($C$2,quests!$1:$1,0)+1),MATCH(D$1,quests!$1:$1,0)-MATCH($C$2,quests!$1:$1,0)+1,FALSE)</f>
        <v>【LB大野】検証クエスト</v>
      </c>
      <c r="E1056" s="92" t="str">
        <f ca="1">VLOOKUP($C1056,OFFSET(quests!$A$1,0,0,COUNTA(quests!$A:$A),MATCH(E$2,quests!$1:$1,0)-MATCH($C$2,quests!$1:$1,0)+1),MATCH(E$2,quests!$1:$1,0)-MATCH($C$2,quests!$1:$1,0)+1,FALSE)</f>
        <v>検証</v>
      </c>
      <c r="F1056" s="91">
        <v>1</v>
      </c>
      <c r="G1056" s="91" t="s">
        <v>568</v>
      </c>
      <c r="H1056" s="244" t="s">
        <v>2332</v>
      </c>
      <c r="I1056" s="244" t="s">
        <v>467</v>
      </c>
      <c r="J1056" s="244">
        <v>1</v>
      </c>
      <c r="K1056" s="91">
        <v>1</v>
      </c>
      <c r="L1056" s="91">
        <v>1</v>
      </c>
      <c r="M1056" s="91">
        <v>1</v>
      </c>
      <c r="N1056" s="91">
        <v>1</v>
      </c>
      <c r="O1056" s="91">
        <v>1</v>
      </c>
      <c r="P1056" s="91">
        <v>1</v>
      </c>
      <c r="Q1056" s="91">
        <v>1</v>
      </c>
      <c r="R1056" s="91">
        <v>3</v>
      </c>
      <c r="S1056" s="91" t="s">
        <v>278</v>
      </c>
      <c r="T1056" s="91">
        <v>0</v>
      </c>
      <c r="U1056" s="91" t="s">
        <v>169</v>
      </c>
      <c r="V1056" s="91" t="s">
        <v>169</v>
      </c>
      <c r="W1056" s="246" t="str">
        <f t="shared" ca="1" si="126"/>
        <v/>
      </c>
      <c r="X1056" s="246">
        <f ca="1">VLOOKUP($C1056,OFFSET(quests!$A$1,0,0,COUNTA(quests!$A:$A),MATCH(X$2,quests!$1:$1,0)-MATCH($C$2,quests!$1:$1,0)+1),MATCH(X$2,quests!$1:$1,0)-MATCH($C$2,quests!$1:$1,0)+1,FALSE)</f>
        <v>0</v>
      </c>
      <c r="Y1056" s="246">
        <f ca="1">VLOOKUP($C1056,OFFSET(quests!$A$1,0,0,COUNTA(quests!$A:$A),MATCH(Y$2,quests!$1:$1,0)-MATCH($C$2,quests!$1:$1,0)+1),MATCH(Y$2,quests!$1:$1,0)-MATCH($C$2,quests!$1:$1,0)+1,FALSE)</f>
        <v>0</v>
      </c>
      <c r="Z1056" s="246">
        <f ca="1">VLOOKUP($C1056,OFFSET(quests!$A$1,0,0,COUNTA(quests!$A:$A),MATCH(Z$2,quests!$1:$1,0)-MATCH($C$2,quests!$1:$1,0)+1),MATCH(Z$2,quests!$1:$1,0)-MATCH($C$2,quests!$1:$1,0)+1,FALSE)</f>
        <v>0</v>
      </c>
      <c r="AA1056" s="246">
        <f ca="1">VLOOKUP($C1056,OFFSET(quests!$A$1,0,0,COUNTA(quests!$A:$A),MATCH(AA$2,quests!$1:$1,0)-MATCH($C$2,quests!$1:$1,0)+1),MATCH(AA$2,quests!$1:$1,0)-MATCH($C$2,quests!$1:$1,0)+1,FALSE)</f>
        <v>0</v>
      </c>
      <c r="AB1056" s="91" t="s">
        <v>56</v>
      </c>
      <c r="AC1056" s="91">
        <v>24</v>
      </c>
      <c r="AD1056" s="91">
        <v>6</v>
      </c>
      <c r="AE1056" s="91" t="s">
        <v>519</v>
      </c>
      <c r="AF1056" s="91">
        <v>11</v>
      </c>
      <c r="AG1056" s="91">
        <v>0</v>
      </c>
      <c r="AH1056" s="91">
        <v>0</v>
      </c>
      <c r="AI1056" s="91">
        <v>-1</v>
      </c>
      <c r="AJ1056" s="91">
        <v>-1</v>
      </c>
      <c r="AK1056" s="91" t="s">
        <v>1064</v>
      </c>
      <c r="AL1056" s="12" t="s">
        <v>1695</v>
      </c>
      <c r="AM1056" s="12" t="s">
        <v>2072</v>
      </c>
    </row>
    <row r="1057" spans="1:39" ht="21" customHeight="1" x14ac:dyDescent="0.15">
      <c r="A1057" s="89" t="str">
        <f t="shared" si="106"/>
        <v>65535_1</v>
      </c>
      <c r="B1057" s="90">
        <v>1</v>
      </c>
      <c r="C1057" s="91">
        <v>65535</v>
      </c>
      <c r="D1057" s="92" t="str">
        <f ca="1">VLOOKUP($C1057,OFFSET(quests!$A$1,0,0,COUNTA(quests!$A:$A),MATCH(D$1,quests!$1:$1,0)-MATCH($C$2,quests!$1:$1,0)+1),MATCH(D$1,quests!$1:$1,0)-MATCH($C$2,quests!$1:$1,0)+1,FALSE)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57" s="92" t="str">
        <f ca="1">VLOOKUP($C1057,OFFSET(quests!$A$1,0,0,COUNTA(quests!$A:$A),MATCH(E$2,quests!$1:$1,0)-MATCH($C$2,quests!$1:$1,0)+1),MATCH(E$2,quests!$1:$1,0)-MATCH($C$2,quests!$1:$1,0)+1,FALSE)</f>
        <v>検証</v>
      </c>
      <c r="F1057" s="91">
        <v>1</v>
      </c>
      <c r="G1057" s="91" t="s">
        <v>570</v>
      </c>
      <c r="H1057" s="90" t="s">
        <v>590</v>
      </c>
      <c r="I1057" s="90" t="s">
        <v>468</v>
      </c>
      <c r="J1057" s="93" t="s">
        <v>469</v>
      </c>
      <c r="K1057" s="91">
        <v>1</v>
      </c>
      <c r="L1057" s="94">
        <v>1</v>
      </c>
      <c r="M1057" s="91">
        <v>1</v>
      </c>
      <c r="N1057" s="91">
        <v>1</v>
      </c>
      <c r="O1057" s="91">
        <v>1</v>
      </c>
      <c r="P1057" s="91">
        <v>1</v>
      </c>
      <c r="Q1057" s="91">
        <v>1</v>
      </c>
      <c r="R1057" s="91">
        <v>3</v>
      </c>
      <c r="S1057" s="91" t="s">
        <v>79</v>
      </c>
      <c r="T1057" s="91">
        <v>0</v>
      </c>
      <c r="U1057" s="91" t="s">
        <v>169</v>
      </c>
      <c r="V1057" s="91" t="s">
        <v>169</v>
      </c>
      <c r="W1057" s="92" t="str">
        <f t="shared" ca="1" si="126"/>
        <v/>
      </c>
      <c r="X1057" s="246">
        <f ca="1">VLOOKUP($C1057,OFFSET(quests!$A$1,0,0,COUNTA(quests!$A:$A),MATCH(X$2,quests!$1:$1,0)-MATCH($C$2,quests!$1:$1,0)+1),MATCH(X$2,quests!$1:$1,0)-MATCH($C$2,quests!$1:$1,0)+1,FALSE)</f>
        <v>0</v>
      </c>
      <c r="Y1057" s="246">
        <f ca="1">VLOOKUP($C1057,OFFSET(quests!$A$1,0,0,COUNTA(quests!$A:$A),MATCH(Y$2,quests!$1:$1,0)-MATCH($C$2,quests!$1:$1,0)+1),MATCH(Y$2,quests!$1:$1,0)-MATCH($C$2,quests!$1:$1,0)+1,FALSE)</f>
        <v>0</v>
      </c>
      <c r="Z1057" s="246">
        <f ca="1">VLOOKUP($C1057,OFFSET(quests!$A$1,0,0,COUNTA(quests!$A:$A),MATCH(Z$2,quests!$1:$1,0)-MATCH($C$2,quests!$1:$1,0)+1),MATCH(Z$2,quests!$1:$1,0)-MATCH($C$2,quests!$1:$1,0)+1,FALSE)</f>
        <v>0</v>
      </c>
      <c r="AA1057" s="246">
        <f ca="1">VLOOKUP($C1057,OFFSET(quests!$A$1,0,0,COUNTA(quests!$A:$A),MATCH(AA$2,quests!$1:$1,0)-MATCH($C$2,quests!$1:$1,0)+1),MATCH(AA$2,quests!$1:$1,0)-MATCH($C$2,quests!$1:$1,0)+1,FALSE)</f>
        <v>0</v>
      </c>
      <c r="AB1057" s="91" t="s">
        <v>56</v>
      </c>
      <c r="AC1057" s="91">
        <v>903</v>
      </c>
      <c r="AD1057" s="91">
        <v>6</v>
      </c>
      <c r="AE1057" s="91" t="s">
        <v>519</v>
      </c>
      <c r="AF1057" s="91">
        <v>0</v>
      </c>
      <c r="AG1057" s="91">
        <v>0</v>
      </c>
      <c r="AH1057" s="7">
        <v>0</v>
      </c>
      <c r="AI1057" s="91">
        <v>-1</v>
      </c>
      <c r="AJ1057" s="91">
        <v>-1</v>
      </c>
      <c r="AK1057" s="7" t="s">
        <v>1064</v>
      </c>
      <c r="AL1057" s="12" t="s">
        <v>1695</v>
      </c>
      <c r="AM1057" s="12" t="s">
        <v>2072</v>
      </c>
    </row>
    <row r="1058" spans="1:39" ht="21" customHeight="1" x14ac:dyDescent="0.15">
      <c r="A1058" s="89" t="str">
        <f t="shared" si="106"/>
        <v>65535_2</v>
      </c>
      <c r="B1058" s="90">
        <v>1</v>
      </c>
      <c r="C1058" s="91">
        <v>65535</v>
      </c>
      <c r="D1058" s="92" t="str">
        <f ca="1">VLOOKUP($C1058,OFFSET(quests!$A$1,0,0,COUNTA(quests!$A:$A),MATCH(D$1,quests!$1:$1,0)-MATCH($C$2,quests!$1:$1,0)+1),MATCH(D$1,quests!$1:$1,0)-MATCH($C$2,quests!$1:$1,0)+1,FALSE)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58" s="92" t="str">
        <f ca="1">VLOOKUP($C1058,OFFSET(quests!$A$1,0,0,COUNTA(quests!$A:$A),MATCH(E$2,quests!$1:$1,0)-MATCH($C$2,quests!$1:$1,0)+1),MATCH(E$2,quests!$1:$1,0)-MATCH($C$2,quests!$1:$1,0)+1,FALSE)</f>
        <v>検証</v>
      </c>
      <c r="F1058" s="91">
        <v>2</v>
      </c>
      <c r="G1058" s="91" t="s">
        <v>570</v>
      </c>
      <c r="H1058" s="90" t="s">
        <v>528</v>
      </c>
      <c r="I1058" s="90" t="s">
        <v>467</v>
      </c>
      <c r="J1058" s="93" t="s">
        <v>469</v>
      </c>
      <c r="K1058" s="91">
        <v>1</v>
      </c>
      <c r="L1058" s="94">
        <v>65535</v>
      </c>
      <c r="M1058" s="91">
        <v>1</v>
      </c>
      <c r="N1058" s="91">
        <v>1</v>
      </c>
      <c r="O1058" s="91">
        <v>1</v>
      </c>
      <c r="P1058" s="91">
        <v>1</v>
      </c>
      <c r="Q1058" s="91">
        <v>1</v>
      </c>
      <c r="R1058" s="91">
        <v>3</v>
      </c>
      <c r="S1058" s="91" t="s">
        <v>79</v>
      </c>
      <c r="T1058" s="91">
        <v>0</v>
      </c>
      <c r="U1058" s="91" t="s">
        <v>169</v>
      </c>
      <c r="V1058" s="91" t="s">
        <v>169</v>
      </c>
      <c r="W1058" s="92" t="str">
        <f t="shared" ca="1" si="126"/>
        <v/>
      </c>
      <c r="X1058" s="246">
        <f ca="1">VLOOKUP($C1058,OFFSET(quests!$A$1,0,0,COUNTA(quests!$A:$A),MATCH(X$2,quests!$1:$1,0)-MATCH($C$2,quests!$1:$1,0)+1),MATCH(X$2,quests!$1:$1,0)-MATCH($C$2,quests!$1:$1,0)+1,FALSE)</f>
        <v>0</v>
      </c>
      <c r="Y1058" s="246">
        <f ca="1">VLOOKUP($C1058,OFFSET(quests!$A$1,0,0,COUNTA(quests!$A:$A),MATCH(Y$2,quests!$1:$1,0)-MATCH($C$2,quests!$1:$1,0)+1),MATCH(Y$2,quests!$1:$1,0)-MATCH($C$2,quests!$1:$1,0)+1,FALSE)</f>
        <v>0</v>
      </c>
      <c r="Z1058" s="246">
        <f ca="1">VLOOKUP($C1058,OFFSET(quests!$A$1,0,0,COUNTA(quests!$A:$A),MATCH(Z$2,quests!$1:$1,0)-MATCH($C$2,quests!$1:$1,0)+1),MATCH(Z$2,quests!$1:$1,0)-MATCH($C$2,quests!$1:$1,0)+1,FALSE)</f>
        <v>0</v>
      </c>
      <c r="AA1058" s="246">
        <f ca="1">VLOOKUP($C1058,OFFSET(quests!$A$1,0,0,COUNTA(quests!$A:$A),MATCH(AA$2,quests!$1:$1,0)-MATCH($C$2,quests!$1:$1,0)+1),MATCH(AA$2,quests!$1:$1,0)-MATCH($C$2,quests!$1:$1,0)+1,FALSE)</f>
        <v>0</v>
      </c>
      <c r="AB1058" s="91" t="s">
        <v>56</v>
      </c>
      <c r="AC1058" s="91">
        <v>903</v>
      </c>
      <c r="AD1058" s="91">
        <v>6</v>
      </c>
      <c r="AE1058" s="91" t="s">
        <v>519</v>
      </c>
      <c r="AF1058" s="91">
        <v>0</v>
      </c>
      <c r="AG1058" s="91">
        <v>0</v>
      </c>
      <c r="AH1058" s="7">
        <v>0</v>
      </c>
      <c r="AI1058" s="91">
        <v>-1</v>
      </c>
      <c r="AJ1058" s="91">
        <v>-1</v>
      </c>
      <c r="AK1058" s="7" t="s">
        <v>1064</v>
      </c>
      <c r="AL1058" s="12" t="s">
        <v>1695</v>
      </c>
      <c r="AM1058" s="12" t="s">
        <v>2072</v>
      </c>
    </row>
    <row r="1059" spans="1:39" ht="21" customHeight="1" x14ac:dyDescent="0.15">
      <c r="A1059" s="89" t="str">
        <f t="shared" si="106"/>
        <v>65535_3</v>
      </c>
      <c r="B1059" s="90">
        <v>1</v>
      </c>
      <c r="C1059" s="91">
        <v>65535</v>
      </c>
      <c r="D1059" s="92" t="str">
        <f ca="1">VLOOKUP($C1059,OFFSET(quests!$A$1,0,0,COUNTA(quests!$A:$A),MATCH(D$1,quests!$1:$1,0)-MATCH($C$2,quests!$1:$1,0)+1),MATCH(D$1,quests!$1:$1,0)-MATCH($C$2,quests!$1:$1,0)+1,FALSE)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59" s="92" t="str">
        <f ca="1">VLOOKUP($C1059,OFFSET(quests!$A$1,0,0,COUNTA(quests!$A:$A),MATCH(E$2,quests!$1:$1,0)-MATCH($C$2,quests!$1:$1,0)+1),MATCH(E$2,quests!$1:$1,0)-MATCH($C$2,quests!$1:$1,0)+1,FALSE)</f>
        <v>検証</v>
      </c>
      <c r="F1059" s="91">
        <v>3</v>
      </c>
      <c r="G1059" s="91" t="s">
        <v>1022</v>
      </c>
      <c r="H1059" s="90" t="s">
        <v>918</v>
      </c>
      <c r="I1059" s="90" t="s">
        <v>467</v>
      </c>
      <c r="J1059" s="93" t="s">
        <v>469</v>
      </c>
      <c r="K1059" s="91">
        <v>1</v>
      </c>
      <c r="L1059" s="94">
        <v>1</v>
      </c>
      <c r="M1059" s="91">
        <v>1</v>
      </c>
      <c r="N1059" s="91">
        <v>1</v>
      </c>
      <c r="O1059" s="91">
        <v>1</v>
      </c>
      <c r="P1059" s="91">
        <v>1</v>
      </c>
      <c r="Q1059" s="91">
        <v>1</v>
      </c>
      <c r="R1059" s="91">
        <v>3</v>
      </c>
      <c r="S1059" s="91" t="s">
        <v>79</v>
      </c>
      <c r="T1059" s="91">
        <v>0</v>
      </c>
      <c r="U1059" s="91" t="s">
        <v>169</v>
      </c>
      <c r="V1059" s="91" t="s">
        <v>169</v>
      </c>
      <c r="W1059" s="92" t="str">
        <f t="shared" ca="1" si="126"/>
        <v/>
      </c>
      <c r="X1059" s="246">
        <f ca="1">VLOOKUP($C1059,OFFSET(quests!$A$1,0,0,COUNTA(quests!$A:$A),MATCH(X$2,quests!$1:$1,0)-MATCH($C$2,quests!$1:$1,0)+1),MATCH(X$2,quests!$1:$1,0)-MATCH($C$2,quests!$1:$1,0)+1,FALSE)</f>
        <v>0</v>
      </c>
      <c r="Y1059" s="246">
        <f ca="1">VLOOKUP($C1059,OFFSET(quests!$A$1,0,0,COUNTA(quests!$A:$A),MATCH(Y$2,quests!$1:$1,0)-MATCH($C$2,quests!$1:$1,0)+1),MATCH(Y$2,quests!$1:$1,0)-MATCH($C$2,quests!$1:$1,0)+1,FALSE)</f>
        <v>0</v>
      </c>
      <c r="Z1059" s="246">
        <f ca="1">VLOOKUP($C1059,OFFSET(quests!$A$1,0,0,COUNTA(quests!$A:$A),MATCH(Z$2,quests!$1:$1,0)-MATCH($C$2,quests!$1:$1,0)+1),MATCH(Z$2,quests!$1:$1,0)-MATCH($C$2,quests!$1:$1,0)+1,FALSE)</f>
        <v>0</v>
      </c>
      <c r="AA1059" s="246">
        <f ca="1">VLOOKUP($C1059,OFFSET(quests!$A$1,0,0,COUNTA(quests!$A:$A),MATCH(AA$2,quests!$1:$1,0)-MATCH($C$2,quests!$1:$1,0)+1),MATCH(AA$2,quests!$1:$1,0)-MATCH($C$2,quests!$1:$1,0)+1,FALSE)</f>
        <v>0</v>
      </c>
      <c r="AB1059" s="91" t="s">
        <v>56</v>
      </c>
      <c r="AC1059" s="91">
        <v>105</v>
      </c>
      <c r="AD1059" s="91">
        <v>6</v>
      </c>
      <c r="AE1059" s="91" t="s">
        <v>519</v>
      </c>
      <c r="AF1059" s="91">
        <v>1</v>
      </c>
      <c r="AG1059" s="91">
        <v>0</v>
      </c>
      <c r="AH1059" s="7">
        <v>0</v>
      </c>
      <c r="AI1059" s="91">
        <v>-1</v>
      </c>
      <c r="AJ1059" s="91">
        <v>-1</v>
      </c>
      <c r="AK1059" s="7" t="s">
        <v>1064</v>
      </c>
      <c r="AL1059" s="12" t="s">
        <v>1695</v>
      </c>
      <c r="AM1059" s="12" t="s">
        <v>2072</v>
      </c>
    </row>
    <row r="1060" spans="1:39" ht="21" customHeight="1" x14ac:dyDescent="0.15">
      <c r="A1060" s="89" t="str">
        <f t="shared" si="106"/>
        <v>65535_4</v>
      </c>
      <c r="B1060" s="90">
        <v>1</v>
      </c>
      <c r="C1060" s="91">
        <v>65535</v>
      </c>
      <c r="D1060" s="92" t="str">
        <f ca="1">VLOOKUP($C1060,OFFSET(quests!$A$1,0,0,COUNTA(quests!$A:$A),MATCH(D$1,quests!$1:$1,0)-MATCH($C$2,quests!$1:$1,0)+1),MATCH(D$1,quests!$1:$1,0)-MATCH($C$2,quests!$1:$1,0)+1,FALSE)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0" s="92" t="str">
        <f ca="1">VLOOKUP($C1060,OFFSET(quests!$A$1,0,0,COUNTA(quests!$A:$A),MATCH(E$2,quests!$1:$1,0)-MATCH($C$2,quests!$1:$1,0)+1),MATCH(E$2,quests!$1:$1,0)-MATCH($C$2,quests!$1:$1,0)+1,FALSE)</f>
        <v>検証</v>
      </c>
      <c r="F1060" s="91">
        <v>4</v>
      </c>
      <c r="G1060" s="91" t="s">
        <v>568</v>
      </c>
      <c r="H1060" s="90" t="s">
        <v>1295</v>
      </c>
      <c r="I1060" s="90" t="s">
        <v>467</v>
      </c>
      <c r="J1060" s="93" t="s">
        <v>469</v>
      </c>
      <c r="K1060" s="91">
        <v>1</v>
      </c>
      <c r="L1060" s="94">
        <v>1</v>
      </c>
      <c r="M1060" s="91">
        <v>1</v>
      </c>
      <c r="N1060" s="91">
        <v>1</v>
      </c>
      <c r="O1060" s="91">
        <v>1</v>
      </c>
      <c r="P1060" s="91">
        <v>1</v>
      </c>
      <c r="Q1060" s="91">
        <v>1</v>
      </c>
      <c r="R1060" s="91">
        <v>3</v>
      </c>
      <c r="S1060" s="91" t="s">
        <v>79</v>
      </c>
      <c r="T1060" s="91">
        <v>0</v>
      </c>
      <c r="U1060" s="91" t="s">
        <v>169</v>
      </c>
      <c r="V1060" s="91" t="s">
        <v>169</v>
      </c>
      <c r="W1060" s="92" t="str">
        <f t="shared" ca="1" si="126"/>
        <v/>
      </c>
      <c r="X1060" s="246">
        <f ca="1">VLOOKUP($C1060,OFFSET(quests!$A$1,0,0,COUNTA(quests!$A:$A),MATCH(X$2,quests!$1:$1,0)-MATCH($C$2,quests!$1:$1,0)+1),MATCH(X$2,quests!$1:$1,0)-MATCH($C$2,quests!$1:$1,0)+1,FALSE)</f>
        <v>0</v>
      </c>
      <c r="Y1060" s="246">
        <f ca="1">VLOOKUP($C1060,OFFSET(quests!$A$1,0,0,COUNTA(quests!$A:$A),MATCH(Y$2,quests!$1:$1,0)-MATCH($C$2,quests!$1:$1,0)+1),MATCH(Y$2,quests!$1:$1,0)-MATCH($C$2,quests!$1:$1,0)+1,FALSE)</f>
        <v>0</v>
      </c>
      <c r="Z1060" s="246">
        <f ca="1">VLOOKUP($C1060,OFFSET(quests!$A$1,0,0,COUNTA(quests!$A:$A),MATCH(Z$2,quests!$1:$1,0)-MATCH($C$2,quests!$1:$1,0)+1),MATCH(Z$2,quests!$1:$1,0)-MATCH($C$2,quests!$1:$1,0)+1,FALSE)</f>
        <v>0</v>
      </c>
      <c r="AA1060" s="246">
        <f ca="1">VLOOKUP($C1060,OFFSET(quests!$A$1,0,0,COUNTA(quests!$A:$A),MATCH(AA$2,quests!$1:$1,0)-MATCH($C$2,quests!$1:$1,0)+1),MATCH(AA$2,quests!$1:$1,0)-MATCH($C$2,quests!$1:$1,0)+1,FALSE)</f>
        <v>0</v>
      </c>
      <c r="AB1060" s="91" t="s">
        <v>56</v>
      </c>
      <c r="AC1060" s="91">
        <v>105</v>
      </c>
      <c r="AD1060" s="91">
        <v>6</v>
      </c>
      <c r="AE1060" s="91" t="s">
        <v>519</v>
      </c>
      <c r="AF1060" s="91">
        <v>1</v>
      </c>
      <c r="AG1060" s="91">
        <v>0</v>
      </c>
      <c r="AH1060" s="7">
        <v>0</v>
      </c>
      <c r="AI1060" s="91">
        <v>-1</v>
      </c>
      <c r="AJ1060" s="91">
        <v>-1</v>
      </c>
      <c r="AK1060" s="7" t="s">
        <v>1064</v>
      </c>
      <c r="AL1060" s="12" t="s">
        <v>1695</v>
      </c>
      <c r="AM1060" s="12" t="s">
        <v>2072</v>
      </c>
    </row>
    <row r="1061" spans="1:39" ht="21" customHeight="1" x14ac:dyDescent="0.15">
      <c r="A1061" s="89" t="str">
        <f t="shared" si="106"/>
        <v>65535_5</v>
      </c>
      <c r="B1061" s="90">
        <v>1</v>
      </c>
      <c r="C1061" s="91">
        <v>65535</v>
      </c>
      <c r="D1061" s="92" t="str">
        <f ca="1">VLOOKUP($C1061,OFFSET(quests!$A$1,0,0,COUNTA(quests!$A:$A),MATCH(D$1,quests!$1:$1,0)-MATCH($C$2,quests!$1:$1,0)+1),MATCH(D$1,quests!$1:$1,0)-MATCH($C$2,quests!$1:$1,0)+1,FALSE)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1" s="92" t="str">
        <f ca="1">VLOOKUP($C1061,OFFSET(quests!$A$1,0,0,COUNTA(quests!$A:$A),MATCH(E$2,quests!$1:$1,0)-MATCH($C$2,quests!$1:$1,0)+1),MATCH(E$2,quests!$1:$1,0)-MATCH($C$2,quests!$1:$1,0)+1,FALSE)</f>
        <v>検証</v>
      </c>
      <c r="F1061" s="91">
        <v>5</v>
      </c>
      <c r="G1061" s="91" t="s">
        <v>568</v>
      </c>
      <c r="H1061" s="90" t="s">
        <v>1296</v>
      </c>
      <c r="I1061" s="90" t="s">
        <v>467</v>
      </c>
      <c r="J1061" s="93" t="s">
        <v>169</v>
      </c>
      <c r="K1061" s="91">
        <v>1</v>
      </c>
      <c r="L1061" s="94">
        <v>1</v>
      </c>
      <c r="M1061" s="91">
        <v>1</v>
      </c>
      <c r="N1061" s="91">
        <v>1</v>
      </c>
      <c r="O1061" s="91">
        <v>1</v>
      </c>
      <c r="P1061" s="91">
        <v>1</v>
      </c>
      <c r="Q1061" s="91">
        <v>1</v>
      </c>
      <c r="R1061" s="91">
        <v>3</v>
      </c>
      <c r="S1061" s="91" t="s">
        <v>79</v>
      </c>
      <c r="T1061" s="91">
        <v>0</v>
      </c>
      <c r="U1061" s="91" t="s">
        <v>169</v>
      </c>
      <c r="V1061" s="91" t="s">
        <v>169</v>
      </c>
      <c r="W1061" s="92" t="str">
        <f t="shared" ca="1" si="126"/>
        <v/>
      </c>
      <c r="X1061" s="246">
        <f ca="1">VLOOKUP($C1061,OFFSET(quests!$A$1,0,0,COUNTA(quests!$A:$A),MATCH(X$2,quests!$1:$1,0)-MATCH($C$2,quests!$1:$1,0)+1),MATCH(X$2,quests!$1:$1,0)-MATCH($C$2,quests!$1:$1,0)+1,FALSE)</f>
        <v>0</v>
      </c>
      <c r="Y1061" s="246">
        <f ca="1">VLOOKUP($C1061,OFFSET(quests!$A$1,0,0,COUNTA(quests!$A:$A),MATCH(Y$2,quests!$1:$1,0)-MATCH($C$2,quests!$1:$1,0)+1),MATCH(Y$2,quests!$1:$1,0)-MATCH($C$2,quests!$1:$1,0)+1,FALSE)</f>
        <v>0</v>
      </c>
      <c r="Z1061" s="246">
        <f ca="1">VLOOKUP($C1061,OFFSET(quests!$A$1,0,0,COUNTA(quests!$A:$A),MATCH(Z$2,quests!$1:$1,0)-MATCH($C$2,quests!$1:$1,0)+1),MATCH(Z$2,quests!$1:$1,0)-MATCH($C$2,quests!$1:$1,0)+1,FALSE)</f>
        <v>0</v>
      </c>
      <c r="AA1061" s="246">
        <f ca="1">VLOOKUP($C1061,OFFSET(quests!$A$1,0,0,COUNTA(quests!$A:$A),MATCH(AA$2,quests!$1:$1,0)-MATCH($C$2,quests!$1:$1,0)+1),MATCH(AA$2,quests!$1:$1,0)-MATCH($C$2,quests!$1:$1,0)+1,FALSE)</f>
        <v>0</v>
      </c>
      <c r="AB1061" s="91" t="s">
        <v>56</v>
      </c>
      <c r="AC1061" s="91">
        <v>105</v>
      </c>
      <c r="AD1061" s="91">
        <v>6</v>
      </c>
      <c r="AE1061" s="91" t="s">
        <v>519</v>
      </c>
      <c r="AF1061" s="91">
        <v>1</v>
      </c>
      <c r="AG1061" s="91">
        <v>0</v>
      </c>
      <c r="AH1061" s="7">
        <v>0</v>
      </c>
      <c r="AI1061" s="91">
        <v>-1</v>
      </c>
      <c r="AJ1061" s="91">
        <v>-1</v>
      </c>
      <c r="AK1061" s="7" t="s">
        <v>1064</v>
      </c>
      <c r="AL1061" s="12" t="s">
        <v>1695</v>
      </c>
      <c r="AM1061" s="12" t="s">
        <v>2072</v>
      </c>
    </row>
    <row r="1062" spans="1:39" ht="21" customHeight="1" x14ac:dyDescent="0.15">
      <c r="A1062" s="89" t="str">
        <f t="shared" si="106"/>
        <v>65535_6</v>
      </c>
      <c r="B1062" s="90">
        <v>1</v>
      </c>
      <c r="C1062" s="91">
        <v>65535</v>
      </c>
      <c r="D1062" s="92" t="str">
        <f ca="1">VLOOKUP($C1062,OFFSET(quests!$A$1,0,0,COUNTA(quests!$A:$A),MATCH(D$1,quests!$1:$1,0)-MATCH($C$2,quests!$1:$1,0)+1),MATCH(D$1,quests!$1:$1,0)-MATCH($C$2,quests!$1:$1,0)+1,FALSE)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2" s="92" t="str">
        <f ca="1">VLOOKUP($C1062,OFFSET(quests!$A$1,0,0,COUNTA(quests!$A:$A),MATCH(E$2,quests!$1:$1,0)-MATCH($C$2,quests!$1:$1,0)+1),MATCH(E$2,quests!$1:$1,0)-MATCH($C$2,quests!$1:$1,0)+1,FALSE)</f>
        <v>検証</v>
      </c>
      <c r="F1062" s="91">
        <v>6</v>
      </c>
      <c r="G1062" s="91" t="s">
        <v>568</v>
      </c>
      <c r="H1062" s="90" t="s">
        <v>1297</v>
      </c>
      <c r="I1062" s="90" t="s">
        <v>467</v>
      </c>
      <c r="J1062" s="93" t="s">
        <v>169</v>
      </c>
      <c r="K1062" s="91">
        <v>1</v>
      </c>
      <c r="L1062" s="94">
        <v>1</v>
      </c>
      <c r="M1062" s="91">
        <v>1</v>
      </c>
      <c r="N1062" s="91">
        <v>1</v>
      </c>
      <c r="O1062" s="91">
        <v>1</v>
      </c>
      <c r="P1062" s="91">
        <v>1</v>
      </c>
      <c r="Q1062" s="91">
        <v>1</v>
      </c>
      <c r="R1062" s="91">
        <v>3</v>
      </c>
      <c r="S1062" s="91" t="s">
        <v>79</v>
      </c>
      <c r="T1062" s="91">
        <v>0</v>
      </c>
      <c r="U1062" s="91" t="s">
        <v>169</v>
      </c>
      <c r="V1062" s="91" t="s">
        <v>169</v>
      </c>
      <c r="W1062" s="92" t="str">
        <f t="shared" ca="1" si="126"/>
        <v/>
      </c>
      <c r="X1062" s="246">
        <f ca="1">VLOOKUP($C1062,OFFSET(quests!$A$1,0,0,COUNTA(quests!$A:$A),MATCH(X$2,quests!$1:$1,0)-MATCH($C$2,quests!$1:$1,0)+1),MATCH(X$2,quests!$1:$1,0)-MATCH($C$2,quests!$1:$1,0)+1,FALSE)</f>
        <v>0</v>
      </c>
      <c r="Y1062" s="246">
        <f ca="1">VLOOKUP($C1062,OFFSET(quests!$A$1,0,0,COUNTA(quests!$A:$A),MATCH(Y$2,quests!$1:$1,0)-MATCH($C$2,quests!$1:$1,0)+1),MATCH(Y$2,quests!$1:$1,0)-MATCH($C$2,quests!$1:$1,0)+1,FALSE)</f>
        <v>0</v>
      </c>
      <c r="Z1062" s="246">
        <f ca="1">VLOOKUP($C1062,OFFSET(quests!$A$1,0,0,COUNTA(quests!$A:$A),MATCH(Z$2,quests!$1:$1,0)-MATCH($C$2,quests!$1:$1,0)+1),MATCH(Z$2,quests!$1:$1,0)-MATCH($C$2,quests!$1:$1,0)+1,FALSE)</f>
        <v>0</v>
      </c>
      <c r="AA1062" s="246">
        <f ca="1">VLOOKUP($C1062,OFFSET(quests!$A$1,0,0,COUNTA(quests!$A:$A),MATCH(AA$2,quests!$1:$1,0)-MATCH($C$2,quests!$1:$1,0)+1),MATCH(AA$2,quests!$1:$1,0)-MATCH($C$2,quests!$1:$1,0)+1,FALSE)</f>
        <v>0</v>
      </c>
      <c r="AB1062" s="91" t="s">
        <v>56</v>
      </c>
      <c r="AC1062" s="91">
        <v>105</v>
      </c>
      <c r="AD1062" s="91">
        <v>6</v>
      </c>
      <c r="AE1062" s="91" t="s">
        <v>519</v>
      </c>
      <c r="AF1062" s="91">
        <v>1</v>
      </c>
      <c r="AG1062" s="91">
        <v>0</v>
      </c>
      <c r="AH1062" s="7">
        <v>0</v>
      </c>
      <c r="AI1062" s="91">
        <v>-1</v>
      </c>
      <c r="AJ1062" s="91">
        <v>-1</v>
      </c>
      <c r="AK1062" s="7" t="s">
        <v>1064</v>
      </c>
      <c r="AL1062" s="12" t="s">
        <v>1695</v>
      </c>
      <c r="AM1062" s="12" t="s">
        <v>2072</v>
      </c>
    </row>
    <row r="1063" spans="1:39" ht="21" customHeight="1" x14ac:dyDescent="0.15">
      <c r="A1063" s="89" t="str">
        <f t="shared" si="106"/>
        <v>65535_7</v>
      </c>
      <c r="B1063" s="90">
        <v>1</v>
      </c>
      <c r="C1063" s="260">
        <v>65535</v>
      </c>
      <c r="D1063" s="92" t="str">
        <f ca="1">VLOOKUP($C1063,OFFSET(quests!$A$1,0,0,COUNTA(quests!$A:$A),MATCH(D$1,quests!$1:$1,0)-MATCH($C$2,quests!$1:$1,0)+1),MATCH(D$1,quests!$1:$1,0)-MATCH($C$2,quests!$1:$1,0)+1,FALSE)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3" s="92" t="str">
        <f ca="1">VLOOKUP($C1063,OFFSET(quests!$A$1,0,0,COUNTA(quests!$A:$A),MATCH(E$2,quests!$1:$1,0)-MATCH($C$2,quests!$1:$1,0)+1),MATCH(E$2,quests!$1:$1,0)-MATCH($C$2,quests!$1:$1,0)+1,FALSE)</f>
        <v>検証</v>
      </c>
      <c r="F1063" s="91">
        <v>7</v>
      </c>
      <c r="G1063" s="91" t="s">
        <v>568</v>
      </c>
      <c r="H1063" s="90" t="s">
        <v>1299</v>
      </c>
      <c r="I1063" s="90" t="s">
        <v>467</v>
      </c>
      <c r="J1063" s="93" t="s">
        <v>169</v>
      </c>
      <c r="K1063" s="91">
        <v>1</v>
      </c>
      <c r="L1063" s="94">
        <v>1</v>
      </c>
      <c r="M1063" s="91">
        <v>1</v>
      </c>
      <c r="N1063" s="91">
        <v>1</v>
      </c>
      <c r="O1063" s="91">
        <v>1</v>
      </c>
      <c r="P1063" s="91">
        <v>1</v>
      </c>
      <c r="Q1063" s="91">
        <v>1</v>
      </c>
      <c r="R1063" s="91">
        <v>3</v>
      </c>
      <c r="S1063" s="91" t="s">
        <v>79</v>
      </c>
      <c r="T1063" s="91">
        <v>0</v>
      </c>
      <c r="U1063" s="91" t="s">
        <v>169</v>
      </c>
      <c r="V1063" s="91" t="s">
        <v>169</v>
      </c>
      <c r="W1063" s="92" t="str">
        <f t="shared" ca="1" si="126"/>
        <v/>
      </c>
      <c r="X1063" s="246">
        <f ca="1">VLOOKUP($C1063,OFFSET(quests!$A$1,0,0,COUNTA(quests!$A:$A),MATCH(X$2,quests!$1:$1,0)-MATCH($C$2,quests!$1:$1,0)+1),MATCH(X$2,quests!$1:$1,0)-MATCH($C$2,quests!$1:$1,0)+1,FALSE)</f>
        <v>0</v>
      </c>
      <c r="Y1063" s="246">
        <f ca="1">VLOOKUP($C1063,OFFSET(quests!$A$1,0,0,COUNTA(quests!$A:$A),MATCH(Y$2,quests!$1:$1,0)-MATCH($C$2,quests!$1:$1,0)+1),MATCH(Y$2,quests!$1:$1,0)-MATCH($C$2,quests!$1:$1,0)+1,FALSE)</f>
        <v>0</v>
      </c>
      <c r="Z1063" s="246">
        <f ca="1">VLOOKUP($C1063,OFFSET(quests!$A$1,0,0,COUNTA(quests!$A:$A),MATCH(Z$2,quests!$1:$1,0)-MATCH($C$2,quests!$1:$1,0)+1),MATCH(Z$2,quests!$1:$1,0)-MATCH($C$2,quests!$1:$1,0)+1,FALSE)</f>
        <v>0</v>
      </c>
      <c r="AA1063" s="246">
        <f ca="1">VLOOKUP($C1063,OFFSET(quests!$A$1,0,0,COUNTA(quests!$A:$A),MATCH(AA$2,quests!$1:$1,0)-MATCH($C$2,quests!$1:$1,0)+1),MATCH(AA$2,quests!$1:$1,0)-MATCH($C$2,quests!$1:$1,0)+1,FALSE)</f>
        <v>0</v>
      </c>
      <c r="AB1063" s="91" t="s">
        <v>56</v>
      </c>
      <c r="AC1063" s="91">
        <v>105</v>
      </c>
      <c r="AD1063" s="91">
        <v>6</v>
      </c>
      <c r="AE1063" s="91" t="s">
        <v>519</v>
      </c>
      <c r="AF1063" s="91">
        <v>1</v>
      </c>
      <c r="AG1063" s="91">
        <v>0</v>
      </c>
      <c r="AH1063" s="7">
        <v>0</v>
      </c>
      <c r="AI1063" s="91">
        <v>-1</v>
      </c>
      <c r="AJ1063" s="91">
        <v>-1</v>
      </c>
      <c r="AK1063" s="7" t="s">
        <v>1064</v>
      </c>
      <c r="AL1063" s="12" t="s">
        <v>1695</v>
      </c>
      <c r="AM1063" s="12" t="s">
        <v>2072</v>
      </c>
    </row>
    <row r="1064" spans="1:39" ht="21" customHeight="1" x14ac:dyDescent="0.15">
      <c r="A1064" s="89" t="str">
        <f t="shared" si="106"/>
        <v>65535_8</v>
      </c>
      <c r="B1064" s="90">
        <v>1</v>
      </c>
      <c r="C1064" s="260">
        <v>65535</v>
      </c>
      <c r="D1064" s="92" t="str">
        <f ca="1">VLOOKUP($C1064,OFFSET(quests!$A$1,0,0,COUNTA(quests!$A:$A),MATCH(D$1,quests!$1:$1,0)-MATCH($C$2,quests!$1:$1,0)+1),MATCH(D$1,quests!$1:$1,0)-MATCH($C$2,quests!$1:$1,0)+1,FALSE)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4" s="92" t="str">
        <f ca="1">VLOOKUP($C1064,OFFSET(quests!$A$1,0,0,COUNTA(quests!$A:$A),MATCH(E$2,quests!$1:$1,0)-MATCH($C$2,quests!$1:$1,0)+1),MATCH(E$2,quests!$1:$1,0)-MATCH($C$2,quests!$1:$1,0)+1,FALSE)</f>
        <v>検証</v>
      </c>
      <c r="F1064" s="91">
        <v>8</v>
      </c>
      <c r="G1064" s="91" t="s">
        <v>568</v>
      </c>
      <c r="H1064" s="90" t="s">
        <v>1298</v>
      </c>
      <c r="I1064" s="90" t="s">
        <v>467</v>
      </c>
      <c r="J1064" s="93" t="s">
        <v>169</v>
      </c>
      <c r="K1064" s="91">
        <v>1</v>
      </c>
      <c r="L1064" s="94">
        <v>1</v>
      </c>
      <c r="M1064" s="91">
        <v>1</v>
      </c>
      <c r="N1064" s="91">
        <v>1</v>
      </c>
      <c r="O1064" s="91">
        <v>1</v>
      </c>
      <c r="P1064" s="91">
        <v>1</v>
      </c>
      <c r="Q1064" s="91">
        <v>1</v>
      </c>
      <c r="R1064" s="91">
        <v>3</v>
      </c>
      <c r="S1064" s="91" t="s">
        <v>79</v>
      </c>
      <c r="T1064" s="91">
        <v>0</v>
      </c>
      <c r="U1064" s="91" t="s">
        <v>169</v>
      </c>
      <c r="V1064" s="91" t="s">
        <v>169</v>
      </c>
      <c r="W1064" s="92" t="str">
        <f t="shared" ca="1" si="126"/>
        <v/>
      </c>
      <c r="X1064" s="246">
        <f ca="1">VLOOKUP($C1064,OFFSET(quests!$A$1,0,0,COUNTA(quests!$A:$A),MATCH(X$2,quests!$1:$1,0)-MATCH($C$2,quests!$1:$1,0)+1),MATCH(X$2,quests!$1:$1,0)-MATCH($C$2,quests!$1:$1,0)+1,FALSE)</f>
        <v>0</v>
      </c>
      <c r="Y1064" s="246">
        <f ca="1">VLOOKUP($C1064,OFFSET(quests!$A$1,0,0,COUNTA(quests!$A:$A),MATCH(Y$2,quests!$1:$1,0)-MATCH($C$2,quests!$1:$1,0)+1),MATCH(Y$2,quests!$1:$1,0)-MATCH($C$2,quests!$1:$1,0)+1,FALSE)</f>
        <v>0</v>
      </c>
      <c r="Z1064" s="246">
        <f ca="1">VLOOKUP($C1064,OFFSET(quests!$A$1,0,0,COUNTA(quests!$A:$A),MATCH(Z$2,quests!$1:$1,0)-MATCH($C$2,quests!$1:$1,0)+1),MATCH(Z$2,quests!$1:$1,0)-MATCH($C$2,quests!$1:$1,0)+1,FALSE)</f>
        <v>0</v>
      </c>
      <c r="AA1064" s="246">
        <f ca="1">VLOOKUP($C1064,OFFSET(quests!$A$1,0,0,COUNTA(quests!$A:$A),MATCH(AA$2,quests!$1:$1,0)-MATCH($C$2,quests!$1:$1,0)+1),MATCH(AA$2,quests!$1:$1,0)-MATCH($C$2,quests!$1:$1,0)+1,FALSE)</f>
        <v>0</v>
      </c>
      <c r="AB1064" s="91" t="s">
        <v>56</v>
      </c>
      <c r="AC1064" s="91">
        <v>105</v>
      </c>
      <c r="AD1064" s="91">
        <v>6</v>
      </c>
      <c r="AE1064" s="91" t="s">
        <v>519</v>
      </c>
      <c r="AF1064" s="91">
        <v>1</v>
      </c>
      <c r="AG1064" s="91">
        <v>0</v>
      </c>
      <c r="AH1064" s="7">
        <v>0</v>
      </c>
      <c r="AI1064" s="91">
        <v>-1</v>
      </c>
      <c r="AJ1064" s="91">
        <v>-1</v>
      </c>
      <c r="AK1064" s="7" t="s">
        <v>1064</v>
      </c>
      <c r="AL1064" s="12" t="s">
        <v>1695</v>
      </c>
      <c r="AM1064" s="12" t="s">
        <v>2072</v>
      </c>
    </row>
    <row r="1065" spans="1:39" ht="21" customHeight="1" x14ac:dyDescent="0.15">
      <c r="A1065" s="89" t="str">
        <f t="shared" si="106"/>
        <v>65535_9</v>
      </c>
      <c r="B1065" s="90">
        <v>1</v>
      </c>
      <c r="C1065" s="260">
        <v>65535</v>
      </c>
      <c r="D1065" s="92" t="str">
        <f ca="1">VLOOKUP($C1065,OFFSET(quests!$A$1,0,0,COUNTA(quests!$A:$A),MATCH(D$1,quests!$1:$1,0)-MATCH($C$2,quests!$1:$1,0)+1),MATCH(D$1,quests!$1:$1,0)-MATCH($C$2,quests!$1:$1,0)+1,FALSE)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5" s="92" t="str">
        <f ca="1">VLOOKUP($C1065,OFFSET(quests!$A$1,0,0,COUNTA(quests!$A:$A),MATCH(E$2,quests!$1:$1,0)-MATCH($C$2,quests!$1:$1,0)+1),MATCH(E$2,quests!$1:$1,0)-MATCH($C$2,quests!$1:$1,0)+1,FALSE)</f>
        <v>検証</v>
      </c>
      <c r="F1065" s="91">
        <v>9</v>
      </c>
      <c r="G1065" s="91" t="s">
        <v>382</v>
      </c>
      <c r="H1065" s="90" t="s">
        <v>1623</v>
      </c>
      <c r="I1065" s="90" t="s">
        <v>467</v>
      </c>
      <c r="J1065" s="93">
        <v>814</v>
      </c>
      <c r="K1065" s="91">
        <v>1</v>
      </c>
      <c r="L1065" s="94">
        <v>1</v>
      </c>
      <c r="M1065" s="91">
        <v>1</v>
      </c>
      <c r="N1065" s="91">
        <v>1</v>
      </c>
      <c r="O1065" s="91">
        <v>1</v>
      </c>
      <c r="P1065" s="91">
        <v>1</v>
      </c>
      <c r="Q1065" s="91">
        <v>1</v>
      </c>
      <c r="R1065" s="91">
        <v>3</v>
      </c>
      <c r="S1065" s="91" t="s">
        <v>79</v>
      </c>
      <c r="T1065" s="91">
        <v>0</v>
      </c>
      <c r="U1065" s="91" t="s">
        <v>169</v>
      </c>
      <c r="V1065" s="91" t="s">
        <v>169</v>
      </c>
      <c r="W1065" s="92" t="str">
        <f t="shared" ca="1" si="126"/>
        <v/>
      </c>
      <c r="X1065" s="246">
        <f ca="1">VLOOKUP($C1065,OFFSET(quests!$A$1,0,0,COUNTA(quests!$A:$A),MATCH(X$2,quests!$1:$1,0)-MATCH($C$2,quests!$1:$1,0)+1),MATCH(X$2,quests!$1:$1,0)-MATCH($C$2,quests!$1:$1,0)+1,FALSE)</f>
        <v>0</v>
      </c>
      <c r="Y1065" s="246">
        <f ca="1">VLOOKUP($C1065,OFFSET(quests!$A$1,0,0,COUNTA(quests!$A:$A),MATCH(Y$2,quests!$1:$1,0)-MATCH($C$2,quests!$1:$1,0)+1),MATCH(Y$2,quests!$1:$1,0)-MATCH($C$2,quests!$1:$1,0)+1,FALSE)</f>
        <v>0</v>
      </c>
      <c r="Z1065" s="246">
        <f ca="1">VLOOKUP($C1065,OFFSET(quests!$A$1,0,0,COUNTA(quests!$A:$A),MATCH(Z$2,quests!$1:$1,0)-MATCH($C$2,quests!$1:$1,0)+1),MATCH(Z$2,quests!$1:$1,0)-MATCH($C$2,quests!$1:$1,0)+1,FALSE)</f>
        <v>0</v>
      </c>
      <c r="AA1065" s="246">
        <f ca="1">VLOOKUP($C1065,OFFSET(quests!$A$1,0,0,COUNTA(quests!$A:$A),MATCH(AA$2,quests!$1:$1,0)-MATCH($C$2,quests!$1:$1,0)+1),MATCH(AA$2,quests!$1:$1,0)-MATCH($C$2,quests!$1:$1,0)+1,FALSE)</f>
        <v>0</v>
      </c>
      <c r="AB1065" s="91" t="s">
        <v>56</v>
      </c>
      <c r="AC1065" s="91">
        <v>105</v>
      </c>
      <c r="AD1065" s="91">
        <v>6</v>
      </c>
      <c r="AE1065" s="91" t="s">
        <v>519</v>
      </c>
      <c r="AF1065" s="91">
        <v>1</v>
      </c>
      <c r="AG1065" s="91">
        <v>0</v>
      </c>
      <c r="AH1065" s="7">
        <v>0</v>
      </c>
      <c r="AI1065" s="91">
        <v>-1</v>
      </c>
      <c r="AJ1065" s="91">
        <v>-1</v>
      </c>
      <c r="AK1065" s="7" t="s">
        <v>1064</v>
      </c>
      <c r="AL1065" s="12" t="s">
        <v>1695</v>
      </c>
      <c r="AM1065" s="12" t="s">
        <v>2072</v>
      </c>
    </row>
    <row r="1066" spans="1:39" ht="21" customHeight="1" x14ac:dyDescent="0.15">
      <c r="A1066" s="89" t="str">
        <f t="shared" si="106"/>
        <v>65535_10</v>
      </c>
      <c r="B1066" s="90">
        <v>1</v>
      </c>
      <c r="C1066" s="260">
        <v>65535</v>
      </c>
      <c r="D1066" s="92" t="str">
        <f ca="1">VLOOKUP($C1066,OFFSET(quests!$A$1,0,0,COUNTA(quests!$A:$A),MATCH(D$1,quests!$1:$1,0)-MATCH($C$2,quests!$1:$1,0)+1),MATCH(D$1,quests!$1:$1,0)-MATCH($C$2,quests!$1:$1,0)+1,FALSE)</f>
        <v>１２３４５６７８９０１２３４５６７８９０１２３４５６７８９０</v>
      </c>
      <c r="E1066" s="92" t="str">
        <f ca="1">VLOOKUP($C1066,OFFSET(quests!$A$1,0,0,COUNTA(quests!$A:$A),MATCH(E$2,quests!$1:$1,0)-MATCH($C$2,quests!$1:$1,0)+1),MATCH(E$2,quests!$1:$1,0)-MATCH($C$2,quests!$1:$1,0)+1,FALSE)</f>
        <v>検証</v>
      </c>
      <c r="F1066" s="91">
        <v>10</v>
      </c>
      <c r="G1066" s="91" t="s">
        <v>382</v>
      </c>
      <c r="H1066" s="90" t="s">
        <v>1624</v>
      </c>
      <c r="I1066" s="90" t="s">
        <v>467</v>
      </c>
      <c r="J1066" s="93">
        <v>1089</v>
      </c>
      <c r="K1066" s="91">
        <v>1</v>
      </c>
      <c r="L1066" s="94">
        <v>1</v>
      </c>
      <c r="M1066" s="91">
        <v>1</v>
      </c>
      <c r="N1066" s="91">
        <v>1</v>
      </c>
      <c r="O1066" s="91">
        <v>1</v>
      </c>
      <c r="P1066" s="91">
        <v>1</v>
      </c>
      <c r="Q1066" s="91">
        <v>1</v>
      </c>
      <c r="R1066" s="91">
        <v>3</v>
      </c>
      <c r="S1066" s="91" t="s">
        <v>79</v>
      </c>
      <c r="T1066" s="91">
        <v>0</v>
      </c>
      <c r="U1066" s="91" t="s">
        <v>169</v>
      </c>
      <c r="V1066" s="91" t="s">
        <v>169</v>
      </c>
      <c r="W1066" s="92" t="str">
        <f t="shared" ca="1" si="126"/>
        <v/>
      </c>
      <c r="X1066" s="246">
        <f ca="1">VLOOKUP($C1066,OFFSET(quests!$A$1,0,0,COUNTA(quests!$A:$A),MATCH(X$2,quests!$1:$1,0)-MATCH($C$2,quests!$1:$1,0)+1),MATCH(X$2,quests!$1:$1,0)-MATCH($C$2,quests!$1:$1,0)+1,FALSE)</f>
        <v>0</v>
      </c>
      <c r="Y1066" s="246">
        <f ca="1">VLOOKUP($C1066,OFFSET(quests!$A$1,0,0,COUNTA(quests!$A:$A),MATCH(Y$2,quests!$1:$1,0)-MATCH($C$2,quests!$1:$1,0)+1),MATCH(Y$2,quests!$1:$1,0)-MATCH($C$2,quests!$1:$1,0)+1,FALSE)</f>
        <v>0</v>
      </c>
      <c r="Z1066" s="246">
        <f ca="1">VLOOKUP($C1066,OFFSET(quests!$A$1,0,0,COUNTA(quests!$A:$A),MATCH(Z$2,quests!$1:$1,0)-MATCH($C$2,quests!$1:$1,0)+1),MATCH(Z$2,quests!$1:$1,0)-MATCH($C$2,quests!$1:$1,0)+1,FALSE)</f>
        <v>0</v>
      </c>
      <c r="AA1066" s="246">
        <f ca="1">VLOOKUP($C1066,OFFSET(quests!$A$1,0,0,COUNTA(quests!$A:$A),MATCH(AA$2,quests!$1:$1,0)-MATCH($C$2,quests!$1:$1,0)+1),MATCH(AA$2,quests!$1:$1,0)-MATCH($C$2,quests!$1:$1,0)+1,FALSE)</f>
        <v>0</v>
      </c>
      <c r="AB1066" s="91" t="s">
        <v>56</v>
      </c>
      <c r="AC1066" s="91">
        <v>105</v>
      </c>
      <c r="AD1066" s="91">
        <v>6</v>
      </c>
      <c r="AE1066" s="91" t="s">
        <v>519</v>
      </c>
      <c r="AF1066" s="91">
        <v>1</v>
      </c>
      <c r="AG1066" s="91">
        <v>0</v>
      </c>
      <c r="AH1066" s="7">
        <v>0</v>
      </c>
      <c r="AI1066" s="91">
        <v>-1</v>
      </c>
      <c r="AJ1066" s="91">
        <v>-1</v>
      </c>
      <c r="AK1066" s="7" t="s">
        <v>1064</v>
      </c>
      <c r="AL1066" s="12" t="s">
        <v>1695</v>
      </c>
      <c r="AM1066" s="12" t="s">
        <v>2072</v>
      </c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42"/>
  <sheetViews>
    <sheetView showGridLines="0" zoomScale="115" zoomScaleNormal="115" zoomScalePageLayoutView="115" workbookViewId="0">
      <pane ySplit="1" topLeftCell="A2" activePane="bottomLeft" state="frozen"/>
      <selection pane="bottomLeft" activeCell="E9" sqref="E9"/>
    </sheetView>
  </sheetViews>
  <sheetFormatPr baseColWidth="12" defaultColWidth="13" defaultRowHeight="21" customHeight="1" outlineLevelCol="1" x14ac:dyDescent="0.15"/>
  <cols>
    <col min="1" max="1" width="7.19921875" style="11" bestFit="1" customWidth="1"/>
    <col min="2" max="2" width="26.796875" style="11" bestFit="1" customWidth="1" outlineLevel="1"/>
    <col min="3" max="3" width="13" style="11"/>
    <col min="4" max="10" width="4.59765625" style="11" customWidth="1"/>
    <col min="11" max="11" width="16.19921875" style="11" bestFit="1" customWidth="1" outlineLevel="1"/>
    <col min="12" max="12" width="19.59765625" style="11" bestFit="1" customWidth="1" outlineLevel="1"/>
    <col min="13" max="14" width="13" style="11"/>
    <col min="15" max="15" width="18" style="11" customWidth="1"/>
    <col min="16" max="16384" width="13" style="11"/>
  </cols>
  <sheetData>
    <row r="1" spans="1:15" ht="21" customHeight="1" x14ac:dyDescent="0.15">
      <c r="A1" s="20" t="s">
        <v>21</v>
      </c>
      <c r="B1" s="30" t="s">
        <v>186</v>
      </c>
      <c r="C1" s="20" t="s">
        <v>23</v>
      </c>
      <c r="D1" s="20" t="s">
        <v>24</v>
      </c>
      <c r="E1" s="20" t="s">
        <v>25</v>
      </c>
      <c r="F1" s="20" t="s">
        <v>26</v>
      </c>
      <c r="G1" s="20" t="s">
        <v>27</v>
      </c>
      <c r="H1" s="20" t="s">
        <v>28</v>
      </c>
      <c r="I1" s="20" t="s">
        <v>29</v>
      </c>
      <c r="J1" s="20" t="s">
        <v>30</v>
      </c>
      <c r="K1" s="20" t="s">
        <v>171</v>
      </c>
      <c r="L1" s="20" t="s">
        <v>2</v>
      </c>
      <c r="M1" s="20" t="s">
        <v>31</v>
      </c>
      <c r="N1" s="20" t="s">
        <v>32</v>
      </c>
      <c r="O1" s="29" t="s">
        <v>46</v>
      </c>
    </row>
    <row r="2" spans="1:15" ht="21" customHeight="1" x14ac:dyDescent="0.15">
      <c r="A2" s="17">
        <v>11001</v>
      </c>
      <c r="B2" s="47" t="str">
        <f ca="1">VLOOKUP($A2,OFFSET(quests!$A$1,0,0,COUNTA(quests!$A:$A),MATCH(B$1,quests!$1:$1,0)-MATCH($A$1,quests!$1:$1,0)+1),MATCH(B$1,quests!$1:$1,0)-MATCH($A$1,quests!$1:$1,0)+1,FALSE)</f>
        <v>【月曜限定】 黄の素材</v>
      </c>
      <c r="C2" s="49" t="str">
        <f>"quest"&amp;A2&amp;"_2.png"</f>
        <v>quest11001_2.png</v>
      </c>
      <c r="D2" s="13">
        <v>0</v>
      </c>
      <c r="E2" s="13">
        <v>1</v>
      </c>
      <c r="F2" s="13">
        <v>0</v>
      </c>
      <c r="G2" s="13">
        <v>0</v>
      </c>
      <c r="H2" s="13">
        <v>0</v>
      </c>
      <c r="I2" s="12">
        <v>0</v>
      </c>
      <c r="J2" s="13">
        <v>0</v>
      </c>
      <c r="K2" s="238" t="s">
        <v>573</v>
      </c>
      <c r="L2" s="238" t="s">
        <v>574</v>
      </c>
      <c r="M2" s="13" t="s">
        <v>53</v>
      </c>
      <c r="N2" s="13">
        <v>1101</v>
      </c>
      <c r="O2" s="47" t="str">
        <f ca="1">VLOOKUP($A2,OFFSET(quests!$A$1,0,0,COUNTA(quests!$A:$A),MATCH(O$1,quests!$1:$1,0)-MATCH($A$1,quests!$1:$1,0)+1),MATCH(O$1,quests!$1:$1,0)-MATCH($A$1,quests!$1:$1,0)+1,FALSE)</f>
        <v>黄属性進化素材</v>
      </c>
    </row>
    <row r="3" spans="1:15" ht="21" customHeight="1" x14ac:dyDescent="0.15">
      <c r="A3" s="17">
        <v>11002</v>
      </c>
      <c r="B3" s="47" t="str">
        <f ca="1">VLOOKUP($A3,OFFSET(quests!$A$1,0,0,COUNTA(quests!$A:$A),MATCH(B$1,quests!$1:$1,0)-MATCH($A$1,quests!$1:$1,0)+1),MATCH(B$1,quests!$1:$1,0)-MATCH($A$1,quests!$1:$1,0)+1,FALSE)</f>
        <v>【火曜限定】 赤の素材</v>
      </c>
      <c r="C3" s="49" t="str">
        <f>"quest"&amp;A3&amp;"_2.png"</f>
        <v>quest11002_2.png</v>
      </c>
      <c r="D3" s="12">
        <v>0</v>
      </c>
      <c r="E3" s="12">
        <v>0</v>
      </c>
      <c r="F3" s="12">
        <v>1</v>
      </c>
      <c r="G3" s="12">
        <v>0</v>
      </c>
      <c r="H3" s="12">
        <v>0</v>
      </c>
      <c r="I3" s="12">
        <v>0</v>
      </c>
      <c r="J3" s="12">
        <v>0</v>
      </c>
      <c r="K3" s="238" t="s">
        <v>573</v>
      </c>
      <c r="L3" s="238" t="s">
        <v>574</v>
      </c>
      <c r="M3" s="13" t="s">
        <v>53</v>
      </c>
      <c r="N3" s="12">
        <v>1102</v>
      </c>
      <c r="O3" s="47" t="str">
        <f ca="1">VLOOKUP($A3,OFFSET(quests!$A$1,0,0,COUNTA(quests!$A:$A),MATCH(O$1,quests!$1:$1,0)-MATCH($A$1,quests!$1:$1,0)+1),MATCH(O$1,quests!$1:$1,0)-MATCH($A$1,quests!$1:$1,0)+1,FALSE)</f>
        <v>赤属性進化素材</v>
      </c>
    </row>
    <row r="4" spans="1:15" ht="21" customHeight="1" x14ac:dyDescent="0.15">
      <c r="A4" s="17">
        <v>11003</v>
      </c>
      <c r="B4" s="47" t="str">
        <f ca="1">VLOOKUP($A4,OFFSET(quests!$A$1,0,0,COUNTA(quests!$A:$A),MATCH(B$1,quests!$1:$1,0)-MATCH($A$1,quests!$1:$1,0)+1),MATCH(B$1,quests!$1:$1,0)-MATCH($A$1,quests!$1:$1,0)+1,FALSE)</f>
        <v>【水曜限定】 青の素材</v>
      </c>
      <c r="C4" s="49" t="str">
        <f>"quest"&amp;A4&amp;"_2.png"</f>
        <v>quest11003_2.png</v>
      </c>
      <c r="D4" s="12">
        <v>0</v>
      </c>
      <c r="E4" s="12">
        <v>0</v>
      </c>
      <c r="F4" s="12">
        <v>0</v>
      </c>
      <c r="G4" s="12">
        <v>1</v>
      </c>
      <c r="H4" s="12">
        <v>0</v>
      </c>
      <c r="I4" s="12">
        <v>0</v>
      </c>
      <c r="J4" s="12">
        <v>0</v>
      </c>
      <c r="K4" s="238" t="s">
        <v>573</v>
      </c>
      <c r="L4" s="238" t="s">
        <v>574</v>
      </c>
      <c r="M4" s="13" t="s">
        <v>53</v>
      </c>
      <c r="N4" s="13">
        <v>1103</v>
      </c>
      <c r="O4" s="47" t="str">
        <f ca="1">VLOOKUP($A4,OFFSET(quests!$A$1,0,0,COUNTA(quests!$A:$A),MATCH(O$1,quests!$1:$1,0)-MATCH($A$1,quests!$1:$1,0)+1),MATCH(O$1,quests!$1:$1,0)-MATCH($A$1,quests!$1:$1,0)+1,FALSE)</f>
        <v>青属性進化素材</v>
      </c>
    </row>
    <row r="5" spans="1:15" ht="21" customHeight="1" x14ac:dyDescent="0.15">
      <c r="A5" s="17">
        <v>11004</v>
      </c>
      <c r="B5" s="47" t="str">
        <f ca="1">VLOOKUP($A5,OFFSET(quests!$A$1,0,0,COUNTA(quests!$A:$A),MATCH(B$1,quests!$1:$1,0)-MATCH($A$1,quests!$1:$1,0)+1),MATCH(B$1,quests!$1:$1,0)-MATCH($A$1,quests!$1:$1,0)+1,FALSE)</f>
        <v>【木曜限定】 緑の素材</v>
      </c>
      <c r="C5" s="49" t="str">
        <f>"quest"&amp;A5&amp;"_2.png"</f>
        <v>quest11004_2.png</v>
      </c>
      <c r="D5" s="12">
        <v>0</v>
      </c>
      <c r="E5" s="12">
        <v>0</v>
      </c>
      <c r="F5" s="12">
        <v>0</v>
      </c>
      <c r="G5" s="12">
        <v>0</v>
      </c>
      <c r="H5" s="12">
        <v>1</v>
      </c>
      <c r="I5" s="12">
        <v>0</v>
      </c>
      <c r="J5" s="12">
        <v>0</v>
      </c>
      <c r="K5" s="238" t="s">
        <v>573</v>
      </c>
      <c r="L5" s="238" t="s">
        <v>574</v>
      </c>
      <c r="M5" s="13" t="s">
        <v>53</v>
      </c>
      <c r="N5" s="12">
        <v>1104</v>
      </c>
      <c r="O5" s="47" t="str">
        <f ca="1">VLOOKUP($A5,OFFSET(quests!$A$1,0,0,COUNTA(quests!$A:$A),MATCH(O$1,quests!$1:$1,0)-MATCH($A$1,quests!$1:$1,0)+1),MATCH(O$1,quests!$1:$1,0)-MATCH($A$1,quests!$1:$1,0)+1,FALSE)</f>
        <v>緑属性進化素材</v>
      </c>
    </row>
    <row r="6" spans="1:15" ht="21" customHeight="1" x14ac:dyDescent="0.15">
      <c r="A6" s="17">
        <v>11005</v>
      </c>
      <c r="B6" s="47" t="str">
        <f ca="1">VLOOKUP($A6,OFFSET(quests!$A$1,0,0,COUNTA(quests!$A:$A),MATCH(B$1,quests!$1:$1,0)-MATCH($A$1,quests!$1:$1,0)+1),MATCH(B$1,quests!$1:$1,0)-MATCH($A$1,quests!$1:$1,0)+1,FALSE)</f>
        <v>【金曜限定】 帽子屋を追え！</v>
      </c>
      <c r="C6" s="49" t="str">
        <f t="shared" ref="C6" si="0">"quest"&amp;A6&amp;".png"</f>
        <v>quest11005.png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1</v>
      </c>
      <c r="J6" s="12">
        <v>0</v>
      </c>
      <c r="K6" s="238" t="s">
        <v>573</v>
      </c>
      <c r="L6" s="238" t="s">
        <v>574</v>
      </c>
      <c r="M6" s="13" t="s">
        <v>53</v>
      </c>
      <c r="N6" s="13">
        <v>1105</v>
      </c>
      <c r="O6" s="47" t="str">
        <f ca="1">VLOOKUP($A6,OFFSET(quests!$A$1,0,0,COUNTA(quests!$A:$A),MATCH(O$1,quests!$1:$1,0)-MATCH($A$1,quests!$1:$1,0)+1),MATCH(O$1,quests!$1:$1,0)-MATCH($A$1,quests!$1:$1,0)+1,FALSE)</f>
        <v>R5進化素材</v>
      </c>
    </row>
    <row r="7" spans="1:15" ht="21" customHeight="1" x14ac:dyDescent="0.15">
      <c r="A7" s="17">
        <v>11006</v>
      </c>
      <c r="B7" s="47" t="str">
        <f ca="1">VLOOKUP($A7,OFFSET(quests!$A$1,0,0,COUNTA(quests!$A:$A),MATCH(B$1,quests!$1:$1,0)-MATCH($A$1,quests!$1:$1,0)+1),MATCH(B$1,quests!$1:$1,0)-MATCH($A$1,quests!$1:$1,0)+1,FALSE)</f>
        <v>【土日限定】 ゴールドカジノ</v>
      </c>
      <c r="C7" s="49" t="s">
        <v>2108</v>
      </c>
      <c r="D7" s="12">
        <v>1</v>
      </c>
      <c r="E7" s="12">
        <v>0</v>
      </c>
      <c r="F7" s="12">
        <v>0</v>
      </c>
      <c r="G7" s="12">
        <v>0</v>
      </c>
      <c r="H7" s="12">
        <v>0</v>
      </c>
      <c r="I7" s="12">
        <v>0</v>
      </c>
      <c r="J7" s="12">
        <v>1</v>
      </c>
      <c r="K7" s="238" t="s">
        <v>573</v>
      </c>
      <c r="L7" s="238" t="s">
        <v>574</v>
      </c>
      <c r="M7" s="13" t="s">
        <v>53</v>
      </c>
      <c r="N7" s="12">
        <v>3998</v>
      </c>
      <c r="O7" s="47" t="str">
        <f ca="1">VLOOKUP($A7,OFFSET(quests!$A$1,0,0,COUNTA(quests!$A:$A),MATCH(O$1,quests!$1:$1,0)-MATCH($A$1,quests!$1:$1,0)+1),MATCH(O$1,quests!$1:$1,0)-MATCH($A$1,quests!$1:$1,0)+1,FALSE)</f>
        <v>ビット取得</v>
      </c>
    </row>
    <row r="8" spans="1:15" ht="21" customHeight="1" x14ac:dyDescent="0.15">
      <c r="A8" s="17">
        <v>11007</v>
      </c>
      <c r="B8" s="47" t="str">
        <f ca="1">VLOOKUP($A8,OFFSET(quests!$A$1,0,0,COUNTA(quests!$A:$A),MATCH(B$1,quests!$1:$1,0)-MATCH($A$1,quests!$1:$1,0)+1),MATCH(B$1,quests!$1:$1,0)-MATCH($A$1,quests!$1:$1,0)+1,FALSE)</f>
        <v>【土曜限定】 赤と緑の素材</v>
      </c>
      <c r="C8" s="49" t="str">
        <f t="shared" ref="C8" si="1">"quest"&amp;A8&amp;".png"</f>
        <v>quest11007.png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1</v>
      </c>
      <c r="K8" s="238" t="s">
        <v>573</v>
      </c>
      <c r="L8" s="238" t="s">
        <v>574</v>
      </c>
      <c r="M8" s="13" t="s">
        <v>53</v>
      </c>
      <c r="N8" s="12">
        <v>3997</v>
      </c>
      <c r="O8" s="47" t="str">
        <f ca="1">VLOOKUP($A8,OFFSET(quests!$A$1,0,0,COUNTA(quests!$A:$A),MATCH(O$1,quests!$1:$1,0)-MATCH($A$1,quests!$1:$1,0)+1),MATCH(O$1,quests!$1:$1,0)-MATCH($A$1,quests!$1:$1,0)+1,FALSE)</f>
        <v>赤と緑の覚醒素材</v>
      </c>
    </row>
    <row r="9" spans="1:15" ht="21" customHeight="1" x14ac:dyDescent="0.15">
      <c r="A9" s="17">
        <v>11008</v>
      </c>
      <c r="B9" s="47" t="str">
        <f ca="1">VLOOKUP($A9,OFFSET(quests!$A$1,0,0,COUNTA(quests!$A:$A),MATCH(B$1,quests!$1:$1,0)-MATCH($A$1,quests!$1:$1,0)+1),MATCH(B$1,quests!$1:$1,0)-MATCH($A$1,quests!$1:$1,0)+1,FALSE)</f>
        <v>【日曜限定】 青と黄の素材</v>
      </c>
      <c r="C9" s="49" t="str">
        <f t="shared" ref="C9" si="2">"quest"&amp;A9&amp;".png"</f>
        <v>quest11008.png</v>
      </c>
      <c r="D9" s="12">
        <v>1</v>
      </c>
      <c r="E9" s="12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238" t="s">
        <v>573</v>
      </c>
      <c r="L9" s="238" t="s">
        <v>574</v>
      </c>
      <c r="M9" s="13" t="s">
        <v>53</v>
      </c>
      <c r="N9" s="12">
        <v>3997</v>
      </c>
      <c r="O9" s="47" t="str">
        <f ca="1">VLOOKUP($A9,OFFSET(quests!$A$1,0,0,COUNTA(quests!$A:$A),MATCH(O$1,quests!$1:$1,0)-MATCH($A$1,quests!$1:$1,0)+1),MATCH(O$1,quests!$1:$1,0)-MATCH($A$1,quests!$1:$1,0)+1,FALSE)</f>
        <v>青と黄の覚醒素材</v>
      </c>
    </row>
    <row r="15" spans="1:15" ht="21" customHeight="1" x14ac:dyDescent="0.15">
      <c r="A15" s="16"/>
      <c r="B15" s="16"/>
      <c r="C15" s="16"/>
      <c r="D15" s="16"/>
      <c r="E15" s="16"/>
    </row>
    <row r="16" spans="1:15" ht="21" customHeight="1" x14ac:dyDescent="0.15">
      <c r="A16" s="16"/>
      <c r="B16" s="16"/>
      <c r="C16" s="16"/>
      <c r="D16" s="16"/>
      <c r="E16" s="16"/>
    </row>
    <row r="17" spans="1:5" ht="21" customHeight="1" x14ac:dyDescent="0.15">
      <c r="A17" s="16"/>
      <c r="B17" s="16"/>
      <c r="C17" s="16"/>
      <c r="D17" s="16"/>
      <c r="E17" s="16"/>
    </row>
    <row r="18" spans="1:5" ht="21" customHeight="1" x14ac:dyDescent="0.15">
      <c r="A18" s="16"/>
      <c r="B18" s="16"/>
      <c r="C18" s="16"/>
      <c r="D18" s="16"/>
      <c r="E18" s="16"/>
    </row>
    <row r="19" spans="1:5" ht="21" customHeight="1" x14ac:dyDescent="0.15">
      <c r="A19" s="16"/>
      <c r="B19" s="16"/>
      <c r="C19" s="16"/>
      <c r="D19" s="16"/>
      <c r="E19" s="16"/>
    </row>
    <row r="20" spans="1:5" ht="21" customHeight="1" x14ac:dyDescent="0.15">
      <c r="A20" s="16"/>
      <c r="B20" s="16"/>
      <c r="C20" s="16"/>
      <c r="D20" s="16"/>
      <c r="E20" s="16"/>
    </row>
    <row r="27" spans="1:5" ht="21" customHeight="1" x14ac:dyDescent="0.15">
      <c r="A27" s="19"/>
      <c r="B27" s="19"/>
      <c r="C27" s="19"/>
      <c r="D27" s="19"/>
    </row>
    <row r="28" spans="1:5" ht="21" customHeight="1" x14ac:dyDescent="0.15">
      <c r="A28" s="19"/>
      <c r="B28" s="19"/>
      <c r="C28" s="19"/>
      <c r="D28" s="19"/>
    </row>
    <row r="29" spans="1:5" ht="21" customHeight="1" x14ac:dyDescent="0.15">
      <c r="A29" s="19"/>
      <c r="B29" s="19"/>
      <c r="C29" s="19"/>
      <c r="D29" s="19"/>
    </row>
    <row r="30" spans="1:5" ht="21" customHeight="1" x14ac:dyDescent="0.15">
      <c r="A30" s="19"/>
      <c r="B30" s="19"/>
      <c r="C30" s="19"/>
      <c r="D30" s="19"/>
    </row>
    <row r="31" spans="1:5" ht="21" customHeight="1" x14ac:dyDescent="0.15">
      <c r="A31" s="19"/>
      <c r="B31" s="19"/>
      <c r="C31" s="19"/>
      <c r="D31" s="19"/>
    </row>
    <row r="32" spans="1:5" ht="21" customHeight="1" x14ac:dyDescent="0.15">
      <c r="A32" s="19"/>
      <c r="B32" s="19"/>
      <c r="C32" s="19"/>
      <c r="D32" s="19"/>
    </row>
    <row r="33" spans="1:4" ht="21" customHeight="1" x14ac:dyDescent="0.15">
      <c r="A33" s="19"/>
      <c r="B33" s="19"/>
      <c r="C33" s="19"/>
      <c r="D33" s="19"/>
    </row>
    <row r="34" spans="1:4" ht="21" customHeight="1" x14ac:dyDescent="0.15">
      <c r="A34" s="19"/>
      <c r="B34" s="19"/>
      <c r="C34" s="19"/>
      <c r="D34" s="19"/>
    </row>
    <row r="35" spans="1:4" ht="21" customHeight="1" x14ac:dyDescent="0.15">
      <c r="A35" s="19"/>
      <c r="B35" s="19"/>
      <c r="C35" s="19"/>
      <c r="D35" s="19"/>
    </row>
    <row r="36" spans="1:4" ht="21" customHeight="1" x14ac:dyDescent="0.15">
      <c r="A36" s="19"/>
      <c r="B36" s="19"/>
      <c r="C36" s="19"/>
      <c r="D36" s="19"/>
    </row>
    <row r="37" spans="1:4" ht="21" customHeight="1" x14ac:dyDescent="0.15">
      <c r="A37" s="19"/>
      <c r="B37" s="19"/>
      <c r="C37" s="19"/>
      <c r="D37" s="19"/>
    </row>
    <row r="38" spans="1:4" ht="21" customHeight="1" x14ac:dyDescent="0.15">
      <c r="A38" s="19"/>
      <c r="B38" s="19"/>
      <c r="C38" s="19"/>
      <c r="D38" s="19"/>
    </row>
    <row r="39" spans="1:4" ht="21" customHeight="1" x14ac:dyDescent="0.15">
      <c r="A39" s="19"/>
      <c r="B39" s="19"/>
      <c r="C39" s="19"/>
      <c r="D39" s="19"/>
    </row>
    <row r="40" spans="1:4" ht="21" customHeight="1" x14ac:dyDescent="0.15">
      <c r="A40" s="19"/>
      <c r="B40" s="19"/>
      <c r="C40" s="19"/>
      <c r="D40" s="19"/>
    </row>
    <row r="41" spans="1:4" ht="21" customHeight="1" x14ac:dyDescent="0.15">
      <c r="A41" s="19"/>
      <c r="B41" s="19"/>
      <c r="C41" s="19"/>
      <c r="D41" s="19"/>
    </row>
    <row r="42" spans="1:4" ht="21" customHeight="1" x14ac:dyDescent="0.15">
      <c r="A42" s="19"/>
      <c r="B42" s="19"/>
      <c r="C42" s="19"/>
      <c r="D42" s="19"/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H14"/>
  <sheetViews>
    <sheetView showGridLines="0" workbookViewId="0">
      <pane ySplit="1" topLeftCell="A9" activePane="bottomLeft" state="frozen"/>
      <selection pane="bottomLeft" activeCell="H18" sqref="H18"/>
    </sheetView>
  </sheetViews>
  <sheetFormatPr baseColWidth="12" defaultColWidth="13" defaultRowHeight="21" customHeight="1" outlineLevelCol="1" x14ac:dyDescent="0.15"/>
  <cols>
    <col min="1" max="1" width="7.19921875" style="11" bestFit="1" customWidth="1"/>
    <col min="2" max="2" width="9" style="11" bestFit="1" customWidth="1"/>
    <col min="3" max="3" width="21.3984375" style="11" customWidth="1" outlineLevel="1"/>
    <col min="4" max="16384" width="13" style="11"/>
  </cols>
  <sheetData>
    <row r="1" spans="1:8" ht="21" customHeight="1" x14ac:dyDescent="0.15">
      <c r="A1" s="14" t="s">
        <v>152</v>
      </c>
      <c r="B1" s="14" t="s">
        <v>21</v>
      </c>
      <c r="C1" s="15" t="s">
        <v>186</v>
      </c>
      <c r="D1" s="14" t="s">
        <v>33</v>
      </c>
      <c r="E1" s="30" t="s">
        <v>22</v>
      </c>
      <c r="F1" s="30" t="s">
        <v>32</v>
      </c>
      <c r="G1" s="14" t="s">
        <v>404</v>
      </c>
    </row>
    <row r="2" spans="1:8" ht="21" customHeight="1" x14ac:dyDescent="0.15">
      <c r="A2" s="297">
        <v>65523</v>
      </c>
      <c r="B2" s="295">
        <v>10008</v>
      </c>
      <c r="C2" s="12" t="str">
        <f ca="1">VLOOKUP($B2,OFFSET(quests!$A$1,0,0,COUNTA(quests!$A:$A),MATCH(C$1,quests!$1:$1,0)-MATCH($B$1,quests!$1:$1,0)+1),MATCH(C$1,quests!$1:$1,0)-MATCH($B$1,quests!$1:$1,0)+1,FALSE)</f>
        <v>【1回のみ】幸せのカタチ</v>
      </c>
      <c r="D2" s="8">
        <v>1</v>
      </c>
      <c r="E2" s="38" t="s">
        <v>2178</v>
      </c>
      <c r="F2" s="64">
        <v>1201</v>
      </c>
      <c r="G2" s="294" t="s">
        <v>178</v>
      </c>
      <c r="H2" s="11" t="s">
        <v>2179</v>
      </c>
    </row>
    <row r="3" spans="1:8" ht="21" customHeight="1" x14ac:dyDescent="0.15">
      <c r="A3" s="297">
        <v>65524</v>
      </c>
      <c r="B3" s="295">
        <v>10010</v>
      </c>
      <c r="C3" s="12" t="str">
        <f ca="1">VLOOKUP($B3,OFFSET(quests!$A$1,0,0,COUNTA(quests!$A:$A),MATCH(C$1,quests!$1:$1,0)-MATCH($B$1,quests!$1:$1,0)+1),MATCH(C$1,quests!$1:$1,0)-MATCH($B$1,quests!$1:$1,0)+1,FALSE)</f>
        <v>【1回のみ】幼女増殖！！</v>
      </c>
      <c r="D3" s="8">
        <v>1</v>
      </c>
      <c r="E3" s="38" t="s">
        <v>2178</v>
      </c>
      <c r="F3" s="64">
        <v>1202</v>
      </c>
      <c r="G3" s="294" t="s">
        <v>178</v>
      </c>
      <c r="H3" s="11" t="s">
        <v>2179</v>
      </c>
    </row>
    <row r="4" spans="1:8" ht="21" customHeight="1" x14ac:dyDescent="0.15">
      <c r="A4" s="297">
        <v>65525</v>
      </c>
      <c r="B4" s="296">
        <v>10015</v>
      </c>
      <c r="C4" s="12" t="str">
        <f ca="1">VLOOKUP($B4,OFFSET(quests!$A$1,0,0,COUNTA(quests!$A:$A),MATCH(C$1,quests!$1:$1,0)-MATCH($B$1,quests!$1:$1,0)+1),MATCH(C$1,quests!$1:$1,0)-MATCH($B$1,quests!$1:$1,0)+1,FALSE)</f>
        <v>【1回のみ】静かなる混乱</v>
      </c>
      <c r="D4" s="8">
        <v>1</v>
      </c>
      <c r="E4" s="38" t="s">
        <v>2178</v>
      </c>
      <c r="F4" s="64">
        <v>1203</v>
      </c>
      <c r="G4" s="294" t="s">
        <v>178</v>
      </c>
      <c r="H4" s="11" t="s">
        <v>2179</v>
      </c>
    </row>
    <row r="5" spans="1:8" ht="21" customHeight="1" x14ac:dyDescent="0.15">
      <c r="A5" s="297">
        <v>65526</v>
      </c>
      <c r="B5" s="296">
        <v>10020</v>
      </c>
      <c r="C5" s="12" t="str">
        <f ca="1">VLOOKUP($B5,OFFSET(quests!$A$1,0,0,COUNTA(quests!$A:$A),MATCH(C$1,quests!$1:$1,0)-MATCH($B$1,quests!$1:$1,0)+1),MATCH(C$1,quests!$1:$1,0)-MATCH($B$1,quests!$1:$1,0)+1,FALSE)</f>
        <v>【1回のみ】紅き侵入者</v>
      </c>
      <c r="D5" s="8">
        <v>1</v>
      </c>
      <c r="E5" s="38" t="s">
        <v>2178</v>
      </c>
      <c r="F5" s="64">
        <v>1204</v>
      </c>
      <c r="G5" s="294" t="s">
        <v>178</v>
      </c>
      <c r="H5" s="11" t="s">
        <v>2179</v>
      </c>
    </row>
    <row r="6" spans="1:8" ht="21" customHeight="1" x14ac:dyDescent="0.15">
      <c r="A6" s="297">
        <v>65527</v>
      </c>
      <c r="B6" s="296">
        <v>10025</v>
      </c>
      <c r="C6" s="12" t="str">
        <f ca="1">VLOOKUP($B6,OFFSET(quests!$A$1,0,0,COUNTA(quests!$A:$A),MATCH(C$1,quests!$1:$1,0)-MATCH($B$1,quests!$1:$1,0)+1),MATCH(C$1,quests!$1:$1,0)-MATCH($B$1,quests!$1:$1,0)+1,FALSE)</f>
        <v>【1回のみ】イブとトモダチと狼男</v>
      </c>
      <c r="D6" s="8">
        <v>1</v>
      </c>
      <c r="E6" s="38" t="s">
        <v>2178</v>
      </c>
      <c r="F6" s="64">
        <v>1205</v>
      </c>
      <c r="G6" s="294" t="s">
        <v>178</v>
      </c>
      <c r="H6" s="11" t="s">
        <v>2179</v>
      </c>
    </row>
    <row r="7" spans="1:8" ht="21" customHeight="1" x14ac:dyDescent="0.15">
      <c r="A7" s="297">
        <v>65528</v>
      </c>
      <c r="B7" s="296">
        <v>10030</v>
      </c>
      <c r="C7" s="12" t="str">
        <f ca="1">VLOOKUP($B7,OFFSET(quests!$A$1,0,0,COUNTA(quests!$A:$A),MATCH(C$1,quests!$1:$1,0)-MATCH($B$1,quests!$1:$1,0)+1),MATCH(C$1,quests!$1:$1,0)-MATCH($B$1,quests!$1:$1,0)+1,FALSE)</f>
        <v>【1回のみ】陸と海</v>
      </c>
      <c r="D7" s="8">
        <v>1</v>
      </c>
      <c r="E7" s="38" t="s">
        <v>2178</v>
      </c>
      <c r="F7" s="64">
        <v>1206</v>
      </c>
      <c r="G7" s="294" t="s">
        <v>178</v>
      </c>
      <c r="H7" s="11" t="s">
        <v>2179</v>
      </c>
    </row>
    <row r="8" spans="1:8" ht="21" customHeight="1" x14ac:dyDescent="0.15">
      <c r="A8" s="297">
        <v>65529</v>
      </c>
      <c r="B8" s="296">
        <v>10035</v>
      </c>
      <c r="C8" s="12" t="str">
        <f ca="1">VLOOKUP($B8,OFFSET(quests!$A$1,0,0,COUNTA(quests!$A:$A),MATCH(C$1,quests!$1:$1,0)-MATCH($B$1,quests!$1:$1,0)+1),MATCH(C$1,quests!$1:$1,0)-MATCH($B$1,quests!$1:$1,0)+1,FALSE)</f>
        <v>【1回のみ】二人の関係は？</v>
      </c>
      <c r="D8" s="8">
        <v>1</v>
      </c>
      <c r="E8" s="38" t="s">
        <v>2178</v>
      </c>
      <c r="F8" s="64">
        <v>1207</v>
      </c>
      <c r="G8" s="294" t="s">
        <v>178</v>
      </c>
      <c r="H8" s="11" t="s">
        <v>2179</v>
      </c>
    </row>
    <row r="9" spans="1:8" ht="21" customHeight="1" x14ac:dyDescent="0.15">
      <c r="A9" s="297">
        <v>65530</v>
      </c>
      <c r="B9" s="296">
        <v>10040</v>
      </c>
      <c r="C9" s="12" t="str">
        <f ca="1">VLOOKUP($B9,OFFSET(quests!$A$1,0,0,COUNTA(quests!$A:$A),MATCH(C$1,quests!$1:$1,0)-MATCH($B$1,quests!$1:$1,0)+1),MATCH(C$1,quests!$1:$1,0)-MATCH($B$1,quests!$1:$1,0)+1,FALSE)</f>
        <v>【1回のみ】大地の杖</v>
      </c>
      <c r="D9" s="8">
        <v>1</v>
      </c>
      <c r="E9" s="38" t="s">
        <v>2178</v>
      </c>
      <c r="F9" s="64">
        <v>1208</v>
      </c>
      <c r="G9" s="294" t="s">
        <v>178</v>
      </c>
      <c r="H9" s="11" t="s">
        <v>2179</v>
      </c>
    </row>
    <row r="10" spans="1:8" ht="21" customHeight="1" x14ac:dyDescent="0.15">
      <c r="A10" s="297">
        <v>65531</v>
      </c>
      <c r="B10" s="296">
        <v>10045</v>
      </c>
      <c r="C10" s="12" t="str">
        <f ca="1">VLOOKUP($B10,OFFSET(quests!$A$1,0,0,COUNTA(quests!$A:$A),MATCH(C$1,quests!$1:$1,0)-MATCH($B$1,quests!$1:$1,0)+1),MATCH(C$1,quests!$1:$1,0)-MATCH($B$1,quests!$1:$1,0)+1,FALSE)</f>
        <v>【1回のみ】迅雷</v>
      </c>
      <c r="D10" s="8">
        <v>1</v>
      </c>
      <c r="E10" s="38" t="s">
        <v>2178</v>
      </c>
      <c r="F10" s="64">
        <v>1209</v>
      </c>
      <c r="G10" s="294" t="s">
        <v>178</v>
      </c>
      <c r="H10" s="11" t="s">
        <v>2179</v>
      </c>
    </row>
    <row r="11" spans="1:8" ht="21" customHeight="1" x14ac:dyDescent="0.15">
      <c r="A11" s="297">
        <v>65532</v>
      </c>
      <c r="B11" s="296">
        <v>10050</v>
      </c>
      <c r="C11" s="12" t="str">
        <f ca="1">VLOOKUP($B11,OFFSET(quests!$A$1,0,0,COUNTA(quests!$A:$A),MATCH(C$1,quests!$1:$1,0)-MATCH($B$1,quests!$1:$1,0)+1),MATCH(C$1,quests!$1:$1,0)-MATCH($B$1,quests!$1:$1,0)+1,FALSE)</f>
        <v>【1回のみ】噛み合わない二柱</v>
      </c>
      <c r="D11" s="8">
        <v>1</v>
      </c>
      <c r="E11" s="38" t="s">
        <v>2178</v>
      </c>
      <c r="F11" s="64">
        <v>1210</v>
      </c>
      <c r="G11" s="294" t="s">
        <v>178</v>
      </c>
      <c r="H11" s="11" t="s">
        <v>2179</v>
      </c>
    </row>
    <row r="12" spans="1:8" ht="21" customHeight="1" x14ac:dyDescent="0.15">
      <c r="A12" s="297">
        <v>65533</v>
      </c>
      <c r="B12" s="296">
        <v>10055</v>
      </c>
      <c r="C12" s="12" t="str">
        <f ca="1">VLOOKUP($B12,OFFSET(quests!$A$1,0,0,COUNTA(quests!$A:$A),MATCH(C$1,quests!$1:$1,0)-MATCH($B$1,quests!$1:$1,0)+1),MATCH(C$1,quests!$1:$1,0)-MATCH($B$1,quests!$1:$1,0)+1,FALSE)</f>
        <v>【1回のみ】美女と美獣</v>
      </c>
      <c r="D12" s="8">
        <v>1</v>
      </c>
      <c r="E12" s="38" t="s">
        <v>2178</v>
      </c>
      <c r="F12" s="64">
        <v>1211</v>
      </c>
      <c r="G12" s="294" t="s">
        <v>178</v>
      </c>
      <c r="H12" s="11" t="s">
        <v>2179</v>
      </c>
    </row>
    <row r="13" spans="1:8" ht="21" customHeight="1" x14ac:dyDescent="0.15">
      <c r="A13" s="297">
        <v>65534</v>
      </c>
      <c r="B13" s="296">
        <v>10060</v>
      </c>
      <c r="C13" s="12" t="str">
        <f ca="1">VLOOKUP($B13,OFFSET(quests!$A$1,0,0,COUNTA(quests!$A:$A),MATCH(C$1,quests!$1:$1,0)-MATCH($B$1,quests!$1:$1,0)+1),MATCH(C$1,quests!$1:$1,0)-MATCH($B$1,quests!$1:$1,0)+1,FALSE)</f>
        <v>【1回のみ】東と西の女神</v>
      </c>
      <c r="D13" s="8">
        <v>1</v>
      </c>
      <c r="E13" s="38" t="s">
        <v>2178</v>
      </c>
      <c r="F13" s="64">
        <v>1212</v>
      </c>
      <c r="G13" s="294" t="s">
        <v>178</v>
      </c>
      <c r="H13" s="11" t="s">
        <v>2179</v>
      </c>
    </row>
    <row r="14" spans="1:8" ht="21" customHeight="1" x14ac:dyDescent="0.15">
      <c r="A14" s="297">
        <v>65535</v>
      </c>
      <c r="B14" s="296">
        <v>10065</v>
      </c>
      <c r="C14" s="12" t="str">
        <f ca="1">VLOOKUP($B14,OFFSET(quests!$A$1,0,0,COUNTA(quests!$A:$A),MATCH(C$1,quests!$1:$1,0)-MATCH($B$1,quests!$1:$1,0)+1),MATCH(C$1,quests!$1:$1,0)-MATCH($B$1,quests!$1:$1,0)+1,FALSE)</f>
        <v>【ランク65開放】【1回のみ】 奪還！太陽神！【仮開放】</v>
      </c>
      <c r="D14" s="8">
        <v>1</v>
      </c>
      <c r="E14" s="38" t="s">
        <v>2178</v>
      </c>
      <c r="F14" s="64">
        <v>1213</v>
      </c>
      <c r="G14" s="294" t="s">
        <v>178</v>
      </c>
      <c r="H14" s="11" t="s">
        <v>2179</v>
      </c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O315"/>
  <sheetViews>
    <sheetView showGridLines="0" zoomScale="133" workbookViewId="0">
      <pane ySplit="1" topLeftCell="A245" activePane="bottomLeft" state="frozen"/>
      <selection pane="bottomLeft" activeCell="C278" sqref="C278"/>
    </sheetView>
  </sheetViews>
  <sheetFormatPr baseColWidth="12" defaultColWidth="13" defaultRowHeight="21" customHeight="1" x14ac:dyDescent="0.15"/>
  <cols>
    <col min="1" max="1" width="7.3984375" style="11" bestFit="1" customWidth="1"/>
    <col min="2" max="3" width="27.3984375" style="45" bestFit="1" customWidth="1"/>
    <col min="4" max="4" width="33.3984375" style="45" customWidth="1"/>
    <col min="5" max="6" width="13.19921875" style="11" customWidth="1"/>
    <col min="7" max="7" width="17.59765625" style="11" customWidth="1"/>
    <col min="8" max="11" width="13" style="11"/>
    <col min="12" max="12" width="36.59765625" style="11" customWidth="1"/>
    <col min="13" max="16384" width="13" style="11"/>
  </cols>
  <sheetData>
    <row r="1" spans="1:15" ht="23" customHeight="1" x14ac:dyDescent="0.15">
      <c r="A1" s="20" t="s">
        <v>21</v>
      </c>
      <c r="B1" s="15" t="s">
        <v>173</v>
      </c>
      <c r="C1" s="15" t="s">
        <v>594</v>
      </c>
      <c r="D1" s="15" t="s">
        <v>163</v>
      </c>
      <c r="E1" s="30" t="s">
        <v>22</v>
      </c>
      <c r="F1" s="20" t="s">
        <v>1035</v>
      </c>
      <c r="G1" s="20" t="s">
        <v>23</v>
      </c>
      <c r="H1" s="50" t="s">
        <v>180</v>
      </c>
      <c r="I1" s="51" t="s">
        <v>181</v>
      </c>
      <c r="J1" s="287" t="s">
        <v>2065</v>
      </c>
    </row>
    <row r="2" spans="1:15" ht="21" customHeight="1" x14ac:dyDescent="0.15">
      <c r="A2" s="62">
        <v>10008</v>
      </c>
      <c r="B2" s="47" t="str">
        <f ca="1">VLOOKUP($A2,OFFSET(quests!$A$1,0,0,COUNTA(quests!$A:$A),MATCH(B$1,quests!$1:$1,0)-MATCH($A$1,quests!$1:$1,0)+1),MATCH(B$1,quests!$1:$1,0)-MATCH($A$1,quests!$1:$1,0)+1,FALSE)</f>
        <v>【1回のみ】幸せのカタチ</v>
      </c>
      <c r="C2" s="47" t="str">
        <f ca="1">VLOOKUP($A2,OFFSET(quests!$A$1,0,0,COUNTA(quests!$A:$A),MATCH(C$1,quests!$1:$1,0)-MATCH($A$1,quests!$1:$1,0)+1),MATCH(C$1,quests!$1:$1,0)-MATCH($A$1,quests!$1:$1,0)+1,FALSE)</f>
        <v>ランク8開放</v>
      </c>
      <c r="D2" s="47" t="str">
        <f ca="1">VLOOKUP($A2,OFFSET(quests!$A$1,0,0,COUNTA(quests!$A:$A),MATCH(D$1,quests!$1:$1,0)-MATCH($A$1,quests!$1:$1,0)+1),MATCH(D$1,quests!$1:$1,0)-MATCH($A$1,quests!$1:$1,0)+1,FALSE)</f>
        <v>ランク開放クエスト Lv8</v>
      </c>
      <c r="E2" s="47" t="str">
        <f ca="1">VLOOKUP($A2,OFFSET(stages!$C$2,0,0,COUNTA(stages!$C:$C),MATCH("stage_target",stages!$2:$2,0)-MATCH($A$1,stages!$2:$2,0)+1),MATCH("stage_target",stages!$2:$2,0)-MATCH($A$1,stages!$2:$2,0)+1,FALSE)</f>
        <v>everyone</v>
      </c>
      <c r="F2" s="200" t="s">
        <v>1036</v>
      </c>
      <c r="G2" s="49" t="str">
        <f>"quest"&amp;A2&amp;".png"</f>
        <v>quest10008.png</v>
      </c>
      <c r="H2" s="13" t="s">
        <v>53</v>
      </c>
      <c r="I2" s="64">
        <v>1201</v>
      </c>
      <c r="J2" s="12">
        <v>0</v>
      </c>
    </row>
    <row r="3" spans="1:15" ht="21" customHeight="1" x14ac:dyDescent="0.15">
      <c r="A3" s="62">
        <v>10010</v>
      </c>
      <c r="B3" s="47" t="str">
        <f ca="1">VLOOKUP($A3,OFFSET(quests!$A$1,0,0,COUNTA(quests!$A:$A),MATCH(B$1,quests!$1:$1,0)-MATCH($A$1,quests!$1:$1,0)+1),MATCH(B$1,quests!$1:$1,0)-MATCH($A$1,quests!$1:$1,0)+1,FALSE)</f>
        <v>【1回のみ】幼女増殖！！</v>
      </c>
      <c r="C3" s="47" t="str">
        <f ca="1">VLOOKUP($A3,OFFSET(quests!$A$1,0,0,COUNTA(quests!$A:$A),MATCH(C$1,quests!$1:$1,0)-MATCH($A$1,quests!$1:$1,0)+1),MATCH(C$1,quests!$1:$1,0)-MATCH($A$1,quests!$1:$1,0)+1,FALSE)</f>
        <v>ランク10開放</v>
      </c>
      <c r="D3" s="47" t="str">
        <f ca="1">VLOOKUP($A3,OFFSET(quests!$A$1,0,0,COUNTA(quests!$A:$A),MATCH(D$1,quests!$1:$1,0)-MATCH($A$1,quests!$1:$1,0)+1),MATCH(D$1,quests!$1:$1,0)-MATCH($A$1,quests!$1:$1,0)+1,FALSE)</f>
        <v>ランク開放クエスト Lv10</v>
      </c>
      <c r="E3" s="47" t="str">
        <f ca="1">VLOOKUP($A3,OFFSET(stages!$C$2,0,0,COUNTA(stages!$C:$C),MATCH("stage_target",stages!$2:$2,0)-MATCH($A$1,stages!$2:$2,0)+1),MATCH("stage_target",stages!$2:$2,0)-MATCH($A$1,stages!$2:$2,0)+1,FALSE)</f>
        <v>everyone</v>
      </c>
      <c r="F3" s="200" t="s">
        <v>1036</v>
      </c>
      <c r="G3" s="49" t="str">
        <f t="shared" ref="G3:G13" si="0">"quest"&amp;A3&amp;".png"</f>
        <v>quest10010.png</v>
      </c>
      <c r="H3" s="13" t="s">
        <v>53</v>
      </c>
      <c r="I3" s="64">
        <v>1202</v>
      </c>
      <c r="J3" s="12">
        <v>0</v>
      </c>
      <c r="L3" s="329" t="s">
        <v>2066</v>
      </c>
      <c r="M3" s="330"/>
    </row>
    <row r="4" spans="1:15" ht="21" customHeight="1" x14ac:dyDescent="0.15">
      <c r="A4" s="40">
        <v>10015</v>
      </c>
      <c r="B4" s="47" t="str">
        <f ca="1">VLOOKUP($A4,OFFSET(quests!$A$1,0,0,COUNTA(quests!$A:$A),MATCH(B$1,quests!$1:$1,0)-MATCH($A$1,quests!$1:$1,0)+1),MATCH(B$1,quests!$1:$1,0)-MATCH($A$1,quests!$1:$1,0)+1,FALSE)</f>
        <v>【1回のみ】静かなる混乱</v>
      </c>
      <c r="C4" s="47" t="str">
        <f ca="1">VLOOKUP($A4,OFFSET(quests!$A$1,0,0,COUNTA(quests!$A:$A),MATCH(C$1,quests!$1:$1,0)-MATCH($A$1,quests!$1:$1,0)+1),MATCH(C$1,quests!$1:$1,0)-MATCH($A$1,quests!$1:$1,0)+1,FALSE)</f>
        <v>ランク15開放</v>
      </c>
      <c r="D4" s="47" t="str">
        <f ca="1">VLOOKUP($A4,OFFSET(quests!$A$1,0,0,COUNTA(quests!$A:$A),MATCH(D$1,quests!$1:$1,0)-MATCH($A$1,quests!$1:$1,0)+1),MATCH(D$1,quests!$1:$1,0)-MATCH($A$1,quests!$1:$1,0)+1,FALSE)</f>
        <v>ランク開放クエスト Lv15</v>
      </c>
      <c r="E4" s="47" t="str">
        <f ca="1">VLOOKUP($A4,OFFSET(stages!$C$2,0,0,COUNTA(stages!$C:$C),MATCH("stage_target",stages!$2:$2,0)-MATCH($A$1,stages!$2:$2,0)+1),MATCH("stage_target",stages!$2:$2,0)-MATCH($A$1,stages!$2:$2,0)+1,FALSE)</f>
        <v>everyone</v>
      </c>
      <c r="F4" s="200" t="s">
        <v>1036</v>
      </c>
      <c r="G4" s="49" t="str">
        <f t="shared" si="0"/>
        <v>quest10015.png</v>
      </c>
      <c r="H4" s="13" t="s">
        <v>53</v>
      </c>
      <c r="I4" s="64">
        <v>1203</v>
      </c>
      <c r="J4" s="12">
        <v>0</v>
      </c>
      <c r="L4" s="12" t="s">
        <v>2067</v>
      </c>
      <c r="M4" s="12">
        <v>0</v>
      </c>
    </row>
    <row r="5" spans="1:15" ht="21" customHeight="1" x14ac:dyDescent="0.15">
      <c r="A5" s="40">
        <v>10020</v>
      </c>
      <c r="B5" s="47" t="str">
        <f ca="1">VLOOKUP($A5,OFFSET(quests!$A$1,0,0,COUNTA(quests!$A:$A),MATCH(B$1,quests!$1:$1,0)-MATCH($A$1,quests!$1:$1,0)+1),MATCH(B$1,quests!$1:$1,0)-MATCH($A$1,quests!$1:$1,0)+1,FALSE)</f>
        <v>【1回のみ】紅き侵入者</v>
      </c>
      <c r="C5" s="47" t="str">
        <f ca="1">VLOOKUP($A5,OFFSET(quests!$A$1,0,0,COUNTA(quests!$A:$A),MATCH(C$1,quests!$1:$1,0)-MATCH($A$1,quests!$1:$1,0)+1),MATCH(C$1,quests!$1:$1,0)-MATCH($A$1,quests!$1:$1,0)+1,FALSE)</f>
        <v>ランク20開放</v>
      </c>
      <c r="D5" s="47" t="str">
        <f ca="1">VLOOKUP($A5,OFFSET(quests!$A$1,0,0,COUNTA(quests!$A:$A),MATCH(D$1,quests!$1:$1,0)-MATCH($A$1,quests!$1:$1,0)+1),MATCH(D$1,quests!$1:$1,0)-MATCH($A$1,quests!$1:$1,0)+1,FALSE)</f>
        <v>ランク開放クエスト Lv20</v>
      </c>
      <c r="E5" s="47" t="str">
        <f ca="1">VLOOKUP($A5,OFFSET(stages!$C$2,0,0,COUNTA(stages!$C:$C),MATCH("stage_target",stages!$2:$2,0)-MATCH($A$1,stages!$2:$2,0)+1),MATCH("stage_target",stages!$2:$2,0)-MATCH($A$1,stages!$2:$2,0)+1,FALSE)</f>
        <v>everyone</v>
      </c>
      <c r="F5" s="200" t="s">
        <v>1036</v>
      </c>
      <c r="G5" s="49" t="str">
        <f t="shared" si="0"/>
        <v>quest10020.png</v>
      </c>
      <c r="H5" s="13" t="s">
        <v>53</v>
      </c>
      <c r="I5" s="64">
        <v>1204</v>
      </c>
      <c r="J5" s="12">
        <v>0</v>
      </c>
      <c r="L5" s="12" t="s">
        <v>1408</v>
      </c>
      <c r="M5" s="12">
        <v>1</v>
      </c>
    </row>
    <row r="6" spans="1:15" ht="41" customHeight="1" x14ac:dyDescent="0.15">
      <c r="A6" s="40">
        <v>10025</v>
      </c>
      <c r="B6" s="47" t="str">
        <f ca="1">VLOOKUP($A6,OFFSET(quests!$A$1,0,0,COUNTA(quests!$A:$A),MATCH(B$1,quests!$1:$1,0)-MATCH($A$1,quests!$1:$1,0)+1),MATCH(B$1,quests!$1:$1,0)-MATCH($A$1,quests!$1:$1,0)+1,FALSE)</f>
        <v>【1回のみ】イブとトモダチと狼男</v>
      </c>
      <c r="C6" s="47" t="str">
        <f ca="1">VLOOKUP($A6,OFFSET(quests!$A$1,0,0,COUNTA(quests!$A:$A),MATCH(C$1,quests!$1:$1,0)-MATCH($A$1,quests!$1:$1,0)+1),MATCH(C$1,quests!$1:$1,0)-MATCH($A$1,quests!$1:$1,0)+1,FALSE)</f>
        <v>ランク25開放</v>
      </c>
      <c r="D6" s="47" t="str">
        <f ca="1">VLOOKUP($A6,OFFSET(quests!$A$1,0,0,COUNTA(quests!$A:$A),MATCH(D$1,quests!$1:$1,0)-MATCH($A$1,quests!$1:$1,0)+1),MATCH(D$1,quests!$1:$1,0)-MATCH($A$1,quests!$1:$1,0)+1,FALSE)</f>
        <v>ランク開放クエスト Lv25</v>
      </c>
      <c r="E6" s="47" t="str">
        <f ca="1">VLOOKUP($A6,OFFSET(stages!$C$2,0,0,COUNTA(stages!$C:$C),MATCH("stage_target",stages!$2:$2,0)-MATCH($A$1,stages!$2:$2,0)+1),MATCH("stage_target",stages!$2:$2,0)-MATCH($A$1,stages!$2:$2,0)+1,FALSE)</f>
        <v>everyone</v>
      </c>
      <c r="F6" s="200" t="s">
        <v>1036</v>
      </c>
      <c r="G6" s="49" t="str">
        <f t="shared" si="0"/>
        <v>quest10025.png</v>
      </c>
      <c r="H6" s="13" t="s">
        <v>53</v>
      </c>
      <c r="I6" s="64">
        <v>1205</v>
      </c>
      <c r="J6" s="12">
        <v>0</v>
      </c>
      <c r="L6" s="95" t="s">
        <v>2068</v>
      </c>
      <c r="M6" s="12">
        <v>2</v>
      </c>
    </row>
    <row r="7" spans="1:15" ht="18" customHeight="1" x14ac:dyDescent="0.15">
      <c r="A7" s="40">
        <v>10030</v>
      </c>
      <c r="B7" s="47" t="str">
        <f ca="1">VLOOKUP($A7,OFFSET(quests!$A$1,0,0,COUNTA(quests!$A:$A),MATCH(B$1,quests!$1:$1,0)-MATCH($A$1,quests!$1:$1,0)+1),MATCH(B$1,quests!$1:$1,0)-MATCH($A$1,quests!$1:$1,0)+1,FALSE)</f>
        <v>【1回のみ】陸と海</v>
      </c>
      <c r="C7" s="47" t="str">
        <f ca="1">VLOOKUP($A7,OFFSET(quests!$A$1,0,0,COUNTA(quests!$A:$A),MATCH(C$1,quests!$1:$1,0)-MATCH($A$1,quests!$1:$1,0)+1),MATCH(C$1,quests!$1:$1,0)-MATCH($A$1,quests!$1:$1,0)+1,FALSE)</f>
        <v>ランク30開放</v>
      </c>
      <c r="D7" s="47" t="str">
        <f ca="1">VLOOKUP($A7,OFFSET(quests!$A$1,0,0,COUNTA(quests!$A:$A),MATCH(D$1,quests!$1:$1,0)-MATCH($A$1,quests!$1:$1,0)+1),MATCH(D$1,quests!$1:$1,0)-MATCH($A$1,quests!$1:$1,0)+1,FALSE)</f>
        <v>ランク開放クエスト Lv30</v>
      </c>
      <c r="E7" s="47" t="str">
        <f ca="1">VLOOKUP($A7,OFFSET(stages!$C$2,0,0,COUNTA(stages!$C:$C),MATCH("stage_target",stages!$2:$2,0)-MATCH($A$1,stages!$2:$2,0)+1),MATCH("stage_target",stages!$2:$2,0)-MATCH($A$1,stages!$2:$2,0)+1,FALSE)</f>
        <v>everyone</v>
      </c>
      <c r="F7" s="200" t="s">
        <v>1036</v>
      </c>
      <c r="G7" s="49" t="str">
        <f t="shared" si="0"/>
        <v>quest10030.png</v>
      </c>
      <c r="H7" s="13" t="s">
        <v>53</v>
      </c>
      <c r="I7" s="64">
        <v>1206</v>
      </c>
      <c r="J7" s="12">
        <v>0</v>
      </c>
      <c r="K7" s="288"/>
      <c r="L7" s="288"/>
      <c r="M7" s="288"/>
      <c r="N7" s="288"/>
      <c r="O7" s="288"/>
    </row>
    <row r="8" spans="1:15" ht="21" customHeight="1" x14ac:dyDescent="0.15">
      <c r="A8" s="40">
        <v>10035</v>
      </c>
      <c r="B8" s="47" t="str">
        <f ca="1">VLOOKUP($A8,OFFSET(quests!$A$1,0,0,COUNTA(quests!$A:$A),MATCH(B$1,quests!$1:$1,0)-MATCH($A$1,quests!$1:$1,0)+1),MATCH(B$1,quests!$1:$1,0)-MATCH($A$1,quests!$1:$1,0)+1,FALSE)</f>
        <v>【1回のみ】二人の関係は？</v>
      </c>
      <c r="C8" s="47" t="str">
        <f ca="1">VLOOKUP($A8,OFFSET(quests!$A$1,0,0,COUNTA(quests!$A:$A),MATCH(C$1,quests!$1:$1,0)-MATCH($A$1,quests!$1:$1,0)+1),MATCH(C$1,quests!$1:$1,0)-MATCH($A$1,quests!$1:$1,0)+1,FALSE)</f>
        <v>ランク35開放</v>
      </c>
      <c r="D8" s="47" t="str">
        <f ca="1">VLOOKUP($A8,OFFSET(quests!$A$1,0,0,COUNTA(quests!$A:$A),MATCH(D$1,quests!$1:$1,0)-MATCH($A$1,quests!$1:$1,0)+1),MATCH(D$1,quests!$1:$1,0)-MATCH($A$1,quests!$1:$1,0)+1,FALSE)</f>
        <v>ランク開放クエスト Lv35</v>
      </c>
      <c r="E8" s="47" t="str">
        <f ca="1">VLOOKUP($A8,OFFSET(stages!$C$2,0,0,COUNTA(stages!$C:$C),MATCH("stage_target",stages!$2:$2,0)-MATCH($A$1,stages!$2:$2,0)+1),MATCH("stage_target",stages!$2:$2,0)-MATCH($A$1,stages!$2:$2,0)+1,FALSE)</f>
        <v>everyone</v>
      </c>
      <c r="F8" s="200" t="s">
        <v>1036</v>
      </c>
      <c r="G8" s="49" t="str">
        <f t="shared" si="0"/>
        <v>quest10035.png</v>
      </c>
      <c r="H8" s="13" t="s">
        <v>53</v>
      </c>
      <c r="I8" s="64">
        <v>1207</v>
      </c>
      <c r="J8" s="12">
        <v>0</v>
      </c>
    </row>
    <row r="9" spans="1:15" ht="21" customHeight="1" x14ac:dyDescent="0.15">
      <c r="A9" s="40">
        <v>10040</v>
      </c>
      <c r="B9" s="47" t="str">
        <f ca="1">VLOOKUP($A9,OFFSET(quests!$A$1,0,0,COUNTA(quests!$A:$A),MATCH(B$1,quests!$1:$1,0)-MATCH($A$1,quests!$1:$1,0)+1),MATCH(B$1,quests!$1:$1,0)-MATCH($A$1,quests!$1:$1,0)+1,FALSE)</f>
        <v>【1回のみ】大地の杖</v>
      </c>
      <c r="C9" s="47" t="str">
        <f ca="1">VLOOKUP($A9,OFFSET(quests!$A$1,0,0,COUNTA(quests!$A:$A),MATCH(C$1,quests!$1:$1,0)-MATCH($A$1,quests!$1:$1,0)+1),MATCH(C$1,quests!$1:$1,0)-MATCH($A$1,quests!$1:$1,0)+1,FALSE)</f>
        <v>ランク40開放</v>
      </c>
      <c r="D9" s="47" t="str">
        <f ca="1">VLOOKUP($A9,OFFSET(quests!$A$1,0,0,COUNTA(quests!$A:$A),MATCH(D$1,quests!$1:$1,0)-MATCH($A$1,quests!$1:$1,0)+1),MATCH(D$1,quests!$1:$1,0)-MATCH($A$1,quests!$1:$1,0)+1,FALSE)</f>
        <v>ランク開放クエスト Lv40</v>
      </c>
      <c r="E9" s="47" t="str">
        <f ca="1">VLOOKUP($A9,OFFSET(stages!$C$2,0,0,COUNTA(stages!$C:$C),MATCH("stage_target",stages!$2:$2,0)-MATCH($A$1,stages!$2:$2,0)+1),MATCH("stage_target",stages!$2:$2,0)-MATCH($A$1,stages!$2:$2,0)+1,FALSE)</f>
        <v>everyone</v>
      </c>
      <c r="F9" s="200" t="s">
        <v>1036</v>
      </c>
      <c r="G9" s="49" t="str">
        <f t="shared" si="0"/>
        <v>quest10040.png</v>
      </c>
      <c r="H9" s="13" t="s">
        <v>53</v>
      </c>
      <c r="I9" s="64">
        <v>1208</v>
      </c>
      <c r="J9" s="12">
        <v>0</v>
      </c>
    </row>
    <row r="10" spans="1:15" ht="21" customHeight="1" x14ac:dyDescent="0.15">
      <c r="A10" s="40">
        <v>10045</v>
      </c>
      <c r="B10" s="47" t="str">
        <f ca="1">VLOOKUP($A10,OFFSET(quests!$A$1,0,0,COUNTA(quests!$A:$A),MATCH(B$1,quests!$1:$1,0)-MATCH($A$1,quests!$1:$1,0)+1),MATCH(B$1,quests!$1:$1,0)-MATCH($A$1,quests!$1:$1,0)+1,FALSE)</f>
        <v>【1回のみ】迅雷</v>
      </c>
      <c r="C10" s="47" t="str">
        <f ca="1">VLOOKUP($A10,OFFSET(quests!$A$1,0,0,COUNTA(quests!$A:$A),MATCH(C$1,quests!$1:$1,0)-MATCH($A$1,quests!$1:$1,0)+1),MATCH(C$1,quests!$1:$1,0)-MATCH($A$1,quests!$1:$1,0)+1,FALSE)</f>
        <v>ランク45開放</v>
      </c>
      <c r="D10" s="47" t="str">
        <f ca="1">VLOOKUP($A10,OFFSET(quests!$A$1,0,0,COUNTA(quests!$A:$A),MATCH(D$1,quests!$1:$1,0)-MATCH($A$1,quests!$1:$1,0)+1),MATCH(D$1,quests!$1:$1,0)-MATCH($A$1,quests!$1:$1,0)+1,FALSE)</f>
        <v>ランク開放クエスト Lv45</v>
      </c>
      <c r="E10" s="47" t="str">
        <f ca="1">VLOOKUP($A10,OFFSET(stages!$C$2,0,0,COUNTA(stages!$C:$C),MATCH("stage_target",stages!$2:$2,0)-MATCH($A$1,stages!$2:$2,0)+1),MATCH("stage_target",stages!$2:$2,0)-MATCH($A$1,stages!$2:$2,0)+1,FALSE)</f>
        <v>everyone</v>
      </c>
      <c r="F10" s="200" t="s">
        <v>1036</v>
      </c>
      <c r="G10" s="49" t="str">
        <f t="shared" si="0"/>
        <v>quest10045.png</v>
      </c>
      <c r="H10" s="13" t="s">
        <v>53</v>
      </c>
      <c r="I10" s="64">
        <v>1209</v>
      </c>
      <c r="J10" s="12">
        <v>0</v>
      </c>
    </row>
    <row r="11" spans="1:15" ht="21" customHeight="1" x14ac:dyDescent="0.15">
      <c r="A11" s="40">
        <v>10050</v>
      </c>
      <c r="B11" s="47" t="str">
        <f ca="1">VLOOKUP($A11,OFFSET(quests!$A$1,0,0,COUNTA(quests!$A:$A),MATCH(B$1,quests!$1:$1,0)-MATCH($A$1,quests!$1:$1,0)+1),MATCH(B$1,quests!$1:$1,0)-MATCH($A$1,quests!$1:$1,0)+1,FALSE)</f>
        <v>【1回のみ】噛み合わない二柱</v>
      </c>
      <c r="C11" s="47" t="str">
        <f ca="1">VLOOKUP($A11,OFFSET(quests!$A$1,0,0,COUNTA(quests!$A:$A),MATCH(C$1,quests!$1:$1,0)-MATCH($A$1,quests!$1:$1,0)+1),MATCH(C$1,quests!$1:$1,0)-MATCH($A$1,quests!$1:$1,0)+1,FALSE)</f>
        <v>ランク50開放</v>
      </c>
      <c r="D11" s="47" t="str">
        <f ca="1">VLOOKUP($A11,OFFSET(quests!$A$1,0,0,COUNTA(quests!$A:$A),MATCH(D$1,quests!$1:$1,0)-MATCH($A$1,quests!$1:$1,0)+1),MATCH(D$1,quests!$1:$1,0)-MATCH($A$1,quests!$1:$1,0)+1,FALSE)</f>
        <v>ランク開放クエスト Lv50</v>
      </c>
      <c r="E11" s="47" t="str">
        <f ca="1">VLOOKUP($A11,OFFSET(stages!$C$2,0,0,COUNTA(stages!$C:$C),MATCH("stage_target",stages!$2:$2,0)-MATCH($A$1,stages!$2:$2,0)+1),MATCH("stage_target",stages!$2:$2,0)-MATCH($A$1,stages!$2:$2,0)+1,FALSE)</f>
        <v>everyone</v>
      </c>
      <c r="F11" s="200" t="s">
        <v>1036</v>
      </c>
      <c r="G11" s="49" t="str">
        <f t="shared" si="0"/>
        <v>quest10050.png</v>
      </c>
      <c r="H11" s="13" t="s">
        <v>53</v>
      </c>
      <c r="I11" s="64">
        <v>1210</v>
      </c>
      <c r="J11" s="12">
        <v>0</v>
      </c>
    </row>
    <row r="12" spans="1:15" ht="21" customHeight="1" x14ac:dyDescent="0.15">
      <c r="A12" s="40">
        <v>10055</v>
      </c>
      <c r="B12" s="47" t="str">
        <f ca="1">VLOOKUP($A12,OFFSET(quests!$A$1,0,0,COUNTA(quests!$A:$A),MATCH(B$1,quests!$1:$1,0)-MATCH($A$1,quests!$1:$1,0)+1),MATCH(B$1,quests!$1:$1,0)-MATCH($A$1,quests!$1:$1,0)+1,FALSE)</f>
        <v>【1回のみ】美女と美獣</v>
      </c>
      <c r="C12" s="47" t="str">
        <f ca="1">VLOOKUP($A12,OFFSET(quests!$A$1,0,0,COUNTA(quests!$A:$A),MATCH(C$1,quests!$1:$1,0)-MATCH($A$1,quests!$1:$1,0)+1),MATCH(C$1,quests!$1:$1,0)-MATCH($A$1,quests!$1:$1,0)+1,FALSE)</f>
        <v>ランク55開放</v>
      </c>
      <c r="D12" s="47" t="str">
        <f ca="1">VLOOKUP($A12,OFFSET(quests!$A$1,0,0,COUNTA(quests!$A:$A),MATCH(D$1,quests!$1:$1,0)-MATCH($A$1,quests!$1:$1,0)+1),MATCH(D$1,quests!$1:$1,0)-MATCH($A$1,quests!$1:$1,0)+1,FALSE)</f>
        <v>ランク開放クエスト Lv55</v>
      </c>
      <c r="E12" s="47" t="str">
        <f ca="1">VLOOKUP($A12,OFFSET(stages!$C$2,0,0,COUNTA(stages!$C:$C),MATCH("stage_target",stages!$2:$2,0)-MATCH($A$1,stages!$2:$2,0)+1),MATCH("stage_target",stages!$2:$2,0)-MATCH($A$1,stages!$2:$2,0)+1,FALSE)</f>
        <v>everyone</v>
      </c>
      <c r="F12" s="200" t="s">
        <v>1036</v>
      </c>
      <c r="G12" s="49" t="str">
        <f t="shared" si="0"/>
        <v>quest10055.png</v>
      </c>
      <c r="H12" s="13" t="s">
        <v>53</v>
      </c>
      <c r="I12" s="64">
        <v>1211</v>
      </c>
      <c r="J12" s="12">
        <v>0</v>
      </c>
    </row>
    <row r="13" spans="1:15" ht="21" customHeight="1" x14ac:dyDescent="0.15">
      <c r="A13" s="40">
        <v>10060</v>
      </c>
      <c r="B13" s="47" t="str">
        <f ca="1">VLOOKUP($A13,OFFSET(quests!$A$1,0,0,COUNTA(quests!$A:$A),MATCH(B$1,quests!$1:$1,0)-MATCH($A$1,quests!$1:$1,0)+1),MATCH(B$1,quests!$1:$1,0)-MATCH($A$1,quests!$1:$1,0)+1,FALSE)</f>
        <v>【1回のみ】東と西の女神</v>
      </c>
      <c r="C13" s="47" t="str">
        <f ca="1">VLOOKUP($A13,OFFSET(quests!$A$1,0,0,COUNTA(quests!$A:$A),MATCH(C$1,quests!$1:$1,0)-MATCH($A$1,quests!$1:$1,0)+1),MATCH(C$1,quests!$1:$1,0)-MATCH($A$1,quests!$1:$1,0)+1,FALSE)</f>
        <v>ランク60開放</v>
      </c>
      <c r="D13" s="47" t="str">
        <f ca="1">VLOOKUP($A13,OFFSET(quests!$A$1,0,0,COUNTA(quests!$A:$A),MATCH(D$1,quests!$1:$1,0)-MATCH($A$1,quests!$1:$1,0)+1),MATCH(D$1,quests!$1:$1,0)-MATCH($A$1,quests!$1:$1,0)+1,FALSE)</f>
        <v>ランク開放クエスト Lv60</v>
      </c>
      <c r="E13" s="47" t="str">
        <f ca="1">VLOOKUP($A13,OFFSET(stages!$C$2,0,0,COUNTA(stages!$C:$C),MATCH("stage_target",stages!$2:$2,0)-MATCH($A$1,stages!$2:$2,0)+1),MATCH("stage_target",stages!$2:$2,0)-MATCH($A$1,stages!$2:$2,0)+1,FALSE)</f>
        <v>everyone</v>
      </c>
      <c r="F13" s="200" t="s">
        <v>1036</v>
      </c>
      <c r="G13" s="49" t="str">
        <f t="shared" si="0"/>
        <v>quest10060.png</v>
      </c>
      <c r="H13" s="13" t="s">
        <v>53</v>
      </c>
      <c r="I13" s="64">
        <v>1212</v>
      </c>
      <c r="J13" s="12">
        <v>0</v>
      </c>
    </row>
    <row r="14" spans="1:15" ht="21" customHeight="1" x14ac:dyDescent="0.15">
      <c r="A14" s="40">
        <v>10065</v>
      </c>
      <c r="B14" s="47" t="str">
        <f ca="1">VLOOKUP($A14,OFFSET(quests!$A$1,0,0,COUNTA(quests!$A:$A),MATCH(B$1,quests!$1:$1,0)-MATCH($A$1,quests!$1:$1,0)+1),MATCH(B$1,quests!$1:$1,0)-MATCH($A$1,quests!$1:$1,0)+1,FALSE)</f>
        <v>【ランク65開放】【1回のみ】 奪還！太陽神！【仮開放】</v>
      </c>
      <c r="C14" s="47" t="str">
        <f ca="1">VLOOKUP($A14,OFFSET(quests!$A$1,0,0,COUNTA(quests!$A:$A),MATCH(C$1,quests!$1:$1,0)-MATCH($A$1,quests!$1:$1,0)+1),MATCH(C$1,quests!$1:$1,0)-MATCH($A$1,quests!$1:$1,0)+1,FALSE)</f>
        <v>ランク開放クエスト</v>
      </c>
      <c r="D14" s="47" t="str">
        <f ca="1">VLOOKUP($A14,OFFSET(quests!$A$1,0,0,COUNTA(quests!$A:$A),MATCH(D$1,quests!$1:$1,0)-MATCH($A$1,quests!$1:$1,0)+1),MATCH(D$1,quests!$1:$1,0)-MATCH($A$1,quests!$1:$1,0)+1,FALSE)</f>
        <v>ランク開放クエスト Lv65</v>
      </c>
      <c r="E14" s="47" t="str">
        <f ca="1">VLOOKUP($A14,OFFSET(stages!$C$2,0,0,COUNTA(stages!$C:$C),MATCH("stage_target",stages!$2:$2,0)-MATCH($A$1,stages!$2:$2,0)+1),MATCH("stage_target",stages!$2:$2,0)-MATCH($A$1,stages!$2:$2,0)+1,FALSE)</f>
        <v>everyone</v>
      </c>
      <c r="F14" s="200" t="s">
        <v>1036</v>
      </c>
      <c r="G14" s="13" t="s">
        <v>178</v>
      </c>
      <c r="H14" s="13" t="s">
        <v>53</v>
      </c>
      <c r="I14" s="64">
        <v>1213</v>
      </c>
      <c r="J14" s="12">
        <v>0</v>
      </c>
    </row>
    <row r="15" spans="1:15" ht="21" customHeight="1" x14ac:dyDescent="0.15">
      <c r="A15" s="40">
        <v>10090</v>
      </c>
      <c r="B15" s="47" t="str">
        <f ca="1">VLOOKUP($A15,OFFSET(quests!$A$1,0,0,COUNTA(quests!$A:$A),MATCH(B$1,quests!$1:$1,0)-MATCH($A$1,quests!$1:$1,0)+1),MATCH(B$1,quests!$1:$1,0)-MATCH($A$1,quests!$1:$1,0)+1,FALSE)</f>
        <v>【ランク90開放】【1回のみ】 星の降る夜に</v>
      </c>
      <c r="C15" s="47" t="str">
        <f ca="1">VLOOKUP($A15,OFFSET(quests!$A$1,0,0,COUNTA(quests!$A:$A),MATCH(C$1,quests!$1:$1,0)-MATCH($A$1,quests!$1:$1,0)+1),MATCH(C$1,quests!$1:$1,0)-MATCH($A$1,quests!$1:$1,0)+1,FALSE)</f>
        <v>ランク開放クエスト</v>
      </c>
      <c r="D15" s="47" t="str">
        <f ca="1">VLOOKUP($A15,OFFSET(quests!$A$1,0,0,COUNTA(quests!$A:$A),MATCH(D$1,quests!$1:$1,0)-MATCH($A$1,quests!$1:$1,0)+1),MATCH(D$1,quests!$1:$1,0)-MATCH($A$1,quests!$1:$1,0)+1,FALSE)</f>
        <v>ランク開放クエスト Lv90</v>
      </c>
      <c r="E15" s="47" t="str">
        <f ca="1">VLOOKUP($A15,OFFSET(stages!$C$2,0,0,COUNTA(stages!$C:$C),MATCH("stage_target",stages!$2:$2,0)-MATCH($A$1,stages!$2:$2,0)+1),MATCH("stage_target",stages!$2:$2,0)-MATCH($A$1,stages!$2:$2,0)+1,FALSE)</f>
        <v>everyone</v>
      </c>
      <c r="F15" s="200" t="s">
        <v>1036</v>
      </c>
      <c r="G15" s="13" t="s">
        <v>178</v>
      </c>
      <c r="H15" s="13" t="s">
        <v>53</v>
      </c>
      <c r="I15" s="64">
        <v>1214</v>
      </c>
      <c r="J15" s="12">
        <v>0</v>
      </c>
    </row>
    <row r="16" spans="1:15" ht="21" customHeight="1" x14ac:dyDescent="0.15">
      <c r="A16" s="40">
        <v>10100</v>
      </c>
      <c r="B16" s="47" t="str">
        <f ca="1">VLOOKUP($A16,OFFSET(quests!$A$1,0,0,COUNTA(quests!$A:$A),MATCH(B$1,quests!$1:$1,0)-MATCH($A$1,quests!$1:$1,0)+1),MATCH(B$1,quests!$1:$1,0)-MATCH($A$1,quests!$1:$1,0)+1,FALSE)</f>
        <v>【ランク100開放】【1回のみ】 お前のものは誰のもの？</v>
      </c>
      <c r="C16" s="47" t="str">
        <f ca="1">VLOOKUP($A16,OFFSET(quests!$A$1,0,0,COUNTA(quests!$A:$A),MATCH(C$1,quests!$1:$1,0)-MATCH($A$1,quests!$1:$1,0)+1),MATCH(C$1,quests!$1:$1,0)-MATCH($A$1,quests!$1:$1,0)+1,FALSE)</f>
        <v>ランク開放クエスト</v>
      </c>
      <c r="D16" s="47" t="str">
        <f ca="1">VLOOKUP($A16,OFFSET(quests!$A$1,0,0,COUNTA(quests!$A:$A),MATCH(D$1,quests!$1:$1,0)-MATCH($A$1,quests!$1:$1,0)+1),MATCH(D$1,quests!$1:$1,0)-MATCH($A$1,quests!$1:$1,0)+1,FALSE)</f>
        <v>ランク開放クエスト Lv100</v>
      </c>
      <c r="E16" s="47" t="str">
        <f ca="1">VLOOKUP($A16,OFFSET(stages!$C$2,0,0,COUNTA(stages!$C:$C),MATCH("stage_target",stages!$2:$2,0)-MATCH($A$1,stages!$2:$2,0)+1),MATCH("stage_target",stages!$2:$2,0)-MATCH($A$1,stages!$2:$2,0)+1,FALSE)</f>
        <v>everyone</v>
      </c>
      <c r="F16" s="200" t="s">
        <v>1036</v>
      </c>
      <c r="G16" s="13" t="s">
        <v>178</v>
      </c>
      <c r="H16" s="13" t="s">
        <v>53</v>
      </c>
      <c r="I16" s="64">
        <v>1215</v>
      </c>
      <c r="J16" s="12">
        <v>0</v>
      </c>
    </row>
    <row r="17" spans="1:10" ht="21" customHeight="1" x14ac:dyDescent="0.15">
      <c r="A17" s="31">
        <v>12001</v>
      </c>
      <c r="B17" s="47" t="str">
        <f ca="1">VLOOKUP($A17,OFFSET(quests!$A$1,0,0,COUNTA(quests!$A:$A),MATCH(B$1,quests!$1:$1,0)-MATCH($A$1,quests!$1:$1,0)+1),MATCH(B$1,quests!$1:$1,0)-MATCH($A$1,quests!$1:$1,0)+1,FALSE)</f>
        <v>【緊急！！】 アヒル捕獲作戦</v>
      </c>
      <c r="C17" s="47" t="str">
        <f ca="1">VLOOKUP($A17,OFFSET(quests!$A$1,0,0,COUNTA(quests!$A:$A),MATCH(C$1,quests!$1:$1,0)-MATCH($A$1,quests!$1:$1,0)+1),MATCH(C$1,quests!$1:$1,0)-MATCH($A$1,quests!$1:$1,0)+1,FALSE)</f>
        <v>ゲリラクエスト(ハートなし)</v>
      </c>
      <c r="D17" s="47" t="str">
        <f ca="1">VLOOKUP($A17,OFFSET(quests!$A$1,0,0,COUNTA(quests!$A:$A),MATCH(D$1,quests!$1:$1,0)-MATCH($A$1,quests!$1:$1,0)+1),MATCH(D$1,quests!$1:$1,0)-MATCH($A$1,quests!$1:$1,0)+1,FALSE)</f>
        <v>ゲリラクエスト</v>
      </c>
      <c r="E17" s="47" t="str">
        <f ca="1">VLOOKUP($A17,OFFSET(stages!$C$2,0,0,COUNTA(stages!$C:$C),MATCH("stage_target",stages!$2:$2,0)-MATCH($A$1,stages!$2:$2,0)+1),MATCH("stage_target",stages!$2:$2,0)-MATCH($A$1,stages!$2:$2,0)+1,FALSE)</f>
        <v>everyone</v>
      </c>
      <c r="F17" s="200" t="s">
        <v>1036</v>
      </c>
      <c r="G17" s="49" t="str">
        <f>"quest"&amp;A17&amp;".png"</f>
        <v>quest12001.png</v>
      </c>
      <c r="H17" s="13" t="s">
        <v>65</v>
      </c>
      <c r="I17" s="13">
        <v>9001</v>
      </c>
      <c r="J17" s="12">
        <v>0</v>
      </c>
    </row>
    <row r="18" spans="1:10" ht="21" customHeight="1" x14ac:dyDescent="0.15">
      <c r="A18" s="31">
        <v>12002</v>
      </c>
      <c r="B18" s="47" t="str">
        <f ca="1">VLOOKUP($A18,OFFSET(quests!$A$1,0,0,COUNTA(quests!$A:$A),MATCH(B$1,quests!$1:$1,0)-MATCH($A$1,quests!$1:$1,0)+1),MATCH(B$1,quests!$1:$1,0)-MATCH($A$1,quests!$1:$1,0)+1,FALSE)</f>
        <v>【マルチ専用1/2】 アヒル捕獲作戦</v>
      </c>
      <c r="C18" s="47" t="str">
        <f ca="1">VLOOKUP($A18,OFFSET(quests!$A$1,0,0,COUNTA(quests!$A:$A),MATCH(C$1,quests!$1:$1,0)-MATCH($A$1,quests!$1:$1,0)+1),MATCH(C$1,quests!$1:$1,0)-MATCH($A$1,quests!$1:$1,0)+1,FALSE)</f>
        <v>ゲリラクエスト(ハートなし)</v>
      </c>
      <c r="D18" s="47" t="str">
        <f ca="1">VLOOKUP($A18,OFFSET(quests!$A$1,0,0,COUNTA(quests!$A:$A),MATCH(D$1,quests!$1:$1,0)-MATCH($A$1,quests!$1:$1,0)+1),MATCH(D$1,quests!$1:$1,0)-MATCH($A$1,quests!$1:$1,0)+1,FALSE)</f>
        <v>ゲリラクエスト</v>
      </c>
      <c r="E18" s="47" t="str">
        <f ca="1">VLOOKUP($A18,OFFSET(stages!$C$2,0,0,COUNTA(stages!$C:$C),MATCH("stage_target",stages!$2:$2,0)-MATCH($A$1,stages!$2:$2,0)+1),MATCH("stage_target",stages!$2:$2,0)-MATCH($A$1,stages!$2:$2,0)+1,FALSE)</f>
        <v>multionly</v>
      </c>
      <c r="F18" s="200" t="s">
        <v>1036</v>
      </c>
      <c r="G18" s="118" t="str">
        <f>"quest"&amp;A18&amp;"_1.png"</f>
        <v>quest12002_1.png</v>
      </c>
      <c r="H18" s="13" t="s">
        <v>65</v>
      </c>
      <c r="I18" s="13">
        <v>9002</v>
      </c>
      <c r="J18" s="12">
        <v>0</v>
      </c>
    </row>
    <row r="19" spans="1:10" ht="21" customHeight="1" x14ac:dyDescent="0.15">
      <c r="A19" s="31">
        <v>12003</v>
      </c>
      <c r="B19" s="47" t="str">
        <f ca="1">VLOOKUP($A19,OFFSET(quests!$A$1,0,0,COUNTA(quests!$A:$A),MATCH(B$1,quests!$1:$1,0)-MATCH($A$1,quests!$1:$1,0)+1),MATCH(B$1,quests!$1:$1,0)-MATCH($A$1,quests!$1:$1,0)+1,FALSE)</f>
        <v>【超緊急！！】メタルジェントルを追え</v>
      </c>
      <c r="C19" s="47" t="str">
        <f ca="1">VLOOKUP($A19,OFFSET(quests!$A$1,0,0,COUNTA(quests!$A:$A),MATCH(C$1,quests!$1:$1,0)-MATCH($A$1,quests!$1:$1,0)+1),MATCH(C$1,quests!$1:$1,0)-MATCH($A$1,quests!$1:$1,0)+1,FALSE)</f>
        <v>ゲリラクエスト</v>
      </c>
      <c r="D19" s="47" t="str">
        <f ca="1">VLOOKUP($A19,OFFSET(quests!$A$1,0,0,COUNTA(quests!$A:$A),MATCH(D$1,quests!$1:$1,0)-MATCH($A$1,quests!$1:$1,0)+1),MATCH(D$1,quests!$1:$1,0)-MATCH($A$1,quests!$1:$1,0)+1,FALSE)</f>
        <v>ゲリラ【超級】</v>
      </c>
      <c r="E19" s="47" t="str">
        <f ca="1">VLOOKUP($A19,OFFSET(stages!$C$2,0,0,COUNTA(stages!$C:$C),MATCH("stage_target",stages!$2:$2,0)-MATCH($A$1,stages!$2:$2,0)+1),MATCH("stage_target",stages!$2:$2,0)-MATCH($A$1,stages!$2:$2,0)+1,FALSE)</f>
        <v>singleonly</v>
      </c>
      <c r="F19" s="200" t="s">
        <v>1036</v>
      </c>
      <c r="G19" s="118" t="s">
        <v>634</v>
      </c>
      <c r="H19" s="13" t="s">
        <v>65</v>
      </c>
      <c r="I19" s="13">
        <v>9003</v>
      </c>
      <c r="J19" s="12">
        <v>0</v>
      </c>
    </row>
    <row r="20" spans="1:10" ht="21" customHeight="1" x14ac:dyDescent="0.15">
      <c r="A20" s="40">
        <v>12004</v>
      </c>
      <c r="B20" s="47" t="str">
        <f ca="1">VLOOKUP($A20,OFFSET(quests!$A$1,0,0,COUNTA(quests!$A:$A),MATCH(B$1,quests!$1:$1,0)-MATCH($A$1,quests!$1:$1,0)+1),MATCH(B$1,quests!$1:$1,0)-MATCH($A$1,quests!$1:$1,0)+1,FALSE)</f>
        <v>メタルフロッグをもとめて</v>
      </c>
      <c r="C20" s="47" t="str">
        <f ca="1">VLOOKUP($A20,OFFSET(quests!$A$1,0,0,COUNTA(quests!$A:$A),MATCH(C$1,quests!$1:$1,0)-MATCH($A$1,quests!$1:$1,0)+1),MATCH(C$1,quests!$1:$1,0)-MATCH($A$1,quests!$1:$1,0)+1,FALSE)</f>
        <v>期間限定クエスト</v>
      </c>
      <c r="D20" s="47" t="str">
        <f ca="1">VLOOKUP($A20,OFFSET(quests!$A$1,0,0,COUNTA(quests!$A:$A),MATCH(D$1,quests!$1:$1,0)-MATCH($A$1,quests!$1:$1,0)+1),MATCH(D$1,quests!$1:$1,0)-MATCH($A$1,quests!$1:$1,0)+1,FALSE)</f>
        <v>イベントクエスト</v>
      </c>
      <c r="E20" s="47" t="str">
        <f ca="1">VLOOKUP($A20,OFFSET(stages!$C$2,0,0,COUNTA(stages!$C:$C),MATCH("stage_target",stages!$2:$2,0)-MATCH($A$1,stages!$2:$2,0)+1),MATCH("stage_target",stages!$2:$2,0)-MATCH($A$1,stages!$2:$2,0)+1,FALSE)</f>
        <v>everyone</v>
      </c>
      <c r="F20" s="200" t="s">
        <v>1036</v>
      </c>
      <c r="G20" s="13" t="s">
        <v>980</v>
      </c>
      <c r="H20" s="13" t="s">
        <v>53</v>
      </c>
      <c r="I20" s="64">
        <v>9004</v>
      </c>
      <c r="J20" s="12">
        <v>0</v>
      </c>
    </row>
    <row r="21" spans="1:10" ht="21" customHeight="1" x14ac:dyDescent="0.15">
      <c r="A21" s="31">
        <v>13001</v>
      </c>
      <c r="B21" s="47" t="str">
        <f ca="1">VLOOKUP($A21,OFFSET(quests!$A$1,0,0,COUNTA(quests!$A:$A),MATCH(B$1,quests!$1:$1,0)-MATCH($A$1,quests!$1:$1,0)+1),MATCH(B$1,quests!$1:$1,0)-MATCH($A$1,quests!$1:$1,0)+1,FALSE)</f>
        <v>チャレンジタワー(ソロ専用)</v>
      </c>
      <c r="C21" s="47" t="str">
        <f ca="1">VLOOKUP($A21,OFFSET(quests!$A$1,0,0,COUNTA(quests!$A:$A),MATCH(C$1,quests!$1:$1,0)-MATCH($A$1,quests!$1:$1,0)+1),MATCH(C$1,quests!$1:$1,0)-MATCH($A$1,quests!$1:$1,0)+1,FALSE)</f>
        <v>チャレンジタワー</v>
      </c>
      <c r="D21" s="47" t="str">
        <f ca="1">VLOOKUP($A21,OFFSET(quests!$A$1,0,0,COUNTA(quests!$A:$A),MATCH(D$1,quests!$1:$1,0)-MATCH($A$1,quests!$1:$1,0)+1),MATCH(D$1,quests!$1:$1,0)-MATCH($A$1,quests!$1:$1,0)+1,FALSE)</f>
        <v>試練の塔</v>
      </c>
      <c r="E21" s="47" t="str">
        <f ca="1">VLOOKUP($A21,OFFSET(stages!$C$2,0,0,COUNTA(stages!$C:$C),MATCH("stage_target",stages!$2:$2,0)-MATCH($A$1,stages!$2:$2,0)+1),MATCH("stage_target",stages!$2:$2,0)-MATCH($A$1,stages!$2:$2,0)+1,FALSE)</f>
        <v>singleonly</v>
      </c>
      <c r="F21" s="200" t="s">
        <v>1036</v>
      </c>
      <c r="G21" s="118" t="s">
        <v>1559</v>
      </c>
      <c r="H21" s="13" t="s">
        <v>53</v>
      </c>
      <c r="I21" s="13">
        <v>1001</v>
      </c>
      <c r="J21" s="12">
        <v>2</v>
      </c>
    </row>
    <row r="22" spans="1:10" ht="21" customHeight="1" x14ac:dyDescent="0.15">
      <c r="A22" s="31">
        <v>13302</v>
      </c>
      <c r="B22" s="47" t="str">
        <f ca="1">VLOOKUP($A22,OFFSET(quests!$A$1,0,0,COUNTA(quests!$A:$A),MATCH(B$1,quests!$1:$1,0)-MATCH($A$1,quests!$1:$1,0)+1),MATCH(B$1,quests!$1:$1,0)-MATCH($A$1,quests!$1:$1,0)+1,FALSE)</f>
        <v>タワーオブザクイーン -アヴァルシア-</v>
      </c>
      <c r="C22" s="47" t="str">
        <f ca="1">VLOOKUP($A22,OFFSET(quests!$A$1,0,0,COUNTA(quests!$A:$A),MATCH(C$1,quests!$1:$1,0)-MATCH($A$1,quests!$1:$1,0)+1),MATCH(C$1,quests!$1:$1,0)-MATCH($A$1,quests!$1:$1,0)+1,FALSE)</f>
        <v>タワーオブザクイーン(ソロ専用)</v>
      </c>
      <c r="D22" s="47" t="str">
        <f ca="1">VLOOKUP($A22,OFFSET(quests!$A$1,0,0,COUNTA(quests!$A:$A),MATCH(D$1,quests!$1:$1,0)-MATCH($A$1,quests!$1:$1,0)+1),MATCH(D$1,quests!$1:$1,0)-MATCH($A$1,quests!$1:$1,0)+1,FALSE)</f>
        <v>タワーオブザクイーン1本目</v>
      </c>
      <c r="E22" s="47" t="str">
        <f ca="1">VLOOKUP($A22,OFFSET(stages!$C$2,0,0,COUNTA(stages!$C:$C),MATCH("stage_target",stages!$2:$2,0)-MATCH($A$1,stages!$2:$2,0)+1),MATCH("stage_target",stages!$2:$2,0)-MATCH($A$1,stages!$2:$2,0)+1,FALSE)</f>
        <v>singleonly</v>
      </c>
      <c r="F22" s="200" t="s">
        <v>382</v>
      </c>
      <c r="G22" s="118" t="s">
        <v>1693</v>
      </c>
      <c r="H22" s="13" t="s">
        <v>53</v>
      </c>
      <c r="I22" s="284">
        <v>30766</v>
      </c>
      <c r="J22" s="12">
        <v>2</v>
      </c>
    </row>
    <row r="23" spans="1:10" ht="21" customHeight="1" x14ac:dyDescent="0.15">
      <c r="A23" s="31">
        <v>13301</v>
      </c>
      <c r="B23" s="47" t="str">
        <f ca="1">VLOOKUP($A23,OFFSET(quests!$A$1,0,0,COUNTA(quests!$A:$A),MATCH(B$1,quests!$1:$1,0)-MATCH($A$1,quests!$1:$1,0)+1),MATCH(B$1,quests!$1:$1,0)-MATCH($A$1,quests!$1:$1,0)+1,FALSE)</f>
        <v>タワーオブザクイーン -アヴァルシア-</v>
      </c>
      <c r="C23" s="47" t="str">
        <f ca="1">VLOOKUP($A23,OFFSET(quests!$A$1,0,0,COUNTA(quests!$A:$A),MATCH(C$1,quests!$1:$1,0)-MATCH($A$1,quests!$1:$1,0)+1),MATCH(C$1,quests!$1:$1,0)-MATCH($A$1,quests!$1:$1,0)+1,FALSE)</f>
        <v>タワーオブザクイーン(ソロ専用)</v>
      </c>
      <c r="D23" s="47" t="str">
        <f ca="1">VLOOKUP($A23,OFFSET(quests!$A$1,0,0,COUNTA(quests!$A:$A),MATCH(D$1,quests!$1:$1,0)-MATCH($A$1,quests!$1:$1,0)+1),MATCH(D$1,quests!$1:$1,0)-MATCH($A$1,quests!$1:$1,0)+1,FALSE)</f>
        <v>タワーオブザクイーン1本目</v>
      </c>
      <c r="E23" s="47" t="str">
        <f ca="1">VLOOKUP($A23,OFFSET(stages!$C$2,0,0,COUNTA(stages!$C:$C),MATCH("stage_target",stages!$2:$2,0)-MATCH($A$1,stages!$2:$2,0)+1),MATCH("stage_target",stages!$2:$2,0)-MATCH($A$1,stages!$2:$2,0)+1,FALSE)</f>
        <v>singleonly</v>
      </c>
      <c r="F23" s="200" t="s">
        <v>382</v>
      </c>
      <c r="G23" s="118" t="s">
        <v>1820</v>
      </c>
      <c r="H23" s="13" t="s">
        <v>53</v>
      </c>
      <c r="I23" s="284">
        <v>30766</v>
      </c>
      <c r="J23" s="12">
        <v>2</v>
      </c>
    </row>
    <row r="24" spans="1:10" ht="21" customHeight="1" x14ac:dyDescent="0.15">
      <c r="A24" s="31">
        <v>13300</v>
      </c>
      <c r="B24" s="47" t="str">
        <f ca="1">VLOOKUP($A24,OFFSET(quests!$A$1,0,0,COUNTA(quests!$A:$A),MATCH(B$1,quests!$1:$1,0)-MATCH($A$1,quests!$1:$1,0)+1),MATCH(B$1,quests!$1:$1,0)-MATCH($A$1,quests!$1:$1,0)+1,FALSE)</f>
        <v>タワーオブザクイーン -アヴァルシア-</v>
      </c>
      <c r="C24" s="47" t="str">
        <f ca="1">VLOOKUP($A24,OFFSET(quests!$A$1,0,0,COUNTA(quests!$A:$A),MATCH(C$1,quests!$1:$1,0)-MATCH($A$1,quests!$1:$1,0)+1),MATCH(C$1,quests!$1:$1,0)-MATCH($A$1,quests!$1:$1,0)+1,FALSE)</f>
        <v>タワーオブザクイーン(ソロ専用)</v>
      </c>
      <c r="D24" s="47" t="str">
        <f ca="1">VLOOKUP($A24,OFFSET(quests!$A$1,0,0,COUNTA(quests!$A:$A),MATCH(D$1,quests!$1:$1,0)-MATCH($A$1,quests!$1:$1,0)+1),MATCH(D$1,quests!$1:$1,0)-MATCH($A$1,quests!$1:$1,0)+1,FALSE)</f>
        <v>タワーオブザクイーン1本目</v>
      </c>
      <c r="E24" s="47" t="str">
        <f ca="1">VLOOKUP($A24,OFFSET(stages!$C$2,0,0,COUNTA(stages!$C:$C),MATCH("stage_target",stages!$2:$2,0)-MATCH($A$1,stages!$2:$2,0)+1),MATCH("stage_target",stages!$2:$2,0)-MATCH($A$1,stages!$2:$2,0)+1,FALSE)</f>
        <v>singleonly</v>
      </c>
      <c r="F24" s="200" t="s">
        <v>1036</v>
      </c>
      <c r="G24" s="118" t="s">
        <v>1693</v>
      </c>
      <c r="H24" s="13" t="s">
        <v>53</v>
      </c>
      <c r="I24" s="284">
        <v>30766</v>
      </c>
      <c r="J24" s="12">
        <v>2</v>
      </c>
    </row>
    <row r="25" spans="1:10" ht="21" customHeight="1" x14ac:dyDescent="0.15">
      <c r="A25" s="31">
        <v>13400</v>
      </c>
      <c r="B25" s="47" t="str">
        <f ca="1">VLOOKUP($A25,OFFSET(quests!$A$1,0,0,COUNTA(quests!$A:$A),MATCH(B$1,quests!$1:$1,0)-MATCH($A$1,quests!$1:$1,0)+1),MATCH(B$1,quests!$1:$1,0)-MATCH($A$1,quests!$1:$1,0)+1,FALSE)</f>
        <v>タワーオブザクイーン -エルフラム-</v>
      </c>
      <c r="C25" s="47" t="str">
        <f ca="1">VLOOKUP($A25,OFFSET(quests!$A$1,0,0,COUNTA(quests!$A:$A),MATCH(C$1,quests!$1:$1,0)-MATCH($A$1,quests!$1:$1,0)+1),MATCH(C$1,quests!$1:$1,0)-MATCH($A$1,quests!$1:$1,0)+1,FALSE)</f>
        <v>タワーオブザクイーン(ソロ専用)</v>
      </c>
      <c r="D25" s="47" t="str">
        <f ca="1">VLOOKUP($A25,OFFSET(quests!$A$1,0,0,COUNTA(quests!$A:$A),MATCH(D$1,quests!$1:$1,0)-MATCH($A$1,quests!$1:$1,0)+1),MATCH(D$1,quests!$1:$1,0)-MATCH($A$1,quests!$1:$1,0)+1,FALSE)</f>
        <v>タワーオブザクイーン2本目</v>
      </c>
      <c r="E25" s="47" t="str">
        <f ca="1">VLOOKUP($A25,OFFSET(stages!$C$2,0,0,COUNTA(stages!$C:$C),MATCH("stage_target",stages!$2:$2,0)-MATCH($A$1,stages!$2:$2,0)+1),MATCH("stage_target",stages!$2:$2,0)-MATCH($A$1,stages!$2:$2,0)+1,FALSE)</f>
        <v>singleonly</v>
      </c>
      <c r="F25" s="200" t="s">
        <v>382</v>
      </c>
      <c r="G25" s="49" t="str">
        <f>"quest"&amp;A25&amp;".png"</f>
        <v>quest13400.png</v>
      </c>
      <c r="H25" s="13" t="s">
        <v>53</v>
      </c>
      <c r="I25" s="118">
        <v>30766</v>
      </c>
      <c r="J25" s="12">
        <v>2</v>
      </c>
    </row>
    <row r="26" spans="1:10" ht="21" customHeight="1" x14ac:dyDescent="0.15">
      <c r="A26" s="31">
        <v>13101</v>
      </c>
      <c r="B26" s="47" t="str">
        <f ca="1">VLOOKUP($A26,OFFSET(quests!$A$1,0,0,COUNTA(quests!$A:$A),MATCH(B$1,quests!$1:$1,0)-MATCH($A$1,quests!$1:$1,0)+1),MATCH(B$1,quests!$1:$1,0)-MATCH($A$1,quests!$1:$1,0)+1,FALSE)</f>
        <v>チャレンジタワー</v>
      </c>
      <c r="C26" s="47" t="str">
        <f ca="1">VLOOKUP($A26,OFFSET(quests!$A$1,0,0,COUNTA(quests!$A:$A),MATCH(C$1,quests!$1:$1,0)-MATCH($A$1,quests!$1:$1,0)+1),MATCH(C$1,quests!$1:$1,0)-MATCH($A$1,quests!$1:$1,0)+1,FALSE)</f>
        <v>チャレンジタワー</v>
      </c>
      <c r="D26" s="47" t="str">
        <f ca="1">VLOOKUP($A26,OFFSET(quests!$A$1,0,0,COUNTA(quests!$A:$A),MATCH(D$1,quests!$1:$1,0)-MATCH($A$1,quests!$1:$1,0)+1),MATCH(D$1,quests!$1:$1,0)-MATCH($A$1,quests!$1:$1,0)+1,FALSE)</f>
        <v>リセット型チャレンジタワー</v>
      </c>
      <c r="E26" s="47" t="str">
        <f ca="1">VLOOKUP($A26,OFFSET(stages!$C$2,0,0,COUNTA(stages!$C:$C),MATCH("stage_target",stages!$2:$2,0)-MATCH($A$1,stages!$2:$2,0)+1),MATCH("stage_target",stages!$2:$2,0)-MATCH($A$1,stages!$2:$2,0)+1,FALSE)</f>
        <v>singleonly</v>
      </c>
      <c r="F26" s="200" t="s">
        <v>1036</v>
      </c>
      <c r="G26" s="49" t="str">
        <f>"quest"&amp;A26&amp;".png"</f>
        <v>quest13101.png</v>
      </c>
      <c r="H26" s="13" t="s">
        <v>53</v>
      </c>
      <c r="I26" s="118">
        <v>32766</v>
      </c>
      <c r="J26" s="12">
        <v>2</v>
      </c>
    </row>
    <row r="27" spans="1:10" ht="21" customHeight="1" x14ac:dyDescent="0.15">
      <c r="A27" s="31">
        <v>20001</v>
      </c>
      <c r="B27" s="47" t="str">
        <f ca="1">VLOOKUP($A27,OFFSET(quests!$A$1,0,0,COUNTA(quests!$A:$A),MATCH(B$1,quests!$1:$1,0)-MATCH($A$1,quests!$1:$1,0)+1),MATCH(B$1,quests!$1:$1,0)-MATCH($A$1,quests!$1:$1,0)+1,FALSE)</f>
        <v>紅き執行者</v>
      </c>
      <c r="C27" s="47" t="str">
        <f ca="1">VLOOKUP($A27,OFFSET(quests!$A$1,0,0,COUNTA(quests!$A:$A),MATCH(C$1,quests!$1:$1,0)-MATCH($A$1,quests!$1:$1,0)+1),MATCH(C$1,quests!$1:$1,0)-MATCH($A$1,quests!$1:$1,0)+1,FALSE)</f>
        <v>期間限定クエスト</v>
      </c>
      <c r="D27" s="47" t="str">
        <f ca="1">VLOOKUP($A27,OFFSET(quests!$A$1,0,0,COUNTA(quests!$A:$A),MATCH(D$1,quests!$1:$1,0)-MATCH($A$1,quests!$1:$1,0)+1),MATCH(D$1,quests!$1:$1,0)-MATCH($A$1,quests!$1:$1,0)+1,FALSE)</f>
        <v>ドロップイベント1-1</v>
      </c>
      <c r="E27" s="47" t="str">
        <f ca="1">VLOOKUP($A27,OFFSET(stages!$C$2,0,0,COUNTA(stages!$C:$C),MATCH("stage_target",stages!$2:$2,0)-MATCH($A$1,stages!$2:$2,0)+1),MATCH("stage_target",stages!$2:$2,0)-MATCH($A$1,stages!$2:$2,0)+1,FALSE)</f>
        <v>everyone</v>
      </c>
      <c r="F27" s="200" t="s">
        <v>1036</v>
      </c>
      <c r="G27" s="49" t="str">
        <f>"quest"&amp;A27&amp;"_1.png"</f>
        <v>quest20001_1.png</v>
      </c>
      <c r="H27" s="13" t="s">
        <v>65</v>
      </c>
      <c r="I27" s="13">
        <v>3001</v>
      </c>
      <c r="J27" s="12">
        <v>0</v>
      </c>
    </row>
    <row r="28" spans="1:10" ht="21" customHeight="1" x14ac:dyDescent="0.15">
      <c r="A28" s="31">
        <v>20002</v>
      </c>
      <c r="B28" s="47" t="str">
        <f ca="1">VLOOKUP($A28,OFFSET(quests!$A$1,0,0,COUNTA(quests!$A:$A),MATCH(B$1,quests!$1:$1,0)-MATCH($A$1,quests!$1:$1,0)+1),MATCH(B$1,quests!$1:$1,0)-MATCH($A$1,quests!$1:$1,0)+1,FALSE)</f>
        <v>孤高の一角獣</v>
      </c>
      <c r="C28" s="47" t="str">
        <f ca="1">VLOOKUP($A28,OFFSET(quests!$A$1,0,0,COUNTA(quests!$A:$A),MATCH(C$1,quests!$1:$1,0)-MATCH($A$1,quests!$1:$1,0)+1),MATCH(C$1,quests!$1:$1,0)-MATCH($A$1,quests!$1:$1,0)+1,FALSE)</f>
        <v>ハートが出現しない！</v>
      </c>
      <c r="D28" s="47" t="str">
        <f ca="1">VLOOKUP($A28,OFFSET(quests!$A$1,0,0,COUNTA(quests!$A:$A),MATCH(D$1,quests!$1:$1,0)-MATCH($A$1,quests!$1:$1,0)+1),MATCH(D$1,quests!$1:$1,0)-MATCH($A$1,quests!$1:$1,0)+1,FALSE)</f>
        <v>ドロップイベント1-2</v>
      </c>
      <c r="E28" s="47" t="str">
        <f ca="1">VLOOKUP($A28,OFFSET(stages!$C$2,0,0,COUNTA(stages!$C:$C),MATCH("stage_target",stages!$2:$2,0)-MATCH($A$1,stages!$2:$2,0)+1),MATCH("stage_target",stages!$2:$2,0)-MATCH($A$1,stages!$2:$2,0)+1,FALSE)</f>
        <v>everyone</v>
      </c>
      <c r="F28" s="200" t="s">
        <v>1036</v>
      </c>
      <c r="G28" s="49" t="str">
        <f>"quest"&amp;A28&amp;"_4.png"</f>
        <v>quest20002_4.png</v>
      </c>
      <c r="H28" s="13" t="s">
        <v>65</v>
      </c>
      <c r="I28" s="12">
        <v>3003</v>
      </c>
      <c r="J28" s="12">
        <v>0</v>
      </c>
    </row>
    <row r="29" spans="1:10" ht="21" customHeight="1" x14ac:dyDescent="0.15">
      <c r="A29" s="31">
        <v>20003</v>
      </c>
      <c r="B29" s="47" t="str">
        <f ca="1">VLOOKUP($A29,OFFSET(quests!$A$1,0,0,COUNTA(quests!$A:$A),MATCH(B$1,quests!$1:$1,0)-MATCH($A$1,quests!$1:$1,0)+1),MATCH(B$1,quests!$1:$1,0)-MATCH($A$1,quests!$1:$1,0)+1,FALSE)</f>
        <v>忍び寄る短剣</v>
      </c>
      <c r="C29" s="47" t="str">
        <f ca="1">VLOOKUP($A29,OFFSET(quests!$A$1,0,0,COUNTA(quests!$A:$A),MATCH(C$1,quests!$1:$1,0)-MATCH($A$1,quests!$1:$1,0)+1),MATCH(C$1,quests!$1:$1,0)-MATCH($A$1,quests!$1:$1,0)+1,FALSE)</f>
        <v>期間限定クエスト</v>
      </c>
      <c r="D29" s="47" t="str">
        <f ca="1">VLOOKUP($A29,OFFSET(quests!$A$1,0,0,COUNTA(quests!$A:$A),MATCH(D$1,quests!$1:$1,0)-MATCH($A$1,quests!$1:$1,0)+1),MATCH(D$1,quests!$1:$1,0)-MATCH($A$1,quests!$1:$1,0)+1,FALSE)</f>
        <v>ドロップイベント1-3</v>
      </c>
      <c r="E29" s="47" t="str">
        <f ca="1">VLOOKUP($A29,OFFSET(stages!$C$2,0,0,COUNTA(stages!$C:$C),MATCH("stage_target",stages!$2:$2,0)-MATCH($A$1,stages!$2:$2,0)+1),MATCH("stage_target",stages!$2:$2,0)-MATCH($A$1,stages!$2:$2,0)+1,FALSE)</f>
        <v>everyone</v>
      </c>
      <c r="F29" s="200" t="s">
        <v>1036</v>
      </c>
      <c r="G29" s="49" t="str">
        <f>"quest"&amp;A29&amp;"_3.png"</f>
        <v>quest20003_3.png</v>
      </c>
      <c r="H29" s="13" t="s">
        <v>65</v>
      </c>
      <c r="I29" s="13">
        <v>3005</v>
      </c>
      <c r="J29" s="12">
        <v>0</v>
      </c>
    </row>
    <row r="30" spans="1:10" ht="21" customHeight="1" x14ac:dyDescent="0.15">
      <c r="A30" s="31">
        <v>20004</v>
      </c>
      <c r="B30" s="47" t="str">
        <f ca="1">VLOOKUP($A30,OFFSET(quests!$A$1,0,0,COUNTA(quests!$A:$A),MATCH(B$1,quests!$1:$1,0)-MATCH($A$1,quests!$1:$1,0)+1),MATCH(B$1,quests!$1:$1,0)-MATCH($A$1,quests!$1:$1,0)+1,FALSE)</f>
        <v>雷雲からの刺客</v>
      </c>
      <c r="C30" s="47" t="str">
        <f ca="1">VLOOKUP($A30,OFFSET(quests!$A$1,0,0,COUNTA(quests!$A:$A),MATCH(C$1,quests!$1:$1,0)-MATCH($A$1,quests!$1:$1,0)+1),MATCH(C$1,quests!$1:$1,0)-MATCH($A$1,quests!$1:$1,0)+1,FALSE)</f>
        <v>ハートが出現しない！</v>
      </c>
      <c r="D30" s="47" t="str">
        <f ca="1">VLOOKUP($A30,OFFSET(quests!$A$1,0,0,COUNTA(quests!$A:$A),MATCH(D$1,quests!$1:$1,0)-MATCH($A$1,quests!$1:$1,0)+1),MATCH(D$1,quests!$1:$1,0)-MATCH($A$1,quests!$1:$1,0)+1,FALSE)</f>
        <v>ドロップイベント1-4</v>
      </c>
      <c r="E30" s="47" t="str">
        <f ca="1">VLOOKUP($A30,OFFSET(stages!$C$2,0,0,COUNTA(stages!$C:$C),MATCH("stage_target",stages!$2:$2,0)-MATCH($A$1,stages!$2:$2,0)+1),MATCH("stage_target",stages!$2:$2,0)-MATCH($A$1,stages!$2:$2,0)+1,FALSE)</f>
        <v>everyone</v>
      </c>
      <c r="F30" s="200" t="s">
        <v>1036</v>
      </c>
      <c r="G30" s="49" t="str">
        <f>"quest"&amp;A30&amp;"_3.png"</f>
        <v>quest20004_3.png</v>
      </c>
      <c r="H30" s="13" t="s">
        <v>65</v>
      </c>
      <c r="I30" s="12">
        <v>3007</v>
      </c>
      <c r="J30" s="12">
        <v>0</v>
      </c>
    </row>
    <row r="31" spans="1:10" ht="21" customHeight="1" x14ac:dyDescent="0.15">
      <c r="A31" s="31">
        <v>20005</v>
      </c>
      <c r="B31" s="47" t="str">
        <f ca="1">VLOOKUP($A31,OFFSET(quests!$A$1,0,0,COUNTA(quests!$A:$A),MATCH(B$1,quests!$1:$1,0)-MATCH($A$1,quests!$1:$1,0)+1),MATCH(B$1,quests!$1:$1,0)-MATCH($A$1,quests!$1:$1,0)+1,FALSE)</f>
        <v>ザ・キャノン</v>
      </c>
      <c r="C31" s="47" t="str">
        <f ca="1">VLOOKUP($A31,OFFSET(quests!$A$1,0,0,COUNTA(quests!$A:$A),MATCH(C$1,quests!$1:$1,0)-MATCH($A$1,quests!$1:$1,0)+1),MATCH(C$1,quests!$1:$1,0)-MATCH($A$1,quests!$1:$1,0)+1,FALSE)</f>
        <v>1ターンに4タップ可能！</v>
      </c>
      <c r="D31" s="47" t="str">
        <f ca="1">VLOOKUP($A31,OFFSET(quests!$A$1,0,0,COUNTA(quests!$A:$A),MATCH(D$1,quests!$1:$1,0)-MATCH($A$1,quests!$1:$1,0)+1),MATCH(D$1,quests!$1:$1,0)-MATCH($A$1,quests!$1:$1,0)+1,FALSE)</f>
        <v>ドロップイベント2-2</v>
      </c>
      <c r="E31" s="47" t="str">
        <f ca="1">VLOOKUP($A31,OFFSET(stages!$C$2,0,0,COUNTA(stages!$C:$C),MATCH("stage_target",stages!$2:$2,0)-MATCH($A$1,stages!$2:$2,0)+1),MATCH("stage_target",stages!$2:$2,0)-MATCH($A$1,stages!$2:$2,0)+1,FALSE)</f>
        <v>everyone</v>
      </c>
      <c r="F31" s="200" t="s">
        <v>1036</v>
      </c>
      <c r="G31" s="49" t="str">
        <f>"quest"&amp;A31&amp;"_1.png"</f>
        <v>quest20005_1.png</v>
      </c>
      <c r="H31" s="13" t="s">
        <v>65</v>
      </c>
      <c r="I31" s="13">
        <v>3011</v>
      </c>
      <c r="J31" s="12">
        <v>0</v>
      </c>
    </row>
    <row r="32" spans="1:10" ht="21" customHeight="1" x14ac:dyDescent="0.15">
      <c r="A32" s="31">
        <v>20006</v>
      </c>
      <c r="B32" s="47" t="str">
        <f ca="1">VLOOKUP($A32,OFFSET(quests!$A$1,0,0,COUNTA(quests!$A:$A),MATCH(B$1,quests!$1:$1,0)-MATCH($A$1,quests!$1:$1,0)+1),MATCH(B$1,quests!$1:$1,0)-MATCH($A$1,quests!$1:$1,0)+1,FALSE)</f>
        <v>スチール・プレデター</v>
      </c>
      <c r="C32" s="47" t="str">
        <f ca="1">VLOOKUP($A32,OFFSET(quests!$A$1,0,0,COUNTA(quests!$A:$A),MATCH(C$1,quests!$1:$1,0)-MATCH($A$1,quests!$1:$1,0)+1),MATCH(C$1,quests!$1:$1,0)-MATCH($A$1,quests!$1:$1,0)+1,FALSE)</f>
        <v>1ターンに2タップしかできない！</v>
      </c>
      <c r="D32" s="47" t="str">
        <f ca="1">VLOOKUP($A32,OFFSET(quests!$A$1,0,0,COUNTA(quests!$A:$A),MATCH(D$1,quests!$1:$1,0)-MATCH($A$1,quests!$1:$1,0)+1),MATCH(D$1,quests!$1:$1,0)-MATCH($A$1,quests!$1:$1,0)+1,FALSE)</f>
        <v>ドロップイベント2-3</v>
      </c>
      <c r="E32" s="47" t="str">
        <f ca="1">VLOOKUP($A32,OFFSET(stages!$C$2,0,0,COUNTA(stages!$C:$C),MATCH("stage_target",stages!$2:$2,0)-MATCH($A$1,stages!$2:$2,0)+1),MATCH("stage_target",stages!$2:$2,0)-MATCH($A$1,stages!$2:$2,0)+1,FALSE)</f>
        <v>everyone</v>
      </c>
      <c r="F32" s="200" t="s">
        <v>1036</v>
      </c>
      <c r="G32" s="49" t="str">
        <f>"quest"&amp;A32&amp;"_1.png"</f>
        <v>quest20006_1.png</v>
      </c>
      <c r="H32" s="13" t="s">
        <v>65</v>
      </c>
      <c r="I32" s="12">
        <v>3013</v>
      </c>
      <c r="J32" s="12">
        <v>0</v>
      </c>
    </row>
    <row r="33" spans="1:10" ht="21" customHeight="1" x14ac:dyDescent="0.15">
      <c r="A33" s="31">
        <v>20007</v>
      </c>
      <c r="B33" s="47" t="str">
        <f ca="1">VLOOKUP($A33,OFFSET(quests!$A$1,0,0,COUNTA(quests!$A:$A),MATCH(B$1,quests!$1:$1,0)-MATCH($A$1,quests!$1:$1,0)+1),MATCH(B$1,quests!$1:$1,0)-MATCH($A$1,quests!$1:$1,0)+1,FALSE)</f>
        <v>女王陛下の処刑龍</v>
      </c>
      <c r="C33" s="47" t="str">
        <f ca="1">VLOOKUP($A33,OFFSET(quests!$A$1,0,0,COUNTA(quests!$A:$A),MATCH(C$1,quests!$1:$1,0)-MATCH($A$1,quests!$1:$1,0)+1),MATCH(C$1,quests!$1:$1,0)-MATCH($A$1,quests!$1:$1,0)+1,FALSE)</f>
        <v>1ターンに4タップ可能！</v>
      </c>
      <c r="D33" s="47" t="str">
        <f ca="1">VLOOKUP($A33,OFFSET(quests!$A$1,0,0,COUNTA(quests!$A:$A),MATCH(D$1,quests!$1:$1,0)-MATCH($A$1,quests!$1:$1,0)+1),MATCH(D$1,quests!$1:$1,0)-MATCH($A$1,quests!$1:$1,0)+1,FALSE)</f>
        <v>ドロップイベント2-1</v>
      </c>
      <c r="E33" s="47" t="str">
        <f ca="1">VLOOKUP($A33,OFFSET(stages!$C$2,0,0,COUNTA(stages!$C:$C),MATCH("stage_target",stages!$2:$2,0)-MATCH($A$1,stages!$2:$2,0)+1),MATCH("stage_target",stages!$2:$2,0)-MATCH($A$1,stages!$2:$2,0)+1,FALSE)</f>
        <v>everyone</v>
      </c>
      <c r="F33" s="200" t="s">
        <v>1036</v>
      </c>
      <c r="G33" s="49" t="str">
        <f>"quest"&amp;A33&amp;"_1.png"</f>
        <v>quest20007_1.png</v>
      </c>
      <c r="H33" s="13" t="s">
        <v>65</v>
      </c>
      <c r="I33" s="13">
        <v>3009</v>
      </c>
      <c r="J33" s="12">
        <v>0</v>
      </c>
    </row>
    <row r="34" spans="1:10" ht="21" customHeight="1" x14ac:dyDescent="0.15">
      <c r="A34" s="31">
        <v>20008</v>
      </c>
      <c r="B34" s="47" t="str">
        <f ca="1">VLOOKUP($A34,OFFSET(quests!$A$1,0,0,COUNTA(quests!$A:$A),MATCH(B$1,quests!$1:$1,0)-MATCH($A$1,quests!$1:$1,0)+1),MATCH(B$1,quests!$1:$1,0)-MATCH($A$1,quests!$1:$1,0)+1,FALSE)</f>
        <v>天翔ける金轟機龍</v>
      </c>
      <c r="C34" s="47" t="str">
        <f ca="1">VLOOKUP($A34,OFFSET(quests!$A$1,0,0,COUNTA(quests!$A:$A),MATCH(C$1,quests!$1:$1,0)-MATCH($A$1,quests!$1:$1,0)+1),MATCH(C$1,quests!$1:$1,0)-MATCH($A$1,quests!$1:$1,0)+1,FALSE)</f>
        <v>期間限定クエスト</v>
      </c>
      <c r="D34" s="47" t="str">
        <f ca="1">VLOOKUP($A34,OFFSET(quests!$A$1,0,0,COUNTA(quests!$A:$A),MATCH(D$1,quests!$1:$1,0)-MATCH($A$1,quests!$1:$1,0)+1),MATCH(D$1,quests!$1:$1,0)-MATCH($A$1,quests!$1:$1,0)+1,FALSE)</f>
        <v>ドロップイベント2-4</v>
      </c>
      <c r="E34" s="47" t="str">
        <f ca="1">VLOOKUP($A34,OFFSET(stages!$C$2,0,0,COUNTA(stages!$C:$C),MATCH("stage_target",stages!$2:$2,0)-MATCH($A$1,stages!$2:$2,0)+1),MATCH("stage_target",stages!$2:$2,0)-MATCH($A$1,stages!$2:$2,0)+1,FALSE)</f>
        <v>everyone</v>
      </c>
      <c r="F34" s="200" t="s">
        <v>1036</v>
      </c>
      <c r="G34" s="49" t="str">
        <f>"quest"&amp;A34&amp;"_1.png"</f>
        <v>quest20008_1.png</v>
      </c>
      <c r="H34" s="13" t="s">
        <v>65</v>
      </c>
      <c r="I34" s="12">
        <v>3015</v>
      </c>
      <c r="J34" s="12">
        <v>0</v>
      </c>
    </row>
    <row r="35" spans="1:10" ht="21" customHeight="1" x14ac:dyDescent="0.15">
      <c r="A35" s="31">
        <v>20009</v>
      </c>
      <c r="B35" s="47" t="str">
        <f ca="1">VLOOKUP($A35,OFFSET(quests!$A$1,0,0,COUNTA(quests!$A:$A),MATCH(B$1,quests!$1:$1,0)-MATCH($A$1,quests!$1:$1,0)+1),MATCH(B$1,quests!$1:$1,0)-MATCH($A$1,quests!$1:$1,0)+1,FALSE)</f>
        <v>迫り来る窒息</v>
      </c>
      <c r="C35" s="47" t="str">
        <f ca="1">VLOOKUP($A35,OFFSET(quests!$A$1,0,0,COUNTA(quests!$A:$A),MATCH(C$1,quests!$1:$1,0)-MATCH($A$1,quests!$1:$1,0)+1),MATCH(C$1,quests!$1:$1,0)-MATCH($A$1,quests!$1:$1,0)+1,FALSE)</f>
        <v>5チェインでCパネルができる！</v>
      </c>
      <c r="D35" s="47" t="str">
        <f ca="1">VLOOKUP($A35,OFFSET(quests!$A$1,0,0,COUNTA(quests!$A:$A),MATCH(D$1,quests!$1:$1,0)-MATCH($A$1,quests!$1:$1,0)+1),MATCH(D$1,quests!$1:$1,0)-MATCH($A$1,quests!$1:$1,0)+1,FALSE)</f>
        <v>ドロップイベント3</v>
      </c>
      <c r="E35" s="47" t="str">
        <f ca="1">VLOOKUP($A35,OFFSET(stages!$C$2,0,0,COUNTA(stages!$C:$C),MATCH("stage_target",stages!$2:$2,0)-MATCH($A$1,stages!$2:$2,0)+1),MATCH("stage_target",stages!$2:$2,0)-MATCH($A$1,stages!$2:$2,0)+1,FALSE)</f>
        <v>everyone</v>
      </c>
      <c r="F35" s="200" t="s">
        <v>1036</v>
      </c>
      <c r="G35" s="49" t="str">
        <f>"quest"&amp;A35&amp;"_2.png"</f>
        <v>quest20009_2.png</v>
      </c>
      <c r="H35" s="13" t="s">
        <v>65</v>
      </c>
      <c r="I35" s="13">
        <v>3017</v>
      </c>
      <c r="J35" s="12">
        <v>0</v>
      </c>
    </row>
    <row r="36" spans="1:10" ht="21" customHeight="1" x14ac:dyDescent="0.15">
      <c r="A36" s="31">
        <v>20010</v>
      </c>
      <c r="B36" s="47" t="str">
        <f ca="1">VLOOKUP($A36,OFFSET(quests!$A$1,0,0,COUNTA(quests!$A:$A),MATCH(B$1,quests!$1:$1,0)-MATCH($A$1,quests!$1:$1,0)+1),MATCH(B$1,quests!$1:$1,0)-MATCH($A$1,quests!$1:$1,0)+1,FALSE)</f>
        <v>悪夢の一目惚れ</v>
      </c>
      <c r="C36" s="47" t="str">
        <f ca="1">VLOOKUP($A36,OFFSET(quests!$A$1,0,0,COUNTA(quests!$A:$A),MATCH(C$1,quests!$1:$1,0)-MATCH($A$1,quests!$1:$1,0)+1),MATCH(C$1,quests!$1:$1,0)-MATCH($A$1,quests!$1:$1,0)+1,FALSE)</f>
        <v>緑パネルが出現しない！</v>
      </c>
      <c r="D36" s="47" t="str">
        <f ca="1">VLOOKUP($A36,OFFSET(quests!$A$1,0,0,COUNTA(quests!$A:$A),MATCH(D$1,quests!$1:$1,0)-MATCH($A$1,quests!$1:$1,0)+1),MATCH(D$1,quests!$1:$1,0)-MATCH($A$1,quests!$1:$1,0)+1,FALSE)</f>
        <v>ドロップイベント3</v>
      </c>
      <c r="E36" s="47" t="str">
        <f ca="1">VLOOKUP($A36,OFFSET(stages!$C$2,0,0,COUNTA(stages!$C:$C),MATCH("stage_target",stages!$2:$2,0)-MATCH($A$1,stages!$2:$2,0)+1),MATCH("stage_target",stages!$2:$2,0)-MATCH($A$1,stages!$2:$2,0)+1,FALSE)</f>
        <v>everyone</v>
      </c>
      <c r="F36" s="200" t="s">
        <v>1036</v>
      </c>
      <c r="G36" s="49" t="str">
        <f>"quest"&amp;A36&amp;"_1.png"</f>
        <v>quest20010_1.png</v>
      </c>
      <c r="H36" s="13" t="s">
        <v>65</v>
      </c>
      <c r="I36" s="12">
        <v>3019</v>
      </c>
      <c r="J36" s="12">
        <v>0</v>
      </c>
    </row>
    <row r="37" spans="1:10" ht="21" customHeight="1" x14ac:dyDescent="0.15">
      <c r="A37" s="31">
        <v>20011</v>
      </c>
      <c r="B37" s="47" t="str">
        <f ca="1">VLOOKUP($A37,OFFSET(quests!$A$1,0,0,COUNTA(quests!$A:$A),MATCH(B$1,quests!$1:$1,0)-MATCH($A$1,quests!$1:$1,0)+1),MATCH(B$1,quests!$1:$1,0)-MATCH($A$1,quests!$1:$1,0)+1,FALSE)</f>
        <v>すべてが灰になる</v>
      </c>
      <c r="C37" s="47" t="str">
        <f ca="1">VLOOKUP($A37,OFFSET(quests!$A$1,0,0,COUNTA(quests!$A:$A),MATCH(C$1,quests!$1:$1,0)-MATCH($A$1,quests!$1:$1,0)+1),MATCH(C$1,quests!$1:$1,0)-MATCH($A$1,quests!$1:$1,0)+1,FALSE)</f>
        <v>5チェインでCパネルができる！</v>
      </c>
      <c r="D37" s="47" t="str">
        <f ca="1">VLOOKUP($A37,OFFSET(quests!$A$1,0,0,COUNTA(quests!$A:$A),MATCH(D$1,quests!$1:$1,0)-MATCH($A$1,quests!$1:$1,0)+1),MATCH(D$1,quests!$1:$1,0)-MATCH($A$1,quests!$1:$1,0)+1,FALSE)</f>
        <v>ドロップイベント3</v>
      </c>
      <c r="E37" s="47" t="str">
        <f ca="1">VLOOKUP($A37,OFFSET(stages!$C$2,0,0,COUNTA(stages!$C:$C),MATCH("stage_target",stages!$2:$2,0)-MATCH($A$1,stages!$2:$2,0)+1),MATCH("stage_target",stages!$2:$2,0)-MATCH($A$1,stages!$2:$2,0)+1,FALSE)</f>
        <v>everyone</v>
      </c>
      <c r="F37" s="200" t="s">
        <v>1036</v>
      </c>
      <c r="G37" s="49" t="str">
        <f>"quest"&amp;A37&amp;"_1.png"</f>
        <v>quest20011_1.png</v>
      </c>
      <c r="H37" s="13" t="s">
        <v>65</v>
      </c>
      <c r="I37" s="13">
        <v>3021</v>
      </c>
      <c r="J37" s="12">
        <v>0</v>
      </c>
    </row>
    <row r="38" spans="1:10" ht="21" customHeight="1" x14ac:dyDescent="0.15">
      <c r="A38" s="31">
        <v>20012</v>
      </c>
      <c r="B38" s="47" t="str">
        <f ca="1">VLOOKUP($A38,OFFSET(quests!$A$1,0,0,COUNTA(quests!$A:$A),MATCH(B$1,quests!$1:$1,0)-MATCH($A$1,quests!$1:$1,0)+1),MATCH(B$1,quests!$1:$1,0)-MATCH($A$1,quests!$1:$1,0)+1,FALSE)</f>
        <v>罪と劇薬</v>
      </c>
      <c r="C38" s="47" t="str">
        <f ca="1">VLOOKUP($A38,OFFSET(quests!$A$1,0,0,COUNTA(quests!$A:$A),MATCH(C$1,quests!$1:$1,0)-MATCH($A$1,quests!$1:$1,0)+1),MATCH(C$1,quests!$1:$1,0)-MATCH($A$1,quests!$1:$1,0)+1,FALSE)</f>
        <v>赤パネルが出現しない！</v>
      </c>
      <c r="D38" s="47" t="str">
        <f ca="1">VLOOKUP($A38,OFFSET(quests!$A$1,0,0,COUNTA(quests!$A:$A),MATCH(D$1,quests!$1:$1,0)-MATCH($A$1,quests!$1:$1,0)+1),MATCH(D$1,quests!$1:$1,0)-MATCH($A$1,quests!$1:$1,0)+1,FALSE)</f>
        <v>ドロップイベント3</v>
      </c>
      <c r="E38" s="47" t="str">
        <f ca="1">VLOOKUP($A38,OFFSET(stages!$C$2,0,0,COUNTA(stages!$C:$C),MATCH("stage_target",stages!$2:$2,0)-MATCH($A$1,stages!$2:$2,0)+1),MATCH("stage_target",stages!$2:$2,0)-MATCH($A$1,stages!$2:$2,0)+1,FALSE)</f>
        <v>everyone</v>
      </c>
      <c r="F38" s="200" t="s">
        <v>1036</v>
      </c>
      <c r="G38" s="49" t="str">
        <f>"quest"&amp;A38&amp;"_2.png"</f>
        <v>quest20012_2.png</v>
      </c>
      <c r="H38" s="13" t="s">
        <v>65</v>
      </c>
      <c r="I38" s="12">
        <v>3023</v>
      </c>
      <c r="J38" s="12">
        <v>0</v>
      </c>
    </row>
    <row r="39" spans="1:10" ht="21" customHeight="1" x14ac:dyDescent="0.15">
      <c r="A39" s="31">
        <v>20013</v>
      </c>
      <c r="B39" s="47" t="str">
        <f ca="1">VLOOKUP($A39,OFFSET(quests!$A$1,0,0,COUNTA(quests!$A:$A),MATCH(B$1,quests!$1:$1,0)-MATCH($A$1,quests!$1:$1,0)+1),MATCH(B$1,quests!$1:$1,0)-MATCH($A$1,quests!$1:$1,0)+1,FALSE)</f>
        <v>天の時、地の利、人の和</v>
      </c>
      <c r="C39" s="47" t="str">
        <f ca="1">VLOOKUP($A39,OFFSET(quests!$A$1,0,0,COUNTA(quests!$A:$A),MATCH(C$1,quests!$1:$1,0)-MATCH($A$1,quests!$1:$1,0)+1),MATCH(C$1,quests!$1:$1,0)-MATCH($A$1,quests!$1:$1,0)+1,FALSE)</f>
        <v>期間限定クエスト</v>
      </c>
      <c r="D39" s="47" t="str">
        <f ca="1">VLOOKUP($A39,OFFSET(quests!$A$1,0,0,COUNTA(quests!$A:$A),MATCH(D$1,quests!$1:$1,0)-MATCH($A$1,quests!$1:$1,0)+1),MATCH(D$1,quests!$1:$1,0)-MATCH($A$1,quests!$1:$1,0)+1,FALSE)</f>
        <v>ドロップイベント4</v>
      </c>
      <c r="E39" s="47" t="str">
        <f ca="1">VLOOKUP($A39,OFFSET(stages!$C$2,0,0,COUNTA(stages!$C:$C),MATCH("stage_target",stages!$2:$2,0)-MATCH($A$1,stages!$2:$2,0)+1),MATCH("stage_target",stages!$2:$2,0)-MATCH($A$1,stages!$2:$2,0)+1,FALSE)</f>
        <v>everyone</v>
      </c>
      <c r="F39" s="200" t="s">
        <v>568</v>
      </c>
      <c r="G39" s="49" t="str">
        <f t="shared" ref="G39:G44" si="1">"quest"&amp;A39&amp;".png"</f>
        <v>quest20013.png</v>
      </c>
      <c r="H39" s="13" t="s">
        <v>53</v>
      </c>
      <c r="I39" s="12">
        <v>3024</v>
      </c>
      <c r="J39" s="12">
        <v>0</v>
      </c>
    </row>
    <row r="40" spans="1:10" ht="21" customHeight="1" x14ac:dyDescent="0.15">
      <c r="A40" s="31">
        <v>20014</v>
      </c>
      <c r="B40" s="47" t="str">
        <f ca="1">VLOOKUP($A40,OFFSET(quests!$A$1,0,0,COUNTA(quests!$A:$A),MATCH(B$1,quests!$1:$1,0)-MATCH($A$1,quests!$1:$1,0)+1),MATCH(B$1,quests!$1:$1,0)-MATCH($A$1,quests!$1:$1,0)+1,FALSE)</f>
        <v>魅了する歌声</v>
      </c>
      <c r="C40" s="47" t="str">
        <f ca="1">VLOOKUP($A40,OFFSET(quests!$A$1,0,0,COUNTA(quests!$A:$A),MATCH(C$1,quests!$1:$1,0)-MATCH($A$1,quests!$1:$1,0)+1),MATCH(C$1,quests!$1:$1,0)-MATCH($A$1,quests!$1:$1,0)+1,FALSE)</f>
        <v>4チェインでCパネルができる！</v>
      </c>
      <c r="D40" s="47" t="str">
        <f ca="1">VLOOKUP($A40,OFFSET(quests!$A$1,0,0,COUNTA(quests!$A:$A),MATCH(D$1,quests!$1:$1,0)-MATCH($A$1,quests!$1:$1,0)+1),MATCH(D$1,quests!$1:$1,0)-MATCH($A$1,quests!$1:$1,0)+1,FALSE)</f>
        <v>天使と悪魔編1</v>
      </c>
      <c r="E40" s="47" t="str">
        <f ca="1">VLOOKUP($A40,OFFSET(stages!$C$2,0,0,COUNTA(stages!$C:$C),MATCH("stage_target",stages!$2:$2,0)-MATCH($A$1,stages!$2:$2,0)+1),MATCH("stage_target",stages!$2:$2,0)-MATCH($A$1,stages!$2:$2,0)+1,FALSE)</f>
        <v>everyone</v>
      </c>
      <c r="F40" s="200" t="s">
        <v>568</v>
      </c>
      <c r="G40" s="49" t="str">
        <f t="shared" si="1"/>
        <v>quest20014.png</v>
      </c>
      <c r="H40" s="13" t="s">
        <v>53</v>
      </c>
      <c r="I40" s="12">
        <v>3025</v>
      </c>
      <c r="J40" s="12">
        <v>0</v>
      </c>
    </row>
    <row r="41" spans="1:10" ht="21" customHeight="1" x14ac:dyDescent="0.15">
      <c r="A41" s="31">
        <v>20015</v>
      </c>
      <c r="B41" s="47" t="str">
        <f ca="1">VLOOKUP($A41,OFFSET(quests!$A$1,0,0,COUNTA(quests!$A:$A),MATCH(B$1,quests!$1:$1,0)-MATCH($A$1,quests!$1:$1,0)+1),MATCH(B$1,quests!$1:$1,0)-MATCH($A$1,quests!$1:$1,0)+1,FALSE)</f>
        <v>妄執とり憑く美貌の妃</v>
      </c>
      <c r="C41" s="47" t="str">
        <f ca="1">VLOOKUP($A41,OFFSET(quests!$A$1,0,0,COUNTA(quests!$A:$A),MATCH(C$1,quests!$1:$1,0)-MATCH($A$1,quests!$1:$1,0)+1),MATCH(C$1,quests!$1:$1,0)-MATCH($A$1,quests!$1:$1,0)+1,FALSE)</f>
        <v>期間限定クエスト</v>
      </c>
      <c r="D41" s="47" t="str">
        <f ca="1">VLOOKUP($A41,OFFSET(quests!$A$1,0,0,COUNTA(quests!$A:$A),MATCH(D$1,quests!$1:$1,0)-MATCH($A$1,quests!$1:$1,0)+1),MATCH(D$1,quests!$1:$1,0)-MATCH($A$1,quests!$1:$1,0)+1,FALSE)</f>
        <v>おとぎ話シリーズ3</v>
      </c>
      <c r="E41" s="47" t="str">
        <f ca="1">VLOOKUP($A41,OFFSET(stages!$C$2,0,0,COUNTA(stages!$C:$C),MATCH("stage_target",stages!$2:$2,0)-MATCH($A$1,stages!$2:$2,0)+1),MATCH("stage_target",stages!$2:$2,0)-MATCH($A$1,stages!$2:$2,0)+1,FALSE)</f>
        <v>everyone</v>
      </c>
      <c r="F41" s="200" t="s">
        <v>568</v>
      </c>
      <c r="G41" s="49" t="str">
        <f t="shared" si="1"/>
        <v>quest20015.png</v>
      </c>
      <c r="H41" s="13" t="s">
        <v>53</v>
      </c>
      <c r="I41" s="12">
        <v>3026</v>
      </c>
      <c r="J41" s="12">
        <v>0</v>
      </c>
    </row>
    <row r="42" spans="1:10" ht="21" customHeight="1" x14ac:dyDescent="0.15">
      <c r="A42" s="31">
        <v>20016</v>
      </c>
      <c r="B42" s="47" t="str">
        <f ca="1">VLOOKUP($A42,OFFSET(quests!$A$1,0,0,COUNTA(quests!$A:$A),MATCH(B$1,quests!$1:$1,0)-MATCH($A$1,quests!$1:$1,0)+1),MATCH(B$1,quests!$1:$1,0)-MATCH($A$1,quests!$1:$1,0)+1,FALSE)</f>
        <v>寡黙な翼竜の侵攻</v>
      </c>
      <c r="C42" s="47" t="str">
        <f ca="1">VLOOKUP($A42,OFFSET(quests!$A$1,0,0,COUNTA(quests!$A:$A),MATCH(C$1,quests!$1:$1,0)-MATCH($A$1,quests!$1:$1,0)+1),MATCH(C$1,quests!$1:$1,0)-MATCH($A$1,quests!$1:$1,0)+1,FALSE)</f>
        <v>期間限定クエスト</v>
      </c>
      <c r="D42" s="47" t="str">
        <f ca="1">VLOOKUP($A42,OFFSET(quests!$A$1,0,0,COUNTA(quests!$A:$A),MATCH(D$1,quests!$1:$1,0)-MATCH($A$1,quests!$1:$1,0)+1),MATCH(D$1,quests!$1:$1,0)-MATCH($A$1,quests!$1:$1,0)+1,FALSE)</f>
        <v>ギリシャ神話01</v>
      </c>
      <c r="E42" s="47" t="str">
        <f ca="1">VLOOKUP($A42,OFFSET(stages!$C$2,0,0,COUNTA(stages!$C:$C),MATCH("stage_target",stages!$2:$2,0)-MATCH($A$1,stages!$2:$2,0)+1),MATCH("stage_target",stages!$2:$2,0)-MATCH($A$1,stages!$2:$2,0)+1,FALSE)</f>
        <v>everyone</v>
      </c>
      <c r="F42" s="200" t="s">
        <v>568</v>
      </c>
      <c r="G42" s="49" t="str">
        <f t="shared" si="1"/>
        <v>quest20016.png</v>
      </c>
      <c r="H42" s="13" t="s">
        <v>53</v>
      </c>
      <c r="I42" s="12">
        <v>3027</v>
      </c>
      <c r="J42" s="12">
        <v>0</v>
      </c>
    </row>
    <row r="43" spans="1:10" ht="21" customHeight="1" x14ac:dyDescent="0.15">
      <c r="A43" s="31">
        <v>20017</v>
      </c>
      <c r="B43" s="47" t="str">
        <f ca="1">VLOOKUP($A43,OFFSET(quests!$A$1,0,0,COUNTA(quests!$A:$A),MATCH(B$1,quests!$1:$1,0)-MATCH($A$1,quests!$1:$1,0)+1),MATCH(B$1,quests!$1:$1,0)-MATCH($A$1,quests!$1:$1,0)+1,FALSE)</f>
        <v>隻腕の提督</v>
      </c>
      <c r="C43" s="47" t="str">
        <f ca="1">VLOOKUP($A43,OFFSET(quests!$A$1,0,0,COUNTA(quests!$A:$A),MATCH(C$1,quests!$1:$1,0)-MATCH($A$1,quests!$1:$1,0)+1),MATCH(C$1,quests!$1:$1,0)-MATCH($A$1,quests!$1:$1,0)+1,FALSE)</f>
        <v>黄パネルが出現しない！</v>
      </c>
      <c r="D43" s="47" t="str">
        <f ca="1">VLOOKUP($A43,OFFSET(quests!$A$1,0,0,COUNTA(quests!$A:$A),MATCH(D$1,quests!$1:$1,0)-MATCH($A$1,quests!$1:$1,0)+1),MATCH(D$1,quests!$1:$1,0)-MATCH($A$1,quests!$1:$1,0)+1,FALSE)</f>
        <v>フランス革命01</v>
      </c>
      <c r="E43" s="47" t="str">
        <f ca="1">VLOOKUP($A43,OFFSET(stages!$C$2,0,0,COUNTA(stages!$C:$C),MATCH("stage_target",stages!$2:$2,0)-MATCH($A$1,stages!$2:$2,0)+1),MATCH("stage_target",stages!$2:$2,0)-MATCH($A$1,stages!$2:$2,0)+1,FALSE)</f>
        <v>everyone</v>
      </c>
      <c r="F43" s="200" t="s">
        <v>382</v>
      </c>
      <c r="G43" s="49" t="str">
        <f t="shared" si="1"/>
        <v>quest20017.png</v>
      </c>
      <c r="H43" s="13" t="s">
        <v>53</v>
      </c>
      <c r="I43" s="12">
        <v>3028</v>
      </c>
      <c r="J43" s="12">
        <v>0</v>
      </c>
    </row>
    <row r="44" spans="1:10" ht="21" customHeight="1" x14ac:dyDescent="0.15">
      <c r="A44" s="31">
        <v>20018</v>
      </c>
      <c r="B44" s="47" t="str">
        <f ca="1">VLOOKUP($A44,OFFSET(quests!$A$1,0,0,COUNTA(quests!$A:$A),MATCH(B$1,quests!$1:$1,0)-MATCH($A$1,quests!$1:$1,0)+1),MATCH(B$1,quests!$1:$1,0)-MATCH($A$1,quests!$1:$1,0)+1,FALSE)</f>
        <v>魂を屠る黒影</v>
      </c>
      <c r="C44" s="47" t="str">
        <f ca="1">VLOOKUP($A44,OFFSET(quests!$A$1,0,0,COUNTA(quests!$A:$A),MATCH(C$1,quests!$1:$1,0)-MATCH($A$1,quests!$1:$1,0)+1),MATCH(C$1,quests!$1:$1,0)-MATCH($A$1,quests!$1:$1,0)+1,FALSE)</f>
        <v>期間限定クエスト</v>
      </c>
      <c r="D44" s="47" t="str">
        <f ca="1">VLOOKUP($A44,OFFSET(quests!$A$1,0,0,COUNTA(quests!$A:$A),MATCH(D$1,quests!$1:$1,0)-MATCH($A$1,quests!$1:$1,0)+1),MATCH(D$1,quests!$1:$1,0)-MATCH($A$1,quests!$1:$1,0)+1,FALSE)</f>
        <v>エジプト01</v>
      </c>
      <c r="E44" s="47" t="str">
        <f ca="1">VLOOKUP($A44,OFFSET(stages!$C$2,0,0,COUNTA(stages!$C:$C),MATCH("stage_target",stages!$2:$2,0)-MATCH($A$1,stages!$2:$2,0)+1),MATCH("stage_target",stages!$2:$2,0)-MATCH($A$1,stages!$2:$2,0)+1,FALSE)</f>
        <v>everyone</v>
      </c>
      <c r="F44" s="200" t="s">
        <v>382</v>
      </c>
      <c r="G44" s="49" t="str">
        <f t="shared" si="1"/>
        <v>quest20018.png</v>
      </c>
      <c r="H44" s="13" t="s">
        <v>53</v>
      </c>
      <c r="I44" s="12">
        <v>3029</v>
      </c>
      <c r="J44" s="12">
        <v>0</v>
      </c>
    </row>
    <row r="45" spans="1:10" ht="21" customHeight="1" x14ac:dyDescent="0.15">
      <c r="A45" s="38">
        <v>20019</v>
      </c>
      <c r="B45" s="47" t="str">
        <f ca="1">VLOOKUP($A45,OFFSET(quests!$A$1,0,0,COUNTA(quests!$A:$A),MATCH(B$1,quests!$1:$1,0)-MATCH($A$1,quests!$1:$1,0)+1),MATCH(B$1,quests!$1:$1,0)-MATCH($A$1,quests!$1:$1,0)+1,FALSE)</f>
        <v>灼熱の舞姫</v>
      </c>
      <c r="C45" s="47" t="str">
        <f ca="1">VLOOKUP($A45,OFFSET(quests!$A$1,0,0,COUNTA(quests!$A:$A),MATCH(C$1,quests!$1:$1,0)-MATCH($A$1,quests!$1:$1,0)+1),MATCH(C$1,quests!$1:$1,0)-MATCH($A$1,quests!$1:$1,0)+1,FALSE)</f>
        <v>期間限定クエスト</v>
      </c>
      <c r="D45" s="47" t="str">
        <f ca="1">VLOOKUP($A45,OFFSET(quests!$A$1,0,0,COUNTA(quests!$A:$A),MATCH(D$1,quests!$1:$1,0)-MATCH($A$1,quests!$1:$1,0)+1),MATCH(D$1,quests!$1:$1,0)-MATCH($A$1,quests!$1:$1,0)+1,FALSE)</f>
        <v>平安01</v>
      </c>
      <c r="E45" s="47" t="str">
        <f ca="1">VLOOKUP($A45,OFFSET(stages!$C$2,0,0,COUNTA(stages!$C:$C),MATCH("stage_target",stages!$2:$2,0)-MATCH($A$1,stages!$2:$2,0)+1),MATCH("stage_target",stages!$2:$2,0)-MATCH($A$1,stages!$2:$2,0)+1,FALSE)</f>
        <v>everyone</v>
      </c>
      <c r="F45" s="200" t="s">
        <v>382</v>
      </c>
      <c r="G45" s="49" t="str">
        <f t="shared" ref="G45" si="2">"quest"&amp;A45&amp;".png"</f>
        <v>quest20019.png</v>
      </c>
      <c r="H45" s="13" t="s">
        <v>53</v>
      </c>
      <c r="I45" s="12">
        <v>3030</v>
      </c>
      <c r="J45" s="12">
        <v>0</v>
      </c>
    </row>
    <row r="46" spans="1:10" ht="21" customHeight="1" x14ac:dyDescent="0.15">
      <c r="A46" s="38">
        <v>20020</v>
      </c>
      <c r="B46" s="47" t="str">
        <f ca="1">VLOOKUP($A46,OFFSET(quests!$A$1,0,0,COUNTA(quests!$A:$A),MATCH(B$1,quests!$1:$1,0)-MATCH($A$1,quests!$1:$1,0)+1),MATCH(B$1,quests!$1:$1,0)-MATCH($A$1,quests!$1:$1,0)+1,FALSE)</f>
        <v>変幻自在の風</v>
      </c>
      <c r="C46" s="47" t="str">
        <f ca="1">VLOOKUP($A46,OFFSET(quests!$A$1,0,0,COUNTA(quests!$A:$A),MATCH(C$1,quests!$1:$1,0)-MATCH($A$1,quests!$1:$1,0)+1),MATCH(C$1,quests!$1:$1,0)-MATCH($A$1,quests!$1:$1,0)+1,FALSE)</f>
        <v>期間限定クエスト</v>
      </c>
      <c r="D46" s="47" t="str">
        <f ca="1">VLOOKUP($A46,OFFSET(quests!$A$1,0,0,COUNTA(quests!$A:$A),MATCH(D$1,quests!$1:$1,0)-MATCH($A$1,quests!$1:$1,0)+1),MATCH(D$1,quests!$1:$1,0)-MATCH($A$1,quests!$1:$1,0)+1,FALSE)</f>
        <v>メソポタミア01</v>
      </c>
      <c r="E46" s="47" t="str">
        <f ca="1">VLOOKUP($A46,OFFSET(stages!$C$2,0,0,COUNTA(stages!$C:$C),MATCH("stage_target",stages!$2:$2,0)-MATCH($A$1,stages!$2:$2,0)+1),MATCH("stage_target",stages!$2:$2,0)-MATCH($A$1,stages!$2:$2,0)+1,FALSE)</f>
        <v>everyone</v>
      </c>
      <c r="F46" s="200" t="s">
        <v>382</v>
      </c>
      <c r="G46" s="49" t="str">
        <f t="shared" ref="G46" si="3">"quest"&amp;A46&amp;".png"</f>
        <v>quest20020.png</v>
      </c>
      <c r="H46" s="13" t="s">
        <v>53</v>
      </c>
      <c r="I46" s="12">
        <v>3031</v>
      </c>
      <c r="J46" s="12">
        <v>0</v>
      </c>
    </row>
    <row r="47" spans="1:10" ht="21" customHeight="1" x14ac:dyDescent="0.15">
      <c r="A47" s="31">
        <v>20021</v>
      </c>
      <c r="B47" s="47" t="str">
        <f ca="1">VLOOKUP($A47,OFFSET(quests!$A$1,0,0,COUNTA(quests!$A:$A),MATCH(B$1,quests!$1:$1,0)-MATCH($A$1,quests!$1:$1,0)+1),MATCH(B$1,quests!$1:$1,0)-MATCH($A$1,quests!$1:$1,0)+1,FALSE)</f>
        <v>ペインター・オブ・ラブ</v>
      </c>
      <c r="C47" s="47" t="str">
        <f ca="1">VLOOKUP($A47,OFFSET(quests!$A$1,0,0,COUNTA(quests!$A:$A),MATCH(C$1,quests!$1:$1,0)-MATCH($A$1,quests!$1:$1,0)+1),MATCH(C$1,quests!$1:$1,0)-MATCH($A$1,quests!$1:$1,0)+1,FALSE)</f>
        <v>期間限定クエスト</v>
      </c>
      <c r="D47" s="47" t="str">
        <f ca="1">VLOOKUP($A47,OFFSET(quests!$A$1,0,0,COUNTA(quests!$A:$A),MATCH(D$1,quests!$1:$1,0)-MATCH($A$1,quests!$1:$1,0)+1),MATCH(D$1,quests!$1:$1,0)-MATCH($A$1,quests!$1:$1,0)+1,FALSE)</f>
        <v>画家シリーズ01</v>
      </c>
      <c r="E47" s="47" t="str">
        <f ca="1">VLOOKUP($A47,OFFSET(stages!$C$2,0,0,COUNTA(stages!$C:$C),MATCH("stage_target",stages!$2:$2,0)-MATCH($A$1,stages!$2:$2,0)+1),MATCH("stage_target",stages!$2:$2,0)-MATCH($A$1,stages!$2:$2,0)+1,FALSE)</f>
        <v>everyone</v>
      </c>
      <c r="F47" s="200" t="s">
        <v>382</v>
      </c>
      <c r="G47" s="49" t="str">
        <f t="shared" ref="G47" si="4">"quest"&amp;A47&amp;".png"</f>
        <v>quest20021.png</v>
      </c>
      <c r="H47" s="13" t="s">
        <v>53</v>
      </c>
      <c r="I47" s="12">
        <v>3032</v>
      </c>
      <c r="J47" s="12">
        <v>0</v>
      </c>
    </row>
    <row r="48" spans="1:10" ht="21" customHeight="1" x14ac:dyDescent="0.15">
      <c r="A48" s="31">
        <v>20022</v>
      </c>
      <c r="B48" s="47" t="str">
        <f ca="1">VLOOKUP($A48,OFFSET(quests!$A$1,0,0,COUNTA(quests!$A:$A),MATCH(B$1,quests!$1:$1,0)-MATCH($A$1,quests!$1:$1,0)+1),MATCH(B$1,quests!$1:$1,0)-MATCH($A$1,quests!$1:$1,0)+1,FALSE)</f>
        <v>年を越える宴</v>
      </c>
      <c r="C48" s="47" t="str">
        <f ca="1">VLOOKUP($A48,OFFSET(quests!$A$1,0,0,COUNTA(quests!$A:$A),MATCH(C$1,quests!$1:$1,0)-MATCH($A$1,quests!$1:$1,0)+1),MATCH(C$1,quests!$1:$1,0)-MATCH($A$1,quests!$1:$1,0)+1,FALSE)</f>
        <v>年越し★特別クエスト</v>
      </c>
      <c r="D48" s="47" t="str">
        <f ca="1">VLOOKUP($A48,OFFSET(quests!$A$1,0,0,COUNTA(quests!$A:$A),MATCH(D$1,quests!$1:$1,0)-MATCH($A$1,quests!$1:$1,0)+1),MATCH(D$1,quests!$1:$1,0)-MATCH($A$1,quests!$1:$1,0)+1,FALSE)</f>
        <v>季節イベント</v>
      </c>
      <c r="E48" s="47" t="str">
        <f ca="1">VLOOKUP($A48,OFFSET(stages!$C$2,0,0,COUNTA(stages!$C:$C),MATCH("stage_target",stages!$2:$2,0)-MATCH($A$1,stages!$2:$2,0)+1),MATCH("stage_target",stages!$2:$2,0)-MATCH($A$1,stages!$2:$2,0)+1,FALSE)</f>
        <v>multionly</v>
      </c>
      <c r="F48" s="200" t="s">
        <v>382</v>
      </c>
      <c r="G48" s="118" t="s">
        <v>1980</v>
      </c>
      <c r="H48" s="13" t="s">
        <v>53</v>
      </c>
      <c r="I48" s="12">
        <v>3033</v>
      </c>
      <c r="J48" s="12">
        <v>2</v>
      </c>
    </row>
    <row r="49" spans="1:10" ht="21" customHeight="1" x14ac:dyDescent="0.15">
      <c r="A49" s="31">
        <v>30001</v>
      </c>
      <c r="B49" s="47" t="str">
        <f ca="1">VLOOKUP($A49,OFFSET(quests!$A$1,0,0,COUNTA(quests!$A:$A),MATCH(B$1,quests!$1:$1,0)-MATCH($A$1,quests!$1:$1,0)+1),MATCH(B$1,quests!$1:$1,0)-MATCH($A$1,quests!$1:$1,0)+1,FALSE)</f>
        <v>ハンター・オブ・ハンター</v>
      </c>
      <c r="C49" s="47" t="str">
        <f ca="1">VLOOKUP($A49,OFFSET(quests!$A$1,0,0,COUNTA(quests!$A:$A),MATCH(C$1,quests!$1:$1,0)-MATCH($A$1,quests!$1:$1,0)+1),MATCH(C$1,quests!$1:$1,0)-MATCH($A$1,quests!$1:$1,0)+1,FALSE)</f>
        <v>期間限定クエスト</v>
      </c>
      <c r="D49" s="47" t="str">
        <f ca="1">VLOOKUP($A49,OFFSET(quests!$A$1,0,0,COUNTA(quests!$A:$A),MATCH(D$1,quests!$1:$1,0)-MATCH($A$1,quests!$1:$1,0)+1),MATCH(D$1,quests!$1:$1,0)-MATCH($A$1,quests!$1:$1,0)+1,FALSE)</f>
        <v>ドロップイベント1-1（マルチ専用）</v>
      </c>
      <c r="E49" s="47" t="str">
        <f ca="1">VLOOKUP($A49,OFFSET(stages!$C$2,0,0,COUNTA(stages!$C:$C),MATCH("stage_target",stages!$2:$2,0)-MATCH($A$1,stages!$2:$2,0)+1),MATCH("stage_target",stages!$2:$2,0)-MATCH($A$1,stages!$2:$2,0)+1,FALSE)</f>
        <v>everyone</v>
      </c>
      <c r="F49" s="200" t="s">
        <v>1036</v>
      </c>
      <c r="G49" s="49" t="str">
        <f>"quest"&amp;A49&amp;"_4.png"</f>
        <v>quest30001_4.png</v>
      </c>
      <c r="H49" s="13" t="s">
        <v>65</v>
      </c>
      <c r="I49" s="13">
        <v>2002</v>
      </c>
      <c r="J49" s="12">
        <v>0</v>
      </c>
    </row>
    <row r="50" spans="1:10" ht="21" customHeight="1" x14ac:dyDescent="0.15">
      <c r="A50" s="31">
        <v>30002</v>
      </c>
      <c r="B50" s="47" t="str">
        <f ca="1">VLOOKUP($A50,OFFSET(quests!$A$1,0,0,COUNTA(quests!$A:$A),MATCH(B$1,quests!$1:$1,0)-MATCH($A$1,quests!$1:$1,0)+1),MATCH(B$1,quests!$1:$1,0)-MATCH($A$1,quests!$1:$1,0)+1,FALSE)</f>
        <v>トリックスター</v>
      </c>
      <c r="C50" s="47" t="str">
        <f ca="1">VLOOKUP($A50,OFFSET(quests!$A$1,0,0,COUNTA(quests!$A:$A),MATCH(C$1,quests!$1:$1,0)-MATCH($A$1,quests!$1:$1,0)+1),MATCH(C$1,quests!$1:$1,0)-MATCH($A$1,quests!$1:$1,0)+1,FALSE)</f>
        <v>期間限定クエスト</v>
      </c>
      <c r="D50" s="47" t="str">
        <f ca="1">VLOOKUP($A50,OFFSET(quests!$A$1,0,0,COUNTA(quests!$A:$A),MATCH(D$1,quests!$1:$1,0)-MATCH($A$1,quests!$1:$1,0)+1),MATCH(D$1,quests!$1:$1,0)-MATCH($A$1,quests!$1:$1,0)+1,FALSE)</f>
        <v>ドロップイベント1-2（マルチ専用）</v>
      </c>
      <c r="E50" s="47" t="str">
        <f ca="1">VLOOKUP($A50,OFFSET(stages!$C$2,0,0,COUNTA(stages!$C:$C),MATCH("stage_target",stages!$2:$2,0)-MATCH($A$1,stages!$2:$2,0)+1),MATCH("stage_target",stages!$2:$2,0)-MATCH($A$1,stages!$2:$2,0)+1,FALSE)</f>
        <v>everyone</v>
      </c>
      <c r="F50" s="200" t="s">
        <v>1036</v>
      </c>
      <c r="G50" s="49" t="str">
        <f>"quest"&amp;A50&amp;"_3.png"</f>
        <v>quest30002_3.png</v>
      </c>
      <c r="H50" s="13" t="s">
        <v>65</v>
      </c>
      <c r="I50" s="12">
        <v>2004</v>
      </c>
      <c r="J50" s="12">
        <v>0</v>
      </c>
    </row>
    <row r="51" spans="1:10" ht="21" customHeight="1" x14ac:dyDescent="0.15">
      <c r="A51" s="31">
        <v>30003</v>
      </c>
      <c r="B51" s="47" t="str">
        <f ca="1">VLOOKUP($A51,OFFSET(quests!$A$1,0,0,COUNTA(quests!$A:$A),MATCH(B$1,quests!$1:$1,0)-MATCH($A$1,quests!$1:$1,0)+1),MATCH(B$1,quests!$1:$1,0)-MATCH($A$1,quests!$1:$1,0)+1,FALSE)</f>
        <v>打ち下ろされる砕棒</v>
      </c>
      <c r="C51" s="47" t="str">
        <f ca="1">VLOOKUP($A51,OFFSET(quests!$A$1,0,0,COUNTA(quests!$A:$A),MATCH(C$1,quests!$1:$1,0)-MATCH($A$1,quests!$1:$1,0)+1),MATCH(C$1,quests!$1:$1,0)-MATCH($A$1,quests!$1:$1,0)+1,FALSE)</f>
        <v>期間限定クエスト</v>
      </c>
      <c r="D51" s="47" t="str">
        <f ca="1">VLOOKUP($A51,OFFSET(quests!$A$1,0,0,COUNTA(quests!$A:$A),MATCH(D$1,quests!$1:$1,0)-MATCH($A$1,quests!$1:$1,0)+1),MATCH(D$1,quests!$1:$1,0)-MATCH($A$1,quests!$1:$1,0)+1,FALSE)</f>
        <v>ドロップイベント1-3（マルチ専用）</v>
      </c>
      <c r="E51" s="47" t="str">
        <f ca="1">VLOOKUP($A51,OFFSET(stages!$C$2,0,0,COUNTA(stages!$C:$C),MATCH("stage_target",stages!$2:$2,0)-MATCH($A$1,stages!$2:$2,0)+1),MATCH("stage_target",stages!$2:$2,0)-MATCH($A$1,stages!$2:$2,0)+1,FALSE)</f>
        <v>everyone</v>
      </c>
      <c r="F51" s="200" t="s">
        <v>1036</v>
      </c>
      <c r="G51" s="49" t="str">
        <f>"quest"&amp;A51&amp;"_3.png"</f>
        <v>quest30003_3.png</v>
      </c>
      <c r="H51" s="13" t="s">
        <v>65</v>
      </c>
      <c r="I51" s="13">
        <v>2006</v>
      </c>
      <c r="J51" s="12">
        <v>0</v>
      </c>
    </row>
    <row r="52" spans="1:10" ht="21" customHeight="1" x14ac:dyDescent="0.15">
      <c r="A52" s="31">
        <v>30004</v>
      </c>
      <c r="B52" s="47" t="str">
        <f ca="1">VLOOKUP($A52,OFFSET(quests!$A$1,0,0,COUNTA(quests!$A:$A),MATCH(B$1,quests!$1:$1,0)-MATCH($A$1,quests!$1:$1,0)+1),MATCH(B$1,quests!$1:$1,0)-MATCH($A$1,quests!$1:$1,0)+1,FALSE)</f>
        <v>危険な仲裁者</v>
      </c>
      <c r="C52" s="47" t="str">
        <f ca="1">VLOOKUP($A52,OFFSET(quests!$A$1,0,0,COUNTA(quests!$A:$A),MATCH(C$1,quests!$1:$1,0)-MATCH($A$1,quests!$1:$1,0)+1),MATCH(C$1,quests!$1:$1,0)-MATCH($A$1,quests!$1:$1,0)+1,FALSE)</f>
        <v>期間限定クエスト</v>
      </c>
      <c r="D52" s="47" t="str">
        <f ca="1">VLOOKUP($A52,OFFSET(quests!$A$1,0,0,COUNTA(quests!$A:$A),MATCH(D$1,quests!$1:$1,0)-MATCH($A$1,quests!$1:$1,0)+1),MATCH(D$1,quests!$1:$1,0)-MATCH($A$1,quests!$1:$1,0)+1,FALSE)</f>
        <v>ドロップイベント1-4（マルチ専用）</v>
      </c>
      <c r="E52" s="47" t="str">
        <f ca="1">VLOOKUP($A52,OFFSET(stages!$C$2,0,0,COUNTA(stages!$C:$C),MATCH("stage_target",stages!$2:$2,0)-MATCH($A$1,stages!$2:$2,0)+1),MATCH("stage_target",stages!$2:$2,0)-MATCH($A$1,stages!$2:$2,0)+1,FALSE)</f>
        <v>everyone</v>
      </c>
      <c r="F52" s="200" t="s">
        <v>1036</v>
      </c>
      <c r="G52" s="49" t="str">
        <f>"quest"&amp;A52&amp;"_3.png"</f>
        <v>quest30004_3.png</v>
      </c>
      <c r="H52" s="13" t="s">
        <v>65</v>
      </c>
      <c r="I52" s="12">
        <v>2008</v>
      </c>
      <c r="J52" s="12">
        <v>0</v>
      </c>
    </row>
    <row r="53" spans="1:10" ht="21" customHeight="1" x14ac:dyDescent="0.15">
      <c r="A53" s="31">
        <v>30005</v>
      </c>
      <c r="B53" s="47" t="str">
        <f ca="1">VLOOKUP($A53,OFFSET(quests!$A$1,0,0,COUNTA(quests!$A:$A),MATCH(B$1,quests!$1:$1,0)-MATCH($A$1,quests!$1:$1,0)+1),MATCH(B$1,quests!$1:$1,0)-MATCH($A$1,quests!$1:$1,0)+1,FALSE)</f>
        <v>ニンゲンにしてあげる☆</v>
      </c>
      <c r="C53" s="47" t="str">
        <f ca="1">VLOOKUP($A53,OFFSET(quests!$A$1,0,0,COUNTA(quests!$A:$A),MATCH(C$1,quests!$1:$1,0)-MATCH($A$1,quests!$1:$1,0)+1),MATCH(C$1,quests!$1:$1,0)-MATCH($A$1,quests!$1:$1,0)+1,FALSE)</f>
        <v>期間限定クエスト</v>
      </c>
      <c r="D53" s="47" t="str">
        <f ca="1">VLOOKUP($A53,OFFSET(quests!$A$1,0,0,COUNTA(quests!$A:$A),MATCH(D$1,quests!$1:$1,0)-MATCH($A$1,quests!$1:$1,0)+1),MATCH(D$1,quests!$1:$1,0)-MATCH($A$1,quests!$1:$1,0)+1,FALSE)</f>
        <v>ドロップイベント2-1（マルチ専用）</v>
      </c>
      <c r="E53" s="47" t="str">
        <f ca="1">VLOOKUP($A53,OFFSET(stages!$C$2,0,0,COUNTA(stages!$C:$C),MATCH("stage_target",stages!$2:$2,0)-MATCH($A$1,stages!$2:$2,0)+1),MATCH("stage_target",stages!$2:$2,0)-MATCH($A$1,stages!$2:$2,0)+1,FALSE)</f>
        <v>everyone</v>
      </c>
      <c r="F53" s="200" t="s">
        <v>1036</v>
      </c>
      <c r="G53" s="49" t="str">
        <f>"quest"&amp;A53&amp;"_1.png"</f>
        <v>quest30005_1.png</v>
      </c>
      <c r="H53" s="13" t="s">
        <v>65</v>
      </c>
      <c r="I53" s="13">
        <v>2010</v>
      </c>
      <c r="J53" s="12">
        <v>0</v>
      </c>
    </row>
    <row r="54" spans="1:10" ht="21" customHeight="1" x14ac:dyDescent="0.15">
      <c r="A54" s="31">
        <v>30006</v>
      </c>
      <c r="B54" s="47" t="str">
        <f ca="1">VLOOKUP($A54,OFFSET(quests!$A$1,0,0,COUNTA(quests!$A:$A),MATCH(B$1,quests!$1:$1,0)-MATCH($A$1,quests!$1:$1,0)+1),MATCH(B$1,quests!$1:$1,0)-MATCH($A$1,quests!$1:$1,0)+1,FALSE)</f>
        <v>それはお前を食べるためさ</v>
      </c>
      <c r="C54" s="47" t="str">
        <f ca="1">VLOOKUP($A54,OFFSET(quests!$A$1,0,0,COUNTA(quests!$A:$A),MATCH(C$1,quests!$1:$1,0)-MATCH($A$1,quests!$1:$1,0)+1),MATCH(C$1,quests!$1:$1,0)-MATCH($A$1,quests!$1:$1,0)+1,FALSE)</f>
        <v>期間限定クエスト</v>
      </c>
      <c r="D54" s="47" t="str">
        <f ca="1">VLOOKUP($A54,OFFSET(quests!$A$1,0,0,COUNTA(quests!$A:$A),MATCH(D$1,quests!$1:$1,0)-MATCH($A$1,quests!$1:$1,0)+1),MATCH(D$1,quests!$1:$1,0)-MATCH($A$1,quests!$1:$1,0)+1,FALSE)</f>
        <v>ドロップイベント2-3（マルチ専用）</v>
      </c>
      <c r="E54" s="47" t="str">
        <f ca="1">VLOOKUP($A54,OFFSET(stages!$C$2,0,0,COUNTA(stages!$C:$C),MATCH("stage_target",stages!$2:$2,0)-MATCH($A$1,stages!$2:$2,0)+1),MATCH("stage_target",stages!$2:$2,0)-MATCH($A$1,stages!$2:$2,0)+1,FALSE)</f>
        <v>everyone</v>
      </c>
      <c r="F54" s="200" t="s">
        <v>1036</v>
      </c>
      <c r="G54" s="49" t="str">
        <f>"quest"&amp;A54&amp;"_2.png"</f>
        <v>quest30006_2.png</v>
      </c>
      <c r="H54" s="13" t="s">
        <v>65</v>
      </c>
      <c r="I54" s="12">
        <v>2016</v>
      </c>
      <c r="J54" s="12">
        <v>0</v>
      </c>
    </row>
    <row r="55" spans="1:10" ht="21" customHeight="1" x14ac:dyDescent="0.15">
      <c r="A55" s="31">
        <v>30007</v>
      </c>
      <c r="B55" s="47" t="str">
        <f ca="1">VLOOKUP($A55,OFFSET(quests!$A$1,0,0,COUNTA(quests!$A:$A),MATCH(B$1,quests!$1:$1,0)-MATCH($A$1,quests!$1:$1,0)+1),MATCH(B$1,quests!$1:$1,0)-MATCH($A$1,quests!$1:$1,0)+1,FALSE)</f>
        <v>ガラスの靴は私のもの</v>
      </c>
      <c r="C55" s="47" t="str">
        <f ca="1">VLOOKUP($A55,OFFSET(quests!$A$1,0,0,COUNTA(quests!$A:$A),MATCH(C$1,quests!$1:$1,0)-MATCH($A$1,quests!$1:$1,0)+1),MATCH(C$1,quests!$1:$1,0)-MATCH($A$1,quests!$1:$1,0)+1,FALSE)</f>
        <v>期間限定クエスト</v>
      </c>
      <c r="D55" s="47" t="str">
        <f ca="1">VLOOKUP($A55,OFFSET(quests!$A$1,0,0,COUNTA(quests!$A:$A),MATCH(D$1,quests!$1:$1,0)-MATCH($A$1,quests!$1:$1,0)+1),MATCH(D$1,quests!$1:$1,0)-MATCH($A$1,quests!$1:$1,0)+1,FALSE)</f>
        <v>ドロップイベント2-2（マルチ専用）</v>
      </c>
      <c r="E55" s="47" t="str">
        <f ca="1">VLOOKUP($A55,OFFSET(stages!$C$2,0,0,COUNTA(stages!$C:$C),MATCH("stage_target",stages!$2:$2,0)-MATCH($A$1,stages!$2:$2,0)+1),MATCH("stage_target",stages!$2:$2,0)-MATCH($A$1,stages!$2:$2,0)+1,FALSE)</f>
        <v>everyone</v>
      </c>
      <c r="F55" s="200" t="s">
        <v>1036</v>
      </c>
      <c r="G55" s="49" t="str">
        <f t="shared" ref="G55:G60" si="5">"quest"&amp;A55&amp;"_1.png"</f>
        <v>quest30007_1.png</v>
      </c>
      <c r="H55" s="13" t="s">
        <v>65</v>
      </c>
      <c r="I55" s="13">
        <v>2012</v>
      </c>
      <c r="J55" s="12">
        <v>0</v>
      </c>
    </row>
    <row r="56" spans="1:10" ht="21" customHeight="1" x14ac:dyDescent="0.15">
      <c r="A56" s="31">
        <v>30008</v>
      </c>
      <c r="B56" s="47" t="str">
        <f ca="1">VLOOKUP($A56,OFFSET(quests!$A$1,0,0,COUNTA(quests!$A:$A),MATCH(B$1,quests!$1:$1,0)-MATCH($A$1,quests!$1:$1,0)+1),MATCH(B$1,quests!$1:$1,0)-MATCH($A$1,quests!$1:$1,0)+1,FALSE)</f>
        <v>わたしの嫁を返してもらおう</v>
      </c>
      <c r="C56" s="47" t="str">
        <f ca="1">VLOOKUP($A56,OFFSET(quests!$A$1,0,0,COUNTA(quests!$A:$A),MATCH(C$1,quests!$1:$1,0)-MATCH($A$1,quests!$1:$1,0)+1),MATCH(C$1,quests!$1:$1,0)-MATCH($A$1,quests!$1:$1,0)+1,FALSE)</f>
        <v>期間限定クエスト</v>
      </c>
      <c r="D56" s="47" t="str">
        <f ca="1">VLOOKUP($A56,OFFSET(quests!$A$1,0,0,COUNTA(quests!$A:$A),MATCH(D$1,quests!$1:$1,0)-MATCH($A$1,quests!$1:$1,0)+1),MATCH(D$1,quests!$1:$1,0)-MATCH($A$1,quests!$1:$1,0)+1,FALSE)</f>
        <v>ドロップイベント2-4（マルチ専用）</v>
      </c>
      <c r="E56" s="47" t="str">
        <f ca="1">VLOOKUP($A56,OFFSET(stages!$C$2,0,0,COUNTA(stages!$C:$C),MATCH("stage_target",stages!$2:$2,0)-MATCH($A$1,stages!$2:$2,0)+1),MATCH("stage_target",stages!$2:$2,0)-MATCH($A$1,stages!$2:$2,0)+1,FALSE)</f>
        <v>everyone</v>
      </c>
      <c r="F56" s="200" t="s">
        <v>1036</v>
      </c>
      <c r="G56" s="118" t="str">
        <f>"quest"&amp;A56&amp;"_2.png"</f>
        <v>quest30008_2.png</v>
      </c>
      <c r="H56" s="13" t="s">
        <v>65</v>
      </c>
      <c r="I56" s="12">
        <v>2014</v>
      </c>
      <c r="J56" s="12">
        <v>0</v>
      </c>
    </row>
    <row r="57" spans="1:10" ht="21" customHeight="1" x14ac:dyDescent="0.15">
      <c r="A57" s="31">
        <v>30009</v>
      </c>
      <c r="B57" s="47" t="str">
        <f ca="1">VLOOKUP($A57,OFFSET(quests!$A$1,0,0,COUNTA(quests!$A:$A),MATCH(B$1,quests!$1:$1,0)-MATCH($A$1,quests!$1:$1,0)+1),MATCH(B$1,quests!$1:$1,0)-MATCH($A$1,quests!$1:$1,0)+1,FALSE)</f>
        <v>復活の捕食者</v>
      </c>
      <c r="C57" s="47" t="str">
        <f ca="1">VLOOKUP($A57,OFFSET(quests!$A$1,0,0,COUNTA(quests!$A:$A),MATCH(C$1,quests!$1:$1,0)-MATCH($A$1,quests!$1:$1,0)+1),MATCH(C$1,quests!$1:$1,0)-MATCH($A$1,quests!$1:$1,0)+1,FALSE)</f>
        <v>1ターンに2タップしかできない！</v>
      </c>
      <c r="D57" s="47" t="str">
        <f ca="1">VLOOKUP($A57,OFFSET(quests!$A$1,0,0,COUNTA(quests!$A:$A),MATCH(D$1,quests!$1:$1,0)-MATCH($A$1,quests!$1:$1,0)+1),MATCH(D$1,quests!$1:$1,0)-MATCH($A$1,quests!$1:$1,0)+1,FALSE)</f>
        <v>ドロップイベント3（マルチ専用）</v>
      </c>
      <c r="E57" s="47" t="str">
        <f ca="1">VLOOKUP($A57,OFFSET(stages!$C$2,0,0,COUNTA(stages!$C:$C),MATCH("stage_target",stages!$2:$2,0)-MATCH($A$1,stages!$2:$2,0)+1),MATCH("stage_target",stages!$2:$2,0)-MATCH($A$1,stages!$2:$2,0)+1,FALSE)</f>
        <v>everyone</v>
      </c>
      <c r="F57" s="200" t="s">
        <v>1036</v>
      </c>
      <c r="G57" s="49" t="str">
        <f t="shared" si="5"/>
        <v>quest30009_1.png</v>
      </c>
      <c r="H57" s="13" t="s">
        <v>65</v>
      </c>
      <c r="I57" s="13">
        <v>2018</v>
      </c>
      <c r="J57" s="12">
        <v>0</v>
      </c>
    </row>
    <row r="58" spans="1:10" ht="21" customHeight="1" x14ac:dyDescent="0.15">
      <c r="A58" s="31">
        <v>30010</v>
      </c>
      <c r="B58" s="47" t="str">
        <f ca="1">VLOOKUP($A58,OFFSET(quests!$A$1,0,0,COUNTA(quests!$A:$A),MATCH(B$1,quests!$1:$1,0)-MATCH($A$1,quests!$1:$1,0)+1),MATCH(B$1,quests!$1:$1,0)-MATCH($A$1,quests!$1:$1,0)+1,FALSE)</f>
        <v>最大最凶</v>
      </c>
      <c r="C58" s="47" t="str">
        <f ca="1">VLOOKUP($A58,OFFSET(quests!$A$1,0,0,COUNTA(quests!$A:$A),MATCH(C$1,quests!$1:$1,0)-MATCH($A$1,quests!$1:$1,0)+1),MATCH(C$1,quests!$1:$1,0)-MATCH($A$1,quests!$1:$1,0)+1,FALSE)</f>
        <v>7チェインしないとCパネルができない！</v>
      </c>
      <c r="D58" s="47" t="str">
        <f ca="1">VLOOKUP($A58,OFFSET(quests!$A$1,0,0,COUNTA(quests!$A:$A),MATCH(D$1,quests!$1:$1,0)-MATCH($A$1,quests!$1:$1,0)+1),MATCH(D$1,quests!$1:$1,0)-MATCH($A$1,quests!$1:$1,0)+1,FALSE)</f>
        <v>ドロップイベント3（マルチ専用）</v>
      </c>
      <c r="E58" s="47" t="str">
        <f ca="1">VLOOKUP($A58,OFFSET(stages!$C$2,0,0,COUNTA(stages!$C:$C),MATCH("stage_target",stages!$2:$2,0)-MATCH($A$1,stages!$2:$2,0)+1),MATCH("stage_target",stages!$2:$2,0)-MATCH($A$1,stages!$2:$2,0)+1,FALSE)</f>
        <v>everyone</v>
      </c>
      <c r="F58" s="200" t="s">
        <v>1036</v>
      </c>
      <c r="G58" s="49" t="str">
        <f t="shared" si="5"/>
        <v>quest30010_1.png</v>
      </c>
      <c r="H58" s="13" t="s">
        <v>65</v>
      </c>
      <c r="I58" s="12">
        <v>2020</v>
      </c>
      <c r="J58" s="12">
        <v>0</v>
      </c>
    </row>
    <row r="59" spans="1:10" ht="21" customHeight="1" x14ac:dyDescent="0.15">
      <c r="A59" s="31">
        <v>30011</v>
      </c>
      <c r="B59" s="47" t="str">
        <f ca="1">VLOOKUP($A59,OFFSET(quests!$A$1,0,0,COUNTA(quests!$A:$A),MATCH(B$1,quests!$1:$1,0)-MATCH($A$1,quests!$1:$1,0)+1),MATCH(B$1,quests!$1:$1,0)-MATCH($A$1,quests!$1:$1,0)+1,FALSE)</f>
        <v>気怠い巨読者</v>
      </c>
      <c r="C59" s="47" t="str">
        <f ca="1">VLOOKUP($A59,OFFSET(quests!$A$1,0,0,COUNTA(quests!$A:$A),MATCH(C$1,quests!$1:$1,0)-MATCH($A$1,quests!$1:$1,0)+1),MATCH(C$1,quests!$1:$1,0)-MATCH($A$1,quests!$1:$1,0)+1,FALSE)</f>
        <v>1ターンに2タップしかできない！</v>
      </c>
      <c r="D59" s="47" t="str">
        <f ca="1">VLOOKUP($A59,OFFSET(quests!$A$1,0,0,COUNTA(quests!$A:$A),MATCH(D$1,quests!$1:$1,0)-MATCH($A$1,quests!$1:$1,0)+1),MATCH(D$1,quests!$1:$1,0)-MATCH($A$1,quests!$1:$1,0)+1,FALSE)</f>
        <v>ドロップイベント3（マルチ専用）</v>
      </c>
      <c r="E59" s="47" t="str">
        <f ca="1">VLOOKUP($A59,OFFSET(stages!$C$2,0,0,COUNTA(stages!$C:$C),MATCH("stage_target",stages!$2:$2,0)-MATCH($A$1,stages!$2:$2,0)+1),MATCH("stage_target",stages!$2:$2,0)-MATCH($A$1,stages!$2:$2,0)+1,FALSE)</f>
        <v>everyone</v>
      </c>
      <c r="F59" s="200" t="s">
        <v>1036</v>
      </c>
      <c r="G59" s="49" t="str">
        <f t="shared" si="5"/>
        <v>quest30011_1.png</v>
      </c>
      <c r="H59" s="13" t="s">
        <v>65</v>
      </c>
      <c r="I59" s="13">
        <v>2022</v>
      </c>
      <c r="J59" s="12">
        <v>0</v>
      </c>
    </row>
    <row r="60" spans="1:10" ht="21" customHeight="1" x14ac:dyDescent="0.15">
      <c r="A60" s="31">
        <v>30012</v>
      </c>
      <c r="B60" s="47" t="str">
        <f ca="1">VLOOKUP($A60,OFFSET(quests!$A$1,0,0,COUNTA(quests!$A:$A),MATCH(B$1,quests!$1:$1,0)-MATCH($A$1,quests!$1:$1,0)+1),MATCH(B$1,quests!$1:$1,0)-MATCH($A$1,quests!$1:$1,0)+1,FALSE)</f>
        <v>底なしの胃袋</v>
      </c>
      <c r="C60" s="47" t="str">
        <f ca="1">VLOOKUP($A60,OFFSET(quests!$A$1,0,0,COUNTA(quests!$A:$A),MATCH(C$1,quests!$1:$1,0)-MATCH($A$1,quests!$1:$1,0)+1),MATCH(C$1,quests!$1:$1,0)-MATCH($A$1,quests!$1:$1,0)+1,FALSE)</f>
        <v>ハートが出現しない！</v>
      </c>
      <c r="D60" s="47" t="str">
        <f ca="1">VLOOKUP($A60,OFFSET(quests!$A$1,0,0,COUNTA(quests!$A:$A),MATCH(D$1,quests!$1:$1,0)-MATCH($A$1,quests!$1:$1,0)+1),MATCH(D$1,quests!$1:$1,0)-MATCH($A$1,quests!$1:$1,0)+1,FALSE)</f>
        <v>ドロップイベント3（マルチ専用）</v>
      </c>
      <c r="E60" s="47" t="str">
        <f ca="1">VLOOKUP($A60,OFFSET(stages!$C$2,0,0,COUNTA(stages!$C:$C),MATCH("stage_target",stages!$2:$2,0)-MATCH($A$1,stages!$2:$2,0)+1),MATCH("stage_target",stages!$2:$2,0)-MATCH($A$1,stages!$2:$2,0)+1,FALSE)</f>
        <v>everyone</v>
      </c>
      <c r="F60" s="200" t="s">
        <v>1036</v>
      </c>
      <c r="G60" s="49" t="str">
        <f t="shared" si="5"/>
        <v>quest30012_1.png</v>
      </c>
      <c r="H60" s="13" t="s">
        <v>65</v>
      </c>
      <c r="I60" s="12">
        <v>2024</v>
      </c>
      <c r="J60" s="12">
        <v>0</v>
      </c>
    </row>
    <row r="61" spans="1:10" ht="21" customHeight="1" x14ac:dyDescent="0.15">
      <c r="A61" s="31">
        <v>30013</v>
      </c>
      <c r="B61" s="47" t="str">
        <f ca="1">VLOOKUP($A61,OFFSET(quests!$A$1,0,0,COUNTA(quests!$A:$A),MATCH(B$1,quests!$1:$1,0)-MATCH($A$1,quests!$1:$1,0)+1),MATCH(B$1,quests!$1:$1,0)-MATCH($A$1,quests!$1:$1,0)+1,FALSE)</f>
        <v>決戦・竜宮城</v>
      </c>
      <c r="C61" s="47" t="str">
        <f ca="1">VLOOKUP($A61,OFFSET(quests!$A$1,0,0,COUNTA(quests!$A:$A),MATCH(C$1,quests!$1:$1,0)-MATCH($A$1,quests!$1:$1,0)+1),MATCH(C$1,quests!$1:$1,0)-MATCH($A$1,quests!$1:$1,0)+1,FALSE)</f>
        <v>期間限定クエスト</v>
      </c>
      <c r="D61" s="47" t="str">
        <f ca="1">VLOOKUP($A61,OFFSET(quests!$A$1,0,0,COUNTA(quests!$A:$A),MATCH(D$1,quests!$1:$1,0)-MATCH($A$1,quests!$1:$1,0)+1),MATCH(D$1,quests!$1:$1,0)-MATCH($A$1,quests!$1:$1,0)+1,FALSE)</f>
        <v>ドロップイベント4（マルチ専用）</v>
      </c>
      <c r="E61" s="47" t="str">
        <f ca="1">VLOOKUP($A61,OFFSET(stages!$C$2,0,0,COUNTA(stages!$C:$C),MATCH("stage_target",stages!$2:$2,0)-MATCH($A$1,stages!$2:$2,0)+1),MATCH("stage_target",stages!$2:$2,0)-MATCH($A$1,stages!$2:$2,0)+1,FALSE)</f>
        <v>everyone</v>
      </c>
      <c r="F61" s="200" t="s">
        <v>1036</v>
      </c>
      <c r="G61" s="118" t="s">
        <v>588</v>
      </c>
      <c r="H61" s="13" t="s">
        <v>65</v>
      </c>
      <c r="I61" s="12">
        <v>2025</v>
      </c>
      <c r="J61" s="12">
        <v>0</v>
      </c>
    </row>
    <row r="62" spans="1:10" ht="21" customHeight="1" x14ac:dyDescent="0.15">
      <c r="A62" s="31">
        <v>30014</v>
      </c>
      <c r="B62" s="47" t="str">
        <f ca="1">VLOOKUP($A62,OFFSET(quests!$A$1,0,0,COUNTA(quests!$A:$A),MATCH(B$1,quests!$1:$1,0)-MATCH($A$1,quests!$1:$1,0)+1),MATCH(B$1,quests!$1:$1,0)-MATCH($A$1,quests!$1:$1,0)+1,FALSE)</f>
        <v>親指を突き立てろ！</v>
      </c>
      <c r="C62" s="47" t="str">
        <f ca="1">VLOOKUP($A62,OFFSET(quests!$A$1,0,0,COUNTA(quests!$A:$A),MATCH(C$1,quests!$1:$1,0)-MATCH($A$1,quests!$1:$1,0)+1),MATCH(C$1,quests!$1:$1,0)-MATCH($A$1,quests!$1:$1,0)+1,FALSE)</f>
        <v>5チェインでCパネルができる！</v>
      </c>
      <c r="D62" s="47" t="str">
        <f ca="1">VLOOKUP($A62,OFFSET(quests!$A$1,0,0,COUNTA(quests!$A:$A),MATCH(D$1,quests!$1:$1,0)-MATCH($A$1,quests!$1:$1,0)+1),MATCH(D$1,quests!$1:$1,0)-MATCH($A$1,quests!$1:$1,0)+1,FALSE)</f>
        <v>ドロップイベント4（マルチ専用）</v>
      </c>
      <c r="E62" s="47" t="str">
        <f ca="1">VLOOKUP($A62,OFFSET(stages!$C$2,0,0,COUNTA(stages!$C:$C),MATCH("stage_target",stages!$2:$2,0)-MATCH($A$1,stages!$2:$2,0)+1),MATCH("stage_target",stages!$2:$2,0)-MATCH($A$1,stages!$2:$2,0)+1,FALSE)</f>
        <v>everyone</v>
      </c>
      <c r="F62" s="200" t="s">
        <v>1036</v>
      </c>
      <c r="G62" s="49" t="str">
        <f t="shared" ref="G62" si="6">"quest"&amp;A62&amp;".png"</f>
        <v>quest30014.png</v>
      </c>
      <c r="H62" s="13" t="s">
        <v>65</v>
      </c>
      <c r="I62" s="12">
        <v>2026</v>
      </c>
      <c r="J62" s="12">
        <v>0</v>
      </c>
    </row>
    <row r="63" spans="1:10" ht="21" customHeight="1" x14ac:dyDescent="0.15">
      <c r="A63" s="31">
        <v>30015</v>
      </c>
      <c r="B63" s="47" t="str">
        <f ca="1">VLOOKUP($A63,OFFSET(quests!$A$1,0,0,COUNTA(quests!$A:$A),MATCH(B$1,quests!$1:$1,0)-MATCH($A$1,quests!$1:$1,0)+1),MATCH(B$1,quests!$1:$1,0)-MATCH($A$1,quests!$1:$1,0)+1,FALSE)</f>
        <v>兄妹の大冒険</v>
      </c>
      <c r="C63" s="47" t="str">
        <f ca="1">VLOOKUP($A63,OFFSET(quests!$A$1,0,0,COUNTA(quests!$A:$A),MATCH(C$1,quests!$1:$1,0)-MATCH($A$1,quests!$1:$1,0)+1),MATCH(C$1,quests!$1:$1,0)-MATCH($A$1,quests!$1:$1,0)+1,FALSE)</f>
        <v>期間限定クエスト</v>
      </c>
      <c r="D63" s="47" t="str">
        <f ca="1">VLOOKUP($A63,OFFSET(quests!$A$1,0,0,COUNTA(quests!$A:$A),MATCH(D$1,quests!$1:$1,0)-MATCH($A$1,quests!$1:$1,0)+1),MATCH(D$1,quests!$1:$1,0)-MATCH($A$1,quests!$1:$1,0)+1,FALSE)</f>
        <v>ドロップイベント4（マルチ専用）</v>
      </c>
      <c r="E63" s="47" t="str">
        <f ca="1">VLOOKUP($A63,OFFSET(stages!$C$2,0,0,COUNTA(stages!$C:$C),MATCH("stage_target",stages!$2:$2,0)-MATCH($A$1,stages!$2:$2,0)+1),MATCH("stage_target",stages!$2:$2,0)-MATCH($A$1,stages!$2:$2,0)+1,FALSE)</f>
        <v>everyone</v>
      </c>
      <c r="F63" s="200" t="s">
        <v>1036</v>
      </c>
      <c r="G63" s="118" t="s">
        <v>633</v>
      </c>
      <c r="H63" s="13" t="s">
        <v>53</v>
      </c>
      <c r="I63" s="12">
        <v>2027</v>
      </c>
      <c r="J63" s="12">
        <v>0</v>
      </c>
    </row>
    <row r="64" spans="1:10" ht="21" customHeight="1" x14ac:dyDescent="0.15">
      <c r="A64" s="31">
        <v>30016</v>
      </c>
      <c r="B64" s="47" t="str">
        <f ca="1">VLOOKUP($A64,OFFSET(quests!$A$1,0,0,COUNTA(quests!$A:$A),MATCH(B$1,quests!$1:$1,0)-MATCH($A$1,quests!$1:$1,0)+1),MATCH(B$1,quests!$1:$1,0)-MATCH($A$1,quests!$1:$1,0)+1,FALSE)</f>
        <v>私がワニの天敵よ？</v>
      </c>
      <c r="C64" s="47" t="str">
        <f ca="1">VLOOKUP($A64,OFFSET(quests!$A$1,0,0,COUNTA(quests!$A:$A),MATCH(C$1,quests!$1:$1,0)-MATCH($A$1,quests!$1:$1,0)+1),MATCH(C$1,quests!$1:$1,0)-MATCH($A$1,quests!$1:$1,0)+1,FALSE)</f>
        <v>期間限定クエスト</v>
      </c>
      <c r="D64" s="47" t="str">
        <f ca="1">VLOOKUP($A64,OFFSET(quests!$A$1,0,0,COUNTA(quests!$A:$A),MATCH(D$1,quests!$1:$1,0)-MATCH($A$1,quests!$1:$1,0)+1),MATCH(D$1,quests!$1:$1,0)-MATCH($A$1,quests!$1:$1,0)+1,FALSE)</f>
        <v>ドロップイベント4（マルチ専用）</v>
      </c>
      <c r="E64" s="47" t="str">
        <f ca="1">VLOOKUP($A64,OFFSET(stages!$C$2,0,0,COUNTA(stages!$C:$C),MATCH("stage_target",stages!$2:$2,0)-MATCH($A$1,stages!$2:$2,0)+1),MATCH("stage_target",stages!$2:$2,0)-MATCH($A$1,stages!$2:$2,0)+1,FALSE)</f>
        <v>everyone</v>
      </c>
      <c r="F64" s="200" t="s">
        <v>1036</v>
      </c>
      <c r="G64" s="49" t="str">
        <f t="shared" ref="G64" si="7">"quest"&amp;A64&amp;".png"</f>
        <v>quest30016.png</v>
      </c>
      <c r="H64" s="13" t="s">
        <v>53</v>
      </c>
      <c r="I64" s="12">
        <v>2028</v>
      </c>
      <c r="J64" s="12">
        <v>0</v>
      </c>
    </row>
    <row r="65" spans="1:10" ht="21" customHeight="1" x14ac:dyDescent="0.15">
      <c r="A65" s="31">
        <v>30017</v>
      </c>
      <c r="B65" s="47" t="str">
        <f ca="1">VLOOKUP($A65,OFFSET(quests!$A$1,0,0,COUNTA(quests!$A:$A),MATCH(B$1,quests!$1:$1,0)-MATCH($A$1,quests!$1:$1,0)+1),MATCH(B$1,quests!$1:$1,0)-MATCH($A$1,quests!$1:$1,0)+1,FALSE)</f>
        <v>狩人の挽歌</v>
      </c>
      <c r="C65" s="47" t="str">
        <f ca="1">VLOOKUP($A65,OFFSET(quests!$A$1,0,0,COUNTA(quests!$A:$A),MATCH(C$1,quests!$1:$1,0)-MATCH($A$1,quests!$1:$1,0)+1),MATCH(C$1,quests!$1:$1,0)-MATCH($A$1,quests!$1:$1,0)+1,FALSE)</f>
        <v>マルチプレイ限定！仲間と挑め！</v>
      </c>
      <c r="D65" s="47" t="str">
        <f ca="1">VLOOKUP($A65,OFFSET(quests!$A$1,0,0,COUNTA(quests!$A:$A),MATCH(D$1,quests!$1:$1,0)-MATCH($A$1,quests!$1:$1,0)+1),MATCH(D$1,quests!$1:$1,0)-MATCH($A$1,quests!$1:$1,0)+1,FALSE)</f>
        <v>ドロップイベント5（マルチ専用）</v>
      </c>
      <c r="E65" s="47" t="str">
        <f ca="1">VLOOKUP($A65,OFFSET(stages!$C$2,0,0,COUNTA(stages!$C:$C),MATCH("stage_target",stages!$2:$2,0)-MATCH($A$1,stages!$2:$2,0)+1),MATCH("stage_target",stages!$2:$2,0)-MATCH($A$1,stages!$2:$2,0)+1,FALSE)</f>
        <v>multionly</v>
      </c>
      <c r="F65" s="200" t="s">
        <v>1036</v>
      </c>
      <c r="G65" s="49" t="str">
        <f t="shared" ref="G65" si="8">"quest"&amp;A65&amp;".png"</f>
        <v>quest30017.png</v>
      </c>
      <c r="H65" s="13" t="s">
        <v>53</v>
      </c>
      <c r="I65" s="12">
        <v>2029</v>
      </c>
      <c r="J65" s="12">
        <v>0</v>
      </c>
    </row>
    <row r="66" spans="1:10" ht="21" customHeight="1" x14ac:dyDescent="0.15">
      <c r="A66" s="31">
        <v>30018</v>
      </c>
      <c r="B66" s="47" t="str">
        <f ca="1">VLOOKUP($A66,OFFSET(quests!$A$1,0,0,COUNTA(quests!$A:$A),MATCH(B$1,quests!$1:$1,0)-MATCH($A$1,quests!$1:$1,0)+1),MATCH(B$1,quests!$1:$1,0)-MATCH($A$1,quests!$1:$1,0)+1,FALSE)</f>
        <v>バックストリートファイト</v>
      </c>
      <c r="C66" s="47" t="str">
        <f ca="1">VLOOKUP($A66,OFFSET(quests!$A$1,0,0,COUNTA(quests!$A:$A),MATCH(C$1,quests!$1:$1,0)-MATCH($A$1,quests!$1:$1,0)+1),MATCH(C$1,quests!$1:$1,0)-MATCH($A$1,quests!$1:$1,0)+1,FALSE)</f>
        <v>コンティニュー不可！ハート無し！</v>
      </c>
      <c r="D66" s="47" t="str">
        <f ca="1">VLOOKUP($A66,OFFSET(quests!$A$1,0,0,COUNTA(quests!$A:$A),MATCH(D$1,quests!$1:$1,0)-MATCH($A$1,quests!$1:$1,0)+1),MATCH(D$1,quests!$1:$1,0)-MATCH($A$1,quests!$1:$1,0)+1,FALSE)</f>
        <v>ドロップイベント5（マルチ専用）</v>
      </c>
      <c r="E66" s="47" t="str">
        <f ca="1">VLOOKUP($A66,OFFSET(stages!$C$2,0,0,COUNTA(stages!$C:$C),MATCH("stage_target",stages!$2:$2,0)-MATCH($A$1,stages!$2:$2,0)+1),MATCH("stage_target",stages!$2:$2,0)-MATCH($A$1,stages!$2:$2,0)+1,FALSE)</f>
        <v>everyone</v>
      </c>
      <c r="F66" s="200" t="s">
        <v>1036</v>
      </c>
      <c r="G66" s="49" t="str">
        <f t="shared" ref="G66" si="9">"quest"&amp;A66&amp;".png"</f>
        <v>quest30018.png</v>
      </c>
      <c r="H66" s="13" t="s">
        <v>53</v>
      </c>
      <c r="I66" s="12">
        <v>2030</v>
      </c>
      <c r="J66" s="12">
        <v>0</v>
      </c>
    </row>
    <row r="67" spans="1:10" ht="21" customHeight="1" x14ac:dyDescent="0.15">
      <c r="A67" s="31">
        <v>30019</v>
      </c>
      <c r="B67" s="47" t="str">
        <f ca="1">VLOOKUP($A67,OFFSET(quests!$A$1,0,0,COUNTA(quests!$A:$A),MATCH(B$1,quests!$1:$1,0)-MATCH($A$1,quests!$1:$1,0)+1),MATCH(B$1,quests!$1:$1,0)-MATCH($A$1,quests!$1:$1,0)+1,FALSE)</f>
        <v>狙撃は終わらない</v>
      </c>
      <c r="C67" s="47" t="str">
        <f ca="1">VLOOKUP($A67,OFFSET(quests!$A$1,0,0,COUNTA(quests!$A:$A),MATCH(C$1,quests!$1:$1,0)-MATCH($A$1,quests!$1:$1,0)+1),MATCH(C$1,quests!$1:$1,0)-MATCH($A$1,quests!$1:$1,0)+1,FALSE)</f>
        <v>マルチプレイ限定！仲間と挑め！</v>
      </c>
      <c r="D67" s="47" t="str">
        <f ca="1">VLOOKUP($A67,OFFSET(quests!$A$1,0,0,COUNTA(quests!$A:$A),MATCH(D$1,quests!$1:$1,0)-MATCH($A$1,quests!$1:$1,0)+1),MATCH(D$1,quests!$1:$1,0)-MATCH($A$1,quests!$1:$1,0)+1,FALSE)</f>
        <v>ドロップイベント5（マルチ専用）</v>
      </c>
      <c r="E67" s="47" t="str">
        <f ca="1">VLOOKUP($A67,OFFSET(stages!$C$2,0,0,COUNTA(stages!$C:$C),MATCH("stage_target",stages!$2:$2,0)-MATCH($A$1,stages!$2:$2,0)+1),MATCH("stage_target",stages!$2:$2,0)-MATCH($A$1,stages!$2:$2,0)+1,FALSE)</f>
        <v>multionly</v>
      </c>
      <c r="F67" s="200" t="s">
        <v>1036</v>
      </c>
      <c r="G67" s="49" t="str">
        <f t="shared" ref="G67" si="10">"quest"&amp;A67&amp;".png"</f>
        <v>quest30019.png</v>
      </c>
      <c r="H67" s="13" t="s">
        <v>53</v>
      </c>
      <c r="I67" s="12">
        <v>2031</v>
      </c>
      <c r="J67" s="12">
        <v>0</v>
      </c>
    </row>
    <row r="68" spans="1:10" ht="21" customHeight="1" x14ac:dyDescent="0.15">
      <c r="A68" s="31">
        <v>30020</v>
      </c>
      <c r="B68" s="47" t="str">
        <f ca="1">VLOOKUP($A68,OFFSET(quests!$A$1,0,0,COUNTA(quests!$A:$A),MATCH(B$1,quests!$1:$1,0)-MATCH($A$1,quests!$1:$1,0)+1),MATCH(B$1,quests!$1:$1,0)-MATCH($A$1,quests!$1:$1,0)+1,FALSE)</f>
        <v>若造よ、身の程を知れ</v>
      </c>
      <c r="C68" s="47" t="str">
        <f ca="1">VLOOKUP($A68,OFFSET(quests!$A$1,0,0,COUNTA(quests!$A:$A),MATCH(C$1,quests!$1:$1,0)-MATCH($A$1,quests!$1:$1,0)+1),MATCH(C$1,quests!$1:$1,0)-MATCH($A$1,quests!$1:$1,0)+1,FALSE)</f>
        <v>コンティニュー不可！！</v>
      </c>
      <c r="D68" s="47" t="str">
        <f ca="1">VLOOKUP($A68,OFFSET(quests!$A$1,0,0,COUNTA(quests!$A:$A),MATCH(D$1,quests!$1:$1,0)-MATCH($A$1,quests!$1:$1,0)+1),MATCH(D$1,quests!$1:$1,0)-MATCH($A$1,quests!$1:$1,0)+1,FALSE)</f>
        <v>ドロップイベント5（マルチ専用）</v>
      </c>
      <c r="E68" s="47" t="str">
        <f ca="1">VLOOKUP($A68,OFFSET(stages!$C$2,0,0,COUNTA(stages!$C:$C),MATCH("stage_target",stages!$2:$2,0)-MATCH($A$1,stages!$2:$2,0)+1),MATCH("stage_target",stages!$2:$2,0)-MATCH($A$1,stages!$2:$2,0)+1,FALSE)</f>
        <v>everyone</v>
      </c>
      <c r="F68" s="200" t="s">
        <v>1036</v>
      </c>
      <c r="G68" s="49" t="str">
        <f t="shared" ref="G68" si="11">"quest"&amp;A68&amp;".png"</f>
        <v>quest30020.png</v>
      </c>
      <c r="H68" s="13" t="s">
        <v>53</v>
      </c>
      <c r="I68" s="12">
        <v>2032</v>
      </c>
      <c r="J68" s="12">
        <v>0</v>
      </c>
    </row>
    <row r="69" spans="1:10" ht="21" customHeight="1" x14ac:dyDescent="0.15">
      <c r="A69" s="31">
        <v>30021</v>
      </c>
      <c r="B69" s="47" t="str">
        <f ca="1">VLOOKUP($A69,OFFSET(quests!$A$1,0,0,COUNTA(quests!$A:$A),MATCH(B$1,quests!$1:$1,0)-MATCH($A$1,quests!$1:$1,0)+1),MATCH(B$1,quests!$1:$1,0)-MATCH($A$1,quests!$1:$1,0)+1,FALSE)</f>
        <v>野獣死すべしっ！</v>
      </c>
      <c r="C69" s="47" t="str">
        <f ca="1">VLOOKUP($A69,OFFSET(quests!$A$1,0,0,COUNTA(quests!$A:$A),MATCH(C$1,quests!$1:$1,0)-MATCH($A$1,quests!$1:$1,0)+1),MATCH(C$1,quests!$1:$1,0)-MATCH($A$1,quests!$1:$1,0)+1,FALSE)</f>
        <v>期間限定クエスト</v>
      </c>
      <c r="D69" s="47" t="str">
        <f ca="1">VLOOKUP($A69,OFFSET(quests!$A$1,0,0,COUNTA(quests!$A:$A),MATCH(D$1,quests!$1:$1,0)-MATCH($A$1,quests!$1:$1,0)+1),MATCH(D$1,quests!$1:$1,0)-MATCH($A$1,quests!$1:$1,0)+1,FALSE)</f>
        <v>ドロップイベント6（マルチ専用）</v>
      </c>
      <c r="E69" s="47" t="str">
        <f ca="1">VLOOKUP($A69,OFFSET(stages!$C$2,0,0,COUNTA(stages!$C:$C),MATCH("stage_target",stages!$2:$2,0)-MATCH($A$1,stages!$2:$2,0)+1),MATCH("stage_target",stages!$2:$2,0)-MATCH($A$1,stages!$2:$2,0)+1,FALSE)</f>
        <v>everyone</v>
      </c>
      <c r="F69" s="200" t="s">
        <v>1036</v>
      </c>
      <c r="G69" s="49" t="str">
        <f t="shared" ref="G69" si="12">"quest"&amp;A69&amp;".png"</f>
        <v>quest30021.png</v>
      </c>
      <c r="H69" s="13" t="s">
        <v>53</v>
      </c>
      <c r="I69" s="12">
        <v>2032</v>
      </c>
      <c r="J69" s="12">
        <v>0</v>
      </c>
    </row>
    <row r="70" spans="1:10" ht="21" customHeight="1" x14ac:dyDescent="0.15">
      <c r="A70" s="31">
        <v>30022</v>
      </c>
      <c r="B70" s="47" t="str">
        <f ca="1">VLOOKUP($A70,OFFSET(quests!$A$1,0,0,COUNTA(quests!$A:$A),MATCH(B$1,quests!$1:$1,0)-MATCH($A$1,quests!$1:$1,0)+1),MATCH(B$1,quests!$1:$1,0)-MATCH($A$1,quests!$1:$1,0)+1,FALSE)</f>
        <v>凶鼠ネコを咬む</v>
      </c>
      <c r="C70" s="47" t="str">
        <f ca="1">VLOOKUP($A70,OFFSET(quests!$A$1,0,0,COUNTA(quests!$A:$A),MATCH(C$1,quests!$1:$1,0)-MATCH($A$1,quests!$1:$1,0)+1),MATCH(C$1,quests!$1:$1,0)-MATCH($A$1,quests!$1:$1,0)+1,FALSE)</f>
        <v>期間限定クエスト</v>
      </c>
      <c r="D70" s="47" t="str">
        <f ca="1">VLOOKUP($A70,OFFSET(quests!$A$1,0,0,COUNTA(quests!$A:$A),MATCH(D$1,quests!$1:$1,0)-MATCH($A$1,quests!$1:$1,0)+1),MATCH(D$1,quests!$1:$1,0)-MATCH($A$1,quests!$1:$1,0)+1,FALSE)</f>
        <v>ドロップイベント6（マルチ専用）</v>
      </c>
      <c r="E70" s="47" t="str">
        <f ca="1">VLOOKUP($A70,OFFSET(stages!$C$2,0,0,COUNTA(stages!$C:$C),MATCH("stage_target",stages!$2:$2,0)-MATCH($A$1,stages!$2:$2,0)+1),MATCH("stage_target",stages!$2:$2,0)-MATCH($A$1,stages!$2:$2,0)+1,FALSE)</f>
        <v>everyone</v>
      </c>
      <c r="F70" s="200" t="s">
        <v>1036</v>
      </c>
      <c r="G70" s="49" t="str">
        <f t="shared" ref="G70" si="13">"quest"&amp;A70&amp;".png"</f>
        <v>quest30022.png</v>
      </c>
      <c r="H70" s="13" t="s">
        <v>53</v>
      </c>
      <c r="I70" s="12">
        <v>2033</v>
      </c>
      <c r="J70" s="12">
        <v>0</v>
      </c>
    </row>
    <row r="71" spans="1:10" ht="21" customHeight="1" x14ac:dyDescent="0.15">
      <c r="A71" s="31">
        <v>30023</v>
      </c>
      <c r="B71" s="47" t="str">
        <f ca="1">VLOOKUP($A71,OFFSET(quests!$A$1,0,0,COUNTA(quests!$A:$A),MATCH(B$1,quests!$1:$1,0)-MATCH($A$1,quests!$1:$1,0)+1),MATCH(B$1,quests!$1:$1,0)-MATCH($A$1,quests!$1:$1,0)+1,FALSE)</f>
        <v>隔離からのエスケイプ</v>
      </c>
      <c r="C71" s="47" t="str">
        <f ca="1">VLOOKUP($A71,OFFSET(quests!$A$1,0,0,COUNTA(quests!$A:$A),MATCH(C$1,quests!$1:$1,0)-MATCH($A$1,quests!$1:$1,0)+1),MATCH(C$1,quests!$1:$1,0)-MATCH($A$1,quests!$1:$1,0)+1,FALSE)</f>
        <v>期間限定クエスト</v>
      </c>
      <c r="D71" s="47" t="str">
        <f ca="1">VLOOKUP($A71,OFFSET(quests!$A$1,0,0,COUNTA(quests!$A:$A),MATCH(D$1,quests!$1:$1,0)-MATCH($A$1,quests!$1:$1,0)+1),MATCH(D$1,quests!$1:$1,0)-MATCH($A$1,quests!$1:$1,0)+1,FALSE)</f>
        <v>ドロップイベント6（マルチ専用）</v>
      </c>
      <c r="E71" s="47" t="str">
        <f ca="1">VLOOKUP($A71,OFFSET(stages!$C$2,0,0,COUNTA(stages!$C:$C),MATCH("stage_target",stages!$2:$2,0)-MATCH($A$1,stages!$2:$2,0)+1),MATCH("stage_target",stages!$2:$2,0)-MATCH($A$1,stages!$2:$2,0)+1,FALSE)</f>
        <v>everyone</v>
      </c>
      <c r="F71" s="200" t="s">
        <v>1036</v>
      </c>
      <c r="G71" s="49" t="str">
        <f t="shared" ref="G71" si="14">"quest"&amp;A71&amp;".png"</f>
        <v>quest30023.png</v>
      </c>
      <c r="H71" s="13" t="s">
        <v>53</v>
      </c>
      <c r="I71" s="12">
        <v>2033</v>
      </c>
      <c r="J71" s="12">
        <v>0</v>
      </c>
    </row>
    <row r="72" spans="1:10" ht="21" customHeight="1" x14ac:dyDescent="0.15">
      <c r="A72" s="31">
        <v>30024</v>
      </c>
      <c r="B72" s="47" t="str">
        <f ca="1">VLOOKUP($A72,OFFSET(quests!$A$1,0,0,COUNTA(quests!$A:$A),MATCH(B$1,quests!$1:$1,0)-MATCH($A$1,quests!$1:$1,0)+1),MATCH(B$1,quests!$1:$1,0)-MATCH($A$1,quests!$1:$1,0)+1,FALSE)</f>
        <v>雷鎚の選定</v>
      </c>
      <c r="C72" s="47" t="str">
        <f ca="1">VLOOKUP($A72,OFFSET(quests!$A$1,0,0,COUNTA(quests!$A:$A),MATCH(C$1,quests!$1:$1,0)-MATCH($A$1,quests!$1:$1,0)+1),MATCH(C$1,quests!$1:$1,0)-MATCH($A$1,quests!$1:$1,0)+1,FALSE)</f>
        <v>マルチプレイ限定！仲間と挑め！</v>
      </c>
      <c r="D72" s="47" t="str">
        <f ca="1">VLOOKUP($A72,OFFSET(quests!$A$1,0,0,COUNTA(quests!$A:$A),MATCH(D$1,quests!$1:$1,0)-MATCH($A$1,quests!$1:$1,0)+1),MATCH(D$1,quests!$1:$1,0)-MATCH($A$1,quests!$1:$1,0)+1,FALSE)</f>
        <v>ドロップイベント7（マルチ専用）</v>
      </c>
      <c r="E72" s="47" t="str">
        <f ca="1">VLOOKUP($A72,OFFSET(stages!$C$2,0,0,COUNTA(stages!$C:$C),MATCH("stage_target",stages!$2:$2,0)-MATCH($A$1,stages!$2:$2,0)+1),MATCH("stage_target",stages!$2:$2,0)-MATCH($A$1,stages!$2:$2,0)+1,FALSE)</f>
        <v>multionly</v>
      </c>
      <c r="F72" s="200" t="s">
        <v>1036</v>
      </c>
      <c r="G72" s="49" t="str">
        <f t="shared" ref="G72" si="15">"quest"&amp;A72&amp;".png"</f>
        <v>quest30024.png</v>
      </c>
      <c r="H72" s="13" t="s">
        <v>53</v>
      </c>
      <c r="I72" s="12">
        <v>2034</v>
      </c>
      <c r="J72" s="12">
        <v>0</v>
      </c>
    </row>
    <row r="73" spans="1:10" ht="21" customHeight="1" x14ac:dyDescent="0.15">
      <c r="A73" s="31">
        <v>30025</v>
      </c>
      <c r="B73" s="47" t="str">
        <f ca="1">VLOOKUP($A73,OFFSET(quests!$A$1,0,0,COUNTA(quests!$A:$A),MATCH(B$1,quests!$1:$1,0)-MATCH($A$1,quests!$1:$1,0)+1),MATCH(B$1,quests!$1:$1,0)-MATCH($A$1,quests!$1:$1,0)+1,FALSE)</f>
        <v>真実の探求者</v>
      </c>
      <c r="C73" s="47" t="str">
        <f ca="1">VLOOKUP($A73,OFFSET(quests!$A$1,0,0,COUNTA(quests!$A:$A),MATCH(C$1,quests!$1:$1,0)-MATCH($A$1,quests!$1:$1,0)+1),MATCH(C$1,quests!$1:$1,0)-MATCH($A$1,quests!$1:$1,0)+1,FALSE)</f>
        <v>コンティニュー不可！！</v>
      </c>
      <c r="D73" s="47" t="str">
        <f ca="1">VLOOKUP($A73,OFFSET(quests!$A$1,0,0,COUNTA(quests!$A:$A),MATCH(D$1,quests!$1:$1,0)-MATCH($A$1,quests!$1:$1,0)+1),MATCH(D$1,quests!$1:$1,0)-MATCH($A$1,quests!$1:$1,0)+1,FALSE)</f>
        <v>ドロップイベント7（マルチ専用）</v>
      </c>
      <c r="E73" s="47" t="str">
        <f ca="1">VLOOKUP($A73,OFFSET(stages!$C$2,0,0,COUNTA(stages!$C:$C),MATCH("stage_target",stages!$2:$2,0)-MATCH($A$1,stages!$2:$2,0)+1),MATCH("stage_target",stages!$2:$2,0)-MATCH($A$1,stages!$2:$2,0)+1,FALSE)</f>
        <v>everyone</v>
      </c>
      <c r="F73" s="200" t="s">
        <v>1036</v>
      </c>
      <c r="G73" s="49" t="str">
        <f t="shared" ref="G73" si="16">"quest"&amp;A73&amp;".png"</f>
        <v>quest30025.png</v>
      </c>
      <c r="H73" s="13" t="s">
        <v>53</v>
      </c>
      <c r="I73" s="12">
        <v>2035</v>
      </c>
      <c r="J73" s="12">
        <v>0</v>
      </c>
    </row>
    <row r="74" spans="1:10" ht="21" customHeight="1" x14ac:dyDescent="0.15">
      <c r="A74" s="31">
        <v>30026</v>
      </c>
      <c r="B74" s="47" t="str">
        <f ca="1">VLOOKUP($A74,OFFSET(quests!$A$1,0,0,COUNTA(quests!$A:$A),MATCH(B$1,quests!$1:$1,0)-MATCH($A$1,quests!$1:$1,0)+1),MATCH(B$1,quests!$1:$1,0)-MATCH($A$1,quests!$1:$1,0)+1,FALSE)</f>
        <v>道を阻む妖精夫婦</v>
      </c>
      <c r="C74" s="47" t="str">
        <f ca="1">VLOOKUP($A74,OFFSET(quests!$A$1,0,0,COUNTA(quests!$A:$A),MATCH(C$1,quests!$1:$1,0)-MATCH($A$1,quests!$1:$1,0)+1),MATCH(C$1,quests!$1:$1,0)-MATCH($A$1,quests!$1:$1,0)+1,FALSE)</f>
        <v>期間限定クエスト</v>
      </c>
      <c r="D74" s="47" t="str">
        <f ca="1">VLOOKUP($A74,OFFSET(quests!$A$1,0,0,COUNTA(quests!$A:$A),MATCH(D$1,quests!$1:$1,0)-MATCH($A$1,quests!$1:$1,0)+1),MATCH(D$1,quests!$1:$1,0)-MATCH($A$1,quests!$1:$1,0)+1,FALSE)</f>
        <v>ドロップイベント7（マルチ専用）</v>
      </c>
      <c r="E74" s="47" t="str">
        <f ca="1">VLOOKUP($A74,OFFSET(stages!$C$2,0,0,COUNTA(stages!$C:$C),MATCH("stage_target",stages!$2:$2,0)-MATCH($A$1,stages!$2:$2,0)+1),MATCH("stage_target",stages!$2:$2,0)-MATCH($A$1,stages!$2:$2,0)+1,FALSE)</f>
        <v>everyone</v>
      </c>
      <c r="F74" s="200" t="s">
        <v>1036</v>
      </c>
      <c r="G74" s="49" t="str">
        <f t="shared" ref="G74" si="17">"quest"&amp;A74&amp;".png"</f>
        <v>quest30026.png</v>
      </c>
      <c r="H74" s="13" t="s">
        <v>53</v>
      </c>
      <c r="I74" s="12">
        <v>2036</v>
      </c>
      <c r="J74" s="12">
        <v>0</v>
      </c>
    </row>
    <row r="75" spans="1:10" ht="21" customHeight="1" x14ac:dyDescent="0.15">
      <c r="A75" s="31">
        <v>30027</v>
      </c>
      <c r="B75" s="47" t="str">
        <f ca="1">VLOOKUP($A75,OFFSET(quests!$A$1,0,0,COUNTA(quests!$A:$A),MATCH(B$1,quests!$1:$1,0)-MATCH($A$1,quests!$1:$1,0)+1),MATCH(B$1,quests!$1:$1,0)-MATCH($A$1,quests!$1:$1,0)+1,FALSE)</f>
        <v>凍りつくまで愛してあげる</v>
      </c>
      <c r="C75" s="47" t="str">
        <f ca="1">VLOOKUP($A75,OFFSET(quests!$A$1,0,0,COUNTA(quests!$A:$A),MATCH(C$1,quests!$1:$1,0)-MATCH($A$1,quests!$1:$1,0)+1),MATCH(C$1,quests!$1:$1,0)-MATCH($A$1,quests!$1:$1,0)+1,FALSE)</f>
        <v>赤パネルが出現しない！</v>
      </c>
      <c r="D75" s="47" t="str">
        <f ca="1">VLOOKUP($A75,OFFSET(quests!$A$1,0,0,COUNTA(quests!$A:$A),MATCH(D$1,quests!$1:$1,0)-MATCH($A$1,quests!$1:$1,0)+1),MATCH(D$1,quests!$1:$1,0)-MATCH($A$1,quests!$1:$1,0)+1,FALSE)</f>
        <v>ドロップイベント7（マルチ専用）</v>
      </c>
      <c r="E75" s="47" t="str">
        <f ca="1">VLOOKUP($A75,OFFSET(stages!$C$2,0,0,COUNTA(stages!$C:$C),MATCH("stage_target",stages!$2:$2,0)-MATCH($A$1,stages!$2:$2,0)+1),MATCH("stage_target",stages!$2:$2,0)-MATCH($A$1,stages!$2:$2,0)+1,FALSE)</f>
        <v>everyone</v>
      </c>
      <c r="F75" s="200" t="s">
        <v>1036</v>
      </c>
      <c r="G75" s="49" t="str">
        <f t="shared" ref="G75:G76" si="18">"quest"&amp;A75&amp;".png"</f>
        <v>quest30027.png</v>
      </c>
      <c r="H75" s="13" t="s">
        <v>53</v>
      </c>
      <c r="I75" s="12">
        <v>2037</v>
      </c>
      <c r="J75" s="12">
        <v>0</v>
      </c>
    </row>
    <row r="76" spans="1:10" ht="21" customHeight="1" x14ac:dyDescent="0.15">
      <c r="A76" s="31">
        <v>30028</v>
      </c>
      <c r="B76" s="47" t="str">
        <f ca="1">VLOOKUP($A76,OFFSET(quests!$A$1,0,0,COUNTA(quests!$A:$A),MATCH(B$1,quests!$1:$1,0)-MATCH($A$1,quests!$1:$1,0)+1),MATCH(B$1,quests!$1:$1,0)-MATCH($A$1,quests!$1:$1,0)+1,FALSE)</f>
        <v>最悪の刺客</v>
      </c>
      <c r="C76" s="47" t="str">
        <f ca="1">VLOOKUP($A76,OFFSET(quests!$A$1,0,0,COUNTA(quests!$A:$A),MATCH(C$1,quests!$1:$1,0)-MATCH($A$1,quests!$1:$1,0)+1),MATCH(C$1,quests!$1:$1,0)-MATCH($A$1,quests!$1:$1,0)+1,FALSE)</f>
        <v>期間限定クエスト</v>
      </c>
      <c r="D76" s="47" t="str">
        <f ca="1">VLOOKUP($A76,OFFSET(quests!$A$1,0,0,COUNTA(quests!$A:$A),MATCH(D$1,quests!$1:$1,0)-MATCH($A$1,quests!$1:$1,0)+1),MATCH(D$1,quests!$1:$1,0)-MATCH($A$1,quests!$1:$1,0)+1,FALSE)</f>
        <v>ドロップイベント8（マルチ専用）</v>
      </c>
      <c r="E76" s="47" t="str">
        <f ca="1">VLOOKUP($A76,OFFSET(stages!$C$2,0,0,COUNTA(stages!$C:$C),MATCH("stage_target",stages!$2:$2,0)-MATCH($A$1,stages!$2:$2,0)+1),MATCH("stage_target",stages!$2:$2,0)-MATCH($A$1,stages!$2:$2,0)+1,FALSE)</f>
        <v>everyone</v>
      </c>
      <c r="F76" s="200" t="s">
        <v>1036</v>
      </c>
      <c r="G76" s="49" t="str">
        <f t="shared" si="18"/>
        <v>quest30028.png</v>
      </c>
      <c r="H76" s="13" t="s">
        <v>53</v>
      </c>
      <c r="I76" s="12">
        <v>2038</v>
      </c>
      <c r="J76" s="12">
        <v>0</v>
      </c>
    </row>
    <row r="77" spans="1:10" ht="21" customHeight="1" x14ac:dyDescent="0.15">
      <c r="A77" s="31">
        <v>30029</v>
      </c>
      <c r="B77" s="47" t="str">
        <f ca="1">VLOOKUP($A77,OFFSET(quests!$A$1,0,0,COUNTA(quests!$A:$A),MATCH(B$1,quests!$1:$1,0)-MATCH($A$1,quests!$1:$1,0)+1),MATCH(B$1,quests!$1:$1,0)-MATCH($A$1,quests!$1:$1,0)+1,FALSE)</f>
        <v>全ては主のために</v>
      </c>
      <c r="C77" s="47" t="str">
        <f ca="1">VLOOKUP($A77,OFFSET(quests!$A$1,0,0,COUNTA(quests!$A:$A),MATCH(C$1,quests!$1:$1,0)-MATCH($A$1,quests!$1:$1,0)+1),MATCH(C$1,quests!$1:$1,0)-MATCH($A$1,quests!$1:$1,0)+1,FALSE)</f>
        <v>期間限定クエスト</v>
      </c>
      <c r="D77" s="47" t="str">
        <f ca="1">VLOOKUP($A77,OFFSET(quests!$A$1,0,0,COUNTA(quests!$A:$A),MATCH(D$1,quests!$1:$1,0)-MATCH($A$1,quests!$1:$1,0)+1),MATCH(D$1,quests!$1:$1,0)-MATCH($A$1,quests!$1:$1,0)+1,FALSE)</f>
        <v>ドロップイベント8（マルチ専用）</v>
      </c>
      <c r="E77" s="47" t="str">
        <f ca="1">VLOOKUP($A77,OFFSET(stages!$C$2,0,0,COUNTA(stages!$C:$C),MATCH("stage_target",stages!$2:$2,0)-MATCH($A$1,stages!$2:$2,0)+1),MATCH("stage_target",stages!$2:$2,0)-MATCH($A$1,stages!$2:$2,0)+1,FALSE)</f>
        <v>everyone</v>
      </c>
      <c r="F77" s="200" t="s">
        <v>1036</v>
      </c>
      <c r="G77" s="49" t="str">
        <f t="shared" ref="G77:G79" si="19">"quest"&amp;A77&amp;".png"</f>
        <v>quest30029.png</v>
      </c>
      <c r="H77" s="13" t="s">
        <v>53</v>
      </c>
      <c r="I77" s="12">
        <v>2039</v>
      </c>
      <c r="J77" s="12">
        <v>0</v>
      </c>
    </row>
    <row r="78" spans="1:10" ht="21" customHeight="1" x14ac:dyDescent="0.15">
      <c r="A78" s="31">
        <v>30030</v>
      </c>
      <c r="B78" s="47" t="str">
        <f ca="1">VLOOKUP($A78,OFFSET(quests!$A$1,0,0,COUNTA(quests!$A:$A),MATCH(B$1,quests!$1:$1,0)-MATCH($A$1,quests!$1:$1,0)+1),MATCH(B$1,quests!$1:$1,0)-MATCH($A$1,quests!$1:$1,0)+1,FALSE)</f>
        <v>ここは誰の箱庭じゃ？</v>
      </c>
      <c r="C78" s="47" t="str">
        <f ca="1">VLOOKUP($A78,OFFSET(quests!$A$1,0,0,COUNTA(quests!$A:$A),MATCH(C$1,quests!$1:$1,0)-MATCH($A$1,quests!$1:$1,0)+1),MATCH(C$1,quests!$1:$1,0)-MATCH($A$1,quests!$1:$1,0)+1,FALSE)</f>
        <v>期間限定クエスト</v>
      </c>
      <c r="D78" s="47" t="str">
        <f ca="1">VLOOKUP($A78,OFFSET(quests!$A$1,0,0,COUNTA(quests!$A:$A),MATCH(D$1,quests!$1:$1,0)-MATCH($A$1,quests!$1:$1,0)+1),MATCH(D$1,quests!$1:$1,0)-MATCH($A$1,quests!$1:$1,0)+1,FALSE)</f>
        <v>ドロップイベント9（マルチ専用）</v>
      </c>
      <c r="E78" s="47" t="str">
        <f ca="1">VLOOKUP($A78,OFFSET(stages!$C$2,0,0,COUNTA(stages!$C:$C),MATCH("stage_target",stages!$2:$2,0)-MATCH($A$1,stages!$2:$2,0)+1),MATCH("stage_target",stages!$2:$2,0)-MATCH($A$1,stages!$2:$2,0)+1,FALSE)</f>
        <v>everyone</v>
      </c>
      <c r="F78" s="200" t="s">
        <v>1036</v>
      </c>
      <c r="G78" s="49" t="str">
        <f t="shared" si="19"/>
        <v>quest30030.png</v>
      </c>
      <c r="H78" s="13" t="s">
        <v>53</v>
      </c>
      <c r="I78" s="12">
        <v>2040</v>
      </c>
      <c r="J78" s="12">
        <v>0</v>
      </c>
    </row>
    <row r="79" spans="1:10" ht="21" customHeight="1" x14ac:dyDescent="0.15">
      <c r="A79" s="31">
        <v>30031</v>
      </c>
      <c r="B79" s="47" t="str">
        <f ca="1">VLOOKUP($A79,OFFSET(quests!$A$1,0,0,COUNTA(quests!$A:$A),MATCH(B$1,quests!$1:$1,0)-MATCH($A$1,quests!$1:$1,0)+1),MATCH(B$1,quests!$1:$1,0)-MATCH($A$1,quests!$1:$1,0)+1,FALSE)</f>
        <v>力への羨望</v>
      </c>
      <c r="C79" s="47" t="str">
        <f ca="1">VLOOKUP($A79,OFFSET(quests!$A$1,0,0,COUNTA(quests!$A:$A),MATCH(C$1,quests!$1:$1,0)-MATCH($A$1,quests!$1:$1,0)+1),MATCH(C$1,quests!$1:$1,0)-MATCH($A$1,quests!$1:$1,0)+1,FALSE)</f>
        <v>期間限定クエスト</v>
      </c>
      <c r="D79" s="47" t="str">
        <f ca="1">VLOOKUP($A79,OFFSET(quests!$A$1,0,0,COUNTA(quests!$A:$A),MATCH(D$1,quests!$1:$1,0)-MATCH($A$1,quests!$1:$1,0)+1),MATCH(D$1,quests!$1:$1,0)-MATCH($A$1,quests!$1:$1,0)+1,FALSE)</f>
        <v>ドロップイベント10（マルチ専用）</v>
      </c>
      <c r="E79" s="47" t="str">
        <f ca="1">VLOOKUP($A79,OFFSET(stages!$C$2,0,0,COUNTA(stages!$C:$C),MATCH("stage_target",stages!$2:$2,0)-MATCH($A$1,stages!$2:$2,0)+1),MATCH("stage_target",stages!$2:$2,0)-MATCH($A$1,stages!$2:$2,0)+1,FALSE)</f>
        <v>everyone</v>
      </c>
      <c r="F79" s="200" t="s">
        <v>1036</v>
      </c>
      <c r="G79" s="49" t="str">
        <f t="shared" si="19"/>
        <v>quest30031.png</v>
      </c>
      <c r="H79" s="13" t="s">
        <v>53</v>
      </c>
      <c r="I79" s="12">
        <v>2041</v>
      </c>
      <c r="J79" s="12">
        <v>0</v>
      </c>
    </row>
    <row r="80" spans="1:10" ht="14" x14ac:dyDescent="0.15">
      <c r="A80" s="31">
        <v>30032</v>
      </c>
      <c r="B80" s="47" t="str">
        <f ca="1">VLOOKUP($A80,OFFSET(quests!$A$1,0,0,COUNTA(quests!$A:$A),MATCH(B$1,quests!$1:$1,0)-MATCH($A$1,quests!$1:$1,0)+1),MATCH(B$1,quests!$1:$1,0)-MATCH($A$1,quests!$1:$1,0)+1,FALSE)</f>
        <v>赤き竜の制裁</v>
      </c>
      <c r="C80" s="47" t="str">
        <f ca="1">VLOOKUP($A80,OFFSET(quests!$A$1,0,0,COUNTA(quests!$A:$A),MATCH(C$1,quests!$1:$1,0)-MATCH($A$1,quests!$1:$1,0)+1),MATCH(C$1,quests!$1:$1,0)-MATCH($A$1,quests!$1:$1,0)+1,FALSE)</f>
        <v>期間限定クエスト</v>
      </c>
      <c r="D80" s="47" t="str">
        <f ca="1">VLOOKUP($A80,OFFSET(quests!$A$1,0,0,COUNTA(quests!$A:$A),MATCH(D$1,quests!$1:$1,0)-MATCH($A$1,quests!$1:$1,0)+1),MATCH(D$1,quests!$1:$1,0)-MATCH($A$1,quests!$1:$1,0)+1,FALSE)</f>
        <v>円卓2（マルチ専用）</v>
      </c>
      <c r="E80" s="47" t="str">
        <f ca="1">VLOOKUP($A80,OFFSET(stages!$C$2,0,0,COUNTA(stages!$C:$C),MATCH("stage_target",stages!$2:$2,0)-MATCH($A$1,stages!$2:$2,0)+1),MATCH("stage_target",stages!$2:$2,0)-MATCH($A$1,stages!$2:$2,0)+1,FALSE)</f>
        <v>everyone</v>
      </c>
      <c r="F80" s="200" t="s">
        <v>1036</v>
      </c>
      <c r="G80" s="49" t="str">
        <f t="shared" ref="G80" si="20">"quest"&amp;A80&amp;".png"</f>
        <v>quest30032.png</v>
      </c>
      <c r="H80" s="13" t="s">
        <v>53</v>
      </c>
      <c r="I80" s="12">
        <v>2042</v>
      </c>
      <c r="J80" s="12">
        <v>0</v>
      </c>
    </row>
    <row r="81" spans="1:10" ht="21" customHeight="1" x14ac:dyDescent="0.15">
      <c r="A81" s="31">
        <v>30033</v>
      </c>
      <c r="B81" s="47" t="str">
        <f ca="1">VLOOKUP($A81,OFFSET(quests!$A$1,0,0,COUNTA(quests!$A:$A),MATCH(B$1,quests!$1:$1,0)-MATCH($A$1,quests!$1:$1,0)+1),MATCH(B$1,quests!$1:$1,0)-MATCH($A$1,quests!$1:$1,0)+1,FALSE)</f>
        <v>御館様の懐刀</v>
      </c>
      <c r="C81" s="47" t="str">
        <f ca="1">VLOOKUP($A81,OFFSET(quests!$A$1,0,0,COUNTA(quests!$A:$A),MATCH(C$1,quests!$1:$1,0)-MATCH($A$1,quests!$1:$1,0)+1),MATCH(C$1,quests!$1:$1,0)-MATCH($A$1,quests!$1:$1,0)+1,FALSE)</f>
        <v>期間限定クエスト</v>
      </c>
      <c r="D81" s="47" t="str">
        <f ca="1">VLOOKUP($A81,OFFSET(quests!$A$1,0,0,COUNTA(quests!$A:$A),MATCH(D$1,quests!$1:$1,0)-MATCH($A$1,quests!$1:$1,0)+1),MATCH(D$1,quests!$1:$1,0)-MATCH($A$1,quests!$1:$1,0)+1,FALSE)</f>
        <v>戦国１</v>
      </c>
      <c r="E81" s="47" t="str">
        <f ca="1">VLOOKUP($A81,OFFSET(stages!$C$2,0,0,COUNTA(stages!$C:$C),MATCH("stage_target",stages!$2:$2,0)-MATCH($A$1,stages!$2:$2,0)+1),MATCH("stage_target",stages!$2:$2,0)-MATCH($A$1,stages!$2:$2,0)+1,FALSE)</f>
        <v>everyone</v>
      </c>
      <c r="F81" s="200" t="s">
        <v>568</v>
      </c>
      <c r="G81" s="49" t="str">
        <f t="shared" ref="G81" si="21">"quest"&amp;A81&amp;".png"</f>
        <v>quest30033.png</v>
      </c>
      <c r="H81" s="13" t="s">
        <v>53</v>
      </c>
      <c r="I81" s="12">
        <v>2043</v>
      </c>
      <c r="J81" s="12">
        <v>0</v>
      </c>
    </row>
    <row r="82" spans="1:10" ht="21" customHeight="1" x14ac:dyDescent="0.15">
      <c r="A82" s="31">
        <v>30034</v>
      </c>
      <c r="B82" s="47" t="str">
        <f ca="1">VLOOKUP($A82,OFFSET(quests!$A$1,0,0,COUNTA(quests!$A:$A),MATCH(B$1,quests!$1:$1,0)-MATCH($A$1,quests!$1:$1,0)+1),MATCH(B$1,quests!$1:$1,0)-MATCH($A$1,quests!$1:$1,0)+1,FALSE)</f>
        <v>孤高の焔翼</v>
      </c>
      <c r="C82" s="47" t="str">
        <f ca="1">VLOOKUP($A82,OFFSET(quests!$A$1,0,0,COUNTA(quests!$A:$A),MATCH(C$1,quests!$1:$1,0)-MATCH($A$1,quests!$1:$1,0)+1),MATCH(C$1,quests!$1:$1,0)-MATCH($A$1,quests!$1:$1,0)+1,FALSE)</f>
        <v>期間限定クエスト</v>
      </c>
      <c r="D82" s="47" t="str">
        <f ca="1">VLOOKUP($A82,OFFSET(quests!$A$1,0,0,COUNTA(quests!$A:$A),MATCH(D$1,quests!$1:$1,0)-MATCH($A$1,quests!$1:$1,0)+1),MATCH(D$1,quests!$1:$1,0)-MATCH($A$1,quests!$1:$1,0)+1,FALSE)</f>
        <v>天使と悪魔</v>
      </c>
      <c r="E82" s="47" t="str">
        <f ca="1">VLOOKUP($A82,OFFSET(stages!$C$2,0,0,COUNTA(stages!$C:$C),MATCH("stage_target",stages!$2:$2,0)-MATCH($A$1,stages!$2:$2,0)+1),MATCH("stage_target",stages!$2:$2,0)-MATCH($A$1,stages!$2:$2,0)+1,FALSE)</f>
        <v>everyone</v>
      </c>
      <c r="F82" s="200" t="s">
        <v>568</v>
      </c>
      <c r="G82" s="49" t="str">
        <f t="shared" ref="G82" si="22">"quest"&amp;A82&amp;".png"</f>
        <v>quest30034.png</v>
      </c>
      <c r="H82" s="13" t="s">
        <v>53</v>
      </c>
      <c r="I82" s="12">
        <v>2044</v>
      </c>
      <c r="J82" s="12">
        <v>0</v>
      </c>
    </row>
    <row r="83" spans="1:10" ht="21" customHeight="1" x14ac:dyDescent="0.15">
      <c r="A83" s="31">
        <v>30035</v>
      </c>
      <c r="B83" s="47" t="str">
        <f ca="1">VLOOKUP($A83,OFFSET(quests!$A$1,0,0,COUNTA(quests!$A:$A),MATCH(B$1,quests!$1:$1,0)-MATCH($A$1,quests!$1:$1,0)+1),MATCH(B$1,quests!$1:$1,0)-MATCH($A$1,quests!$1:$1,0)+1,FALSE)</f>
        <v>大鯨の呼び声</v>
      </c>
      <c r="C83" s="47" t="str">
        <f ca="1">VLOOKUP($A83,OFFSET(quests!$A$1,0,0,COUNTA(quests!$A:$A),MATCH(C$1,quests!$1:$1,0)-MATCH($A$1,quests!$1:$1,0)+1),MATCH(C$1,quests!$1:$1,0)-MATCH($A$1,quests!$1:$1,0)+1,FALSE)</f>
        <v>期間限定クエスト</v>
      </c>
      <c r="D83" s="47" t="str">
        <f ca="1">VLOOKUP($A83,OFFSET(quests!$A$1,0,0,COUNTA(quests!$A:$A),MATCH(D$1,quests!$1:$1,0)-MATCH($A$1,quests!$1:$1,0)+1),MATCH(D$1,quests!$1:$1,0)-MATCH($A$1,quests!$1:$1,0)+1,FALSE)</f>
        <v>童話シリーズ3本目</v>
      </c>
      <c r="E83" s="47" t="str">
        <f ca="1">VLOOKUP($A83,OFFSET(stages!$C$2,0,0,COUNTA(stages!$C:$C),MATCH("stage_target",stages!$2:$2,0)-MATCH($A$1,stages!$2:$2,0)+1),MATCH("stage_target",stages!$2:$2,0)-MATCH($A$1,stages!$2:$2,0)+1,FALSE)</f>
        <v>everyone</v>
      </c>
      <c r="F83" s="200" t="s">
        <v>568</v>
      </c>
      <c r="G83" s="49" t="str">
        <f t="shared" ref="G83" si="23">"quest"&amp;A83&amp;".png"</f>
        <v>quest30035.png</v>
      </c>
      <c r="H83" s="13" t="s">
        <v>53</v>
      </c>
      <c r="I83" s="12">
        <v>2045</v>
      </c>
      <c r="J83" s="12">
        <v>0</v>
      </c>
    </row>
    <row r="84" spans="1:10" ht="21" customHeight="1" x14ac:dyDescent="0.15">
      <c r="A84" s="31">
        <v>30036</v>
      </c>
      <c r="B84" s="47" t="str">
        <f ca="1">VLOOKUP($A84,OFFSET(quests!$A$1,0,0,COUNTA(quests!$A:$A),MATCH(B$1,quests!$1:$1,0)-MATCH($A$1,quests!$1:$1,0)+1),MATCH(B$1,quests!$1:$1,0)-MATCH($A$1,quests!$1:$1,0)+1,FALSE)</f>
        <v>猛然たる炎獣使い</v>
      </c>
      <c r="C84" s="47" t="str">
        <f ca="1">VLOOKUP($A84,OFFSET(quests!$A$1,0,0,COUNTA(quests!$A:$A),MATCH(C$1,quests!$1:$1,0)-MATCH($A$1,quests!$1:$1,0)+1),MATCH(C$1,quests!$1:$1,0)-MATCH($A$1,quests!$1:$1,0)+1,FALSE)</f>
        <v>期間限定クエスト</v>
      </c>
      <c r="D84" s="47" t="str">
        <f ca="1">VLOOKUP($A84,OFFSET(quests!$A$1,0,0,COUNTA(quests!$A:$A),MATCH(D$1,quests!$1:$1,0)-MATCH($A$1,quests!$1:$1,0)+1),MATCH(D$1,quests!$1:$1,0)-MATCH($A$1,quests!$1:$1,0)+1,FALSE)</f>
        <v>ギリシャ神話シリーズ超級</v>
      </c>
      <c r="E84" s="47" t="str">
        <f ca="1">VLOOKUP($A84,OFFSET(stages!$C$2,0,0,COUNTA(stages!$C:$C),MATCH("stage_target",stages!$2:$2,0)-MATCH($A$1,stages!$2:$2,0)+1),MATCH("stage_target",stages!$2:$2,0)-MATCH($A$1,stages!$2:$2,0)+1,FALSE)</f>
        <v>everyone</v>
      </c>
      <c r="F84" s="200" t="s">
        <v>568</v>
      </c>
      <c r="G84" s="49" t="str">
        <f t="shared" ref="G84" si="24">"quest"&amp;A84&amp;".png"</f>
        <v>quest30036.png</v>
      </c>
      <c r="H84" s="13" t="s">
        <v>53</v>
      </c>
      <c r="I84" s="12">
        <v>2046</v>
      </c>
      <c r="J84" s="12">
        <v>0</v>
      </c>
    </row>
    <row r="85" spans="1:10" ht="21" customHeight="1" x14ac:dyDescent="0.15">
      <c r="A85" s="31">
        <v>30037</v>
      </c>
      <c r="B85" s="47" t="str">
        <f ca="1">VLOOKUP($A85,OFFSET(quests!$A$1,0,0,COUNTA(quests!$A:$A),MATCH(B$1,quests!$1:$1,0)-MATCH($A$1,quests!$1:$1,0)+1),MATCH(B$1,quests!$1:$1,0)-MATCH($A$1,quests!$1:$1,0)+1,FALSE)</f>
        <v>灯り火の麗人</v>
      </c>
      <c r="C85" s="47" t="str">
        <f ca="1">VLOOKUP($A85,OFFSET(quests!$A$1,0,0,COUNTA(quests!$A:$A),MATCH(C$1,quests!$1:$1,0)-MATCH($A$1,quests!$1:$1,0)+1),MATCH(C$1,quests!$1:$1,0)-MATCH($A$1,quests!$1:$1,0)+1,FALSE)</f>
        <v>期間限定クエスト</v>
      </c>
      <c r="D85" s="47" t="str">
        <f ca="1">VLOOKUP($A85,OFFSET(quests!$A$1,0,0,COUNTA(quests!$A:$A),MATCH(D$1,quests!$1:$1,0)-MATCH($A$1,quests!$1:$1,0)+1),MATCH(D$1,quests!$1:$1,0)-MATCH($A$1,quests!$1:$1,0)+1,FALSE)</f>
        <v>フランス革命シリーズ超級</v>
      </c>
      <c r="E85" s="47" t="str">
        <f ca="1">VLOOKUP($A85,OFFSET(stages!$C$2,0,0,COUNTA(stages!$C:$C),MATCH("stage_target",stages!$2:$2,0)-MATCH($A$1,stages!$2:$2,0)+1),MATCH("stage_target",stages!$2:$2,0)-MATCH($A$1,stages!$2:$2,0)+1,FALSE)</f>
        <v>everyone</v>
      </c>
      <c r="F85" s="200" t="s">
        <v>382</v>
      </c>
      <c r="G85" s="49" t="str">
        <f t="shared" ref="G85:G86" si="25">"quest"&amp;A85&amp;".png"</f>
        <v>quest30037.png</v>
      </c>
      <c r="H85" s="13" t="s">
        <v>53</v>
      </c>
      <c r="I85" s="12">
        <v>2047</v>
      </c>
      <c r="J85" s="12">
        <v>0</v>
      </c>
    </row>
    <row r="86" spans="1:10" ht="21" customHeight="1" x14ac:dyDescent="0.15">
      <c r="A86" s="31">
        <v>30038</v>
      </c>
      <c r="B86" s="47" t="str">
        <f ca="1">VLOOKUP($A86,OFFSET(quests!$A$1,0,0,COUNTA(quests!$A:$A),MATCH(B$1,quests!$1:$1,0)-MATCH($A$1,quests!$1:$1,0)+1),MATCH(B$1,quests!$1:$1,0)-MATCH($A$1,quests!$1:$1,0)+1,FALSE)</f>
        <v>毒絶神の願い</v>
      </c>
      <c r="C86" s="47" t="str">
        <f ca="1">VLOOKUP($A86,OFFSET(quests!$A$1,0,0,COUNTA(quests!$A:$A),MATCH(C$1,quests!$1:$1,0)-MATCH($A$1,quests!$1:$1,0)+1),MATCH(C$1,quests!$1:$1,0)-MATCH($A$1,quests!$1:$1,0)+1,FALSE)</f>
        <v>期間限定クエスト</v>
      </c>
      <c r="D86" s="47" t="str">
        <f ca="1">VLOOKUP($A86,OFFSET(quests!$A$1,0,0,COUNTA(quests!$A:$A),MATCH(D$1,quests!$1:$1,0)-MATCH($A$1,quests!$1:$1,0)+1),MATCH(D$1,quests!$1:$1,0)-MATCH($A$1,quests!$1:$1,0)+1,FALSE)</f>
        <v>エジプト神話シリーズ超級</v>
      </c>
      <c r="E86" s="47" t="str">
        <f ca="1">VLOOKUP($A86,OFFSET(stages!$C$2,0,0,COUNTA(stages!$C:$C),MATCH("stage_target",stages!$2:$2,0)-MATCH($A$1,stages!$2:$2,0)+1),MATCH("stage_target",stages!$2:$2,0)-MATCH($A$1,stages!$2:$2,0)+1,FALSE)</f>
        <v>everyone</v>
      </c>
      <c r="F86" s="200" t="s">
        <v>382</v>
      </c>
      <c r="G86" s="49" t="str">
        <f t="shared" si="25"/>
        <v>quest30038.png</v>
      </c>
      <c r="H86" s="13" t="s">
        <v>53</v>
      </c>
      <c r="I86" s="12">
        <v>2048</v>
      </c>
      <c r="J86" s="12">
        <v>0</v>
      </c>
    </row>
    <row r="87" spans="1:10" ht="21" customHeight="1" x14ac:dyDescent="0.15">
      <c r="A87" s="31">
        <v>30039</v>
      </c>
      <c r="B87" s="47" t="str">
        <f ca="1">VLOOKUP($A87,OFFSET(quests!$A$1,0,0,COUNTA(quests!$A:$A),MATCH(B$1,quests!$1:$1,0)-MATCH($A$1,quests!$1:$1,0)+1),MATCH(B$1,quests!$1:$1,0)-MATCH($A$1,quests!$1:$1,0)+1,FALSE)</f>
        <v>ゼロワン・ゲーム</v>
      </c>
      <c r="C87" s="47" t="str">
        <f ca="1">VLOOKUP($A87,OFFSET(quests!$A$1,0,0,COUNTA(quests!$A:$A),MATCH(C$1,quests!$1:$1,0)-MATCH($A$1,quests!$1:$1,0)+1),MATCH(C$1,quests!$1:$1,0)-MATCH($A$1,quests!$1:$1,0)+1,FALSE)</f>
        <v>期間限定クエスト</v>
      </c>
      <c r="D87" s="47" t="str">
        <f ca="1">VLOOKUP($A87,OFFSET(quests!$A$1,0,0,COUNTA(quests!$A:$A),MATCH(D$1,quests!$1:$1,0)-MATCH($A$1,quests!$1:$1,0)+1),MATCH(D$1,quests!$1:$1,0)-MATCH($A$1,quests!$1:$1,0)+1,FALSE)</f>
        <v>平安シリーズ超級</v>
      </c>
      <c r="E87" s="47" t="str">
        <f ca="1">VLOOKUP($A87,OFFSET(stages!$C$2,0,0,COUNTA(stages!$C:$C),MATCH("stage_target",stages!$2:$2,0)-MATCH($A$1,stages!$2:$2,0)+1),MATCH("stage_target",stages!$2:$2,0)-MATCH($A$1,stages!$2:$2,0)+1,FALSE)</f>
        <v>everyone</v>
      </c>
      <c r="F87" s="200" t="s">
        <v>382</v>
      </c>
      <c r="G87" s="49" t="str">
        <f t="shared" ref="G87" si="26">"quest"&amp;A87&amp;".png"</f>
        <v>quest30039.png</v>
      </c>
      <c r="H87" s="13" t="s">
        <v>53</v>
      </c>
      <c r="I87" s="12">
        <v>2049</v>
      </c>
      <c r="J87" s="12">
        <v>0</v>
      </c>
    </row>
    <row r="88" spans="1:10" ht="21" customHeight="1" x14ac:dyDescent="0.15">
      <c r="A88" s="31">
        <v>30040</v>
      </c>
      <c r="B88" s="47" t="str">
        <f ca="1">VLOOKUP($A88,OFFSET(quests!$A$1,0,0,COUNTA(quests!$A:$A),MATCH(B$1,quests!$1:$1,0)-MATCH($A$1,quests!$1:$1,0)+1),MATCH(B$1,quests!$1:$1,0)-MATCH($A$1,quests!$1:$1,0)+1,FALSE)</f>
        <v>闇ヨリ出ル魔獣</v>
      </c>
      <c r="C88" s="47" t="str">
        <f ca="1">VLOOKUP($A88,OFFSET(quests!$A$1,0,0,COUNTA(quests!$A:$A),MATCH(C$1,quests!$1:$1,0)-MATCH($A$1,quests!$1:$1,0)+1),MATCH(C$1,quests!$1:$1,0)-MATCH($A$1,quests!$1:$1,0)+1,FALSE)</f>
        <v>期間限定クエスト</v>
      </c>
      <c r="D88" s="47" t="str">
        <f ca="1">VLOOKUP($A88,OFFSET(quests!$A$1,0,0,COUNTA(quests!$A:$A),MATCH(D$1,quests!$1:$1,0)-MATCH($A$1,quests!$1:$1,0)+1),MATCH(D$1,quests!$1:$1,0)-MATCH($A$1,quests!$1:$1,0)+1,FALSE)</f>
        <v>メソポタミア文明シリーズ超級</v>
      </c>
      <c r="E88" s="47" t="str">
        <f ca="1">VLOOKUP($A88,OFFSET(stages!$C$2,0,0,COUNTA(stages!$C:$C),MATCH("stage_target",stages!$2:$2,0)-MATCH($A$1,stages!$2:$2,0)+1),MATCH("stage_target",stages!$2:$2,0)-MATCH($A$1,stages!$2:$2,0)+1,FALSE)</f>
        <v>everyone</v>
      </c>
      <c r="F88" s="200" t="s">
        <v>382</v>
      </c>
      <c r="G88" s="49" t="str">
        <f t="shared" ref="G88" si="27">"quest"&amp;A88&amp;".png"</f>
        <v>quest30040.png</v>
      </c>
      <c r="H88" s="13" t="s">
        <v>53</v>
      </c>
      <c r="I88" s="12">
        <v>2050</v>
      </c>
      <c r="J88" s="12">
        <v>0</v>
      </c>
    </row>
    <row r="89" spans="1:10" ht="21" customHeight="1" x14ac:dyDescent="0.15">
      <c r="A89" s="31">
        <v>30041</v>
      </c>
      <c r="B89" s="47" t="str">
        <f ca="1">VLOOKUP($A89,OFFSET(quests!$A$1,0,0,COUNTA(quests!$A:$A),MATCH(B$1,quests!$1:$1,0)-MATCH($A$1,quests!$1:$1,0)+1),MATCH(B$1,quests!$1:$1,0)-MATCH($A$1,quests!$1:$1,0)+1,FALSE)</f>
        <v>パラノイア・アート</v>
      </c>
      <c r="C89" s="47" t="str">
        <f ca="1">VLOOKUP($A89,OFFSET(quests!$A$1,0,0,COUNTA(quests!$A:$A),MATCH(C$1,quests!$1:$1,0)-MATCH($A$1,quests!$1:$1,0)+1),MATCH(C$1,quests!$1:$1,0)-MATCH($A$1,quests!$1:$1,0)+1,FALSE)</f>
        <v>青パネルが出現しない！</v>
      </c>
      <c r="D89" s="47" t="str">
        <f ca="1">VLOOKUP($A89,OFFSET(quests!$A$1,0,0,COUNTA(quests!$A:$A),MATCH(D$1,quests!$1:$1,0)-MATCH($A$1,quests!$1:$1,0)+1),MATCH(D$1,quests!$1:$1,0)-MATCH($A$1,quests!$1:$1,0)+1,FALSE)</f>
        <v>画家シリーズ超級</v>
      </c>
      <c r="E89" s="47" t="str">
        <f ca="1">VLOOKUP($A89,OFFSET(stages!$C$2,0,0,COUNTA(stages!$C:$C),MATCH("stage_target",stages!$2:$2,0)-MATCH($A$1,stages!$2:$2,0)+1),MATCH("stage_target",stages!$2:$2,0)-MATCH($A$1,stages!$2:$2,0)+1,FALSE)</f>
        <v>everyone</v>
      </c>
      <c r="F89" s="200" t="s">
        <v>382</v>
      </c>
      <c r="G89" s="49" t="str">
        <f t="shared" ref="G89" si="28">"quest"&amp;A89&amp;".png"</f>
        <v>quest30041.png</v>
      </c>
      <c r="H89" s="13" t="s">
        <v>53</v>
      </c>
      <c r="I89" s="12">
        <v>2051</v>
      </c>
      <c r="J89" s="12">
        <v>0</v>
      </c>
    </row>
    <row r="90" spans="1:10" ht="21" customHeight="1" x14ac:dyDescent="0.15">
      <c r="A90" s="31">
        <v>30042</v>
      </c>
      <c r="B90" s="47" t="str">
        <f ca="1">VLOOKUP($A90,OFFSET(quests!$A$1,0,0,COUNTA(quests!$A:$A),MATCH(B$1,quests!$1:$1,0)-MATCH($A$1,quests!$1:$1,0)+1),MATCH(B$1,quests!$1:$1,0)-MATCH($A$1,quests!$1:$1,0)+1,FALSE)</f>
        <v>馬中に赤兎あり！</v>
      </c>
      <c r="C90" s="47" t="str">
        <f ca="1">VLOOKUP($A90,OFFSET(quests!$A$1,0,0,COUNTA(quests!$A:$A),MATCH(C$1,quests!$1:$1,0)-MATCH($A$1,quests!$1:$1,0)+1),MATCH(C$1,quests!$1:$1,0)-MATCH($A$1,quests!$1:$1,0)+1,FALSE)</f>
        <v>ソロ限定（ハートなし）</v>
      </c>
      <c r="D90" s="47" t="str">
        <f ca="1">VLOOKUP($A90,OFFSET(quests!$A$1,0,0,COUNTA(quests!$A:$A),MATCH(D$1,quests!$1:$1,0)-MATCH($A$1,quests!$1:$1,0)+1),MATCH(D$1,quests!$1:$1,0)-MATCH($A$1,quests!$1:$1,0)+1,FALSE)</f>
        <v>三国志シリーズ超級</v>
      </c>
      <c r="E90" s="47" t="str">
        <f ca="1">VLOOKUP($A90,OFFSET(stages!$C$2,0,0,COUNTA(stages!$C:$C),MATCH("stage_target",stages!$2:$2,0)-MATCH($A$1,stages!$2:$2,0)+1),MATCH("stage_target",stages!$2:$2,0)-MATCH($A$1,stages!$2:$2,0)+1,FALSE)</f>
        <v>singleonly</v>
      </c>
      <c r="F90" s="200" t="s">
        <v>382</v>
      </c>
      <c r="G90" s="49" t="str">
        <f t="shared" ref="G90" si="29">"quest"&amp;A90&amp;".png"</f>
        <v>quest30042.png</v>
      </c>
      <c r="H90" s="13" t="s">
        <v>53</v>
      </c>
      <c r="I90" s="12">
        <v>2052</v>
      </c>
      <c r="J90" s="12">
        <v>0</v>
      </c>
    </row>
    <row r="91" spans="1:10" ht="21" customHeight="1" x14ac:dyDescent="0.15">
      <c r="A91" s="31">
        <v>30043</v>
      </c>
      <c r="B91" s="47" t="str">
        <f ca="1">VLOOKUP($A91,OFFSET(quests!$A$1,0,0,COUNTA(quests!$A:$A),MATCH(B$1,quests!$1:$1,0)-MATCH($A$1,quests!$1:$1,0)+1),MATCH(B$1,quests!$1:$1,0)-MATCH($A$1,quests!$1:$1,0)+1,FALSE)</f>
        <v>小さな破壊竜</v>
      </c>
      <c r="C91" s="47" t="str">
        <f ca="1">VLOOKUP($A91,OFFSET(quests!$A$1,0,0,COUNTA(quests!$A:$A),MATCH(C$1,quests!$1:$1,0)-MATCH($A$1,quests!$1:$1,0)+1),MATCH(C$1,quests!$1:$1,0)-MATCH($A$1,quests!$1:$1,0)+1,FALSE)</f>
        <v>青パネルが出現しない！</v>
      </c>
      <c r="D91" s="47" t="str">
        <f ca="1">VLOOKUP($A91,OFFSET(quests!$A$1,0,0,COUNTA(quests!$A:$A),MATCH(D$1,quests!$1:$1,0)-MATCH($A$1,quests!$1:$1,0)+1),MATCH(D$1,quests!$1:$1,0)-MATCH($A$1,quests!$1:$1,0)+1,FALSE)</f>
        <v>ヒンドゥー神話第二弾超級</v>
      </c>
      <c r="E91" s="47" t="str">
        <f ca="1">VLOOKUP($A91,OFFSET(stages!$C$2,0,0,COUNTA(stages!$C:$C),MATCH("stage_target",stages!$2:$2,0)-MATCH($A$1,stages!$2:$2,0)+1),MATCH("stage_target",stages!$2:$2,0)-MATCH($A$1,stages!$2:$2,0)+1,FALSE)</f>
        <v>everyone</v>
      </c>
      <c r="F91" s="200" t="s">
        <v>382</v>
      </c>
      <c r="G91" s="49" t="str">
        <f t="shared" ref="G91" si="30">"quest"&amp;A91&amp;".png"</f>
        <v>quest30043.png</v>
      </c>
      <c r="H91" s="13" t="s">
        <v>53</v>
      </c>
      <c r="I91" s="12">
        <v>3043</v>
      </c>
      <c r="J91" s="12">
        <v>0</v>
      </c>
    </row>
    <row r="92" spans="1:10" ht="21" customHeight="1" x14ac:dyDescent="0.15">
      <c r="A92" s="31">
        <v>30044</v>
      </c>
      <c r="B92" s="47" t="str">
        <f ca="1">VLOOKUP($A92,OFFSET(quests!$A$1,0,0,COUNTA(quests!$A:$A),MATCH(B$1,quests!$1:$1,0)-MATCH($A$1,quests!$1:$1,0)+1),MATCH(B$1,quests!$1:$1,0)-MATCH($A$1,quests!$1:$1,0)+1,FALSE)</f>
        <v>冷酷なる遂行者</v>
      </c>
      <c r="C92" s="47" t="str">
        <f ca="1">VLOOKUP($A92,OFFSET(quests!$A$1,0,0,COUNTA(quests!$A:$A),MATCH(C$1,quests!$1:$1,0)-MATCH($A$1,quests!$1:$1,0)+1),MATCH(C$1,quests!$1:$1,0)-MATCH($A$1,quests!$1:$1,0)+1,FALSE)</f>
        <v>種族アニマル限定！</v>
      </c>
      <c r="D92" s="47" t="str">
        <f ca="1">VLOOKUP($A92,OFFSET(quests!$A$1,0,0,COUNTA(quests!$A:$A),MATCH(D$1,quests!$1:$1,0)-MATCH($A$1,quests!$1:$1,0)+1),MATCH(D$1,quests!$1:$1,0)-MATCH($A$1,quests!$1:$1,0)+1,FALSE)</f>
        <v>ギリシャ神話第二弾超級</v>
      </c>
      <c r="E92" s="47" t="str">
        <f ca="1">VLOOKUP($A92,OFFSET(stages!$C$2,0,0,COUNTA(stages!$C:$C),MATCH("stage_target",stages!$2:$2,0)-MATCH($A$1,stages!$2:$2,0)+1),MATCH("stage_target",stages!$2:$2,0)-MATCH($A$1,stages!$2:$2,0)+1,FALSE)</f>
        <v>everyone</v>
      </c>
      <c r="F92" s="200" t="s">
        <v>382</v>
      </c>
      <c r="G92" s="49" t="str">
        <f t="shared" ref="G92" si="31">"quest"&amp;A92&amp;".png"</f>
        <v>quest30044.png</v>
      </c>
      <c r="H92" s="13" t="s">
        <v>53</v>
      </c>
      <c r="I92" s="12">
        <v>3044</v>
      </c>
      <c r="J92" s="12">
        <v>0</v>
      </c>
    </row>
    <row r="93" spans="1:10" ht="21" customHeight="1" x14ac:dyDescent="0.15">
      <c r="A93" s="31">
        <v>30045</v>
      </c>
      <c r="B93" s="47" t="str">
        <f ca="1">VLOOKUP($A93,OFFSET(quests!$A$1,0,0,COUNTA(quests!$A:$A),MATCH(B$1,quests!$1:$1,0)-MATCH($A$1,quests!$1:$1,0)+1),MATCH(B$1,quests!$1:$1,0)-MATCH($A$1,quests!$1:$1,0)+1,FALSE)</f>
        <v>れもん色の衝動</v>
      </c>
      <c r="C93" s="47" t="str">
        <f ca="1">VLOOKUP($A93,OFFSET(quests!$A$1,0,0,COUNTA(quests!$A:$A),MATCH(C$1,quests!$1:$1,0)-MATCH($A$1,quests!$1:$1,0)+1),MATCH(C$1,quests!$1:$1,0)-MATCH($A$1,quests!$1:$1,0)+1,FALSE)</f>
        <v>期間限定クエスト</v>
      </c>
      <c r="D93" s="47" t="str">
        <f ca="1">VLOOKUP($A93,OFFSET(quests!$A$1,0,0,COUNTA(quests!$A:$A),MATCH(D$1,quests!$1:$1,0)-MATCH($A$1,quests!$1:$1,0)+1),MATCH(D$1,quests!$1:$1,0)-MATCH($A$1,quests!$1:$1,0)+1,FALSE)</f>
        <v>文豪シリーズ　超級</v>
      </c>
      <c r="E93" s="47" t="str">
        <f ca="1">VLOOKUP($A93,OFFSET(stages!$C$2,0,0,COUNTA(stages!$C:$C),MATCH("stage_target",stages!$2:$2,0)-MATCH($A$1,stages!$2:$2,0)+1),MATCH("stage_target",stages!$2:$2,0)-MATCH($A$1,stages!$2:$2,0)+1,FALSE)</f>
        <v>everyone</v>
      </c>
      <c r="F93" s="200" t="s">
        <v>382</v>
      </c>
      <c r="G93" s="49" t="str">
        <f t="shared" ref="G93" si="32">"quest"&amp;A93&amp;".png"</f>
        <v>quest30045.png</v>
      </c>
      <c r="H93" s="13" t="s">
        <v>53</v>
      </c>
      <c r="I93" s="12">
        <v>3045</v>
      </c>
      <c r="J93" s="12">
        <v>0</v>
      </c>
    </row>
    <row r="94" spans="1:10" ht="21" customHeight="1" x14ac:dyDescent="0.15">
      <c r="A94" s="31">
        <v>30046</v>
      </c>
      <c r="B94" s="47" t="str">
        <f ca="1">VLOOKUP($A94,OFFSET(quests!$A$1,0,0,COUNTA(quests!$A:$A),MATCH(B$1,quests!$1:$1,0)-MATCH($A$1,quests!$1:$1,0)+1),MATCH(B$1,quests!$1:$1,0)-MATCH($A$1,quests!$1:$1,0)+1,FALSE)</f>
        <v>千利の道も一歩から！</v>
      </c>
      <c r="C94" s="47" t="str">
        <f ca="1">VLOOKUP($A94,OFFSET(quests!$A$1,0,0,COUNTA(quests!$A:$A),MATCH(C$1,quests!$1:$1,0)-MATCH($A$1,quests!$1:$1,0)+1),MATCH(C$1,quests!$1:$1,0)-MATCH($A$1,quests!$1:$1,0)+1,FALSE)</f>
        <v>期間限定クエスト</v>
      </c>
      <c r="D94" s="47" t="str">
        <f ca="1">VLOOKUP($A94,OFFSET(quests!$A$1,0,0,COUNTA(quests!$A:$A),MATCH(D$1,quests!$1:$1,0)-MATCH($A$1,quests!$1:$1,0)+1),MATCH(D$1,quests!$1:$1,0)-MATCH($A$1,quests!$1:$1,0)+1,FALSE)</f>
        <v>戦国シリーズ第二弾　超級</v>
      </c>
      <c r="E94" s="47" t="str">
        <f ca="1">VLOOKUP($A94,OFFSET(stages!$C$2,0,0,COUNTA(stages!$C:$C),MATCH("stage_target",stages!$2:$2,0)-MATCH($A$1,stages!$2:$2,0)+1),MATCH("stage_target",stages!$2:$2,0)-MATCH($A$1,stages!$2:$2,0)+1,FALSE)</f>
        <v>everyone</v>
      </c>
      <c r="F94" s="200" t="s">
        <v>382</v>
      </c>
      <c r="G94" s="49" t="str">
        <f t="shared" ref="G94" si="33">"quest"&amp;A94&amp;".png"</f>
        <v>quest30046.png</v>
      </c>
      <c r="H94" s="13" t="s">
        <v>53</v>
      </c>
      <c r="I94" s="12">
        <v>3046</v>
      </c>
      <c r="J94" s="12">
        <v>0</v>
      </c>
    </row>
    <row r="95" spans="1:10" ht="21" customHeight="1" x14ac:dyDescent="0.15">
      <c r="A95" s="31">
        <v>30047</v>
      </c>
      <c r="B95" s="47" t="str">
        <f ca="1">VLOOKUP($A95,OFFSET(quests!$A$1,0,0,COUNTA(quests!$A:$A),MATCH(B$1,quests!$1:$1,0)-MATCH($A$1,quests!$1:$1,0)+1),MATCH(B$1,quests!$1:$1,0)-MATCH($A$1,quests!$1:$1,0)+1,FALSE)</f>
        <v>終末の旋律</v>
      </c>
      <c r="C95" s="47" t="str">
        <f ca="1">VLOOKUP($A95,OFFSET(quests!$A$1,0,0,COUNTA(quests!$A:$A),MATCH(C$1,quests!$1:$1,0)-MATCH($A$1,quests!$1:$1,0)+1),MATCH(C$1,quests!$1:$1,0)-MATCH($A$1,quests!$1:$1,0)+1,FALSE)</f>
        <v>期間限定クエスト</v>
      </c>
      <c r="D95" s="47" t="str">
        <f ca="1">VLOOKUP($A95,OFFSET(quests!$A$1,0,0,COUNTA(quests!$A:$A),MATCH(D$1,quests!$1:$1,0)-MATCH($A$1,quests!$1:$1,0)+1),MATCH(D$1,quests!$1:$1,0)-MATCH($A$1,quests!$1:$1,0)+1,FALSE)</f>
        <v>北欧シリーズ第三弾　超級</v>
      </c>
      <c r="E95" s="47" t="str">
        <f ca="1">VLOOKUP($A95,OFFSET(stages!$C$2,0,0,COUNTA(stages!$C:$C),MATCH("stage_target",stages!$2:$2,0)-MATCH($A$1,stages!$2:$2,0)+1),MATCH("stage_target",stages!$2:$2,0)-MATCH($A$1,stages!$2:$2,0)+1,FALSE)</f>
        <v>everyone</v>
      </c>
      <c r="F95" s="200" t="s">
        <v>382</v>
      </c>
      <c r="G95" s="49" t="str">
        <f t="shared" ref="G95" si="34">"quest"&amp;A95&amp;".png"</f>
        <v>quest30047.png</v>
      </c>
      <c r="H95" s="13" t="s">
        <v>53</v>
      </c>
      <c r="I95" s="12">
        <v>3047</v>
      </c>
      <c r="J95" s="12">
        <v>0</v>
      </c>
    </row>
    <row r="96" spans="1:10" ht="21" customHeight="1" x14ac:dyDescent="0.15">
      <c r="A96" s="31">
        <v>30048</v>
      </c>
      <c r="B96" s="47" t="str">
        <f ca="1">VLOOKUP($A96,OFFSET(quests!$A$1,0,0,COUNTA(quests!$A:$A),MATCH(B$1,quests!$1:$1,0)-MATCH($A$1,quests!$1:$1,0)+1),MATCH(B$1,quests!$1:$1,0)-MATCH($A$1,quests!$1:$1,0)+1,FALSE)</f>
        <v>惑乱の双神使！？</v>
      </c>
      <c r="C96" s="47" t="str">
        <f ca="1">VLOOKUP($A96,OFFSET(quests!$A$1,0,0,COUNTA(quests!$A:$A),MATCH(C$1,quests!$1:$1,0)-MATCH($A$1,quests!$1:$1,0)+1),MATCH(C$1,quests!$1:$1,0)-MATCH($A$1,quests!$1:$1,0)+1,FALSE)</f>
        <v>期間限定クエスト</v>
      </c>
      <c r="D96" s="47" t="str">
        <f ca="1">VLOOKUP($A96,OFFSET(quests!$A$1,0,0,COUNTA(quests!$A:$A),MATCH(D$1,quests!$1:$1,0)-MATCH($A$1,quests!$1:$1,0)+1),MATCH(D$1,quests!$1:$1,0)-MATCH($A$1,quests!$1:$1,0)+1,FALSE)</f>
        <v>日本神話シリーズ　超級</v>
      </c>
      <c r="E96" s="47" t="str">
        <f ca="1">VLOOKUP($A96,OFFSET(stages!$C$2,0,0,COUNTA(stages!$C:$C),MATCH("stage_target",stages!$2:$2,0)-MATCH($A$1,stages!$2:$2,0)+1),MATCH("stage_target",stages!$2:$2,0)-MATCH($A$1,stages!$2:$2,0)+1,FALSE)</f>
        <v>everyone</v>
      </c>
      <c r="F96" s="200" t="s">
        <v>382</v>
      </c>
      <c r="G96" s="49" t="str">
        <f t="shared" ref="G96" si="35">"quest"&amp;A96&amp;".png"</f>
        <v>quest30048.png</v>
      </c>
      <c r="H96" s="13" t="s">
        <v>53</v>
      </c>
      <c r="I96" s="12">
        <v>3048</v>
      </c>
      <c r="J96" s="12">
        <v>0</v>
      </c>
    </row>
    <row r="97" spans="1:10" ht="21" customHeight="1" x14ac:dyDescent="0.15">
      <c r="A97" s="31">
        <v>30049</v>
      </c>
      <c r="B97" s="47" t="str">
        <f ca="1">VLOOKUP($A97,OFFSET(quests!$A$1,0,0,COUNTA(quests!$A:$A),MATCH(B$1,quests!$1:$1,0)-MATCH($A$1,quests!$1:$1,0)+1),MATCH(B$1,quests!$1:$1,0)-MATCH($A$1,quests!$1:$1,0)+1,FALSE)</f>
        <v>鉄壁の子豚要塞</v>
      </c>
      <c r="C97" s="47" t="str">
        <f ca="1">VLOOKUP($A97,OFFSET(quests!$A$1,0,0,COUNTA(quests!$A:$A),MATCH(C$1,quests!$1:$1,0)-MATCH($A$1,quests!$1:$1,0)+1),MATCH(C$1,quests!$1:$1,0)-MATCH($A$1,quests!$1:$1,0)+1,FALSE)</f>
        <v>期間限定クエスト</v>
      </c>
      <c r="D97" s="47" t="str">
        <f ca="1">VLOOKUP($A97,OFFSET(quests!$A$1,0,0,COUNTA(quests!$A:$A),MATCH(D$1,quests!$1:$1,0)-MATCH($A$1,quests!$1:$1,0)+1),MATCH(D$1,quests!$1:$1,0)-MATCH($A$1,quests!$1:$1,0)+1,FALSE)</f>
        <v>童話シリーズ　超級</v>
      </c>
      <c r="E97" s="47" t="str">
        <f ca="1">VLOOKUP($A97,OFFSET(stages!$C$2,0,0,COUNTA(stages!$C:$C),MATCH("stage_target",stages!$2:$2,0)-MATCH($A$1,stages!$2:$2,0)+1),MATCH("stage_target",stages!$2:$2,0)-MATCH($A$1,stages!$2:$2,0)+1,FALSE)</f>
        <v>everyone</v>
      </c>
      <c r="F97" s="200" t="s">
        <v>382</v>
      </c>
      <c r="G97" s="49" t="str">
        <f t="shared" ref="G97" si="36">"quest"&amp;A97&amp;".png"</f>
        <v>quest30049.png</v>
      </c>
      <c r="H97" s="13" t="s">
        <v>53</v>
      </c>
      <c r="I97" s="12">
        <v>3049</v>
      </c>
      <c r="J97" s="12">
        <v>0</v>
      </c>
    </row>
    <row r="98" spans="1:10" ht="21" customHeight="1" x14ac:dyDescent="0.15">
      <c r="A98" s="31">
        <v>30050</v>
      </c>
      <c r="B98" s="47" t="str">
        <f ca="1">VLOOKUP($A98,OFFSET(quests!$A$1,0,0,COUNTA(quests!$A:$A),MATCH(B$1,quests!$1:$1,0)-MATCH($A$1,quests!$1:$1,0)+1),MATCH(B$1,quests!$1:$1,0)-MATCH($A$1,quests!$1:$1,0)+1,FALSE)</f>
        <v>忍耐と服従</v>
      </c>
      <c r="C98" s="47" t="str">
        <f ca="1">VLOOKUP($A98,OFFSET(quests!$A$1,0,0,COUNTA(quests!$A:$A),MATCH(C$1,quests!$1:$1,0)-MATCH($A$1,quests!$1:$1,0)+1),MATCH(C$1,quests!$1:$1,0)-MATCH($A$1,quests!$1:$1,0)+1,FALSE)</f>
        <v>期間限定クエスト</v>
      </c>
      <c r="D98" s="47" t="str">
        <f ca="1">VLOOKUP($A98,OFFSET(quests!$A$1,0,0,COUNTA(quests!$A:$A),MATCH(D$1,quests!$1:$1,0)-MATCH($A$1,quests!$1:$1,0)+1),MATCH(D$1,quests!$1:$1,0)-MATCH($A$1,quests!$1:$1,0)+1,FALSE)</f>
        <v>英傑シリーズ　超級</v>
      </c>
      <c r="E98" s="47" t="str">
        <f ca="1">VLOOKUP($A98,OFFSET(stages!$C$2,0,0,COUNTA(stages!$C:$C),MATCH("stage_target",stages!$2:$2,0)-MATCH($A$1,stages!$2:$2,0)+1),MATCH("stage_target",stages!$2:$2,0)-MATCH($A$1,stages!$2:$2,0)+1,FALSE)</f>
        <v>everyone</v>
      </c>
      <c r="F98" s="200" t="s">
        <v>382</v>
      </c>
      <c r="G98" s="49" t="str">
        <f t="shared" ref="G98" si="37">"quest"&amp;A98&amp;".png"</f>
        <v>quest30050.png</v>
      </c>
      <c r="H98" s="13" t="s">
        <v>53</v>
      </c>
      <c r="I98" s="12">
        <v>3050</v>
      </c>
      <c r="J98" s="12">
        <v>0</v>
      </c>
    </row>
    <row r="99" spans="1:10" ht="21" customHeight="1" x14ac:dyDescent="0.15">
      <c r="A99" s="31">
        <v>38101</v>
      </c>
      <c r="B99" s="47" t="str">
        <f ca="1">VLOOKUP($A99,OFFSET(quests!$A$1,0,0,COUNTA(quests!$A:$A),MATCH(B$1,quests!$1:$1,0)-MATCH($A$1,quests!$1:$1,0)+1),MATCH(B$1,quests!$1:$1,0)-MATCH($A$1,quests!$1:$1,0)+1,FALSE)</f>
        <v>安多</v>
      </c>
      <c r="C99" s="47" t="str">
        <f ca="1">VLOOKUP($A99,OFFSET(quests!$A$1,0,0,COUNTA(quests!$A:$A),MATCH(C$1,quests!$1:$1,0)-MATCH($A$1,quests!$1:$1,0)+1),MATCH(C$1,quests!$1:$1,0)-MATCH($A$1,quests!$1:$1,0)+1,FALSE)</f>
        <v>期間限定クエスト</v>
      </c>
      <c r="D99" s="47" t="str">
        <f ca="1">VLOOKUP($A99,OFFSET(quests!$A$1,0,0,COUNTA(quests!$A:$A),MATCH(D$1,quests!$1:$1,0)-MATCH($A$1,quests!$1:$1,0)+1),MATCH(D$1,quests!$1:$1,0)-MATCH($A$1,quests!$1:$1,0)+1,FALSE)</f>
        <v>台湾版コラボ降臨1　超級</v>
      </c>
      <c r="E99" s="47" t="str">
        <f ca="1">VLOOKUP($A99,OFFSET(stages!$C$2,0,0,COUNTA(stages!$C:$C),MATCH("stage_target",stages!$2:$2,0)-MATCH($A$1,stages!$2:$2,0)+1),MATCH("stage_target",stages!$2:$2,0)-MATCH($A$1,stages!$2:$2,0)+1,FALSE)</f>
        <v>everyone</v>
      </c>
      <c r="F99" s="200" t="s">
        <v>382</v>
      </c>
      <c r="G99" s="49" t="str">
        <f t="shared" ref="G99" si="38">"quest"&amp;A99&amp;".png"</f>
        <v>quest38101.png</v>
      </c>
      <c r="H99" s="13" t="s">
        <v>53</v>
      </c>
      <c r="I99" s="12">
        <v>3811</v>
      </c>
      <c r="J99" s="12">
        <v>2</v>
      </c>
    </row>
    <row r="100" spans="1:10" ht="21" customHeight="1" x14ac:dyDescent="0.15">
      <c r="A100" s="31">
        <v>39001</v>
      </c>
      <c r="B100" s="47" t="str">
        <f ca="1">VLOOKUP($A100,OFFSET(quests!$A$1,0,0,COUNTA(quests!$A:$A),MATCH(B$1,quests!$1:$1,0)-MATCH($A$1,quests!$1:$1,0)+1),MATCH(B$1,quests!$1:$1,0)-MATCH($A$1,quests!$1:$1,0)+1,FALSE)</f>
        <v>雪の歌姫</v>
      </c>
      <c r="C100" s="47" t="str">
        <f ca="1">VLOOKUP($A100,OFFSET(quests!$A$1,0,0,COUNTA(quests!$A:$A),MATCH(C$1,quests!$1:$1,0)-MATCH($A$1,quests!$1:$1,0)+1),MATCH(C$1,quests!$1:$1,0)-MATCH($A$1,quests!$1:$1,0)+1,FALSE)</f>
        <v>初音ミク コラボクエスト</v>
      </c>
      <c r="D100" s="47" t="str">
        <f ca="1">VLOOKUP($A100,OFFSET(quests!$A$1,0,0,COUNTA(quests!$A:$A),MATCH(D$1,quests!$1:$1,0)-MATCH($A$1,quests!$1:$1,0)+1),MATCH(D$1,quests!$1:$1,0)-MATCH($A$1,quests!$1:$1,0)+1,FALSE)</f>
        <v>コラボクエスト</v>
      </c>
      <c r="E100" s="47" t="str">
        <f ca="1">VLOOKUP($A100,OFFSET(stages!$C$2,0,0,COUNTA(stages!$C:$C),MATCH("stage_target",stages!$2:$2,0)-MATCH($A$1,stages!$2:$2,0)+1),MATCH("stage_target",stages!$2:$2,0)-MATCH($A$1,stages!$2:$2,0)+1,FALSE)</f>
        <v>everyone</v>
      </c>
      <c r="F100" s="200" t="s">
        <v>1036</v>
      </c>
      <c r="G100" s="49" t="str">
        <f t="shared" ref="G100" si="39">"quest"&amp;A100&amp;".png"</f>
        <v>quest39001.png</v>
      </c>
      <c r="H100" s="13" t="s">
        <v>53</v>
      </c>
      <c r="I100" s="12">
        <v>1</v>
      </c>
      <c r="J100" s="12">
        <v>2</v>
      </c>
    </row>
    <row r="101" spans="1:10" ht="21" customHeight="1" x14ac:dyDescent="0.15">
      <c r="A101" s="31">
        <v>39002</v>
      </c>
      <c r="B101" s="47" t="str">
        <f ca="1">VLOOKUP($A101,OFFSET(quests!$A$1,0,0,COUNTA(quests!$A:$A),MATCH(B$1,quests!$1:$1,0)-MATCH($A$1,quests!$1:$1,0)+1),MATCH(B$1,quests!$1:$1,0)-MATCH($A$1,quests!$1:$1,0)+1,FALSE)</f>
        <v>黄巾賊の暴走を止めろ！</v>
      </c>
      <c r="C101" s="47" t="str">
        <f ca="1">VLOOKUP($A101,OFFSET(quests!$A$1,0,0,COUNTA(quests!$A:$A),MATCH(C$1,quests!$1:$1,0)-MATCH($A$1,quests!$1:$1,0)+1),MATCH(C$1,quests!$1:$1,0)-MATCH($A$1,quests!$1:$1,0)+1,FALSE)</f>
        <v>デュラララ!!　コラボクエスト</v>
      </c>
      <c r="D101" s="47" t="str">
        <f ca="1">VLOOKUP($A101,OFFSET(quests!$A$1,0,0,COUNTA(quests!$A:$A),MATCH(D$1,quests!$1:$1,0)-MATCH($A$1,quests!$1:$1,0)+1),MATCH(D$1,quests!$1:$1,0)-MATCH($A$1,quests!$1:$1,0)+1,FALSE)</f>
        <v>コラボクエスト</v>
      </c>
      <c r="E101" s="47" t="str">
        <f ca="1">VLOOKUP($A101,OFFSET(stages!$C$2,0,0,COUNTA(stages!$C:$C),MATCH("stage_target",stages!$2:$2,0)-MATCH($A$1,stages!$2:$2,0)+1),MATCH("stage_target",stages!$2:$2,0)-MATCH($A$1,stages!$2:$2,0)+1,FALSE)</f>
        <v>everyone</v>
      </c>
      <c r="F101" s="200" t="s">
        <v>382</v>
      </c>
      <c r="G101" s="118" t="s">
        <v>1155</v>
      </c>
      <c r="H101" s="13" t="s">
        <v>53</v>
      </c>
      <c r="I101" s="13">
        <v>32766</v>
      </c>
      <c r="J101" s="12">
        <v>2</v>
      </c>
    </row>
    <row r="102" spans="1:10" ht="21" customHeight="1" x14ac:dyDescent="0.15">
      <c r="A102" s="31">
        <v>39003</v>
      </c>
      <c r="B102" s="47" t="str">
        <f ca="1">VLOOKUP($A102,OFFSET(quests!$A$1,0,0,COUNTA(quests!$A:$A),MATCH(B$1,quests!$1:$1,0)-MATCH($A$1,quests!$1:$1,0)+1),MATCH(B$1,quests!$1:$1,0)-MATCH($A$1,quests!$1:$1,0)+1,FALSE)</f>
        <v>ブルースクウェアを追え！</v>
      </c>
      <c r="C102" s="47" t="str">
        <f ca="1">VLOOKUP($A102,OFFSET(quests!$A$1,0,0,COUNTA(quests!$A:$A),MATCH(C$1,quests!$1:$1,0)-MATCH($A$1,quests!$1:$1,0)+1),MATCH(C$1,quests!$1:$1,0)-MATCH($A$1,quests!$1:$1,0)+1,FALSE)</f>
        <v>デュラララ!!　コラボクエスト</v>
      </c>
      <c r="D102" s="47" t="str">
        <f ca="1">VLOOKUP($A102,OFFSET(quests!$A$1,0,0,COUNTA(quests!$A:$A),MATCH(D$1,quests!$1:$1,0)-MATCH($A$1,quests!$1:$1,0)+1),MATCH(D$1,quests!$1:$1,0)-MATCH($A$1,quests!$1:$1,0)+1,FALSE)</f>
        <v>コラボクエスト</v>
      </c>
      <c r="E102" s="47" t="str">
        <f ca="1">VLOOKUP($A102,OFFSET(stages!$C$2,0,0,COUNTA(stages!$C:$C),MATCH("stage_target",stages!$2:$2,0)-MATCH($A$1,stages!$2:$2,0)+1),MATCH("stage_target",stages!$2:$2,0)-MATCH($A$1,stages!$2:$2,0)+1,FALSE)</f>
        <v>everyone</v>
      </c>
      <c r="F102" s="200" t="s">
        <v>382</v>
      </c>
      <c r="G102" s="49" t="str">
        <f>"quest"&amp;A102&amp;".png"</f>
        <v>quest39003.png</v>
      </c>
      <c r="H102" s="13" t="s">
        <v>53</v>
      </c>
      <c r="I102" s="13">
        <v>32766</v>
      </c>
      <c r="J102" s="12">
        <v>2</v>
      </c>
    </row>
    <row r="103" spans="1:10" ht="21" customHeight="1" x14ac:dyDescent="0.15">
      <c r="A103" s="31">
        <v>39004</v>
      </c>
      <c r="B103" s="47" t="str">
        <f ca="1">VLOOKUP($A103,OFFSET(quests!$A$1,0,0,COUNTA(quests!$A:$A),MATCH(B$1,quests!$1:$1,0)-MATCH($A$1,quests!$1:$1,0)+1),MATCH(B$1,quests!$1:$1,0)-MATCH($A$1,quests!$1:$1,0)+1,FALSE)</f>
        <v xml:space="preserve">ニムダのおきにいり♪ </v>
      </c>
      <c r="C103" s="47" t="str">
        <f ca="1">VLOOKUP($A103,OFFSET(quests!$A$1,0,0,COUNTA(quests!$A:$A),MATCH(C$1,quests!$1:$1,0)-MATCH($A$1,quests!$1:$1,0)+1),MATCH(C$1,quests!$1:$1,0)-MATCH($A$1,quests!$1:$1,0)+1,FALSE)</f>
        <v>コラボクエスト</v>
      </c>
      <c r="D103" s="47" t="str">
        <f ca="1">VLOOKUP($A103,OFFSET(quests!$A$1,0,0,COUNTA(quests!$A:$A),MATCH(D$1,quests!$1:$1,0)-MATCH($A$1,quests!$1:$1,0)+1),MATCH(D$1,quests!$1:$1,0)-MATCH($A$1,quests!$1:$1,0)+1,FALSE)</f>
        <v>コラボクエスト</v>
      </c>
      <c r="E103" s="47" t="str">
        <f ca="1">VLOOKUP($A103,OFFSET(stages!$C$2,0,0,COUNTA(stages!$C:$C),MATCH("stage_target",stages!$2:$2,0)-MATCH($A$1,stages!$2:$2,0)+1),MATCH("stage_target",stages!$2:$2,0)-MATCH($A$1,stages!$2:$2,0)+1,FALSE)</f>
        <v>everyone</v>
      </c>
      <c r="F103" s="200" t="s">
        <v>382</v>
      </c>
      <c r="G103" s="49" t="str">
        <f>"quest"&amp;A103&amp;".png"</f>
        <v>quest39004.png</v>
      </c>
      <c r="H103" s="13" t="s">
        <v>53</v>
      </c>
      <c r="I103" s="13">
        <v>32767</v>
      </c>
      <c r="J103" s="12">
        <v>2</v>
      </c>
    </row>
    <row r="104" spans="1:10" ht="21" customHeight="1" x14ac:dyDescent="0.15">
      <c r="A104" s="31">
        <v>39006</v>
      </c>
      <c r="B104" s="47" t="str">
        <f ca="1">VLOOKUP($A104,OFFSET(quests!$A$1,0,0,COUNTA(quests!$A:$A),MATCH(B$1,quests!$1:$1,0)-MATCH($A$1,quests!$1:$1,0)+1),MATCH(B$1,quests!$1:$1,0)-MATCH($A$1,quests!$1:$1,0)+1,FALSE)</f>
        <v>シガンシナ区攻防戦</v>
      </c>
      <c r="C104" s="47" t="str">
        <f ca="1">VLOOKUP($A104,OFFSET(quests!$A$1,0,0,COUNTA(quests!$A:$A),MATCH(C$1,quests!$1:$1,0)-MATCH($A$1,quests!$1:$1,0)+1),MATCH(C$1,quests!$1:$1,0)-MATCH($A$1,quests!$1:$1,0)+1,FALSE)</f>
        <v>コラボクエスト</v>
      </c>
      <c r="D104" s="47" t="str">
        <f ca="1">VLOOKUP($A104,OFFSET(quests!$A$1,0,0,COUNTA(quests!$A:$A),MATCH(D$1,quests!$1:$1,0)-MATCH($A$1,quests!$1:$1,0)+1),MATCH(D$1,quests!$1:$1,0)-MATCH($A$1,quests!$1:$1,0)+1,FALSE)</f>
        <v>コラボクエスト</v>
      </c>
      <c r="E104" s="47" t="str">
        <f ca="1">VLOOKUP($A104,OFFSET(stages!$C$2,0,0,COUNTA(stages!$C:$C),MATCH("stage_target",stages!$2:$2,0)-MATCH($A$1,stages!$2:$2,0)+1),MATCH("stage_target",stages!$2:$2,0)-MATCH($A$1,stages!$2:$2,0)+1,FALSE)</f>
        <v>everyone</v>
      </c>
      <c r="F104" s="200" t="s">
        <v>382</v>
      </c>
      <c r="G104" s="49" t="str">
        <f>"quest"&amp;A104&amp;".png"</f>
        <v>quest39006.png</v>
      </c>
      <c r="H104" s="13" t="s">
        <v>53</v>
      </c>
      <c r="I104" s="13">
        <v>32769</v>
      </c>
      <c r="J104" s="12">
        <v>2</v>
      </c>
    </row>
    <row r="105" spans="1:10" ht="21" customHeight="1" x14ac:dyDescent="0.15">
      <c r="A105" s="31">
        <v>39008</v>
      </c>
      <c r="B105" s="47" t="str">
        <f ca="1">VLOOKUP($A105,OFFSET(quests!$A$1,0,0,COUNTA(quests!$A:$A),MATCH(B$1,quests!$1:$1,0)-MATCH($A$1,quests!$1:$1,0)+1),MATCH(B$1,quests!$1:$1,0)-MATCH($A$1,quests!$1:$1,0)+1,FALSE)</f>
        <v>雪の歌姫</v>
      </c>
      <c r="C105" s="47" t="str">
        <f ca="1">VLOOKUP($A105,OFFSET(quests!$A$1,0,0,COUNTA(quests!$A:$A),MATCH(C$1,quests!$1:$1,0)-MATCH($A$1,quests!$1:$1,0)+1),MATCH(C$1,quests!$1:$1,0)-MATCH($A$1,quests!$1:$1,0)+1,FALSE)</f>
        <v>初音ミク コラボクエスト</v>
      </c>
      <c r="D105" s="47" t="str">
        <f ca="1">VLOOKUP($A105,OFFSET(quests!$A$1,0,0,COUNTA(quests!$A:$A),MATCH(D$1,quests!$1:$1,0)-MATCH($A$1,quests!$1:$1,0)+1),MATCH(D$1,quests!$1:$1,0)-MATCH($A$1,quests!$1:$1,0)+1,FALSE)</f>
        <v>復刻コラボクエスト</v>
      </c>
      <c r="E105" s="47" t="str">
        <f ca="1">VLOOKUP($A105,OFFSET(stages!$C$2,0,0,COUNTA(stages!$C:$C),MATCH("stage_target",stages!$2:$2,0)-MATCH($A$1,stages!$2:$2,0)+1),MATCH("stage_target",stages!$2:$2,0)-MATCH($A$1,stages!$2:$2,0)+1,FALSE)</f>
        <v>everyone</v>
      </c>
      <c r="F105" s="200" t="s">
        <v>382</v>
      </c>
      <c r="G105" s="118" t="s">
        <v>2026</v>
      </c>
      <c r="H105" s="13" t="s">
        <v>53</v>
      </c>
      <c r="I105" s="13">
        <v>32770</v>
      </c>
      <c r="J105" s="12">
        <v>2</v>
      </c>
    </row>
    <row r="106" spans="1:10" ht="21" customHeight="1" x14ac:dyDescent="0.15">
      <c r="A106" s="31">
        <v>39009</v>
      </c>
      <c r="B106" s="47" t="str">
        <f ca="1">VLOOKUP($A106,OFFSET(quests!$A$1,0,0,COUNTA(quests!$A:$A),MATCH(B$1,quests!$1:$1,0)-MATCH($A$1,quests!$1:$1,0)+1),MATCH(B$1,quests!$1:$1,0)-MATCH($A$1,quests!$1:$1,0)+1,FALSE)</f>
        <v>星空の歌姫</v>
      </c>
      <c r="C106" s="47" t="str">
        <f ca="1">VLOOKUP($A106,OFFSET(quests!$A$1,0,0,COUNTA(quests!$A:$A),MATCH(C$1,quests!$1:$1,0)-MATCH($A$1,quests!$1:$1,0)+1),MATCH(C$1,quests!$1:$1,0)-MATCH($A$1,quests!$1:$1,0)+1,FALSE)</f>
        <v>初音ミク コラボクエスト</v>
      </c>
      <c r="D106" s="47" t="str">
        <f ca="1">VLOOKUP($A106,OFFSET(quests!$A$1,0,0,COUNTA(quests!$A:$A),MATCH(D$1,quests!$1:$1,0)-MATCH($A$1,quests!$1:$1,0)+1),MATCH(D$1,quests!$1:$1,0)-MATCH($A$1,quests!$1:$1,0)+1,FALSE)</f>
        <v>コラボクエスト</v>
      </c>
      <c r="E106" s="47" t="str">
        <f ca="1">VLOOKUP($A106,OFFSET(stages!$C$2,0,0,COUNTA(stages!$C:$C),MATCH("stage_target",stages!$2:$2,0)-MATCH($A$1,stages!$2:$2,0)+1),MATCH("stage_target",stages!$2:$2,0)-MATCH($A$1,stages!$2:$2,0)+1,FALSE)</f>
        <v>everyone</v>
      </c>
      <c r="F106" s="200" t="s">
        <v>382</v>
      </c>
      <c r="G106" s="49" t="str">
        <f>"quest"&amp;A106&amp;".png"</f>
        <v>quest39009.png</v>
      </c>
      <c r="H106" s="13" t="s">
        <v>53</v>
      </c>
      <c r="I106" s="13">
        <v>32770</v>
      </c>
      <c r="J106" s="12">
        <v>2</v>
      </c>
    </row>
    <row r="107" spans="1:10" ht="21" customHeight="1" x14ac:dyDescent="0.15">
      <c r="A107" s="31">
        <v>39010</v>
      </c>
      <c r="B107" s="47" t="str">
        <f ca="1">VLOOKUP($A107,OFFSET(quests!$A$1,0,0,COUNTA(quests!$A:$A),MATCH(B$1,quests!$1:$1,0)-MATCH($A$1,quests!$1:$1,0)+1),MATCH(B$1,quests!$1:$1,0)-MATCH($A$1,quests!$1:$1,0)+1,FALSE)</f>
        <v>黄巾賊の暴走を止めろ！</v>
      </c>
      <c r="C107" s="47" t="str">
        <f ca="1">VLOOKUP($A107,OFFSET(quests!$A$1,0,0,COUNTA(quests!$A:$A),MATCH(C$1,quests!$1:$1,0)-MATCH($A$1,quests!$1:$1,0)+1),MATCH(C$1,quests!$1:$1,0)-MATCH($A$1,quests!$1:$1,0)+1,FALSE)</f>
        <v>デュラララ!!　コラボクエスト</v>
      </c>
      <c r="D107" s="47" t="str">
        <f ca="1">VLOOKUP($A107,OFFSET(quests!$A$1,0,0,COUNTA(quests!$A:$A),MATCH(D$1,quests!$1:$1,0)-MATCH($A$1,quests!$1:$1,0)+1),MATCH(D$1,quests!$1:$1,0)-MATCH($A$1,quests!$1:$1,0)+1,FALSE)</f>
        <v>コラボクエスト（復刻）</v>
      </c>
      <c r="E107" s="47" t="str">
        <f ca="1">VLOOKUP($A107,OFFSET(stages!$C$2,0,0,COUNTA(stages!$C:$C),MATCH("stage_target",stages!$2:$2,0)-MATCH($A$1,stages!$2:$2,0)+1),MATCH("stage_target",stages!$2:$2,0)-MATCH($A$1,stages!$2:$2,0)+1,FALSE)</f>
        <v>everyone</v>
      </c>
      <c r="F107" s="200" t="s">
        <v>382</v>
      </c>
      <c r="G107" s="118" t="s">
        <v>1155</v>
      </c>
      <c r="H107" s="13" t="s">
        <v>53</v>
      </c>
      <c r="I107" s="13">
        <v>32766</v>
      </c>
      <c r="J107" s="12">
        <v>2</v>
      </c>
    </row>
    <row r="108" spans="1:10" ht="21" customHeight="1" x14ac:dyDescent="0.15">
      <c r="A108" s="31">
        <v>39011</v>
      </c>
      <c r="B108" s="47" t="str">
        <f ca="1">VLOOKUP($A108,OFFSET(quests!$A$1,0,0,COUNTA(quests!$A:$A),MATCH(B$1,quests!$1:$1,0)-MATCH($A$1,quests!$1:$1,0)+1),MATCH(B$1,quests!$1:$1,0)-MATCH($A$1,quests!$1:$1,0)+1,FALSE)</f>
        <v>ブルースクウェアを追え！</v>
      </c>
      <c r="C108" s="47" t="str">
        <f ca="1">VLOOKUP($A108,OFFSET(quests!$A$1,0,0,COUNTA(quests!$A:$A),MATCH(C$1,quests!$1:$1,0)-MATCH($A$1,quests!$1:$1,0)+1),MATCH(C$1,quests!$1:$1,0)-MATCH($A$1,quests!$1:$1,0)+1,FALSE)</f>
        <v>デュラララ!!　コラボクエスト</v>
      </c>
      <c r="D108" s="47" t="str">
        <f ca="1">VLOOKUP($A108,OFFSET(quests!$A$1,0,0,COUNTA(quests!$A:$A),MATCH(D$1,quests!$1:$1,0)-MATCH($A$1,quests!$1:$1,0)+1),MATCH(D$1,quests!$1:$1,0)-MATCH($A$1,quests!$1:$1,0)+1,FALSE)</f>
        <v>コラボクエスト（復刻）</v>
      </c>
      <c r="E108" s="47" t="str">
        <f ca="1">VLOOKUP($A108,OFFSET(stages!$C$2,0,0,COUNTA(stages!$C:$C),MATCH("stage_target",stages!$2:$2,0)-MATCH($A$1,stages!$2:$2,0)+1),MATCH("stage_target",stages!$2:$2,0)-MATCH($A$1,stages!$2:$2,0)+1,FALSE)</f>
        <v>everyone</v>
      </c>
      <c r="F108" s="200" t="s">
        <v>382</v>
      </c>
      <c r="G108" s="118" t="s">
        <v>1956</v>
      </c>
      <c r="H108" s="13" t="s">
        <v>53</v>
      </c>
      <c r="I108" s="13">
        <v>32766</v>
      </c>
      <c r="J108" s="12">
        <v>2</v>
      </c>
    </row>
    <row r="109" spans="1:10" ht="21" customHeight="1" x14ac:dyDescent="0.15">
      <c r="A109" s="31">
        <v>39012</v>
      </c>
      <c r="B109" s="47" t="str">
        <f ca="1">VLOOKUP($A109,OFFSET(quests!$A$1,0,0,COUNTA(quests!$A:$A),MATCH(B$1,quests!$1:$1,0)-MATCH($A$1,quests!$1:$1,0)+1),MATCH(B$1,quests!$1:$1,0)-MATCH($A$1,quests!$1:$1,0)+1,FALSE)</f>
        <v>侵略！？にゃんこ軍団現る！</v>
      </c>
      <c r="C109" s="47" t="str">
        <f ca="1">VLOOKUP($A109,OFFSET(quests!$A$1,0,0,COUNTA(quests!$A:$A),MATCH(C$1,quests!$1:$1,0)-MATCH($A$1,quests!$1:$1,0)+1),MATCH(C$1,quests!$1:$1,0)-MATCH($A$1,quests!$1:$1,0)+1,FALSE)</f>
        <v>にゃんこ大戦争　コラボクエスト</v>
      </c>
      <c r="D109" s="47" t="str">
        <f ca="1">VLOOKUP($A109,OFFSET(quests!$A$1,0,0,COUNTA(quests!$A:$A),MATCH(D$1,quests!$1:$1,0)-MATCH($A$1,quests!$1:$1,0)+1),MATCH(D$1,quests!$1:$1,0)-MATCH($A$1,quests!$1:$1,0)+1,FALSE)</f>
        <v>コラボクエスト</v>
      </c>
      <c r="E109" s="47" t="str">
        <f ca="1">VLOOKUP($A109,OFFSET(stages!$C$2,0,0,COUNTA(stages!$C:$C),MATCH("stage_target",stages!$2:$2,0)-MATCH($A$1,stages!$2:$2,0)+1),MATCH("stage_target",stages!$2:$2,0)-MATCH($A$1,stages!$2:$2,0)+1,FALSE)</f>
        <v>everyone</v>
      </c>
      <c r="F109" s="200" t="s">
        <v>382</v>
      </c>
      <c r="G109" s="49" t="str">
        <f>"quest"&amp;A109&amp;".png"</f>
        <v>quest39012.png</v>
      </c>
      <c r="H109" s="13" t="s">
        <v>53</v>
      </c>
      <c r="I109" s="13">
        <v>32771</v>
      </c>
      <c r="J109" s="12">
        <v>2</v>
      </c>
    </row>
    <row r="110" spans="1:10" ht="21" customHeight="1" x14ac:dyDescent="0.15">
      <c r="A110" s="31">
        <v>39013</v>
      </c>
      <c r="B110" s="47" t="str">
        <f ca="1">VLOOKUP($A110,OFFSET(quests!$A$1,0,0,COUNTA(quests!$A:$A),MATCH(B$1,quests!$1:$1,0)-MATCH($A$1,quests!$1:$1,0)+1),MATCH(B$1,quests!$1:$1,0)-MATCH($A$1,quests!$1:$1,0)+1,FALSE)</f>
        <v>兄左</v>
      </c>
      <c r="C110" s="47" t="str">
        <f ca="1">VLOOKUP($A110,OFFSET(quests!$A$1,0,0,COUNTA(quests!$A:$A),MATCH(C$1,quests!$1:$1,0)-MATCH($A$1,quests!$1:$1,0)+1),MATCH(C$1,quests!$1:$1,0)-MATCH($A$1,quests!$1:$1,0)+1,FALSE)</f>
        <v>コラボクエスト</v>
      </c>
      <c r="D110" s="47" t="str">
        <f ca="1">VLOOKUP($A110,OFFSET(quests!$A$1,0,0,COUNTA(quests!$A:$A),MATCH(D$1,quests!$1:$1,0)-MATCH($A$1,quests!$1:$1,0)+1),MATCH(D$1,quests!$1:$1,0)-MATCH($A$1,quests!$1:$1,0)+1,FALSE)</f>
        <v>コラボクエスト</v>
      </c>
      <c r="E110" s="47" t="str">
        <f ca="1">VLOOKUP($A110,OFFSET(stages!$C$2,0,0,COUNTA(stages!$C:$C),MATCH("stage_target",stages!$2:$2,0)-MATCH($A$1,stages!$2:$2,0)+1),MATCH("stage_target",stages!$2:$2,0)-MATCH($A$1,stages!$2:$2,0)+1,FALSE)</f>
        <v>everyone</v>
      </c>
      <c r="F110" s="200" t="s">
        <v>382</v>
      </c>
      <c r="G110" s="49" t="str">
        <f>"quest"&amp;A110&amp;".png"</f>
        <v>quest39013.png</v>
      </c>
      <c r="H110" s="13" t="s">
        <v>53</v>
      </c>
      <c r="I110" s="13">
        <v>32772</v>
      </c>
      <c r="J110" s="12">
        <v>2</v>
      </c>
    </row>
    <row r="111" spans="1:10" ht="21" customHeight="1" x14ac:dyDescent="0.15">
      <c r="A111" s="31">
        <v>39014</v>
      </c>
      <c r="B111" s="47" t="str">
        <f ca="1">VLOOKUP($A111,OFFSET(quests!$A$1,0,0,COUNTA(quests!$A:$A),MATCH(B$1,quests!$1:$1,0)-MATCH($A$1,quests!$1:$1,0)+1),MATCH(B$1,quests!$1:$1,0)-MATCH($A$1,quests!$1:$1,0)+1,FALSE)</f>
        <v>金券</v>
      </c>
      <c r="C111" s="47" t="str">
        <f ca="1">VLOOKUP($A111,OFFSET(quests!$A$1,0,0,COUNTA(quests!$A:$A),MATCH(C$1,quests!$1:$1,0)-MATCH($A$1,quests!$1:$1,0)+1),MATCH(C$1,quests!$1:$1,0)-MATCH($A$1,quests!$1:$1,0)+1,FALSE)</f>
        <v>コラボクエスト</v>
      </c>
      <c r="D111" s="47" t="str">
        <f ca="1">VLOOKUP($A111,OFFSET(quests!$A$1,0,0,COUNTA(quests!$A:$A),MATCH(D$1,quests!$1:$1,0)-MATCH($A$1,quests!$1:$1,0)+1),MATCH(D$1,quests!$1:$1,0)-MATCH($A$1,quests!$1:$1,0)+1,FALSE)</f>
        <v>コラボクエスト</v>
      </c>
      <c r="E111" s="47" t="str">
        <f ca="1">VLOOKUP($A111,OFFSET(stages!$C$2,0,0,COUNTA(stages!$C:$C),MATCH("stage_target",stages!$2:$2,0)-MATCH($A$1,stages!$2:$2,0)+1),MATCH("stage_target",stages!$2:$2,0)-MATCH($A$1,stages!$2:$2,0)+1,FALSE)</f>
        <v>everyone</v>
      </c>
      <c r="F111" s="200" t="s">
        <v>382</v>
      </c>
      <c r="G111" s="49" t="str">
        <f>"quest"&amp;A111&amp;".png"</f>
        <v>quest39014.png</v>
      </c>
      <c r="H111" s="13" t="s">
        <v>53</v>
      </c>
      <c r="I111" s="13">
        <v>32773</v>
      </c>
      <c r="J111" s="12">
        <v>2</v>
      </c>
    </row>
    <row r="112" spans="1:10" ht="21" customHeight="1" x14ac:dyDescent="0.15">
      <c r="A112" s="31">
        <v>40001</v>
      </c>
      <c r="B112" s="47" t="str">
        <f ca="1">VLOOKUP($A112,OFFSET(quests!$A$1,0,0,COUNTA(quests!$A:$A),MATCH(B$1,quests!$1:$1,0)-MATCH($A$1,quests!$1:$1,0)+1),MATCH(B$1,quests!$1:$1,0)-MATCH($A$1,quests!$1:$1,0)+1,FALSE)</f>
        <v>アマテラス襲来！</v>
      </c>
      <c r="C112" s="47" t="str">
        <f ca="1">VLOOKUP($A112,OFFSET(quests!$A$1,0,0,COUNTA(quests!$A:$A),MATCH(C$1,quests!$1:$1,0)-MATCH($A$1,quests!$1:$1,0)+1),MATCH(C$1,quests!$1:$1,0)-MATCH($A$1,quests!$1:$1,0)+1,FALSE)</f>
        <v>襲来クエスト</v>
      </c>
      <c r="D112" s="47" t="str">
        <f ca="1">VLOOKUP($A112,OFFSET(quests!$A$1,0,0,COUNTA(quests!$A:$A),MATCH(D$1,quests!$1:$1,0)-MATCH($A$1,quests!$1:$1,0)+1),MATCH(D$1,quests!$1:$1,0)-MATCH($A$1,quests!$1:$1,0)+1,FALSE)</f>
        <v>降臨1</v>
      </c>
      <c r="E112" s="47" t="str">
        <f ca="1">VLOOKUP($A112,OFFSET(stages!$C$2,0,0,COUNTA(stages!$C:$C),MATCH("stage_target",stages!$2:$2,0)-MATCH($A$1,stages!$2:$2,0)+1),MATCH("stage_target",stages!$2:$2,0)-MATCH($A$1,stages!$2:$2,0)+1,FALSE)</f>
        <v>everyone</v>
      </c>
      <c r="F112" s="200" t="s">
        <v>1036</v>
      </c>
      <c r="G112" s="33" t="s">
        <v>620</v>
      </c>
      <c r="H112" s="13" t="s">
        <v>65</v>
      </c>
      <c r="I112" s="12">
        <v>4001</v>
      </c>
      <c r="J112" s="12">
        <v>1</v>
      </c>
    </row>
    <row r="113" spans="1:10" ht="21" customHeight="1" x14ac:dyDescent="0.15">
      <c r="A113" s="31">
        <v>40002</v>
      </c>
      <c r="B113" s="47" t="str">
        <f ca="1">VLOOKUP($A113,OFFSET(quests!$A$1,0,0,COUNTA(quests!$A:$A),MATCH(B$1,quests!$1:$1,0)-MATCH($A$1,quests!$1:$1,0)+1),MATCH(B$1,quests!$1:$1,0)-MATCH($A$1,quests!$1:$1,0)+1,FALSE)</f>
        <v>アザゼル襲来！</v>
      </c>
      <c r="C113" s="47" t="str">
        <f ca="1">VLOOKUP($A113,OFFSET(quests!$A$1,0,0,COUNTA(quests!$A:$A),MATCH(C$1,quests!$1:$1,0)-MATCH($A$1,quests!$1:$1,0)+1),MATCH(C$1,quests!$1:$1,0)-MATCH($A$1,quests!$1:$1,0)+1,FALSE)</f>
        <v>襲来クエスト</v>
      </c>
      <c r="D113" s="47" t="str">
        <f ca="1">VLOOKUP($A113,OFFSET(quests!$A$1,0,0,COUNTA(quests!$A:$A),MATCH(D$1,quests!$1:$1,0)-MATCH($A$1,quests!$1:$1,0)+1),MATCH(D$1,quests!$1:$1,0)-MATCH($A$1,quests!$1:$1,0)+1,FALSE)</f>
        <v>降臨2</v>
      </c>
      <c r="E113" s="47" t="str">
        <f ca="1">VLOOKUP($A113,OFFSET(stages!$C$2,0,0,COUNTA(stages!$C:$C),MATCH("stage_target",stages!$2:$2,0)-MATCH($A$1,stages!$2:$2,0)+1),MATCH("stage_target",stages!$2:$2,0)-MATCH($A$1,stages!$2:$2,0)+1,FALSE)</f>
        <v>everyone</v>
      </c>
      <c r="F113" s="200" t="s">
        <v>1036</v>
      </c>
      <c r="G113" s="33" t="s">
        <v>621</v>
      </c>
      <c r="H113" s="13" t="s">
        <v>65</v>
      </c>
      <c r="I113" s="12">
        <v>4002</v>
      </c>
      <c r="J113" s="12">
        <v>1</v>
      </c>
    </row>
    <row r="114" spans="1:10" ht="21" customHeight="1" x14ac:dyDescent="0.15">
      <c r="A114" s="31">
        <v>40003</v>
      </c>
      <c r="B114" s="47" t="str">
        <f ca="1">VLOOKUP($A114,OFFSET(quests!$A$1,0,0,COUNTA(quests!$A:$A),MATCH(B$1,quests!$1:$1,0)-MATCH($A$1,quests!$1:$1,0)+1),MATCH(B$1,quests!$1:$1,0)-MATCH($A$1,quests!$1:$1,0)+1,FALSE)</f>
        <v>ジャンヌ襲来！</v>
      </c>
      <c r="C114" s="47" t="str">
        <f ca="1">VLOOKUP($A114,OFFSET(quests!$A$1,0,0,COUNTA(quests!$A:$A),MATCH(C$1,quests!$1:$1,0)-MATCH($A$1,quests!$1:$1,0)+1),MATCH(C$1,quests!$1:$1,0)-MATCH($A$1,quests!$1:$1,0)+1,FALSE)</f>
        <v>コンテニューは1回のみ！</v>
      </c>
      <c r="D114" s="47" t="str">
        <f ca="1">VLOOKUP($A114,OFFSET(quests!$A$1,0,0,COUNTA(quests!$A:$A),MATCH(D$1,quests!$1:$1,0)-MATCH($A$1,quests!$1:$1,0)+1),MATCH(D$1,quests!$1:$1,0)-MATCH($A$1,quests!$1:$1,0)+1,FALSE)</f>
        <v>降臨3</v>
      </c>
      <c r="E114" s="47" t="str">
        <f ca="1">VLOOKUP($A114,OFFSET(stages!$C$2,0,0,COUNTA(stages!$C:$C),MATCH("stage_target",stages!$2:$2,0)-MATCH($A$1,stages!$2:$2,0)+1),MATCH("stage_target",stages!$2:$2,0)-MATCH($A$1,stages!$2:$2,0)+1,FALSE)</f>
        <v>everyone</v>
      </c>
      <c r="F114" s="200" t="s">
        <v>1036</v>
      </c>
      <c r="G114" s="33" t="s">
        <v>802</v>
      </c>
      <c r="H114" s="13" t="s">
        <v>65</v>
      </c>
      <c r="I114" s="12">
        <v>4003</v>
      </c>
      <c r="J114" s="12">
        <v>1</v>
      </c>
    </row>
    <row r="115" spans="1:10" ht="21" customHeight="1" x14ac:dyDescent="0.15">
      <c r="A115" s="31">
        <v>40004</v>
      </c>
      <c r="B115" s="47" t="str">
        <f ca="1">VLOOKUP($A115,OFFSET(quests!$A$1,0,0,COUNTA(quests!$A:$A),MATCH(B$1,quests!$1:$1,0)-MATCH($A$1,quests!$1:$1,0)+1),MATCH(B$1,quests!$1:$1,0)-MATCH($A$1,quests!$1:$1,0)+1,FALSE)</f>
        <v>宮本武蔵襲来！</v>
      </c>
      <c r="C115" s="47" t="str">
        <f ca="1">VLOOKUP($A115,OFFSET(quests!$A$1,0,0,COUNTA(quests!$A:$A),MATCH(C$1,quests!$1:$1,0)-MATCH($A$1,quests!$1:$1,0)+1),MATCH(C$1,quests!$1:$1,0)-MATCH($A$1,quests!$1:$1,0)+1,FALSE)</f>
        <v>コンテニューは1回のみ！</v>
      </c>
      <c r="D115" s="47" t="str">
        <f ca="1">VLOOKUP($A115,OFFSET(quests!$A$1,0,0,COUNTA(quests!$A:$A),MATCH(D$1,quests!$1:$1,0)-MATCH($A$1,quests!$1:$1,0)+1),MATCH(D$1,quests!$1:$1,0)-MATCH($A$1,quests!$1:$1,0)+1,FALSE)</f>
        <v>降臨4</v>
      </c>
      <c r="E115" s="47" t="str">
        <f ca="1">VLOOKUP($A115,OFFSET(stages!$C$2,0,0,COUNTA(stages!$C:$C),MATCH("stage_target",stages!$2:$2,0)-MATCH($A$1,stages!$2:$2,0)+1),MATCH("stage_target",stages!$2:$2,0)-MATCH($A$1,stages!$2:$2,0)+1,FALSE)</f>
        <v>everyone</v>
      </c>
      <c r="F115" s="200" t="s">
        <v>1036</v>
      </c>
      <c r="G115" s="49" t="str">
        <f t="shared" ref="G115" si="40">"quest"&amp;A115&amp;".png"</f>
        <v>quest40004.png</v>
      </c>
      <c r="H115" s="13" t="s">
        <v>53</v>
      </c>
      <c r="I115" s="12">
        <v>4004</v>
      </c>
      <c r="J115" s="12">
        <v>1</v>
      </c>
    </row>
    <row r="116" spans="1:10" ht="21" customHeight="1" x14ac:dyDescent="0.15">
      <c r="A116" s="31">
        <v>40005</v>
      </c>
      <c r="B116" s="47" t="str">
        <f ca="1">VLOOKUP($A116,OFFSET(quests!$A$1,0,0,COUNTA(quests!$A:$A),MATCH(B$1,quests!$1:$1,0)-MATCH($A$1,quests!$1:$1,0)+1),MATCH(B$1,quests!$1:$1,0)-MATCH($A$1,quests!$1:$1,0)+1,FALSE)</f>
        <v>オズ襲来！</v>
      </c>
      <c r="C116" s="47" t="str">
        <f ca="1">VLOOKUP($A116,OFFSET(quests!$A$1,0,0,COUNTA(quests!$A:$A),MATCH(C$1,quests!$1:$1,0)-MATCH($A$1,quests!$1:$1,0)+1),MATCH(C$1,quests!$1:$1,0)-MATCH($A$1,quests!$1:$1,0)+1,FALSE)</f>
        <v>コンテニューは1回のみ！</v>
      </c>
      <c r="D116" s="47" t="str">
        <f ca="1">VLOOKUP($A116,OFFSET(quests!$A$1,0,0,COUNTA(quests!$A:$A),MATCH(D$1,quests!$1:$1,0)-MATCH($A$1,quests!$1:$1,0)+1),MATCH(D$1,quests!$1:$1,0)-MATCH($A$1,quests!$1:$1,0)+1,FALSE)</f>
        <v>降臨5</v>
      </c>
      <c r="E116" s="47" t="str">
        <f ca="1">VLOOKUP($A116,OFFSET(stages!$C$2,0,0,COUNTA(stages!$C:$C),MATCH("stage_target",stages!$2:$2,0)-MATCH($A$1,stages!$2:$2,0)+1),MATCH("stage_target",stages!$2:$2,0)-MATCH($A$1,stages!$2:$2,0)+1,FALSE)</f>
        <v>everyone</v>
      </c>
      <c r="F116" s="200" t="s">
        <v>1036</v>
      </c>
      <c r="G116" s="49" t="str">
        <f t="shared" ref="G116" si="41">"quest"&amp;A116&amp;".png"</f>
        <v>quest40005.png</v>
      </c>
      <c r="H116" s="13" t="s">
        <v>53</v>
      </c>
      <c r="I116" s="12">
        <v>4005</v>
      </c>
      <c r="J116" s="12">
        <v>1</v>
      </c>
    </row>
    <row r="117" spans="1:10" ht="21" customHeight="1" x14ac:dyDescent="0.15">
      <c r="A117" s="31">
        <v>40006</v>
      </c>
      <c r="B117" s="47" t="str">
        <f ca="1">VLOOKUP($A117,OFFSET(quests!$A$1,0,0,COUNTA(quests!$A:$A),MATCH(B$1,quests!$1:$1,0)-MATCH($A$1,quests!$1:$1,0)+1),MATCH(B$1,quests!$1:$1,0)-MATCH($A$1,quests!$1:$1,0)+1,FALSE)</f>
        <v>アーサー襲来！</v>
      </c>
      <c r="C117" s="47" t="str">
        <f ca="1">VLOOKUP($A117,OFFSET(quests!$A$1,0,0,COUNTA(quests!$A:$A),MATCH(C$1,quests!$1:$1,0)-MATCH($A$1,quests!$1:$1,0)+1),MATCH(C$1,quests!$1:$1,0)-MATCH($A$1,quests!$1:$1,0)+1,FALSE)</f>
        <v>コンテニューは1回のみ！</v>
      </c>
      <c r="D117" s="47" t="str">
        <f ca="1">VLOOKUP($A117,OFFSET(quests!$A$1,0,0,COUNTA(quests!$A:$A),MATCH(D$1,quests!$1:$1,0)-MATCH($A$1,quests!$1:$1,0)+1),MATCH(D$1,quests!$1:$1,0)-MATCH($A$1,quests!$1:$1,0)+1,FALSE)</f>
        <v>降臨6</v>
      </c>
      <c r="E117" s="47" t="str">
        <f ca="1">VLOOKUP($A117,OFFSET(stages!$C$2,0,0,COUNTA(stages!$C:$C),MATCH("stage_target",stages!$2:$2,0)-MATCH($A$1,stages!$2:$2,0)+1),MATCH("stage_target",stages!$2:$2,0)-MATCH($A$1,stages!$2:$2,0)+1,FALSE)</f>
        <v>everyone</v>
      </c>
      <c r="F117" s="200" t="s">
        <v>1036</v>
      </c>
      <c r="G117" s="49" t="str">
        <f t="shared" ref="G117" si="42">"quest"&amp;A117&amp;".png"</f>
        <v>quest40006.png</v>
      </c>
      <c r="H117" s="13" t="s">
        <v>53</v>
      </c>
      <c r="I117" s="12">
        <v>4006</v>
      </c>
      <c r="J117" s="12">
        <v>1</v>
      </c>
    </row>
    <row r="118" spans="1:10" ht="21" customHeight="1" x14ac:dyDescent="0.15">
      <c r="A118" s="31">
        <v>40007</v>
      </c>
      <c r="B118" s="47" t="str">
        <f ca="1">VLOOKUP($A118,OFFSET(quests!$A$1,0,0,COUNTA(quests!$A:$A),MATCH(B$1,quests!$1:$1,0)-MATCH($A$1,quests!$1:$1,0)+1),MATCH(B$1,quests!$1:$1,0)-MATCH($A$1,quests!$1:$1,0)+1,FALSE)</f>
        <v>グリム襲来！</v>
      </c>
      <c r="C118" s="47" t="str">
        <f ca="1">VLOOKUP($A118,OFFSET(quests!$A$1,0,0,COUNTA(quests!$A:$A),MATCH(C$1,quests!$1:$1,0)-MATCH($A$1,quests!$1:$1,0)+1),MATCH(C$1,quests!$1:$1,0)-MATCH($A$1,quests!$1:$1,0)+1,FALSE)</f>
        <v>コンテニューは1回のみ！</v>
      </c>
      <c r="D118" s="47" t="str">
        <f ca="1">VLOOKUP($A118,OFFSET(quests!$A$1,0,0,COUNTA(quests!$A:$A),MATCH(D$1,quests!$1:$1,0)-MATCH($A$1,quests!$1:$1,0)+1),MATCH(D$1,quests!$1:$1,0)-MATCH($A$1,quests!$1:$1,0)+1,FALSE)</f>
        <v>降臨7</v>
      </c>
      <c r="E118" s="47" t="str">
        <f ca="1">VLOOKUP($A118,OFFSET(stages!$C$2,0,0,COUNTA(stages!$C:$C),MATCH("stage_target",stages!$2:$2,0)-MATCH($A$1,stages!$2:$2,0)+1),MATCH("stage_target",stages!$2:$2,0)-MATCH($A$1,stages!$2:$2,0)+1,FALSE)</f>
        <v>everyone</v>
      </c>
      <c r="F118" s="200" t="s">
        <v>1036</v>
      </c>
      <c r="G118" s="49" t="str">
        <f t="shared" ref="G118" si="43">"quest"&amp;A118&amp;".png"</f>
        <v>quest40007.png</v>
      </c>
      <c r="H118" s="13" t="s">
        <v>53</v>
      </c>
      <c r="I118" s="12">
        <v>4007</v>
      </c>
      <c r="J118" s="12">
        <v>1</v>
      </c>
    </row>
    <row r="119" spans="1:10" ht="21" customHeight="1" x14ac:dyDescent="0.15">
      <c r="A119" s="31">
        <v>40008</v>
      </c>
      <c r="B119" s="47" t="str">
        <f ca="1">VLOOKUP($A119,OFFSET(quests!$A$1,0,0,COUNTA(quests!$A:$A),MATCH(B$1,quests!$1:$1,0)-MATCH($A$1,quests!$1:$1,0)+1),MATCH(B$1,quests!$1:$1,0)-MATCH($A$1,quests!$1:$1,0)+1,FALSE)</f>
        <v>Gスター襲来！</v>
      </c>
      <c r="C119" s="47" t="str">
        <f ca="1">VLOOKUP($A119,OFFSET(quests!$A$1,0,0,COUNTA(quests!$A:$A),MATCH(C$1,quests!$1:$1,0)-MATCH($A$1,quests!$1:$1,0)+1),MATCH(C$1,quests!$1:$1,0)-MATCH($A$1,quests!$1:$1,0)+1,FALSE)</f>
        <v>コンテニューは1回のみ！</v>
      </c>
      <c r="D119" s="47" t="str">
        <f ca="1">VLOOKUP($A119,OFFSET(quests!$A$1,0,0,COUNTA(quests!$A:$A),MATCH(D$1,quests!$1:$1,0)-MATCH($A$1,quests!$1:$1,0)+1),MATCH(D$1,quests!$1:$1,0)-MATCH($A$1,quests!$1:$1,0)+1,FALSE)</f>
        <v>降臨8</v>
      </c>
      <c r="E119" s="47" t="str">
        <f ca="1">VLOOKUP($A119,OFFSET(stages!$C$2,0,0,COUNTA(stages!$C:$C),MATCH("stage_target",stages!$2:$2,0)-MATCH($A$1,stages!$2:$2,0)+1),MATCH("stage_target",stages!$2:$2,0)-MATCH($A$1,stages!$2:$2,0)+1,FALSE)</f>
        <v>everyone</v>
      </c>
      <c r="F119" s="200" t="s">
        <v>1036</v>
      </c>
      <c r="G119" s="49" t="str">
        <f t="shared" ref="G119" si="44">"quest"&amp;A119&amp;".png"</f>
        <v>quest40008.png</v>
      </c>
      <c r="H119" s="13" t="s">
        <v>53</v>
      </c>
      <c r="I119" s="12">
        <v>4008</v>
      </c>
      <c r="J119" s="12">
        <v>1</v>
      </c>
    </row>
    <row r="120" spans="1:10" ht="21" customHeight="1" x14ac:dyDescent="0.15">
      <c r="A120" s="31">
        <v>40009</v>
      </c>
      <c r="B120" s="47" t="str">
        <f ca="1">VLOOKUP($A120,OFFSET(quests!$A$1,0,0,COUNTA(quests!$A:$A),MATCH(B$1,quests!$1:$1,0)-MATCH($A$1,quests!$1:$1,0)+1),MATCH(B$1,quests!$1:$1,0)-MATCH($A$1,quests!$1:$1,0)+1,FALSE)</f>
        <v>フギンとムニン襲来！</v>
      </c>
      <c r="C120" s="47" t="str">
        <f ca="1">VLOOKUP($A120,OFFSET(quests!$A$1,0,0,COUNTA(quests!$A:$A),MATCH(C$1,quests!$1:$1,0)-MATCH($A$1,quests!$1:$1,0)+1),MATCH(C$1,quests!$1:$1,0)-MATCH($A$1,quests!$1:$1,0)+1,FALSE)</f>
        <v>コンテニューは1回のみ！</v>
      </c>
      <c r="D120" s="47" t="str">
        <f ca="1">VLOOKUP($A120,OFFSET(quests!$A$1,0,0,COUNTA(quests!$A:$A),MATCH(D$1,quests!$1:$1,0)-MATCH($A$1,quests!$1:$1,0)+1),MATCH(D$1,quests!$1:$1,0)-MATCH($A$1,quests!$1:$1,0)+1,FALSE)</f>
        <v>降臨9</v>
      </c>
      <c r="E120" s="47" t="str">
        <f ca="1">VLOOKUP($A120,OFFSET(stages!$C$2,0,0,COUNTA(stages!$C:$C),MATCH("stage_target",stages!$2:$2,0)-MATCH($A$1,stages!$2:$2,0)+1),MATCH("stage_target",stages!$2:$2,0)-MATCH($A$1,stages!$2:$2,0)+1,FALSE)</f>
        <v>everyone</v>
      </c>
      <c r="F120" s="200" t="s">
        <v>1036</v>
      </c>
      <c r="G120" s="49" t="str">
        <f t="shared" ref="G120" si="45">"quest"&amp;A120&amp;".png"</f>
        <v>quest40009.png</v>
      </c>
      <c r="H120" s="13" t="s">
        <v>53</v>
      </c>
      <c r="I120" s="12">
        <v>4009</v>
      </c>
      <c r="J120" s="12">
        <v>1</v>
      </c>
    </row>
    <row r="121" spans="1:10" ht="21" customHeight="1" x14ac:dyDescent="0.15">
      <c r="A121" s="31">
        <v>40010</v>
      </c>
      <c r="B121" s="47" t="str">
        <f ca="1">VLOOKUP($A121,OFFSET(quests!$A$1,0,0,COUNTA(quests!$A:$A),MATCH(B$1,quests!$1:$1,0)-MATCH($A$1,quests!$1:$1,0)+1),MATCH(B$1,quests!$1:$1,0)-MATCH($A$1,quests!$1:$1,0)+1,FALSE)</f>
        <v>フレイ襲来！</v>
      </c>
      <c r="C121" s="47" t="str">
        <f ca="1">VLOOKUP($A121,OFFSET(quests!$A$1,0,0,COUNTA(quests!$A:$A),MATCH(C$1,quests!$1:$1,0)-MATCH($A$1,quests!$1:$1,0)+1),MATCH(C$1,quests!$1:$1,0)-MATCH($A$1,quests!$1:$1,0)+1,FALSE)</f>
        <v>コンテニューは1回のみ！</v>
      </c>
      <c r="D121" s="47" t="str">
        <f ca="1">VLOOKUP($A121,OFFSET(quests!$A$1,0,0,COUNTA(quests!$A:$A),MATCH(D$1,quests!$1:$1,0)-MATCH($A$1,quests!$1:$1,0)+1),MATCH(D$1,quests!$1:$1,0)-MATCH($A$1,quests!$1:$1,0)+1,FALSE)</f>
        <v>降臨10</v>
      </c>
      <c r="E121" s="47" t="str">
        <f ca="1">VLOOKUP($A121,OFFSET(stages!$C$2,0,0,COUNTA(stages!$C:$C),MATCH("stage_target",stages!$2:$2,0)-MATCH($A$1,stages!$2:$2,0)+1),MATCH("stage_target",stages!$2:$2,0)-MATCH($A$1,stages!$2:$2,0)+1,FALSE)</f>
        <v>everyone</v>
      </c>
      <c r="F121" s="200" t="s">
        <v>1036</v>
      </c>
      <c r="G121" s="49" t="str">
        <f t="shared" ref="G121:G123" si="46">"quest"&amp;A121&amp;".png"</f>
        <v>quest40010.png</v>
      </c>
      <c r="H121" s="13" t="s">
        <v>53</v>
      </c>
      <c r="I121" s="12">
        <v>4010</v>
      </c>
      <c r="J121" s="12">
        <v>1</v>
      </c>
    </row>
    <row r="122" spans="1:10" ht="21" customHeight="1" x14ac:dyDescent="0.15">
      <c r="A122" s="31">
        <v>40011</v>
      </c>
      <c r="B122" s="47" t="str">
        <f ca="1">VLOOKUP($A122,OFFSET(quests!$A$1,0,0,COUNTA(quests!$A:$A),MATCH(B$1,quests!$1:$1,0)-MATCH($A$1,quests!$1:$1,0)+1),MATCH(B$1,quests!$1:$1,0)-MATCH($A$1,quests!$1:$1,0)+1,FALSE)</f>
        <v>ヨミ襲来！</v>
      </c>
      <c r="C122" s="47" t="str">
        <f ca="1">VLOOKUP($A122,OFFSET(quests!$A$1,0,0,COUNTA(quests!$A:$A),MATCH(C$1,quests!$1:$1,0)-MATCH($A$1,quests!$1:$1,0)+1),MATCH(C$1,quests!$1:$1,0)-MATCH($A$1,quests!$1:$1,0)+1,FALSE)</f>
        <v>コンテニューは1回のみ！</v>
      </c>
      <c r="D122" s="47" t="str">
        <f ca="1">VLOOKUP($A122,OFFSET(quests!$A$1,0,0,COUNTA(quests!$A:$A),MATCH(D$1,quests!$1:$1,0)-MATCH($A$1,quests!$1:$1,0)+1),MATCH(D$1,quests!$1:$1,0)-MATCH($A$1,quests!$1:$1,0)+1,FALSE)</f>
        <v>降臨11</v>
      </c>
      <c r="E122" s="47" t="str">
        <f ca="1">VLOOKUP($A122,OFFSET(stages!$C$2,0,0,COUNTA(stages!$C:$C),MATCH("stage_target",stages!$2:$2,0)-MATCH($A$1,stages!$2:$2,0)+1),MATCH("stage_target",stages!$2:$2,0)-MATCH($A$1,stages!$2:$2,0)+1,FALSE)</f>
        <v>everyone</v>
      </c>
      <c r="F122" s="200" t="s">
        <v>1036</v>
      </c>
      <c r="G122" s="49" t="str">
        <f t="shared" si="46"/>
        <v>quest40011.png</v>
      </c>
      <c r="H122" s="13" t="s">
        <v>53</v>
      </c>
      <c r="I122" s="12">
        <v>4011</v>
      </c>
      <c r="J122" s="12">
        <v>1</v>
      </c>
    </row>
    <row r="123" spans="1:10" ht="21" customHeight="1" x14ac:dyDescent="0.15">
      <c r="A123" s="31">
        <v>40012</v>
      </c>
      <c r="B123" s="47" t="str">
        <f ca="1">VLOOKUP($A123,OFFSET(quests!$A$1,0,0,COUNTA(quests!$A:$A),MATCH(B$1,quests!$1:$1,0)-MATCH($A$1,quests!$1:$1,0)+1),MATCH(B$1,quests!$1:$1,0)-MATCH($A$1,quests!$1:$1,0)+1,FALSE)</f>
        <v>ショウキ襲来！</v>
      </c>
      <c r="C123" s="47" t="str">
        <f ca="1">VLOOKUP($A123,OFFSET(quests!$A$1,0,0,COUNTA(quests!$A:$A),MATCH(C$1,quests!$1:$1,0)-MATCH($A$1,quests!$1:$1,0)+1),MATCH(C$1,quests!$1:$1,0)-MATCH($A$1,quests!$1:$1,0)+1,FALSE)</f>
        <v>コンテニューは1回のみ！</v>
      </c>
      <c r="D123" s="47" t="str">
        <f ca="1">VLOOKUP($A123,OFFSET(quests!$A$1,0,0,COUNTA(quests!$A:$A),MATCH(D$1,quests!$1:$1,0)-MATCH($A$1,quests!$1:$1,0)+1),MATCH(D$1,quests!$1:$1,0)-MATCH($A$1,quests!$1:$1,0)+1,FALSE)</f>
        <v>降臨12</v>
      </c>
      <c r="E123" s="47" t="str">
        <f ca="1">VLOOKUP($A123,OFFSET(stages!$C$2,0,0,COUNTA(stages!$C:$C),MATCH("stage_target",stages!$2:$2,0)-MATCH($A$1,stages!$2:$2,0)+1),MATCH("stage_target",stages!$2:$2,0)-MATCH($A$1,stages!$2:$2,0)+1,FALSE)</f>
        <v>everyone</v>
      </c>
      <c r="F123" s="200" t="s">
        <v>1036</v>
      </c>
      <c r="G123" s="49" t="str">
        <f t="shared" si="46"/>
        <v>quest40012.png</v>
      </c>
      <c r="H123" s="13" t="s">
        <v>53</v>
      </c>
      <c r="I123" s="12">
        <v>4012</v>
      </c>
      <c r="J123" s="12">
        <v>1</v>
      </c>
    </row>
    <row r="124" spans="1:10" ht="21" customHeight="1" x14ac:dyDescent="0.15">
      <c r="A124" s="31">
        <v>40013</v>
      </c>
      <c r="B124" s="47" t="str">
        <f ca="1">VLOOKUP($A124,OFFSET(quests!$A$1,0,0,COUNTA(quests!$A:$A),MATCH(B$1,quests!$1:$1,0)-MATCH($A$1,quests!$1:$1,0)+1),MATCH(B$1,quests!$1:$1,0)-MATCH($A$1,quests!$1:$1,0)+1,FALSE)</f>
        <v>カーマ襲来！</v>
      </c>
      <c r="C124" s="47" t="str">
        <f ca="1">VLOOKUP($A124,OFFSET(quests!$A$1,0,0,COUNTA(quests!$A:$A),MATCH(C$1,quests!$1:$1,0)-MATCH($A$1,quests!$1:$1,0)+1),MATCH(C$1,quests!$1:$1,0)-MATCH($A$1,quests!$1:$1,0)+1,FALSE)</f>
        <v>コンテニューは1回のみ！</v>
      </c>
      <c r="D124" s="47" t="str">
        <f ca="1">VLOOKUP($A124,OFFSET(quests!$A$1,0,0,COUNTA(quests!$A:$A),MATCH(D$1,quests!$1:$1,0)-MATCH($A$1,quests!$1:$1,0)+1),MATCH(D$1,quests!$1:$1,0)-MATCH($A$1,quests!$1:$1,0)+1,FALSE)</f>
        <v>降臨13</v>
      </c>
      <c r="E124" s="47" t="str">
        <f ca="1">VLOOKUP($A124,OFFSET(stages!$C$2,0,0,COUNTA(stages!$C:$C),MATCH("stage_target",stages!$2:$2,0)-MATCH($A$1,stages!$2:$2,0)+1),MATCH("stage_target",stages!$2:$2,0)-MATCH($A$1,stages!$2:$2,0)+1,FALSE)</f>
        <v>everyone</v>
      </c>
      <c r="F124" s="200" t="s">
        <v>1036</v>
      </c>
      <c r="G124" s="49" t="str">
        <f t="shared" ref="G124" si="47">"quest"&amp;A124&amp;".png"</f>
        <v>quest40013.png</v>
      </c>
      <c r="H124" s="13" t="s">
        <v>53</v>
      </c>
      <c r="I124" s="12">
        <v>4013</v>
      </c>
      <c r="J124" s="12">
        <v>1</v>
      </c>
    </row>
    <row r="125" spans="1:10" ht="23" customHeight="1" x14ac:dyDescent="0.15">
      <c r="A125" s="31">
        <v>40014</v>
      </c>
      <c r="B125" s="47" t="str">
        <f ca="1">VLOOKUP($A125,OFFSET(quests!$A$1,0,0,COUNTA(quests!$A:$A),MATCH(B$1,quests!$1:$1,0)-MATCH($A$1,quests!$1:$1,0)+1),MATCH(B$1,quests!$1:$1,0)-MATCH($A$1,quests!$1:$1,0)+1,FALSE)</f>
        <v>シヴァ襲来！</v>
      </c>
      <c r="C125" s="47" t="str">
        <f ca="1">VLOOKUP($A125,OFFSET(quests!$A$1,0,0,COUNTA(quests!$A:$A),MATCH(C$1,quests!$1:$1,0)-MATCH($A$1,quests!$1:$1,0)+1),MATCH(C$1,quests!$1:$1,0)-MATCH($A$1,quests!$1:$1,0)+1,FALSE)</f>
        <v>コンテニューは1回のみ！</v>
      </c>
      <c r="D125" s="47" t="str">
        <f ca="1">VLOOKUP($A125,OFFSET(quests!$A$1,0,0,COUNTA(quests!$A:$A),MATCH(D$1,quests!$1:$1,0)-MATCH($A$1,quests!$1:$1,0)+1),MATCH(D$1,quests!$1:$1,0)-MATCH($A$1,quests!$1:$1,0)+1,FALSE)</f>
        <v>降臨14</v>
      </c>
      <c r="E125" s="47" t="str">
        <f ca="1">VLOOKUP($A125,OFFSET(stages!$C$2,0,0,COUNTA(stages!$C:$C),MATCH("stage_target",stages!$2:$2,0)-MATCH($A$1,stages!$2:$2,0)+1),MATCH("stage_target",stages!$2:$2,0)-MATCH($A$1,stages!$2:$2,0)+1,FALSE)</f>
        <v>everyone</v>
      </c>
      <c r="F125" s="200" t="s">
        <v>1036</v>
      </c>
      <c r="G125" s="49" t="str">
        <f t="shared" ref="G125" si="48">"quest"&amp;A125&amp;".png"</f>
        <v>quest40014.png</v>
      </c>
      <c r="H125" s="13" t="s">
        <v>53</v>
      </c>
      <c r="I125" s="12">
        <v>4014</v>
      </c>
      <c r="J125" s="12">
        <v>1</v>
      </c>
    </row>
    <row r="126" spans="1:10" ht="21" customHeight="1" x14ac:dyDescent="0.15">
      <c r="A126" s="31">
        <v>40015</v>
      </c>
      <c r="B126" s="47" t="str">
        <f ca="1">VLOOKUP($A126,OFFSET(quests!$A$1,0,0,COUNTA(quests!$A:$A),MATCH(B$1,quests!$1:$1,0)-MATCH($A$1,quests!$1:$1,0)+1),MATCH(B$1,quests!$1:$1,0)-MATCH($A$1,quests!$1:$1,0)+1,FALSE)</f>
        <v>ガレス襲来！</v>
      </c>
      <c r="C126" s="47" t="str">
        <f ca="1">VLOOKUP($A126,OFFSET(quests!$A$1,0,0,COUNTA(quests!$A:$A),MATCH(C$1,quests!$1:$1,0)-MATCH($A$1,quests!$1:$1,0)+1),MATCH(C$1,quests!$1:$1,0)-MATCH($A$1,quests!$1:$1,0)+1,FALSE)</f>
        <v>コンテニューは1回のみ！</v>
      </c>
      <c r="D126" s="47" t="str">
        <f ca="1">VLOOKUP($A126,OFFSET(quests!$A$1,0,0,COUNTA(quests!$A:$A),MATCH(D$1,quests!$1:$1,0)-MATCH($A$1,quests!$1:$1,0)+1),MATCH(D$1,quests!$1:$1,0)-MATCH($A$1,quests!$1:$1,0)+1,FALSE)</f>
        <v>降臨15</v>
      </c>
      <c r="E126" s="47" t="str">
        <f ca="1">VLOOKUP($A126,OFFSET(stages!$C$2,0,0,COUNTA(stages!$C:$C),MATCH("stage_target",stages!$2:$2,0)-MATCH($A$1,stages!$2:$2,0)+1),MATCH("stage_target",stages!$2:$2,0)-MATCH($A$1,stages!$2:$2,0)+1,FALSE)</f>
        <v>everyone</v>
      </c>
      <c r="F126" s="200" t="s">
        <v>1036</v>
      </c>
      <c r="G126" s="49" t="str">
        <f t="shared" ref="G126" si="49">"quest"&amp;A126&amp;".png"</f>
        <v>quest40015.png</v>
      </c>
      <c r="H126" s="13" t="s">
        <v>53</v>
      </c>
      <c r="I126" s="12">
        <v>4015</v>
      </c>
      <c r="J126" s="12">
        <v>1</v>
      </c>
    </row>
    <row r="127" spans="1:10" ht="21" customHeight="1" x14ac:dyDescent="0.15">
      <c r="A127" s="31">
        <v>40016</v>
      </c>
      <c r="B127" s="47" t="str">
        <f ca="1">VLOOKUP($A127,OFFSET(quests!$A$1,0,0,COUNTA(quests!$A:$A),MATCH(B$1,quests!$1:$1,0)-MATCH($A$1,quests!$1:$1,0)+1),MATCH(B$1,quests!$1:$1,0)-MATCH($A$1,quests!$1:$1,0)+1,FALSE)</f>
        <v>武田信玄襲来！</v>
      </c>
      <c r="C127" s="47" t="str">
        <f ca="1">VLOOKUP($A127,OFFSET(quests!$A$1,0,0,COUNTA(quests!$A:$A),MATCH(C$1,quests!$1:$1,0)-MATCH($A$1,quests!$1:$1,0)+1),MATCH(C$1,quests!$1:$1,0)-MATCH($A$1,quests!$1:$1,0)+1,FALSE)</f>
        <v>襲来クエスト</v>
      </c>
      <c r="D127" s="47" t="str">
        <f ca="1">VLOOKUP($A127,OFFSET(quests!$A$1,0,0,COUNTA(quests!$A:$A),MATCH(D$1,quests!$1:$1,0)-MATCH($A$1,quests!$1:$1,0)+1),MATCH(D$1,quests!$1:$1,0)-MATCH($A$1,quests!$1:$1,0)+1,FALSE)</f>
        <v>降臨16</v>
      </c>
      <c r="E127" s="47" t="str">
        <f ca="1">VLOOKUP($A127,OFFSET(stages!$C$2,0,0,COUNTA(stages!$C:$C),MATCH("stage_target",stages!$2:$2,0)-MATCH($A$1,stages!$2:$2,0)+1),MATCH("stage_target",stages!$2:$2,0)-MATCH($A$1,stages!$2:$2,0)+1,FALSE)</f>
        <v>everyone</v>
      </c>
      <c r="F127" s="200" t="s">
        <v>568</v>
      </c>
      <c r="G127" s="49" t="str">
        <f t="shared" ref="G127:G158" si="50">"quest"&amp;A127&amp;".png"</f>
        <v>quest40016.png</v>
      </c>
      <c r="H127" s="13" t="s">
        <v>53</v>
      </c>
      <c r="I127" s="12">
        <v>4016</v>
      </c>
      <c r="J127" s="12">
        <v>1</v>
      </c>
    </row>
    <row r="128" spans="1:10" ht="21" customHeight="1" x14ac:dyDescent="0.15">
      <c r="A128" s="31">
        <v>40017</v>
      </c>
      <c r="B128" s="47" t="str">
        <f ca="1">VLOOKUP($A128,OFFSET(quests!$A$1,0,0,COUNTA(quests!$A:$A),MATCH(B$1,quests!$1:$1,0)-MATCH($A$1,quests!$1:$1,0)+1),MATCH(B$1,quests!$1:$1,0)-MATCH($A$1,quests!$1:$1,0)+1,FALSE)</f>
        <v>ベルゼブブ襲来！</v>
      </c>
      <c r="C128" s="47" t="str">
        <f ca="1">VLOOKUP($A128,OFFSET(quests!$A$1,0,0,COUNTA(quests!$A:$A),MATCH(C$1,quests!$1:$1,0)-MATCH($A$1,quests!$1:$1,0)+1),MATCH(C$1,quests!$1:$1,0)-MATCH($A$1,quests!$1:$1,0)+1,FALSE)</f>
        <v>襲来クエスト</v>
      </c>
      <c r="D128" s="47" t="str">
        <f ca="1">VLOOKUP($A128,OFFSET(quests!$A$1,0,0,COUNTA(quests!$A:$A),MATCH(D$1,quests!$1:$1,0)-MATCH($A$1,quests!$1:$1,0)+1),MATCH(D$1,quests!$1:$1,0)-MATCH($A$1,quests!$1:$1,0)+1,FALSE)</f>
        <v>降臨17</v>
      </c>
      <c r="E128" s="47" t="str">
        <f ca="1">VLOOKUP($A128,OFFSET(stages!$C$2,0,0,COUNTA(stages!$C:$C),MATCH("stage_target",stages!$2:$2,0)-MATCH($A$1,stages!$2:$2,0)+1),MATCH("stage_target",stages!$2:$2,0)-MATCH($A$1,stages!$2:$2,0)+1,FALSE)</f>
        <v>everyone</v>
      </c>
      <c r="F128" s="200" t="s">
        <v>568</v>
      </c>
      <c r="G128" s="49" t="str">
        <f t="shared" si="50"/>
        <v>quest40017.png</v>
      </c>
      <c r="H128" s="13" t="s">
        <v>53</v>
      </c>
      <c r="I128" s="12">
        <v>4017</v>
      </c>
      <c r="J128" s="12">
        <v>1</v>
      </c>
    </row>
    <row r="129" spans="1:10" ht="21" customHeight="1" x14ac:dyDescent="0.15">
      <c r="A129" s="31">
        <v>40018</v>
      </c>
      <c r="B129" s="47" t="str">
        <f ca="1">VLOOKUP($A129,OFFSET(quests!$A$1,0,0,COUNTA(quests!$A:$A),MATCH(B$1,quests!$1:$1,0)-MATCH($A$1,quests!$1:$1,0)+1),MATCH(B$1,quests!$1:$1,0)-MATCH($A$1,quests!$1:$1,0)+1,FALSE)</f>
        <v>ジーナ襲来！</v>
      </c>
      <c r="C129" s="47" t="str">
        <f ca="1">VLOOKUP($A129,OFFSET(quests!$A$1,0,0,COUNTA(quests!$A:$A),MATCH(C$1,quests!$1:$1,0)-MATCH($A$1,quests!$1:$1,0)+1),MATCH(C$1,quests!$1:$1,0)-MATCH($A$1,quests!$1:$1,0)+1,FALSE)</f>
        <v>襲来クエスト</v>
      </c>
      <c r="D129" s="47" t="str">
        <f ca="1">VLOOKUP($A129,OFFSET(quests!$A$1,0,0,COUNTA(quests!$A:$A),MATCH(D$1,quests!$1:$1,0)-MATCH($A$1,quests!$1:$1,0)+1),MATCH(D$1,quests!$1:$1,0)-MATCH($A$1,quests!$1:$1,0)+1,FALSE)</f>
        <v>降臨18</v>
      </c>
      <c r="E129" s="47" t="str">
        <f ca="1">VLOOKUP($A129,OFFSET(stages!$C$2,0,0,COUNTA(stages!$C:$C),MATCH("stage_target",stages!$2:$2,0)-MATCH($A$1,stages!$2:$2,0)+1),MATCH("stage_target",stages!$2:$2,0)-MATCH($A$1,stages!$2:$2,0)+1,FALSE)</f>
        <v>everyone</v>
      </c>
      <c r="F129" s="200" t="s">
        <v>568</v>
      </c>
      <c r="G129" s="49" t="str">
        <f t="shared" si="50"/>
        <v>quest40018.png</v>
      </c>
      <c r="H129" s="13" t="s">
        <v>53</v>
      </c>
      <c r="I129" s="12">
        <v>4018</v>
      </c>
      <c r="J129" s="12">
        <v>1</v>
      </c>
    </row>
    <row r="130" spans="1:10" ht="21" customHeight="1" x14ac:dyDescent="0.15">
      <c r="A130" s="31">
        <v>40019</v>
      </c>
      <c r="B130" s="47" t="str">
        <f ca="1">VLOOKUP($A130,OFFSET(quests!$A$1,0,0,COUNTA(quests!$A:$A),MATCH(B$1,quests!$1:$1,0)-MATCH($A$1,quests!$1:$1,0)+1),MATCH(B$1,quests!$1:$1,0)-MATCH($A$1,quests!$1:$1,0)+1,FALSE)</f>
        <v>テュポーン襲来！</v>
      </c>
      <c r="C130" s="47" t="str">
        <f ca="1">VLOOKUP($A130,OFFSET(quests!$A$1,0,0,COUNTA(quests!$A:$A),MATCH(C$1,quests!$1:$1,0)-MATCH($A$1,quests!$1:$1,0)+1),MATCH(C$1,quests!$1:$1,0)-MATCH($A$1,quests!$1:$1,0)+1,FALSE)</f>
        <v>襲来クエスト</v>
      </c>
      <c r="D130" s="47" t="str">
        <f ca="1">VLOOKUP($A130,OFFSET(quests!$A$1,0,0,COUNTA(quests!$A:$A),MATCH(D$1,quests!$1:$1,0)-MATCH($A$1,quests!$1:$1,0)+1),MATCH(D$1,quests!$1:$1,0)-MATCH($A$1,quests!$1:$1,0)+1,FALSE)</f>
        <v>降臨19</v>
      </c>
      <c r="E130" s="47" t="str">
        <f ca="1">VLOOKUP($A130,OFFSET(stages!$C$2,0,0,COUNTA(stages!$C:$C),MATCH("stage_target",stages!$2:$2,0)-MATCH($A$1,stages!$2:$2,0)+1),MATCH("stage_target",stages!$2:$2,0)-MATCH($A$1,stages!$2:$2,0)+1,FALSE)</f>
        <v>everyone</v>
      </c>
      <c r="F130" s="200" t="s">
        <v>382</v>
      </c>
      <c r="G130" s="49" t="str">
        <f t="shared" si="50"/>
        <v>quest40019.png</v>
      </c>
      <c r="H130" s="13" t="s">
        <v>53</v>
      </c>
      <c r="I130" s="12">
        <v>4019</v>
      </c>
      <c r="J130" s="12">
        <v>1</v>
      </c>
    </row>
    <row r="131" spans="1:10" ht="21" customHeight="1" x14ac:dyDescent="0.15">
      <c r="A131" s="31">
        <v>40021</v>
      </c>
      <c r="B131" s="47" t="str">
        <f ca="1">VLOOKUP($A131,OFFSET(quests!$A$1,0,0,COUNTA(quests!$A:$A),MATCH(B$1,quests!$1:$1,0)-MATCH($A$1,quests!$1:$1,0)+1),MATCH(B$1,quests!$1:$1,0)-MATCH($A$1,quests!$1:$1,0)+1,FALSE)</f>
        <v>ルイ16世襲来！</v>
      </c>
      <c r="C131" s="47" t="str">
        <f ca="1">VLOOKUP($A131,OFFSET(quests!$A$1,0,0,COUNTA(quests!$A:$A),MATCH(C$1,quests!$1:$1,0)-MATCH($A$1,quests!$1:$1,0)+1),MATCH(C$1,quests!$1:$1,0)-MATCH($A$1,quests!$1:$1,0)+1,FALSE)</f>
        <v>襲来クエスト</v>
      </c>
      <c r="D131" s="47" t="str">
        <f ca="1">VLOOKUP($A131,OFFSET(quests!$A$1,0,0,COUNTA(quests!$A:$A),MATCH(D$1,quests!$1:$1,0)-MATCH($A$1,quests!$1:$1,0)+1),MATCH(D$1,quests!$1:$1,0)-MATCH($A$1,quests!$1:$1,0)+1,FALSE)</f>
        <v>降臨21</v>
      </c>
      <c r="E131" s="47" t="str">
        <f ca="1">VLOOKUP($A131,OFFSET(stages!$C$2,0,0,COUNTA(stages!$C:$C),MATCH("stage_target",stages!$2:$2,0)-MATCH($A$1,stages!$2:$2,0)+1),MATCH("stage_target",stages!$2:$2,0)-MATCH($A$1,stages!$2:$2,0)+1,FALSE)</f>
        <v>everyone</v>
      </c>
      <c r="F131" s="200" t="s">
        <v>382</v>
      </c>
      <c r="G131" s="49" t="str">
        <f t="shared" ref="G131" si="51">"quest"&amp;A131&amp;".png"</f>
        <v>quest40021.png</v>
      </c>
      <c r="H131" s="13" t="s">
        <v>53</v>
      </c>
      <c r="I131" s="12">
        <v>4021</v>
      </c>
      <c r="J131" s="12">
        <v>1</v>
      </c>
    </row>
    <row r="132" spans="1:10" ht="21" customHeight="1" x14ac:dyDescent="0.15">
      <c r="A132" s="31">
        <v>40022</v>
      </c>
      <c r="B132" s="47" t="str">
        <f ca="1">VLOOKUP($A132,OFFSET(quests!$A$1,0,0,COUNTA(quests!$A:$A),MATCH(B$1,quests!$1:$1,0)-MATCH($A$1,quests!$1:$1,0)+1),MATCH(B$1,quests!$1:$1,0)-MATCH($A$1,quests!$1:$1,0)+1,FALSE)</f>
        <v>オシリス襲来！</v>
      </c>
      <c r="C132" s="47" t="str">
        <f ca="1">VLOOKUP($A132,OFFSET(quests!$A$1,0,0,COUNTA(quests!$A:$A),MATCH(C$1,quests!$1:$1,0)-MATCH($A$1,quests!$1:$1,0)+1),MATCH(C$1,quests!$1:$1,0)-MATCH($A$1,quests!$1:$1,0)+1,FALSE)</f>
        <v>襲来クエスト</v>
      </c>
      <c r="D132" s="47" t="str">
        <f ca="1">VLOOKUP($A132,OFFSET(quests!$A$1,0,0,COUNTA(quests!$A:$A),MATCH(D$1,quests!$1:$1,0)-MATCH($A$1,quests!$1:$1,0)+1),MATCH(D$1,quests!$1:$1,0)-MATCH($A$1,quests!$1:$1,0)+1,FALSE)</f>
        <v>降臨22</v>
      </c>
      <c r="E132" s="47" t="str">
        <f ca="1">VLOOKUP($A132,OFFSET(stages!$C$2,0,0,COUNTA(stages!$C:$C),MATCH("stage_target",stages!$2:$2,0)-MATCH($A$1,stages!$2:$2,0)+1),MATCH("stage_target",stages!$2:$2,0)-MATCH($A$1,stages!$2:$2,0)+1,FALSE)</f>
        <v>everyone</v>
      </c>
      <c r="F132" s="200" t="s">
        <v>382</v>
      </c>
      <c r="G132" s="49" t="str">
        <f t="shared" ref="G132" si="52">"quest"&amp;A132&amp;".png"</f>
        <v>quest40022.png</v>
      </c>
      <c r="H132" s="13" t="s">
        <v>53</v>
      </c>
      <c r="I132" s="12">
        <v>4022</v>
      </c>
      <c r="J132" s="12">
        <v>1</v>
      </c>
    </row>
    <row r="133" spans="1:10" ht="21" customHeight="1" x14ac:dyDescent="0.15">
      <c r="A133" s="31">
        <v>40023</v>
      </c>
      <c r="B133" s="47" t="str">
        <f ca="1">VLOOKUP($A133,OFFSET(quests!$A$1,0,0,COUNTA(quests!$A:$A),MATCH(B$1,quests!$1:$1,0)-MATCH($A$1,quests!$1:$1,0)+1),MATCH(B$1,quests!$1:$1,0)-MATCH($A$1,quests!$1:$1,0)+1,FALSE)</f>
        <v>武蔵坊弁慶襲来！</v>
      </c>
      <c r="C133" s="47" t="str">
        <f ca="1">VLOOKUP($A133,OFFSET(quests!$A$1,0,0,COUNTA(quests!$A:$A),MATCH(C$1,quests!$1:$1,0)-MATCH($A$1,quests!$1:$1,0)+1),MATCH(C$1,quests!$1:$1,0)-MATCH($A$1,quests!$1:$1,0)+1,FALSE)</f>
        <v>襲来クエスト</v>
      </c>
      <c r="D133" s="47" t="str">
        <f ca="1">VLOOKUP($A133,OFFSET(quests!$A$1,0,0,COUNTA(quests!$A:$A),MATCH(D$1,quests!$1:$1,0)-MATCH($A$1,quests!$1:$1,0)+1),MATCH(D$1,quests!$1:$1,0)-MATCH($A$1,quests!$1:$1,0)+1,FALSE)</f>
        <v>降臨23</v>
      </c>
      <c r="E133" s="47" t="str">
        <f ca="1">VLOOKUP($A133,OFFSET(stages!$C$2,0,0,COUNTA(stages!$C:$C),MATCH("stage_target",stages!$2:$2,0)-MATCH($A$1,stages!$2:$2,0)+1),MATCH("stage_target",stages!$2:$2,0)-MATCH($A$1,stages!$2:$2,0)+1,FALSE)</f>
        <v>everyone</v>
      </c>
      <c r="F133" s="200" t="s">
        <v>382</v>
      </c>
      <c r="G133" s="49" t="str">
        <f t="shared" ref="G133:G134" si="53">"quest"&amp;A133&amp;".png"</f>
        <v>quest40023.png</v>
      </c>
      <c r="H133" s="13" t="s">
        <v>53</v>
      </c>
      <c r="I133" s="12">
        <v>4023</v>
      </c>
      <c r="J133" s="12">
        <v>1</v>
      </c>
    </row>
    <row r="134" spans="1:10" ht="21" customHeight="1" x14ac:dyDescent="0.15">
      <c r="A134" s="31">
        <v>40024</v>
      </c>
      <c r="B134" s="47" t="str">
        <f ca="1">VLOOKUP($A134,OFFSET(quests!$A$1,0,0,COUNTA(quests!$A:$A),MATCH(B$1,quests!$1:$1,0)-MATCH($A$1,quests!$1:$1,0)+1),MATCH(B$1,quests!$1:$1,0)-MATCH($A$1,quests!$1:$1,0)+1,FALSE)</f>
        <v>アトラス襲来！</v>
      </c>
      <c r="C134" s="47" t="str">
        <f ca="1">VLOOKUP($A134,OFFSET(quests!$A$1,0,0,COUNTA(quests!$A:$A),MATCH(C$1,quests!$1:$1,0)-MATCH($A$1,quests!$1:$1,0)+1),MATCH(C$1,quests!$1:$1,0)-MATCH($A$1,quests!$1:$1,0)+1,FALSE)</f>
        <v>襲来クエスト</v>
      </c>
      <c r="D134" s="47" t="str">
        <f ca="1">VLOOKUP($A134,OFFSET(quests!$A$1,0,0,COUNTA(quests!$A:$A),MATCH(D$1,quests!$1:$1,0)-MATCH($A$1,quests!$1:$1,0)+1),MATCH(D$1,quests!$1:$1,0)-MATCH($A$1,quests!$1:$1,0)+1,FALSE)</f>
        <v>降臨24</v>
      </c>
      <c r="E134" s="47" t="str">
        <f ca="1">VLOOKUP($A134,OFFSET(stages!$C$2,0,0,COUNTA(stages!$C:$C),MATCH("stage_target",stages!$2:$2,0)-MATCH($A$1,stages!$2:$2,0)+1),MATCH("stage_target",stages!$2:$2,0)-MATCH($A$1,stages!$2:$2,0)+1,FALSE)</f>
        <v>everyone</v>
      </c>
      <c r="F134" s="200" t="s">
        <v>382</v>
      </c>
      <c r="G134" s="49" t="str">
        <f t="shared" si="53"/>
        <v>quest40024.png</v>
      </c>
      <c r="H134" s="13" t="s">
        <v>53</v>
      </c>
      <c r="I134" s="12">
        <v>4024</v>
      </c>
      <c r="J134" s="12">
        <v>1</v>
      </c>
    </row>
    <row r="135" spans="1:10" ht="21" customHeight="1" x14ac:dyDescent="0.15">
      <c r="A135" s="31">
        <v>40025</v>
      </c>
      <c r="B135" s="47" t="str">
        <f ca="1">VLOOKUP($A135,OFFSET(quests!$A$1,0,0,COUNTA(quests!$A:$A),MATCH(B$1,quests!$1:$1,0)-MATCH($A$1,quests!$1:$1,0)+1),MATCH(B$1,quests!$1:$1,0)-MATCH($A$1,quests!$1:$1,0)+1,FALSE)</f>
        <v>ティアマト襲来！</v>
      </c>
      <c r="C135" s="47" t="str">
        <f ca="1">VLOOKUP($A135,OFFSET(quests!$A$1,0,0,COUNTA(quests!$A:$A),MATCH(C$1,quests!$1:$1,0)-MATCH($A$1,quests!$1:$1,0)+1),MATCH(C$1,quests!$1:$1,0)-MATCH($A$1,quests!$1:$1,0)+1,FALSE)</f>
        <v>襲来クエスト</v>
      </c>
      <c r="D135" s="47" t="str">
        <f ca="1">VLOOKUP($A135,OFFSET(quests!$A$1,0,0,COUNTA(quests!$A:$A),MATCH(D$1,quests!$1:$1,0)-MATCH($A$1,quests!$1:$1,0)+1),MATCH(D$1,quests!$1:$1,0)-MATCH($A$1,quests!$1:$1,0)+1,FALSE)</f>
        <v>降臨25</v>
      </c>
      <c r="E135" s="47" t="str">
        <f ca="1">VLOOKUP($A135,OFFSET(stages!$C$2,0,0,COUNTA(stages!$C:$C),MATCH("stage_target",stages!$2:$2,0)-MATCH($A$1,stages!$2:$2,0)+1),MATCH("stage_target",stages!$2:$2,0)-MATCH($A$1,stages!$2:$2,0)+1,FALSE)</f>
        <v>everyone</v>
      </c>
      <c r="F135" s="200" t="s">
        <v>382</v>
      </c>
      <c r="G135" s="49" t="str">
        <f t="shared" ref="G135" si="54">"quest"&amp;A135&amp;".png"</f>
        <v>quest40025.png</v>
      </c>
      <c r="H135" s="13" t="s">
        <v>53</v>
      </c>
      <c r="I135" s="12">
        <v>4025</v>
      </c>
      <c r="J135" s="12">
        <v>1</v>
      </c>
    </row>
    <row r="136" spans="1:10" ht="21" customHeight="1" x14ac:dyDescent="0.15">
      <c r="A136" s="38">
        <v>40026</v>
      </c>
      <c r="B136" s="47" t="str">
        <f ca="1">VLOOKUP($A136,OFFSET(quests!$A$1,0,0,COUNTA(quests!$A:$A),MATCH(B$1,quests!$1:$1,0)-MATCH($A$1,quests!$1:$1,0)+1),MATCH(B$1,quests!$1:$1,0)-MATCH($A$1,quests!$1:$1,0)+1,FALSE)</f>
        <v>ミケランジェロ襲来！</v>
      </c>
      <c r="C136" s="47" t="str">
        <f ca="1">VLOOKUP($A136,OFFSET(quests!$A$1,0,0,COUNTA(quests!$A:$A),MATCH(C$1,quests!$1:$1,0)-MATCH($A$1,quests!$1:$1,0)+1),MATCH(C$1,quests!$1:$1,0)-MATCH($A$1,quests!$1:$1,0)+1,FALSE)</f>
        <v>襲来クエスト</v>
      </c>
      <c r="D136" s="47" t="str">
        <f ca="1">VLOOKUP($A136,OFFSET(quests!$A$1,0,0,COUNTA(quests!$A:$A),MATCH(D$1,quests!$1:$1,0)-MATCH($A$1,quests!$1:$1,0)+1),MATCH(D$1,quests!$1:$1,0)-MATCH($A$1,quests!$1:$1,0)+1,FALSE)</f>
        <v>降臨26</v>
      </c>
      <c r="E136" s="47" t="str">
        <f ca="1">VLOOKUP($A136,OFFSET(stages!$C$2,0,0,COUNTA(stages!$C:$C),MATCH("stage_target",stages!$2:$2,0)-MATCH($A$1,stages!$2:$2,0)+1),MATCH("stage_target",stages!$2:$2,0)-MATCH($A$1,stages!$2:$2,0)+1,FALSE)</f>
        <v>everyone</v>
      </c>
      <c r="F136" s="200" t="s">
        <v>382</v>
      </c>
      <c r="G136" s="49" t="str">
        <f t="shared" ref="G136" si="55">"quest"&amp;A136&amp;".png"</f>
        <v>quest40026.png</v>
      </c>
      <c r="H136" s="13" t="s">
        <v>53</v>
      </c>
      <c r="I136" s="39">
        <v>4026</v>
      </c>
      <c r="J136" s="12">
        <v>1</v>
      </c>
    </row>
    <row r="137" spans="1:10" ht="21" customHeight="1" x14ac:dyDescent="0.15">
      <c r="A137" s="38">
        <v>40027</v>
      </c>
      <c r="B137" s="47" t="str">
        <f ca="1">VLOOKUP($A137,OFFSET(quests!$A$1,0,0,COUNTA(quests!$A:$A),MATCH(B$1,quests!$1:$1,0)-MATCH($A$1,quests!$1:$1,0)+1),MATCH(B$1,quests!$1:$1,0)-MATCH($A$1,quests!$1:$1,0)+1,FALSE)</f>
        <v>コルキス襲来！</v>
      </c>
      <c r="C137" s="47" t="str">
        <f ca="1">VLOOKUP($A137,OFFSET(quests!$A$1,0,0,COUNTA(quests!$A:$A),MATCH(C$1,quests!$1:$1,0)-MATCH($A$1,quests!$1:$1,0)+1),MATCH(C$1,quests!$1:$1,0)-MATCH($A$1,quests!$1:$1,0)+1,FALSE)</f>
        <v>緑パネルが出現しない！</v>
      </c>
      <c r="D137" s="47" t="str">
        <f ca="1">VLOOKUP($A137,OFFSET(quests!$A$1,0,0,COUNTA(quests!$A:$A),MATCH(D$1,quests!$1:$1,0)-MATCH($A$1,quests!$1:$1,0)+1),MATCH(D$1,quests!$1:$1,0)-MATCH($A$1,quests!$1:$1,0)+1,FALSE)</f>
        <v>降臨27</v>
      </c>
      <c r="E137" s="47" t="str">
        <f ca="1">VLOOKUP($A137,OFFSET(stages!$C$2,0,0,COUNTA(stages!$C:$C),MATCH("stage_target",stages!$2:$2,0)-MATCH($A$1,stages!$2:$2,0)+1),MATCH("stage_target",stages!$2:$2,0)-MATCH($A$1,stages!$2:$2,0)+1,FALSE)</f>
        <v>everyone</v>
      </c>
      <c r="F137" s="200" t="s">
        <v>382</v>
      </c>
      <c r="G137" s="49" t="str">
        <f t="shared" ref="G137" si="56">"quest"&amp;A137&amp;".png"</f>
        <v>quest40027.png</v>
      </c>
      <c r="H137" s="13" t="s">
        <v>53</v>
      </c>
      <c r="I137" s="39">
        <v>4027</v>
      </c>
      <c r="J137" s="12">
        <v>1</v>
      </c>
    </row>
    <row r="138" spans="1:10" ht="21" customHeight="1" x14ac:dyDescent="0.15">
      <c r="A138" s="31">
        <v>40028</v>
      </c>
      <c r="B138" s="47" t="str">
        <f ca="1">VLOOKUP($A138,OFFSET(quests!$A$1,0,0,COUNTA(quests!$A:$A),MATCH(B$1,quests!$1:$1,0)-MATCH($A$1,quests!$1:$1,0)+1),MATCH(B$1,quests!$1:$1,0)-MATCH($A$1,quests!$1:$1,0)+1,FALSE)</f>
        <v>ルピカ襲来！</v>
      </c>
      <c r="C138" s="47" t="str">
        <f ca="1">VLOOKUP($A138,OFFSET(quests!$A$1,0,0,COUNTA(quests!$A:$A),MATCH(C$1,quests!$1:$1,0)-MATCH($A$1,quests!$1:$1,0)+1),MATCH(C$1,quests!$1:$1,0)-MATCH($A$1,quests!$1:$1,0)+1,FALSE)</f>
        <v>襲来クエスト</v>
      </c>
      <c r="D138" s="47" t="str">
        <f ca="1">VLOOKUP($A138,OFFSET(quests!$A$1,0,0,COUNTA(quests!$A:$A),MATCH(D$1,quests!$1:$1,0)-MATCH($A$1,quests!$1:$1,0)+1),MATCH(D$1,quests!$1:$1,0)-MATCH($A$1,quests!$1:$1,0)+1,FALSE)</f>
        <v>降臨28</v>
      </c>
      <c r="E138" s="47" t="str">
        <f ca="1">VLOOKUP($A138,OFFSET(stages!$C$2,0,0,COUNTA(stages!$C:$C),MATCH("stage_target",stages!$2:$2,0)-MATCH($A$1,stages!$2:$2,0)+1),MATCH("stage_target",stages!$2:$2,0)-MATCH($A$1,stages!$2:$2,0)+1,FALSE)</f>
        <v>everyone</v>
      </c>
      <c r="F138" s="200" t="s">
        <v>382</v>
      </c>
      <c r="G138" s="49" t="str">
        <f t="shared" ref="G138" si="57">"quest"&amp;A138&amp;".png"</f>
        <v>quest40028.png</v>
      </c>
      <c r="H138" s="13" t="s">
        <v>53</v>
      </c>
      <c r="I138" s="23">
        <v>4028</v>
      </c>
      <c r="J138" s="12">
        <v>1</v>
      </c>
    </row>
    <row r="139" spans="1:10" ht="21" customHeight="1" x14ac:dyDescent="0.15">
      <c r="A139" s="31">
        <v>40029</v>
      </c>
      <c r="B139" s="47" t="str">
        <f ca="1">VLOOKUP($A139,OFFSET(quests!$A$1,0,0,COUNTA(quests!$A:$A),MATCH(B$1,quests!$1:$1,0)-MATCH($A$1,quests!$1:$1,0)+1),MATCH(B$1,quests!$1:$1,0)-MATCH($A$1,quests!$1:$1,0)+1,FALSE)</f>
        <v>カスケード襲来！</v>
      </c>
      <c r="C139" s="47" t="str">
        <f ca="1">VLOOKUP($A139,OFFSET(quests!$A$1,0,0,COUNTA(quests!$A:$A),MATCH(C$1,quests!$1:$1,0)-MATCH($A$1,quests!$1:$1,0)+1),MATCH(C$1,quests!$1:$1,0)-MATCH($A$1,quests!$1:$1,0)+1,FALSE)</f>
        <v>襲来クエスト</v>
      </c>
      <c r="D139" s="47" t="str">
        <f ca="1">VLOOKUP($A139,OFFSET(quests!$A$1,0,0,COUNTA(quests!$A:$A),MATCH(D$1,quests!$1:$1,0)-MATCH($A$1,quests!$1:$1,0)+1),MATCH(D$1,quests!$1:$1,0)-MATCH($A$1,quests!$1:$1,0)+1,FALSE)</f>
        <v>降臨29</v>
      </c>
      <c r="E139" s="47" t="str">
        <f ca="1">VLOOKUP($A139,OFFSET(stages!$C$2,0,0,COUNTA(stages!$C:$C),MATCH("stage_target",stages!$2:$2,0)-MATCH($A$1,stages!$2:$2,0)+1),MATCH("stage_target",stages!$2:$2,0)-MATCH($A$1,stages!$2:$2,0)+1,FALSE)</f>
        <v>everyone</v>
      </c>
      <c r="F139" s="200" t="s">
        <v>382</v>
      </c>
      <c r="G139" s="49" t="str">
        <f t="shared" ref="G139" si="58">"quest"&amp;A139&amp;".png"</f>
        <v>quest40029.png</v>
      </c>
      <c r="H139" s="13" t="s">
        <v>53</v>
      </c>
      <c r="I139" s="23">
        <v>4029</v>
      </c>
      <c r="J139" s="12">
        <v>1</v>
      </c>
    </row>
    <row r="140" spans="1:10" ht="21" customHeight="1" x14ac:dyDescent="0.15">
      <c r="A140" s="38">
        <v>40030</v>
      </c>
      <c r="B140" s="47" t="str">
        <f ca="1">VLOOKUP($A140,OFFSET(quests!$A$1,0,0,COUNTA(quests!$A:$A),MATCH(B$1,quests!$1:$1,0)-MATCH($A$1,quests!$1:$1,0)+1),MATCH(B$1,quests!$1:$1,0)-MATCH($A$1,quests!$1:$1,0)+1,FALSE)</f>
        <v>エリス襲来！</v>
      </c>
      <c r="C140" s="47" t="str">
        <f ca="1">VLOOKUP($A140,OFFSET(quests!$A$1,0,0,COUNTA(quests!$A:$A),MATCH(C$1,quests!$1:$1,0)-MATCH($A$1,quests!$1:$1,0)+1),MATCH(C$1,quests!$1:$1,0)-MATCH($A$1,quests!$1:$1,0)+1,FALSE)</f>
        <v>襲来クエスト</v>
      </c>
      <c r="D140" s="47" t="str">
        <f ca="1">VLOOKUP($A140,OFFSET(quests!$A$1,0,0,COUNTA(quests!$A:$A),MATCH(D$1,quests!$1:$1,0)-MATCH($A$1,quests!$1:$1,0)+1),MATCH(D$1,quests!$1:$1,0)-MATCH($A$1,quests!$1:$1,0)+1,FALSE)</f>
        <v>降臨30</v>
      </c>
      <c r="E140" s="47" t="str">
        <f ca="1">VLOOKUP($A140,OFFSET(stages!$C$2,0,0,COUNTA(stages!$C:$C),MATCH("stage_target",stages!$2:$2,0)-MATCH($A$1,stages!$2:$2,0)+1),MATCH("stage_target",stages!$2:$2,0)-MATCH($A$1,stages!$2:$2,0)+1,FALSE)</f>
        <v>everyone</v>
      </c>
      <c r="F140" s="200" t="s">
        <v>382</v>
      </c>
      <c r="G140" s="49" t="str">
        <f t="shared" ref="G140:G141" si="59">"quest"&amp;A140&amp;".png"</f>
        <v>quest40030.png</v>
      </c>
      <c r="H140" s="13" t="s">
        <v>53</v>
      </c>
      <c r="I140" s="39">
        <v>4030</v>
      </c>
      <c r="J140" s="12">
        <v>1</v>
      </c>
    </row>
    <row r="141" spans="1:10" ht="21" customHeight="1" x14ac:dyDescent="0.15">
      <c r="A141" s="38">
        <v>40031</v>
      </c>
      <c r="B141" s="47" t="str">
        <f ca="1">VLOOKUP($A141,OFFSET(quests!$A$1,0,0,COUNTA(quests!$A:$A),MATCH(B$1,quests!$1:$1,0)-MATCH($A$1,quests!$1:$1,0)+1),MATCH(B$1,quests!$1:$1,0)-MATCH($A$1,quests!$1:$1,0)+1,FALSE)</f>
        <v>董卓襲来！</v>
      </c>
      <c r="C141" s="47" t="str">
        <f ca="1">VLOOKUP($A141,OFFSET(quests!$A$1,0,0,COUNTA(quests!$A:$A),MATCH(C$1,quests!$1:$1,0)-MATCH($A$1,quests!$1:$1,0)+1),MATCH(C$1,quests!$1:$1,0)-MATCH($A$1,quests!$1:$1,0)+1,FALSE)</f>
        <v>襲来クエスト</v>
      </c>
      <c r="D141" s="47" t="str">
        <f ca="1">VLOOKUP($A141,OFFSET(quests!$A$1,0,0,COUNTA(quests!$A:$A),MATCH(D$1,quests!$1:$1,0)-MATCH($A$1,quests!$1:$1,0)+1),MATCH(D$1,quests!$1:$1,0)-MATCH($A$1,quests!$1:$1,0)+1,FALSE)</f>
        <v>降臨31</v>
      </c>
      <c r="E141" s="47" t="str">
        <f ca="1">VLOOKUP($A141,OFFSET(stages!$C$2,0,0,COUNTA(stages!$C:$C),MATCH("stage_target",stages!$2:$2,0)-MATCH($A$1,stages!$2:$2,0)+1),MATCH("stage_target",stages!$2:$2,0)-MATCH($A$1,stages!$2:$2,0)+1,FALSE)</f>
        <v>everyone</v>
      </c>
      <c r="F141" s="200" t="s">
        <v>382</v>
      </c>
      <c r="G141" s="49" t="str">
        <f t="shared" si="59"/>
        <v>quest40031.png</v>
      </c>
      <c r="H141" s="13" t="s">
        <v>53</v>
      </c>
      <c r="I141" s="39">
        <v>4031</v>
      </c>
      <c r="J141" s="12">
        <v>1</v>
      </c>
    </row>
    <row r="142" spans="1:10" ht="21" customHeight="1" x14ac:dyDescent="0.15">
      <c r="A142" s="31">
        <v>40032</v>
      </c>
      <c r="B142" s="47" t="str">
        <f ca="1">VLOOKUP($A142,OFFSET(quests!$A$1,0,0,COUNTA(quests!$A:$A),MATCH(B$1,quests!$1:$1,0)-MATCH($A$1,quests!$1:$1,0)+1),MATCH(B$1,quests!$1:$1,0)-MATCH($A$1,quests!$1:$1,0)+1,FALSE)</f>
        <v>貂蝉襲来！</v>
      </c>
      <c r="C142" s="47" t="str">
        <f ca="1">VLOOKUP($A142,OFFSET(quests!$A$1,0,0,COUNTA(quests!$A:$A),MATCH(C$1,quests!$1:$1,0)-MATCH($A$1,quests!$1:$1,0)+1),MATCH(C$1,quests!$1:$1,0)-MATCH($A$1,quests!$1:$1,0)+1,FALSE)</f>
        <v>襲来クエスト</v>
      </c>
      <c r="D142" s="47" t="str">
        <f ca="1">VLOOKUP($A142,OFFSET(quests!$A$1,0,0,COUNTA(quests!$A:$A),MATCH(D$1,quests!$1:$1,0)-MATCH($A$1,quests!$1:$1,0)+1),MATCH(D$1,quests!$1:$1,0)-MATCH($A$1,quests!$1:$1,0)+1,FALSE)</f>
        <v>降臨32</v>
      </c>
      <c r="E142" s="47" t="str">
        <f ca="1">VLOOKUP($A142,OFFSET(stages!$C$2,0,0,COUNTA(stages!$C:$C),MATCH("stage_target",stages!$2:$2,0)-MATCH($A$1,stages!$2:$2,0)+1),MATCH("stage_target",stages!$2:$2,0)-MATCH($A$1,stages!$2:$2,0)+1,FALSE)</f>
        <v>everyone</v>
      </c>
      <c r="F142" s="200" t="s">
        <v>382</v>
      </c>
      <c r="G142" s="49" t="str">
        <f t="shared" ref="G142:G144" si="60">"quest"&amp;A142&amp;".png"</f>
        <v>quest40032.png</v>
      </c>
      <c r="H142" s="13" t="s">
        <v>53</v>
      </c>
      <c r="I142" s="23">
        <v>4032</v>
      </c>
      <c r="J142" s="12">
        <v>1</v>
      </c>
    </row>
    <row r="143" spans="1:10" ht="21" customHeight="1" x14ac:dyDescent="0.15">
      <c r="A143" s="38">
        <v>40033</v>
      </c>
      <c r="B143" s="47" t="str">
        <f ca="1">VLOOKUP($A143,OFFSET(quests!$A$1,0,0,COUNTA(quests!$A:$A),MATCH(B$1,quests!$1:$1,0)-MATCH($A$1,quests!$1:$1,0)+1),MATCH(B$1,quests!$1:$1,0)-MATCH($A$1,quests!$1:$1,0)+1,FALSE)</f>
        <v>アテナ襲来！</v>
      </c>
      <c r="C143" s="47" t="str">
        <f ca="1">VLOOKUP($A143,OFFSET(quests!$A$1,0,0,COUNTA(quests!$A:$A),MATCH(C$1,quests!$1:$1,0)-MATCH($A$1,quests!$1:$1,0)+1),MATCH(C$1,quests!$1:$1,0)-MATCH($A$1,quests!$1:$1,0)+1,FALSE)</f>
        <v>コスト54以下ユニット限定！</v>
      </c>
      <c r="D143" s="47" t="str">
        <f ca="1">VLOOKUP($A143,OFFSET(quests!$A$1,0,0,COUNTA(quests!$A:$A),MATCH(D$1,quests!$1:$1,0)-MATCH($A$1,quests!$1:$1,0)+1),MATCH(D$1,quests!$1:$1,0)-MATCH($A$1,quests!$1:$1,0)+1,FALSE)</f>
        <v>降臨33</v>
      </c>
      <c r="E143" s="47" t="str">
        <f ca="1">VLOOKUP($A143,OFFSET(stages!$C$2,0,0,COUNTA(stages!$C:$C),MATCH("stage_target",stages!$2:$2,0)-MATCH($A$1,stages!$2:$2,0)+1),MATCH("stage_target",stages!$2:$2,0)-MATCH($A$1,stages!$2:$2,0)+1,FALSE)</f>
        <v>everyone</v>
      </c>
      <c r="F143" s="200" t="s">
        <v>382</v>
      </c>
      <c r="G143" s="49" t="str">
        <f t="shared" ref="G143" si="61">"quest"&amp;A143&amp;".png"</f>
        <v>quest40033.png</v>
      </c>
      <c r="H143" s="13" t="s">
        <v>53</v>
      </c>
      <c r="I143" s="39">
        <v>4033</v>
      </c>
      <c r="J143" s="12">
        <v>1</v>
      </c>
    </row>
    <row r="144" spans="1:10" ht="21" customHeight="1" x14ac:dyDescent="0.15">
      <c r="A144" s="38">
        <v>40034</v>
      </c>
      <c r="B144" s="47" t="str">
        <f ca="1">VLOOKUP($A144,OFFSET(quests!$A$1,0,0,COUNTA(quests!$A:$A),MATCH(B$1,quests!$1:$1,0)-MATCH($A$1,quests!$1:$1,0)+1),MATCH(B$1,quests!$1:$1,0)-MATCH($A$1,quests!$1:$1,0)+1,FALSE)</f>
        <v>カーリー襲来！</v>
      </c>
      <c r="C144" s="47" t="str">
        <f ca="1">VLOOKUP($A144,OFFSET(quests!$A$1,0,0,COUNTA(quests!$A:$A),MATCH(C$1,quests!$1:$1,0)-MATCH($A$1,quests!$1:$1,0)+1),MATCH(C$1,quests!$1:$1,0)-MATCH($A$1,quests!$1:$1,0)+1,FALSE)</f>
        <v>襲来クエスト</v>
      </c>
      <c r="D144" s="47" t="str">
        <f ca="1">VLOOKUP($A144,OFFSET(quests!$A$1,0,0,COUNTA(quests!$A:$A),MATCH(D$1,quests!$1:$1,0)-MATCH($A$1,quests!$1:$1,0)+1),MATCH(D$1,quests!$1:$1,0)-MATCH($A$1,quests!$1:$1,0)+1,FALSE)</f>
        <v>降臨34</v>
      </c>
      <c r="E144" s="47" t="str">
        <f ca="1">VLOOKUP($A144,OFFSET(stages!$C$2,0,0,COUNTA(stages!$C:$C),MATCH("stage_target",stages!$2:$2,0)-MATCH($A$1,stages!$2:$2,0)+1),MATCH("stage_target",stages!$2:$2,0)-MATCH($A$1,stages!$2:$2,0)+1,FALSE)</f>
        <v>everyone</v>
      </c>
      <c r="F144" s="200" t="s">
        <v>382</v>
      </c>
      <c r="G144" s="49" t="str">
        <f t="shared" si="60"/>
        <v>quest40034.png</v>
      </c>
      <c r="H144" s="13" t="s">
        <v>53</v>
      </c>
      <c r="I144" s="39">
        <v>4034</v>
      </c>
      <c r="J144" s="12">
        <v>1</v>
      </c>
    </row>
    <row r="145" spans="1:10" ht="21" customHeight="1" x14ac:dyDescent="0.15">
      <c r="A145" s="38">
        <v>40035</v>
      </c>
      <c r="B145" s="47" t="str">
        <f ca="1">VLOOKUP($A145,OFFSET(quests!$A$1,0,0,COUNTA(quests!$A:$A),MATCH(B$1,quests!$1:$1,0)-MATCH($A$1,quests!$1:$1,0)+1),MATCH(B$1,quests!$1:$1,0)-MATCH($A$1,quests!$1:$1,0)+1,FALSE)</f>
        <v>ブラフマー襲来！</v>
      </c>
      <c r="C145" s="47" t="str">
        <f ca="1">VLOOKUP($A145,OFFSET(quests!$A$1,0,0,COUNTA(quests!$A:$A),MATCH(C$1,quests!$1:$1,0)-MATCH($A$1,quests!$1:$1,0)+1),MATCH(C$1,quests!$1:$1,0)-MATCH($A$1,quests!$1:$1,0)+1,FALSE)</f>
        <v>襲来クエスト</v>
      </c>
      <c r="D145" s="47" t="str">
        <f ca="1">VLOOKUP($A145,OFFSET(quests!$A$1,0,0,COUNTA(quests!$A:$A),MATCH(D$1,quests!$1:$1,0)-MATCH($A$1,quests!$1:$1,0)+1),MATCH(D$1,quests!$1:$1,0)-MATCH($A$1,quests!$1:$1,0)+1,FALSE)</f>
        <v>降臨35</v>
      </c>
      <c r="E145" s="47" t="str">
        <f ca="1">VLOOKUP($A145,OFFSET(stages!$C$2,0,0,COUNTA(stages!$C:$C),MATCH("stage_target",stages!$2:$2,0)-MATCH($A$1,stages!$2:$2,0)+1),MATCH("stage_target",stages!$2:$2,0)-MATCH($A$1,stages!$2:$2,0)+1,FALSE)</f>
        <v>everyone</v>
      </c>
      <c r="F145" s="200" t="s">
        <v>382</v>
      </c>
      <c r="G145" s="49" t="str">
        <f t="shared" ref="G145:G147" si="62">"quest"&amp;A145&amp;".png"</f>
        <v>quest40035.png</v>
      </c>
      <c r="H145" s="13" t="s">
        <v>53</v>
      </c>
      <c r="I145" s="39">
        <v>4035</v>
      </c>
      <c r="J145" s="12">
        <v>1</v>
      </c>
    </row>
    <row r="146" spans="1:10" ht="21" customHeight="1" x14ac:dyDescent="0.15">
      <c r="A146" s="38">
        <v>40036</v>
      </c>
      <c r="B146" s="47" t="str">
        <f ca="1">VLOOKUP($A146,OFFSET(quests!$A$1,0,0,COUNTA(quests!$A:$A),MATCH(B$1,quests!$1:$1,0)-MATCH($A$1,quests!$1:$1,0)+1),MATCH(B$1,quests!$1:$1,0)-MATCH($A$1,quests!$1:$1,0)+1,FALSE)</f>
        <v>ウラヌス襲来！</v>
      </c>
      <c r="C146" s="47" t="str">
        <f ca="1">VLOOKUP($A146,OFFSET(quests!$A$1,0,0,COUNTA(quests!$A:$A),MATCH(C$1,quests!$1:$1,0)-MATCH($A$1,quests!$1:$1,0)+1),MATCH(C$1,quests!$1:$1,0)-MATCH($A$1,quests!$1:$1,0)+1,FALSE)</f>
        <v>種族ゴッド限定！</v>
      </c>
      <c r="D146" s="47" t="str">
        <f ca="1">VLOOKUP($A146,OFFSET(quests!$A$1,0,0,COUNTA(quests!$A:$A),MATCH(D$1,quests!$1:$1,0)-MATCH($A$1,quests!$1:$1,0)+1),MATCH(D$1,quests!$1:$1,0)-MATCH($A$1,quests!$1:$1,0)+1,FALSE)</f>
        <v>降臨36</v>
      </c>
      <c r="E146" s="47" t="str">
        <f ca="1">VLOOKUP($A146,OFFSET(stages!$C$2,0,0,COUNTA(stages!$C:$C),MATCH("stage_target",stages!$2:$2,0)-MATCH($A$1,stages!$2:$2,0)+1),MATCH("stage_target",stages!$2:$2,0)-MATCH($A$1,stages!$2:$2,0)+1,FALSE)</f>
        <v>everyone</v>
      </c>
      <c r="F146" s="200" t="s">
        <v>382</v>
      </c>
      <c r="G146" s="49" t="str">
        <f t="shared" ref="G146" si="63">"quest"&amp;A146&amp;".png"</f>
        <v>quest40036.png</v>
      </c>
      <c r="H146" s="13" t="s">
        <v>53</v>
      </c>
      <c r="I146" s="39">
        <v>4036</v>
      </c>
      <c r="J146" s="12">
        <v>1</v>
      </c>
    </row>
    <row r="147" spans="1:10" ht="21" customHeight="1" x14ac:dyDescent="0.15">
      <c r="A147" s="38">
        <v>40037</v>
      </c>
      <c r="B147" s="47" t="str">
        <f ca="1">VLOOKUP($A147,OFFSET(quests!$A$1,0,0,COUNTA(quests!$A:$A),MATCH(B$1,quests!$1:$1,0)-MATCH($A$1,quests!$1:$1,0)+1),MATCH(B$1,quests!$1:$1,0)-MATCH($A$1,quests!$1:$1,0)+1,FALSE)</f>
        <v>デルピュネー襲来！</v>
      </c>
      <c r="C147" s="47" t="str">
        <f ca="1">VLOOKUP($A147,OFFSET(quests!$A$1,0,0,COUNTA(quests!$A:$A),MATCH(C$1,quests!$1:$1,0)-MATCH($A$1,quests!$1:$1,0)+1),MATCH(C$1,quests!$1:$1,0)-MATCH($A$1,quests!$1:$1,0)+1,FALSE)</f>
        <v>襲来クエスト</v>
      </c>
      <c r="D147" s="47" t="str">
        <f ca="1">VLOOKUP($A147,OFFSET(quests!$A$1,0,0,COUNTA(quests!$A:$A),MATCH(D$1,quests!$1:$1,0)-MATCH($A$1,quests!$1:$1,0)+1),MATCH(D$1,quests!$1:$1,0)-MATCH($A$1,quests!$1:$1,0)+1,FALSE)</f>
        <v>降臨37</v>
      </c>
      <c r="E147" s="47" t="str">
        <f ca="1">VLOOKUP($A147,OFFSET(stages!$C$2,0,0,COUNTA(stages!$C:$C),MATCH("stage_target",stages!$2:$2,0)-MATCH($A$1,stages!$2:$2,0)+1),MATCH("stage_target",stages!$2:$2,0)-MATCH($A$1,stages!$2:$2,0)+1,FALSE)</f>
        <v>everyone</v>
      </c>
      <c r="F147" s="200" t="s">
        <v>382</v>
      </c>
      <c r="G147" s="49" t="str">
        <f t="shared" si="62"/>
        <v>quest40037.png</v>
      </c>
      <c r="H147" s="13" t="s">
        <v>53</v>
      </c>
      <c r="I147" s="39">
        <v>4037</v>
      </c>
      <c r="J147" s="12">
        <v>1</v>
      </c>
    </row>
    <row r="148" spans="1:10" ht="21" customHeight="1" x14ac:dyDescent="0.15">
      <c r="A148" s="38">
        <v>40038</v>
      </c>
      <c r="B148" s="47" t="str">
        <f ca="1">VLOOKUP($A148,OFFSET(quests!$A$1,0,0,COUNTA(quests!$A:$A),MATCH(B$1,quests!$1:$1,0)-MATCH($A$1,quests!$1:$1,0)+1),MATCH(B$1,quests!$1:$1,0)-MATCH($A$1,quests!$1:$1,0)+1,FALSE)</f>
        <v>太宰治襲来！</v>
      </c>
      <c r="C148" s="47" t="str">
        <f ca="1">VLOOKUP($A148,OFFSET(quests!$A$1,0,0,COUNTA(quests!$A:$A),MATCH(C$1,quests!$1:$1,0)-MATCH($A$1,quests!$1:$1,0)+1),MATCH(C$1,quests!$1:$1,0)-MATCH($A$1,quests!$1:$1,0)+1,FALSE)</f>
        <v>ハートパネルが出現しない！</v>
      </c>
      <c r="D148" s="47" t="str">
        <f ca="1">VLOOKUP($A148,OFFSET(quests!$A$1,0,0,COUNTA(quests!$A:$A),MATCH(D$1,quests!$1:$1,0)-MATCH($A$1,quests!$1:$1,0)+1),MATCH(D$1,quests!$1:$1,0)-MATCH($A$1,quests!$1:$1,0)+1,FALSE)</f>
        <v>降臨38</v>
      </c>
      <c r="E148" s="47" t="str">
        <f ca="1">VLOOKUP($A148,OFFSET(stages!$C$2,0,0,COUNTA(stages!$C:$C),MATCH("stage_target",stages!$2:$2,0)-MATCH($A$1,stages!$2:$2,0)+1),MATCH("stage_target",stages!$2:$2,0)-MATCH($A$1,stages!$2:$2,0)+1,FALSE)</f>
        <v>everyone</v>
      </c>
      <c r="F148" s="200" t="s">
        <v>382</v>
      </c>
      <c r="G148" s="49" t="str">
        <f t="shared" ref="G148" si="64">"quest"&amp;A148&amp;".png"</f>
        <v>quest40038.png</v>
      </c>
      <c r="H148" s="13" t="s">
        <v>53</v>
      </c>
      <c r="I148" s="39">
        <v>4038</v>
      </c>
      <c r="J148" s="12">
        <v>1</v>
      </c>
    </row>
    <row r="149" spans="1:10" ht="21" customHeight="1" x14ac:dyDescent="0.15">
      <c r="A149" s="31">
        <v>40039</v>
      </c>
      <c r="B149" s="47" t="str">
        <f ca="1">VLOOKUP($A149,OFFSET(quests!$A$1,0,0,COUNTA(quests!$A:$A),MATCH(B$1,quests!$1:$1,0)-MATCH($A$1,quests!$1:$1,0)+1),MATCH(B$1,quests!$1:$1,0)-MATCH($A$1,quests!$1:$1,0)+1,FALSE)</f>
        <v>シェイクスピア襲来！</v>
      </c>
      <c r="C149" s="47" t="str">
        <f ca="1">VLOOKUP($A149,OFFSET(quests!$A$1,0,0,COUNTA(quests!$A:$A),MATCH(C$1,quests!$1:$1,0)-MATCH($A$1,quests!$1:$1,0)+1),MATCH(C$1,quests!$1:$1,0)-MATCH($A$1,quests!$1:$1,0)+1,FALSE)</f>
        <v>襲来クエスト</v>
      </c>
      <c r="D149" s="47" t="str">
        <f ca="1">VLOOKUP($A149,OFFSET(quests!$A$1,0,0,COUNTA(quests!$A:$A),MATCH(D$1,quests!$1:$1,0)-MATCH($A$1,quests!$1:$1,0)+1),MATCH(D$1,quests!$1:$1,0)-MATCH($A$1,quests!$1:$1,0)+1,FALSE)</f>
        <v>降臨39</v>
      </c>
      <c r="E149" s="47" t="str">
        <f ca="1">VLOOKUP($A149,OFFSET(stages!$C$2,0,0,COUNTA(stages!$C:$C),MATCH("stage_target",stages!$2:$2,0)-MATCH($A$1,stages!$2:$2,0)+1),MATCH("stage_target",stages!$2:$2,0)-MATCH($A$1,stages!$2:$2,0)+1,FALSE)</f>
        <v>everyone</v>
      </c>
      <c r="F149" s="200" t="s">
        <v>382</v>
      </c>
      <c r="G149" s="49" t="str">
        <f t="shared" ref="G149" si="65">"quest"&amp;A149&amp;".png"</f>
        <v>quest40039.png</v>
      </c>
      <c r="H149" s="13" t="s">
        <v>53</v>
      </c>
      <c r="I149" s="23">
        <v>4039</v>
      </c>
      <c r="J149" s="12">
        <v>1</v>
      </c>
    </row>
    <row r="150" spans="1:10" ht="21" customHeight="1" x14ac:dyDescent="0.15">
      <c r="A150" s="31">
        <v>40040</v>
      </c>
      <c r="B150" s="47" t="str">
        <f ca="1">VLOOKUP($A150,OFFSET(quests!$A$1,0,0,COUNTA(quests!$A:$A),MATCH(B$1,quests!$1:$1,0)-MATCH($A$1,quests!$1:$1,0)+1),MATCH(B$1,quests!$1:$1,0)-MATCH($A$1,quests!$1:$1,0)+1,FALSE)</f>
        <v>竹中半兵衛襲来！</v>
      </c>
      <c r="C150" s="47" t="str">
        <f ca="1">VLOOKUP($A150,OFFSET(quests!$A$1,0,0,COUNTA(quests!$A:$A),MATCH(C$1,quests!$1:$1,0)-MATCH($A$1,quests!$1:$1,0)+1),MATCH(C$1,quests!$1:$1,0)-MATCH($A$1,quests!$1:$1,0)+1,FALSE)</f>
        <v>襲来クエスト</v>
      </c>
      <c r="D150" s="47" t="str">
        <f ca="1">VLOOKUP($A150,OFFSET(quests!$A$1,0,0,COUNTA(quests!$A:$A),MATCH(D$1,quests!$1:$1,0)-MATCH($A$1,quests!$1:$1,0)+1),MATCH(D$1,quests!$1:$1,0)-MATCH($A$1,quests!$1:$1,0)+1,FALSE)</f>
        <v>降臨40</v>
      </c>
      <c r="E150" s="47" t="str">
        <f ca="1">VLOOKUP($A150,OFFSET(stages!$C$2,0,0,COUNTA(stages!$C:$C),MATCH("stage_target",stages!$2:$2,0)-MATCH($A$1,stages!$2:$2,0)+1),MATCH("stage_target",stages!$2:$2,0)-MATCH($A$1,stages!$2:$2,0)+1,FALSE)</f>
        <v>everyone</v>
      </c>
      <c r="F150" s="200" t="s">
        <v>382</v>
      </c>
      <c r="G150" s="49" t="str">
        <f t="shared" ref="G150" si="66">"quest"&amp;A150&amp;".png"</f>
        <v>quest40040.png</v>
      </c>
      <c r="H150" s="13" t="s">
        <v>53</v>
      </c>
      <c r="I150" s="23">
        <v>4040</v>
      </c>
      <c r="J150" s="12">
        <v>1</v>
      </c>
    </row>
    <row r="151" spans="1:10" ht="21" customHeight="1" x14ac:dyDescent="0.15">
      <c r="A151" s="31">
        <v>40041</v>
      </c>
      <c r="B151" s="47" t="str">
        <f ca="1">VLOOKUP($A151,OFFSET(quests!$A$1,0,0,COUNTA(quests!$A:$A),MATCH(B$1,quests!$1:$1,0)-MATCH($A$1,quests!$1:$1,0)+1),MATCH(B$1,quests!$1:$1,0)-MATCH($A$1,quests!$1:$1,0)+1,FALSE)</f>
        <v>ポーラとダニー襲来！</v>
      </c>
      <c r="C151" s="47" t="str">
        <f ca="1">VLOOKUP($A151,OFFSET(quests!$A$1,0,0,COUNTA(quests!$A:$A),MATCH(C$1,quests!$1:$1,0)-MATCH($A$1,quests!$1:$1,0)+1),MATCH(C$1,quests!$1:$1,0)-MATCH($A$1,quests!$1:$1,0)+1,FALSE)</f>
        <v>襲来クエスト</v>
      </c>
      <c r="D151" s="47" t="str">
        <f ca="1">VLOOKUP($A151,OFFSET(quests!$A$1,0,0,COUNTA(quests!$A:$A),MATCH(D$1,quests!$1:$1,0)-MATCH($A$1,quests!$1:$1,0)+1),MATCH(D$1,quests!$1:$1,0)-MATCH($A$1,quests!$1:$1,0)+1,FALSE)</f>
        <v>降臨41</v>
      </c>
      <c r="E151" s="47" t="str">
        <f ca="1">VLOOKUP($A151,OFFSET(stages!$C$2,0,0,COUNTA(stages!$C:$C),MATCH("stage_target",stages!$2:$2,0)-MATCH($A$1,stages!$2:$2,0)+1),MATCH("stage_target",stages!$2:$2,0)-MATCH($A$1,stages!$2:$2,0)+1,FALSE)</f>
        <v>everyone</v>
      </c>
      <c r="F151" s="200" t="s">
        <v>382</v>
      </c>
      <c r="G151" s="49" t="str">
        <f t="shared" ref="G151" si="67">"quest"&amp;A151&amp;".png"</f>
        <v>quest40041.png</v>
      </c>
      <c r="H151" s="13" t="s">
        <v>53</v>
      </c>
      <c r="I151" s="12">
        <v>4041</v>
      </c>
      <c r="J151" s="12">
        <v>1</v>
      </c>
    </row>
    <row r="152" spans="1:10" ht="21" customHeight="1" x14ac:dyDescent="0.15">
      <c r="A152" s="31">
        <v>40042</v>
      </c>
      <c r="B152" s="47" t="str">
        <f ca="1">VLOOKUP($A152,OFFSET(quests!$A$1,0,0,COUNTA(quests!$A:$A),MATCH(B$1,quests!$1:$1,0)-MATCH($A$1,quests!$1:$1,0)+1),MATCH(B$1,quests!$1:$1,0)-MATCH($A$1,quests!$1:$1,0)+1,FALSE)</f>
        <v>ヘル襲来！</v>
      </c>
      <c r="C152" s="47" t="str">
        <f ca="1">VLOOKUP($A152,OFFSET(quests!$A$1,0,0,COUNTA(quests!$A:$A),MATCH(C$1,quests!$1:$1,0)-MATCH($A$1,quests!$1:$1,0)+1),MATCH(C$1,quests!$1:$1,0)-MATCH($A$1,quests!$1:$1,0)+1,FALSE)</f>
        <v>襲来クエスト</v>
      </c>
      <c r="D152" s="47" t="str">
        <f ca="1">VLOOKUP($A152,OFFSET(quests!$A$1,0,0,COUNTA(quests!$A:$A),MATCH(D$1,quests!$1:$1,0)-MATCH($A$1,quests!$1:$1,0)+1),MATCH(D$1,quests!$1:$1,0)-MATCH($A$1,quests!$1:$1,0)+1,FALSE)</f>
        <v>降臨42</v>
      </c>
      <c r="E152" s="47" t="str">
        <f ca="1">VLOOKUP($A152,OFFSET(stages!$C$2,0,0,COUNTA(stages!$C:$C),MATCH("stage_target",stages!$2:$2,0)-MATCH($A$1,stages!$2:$2,0)+1),MATCH("stage_target",stages!$2:$2,0)-MATCH($A$1,stages!$2:$2,0)+1,FALSE)</f>
        <v>everyone</v>
      </c>
      <c r="F152" s="200" t="s">
        <v>382</v>
      </c>
      <c r="G152" s="49" t="str">
        <f t="shared" ref="G152" si="68">"quest"&amp;A152&amp;".png"</f>
        <v>quest40042.png</v>
      </c>
      <c r="H152" s="13" t="s">
        <v>53</v>
      </c>
      <c r="I152" s="12">
        <v>4042</v>
      </c>
      <c r="J152" s="12">
        <v>1</v>
      </c>
    </row>
    <row r="153" spans="1:10" ht="21" customHeight="1" x14ac:dyDescent="0.15">
      <c r="A153" s="31">
        <v>40043</v>
      </c>
      <c r="B153" s="47" t="str">
        <f ca="1">VLOOKUP($A153,OFFSET(quests!$A$1,0,0,COUNTA(quests!$A:$A),MATCH(B$1,quests!$1:$1,0)-MATCH($A$1,quests!$1:$1,0)+1),MATCH(B$1,quests!$1:$1,0)-MATCH($A$1,quests!$1:$1,0)+1,FALSE)</f>
        <v>ワカヒルメ襲来！</v>
      </c>
      <c r="C153" s="47" t="str">
        <f ca="1">VLOOKUP($A153,OFFSET(quests!$A$1,0,0,COUNTA(quests!$A:$A),MATCH(C$1,quests!$1:$1,0)-MATCH($A$1,quests!$1:$1,0)+1),MATCH(C$1,quests!$1:$1,0)-MATCH($A$1,quests!$1:$1,0)+1,FALSE)</f>
        <v>襲来クエスト</v>
      </c>
      <c r="D153" s="47" t="str">
        <f ca="1">VLOOKUP($A153,OFFSET(quests!$A$1,0,0,COUNTA(quests!$A:$A),MATCH(D$1,quests!$1:$1,0)-MATCH($A$1,quests!$1:$1,0)+1),MATCH(D$1,quests!$1:$1,0)-MATCH($A$1,quests!$1:$1,0)+1,FALSE)</f>
        <v>降臨43</v>
      </c>
      <c r="E153" s="47" t="str">
        <f ca="1">VLOOKUP($A153,OFFSET(stages!$C$2,0,0,COUNTA(stages!$C:$C),MATCH("stage_target",stages!$2:$2,0)-MATCH($A$1,stages!$2:$2,0)+1),MATCH("stage_target",stages!$2:$2,0)-MATCH($A$1,stages!$2:$2,0)+1,FALSE)</f>
        <v>everyone</v>
      </c>
      <c r="F153" s="200" t="s">
        <v>382</v>
      </c>
      <c r="G153" s="49" t="str">
        <f t="shared" ref="G153" si="69">"quest"&amp;A153&amp;".png"</f>
        <v>quest40043.png</v>
      </c>
      <c r="H153" s="13" t="s">
        <v>53</v>
      </c>
      <c r="I153" s="12">
        <v>4043</v>
      </c>
      <c r="J153" s="12">
        <v>1</v>
      </c>
    </row>
    <row r="154" spans="1:10" ht="21" customHeight="1" x14ac:dyDescent="0.15">
      <c r="A154" s="31">
        <v>40044</v>
      </c>
      <c r="B154" s="47" t="str">
        <f ca="1">VLOOKUP($A154,OFFSET(quests!$A$1,0,0,COUNTA(quests!$A:$A),MATCH(B$1,quests!$1:$1,0)-MATCH($A$1,quests!$1:$1,0)+1),MATCH(B$1,quests!$1:$1,0)-MATCH($A$1,quests!$1:$1,0)+1,FALSE)</f>
        <v>ジキル&amp;ハイド襲来！</v>
      </c>
      <c r="C154" s="47" t="str">
        <f ca="1">VLOOKUP($A154,OFFSET(quests!$A$1,0,0,COUNTA(quests!$A:$A),MATCH(C$1,quests!$1:$1,0)-MATCH($A$1,quests!$1:$1,0)+1),MATCH(C$1,quests!$1:$1,0)-MATCH($A$1,quests!$1:$1,0)+1,FALSE)</f>
        <v>襲来クエスト</v>
      </c>
      <c r="D154" s="47" t="str">
        <f ca="1">VLOOKUP($A154,OFFSET(quests!$A$1,0,0,COUNTA(quests!$A:$A),MATCH(D$1,quests!$1:$1,0)-MATCH($A$1,quests!$1:$1,0)+1),MATCH(D$1,quests!$1:$1,0)-MATCH($A$1,quests!$1:$1,0)+1,FALSE)</f>
        <v>降臨44</v>
      </c>
      <c r="E154" s="47" t="str">
        <f ca="1">VLOOKUP($A154,OFFSET(stages!$C$2,0,0,COUNTA(stages!$C:$C),MATCH("stage_target",stages!$2:$2,0)-MATCH($A$1,stages!$2:$2,0)+1),MATCH("stage_target",stages!$2:$2,0)-MATCH($A$1,stages!$2:$2,0)+1,FALSE)</f>
        <v>everyone</v>
      </c>
      <c r="F154" s="200" t="s">
        <v>382</v>
      </c>
      <c r="G154" s="49" t="str">
        <f t="shared" ref="G154" si="70">"quest"&amp;A154&amp;".png"</f>
        <v>quest40044.png</v>
      </c>
      <c r="H154" s="13" t="s">
        <v>53</v>
      </c>
      <c r="I154" s="12">
        <v>4044</v>
      </c>
      <c r="J154" s="12">
        <v>1</v>
      </c>
    </row>
    <row r="155" spans="1:10" ht="21" customHeight="1" x14ac:dyDescent="0.15">
      <c r="A155" s="31">
        <v>40045</v>
      </c>
      <c r="B155" s="47" t="str">
        <f ca="1">VLOOKUP($A155,OFFSET(quests!$A$1,0,0,COUNTA(quests!$A:$A),MATCH(B$1,quests!$1:$1,0)-MATCH($A$1,quests!$1:$1,0)+1),MATCH(B$1,quests!$1:$1,0)-MATCH($A$1,quests!$1:$1,0)+1,FALSE)</f>
        <v>服部半蔵襲来！</v>
      </c>
      <c r="C155" s="47" t="str">
        <f ca="1">VLOOKUP($A155,OFFSET(quests!$A$1,0,0,COUNTA(quests!$A:$A),MATCH(C$1,quests!$1:$1,0)-MATCH($A$1,quests!$1:$1,0)+1),MATCH(C$1,quests!$1:$1,0)-MATCH($A$1,quests!$1:$1,0)+1,FALSE)</f>
        <v>襲来クエスト</v>
      </c>
      <c r="D155" s="47" t="str">
        <f ca="1">VLOOKUP($A155,OFFSET(quests!$A$1,0,0,COUNTA(quests!$A:$A),MATCH(D$1,quests!$1:$1,0)-MATCH($A$1,quests!$1:$1,0)+1),MATCH(D$1,quests!$1:$1,0)-MATCH($A$1,quests!$1:$1,0)+1,FALSE)</f>
        <v>降臨45</v>
      </c>
      <c r="E155" s="47" t="str">
        <f ca="1">VLOOKUP($A155,OFFSET(stages!$C$2,0,0,COUNTA(stages!$C:$C),MATCH("stage_target",stages!$2:$2,0)-MATCH($A$1,stages!$2:$2,0)+1),MATCH("stage_target",stages!$2:$2,0)-MATCH($A$1,stages!$2:$2,0)+1,FALSE)</f>
        <v>everyone</v>
      </c>
      <c r="F155" s="200" t="s">
        <v>382</v>
      </c>
      <c r="G155" s="49" t="str">
        <f t="shared" ref="G155" si="71">"quest"&amp;A155&amp;".png"</f>
        <v>quest40045.png</v>
      </c>
      <c r="H155" s="13" t="s">
        <v>53</v>
      </c>
      <c r="I155" s="12">
        <v>4045</v>
      </c>
      <c r="J155" s="12">
        <v>1</v>
      </c>
    </row>
    <row r="156" spans="1:10" ht="21" customHeight="1" x14ac:dyDescent="0.15">
      <c r="A156" s="31">
        <v>40046</v>
      </c>
      <c r="B156" s="47" t="str">
        <f ca="1">VLOOKUP($A156,OFFSET(quests!$A$1,0,0,COUNTA(quests!$A:$A),MATCH(B$1,quests!$1:$1,0)-MATCH($A$1,quests!$1:$1,0)+1),MATCH(B$1,quests!$1:$1,0)-MATCH($A$1,quests!$1:$1,0)+1,FALSE)</f>
        <v>ゼノビア襲来！</v>
      </c>
      <c r="C156" s="47" t="str">
        <f ca="1">VLOOKUP($A156,OFFSET(quests!$A$1,0,0,COUNTA(quests!$A:$A),MATCH(C$1,quests!$1:$1,0)-MATCH($A$1,quests!$1:$1,0)+1),MATCH(C$1,quests!$1:$1,0)-MATCH($A$1,quests!$1:$1,0)+1,FALSE)</f>
        <v>襲来クエスト</v>
      </c>
      <c r="D156" s="47" t="str">
        <f ca="1">VLOOKUP($A156,OFFSET(quests!$A$1,0,0,COUNTA(quests!$A:$A),MATCH(D$1,quests!$1:$1,0)-MATCH($A$1,quests!$1:$1,0)+1),MATCH(D$1,quests!$1:$1,0)-MATCH($A$1,quests!$1:$1,0)+1,FALSE)</f>
        <v>降臨46</v>
      </c>
      <c r="E156" s="47" t="str">
        <f ca="1">VLOOKUP($A156,OFFSET(stages!$C$2,0,0,COUNTA(stages!$C:$C),MATCH("stage_target",stages!$2:$2,0)-MATCH($A$1,stages!$2:$2,0)+1),MATCH("stage_target",stages!$2:$2,0)-MATCH($A$1,stages!$2:$2,0)+1,FALSE)</f>
        <v>everyone</v>
      </c>
      <c r="F156" s="200" t="s">
        <v>382</v>
      </c>
      <c r="G156" s="49" t="str">
        <f t="shared" ref="G156" si="72">"quest"&amp;A156&amp;".png"</f>
        <v>quest40046.png</v>
      </c>
      <c r="H156" s="13" t="s">
        <v>53</v>
      </c>
      <c r="I156" s="12">
        <v>4046</v>
      </c>
      <c r="J156" s="12">
        <v>1</v>
      </c>
    </row>
    <row r="157" spans="1:10" ht="21" customHeight="1" x14ac:dyDescent="0.15">
      <c r="A157" s="80">
        <v>41001</v>
      </c>
      <c r="B157" s="47" t="str">
        <f ca="1">VLOOKUP($A157,OFFSET(quests!$A$1,0,0,COUNTA(quests!$A:$A),MATCH(B$1,quests!$1:$1,0)-MATCH($A$1,quests!$1:$1,0)+1),MATCH(B$1,quests!$1:$1,0)-MATCH($A$1,quests!$1:$1,0)+1,FALSE)</f>
        <v>アマテラス襲来！</v>
      </c>
      <c r="C157" s="47" t="str">
        <f ca="1">VLOOKUP($A157,OFFSET(quests!$A$1,0,0,COUNTA(quests!$A:$A),MATCH(C$1,quests!$1:$1,0)-MATCH($A$1,quests!$1:$1,0)+1),MATCH(C$1,quests!$1:$1,0)-MATCH($A$1,quests!$1:$1,0)+1,FALSE)</f>
        <v>襲来クエスト</v>
      </c>
      <c r="D157" s="47" t="str">
        <f ca="1">VLOOKUP($A157,OFFSET(quests!$A$1,0,0,COUNTA(quests!$A:$A),MATCH(D$1,quests!$1:$1,0)-MATCH($A$1,quests!$1:$1,0)+1),MATCH(D$1,quests!$1:$1,0)-MATCH($A$1,quests!$1:$1,0)+1,FALSE)</f>
        <v>降臨1</v>
      </c>
      <c r="E157" s="47" t="str">
        <f ca="1">VLOOKUP($A157,OFFSET(stages!$C$2,0,0,COUNTA(stages!$C:$C),MATCH("stage_target",stages!$2:$2,0)-MATCH($A$1,stages!$2:$2,0)+1),MATCH("stage_target",stages!$2:$2,0)-MATCH($A$1,stages!$2:$2,0)+1,FALSE)</f>
        <v>everyone</v>
      </c>
      <c r="F157" s="200" t="s">
        <v>382</v>
      </c>
      <c r="G157" s="49" t="str">
        <f t="shared" si="50"/>
        <v>quest41001.png</v>
      </c>
      <c r="H157" s="13" t="s">
        <v>53</v>
      </c>
      <c r="I157" s="12">
        <v>4001</v>
      </c>
      <c r="J157" s="12">
        <v>1</v>
      </c>
    </row>
    <row r="158" spans="1:10" ht="21" customHeight="1" x14ac:dyDescent="0.15">
      <c r="A158" s="80">
        <v>41002</v>
      </c>
      <c r="B158" s="47" t="str">
        <f ca="1">VLOOKUP($A158,OFFSET(quests!$A$1,0,0,COUNTA(quests!$A:$A),MATCH(B$1,quests!$1:$1,0)-MATCH($A$1,quests!$1:$1,0)+1),MATCH(B$1,quests!$1:$1,0)-MATCH($A$1,quests!$1:$1,0)+1,FALSE)</f>
        <v>アザゼル襲来！</v>
      </c>
      <c r="C158" s="47" t="str">
        <f ca="1">VLOOKUP($A158,OFFSET(quests!$A$1,0,0,COUNTA(quests!$A:$A),MATCH(C$1,quests!$1:$1,0)-MATCH($A$1,quests!$1:$1,0)+1),MATCH(C$1,quests!$1:$1,0)-MATCH($A$1,quests!$1:$1,0)+1,FALSE)</f>
        <v>襲来クエスト</v>
      </c>
      <c r="D158" s="47" t="str">
        <f ca="1">VLOOKUP($A158,OFFSET(quests!$A$1,0,0,COUNTA(quests!$A:$A),MATCH(D$1,quests!$1:$1,0)-MATCH($A$1,quests!$1:$1,0)+1),MATCH(D$1,quests!$1:$1,0)-MATCH($A$1,quests!$1:$1,0)+1,FALSE)</f>
        <v>降臨1</v>
      </c>
      <c r="E158" s="47" t="str">
        <f ca="1">VLOOKUP($A158,OFFSET(stages!$C$2,0,0,COUNTA(stages!$C:$C),MATCH("stage_target",stages!$2:$2,0)-MATCH($A$1,stages!$2:$2,0)+1),MATCH("stage_target",stages!$2:$2,0)-MATCH($A$1,stages!$2:$2,0)+1,FALSE)</f>
        <v>everyone</v>
      </c>
      <c r="F158" s="200" t="s">
        <v>382</v>
      </c>
      <c r="G158" s="49" t="str">
        <f t="shared" si="50"/>
        <v>quest41002.png</v>
      </c>
      <c r="H158" s="13" t="s">
        <v>53</v>
      </c>
      <c r="I158" s="12">
        <v>4002</v>
      </c>
      <c r="J158" s="12">
        <v>1</v>
      </c>
    </row>
    <row r="159" spans="1:10" ht="21" customHeight="1" x14ac:dyDescent="0.15">
      <c r="A159" s="80">
        <v>41003</v>
      </c>
      <c r="B159" s="47" t="str">
        <f ca="1">VLOOKUP($A159,OFFSET(quests!$A$1,0,0,COUNTA(quests!$A:$A),MATCH(B$1,quests!$1:$1,0)-MATCH($A$1,quests!$1:$1,0)+1),MATCH(B$1,quests!$1:$1,0)-MATCH($A$1,quests!$1:$1,0)+1,FALSE)</f>
        <v>ジャンヌ襲来！</v>
      </c>
      <c r="C159" s="47" t="str">
        <f ca="1">VLOOKUP($A159,OFFSET(quests!$A$1,0,0,COUNTA(quests!$A:$A),MATCH(C$1,quests!$1:$1,0)-MATCH($A$1,quests!$1:$1,0)+1),MATCH(C$1,quests!$1:$1,0)-MATCH($A$1,quests!$1:$1,0)+1,FALSE)</f>
        <v>襲来クエスト</v>
      </c>
      <c r="D159" s="47" t="str">
        <f ca="1">VLOOKUP($A159,OFFSET(quests!$A$1,0,0,COUNTA(quests!$A:$A),MATCH(D$1,quests!$1:$1,0)-MATCH($A$1,quests!$1:$1,0)+1),MATCH(D$1,quests!$1:$1,0)-MATCH($A$1,quests!$1:$1,0)+1,FALSE)</f>
        <v>降臨1</v>
      </c>
      <c r="E159" s="47" t="str">
        <f ca="1">VLOOKUP($A159,OFFSET(stages!$C$2,0,0,COUNTA(stages!$C:$C),MATCH("stage_target",stages!$2:$2,0)-MATCH($A$1,stages!$2:$2,0)+1),MATCH("stage_target",stages!$2:$2,0)-MATCH($A$1,stages!$2:$2,0)+1,FALSE)</f>
        <v>everyone</v>
      </c>
      <c r="F159" s="200" t="s">
        <v>382</v>
      </c>
      <c r="G159" s="49" t="str">
        <f t="shared" ref="G159:G160" si="73">"quest"&amp;A159&amp;".png"</f>
        <v>quest41003.png</v>
      </c>
      <c r="H159" s="13" t="s">
        <v>53</v>
      </c>
      <c r="I159" s="12">
        <v>4003</v>
      </c>
      <c r="J159" s="12">
        <v>1</v>
      </c>
    </row>
    <row r="160" spans="1:10" ht="21" customHeight="1" x14ac:dyDescent="0.15">
      <c r="A160" s="80">
        <v>41004</v>
      </c>
      <c r="B160" s="47" t="str">
        <f ca="1">VLOOKUP($A160,OFFSET(quests!$A$1,0,0,COUNTA(quests!$A:$A),MATCH(B$1,quests!$1:$1,0)-MATCH($A$1,quests!$1:$1,0)+1),MATCH(B$1,quests!$1:$1,0)-MATCH($A$1,quests!$1:$1,0)+1,FALSE)</f>
        <v>宮本武蔵襲来！</v>
      </c>
      <c r="C160" s="47" t="str">
        <f ca="1">VLOOKUP($A160,OFFSET(quests!$A$1,0,0,COUNTA(quests!$A:$A),MATCH(C$1,quests!$1:$1,0)-MATCH($A$1,quests!$1:$1,0)+1),MATCH(C$1,quests!$1:$1,0)-MATCH($A$1,quests!$1:$1,0)+1,FALSE)</f>
        <v>襲来クエスト</v>
      </c>
      <c r="D160" s="47" t="str">
        <f ca="1">VLOOKUP($A160,OFFSET(quests!$A$1,0,0,COUNTA(quests!$A:$A),MATCH(D$1,quests!$1:$1,0)-MATCH($A$1,quests!$1:$1,0)+1),MATCH(D$1,quests!$1:$1,0)-MATCH($A$1,quests!$1:$1,0)+1,FALSE)</f>
        <v>降臨1</v>
      </c>
      <c r="E160" s="47" t="str">
        <f ca="1">VLOOKUP($A160,OFFSET(stages!$C$2,0,0,COUNTA(stages!$C:$C),MATCH("stage_target",stages!$2:$2,0)-MATCH($A$1,stages!$2:$2,0)+1),MATCH("stage_target",stages!$2:$2,0)-MATCH($A$1,stages!$2:$2,0)+1,FALSE)</f>
        <v>everyone</v>
      </c>
      <c r="F160" s="200" t="s">
        <v>382</v>
      </c>
      <c r="G160" s="49" t="str">
        <f t="shared" si="73"/>
        <v>quest41004.png</v>
      </c>
      <c r="H160" s="13" t="s">
        <v>53</v>
      </c>
      <c r="I160" s="12">
        <v>4004</v>
      </c>
      <c r="J160" s="12">
        <v>1</v>
      </c>
    </row>
    <row r="161" spans="1:10" ht="21" customHeight="1" x14ac:dyDescent="0.15">
      <c r="A161" s="80">
        <v>41005</v>
      </c>
      <c r="B161" s="47" t="str">
        <f ca="1">VLOOKUP($A161,OFFSET(quests!$A$1,0,0,COUNTA(quests!$A:$A),MATCH(B$1,quests!$1:$1,0)-MATCH($A$1,quests!$1:$1,0)+1),MATCH(B$1,quests!$1:$1,0)-MATCH($A$1,quests!$1:$1,0)+1,FALSE)</f>
        <v>オズ襲来！</v>
      </c>
      <c r="C161" s="47" t="str">
        <f ca="1">VLOOKUP($A161,OFFSET(quests!$A$1,0,0,COUNTA(quests!$A:$A),MATCH(C$1,quests!$1:$1,0)-MATCH($A$1,quests!$1:$1,0)+1),MATCH(C$1,quests!$1:$1,0)-MATCH($A$1,quests!$1:$1,0)+1,FALSE)</f>
        <v>襲来クエスト</v>
      </c>
      <c r="D161" s="47" t="str">
        <f ca="1">VLOOKUP($A161,OFFSET(quests!$A$1,0,0,COUNTA(quests!$A:$A),MATCH(D$1,quests!$1:$1,0)-MATCH($A$1,quests!$1:$1,0)+1),MATCH(D$1,quests!$1:$1,0)-MATCH($A$1,quests!$1:$1,0)+1,FALSE)</f>
        <v>降臨1</v>
      </c>
      <c r="E161" s="47" t="str">
        <f ca="1">VLOOKUP($A161,OFFSET(stages!$C$2,0,0,COUNTA(stages!$C:$C),MATCH("stage_target",stages!$2:$2,0)-MATCH($A$1,stages!$2:$2,0)+1),MATCH("stage_target",stages!$2:$2,0)-MATCH($A$1,stages!$2:$2,0)+1,FALSE)</f>
        <v>everyone</v>
      </c>
      <c r="F161" s="200" t="s">
        <v>382</v>
      </c>
      <c r="G161" s="49" t="str">
        <f t="shared" ref="G161" si="74">"quest"&amp;A161&amp;".png"</f>
        <v>quest41005.png</v>
      </c>
      <c r="H161" s="13" t="s">
        <v>53</v>
      </c>
      <c r="I161" s="12">
        <v>4005</v>
      </c>
      <c r="J161" s="12">
        <v>1</v>
      </c>
    </row>
    <row r="162" spans="1:10" ht="21" customHeight="1" x14ac:dyDescent="0.15">
      <c r="A162" s="80">
        <v>41006</v>
      </c>
      <c r="B162" s="47" t="str">
        <f ca="1">VLOOKUP($A162,OFFSET(quests!$A$1,0,0,COUNTA(quests!$A:$A),MATCH(B$1,quests!$1:$1,0)-MATCH($A$1,quests!$1:$1,0)+1),MATCH(B$1,quests!$1:$1,0)-MATCH($A$1,quests!$1:$1,0)+1,FALSE)</f>
        <v>アーサー襲来！</v>
      </c>
      <c r="C162" s="47" t="str">
        <f ca="1">VLOOKUP($A162,OFFSET(quests!$A$1,0,0,COUNTA(quests!$A:$A),MATCH(C$1,quests!$1:$1,0)-MATCH($A$1,quests!$1:$1,0)+1),MATCH(C$1,quests!$1:$1,0)-MATCH($A$1,quests!$1:$1,0)+1,FALSE)</f>
        <v>襲来クエスト</v>
      </c>
      <c r="D162" s="47" t="str">
        <f ca="1">VLOOKUP($A162,OFFSET(quests!$A$1,0,0,COUNTA(quests!$A:$A),MATCH(D$1,quests!$1:$1,0)-MATCH($A$1,quests!$1:$1,0)+1),MATCH(D$1,quests!$1:$1,0)-MATCH($A$1,quests!$1:$1,0)+1,FALSE)</f>
        <v>降臨1</v>
      </c>
      <c r="E162" s="47" t="str">
        <f ca="1">VLOOKUP($A162,OFFSET(stages!$C$2,0,0,COUNTA(stages!$C:$C),MATCH("stage_target",stages!$2:$2,0)-MATCH($A$1,stages!$2:$2,0)+1),MATCH("stage_target",stages!$2:$2,0)-MATCH($A$1,stages!$2:$2,0)+1,FALSE)</f>
        <v>everyone</v>
      </c>
      <c r="F162" s="200" t="s">
        <v>382</v>
      </c>
      <c r="G162" s="49" t="str">
        <f t="shared" ref="G162:G173" si="75">"quest"&amp;A162&amp;".png"</f>
        <v>quest41006.png</v>
      </c>
      <c r="H162" s="13" t="s">
        <v>53</v>
      </c>
      <c r="I162" s="12">
        <v>4006</v>
      </c>
      <c r="J162" s="12">
        <v>1</v>
      </c>
    </row>
    <row r="163" spans="1:10" ht="21" customHeight="1" x14ac:dyDescent="0.15">
      <c r="A163" s="80">
        <v>41007</v>
      </c>
      <c r="B163" s="47" t="str">
        <f ca="1">VLOOKUP($A163,OFFSET(quests!$A$1,0,0,COUNTA(quests!$A:$A),MATCH(B$1,quests!$1:$1,0)-MATCH($A$1,quests!$1:$1,0)+1),MATCH(B$1,quests!$1:$1,0)-MATCH($A$1,quests!$1:$1,0)+1,FALSE)</f>
        <v>グリム襲来！</v>
      </c>
      <c r="C163" s="47" t="str">
        <f ca="1">VLOOKUP($A163,OFFSET(quests!$A$1,0,0,COUNTA(quests!$A:$A),MATCH(C$1,quests!$1:$1,0)-MATCH($A$1,quests!$1:$1,0)+1),MATCH(C$1,quests!$1:$1,0)-MATCH($A$1,quests!$1:$1,0)+1,FALSE)</f>
        <v>襲来クエスト</v>
      </c>
      <c r="D163" s="47" t="str">
        <f ca="1">VLOOKUP($A163,OFFSET(quests!$A$1,0,0,COUNTA(quests!$A:$A),MATCH(D$1,quests!$1:$1,0)-MATCH($A$1,quests!$1:$1,0)+1),MATCH(D$1,quests!$1:$1,0)-MATCH($A$1,quests!$1:$1,0)+1,FALSE)</f>
        <v>降臨1</v>
      </c>
      <c r="E163" s="47" t="str">
        <f ca="1">VLOOKUP($A163,OFFSET(stages!$C$2,0,0,COUNTA(stages!$C:$C),MATCH("stage_target",stages!$2:$2,0)-MATCH($A$1,stages!$2:$2,0)+1),MATCH("stage_target",stages!$2:$2,0)-MATCH($A$1,stages!$2:$2,0)+1,FALSE)</f>
        <v>everyone</v>
      </c>
      <c r="F163" s="200" t="s">
        <v>382</v>
      </c>
      <c r="G163" s="49" t="str">
        <f t="shared" si="75"/>
        <v>quest41007.png</v>
      </c>
      <c r="H163" s="13" t="s">
        <v>53</v>
      </c>
      <c r="I163" s="12">
        <v>4007</v>
      </c>
      <c r="J163" s="12">
        <v>1</v>
      </c>
    </row>
    <row r="164" spans="1:10" ht="21" customHeight="1" x14ac:dyDescent="0.15">
      <c r="A164" s="80">
        <v>41008</v>
      </c>
      <c r="B164" s="47" t="str">
        <f ca="1">VLOOKUP($A164,OFFSET(quests!$A$1,0,0,COUNTA(quests!$A:$A),MATCH(B$1,quests!$1:$1,0)-MATCH($A$1,quests!$1:$1,0)+1),MATCH(B$1,quests!$1:$1,0)-MATCH($A$1,quests!$1:$1,0)+1,FALSE)</f>
        <v>Gスター襲来！</v>
      </c>
      <c r="C164" s="47" t="str">
        <f ca="1">VLOOKUP($A164,OFFSET(quests!$A$1,0,0,COUNTA(quests!$A:$A),MATCH(C$1,quests!$1:$1,0)-MATCH($A$1,quests!$1:$1,0)+1),MATCH(C$1,quests!$1:$1,0)-MATCH($A$1,quests!$1:$1,0)+1,FALSE)</f>
        <v>襲来クエスト</v>
      </c>
      <c r="D164" s="47" t="str">
        <f ca="1">VLOOKUP($A164,OFFSET(quests!$A$1,0,0,COUNTA(quests!$A:$A),MATCH(D$1,quests!$1:$1,0)-MATCH($A$1,quests!$1:$1,0)+1),MATCH(D$1,quests!$1:$1,0)-MATCH($A$1,quests!$1:$1,0)+1,FALSE)</f>
        <v>降臨1</v>
      </c>
      <c r="E164" s="47" t="str">
        <f ca="1">VLOOKUP($A164,OFFSET(stages!$C$2,0,0,COUNTA(stages!$C:$C),MATCH("stage_target",stages!$2:$2,0)-MATCH($A$1,stages!$2:$2,0)+1),MATCH("stage_target",stages!$2:$2,0)-MATCH($A$1,stages!$2:$2,0)+1,FALSE)</f>
        <v>everyone</v>
      </c>
      <c r="F164" s="200" t="s">
        <v>382</v>
      </c>
      <c r="G164" s="49" t="str">
        <f t="shared" si="75"/>
        <v>quest41008.png</v>
      </c>
      <c r="H164" s="13" t="s">
        <v>53</v>
      </c>
      <c r="I164" s="12">
        <v>4008</v>
      </c>
      <c r="J164" s="12">
        <v>1</v>
      </c>
    </row>
    <row r="165" spans="1:10" ht="21" customHeight="1" x14ac:dyDescent="0.15">
      <c r="A165" s="80">
        <v>41009</v>
      </c>
      <c r="B165" s="47" t="str">
        <f ca="1">VLOOKUP($A165,OFFSET(quests!$A$1,0,0,COUNTA(quests!$A:$A),MATCH(B$1,quests!$1:$1,0)-MATCH($A$1,quests!$1:$1,0)+1),MATCH(B$1,quests!$1:$1,0)-MATCH($A$1,quests!$1:$1,0)+1,FALSE)</f>
        <v>フギンとムニン襲来！</v>
      </c>
      <c r="C165" s="47" t="str">
        <f ca="1">VLOOKUP($A165,OFFSET(quests!$A$1,0,0,COUNTA(quests!$A:$A),MATCH(C$1,quests!$1:$1,0)-MATCH($A$1,quests!$1:$1,0)+1),MATCH(C$1,quests!$1:$1,0)-MATCH($A$1,quests!$1:$1,0)+1,FALSE)</f>
        <v>襲来クエスト</v>
      </c>
      <c r="D165" s="47" t="str">
        <f ca="1">VLOOKUP($A165,OFFSET(quests!$A$1,0,0,COUNTA(quests!$A:$A),MATCH(D$1,quests!$1:$1,0)-MATCH($A$1,quests!$1:$1,0)+1),MATCH(D$1,quests!$1:$1,0)-MATCH($A$1,quests!$1:$1,0)+1,FALSE)</f>
        <v>降臨1</v>
      </c>
      <c r="E165" s="47" t="str">
        <f ca="1">VLOOKUP($A165,OFFSET(stages!$C$2,0,0,COUNTA(stages!$C:$C),MATCH("stage_target",stages!$2:$2,0)-MATCH($A$1,stages!$2:$2,0)+1),MATCH("stage_target",stages!$2:$2,0)-MATCH($A$1,stages!$2:$2,0)+1,FALSE)</f>
        <v>everyone</v>
      </c>
      <c r="F165" s="200" t="s">
        <v>382</v>
      </c>
      <c r="G165" s="49" t="str">
        <f t="shared" si="75"/>
        <v>quest41009.png</v>
      </c>
      <c r="H165" s="13" t="s">
        <v>53</v>
      </c>
      <c r="I165" s="12">
        <v>4009</v>
      </c>
      <c r="J165" s="12">
        <v>1</v>
      </c>
    </row>
    <row r="166" spans="1:10" ht="21" customHeight="1" x14ac:dyDescent="0.15">
      <c r="A166" s="80">
        <v>41010</v>
      </c>
      <c r="B166" s="47" t="str">
        <f ca="1">VLOOKUP($A166,OFFSET(quests!$A$1,0,0,COUNTA(quests!$A:$A),MATCH(B$1,quests!$1:$1,0)-MATCH($A$1,quests!$1:$1,0)+1),MATCH(B$1,quests!$1:$1,0)-MATCH($A$1,quests!$1:$1,0)+1,FALSE)</f>
        <v>フレイ襲来！</v>
      </c>
      <c r="C166" s="47" t="str">
        <f ca="1">VLOOKUP($A166,OFFSET(quests!$A$1,0,0,COUNTA(quests!$A:$A),MATCH(C$1,quests!$1:$1,0)-MATCH($A$1,quests!$1:$1,0)+1),MATCH(C$1,quests!$1:$1,0)-MATCH($A$1,quests!$1:$1,0)+1,FALSE)</f>
        <v>黄パネルが出現しない！</v>
      </c>
      <c r="D166" s="47" t="str">
        <f ca="1">VLOOKUP($A166,OFFSET(quests!$A$1,0,0,COUNTA(quests!$A:$A),MATCH(D$1,quests!$1:$1,0)-MATCH($A$1,quests!$1:$1,0)+1),MATCH(D$1,quests!$1:$1,0)-MATCH($A$1,quests!$1:$1,0)+1,FALSE)</f>
        <v>降臨1</v>
      </c>
      <c r="E166" s="47" t="str">
        <f ca="1">VLOOKUP($A166,OFFSET(stages!$C$2,0,0,COUNTA(stages!$C:$C),MATCH("stage_target",stages!$2:$2,0)-MATCH($A$1,stages!$2:$2,0)+1),MATCH("stage_target",stages!$2:$2,0)-MATCH($A$1,stages!$2:$2,0)+1,FALSE)</f>
        <v>everyone</v>
      </c>
      <c r="F166" s="200" t="s">
        <v>382</v>
      </c>
      <c r="G166" s="49" t="str">
        <f t="shared" si="75"/>
        <v>quest41010.png</v>
      </c>
      <c r="H166" s="13" t="s">
        <v>53</v>
      </c>
      <c r="I166" s="12">
        <v>4010</v>
      </c>
      <c r="J166" s="12">
        <v>1</v>
      </c>
    </row>
    <row r="167" spans="1:10" ht="21" customHeight="1" x14ac:dyDescent="0.15">
      <c r="A167" s="80">
        <v>41011</v>
      </c>
      <c r="B167" s="47" t="str">
        <f ca="1">VLOOKUP($A167,OFFSET(quests!$A$1,0,0,COUNTA(quests!$A:$A),MATCH(B$1,quests!$1:$1,0)-MATCH($A$1,quests!$1:$1,0)+1),MATCH(B$1,quests!$1:$1,0)-MATCH($A$1,quests!$1:$1,0)+1,FALSE)</f>
        <v>ヨミ襲来！</v>
      </c>
      <c r="C167" s="47" t="str">
        <f ca="1">VLOOKUP($A167,OFFSET(quests!$A$1,0,0,COUNTA(quests!$A:$A),MATCH(C$1,quests!$1:$1,0)-MATCH($A$1,quests!$1:$1,0)+1),MATCH(C$1,quests!$1:$1,0)-MATCH($A$1,quests!$1:$1,0)+1,FALSE)</f>
        <v>襲来クエスト</v>
      </c>
      <c r="D167" s="47" t="str">
        <f ca="1">VLOOKUP($A167,OFFSET(quests!$A$1,0,0,COUNTA(quests!$A:$A),MATCH(D$1,quests!$1:$1,0)-MATCH($A$1,quests!$1:$1,0)+1),MATCH(D$1,quests!$1:$1,0)-MATCH($A$1,quests!$1:$1,0)+1,FALSE)</f>
        <v>降臨1</v>
      </c>
      <c r="E167" s="47" t="str">
        <f ca="1">VLOOKUP($A167,OFFSET(stages!$C$2,0,0,COUNTA(stages!$C:$C),MATCH("stage_target",stages!$2:$2,0)-MATCH($A$1,stages!$2:$2,0)+1),MATCH("stage_target",stages!$2:$2,0)-MATCH($A$1,stages!$2:$2,0)+1,FALSE)</f>
        <v>everyone</v>
      </c>
      <c r="F167" s="200" t="s">
        <v>382</v>
      </c>
      <c r="G167" s="49" t="str">
        <f t="shared" si="75"/>
        <v>quest41011.png</v>
      </c>
      <c r="H167" s="13" t="s">
        <v>53</v>
      </c>
      <c r="I167" s="12">
        <v>4011</v>
      </c>
      <c r="J167" s="12">
        <v>1</v>
      </c>
    </row>
    <row r="168" spans="1:10" ht="21" customHeight="1" x14ac:dyDescent="0.15">
      <c r="A168" s="80">
        <v>41012</v>
      </c>
      <c r="B168" s="47" t="str">
        <f ca="1">VLOOKUP($A168,OFFSET(quests!$A$1,0,0,COUNTA(quests!$A:$A),MATCH(B$1,quests!$1:$1,0)-MATCH($A$1,quests!$1:$1,0)+1),MATCH(B$1,quests!$1:$1,0)-MATCH($A$1,quests!$1:$1,0)+1,FALSE)</f>
        <v>ショウキ襲来！</v>
      </c>
      <c r="C168" s="47" t="str">
        <f ca="1">VLOOKUP($A168,OFFSET(quests!$A$1,0,0,COUNTA(quests!$A:$A),MATCH(C$1,quests!$1:$1,0)-MATCH($A$1,quests!$1:$1,0)+1),MATCH(C$1,quests!$1:$1,0)-MATCH($A$1,quests!$1:$1,0)+1,FALSE)</f>
        <v>襲来クエスト</v>
      </c>
      <c r="D168" s="47" t="str">
        <f ca="1">VLOOKUP($A168,OFFSET(quests!$A$1,0,0,COUNTA(quests!$A:$A),MATCH(D$1,quests!$1:$1,0)-MATCH($A$1,quests!$1:$1,0)+1),MATCH(D$1,quests!$1:$1,0)-MATCH($A$1,quests!$1:$1,0)+1,FALSE)</f>
        <v>降臨1</v>
      </c>
      <c r="E168" s="47" t="str">
        <f ca="1">VLOOKUP($A168,OFFSET(stages!$C$2,0,0,COUNTA(stages!$C:$C),MATCH("stage_target",stages!$2:$2,0)-MATCH($A$1,stages!$2:$2,0)+1),MATCH("stage_target",stages!$2:$2,0)-MATCH($A$1,stages!$2:$2,0)+1,FALSE)</f>
        <v>everyone</v>
      </c>
      <c r="F168" s="200" t="s">
        <v>382</v>
      </c>
      <c r="G168" s="49" t="str">
        <f t="shared" si="75"/>
        <v>quest41012.png</v>
      </c>
      <c r="H168" s="13" t="s">
        <v>53</v>
      </c>
      <c r="I168" s="12">
        <v>4012</v>
      </c>
      <c r="J168" s="12">
        <v>1</v>
      </c>
    </row>
    <row r="169" spans="1:10" ht="21" customHeight="1" x14ac:dyDescent="0.15">
      <c r="A169" s="80">
        <v>41013</v>
      </c>
      <c r="B169" s="47" t="str">
        <f ca="1">VLOOKUP($A169,OFFSET(quests!$A$1,0,0,COUNTA(quests!$A:$A),MATCH(B$1,quests!$1:$1,0)-MATCH($A$1,quests!$1:$1,0)+1),MATCH(B$1,quests!$1:$1,0)-MATCH($A$1,quests!$1:$1,0)+1,FALSE)</f>
        <v>カーマ襲来！</v>
      </c>
      <c r="C169" s="47" t="str">
        <f ca="1">VLOOKUP($A169,OFFSET(quests!$A$1,0,0,COUNTA(quests!$A:$A),MATCH(C$1,quests!$1:$1,0)-MATCH($A$1,quests!$1:$1,0)+1),MATCH(C$1,quests!$1:$1,0)-MATCH($A$1,quests!$1:$1,0)+1,FALSE)</f>
        <v>ハートパネルが出現しない！</v>
      </c>
      <c r="D169" s="47" t="str">
        <f ca="1">VLOOKUP($A169,OFFSET(quests!$A$1,0,0,COUNTA(quests!$A:$A),MATCH(D$1,quests!$1:$1,0)-MATCH($A$1,quests!$1:$1,0)+1),MATCH(D$1,quests!$1:$1,0)-MATCH($A$1,quests!$1:$1,0)+1,FALSE)</f>
        <v>降臨1</v>
      </c>
      <c r="E169" s="47" t="str">
        <f ca="1">VLOOKUP($A169,OFFSET(stages!$C$2,0,0,COUNTA(stages!$C:$C),MATCH("stage_target",stages!$2:$2,0)-MATCH($A$1,stages!$2:$2,0)+1),MATCH("stage_target",stages!$2:$2,0)-MATCH($A$1,stages!$2:$2,0)+1,FALSE)</f>
        <v>everyone</v>
      </c>
      <c r="F169" s="200" t="s">
        <v>382</v>
      </c>
      <c r="G169" s="49" t="str">
        <f t="shared" ref="G169" si="76">"quest"&amp;A169&amp;".png"</f>
        <v>quest41013.png</v>
      </c>
      <c r="H169" s="13" t="s">
        <v>53</v>
      </c>
      <c r="I169" s="12">
        <v>4013</v>
      </c>
      <c r="J169" s="12">
        <v>1</v>
      </c>
    </row>
    <row r="170" spans="1:10" ht="21" customHeight="1" x14ac:dyDescent="0.15">
      <c r="A170" s="80">
        <v>41014</v>
      </c>
      <c r="B170" s="47" t="str">
        <f ca="1">VLOOKUP($A170,OFFSET(quests!$A$1,0,0,COUNTA(quests!$A:$A),MATCH(B$1,quests!$1:$1,0)-MATCH($A$1,quests!$1:$1,0)+1),MATCH(B$1,quests!$1:$1,0)-MATCH($A$1,quests!$1:$1,0)+1,FALSE)</f>
        <v>シヴァ襲来！</v>
      </c>
      <c r="C170" s="47" t="str">
        <f ca="1">VLOOKUP($A170,OFFSET(quests!$A$1,0,0,COUNTA(quests!$A:$A),MATCH(C$1,quests!$1:$1,0)-MATCH($A$1,quests!$1:$1,0)+1),MATCH(C$1,quests!$1:$1,0)-MATCH($A$1,quests!$1:$1,0)+1,FALSE)</f>
        <v>襲来クエスト</v>
      </c>
      <c r="D170" s="47" t="str">
        <f ca="1">VLOOKUP($A170,OFFSET(quests!$A$1,0,0,COUNTA(quests!$A:$A),MATCH(D$1,quests!$1:$1,0)-MATCH($A$1,quests!$1:$1,0)+1),MATCH(D$1,quests!$1:$1,0)-MATCH($A$1,quests!$1:$1,0)+1,FALSE)</f>
        <v>降臨1</v>
      </c>
      <c r="E170" s="47" t="str">
        <f ca="1">VLOOKUP($A170,OFFSET(stages!$C$2,0,0,COUNTA(stages!$C:$C),MATCH("stage_target",stages!$2:$2,0)-MATCH($A$1,stages!$2:$2,0)+1),MATCH("stage_target",stages!$2:$2,0)-MATCH($A$1,stages!$2:$2,0)+1,FALSE)</f>
        <v>everyone</v>
      </c>
      <c r="F170" s="200" t="s">
        <v>382</v>
      </c>
      <c r="G170" s="49" t="str">
        <f t="shared" ref="G170" si="77">"quest"&amp;A170&amp;".png"</f>
        <v>quest41014.png</v>
      </c>
      <c r="H170" s="13" t="s">
        <v>53</v>
      </c>
      <c r="I170" s="12">
        <v>4014</v>
      </c>
      <c r="J170" s="12">
        <v>1</v>
      </c>
    </row>
    <row r="171" spans="1:10" ht="21" customHeight="1" x14ac:dyDescent="0.15">
      <c r="A171" s="80">
        <v>41015</v>
      </c>
      <c r="B171" s="47" t="str">
        <f ca="1">VLOOKUP($A171,OFFSET(quests!$A$1,0,0,COUNTA(quests!$A:$A),MATCH(B$1,quests!$1:$1,0)-MATCH($A$1,quests!$1:$1,0)+1),MATCH(B$1,quests!$1:$1,0)-MATCH($A$1,quests!$1:$1,0)+1,FALSE)</f>
        <v>ガレス襲来！</v>
      </c>
      <c r="C171" s="47" t="str">
        <f ca="1">VLOOKUP($A171,OFFSET(quests!$A$1,0,0,COUNTA(quests!$A:$A),MATCH(C$1,quests!$1:$1,0)-MATCH($A$1,quests!$1:$1,0)+1),MATCH(C$1,quests!$1:$1,0)-MATCH($A$1,quests!$1:$1,0)+1,FALSE)</f>
        <v>襲来クエスト</v>
      </c>
      <c r="D171" s="47" t="str">
        <f ca="1">VLOOKUP($A171,OFFSET(quests!$A$1,0,0,COUNTA(quests!$A:$A),MATCH(D$1,quests!$1:$1,0)-MATCH($A$1,quests!$1:$1,0)+1),MATCH(D$1,quests!$1:$1,0)-MATCH($A$1,quests!$1:$1,0)+1,FALSE)</f>
        <v>降臨1</v>
      </c>
      <c r="E171" s="47" t="str">
        <f ca="1">VLOOKUP($A171,OFFSET(stages!$C$2,0,0,COUNTA(stages!$C:$C),MATCH("stage_target",stages!$2:$2,0)-MATCH($A$1,stages!$2:$2,0)+1),MATCH("stage_target",stages!$2:$2,0)-MATCH($A$1,stages!$2:$2,0)+1,FALSE)</f>
        <v>everyone</v>
      </c>
      <c r="F171" s="200" t="s">
        <v>382</v>
      </c>
      <c r="G171" s="49" t="str">
        <f t="shared" ref="G171" si="78">"quest"&amp;A171&amp;".png"</f>
        <v>quest41015.png</v>
      </c>
      <c r="H171" s="13" t="s">
        <v>53</v>
      </c>
      <c r="I171" s="12">
        <v>4015</v>
      </c>
      <c r="J171" s="12">
        <v>1</v>
      </c>
    </row>
    <row r="172" spans="1:10" ht="21" customHeight="1" x14ac:dyDescent="0.15">
      <c r="A172" s="80">
        <v>47001</v>
      </c>
      <c r="B172" s="47" t="str">
        <f ca="1">VLOOKUP($A172,OFFSET(quests!$A$1,0,0,COUNTA(quests!$A:$A),MATCH(B$1,quests!$1:$1,0)-MATCH($A$1,quests!$1:$1,0)+1),MATCH(B$1,quests!$1:$1,0)-MATCH($A$1,quests!$1:$1,0)+1,FALSE)</f>
        <v>彦星襲来！</v>
      </c>
      <c r="C172" s="47" t="str">
        <f ca="1">VLOOKUP($A172,OFFSET(quests!$A$1,0,0,COUNTA(quests!$A:$A),MATCH(C$1,quests!$1:$1,0)-MATCH($A$1,quests!$1:$1,0)+1),MATCH(C$1,quests!$1:$1,0)-MATCH($A$1,quests!$1:$1,0)+1,FALSE)</f>
        <v>襲来クエスト</v>
      </c>
      <c r="D172" s="47" t="str">
        <f ca="1">VLOOKUP($A172,OFFSET(quests!$A$1,0,0,COUNTA(quests!$A:$A),MATCH(D$1,quests!$1:$1,0)-MATCH($A$1,quests!$1:$1,0)+1),MATCH(D$1,quests!$1:$1,0)-MATCH($A$1,quests!$1:$1,0)+1,FALSE)</f>
        <v>季節イベント</v>
      </c>
      <c r="E172" s="47" t="str">
        <f ca="1">VLOOKUP($A172,OFFSET(stages!$C$2,0,0,COUNTA(stages!$C:$C),MATCH("stage_target",stages!$2:$2,0)-MATCH($A$1,stages!$2:$2,0)+1),MATCH("stage_target",stages!$2:$2,0)-MATCH($A$1,stages!$2:$2,0)+1,FALSE)</f>
        <v>everyone</v>
      </c>
      <c r="F172" s="200" t="s">
        <v>382</v>
      </c>
      <c r="G172" s="49" t="str">
        <f t="shared" si="75"/>
        <v>quest47001.png</v>
      </c>
      <c r="H172" s="13" t="s">
        <v>53</v>
      </c>
      <c r="I172" s="12">
        <v>32768</v>
      </c>
      <c r="J172" s="12">
        <v>2</v>
      </c>
    </row>
    <row r="173" spans="1:10" ht="21" customHeight="1" x14ac:dyDescent="0.15">
      <c r="A173" s="80">
        <v>47002</v>
      </c>
      <c r="B173" s="47" t="str">
        <f ca="1">VLOOKUP($A173,OFFSET(quests!$A$1,0,0,COUNTA(quests!$A:$A),MATCH(B$1,quests!$1:$1,0)-MATCH($A$1,quests!$1:$1,0)+1),MATCH(B$1,quests!$1:$1,0)-MATCH($A$1,quests!$1:$1,0)+1,FALSE)</f>
        <v>夏☆襲来！</v>
      </c>
      <c r="C173" s="47" t="str">
        <f ca="1">VLOOKUP($A173,OFFSET(quests!$A$1,0,0,COUNTA(quests!$A:$A),MATCH(C$1,quests!$1:$1,0)-MATCH($A$1,quests!$1:$1,0)+1),MATCH(C$1,quests!$1:$1,0)-MATCH($A$1,quests!$1:$1,0)+1,FALSE)</f>
        <v>襲来クエスト</v>
      </c>
      <c r="D173" s="47" t="str">
        <f ca="1">VLOOKUP($A173,OFFSET(quests!$A$1,0,0,COUNTA(quests!$A:$A),MATCH(D$1,quests!$1:$1,0)-MATCH($A$1,quests!$1:$1,0)+1),MATCH(D$1,quests!$1:$1,0)-MATCH($A$1,quests!$1:$1,0)+1,FALSE)</f>
        <v>季節イベント</v>
      </c>
      <c r="E173" s="47" t="str">
        <f ca="1">VLOOKUP($A173,OFFSET(stages!$C$2,0,0,COUNTA(stages!$C:$C),MATCH("stage_target",stages!$2:$2,0)-MATCH($A$1,stages!$2:$2,0)+1),MATCH("stage_target",stages!$2:$2,0)-MATCH($A$1,stages!$2:$2,0)+1,FALSE)</f>
        <v>everyone</v>
      </c>
      <c r="F173" s="200" t="s">
        <v>382</v>
      </c>
      <c r="G173" s="49" t="str">
        <f t="shared" si="75"/>
        <v>quest47002.png</v>
      </c>
      <c r="H173" s="13" t="s">
        <v>53</v>
      </c>
      <c r="I173" s="12">
        <v>32768</v>
      </c>
      <c r="J173" s="12">
        <v>2</v>
      </c>
    </row>
    <row r="174" spans="1:10" ht="21" customHeight="1" x14ac:dyDescent="0.15">
      <c r="A174" s="80">
        <v>47003</v>
      </c>
      <c r="B174" s="47" t="str">
        <f ca="1">VLOOKUP($A174,OFFSET(quests!$A$1,0,0,COUNTA(quests!$A:$A),MATCH(B$1,quests!$1:$1,0)-MATCH($A$1,quests!$1:$1,0)+1),MATCH(B$1,quests!$1:$1,0)-MATCH($A$1,quests!$1:$1,0)+1,FALSE)</f>
        <v>ハロウィンナイトパニック！</v>
      </c>
      <c r="C174" s="47" t="str">
        <f ca="1">VLOOKUP($A174,OFFSET(quests!$A$1,0,0,COUNTA(quests!$A:$A),MATCH(C$1,quests!$1:$1,0)-MATCH($A$1,quests!$1:$1,0)+1),MATCH(C$1,quests!$1:$1,0)-MATCH($A$1,quests!$1:$1,0)+1,FALSE)</f>
        <v>襲来クエスト</v>
      </c>
      <c r="D174" s="47" t="str">
        <f ca="1">VLOOKUP($A174,OFFSET(quests!$A$1,0,0,COUNTA(quests!$A:$A),MATCH(D$1,quests!$1:$1,0)-MATCH($A$1,quests!$1:$1,0)+1),MATCH(D$1,quests!$1:$1,0)-MATCH($A$1,quests!$1:$1,0)+1,FALSE)</f>
        <v>季節イベント</v>
      </c>
      <c r="E174" s="47" t="str">
        <f ca="1">VLOOKUP($A174,OFFSET(stages!$C$2,0,0,COUNTA(stages!$C:$C),MATCH("stage_target",stages!$2:$2,0)-MATCH($A$1,stages!$2:$2,0)+1),MATCH("stage_target",stages!$2:$2,0)-MATCH($A$1,stages!$2:$2,0)+1,FALSE)</f>
        <v>everyone</v>
      </c>
      <c r="F174" s="200" t="s">
        <v>382</v>
      </c>
      <c r="G174" s="49" t="str">
        <f t="shared" ref="G174" si="79">"quest"&amp;A174&amp;".png"</f>
        <v>quest47003.png</v>
      </c>
      <c r="H174" s="13" t="s">
        <v>53</v>
      </c>
      <c r="I174" s="12">
        <v>32768</v>
      </c>
      <c r="J174" s="12">
        <v>2</v>
      </c>
    </row>
    <row r="175" spans="1:10" ht="21" customHeight="1" x14ac:dyDescent="0.15">
      <c r="A175" s="80">
        <v>47004</v>
      </c>
      <c r="B175" s="47" t="str">
        <f ca="1">VLOOKUP($A175,OFFSET(quests!$A$1,0,0,COUNTA(quests!$A:$A),MATCH(B$1,quests!$1:$1,0)-MATCH($A$1,quests!$1:$1,0)+1),MATCH(B$1,quests!$1:$1,0)-MATCH($A$1,quests!$1:$1,0)+1,FALSE)</f>
        <v>聖なる夜に祝福を</v>
      </c>
      <c r="C175" s="47" t="str">
        <f ca="1">VLOOKUP($A175,OFFSET(quests!$A$1,0,0,COUNTA(quests!$A:$A),MATCH(C$1,quests!$1:$1,0)-MATCH($A$1,quests!$1:$1,0)+1),MATCH(C$1,quests!$1:$1,0)-MATCH($A$1,quests!$1:$1,0)+1,FALSE)</f>
        <v>襲来クエスト</v>
      </c>
      <c r="D175" s="47" t="str">
        <f ca="1">VLOOKUP($A175,OFFSET(quests!$A$1,0,0,COUNTA(quests!$A:$A),MATCH(D$1,quests!$1:$1,0)-MATCH($A$1,quests!$1:$1,0)+1),MATCH(D$1,quests!$1:$1,0)-MATCH($A$1,quests!$1:$1,0)+1,FALSE)</f>
        <v>季節イベント</v>
      </c>
      <c r="E175" s="47" t="str">
        <f ca="1">VLOOKUP($A175,OFFSET(stages!$C$2,0,0,COUNTA(stages!$C:$C),MATCH("stage_target",stages!$2:$2,0)-MATCH($A$1,stages!$2:$2,0)+1),MATCH("stage_target",stages!$2:$2,0)-MATCH($A$1,stages!$2:$2,0)+1,FALSE)</f>
        <v>everyone</v>
      </c>
      <c r="F175" s="200" t="s">
        <v>382</v>
      </c>
      <c r="G175" s="49" t="str">
        <f t="shared" ref="G175:G188" si="80">"quest"&amp;A175&amp;".png"</f>
        <v>quest47004.png</v>
      </c>
      <c r="H175" s="13" t="s">
        <v>53</v>
      </c>
      <c r="I175" s="12">
        <v>32768</v>
      </c>
      <c r="J175" s="12">
        <v>2</v>
      </c>
    </row>
    <row r="176" spans="1:10" ht="21" customHeight="1" x14ac:dyDescent="0.15">
      <c r="A176" s="80">
        <v>47005</v>
      </c>
      <c r="B176" s="47" t="str">
        <f ca="1">VLOOKUP($A176,OFFSET(quests!$A$1,0,0,COUNTA(quests!$A:$A),MATCH(B$1,quests!$1:$1,0)-MATCH($A$1,quests!$1:$1,0)+1),MATCH(B$1,quests!$1:$1,0)-MATCH($A$1,quests!$1:$1,0)+1,FALSE)</f>
        <v>年を越える儀式</v>
      </c>
      <c r="C176" s="47" t="str">
        <f ca="1">VLOOKUP($A176,OFFSET(quests!$A$1,0,0,COUNTA(quests!$A:$A),MATCH(C$1,quests!$1:$1,0)-MATCH($A$1,quests!$1:$1,0)+1),MATCH(C$1,quests!$1:$1,0)-MATCH($A$1,quests!$1:$1,0)+1,FALSE)</f>
        <v>襲来クエスト</v>
      </c>
      <c r="D176" s="47" t="str">
        <f ca="1">VLOOKUP($A176,OFFSET(quests!$A$1,0,0,COUNTA(quests!$A:$A),MATCH(D$1,quests!$1:$1,0)-MATCH($A$1,quests!$1:$1,0)+1),MATCH(D$1,quests!$1:$1,0)-MATCH($A$1,quests!$1:$1,0)+1,FALSE)</f>
        <v>季節イベント</v>
      </c>
      <c r="E176" s="47" t="str">
        <f ca="1">VLOOKUP($A176,OFFSET(stages!$C$2,0,0,COUNTA(stages!$C:$C),MATCH("stage_target",stages!$2:$2,0)-MATCH($A$1,stages!$2:$2,0)+1),MATCH("stage_target",stages!$2:$2,0)-MATCH($A$1,stages!$2:$2,0)+1,FALSE)</f>
        <v>everyone</v>
      </c>
      <c r="F176" s="200" t="s">
        <v>382</v>
      </c>
      <c r="G176" s="49" t="str">
        <f t="shared" ref="G176" si="81">"quest"&amp;A176&amp;".png"</f>
        <v>quest47005.png</v>
      </c>
      <c r="H176" s="13" t="s">
        <v>53</v>
      </c>
      <c r="I176" s="12">
        <v>32768</v>
      </c>
      <c r="J176" s="12">
        <v>2</v>
      </c>
    </row>
    <row r="177" spans="1:10" ht="21" customHeight="1" x14ac:dyDescent="0.15">
      <c r="A177" s="80">
        <v>47006</v>
      </c>
      <c r="B177" s="47" t="str">
        <f ca="1">VLOOKUP($A177,OFFSET(quests!$A$1,0,0,COUNTA(quests!$A:$A),MATCH(B$1,quests!$1:$1,0)-MATCH($A$1,quests!$1:$1,0)+1),MATCH(B$1,quests!$1:$1,0)-MATCH($A$1,quests!$1:$1,0)+1,FALSE)</f>
        <v>酉の初めはたまごから</v>
      </c>
      <c r="C177" s="47" t="str">
        <f ca="1">VLOOKUP($A177,OFFSET(quests!$A$1,0,0,COUNTA(quests!$A:$A),MATCH(C$1,quests!$1:$1,0)-MATCH($A$1,quests!$1:$1,0)+1),MATCH(C$1,quests!$1:$1,0)-MATCH($A$1,quests!$1:$1,0)+1,FALSE)</f>
        <v>黄パネルが出現しない！</v>
      </c>
      <c r="D177" s="47" t="str">
        <f ca="1">VLOOKUP($A177,OFFSET(quests!$A$1,0,0,COUNTA(quests!$A:$A),MATCH(D$1,quests!$1:$1,0)-MATCH($A$1,quests!$1:$1,0)+1),MATCH(D$1,quests!$1:$1,0)-MATCH($A$1,quests!$1:$1,0)+1,FALSE)</f>
        <v>季節イベント</v>
      </c>
      <c r="E177" s="47" t="str">
        <f ca="1">VLOOKUP($A177,OFFSET(stages!$C$2,0,0,COUNTA(stages!$C:$C),MATCH("stage_target",stages!$2:$2,0)-MATCH($A$1,stages!$2:$2,0)+1),MATCH("stage_target",stages!$2:$2,0)-MATCH($A$1,stages!$2:$2,0)+1,FALSE)</f>
        <v>everyone</v>
      </c>
      <c r="F177" s="200" t="s">
        <v>382</v>
      </c>
      <c r="G177" s="49" t="str">
        <f t="shared" ref="G177" si="82">"quest"&amp;A177&amp;".png"</f>
        <v>quest47006.png</v>
      </c>
      <c r="H177" s="13" t="s">
        <v>53</v>
      </c>
      <c r="I177" s="12">
        <v>32768</v>
      </c>
      <c r="J177" s="12">
        <v>2</v>
      </c>
    </row>
    <row r="178" spans="1:10" ht="21" customHeight="1" x14ac:dyDescent="0.15">
      <c r="A178" s="80">
        <v>47007</v>
      </c>
      <c r="B178" s="47" t="str">
        <f ca="1">VLOOKUP($A178,OFFSET(quests!$A$1,0,0,COUNTA(quests!$A:$A),MATCH(B$1,quests!$1:$1,0)-MATCH($A$1,quests!$1:$1,0)+1),MATCH(B$1,quests!$1:$1,0)-MATCH($A$1,quests!$1:$1,0)+1,FALSE)</f>
        <v>ツンデレ少女の恋心</v>
      </c>
      <c r="C178" s="47" t="str">
        <f ca="1">VLOOKUP($A178,OFFSET(quests!$A$1,0,0,COUNTA(quests!$A:$A),MATCH(C$1,quests!$1:$1,0)-MATCH($A$1,quests!$1:$1,0)+1),MATCH(C$1,quests!$1:$1,0)-MATCH($A$1,quests!$1:$1,0)+1,FALSE)</f>
        <v>緑パネルが出現しない！</v>
      </c>
      <c r="D178" s="47" t="str">
        <f ca="1">VLOOKUP($A178,OFFSET(quests!$A$1,0,0,COUNTA(quests!$A:$A),MATCH(D$1,quests!$1:$1,0)-MATCH($A$1,quests!$1:$1,0)+1),MATCH(D$1,quests!$1:$1,0)-MATCH($A$1,quests!$1:$1,0)+1,FALSE)</f>
        <v>季節イベント</v>
      </c>
      <c r="E178" s="47" t="str">
        <f ca="1">VLOOKUP($A178,OFFSET(stages!$C$2,0,0,COUNTA(stages!$C:$C),MATCH("stage_target",stages!$2:$2,0)-MATCH($A$1,stages!$2:$2,0)+1),MATCH("stage_target",stages!$2:$2,0)-MATCH($A$1,stages!$2:$2,0)+1,FALSE)</f>
        <v>everyone</v>
      </c>
      <c r="F178" s="200" t="s">
        <v>382</v>
      </c>
      <c r="G178" s="49" t="str">
        <f t="shared" ref="G178" si="83">"quest"&amp;A178&amp;".png"</f>
        <v>quest47007.png</v>
      </c>
      <c r="H178" s="13" t="s">
        <v>53</v>
      </c>
      <c r="I178" s="12">
        <v>32768</v>
      </c>
      <c r="J178" s="12">
        <v>2</v>
      </c>
    </row>
    <row r="179" spans="1:10" ht="21" customHeight="1" x14ac:dyDescent="0.15">
      <c r="A179" s="80">
        <v>47008</v>
      </c>
      <c r="B179" s="47" t="str">
        <f ca="1">VLOOKUP($A179,OFFSET(quests!$A$1,0,0,COUNTA(quests!$A:$A),MATCH(B$1,quests!$1:$1,0)-MATCH($A$1,quests!$1:$1,0)+1),MATCH(B$1,quests!$1:$1,0)-MATCH($A$1,quests!$1:$1,0)+1,FALSE)</f>
        <v>ふんわり少女の恋心</v>
      </c>
      <c r="C179" s="47" t="str">
        <f ca="1">VLOOKUP($A179,OFFSET(quests!$A$1,0,0,COUNTA(quests!$A:$A),MATCH(C$1,quests!$1:$1,0)-MATCH($A$1,quests!$1:$1,0)+1),MATCH(C$1,quests!$1:$1,0)-MATCH($A$1,quests!$1:$1,0)+1,FALSE)</f>
        <v>黄パネルが出現しない！</v>
      </c>
      <c r="D179" s="47" t="str">
        <f ca="1">VLOOKUP($A179,OFFSET(quests!$A$1,0,0,COUNTA(quests!$A:$A),MATCH(D$1,quests!$1:$1,0)-MATCH($A$1,quests!$1:$1,0)+1),MATCH(D$1,quests!$1:$1,0)-MATCH($A$1,quests!$1:$1,0)+1,FALSE)</f>
        <v>季節イベント</v>
      </c>
      <c r="E179" s="47" t="str">
        <f ca="1">VLOOKUP($A179,OFFSET(stages!$C$2,0,0,COUNTA(stages!$C:$C),MATCH("stage_target",stages!$2:$2,0)-MATCH($A$1,stages!$2:$2,0)+1),MATCH("stage_target",stages!$2:$2,0)-MATCH($A$1,stages!$2:$2,0)+1,FALSE)</f>
        <v>everyone</v>
      </c>
      <c r="F179" s="200" t="s">
        <v>382</v>
      </c>
      <c r="G179" s="49" t="str">
        <f t="shared" ref="G179" si="84">"quest"&amp;A179&amp;".png"</f>
        <v>quest47008.png</v>
      </c>
      <c r="H179" s="13" t="s">
        <v>53</v>
      </c>
      <c r="I179" s="12">
        <v>32768</v>
      </c>
      <c r="J179" s="12">
        <v>2</v>
      </c>
    </row>
    <row r="180" spans="1:10" ht="21" customHeight="1" x14ac:dyDescent="0.15">
      <c r="A180" s="80">
        <v>47009</v>
      </c>
      <c r="B180" s="47" t="str">
        <f ca="1">VLOOKUP($A180,OFFSET(quests!$A$1,0,0,COUNTA(quests!$A:$A),MATCH(B$1,quests!$1:$1,0)-MATCH($A$1,quests!$1:$1,0)+1),MATCH(B$1,quests!$1:$1,0)-MATCH($A$1,quests!$1:$1,0)+1,FALSE)</f>
        <v>夏☆襲来！</v>
      </c>
      <c r="C180" s="47" t="str">
        <f ca="1">VLOOKUP($A180,OFFSET(quests!$A$1,0,0,COUNTA(quests!$A:$A),MATCH(C$1,quests!$1:$1,0)-MATCH($A$1,quests!$1:$1,0)+1),MATCH(C$1,quests!$1:$1,0)-MATCH($A$1,quests!$1:$1,0)+1,FALSE)</f>
        <v>襲来クエスト</v>
      </c>
      <c r="D180" s="47" t="str">
        <f ca="1">VLOOKUP($A180,OFFSET(quests!$A$1,0,0,COUNTA(quests!$A:$A),MATCH(D$1,quests!$1:$1,0)-MATCH($A$1,quests!$1:$1,0)+1),MATCH(D$1,quests!$1:$1,0)-MATCH($A$1,quests!$1:$1,0)+1,FALSE)</f>
        <v>（復刻）季節イベント</v>
      </c>
      <c r="E180" s="47" t="str">
        <f ca="1">VLOOKUP($A180,OFFSET(stages!$C$2,0,0,COUNTA(stages!$C:$C),MATCH("stage_target",stages!$2:$2,0)-MATCH($A$1,stages!$2:$2,0)+1),MATCH("stage_target",stages!$2:$2,0)-MATCH($A$1,stages!$2:$2,0)+1,FALSE)</f>
        <v>everyone</v>
      </c>
      <c r="F180" s="200" t="s">
        <v>382</v>
      </c>
      <c r="G180" s="118" t="s">
        <v>2096</v>
      </c>
      <c r="H180" s="13" t="s">
        <v>53</v>
      </c>
      <c r="I180" s="12">
        <v>32768</v>
      </c>
      <c r="J180" s="12">
        <v>2</v>
      </c>
    </row>
    <row r="181" spans="1:10" ht="21" customHeight="1" x14ac:dyDescent="0.15">
      <c r="A181" s="80">
        <v>47010</v>
      </c>
      <c r="B181" s="47" t="str">
        <f ca="1">VLOOKUP($A181,OFFSET(quests!$A$1,0,0,COUNTA(quests!$A:$A),MATCH(B$1,quests!$1:$1,0)-MATCH($A$1,quests!$1:$1,0)+1),MATCH(B$1,quests!$1:$1,0)-MATCH($A$1,quests!$1:$1,0)+1,FALSE)</f>
        <v>僕の愛よあの子にとどけ！</v>
      </c>
      <c r="C181" s="47" t="str">
        <f ca="1">VLOOKUP($A181,OFFSET(quests!$A$1,0,0,COUNTA(quests!$A:$A),MATCH(C$1,quests!$1:$1,0)-MATCH($A$1,quests!$1:$1,0)+1),MATCH(C$1,quests!$1:$1,0)-MATCH($A$1,quests!$1:$1,0)+1,FALSE)</f>
        <v>ホワイトデー★特別クエスト</v>
      </c>
      <c r="D181" s="47" t="str">
        <f ca="1">VLOOKUP($A181,OFFSET(quests!$A$1,0,0,COUNTA(quests!$A:$A),MATCH(D$1,quests!$1:$1,0)-MATCH($A$1,quests!$1:$1,0)+1),MATCH(D$1,quests!$1:$1,0)-MATCH($A$1,quests!$1:$1,0)+1,FALSE)</f>
        <v>季節イベント</v>
      </c>
      <c r="E181" s="47" t="str">
        <f ca="1">VLOOKUP($A181,OFFSET(stages!$C$2,0,0,COUNTA(stages!$C:$C),MATCH("stage_target",stages!$2:$2,0)-MATCH($A$1,stages!$2:$2,0)+1),MATCH("stage_target",stages!$2:$2,0)-MATCH($A$1,stages!$2:$2,0)+1,FALSE)</f>
        <v>everyone</v>
      </c>
      <c r="F181" s="200" t="s">
        <v>382</v>
      </c>
      <c r="G181" s="118" t="s">
        <v>2105</v>
      </c>
      <c r="H181" s="13" t="s">
        <v>53</v>
      </c>
      <c r="I181" s="12">
        <v>32768</v>
      </c>
      <c r="J181" s="12">
        <v>2</v>
      </c>
    </row>
    <row r="182" spans="1:10" ht="21" customHeight="1" x14ac:dyDescent="0.15">
      <c r="A182" s="80">
        <v>47011</v>
      </c>
      <c r="B182" s="47" t="str">
        <f ca="1">VLOOKUP($A182,OFFSET(quests!$A$1,0,0,COUNTA(quests!$A:$A),MATCH(B$1,quests!$1:$1,0)-MATCH($A$1,quests!$1:$1,0)+1),MATCH(B$1,quests!$1:$1,0)-MATCH($A$1,quests!$1:$1,0)+1,FALSE)</f>
        <v>ツンデレ少女にお返しを！</v>
      </c>
      <c r="C182" s="47" t="str">
        <f ca="1">VLOOKUP($A182,OFFSET(quests!$A$1,0,0,COUNTA(quests!$A:$A),MATCH(C$1,quests!$1:$1,0)-MATCH($A$1,quests!$1:$1,0)+1),MATCH(C$1,quests!$1:$1,0)-MATCH($A$1,quests!$1:$1,0)+1,FALSE)</f>
        <v>ホワイトデー★特別クエスト</v>
      </c>
      <c r="D182" s="47" t="str">
        <f ca="1">VLOOKUP($A182,OFFSET(quests!$A$1,0,0,COUNTA(quests!$A:$A),MATCH(D$1,quests!$1:$1,0)-MATCH($A$1,quests!$1:$1,0)+1),MATCH(D$1,quests!$1:$1,0)-MATCH($A$1,quests!$1:$1,0)+1,FALSE)</f>
        <v>季節イベント</v>
      </c>
      <c r="E182" s="47" t="str">
        <f ca="1">VLOOKUP($A182,OFFSET(stages!$C$2,0,0,COUNTA(stages!$C:$C),MATCH("stage_target",stages!$2:$2,0)-MATCH($A$1,stages!$2:$2,0)+1),MATCH("stage_target",stages!$2:$2,0)-MATCH($A$1,stages!$2:$2,0)+1,FALSE)</f>
        <v>singleonly</v>
      </c>
      <c r="F182" s="200" t="s">
        <v>382</v>
      </c>
      <c r="G182" s="49" t="str">
        <f t="shared" ref="G182" si="85">"quest"&amp;A182&amp;".png"</f>
        <v>quest47011.png</v>
      </c>
      <c r="H182" s="13" t="s">
        <v>53</v>
      </c>
      <c r="I182" s="12">
        <v>32768</v>
      </c>
      <c r="J182" s="12">
        <v>2</v>
      </c>
    </row>
    <row r="183" spans="1:10" ht="21" customHeight="1" x14ac:dyDescent="0.15">
      <c r="A183" s="80">
        <v>47012</v>
      </c>
      <c r="B183" s="47" t="str">
        <f ca="1">VLOOKUP($A183,OFFSET(quests!$A$1,0,0,COUNTA(quests!$A:$A),MATCH(B$1,quests!$1:$1,0)-MATCH($A$1,quests!$1:$1,0)+1),MATCH(B$1,quests!$1:$1,0)-MATCH($A$1,quests!$1:$1,0)+1,FALSE)</f>
        <v>春呼ぶキミの行方</v>
      </c>
      <c r="C183" s="47" t="str">
        <f ca="1">VLOOKUP($A183,OFFSET(quests!$A$1,0,0,COUNTA(quests!$A:$A),MATCH(C$1,quests!$1:$1,0)-MATCH($A$1,quests!$1:$1,0)+1),MATCH(C$1,quests!$1:$1,0)-MATCH($A$1,quests!$1:$1,0)+1,FALSE)</f>
        <v>お花見★特別クエスト</v>
      </c>
      <c r="D183" s="47" t="str">
        <f ca="1">VLOOKUP($A183,OFFSET(quests!$A$1,0,0,COUNTA(quests!$A:$A),MATCH(D$1,quests!$1:$1,0)-MATCH($A$1,quests!$1:$1,0)+1),MATCH(D$1,quests!$1:$1,0)-MATCH($A$1,quests!$1:$1,0)+1,FALSE)</f>
        <v>季節イベント</v>
      </c>
      <c r="E183" s="47" t="str">
        <f ca="1">VLOOKUP($A183,OFFSET(stages!$C$2,0,0,COUNTA(stages!$C:$C),MATCH("stage_target",stages!$2:$2,0)-MATCH($A$1,stages!$2:$2,0)+1),MATCH("stage_target",stages!$2:$2,0)-MATCH($A$1,stages!$2:$2,0)+1,FALSE)</f>
        <v>everyone</v>
      </c>
      <c r="F183" s="200" t="s">
        <v>382</v>
      </c>
      <c r="G183" s="49" t="str">
        <f t="shared" ref="G183" si="86">"quest"&amp;A183&amp;".png"</f>
        <v>quest47012.png</v>
      </c>
      <c r="H183" s="13" t="s">
        <v>53</v>
      </c>
      <c r="I183" s="12">
        <v>32768</v>
      </c>
      <c r="J183" s="12">
        <v>2</v>
      </c>
    </row>
    <row r="184" spans="1:10" ht="21" customHeight="1" x14ac:dyDescent="0.15">
      <c r="A184" s="80">
        <v>47013</v>
      </c>
      <c r="B184" s="47" t="str">
        <f ca="1">VLOOKUP($A184,OFFSET(quests!$A$1,0,0,COUNTA(quests!$A:$A),MATCH(B$1,quests!$1:$1,0)-MATCH($A$1,quests!$1:$1,0)+1),MATCH(B$1,quests!$1:$1,0)-MATCH($A$1,quests!$1:$1,0)+1,FALSE)</f>
        <v>スカルズ襲来！</v>
      </c>
      <c r="C184" s="47" t="str">
        <f ca="1">VLOOKUP($A184,OFFSET(quests!$A$1,0,0,COUNTA(quests!$A:$A),MATCH(C$1,quests!$1:$1,0)-MATCH($A$1,quests!$1:$1,0)+1),MATCH(C$1,quests!$1:$1,0)-MATCH($A$1,quests!$1:$1,0)+1,FALSE)</f>
        <v>襲来クエスト/スコアアタック</v>
      </c>
      <c r="D184" s="47" t="str">
        <f ca="1">VLOOKUP($A184,OFFSET(quests!$A$1,0,0,COUNTA(quests!$A:$A),MATCH(D$1,quests!$1:$1,0)-MATCH($A$1,quests!$1:$1,0)+1),MATCH(D$1,quests!$1:$1,0)-MATCH($A$1,quests!$1:$1,0)+1,FALSE)</f>
        <v>1000億パネル破壊記念イベント</v>
      </c>
      <c r="E184" s="47" t="str">
        <f ca="1">VLOOKUP($A184,OFFSET(stages!$C$2,0,0,COUNTA(stages!$C:$C),MATCH("stage_target",stages!$2:$2,0)-MATCH($A$1,stages!$2:$2,0)+1),MATCH("stage_target",stages!$2:$2,0)-MATCH($A$1,stages!$2:$2,0)+1,FALSE)</f>
        <v>everyone</v>
      </c>
      <c r="F184" s="200" t="s">
        <v>382</v>
      </c>
      <c r="G184" s="49" t="str">
        <f t="shared" ref="G184" si="87">"quest"&amp;A184&amp;".png"</f>
        <v>quest47013.png</v>
      </c>
      <c r="H184" s="13" t="s">
        <v>53</v>
      </c>
      <c r="I184" s="12">
        <v>32768</v>
      </c>
      <c r="J184" s="12">
        <v>2</v>
      </c>
    </row>
    <row r="185" spans="1:10" ht="21" customHeight="1" x14ac:dyDescent="0.15">
      <c r="A185" s="80">
        <v>47014</v>
      </c>
      <c r="B185" s="47" t="str">
        <f ca="1">VLOOKUP($A185,OFFSET(quests!$A$1,0,0,COUNTA(quests!$A:$A),MATCH(B$1,quests!$1:$1,0)-MATCH($A$1,quests!$1:$1,0)+1),MATCH(B$1,quests!$1:$1,0)-MATCH($A$1,quests!$1:$1,0)+1,FALSE)</f>
        <v>ヘルレイザー襲来！</v>
      </c>
      <c r="C185" s="47" t="str">
        <f ca="1">VLOOKUP($A185,OFFSET(quests!$A$1,0,0,COUNTA(quests!$A:$A),MATCH(C$1,quests!$1:$1,0)-MATCH($A$1,quests!$1:$1,0)+1),MATCH(C$1,quests!$1:$1,0)-MATCH($A$1,quests!$1:$1,0)+1,FALSE)</f>
        <v>襲来クエスト</v>
      </c>
      <c r="D185" s="47" t="str">
        <f ca="1">VLOOKUP($A185,OFFSET(quests!$A$1,0,0,COUNTA(quests!$A:$A),MATCH(D$1,quests!$1:$1,0)-MATCH($A$1,quests!$1:$1,0)+1),MATCH(D$1,quests!$1:$1,0)-MATCH($A$1,quests!$1:$1,0)+1,FALSE)</f>
        <v>800万ダウンロード記念イベント</v>
      </c>
      <c r="E185" s="47" t="str">
        <f ca="1">VLOOKUP($A185,OFFSET(stages!$C$2,0,0,COUNTA(stages!$C:$C),MATCH("stage_target",stages!$2:$2,0)-MATCH($A$1,stages!$2:$2,0)+1),MATCH("stage_target",stages!$2:$2,0)-MATCH($A$1,stages!$2:$2,0)+1,FALSE)</f>
        <v>everyone</v>
      </c>
      <c r="F185" s="200" t="s">
        <v>382</v>
      </c>
      <c r="G185" s="49" t="str">
        <f t="shared" ref="G185:G186" si="88">"quest"&amp;A185&amp;".png"</f>
        <v>quest47014.png</v>
      </c>
      <c r="H185" s="13" t="s">
        <v>53</v>
      </c>
      <c r="I185" s="12">
        <v>32768</v>
      </c>
      <c r="J185" s="12">
        <v>2</v>
      </c>
    </row>
    <row r="186" spans="1:10" ht="21" customHeight="1" x14ac:dyDescent="0.15">
      <c r="A186" s="80">
        <v>47015</v>
      </c>
      <c r="B186" s="47" t="str">
        <f ca="1">VLOOKUP($A186,OFFSET(quests!$A$1,0,0,COUNTA(quests!$A:$A),MATCH(B$1,quests!$1:$1,0)-MATCH($A$1,quests!$1:$1,0)+1),MATCH(B$1,quests!$1:$1,0)-MATCH($A$1,quests!$1:$1,0)+1,FALSE)</f>
        <v>後光射す白無垢装束</v>
      </c>
      <c r="C186" s="47" t="str">
        <f ca="1">VLOOKUP($A186,OFFSET(quests!$A$1,0,0,COUNTA(quests!$A:$A),MATCH(C$1,quests!$1:$1,0)-MATCH($A$1,quests!$1:$1,0)+1),MATCH(C$1,quests!$1:$1,0)-MATCH($A$1,quests!$1:$1,0)+1,FALSE)</f>
        <v>ジューンブライド☆特別クエスト</v>
      </c>
      <c r="D186" s="47" t="str">
        <f ca="1">VLOOKUP($A186,OFFSET(quests!$A$1,0,0,COUNTA(quests!$A:$A),MATCH(D$1,quests!$1:$1,0)-MATCH($A$1,quests!$1:$1,0)+1),MATCH(D$1,quests!$1:$1,0)-MATCH($A$1,quests!$1:$1,0)+1,FALSE)</f>
        <v>季節イベント</v>
      </c>
      <c r="E186" s="47" t="str">
        <f ca="1">VLOOKUP($A186,OFFSET(stages!$C$2,0,0,COUNTA(stages!$C:$C),MATCH("stage_target",stages!$2:$2,0)-MATCH($A$1,stages!$2:$2,0)+1),MATCH("stage_target",stages!$2:$2,0)-MATCH($A$1,stages!$2:$2,0)+1,FALSE)</f>
        <v>everyone</v>
      </c>
      <c r="F186" s="200" t="s">
        <v>382</v>
      </c>
      <c r="G186" s="49" t="str">
        <f t="shared" si="88"/>
        <v>quest47015.png</v>
      </c>
      <c r="H186" s="13" t="s">
        <v>53</v>
      </c>
      <c r="I186" s="12">
        <v>32768</v>
      </c>
      <c r="J186" s="12">
        <v>2</v>
      </c>
    </row>
    <row r="187" spans="1:10" ht="21" customHeight="1" x14ac:dyDescent="0.15">
      <c r="A187" s="80">
        <v>47016</v>
      </c>
      <c r="B187" s="47" t="str">
        <f ca="1">VLOOKUP($A187,OFFSET(quests!$A$1,0,0,COUNTA(quests!$A:$A),MATCH(B$1,quests!$1:$1,0)-MATCH($A$1,quests!$1:$1,0)+1),MATCH(B$1,quests!$1:$1,0)-MATCH($A$1,quests!$1:$1,0)+1,FALSE)</f>
        <v>嫁入り道具はチェーンソー</v>
      </c>
      <c r="C187" s="47" t="str">
        <f ca="1">VLOOKUP($A187,OFFSET(quests!$A$1,0,0,COUNTA(quests!$A:$A),MATCH(C$1,quests!$1:$1,0)-MATCH($A$1,quests!$1:$1,0)+1),MATCH(C$1,quests!$1:$1,0)-MATCH($A$1,quests!$1:$1,0)+1,FALSE)</f>
        <v>ジューンブライド☆特別クエスト</v>
      </c>
      <c r="D187" s="47" t="str">
        <f ca="1">VLOOKUP($A187,OFFSET(quests!$A$1,0,0,COUNTA(quests!$A:$A),MATCH(D$1,quests!$1:$1,0)-MATCH($A$1,quests!$1:$1,0)+1),MATCH(D$1,quests!$1:$1,0)-MATCH($A$1,quests!$1:$1,0)+1,FALSE)</f>
        <v>季節イベント</v>
      </c>
      <c r="E187" s="47" t="str">
        <f ca="1">VLOOKUP($A187,OFFSET(stages!$C$2,0,0,COUNTA(stages!$C:$C),MATCH("stage_target",stages!$2:$2,0)-MATCH($A$1,stages!$2:$2,0)+1),MATCH("stage_target",stages!$2:$2,0)-MATCH($A$1,stages!$2:$2,0)+1,FALSE)</f>
        <v>everyone</v>
      </c>
      <c r="F187" s="200" t="s">
        <v>382</v>
      </c>
      <c r="G187" s="49" t="str">
        <f t="shared" ref="G187" si="89">"quest"&amp;A187&amp;".png"</f>
        <v>quest47016.png</v>
      </c>
      <c r="H187" s="13" t="s">
        <v>53</v>
      </c>
      <c r="I187" s="12">
        <v>32768</v>
      </c>
      <c r="J187" s="12">
        <v>2</v>
      </c>
    </row>
    <row r="188" spans="1:10" ht="21" customHeight="1" x14ac:dyDescent="0.15">
      <c r="A188" s="80">
        <v>48003</v>
      </c>
      <c r="B188" s="47" t="str">
        <f ca="1">VLOOKUP($A188,OFFSET(quests!$A$1,0,0,COUNTA(quests!$A:$A),MATCH(B$1,quests!$1:$1,0)-MATCH($A$1,quests!$1:$1,0)+1),MATCH(B$1,quests!$1:$1,0)-MATCH($A$1,quests!$1:$1,0)+1,FALSE)</f>
        <v>月下老人襲来！</v>
      </c>
      <c r="C188" s="47" t="str">
        <f ca="1">VLOOKUP($A188,OFFSET(quests!$A$1,0,0,COUNTA(quests!$A:$A),MATCH(C$1,quests!$1:$1,0)-MATCH($A$1,quests!$1:$1,0)+1),MATCH(C$1,quests!$1:$1,0)-MATCH($A$1,quests!$1:$1,0)+1,FALSE)</f>
        <v>襲来クエスト</v>
      </c>
      <c r="D188" s="47" t="str">
        <f ca="1">VLOOKUP($A188,OFFSET(quests!$A$1,0,0,COUNTA(quests!$A:$A),MATCH(D$1,quests!$1:$1,0)-MATCH($A$1,quests!$1:$1,0)+1),MATCH(D$1,quests!$1:$1,0)-MATCH($A$1,quests!$1:$1,0)+1,FALSE)</f>
        <v>台湾版降臨4</v>
      </c>
      <c r="E188" s="47" t="str">
        <f ca="1">VLOOKUP($A188,OFFSET(stages!$C$2,0,0,COUNTA(stages!$C:$C),MATCH("stage_target",stages!$2:$2,0)-MATCH($A$1,stages!$2:$2,0)+1),MATCH("stage_target",stages!$2:$2,0)-MATCH($A$1,stages!$2:$2,0)+1,FALSE)</f>
        <v>everyone</v>
      </c>
      <c r="F188" s="200" t="s">
        <v>382</v>
      </c>
      <c r="G188" s="49" t="str">
        <f t="shared" si="80"/>
        <v>quest48003.png</v>
      </c>
      <c r="H188" s="13" t="s">
        <v>53</v>
      </c>
      <c r="I188" s="12">
        <v>4803</v>
      </c>
      <c r="J188" s="12">
        <v>2</v>
      </c>
    </row>
    <row r="189" spans="1:10" ht="21" customHeight="1" x14ac:dyDescent="0.15">
      <c r="A189" s="80">
        <v>48004</v>
      </c>
      <c r="B189" s="47" t="str">
        <f ca="1">VLOOKUP($A189,OFFSET(quests!$A$1,0,0,COUNTA(quests!$A:$A),MATCH(B$1,quests!$1:$1,0)-MATCH($A$1,quests!$1:$1,0)+1),MATCH(B$1,quests!$1:$1,0)-MATCH($A$1,quests!$1:$1,0)+1,FALSE)</f>
        <v>蛟龍襲来！</v>
      </c>
      <c r="C189" s="47" t="str">
        <f ca="1">VLOOKUP($A189,OFFSET(quests!$A$1,0,0,COUNTA(quests!$A:$A),MATCH(C$1,quests!$1:$1,0)-MATCH($A$1,quests!$1:$1,0)+1),MATCH(C$1,quests!$1:$1,0)-MATCH($A$1,quests!$1:$1,0)+1,FALSE)</f>
        <v>襲来クエスト</v>
      </c>
      <c r="D189" s="47" t="str">
        <f ca="1">VLOOKUP($A189,OFFSET(quests!$A$1,0,0,COUNTA(quests!$A:$A),MATCH(D$1,quests!$1:$1,0)-MATCH($A$1,quests!$1:$1,0)+1),MATCH(D$1,quests!$1:$1,0)-MATCH($A$1,quests!$1:$1,0)+1,FALSE)</f>
        <v>台湾版降臨5</v>
      </c>
      <c r="E189" s="47" t="str">
        <f ca="1">VLOOKUP($A189,OFFSET(stages!$C$2,0,0,COUNTA(stages!$C:$C),MATCH("stage_target",stages!$2:$2,0)-MATCH($A$1,stages!$2:$2,0)+1),MATCH("stage_target",stages!$2:$2,0)-MATCH($A$1,stages!$2:$2,0)+1,FALSE)</f>
        <v>everyone</v>
      </c>
      <c r="F189" s="200" t="s">
        <v>382</v>
      </c>
      <c r="G189" s="49" t="str">
        <f t="shared" ref="G189" si="90">"quest"&amp;A189&amp;".png"</f>
        <v>quest48004.png</v>
      </c>
      <c r="H189" s="13" t="s">
        <v>53</v>
      </c>
      <c r="I189" s="12">
        <v>4804</v>
      </c>
      <c r="J189" s="12">
        <v>2</v>
      </c>
    </row>
    <row r="190" spans="1:10" ht="21" customHeight="1" x14ac:dyDescent="0.15">
      <c r="A190" s="80">
        <v>48005</v>
      </c>
      <c r="B190" s="47" t="str">
        <f ca="1">VLOOKUP($A190,OFFSET(quests!$A$1,0,0,COUNTA(quests!$A:$A),MATCH(B$1,quests!$1:$1,0)-MATCH($A$1,quests!$1:$1,0)+1),MATCH(B$1,quests!$1:$1,0)-MATCH($A$1,quests!$1:$1,0)+1,FALSE)</f>
        <v>孫悟空襲来！</v>
      </c>
      <c r="C190" s="47" t="str">
        <f ca="1">VLOOKUP($A190,OFFSET(quests!$A$1,0,0,COUNTA(quests!$A:$A),MATCH(C$1,quests!$1:$1,0)-MATCH($A$1,quests!$1:$1,0)+1),MATCH(C$1,quests!$1:$1,0)-MATCH($A$1,quests!$1:$1,0)+1,FALSE)</f>
        <v>襲来クエスト</v>
      </c>
      <c r="D190" s="47" t="str">
        <f ca="1">VLOOKUP($A190,OFFSET(quests!$A$1,0,0,COUNTA(quests!$A:$A),MATCH(D$1,quests!$1:$1,0)-MATCH($A$1,quests!$1:$1,0)+1),MATCH(D$1,quests!$1:$1,0)-MATCH($A$1,quests!$1:$1,0)+1,FALSE)</f>
        <v>台湾版降臨6</v>
      </c>
      <c r="E190" s="47" t="str">
        <f ca="1">VLOOKUP($A190,OFFSET(stages!$C$2,0,0,COUNTA(stages!$C:$C),MATCH("stage_target",stages!$2:$2,0)-MATCH($A$1,stages!$2:$2,0)+1),MATCH("stage_target",stages!$2:$2,0)-MATCH($A$1,stages!$2:$2,0)+1,FALSE)</f>
        <v>everyone</v>
      </c>
      <c r="F190" s="200" t="s">
        <v>382</v>
      </c>
      <c r="G190" s="49" t="str">
        <f t="shared" ref="G190" si="91">"quest"&amp;A190&amp;".png"</f>
        <v>quest48005.png</v>
      </c>
      <c r="H190" s="13" t="s">
        <v>53</v>
      </c>
      <c r="I190" s="12">
        <v>4805</v>
      </c>
      <c r="J190" s="12">
        <v>2</v>
      </c>
    </row>
    <row r="191" spans="1:10" ht="21" customHeight="1" x14ac:dyDescent="0.15">
      <c r="A191" s="80">
        <v>48006</v>
      </c>
      <c r="B191" s="47" t="str">
        <f ca="1">VLOOKUP($A191,OFFSET(quests!$A$1,0,0,COUNTA(quests!$A:$A),MATCH(B$1,quests!$1:$1,0)-MATCH($A$1,quests!$1:$1,0)+1),MATCH(B$1,quests!$1:$1,0)-MATCH($A$1,quests!$1:$1,0)+1,FALSE)</f>
        <v>牛頭馬面襲来！</v>
      </c>
      <c r="C191" s="47" t="str">
        <f ca="1">VLOOKUP($A191,OFFSET(quests!$A$1,0,0,COUNTA(quests!$A:$A),MATCH(C$1,quests!$1:$1,0)-MATCH($A$1,quests!$1:$1,0)+1),MATCH(C$1,quests!$1:$1,0)-MATCH($A$1,quests!$1:$1,0)+1,FALSE)</f>
        <v>ハートパネルが出現しない！</v>
      </c>
      <c r="D191" s="47" t="str">
        <f ca="1">VLOOKUP($A191,OFFSET(quests!$A$1,0,0,COUNTA(quests!$A:$A),MATCH(D$1,quests!$1:$1,0)-MATCH($A$1,quests!$1:$1,0)+1),MATCH(D$1,quests!$1:$1,0)-MATCH($A$1,quests!$1:$1,0)+1,FALSE)</f>
        <v>台湾版降臨7</v>
      </c>
      <c r="E191" s="47" t="str">
        <f ca="1">VLOOKUP($A191,OFFSET(stages!$C$2,0,0,COUNTA(stages!$C:$C),MATCH("stage_target",stages!$2:$2,0)-MATCH($A$1,stages!$2:$2,0)+1),MATCH("stage_target",stages!$2:$2,0)-MATCH($A$1,stages!$2:$2,0)+1,FALSE)</f>
        <v>everyone</v>
      </c>
      <c r="F191" s="200" t="s">
        <v>382</v>
      </c>
      <c r="G191" s="49" t="str">
        <f t="shared" ref="G191" si="92">"quest"&amp;A191&amp;".png"</f>
        <v>quest48006.png</v>
      </c>
      <c r="H191" s="13" t="s">
        <v>53</v>
      </c>
      <c r="I191" s="12">
        <v>4806</v>
      </c>
      <c r="J191" s="12">
        <v>2</v>
      </c>
    </row>
    <row r="192" spans="1:10" ht="21" customHeight="1" x14ac:dyDescent="0.15">
      <c r="A192" s="80">
        <v>48012</v>
      </c>
      <c r="B192" s="47" t="str">
        <f ca="1">VLOOKUP($A192,OFFSET(quests!$A$1,0,0,COUNTA(quests!$A:$A),MATCH(B$1,quests!$1:$1,0)-MATCH($A$1,quests!$1:$1,0)+1),MATCH(B$1,quests!$1:$1,0)-MATCH($A$1,quests!$1:$1,0)+1,FALSE)</f>
        <v>張果老襲来！</v>
      </c>
      <c r="C192" s="47" t="str">
        <f ca="1">VLOOKUP($A192,OFFSET(quests!$A$1,0,0,COUNTA(quests!$A:$A),MATCH(C$1,quests!$1:$1,0)-MATCH($A$1,quests!$1:$1,0)+1),MATCH(C$1,quests!$1:$1,0)-MATCH($A$1,quests!$1:$1,0)+1,FALSE)</f>
        <v>襲来クエスト</v>
      </c>
      <c r="D192" s="47" t="str">
        <f ca="1">VLOOKUP($A192,OFFSET(quests!$A$1,0,0,COUNTA(quests!$A:$A),MATCH(D$1,quests!$1:$1,0)-MATCH($A$1,quests!$1:$1,0)+1),MATCH(D$1,quests!$1:$1,0)-MATCH($A$1,quests!$1:$1,0)+1,FALSE)</f>
        <v>台湾版降臨12</v>
      </c>
      <c r="E192" s="47" t="str">
        <f ca="1">VLOOKUP($A192,OFFSET(stages!$C$2,0,0,COUNTA(stages!$C:$C),MATCH("stage_target",stages!$2:$2,0)-MATCH($A$1,stages!$2:$2,0)+1),MATCH("stage_target",stages!$2:$2,0)-MATCH($A$1,stages!$2:$2,0)+1,FALSE)</f>
        <v>everyone</v>
      </c>
      <c r="F192" s="200" t="s">
        <v>382</v>
      </c>
      <c r="G192" s="49" t="str">
        <f t="shared" ref="G192" si="93">"quest"&amp;A192&amp;".png"</f>
        <v>quest48012.png</v>
      </c>
      <c r="H192" s="13" t="s">
        <v>53</v>
      </c>
      <c r="I192" s="12">
        <v>4812</v>
      </c>
      <c r="J192" s="12">
        <v>2</v>
      </c>
    </row>
    <row r="193" spans="1:10" ht="21" customHeight="1" x14ac:dyDescent="0.15">
      <c r="A193" s="80">
        <v>48013</v>
      </c>
      <c r="B193" s="47" t="str">
        <f ca="1">VLOOKUP($A193,OFFSET(quests!$A$1,0,0,COUNTA(quests!$A:$A),MATCH(B$1,quests!$1:$1,0)-MATCH($A$1,quests!$1:$1,0)+1),MATCH(B$1,quests!$1:$1,0)-MATCH($A$1,quests!$1:$1,0)+1,FALSE)</f>
        <v>法海襲来！</v>
      </c>
      <c r="C193" s="47" t="str">
        <f ca="1">VLOOKUP($A193,OFFSET(quests!$A$1,0,0,COUNTA(quests!$A:$A),MATCH(C$1,quests!$1:$1,0)-MATCH($A$1,quests!$1:$1,0)+1),MATCH(C$1,quests!$1:$1,0)-MATCH($A$1,quests!$1:$1,0)+1,FALSE)</f>
        <v>襲来クエスト</v>
      </c>
      <c r="D193" s="47" t="str">
        <f ca="1">VLOOKUP($A193,OFFSET(quests!$A$1,0,0,COUNTA(quests!$A:$A),MATCH(D$1,quests!$1:$1,0)-MATCH($A$1,quests!$1:$1,0)+1),MATCH(D$1,quests!$1:$1,0)-MATCH($A$1,quests!$1:$1,0)+1,FALSE)</f>
        <v>台湾版降臨13</v>
      </c>
      <c r="E193" s="47" t="str">
        <f ca="1">VLOOKUP($A193,OFFSET(stages!$C$2,0,0,COUNTA(stages!$C:$C),MATCH("stage_target",stages!$2:$2,0)-MATCH($A$1,stages!$2:$2,0)+1),MATCH("stage_target",stages!$2:$2,0)-MATCH($A$1,stages!$2:$2,0)+1,FALSE)</f>
        <v>everyone</v>
      </c>
      <c r="F193" s="200" t="s">
        <v>382</v>
      </c>
      <c r="G193" s="49" t="str">
        <f t="shared" ref="G193" si="94">"quest"&amp;A193&amp;".png"</f>
        <v>quest48013.png</v>
      </c>
      <c r="H193" s="13" t="s">
        <v>53</v>
      </c>
      <c r="I193" s="12">
        <v>4813</v>
      </c>
      <c r="J193" s="12">
        <v>2</v>
      </c>
    </row>
    <row r="194" spans="1:10" ht="21" customHeight="1" x14ac:dyDescent="0.15">
      <c r="A194" s="80">
        <v>48014</v>
      </c>
      <c r="B194" s="47" t="str">
        <f ca="1">VLOOKUP($A194,OFFSET(quests!$A$1,0,0,COUNTA(quests!$A:$A),MATCH(B$1,quests!$1:$1,0)-MATCH($A$1,quests!$1:$1,0)+1),MATCH(B$1,quests!$1:$1,0)-MATCH($A$1,quests!$1:$1,0)+1,FALSE)</f>
        <v>藍采和襲来！</v>
      </c>
      <c r="C194" s="47" t="str">
        <f ca="1">VLOOKUP($A194,OFFSET(quests!$A$1,0,0,COUNTA(quests!$A:$A),MATCH(C$1,quests!$1:$1,0)-MATCH($A$1,quests!$1:$1,0)+1),MATCH(C$1,quests!$1:$1,0)-MATCH($A$1,quests!$1:$1,0)+1,FALSE)</f>
        <v>襲来クエスト</v>
      </c>
      <c r="D194" s="47" t="str">
        <f ca="1">VLOOKUP($A194,OFFSET(quests!$A$1,0,0,COUNTA(quests!$A:$A),MATCH(D$1,quests!$1:$1,0)-MATCH($A$1,quests!$1:$1,0)+1),MATCH(D$1,quests!$1:$1,0)-MATCH($A$1,quests!$1:$1,0)+1,FALSE)</f>
        <v>台湾版降臨10</v>
      </c>
      <c r="E194" s="47" t="str">
        <f ca="1">VLOOKUP($A194,OFFSET(stages!$C$2,0,0,COUNTA(stages!$C:$C),MATCH("stage_target",stages!$2:$2,0)-MATCH($A$1,stages!$2:$2,0)+1),MATCH("stage_target",stages!$2:$2,0)-MATCH($A$1,stages!$2:$2,0)+1,FALSE)</f>
        <v>everyone</v>
      </c>
      <c r="F194" s="200" t="s">
        <v>382</v>
      </c>
      <c r="G194" s="49" t="str">
        <f t="shared" ref="G194:G195" si="95">"quest"&amp;A194&amp;".png"</f>
        <v>quest48014.png</v>
      </c>
      <c r="H194" s="13" t="s">
        <v>53</v>
      </c>
      <c r="I194" s="12">
        <v>4814</v>
      </c>
      <c r="J194" s="12">
        <v>2</v>
      </c>
    </row>
    <row r="195" spans="1:10" ht="21" customHeight="1" x14ac:dyDescent="0.15">
      <c r="A195" s="80">
        <v>48015</v>
      </c>
      <c r="B195" s="47" t="str">
        <f ca="1">VLOOKUP($A195,OFFSET(quests!$A$1,0,0,COUNTA(quests!$A:$A),MATCH(B$1,quests!$1:$1,0)-MATCH($A$1,quests!$1:$1,0)+1),MATCH(B$1,quests!$1:$1,0)-MATCH($A$1,quests!$1:$1,0)+1,FALSE)</f>
        <v>牛頭馬面襲来！</v>
      </c>
      <c r="C195" s="47" t="str">
        <f ca="1">VLOOKUP($A195,OFFSET(quests!$A$1,0,0,COUNTA(quests!$A:$A),MATCH(C$1,quests!$1:$1,0)-MATCH($A$1,quests!$1:$1,0)+1),MATCH(C$1,quests!$1:$1,0)-MATCH($A$1,quests!$1:$1,0)+1,FALSE)</f>
        <v>ハートパネルが出現しない！</v>
      </c>
      <c r="D195" s="47" t="str">
        <f ca="1">VLOOKUP($A195,OFFSET(quests!$A$1,0,0,COUNTA(quests!$A:$A),MATCH(D$1,quests!$1:$1,0)-MATCH($A$1,quests!$1:$1,0)+1),MATCH(D$1,quests!$1:$1,0)-MATCH($A$1,quests!$1:$1,0)+1,FALSE)</f>
        <v>台湾版降臨7</v>
      </c>
      <c r="E195" s="47" t="str">
        <f ca="1">VLOOKUP($A195,OFFSET(stages!$C$2,0,0,COUNTA(stages!$C:$C),MATCH("stage_target",stages!$2:$2,0)-MATCH($A$1,stages!$2:$2,0)+1),MATCH("stage_target",stages!$2:$2,0)-MATCH($A$1,stages!$2:$2,0)+1,FALSE)</f>
        <v>everyone</v>
      </c>
      <c r="F195" s="200" t="s">
        <v>382</v>
      </c>
      <c r="G195" s="49" t="str">
        <f t="shared" si="95"/>
        <v>quest48015.png</v>
      </c>
      <c r="H195" s="13" t="s">
        <v>53</v>
      </c>
      <c r="I195" s="12">
        <v>4815</v>
      </c>
      <c r="J195" s="12">
        <v>2</v>
      </c>
    </row>
    <row r="196" spans="1:10" ht="21" customHeight="1" x14ac:dyDescent="0.15">
      <c r="A196" s="80">
        <v>48016</v>
      </c>
      <c r="B196" s="47" t="str">
        <f ca="1">VLOOKUP($A196,OFFSET(quests!$A$1,0,0,COUNTA(quests!$A:$A),MATCH(B$1,quests!$1:$1,0)-MATCH($A$1,quests!$1:$1,0)+1),MATCH(B$1,quests!$1:$1,0)-MATCH($A$1,quests!$1:$1,0)+1,FALSE)</f>
        <v>ソウコッキュウ襲来！</v>
      </c>
      <c r="C196" s="47" t="str">
        <f ca="1">VLOOKUP($A196,OFFSET(quests!$A$1,0,0,COUNTA(quests!$A:$A),MATCH(C$1,quests!$1:$1,0)-MATCH($A$1,quests!$1:$1,0)+1),MATCH(C$1,quests!$1:$1,0)-MATCH($A$1,quests!$1:$1,0)+1,FALSE)</f>
        <v>黄パネルが出現しない！</v>
      </c>
      <c r="D196" s="47" t="str">
        <f ca="1">VLOOKUP($A196,OFFSET(quests!$A$1,0,0,COUNTA(quests!$A:$A),MATCH(D$1,quests!$1:$1,0)-MATCH($A$1,quests!$1:$1,0)+1),MATCH(D$1,quests!$1:$1,0)-MATCH($A$1,quests!$1:$1,0)+1,FALSE)</f>
        <v>台湾版降臨11</v>
      </c>
      <c r="E196" s="47" t="str">
        <f ca="1">VLOOKUP($A196,OFFSET(stages!$C$2,0,0,COUNTA(stages!$C:$C),MATCH("stage_target",stages!$2:$2,0)-MATCH($A$1,stages!$2:$2,0)+1),MATCH("stage_target",stages!$2:$2,0)-MATCH($A$1,stages!$2:$2,0)+1,FALSE)</f>
        <v>everyone</v>
      </c>
      <c r="F196" s="200" t="s">
        <v>382</v>
      </c>
      <c r="G196" s="49" t="str">
        <f t="shared" ref="G196" si="96">"quest"&amp;A196&amp;".png"</f>
        <v>quest48016.png</v>
      </c>
      <c r="H196" s="13" t="s">
        <v>53</v>
      </c>
      <c r="I196" s="12">
        <v>4816</v>
      </c>
      <c r="J196" s="12">
        <v>2</v>
      </c>
    </row>
    <row r="197" spans="1:10" ht="21" customHeight="1" x14ac:dyDescent="0.15">
      <c r="A197" s="80">
        <v>48101</v>
      </c>
      <c r="B197" s="47" t="str">
        <f ca="1">VLOOKUP($A197,OFFSET(quests!$A$1,0,0,COUNTA(quests!$A:$A),MATCH(B$1,quests!$1:$1,0)-MATCH($A$1,quests!$1:$1,0)+1),MATCH(B$1,quests!$1:$1,0)-MATCH($A$1,quests!$1:$1,0)+1,FALSE)</f>
        <v>喀耳刻襲来！</v>
      </c>
      <c r="C197" s="47" t="str">
        <f ca="1">VLOOKUP($A197,OFFSET(quests!$A$1,0,0,COUNTA(quests!$A:$A),MATCH(C$1,quests!$1:$1,0)-MATCH($A$1,quests!$1:$1,0)+1),MATCH(C$1,quests!$1:$1,0)-MATCH($A$1,quests!$1:$1,0)+1,FALSE)</f>
        <v>襲来クエスト</v>
      </c>
      <c r="D197" s="47" t="str">
        <f ca="1">VLOOKUP($A197,OFFSET(quests!$A$1,0,0,COUNTA(quests!$A:$A),MATCH(D$1,quests!$1:$1,0)-MATCH($A$1,quests!$1:$1,0)+1),MATCH(D$1,quests!$1:$1,0)-MATCH($A$1,quests!$1:$1,0)+1,FALSE)</f>
        <v>台湾版コラボ降臨1</v>
      </c>
      <c r="E197" s="47" t="str">
        <f ca="1">VLOOKUP($A197,OFFSET(stages!$C$2,0,0,COUNTA(stages!$C:$C),MATCH("stage_target",stages!$2:$2,0)-MATCH($A$1,stages!$2:$2,0)+1),MATCH("stage_target",stages!$2:$2,0)-MATCH($A$1,stages!$2:$2,0)+1,FALSE)</f>
        <v>everyone</v>
      </c>
      <c r="F197" s="200" t="s">
        <v>382</v>
      </c>
      <c r="G197" s="49" t="str">
        <f t="shared" ref="G197" si="97">"quest"&amp;A197&amp;".png"</f>
        <v>quest48101.png</v>
      </c>
      <c r="H197" s="13" t="s">
        <v>53</v>
      </c>
      <c r="I197" s="12">
        <v>4815</v>
      </c>
      <c r="J197" s="12">
        <v>2</v>
      </c>
    </row>
    <row r="198" spans="1:10" ht="21" customHeight="1" x14ac:dyDescent="0.15">
      <c r="A198" s="80">
        <v>48502</v>
      </c>
      <c r="B198" s="47" t="str">
        <f ca="1">VLOOKUP($A198,OFFSET(quests!$A$1,0,0,COUNTA(quests!$A:$A),MATCH(B$1,quests!$1:$1,0)-MATCH($A$1,quests!$1:$1,0)+1),MATCH(B$1,quests!$1:$1,0)-MATCH($A$1,quests!$1:$1,0)+1,FALSE)</f>
        <v>ヘルシング襲来！</v>
      </c>
      <c r="C198" s="47" t="str">
        <f ca="1">VLOOKUP($A198,OFFSET(quests!$A$1,0,0,COUNTA(quests!$A:$A),MATCH(C$1,quests!$1:$1,0)-MATCH($A$1,quests!$1:$1,0)+1),MATCH(C$1,quests!$1:$1,0)-MATCH($A$1,quests!$1:$1,0)+1,FALSE)</f>
        <v>襲来クエスト</v>
      </c>
      <c r="D198" s="47" t="str">
        <f ca="1">VLOOKUP($A198,OFFSET(quests!$A$1,0,0,COUNTA(quests!$A:$A),MATCH(D$1,quests!$1:$1,0)-MATCH($A$1,quests!$1:$1,0)+1),MATCH(D$1,quests!$1:$1,0)-MATCH($A$1,quests!$1:$1,0)+1,FALSE)</f>
        <v>グローバル版降臨2</v>
      </c>
      <c r="E198" s="47" t="str">
        <f ca="1">VLOOKUP($A198,OFFSET(stages!$C$2,0,0,COUNTA(stages!$C:$C),MATCH("stage_target",stages!$2:$2,0)-MATCH($A$1,stages!$2:$2,0)+1),MATCH("stage_target",stages!$2:$2,0)-MATCH($A$1,stages!$2:$2,0)+1,FALSE)</f>
        <v>everyone</v>
      </c>
      <c r="F198" s="200" t="s">
        <v>382</v>
      </c>
      <c r="G198" s="49" t="str">
        <f t="shared" ref="G198:G203" si="98">"quest"&amp;A198&amp;".png"</f>
        <v>quest48502.png</v>
      </c>
      <c r="H198" s="13" t="s">
        <v>53</v>
      </c>
      <c r="I198" s="12">
        <v>4850</v>
      </c>
      <c r="J198" s="12">
        <v>2</v>
      </c>
    </row>
    <row r="199" spans="1:10" ht="21" customHeight="1" x14ac:dyDescent="0.15">
      <c r="A199" s="80">
        <v>48503</v>
      </c>
      <c r="B199" s="47" t="str">
        <f ca="1">VLOOKUP($A199,OFFSET(quests!$A$1,0,0,COUNTA(quests!$A:$A),MATCH(B$1,quests!$1:$1,0)-MATCH($A$1,quests!$1:$1,0)+1),MATCH(B$1,quests!$1:$1,0)-MATCH($A$1,quests!$1:$1,0)+1,FALSE)</f>
        <v>ナーガ襲来！</v>
      </c>
      <c r="C199" s="47" t="str">
        <f ca="1">VLOOKUP($A199,OFFSET(quests!$A$1,0,0,COUNTA(quests!$A:$A),MATCH(C$1,quests!$1:$1,0)-MATCH($A$1,quests!$1:$1,0)+1),MATCH(C$1,quests!$1:$1,0)-MATCH($A$1,quests!$1:$1,0)+1,FALSE)</f>
        <v>襲来クエスト</v>
      </c>
      <c r="D199" s="47" t="str">
        <f ca="1">VLOOKUP($A199,OFFSET(quests!$A$1,0,0,COUNTA(quests!$A:$A),MATCH(D$1,quests!$1:$1,0)-MATCH($A$1,quests!$1:$1,0)+1),MATCH(D$1,quests!$1:$1,0)-MATCH($A$1,quests!$1:$1,0)+1,FALSE)</f>
        <v>グローバル版降臨3</v>
      </c>
      <c r="E199" s="47" t="str">
        <f ca="1">VLOOKUP($A199,OFFSET(stages!$C$2,0,0,COUNTA(stages!$C:$C),MATCH("stage_target",stages!$2:$2,0)-MATCH($A$1,stages!$2:$2,0)+1),MATCH("stage_target",stages!$2:$2,0)-MATCH($A$1,stages!$2:$2,0)+1,FALSE)</f>
        <v>everyone</v>
      </c>
      <c r="F199" s="200" t="s">
        <v>382</v>
      </c>
      <c r="G199" s="49" t="str">
        <f t="shared" si="98"/>
        <v>quest48503.png</v>
      </c>
      <c r="H199" s="13" t="s">
        <v>53</v>
      </c>
      <c r="I199" s="12">
        <v>4851</v>
      </c>
      <c r="J199" s="12">
        <v>2</v>
      </c>
    </row>
    <row r="200" spans="1:10" ht="21" customHeight="1" x14ac:dyDescent="0.15">
      <c r="A200" s="80">
        <v>48504</v>
      </c>
      <c r="B200" s="47" t="str">
        <f ca="1">VLOOKUP($A200,OFFSET(quests!$A$1,0,0,COUNTA(quests!$A:$A),MATCH(B$1,quests!$1:$1,0)-MATCH($A$1,quests!$1:$1,0)+1),MATCH(B$1,quests!$1:$1,0)-MATCH($A$1,quests!$1:$1,0)+1,FALSE)</f>
        <v>サン＝テグジュペリ襲来！</v>
      </c>
      <c r="C200" s="47" t="str">
        <f ca="1">VLOOKUP($A200,OFFSET(quests!$A$1,0,0,COUNTA(quests!$A:$A),MATCH(C$1,quests!$1:$1,0)-MATCH($A$1,quests!$1:$1,0)+1),MATCH(C$1,quests!$1:$1,0)-MATCH($A$1,quests!$1:$1,0)+1,FALSE)</f>
        <v>襲来クエスト</v>
      </c>
      <c r="D200" s="47" t="str">
        <f ca="1">VLOOKUP($A200,OFFSET(quests!$A$1,0,0,COUNTA(quests!$A:$A),MATCH(D$1,quests!$1:$1,0)-MATCH($A$1,quests!$1:$1,0)+1),MATCH(D$1,quests!$1:$1,0)-MATCH($A$1,quests!$1:$1,0)+1,FALSE)</f>
        <v>グローバル版降臨4</v>
      </c>
      <c r="E200" s="47" t="str">
        <f ca="1">VLOOKUP($A200,OFFSET(stages!$C$2,0,0,COUNTA(stages!$C:$C),MATCH("stage_target",stages!$2:$2,0)-MATCH($A$1,stages!$2:$2,0)+1),MATCH("stage_target",stages!$2:$2,0)-MATCH($A$1,stages!$2:$2,0)+1,FALSE)</f>
        <v>everyone</v>
      </c>
      <c r="F200" s="200" t="s">
        <v>382</v>
      </c>
      <c r="G200" s="49" t="str">
        <f t="shared" si="98"/>
        <v>quest48504.png</v>
      </c>
      <c r="H200" s="13" t="s">
        <v>53</v>
      </c>
      <c r="I200" s="12">
        <v>4852</v>
      </c>
      <c r="J200" s="12">
        <v>2</v>
      </c>
    </row>
    <row r="201" spans="1:10" ht="21" customHeight="1" x14ac:dyDescent="0.15">
      <c r="A201" s="80">
        <v>48701</v>
      </c>
      <c r="B201" s="47" t="str">
        <f ca="1">VLOOKUP($A201,OFFSET(quests!$A$1,0,0,COUNTA(quests!$A:$A),MATCH(B$1,quests!$1:$1,0)-MATCH($A$1,quests!$1:$1,0)+1),MATCH(B$1,quests!$1:$1,0)-MATCH($A$1,quests!$1:$1,0)+1,FALSE)</f>
        <v>M.Dragon襲来！</v>
      </c>
      <c r="C201" s="47" t="str">
        <f ca="1">VLOOKUP($A201,OFFSET(quests!$A$1,0,0,COUNTA(quests!$A:$A),MATCH(C$1,quests!$1:$1,0)-MATCH($A$1,quests!$1:$1,0)+1),MATCH(C$1,quests!$1:$1,0)-MATCH($A$1,quests!$1:$1,0)+1,FALSE)</f>
        <v>襲来クエスト</v>
      </c>
      <c r="D201" s="47" t="str">
        <f ca="1">VLOOKUP($A201,OFFSET(quests!$A$1,0,0,COUNTA(quests!$A:$A),MATCH(D$1,quests!$1:$1,0)-MATCH($A$1,quests!$1:$1,0)+1),MATCH(D$1,quests!$1:$1,0)-MATCH($A$1,quests!$1:$1,0)+1,FALSE)</f>
        <v>韓国版降臨1</v>
      </c>
      <c r="E201" s="47" t="str">
        <f ca="1">VLOOKUP($A201,OFFSET(stages!$C$2,0,0,COUNTA(stages!$C:$C),MATCH("stage_target",stages!$2:$2,0)-MATCH($A$1,stages!$2:$2,0)+1),MATCH("stage_target",stages!$2:$2,0)-MATCH($A$1,stages!$2:$2,0)+1,FALSE)</f>
        <v>everyone</v>
      </c>
      <c r="F201" s="200" t="s">
        <v>382</v>
      </c>
      <c r="G201" s="49" t="str">
        <f t="shared" si="98"/>
        <v>quest48701.png</v>
      </c>
      <c r="H201" s="13" t="s">
        <v>53</v>
      </c>
      <c r="I201" s="12">
        <v>4870</v>
      </c>
      <c r="J201" s="12">
        <v>2</v>
      </c>
    </row>
    <row r="202" spans="1:10" ht="21" customHeight="1" x14ac:dyDescent="0.15">
      <c r="A202" s="80">
        <v>48702</v>
      </c>
      <c r="B202" s="47" t="str">
        <f ca="1">VLOOKUP($A202,OFFSET(quests!$A$1,0,0,COUNTA(quests!$A:$A),MATCH(B$1,quests!$1:$1,0)-MATCH($A$1,quests!$1:$1,0)+1),MATCH(B$1,quests!$1:$1,0)-MATCH($A$1,quests!$1:$1,0)+1,FALSE)</f>
        <v>田禹治襲来！</v>
      </c>
      <c r="C202" s="47" t="str">
        <f ca="1">VLOOKUP($A202,OFFSET(quests!$A$1,0,0,COUNTA(quests!$A:$A),MATCH(C$1,quests!$1:$1,0)-MATCH($A$1,quests!$1:$1,0)+1),MATCH(C$1,quests!$1:$1,0)-MATCH($A$1,quests!$1:$1,0)+1,FALSE)</f>
        <v>襲来クエスト</v>
      </c>
      <c r="D202" s="47" t="str">
        <f ca="1">VLOOKUP($A202,OFFSET(quests!$A$1,0,0,COUNTA(quests!$A:$A),MATCH(D$1,quests!$1:$1,0)-MATCH($A$1,quests!$1:$1,0)+1),MATCH(D$1,quests!$1:$1,0)-MATCH($A$1,quests!$1:$1,0)+1,FALSE)</f>
        <v>韓国版降臨2</v>
      </c>
      <c r="E202" s="47" t="str">
        <f ca="1">VLOOKUP($A202,OFFSET(stages!$C$2,0,0,COUNTA(stages!$C:$C),MATCH("stage_target",stages!$2:$2,0)-MATCH($A$1,stages!$2:$2,0)+1),MATCH("stage_target",stages!$2:$2,0)-MATCH($A$1,stages!$2:$2,0)+1,FALSE)</f>
        <v>everyone</v>
      </c>
      <c r="F202" s="200" t="s">
        <v>382</v>
      </c>
      <c r="G202" s="49" t="str">
        <f t="shared" si="98"/>
        <v>quest48702.png</v>
      </c>
      <c r="H202" s="13" t="s">
        <v>53</v>
      </c>
      <c r="I202" s="12">
        <v>4871</v>
      </c>
      <c r="J202" s="12">
        <v>2</v>
      </c>
    </row>
    <row r="203" spans="1:10" ht="21" customHeight="1" x14ac:dyDescent="0.15">
      <c r="A203" s="80">
        <v>48703</v>
      </c>
      <c r="B203" s="47" t="str">
        <f ca="1">VLOOKUP($A203,OFFSET(quests!$A$1,0,0,COUNTA(quests!$A:$A),MATCH(B$1,quests!$1:$1,0)-MATCH($A$1,quests!$1:$1,0)+1),MATCH(B$1,quests!$1:$1,0)-MATCH($A$1,quests!$1:$1,0)+1,FALSE)</f>
        <v>紅蓮襲来！</v>
      </c>
      <c r="C203" s="47" t="str">
        <f ca="1">VLOOKUP($A203,OFFSET(quests!$A$1,0,0,COUNTA(quests!$A:$A),MATCH(C$1,quests!$1:$1,0)-MATCH($A$1,quests!$1:$1,0)+1),MATCH(C$1,quests!$1:$1,0)-MATCH($A$1,quests!$1:$1,0)+1,FALSE)</f>
        <v>襲来クエスト</v>
      </c>
      <c r="D203" s="47" t="str">
        <f ca="1">VLOOKUP($A203,OFFSET(quests!$A$1,0,0,COUNTA(quests!$A:$A),MATCH(D$1,quests!$1:$1,0)-MATCH($A$1,quests!$1:$1,0)+1),MATCH(D$1,quests!$1:$1,0)-MATCH($A$1,quests!$1:$1,0)+1,FALSE)</f>
        <v>韓国版降臨3</v>
      </c>
      <c r="E203" s="47" t="str">
        <f ca="1">VLOOKUP($A203,OFFSET(stages!$C$2,0,0,COUNTA(stages!$C:$C),MATCH("stage_target",stages!$2:$2,0)-MATCH($A$1,stages!$2:$2,0)+1),MATCH("stage_target",stages!$2:$2,0)-MATCH($A$1,stages!$2:$2,0)+1,FALSE)</f>
        <v>everyone</v>
      </c>
      <c r="F203" s="200" t="s">
        <v>382</v>
      </c>
      <c r="G203" s="49" t="str">
        <f t="shared" si="98"/>
        <v>quest48703.png</v>
      </c>
      <c r="H203" s="13" t="s">
        <v>53</v>
      </c>
      <c r="I203" s="12">
        <v>4872</v>
      </c>
      <c r="J203" s="12">
        <v>2</v>
      </c>
    </row>
    <row r="204" spans="1:10" ht="21" customHeight="1" x14ac:dyDescent="0.15">
      <c r="A204" s="31">
        <v>49001</v>
      </c>
      <c r="B204" s="47" t="str">
        <f ca="1">VLOOKUP($A204,OFFSET(quests!$A$1,0,0,COUNTA(quests!$A:$A),MATCH(B$1,quests!$1:$1,0)-MATCH($A$1,quests!$1:$1,0)+1),MATCH(B$1,quests!$1:$1,0)-MATCH($A$1,quests!$1:$1,0)+1,FALSE)</f>
        <v>熱唱！初音ミクV3</v>
      </c>
      <c r="C204" s="47" t="str">
        <f ca="1">VLOOKUP($A204,OFFSET(quests!$A$1,0,0,COUNTA(quests!$A:$A),MATCH(C$1,quests!$1:$1,0)-MATCH($A$1,quests!$1:$1,0)+1),MATCH(C$1,quests!$1:$1,0)-MATCH($A$1,quests!$1:$1,0)+1,FALSE)</f>
        <v>コンティニューは1回のみ！</v>
      </c>
      <c r="D204" s="47" t="str">
        <f ca="1">VLOOKUP($A204,OFFSET(quests!$A$1,0,0,COUNTA(quests!$A:$A),MATCH(D$1,quests!$1:$1,0)-MATCH($A$1,quests!$1:$1,0)+1),MATCH(D$1,quests!$1:$1,0)-MATCH($A$1,quests!$1:$1,0)+1,FALSE)</f>
        <v>コラボ降臨1</v>
      </c>
      <c r="E204" s="47" t="str">
        <f ca="1">VLOOKUP($A204,OFFSET(stages!$C$2,0,0,COUNTA(stages!$C:$C),MATCH("stage_target",stages!$2:$2,0)-MATCH($A$1,stages!$2:$2,0)+1),MATCH("stage_target",stages!$2:$2,0)-MATCH($A$1,stages!$2:$2,0)+1,FALSE)</f>
        <v>everyone</v>
      </c>
      <c r="F204" s="200" t="s">
        <v>1036</v>
      </c>
      <c r="G204" s="49" t="str">
        <f t="shared" ref="G204" si="99">"quest"&amp;A204&amp;".png"</f>
        <v>quest49001.png</v>
      </c>
      <c r="H204" s="13" t="s">
        <v>53</v>
      </c>
      <c r="I204" s="12">
        <v>1</v>
      </c>
      <c r="J204" s="12">
        <v>2</v>
      </c>
    </row>
    <row r="205" spans="1:10" ht="21" customHeight="1" x14ac:dyDescent="0.15">
      <c r="A205" s="31">
        <v>49002</v>
      </c>
      <c r="B205" s="47" t="str">
        <f ca="1">VLOOKUP($A205,OFFSET(quests!$A$1,0,0,COUNTA(quests!$A:$A),MATCH(B$1,quests!$1:$1,0)-MATCH($A$1,quests!$1:$1,0)+1),MATCH(B$1,quests!$1:$1,0)-MATCH($A$1,quests!$1:$1,0)+1,FALSE)</f>
        <v>園原杏里襲来！</v>
      </c>
      <c r="C205" s="47" t="str">
        <f ca="1">VLOOKUP($A205,OFFSET(quests!$A$1,0,0,COUNTA(quests!$A:$A),MATCH(C$1,quests!$1:$1,0)-MATCH($A$1,quests!$1:$1,0)+1),MATCH(C$1,quests!$1:$1,0)-MATCH($A$1,quests!$1:$1,0)+1,FALSE)</f>
        <v>襲来クエスト</v>
      </c>
      <c r="D205" s="47" t="str">
        <f ca="1">VLOOKUP($A205,OFFSET(quests!$A$1,0,0,COUNTA(quests!$A:$A),MATCH(D$1,quests!$1:$1,0)-MATCH($A$1,quests!$1:$1,0)+1),MATCH(D$1,quests!$1:$1,0)-MATCH($A$1,quests!$1:$1,0)+1,FALSE)</f>
        <v>コラボ降臨2</v>
      </c>
      <c r="E205" s="47" t="str">
        <f ca="1">VLOOKUP($A205,OFFSET(stages!$C$2,0,0,COUNTA(stages!$C:$C),MATCH("stage_target",stages!$2:$2,0)-MATCH($A$1,stages!$2:$2,0)+1),MATCH("stage_target",stages!$2:$2,0)-MATCH($A$1,stages!$2:$2,0)+1,FALSE)</f>
        <v>everyone</v>
      </c>
      <c r="F205" s="200" t="s">
        <v>382</v>
      </c>
      <c r="G205" s="49" t="str">
        <f>"quest"&amp;A205&amp;".png"</f>
        <v>quest49002.png</v>
      </c>
      <c r="H205" s="13" t="s">
        <v>53</v>
      </c>
      <c r="I205" s="13">
        <v>32766</v>
      </c>
      <c r="J205" s="12">
        <v>2</v>
      </c>
    </row>
    <row r="206" spans="1:10" ht="21" customHeight="1" x14ac:dyDescent="0.15">
      <c r="A206" s="31">
        <v>49003</v>
      </c>
      <c r="B206" s="47" t="str">
        <f ca="1">VLOOKUP($A206,OFFSET(quests!$A$1,0,0,COUNTA(quests!$A:$A),MATCH(B$1,quests!$1:$1,0)-MATCH($A$1,quests!$1:$1,0)+1),MATCH(B$1,quests!$1:$1,0)-MATCH($A$1,quests!$1:$1,0)+1,FALSE)</f>
        <v>折原臨也襲来！</v>
      </c>
      <c r="C206" s="47" t="str">
        <f ca="1">VLOOKUP($A206,OFFSET(quests!$A$1,0,0,COUNTA(quests!$A:$A),MATCH(C$1,quests!$1:$1,0)-MATCH($A$1,quests!$1:$1,0)+1),MATCH(C$1,quests!$1:$1,0)-MATCH($A$1,quests!$1:$1,0)+1,FALSE)</f>
        <v>襲来クエスト</v>
      </c>
      <c r="D206" s="47" t="str">
        <f ca="1">VLOOKUP($A206,OFFSET(quests!$A$1,0,0,COUNTA(quests!$A:$A),MATCH(D$1,quests!$1:$1,0)-MATCH($A$1,quests!$1:$1,0)+1),MATCH(D$1,quests!$1:$1,0)-MATCH($A$1,quests!$1:$1,0)+1,FALSE)</f>
        <v>コラボ降臨3</v>
      </c>
      <c r="E206" s="47" t="str">
        <f ca="1">VLOOKUP($A206,OFFSET(stages!$C$2,0,0,COUNTA(stages!$C:$C),MATCH("stage_target",stages!$2:$2,0)-MATCH($A$1,stages!$2:$2,0)+1),MATCH("stage_target",stages!$2:$2,0)-MATCH($A$1,stages!$2:$2,0)+1,FALSE)</f>
        <v>everyone</v>
      </c>
      <c r="F206" s="200" t="s">
        <v>382</v>
      </c>
      <c r="G206" s="49" t="str">
        <f t="shared" ref="G206:G210" si="100">"quest"&amp;A206&amp;".png"</f>
        <v>quest49003.png</v>
      </c>
      <c r="H206" s="13" t="s">
        <v>53</v>
      </c>
      <c r="I206" s="13">
        <v>32766</v>
      </c>
      <c r="J206" s="12">
        <v>2</v>
      </c>
    </row>
    <row r="207" spans="1:10" ht="21" customHeight="1" x14ac:dyDescent="0.15">
      <c r="A207" s="31">
        <v>49004</v>
      </c>
      <c r="B207" s="47" t="str">
        <f ca="1">VLOOKUP($A207,OFFSET(quests!$A$1,0,0,COUNTA(quests!$A:$A),MATCH(B$1,quests!$1:$1,0)-MATCH($A$1,quests!$1:$1,0)+1),MATCH(B$1,quests!$1:$1,0)-MATCH($A$1,quests!$1:$1,0)+1,FALSE)</f>
        <v>サンリオ好きなのだーれだ♪</v>
      </c>
      <c r="C207" s="47" t="str">
        <f ca="1">VLOOKUP($A207,OFFSET(quests!$A$1,0,0,COUNTA(quests!$A:$A),MATCH(C$1,quests!$1:$1,0)-MATCH($A$1,quests!$1:$1,0)+1),MATCH(C$1,quests!$1:$1,0)-MATCH($A$1,quests!$1:$1,0)+1,FALSE)</f>
        <v>襲来クエスト</v>
      </c>
      <c r="D207" s="47" t="str">
        <f ca="1">VLOOKUP($A207,OFFSET(quests!$A$1,0,0,COUNTA(quests!$A:$A),MATCH(D$1,quests!$1:$1,0)-MATCH($A$1,quests!$1:$1,0)+1),MATCH(D$1,quests!$1:$1,0)-MATCH($A$1,quests!$1:$1,0)+1,FALSE)</f>
        <v>コラボ降臨4</v>
      </c>
      <c r="E207" s="47" t="str">
        <f ca="1">VLOOKUP($A207,OFFSET(stages!$C$2,0,0,COUNTA(stages!$C:$C),MATCH("stage_target",stages!$2:$2,0)-MATCH($A$1,stages!$2:$2,0)+1),MATCH("stage_target",stages!$2:$2,0)-MATCH($A$1,stages!$2:$2,0)+1,FALSE)</f>
        <v>everyone</v>
      </c>
      <c r="F207" s="200" t="s">
        <v>382</v>
      </c>
      <c r="G207" s="49" t="str">
        <f t="shared" si="100"/>
        <v>quest49004.png</v>
      </c>
      <c r="H207" s="13" t="s">
        <v>53</v>
      </c>
      <c r="I207" s="13">
        <v>32767</v>
      </c>
      <c r="J207" s="12">
        <v>2</v>
      </c>
    </row>
    <row r="208" spans="1:10" ht="21" customHeight="1" x14ac:dyDescent="0.15">
      <c r="A208" s="31">
        <v>49006</v>
      </c>
      <c r="B208" s="47" t="str">
        <f ca="1">VLOOKUP($A208,OFFSET(quests!$A$1,0,0,COUNTA(quests!$A:$A),MATCH(B$1,quests!$1:$1,0)-MATCH($A$1,quests!$1:$1,0)+1),MATCH(B$1,quests!$1:$1,0)-MATCH($A$1,quests!$1:$1,0)+1,FALSE)</f>
        <v>超大型巨人襲来！</v>
      </c>
      <c r="C208" s="47" t="str">
        <f ca="1">VLOOKUP($A208,OFFSET(quests!$A$1,0,0,COUNTA(quests!$A:$A),MATCH(C$1,quests!$1:$1,0)-MATCH($A$1,quests!$1:$1,0)+1),MATCH(C$1,quests!$1:$1,0)-MATCH($A$1,quests!$1:$1,0)+1,FALSE)</f>
        <v>襲来クエスト</v>
      </c>
      <c r="D208" s="47" t="str">
        <f ca="1">VLOOKUP($A208,OFFSET(quests!$A$1,0,0,COUNTA(quests!$A:$A),MATCH(D$1,quests!$1:$1,0)-MATCH($A$1,quests!$1:$1,0)+1),MATCH(D$1,quests!$1:$1,0)-MATCH($A$1,quests!$1:$1,0)+1,FALSE)</f>
        <v>コラボ降臨6</v>
      </c>
      <c r="E208" s="47" t="str">
        <f ca="1">VLOOKUP($A208,OFFSET(stages!$C$2,0,0,COUNTA(stages!$C:$C),MATCH("stage_target",stages!$2:$2,0)-MATCH($A$1,stages!$2:$2,0)+1),MATCH("stage_target",stages!$2:$2,0)-MATCH($A$1,stages!$2:$2,0)+1,FALSE)</f>
        <v>everyone</v>
      </c>
      <c r="F208" s="200" t="s">
        <v>382</v>
      </c>
      <c r="G208" s="49" t="str">
        <f t="shared" si="100"/>
        <v>quest49006.png</v>
      </c>
      <c r="H208" s="13" t="s">
        <v>53</v>
      </c>
      <c r="I208" s="13">
        <v>32769</v>
      </c>
      <c r="J208" s="12">
        <v>2</v>
      </c>
    </row>
    <row r="209" spans="1:10" ht="21" customHeight="1" x14ac:dyDescent="0.15">
      <c r="A209" s="31">
        <v>49008</v>
      </c>
      <c r="B209" s="47" t="str">
        <f ca="1">VLOOKUP($A209,OFFSET(quests!$A$1,0,0,COUNTA(quests!$A:$A),MATCH(B$1,quests!$1:$1,0)-MATCH($A$1,quests!$1:$1,0)+1),MATCH(B$1,quests!$1:$1,0)-MATCH($A$1,quests!$1:$1,0)+1,FALSE)</f>
        <v>熱唱！初音ミクV3</v>
      </c>
      <c r="C209" s="47" t="str">
        <f ca="1">VLOOKUP($A209,OFFSET(quests!$A$1,0,0,COUNTA(quests!$A:$A),MATCH(C$1,quests!$1:$1,0)-MATCH($A$1,quests!$1:$1,0)+1),MATCH(C$1,quests!$1:$1,0)-MATCH($A$1,quests!$1:$1,0)+1,FALSE)</f>
        <v>初音ミク コラボクエスト</v>
      </c>
      <c r="D209" s="47" t="str">
        <f ca="1">VLOOKUP($A209,OFFSET(quests!$A$1,0,0,COUNTA(quests!$A:$A),MATCH(D$1,quests!$1:$1,0)-MATCH($A$1,quests!$1:$1,0)+1),MATCH(D$1,quests!$1:$1,0)-MATCH($A$1,quests!$1:$1,0)+1,FALSE)</f>
        <v>コラボ降臨1</v>
      </c>
      <c r="E209" s="47" t="str">
        <f ca="1">VLOOKUP($A209,OFFSET(stages!$C$2,0,0,COUNTA(stages!$C:$C),MATCH("stage_target",stages!$2:$2,0)-MATCH($A$1,stages!$2:$2,0)+1),MATCH("stage_target",stages!$2:$2,0)-MATCH($A$1,stages!$2:$2,0)+1,FALSE)</f>
        <v>everyone</v>
      </c>
      <c r="F209" s="200" t="s">
        <v>382</v>
      </c>
      <c r="G209" s="279" t="s">
        <v>2025</v>
      </c>
      <c r="H209" s="13" t="s">
        <v>53</v>
      </c>
      <c r="I209" s="13">
        <v>32770</v>
      </c>
      <c r="J209" s="12">
        <v>2</v>
      </c>
    </row>
    <row r="210" spans="1:10" ht="21" customHeight="1" x14ac:dyDescent="0.15">
      <c r="A210" s="31">
        <v>49009</v>
      </c>
      <c r="B210" s="47" t="str">
        <f ca="1">VLOOKUP($A210,OFFSET(quests!$A$1,0,0,COUNTA(quests!$A:$A),MATCH(B$1,quests!$1:$1,0)-MATCH($A$1,quests!$1:$1,0)+1),MATCH(B$1,quests!$1:$1,0)-MATCH($A$1,quests!$1:$1,0)+1,FALSE)</f>
        <v>電子音協奏曲</v>
      </c>
      <c r="C210" s="47" t="str">
        <f ca="1">VLOOKUP($A210,OFFSET(quests!$A$1,0,0,COUNTA(quests!$A:$A),MATCH(C$1,quests!$1:$1,0)-MATCH($A$1,quests!$1:$1,0)+1),MATCH(C$1,quests!$1:$1,0)-MATCH($A$1,quests!$1:$1,0)+1,FALSE)</f>
        <v>初音ミク コラボクエスト</v>
      </c>
      <c r="D210" s="47" t="str">
        <f ca="1">VLOOKUP($A210,OFFSET(quests!$A$1,0,0,COUNTA(quests!$A:$A),MATCH(D$1,quests!$1:$1,0)-MATCH($A$1,quests!$1:$1,0)+1),MATCH(D$1,quests!$1:$1,0)-MATCH($A$1,quests!$1:$1,0)+1,FALSE)</f>
        <v>コラボ降臨7</v>
      </c>
      <c r="E210" s="47" t="str">
        <f ca="1">VLOOKUP($A210,OFFSET(stages!$C$2,0,0,COUNTA(stages!$C:$C),MATCH("stage_target",stages!$2:$2,0)-MATCH($A$1,stages!$2:$2,0)+1),MATCH("stage_target",stages!$2:$2,0)-MATCH($A$1,stages!$2:$2,0)+1,FALSE)</f>
        <v>everyone</v>
      </c>
      <c r="F210" s="200" t="s">
        <v>382</v>
      </c>
      <c r="G210" s="49" t="str">
        <f t="shared" si="100"/>
        <v>quest49009.png</v>
      </c>
      <c r="H210" s="13" t="s">
        <v>53</v>
      </c>
      <c r="I210" s="13">
        <v>32770</v>
      </c>
      <c r="J210" s="12">
        <v>2</v>
      </c>
    </row>
    <row r="211" spans="1:10" ht="21" customHeight="1" x14ac:dyDescent="0.15">
      <c r="A211" s="31">
        <v>49010</v>
      </c>
      <c r="B211" s="47" t="str">
        <f ca="1">VLOOKUP($A211,OFFSET(quests!$A$1,0,0,COUNTA(quests!$A:$A),MATCH(B$1,quests!$1:$1,0)-MATCH($A$1,quests!$1:$1,0)+1),MATCH(B$1,quests!$1:$1,0)-MATCH($A$1,quests!$1:$1,0)+1,FALSE)</f>
        <v>走り抜けろ！ALICE GP</v>
      </c>
      <c r="C211" s="47" t="str">
        <f ca="1">VLOOKUP($A211,OFFSET(quests!$A$1,0,0,COUNTA(quests!$A:$A),MATCH(C$1,quests!$1:$1,0)-MATCH($A$1,quests!$1:$1,0)+1),MATCH(C$1,quests!$1:$1,0)-MATCH($A$1,quests!$1:$1,0)+1,FALSE)</f>
        <v>青パネルが出現しない！</v>
      </c>
      <c r="D211" s="47" t="str">
        <f ca="1">VLOOKUP($A211,OFFSET(quests!$A$1,0,0,COUNTA(quests!$A:$A),MATCH(D$1,quests!$1:$1,0)-MATCH($A$1,quests!$1:$1,0)+1),MATCH(D$1,quests!$1:$1,0)-MATCH($A$1,quests!$1:$1,0)+1,FALSE)</f>
        <v>コラボ降臨8</v>
      </c>
      <c r="E211" s="47" t="str">
        <f ca="1">VLOOKUP($A211,OFFSET(stages!$C$2,0,0,COUNTA(stages!$C:$C),MATCH("stage_target",stages!$2:$2,0)-MATCH($A$1,stages!$2:$2,0)+1),MATCH("stage_target",stages!$2:$2,0)-MATCH($A$1,stages!$2:$2,0)+1,FALSE)</f>
        <v>everyone</v>
      </c>
      <c r="F211" s="200" t="s">
        <v>382</v>
      </c>
      <c r="G211" s="49" t="str">
        <f t="shared" ref="G211" si="101">"quest"&amp;A211&amp;".png"</f>
        <v>quest49010.png</v>
      </c>
      <c r="H211" s="13" t="s">
        <v>53</v>
      </c>
      <c r="I211" s="13">
        <v>32770</v>
      </c>
      <c r="J211" s="12">
        <v>2</v>
      </c>
    </row>
    <row r="212" spans="1:10" ht="21" customHeight="1" x14ac:dyDescent="0.15">
      <c r="A212" s="31">
        <v>49011</v>
      </c>
      <c r="B212" s="47" t="str">
        <f ca="1">VLOOKUP($A212,OFFSET(quests!$A$1,0,0,COUNTA(quests!$A:$A),MATCH(B$1,quests!$1:$1,0)-MATCH($A$1,quests!$1:$1,0)+1),MATCH(B$1,quests!$1:$1,0)-MATCH($A$1,quests!$1:$1,0)+1,FALSE)</f>
        <v>秘密のイベント潜入作戦</v>
      </c>
      <c r="C212" s="47" t="str">
        <f ca="1">VLOOKUP($A212,OFFSET(quests!$A$1,0,0,COUNTA(quests!$A:$A),MATCH(C$1,quests!$1:$1,0)-MATCH($A$1,quests!$1:$1,0)+1),MATCH(C$1,quests!$1:$1,0)-MATCH($A$1,quests!$1:$1,0)+1,FALSE)</f>
        <v>初音ミク コラボクエスト</v>
      </c>
      <c r="D212" s="47" t="str">
        <f ca="1">VLOOKUP($A212,OFFSET(quests!$A$1,0,0,COUNTA(quests!$A:$A),MATCH(D$1,quests!$1:$1,0)-MATCH($A$1,quests!$1:$1,0)+1),MATCH(D$1,quests!$1:$1,0)-MATCH($A$1,quests!$1:$1,0)+1,FALSE)</f>
        <v>コラボ降臨9</v>
      </c>
      <c r="E212" s="47" t="str">
        <f ca="1">VLOOKUP($A212,OFFSET(stages!$C$2,0,0,COUNTA(stages!$C:$C),MATCH("stage_target",stages!$2:$2,0)-MATCH($A$1,stages!$2:$2,0)+1),MATCH("stage_target",stages!$2:$2,0)-MATCH($A$1,stages!$2:$2,0)+1,FALSE)</f>
        <v>everyone</v>
      </c>
      <c r="F212" s="200" t="s">
        <v>382</v>
      </c>
      <c r="G212" s="49" t="str">
        <f t="shared" ref="G212" si="102">"quest"&amp;A212&amp;".png"</f>
        <v>quest49011.png</v>
      </c>
      <c r="H212" s="13" t="s">
        <v>53</v>
      </c>
      <c r="I212" s="13">
        <v>32770</v>
      </c>
      <c r="J212" s="12">
        <v>2</v>
      </c>
    </row>
    <row r="213" spans="1:10" ht="21" customHeight="1" x14ac:dyDescent="0.15">
      <c r="A213" s="31">
        <v>49012</v>
      </c>
      <c r="B213" s="47" t="str">
        <f ca="1">VLOOKUP($A213,OFFSET(quests!$A$1,0,0,COUNTA(quests!$A:$A),MATCH(B$1,quests!$1:$1,0)-MATCH($A$1,quests!$1:$1,0)+1),MATCH(B$1,quests!$1:$1,0)-MATCH($A$1,quests!$1:$1,0)+1,FALSE)</f>
        <v>園原杏里襲来！</v>
      </c>
      <c r="C213" s="47" t="str">
        <f ca="1">VLOOKUP($A213,OFFSET(quests!$A$1,0,0,COUNTA(quests!$A:$A),MATCH(C$1,quests!$1:$1,0)-MATCH($A$1,quests!$1:$1,0)+1),MATCH(C$1,quests!$1:$1,0)-MATCH($A$1,quests!$1:$1,0)+1,FALSE)</f>
        <v>襲来クエスト</v>
      </c>
      <c r="D213" s="47" t="str">
        <f ca="1">VLOOKUP($A213,OFFSET(quests!$A$1,0,0,COUNTA(quests!$A:$A),MATCH(D$1,quests!$1:$1,0)-MATCH($A$1,quests!$1:$1,0)+1),MATCH(D$1,quests!$1:$1,0)-MATCH($A$1,quests!$1:$1,0)+1,FALSE)</f>
        <v>コラボ降臨2（復刻）</v>
      </c>
      <c r="E213" s="47" t="str">
        <f ca="1">VLOOKUP($A213,OFFSET(stages!$C$2,0,0,COUNTA(stages!$C:$C),MATCH("stage_target",stages!$2:$2,0)-MATCH($A$1,stages!$2:$2,0)+1),MATCH("stage_target",stages!$2:$2,0)-MATCH($A$1,stages!$2:$2,0)+1,FALSE)</f>
        <v>everyone</v>
      </c>
      <c r="F213" s="200" t="s">
        <v>382</v>
      </c>
      <c r="G213" s="118" t="s">
        <v>1957</v>
      </c>
      <c r="H213" s="13" t="s">
        <v>53</v>
      </c>
      <c r="I213" s="13">
        <v>32766</v>
      </c>
      <c r="J213" s="12">
        <v>2</v>
      </c>
    </row>
    <row r="214" spans="1:10" ht="21" customHeight="1" x14ac:dyDescent="0.15">
      <c r="A214" s="31">
        <v>49013</v>
      </c>
      <c r="B214" s="47" t="str">
        <f ca="1">VLOOKUP($A214,OFFSET(quests!$A$1,0,0,COUNTA(quests!$A:$A),MATCH(B$1,quests!$1:$1,0)-MATCH($A$1,quests!$1:$1,0)+1),MATCH(B$1,quests!$1:$1,0)-MATCH($A$1,quests!$1:$1,0)+1,FALSE)</f>
        <v>折原臨也襲来！</v>
      </c>
      <c r="C214" s="47" t="str">
        <f ca="1">VLOOKUP($A214,OFFSET(quests!$A$1,0,0,COUNTA(quests!$A:$A),MATCH(C$1,quests!$1:$1,0)-MATCH($A$1,quests!$1:$1,0)+1),MATCH(C$1,quests!$1:$1,0)-MATCH($A$1,quests!$1:$1,0)+1,FALSE)</f>
        <v>襲来クエスト</v>
      </c>
      <c r="D214" s="47" t="str">
        <f ca="1">VLOOKUP($A214,OFFSET(quests!$A$1,0,0,COUNTA(quests!$A:$A),MATCH(D$1,quests!$1:$1,0)-MATCH($A$1,quests!$1:$1,0)+1),MATCH(D$1,quests!$1:$1,0)-MATCH($A$1,quests!$1:$1,0)+1,FALSE)</f>
        <v>コラボ降臨3（復刻）</v>
      </c>
      <c r="E214" s="47" t="str">
        <f ca="1">VLOOKUP($A214,OFFSET(stages!$C$2,0,0,COUNTA(stages!$C:$C),MATCH("stage_target",stages!$2:$2,0)-MATCH($A$1,stages!$2:$2,0)+1),MATCH("stage_target",stages!$2:$2,0)-MATCH($A$1,stages!$2:$2,0)+1,FALSE)</f>
        <v>everyone</v>
      </c>
      <c r="F214" s="200" t="s">
        <v>382</v>
      </c>
      <c r="G214" s="118" t="s">
        <v>1958</v>
      </c>
      <c r="H214" s="13" t="s">
        <v>53</v>
      </c>
      <c r="I214" s="13">
        <v>32766</v>
      </c>
      <c r="J214" s="12">
        <v>2</v>
      </c>
    </row>
    <row r="215" spans="1:10" ht="21" customHeight="1" x14ac:dyDescent="0.15">
      <c r="A215" s="31">
        <v>49014</v>
      </c>
      <c r="B215" s="47" t="str">
        <f ca="1">VLOOKUP($A215,OFFSET(quests!$A$1,0,0,COUNTA(quests!$A:$A),MATCH(B$1,quests!$1:$1,0)-MATCH($A$1,quests!$1:$1,0)+1),MATCH(B$1,quests!$1:$1,0)-MATCH($A$1,quests!$1:$1,0)+1,FALSE)</f>
        <v>ネコムート襲来！</v>
      </c>
      <c r="C215" s="47" t="str">
        <f ca="1">VLOOKUP($A215,OFFSET(quests!$A$1,0,0,COUNTA(quests!$A:$A),MATCH(C$1,quests!$1:$1,0)-MATCH($A$1,quests!$1:$1,0)+1),MATCH(C$1,quests!$1:$1,0)-MATCH($A$1,quests!$1:$1,0)+1,FALSE)</f>
        <v>にゃんこ大戦争　コラボクエスト</v>
      </c>
      <c r="D215" s="47" t="str">
        <f ca="1">VLOOKUP($A215,OFFSET(quests!$A$1,0,0,COUNTA(quests!$A:$A),MATCH(D$1,quests!$1:$1,0)-MATCH($A$1,quests!$1:$1,0)+1),MATCH(D$1,quests!$1:$1,0)-MATCH($A$1,quests!$1:$1,0)+1,FALSE)</f>
        <v>コラボ降臨10</v>
      </c>
      <c r="E215" s="47" t="str">
        <f ca="1">VLOOKUP($A215,OFFSET(stages!$C$2,0,0,COUNTA(stages!$C:$C),MATCH("stage_target",stages!$2:$2,0)-MATCH($A$1,stages!$2:$2,0)+1),MATCH("stage_target",stages!$2:$2,0)-MATCH($A$1,stages!$2:$2,0)+1,FALSE)</f>
        <v>everyone</v>
      </c>
      <c r="F215" s="200" t="s">
        <v>382</v>
      </c>
      <c r="G215" s="49" t="str">
        <f t="shared" ref="G215" si="103">"quest"&amp;A215&amp;".png"</f>
        <v>quest49014.png</v>
      </c>
      <c r="H215" s="13" t="s">
        <v>53</v>
      </c>
      <c r="I215" s="13">
        <v>32771</v>
      </c>
      <c r="J215" s="12">
        <v>2</v>
      </c>
    </row>
    <row r="216" spans="1:10" ht="21" customHeight="1" x14ac:dyDescent="0.15">
      <c r="A216" s="31">
        <v>49015</v>
      </c>
      <c r="B216" s="47" t="str">
        <f ca="1">VLOOKUP($A216,OFFSET(quests!$A$1,0,0,COUNTA(quests!$A:$A),MATCH(B$1,quests!$1:$1,0)-MATCH($A$1,quests!$1:$1,0)+1),MATCH(B$1,quests!$1:$1,0)-MATCH($A$1,quests!$1:$1,0)+1,FALSE)</f>
        <v>スカー襲来！</v>
      </c>
      <c r="C216" s="47" t="str">
        <f ca="1">VLOOKUP($A216,OFFSET(quests!$A$1,0,0,COUNTA(quests!$A:$A),MATCH(C$1,quests!$1:$1,0)-MATCH($A$1,quests!$1:$1,0)+1),MATCH(C$1,quests!$1:$1,0)-MATCH($A$1,quests!$1:$1,0)+1,FALSE)</f>
        <v>鋼の錬金術師　コラボクエスト</v>
      </c>
      <c r="D216" s="47" t="str">
        <f ca="1">VLOOKUP($A216,OFFSET(quests!$A$1,0,0,COUNTA(quests!$A:$A),MATCH(D$1,quests!$1:$1,0)-MATCH($A$1,quests!$1:$1,0)+1),MATCH(D$1,quests!$1:$1,0)-MATCH($A$1,quests!$1:$1,0)+1,FALSE)</f>
        <v>コラボ降臨11</v>
      </c>
      <c r="E216" s="47" t="str">
        <f ca="1">VLOOKUP($A216,OFFSET(stages!$C$2,0,0,COUNTA(stages!$C:$C),MATCH("stage_target",stages!$2:$2,0)-MATCH($A$1,stages!$2:$2,0)+1),MATCH("stage_target",stages!$2:$2,0)-MATCH($A$1,stages!$2:$2,0)+1,FALSE)</f>
        <v>everyone</v>
      </c>
      <c r="F216" s="200" t="s">
        <v>382</v>
      </c>
      <c r="G216" s="49" t="str">
        <f t="shared" ref="G216" si="104">"quest"&amp;A216&amp;".png"</f>
        <v>quest49015.png</v>
      </c>
      <c r="H216" s="13" t="s">
        <v>53</v>
      </c>
      <c r="I216" s="13">
        <v>32772</v>
      </c>
      <c r="J216" s="12">
        <v>2</v>
      </c>
    </row>
    <row r="217" spans="1:10" ht="21" customHeight="1" x14ac:dyDescent="0.15">
      <c r="A217" s="31">
        <v>49016</v>
      </c>
      <c r="B217" s="47" t="str">
        <f ca="1">VLOOKUP($A217,OFFSET(quests!$A$1,0,0,COUNTA(quests!$A:$A),MATCH(B$1,quests!$1:$1,0)-MATCH($A$1,quests!$1:$1,0)+1),MATCH(B$1,quests!$1:$1,0)-MATCH($A$1,quests!$1:$1,0)+1,FALSE)</f>
        <v>栗転</v>
      </c>
      <c r="C217" s="47" t="str">
        <f ca="1">VLOOKUP($A217,OFFSET(quests!$A$1,0,0,COUNTA(quests!$A:$A),MATCH(C$1,quests!$1:$1,0)-MATCH($A$1,quests!$1:$1,0)+1),MATCH(C$1,quests!$1:$1,0)-MATCH($A$1,quests!$1:$1,0)+1,FALSE)</f>
        <v>コラボクエスト</v>
      </c>
      <c r="D217" s="47" t="str">
        <f ca="1">VLOOKUP($A217,OFFSET(quests!$A$1,0,0,COUNTA(quests!$A:$A),MATCH(D$1,quests!$1:$1,0)-MATCH($A$1,quests!$1:$1,0)+1),MATCH(D$1,quests!$1:$1,0)-MATCH($A$1,quests!$1:$1,0)+1,FALSE)</f>
        <v>コラボ降臨12</v>
      </c>
      <c r="E217" s="47" t="str">
        <f ca="1">VLOOKUP($A217,OFFSET(stages!$C$2,0,0,COUNTA(stages!$C:$C),MATCH("stage_target",stages!$2:$2,0)-MATCH($A$1,stages!$2:$2,0)+1),MATCH("stage_target",stages!$2:$2,0)-MATCH($A$1,stages!$2:$2,0)+1,FALSE)</f>
        <v>everyone</v>
      </c>
      <c r="F217" s="200" t="s">
        <v>382</v>
      </c>
      <c r="G217" s="49" t="str">
        <f t="shared" ref="G217" si="105">"quest"&amp;A217&amp;".png"</f>
        <v>quest49016.png</v>
      </c>
      <c r="H217" s="13" t="s">
        <v>53</v>
      </c>
      <c r="I217" s="13">
        <v>32773</v>
      </c>
      <c r="J217" s="12">
        <v>2</v>
      </c>
    </row>
    <row r="218" spans="1:10" ht="21" customHeight="1" x14ac:dyDescent="0.15">
      <c r="A218" s="31">
        <v>50001</v>
      </c>
      <c r="B218" s="47" t="str">
        <f ca="1">VLOOKUP($A218,OFFSET(quests!$A$1,0,0,COUNTA(quests!$A:$A),MATCH(B$1,quests!$1:$1,0)-MATCH($A$1,quests!$1:$1,0)+1),MATCH(B$1,quests!$1:$1,0)-MATCH($A$1,quests!$1:$1,0)+1,FALSE)</f>
        <v>麒麟襲来！</v>
      </c>
      <c r="C218" s="47" t="str">
        <f ca="1">VLOOKUP($A218,OFFSET(quests!$A$1,0,0,COUNTA(quests!$A:$A),MATCH(C$1,quests!$1:$1,0)-MATCH($A$1,quests!$1:$1,0)+1),MATCH(C$1,quests!$1:$1,0)-MATCH($A$1,quests!$1:$1,0)+1,FALSE)</f>
        <v>コンティニュー不可の極悪難易度！！</v>
      </c>
      <c r="D218" s="47" t="str">
        <f ca="1">VLOOKUP($A218,OFFSET(quests!$A$1,0,0,COUNTA(quests!$A:$A),MATCH(D$1,quests!$1:$1,0)-MATCH($A$1,quests!$1:$1,0)+1),MATCH(D$1,quests!$1:$1,0)-MATCH($A$1,quests!$1:$1,0)+1,FALSE)</f>
        <v>超降臨1</v>
      </c>
      <c r="E218" s="47" t="str">
        <f ca="1">VLOOKUP($A218,OFFSET(stages!$C$2,0,0,COUNTA(stages!$C:$C),MATCH("stage_target",stages!$2:$2,0)-MATCH($A$1,stages!$2:$2,0)+1),MATCH("stage_target",stages!$2:$2,0)-MATCH($A$1,stages!$2:$2,0)+1,FALSE)</f>
        <v>everyone</v>
      </c>
      <c r="F218" s="200" t="s">
        <v>1036</v>
      </c>
      <c r="G218" s="49" t="str">
        <f t="shared" ref="G218" si="106">"quest"&amp;A218&amp;".png"</f>
        <v>quest50001.png</v>
      </c>
      <c r="H218" s="13" t="s">
        <v>53</v>
      </c>
      <c r="I218" s="12">
        <v>5001</v>
      </c>
      <c r="J218" s="12">
        <v>1</v>
      </c>
    </row>
    <row r="219" spans="1:10" ht="21" customHeight="1" x14ac:dyDescent="0.15">
      <c r="A219" s="31">
        <v>50002</v>
      </c>
      <c r="B219" s="47" t="str">
        <f ca="1">VLOOKUP($A219,OFFSET(quests!$A$1,0,0,COUNTA(quests!$A:$A),MATCH(B$1,quests!$1:$1,0)-MATCH($A$1,quests!$1:$1,0)+1),MATCH(B$1,quests!$1:$1,0)-MATCH($A$1,quests!$1:$1,0)+1,FALSE)</f>
        <v>オーディン襲来！</v>
      </c>
      <c r="C219" s="47" t="str">
        <f ca="1">VLOOKUP($A219,OFFSET(quests!$A$1,0,0,COUNTA(quests!$A:$A),MATCH(C$1,quests!$1:$1,0)-MATCH($A$1,quests!$1:$1,0)+1),MATCH(C$1,quests!$1:$1,0)-MATCH($A$1,quests!$1:$1,0)+1,FALSE)</f>
        <v>コンティニュー不可の極悪難易度！！</v>
      </c>
      <c r="D219" s="47" t="str">
        <f ca="1">VLOOKUP($A219,OFFSET(quests!$A$1,0,0,COUNTA(quests!$A:$A),MATCH(D$1,quests!$1:$1,0)-MATCH($A$1,quests!$1:$1,0)+1),MATCH(D$1,quests!$1:$1,0)-MATCH($A$1,quests!$1:$1,0)+1,FALSE)</f>
        <v>超降臨2</v>
      </c>
      <c r="E219" s="47" t="str">
        <f ca="1">VLOOKUP($A219,OFFSET(stages!$C$2,0,0,COUNTA(stages!$C:$C),MATCH("stage_target",stages!$2:$2,0)-MATCH($A$1,stages!$2:$2,0)+1),MATCH("stage_target",stages!$2:$2,0)-MATCH($A$1,stages!$2:$2,0)+1,FALSE)</f>
        <v>everyone</v>
      </c>
      <c r="F219" s="200" t="s">
        <v>1036</v>
      </c>
      <c r="G219" s="49" t="str">
        <f t="shared" ref="G219" si="107">"quest"&amp;A219&amp;".png"</f>
        <v>quest50002.png</v>
      </c>
      <c r="H219" s="13" t="s">
        <v>53</v>
      </c>
      <c r="I219" s="12">
        <v>5002</v>
      </c>
      <c r="J219" s="12">
        <v>1</v>
      </c>
    </row>
    <row r="220" spans="1:10" ht="21" customHeight="1" x14ac:dyDescent="0.15">
      <c r="A220" s="31">
        <v>50003</v>
      </c>
      <c r="B220" s="47" t="str">
        <f ca="1">VLOOKUP($A220,OFFSET(quests!$A$1,0,0,COUNTA(quests!$A:$A),MATCH(B$1,quests!$1:$1,0)-MATCH($A$1,quests!$1:$1,0)+1),MATCH(B$1,quests!$1:$1,0)-MATCH($A$1,quests!$1:$1,0)+1,FALSE)</f>
        <v>織田信長襲来！</v>
      </c>
      <c r="C220" s="47" t="str">
        <f ca="1">VLOOKUP($A220,OFFSET(quests!$A$1,0,0,COUNTA(quests!$A:$A),MATCH(C$1,quests!$1:$1,0)-MATCH($A$1,quests!$1:$1,0)+1),MATCH(C$1,quests!$1:$1,0)-MATCH($A$1,quests!$1:$1,0)+1,FALSE)</f>
        <v>コンティニュー不可の極悪難易度！！</v>
      </c>
      <c r="D220" s="47" t="str">
        <f ca="1">VLOOKUP($A220,OFFSET(quests!$A$1,0,0,COUNTA(quests!$A:$A),MATCH(D$1,quests!$1:$1,0)-MATCH($A$1,quests!$1:$1,0)+1),MATCH(D$1,quests!$1:$1,0)-MATCH($A$1,quests!$1:$1,0)+1,FALSE)</f>
        <v>超降臨3</v>
      </c>
      <c r="E220" s="47" t="str">
        <f ca="1">VLOOKUP($A220,OFFSET(stages!$C$2,0,0,COUNTA(stages!$C:$C),MATCH("stage_target",stages!$2:$2,0)-MATCH($A$1,stages!$2:$2,0)+1),MATCH("stage_target",stages!$2:$2,0)-MATCH($A$1,stages!$2:$2,0)+1,FALSE)</f>
        <v>everyone</v>
      </c>
      <c r="F220" s="200" t="s">
        <v>382</v>
      </c>
      <c r="G220" s="49" t="str">
        <f t="shared" ref="G220:G235" si="108">"quest"&amp;A220&amp;".png"</f>
        <v>quest50003.png</v>
      </c>
      <c r="H220" s="13" t="s">
        <v>53</v>
      </c>
      <c r="I220" s="12">
        <v>5003</v>
      </c>
      <c r="J220" s="12">
        <v>1</v>
      </c>
    </row>
    <row r="221" spans="1:10" ht="21" customHeight="1" x14ac:dyDescent="0.15">
      <c r="A221" s="31">
        <v>50004</v>
      </c>
      <c r="B221" s="47" t="str">
        <f ca="1">VLOOKUP($A221,OFFSET(quests!$A$1,0,0,COUNTA(quests!$A:$A),MATCH(B$1,quests!$1:$1,0)-MATCH($A$1,quests!$1:$1,0)+1),MATCH(B$1,quests!$1:$1,0)-MATCH($A$1,quests!$1:$1,0)+1,FALSE)</f>
        <v>ルシファー襲来！</v>
      </c>
      <c r="C221" s="47" t="str">
        <f ca="1">VLOOKUP($A221,OFFSET(quests!$A$1,0,0,COUNTA(quests!$A:$A),MATCH(C$1,quests!$1:$1,0)-MATCH($A$1,quests!$1:$1,0)+1),MATCH(C$1,quests!$1:$1,0)-MATCH($A$1,quests!$1:$1,0)+1,FALSE)</f>
        <v>コンティニュー不可の極悪難易度！！</v>
      </c>
      <c r="D221" s="47" t="str">
        <f ca="1">VLOOKUP($A221,OFFSET(quests!$A$1,0,0,COUNTA(quests!$A:$A),MATCH(D$1,quests!$1:$1,0)-MATCH($A$1,quests!$1:$1,0)+1),MATCH(D$1,quests!$1:$1,0)-MATCH($A$1,quests!$1:$1,0)+1,FALSE)</f>
        <v>超降臨4</v>
      </c>
      <c r="E221" s="47" t="str">
        <f ca="1">VLOOKUP($A221,OFFSET(stages!$C$2,0,0,COUNTA(stages!$C:$C),MATCH("stage_target",stages!$2:$2,0)-MATCH($A$1,stages!$2:$2,0)+1),MATCH("stage_target",stages!$2:$2,0)-MATCH($A$1,stages!$2:$2,0)+1,FALSE)</f>
        <v>everyone</v>
      </c>
      <c r="F221" s="200" t="s">
        <v>382</v>
      </c>
      <c r="G221" s="49" t="str">
        <f t="shared" si="108"/>
        <v>quest50004.png</v>
      </c>
      <c r="H221" s="13" t="s">
        <v>53</v>
      </c>
      <c r="I221" s="12">
        <v>5004</v>
      </c>
      <c r="J221" s="12">
        <v>1</v>
      </c>
    </row>
    <row r="222" spans="1:10" ht="21" customHeight="1" x14ac:dyDescent="0.15">
      <c r="A222" s="31">
        <v>50005</v>
      </c>
      <c r="B222" s="47" t="str">
        <f ca="1">VLOOKUP($A222,OFFSET(quests!$A$1,0,0,COUNTA(quests!$A:$A),MATCH(B$1,quests!$1:$1,0)-MATCH($A$1,quests!$1:$1,0)+1),MATCH(B$1,quests!$1:$1,0)-MATCH($A$1,quests!$1:$1,0)+1,FALSE)</f>
        <v>ゼウス襲来！</v>
      </c>
      <c r="C222" s="47" t="str">
        <f ca="1">VLOOKUP($A222,OFFSET(quests!$A$1,0,0,COUNTA(quests!$A:$A),MATCH(C$1,quests!$1:$1,0)-MATCH($A$1,quests!$1:$1,0)+1),MATCH(C$1,quests!$1:$1,0)-MATCH($A$1,quests!$1:$1,0)+1,FALSE)</f>
        <v>コンティニュー不可の極悪難易度！！</v>
      </c>
      <c r="D222" s="47" t="str">
        <f ca="1">VLOOKUP($A222,OFFSET(quests!$A$1,0,0,COUNTA(quests!$A:$A),MATCH(D$1,quests!$1:$1,0)-MATCH($A$1,quests!$1:$1,0)+1),MATCH(D$1,quests!$1:$1,0)-MATCH($A$1,quests!$1:$1,0)+1,FALSE)</f>
        <v>超降臨5</v>
      </c>
      <c r="E222" s="47" t="str">
        <f ca="1">VLOOKUP($A222,OFFSET(stages!$C$2,0,0,COUNTA(stages!$C:$C),MATCH("stage_target",stages!$2:$2,0)-MATCH($A$1,stages!$2:$2,0)+1),MATCH("stage_target",stages!$2:$2,0)-MATCH($A$1,stages!$2:$2,0)+1,FALSE)</f>
        <v>everyone</v>
      </c>
      <c r="F222" s="200" t="s">
        <v>382</v>
      </c>
      <c r="G222" s="49" t="str">
        <f t="shared" si="108"/>
        <v>quest50005.png</v>
      </c>
      <c r="H222" s="13" t="s">
        <v>53</v>
      </c>
      <c r="I222" s="12">
        <v>5005</v>
      </c>
      <c r="J222" s="12">
        <v>1</v>
      </c>
    </row>
    <row r="223" spans="1:10" ht="21" customHeight="1" x14ac:dyDescent="0.15">
      <c r="A223" s="31">
        <v>50006</v>
      </c>
      <c r="B223" s="47" t="str">
        <f ca="1">VLOOKUP($A223,OFFSET(quests!$A$1,0,0,COUNTA(quests!$A:$A),MATCH(B$1,quests!$1:$1,0)-MATCH($A$1,quests!$1:$1,0)+1),MATCH(B$1,quests!$1:$1,0)-MATCH($A$1,quests!$1:$1,0)+1,FALSE)</f>
        <v>セト襲来！</v>
      </c>
      <c r="C223" s="47" t="str">
        <f ca="1">VLOOKUP($A223,OFFSET(quests!$A$1,0,0,COUNTA(quests!$A:$A),MATCH(C$1,quests!$1:$1,0)-MATCH($A$1,quests!$1:$1,0)+1),MATCH(C$1,quests!$1:$1,0)-MATCH($A$1,quests!$1:$1,0)+1,FALSE)</f>
        <v>コンティニュー不可の極悪難易度！！</v>
      </c>
      <c r="D223" s="47" t="str">
        <f ca="1">VLOOKUP($A223,OFFSET(quests!$A$1,0,0,COUNTA(quests!$A:$A),MATCH(D$1,quests!$1:$1,0)-MATCH($A$1,quests!$1:$1,0)+1),MATCH(D$1,quests!$1:$1,0)-MATCH($A$1,quests!$1:$1,0)+1,FALSE)</f>
        <v>超降臨6</v>
      </c>
      <c r="E223" s="47" t="str">
        <f ca="1">VLOOKUP($A223,OFFSET(stages!$C$2,0,0,COUNTA(stages!$C:$C),MATCH("stage_target",stages!$2:$2,0)-MATCH($A$1,stages!$2:$2,0)+1),MATCH("stage_target",stages!$2:$2,0)-MATCH($A$1,stages!$2:$2,0)+1,FALSE)</f>
        <v>everyone</v>
      </c>
      <c r="F223" s="200" t="s">
        <v>382</v>
      </c>
      <c r="G223" s="49" t="str">
        <f t="shared" si="108"/>
        <v>quest50006.png</v>
      </c>
      <c r="H223" s="13" t="s">
        <v>53</v>
      </c>
      <c r="I223" s="12">
        <v>5006</v>
      </c>
      <c r="J223" s="12">
        <v>1</v>
      </c>
    </row>
    <row r="224" spans="1:10" ht="21" customHeight="1" x14ac:dyDescent="0.15">
      <c r="A224" s="31">
        <v>50007</v>
      </c>
      <c r="B224" s="47" t="str">
        <f ca="1">VLOOKUP($A224,OFFSET(quests!$A$1,0,0,COUNTA(quests!$A:$A),MATCH(B$1,quests!$1:$1,0)-MATCH($A$1,quests!$1:$1,0)+1),MATCH(B$1,quests!$1:$1,0)-MATCH($A$1,quests!$1:$1,0)+1,FALSE)</f>
        <v>ギルガメッシュ襲来！</v>
      </c>
      <c r="C224" s="47" t="str">
        <f ca="1">VLOOKUP($A224,OFFSET(quests!$A$1,0,0,COUNTA(quests!$A:$A),MATCH(C$1,quests!$1:$1,0)-MATCH($A$1,quests!$1:$1,0)+1),MATCH(C$1,quests!$1:$1,0)-MATCH($A$1,quests!$1:$1,0)+1,FALSE)</f>
        <v>コンティニュー不可の極悪難易度！！</v>
      </c>
      <c r="D224" s="47" t="str">
        <f ca="1">VLOOKUP($A224,OFFSET(quests!$A$1,0,0,COUNTA(quests!$A:$A),MATCH(D$1,quests!$1:$1,0)-MATCH($A$1,quests!$1:$1,0)+1),MATCH(D$1,quests!$1:$1,0)-MATCH($A$1,quests!$1:$1,0)+1,FALSE)</f>
        <v>超降臨7</v>
      </c>
      <c r="E224" s="47" t="str">
        <f ca="1">VLOOKUP($A224,OFFSET(stages!$C$2,0,0,COUNTA(stages!$C:$C),MATCH("stage_target",stages!$2:$2,0)-MATCH($A$1,stages!$2:$2,0)+1),MATCH("stage_target",stages!$2:$2,0)-MATCH($A$1,stages!$2:$2,0)+1,FALSE)</f>
        <v>everyone</v>
      </c>
      <c r="F224" s="200" t="s">
        <v>382</v>
      </c>
      <c r="G224" s="49" t="str">
        <f t="shared" ref="G224" si="109">"quest"&amp;A224&amp;".png"</f>
        <v>quest50007.png</v>
      </c>
      <c r="H224" s="13" t="s">
        <v>53</v>
      </c>
      <c r="I224" s="12">
        <v>5007</v>
      </c>
      <c r="J224" s="12">
        <v>1</v>
      </c>
    </row>
    <row r="225" spans="1:10" ht="21" customHeight="1" x14ac:dyDescent="0.15">
      <c r="A225" s="31">
        <v>50008</v>
      </c>
      <c r="B225" s="47" t="str">
        <f ca="1">VLOOKUP($A225,OFFSET(quests!$A$1,0,0,COUNTA(quests!$A:$A),MATCH(B$1,quests!$1:$1,0)-MATCH($A$1,quests!$1:$1,0)+1),MATCH(B$1,quests!$1:$1,0)-MATCH($A$1,quests!$1:$1,0)+1,FALSE)</f>
        <v>呂布襲来！</v>
      </c>
      <c r="C225" s="47" t="str">
        <f ca="1">VLOOKUP($A225,OFFSET(quests!$A$1,0,0,COUNTA(quests!$A:$A),MATCH(C$1,quests!$1:$1,0)-MATCH($A$1,quests!$1:$1,0)+1),MATCH(C$1,quests!$1:$1,0)-MATCH($A$1,quests!$1:$1,0)+1,FALSE)</f>
        <v>コンティニュー不可の極悪難易度！！</v>
      </c>
      <c r="D225" s="47" t="str">
        <f ca="1">VLOOKUP($A225,OFFSET(quests!$A$1,0,0,COUNTA(quests!$A:$A),MATCH(D$1,quests!$1:$1,0)-MATCH($A$1,quests!$1:$1,0)+1),MATCH(D$1,quests!$1:$1,0)-MATCH($A$1,quests!$1:$1,0)+1,FALSE)</f>
        <v>超降臨8</v>
      </c>
      <c r="E225" s="47" t="str">
        <f ca="1">VLOOKUP($A225,OFFSET(stages!$C$2,0,0,COUNTA(stages!$C:$C),MATCH("stage_target",stages!$2:$2,0)-MATCH($A$1,stages!$2:$2,0)+1),MATCH("stage_target",stages!$2:$2,0)-MATCH($A$1,stages!$2:$2,0)+1,FALSE)</f>
        <v>everyone</v>
      </c>
      <c r="F225" s="200" t="s">
        <v>382</v>
      </c>
      <c r="G225" s="49" t="str">
        <f t="shared" ref="G225" si="110">"quest"&amp;A225&amp;".png"</f>
        <v>quest50008.png</v>
      </c>
      <c r="H225" s="13" t="s">
        <v>53</v>
      </c>
      <c r="I225" s="12">
        <v>5008</v>
      </c>
      <c r="J225" s="12">
        <v>1</v>
      </c>
    </row>
    <row r="226" spans="1:10" ht="21" customHeight="1" x14ac:dyDescent="0.15">
      <c r="A226" s="31">
        <v>50009</v>
      </c>
      <c r="B226" s="47" t="str">
        <f ca="1">VLOOKUP($A226,OFFSET(quests!$A$1,0,0,COUNTA(quests!$A:$A),MATCH(B$1,quests!$1:$1,0)-MATCH($A$1,quests!$1:$1,0)+1),MATCH(B$1,quests!$1:$1,0)-MATCH($A$1,quests!$1:$1,0)+1,FALSE)</f>
        <v>ヘラ襲来！</v>
      </c>
      <c r="C226" s="47" t="str">
        <f ca="1">VLOOKUP($A226,OFFSET(quests!$A$1,0,0,COUNTA(quests!$A:$A),MATCH(C$1,quests!$1:$1,0)-MATCH($A$1,quests!$1:$1,0)+1),MATCH(C$1,quests!$1:$1,0)-MATCH($A$1,quests!$1:$1,0)+1,FALSE)</f>
        <v>コンティニュー不可の極悪難易度！！</v>
      </c>
      <c r="D226" s="47" t="str">
        <f ca="1">VLOOKUP($A226,OFFSET(quests!$A$1,0,0,COUNTA(quests!$A:$A),MATCH(D$1,quests!$1:$1,0)-MATCH($A$1,quests!$1:$1,0)+1),MATCH(D$1,quests!$1:$1,0)-MATCH($A$1,quests!$1:$1,0)+1,FALSE)</f>
        <v>超降臨9</v>
      </c>
      <c r="E226" s="47" t="str">
        <f ca="1">VLOOKUP($A226,OFFSET(stages!$C$2,0,0,COUNTA(stages!$C:$C),MATCH("stage_target",stages!$2:$2,0)-MATCH($A$1,stages!$2:$2,0)+1),MATCH("stage_target",stages!$2:$2,0)-MATCH($A$1,stages!$2:$2,0)+1,FALSE)</f>
        <v>everyone</v>
      </c>
      <c r="F226" s="200" t="s">
        <v>382</v>
      </c>
      <c r="G226" s="49" t="str">
        <f t="shared" ref="G226" si="111">"quest"&amp;A226&amp;".png"</f>
        <v>quest50009.png</v>
      </c>
      <c r="H226" s="13" t="s">
        <v>53</v>
      </c>
      <c r="I226" s="12">
        <v>5009</v>
      </c>
      <c r="J226" s="12">
        <v>1</v>
      </c>
    </row>
    <row r="227" spans="1:10" ht="21" customHeight="1" x14ac:dyDescent="0.15">
      <c r="A227" s="31">
        <v>50010</v>
      </c>
      <c r="B227" s="47" t="str">
        <f ca="1">VLOOKUP($A227,OFFSET(quests!$A$1,0,0,COUNTA(quests!$A:$A),MATCH(B$1,quests!$1:$1,0)-MATCH($A$1,quests!$1:$1,0)+1),MATCH(B$1,quests!$1:$1,0)-MATCH($A$1,quests!$1:$1,0)+1,FALSE)</f>
        <v>カフカ襲来！</v>
      </c>
      <c r="C227" s="47" t="str">
        <f ca="1">VLOOKUP($A227,OFFSET(quests!$A$1,0,0,COUNTA(quests!$A:$A),MATCH(C$1,quests!$1:$1,0)-MATCH($A$1,quests!$1:$1,0)+1),MATCH(C$1,quests!$1:$1,0)-MATCH($A$1,quests!$1:$1,0)+1,FALSE)</f>
        <v>コンティニュー不可の極悪難易度！！</v>
      </c>
      <c r="D227" s="47" t="str">
        <f ca="1">VLOOKUP($A227,OFFSET(quests!$A$1,0,0,COUNTA(quests!$A:$A),MATCH(D$1,quests!$1:$1,0)-MATCH($A$1,quests!$1:$1,0)+1),MATCH(D$1,quests!$1:$1,0)-MATCH($A$1,quests!$1:$1,0)+1,FALSE)</f>
        <v>超降臨10</v>
      </c>
      <c r="E227" s="47" t="str">
        <f ca="1">VLOOKUP($A227,OFFSET(stages!$C$2,0,0,COUNTA(stages!$C:$C),MATCH("stage_target",stages!$2:$2,0)-MATCH($A$1,stages!$2:$2,0)+1),MATCH("stage_target",stages!$2:$2,0)-MATCH($A$1,stages!$2:$2,0)+1,FALSE)</f>
        <v>everyone</v>
      </c>
      <c r="F227" s="200" t="s">
        <v>382</v>
      </c>
      <c r="G227" s="49" t="str">
        <f t="shared" ref="G227" si="112">"quest"&amp;A227&amp;".png"</f>
        <v>quest50010.png</v>
      </c>
      <c r="H227" s="13" t="s">
        <v>53</v>
      </c>
      <c r="I227" s="12">
        <v>5010</v>
      </c>
      <c r="J227" s="12">
        <v>1</v>
      </c>
    </row>
    <row r="228" spans="1:10" ht="21" customHeight="1" x14ac:dyDescent="0.15">
      <c r="A228" s="31">
        <v>50011</v>
      </c>
      <c r="B228" s="47" t="str">
        <f ca="1">VLOOKUP($A228,OFFSET(quests!$A$1,0,0,COUNTA(quests!$A:$A),MATCH(B$1,quests!$1:$1,0)-MATCH($A$1,quests!$1:$1,0)+1),MATCH(B$1,quests!$1:$1,0)-MATCH($A$1,quests!$1:$1,0)+1,FALSE)</f>
        <v>ヘラ襲来！</v>
      </c>
      <c r="C228" s="47" t="str">
        <f ca="1">VLOOKUP($A228,OFFSET(quests!$A$1,0,0,COUNTA(quests!$A:$A),MATCH(C$1,quests!$1:$1,0)-MATCH($A$1,quests!$1:$1,0)+1),MATCH(C$1,quests!$1:$1,0)-MATCH($A$1,quests!$1:$1,0)+1,FALSE)</f>
        <v>コンティニュー不可の極悪難易度！！</v>
      </c>
      <c r="D228" s="47" t="str">
        <f ca="1">VLOOKUP($A228,OFFSET(quests!$A$1,0,0,COUNTA(quests!$A:$A),MATCH(D$1,quests!$1:$1,0)-MATCH($A$1,quests!$1:$1,0)+1),MATCH(D$1,quests!$1:$1,0)-MATCH($A$1,quests!$1:$1,0)+1,FALSE)</f>
        <v>超降臨9</v>
      </c>
      <c r="E228" s="47" t="str">
        <f ca="1">VLOOKUP($A228,OFFSET(stages!$C$2,0,0,COUNTA(stages!$C:$C),MATCH("stage_target",stages!$2:$2,0)-MATCH($A$1,stages!$2:$2,0)+1),MATCH("stage_target",stages!$2:$2,0)-MATCH($A$1,stages!$2:$2,0)+1,FALSE)</f>
        <v>everyone</v>
      </c>
      <c r="F228" s="200" t="s">
        <v>382</v>
      </c>
      <c r="G228" s="270" t="s">
        <v>1831</v>
      </c>
      <c r="H228" s="13" t="s">
        <v>53</v>
      </c>
      <c r="I228" s="12">
        <v>5011</v>
      </c>
      <c r="J228" s="12">
        <v>1</v>
      </c>
    </row>
    <row r="229" spans="1:10" ht="21" customHeight="1" x14ac:dyDescent="0.15">
      <c r="A229" s="31">
        <v>50012</v>
      </c>
      <c r="B229" s="47" t="str">
        <f ca="1">VLOOKUP($A229,OFFSET(quests!$A$1,0,0,COUNTA(quests!$A:$A),MATCH(B$1,quests!$1:$1,0)-MATCH($A$1,quests!$1:$1,0)+1),MATCH(B$1,quests!$1:$1,0)-MATCH($A$1,quests!$1:$1,0)+1,FALSE)</f>
        <v>豊臣秀吉襲来！</v>
      </c>
      <c r="C229" s="47" t="str">
        <f ca="1">VLOOKUP($A229,OFFSET(quests!$A$1,0,0,COUNTA(quests!$A:$A),MATCH(C$1,quests!$1:$1,0)-MATCH($A$1,quests!$1:$1,0)+1),MATCH(C$1,quests!$1:$1,0)-MATCH($A$1,quests!$1:$1,0)+1,FALSE)</f>
        <v>コンティニュー不可の極悪難易度！！</v>
      </c>
      <c r="D229" s="47" t="str">
        <f ca="1">VLOOKUP($A229,OFFSET(quests!$A$1,0,0,COUNTA(quests!$A:$A),MATCH(D$1,quests!$1:$1,0)-MATCH($A$1,quests!$1:$1,0)+1),MATCH(D$1,quests!$1:$1,0)-MATCH($A$1,quests!$1:$1,0)+1,FALSE)</f>
        <v>超降臨11</v>
      </c>
      <c r="E229" s="47" t="str">
        <f ca="1">VLOOKUP($A229,OFFSET(stages!$C$2,0,0,COUNTA(stages!$C:$C),MATCH("stage_target",stages!$2:$2,0)-MATCH($A$1,stages!$2:$2,0)+1),MATCH("stage_target",stages!$2:$2,0)-MATCH($A$1,stages!$2:$2,0)+1,FALSE)</f>
        <v>everyone</v>
      </c>
      <c r="F229" s="200" t="s">
        <v>382</v>
      </c>
      <c r="G229" s="278" t="s">
        <v>1934</v>
      </c>
      <c r="H229" s="13" t="s">
        <v>53</v>
      </c>
      <c r="I229" s="12">
        <v>5012</v>
      </c>
      <c r="J229" s="12">
        <v>1</v>
      </c>
    </row>
    <row r="230" spans="1:10" ht="21" customHeight="1" x14ac:dyDescent="0.15">
      <c r="A230" s="31">
        <v>50013</v>
      </c>
      <c r="B230" s="47" t="str">
        <f ca="1">VLOOKUP($A230,OFFSET(quests!$A$1,0,0,COUNTA(quests!$A:$A),MATCH(B$1,quests!$1:$1,0)-MATCH($A$1,quests!$1:$1,0)+1),MATCH(B$1,quests!$1:$1,0)-MATCH($A$1,quests!$1:$1,0)+1,FALSE)</f>
        <v>ロキ襲来！</v>
      </c>
      <c r="C230" s="47" t="str">
        <f ca="1">VLOOKUP($A230,OFFSET(quests!$A$1,0,0,COUNTA(quests!$A:$A),MATCH(C$1,quests!$1:$1,0)-MATCH($A$1,quests!$1:$1,0)+1),MATCH(C$1,quests!$1:$1,0)-MATCH($A$1,quests!$1:$1,0)+1,FALSE)</f>
        <v>コンティニュー不可の極悪難易度！！</v>
      </c>
      <c r="D230" s="47" t="str">
        <f ca="1">VLOOKUP($A230,OFFSET(quests!$A$1,0,0,COUNTA(quests!$A:$A),MATCH(D$1,quests!$1:$1,0)-MATCH($A$1,quests!$1:$1,0)+1),MATCH(D$1,quests!$1:$1,0)-MATCH($A$1,quests!$1:$1,0)+1,FALSE)</f>
        <v>超降臨12</v>
      </c>
      <c r="E230" s="47" t="str">
        <f ca="1">VLOOKUP($A230,OFFSET(stages!$C$2,0,0,COUNTA(stages!$C:$C),MATCH("stage_target",stages!$2:$2,0)-MATCH($A$1,stages!$2:$2,0)+1),MATCH("stage_target",stages!$2:$2,0)-MATCH($A$1,stages!$2:$2,0)+1,FALSE)</f>
        <v>everyone</v>
      </c>
      <c r="F230" s="200" t="s">
        <v>382</v>
      </c>
      <c r="G230" s="49" t="str">
        <f t="shared" ref="G230" si="113">"quest"&amp;A230&amp;".png"</f>
        <v>quest50013.png</v>
      </c>
      <c r="H230" s="13" t="s">
        <v>53</v>
      </c>
      <c r="I230" s="12">
        <v>5013</v>
      </c>
      <c r="J230" s="12">
        <v>1</v>
      </c>
    </row>
    <row r="231" spans="1:10" ht="21" customHeight="1" x14ac:dyDescent="0.15">
      <c r="A231" s="31">
        <v>50014</v>
      </c>
      <c r="B231" s="47" t="str">
        <f ca="1">VLOOKUP($A231,OFFSET(quests!$A$1,0,0,COUNTA(quests!$A:$A),MATCH(B$1,quests!$1:$1,0)-MATCH($A$1,quests!$1:$1,0)+1),MATCH(B$1,quests!$1:$1,0)-MATCH($A$1,quests!$1:$1,0)+1,FALSE)</f>
        <v>スサノオ襲来！</v>
      </c>
      <c r="C231" s="47" t="str">
        <f ca="1">VLOOKUP($A231,OFFSET(quests!$A$1,0,0,COUNTA(quests!$A:$A),MATCH(C$1,quests!$1:$1,0)-MATCH($A$1,quests!$1:$1,0)+1),MATCH(C$1,quests!$1:$1,0)-MATCH($A$1,quests!$1:$1,0)+1,FALSE)</f>
        <v>コンティニュー不可の極悪難易度！！</v>
      </c>
      <c r="D231" s="47" t="str">
        <f ca="1">VLOOKUP($A231,OFFSET(quests!$A$1,0,0,COUNTA(quests!$A:$A),MATCH(D$1,quests!$1:$1,0)-MATCH($A$1,quests!$1:$1,0)+1),MATCH(D$1,quests!$1:$1,0)-MATCH($A$1,quests!$1:$1,0)+1,FALSE)</f>
        <v>超降臨13</v>
      </c>
      <c r="E231" s="47" t="str">
        <f ca="1">VLOOKUP($A231,OFFSET(stages!$C$2,0,0,COUNTA(stages!$C:$C),MATCH("stage_target",stages!$2:$2,0)-MATCH($A$1,stages!$2:$2,0)+1),MATCH("stage_target",stages!$2:$2,0)-MATCH($A$1,stages!$2:$2,0)+1,FALSE)</f>
        <v>everyone</v>
      </c>
      <c r="F231" s="200" t="s">
        <v>382</v>
      </c>
      <c r="G231" s="49" t="str">
        <f t="shared" ref="G231" si="114">"quest"&amp;A231&amp;".png"</f>
        <v>quest50014.png</v>
      </c>
      <c r="H231" s="13" t="s">
        <v>53</v>
      </c>
      <c r="I231" s="12">
        <v>5014</v>
      </c>
      <c r="J231" s="12">
        <v>1</v>
      </c>
    </row>
    <row r="232" spans="1:10" ht="21" customHeight="1" x14ac:dyDescent="0.15">
      <c r="A232" s="31">
        <v>50015</v>
      </c>
      <c r="B232" s="47" t="str">
        <f ca="1">VLOOKUP($A232,OFFSET(quests!$A$1,0,0,COUNTA(quests!$A:$A),MATCH(B$1,quests!$1:$1,0)-MATCH($A$1,quests!$1:$1,0)+1),MATCH(B$1,quests!$1:$1,0)-MATCH($A$1,quests!$1:$1,0)+1,FALSE)</f>
        <v>アンデルセン襲来！</v>
      </c>
      <c r="C232" s="47" t="str">
        <f ca="1">VLOOKUP($A232,OFFSET(quests!$A$1,0,0,COUNTA(quests!$A:$A),MATCH(C$1,quests!$1:$1,0)-MATCH($A$1,quests!$1:$1,0)+1),MATCH(C$1,quests!$1:$1,0)-MATCH($A$1,quests!$1:$1,0)+1,FALSE)</f>
        <v>コンティニュー不可の極悪難易度！！</v>
      </c>
      <c r="D232" s="47" t="str">
        <f ca="1">VLOOKUP($A232,OFFSET(quests!$A$1,0,0,COUNTA(quests!$A:$A),MATCH(D$1,quests!$1:$1,0)-MATCH($A$1,quests!$1:$1,0)+1),MATCH(D$1,quests!$1:$1,0)-MATCH($A$1,quests!$1:$1,0)+1,FALSE)</f>
        <v>超降臨14</v>
      </c>
      <c r="E232" s="47" t="str">
        <f ca="1">VLOOKUP($A232,OFFSET(stages!$C$2,0,0,COUNTA(stages!$C:$C),MATCH("stage_target",stages!$2:$2,0)-MATCH($A$1,stages!$2:$2,0)+1),MATCH("stage_target",stages!$2:$2,0)-MATCH($A$1,stages!$2:$2,0)+1,FALSE)</f>
        <v>everyone</v>
      </c>
      <c r="F232" s="200" t="s">
        <v>382</v>
      </c>
      <c r="G232" s="49" t="str">
        <f t="shared" ref="G232" si="115">"quest"&amp;A232&amp;".png"</f>
        <v>quest50015.png</v>
      </c>
      <c r="H232" s="13" t="s">
        <v>53</v>
      </c>
      <c r="I232" s="12">
        <v>5015</v>
      </c>
      <c r="J232" s="12">
        <v>1</v>
      </c>
    </row>
    <row r="233" spans="1:10" ht="21" customHeight="1" x14ac:dyDescent="0.15">
      <c r="A233" s="31">
        <v>50016</v>
      </c>
      <c r="B233" s="47" t="str">
        <f ca="1">VLOOKUP($A233,OFFSET(quests!$A$1,0,0,COUNTA(quests!$A:$A),MATCH(B$1,quests!$1:$1,0)-MATCH($A$1,quests!$1:$1,0)+1),MATCH(B$1,quests!$1:$1,0)-MATCH($A$1,quests!$1:$1,0)+1,FALSE)</f>
        <v>アレキサンダー襲来！</v>
      </c>
      <c r="C233" s="47" t="str">
        <f ca="1">VLOOKUP($A233,OFFSET(quests!$A$1,0,0,COUNTA(quests!$A:$A),MATCH(C$1,quests!$1:$1,0)-MATCH($A$1,quests!$1:$1,0)+1),MATCH(C$1,quests!$1:$1,0)-MATCH($A$1,quests!$1:$1,0)+1,FALSE)</f>
        <v>コンティニュー不可の極悪難易度！！</v>
      </c>
      <c r="D233" s="47" t="str">
        <f ca="1">VLOOKUP($A233,OFFSET(quests!$A$1,0,0,COUNTA(quests!$A:$A),MATCH(D$1,quests!$1:$1,0)-MATCH($A$1,quests!$1:$1,0)+1),MATCH(D$1,quests!$1:$1,0)-MATCH($A$1,quests!$1:$1,0)+1,FALSE)</f>
        <v>超降臨15</v>
      </c>
      <c r="E233" s="47" t="str">
        <f ca="1">VLOOKUP($A233,OFFSET(stages!$C$2,0,0,COUNTA(stages!$C:$C),MATCH("stage_target",stages!$2:$2,0)-MATCH($A$1,stages!$2:$2,0)+1),MATCH("stage_target",stages!$2:$2,0)-MATCH($A$1,stages!$2:$2,0)+1,FALSE)</f>
        <v>everyone</v>
      </c>
      <c r="F233" s="200" t="s">
        <v>382</v>
      </c>
      <c r="G233" s="49" t="str">
        <f t="shared" ref="G233" si="116">"quest"&amp;A233&amp;".png"</f>
        <v>quest50016.png</v>
      </c>
      <c r="H233" s="13" t="s">
        <v>53</v>
      </c>
      <c r="I233" s="12">
        <v>5016</v>
      </c>
      <c r="J233" s="12">
        <v>1</v>
      </c>
    </row>
    <row r="234" spans="1:10" ht="21" customHeight="1" x14ac:dyDescent="0.15">
      <c r="A234" s="31">
        <v>51001</v>
      </c>
      <c r="B234" s="47" t="str">
        <f ca="1">VLOOKUP($A234,OFFSET(quests!$A$1,0,0,COUNTA(quests!$A:$A),MATCH(B$1,quests!$1:$1,0)-MATCH($A$1,quests!$1:$1,0)+1),MATCH(B$1,quests!$1:$1,0)-MATCH($A$1,quests!$1:$1,0)+1,FALSE)</f>
        <v>麒麟襲来！</v>
      </c>
      <c r="C234" s="47" t="str">
        <f ca="1">VLOOKUP($A234,OFFSET(quests!$A$1,0,0,COUNTA(quests!$A:$A),MATCH(C$1,quests!$1:$1,0)-MATCH($A$1,quests!$1:$1,0)+1),MATCH(C$1,quests!$1:$1,0)-MATCH($A$1,quests!$1:$1,0)+1,FALSE)</f>
        <v>コンティニュー不可の極悪難易度！！</v>
      </c>
      <c r="D234" s="47" t="str">
        <f ca="1">VLOOKUP($A234,OFFSET(quests!$A$1,0,0,COUNTA(quests!$A:$A),MATCH(D$1,quests!$1:$1,0)-MATCH($A$1,quests!$1:$1,0)+1),MATCH(D$1,quests!$1:$1,0)-MATCH($A$1,quests!$1:$1,0)+1,FALSE)</f>
        <v>超降臨1</v>
      </c>
      <c r="E234" s="47" t="str">
        <f ca="1">VLOOKUP($A234,OFFSET(stages!$C$2,0,0,COUNTA(stages!$C:$C),MATCH("stage_target",stages!$2:$2,0)-MATCH($A$1,stages!$2:$2,0)+1),MATCH("stage_target",stages!$2:$2,0)-MATCH($A$1,stages!$2:$2,0)+1,FALSE)</f>
        <v>everyone</v>
      </c>
      <c r="F234" s="200" t="s">
        <v>382</v>
      </c>
      <c r="G234" s="49" t="str">
        <f t="shared" si="108"/>
        <v>quest51001.png</v>
      </c>
      <c r="H234" s="13" t="s">
        <v>53</v>
      </c>
      <c r="I234" s="12">
        <v>5001</v>
      </c>
      <c r="J234" s="12">
        <v>1</v>
      </c>
    </row>
    <row r="235" spans="1:10" ht="22" customHeight="1" x14ac:dyDescent="0.15">
      <c r="A235" s="31">
        <v>51002</v>
      </c>
      <c r="B235" s="47" t="str">
        <f ca="1">VLOOKUP($A235,OFFSET(quests!$A$1,0,0,COUNTA(quests!$A:$A),MATCH(B$1,quests!$1:$1,0)-MATCH($A$1,quests!$1:$1,0)+1),MATCH(B$1,quests!$1:$1,0)-MATCH($A$1,quests!$1:$1,0)+1,FALSE)</f>
        <v>オーディン襲来！</v>
      </c>
      <c r="C235" s="47" t="str">
        <f ca="1">VLOOKUP($A235,OFFSET(quests!$A$1,0,0,COUNTA(quests!$A:$A),MATCH(C$1,quests!$1:$1,0)-MATCH($A$1,quests!$1:$1,0)+1),MATCH(C$1,quests!$1:$1,0)-MATCH($A$1,quests!$1:$1,0)+1,FALSE)</f>
        <v>コンティニュー不可の極悪難易度！！</v>
      </c>
      <c r="D235" s="47" t="str">
        <f ca="1">VLOOKUP($A235,OFFSET(quests!$A$1,0,0,COUNTA(quests!$A:$A),MATCH(D$1,quests!$1:$1,0)-MATCH($A$1,quests!$1:$1,0)+1),MATCH(D$1,quests!$1:$1,0)-MATCH($A$1,quests!$1:$1,0)+1,FALSE)</f>
        <v>超降臨2</v>
      </c>
      <c r="E235" s="47" t="str">
        <f ca="1">VLOOKUP($A235,OFFSET(stages!$C$2,0,0,COUNTA(stages!$C:$C),MATCH("stage_target",stages!$2:$2,0)-MATCH($A$1,stages!$2:$2,0)+1),MATCH("stage_target",stages!$2:$2,0)-MATCH($A$1,stages!$2:$2,0)+1,FALSE)</f>
        <v>everyone</v>
      </c>
      <c r="F235" s="200" t="s">
        <v>382</v>
      </c>
      <c r="G235" s="49" t="str">
        <f t="shared" si="108"/>
        <v>quest51002.png</v>
      </c>
      <c r="H235" s="13" t="s">
        <v>53</v>
      </c>
      <c r="I235" s="12">
        <v>5002</v>
      </c>
      <c r="J235" s="12">
        <v>1</v>
      </c>
    </row>
    <row r="236" spans="1:10" ht="22" customHeight="1" x14ac:dyDescent="0.15">
      <c r="A236" s="31">
        <v>58001</v>
      </c>
      <c r="B236" s="47" t="str">
        <f ca="1">VLOOKUP($A236,OFFSET(quests!$A$1,0,0,COUNTA(quests!$A:$A),MATCH(B$1,quests!$1:$1,0)-MATCH($A$1,quests!$1:$1,0)+1),MATCH(B$1,quests!$1:$1,0)-MATCH($A$1,quests!$1:$1,0)+1,FALSE)</f>
        <v>曹操襲来！</v>
      </c>
      <c r="C236" s="47" t="str">
        <f ca="1">VLOOKUP($A236,OFFSET(quests!$A$1,0,0,COUNTA(quests!$A:$A),MATCH(C$1,quests!$1:$1,0)-MATCH($A$1,quests!$1:$1,0)+1),MATCH(C$1,quests!$1:$1,0)-MATCH($A$1,quests!$1:$1,0)+1,FALSE)</f>
        <v>コンティニュー不可の極悪難易度！！</v>
      </c>
      <c r="D236" s="47" t="str">
        <f ca="1">VLOOKUP($A236,OFFSET(quests!$A$1,0,0,COUNTA(quests!$A:$A),MATCH(D$1,quests!$1:$1,0)-MATCH($A$1,quests!$1:$1,0)+1),MATCH(D$1,quests!$1:$1,0)-MATCH($A$1,quests!$1:$1,0)+1,FALSE)</f>
        <v>繁体字版超降臨1</v>
      </c>
      <c r="E236" s="47" t="str">
        <f ca="1">VLOOKUP($A236,OFFSET(stages!$C$2,0,0,COUNTA(stages!$C:$C),MATCH("stage_target",stages!$2:$2,0)-MATCH($A$1,stages!$2:$2,0)+1),MATCH("stage_target",stages!$2:$2,0)-MATCH($A$1,stages!$2:$2,0)+1,FALSE)</f>
        <v>everyone</v>
      </c>
      <c r="F236" s="200" t="s">
        <v>382</v>
      </c>
      <c r="G236" s="49" t="str">
        <f>"quest"&amp;A236&amp;".png"</f>
        <v>quest58001.png</v>
      </c>
      <c r="H236" s="13" t="s">
        <v>53</v>
      </c>
      <c r="I236" s="12">
        <v>5003</v>
      </c>
      <c r="J236" s="12">
        <v>2</v>
      </c>
    </row>
    <row r="237" spans="1:10" ht="22" customHeight="1" x14ac:dyDescent="0.15">
      <c r="A237" s="31">
        <v>58002</v>
      </c>
      <c r="B237" s="47" t="str">
        <f ca="1">VLOOKUP($A237,OFFSET(quests!$A$1,0,0,COUNTA(quests!$A:$A),MATCH(B$1,quests!$1:$1,0)-MATCH($A$1,quests!$1:$1,0)+1),MATCH(B$1,quests!$1:$1,0)-MATCH($A$1,quests!$1:$1,0)+1,FALSE)</f>
        <v>始皇贏政襲来！</v>
      </c>
      <c r="C237" s="47" t="str">
        <f ca="1">VLOOKUP($A237,OFFSET(quests!$A$1,0,0,COUNTA(quests!$A:$A),MATCH(C$1,quests!$1:$1,0)-MATCH($A$1,quests!$1:$1,0)+1),MATCH(C$1,quests!$1:$1,0)-MATCH($A$1,quests!$1:$1,0)+1,FALSE)</f>
        <v>コンティニュー不可の極悪難易度！！</v>
      </c>
      <c r="D237" s="47" t="str">
        <f ca="1">VLOOKUP($A237,OFFSET(quests!$A$1,0,0,COUNTA(quests!$A:$A),MATCH(D$1,quests!$1:$1,0)-MATCH($A$1,quests!$1:$1,0)+1),MATCH(D$1,quests!$1:$1,0)-MATCH($A$1,quests!$1:$1,0)+1,FALSE)</f>
        <v>繁体字版超降臨2</v>
      </c>
      <c r="E237" s="47" t="str">
        <f ca="1">VLOOKUP($A237,OFFSET(stages!$C$2,0,0,COUNTA(stages!$C:$C),MATCH("stage_target",stages!$2:$2,0)-MATCH($A$1,stages!$2:$2,0)+1),MATCH("stage_target",stages!$2:$2,0)-MATCH($A$1,stages!$2:$2,0)+1,FALSE)</f>
        <v>everyone</v>
      </c>
      <c r="F237" s="200" t="s">
        <v>382</v>
      </c>
      <c r="G237" s="49" t="str">
        <f>"quest"&amp;A237&amp;".png"</f>
        <v>quest58002.png</v>
      </c>
      <c r="H237" s="13" t="s">
        <v>53</v>
      </c>
      <c r="I237" s="12">
        <v>5004</v>
      </c>
      <c r="J237" s="12">
        <v>2</v>
      </c>
    </row>
    <row r="238" spans="1:10" ht="22" customHeight="1" x14ac:dyDescent="0.15">
      <c r="A238" s="31">
        <v>58003</v>
      </c>
      <c r="B238" s="47" t="str">
        <f ca="1">VLOOKUP($A238,OFFSET(quests!$A$1,0,0,COUNTA(quests!$A:$A),MATCH(B$1,quests!$1:$1,0)-MATCH($A$1,quests!$1:$1,0)+1),MATCH(B$1,quests!$1:$1,0)-MATCH($A$1,quests!$1:$1,0)+1,FALSE)</f>
        <v>曹操襲来！</v>
      </c>
      <c r="C238" s="47" t="str">
        <f ca="1">VLOOKUP($A238,OFFSET(quests!$A$1,0,0,COUNTA(quests!$A:$A),MATCH(C$1,quests!$1:$1,0)-MATCH($A$1,quests!$1:$1,0)+1),MATCH(C$1,quests!$1:$1,0)-MATCH($A$1,quests!$1:$1,0)+1,FALSE)</f>
        <v>コンティニュー不可の極悪難易度！！</v>
      </c>
      <c r="D238" s="47" t="str">
        <f ca="1">VLOOKUP($A238,OFFSET(quests!$A$1,0,0,COUNTA(quests!$A:$A),MATCH(D$1,quests!$1:$1,0)-MATCH($A$1,quests!$1:$1,0)+1),MATCH(D$1,quests!$1:$1,0)-MATCH($A$1,quests!$1:$1,0)+1,FALSE)</f>
        <v>繁体字版超降臨1</v>
      </c>
      <c r="E238" s="47" t="str">
        <f ca="1">VLOOKUP($A238,OFFSET(stages!$C$2,0,0,COUNTA(stages!$C:$C),MATCH("stage_target",stages!$2:$2,0)-MATCH($A$1,stages!$2:$2,0)+1),MATCH("stage_target",stages!$2:$2,0)-MATCH($A$1,stages!$2:$2,0)+1,FALSE)</f>
        <v>everyone</v>
      </c>
      <c r="F238" s="200" t="s">
        <v>382</v>
      </c>
      <c r="G238" s="49" t="str">
        <f>"quest"&amp;A238&amp;".png"</f>
        <v>quest58003.png</v>
      </c>
      <c r="H238" s="13" t="s">
        <v>53</v>
      </c>
      <c r="I238" s="12">
        <v>5003</v>
      </c>
      <c r="J238" s="12">
        <v>2</v>
      </c>
    </row>
    <row r="239" spans="1:10" ht="22" customHeight="1" x14ac:dyDescent="0.15">
      <c r="A239" s="31">
        <v>58101</v>
      </c>
      <c r="B239" s="47" t="str">
        <f ca="1">VLOOKUP($A239,OFFSET(quests!$A$1,0,0,COUNTA(quests!$A:$A),MATCH(B$1,quests!$1:$1,0)-MATCH($A$1,quests!$1:$1,0)+1),MATCH(B$1,quests!$1:$1,0)-MATCH($A$1,quests!$1:$1,0)+1,FALSE)</f>
        <v>路西法襲来！</v>
      </c>
      <c r="C239" s="47" t="str">
        <f ca="1">VLOOKUP($A239,OFFSET(quests!$A$1,0,0,COUNTA(quests!$A:$A),MATCH(C$1,quests!$1:$1,0)-MATCH($A$1,quests!$1:$1,0)+1),MATCH(C$1,quests!$1:$1,0)-MATCH($A$1,quests!$1:$1,0)+1,FALSE)</f>
        <v>コンティニュー不可の極悪難易度！！</v>
      </c>
      <c r="D239" s="47" t="str">
        <f ca="1">VLOOKUP($A239,OFFSET(quests!$A$1,0,0,COUNTA(quests!$A:$A),MATCH(D$1,quests!$1:$1,0)-MATCH($A$1,quests!$1:$1,0)+1),MATCH(D$1,quests!$1:$1,0)-MATCH($A$1,quests!$1:$1,0)+1,FALSE)</f>
        <v>繁体字版コラボ超降臨1</v>
      </c>
      <c r="E239" s="47" t="str">
        <f ca="1">VLOOKUP($A239,OFFSET(stages!$C$2,0,0,COUNTA(stages!$C:$C),MATCH("stage_target",stages!$2:$2,0)-MATCH($A$1,stages!$2:$2,0)+1),MATCH("stage_target",stages!$2:$2,0)-MATCH($A$1,stages!$2:$2,0)+1,FALSE)</f>
        <v>everyone</v>
      </c>
      <c r="F239" s="200" t="s">
        <v>382</v>
      </c>
      <c r="G239" s="49" t="str">
        <f>"quest"&amp;A239&amp;".png"</f>
        <v>quest58101.png</v>
      </c>
      <c r="H239" s="13" t="s">
        <v>53</v>
      </c>
      <c r="I239" s="12">
        <v>5005</v>
      </c>
      <c r="J239" s="12">
        <v>2</v>
      </c>
    </row>
    <row r="240" spans="1:10" ht="22" customHeight="1" x14ac:dyDescent="0.15">
      <c r="A240" s="31">
        <v>59001</v>
      </c>
      <c r="B240" s="47" t="str">
        <f ca="1">VLOOKUP($A240,OFFSET(quests!$A$1,0,0,COUNTA(quests!$A:$A),MATCH(B$1,quests!$1:$1,0)-MATCH($A$1,quests!$1:$1,0)+1),MATCH(B$1,quests!$1:$1,0)-MATCH($A$1,quests!$1:$1,0)+1,FALSE)</f>
        <v>電子歌姫の堕天使</v>
      </c>
      <c r="C240" s="47" t="str">
        <f ca="1">VLOOKUP($A240,OFFSET(quests!$A$1,0,0,COUNTA(quests!$A:$A),MATCH(C$1,quests!$1:$1,0)-MATCH($A$1,quests!$1:$1,0)+1),MATCH(C$1,quests!$1:$1,0)-MATCH($A$1,quests!$1:$1,0)+1,FALSE)</f>
        <v>コンティニュー不可の極悪難易度！！</v>
      </c>
      <c r="D240" s="47" t="str">
        <f ca="1">VLOOKUP($A240,OFFSET(quests!$A$1,0,0,COUNTA(quests!$A:$A),MATCH(D$1,quests!$1:$1,0)-MATCH($A$1,quests!$1:$1,0)+1),MATCH(D$1,quests!$1:$1,0)-MATCH($A$1,quests!$1:$1,0)+1,FALSE)</f>
        <v>コラボ超降臨1</v>
      </c>
      <c r="E240" s="47" t="str">
        <f ca="1">VLOOKUP($A240,OFFSET(stages!$C$2,0,0,COUNTA(stages!$C:$C),MATCH("stage_target",stages!$2:$2,0)-MATCH($A$1,stages!$2:$2,0)+1),MATCH("stage_target",stages!$2:$2,0)-MATCH($A$1,stages!$2:$2,0)+1,FALSE)</f>
        <v>everyone</v>
      </c>
      <c r="F240" s="200" t="s">
        <v>382</v>
      </c>
      <c r="G240" s="49" t="str">
        <f t="shared" ref="G240" si="117">"quest"&amp;A240&amp;".png"</f>
        <v>quest59001.png</v>
      </c>
      <c r="H240" s="13" t="s">
        <v>53</v>
      </c>
      <c r="I240" s="13">
        <v>32770</v>
      </c>
      <c r="J240" s="12">
        <v>2</v>
      </c>
    </row>
    <row r="241" spans="1:10" ht="22" customHeight="1" x14ac:dyDescent="0.15">
      <c r="A241" s="31">
        <v>59002</v>
      </c>
      <c r="B241" s="47" t="str">
        <f ca="1">VLOOKUP($A241,OFFSET(quests!$A$1,0,0,COUNTA(quests!$A:$A),MATCH(B$1,quests!$1:$1,0)-MATCH($A$1,quests!$1:$1,0)+1),MATCH(B$1,quests!$1:$1,0)-MATCH($A$1,quests!$1:$1,0)+1,FALSE)</f>
        <v>狂乱のネコ降臨</v>
      </c>
      <c r="C241" s="47" t="str">
        <f ca="1">VLOOKUP($A241,OFFSET(quests!$A$1,0,0,COUNTA(quests!$A:$A),MATCH(C$1,quests!$1:$1,0)-MATCH($A$1,quests!$1:$1,0)+1),MATCH(C$1,quests!$1:$1,0)-MATCH($A$1,quests!$1:$1,0)+1,FALSE)</f>
        <v>コンティニュー不可の極悪難易度！！</v>
      </c>
      <c r="D241" s="47" t="str">
        <f ca="1">VLOOKUP($A241,OFFSET(quests!$A$1,0,0,COUNTA(quests!$A:$A),MATCH(D$1,quests!$1:$1,0)-MATCH($A$1,quests!$1:$1,0)+1),MATCH(D$1,quests!$1:$1,0)-MATCH($A$1,quests!$1:$1,0)+1,FALSE)</f>
        <v>コラボ超降臨2</v>
      </c>
      <c r="E241" s="47" t="str">
        <f ca="1">VLOOKUP($A241,OFFSET(stages!$C$2,0,0,COUNTA(stages!$C:$C),MATCH("stage_target",stages!$2:$2,0)-MATCH($A$1,stages!$2:$2,0)+1),MATCH("stage_target",stages!$2:$2,0)-MATCH($A$1,stages!$2:$2,0)+1,FALSE)</f>
        <v>everyone</v>
      </c>
      <c r="F241" s="200" t="s">
        <v>382</v>
      </c>
      <c r="G241" s="49" t="str">
        <f t="shared" ref="G241" si="118">"quest"&amp;A241&amp;".png"</f>
        <v>quest59002.png</v>
      </c>
      <c r="H241" s="13" t="s">
        <v>53</v>
      </c>
      <c r="I241" s="13">
        <v>32771</v>
      </c>
      <c r="J241" s="12">
        <v>2</v>
      </c>
    </row>
    <row r="242" spans="1:10" ht="22" customHeight="1" x14ac:dyDescent="0.15">
      <c r="A242" s="31">
        <v>59003</v>
      </c>
      <c r="B242" s="47" t="str">
        <f ca="1">VLOOKUP($A242,OFFSET(quests!$A$1,0,0,COUNTA(quests!$A:$A),MATCH(B$1,quests!$1:$1,0)-MATCH($A$1,quests!$1:$1,0)+1),MATCH(B$1,quests!$1:$1,0)-MATCH($A$1,quests!$1:$1,0)+1,FALSE)</f>
        <v>風雷</v>
      </c>
      <c r="C242" s="47" t="str">
        <f ca="1">VLOOKUP($A242,OFFSET(quests!$A$1,0,0,COUNTA(quests!$A:$A),MATCH(C$1,quests!$1:$1,0)-MATCH($A$1,quests!$1:$1,0)+1),MATCH(C$1,quests!$1:$1,0)-MATCH($A$1,quests!$1:$1,0)+1,FALSE)</f>
        <v>コンティニュー不可の極悪難易度！！</v>
      </c>
      <c r="D242" s="47" t="str">
        <f ca="1">VLOOKUP($A242,OFFSET(quests!$A$1,0,0,COUNTA(quests!$A:$A),MATCH(D$1,quests!$1:$1,0)-MATCH($A$1,quests!$1:$1,0)+1),MATCH(D$1,quests!$1:$1,0)-MATCH($A$1,quests!$1:$1,0)+1,FALSE)</f>
        <v>コラボ超降臨3</v>
      </c>
      <c r="E242" s="47" t="str">
        <f ca="1">VLOOKUP($A242,OFFSET(stages!$C$2,0,0,COUNTA(stages!$C:$C),MATCH("stage_target",stages!$2:$2,0)-MATCH($A$1,stages!$2:$2,0)+1),MATCH("stage_target",stages!$2:$2,0)-MATCH($A$1,stages!$2:$2,0)+1,FALSE)</f>
        <v>everyone</v>
      </c>
      <c r="F242" s="200" t="s">
        <v>382</v>
      </c>
      <c r="G242" s="49" t="str">
        <f t="shared" ref="G242" si="119">"quest"&amp;A242&amp;".png"</f>
        <v>quest59003.png</v>
      </c>
      <c r="H242" s="13" t="s">
        <v>53</v>
      </c>
      <c r="I242" s="13">
        <v>32772</v>
      </c>
      <c r="J242" s="12">
        <v>2</v>
      </c>
    </row>
    <row r="243" spans="1:10" ht="21" customHeight="1" x14ac:dyDescent="0.15">
      <c r="A243" s="31">
        <v>60005</v>
      </c>
      <c r="B243" s="47" t="str">
        <f ca="1">VLOOKUP($A243,OFFSET(quests!$A$1,0,0,COUNTA(quests!$A:$A),MATCH(B$1,quests!$1:$1,0)-MATCH($A$1,quests!$1:$1,0)+1),MATCH(B$1,quests!$1:$1,0)-MATCH($A$1,quests!$1:$1,0)+1,FALSE)</f>
        <v>オイラーチャレンジ</v>
      </c>
      <c r="C243" s="47" t="str">
        <f ca="1">VLOOKUP($A243,OFFSET(quests!$A$1,0,0,COUNTA(quests!$A:$A),MATCH(C$1,quests!$1:$1,0)-MATCH($A$1,quests!$1:$1,0)+1),MATCH(C$1,quests!$1:$1,0)-MATCH($A$1,quests!$1:$1,0)+1,FALSE)</f>
        <v>ランキングクエスト テスト5</v>
      </c>
      <c r="D243" s="47" t="str">
        <f ca="1">VLOOKUP($A243,OFFSET(quests!$A$1,0,0,COUNTA(quests!$A:$A),MATCH(D$1,quests!$1:$1,0)-MATCH($A$1,quests!$1:$1,0)+1),MATCH(D$1,quests!$1:$1,0)-MATCH($A$1,quests!$1:$1,0)+1,FALSE)</f>
        <v>ランキング1</v>
      </c>
      <c r="E243" s="47" t="str">
        <f ca="1">VLOOKUP($A243,OFFSET(stages!$C$2,0,0,COUNTA(stages!$C:$C),MATCH("stage_target",stages!$2:$2,0)-MATCH($A$1,stages!$2:$2,0)+1),MATCH("stage_target",stages!$2:$2,0)-MATCH($A$1,stages!$2:$2,0)+1,FALSE)</f>
        <v>singleonly</v>
      </c>
      <c r="F243" s="200" t="s">
        <v>1036</v>
      </c>
      <c r="G243" s="49" t="str">
        <f t="shared" ref="G243" si="120">"quest"&amp;A243&amp;".png"</f>
        <v>quest60005.png</v>
      </c>
      <c r="H243" s="13" t="s">
        <v>53</v>
      </c>
      <c r="I243" s="12">
        <v>6005</v>
      </c>
      <c r="J243" s="12">
        <v>2</v>
      </c>
    </row>
    <row r="244" spans="1:10" ht="21" customHeight="1" x14ac:dyDescent="0.15">
      <c r="A244" s="31">
        <v>60006</v>
      </c>
      <c r="B244" s="47" t="str">
        <f ca="1">VLOOKUP($A244,OFFSET(quests!$A$1,0,0,COUNTA(quests!$A:$A),MATCH(B$1,quests!$1:$1,0)-MATCH($A$1,quests!$1:$1,0)+1),MATCH(B$1,quests!$1:$1,0)-MATCH($A$1,quests!$1:$1,0)+1,FALSE)</f>
        <v>オイラーチャレンジ</v>
      </c>
      <c r="C244" s="47" t="str">
        <f ca="1">VLOOKUP($A244,OFFSET(quests!$A$1,0,0,COUNTA(quests!$A:$A),MATCH(C$1,quests!$1:$1,0)-MATCH($A$1,quests!$1:$1,0)+1),MATCH(C$1,quests!$1:$1,0)-MATCH($A$1,quests!$1:$1,0)+1,FALSE)</f>
        <v>ランキングクエスト</v>
      </c>
      <c r="D244" s="47" t="str">
        <f ca="1">VLOOKUP($A244,OFFSET(quests!$A$1,0,0,COUNTA(quests!$A:$A),MATCH(D$1,quests!$1:$1,0)-MATCH($A$1,quests!$1:$1,0)+1),MATCH(D$1,quests!$1:$1,0)-MATCH($A$1,quests!$1:$1,0)+1,FALSE)</f>
        <v>ランキング1（本番実装用）</v>
      </c>
      <c r="E244" s="47" t="str">
        <f ca="1">VLOOKUP($A244,OFFSET(stages!$C$2,0,0,COUNTA(stages!$C:$C),MATCH("stage_target",stages!$2:$2,0)-MATCH($A$1,stages!$2:$2,0)+1),MATCH("stage_target",stages!$2:$2,0)-MATCH($A$1,stages!$2:$2,0)+1,FALSE)</f>
        <v>singleonly</v>
      </c>
      <c r="F244" s="200" t="s">
        <v>568</v>
      </c>
      <c r="G244" s="49" t="str">
        <f t="shared" ref="G244" si="121">"quest"&amp;A244&amp;".png"</f>
        <v>quest60006.png</v>
      </c>
      <c r="H244" s="13" t="s">
        <v>53</v>
      </c>
      <c r="I244" s="12">
        <v>6006</v>
      </c>
      <c r="J244" s="12">
        <v>2</v>
      </c>
    </row>
    <row r="245" spans="1:10" ht="21" customHeight="1" x14ac:dyDescent="0.15">
      <c r="A245" s="31">
        <v>60007</v>
      </c>
      <c r="B245" s="47" t="str">
        <f ca="1">VLOOKUP($A245,OFFSET(quests!$A$1,0,0,COUNTA(quests!$A:$A),MATCH(B$1,quests!$1:$1,0)-MATCH($A$1,quests!$1:$1,0)+1),MATCH(B$1,quests!$1:$1,0)-MATCH($A$1,quests!$1:$1,0)+1,FALSE)</f>
        <v>オイラーチャレンジ</v>
      </c>
      <c r="C245" s="47" t="str">
        <f ca="1">VLOOKUP($A245,OFFSET(quests!$A$1,0,0,COUNTA(quests!$A:$A),MATCH(C$1,quests!$1:$1,0)-MATCH($A$1,quests!$1:$1,0)+1),MATCH(C$1,quests!$1:$1,0)-MATCH($A$1,quests!$1:$1,0)+1,FALSE)</f>
        <v>ランキングクエスト</v>
      </c>
      <c r="D245" s="47" t="str">
        <f ca="1">VLOOKUP($A245,OFFSET(quests!$A$1,0,0,COUNTA(quests!$A:$A),MATCH(D$1,quests!$1:$1,0)-MATCH($A$1,quests!$1:$1,0)+1),MATCH(D$1,quests!$1:$1,0)-MATCH($A$1,quests!$1:$1,0)+1,FALSE)</f>
        <v>ランキング1（改修版）</v>
      </c>
      <c r="E245" s="47" t="str">
        <f ca="1">VLOOKUP($A245,OFFSET(stages!$C$2,0,0,COUNTA(stages!$C:$C),MATCH("stage_target",stages!$2:$2,0)-MATCH($A$1,stages!$2:$2,0)+1),MATCH("stage_target",stages!$2:$2,0)-MATCH($A$1,stages!$2:$2,0)+1,FALSE)</f>
        <v>singleonly</v>
      </c>
      <c r="F245" s="200" t="s">
        <v>568</v>
      </c>
      <c r="G245" s="118" t="str">
        <f>G244</f>
        <v>quest60006.png</v>
      </c>
      <c r="H245" s="13" t="s">
        <v>53</v>
      </c>
      <c r="I245" s="12">
        <v>6006</v>
      </c>
      <c r="J245" s="12">
        <v>2</v>
      </c>
    </row>
    <row r="246" spans="1:10" ht="21" customHeight="1" x14ac:dyDescent="0.15">
      <c r="A246" s="31">
        <v>60010</v>
      </c>
      <c r="B246" s="47" t="str">
        <f ca="1">VLOOKUP($A246,OFFSET(quests!$A$1,0,0,COUNTA(quests!$A:$A),MATCH(B$1,quests!$1:$1,0)-MATCH($A$1,quests!$1:$1,0)+1),MATCH(B$1,quests!$1:$1,0)-MATCH($A$1,quests!$1:$1,0)+1,FALSE)</f>
        <v>ラグランジュチャレンジ</v>
      </c>
      <c r="C246" s="47" t="str">
        <f ca="1">VLOOKUP($A246,OFFSET(quests!$A$1,0,0,COUNTA(quests!$A:$A),MATCH(C$1,quests!$1:$1,0)-MATCH($A$1,quests!$1:$1,0)+1),MATCH(C$1,quests!$1:$1,0)-MATCH($A$1,quests!$1:$1,0)+1,FALSE)</f>
        <v>ランキングクエスト</v>
      </c>
      <c r="D246" s="47" t="str">
        <f ca="1">VLOOKUP($A246,OFFSET(quests!$A$1,0,0,COUNTA(quests!$A:$A),MATCH(D$1,quests!$1:$1,0)-MATCH($A$1,quests!$1:$1,0)+1),MATCH(D$1,quests!$1:$1,0)-MATCH($A$1,quests!$1:$1,0)+1,FALSE)</f>
        <v>ランキング2（ラグランジュ）</v>
      </c>
      <c r="E246" s="47" t="str">
        <f ca="1">VLOOKUP($A246,OFFSET(stages!$C$2,0,0,COUNTA(stages!$C:$C),MATCH("stage_target",stages!$2:$2,0)-MATCH($A$1,stages!$2:$2,0)+1),MATCH("stage_target",stages!$2:$2,0)-MATCH($A$1,stages!$2:$2,0)+1,FALSE)</f>
        <v>singleonly</v>
      </c>
      <c r="F246" s="200" t="s">
        <v>568</v>
      </c>
      <c r="G246" s="49" t="str">
        <f>"quest"&amp;A246&amp;".png"</f>
        <v>quest60010.png</v>
      </c>
      <c r="H246" s="13" t="s">
        <v>53</v>
      </c>
      <c r="I246" s="12">
        <v>6010</v>
      </c>
      <c r="J246" s="12">
        <v>2</v>
      </c>
    </row>
    <row r="247" spans="1:10" ht="21" customHeight="1" x14ac:dyDescent="0.15">
      <c r="A247" s="31">
        <v>60011</v>
      </c>
      <c r="B247" s="47" t="str">
        <f ca="1">VLOOKUP($A247,OFFSET(quests!$A$1,0,0,COUNTA(quests!$A:$A),MATCH(B$1,quests!$1:$1,0)-MATCH($A$1,quests!$1:$1,0)+1),MATCH(B$1,quests!$1:$1,0)-MATCH($A$1,quests!$1:$1,0)+1,FALSE)</f>
        <v>ユークリッドチャレンジ</v>
      </c>
      <c r="C247" s="47" t="str">
        <f ca="1">VLOOKUP($A247,OFFSET(quests!$A$1,0,0,COUNTA(quests!$A:$A),MATCH(C$1,quests!$1:$1,0)-MATCH($A$1,quests!$1:$1,0)+1),MATCH(C$1,quests!$1:$1,0)-MATCH($A$1,quests!$1:$1,0)+1,FALSE)</f>
        <v>ランキングクエスト</v>
      </c>
      <c r="D247" s="47" t="str">
        <f ca="1">VLOOKUP($A247,OFFSET(quests!$A$1,0,0,COUNTA(quests!$A:$A),MATCH(D$1,quests!$1:$1,0)-MATCH($A$1,quests!$1:$1,0)+1),MATCH(D$1,quests!$1:$1,0)-MATCH($A$1,quests!$1:$1,0)+1,FALSE)</f>
        <v>ランキング3（ユークリッド）</v>
      </c>
      <c r="E247" s="47" t="str">
        <f ca="1">VLOOKUP($A247,OFFSET(stages!$C$2,0,0,COUNTA(stages!$C:$C),MATCH("stage_target",stages!$2:$2,0)-MATCH($A$1,stages!$2:$2,0)+1),MATCH("stage_target",stages!$2:$2,0)-MATCH($A$1,stages!$2:$2,0)+1,FALSE)</f>
        <v>singleonly</v>
      </c>
      <c r="F247" s="200" t="s">
        <v>568</v>
      </c>
      <c r="G247" s="49" t="str">
        <f>"quest"&amp;A247&amp;".png"</f>
        <v>quest60011.png</v>
      </c>
      <c r="H247" s="13" t="s">
        <v>53</v>
      </c>
      <c r="I247" s="12">
        <v>6011</v>
      </c>
      <c r="J247" s="12">
        <v>2</v>
      </c>
    </row>
    <row r="248" spans="1:10" ht="21" customHeight="1" x14ac:dyDescent="0.15">
      <c r="A248" s="31">
        <v>61011</v>
      </c>
      <c r="B248" s="47" t="str">
        <f ca="1">VLOOKUP($A248,OFFSET(quests!$A$1,0,0,COUNTA(quests!$A:$A),MATCH(B$1,quests!$1:$1,0)-MATCH($A$1,quests!$1:$1,0)+1),MATCH(B$1,quests!$1:$1,0)-MATCH($A$1,quests!$1:$1,0)+1,FALSE)</f>
        <v>ユークリッドチャレンジコピー</v>
      </c>
      <c r="C248" s="47" t="str">
        <f ca="1">VLOOKUP($A248,OFFSET(quests!$A$1,0,0,COUNTA(quests!$A:$A),MATCH(C$1,quests!$1:$1,0)-MATCH($A$1,quests!$1:$1,0)+1),MATCH(C$1,quests!$1:$1,0)-MATCH($A$1,quests!$1:$1,0)+1,FALSE)</f>
        <v>ランキングクエスト</v>
      </c>
      <c r="D248" s="47" t="str">
        <f ca="1">VLOOKUP($A248,OFFSET(quests!$A$1,0,0,COUNTA(quests!$A:$A),MATCH(D$1,quests!$1:$1,0)-MATCH($A$1,quests!$1:$1,0)+1),MATCH(D$1,quests!$1:$1,0)-MATCH($A$1,quests!$1:$1,0)+1,FALSE)</f>
        <v>ランキング3（ユークリッド）</v>
      </c>
      <c r="E248" s="47" t="str">
        <f ca="1">VLOOKUP($A248,OFFSET(stages!$C$2,0,0,COUNTA(stages!$C:$C),MATCH("stage_target",stages!$2:$2,0)-MATCH($A$1,stages!$2:$2,0)+1),MATCH("stage_target",stages!$2:$2,0)-MATCH($A$1,stages!$2:$2,0)+1,FALSE)</f>
        <v>singleonly</v>
      </c>
      <c r="F248" s="200" t="s">
        <v>568</v>
      </c>
      <c r="G248" s="49" t="str">
        <f>G247</f>
        <v>quest60011.png</v>
      </c>
      <c r="H248" s="13" t="s">
        <v>53</v>
      </c>
      <c r="I248" s="12">
        <v>6011</v>
      </c>
      <c r="J248" s="12">
        <v>2</v>
      </c>
    </row>
    <row r="249" spans="1:10" ht="21" customHeight="1" x14ac:dyDescent="0.15">
      <c r="A249" s="31">
        <v>60012</v>
      </c>
      <c r="B249" s="47" t="str">
        <f ca="1">VLOOKUP($A249,OFFSET(quests!$A$1,0,0,COUNTA(quests!$A:$A),MATCH(B$1,quests!$1:$1,0)-MATCH($A$1,quests!$1:$1,0)+1),MATCH(B$1,quests!$1:$1,0)-MATCH($A$1,quests!$1:$1,0)+1,FALSE)</f>
        <v>ユークリッドチャレンジ</v>
      </c>
      <c r="C249" s="47" t="str">
        <f ca="1">VLOOKUP($A249,OFFSET(quests!$A$1,0,0,COUNTA(quests!$A:$A),MATCH(C$1,quests!$1:$1,0)-MATCH($A$1,quests!$1:$1,0)+1),MATCH(C$1,quests!$1:$1,0)-MATCH($A$1,quests!$1:$1,0)+1,FALSE)</f>
        <v>ランキングクエスト</v>
      </c>
      <c r="D249" s="47" t="str">
        <f ca="1">VLOOKUP($A249,OFFSET(quests!$A$1,0,0,COUNTA(quests!$A:$A),MATCH(D$1,quests!$1:$1,0)-MATCH($A$1,quests!$1:$1,0)+1),MATCH(D$1,quests!$1:$1,0)-MATCH($A$1,quests!$1:$1,0)+1,FALSE)</f>
        <v>ランキング3（ユークリッド）</v>
      </c>
      <c r="E249" s="47" t="str">
        <f ca="1">VLOOKUP($A249,OFFSET(stages!$C$2,0,0,COUNTA(stages!$C:$C),MATCH("stage_target",stages!$2:$2,0)-MATCH($A$1,stages!$2:$2,0)+1),MATCH("stage_target",stages!$2:$2,0)-MATCH($A$1,stages!$2:$2,0)+1,FALSE)</f>
        <v>singleonly</v>
      </c>
      <c r="F249" s="200" t="s">
        <v>382</v>
      </c>
      <c r="G249" s="49" t="s">
        <v>1441</v>
      </c>
      <c r="H249" s="13" t="s">
        <v>53</v>
      </c>
      <c r="I249" s="12">
        <v>6011</v>
      </c>
      <c r="J249" s="12">
        <v>2</v>
      </c>
    </row>
    <row r="250" spans="1:10" ht="21" customHeight="1" x14ac:dyDescent="0.15">
      <c r="A250" s="31">
        <v>60013</v>
      </c>
      <c r="B250" s="47" t="str">
        <f ca="1">VLOOKUP($A250,OFFSET(quests!$A$1,0,0,COUNTA(quests!$A:$A),MATCH(B$1,quests!$1:$1,0)-MATCH($A$1,quests!$1:$1,0)+1),MATCH(B$1,quests!$1:$1,0)-MATCH($A$1,quests!$1:$1,0)+1,FALSE)</f>
        <v>オイラーチャレンジ</v>
      </c>
      <c r="C250" s="47" t="str">
        <f ca="1">VLOOKUP($A250,OFFSET(quests!$A$1,0,0,COUNTA(quests!$A:$A),MATCH(C$1,quests!$1:$1,0)-MATCH($A$1,quests!$1:$1,0)+1),MATCH(C$1,quests!$1:$1,0)-MATCH($A$1,quests!$1:$1,0)+1,FALSE)</f>
        <v>ランキングクエスト</v>
      </c>
      <c r="D250" s="47" t="str">
        <f ca="1">VLOOKUP($A250,OFFSET(quests!$A$1,0,0,COUNTA(quests!$A:$A),MATCH(D$1,quests!$1:$1,0)-MATCH($A$1,quests!$1:$1,0)+1),MATCH(D$1,quests!$1:$1,0)-MATCH($A$1,quests!$1:$1,0)+1,FALSE)</f>
        <v>ランキング1（再開催版）</v>
      </c>
      <c r="E250" s="47" t="str">
        <f ca="1">VLOOKUP($A250,OFFSET(stages!$C$2,0,0,COUNTA(stages!$C:$C),MATCH("stage_target",stages!$2:$2,0)-MATCH($A$1,stages!$2:$2,0)+1),MATCH("stage_target",stages!$2:$2,0)-MATCH($A$1,stages!$2:$2,0)+1,FALSE)</f>
        <v>singleonly</v>
      </c>
      <c r="F250" s="200" t="s">
        <v>382</v>
      </c>
      <c r="G250" s="49" t="s">
        <v>1466</v>
      </c>
      <c r="H250" s="13" t="s">
        <v>53</v>
      </c>
      <c r="I250" s="12">
        <v>6013</v>
      </c>
      <c r="J250" s="12">
        <v>2</v>
      </c>
    </row>
    <row r="251" spans="1:10" ht="21" customHeight="1" x14ac:dyDescent="0.15">
      <c r="A251" s="31">
        <v>60014</v>
      </c>
      <c r="B251" s="47" t="str">
        <f ca="1">VLOOKUP($A251,OFFSET(quests!$A$1,0,0,COUNTA(quests!$A:$A),MATCH(B$1,quests!$1:$1,0)-MATCH($A$1,quests!$1:$1,0)+1),MATCH(B$1,quests!$1:$1,0)-MATCH($A$1,quests!$1:$1,0)+1,FALSE)</f>
        <v xml:space="preserve">クロネッカーチャレンジ </v>
      </c>
      <c r="C251" s="47" t="str">
        <f ca="1">VLOOKUP($A251,OFFSET(quests!$A$1,0,0,COUNTA(quests!$A:$A),MATCH(C$1,quests!$1:$1,0)-MATCH($A$1,quests!$1:$1,0)+1),MATCH(C$1,quests!$1:$1,0)-MATCH($A$1,quests!$1:$1,0)+1,FALSE)</f>
        <v>ヒューマン・マシンキラー注意！</v>
      </c>
      <c r="D251" s="47" t="str">
        <f ca="1">VLOOKUP($A251,OFFSET(quests!$A$1,0,0,COUNTA(quests!$A:$A),MATCH(D$1,quests!$1:$1,0)-MATCH($A$1,quests!$1:$1,0)+1),MATCH(D$1,quests!$1:$1,0)-MATCH($A$1,quests!$1:$1,0)+1,FALSE)</f>
        <v>ランキング4（クロネッカー）</v>
      </c>
      <c r="E251" s="47" t="str">
        <f ca="1">VLOOKUP($A251,OFFSET(stages!$C$2,0,0,COUNTA(stages!$C:$C),MATCH("stage_target",stages!$2:$2,0)-MATCH($A$1,stages!$2:$2,0)+1),MATCH("stage_target",stages!$2:$2,0)-MATCH($A$1,stages!$2:$2,0)+1,FALSE)</f>
        <v>singleonly</v>
      </c>
      <c r="F251" s="200" t="s">
        <v>382</v>
      </c>
      <c r="G251" s="49" t="s">
        <v>1543</v>
      </c>
      <c r="H251" s="13" t="s">
        <v>53</v>
      </c>
      <c r="I251" s="12">
        <v>6014</v>
      </c>
      <c r="J251" s="12">
        <v>2</v>
      </c>
    </row>
    <row r="252" spans="1:10" ht="21" customHeight="1" x14ac:dyDescent="0.15">
      <c r="A252" s="31">
        <v>60015</v>
      </c>
      <c r="B252" s="47" t="str">
        <f ca="1">VLOOKUP($A252,OFFSET(quests!$A$1,0,0,COUNTA(quests!$A:$A),MATCH(B$1,quests!$1:$1,0)-MATCH($A$1,quests!$1:$1,0)+1),MATCH(B$1,quests!$1:$1,0)-MATCH($A$1,quests!$1:$1,0)+1,FALSE)</f>
        <v>ラグランジュチャレンジ</v>
      </c>
      <c r="C252" s="47" t="str">
        <f ca="1">VLOOKUP($A252,OFFSET(quests!$A$1,0,0,COUNTA(quests!$A:$A),MATCH(C$1,quests!$1:$1,0)-MATCH($A$1,quests!$1:$1,0)+1),MATCH(C$1,quests!$1:$1,0)-MATCH($A$1,quests!$1:$1,0)+1,FALSE)</f>
        <v>ランキングクエスト</v>
      </c>
      <c r="D252" s="47" t="str">
        <f ca="1">VLOOKUP($A252,OFFSET(quests!$A$1,0,0,COUNTA(quests!$A:$A),MATCH(D$1,quests!$1:$1,0)-MATCH($A$1,quests!$1:$1,0)+1),MATCH(D$1,quests!$1:$1,0)-MATCH($A$1,quests!$1:$1,0)+1,FALSE)</f>
        <v>ランキング2（再開催）</v>
      </c>
      <c r="E252" s="47" t="str">
        <f ca="1">VLOOKUP($A252,OFFSET(stages!$C$2,0,0,COUNTA(stages!$C:$C),MATCH("stage_target",stages!$2:$2,0)-MATCH($A$1,stages!$2:$2,0)+1),MATCH("stage_target",stages!$2:$2,0)-MATCH($A$1,stages!$2:$2,0)+1,FALSE)</f>
        <v>singleonly</v>
      </c>
      <c r="F252" s="200" t="s">
        <v>382</v>
      </c>
      <c r="G252" s="49" t="s">
        <v>1574</v>
      </c>
      <c r="H252" s="13" t="s">
        <v>53</v>
      </c>
      <c r="I252" s="12">
        <v>6015</v>
      </c>
      <c r="J252" s="12">
        <v>2</v>
      </c>
    </row>
    <row r="253" spans="1:10" ht="21" customHeight="1" x14ac:dyDescent="0.15">
      <c r="A253" s="31">
        <v>60016</v>
      </c>
      <c r="B253" s="47" t="str">
        <f ca="1">VLOOKUP($A253,OFFSET(quests!$A$1,0,0,COUNTA(quests!$A:$A),MATCH(B$1,quests!$1:$1,0)-MATCH($A$1,quests!$1:$1,0)+1),MATCH(B$1,quests!$1:$1,0)-MATCH($A$1,quests!$1:$1,0)+1,FALSE)</f>
        <v>シュレディンガーチャレンジ</v>
      </c>
      <c r="C253" s="47" t="str">
        <f ca="1">VLOOKUP($A253,OFFSET(quests!$A$1,0,0,COUNTA(quests!$A:$A),MATCH(C$1,quests!$1:$1,0)-MATCH($A$1,quests!$1:$1,0)+1),MATCH(C$1,quests!$1:$1,0)-MATCH($A$1,quests!$1:$1,0)+1,FALSE)</f>
        <v>ランキングクエスト</v>
      </c>
      <c r="D253" s="47" t="str">
        <f ca="1">VLOOKUP($A253,OFFSET(quests!$A$1,0,0,COUNTA(quests!$A:$A),MATCH(D$1,quests!$1:$1,0)-MATCH($A$1,quests!$1:$1,0)+1),MATCH(D$1,quests!$1:$1,0)-MATCH($A$1,quests!$1:$1,0)+1,FALSE)</f>
        <v>ランキング5（シュレディンガー）</v>
      </c>
      <c r="E253" s="47" t="str">
        <f ca="1">VLOOKUP($A253,OFFSET(stages!$C$2,0,0,COUNTA(stages!$C:$C),MATCH("stage_target",stages!$2:$2,0)-MATCH($A$1,stages!$2:$2,0)+1),MATCH("stage_target",stages!$2:$2,0)-MATCH($A$1,stages!$2:$2,0)+1,FALSE)</f>
        <v>singleonly</v>
      </c>
      <c r="F253" s="200" t="s">
        <v>382</v>
      </c>
      <c r="G253" s="49" t="s">
        <v>1632</v>
      </c>
      <c r="H253" s="13" t="s">
        <v>53</v>
      </c>
      <c r="I253" s="12">
        <v>6016</v>
      </c>
      <c r="J253" s="12">
        <v>2</v>
      </c>
    </row>
    <row r="254" spans="1:10" ht="21" customHeight="1" x14ac:dyDescent="0.15">
      <c r="A254" s="31">
        <v>60017</v>
      </c>
      <c r="B254" s="47" t="str">
        <f ca="1">VLOOKUP($A254,OFFSET(quests!$A$1,0,0,COUNTA(quests!$A:$A),MATCH(B$1,quests!$1:$1,0)-MATCH($A$1,quests!$1:$1,0)+1),MATCH(B$1,quests!$1:$1,0)-MATCH($A$1,quests!$1:$1,0)+1,FALSE)</f>
        <v>ユークリッドチャレンジ</v>
      </c>
      <c r="C254" s="47" t="str">
        <f ca="1">VLOOKUP($A254,OFFSET(quests!$A$1,0,0,COUNTA(quests!$A:$A),MATCH(C$1,quests!$1:$1,0)-MATCH($A$1,quests!$1:$1,0)+1),MATCH(C$1,quests!$1:$1,0)-MATCH($A$1,quests!$1:$1,0)+1,FALSE)</f>
        <v>ランキングクエスト</v>
      </c>
      <c r="D254" s="47" t="str">
        <f ca="1">VLOOKUP($A254,OFFSET(quests!$A$1,0,0,COUNTA(quests!$A:$A),MATCH(D$1,quests!$1:$1,0)-MATCH($A$1,quests!$1:$1,0)+1),MATCH(D$1,quests!$1:$1,0)-MATCH($A$1,quests!$1:$1,0)+1,FALSE)</f>
        <v>ランキング3（再開催）</v>
      </c>
      <c r="E254" s="47" t="str">
        <f ca="1">VLOOKUP($A254,OFFSET(stages!$C$2,0,0,COUNTA(stages!$C:$C),MATCH("stage_target",stages!$2:$2,0)-MATCH($A$1,stages!$2:$2,0)+1),MATCH("stage_target",stages!$2:$2,0)-MATCH($A$1,stages!$2:$2,0)+1,FALSE)</f>
        <v>singleonly</v>
      </c>
      <c r="F254" s="200" t="s">
        <v>382</v>
      </c>
      <c r="G254" s="118" t="s">
        <v>1681</v>
      </c>
      <c r="H254" s="13" t="s">
        <v>53</v>
      </c>
      <c r="I254" s="12">
        <v>6017</v>
      </c>
      <c r="J254" s="12">
        <v>2</v>
      </c>
    </row>
    <row r="255" spans="1:10" ht="21" customHeight="1" x14ac:dyDescent="0.15">
      <c r="A255" s="31">
        <v>60018</v>
      </c>
      <c r="B255" s="47" t="str">
        <f ca="1">VLOOKUP($A255,OFFSET(quests!$A$1,0,0,COUNTA(quests!$A:$A),MATCH(B$1,quests!$1:$1,0)-MATCH($A$1,quests!$1:$1,0)+1),MATCH(B$1,quests!$1:$1,0)-MATCH($A$1,quests!$1:$1,0)+1,FALSE)</f>
        <v>チューリングチャレンジ</v>
      </c>
      <c r="C255" s="47" t="str">
        <f ca="1">VLOOKUP($A255,OFFSET(quests!$A$1,0,0,COUNTA(quests!$A:$A),MATCH(C$1,quests!$1:$1,0)-MATCH($A$1,quests!$1:$1,0)+1),MATCH(C$1,quests!$1:$1,0)-MATCH($A$1,quests!$1:$1,0)+1,FALSE)</f>
        <v>ランキングクエスト</v>
      </c>
      <c r="D255" s="47" t="str">
        <f ca="1">VLOOKUP($A255,OFFSET(quests!$A$1,0,0,COUNTA(quests!$A:$A),MATCH(D$1,quests!$1:$1,0)-MATCH($A$1,quests!$1:$1,0)+1),MATCH(D$1,quests!$1:$1,0)-MATCH($A$1,quests!$1:$1,0)+1,FALSE)</f>
        <v>ランキング6</v>
      </c>
      <c r="E255" s="47" t="str">
        <f ca="1">VLOOKUP($A255,OFFSET(stages!$C$2,0,0,COUNTA(stages!$C:$C),MATCH("stage_target",stages!$2:$2,0)-MATCH($A$1,stages!$2:$2,0)+1),MATCH("stage_target",stages!$2:$2,0)-MATCH($A$1,stages!$2:$2,0)+1,FALSE)</f>
        <v>singleonly</v>
      </c>
      <c r="F255" s="200" t="s">
        <v>382</v>
      </c>
      <c r="G255" s="118" t="s">
        <v>1720</v>
      </c>
      <c r="H255" s="13" t="s">
        <v>53</v>
      </c>
      <c r="I255" s="12">
        <v>6018</v>
      </c>
      <c r="J255" s="12">
        <v>2</v>
      </c>
    </row>
    <row r="256" spans="1:10" ht="21" customHeight="1" x14ac:dyDescent="0.15">
      <c r="A256" s="31">
        <v>60019</v>
      </c>
      <c r="B256" s="47" t="str">
        <f ca="1">VLOOKUP($A256,OFFSET(quests!$A$1,0,0,COUNTA(quests!$A:$A),MATCH(B$1,quests!$1:$1,0)-MATCH($A$1,quests!$1:$1,0)+1),MATCH(B$1,quests!$1:$1,0)-MATCH($A$1,quests!$1:$1,0)+1,FALSE)</f>
        <v>ヘンペルチャレンジ</v>
      </c>
      <c r="C256" s="47" t="str">
        <f ca="1">VLOOKUP($A256,OFFSET(quests!$A$1,0,0,COUNTA(quests!$A:$A),MATCH(C$1,quests!$1:$1,0)-MATCH($A$1,quests!$1:$1,0)+1),MATCH(C$1,quests!$1:$1,0)-MATCH($A$1,quests!$1:$1,0)+1,FALSE)</f>
        <v>ランキングクエスト</v>
      </c>
      <c r="D256" s="47" t="str">
        <f ca="1">VLOOKUP($A256,OFFSET(quests!$A$1,0,0,COUNTA(quests!$A:$A),MATCH(D$1,quests!$1:$1,0)-MATCH($A$1,quests!$1:$1,0)+1),MATCH(D$1,quests!$1:$1,0)-MATCH($A$1,quests!$1:$1,0)+1,FALSE)</f>
        <v>ランキング7</v>
      </c>
      <c r="E256" s="47" t="str">
        <f ca="1">VLOOKUP($A256,OFFSET(stages!$C$2,0,0,COUNTA(stages!$C:$C),MATCH("stage_target",stages!$2:$2,0)-MATCH($A$1,stages!$2:$2,0)+1),MATCH("stage_target",stages!$2:$2,0)-MATCH($A$1,stages!$2:$2,0)+1,FALSE)</f>
        <v>singleonly</v>
      </c>
      <c r="F256" s="200" t="s">
        <v>382</v>
      </c>
      <c r="G256" s="118" t="s">
        <v>1844</v>
      </c>
      <c r="H256" s="13" t="s">
        <v>53</v>
      </c>
      <c r="I256" s="12">
        <v>6019</v>
      </c>
      <c r="J256" s="12">
        <v>2</v>
      </c>
    </row>
    <row r="257" spans="1:10" ht="21" customHeight="1" x14ac:dyDescent="0.15">
      <c r="A257" s="31">
        <v>60020</v>
      </c>
      <c r="B257" s="47" t="str">
        <f ca="1">VLOOKUP($A257,OFFSET(quests!$A$1,0,0,COUNTA(quests!$A:$A),MATCH(B$1,quests!$1:$1,0)-MATCH($A$1,quests!$1:$1,0)+1),MATCH(B$1,quests!$1:$1,0)-MATCH($A$1,quests!$1:$1,0)+1,FALSE)</f>
        <v>シュレディンガーチャレンジ</v>
      </c>
      <c r="C257" s="47" t="str">
        <f ca="1">VLOOKUP($A257,OFFSET(quests!$A$1,0,0,COUNTA(quests!$A:$A),MATCH(C$1,quests!$1:$1,0)-MATCH($A$1,quests!$1:$1,0)+1),MATCH(C$1,quests!$1:$1,0)-MATCH($A$1,quests!$1:$1,0)+1,FALSE)</f>
        <v>ランキングクエスト</v>
      </c>
      <c r="D257" s="47" t="str">
        <f ca="1">VLOOKUP($A257,OFFSET(quests!$A$1,0,0,COUNTA(quests!$A:$A),MATCH(D$1,quests!$1:$1,0)-MATCH($A$1,quests!$1:$1,0)+1),MATCH(D$1,quests!$1:$1,0)-MATCH($A$1,quests!$1:$1,0)+1,FALSE)</f>
        <v>ランキング5（再開催）</v>
      </c>
      <c r="E257" s="47" t="str">
        <f ca="1">VLOOKUP($A257,OFFSET(stages!$C$2,0,0,COUNTA(stages!$C:$C),MATCH("stage_target",stages!$2:$2,0)-MATCH($A$1,stages!$2:$2,0)+1),MATCH("stage_target",stages!$2:$2,0)-MATCH($A$1,stages!$2:$2,0)+1,FALSE)</f>
        <v>singleonly</v>
      </c>
      <c r="F257" s="200" t="s">
        <v>382</v>
      </c>
      <c r="G257" s="49" t="str">
        <f>"quest"&amp;A257&amp;".png"</f>
        <v>quest60020.png</v>
      </c>
      <c r="H257" s="13" t="s">
        <v>53</v>
      </c>
      <c r="I257" s="12">
        <v>6020</v>
      </c>
      <c r="J257" s="12">
        <v>2</v>
      </c>
    </row>
    <row r="258" spans="1:10" ht="21" customHeight="1" x14ac:dyDescent="0.15">
      <c r="A258" s="31">
        <v>60025</v>
      </c>
      <c r="B258" s="47" t="str">
        <f ca="1">VLOOKUP($A258,OFFSET(quests!$A$1,0,0,COUNTA(quests!$A:$A),MATCH(B$1,quests!$1:$1,0)-MATCH($A$1,quests!$1:$1,0)+1),MATCH(B$1,quests!$1:$1,0)-MATCH($A$1,quests!$1:$1,0)+1,FALSE)</f>
        <v>マリアチャレンジ</v>
      </c>
      <c r="C258" s="47" t="str">
        <f ca="1">VLOOKUP($A258,OFFSET(quests!$A$1,0,0,COUNTA(quests!$A:$A),MATCH(C$1,quests!$1:$1,0)-MATCH($A$1,quests!$1:$1,0)+1),MATCH(C$1,quests!$1:$1,0)-MATCH($A$1,quests!$1:$1,0)+1,FALSE)</f>
        <v>ランキングクエスト</v>
      </c>
      <c r="D258" s="47" t="str">
        <f ca="1">VLOOKUP($A258,OFFSET(quests!$A$1,0,0,COUNTA(quests!$A:$A),MATCH(D$1,quests!$1:$1,0)-MATCH($A$1,quests!$1:$1,0)+1),MATCH(D$1,quests!$1:$1,0)-MATCH($A$1,quests!$1:$1,0)+1,FALSE)</f>
        <v>ランキング8</v>
      </c>
      <c r="E258" s="47" t="str">
        <f ca="1">VLOOKUP($A258,OFFSET(stages!$C$2,0,0,COUNTA(stages!$C:$C),MATCH("stage_target",stages!$2:$2,0)-MATCH($A$1,stages!$2:$2,0)+1),MATCH("stage_target",stages!$2:$2,0)-MATCH($A$1,stages!$2:$2,0)+1,FALSE)</f>
        <v>singleonly</v>
      </c>
      <c r="F258" s="200" t="s">
        <v>382</v>
      </c>
      <c r="G258" s="49" t="str">
        <f>"quest"&amp;A258&amp;".png"</f>
        <v>quest60025.png</v>
      </c>
      <c r="H258" s="13" t="s">
        <v>53</v>
      </c>
      <c r="I258" s="12">
        <v>6025</v>
      </c>
      <c r="J258" s="12">
        <v>2</v>
      </c>
    </row>
    <row r="259" spans="1:10" ht="21" customHeight="1" x14ac:dyDescent="0.15">
      <c r="A259" s="31">
        <v>60026</v>
      </c>
      <c r="B259" s="47" t="str">
        <f ca="1">VLOOKUP($A259,OFFSET(quests!$A$1,0,0,COUNTA(quests!$A:$A),MATCH(B$1,quests!$1:$1,0)-MATCH($A$1,quests!$1:$1,0)+1),MATCH(B$1,quests!$1:$1,0)-MATCH($A$1,quests!$1:$1,0)+1,FALSE)</f>
        <v>ハップルチャレンジ</v>
      </c>
      <c r="C259" s="47" t="str">
        <f ca="1">VLOOKUP($A259,OFFSET(quests!$A$1,0,0,COUNTA(quests!$A:$A),MATCH(C$1,quests!$1:$1,0)-MATCH($A$1,quests!$1:$1,0)+1),MATCH(C$1,quests!$1:$1,0)-MATCH($A$1,quests!$1:$1,0)+1,FALSE)</f>
        <v>ランキングクエスト</v>
      </c>
      <c r="D259" s="47" t="str">
        <f ca="1">VLOOKUP($A259,OFFSET(quests!$A$1,0,0,COUNTA(quests!$A:$A),MATCH(D$1,quests!$1:$1,0)-MATCH($A$1,quests!$1:$1,0)+1),MATCH(D$1,quests!$1:$1,0)-MATCH($A$1,quests!$1:$1,0)+1,FALSE)</f>
        <v>ランキング9</v>
      </c>
      <c r="E259" s="47" t="str">
        <f ca="1">VLOOKUP($A259,OFFSET(stages!$C$2,0,0,COUNTA(stages!$C:$C),MATCH("stage_target",stages!$2:$2,0)-MATCH($A$1,stages!$2:$2,0)+1),MATCH("stage_target",stages!$2:$2,0)-MATCH($A$1,stages!$2:$2,0)+1,FALSE)</f>
        <v>singleonly</v>
      </c>
      <c r="F259" s="200" t="s">
        <v>382</v>
      </c>
      <c r="G259" s="49" t="str">
        <f>"quest"&amp;A259&amp;".png"</f>
        <v>quest60026.png</v>
      </c>
      <c r="H259" s="13" t="s">
        <v>53</v>
      </c>
      <c r="I259" s="12">
        <v>6026</v>
      </c>
      <c r="J259" s="12">
        <v>2</v>
      </c>
    </row>
    <row r="260" spans="1:10" ht="21" customHeight="1" x14ac:dyDescent="0.15">
      <c r="A260" s="168">
        <v>60027</v>
      </c>
      <c r="B260" s="298" t="str">
        <f ca="1">VLOOKUP($A260,OFFSET(quests!$A$1,0,0,COUNTA(quests!$A:$A),MATCH(B$1,quests!$1:$1,0)-MATCH($A$1,quests!$1:$1,0)+1),MATCH(B$1,quests!$1:$1,0)-MATCH($A$1,quests!$1:$1,0)+1,FALSE)</f>
        <v>チューリングチャレンジ</v>
      </c>
      <c r="C260" s="298" t="str">
        <f ca="1">VLOOKUP($A260,OFFSET(quests!$A$1,0,0,COUNTA(quests!$A:$A),MATCH(C$1,quests!$1:$1,0)-MATCH($A$1,quests!$1:$1,0)+1),MATCH(C$1,quests!$1:$1,0)-MATCH($A$1,quests!$1:$1,0)+1,FALSE)</f>
        <v>ランキングクエスト</v>
      </c>
      <c r="D260" s="298" t="str">
        <f ca="1">VLOOKUP($A260,OFFSET(quests!$A$1,0,0,COUNTA(quests!$A:$A),MATCH(D$1,quests!$1:$1,0)-MATCH($A$1,quests!$1:$1,0)+1),MATCH(D$1,quests!$1:$1,0)-MATCH($A$1,quests!$1:$1,0)+1,FALSE)</f>
        <v>ランキング6（再開催）</v>
      </c>
      <c r="E260" s="298" t="str">
        <f ca="1">VLOOKUP($A260,OFFSET(stages!$C$2,0,0,COUNTA(stages!$C:$C),MATCH("stage_target",stages!$2:$2,0)-MATCH($A$1,stages!$2:$2,0)+1),MATCH("stage_target",stages!$2:$2,0)-MATCH($A$1,stages!$2:$2,0)+1,FALSE)</f>
        <v>singleonly</v>
      </c>
      <c r="F260" s="299" t="s">
        <v>382</v>
      </c>
      <c r="G260" s="303" t="s">
        <v>1720</v>
      </c>
      <c r="H260" s="300" t="s">
        <v>53</v>
      </c>
      <c r="I260" s="37">
        <v>6027</v>
      </c>
      <c r="J260" s="37">
        <v>2</v>
      </c>
    </row>
    <row r="261" spans="1:10" ht="21" customHeight="1" x14ac:dyDescent="0.15">
      <c r="A261" s="31">
        <v>60028</v>
      </c>
      <c r="B261" s="231" t="str">
        <f ca="1">VLOOKUP($A261,OFFSET(quests!$A$1,0,0,COUNTA(quests!$A:$A),MATCH(B$1,quests!$1:$1,0)-MATCH($A$1,quests!$1:$1,0)+1),MATCH(B$1,quests!$1:$1,0)-MATCH($A$1,quests!$1:$1,0)+1,FALSE)</f>
        <v xml:space="preserve">クロネッカーチャレンジ </v>
      </c>
      <c r="C261" s="231" t="str">
        <f ca="1">VLOOKUP($A261,OFFSET(quests!$A$1,0,0,COUNTA(quests!$A:$A),MATCH(C$1,quests!$1:$1,0)-MATCH($A$1,quests!$1:$1,0)+1),MATCH(C$1,quests!$1:$1,0)-MATCH($A$1,quests!$1:$1,0)+1,FALSE)</f>
        <v>ヒューマン・マシンキラー注意！</v>
      </c>
      <c r="D261" s="231" t="str">
        <f ca="1">VLOOKUP($A261,OFFSET(quests!$A$1,0,0,COUNTA(quests!$A:$A),MATCH(D$1,quests!$1:$1,0)-MATCH($A$1,quests!$1:$1,0)+1),MATCH(D$1,quests!$1:$1,0)-MATCH($A$1,quests!$1:$1,0)+1,FALSE)</f>
        <v>ランキング4（再開催）</v>
      </c>
      <c r="E261" s="231" t="str">
        <f ca="1">VLOOKUP($A261,OFFSET(stages!$C$2,0,0,COUNTA(stages!$C:$C),MATCH("stage_target",stages!$2:$2,0)-MATCH($A$1,stages!$2:$2,0)+1),MATCH("stage_target",stages!$2:$2,0)-MATCH($A$1,stages!$2:$2,0)+1,FALSE)</f>
        <v>singleonly</v>
      </c>
      <c r="F261" s="31" t="s">
        <v>382</v>
      </c>
      <c r="G261" s="44" t="s">
        <v>2116</v>
      </c>
      <c r="H261" s="12" t="s">
        <v>53</v>
      </c>
      <c r="I261" s="12">
        <v>6028</v>
      </c>
      <c r="J261" s="12">
        <v>2</v>
      </c>
    </row>
    <row r="262" spans="1:10" ht="21" customHeight="1" x14ac:dyDescent="0.15">
      <c r="A262" s="31">
        <v>60029</v>
      </c>
      <c r="B262" s="231" t="str">
        <f ca="1">VLOOKUP($A262,OFFSET(quests!$A$1,0,0,COUNTA(quests!$A:$A),MATCH(B$1,quests!$1:$1,0)-MATCH($A$1,quests!$1:$1,0)+1),MATCH(B$1,quests!$1:$1,0)-MATCH($A$1,quests!$1:$1,0)+1,FALSE)</f>
        <v xml:space="preserve">オイラーチャレンジ </v>
      </c>
      <c r="C262" s="231" t="str">
        <f ca="1">VLOOKUP($A262,OFFSET(quests!$A$1,0,0,COUNTA(quests!$A:$A),MATCH(C$1,quests!$1:$1,0)-MATCH($A$1,quests!$1:$1,0)+1),MATCH(C$1,quests!$1:$1,0)-MATCH($A$1,quests!$1:$1,0)+1,FALSE)</f>
        <v>ランキングクエスト</v>
      </c>
      <c r="D262" s="231" t="str">
        <f ca="1">VLOOKUP($A262,OFFSET(quests!$A$1,0,0,COUNTA(quests!$A:$A),MATCH(D$1,quests!$1:$1,0)-MATCH($A$1,quests!$1:$1,0)+1),MATCH(D$1,quests!$1:$1,0)-MATCH($A$1,quests!$1:$1,0)+1,FALSE)</f>
        <v>ランキング1（3回目）</v>
      </c>
      <c r="E262" s="231" t="str">
        <f ca="1">VLOOKUP($A262,OFFSET(stages!$C$2,0,0,COUNTA(stages!$C:$C),MATCH("stage_target",stages!$2:$2,0)-MATCH($A$1,stages!$2:$2,0)+1),MATCH("stage_target",stages!$2:$2,0)-MATCH($A$1,stages!$2:$2,0)+1,FALSE)</f>
        <v>singleonly</v>
      </c>
      <c r="F262" s="31" t="s">
        <v>382</v>
      </c>
      <c r="G262" s="44" t="s">
        <v>2238</v>
      </c>
      <c r="H262" s="12" t="s">
        <v>53</v>
      </c>
      <c r="I262" s="12">
        <v>6029</v>
      </c>
      <c r="J262" s="12">
        <v>2</v>
      </c>
    </row>
    <row r="263" spans="1:10" ht="21" customHeight="1" x14ac:dyDescent="0.15">
      <c r="A263" s="31">
        <v>60030</v>
      </c>
      <c r="B263" s="47" t="str">
        <f ca="1">VLOOKUP($A263,OFFSET(quests!$A$1,0,0,COUNTA(quests!$A:$A),MATCH(B$1,quests!$1:$1,0)-MATCH($A$1,quests!$1:$1,0)+1),MATCH(B$1,quests!$1:$1,0)-MATCH($A$1,quests!$1:$1,0)+1,FALSE)</f>
        <v xml:space="preserve">フロイトチャレンジ </v>
      </c>
      <c r="C263" s="47" t="str">
        <f ca="1">VLOOKUP($A263,OFFSET(quests!$A$1,0,0,COUNTA(quests!$A:$A),MATCH(C$1,quests!$1:$1,0)-MATCH($A$1,quests!$1:$1,0)+1),MATCH(C$1,quests!$1:$1,0)-MATCH($A$1,quests!$1:$1,0)+1,FALSE)</f>
        <v>ハートパネルが出現しない</v>
      </c>
      <c r="D263" s="47" t="str">
        <f ca="1">VLOOKUP($A263,OFFSET(quests!$A$1,0,0,COUNTA(quests!$A:$A),MATCH(D$1,quests!$1:$1,0)-MATCH($A$1,quests!$1:$1,0)+1),MATCH(D$1,quests!$1:$1,0)-MATCH($A$1,quests!$1:$1,0)+1,FALSE)</f>
        <v>ランキング10</v>
      </c>
      <c r="E263" s="47" t="str">
        <f ca="1">VLOOKUP($A263,OFFSET(stages!$C$2,0,0,COUNTA(stages!$C:$C),MATCH("stage_target",stages!$2:$2,0)-MATCH($A$1,stages!$2:$2,0)+1),MATCH("stage_target",stages!$2:$2,0)-MATCH($A$1,stages!$2:$2,0)+1,FALSE)</f>
        <v>singleonly</v>
      </c>
      <c r="F263" s="200" t="s">
        <v>382</v>
      </c>
      <c r="G263" s="49" t="str">
        <f t="shared" ref="G263:G273" si="122">"quest"&amp;A263&amp;".png"</f>
        <v>quest60030.png</v>
      </c>
      <c r="H263" s="13" t="s">
        <v>53</v>
      </c>
      <c r="I263" s="12">
        <v>6030</v>
      </c>
      <c r="J263" s="12">
        <v>2</v>
      </c>
    </row>
    <row r="264" spans="1:10" ht="21" customHeight="1" x14ac:dyDescent="0.15">
      <c r="A264" s="31">
        <v>60031</v>
      </c>
      <c r="B264" s="47" t="str">
        <f ca="1">VLOOKUP($A264,OFFSET(quests!$A$1,0,0,COUNTA(quests!$A:$A),MATCH(B$1,quests!$1:$1,0)-MATCH($A$1,quests!$1:$1,0)+1),MATCH(B$1,quests!$1:$1,0)-MATCH($A$1,quests!$1:$1,0)+1,FALSE)</f>
        <v xml:space="preserve">ヘンペルチャレンジ </v>
      </c>
      <c r="C264" s="47" t="str">
        <f ca="1">VLOOKUP($A264,OFFSET(quests!$A$1,0,0,COUNTA(quests!$A:$A),MATCH(C$1,quests!$1:$1,0)-MATCH($A$1,quests!$1:$1,0)+1),MATCH(C$1,quests!$1:$1,0)-MATCH($A$1,quests!$1:$1,0)+1,FALSE)</f>
        <v>ランキングクエスト</v>
      </c>
      <c r="D264" s="47" t="str">
        <f ca="1">VLOOKUP($A264,OFFSET(quests!$A$1,0,0,COUNTA(quests!$A:$A),MATCH(D$1,quests!$1:$1,0)-MATCH($A$1,quests!$1:$1,0)+1),MATCH(D$1,quests!$1:$1,0)-MATCH($A$1,quests!$1:$1,0)+1,FALSE)</f>
        <v>ランキング7（再開催）</v>
      </c>
      <c r="E264" s="47" t="str">
        <f ca="1">VLOOKUP($A264,OFFSET(stages!$C$2,0,0,COUNTA(stages!$C:$C),MATCH("stage_target",stages!$2:$2,0)-MATCH($A$1,stages!$2:$2,0)+1),MATCH("stage_target",stages!$2:$2,0)-MATCH($A$1,stages!$2:$2,0)+1,FALSE)</f>
        <v>singleonly</v>
      </c>
      <c r="F264" s="200" t="s">
        <v>382</v>
      </c>
      <c r="G264" s="49" t="str">
        <f t="shared" ref="G264" si="123">"quest"&amp;A264&amp;".png"</f>
        <v>quest60031.png</v>
      </c>
      <c r="H264" s="13" t="s">
        <v>53</v>
      </c>
      <c r="I264" s="12">
        <v>6031</v>
      </c>
      <c r="J264" s="12">
        <v>2</v>
      </c>
    </row>
    <row r="265" spans="1:10" ht="21" customHeight="1" x14ac:dyDescent="0.15">
      <c r="A265" s="31">
        <v>60032</v>
      </c>
      <c r="B265" s="47" t="str">
        <f ca="1">VLOOKUP($A265,OFFSET(quests!$A$1,0,0,COUNTA(quests!$A:$A),MATCH(B$1,quests!$1:$1,0)-MATCH($A$1,quests!$1:$1,0)+1),MATCH(B$1,quests!$1:$1,0)-MATCH($A$1,quests!$1:$1,0)+1,FALSE)</f>
        <v xml:space="preserve">ラグランジュチャレンジ </v>
      </c>
      <c r="C265" s="47" t="str">
        <f ca="1">VLOOKUP($A265,OFFSET(quests!$A$1,0,0,COUNTA(quests!$A:$A),MATCH(C$1,quests!$1:$1,0)-MATCH($A$1,quests!$1:$1,0)+1),MATCH(C$1,quests!$1:$1,0)-MATCH($A$1,quests!$1:$1,0)+1,FALSE)</f>
        <v>ランキングクエスト</v>
      </c>
      <c r="D265" s="47" t="str">
        <f ca="1">VLOOKUP($A265,OFFSET(quests!$A$1,0,0,COUNTA(quests!$A:$A),MATCH(D$1,quests!$1:$1,0)-MATCH($A$1,quests!$1:$1,0)+1),MATCH(D$1,quests!$1:$1,0)-MATCH($A$1,quests!$1:$1,0)+1,FALSE)</f>
        <v>ランキング2（再開催）</v>
      </c>
      <c r="E265" s="47" t="str">
        <f ca="1">VLOOKUP($A265,OFFSET(stages!$C$2,0,0,COUNTA(stages!$C:$C),MATCH("stage_target",stages!$2:$2,0)-MATCH($A$1,stages!$2:$2,0)+1),MATCH("stage_target",stages!$2:$2,0)-MATCH($A$1,stages!$2:$2,0)+1,FALSE)</f>
        <v>singleonly</v>
      </c>
      <c r="F265" s="200" t="s">
        <v>382</v>
      </c>
      <c r="G265" s="49" t="str">
        <f t="shared" ref="G265" si="124">"quest"&amp;A265&amp;".png"</f>
        <v>quest60032.png</v>
      </c>
      <c r="H265" s="13" t="s">
        <v>53</v>
      </c>
      <c r="I265" s="12">
        <v>6032</v>
      </c>
      <c r="J265" s="12">
        <v>2</v>
      </c>
    </row>
    <row r="266" spans="1:10" ht="21" customHeight="1" x14ac:dyDescent="0.15">
      <c r="A266" s="31">
        <v>61001</v>
      </c>
      <c r="B266" s="47" t="str">
        <f ca="1">VLOOKUP($A266,OFFSET(quests!$A$1,0,0,COUNTA(quests!$A:$A),MATCH(B$1,quests!$1:$1,0)-MATCH($A$1,quests!$1:$1,0)+1),MATCH(B$1,quests!$1:$1,0)-MATCH($A$1,quests!$1:$1,0)+1,FALSE)</f>
        <v>団結クエスト</v>
      </c>
      <c r="C266" s="47" t="str">
        <f ca="1">VLOOKUP($A266,OFFSET(quests!$A$1,0,0,COUNTA(quests!$A:$A),MATCH(C$1,quests!$1:$1,0)-MATCH($A$1,quests!$1:$1,0)+1),MATCH(C$1,quests!$1:$1,0)-MATCH($A$1,quests!$1:$1,0)+1,FALSE)</f>
        <v>団結クエスト</v>
      </c>
      <c r="D266" s="47" t="str">
        <f ca="1">VLOOKUP($A266,OFFSET(quests!$A$1,0,0,COUNTA(quests!$A:$A),MATCH(D$1,quests!$1:$1,0)-MATCH($A$1,quests!$1:$1,0)+1),MATCH(D$1,quests!$1:$1,0)-MATCH($A$1,quests!$1:$1,0)+1,FALSE)</f>
        <v>団結クエスト1</v>
      </c>
      <c r="E266" s="47" t="str">
        <f ca="1">VLOOKUP($A266,OFFSET(stages!$C$2,0,0,COUNTA(stages!$C:$C),MATCH("stage_target",stages!$2:$2,0)-MATCH($A$1,stages!$2:$2,0)+1),MATCH("stage_target",stages!$2:$2,0)-MATCH($A$1,stages!$2:$2,0)+1,FALSE)</f>
        <v>everyone</v>
      </c>
      <c r="F266" s="200" t="s">
        <v>382</v>
      </c>
      <c r="G266" s="49" t="str">
        <f t="shared" ref="G266" si="125">"quest"&amp;A266&amp;".png"</f>
        <v>quest61001.png</v>
      </c>
      <c r="H266" s="13" t="s">
        <v>53</v>
      </c>
      <c r="I266" s="12">
        <v>6101</v>
      </c>
      <c r="J266" s="12">
        <v>2</v>
      </c>
    </row>
    <row r="267" spans="1:10" ht="21" customHeight="1" x14ac:dyDescent="0.15">
      <c r="A267" s="304">
        <v>65523</v>
      </c>
      <c r="B267" s="304" t="str">
        <f ca="1">VLOOKUP($A267,OFFSET(quests!$A$1,0,0,COUNTA(quests!$A:$A),MATCH(B$1,quests!$1:$1,0)-MATCH($A$1,quests!$1:$1,0)+1),MATCH(B$1,quests!$1:$1,0)-MATCH($A$1,quests!$1:$1,0)+1,FALSE)</f>
        <v>【LB尾崎】検証クエスト</v>
      </c>
      <c r="C267" s="304" t="str">
        <f ca="1">VLOOKUP($A267,OFFSET(quests!$A$1,0,0,COUNTA(quests!$A:$A),MATCH(C$1,quests!$1:$1,0)-MATCH($A$1,quests!$1:$1,0)+1),MATCH(C$1,quests!$1:$1,0)-MATCH($A$1,quests!$1:$1,0)+1,FALSE)</f>
        <v>【LB尾崎】検証クエスト</v>
      </c>
      <c r="D267" s="304" t="str">
        <f ca="1">VLOOKUP($A267,OFFSET(quests!$A$1,0,0,COUNTA(quests!$A:$A),MATCH(D$1,quests!$1:$1,0)-MATCH($A$1,quests!$1:$1,0)+1),MATCH(D$1,quests!$1:$1,0)-MATCH($A$1,quests!$1:$1,0)+1,FALSE)</f>
        <v>童話シリーズ　超級</v>
      </c>
      <c r="E267" s="304" t="str">
        <f ca="1">VLOOKUP($A267,OFFSET(stages!$C$2,0,0,COUNTA(stages!$C:$C),MATCH("stage_target",stages!$2:$2,0)-MATCH($A$1,stages!$2:$2,0)+1),MATCH("stage_target",stages!$2:$2,0)-MATCH($A$1,stages!$2:$2,0)+1,FALSE)</f>
        <v>everyone</v>
      </c>
      <c r="F267" s="304" t="s">
        <v>382</v>
      </c>
      <c r="G267" s="305" t="str">
        <f t="shared" si="122"/>
        <v>quest65523.png</v>
      </c>
      <c r="H267" s="305" t="s">
        <v>53</v>
      </c>
      <c r="I267" s="305">
        <v>6100</v>
      </c>
      <c r="J267" s="305">
        <v>0</v>
      </c>
    </row>
    <row r="268" spans="1:10" ht="21" customHeight="1" x14ac:dyDescent="0.15">
      <c r="A268" s="304">
        <v>65524</v>
      </c>
      <c r="B268" s="304" t="str">
        <f ca="1">VLOOKUP($A268,OFFSET(quests!$A$1,0,0,COUNTA(quests!$A:$A),MATCH(B$1,quests!$1:$1,0)-MATCH($A$1,quests!$1:$1,0)+1),MATCH(B$1,quests!$1:$1,0)-MATCH($A$1,quests!$1:$1,0)+1,FALSE)</f>
        <v>【LB田頭】検証クエスト</v>
      </c>
      <c r="C268" s="304" t="str">
        <f ca="1">VLOOKUP($A268,OFFSET(quests!$A$1,0,0,COUNTA(quests!$A:$A),MATCH(C$1,quests!$1:$1,0)-MATCH($A$1,quests!$1:$1,0)+1),MATCH(C$1,quests!$1:$1,0)-MATCH($A$1,quests!$1:$1,0)+1,FALSE)</f>
        <v>【LB田頭】検証クエスト</v>
      </c>
      <c r="D268" s="304" t="str">
        <f ca="1">VLOOKUP($A268,OFFSET(quests!$A$1,0,0,COUNTA(quests!$A:$A),MATCH(D$1,quests!$1:$1,0)-MATCH($A$1,quests!$1:$1,0)+1),MATCH(D$1,quests!$1:$1,0)-MATCH($A$1,quests!$1:$1,0)+1,FALSE)</f>
        <v>童話シリーズ　超級</v>
      </c>
      <c r="E268" s="304" t="str">
        <f ca="1">VLOOKUP($A268,OFFSET(stages!$C$2,0,0,COUNTA(stages!$C:$C),MATCH("stage_target",stages!$2:$2,0)-MATCH($A$1,stages!$2:$2,0)+1),MATCH("stage_target",stages!$2:$2,0)-MATCH($A$1,stages!$2:$2,0)+1,FALSE)</f>
        <v>everyone</v>
      </c>
      <c r="F268" s="304" t="s">
        <v>382</v>
      </c>
      <c r="G268" s="305" t="str">
        <f t="shared" si="122"/>
        <v>quest65524.png</v>
      </c>
      <c r="H268" s="305" t="s">
        <v>53</v>
      </c>
      <c r="I268" s="305">
        <v>6101</v>
      </c>
      <c r="J268" s="305">
        <v>0</v>
      </c>
    </row>
    <row r="269" spans="1:10" ht="21" customHeight="1" x14ac:dyDescent="0.15">
      <c r="A269" s="304">
        <v>65525</v>
      </c>
      <c r="B269" s="304" t="str">
        <f ca="1">VLOOKUP($A269,OFFSET(quests!$A$1,0,0,COUNTA(quests!$A:$A),MATCH(B$1,quests!$1:$1,0)-MATCH($A$1,quests!$1:$1,0)+1),MATCH(B$1,quests!$1:$1,0)-MATCH($A$1,quests!$1:$1,0)+1,FALSE)</f>
        <v>【LB田邉】検証クエスト</v>
      </c>
      <c r="C269" s="304" t="str">
        <f ca="1">VLOOKUP($A269,OFFSET(quests!$A$1,0,0,COUNTA(quests!$A:$A),MATCH(C$1,quests!$1:$1,0)-MATCH($A$1,quests!$1:$1,0)+1),MATCH(C$1,quests!$1:$1,0)-MATCH($A$1,quests!$1:$1,0)+1,FALSE)</f>
        <v>【LB田邉】検証クエスト</v>
      </c>
      <c r="D269" s="304" t="str">
        <f ca="1">VLOOKUP($A269,OFFSET(quests!$A$1,0,0,COUNTA(quests!$A:$A),MATCH(D$1,quests!$1:$1,0)-MATCH($A$1,quests!$1:$1,0)+1),MATCH(D$1,quests!$1:$1,0)-MATCH($A$1,quests!$1:$1,0)+1,FALSE)</f>
        <v>検証</v>
      </c>
      <c r="E269" s="304" t="str">
        <f ca="1">VLOOKUP($A269,OFFSET(stages!$C$2,0,0,COUNTA(stages!$C:$C),MATCH("stage_target",stages!$2:$2,0)-MATCH($A$1,stages!$2:$2,0)+1),MATCH("stage_target",stages!$2:$2,0)-MATCH($A$1,stages!$2:$2,0)+1,FALSE)</f>
        <v>everyone</v>
      </c>
      <c r="F269" s="304" t="s">
        <v>382</v>
      </c>
      <c r="G269" s="305" t="str">
        <f t="shared" si="122"/>
        <v>quest65525.png</v>
      </c>
      <c r="H269" s="305" t="s">
        <v>53</v>
      </c>
      <c r="I269" s="305">
        <v>6028</v>
      </c>
      <c r="J269" s="305">
        <v>0</v>
      </c>
    </row>
    <row r="270" spans="1:10" ht="21" customHeight="1" x14ac:dyDescent="0.15">
      <c r="A270" s="301">
        <v>65527</v>
      </c>
      <c r="B270" s="301" t="str">
        <f ca="1">VLOOKUP($A270,OFFSET(quests!$A$1,0,0,COUNTA(quests!$A:$A),MATCH(B$1,quests!$1:$1,0)-MATCH($A$1,quests!$1:$1,0)+1),MATCH(B$1,quests!$1:$1,0)-MATCH($A$1,quests!$1:$1,0)+1,FALSE)</f>
        <v>【LB石川】検証クエスト</v>
      </c>
      <c r="C270" s="301" t="str">
        <f ca="1">VLOOKUP($A270,OFFSET(quests!$A$1,0,0,COUNTA(quests!$A:$A),MATCH(C$1,quests!$1:$1,0)-MATCH($A$1,quests!$1:$1,0)+1),MATCH(C$1,quests!$1:$1,0)-MATCH($A$1,quests!$1:$1,0)+1,FALSE)</f>
        <v>【LB石川】検証クエスト</v>
      </c>
      <c r="D270" s="301" t="str">
        <f ca="1">VLOOKUP($A270,OFFSET(quests!$A$1,0,0,COUNTA(quests!$A:$A),MATCH(D$1,quests!$1:$1,0)-MATCH($A$1,quests!$1:$1,0)+1),MATCH(D$1,quests!$1:$1,0)-MATCH($A$1,quests!$1:$1,0)+1,FALSE)</f>
        <v>検証</v>
      </c>
      <c r="E270" s="301" t="str">
        <f ca="1">VLOOKUP($A270,OFFSET(stages!$C$2,0,0,COUNTA(stages!$C:$C),MATCH("stage_target",stages!$2:$2,0)-MATCH($A$1,stages!$2:$2,0)+1),MATCH("stage_target",stages!$2:$2,0)-MATCH($A$1,stages!$2:$2,0)+1,FALSE)</f>
        <v>everyone</v>
      </c>
      <c r="F270" s="301" t="s">
        <v>382</v>
      </c>
      <c r="G270" s="302" t="str">
        <f t="shared" si="122"/>
        <v>quest65527.png</v>
      </c>
      <c r="H270" s="302" t="s">
        <v>53</v>
      </c>
      <c r="I270" s="302">
        <v>6028</v>
      </c>
      <c r="J270" s="302">
        <v>2</v>
      </c>
    </row>
    <row r="271" spans="1:10" ht="21" customHeight="1" x14ac:dyDescent="0.15">
      <c r="A271" s="301">
        <v>65529</v>
      </c>
      <c r="B271" s="301" t="str">
        <f ca="1">VLOOKUP($A271,OFFSET(quests!$A$1,0,0,COUNTA(quests!$A:$A),MATCH(B$1,quests!$1:$1,0)-MATCH($A$1,quests!$1:$1,0)+1),MATCH(B$1,quests!$1:$1,0)-MATCH($A$1,quests!$1:$1,0)+1,FALSE)</f>
        <v>【LB中原】検証クエスト</v>
      </c>
      <c r="C271" s="301" t="str">
        <f ca="1">VLOOKUP($A271,OFFSET(quests!$A$1,0,0,COUNTA(quests!$A:$A),MATCH(C$1,quests!$1:$1,0)-MATCH($A$1,quests!$1:$1,0)+1),MATCH(C$1,quests!$1:$1,0)-MATCH($A$1,quests!$1:$1,0)+1,FALSE)</f>
        <v>【LB中原】検証クエスト</v>
      </c>
      <c r="D271" s="301" t="str">
        <f ca="1">VLOOKUP($A271,OFFSET(quests!$A$1,0,0,COUNTA(quests!$A:$A),MATCH(D$1,quests!$1:$1,0)-MATCH($A$1,quests!$1:$1,0)+1),MATCH(D$1,quests!$1:$1,0)-MATCH($A$1,quests!$1:$1,0)+1,FALSE)</f>
        <v>検証</v>
      </c>
      <c r="E271" s="301" t="str">
        <f ca="1">VLOOKUP($A271,OFFSET(stages!$C$2,0,0,COUNTA(stages!$C:$C),MATCH("stage_target",stages!$2:$2,0)-MATCH($A$1,stages!$2:$2,0)+1),MATCH("stage_target",stages!$2:$2,0)-MATCH($A$1,stages!$2:$2,0)+1,FALSE)</f>
        <v>everyone</v>
      </c>
      <c r="F271" s="301" t="s">
        <v>382</v>
      </c>
      <c r="G271" s="302" t="str">
        <f t="shared" si="122"/>
        <v>quest65529.png</v>
      </c>
      <c r="H271" s="302" t="s">
        <v>53</v>
      </c>
      <c r="I271" s="302">
        <v>6029</v>
      </c>
      <c r="J271" s="302">
        <v>2</v>
      </c>
    </row>
    <row r="272" spans="1:10" ht="21" customHeight="1" x14ac:dyDescent="0.15">
      <c r="A272" s="301">
        <v>65532</v>
      </c>
      <c r="B272" s="301" t="str">
        <f ca="1">VLOOKUP($A272,OFFSET(quests!$A$1,0,0,COUNTA(quests!$A:$A),MATCH(B$1,quests!$1:$1,0)-MATCH($A$1,quests!$1:$1,0)+1),MATCH(B$1,quests!$1:$1,0)-MATCH($A$1,quests!$1:$1,0)+1,FALSE)</f>
        <v>【LB山川】検証クエスト</v>
      </c>
      <c r="C272" s="301" t="str">
        <f ca="1">VLOOKUP($A272,OFFSET(quests!$A$1,0,0,COUNTA(quests!$A:$A),MATCH(C$1,quests!$1:$1,0)-MATCH($A$1,quests!$1:$1,0)+1),MATCH(C$1,quests!$1:$1,0)-MATCH($A$1,quests!$1:$1,0)+1,FALSE)</f>
        <v>【LB山川】検証クエスト</v>
      </c>
      <c r="D272" s="301" t="str">
        <f ca="1">VLOOKUP($A272,OFFSET(quests!$A$1,0,0,COUNTA(quests!$A:$A),MATCH(D$1,quests!$1:$1,0)-MATCH($A$1,quests!$1:$1,0)+1),MATCH(D$1,quests!$1:$1,0)-MATCH($A$1,quests!$1:$1,0)+1,FALSE)</f>
        <v>検証</v>
      </c>
      <c r="E272" s="301" t="str">
        <f ca="1">VLOOKUP($A272,OFFSET(stages!$C$2,0,0,COUNTA(stages!$C:$C),MATCH("stage_target",stages!$2:$2,0)-MATCH($A$1,stages!$2:$2,0)+1),MATCH("stage_target",stages!$2:$2,0)-MATCH($A$1,stages!$2:$2,0)+1,FALSE)</f>
        <v>everyone</v>
      </c>
      <c r="F272" s="301" t="s">
        <v>382</v>
      </c>
      <c r="G272" s="302" t="str">
        <f t="shared" ref="G272" si="126">"quest"&amp;A272&amp;".png"</f>
        <v>quest65532.png</v>
      </c>
      <c r="H272" s="302" t="s">
        <v>53</v>
      </c>
      <c r="I272" s="302">
        <v>6028</v>
      </c>
      <c r="J272" s="302">
        <v>2</v>
      </c>
    </row>
    <row r="273" spans="1:10" ht="21" customHeight="1" x14ac:dyDescent="0.15">
      <c r="A273" s="301">
        <v>65533</v>
      </c>
      <c r="B273" s="301" t="str">
        <f ca="1">VLOOKUP($A273,OFFSET(quests!$A$1,0,0,COUNTA(quests!$A:$A),MATCH(B$1,quests!$1:$1,0)-MATCH($A$1,quests!$1:$1,0)+1),MATCH(B$1,quests!$1:$1,0)-MATCH($A$1,quests!$1:$1,0)+1,FALSE)</f>
        <v>【程塚】検証クエスト</v>
      </c>
      <c r="C273" s="301" t="str">
        <f ca="1">VLOOKUP($A273,OFFSET(quests!$A$1,0,0,COUNTA(quests!$A:$A),MATCH(C$1,quests!$1:$1,0)-MATCH($A$1,quests!$1:$1,0)+1),MATCH(C$1,quests!$1:$1,0)-MATCH($A$1,quests!$1:$1,0)+1,FALSE)</f>
        <v>【程塚】検証クエスト</v>
      </c>
      <c r="D273" s="301" t="str">
        <f ca="1">VLOOKUP($A273,OFFSET(quests!$A$1,0,0,COUNTA(quests!$A:$A),MATCH(D$1,quests!$1:$1,0)-MATCH($A$1,quests!$1:$1,0)+1),MATCH(D$1,quests!$1:$1,0)-MATCH($A$1,quests!$1:$1,0)+1,FALSE)</f>
        <v>検証</v>
      </c>
      <c r="E273" s="301" t="str">
        <f ca="1">VLOOKUP($A273,OFFSET(stages!$C$2,0,0,COUNTA(stages!$C:$C),MATCH("stage_target",stages!$2:$2,0)-MATCH($A$1,stages!$2:$2,0)+1),MATCH("stage_target",stages!$2:$2,0)-MATCH($A$1,stages!$2:$2,0)+1,FALSE)</f>
        <v>everyone</v>
      </c>
      <c r="F273" s="301" t="s">
        <v>1036</v>
      </c>
      <c r="G273" s="302" t="str">
        <f t="shared" si="122"/>
        <v>quest65533.png</v>
      </c>
      <c r="H273" s="302" t="s">
        <v>53</v>
      </c>
      <c r="I273" s="302">
        <v>1</v>
      </c>
      <c r="J273" s="302">
        <v>0</v>
      </c>
    </row>
    <row r="274" spans="1:10" ht="21" customHeight="1" x14ac:dyDescent="0.15">
      <c r="A274" s="301">
        <v>65534</v>
      </c>
      <c r="B274" s="301" t="str">
        <f ca="1">VLOOKUP($A274,OFFSET(quests!$A$1,0,0,COUNTA(quests!$A:$A),MATCH(B$1,quests!$1:$1,0)-MATCH($A$1,quests!$1:$1,0)+1),MATCH(B$1,quests!$1:$1,0)-MATCH($A$1,quests!$1:$1,0)+1,FALSE)</f>
        <v>【LB大野】検証クエスト</v>
      </c>
      <c r="C274" s="301" t="str">
        <f ca="1">VLOOKUP($A274,OFFSET(quests!$A$1,0,0,COUNTA(quests!$A:$A),MATCH(C$1,quests!$1:$1,0)-MATCH($A$1,quests!$1:$1,0)+1),MATCH(C$1,quests!$1:$1,0)-MATCH($A$1,quests!$1:$1,0)+1,FALSE)</f>
        <v>【LB大野】検証クエスト</v>
      </c>
      <c r="D274" s="301" t="str">
        <f ca="1">VLOOKUP($A274,OFFSET(quests!$A$1,0,0,COUNTA(quests!$A:$A),MATCH(D$1,quests!$1:$1,0)-MATCH($A$1,quests!$1:$1,0)+1),MATCH(D$1,quests!$1:$1,0)-MATCH($A$1,quests!$1:$1,0)+1,FALSE)</f>
        <v>検証</v>
      </c>
      <c r="E274" s="301" t="str">
        <f ca="1">VLOOKUP($A274,OFFSET(stages!$C$2,0,0,COUNTA(stages!$C:$C),MATCH("stage_target",stages!$2:$2,0)-MATCH($A$1,stages!$2:$2,0)+1),MATCH("stage_target",stages!$2:$2,0)-MATCH($A$1,stages!$2:$2,0)+1,FALSE)</f>
        <v>everyone</v>
      </c>
      <c r="F274" s="301" t="s">
        <v>1036</v>
      </c>
      <c r="G274" s="302" t="str">
        <f t="shared" ref="G274" si="127">"quest"&amp;A274&amp;".png"</f>
        <v>quest65534.png</v>
      </c>
      <c r="H274" s="302" t="s">
        <v>53</v>
      </c>
      <c r="I274" s="302">
        <v>6028</v>
      </c>
      <c r="J274" s="302">
        <v>2</v>
      </c>
    </row>
    <row r="275" spans="1:10" ht="21" customHeight="1" x14ac:dyDescent="0.15">
      <c r="A275" s="301">
        <v>65535</v>
      </c>
      <c r="B275" s="301" t="str">
        <f ca="1">VLOOKUP($A275,OFFSET(quests!$A$1,0,0,COUNTA(quests!$A:$A),MATCH(B$1,quests!$1:$1,0)-MATCH($A$1,quests!$1:$1,0)+1),MATCH(B$1,quests!$1:$1,0)-MATCH($A$1,quests!$1:$1,0)+1,FALSE)</f>
        <v>１２３４５６７８９０１２３４５６７８９０１２３４５６７８９０</v>
      </c>
      <c r="C275" s="301" t="str">
        <f ca="1">VLOOKUP($A275,OFFSET(quests!$A$1,0,0,COUNTA(quests!$A:$A),MATCH(C$1,quests!$1:$1,0)-MATCH($A$1,quests!$1:$1,0)+1),MATCH(C$1,quests!$1:$1,0)-MATCH($A$1,quests!$1:$1,0)+1,FALSE)</f>
        <v>１２３４５６７８９０１２３４５６７８９０１２３４５６７８９０</v>
      </c>
      <c r="D275" s="301" t="str">
        <f ca="1">VLOOKUP($A275,OFFSET(quests!$A$1,0,0,COUNTA(quests!$A:$A),MATCH(D$1,quests!$1:$1,0)-MATCH($A$1,quests!$1:$1,0)+1),MATCH(D$1,quests!$1:$1,0)-MATCH($A$1,quests!$1:$1,0)+1,FALSE)</f>
        <v>検証</v>
      </c>
      <c r="E275" s="301" t="str">
        <f ca="1">VLOOKUP($A275,OFFSET(stages!$C$2,0,0,COUNTA(stages!$C:$C),MATCH("stage_target",stages!$2:$2,0)-MATCH($A$1,stages!$2:$2,0)+1),MATCH("stage_target",stages!$2:$2,0)-MATCH($A$1,stages!$2:$2,0)+1,FALSE)</f>
        <v>everyone</v>
      </c>
      <c r="F275" s="301" t="s">
        <v>1036</v>
      </c>
      <c r="G275" s="302" t="str">
        <f t="shared" ref="G275" si="128">"quest"&amp;A275&amp;".png"</f>
        <v>quest65535.png</v>
      </c>
      <c r="H275" s="302" t="s">
        <v>53</v>
      </c>
      <c r="I275" s="302">
        <v>1</v>
      </c>
      <c r="J275" s="302">
        <v>0</v>
      </c>
    </row>
    <row r="276" spans="1:10" ht="21" customHeight="1" x14ac:dyDescent="0.15">
      <c r="A276" s="200">
        <v>11101</v>
      </c>
      <c r="B276" s="47" t="str">
        <f ca="1">VLOOKUP($A276,OFFSET(quests!$A$1,0,0,COUNTA(quests!$A:$A),MATCH(B$1,quests!$1:$1,0)-MATCH($A$1,quests!$1:$1,0)+1),MATCH(B$1,quests!$1:$1,0)-MATCH($A$1,quests!$1:$1,0)+1,FALSE)</f>
        <v>【期間限定】 黄の素材</v>
      </c>
      <c r="C276" s="47" t="str">
        <f ca="1">VLOOKUP($A276,OFFSET(quests!$A$1,0,0,COUNTA(quests!$A:$A),MATCH(C$1,quests!$1:$1,0)-MATCH($A$1,quests!$1:$1,0)+1),MATCH(C$1,quests!$1:$1,0)-MATCH($A$1,quests!$1:$1,0)+1,FALSE)</f>
        <v>期間限定クエスト</v>
      </c>
      <c r="D276" s="47" t="str">
        <f ca="1">VLOOKUP($A276,OFFSET(quests!$A$1,0,0,COUNTA(quests!$A:$A),MATCH(D$1,quests!$1:$1,0)-MATCH($A$1,quests!$1:$1,0)+1),MATCH(D$1,quests!$1:$1,0)-MATCH($A$1,quests!$1:$1,0)+1,FALSE)</f>
        <v>月曜クエスト</v>
      </c>
      <c r="E276" s="47" t="str">
        <f ca="1">VLOOKUP($A276,OFFSET(stages!$C$2,0,0,COUNTA(stages!$C:$C),MATCH("stage_target",stages!$2:$2,0)-MATCH($A$1,stages!$2:$2,0)+1),MATCH("stage_target",stages!$2:$2,0)-MATCH($A$1,stages!$2:$2,0)+1,FALSE)</f>
        <v>everyone</v>
      </c>
      <c r="F276" s="200" t="s">
        <v>1036</v>
      </c>
      <c r="G276" s="49" t="str">
        <f>"quest"&amp;A276&amp;"_3.png"</f>
        <v>quest11101_3.png</v>
      </c>
      <c r="H276" s="13" t="s">
        <v>53</v>
      </c>
      <c r="I276" s="13">
        <v>1115</v>
      </c>
      <c r="J276" s="13">
        <v>0</v>
      </c>
    </row>
    <row r="277" spans="1:10" ht="21" customHeight="1" x14ac:dyDescent="0.15">
      <c r="A277" s="31">
        <v>11102</v>
      </c>
      <c r="B277" s="47" t="str">
        <f ca="1">VLOOKUP($A277,OFFSET(quests!$A$1,0,0,COUNTA(quests!$A:$A),MATCH(B$1,quests!$1:$1,0)-MATCH($A$1,quests!$1:$1,0)+1),MATCH(B$1,quests!$1:$1,0)-MATCH($A$1,quests!$1:$1,0)+1,FALSE)</f>
        <v>【期間限定】 赤の素材</v>
      </c>
      <c r="C277" s="47" t="str">
        <f ca="1">VLOOKUP($A277,OFFSET(quests!$A$1,0,0,COUNTA(quests!$A:$A),MATCH(C$1,quests!$1:$1,0)-MATCH($A$1,quests!$1:$1,0)+1),MATCH(C$1,quests!$1:$1,0)-MATCH($A$1,quests!$1:$1,0)+1,FALSE)</f>
        <v>期間限定クエスト</v>
      </c>
      <c r="D277" s="47" t="str">
        <f ca="1">VLOOKUP($A277,OFFSET(quests!$A$1,0,0,COUNTA(quests!$A:$A),MATCH(D$1,quests!$1:$1,0)-MATCH($A$1,quests!$1:$1,0)+1),MATCH(D$1,quests!$1:$1,0)-MATCH($A$1,quests!$1:$1,0)+1,FALSE)</f>
        <v>火曜クエスト</v>
      </c>
      <c r="E277" s="47" t="str">
        <f ca="1">VLOOKUP($A277,OFFSET(stages!$C$2,0,0,COUNTA(stages!$C:$C),MATCH("stage_target",stages!$2:$2,0)-MATCH($A$1,stages!$2:$2,0)+1),MATCH("stage_target",stages!$2:$2,0)-MATCH($A$1,stages!$2:$2,0)+1,FALSE)</f>
        <v>everyone</v>
      </c>
      <c r="F277" s="200" t="s">
        <v>1036</v>
      </c>
      <c r="G277" s="49" t="str">
        <f>"quest"&amp;A277&amp;"_3.png"</f>
        <v>quest11102_3.png</v>
      </c>
      <c r="H277" s="13" t="s">
        <v>53</v>
      </c>
      <c r="I277" s="12">
        <v>1114</v>
      </c>
      <c r="J277" s="12">
        <v>0</v>
      </c>
    </row>
    <row r="278" spans="1:10" ht="21" customHeight="1" x14ac:dyDescent="0.15">
      <c r="A278" s="31">
        <v>11103</v>
      </c>
      <c r="B278" s="47" t="str">
        <f ca="1">VLOOKUP($A278,OFFSET(quests!$A$1,0,0,COUNTA(quests!$A:$A),MATCH(B$1,quests!$1:$1,0)-MATCH($A$1,quests!$1:$1,0)+1),MATCH(B$1,quests!$1:$1,0)-MATCH($A$1,quests!$1:$1,0)+1,FALSE)</f>
        <v>【期間限定】 青の素材</v>
      </c>
      <c r="C278" s="47" t="str">
        <f ca="1">VLOOKUP($A278,OFFSET(quests!$A$1,0,0,COUNTA(quests!$A:$A),MATCH(C$1,quests!$1:$1,0)-MATCH($A$1,quests!$1:$1,0)+1),MATCH(C$1,quests!$1:$1,0)-MATCH($A$1,quests!$1:$1,0)+1,FALSE)</f>
        <v>期間限定クエスト</v>
      </c>
      <c r="D278" s="47" t="str">
        <f ca="1">VLOOKUP($A278,OFFSET(quests!$A$1,0,0,COUNTA(quests!$A:$A),MATCH(D$1,quests!$1:$1,0)-MATCH($A$1,quests!$1:$1,0)+1),MATCH(D$1,quests!$1:$1,0)-MATCH($A$1,quests!$1:$1,0)+1,FALSE)</f>
        <v>水曜クエスト</v>
      </c>
      <c r="E278" s="47" t="str">
        <f ca="1">VLOOKUP($A278,OFFSET(stages!$C$2,0,0,COUNTA(stages!$C:$C),MATCH("stage_target",stages!$2:$2,0)-MATCH($A$1,stages!$2:$2,0)+1),MATCH("stage_target",stages!$2:$2,0)-MATCH($A$1,stages!$2:$2,0)+1,FALSE)</f>
        <v>everyone</v>
      </c>
      <c r="F278" s="200" t="s">
        <v>1732</v>
      </c>
      <c r="G278" s="49" t="str">
        <f>"quest"&amp;A278&amp;"_3.png"</f>
        <v>quest11103_3.png</v>
      </c>
      <c r="H278" s="13" t="s">
        <v>53</v>
      </c>
      <c r="I278" s="13">
        <v>1113</v>
      </c>
      <c r="J278" s="12">
        <v>0</v>
      </c>
    </row>
    <row r="279" spans="1:10" ht="21" customHeight="1" x14ac:dyDescent="0.15">
      <c r="A279" s="31">
        <v>11104</v>
      </c>
      <c r="B279" s="47" t="str">
        <f ca="1">VLOOKUP($A279,OFFSET(quests!$A$1,0,0,COUNTA(quests!$A:$A),MATCH(B$1,quests!$1:$1,0)-MATCH($A$1,quests!$1:$1,0)+1),MATCH(B$1,quests!$1:$1,0)-MATCH($A$1,quests!$1:$1,0)+1,FALSE)</f>
        <v>【期間限定】 緑の素材</v>
      </c>
      <c r="C279" s="47" t="str">
        <f ca="1">VLOOKUP($A279,OFFSET(quests!$A$1,0,0,COUNTA(quests!$A:$A),MATCH(C$1,quests!$1:$1,0)-MATCH($A$1,quests!$1:$1,0)+1),MATCH(C$1,quests!$1:$1,0)-MATCH($A$1,quests!$1:$1,0)+1,FALSE)</f>
        <v>期間限定クエスト</v>
      </c>
      <c r="D279" s="47" t="str">
        <f ca="1">VLOOKUP($A279,OFFSET(quests!$A$1,0,0,COUNTA(quests!$A:$A),MATCH(D$1,quests!$1:$1,0)-MATCH($A$1,quests!$1:$1,0)+1),MATCH(D$1,quests!$1:$1,0)-MATCH($A$1,quests!$1:$1,0)+1,FALSE)</f>
        <v>木曜クエスト</v>
      </c>
      <c r="E279" s="47" t="str">
        <f ca="1">VLOOKUP($A279,OFFSET(stages!$C$2,0,0,COUNTA(stages!$C:$C),MATCH("stage_target",stages!$2:$2,0)-MATCH($A$1,stages!$2:$2,0)+1),MATCH("stage_target",stages!$2:$2,0)-MATCH($A$1,stages!$2:$2,0)+1,FALSE)</f>
        <v>everyone</v>
      </c>
      <c r="F279" s="200" t="s">
        <v>1036</v>
      </c>
      <c r="G279" s="49" t="str">
        <f>"quest"&amp;A279&amp;"_3.png"</f>
        <v>quest11104_3.png</v>
      </c>
      <c r="H279" s="13" t="s">
        <v>53</v>
      </c>
      <c r="I279" s="12">
        <v>1112</v>
      </c>
      <c r="J279" s="12">
        <v>0</v>
      </c>
    </row>
    <row r="280" spans="1:10" ht="21" customHeight="1" x14ac:dyDescent="0.15">
      <c r="A280" s="31">
        <v>11105</v>
      </c>
      <c r="B280" s="47" t="str">
        <f ca="1">VLOOKUP($A280,OFFSET(quests!$A$1,0,0,COUNTA(quests!$A:$A),MATCH(B$1,quests!$1:$1,0)-MATCH($A$1,quests!$1:$1,0)+1),MATCH(B$1,quests!$1:$1,0)-MATCH($A$1,quests!$1:$1,0)+1,FALSE)</f>
        <v>【期間限定】 帽子屋を追え！</v>
      </c>
      <c r="C280" s="47" t="str">
        <f ca="1">VLOOKUP($A280,OFFSET(quests!$A$1,0,0,COUNTA(quests!$A:$A),MATCH(C$1,quests!$1:$1,0)-MATCH($A$1,quests!$1:$1,0)+1),MATCH(C$1,quests!$1:$1,0)-MATCH($A$1,quests!$1:$1,0)+1,FALSE)</f>
        <v>期間限定クエスト</v>
      </c>
      <c r="D280" s="47" t="str">
        <f ca="1">VLOOKUP($A280,OFFSET(quests!$A$1,0,0,COUNTA(quests!$A:$A),MATCH(D$1,quests!$1:$1,0)-MATCH($A$1,quests!$1:$1,0)+1),MATCH(D$1,quests!$1:$1,0)-MATCH($A$1,quests!$1:$1,0)+1,FALSE)</f>
        <v>金曜クエスト</v>
      </c>
      <c r="E280" s="47" t="str">
        <f ca="1">VLOOKUP($A280,OFFSET(stages!$C$2,0,0,COUNTA(stages!$C:$C),MATCH("stage_target",stages!$2:$2,0)-MATCH($A$1,stages!$2:$2,0)+1),MATCH("stage_target",stages!$2:$2,0)-MATCH($A$1,stages!$2:$2,0)+1,FALSE)</f>
        <v>everyone</v>
      </c>
      <c r="F280" s="200" t="s">
        <v>1036</v>
      </c>
      <c r="G280" s="49" t="str">
        <f t="shared" ref="G280" si="129">"quest"&amp;A280&amp;"_2.png"</f>
        <v>quest11105_2.png</v>
      </c>
      <c r="H280" s="13" t="s">
        <v>53</v>
      </c>
      <c r="I280" s="13">
        <v>1111</v>
      </c>
      <c r="J280" s="12">
        <v>0</v>
      </c>
    </row>
    <row r="281" spans="1:10" ht="21" customHeight="1" x14ac:dyDescent="0.15">
      <c r="A281" s="31">
        <v>11106</v>
      </c>
      <c r="B281" s="47" t="str">
        <f ca="1">VLOOKUP($A281,OFFSET(quests!$A$1,0,0,COUNTA(quests!$A:$A),MATCH(B$1,quests!$1:$1,0)-MATCH($A$1,quests!$1:$1,0)+1),MATCH(B$1,quests!$1:$1,0)-MATCH($A$1,quests!$1:$1,0)+1,FALSE)</f>
        <v>【キャンペーン限定】 ゴールドカジノ</v>
      </c>
      <c r="C281" s="47" t="str">
        <f ca="1">VLOOKUP($A281,OFFSET(quests!$A$1,0,0,COUNTA(quests!$A:$A),MATCH(C$1,quests!$1:$1,0)-MATCH($A$1,quests!$1:$1,0)+1),MATCH(C$1,quests!$1:$1,0)-MATCH($A$1,quests!$1:$1,0)+1,FALSE)</f>
        <v>曜日クエスト</v>
      </c>
      <c r="D281" s="47" t="str">
        <f ca="1">VLOOKUP($A281,OFFSET(quests!$A$1,0,0,COUNTA(quests!$A:$A),MATCH(D$1,quests!$1:$1,0)-MATCH($A$1,quests!$1:$1,0)+1),MATCH(D$1,quests!$1:$1,0)-MATCH($A$1,quests!$1:$1,0)+1,FALSE)</f>
        <v>土日クエスト1</v>
      </c>
      <c r="E281" s="47" t="str">
        <f ca="1">VLOOKUP($A281,OFFSET(stages!$C$2,0,0,COUNTA(stages!$C:$C),MATCH("stage_target",stages!$2:$2,0)-MATCH($A$1,stages!$2:$2,0)+1),MATCH("stage_target",stages!$2:$2,0)-MATCH($A$1,stages!$2:$2,0)+1,FALSE)</f>
        <v>everyone</v>
      </c>
      <c r="F281" s="200" t="s">
        <v>1036</v>
      </c>
      <c r="G281" s="49" t="s">
        <v>510</v>
      </c>
      <c r="H281" s="13" t="s">
        <v>53</v>
      </c>
      <c r="I281" s="12">
        <v>1106</v>
      </c>
      <c r="J281" s="12">
        <v>0</v>
      </c>
    </row>
    <row r="282" spans="1:10" ht="21" customHeight="1" x14ac:dyDescent="0.15">
      <c r="A282" s="31">
        <v>11206</v>
      </c>
      <c r="B282" s="47" t="str">
        <f ca="1">VLOOKUP($A282,OFFSET(quests!$A$1,0,0,COUNTA(quests!$A:$A),MATCH(B$1,quests!$1:$1,0)-MATCH($A$1,quests!$1:$1,0)+1),MATCH(B$1,quests!$1:$1,0)-MATCH($A$1,quests!$1:$1,0)+1,FALSE)</f>
        <v>【キャンペーン限定】 ゴールドカジノ</v>
      </c>
      <c r="C282" s="47" t="str">
        <f ca="1">VLOOKUP($A282,OFFSET(quests!$A$1,0,0,COUNTA(quests!$A:$A),MATCH(C$1,quests!$1:$1,0)-MATCH($A$1,quests!$1:$1,0)+1),MATCH(C$1,quests!$1:$1,0)-MATCH($A$1,quests!$1:$1,0)+1,FALSE)</f>
        <v>曜日クエスト</v>
      </c>
      <c r="D282" s="47" t="str">
        <f ca="1">VLOOKUP($A282,OFFSET(quests!$A$1,0,0,COUNTA(quests!$A:$A),MATCH(D$1,quests!$1:$1,0)-MATCH($A$1,quests!$1:$1,0)+1),MATCH(D$1,quests!$1:$1,0)-MATCH($A$1,quests!$1:$1,0)+1,FALSE)</f>
        <v>土日クエスト2</v>
      </c>
      <c r="E282" s="47" t="str">
        <f ca="1">VLOOKUP($A282,OFFSET(stages!$C$2,0,0,COUNTA(stages!$C:$C),MATCH("stage_target",stages!$2:$2,0)-MATCH($A$1,stages!$2:$2,0)+1),MATCH("stage_target",stages!$2:$2,0)-MATCH($A$1,stages!$2:$2,0)+1,FALSE)</f>
        <v>everyone</v>
      </c>
      <c r="F282" s="200" t="s">
        <v>1036</v>
      </c>
      <c r="G282" s="49" t="s">
        <v>511</v>
      </c>
      <c r="H282" s="13" t="s">
        <v>53</v>
      </c>
      <c r="I282" s="12">
        <v>1106</v>
      </c>
      <c r="J282" s="12">
        <v>0</v>
      </c>
    </row>
    <row r="283" spans="1:10" ht="21" customHeight="1" x14ac:dyDescent="0.15">
      <c r="A283" s="31">
        <v>11016</v>
      </c>
      <c r="B283" s="47" t="str">
        <f ca="1">VLOOKUP($A283,OFFSET(quests!$A$1,0,0,COUNTA(quests!$A:$A),MATCH(B$1,quests!$1:$1,0)-MATCH($A$1,quests!$1:$1,0)+1),MATCH(B$1,quests!$1:$1,0)-MATCH($A$1,quests!$1:$1,0)+1,FALSE)</f>
        <v>【マルチ専用1/2】 ゴールドカジノ</v>
      </c>
      <c r="C283" s="47" t="str">
        <f ca="1">VLOOKUP($A283,OFFSET(quests!$A$1,0,0,COUNTA(quests!$A:$A),MATCH(C$1,quests!$1:$1,0)-MATCH($A$1,quests!$1:$1,0)+1),MATCH(C$1,quests!$1:$1,0)-MATCH($A$1,quests!$1:$1,0)+1,FALSE)</f>
        <v>曜日クエスト(ハートなし)</v>
      </c>
      <c r="D283" s="47" t="str">
        <f ca="1">VLOOKUP($A283,OFFSET(quests!$A$1,0,0,COUNTA(quests!$A:$A),MATCH(D$1,quests!$1:$1,0)-MATCH($A$1,quests!$1:$1,0)+1),MATCH(D$1,quests!$1:$1,0)-MATCH($A$1,quests!$1:$1,0)+1,FALSE)</f>
        <v>土日クエスト1</v>
      </c>
      <c r="E283" s="47" t="str">
        <f ca="1">VLOOKUP($A283,OFFSET(stages!$C$2,0,0,COUNTA(stages!$C:$C),MATCH("stage_target",stages!$2:$2,0)-MATCH($A$1,stages!$2:$2,0)+1),MATCH("stage_target",stages!$2:$2,0)-MATCH($A$1,stages!$2:$2,0)+1,FALSE)</f>
        <v>multionly</v>
      </c>
      <c r="F283" s="200" t="s">
        <v>1036</v>
      </c>
      <c r="G283" s="49" t="str">
        <f>"quest"&amp;A283&amp;".png"</f>
        <v>quest11016.png</v>
      </c>
      <c r="H283" s="13" t="s">
        <v>53</v>
      </c>
      <c r="I283" s="12">
        <v>3999</v>
      </c>
      <c r="J283" s="12">
        <v>0</v>
      </c>
    </row>
    <row r="284" spans="1:10" ht="21" customHeight="1" x14ac:dyDescent="0.15">
      <c r="A284" s="31">
        <v>11017</v>
      </c>
      <c r="B284" s="47" t="str">
        <f ca="1">VLOOKUP($A284,OFFSET(quests!$A$1,0,0,COUNTA(quests!$A:$A),MATCH(B$1,quests!$1:$1,0)-MATCH($A$1,quests!$1:$1,0)+1),MATCH(B$1,quests!$1:$1,0)-MATCH($A$1,quests!$1:$1,0)+1,FALSE)</f>
        <v>【期間限定】リトルハンプティを追え！</v>
      </c>
      <c r="C284" s="47" t="str">
        <f ca="1">VLOOKUP($A284,OFFSET(quests!$A$1,0,0,COUNTA(quests!$A:$A),MATCH(C$1,quests!$1:$1,0)-MATCH($A$1,quests!$1:$1,0)+1),MATCH(C$1,quests!$1:$1,0)-MATCH($A$1,quests!$1:$1,0)+1,FALSE)</f>
        <v>期間限定クエスト（ハートなし）</v>
      </c>
      <c r="D284" s="47" t="str">
        <f ca="1">VLOOKUP($A284,OFFSET(quests!$A$1,0,0,COUNTA(quests!$A:$A),MATCH(D$1,quests!$1:$1,0)-MATCH($A$1,quests!$1:$1,0)+1),MATCH(D$1,quests!$1:$1,0)-MATCH($A$1,quests!$1:$1,0)+1,FALSE)</f>
        <v>期間限定クエスト</v>
      </c>
      <c r="E284" s="47" t="str">
        <f ca="1">VLOOKUP($A284,OFFSET(stages!$C$2,0,0,COUNTA(stages!$C:$C),MATCH("stage_target",stages!$2:$2,0)-MATCH($A$1,stages!$2:$2,0)+1),MATCH("stage_target",stages!$2:$2,0)-MATCH($A$1,stages!$2:$2,0)+1,FALSE)</f>
        <v>everyone</v>
      </c>
      <c r="F284" s="200" t="s">
        <v>1036</v>
      </c>
      <c r="G284" s="49" t="str">
        <f>"quest"&amp;A284&amp;".png"</f>
        <v>quest11017.png</v>
      </c>
      <c r="H284" s="13" t="s">
        <v>53</v>
      </c>
      <c r="I284" s="12">
        <v>4915</v>
      </c>
      <c r="J284" s="12">
        <v>0</v>
      </c>
    </row>
    <row r="285" spans="1:10" ht="21" customHeight="1" x14ac:dyDescent="0.15">
      <c r="A285" s="31">
        <v>11018</v>
      </c>
      <c r="B285" s="47" t="str">
        <f ca="1">VLOOKUP($A285,OFFSET(quests!$A$1,0,0,COUNTA(quests!$A:$A),MATCH(B$1,quests!$1:$1,0)-MATCH($A$1,quests!$1:$1,0)+1),MATCH(B$1,quests!$1:$1,0)-MATCH($A$1,quests!$1:$1,0)+1,FALSE)</f>
        <v>【エナジー1/2】 ゴールドカジノ</v>
      </c>
      <c r="C285" s="47" t="str">
        <f ca="1">VLOOKUP($A285,OFFSET(quests!$A$1,0,0,COUNTA(quests!$A:$A),MATCH(C$1,quests!$1:$1,0)-MATCH($A$1,quests!$1:$1,0)+1),MATCH(C$1,quests!$1:$1,0)-MATCH($A$1,quests!$1:$1,0)+1,FALSE)</f>
        <v>期間限定クエスト（ハートなし）</v>
      </c>
      <c r="D285" s="47" t="str">
        <f ca="1">VLOOKUP($A285,OFFSET(quests!$A$1,0,0,COUNTA(quests!$A:$A),MATCH(D$1,quests!$1:$1,0)-MATCH($A$1,quests!$1:$1,0)+1),MATCH(D$1,quests!$1:$1,0)-MATCH($A$1,quests!$1:$1,0)+1,FALSE)</f>
        <v>土日クエスト1</v>
      </c>
      <c r="E285" s="47" t="str">
        <f ca="1">VLOOKUP($A285,OFFSET(stages!$C$2,0,0,COUNTA(stages!$C:$C),MATCH("stage_target",stages!$2:$2,0)-MATCH($A$1,stages!$2:$2,0)+1),MATCH("stage_target",stages!$2:$2,0)-MATCH($A$1,stages!$2:$2,0)+1,FALSE)</f>
        <v>everyone</v>
      </c>
      <c r="F285" s="200" t="s">
        <v>1036</v>
      </c>
      <c r="G285" s="49" t="str">
        <f>"quest"&amp;A285&amp;".png"</f>
        <v>quest11018.png</v>
      </c>
      <c r="H285" s="13" t="s">
        <v>53</v>
      </c>
      <c r="I285" s="12">
        <v>3999</v>
      </c>
      <c r="J285" s="12">
        <v>0</v>
      </c>
    </row>
    <row r="286" spans="1:10" ht="21" customHeight="1" x14ac:dyDescent="0.15">
      <c r="A286" s="31">
        <v>11207</v>
      </c>
      <c r="B286" s="47" t="str">
        <f ca="1">VLOOKUP($A286,OFFSET(quests!$A$1,0,0,COUNTA(quests!$A:$A),MATCH(B$1,quests!$1:$1,0)-MATCH($A$1,quests!$1:$1,0)+1),MATCH(B$1,quests!$1:$1,0)-MATCH($A$1,quests!$1:$1,0)+1,FALSE)</f>
        <v>果実達の大宴会</v>
      </c>
      <c r="C286" s="47" t="str">
        <f ca="1">VLOOKUP($A286,OFFSET(quests!$A$1,0,0,COUNTA(quests!$A:$A),MATCH(C$1,quests!$1:$1,0)-MATCH($A$1,quests!$1:$1,0)+1),MATCH(C$1,quests!$1:$1,0)-MATCH($A$1,quests!$1:$1,0)+1,FALSE)</f>
        <v>期間限定クエスト（ハートなし）</v>
      </c>
      <c r="D286" s="47">
        <f ca="1">VLOOKUP($A286,OFFSET(quests!$A$1,0,0,COUNTA(quests!$A:$A),MATCH(D$1,quests!$1:$1,0)-MATCH($A$1,quests!$1:$1,0)+1),MATCH(D$1,quests!$1:$1,0)-MATCH($A$1,quests!$1:$1,0)+1,FALSE)</f>
        <v>0</v>
      </c>
      <c r="E286" s="47" t="str">
        <f ca="1">VLOOKUP($A286,OFFSET(stages!$C$2,0,0,COUNTA(stages!$C:$C),MATCH("stage_target",stages!$2:$2,0)-MATCH($A$1,stages!$2:$2,0)+1),MATCH("stage_target",stages!$2:$2,0)-MATCH($A$1,stages!$2:$2,0)+1,FALSE)</f>
        <v>singleonly</v>
      </c>
      <c r="F286" s="200" t="s">
        <v>1036</v>
      </c>
      <c r="G286" s="49" t="str">
        <f>"quest"&amp;A286&amp;"_3.png"</f>
        <v>quest11207_3.png</v>
      </c>
      <c r="H286" s="13" t="s">
        <v>53</v>
      </c>
      <c r="I286" s="13">
        <v>32766</v>
      </c>
      <c r="J286" s="12">
        <v>0</v>
      </c>
    </row>
    <row r="287" spans="1:10" ht="21" customHeight="1" x14ac:dyDescent="0.15">
      <c r="A287" s="31">
        <v>11208</v>
      </c>
      <c r="B287" s="47" t="str">
        <f ca="1">VLOOKUP($A287,OFFSET(quests!$A$1,0,0,COUNTA(quests!$A:$A),MATCH(B$1,quests!$1:$1,0)-MATCH($A$1,quests!$1:$1,0)+1),MATCH(B$1,quests!$1:$1,0)-MATCH($A$1,quests!$1:$1,0)+1,FALSE)</f>
        <v>果実達の大宴会</v>
      </c>
      <c r="C287" s="47" t="str">
        <f ca="1">VLOOKUP($A287,OFFSET(quests!$A$1,0,0,COUNTA(quests!$A:$A),MATCH(C$1,quests!$1:$1,0)-MATCH($A$1,quests!$1:$1,0)+1),MATCH(C$1,quests!$1:$1,0)-MATCH($A$1,quests!$1:$1,0)+1,FALSE)</f>
        <v>期間限定クエスト</v>
      </c>
      <c r="D287" s="47">
        <f ca="1">VLOOKUP($A287,OFFSET(quests!$A$1,0,0,COUNTA(quests!$A:$A),MATCH(D$1,quests!$1:$1,0)-MATCH($A$1,quests!$1:$1,0)+1),MATCH(D$1,quests!$1:$1,0)-MATCH($A$1,quests!$1:$1,0)+1,FALSE)</f>
        <v>0</v>
      </c>
      <c r="E287" s="47" t="str">
        <f ca="1">VLOOKUP($A287,OFFSET(stages!$C$2,0,0,COUNTA(stages!$C:$C),MATCH("stage_target",stages!$2:$2,0)-MATCH($A$1,stages!$2:$2,0)+1),MATCH("stage_target",stages!$2:$2,0)-MATCH($A$1,stages!$2:$2,0)+1,FALSE)</f>
        <v>singleonly</v>
      </c>
      <c r="F287" s="200" t="s">
        <v>1036</v>
      </c>
      <c r="G287" s="49" t="str">
        <f>"quest"&amp;A287&amp;".png"</f>
        <v>quest11208.png</v>
      </c>
      <c r="H287" s="13" t="s">
        <v>53</v>
      </c>
      <c r="I287" s="13">
        <v>32766</v>
      </c>
      <c r="J287" s="12">
        <v>0</v>
      </c>
    </row>
    <row r="288" spans="1:10" ht="21" customHeight="1" x14ac:dyDescent="0.15">
      <c r="A288" s="31">
        <v>11209</v>
      </c>
      <c r="B288" s="47" t="str">
        <f ca="1">VLOOKUP($A288,OFFSET(quests!$A$1,0,0,COUNTA(quests!$A:$A),MATCH(B$1,quests!$1:$1,0)-MATCH($A$1,quests!$1:$1,0)+1),MATCH(B$1,quests!$1:$1,0)-MATCH($A$1,quests!$1:$1,0)+1,FALSE)</f>
        <v>スタートダッシュキャンペーンクエスト</v>
      </c>
      <c r="C288" s="47" t="str">
        <f ca="1">VLOOKUP($A288,OFFSET(quests!$A$1,0,0,COUNTA(quests!$A:$A),MATCH(C$1,quests!$1:$1,0)-MATCH($A$1,quests!$1:$1,0)+1),MATCH(C$1,quests!$1:$1,0)-MATCH($A$1,quests!$1:$1,0)+1,FALSE)</f>
        <v>期間限定クエスト（ハートなし）</v>
      </c>
      <c r="D288" s="47" t="str">
        <f ca="1">VLOOKUP($A288,OFFSET(quests!$A$1,0,0,COUNTA(quests!$A:$A),MATCH(D$1,quests!$1:$1,0)-MATCH($A$1,quests!$1:$1,0)+1),MATCH(D$1,quests!$1:$1,0)-MATCH($A$1,quests!$1:$1,0)+1,FALSE)</f>
        <v>スタートダッシュキャンペーンクエスト</v>
      </c>
      <c r="E288" s="47" t="str">
        <f ca="1">VLOOKUP($A288,OFFSET(stages!$C$2,0,0,COUNTA(stages!$C:$C),MATCH("stage_target",stages!$2:$2,0)-MATCH($A$1,stages!$2:$2,0)+1),MATCH("stage_target",stages!$2:$2,0)-MATCH($A$1,stages!$2:$2,0)+1,FALSE)</f>
        <v>everyone</v>
      </c>
      <c r="F288" s="200" t="s">
        <v>1036</v>
      </c>
      <c r="G288" s="49" t="str">
        <f>"quest"&amp;A288&amp;".png"</f>
        <v>quest11209.png</v>
      </c>
      <c r="H288" s="13" t="s">
        <v>53</v>
      </c>
      <c r="I288" s="13">
        <v>32766</v>
      </c>
      <c r="J288" s="12">
        <v>0</v>
      </c>
    </row>
    <row r="289" spans="1:10" ht="21" customHeight="1" x14ac:dyDescent="0.15">
      <c r="A289" s="31">
        <v>11210</v>
      </c>
      <c r="B289" s="47" t="str">
        <f ca="1">VLOOKUP($A289,OFFSET(quests!$A$1,0,0,COUNTA(quests!$A:$A),MATCH(B$1,quests!$1:$1,0)-MATCH($A$1,quests!$1:$1,0)+1),MATCH(B$1,quests!$1:$1,0)-MATCH($A$1,quests!$1:$1,0)+1,FALSE)</f>
        <v>100万DL記念★育成ブースト！</v>
      </c>
      <c r="C289" s="47" t="str">
        <f ca="1">VLOOKUP($A289,OFFSET(quests!$A$1,0,0,COUNTA(quests!$A:$A),MATCH(C$1,quests!$1:$1,0)-MATCH($A$1,quests!$1:$1,0)+1),MATCH(C$1,quests!$1:$1,0)-MATCH($A$1,quests!$1:$1,0)+1,FALSE)</f>
        <v>ゲリラクエスト</v>
      </c>
      <c r="D289" s="47" t="str">
        <f ca="1">VLOOKUP($A289,OFFSET(quests!$A$1,0,0,COUNTA(quests!$A:$A),MATCH(D$1,quests!$1:$1,0)-MATCH($A$1,quests!$1:$1,0)+1),MATCH(D$1,quests!$1:$1,0)-MATCH($A$1,quests!$1:$1,0)+1,FALSE)</f>
        <v>ゲリラ【超級】</v>
      </c>
      <c r="E289" s="47" t="e">
        <f ca="1">VLOOKUP($A289,OFFSET(stages!$C$2,0,0,COUNTA(stages!$C:$C),MATCH("stage_target",stages!$2:$2,0)-MATCH($A$1,stages!$2:$2,0)+1),MATCH("stage_target",stages!$2:$2,0)-MATCH($A$1,stages!$2:$2,0)+1,FALSE)</f>
        <v>#N/A</v>
      </c>
      <c r="F289" s="200" t="s">
        <v>1036</v>
      </c>
      <c r="G289" s="49" t="str">
        <f>"quest"&amp;A289&amp;".png"</f>
        <v>quest11210.png</v>
      </c>
      <c r="H289" s="13" t="s">
        <v>53</v>
      </c>
      <c r="I289" s="13">
        <v>32766</v>
      </c>
      <c r="J289" s="12">
        <v>2</v>
      </c>
    </row>
    <row r="290" spans="1:10" ht="21" customHeight="1" x14ac:dyDescent="0.15">
      <c r="A290" s="31">
        <v>11211</v>
      </c>
      <c r="B290" s="47" t="str">
        <f ca="1">VLOOKUP($A290,OFFSET(quests!$A$1,0,0,COUNTA(quests!$A:$A),MATCH(B$1,quests!$1:$1,0)-MATCH($A$1,quests!$1:$1,0)+1),MATCH(B$1,quests!$1:$1,0)-MATCH($A$1,quests!$1:$1,0)+1,FALSE)</f>
        <v>※欠番</v>
      </c>
      <c r="C290" s="47" t="str">
        <f ca="1">VLOOKUP($A290,OFFSET(quests!$A$1,0,0,COUNTA(quests!$A:$A),MATCH(C$1,quests!$1:$1,0)-MATCH($A$1,quests!$1:$1,0)+1),MATCH(C$1,quests!$1:$1,0)-MATCH($A$1,quests!$1:$1,0)+1,FALSE)</f>
        <v>ソロ限定ゲリラクエスト※欠番</v>
      </c>
      <c r="D290" s="47" t="str">
        <f ca="1">VLOOKUP($A290,OFFSET(quests!$A$1,0,0,COUNTA(quests!$A:$A),MATCH(D$1,quests!$1:$1,0)-MATCH($A$1,quests!$1:$1,0)+1),MATCH(D$1,quests!$1:$1,0)-MATCH($A$1,quests!$1:$1,0)+1,FALSE)</f>
        <v>【超級】ゲリラ※欠番</v>
      </c>
      <c r="E290" s="47" t="e">
        <f ca="1">VLOOKUP($A290,OFFSET(stages!$C$2,0,0,COUNTA(stages!$C:$C),MATCH("stage_target",stages!$2:$2,0)-MATCH($A$1,stages!$2:$2,0)+1),MATCH("stage_target",stages!$2:$2,0)-MATCH($A$1,stages!$2:$2,0)+1,FALSE)</f>
        <v>#N/A</v>
      </c>
      <c r="F290" s="200" t="s">
        <v>1036</v>
      </c>
      <c r="G290" s="22" t="s">
        <v>587</v>
      </c>
      <c r="H290" s="13" t="s">
        <v>53</v>
      </c>
      <c r="I290" s="13">
        <v>32766</v>
      </c>
      <c r="J290" s="12">
        <v>0</v>
      </c>
    </row>
    <row r="291" spans="1:10" ht="21" customHeight="1" x14ac:dyDescent="0.15">
      <c r="A291" s="31">
        <v>11212</v>
      </c>
      <c r="B291" s="47" t="str">
        <f ca="1">VLOOKUP($A291,OFFSET(quests!$A$1,0,0,COUNTA(quests!$A:$A),MATCH(B$1,quests!$1:$1,0)-MATCH($A$1,quests!$1:$1,0)+1),MATCH(B$1,quests!$1:$1,0)-MATCH($A$1,quests!$1:$1,0)+1,FALSE)</f>
        <v>100万DL記念★特別クエスト</v>
      </c>
      <c r="C291" s="47" t="str">
        <f ca="1">VLOOKUP($A291,OFFSET(quests!$A$1,0,0,COUNTA(quests!$A:$A),MATCH(C$1,quests!$1:$1,0)-MATCH($A$1,quests!$1:$1,0)+1),MATCH(C$1,quests!$1:$1,0)-MATCH($A$1,quests!$1:$1,0)+1,FALSE)</f>
        <v>100万DL記念★特別クエスト</v>
      </c>
      <c r="D291" s="47" t="str">
        <f ca="1">VLOOKUP($A291,OFFSET(quests!$A$1,0,0,COUNTA(quests!$A:$A),MATCH(D$1,quests!$1:$1,0)-MATCH($A$1,quests!$1:$1,0)+1),MATCH(D$1,quests!$1:$1,0)-MATCH($A$1,quests!$1:$1,0)+1,FALSE)</f>
        <v>100万DL記念★特別クエスト</v>
      </c>
      <c r="E291" s="47" t="str">
        <f ca="1">VLOOKUP($A291,OFFSET(stages!$C$2,0,0,COUNTA(stages!$C:$C),MATCH("stage_target",stages!$2:$2,0)-MATCH($A$1,stages!$2:$2,0)+1),MATCH("stage_target",stages!$2:$2,0)-MATCH($A$1,stages!$2:$2,0)+1,FALSE)</f>
        <v>singleonly</v>
      </c>
      <c r="F291" s="200" t="s">
        <v>1036</v>
      </c>
      <c r="G291" s="49" t="str">
        <f>"quest"&amp;A291&amp;".png"</f>
        <v>quest11212.png</v>
      </c>
      <c r="H291" s="13" t="s">
        <v>53</v>
      </c>
      <c r="I291" s="13">
        <v>32767</v>
      </c>
      <c r="J291" s="12">
        <v>2</v>
      </c>
    </row>
    <row r="292" spans="1:10" ht="21" customHeight="1" x14ac:dyDescent="0.15">
      <c r="A292" s="31">
        <v>11213</v>
      </c>
      <c r="B292" s="130" t="str">
        <f ca="1">VLOOKUP($A292,OFFSET(quests!$A$1,0,0,COUNTA(quests!$A:$A),MATCH(B$1,quests!$1:$1,0)-MATCH($A$1,quests!$1:$1,0)+1),MATCH(B$1,quests!$1:$1,0)-MATCH($A$1,quests!$1:$1,0)+1,FALSE)</f>
        <v>クエスト名</v>
      </c>
      <c r="C292" s="47" t="str">
        <f ca="1">VLOOKUP($A292,OFFSET(quests!$A$1,0,0,COUNTA(quests!$A:$A),MATCH(C$1,quests!$1:$1,0)-MATCH($A$1,quests!$1:$1,0)+1),MATCH(C$1,quests!$1:$1,0)-MATCH($A$1,quests!$1:$1,0)+1,FALSE)</f>
        <v>ユニット育成クエスト</v>
      </c>
      <c r="D292" s="47" t="str">
        <f ca="1">VLOOKUP($A292,OFFSET(quests!$A$1,0,0,COUNTA(quests!$A:$A),MATCH(D$1,quests!$1:$1,0)-MATCH($A$1,quests!$1:$1,0)+1),MATCH(D$1,quests!$1:$1,0)-MATCH($A$1,quests!$1:$1,0)+1,FALSE)</f>
        <v>【超級】カジノ</v>
      </c>
      <c r="E292" s="47" t="str">
        <f ca="1">VLOOKUP($A292,OFFSET(stages!$C$2,0,0,COUNTA(stages!$C:$C),MATCH("stage_target",stages!$2:$2,0)-MATCH($A$1,stages!$2:$2,0)+1),MATCH("stage_target",stages!$2:$2,0)-MATCH($A$1,stages!$2:$2,0)+1,FALSE)</f>
        <v>everyone</v>
      </c>
      <c r="F292" s="200" t="s">
        <v>1036</v>
      </c>
      <c r="G292" s="49" t="str">
        <f>"quest"&amp;A292&amp;".png"</f>
        <v>quest11213.png</v>
      </c>
      <c r="H292" s="13" t="s">
        <v>53</v>
      </c>
      <c r="I292" s="13">
        <v>32766</v>
      </c>
      <c r="J292" s="12">
        <v>0</v>
      </c>
    </row>
    <row r="293" spans="1:10" ht="21" customHeight="1" x14ac:dyDescent="0.15">
      <c r="A293" s="31">
        <v>11214</v>
      </c>
      <c r="B293" s="130" t="str">
        <f ca="1">VLOOKUP($A293,OFFSET(quests!$A$1,0,0,COUNTA(quests!$A:$A),MATCH(B$1,quests!$1:$1,0)-MATCH($A$1,quests!$1:$1,0)+1),MATCH(B$1,quests!$1:$1,0)-MATCH($A$1,quests!$1:$1,0)+1,FALSE)</f>
        <v>プロメテウスの恋</v>
      </c>
      <c r="C293" s="47" t="str">
        <f ca="1">VLOOKUP($A293,OFFSET(quests!$A$1,0,0,COUNTA(quests!$A:$A),MATCH(C$1,quests!$1:$1,0)-MATCH($A$1,quests!$1:$1,0)+1),MATCH(C$1,quests!$1:$1,0)-MATCH($A$1,quests!$1:$1,0)+1,FALSE)</f>
        <v>クリスマス★特別クエスト</v>
      </c>
      <c r="D293" s="47" t="str">
        <f ca="1">VLOOKUP($A293,OFFSET(quests!$A$1,0,0,COUNTA(quests!$A:$A),MATCH(D$1,quests!$1:$1,0)-MATCH($A$1,quests!$1:$1,0)+1),MATCH(D$1,quests!$1:$1,0)-MATCH($A$1,quests!$1:$1,0)+1,FALSE)</f>
        <v>2015年クリスマスクエスト</v>
      </c>
      <c r="E293" s="47" t="str">
        <f ca="1">VLOOKUP($A293,OFFSET(stages!$C$2,0,0,COUNTA(stages!$C:$C),MATCH("stage_target",stages!$2:$2,0)-MATCH($A$1,stages!$2:$2,0)+1),MATCH("stage_target",stages!$2:$2,0)-MATCH($A$1,stages!$2:$2,0)+1,FALSE)</f>
        <v>singleonly</v>
      </c>
      <c r="F293" s="200" t="s">
        <v>1036</v>
      </c>
      <c r="G293" s="49" t="str">
        <f>"quest"&amp;A293&amp;".png"</f>
        <v>quest11214.png</v>
      </c>
      <c r="H293" s="13" t="s">
        <v>53</v>
      </c>
      <c r="I293" s="13">
        <v>2999</v>
      </c>
      <c r="J293" s="12">
        <v>2</v>
      </c>
    </row>
    <row r="294" spans="1:10" ht="21" customHeight="1" x14ac:dyDescent="0.15">
      <c r="A294" s="31">
        <v>11215</v>
      </c>
      <c r="B294" s="130" t="str">
        <f ca="1">VLOOKUP($A294,OFFSET(quests!$A$1,0,0,COUNTA(quests!$A:$A),MATCH(B$1,quests!$1:$1,0)-MATCH($A$1,quests!$1:$1,0)+1),MATCH(B$1,quests!$1:$1,0)-MATCH($A$1,quests!$1:$1,0)+1,FALSE)</f>
        <v>【マルチ】サンタダックを捕獲せよ！</v>
      </c>
      <c r="C294" s="47" t="str">
        <f ca="1">VLOOKUP($A294,OFFSET(quests!$A$1,0,0,COUNTA(quests!$A:$A),MATCH(C$1,quests!$1:$1,0)-MATCH($A$1,quests!$1:$1,0)+1),MATCH(C$1,quests!$1:$1,0)-MATCH($A$1,quests!$1:$1,0)+1,FALSE)</f>
        <v>クリスマス★特別ゲリラ</v>
      </c>
      <c r="D294" s="47" t="str">
        <f ca="1">VLOOKUP($A294,OFFSET(quests!$A$1,0,0,COUNTA(quests!$A:$A),MATCH(D$1,quests!$1:$1,0)-MATCH($A$1,quests!$1:$1,0)+1),MATCH(D$1,quests!$1:$1,0)-MATCH($A$1,quests!$1:$1,0)+1,FALSE)</f>
        <v>2015年クリスマスゲリラクエスト</v>
      </c>
      <c r="E294" s="47" t="str">
        <f ca="1">VLOOKUP($A294,OFFSET(stages!$C$2,0,0,COUNTA(stages!$C:$C),MATCH("stage_target",stages!$2:$2,0)-MATCH($A$1,stages!$2:$2,0)+1),MATCH("stage_target",stages!$2:$2,0)-MATCH($A$1,stages!$2:$2,0)+1,FALSE)</f>
        <v>multionly</v>
      </c>
      <c r="F294" s="200" t="s">
        <v>1036</v>
      </c>
      <c r="G294" s="49" t="str">
        <f>"quest"&amp;A294&amp;".png"</f>
        <v>quest11215.png</v>
      </c>
      <c r="H294" s="13" t="s">
        <v>53</v>
      </c>
      <c r="I294" s="13">
        <v>9002</v>
      </c>
      <c r="J294" s="12">
        <v>2</v>
      </c>
    </row>
    <row r="295" spans="1:10" ht="21" customHeight="1" x14ac:dyDescent="0.15">
      <c r="A295" s="31">
        <v>11216</v>
      </c>
      <c r="B295" s="130" t="str">
        <f ca="1">VLOOKUP($A295,OFFSET(quests!$A$1,0,0,COUNTA(quests!$A:$A),MATCH(B$1,quests!$1:$1,0)-MATCH($A$1,quests!$1:$1,0)+1),MATCH(B$1,quests!$1:$1,0)-MATCH($A$1,quests!$1:$1,0)+1,FALSE)</f>
        <v>年越し★特別クエスト</v>
      </c>
      <c r="C295" s="47" t="str">
        <f ca="1">VLOOKUP($A295,OFFSET(quests!$A$1,0,0,COUNTA(quests!$A:$A),MATCH(C$1,quests!$1:$1,0)-MATCH($A$1,quests!$1:$1,0)+1),MATCH(C$1,quests!$1:$1,0)-MATCH($A$1,quests!$1:$1,0)+1,FALSE)</f>
        <v>年越し★特別クエスト</v>
      </c>
      <c r="D295" s="47" t="str">
        <f ca="1">VLOOKUP($A295,OFFSET(quests!$A$1,0,0,COUNTA(quests!$A:$A),MATCH(D$1,quests!$1:$1,0)-MATCH($A$1,quests!$1:$1,0)+1),MATCH(D$1,quests!$1:$1,0)-MATCH($A$1,quests!$1:$1,0)+1,FALSE)</f>
        <v>2015年年越しクエスト</v>
      </c>
      <c r="E295" s="47" t="str">
        <f ca="1">VLOOKUP($A295,OFFSET(stages!$C$2,0,0,COUNTA(stages!$C:$C),MATCH("stage_target",stages!$2:$2,0)-MATCH($A$1,stages!$2:$2,0)+1),MATCH("stage_target",stages!$2:$2,0)-MATCH($A$1,stages!$2:$2,0)+1,FALSE)</f>
        <v>multionly</v>
      </c>
      <c r="F295" s="200" t="s">
        <v>1036</v>
      </c>
      <c r="G295" s="49" t="str">
        <f>"quest"&amp;A295&amp;".png"</f>
        <v>quest11216.png</v>
      </c>
      <c r="H295" s="13" t="s">
        <v>53</v>
      </c>
      <c r="I295" s="13">
        <v>32767</v>
      </c>
      <c r="J295" s="12">
        <v>2</v>
      </c>
    </row>
    <row r="296" spans="1:10" ht="21" customHeight="1" x14ac:dyDescent="0.15">
      <c r="A296" s="31">
        <v>11217</v>
      </c>
      <c r="B296" s="130" t="str">
        <f ca="1">VLOOKUP($A296,OFFSET(quests!$A$1,0,0,COUNTA(quests!$A:$A),MATCH(B$1,quests!$1:$1,0)-MATCH($A$1,quests!$1:$1,0)+1),MATCH(B$1,quests!$1:$1,0)-MATCH($A$1,quests!$1:$1,0)+1,FALSE)</f>
        <v>年明け★特別クエスト</v>
      </c>
      <c r="C296" s="47" t="str">
        <f ca="1">VLOOKUP($A296,OFFSET(quests!$A$1,0,0,COUNTA(quests!$A:$A),MATCH(C$1,quests!$1:$1,0)-MATCH($A$1,quests!$1:$1,0)+1),MATCH(C$1,quests!$1:$1,0)-MATCH($A$1,quests!$1:$1,0)+1,FALSE)</f>
        <v>年明け★特別クエスト</v>
      </c>
      <c r="D296" s="47" t="str">
        <f ca="1">VLOOKUP($A296,OFFSET(quests!$A$1,0,0,COUNTA(quests!$A:$A),MATCH(D$1,quests!$1:$1,0)-MATCH($A$1,quests!$1:$1,0)+1),MATCH(D$1,quests!$1:$1,0)-MATCH($A$1,quests!$1:$1,0)+1,FALSE)</f>
        <v>2016年あけおめクエスト</v>
      </c>
      <c r="E296" s="47" t="str">
        <f ca="1">VLOOKUP($A296,OFFSET(stages!$C$2,0,0,COUNTA(stages!$C:$C),MATCH("stage_target",stages!$2:$2,0)-MATCH($A$1,stages!$2:$2,0)+1),MATCH("stage_target",stages!$2:$2,0)-MATCH($A$1,stages!$2:$2,0)+1,FALSE)</f>
        <v>singleonly</v>
      </c>
      <c r="F296" s="200" t="s">
        <v>1036</v>
      </c>
      <c r="G296" s="49" t="str">
        <f t="shared" ref="G296" si="130">"quest"&amp;A296&amp;".png"</f>
        <v>quest11217.png</v>
      </c>
      <c r="H296" s="13" t="s">
        <v>53</v>
      </c>
      <c r="I296" s="13">
        <v>32767</v>
      </c>
      <c r="J296" s="12">
        <v>2</v>
      </c>
    </row>
    <row r="297" spans="1:10" ht="21" customHeight="1" x14ac:dyDescent="0.15">
      <c r="A297" s="31">
        <v>11218</v>
      </c>
      <c r="B297" s="130" t="str">
        <f ca="1">VLOOKUP($A297,OFFSET(quests!$A$1,0,0,COUNTA(quests!$A:$A),MATCH(B$1,quests!$1:$1,0)-MATCH($A$1,quests!$1:$1,0)+1),MATCH(B$1,quests!$1:$1,0)-MATCH($A$1,quests!$1:$1,0)+1,FALSE)</f>
        <v>バレンタイン★特別クエスト</v>
      </c>
      <c r="C297" s="47" t="str">
        <f ca="1">VLOOKUP($A297,OFFSET(quests!$A$1,0,0,COUNTA(quests!$A:$A),MATCH(C$1,quests!$1:$1,0)-MATCH($A$1,quests!$1:$1,0)+1),MATCH(C$1,quests!$1:$1,0)-MATCH($A$1,quests!$1:$1,0)+1,FALSE)</f>
        <v>バレンタイン★特別クエスト</v>
      </c>
      <c r="D297" s="47" t="str">
        <f ca="1">VLOOKUP($A297,OFFSET(quests!$A$1,0,0,COUNTA(quests!$A:$A),MATCH(D$1,quests!$1:$1,0)-MATCH($A$1,quests!$1:$1,0)+1),MATCH(D$1,quests!$1:$1,0)-MATCH($A$1,quests!$1:$1,0)+1,FALSE)</f>
        <v>2016年バレンタインクエスト</v>
      </c>
      <c r="E297" s="47" t="str">
        <f ca="1">VLOOKUP($A297,OFFSET(stages!$C$2,0,0,COUNTA(stages!$C:$C),MATCH("stage_target",stages!$2:$2,0)-MATCH($A$1,stages!$2:$2,0)+1),MATCH("stage_target",stages!$2:$2,0)-MATCH($A$1,stages!$2:$2,0)+1,FALSE)</f>
        <v>singleonly</v>
      </c>
      <c r="F297" s="200" t="s">
        <v>1036</v>
      </c>
      <c r="G297" s="49" t="str">
        <f t="shared" ref="G297" si="131">"quest"&amp;A297&amp;".png"</f>
        <v>quest11218.png</v>
      </c>
      <c r="H297" s="13" t="s">
        <v>53</v>
      </c>
      <c r="I297" s="13">
        <v>32767</v>
      </c>
      <c r="J297" s="12">
        <v>2</v>
      </c>
    </row>
    <row r="298" spans="1:10" ht="21" customHeight="1" x14ac:dyDescent="0.15">
      <c r="A298" s="31">
        <v>11219</v>
      </c>
      <c r="B298" s="47" t="str">
        <f ca="1">VLOOKUP($A298,OFFSET(quests!$A$1,0,0,COUNTA(quests!$A:$A),MATCH(B$1,quests!$1:$1,0)-MATCH($A$1,quests!$1:$1,0)+1),MATCH(B$1,quests!$1:$1,0)-MATCH($A$1,quests!$1:$1,0)+1,FALSE)</f>
        <v>200万DL記念★特別クエスト</v>
      </c>
      <c r="C298" s="47" t="str">
        <f ca="1">VLOOKUP($A298,OFFSET(quests!$A$1,0,0,COUNTA(quests!$A:$A),MATCH(C$1,quests!$1:$1,0)-MATCH($A$1,quests!$1:$1,0)+1),MATCH(C$1,quests!$1:$1,0)-MATCH($A$1,quests!$1:$1,0)+1,FALSE)</f>
        <v>200万DL記念★特別クエスト</v>
      </c>
      <c r="D298" s="47" t="str">
        <f ca="1">VLOOKUP($A298,OFFSET(quests!$A$1,0,0,COUNTA(quests!$A:$A),MATCH(D$1,quests!$1:$1,0)-MATCH($A$1,quests!$1:$1,0)+1),MATCH(D$1,quests!$1:$1,0)-MATCH($A$1,quests!$1:$1,0)+1,FALSE)</f>
        <v>200万DL記念★特別クエスト</v>
      </c>
      <c r="E298" s="47" t="str">
        <f ca="1">VLOOKUP($A298,OFFSET(stages!$C$2,0,0,COUNTA(stages!$C:$C),MATCH("stage_target",stages!$2:$2,0)-MATCH($A$1,stages!$2:$2,0)+1),MATCH("stage_target",stages!$2:$2,0)-MATCH($A$1,stages!$2:$2,0)+1,FALSE)</f>
        <v>singleonly</v>
      </c>
      <c r="F298" s="200" t="s">
        <v>1036</v>
      </c>
      <c r="G298" s="49" t="str">
        <f t="shared" ref="G298:G301" si="132">"quest"&amp;A298&amp;".png"</f>
        <v>quest11219.png</v>
      </c>
      <c r="H298" s="13" t="s">
        <v>53</v>
      </c>
      <c r="I298" s="13">
        <v>32767</v>
      </c>
      <c r="J298" s="12">
        <v>2</v>
      </c>
    </row>
    <row r="299" spans="1:10" ht="22" customHeight="1" x14ac:dyDescent="0.15">
      <c r="A299" s="31">
        <v>11220</v>
      </c>
      <c r="B299" s="47" t="str">
        <f ca="1">VLOOKUP($A299,OFFSET(quests!$A$1,0,0,COUNTA(quests!$A:$A),MATCH(B$1,quests!$1:$1,0)-MATCH($A$1,quests!$1:$1,0)+1),MATCH(B$1,quests!$1:$1,0)-MATCH($A$1,quests!$1:$1,0)+1,FALSE)</f>
        <v>ホワイトデー★特別クエスト</v>
      </c>
      <c r="C299" s="47" t="str">
        <f ca="1">VLOOKUP($A299,OFFSET(quests!$A$1,0,0,COUNTA(quests!$A:$A),MATCH(C$1,quests!$1:$1,0)-MATCH($A$1,quests!$1:$1,0)+1),MATCH(C$1,quests!$1:$1,0)-MATCH($A$1,quests!$1:$1,0)+1,FALSE)</f>
        <v>ホワイトデー★特別クエスト</v>
      </c>
      <c r="D299" s="47" t="str">
        <f ca="1">VLOOKUP($A299,OFFSET(quests!$A$1,0,0,COUNTA(quests!$A:$A),MATCH(D$1,quests!$1:$1,0)-MATCH($A$1,quests!$1:$1,0)+1),MATCH(D$1,quests!$1:$1,0)-MATCH($A$1,quests!$1:$1,0)+1,FALSE)</f>
        <v>2016年ホワイトデークエスト</v>
      </c>
      <c r="E299" s="47" t="str">
        <f ca="1">VLOOKUP($A299,OFFSET(stages!$C$2,0,0,COUNTA(stages!$C:$C),MATCH("stage_target",stages!$2:$2,0)-MATCH($A$1,stages!$2:$2,0)+1),MATCH("stage_target",stages!$2:$2,0)-MATCH($A$1,stages!$2:$2,0)+1,FALSE)</f>
        <v>singleonly</v>
      </c>
      <c r="F299" s="200" t="s">
        <v>1036</v>
      </c>
      <c r="G299" s="49" t="str">
        <f t="shared" si="132"/>
        <v>quest11220.png</v>
      </c>
      <c r="H299" s="13" t="s">
        <v>53</v>
      </c>
      <c r="I299" s="13">
        <v>32767</v>
      </c>
      <c r="J299" s="12">
        <v>2</v>
      </c>
    </row>
    <row r="300" spans="1:10" ht="21" customHeight="1" x14ac:dyDescent="0.15">
      <c r="A300" s="31">
        <v>11221</v>
      </c>
      <c r="B300" s="47" t="str">
        <f ca="1">VLOOKUP($A300,OFFSET(quests!$A$1,0,0,COUNTA(quests!$A:$A),MATCH(B$1,quests!$1:$1,0)-MATCH($A$1,quests!$1:$1,0)+1),MATCH(B$1,quests!$1:$1,0)-MATCH($A$1,quests!$1:$1,0)+1,FALSE)</f>
        <v>新生活★応援クエスト</v>
      </c>
      <c r="C300" s="47" t="str">
        <f ca="1">VLOOKUP($A300,OFFSET(quests!$A$1,0,0,COUNTA(quests!$A:$A),MATCH(C$1,quests!$1:$1,0)-MATCH($A$1,quests!$1:$1,0)+1),MATCH(C$1,quests!$1:$1,0)-MATCH($A$1,quests!$1:$1,0)+1,FALSE)</f>
        <v>新生活★応援クエスト</v>
      </c>
      <c r="D300" s="47" t="str">
        <f ca="1">VLOOKUP($A300,OFFSET(quests!$A$1,0,0,COUNTA(quests!$A:$A),MATCH(D$1,quests!$1:$1,0)-MATCH($A$1,quests!$1:$1,0)+1),MATCH(D$1,quests!$1:$1,0)-MATCH($A$1,quests!$1:$1,0)+1,FALSE)</f>
        <v>2016年卒業クエスト</v>
      </c>
      <c r="E300" s="47" t="str">
        <f ca="1">VLOOKUP($A300,OFFSET(stages!$C$2,0,0,COUNTA(stages!$C:$C),MATCH("stage_target",stages!$2:$2,0)-MATCH($A$1,stages!$2:$2,0)+1),MATCH("stage_target",stages!$2:$2,0)-MATCH($A$1,stages!$2:$2,0)+1,FALSE)</f>
        <v>singleonly</v>
      </c>
      <c r="F300" s="200" t="s">
        <v>1036</v>
      </c>
      <c r="G300" s="49" t="str">
        <f t="shared" si="132"/>
        <v>quest11221.png</v>
      </c>
      <c r="H300" s="13" t="s">
        <v>53</v>
      </c>
      <c r="I300" s="13">
        <v>32767</v>
      </c>
      <c r="J300" s="12">
        <v>2</v>
      </c>
    </row>
    <row r="301" spans="1:10" ht="21" customHeight="1" x14ac:dyDescent="0.15">
      <c r="A301" s="206">
        <v>11224</v>
      </c>
      <c r="B301" s="47" t="str">
        <f ca="1">VLOOKUP($A301,OFFSET(quests!$A$1,0,0,COUNTA(quests!$A:$A),MATCH(B$1,quests!$1:$1,0)-MATCH($A$1,quests!$1:$1,0)+1),MATCH(B$1,quests!$1:$1,0)-MATCH($A$1,quests!$1:$1,0)+1,FALSE)</f>
        <v>TVCM放送記念★特別クエスト</v>
      </c>
      <c r="C301" s="47" t="str">
        <f ca="1">VLOOKUP($A301,OFFSET(quests!$A$1,0,0,COUNTA(quests!$A:$A),MATCH(C$1,quests!$1:$1,0)-MATCH($A$1,quests!$1:$1,0)+1),MATCH(C$1,quests!$1:$1,0)-MATCH($A$1,quests!$1:$1,0)+1,FALSE)</f>
        <v>TVCM放送記念★特別クエスト</v>
      </c>
      <c r="D301" s="47" t="str">
        <f ca="1">VLOOKUP($A301,OFFSET(quests!$A$1,0,0,COUNTA(quests!$A:$A),MATCH(D$1,quests!$1:$1,0)-MATCH($A$1,quests!$1:$1,0)+1),MATCH(D$1,quests!$1:$1,0)-MATCH($A$1,quests!$1:$1,0)+1,FALSE)</f>
        <v>TVCM放送記念★特別クエスト</v>
      </c>
      <c r="E301" s="47" t="str">
        <f ca="1">VLOOKUP($A301,OFFSET(stages!$C$2,0,0,COUNTA(stages!$C:$C),MATCH("stage_target",stages!$2:$2,0)-MATCH($A$1,stages!$2:$2,0)+1),MATCH("stage_target",stages!$2:$2,0)-MATCH($A$1,stages!$2:$2,0)+1,FALSE)</f>
        <v>singleonly</v>
      </c>
      <c r="F301" s="200" t="s">
        <v>1036</v>
      </c>
      <c r="G301" s="49" t="str">
        <f t="shared" si="132"/>
        <v>quest11224.png</v>
      </c>
      <c r="H301" s="13" t="s">
        <v>53</v>
      </c>
      <c r="I301" s="13">
        <v>32767</v>
      </c>
      <c r="J301" s="12">
        <v>2</v>
      </c>
    </row>
    <row r="302" spans="1:10" ht="21" customHeight="1" x14ac:dyDescent="0.15">
      <c r="A302" s="206">
        <v>11225</v>
      </c>
      <c r="B302" s="47" t="str">
        <f ca="1">VLOOKUP($A302,OFFSET(quests!$A$1,0,0,COUNTA(quests!$A:$A),MATCH(B$1,quests!$1:$1,0)-MATCH($A$1,quests!$1:$1,0)+1),MATCH(B$1,quests!$1:$1,0)-MATCH($A$1,quests!$1:$1,0)+1,FALSE)</f>
        <v>400万DL記念★特別クエスト</v>
      </c>
      <c r="C302" s="47" t="str">
        <f ca="1">VLOOKUP($A302,OFFSET(quests!$A$1,0,0,COUNTA(quests!$A:$A),MATCH(C$1,quests!$1:$1,0)-MATCH($A$1,quests!$1:$1,0)+1),MATCH(C$1,quests!$1:$1,0)-MATCH($A$1,quests!$1:$1,0)+1,FALSE)</f>
        <v>400万DL記念★特別クエスト</v>
      </c>
      <c r="D302" s="47" t="str">
        <f ca="1">VLOOKUP($A302,OFFSET(quests!$A$1,0,0,COUNTA(quests!$A:$A),MATCH(D$1,quests!$1:$1,0)-MATCH($A$1,quests!$1:$1,0)+1),MATCH(D$1,quests!$1:$1,0)-MATCH($A$1,quests!$1:$1,0)+1,FALSE)</f>
        <v>400万DL記念★特別クエスト</v>
      </c>
      <c r="E302" s="47" t="str">
        <f ca="1">VLOOKUP($A302,OFFSET(stages!$C$2,0,0,COUNTA(stages!$C:$C),MATCH("stage_target",stages!$2:$2,0)-MATCH($A$1,stages!$2:$2,0)+1),MATCH("stage_target",stages!$2:$2,0)-MATCH($A$1,stages!$2:$2,0)+1,FALSE)</f>
        <v>singleonly</v>
      </c>
      <c r="F302" s="200" t="s">
        <v>1022</v>
      </c>
      <c r="G302" s="49" t="str">
        <f>"quest"&amp;A302&amp;".png"</f>
        <v>quest11225.png</v>
      </c>
      <c r="H302" s="13" t="s">
        <v>53</v>
      </c>
      <c r="I302" s="13">
        <v>32767</v>
      </c>
      <c r="J302" s="12">
        <v>2</v>
      </c>
    </row>
    <row r="303" spans="1:10" ht="21" customHeight="1" x14ac:dyDescent="0.15">
      <c r="A303" s="206">
        <v>11226</v>
      </c>
      <c r="B303" s="47" t="str">
        <f ca="1">VLOOKUP($A303,OFFSET(quests!$A$1,0,0,COUNTA(quests!$A:$A),MATCH(B$1,quests!$1:$1,0)-MATCH($A$1,quests!$1:$1,0)+1),MATCH(B$1,quests!$1:$1,0)-MATCH($A$1,quests!$1:$1,0)+1,FALSE)</f>
        <v>1周年記念★特別クエスト</v>
      </c>
      <c r="C303" s="47" t="str">
        <f ca="1">VLOOKUP($A303,OFFSET(quests!$A$1,0,0,COUNTA(quests!$A:$A),MATCH(C$1,quests!$1:$1,0)-MATCH($A$1,quests!$1:$1,0)+1),MATCH(C$1,quests!$1:$1,0)-MATCH($A$1,quests!$1:$1,0)+1,FALSE)</f>
        <v>1周年記念★特別クエスト</v>
      </c>
      <c r="D303" s="47" t="str">
        <f ca="1">VLOOKUP($A303,OFFSET(quests!$A$1,0,0,COUNTA(quests!$A:$A),MATCH(D$1,quests!$1:$1,0)-MATCH($A$1,quests!$1:$1,0)+1),MATCH(D$1,quests!$1:$1,0)-MATCH($A$1,quests!$1:$1,0)+1,FALSE)</f>
        <v>1周年記念★特別クエスト</v>
      </c>
      <c r="E303" s="47" t="str">
        <f ca="1">VLOOKUP($A303,OFFSET(stages!$C$2,0,0,COUNTA(stages!$C:$C),MATCH("stage_target",stages!$2:$2,0)-MATCH($A$1,stages!$2:$2,0)+1),MATCH("stage_target",stages!$2:$2,0)-MATCH($A$1,stages!$2:$2,0)+1,FALSE)</f>
        <v>singleonly</v>
      </c>
      <c r="F303" s="200" t="s">
        <v>382</v>
      </c>
      <c r="G303" s="49" t="str">
        <f>"quest"&amp;A303&amp;"_2.png"</f>
        <v>quest11226_2.png</v>
      </c>
      <c r="H303" s="118" t="s">
        <v>1153</v>
      </c>
      <c r="I303" s="13">
        <v>32767</v>
      </c>
      <c r="J303" s="12">
        <v>2</v>
      </c>
    </row>
    <row r="304" spans="1:10" ht="21" customHeight="1" x14ac:dyDescent="0.15">
      <c r="A304" s="206">
        <v>11227</v>
      </c>
      <c r="B304" s="47" t="str">
        <f ca="1">VLOOKUP($A304,OFFSET(quests!$A$1,0,0,COUNTA(quests!$A:$A),MATCH(B$1,quests!$1:$1,0)-MATCH($A$1,quests!$1:$1,0)+1),MATCH(B$1,quests!$1:$1,0)-MATCH($A$1,quests!$1:$1,0)+1,FALSE)</f>
        <v>TVCM第2弾放送記念★特別クエスト</v>
      </c>
      <c r="C304" s="47" t="str">
        <f ca="1">VLOOKUP($A304,OFFSET(quests!$A$1,0,0,COUNTA(quests!$A:$A),MATCH(C$1,quests!$1:$1,0)-MATCH($A$1,quests!$1:$1,0)+1),MATCH(C$1,quests!$1:$1,0)-MATCH($A$1,quests!$1:$1,0)+1,FALSE)</f>
        <v>TVCM第2弾放送記念★特別クエスト</v>
      </c>
      <c r="D304" s="47" t="str">
        <f ca="1">VLOOKUP($A304,OFFSET(quests!$A$1,0,0,COUNTA(quests!$A:$A),MATCH(D$1,quests!$1:$1,0)-MATCH($A$1,quests!$1:$1,0)+1),MATCH(D$1,quests!$1:$1,0)-MATCH($A$1,quests!$1:$1,0)+1,FALSE)</f>
        <v>TVCM第2弾放送記念★特別クエスト</v>
      </c>
      <c r="E304" s="47" t="str">
        <f ca="1">VLOOKUP($A304,OFFSET(stages!$C$2,0,0,COUNTA(stages!$C:$C),MATCH("stage_target",stages!$2:$2,0)-MATCH($A$1,stages!$2:$2,0)+1),MATCH("stage_target",stages!$2:$2,0)-MATCH($A$1,stages!$2:$2,0)+1,FALSE)</f>
        <v>singleonly</v>
      </c>
      <c r="F304" s="200" t="s">
        <v>1036</v>
      </c>
      <c r="G304" s="49" t="str">
        <f t="shared" ref="G304" si="133">"quest"&amp;A304&amp;".png"</f>
        <v>quest11227.png</v>
      </c>
      <c r="H304" s="13" t="s">
        <v>53</v>
      </c>
      <c r="I304" s="13">
        <v>32767</v>
      </c>
      <c r="J304" s="12">
        <v>2</v>
      </c>
    </row>
    <row r="305" spans="1:10" ht="21" customHeight="1" x14ac:dyDescent="0.15">
      <c r="A305" s="206">
        <v>11228</v>
      </c>
      <c r="B305" s="47" t="str">
        <f ca="1">VLOOKUP($A305,OFFSET(quests!$A$1,0,0,COUNTA(quests!$A:$A),MATCH(B$1,quests!$1:$1,0)-MATCH($A$1,quests!$1:$1,0)+1),MATCH(B$1,quests!$1:$1,0)-MATCH($A$1,quests!$1:$1,0)+1,FALSE)</f>
        <v>バレンタイン★特別クエスト</v>
      </c>
      <c r="C305" s="47" t="str">
        <f ca="1">VLOOKUP($A305,OFFSET(quests!$A$1,0,0,COUNTA(quests!$A:$A),MATCH(C$1,quests!$1:$1,0)-MATCH($A$1,quests!$1:$1,0)+1),MATCH(C$1,quests!$1:$1,0)-MATCH($A$1,quests!$1:$1,0)+1,FALSE)</f>
        <v>バレンタイン★特別クエスト</v>
      </c>
      <c r="D305" s="47" t="str">
        <f ca="1">VLOOKUP($A305,OFFSET(quests!$A$1,0,0,COUNTA(quests!$A:$A),MATCH(D$1,quests!$1:$1,0)-MATCH($A$1,quests!$1:$1,0)+1),MATCH(D$1,quests!$1:$1,0)-MATCH($A$1,quests!$1:$1,0)+1,FALSE)</f>
        <v>2016年バレンタインクエスト復刻</v>
      </c>
      <c r="E305" s="47" t="str">
        <f ca="1">VLOOKUP($A305,OFFSET(stages!$C$2,0,0,COUNTA(stages!$C:$C),MATCH("stage_target",stages!$2:$2,0)-MATCH($A$1,stages!$2:$2,0)+1),MATCH("stage_target",stages!$2:$2,0)-MATCH($A$1,stages!$2:$2,0)+1,FALSE)</f>
        <v>singleonly</v>
      </c>
      <c r="F305" s="200" t="s">
        <v>1036</v>
      </c>
      <c r="G305" s="118" t="s">
        <v>2077</v>
      </c>
      <c r="H305" s="13" t="s">
        <v>53</v>
      </c>
      <c r="I305" s="13">
        <v>32767</v>
      </c>
      <c r="J305" s="12">
        <v>2</v>
      </c>
    </row>
    <row r="306" spans="1:10" ht="22" customHeight="1" x14ac:dyDescent="0.15">
      <c r="A306" s="31">
        <v>11229</v>
      </c>
      <c r="B306" s="47" t="str">
        <f ca="1">VLOOKUP($A306,OFFSET(quests!$A$1,0,0,COUNTA(quests!$A:$A),MATCH(B$1,quests!$1:$1,0)-MATCH($A$1,quests!$1:$1,0)+1),MATCH(B$1,quests!$1:$1,0)-MATCH($A$1,quests!$1:$1,0)+1,FALSE)</f>
        <v>ホワイトデー★特別クエスト</v>
      </c>
      <c r="C306" s="47" t="str">
        <f ca="1">VLOOKUP($A306,OFFSET(quests!$A$1,0,0,COUNTA(quests!$A:$A),MATCH(C$1,quests!$1:$1,0)-MATCH($A$1,quests!$1:$1,0)+1),MATCH(C$1,quests!$1:$1,0)-MATCH($A$1,quests!$1:$1,0)+1,FALSE)</f>
        <v>ホワイトデー★特別クエスト</v>
      </c>
      <c r="D306" s="47" t="str">
        <f ca="1">VLOOKUP($A306,OFFSET(quests!$A$1,0,0,COUNTA(quests!$A:$A),MATCH(D$1,quests!$1:$1,0)-MATCH($A$1,quests!$1:$1,0)+1),MATCH(D$1,quests!$1:$1,0)-MATCH($A$1,quests!$1:$1,0)+1,FALSE)</f>
        <v>2016年ホワイトデークエスト復刻</v>
      </c>
      <c r="E306" s="47" t="str">
        <f ca="1">VLOOKUP($A306,OFFSET(stages!$C$2,0,0,COUNTA(stages!$C:$C),MATCH("stage_target",stages!$2:$2,0)-MATCH($A$1,stages!$2:$2,0)+1),MATCH("stage_target",stages!$2:$2,0)-MATCH($A$1,stages!$2:$2,0)+1,FALSE)</f>
        <v>singleonly</v>
      </c>
      <c r="F306" s="200" t="s">
        <v>1036</v>
      </c>
      <c r="G306" s="118" t="s">
        <v>2099</v>
      </c>
      <c r="H306" s="13" t="s">
        <v>53</v>
      </c>
      <c r="I306" s="13">
        <v>32767</v>
      </c>
      <c r="J306" s="12">
        <v>2</v>
      </c>
    </row>
    <row r="307" spans="1:10" ht="22" customHeight="1" x14ac:dyDescent="0.15">
      <c r="A307" s="31">
        <v>11230</v>
      </c>
      <c r="B307" s="47" t="str">
        <f ca="1">VLOOKUP($A307,OFFSET(quests!$A$1,0,0,COUNTA(quests!$A:$A),MATCH(B$1,quests!$1:$1,0)-MATCH($A$1,quests!$1:$1,0)+1),MATCH(B$1,quests!$1:$1,0)-MATCH($A$1,quests!$1:$1,0)+1,FALSE)</f>
        <v>未知のウィルス大捜査！</v>
      </c>
      <c r="C307" s="47" t="str">
        <f ca="1">VLOOKUP($A307,OFFSET(quests!$A$1,0,0,COUNTA(quests!$A:$A),MATCH(C$1,quests!$1:$1,0)-MATCH($A$1,quests!$1:$1,0)+1),MATCH(C$1,quests!$1:$1,0)-MATCH($A$1,quests!$1:$1,0)+1,FALSE)</f>
        <v>24時間限定</v>
      </c>
      <c r="D307" s="47" t="str">
        <f ca="1">VLOOKUP($A307,OFFSET(quests!$A$1,0,0,COUNTA(quests!$A:$A),MATCH(D$1,quests!$1:$1,0)-MATCH($A$1,quests!$1:$1,0)+1),MATCH(D$1,quests!$1:$1,0)-MATCH($A$1,quests!$1:$1,0)+1,FALSE)</f>
        <v>2017年エイプリルフールクエスト</v>
      </c>
      <c r="E307" s="47" t="str">
        <f ca="1">VLOOKUP($A307,OFFSET(stages!$C$2,0,0,COUNTA(stages!$C:$C),MATCH("stage_target",stages!$2:$2,0)-MATCH($A$1,stages!$2:$2,0)+1),MATCH("stage_target",stages!$2:$2,0)-MATCH($A$1,stages!$2:$2,0)+1,FALSE)</f>
        <v>singleonly</v>
      </c>
      <c r="F307" s="200" t="s">
        <v>382</v>
      </c>
      <c r="G307" s="118" t="s">
        <v>2149</v>
      </c>
      <c r="H307" s="13" t="s">
        <v>53</v>
      </c>
      <c r="I307" s="13">
        <v>32767</v>
      </c>
      <c r="J307" s="12">
        <v>2</v>
      </c>
    </row>
    <row r="308" spans="1:10" ht="22" customHeight="1" x14ac:dyDescent="0.15">
      <c r="A308" s="31">
        <v>11231</v>
      </c>
      <c r="B308" s="47" t="str">
        <f ca="1">VLOOKUP($A308,OFFSET(quests!$A$1,0,0,COUNTA(quests!$A:$A),MATCH(B$1,quests!$1:$1,0)-MATCH($A$1,quests!$1:$1,0)+1),MATCH(B$1,quests!$1:$1,0)-MATCH($A$1,quests!$1:$1,0)+1,FALSE)</f>
        <v>桜姫の招待状</v>
      </c>
      <c r="C308" s="47" t="str">
        <f ca="1">VLOOKUP($A308,OFFSET(quests!$A$1,0,0,COUNTA(quests!$A:$A),MATCH(C$1,quests!$1:$1,0)-MATCH($A$1,quests!$1:$1,0)+1),MATCH(C$1,quests!$1:$1,0)-MATCH($A$1,quests!$1:$1,0)+1,FALSE)</f>
        <v>お花見★特別クエスト</v>
      </c>
      <c r="D308" s="47" t="str">
        <f ca="1">VLOOKUP($A308,OFFSET(quests!$A$1,0,0,COUNTA(quests!$A:$A),MATCH(D$1,quests!$1:$1,0)-MATCH($A$1,quests!$1:$1,0)+1),MATCH(D$1,quests!$1:$1,0)-MATCH($A$1,quests!$1:$1,0)+1,FALSE)</f>
        <v>2017年お花見ストーリークエスト</v>
      </c>
      <c r="E308" s="47" t="str">
        <f ca="1">VLOOKUP($A308,OFFSET(stages!$C$2,0,0,COUNTA(stages!$C:$C),MATCH("stage_target",stages!$2:$2,0)-MATCH($A$1,stages!$2:$2,0)+1),MATCH("stage_target",stages!$2:$2,0)-MATCH($A$1,stages!$2:$2,0)+1,FALSE)</f>
        <v>singleonly</v>
      </c>
      <c r="F308" s="200" t="s">
        <v>382</v>
      </c>
      <c r="G308" s="118" t="s">
        <v>2207</v>
      </c>
      <c r="H308" s="13" t="s">
        <v>53</v>
      </c>
      <c r="I308" s="13">
        <v>32767</v>
      </c>
      <c r="J308" s="12">
        <v>2</v>
      </c>
    </row>
    <row r="309" spans="1:10" ht="21" customHeight="1" x14ac:dyDescent="0.15">
      <c r="A309" s="31">
        <v>14001</v>
      </c>
      <c r="B309" s="130" t="str">
        <f ca="1">VLOOKUP($A309,OFFSET(quests!$A$1,0,0,COUNTA(quests!$A:$A),MATCH(B$1,quests!$1:$1,0)-MATCH($A$1,quests!$1:$1,0)+1),MATCH(B$1,quests!$1:$1,0)-MATCH($A$1,quests!$1:$1,0)+1,FALSE)</f>
        <v>【ロック】経験値/ソロ</v>
      </c>
      <c r="C309" s="47" t="str">
        <f ca="1">VLOOKUP($A309,OFFSET(quests!$A$1,0,0,COUNTA(quests!$A:$A),MATCH(C$1,quests!$1:$1,0)-MATCH($A$1,quests!$1:$1,0)+1),MATCH(C$1,quests!$1:$1,0)-MATCH($A$1,quests!$1:$1,0)+1,FALSE)</f>
        <v>【ロック】経験値/ソロ</v>
      </c>
      <c r="D309" s="47" t="str">
        <f ca="1">VLOOKUP($A309,OFFSET(quests!$A$1,0,0,COUNTA(quests!$A:$A),MATCH(D$1,quests!$1:$1,0)-MATCH($A$1,quests!$1:$1,0)+1),MATCH(D$1,quests!$1:$1,0)-MATCH($A$1,quests!$1:$1,0)+1,FALSE)</f>
        <v>【ロック】経験値/ソロ</v>
      </c>
      <c r="E309" s="47" t="str">
        <f ca="1">VLOOKUP($A309,OFFSET(stages!$C$2,0,0,COUNTA(stages!$C:$C),MATCH("stage_target",stages!$2:$2,0)-MATCH($A$1,stages!$2:$2,0)+1),MATCH("stage_target",stages!$2:$2,0)-MATCH($A$1,stages!$2:$2,0)+1,FALSE)</f>
        <v>singleonly</v>
      </c>
      <c r="F309" s="200" t="s">
        <v>1036</v>
      </c>
      <c r="G309" s="49" t="str">
        <f t="shared" ref="G309" si="134">"quest"&amp;A309&amp;".png"</f>
        <v>quest14001.png</v>
      </c>
      <c r="H309" s="13" t="s">
        <v>53</v>
      </c>
      <c r="I309" s="13">
        <v>6</v>
      </c>
      <c r="J309" s="12">
        <v>0</v>
      </c>
    </row>
    <row r="310" spans="1:10" ht="21" customHeight="1" x14ac:dyDescent="0.15">
      <c r="A310" s="31">
        <v>14004</v>
      </c>
      <c r="B310" s="130" t="str">
        <f ca="1">VLOOKUP($A310,OFFSET(quests!$A$1,0,0,COUNTA(quests!$A:$A),MATCH(B$1,quests!$1:$1,0)-MATCH($A$1,quests!$1:$1,0)+1),MATCH(B$1,quests!$1:$1,0)-MATCH($A$1,quests!$1:$1,0)+1,FALSE)</f>
        <v>【ロック】経験値/LINEマルチ</v>
      </c>
      <c r="C310" s="47" t="str">
        <f ca="1">VLOOKUP($A310,OFFSET(quests!$A$1,0,0,COUNTA(quests!$A:$A),MATCH(C$1,quests!$1:$1,0)-MATCH($A$1,quests!$1:$1,0)+1),MATCH(C$1,quests!$1:$1,0)-MATCH($A$1,quests!$1:$1,0)+1,FALSE)</f>
        <v>【ロック】経験値/LINEマルチ</v>
      </c>
      <c r="D310" s="47" t="str">
        <f ca="1">VLOOKUP($A310,OFFSET(quests!$A$1,0,0,COUNTA(quests!$A:$A),MATCH(D$1,quests!$1:$1,0)-MATCH($A$1,quests!$1:$1,0)+1),MATCH(D$1,quests!$1:$1,0)-MATCH($A$1,quests!$1:$1,0)+1,FALSE)</f>
        <v>【ロック】経験値/LINEマルチ</v>
      </c>
      <c r="E310" s="47" t="str">
        <f ca="1">VLOOKUP($A310,OFFSET(stages!$C$2,0,0,COUNTA(stages!$C:$C),MATCH("stage_target",stages!$2:$2,0)-MATCH($A$1,stages!$2:$2,0)+1),MATCH("stage_target",stages!$2:$2,0)-MATCH($A$1,stages!$2:$2,0)+1,FALSE)</f>
        <v>lineonly</v>
      </c>
      <c r="F310" s="200" t="s">
        <v>1036</v>
      </c>
      <c r="G310" s="49" t="str">
        <f>"quest"&amp;A310&amp;".png"</f>
        <v>quest14004.png</v>
      </c>
      <c r="H310" s="13" t="s">
        <v>53</v>
      </c>
      <c r="I310" s="13">
        <v>3</v>
      </c>
      <c r="J310" s="12">
        <v>0</v>
      </c>
    </row>
    <row r="311" spans="1:10" ht="21" customHeight="1" x14ac:dyDescent="0.15">
      <c r="A311" s="31">
        <v>14002</v>
      </c>
      <c r="B311" s="130" t="str">
        <f ca="1">VLOOKUP($A311,OFFSET(quests!$A$1,0,0,COUNTA(quests!$A:$A),MATCH(B$1,quests!$1:$1,0)-MATCH($A$1,quests!$1:$1,0)+1),MATCH(B$1,quests!$1:$1,0)-MATCH($A$1,quests!$1:$1,0)+1,FALSE)</f>
        <v>【ロック】ビット/ソロ</v>
      </c>
      <c r="C311" s="47" t="str">
        <f ca="1">VLOOKUP($A311,OFFSET(quests!$A$1,0,0,COUNTA(quests!$A:$A),MATCH(C$1,quests!$1:$1,0)-MATCH($A$1,quests!$1:$1,0)+1),MATCH(C$1,quests!$1:$1,0)-MATCH($A$1,quests!$1:$1,0)+1,FALSE)</f>
        <v>【ロック】ビット/ソロ</v>
      </c>
      <c r="D311" s="47" t="str">
        <f ca="1">VLOOKUP($A311,OFFSET(quests!$A$1,0,0,COUNTA(quests!$A:$A),MATCH(D$1,quests!$1:$1,0)-MATCH($A$1,quests!$1:$1,0)+1),MATCH(D$1,quests!$1:$1,0)-MATCH($A$1,quests!$1:$1,0)+1,FALSE)</f>
        <v>【ロック】ビット/ソロ</v>
      </c>
      <c r="E311" s="47" t="str">
        <f ca="1">VLOOKUP($A311,OFFSET(stages!$C$2,0,0,COUNTA(stages!$C:$C),MATCH("stage_target",stages!$2:$2,0)-MATCH($A$1,stages!$2:$2,0)+1),MATCH("stage_target",stages!$2:$2,0)-MATCH($A$1,stages!$2:$2,0)+1,FALSE)</f>
        <v>singleonly</v>
      </c>
      <c r="F311" s="200" t="s">
        <v>1036</v>
      </c>
      <c r="G311" s="49" t="str">
        <f t="shared" ref="G311:G313" si="135">"quest"&amp;A311&amp;".png"</f>
        <v>quest14002.png</v>
      </c>
      <c r="H311" s="13" t="s">
        <v>53</v>
      </c>
      <c r="I311" s="13">
        <v>5</v>
      </c>
      <c r="J311" s="12">
        <v>0</v>
      </c>
    </row>
    <row r="312" spans="1:10" ht="21" customHeight="1" x14ac:dyDescent="0.15">
      <c r="A312" s="31">
        <v>14005</v>
      </c>
      <c r="B312" s="130" t="str">
        <f ca="1">VLOOKUP($A312,OFFSET(quests!$A$1,0,0,COUNTA(quests!$A:$A),MATCH(B$1,quests!$1:$1,0)-MATCH($A$1,quests!$1:$1,0)+1),MATCH(B$1,quests!$1:$1,0)-MATCH($A$1,quests!$1:$1,0)+1,FALSE)</f>
        <v>【ロック】ビット/LINEマルチ</v>
      </c>
      <c r="C312" s="47" t="str">
        <f ca="1">VLOOKUP($A312,OFFSET(quests!$A$1,0,0,COUNTA(quests!$A:$A),MATCH(C$1,quests!$1:$1,0)-MATCH($A$1,quests!$1:$1,0)+1),MATCH(C$1,quests!$1:$1,0)-MATCH($A$1,quests!$1:$1,0)+1,FALSE)</f>
        <v>【ロック】ビット/LINEマルチ</v>
      </c>
      <c r="D312" s="47" t="str">
        <f ca="1">VLOOKUP($A312,OFFSET(quests!$A$1,0,0,COUNTA(quests!$A:$A),MATCH(D$1,quests!$1:$1,0)-MATCH($A$1,quests!$1:$1,0)+1),MATCH(D$1,quests!$1:$1,0)-MATCH($A$1,quests!$1:$1,0)+1,FALSE)</f>
        <v>【ロック】ビット/LINEマルチ</v>
      </c>
      <c r="E312" s="47" t="str">
        <f ca="1">VLOOKUP($A312,OFFSET(stages!$C$2,0,0,COUNTA(stages!$C:$C),MATCH("stage_target",stages!$2:$2,0)-MATCH($A$1,stages!$2:$2,0)+1),MATCH("stage_target",stages!$2:$2,0)-MATCH($A$1,stages!$2:$2,0)+1,FALSE)</f>
        <v>lineonly</v>
      </c>
      <c r="F312" s="200" t="s">
        <v>1036</v>
      </c>
      <c r="G312" s="49" t="str">
        <f t="shared" ref="G312" si="136">"quest"&amp;A312&amp;".png"</f>
        <v>quest14005.png</v>
      </c>
      <c r="H312" s="13" t="s">
        <v>53</v>
      </c>
      <c r="I312" s="13">
        <v>2</v>
      </c>
      <c r="J312" s="12">
        <v>0</v>
      </c>
    </row>
    <row r="313" spans="1:10" ht="21" customHeight="1" x14ac:dyDescent="0.15">
      <c r="A313" s="31">
        <v>14003</v>
      </c>
      <c r="B313" s="130" t="str">
        <f ca="1">VLOOKUP($A313,OFFSET(quests!$A$1,0,0,COUNTA(quests!$A:$A),MATCH(B$1,quests!$1:$1,0)-MATCH($A$1,quests!$1:$1,0)+1),MATCH(B$1,quests!$1:$1,0)-MATCH($A$1,quests!$1:$1,0)+1,FALSE)</f>
        <v>【ロック】限界突破/ソロ</v>
      </c>
      <c r="C313" s="47" t="str">
        <f ca="1">VLOOKUP($A313,OFFSET(quests!$A$1,0,0,COUNTA(quests!$A:$A),MATCH(C$1,quests!$1:$1,0)-MATCH($A$1,quests!$1:$1,0)+1),MATCH(C$1,quests!$1:$1,0)-MATCH($A$1,quests!$1:$1,0)+1,FALSE)</f>
        <v>【ロック】限界突破/ソロ</v>
      </c>
      <c r="D313" s="47" t="str">
        <f ca="1">VLOOKUP($A313,OFFSET(quests!$A$1,0,0,COUNTA(quests!$A:$A),MATCH(D$1,quests!$1:$1,0)-MATCH($A$1,quests!$1:$1,0)+1),MATCH(D$1,quests!$1:$1,0)-MATCH($A$1,quests!$1:$1,0)+1,FALSE)</f>
        <v>【ロック】限界突破/ソロ</v>
      </c>
      <c r="E313" s="47" t="str">
        <f ca="1">VLOOKUP($A313,OFFSET(stages!$C$2,0,0,COUNTA(stages!$C:$C),MATCH("stage_target",stages!$2:$2,0)-MATCH($A$1,stages!$2:$2,0)+1),MATCH("stage_target",stages!$2:$2,0)-MATCH($A$1,stages!$2:$2,0)+1,FALSE)</f>
        <v>singleonly</v>
      </c>
      <c r="F313" s="200" t="s">
        <v>1036</v>
      </c>
      <c r="G313" s="49" t="str">
        <f t="shared" si="135"/>
        <v>quest14003.png</v>
      </c>
      <c r="H313" s="118" t="s">
        <v>1153</v>
      </c>
      <c r="I313" s="13">
        <v>4</v>
      </c>
      <c r="J313" s="12">
        <v>0</v>
      </c>
    </row>
    <row r="314" spans="1:10" ht="21" customHeight="1" x14ac:dyDescent="0.15">
      <c r="A314" s="31">
        <v>14006</v>
      </c>
      <c r="B314" s="130" t="str">
        <f ca="1">VLOOKUP($A314,OFFSET(quests!$A$1,0,0,COUNTA(quests!$A:$A),MATCH(B$1,quests!$1:$1,0)-MATCH($A$1,quests!$1:$1,0)+1),MATCH(B$1,quests!$1:$1,0)-MATCH($A$1,quests!$1:$1,0)+1,FALSE)</f>
        <v>【ロック】限界突破/LINEマルチ</v>
      </c>
      <c r="C314" s="47" t="str">
        <f ca="1">VLOOKUP($A314,OFFSET(quests!$A$1,0,0,COUNTA(quests!$A:$A),MATCH(C$1,quests!$1:$1,0)-MATCH($A$1,quests!$1:$1,0)+1),MATCH(C$1,quests!$1:$1,0)-MATCH($A$1,quests!$1:$1,0)+1,FALSE)</f>
        <v>【ロック】限界突破/LINEマルチ</v>
      </c>
      <c r="D314" s="47" t="str">
        <f ca="1">VLOOKUP($A314,OFFSET(quests!$A$1,0,0,COUNTA(quests!$A:$A),MATCH(D$1,quests!$1:$1,0)-MATCH($A$1,quests!$1:$1,0)+1),MATCH(D$1,quests!$1:$1,0)-MATCH($A$1,quests!$1:$1,0)+1,FALSE)</f>
        <v>【ロック】限界突破/LINEマルチ</v>
      </c>
      <c r="E314" s="47" t="str">
        <f ca="1">VLOOKUP($A314,OFFSET(stages!$C$2,0,0,COUNTA(stages!$C:$C),MATCH("stage_target",stages!$2:$2,0)-MATCH($A$1,stages!$2:$2,0)+1),MATCH("stage_target",stages!$2:$2,0)-MATCH($A$1,stages!$2:$2,0)+1,FALSE)</f>
        <v>lineonly</v>
      </c>
      <c r="F314" s="200" t="s">
        <v>1036</v>
      </c>
      <c r="G314" s="49" t="str">
        <f t="shared" ref="G314" si="137">"quest"&amp;A314&amp;".png"</f>
        <v>quest14006.png</v>
      </c>
      <c r="H314" s="118" t="s">
        <v>1153</v>
      </c>
      <c r="I314" s="13">
        <v>1</v>
      </c>
      <c r="J314" s="12">
        <v>0</v>
      </c>
    </row>
    <row r="315" spans="1:10" ht="21" customHeight="1" x14ac:dyDescent="0.15">
      <c r="A315" s="31">
        <v>60021</v>
      </c>
      <c r="B315" s="130" t="str">
        <f ca="1">VLOOKUP($A315,OFFSET(quests!$A$1,0,0,COUNTA(quests!$A:$A),MATCH(B$1,quests!$1:$1,0)-MATCH($A$1,quests!$1:$1,0)+1),MATCH(B$1,quests!$1:$1,0)-MATCH($A$1,quests!$1:$1,0)+1,FALSE)</f>
        <v>【月曜限定】 黄の素材verハンプ検証</v>
      </c>
      <c r="C315" s="47" t="str">
        <f ca="1">VLOOKUP($A315,OFFSET(quests!$A$1,0,0,COUNTA(quests!$A:$A),MATCH(C$1,quests!$1:$1,0)-MATCH($A$1,quests!$1:$1,0)+1),MATCH(C$1,quests!$1:$1,0)-MATCH($A$1,quests!$1:$1,0)+1,FALSE)</f>
        <v>ちびハンプティ検証</v>
      </c>
      <c r="D315" s="47" t="str">
        <f ca="1">VLOOKUP($A315,OFFSET(quests!$A$1,0,0,COUNTA(quests!$A:$A),MATCH(D$1,quests!$1:$1,0)-MATCH($A$1,quests!$1:$1,0)+1),MATCH(D$1,quests!$1:$1,0)-MATCH($A$1,quests!$1:$1,0)+1,FALSE)</f>
        <v>検証</v>
      </c>
      <c r="E315" s="47" t="str">
        <f ca="1">VLOOKUP($A315,OFFSET(stages!$C$2,0,0,COUNTA(stages!$C:$C),MATCH("stage_target",stages!$2:$2,0)-MATCH($A$1,stages!$2:$2,0)+1),MATCH("stage_target",stages!$2:$2,0)-MATCH($A$1,stages!$2:$2,0)+1,FALSE)</f>
        <v>everyone</v>
      </c>
      <c r="F315" s="200" t="s">
        <v>1036</v>
      </c>
      <c r="G315" s="49" t="s">
        <v>999</v>
      </c>
      <c r="H315" s="13" t="s">
        <v>53</v>
      </c>
      <c r="I315" s="13">
        <v>1</v>
      </c>
      <c r="J315" s="12">
        <v>0</v>
      </c>
    </row>
  </sheetData>
  <sheetProtection selectLockedCells="1" selectUnlockedCells="1"/>
  <mergeCells count="1">
    <mergeCell ref="L3:M3"/>
  </mergeCells>
  <phoneticPr fontId="44"/>
  <pageMargins left="0.74791666666666667" right="0.74791666666666667" top="0.98402777777777772" bottom="0.98402777777777772" header="0.51180555555555551" footer="0.51180555555555551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tabColor rgb="FF0000FF"/>
  </sheetPr>
  <dimension ref="A1:M166"/>
  <sheetViews>
    <sheetView topLeftCell="A127" zoomScale="130" zoomScaleNormal="130" zoomScalePageLayoutView="130" workbookViewId="0">
      <selection activeCell="B135" sqref="B135"/>
    </sheetView>
  </sheetViews>
  <sheetFormatPr baseColWidth="12" defaultRowHeight="14" x14ac:dyDescent="0.15"/>
  <cols>
    <col min="2" max="2" width="14.796875" bestFit="1" customWidth="1"/>
    <col min="3" max="3" width="27" customWidth="1"/>
    <col min="4" max="4" width="17.3984375" bestFit="1" customWidth="1"/>
    <col min="8" max="8" width="16.19921875" bestFit="1" customWidth="1"/>
    <col min="10" max="10" width="16.3984375" bestFit="1" customWidth="1"/>
    <col min="12" max="12" width="21.19921875" bestFit="1" customWidth="1"/>
  </cols>
  <sheetData>
    <row r="1" spans="1:13" ht="15" x14ac:dyDescent="0.15">
      <c r="A1" s="213" t="s">
        <v>1241</v>
      </c>
      <c r="B1" s="213" t="s">
        <v>2019</v>
      </c>
      <c r="C1" s="213" t="s">
        <v>172</v>
      </c>
      <c r="D1" s="216" t="s">
        <v>1245</v>
      </c>
      <c r="E1" s="213" t="s">
        <v>1247</v>
      </c>
      <c r="F1" s="213" t="s">
        <v>1248</v>
      </c>
      <c r="G1" s="213" t="s">
        <v>1249</v>
      </c>
      <c r="H1" s="214" t="s">
        <v>1674</v>
      </c>
      <c r="I1" s="215" t="s">
        <v>1244</v>
      </c>
      <c r="J1" s="216" t="s">
        <v>1246</v>
      </c>
      <c r="L1" t="s">
        <v>1271</v>
      </c>
    </row>
    <row r="2" spans="1:13" ht="15" x14ac:dyDescent="0.15">
      <c r="A2" s="217" t="str">
        <f>"6"&amp;TEXT(RIGHT(B2,3),"000")</f>
        <v>6006</v>
      </c>
      <c r="B2" s="7" t="s">
        <v>1270</v>
      </c>
      <c r="C2" s="53" t="str">
        <f>VLOOKUP(VALUE(RIGHT(B2,5)),quests!A:D,4,FALSE)</f>
        <v>オイラーチャレンジ</v>
      </c>
      <c r="D2" s="53" t="str">
        <f t="shared" ref="D2:D9" si="0">B2&amp;".png"</f>
        <v>quest60006.png</v>
      </c>
      <c r="E2" s="1">
        <v>30</v>
      </c>
      <c r="F2" s="1" t="s">
        <v>1272</v>
      </c>
      <c r="G2" s="53" t="str">
        <f t="shared" ref="G2:G9" si="1">A2</f>
        <v>6006</v>
      </c>
      <c r="H2" s="53">
        <v>1</v>
      </c>
      <c r="I2" s="53" t="s">
        <v>967</v>
      </c>
      <c r="J2" s="53" t="s">
        <v>1269</v>
      </c>
      <c r="K2" s="1"/>
      <c r="L2" s="225" t="s">
        <v>1256</v>
      </c>
      <c r="M2" s="1"/>
    </row>
    <row r="3" spans="1:13" x14ac:dyDescent="0.15">
      <c r="A3" s="167" t="str">
        <f>"5"&amp;TEXT(RIGHT(B3,3),"000")</f>
        <v>5004</v>
      </c>
      <c r="B3" s="7" t="s">
        <v>1273</v>
      </c>
      <c r="C3" s="53" t="str">
        <f>VLOOKUP(VALUE(RIGHT(B3,5)),quests!A:D,4,FALSE)</f>
        <v>ルシファー襲来！</v>
      </c>
      <c r="D3" s="53" t="str">
        <f t="shared" si="0"/>
        <v>quest50004.png</v>
      </c>
      <c r="E3" s="1">
        <v>60</v>
      </c>
      <c r="F3" s="1" t="s">
        <v>1272</v>
      </c>
      <c r="G3" s="53" t="str">
        <f t="shared" si="1"/>
        <v>5004</v>
      </c>
      <c r="H3" s="53">
        <v>1</v>
      </c>
      <c r="I3" s="53" t="s">
        <v>967</v>
      </c>
      <c r="J3" s="53" t="s">
        <v>1269</v>
      </c>
      <c r="K3" s="1"/>
      <c r="L3" s="1" t="s">
        <v>1257</v>
      </c>
      <c r="M3" s="1" t="s">
        <v>1292</v>
      </c>
    </row>
    <row r="4" spans="1:13" x14ac:dyDescent="0.15">
      <c r="A4" s="167" t="str">
        <f>"4"&amp;TEXT(RIGHT(B4,3),"000")</f>
        <v>4017</v>
      </c>
      <c r="B4" s="7" t="s">
        <v>1274</v>
      </c>
      <c r="C4" s="53" t="str">
        <f>VLOOKUP(VALUE(RIGHT(B4,5)),quests!A:D,4,FALSE)</f>
        <v>ベルゼブブ襲来！</v>
      </c>
      <c r="D4" s="53" t="str">
        <f t="shared" si="0"/>
        <v>quest40017.png</v>
      </c>
      <c r="E4" s="1">
        <v>50</v>
      </c>
      <c r="F4" s="1" t="s">
        <v>1272</v>
      </c>
      <c r="G4" s="53" t="str">
        <f t="shared" si="1"/>
        <v>4017</v>
      </c>
      <c r="H4" s="53">
        <v>1</v>
      </c>
      <c r="I4" s="53" t="s">
        <v>967</v>
      </c>
      <c r="J4" s="53" t="s">
        <v>1269</v>
      </c>
      <c r="K4" s="1"/>
      <c r="L4" s="1" t="s">
        <v>1258</v>
      </c>
      <c r="M4" s="1" t="s">
        <v>1291</v>
      </c>
    </row>
    <row r="5" spans="1:13" x14ac:dyDescent="0.15">
      <c r="A5" s="217" t="str">
        <f>"3"&amp;TEXT(RIGHT(B5,3),"000")</f>
        <v>3035</v>
      </c>
      <c r="B5" s="7" t="s">
        <v>1275</v>
      </c>
      <c r="C5" s="53" t="str">
        <f>VLOOKUP(VALUE(RIGHT(B5,5)),quests!A:D,4,FALSE)</f>
        <v>大鯨の呼び声</v>
      </c>
      <c r="D5" s="53" t="str">
        <f t="shared" si="0"/>
        <v>quest30035.png</v>
      </c>
      <c r="E5" s="1">
        <v>30</v>
      </c>
      <c r="F5" s="1" t="s">
        <v>1272</v>
      </c>
      <c r="G5" s="53" t="str">
        <f t="shared" si="1"/>
        <v>3035</v>
      </c>
      <c r="H5" s="53">
        <v>1</v>
      </c>
      <c r="I5" s="53" t="s">
        <v>967</v>
      </c>
      <c r="J5" s="53" t="s">
        <v>1269</v>
      </c>
      <c r="K5" s="1"/>
      <c r="L5" t="s">
        <v>1390</v>
      </c>
      <c r="M5" s="1" t="s">
        <v>1391</v>
      </c>
    </row>
    <row r="6" spans="1:13" x14ac:dyDescent="0.15">
      <c r="A6" s="167" t="str">
        <f>"2"&amp;TEXT(RIGHT(B6,3),"000")</f>
        <v>2015</v>
      </c>
      <c r="B6" s="7" t="s">
        <v>1276</v>
      </c>
      <c r="C6" s="53" t="str">
        <f>VLOOKUP(VALUE(RIGHT(B6,5)),quests!A:D,4,FALSE)</f>
        <v>妄執とり憑く美貌の妃</v>
      </c>
      <c r="D6" s="53" t="str">
        <f t="shared" si="0"/>
        <v>quest20015.png</v>
      </c>
      <c r="E6" s="1">
        <v>15</v>
      </c>
      <c r="F6" s="1" t="s">
        <v>1272</v>
      </c>
      <c r="G6" s="53" t="str">
        <f t="shared" si="1"/>
        <v>2015</v>
      </c>
      <c r="H6" s="53">
        <v>1</v>
      </c>
      <c r="I6" s="53" t="s">
        <v>967</v>
      </c>
      <c r="J6" s="53" t="s">
        <v>1269</v>
      </c>
      <c r="K6" s="1"/>
      <c r="L6" s="1" t="s">
        <v>1260</v>
      </c>
      <c r="M6" s="1" t="s">
        <v>1261</v>
      </c>
    </row>
    <row r="7" spans="1:13" x14ac:dyDescent="0.15">
      <c r="A7" s="167" t="str">
        <f>"2"&amp;TEXT(RIGHT(B7,3),"000")</f>
        <v>2018</v>
      </c>
      <c r="B7" s="7" t="s">
        <v>1475</v>
      </c>
      <c r="C7" s="53" t="str">
        <f>VLOOKUP(VALUE(RIGHT(B7,5)),quests!A:D,4,FALSE)</f>
        <v>魂を屠る黒影</v>
      </c>
      <c r="D7" s="53" t="str">
        <f t="shared" ref="D7" si="2">B7&amp;".png"</f>
        <v>quest20018.png</v>
      </c>
      <c r="E7" s="1">
        <v>15</v>
      </c>
      <c r="F7" s="1" t="s">
        <v>1269</v>
      </c>
      <c r="G7" s="53" t="str">
        <f t="shared" ref="G7" si="3">A7</f>
        <v>2018</v>
      </c>
      <c r="H7" s="53">
        <v>1</v>
      </c>
      <c r="I7" s="53" t="s">
        <v>967</v>
      </c>
      <c r="J7" s="53" t="s">
        <v>1269</v>
      </c>
      <c r="K7" s="1"/>
      <c r="L7" s="1" t="s">
        <v>1259</v>
      </c>
      <c r="M7" s="1" t="s">
        <v>1262</v>
      </c>
    </row>
    <row r="8" spans="1:13" x14ac:dyDescent="0.15">
      <c r="A8" s="167">
        <v>4018</v>
      </c>
      <c r="B8" s="7" t="s">
        <v>1319</v>
      </c>
      <c r="C8" s="53" t="str">
        <f>VLOOKUP(VALUE(RIGHT(B8,5)),quests!A:D,4,FALSE)</f>
        <v>ジーナ襲来！</v>
      </c>
      <c r="D8" s="53" t="str">
        <f t="shared" si="0"/>
        <v>quest40018.png</v>
      </c>
      <c r="E8" s="1">
        <v>50</v>
      </c>
      <c r="F8" s="1" t="s">
        <v>1272</v>
      </c>
      <c r="G8" s="53">
        <f t="shared" si="1"/>
        <v>4018</v>
      </c>
      <c r="H8" s="53">
        <v>1</v>
      </c>
      <c r="I8" s="53" t="s">
        <v>568</v>
      </c>
      <c r="J8" s="53" t="s">
        <v>1269</v>
      </c>
      <c r="K8" s="1"/>
      <c r="L8" s="1" t="s">
        <v>1263</v>
      </c>
      <c r="M8" s="1" t="s">
        <v>1264</v>
      </c>
    </row>
    <row r="9" spans="1:13" x14ac:dyDescent="0.15">
      <c r="A9" s="167">
        <v>6010</v>
      </c>
      <c r="B9" s="7" t="s">
        <v>1330</v>
      </c>
      <c r="C9" s="53" t="str">
        <f>VLOOKUP(VALUE(RIGHT(B9,5)),quests!A:D,4,FALSE)</f>
        <v>ラグランジュチャレンジ</v>
      </c>
      <c r="D9" s="53" t="str">
        <f t="shared" si="0"/>
        <v>quest60010.png</v>
      </c>
      <c r="E9" s="1">
        <v>30</v>
      </c>
      <c r="F9" s="1" t="s">
        <v>1272</v>
      </c>
      <c r="G9" s="53">
        <f t="shared" si="1"/>
        <v>6010</v>
      </c>
      <c r="H9" s="53">
        <v>1</v>
      </c>
      <c r="I9" s="53" t="s">
        <v>568</v>
      </c>
      <c r="J9" s="53" t="s">
        <v>1269</v>
      </c>
      <c r="K9" s="1"/>
      <c r="L9" s="1" t="s">
        <v>1265</v>
      </c>
      <c r="M9" s="1" t="s">
        <v>1266</v>
      </c>
    </row>
    <row r="10" spans="1:13" x14ac:dyDescent="0.15">
      <c r="A10" s="167">
        <v>4924</v>
      </c>
      <c r="B10" s="7" t="s">
        <v>1336</v>
      </c>
      <c r="C10" s="53" t="str">
        <f>VLOOKUP(VALUE(RIGHT(B10,5)),quests!A:D,4,FALSE)</f>
        <v>400万DL記念★特別クエスト</v>
      </c>
      <c r="D10" s="53" t="str">
        <f t="shared" ref="D10:D11" si="4">B10&amp;".png"</f>
        <v>quest11225.png</v>
      </c>
      <c r="E10" s="1" t="s">
        <v>1337</v>
      </c>
      <c r="F10" s="1" t="s">
        <v>1269</v>
      </c>
      <c r="G10" s="53">
        <f t="shared" ref="G10:G11" si="5">A10</f>
        <v>4924</v>
      </c>
      <c r="H10" s="53">
        <v>1</v>
      </c>
      <c r="I10" s="53" t="s">
        <v>382</v>
      </c>
      <c r="J10" s="53" t="s">
        <v>1269</v>
      </c>
      <c r="K10" s="1"/>
      <c r="L10" s="1" t="s">
        <v>1267</v>
      </c>
      <c r="M10" s="1" t="s">
        <v>1268</v>
      </c>
    </row>
    <row r="11" spans="1:13" x14ac:dyDescent="0.15">
      <c r="A11" s="167">
        <v>6011</v>
      </c>
      <c r="B11" s="7" t="s">
        <v>1356</v>
      </c>
      <c r="C11" s="53" t="str">
        <f>VLOOKUP(VALUE(RIGHT(B11,5)),quests!A:D,4,FALSE)</f>
        <v>ユークリッドチャレンジ</v>
      </c>
      <c r="D11" s="53" t="str">
        <f t="shared" si="4"/>
        <v>quest60011.png</v>
      </c>
      <c r="E11" s="1">
        <v>30</v>
      </c>
      <c r="F11" s="1" t="s">
        <v>1272</v>
      </c>
      <c r="G11" s="53">
        <f t="shared" si="5"/>
        <v>6011</v>
      </c>
      <c r="H11" s="53">
        <v>1</v>
      </c>
      <c r="I11" s="53" t="s">
        <v>568</v>
      </c>
      <c r="J11" s="53" t="s">
        <v>1269</v>
      </c>
      <c r="K11" s="1"/>
      <c r="L11" s="1"/>
      <c r="M11" s="1"/>
    </row>
    <row r="12" spans="1:13" x14ac:dyDescent="0.15">
      <c r="A12" s="167">
        <v>4019</v>
      </c>
      <c r="B12" s="7" t="s">
        <v>1361</v>
      </c>
      <c r="C12" s="53" t="str">
        <f>VLOOKUP(VALUE(RIGHT(B12,5)),quests!A:D,4,FALSE)</f>
        <v>テュポーン襲来！</v>
      </c>
      <c r="D12" s="53" t="str">
        <f t="shared" ref="D12" si="6">B12&amp;".png"</f>
        <v>quest40019.png</v>
      </c>
      <c r="E12" s="1">
        <v>50</v>
      </c>
      <c r="F12" s="1" t="s">
        <v>1272</v>
      </c>
      <c r="G12" s="53">
        <f t="shared" ref="G12" si="7">A12</f>
        <v>4019</v>
      </c>
      <c r="H12" s="53">
        <v>1</v>
      </c>
      <c r="I12" s="53" t="s">
        <v>382</v>
      </c>
      <c r="J12" s="53" t="s">
        <v>1269</v>
      </c>
      <c r="K12" s="1"/>
      <c r="L12" s="1"/>
      <c r="M12" s="1"/>
    </row>
    <row r="13" spans="1:13" ht="15" x14ac:dyDescent="0.15">
      <c r="A13" s="167">
        <v>2016</v>
      </c>
      <c r="B13" s="7" t="s">
        <v>1366</v>
      </c>
      <c r="C13" s="53" t="str">
        <f>VLOOKUP(VALUE(RIGHT(B13,5)),quests!A:D,4,FALSE)</f>
        <v>寡黙な翼竜の侵攻</v>
      </c>
      <c r="D13" s="53" t="str">
        <f t="shared" ref="D13" si="8">B13&amp;".png"</f>
        <v>quest20016.png</v>
      </c>
      <c r="E13" s="1">
        <v>15</v>
      </c>
      <c r="F13" s="1" t="s">
        <v>1269</v>
      </c>
      <c r="G13" s="53">
        <f t="shared" ref="G13" si="9">A13</f>
        <v>2016</v>
      </c>
      <c r="H13" s="53">
        <v>1</v>
      </c>
      <c r="I13" s="53" t="s">
        <v>382</v>
      </c>
      <c r="J13" s="53" t="s">
        <v>1269</v>
      </c>
      <c r="K13" s="1"/>
      <c r="L13" s="225" t="s">
        <v>1255</v>
      </c>
      <c r="M13" s="1"/>
    </row>
    <row r="14" spans="1:13" ht="15" x14ac:dyDescent="0.15">
      <c r="A14" s="167">
        <v>3036</v>
      </c>
      <c r="B14" s="7" t="s">
        <v>1367</v>
      </c>
      <c r="C14" s="53" t="str">
        <f>VLOOKUP(VALUE(RIGHT(B14,5)),quests!A:D,4,FALSE)</f>
        <v>猛然たる炎獣使い</v>
      </c>
      <c r="D14" s="53" t="str">
        <f t="shared" ref="D14" si="10">B14&amp;".png"</f>
        <v>quest30036.png</v>
      </c>
      <c r="E14" s="1">
        <v>30</v>
      </c>
      <c r="F14" s="1" t="s">
        <v>1269</v>
      </c>
      <c r="G14" s="53">
        <f t="shared" ref="G14" si="11">A14</f>
        <v>3036</v>
      </c>
      <c r="H14" s="53">
        <v>1</v>
      </c>
      <c r="I14" s="53" t="s">
        <v>382</v>
      </c>
      <c r="J14" s="53" t="s">
        <v>1269</v>
      </c>
      <c r="K14" s="1"/>
      <c r="L14" s="224" t="s">
        <v>1250</v>
      </c>
      <c r="M14" s="224">
        <v>15</v>
      </c>
    </row>
    <row r="15" spans="1:13" ht="15" x14ac:dyDescent="0.15">
      <c r="A15" s="167">
        <v>4925</v>
      </c>
      <c r="B15" s="7" t="s">
        <v>1387</v>
      </c>
      <c r="C15" s="53" t="str">
        <f>VLOOKUP(VALUE(RIGHT(B15,5)),quests!A:D,4,FALSE)</f>
        <v>1周年記念★特別クエスト</v>
      </c>
      <c r="D15" s="53" t="str">
        <f>B15&amp;"_2.png"</f>
        <v>quest11226_2.png</v>
      </c>
      <c r="E15" s="1" t="s">
        <v>1388</v>
      </c>
      <c r="F15" s="1" t="s">
        <v>1272</v>
      </c>
      <c r="G15" s="53">
        <v>4000</v>
      </c>
      <c r="H15" s="53">
        <v>1</v>
      </c>
      <c r="I15" s="53" t="s">
        <v>570</v>
      </c>
      <c r="J15" s="53" t="s">
        <v>1389</v>
      </c>
      <c r="K15" s="1"/>
      <c r="L15" s="224" t="s">
        <v>1251</v>
      </c>
      <c r="M15" s="224">
        <v>30</v>
      </c>
    </row>
    <row r="16" spans="1:13" ht="15" x14ac:dyDescent="0.15">
      <c r="A16" s="167">
        <v>4701</v>
      </c>
      <c r="B16" s="7" t="s">
        <v>1392</v>
      </c>
      <c r="C16" s="53" t="str">
        <f>VLOOKUP(VALUE(RIGHT(B16,5)),quests!A:D,4,FALSE)</f>
        <v>彦星襲来！</v>
      </c>
      <c r="D16" s="53" t="str">
        <f>B16&amp;".png"</f>
        <v>quest47001.png</v>
      </c>
      <c r="E16" s="1">
        <v>50</v>
      </c>
      <c r="F16" s="1" t="s">
        <v>1269</v>
      </c>
      <c r="G16" s="53">
        <f>A16</f>
        <v>4701</v>
      </c>
      <c r="H16" s="53">
        <v>1</v>
      </c>
      <c r="I16" s="53" t="s">
        <v>568</v>
      </c>
      <c r="J16" s="53" t="s">
        <v>1388</v>
      </c>
      <c r="K16" s="1"/>
      <c r="L16" s="224" t="s">
        <v>1252</v>
      </c>
      <c r="M16" s="224">
        <v>35</v>
      </c>
    </row>
    <row r="17" spans="1:13" ht="15" x14ac:dyDescent="0.15">
      <c r="A17" s="167">
        <v>3037</v>
      </c>
      <c r="B17" s="7" t="s">
        <v>1400</v>
      </c>
      <c r="C17" s="53" t="str">
        <f>VLOOKUP(VALUE(RIGHT(B17,5)),quests!A:D,4,FALSE)</f>
        <v>灯り火の麗人</v>
      </c>
      <c r="D17" s="53" t="str">
        <f t="shared" ref="D17:D20" si="12">B17&amp;".png"</f>
        <v>quest30037.png</v>
      </c>
      <c r="E17" s="1">
        <v>30</v>
      </c>
      <c r="F17" s="1" t="s">
        <v>1269</v>
      </c>
      <c r="G17" s="53">
        <f t="shared" ref="G17:G20" si="13">A17</f>
        <v>3037</v>
      </c>
      <c r="H17" s="53">
        <v>1</v>
      </c>
      <c r="I17" s="53" t="s">
        <v>382</v>
      </c>
      <c r="J17" s="53" t="s">
        <v>1269</v>
      </c>
      <c r="K17" s="1"/>
      <c r="L17" s="224" t="s">
        <v>1417</v>
      </c>
      <c r="M17" s="224">
        <v>50</v>
      </c>
    </row>
    <row r="18" spans="1:13" ht="15" x14ac:dyDescent="0.15">
      <c r="A18" s="167">
        <v>2017</v>
      </c>
      <c r="B18" s="7" t="s">
        <v>1402</v>
      </c>
      <c r="C18" s="53" t="str">
        <f>VLOOKUP(VALUE(RIGHT(B18,5)),quests!A:D,4,FALSE)</f>
        <v>隻腕の提督</v>
      </c>
      <c r="D18" s="53" t="str">
        <f t="shared" si="12"/>
        <v>quest20017.png</v>
      </c>
      <c r="E18" s="1">
        <v>15</v>
      </c>
      <c r="F18" s="1" t="s">
        <v>1269</v>
      </c>
      <c r="G18" s="53">
        <f t="shared" si="13"/>
        <v>2017</v>
      </c>
      <c r="H18" s="53">
        <v>1</v>
      </c>
      <c r="I18" s="53" t="s">
        <v>382</v>
      </c>
      <c r="J18" s="53" t="s">
        <v>1269</v>
      </c>
      <c r="K18" s="1"/>
      <c r="L18" s="224" t="s">
        <v>1253</v>
      </c>
      <c r="M18" s="224">
        <v>60</v>
      </c>
    </row>
    <row r="19" spans="1:13" ht="15" x14ac:dyDescent="0.15">
      <c r="A19" s="167">
        <v>2022</v>
      </c>
      <c r="B19" s="7" t="s">
        <v>1981</v>
      </c>
      <c r="C19" s="53" t="str">
        <f>VLOOKUP(VALUE(RIGHT(B19,5)),quests!A:D,4,FALSE)</f>
        <v>年を越える宴</v>
      </c>
      <c r="D19" s="280" t="s">
        <v>1982</v>
      </c>
      <c r="E19" s="1" t="s">
        <v>1269</v>
      </c>
      <c r="F19" s="1" t="s">
        <v>1269</v>
      </c>
      <c r="G19" s="53">
        <f t="shared" ref="G19" si="14">A19</f>
        <v>2022</v>
      </c>
      <c r="H19" s="53">
        <v>1</v>
      </c>
      <c r="I19" s="53" t="s">
        <v>382</v>
      </c>
      <c r="J19" s="53" t="s">
        <v>1269</v>
      </c>
      <c r="K19" s="1"/>
      <c r="L19" s="224" t="s">
        <v>1253</v>
      </c>
      <c r="M19" s="224">
        <v>60</v>
      </c>
    </row>
    <row r="20" spans="1:13" ht="15" x14ac:dyDescent="0.15">
      <c r="A20" s="167">
        <v>5005</v>
      </c>
      <c r="B20" s="7" t="s">
        <v>1409</v>
      </c>
      <c r="C20" s="53" t="str">
        <f>VLOOKUP(VALUE(RIGHT(B20,5)),quests!A:D,4,FALSE)</f>
        <v>ゼウス襲来！</v>
      </c>
      <c r="D20" s="53" t="str">
        <f t="shared" si="12"/>
        <v>quest50005.png</v>
      </c>
      <c r="E20" s="1">
        <v>60</v>
      </c>
      <c r="F20" s="1" t="s">
        <v>1272</v>
      </c>
      <c r="G20" s="53">
        <f t="shared" si="13"/>
        <v>5005</v>
      </c>
      <c r="H20" s="53">
        <v>1</v>
      </c>
      <c r="I20" s="53" t="s">
        <v>967</v>
      </c>
      <c r="J20" s="53" t="s">
        <v>1269</v>
      </c>
      <c r="L20" s="224" t="s">
        <v>1254</v>
      </c>
      <c r="M20" s="224">
        <v>30</v>
      </c>
    </row>
    <row r="21" spans="1:13" ht="15" x14ac:dyDescent="0.15">
      <c r="A21" s="167">
        <v>5006</v>
      </c>
      <c r="B21" s="7" t="s">
        <v>1523</v>
      </c>
      <c r="C21" s="53" t="str">
        <f>VLOOKUP(VALUE(RIGHT(B21,5)),quests!A:D,4,FALSE)</f>
        <v>セト襲来！</v>
      </c>
      <c r="D21" s="53" t="str">
        <f t="shared" ref="D21" si="15">B21&amp;".png"</f>
        <v>quest50006.png</v>
      </c>
      <c r="E21" s="1">
        <v>60</v>
      </c>
      <c r="F21" s="1" t="s">
        <v>1272</v>
      </c>
      <c r="G21" s="53">
        <f t="shared" ref="G21" si="16">A21</f>
        <v>5006</v>
      </c>
      <c r="H21" s="53">
        <v>1</v>
      </c>
      <c r="I21" s="53" t="s">
        <v>967</v>
      </c>
      <c r="J21" s="53" t="s">
        <v>1269</v>
      </c>
      <c r="L21" s="224" t="s">
        <v>1254</v>
      </c>
      <c r="M21" s="224">
        <v>30</v>
      </c>
    </row>
    <row r="22" spans="1:13" x14ac:dyDescent="0.15">
      <c r="A22" s="167">
        <v>4021</v>
      </c>
      <c r="B22" s="7" t="s">
        <v>1505</v>
      </c>
      <c r="C22" s="53" t="str">
        <f>VLOOKUP(VALUE(RIGHT(B22,5)),quests!A:D,4,FALSE)</f>
        <v>ルイ16世襲来！</v>
      </c>
      <c r="D22" s="53" t="str">
        <f t="shared" ref="D22:D48" si="17">B22&amp;".png"</f>
        <v>quest40021.png</v>
      </c>
      <c r="E22" s="1">
        <v>50</v>
      </c>
      <c r="F22" s="1" t="s">
        <v>1269</v>
      </c>
      <c r="G22" s="53">
        <f t="shared" ref="G22:G49" si="18">A22</f>
        <v>4021</v>
      </c>
      <c r="H22" s="53">
        <v>1</v>
      </c>
      <c r="I22" s="53" t="s">
        <v>568</v>
      </c>
      <c r="J22" s="53" t="s">
        <v>1388</v>
      </c>
    </row>
    <row r="23" spans="1:13" x14ac:dyDescent="0.15">
      <c r="A23" s="167">
        <v>4702</v>
      </c>
      <c r="B23" s="7" t="s">
        <v>1450</v>
      </c>
      <c r="C23" s="53" t="str">
        <f>VLOOKUP(VALUE(RIGHT(B23,5)),quests!A:D,4,FALSE)</f>
        <v>夏☆襲来！</v>
      </c>
      <c r="D23" s="53" t="str">
        <f t="shared" si="17"/>
        <v>quest47002.png</v>
      </c>
      <c r="E23" s="1">
        <v>50</v>
      </c>
      <c r="F23" s="1" t="s">
        <v>1269</v>
      </c>
      <c r="G23" s="53">
        <f t="shared" si="18"/>
        <v>4702</v>
      </c>
      <c r="H23" s="53">
        <v>1</v>
      </c>
      <c r="I23" s="53" t="s">
        <v>382</v>
      </c>
      <c r="J23" s="53" t="s">
        <v>1388</v>
      </c>
    </row>
    <row r="24" spans="1:13" x14ac:dyDescent="0.15">
      <c r="A24" s="167">
        <v>4703</v>
      </c>
      <c r="B24" s="7" t="s">
        <v>1754</v>
      </c>
      <c r="C24" s="53" t="str">
        <f>VLOOKUP(VALUE(RIGHT(B24,5)),quests!A:D,4,FALSE)</f>
        <v>ハロウィンナイトパニック！</v>
      </c>
      <c r="D24" s="53" t="str">
        <f t="shared" ref="D24" si="19">B24&amp;".png"</f>
        <v>quest47003.png</v>
      </c>
      <c r="E24" s="1">
        <v>15</v>
      </c>
      <c r="F24" s="1" t="s">
        <v>1269</v>
      </c>
      <c r="G24" s="53">
        <f t="shared" si="18"/>
        <v>4703</v>
      </c>
      <c r="H24" s="53">
        <v>1</v>
      </c>
      <c r="I24" s="53" t="s">
        <v>382</v>
      </c>
      <c r="J24" s="53" t="s">
        <v>1388</v>
      </c>
    </row>
    <row r="25" spans="1:13" x14ac:dyDescent="0.15">
      <c r="A25" s="167">
        <v>4704</v>
      </c>
      <c r="B25" s="7" t="s">
        <v>1866</v>
      </c>
      <c r="C25" s="53" t="str">
        <f>VLOOKUP(VALUE(RIGHT(B25,5)),quests!A:D,4,FALSE)</f>
        <v>聖なる夜に祝福を</v>
      </c>
      <c r="D25" s="53" t="str">
        <f t="shared" ref="D25" si="20">B25&amp;".png"</f>
        <v>quest47004.png</v>
      </c>
      <c r="E25" s="1">
        <v>50</v>
      </c>
      <c r="F25" s="1" t="s">
        <v>1269</v>
      </c>
      <c r="G25" s="53">
        <f t="shared" si="18"/>
        <v>4704</v>
      </c>
      <c r="H25" s="53">
        <v>1</v>
      </c>
      <c r="I25" s="53" t="s">
        <v>382</v>
      </c>
      <c r="J25" s="53" t="s">
        <v>1269</v>
      </c>
    </row>
    <row r="26" spans="1:13" x14ac:dyDescent="0.15">
      <c r="A26" s="167">
        <v>4705</v>
      </c>
      <c r="B26" s="7" t="s">
        <v>1870</v>
      </c>
      <c r="C26" s="53" t="str">
        <f>VLOOKUP(VALUE(RIGHT(B26,5)),quests!A:D,4,FALSE)</f>
        <v>年を越える儀式</v>
      </c>
      <c r="D26" s="53" t="str">
        <f t="shared" ref="D26" si="21">B26&amp;".png"</f>
        <v>quest47005.png</v>
      </c>
      <c r="E26" s="1">
        <v>50</v>
      </c>
      <c r="F26" s="1" t="s">
        <v>1269</v>
      </c>
      <c r="G26" s="53">
        <f t="shared" ref="G26" si="22">A26</f>
        <v>4705</v>
      </c>
      <c r="H26" s="53">
        <v>1</v>
      </c>
      <c r="I26" s="53" t="s">
        <v>382</v>
      </c>
      <c r="J26" s="53" t="s">
        <v>1269</v>
      </c>
    </row>
    <row r="27" spans="1:13" x14ac:dyDescent="0.15">
      <c r="A27" s="167">
        <v>4706</v>
      </c>
      <c r="B27" s="7" t="s">
        <v>1973</v>
      </c>
      <c r="C27" s="53" t="str">
        <f>VLOOKUP(VALUE(RIGHT(B27,5)),quests!A:D,4,FALSE)</f>
        <v>酉の初めはたまごから</v>
      </c>
      <c r="D27" s="53" t="str">
        <f t="shared" ref="D27" si="23">B27&amp;".png"</f>
        <v>quest47006.png</v>
      </c>
      <c r="E27" s="1">
        <v>50</v>
      </c>
      <c r="F27" s="1" t="s">
        <v>1269</v>
      </c>
      <c r="G27" s="53">
        <f t="shared" ref="G27" si="24">A27</f>
        <v>4706</v>
      </c>
      <c r="H27" s="53">
        <v>1</v>
      </c>
      <c r="I27" s="53" t="s">
        <v>382</v>
      </c>
      <c r="J27" s="53" t="s">
        <v>1269</v>
      </c>
    </row>
    <row r="28" spans="1:13" x14ac:dyDescent="0.15">
      <c r="A28" s="167">
        <v>4707</v>
      </c>
      <c r="B28" s="7" t="s">
        <v>2030</v>
      </c>
      <c r="C28" s="53" t="str">
        <f>VLOOKUP(VALUE(RIGHT(B28,5)),quests!A:D,4,FALSE)</f>
        <v>ツンデレ少女の恋心</v>
      </c>
      <c r="D28" s="53" t="str">
        <f t="shared" ref="D28" si="25">B28&amp;".png"</f>
        <v>quest47007.png</v>
      </c>
      <c r="E28" s="1">
        <v>50</v>
      </c>
      <c r="F28" s="1" t="s">
        <v>1269</v>
      </c>
      <c r="G28" s="53">
        <f t="shared" ref="G28" si="26">A28</f>
        <v>4707</v>
      </c>
      <c r="H28" s="53">
        <v>1</v>
      </c>
      <c r="I28" s="53" t="s">
        <v>382</v>
      </c>
      <c r="J28" s="53" t="s">
        <v>1269</v>
      </c>
    </row>
    <row r="29" spans="1:13" x14ac:dyDescent="0.15">
      <c r="A29" s="167">
        <v>4708</v>
      </c>
      <c r="B29" s="7" t="s">
        <v>2048</v>
      </c>
      <c r="C29" s="53" t="str">
        <f>VLOOKUP(VALUE(RIGHT(B29,5)),quests!A:D,4,FALSE)</f>
        <v>ふんわり少女の恋心</v>
      </c>
      <c r="D29" s="53" t="str">
        <f t="shared" ref="D29" si="27">B29&amp;".png"</f>
        <v>quest47008.png</v>
      </c>
      <c r="E29" s="1">
        <v>50</v>
      </c>
      <c r="F29" s="1" t="s">
        <v>1269</v>
      </c>
      <c r="G29" s="53">
        <f t="shared" ref="G29" si="28">A29</f>
        <v>4708</v>
      </c>
      <c r="H29" s="53">
        <v>1</v>
      </c>
      <c r="I29" s="53" t="s">
        <v>382</v>
      </c>
      <c r="J29" s="53" t="s">
        <v>1269</v>
      </c>
    </row>
    <row r="30" spans="1:13" x14ac:dyDescent="0.15">
      <c r="A30" s="167">
        <v>4109</v>
      </c>
      <c r="B30" s="7" t="s">
        <v>1451</v>
      </c>
      <c r="C30" s="53" t="str">
        <f>VLOOKUP(VALUE(RIGHT(B30,5)),quests!A:D,4,FALSE)</f>
        <v>フギンとムニン襲来！</v>
      </c>
      <c r="D30" s="53" t="str">
        <f t="shared" si="17"/>
        <v>quest41009.png</v>
      </c>
      <c r="E30" s="1">
        <v>50</v>
      </c>
      <c r="F30" s="1" t="s">
        <v>1269</v>
      </c>
      <c r="G30" s="53">
        <f t="shared" si="18"/>
        <v>4109</v>
      </c>
      <c r="H30" s="53">
        <v>1</v>
      </c>
      <c r="I30" s="53" t="s">
        <v>382</v>
      </c>
      <c r="J30" s="53" t="s">
        <v>1388</v>
      </c>
    </row>
    <row r="31" spans="1:13" x14ac:dyDescent="0.15">
      <c r="A31" s="289">
        <v>4709</v>
      </c>
      <c r="B31" s="290" t="s">
        <v>2100</v>
      </c>
      <c r="C31" s="291" t="s">
        <v>2101</v>
      </c>
      <c r="D31" s="292" t="s">
        <v>2096</v>
      </c>
      <c r="E31" s="293">
        <v>50</v>
      </c>
      <c r="F31" s="293" t="s">
        <v>2102</v>
      </c>
      <c r="G31" s="292">
        <v>5100</v>
      </c>
      <c r="H31" s="291">
        <v>1</v>
      </c>
      <c r="I31" s="291" t="s">
        <v>1732</v>
      </c>
      <c r="J31" s="291" t="s">
        <v>2102</v>
      </c>
    </row>
    <row r="32" spans="1:13" x14ac:dyDescent="0.15">
      <c r="A32" s="167">
        <v>4710</v>
      </c>
      <c r="B32" s="7" t="s">
        <v>2115</v>
      </c>
      <c r="C32" s="53" t="str">
        <f>VLOOKUP(VALUE(RIGHT(B32,5)),quests!A:D,4,FALSE)</f>
        <v>僕の愛よあの子にとどけ！</v>
      </c>
      <c r="D32" s="53" t="str">
        <f t="shared" ref="D32" si="29">B32&amp;".png"</f>
        <v>quest47010.png</v>
      </c>
      <c r="E32" s="1">
        <v>30</v>
      </c>
      <c r="F32" s="1" t="s">
        <v>1269</v>
      </c>
      <c r="G32" s="280">
        <v>4711</v>
      </c>
      <c r="H32" s="53">
        <v>1</v>
      </c>
      <c r="I32" s="53" t="s">
        <v>382</v>
      </c>
      <c r="J32" s="53" t="s">
        <v>1269</v>
      </c>
    </row>
    <row r="33" spans="1:13" x14ac:dyDescent="0.15">
      <c r="A33" s="167">
        <v>4711</v>
      </c>
      <c r="B33" s="7" t="s">
        <v>2103</v>
      </c>
      <c r="C33" s="53" t="str">
        <f>VLOOKUP(VALUE(RIGHT(B33,5)),quests!A:D,4,FALSE)</f>
        <v>ツンデレ少女にお返しを！</v>
      </c>
      <c r="D33" s="53" t="str">
        <f t="shared" ref="D33" si="30">B33&amp;".png"</f>
        <v>quest47011.png</v>
      </c>
      <c r="E33" s="1" t="s">
        <v>2104</v>
      </c>
      <c r="F33" s="1" t="s">
        <v>1269</v>
      </c>
      <c r="G33" s="280">
        <v>4710</v>
      </c>
      <c r="H33" s="53">
        <v>1</v>
      </c>
      <c r="I33" s="53" t="s">
        <v>382</v>
      </c>
      <c r="J33" s="53" t="s">
        <v>1269</v>
      </c>
    </row>
    <row r="34" spans="1:13" x14ac:dyDescent="0.15">
      <c r="A34" s="167">
        <v>4712</v>
      </c>
      <c r="B34" s="7" t="s">
        <v>2202</v>
      </c>
      <c r="C34" s="53" t="str">
        <f>VLOOKUP(VALUE(RIGHT(B34,5)),quests!A:D,4,FALSE)</f>
        <v>春呼ぶキミの行方</v>
      </c>
      <c r="D34" s="53" t="str">
        <f t="shared" ref="D34" si="31">B34&amp;".png"</f>
        <v>quest47012.png</v>
      </c>
      <c r="E34" s="1" t="s">
        <v>1269</v>
      </c>
      <c r="F34" s="1" t="s">
        <v>1269</v>
      </c>
      <c r="G34" s="280">
        <v>10000</v>
      </c>
      <c r="H34" s="53">
        <v>1</v>
      </c>
      <c r="I34" s="53" t="s">
        <v>382</v>
      </c>
      <c r="J34" s="53" t="s">
        <v>1269</v>
      </c>
    </row>
    <row r="35" spans="1:13" x14ac:dyDescent="0.15">
      <c r="A35" s="167">
        <v>4713</v>
      </c>
      <c r="B35" s="7" t="s">
        <v>2259</v>
      </c>
      <c r="C35" s="53" t="str">
        <f>VLOOKUP(VALUE(RIGHT(B35,5)),quests!A:D,4,FALSE)</f>
        <v>スカルズ襲来！</v>
      </c>
      <c r="D35" s="53" t="str">
        <f t="shared" ref="D35" si="32">B35&amp;".png"</f>
        <v>quest47013.png</v>
      </c>
      <c r="E35" s="1">
        <v>50</v>
      </c>
      <c r="F35" s="1" t="s">
        <v>1269</v>
      </c>
      <c r="G35" s="320">
        <v>10000</v>
      </c>
      <c r="H35" s="53">
        <v>1</v>
      </c>
      <c r="I35" s="53" t="s">
        <v>382</v>
      </c>
      <c r="J35" s="53" t="s">
        <v>1269</v>
      </c>
    </row>
    <row r="36" spans="1:13" x14ac:dyDescent="0.15">
      <c r="A36" s="167">
        <v>4714</v>
      </c>
      <c r="B36" s="7" t="s">
        <v>2346</v>
      </c>
      <c r="C36" s="53" t="str">
        <f>VLOOKUP(VALUE(RIGHT(B36,5)),quests!A:D,4,FALSE)</f>
        <v>ヘルレイザー襲来！</v>
      </c>
      <c r="D36" s="53" t="str">
        <f t="shared" ref="D36:D37" si="33">B36&amp;".png"</f>
        <v>quest47014.png</v>
      </c>
      <c r="E36" s="1">
        <v>50</v>
      </c>
      <c r="F36" s="1" t="s">
        <v>1269</v>
      </c>
      <c r="G36" s="320">
        <v>10000</v>
      </c>
      <c r="H36" s="53">
        <v>1</v>
      </c>
      <c r="I36" s="53" t="s">
        <v>382</v>
      </c>
      <c r="J36" s="53" t="s">
        <v>1269</v>
      </c>
    </row>
    <row r="37" spans="1:13" x14ac:dyDescent="0.15">
      <c r="A37" s="167">
        <v>4715</v>
      </c>
      <c r="B37" s="7" t="s">
        <v>2380</v>
      </c>
      <c r="C37" s="53" t="str">
        <f>VLOOKUP(VALUE(RIGHT(B37,5)),quests!A:D,4,FALSE)</f>
        <v>後光射す白無垢装束</v>
      </c>
      <c r="D37" s="53" t="str">
        <f t="shared" si="33"/>
        <v>quest47015.png</v>
      </c>
      <c r="E37" s="1">
        <v>50</v>
      </c>
      <c r="F37" s="1" t="s">
        <v>1269</v>
      </c>
      <c r="G37" s="320">
        <v>10000</v>
      </c>
      <c r="H37" s="53">
        <v>1</v>
      </c>
      <c r="I37" s="53" t="s">
        <v>382</v>
      </c>
      <c r="J37" s="53" t="s">
        <v>1269</v>
      </c>
    </row>
    <row r="38" spans="1:13" x14ac:dyDescent="0.15">
      <c r="A38" s="167">
        <v>4716</v>
      </c>
      <c r="B38" s="7" t="s">
        <v>2381</v>
      </c>
      <c r="C38" s="53" t="str">
        <f>VLOOKUP(VALUE(RIGHT(B38,5)),quests!A:D,4,FALSE)</f>
        <v>嫁入り道具はチェーンソー</v>
      </c>
      <c r="D38" s="53" t="str">
        <f t="shared" ref="D38" si="34">B38&amp;".png"</f>
        <v>quest47016.png</v>
      </c>
      <c r="E38" s="1">
        <v>50</v>
      </c>
      <c r="F38" s="1" t="s">
        <v>1269</v>
      </c>
      <c r="G38" s="320">
        <v>10000</v>
      </c>
      <c r="H38" s="53">
        <v>1</v>
      </c>
      <c r="I38" s="53" t="s">
        <v>382</v>
      </c>
      <c r="J38" s="53" t="s">
        <v>1269</v>
      </c>
    </row>
    <row r="39" spans="1:13" x14ac:dyDescent="0.15">
      <c r="A39" s="167">
        <v>4110</v>
      </c>
      <c r="B39" s="7" t="s">
        <v>1456</v>
      </c>
      <c r="C39" s="53" t="str">
        <f>VLOOKUP(VALUE(RIGHT(B39,5)),quests!A:D,4,FALSE)</f>
        <v>フレイ襲来！</v>
      </c>
      <c r="D39" s="53" t="str">
        <f t="shared" si="17"/>
        <v>quest41010.png</v>
      </c>
      <c r="E39" s="1">
        <v>50</v>
      </c>
      <c r="F39" s="1" t="s">
        <v>1269</v>
      </c>
      <c r="G39" s="53">
        <f t="shared" si="18"/>
        <v>4110</v>
      </c>
      <c r="H39" s="53">
        <v>1</v>
      </c>
      <c r="I39" s="53" t="s">
        <v>382</v>
      </c>
      <c r="J39" s="53" t="s">
        <v>1388</v>
      </c>
    </row>
    <row r="40" spans="1:13" x14ac:dyDescent="0.15">
      <c r="A40" s="167">
        <v>4111</v>
      </c>
      <c r="B40" s="7" t="s">
        <v>1459</v>
      </c>
      <c r="C40" s="53" t="str">
        <f>VLOOKUP(VALUE(RIGHT(B40,5)),quests!A:D,4,FALSE)</f>
        <v>ヨミ襲来！</v>
      </c>
      <c r="D40" s="53" t="str">
        <f t="shared" si="17"/>
        <v>quest41011.png</v>
      </c>
      <c r="E40" s="1">
        <v>50</v>
      </c>
      <c r="F40" s="1" t="s">
        <v>1269</v>
      </c>
      <c r="G40" s="53">
        <f t="shared" si="18"/>
        <v>4111</v>
      </c>
      <c r="H40" s="53">
        <v>1</v>
      </c>
      <c r="I40" s="53" t="s">
        <v>382</v>
      </c>
      <c r="J40" s="53" t="s">
        <v>1388</v>
      </c>
    </row>
    <row r="41" spans="1:13" x14ac:dyDescent="0.15">
      <c r="A41" s="167">
        <v>4112</v>
      </c>
      <c r="B41" s="7" t="s">
        <v>1460</v>
      </c>
      <c r="C41" s="53" t="str">
        <f>VLOOKUP(VALUE(RIGHT(B41,5)),quests!A:D,4,FALSE)</f>
        <v>ショウキ襲来！</v>
      </c>
      <c r="D41" s="53" t="str">
        <f t="shared" si="17"/>
        <v>quest41012.png</v>
      </c>
      <c r="E41" s="1">
        <v>50</v>
      </c>
      <c r="F41" s="1" t="s">
        <v>1269</v>
      </c>
      <c r="G41" s="53">
        <f t="shared" si="18"/>
        <v>4112</v>
      </c>
      <c r="H41" s="53">
        <v>1</v>
      </c>
      <c r="I41" s="53" t="s">
        <v>382</v>
      </c>
      <c r="J41" s="53" t="s">
        <v>1388</v>
      </c>
    </row>
    <row r="42" spans="1:13" x14ac:dyDescent="0.15">
      <c r="A42" s="167">
        <v>4113</v>
      </c>
      <c r="B42" s="7" t="s">
        <v>1474</v>
      </c>
      <c r="C42" s="53" t="str">
        <f>VLOOKUP(VALUE(RIGHT(B42,5)),quests!A:D,4,FALSE)</f>
        <v>カーマ襲来！</v>
      </c>
      <c r="D42" s="53" t="str">
        <f t="shared" ref="D42" si="35">B42&amp;".png"</f>
        <v>quest41013.png</v>
      </c>
      <c r="E42" s="1">
        <v>50</v>
      </c>
      <c r="F42" s="1" t="s">
        <v>1269</v>
      </c>
      <c r="G42" s="53">
        <f t="shared" ref="G42" si="36">A42</f>
        <v>4113</v>
      </c>
      <c r="H42" s="53">
        <v>1</v>
      </c>
      <c r="I42" s="53" t="s">
        <v>382</v>
      </c>
      <c r="J42" s="53" t="s">
        <v>1337</v>
      </c>
    </row>
    <row r="43" spans="1:13" x14ac:dyDescent="0.15">
      <c r="A43" s="167">
        <v>4114</v>
      </c>
      <c r="B43" s="7" t="s">
        <v>1496</v>
      </c>
      <c r="C43" s="53" t="str">
        <f>VLOOKUP(VALUE(RIGHT(B43,5)),quests!A:D,4,FALSE)</f>
        <v>シヴァ襲来！</v>
      </c>
      <c r="D43" s="53" t="str">
        <f t="shared" ref="D43" si="37">B43&amp;".png"</f>
        <v>quest41014.png</v>
      </c>
      <c r="E43" s="1">
        <v>50</v>
      </c>
      <c r="F43" s="1" t="s">
        <v>1269</v>
      </c>
      <c r="G43" s="53">
        <f t="shared" ref="G43:G44" si="38">A43</f>
        <v>4114</v>
      </c>
      <c r="H43" s="53">
        <v>1</v>
      </c>
      <c r="I43" s="53" t="s">
        <v>382</v>
      </c>
      <c r="J43" s="53" t="s">
        <v>1269</v>
      </c>
    </row>
    <row r="44" spans="1:13" x14ac:dyDescent="0.15">
      <c r="A44" s="167">
        <v>4115</v>
      </c>
      <c r="B44" s="7" t="s">
        <v>1522</v>
      </c>
      <c r="C44" s="53" t="str">
        <f>VLOOKUP(VALUE(RIGHT(B44,5)),quests!A:D,4,FALSE)</f>
        <v>ガレス襲来！</v>
      </c>
      <c r="D44" s="53" t="str">
        <f t="shared" ref="D44" si="39">B44&amp;".png"</f>
        <v>quest41015.png</v>
      </c>
      <c r="E44" s="1">
        <v>50</v>
      </c>
      <c r="F44" s="1" t="s">
        <v>1269</v>
      </c>
      <c r="G44" s="53">
        <f t="shared" si="38"/>
        <v>4115</v>
      </c>
      <c r="H44" s="53">
        <v>1</v>
      </c>
      <c r="I44" s="53" t="s">
        <v>382</v>
      </c>
      <c r="J44" s="53" t="s">
        <v>1269</v>
      </c>
    </row>
    <row r="45" spans="1:13" x14ac:dyDescent="0.15">
      <c r="A45" s="217" t="str">
        <f>"6"&amp;TEXT(RIGHT(B45,3),"000")</f>
        <v>6013</v>
      </c>
      <c r="B45" s="7" t="s">
        <v>1465</v>
      </c>
      <c r="C45" s="53" t="str">
        <f>VLOOKUP(VALUE(RIGHT(B45,5)),quests!A:D,4,FALSE)</f>
        <v>オイラーチャレンジ</v>
      </c>
      <c r="D45" s="53" t="str">
        <f t="shared" si="17"/>
        <v>quest60013.png</v>
      </c>
      <c r="E45" s="1">
        <v>30</v>
      </c>
      <c r="F45" s="1" t="s">
        <v>1269</v>
      </c>
      <c r="G45" s="53" t="str">
        <f t="shared" si="18"/>
        <v>6013</v>
      </c>
      <c r="H45" s="53">
        <v>1317</v>
      </c>
      <c r="I45" s="53" t="s">
        <v>967</v>
      </c>
      <c r="J45" s="53" t="s">
        <v>1269</v>
      </c>
    </row>
    <row r="46" spans="1:13" x14ac:dyDescent="0.15">
      <c r="A46" s="247">
        <v>6014</v>
      </c>
      <c r="B46" s="7" t="s">
        <v>1525</v>
      </c>
      <c r="C46" s="53" t="str">
        <f>VLOOKUP(VALUE(RIGHT(B46,5)),quests!A:D,4,FALSE)</f>
        <v xml:space="preserve">クロネッカーチャレンジ </v>
      </c>
      <c r="D46" s="53" t="str">
        <f t="shared" ref="D46" si="40">B46&amp;".png"</f>
        <v>quest60014.png</v>
      </c>
      <c r="E46" s="1">
        <v>30</v>
      </c>
      <c r="F46" s="1" t="s">
        <v>1269</v>
      </c>
      <c r="G46" s="53">
        <f t="shared" ref="G46" si="41">A46</f>
        <v>6014</v>
      </c>
      <c r="H46" s="53">
        <v>1615</v>
      </c>
      <c r="I46" s="53" t="s">
        <v>967</v>
      </c>
      <c r="J46" s="53" t="s">
        <v>1269</v>
      </c>
    </row>
    <row r="47" spans="1:13" ht="15" x14ac:dyDescent="0.15">
      <c r="A47" s="167">
        <v>3038</v>
      </c>
      <c r="B47" s="7" t="s">
        <v>1488</v>
      </c>
      <c r="C47" s="53" t="str">
        <f>VLOOKUP(VALUE(RIGHT(B47,5)),quests!A:D,4,FALSE)</f>
        <v>毒絶神の願い</v>
      </c>
      <c r="D47" s="53" t="str">
        <f t="shared" si="17"/>
        <v>quest30038.png</v>
      </c>
      <c r="E47" s="1">
        <v>30</v>
      </c>
      <c r="F47" s="1" t="s">
        <v>1269</v>
      </c>
      <c r="G47" s="53">
        <f t="shared" si="18"/>
        <v>3038</v>
      </c>
      <c r="H47" s="53">
        <v>1</v>
      </c>
      <c r="I47" s="53" t="s">
        <v>382</v>
      </c>
      <c r="J47" s="53" t="s">
        <v>1269</v>
      </c>
      <c r="K47" s="1"/>
      <c r="L47" s="224"/>
      <c r="M47" s="224"/>
    </row>
    <row r="48" spans="1:13" x14ac:dyDescent="0.15">
      <c r="A48" s="240">
        <v>4926</v>
      </c>
      <c r="B48" s="7" t="s">
        <v>1489</v>
      </c>
      <c r="C48" s="53" t="str">
        <f>VLOOKUP(VALUE(RIGHT(B48,5)),quests!A:D,4,FALSE)</f>
        <v>シガンシナ区攻防戦</v>
      </c>
      <c r="D48" s="53" t="str">
        <f t="shared" si="17"/>
        <v>quest39006.png</v>
      </c>
      <c r="E48" s="1">
        <v>30</v>
      </c>
      <c r="F48" s="1" t="s">
        <v>1272</v>
      </c>
      <c r="G48" s="53">
        <f t="shared" si="18"/>
        <v>4926</v>
      </c>
      <c r="H48" s="53">
        <v>1</v>
      </c>
      <c r="I48" s="53" t="s">
        <v>382</v>
      </c>
      <c r="J48" s="53" t="s">
        <v>1269</v>
      </c>
    </row>
    <row r="49" spans="1:13" x14ac:dyDescent="0.15">
      <c r="A49" s="240">
        <v>4927</v>
      </c>
      <c r="B49" s="7" t="s">
        <v>1490</v>
      </c>
      <c r="C49" s="53" t="str">
        <f>VLOOKUP(VALUE(RIGHT(B49,5)),quests!A:D,4,FALSE)</f>
        <v>超大型巨人襲来！</v>
      </c>
      <c r="D49" s="53" t="str">
        <f t="shared" ref="D49" si="42">B49&amp;".png"</f>
        <v>quest49006.png</v>
      </c>
      <c r="E49" s="1">
        <v>50</v>
      </c>
      <c r="F49" s="1" t="s">
        <v>1269</v>
      </c>
      <c r="G49" s="53">
        <f t="shared" si="18"/>
        <v>4927</v>
      </c>
      <c r="H49" s="53">
        <v>1</v>
      </c>
      <c r="I49" s="53" t="s">
        <v>382</v>
      </c>
      <c r="J49" s="53" t="s">
        <v>1269</v>
      </c>
    </row>
    <row r="50" spans="1:13" x14ac:dyDescent="0.15">
      <c r="A50" s="240">
        <v>4928</v>
      </c>
      <c r="B50" s="7" t="s">
        <v>1578</v>
      </c>
      <c r="C50" s="53" t="str">
        <f>VLOOKUP(VALUE(RIGHT(B50,5)),quests!A:D,4,FALSE)</f>
        <v>TVCM第2弾放送記念★特別クエスト</v>
      </c>
      <c r="D50" s="53" t="str">
        <f t="shared" ref="D50" si="43">B50&amp;".png"</f>
        <v>quest11227.png</v>
      </c>
      <c r="E50" s="1" t="s">
        <v>1579</v>
      </c>
      <c r="F50" s="1" t="s">
        <v>1269</v>
      </c>
      <c r="G50" s="53">
        <f t="shared" ref="G50" si="44">A50</f>
        <v>4928</v>
      </c>
      <c r="H50" s="53">
        <v>1</v>
      </c>
      <c r="I50" s="53" t="s">
        <v>382</v>
      </c>
      <c r="J50" s="53" t="s">
        <v>1269</v>
      </c>
    </row>
    <row r="51" spans="1:13" x14ac:dyDescent="0.15">
      <c r="A51" s="167">
        <v>4022</v>
      </c>
      <c r="B51" s="7" t="s">
        <v>1506</v>
      </c>
      <c r="C51" s="53" t="str">
        <f>VLOOKUP(VALUE(RIGHT(B51,5)),quests!A:D,4,FALSE)</f>
        <v>オシリス襲来！</v>
      </c>
      <c r="D51" s="53" t="str">
        <f t="shared" ref="D51" si="45">B51&amp;".png"</f>
        <v>quest40022.png</v>
      </c>
      <c r="E51" s="1">
        <v>50</v>
      </c>
      <c r="F51" s="1" t="s">
        <v>1269</v>
      </c>
      <c r="G51" s="53">
        <f t="shared" ref="G51" si="46">A51</f>
        <v>4022</v>
      </c>
      <c r="H51" s="53">
        <v>1</v>
      </c>
      <c r="I51" s="53" t="s">
        <v>382</v>
      </c>
      <c r="J51" s="53" t="s">
        <v>1269</v>
      </c>
    </row>
    <row r="52" spans="1:13" x14ac:dyDescent="0.15">
      <c r="A52" s="167">
        <v>1017</v>
      </c>
      <c r="B52" s="7" t="s">
        <v>1507</v>
      </c>
      <c r="C52" s="53" t="str">
        <f>VLOOKUP(VALUE(RIGHT(B52,5)),quests!A:D,4,FALSE)</f>
        <v>【期間限定】リトルハンプティを追え！</v>
      </c>
      <c r="D52" s="53" t="str">
        <f t="shared" ref="D52" si="47">B52&amp;".png"</f>
        <v>quest11017.png</v>
      </c>
      <c r="E52" s="1" t="s">
        <v>1508</v>
      </c>
      <c r="F52" s="1" t="s">
        <v>1269</v>
      </c>
      <c r="G52" s="53">
        <v>4915</v>
      </c>
      <c r="H52" s="53">
        <v>1</v>
      </c>
      <c r="I52" s="53" t="s">
        <v>382</v>
      </c>
      <c r="J52" s="53" t="s">
        <v>1269</v>
      </c>
    </row>
    <row r="53" spans="1:13" x14ac:dyDescent="0.15">
      <c r="A53" s="167">
        <v>2019</v>
      </c>
      <c r="B53" s="7" t="s">
        <v>1511</v>
      </c>
      <c r="C53" s="53" t="str">
        <f>VLOOKUP(VALUE(RIGHT(B53,5)),quests!A:D,4,FALSE)</f>
        <v>灼熱の舞姫</v>
      </c>
      <c r="D53" s="53" t="str">
        <f t="shared" ref="D53:D54" si="48">B53&amp;".png"</f>
        <v>quest20019.png</v>
      </c>
      <c r="E53" s="1">
        <v>15</v>
      </c>
      <c r="F53" s="1" t="s">
        <v>1269</v>
      </c>
      <c r="G53" s="53">
        <f t="shared" ref="G53:G54" si="49">A53</f>
        <v>2019</v>
      </c>
      <c r="H53" s="53">
        <v>1</v>
      </c>
      <c r="I53" s="53" t="s">
        <v>382</v>
      </c>
      <c r="J53" s="53" t="s">
        <v>1269</v>
      </c>
    </row>
    <row r="54" spans="1:13" ht="15" x14ac:dyDescent="0.15">
      <c r="A54" s="167">
        <v>3039</v>
      </c>
      <c r="B54" s="7" t="s">
        <v>1547</v>
      </c>
      <c r="C54" s="53" t="str">
        <f>VLOOKUP(VALUE(RIGHT(B54,5)),quests!A:D,4,FALSE)</f>
        <v>ゼロワン・ゲーム</v>
      </c>
      <c r="D54" s="53" t="str">
        <f t="shared" si="48"/>
        <v>quest30039.png</v>
      </c>
      <c r="E54" s="1">
        <v>30</v>
      </c>
      <c r="F54" s="1" t="s">
        <v>1269</v>
      </c>
      <c r="G54" s="53">
        <f t="shared" si="49"/>
        <v>3039</v>
      </c>
      <c r="H54" s="53">
        <v>1</v>
      </c>
      <c r="I54" s="53" t="s">
        <v>382</v>
      </c>
      <c r="J54" s="53" t="s">
        <v>1269</v>
      </c>
      <c r="K54" s="1"/>
      <c r="L54" s="224"/>
      <c r="M54" s="224"/>
    </row>
    <row r="55" spans="1:13" ht="15" x14ac:dyDescent="0.15">
      <c r="A55" s="167">
        <v>4023</v>
      </c>
      <c r="B55" s="7" t="s">
        <v>1555</v>
      </c>
      <c r="C55" s="53" t="str">
        <f>VLOOKUP(VALUE(RIGHT(B55,5)),quests!A:D,4,FALSE)</f>
        <v>武蔵坊弁慶襲来！</v>
      </c>
      <c r="D55" s="53" t="str">
        <f t="shared" ref="D55:D57" si="50">B55&amp;".png"</f>
        <v>quest40023.png</v>
      </c>
      <c r="E55" s="1">
        <v>50</v>
      </c>
      <c r="F55" s="1" t="s">
        <v>1269</v>
      </c>
      <c r="G55" s="53">
        <f t="shared" ref="G55:G57" si="51">A55</f>
        <v>4023</v>
      </c>
      <c r="H55" s="53">
        <v>1</v>
      </c>
      <c r="I55" s="53" t="s">
        <v>382</v>
      </c>
      <c r="J55" s="53" t="s">
        <v>1269</v>
      </c>
      <c r="K55" s="1"/>
      <c r="L55" s="224"/>
      <c r="M55" s="224"/>
    </row>
    <row r="56" spans="1:13" ht="15" x14ac:dyDescent="0.15">
      <c r="A56" s="167">
        <v>4024</v>
      </c>
      <c r="B56" s="7" t="s">
        <v>1556</v>
      </c>
      <c r="C56" s="53" t="str">
        <f>VLOOKUP(VALUE(RIGHT(B56,5)),quests!A:D,4,FALSE)</f>
        <v>アトラス襲来！</v>
      </c>
      <c r="D56" s="53" t="str">
        <f t="shared" si="50"/>
        <v>quest40024.png</v>
      </c>
      <c r="E56" s="1">
        <v>50</v>
      </c>
      <c r="F56" s="1" t="s">
        <v>1269</v>
      </c>
      <c r="G56" s="53">
        <f t="shared" si="51"/>
        <v>4024</v>
      </c>
      <c r="H56" s="53">
        <v>1</v>
      </c>
      <c r="I56" s="53" t="s">
        <v>382</v>
      </c>
      <c r="J56" s="53" t="s">
        <v>1269</v>
      </c>
      <c r="K56" s="1"/>
      <c r="L56" s="224"/>
      <c r="M56" s="224"/>
    </row>
    <row r="57" spans="1:13" x14ac:dyDescent="0.15">
      <c r="A57" s="167">
        <v>6015</v>
      </c>
      <c r="B57" s="7" t="s">
        <v>1573</v>
      </c>
      <c r="C57" s="53" t="str">
        <f>VLOOKUP(VALUE(RIGHT(B57,5)),quests!A:D,4,FALSE)</f>
        <v>ラグランジュチャレンジ</v>
      </c>
      <c r="D57" s="53" t="str">
        <f t="shared" si="50"/>
        <v>quest60015.png</v>
      </c>
      <c r="E57" s="1">
        <v>30</v>
      </c>
      <c r="F57" s="1" t="s">
        <v>1272</v>
      </c>
      <c r="G57" s="53">
        <f t="shared" si="51"/>
        <v>6015</v>
      </c>
      <c r="H57" s="53">
        <v>1891</v>
      </c>
      <c r="I57" s="53" t="s">
        <v>382</v>
      </c>
      <c r="J57" s="53" t="s">
        <v>1269</v>
      </c>
    </row>
    <row r="58" spans="1:13" ht="15" x14ac:dyDescent="0.15">
      <c r="A58" s="33">
        <v>4026</v>
      </c>
      <c r="B58" s="7" t="s">
        <v>1584</v>
      </c>
      <c r="C58" s="53" t="str">
        <f>VLOOKUP(VALUE(RIGHT(B58,5)),quests!A:D,4,FALSE)</f>
        <v>ミケランジェロ襲来！</v>
      </c>
      <c r="D58" s="53" t="str">
        <f t="shared" ref="D58" si="52">B58&amp;".png"</f>
        <v>quest40026.png</v>
      </c>
      <c r="E58" s="1">
        <v>50</v>
      </c>
      <c r="F58" s="1" t="s">
        <v>1269</v>
      </c>
      <c r="G58" s="53">
        <f t="shared" ref="G58" si="53">A58</f>
        <v>4026</v>
      </c>
      <c r="H58" s="53">
        <v>1</v>
      </c>
      <c r="I58" s="53" t="s">
        <v>382</v>
      </c>
      <c r="J58" s="53" t="s">
        <v>1269</v>
      </c>
      <c r="K58" s="1"/>
      <c r="L58" s="224"/>
      <c r="M58" s="224"/>
    </row>
    <row r="59" spans="1:13" ht="15" x14ac:dyDescent="0.15">
      <c r="A59" s="33">
        <v>4027</v>
      </c>
      <c r="B59" s="7" t="s">
        <v>1593</v>
      </c>
      <c r="C59" s="53" t="str">
        <f>VLOOKUP(VALUE(RIGHT(B59,5)),quests!A:D,4,FALSE)</f>
        <v>コルキス襲来！</v>
      </c>
      <c r="D59" s="53" t="str">
        <f t="shared" ref="D59:D64" si="54">B59&amp;".png"</f>
        <v>quest40027.png</v>
      </c>
      <c r="E59" s="1">
        <v>50</v>
      </c>
      <c r="F59" s="1" t="s">
        <v>1269</v>
      </c>
      <c r="G59" s="53">
        <f t="shared" ref="G59:G64" si="55">A59</f>
        <v>4027</v>
      </c>
      <c r="H59" s="53">
        <v>1</v>
      </c>
      <c r="I59" s="53" t="s">
        <v>382</v>
      </c>
      <c r="J59" s="53" t="s">
        <v>1269</v>
      </c>
      <c r="K59" s="1"/>
      <c r="L59" s="224"/>
      <c r="M59" s="224"/>
    </row>
    <row r="60" spans="1:13" x14ac:dyDescent="0.15">
      <c r="A60" s="167">
        <v>2020</v>
      </c>
      <c r="B60" s="7" t="s">
        <v>1598</v>
      </c>
      <c r="C60" s="53" t="str">
        <f>VLOOKUP(VALUE(RIGHT(B60,5)),quests!A:D,4,FALSE)</f>
        <v>変幻自在の風</v>
      </c>
      <c r="D60" s="53" t="str">
        <f t="shared" si="54"/>
        <v>quest20020.png</v>
      </c>
      <c r="E60" s="1">
        <v>15</v>
      </c>
      <c r="F60" s="1" t="s">
        <v>1269</v>
      </c>
      <c r="G60" s="53">
        <f t="shared" si="55"/>
        <v>2020</v>
      </c>
      <c r="H60" s="53">
        <v>1</v>
      </c>
      <c r="I60" s="53" t="s">
        <v>382</v>
      </c>
      <c r="J60" s="53" t="s">
        <v>1269</v>
      </c>
    </row>
    <row r="61" spans="1:13" x14ac:dyDescent="0.15">
      <c r="A61" s="167">
        <v>3040</v>
      </c>
      <c r="B61" s="7" t="s">
        <v>1604</v>
      </c>
      <c r="C61" s="53" t="str">
        <f>VLOOKUP(VALUE(RIGHT(B61,5)),quests!A:D,4,FALSE)</f>
        <v>闇ヨリ出ル魔獣</v>
      </c>
      <c r="D61" s="53" t="str">
        <f t="shared" si="54"/>
        <v>quest30040.png</v>
      </c>
      <c r="E61" s="1">
        <v>30</v>
      </c>
      <c r="F61" s="1" t="s">
        <v>1269</v>
      </c>
      <c r="G61" s="53">
        <f t="shared" si="55"/>
        <v>3040</v>
      </c>
      <c r="H61" s="53">
        <v>1</v>
      </c>
      <c r="I61" s="53" t="s">
        <v>382</v>
      </c>
      <c r="J61" s="53" t="s">
        <v>1269</v>
      </c>
    </row>
    <row r="62" spans="1:13" ht="15" x14ac:dyDescent="0.15">
      <c r="A62" s="167">
        <v>4025</v>
      </c>
      <c r="B62" s="7" t="s">
        <v>1606</v>
      </c>
      <c r="C62" s="53" t="str">
        <f>VLOOKUP(VALUE(RIGHT(B62,5)),quests!A:D,4,FALSE)</f>
        <v>ティアマト襲来！</v>
      </c>
      <c r="D62" s="53" t="str">
        <f t="shared" si="54"/>
        <v>quest40025.png</v>
      </c>
      <c r="E62" s="1">
        <v>50</v>
      </c>
      <c r="F62" s="1" t="s">
        <v>1269</v>
      </c>
      <c r="G62" s="53">
        <f t="shared" si="55"/>
        <v>4025</v>
      </c>
      <c r="H62" s="53">
        <v>1</v>
      </c>
      <c r="I62" s="53" t="s">
        <v>382</v>
      </c>
      <c r="J62" s="53" t="s">
        <v>1269</v>
      </c>
      <c r="K62" s="1"/>
      <c r="L62" s="224"/>
      <c r="M62" s="224"/>
    </row>
    <row r="63" spans="1:13" ht="15" x14ac:dyDescent="0.15">
      <c r="A63" s="167">
        <v>5007</v>
      </c>
      <c r="B63" s="7" t="s">
        <v>1614</v>
      </c>
      <c r="C63" s="53" t="str">
        <f>VLOOKUP(VALUE(RIGHT(B63,5)),quests!A:D,4,FALSE)</f>
        <v>ギルガメッシュ襲来！</v>
      </c>
      <c r="D63" s="53" t="str">
        <f t="shared" si="54"/>
        <v>quest50007.png</v>
      </c>
      <c r="E63" s="1">
        <v>60</v>
      </c>
      <c r="F63" s="1" t="s">
        <v>1272</v>
      </c>
      <c r="G63" s="53">
        <f t="shared" si="55"/>
        <v>5007</v>
      </c>
      <c r="H63" s="53">
        <v>1</v>
      </c>
      <c r="I63" s="53" t="s">
        <v>967</v>
      </c>
      <c r="J63" s="53" t="s">
        <v>1269</v>
      </c>
      <c r="L63" s="224"/>
      <c r="M63" s="224"/>
    </row>
    <row r="64" spans="1:13" x14ac:dyDescent="0.15">
      <c r="A64" s="167">
        <v>6016</v>
      </c>
      <c r="B64" s="7" t="s">
        <v>1615</v>
      </c>
      <c r="C64" s="53" t="str">
        <f>VLOOKUP(VALUE(RIGHT(B64,5)),quests!A:D,4,FALSE)</f>
        <v>シュレディンガーチャレンジ</v>
      </c>
      <c r="D64" s="53" t="str">
        <f t="shared" si="54"/>
        <v>quest60016.png</v>
      </c>
      <c r="E64" s="1">
        <v>30</v>
      </c>
      <c r="F64" s="1" t="s">
        <v>1272</v>
      </c>
      <c r="G64" s="53">
        <f t="shared" si="55"/>
        <v>6016</v>
      </c>
      <c r="H64" s="53">
        <v>1998</v>
      </c>
      <c r="I64" s="53" t="s">
        <v>382</v>
      </c>
      <c r="J64" s="53" t="s">
        <v>1269</v>
      </c>
    </row>
    <row r="65" spans="1:13" ht="15" x14ac:dyDescent="0.15">
      <c r="A65" s="33">
        <v>4030</v>
      </c>
      <c r="B65" s="7" t="s">
        <v>1622</v>
      </c>
      <c r="C65" s="53" t="str">
        <f>VLOOKUP(VALUE(RIGHT(B65,5)),quests!A:D,4,FALSE)</f>
        <v>エリス襲来！</v>
      </c>
      <c r="D65" s="53" t="str">
        <f t="shared" ref="D65:D66" si="56">B65&amp;".png"</f>
        <v>quest40030.png</v>
      </c>
      <c r="E65" s="1">
        <v>50</v>
      </c>
      <c r="F65" s="1" t="s">
        <v>1269</v>
      </c>
      <c r="G65" s="53">
        <f t="shared" ref="G65:G66" si="57">A65</f>
        <v>4030</v>
      </c>
      <c r="H65" s="53">
        <v>1</v>
      </c>
      <c r="I65" s="53" t="s">
        <v>382</v>
      </c>
      <c r="J65" s="53" t="s">
        <v>1269</v>
      </c>
      <c r="K65" s="1"/>
      <c r="L65" s="224"/>
      <c r="M65" s="224"/>
    </row>
    <row r="66" spans="1:13" x14ac:dyDescent="0.15">
      <c r="A66" s="167">
        <v>3041</v>
      </c>
      <c r="B66" s="7" t="s">
        <v>1631</v>
      </c>
      <c r="C66" s="53" t="str">
        <f>VLOOKUP(VALUE(RIGHT(B66,5)),quests!A:D,4,FALSE)</f>
        <v>パラノイア・アート</v>
      </c>
      <c r="D66" s="53" t="str">
        <f t="shared" si="56"/>
        <v>quest30041.png</v>
      </c>
      <c r="E66" s="1">
        <v>30</v>
      </c>
      <c r="F66" s="1" t="s">
        <v>1269</v>
      </c>
      <c r="G66" s="53">
        <f t="shared" si="57"/>
        <v>3041</v>
      </c>
      <c r="H66" s="53">
        <v>1</v>
      </c>
      <c r="I66" s="53" t="s">
        <v>382</v>
      </c>
      <c r="J66" s="53" t="s">
        <v>1269</v>
      </c>
    </row>
    <row r="67" spans="1:13" ht="15" x14ac:dyDescent="0.15">
      <c r="A67" s="167">
        <v>4028</v>
      </c>
      <c r="B67" s="7" t="s">
        <v>1633</v>
      </c>
      <c r="C67" s="53" t="str">
        <f>VLOOKUP(VALUE(RIGHT(B67,5)),quests!A:D,4,FALSE)</f>
        <v>ルピカ襲来！</v>
      </c>
      <c r="D67" s="53" t="str">
        <f t="shared" ref="D67:D81" si="58">B67&amp;".png"</f>
        <v>quest40028.png</v>
      </c>
      <c r="E67" s="1">
        <v>50</v>
      </c>
      <c r="F67" s="1" t="s">
        <v>1269</v>
      </c>
      <c r="G67" s="53">
        <f t="shared" ref="G67:G80" si="59">A67</f>
        <v>4028</v>
      </c>
      <c r="H67" s="53">
        <v>1</v>
      </c>
      <c r="I67" s="53" t="s">
        <v>382</v>
      </c>
      <c r="J67" s="53" t="s">
        <v>1269</v>
      </c>
      <c r="K67" s="1"/>
      <c r="L67" s="224"/>
      <c r="M67" s="224"/>
    </row>
    <row r="68" spans="1:13" x14ac:dyDescent="0.15">
      <c r="A68" s="167">
        <v>2021</v>
      </c>
      <c r="B68" s="7" t="s">
        <v>1643</v>
      </c>
      <c r="C68" s="53" t="str">
        <f>VLOOKUP(VALUE(RIGHT(B68,5)),quests!A:D,4,FALSE)</f>
        <v>ペインター・オブ・ラブ</v>
      </c>
      <c r="D68" s="53" t="str">
        <f t="shared" si="58"/>
        <v>quest20021.png</v>
      </c>
      <c r="E68" s="1">
        <v>15</v>
      </c>
      <c r="F68" s="1" t="s">
        <v>1269</v>
      </c>
      <c r="G68" s="53">
        <f t="shared" si="59"/>
        <v>2021</v>
      </c>
      <c r="H68" s="53">
        <v>1</v>
      </c>
      <c r="I68" s="53" t="s">
        <v>382</v>
      </c>
      <c r="J68" s="53" t="s">
        <v>1269</v>
      </c>
    </row>
    <row r="69" spans="1:13" x14ac:dyDescent="0.15">
      <c r="A69" s="167">
        <v>3042</v>
      </c>
      <c r="B69" s="7" t="s">
        <v>1645</v>
      </c>
      <c r="C69" s="53" t="str">
        <f>VLOOKUP(VALUE(RIGHT(B69,5)),quests!A:D,4,FALSE)</f>
        <v>馬中に赤兎あり！</v>
      </c>
      <c r="D69" s="53" t="str">
        <f t="shared" si="58"/>
        <v>quest30042.png</v>
      </c>
      <c r="E69" s="1">
        <v>30</v>
      </c>
      <c r="F69" s="1" t="s">
        <v>1269</v>
      </c>
      <c r="G69" s="53">
        <f t="shared" si="59"/>
        <v>3042</v>
      </c>
      <c r="H69" s="53">
        <v>1</v>
      </c>
      <c r="I69" s="53" t="s">
        <v>382</v>
      </c>
      <c r="J69" s="53" t="s">
        <v>1269</v>
      </c>
    </row>
    <row r="70" spans="1:13" x14ac:dyDescent="0.15">
      <c r="A70" s="167">
        <v>3043</v>
      </c>
      <c r="B70" s="7" t="s">
        <v>1709</v>
      </c>
      <c r="C70" s="53" t="str">
        <f>VLOOKUP(VALUE(RIGHT(B70,5)),quests!A:D,4,FALSE)</f>
        <v>小さな破壊竜</v>
      </c>
      <c r="D70" s="53" t="str">
        <f t="shared" ref="D70" si="60">B70&amp;".png"</f>
        <v>quest30043.png</v>
      </c>
      <c r="E70" s="1">
        <v>30</v>
      </c>
      <c r="F70" s="1" t="s">
        <v>1269</v>
      </c>
      <c r="G70" s="53">
        <f t="shared" ref="G70" si="61">A70</f>
        <v>3043</v>
      </c>
      <c r="H70" s="53">
        <v>1</v>
      </c>
      <c r="I70" s="53" t="s">
        <v>382</v>
      </c>
      <c r="J70" s="53" t="s">
        <v>1269</v>
      </c>
    </row>
    <row r="71" spans="1:13" x14ac:dyDescent="0.15">
      <c r="A71" s="167">
        <v>3044</v>
      </c>
      <c r="B71" s="7" t="s">
        <v>1789</v>
      </c>
      <c r="C71" s="53" t="str">
        <f>VLOOKUP(VALUE(RIGHT(B71,5)),quests!A:D,4,FALSE)</f>
        <v>冷酷なる遂行者</v>
      </c>
      <c r="D71" s="53" t="str">
        <f t="shared" ref="D71" si="62">B71&amp;".png"</f>
        <v>quest30044.png</v>
      </c>
      <c r="E71" s="1">
        <v>30</v>
      </c>
      <c r="F71" s="1" t="s">
        <v>1269</v>
      </c>
      <c r="G71" s="53">
        <f t="shared" ref="G71" si="63">A71</f>
        <v>3044</v>
      </c>
      <c r="H71" s="53">
        <v>1</v>
      </c>
      <c r="I71" s="53" t="s">
        <v>382</v>
      </c>
      <c r="J71" s="53" t="s">
        <v>1269</v>
      </c>
    </row>
    <row r="72" spans="1:13" x14ac:dyDescent="0.15">
      <c r="A72" s="167">
        <v>3045</v>
      </c>
      <c r="B72" s="7" t="s">
        <v>1848</v>
      </c>
      <c r="C72" s="53" t="str">
        <f>VLOOKUP(VALUE(RIGHT(B72,5)),quests!A:D,4,FALSE)</f>
        <v>れもん色の衝動</v>
      </c>
      <c r="D72" s="53" t="str">
        <f t="shared" ref="D72" si="64">B72&amp;".png"</f>
        <v>quest30045.png</v>
      </c>
      <c r="E72" s="1">
        <v>30</v>
      </c>
      <c r="F72" s="1" t="s">
        <v>1269</v>
      </c>
      <c r="G72" s="53">
        <f t="shared" ref="G72" si="65">A72</f>
        <v>3045</v>
      </c>
      <c r="H72" s="53">
        <v>1</v>
      </c>
      <c r="I72" s="53" t="s">
        <v>382</v>
      </c>
      <c r="J72" s="53" t="s">
        <v>1269</v>
      </c>
    </row>
    <row r="73" spans="1:13" x14ac:dyDescent="0.15">
      <c r="A73" s="167">
        <v>3046</v>
      </c>
      <c r="B73" s="7" t="s">
        <v>1967</v>
      </c>
      <c r="C73" s="53" t="str">
        <f>VLOOKUP(VALUE(RIGHT(B73,5)),quests!A:D,4,FALSE)</f>
        <v>千利の道も一歩から！</v>
      </c>
      <c r="D73" s="53" t="str">
        <f t="shared" ref="D73" si="66">B73&amp;".png"</f>
        <v>quest30046.png</v>
      </c>
      <c r="E73" s="1">
        <v>30</v>
      </c>
      <c r="F73" s="1" t="s">
        <v>1269</v>
      </c>
      <c r="G73" s="53">
        <f t="shared" ref="G73" si="67">A73</f>
        <v>3046</v>
      </c>
      <c r="H73" s="53">
        <v>1</v>
      </c>
      <c r="I73" s="53" t="s">
        <v>382</v>
      </c>
      <c r="J73" s="53" t="s">
        <v>1269</v>
      </c>
    </row>
    <row r="74" spans="1:13" x14ac:dyDescent="0.15">
      <c r="A74" s="167">
        <v>3047</v>
      </c>
      <c r="B74" s="7" t="s">
        <v>1990</v>
      </c>
      <c r="C74" s="53" t="str">
        <f>VLOOKUP(VALUE(RIGHT(B74,5)),quests!A:D,4,FALSE)</f>
        <v>終末の旋律</v>
      </c>
      <c r="D74" s="53" t="str">
        <f t="shared" ref="D74" si="68">B74&amp;".png"</f>
        <v>quest30047.png</v>
      </c>
      <c r="E74" s="1">
        <v>30</v>
      </c>
      <c r="F74" s="1" t="s">
        <v>1269</v>
      </c>
      <c r="G74" s="53">
        <f t="shared" ref="G74" si="69">A74</f>
        <v>3047</v>
      </c>
      <c r="H74" s="53">
        <v>1</v>
      </c>
      <c r="I74" s="53" t="s">
        <v>382</v>
      </c>
      <c r="J74" s="53" t="s">
        <v>1269</v>
      </c>
    </row>
    <row r="75" spans="1:13" x14ac:dyDescent="0.15">
      <c r="A75" s="167">
        <v>3048</v>
      </c>
      <c r="B75" s="7" t="s">
        <v>2028</v>
      </c>
      <c r="C75" s="53" t="str">
        <f>VLOOKUP(VALUE(RIGHT(B75,5)),quests!A:D,4,FALSE)</f>
        <v>惑乱の双神使！？</v>
      </c>
      <c r="D75" s="53" t="str">
        <f t="shared" ref="D75" si="70">B75&amp;".png"</f>
        <v>quest30048.png</v>
      </c>
      <c r="E75" s="1">
        <v>30</v>
      </c>
      <c r="F75" s="1" t="s">
        <v>1269</v>
      </c>
      <c r="G75" s="53">
        <f t="shared" ref="G75" si="71">A75</f>
        <v>3048</v>
      </c>
      <c r="H75" s="53">
        <v>1</v>
      </c>
      <c r="I75" s="53" t="s">
        <v>382</v>
      </c>
      <c r="J75" s="53" t="s">
        <v>1269</v>
      </c>
    </row>
    <row r="76" spans="1:13" x14ac:dyDescent="0.15">
      <c r="A76" s="167">
        <v>3049</v>
      </c>
      <c r="B76" s="7" t="s">
        <v>2225</v>
      </c>
      <c r="C76" s="53" t="str">
        <f>VLOOKUP(VALUE(RIGHT(B76,5)),quests!A:D,4,FALSE)</f>
        <v>鉄壁の子豚要塞</v>
      </c>
      <c r="D76" s="53" t="str">
        <f t="shared" ref="D76" si="72">B76&amp;".png"</f>
        <v>quest30049.png</v>
      </c>
      <c r="E76" s="1">
        <v>30</v>
      </c>
      <c r="F76" s="1" t="s">
        <v>1269</v>
      </c>
      <c r="G76" s="53">
        <f t="shared" ref="G76" si="73">A76</f>
        <v>3049</v>
      </c>
      <c r="H76" s="53">
        <v>1</v>
      </c>
      <c r="I76" s="53" t="s">
        <v>382</v>
      </c>
      <c r="J76" s="53" t="s">
        <v>1269</v>
      </c>
    </row>
    <row r="77" spans="1:13" x14ac:dyDescent="0.15">
      <c r="A77" s="167">
        <v>3050</v>
      </c>
      <c r="B77" s="7" t="s">
        <v>2307</v>
      </c>
      <c r="C77" s="53" t="str">
        <f>VLOOKUP(VALUE(RIGHT(B77,5)),quests!A:D,4,FALSE)</f>
        <v>忍耐と服従</v>
      </c>
      <c r="D77" s="53" t="str">
        <f t="shared" ref="D77" si="74">B77&amp;".png"</f>
        <v>quest30050.png</v>
      </c>
      <c r="E77" s="1">
        <v>30</v>
      </c>
      <c r="F77" s="1" t="s">
        <v>1269</v>
      </c>
      <c r="G77" s="53">
        <f t="shared" ref="G77" si="75">A77</f>
        <v>3050</v>
      </c>
      <c r="H77" s="53">
        <v>1</v>
      </c>
      <c r="I77" s="53" t="s">
        <v>382</v>
      </c>
      <c r="J77" s="53" t="s">
        <v>1269</v>
      </c>
    </row>
    <row r="78" spans="1:13" x14ac:dyDescent="0.15">
      <c r="A78" s="167">
        <v>3811</v>
      </c>
      <c r="B78" s="7" t="s">
        <v>2357</v>
      </c>
      <c r="C78" s="53" t="str">
        <f>VLOOKUP(VALUE(RIGHT(B78,5)),quests!A:D,4,FALSE)</f>
        <v>安多</v>
      </c>
      <c r="D78" s="53" t="str">
        <f t="shared" ref="D78" si="76">B78&amp;".png"</f>
        <v>quest38101.png</v>
      </c>
      <c r="E78" s="1">
        <v>30</v>
      </c>
      <c r="F78" s="1" t="s">
        <v>1269</v>
      </c>
      <c r="G78" s="53">
        <f t="shared" ref="G78" si="77">A78</f>
        <v>3811</v>
      </c>
      <c r="H78" s="53">
        <v>1</v>
      </c>
      <c r="I78" s="53" t="s">
        <v>382</v>
      </c>
      <c r="J78" s="53" t="s">
        <v>1269</v>
      </c>
    </row>
    <row r="79" spans="1:13" x14ac:dyDescent="0.15">
      <c r="A79" s="33">
        <v>4031</v>
      </c>
      <c r="B79" s="7" t="s">
        <v>1655</v>
      </c>
      <c r="C79" s="53" t="str">
        <f>VLOOKUP(VALUE(RIGHT(B79,5)),quests!A:D,4,FALSE)</f>
        <v>董卓襲来！</v>
      </c>
      <c r="D79" s="53" t="str">
        <f t="shared" ref="D79" si="78">B79&amp;".png"</f>
        <v>quest40031.png</v>
      </c>
      <c r="E79" s="1">
        <v>50</v>
      </c>
      <c r="F79" s="1" t="s">
        <v>1269</v>
      </c>
      <c r="G79" s="53">
        <f t="shared" ref="G79" si="79">A79</f>
        <v>4031</v>
      </c>
      <c r="H79" s="53">
        <v>1</v>
      </c>
      <c r="I79" s="53" t="s">
        <v>382</v>
      </c>
      <c r="J79" s="53" t="s">
        <v>1269</v>
      </c>
    </row>
    <row r="80" spans="1:13" x14ac:dyDescent="0.15">
      <c r="A80" s="167">
        <v>4032</v>
      </c>
      <c r="B80" s="7" t="s">
        <v>1650</v>
      </c>
      <c r="C80" s="53" t="str">
        <f>VLOOKUP(VALUE(RIGHT(B80,5)),quests!A:D,4,FALSE)</f>
        <v>貂蝉襲来！</v>
      </c>
      <c r="D80" s="53" t="str">
        <f t="shared" si="58"/>
        <v>quest40032.png</v>
      </c>
      <c r="E80" s="1">
        <v>50</v>
      </c>
      <c r="F80" s="1" t="s">
        <v>1269</v>
      </c>
      <c r="G80" s="53">
        <f t="shared" si="59"/>
        <v>4032</v>
      </c>
      <c r="H80" s="53">
        <v>1</v>
      </c>
      <c r="I80" s="53" t="s">
        <v>382</v>
      </c>
      <c r="J80" s="53" t="s">
        <v>1269</v>
      </c>
    </row>
    <row r="81" spans="1:10" x14ac:dyDescent="0.15">
      <c r="A81" s="167">
        <v>1018</v>
      </c>
      <c r="B81" s="7" t="s">
        <v>1656</v>
      </c>
      <c r="C81" s="53" t="str">
        <f>VLOOKUP(VALUE(RIGHT(B81,5)),quests!A:D,4,FALSE)</f>
        <v>【エナジー1/2】 ゴールドカジノ</v>
      </c>
      <c r="D81" s="53" t="str">
        <f t="shared" si="58"/>
        <v>quest11018.png</v>
      </c>
      <c r="E81" s="1" t="s">
        <v>1269</v>
      </c>
      <c r="F81" s="1" t="s">
        <v>1269</v>
      </c>
      <c r="G81" s="53">
        <v>4916</v>
      </c>
      <c r="H81" s="53">
        <v>1</v>
      </c>
      <c r="I81" s="53" t="s">
        <v>382</v>
      </c>
      <c r="J81" s="53" t="s">
        <v>1269</v>
      </c>
    </row>
    <row r="82" spans="1:10" x14ac:dyDescent="0.15">
      <c r="A82" s="167">
        <v>4029</v>
      </c>
      <c r="B82" s="7" t="s">
        <v>1659</v>
      </c>
      <c r="C82" s="53" t="str">
        <f>VLOOKUP(VALUE(RIGHT(B82,5)),quests!A:D,4,FALSE)</f>
        <v>カスケード襲来！</v>
      </c>
      <c r="D82" s="53" t="str">
        <f t="shared" ref="D82:D83" si="80">B82&amp;".png"</f>
        <v>quest40029.png</v>
      </c>
      <c r="E82" s="1">
        <v>50</v>
      </c>
      <c r="F82" s="1" t="s">
        <v>1269</v>
      </c>
      <c r="G82" s="53">
        <f t="shared" ref="G82:G97" si="81">A82</f>
        <v>4029</v>
      </c>
      <c r="H82" s="53">
        <v>1</v>
      </c>
      <c r="I82" s="53" t="s">
        <v>382</v>
      </c>
      <c r="J82" s="53" t="s">
        <v>1269</v>
      </c>
    </row>
    <row r="83" spans="1:10" x14ac:dyDescent="0.15">
      <c r="A83" s="167">
        <v>5008</v>
      </c>
      <c r="B83" s="7" t="s">
        <v>1677</v>
      </c>
      <c r="C83" s="53" t="str">
        <f>VLOOKUP(VALUE(RIGHT(B83,5)),quests!A:D,4,FALSE)</f>
        <v>呂布襲来！</v>
      </c>
      <c r="D83" s="53" t="str">
        <f t="shared" si="80"/>
        <v>quest50008.png</v>
      </c>
      <c r="E83" s="1">
        <v>60</v>
      </c>
      <c r="F83" s="1" t="s">
        <v>1272</v>
      </c>
      <c r="G83" s="53">
        <f t="shared" si="81"/>
        <v>5008</v>
      </c>
      <c r="H83" s="53">
        <v>1</v>
      </c>
      <c r="I83" s="53" t="s">
        <v>382</v>
      </c>
      <c r="J83" s="53" t="s">
        <v>1269</v>
      </c>
    </row>
    <row r="84" spans="1:10" x14ac:dyDescent="0.15">
      <c r="A84" s="167">
        <v>5009</v>
      </c>
      <c r="B84" s="7" t="s">
        <v>1746</v>
      </c>
      <c r="C84" s="53" t="str">
        <f>VLOOKUP(VALUE(RIGHT(B84,5)),quests!A:D,4,FALSE)</f>
        <v>ヘラ襲来！</v>
      </c>
      <c r="D84" s="53" t="str">
        <f t="shared" ref="D84" si="82">B84&amp;".png"</f>
        <v>quest50009.png</v>
      </c>
      <c r="E84" s="1">
        <v>60</v>
      </c>
      <c r="F84" s="1" t="s">
        <v>1272</v>
      </c>
      <c r="G84" s="53">
        <f t="shared" ref="G84" si="83">A84</f>
        <v>5009</v>
      </c>
      <c r="H84" s="53">
        <v>1</v>
      </c>
      <c r="I84" s="53" t="s">
        <v>382</v>
      </c>
      <c r="J84" s="53" t="s">
        <v>1269</v>
      </c>
    </row>
    <row r="85" spans="1:10" x14ac:dyDescent="0.15">
      <c r="A85" s="167">
        <v>5010</v>
      </c>
      <c r="B85" s="7" t="s">
        <v>1854</v>
      </c>
      <c r="C85" s="53" t="str">
        <f>VLOOKUP(VALUE(RIGHT(B85,5)),quests!A:D,4,FALSE)</f>
        <v>カフカ襲来！</v>
      </c>
      <c r="D85" s="53" t="str">
        <f t="shared" ref="D85" si="84">B85&amp;".png"</f>
        <v>quest50010.png</v>
      </c>
      <c r="E85" s="1">
        <v>60</v>
      </c>
      <c r="F85" s="1" t="s">
        <v>1272</v>
      </c>
      <c r="G85" s="53">
        <f t="shared" ref="G85" si="85">A85</f>
        <v>5010</v>
      </c>
      <c r="H85" s="53">
        <v>1</v>
      </c>
      <c r="I85" s="53" t="s">
        <v>382</v>
      </c>
      <c r="J85" s="53" t="s">
        <v>1269</v>
      </c>
    </row>
    <row r="86" spans="1:10" x14ac:dyDescent="0.15">
      <c r="A86" s="167">
        <v>5011</v>
      </c>
      <c r="B86" s="7" t="s">
        <v>1829</v>
      </c>
      <c r="C86" s="53" t="str">
        <f>VLOOKUP(VALUE(RIGHT(B86,5)),quests!A:D,4,FALSE)</f>
        <v>ヘラ襲来！</v>
      </c>
      <c r="D86" s="258" t="s">
        <v>1830</v>
      </c>
      <c r="E86" s="1">
        <v>60</v>
      </c>
      <c r="F86" s="1" t="s">
        <v>1272</v>
      </c>
      <c r="G86" s="53">
        <f t="shared" ref="G86" si="86">A86</f>
        <v>5011</v>
      </c>
      <c r="H86" s="53">
        <v>1</v>
      </c>
      <c r="I86" s="53" t="s">
        <v>382</v>
      </c>
      <c r="J86" s="53" t="s">
        <v>1269</v>
      </c>
    </row>
    <row r="87" spans="1:10" x14ac:dyDescent="0.15">
      <c r="A87" s="167">
        <v>5012</v>
      </c>
      <c r="B87" s="7" t="s">
        <v>1935</v>
      </c>
      <c r="C87" s="53" t="str">
        <f>VLOOKUP(VALUE(RIGHT(B87,5)),quests!A:D,4,FALSE)</f>
        <v>豊臣秀吉襲来！</v>
      </c>
      <c r="D87" s="53" t="str">
        <f t="shared" ref="D87" si="87">B87&amp;".png"</f>
        <v>quest50012.png</v>
      </c>
      <c r="E87" s="1">
        <v>60</v>
      </c>
      <c r="F87" s="1" t="s">
        <v>1269</v>
      </c>
      <c r="G87" s="53">
        <f t="shared" ref="G87" si="88">A87</f>
        <v>5012</v>
      </c>
      <c r="H87" s="53">
        <v>1</v>
      </c>
      <c r="I87" s="53" t="s">
        <v>382</v>
      </c>
      <c r="J87" s="53" t="s">
        <v>1269</v>
      </c>
    </row>
    <row r="88" spans="1:10" x14ac:dyDescent="0.15">
      <c r="A88" s="167">
        <v>5013</v>
      </c>
      <c r="B88" s="7" t="s">
        <v>1994</v>
      </c>
      <c r="C88" s="53" t="str">
        <f>VLOOKUP(VALUE(RIGHT(B88,5)),quests!A:D,4,FALSE)</f>
        <v>ロキ襲来！</v>
      </c>
      <c r="D88" s="53" t="str">
        <f t="shared" ref="D88" si="89">B88&amp;".png"</f>
        <v>quest50013.png</v>
      </c>
      <c r="E88" s="1">
        <v>60</v>
      </c>
      <c r="F88" s="1" t="s">
        <v>1269</v>
      </c>
      <c r="G88" s="53">
        <f t="shared" ref="G88" si="90">A88</f>
        <v>5013</v>
      </c>
      <c r="H88" s="53">
        <v>1</v>
      </c>
      <c r="I88" s="53" t="s">
        <v>382</v>
      </c>
      <c r="J88" s="53" t="s">
        <v>1269</v>
      </c>
    </row>
    <row r="89" spans="1:10" x14ac:dyDescent="0.15">
      <c r="A89" s="167">
        <v>5014</v>
      </c>
      <c r="B89" s="7" t="s">
        <v>2041</v>
      </c>
      <c r="C89" s="53" t="str">
        <f>VLOOKUP(VALUE(RIGHT(B89,5)),quests!A:D,4,FALSE)</f>
        <v>スサノオ襲来！</v>
      </c>
      <c r="D89" s="53" t="str">
        <f t="shared" ref="D89" si="91">B89&amp;".png"</f>
        <v>quest50014.png</v>
      </c>
      <c r="E89" s="1">
        <v>60</v>
      </c>
      <c r="F89" s="1" t="s">
        <v>1269</v>
      </c>
      <c r="G89" s="53">
        <f t="shared" ref="G89" si="92">A89</f>
        <v>5014</v>
      </c>
      <c r="H89" s="53">
        <v>1</v>
      </c>
      <c r="I89" s="53" t="s">
        <v>382</v>
      </c>
      <c r="J89" s="53" t="s">
        <v>1269</v>
      </c>
    </row>
    <row r="90" spans="1:10" x14ac:dyDescent="0.15">
      <c r="A90" s="167">
        <v>5015</v>
      </c>
      <c r="B90" s="7" t="s">
        <v>2223</v>
      </c>
      <c r="C90" s="53" t="str">
        <f>VLOOKUP(VALUE(RIGHT(B90,5)),quests!A:D,4,FALSE)</f>
        <v>アンデルセン襲来！</v>
      </c>
      <c r="D90" s="53" t="str">
        <f t="shared" ref="D90" si="93">B90&amp;".png"</f>
        <v>quest50015.png</v>
      </c>
      <c r="E90" s="1">
        <v>60</v>
      </c>
      <c r="F90" s="1" t="s">
        <v>1269</v>
      </c>
      <c r="G90" s="53">
        <f t="shared" ref="G90" si="94">A90</f>
        <v>5015</v>
      </c>
      <c r="H90" s="53">
        <v>1</v>
      </c>
      <c r="I90" s="53" t="s">
        <v>382</v>
      </c>
      <c r="J90" s="53" t="s">
        <v>1269</v>
      </c>
    </row>
    <row r="91" spans="1:10" x14ac:dyDescent="0.15">
      <c r="A91" s="167">
        <v>5016</v>
      </c>
      <c r="B91" s="7" t="s">
        <v>2292</v>
      </c>
      <c r="C91" s="53" t="str">
        <f>VLOOKUP(VALUE(RIGHT(B91,5)),quests!A:D,4,FALSE)</f>
        <v>アレキサンダー襲来！</v>
      </c>
      <c r="D91" s="53" t="str">
        <f t="shared" ref="D91" si="95">B91&amp;".png"</f>
        <v>quest50016.png</v>
      </c>
      <c r="E91" s="1">
        <v>60</v>
      </c>
      <c r="F91" s="1" t="s">
        <v>1269</v>
      </c>
      <c r="G91" s="53">
        <f t="shared" ref="G91" si="96">A91</f>
        <v>5016</v>
      </c>
      <c r="H91" s="53">
        <v>1</v>
      </c>
      <c r="I91" s="53" t="s">
        <v>382</v>
      </c>
      <c r="J91" s="53" t="s">
        <v>1269</v>
      </c>
    </row>
    <row r="92" spans="1:10" x14ac:dyDescent="0.15">
      <c r="A92" s="167">
        <v>5801</v>
      </c>
      <c r="B92" s="7" t="s">
        <v>2080</v>
      </c>
      <c r="C92" s="53" t="str">
        <f>VLOOKUP(VALUE(RIGHT(B92,5)),quests!A:D,4,FALSE)</f>
        <v>曹操襲来！</v>
      </c>
      <c r="D92" s="53" t="str">
        <f t="shared" ref="D92" si="97">B92&amp;".png"</f>
        <v>quest58001.png</v>
      </c>
      <c r="E92" s="1">
        <v>60</v>
      </c>
      <c r="F92" s="1" t="s">
        <v>1269</v>
      </c>
      <c r="G92" s="53">
        <f t="shared" ref="G92" si="98">A92</f>
        <v>5801</v>
      </c>
      <c r="H92" s="53">
        <v>1</v>
      </c>
      <c r="I92" s="53" t="s">
        <v>382</v>
      </c>
      <c r="J92" s="53" t="s">
        <v>1269</v>
      </c>
    </row>
    <row r="93" spans="1:10" x14ac:dyDescent="0.15">
      <c r="A93" s="167">
        <v>5802</v>
      </c>
      <c r="B93" s="7" t="s">
        <v>2305</v>
      </c>
      <c r="C93" s="53" t="str">
        <f>VLOOKUP(VALUE(RIGHT(B93,5)),quests!A:D,4,FALSE)</f>
        <v>始皇贏政襲来！</v>
      </c>
      <c r="D93" s="53" t="str">
        <f t="shared" ref="D93" si="99">B93&amp;".png"</f>
        <v>quest58002.png</v>
      </c>
      <c r="E93" s="1">
        <v>60</v>
      </c>
      <c r="F93" s="1" t="s">
        <v>1269</v>
      </c>
      <c r="G93" s="53">
        <f t="shared" ref="G93" si="100">A93</f>
        <v>5802</v>
      </c>
      <c r="H93" s="53">
        <v>1</v>
      </c>
      <c r="I93" s="53" t="s">
        <v>382</v>
      </c>
      <c r="J93" s="53" t="s">
        <v>1269</v>
      </c>
    </row>
    <row r="94" spans="1:10" x14ac:dyDescent="0.15">
      <c r="A94" s="167">
        <v>5803</v>
      </c>
      <c r="B94" s="7" t="s">
        <v>2337</v>
      </c>
      <c r="C94" s="53" t="str">
        <f>VLOOKUP(VALUE(RIGHT(B94,5)),quests!A:D,4,FALSE)</f>
        <v>路西法襲来！</v>
      </c>
      <c r="D94" s="53" t="str">
        <f t="shared" ref="D94" si="101">B94&amp;".png"</f>
        <v>quest58101.png</v>
      </c>
      <c r="E94" s="1">
        <v>60</v>
      </c>
      <c r="F94" s="1" t="s">
        <v>1269</v>
      </c>
      <c r="G94" s="53">
        <f t="shared" ref="G94" si="102">A94</f>
        <v>5803</v>
      </c>
      <c r="H94" s="53">
        <v>1</v>
      </c>
      <c r="I94" s="53" t="s">
        <v>382</v>
      </c>
      <c r="J94" s="53" t="s">
        <v>1269</v>
      </c>
    </row>
    <row r="95" spans="1:10" x14ac:dyDescent="0.15">
      <c r="A95" s="167">
        <v>5804</v>
      </c>
      <c r="B95" s="7" t="s">
        <v>2361</v>
      </c>
      <c r="C95" s="53" t="str">
        <f>VLOOKUP(VALUE(RIGHT(B95,5)),quests!A:D,4,FALSE)</f>
        <v>曹操襲来！</v>
      </c>
      <c r="D95" s="53" t="str">
        <f t="shared" ref="D95" si="103">B95&amp;".png"</f>
        <v>quest58003.png</v>
      </c>
      <c r="E95" s="1">
        <v>60</v>
      </c>
      <c r="F95" s="1" t="s">
        <v>1269</v>
      </c>
      <c r="G95" s="53">
        <f t="shared" ref="G95" si="104">A95</f>
        <v>5804</v>
      </c>
      <c r="H95" s="53">
        <v>1</v>
      </c>
      <c r="I95" s="53" t="s">
        <v>382</v>
      </c>
      <c r="J95" s="53" t="s">
        <v>1269</v>
      </c>
    </row>
    <row r="96" spans="1:10" x14ac:dyDescent="0.15">
      <c r="A96" s="167">
        <v>6017</v>
      </c>
      <c r="B96" s="7" t="s">
        <v>1679</v>
      </c>
      <c r="C96" s="53" t="str">
        <f>VLOOKUP(VALUE(RIGHT(B96,5)),quests!A:D,4,FALSE)</f>
        <v>ユークリッドチャレンジ</v>
      </c>
      <c r="D96" s="258" t="s">
        <v>1680</v>
      </c>
      <c r="E96" s="1">
        <v>30</v>
      </c>
      <c r="F96" s="1" t="s">
        <v>1272</v>
      </c>
      <c r="G96" s="53">
        <f t="shared" si="81"/>
        <v>6017</v>
      </c>
      <c r="H96" s="53">
        <v>2255</v>
      </c>
      <c r="I96" s="53" t="s">
        <v>382</v>
      </c>
      <c r="J96" s="53" t="s">
        <v>1269</v>
      </c>
    </row>
    <row r="97" spans="1:10" x14ac:dyDescent="0.15">
      <c r="A97" s="167">
        <v>4033</v>
      </c>
      <c r="B97" s="7" t="s">
        <v>1708</v>
      </c>
      <c r="C97" s="53" t="str">
        <f>VLOOKUP(VALUE(RIGHT(B97,5)),quests!A:D,4,FALSE)</f>
        <v>アテナ襲来！</v>
      </c>
      <c r="D97" s="53" t="str">
        <f t="shared" ref="D97" si="105">B97&amp;".png"</f>
        <v>quest40033.png</v>
      </c>
      <c r="E97" s="1">
        <v>50</v>
      </c>
      <c r="F97" s="1" t="s">
        <v>1269</v>
      </c>
      <c r="G97" s="53">
        <f t="shared" si="81"/>
        <v>4033</v>
      </c>
      <c r="H97" s="53">
        <v>1</v>
      </c>
      <c r="I97" s="53" t="s">
        <v>382</v>
      </c>
      <c r="J97" s="53" t="s">
        <v>1269</v>
      </c>
    </row>
    <row r="98" spans="1:10" x14ac:dyDescent="0.15">
      <c r="A98" s="167">
        <v>4034</v>
      </c>
      <c r="B98" s="7" t="s">
        <v>2079</v>
      </c>
      <c r="C98" s="53" t="str">
        <f>VLOOKUP(VALUE(RIGHT(B98,5)),quests!A:D,4,FALSE)</f>
        <v>カーリー襲来！</v>
      </c>
      <c r="D98" s="53" t="str">
        <f t="shared" ref="D98:D100" si="106">B98&amp;".png"</f>
        <v>quest40034.png</v>
      </c>
      <c r="E98" s="1">
        <v>50</v>
      </c>
      <c r="F98" s="1" t="s">
        <v>1269</v>
      </c>
      <c r="G98" s="53">
        <f t="shared" ref="G98:G100" si="107">A98</f>
        <v>4034</v>
      </c>
      <c r="H98" s="53">
        <v>1</v>
      </c>
      <c r="I98" s="53" t="s">
        <v>382</v>
      </c>
      <c r="J98" s="53" t="s">
        <v>1269</v>
      </c>
    </row>
    <row r="99" spans="1:10" x14ac:dyDescent="0.15">
      <c r="A99" s="167">
        <v>4035</v>
      </c>
      <c r="B99" s="7" t="s">
        <v>1703</v>
      </c>
      <c r="C99" s="53" t="str">
        <f>VLOOKUP(VALUE(RIGHT(B99,5)),quests!A:D,4,FALSE)</f>
        <v>ブラフマー襲来！</v>
      </c>
      <c r="D99" s="53" t="str">
        <f t="shared" ref="D99" si="108">B99&amp;".png"</f>
        <v>quest40035.png</v>
      </c>
      <c r="E99" s="1">
        <v>50</v>
      </c>
      <c r="F99" s="1" t="s">
        <v>1269</v>
      </c>
      <c r="G99" s="53">
        <f t="shared" ref="G99" si="109">A99</f>
        <v>4035</v>
      </c>
      <c r="H99" s="53">
        <v>1</v>
      </c>
      <c r="I99" s="53" t="s">
        <v>382</v>
      </c>
      <c r="J99" s="53" t="s">
        <v>1269</v>
      </c>
    </row>
    <row r="100" spans="1:10" x14ac:dyDescent="0.15">
      <c r="A100" s="167">
        <v>6018</v>
      </c>
      <c r="B100" s="7" t="s">
        <v>1688</v>
      </c>
      <c r="C100" s="53" t="str">
        <f>VLOOKUP(VALUE(RIGHT(B100,5)),quests!A:D,4,FALSE)</f>
        <v>チューリングチャレンジ</v>
      </c>
      <c r="D100" s="53" t="str">
        <f t="shared" si="106"/>
        <v>quest60018.png</v>
      </c>
      <c r="E100" s="1">
        <v>30</v>
      </c>
      <c r="F100" s="1" t="s">
        <v>1272</v>
      </c>
      <c r="G100" s="53">
        <f t="shared" si="107"/>
        <v>6018</v>
      </c>
      <c r="H100" s="53">
        <v>2523</v>
      </c>
      <c r="I100" s="53" t="s">
        <v>382</v>
      </c>
      <c r="J100" s="53" t="s">
        <v>1269</v>
      </c>
    </row>
    <row r="101" spans="1:10" x14ac:dyDescent="0.15">
      <c r="A101" s="167">
        <v>4037</v>
      </c>
      <c r="B101" s="7" t="s">
        <v>1733</v>
      </c>
      <c r="C101" s="53" t="str">
        <f>VLOOKUP(VALUE(RIGHT(B101,5)),quests!A:D,4,FALSE)</f>
        <v>デルピュネー襲来！</v>
      </c>
      <c r="D101" s="53" t="str">
        <f t="shared" ref="D101:D102" si="110">B101&amp;".png"</f>
        <v>quest40037.png</v>
      </c>
      <c r="E101" s="1">
        <v>50</v>
      </c>
      <c r="F101" s="1" t="s">
        <v>1272</v>
      </c>
      <c r="G101" s="53">
        <f t="shared" ref="G101:G102" si="111">A101</f>
        <v>4037</v>
      </c>
      <c r="H101" s="53">
        <v>1</v>
      </c>
      <c r="I101" s="53" t="s">
        <v>382</v>
      </c>
      <c r="J101" s="53" t="s">
        <v>1269</v>
      </c>
    </row>
    <row r="102" spans="1:10" x14ac:dyDescent="0.15">
      <c r="A102" s="167">
        <v>6019</v>
      </c>
      <c r="B102" s="7" t="s">
        <v>1757</v>
      </c>
      <c r="C102" s="53" t="str">
        <f>VLOOKUP(VALUE(RIGHT(B102,5)),quests!A:D,4,FALSE)</f>
        <v>ヘンペルチャレンジ</v>
      </c>
      <c r="D102" s="53" t="str">
        <f t="shared" si="110"/>
        <v>quest60019.png</v>
      </c>
      <c r="E102" s="1">
        <v>30</v>
      </c>
      <c r="F102" s="1" t="s">
        <v>1272</v>
      </c>
      <c r="G102" s="53">
        <f t="shared" si="111"/>
        <v>6019</v>
      </c>
      <c r="H102" s="53">
        <v>3375</v>
      </c>
      <c r="I102" s="53" t="s">
        <v>382</v>
      </c>
      <c r="J102" s="53" t="s">
        <v>1269</v>
      </c>
    </row>
    <row r="103" spans="1:10" x14ac:dyDescent="0.15">
      <c r="A103" s="167">
        <v>1332</v>
      </c>
      <c r="B103" s="7" t="s">
        <v>1926</v>
      </c>
      <c r="C103" s="53" t="str">
        <f>VLOOKUP(VALUE(RIGHT(B103,5)),quests!A:D,4,FALSE)</f>
        <v>タワーオブザクイーン -アヴァルシア-</v>
      </c>
      <c r="D103" s="258" t="s">
        <v>1693</v>
      </c>
      <c r="E103" s="1">
        <v>30</v>
      </c>
      <c r="F103" s="1" t="s">
        <v>1269</v>
      </c>
      <c r="G103" s="285">
        <v>4800</v>
      </c>
      <c r="H103" s="53">
        <v>1</v>
      </c>
      <c r="I103" s="53" t="s">
        <v>382</v>
      </c>
      <c r="J103" s="53" t="s">
        <v>1269</v>
      </c>
    </row>
    <row r="104" spans="1:10" x14ac:dyDescent="0.15">
      <c r="A104" s="167">
        <v>1331</v>
      </c>
      <c r="B104" s="7" t="s">
        <v>1832</v>
      </c>
      <c r="C104" s="53" t="str">
        <f>VLOOKUP(VALUE(RIGHT(B104,5)),quests!A:D,4,FALSE)</f>
        <v>タワーオブザクイーン -アヴァルシア-</v>
      </c>
      <c r="D104" s="258" t="s">
        <v>1834</v>
      </c>
      <c r="E104" s="1">
        <v>30</v>
      </c>
      <c r="F104" s="1" t="s">
        <v>1269</v>
      </c>
      <c r="G104" s="285">
        <v>4800</v>
      </c>
      <c r="H104" s="53">
        <v>1</v>
      </c>
      <c r="I104" s="53" t="s">
        <v>382</v>
      </c>
      <c r="J104" s="53" t="s">
        <v>1269</v>
      </c>
    </row>
    <row r="105" spans="1:10" x14ac:dyDescent="0.15">
      <c r="A105" s="167">
        <v>1330</v>
      </c>
      <c r="B105" s="7" t="s">
        <v>1783</v>
      </c>
      <c r="C105" s="53" t="str">
        <f>VLOOKUP(VALUE(RIGHT(B105,5)),quests!A:D,4,FALSE)</f>
        <v>タワーオブザクイーン -アヴァルシア-</v>
      </c>
      <c r="D105" s="53" t="str">
        <f t="shared" ref="D105:D107" si="112">B105&amp;".png"</f>
        <v>quest13300.png</v>
      </c>
      <c r="E105" s="1">
        <v>30</v>
      </c>
      <c r="F105" s="1" t="s">
        <v>1269</v>
      </c>
      <c r="G105" s="285">
        <v>4800</v>
      </c>
      <c r="H105" s="53">
        <v>1</v>
      </c>
      <c r="I105" s="53" t="s">
        <v>382</v>
      </c>
      <c r="J105" s="53" t="s">
        <v>1269</v>
      </c>
    </row>
    <row r="106" spans="1:10" x14ac:dyDescent="0.15">
      <c r="A106" s="167">
        <v>1340</v>
      </c>
      <c r="B106" s="7" t="s">
        <v>2092</v>
      </c>
      <c r="C106" s="53" t="str">
        <f>VLOOKUP(VALUE(RIGHT(B106,5)),quests!A:D,4,FALSE)</f>
        <v>タワーオブザクイーン -エルフラム-</v>
      </c>
      <c r="D106" s="53" t="str">
        <f t="shared" ref="D106" si="113">B106&amp;".png"</f>
        <v>quest13400.png</v>
      </c>
      <c r="E106" s="1">
        <v>30</v>
      </c>
      <c r="F106" s="1" t="s">
        <v>1269</v>
      </c>
      <c r="G106" s="285">
        <v>4800</v>
      </c>
      <c r="H106" s="53">
        <v>1</v>
      </c>
      <c r="I106" s="53" t="s">
        <v>382</v>
      </c>
      <c r="J106" s="53" t="s">
        <v>1269</v>
      </c>
    </row>
    <row r="107" spans="1:10" x14ac:dyDescent="0.15">
      <c r="A107" s="167">
        <v>6020</v>
      </c>
      <c r="B107" s="7" t="s">
        <v>1791</v>
      </c>
      <c r="C107" s="53" t="str">
        <f>VLOOKUP(VALUE(RIGHT(B107,5)),quests!A:D,4,FALSE)</f>
        <v>シュレディンガーチャレンジ</v>
      </c>
      <c r="D107" s="53" t="str">
        <f t="shared" si="112"/>
        <v>quest60020.png</v>
      </c>
      <c r="E107" s="1">
        <v>30</v>
      </c>
      <c r="F107" s="1" t="s">
        <v>1272</v>
      </c>
      <c r="G107" s="53">
        <f t="shared" ref="G107" si="114">A107</f>
        <v>6020</v>
      </c>
      <c r="H107" s="53">
        <v>2721</v>
      </c>
      <c r="I107" s="53" t="s">
        <v>382</v>
      </c>
      <c r="J107" s="53" t="s">
        <v>1269</v>
      </c>
    </row>
    <row r="108" spans="1:10" x14ac:dyDescent="0.15">
      <c r="A108" s="167">
        <v>4036</v>
      </c>
      <c r="B108" s="7" t="s">
        <v>1796</v>
      </c>
      <c r="C108" s="53" t="str">
        <f>VLOOKUP(VALUE(RIGHT(B108,5)),quests!A:D,4,FALSE)</f>
        <v>ウラヌス襲来！</v>
      </c>
      <c r="D108" s="53" t="str">
        <f t="shared" ref="D108:D109" si="115">B108&amp;".png"</f>
        <v>quest40036.png</v>
      </c>
      <c r="E108" s="1">
        <v>50</v>
      </c>
      <c r="F108" s="1" t="s">
        <v>1269</v>
      </c>
      <c r="G108" s="53">
        <f t="shared" ref="G108:G109" si="116">A108</f>
        <v>4036</v>
      </c>
      <c r="H108" s="53">
        <v>1</v>
      </c>
      <c r="I108" s="53" t="s">
        <v>382</v>
      </c>
      <c r="J108" s="53" t="s">
        <v>1269</v>
      </c>
    </row>
    <row r="109" spans="1:10" x14ac:dyDescent="0.15">
      <c r="A109" s="167">
        <v>4038</v>
      </c>
      <c r="B109" s="7" t="s">
        <v>1803</v>
      </c>
      <c r="C109" s="53" t="str">
        <f>VLOOKUP(VALUE(RIGHT(B109,5)),quests!A:D,4,FALSE)</f>
        <v>太宰治襲来！</v>
      </c>
      <c r="D109" s="53" t="str">
        <f t="shared" si="115"/>
        <v>quest40038.png</v>
      </c>
      <c r="E109" s="1">
        <v>50</v>
      </c>
      <c r="F109" s="1" t="s">
        <v>1272</v>
      </c>
      <c r="G109" s="53">
        <f t="shared" si="116"/>
        <v>4038</v>
      </c>
      <c r="H109" s="53">
        <v>1</v>
      </c>
      <c r="I109" s="53" t="s">
        <v>382</v>
      </c>
      <c r="J109" s="53" t="s">
        <v>1269</v>
      </c>
    </row>
    <row r="110" spans="1:10" x14ac:dyDescent="0.15">
      <c r="A110" s="167">
        <v>4039</v>
      </c>
      <c r="B110" s="7" t="s">
        <v>1825</v>
      </c>
      <c r="C110" s="53" t="str">
        <f>VLOOKUP(VALUE(RIGHT(B110,5)),quests!A:D,4,FALSE)</f>
        <v>シェイクスピア襲来！</v>
      </c>
      <c r="D110" s="53" t="str">
        <f t="shared" ref="D110" si="117">B110&amp;".png"</f>
        <v>quest40039.png</v>
      </c>
      <c r="E110" s="1">
        <v>50</v>
      </c>
      <c r="F110" s="1" t="s">
        <v>1856</v>
      </c>
      <c r="G110" s="53">
        <f t="shared" ref="G110" si="118">A110</f>
        <v>4039</v>
      </c>
      <c r="H110" s="53">
        <v>1</v>
      </c>
      <c r="I110" s="53" t="s">
        <v>382</v>
      </c>
      <c r="J110" s="53" t="s">
        <v>1269</v>
      </c>
    </row>
    <row r="111" spans="1:10" x14ac:dyDescent="0.15">
      <c r="A111" s="167">
        <v>4040</v>
      </c>
      <c r="B111" s="7" t="s">
        <v>1861</v>
      </c>
      <c r="C111" s="53" t="str">
        <f>VLOOKUP(VALUE(RIGHT(B111,5)),quests!A:D,4,FALSE)</f>
        <v>竹中半兵衛襲来！</v>
      </c>
      <c r="D111" s="53" t="str">
        <f t="shared" ref="D111:D119" si="119">B111&amp;".png"</f>
        <v>quest40040.png</v>
      </c>
      <c r="E111" s="1">
        <v>50</v>
      </c>
      <c r="F111" s="1" t="s">
        <v>1579</v>
      </c>
      <c r="G111" s="53">
        <f t="shared" ref="G111:G119" si="120">A111</f>
        <v>4040</v>
      </c>
      <c r="H111" s="53">
        <v>1</v>
      </c>
      <c r="I111" s="53" t="s">
        <v>382</v>
      </c>
      <c r="J111" s="53" t="s">
        <v>1269</v>
      </c>
    </row>
    <row r="112" spans="1:10" x14ac:dyDescent="0.15">
      <c r="A112" s="167">
        <v>4041</v>
      </c>
      <c r="B112" s="7" t="s">
        <v>1902</v>
      </c>
      <c r="C112" s="53" t="str">
        <f>VLOOKUP(VALUE(RIGHT(B112,5)),quests!A:D,4,FALSE)</f>
        <v>ポーラとダニー襲来！</v>
      </c>
      <c r="D112" s="53" t="str">
        <f t="shared" ref="D112" si="121">B112&amp;".png"</f>
        <v>quest40041.png</v>
      </c>
      <c r="E112" s="1">
        <v>50</v>
      </c>
      <c r="F112" s="1" t="s">
        <v>1337</v>
      </c>
      <c r="G112" s="53">
        <f t="shared" ref="G112" si="122">A112</f>
        <v>4041</v>
      </c>
      <c r="H112" s="53">
        <v>1</v>
      </c>
      <c r="I112" s="53" t="s">
        <v>382</v>
      </c>
      <c r="J112" s="53" t="s">
        <v>1269</v>
      </c>
    </row>
    <row r="113" spans="1:10" x14ac:dyDescent="0.15">
      <c r="A113" s="167">
        <v>4042</v>
      </c>
      <c r="B113" s="7" t="s">
        <v>1989</v>
      </c>
      <c r="C113" s="53" t="str">
        <f>VLOOKUP(VALUE(RIGHT(B113,5)),quests!A:D,4,FALSE)</f>
        <v>ヘル襲来！</v>
      </c>
      <c r="D113" s="53" t="str">
        <f t="shared" ref="D113" si="123">B113&amp;".png"</f>
        <v>quest40042.png</v>
      </c>
      <c r="E113" s="1">
        <v>50</v>
      </c>
      <c r="F113" s="1" t="s">
        <v>1337</v>
      </c>
      <c r="G113" s="53">
        <f t="shared" ref="G113" si="124">A113</f>
        <v>4042</v>
      </c>
      <c r="H113" s="53">
        <v>1</v>
      </c>
      <c r="I113" s="53" t="s">
        <v>382</v>
      </c>
      <c r="J113" s="53" t="s">
        <v>1269</v>
      </c>
    </row>
    <row r="114" spans="1:10" x14ac:dyDescent="0.15">
      <c r="A114" s="167">
        <v>4043</v>
      </c>
      <c r="B114" s="7" t="s">
        <v>2056</v>
      </c>
      <c r="C114" s="53" t="str">
        <f>VLOOKUP(VALUE(RIGHT(B114,5)),quests!A:D,4,FALSE)</f>
        <v>ワカヒルメ襲来！</v>
      </c>
      <c r="D114" s="53" t="str">
        <f t="shared" ref="D114" si="125">B114&amp;".png"</f>
        <v>quest40043.png</v>
      </c>
      <c r="E114" s="1">
        <v>50</v>
      </c>
      <c r="F114" s="1" t="s">
        <v>1269</v>
      </c>
      <c r="G114" s="53">
        <f t="shared" ref="G114" si="126">A114</f>
        <v>4043</v>
      </c>
      <c r="H114" s="53">
        <v>1</v>
      </c>
      <c r="I114" s="53" t="s">
        <v>382</v>
      </c>
      <c r="J114" s="53" t="s">
        <v>1269</v>
      </c>
    </row>
    <row r="115" spans="1:10" x14ac:dyDescent="0.15">
      <c r="A115" s="167">
        <v>4044</v>
      </c>
      <c r="B115" s="7" t="s">
        <v>2213</v>
      </c>
      <c r="C115" s="53" t="str">
        <f>VLOOKUP(VALUE(RIGHT(B115,5)),quests!A:D,4,FALSE)</f>
        <v>ジキル&amp;ハイド襲来！</v>
      </c>
      <c r="D115" s="53" t="str">
        <f t="shared" ref="D115" si="127">B115&amp;".png"</f>
        <v>quest40044.png</v>
      </c>
      <c r="E115" s="1">
        <v>50</v>
      </c>
      <c r="F115" s="1" t="s">
        <v>1269</v>
      </c>
      <c r="G115" s="53">
        <f t="shared" ref="G115" si="128">A115</f>
        <v>4044</v>
      </c>
      <c r="H115" s="53">
        <v>1</v>
      </c>
      <c r="I115" s="53" t="s">
        <v>382</v>
      </c>
      <c r="J115" s="53" t="s">
        <v>1269</v>
      </c>
    </row>
    <row r="116" spans="1:10" x14ac:dyDescent="0.15">
      <c r="A116" s="167">
        <v>4045</v>
      </c>
      <c r="B116" s="7" t="s">
        <v>2232</v>
      </c>
      <c r="C116" s="53" t="str">
        <f>VLOOKUP(VALUE(RIGHT(B116,5)),quests!A:D,4,FALSE)</f>
        <v>服部半蔵襲来！</v>
      </c>
      <c r="D116" s="53" t="str">
        <f t="shared" ref="D116" si="129">B116&amp;".png"</f>
        <v>quest40045.png</v>
      </c>
      <c r="E116" s="1">
        <v>50</v>
      </c>
      <c r="F116" s="1" t="s">
        <v>1269</v>
      </c>
      <c r="G116" s="53">
        <f t="shared" ref="G116" si="130">A116</f>
        <v>4045</v>
      </c>
      <c r="H116" s="53">
        <v>1</v>
      </c>
      <c r="I116" s="53" t="s">
        <v>382</v>
      </c>
      <c r="J116" s="53" t="s">
        <v>1269</v>
      </c>
    </row>
    <row r="117" spans="1:10" x14ac:dyDescent="0.15">
      <c r="A117" s="167">
        <v>4046</v>
      </c>
      <c r="B117" s="7" t="s">
        <v>2297</v>
      </c>
      <c r="C117" s="53" t="str">
        <f>VLOOKUP(VALUE(RIGHT(B117,5)),quests!A:D,4,FALSE)</f>
        <v>ゼノビア襲来！</v>
      </c>
      <c r="D117" s="53" t="str">
        <f t="shared" ref="D117" si="131">B117&amp;".png"</f>
        <v>quest40046.png</v>
      </c>
      <c r="E117" s="1">
        <v>50</v>
      </c>
      <c r="F117" s="1" t="s">
        <v>1269</v>
      </c>
      <c r="G117" s="53">
        <f t="shared" ref="G117" si="132">A117</f>
        <v>4046</v>
      </c>
      <c r="H117" s="53">
        <v>1</v>
      </c>
      <c r="I117" s="53" t="s">
        <v>382</v>
      </c>
      <c r="J117" s="53" t="s">
        <v>1269</v>
      </c>
    </row>
    <row r="118" spans="1:10" x14ac:dyDescent="0.15">
      <c r="A118" s="167">
        <v>6025</v>
      </c>
      <c r="B118" s="7" t="s">
        <v>1864</v>
      </c>
      <c r="C118" s="53" t="str">
        <f>VLOOKUP(VALUE(RIGHT(B118,5)),quests!A:D,4,FALSE)</f>
        <v>マリアチャレンジ</v>
      </c>
      <c r="D118" s="53" t="str">
        <f t="shared" si="119"/>
        <v>quest60025.png</v>
      </c>
      <c r="E118" s="1">
        <v>30</v>
      </c>
      <c r="F118" s="1" t="s">
        <v>1269</v>
      </c>
      <c r="G118" s="53">
        <f t="shared" si="120"/>
        <v>6025</v>
      </c>
      <c r="H118" s="53">
        <v>3640</v>
      </c>
      <c r="I118" s="53" t="s">
        <v>382</v>
      </c>
      <c r="J118" s="53" t="s">
        <v>1269</v>
      </c>
    </row>
    <row r="119" spans="1:10" x14ac:dyDescent="0.15">
      <c r="A119" s="167">
        <v>4803</v>
      </c>
      <c r="B119" s="7" t="s">
        <v>1936</v>
      </c>
      <c r="C119" s="53" t="str">
        <f>VLOOKUP(VALUE(RIGHT(B119,5)),quests!A:D,4,FALSE)</f>
        <v>月下老人襲来！</v>
      </c>
      <c r="D119" s="53" t="str">
        <f t="shared" si="119"/>
        <v>quest48003.png</v>
      </c>
      <c r="E119" s="1">
        <v>50</v>
      </c>
      <c r="F119" s="1" t="s">
        <v>1269</v>
      </c>
      <c r="G119" s="53">
        <f t="shared" si="120"/>
        <v>4803</v>
      </c>
      <c r="H119" s="53">
        <v>1</v>
      </c>
      <c r="I119" s="53" t="s">
        <v>382</v>
      </c>
      <c r="J119" s="53" t="s">
        <v>1269</v>
      </c>
    </row>
    <row r="120" spans="1:10" x14ac:dyDescent="0.15">
      <c r="A120" s="167">
        <v>4804</v>
      </c>
      <c r="B120" s="7" t="s">
        <v>1871</v>
      </c>
      <c r="C120" s="53" t="str">
        <f>VLOOKUP(VALUE(RIGHT(B120,5)),quests!A:D,4,FALSE)</f>
        <v>蛟龍襲来！</v>
      </c>
      <c r="D120" s="53" t="str">
        <f t="shared" ref="D120" si="133">B120&amp;".png"</f>
        <v>quest48004.png</v>
      </c>
      <c r="E120" s="1">
        <v>50</v>
      </c>
      <c r="F120" s="1" t="s">
        <v>1269</v>
      </c>
      <c r="G120" s="53">
        <f t="shared" ref="G120" si="134">A120</f>
        <v>4804</v>
      </c>
      <c r="H120" s="53">
        <v>1</v>
      </c>
      <c r="I120" s="53" t="s">
        <v>382</v>
      </c>
      <c r="J120" s="53" t="s">
        <v>1269</v>
      </c>
    </row>
    <row r="121" spans="1:10" x14ac:dyDescent="0.15">
      <c r="A121" s="167">
        <v>4805</v>
      </c>
      <c r="B121" s="7" t="s">
        <v>1873</v>
      </c>
      <c r="C121" s="53" t="str">
        <f>VLOOKUP(VALUE(RIGHT(B121,5)),quests!A:D,4,FALSE)</f>
        <v>孫悟空襲来！</v>
      </c>
      <c r="D121" s="53" t="str">
        <f t="shared" ref="D121" si="135">B121&amp;".png"</f>
        <v>quest48005.png</v>
      </c>
      <c r="E121" s="1">
        <v>50</v>
      </c>
      <c r="F121" s="1" t="s">
        <v>1269</v>
      </c>
      <c r="G121" s="53">
        <f t="shared" ref="G121" si="136">A121</f>
        <v>4805</v>
      </c>
      <c r="H121" s="53">
        <v>1</v>
      </c>
      <c r="I121" s="53" t="s">
        <v>382</v>
      </c>
      <c r="J121" s="53" t="s">
        <v>1269</v>
      </c>
    </row>
    <row r="122" spans="1:10" x14ac:dyDescent="0.15">
      <c r="A122" s="167">
        <v>4806</v>
      </c>
      <c r="B122" s="7" t="s">
        <v>1937</v>
      </c>
      <c r="C122" s="53" t="str">
        <f>VLOOKUP(VALUE(RIGHT(B122,5)),quests!A:D,4,FALSE)</f>
        <v>牛頭馬面襲来！</v>
      </c>
      <c r="D122" s="53" t="str">
        <f t="shared" ref="D122" si="137">B122&amp;".png"</f>
        <v>quest48006.png</v>
      </c>
      <c r="E122" s="1">
        <v>50</v>
      </c>
      <c r="F122" s="1" t="s">
        <v>1269</v>
      </c>
      <c r="G122" s="53">
        <f t="shared" ref="G122" si="138">A122</f>
        <v>4806</v>
      </c>
      <c r="H122" s="53">
        <v>1</v>
      </c>
      <c r="I122" s="53" t="s">
        <v>382</v>
      </c>
      <c r="J122" s="53" t="s">
        <v>1269</v>
      </c>
    </row>
    <row r="123" spans="1:10" x14ac:dyDescent="0.15">
      <c r="A123" s="167">
        <v>4812</v>
      </c>
      <c r="B123" s="7" t="s">
        <v>2200</v>
      </c>
      <c r="C123" s="53" t="str">
        <f>VLOOKUP(VALUE(RIGHT(B123,5)),quests!A:D,4,FALSE)</f>
        <v>張果老襲来！</v>
      </c>
      <c r="D123" s="53" t="str">
        <f t="shared" ref="D123" si="139">B123&amp;".png"</f>
        <v>quest48012.png</v>
      </c>
      <c r="E123" s="1">
        <v>50</v>
      </c>
      <c r="F123" s="1" t="s">
        <v>1269</v>
      </c>
      <c r="G123" s="53">
        <f t="shared" ref="G123" si="140">A123</f>
        <v>4812</v>
      </c>
      <c r="H123" s="53">
        <v>1</v>
      </c>
      <c r="I123" s="53" t="s">
        <v>382</v>
      </c>
      <c r="J123" s="53" t="s">
        <v>1269</v>
      </c>
    </row>
    <row r="124" spans="1:10" x14ac:dyDescent="0.15">
      <c r="A124" s="167">
        <v>4813</v>
      </c>
      <c r="B124" s="7" t="s">
        <v>2312</v>
      </c>
      <c r="C124" s="53" t="str">
        <f>VLOOKUP(VALUE(RIGHT(B124,5)),quests!A:D,4,FALSE)</f>
        <v>法海襲来！</v>
      </c>
      <c r="D124" s="53" t="str">
        <f t="shared" ref="D124" si="141">B124&amp;".png"</f>
        <v>quest48013.png</v>
      </c>
      <c r="E124" s="1">
        <v>50</v>
      </c>
      <c r="F124" s="1" t="s">
        <v>1269</v>
      </c>
      <c r="G124" s="53">
        <f t="shared" ref="G124" si="142">A124</f>
        <v>4813</v>
      </c>
      <c r="H124" s="53">
        <v>1</v>
      </c>
      <c r="I124" s="53" t="s">
        <v>382</v>
      </c>
      <c r="J124" s="53" t="s">
        <v>1269</v>
      </c>
    </row>
    <row r="125" spans="1:10" x14ac:dyDescent="0.15">
      <c r="A125" s="167">
        <v>4814</v>
      </c>
      <c r="B125" s="7" t="s">
        <v>2314</v>
      </c>
      <c r="C125" s="53" t="str">
        <f>VLOOKUP(VALUE(RIGHT(B125,5)),quests!A:D,4,FALSE)</f>
        <v>藍采和襲来！</v>
      </c>
      <c r="D125" s="53" t="str">
        <f t="shared" ref="D125" si="143">B125&amp;".png"</f>
        <v>quest48014.png</v>
      </c>
      <c r="E125" s="1">
        <v>50</v>
      </c>
      <c r="F125" s="1" t="s">
        <v>1269</v>
      </c>
      <c r="G125" s="53">
        <f t="shared" ref="G125:G126" si="144">A125</f>
        <v>4814</v>
      </c>
      <c r="H125" s="53">
        <v>1</v>
      </c>
      <c r="I125" s="53" t="s">
        <v>382</v>
      </c>
      <c r="J125" s="53" t="s">
        <v>1269</v>
      </c>
    </row>
    <row r="126" spans="1:10" x14ac:dyDescent="0.15">
      <c r="A126" s="167">
        <v>4815</v>
      </c>
      <c r="B126" s="7" t="s">
        <v>2382</v>
      </c>
      <c r="C126" s="53" t="str">
        <f>VLOOKUP(VALUE(RIGHT(B126,5)),quests!A:D,4,FALSE)</f>
        <v>牛頭馬面襲来！</v>
      </c>
      <c r="D126" s="53" t="s">
        <v>2395</v>
      </c>
      <c r="E126" s="1">
        <v>50</v>
      </c>
      <c r="F126" s="1" t="s">
        <v>1269</v>
      </c>
      <c r="G126" s="53">
        <f t="shared" si="144"/>
        <v>4815</v>
      </c>
      <c r="H126" s="53">
        <v>1</v>
      </c>
      <c r="I126" s="53" t="s">
        <v>382</v>
      </c>
      <c r="J126" s="53" t="s">
        <v>1269</v>
      </c>
    </row>
    <row r="127" spans="1:10" x14ac:dyDescent="0.15">
      <c r="A127" s="167">
        <v>4816</v>
      </c>
      <c r="B127" s="7" t="s">
        <v>2418</v>
      </c>
      <c r="C127" s="53" t="str">
        <f>VLOOKUP(VALUE(RIGHT(B127,5)),quests!A:D,4,FALSE)</f>
        <v>ソウコッキュウ襲来！</v>
      </c>
      <c r="D127" s="53" t="s">
        <v>2419</v>
      </c>
      <c r="E127" s="1">
        <v>50</v>
      </c>
      <c r="F127" s="1" t="s">
        <v>1269</v>
      </c>
      <c r="G127" s="53">
        <f t="shared" ref="G127" si="145">A127</f>
        <v>4816</v>
      </c>
      <c r="H127" s="53">
        <v>1</v>
      </c>
      <c r="I127" s="53" t="s">
        <v>382</v>
      </c>
      <c r="J127" s="53" t="s">
        <v>1269</v>
      </c>
    </row>
    <row r="128" spans="1:10" x14ac:dyDescent="0.15">
      <c r="A128" s="167">
        <v>4810</v>
      </c>
      <c r="B128" s="7" t="s">
        <v>2342</v>
      </c>
      <c r="C128" s="53" t="str">
        <f>VLOOKUP(VALUE(RIGHT(B128,5)),quests!A:D,4,FALSE)</f>
        <v>喀耳刻襲来！</v>
      </c>
      <c r="D128" s="53" t="str">
        <f t="shared" ref="D128" si="146">B128&amp;".png"</f>
        <v>quest48101.png</v>
      </c>
      <c r="E128" s="1">
        <v>50</v>
      </c>
      <c r="F128" s="1" t="s">
        <v>1269</v>
      </c>
      <c r="G128" s="53">
        <f t="shared" ref="G128" si="147">A128</f>
        <v>4810</v>
      </c>
      <c r="H128" s="53">
        <v>1</v>
      </c>
      <c r="I128" s="53" t="s">
        <v>382</v>
      </c>
      <c r="J128" s="53" t="s">
        <v>1269</v>
      </c>
    </row>
    <row r="129" spans="1:10" x14ac:dyDescent="0.15">
      <c r="A129" s="167">
        <v>4851</v>
      </c>
      <c r="B129" s="7" t="s">
        <v>1946</v>
      </c>
      <c r="C129" s="53" t="str">
        <f>VLOOKUP(VALUE(RIGHT(B129,5)),quests!A:D,4,FALSE)</f>
        <v>ナーガ襲来！</v>
      </c>
      <c r="D129" s="53" t="str">
        <f t="shared" ref="D129" si="148">B129&amp;".png"</f>
        <v>quest48501.png</v>
      </c>
      <c r="E129" s="1">
        <v>50</v>
      </c>
      <c r="F129" s="1" t="s">
        <v>1269</v>
      </c>
      <c r="G129" s="53">
        <f t="shared" ref="G129" si="149">A129</f>
        <v>4851</v>
      </c>
      <c r="H129" s="53">
        <v>1</v>
      </c>
      <c r="I129" s="53" t="s">
        <v>382</v>
      </c>
      <c r="J129" s="53" t="s">
        <v>1269</v>
      </c>
    </row>
    <row r="130" spans="1:10" x14ac:dyDescent="0.15">
      <c r="A130" s="167">
        <v>4852</v>
      </c>
      <c r="B130" s="7" t="s">
        <v>2091</v>
      </c>
      <c r="C130" s="53" t="str">
        <f>VLOOKUP(VALUE(RIGHT(B130,5)),quests!A:D,4,FALSE)</f>
        <v>ヘルシング襲来！</v>
      </c>
      <c r="D130" s="53" t="str">
        <f t="shared" ref="D130:D131" si="150">B130&amp;".png"</f>
        <v>quest48502.png</v>
      </c>
      <c r="E130" s="1">
        <v>50</v>
      </c>
      <c r="F130" s="1" t="s">
        <v>1269</v>
      </c>
      <c r="G130" s="53">
        <f t="shared" ref="G130:G131" si="151">A130</f>
        <v>4852</v>
      </c>
      <c r="H130" s="53">
        <v>1</v>
      </c>
      <c r="I130" s="53" t="s">
        <v>382</v>
      </c>
      <c r="J130" s="53" t="s">
        <v>1269</v>
      </c>
    </row>
    <row r="131" spans="1:10" x14ac:dyDescent="0.15">
      <c r="A131" s="167">
        <v>4853</v>
      </c>
      <c r="B131" s="7" t="s">
        <v>2315</v>
      </c>
      <c r="C131" s="53" t="str">
        <f>VLOOKUP(VALUE(RIGHT(B131,5)),quests!A:D,4,FALSE)</f>
        <v>ナーガ襲来！</v>
      </c>
      <c r="D131" s="53" t="str">
        <f t="shared" si="150"/>
        <v>quest48503.png</v>
      </c>
      <c r="E131" s="1">
        <v>50</v>
      </c>
      <c r="F131" s="1" t="s">
        <v>1269</v>
      </c>
      <c r="G131" s="53">
        <f t="shared" si="151"/>
        <v>4853</v>
      </c>
      <c r="H131" s="53">
        <v>1</v>
      </c>
      <c r="I131" s="53" t="s">
        <v>382</v>
      </c>
      <c r="J131" s="53" t="s">
        <v>1269</v>
      </c>
    </row>
    <row r="132" spans="1:10" x14ac:dyDescent="0.15">
      <c r="A132" s="167">
        <v>4854</v>
      </c>
      <c r="B132" s="7" t="s">
        <v>2400</v>
      </c>
      <c r="C132" s="53" t="str">
        <f>VLOOKUP(VALUE(RIGHT(B132,5)),quests!A:D,4,FALSE)</f>
        <v>サン＝テグジュペリ襲来！</v>
      </c>
      <c r="D132" s="53" t="str">
        <f t="shared" ref="D132" si="152">B132&amp;".png"</f>
        <v>quest48504.png</v>
      </c>
      <c r="E132" s="1">
        <v>50</v>
      </c>
      <c r="F132" s="1" t="s">
        <v>1269</v>
      </c>
      <c r="G132" s="53">
        <f t="shared" ref="G132" si="153">A132</f>
        <v>4854</v>
      </c>
      <c r="H132" s="53">
        <v>1</v>
      </c>
      <c r="I132" s="53" t="s">
        <v>382</v>
      </c>
      <c r="J132" s="53" t="s">
        <v>1269</v>
      </c>
    </row>
    <row r="133" spans="1:10" x14ac:dyDescent="0.15">
      <c r="A133" s="167">
        <v>4870</v>
      </c>
      <c r="B133" s="7" t="s">
        <v>2123</v>
      </c>
      <c r="C133" s="53" t="str">
        <f>VLOOKUP(VALUE(RIGHT(B133,5)),quests!A:D,4,FALSE)</f>
        <v>M.Dragon襲来！</v>
      </c>
      <c r="D133" s="53" t="str">
        <f t="shared" ref="D133:D134" si="154">B133&amp;".png"</f>
        <v>quest48701.png</v>
      </c>
      <c r="E133" s="1">
        <v>50</v>
      </c>
      <c r="F133" s="1" t="s">
        <v>1269</v>
      </c>
      <c r="G133" s="53">
        <f t="shared" ref="G133:G134" si="155">A133</f>
        <v>4870</v>
      </c>
      <c r="H133" s="53">
        <v>1</v>
      </c>
      <c r="I133" s="53" t="s">
        <v>382</v>
      </c>
      <c r="J133" s="53" t="s">
        <v>1269</v>
      </c>
    </row>
    <row r="134" spans="1:10" x14ac:dyDescent="0.15">
      <c r="A134" s="167">
        <v>4872</v>
      </c>
      <c r="B134" s="7" t="s">
        <v>2244</v>
      </c>
      <c r="C134" s="53" t="str">
        <f>VLOOKUP(VALUE(RIGHT(B134,5)),quests!A:D,4,FALSE)</f>
        <v>田禹治襲来！</v>
      </c>
      <c r="D134" s="53" t="str">
        <f t="shared" si="154"/>
        <v>quest48702.png</v>
      </c>
      <c r="E134" s="1">
        <v>50</v>
      </c>
      <c r="F134" s="1" t="s">
        <v>1269</v>
      </c>
      <c r="G134" s="53">
        <f t="shared" si="155"/>
        <v>4872</v>
      </c>
      <c r="H134" s="53">
        <v>1</v>
      </c>
      <c r="I134" s="53" t="s">
        <v>382</v>
      </c>
      <c r="J134" s="53" t="s">
        <v>1269</v>
      </c>
    </row>
    <row r="135" spans="1:10" x14ac:dyDescent="0.15">
      <c r="A135" s="167">
        <v>4873</v>
      </c>
      <c r="B135" s="7" t="s">
        <v>2424</v>
      </c>
      <c r="C135" s="53" t="str">
        <f>VLOOKUP(VALUE(RIGHT(B135,5)),quests!A:D,4,FALSE)</f>
        <v>紅蓮襲来！</v>
      </c>
      <c r="D135" s="53" t="str">
        <f t="shared" ref="D135" si="156">B135&amp;".png"</f>
        <v>quest48703.png</v>
      </c>
      <c r="E135" s="1">
        <v>50</v>
      </c>
      <c r="F135" s="1" t="s">
        <v>1269</v>
      </c>
      <c r="G135" s="53">
        <f t="shared" ref="G135" si="157">A135</f>
        <v>4873</v>
      </c>
      <c r="H135" s="53">
        <v>1</v>
      </c>
      <c r="I135" s="53" t="s">
        <v>382</v>
      </c>
      <c r="J135" s="53" t="s">
        <v>1269</v>
      </c>
    </row>
    <row r="136" spans="1:10" x14ac:dyDescent="0.15">
      <c r="A136" s="167">
        <v>4929</v>
      </c>
      <c r="B136" s="7" t="s">
        <v>2022</v>
      </c>
      <c r="C136" s="53" t="str">
        <f>VLOOKUP(VALUE(RIGHT(B136,5)),quests!A:D,4,FALSE)</f>
        <v>雪の歌姫</v>
      </c>
      <c r="D136" s="279" t="s">
        <v>2024</v>
      </c>
      <c r="E136" s="1" t="s">
        <v>1269</v>
      </c>
      <c r="F136" s="1" t="s">
        <v>1269</v>
      </c>
      <c r="G136" s="53">
        <f>A136</f>
        <v>4929</v>
      </c>
      <c r="H136" s="53">
        <v>1</v>
      </c>
      <c r="I136" s="53" t="s">
        <v>382</v>
      </c>
      <c r="J136" s="53" t="s">
        <v>1269</v>
      </c>
    </row>
    <row r="137" spans="1:10" x14ac:dyDescent="0.15">
      <c r="A137" s="167">
        <v>4930</v>
      </c>
      <c r="B137" s="7" t="s">
        <v>2020</v>
      </c>
      <c r="C137" s="53" t="str">
        <f>VLOOKUP(VALUE(RIGHT(B137,5)),quests!A:D,4,FALSE)</f>
        <v>星空の歌姫</v>
      </c>
      <c r="D137" s="53" t="str">
        <f>B137&amp;".png"</f>
        <v>quest39009.png</v>
      </c>
      <c r="E137" s="1" t="s">
        <v>1269</v>
      </c>
      <c r="F137" s="1" t="s">
        <v>1269</v>
      </c>
      <c r="G137" s="53">
        <f>A137</f>
        <v>4930</v>
      </c>
      <c r="H137" s="53">
        <v>1</v>
      </c>
      <c r="I137" s="53" t="s">
        <v>382</v>
      </c>
      <c r="J137" s="53" t="s">
        <v>1269</v>
      </c>
    </row>
    <row r="138" spans="1:10" x14ac:dyDescent="0.15">
      <c r="A138" s="167">
        <v>4931</v>
      </c>
      <c r="B138" s="7" t="s">
        <v>2021</v>
      </c>
      <c r="C138" s="53" t="str">
        <f>VLOOKUP(VALUE(RIGHT(B138,5)),quests!A:D,4,FALSE)</f>
        <v>熱唱！初音ミクV3</v>
      </c>
      <c r="D138" s="279" t="s">
        <v>2025</v>
      </c>
      <c r="E138" s="1" t="s">
        <v>1269</v>
      </c>
      <c r="F138" s="1" t="s">
        <v>1272</v>
      </c>
      <c r="G138" s="53">
        <f t="shared" ref="G138:G139" si="158">A138</f>
        <v>4931</v>
      </c>
      <c r="H138" s="53">
        <v>1</v>
      </c>
      <c r="I138" s="53" t="s">
        <v>382</v>
      </c>
      <c r="J138" s="53" t="s">
        <v>1269</v>
      </c>
    </row>
    <row r="139" spans="1:10" x14ac:dyDescent="0.15">
      <c r="A139" s="167">
        <v>4932</v>
      </c>
      <c r="B139" s="7" t="s">
        <v>1886</v>
      </c>
      <c r="C139" s="53" t="str">
        <f>VLOOKUP(VALUE(RIGHT(B139,5)),quests!A:D,4,FALSE)</f>
        <v>電子音協奏曲</v>
      </c>
      <c r="D139" s="53" t="str">
        <f t="shared" ref="D139" si="159">B139&amp;".png"</f>
        <v>quest49009.png</v>
      </c>
      <c r="E139" s="1" t="s">
        <v>1269</v>
      </c>
      <c r="F139" s="1" t="s">
        <v>1269</v>
      </c>
      <c r="G139" s="53">
        <f t="shared" si="158"/>
        <v>4932</v>
      </c>
      <c r="H139" s="53">
        <v>1</v>
      </c>
      <c r="I139" s="53" t="s">
        <v>382</v>
      </c>
      <c r="J139" s="53" t="s">
        <v>1269</v>
      </c>
    </row>
    <row r="140" spans="1:10" x14ac:dyDescent="0.15">
      <c r="A140" s="167">
        <v>4933</v>
      </c>
      <c r="B140" s="7" t="s">
        <v>1885</v>
      </c>
      <c r="C140" s="53" t="str">
        <f>VLOOKUP(VALUE(RIGHT(B140,5)),quests!A:D,4,FALSE)</f>
        <v>走り抜けろ！ALICE GP</v>
      </c>
      <c r="D140" s="53" t="str">
        <f t="shared" ref="D140:D155" si="160">B140&amp;".png"</f>
        <v>quest49010.png</v>
      </c>
      <c r="E140" s="1" t="s">
        <v>1269</v>
      </c>
      <c r="F140" s="1" t="s">
        <v>1269</v>
      </c>
      <c r="G140" s="53">
        <f t="shared" ref="G140:G141" si="161">A140</f>
        <v>4933</v>
      </c>
      <c r="H140" s="53">
        <v>1</v>
      </c>
      <c r="I140" s="53" t="s">
        <v>382</v>
      </c>
      <c r="J140" s="53" t="s">
        <v>1269</v>
      </c>
    </row>
    <row r="141" spans="1:10" x14ac:dyDescent="0.15">
      <c r="A141" s="167">
        <v>4934</v>
      </c>
      <c r="B141" s="7" t="s">
        <v>1887</v>
      </c>
      <c r="C141" s="53" t="str">
        <f>VLOOKUP(VALUE(RIGHT(B141,5)),quests!A:D,4,FALSE)</f>
        <v>秘密のイベント潜入作戦</v>
      </c>
      <c r="D141" s="53" t="str">
        <f t="shared" si="160"/>
        <v>quest49011.png</v>
      </c>
      <c r="E141" s="1" t="s">
        <v>1269</v>
      </c>
      <c r="F141" s="1" t="s">
        <v>1269</v>
      </c>
      <c r="G141" s="53">
        <f t="shared" si="161"/>
        <v>4934</v>
      </c>
      <c r="H141" s="53">
        <v>1</v>
      </c>
      <c r="I141" s="53" t="s">
        <v>382</v>
      </c>
      <c r="J141" s="53" t="s">
        <v>1269</v>
      </c>
    </row>
    <row r="142" spans="1:10" x14ac:dyDescent="0.15">
      <c r="A142" s="167">
        <v>4935</v>
      </c>
      <c r="B142" s="7" t="s">
        <v>1888</v>
      </c>
      <c r="C142" s="53" t="str">
        <f>VLOOKUP(VALUE(RIGHT(B142,5)),quests!A:D,4,FALSE)</f>
        <v>電子歌姫の堕天使</v>
      </c>
      <c r="D142" s="53" t="str">
        <f t="shared" si="160"/>
        <v>quest59001.png</v>
      </c>
      <c r="E142" s="1">
        <v>30</v>
      </c>
      <c r="F142" s="1" t="s">
        <v>1269</v>
      </c>
      <c r="G142" s="280">
        <v>10000</v>
      </c>
      <c r="H142" s="53">
        <v>1</v>
      </c>
      <c r="I142" s="53" t="s">
        <v>382</v>
      </c>
      <c r="J142" s="53" t="s">
        <v>1269</v>
      </c>
    </row>
    <row r="143" spans="1:10" x14ac:dyDescent="0.15">
      <c r="A143" s="167">
        <v>4936</v>
      </c>
      <c r="B143" s="7" t="s">
        <v>1922</v>
      </c>
      <c r="C143" s="53" t="str">
        <f>VLOOKUP(VALUE(RIGHT(B143,5)),quests!A:D,4,FALSE)</f>
        <v>黄巾賊の暴走を止めろ！</v>
      </c>
      <c r="D143" s="279" t="s">
        <v>1155</v>
      </c>
      <c r="E143" s="1" t="s">
        <v>1579</v>
      </c>
      <c r="F143" s="1" t="s">
        <v>1269</v>
      </c>
      <c r="G143" s="53">
        <f>A143</f>
        <v>4936</v>
      </c>
      <c r="H143" s="53">
        <v>1</v>
      </c>
      <c r="I143" s="53" t="s">
        <v>382</v>
      </c>
      <c r="J143" s="53" t="s">
        <v>1269</v>
      </c>
    </row>
    <row r="144" spans="1:10" x14ac:dyDescent="0.15">
      <c r="A144" s="167">
        <v>4937</v>
      </c>
      <c r="B144" s="7" t="s">
        <v>1923</v>
      </c>
      <c r="C144" s="53" t="str">
        <f>VLOOKUP(VALUE(RIGHT(B144,5)),quests!A:D,4,FALSE)</f>
        <v>ブルースクウェアを追え！</v>
      </c>
      <c r="D144" s="279" t="s">
        <v>1956</v>
      </c>
      <c r="E144" s="1" t="s">
        <v>1579</v>
      </c>
      <c r="F144" s="1" t="s">
        <v>1269</v>
      </c>
      <c r="G144" s="53">
        <f>A144</f>
        <v>4937</v>
      </c>
      <c r="H144" s="53">
        <v>1</v>
      </c>
      <c r="I144" s="53" t="s">
        <v>382</v>
      </c>
      <c r="J144" s="53" t="s">
        <v>1269</v>
      </c>
    </row>
    <row r="145" spans="1:10" x14ac:dyDescent="0.15">
      <c r="A145" s="167">
        <v>4938</v>
      </c>
      <c r="B145" s="7" t="s">
        <v>1924</v>
      </c>
      <c r="C145" s="53" t="str">
        <f>VLOOKUP(VALUE(RIGHT(B145,5)),quests!A:D,4,FALSE)</f>
        <v>園原杏里襲来！</v>
      </c>
      <c r="D145" s="279" t="s">
        <v>1957</v>
      </c>
      <c r="E145" s="1" t="s">
        <v>1579</v>
      </c>
      <c r="F145" s="1" t="s">
        <v>1269</v>
      </c>
      <c r="G145" s="53">
        <f t="shared" ref="G145:G146" si="162">A145</f>
        <v>4938</v>
      </c>
      <c r="H145" s="53">
        <v>1</v>
      </c>
      <c r="I145" s="53" t="s">
        <v>382</v>
      </c>
      <c r="J145" s="53" t="s">
        <v>1269</v>
      </c>
    </row>
    <row r="146" spans="1:10" x14ac:dyDescent="0.15">
      <c r="A146" s="167">
        <v>4939</v>
      </c>
      <c r="B146" s="7" t="s">
        <v>1925</v>
      </c>
      <c r="C146" s="53" t="str">
        <f>VLOOKUP(VALUE(RIGHT(B146,5)),quests!A:D,4,FALSE)</f>
        <v>折原臨也襲来！</v>
      </c>
      <c r="D146" s="279" t="s">
        <v>1958</v>
      </c>
      <c r="E146" s="1" t="s">
        <v>1269</v>
      </c>
      <c r="F146" s="1" t="s">
        <v>1269</v>
      </c>
      <c r="G146" s="53">
        <f t="shared" si="162"/>
        <v>4939</v>
      </c>
      <c r="H146" s="53">
        <v>1</v>
      </c>
      <c r="I146" s="53" t="s">
        <v>382</v>
      </c>
      <c r="J146" s="53" t="s">
        <v>1269</v>
      </c>
    </row>
    <row r="147" spans="1:10" x14ac:dyDescent="0.15">
      <c r="A147" s="167">
        <v>4940</v>
      </c>
      <c r="B147" s="7" t="s">
        <v>2075</v>
      </c>
      <c r="C147" s="53" t="str">
        <f>VLOOKUP(VALUE(RIGHT(B147,5)),quests!A:D,4,FALSE)</f>
        <v>侵略！？にゃんこ軍団現る！</v>
      </c>
      <c r="D147" s="53" t="str">
        <f>B147&amp;".png"</f>
        <v>quest39012.png</v>
      </c>
      <c r="E147" s="1" t="s">
        <v>1579</v>
      </c>
      <c r="F147" s="1" t="s">
        <v>1269</v>
      </c>
      <c r="G147" s="53">
        <f t="shared" ref="G147" si="163">A147</f>
        <v>4940</v>
      </c>
      <c r="H147" s="53">
        <v>1</v>
      </c>
      <c r="I147" s="53" t="s">
        <v>382</v>
      </c>
      <c r="J147" s="53" t="s">
        <v>1269</v>
      </c>
    </row>
    <row r="148" spans="1:10" x14ac:dyDescent="0.15">
      <c r="A148" s="167">
        <v>4941</v>
      </c>
      <c r="B148" s="7" t="s">
        <v>2082</v>
      </c>
      <c r="C148" s="53" t="str">
        <f>VLOOKUP(VALUE(RIGHT(B148,5)),quests!A:D,4,FALSE)</f>
        <v>ネコムート襲来！</v>
      </c>
      <c r="D148" s="279" t="s">
        <v>2085</v>
      </c>
      <c r="E148" s="1" t="s">
        <v>1269</v>
      </c>
      <c r="F148" s="1" t="s">
        <v>1269</v>
      </c>
      <c r="G148" s="53">
        <f t="shared" ref="G148" si="164">A148</f>
        <v>4941</v>
      </c>
      <c r="H148" s="53">
        <v>1</v>
      </c>
      <c r="I148" s="53" t="s">
        <v>382</v>
      </c>
      <c r="J148" s="53" t="s">
        <v>1269</v>
      </c>
    </row>
    <row r="149" spans="1:10" x14ac:dyDescent="0.15">
      <c r="A149" s="167">
        <v>4942</v>
      </c>
      <c r="B149" s="7" t="s">
        <v>2083</v>
      </c>
      <c r="C149" s="53" t="str">
        <f>VLOOKUP(VALUE(RIGHT(B149,5)),quests!A:D,4,FALSE)</f>
        <v>狂乱のネコ降臨</v>
      </c>
      <c r="D149" s="279" t="s">
        <v>2084</v>
      </c>
      <c r="E149" s="1">
        <v>30</v>
      </c>
      <c r="F149" s="1" t="s">
        <v>1269</v>
      </c>
      <c r="G149" s="280">
        <v>10000</v>
      </c>
      <c r="H149" s="53">
        <v>1</v>
      </c>
      <c r="I149" s="53" t="s">
        <v>382</v>
      </c>
      <c r="J149" s="53" t="s">
        <v>1269</v>
      </c>
    </row>
    <row r="150" spans="1:10" x14ac:dyDescent="0.15">
      <c r="A150" s="167">
        <v>4943</v>
      </c>
      <c r="B150" s="7" t="s">
        <v>2145</v>
      </c>
      <c r="C150" s="53" t="str">
        <f>VLOOKUP(VALUE(RIGHT(B150,5)),quests!A:D,4,FALSE)</f>
        <v>スカー襲来！</v>
      </c>
      <c r="D150" s="279" t="s">
        <v>2146</v>
      </c>
      <c r="E150" s="1" t="s">
        <v>1269</v>
      </c>
      <c r="F150" s="1" t="s">
        <v>1269</v>
      </c>
      <c r="G150" s="53">
        <f t="shared" ref="G150" si="165">A150</f>
        <v>4943</v>
      </c>
      <c r="H150" s="53">
        <v>1</v>
      </c>
      <c r="I150" s="53" t="s">
        <v>382</v>
      </c>
      <c r="J150" s="53" t="s">
        <v>1269</v>
      </c>
    </row>
    <row r="151" spans="1:10" x14ac:dyDescent="0.15">
      <c r="A151" s="167">
        <v>4944</v>
      </c>
      <c r="B151" s="7" t="s">
        <v>2276</v>
      </c>
      <c r="C151" s="53" t="str">
        <f>VLOOKUP(VALUE(RIGHT(B151,5)),quests!A:D,4,FALSE)</f>
        <v>兄左</v>
      </c>
      <c r="D151" s="279" t="s">
        <v>2277</v>
      </c>
      <c r="E151" s="1" t="s">
        <v>1269</v>
      </c>
      <c r="F151" s="1" t="s">
        <v>1269</v>
      </c>
      <c r="G151" s="53">
        <f>A151</f>
        <v>4944</v>
      </c>
      <c r="H151" s="53">
        <v>1</v>
      </c>
      <c r="I151" s="53" t="s">
        <v>382</v>
      </c>
      <c r="J151" s="53" t="s">
        <v>1269</v>
      </c>
    </row>
    <row r="152" spans="1:10" x14ac:dyDescent="0.15">
      <c r="A152" s="167">
        <v>4945</v>
      </c>
      <c r="B152" s="7" t="s">
        <v>2282</v>
      </c>
      <c r="C152" s="53" t="str">
        <f>VLOOKUP(VALUE(RIGHT(B152,5)),quests!A:D,4,FALSE)</f>
        <v>栗転</v>
      </c>
      <c r="D152" s="53" t="str">
        <f t="shared" ref="D152" si="166">B152&amp;".png"</f>
        <v>quest49016.png</v>
      </c>
      <c r="E152" s="1" t="s">
        <v>1269</v>
      </c>
      <c r="F152" s="1" t="s">
        <v>1269</v>
      </c>
      <c r="G152" s="53">
        <f t="shared" ref="G152" si="167">A152</f>
        <v>4945</v>
      </c>
      <c r="H152" s="53">
        <v>1</v>
      </c>
      <c r="I152" s="53" t="s">
        <v>382</v>
      </c>
      <c r="J152" s="53" t="s">
        <v>1269</v>
      </c>
    </row>
    <row r="153" spans="1:10" x14ac:dyDescent="0.15">
      <c r="A153" s="167">
        <v>4946</v>
      </c>
      <c r="B153" s="7" t="s">
        <v>2284</v>
      </c>
      <c r="C153" s="53" t="str">
        <f>VLOOKUP(VALUE(RIGHT(B153,5)),quests!A:D,4,FALSE)</f>
        <v>金券</v>
      </c>
      <c r="D153" s="53" t="str">
        <f t="shared" ref="D153" si="168">B153&amp;".png"</f>
        <v>quest39014.png</v>
      </c>
      <c r="E153" s="1" t="s">
        <v>1269</v>
      </c>
      <c r="F153" s="1" t="s">
        <v>1269</v>
      </c>
      <c r="G153" s="53">
        <f t="shared" ref="G153" si="169">A153</f>
        <v>4946</v>
      </c>
      <c r="H153" s="53">
        <v>1</v>
      </c>
      <c r="I153" s="53" t="s">
        <v>382</v>
      </c>
      <c r="J153" s="53" t="s">
        <v>1269</v>
      </c>
    </row>
    <row r="154" spans="1:10" x14ac:dyDescent="0.15">
      <c r="A154" s="167">
        <v>4947</v>
      </c>
      <c r="B154" s="7" t="s">
        <v>2328</v>
      </c>
      <c r="C154" s="53" t="str">
        <f>VLOOKUP(VALUE(RIGHT(B154,5)),quests!A:D,4,FALSE)</f>
        <v>風雷</v>
      </c>
      <c r="D154" s="53" t="str">
        <f t="shared" ref="D154" si="170">B154&amp;".png"</f>
        <v>quest59003.png</v>
      </c>
      <c r="E154" s="1">
        <v>30</v>
      </c>
      <c r="F154" s="1" t="s">
        <v>1269</v>
      </c>
      <c r="G154" s="280">
        <v>10000</v>
      </c>
      <c r="H154" s="53">
        <v>1</v>
      </c>
      <c r="I154" s="53" t="s">
        <v>382</v>
      </c>
      <c r="J154" s="53" t="s">
        <v>1269</v>
      </c>
    </row>
    <row r="155" spans="1:10" x14ac:dyDescent="0.15">
      <c r="A155" s="167">
        <v>6026</v>
      </c>
      <c r="B155" s="7" t="s">
        <v>1945</v>
      </c>
      <c r="C155" s="53" t="str">
        <f>VLOOKUP(VALUE(RIGHT(B155,5)),quests!A:D,4,FALSE)</f>
        <v>ハップルチャレンジ</v>
      </c>
      <c r="D155" s="53" t="str">
        <f t="shared" si="160"/>
        <v>quest60026.png</v>
      </c>
      <c r="E155" s="1">
        <v>30</v>
      </c>
      <c r="F155" s="1" t="s">
        <v>1269</v>
      </c>
      <c r="G155" s="53">
        <v>4900</v>
      </c>
      <c r="H155" s="53">
        <v>4169</v>
      </c>
      <c r="I155" s="53" t="s">
        <v>382</v>
      </c>
      <c r="J155" s="53" t="s">
        <v>1269</v>
      </c>
    </row>
    <row r="156" spans="1:10" x14ac:dyDescent="0.15">
      <c r="A156" s="167">
        <v>6027</v>
      </c>
      <c r="B156" s="7" t="s">
        <v>1948</v>
      </c>
      <c r="C156" s="53" t="str">
        <f>VLOOKUP(VALUE(RIGHT(B156,5)),quests!A:D,4,FALSE)</f>
        <v>チューリングチャレンジ</v>
      </c>
      <c r="D156" s="280" t="s">
        <v>1968</v>
      </c>
      <c r="E156" s="1">
        <v>30</v>
      </c>
      <c r="F156" s="1" t="s">
        <v>1269</v>
      </c>
      <c r="G156" s="53">
        <f t="shared" ref="G156:G157" si="171">A156</f>
        <v>6027</v>
      </c>
      <c r="H156" s="53">
        <v>3776</v>
      </c>
      <c r="I156" s="53" t="s">
        <v>382</v>
      </c>
      <c r="J156" s="53" t="s">
        <v>1269</v>
      </c>
    </row>
    <row r="157" spans="1:10" x14ac:dyDescent="0.15">
      <c r="A157" s="247">
        <v>6028</v>
      </c>
      <c r="B157" s="7" t="s">
        <v>2107</v>
      </c>
      <c r="C157" s="53" t="str">
        <f>VLOOKUP(VALUE(RIGHT(B157,5)),quests!A:D,4,FALSE)</f>
        <v xml:space="preserve">クロネッカーチャレンジ </v>
      </c>
      <c r="D157" s="280" t="s">
        <v>2116</v>
      </c>
      <c r="E157" s="1">
        <v>30</v>
      </c>
      <c r="F157" s="1" t="s">
        <v>1269</v>
      </c>
      <c r="G157" s="53">
        <f t="shared" si="171"/>
        <v>6028</v>
      </c>
      <c r="H157" s="53">
        <v>5194</v>
      </c>
      <c r="I157" s="53" t="s">
        <v>967</v>
      </c>
      <c r="J157" s="53" t="s">
        <v>1269</v>
      </c>
    </row>
    <row r="158" spans="1:10" x14ac:dyDescent="0.15">
      <c r="A158" s="247">
        <v>6029</v>
      </c>
      <c r="B158" s="7" t="s">
        <v>2239</v>
      </c>
      <c r="C158" s="53" t="str">
        <f>VLOOKUP(VALUE(RIGHT(B158,5)),quests!A:D,4,FALSE)</f>
        <v xml:space="preserve">オイラーチャレンジ </v>
      </c>
      <c r="D158" s="280" t="s">
        <v>2240</v>
      </c>
      <c r="E158" s="1">
        <v>30</v>
      </c>
      <c r="F158" s="1" t="s">
        <v>1269</v>
      </c>
      <c r="G158" s="53">
        <f t="shared" ref="G158" si="172">A158</f>
        <v>6029</v>
      </c>
      <c r="H158" s="53">
        <v>6199</v>
      </c>
      <c r="I158" s="53" t="s">
        <v>967</v>
      </c>
      <c r="J158" s="53" t="s">
        <v>1269</v>
      </c>
    </row>
    <row r="159" spans="1:10" x14ac:dyDescent="0.15">
      <c r="A159" s="167">
        <v>6030</v>
      </c>
      <c r="B159" s="7" t="s">
        <v>2301</v>
      </c>
      <c r="C159" s="53" t="str">
        <f>VLOOKUP(VALUE(RIGHT(B159,5)),quests!A:D,4,FALSE)</f>
        <v xml:space="preserve">フロイトチャレンジ </v>
      </c>
      <c r="D159" s="53" t="str">
        <f t="shared" ref="D159" si="173">B159&amp;".png"</f>
        <v>quest60030.png</v>
      </c>
      <c r="E159" s="1">
        <v>30</v>
      </c>
      <c r="F159" s="1" t="s">
        <v>1269</v>
      </c>
      <c r="G159" s="53">
        <v>6030</v>
      </c>
      <c r="H159" s="53">
        <v>6859</v>
      </c>
      <c r="I159" s="53" t="s">
        <v>382</v>
      </c>
      <c r="J159" s="53" t="s">
        <v>1269</v>
      </c>
    </row>
    <row r="160" spans="1:10" x14ac:dyDescent="0.15">
      <c r="A160" s="167">
        <v>6031</v>
      </c>
      <c r="B160" s="7" t="s">
        <v>2318</v>
      </c>
      <c r="C160" s="53" t="str">
        <f>VLOOKUP(VALUE(RIGHT(B160,5)),quests!A:D,4,FALSE)</f>
        <v xml:space="preserve">ヘンペルチャレンジ </v>
      </c>
      <c r="D160" s="53" t="str">
        <f t="shared" ref="D160" si="174">B160&amp;".png"</f>
        <v>quest60031.png</v>
      </c>
      <c r="E160" s="1">
        <v>30</v>
      </c>
      <c r="F160" s="1" t="s">
        <v>1269</v>
      </c>
      <c r="G160" s="53">
        <v>6031</v>
      </c>
      <c r="H160" s="53">
        <v>6631</v>
      </c>
      <c r="I160" s="53" t="s">
        <v>382</v>
      </c>
      <c r="J160" s="53" t="s">
        <v>1269</v>
      </c>
    </row>
    <row r="161" spans="1:10" x14ac:dyDescent="0.15">
      <c r="A161" s="167">
        <v>6032</v>
      </c>
      <c r="B161" s="7" t="s">
        <v>2389</v>
      </c>
      <c r="C161" s="53" t="str">
        <f>VLOOKUP(VALUE(RIGHT(B161,5)),quests!A:D,4,FALSE)</f>
        <v xml:space="preserve">ラグランジュチャレンジ </v>
      </c>
      <c r="D161" s="53" t="str">
        <f t="shared" ref="D161" si="175">B161&amp;".png"</f>
        <v>quest60032.png</v>
      </c>
      <c r="E161" s="1">
        <v>30</v>
      </c>
      <c r="F161" s="1" t="s">
        <v>1269</v>
      </c>
      <c r="G161" s="53">
        <v>6032</v>
      </c>
      <c r="H161" s="53">
        <v>7409</v>
      </c>
      <c r="I161" s="53" t="s">
        <v>382</v>
      </c>
      <c r="J161" s="53" t="s">
        <v>1269</v>
      </c>
    </row>
    <row r="162" spans="1:10" x14ac:dyDescent="0.15">
      <c r="A162" s="167">
        <v>6101</v>
      </c>
      <c r="B162" s="7" t="s">
        <v>2411</v>
      </c>
      <c r="C162" s="53" t="str">
        <f>VLOOKUP(VALUE(RIGHT(B162,5)),quests!A:D,4,FALSE)</f>
        <v>団結クエスト</v>
      </c>
      <c r="D162" s="53" t="str">
        <f t="shared" ref="D162" si="176">B162&amp;".png"</f>
        <v>quest61001.png</v>
      </c>
      <c r="E162" s="1">
        <v>30</v>
      </c>
      <c r="F162" s="1" t="s">
        <v>1269</v>
      </c>
      <c r="G162" s="53">
        <v>6101</v>
      </c>
      <c r="H162" s="53">
        <v>1</v>
      </c>
      <c r="I162" s="53" t="s">
        <v>382</v>
      </c>
      <c r="J162" s="53" t="s">
        <v>1269</v>
      </c>
    </row>
    <row r="163" spans="1:10" x14ac:dyDescent="0.15">
      <c r="A163" s="96">
        <v>1228</v>
      </c>
      <c r="B163" s="7" t="s">
        <v>2076</v>
      </c>
      <c r="C163" s="53" t="str">
        <f>VLOOKUP(VALUE(RIGHT(B163,5)),quests!A:D,4,FALSE)</f>
        <v>バレンタイン★特別クエスト</v>
      </c>
      <c r="D163" s="280" t="s">
        <v>2077</v>
      </c>
      <c r="E163" s="1" t="s">
        <v>1269</v>
      </c>
      <c r="F163" s="1" t="s">
        <v>1269</v>
      </c>
      <c r="G163" s="280">
        <v>10000</v>
      </c>
      <c r="H163" s="53">
        <v>1</v>
      </c>
      <c r="I163" s="53" t="s">
        <v>382</v>
      </c>
      <c r="J163" s="53" t="s">
        <v>1269</v>
      </c>
    </row>
    <row r="164" spans="1:10" x14ac:dyDescent="0.15">
      <c r="A164" s="96">
        <v>1229</v>
      </c>
      <c r="B164" s="7" t="s">
        <v>2098</v>
      </c>
      <c r="C164" s="53" t="str">
        <f>VLOOKUP(VALUE(RIGHT(B164,5)),quests!A:D,4,FALSE)</f>
        <v>ホワイトデー★特別クエスト</v>
      </c>
      <c r="D164" s="118" t="s">
        <v>2099</v>
      </c>
      <c r="E164" s="1" t="s">
        <v>1269</v>
      </c>
      <c r="F164" s="1" t="s">
        <v>1269</v>
      </c>
      <c r="G164" s="280">
        <v>10000</v>
      </c>
      <c r="H164" s="53">
        <v>1</v>
      </c>
      <c r="I164" s="53" t="s">
        <v>382</v>
      </c>
      <c r="J164" s="53" t="s">
        <v>1269</v>
      </c>
    </row>
    <row r="165" spans="1:10" x14ac:dyDescent="0.15">
      <c r="A165" s="96">
        <v>1230</v>
      </c>
      <c r="B165" s="7" t="s">
        <v>2150</v>
      </c>
      <c r="C165" s="53" t="str">
        <f>VLOOKUP(VALUE(RIGHT(B165,5)),quests!A:D,4,FALSE)</f>
        <v>未知のウィルス大捜査！</v>
      </c>
      <c r="D165" s="118" t="s">
        <v>2151</v>
      </c>
      <c r="E165" s="1" t="s">
        <v>1269</v>
      </c>
      <c r="F165" s="1" t="s">
        <v>1269</v>
      </c>
      <c r="G165" s="280">
        <v>10001</v>
      </c>
      <c r="H165" s="53">
        <v>1</v>
      </c>
      <c r="I165" s="53" t="s">
        <v>382</v>
      </c>
      <c r="J165" s="53" t="s">
        <v>1269</v>
      </c>
    </row>
    <row r="166" spans="1:10" x14ac:dyDescent="0.15">
      <c r="A166" s="96">
        <v>1231</v>
      </c>
      <c r="B166" s="7" t="s">
        <v>2208</v>
      </c>
      <c r="C166" s="53" t="str">
        <f>VLOOKUP(VALUE(RIGHT(B166,5)),quests!A:D,4,FALSE)</f>
        <v>桜姫の招待状</v>
      </c>
      <c r="D166" s="53" t="str">
        <f t="shared" ref="D166" si="177">B166&amp;".png"</f>
        <v>quest11231.png</v>
      </c>
      <c r="E166" s="1" t="s">
        <v>1269</v>
      </c>
      <c r="F166" s="1" t="s">
        <v>1269</v>
      </c>
      <c r="G166" s="280">
        <v>9999</v>
      </c>
      <c r="H166" s="53">
        <v>1</v>
      </c>
      <c r="I166" s="53" t="s">
        <v>382</v>
      </c>
      <c r="J166" s="53" t="s">
        <v>1269</v>
      </c>
    </row>
  </sheetData>
  <phoneticPr fontId="44"/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D35"/>
  <sheetViews>
    <sheetView showGridLines="0" workbookViewId="0">
      <pane ySplit="1" topLeftCell="A2" activePane="bottomLeft" state="frozen"/>
      <selection pane="bottomLeft" activeCell="G18" sqref="G18"/>
    </sheetView>
  </sheetViews>
  <sheetFormatPr baseColWidth="12" defaultColWidth="13" defaultRowHeight="21" customHeight="1" x14ac:dyDescent="0.15"/>
  <cols>
    <col min="1" max="1" width="9.3984375" style="11" customWidth="1"/>
    <col min="2" max="2" width="10.3984375" style="11" customWidth="1"/>
    <col min="3" max="3" width="26.19921875" style="11" customWidth="1"/>
    <col min="4" max="4" width="18" style="11" bestFit="1" customWidth="1"/>
    <col min="5" max="16384" width="13" style="11"/>
  </cols>
  <sheetData>
    <row r="1" spans="1:4" ht="21" customHeight="1" x14ac:dyDescent="0.15">
      <c r="A1" s="20" t="s">
        <v>156</v>
      </c>
      <c r="B1" s="14" t="s">
        <v>157</v>
      </c>
      <c r="C1" s="15" t="s">
        <v>182</v>
      </c>
      <c r="D1" s="14" t="s">
        <v>158</v>
      </c>
    </row>
    <row r="2" spans="1:4" ht="21" customHeight="1" x14ac:dyDescent="0.15">
      <c r="A2" s="31">
        <v>1</v>
      </c>
      <c r="B2" s="32">
        <v>12001</v>
      </c>
      <c r="C2" s="44" t="str">
        <f ca="1">VLOOKUP($B2,OFFSET(quests!$A$1,0,0,COUNTA(quests!$A:$A),MATCH(C$1,quests!$1:$1,0)-MATCH($B$1,quests!$1:$1,0)+1),MATCH(C$1,quests!$1:$1,0)-MATCH($B$1,quests!$1:$1,0)+1,FALSE)</f>
        <v>【緊急！！】 アヒル捕獲作戦</v>
      </c>
      <c r="D2" s="23" t="s">
        <v>160</v>
      </c>
    </row>
    <row r="3" spans="1:4" ht="21" customHeight="1" x14ac:dyDescent="0.15">
      <c r="A3" s="31">
        <v>2</v>
      </c>
      <c r="B3" s="32">
        <v>12001</v>
      </c>
      <c r="C3" s="44" t="str">
        <f ca="1">VLOOKUP($B3,OFFSET(quests!$A$1,0,0,COUNTA(quests!$A:$A),MATCH(C$1,quests!$1:$1,0)-MATCH($B$1,quests!$1:$1,0)+1),MATCH(C$1,quests!$1:$1,0)-MATCH($B$1,quests!$1:$1,0)+1,FALSE)</f>
        <v>【緊急！！】 アヒル捕獲作戦</v>
      </c>
      <c r="D3" s="23" t="s">
        <v>159</v>
      </c>
    </row>
    <row r="4" spans="1:4" ht="21" customHeight="1" x14ac:dyDescent="0.15">
      <c r="A4" s="31">
        <v>3</v>
      </c>
      <c r="B4" s="32">
        <v>12002</v>
      </c>
      <c r="C4" s="44" t="str">
        <f ca="1">VLOOKUP($B4,OFFSET(quests!$A$1,0,0,COUNTA(quests!$A:$A),MATCH(C$1,quests!$1:$1,0)-MATCH($B$1,quests!$1:$1,0)+1),MATCH(C$1,quests!$1:$1,0)-MATCH($B$1,quests!$1:$1,0)+1,FALSE)</f>
        <v>【マルチ専用1/2】 アヒル捕獲作戦</v>
      </c>
      <c r="D4" s="23" t="s">
        <v>160</v>
      </c>
    </row>
    <row r="5" spans="1:4" ht="21" customHeight="1" x14ac:dyDescent="0.15">
      <c r="A5" s="31">
        <v>4</v>
      </c>
      <c r="B5" s="32">
        <v>12002</v>
      </c>
      <c r="C5" s="44" t="str">
        <f ca="1">VLOOKUP($B5,OFFSET(quests!$A$1,0,0,COUNTA(quests!$A:$A),MATCH(C$1,quests!$1:$1,0)-MATCH($B$1,quests!$1:$1,0)+1),MATCH(C$1,quests!$1:$1,0)-MATCH($B$1,quests!$1:$1,0)+1,FALSE)</f>
        <v>【マルチ専用1/2】 アヒル捕獲作戦</v>
      </c>
      <c r="D5" s="23" t="s">
        <v>159</v>
      </c>
    </row>
    <row r="6" spans="1:4" ht="21" customHeight="1" x14ac:dyDescent="0.15">
      <c r="A6" s="31">
        <v>5</v>
      </c>
      <c r="B6" s="32">
        <v>12003</v>
      </c>
      <c r="C6" s="44" t="str">
        <f ca="1">VLOOKUP($B6,OFFSET(quests!$A$1,0,0,COUNTA(quests!$A:$A),MATCH(C$1,quests!$1:$1,0)-MATCH($B$1,quests!$1:$1,0)+1),MATCH(C$1,quests!$1:$1,0)-MATCH($B$1,quests!$1:$1,0)+1,FALSE)</f>
        <v>【超緊急！！】メタルジェントルを追え</v>
      </c>
      <c r="D6" s="23" t="s">
        <v>160</v>
      </c>
    </row>
    <row r="7" spans="1:4" ht="21" customHeight="1" x14ac:dyDescent="0.15">
      <c r="A7" s="31">
        <v>6</v>
      </c>
      <c r="B7" s="32">
        <v>12003</v>
      </c>
      <c r="C7" s="44" t="str">
        <f ca="1">VLOOKUP($B7,OFFSET(quests!$A$1,0,0,COUNTA(quests!$A:$A),MATCH(C$1,quests!$1:$1,0)-MATCH($B$1,quests!$1:$1,0)+1),MATCH(C$1,quests!$1:$1,0)-MATCH($B$1,quests!$1:$1,0)+1,FALSE)</f>
        <v>【超緊急！！】メタルジェントルを追え</v>
      </c>
      <c r="D7" s="23" t="s">
        <v>159</v>
      </c>
    </row>
    <row r="8" spans="1:4" ht="21" customHeight="1" x14ac:dyDescent="0.15">
      <c r="A8" s="31">
        <v>7</v>
      </c>
      <c r="B8" s="32">
        <v>11215</v>
      </c>
      <c r="C8" s="44" t="str">
        <f ca="1">VLOOKUP($B8,OFFSET(quests!$A$1,0,0,COUNTA(quests!$A:$A),MATCH(C$1,quests!$1:$1,0)-MATCH($B$1,quests!$1:$1,0)+1),MATCH(C$1,quests!$1:$1,0)-MATCH($B$1,quests!$1:$1,0)+1,FALSE)</f>
        <v>【マルチ】サンタダックを捕獲せよ！</v>
      </c>
      <c r="D8" s="23" t="s">
        <v>815</v>
      </c>
    </row>
    <row r="9" spans="1:4" ht="21" customHeight="1" x14ac:dyDescent="0.15">
      <c r="A9" s="31">
        <v>8</v>
      </c>
      <c r="B9" s="32">
        <v>11215</v>
      </c>
      <c r="C9" s="44" t="str">
        <f ca="1">VLOOKUP($B9,OFFSET(quests!$A$1,0,0,COUNTA(quests!$A:$A),MATCH(C$1,quests!$1:$1,0)-MATCH($B$1,quests!$1:$1,0)+1),MATCH(C$1,quests!$1:$1,0)-MATCH($B$1,quests!$1:$1,0)+1,FALSE)</f>
        <v>【マルチ】サンタダックを捕獲せよ！</v>
      </c>
      <c r="D9" s="23" t="s">
        <v>159</v>
      </c>
    </row>
    <row r="10" spans="1:4" ht="21" customHeight="1" x14ac:dyDescent="0.15">
      <c r="A10" s="16"/>
      <c r="B10" s="16"/>
      <c r="D10" s="16"/>
    </row>
    <row r="11" spans="1:4" ht="21" customHeight="1" x14ac:dyDescent="0.15">
      <c r="A11" s="16"/>
      <c r="B11" s="16"/>
      <c r="D11" s="16"/>
    </row>
    <row r="12" spans="1:4" ht="21" customHeight="1" x14ac:dyDescent="0.15">
      <c r="A12" s="16"/>
      <c r="B12" s="16"/>
      <c r="D12" s="16"/>
    </row>
    <row r="13" spans="1:4" ht="21" customHeight="1" x14ac:dyDescent="0.15">
      <c r="A13" s="16"/>
      <c r="B13" s="16"/>
      <c r="D13" s="16"/>
    </row>
    <row r="20" spans="1:4" ht="21" customHeight="1" x14ac:dyDescent="0.15">
      <c r="A20" s="19"/>
      <c r="B20" s="19"/>
      <c r="D20" s="19"/>
    </row>
    <row r="21" spans="1:4" ht="21" customHeight="1" x14ac:dyDescent="0.15">
      <c r="A21" s="19"/>
      <c r="B21" s="19"/>
      <c r="D21" s="19"/>
    </row>
    <row r="22" spans="1:4" ht="21" customHeight="1" x14ac:dyDescent="0.15">
      <c r="A22" s="19"/>
      <c r="B22" s="19"/>
      <c r="D22" s="19"/>
    </row>
    <row r="23" spans="1:4" ht="21" customHeight="1" x14ac:dyDescent="0.15">
      <c r="A23" s="19"/>
      <c r="B23" s="19"/>
      <c r="D23" s="19"/>
    </row>
    <row r="24" spans="1:4" ht="21" customHeight="1" x14ac:dyDescent="0.15">
      <c r="A24" s="19"/>
      <c r="B24" s="19"/>
      <c r="D24" s="19"/>
    </row>
    <row r="25" spans="1:4" ht="21" customHeight="1" x14ac:dyDescent="0.15">
      <c r="A25" s="19"/>
      <c r="B25" s="19"/>
      <c r="D25" s="19"/>
    </row>
    <row r="26" spans="1:4" ht="21" customHeight="1" x14ac:dyDescent="0.15">
      <c r="A26" s="19"/>
      <c r="B26" s="19"/>
      <c r="D26" s="19"/>
    </row>
    <row r="27" spans="1:4" ht="21" customHeight="1" x14ac:dyDescent="0.15">
      <c r="A27" s="19"/>
      <c r="B27" s="19"/>
      <c r="D27" s="19"/>
    </row>
    <row r="28" spans="1:4" ht="21" customHeight="1" x14ac:dyDescent="0.15">
      <c r="A28" s="19"/>
      <c r="B28" s="19"/>
      <c r="D28" s="19"/>
    </row>
    <row r="29" spans="1:4" ht="21" customHeight="1" x14ac:dyDescent="0.15">
      <c r="A29" s="19"/>
      <c r="B29" s="19"/>
      <c r="D29" s="19"/>
    </row>
    <row r="30" spans="1:4" ht="21" customHeight="1" x14ac:dyDescent="0.15">
      <c r="A30" s="19"/>
      <c r="B30" s="19"/>
      <c r="D30" s="19"/>
    </row>
    <row r="31" spans="1:4" ht="21" customHeight="1" x14ac:dyDescent="0.15">
      <c r="A31" s="19"/>
      <c r="B31" s="19"/>
      <c r="D31" s="19"/>
    </row>
    <row r="32" spans="1:4" ht="21" customHeight="1" x14ac:dyDescent="0.15">
      <c r="A32" s="19"/>
      <c r="B32" s="19"/>
      <c r="D32" s="19"/>
    </row>
    <row r="33" spans="1:4" ht="21" customHeight="1" x14ac:dyDescent="0.15">
      <c r="A33" s="19"/>
      <c r="B33" s="19"/>
      <c r="D33" s="19"/>
    </row>
    <row r="34" spans="1:4" ht="21" customHeight="1" x14ac:dyDescent="0.15">
      <c r="A34" s="19"/>
      <c r="B34" s="19"/>
      <c r="D34" s="19"/>
    </row>
    <row r="35" spans="1:4" ht="21" customHeight="1" x14ac:dyDescent="0.15">
      <c r="A35" s="19"/>
      <c r="B35" s="19"/>
      <c r="D35" s="19"/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D3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21" customHeight="1" x14ac:dyDescent="0.15"/>
  <cols>
    <col min="1" max="1" width="11.3984375" style="11" customWidth="1"/>
    <col min="2" max="3" width="18" style="11" bestFit="1" customWidth="1"/>
    <col min="4" max="16384" width="13" style="11"/>
  </cols>
  <sheetData>
    <row r="1" spans="1:4" ht="21" customHeight="1" x14ac:dyDescent="0.15">
      <c r="A1" s="20" t="s">
        <v>153</v>
      </c>
      <c r="B1" s="14" t="s">
        <v>154</v>
      </c>
      <c r="C1" s="14" t="s">
        <v>155</v>
      </c>
      <c r="D1" s="29" t="s">
        <v>189</v>
      </c>
    </row>
    <row r="2" spans="1:4" ht="21" customHeight="1" x14ac:dyDescent="0.15">
      <c r="A2" s="8">
        <v>1</v>
      </c>
      <c r="B2" s="72" t="s">
        <v>421</v>
      </c>
      <c r="C2" s="73" t="s">
        <v>422</v>
      </c>
      <c r="D2" s="12"/>
    </row>
    <row r="3" spans="1:4" ht="21" customHeight="1" x14ac:dyDescent="0.15">
      <c r="A3" s="8">
        <v>2</v>
      </c>
      <c r="B3" s="72" t="s">
        <v>422</v>
      </c>
      <c r="C3" s="73" t="s">
        <v>423</v>
      </c>
      <c r="D3" s="12"/>
    </row>
    <row r="4" spans="1:4" ht="21" customHeight="1" x14ac:dyDescent="0.15">
      <c r="A4" s="8">
        <v>3</v>
      </c>
      <c r="B4" s="72" t="s">
        <v>424</v>
      </c>
      <c r="C4" s="73" t="s">
        <v>427</v>
      </c>
      <c r="D4" s="12"/>
    </row>
    <row r="5" spans="1:4" ht="21" customHeight="1" x14ac:dyDescent="0.15">
      <c r="A5" s="8">
        <v>4</v>
      </c>
      <c r="B5" s="72" t="s">
        <v>427</v>
      </c>
      <c r="C5" s="73" t="s">
        <v>426</v>
      </c>
      <c r="D5" s="12"/>
    </row>
    <row r="6" spans="1:4" ht="21" customHeight="1" x14ac:dyDescent="0.15">
      <c r="A6" s="11" t="s">
        <v>1715</v>
      </c>
    </row>
    <row r="7" spans="1:4" ht="21" customHeight="1" x14ac:dyDescent="0.15">
      <c r="A7" s="16"/>
      <c r="B7" s="16"/>
      <c r="C7" s="16"/>
    </row>
    <row r="8" spans="1:4" ht="21" customHeight="1" x14ac:dyDescent="0.15">
      <c r="A8" s="16"/>
      <c r="B8" s="16"/>
      <c r="C8" s="16"/>
    </row>
    <row r="9" spans="1:4" ht="21" customHeight="1" x14ac:dyDescent="0.15">
      <c r="A9" s="16"/>
      <c r="B9" s="16"/>
      <c r="C9" s="16"/>
    </row>
    <row r="10" spans="1:4" ht="21" customHeight="1" x14ac:dyDescent="0.15">
      <c r="A10" s="16"/>
      <c r="B10" s="16"/>
      <c r="C10" s="16"/>
    </row>
    <row r="11" spans="1:4" ht="21" customHeight="1" x14ac:dyDescent="0.15">
      <c r="A11" s="16"/>
      <c r="B11" s="16"/>
      <c r="C11" s="16"/>
    </row>
    <row r="12" spans="1:4" ht="21" customHeight="1" x14ac:dyDescent="0.15">
      <c r="A12" s="16"/>
      <c r="B12" s="16"/>
      <c r="C12" s="16"/>
    </row>
    <row r="13" spans="1:4" ht="21" customHeight="1" x14ac:dyDescent="0.15">
      <c r="A13" s="16"/>
      <c r="B13" s="16"/>
      <c r="C13" s="16"/>
    </row>
    <row r="20" spans="1:3" ht="21" customHeight="1" x14ac:dyDescent="0.15">
      <c r="A20" s="19"/>
      <c r="B20" s="19"/>
      <c r="C20" s="19"/>
    </row>
    <row r="21" spans="1:3" ht="21" customHeight="1" x14ac:dyDescent="0.15">
      <c r="A21" s="19"/>
      <c r="B21" s="19"/>
      <c r="C21" s="19"/>
    </row>
    <row r="22" spans="1:3" ht="21" customHeight="1" x14ac:dyDescent="0.15">
      <c r="A22" s="19"/>
      <c r="B22" s="19"/>
      <c r="C22" s="19"/>
    </row>
    <row r="23" spans="1:3" ht="21" customHeight="1" x14ac:dyDescent="0.15">
      <c r="A23" s="19"/>
      <c r="B23" s="19"/>
      <c r="C23" s="19"/>
    </row>
    <row r="24" spans="1:3" ht="21" customHeight="1" x14ac:dyDescent="0.15">
      <c r="A24" s="19"/>
      <c r="B24" s="19"/>
      <c r="C24" s="19"/>
    </row>
    <row r="25" spans="1:3" ht="21" customHeight="1" x14ac:dyDescent="0.15">
      <c r="A25" s="19"/>
      <c r="B25" s="19"/>
      <c r="C25" s="19"/>
    </row>
    <row r="26" spans="1:3" ht="21" customHeight="1" x14ac:dyDescent="0.15">
      <c r="A26" s="19"/>
      <c r="B26" s="19"/>
      <c r="C26" s="19"/>
    </row>
    <row r="27" spans="1:3" ht="21" customHeight="1" x14ac:dyDescent="0.15">
      <c r="A27" s="19"/>
      <c r="B27" s="19"/>
      <c r="C27" s="19"/>
    </row>
    <row r="28" spans="1:3" ht="21" customHeight="1" x14ac:dyDescent="0.15">
      <c r="A28" s="19"/>
      <c r="B28" s="19"/>
      <c r="C28" s="19"/>
    </row>
    <row r="29" spans="1:3" ht="21" customHeight="1" x14ac:dyDescent="0.15">
      <c r="A29" s="19"/>
      <c r="B29" s="19"/>
      <c r="C29" s="19"/>
    </row>
    <row r="30" spans="1:3" ht="21" customHeight="1" x14ac:dyDescent="0.15">
      <c r="A30" s="19"/>
      <c r="B30" s="19"/>
      <c r="C30" s="19"/>
    </row>
    <row r="31" spans="1:3" ht="21" customHeight="1" x14ac:dyDescent="0.15">
      <c r="A31" s="19"/>
      <c r="B31" s="19"/>
      <c r="C31" s="19"/>
    </row>
    <row r="32" spans="1:3" ht="21" customHeight="1" x14ac:dyDescent="0.15">
      <c r="A32" s="19"/>
      <c r="B32" s="19"/>
      <c r="C32" s="19"/>
    </row>
    <row r="33" spans="1:3" ht="21" customHeight="1" x14ac:dyDescent="0.15">
      <c r="A33" s="19"/>
      <c r="B33" s="19"/>
      <c r="C33" s="19"/>
    </row>
    <row r="34" spans="1:3" ht="21" customHeight="1" x14ac:dyDescent="0.15">
      <c r="A34" s="19"/>
      <c r="B34" s="19"/>
      <c r="C34" s="19"/>
    </row>
    <row r="35" spans="1:3" ht="21" customHeight="1" x14ac:dyDescent="0.15">
      <c r="A35" s="19"/>
      <c r="B35" s="19"/>
      <c r="C35" s="19"/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</sheetPr>
  <dimension ref="A1:D3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21" customHeight="1" x14ac:dyDescent="0.15"/>
  <cols>
    <col min="1" max="1" width="11.3984375" style="11" customWidth="1"/>
    <col min="2" max="3" width="18" style="11" bestFit="1" customWidth="1"/>
    <col min="4" max="16384" width="13" style="11"/>
  </cols>
  <sheetData>
    <row r="1" spans="1:4" ht="21" customHeight="1" x14ac:dyDescent="0.15">
      <c r="A1" s="20" t="s">
        <v>153</v>
      </c>
      <c r="B1" s="14" t="s">
        <v>154</v>
      </c>
      <c r="C1" s="14" t="s">
        <v>155</v>
      </c>
      <c r="D1" s="29" t="s">
        <v>189</v>
      </c>
    </row>
    <row r="2" spans="1:4" ht="21" customHeight="1" x14ac:dyDescent="0.15">
      <c r="A2" s="8">
        <v>1</v>
      </c>
      <c r="B2" s="72" t="s">
        <v>425</v>
      </c>
      <c r="C2" s="73" t="s">
        <v>428</v>
      </c>
      <c r="D2" s="12"/>
    </row>
    <row r="3" spans="1:4" ht="21" customHeight="1" x14ac:dyDescent="0.15">
      <c r="A3" s="8">
        <v>2</v>
      </c>
      <c r="B3" s="72" t="s">
        <v>428</v>
      </c>
      <c r="C3" s="73" t="s">
        <v>430</v>
      </c>
      <c r="D3" s="12"/>
    </row>
    <row r="4" spans="1:4" ht="21" customHeight="1" x14ac:dyDescent="0.15">
      <c r="A4" s="8">
        <v>3</v>
      </c>
      <c r="B4" s="72" t="s">
        <v>420</v>
      </c>
      <c r="C4" s="73" t="s">
        <v>429</v>
      </c>
      <c r="D4" s="12"/>
    </row>
    <row r="5" spans="1:4" ht="21" customHeight="1" x14ac:dyDescent="0.15">
      <c r="A5" s="8">
        <v>4</v>
      </c>
      <c r="B5" s="72" t="s">
        <v>429</v>
      </c>
      <c r="C5" s="73" t="s">
        <v>431</v>
      </c>
      <c r="D5" s="12"/>
    </row>
    <row r="7" spans="1:4" ht="21" customHeight="1" x14ac:dyDescent="0.15">
      <c r="A7" s="16"/>
      <c r="B7" s="16"/>
      <c r="C7" s="16"/>
    </row>
    <row r="8" spans="1:4" ht="21" customHeight="1" x14ac:dyDescent="0.15">
      <c r="A8" s="16"/>
      <c r="B8" s="16"/>
      <c r="C8" s="16"/>
    </row>
    <row r="9" spans="1:4" ht="21" customHeight="1" x14ac:dyDescent="0.15">
      <c r="A9" s="16"/>
      <c r="B9" s="16"/>
      <c r="C9" s="16"/>
    </row>
    <row r="10" spans="1:4" ht="21" customHeight="1" x14ac:dyDescent="0.15">
      <c r="A10" s="16"/>
      <c r="B10" s="16"/>
      <c r="C10" s="16"/>
    </row>
    <row r="11" spans="1:4" ht="21" customHeight="1" x14ac:dyDescent="0.15">
      <c r="A11" s="16"/>
      <c r="B11" s="16"/>
      <c r="C11" s="16"/>
    </row>
    <row r="12" spans="1:4" ht="21" customHeight="1" x14ac:dyDescent="0.15">
      <c r="A12" s="16"/>
      <c r="B12" s="16"/>
      <c r="C12" s="16"/>
    </row>
    <row r="13" spans="1:4" ht="21" customHeight="1" x14ac:dyDescent="0.15">
      <c r="A13" s="16"/>
      <c r="B13" s="16"/>
      <c r="C13" s="16"/>
    </row>
    <row r="20" spans="1:3" ht="21" customHeight="1" x14ac:dyDescent="0.15">
      <c r="A20" s="19"/>
      <c r="B20" s="19"/>
      <c r="C20" s="19"/>
    </row>
    <row r="21" spans="1:3" ht="21" customHeight="1" x14ac:dyDescent="0.15">
      <c r="A21" s="19"/>
      <c r="B21" s="19"/>
      <c r="C21" s="19"/>
    </row>
    <row r="22" spans="1:3" ht="21" customHeight="1" x14ac:dyDescent="0.15">
      <c r="A22" s="19"/>
      <c r="B22" s="19"/>
      <c r="C22" s="19"/>
    </row>
    <row r="23" spans="1:3" ht="21" customHeight="1" x14ac:dyDescent="0.15">
      <c r="A23" s="19"/>
      <c r="B23" s="19"/>
      <c r="C23" s="19"/>
    </row>
    <row r="24" spans="1:3" ht="21" customHeight="1" x14ac:dyDescent="0.15">
      <c r="A24" s="19"/>
      <c r="B24" s="19"/>
      <c r="C24" s="19"/>
    </row>
    <row r="25" spans="1:3" ht="21" customHeight="1" x14ac:dyDescent="0.15">
      <c r="A25" s="19"/>
      <c r="B25" s="19"/>
      <c r="C25" s="19"/>
    </row>
    <row r="26" spans="1:3" ht="21" customHeight="1" x14ac:dyDescent="0.15">
      <c r="A26" s="19"/>
      <c r="B26" s="19"/>
      <c r="C26" s="19"/>
    </row>
    <row r="27" spans="1:3" ht="21" customHeight="1" x14ac:dyDescent="0.15">
      <c r="A27" s="19"/>
      <c r="B27" s="19"/>
      <c r="C27" s="19"/>
    </row>
    <row r="28" spans="1:3" ht="21" customHeight="1" x14ac:dyDescent="0.15">
      <c r="A28" s="19"/>
      <c r="B28" s="19"/>
      <c r="C28" s="19"/>
    </row>
    <row r="29" spans="1:3" ht="21" customHeight="1" x14ac:dyDescent="0.15">
      <c r="A29" s="19"/>
      <c r="B29" s="19"/>
      <c r="C29" s="19"/>
    </row>
    <row r="30" spans="1:3" ht="21" customHeight="1" x14ac:dyDescent="0.15">
      <c r="A30" s="19"/>
      <c r="B30" s="19"/>
      <c r="C30" s="19"/>
    </row>
    <row r="31" spans="1:3" ht="21" customHeight="1" x14ac:dyDescent="0.15">
      <c r="A31" s="19"/>
      <c r="B31" s="19"/>
      <c r="C31" s="19"/>
    </row>
    <row r="32" spans="1:3" ht="21" customHeight="1" x14ac:dyDescent="0.15">
      <c r="A32" s="19"/>
      <c r="B32" s="19"/>
      <c r="C32" s="19"/>
    </row>
    <row r="33" spans="1:3" ht="21" customHeight="1" x14ac:dyDescent="0.15">
      <c r="A33" s="19"/>
      <c r="B33" s="19"/>
      <c r="C33" s="19"/>
    </row>
    <row r="34" spans="1:3" ht="21" customHeight="1" x14ac:dyDescent="0.15">
      <c r="A34" s="19"/>
      <c r="B34" s="19"/>
      <c r="C34" s="19"/>
    </row>
    <row r="35" spans="1:3" ht="21" customHeight="1" x14ac:dyDescent="0.15">
      <c r="A35" s="19"/>
      <c r="B35" s="19"/>
      <c r="C35" s="19"/>
    </row>
  </sheetData>
  <sheetProtection selectLockedCells="1" selectUnlockedCells="1"/>
  <phoneticPr fontId="44"/>
  <pageMargins left="0.74791666666666667" right="0.74791666666666667" top="0.98402777777777772" bottom="0.98402777777777772" header="0.51180555555555551" footer="0.5118055555555555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rgb="FF0000FF"/>
  </sheetPr>
  <dimension ref="A1:J141"/>
  <sheetViews>
    <sheetView showGridLines="0" workbookViewId="0">
      <pane ySplit="1" topLeftCell="A114" activePane="bottomLeft" state="frozen"/>
      <selection pane="bottomLeft" activeCell="O16" sqref="O16"/>
    </sheetView>
  </sheetViews>
  <sheetFormatPr baseColWidth="12" defaultRowHeight="21" customHeight="1" x14ac:dyDescent="0.15"/>
  <cols>
    <col min="1" max="1" width="9.3984375" style="67" bestFit="1" customWidth="1"/>
    <col min="2" max="2" width="12.3984375" style="1" bestFit="1" customWidth="1"/>
    <col min="3" max="3" width="27.3984375" style="53" customWidth="1"/>
    <col min="4" max="4" width="12.59765625" style="1" bestFit="1" customWidth="1"/>
    <col min="5" max="5" width="16.19921875" style="56" bestFit="1" customWidth="1"/>
    <col min="6" max="6" width="14.3984375" style="1" bestFit="1" customWidth="1"/>
    <col min="7" max="7" width="13.796875" style="1" bestFit="1" customWidth="1"/>
    <col min="8" max="8" width="15.59765625" style="1" bestFit="1" customWidth="1"/>
    <col min="9" max="9" width="16.796875" style="1" bestFit="1" customWidth="1"/>
    <col min="10" max="10" width="15.59765625" style="54" bestFit="1" customWidth="1"/>
    <col min="11" max="16384" width="13" style="1"/>
  </cols>
  <sheetData>
    <row r="1" spans="1:10" ht="21" customHeight="1" x14ac:dyDescent="0.15">
      <c r="A1" s="67" t="s">
        <v>235</v>
      </c>
      <c r="B1" s="25" t="s">
        <v>41</v>
      </c>
      <c r="C1" s="15" t="s">
        <v>186</v>
      </c>
      <c r="D1" s="24" t="s">
        <v>12</v>
      </c>
      <c r="E1" s="43" t="s">
        <v>17</v>
      </c>
      <c r="F1" s="24" t="s">
        <v>13</v>
      </c>
      <c r="G1" s="24" t="s">
        <v>14</v>
      </c>
      <c r="H1" s="24" t="s">
        <v>42</v>
      </c>
      <c r="I1" s="24" t="s">
        <v>197</v>
      </c>
      <c r="J1" s="55" t="s">
        <v>188</v>
      </c>
    </row>
    <row r="2" spans="1:10" ht="21" customHeight="1" x14ac:dyDescent="0.15">
      <c r="A2" s="67" t="str">
        <f>B2&amp;"_"&amp;D2&amp;"_"&amp;E2</f>
        <v>1_tue_AM</v>
      </c>
      <c r="B2" s="4">
        <v>1</v>
      </c>
      <c r="C2" s="47" t="str">
        <f ca="1">VLOOKUP($B2,OFFSET(quests!$A$1,0,0,COUNTA(quests!$A:$A),MATCH(C$1,quests!$1:$1,0)-MATCH($B$1,quests!$1:$1,0)+1),MATCH(C$1,quests!$1:$1,0)-MATCH($B$1,quests!$1:$1,0)+1,FALSE)</f>
        <v>1．ALICEの入り口</v>
      </c>
      <c r="D2" s="4" t="s">
        <v>231</v>
      </c>
      <c r="E2" s="57" t="s">
        <v>0</v>
      </c>
      <c r="F2" s="52" t="str">
        <f>VLOOKUP($E2,[2]マスタ!$D$2:$F$3,2,FALSE)</f>
        <v>6:00:00</v>
      </c>
      <c r="G2" s="52" t="str">
        <f>VLOOKUP($E2,[2]マスタ!$D$2:$F$3,3,FALSE)</f>
        <v>13:59:59</v>
      </c>
      <c r="H2" s="4" t="s">
        <v>234</v>
      </c>
      <c r="I2" s="4">
        <f>VLOOKUP(H2,マスタ!D:E,2,FALSE)</f>
        <v>2</v>
      </c>
      <c r="J2" s="4">
        <v>0</v>
      </c>
    </row>
    <row r="3" spans="1:10" ht="21" customHeight="1" x14ac:dyDescent="0.15">
      <c r="A3" s="67" t="str">
        <f t="shared" ref="A3:A66" si="0">B3&amp;"_"&amp;D3&amp;"_"&amp;E3</f>
        <v>1_tue_PM</v>
      </c>
      <c r="B3" s="4">
        <v>1</v>
      </c>
      <c r="C3" s="47" t="str">
        <f ca="1">VLOOKUP($B3,OFFSET(quests!$A$1,0,0,COUNTA(quests!$A:$A),MATCH(C$1,quests!$1:$1,0)-MATCH($B$1,quests!$1:$1,0)+1),MATCH(C$1,quests!$1:$1,0)-MATCH($B$1,quests!$1:$1,0)+1,FALSE)</f>
        <v>1．ALICEの入り口</v>
      </c>
      <c r="D3" s="4" t="s">
        <v>231</v>
      </c>
      <c r="E3" s="57" t="s">
        <v>1</v>
      </c>
      <c r="F3" s="52" t="str">
        <f>VLOOKUP($E3,[2]マスタ!$D$2:$F$3,2,FALSE)</f>
        <v>16:00:00</v>
      </c>
      <c r="G3" s="52" t="str">
        <f>VLOOKUP($E3,[2]マスタ!$D$2:$F$3,3,FALSE)</f>
        <v>23:59:59</v>
      </c>
      <c r="H3" s="4" t="s">
        <v>234</v>
      </c>
      <c r="I3" s="4">
        <f>VLOOKUP(H3,マスタ!D:E,2,FALSE)</f>
        <v>2</v>
      </c>
      <c r="J3" s="4">
        <v>0</v>
      </c>
    </row>
    <row r="4" spans="1:10" ht="21" customHeight="1" x14ac:dyDescent="0.15">
      <c r="A4" s="67" t="str">
        <f t="shared" si="0"/>
        <v>1_thu_AM</v>
      </c>
      <c r="B4" s="4">
        <v>1</v>
      </c>
      <c r="C4" s="47" t="str">
        <f ca="1">VLOOKUP($B4,OFFSET(quests!$A$1,0,0,COUNTA(quests!$A:$A),MATCH(C$1,quests!$1:$1,0)-MATCH($B$1,quests!$1:$1,0)+1),MATCH(C$1,quests!$1:$1,0)-MATCH($B$1,quests!$1:$1,0)+1,FALSE)</f>
        <v>1．ALICEの入り口</v>
      </c>
      <c r="D4" s="4" t="s">
        <v>232</v>
      </c>
      <c r="E4" s="57" t="s">
        <v>0</v>
      </c>
      <c r="F4" s="52" t="str">
        <f>VLOOKUP($E4,[2]マスタ!$D$2:$F$3,2,FALSE)</f>
        <v>6:00:00</v>
      </c>
      <c r="G4" s="52" t="str">
        <f>VLOOKUP($E4,[2]マスタ!$D$2:$F$3,3,FALSE)</f>
        <v>13:59:59</v>
      </c>
      <c r="H4" s="4" t="s">
        <v>234</v>
      </c>
      <c r="I4" s="4">
        <f>VLOOKUP(H4,マスタ!D:E,2,FALSE)</f>
        <v>2</v>
      </c>
      <c r="J4" s="4">
        <v>0</v>
      </c>
    </row>
    <row r="5" spans="1:10" ht="21" customHeight="1" x14ac:dyDescent="0.15">
      <c r="A5" s="67" t="str">
        <f t="shared" si="0"/>
        <v>1_thu_PM</v>
      </c>
      <c r="B5" s="4">
        <v>1</v>
      </c>
      <c r="C5" s="47" t="str">
        <f ca="1">VLOOKUP($B5,OFFSET(quests!$A$1,0,0,COUNTA(quests!$A:$A),MATCH(C$1,quests!$1:$1,0)-MATCH($B$1,quests!$1:$1,0)+1),MATCH(C$1,quests!$1:$1,0)-MATCH($B$1,quests!$1:$1,0)+1,FALSE)</f>
        <v>1．ALICEの入り口</v>
      </c>
      <c r="D5" s="4" t="s">
        <v>232</v>
      </c>
      <c r="E5" s="57" t="s">
        <v>1</v>
      </c>
      <c r="F5" s="52" t="str">
        <f>VLOOKUP($E5,[2]マスタ!$D$2:$F$3,2,FALSE)</f>
        <v>16:00:00</v>
      </c>
      <c r="G5" s="52" t="str">
        <f>VLOOKUP($E5,[2]マスタ!$D$2:$F$3,3,FALSE)</f>
        <v>23:59:59</v>
      </c>
      <c r="H5" s="4" t="s">
        <v>234</v>
      </c>
      <c r="I5" s="4">
        <f>VLOOKUP(H5,マスタ!D:E,2,FALSE)</f>
        <v>2</v>
      </c>
      <c r="J5" s="4">
        <v>0</v>
      </c>
    </row>
    <row r="6" spans="1:10" ht="21" customHeight="1" x14ac:dyDescent="0.15">
      <c r="A6" s="67" t="str">
        <f t="shared" si="0"/>
        <v>1_sun_AM</v>
      </c>
      <c r="B6" s="4">
        <v>1</v>
      </c>
      <c r="C6" s="47" t="str">
        <f ca="1">VLOOKUP($B6,OFFSET(quests!$A$1,0,0,COUNTA(quests!$A:$A),MATCH(C$1,quests!$1:$1,0)-MATCH($B$1,quests!$1:$1,0)+1),MATCH(C$1,quests!$1:$1,0)-MATCH($B$1,quests!$1:$1,0)+1,FALSE)</f>
        <v>1．ALICEの入り口</v>
      </c>
      <c r="D6" s="4" t="s">
        <v>228</v>
      </c>
      <c r="E6" s="57" t="s">
        <v>0</v>
      </c>
      <c r="F6" s="52" t="str">
        <f>VLOOKUP($E6,[2]マスタ!$D$2:$F$3,2,FALSE)</f>
        <v>6:00:00</v>
      </c>
      <c r="G6" s="52" t="str">
        <f>VLOOKUP($E6,[2]マスタ!$D$2:$F$3,3,FALSE)</f>
        <v>13:59:59</v>
      </c>
      <c r="H6" s="4" t="s">
        <v>45</v>
      </c>
      <c r="I6" s="4">
        <f>VLOOKUP(H6,マスタ!D:E,2,FALSE)</f>
        <v>0.5</v>
      </c>
      <c r="J6" s="4">
        <v>0</v>
      </c>
    </row>
    <row r="7" spans="1:10" ht="21" customHeight="1" x14ac:dyDescent="0.15">
      <c r="A7" s="67" t="str">
        <f t="shared" si="0"/>
        <v>1_sun_PM</v>
      </c>
      <c r="B7" s="4">
        <v>1</v>
      </c>
      <c r="C7" s="47" t="str">
        <f ca="1">VLOOKUP($B7,OFFSET(quests!$A$1,0,0,COUNTA(quests!$A:$A),MATCH(C$1,quests!$1:$1,0)-MATCH($B$1,quests!$1:$1,0)+1),MATCH(C$1,quests!$1:$1,0)-MATCH($B$1,quests!$1:$1,0)+1,FALSE)</f>
        <v>1．ALICEの入り口</v>
      </c>
      <c r="D7" s="4" t="s">
        <v>228</v>
      </c>
      <c r="E7" s="57" t="s">
        <v>1</v>
      </c>
      <c r="F7" s="52" t="str">
        <f>VLOOKUP($E7,[2]マスタ!$D$2:$F$3,2,FALSE)</f>
        <v>16:00:00</v>
      </c>
      <c r="G7" s="52" t="str">
        <f>VLOOKUP($E7,[2]マスタ!$D$2:$F$3,3,FALSE)</f>
        <v>23:59:59</v>
      </c>
      <c r="H7" s="4" t="s">
        <v>45</v>
      </c>
      <c r="I7" s="4">
        <f>VLOOKUP(H7,マスタ!D:E,2,FALSE)</f>
        <v>0.5</v>
      </c>
      <c r="J7" s="4">
        <v>0</v>
      </c>
    </row>
    <row r="8" spans="1:10" ht="21" customHeight="1" x14ac:dyDescent="0.15">
      <c r="A8" s="67" t="str">
        <f t="shared" si="0"/>
        <v>2_mon_AM</v>
      </c>
      <c r="B8" s="4">
        <v>2</v>
      </c>
      <c r="C8" s="47" t="str">
        <f ca="1">VLOOKUP($B8,OFFSET(quests!$A$1,0,0,COUNTA(quests!$A:$A),MATCH(C$1,quests!$1:$1,0)-MATCH($B$1,quests!$1:$1,0)+1),MATCH(C$1,quests!$1:$1,0)-MATCH($B$1,quests!$1:$1,0)+1,FALSE)</f>
        <v>2．火之柄神社</v>
      </c>
      <c r="D8" s="4" t="s">
        <v>39</v>
      </c>
      <c r="E8" s="57" t="s">
        <v>0</v>
      </c>
      <c r="F8" s="52" t="str">
        <f>VLOOKUP($E8,[2]マスタ!$D$2:$F$3,2,FALSE)</f>
        <v>6:00:00</v>
      </c>
      <c r="G8" s="52" t="str">
        <f>VLOOKUP($E8,[2]マスタ!$D$2:$F$3,3,FALSE)</f>
        <v>13:59:59</v>
      </c>
      <c r="H8" s="4" t="s">
        <v>45</v>
      </c>
      <c r="I8" s="4">
        <f>VLOOKUP(H8,マスタ!D:E,2,FALSE)</f>
        <v>0.5</v>
      </c>
      <c r="J8" s="4">
        <v>0</v>
      </c>
    </row>
    <row r="9" spans="1:10" ht="21" customHeight="1" x14ac:dyDescent="0.15">
      <c r="A9" s="67" t="str">
        <f t="shared" si="0"/>
        <v>2_wed_AM</v>
      </c>
      <c r="B9" s="4">
        <v>2</v>
      </c>
      <c r="C9" s="47" t="str">
        <f ca="1">VLOOKUP($B9,OFFSET(quests!$A$1,0,0,COUNTA(quests!$A:$A),MATCH(C$1,quests!$1:$1,0)-MATCH($B$1,quests!$1:$1,0)+1),MATCH(C$1,quests!$1:$1,0)-MATCH($B$1,quests!$1:$1,0)+1,FALSE)</f>
        <v>2．火之柄神社</v>
      </c>
      <c r="D9" s="4" t="s">
        <v>40</v>
      </c>
      <c r="E9" s="57" t="s">
        <v>0</v>
      </c>
      <c r="F9" s="52" t="str">
        <f>VLOOKUP($E9,[2]マスタ!$D$2:$F$3,2,FALSE)</f>
        <v>6:00:00</v>
      </c>
      <c r="G9" s="52" t="str">
        <f>VLOOKUP($E9,[2]マスタ!$D$2:$F$3,3,FALSE)</f>
        <v>13:59:59</v>
      </c>
      <c r="H9" s="4" t="s">
        <v>45</v>
      </c>
      <c r="I9" s="4">
        <f>VLOOKUP(H9,マスタ!D:E,2,FALSE)</f>
        <v>0.5</v>
      </c>
      <c r="J9" s="4">
        <v>0</v>
      </c>
    </row>
    <row r="10" spans="1:10" ht="21" customHeight="1" x14ac:dyDescent="0.15">
      <c r="A10" s="67" t="str">
        <f t="shared" si="0"/>
        <v>2_fri_AM</v>
      </c>
      <c r="B10" s="4">
        <v>2</v>
      </c>
      <c r="C10" s="47" t="str">
        <f ca="1">VLOOKUP($B10,OFFSET(quests!$A$1,0,0,COUNTA(quests!$A:$A),MATCH(C$1,quests!$1:$1,0)-MATCH($B$1,quests!$1:$1,0)+1),MATCH(C$1,quests!$1:$1,0)-MATCH($B$1,quests!$1:$1,0)+1,FALSE)</f>
        <v>2．火之柄神社</v>
      </c>
      <c r="D10" s="4" t="s">
        <v>276</v>
      </c>
      <c r="E10" s="57" t="s">
        <v>0</v>
      </c>
      <c r="F10" s="52" t="str">
        <f>VLOOKUP($E10,[2]マスタ!$D$2:$F$3,2,FALSE)</f>
        <v>6:00:00</v>
      </c>
      <c r="G10" s="52" t="str">
        <f>VLOOKUP($E10,[2]マスタ!$D$2:$F$3,3,FALSE)</f>
        <v>13:59:59</v>
      </c>
      <c r="H10" s="4" t="s">
        <v>45</v>
      </c>
      <c r="I10" s="4">
        <f>VLOOKUP(H10,マスタ!D:E,2,FALSE)</f>
        <v>0.5</v>
      </c>
      <c r="J10" s="4">
        <v>0</v>
      </c>
    </row>
    <row r="11" spans="1:10" ht="21" customHeight="1" x14ac:dyDescent="0.15">
      <c r="A11" s="67" t="str">
        <f t="shared" si="0"/>
        <v>3_mon_PM</v>
      </c>
      <c r="B11" s="4">
        <v>3</v>
      </c>
      <c r="C11" s="47" t="str">
        <f ca="1">VLOOKUP($B11,OFFSET(quests!$A$1,0,0,COUNTA(quests!$A:$A),MATCH(C$1,quests!$1:$1,0)-MATCH($B$1,quests!$1:$1,0)+1),MATCH(C$1,quests!$1:$1,0)-MATCH($B$1,quests!$1:$1,0)+1,FALSE)</f>
        <v>3．グリーンモール</v>
      </c>
      <c r="D11" s="4" t="s">
        <v>39</v>
      </c>
      <c r="E11" s="57" t="s">
        <v>230</v>
      </c>
      <c r="F11" s="52" t="str">
        <f>VLOOKUP($E11,[2]マスタ!$D$2:$F$3,2,FALSE)</f>
        <v>16:00:00</v>
      </c>
      <c r="G11" s="52" t="str">
        <f>VLOOKUP($E11,[2]マスタ!$D$2:$F$3,3,FALSE)</f>
        <v>23:59:59</v>
      </c>
      <c r="H11" s="4" t="s">
        <v>45</v>
      </c>
      <c r="I11" s="4">
        <f>VLOOKUP(H11,マスタ!D:E,2,FALSE)</f>
        <v>0.5</v>
      </c>
      <c r="J11" s="4">
        <v>0</v>
      </c>
    </row>
    <row r="12" spans="1:10" ht="21" customHeight="1" x14ac:dyDescent="0.15">
      <c r="A12" s="67" t="str">
        <f t="shared" si="0"/>
        <v>3_wed_PM</v>
      </c>
      <c r="B12" s="4">
        <v>3</v>
      </c>
      <c r="C12" s="47" t="str">
        <f ca="1">VLOOKUP($B12,OFFSET(quests!$A$1,0,0,COUNTA(quests!$A:$A),MATCH(C$1,quests!$1:$1,0)-MATCH($B$1,quests!$1:$1,0)+1),MATCH(C$1,quests!$1:$1,0)-MATCH($B$1,quests!$1:$1,0)+1,FALSE)</f>
        <v>3．グリーンモール</v>
      </c>
      <c r="D12" s="4" t="s">
        <v>40</v>
      </c>
      <c r="E12" s="57" t="s">
        <v>230</v>
      </c>
      <c r="F12" s="52" t="str">
        <f>VLOOKUP($E12,[2]マスタ!$D$2:$F$3,2,FALSE)</f>
        <v>16:00:00</v>
      </c>
      <c r="G12" s="52" t="str">
        <f>VLOOKUP($E12,[2]マスタ!$D$2:$F$3,3,FALSE)</f>
        <v>23:59:59</v>
      </c>
      <c r="H12" s="4" t="s">
        <v>45</v>
      </c>
      <c r="I12" s="4">
        <f>VLOOKUP(H12,マスタ!D:E,2,FALSE)</f>
        <v>0.5</v>
      </c>
      <c r="J12" s="4">
        <v>0</v>
      </c>
    </row>
    <row r="13" spans="1:10" ht="21" customHeight="1" x14ac:dyDescent="0.15">
      <c r="A13" s="67" t="str">
        <f t="shared" si="0"/>
        <v>3_fri_PM</v>
      </c>
      <c r="B13" s="4">
        <v>3</v>
      </c>
      <c r="C13" s="47" t="str">
        <f ca="1">VLOOKUP($B13,OFFSET(quests!$A$1,0,0,COUNTA(quests!$A:$A),MATCH(C$1,quests!$1:$1,0)-MATCH($B$1,quests!$1:$1,0)+1),MATCH(C$1,quests!$1:$1,0)-MATCH($B$1,quests!$1:$1,0)+1,FALSE)</f>
        <v>3．グリーンモール</v>
      </c>
      <c r="D13" s="4" t="s">
        <v>276</v>
      </c>
      <c r="E13" s="57" t="s">
        <v>230</v>
      </c>
      <c r="F13" s="52" t="str">
        <f>VLOOKUP($E13,[2]マスタ!$D$2:$F$3,2,FALSE)</f>
        <v>16:00:00</v>
      </c>
      <c r="G13" s="52" t="str">
        <f>VLOOKUP($E13,[2]マスタ!$D$2:$F$3,3,FALSE)</f>
        <v>23:59:59</v>
      </c>
      <c r="H13" s="4" t="s">
        <v>45</v>
      </c>
      <c r="I13" s="4">
        <f>VLOOKUP(H13,マスタ!D:E,2,FALSE)</f>
        <v>0.5</v>
      </c>
      <c r="J13" s="4">
        <v>0</v>
      </c>
    </row>
    <row r="14" spans="1:10" ht="21" customHeight="1" x14ac:dyDescent="0.15">
      <c r="A14" s="67" t="str">
        <f t="shared" si="0"/>
        <v>4_tue_AM</v>
      </c>
      <c r="B14" s="4">
        <v>4</v>
      </c>
      <c r="C14" s="47" t="str">
        <f ca="1">VLOOKUP($B14,OFFSET(quests!$A$1,0,0,COUNTA(quests!$A:$A),MATCH(C$1,quests!$1:$1,0)-MATCH($B$1,quests!$1:$1,0)+1),MATCH(C$1,quests!$1:$1,0)-MATCH($B$1,quests!$1:$1,0)+1,FALSE)</f>
        <v>4．イエロープラント</v>
      </c>
      <c r="D14" s="4" t="s">
        <v>231</v>
      </c>
      <c r="E14" s="57" t="s">
        <v>0</v>
      </c>
      <c r="F14" s="52" t="str">
        <f>VLOOKUP($E14,[2]マスタ!$D$2:$F$3,2,FALSE)</f>
        <v>6:00:00</v>
      </c>
      <c r="G14" s="52" t="str">
        <f>VLOOKUP($E14,[2]マスタ!$D$2:$F$3,3,FALSE)</f>
        <v>13:59:59</v>
      </c>
      <c r="H14" s="4" t="s">
        <v>45</v>
      </c>
      <c r="I14" s="4">
        <f>VLOOKUP(H14,マスタ!D:E,2,FALSE)</f>
        <v>0.5</v>
      </c>
      <c r="J14" s="4">
        <v>0</v>
      </c>
    </row>
    <row r="15" spans="1:10" ht="21" customHeight="1" x14ac:dyDescent="0.15">
      <c r="A15" s="67" t="str">
        <f t="shared" si="0"/>
        <v>4_thu_AM</v>
      </c>
      <c r="B15" s="4">
        <v>4</v>
      </c>
      <c r="C15" s="47" t="str">
        <f ca="1">VLOOKUP($B15,OFFSET(quests!$A$1,0,0,COUNTA(quests!$A:$A),MATCH(C$1,quests!$1:$1,0)-MATCH($B$1,quests!$1:$1,0)+1),MATCH(C$1,quests!$1:$1,0)-MATCH($B$1,quests!$1:$1,0)+1,FALSE)</f>
        <v>4．イエロープラント</v>
      </c>
      <c r="D15" s="4" t="s">
        <v>232</v>
      </c>
      <c r="E15" s="57" t="s">
        <v>0</v>
      </c>
      <c r="F15" s="52" t="str">
        <f>VLOOKUP($E15,[2]マスタ!$D$2:$F$3,2,FALSE)</f>
        <v>6:00:00</v>
      </c>
      <c r="G15" s="52" t="str">
        <f>VLOOKUP($E15,[2]マスタ!$D$2:$F$3,3,FALSE)</f>
        <v>13:59:59</v>
      </c>
      <c r="H15" s="4" t="s">
        <v>45</v>
      </c>
      <c r="I15" s="4">
        <f>VLOOKUP(H15,マスタ!D:E,2,FALSE)</f>
        <v>0.5</v>
      </c>
      <c r="J15" s="4">
        <v>0</v>
      </c>
    </row>
    <row r="16" spans="1:10" ht="21" customHeight="1" x14ac:dyDescent="0.15">
      <c r="A16" s="67" t="str">
        <f t="shared" si="0"/>
        <v>4_sat_AM</v>
      </c>
      <c r="B16" s="4">
        <v>4</v>
      </c>
      <c r="C16" s="47" t="str">
        <f ca="1">VLOOKUP($B16,OFFSET(quests!$A$1,0,0,COUNTA(quests!$A:$A),MATCH(C$1,quests!$1:$1,0)-MATCH($B$1,quests!$1:$1,0)+1),MATCH(C$1,quests!$1:$1,0)-MATCH($B$1,quests!$1:$1,0)+1,FALSE)</f>
        <v>4．イエロープラント</v>
      </c>
      <c r="D16" s="4" t="s">
        <v>233</v>
      </c>
      <c r="E16" s="57" t="s">
        <v>0</v>
      </c>
      <c r="F16" s="52" t="str">
        <f>VLOOKUP($E16,[2]マスタ!$D$2:$F$3,2,FALSE)</f>
        <v>6:00:00</v>
      </c>
      <c r="G16" s="52" t="str">
        <f>VLOOKUP($E16,[2]マスタ!$D$2:$F$3,3,FALSE)</f>
        <v>13:59:59</v>
      </c>
      <c r="H16" s="4" t="s">
        <v>45</v>
      </c>
      <c r="I16" s="4">
        <f>VLOOKUP(H16,マスタ!D:E,2,FALSE)</f>
        <v>0.5</v>
      </c>
      <c r="J16" s="4">
        <v>0</v>
      </c>
    </row>
    <row r="17" spans="1:10" ht="21" customHeight="1" x14ac:dyDescent="0.15">
      <c r="A17" s="67" t="str">
        <f t="shared" si="0"/>
        <v>5_tue_PM</v>
      </c>
      <c r="B17" s="4">
        <v>5</v>
      </c>
      <c r="C17" s="47" t="str">
        <f ca="1">VLOOKUP($B17,OFFSET(quests!$A$1,0,0,COUNTA(quests!$A:$A),MATCH(C$1,quests!$1:$1,0)-MATCH($B$1,quests!$1:$1,0)+1),MATCH(C$1,quests!$1:$1,0)-MATCH($B$1,quests!$1:$1,0)+1,FALSE)</f>
        <v>5．ウォーターランド</v>
      </c>
      <c r="D17" s="4" t="s">
        <v>231</v>
      </c>
      <c r="E17" s="57" t="s">
        <v>1</v>
      </c>
      <c r="F17" s="52" t="str">
        <f>VLOOKUP($E17,[2]マスタ!$D$2:$F$3,2,FALSE)</f>
        <v>16:00:00</v>
      </c>
      <c r="G17" s="52" t="str">
        <f>VLOOKUP($E17,[2]マスタ!$D$2:$F$3,3,FALSE)</f>
        <v>23:59:59</v>
      </c>
      <c r="H17" s="4" t="s">
        <v>45</v>
      </c>
      <c r="I17" s="4">
        <f>VLOOKUP(H17,マスタ!D:E,2,FALSE)</f>
        <v>0.5</v>
      </c>
      <c r="J17" s="4">
        <v>0</v>
      </c>
    </row>
    <row r="18" spans="1:10" ht="21" customHeight="1" x14ac:dyDescent="0.15">
      <c r="A18" s="67" t="str">
        <f t="shared" si="0"/>
        <v>5_thu_PM</v>
      </c>
      <c r="B18" s="4">
        <v>5</v>
      </c>
      <c r="C18" s="47" t="str">
        <f ca="1">VLOOKUP($B18,OFFSET(quests!$A$1,0,0,COUNTA(quests!$A:$A),MATCH(C$1,quests!$1:$1,0)-MATCH($B$1,quests!$1:$1,0)+1),MATCH(C$1,quests!$1:$1,0)-MATCH($B$1,quests!$1:$1,0)+1,FALSE)</f>
        <v>5．ウォーターランド</v>
      </c>
      <c r="D18" s="4" t="s">
        <v>232</v>
      </c>
      <c r="E18" s="57" t="s">
        <v>1</v>
      </c>
      <c r="F18" s="52" t="str">
        <f>VLOOKUP($E18,[2]マスタ!$D$2:$F$3,2,FALSE)</f>
        <v>16:00:00</v>
      </c>
      <c r="G18" s="52" t="str">
        <f>VLOOKUP($E18,[2]マスタ!$D$2:$F$3,3,FALSE)</f>
        <v>23:59:59</v>
      </c>
      <c r="H18" s="4" t="s">
        <v>45</v>
      </c>
      <c r="I18" s="4">
        <f>VLOOKUP(H18,マスタ!D:E,2,FALSE)</f>
        <v>0.5</v>
      </c>
      <c r="J18" s="4">
        <v>0</v>
      </c>
    </row>
    <row r="19" spans="1:10" ht="21" customHeight="1" x14ac:dyDescent="0.15">
      <c r="A19" s="67" t="str">
        <f t="shared" si="0"/>
        <v>5_sat_PM</v>
      </c>
      <c r="B19" s="4">
        <v>5</v>
      </c>
      <c r="C19" s="47" t="str">
        <f ca="1">VLOOKUP($B19,OFFSET(quests!$A$1,0,0,COUNTA(quests!$A:$A),MATCH(C$1,quests!$1:$1,0)-MATCH($B$1,quests!$1:$1,0)+1),MATCH(C$1,quests!$1:$1,0)-MATCH($B$1,quests!$1:$1,0)+1,FALSE)</f>
        <v>5．ウォーターランド</v>
      </c>
      <c r="D19" s="4" t="s">
        <v>233</v>
      </c>
      <c r="E19" s="57" t="s">
        <v>1</v>
      </c>
      <c r="F19" s="52" t="str">
        <f>VLOOKUP($E19,[2]マスタ!$D$2:$F$3,2,FALSE)</f>
        <v>16:00:00</v>
      </c>
      <c r="G19" s="52" t="str">
        <f>VLOOKUP($E19,[2]マスタ!$D$2:$F$3,3,FALSE)</f>
        <v>23:59:59</v>
      </c>
      <c r="H19" s="4" t="s">
        <v>45</v>
      </c>
      <c r="I19" s="4">
        <f>VLOOKUP(H19,マスタ!D:E,2,FALSE)</f>
        <v>0.5</v>
      </c>
      <c r="J19" s="4">
        <v>0</v>
      </c>
    </row>
    <row r="20" spans="1:10" ht="21" customHeight="1" x14ac:dyDescent="0.15">
      <c r="A20" s="67" t="str">
        <f t="shared" si="0"/>
        <v>6_tue_AM</v>
      </c>
      <c r="B20" s="4">
        <v>6</v>
      </c>
      <c r="C20" s="47" t="str">
        <f ca="1">VLOOKUP($B20,OFFSET(quests!$A$1,0,0,COUNTA(quests!$A:$A),MATCH(C$1,quests!$1:$1,0)-MATCH($B$1,quests!$1:$1,0)+1),MATCH(C$1,quests!$1:$1,0)-MATCH($B$1,quests!$1:$1,0)+1,FALSE)</f>
        <v>6．ドリームパーク</v>
      </c>
      <c r="D20" s="4" t="s">
        <v>231</v>
      </c>
      <c r="E20" s="57" t="s">
        <v>0</v>
      </c>
      <c r="F20" s="52" t="str">
        <f>VLOOKUP($E20,[2]マスタ!$D$2:$F$3,2,FALSE)</f>
        <v>6:00:00</v>
      </c>
      <c r="G20" s="52" t="str">
        <f>VLOOKUP($E20,[2]マスタ!$D$2:$F$3,3,FALSE)</f>
        <v>13:59:59</v>
      </c>
      <c r="H20" s="4" t="s">
        <v>234</v>
      </c>
      <c r="I20" s="4">
        <f>VLOOKUP(H20,マスタ!D:E,2,FALSE)</f>
        <v>2</v>
      </c>
      <c r="J20" s="4">
        <v>0</v>
      </c>
    </row>
    <row r="21" spans="1:10" ht="21" customHeight="1" x14ac:dyDescent="0.15">
      <c r="A21" s="67" t="str">
        <f t="shared" si="0"/>
        <v>6_tue_PM</v>
      </c>
      <c r="B21" s="4">
        <v>6</v>
      </c>
      <c r="C21" s="47" t="str">
        <f ca="1">VLOOKUP($B21,OFFSET(quests!$A$1,0,0,COUNTA(quests!$A:$A),MATCH(C$1,quests!$1:$1,0)-MATCH($B$1,quests!$1:$1,0)+1),MATCH(C$1,quests!$1:$1,0)-MATCH($B$1,quests!$1:$1,0)+1,FALSE)</f>
        <v>6．ドリームパーク</v>
      </c>
      <c r="D21" s="4" t="s">
        <v>231</v>
      </c>
      <c r="E21" s="57" t="s">
        <v>1</v>
      </c>
      <c r="F21" s="52" t="str">
        <f>VLOOKUP($E21,[2]マスタ!$D$2:$F$3,2,FALSE)</f>
        <v>16:00:00</v>
      </c>
      <c r="G21" s="52" t="str">
        <f>VLOOKUP($E21,[2]マスタ!$D$2:$F$3,3,FALSE)</f>
        <v>23:59:59</v>
      </c>
      <c r="H21" s="4" t="s">
        <v>234</v>
      </c>
      <c r="I21" s="4">
        <f>VLOOKUP(H21,マスタ!D:E,2,FALSE)</f>
        <v>2</v>
      </c>
      <c r="J21" s="4">
        <v>0</v>
      </c>
    </row>
    <row r="22" spans="1:10" ht="21" customHeight="1" x14ac:dyDescent="0.15">
      <c r="A22" s="67" t="str">
        <f t="shared" si="0"/>
        <v>6_thu_AM</v>
      </c>
      <c r="B22" s="4">
        <v>6</v>
      </c>
      <c r="C22" s="47" t="str">
        <f ca="1">VLOOKUP($B22,OFFSET(quests!$A$1,0,0,COUNTA(quests!$A:$A),MATCH(C$1,quests!$1:$1,0)-MATCH($B$1,quests!$1:$1,0)+1),MATCH(C$1,quests!$1:$1,0)-MATCH($B$1,quests!$1:$1,0)+1,FALSE)</f>
        <v>6．ドリームパーク</v>
      </c>
      <c r="D22" s="4" t="s">
        <v>232</v>
      </c>
      <c r="E22" s="57" t="s">
        <v>0</v>
      </c>
      <c r="F22" s="52" t="str">
        <f>VLOOKUP($E22,[2]マスタ!$D$2:$F$3,2,FALSE)</f>
        <v>6:00:00</v>
      </c>
      <c r="G22" s="52" t="str">
        <f>VLOOKUP($E22,[2]マスタ!$D$2:$F$3,3,FALSE)</f>
        <v>13:59:59</v>
      </c>
      <c r="H22" s="4" t="s">
        <v>234</v>
      </c>
      <c r="I22" s="4">
        <f>VLOOKUP(H22,マスタ!D:E,2,FALSE)</f>
        <v>2</v>
      </c>
      <c r="J22" s="4">
        <v>0</v>
      </c>
    </row>
    <row r="23" spans="1:10" ht="21" customHeight="1" x14ac:dyDescent="0.15">
      <c r="A23" s="67" t="str">
        <f t="shared" si="0"/>
        <v>6_thu_PM</v>
      </c>
      <c r="B23" s="4">
        <v>6</v>
      </c>
      <c r="C23" s="47" t="str">
        <f ca="1">VLOOKUP($B23,OFFSET(quests!$A$1,0,0,COUNTA(quests!$A:$A),MATCH(C$1,quests!$1:$1,0)-MATCH($B$1,quests!$1:$1,0)+1),MATCH(C$1,quests!$1:$1,0)-MATCH($B$1,quests!$1:$1,0)+1,FALSE)</f>
        <v>6．ドリームパーク</v>
      </c>
      <c r="D23" s="4" t="s">
        <v>232</v>
      </c>
      <c r="E23" s="57" t="s">
        <v>1</v>
      </c>
      <c r="F23" s="52" t="str">
        <f>VLOOKUP($E23,[2]マスタ!$D$2:$F$3,2,FALSE)</f>
        <v>16:00:00</v>
      </c>
      <c r="G23" s="52" t="str">
        <f>VLOOKUP($E23,[2]マスタ!$D$2:$F$3,3,FALSE)</f>
        <v>23:59:59</v>
      </c>
      <c r="H23" s="4" t="s">
        <v>234</v>
      </c>
      <c r="I23" s="4">
        <f>VLOOKUP(H23,マスタ!D:E,2,FALSE)</f>
        <v>2</v>
      </c>
      <c r="J23" s="4">
        <v>0</v>
      </c>
    </row>
    <row r="24" spans="1:10" ht="21" customHeight="1" x14ac:dyDescent="0.15">
      <c r="A24" s="67" t="str">
        <f t="shared" si="0"/>
        <v>6_sun_AM</v>
      </c>
      <c r="B24" s="4">
        <v>6</v>
      </c>
      <c r="C24" s="47" t="str">
        <f ca="1">VLOOKUP($B24,OFFSET(quests!$A$1,0,0,COUNTA(quests!$A:$A),MATCH(C$1,quests!$1:$1,0)-MATCH($B$1,quests!$1:$1,0)+1),MATCH(C$1,quests!$1:$1,0)-MATCH($B$1,quests!$1:$1,0)+1,FALSE)</f>
        <v>6．ドリームパーク</v>
      </c>
      <c r="D24" s="4" t="s">
        <v>228</v>
      </c>
      <c r="E24" s="57" t="s">
        <v>0</v>
      </c>
      <c r="F24" s="52" t="str">
        <f>VLOOKUP($E24,[2]マスタ!$D$2:$F$3,2,FALSE)</f>
        <v>6:00:00</v>
      </c>
      <c r="G24" s="52" t="str">
        <f>VLOOKUP($E24,[2]マスタ!$D$2:$F$3,3,FALSE)</f>
        <v>13:59:59</v>
      </c>
      <c r="H24" s="4" t="s">
        <v>516</v>
      </c>
      <c r="I24" s="4">
        <f>VLOOKUP(H24,マスタ!D:E,2,FALSE)</f>
        <v>0.5</v>
      </c>
      <c r="J24" s="4">
        <v>0</v>
      </c>
    </row>
    <row r="25" spans="1:10" ht="21" customHeight="1" x14ac:dyDescent="0.15">
      <c r="A25" s="67" t="str">
        <f t="shared" si="0"/>
        <v>6_sun_PM</v>
      </c>
      <c r="B25" s="4">
        <v>6</v>
      </c>
      <c r="C25" s="47" t="str">
        <f ca="1">VLOOKUP($B25,OFFSET(quests!$A$1,0,0,COUNTA(quests!$A:$A),MATCH(C$1,quests!$1:$1,0)-MATCH($B$1,quests!$1:$1,0)+1),MATCH(C$1,quests!$1:$1,0)-MATCH($B$1,quests!$1:$1,0)+1,FALSE)</f>
        <v>6．ドリームパーク</v>
      </c>
      <c r="D25" s="4" t="s">
        <v>228</v>
      </c>
      <c r="E25" s="57" t="s">
        <v>1</v>
      </c>
      <c r="F25" s="52" t="str">
        <f>VLOOKUP($E25,[2]マスタ!$D$2:$F$3,2,FALSE)</f>
        <v>16:00:00</v>
      </c>
      <c r="G25" s="52" t="str">
        <f>VLOOKUP($E25,[2]マスタ!$D$2:$F$3,3,FALSE)</f>
        <v>23:59:59</v>
      </c>
      <c r="H25" s="4" t="s">
        <v>45</v>
      </c>
      <c r="I25" s="4">
        <f>VLOOKUP(H25,マスタ!D:E,2,FALSE)</f>
        <v>0.5</v>
      </c>
      <c r="J25" s="4">
        <v>0</v>
      </c>
    </row>
    <row r="26" spans="1:10" ht="21" customHeight="1" x14ac:dyDescent="0.15">
      <c r="A26" s="67" t="str">
        <f t="shared" si="0"/>
        <v>7_mon_AM</v>
      </c>
      <c r="B26" s="4">
        <v>7</v>
      </c>
      <c r="C26" s="47" t="str">
        <f ca="1">VLOOKUP($B26,OFFSET(quests!$A$1,0,0,COUNTA(quests!$A:$A),MATCH(C$1,quests!$1:$1,0)-MATCH($B$1,quests!$1:$1,0)+1),MATCH(C$1,quests!$1:$1,0)-MATCH($B$1,quests!$1:$1,0)+1,FALSE)</f>
        <v>7．ローガ密林</v>
      </c>
      <c r="D26" s="4" t="s">
        <v>39</v>
      </c>
      <c r="E26" s="57" t="s">
        <v>0</v>
      </c>
      <c r="F26" s="52" t="str">
        <f>VLOOKUP($E26,[2]マスタ!$D$2:$F$3,2,FALSE)</f>
        <v>6:00:00</v>
      </c>
      <c r="G26" s="52" t="str">
        <f>VLOOKUP($E26,[2]マスタ!$D$2:$F$3,3,FALSE)</f>
        <v>13:59:59</v>
      </c>
      <c r="H26" s="4" t="s">
        <v>18</v>
      </c>
      <c r="I26" s="4">
        <f>VLOOKUP(H26,マスタ!D:E,2,FALSE)</f>
        <v>1.5</v>
      </c>
      <c r="J26" s="4">
        <v>0</v>
      </c>
    </row>
    <row r="27" spans="1:10" ht="21" customHeight="1" x14ac:dyDescent="0.15">
      <c r="A27" s="67" t="str">
        <f t="shared" si="0"/>
        <v>7_wed_AM</v>
      </c>
      <c r="B27" s="4">
        <v>7</v>
      </c>
      <c r="C27" s="47" t="str">
        <f ca="1">VLOOKUP($B27,OFFSET(quests!$A$1,0,0,COUNTA(quests!$A:$A),MATCH(C$1,quests!$1:$1,0)-MATCH($B$1,quests!$1:$1,0)+1),MATCH(C$1,quests!$1:$1,0)-MATCH($B$1,quests!$1:$1,0)+1,FALSE)</f>
        <v>7．ローガ密林</v>
      </c>
      <c r="D27" s="4" t="s">
        <v>40</v>
      </c>
      <c r="E27" s="57" t="s">
        <v>0</v>
      </c>
      <c r="F27" s="52" t="str">
        <f>VLOOKUP($E27,[2]マスタ!$D$2:$F$3,2,FALSE)</f>
        <v>6:00:00</v>
      </c>
      <c r="G27" s="52" t="str">
        <f>VLOOKUP($E27,[2]マスタ!$D$2:$F$3,3,FALSE)</f>
        <v>13:59:59</v>
      </c>
      <c r="H27" s="4" t="s">
        <v>18</v>
      </c>
      <c r="I27" s="4">
        <f>VLOOKUP(H27,マスタ!D:E,2,FALSE)</f>
        <v>1.5</v>
      </c>
      <c r="J27" s="4">
        <v>0</v>
      </c>
    </row>
    <row r="28" spans="1:10" ht="21" customHeight="1" x14ac:dyDescent="0.15">
      <c r="A28" s="67" t="str">
        <f t="shared" si="0"/>
        <v>7_fri_AM</v>
      </c>
      <c r="B28" s="4">
        <v>7</v>
      </c>
      <c r="C28" s="47" t="str">
        <f ca="1">VLOOKUP($B28,OFFSET(quests!$A$1,0,0,COUNTA(quests!$A:$A),MATCH(C$1,quests!$1:$1,0)-MATCH($B$1,quests!$1:$1,0)+1),MATCH(C$1,quests!$1:$1,0)-MATCH($B$1,quests!$1:$1,0)+1,FALSE)</f>
        <v>7．ローガ密林</v>
      </c>
      <c r="D28" s="4" t="s">
        <v>276</v>
      </c>
      <c r="E28" s="57" t="s">
        <v>0</v>
      </c>
      <c r="F28" s="52" t="str">
        <f>VLOOKUP($E28,[2]マスタ!$D$2:$F$3,2,FALSE)</f>
        <v>6:00:00</v>
      </c>
      <c r="G28" s="52" t="str">
        <f>VLOOKUP($E28,[2]マスタ!$D$2:$F$3,3,FALSE)</f>
        <v>13:59:59</v>
      </c>
      <c r="H28" s="4" t="s">
        <v>18</v>
      </c>
      <c r="I28" s="4">
        <f>VLOOKUP(H28,マスタ!D:E,2,FALSE)</f>
        <v>1.5</v>
      </c>
      <c r="J28" s="4">
        <v>0</v>
      </c>
    </row>
    <row r="29" spans="1:10" ht="21" customHeight="1" x14ac:dyDescent="0.15">
      <c r="A29" s="67" t="str">
        <f t="shared" si="0"/>
        <v>8_mon_PM</v>
      </c>
      <c r="B29" s="4">
        <v>8</v>
      </c>
      <c r="C29" s="47" t="str">
        <f ca="1">VLOOKUP($B29,OFFSET(quests!$A$1,0,0,COUNTA(quests!$A:$A),MATCH(C$1,quests!$1:$1,0)-MATCH($B$1,quests!$1:$1,0)+1),MATCH(C$1,quests!$1:$1,0)-MATCH($B$1,quests!$1:$1,0)+1,FALSE)</f>
        <v>8．ヴィクリー砂漠</v>
      </c>
      <c r="D29" s="4" t="s">
        <v>39</v>
      </c>
      <c r="E29" s="57" t="s">
        <v>230</v>
      </c>
      <c r="F29" s="52" t="str">
        <f>VLOOKUP($E29,[2]マスタ!$D$2:$F$3,2,FALSE)</f>
        <v>16:00:00</v>
      </c>
      <c r="G29" s="52" t="str">
        <f>VLOOKUP($E29,[2]マスタ!$D$2:$F$3,3,FALSE)</f>
        <v>23:59:59</v>
      </c>
      <c r="H29" s="4" t="s">
        <v>18</v>
      </c>
      <c r="I29" s="4">
        <f>VLOOKUP(H29,マスタ!D:E,2,FALSE)</f>
        <v>1.5</v>
      </c>
      <c r="J29" s="4">
        <v>0</v>
      </c>
    </row>
    <row r="30" spans="1:10" ht="21" customHeight="1" x14ac:dyDescent="0.15">
      <c r="A30" s="67" t="str">
        <f t="shared" si="0"/>
        <v>8_wed_PM</v>
      </c>
      <c r="B30" s="4">
        <v>8</v>
      </c>
      <c r="C30" s="47" t="str">
        <f ca="1">VLOOKUP($B30,OFFSET(quests!$A$1,0,0,COUNTA(quests!$A:$A),MATCH(C$1,quests!$1:$1,0)-MATCH($B$1,quests!$1:$1,0)+1),MATCH(C$1,quests!$1:$1,0)-MATCH($B$1,quests!$1:$1,0)+1,FALSE)</f>
        <v>8．ヴィクリー砂漠</v>
      </c>
      <c r="D30" s="4" t="s">
        <v>40</v>
      </c>
      <c r="E30" s="57" t="s">
        <v>230</v>
      </c>
      <c r="F30" s="52" t="str">
        <f>VLOOKUP($E30,[2]マスタ!$D$2:$F$3,2,FALSE)</f>
        <v>16:00:00</v>
      </c>
      <c r="G30" s="52" t="str">
        <f>VLOOKUP($E30,[2]マスタ!$D$2:$F$3,3,FALSE)</f>
        <v>23:59:59</v>
      </c>
      <c r="H30" s="4" t="s">
        <v>18</v>
      </c>
      <c r="I30" s="4">
        <f>VLOOKUP(H30,マスタ!D:E,2,FALSE)</f>
        <v>1.5</v>
      </c>
      <c r="J30" s="4">
        <v>0</v>
      </c>
    </row>
    <row r="31" spans="1:10" ht="21" customHeight="1" x14ac:dyDescent="0.15">
      <c r="A31" s="67" t="str">
        <f t="shared" si="0"/>
        <v>8_fri_PM</v>
      </c>
      <c r="B31" s="4">
        <v>8</v>
      </c>
      <c r="C31" s="47" t="str">
        <f ca="1">VLOOKUP($B31,OFFSET(quests!$A$1,0,0,COUNTA(quests!$A:$A),MATCH(C$1,quests!$1:$1,0)-MATCH($B$1,quests!$1:$1,0)+1),MATCH(C$1,quests!$1:$1,0)-MATCH($B$1,quests!$1:$1,0)+1,FALSE)</f>
        <v>8．ヴィクリー砂漠</v>
      </c>
      <c r="D31" s="4" t="s">
        <v>276</v>
      </c>
      <c r="E31" s="57" t="s">
        <v>230</v>
      </c>
      <c r="F31" s="52" t="str">
        <f>VLOOKUP($E31,[2]マスタ!$D$2:$F$3,2,FALSE)</f>
        <v>16:00:00</v>
      </c>
      <c r="G31" s="52" t="str">
        <f>VLOOKUP($E31,[2]マスタ!$D$2:$F$3,3,FALSE)</f>
        <v>23:59:59</v>
      </c>
      <c r="H31" s="4" t="s">
        <v>18</v>
      </c>
      <c r="I31" s="4">
        <f>VLOOKUP(H31,マスタ!D:E,2,FALSE)</f>
        <v>1.5</v>
      </c>
      <c r="J31" s="4">
        <v>0</v>
      </c>
    </row>
    <row r="32" spans="1:10" ht="21" customHeight="1" x14ac:dyDescent="0.15">
      <c r="A32" s="67" t="str">
        <f t="shared" si="0"/>
        <v>9_tue_AM</v>
      </c>
      <c r="B32" s="4">
        <v>9</v>
      </c>
      <c r="C32" s="47" t="str">
        <f ca="1">VLOOKUP($B32,OFFSET(quests!$A$1,0,0,COUNTA(quests!$A:$A),MATCH(C$1,quests!$1:$1,0)-MATCH($B$1,quests!$1:$1,0)+1),MATCH(C$1,quests!$1:$1,0)-MATCH($B$1,quests!$1:$1,0)+1,FALSE)</f>
        <v>9．ラバーズ氷河</v>
      </c>
      <c r="D32" s="4" t="s">
        <v>231</v>
      </c>
      <c r="E32" s="57" t="s">
        <v>0</v>
      </c>
      <c r="F32" s="52" t="str">
        <f>VLOOKUP($E32,[2]マスタ!$D$2:$F$3,2,FALSE)</f>
        <v>6:00:00</v>
      </c>
      <c r="G32" s="52" t="str">
        <f>VLOOKUP($E32,[2]マスタ!$D$2:$F$3,3,FALSE)</f>
        <v>13:59:59</v>
      </c>
      <c r="H32" s="4" t="s">
        <v>18</v>
      </c>
      <c r="I32" s="4">
        <f>VLOOKUP(H32,マスタ!D:E,2,FALSE)</f>
        <v>1.5</v>
      </c>
      <c r="J32" s="4">
        <v>0</v>
      </c>
    </row>
    <row r="33" spans="1:10" ht="21" customHeight="1" x14ac:dyDescent="0.15">
      <c r="A33" s="67" t="str">
        <f t="shared" si="0"/>
        <v>9_thu_AM</v>
      </c>
      <c r="B33" s="4">
        <v>9</v>
      </c>
      <c r="C33" s="47" t="str">
        <f ca="1">VLOOKUP($B33,OFFSET(quests!$A$1,0,0,COUNTA(quests!$A:$A),MATCH(C$1,quests!$1:$1,0)-MATCH($B$1,quests!$1:$1,0)+1),MATCH(C$1,quests!$1:$1,0)-MATCH($B$1,quests!$1:$1,0)+1,FALSE)</f>
        <v>9．ラバーズ氷河</v>
      </c>
      <c r="D33" s="4" t="s">
        <v>232</v>
      </c>
      <c r="E33" s="57" t="s">
        <v>0</v>
      </c>
      <c r="F33" s="52" t="str">
        <f>VLOOKUP($E33,[2]マスタ!$D$2:$F$3,2,FALSE)</f>
        <v>6:00:00</v>
      </c>
      <c r="G33" s="52" t="str">
        <f>VLOOKUP($E33,[2]マスタ!$D$2:$F$3,3,FALSE)</f>
        <v>13:59:59</v>
      </c>
      <c r="H33" s="4" t="s">
        <v>18</v>
      </c>
      <c r="I33" s="4">
        <f>VLOOKUP(H33,マスタ!D:E,2,FALSE)</f>
        <v>1.5</v>
      </c>
      <c r="J33" s="4">
        <v>0</v>
      </c>
    </row>
    <row r="34" spans="1:10" ht="21" customHeight="1" x14ac:dyDescent="0.15">
      <c r="A34" s="67" t="str">
        <f t="shared" si="0"/>
        <v>9_sat_AM</v>
      </c>
      <c r="B34" s="4">
        <v>9</v>
      </c>
      <c r="C34" s="47" t="str">
        <f ca="1">VLOOKUP($B34,OFFSET(quests!$A$1,0,0,COUNTA(quests!$A:$A),MATCH(C$1,quests!$1:$1,0)-MATCH($B$1,quests!$1:$1,0)+1),MATCH(C$1,quests!$1:$1,0)-MATCH($B$1,quests!$1:$1,0)+1,FALSE)</f>
        <v>9．ラバーズ氷河</v>
      </c>
      <c r="D34" s="4" t="s">
        <v>233</v>
      </c>
      <c r="E34" s="57" t="s">
        <v>0</v>
      </c>
      <c r="F34" s="52" t="str">
        <f>VLOOKUP($E34,[2]マスタ!$D$2:$F$3,2,FALSE)</f>
        <v>6:00:00</v>
      </c>
      <c r="G34" s="52" t="str">
        <f>VLOOKUP($E34,[2]マスタ!$D$2:$F$3,3,FALSE)</f>
        <v>13:59:59</v>
      </c>
      <c r="H34" s="4" t="s">
        <v>18</v>
      </c>
      <c r="I34" s="4">
        <f>VLOOKUP(H34,マスタ!D:E,2,FALSE)</f>
        <v>1.5</v>
      </c>
      <c r="J34" s="4">
        <v>0</v>
      </c>
    </row>
    <row r="35" spans="1:10" ht="21" customHeight="1" x14ac:dyDescent="0.15">
      <c r="A35" s="67" t="str">
        <f t="shared" si="0"/>
        <v>10_tue_PM</v>
      </c>
      <c r="B35" s="4">
        <v>10</v>
      </c>
      <c r="C35" s="47" t="str">
        <f ca="1">VLOOKUP($B35,OFFSET(quests!$A$1,0,0,COUNTA(quests!$A:$A),MATCH(C$1,quests!$1:$1,0)-MATCH($B$1,quests!$1:$1,0)+1),MATCH(C$1,quests!$1:$1,0)-MATCH($B$1,quests!$1:$1,0)+1,FALSE)</f>
        <v>10．奥散水の紅葉岩</v>
      </c>
      <c r="D35" s="4" t="s">
        <v>231</v>
      </c>
      <c r="E35" s="57" t="s">
        <v>1</v>
      </c>
      <c r="F35" s="52" t="str">
        <f>VLOOKUP($E35,[2]マスタ!$D$2:$F$3,2,FALSE)</f>
        <v>16:00:00</v>
      </c>
      <c r="G35" s="52" t="str">
        <f>VLOOKUP($E35,[2]マスタ!$D$2:$F$3,3,FALSE)</f>
        <v>23:59:59</v>
      </c>
      <c r="H35" s="4" t="s">
        <v>18</v>
      </c>
      <c r="I35" s="4">
        <f>VLOOKUP(H35,マスタ!D:E,2,FALSE)</f>
        <v>1.5</v>
      </c>
      <c r="J35" s="4">
        <v>0</v>
      </c>
    </row>
    <row r="36" spans="1:10" ht="21" customHeight="1" x14ac:dyDescent="0.15">
      <c r="A36" s="67" t="str">
        <f t="shared" si="0"/>
        <v>10_thu_PM</v>
      </c>
      <c r="B36" s="4">
        <v>10</v>
      </c>
      <c r="C36" s="47" t="str">
        <f ca="1">VLOOKUP($B36,OFFSET(quests!$A$1,0,0,COUNTA(quests!$A:$A),MATCH(C$1,quests!$1:$1,0)-MATCH($B$1,quests!$1:$1,0)+1),MATCH(C$1,quests!$1:$1,0)-MATCH($B$1,quests!$1:$1,0)+1,FALSE)</f>
        <v>10．奥散水の紅葉岩</v>
      </c>
      <c r="D36" s="4" t="s">
        <v>232</v>
      </c>
      <c r="E36" s="57" t="s">
        <v>1</v>
      </c>
      <c r="F36" s="52" t="str">
        <f>VLOOKUP($E36,[2]マスタ!$D$2:$F$3,2,FALSE)</f>
        <v>16:00:00</v>
      </c>
      <c r="G36" s="52" t="str">
        <f>VLOOKUP($E36,[2]マスタ!$D$2:$F$3,3,FALSE)</f>
        <v>23:59:59</v>
      </c>
      <c r="H36" s="4" t="s">
        <v>18</v>
      </c>
      <c r="I36" s="4">
        <f>VLOOKUP(H36,マスタ!D:E,2,FALSE)</f>
        <v>1.5</v>
      </c>
      <c r="J36" s="4">
        <v>0</v>
      </c>
    </row>
    <row r="37" spans="1:10" ht="21" customHeight="1" x14ac:dyDescent="0.15">
      <c r="A37" s="67" t="str">
        <f t="shared" si="0"/>
        <v>10_sat_PM</v>
      </c>
      <c r="B37" s="4">
        <v>10</v>
      </c>
      <c r="C37" s="47" t="str">
        <f ca="1">VLOOKUP($B37,OFFSET(quests!$A$1,0,0,COUNTA(quests!$A:$A),MATCH(C$1,quests!$1:$1,0)-MATCH($B$1,quests!$1:$1,0)+1),MATCH(C$1,quests!$1:$1,0)-MATCH($B$1,quests!$1:$1,0)+1,FALSE)</f>
        <v>10．奥散水の紅葉岩</v>
      </c>
      <c r="D37" s="4" t="s">
        <v>233</v>
      </c>
      <c r="E37" s="57" t="s">
        <v>1</v>
      </c>
      <c r="F37" s="52" t="str">
        <f>VLOOKUP($E37,[2]マスタ!$D$2:$F$3,2,FALSE)</f>
        <v>16:00:00</v>
      </c>
      <c r="G37" s="52" t="str">
        <f>VLOOKUP($E37,[2]マスタ!$D$2:$F$3,3,FALSE)</f>
        <v>23:59:59</v>
      </c>
      <c r="H37" s="4" t="s">
        <v>18</v>
      </c>
      <c r="I37" s="4">
        <f>VLOOKUP(H37,マスタ!D:E,2,FALSE)</f>
        <v>1.5</v>
      </c>
      <c r="J37" s="4">
        <v>0</v>
      </c>
    </row>
    <row r="38" spans="1:10" ht="21" customHeight="1" x14ac:dyDescent="0.15">
      <c r="A38" s="67" t="str">
        <f t="shared" si="0"/>
        <v>11_tue_AM</v>
      </c>
      <c r="B38" s="4">
        <v>11</v>
      </c>
      <c r="C38" s="47" t="str">
        <f ca="1">VLOOKUP($B38,OFFSET(quests!$A$1,0,0,COUNTA(quests!$A:$A),MATCH(C$1,quests!$1:$1,0)-MATCH($B$1,quests!$1:$1,0)+1),MATCH(C$1,quests!$1:$1,0)-MATCH($B$1,quests!$1:$1,0)+1,FALSE)</f>
        <v>11．ディープソート戦場跡</v>
      </c>
      <c r="D38" s="4" t="s">
        <v>231</v>
      </c>
      <c r="E38" s="57" t="s">
        <v>0</v>
      </c>
      <c r="F38" s="52" t="str">
        <f>VLOOKUP($E38,[2]マスタ!$D$2:$F$3,2,FALSE)</f>
        <v>6:00:00</v>
      </c>
      <c r="G38" s="52" t="str">
        <f>VLOOKUP($E38,[2]マスタ!$D$2:$F$3,3,FALSE)</f>
        <v>13:59:59</v>
      </c>
      <c r="H38" s="4" t="s">
        <v>234</v>
      </c>
      <c r="I38" s="4">
        <f>VLOOKUP(H38,マスタ!D:E,2,FALSE)</f>
        <v>2</v>
      </c>
      <c r="J38" s="4">
        <v>0</v>
      </c>
    </row>
    <row r="39" spans="1:10" ht="21" customHeight="1" x14ac:dyDescent="0.15">
      <c r="A39" s="67" t="str">
        <f t="shared" si="0"/>
        <v>11_tue_PM</v>
      </c>
      <c r="B39" s="4">
        <v>11</v>
      </c>
      <c r="C39" s="47" t="str">
        <f ca="1">VLOOKUP($B39,OFFSET(quests!$A$1,0,0,COUNTA(quests!$A:$A),MATCH(C$1,quests!$1:$1,0)-MATCH($B$1,quests!$1:$1,0)+1),MATCH(C$1,quests!$1:$1,0)-MATCH($B$1,quests!$1:$1,0)+1,FALSE)</f>
        <v>11．ディープソート戦場跡</v>
      </c>
      <c r="D39" s="4" t="s">
        <v>231</v>
      </c>
      <c r="E39" s="57" t="s">
        <v>1</v>
      </c>
      <c r="F39" s="52" t="str">
        <f>VLOOKUP($E39,[2]マスタ!$D$2:$F$3,2,FALSE)</f>
        <v>16:00:00</v>
      </c>
      <c r="G39" s="52" t="str">
        <f>VLOOKUP($E39,[2]マスタ!$D$2:$F$3,3,FALSE)</f>
        <v>23:59:59</v>
      </c>
      <c r="H39" s="4" t="s">
        <v>234</v>
      </c>
      <c r="I39" s="4">
        <f>VLOOKUP(H39,マスタ!D:E,2,FALSE)</f>
        <v>2</v>
      </c>
      <c r="J39" s="4">
        <v>0</v>
      </c>
    </row>
    <row r="40" spans="1:10" ht="21" customHeight="1" x14ac:dyDescent="0.15">
      <c r="A40" s="67" t="str">
        <f t="shared" si="0"/>
        <v>11_thu_AM</v>
      </c>
      <c r="B40" s="4">
        <v>11</v>
      </c>
      <c r="C40" s="47" t="str">
        <f ca="1">VLOOKUP($B40,OFFSET(quests!$A$1,0,0,COUNTA(quests!$A:$A),MATCH(C$1,quests!$1:$1,0)-MATCH($B$1,quests!$1:$1,0)+1),MATCH(C$1,quests!$1:$1,0)-MATCH($B$1,quests!$1:$1,0)+1,FALSE)</f>
        <v>11．ディープソート戦場跡</v>
      </c>
      <c r="D40" s="4" t="s">
        <v>232</v>
      </c>
      <c r="E40" s="57" t="s">
        <v>0</v>
      </c>
      <c r="F40" s="52" t="str">
        <f>VLOOKUP($E40,[2]マスタ!$D$2:$F$3,2,FALSE)</f>
        <v>6:00:00</v>
      </c>
      <c r="G40" s="52" t="str">
        <f>VLOOKUP($E40,[2]マスタ!$D$2:$F$3,3,FALSE)</f>
        <v>13:59:59</v>
      </c>
      <c r="H40" s="4" t="s">
        <v>234</v>
      </c>
      <c r="I40" s="4">
        <f>VLOOKUP(H40,マスタ!D:E,2,FALSE)</f>
        <v>2</v>
      </c>
      <c r="J40" s="4">
        <v>0</v>
      </c>
    </row>
    <row r="41" spans="1:10" ht="21" customHeight="1" x14ac:dyDescent="0.15">
      <c r="A41" s="67" t="str">
        <f t="shared" si="0"/>
        <v>11_thu_PM</v>
      </c>
      <c r="B41" s="4">
        <v>11</v>
      </c>
      <c r="C41" s="47" t="str">
        <f ca="1">VLOOKUP($B41,OFFSET(quests!$A$1,0,0,COUNTA(quests!$A:$A),MATCH(C$1,quests!$1:$1,0)-MATCH($B$1,quests!$1:$1,0)+1),MATCH(C$1,quests!$1:$1,0)-MATCH($B$1,quests!$1:$1,0)+1,FALSE)</f>
        <v>11．ディープソート戦場跡</v>
      </c>
      <c r="D41" s="4" t="s">
        <v>232</v>
      </c>
      <c r="E41" s="57" t="s">
        <v>1</v>
      </c>
      <c r="F41" s="52" t="str">
        <f>VLOOKUP($E41,[2]マスタ!$D$2:$F$3,2,FALSE)</f>
        <v>16:00:00</v>
      </c>
      <c r="G41" s="52" t="str">
        <f>VLOOKUP($E41,[2]マスタ!$D$2:$F$3,3,FALSE)</f>
        <v>23:59:59</v>
      </c>
      <c r="H41" s="4" t="s">
        <v>234</v>
      </c>
      <c r="I41" s="4">
        <f>VLOOKUP(H41,マスタ!D:E,2,FALSE)</f>
        <v>2</v>
      </c>
      <c r="J41" s="4">
        <v>0</v>
      </c>
    </row>
    <row r="42" spans="1:10" ht="21" customHeight="1" x14ac:dyDescent="0.15">
      <c r="A42" s="67" t="str">
        <f t="shared" si="0"/>
        <v>11_sun_AM</v>
      </c>
      <c r="B42" s="4">
        <v>11</v>
      </c>
      <c r="C42" s="47" t="str">
        <f ca="1">VLOOKUP($B42,OFFSET(quests!$A$1,0,0,COUNTA(quests!$A:$A),MATCH(C$1,quests!$1:$1,0)-MATCH($B$1,quests!$1:$1,0)+1),MATCH(C$1,quests!$1:$1,0)-MATCH($B$1,quests!$1:$1,0)+1,FALSE)</f>
        <v>11．ディープソート戦場跡</v>
      </c>
      <c r="D42" s="4" t="s">
        <v>228</v>
      </c>
      <c r="E42" s="57" t="s">
        <v>0</v>
      </c>
      <c r="F42" s="52" t="str">
        <f>VLOOKUP($E42,[2]マスタ!$D$2:$F$3,2,FALSE)</f>
        <v>6:00:00</v>
      </c>
      <c r="G42" s="52" t="str">
        <f>VLOOKUP($E42,[2]マスタ!$D$2:$F$3,3,FALSE)</f>
        <v>13:59:59</v>
      </c>
      <c r="H42" s="4" t="s">
        <v>18</v>
      </c>
      <c r="I42" s="4">
        <f>VLOOKUP(H42,マスタ!D:E,2,FALSE)</f>
        <v>1.5</v>
      </c>
      <c r="J42" s="4">
        <v>0</v>
      </c>
    </row>
    <row r="43" spans="1:10" ht="21" customHeight="1" x14ac:dyDescent="0.15">
      <c r="A43" s="67" t="str">
        <f t="shared" si="0"/>
        <v>11_sun_PM</v>
      </c>
      <c r="B43" s="4">
        <v>11</v>
      </c>
      <c r="C43" s="47" t="str">
        <f ca="1">VLOOKUP($B43,OFFSET(quests!$A$1,0,0,COUNTA(quests!$A:$A),MATCH(C$1,quests!$1:$1,0)-MATCH($B$1,quests!$1:$1,0)+1),MATCH(C$1,quests!$1:$1,0)-MATCH($B$1,quests!$1:$1,0)+1,FALSE)</f>
        <v>11．ディープソート戦場跡</v>
      </c>
      <c r="D43" s="4" t="s">
        <v>228</v>
      </c>
      <c r="E43" s="57" t="s">
        <v>1</v>
      </c>
      <c r="F43" s="52" t="str">
        <f>VLOOKUP($E43,[2]マスタ!$D$2:$F$3,2,FALSE)</f>
        <v>16:00:00</v>
      </c>
      <c r="G43" s="52" t="str">
        <f>VLOOKUP($E43,[2]マスタ!$D$2:$F$3,3,FALSE)</f>
        <v>23:59:59</v>
      </c>
      <c r="H43" s="4" t="s">
        <v>18</v>
      </c>
      <c r="I43" s="4">
        <f>VLOOKUP(H43,マスタ!D:E,2,FALSE)</f>
        <v>1.5</v>
      </c>
      <c r="J43" s="4">
        <v>0</v>
      </c>
    </row>
    <row r="44" spans="1:10" ht="21" customHeight="1" x14ac:dyDescent="0.15">
      <c r="A44" s="67" t="str">
        <f t="shared" si="0"/>
        <v>12_mon_AM</v>
      </c>
      <c r="B44" s="4">
        <v>12</v>
      </c>
      <c r="C44" s="47" t="str">
        <f ca="1">VLOOKUP($B44,OFFSET(quests!$A$1,0,0,COUNTA(quests!$A:$A),MATCH(C$1,quests!$1:$1,0)-MATCH($B$1,quests!$1:$1,0)+1),MATCH(C$1,quests!$1:$1,0)-MATCH($B$1,quests!$1:$1,0)+1,FALSE)</f>
        <v>12．電脳街アキハバラ2.0</v>
      </c>
      <c r="D44" s="4" t="s">
        <v>39</v>
      </c>
      <c r="E44" s="57" t="s">
        <v>0</v>
      </c>
      <c r="F44" s="52" t="str">
        <f>VLOOKUP($E44,[2]マスタ!$D$2:$F$3,2,FALSE)</f>
        <v>6:00:00</v>
      </c>
      <c r="G44" s="52" t="str">
        <f>VLOOKUP($E44,[2]マスタ!$D$2:$F$3,3,FALSE)</f>
        <v>13:59:59</v>
      </c>
      <c r="H44" s="4" t="s">
        <v>18</v>
      </c>
      <c r="I44" s="4">
        <f>VLOOKUP(H44,マスタ!D:E,2,FALSE)</f>
        <v>1.5</v>
      </c>
      <c r="J44" s="4">
        <v>0</v>
      </c>
    </row>
    <row r="45" spans="1:10" ht="21" customHeight="1" x14ac:dyDescent="0.15">
      <c r="A45" s="67" t="str">
        <f t="shared" si="0"/>
        <v>12_wed_AM</v>
      </c>
      <c r="B45" s="4">
        <v>12</v>
      </c>
      <c r="C45" s="47" t="str">
        <f ca="1">VLOOKUP($B45,OFFSET(quests!$A$1,0,0,COUNTA(quests!$A:$A),MATCH(C$1,quests!$1:$1,0)-MATCH($B$1,quests!$1:$1,0)+1),MATCH(C$1,quests!$1:$1,0)-MATCH($B$1,quests!$1:$1,0)+1,FALSE)</f>
        <v>12．電脳街アキハバラ2.0</v>
      </c>
      <c r="D45" s="4" t="s">
        <v>40</v>
      </c>
      <c r="E45" s="57" t="s">
        <v>0</v>
      </c>
      <c r="F45" s="52" t="str">
        <f>VLOOKUP($E45,[2]マスタ!$D$2:$F$3,2,FALSE)</f>
        <v>6:00:00</v>
      </c>
      <c r="G45" s="52" t="str">
        <f>VLOOKUP($E45,[2]マスタ!$D$2:$F$3,3,FALSE)</f>
        <v>13:59:59</v>
      </c>
      <c r="H45" s="4" t="s">
        <v>18</v>
      </c>
      <c r="I45" s="4">
        <f>VLOOKUP(H45,マスタ!D:E,2,FALSE)</f>
        <v>1.5</v>
      </c>
      <c r="J45" s="4">
        <v>0</v>
      </c>
    </row>
    <row r="46" spans="1:10" ht="21" customHeight="1" x14ac:dyDescent="0.15">
      <c r="A46" s="67" t="str">
        <f t="shared" si="0"/>
        <v>12_fri_AM</v>
      </c>
      <c r="B46" s="4">
        <v>12</v>
      </c>
      <c r="C46" s="47" t="str">
        <f ca="1">VLOOKUP($B46,OFFSET(quests!$A$1,0,0,COUNTA(quests!$A:$A),MATCH(C$1,quests!$1:$1,0)-MATCH($B$1,quests!$1:$1,0)+1),MATCH(C$1,quests!$1:$1,0)-MATCH($B$1,quests!$1:$1,0)+1,FALSE)</f>
        <v>12．電脳街アキハバラ2.0</v>
      </c>
      <c r="D46" s="4" t="s">
        <v>276</v>
      </c>
      <c r="E46" s="57" t="s">
        <v>0</v>
      </c>
      <c r="F46" s="52" t="str">
        <f>VLOOKUP($E46,[2]マスタ!$D$2:$F$3,2,FALSE)</f>
        <v>6:00:00</v>
      </c>
      <c r="G46" s="52" t="str">
        <f>VLOOKUP($E46,[2]マスタ!$D$2:$F$3,3,FALSE)</f>
        <v>13:59:59</v>
      </c>
      <c r="H46" s="4" t="s">
        <v>18</v>
      </c>
      <c r="I46" s="4">
        <f>VLOOKUP(H46,マスタ!D:E,2,FALSE)</f>
        <v>1.5</v>
      </c>
      <c r="J46" s="4">
        <v>0</v>
      </c>
    </row>
    <row r="47" spans="1:10" ht="21" customHeight="1" x14ac:dyDescent="0.15">
      <c r="A47" s="67" t="str">
        <f t="shared" si="0"/>
        <v>13_mon_PM</v>
      </c>
      <c r="B47" s="4">
        <v>13</v>
      </c>
      <c r="C47" s="47" t="str">
        <f ca="1">VLOOKUP($B47,OFFSET(quests!$A$1,0,0,COUNTA(quests!$A:$A),MATCH(C$1,quests!$1:$1,0)-MATCH($B$1,quests!$1:$1,0)+1),MATCH(C$1,quests!$1:$1,0)-MATCH($B$1,quests!$1:$1,0)+1,FALSE)</f>
        <v>13．天空城マドーラ</v>
      </c>
      <c r="D47" s="4" t="s">
        <v>39</v>
      </c>
      <c r="E47" s="57" t="s">
        <v>230</v>
      </c>
      <c r="F47" s="52" t="str">
        <f>VLOOKUP($E47,[2]マスタ!$D$2:$F$3,2,FALSE)</f>
        <v>16:00:00</v>
      </c>
      <c r="G47" s="52" t="str">
        <f>VLOOKUP($E47,[2]マスタ!$D$2:$F$3,3,FALSE)</f>
        <v>23:59:59</v>
      </c>
      <c r="H47" s="4" t="s">
        <v>18</v>
      </c>
      <c r="I47" s="4">
        <f>VLOOKUP(H47,マスタ!D:E,2,FALSE)</f>
        <v>1.5</v>
      </c>
      <c r="J47" s="4">
        <v>0</v>
      </c>
    </row>
    <row r="48" spans="1:10" ht="21" customHeight="1" x14ac:dyDescent="0.15">
      <c r="A48" s="67" t="str">
        <f t="shared" si="0"/>
        <v>13_wed_PM</v>
      </c>
      <c r="B48" s="4">
        <v>13</v>
      </c>
      <c r="C48" s="47" t="str">
        <f ca="1">VLOOKUP($B48,OFFSET(quests!$A$1,0,0,COUNTA(quests!$A:$A),MATCH(C$1,quests!$1:$1,0)-MATCH($B$1,quests!$1:$1,0)+1),MATCH(C$1,quests!$1:$1,0)-MATCH($B$1,quests!$1:$1,0)+1,FALSE)</f>
        <v>13．天空城マドーラ</v>
      </c>
      <c r="D48" s="4" t="s">
        <v>40</v>
      </c>
      <c r="E48" s="57" t="s">
        <v>230</v>
      </c>
      <c r="F48" s="52" t="str">
        <f>VLOOKUP($E48,[2]マスタ!$D$2:$F$3,2,FALSE)</f>
        <v>16:00:00</v>
      </c>
      <c r="G48" s="52" t="str">
        <f>VLOOKUP($E48,[2]マスタ!$D$2:$F$3,3,FALSE)</f>
        <v>23:59:59</v>
      </c>
      <c r="H48" s="4" t="s">
        <v>18</v>
      </c>
      <c r="I48" s="4">
        <f>VLOOKUP(H48,マスタ!D:E,2,FALSE)</f>
        <v>1.5</v>
      </c>
      <c r="J48" s="4">
        <v>0</v>
      </c>
    </row>
    <row r="49" spans="1:10" ht="21" customHeight="1" x14ac:dyDescent="0.15">
      <c r="A49" s="67" t="str">
        <f t="shared" si="0"/>
        <v>13_fri_PM</v>
      </c>
      <c r="B49" s="4">
        <v>13</v>
      </c>
      <c r="C49" s="47" t="str">
        <f ca="1">VLOOKUP($B49,OFFSET(quests!$A$1,0,0,COUNTA(quests!$A:$A),MATCH(C$1,quests!$1:$1,0)-MATCH($B$1,quests!$1:$1,0)+1),MATCH(C$1,quests!$1:$1,0)-MATCH($B$1,quests!$1:$1,0)+1,FALSE)</f>
        <v>13．天空城マドーラ</v>
      </c>
      <c r="D49" s="4" t="s">
        <v>276</v>
      </c>
      <c r="E49" s="57" t="s">
        <v>230</v>
      </c>
      <c r="F49" s="52" t="str">
        <f>VLOOKUP($E49,[2]マスタ!$D$2:$F$3,2,FALSE)</f>
        <v>16:00:00</v>
      </c>
      <c r="G49" s="52" t="str">
        <f>VLOOKUP($E49,[2]マスタ!$D$2:$F$3,3,FALSE)</f>
        <v>23:59:59</v>
      </c>
      <c r="H49" s="4" t="s">
        <v>18</v>
      </c>
      <c r="I49" s="4">
        <f>VLOOKUP(H49,マスタ!D:E,2,FALSE)</f>
        <v>1.5</v>
      </c>
      <c r="J49" s="4">
        <v>0</v>
      </c>
    </row>
    <row r="50" spans="1:10" ht="21" customHeight="1" x14ac:dyDescent="0.15">
      <c r="A50" s="67" t="str">
        <f t="shared" si="0"/>
        <v>14_tue_AM</v>
      </c>
      <c r="B50" s="4">
        <v>14</v>
      </c>
      <c r="C50" s="47" t="str">
        <f ca="1">VLOOKUP($B50,OFFSET(quests!$A$1,0,0,COUNTA(quests!$A:$A),MATCH(C$1,quests!$1:$1,0)-MATCH($B$1,quests!$1:$1,0)+1),MATCH(C$1,quests!$1:$1,0)-MATCH($B$1,quests!$1:$1,0)+1,FALSE)</f>
        <v>14．機械都市マッシュ</v>
      </c>
      <c r="D50" s="4" t="s">
        <v>231</v>
      </c>
      <c r="E50" s="57" t="s">
        <v>0</v>
      </c>
      <c r="F50" s="52" t="str">
        <f>VLOOKUP($E50,[2]マスタ!$D$2:$F$3,2,FALSE)</f>
        <v>6:00:00</v>
      </c>
      <c r="G50" s="52" t="str">
        <f>VLOOKUP($E50,[2]マスタ!$D$2:$F$3,3,FALSE)</f>
        <v>13:59:59</v>
      </c>
      <c r="H50" s="4" t="s">
        <v>18</v>
      </c>
      <c r="I50" s="4">
        <f>VLOOKUP(H50,マスタ!D:E,2,FALSE)</f>
        <v>1.5</v>
      </c>
      <c r="J50" s="4">
        <v>0</v>
      </c>
    </row>
    <row r="51" spans="1:10" ht="21" customHeight="1" x14ac:dyDescent="0.15">
      <c r="A51" s="67" t="str">
        <f t="shared" si="0"/>
        <v>14_thu_AM</v>
      </c>
      <c r="B51" s="4">
        <v>14</v>
      </c>
      <c r="C51" s="47" t="str">
        <f ca="1">VLOOKUP($B51,OFFSET(quests!$A$1,0,0,COUNTA(quests!$A:$A),MATCH(C$1,quests!$1:$1,0)-MATCH($B$1,quests!$1:$1,0)+1),MATCH(C$1,quests!$1:$1,0)-MATCH($B$1,quests!$1:$1,0)+1,FALSE)</f>
        <v>14．機械都市マッシュ</v>
      </c>
      <c r="D51" s="4" t="s">
        <v>232</v>
      </c>
      <c r="E51" s="57" t="s">
        <v>0</v>
      </c>
      <c r="F51" s="52" t="str">
        <f>VLOOKUP($E51,[2]マスタ!$D$2:$F$3,2,FALSE)</f>
        <v>6:00:00</v>
      </c>
      <c r="G51" s="52" t="str">
        <f>VLOOKUP($E51,[2]マスタ!$D$2:$F$3,3,FALSE)</f>
        <v>13:59:59</v>
      </c>
      <c r="H51" s="4" t="s">
        <v>18</v>
      </c>
      <c r="I51" s="4">
        <f>VLOOKUP(H51,マスタ!D:E,2,FALSE)</f>
        <v>1.5</v>
      </c>
      <c r="J51" s="4">
        <v>0</v>
      </c>
    </row>
    <row r="52" spans="1:10" ht="21" customHeight="1" x14ac:dyDescent="0.15">
      <c r="A52" s="67" t="str">
        <f t="shared" si="0"/>
        <v>14_sat_AM</v>
      </c>
      <c r="B52" s="4">
        <v>14</v>
      </c>
      <c r="C52" s="47" t="str">
        <f ca="1">VLOOKUP($B52,OFFSET(quests!$A$1,0,0,COUNTA(quests!$A:$A),MATCH(C$1,quests!$1:$1,0)-MATCH($B$1,quests!$1:$1,0)+1),MATCH(C$1,quests!$1:$1,0)-MATCH($B$1,quests!$1:$1,0)+1,FALSE)</f>
        <v>14．機械都市マッシュ</v>
      </c>
      <c r="D52" s="4" t="s">
        <v>233</v>
      </c>
      <c r="E52" s="57" t="s">
        <v>0</v>
      </c>
      <c r="F52" s="52" t="str">
        <f>VLOOKUP($E52,[2]マスタ!$D$2:$F$3,2,FALSE)</f>
        <v>6:00:00</v>
      </c>
      <c r="G52" s="52" t="str">
        <f>VLOOKUP($E52,[2]マスタ!$D$2:$F$3,3,FALSE)</f>
        <v>13:59:59</v>
      </c>
      <c r="H52" s="4" t="s">
        <v>18</v>
      </c>
      <c r="I52" s="4">
        <f>VLOOKUP(H52,マスタ!D:E,2,FALSE)</f>
        <v>1.5</v>
      </c>
      <c r="J52" s="4">
        <v>0</v>
      </c>
    </row>
    <row r="53" spans="1:10" ht="21" customHeight="1" x14ac:dyDescent="0.15">
      <c r="A53" s="67" t="str">
        <f t="shared" si="0"/>
        <v>15_tue_PM</v>
      </c>
      <c r="B53" s="4">
        <v>15</v>
      </c>
      <c r="C53" s="47" t="str">
        <f ca="1">VLOOKUP($B53,OFFSET(quests!$A$1,0,0,COUNTA(quests!$A:$A),MATCH(C$1,quests!$1:$1,0)-MATCH($B$1,quests!$1:$1,0)+1),MATCH(C$1,quests!$1:$1,0)-MATCH($B$1,quests!$1:$1,0)+1,FALSE)</f>
        <v>15．ハイサイスタジアム</v>
      </c>
      <c r="D53" s="4" t="s">
        <v>231</v>
      </c>
      <c r="E53" s="57" t="s">
        <v>1</v>
      </c>
      <c r="F53" s="52" t="str">
        <f>VLOOKUP($E53,[2]マスタ!$D$2:$F$3,2,FALSE)</f>
        <v>16:00:00</v>
      </c>
      <c r="G53" s="52" t="str">
        <f>VLOOKUP($E53,[2]マスタ!$D$2:$F$3,3,FALSE)</f>
        <v>23:59:59</v>
      </c>
      <c r="H53" s="4" t="s">
        <v>18</v>
      </c>
      <c r="I53" s="4">
        <f>VLOOKUP(H53,マスタ!D:E,2,FALSE)</f>
        <v>1.5</v>
      </c>
      <c r="J53" s="4">
        <v>0</v>
      </c>
    </row>
    <row r="54" spans="1:10" ht="21" customHeight="1" x14ac:dyDescent="0.15">
      <c r="A54" s="67" t="str">
        <f t="shared" si="0"/>
        <v>15_thu_PM</v>
      </c>
      <c r="B54" s="4">
        <v>15</v>
      </c>
      <c r="C54" s="47" t="str">
        <f ca="1">VLOOKUP($B54,OFFSET(quests!$A$1,0,0,COUNTA(quests!$A:$A),MATCH(C$1,quests!$1:$1,0)-MATCH($B$1,quests!$1:$1,0)+1),MATCH(C$1,quests!$1:$1,0)-MATCH($B$1,quests!$1:$1,0)+1,FALSE)</f>
        <v>15．ハイサイスタジアム</v>
      </c>
      <c r="D54" s="4" t="s">
        <v>232</v>
      </c>
      <c r="E54" s="57" t="s">
        <v>1</v>
      </c>
      <c r="F54" s="52" t="str">
        <f>VLOOKUP($E54,[2]マスタ!$D$2:$F$3,2,FALSE)</f>
        <v>16:00:00</v>
      </c>
      <c r="G54" s="52" t="str">
        <f>VLOOKUP($E54,[2]マスタ!$D$2:$F$3,3,FALSE)</f>
        <v>23:59:59</v>
      </c>
      <c r="H54" s="4" t="s">
        <v>18</v>
      </c>
      <c r="I54" s="4">
        <f>VLOOKUP(H54,マスタ!D:E,2,FALSE)</f>
        <v>1.5</v>
      </c>
      <c r="J54" s="4">
        <v>0</v>
      </c>
    </row>
    <row r="55" spans="1:10" ht="21" customHeight="1" x14ac:dyDescent="0.15">
      <c r="A55" s="67" t="str">
        <f t="shared" si="0"/>
        <v>15_sat_PM</v>
      </c>
      <c r="B55" s="4">
        <v>15</v>
      </c>
      <c r="C55" s="47" t="str">
        <f ca="1">VLOOKUP($B55,OFFSET(quests!$A$1,0,0,COUNTA(quests!$A:$A),MATCH(C$1,quests!$1:$1,0)-MATCH($B$1,quests!$1:$1,0)+1),MATCH(C$1,quests!$1:$1,0)-MATCH($B$1,quests!$1:$1,0)+1,FALSE)</f>
        <v>15．ハイサイスタジアム</v>
      </c>
      <c r="D55" s="4" t="s">
        <v>233</v>
      </c>
      <c r="E55" s="57" t="s">
        <v>1</v>
      </c>
      <c r="F55" s="52" t="str">
        <f>VLOOKUP($E55,[2]マスタ!$D$2:$F$3,2,FALSE)</f>
        <v>16:00:00</v>
      </c>
      <c r="G55" s="52" t="str">
        <f>VLOOKUP($E55,[2]マスタ!$D$2:$F$3,3,FALSE)</f>
        <v>23:59:59</v>
      </c>
      <c r="H55" s="4" t="s">
        <v>18</v>
      </c>
      <c r="I55" s="4">
        <f>VLOOKUP(H55,マスタ!D:E,2,FALSE)</f>
        <v>1.5</v>
      </c>
      <c r="J55" s="4">
        <v>0</v>
      </c>
    </row>
    <row r="56" spans="1:10" ht="21" customHeight="1" x14ac:dyDescent="0.15">
      <c r="A56" s="67" t="str">
        <f t="shared" si="0"/>
        <v>16_tue_AM</v>
      </c>
      <c r="B56" s="4">
        <v>16</v>
      </c>
      <c r="C56" s="47" t="str">
        <f ca="1">VLOOKUP($B56,OFFSET(quests!$A$1,0,0,COUNTA(quests!$A:$A),MATCH(C$1,quests!$1:$1,0)-MATCH($B$1,quests!$1:$1,0)+1),MATCH(C$1,quests!$1:$1,0)-MATCH($B$1,quests!$1:$1,0)+1,FALSE)</f>
        <v>16．H&amp;Gスイートハウス</v>
      </c>
      <c r="D56" s="4" t="s">
        <v>231</v>
      </c>
      <c r="E56" s="57" t="s">
        <v>0</v>
      </c>
      <c r="F56" s="52" t="str">
        <f>VLOOKUP($E56,[2]マスタ!$D$2:$F$3,2,FALSE)</f>
        <v>6:00:00</v>
      </c>
      <c r="G56" s="52" t="str">
        <f>VLOOKUP($E56,[2]マスタ!$D$2:$F$3,3,FALSE)</f>
        <v>13:59:59</v>
      </c>
      <c r="H56" s="4" t="s">
        <v>234</v>
      </c>
      <c r="I56" s="4">
        <f>VLOOKUP(H56,マスタ!D:E,2,FALSE)</f>
        <v>2</v>
      </c>
      <c r="J56" s="4">
        <v>0</v>
      </c>
    </row>
    <row r="57" spans="1:10" ht="21" customHeight="1" x14ac:dyDescent="0.15">
      <c r="A57" s="67" t="str">
        <f t="shared" si="0"/>
        <v>16_tue_PM</v>
      </c>
      <c r="B57" s="4">
        <v>16</v>
      </c>
      <c r="C57" s="47" t="str">
        <f ca="1">VLOOKUP($B57,OFFSET(quests!$A$1,0,0,COUNTA(quests!$A:$A),MATCH(C$1,quests!$1:$1,0)-MATCH($B$1,quests!$1:$1,0)+1),MATCH(C$1,quests!$1:$1,0)-MATCH($B$1,quests!$1:$1,0)+1,FALSE)</f>
        <v>16．H&amp;Gスイートハウス</v>
      </c>
      <c r="D57" s="4" t="s">
        <v>231</v>
      </c>
      <c r="E57" s="57" t="s">
        <v>1</v>
      </c>
      <c r="F57" s="52" t="str">
        <f>VLOOKUP($E57,[2]マスタ!$D$2:$F$3,2,FALSE)</f>
        <v>16:00:00</v>
      </c>
      <c r="G57" s="52" t="str">
        <f>VLOOKUP($E57,[2]マスタ!$D$2:$F$3,3,FALSE)</f>
        <v>23:59:59</v>
      </c>
      <c r="H57" s="4" t="s">
        <v>234</v>
      </c>
      <c r="I57" s="4">
        <f>VLOOKUP(H57,マスタ!D:E,2,FALSE)</f>
        <v>2</v>
      </c>
      <c r="J57" s="4">
        <v>0</v>
      </c>
    </row>
    <row r="58" spans="1:10" ht="21" customHeight="1" x14ac:dyDescent="0.15">
      <c r="A58" s="67" t="str">
        <f t="shared" si="0"/>
        <v>16_thu_AM</v>
      </c>
      <c r="B58" s="4">
        <v>16</v>
      </c>
      <c r="C58" s="47" t="str">
        <f ca="1">VLOOKUP($B58,OFFSET(quests!$A$1,0,0,COUNTA(quests!$A:$A),MATCH(C$1,quests!$1:$1,0)-MATCH($B$1,quests!$1:$1,0)+1),MATCH(C$1,quests!$1:$1,0)-MATCH($B$1,quests!$1:$1,0)+1,FALSE)</f>
        <v>16．H&amp;Gスイートハウス</v>
      </c>
      <c r="D58" s="4" t="s">
        <v>232</v>
      </c>
      <c r="E58" s="57" t="s">
        <v>0</v>
      </c>
      <c r="F58" s="52" t="str">
        <f>VLOOKUP($E58,[2]マスタ!$D$2:$F$3,2,FALSE)</f>
        <v>6:00:00</v>
      </c>
      <c r="G58" s="52" t="str">
        <f>VLOOKUP($E58,[2]マスタ!$D$2:$F$3,3,FALSE)</f>
        <v>13:59:59</v>
      </c>
      <c r="H58" s="4" t="s">
        <v>234</v>
      </c>
      <c r="I58" s="4">
        <f>VLOOKUP(H58,マスタ!D:E,2,FALSE)</f>
        <v>2</v>
      </c>
      <c r="J58" s="4">
        <v>0</v>
      </c>
    </row>
    <row r="59" spans="1:10" ht="21" customHeight="1" x14ac:dyDescent="0.15">
      <c r="A59" s="67" t="str">
        <f t="shared" si="0"/>
        <v>16_thu_PM</v>
      </c>
      <c r="B59" s="4">
        <v>16</v>
      </c>
      <c r="C59" s="47" t="str">
        <f ca="1">VLOOKUP($B59,OFFSET(quests!$A$1,0,0,COUNTA(quests!$A:$A),MATCH(C$1,quests!$1:$1,0)-MATCH($B$1,quests!$1:$1,0)+1),MATCH(C$1,quests!$1:$1,0)-MATCH($B$1,quests!$1:$1,0)+1,FALSE)</f>
        <v>16．H&amp;Gスイートハウス</v>
      </c>
      <c r="D59" s="4" t="s">
        <v>232</v>
      </c>
      <c r="E59" s="57" t="s">
        <v>1</v>
      </c>
      <c r="F59" s="52" t="str">
        <f>VLOOKUP($E59,[2]マスタ!$D$2:$F$3,2,FALSE)</f>
        <v>16:00:00</v>
      </c>
      <c r="G59" s="52" t="str">
        <f>VLOOKUP($E59,[2]マスタ!$D$2:$F$3,3,FALSE)</f>
        <v>23:59:59</v>
      </c>
      <c r="H59" s="4" t="s">
        <v>234</v>
      </c>
      <c r="I59" s="4">
        <f>VLOOKUP(H59,マスタ!D:E,2,FALSE)</f>
        <v>2</v>
      </c>
      <c r="J59" s="4">
        <v>0</v>
      </c>
    </row>
    <row r="60" spans="1:10" ht="21" customHeight="1" x14ac:dyDescent="0.15">
      <c r="A60" s="67" t="str">
        <f t="shared" si="0"/>
        <v>16_sun_AM</v>
      </c>
      <c r="B60" s="4">
        <v>16</v>
      </c>
      <c r="C60" s="47" t="str">
        <f ca="1">VLOOKUP($B60,OFFSET(quests!$A$1,0,0,COUNTA(quests!$A:$A),MATCH(C$1,quests!$1:$1,0)-MATCH($B$1,quests!$1:$1,0)+1),MATCH(C$1,quests!$1:$1,0)-MATCH($B$1,quests!$1:$1,0)+1,FALSE)</f>
        <v>16．H&amp;Gスイートハウス</v>
      </c>
      <c r="D60" s="4" t="s">
        <v>228</v>
      </c>
      <c r="E60" s="57" t="s">
        <v>0</v>
      </c>
      <c r="F60" s="52" t="str">
        <f>VLOOKUP($E60,[2]マスタ!$D$2:$F$3,2,FALSE)</f>
        <v>6:00:00</v>
      </c>
      <c r="G60" s="52" t="str">
        <f>VLOOKUP($E60,[2]マスタ!$D$2:$F$3,3,FALSE)</f>
        <v>13:59:59</v>
      </c>
      <c r="H60" s="4" t="s">
        <v>18</v>
      </c>
      <c r="I60" s="4">
        <f>VLOOKUP(H60,マスタ!D:E,2,FALSE)</f>
        <v>1.5</v>
      </c>
      <c r="J60" s="4">
        <v>0</v>
      </c>
    </row>
    <row r="61" spans="1:10" ht="21" customHeight="1" x14ac:dyDescent="0.15">
      <c r="A61" s="67" t="str">
        <f t="shared" si="0"/>
        <v>16_sun_PM</v>
      </c>
      <c r="B61" s="4">
        <v>16</v>
      </c>
      <c r="C61" s="47" t="str">
        <f ca="1">VLOOKUP($B61,OFFSET(quests!$A$1,0,0,COUNTA(quests!$A:$A),MATCH(C$1,quests!$1:$1,0)-MATCH($B$1,quests!$1:$1,0)+1),MATCH(C$1,quests!$1:$1,0)-MATCH($B$1,quests!$1:$1,0)+1,FALSE)</f>
        <v>16．H&amp;Gスイートハウス</v>
      </c>
      <c r="D61" s="4" t="s">
        <v>228</v>
      </c>
      <c r="E61" s="57" t="s">
        <v>1</v>
      </c>
      <c r="F61" s="52" t="str">
        <f>VLOOKUP($E61,[2]マスタ!$D$2:$F$3,2,FALSE)</f>
        <v>16:00:00</v>
      </c>
      <c r="G61" s="52" t="str">
        <f>VLOOKUP($E61,[2]マスタ!$D$2:$F$3,3,FALSE)</f>
        <v>23:59:59</v>
      </c>
      <c r="H61" s="4" t="s">
        <v>18</v>
      </c>
      <c r="I61" s="4">
        <f>VLOOKUP(H61,マスタ!D:E,2,FALSE)</f>
        <v>1.5</v>
      </c>
      <c r="J61" s="4">
        <v>0</v>
      </c>
    </row>
    <row r="62" spans="1:10" ht="21" customHeight="1" x14ac:dyDescent="0.15">
      <c r="A62" s="67" t="str">
        <f t="shared" si="0"/>
        <v>17_mon_AM</v>
      </c>
      <c r="B62" s="4">
        <v>17</v>
      </c>
      <c r="C62" s="47" t="str">
        <f ca="1">VLOOKUP($B62,OFFSET(quests!$A$1,0,0,COUNTA(quests!$A:$A),MATCH(C$1,quests!$1:$1,0)-MATCH($B$1,quests!$1:$1,0)+1),MATCH(C$1,quests!$1:$1,0)-MATCH($B$1,quests!$1:$1,0)+1,FALSE)</f>
        <v>17．エナリオス海中神殿</v>
      </c>
      <c r="D62" s="4" t="s">
        <v>39</v>
      </c>
      <c r="E62" s="57" t="s">
        <v>0</v>
      </c>
      <c r="F62" s="52" t="str">
        <f>VLOOKUP($E62,[2]マスタ!$D$2:$F$3,2,FALSE)</f>
        <v>6:00:00</v>
      </c>
      <c r="G62" s="52" t="str">
        <f>VLOOKUP($E62,[2]マスタ!$D$2:$F$3,3,FALSE)</f>
        <v>13:59:59</v>
      </c>
      <c r="H62" s="4" t="s">
        <v>18</v>
      </c>
      <c r="I62" s="4">
        <f>VLOOKUP(H62,マスタ!D:E,2,FALSE)</f>
        <v>1.5</v>
      </c>
      <c r="J62" s="4">
        <v>0</v>
      </c>
    </row>
    <row r="63" spans="1:10" ht="21" customHeight="1" x14ac:dyDescent="0.15">
      <c r="A63" s="67" t="str">
        <f t="shared" si="0"/>
        <v>17_wed_AM</v>
      </c>
      <c r="B63" s="4">
        <v>17</v>
      </c>
      <c r="C63" s="47" t="str">
        <f ca="1">VLOOKUP($B63,OFFSET(quests!$A$1,0,0,COUNTA(quests!$A:$A),MATCH(C$1,quests!$1:$1,0)-MATCH($B$1,quests!$1:$1,0)+1),MATCH(C$1,quests!$1:$1,0)-MATCH($B$1,quests!$1:$1,0)+1,FALSE)</f>
        <v>17．エナリオス海中神殿</v>
      </c>
      <c r="D63" s="4" t="s">
        <v>40</v>
      </c>
      <c r="E63" s="57" t="s">
        <v>0</v>
      </c>
      <c r="F63" s="52" t="str">
        <f>VLOOKUP($E63,[2]マスタ!$D$2:$F$3,2,FALSE)</f>
        <v>6:00:00</v>
      </c>
      <c r="G63" s="52" t="str">
        <f>VLOOKUP($E63,[2]マスタ!$D$2:$F$3,3,FALSE)</f>
        <v>13:59:59</v>
      </c>
      <c r="H63" s="4" t="s">
        <v>18</v>
      </c>
      <c r="I63" s="4">
        <f>VLOOKUP(H63,マスタ!D:E,2,FALSE)</f>
        <v>1.5</v>
      </c>
      <c r="J63" s="4">
        <v>0</v>
      </c>
    </row>
    <row r="64" spans="1:10" ht="21" customHeight="1" x14ac:dyDescent="0.15">
      <c r="A64" s="67" t="str">
        <f t="shared" si="0"/>
        <v>17_fri_AM</v>
      </c>
      <c r="B64" s="4">
        <v>17</v>
      </c>
      <c r="C64" s="47" t="str">
        <f ca="1">VLOOKUP($B64,OFFSET(quests!$A$1,0,0,COUNTA(quests!$A:$A),MATCH(C$1,quests!$1:$1,0)-MATCH($B$1,quests!$1:$1,0)+1),MATCH(C$1,quests!$1:$1,0)-MATCH($B$1,quests!$1:$1,0)+1,FALSE)</f>
        <v>17．エナリオス海中神殿</v>
      </c>
      <c r="D64" s="4" t="s">
        <v>276</v>
      </c>
      <c r="E64" s="57" t="s">
        <v>0</v>
      </c>
      <c r="F64" s="52" t="str">
        <f>VLOOKUP($E64,[2]マスタ!$D$2:$F$3,2,FALSE)</f>
        <v>6:00:00</v>
      </c>
      <c r="G64" s="52" t="str">
        <f>VLOOKUP($E64,[2]マスタ!$D$2:$F$3,3,FALSE)</f>
        <v>13:59:59</v>
      </c>
      <c r="H64" s="4" t="s">
        <v>18</v>
      </c>
      <c r="I64" s="4">
        <f>VLOOKUP(H64,マスタ!D:E,2,FALSE)</f>
        <v>1.5</v>
      </c>
      <c r="J64" s="4">
        <v>0</v>
      </c>
    </row>
    <row r="65" spans="1:10" ht="21" customHeight="1" x14ac:dyDescent="0.15">
      <c r="A65" s="67" t="str">
        <f t="shared" si="0"/>
        <v>18_mon_PM</v>
      </c>
      <c r="B65" s="4">
        <v>18</v>
      </c>
      <c r="C65" s="47" t="str">
        <f ca="1">VLOOKUP($B65,OFFSET(quests!$A$1,0,0,COUNTA(quests!$A:$A),MATCH(C$1,quests!$1:$1,0)-MATCH($B$1,quests!$1:$1,0)+1),MATCH(C$1,quests!$1:$1,0)-MATCH($B$1,quests!$1:$1,0)+1,FALSE)</f>
        <v>18．アリスボウル</v>
      </c>
      <c r="D65" s="4" t="s">
        <v>39</v>
      </c>
      <c r="E65" s="57" t="s">
        <v>230</v>
      </c>
      <c r="F65" s="52" t="str">
        <f>VLOOKUP($E65,[2]マスタ!$D$2:$F$3,2,FALSE)</f>
        <v>16:00:00</v>
      </c>
      <c r="G65" s="52" t="str">
        <f>VLOOKUP($E65,[2]マスタ!$D$2:$F$3,3,FALSE)</f>
        <v>23:59:59</v>
      </c>
      <c r="H65" s="4" t="s">
        <v>18</v>
      </c>
      <c r="I65" s="4">
        <f>VLOOKUP(H65,マスタ!D:E,2,FALSE)</f>
        <v>1.5</v>
      </c>
      <c r="J65" s="4">
        <v>0</v>
      </c>
    </row>
    <row r="66" spans="1:10" ht="21" customHeight="1" x14ac:dyDescent="0.15">
      <c r="A66" s="67" t="str">
        <f t="shared" si="0"/>
        <v>18_wed_PM</v>
      </c>
      <c r="B66" s="4">
        <v>18</v>
      </c>
      <c r="C66" s="47" t="str">
        <f ca="1">VLOOKUP($B66,OFFSET(quests!$A$1,0,0,COUNTA(quests!$A:$A),MATCH(C$1,quests!$1:$1,0)-MATCH($B$1,quests!$1:$1,0)+1),MATCH(C$1,quests!$1:$1,0)-MATCH($B$1,quests!$1:$1,0)+1,FALSE)</f>
        <v>18．アリスボウル</v>
      </c>
      <c r="D66" s="4" t="s">
        <v>40</v>
      </c>
      <c r="E66" s="57" t="s">
        <v>230</v>
      </c>
      <c r="F66" s="52" t="str">
        <f>VLOOKUP($E66,[2]マスタ!$D$2:$F$3,2,FALSE)</f>
        <v>16:00:00</v>
      </c>
      <c r="G66" s="52" t="str">
        <f>VLOOKUP($E66,[2]マスタ!$D$2:$F$3,3,FALSE)</f>
        <v>23:59:59</v>
      </c>
      <c r="H66" s="4" t="s">
        <v>18</v>
      </c>
      <c r="I66" s="4">
        <f>VLOOKUP(H66,マスタ!D:E,2,FALSE)</f>
        <v>1.5</v>
      </c>
      <c r="J66" s="4">
        <v>0</v>
      </c>
    </row>
    <row r="67" spans="1:10" ht="21" customHeight="1" x14ac:dyDescent="0.15">
      <c r="A67" s="67" t="str">
        <f t="shared" ref="A67:A97" si="1">B67&amp;"_"&amp;D67&amp;"_"&amp;E67</f>
        <v>18_fri_PM</v>
      </c>
      <c r="B67" s="4">
        <v>18</v>
      </c>
      <c r="C67" s="47" t="str">
        <f ca="1">VLOOKUP($B67,OFFSET(quests!$A$1,0,0,COUNTA(quests!$A:$A),MATCH(C$1,quests!$1:$1,0)-MATCH($B$1,quests!$1:$1,0)+1),MATCH(C$1,quests!$1:$1,0)-MATCH($B$1,quests!$1:$1,0)+1,FALSE)</f>
        <v>18．アリスボウル</v>
      </c>
      <c r="D67" s="4" t="s">
        <v>276</v>
      </c>
      <c r="E67" s="57" t="s">
        <v>230</v>
      </c>
      <c r="F67" s="52" t="str">
        <f>VLOOKUP($E67,[2]マスタ!$D$2:$F$3,2,FALSE)</f>
        <v>16:00:00</v>
      </c>
      <c r="G67" s="52" t="str">
        <f>VLOOKUP($E67,[2]マスタ!$D$2:$F$3,3,FALSE)</f>
        <v>23:59:59</v>
      </c>
      <c r="H67" s="4" t="s">
        <v>18</v>
      </c>
      <c r="I67" s="4">
        <f>VLOOKUP(H67,マスタ!D:E,2,FALSE)</f>
        <v>1.5</v>
      </c>
      <c r="J67" s="4">
        <v>0</v>
      </c>
    </row>
    <row r="68" spans="1:10" ht="21" customHeight="1" x14ac:dyDescent="0.15">
      <c r="A68" s="67" t="str">
        <f t="shared" si="1"/>
        <v>19_tue_AM</v>
      </c>
      <c r="B68" s="4">
        <v>19</v>
      </c>
      <c r="C68" s="47" t="str">
        <f ca="1">VLOOKUP($B68,OFFSET(quests!$A$1,0,0,COUNTA(quests!$A:$A),MATCH(C$1,quests!$1:$1,0)-MATCH($B$1,quests!$1:$1,0)+1),MATCH(C$1,quests!$1:$1,0)-MATCH($B$1,quests!$1:$1,0)+1,FALSE)</f>
        <v>19．アレイスター王立図書館</v>
      </c>
      <c r="D68" s="4" t="s">
        <v>231</v>
      </c>
      <c r="E68" s="57" t="s">
        <v>0</v>
      </c>
      <c r="F68" s="52" t="str">
        <f>VLOOKUP($E68,[2]マスタ!$D$2:$F$3,2,FALSE)</f>
        <v>6:00:00</v>
      </c>
      <c r="G68" s="52" t="str">
        <f>VLOOKUP($E68,[2]マスタ!$D$2:$F$3,3,FALSE)</f>
        <v>13:59:59</v>
      </c>
      <c r="H68" s="4" t="s">
        <v>18</v>
      </c>
      <c r="I68" s="4">
        <f>VLOOKUP(H68,マスタ!D:E,2,FALSE)</f>
        <v>1.5</v>
      </c>
      <c r="J68" s="4">
        <v>0</v>
      </c>
    </row>
    <row r="69" spans="1:10" ht="21" customHeight="1" x14ac:dyDescent="0.15">
      <c r="A69" s="67" t="str">
        <f t="shared" si="1"/>
        <v>19_thu_AM</v>
      </c>
      <c r="B69" s="4">
        <v>19</v>
      </c>
      <c r="C69" s="47" t="str">
        <f ca="1">VLOOKUP($B69,OFFSET(quests!$A$1,0,0,COUNTA(quests!$A:$A),MATCH(C$1,quests!$1:$1,0)-MATCH($B$1,quests!$1:$1,0)+1),MATCH(C$1,quests!$1:$1,0)-MATCH($B$1,quests!$1:$1,0)+1,FALSE)</f>
        <v>19．アレイスター王立図書館</v>
      </c>
      <c r="D69" s="4" t="s">
        <v>232</v>
      </c>
      <c r="E69" s="57" t="s">
        <v>0</v>
      </c>
      <c r="F69" s="52" t="str">
        <f>VLOOKUP($E69,[2]マスタ!$D$2:$F$3,2,FALSE)</f>
        <v>6:00:00</v>
      </c>
      <c r="G69" s="52" t="str">
        <f>VLOOKUP($E69,[2]マスタ!$D$2:$F$3,3,FALSE)</f>
        <v>13:59:59</v>
      </c>
      <c r="H69" s="4" t="s">
        <v>18</v>
      </c>
      <c r="I69" s="4">
        <f>VLOOKUP(H69,マスタ!D:E,2,FALSE)</f>
        <v>1.5</v>
      </c>
      <c r="J69" s="4">
        <v>0</v>
      </c>
    </row>
    <row r="70" spans="1:10" ht="21" customHeight="1" x14ac:dyDescent="0.15">
      <c r="A70" s="67" t="str">
        <f t="shared" si="1"/>
        <v>19_sat_AM</v>
      </c>
      <c r="B70" s="4">
        <v>19</v>
      </c>
      <c r="C70" s="47" t="str">
        <f ca="1">VLOOKUP($B70,OFFSET(quests!$A$1,0,0,COUNTA(quests!$A:$A),MATCH(C$1,quests!$1:$1,0)-MATCH($B$1,quests!$1:$1,0)+1),MATCH(C$1,quests!$1:$1,0)-MATCH($B$1,quests!$1:$1,0)+1,FALSE)</f>
        <v>19．アレイスター王立図書館</v>
      </c>
      <c r="D70" s="4" t="s">
        <v>233</v>
      </c>
      <c r="E70" s="57" t="s">
        <v>0</v>
      </c>
      <c r="F70" s="52" t="str">
        <f>VLOOKUP($E70,[2]マスタ!$D$2:$F$3,2,FALSE)</f>
        <v>6:00:00</v>
      </c>
      <c r="G70" s="52" t="str">
        <f>VLOOKUP($E70,[2]マスタ!$D$2:$F$3,3,FALSE)</f>
        <v>13:59:59</v>
      </c>
      <c r="H70" s="4" t="s">
        <v>18</v>
      </c>
      <c r="I70" s="4">
        <f>VLOOKUP(H70,マスタ!D:E,2,FALSE)</f>
        <v>1.5</v>
      </c>
      <c r="J70" s="4">
        <v>0</v>
      </c>
    </row>
    <row r="71" spans="1:10" ht="21" customHeight="1" x14ac:dyDescent="0.15">
      <c r="A71" s="67" t="str">
        <f t="shared" si="1"/>
        <v>20_tue_PM</v>
      </c>
      <c r="B71" s="4">
        <v>20</v>
      </c>
      <c r="C71" s="47" t="str">
        <f ca="1">VLOOKUP($B71,OFFSET(quests!$A$1,0,0,COUNTA(quests!$A:$A),MATCH(C$1,quests!$1:$1,0)-MATCH($B$1,quests!$1:$1,0)+1),MATCH(C$1,quests!$1:$1,0)-MATCH($B$1,quests!$1:$1,0)+1,FALSE)</f>
        <v>20．コロシアム</v>
      </c>
      <c r="D71" s="4" t="s">
        <v>231</v>
      </c>
      <c r="E71" s="57" t="s">
        <v>1</v>
      </c>
      <c r="F71" s="52" t="str">
        <f>VLOOKUP($E71,[2]マスタ!$D$2:$F$3,2,FALSE)</f>
        <v>16:00:00</v>
      </c>
      <c r="G71" s="52" t="str">
        <f>VLOOKUP($E71,[2]マスタ!$D$2:$F$3,3,FALSE)</f>
        <v>23:59:59</v>
      </c>
      <c r="H71" s="4" t="s">
        <v>18</v>
      </c>
      <c r="I71" s="4">
        <f>VLOOKUP(H71,マスタ!D:E,2,FALSE)</f>
        <v>1.5</v>
      </c>
      <c r="J71" s="4">
        <v>0</v>
      </c>
    </row>
    <row r="72" spans="1:10" ht="21" customHeight="1" x14ac:dyDescent="0.15">
      <c r="A72" s="67" t="str">
        <f t="shared" si="1"/>
        <v>20_thu_PM</v>
      </c>
      <c r="B72" s="4">
        <v>20</v>
      </c>
      <c r="C72" s="47" t="str">
        <f ca="1">VLOOKUP($B72,OFFSET(quests!$A$1,0,0,COUNTA(quests!$A:$A),MATCH(C$1,quests!$1:$1,0)-MATCH($B$1,quests!$1:$1,0)+1),MATCH(C$1,quests!$1:$1,0)-MATCH($B$1,quests!$1:$1,0)+1,FALSE)</f>
        <v>20．コロシアム</v>
      </c>
      <c r="D72" s="4" t="s">
        <v>232</v>
      </c>
      <c r="E72" s="57" t="s">
        <v>1</v>
      </c>
      <c r="F72" s="52" t="str">
        <f>VLOOKUP($E72,[2]マスタ!$D$2:$F$3,2,FALSE)</f>
        <v>16:00:00</v>
      </c>
      <c r="G72" s="52" t="str">
        <f>VLOOKUP($E72,[2]マスタ!$D$2:$F$3,3,FALSE)</f>
        <v>23:59:59</v>
      </c>
      <c r="H72" s="4" t="s">
        <v>18</v>
      </c>
      <c r="I72" s="4">
        <f>VLOOKUP(H72,マスタ!D:E,2,FALSE)</f>
        <v>1.5</v>
      </c>
      <c r="J72" s="4">
        <v>0</v>
      </c>
    </row>
    <row r="73" spans="1:10" ht="21" customHeight="1" x14ac:dyDescent="0.15">
      <c r="A73" s="67" t="str">
        <f t="shared" si="1"/>
        <v>20_sat_PM</v>
      </c>
      <c r="B73" s="4">
        <v>20</v>
      </c>
      <c r="C73" s="47" t="str">
        <f ca="1">VLOOKUP($B73,OFFSET(quests!$A$1,0,0,COUNTA(quests!$A:$A),MATCH(C$1,quests!$1:$1,0)-MATCH($B$1,quests!$1:$1,0)+1),MATCH(C$1,quests!$1:$1,0)-MATCH($B$1,quests!$1:$1,0)+1,FALSE)</f>
        <v>20．コロシアム</v>
      </c>
      <c r="D73" s="4" t="s">
        <v>233</v>
      </c>
      <c r="E73" s="57" t="s">
        <v>1</v>
      </c>
      <c r="F73" s="52" t="str">
        <f>VLOOKUP($E73,[2]マスタ!$D$2:$F$3,2,FALSE)</f>
        <v>16:00:00</v>
      </c>
      <c r="G73" s="52" t="str">
        <f>VLOOKUP($E73,[2]マスタ!$D$2:$F$3,3,FALSE)</f>
        <v>23:59:59</v>
      </c>
      <c r="H73" s="4" t="s">
        <v>18</v>
      </c>
      <c r="I73" s="4">
        <f>VLOOKUP(H73,マスタ!D:E,2,FALSE)</f>
        <v>1.5</v>
      </c>
      <c r="J73" s="4">
        <v>0</v>
      </c>
    </row>
    <row r="74" spans="1:10" ht="21" customHeight="1" x14ac:dyDescent="0.15">
      <c r="A74" s="67" t="str">
        <f t="shared" si="1"/>
        <v>21_tue_AM</v>
      </c>
      <c r="B74" s="4">
        <v>21</v>
      </c>
      <c r="C74" s="47" t="str">
        <f ca="1">VLOOKUP($B74,OFFSET(quests!$A$1,0,0,COUNTA(quests!$A:$A),MATCH(C$1,quests!$1:$1,0)-MATCH($B$1,quests!$1:$1,0)+1),MATCH(C$1,quests!$1:$1,0)-MATCH($B$1,quests!$1:$1,0)+1,FALSE)</f>
        <v>21．胡蝶舞う植物園</v>
      </c>
      <c r="D74" s="4" t="s">
        <v>231</v>
      </c>
      <c r="E74" s="57" t="s">
        <v>0</v>
      </c>
      <c r="F74" s="52" t="str">
        <f>VLOOKUP($E74,[2]マスタ!$D$2:$F$3,2,FALSE)</f>
        <v>6:00:00</v>
      </c>
      <c r="G74" s="52" t="str">
        <f>VLOOKUP($E74,[2]マスタ!$D$2:$F$3,3,FALSE)</f>
        <v>13:59:59</v>
      </c>
      <c r="H74" s="4" t="s">
        <v>234</v>
      </c>
      <c r="I74" s="4">
        <f>VLOOKUP(H74,マスタ!D:E,2,FALSE)</f>
        <v>2</v>
      </c>
      <c r="J74" s="4">
        <v>0</v>
      </c>
    </row>
    <row r="75" spans="1:10" ht="21" customHeight="1" x14ac:dyDescent="0.15">
      <c r="A75" s="67" t="str">
        <f t="shared" si="1"/>
        <v>21_tue_PM</v>
      </c>
      <c r="B75" s="4">
        <v>21</v>
      </c>
      <c r="C75" s="47" t="str">
        <f ca="1">VLOOKUP($B75,OFFSET(quests!$A$1,0,0,COUNTA(quests!$A:$A),MATCH(C$1,quests!$1:$1,0)-MATCH($B$1,quests!$1:$1,0)+1),MATCH(C$1,quests!$1:$1,0)-MATCH($B$1,quests!$1:$1,0)+1,FALSE)</f>
        <v>21．胡蝶舞う植物園</v>
      </c>
      <c r="D75" s="4" t="s">
        <v>231</v>
      </c>
      <c r="E75" s="57" t="s">
        <v>1</v>
      </c>
      <c r="F75" s="52" t="str">
        <f>VLOOKUP($E75,[2]マスタ!$D$2:$F$3,2,FALSE)</f>
        <v>16:00:00</v>
      </c>
      <c r="G75" s="52" t="str">
        <f>VLOOKUP($E75,[2]マスタ!$D$2:$F$3,3,FALSE)</f>
        <v>23:59:59</v>
      </c>
      <c r="H75" s="4" t="s">
        <v>234</v>
      </c>
      <c r="I75" s="4">
        <f>VLOOKUP(H75,マスタ!D:E,2,FALSE)</f>
        <v>2</v>
      </c>
      <c r="J75" s="4">
        <v>0</v>
      </c>
    </row>
    <row r="76" spans="1:10" ht="21" customHeight="1" x14ac:dyDescent="0.15">
      <c r="A76" s="67" t="str">
        <f t="shared" si="1"/>
        <v>21_thu_AM</v>
      </c>
      <c r="B76" s="4">
        <v>21</v>
      </c>
      <c r="C76" s="47" t="str">
        <f ca="1">VLOOKUP($B76,OFFSET(quests!$A$1,0,0,COUNTA(quests!$A:$A),MATCH(C$1,quests!$1:$1,0)-MATCH($B$1,quests!$1:$1,0)+1),MATCH(C$1,quests!$1:$1,0)-MATCH($B$1,quests!$1:$1,0)+1,FALSE)</f>
        <v>21．胡蝶舞う植物園</v>
      </c>
      <c r="D76" s="4" t="s">
        <v>232</v>
      </c>
      <c r="E76" s="57" t="s">
        <v>0</v>
      </c>
      <c r="F76" s="52" t="str">
        <f>VLOOKUP($E76,[2]マスタ!$D$2:$F$3,2,FALSE)</f>
        <v>6:00:00</v>
      </c>
      <c r="G76" s="52" t="str">
        <f>VLOOKUP($E76,[2]マスタ!$D$2:$F$3,3,FALSE)</f>
        <v>13:59:59</v>
      </c>
      <c r="H76" s="4" t="s">
        <v>234</v>
      </c>
      <c r="I76" s="4">
        <f>VLOOKUP(H76,マスタ!D:E,2,FALSE)</f>
        <v>2</v>
      </c>
      <c r="J76" s="4">
        <v>0</v>
      </c>
    </row>
    <row r="77" spans="1:10" ht="21" customHeight="1" x14ac:dyDescent="0.15">
      <c r="A77" s="67" t="str">
        <f t="shared" si="1"/>
        <v>21_thu_PM</v>
      </c>
      <c r="B77" s="4">
        <v>21</v>
      </c>
      <c r="C77" s="47" t="str">
        <f ca="1">VLOOKUP($B77,OFFSET(quests!$A$1,0,0,COUNTA(quests!$A:$A),MATCH(C$1,quests!$1:$1,0)-MATCH($B$1,quests!$1:$1,0)+1),MATCH(C$1,quests!$1:$1,0)-MATCH($B$1,quests!$1:$1,0)+1,FALSE)</f>
        <v>21．胡蝶舞う植物園</v>
      </c>
      <c r="D77" s="4" t="s">
        <v>232</v>
      </c>
      <c r="E77" s="57" t="s">
        <v>1</v>
      </c>
      <c r="F77" s="52" t="str">
        <f>VLOOKUP($E77,[2]マスタ!$D$2:$F$3,2,FALSE)</f>
        <v>16:00:00</v>
      </c>
      <c r="G77" s="52" t="str">
        <f>VLOOKUP($E77,[2]マスタ!$D$2:$F$3,3,FALSE)</f>
        <v>23:59:59</v>
      </c>
      <c r="H77" s="4" t="s">
        <v>234</v>
      </c>
      <c r="I77" s="4">
        <f>VLOOKUP(H77,マスタ!D:E,2,FALSE)</f>
        <v>2</v>
      </c>
      <c r="J77" s="4">
        <v>0</v>
      </c>
    </row>
    <row r="78" spans="1:10" ht="21" customHeight="1" x14ac:dyDescent="0.15">
      <c r="A78" s="67" t="str">
        <f t="shared" si="1"/>
        <v>21_sun_AM</v>
      </c>
      <c r="B78" s="4">
        <v>21</v>
      </c>
      <c r="C78" s="47" t="str">
        <f ca="1">VLOOKUP($B78,OFFSET(quests!$A$1,0,0,COUNTA(quests!$A:$A),MATCH(C$1,quests!$1:$1,0)-MATCH($B$1,quests!$1:$1,0)+1),MATCH(C$1,quests!$1:$1,0)-MATCH($B$1,quests!$1:$1,0)+1,FALSE)</f>
        <v>21．胡蝶舞う植物園</v>
      </c>
      <c r="D78" s="4" t="s">
        <v>228</v>
      </c>
      <c r="E78" s="57" t="s">
        <v>0</v>
      </c>
      <c r="F78" s="52" t="str">
        <f>VLOOKUP($E78,[2]マスタ!$D$2:$F$3,2,FALSE)</f>
        <v>6:00:00</v>
      </c>
      <c r="G78" s="52" t="str">
        <f>VLOOKUP($E78,[2]マスタ!$D$2:$F$3,3,FALSE)</f>
        <v>13:59:59</v>
      </c>
      <c r="H78" s="4" t="s">
        <v>18</v>
      </c>
      <c r="I78" s="4">
        <f>VLOOKUP(H78,マスタ!D:E,2,FALSE)</f>
        <v>1.5</v>
      </c>
      <c r="J78" s="4">
        <v>0</v>
      </c>
    </row>
    <row r="79" spans="1:10" ht="21" customHeight="1" x14ac:dyDescent="0.15">
      <c r="A79" s="67" t="str">
        <f t="shared" si="1"/>
        <v>21_sun_PM</v>
      </c>
      <c r="B79" s="4">
        <v>21</v>
      </c>
      <c r="C79" s="47" t="str">
        <f ca="1">VLOOKUP($B79,OFFSET(quests!$A$1,0,0,COUNTA(quests!$A:$A),MATCH(C$1,quests!$1:$1,0)-MATCH($B$1,quests!$1:$1,0)+1),MATCH(C$1,quests!$1:$1,0)-MATCH($B$1,quests!$1:$1,0)+1,FALSE)</f>
        <v>21．胡蝶舞う植物園</v>
      </c>
      <c r="D79" s="4" t="s">
        <v>228</v>
      </c>
      <c r="E79" s="57" t="s">
        <v>1</v>
      </c>
      <c r="F79" s="52" t="str">
        <f>VLOOKUP($E79,[2]マスタ!$D$2:$F$3,2,FALSE)</f>
        <v>16:00:00</v>
      </c>
      <c r="G79" s="52" t="str">
        <f>VLOOKUP($E79,[2]マスタ!$D$2:$F$3,3,FALSE)</f>
        <v>23:59:59</v>
      </c>
      <c r="H79" s="4" t="s">
        <v>18</v>
      </c>
      <c r="I79" s="4">
        <f>VLOOKUP(H79,マスタ!D:E,2,FALSE)</f>
        <v>1.5</v>
      </c>
      <c r="J79" s="4">
        <v>0</v>
      </c>
    </row>
    <row r="80" spans="1:10" ht="21" customHeight="1" x14ac:dyDescent="0.15">
      <c r="A80" s="67" t="str">
        <f t="shared" si="1"/>
        <v>22_mon_AM</v>
      </c>
      <c r="B80" s="4">
        <v>22</v>
      </c>
      <c r="C80" s="47" t="str">
        <f ca="1">VLOOKUP($B80,OFFSET(quests!$A$1,0,0,COUNTA(quests!$A:$A),MATCH(C$1,quests!$1:$1,0)-MATCH($B$1,quests!$1:$1,0)+1),MATCH(C$1,quests!$1:$1,0)-MATCH($B$1,quests!$1:$1,0)+1,FALSE)</f>
        <v>22．紫炎の例大祭</v>
      </c>
      <c r="D80" s="4" t="s">
        <v>39</v>
      </c>
      <c r="E80" s="57" t="s">
        <v>0</v>
      </c>
      <c r="F80" s="52" t="str">
        <f>VLOOKUP($E80,[2]マスタ!$D$2:$F$3,2,FALSE)</f>
        <v>6:00:00</v>
      </c>
      <c r="G80" s="52" t="str">
        <f>VLOOKUP($E80,[2]マスタ!$D$2:$F$3,3,FALSE)</f>
        <v>13:59:59</v>
      </c>
      <c r="H80" s="4" t="s">
        <v>18</v>
      </c>
      <c r="I80" s="4">
        <f>VLOOKUP(H80,マスタ!D:E,2,FALSE)</f>
        <v>1.5</v>
      </c>
      <c r="J80" s="4">
        <v>0</v>
      </c>
    </row>
    <row r="81" spans="1:10" ht="21" customHeight="1" x14ac:dyDescent="0.15">
      <c r="A81" s="67" t="str">
        <f t="shared" si="1"/>
        <v>22_wed_AM</v>
      </c>
      <c r="B81" s="4">
        <v>22</v>
      </c>
      <c r="C81" s="47" t="str">
        <f ca="1">VLOOKUP($B81,OFFSET(quests!$A$1,0,0,COUNTA(quests!$A:$A),MATCH(C$1,quests!$1:$1,0)-MATCH($B$1,quests!$1:$1,0)+1),MATCH(C$1,quests!$1:$1,0)-MATCH($B$1,quests!$1:$1,0)+1,FALSE)</f>
        <v>22．紫炎の例大祭</v>
      </c>
      <c r="D81" s="4" t="s">
        <v>40</v>
      </c>
      <c r="E81" s="57" t="s">
        <v>0</v>
      </c>
      <c r="F81" s="52" t="str">
        <f>VLOOKUP($E81,[2]マスタ!$D$2:$F$3,2,FALSE)</f>
        <v>6:00:00</v>
      </c>
      <c r="G81" s="52" t="str">
        <f>VLOOKUP($E81,[2]マスタ!$D$2:$F$3,3,FALSE)</f>
        <v>13:59:59</v>
      </c>
      <c r="H81" s="4" t="s">
        <v>18</v>
      </c>
      <c r="I81" s="4">
        <f>VLOOKUP(H81,マスタ!D:E,2,FALSE)</f>
        <v>1.5</v>
      </c>
      <c r="J81" s="4">
        <v>0</v>
      </c>
    </row>
    <row r="82" spans="1:10" ht="21" customHeight="1" x14ac:dyDescent="0.15">
      <c r="A82" s="67" t="str">
        <f t="shared" si="1"/>
        <v>22_thu_AM</v>
      </c>
      <c r="B82" s="4">
        <v>22</v>
      </c>
      <c r="C82" s="47" t="str">
        <f ca="1">VLOOKUP($B82,OFFSET(quests!$A$1,0,0,COUNTA(quests!$A:$A),MATCH(C$1,quests!$1:$1,0)-MATCH($B$1,quests!$1:$1,0)+1),MATCH(C$1,quests!$1:$1,0)-MATCH($B$1,quests!$1:$1,0)+1,FALSE)</f>
        <v>22．紫炎の例大祭</v>
      </c>
      <c r="D82" s="4" t="s">
        <v>229</v>
      </c>
      <c r="E82" s="57" t="s">
        <v>0</v>
      </c>
      <c r="F82" s="52" t="str">
        <f>VLOOKUP($E82,[2]マスタ!$D$2:$F$3,2,FALSE)</f>
        <v>6:00:00</v>
      </c>
      <c r="G82" s="52" t="str">
        <f>VLOOKUP($E82,[2]マスタ!$D$2:$F$3,3,FALSE)</f>
        <v>13:59:59</v>
      </c>
      <c r="H82" s="4" t="s">
        <v>18</v>
      </c>
      <c r="I82" s="4">
        <f>VLOOKUP(H82,マスタ!D:E,2,FALSE)</f>
        <v>1.5</v>
      </c>
      <c r="J82" s="4">
        <v>0</v>
      </c>
    </row>
    <row r="83" spans="1:10" ht="21" customHeight="1" x14ac:dyDescent="0.15">
      <c r="A83" s="67" t="str">
        <f t="shared" si="1"/>
        <v>23_mon_PM</v>
      </c>
      <c r="B83" s="4">
        <v>23</v>
      </c>
      <c r="C83" s="47" t="str">
        <f ca="1">VLOOKUP($B83,OFFSET(quests!$A$1,0,0,COUNTA(quests!$A:$A),MATCH(C$1,quests!$1:$1,0)-MATCH($B$1,quests!$1:$1,0)+1),MATCH(C$1,quests!$1:$1,0)-MATCH($B$1,quests!$1:$1,0)+1,FALSE)</f>
        <v>23．ファングフォレスト</v>
      </c>
      <c r="D83" s="4" t="s">
        <v>39</v>
      </c>
      <c r="E83" s="57" t="s">
        <v>230</v>
      </c>
      <c r="F83" s="52" t="str">
        <f>VLOOKUP($E83,[2]マスタ!$D$2:$F$3,2,FALSE)</f>
        <v>16:00:00</v>
      </c>
      <c r="G83" s="52" t="str">
        <f>VLOOKUP($E83,[2]マスタ!$D$2:$F$3,3,FALSE)</f>
        <v>23:59:59</v>
      </c>
      <c r="H83" s="4" t="s">
        <v>18</v>
      </c>
      <c r="I83" s="4">
        <f>VLOOKUP(H83,マスタ!D:E,2,FALSE)</f>
        <v>1.5</v>
      </c>
      <c r="J83" s="4">
        <v>0</v>
      </c>
    </row>
    <row r="84" spans="1:10" ht="21" customHeight="1" x14ac:dyDescent="0.15">
      <c r="A84" s="67" t="str">
        <f t="shared" si="1"/>
        <v>23_wed_PM</v>
      </c>
      <c r="B84" s="4">
        <v>23</v>
      </c>
      <c r="C84" s="47" t="str">
        <f ca="1">VLOOKUP($B84,OFFSET(quests!$A$1,0,0,COUNTA(quests!$A:$A),MATCH(C$1,quests!$1:$1,0)-MATCH($B$1,quests!$1:$1,0)+1),MATCH(C$1,quests!$1:$1,0)-MATCH($B$1,quests!$1:$1,0)+1,FALSE)</f>
        <v>23．ファングフォレスト</v>
      </c>
      <c r="D84" s="4" t="s">
        <v>40</v>
      </c>
      <c r="E84" s="57" t="s">
        <v>230</v>
      </c>
      <c r="F84" s="52" t="str">
        <f>VLOOKUP($E84,[2]マスタ!$D$2:$F$3,2,FALSE)</f>
        <v>16:00:00</v>
      </c>
      <c r="G84" s="52" t="str">
        <f>VLOOKUP($E84,[2]マスタ!$D$2:$F$3,3,FALSE)</f>
        <v>23:59:59</v>
      </c>
      <c r="H84" s="4" t="s">
        <v>18</v>
      </c>
      <c r="I84" s="4">
        <f>VLOOKUP(H84,マスタ!D:E,2,FALSE)</f>
        <v>1.5</v>
      </c>
      <c r="J84" s="4">
        <v>0</v>
      </c>
    </row>
    <row r="85" spans="1:10" ht="21" customHeight="1" x14ac:dyDescent="0.15">
      <c r="A85" s="67" t="str">
        <f t="shared" si="1"/>
        <v>23_thu_PM</v>
      </c>
      <c r="B85" s="4">
        <v>23</v>
      </c>
      <c r="C85" s="47" t="str">
        <f ca="1">VLOOKUP($B85,OFFSET(quests!$A$1,0,0,COUNTA(quests!$A:$A),MATCH(C$1,quests!$1:$1,0)-MATCH($B$1,quests!$1:$1,0)+1),MATCH(C$1,quests!$1:$1,0)-MATCH($B$1,quests!$1:$1,0)+1,FALSE)</f>
        <v>23．ファングフォレスト</v>
      </c>
      <c r="D85" s="4" t="s">
        <v>229</v>
      </c>
      <c r="E85" s="57" t="s">
        <v>230</v>
      </c>
      <c r="F85" s="52" t="str">
        <f>VLOOKUP($E85,[2]マスタ!$D$2:$F$3,2,FALSE)</f>
        <v>16:00:00</v>
      </c>
      <c r="G85" s="52" t="str">
        <f>VLOOKUP($E85,[2]マスタ!$D$2:$F$3,3,FALSE)</f>
        <v>23:59:59</v>
      </c>
      <c r="H85" s="4" t="s">
        <v>18</v>
      </c>
      <c r="I85" s="4">
        <f>VLOOKUP(H85,マスタ!D:E,2,FALSE)</f>
        <v>1.5</v>
      </c>
      <c r="J85" s="4">
        <v>0</v>
      </c>
    </row>
    <row r="86" spans="1:10" ht="21" customHeight="1" x14ac:dyDescent="0.15">
      <c r="A86" s="67" t="str">
        <f t="shared" si="1"/>
        <v>24_tue_AM</v>
      </c>
      <c r="B86" s="4">
        <v>24</v>
      </c>
      <c r="C86" s="47" t="str">
        <f ca="1">VLOOKUP($B86,OFFSET(quests!$A$1,0,0,COUNTA(quests!$A:$A),MATCH(C$1,quests!$1:$1,0)-MATCH($B$1,quests!$1:$1,0)+1),MATCH(C$1,quests!$1:$1,0)-MATCH($B$1,quests!$1:$1,0)+1,FALSE)</f>
        <v>24．バトルフィールドヘヴン</v>
      </c>
      <c r="D86" s="4" t="s">
        <v>231</v>
      </c>
      <c r="E86" s="57" t="s">
        <v>0</v>
      </c>
      <c r="F86" s="52" t="str">
        <f>VLOOKUP($E86,[2]マスタ!$D$2:$F$3,2,FALSE)</f>
        <v>6:00:00</v>
      </c>
      <c r="G86" s="52" t="str">
        <f>VLOOKUP($E86,[2]マスタ!$D$2:$F$3,3,FALSE)</f>
        <v>13:59:59</v>
      </c>
      <c r="H86" s="4" t="s">
        <v>18</v>
      </c>
      <c r="I86" s="4">
        <f>VLOOKUP(H86,マスタ!D:E,2,FALSE)</f>
        <v>1.5</v>
      </c>
      <c r="J86" s="4">
        <v>0</v>
      </c>
    </row>
    <row r="87" spans="1:10" ht="21" customHeight="1" x14ac:dyDescent="0.15">
      <c r="A87" s="67" t="str">
        <f t="shared" si="1"/>
        <v>24_thu_AM</v>
      </c>
      <c r="B87" s="4">
        <v>24</v>
      </c>
      <c r="C87" s="47" t="str">
        <f ca="1">VLOOKUP($B87,OFFSET(quests!$A$1,0,0,COUNTA(quests!$A:$A),MATCH(C$1,quests!$1:$1,0)-MATCH($B$1,quests!$1:$1,0)+1),MATCH(C$1,quests!$1:$1,0)-MATCH($B$1,quests!$1:$1,0)+1,FALSE)</f>
        <v>24．バトルフィールドヘヴン</v>
      </c>
      <c r="D87" s="4" t="s">
        <v>232</v>
      </c>
      <c r="E87" s="57" t="s">
        <v>0</v>
      </c>
      <c r="F87" s="52" t="str">
        <f>VLOOKUP($E87,[2]マスタ!$D$2:$F$3,2,FALSE)</f>
        <v>6:00:00</v>
      </c>
      <c r="G87" s="52" t="str">
        <f>VLOOKUP($E87,[2]マスタ!$D$2:$F$3,3,FALSE)</f>
        <v>13:59:59</v>
      </c>
      <c r="H87" s="4" t="s">
        <v>18</v>
      </c>
      <c r="I87" s="4">
        <f>VLOOKUP(H87,マスタ!D:E,2,FALSE)</f>
        <v>1.5</v>
      </c>
      <c r="J87" s="4">
        <v>0</v>
      </c>
    </row>
    <row r="88" spans="1:10" ht="21" customHeight="1" x14ac:dyDescent="0.15">
      <c r="A88" s="67" t="str">
        <f t="shared" si="1"/>
        <v>24_sat_AM</v>
      </c>
      <c r="B88" s="4">
        <v>24</v>
      </c>
      <c r="C88" s="47" t="str">
        <f ca="1">VLOOKUP($B88,OFFSET(quests!$A$1,0,0,COUNTA(quests!$A:$A),MATCH(C$1,quests!$1:$1,0)-MATCH($B$1,quests!$1:$1,0)+1),MATCH(C$1,quests!$1:$1,0)-MATCH($B$1,quests!$1:$1,0)+1,FALSE)</f>
        <v>24．バトルフィールドヘヴン</v>
      </c>
      <c r="D88" s="4" t="s">
        <v>233</v>
      </c>
      <c r="E88" s="57" t="s">
        <v>0</v>
      </c>
      <c r="F88" s="52" t="str">
        <f>VLOOKUP($E88,[2]マスタ!$D$2:$F$3,2,FALSE)</f>
        <v>6:00:00</v>
      </c>
      <c r="G88" s="52" t="str">
        <f>VLOOKUP($E88,[2]マスタ!$D$2:$F$3,3,FALSE)</f>
        <v>13:59:59</v>
      </c>
      <c r="H88" s="4" t="s">
        <v>18</v>
      </c>
      <c r="I88" s="4">
        <f>VLOOKUP(H88,マスタ!D:E,2,FALSE)</f>
        <v>1.5</v>
      </c>
      <c r="J88" s="4">
        <v>0</v>
      </c>
    </row>
    <row r="89" spans="1:10" ht="21" customHeight="1" x14ac:dyDescent="0.15">
      <c r="A89" s="67" t="str">
        <f t="shared" si="1"/>
        <v>25_tue_PM</v>
      </c>
      <c r="B89" s="4">
        <v>25</v>
      </c>
      <c r="C89" s="47" t="str">
        <f ca="1">VLOOKUP($B89,OFFSET(quests!$A$1,0,0,COUNTA(quests!$A:$A),MATCH(C$1,quests!$1:$1,0)-MATCH($B$1,quests!$1:$1,0)+1),MATCH(C$1,quests!$1:$1,0)-MATCH($B$1,quests!$1:$1,0)+1,FALSE)</f>
        <v>25．サディスティックパーティ</v>
      </c>
      <c r="D89" s="4" t="s">
        <v>231</v>
      </c>
      <c r="E89" s="57" t="s">
        <v>1</v>
      </c>
      <c r="F89" s="52" t="str">
        <f>VLOOKUP($E89,[2]マスタ!$D$2:$F$3,2,FALSE)</f>
        <v>16:00:00</v>
      </c>
      <c r="G89" s="52" t="str">
        <f>VLOOKUP($E89,[2]マスタ!$D$2:$F$3,3,FALSE)</f>
        <v>23:59:59</v>
      </c>
      <c r="H89" s="4" t="s">
        <v>18</v>
      </c>
      <c r="I89" s="4">
        <f>VLOOKUP(H89,マスタ!D:E,2,FALSE)</f>
        <v>1.5</v>
      </c>
      <c r="J89" s="4">
        <v>0</v>
      </c>
    </row>
    <row r="90" spans="1:10" ht="21" customHeight="1" x14ac:dyDescent="0.15">
      <c r="A90" s="67" t="str">
        <f t="shared" si="1"/>
        <v>25_thu_PM</v>
      </c>
      <c r="B90" s="4">
        <v>25</v>
      </c>
      <c r="C90" s="47" t="str">
        <f ca="1">VLOOKUP($B90,OFFSET(quests!$A$1,0,0,COUNTA(quests!$A:$A),MATCH(C$1,quests!$1:$1,0)-MATCH($B$1,quests!$1:$1,0)+1),MATCH(C$1,quests!$1:$1,0)-MATCH($B$1,quests!$1:$1,0)+1,FALSE)</f>
        <v>25．サディスティックパーティ</v>
      </c>
      <c r="D90" s="4" t="s">
        <v>232</v>
      </c>
      <c r="E90" s="57" t="s">
        <v>1</v>
      </c>
      <c r="F90" s="52" t="str">
        <f>VLOOKUP($E90,[2]マスタ!$D$2:$F$3,2,FALSE)</f>
        <v>16:00:00</v>
      </c>
      <c r="G90" s="52" t="str">
        <f>VLOOKUP($E90,[2]マスタ!$D$2:$F$3,3,FALSE)</f>
        <v>23:59:59</v>
      </c>
      <c r="H90" s="4" t="s">
        <v>18</v>
      </c>
      <c r="I90" s="4">
        <f>VLOOKUP(H90,マスタ!D:E,2,FALSE)</f>
        <v>1.5</v>
      </c>
      <c r="J90" s="4">
        <v>0</v>
      </c>
    </row>
    <row r="91" spans="1:10" ht="21" customHeight="1" x14ac:dyDescent="0.15">
      <c r="A91" s="67" t="str">
        <f t="shared" si="1"/>
        <v>25_sat_PM</v>
      </c>
      <c r="B91" s="4">
        <v>25</v>
      </c>
      <c r="C91" s="47" t="str">
        <f ca="1">VLOOKUP($B91,OFFSET(quests!$A$1,0,0,COUNTA(quests!$A:$A),MATCH(C$1,quests!$1:$1,0)-MATCH($B$1,quests!$1:$1,0)+1),MATCH(C$1,quests!$1:$1,0)-MATCH($B$1,quests!$1:$1,0)+1,FALSE)</f>
        <v>25．サディスティックパーティ</v>
      </c>
      <c r="D91" s="4" t="s">
        <v>233</v>
      </c>
      <c r="E91" s="57" t="s">
        <v>1</v>
      </c>
      <c r="F91" s="52" t="str">
        <f>VLOOKUP($E91,[2]マスタ!$D$2:$F$3,2,FALSE)</f>
        <v>16:00:00</v>
      </c>
      <c r="G91" s="52" t="str">
        <f>VLOOKUP($E91,[2]マスタ!$D$2:$F$3,3,FALSE)</f>
        <v>23:59:59</v>
      </c>
      <c r="H91" s="4" t="s">
        <v>18</v>
      </c>
      <c r="I91" s="4">
        <f>VLOOKUP(H91,マスタ!D:E,2,FALSE)</f>
        <v>1.5</v>
      </c>
      <c r="J91" s="4">
        <v>0</v>
      </c>
    </row>
    <row r="92" spans="1:10" ht="21" customHeight="1" x14ac:dyDescent="0.15">
      <c r="A92" s="67" t="str">
        <f t="shared" si="1"/>
        <v>26_tue_AM</v>
      </c>
      <c r="B92" s="4">
        <v>26</v>
      </c>
      <c r="C92" s="47" t="str">
        <f ca="1">VLOOKUP($B92,OFFSET(quests!$A$1,0,0,COUNTA(quests!$A:$A),MATCH(C$1,quests!$1:$1,0)-MATCH($B$1,quests!$1:$1,0)+1),MATCH(C$1,quests!$1:$1,0)-MATCH($B$1,quests!$1:$1,0)+1,FALSE)</f>
        <v>26．クラブ クラッシュビーツ</v>
      </c>
      <c r="D92" s="4" t="s">
        <v>231</v>
      </c>
      <c r="E92" s="57" t="s">
        <v>0</v>
      </c>
      <c r="F92" s="52" t="str">
        <f>VLOOKUP($E92,[2]マスタ!$D$2:$F$3,2,FALSE)</f>
        <v>6:00:00</v>
      </c>
      <c r="G92" s="52" t="str">
        <f>VLOOKUP($E92,[2]マスタ!$D$2:$F$3,3,FALSE)</f>
        <v>13:59:59</v>
      </c>
      <c r="H92" s="4" t="s">
        <v>234</v>
      </c>
      <c r="I92" s="4">
        <f>VLOOKUP(H92,マスタ!D:E,2,FALSE)</f>
        <v>2</v>
      </c>
      <c r="J92" s="4">
        <v>0</v>
      </c>
    </row>
    <row r="93" spans="1:10" ht="21" customHeight="1" x14ac:dyDescent="0.15">
      <c r="A93" s="67" t="str">
        <f t="shared" si="1"/>
        <v>26_tue_PM</v>
      </c>
      <c r="B93" s="4">
        <v>26</v>
      </c>
      <c r="C93" s="47" t="str">
        <f ca="1">VLOOKUP($B93,OFFSET(quests!$A$1,0,0,COUNTA(quests!$A:$A),MATCH(C$1,quests!$1:$1,0)-MATCH($B$1,quests!$1:$1,0)+1),MATCH(C$1,quests!$1:$1,0)-MATCH($B$1,quests!$1:$1,0)+1,FALSE)</f>
        <v>26．クラブ クラッシュビーツ</v>
      </c>
      <c r="D93" s="4" t="s">
        <v>231</v>
      </c>
      <c r="E93" s="57" t="s">
        <v>1</v>
      </c>
      <c r="F93" s="52" t="str">
        <f>VLOOKUP($E93,[2]マスタ!$D$2:$F$3,2,FALSE)</f>
        <v>16:00:00</v>
      </c>
      <c r="G93" s="52" t="str">
        <f>VLOOKUP($E93,[2]マスタ!$D$2:$F$3,3,FALSE)</f>
        <v>23:59:59</v>
      </c>
      <c r="H93" s="4" t="s">
        <v>234</v>
      </c>
      <c r="I93" s="4">
        <f>VLOOKUP(H93,マスタ!D:E,2,FALSE)</f>
        <v>2</v>
      </c>
      <c r="J93" s="4">
        <v>0</v>
      </c>
    </row>
    <row r="94" spans="1:10" ht="21" customHeight="1" x14ac:dyDescent="0.15">
      <c r="A94" s="67" t="str">
        <f t="shared" si="1"/>
        <v>26_thu_AM</v>
      </c>
      <c r="B94" s="4">
        <v>26</v>
      </c>
      <c r="C94" s="47" t="str">
        <f ca="1">VLOOKUP($B94,OFFSET(quests!$A$1,0,0,COUNTA(quests!$A:$A),MATCH(C$1,quests!$1:$1,0)-MATCH($B$1,quests!$1:$1,0)+1),MATCH(C$1,quests!$1:$1,0)-MATCH($B$1,quests!$1:$1,0)+1,FALSE)</f>
        <v>26．クラブ クラッシュビーツ</v>
      </c>
      <c r="D94" s="4" t="s">
        <v>232</v>
      </c>
      <c r="E94" s="57" t="s">
        <v>0</v>
      </c>
      <c r="F94" s="52" t="str">
        <f>VLOOKUP($E94,[2]マスタ!$D$2:$F$3,2,FALSE)</f>
        <v>6:00:00</v>
      </c>
      <c r="G94" s="52" t="str">
        <f>VLOOKUP($E94,[2]マスタ!$D$2:$F$3,3,FALSE)</f>
        <v>13:59:59</v>
      </c>
      <c r="H94" s="4" t="s">
        <v>234</v>
      </c>
      <c r="I94" s="4">
        <f>VLOOKUP(H94,マスタ!D:E,2,FALSE)</f>
        <v>2</v>
      </c>
      <c r="J94" s="4">
        <v>0</v>
      </c>
    </row>
    <row r="95" spans="1:10" ht="21" customHeight="1" x14ac:dyDescent="0.15">
      <c r="A95" s="67" t="str">
        <f t="shared" si="1"/>
        <v>26_thu_PM</v>
      </c>
      <c r="B95" s="4">
        <v>26</v>
      </c>
      <c r="C95" s="47" t="str">
        <f ca="1">VLOOKUP($B95,OFFSET(quests!$A$1,0,0,COUNTA(quests!$A:$A),MATCH(C$1,quests!$1:$1,0)-MATCH($B$1,quests!$1:$1,0)+1),MATCH(C$1,quests!$1:$1,0)-MATCH($B$1,quests!$1:$1,0)+1,FALSE)</f>
        <v>26．クラブ クラッシュビーツ</v>
      </c>
      <c r="D95" s="4" t="s">
        <v>232</v>
      </c>
      <c r="E95" s="57" t="s">
        <v>1</v>
      </c>
      <c r="F95" s="52" t="str">
        <f>VLOOKUP($E95,[2]マスタ!$D$2:$F$3,2,FALSE)</f>
        <v>16:00:00</v>
      </c>
      <c r="G95" s="52" t="str">
        <f>VLOOKUP($E95,[2]マスタ!$D$2:$F$3,3,FALSE)</f>
        <v>23:59:59</v>
      </c>
      <c r="H95" s="4" t="s">
        <v>234</v>
      </c>
      <c r="I95" s="4">
        <f>VLOOKUP(H95,マスタ!D:E,2,FALSE)</f>
        <v>2</v>
      </c>
      <c r="J95" s="4">
        <v>0</v>
      </c>
    </row>
    <row r="96" spans="1:10" ht="21" customHeight="1" x14ac:dyDescent="0.15">
      <c r="A96" s="67" t="str">
        <f t="shared" si="1"/>
        <v>26_sun_AM</v>
      </c>
      <c r="B96" s="4">
        <v>26</v>
      </c>
      <c r="C96" s="47" t="str">
        <f ca="1">VLOOKUP($B96,OFFSET(quests!$A$1,0,0,COUNTA(quests!$A:$A),MATCH(C$1,quests!$1:$1,0)-MATCH($B$1,quests!$1:$1,0)+1),MATCH(C$1,quests!$1:$1,0)-MATCH($B$1,quests!$1:$1,0)+1,FALSE)</f>
        <v>26．クラブ クラッシュビーツ</v>
      </c>
      <c r="D96" s="4" t="s">
        <v>228</v>
      </c>
      <c r="E96" s="57" t="s">
        <v>0</v>
      </c>
      <c r="F96" s="52" t="str">
        <f>VLOOKUP($E96,[2]マスタ!$D$2:$F$3,2,FALSE)</f>
        <v>6:00:00</v>
      </c>
      <c r="G96" s="52" t="str">
        <f>VLOOKUP($E96,[2]マスタ!$D$2:$F$3,3,FALSE)</f>
        <v>13:59:59</v>
      </c>
      <c r="H96" s="4" t="s">
        <v>18</v>
      </c>
      <c r="I96" s="4">
        <f>VLOOKUP(H96,マスタ!D:E,2,FALSE)</f>
        <v>1.5</v>
      </c>
      <c r="J96" s="4">
        <v>0</v>
      </c>
    </row>
    <row r="97" spans="1:10" ht="21" customHeight="1" x14ac:dyDescent="0.15">
      <c r="A97" s="67" t="str">
        <f t="shared" si="1"/>
        <v>26_sun_PM</v>
      </c>
      <c r="B97" s="4">
        <v>26</v>
      </c>
      <c r="C97" s="47" t="str">
        <f ca="1">VLOOKUP($B97,OFFSET(quests!$A$1,0,0,COUNTA(quests!$A:$A),MATCH(C$1,quests!$1:$1,0)-MATCH($B$1,quests!$1:$1,0)+1),MATCH(C$1,quests!$1:$1,0)-MATCH($B$1,quests!$1:$1,0)+1,FALSE)</f>
        <v>26．クラブ クラッシュビーツ</v>
      </c>
      <c r="D97" s="4" t="s">
        <v>228</v>
      </c>
      <c r="E97" s="57" t="s">
        <v>1</v>
      </c>
      <c r="F97" s="52" t="str">
        <f>VLOOKUP($E97,[2]マスタ!$D$2:$F$3,2,FALSE)</f>
        <v>16:00:00</v>
      </c>
      <c r="G97" s="52" t="str">
        <f>VLOOKUP($E97,[2]マスタ!$D$2:$F$3,3,FALSE)</f>
        <v>23:59:59</v>
      </c>
      <c r="H97" s="4" t="s">
        <v>18</v>
      </c>
      <c r="I97" s="4">
        <f>VLOOKUP(H97,マスタ!D:E,2,FALSE)</f>
        <v>1.5</v>
      </c>
      <c r="J97" s="4">
        <v>0</v>
      </c>
    </row>
    <row r="98" spans="1:10" ht="21" customHeight="1" x14ac:dyDescent="0.15">
      <c r="A98" s="67" t="str">
        <f t="shared" ref="A98" si="2">B98&amp;"_"&amp;D98&amp;"_"&amp;E98</f>
        <v>1_fri_N/A</v>
      </c>
      <c r="B98" s="4">
        <v>1</v>
      </c>
      <c r="C98" s="47" t="str">
        <f ca="1">VLOOKUP($B98,OFFSET(quests!$A$1,0,0,COUNTA(quests!$A:$A),MATCH(C$1,quests!$1:$1,0)-MATCH($B$1,quests!$1:$1,0)+1),MATCH(C$1,quests!$1:$1,0)-MATCH($B$1,quests!$1:$1,0)+1,FALSE)</f>
        <v>1．ALICEの入り口</v>
      </c>
      <c r="D98" s="4" t="s">
        <v>1376</v>
      </c>
      <c r="E98" s="229" t="s">
        <v>1377</v>
      </c>
      <c r="F98" s="228" t="s">
        <v>1379</v>
      </c>
      <c r="G98" s="227" t="s">
        <v>1380</v>
      </c>
      <c r="H98" s="4" t="s">
        <v>43</v>
      </c>
      <c r="I98" s="4">
        <v>2</v>
      </c>
      <c r="J98" s="4">
        <v>1</v>
      </c>
    </row>
    <row r="99" spans="1:10" ht="21" customHeight="1" x14ac:dyDescent="0.15">
      <c r="A99" s="67" t="str">
        <f t="shared" ref="A99:A100" si="3">B99&amp;"_"&amp;D99&amp;"_"&amp;E99</f>
        <v>1_sat_N/A</v>
      </c>
      <c r="B99" s="4">
        <v>1</v>
      </c>
      <c r="C99" s="47" t="str">
        <f ca="1">VLOOKUP($B99,OFFSET(quests!$A$1,0,0,COUNTA(quests!$A:$A),MATCH(C$1,quests!$1:$1,0)-MATCH($B$1,quests!$1:$1,0)+1),MATCH(C$1,quests!$1:$1,0)-MATCH($B$1,quests!$1:$1,0)+1,FALSE)</f>
        <v>1．ALICEの入り口</v>
      </c>
      <c r="D99" s="4" t="s">
        <v>1378</v>
      </c>
      <c r="E99" s="229" t="s">
        <v>1377</v>
      </c>
      <c r="F99" s="228" t="s">
        <v>1381</v>
      </c>
      <c r="G99" s="227" t="s">
        <v>1404</v>
      </c>
      <c r="H99" s="4" t="s">
        <v>43</v>
      </c>
      <c r="I99" s="4">
        <v>2</v>
      </c>
      <c r="J99" s="4">
        <v>1</v>
      </c>
    </row>
    <row r="100" spans="1:10" ht="21" customHeight="1" x14ac:dyDescent="0.15">
      <c r="A100" s="67" t="str">
        <f t="shared" si="3"/>
        <v>2_fri_N/A</v>
      </c>
      <c r="B100" s="4">
        <v>2</v>
      </c>
      <c r="C100" s="47" t="str">
        <f ca="1">VLOOKUP($B100,OFFSET(quests!$A$1,0,0,COUNTA(quests!$A:$A),MATCH(C$1,quests!$1:$1,0)-MATCH($B$1,quests!$1:$1,0)+1),MATCH(C$1,quests!$1:$1,0)-MATCH($B$1,quests!$1:$1,0)+1,FALSE)</f>
        <v>2．火之柄神社</v>
      </c>
      <c r="D100" s="4" t="s">
        <v>1376</v>
      </c>
      <c r="E100" s="229" t="s">
        <v>1377</v>
      </c>
      <c r="F100" s="228" t="s">
        <v>1379</v>
      </c>
      <c r="G100" s="227" t="s">
        <v>1380</v>
      </c>
      <c r="H100" s="4" t="s">
        <v>43</v>
      </c>
      <c r="I100" s="4">
        <v>2</v>
      </c>
      <c r="J100" s="4">
        <v>1</v>
      </c>
    </row>
    <row r="101" spans="1:10" ht="21" customHeight="1" x14ac:dyDescent="0.15">
      <c r="A101" s="67" t="str">
        <f t="shared" ref="A101:A104" si="4">B101&amp;"_"&amp;D101&amp;"_"&amp;E101</f>
        <v>2_sat_N/A</v>
      </c>
      <c r="B101" s="4">
        <v>2</v>
      </c>
      <c r="C101" s="47" t="str">
        <f ca="1">VLOOKUP($B101,OFFSET(quests!$A$1,0,0,COUNTA(quests!$A:$A),MATCH(C$1,quests!$1:$1,0)-MATCH($B$1,quests!$1:$1,0)+1),MATCH(C$1,quests!$1:$1,0)-MATCH($B$1,quests!$1:$1,0)+1,FALSE)</f>
        <v>2．火之柄神社</v>
      </c>
      <c r="D101" s="4" t="s">
        <v>1378</v>
      </c>
      <c r="E101" s="229" t="s">
        <v>1377</v>
      </c>
      <c r="F101" s="228" t="s">
        <v>1381</v>
      </c>
      <c r="G101" s="227" t="s">
        <v>1404</v>
      </c>
      <c r="H101" s="4" t="s">
        <v>43</v>
      </c>
      <c r="I101" s="4">
        <v>2</v>
      </c>
      <c r="J101" s="4">
        <v>1</v>
      </c>
    </row>
    <row r="102" spans="1:10" ht="21" customHeight="1" x14ac:dyDescent="0.15">
      <c r="A102" s="67" t="str">
        <f t="shared" si="4"/>
        <v>3_fri_N/A</v>
      </c>
      <c r="B102" s="4">
        <v>3</v>
      </c>
      <c r="C102" s="47" t="str">
        <f ca="1">VLOOKUP($B102,OFFSET(quests!$A$1,0,0,COUNTA(quests!$A:$A),MATCH(C$1,quests!$1:$1,0)-MATCH($B$1,quests!$1:$1,0)+1),MATCH(C$1,quests!$1:$1,0)-MATCH($B$1,quests!$1:$1,0)+1,FALSE)</f>
        <v>3．グリーンモール</v>
      </c>
      <c r="D102" s="4" t="s">
        <v>1376</v>
      </c>
      <c r="E102" s="229" t="s">
        <v>1377</v>
      </c>
      <c r="F102" s="228" t="s">
        <v>1379</v>
      </c>
      <c r="G102" s="227" t="s">
        <v>1380</v>
      </c>
      <c r="H102" s="4" t="s">
        <v>43</v>
      </c>
      <c r="I102" s="4">
        <v>2</v>
      </c>
      <c r="J102" s="4">
        <v>1</v>
      </c>
    </row>
    <row r="103" spans="1:10" ht="21" customHeight="1" x14ac:dyDescent="0.15">
      <c r="A103" s="67" t="str">
        <f t="shared" si="4"/>
        <v>3_sat_N/A</v>
      </c>
      <c r="B103" s="4">
        <v>3</v>
      </c>
      <c r="C103" s="47" t="str">
        <f ca="1">VLOOKUP($B103,OFFSET(quests!$A$1,0,0,COUNTA(quests!$A:$A),MATCH(C$1,quests!$1:$1,0)-MATCH($B$1,quests!$1:$1,0)+1),MATCH(C$1,quests!$1:$1,0)-MATCH($B$1,quests!$1:$1,0)+1,FALSE)</f>
        <v>3．グリーンモール</v>
      </c>
      <c r="D103" s="4" t="s">
        <v>1378</v>
      </c>
      <c r="E103" s="229" t="s">
        <v>1377</v>
      </c>
      <c r="F103" s="228" t="s">
        <v>1381</v>
      </c>
      <c r="G103" s="227" t="s">
        <v>1404</v>
      </c>
      <c r="H103" s="4" t="s">
        <v>43</v>
      </c>
      <c r="I103" s="4">
        <v>2</v>
      </c>
      <c r="J103" s="4">
        <v>1</v>
      </c>
    </row>
    <row r="104" spans="1:10" ht="21" customHeight="1" x14ac:dyDescent="0.15">
      <c r="A104" s="67" t="str">
        <f t="shared" si="4"/>
        <v>4_fri_N/A</v>
      </c>
      <c r="B104" s="4">
        <v>4</v>
      </c>
      <c r="C104" s="47" t="str">
        <f ca="1">VLOOKUP($B104,OFFSET(quests!$A$1,0,0,COUNTA(quests!$A:$A),MATCH(C$1,quests!$1:$1,0)-MATCH($B$1,quests!$1:$1,0)+1),MATCH(C$1,quests!$1:$1,0)-MATCH($B$1,quests!$1:$1,0)+1,FALSE)</f>
        <v>4．イエロープラント</v>
      </c>
      <c r="D104" s="4" t="s">
        <v>1376</v>
      </c>
      <c r="E104" s="229" t="s">
        <v>1377</v>
      </c>
      <c r="F104" s="228" t="s">
        <v>1379</v>
      </c>
      <c r="G104" s="227" t="s">
        <v>1380</v>
      </c>
      <c r="H104" s="4" t="s">
        <v>43</v>
      </c>
      <c r="I104" s="4">
        <v>2</v>
      </c>
      <c r="J104" s="4">
        <v>1</v>
      </c>
    </row>
    <row r="105" spans="1:10" ht="21" customHeight="1" x14ac:dyDescent="0.15">
      <c r="A105" s="67" t="str">
        <f t="shared" ref="A105:A112" si="5">B105&amp;"_"&amp;D105&amp;"_"&amp;E105</f>
        <v>4_sat_N/A</v>
      </c>
      <c r="B105" s="4">
        <v>4</v>
      </c>
      <c r="C105" s="47" t="str">
        <f ca="1">VLOOKUP($B105,OFFSET(quests!$A$1,0,0,COUNTA(quests!$A:$A),MATCH(C$1,quests!$1:$1,0)-MATCH($B$1,quests!$1:$1,0)+1),MATCH(C$1,quests!$1:$1,0)-MATCH($B$1,quests!$1:$1,0)+1,FALSE)</f>
        <v>4．イエロープラント</v>
      </c>
      <c r="D105" s="4" t="s">
        <v>1378</v>
      </c>
      <c r="E105" s="229" t="s">
        <v>1377</v>
      </c>
      <c r="F105" s="228" t="s">
        <v>1381</v>
      </c>
      <c r="G105" s="227" t="s">
        <v>1404</v>
      </c>
      <c r="H105" s="4" t="s">
        <v>43</v>
      </c>
      <c r="I105" s="4">
        <v>2</v>
      </c>
      <c r="J105" s="4">
        <v>1</v>
      </c>
    </row>
    <row r="106" spans="1:10" ht="21" customHeight="1" x14ac:dyDescent="0.15">
      <c r="A106" s="67" t="str">
        <f t="shared" si="5"/>
        <v>5_fri_N/A</v>
      </c>
      <c r="B106" s="4">
        <v>5</v>
      </c>
      <c r="C106" s="47" t="str">
        <f ca="1">VLOOKUP($B106,OFFSET(quests!$A$1,0,0,COUNTA(quests!$A:$A),MATCH(C$1,quests!$1:$1,0)-MATCH($B$1,quests!$1:$1,0)+1),MATCH(C$1,quests!$1:$1,0)-MATCH($B$1,quests!$1:$1,0)+1,FALSE)</f>
        <v>5．ウォーターランド</v>
      </c>
      <c r="D106" s="4" t="s">
        <v>1376</v>
      </c>
      <c r="E106" s="229" t="s">
        <v>1377</v>
      </c>
      <c r="F106" s="228" t="s">
        <v>1379</v>
      </c>
      <c r="G106" s="227" t="s">
        <v>1380</v>
      </c>
      <c r="H106" s="4" t="s">
        <v>43</v>
      </c>
      <c r="I106" s="4">
        <v>2</v>
      </c>
      <c r="J106" s="4">
        <v>1</v>
      </c>
    </row>
    <row r="107" spans="1:10" ht="21" customHeight="1" x14ac:dyDescent="0.15">
      <c r="A107" s="67" t="str">
        <f t="shared" si="5"/>
        <v>5_sat_N/A</v>
      </c>
      <c r="B107" s="4">
        <v>5</v>
      </c>
      <c r="C107" s="47" t="str">
        <f ca="1">VLOOKUP($B107,OFFSET(quests!$A$1,0,0,COUNTA(quests!$A:$A),MATCH(C$1,quests!$1:$1,0)-MATCH($B$1,quests!$1:$1,0)+1),MATCH(C$1,quests!$1:$1,0)-MATCH($B$1,quests!$1:$1,0)+1,FALSE)</f>
        <v>5．ウォーターランド</v>
      </c>
      <c r="D107" s="4" t="s">
        <v>1378</v>
      </c>
      <c r="E107" s="229" t="s">
        <v>1377</v>
      </c>
      <c r="F107" s="228" t="s">
        <v>1381</v>
      </c>
      <c r="G107" s="227" t="s">
        <v>1404</v>
      </c>
      <c r="H107" s="4" t="s">
        <v>43</v>
      </c>
      <c r="I107" s="4">
        <v>2</v>
      </c>
      <c r="J107" s="4">
        <v>1</v>
      </c>
    </row>
    <row r="108" spans="1:10" ht="21" customHeight="1" x14ac:dyDescent="0.15">
      <c r="A108" s="67" t="str">
        <f t="shared" si="5"/>
        <v>6_fri_N/A</v>
      </c>
      <c r="B108" s="4">
        <v>6</v>
      </c>
      <c r="C108" s="47" t="str">
        <f ca="1">VLOOKUP($B108,OFFSET(quests!$A$1,0,0,COUNTA(quests!$A:$A),MATCH(C$1,quests!$1:$1,0)-MATCH($B$1,quests!$1:$1,0)+1),MATCH(C$1,quests!$1:$1,0)-MATCH($B$1,quests!$1:$1,0)+1,FALSE)</f>
        <v>6．ドリームパーク</v>
      </c>
      <c r="D108" s="4" t="s">
        <v>1376</v>
      </c>
      <c r="E108" s="229" t="s">
        <v>1377</v>
      </c>
      <c r="F108" s="228" t="s">
        <v>1379</v>
      </c>
      <c r="G108" s="227" t="s">
        <v>1380</v>
      </c>
      <c r="H108" s="4" t="s">
        <v>43</v>
      </c>
      <c r="I108" s="4">
        <v>2</v>
      </c>
      <c r="J108" s="4">
        <v>1</v>
      </c>
    </row>
    <row r="109" spans="1:10" ht="21" customHeight="1" x14ac:dyDescent="0.15">
      <c r="A109" s="67" t="str">
        <f t="shared" si="5"/>
        <v>6_sat_N/A</v>
      </c>
      <c r="B109" s="4">
        <v>6</v>
      </c>
      <c r="C109" s="47" t="str">
        <f ca="1">VLOOKUP($B109,OFFSET(quests!$A$1,0,0,COUNTA(quests!$A:$A),MATCH(C$1,quests!$1:$1,0)-MATCH($B$1,quests!$1:$1,0)+1),MATCH(C$1,quests!$1:$1,0)-MATCH($B$1,quests!$1:$1,0)+1,FALSE)</f>
        <v>6．ドリームパーク</v>
      </c>
      <c r="D109" s="4" t="s">
        <v>1378</v>
      </c>
      <c r="E109" s="229" t="s">
        <v>1377</v>
      </c>
      <c r="F109" s="228" t="s">
        <v>1381</v>
      </c>
      <c r="G109" s="227" t="s">
        <v>1404</v>
      </c>
      <c r="H109" s="4" t="s">
        <v>43</v>
      </c>
      <c r="I109" s="4">
        <v>2</v>
      </c>
      <c r="J109" s="4">
        <v>1</v>
      </c>
    </row>
    <row r="110" spans="1:10" ht="21" customHeight="1" x14ac:dyDescent="0.15">
      <c r="A110" s="67" t="str">
        <f t="shared" si="5"/>
        <v>7_fri_N/A</v>
      </c>
      <c r="B110" s="4">
        <v>7</v>
      </c>
      <c r="C110" s="47" t="str">
        <f ca="1">VLOOKUP($B110,OFFSET(quests!$A$1,0,0,COUNTA(quests!$A:$A),MATCH(C$1,quests!$1:$1,0)-MATCH($B$1,quests!$1:$1,0)+1),MATCH(C$1,quests!$1:$1,0)-MATCH($B$1,quests!$1:$1,0)+1,FALSE)</f>
        <v>7．ローガ密林</v>
      </c>
      <c r="D110" s="4" t="s">
        <v>1376</v>
      </c>
      <c r="E110" s="229" t="s">
        <v>1377</v>
      </c>
      <c r="F110" s="228" t="s">
        <v>1379</v>
      </c>
      <c r="G110" s="227" t="s">
        <v>1380</v>
      </c>
      <c r="H110" s="4" t="s">
        <v>43</v>
      </c>
      <c r="I110" s="4">
        <v>2</v>
      </c>
      <c r="J110" s="4">
        <v>1</v>
      </c>
    </row>
    <row r="111" spans="1:10" ht="21" customHeight="1" x14ac:dyDescent="0.15">
      <c r="A111" s="67" t="str">
        <f t="shared" si="5"/>
        <v>7_sat_N/A</v>
      </c>
      <c r="B111" s="4">
        <v>7</v>
      </c>
      <c r="C111" s="47" t="str">
        <f ca="1">VLOOKUP($B111,OFFSET(quests!$A$1,0,0,COUNTA(quests!$A:$A),MATCH(C$1,quests!$1:$1,0)-MATCH($B$1,quests!$1:$1,0)+1),MATCH(C$1,quests!$1:$1,0)-MATCH($B$1,quests!$1:$1,0)+1,FALSE)</f>
        <v>7．ローガ密林</v>
      </c>
      <c r="D111" s="4" t="s">
        <v>1378</v>
      </c>
      <c r="E111" s="229" t="s">
        <v>1377</v>
      </c>
      <c r="F111" s="228" t="s">
        <v>1381</v>
      </c>
      <c r="G111" s="227" t="s">
        <v>1404</v>
      </c>
      <c r="H111" s="4" t="s">
        <v>43</v>
      </c>
      <c r="I111" s="4">
        <v>2</v>
      </c>
      <c r="J111" s="4">
        <v>1</v>
      </c>
    </row>
    <row r="112" spans="1:10" ht="21" customHeight="1" x14ac:dyDescent="0.15">
      <c r="A112" s="67" t="str">
        <f t="shared" si="5"/>
        <v>8_fri_N/A</v>
      </c>
      <c r="B112" s="4">
        <v>8</v>
      </c>
      <c r="C112" s="47" t="str">
        <f ca="1">VLOOKUP($B112,OFFSET(quests!$A$1,0,0,COUNTA(quests!$A:$A),MATCH(C$1,quests!$1:$1,0)-MATCH($B$1,quests!$1:$1,0)+1),MATCH(C$1,quests!$1:$1,0)-MATCH($B$1,quests!$1:$1,0)+1,FALSE)</f>
        <v>8．ヴィクリー砂漠</v>
      </c>
      <c r="D112" s="4" t="s">
        <v>1376</v>
      </c>
      <c r="E112" s="229" t="s">
        <v>1377</v>
      </c>
      <c r="F112" s="228" t="s">
        <v>1379</v>
      </c>
      <c r="G112" s="227" t="s">
        <v>1380</v>
      </c>
      <c r="H112" s="4" t="s">
        <v>43</v>
      </c>
      <c r="I112" s="4">
        <v>2</v>
      </c>
      <c r="J112" s="4">
        <v>1</v>
      </c>
    </row>
    <row r="113" spans="1:10" ht="21" customHeight="1" x14ac:dyDescent="0.15">
      <c r="A113" s="67" t="str">
        <f t="shared" ref="A113:A128" si="6">B113&amp;"_"&amp;D113&amp;"_"&amp;E113</f>
        <v>8_sat_N/A</v>
      </c>
      <c r="B113" s="4">
        <v>8</v>
      </c>
      <c r="C113" s="47" t="str">
        <f ca="1">VLOOKUP($B113,OFFSET(quests!$A$1,0,0,COUNTA(quests!$A:$A),MATCH(C$1,quests!$1:$1,0)-MATCH($B$1,quests!$1:$1,0)+1),MATCH(C$1,quests!$1:$1,0)-MATCH($B$1,quests!$1:$1,0)+1,FALSE)</f>
        <v>8．ヴィクリー砂漠</v>
      </c>
      <c r="D113" s="4" t="s">
        <v>1378</v>
      </c>
      <c r="E113" s="229" t="s">
        <v>1377</v>
      </c>
      <c r="F113" s="228" t="s">
        <v>1381</v>
      </c>
      <c r="G113" s="227" t="s">
        <v>1404</v>
      </c>
      <c r="H113" s="4" t="s">
        <v>43</v>
      </c>
      <c r="I113" s="4">
        <v>2</v>
      </c>
      <c r="J113" s="4">
        <v>1</v>
      </c>
    </row>
    <row r="114" spans="1:10" ht="21" customHeight="1" x14ac:dyDescent="0.15">
      <c r="A114" s="67" t="str">
        <f t="shared" si="6"/>
        <v>9_fri_N/A</v>
      </c>
      <c r="B114" s="4">
        <v>9</v>
      </c>
      <c r="C114" s="47" t="str">
        <f ca="1">VLOOKUP($B114,OFFSET(quests!$A$1,0,0,COUNTA(quests!$A:$A),MATCH(C$1,quests!$1:$1,0)-MATCH($B$1,quests!$1:$1,0)+1),MATCH(C$1,quests!$1:$1,0)-MATCH($B$1,quests!$1:$1,0)+1,FALSE)</f>
        <v>9．ラバーズ氷河</v>
      </c>
      <c r="D114" s="4" t="s">
        <v>1376</v>
      </c>
      <c r="E114" s="229" t="s">
        <v>1377</v>
      </c>
      <c r="F114" s="228" t="s">
        <v>1379</v>
      </c>
      <c r="G114" s="227" t="s">
        <v>1380</v>
      </c>
      <c r="H114" s="4" t="s">
        <v>43</v>
      </c>
      <c r="I114" s="4">
        <v>2</v>
      </c>
      <c r="J114" s="4">
        <v>1</v>
      </c>
    </row>
    <row r="115" spans="1:10" ht="21" customHeight="1" x14ac:dyDescent="0.15">
      <c r="A115" s="67" t="str">
        <f t="shared" si="6"/>
        <v>9_sat_N/A</v>
      </c>
      <c r="B115" s="4">
        <v>9</v>
      </c>
      <c r="C115" s="47" t="str">
        <f ca="1">VLOOKUP($B115,OFFSET(quests!$A$1,0,0,COUNTA(quests!$A:$A),MATCH(C$1,quests!$1:$1,0)-MATCH($B$1,quests!$1:$1,0)+1),MATCH(C$1,quests!$1:$1,0)-MATCH($B$1,quests!$1:$1,0)+1,FALSE)</f>
        <v>9．ラバーズ氷河</v>
      </c>
      <c r="D115" s="4" t="s">
        <v>1378</v>
      </c>
      <c r="E115" s="229" t="s">
        <v>1377</v>
      </c>
      <c r="F115" s="228" t="s">
        <v>1381</v>
      </c>
      <c r="G115" s="227" t="s">
        <v>1404</v>
      </c>
      <c r="H115" s="4" t="s">
        <v>43</v>
      </c>
      <c r="I115" s="4">
        <v>2</v>
      </c>
      <c r="J115" s="4">
        <v>1</v>
      </c>
    </row>
    <row r="116" spans="1:10" ht="21" customHeight="1" x14ac:dyDescent="0.15">
      <c r="A116" s="67" t="str">
        <f t="shared" si="6"/>
        <v>10_fri_N/A</v>
      </c>
      <c r="B116" s="4">
        <v>10</v>
      </c>
      <c r="C116" s="47" t="str">
        <f ca="1">VLOOKUP($B116,OFFSET(quests!$A$1,0,0,COUNTA(quests!$A:$A),MATCH(C$1,quests!$1:$1,0)-MATCH($B$1,quests!$1:$1,0)+1),MATCH(C$1,quests!$1:$1,0)-MATCH($B$1,quests!$1:$1,0)+1,FALSE)</f>
        <v>10．奥散水の紅葉岩</v>
      </c>
      <c r="D116" s="4" t="s">
        <v>1376</v>
      </c>
      <c r="E116" s="229" t="s">
        <v>1377</v>
      </c>
      <c r="F116" s="228" t="s">
        <v>1379</v>
      </c>
      <c r="G116" s="227" t="s">
        <v>1380</v>
      </c>
      <c r="H116" s="4" t="s">
        <v>43</v>
      </c>
      <c r="I116" s="4">
        <v>2</v>
      </c>
      <c r="J116" s="4">
        <v>1</v>
      </c>
    </row>
    <row r="117" spans="1:10" ht="21" customHeight="1" x14ac:dyDescent="0.15">
      <c r="A117" s="67" t="str">
        <f t="shared" si="6"/>
        <v>10_sat_N/A</v>
      </c>
      <c r="B117" s="4">
        <v>10</v>
      </c>
      <c r="C117" s="47" t="str">
        <f ca="1">VLOOKUP($B117,OFFSET(quests!$A$1,0,0,COUNTA(quests!$A:$A),MATCH(C$1,quests!$1:$1,0)-MATCH($B$1,quests!$1:$1,0)+1),MATCH(C$1,quests!$1:$1,0)-MATCH($B$1,quests!$1:$1,0)+1,FALSE)</f>
        <v>10．奥散水の紅葉岩</v>
      </c>
      <c r="D117" s="4" t="s">
        <v>1378</v>
      </c>
      <c r="E117" s="229" t="s">
        <v>1377</v>
      </c>
      <c r="F117" s="228" t="s">
        <v>1381</v>
      </c>
      <c r="G117" s="227" t="s">
        <v>1404</v>
      </c>
      <c r="H117" s="4" t="s">
        <v>43</v>
      </c>
      <c r="I117" s="4">
        <v>2</v>
      </c>
      <c r="J117" s="4">
        <v>1</v>
      </c>
    </row>
    <row r="118" spans="1:10" ht="21" customHeight="1" x14ac:dyDescent="0.15">
      <c r="A118" s="67" t="str">
        <f t="shared" si="6"/>
        <v>11_fri_N/A</v>
      </c>
      <c r="B118" s="4">
        <v>11</v>
      </c>
      <c r="C118" s="47" t="str">
        <f ca="1">VLOOKUP($B118,OFFSET(quests!$A$1,0,0,COUNTA(quests!$A:$A),MATCH(C$1,quests!$1:$1,0)-MATCH($B$1,quests!$1:$1,0)+1),MATCH(C$1,quests!$1:$1,0)-MATCH($B$1,quests!$1:$1,0)+1,FALSE)</f>
        <v>11．ディープソート戦場跡</v>
      </c>
      <c r="D118" s="4" t="s">
        <v>1376</v>
      </c>
      <c r="E118" s="229" t="s">
        <v>1377</v>
      </c>
      <c r="F118" s="228" t="s">
        <v>1379</v>
      </c>
      <c r="G118" s="227" t="s">
        <v>1380</v>
      </c>
      <c r="H118" s="4" t="s">
        <v>43</v>
      </c>
      <c r="I118" s="4">
        <v>2</v>
      </c>
      <c r="J118" s="4">
        <v>1</v>
      </c>
    </row>
    <row r="119" spans="1:10" ht="21" customHeight="1" x14ac:dyDescent="0.15">
      <c r="A119" s="67" t="str">
        <f t="shared" si="6"/>
        <v>11_sat_N/A</v>
      </c>
      <c r="B119" s="4">
        <v>11</v>
      </c>
      <c r="C119" s="47" t="str">
        <f ca="1">VLOOKUP($B119,OFFSET(quests!$A$1,0,0,COUNTA(quests!$A:$A),MATCH(C$1,quests!$1:$1,0)-MATCH($B$1,quests!$1:$1,0)+1),MATCH(C$1,quests!$1:$1,0)-MATCH($B$1,quests!$1:$1,0)+1,FALSE)</f>
        <v>11．ディープソート戦場跡</v>
      </c>
      <c r="D119" s="4" t="s">
        <v>1378</v>
      </c>
      <c r="E119" s="229" t="s">
        <v>1377</v>
      </c>
      <c r="F119" s="228" t="s">
        <v>1381</v>
      </c>
      <c r="G119" s="227" t="s">
        <v>1404</v>
      </c>
      <c r="H119" s="4" t="s">
        <v>43</v>
      </c>
      <c r="I119" s="4">
        <v>2</v>
      </c>
      <c r="J119" s="4">
        <v>1</v>
      </c>
    </row>
    <row r="120" spans="1:10" ht="21" customHeight="1" x14ac:dyDescent="0.15">
      <c r="A120" s="67" t="str">
        <f t="shared" ref="A120:A121" si="7">B120&amp;"_"&amp;D120&amp;"_"&amp;E120</f>
        <v>16_fri_N/A</v>
      </c>
      <c r="B120" s="4">
        <v>16</v>
      </c>
      <c r="C120" s="47" t="str">
        <f ca="1">VLOOKUP($B120,OFFSET(quests!$A$1,0,0,COUNTA(quests!$A:$A),MATCH(C$1,quests!$1:$1,0)-MATCH($B$1,quests!$1:$1,0)+1),MATCH(C$1,quests!$1:$1,0)-MATCH($B$1,quests!$1:$1,0)+1,FALSE)</f>
        <v>16．H&amp;Gスイートハウス</v>
      </c>
      <c r="D120" s="4" t="s">
        <v>1376</v>
      </c>
      <c r="E120" s="229" t="s">
        <v>1377</v>
      </c>
      <c r="F120" s="228" t="s">
        <v>1379</v>
      </c>
      <c r="G120" s="227" t="s">
        <v>1380</v>
      </c>
      <c r="H120" s="4" t="s">
        <v>45</v>
      </c>
      <c r="I120" s="4">
        <v>0.5</v>
      </c>
      <c r="J120" s="4">
        <v>1</v>
      </c>
    </row>
    <row r="121" spans="1:10" ht="21" customHeight="1" x14ac:dyDescent="0.15">
      <c r="A121" s="67" t="str">
        <f t="shared" si="7"/>
        <v>16_sat_N/A</v>
      </c>
      <c r="B121" s="4">
        <v>16</v>
      </c>
      <c r="C121" s="47" t="str">
        <f ca="1">VLOOKUP($B121,OFFSET(quests!$A$1,0,0,COUNTA(quests!$A:$A),MATCH(C$1,quests!$1:$1,0)-MATCH($B$1,quests!$1:$1,0)+1),MATCH(C$1,quests!$1:$1,0)-MATCH($B$1,quests!$1:$1,0)+1,FALSE)</f>
        <v>16．H&amp;Gスイートハウス</v>
      </c>
      <c r="D121" s="4" t="s">
        <v>1378</v>
      </c>
      <c r="E121" s="229" t="s">
        <v>1377</v>
      </c>
      <c r="F121" s="228" t="s">
        <v>1381</v>
      </c>
      <c r="G121" s="227" t="s">
        <v>1404</v>
      </c>
      <c r="H121" s="4" t="s">
        <v>45</v>
      </c>
      <c r="I121" s="4">
        <v>0.5</v>
      </c>
      <c r="J121" s="4">
        <v>1</v>
      </c>
    </row>
    <row r="122" spans="1:10" ht="21" customHeight="1" x14ac:dyDescent="0.15">
      <c r="A122" s="67" t="str">
        <f t="shared" si="6"/>
        <v>22_fri_N/A</v>
      </c>
      <c r="B122" s="4">
        <v>22</v>
      </c>
      <c r="C122" s="47" t="str">
        <f ca="1">VLOOKUP($B122,OFFSET(quests!$A$1,0,0,COUNTA(quests!$A:$A),MATCH(C$1,quests!$1:$1,0)-MATCH($B$1,quests!$1:$1,0)+1),MATCH(C$1,quests!$1:$1,0)-MATCH($B$1,quests!$1:$1,0)+1,FALSE)</f>
        <v>22．紫炎の例大祭</v>
      </c>
      <c r="D122" s="4" t="s">
        <v>1376</v>
      </c>
      <c r="E122" s="229" t="s">
        <v>1377</v>
      </c>
      <c r="F122" s="228" t="s">
        <v>1379</v>
      </c>
      <c r="G122" s="227" t="s">
        <v>1380</v>
      </c>
      <c r="H122" s="4" t="s">
        <v>45</v>
      </c>
      <c r="I122" s="4">
        <v>0.5</v>
      </c>
      <c r="J122" s="4">
        <v>1</v>
      </c>
    </row>
    <row r="123" spans="1:10" ht="21" customHeight="1" x14ac:dyDescent="0.15">
      <c r="A123" s="67" t="str">
        <f t="shared" si="6"/>
        <v>22_sat_N/A</v>
      </c>
      <c r="B123" s="4">
        <v>22</v>
      </c>
      <c r="C123" s="47" t="str">
        <f ca="1">VLOOKUP($B123,OFFSET(quests!$A$1,0,0,COUNTA(quests!$A:$A),MATCH(C$1,quests!$1:$1,0)-MATCH($B$1,quests!$1:$1,0)+1),MATCH(C$1,quests!$1:$1,0)-MATCH($B$1,quests!$1:$1,0)+1,FALSE)</f>
        <v>22．紫炎の例大祭</v>
      </c>
      <c r="D123" s="4" t="s">
        <v>1378</v>
      </c>
      <c r="E123" s="229" t="s">
        <v>1377</v>
      </c>
      <c r="F123" s="228" t="s">
        <v>1381</v>
      </c>
      <c r="G123" s="227" t="s">
        <v>1404</v>
      </c>
      <c r="H123" s="4" t="s">
        <v>45</v>
      </c>
      <c r="I123" s="4">
        <v>0.5</v>
      </c>
      <c r="J123" s="4">
        <v>1</v>
      </c>
    </row>
    <row r="124" spans="1:10" ht="21" customHeight="1" x14ac:dyDescent="0.15">
      <c r="A124" s="67" t="str">
        <f t="shared" si="6"/>
        <v>23_fri_N/A</v>
      </c>
      <c r="B124" s="4">
        <v>23</v>
      </c>
      <c r="C124" s="47" t="str">
        <f ca="1">VLOOKUP($B124,OFFSET(quests!$A$1,0,0,COUNTA(quests!$A:$A),MATCH(C$1,quests!$1:$1,0)-MATCH($B$1,quests!$1:$1,0)+1),MATCH(C$1,quests!$1:$1,0)-MATCH($B$1,quests!$1:$1,0)+1,FALSE)</f>
        <v>23．ファングフォレスト</v>
      </c>
      <c r="D124" s="4" t="s">
        <v>1376</v>
      </c>
      <c r="E124" s="229" t="s">
        <v>1377</v>
      </c>
      <c r="F124" s="228" t="s">
        <v>1379</v>
      </c>
      <c r="G124" s="227" t="s">
        <v>1380</v>
      </c>
      <c r="H124" s="4" t="s">
        <v>45</v>
      </c>
      <c r="I124" s="4">
        <v>0.5</v>
      </c>
      <c r="J124" s="4">
        <v>1</v>
      </c>
    </row>
    <row r="125" spans="1:10" ht="21" customHeight="1" x14ac:dyDescent="0.15">
      <c r="A125" s="67" t="str">
        <f t="shared" si="6"/>
        <v>23_sat_N/A</v>
      </c>
      <c r="B125" s="4">
        <v>23</v>
      </c>
      <c r="C125" s="47" t="str">
        <f ca="1">VLOOKUP($B125,OFFSET(quests!$A$1,0,0,COUNTA(quests!$A:$A),MATCH(C$1,quests!$1:$1,0)-MATCH($B$1,quests!$1:$1,0)+1),MATCH(C$1,quests!$1:$1,0)-MATCH($B$1,quests!$1:$1,0)+1,FALSE)</f>
        <v>23．ファングフォレスト</v>
      </c>
      <c r="D125" s="4" t="s">
        <v>1378</v>
      </c>
      <c r="E125" s="229" t="s">
        <v>1377</v>
      </c>
      <c r="F125" s="228" t="s">
        <v>1381</v>
      </c>
      <c r="G125" s="227" t="s">
        <v>1404</v>
      </c>
      <c r="H125" s="4" t="s">
        <v>45</v>
      </c>
      <c r="I125" s="4">
        <v>0.5</v>
      </c>
      <c r="J125" s="4">
        <v>1</v>
      </c>
    </row>
    <row r="126" spans="1:10" ht="21" customHeight="1" x14ac:dyDescent="0.15">
      <c r="A126" s="67" t="str">
        <f t="shared" si="6"/>
        <v>24_fri_N/A</v>
      </c>
      <c r="B126" s="4">
        <v>24</v>
      </c>
      <c r="C126" s="47" t="str">
        <f ca="1">VLOOKUP($B126,OFFSET(quests!$A$1,0,0,COUNTA(quests!$A:$A),MATCH(C$1,quests!$1:$1,0)-MATCH($B$1,quests!$1:$1,0)+1),MATCH(C$1,quests!$1:$1,0)-MATCH($B$1,quests!$1:$1,0)+1,FALSE)</f>
        <v>24．バトルフィールドヘヴン</v>
      </c>
      <c r="D126" s="4" t="s">
        <v>1376</v>
      </c>
      <c r="E126" s="229" t="s">
        <v>1377</v>
      </c>
      <c r="F126" s="228" t="s">
        <v>1379</v>
      </c>
      <c r="G126" s="227" t="s">
        <v>1380</v>
      </c>
      <c r="H126" s="4" t="s">
        <v>45</v>
      </c>
      <c r="I126" s="4">
        <v>0.5</v>
      </c>
      <c r="J126" s="4">
        <v>1</v>
      </c>
    </row>
    <row r="127" spans="1:10" ht="21" customHeight="1" x14ac:dyDescent="0.15">
      <c r="A127" s="67" t="str">
        <f t="shared" si="6"/>
        <v>24_sat_N/A</v>
      </c>
      <c r="B127" s="4">
        <v>24</v>
      </c>
      <c r="C127" s="47" t="str">
        <f ca="1">VLOOKUP($B127,OFFSET(quests!$A$1,0,0,COUNTA(quests!$A:$A),MATCH(C$1,quests!$1:$1,0)-MATCH($B$1,quests!$1:$1,0)+1),MATCH(C$1,quests!$1:$1,0)-MATCH($B$1,quests!$1:$1,0)+1,FALSE)</f>
        <v>24．バトルフィールドヘヴン</v>
      </c>
      <c r="D127" s="4" t="s">
        <v>1378</v>
      </c>
      <c r="E127" s="229" t="s">
        <v>1377</v>
      </c>
      <c r="F127" s="228" t="s">
        <v>1381</v>
      </c>
      <c r="G127" s="227" t="s">
        <v>1404</v>
      </c>
      <c r="H127" s="4" t="s">
        <v>45</v>
      </c>
      <c r="I127" s="4">
        <v>0.5</v>
      </c>
      <c r="J127" s="4">
        <v>1</v>
      </c>
    </row>
    <row r="128" spans="1:10" ht="21" customHeight="1" x14ac:dyDescent="0.15">
      <c r="A128" s="67" t="str">
        <f t="shared" si="6"/>
        <v>25_fri_N/A</v>
      </c>
      <c r="B128" s="4">
        <v>25</v>
      </c>
      <c r="C128" s="47" t="str">
        <f ca="1">VLOOKUP($B128,OFFSET(quests!$A$1,0,0,COUNTA(quests!$A:$A),MATCH(C$1,quests!$1:$1,0)-MATCH($B$1,quests!$1:$1,0)+1),MATCH(C$1,quests!$1:$1,0)-MATCH($B$1,quests!$1:$1,0)+1,FALSE)</f>
        <v>25．サディスティックパーティ</v>
      </c>
      <c r="D128" s="4" t="s">
        <v>1376</v>
      </c>
      <c r="E128" s="229" t="s">
        <v>1377</v>
      </c>
      <c r="F128" s="228" t="s">
        <v>1379</v>
      </c>
      <c r="G128" s="227" t="s">
        <v>1380</v>
      </c>
      <c r="H128" s="4" t="s">
        <v>45</v>
      </c>
      <c r="I128" s="4">
        <v>0.5</v>
      </c>
      <c r="J128" s="4">
        <v>1</v>
      </c>
    </row>
    <row r="129" spans="1:10" ht="21" customHeight="1" x14ac:dyDescent="0.15">
      <c r="A129" s="67" t="str">
        <f t="shared" ref="A129:A132" si="8">B129&amp;"_"&amp;D129&amp;"_"&amp;E129</f>
        <v>25_sat_N/A</v>
      </c>
      <c r="B129" s="4">
        <v>25</v>
      </c>
      <c r="C129" s="47" t="str">
        <f ca="1">VLOOKUP($B129,OFFSET(quests!$A$1,0,0,COUNTA(quests!$A:$A),MATCH(C$1,quests!$1:$1,0)-MATCH($B$1,quests!$1:$1,0)+1),MATCH(C$1,quests!$1:$1,0)-MATCH($B$1,quests!$1:$1,0)+1,FALSE)</f>
        <v>25．サディスティックパーティ</v>
      </c>
      <c r="D129" s="4" t="s">
        <v>1378</v>
      </c>
      <c r="E129" s="229" t="s">
        <v>1377</v>
      </c>
      <c r="F129" s="228" t="s">
        <v>1381</v>
      </c>
      <c r="G129" s="227" t="s">
        <v>1404</v>
      </c>
      <c r="H129" s="4" t="s">
        <v>45</v>
      </c>
      <c r="I129" s="4">
        <v>0.5</v>
      </c>
      <c r="J129" s="4">
        <v>1</v>
      </c>
    </row>
    <row r="130" spans="1:10" ht="21" customHeight="1" x14ac:dyDescent="0.15">
      <c r="A130" s="67" t="str">
        <f t="shared" si="8"/>
        <v>26_fri_N/A</v>
      </c>
      <c r="B130" s="4">
        <v>26</v>
      </c>
      <c r="C130" s="47" t="str">
        <f ca="1">VLOOKUP($B130,OFFSET(quests!$A$1,0,0,COUNTA(quests!$A:$A),MATCH(C$1,quests!$1:$1,0)-MATCH($B$1,quests!$1:$1,0)+1),MATCH(C$1,quests!$1:$1,0)-MATCH($B$1,quests!$1:$1,0)+1,FALSE)</f>
        <v>26．クラブ クラッシュビーツ</v>
      </c>
      <c r="D130" s="4" t="s">
        <v>1376</v>
      </c>
      <c r="E130" s="229" t="s">
        <v>1377</v>
      </c>
      <c r="F130" s="228" t="s">
        <v>1379</v>
      </c>
      <c r="G130" s="227" t="s">
        <v>1380</v>
      </c>
      <c r="H130" s="4" t="s">
        <v>45</v>
      </c>
      <c r="I130" s="4">
        <v>0.5</v>
      </c>
      <c r="J130" s="4">
        <v>1</v>
      </c>
    </row>
    <row r="131" spans="1:10" ht="21" customHeight="1" x14ac:dyDescent="0.15">
      <c r="A131" s="67" t="str">
        <f t="shared" si="8"/>
        <v>26_sat_N/A</v>
      </c>
      <c r="B131" s="4">
        <v>26</v>
      </c>
      <c r="C131" s="47" t="str">
        <f ca="1">VLOOKUP($B131,OFFSET(quests!$A$1,0,0,COUNTA(quests!$A:$A),MATCH(C$1,quests!$1:$1,0)-MATCH($B$1,quests!$1:$1,0)+1),MATCH(C$1,quests!$1:$1,0)-MATCH($B$1,quests!$1:$1,0)+1,FALSE)</f>
        <v>26．クラブ クラッシュビーツ</v>
      </c>
      <c r="D131" s="4" t="s">
        <v>1378</v>
      </c>
      <c r="E131" s="229" t="s">
        <v>1377</v>
      </c>
      <c r="F131" s="228" t="s">
        <v>1381</v>
      </c>
      <c r="G131" s="227" t="s">
        <v>1404</v>
      </c>
      <c r="H131" s="4" t="s">
        <v>45</v>
      </c>
      <c r="I131" s="4">
        <v>0.5</v>
      </c>
      <c r="J131" s="4">
        <v>1</v>
      </c>
    </row>
    <row r="132" spans="1:10" ht="21" customHeight="1" x14ac:dyDescent="0.15">
      <c r="A132" s="67" t="str">
        <f t="shared" si="8"/>
        <v>15027_fri_N/A</v>
      </c>
      <c r="B132" s="84">
        <v>15027</v>
      </c>
      <c r="C132" s="47" t="str">
        <f ca="1">VLOOKUP($B132,OFFSET(quests!$A$1,0,0,COUNTA(quests!$A:$A),MATCH(C$1,quests!$1:$1,0)-MATCH($B$1,quests!$1:$1,0)+1),MATCH(C$1,quests!$1:$1,0)-MATCH($B$1,quests!$1:$1,0)+1,FALSE)</f>
        <v>27. 雷雨の登山道</v>
      </c>
      <c r="D132" s="4" t="s">
        <v>1376</v>
      </c>
      <c r="E132" s="229" t="s">
        <v>1377</v>
      </c>
      <c r="F132" s="228" t="s">
        <v>1379</v>
      </c>
      <c r="G132" s="227" t="s">
        <v>1380</v>
      </c>
      <c r="H132" s="4" t="s">
        <v>45</v>
      </c>
      <c r="I132" s="4">
        <v>0.5</v>
      </c>
      <c r="J132" s="4">
        <v>1</v>
      </c>
    </row>
    <row r="133" spans="1:10" ht="21" customHeight="1" x14ac:dyDescent="0.15">
      <c r="A133" s="67" t="str">
        <f t="shared" ref="A133:A134" si="9">B133&amp;"_"&amp;D133&amp;"_"&amp;E133</f>
        <v>15027_sat_N/A</v>
      </c>
      <c r="B133" s="84">
        <v>15027</v>
      </c>
      <c r="C133" s="47" t="str">
        <f ca="1">VLOOKUP($B133,OFFSET(quests!$A$1,0,0,COUNTA(quests!$A:$A),MATCH(C$1,quests!$1:$1,0)-MATCH($B$1,quests!$1:$1,0)+1),MATCH(C$1,quests!$1:$1,0)-MATCH($B$1,quests!$1:$1,0)+1,FALSE)</f>
        <v>27. 雷雨の登山道</v>
      </c>
      <c r="D133" s="4" t="s">
        <v>1378</v>
      </c>
      <c r="E133" s="229" t="s">
        <v>1377</v>
      </c>
      <c r="F133" s="228" t="s">
        <v>1381</v>
      </c>
      <c r="G133" s="227" t="s">
        <v>1404</v>
      </c>
      <c r="H133" s="4" t="s">
        <v>45</v>
      </c>
      <c r="I133" s="4">
        <v>0.5</v>
      </c>
      <c r="J133" s="4">
        <v>1</v>
      </c>
    </row>
    <row r="134" spans="1:10" ht="21" customHeight="1" x14ac:dyDescent="0.15">
      <c r="A134" s="67" t="str">
        <f t="shared" si="9"/>
        <v>15028_fri_N/A</v>
      </c>
      <c r="B134" s="84">
        <v>15028</v>
      </c>
      <c r="C134" s="47" t="str">
        <f ca="1">VLOOKUP($B134,OFFSET(quests!$A$1,0,0,COUNTA(quests!$A:$A),MATCH(C$1,quests!$1:$1,0)-MATCH($B$1,quests!$1:$1,0)+1),MATCH(C$1,quests!$1:$1,0)-MATCH($B$1,quests!$1:$1,0)+1,FALSE)</f>
        <v>28. 暴風と灼熱の罪浄</v>
      </c>
      <c r="D134" s="4" t="s">
        <v>1376</v>
      </c>
      <c r="E134" s="229" t="s">
        <v>1377</v>
      </c>
      <c r="F134" s="228" t="s">
        <v>1379</v>
      </c>
      <c r="G134" s="227" t="s">
        <v>1380</v>
      </c>
      <c r="H134" s="4" t="s">
        <v>45</v>
      </c>
      <c r="I134" s="4">
        <v>0.5</v>
      </c>
      <c r="J134" s="4">
        <v>1</v>
      </c>
    </row>
    <row r="135" spans="1:10" ht="21" customHeight="1" x14ac:dyDescent="0.15">
      <c r="A135" s="67" t="str">
        <f t="shared" ref="A135:A138" si="10">B135&amp;"_"&amp;D135&amp;"_"&amp;E135</f>
        <v>15028_sat_N/A</v>
      </c>
      <c r="B135" s="84">
        <v>15028</v>
      </c>
      <c r="C135" s="47" t="str">
        <f ca="1">VLOOKUP($B135,OFFSET(quests!$A$1,0,0,COUNTA(quests!$A:$A),MATCH(C$1,quests!$1:$1,0)-MATCH($B$1,quests!$1:$1,0)+1),MATCH(C$1,quests!$1:$1,0)-MATCH($B$1,quests!$1:$1,0)+1,FALSE)</f>
        <v>28. 暴風と灼熱の罪浄</v>
      </c>
      <c r="D135" s="4" t="s">
        <v>1378</v>
      </c>
      <c r="E135" s="229" t="s">
        <v>1377</v>
      </c>
      <c r="F135" s="228" t="s">
        <v>1381</v>
      </c>
      <c r="G135" s="227" t="s">
        <v>1404</v>
      </c>
      <c r="H135" s="4" t="s">
        <v>45</v>
      </c>
      <c r="I135" s="4">
        <v>0.5</v>
      </c>
      <c r="J135" s="4">
        <v>1</v>
      </c>
    </row>
    <row r="136" spans="1:10" ht="21" customHeight="1" x14ac:dyDescent="0.15">
      <c r="A136" s="67" t="str">
        <f t="shared" si="10"/>
        <v>15029_fri_N/A</v>
      </c>
      <c r="B136" s="84">
        <v>15029</v>
      </c>
      <c r="C136" s="47" t="str">
        <f ca="1">VLOOKUP($B136,OFFSET(quests!$A$1,0,0,COUNTA(quests!$A:$A),MATCH(C$1,quests!$1:$1,0)-MATCH($B$1,quests!$1:$1,0)+1),MATCH(C$1,quests!$1:$1,0)-MATCH($B$1,quests!$1:$1,0)+1,FALSE)</f>
        <v>29. 雪の望郷</v>
      </c>
      <c r="D136" s="4" t="s">
        <v>1376</v>
      </c>
      <c r="E136" s="229" t="s">
        <v>1377</v>
      </c>
      <c r="F136" s="228" t="s">
        <v>1379</v>
      </c>
      <c r="G136" s="227" t="s">
        <v>1380</v>
      </c>
      <c r="H136" s="4" t="s">
        <v>45</v>
      </c>
      <c r="I136" s="4">
        <v>0.5</v>
      </c>
      <c r="J136" s="4">
        <v>1</v>
      </c>
    </row>
    <row r="137" spans="1:10" ht="21" customHeight="1" x14ac:dyDescent="0.15">
      <c r="A137" s="67" t="str">
        <f t="shared" si="10"/>
        <v>15029_sat_N/A</v>
      </c>
      <c r="B137" s="84">
        <v>15029</v>
      </c>
      <c r="C137" s="47" t="str">
        <f ca="1">VLOOKUP($B137,OFFSET(quests!$A$1,0,0,COUNTA(quests!$A:$A),MATCH(C$1,quests!$1:$1,0)-MATCH($B$1,quests!$1:$1,0)+1),MATCH(C$1,quests!$1:$1,0)-MATCH($B$1,quests!$1:$1,0)+1,FALSE)</f>
        <v>29. 雪の望郷</v>
      </c>
      <c r="D137" s="4" t="s">
        <v>1378</v>
      </c>
      <c r="E137" s="229" t="s">
        <v>1377</v>
      </c>
      <c r="F137" s="228" t="s">
        <v>1381</v>
      </c>
      <c r="G137" s="227" t="s">
        <v>1404</v>
      </c>
      <c r="H137" s="4" t="s">
        <v>45</v>
      </c>
      <c r="I137" s="4">
        <v>0.5</v>
      </c>
      <c r="J137" s="4">
        <v>1</v>
      </c>
    </row>
    <row r="138" spans="1:10" ht="21" customHeight="1" x14ac:dyDescent="0.15">
      <c r="A138" s="67" t="str">
        <f t="shared" si="10"/>
        <v>15030_fri_N/A</v>
      </c>
      <c r="B138" s="84">
        <v>15030</v>
      </c>
      <c r="C138" s="47" t="str">
        <f ca="1">VLOOKUP($B138,OFFSET(quests!$A$1,0,0,COUNTA(quests!$A:$A),MATCH(C$1,quests!$1:$1,0)-MATCH($B$1,quests!$1:$1,0)+1),MATCH(C$1,quests!$1:$1,0)-MATCH($B$1,quests!$1:$1,0)+1,FALSE)</f>
        <v>30. 月夜のオールドシティ</v>
      </c>
      <c r="D138" s="4" t="s">
        <v>1376</v>
      </c>
      <c r="E138" s="229" t="s">
        <v>1377</v>
      </c>
      <c r="F138" s="228" t="s">
        <v>1379</v>
      </c>
      <c r="G138" s="227" t="s">
        <v>1380</v>
      </c>
      <c r="H138" s="4" t="s">
        <v>45</v>
      </c>
      <c r="I138" s="4">
        <v>0.5</v>
      </c>
      <c r="J138" s="4">
        <v>1</v>
      </c>
    </row>
    <row r="139" spans="1:10" ht="21" customHeight="1" x14ac:dyDescent="0.15">
      <c r="A139" s="67" t="str">
        <f t="shared" ref="A139:A140" si="11">B139&amp;"_"&amp;D139&amp;"_"&amp;E139</f>
        <v>15030_sat_N/A</v>
      </c>
      <c r="B139" s="84">
        <v>15030</v>
      </c>
      <c r="C139" s="47" t="str">
        <f ca="1">VLOOKUP($B139,OFFSET(quests!$A$1,0,0,COUNTA(quests!$A:$A),MATCH(C$1,quests!$1:$1,0)-MATCH($B$1,quests!$1:$1,0)+1),MATCH(C$1,quests!$1:$1,0)-MATCH($B$1,quests!$1:$1,0)+1,FALSE)</f>
        <v>30. 月夜のオールドシティ</v>
      </c>
      <c r="D139" s="4" t="s">
        <v>1378</v>
      </c>
      <c r="E139" s="229" t="s">
        <v>1377</v>
      </c>
      <c r="F139" s="228" t="s">
        <v>1381</v>
      </c>
      <c r="G139" s="227" t="s">
        <v>1404</v>
      </c>
      <c r="H139" s="4" t="s">
        <v>45</v>
      </c>
      <c r="I139" s="4">
        <v>0.5</v>
      </c>
      <c r="J139" s="4">
        <v>1</v>
      </c>
    </row>
    <row r="140" spans="1:10" ht="21" customHeight="1" x14ac:dyDescent="0.15">
      <c r="A140" s="67" t="str">
        <f t="shared" si="11"/>
        <v>15031_fri_N/A</v>
      </c>
      <c r="B140" s="84">
        <v>15031</v>
      </c>
      <c r="C140" s="47" t="str">
        <f ca="1">VLOOKUP($B140,OFFSET(quests!$A$1,0,0,COUNTA(quests!$A:$A),MATCH(C$1,quests!$1:$1,0)-MATCH($B$1,quests!$1:$1,0)+1),MATCH(C$1,quests!$1:$1,0)-MATCH($B$1,quests!$1:$1,0)+1,FALSE)</f>
        <v>31. 桜花乱城</v>
      </c>
      <c r="D140" s="4" t="s">
        <v>1376</v>
      </c>
      <c r="E140" s="229" t="s">
        <v>1377</v>
      </c>
      <c r="F140" s="228" t="s">
        <v>1379</v>
      </c>
      <c r="G140" s="227" t="s">
        <v>1380</v>
      </c>
      <c r="H140" s="4" t="s">
        <v>45</v>
      </c>
      <c r="I140" s="4">
        <v>0.5</v>
      </c>
      <c r="J140" s="4">
        <v>1</v>
      </c>
    </row>
    <row r="141" spans="1:10" ht="21" customHeight="1" x14ac:dyDescent="0.15">
      <c r="A141" s="67" t="str">
        <f t="shared" ref="A141" si="12">B141&amp;"_"&amp;D141&amp;"_"&amp;E141</f>
        <v>15031_sat_N/A</v>
      </c>
      <c r="B141" s="84">
        <v>15031</v>
      </c>
      <c r="C141" s="47" t="str">
        <f ca="1">VLOOKUP($B141,OFFSET(quests!$A$1,0,0,COUNTA(quests!$A:$A),MATCH(C$1,quests!$1:$1,0)-MATCH($B$1,quests!$1:$1,0)+1),MATCH(C$1,quests!$1:$1,0)-MATCH($B$1,quests!$1:$1,0)+1,FALSE)</f>
        <v>31. 桜花乱城</v>
      </c>
      <c r="D141" s="4" t="s">
        <v>1378</v>
      </c>
      <c r="E141" s="229" t="s">
        <v>1377</v>
      </c>
      <c r="F141" s="228" t="s">
        <v>1381</v>
      </c>
      <c r="G141" s="227" t="s">
        <v>1404</v>
      </c>
      <c r="H141" s="4" t="s">
        <v>45</v>
      </c>
      <c r="I141" s="4">
        <v>0.5</v>
      </c>
      <c r="J141" s="4">
        <v>1</v>
      </c>
    </row>
  </sheetData>
  <sheetProtection selectLockedCells="1" selectUnlockedCells="1"/>
  <autoFilter ref="B1:J97"/>
  <phoneticPr fontId="44"/>
  <conditionalFormatting sqref="E1 E8:E11 E14 E17 E6 E142:E1048576">
    <cfRule type="containsText" dxfId="227" priority="264" operator="containsText" text="PM">
      <formula>NOT(ISERROR(SEARCH("PM",E1)))</formula>
    </cfRule>
    <cfRule type="containsText" dxfId="226" priority="265" operator="containsText" text="AM">
      <formula>NOT(ISERROR(SEARCH("AM",E1)))</formula>
    </cfRule>
  </conditionalFormatting>
  <conditionalFormatting sqref="E7">
    <cfRule type="containsText" dxfId="225" priority="260" operator="containsText" text="PM">
      <formula>NOT(ISERROR(SEARCH("PM",E7)))</formula>
    </cfRule>
    <cfRule type="containsText" dxfId="224" priority="261" operator="containsText" text="AM">
      <formula>NOT(ISERROR(SEARCH("AM",E7)))</formula>
    </cfRule>
  </conditionalFormatting>
  <conditionalFormatting sqref="E24">
    <cfRule type="containsText" dxfId="223" priority="256" operator="containsText" text="PM">
      <formula>NOT(ISERROR(SEARCH("PM",E24)))</formula>
    </cfRule>
    <cfRule type="containsText" dxfId="222" priority="257" operator="containsText" text="AM">
      <formula>NOT(ISERROR(SEARCH("AM",E24)))</formula>
    </cfRule>
  </conditionalFormatting>
  <conditionalFormatting sqref="E25">
    <cfRule type="containsText" dxfId="221" priority="254" operator="containsText" text="PM">
      <formula>NOT(ISERROR(SEARCH("PM",E25)))</formula>
    </cfRule>
    <cfRule type="containsText" dxfId="220" priority="255" operator="containsText" text="AM">
      <formula>NOT(ISERROR(SEARCH("AM",E25)))</formula>
    </cfRule>
  </conditionalFormatting>
  <conditionalFormatting sqref="E12">
    <cfRule type="containsText" dxfId="219" priority="252" operator="containsText" text="PM">
      <formula>NOT(ISERROR(SEARCH("PM",E12)))</formula>
    </cfRule>
    <cfRule type="containsText" dxfId="218" priority="253" operator="containsText" text="AM">
      <formula>NOT(ISERROR(SEARCH("AM",E12)))</formula>
    </cfRule>
  </conditionalFormatting>
  <conditionalFormatting sqref="E13">
    <cfRule type="containsText" dxfId="217" priority="250" operator="containsText" text="PM">
      <formula>NOT(ISERROR(SEARCH("PM",E13)))</formula>
    </cfRule>
    <cfRule type="containsText" dxfId="216" priority="251" operator="containsText" text="AM">
      <formula>NOT(ISERROR(SEARCH("AM",E13)))</formula>
    </cfRule>
  </conditionalFormatting>
  <conditionalFormatting sqref="E15">
    <cfRule type="containsText" dxfId="215" priority="248" operator="containsText" text="PM">
      <formula>NOT(ISERROR(SEARCH("PM",E15)))</formula>
    </cfRule>
    <cfRule type="containsText" dxfId="214" priority="249" operator="containsText" text="AM">
      <formula>NOT(ISERROR(SEARCH("AM",E15)))</formula>
    </cfRule>
  </conditionalFormatting>
  <conditionalFormatting sqref="E16">
    <cfRule type="containsText" dxfId="213" priority="246" operator="containsText" text="PM">
      <formula>NOT(ISERROR(SEARCH("PM",E16)))</formula>
    </cfRule>
    <cfRule type="containsText" dxfId="212" priority="247" operator="containsText" text="AM">
      <formula>NOT(ISERROR(SEARCH("AM",E16)))</formula>
    </cfRule>
  </conditionalFormatting>
  <conditionalFormatting sqref="E18">
    <cfRule type="containsText" dxfId="211" priority="244" operator="containsText" text="PM">
      <formula>NOT(ISERROR(SEARCH("PM",E18)))</formula>
    </cfRule>
    <cfRule type="containsText" dxfId="210" priority="245" operator="containsText" text="AM">
      <formula>NOT(ISERROR(SEARCH("AM",E18)))</formula>
    </cfRule>
  </conditionalFormatting>
  <conditionalFormatting sqref="E19">
    <cfRule type="containsText" dxfId="209" priority="242" operator="containsText" text="PM">
      <formula>NOT(ISERROR(SEARCH("PM",E19)))</formula>
    </cfRule>
    <cfRule type="containsText" dxfId="208" priority="243" operator="containsText" text="AM">
      <formula>NOT(ISERROR(SEARCH("AM",E19)))</formula>
    </cfRule>
  </conditionalFormatting>
  <conditionalFormatting sqref="E37">
    <cfRule type="containsText" dxfId="207" priority="222" operator="containsText" text="PM">
      <formula>NOT(ISERROR(SEARCH("PM",E37)))</formula>
    </cfRule>
    <cfRule type="containsText" dxfId="206" priority="223" operator="containsText" text="AM">
      <formula>NOT(ISERROR(SEARCH("AM",E37)))</formula>
    </cfRule>
  </conditionalFormatting>
  <conditionalFormatting sqref="E26:E29 E32 E35">
    <cfRule type="containsText" dxfId="205" priority="238" operator="containsText" text="PM">
      <formula>NOT(ISERROR(SEARCH("PM",E26)))</formula>
    </cfRule>
    <cfRule type="containsText" dxfId="204" priority="239" operator="containsText" text="AM">
      <formula>NOT(ISERROR(SEARCH("AM",E26)))</formula>
    </cfRule>
  </conditionalFormatting>
  <conditionalFormatting sqref="E42">
    <cfRule type="containsText" dxfId="203" priority="236" operator="containsText" text="PM">
      <formula>NOT(ISERROR(SEARCH("PM",E42)))</formula>
    </cfRule>
    <cfRule type="containsText" dxfId="202" priority="237" operator="containsText" text="AM">
      <formula>NOT(ISERROR(SEARCH("AM",E42)))</formula>
    </cfRule>
  </conditionalFormatting>
  <conditionalFormatting sqref="E43">
    <cfRule type="containsText" dxfId="201" priority="234" operator="containsText" text="PM">
      <formula>NOT(ISERROR(SEARCH("PM",E43)))</formula>
    </cfRule>
    <cfRule type="containsText" dxfId="200" priority="235" operator="containsText" text="AM">
      <formula>NOT(ISERROR(SEARCH("AM",E43)))</formula>
    </cfRule>
  </conditionalFormatting>
  <conditionalFormatting sqref="E30">
    <cfRule type="containsText" dxfId="199" priority="232" operator="containsText" text="PM">
      <formula>NOT(ISERROR(SEARCH("PM",E30)))</formula>
    </cfRule>
    <cfRule type="containsText" dxfId="198" priority="233" operator="containsText" text="AM">
      <formula>NOT(ISERROR(SEARCH("AM",E30)))</formula>
    </cfRule>
  </conditionalFormatting>
  <conditionalFormatting sqref="E31">
    <cfRule type="containsText" dxfId="197" priority="230" operator="containsText" text="PM">
      <formula>NOT(ISERROR(SEARCH("PM",E31)))</formula>
    </cfRule>
    <cfRule type="containsText" dxfId="196" priority="231" operator="containsText" text="AM">
      <formula>NOT(ISERROR(SEARCH("AM",E31)))</formula>
    </cfRule>
  </conditionalFormatting>
  <conditionalFormatting sqref="E33">
    <cfRule type="containsText" dxfId="195" priority="228" operator="containsText" text="PM">
      <formula>NOT(ISERROR(SEARCH("PM",E33)))</formula>
    </cfRule>
    <cfRule type="containsText" dxfId="194" priority="229" operator="containsText" text="AM">
      <formula>NOT(ISERROR(SEARCH("AM",E33)))</formula>
    </cfRule>
  </conditionalFormatting>
  <conditionalFormatting sqref="E34">
    <cfRule type="containsText" dxfId="193" priority="226" operator="containsText" text="PM">
      <formula>NOT(ISERROR(SEARCH("PM",E34)))</formula>
    </cfRule>
    <cfRule type="containsText" dxfId="192" priority="227" operator="containsText" text="AM">
      <formula>NOT(ISERROR(SEARCH("AM",E34)))</formula>
    </cfRule>
  </conditionalFormatting>
  <conditionalFormatting sqref="E36">
    <cfRule type="containsText" dxfId="191" priority="224" operator="containsText" text="PM">
      <formula>NOT(ISERROR(SEARCH("PM",E36)))</formula>
    </cfRule>
    <cfRule type="containsText" dxfId="190" priority="225" operator="containsText" text="AM">
      <formula>NOT(ISERROR(SEARCH("AM",E36)))</formula>
    </cfRule>
  </conditionalFormatting>
  <conditionalFormatting sqref="E5">
    <cfRule type="containsText" dxfId="189" priority="214" operator="containsText" text="PM">
      <formula>NOT(ISERROR(SEARCH("PM",E5)))</formula>
    </cfRule>
    <cfRule type="containsText" dxfId="188" priority="215" operator="containsText" text="AM">
      <formula>NOT(ISERROR(SEARCH("AM",E5)))</formula>
    </cfRule>
  </conditionalFormatting>
  <conditionalFormatting sqref="E2">
    <cfRule type="containsText" dxfId="187" priority="220" operator="containsText" text="PM">
      <formula>NOT(ISERROR(SEARCH("PM",E2)))</formula>
    </cfRule>
    <cfRule type="containsText" dxfId="186" priority="221" operator="containsText" text="AM">
      <formula>NOT(ISERROR(SEARCH("AM",E2)))</formula>
    </cfRule>
  </conditionalFormatting>
  <conditionalFormatting sqref="E3">
    <cfRule type="containsText" dxfId="185" priority="218" operator="containsText" text="PM">
      <formula>NOT(ISERROR(SEARCH("PM",E3)))</formula>
    </cfRule>
    <cfRule type="containsText" dxfId="184" priority="219" operator="containsText" text="AM">
      <formula>NOT(ISERROR(SEARCH("AM",E3)))</formula>
    </cfRule>
  </conditionalFormatting>
  <conditionalFormatting sqref="E4">
    <cfRule type="containsText" dxfId="183" priority="216" operator="containsText" text="PM">
      <formula>NOT(ISERROR(SEARCH("PM",E4)))</formula>
    </cfRule>
    <cfRule type="containsText" dxfId="182" priority="217" operator="containsText" text="AM">
      <formula>NOT(ISERROR(SEARCH("AM",E4)))</formula>
    </cfRule>
  </conditionalFormatting>
  <conditionalFormatting sqref="E23">
    <cfRule type="containsText" dxfId="181" priority="206" operator="containsText" text="PM">
      <formula>NOT(ISERROR(SEARCH("PM",E23)))</formula>
    </cfRule>
    <cfRule type="containsText" dxfId="180" priority="207" operator="containsText" text="AM">
      <formula>NOT(ISERROR(SEARCH("AM",E23)))</formula>
    </cfRule>
  </conditionalFormatting>
  <conditionalFormatting sqref="E41">
    <cfRule type="containsText" dxfId="179" priority="198" operator="containsText" text="PM">
      <formula>NOT(ISERROR(SEARCH("PM",E41)))</formula>
    </cfRule>
    <cfRule type="containsText" dxfId="178" priority="199" operator="containsText" text="AM">
      <formula>NOT(ISERROR(SEARCH("AM",E41)))</formula>
    </cfRule>
  </conditionalFormatting>
  <conditionalFormatting sqref="E20">
    <cfRule type="containsText" dxfId="177" priority="212" operator="containsText" text="PM">
      <formula>NOT(ISERROR(SEARCH("PM",E20)))</formula>
    </cfRule>
    <cfRule type="containsText" dxfId="176" priority="213" operator="containsText" text="AM">
      <formula>NOT(ISERROR(SEARCH("AM",E20)))</formula>
    </cfRule>
  </conditionalFormatting>
  <conditionalFormatting sqref="E21">
    <cfRule type="containsText" dxfId="175" priority="210" operator="containsText" text="PM">
      <formula>NOT(ISERROR(SEARCH("PM",E21)))</formula>
    </cfRule>
    <cfRule type="containsText" dxfId="174" priority="211" operator="containsText" text="AM">
      <formula>NOT(ISERROR(SEARCH("AM",E21)))</formula>
    </cfRule>
  </conditionalFormatting>
  <conditionalFormatting sqref="E22">
    <cfRule type="containsText" dxfId="173" priority="208" operator="containsText" text="PM">
      <formula>NOT(ISERROR(SEARCH("PM",E22)))</formula>
    </cfRule>
    <cfRule type="containsText" dxfId="172" priority="209" operator="containsText" text="AM">
      <formula>NOT(ISERROR(SEARCH("AM",E22)))</formula>
    </cfRule>
  </conditionalFormatting>
  <conditionalFormatting sqref="E38">
    <cfRule type="containsText" dxfId="171" priority="204" operator="containsText" text="PM">
      <formula>NOT(ISERROR(SEARCH("PM",E38)))</formula>
    </cfRule>
    <cfRule type="containsText" dxfId="170" priority="205" operator="containsText" text="AM">
      <formula>NOT(ISERROR(SEARCH("AM",E38)))</formula>
    </cfRule>
  </conditionalFormatting>
  <conditionalFormatting sqref="E39">
    <cfRule type="containsText" dxfId="169" priority="202" operator="containsText" text="PM">
      <formula>NOT(ISERROR(SEARCH("PM",E39)))</formula>
    </cfRule>
    <cfRule type="containsText" dxfId="168" priority="203" operator="containsText" text="AM">
      <formula>NOT(ISERROR(SEARCH("AM",E39)))</formula>
    </cfRule>
  </conditionalFormatting>
  <conditionalFormatting sqref="E40">
    <cfRule type="containsText" dxfId="167" priority="200" operator="containsText" text="PM">
      <formula>NOT(ISERROR(SEARCH("PM",E40)))</formula>
    </cfRule>
    <cfRule type="containsText" dxfId="166" priority="201" operator="containsText" text="AM">
      <formula>NOT(ISERROR(SEARCH("AM",E40)))</formula>
    </cfRule>
  </conditionalFormatting>
  <conditionalFormatting sqref="E44:E47 E50 E53">
    <cfRule type="containsText" dxfId="165" priority="196" operator="containsText" text="PM">
      <formula>NOT(ISERROR(SEARCH("PM",E44)))</formula>
    </cfRule>
    <cfRule type="containsText" dxfId="164" priority="197" operator="containsText" text="AM">
      <formula>NOT(ISERROR(SEARCH("AM",E44)))</formula>
    </cfRule>
  </conditionalFormatting>
  <conditionalFormatting sqref="E60">
    <cfRule type="containsText" dxfId="163" priority="194" operator="containsText" text="PM">
      <formula>NOT(ISERROR(SEARCH("PM",E60)))</formula>
    </cfRule>
    <cfRule type="containsText" dxfId="162" priority="195" operator="containsText" text="AM">
      <formula>NOT(ISERROR(SEARCH("AM",E60)))</formula>
    </cfRule>
  </conditionalFormatting>
  <conditionalFormatting sqref="E61">
    <cfRule type="containsText" dxfId="161" priority="192" operator="containsText" text="PM">
      <formula>NOT(ISERROR(SEARCH("PM",E61)))</formula>
    </cfRule>
    <cfRule type="containsText" dxfId="160" priority="193" operator="containsText" text="AM">
      <formula>NOT(ISERROR(SEARCH("AM",E61)))</formula>
    </cfRule>
  </conditionalFormatting>
  <conditionalFormatting sqref="E48">
    <cfRule type="containsText" dxfId="159" priority="190" operator="containsText" text="PM">
      <formula>NOT(ISERROR(SEARCH("PM",E48)))</formula>
    </cfRule>
    <cfRule type="containsText" dxfId="158" priority="191" operator="containsText" text="AM">
      <formula>NOT(ISERROR(SEARCH("AM",E48)))</formula>
    </cfRule>
  </conditionalFormatting>
  <conditionalFormatting sqref="E49">
    <cfRule type="containsText" dxfId="157" priority="188" operator="containsText" text="PM">
      <formula>NOT(ISERROR(SEARCH("PM",E49)))</formula>
    </cfRule>
    <cfRule type="containsText" dxfId="156" priority="189" operator="containsText" text="AM">
      <formula>NOT(ISERROR(SEARCH("AM",E49)))</formula>
    </cfRule>
  </conditionalFormatting>
  <conditionalFormatting sqref="E51">
    <cfRule type="containsText" dxfId="155" priority="186" operator="containsText" text="PM">
      <formula>NOT(ISERROR(SEARCH("PM",E51)))</formula>
    </cfRule>
    <cfRule type="containsText" dxfId="154" priority="187" operator="containsText" text="AM">
      <formula>NOT(ISERROR(SEARCH("AM",E51)))</formula>
    </cfRule>
  </conditionalFormatting>
  <conditionalFormatting sqref="E52">
    <cfRule type="containsText" dxfId="153" priority="184" operator="containsText" text="PM">
      <formula>NOT(ISERROR(SEARCH("PM",E52)))</formula>
    </cfRule>
    <cfRule type="containsText" dxfId="152" priority="185" operator="containsText" text="AM">
      <formula>NOT(ISERROR(SEARCH("AM",E52)))</formula>
    </cfRule>
  </conditionalFormatting>
  <conditionalFormatting sqref="E54">
    <cfRule type="containsText" dxfId="151" priority="182" operator="containsText" text="PM">
      <formula>NOT(ISERROR(SEARCH("PM",E54)))</formula>
    </cfRule>
    <cfRule type="containsText" dxfId="150" priority="183" operator="containsText" text="AM">
      <formula>NOT(ISERROR(SEARCH("AM",E54)))</formula>
    </cfRule>
  </conditionalFormatting>
  <conditionalFormatting sqref="E55">
    <cfRule type="containsText" dxfId="149" priority="180" operator="containsText" text="PM">
      <formula>NOT(ISERROR(SEARCH("PM",E55)))</formula>
    </cfRule>
    <cfRule type="containsText" dxfId="148" priority="181" operator="containsText" text="AM">
      <formula>NOT(ISERROR(SEARCH("AM",E55)))</formula>
    </cfRule>
  </conditionalFormatting>
  <conditionalFormatting sqref="E59">
    <cfRule type="containsText" dxfId="147" priority="172" operator="containsText" text="PM">
      <formula>NOT(ISERROR(SEARCH("PM",E59)))</formula>
    </cfRule>
    <cfRule type="containsText" dxfId="146" priority="173" operator="containsText" text="AM">
      <formula>NOT(ISERROR(SEARCH("AM",E59)))</formula>
    </cfRule>
  </conditionalFormatting>
  <conditionalFormatting sqref="E56">
    <cfRule type="containsText" dxfId="145" priority="178" operator="containsText" text="PM">
      <formula>NOT(ISERROR(SEARCH("PM",E56)))</formula>
    </cfRule>
    <cfRule type="containsText" dxfId="144" priority="179" operator="containsText" text="AM">
      <formula>NOT(ISERROR(SEARCH("AM",E56)))</formula>
    </cfRule>
  </conditionalFormatting>
  <conditionalFormatting sqref="E57">
    <cfRule type="containsText" dxfId="143" priority="176" operator="containsText" text="PM">
      <formula>NOT(ISERROR(SEARCH("PM",E57)))</formula>
    </cfRule>
    <cfRule type="containsText" dxfId="142" priority="177" operator="containsText" text="AM">
      <formula>NOT(ISERROR(SEARCH("AM",E57)))</formula>
    </cfRule>
  </conditionalFormatting>
  <conditionalFormatting sqref="E58">
    <cfRule type="containsText" dxfId="141" priority="174" operator="containsText" text="PM">
      <formula>NOT(ISERROR(SEARCH("PM",E58)))</formula>
    </cfRule>
    <cfRule type="containsText" dxfId="140" priority="175" operator="containsText" text="AM">
      <formula>NOT(ISERROR(SEARCH("AM",E58)))</formula>
    </cfRule>
  </conditionalFormatting>
  <conditionalFormatting sqref="E62:E65 E68 E71">
    <cfRule type="containsText" dxfId="139" priority="170" operator="containsText" text="PM">
      <formula>NOT(ISERROR(SEARCH("PM",E62)))</formula>
    </cfRule>
    <cfRule type="containsText" dxfId="138" priority="171" operator="containsText" text="AM">
      <formula>NOT(ISERROR(SEARCH("AM",E62)))</formula>
    </cfRule>
  </conditionalFormatting>
  <conditionalFormatting sqref="E78">
    <cfRule type="containsText" dxfId="137" priority="168" operator="containsText" text="PM">
      <formula>NOT(ISERROR(SEARCH("PM",E78)))</formula>
    </cfRule>
    <cfRule type="containsText" dxfId="136" priority="169" operator="containsText" text="AM">
      <formula>NOT(ISERROR(SEARCH("AM",E78)))</formula>
    </cfRule>
  </conditionalFormatting>
  <conditionalFormatting sqref="E79">
    <cfRule type="containsText" dxfId="135" priority="166" operator="containsText" text="PM">
      <formula>NOT(ISERROR(SEARCH("PM",E79)))</formula>
    </cfRule>
    <cfRule type="containsText" dxfId="134" priority="167" operator="containsText" text="AM">
      <formula>NOT(ISERROR(SEARCH("AM",E79)))</formula>
    </cfRule>
  </conditionalFormatting>
  <conditionalFormatting sqref="E66">
    <cfRule type="containsText" dxfId="133" priority="164" operator="containsText" text="PM">
      <formula>NOT(ISERROR(SEARCH("PM",E66)))</formula>
    </cfRule>
    <cfRule type="containsText" dxfId="132" priority="165" operator="containsText" text="AM">
      <formula>NOT(ISERROR(SEARCH("AM",E66)))</formula>
    </cfRule>
  </conditionalFormatting>
  <conditionalFormatting sqref="E67">
    <cfRule type="containsText" dxfId="131" priority="162" operator="containsText" text="PM">
      <formula>NOT(ISERROR(SEARCH("PM",E67)))</formula>
    </cfRule>
    <cfRule type="containsText" dxfId="130" priority="163" operator="containsText" text="AM">
      <formula>NOT(ISERROR(SEARCH("AM",E67)))</formula>
    </cfRule>
  </conditionalFormatting>
  <conditionalFormatting sqref="E69">
    <cfRule type="containsText" dxfId="129" priority="160" operator="containsText" text="PM">
      <formula>NOT(ISERROR(SEARCH("PM",E69)))</formula>
    </cfRule>
    <cfRule type="containsText" dxfId="128" priority="161" operator="containsText" text="AM">
      <formula>NOT(ISERROR(SEARCH("AM",E69)))</formula>
    </cfRule>
  </conditionalFormatting>
  <conditionalFormatting sqref="E70">
    <cfRule type="containsText" dxfId="127" priority="158" operator="containsText" text="PM">
      <formula>NOT(ISERROR(SEARCH("PM",E70)))</formula>
    </cfRule>
    <cfRule type="containsText" dxfId="126" priority="159" operator="containsText" text="AM">
      <formula>NOT(ISERROR(SEARCH("AM",E70)))</formula>
    </cfRule>
  </conditionalFormatting>
  <conditionalFormatting sqref="E72">
    <cfRule type="containsText" dxfId="125" priority="156" operator="containsText" text="PM">
      <formula>NOT(ISERROR(SEARCH("PM",E72)))</formula>
    </cfRule>
    <cfRule type="containsText" dxfId="124" priority="157" operator="containsText" text="AM">
      <formula>NOT(ISERROR(SEARCH("AM",E72)))</formula>
    </cfRule>
  </conditionalFormatting>
  <conditionalFormatting sqref="E73">
    <cfRule type="containsText" dxfId="123" priority="154" operator="containsText" text="PM">
      <formula>NOT(ISERROR(SEARCH("PM",E73)))</formula>
    </cfRule>
    <cfRule type="containsText" dxfId="122" priority="155" operator="containsText" text="AM">
      <formula>NOT(ISERROR(SEARCH("AM",E73)))</formula>
    </cfRule>
  </conditionalFormatting>
  <conditionalFormatting sqref="E77">
    <cfRule type="containsText" dxfId="121" priority="146" operator="containsText" text="PM">
      <formula>NOT(ISERROR(SEARCH("PM",E77)))</formula>
    </cfRule>
    <cfRule type="containsText" dxfId="120" priority="147" operator="containsText" text="AM">
      <formula>NOT(ISERROR(SEARCH("AM",E77)))</formula>
    </cfRule>
  </conditionalFormatting>
  <conditionalFormatting sqref="E74">
    <cfRule type="containsText" dxfId="119" priority="152" operator="containsText" text="PM">
      <formula>NOT(ISERROR(SEARCH("PM",E74)))</formula>
    </cfRule>
    <cfRule type="containsText" dxfId="118" priority="153" operator="containsText" text="AM">
      <formula>NOT(ISERROR(SEARCH("AM",E74)))</formula>
    </cfRule>
  </conditionalFormatting>
  <conditionalFormatting sqref="E75">
    <cfRule type="containsText" dxfId="117" priority="150" operator="containsText" text="PM">
      <formula>NOT(ISERROR(SEARCH("PM",E75)))</formula>
    </cfRule>
    <cfRule type="containsText" dxfId="116" priority="151" operator="containsText" text="AM">
      <formula>NOT(ISERROR(SEARCH("AM",E75)))</formula>
    </cfRule>
  </conditionalFormatting>
  <conditionalFormatting sqref="E76">
    <cfRule type="containsText" dxfId="115" priority="148" operator="containsText" text="PM">
      <formula>NOT(ISERROR(SEARCH("PM",E76)))</formula>
    </cfRule>
    <cfRule type="containsText" dxfId="114" priority="149" operator="containsText" text="AM">
      <formula>NOT(ISERROR(SEARCH("AM",E76)))</formula>
    </cfRule>
  </conditionalFormatting>
  <conditionalFormatting sqref="E80:E83 E86 E89">
    <cfRule type="containsText" dxfId="113" priority="144" operator="containsText" text="PM">
      <formula>NOT(ISERROR(SEARCH("PM",E80)))</formula>
    </cfRule>
    <cfRule type="containsText" dxfId="112" priority="145" operator="containsText" text="AM">
      <formula>NOT(ISERROR(SEARCH("AM",E80)))</formula>
    </cfRule>
  </conditionalFormatting>
  <conditionalFormatting sqref="E96">
    <cfRule type="containsText" dxfId="111" priority="142" operator="containsText" text="PM">
      <formula>NOT(ISERROR(SEARCH("PM",E96)))</formula>
    </cfRule>
    <cfRule type="containsText" dxfId="110" priority="143" operator="containsText" text="AM">
      <formula>NOT(ISERROR(SEARCH("AM",E96)))</formula>
    </cfRule>
  </conditionalFormatting>
  <conditionalFormatting sqref="E97">
    <cfRule type="containsText" dxfId="109" priority="140" operator="containsText" text="PM">
      <formula>NOT(ISERROR(SEARCH("PM",E97)))</formula>
    </cfRule>
    <cfRule type="containsText" dxfId="108" priority="141" operator="containsText" text="AM">
      <formula>NOT(ISERROR(SEARCH("AM",E97)))</formula>
    </cfRule>
  </conditionalFormatting>
  <conditionalFormatting sqref="E84">
    <cfRule type="containsText" dxfId="107" priority="138" operator="containsText" text="PM">
      <formula>NOT(ISERROR(SEARCH("PM",E84)))</formula>
    </cfRule>
    <cfRule type="containsText" dxfId="106" priority="139" operator="containsText" text="AM">
      <formula>NOT(ISERROR(SEARCH("AM",E84)))</formula>
    </cfRule>
  </conditionalFormatting>
  <conditionalFormatting sqref="E85">
    <cfRule type="containsText" dxfId="105" priority="136" operator="containsText" text="PM">
      <formula>NOT(ISERROR(SEARCH("PM",E85)))</formula>
    </cfRule>
    <cfRule type="containsText" dxfId="104" priority="137" operator="containsText" text="AM">
      <formula>NOT(ISERROR(SEARCH("AM",E85)))</formula>
    </cfRule>
  </conditionalFormatting>
  <conditionalFormatting sqref="E87">
    <cfRule type="containsText" dxfId="103" priority="134" operator="containsText" text="PM">
      <formula>NOT(ISERROR(SEARCH("PM",E87)))</formula>
    </cfRule>
    <cfRule type="containsText" dxfId="102" priority="135" operator="containsText" text="AM">
      <formula>NOT(ISERROR(SEARCH("AM",E87)))</formula>
    </cfRule>
  </conditionalFormatting>
  <conditionalFormatting sqref="E88">
    <cfRule type="containsText" dxfId="101" priority="132" operator="containsText" text="PM">
      <formula>NOT(ISERROR(SEARCH("PM",E88)))</formula>
    </cfRule>
    <cfRule type="containsText" dxfId="100" priority="133" operator="containsText" text="AM">
      <formula>NOT(ISERROR(SEARCH("AM",E88)))</formula>
    </cfRule>
  </conditionalFormatting>
  <conditionalFormatting sqref="E90">
    <cfRule type="containsText" dxfId="99" priority="130" operator="containsText" text="PM">
      <formula>NOT(ISERROR(SEARCH("PM",E90)))</formula>
    </cfRule>
    <cfRule type="containsText" dxfId="98" priority="131" operator="containsText" text="AM">
      <formula>NOT(ISERROR(SEARCH("AM",E90)))</formula>
    </cfRule>
  </conditionalFormatting>
  <conditionalFormatting sqref="E91">
    <cfRule type="containsText" dxfId="97" priority="128" operator="containsText" text="PM">
      <formula>NOT(ISERROR(SEARCH("PM",E91)))</formula>
    </cfRule>
    <cfRule type="containsText" dxfId="96" priority="129" operator="containsText" text="AM">
      <formula>NOT(ISERROR(SEARCH("AM",E91)))</formula>
    </cfRule>
  </conditionalFormatting>
  <conditionalFormatting sqref="E95">
    <cfRule type="containsText" dxfId="95" priority="120" operator="containsText" text="PM">
      <formula>NOT(ISERROR(SEARCH("PM",E95)))</formula>
    </cfRule>
    <cfRule type="containsText" dxfId="94" priority="121" operator="containsText" text="AM">
      <formula>NOT(ISERROR(SEARCH("AM",E95)))</formula>
    </cfRule>
  </conditionalFormatting>
  <conditionalFormatting sqref="E92">
    <cfRule type="containsText" dxfId="93" priority="126" operator="containsText" text="PM">
      <formula>NOT(ISERROR(SEARCH("PM",E92)))</formula>
    </cfRule>
    <cfRule type="containsText" dxfId="92" priority="127" operator="containsText" text="AM">
      <formula>NOT(ISERROR(SEARCH("AM",E92)))</formula>
    </cfRule>
  </conditionalFormatting>
  <conditionalFormatting sqref="E93">
    <cfRule type="containsText" dxfId="91" priority="124" operator="containsText" text="PM">
      <formula>NOT(ISERROR(SEARCH("PM",E93)))</formula>
    </cfRule>
    <cfRule type="containsText" dxfId="90" priority="125" operator="containsText" text="AM">
      <formula>NOT(ISERROR(SEARCH("AM",E93)))</formula>
    </cfRule>
  </conditionalFormatting>
  <conditionalFormatting sqref="E94">
    <cfRule type="containsText" dxfId="89" priority="122" operator="containsText" text="PM">
      <formula>NOT(ISERROR(SEARCH("PM",E94)))</formula>
    </cfRule>
    <cfRule type="containsText" dxfId="88" priority="123" operator="containsText" text="AM">
      <formula>NOT(ISERROR(SEARCH("AM",E94)))</formula>
    </cfRule>
  </conditionalFormatting>
  <conditionalFormatting sqref="E98">
    <cfRule type="containsText" dxfId="87" priority="91" operator="containsText" text="PM">
      <formula>NOT(ISERROR(SEARCH("PM",E98)))</formula>
    </cfRule>
    <cfRule type="containsText" dxfId="86" priority="92" operator="containsText" text="AM">
      <formula>NOT(ISERROR(SEARCH("AM",E98)))</formula>
    </cfRule>
  </conditionalFormatting>
  <conditionalFormatting sqref="E99">
    <cfRule type="containsText" dxfId="85" priority="89" operator="containsText" text="PM">
      <formula>NOT(ISERROR(SEARCH("PM",E99)))</formula>
    </cfRule>
    <cfRule type="containsText" dxfId="84" priority="90" operator="containsText" text="AM">
      <formula>NOT(ISERROR(SEARCH("AM",E99)))</formula>
    </cfRule>
  </conditionalFormatting>
  <conditionalFormatting sqref="E100">
    <cfRule type="containsText" dxfId="83" priority="87" operator="containsText" text="PM">
      <formula>NOT(ISERROR(SEARCH("PM",E100)))</formula>
    </cfRule>
    <cfRule type="containsText" dxfId="82" priority="88" operator="containsText" text="AM">
      <formula>NOT(ISERROR(SEARCH("AM",E100)))</formula>
    </cfRule>
  </conditionalFormatting>
  <conditionalFormatting sqref="E101">
    <cfRule type="containsText" dxfId="81" priority="85" operator="containsText" text="PM">
      <formula>NOT(ISERROR(SEARCH("PM",E101)))</formula>
    </cfRule>
    <cfRule type="containsText" dxfId="80" priority="86" operator="containsText" text="AM">
      <formula>NOT(ISERROR(SEARCH("AM",E101)))</formula>
    </cfRule>
  </conditionalFormatting>
  <conditionalFormatting sqref="E102">
    <cfRule type="containsText" dxfId="79" priority="83" operator="containsText" text="PM">
      <formula>NOT(ISERROR(SEARCH("PM",E102)))</formula>
    </cfRule>
    <cfRule type="containsText" dxfId="78" priority="84" operator="containsText" text="AM">
      <formula>NOT(ISERROR(SEARCH("AM",E102)))</formula>
    </cfRule>
  </conditionalFormatting>
  <conditionalFormatting sqref="E103">
    <cfRule type="containsText" dxfId="77" priority="81" operator="containsText" text="PM">
      <formula>NOT(ISERROR(SEARCH("PM",E103)))</formula>
    </cfRule>
    <cfRule type="containsText" dxfId="76" priority="82" operator="containsText" text="AM">
      <formula>NOT(ISERROR(SEARCH("AM",E103)))</formula>
    </cfRule>
  </conditionalFormatting>
  <conditionalFormatting sqref="E104">
    <cfRule type="containsText" dxfId="75" priority="79" operator="containsText" text="PM">
      <formula>NOT(ISERROR(SEARCH("PM",E104)))</formula>
    </cfRule>
    <cfRule type="containsText" dxfId="74" priority="80" operator="containsText" text="AM">
      <formula>NOT(ISERROR(SEARCH("AM",E104)))</formula>
    </cfRule>
  </conditionalFormatting>
  <conditionalFormatting sqref="E105">
    <cfRule type="containsText" dxfId="73" priority="77" operator="containsText" text="PM">
      <formula>NOT(ISERROR(SEARCH("PM",E105)))</formula>
    </cfRule>
    <cfRule type="containsText" dxfId="72" priority="78" operator="containsText" text="AM">
      <formula>NOT(ISERROR(SEARCH("AM",E105)))</formula>
    </cfRule>
  </conditionalFormatting>
  <conditionalFormatting sqref="E106">
    <cfRule type="containsText" dxfId="71" priority="75" operator="containsText" text="PM">
      <formula>NOT(ISERROR(SEARCH("PM",E106)))</formula>
    </cfRule>
    <cfRule type="containsText" dxfId="70" priority="76" operator="containsText" text="AM">
      <formula>NOT(ISERROR(SEARCH("AM",E106)))</formula>
    </cfRule>
  </conditionalFormatting>
  <conditionalFormatting sqref="E107">
    <cfRule type="containsText" dxfId="69" priority="73" operator="containsText" text="PM">
      <formula>NOT(ISERROR(SEARCH("PM",E107)))</formula>
    </cfRule>
    <cfRule type="containsText" dxfId="68" priority="74" operator="containsText" text="AM">
      <formula>NOT(ISERROR(SEARCH("AM",E107)))</formula>
    </cfRule>
  </conditionalFormatting>
  <conditionalFormatting sqref="E108">
    <cfRule type="containsText" dxfId="67" priority="71" operator="containsText" text="PM">
      <formula>NOT(ISERROR(SEARCH("PM",E108)))</formula>
    </cfRule>
    <cfRule type="containsText" dxfId="66" priority="72" operator="containsText" text="AM">
      <formula>NOT(ISERROR(SEARCH("AM",E108)))</formula>
    </cfRule>
  </conditionalFormatting>
  <conditionalFormatting sqref="E109">
    <cfRule type="containsText" dxfId="65" priority="69" operator="containsText" text="PM">
      <formula>NOT(ISERROR(SEARCH("PM",E109)))</formula>
    </cfRule>
    <cfRule type="containsText" dxfId="64" priority="70" operator="containsText" text="AM">
      <formula>NOT(ISERROR(SEARCH("AM",E109)))</formula>
    </cfRule>
  </conditionalFormatting>
  <conditionalFormatting sqref="E110">
    <cfRule type="containsText" dxfId="63" priority="67" operator="containsText" text="PM">
      <formula>NOT(ISERROR(SEARCH("PM",E110)))</formula>
    </cfRule>
    <cfRule type="containsText" dxfId="62" priority="68" operator="containsText" text="AM">
      <formula>NOT(ISERROR(SEARCH("AM",E110)))</formula>
    </cfRule>
  </conditionalFormatting>
  <conditionalFormatting sqref="E111">
    <cfRule type="containsText" dxfId="61" priority="65" operator="containsText" text="PM">
      <formula>NOT(ISERROR(SEARCH("PM",E111)))</formula>
    </cfRule>
    <cfRule type="containsText" dxfId="60" priority="66" operator="containsText" text="AM">
      <formula>NOT(ISERROR(SEARCH("AM",E111)))</formula>
    </cfRule>
  </conditionalFormatting>
  <conditionalFormatting sqref="E112">
    <cfRule type="containsText" dxfId="59" priority="63" operator="containsText" text="PM">
      <formula>NOT(ISERROR(SEARCH("PM",E112)))</formula>
    </cfRule>
    <cfRule type="containsText" dxfId="58" priority="64" operator="containsText" text="AM">
      <formula>NOT(ISERROR(SEARCH("AM",E112)))</formula>
    </cfRule>
  </conditionalFormatting>
  <conditionalFormatting sqref="E113">
    <cfRule type="containsText" dxfId="57" priority="61" operator="containsText" text="PM">
      <formula>NOT(ISERROR(SEARCH("PM",E113)))</formula>
    </cfRule>
    <cfRule type="containsText" dxfId="56" priority="62" operator="containsText" text="AM">
      <formula>NOT(ISERROR(SEARCH("AM",E113)))</formula>
    </cfRule>
  </conditionalFormatting>
  <conditionalFormatting sqref="E114">
    <cfRule type="containsText" dxfId="55" priority="59" operator="containsText" text="PM">
      <formula>NOT(ISERROR(SEARCH("PM",E114)))</formula>
    </cfRule>
    <cfRule type="containsText" dxfId="54" priority="60" operator="containsText" text="AM">
      <formula>NOT(ISERROR(SEARCH("AM",E114)))</formula>
    </cfRule>
  </conditionalFormatting>
  <conditionalFormatting sqref="E115">
    <cfRule type="containsText" dxfId="53" priority="57" operator="containsText" text="PM">
      <formula>NOT(ISERROR(SEARCH("PM",E115)))</formula>
    </cfRule>
    <cfRule type="containsText" dxfId="52" priority="58" operator="containsText" text="AM">
      <formula>NOT(ISERROR(SEARCH("AM",E115)))</formula>
    </cfRule>
  </conditionalFormatting>
  <conditionalFormatting sqref="E116">
    <cfRule type="containsText" dxfId="51" priority="55" operator="containsText" text="PM">
      <formula>NOT(ISERROR(SEARCH("PM",E116)))</formula>
    </cfRule>
    <cfRule type="containsText" dxfId="50" priority="56" operator="containsText" text="AM">
      <formula>NOT(ISERROR(SEARCH("AM",E116)))</formula>
    </cfRule>
  </conditionalFormatting>
  <conditionalFormatting sqref="E117">
    <cfRule type="containsText" dxfId="49" priority="53" operator="containsText" text="PM">
      <formula>NOT(ISERROR(SEARCH("PM",E117)))</formula>
    </cfRule>
    <cfRule type="containsText" dxfId="48" priority="54" operator="containsText" text="AM">
      <formula>NOT(ISERROR(SEARCH("AM",E117)))</formula>
    </cfRule>
  </conditionalFormatting>
  <conditionalFormatting sqref="E118">
    <cfRule type="containsText" dxfId="47" priority="51" operator="containsText" text="PM">
      <formula>NOT(ISERROR(SEARCH("PM",E118)))</formula>
    </cfRule>
    <cfRule type="containsText" dxfId="46" priority="52" operator="containsText" text="AM">
      <formula>NOT(ISERROR(SEARCH("AM",E118)))</formula>
    </cfRule>
  </conditionalFormatting>
  <conditionalFormatting sqref="E119">
    <cfRule type="containsText" dxfId="45" priority="49" operator="containsText" text="PM">
      <formula>NOT(ISERROR(SEARCH("PM",E119)))</formula>
    </cfRule>
    <cfRule type="containsText" dxfId="44" priority="50" operator="containsText" text="AM">
      <formula>NOT(ISERROR(SEARCH("AM",E119)))</formula>
    </cfRule>
  </conditionalFormatting>
  <conditionalFormatting sqref="E122">
    <cfRule type="containsText" dxfId="43" priority="43" operator="containsText" text="PM">
      <formula>NOT(ISERROR(SEARCH("PM",E122)))</formula>
    </cfRule>
    <cfRule type="containsText" dxfId="42" priority="44" operator="containsText" text="AM">
      <formula>NOT(ISERROR(SEARCH("AM",E122)))</formula>
    </cfRule>
  </conditionalFormatting>
  <conditionalFormatting sqref="E123">
    <cfRule type="containsText" dxfId="41" priority="41" operator="containsText" text="PM">
      <formula>NOT(ISERROR(SEARCH("PM",E123)))</formula>
    </cfRule>
    <cfRule type="containsText" dxfId="40" priority="42" operator="containsText" text="AM">
      <formula>NOT(ISERROR(SEARCH("AM",E123)))</formula>
    </cfRule>
  </conditionalFormatting>
  <conditionalFormatting sqref="E124">
    <cfRule type="containsText" dxfId="39" priority="39" operator="containsText" text="PM">
      <formula>NOT(ISERROR(SEARCH("PM",E124)))</formula>
    </cfRule>
    <cfRule type="containsText" dxfId="38" priority="40" operator="containsText" text="AM">
      <formula>NOT(ISERROR(SEARCH("AM",E124)))</formula>
    </cfRule>
  </conditionalFormatting>
  <conditionalFormatting sqref="E125">
    <cfRule type="containsText" dxfId="37" priority="37" operator="containsText" text="PM">
      <formula>NOT(ISERROR(SEARCH("PM",E125)))</formula>
    </cfRule>
    <cfRule type="containsText" dxfId="36" priority="38" operator="containsText" text="AM">
      <formula>NOT(ISERROR(SEARCH("AM",E125)))</formula>
    </cfRule>
  </conditionalFormatting>
  <conditionalFormatting sqref="E126">
    <cfRule type="containsText" dxfId="35" priority="35" operator="containsText" text="PM">
      <formula>NOT(ISERROR(SEARCH("PM",E126)))</formula>
    </cfRule>
    <cfRule type="containsText" dxfId="34" priority="36" operator="containsText" text="AM">
      <formula>NOT(ISERROR(SEARCH("AM",E126)))</formula>
    </cfRule>
  </conditionalFormatting>
  <conditionalFormatting sqref="E127">
    <cfRule type="containsText" dxfId="33" priority="33" operator="containsText" text="PM">
      <formula>NOT(ISERROR(SEARCH("PM",E127)))</formula>
    </cfRule>
    <cfRule type="containsText" dxfId="32" priority="34" operator="containsText" text="AM">
      <formula>NOT(ISERROR(SEARCH("AM",E127)))</formula>
    </cfRule>
  </conditionalFormatting>
  <conditionalFormatting sqref="E128">
    <cfRule type="containsText" dxfId="31" priority="31" operator="containsText" text="PM">
      <formula>NOT(ISERROR(SEARCH("PM",E128)))</formula>
    </cfRule>
    <cfRule type="containsText" dxfId="30" priority="32" operator="containsText" text="AM">
      <formula>NOT(ISERROR(SEARCH("AM",E128)))</formula>
    </cfRule>
  </conditionalFormatting>
  <conditionalFormatting sqref="E129">
    <cfRule type="containsText" dxfId="29" priority="29" operator="containsText" text="PM">
      <formula>NOT(ISERROR(SEARCH("PM",E129)))</formula>
    </cfRule>
    <cfRule type="containsText" dxfId="28" priority="30" operator="containsText" text="AM">
      <formula>NOT(ISERROR(SEARCH("AM",E129)))</formula>
    </cfRule>
  </conditionalFormatting>
  <conditionalFormatting sqref="E130">
    <cfRule type="containsText" dxfId="27" priority="27" operator="containsText" text="PM">
      <formula>NOT(ISERROR(SEARCH("PM",E130)))</formula>
    </cfRule>
    <cfRule type="containsText" dxfId="26" priority="28" operator="containsText" text="AM">
      <formula>NOT(ISERROR(SEARCH("AM",E130)))</formula>
    </cfRule>
  </conditionalFormatting>
  <conditionalFormatting sqref="E131">
    <cfRule type="containsText" dxfId="25" priority="25" operator="containsText" text="PM">
      <formula>NOT(ISERROR(SEARCH("PM",E131)))</formula>
    </cfRule>
    <cfRule type="containsText" dxfId="24" priority="26" operator="containsText" text="AM">
      <formula>NOT(ISERROR(SEARCH("AM",E131)))</formula>
    </cfRule>
  </conditionalFormatting>
  <conditionalFormatting sqref="E132">
    <cfRule type="containsText" dxfId="23" priority="23" operator="containsText" text="PM">
      <formula>NOT(ISERROR(SEARCH("PM",E132)))</formula>
    </cfRule>
    <cfRule type="containsText" dxfId="22" priority="24" operator="containsText" text="AM">
      <formula>NOT(ISERROR(SEARCH("AM",E132)))</formula>
    </cfRule>
  </conditionalFormatting>
  <conditionalFormatting sqref="E133">
    <cfRule type="containsText" dxfId="21" priority="21" operator="containsText" text="PM">
      <formula>NOT(ISERROR(SEARCH("PM",E133)))</formula>
    </cfRule>
    <cfRule type="containsText" dxfId="20" priority="22" operator="containsText" text="AM">
      <formula>NOT(ISERROR(SEARCH("AM",E133)))</formula>
    </cfRule>
  </conditionalFormatting>
  <conditionalFormatting sqref="E134">
    <cfRule type="containsText" dxfId="19" priority="19" operator="containsText" text="PM">
      <formula>NOT(ISERROR(SEARCH("PM",E134)))</formula>
    </cfRule>
    <cfRule type="containsText" dxfId="18" priority="20" operator="containsText" text="AM">
      <formula>NOT(ISERROR(SEARCH("AM",E134)))</formula>
    </cfRule>
  </conditionalFormatting>
  <conditionalFormatting sqref="E135">
    <cfRule type="containsText" dxfId="17" priority="17" operator="containsText" text="PM">
      <formula>NOT(ISERROR(SEARCH("PM",E135)))</formula>
    </cfRule>
    <cfRule type="containsText" dxfId="16" priority="18" operator="containsText" text="AM">
      <formula>NOT(ISERROR(SEARCH("AM",E135)))</formula>
    </cfRule>
  </conditionalFormatting>
  <conditionalFormatting sqref="E136">
    <cfRule type="containsText" dxfId="15" priority="15" operator="containsText" text="PM">
      <formula>NOT(ISERROR(SEARCH("PM",E136)))</formula>
    </cfRule>
    <cfRule type="containsText" dxfId="14" priority="16" operator="containsText" text="AM">
      <formula>NOT(ISERROR(SEARCH("AM",E136)))</formula>
    </cfRule>
  </conditionalFormatting>
  <conditionalFormatting sqref="E137">
    <cfRule type="containsText" dxfId="13" priority="13" operator="containsText" text="PM">
      <formula>NOT(ISERROR(SEARCH("PM",E137)))</formula>
    </cfRule>
    <cfRule type="containsText" dxfId="12" priority="14" operator="containsText" text="AM">
      <formula>NOT(ISERROR(SEARCH("AM",E137)))</formula>
    </cfRule>
  </conditionalFormatting>
  <conditionalFormatting sqref="E138">
    <cfRule type="containsText" dxfId="11" priority="11" operator="containsText" text="PM">
      <formula>NOT(ISERROR(SEARCH("PM",E138)))</formula>
    </cfRule>
    <cfRule type="containsText" dxfId="10" priority="12" operator="containsText" text="AM">
      <formula>NOT(ISERROR(SEARCH("AM",E138)))</formula>
    </cfRule>
  </conditionalFormatting>
  <conditionalFormatting sqref="E139">
    <cfRule type="containsText" dxfId="9" priority="9" operator="containsText" text="PM">
      <formula>NOT(ISERROR(SEARCH("PM",E139)))</formula>
    </cfRule>
    <cfRule type="containsText" dxfId="8" priority="10" operator="containsText" text="AM">
      <formula>NOT(ISERROR(SEARCH("AM",E139)))</formula>
    </cfRule>
  </conditionalFormatting>
  <conditionalFormatting sqref="E140">
    <cfRule type="containsText" dxfId="7" priority="7" operator="containsText" text="PM">
      <formula>NOT(ISERROR(SEARCH("PM",E140)))</formula>
    </cfRule>
    <cfRule type="containsText" dxfId="6" priority="8" operator="containsText" text="AM">
      <formula>NOT(ISERROR(SEARCH("AM",E140)))</formula>
    </cfRule>
  </conditionalFormatting>
  <conditionalFormatting sqref="E141">
    <cfRule type="containsText" dxfId="5" priority="5" operator="containsText" text="PM">
      <formula>NOT(ISERROR(SEARCH("PM",E141)))</formula>
    </cfRule>
    <cfRule type="containsText" dxfId="4" priority="6" operator="containsText" text="AM">
      <formula>NOT(ISERROR(SEARCH("AM",E141)))</formula>
    </cfRule>
  </conditionalFormatting>
  <conditionalFormatting sqref="E120">
    <cfRule type="containsText" dxfId="3" priority="3" operator="containsText" text="PM">
      <formula>NOT(ISERROR(SEARCH("PM",E120)))</formula>
    </cfRule>
    <cfRule type="containsText" dxfId="2" priority="4" operator="containsText" text="AM">
      <formula>NOT(ISERROR(SEARCH("AM",E120)))</formula>
    </cfRule>
  </conditionalFormatting>
  <conditionalFormatting sqref="E121">
    <cfRule type="containsText" dxfId="1" priority="1" operator="containsText" text="PM">
      <formula>NOT(ISERROR(SEARCH("PM",E121)))</formula>
    </cfRule>
    <cfRule type="containsText" dxfId="0" priority="2" operator="containsText" text="AM">
      <formula>NOT(ISERROR(SEARCH("AM",E121)))</formula>
    </cfRule>
  </conditionalFormatting>
  <pageMargins left="0.74791666666666667" right="0.74791666666666667" top="0.98402777777777772" bottom="0.98402777777777772" header="0.51180555555555551" footer="0.51180555555555551"/>
  <pageSetup paperSize="9" orientation="portrait" horizontalDpi="0" verticalDpi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output</vt:lpstr>
      <vt:lpstr>マスタ</vt:lpstr>
      <vt:lpstr>quests</vt:lpstr>
      <vt:lpstr>stages</vt:lpstr>
      <vt:lpstr>weekly_quests</vt:lpstr>
      <vt:lpstr>rank_quests</vt:lpstr>
      <vt:lpstr>event_quests</vt:lpstr>
      <vt:lpstr>banners</vt:lpstr>
      <vt:lpstr>guerilla_quests</vt:lpstr>
      <vt:lpstr>noon_guerilla_times</vt:lpstr>
      <vt:lpstr>night_guerilla_times</vt:lpstr>
      <vt:lpstr>automatic_quest_bonuses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2015-03-27T02:34:45Z</dcterms:created>
  <dcterms:modified xsi:type="dcterms:W3CDTF">2017-06-09T10:07:57Z</dcterms:modified>
</cp:coreProperties>
</file>