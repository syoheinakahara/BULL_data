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io_takigawa/BULL_data/master_excel/"/>
    </mc:Choice>
  </mc:AlternateContent>
  <bookViews>
    <workbookView xWindow="0" yWindow="460" windowWidth="28800" windowHeight="16480" tabRatio="885" activeTab="9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enemy_habitat_S!$B$1:$Y$2</definedName>
    <definedName name="_xlnm._FilterDatabase" localSheetId="2" hidden="1">enemy_habitats!$B$1:$AH$1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3" i="21" l="1"/>
  <c r="J33" i="21"/>
  <c r="G33" i="21"/>
  <c r="F33" i="21"/>
  <c r="D33" i="21"/>
  <c r="C33" i="21"/>
  <c r="I32" i="21"/>
  <c r="J32" i="21"/>
  <c r="G32" i="21"/>
  <c r="F32" i="21"/>
  <c r="D32" i="21"/>
  <c r="C32" i="21"/>
  <c r="I31" i="21"/>
  <c r="J31" i="21"/>
  <c r="G31" i="21"/>
  <c r="F31" i="21"/>
  <c r="D31" i="21"/>
  <c r="C31" i="21"/>
  <c r="I30" i="21"/>
  <c r="J30" i="21"/>
  <c r="G30" i="21"/>
  <c r="F30" i="21"/>
  <c r="D30" i="21"/>
  <c r="C30" i="21"/>
  <c r="I29" i="21"/>
  <c r="J29" i="21"/>
  <c r="G29" i="21"/>
  <c r="F29" i="21"/>
  <c r="D29" i="21"/>
  <c r="C29" i="21"/>
  <c r="I28" i="21"/>
  <c r="J28" i="21"/>
  <c r="G28" i="21"/>
  <c r="F28" i="21"/>
  <c r="D28" i="21"/>
  <c r="C28" i="21"/>
  <c r="I27" i="21"/>
  <c r="J27" i="21"/>
  <c r="G27" i="21"/>
  <c r="F27" i="21"/>
  <c r="D27" i="21"/>
  <c r="C27" i="21"/>
  <c r="I26" i="21"/>
  <c r="J26" i="21"/>
  <c r="G26" i="21"/>
  <c r="F26" i="21"/>
  <c r="D26" i="21"/>
  <c r="C26" i="21"/>
  <c r="I25" i="21"/>
  <c r="J25" i="21"/>
  <c r="G25" i="21"/>
  <c r="F25" i="21"/>
  <c r="D25" i="21"/>
  <c r="C25" i="21"/>
  <c r="I24" i="21"/>
  <c r="J24" i="21"/>
  <c r="G24" i="21"/>
  <c r="F24" i="21"/>
  <c r="D24" i="21"/>
  <c r="C24" i="21"/>
  <c r="I23" i="21"/>
  <c r="J23" i="21"/>
  <c r="G23" i="21"/>
  <c r="F23" i="21"/>
  <c r="D23" i="21"/>
  <c r="C23" i="21"/>
  <c r="I22" i="21"/>
  <c r="J22" i="21"/>
  <c r="G22" i="21"/>
  <c r="F22" i="21"/>
  <c r="D22" i="21"/>
  <c r="C22" i="21"/>
  <c r="I21" i="21"/>
  <c r="J21" i="21"/>
  <c r="G21" i="21"/>
  <c r="F21" i="21"/>
  <c r="D21" i="21"/>
  <c r="C21" i="21"/>
  <c r="I20" i="21"/>
  <c r="J20" i="21"/>
  <c r="G20" i="21"/>
  <c r="F20" i="21"/>
  <c r="D20" i="21"/>
  <c r="C20" i="21"/>
  <c r="I19" i="21"/>
  <c r="J19" i="21"/>
  <c r="G19" i="21"/>
  <c r="F19" i="21"/>
  <c r="D19" i="21"/>
  <c r="C19" i="21"/>
  <c r="I18" i="21"/>
  <c r="I2" i="21"/>
  <c r="J18" i="21"/>
  <c r="G18" i="21"/>
  <c r="F18" i="21"/>
  <c r="D18" i="21"/>
  <c r="C18" i="21"/>
  <c r="U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U31" i="18"/>
  <c r="U32" i="18"/>
  <c r="U33" i="18"/>
  <c r="U34" i="18"/>
  <c r="U35" i="18"/>
  <c r="U36" i="18"/>
  <c r="U37" i="18"/>
  <c r="U38" i="18"/>
  <c r="U39" i="18"/>
  <c r="U40" i="18"/>
  <c r="U41" i="18"/>
  <c r="U42" i="18"/>
  <c r="U43" i="18"/>
  <c r="U44" i="18"/>
  <c r="U45" i="18"/>
  <c r="U46" i="18"/>
  <c r="U47" i="18"/>
  <c r="U48" i="18"/>
  <c r="U49" i="18"/>
  <c r="U50" i="18"/>
  <c r="U51" i="18"/>
  <c r="U2" i="18"/>
  <c r="T40" i="18"/>
  <c r="T41" i="18"/>
  <c r="T42" i="18"/>
  <c r="T43" i="18"/>
  <c r="T44" i="18"/>
  <c r="T45" i="18"/>
  <c r="T46" i="18"/>
  <c r="T47" i="18"/>
  <c r="T48" i="18"/>
  <c r="T49" i="18"/>
  <c r="T50" i="18"/>
  <c r="T51" i="18"/>
  <c r="T39" i="18"/>
  <c r="T38" i="18"/>
  <c r="T27" i="18"/>
  <c r="T28" i="18"/>
  <c r="T29" i="18"/>
  <c r="T30" i="18"/>
  <c r="T31" i="18"/>
  <c r="T32" i="18"/>
  <c r="T33" i="18"/>
  <c r="T34" i="18"/>
  <c r="T35" i="18"/>
  <c r="T36" i="18"/>
  <c r="T37" i="18"/>
  <c r="T26" i="18"/>
  <c r="T25" i="18"/>
  <c r="T15" i="18"/>
  <c r="T16" i="18"/>
  <c r="T17" i="18"/>
  <c r="T18" i="18"/>
  <c r="T19" i="18"/>
  <c r="T20" i="18"/>
  <c r="T21" i="18"/>
  <c r="T22" i="18"/>
  <c r="T23" i="18"/>
  <c r="T24" i="18"/>
  <c r="T14" i="18"/>
  <c r="T3" i="18"/>
  <c r="T4" i="18"/>
  <c r="T5" i="18"/>
  <c r="T6" i="18"/>
  <c r="T7" i="18"/>
  <c r="T8" i="18"/>
  <c r="T9" i="18"/>
  <c r="T10" i="18"/>
  <c r="T11" i="18"/>
  <c r="T12" i="18"/>
  <c r="T13" i="18"/>
  <c r="T2" i="18"/>
  <c r="C12" i="18"/>
  <c r="D12" i="18"/>
  <c r="C13" i="18"/>
  <c r="D13" i="18"/>
  <c r="C14" i="18"/>
  <c r="D14" i="18"/>
  <c r="C15" i="18"/>
  <c r="D15" i="18"/>
  <c r="C16" i="18"/>
  <c r="D16" i="18"/>
  <c r="C17" i="18"/>
  <c r="D17" i="18"/>
  <c r="C18" i="18"/>
  <c r="D18" i="18"/>
  <c r="C19" i="18"/>
  <c r="D19" i="18"/>
  <c r="C20" i="18"/>
  <c r="D20" i="18"/>
  <c r="C21" i="18"/>
  <c r="D21" i="18"/>
  <c r="C22" i="18"/>
  <c r="D22" i="18"/>
  <c r="C23" i="18"/>
  <c r="D23" i="18"/>
  <c r="C24" i="18"/>
  <c r="D24" i="18"/>
  <c r="C25" i="18"/>
  <c r="D25" i="18"/>
  <c r="C26" i="18"/>
  <c r="D26" i="18"/>
  <c r="C27" i="18"/>
  <c r="D27" i="18"/>
  <c r="C28" i="18"/>
  <c r="D28" i="18"/>
  <c r="C29" i="18"/>
  <c r="D29" i="18"/>
  <c r="C30" i="18"/>
  <c r="D30" i="18"/>
  <c r="C31" i="18"/>
  <c r="D31" i="18"/>
  <c r="C32" i="18"/>
  <c r="D32" i="18"/>
  <c r="C33" i="18"/>
  <c r="D33" i="18"/>
  <c r="C34" i="18"/>
  <c r="D34" i="18"/>
  <c r="C35" i="18"/>
  <c r="D35" i="18"/>
  <c r="C36" i="18"/>
  <c r="D36" i="18"/>
  <c r="C37" i="18"/>
  <c r="D37" i="18"/>
  <c r="C38" i="18"/>
  <c r="D38" i="18"/>
  <c r="C39" i="18"/>
  <c r="D39" i="18"/>
  <c r="C40" i="18"/>
  <c r="D40" i="18"/>
  <c r="C51" i="18"/>
  <c r="D51" i="18"/>
  <c r="C50" i="18"/>
  <c r="D50" i="18"/>
  <c r="A4" i="1"/>
  <c r="A3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53" i="9"/>
  <c r="D53" i="9"/>
  <c r="E53" i="9"/>
  <c r="G53" i="9"/>
  <c r="H53" i="9"/>
  <c r="I53" i="9"/>
  <c r="J53" i="9"/>
  <c r="K53" i="9"/>
  <c r="L53" i="9"/>
  <c r="M53" i="9"/>
  <c r="N53" i="9"/>
  <c r="O53" i="9"/>
  <c r="A54" i="9"/>
  <c r="D54" i="9"/>
  <c r="E54" i="9"/>
  <c r="G54" i="9"/>
  <c r="H54" i="9"/>
  <c r="I54" i="9"/>
  <c r="J54" i="9"/>
  <c r="K54" i="9"/>
  <c r="L54" i="9"/>
  <c r="M54" i="9"/>
  <c r="N54" i="9"/>
  <c r="J47" i="11"/>
  <c r="O54" i="9"/>
  <c r="A55" i="9"/>
  <c r="D55" i="9"/>
  <c r="E55" i="9"/>
  <c r="G55" i="9"/>
  <c r="H55" i="9"/>
  <c r="I55" i="9"/>
  <c r="J55" i="9"/>
  <c r="K55" i="9"/>
  <c r="L55" i="9"/>
  <c r="M55" i="9"/>
  <c r="N55" i="9"/>
  <c r="J48" i="11"/>
  <c r="O55" i="9"/>
  <c r="A56" i="9"/>
  <c r="D56" i="9"/>
  <c r="E56" i="9"/>
  <c r="G56" i="9"/>
  <c r="H56" i="9"/>
  <c r="I56" i="9"/>
  <c r="J56" i="9"/>
  <c r="K56" i="9"/>
  <c r="L56" i="9"/>
  <c r="M56" i="9"/>
  <c r="N56" i="9"/>
  <c r="O56" i="9"/>
  <c r="A57" i="9"/>
  <c r="D57" i="9"/>
  <c r="E57" i="9"/>
  <c r="G57" i="9"/>
  <c r="H57" i="9"/>
  <c r="I57" i="9"/>
  <c r="J57" i="9"/>
  <c r="K57" i="9"/>
  <c r="L57" i="9"/>
  <c r="M57" i="9"/>
  <c r="N57" i="9"/>
  <c r="O57" i="9"/>
  <c r="D35" i="1"/>
  <c r="E35" i="1"/>
  <c r="F35" i="1"/>
  <c r="H35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G17" i="2"/>
  <c r="A17" i="2"/>
  <c r="I35" i="1"/>
  <c r="J35" i="1"/>
  <c r="M35" i="1"/>
  <c r="N35" i="1"/>
  <c r="O35" i="1"/>
  <c r="P35" i="1"/>
  <c r="Q35" i="1"/>
  <c r="E41" i="9"/>
  <c r="V35" i="1"/>
  <c r="AC35" i="1"/>
  <c r="AD35" i="1"/>
  <c r="AE35" i="1"/>
  <c r="AG35" i="1"/>
  <c r="D26" i="1"/>
  <c r="E26" i="1"/>
  <c r="F26" i="1"/>
  <c r="H26" i="1"/>
  <c r="I26" i="1"/>
  <c r="J26" i="1"/>
  <c r="M26" i="1"/>
  <c r="N26" i="1"/>
  <c r="O26" i="1"/>
  <c r="P26" i="1"/>
  <c r="Q26" i="1"/>
  <c r="V26" i="1"/>
  <c r="AC26" i="1"/>
  <c r="AD26" i="1"/>
  <c r="AE26" i="1"/>
  <c r="AG26" i="1"/>
  <c r="D17" i="1"/>
  <c r="E17" i="1"/>
  <c r="F17" i="1"/>
  <c r="H17" i="1"/>
  <c r="I17" i="1"/>
  <c r="J17" i="1"/>
  <c r="M17" i="1"/>
  <c r="N17" i="1"/>
  <c r="O17" i="1"/>
  <c r="P17" i="1"/>
  <c r="Q17" i="1"/>
  <c r="V17" i="1"/>
  <c r="AC17" i="1"/>
  <c r="AD17" i="1"/>
  <c r="AE17" i="1"/>
  <c r="AG17" i="1"/>
  <c r="D8" i="1"/>
  <c r="E8" i="1"/>
  <c r="F8" i="1"/>
  <c r="H8" i="1"/>
  <c r="I8" i="1"/>
  <c r="J8" i="1"/>
  <c r="M8" i="1"/>
  <c r="N8" i="1"/>
  <c r="O8" i="1"/>
  <c r="P8" i="1"/>
  <c r="Q8" i="1"/>
  <c r="E39" i="9"/>
  <c r="V8" i="1"/>
  <c r="AC8" i="1"/>
  <c r="AD8" i="1"/>
  <c r="AE8" i="1"/>
  <c r="AG8" i="1"/>
  <c r="J37" i="11"/>
  <c r="J38" i="11"/>
  <c r="J39" i="11"/>
  <c r="J40" i="11"/>
  <c r="J41" i="11"/>
  <c r="J42" i="11"/>
  <c r="J43" i="11"/>
  <c r="J44" i="11"/>
  <c r="J45" i="11"/>
  <c r="J46" i="11"/>
  <c r="J49" i="11"/>
  <c r="J50" i="11"/>
  <c r="J51" i="11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AB37" i="1"/>
  <c r="AD37" i="1"/>
  <c r="AG37" i="1"/>
  <c r="AE37" i="1"/>
  <c r="AC37" i="1"/>
  <c r="E43" i="9"/>
  <c r="V37" i="1"/>
  <c r="Q37" i="1"/>
  <c r="P37" i="1"/>
  <c r="O37" i="1"/>
  <c r="N37" i="1"/>
  <c r="M37" i="1"/>
  <c r="H37" i="1"/>
  <c r="J37" i="1"/>
  <c r="I37" i="1"/>
  <c r="D37" i="1"/>
  <c r="F37" i="1"/>
  <c r="E37" i="1"/>
  <c r="AB36" i="1"/>
  <c r="AD36" i="1"/>
  <c r="AG36" i="1"/>
  <c r="AE36" i="1"/>
  <c r="AC36" i="1"/>
  <c r="E38" i="9"/>
  <c r="V36" i="1"/>
  <c r="Q36" i="1"/>
  <c r="P36" i="1"/>
  <c r="O36" i="1"/>
  <c r="N36" i="1"/>
  <c r="M36" i="1"/>
  <c r="H36" i="1"/>
  <c r="J36" i="1"/>
  <c r="I36" i="1"/>
  <c r="D36" i="1"/>
  <c r="F36" i="1"/>
  <c r="E36" i="1"/>
  <c r="AD34" i="1"/>
  <c r="AG34" i="1"/>
  <c r="AE34" i="1"/>
  <c r="AC34" i="1"/>
  <c r="V34" i="1"/>
  <c r="Q34" i="1"/>
  <c r="P34" i="1"/>
  <c r="O34" i="1"/>
  <c r="N34" i="1"/>
  <c r="M34" i="1"/>
  <c r="H34" i="1"/>
  <c r="J34" i="1"/>
  <c r="I34" i="1"/>
  <c r="D34" i="1"/>
  <c r="F34" i="1"/>
  <c r="E34" i="1"/>
  <c r="AB33" i="1"/>
  <c r="AD33" i="1"/>
  <c r="AG33" i="1"/>
  <c r="AE33" i="1"/>
  <c r="AC33" i="1"/>
  <c r="E37" i="9"/>
  <c r="V33" i="1"/>
  <c r="Q33" i="1"/>
  <c r="P33" i="1"/>
  <c r="O33" i="1"/>
  <c r="N33" i="1"/>
  <c r="M33" i="1"/>
  <c r="H33" i="1"/>
  <c r="J33" i="1"/>
  <c r="I33" i="1"/>
  <c r="D33" i="1"/>
  <c r="F33" i="1"/>
  <c r="E33" i="1"/>
  <c r="AB32" i="1"/>
  <c r="AD32" i="1"/>
  <c r="AG32" i="1"/>
  <c r="AE32" i="1"/>
  <c r="AC32" i="1"/>
  <c r="E35" i="9"/>
  <c r="V32" i="1"/>
  <c r="Q32" i="1"/>
  <c r="P32" i="1"/>
  <c r="O32" i="1"/>
  <c r="N32" i="1"/>
  <c r="M32" i="1"/>
  <c r="H32" i="1"/>
  <c r="J32" i="1"/>
  <c r="I32" i="1"/>
  <c r="D32" i="1"/>
  <c r="F32" i="1"/>
  <c r="E32" i="1"/>
  <c r="AB31" i="1"/>
  <c r="AD31" i="1"/>
  <c r="AG31" i="1"/>
  <c r="AE31" i="1"/>
  <c r="AC31" i="1"/>
  <c r="E4" i="9"/>
  <c r="V31" i="1"/>
  <c r="Q31" i="1"/>
  <c r="P31" i="1"/>
  <c r="O31" i="1"/>
  <c r="N31" i="1"/>
  <c r="M31" i="1"/>
  <c r="H31" i="1"/>
  <c r="J31" i="1"/>
  <c r="I31" i="1"/>
  <c r="D31" i="1"/>
  <c r="F31" i="1"/>
  <c r="E31" i="1"/>
  <c r="AB30" i="1"/>
  <c r="AD30" i="1"/>
  <c r="AG30" i="1"/>
  <c r="AE30" i="1"/>
  <c r="AC30" i="1"/>
  <c r="E3" i="9"/>
  <c r="V30" i="1"/>
  <c r="Q30" i="1"/>
  <c r="P30" i="1"/>
  <c r="O30" i="1"/>
  <c r="N30" i="1"/>
  <c r="M30" i="1"/>
  <c r="H30" i="1"/>
  <c r="J30" i="1"/>
  <c r="I30" i="1"/>
  <c r="D30" i="1"/>
  <c r="F30" i="1"/>
  <c r="E30" i="1"/>
  <c r="AB29" i="1"/>
  <c r="AD29" i="1"/>
  <c r="AG29" i="1"/>
  <c r="AE29" i="1"/>
  <c r="AC29" i="1"/>
  <c r="E2" i="9"/>
  <c r="V29" i="1"/>
  <c r="Q29" i="1"/>
  <c r="P29" i="1"/>
  <c r="O29" i="1"/>
  <c r="N29" i="1"/>
  <c r="M29" i="1"/>
  <c r="H29" i="1"/>
  <c r="J29" i="1"/>
  <c r="I29" i="1"/>
  <c r="D29" i="1"/>
  <c r="F29" i="1"/>
  <c r="E29" i="1"/>
  <c r="AB28" i="1"/>
  <c r="AD28" i="1"/>
  <c r="AG28" i="1"/>
  <c r="AE28" i="1"/>
  <c r="AC28" i="1"/>
  <c r="V28" i="1"/>
  <c r="Q28" i="1"/>
  <c r="P28" i="1"/>
  <c r="O28" i="1"/>
  <c r="N28" i="1"/>
  <c r="M28" i="1"/>
  <c r="H28" i="1"/>
  <c r="J28" i="1"/>
  <c r="I28" i="1"/>
  <c r="D28" i="1"/>
  <c r="F28" i="1"/>
  <c r="E28" i="1"/>
  <c r="AB27" i="1"/>
  <c r="AD27" i="1"/>
  <c r="AG27" i="1"/>
  <c r="AE27" i="1"/>
  <c r="AC27" i="1"/>
  <c r="V27" i="1"/>
  <c r="Q27" i="1"/>
  <c r="P27" i="1"/>
  <c r="O27" i="1"/>
  <c r="N27" i="1"/>
  <c r="M27" i="1"/>
  <c r="H27" i="1"/>
  <c r="J27" i="1"/>
  <c r="I27" i="1"/>
  <c r="D27" i="1"/>
  <c r="F27" i="1"/>
  <c r="E27" i="1"/>
  <c r="AD25" i="1"/>
  <c r="AG25" i="1"/>
  <c r="AE25" i="1"/>
  <c r="AC25" i="1"/>
  <c r="V25" i="1"/>
  <c r="Q25" i="1"/>
  <c r="P25" i="1"/>
  <c r="O25" i="1"/>
  <c r="N25" i="1"/>
  <c r="M25" i="1"/>
  <c r="H25" i="1"/>
  <c r="J25" i="1"/>
  <c r="I25" i="1"/>
  <c r="D25" i="1"/>
  <c r="F25" i="1"/>
  <c r="E25" i="1"/>
  <c r="AB24" i="1"/>
  <c r="AD24" i="1"/>
  <c r="AG24" i="1"/>
  <c r="AE24" i="1"/>
  <c r="AC24" i="1"/>
  <c r="V24" i="1"/>
  <c r="Q24" i="1"/>
  <c r="P24" i="1"/>
  <c r="O24" i="1"/>
  <c r="N24" i="1"/>
  <c r="M24" i="1"/>
  <c r="H24" i="1"/>
  <c r="J24" i="1"/>
  <c r="I24" i="1"/>
  <c r="D24" i="1"/>
  <c r="F24" i="1"/>
  <c r="E24" i="1"/>
  <c r="AB23" i="1"/>
  <c r="AD23" i="1"/>
  <c r="AG23" i="1"/>
  <c r="AE23" i="1"/>
  <c r="AC23" i="1"/>
  <c r="V23" i="1"/>
  <c r="Q23" i="1"/>
  <c r="P23" i="1"/>
  <c r="O23" i="1"/>
  <c r="N23" i="1"/>
  <c r="M23" i="1"/>
  <c r="H23" i="1"/>
  <c r="J23" i="1"/>
  <c r="I23" i="1"/>
  <c r="D23" i="1"/>
  <c r="F23" i="1"/>
  <c r="E23" i="1"/>
  <c r="AB22" i="1"/>
  <c r="AD22" i="1"/>
  <c r="AG22" i="1"/>
  <c r="AE22" i="1"/>
  <c r="AC22" i="1"/>
  <c r="V22" i="1"/>
  <c r="Q22" i="1"/>
  <c r="P22" i="1"/>
  <c r="O22" i="1"/>
  <c r="N22" i="1"/>
  <c r="M22" i="1"/>
  <c r="H22" i="1"/>
  <c r="J22" i="1"/>
  <c r="I22" i="1"/>
  <c r="D22" i="1"/>
  <c r="F22" i="1"/>
  <c r="E22" i="1"/>
  <c r="AB21" i="1"/>
  <c r="AD21" i="1"/>
  <c r="AG21" i="1"/>
  <c r="AE21" i="1"/>
  <c r="AC21" i="1"/>
  <c r="V21" i="1"/>
  <c r="Q21" i="1"/>
  <c r="P21" i="1"/>
  <c r="O21" i="1"/>
  <c r="N21" i="1"/>
  <c r="M21" i="1"/>
  <c r="H21" i="1"/>
  <c r="J21" i="1"/>
  <c r="I21" i="1"/>
  <c r="D21" i="1"/>
  <c r="F21" i="1"/>
  <c r="E21" i="1"/>
  <c r="AB20" i="1"/>
  <c r="AD20" i="1"/>
  <c r="AG20" i="1"/>
  <c r="AE20" i="1"/>
  <c r="AC20" i="1"/>
  <c r="V20" i="1"/>
  <c r="Q20" i="1"/>
  <c r="P20" i="1"/>
  <c r="O20" i="1"/>
  <c r="N20" i="1"/>
  <c r="M20" i="1"/>
  <c r="H20" i="1"/>
  <c r="J20" i="1"/>
  <c r="I20" i="1"/>
  <c r="D20" i="1"/>
  <c r="F20" i="1"/>
  <c r="E20" i="1"/>
  <c r="J33" i="11"/>
  <c r="J32" i="11"/>
  <c r="J31" i="11"/>
  <c r="J30" i="11"/>
  <c r="J29" i="11"/>
  <c r="J27" i="11"/>
  <c r="J26" i="11"/>
  <c r="J25" i="11"/>
  <c r="J24" i="11"/>
  <c r="J23" i="11"/>
  <c r="J22" i="11"/>
  <c r="J21" i="11"/>
  <c r="J20" i="11"/>
  <c r="J19" i="11"/>
  <c r="J36" i="11"/>
  <c r="J17" i="11"/>
  <c r="J16" i="11"/>
  <c r="J15" i="11"/>
  <c r="J14" i="11"/>
  <c r="J13" i="11"/>
  <c r="J12" i="11"/>
  <c r="J11" i="11"/>
  <c r="J28" i="11"/>
  <c r="J35" i="11"/>
  <c r="O52" i="9"/>
  <c r="N52" i="9"/>
  <c r="M52" i="9"/>
  <c r="L52" i="9"/>
  <c r="K52" i="9"/>
  <c r="J52" i="9"/>
  <c r="I52" i="9"/>
  <c r="H52" i="9"/>
  <c r="G52" i="9"/>
  <c r="E52" i="9"/>
  <c r="D52" i="9"/>
  <c r="A52" i="9"/>
  <c r="O51" i="9"/>
  <c r="N51" i="9"/>
  <c r="M51" i="9"/>
  <c r="L51" i="9"/>
  <c r="K51" i="9"/>
  <c r="J51" i="9"/>
  <c r="I51" i="9"/>
  <c r="H51" i="9"/>
  <c r="G51" i="9"/>
  <c r="E51" i="9"/>
  <c r="D51" i="9"/>
  <c r="A51" i="9"/>
  <c r="O50" i="9"/>
  <c r="N50" i="9"/>
  <c r="M50" i="9"/>
  <c r="L50" i="9"/>
  <c r="K50" i="9"/>
  <c r="J50" i="9"/>
  <c r="I50" i="9"/>
  <c r="H50" i="9"/>
  <c r="G50" i="9"/>
  <c r="E50" i="9"/>
  <c r="D50" i="9"/>
  <c r="A50" i="9"/>
  <c r="O49" i="9"/>
  <c r="N49" i="9"/>
  <c r="M49" i="9"/>
  <c r="L49" i="9"/>
  <c r="K49" i="9"/>
  <c r="J49" i="9"/>
  <c r="I49" i="9"/>
  <c r="H49" i="9"/>
  <c r="G49" i="9"/>
  <c r="E49" i="9"/>
  <c r="D49" i="9"/>
  <c r="A49" i="9"/>
  <c r="O48" i="9"/>
  <c r="N48" i="9"/>
  <c r="M48" i="9"/>
  <c r="L48" i="9"/>
  <c r="K48" i="9"/>
  <c r="J48" i="9"/>
  <c r="I48" i="9"/>
  <c r="H48" i="9"/>
  <c r="G48" i="9"/>
  <c r="E48" i="9"/>
  <c r="D48" i="9"/>
  <c r="A48" i="9"/>
  <c r="O47" i="9"/>
  <c r="N47" i="9"/>
  <c r="M47" i="9"/>
  <c r="L47" i="9"/>
  <c r="K47" i="9"/>
  <c r="J47" i="9"/>
  <c r="I47" i="9"/>
  <c r="H47" i="9"/>
  <c r="G47" i="9"/>
  <c r="E47" i="9"/>
  <c r="D47" i="9"/>
  <c r="A47" i="9"/>
  <c r="O46" i="9"/>
  <c r="N46" i="9"/>
  <c r="M46" i="9"/>
  <c r="L46" i="9"/>
  <c r="K46" i="9"/>
  <c r="J46" i="9"/>
  <c r="I46" i="9"/>
  <c r="H46" i="9"/>
  <c r="G46" i="9"/>
  <c r="E46" i="9"/>
  <c r="D46" i="9"/>
  <c r="A46" i="9"/>
  <c r="O45" i="9"/>
  <c r="N45" i="9"/>
  <c r="M45" i="9"/>
  <c r="L45" i="9"/>
  <c r="K45" i="9"/>
  <c r="J45" i="9"/>
  <c r="I45" i="9"/>
  <c r="H45" i="9"/>
  <c r="G45" i="9"/>
  <c r="E45" i="9"/>
  <c r="D45" i="9"/>
  <c r="A45" i="9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K41" i="9"/>
  <c r="J41" i="9"/>
  <c r="I41" i="9"/>
  <c r="H41" i="9"/>
  <c r="G41" i="9"/>
  <c r="D41" i="9"/>
  <c r="A41" i="9"/>
  <c r="J34" i="11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D39" i="9"/>
  <c r="A39" i="9"/>
  <c r="O38" i="9"/>
  <c r="N38" i="9"/>
  <c r="M38" i="9"/>
  <c r="L38" i="9"/>
  <c r="K38" i="9"/>
  <c r="J38" i="9"/>
  <c r="I38" i="9"/>
  <c r="H38" i="9"/>
  <c r="G38" i="9"/>
  <c r="D38" i="9"/>
  <c r="A38" i="9"/>
  <c r="O37" i="9"/>
  <c r="N37" i="9"/>
  <c r="M37" i="9"/>
  <c r="L37" i="9"/>
  <c r="K37" i="9"/>
  <c r="J37" i="9"/>
  <c r="I37" i="9"/>
  <c r="H37" i="9"/>
  <c r="G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E11" i="9"/>
  <c r="E7" i="9"/>
  <c r="E6" i="9"/>
  <c r="E5" i="9"/>
  <c r="I17" i="21"/>
  <c r="J17" i="21"/>
  <c r="I16" i="21"/>
  <c r="J16" i="21"/>
  <c r="I15" i="21"/>
  <c r="J15" i="21"/>
  <c r="I14" i="21"/>
  <c r="J14" i="21"/>
  <c r="I13" i="21"/>
  <c r="J13" i="21"/>
  <c r="I12" i="21"/>
  <c r="J12" i="21"/>
  <c r="I11" i="21"/>
  <c r="J11" i="21"/>
  <c r="I10" i="21"/>
  <c r="J10" i="21"/>
  <c r="I9" i="21"/>
  <c r="J9" i="21"/>
  <c r="I8" i="21"/>
  <c r="J8" i="21"/>
  <c r="I7" i="21"/>
  <c r="J7" i="21"/>
  <c r="I6" i="21"/>
  <c r="J6" i="21"/>
  <c r="E26" i="9"/>
  <c r="E25" i="9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J9" i="11"/>
  <c r="O10" i="9"/>
  <c r="N10" i="9"/>
  <c r="M10" i="9"/>
  <c r="L10" i="9"/>
  <c r="K10" i="9"/>
  <c r="J10" i="9"/>
  <c r="I10" i="9"/>
  <c r="H10" i="9"/>
  <c r="G10" i="9"/>
  <c r="E10" i="9"/>
  <c r="D10" i="9"/>
  <c r="A10" i="9"/>
  <c r="J10" i="11"/>
  <c r="C49" i="18"/>
  <c r="D49" i="18"/>
  <c r="C48" i="18"/>
  <c r="D48" i="18"/>
  <c r="C47" i="18"/>
  <c r="D47" i="18"/>
  <c r="C46" i="18"/>
  <c r="D46" i="18"/>
  <c r="C45" i="18"/>
  <c r="D45" i="18"/>
  <c r="C44" i="18"/>
  <c r="D44" i="18"/>
  <c r="C43" i="18"/>
  <c r="D43" i="18"/>
  <c r="C42" i="18"/>
  <c r="D42" i="18"/>
  <c r="C41" i="18"/>
  <c r="D41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G17" i="21"/>
  <c r="F17" i="21"/>
  <c r="D17" i="21"/>
  <c r="C17" i="21"/>
  <c r="G16" i="21"/>
  <c r="F16" i="21"/>
  <c r="D16" i="21"/>
  <c r="C16" i="21"/>
  <c r="G15" i="21"/>
  <c r="F15" i="21"/>
  <c r="D15" i="21"/>
  <c r="C15" i="21"/>
  <c r="G14" i="21"/>
  <c r="F14" i="21"/>
  <c r="D14" i="21"/>
  <c r="C14" i="21"/>
  <c r="G13" i="21"/>
  <c r="F13" i="21"/>
  <c r="D13" i="21"/>
  <c r="C13" i="21"/>
  <c r="G12" i="21"/>
  <c r="F12" i="21"/>
  <c r="D12" i="21"/>
  <c r="C12" i="21"/>
  <c r="G11" i="21"/>
  <c r="F11" i="21"/>
  <c r="D11" i="21"/>
  <c r="C11" i="21"/>
  <c r="G10" i="21"/>
  <c r="F10" i="21"/>
  <c r="D10" i="21"/>
  <c r="C10" i="21"/>
  <c r="G9" i="21"/>
  <c r="F9" i="21"/>
  <c r="D9" i="21"/>
  <c r="C9" i="21"/>
  <c r="G8" i="21"/>
  <c r="F8" i="21"/>
  <c r="D8" i="21"/>
  <c r="C8" i="21"/>
  <c r="G7" i="21"/>
  <c r="F7" i="21"/>
  <c r="D7" i="21"/>
  <c r="C7" i="21"/>
  <c r="G6" i="21"/>
  <c r="F6" i="21"/>
  <c r="D6" i="21"/>
  <c r="C6" i="21"/>
  <c r="I5" i="21"/>
  <c r="J5" i="21"/>
  <c r="G5" i="21"/>
  <c r="F5" i="21"/>
  <c r="D5" i="21"/>
  <c r="C5" i="21"/>
  <c r="I4" i="21"/>
  <c r="J4" i="21"/>
  <c r="G4" i="21"/>
  <c r="F4" i="21"/>
  <c r="D4" i="21"/>
  <c r="C4" i="21"/>
  <c r="I3" i="21"/>
  <c r="J3" i="21"/>
  <c r="G3" i="21"/>
  <c r="F3" i="21"/>
  <c r="D3" i="21"/>
  <c r="C3" i="21"/>
  <c r="J18" i="11"/>
  <c r="J8" i="11"/>
  <c r="J7" i="11"/>
  <c r="J6" i="11"/>
  <c r="J5" i="11"/>
  <c r="J4" i="11"/>
  <c r="J3" i="11"/>
  <c r="J2" i="11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D26" i="9"/>
  <c r="A26" i="9"/>
  <c r="O25" i="9"/>
  <c r="N25" i="9"/>
  <c r="M25" i="9"/>
  <c r="L25" i="9"/>
  <c r="K25" i="9"/>
  <c r="J25" i="9"/>
  <c r="I25" i="9"/>
  <c r="H25" i="9"/>
  <c r="G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D11" i="9"/>
  <c r="A11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D7" i="9"/>
  <c r="A7" i="9"/>
  <c r="O6" i="9"/>
  <c r="N6" i="9"/>
  <c r="M6" i="9"/>
  <c r="L6" i="9"/>
  <c r="K6" i="9"/>
  <c r="J6" i="9"/>
  <c r="I6" i="9"/>
  <c r="H6" i="9"/>
  <c r="G6" i="9"/>
  <c r="D6" i="9"/>
  <c r="A6" i="9"/>
  <c r="O5" i="9"/>
  <c r="N5" i="9"/>
  <c r="M5" i="9"/>
  <c r="L5" i="9"/>
  <c r="K5" i="9"/>
  <c r="J5" i="9"/>
  <c r="I5" i="9"/>
  <c r="H5" i="9"/>
  <c r="G5" i="9"/>
  <c r="D5" i="9"/>
  <c r="A5" i="9"/>
  <c r="O4" i="9"/>
  <c r="N4" i="9"/>
  <c r="M4" i="9"/>
  <c r="L4" i="9"/>
  <c r="K4" i="9"/>
  <c r="J4" i="9"/>
  <c r="I4" i="9"/>
  <c r="H4" i="9"/>
  <c r="G4" i="9"/>
  <c r="D4" i="9"/>
  <c r="A4" i="9"/>
  <c r="O3" i="9"/>
  <c r="N3" i="9"/>
  <c r="M3" i="9"/>
  <c r="L3" i="9"/>
  <c r="K3" i="9"/>
  <c r="J3" i="9"/>
  <c r="I3" i="9"/>
  <c r="H3" i="9"/>
  <c r="G3" i="9"/>
  <c r="D3" i="9"/>
  <c r="A3" i="9"/>
  <c r="W5" i="7"/>
  <c r="R5" i="7"/>
  <c r="Q5" i="7"/>
  <c r="P5" i="7"/>
  <c r="O5" i="7"/>
  <c r="N5" i="7"/>
  <c r="H5" i="7"/>
  <c r="J5" i="7"/>
  <c r="I5" i="7"/>
  <c r="D5" i="7"/>
  <c r="F5" i="7"/>
  <c r="E5" i="7"/>
  <c r="A5" i="7"/>
  <c r="W4" i="7"/>
  <c r="R4" i="7"/>
  <c r="Q4" i="7"/>
  <c r="P4" i="7"/>
  <c r="O4" i="7"/>
  <c r="N4" i="7"/>
  <c r="H4" i="7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AB19" i="1"/>
  <c r="AD19" i="1"/>
  <c r="AG19" i="1"/>
  <c r="AE19" i="1"/>
  <c r="AC19" i="1"/>
  <c r="V19" i="1"/>
  <c r="Q19" i="1"/>
  <c r="P19" i="1"/>
  <c r="O19" i="1"/>
  <c r="N19" i="1"/>
  <c r="M19" i="1"/>
  <c r="H19" i="1"/>
  <c r="J19" i="1"/>
  <c r="I19" i="1"/>
  <c r="D19" i="1"/>
  <c r="F19" i="1"/>
  <c r="E19" i="1"/>
  <c r="AB18" i="1"/>
  <c r="AD18" i="1"/>
  <c r="AG18" i="1"/>
  <c r="AE18" i="1"/>
  <c r="AC18" i="1"/>
  <c r="V18" i="1"/>
  <c r="Q18" i="1"/>
  <c r="P18" i="1"/>
  <c r="O18" i="1"/>
  <c r="N18" i="1"/>
  <c r="M18" i="1"/>
  <c r="H18" i="1"/>
  <c r="J18" i="1"/>
  <c r="I18" i="1"/>
  <c r="D18" i="1"/>
  <c r="F18" i="1"/>
  <c r="E18" i="1"/>
  <c r="AD16" i="1"/>
  <c r="AG16" i="1"/>
  <c r="AE16" i="1"/>
  <c r="AC16" i="1"/>
  <c r="V16" i="1"/>
  <c r="Q16" i="1"/>
  <c r="P16" i="1"/>
  <c r="O16" i="1"/>
  <c r="N16" i="1"/>
  <c r="M16" i="1"/>
  <c r="H16" i="1"/>
  <c r="J16" i="1"/>
  <c r="I16" i="1"/>
  <c r="D16" i="1"/>
  <c r="F16" i="1"/>
  <c r="E16" i="1"/>
  <c r="AB15" i="1"/>
  <c r="AD15" i="1"/>
  <c r="AG15" i="1"/>
  <c r="AE15" i="1"/>
  <c r="AC15" i="1"/>
  <c r="V15" i="1"/>
  <c r="Q15" i="1"/>
  <c r="P15" i="1"/>
  <c r="O15" i="1"/>
  <c r="N15" i="1"/>
  <c r="M15" i="1"/>
  <c r="H15" i="1"/>
  <c r="J15" i="1"/>
  <c r="I15" i="1"/>
  <c r="D15" i="1"/>
  <c r="F15" i="1"/>
  <c r="E15" i="1"/>
  <c r="AB14" i="1"/>
  <c r="AD14" i="1"/>
  <c r="AG14" i="1"/>
  <c r="AE14" i="1"/>
  <c r="AC14" i="1"/>
  <c r="V14" i="1"/>
  <c r="Q14" i="1"/>
  <c r="P14" i="1"/>
  <c r="O14" i="1"/>
  <c r="N14" i="1"/>
  <c r="M14" i="1"/>
  <c r="H14" i="1"/>
  <c r="J14" i="1"/>
  <c r="I14" i="1"/>
  <c r="D14" i="1"/>
  <c r="F14" i="1"/>
  <c r="E14" i="1"/>
  <c r="AB13" i="1"/>
  <c r="AD13" i="1"/>
  <c r="AG13" i="1"/>
  <c r="AE13" i="1"/>
  <c r="AC13" i="1"/>
  <c r="V13" i="1"/>
  <c r="Q13" i="1"/>
  <c r="P13" i="1"/>
  <c r="O13" i="1"/>
  <c r="N13" i="1"/>
  <c r="M13" i="1"/>
  <c r="H13" i="1"/>
  <c r="J13" i="1"/>
  <c r="I13" i="1"/>
  <c r="D13" i="1"/>
  <c r="F13" i="1"/>
  <c r="E13" i="1"/>
  <c r="AB12" i="1"/>
  <c r="AD12" i="1"/>
  <c r="AG12" i="1"/>
  <c r="AE12" i="1"/>
  <c r="AC12" i="1"/>
  <c r="V12" i="1"/>
  <c r="Q12" i="1"/>
  <c r="P12" i="1"/>
  <c r="O12" i="1"/>
  <c r="N12" i="1"/>
  <c r="M12" i="1"/>
  <c r="H12" i="1"/>
  <c r="J12" i="1"/>
  <c r="I12" i="1"/>
  <c r="D12" i="1"/>
  <c r="F12" i="1"/>
  <c r="E12" i="1"/>
  <c r="AB11" i="1"/>
  <c r="AD11" i="1"/>
  <c r="AG11" i="1"/>
  <c r="AE11" i="1"/>
  <c r="AC11" i="1"/>
  <c r="V11" i="1"/>
  <c r="Q11" i="1"/>
  <c r="P11" i="1"/>
  <c r="O11" i="1"/>
  <c r="N11" i="1"/>
  <c r="M11" i="1"/>
  <c r="H11" i="1"/>
  <c r="J11" i="1"/>
  <c r="I11" i="1"/>
  <c r="D11" i="1"/>
  <c r="F11" i="1"/>
  <c r="E11" i="1"/>
  <c r="AB10" i="1"/>
  <c r="AD10" i="1"/>
  <c r="AG10" i="1"/>
  <c r="AE10" i="1"/>
  <c r="AC10" i="1"/>
  <c r="V10" i="1"/>
  <c r="Q10" i="1"/>
  <c r="P10" i="1"/>
  <c r="O10" i="1"/>
  <c r="N10" i="1"/>
  <c r="M10" i="1"/>
  <c r="H10" i="1"/>
  <c r="J10" i="1"/>
  <c r="I10" i="1"/>
  <c r="D10" i="1"/>
  <c r="F10" i="1"/>
  <c r="E10" i="1"/>
  <c r="AB9" i="1"/>
  <c r="AD9" i="1"/>
  <c r="AG9" i="1"/>
  <c r="AE9" i="1"/>
  <c r="AC9" i="1"/>
  <c r="V9" i="1"/>
  <c r="Q9" i="1"/>
  <c r="P9" i="1"/>
  <c r="O9" i="1"/>
  <c r="N9" i="1"/>
  <c r="M9" i="1"/>
  <c r="H9" i="1"/>
  <c r="J9" i="1"/>
  <c r="I9" i="1"/>
  <c r="D9" i="1"/>
  <c r="F9" i="1"/>
  <c r="E9" i="1"/>
  <c r="AD7" i="1"/>
  <c r="AG7" i="1"/>
  <c r="AE7" i="1"/>
  <c r="AC7" i="1"/>
  <c r="V7" i="1"/>
  <c r="Q7" i="1"/>
  <c r="P7" i="1"/>
  <c r="O7" i="1"/>
  <c r="N7" i="1"/>
  <c r="M7" i="1"/>
  <c r="H7" i="1"/>
  <c r="J7" i="1"/>
  <c r="I7" i="1"/>
  <c r="D7" i="1"/>
  <c r="F7" i="1"/>
  <c r="E7" i="1"/>
  <c r="AB6" i="1"/>
  <c r="AD6" i="1"/>
  <c r="AG6" i="1"/>
  <c r="AE6" i="1"/>
  <c r="AC6" i="1"/>
  <c r="V6" i="1"/>
  <c r="Q6" i="1"/>
  <c r="P6" i="1"/>
  <c r="O6" i="1"/>
  <c r="N6" i="1"/>
  <c r="M6" i="1"/>
  <c r="H6" i="1"/>
  <c r="J6" i="1"/>
  <c r="I6" i="1"/>
  <c r="D6" i="1"/>
  <c r="F6" i="1"/>
  <c r="E6" i="1"/>
  <c r="AB5" i="1"/>
  <c r="AD5" i="1"/>
  <c r="AG5" i="1"/>
  <c r="AE5" i="1"/>
  <c r="AC5" i="1"/>
  <c r="V5" i="1"/>
  <c r="Q5" i="1"/>
  <c r="P5" i="1"/>
  <c r="O5" i="1"/>
  <c r="N5" i="1"/>
  <c r="M5" i="1"/>
  <c r="H5" i="1"/>
  <c r="J5" i="1"/>
  <c r="I5" i="1"/>
  <c r="D5" i="1"/>
  <c r="F5" i="1"/>
  <c r="E5" i="1"/>
  <c r="AB4" i="1"/>
  <c r="AD4" i="1"/>
  <c r="AG4" i="1"/>
  <c r="AE4" i="1"/>
  <c r="AC4" i="1"/>
  <c r="V4" i="1"/>
  <c r="Q4" i="1"/>
  <c r="P4" i="1"/>
  <c r="O4" i="1"/>
  <c r="N4" i="1"/>
  <c r="M4" i="1"/>
  <c r="H4" i="1"/>
  <c r="J4" i="1"/>
  <c r="I4" i="1"/>
  <c r="D4" i="1"/>
  <c r="F4" i="1"/>
  <c r="E4" i="1"/>
  <c r="AB3" i="1"/>
  <c r="AD3" i="1"/>
  <c r="AG3" i="1"/>
  <c r="AE3" i="1"/>
  <c r="AC3" i="1"/>
  <c r="V3" i="1"/>
  <c r="Q3" i="1"/>
  <c r="P3" i="1"/>
  <c r="O3" i="1"/>
  <c r="N3" i="1"/>
  <c r="M3" i="1"/>
  <c r="H3" i="1"/>
  <c r="J3" i="1"/>
  <c r="I3" i="1"/>
  <c r="D3" i="1"/>
  <c r="F3" i="1"/>
  <c r="E3" i="1"/>
  <c r="AB2" i="1"/>
  <c r="AD2" i="1"/>
  <c r="AG2" i="1"/>
  <c r="AE2" i="1"/>
  <c r="AC2" i="1"/>
  <c r="V2" i="1"/>
  <c r="Q2" i="1"/>
  <c r="P2" i="1"/>
  <c r="O2" i="1"/>
  <c r="N2" i="1"/>
  <c r="M2" i="1"/>
  <c r="H2" i="1"/>
  <c r="J2" i="1"/>
  <c r="I2" i="1"/>
  <c r="D2" i="1"/>
  <c r="F2" i="1"/>
  <c r="E2" i="1"/>
  <c r="A2" i="1"/>
  <c r="H17" i="2"/>
  <c r="E17" i="2"/>
  <c r="D17" i="2"/>
  <c r="B17" i="2"/>
  <c r="H16" i="2"/>
  <c r="E16" i="2"/>
  <c r="D16" i="2"/>
  <c r="B16" i="2"/>
  <c r="H15" i="2"/>
  <c r="E15" i="2"/>
  <c r="D15" i="2"/>
  <c r="B15" i="2"/>
  <c r="H14" i="2"/>
  <c r="E14" i="2"/>
  <c r="D14" i="2"/>
  <c r="B14" i="2"/>
  <c r="H13" i="2"/>
  <c r="E13" i="2"/>
  <c r="D13" i="2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J2" i="21"/>
  <c r="G2" i="21"/>
  <c r="F2" i="21"/>
  <c r="D2" i="21"/>
  <c r="C2" i="21"/>
  <c r="E12" i="16"/>
  <c r="E11" i="16"/>
  <c r="E10" i="16"/>
  <c r="O2" i="9"/>
  <c r="N2" i="9"/>
  <c r="M2" i="9"/>
  <c r="L2" i="9"/>
  <c r="K2" i="9"/>
  <c r="J2" i="9"/>
  <c r="I2" i="9"/>
  <c r="H2" i="9"/>
  <c r="G2" i="9"/>
  <c r="D2" i="9"/>
  <c r="E9" i="16"/>
  <c r="W2" i="7"/>
  <c r="R2" i="7"/>
  <c r="Q2" i="7"/>
  <c r="P2" i="7"/>
  <c r="O2" i="7"/>
  <c r="N2" i="7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9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<sst xmlns="http://schemas.openxmlformats.org/spreadsheetml/2006/main" count="1124" uniqueCount="402">
  <si>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</si>
  <si>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</si>
  <si>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</si>
  <si>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</si>
  <si>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</si>
  <si>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</si>
  <si>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</si>
  <si>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</si>
  <si>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</si>
  <si>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</si>
  <si>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</si>
  <si>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</si>
  <si>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</si>
  <si>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</si>
  <si>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</si>
  <si>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</si>
  <si>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</si>
  <si>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</si>
  <si>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</si>
  <si>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</si>
  <si>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</si>
  <si>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</si>
  <si>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</si>
  <si>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</si>
  <si>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</si>
  <si>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</si>
  <si>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</si>
  <si>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</si>
  <si>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</si>
  <si>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</si>
  <si>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</si>
  <si>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</si>
  <si>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</si>
  <si>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</si>
  <si>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</si>
  <si>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</si>
  <si>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</si>
  <si>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</si>
  <si>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</si>
  <si>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</si>
  <si>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</si>
  <si>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</si>
  <si>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</si>
  <si>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</si>
  <si>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</si>
  <si>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</si>
  <si>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</si>
  <si>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</si>
  <si>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</si>
  <si>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</si>
  <si>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</si>
  <si>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</si>
  <si>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</si>
  <si>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</si>
  <si>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</si>
  <si>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</si>
  <si>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</si>
  <si>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</si>
  <si>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</si>
  <si>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</si>
  <si>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</si>
  <si>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</si>
  <si>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</si>
  <si>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</si>
  <si>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</si>
  <si>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</si>
  <si>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</si>
  <si>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</si>
  <si>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</si>
  <si>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</si>
  <si>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</si>
  <si>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</si>
  <si>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</si>
  <si>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</si>
  <si>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</si>
  <si>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</si>
  <si>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</si>
  <si>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</si>
  <si>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</si>
  <si>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</si>
  <si>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</si>
  <si>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</si>
  <si>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</si>
  <si>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</si>
  <si>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</si>
  <si>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</si>
  <si>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</si>
  <si>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</si>
  <si>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</si>
  <si>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</si>
  <si>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</si>
  <si>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</si>
  <si>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</si>
  <si>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</si>
  <si>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</si>
  <si>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</si>
  <si>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</si>
  <si>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</si>
  <si>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</si>
  <si>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</si>
  <si>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</si>
  <si>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</si>
  <si>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</si>
  <si>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</si>
  <si>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</si>
  <si>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</si>
  <si>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</si>
  <si>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</si>
  <si>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</si>
  <si>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</si>
  <si>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</si>
  <si>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</si>
  <si>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</si>
  <si>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</si>
  <si>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</si>
  <si>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</si>
  <si>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</si>
  <si>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</si>
  <si>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</si>
  <si>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</si>
  <si>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</si>
  <si>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</si>
  <si>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</si>
  <si>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</si>
  <si>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</si>
  <si>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</si>
  <si>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</si>
  <si>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</si>
  <si>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</si>
  <si>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</si>
  <si>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</si>
  <si>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</si>
  <si>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</si>
  <si>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</si>
  <si>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</si>
  <si>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</si>
  <si>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</si>
  <si>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</si>
  <si>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</si>
  <si>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</si>
  <si>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</si>
  <si>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</si>
  <si>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</si>
  <si>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</si>
  <si>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</si>
  <si>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</si>
  <si>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</si>
  <si>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</si>
  <si>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</si>
  <si>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</si>
  <si>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</si>
  <si>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</si>
  <si>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</si>
  <si>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</si>
  <si>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</si>
  <si>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</si>
  <si>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</si>
  <si>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</si>
  <si>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</si>
  <si>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</si>
  <si>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</si>
  <si>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</si>
  <si>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</si>
  <si>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</si>
  <si>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</si>
  <si>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</si>
  <si>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</si>
  <si>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</si>
  <si>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</si>
  <si>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</si>
  <si>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</si>
  <si>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</si>
  <si>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</si>
  <si>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</si>
  <si>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</si>
  <si>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</si>
  <si>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</si>
  <si>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</si>
  <si>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</si>
  <si>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</si>
  <si>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</si>
  <si>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</si>
  <si>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</si>
  <si>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</si>
  <si>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</si>
  <si>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</si>
  <si>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</si>
  <si>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</si>
  <si>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</si>
  <si>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</si>
  <si>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</si>
  <si>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</si>
  <si>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</si>
  <si>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</si>
  <si>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</si>
  <si>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</si>
  <si>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</si>
  <si>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</si>
  <si>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</si>
  <si>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</si>
  <si>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</si>
  <si>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</si>
  <si>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</si>
  <si>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</si>
  <si>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</si>
  <si>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</si>
  <si>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</si>
  <si>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</si>
  <si>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</si>
  <si>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</si>
  <si>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</si>
  <si>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</si>
  <si>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</si>
  <si>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null</t>
    <phoneticPr fontId="5"/>
  </si>
  <si>
    <t>link</t>
    <phoneticPr fontId="5"/>
  </si>
  <si>
    <t>unit</t>
    <phoneticPr fontId="5"/>
  </si>
  <si>
    <t>link</t>
    <phoneticPr fontId="5"/>
  </si>
  <si>
    <t>2970-01-01 09:00:00</t>
    <phoneticPr fontId="5"/>
  </si>
  <si>
    <t>null</t>
    <phoneticPr fontId="5"/>
  </si>
  <si>
    <t>2970-01-01 09:00:00</t>
    <phoneticPr fontId="5"/>
  </si>
  <si>
    <t>unit</t>
    <phoneticPr fontId="5"/>
  </si>
  <si>
    <t>old</t>
  </si>
  <si>
    <t>every_time_count</t>
    <phoneticPr fontId="5"/>
  </si>
  <si>
    <t>ja</t>
    <phoneticPr fontId="5"/>
  </si>
  <si>
    <t>null</t>
    <phoneticPr fontId="5"/>
  </si>
  <si>
    <t>「トモダチ見つかるかなぁ」</t>
  </si>
  <si>
    <t>一定確率で1ターンスキルが使えない！</t>
    <rPh sb="0" eb="4">
      <t>イッテイカクリツ</t>
    </rPh>
    <rPh sb="13" eb="14">
      <t>ツカエナイ</t>
    </rPh>
    <phoneticPr fontId="5"/>
  </si>
  <si>
    <t>LB小原</t>
    <rPh sb="2" eb="4">
      <t>オバラ</t>
    </rPh>
    <phoneticPr fontId="5"/>
  </si>
  <si>
    <t>[effect:hungup, target:unit_all, turn:1, rate:0.3, animation:hungup01]</t>
    <phoneticPr fontId="5"/>
  </si>
  <si>
    <t>フロア1＿電子妖精ティンク</t>
  </si>
  <si>
    <t>フロア1＿電子妖精ティンク</t>
    <phoneticPr fontId="5"/>
  </si>
  <si>
    <t>[effect:freq_turn, target:myself, turn:3, val:1, animation:enemy_freq_turn]</t>
    <phoneticPr fontId="5"/>
  </si>
  <si>
    <t>3ターン攻撃頻度が1ターンにUP</t>
  </si>
  <si>
    <t>3ターン攻撃頻度が1ターンにUP</t>
    <phoneticPr fontId="5"/>
  </si>
  <si>
    <t>フロア2＿ニムダ</t>
  </si>
  <si>
    <t>[effect:nothing]</t>
    <phoneticPr fontId="5"/>
  </si>
  <si>
    <t>「キティちゃんの帽子が欲しいなー」</t>
  </si>
  <si>
    <t>フロア1＿イブとトモダチ＿開幕</t>
    <rPh sb="13" eb="15">
      <t>カイマク</t>
    </rPh>
    <phoneticPr fontId="5"/>
  </si>
  <si>
    <t>フロア2＿ニムダ＿開幕</t>
    <rPh sb="9" eb="11">
      <t>カイマク</t>
    </rPh>
    <phoneticPr fontId="5"/>
  </si>
  <si>
    <t>フロア2＿ニムダ＿撃破時</t>
    <rPh sb="9" eb="12">
      <t>ゲキハジ</t>
    </rPh>
    <phoneticPr fontId="5"/>
  </si>
  <si>
    <t>フロア2＿ニムダ</t>
    <phoneticPr fontId="5"/>
  </si>
  <si>
    <t>フロア2＿スフィンクス＿開幕</t>
    <rPh sb="12" eb="14">
      <t>カイマク</t>
    </rPh>
    <phoneticPr fontId="5"/>
  </si>
  <si>
    <t>フロア2＿スフィンクス</t>
  </si>
  <si>
    <t>フロア2＿スフィンクス</t>
    <phoneticPr fontId="5"/>
  </si>
  <si>
    <t xml:space="preserve">[effect:enhance_enemy, target:enemy_all, turn:2, status:defense, val:1000, calc:add, animation:enemy_enhance_defense]    </t>
    <phoneticPr fontId="5"/>
  </si>
  <si>
    <t>2ターン防御力UP</t>
  </si>
  <si>
    <t>2ターン防御力UP</t>
    <phoneticPr fontId="5"/>
  </si>
  <si>
    <t xml:space="preserve">[effect:spread, val:0.3]    </t>
    <phoneticPr fontId="5"/>
  </si>
  <si>
    <t>全体攻撃</t>
  </si>
  <si>
    <t>全体攻撃</t>
    <phoneticPr fontId="5"/>
  </si>
  <si>
    <t>2回連続攻撃</t>
  </si>
  <si>
    <t>2回連続攻撃</t>
    <phoneticPr fontId="5"/>
  </si>
  <si>
    <t>フロア3＿トニー</t>
  </si>
  <si>
    <t>フロア3＿トニー</t>
    <phoneticPr fontId="5"/>
  </si>
  <si>
    <t>攻撃力×1.3倍の攻撃</t>
  </si>
  <si>
    <t>フロア3＿ヒロ</t>
  </si>
  <si>
    <t>フロア3＿ヒロ</t>
    <phoneticPr fontId="5"/>
  </si>
  <si>
    <t>2ターン攻撃力UP</t>
  </si>
  <si>
    <t>2ターン攻撃力UP</t>
    <phoneticPr fontId="5"/>
  </si>
  <si>
    <t>フロア3＿マミコ＿開幕</t>
    <rPh sb="9" eb="11">
      <t>カイマク</t>
    </rPh>
    <phoneticPr fontId="5"/>
  </si>
  <si>
    <t xml:space="preserve">[effect:panel_freeze, target:block_heart, count:30]    </t>
    <phoneticPr fontId="5"/>
  </si>
  <si>
    <t xml:space="preserve">[effect:panel_freeze, target:block_heart, count:3]    </t>
    <phoneticPr fontId="5"/>
  </si>
  <si>
    <t>ハートパネルを最大3個プロテクト</t>
    <rPh sb="7" eb="9">
      <t>サイダイ</t>
    </rPh>
    <phoneticPr fontId="5"/>
  </si>
  <si>
    <t>ハートパネルを最大30個プロテクト</t>
    <rPh sb="7" eb="9">
      <t>サイダイ</t>
    </rPh>
    <phoneticPr fontId="5"/>
  </si>
  <si>
    <t>「じゃーん！かわいいでしょ！」</t>
  </si>
  <si>
    <t>緑パネルをハートパネルに変換</t>
  </si>
  <si>
    <t>緑パネルをハートパネルに変換</t>
    <phoneticPr fontId="5"/>
  </si>
  <si>
    <t>フロア4＿ニムダ＿1ゲージ目＿開幕</t>
    <rPh sb="13" eb="14">
      <t>メ</t>
    </rPh>
    <rPh sb="15" eb="17">
      <t>カイマク</t>
    </rPh>
    <phoneticPr fontId="5"/>
  </si>
  <si>
    <t xml:space="preserve">[effect:force_change_block, new_block:block_heart, target:block_green, count:0, val:0, animation:change_block]    </t>
    <phoneticPr fontId="5"/>
  </si>
  <si>
    <t>「やっちゃうぞー！」</t>
  </si>
  <si>
    <t>「ひとりじめしちゃうもん！」</t>
  </si>
  <si>
    <t>ハートパネル吸収攻撃</t>
    <rPh sb="8" eb="10">
      <t>コウゲキ</t>
    </rPh>
    <phoneticPr fontId="5"/>
  </si>
  <si>
    <t>フロア4＿ニムダ＿1ゲージ目</t>
    <rPh sb="13" eb="14">
      <t>メ</t>
    </rPh>
    <phoneticPr fontId="5"/>
  </si>
  <si>
    <t>フロア2＿ニムダ＿開幕＿コラボユニット存在時</t>
    <rPh sb="9" eb="11">
      <t>カイマク</t>
    </rPh>
    <rPh sb="19" eb="21">
      <t>ソンザイ</t>
    </rPh>
    <rPh sb="21" eb="22">
      <t>ジ</t>
    </rPh>
    <phoneticPr fontId="5"/>
  </si>
  <si>
    <t>「みんなー！おいでー！」</t>
  </si>
  <si>
    <t>ハートパネルを黄パネルに変換</t>
    <rPh sb="7" eb="8">
      <t>キ</t>
    </rPh>
    <rPh sb="12" eb="14">
      <t>ヘンカン</t>
    </rPh>
    <phoneticPr fontId="5"/>
  </si>
  <si>
    <t>「えいえーい！」</t>
  </si>
  <si>
    <t>「ぬいぐるみあたっーく！」</t>
  </si>
  <si>
    <t>「キティちゃん大好き！」</t>
  </si>
  <si>
    <t>「まだ帰らないもん！」</t>
  </si>
  <si>
    <t>HP大回復</t>
  </si>
  <si>
    <t>HP大回復</t>
    <phoneticPr fontId="5"/>
  </si>
  <si>
    <t>フロア4＿ニムダ＿2ゲージ目</t>
    <rPh sb="13" eb="14">
      <t>メ</t>
    </rPh>
    <phoneticPr fontId="5"/>
  </si>
  <si>
    <t>フロア4＿ニムダ＿2ゲージ目＿開幕</t>
    <rPh sb="13" eb="14">
      <t>メ</t>
    </rPh>
    <rPh sb="15" eb="17">
      <t>カイマク</t>
    </rPh>
    <phoneticPr fontId="5"/>
  </si>
  <si>
    <t>フロア4＿ニムダ＿2ゲージ目＿初級＆中級</t>
    <rPh sb="13" eb="14">
      <t>メ</t>
    </rPh>
    <rPh sb="15" eb="17">
      <t>ショキュウ</t>
    </rPh>
    <rPh sb="18" eb="20">
      <t>チュウキュウ</t>
    </rPh>
    <phoneticPr fontId="5"/>
  </si>
  <si>
    <t>フロア3＿マミコ＿初級</t>
    <rPh sb="9" eb="11">
      <t>ショキュウ</t>
    </rPh>
    <phoneticPr fontId="5"/>
  </si>
  <si>
    <t>フロア3＿マミコ＿中級以上</t>
    <rPh sb="9" eb="11">
      <t>チュウキュウ</t>
    </rPh>
    <rPh sb="11" eb="13">
      <t>イジョウ</t>
    </rPh>
    <phoneticPr fontId="5"/>
  </si>
  <si>
    <t>「また遊んでね！ばいばーい」</t>
    <rPh sb="3" eb="4">
      <t>アソンデネ</t>
    </rPh>
    <phoneticPr fontId="5"/>
  </si>
  <si>
    <t>フロア4＿ニムダ＿2ゲージ目＿撃破時</t>
    <rPh sb="13" eb="14">
      <t>メ</t>
    </rPh>
    <rPh sb="15" eb="18">
      <t>ゲキハジ</t>
    </rPh>
    <phoneticPr fontId="5"/>
  </si>
  <si>
    <t>「ふわぁー…眠くなってきちゃった」</t>
    <rPh sb="6" eb="7">
      <t>ネムクナッチャッタ</t>
    </rPh>
    <phoneticPr fontId="5"/>
  </si>
  <si>
    <t>[effect:enemy_message, val1:3, val2:3, dead_type:escape]</t>
    <phoneticPr fontId="5"/>
  </si>
  <si>
    <t>[effect:enemy_message, val1:3, val2:3, dead_type:escape]</t>
    <phoneticPr fontId="5"/>
  </si>
  <si>
    <t>「ぬいぐるみさんと遊びたーい」</t>
  </si>
  <si>
    <t>「わぁー！ぬいぐるみさんだー！」</t>
  </si>
  <si>
    <t xml:space="preserve">[effect:heal, target:enemy_all, val:0.2, animation:enemy_heal]    </t>
    <phoneticPr fontId="5"/>
  </si>
  <si>
    <t>「えへへーキティちゃんだよ！」</t>
  </si>
  <si>
    <t>[effect:force_change_block, new_block:block_yellow, target:block_heart, count:0, val:0, animation:change_block]</t>
    <phoneticPr fontId="5"/>
  </si>
  <si>
    <t>時限式パネルを4個生成</t>
    <rPh sb="0" eb="3">
      <t>ジゲンシキ</t>
    </rPh>
    <rPh sb="9" eb="11">
      <t>セイセイ</t>
    </rPh>
    <phoneticPr fontId="5"/>
  </si>
  <si>
    <t>[目を輝かせている]</t>
    <rPh sb="1" eb="2">
      <t>メヲカガヤカセテイル</t>
    </rPh>
    <phoneticPr fontId="5"/>
  </si>
  <si>
    <t xml:space="preserve">[effect:heal, target:enemy_all, val:0.5, animation:enemy_heal]    </t>
    <phoneticPr fontId="5"/>
  </si>
  <si>
    <t>「探してくるからまっててね！」</t>
    <rPh sb="1" eb="2">
      <t>サガシテクルネ！</t>
    </rPh>
    <phoneticPr fontId="5"/>
  </si>
  <si>
    <t>HP回復</t>
    <rPh sb="2" eb="4">
      <t>カイフク</t>
    </rPh>
    <phoneticPr fontId="5"/>
  </si>
  <si>
    <t>[おねだりしている]</t>
  </si>
  <si>
    <t>[ぬいぐるみを抱きしめている]</t>
  </si>
  <si>
    <t>7回連続攻撃</t>
    <rPh sb="1" eb="2">
      <t>カイ</t>
    </rPh>
    <rPh sb="2" eb="6">
      <t>レンゾクコウゲキ</t>
    </rPh>
    <phoneticPr fontId="5"/>
  </si>
  <si>
    <t xml:space="preserve">[effect:rush, count:7, val:0.2]    </t>
    <phoneticPr fontId="5"/>
  </si>
  <si>
    <t>null</t>
    <phoneticPr fontId="5"/>
  </si>
  <si>
    <t>null</t>
    <phoneticPr fontId="5"/>
  </si>
  <si>
    <t>null</t>
    <phoneticPr fontId="5"/>
  </si>
  <si>
    <t>電子妖精ティンクはHPが低下すると
行動頻度上昇スキルを使用します
攻撃を集中して一気に倒しましょう</t>
    <rPh sb="12" eb="14">
      <t>テイカ</t>
    </rPh>
    <rPh sb="18" eb="22">
      <t>コウドウヒンド</t>
    </rPh>
    <rPh sb="22" eb="24">
      <t>ジョウショウ</t>
    </rPh>
    <rPh sb="28" eb="30">
      <t>シヨウ</t>
    </rPh>
    <rPh sb="34" eb="36">
      <t>コウゲキヲ</t>
    </rPh>
    <rPh sb="37" eb="39">
      <t>シュウチュウ</t>
    </rPh>
    <rPh sb="41" eb="43">
      <t>イッキニ</t>
    </rPh>
    <rPh sb="44" eb="45">
      <t>タオシテシマイマショウ</t>
    </rPh>
    <phoneticPr fontId="5"/>
  </si>
  <si>
    <t>スフィンクスは時々全体攻撃をしてきます
HPの残量はいつも確認しておき
早めの回復を心がけましょう</t>
    <rPh sb="7" eb="8">
      <t>トキドキ</t>
    </rPh>
    <rPh sb="9" eb="13">
      <t>ゼンタイコウゲキ</t>
    </rPh>
    <rPh sb="23" eb="25">
      <t>ザンリョウ</t>
    </rPh>
    <rPh sb="29" eb="31">
      <t>カクニン</t>
    </rPh>
    <rPh sb="36" eb="37">
      <t>ハヤメノ</t>
    </rPh>
    <rPh sb="39" eb="41">
      <t>カイフク</t>
    </rPh>
    <rPh sb="42" eb="43">
      <t>ココロガケマショウ</t>
    </rPh>
    <phoneticPr fontId="5"/>
  </si>
  <si>
    <t>フロア1＿イブとトモダチ</t>
    <phoneticPr fontId="5"/>
  </si>
  <si>
    <t>フロア１＿電子妖精ティンク</t>
    <rPh sb="5" eb="7">
      <t>デンシ</t>
    </rPh>
    <rPh sb="7" eb="9">
      <t>yousei</t>
    </rPh>
    <phoneticPr fontId="5"/>
  </si>
  <si>
    <t>フロア２＿ニムダ開幕セリフ＿コラボユニットなし</t>
    <rPh sb="8" eb="10">
      <t>カイマクセリフ</t>
    </rPh>
    <phoneticPr fontId="5"/>
  </si>
  <si>
    <t>フロア２＿ニムダ開幕セリフ＿コラボアザゼルR5</t>
    <rPh sb="8" eb="10">
      <t>カイマクセリフ</t>
    </rPh>
    <phoneticPr fontId="5"/>
  </si>
  <si>
    <t>フロア２＿ニムダ開幕セリフ＿コラボアザゼルR6</t>
    <rPh sb="8" eb="10">
      <t>カイマクセリフ</t>
    </rPh>
    <phoneticPr fontId="5"/>
  </si>
  <si>
    <t>フロア２＿ニムダ開幕セリフ＿コラボニムダR4</t>
    <rPh sb="8" eb="10">
      <t>カイマクセリフ</t>
    </rPh>
    <phoneticPr fontId="5"/>
  </si>
  <si>
    <t>フロア２＿ニムダ開幕セリフ＿コラボニムダR5</t>
    <rPh sb="8" eb="10">
      <t>カイマクセリフ</t>
    </rPh>
    <phoneticPr fontId="5"/>
  </si>
  <si>
    <t>フロア２＿ニムダ開幕セリフ＿コラボキティR4</t>
    <rPh sb="8" eb="10">
      <t>カイマクセリフ</t>
    </rPh>
    <phoneticPr fontId="5"/>
  </si>
  <si>
    <t>フロア２＿ニムダ開幕セリフ＿コラボキティR5</t>
    <rPh sb="8" eb="10">
      <t>カイマクセリフ</t>
    </rPh>
    <phoneticPr fontId="5"/>
  </si>
  <si>
    <t>フロア２＿ニムダ開幕セリフ＿コラボKIRIMIR4</t>
    <rPh sb="8" eb="10">
      <t>カイマクセリフ</t>
    </rPh>
    <phoneticPr fontId="5"/>
  </si>
  <si>
    <t>フロア２＿ニムダ開幕セリフ＿コラボKIRIMIR5</t>
    <rPh sb="8" eb="10">
      <t>カイマクセリフ</t>
    </rPh>
    <phoneticPr fontId="5"/>
  </si>
  <si>
    <t>フロア２＿ニムダ開幕セリフ＿コラボDRTHR5</t>
    <rPh sb="8" eb="10">
      <t>カイマクセリフ</t>
    </rPh>
    <phoneticPr fontId="5"/>
  </si>
  <si>
    <t>フロア２＿ニムダ開幕セリフ＿コラボDRTHR6</t>
    <rPh sb="8" eb="10">
      <t>カイマクセリフ</t>
    </rPh>
    <phoneticPr fontId="5"/>
  </si>
  <si>
    <t>フロア２＿ニムダ開幕セリフ＿コラボマイメロR4</t>
    <rPh sb="8" eb="10">
      <t>カイマクセリフ</t>
    </rPh>
    <phoneticPr fontId="5"/>
  </si>
  <si>
    <t>フロア２＿ニムダ開幕セリフ＿コラボマイメロR5</t>
    <rPh sb="8" eb="10">
      <t>カイマクセリフ</t>
    </rPh>
    <phoneticPr fontId="5"/>
  </si>
  <si>
    <t>フロア２＿ニムダ開幕セリフ＿コラボニーベルゲンR4</t>
    <rPh sb="8" eb="10">
      <t>カイマクセリフ</t>
    </rPh>
    <phoneticPr fontId="5"/>
  </si>
  <si>
    <t>フロア２＿ニムダ開幕セリフ＿コラボニーベルゲンR5</t>
    <rPh sb="8" eb="10">
      <t>カイマクセリフ</t>
    </rPh>
    <phoneticPr fontId="5"/>
  </si>
  <si>
    <t>フロア２＿ニムダ開幕セリフ＿コラボカカシR4</t>
    <rPh sb="8" eb="10">
      <t>カイマクセリフ</t>
    </rPh>
    <phoneticPr fontId="5"/>
  </si>
  <si>
    <t>フロア２＿ニムダ開幕セリフ＿コラボカカシR5</t>
    <rPh sb="8" eb="10">
      <t>カイマクセリフ</t>
    </rPh>
    <phoneticPr fontId="5"/>
  </si>
  <si>
    <t>フロア２＿ニムダ開幕セリフ＿コラボけろっぴR3</t>
    <rPh sb="8" eb="10">
      <t>カイマクセリフ</t>
    </rPh>
    <phoneticPr fontId="5"/>
  </si>
  <si>
    <t>フロア２＿ニムダ開幕セリフ＿コラボけろっぴR4</t>
    <rPh sb="8" eb="10">
      <t>カイマクセリフ</t>
    </rPh>
    <phoneticPr fontId="5"/>
  </si>
  <si>
    <t>フロア２＿ニムダ開幕セリフ＿コラボモルドレッドR5</t>
    <rPh sb="8" eb="10">
      <t>カイマクセリフ</t>
    </rPh>
    <phoneticPr fontId="5"/>
  </si>
  <si>
    <t>フロア２＿ニムダ開幕セリフ＿コラボモルドレッドR6</t>
    <rPh sb="8" eb="10">
      <t>カイマクセリフ</t>
    </rPh>
    <phoneticPr fontId="5"/>
  </si>
  <si>
    <t>フロア２＿ニムダ開幕セリフ＿コラボクロミR3</t>
    <rPh sb="8" eb="10">
      <t>カイマクセリフ</t>
    </rPh>
    <phoneticPr fontId="5"/>
  </si>
  <si>
    <t>フロア２＿ニムダ開幕セリフ＿コラボクロミR4</t>
    <rPh sb="8" eb="10">
      <t>カイマクセリフ</t>
    </rPh>
    <phoneticPr fontId="5"/>
  </si>
  <si>
    <t>フロア２＿ニムダ開幕セリフ＿コラボばつ丸R3</t>
    <rPh sb="8" eb="10">
      <t>カイマクセリフ</t>
    </rPh>
    <rPh sb="19" eb="20">
      <t>マル</t>
    </rPh>
    <phoneticPr fontId="5"/>
  </si>
  <si>
    <t>フロア２＿ニムダ開幕セリフ＿コラボばつ丸R4</t>
    <rPh sb="8" eb="10">
      <t>カイマクセリフ</t>
    </rPh>
    <rPh sb="19" eb="20">
      <t>マル</t>
    </rPh>
    <phoneticPr fontId="5"/>
  </si>
  <si>
    <t>フロア２＿ニムダ開幕セリフ＿コラボシナモロールR4</t>
    <rPh sb="8" eb="10">
      <t>カイマクセリフ</t>
    </rPh>
    <phoneticPr fontId="5"/>
  </si>
  <si>
    <t>フロア２＿ニムダ開幕セリフ＿コラボシナモロールR5</t>
    <rPh sb="8" eb="10">
      <t>カイマクセリフ</t>
    </rPh>
    <phoneticPr fontId="5"/>
  </si>
  <si>
    <t>フロア２＿ニムダ開幕セリフ＿コラボポムポムプリンR3</t>
    <rPh sb="8" eb="10">
      <t>カイマクセリフ</t>
    </rPh>
    <phoneticPr fontId="5"/>
  </si>
  <si>
    <t>フロア２＿ニムダ開幕セリフ＿コラボポムポムプリンR4</t>
    <rPh sb="8" eb="10">
      <t>カイマクセリフ</t>
    </rPh>
    <phoneticPr fontId="5"/>
  </si>
  <si>
    <t>フロア２＿ニムダ</t>
    <phoneticPr fontId="5"/>
  </si>
  <si>
    <t>フロア２＿ニムダ＿撃破時</t>
    <rPh sb="9" eb="12">
      <t>ゲキハジ</t>
    </rPh>
    <phoneticPr fontId="5"/>
  </si>
  <si>
    <t>フロア２＿スフィンクス＿開幕</t>
    <rPh sb="12" eb="14">
      <t>カイマク</t>
    </rPh>
    <phoneticPr fontId="5"/>
  </si>
  <si>
    <t>フロア２＿スフィンクス</t>
    <phoneticPr fontId="5"/>
  </si>
  <si>
    <t>フロア３＿トニー</t>
    <phoneticPr fontId="5"/>
  </si>
  <si>
    <t>フロア３＿ヒロ</t>
    <phoneticPr fontId="5"/>
  </si>
  <si>
    <t>フロア３＿マミコ＿初級＿開幕</t>
    <rPh sb="9" eb="11">
      <t>ショキュウ</t>
    </rPh>
    <rPh sb="12" eb="14">
      <t>カイマク</t>
    </rPh>
    <phoneticPr fontId="5"/>
  </si>
  <si>
    <t>フロア３＿マミコ＿開幕</t>
    <rPh sb="9" eb="11">
      <t>カイマク</t>
    </rPh>
    <phoneticPr fontId="5"/>
  </si>
  <si>
    <t>フロア３＿マミコ＿中級以上＿開幕</t>
    <rPh sb="9" eb="11">
      <t>チュウキュウ</t>
    </rPh>
    <rPh sb="11" eb="13">
      <t>イジョウ</t>
    </rPh>
    <rPh sb="14" eb="16">
      <t>カイマク</t>
    </rPh>
    <phoneticPr fontId="5"/>
  </si>
  <si>
    <t>フロア３＿マミコ＿中級以上</t>
    <rPh sb="9" eb="11">
      <t>チュウキュウ</t>
    </rPh>
    <rPh sb="11" eb="13">
      <t>イジョウ</t>
    </rPh>
    <phoneticPr fontId="5"/>
  </si>
  <si>
    <t>フロア４＿ニムダ＿開幕</t>
    <rPh sb="9" eb="11">
      <t>カイマク</t>
    </rPh>
    <phoneticPr fontId="5"/>
  </si>
  <si>
    <t>フロア４＿ニムダ</t>
    <phoneticPr fontId="5"/>
  </si>
  <si>
    <t>トニーとヒロは毎ターン行動しますので
ターゲット指定して先に倒しましょう</t>
    <rPh sb="7" eb="8">
      <t>マイ</t>
    </rPh>
    <rPh sb="11" eb="13">
      <t>コウドウ</t>
    </rPh>
    <rPh sb="24" eb="26">
      <t>シテイ</t>
    </rPh>
    <rPh sb="28" eb="29">
      <t>サキニ</t>
    </rPh>
    <rPh sb="30" eb="31">
      <t>タオシマショウ</t>
    </rPh>
    <phoneticPr fontId="5"/>
  </si>
  <si>
    <t>フレンドサーチ</t>
    <phoneticPr fontId="5"/>
  </si>
  <si>
    <t>ファンシーハンマー</t>
    <phoneticPr fontId="5"/>
  </si>
  <si>
    <t>ファンシーハンマー改</t>
    <phoneticPr fontId="5"/>
  </si>
  <si>
    <t>ダブルフリップ</t>
    <phoneticPr fontId="5"/>
  </si>
  <si>
    <t>閃光の翼</t>
    <rPh sb="0" eb="2">
      <t>senkou</t>
    </rPh>
    <rPh sb="3" eb="4">
      <t>ツバサ</t>
    </rPh>
    <phoneticPr fontId="5"/>
  </si>
  <si>
    <t>ファンシーリボン</t>
    <phoneticPr fontId="5"/>
  </si>
  <si>
    <t>[effect:force_change_block, new_block:time_bomb, target:block_all, ignore:crack_bomb, ignore02:time_bomb, count:4, val:0.2, min_time_count:3, max_time_count:5, animation:change_block]</t>
    <phoneticPr fontId="5"/>
  </si>
  <si>
    <t>フロア４＿ニムダ＿２G目＿中級以下</t>
    <rPh sb="11" eb="12">
      <t>メ</t>
    </rPh>
    <rPh sb="13" eb="15">
      <t>チュウキュウ</t>
    </rPh>
    <rPh sb="15" eb="17">
      <t>イカ</t>
    </rPh>
    <phoneticPr fontId="5"/>
  </si>
  <si>
    <t>フロア４＿ニムダ＿２G目＿上級以上</t>
    <rPh sb="11" eb="12">
      <t>メ</t>
    </rPh>
    <rPh sb="13" eb="17">
      <t>ジョウキュウイジョウ</t>
    </rPh>
    <phoneticPr fontId="5"/>
  </si>
  <si>
    <t>トモダチ見つかるかなぁ</t>
  </si>
  <si>
    <t>ぬいぐるみさんと遊びたーい</t>
  </si>
  <si>
    <t>いっぱい遊ぼうね！</t>
    <rPh sb="4" eb="5">
      <t>アソボウネ</t>
    </rPh>
    <phoneticPr fontId="5"/>
  </si>
  <si>
    <t>みんなだいすきだよっ☆</t>
  </si>
  <si>
    <t>ふぁいと！ふぁいと！</t>
  </si>
  <si>
    <t>じゃーん！かわいいでしょ！</t>
  </si>
  <si>
    <t>やっちゃうぞー！</t>
  </si>
  <si>
    <t>えへへーキティちゃんだよ！</t>
  </si>
  <si>
    <t>ひとりじめしちゃうもーん！</t>
  </si>
  <si>
    <t>みんなー！おいでー！</t>
  </si>
  <si>
    <t>えいえーい！</t>
  </si>
  <si>
    <t>ぬいぐるみあたっーく！</t>
  </si>
  <si>
    <t>キティちゃん大好き！</t>
  </si>
  <si>
    <t>まだ帰らないもん！</t>
  </si>
  <si>
    <t>ふわぁー…眠くなってきちゃった</t>
    <rPh sb="5" eb="6">
      <t>ネムクナッチャッタ</t>
    </rPh>
    <phoneticPr fontId="5"/>
  </si>
  <si>
    <t>また遊んでね！ばいばーい</t>
    <rPh sb="2" eb="3">
      <t>アソンデネ</t>
    </rPh>
    <phoneticPr fontId="5"/>
  </si>
  <si>
    <t>おねだりしている</t>
  </si>
  <si>
    <t>目を輝かせている</t>
    <rPh sb="0" eb="1">
      <t>メヲカガヤカセテイル</t>
    </rPh>
    <phoneticPr fontId="5"/>
  </si>
  <si>
    <t>ぬいぐるみを抱きしめている</t>
  </si>
  <si>
    <t xml:space="preserve">[effect:break_attack, val:0.04, lowest_val:1000, count:-1, block:block_heart, target:unit_all]    </t>
    <phoneticPr fontId="5"/>
  </si>
  <si>
    <t xml:space="preserve">[effect:critical, val:0.8]    </t>
    <phoneticPr fontId="5"/>
  </si>
  <si>
    <t>クリティカル！</t>
    <phoneticPr fontId="5"/>
  </si>
  <si>
    <t xml:space="preserve">[effect:rush, count:2, val:0.4]    </t>
    <phoneticPr fontId="5"/>
  </si>
  <si>
    <t>わぁ！ぬいぐるみさん！</t>
    <phoneticPr fontId="5"/>
  </si>
  <si>
    <t>みてくるからまっててね！</t>
    <phoneticPr fontId="5"/>
  </si>
  <si>
    <t>あっちにもキティちゃん？</t>
    <phoneticPr fontId="5"/>
  </si>
  <si>
    <t>[effect:enhance_enemy, target:enemy_all, turn:2, status:attack, val:0.8, calc:mul, animation:enemy_enhance_attack]</t>
    <phoneticPr fontId="5"/>
  </si>
  <si>
    <t>確率</t>
    <rPh sb="0" eb="2">
      <t>カクリツ</t>
    </rPh>
    <phoneticPr fontId="5"/>
  </si>
  <si>
    <t>出現バグボーナス</t>
    <rPh sb="0" eb="2">
      <t>シュツゲｎ</t>
    </rPh>
    <phoneticPr fontId="5"/>
  </si>
  <si>
    <t>恩愛性ニムダはハートパネルの変換や
ハートパネル吸収攻撃をしてきますので
回復手段を確保しましょう</t>
    <rPh sb="14" eb="16">
      <t>ヘンカン</t>
    </rPh>
    <rPh sb="24" eb="28">
      <t>キュウシュウコウゲキ</t>
    </rPh>
    <rPh sb="37" eb="41">
      <t>カイフクシュダン</t>
    </rPh>
    <rPh sb="42" eb="44">
      <t>カクホ</t>
    </rPh>
    <phoneticPr fontId="5"/>
  </si>
  <si>
    <t>集団恩愛性ニムダL</t>
    <phoneticPr fontId="5"/>
  </si>
  <si>
    <t>集団恩愛性ニムダLのぬいぐるみあたっーく!
はぬいぐるみたちを顔に押し付けてくる
非常に恐るべき攻撃です</t>
    <phoneticPr fontId="5"/>
  </si>
  <si>
    <t>覚醒素材ユニットにバグ値が指定されている
場合は バグ値が不足すると覚醒できません</t>
    <phoneticPr fontId="5"/>
  </si>
  <si>
    <t>覚醒について</t>
    <rPh sb="0" eb="2">
      <t>カクセイニツイテ</t>
    </rPh>
    <phoneticPr fontId="5"/>
  </si>
  <si>
    <t>「ハローキティのリボン」は
コラボクエストクリア時のバグボーナスに
一定確率でドロップします</t>
    <phoneticPr fontId="5"/>
  </si>
  <si>
    <t>ハローキティのリボン</t>
  </si>
  <si>
    <t>「ママの作ったアップルパイ」は
コラボクエストクリア時のバグボーナスに
一定確率でドロップします</t>
    <phoneticPr fontId="5"/>
  </si>
  <si>
    <t>ママの作ったアップルパイ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</si>
</sst>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[Red]\(0\)"/>
    <numFmt numFmtId="177" formatCode="0.0"/>
    <numFmt numFmtId="178" formatCode="0.0%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0"/>
      <name val="ＭＳ Ｐゴシック"/>
      <family val="3"/>
      <charset val="128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</borders>
  <cellStyleXfs count="123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6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26" fillId="0" borderId="0" xfId="0" applyFont="1"/>
    <xf numFmtId="0" fontId="51" fillId="0" borderId="7" xfId="0" applyFont="1" applyFill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27" fillId="31" borderId="7" xfId="0" applyFont="1" applyFill="1" applyBorder="1"/>
    <xf numFmtId="0" fontId="4" fillId="32" borderId="6" xfId="0" applyFont="1" applyFill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177" fontId="8" fillId="0" borderId="4" xfId="0" applyNumberFormat="1" applyFont="1" applyFill="1" applyBorder="1" applyAlignment="1">
      <alignment vertical="center"/>
    </xf>
    <xf numFmtId="177" fontId="6" fillId="0" borderId="4" xfId="0" applyNumberFormat="1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4" fillId="0" borderId="6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0" fontId="16" fillId="3" borderId="2" xfId="0" applyFont="1" applyFill="1" applyBorder="1" applyAlignment="1">
      <alignment vertical="center"/>
    </xf>
    <xf numFmtId="0" fontId="16" fillId="34" borderId="23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0" fontId="16" fillId="3" borderId="24" xfId="0" applyFont="1" applyFill="1" applyBorder="1" applyAlignment="1">
      <alignment vertical="center"/>
    </xf>
    <xf numFmtId="0" fontId="14" fillId="7" borderId="25" xfId="0" applyFont="1" applyFill="1" applyBorder="1" applyAlignment="1">
      <alignment vertical="center"/>
    </xf>
    <xf numFmtId="0" fontId="16" fillId="0" borderId="25" xfId="0" applyFont="1" applyBorder="1" applyAlignment="1">
      <alignment vertical="center"/>
    </xf>
    <xf numFmtId="0" fontId="16" fillId="0" borderId="26" xfId="0" applyFont="1" applyBorder="1" applyAlignment="1">
      <alignment vertical="center"/>
    </xf>
    <xf numFmtId="0" fontId="16" fillId="34" borderId="27" xfId="0" applyFont="1" applyFill="1" applyBorder="1" applyAlignment="1">
      <alignment vertical="center"/>
    </xf>
    <xf numFmtId="0" fontId="14" fillId="7" borderId="0" xfId="0" applyFont="1" applyFill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6" fillId="0" borderId="28" xfId="0" applyFont="1" applyBorder="1" applyAlignment="1">
      <alignment vertical="center"/>
    </xf>
    <xf numFmtId="0" fontId="16" fillId="0" borderId="30" xfId="0" applyFont="1" applyFill="1" applyBorder="1" applyAlignment="1">
      <alignment vertical="center"/>
    </xf>
    <xf numFmtId="0" fontId="16" fillId="3" borderId="30" xfId="0" applyFont="1" applyFill="1" applyBorder="1" applyAlignment="1">
      <alignment vertical="center"/>
    </xf>
    <xf numFmtId="0" fontId="14" fillId="7" borderId="31" xfId="0" applyFont="1" applyFill="1" applyBorder="1" applyAlignment="1">
      <alignment vertical="center"/>
    </xf>
    <xf numFmtId="0" fontId="16" fillId="0" borderId="31" xfId="0" applyFont="1" applyBorder="1" applyAlignment="1">
      <alignment vertical="center"/>
    </xf>
    <xf numFmtId="0" fontId="16" fillId="0" borderId="32" xfId="0" applyFont="1" applyBorder="1" applyAlignment="1">
      <alignment vertical="center"/>
    </xf>
    <xf numFmtId="0" fontId="16" fillId="33" borderId="27" xfId="0" applyFont="1" applyFill="1" applyBorder="1" applyAlignment="1">
      <alignment vertical="center"/>
    </xf>
    <xf numFmtId="0" fontId="16" fillId="33" borderId="29" xfId="0" applyFont="1" applyFill="1" applyBorder="1" applyAlignment="1">
      <alignment vertical="center"/>
    </xf>
    <xf numFmtId="0" fontId="16" fillId="35" borderId="2" xfId="0" applyFont="1" applyFill="1" applyBorder="1" applyAlignment="1">
      <alignment vertical="center"/>
    </xf>
    <xf numFmtId="0" fontId="16" fillId="32" borderId="23" xfId="0" applyFont="1" applyFill="1" applyBorder="1" applyAlignment="1">
      <alignment vertical="center"/>
    </xf>
    <xf numFmtId="0" fontId="16" fillId="32" borderId="27" xfId="0" applyFont="1" applyFill="1" applyBorder="1" applyAlignment="1">
      <alignment vertical="center"/>
    </xf>
    <xf numFmtId="0" fontId="16" fillId="36" borderId="27" xfId="0" applyFont="1" applyFill="1" applyBorder="1" applyAlignment="1">
      <alignment vertical="center"/>
    </xf>
    <xf numFmtId="0" fontId="16" fillId="35" borderId="27" xfId="0" applyFont="1" applyFill="1" applyBorder="1" applyAlignment="1">
      <alignment vertical="center"/>
    </xf>
    <xf numFmtId="0" fontId="16" fillId="35" borderId="29" xfId="0" applyFont="1" applyFill="1" applyBorder="1" applyAlignment="1">
      <alignment vertical="center"/>
    </xf>
    <xf numFmtId="0" fontId="16" fillId="37" borderId="23" xfId="0" applyFont="1" applyFill="1" applyBorder="1" applyAlignment="1">
      <alignment vertical="center"/>
    </xf>
    <xf numFmtId="0" fontId="4" fillId="35" borderId="6" xfId="0" applyFont="1" applyFill="1" applyBorder="1" applyAlignment="1">
      <alignment vertical="center"/>
    </xf>
    <xf numFmtId="14" fontId="16" fillId="0" borderId="7" xfId="0" applyNumberFormat="1" applyFont="1" applyFill="1" applyBorder="1" applyAlignment="1">
      <alignment vertical="center"/>
    </xf>
    <xf numFmtId="0" fontId="11" fillId="0" borderId="2" xfId="0" applyFont="1" applyBorder="1" applyAlignment="1">
      <alignment vertical="center"/>
    </xf>
    <xf numFmtId="0" fontId="27" fillId="0" borderId="2" xfId="0" applyFont="1" applyFill="1" applyBorder="1"/>
    <xf numFmtId="0" fontId="0" fillId="3" borderId="2" xfId="0" applyFill="1" applyBorder="1"/>
    <xf numFmtId="0" fontId="6" fillId="5" borderId="2" xfId="0" applyFont="1" applyFill="1" applyBorder="1" applyAlignment="1">
      <alignment vertical="center"/>
    </xf>
    <xf numFmtId="0" fontId="11" fillId="0" borderId="23" xfId="0" applyFont="1" applyBorder="1" applyAlignment="1">
      <alignment vertical="center"/>
    </xf>
    <xf numFmtId="0" fontId="27" fillId="0" borderId="24" xfId="0" applyFont="1" applyFill="1" applyBorder="1"/>
    <xf numFmtId="0" fontId="0" fillId="3" borderId="24" xfId="0" applyFill="1" applyBorder="1"/>
    <xf numFmtId="0" fontId="6" fillId="5" borderId="24" xfId="0" applyFont="1" applyFill="1" applyBorder="1" applyAlignment="1">
      <alignment vertical="center"/>
    </xf>
    <xf numFmtId="0" fontId="11" fillId="0" borderId="27" xfId="0" applyFont="1" applyBorder="1" applyAlignment="1">
      <alignment vertical="center"/>
    </xf>
    <xf numFmtId="0" fontId="11" fillId="0" borderId="29" xfId="0" applyFont="1" applyBorder="1" applyAlignment="1">
      <alignment vertical="center"/>
    </xf>
    <xf numFmtId="0" fontId="27" fillId="0" borderId="30" xfId="0" applyFont="1" applyFill="1" applyBorder="1"/>
    <xf numFmtId="0" fontId="0" fillId="3" borderId="30" xfId="0" applyFill="1" applyBorder="1"/>
    <xf numFmtId="0" fontId="6" fillId="5" borderId="30" xfId="0" applyFont="1" applyFill="1" applyBorder="1" applyAlignment="1">
      <alignment vertical="center"/>
    </xf>
    <xf numFmtId="0" fontId="16" fillId="6" borderId="8" xfId="614" applyFont="1" applyFill="1" applyBorder="1" applyAlignment="1">
      <alignment horizontal="left"/>
    </xf>
    <xf numFmtId="0" fontId="27" fillId="0" borderId="8" xfId="0" applyFont="1" applyFill="1" applyBorder="1"/>
    <xf numFmtId="49" fontId="0" fillId="0" borderId="8" xfId="0" applyNumberFormat="1" applyFill="1" applyBorder="1"/>
    <xf numFmtId="49" fontId="0" fillId="0" borderId="33" xfId="0" applyNumberFormat="1" applyFill="1" applyBorder="1"/>
    <xf numFmtId="0" fontId="27" fillId="0" borderId="34" xfId="0" applyFont="1" applyFill="1" applyBorder="1"/>
    <xf numFmtId="49" fontId="0" fillId="0" borderId="35" xfId="0" applyNumberFormat="1" applyFill="1" applyBorder="1"/>
    <xf numFmtId="49" fontId="0" fillId="0" borderId="34" xfId="0" applyNumberFormat="1" applyFill="1" applyBorder="1"/>
    <xf numFmtId="178" fontId="0" fillId="0" borderId="36" xfId="0" applyNumberFormat="1" applyBorder="1"/>
    <xf numFmtId="178" fontId="0" fillId="0" borderId="37" xfId="0" applyNumberFormat="1" applyBorder="1"/>
    <xf numFmtId="178" fontId="0" fillId="0" borderId="38" xfId="0" applyNumberFormat="1" applyBorder="1"/>
    <xf numFmtId="178" fontId="16" fillId="6" borderId="2" xfId="614" applyNumberFormat="1" applyFont="1" applyFill="1" applyBorder="1" applyAlignment="1">
      <alignment horizontal="left"/>
    </xf>
    <xf numFmtId="0" fontId="16" fillId="6" borderId="39" xfId="614" applyFont="1" applyFill="1" applyBorder="1" applyAlignment="1">
      <alignment horizontal="left"/>
    </xf>
    <xf numFmtId="38" fontId="16" fillId="14" borderId="7" xfId="628" applyFont="1" applyFill="1" applyBorder="1" applyAlignment="1">
      <alignment wrapText="1"/>
    </xf>
  </cellXfs>
  <cellStyles count="123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赤字強調" xfId="431"/>
    <cellStyle name="青字強調" xfId="43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11224</v>
          </cell>
        </row>
        <row r="79">
          <cell r="A79">
            <v>12001</v>
          </cell>
        </row>
        <row r="80">
          <cell r="A80">
            <v>12002</v>
          </cell>
        </row>
        <row r="81">
          <cell r="A81">
            <v>12003</v>
          </cell>
        </row>
        <row r="82">
          <cell r="A82">
            <v>12004</v>
          </cell>
        </row>
        <row r="83">
          <cell r="A83">
            <v>13001</v>
          </cell>
        </row>
        <row r="84">
          <cell r="A84">
            <v>14001</v>
          </cell>
        </row>
        <row r="85">
          <cell r="A85">
            <v>14002</v>
          </cell>
        </row>
        <row r="86">
          <cell r="A86">
            <v>14003</v>
          </cell>
        </row>
        <row r="87">
          <cell r="A87">
            <v>14004</v>
          </cell>
        </row>
        <row r="88">
          <cell r="A88">
            <v>14005</v>
          </cell>
        </row>
        <row r="89">
          <cell r="A89">
            <v>14006</v>
          </cell>
        </row>
        <row r="90">
          <cell r="A90">
            <v>15027</v>
          </cell>
        </row>
        <row r="91">
          <cell r="A91">
            <v>15028</v>
          </cell>
        </row>
        <row r="92">
          <cell r="A92">
            <v>15029</v>
          </cell>
        </row>
        <row r="93">
          <cell r="A93">
            <v>15030</v>
          </cell>
        </row>
        <row r="94">
          <cell r="A94">
            <v>15031</v>
          </cell>
        </row>
        <row r="95">
          <cell r="A95">
            <v>20001</v>
          </cell>
        </row>
        <row r="96">
          <cell r="A96">
            <v>20002</v>
          </cell>
        </row>
        <row r="97">
          <cell r="A97">
            <v>20003</v>
          </cell>
        </row>
        <row r="98">
          <cell r="A98">
            <v>20004</v>
          </cell>
        </row>
        <row r="99">
          <cell r="A99">
            <v>20005</v>
          </cell>
        </row>
        <row r="100">
          <cell r="A100">
            <v>20006</v>
          </cell>
        </row>
        <row r="101">
          <cell r="A101">
            <v>20007</v>
          </cell>
        </row>
        <row r="102">
          <cell r="A102">
            <v>20008</v>
          </cell>
        </row>
        <row r="103">
          <cell r="A103">
            <v>20009</v>
          </cell>
        </row>
        <row r="104">
          <cell r="A104">
            <v>20010</v>
          </cell>
        </row>
        <row r="105">
          <cell r="A105">
            <v>20011</v>
          </cell>
        </row>
        <row r="106">
          <cell r="A106">
            <v>20012</v>
          </cell>
        </row>
        <row r="107">
          <cell r="A107">
            <v>20013</v>
          </cell>
        </row>
        <row r="108">
          <cell r="A108">
            <v>20014</v>
          </cell>
        </row>
        <row r="109">
          <cell r="A109">
            <v>20015</v>
          </cell>
        </row>
        <row r="110">
          <cell r="A110">
            <v>20016</v>
          </cell>
        </row>
        <row r="111">
          <cell r="A111">
            <v>30001</v>
          </cell>
        </row>
        <row r="112">
          <cell r="A112">
            <v>30002</v>
          </cell>
        </row>
        <row r="113">
          <cell r="A113">
            <v>30003</v>
          </cell>
        </row>
        <row r="114">
          <cell r="A114">
            <v>30004</v>
          </cell>
        </row>
        <row r="115">
          <cell r="A115">
            <v>30005</v>
          </cell>
        </row>
        <row r="116">
          <cell r="A116">
            <v>30006</v>
          </cell>
        </row>
        <row r="117">
          <cell r="A117">
            <v>30007</v>
          </cell>
        </row>
        <row r="118">
          <cell r="A118">
            <v>30008</v>
          </cell>
        </row>
        <row r="119">
          <cell r="A119">
            <v>30009</v>
          </cell>
        </row>
        <row r="120">
          <cell r="A120">
            <v>30010</v>
          </cell>
        </row>
        <row r="121">
          <cell r="A121">
            <v>30011</v>
          </cell>
        </row>
        <row r="122">
          <cell r="A122">
            <v>30012</v>
          </cell>
        </row>
        <row r="123">
          <cell r="A123">
            <v>30013</v>
          </cell>
        </row>
        <row r="124">
          <cell r="A124">
            <v>30014</v>
          </cell>
        </row>
        <row r="125">
          <cell r="A125">
            <v>30015</v>
          </cell>
        </row>
        <row r="126">
          <cell r="A126">
            <v>30016</v>
          </cell>
        </row>
        <row r="127">
          <cell r="A127">
            <v>30017</v>
          </cell>
        </row>
        <row r="128">
          <cell r="A128">
            <v>30018</v>
          </cell>
        </row>
        <row r="129">
          <cell r="A129">
            <v>30019</v>
          </cell>
        </row>
        <row r="130">
          <cell r="A130">
            <v>30020</v>
          </cell>
        </row>
        <row r="131">
          <cell r="A131">
            <v>30021</v>
          </cell>
        </row>
        <row r="132">
          <cell r="A132">
            <v>30022</v>
          </cell>
        </row>
        <row r="133">
          <cell r="A133">
            <v>30023</v>
          </cell>
        </row>
        <row r="134">
          <cell r="A134">
            <v>30024</v>
          </cell>
        </row>
        <row r="135">
          <cell r="A135">
            <v>30025</v>
          </cell>
        </row>
        <row r="136">
          <cell r="A136">
            <v>30026</v>
          </cell>
        </row>
        <row r="137">
          <cell r="A137">
            <v>30027</v>
          </cell>
        </row>
        <row r="138">
          <cell r="A138">
            <v>30028</v>
          </cell>
        </row>
        <row r="139">
          <cell r="A139">
            <v>30029</v>
          </cell>
        </row>
        <row r="140">
          <cell r="A140">
            <v>30030</v>
          </cell>
        </row>
        <row r="141">
          <cell r="A141">
            <v>30031</v>
          </cell>
        </row>
        <row r="142">
          <cell r="A142">
            <v>30032</v>
          </cell>
        </row>
        <row r="143">
          <cell r="A143">
            <v>30033</v>
          </cell>
        </row>
        <row r="144">
          <cell r="A144">
            <v>30034</v>
          </cell>
        </row>
        <row r="145">
          <cell r="A145">
            <v>30035</v>
          </cell>
        </row>
        <row r="146">
          <cell r="A146">
            <v>30036</v>
          </cell>
        </row>
        <row r="147">
          <cell r="A147">
            <v>39001</v>
          </cell>
        </row>
        <row r="148">
          <cell r="A148">
            <v>39002</v>
          </cell>
        </row>
        <row r="149">
          <cell r="A149">
            <v>39003</v>
          </cell>
        </row>
        <row r="150">
          <cell r="A150">
            <v>39004</v>
          </cell>
        </row>
        <row r="151">
          <cell r="A151">
            <v>39005</v>
          </cell>
        </row>
        <row r="152">
          <cell r="A152">
            <v>39006</v>
          </cell>
        </row>
        <row r="153">
          <cell r="A153">
            <v>40001</v>
          </cell>
        </row>
        <row r="154">
          <cell r="A154">
            <v>40002</v>
          </cell>
        </row>
        <row r="155">
          <cell r="A155">
            <v>40003</v>
          </cell>
        </row>
        <row r="156">
          <cell r="A156">
            <v>40004</v>
          </cell>
        </row>
        <row r="157">
          <cell r="A157">
            <v>40005</v>
          </cell>
        </row>
        <row r="158">
          <cell r="A158">
            <v>40006</v>
          </cell>
        </row>
        <row r="159">
          <cell r="A159">
            <v>40007</v>
          </cell>
        </row>
        <row r="160">
          <cell r="A160">
            <v>40008</v>
          </cell>
        </row>
        <row r="161">
          <cell r="A161">
            <v>40009</v>
          </cell>
        </row>
        <row r="162">
          <cell r="A162">
            <v>40010</v>
          </cell>
        </row>
        <row r="163">
          <cell r="A163">
            <v>40011</v>
          </cell>
        </row>
        <row r="164">
          <cell r="A164">
            <v>40012</v>
          </cell>
        </row>
        <row r="165">
          <cell r="A165">
            <v>40013</v>
          </cell>
        </row>
        <row r="166">
          <cell r="A166">
            <v>40014</v>
          </cell>
        </row>
        <row r="167">
          <cell r="A167">
            <v>40015</v>
          </cell>
        </row>
        <row r="168">
          <cell r="A168">
            <v>40016</v>
          </cell>
        </row>
        <row r="169">
          <cell r="A169">
            <v>40017</v>
          </cell>
        </row>
        <row r="170">
          <cell r="A170">
            <v>40018</v>
          </cell>
        </row>
        <row r="171">
          <cell r="A171">
            <v>40019</v>
          </cell>
        </row>
        <row r="172">
          <cell r="A172">
            <v>48001</v>
          </cell>
        </row>
        <row r="173">
          <cell r="A173">
            <v>41001</v>
          </cell>
        </row>
        <row r="174">
          <cell r="A174">
            <v>41002</v>
          </cell>
        </row>
        <row r="175">
          <cell r="A175">
            <v>41003</v>
          </cell>
        </row>
        <row r="176">
          <cell r="A176">
            <v>41004</v>
          </cell>
        </row>
        <row r="177">
          <cell r="A177">
            <v>41005</v>
          </cell>
        </row>
        <row r="178">
          <cell r="A178">
            <v>41006</v>
          </cell>
        </row>
        <row r="179">
          <cell r="A179">
            <v>41007</v>
          </cell>
        </row>
        <row r="180">
          <cell r="A180">
            <v>41008</v>
          </cell>
        </row>
        <row r="181">
          <cell r="A181">
            <v>49001</v>
          </cell>
        </row>
        <row r="182">
          <cell r="A182">
            <v>49002</v>
          </cell>
        </row>
        <row r="183">
          <cell r="A183">
            <v>49003</v>
          </cell>
        </row>
        <row r="184">
          <cell r="A184">
            <v>49004</v>
          </cell>
        </row>
        <row r="185">
          <cell r="A185">
            <v>49005</v>
          </cell>
        </row>
        <row r="186">
          <cell r="A186">
            <v>49006</v>
          </cell>
        </row>
        <row r="187">
          <cell r="A187">
            <v>50001</v>
          </cell>
        </row>
        <row r="188">
          <cell r="A188">
            <v>50002</v>
          </cell>
        </row>
        <row r="189">
          <cell r="A189">
            <v>50003</v>
          </cell>
        </row>
        <row r="190">
          <cell r="A190">
            <v>50004</v>
          </cell>
        </row>
        <row r="191">
          <cell r="A191">
            <v>51001</v>
          </cell>
        </row>
        <row r="192">
          <cell r="A192">
            <v>51002</v>
          </cell>
        </row>
        <row r="193">
          <cell r="A193">
            <v>60001</v>
          </cell>
        </row>
        <row r="194">
          <cell r="A194">
            <v>60002</v>
          </cell>
        </row>
        <row r="195">
          <cell r="A195">
            <v>60003</v>
          </cell>
        </row>
        <row r="196">
          <cell r="A196">
            <v>60004</v>
          </cell>
        </row>
        <row r="197">
          <cell r="A197">
            <v>60005</v>
          </cell>
        </row>
        <row r="198">
          <cell r="A198">
            <v>60006</v>
          </cell>
        </row>
        <row r="199">
          <cell r="A199">
            <v>60007</v>
          </cell>
        </row>
        <row r="200">
          <cell r="A200">
            <v>60010</v>
          </cell>
        </row>
        <row r="201">
          <cell r="A201">
            <v>60011</v>
          </cell>
        </row>
        <row r="202">
          <cell r="A202">
            <v>65535</v>
          </cell>
        </row>
        <row r="203">
          <cell r="A203">
            <v>60021</v>
          </cell>
        </row>
        <row r="204">
          <cell r="A204">
            <v>60022</v>
          </cell>
        </row>
        <row r="205">
          <cell r="A205">
            <v>60023</v>
          </cell>
        </row>
        <row r="206">
          <cell r="A206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11101_1</v>
          </cell>
        </row>
        <row r="224">
          <cell r="A224" t="str">
            <v>11101_2</v>
          </cell>
        </row>
        <row r="225">
          <cell r="A225" t="str">
            <v>11101_3</v>
          </cell>
        </row>
        <row r="226">
          <cell r="A226" t="str">
            <v>11101_4</v>
          </cell>
        </row>
        <row r="227">
          <cell r="A227" t="str">
            <v>11101_10</v>
          </cell>
        </row>
        <row r="228">
          <cell r="A228" t="str">
            <v>11102_1</v>
          </cell>
        </row>
        <row r="229">
          <cell r="A229" t="str">
            <v>11102_2</v>
          </cell>
        </row>
        <row r="230">
          <cell r="A230" t="str">
            <v>11102_3</v>
          </cell>
        </row>
        <row r="231">
          <cell r="A231" t="str">
            <v>11102_4</v>
          </cell>
        </row>
        <row r="232">
          <cell r="A232" t="str">
            <v>11102_10</v>
          </cell>
        </row>
        <row r="233">
          <cell r="A233" t="str">
            <v>11103_1</v>
          </cell>
        </row>
        <row r="234">
          <cell r="A234" t="str">
            <v>11103_2</v>
          </cell>
        </row>
        <row r="235">
          <cell r="A235" t="str">
            <v>11103_3</v>
          </cell>
        </row>
        <row r="236">
          <cell r="A236" t="str">
            <v>11103_4</v>
          </cell>
        </row>
        <row r="237">
          <cell r="A237" t="str">
            <v>11103_10</v>
          </cell>
        </row>
        <row r="238">
          <cell r="A238" t="str">
            <v>11104_1</v>
          </cell>
        </row>
        <row r="239">
          <cell r="A239" t="str">
            <v>11104_2</v>
          </cell>
        </row>
        <row r="240">
          <cell r="A240" t="str">
            <v>11104_3</v>
          </cell>
        </row>
        <row r="241">
          <cell r="A241" t="str">
            <v>11104_4</v>
          </cell>
        </row>
        <row r="242">
          <cell r="A242" t="str">
            <v>11104_10</v>
          </cell>
        </row>
        <row r="243">
          <cell r="A243" t="str">
            <v>11105_1</v>
          </cell>
        </row>
        <row r="244">
          <cell r="A244" t="str">
            <v>11105_2</v>
          </cell>
        </row>
        <row r="245">
          <cell r="A245" t="str">
            <v>11105_3</v>
          </cell>
        </row>
        <row r="246">
          <cell r="A246" t="str">
            <v>11105_4</v>
          </cell>
        </row>
        <row r="247">
          <cell r="A247" t="str">
            <v>11106_1</v>
          </cell>
        </row>
        <row r="248">
          <cell r="A248" t="str">
            <v>11106_2</v>
          </cell>
        </row>
        <row r="249">
          <cell r="A249" t="str">
            <v>11106_3</v>
          </cell>
        </row>
        <row r="250">
          <cell r="A250" t="str">
            <v>11206_1</v>
          </cell>
        </row>
        <row r="251">
          <cell r="A251" t="str">
            <v>11206_2</v>
          </cell>
        </row>
        <row r="252">
          <cell r="A252" t="str">
            <v>11206_3</v>
          </cell>
        </row>
        <row r="253">
          <cell r="A253" t="str">
            <v>11016_1</v>
          </cell>
        </row>
        <row r="254">
          <cell r="A254" t="str">
            <v>11207_1</v>
          </cell>
        </row>
        <row r="255">
          <cell r="A255" t="str">
            <v>11207_2</v>
          </cell>
        </row>
        <row r="256">
          <cell r="A256" t="str">
            <v>11208_1</v>
          </cell>
        </row>
        <row r="257">
          <cell r="A257" t="str">
            <v>11208_2</v>
          </cell>
        </row>
        <row r="258">
          <cell r="A258" t="str">
            <v>11209_1</v>
          </cell>
        </row>
        <row r="259">
          <cell r="A259" t="str">
            <v>11209_2</v>
          </cell>
        </row>
        <row r="260">
          <cell r="A260" t="str">
            <v>11212_1</v>
          </cell>
        </row>
        <row r="261">
          <cell r="A261" t="str">
            <v>11213_1</v>
          </cell>
        </row>
        <row r="262">
          <cell r="A262" t="str">
            <v>11214_1</v>
          </cell>
        </row>
        <row r="263">
          <cell r="A263" t="str">
            <v>11214_2</v>
          </cell>
        </row>
        <row r="264">
          <cell r="A264" t="str">
            <v>11214_3</v>
          </cell>
        </row>
        <row r="265">
          <cell r="A265" t="str">
            <v>11215_1</v>
          </cell>
        </row>
        <row r="266">
          <cell r="A266" t="str">
            <v>11216_1</v>
          </cell>
        </row>
        <row r="267">
          <cell r="A267" t="str">
            <v>11217_1</v>
          </cell>
        </row>
        <row r="268">
          <cell r="A268" t="str">
            <v>11218_1</v>
          </cell>
        </row>
        <row r="269">
          <cell r="A269" t="str">
            <v>11219_1</v>
          </cell>
        </row>
        <row r="270">
          <cell r="A270" t="str">
            <v>11220_1</v>
          </cell>
        </row>
        <row r="271">
          <cell r="A271" t="str">
            <v>11221_1</v>
          </cell>
        </row>
        <row r="272">
          <cell r="A272" t="str">
            <v>11224_1</v>
          </cell>
        </row>
        <row r="273">
          <cell r="A273" t="str">
            <v>12001_1</v>
          </cell>
        </row>
        <row r="274">
          <cell r="A274" t="str">
            <v>12001_2</v>
          </cell>
        </row>
        <row r="275">
          <cell r="A275" t="str">
            <v>12001_3</v>
          </cell>
        </row>
        <row r="276">
          <cell r="A276" t="str">
            <v>12002_1</v>
          </cell>
        </row>
        <row r="277">
          <cell r="A277" t="str">
            <v>12002_2</v>
          </cell>
        </row>
        <row r="278">
          <cell r="A278" t="str">
            <v>12003_1</v>
          </cell>
        </row>
        <row r="279">
          <cell r="A279" t="str">
            <v>12003_2</v>
          </cell>
        </row>
        <row r="280">
          <cell r="A280" t="str">
            <v>12003_3</v>
          </cell>
        </row>
        <row r="281">
          <cell r="A281" t="str">
            <v>12003_4</v>
          </cell>
        </row>
        <row r="282">
          <cell r="A282" t="str">
            <v>12004_1</v>
          </cell>
        </row>
        <row r="283">
          <cell r="A283" t="str">
            <v>13001_1</v>
          </cell>
        </row>
        <row r="284">
          <cell r="A284" t="str">
            <v>13001_2</v>
          </cell>
        </row>
        <row r="285">
          <cell r="A285" t="str">
            <v>13001_3</v>
          </cell>
        </row>
        <row r="286">
          <cell r="A286" t="str">
            <v>13001_4</v>
          </cell>
        </row>
        <row r="287">
          <cell r="A287" t="str">
            <v>13001_5</v>
          </cell>
        </row>
        <row r="288">
          <cell r="A288" t="str">
            <v>13001_6</v>
          </cell>
        </row>
        <row r="289">
          <cell r="A289" t="str">
            <v>13001_7</v>
          </cell>
        </row>
        <row r="290">
          <cell r="A290" t="str">
            <v>13001_8</v>
          </cell>
        </row>
        <row r="291">
          <cell r="A291" t="str">
            <v>13001_9</v>
          </cell>
        </row>
        <row r="292">
          <cell r="A292" t="str">
            <v>13001_10</v>
          </cell>
        </row>
        <row r="293">
          <cell r="A293" t="str">
            <v>13001_11</v>
          </cell>
        </row>
        <row r="294">
          <cell r="A294" t="str">
            <v>13001_12</v>
          </cell>
        </row>
        <row r="295">
          <cell r="A295" t="str">
            <v>13001_13</v>
          </cell>
        </row>
        <row r="296">
          <cell r="A296" t="str">
            <v>13001_14</v>
          </cell>
        </row>
        <row r="297">
          <cell r="A297" t="str">
            <v>13001_15</v>
          </cell>
        </row>
        <row r="298">
          <cell r="A298" t="str">
            <v>13001_16</v>
          </cell>
        </row>
        <row r="299">
          <cell r="A299" t="str">
            <v>13001_17</v>
          </cell>
        </row>
        <row r="300">
          <cell r="A300" t="str">
            <v>13001_18</v>
          </cell>
        </row>
        <row r="301">
          <cell r="A301" t="str">
            <v>13001_19</v>
          </cell>
        </row>
        <row r="302">
          <cell r="A302" t="str">
            <v>13001_20</v>
          </cell>
        </row>
        <row r="303">
          <cell r="A303" t="str">
            <v>13001_21</v>
          </cell>
        </row>
        <row r="304">
          <cell r="A304" t="str">
            <v>13001_22</v>
          </cell>
        </row>
        <row r="305">
          <cell r="A305" t="str">
            <v>13001_23</v>
          </cell>
        </row>
        <row r="306">
          <cell r="A306" t="str">
            <v>13001_24</v>
          </cell>
        </row>
        <row r="307">
          <cell r="A307" t="str">
            <v>13001_25</v>
          </cell>
        </row>
        <row r="308">
          <cell r="A308" t="str">
            <v>14001_1</v>
          </cell>
        </row>
        <row r="309">
          <cell r="A309" t="str">
            <v>14001_2</v>
          </cell>
        </row>
        <row r="310">
          <cell r="A310" t="str">
            <v>14001_3</v>
          </cell>
        </row>
        <row r="311">
          <cell r="A311" t="str">
            <v>14001_4</v>
          </cell>
        </row>
        <row r="312">
          <cell r="A312" t="str">
            <v>14001_5</v>
          </cell>
        </row>
        <row r="313">
          <cell r="A313" t="str">
            <v>14001_6</v>
          </cell>
        </row>
        <row r="314">
          <cell r="A314" t="str">
            <v>14001_7</v>
          </cell>
        </row>
        <row r="315">
          <cell r="A315" t="str">
            <v>14001_8</v>
          </cell>
        </row>
        <row r="316">
          <cell r="A316" t="str">
            <v>14002_1</v>
          </cell>
        </row>
        <row r="317">
          <cell r="A317" t="str">
            <v>14002_2</v>
          </cell>
        </row>
        <row r="318">
          <cell r="A318" t="str">
            <v>14003_1</v>
          </cell>
        </row>
        <row r="319">
          <cell r="A319" t="str">
            <v>14003_2</v>
          </cell>
        </row>
        <row r="320">
          <cell r="A320" t="str">
            <v>14003_3</v>
          </cell>
        </row>
        <row r="321">
          <cell r="A321" t="str">
            <v>14003_4</v>
          </cell>
        </row>
        <row r="322">
          <cell r="A322" t="str">
            <v>14004_1</v>
          </cell>
        </row>
        <row r="323">
          <cell r="A323" t="str">
            <v>14004_2</v>
          </cell>
        </row>
        <row r="324">
          <cell r="A324" t="str">
            <v>14004_3</v>
          </cell>
        </row>
        <row r="325">
          <cell r="A325" t="str">
            <v>14004_4</v>
          </cell>
        </row>
        <row r="326">
          <cell r="A326" t="str">
            <v>14005_1</v>
          </cell>
        </row>
        <row r="327">
          <cell r="A327" t="str">
            <v>14006_1</v>
          </cell>
        </row>
        <row r="328">
          <cell r="A328" t="str">
            <v>15027_1</v>
          </cell>
        </row>
        <row r="329">
          <cell r="A329" t="str">
            <v>15027_2</v>
          </cell>
        </row>
        <row r="330">
          <cell r="A330" t="str">
            <v>15027_3</v>
          </cell>
        </row>
        <row r="331">
          <cell r="A331" t="str">
            <v>15027_4</v>
          </cell>
        </row>
        <row r="332">
          <cell r="A332" t="str">
            <v>15028_1</v>
          </cell>
        </row>
        <row r="333">
          <cell r="A333" t="str">
            <v>15028_2</v>
          </cell>
        </row>
        <row r="334">
          <cell r="A334" t="str">
            <v>15028_3</v>
          </cell>
        </row>
        <row r="335">
          <cell r="A335" t="str">
            <v>15028_4</v>
          </cell>
        </row>
        <row r="336">
          <cell r="A336" t="str">
            <v>15029_1</v>
          </cell>
        </row>
        <row r="337">
          <cell r="A337" t="str">
            <v>15029_2</v>
          </cell>
        </row>
        <row r="338">
          <cell r="A338" t="str">
            <v>15029_3</v>
          </cell>
        </row>
        <row r="339">
          <cell r="A339" t="str">
            <v>15029_4</v>
          </cell>
        </row>
        <row r="340">
          <cell r="A340" t="str">
            <v>15030_1</v>
          </cell>
        </row>
        <row r="341">
          <cell r="A341" t="str">
            <v>15030_2</v>
          </cell>
        </row>
        <row r="342">
          <cell r="A342" t="str">
            <v>15030_3</v>
          </cell>
        </row>
        <row r="343">
          <cell r="A343" t="str">
            <v>15030_4</v>
          </cell>
        </row>
        <row r="344">
          <cell r="A344" t="str">
            <v>15031_1</v>
          </cell>
        </row>
        <row r="345">
          <cell r="A345" t="str">
            <v>15031_2</v>
          </cell>
        </row>
        <row r="346">
          <cell r="A346" t="str">
            <v>15031_3</v>
          </cell>
        </row>
        <row r="347">
          <cell r="A347" t="str">
            <v>15031_4</v>
          </cell>
        </row>
        <row r="348">
          <cell r="A348" t="str">
            <v>20001_1</v>
          </cell>
        </row>
        <row r="349">
          <cell r="A349" t="str">
            <v>20001_2</v>
          </cell>
        </row>
        <row r="350">
          <cell r="A350" t="str">
            <v>20001_3</v>
          </cell>
        </row>
        <row r="351">
          <cell r="A351" t="str">
            <v>20002_1</v>
          </cell>
        </row>
        <row r="352">
          <cell r="A352" t="str">
            <v>20002_2</v>
          </cell>
        </row>
        <row r="353">
          <cell r="A353" t="str">
            <v>20002_3</v>
          </cell>
        </row>
        <row r="354">
          <cell r="A354" t="str">
            <v>20003_1</v>
          </cell>
        </row>
        <row r="355">
          <cell r="A355" t="str">
            <v>20003_2</v>
          </cell>
        </row>
        <row r="356">
          <cell r="A356" t="str">
            <v>20003_3</v>
          </cell>
        </row>
        <row r="357">
          <cell r="A357" t="str">
            <v>20004_1</v>
          </cell>
        </row>
        <row r="358">
          <cell r="A358" t="str">
            <v>20004_2</v>
          </cell>
        </row>
        <row r="359">
          <cell r="A359" t="str">
            <v>20004_3</v>
          </cell>
        </row>
        <row r="360">
          <cell r="A360" t="str">
            <v>20005_1</v>
          </cell>
        </row>
        <row r="361">
          <cell r="A361" t="str">
            <v>20005_2</v>
          </cell>
        </row>
        <row r="362">
          <cell r="A362" t="str">
            <v>20005_3</v>
          </cell>
        </row>
        <row r="363">
          <cell r="A363" t="str">
            <v>20006_1</v>
          </cell>
        </row>
        <row r="364">
          <cell r="A364" t="str">
            <v>20006_2</v>
          </cell>
        </row>
        <row r="365">
          <cell r="A365" t="str">
            <v>20006_3</v>
          </cell>
        </row>
        <row r="366">
          <cell r="A366" t="str">
            <v>20007_1</v>
          </cell>
        </row>
        <row r="367">
          <cell r="A367" t="str">
            <v>20007_2</v>
          </cell>
        </row>
        <row r="368">
          <cell r="A368" t="str">
            <v>20007_3</v>
          </cell>
        </row>
        <row r="369">
          <cell r="A369" t="str">
            <v>20008_1</v>
          </cell>
        </row>
        <row r="370">
          <cell r="A370" t="str">
            <v>20008_2</v>
          </cell>
        </row>
        <row r="371">
          <cell r="A371" t="str">
            <v>20008_3</v>
          </cell>
        </row>
        <row r="372">
          <cell r="A372" t="str">
            <v>20009_1</v>
          </cell>
        </row>
        <row r="373">
          <cell r="A373" t="str">
            <v>20009_2</v>
          </cell>
        </row>
        <row r="374">
          <cell r="A374" t="str">
            <v>20009_3</v>
          </cell>
        </row>
        <row r="375">
          <cell r="A375" t="str">
            <v>20010_1</v>
          </cell>
        </row>
        <row r="376">
          <cell r="A376" t="str">
            <v>20010_2</v>
          </cell>
        </row>
        <row r="377">
          <cell r="A377" t="str">
            <v>20010_3</v>
          </cell>
        </row>
        <row r="378">
          <cell r="A378" t="str">
            <v>20011_1</v>
          </cell>
        </row>
        <row r="379">
          <cell r="A379" t="str">
            <v>20011_2</v>
          </cell>
        </row>
        <row r="380">
          <cell r="A380" t="str">
            <v>20011_3</v>
          </cell>
        </row>
        <row r="381">
          <cell r="A381" t="str">
            <v>20012_1</v>
          </cell>
        </row>
        <row r="382">
          <cell r="A382" t="str">
            <v>20012_2</v>
          </cell>
        </row>
        <row r="383">
          <cell r="A383" t="str">
            <v>20012_3</v>
          </cell>
        </row>
        <row r="384">
          <cell r="A384" t="str">
            <v>20013_1</v>
          </cell>
        </row>
        <row r="385">
          <cell r="A385" t="str">
            <v>20013_2</v>
          </cell>
        </row>
        <row r="386">
          <cell r="A386" t="str">
            <v>20013_3</v>
          </cell>
        </row>
        <row r="387">
          <cell r="A387" t="str">
            <v>20014_1</v>
          </cell>
        </row>
        <row r="388">
          <cell r="A388" t="str">
            <v>20014_2</v>
          </cell>
        </row>
        <row r="389">
          <cell r="A389" t="str">
            <v>20014_3</v>
          </cell>
        </row>
        <row r="390">
          <cell r="A390" t="str">
            <v>20015_1</v>
          </cell>
        </row>
        <row r="391">
          <cell r="A391" t="str">
            <v>20015_2</v>
          </cell>
        </row>
        <row r="392">
          <cell r="A392" t="str">
            <v>20015_3</v>
          </cell>
        </row>
        <row r="393">
          <cell r="A393" t="str">
            <v>20016_1</v>
          </cell>
        </row>
        <row r="394">
          <cell r="A394" t="str">
            <v>20016_2</v>
          </cell>
        </row>
        <row r="395">
          <cell r="A395" t="str">
            <v>20016_3</v>
          </cell>
        </row>
        <row r="396">
          <cell r="A396" t="str">
            <v>30001_1</v>
          </cell>
        </row>
        <row r="397">
          <cell r="A397" t="str">
            <v>30001_2</v>
          </cell>
        </row>
        <row r="398">
          <cell r="A398" t="str">
            <v>30001_3</v>
          </cell>
        </row>
        <row r="399">
          <cell r="A399" t="str">
            <v>30002_1</v>
          </cell>
        </row>
        <row r="400">
          <cell r="A400" t="str">
            <v>30002_2</v>
          </cell>
        </row>
        <row r="401">
          <cell r="A401" t="str">
            <v>30002_3</v>
          </cell>
        </row>
        <row r="402">
          <cell r="A402" t="str">
            <v>30003_1</v>
          </cell>
        </row>
        <row r="403">
          <cell r="A403" t="str">
            <v>30003_2</v>
          </cell>
        </row>
        <row r="404">
          <cell r="A404" t="str">
            <v>30003_3</v>
          </cell>
        </row>
        <row r="405">
          <cell r="A405" t="str">
            <v>30004_1</v>
          </cell>
        </row>
        <row r="406">
          <cell r="A406" t="str">
            <v>30004_2</v>
          </cell>
        </row>
        <row r="407">
          <cell r="A407" t="str">
            <v>30004_3</v>
          </cell>
        </row>
        <row r="408">
          <cell r="A408" t="str">
            <v>30005_1</v>
          </cell>
        </row>
        <row r="409">
          <cell r="A409" t="str">
            <v>30005_2</v>
          </cell>
        </row>
        <row r="410">
          <cell r="A410" t="str">
            <v>30005_3</v>
          </cell>
        </row>
        <row r="411">
          <cell r="A411" t="str">
            <v>30006_1</v>
          </cell>
        </row>
        <row r="412">
          <cell r="A412" t="str">
            <v>30006_2</v>
          </cell>
        </row>
        <row r="413">
          <cell r="A413" t="str">
            <v>30006_3</v>
          </cell>
        </row>
        <row r="414">
          <cell r="A414" t="str">
            <v>30007_1</v>
          </cell>
        </row>
        <row r="415">
          <cell r="A415" t="str">
            <v>30007_2</v>
          </cell>
        </row>
        <row r="416">
          <cell r="A416" t="str">
            <v>30007_3</v>
          </cell>
        </row>
        <row r="417">
          <cell r="A417" t="str">
            <v>30008_1</v>
          </cell>
        </row>
        <row r="418">
          <cell r="A418" t="str">
            <v>30008_2</v>
          </cell>
        </row>
        <row r="419">
          <cell r="A419" t="str">
            <v>30008_3</v>
          </cell>
        </row>
        <row r="420">
          <cell r="A420" t="str">
            <v>30009_3</v>
          </cell>
        </row>
        <row r="421">
          <cell r="A421" t="str">
            <v>30009_1</v>
          </cell>
        </row>
        <row r="422">
          <cell r="A422" t="str">
            <v>30009_2</v>
          </cell>
        </row>
        <row r="423">
          <cell r="A423" t="str">
            <v>30010_1</v>
          </cell>
        </row>
        <row r="424">
          <cell r="A424" t="str">
            <v>30010_2</v>
          </cell>
        </row>
        <row r="425">
          <cell r="A425" t="str">
            <v>30010_3</v>
          </cell>
        </row>
        <row r="426">
          <cell r="A426" t="str">
            <v>30011_1</v>
          </cell>
        </row>
        <row r="427">
          <cell r="A427" t="str">
            <v>30011_2</v>
          </cell>
        </row>
        <row r="428">
          <cell r="A428" t="str">
            <v>30011_3</v>
          </cell>
        </row>
        <row r="429">
          <cell r="A429" t="str">
            <v>30012_1</v>
          </cell>
        </row>
        <row r="430">
          <cell r="A430" t="str">
            <v>30012_2</v>
          </cell>
        </row>
        <row r="431">
          <cell r="A431" t="str">
            <v>30012_3</v>
          </cell>
        </row>
        <row r="432">
          <cell r="A432" t="str">
            <v>30013_1</v>
          </cell>
        </row>
        <row r="433">
          <cell r="A433" t="str">
            <v>30013_2</v>
          </cell>
        </row>
        <row r="434">
          <cell r="A434" t="str">
            <v>30014_1</v>
          </cell>
        </row>
        <row r="435">
          <cell r="A435" t="str">
            <v>30014_2</v>
          </cell>
        </row>
        <row r="436">
          <cell r="A436" t="str">
            <v>30015_1</v>
          </cell>
        </row>
        <row r="437">
          <cell r="A437" t="str">
            <v>30015_2</v>
          </cell>
        </row>
        <row r="438">
          <cell r="A438" t="str">
            <v>30016_1</v>
          </cell>
        </row>
        <row r="439">
          <cell r="A439" t="str">
            <v>30016_2</v>
          </cell>
        </row>
        <row r="440">
          <cell r="A440" t="str">
            <v>30017_1</v>
          </cell>
        </row>
        <row r="441">
          <cell r="A441" t="str">
            <v>30017_2</v>
          </cell>
        </row>
        <row r="442">
          <cell r="A442" t="str">
            <v>30018_1</v>
          </cell>
        </row>
        <row r="443">
          <cell r="A443" t="str">
            <v>30018_2</v>
          </cell>
        </row>
        <row r="444">
          <cell r="A444" t="str">
            <v>30019_1</v>
          </cell>
        </row>
        <row r="445">
          <cell r="A445" t="str">
            <v>30019_2</v>
          </cell>
        </row>
        <row r="446">
          <cell r="A446" t="str">
            <v>30020_1</v>
          </cell>
        </row>
        <row r="447">
          <cell r="A447" t="str">
            <v>30020_2</v>
          </cell>
        </row>
        <row r="448">
          <cell r="A448" t="str">
            <v>30021_1</v>
          </cell>
        </row>
        <row r="449">
          <cell r="A449" t="str">
            <v>30021_2</v>
          </cell>
        </row>
        <row r="450">
          <cell r="A450" t="str">
            <v>30021_3</v>
          </cell>
        </row>
        <row r="451">
          <cell r="A451" t="str">
            <v>30022_1</v>
          </cell>
        </row>
        <row r="452">
          <cell r="A452" t="str">
            <v>30022_2</v>
          </cell>
        </row>
        <row r="453">
          <cell r="A453" t="str">
            <v>30023_1</v>
          </cell>
        </row>
        <row r="454">
          <cell r="A454" t="str">
            <v>30023_2</v>
          </cell>
        </row>
        <row r="455">
          <cell r="A455" t="str">
            <v>30023_3</v>
          </cell>
        </row>
        <row r="456">
          <cell r="A456" t="str">
            <v>30024_1</v>
          </cell>
        </row>
        <row r="457">
          <cell r="A457" t="str">
            <v>30024_2</v>
          </cell>
        </row>
        <row r="458">
          <cell r="A458" t="str">
            <v>30024_3</v>
          </cell>
        </row>
        <row r="459">
          <cell r="A459" t="str">
            <v>30025_1</v>
          </cell>
        </row>
        <row r="460">
          <cell r="A460" t="str">
            <v>30025_2</v>
          </cell>
        </row>
        <row r="461">
          <cell r="A461" t="str">
            <v>30025_3</v>
          </cell>
        </row>
        <row r="462">
          <cell r="A462" t="str">
            <v>30026_1</v>
          </cell>
        </row>
        <row r="463">
          <cell r="A463" t="str">
            <v>30026_2</v>
          </cell>
        </row>
        <row r="464">
          <cell r="A464" t="str">
            <v>30026_3</v>
          </cell>
        </row>
        <row r="465">
          <cell r="A465" t="str">
            <v>30027_1</v>
          </cell>
        </row>
        <row r="466">
          <cell r="A466" t="str">
            <v>30027_2</v>
          </cell>
        </row>
        <row r="467">
          <cell r="A467" t="str">
            <v>30027_3</v>
          </cell>
        </row>
        <row r="468">
          <cell r="A468" t="str">
            <v>30028_1</v>
          </cell>
        </row>
        <row r="469">
          <cell r="A469" t="str">
            <v>30028_2</v>
          </cell>
        </row>
        <row r="470">
          <cell r="A470" t="str">
            <v>30028_3</v>
          </cell>
        </row>
        <row r="471">
          <cell r="A471" t="str">
            <v>30029_1</v>
          </cell>
        </row>
        <row r="472">
          <cell r="A472" t="str">
            <v>30029_2</v>
          </cell>
        </row>
        <row r="473">
          <cell r="A473" t="str">
            <v>30029_3</v>
          </cell>
        </row>
        <row r="474">
          <cell r="A474" t="str">
            <v>30030_1</v>
          </cell>
        </row>
        <row r="475">
          <cell r="A475" t="str">
            <v>30030_2</v>
          </cell>
        </row>
        <row r="476">
          <cell r="A476" t="str">
            <v>30030_3</v>
          </cell>
        </row>
        <row r="477">
          <cell r="A477" t="str">
            <v>30031_1</v>
          </cell>
        </row>
        <row r="478">
          <cell r="A478" t="str">
            <v>30031_2</v>
          </cell>
        </row>
        <row r="479">
          <cell r="A479" t="str">
            <v>30031_3</v>
          </cell>
        </row>
        <row r="480">
          <cell r="A480" t="str">
            <v>30032_1</v>
          </cell>
        </row>
        <row r="481">
          <cell r="A481" t="str">
            <v>30032_2</v>
          </cell>
        </row>
        <row r="482">
          <cell r="A482" t="str">
            <v>30032_3</v>
          </cell>
        </row>
        <row r="483">
          <cell r="A483" t="str">
            <v>30033_1</v>
          </cell>
        </row>
        <row r="484">
          <cell r="A484" t="str">
            <v>30033_2</v>
          </cell>
        </row>
        <row r="485">
          <cell r="A485" t="str">
            <v>30033_3</v>
          </cell>
        </row>
        <row r="486">
          <cell r="A486" t="str">
            <v>30034_1</v>
          </cell>
        </row>
        <row r="487">
          <cell r="A487" t="str">
            <v>30034_2</v>
          </cell>
        </row>
        <row r="488">
          <cell r="A488" t="str">
            <v>30034_3</v>
          </cell>
        </row>
        <row r="489">
          <cell r="A489" t="str">
            <v>30035_1</v>
          </cell>
        </row>
        <row r="490">
          <cell r="A490" t="str">
            <v>30035_2</v>
          </cell>
        </row>
        <row r="491">
          <cell r="A491" t="str">
            <v>30035_3</v>
          </cell>
        </row>
        <row r="492">
          <cell r="A492" t="str">
            <v>30036_1</v>
          </cell>
        </row>
        <row r="493">
          <cell r="A493" t="str">
            <v>30036_2</v>
          </cell>
        </row>
        <row r="494">
          <cell r="A494" t="str">
            <v>30036_3</v>
          </cell>
        </row>
        <row r="495">
          <cell r="A495" t="str">
            <v>39001_1</v>
          </cell>
        </row>
        <row r="496">
          <cell r="A496" t="str">
            <v>39001_2</v>
          </cell>
        </row>
        <row r="497">
          <cell r="A497" t="str">
            <v>39001_3</v>
          </cell>
        </row>
        <row r="498">
          <cell r="A498" t="str">
            <v>39001_4</v>
          </cell>
        </row>
        <row r="499">
          <cell r="A499" t="str">
            <v>39001_5</v>
          </cell>
        </row>
        <row r="500">
          <cell r="A500" t="str">
            <v>39002_1</v>
          </cell>
        </row>
        <row r="501">
          <cell r="A501" t="str">
            <v>39002_2</v>
          </cell>
        </row>
        <row r="502">
          <cell r="A502" t="str">
            <v>39002_3</v>
          </cell>
        </row>
        <row r="503">
          <cell r="A503" t="str">
            <v>39002_4</v>
          </cell>
        </row>
        <row r="504">
          <cell r="A504" t="str">
            <v>39003_1</v>
          </cell>
        </row>
        <row r="505">
          <cell r="A505" t="str">
            <v>39003_2</v>
          </cell>
        </row>
        <row r="506">
          <cell r="A506" t="str">
            <v>39003_3</v>
          </cell>
        </row>
        <row r="507">
          <cell r="A507" t="str">
            <v>39003_4</v>
          </cell>
        </row>
        <row r="508">
          <cell r="A508" t="str">
            <v>39004_1</v>
          </cell>
        </row>
        <row r="509">
          <cell r="A509" t="str">
            <v>39004_2</v>
          </cell>
        </row>
        <row r="510">
          <cell r="A510" t="str">
            <v>39004_3</v>
          </cell>
        </row>
        <row r="511">
          <cell r="A511" t="str">
            <v>39004_4</v>
          </cell>
        </row>
        <row r="512">
          <cell r="A512" t="str">
            <v>39005_1</v>
          </cell>
        </row>
        <row r="513">
          <cell r="A513" t="str">
            <v>39005_2</v>
          </cell>
        </row>
        <row r="514">
          <cell r="A514" t="str">
            <v>39005_3</v>
          </cell>
        </row>
        <row r="515">
          <cell r="A515" t="str">
            <v>39005_4</v>
          </cell>
        </row>
        <row r="516">
          <cell r="A516" t="str">
            <v>39005_5</v>
          </cell>
        </row>
        <row r="517">
          <cell r="A517" t="str">
            <v>39006_1</v>
          </cell>
        </row>
        <row r="518">
          <cell r="A518" t="str">
            <v>39006_2</v>
          </cell>
        </row>
        <row r="519">
          <cell r="A519" t="str">
            <v>39006_3</v>
          </cell>
        </row>
        <row r="520">
          <cell r="A520" t="str">
            <v>39006_4</v>
          </cell>
        </row>
        <row r="521">
          <cell r="A521" t="str">
            <v>40001_1</v>
          </cell>
        </row>
        <row r="522">
          <cell r="A522" t="str">
            <v>40002_1</v>
          </cell>
        </row>
        <row r="523">
          <cell r="A523" t="str">
            <v>40002_2</v>
          </cell>
        </row>
        <row r="524">
          <cell r="A524" t="str">
            <v>40002_3</v>
          </cell>
        </row>
        <row r="525">
          <cell r="A525" t="str">
            <v>40003_1</v>
          </cell>
        </row>
        <row r="526">
          <cell r="A526" t="str">
            <v>40004_1</v>
          </cell>
        </row>
        <row r="527">
          <cell r="A527" t="str">
            <v>40005_1</v>
          </cell>
        </row>
        <row r="528">
          <cell r="A528" t="str">
            <v>40006_1</v>
          </cell>
        </row>
        <row r="529">
          <cell r="A529" t="str">
            <v>40007_1</v>
          </cell>
        </row>
        <row r="530">
          <cell r="A530" t="str">
            <v>40008_1</v>
          </cell>
        </row>
        <row r="531">
          <cell r="A531" t="str">
            <v>40009_1</v>
          </cell>
        </row>
        <row r="532">
          <cell r="A532" t="str">
            <v>40010_1</v>
          </cell>
        </row>
        <row r="533">
          <cell r="A533" t="str">
            <v>40011_1</v>
          </cell>
        </row>
        <row r="534">
          <cell r="A534" t="str">
            <v>40012_1</v>
          </cell>
        </row>
        <row r="535">
          <cell r="A535" t="str">
            <v>40013_1</v>
          </cell>
        </row>
        <row r="536">
          <cell r="A536" t="str">
            <v>40014_1</v>
          </cell>
        </row>
        <row r="537">
          <cell r="A537" t="str">
            <v>40015_1</v>
          </cell>
        </row>
        <row r="538">
          <cell r="A538" t="str">
            <v>40016_1</v>
          </cell>
        </row>
        <row r="539">
          <cell r="A539" t="str">
            <v>40016_2</v>
          </cell>
        </row>
        <row r="540">
          <cell r="A540" t="str">
            <v>40017_1</v>
          </cell>
        </row>
        <row r="541">
          <cell r="A541" t="str">
            <v>40017_2</v>
          </cell>
        </row>
        <row r="542">
          <cell r="A542" t="str">
            <v>40017_3</v>
          </cell>
        </row>
        <row r="543">
          <cell r="A543" t="str">
            <v>40018_1</v>
          </cell>
        </row>
        <row r="544">
          <cell r="A544" t="str">
            <v>40018_2</v>
          </cell>
        </row>
        <row r="545">
          <cell r="A545" t="str">
            <v>40018_3</v>
          </cell>
        </row>
        <row r="546">
          <cell r="A546" t="str">
            <v>40019_1</v>
          </cell>
        </row>
        <row r="547">
          <cell r="A547" t="str">
            <v>40019_2</v>
          </cell>
        </row>
        <row r="548">
          <cell r="A548" t="str">
            <v>40019_3</v>
          </cell>
        </row>
        <row r="549">
          <cell r="A549" t="str">
            <v>48001_1</v>
          </cell>
        </row>
        <row r="550">
          <cell r="A550" t="str">
            <v>41001_1</v>
          </cell>
        </row>
        <row r="551">
          <cell r="A551" t="str">
            <v>41001_2</v>
          </cell>
        </row>
        <row r="552">
          <cell r="A552" t="str">
            <v>41001_3</v>
          </cell>
        </row>
        <row r="553">
          <cell r="A553" t="str">
            <v>41002_1</v>
          </cell>
        </row>
        <row r="554">
          <cell r="A554" t="str">
            <v>41002_2</v>
          </cell>
        </row>
        <row r="555">
          <cell r="A555" t="str">
            <v>41002_3</v>
          </cell>
        </row>
        <row r="556">
          <cell r="A556" t="str">
            <v>41003_1</v>
          </cell>
        </row>
        <row r="557">
          <cell r="A557" t="str">
            <v>41003_2</v>
          </cell>
        </row>
        <row r="558">
          <cell r="A558" t="str">
            <v>41003_3</v>
          </cell>
        </row>
        <row r="559">
          <cell r="A559" t="str">
            <v>41004_1</v>
          </cell>
        </row>
        <row r="560">
          <cell r="A560" t="str">
            <v>41004_2</v>
          </cell>
        </row>
        <row r="561">
          <cell r="A561" t="str">
            <v>41004_3</v>
          </cell>
        </row>
        <row r="562">
          <cell r="A562" t="str">
            <v>41005_1</v>
          </cell>
        </row>
        <row r="563">
          <cell r="A563" t="str">
            <v>41005_2</v>
          </cell>
        </row>
        <row r="564">
          <cell r="A564" t="str">
            <v>41005_3</v>
          </cell>
        </row>
        <row r="565">
          <cell r="A565" t="str">
            <v>41006_1</v>
          </cell>
        </row>
        <row r="566">
          <cell r="A566" t="str">
            <v>41006_2</v>
          </cell>
        </row>
        <row r="567">
          <cell r="A567" t="str">
            <v>41006_3</v>
          </cell>
        </row>
        <row r="568">
          <cell r="A568" t="str">
            <v>41007_1</v>
          </cell>
        </row>
        <row r="569">
          <cell r="A569" t="str">
            <v>41007_2</v>
          </cell>
        </row>
        <row r="570">
          <cell r="A570" t="str">
            <v>41007_3</v>
          </cell>
        </row>
        <row r="571">
          <cell r="A571" t="str">
            <v>41008_1</v>
          </cell>
        </row>
        <row r="572">
          <cell r="A572" t="str">
            <v>41008_2</v>
          </cell>
        </row>
        <row r="573">
          <cell r="A573" t="str">
            <v>41008_3</v>
          </cell>
        </row>
        <row r="574">
          <cell r="A574" t="str">
            <v>49001_1</v>
          </cell>
        </row>
        <row r="575">
          <cell r="A575" t="str">
            <v>49002_1</v>
          </cell>
        </row>
        <row r="576">
          <cell r="A576" t="str">
            <v>49002_2</v>
          </cell>
        </row>
        <row r="577">
          <cell r="A577" t="str">
            <v>49003_1</v>
          </cell>
        </row>
        <row r="578">
          <cell r="A578" t="str">
            <v>49003_2</v>
          </cell>
        </row>
        <row r="579">
          <cell r="A579" t="str">
            <v>49004_1</v>
          </cell>
        </row>
        <row r="580">
          <cell r="A580" t="str">
            <v>49004_2</v>
          </cell>
        </row>
        <row r="581">
          <cell r="A581" t="str">
            <v>49004_3</v>
          </cell>
        </row>
        <row r="582">
          <cell r="A582" t="str">
            <v>49005_1</v>
          </cell>
        </row>
        <row r="583">
          <cell r="A583" t="str">
            <v>49006_1</v>
          </cell>
        </row>
        <row r="584">
          <cell r="A584" t="str">
            <v>50001_1</v>
          </cell>
        </row>
        <row r="585">
          <cell r="A585" t="str">
            <v>50002_1</v>
          </cell>
        </row>
        <row r="586">
          <cell r="A586" t="str">
            <v>50003_1</v>
          </cell>
        </row>
        <row r="587">
          <cell r="A587" t="str">
            <v>50004_1</v>
          </cell>
        </row>
        <row r="588">
          <cell r="A588" t="str">
            <v>51001_1</v>
          </cell>
        </row>
        <row r="589">
          <cell r="A589" t="str">
            <v>51002_1</v>
          </cell>
        </row>
        <row r="590">
          <cell r="A590" t="str">
            <v>60001_1</v>
          </cell>
        </row>
        <row r="591">
          <cell r="A591" t="str">
            <v>60002_1</v>
          </cell>
        </row>
        <row r="592">
          <cell r="A592" t="str">
            <v>60002_2</v>
          </cell>
        </row>
        <row r="593">
          <cell r="A593" t="str">
            <v>60003_1</v>
          </cell>
        </row>
        <row r="594">
          <cell r="A594" t="str">
            <v>60003_2</v>
          </cell>
        </row>
        <row r="595">
          <cell r="A595" t="str">
            <v>60003_3</v>
          </cell>
        </row>
        <row r="596">
          <cell r="A596" t="str">
            <v>60004_1</v>
          </cell>
        </row>
        <row r="597">
          <cell r="A597" t="str">
            <v>60005_1</v>
          </cell>
        </row>
        <row r="598">
          <cell r="A598" t="str">
            <v>60006_1</v>
          </cell>
        </row>
        <row r="599">
          <cell r="A599" t="str">
            <v>60006_2</v>
          </cell>
        </row>
        <row r="600">
          <cell r="A600" t="str">
            <v>60006_3</v>
          </cell>
        </row>
        <row r="601">
          <cell r="A601" t="str">
            <v>60007_1</v>
          </cell>
        </row>
        <row r="602">
          <cell r="A602" t="str">
            <v>60007_2</v>
          </cell>
        </row>
        <row r="603">
          <cell r="A603" t="str">
            <v>60007_3</v>
          </cell>
        </row>
        <row r="604">
          <cell r="A604" t="str">
            <v>60010_1</v>
          </cell>
        </row>
        <row r="605">
          <cell r="A605" t="str">
            <v>60011_1</v>
          </cell>
        </row>
        <row r="606">
          <cell r="A606" t="str">
            <v>65535_1</v>
          </cell>
        </row>
        <row r="607">
          <cell r="A607" t="str">
            <v>65535_2</v>
          </cell>
        </row>
        <row r="608">
          <cell r="A608" t="str">
            <v>65535_3</v>
          </cell>
        </row>
        <row r="609">
          <cell r="A609" t="str">
            <v>65535_4</v>
          </cell>
        </row>
        <row r="610">
          <cell r="A610" t="str">
            <v>65535_5</v>
          </cell>
        </row>
        <row r="611">
          <cell r="A611" t="str">
            <v>65535_6</v>
          </cell>
        </row>
        <row r="612">
          <cell r="A612" t="str">
            <v>65535_7</v>
          </cell>
        </row>
        <row r="613">
          <cell r="A613" t="str">
            <v>65535_8</v>
          </cell>
        </row>
        <row r="614">
          <cell r="A614" t="str">
            <v>60021_3</v>
          </cell>
        </row>
        <row r="615">
          <cell r="A615" t="str">
            <v>60022_3</v>
          </cell>
        </row>
        <row r="616">
          <cell r="A616" t="str">
            <v>60023_3</v>
          </cell>
        </row>
        <row r="617">
          <cell r="A617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6001</v>
          </cell>
        </row>
        <row r="1061">
          <cell r="A1061">
            <v>6002</v>
          </cell>
        </row>
        <row r="1062">
          <cell r="A1062">
            <v>6003</v>
          </cell>
        </row>
        <row r="1063">
          <cell r="A1063">
            <v>6004</v>
          </cell>
        </row>
        <row r="1064">
          <cell r="A1064">
            <v>6005</v>
          </cell>
        </row>
        <row r="1065">
          <cell r="A1065">
            <v>6006</v>
          </cell>
        </row>
        <row r="1066">
          <cell r="A1066">
            <v>6007</v>
          </cell>
        </row>
        <row r="1067">
          <cell r="A1067">
            <v>6008</v>
          </cell>
        </row>
        <row r="1068">
          <cell r="A1068">
            <v>6009</v>
          </cell>
        </row>
        <row r="1069">
          <cell r="A1069">
            <v>6010</v>
          </cell>
        </row>
        <row r="1070">
          <cell r="A1070">
            <v>6011</v>
          </cell>
        </row>
        <row r="1071">
          <cell r="A1071">
            <v>6012</v>
          </cell>
        </row>
        <row r="1072">
          <cell r="A1072">
            <v>6013</v>
          </cell>
        </row>
        <row r="1073">
          <cell r="A1073">
            <v>6014</v>
          </cell>
        </row>
        <row r="1074">
          <cell r="A1074">
            <v>6015</v>
          </cell>
        </row>
        <row r="1075">
          <cell r="A1075">
            <v>6016</v>
          </cell>
        </row>
        <row r="1076">
          <cell r="A1076">
            <v>6017</v>
          </cell>
        </row>
        <row r="1077">
          <cell r="A1077">
            <v>6018</v>
          </cell>
        </row>
        <row r="1078">
          <cell r="A1078">
            <v>6019</v>
          </cell>
        </row>
        <row r="1079">
          <cell r="A1079">
            <v>6020</v>
          </cell>
        </row>
        <row r="1080">
          <cell r="A1080">
            <v>8001</v>
          </cell>
        </row>
        <row r="1081">
          <cell r="A1081">
            <v>8002</v>
          </cell>
        </row>
        <row r="1082">
          <cell r="A1082">
            <v>8003</v>
          </cell>
        </row>
        <row r="1083">
          <cell r="A1083">
            <v>8004</v>
          </cell>
        </row>
        <row r="1084">
          <cell r="A1084">
            <v>8005</v>
          </cell>
        </row>
        <row r="1085">
          <cell r="A1085">
            <v>8006</v>
          </cell>
        </row>
        <row r="1086">
          <cell r="A1086">
            <v>8007</v>
          </cell>
        </row>
        <row r="1087">
          <cell r="A1087">
            <v>8008</v>
          </cell>
        </row>
        <row r="1088">
          <cell r="A1088">
            <v>8009</v>
          </cell>
        </row>
        <row r="1089">
          <cell r="A1089">
            <v>8010</v>
          </cell>
        </row>
        <row r="1090">
          <cell r="A1090">
            <v>8011</v>
          </cell>
        </row>
        <row r="1091">
          <cell r="A1091">
            <v>8012</v>
          </cell>
        </row>
        <row r="1092">
          <cell r="A1092">
            <v>8013</v>
          </cell>
        </row>
        <row r="1093">
          <cell r="A1093">
            <v>8014</v>
          </cell>
        </row>
        <row r="1094">
          <cell r="A1094">
            <v>8015</v>
          </cell>
        </row>
        <row r="1095">
          <cell r="A1095">
            <v>8016</v>
          </cell>
        </row>
        <row r="1096">
          <cell r="A1096">
            <v>8017</v>
          </cell>
        </row>
        <row r="1097">
          <cell r="A1097">
            <v>8018</v>
          </cell>
        </row>
        <row r="1098">
          <cell r="A1098">
            <v>8019</v>
          </cell>
        </row>
        <row r="1099">
          <cell r="A1099">
            <v>8020</v>
          </cell>
        </row>
        <row r="1100">
          <cell r="A1100">
            <v>8021</v>
          </cell>
        </row>
        <row r="1101">
          <cell r="A1101">
            <v>8022</v>
          </cell>
        </row>
        <row r="1102">
          <cell r="A1102">
            <v>8023</v>
          </cell>
        </row>
        <row r="1103">
          <cell r="A1103">
            <v>8024</v>
          </cell>
        </row>
        <row r="1104">
          <cell r="A1104">
            <v>8025</v>
          </cell>
        </row>
        <row r="1105">
          <cell r="A1105">
            <v>8026</v>
          </cell>
        </row>
        <row r="1106">
          <cell r="A1106">
            <v>8027</v>
          </cell>
        </row>
        <row r="1107">
          <cell r="A1107">
            <v>8028</v>
          </cell>
        </row>
        <row r="1108">
          <cell r="A1108">
            <v>8029</v>
          </cell>
        </row>
        <row r="1109">
          <cell r="A1109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</row>
        <row r="890">
          <cell r="A890">
            <v>889</v>
          </cell>
          <cell r="B890" t="str">
            <v>ja</v>
          </cell>
          <cell r="C890" t="str">
            <v>ポアソン</v>
          </cell>
        </row>
        <row r="891">
          <cell r="A891">
            <v>890</v>
          </cell>
          <cell r="B891" t="str">
            <v>ja</v>
          </cell>
          <cell r="C891" t="str">
            <v>ポアソン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</row>
        <row r="896">
          <cell r="A896">
            <v>895</v>
          </cell>
          <cell r="B896" t="str">
            <v>ja</v>
          </cell>
        </row>
        <row r="897">
          <cell r="A897">
            <v>896</v>
          </cell>
          <cell r="B897" t="str">
            <v>ja</v>
          </cell>
        </row>
        <row r="898">
          <cell r="A898">
            <v>897</v>
          </cell>
          <cell r="B898" t="str">
            <v>ja</v>
          </cell>
        </row>
        <row r="899">
          <cell r="A899">
            <v>898</v>
          </cell>
          <cell r="B899" t="str">
            <v>ja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ウザリーマン</v>
          </cell>
        </row>
        <row r="1047">
          <cell r="A1047">
            <v>1046</v>
          </cell>
          <cell r="B1047" t="str">
            <v>ja</v>
          </cell>
          <cell r="C1047" t="str">
            <v>ウザリーマン</v>
          </cell>
        </row>
        <row r="1048">
          <cell r="A1048">
            <v>1047</v>
          </cell>
          <cell r="B1048" t="str">
            <v>ja</v>
          </cell>
          <cell r="C1048" t="str">
            <v>ウザリーマン</v>
          </cell>
        </row>
        <row r="1049">
          <cell r="A1049">
            <v>1048</v>
          </cell>
          <cell r="B1049" t="str">
            <v>ja</v>
          </cell>
          <cell r="C1049" t="str">
            <v>ウザリーマン</v>
          </cell>
        </row>
        <row r="1050">
          <cell r="A1050">
            <v>1049</v>
          </cell>
          <cell r="B1050" t="str">
            <v>ja</v>
          </cell>
          <cell r="C1050" t="str">
            <v>ウザリーマン</v>
          </cell>
        </row>
        <row r="1051">
          <cell r="A1051">
            <v>1050</v>
          </cell>
          <cell r="B1051" t="str">
            <v>ja</v>
          </cell>
          <cell r="C1051" t="str">
            <v>ウザリーマン</v>
          </cell>
        </row>
        <row r="1052">
          <cell r="A1052">
            <v>1051</v>
          </cell>
          <cell r="B1052" t="str">
            <v>ja</v>
          </cell>
          <cell r="C1052" t="str">
            <v>ウザリーマン</v>
          </cell>
        </row>
        <row r="1053">
          <cell r="A1053">
            <v>1052</v>
          </cell>
          <cell r="B1053" t="str">
            <v>ja</v>
          </cell>
          <cell r="C1053" t="str">
            <v>ウザリーマン</v>
          </cell>
        </row>
        <row r="1054">
          <cell r="A1054">
            <v>1053</v>
          </cell>
          <cell r="B1054" t="str">
            <v>ja</v>
          </cell>
          <cell r="C1054" t="str">
            <v>ウザリーマン</v>
          </cell>
        </row>
        <row r="1055">
          <cell r="A1055">
            <v>1054</v>
          </cell>
          <cell r="B1055" t="str">
            <v>ja</v>
          </cell>
          <cell r="C1055" t="str">
            <v>ウザリーマン</v>
          </cell>
        </row>
        <row r="1056">
          <cell r="A1056">
            <v>1055</v>
          </cell>
          <cell r="B1056" t="str">
            <v>ja</v>
          </cell>
          <cell r="C1056" t="str">
            <v>ベリアル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</row>
        <row r="1060">
          <cell r="A1060">
            <v>6001</v>
          </cell>
          <cell r="B1060" t="str">
            <v>ja</v>
          </cell>
          <cell r="C1060" t="str">
            <v>ジェリー</v>
          </cell>
        </row>
        <row r="1061">
          <cell r="A1061">
            <v>6002</v>
          </cell>
          <cell r="B1061" t="str">
            <v>ja</v>
          </cell>
          <cell r="C1061" t="str">
            <v>ヨシタカ</v>
          </cell>
        </row>
        <row r="1062">
          <cell r="A1062">
            <v>6003</v>
          </cell>
          <cell r="B1062" t="str">
            <v>ja</v>
          </cell>
          <cell r="C1062" t="str">
            <v>朱雀</v>
          </cell>
        </row>
        <row r="1063">
          <cell r="A1063">
            <v>6004</v>
          </cell>
          <cell r="B1063" t="str">
            <v>ja</v>
          </cell>
          <cell r="C1063" t="str">
            <v>ブレット</v>
          </cell>
        </row>
        <row r="1064">
          <cell r="A1064">
            <v>6005</v>
          </cell>
          <cell r="B1064" t="str">
            <v>ja</v>
          </cell>
          <cell r="C1064" t="str">
            <v>孤神 テティス</v>
          </cell>
        </row>
        <row r="1065">
          <cell r="A1065">
            <v>6006</v>
          </cell>
          <cell r="B1065" t="str">
            <v>ja</v>
          </cell>
          <cell r="C1065" t="str">
            <v>海底の孤高神 テティス</v>
          </cell>
        </row>
        <row r="1066">
          <cell r="A1066">
            <v>6007</v>
          </cell>
          <cell r="B1066" t="str">
            <v>ja</v>
          </cell>
          <cell r="C1066" t="str">
            <v>番犬 ケルベロス</v>
          </cell>
        </row>
        <row r="1067">
          <cell r="A1067">
            <v>6008</v>
          </cell>
          <cell r="B1067" t="str">
            <v>ja</v>
          </cell>
          <cell r="C1067" t="str">
            <v>焔神 プロメテウス</v>
          </cell>
        </row>
        <row r="1068">
          <cell r="A1068">
            <v>6009</v>
          </cell>
          <cell r="B1068" t="str">
            <v>ja</v>
          </cell>
          <cell r="C1068" t="str">
            <v>超越自我 ラグランジュ</v>
          </cell>
        </row>
        <row r="1069">
          <cell r="A1069">
            <v>6010</v>
          </cell>
          <cell r="B1069" t="str">
            <v>ja</v>
          </cell>
          <cell r="C1069" t="str">
            <v>超越凌駕 ラグランジュ</v>
          </cell>
        </row>
        <row r="1070">
          <cell r="A1070">
            <v>6011</v>
          </cell>
          <cell r="B1070" t="str">
            <v>ja</v>
          </cell>
          <cell r="C1070" t="str">
            <v>パトドッグリーダー ポチ</v>
          </cell>
        </row>
        <row r="1071">
          <cell r="A1071">
            <v>6012</v>
          </cell>
          <cell r="B1071" t="str">
            <v>ja</v>
          </cell>
          <cell r="C1071" t="str">
            <v>ミミ</v>
          </cell>
        </row>
        <row r="1072">
          <cell r="A1072">
            <v>6013</v>
          </cell>
          <cell r="B1072" t="str">
            <v>ja</v>
          </cell>
          <cell r="C1072" t="str">
            <v>護衛機人 スケアクロウ</v>
          </cell>
        </row>
        <row r="1073">
          <cell r="A1073">
            <v>6014</v>
          </cell>
          <cell r="B1073" t="str">
            <v>ja</v>
          </cell>
          <cell r="C1073" t="str">
            <v>月下の人狼 ローレンス</v>
          </cell>
        </row>
        <row r="1074">
          <cell r="A1074">
            <v>6015</v>
          </cell>
          <cell r="B1074" t="str">
            <v>ja</v>
          </cell>
          <cell r="C1074" t="str">
            <v>フレイヤ</v>
          </cell>
        </row>
        <row r="1075">
          <cell r="A1075">
            <v>6016</v>
          </cell>
          <cell r="B1075" t="str">
            <v>ja</v>
          </cell>
          <cell r="C1075" t="str">
            <v>根原論理 ユークリッド</v>
          </cell>
        </row>
        <row r="1076">
          <cell r="A1076">
            <v>6017</v>
          </cell>
          <cell r="B1076" t="str">
            <v>ja</v>
          </cell>
          <cell r="C1076" t="str">
            <v>不朽の極論 ユークリッド</v>
          </cell>
        </row>
        <row r="1077">
          <cell r="A1077">
            <v>6018</v>
          </cell>
          <cell r="B1077" t="str">
            <v>ja</v>
          </cell>
          <cell r="C1077" t="str">
            <v>ハヅル</v>
          </cell>
        </row>
        <row r="1078">
          <cell r="A1078">
            <v>6019</v>
          </cell>
          <cell r="B1078" t="str">
            <v>ja</v>
          </cell>
          <cell r="C1078" t="str">
            <v>天織羽鶴 ハヅル</v>
          </cell>
        </row>
        <row r="1079">
          <cell r="A1079">
            <v>6020</v>
          </cell>
          <cell r="B1079" t="str">
            <v>ja</v>
          </cell>
          <cell r="C1079" t="str">
            <v>ミズチ</v>
          </cell>
        </row>
        <row r="1080">
          <cell r="A1080">
            <v>8001</v>
          </cell>
          <cell r="B1080" t="str">
            <v>ja</v>
          </cell>
          <cell r="C1080" t="str">
            <v>媽祖</v>
          </cell>
        </row>
        <row r="1081">
          <cell r="A1081">
            <v>8002</v>
          </cell>
          <cell r="B1081" t="str">
            <v>ja</v>
          </cell>
          <cell r="C1081" t="str">
            <v>天后 媽祖</v>
          </cell>
        </row>
        <row r="1082">
          <cell r="A1082">
            <v>8003</v>
          </cell>
          <cell r="B1082" t="str">
            <v>ja</v>
          </cell>
          <cell r="C1082" t="str">
            <v>蛟龍</v>
          </cell>
        </row>
        <row r="1083">
          <cell r="A1083">
            <v>8004</v>
          </cell>
          <cell r="B1083" t="str">
            <v>ja</v>
          </cell>
          <cell r="C1083" t="str">
            <v>深海蛟龍怪‧晏公</v>
          </cell>
        </row>
        <row r="1084">
          <cell r="A1084">
            <v>8005</v>
          </cell>
          <cell r="B1084" t="str">
            <v>ja</v>
          </cell>
          <cell r="C1084" t="str">
            <v>三蔵法師</v>
          </cell>
        </row>
        <row r="1085">
          <cell r="A1085">
            <v>8006</v>
          </cell>
          <cell r="B1085" t="str">
            <v>ja</v>
          </cell>
          <cell r="C1085" t="str">
            <v>三蔵法師</v>
          </cell>
        </row>
        <row r="1086">
          <cell r="A1086">
            <v>8007</v>
          </cell>
          <cell r="B1086" t="str">
            <v>ja</v>
          </cell>
          <cell r="C1086" t="str">
            <v>孫悟空</v>
          </cell>
        </row>
        <row r="1087">
          <cell r="A1087">
            <v>8008</v>
          </cell>
          <cell r="B1087" t="str">
            <v>ja</v>
          </cell>
          <cell r="C1087" t="str">
            <v>孫悟空</v>
          </cell>
        </row>
        <row r="1088">
          <cell r="A1088">
            <v>8009</v>
          </cell>
          <cell r="B1088" t="str">
            <v>ja</v>
          </cell>
          <cell r="C1088" t="str">
            <v>七星娘娘</v>
          </cell>
        </row>
        <row r="1089">
          <cell r="A1089">
            <v>8010</v>
          </cell>
          <cell r="B1089" t="str">
            <v>ja</v>
          </cell>
          <cell r="C1089" t="str">
            <v>七星娘娘</v>
          </cell>
        </row>
        <row r="1090">
          <cell r="A1090">
            <v>8011</v>
          </cell>
          <cell r="B1090" t="str">
            <v>ja</v>
          </cell>
          <cell r="C1090" t="str">
            <v>月下老人</v>
          </cell>
        </row>
        <row r="1091">
          <cell r="A1091">
            <v>8012</v>
          </cell>
          <cell r="B1091" t="str">
            <v>ja</v>
          </cell>
          <cell r="C1091" t="str">
            <v>良緣祈福 月下老人</v>
          </cell>
        </row>
        <row r="1092">
          <cell r="A1092">
            <v>8013</v>
          </cell>
          <cell r="B1092" t="str">
            <v>ja</v>
          </cell>
          <cell r="C1092" t="str">
            <v>CO04_Wiz01_R5</v>
          </cell>
        </row>
        <row r="1093">
          <cell r="A1093">
            <v>8014</v>
          </cell>
          <cell r="B1093" t="str">
            <v>ja</v>
          </cell>
          <cell r="C1093" t="str">
            <v>CO04_Wiz01_R6</v>
          </cell>
        </row>
        <row r="1094">
          <cell r="A1094">
            <v>8015</v>
          </cell>
          <cell r="B1094" t="str">
            <v>ja</v>
          </cell>
          <cell r="C1094" t="str">
            <v>CO04_ GA01_R5</v>
          </cell>
        </row>
        <row r="1095">
          <cell r="A1095">
            <v>8016</v>
          </cell>
          <cell r="B1095" t="str">
            <v>ja</v>
          </cell>
          <cell r="C1095" t="str">
            <v>CO04_ GA01_R6</v>
          </cell>
        </row>
        <row r="1096">
          <cell r="A1096">
            <v>8017</v>
          </cell>
          <cell r="B1096" t="str">
            <v>ja</v>
          </cell>
          <cell r="C1096" t="str">
            <v>CO04_ GA02_R5</v>
          </cell>
        </row>
        <row r="1097">
          <cell r="A1097">
            <v>8018</v>
          </cell>
          <cell r="B1097" t="str">
            <v>ja</v>
          </cell>
          <cell r="C1097" t="str">
            <v>CO04_ GA02_R6</v>
          </cell>
        </row>
        <row r="1098">
          <cell r="A1098">
            <v>8019</v>
          </cell>
          <cell r="B1098" t="str">
            <v>ja</v>
          </cell>
          <cell r="C1098" t="str">
            <v>CO04_ GA03_R4</v>
          </cell>
        </row>
        <row r="1099">
          <cell r="A1099">
            <v>8020</v>
          </cell>
          <cell r="B1099" t="str">
            <v>ja</v>
          </cell>
          <cell r="C1099" t="str">
            <v>CO04_ GA03_R5</v>
          </cell>
        </row>
        <row r="1100">
          <cell r="A1100">
            <v>8021</v>
          </cell>
          <cell r="B1100" t="str">
            <v>ja</v>
          </cell>
          <cell r="C1100" t="str">
            <v>CO04_ GA04_R4</v>
          </cell>
        </row>
        <row r="1101">
          <cell r="A1101">
            <v>8022</v>
          </cell>
          <cell r="B1101" t="str">
            <v>ja</v>
          </cell>
          <cell r="C1101" t="str">
            <v>CO04_ GA04_R5</v>
          </cell>
        </row>
        <row r="1102">
          <cell r="A1102">
            <v>8023</v>
          </cell>
          <cell r="B1102" t="str">
            <v>ja</v>
          </cell>
          <cell r="C1102" t="str">
            <v>CO04_ GA05_R3</v>
          </cell>
        </row>
        <row r="1103">
          <cell r="A1103">
            <v>8024</v>
          </cell>
          <cell r="B1103" t="str">
            <v>ja</v>
          </cell>
          <cell r="C1103" t="str">
            <v>CO04_ GA05_R4</v>
          </cell>
        </row>
        <row r="1104">
          <cell r="A1104">
            <v>8025</v>
          </cell>
          <cell r="B1104" t="str">
            <v>ja</v>
          </cell>
          <cell r="C1104" t="str">
            <v>CO04_ GA06_R3</v>
          </cell>
        </row>
        <row r="1105">
          <cell r="A1105">
            <v>8026</v>
          </cell>
          <cell r="B1105" t="str">
            <v>ja</v>
          </cell>
          <cell r="C1105" t="str">
            <v>CO04_ GA06_R4</v>
          </cell>
        </row>
        <row r="1106">
          <cell r="A1106">
            <v>8027</v>
          </cell>
          <cell r="B1106" t="str">
            <v>ja</v>
          </cell>
          <cell r="C1106" t="str">
            <v>CO04_ GA07_R3</v>
          </cell>
        </row>
        <row r="1107">
          <cell r="A1107">
            <v>8028</v>
          </cell>
          <cell r="B1107" t="str">
            <v>ja</v>
          </cell>
          <cell r="C1107" t="str">
            <v>CO04_ GA07_R4</v>
          </cell>
        </row>
        <row r="1108">
          <cell r="A1108">
            <v>8029</v>
          </cell>
          <cell r="B1108" t="str">
            <v>ja</v>
          </cell>
          <cell r="C1108" t="str">
            <v>CO04_ EV01_R4</v>
          </cell>
        </row>
        <row r="1109">
          <cell r="A1109">
            <v>8030</v>
          </cell>
          <cell r="B1109" t="str">
            <v>ja</v>
          </cell>
          <cell r="C1109" t="str">
            <v>CO04_ EV02_R5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C3" sqref="C3"/>
    </sheetView>
  </sheetViews>
  <sheetFormatPr baseColWidth="12" defaultRowHeight="15" x14ac:dyDescent="0.15"/>
  <cols>
    <col min="2" max="2" width="18.16406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131</v>
      </c>
      <c r="B1" s="54" t="s">
        <v>101</v>
      </c>
      <c r="C1" s="54" t="s">
        <v>102</v>
      </c>
      <c r="D1" s="54" t="s">
        <v>103</v>
      </c>
      <c r="E1" s="54" t="s">
        <v>104</v>
      </c>
      <c r="F1" s="54" t="s">
        <v>105</v>
      </c>
      <c r="G1" s="54" t="s">
        <v>106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</row>
    <row r="2" spans="1:30" x14ac:dyDescent="0.15">
      <c r="A2" s="60" t="s">
        <v>221</v>
      </c>
      <c r="B2" s="56" t="s">
        <v>107</v>
      </c>
      <c r="C2" s="62">
        <v>39004</v>
      </c>
      <c r="D2" s="56" t="s">
        <v>108</v>
      </c>
      <c r="E2" s="55" t="str">
        <f>B2&amp;C2&amp;D2</f>
        <v>floors_39004.tmp</v>
      </c>
      <c r="F2" s="56" t="s">
        <v>109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</row>
    <row r="3" spans="1:30" x14ac:dyDescent="0.15">
      <c r="A3" s="60" t="s">
        <v>221</v>
      </c>
      <c r="B3" s="56" t="s">
        <v>110</v>
      </c>
      <c r="C3" s="62">
        <v>39004</v>
      </c>
      <c r="D3" s="56" t="s">
        <v>108</v>
      </c>
      <c r="E3" s="55" t="str">
        <f>B3&amp;C3&amp;D3</f>
        <v>enemy_habitats_39004.tmp</v>
      </c>
      <c r="F3" s="56" t="s">
        <v>111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179</v>
      </c>
    </row>
    <row r="4" spans="1:30" x14ac:dyDescent="0.15">
      <c r="A4" s="60" t="s">
        <v>221</v>
      </c>
      <c r="B4" s="56" t="s">
        <v>112</v>
      </c>
      <c r="C4" s="62">
        <v>39004</v>
      </c>
      <c r="D4" s="56" t="s">
        <v>108</v>
      </c>
      <c r="E4" s="55" t="str">
        <f>B4&amp;C4&amp;D4</f>
        <v>enemy_habitat_S_39004.tmp</v>
      </c>
      <c r="F4" s="56" t="s">
        <v>113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</row>
    <row r="5" spans="1:30" x14ac:dyDescent="0.15">
      <c r="A5" s="60" t="s">
        <v>221</v>
      </c>
      <c r="B5" s="56" t="s">
        <v>114</v>
      </c>
      <c r="C5" s="62">
        <v>39004</v>
      </c>
      <c r="D5" s="56" t="s">
        <v>108</v>
      </c>
      <c r="E5" s="55" t="str">
        <f>B5&amp;C5&amp;D5</f>
        <v>enemy_skill_sets_39004.tmp</v>
      </c>
      <c r="F5" s="56" t="s">
        <v>115</v>
      </c>
      <c r="G5" s="58" t="s">
        <v>22</v>
      </c>
      <c r="H5" s="58" t="s">
        <v>100</v>
      </c>
      <c r="I5" s="58" t="s">
        <v>95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</row>
    <row r="6" spans="1:30" x14ac:dyDescent="0.15">
      <c r="A6" s="60" t="s">
        <v>221</v>
      </c>
      <c r="B6" s="56" t="s">
        <v>116</v>
      </c>
      <c r="C6" s="62">
        <v>39004</v>
      </c>
      <c r="D6" s="56" t="s">
        <v>117</v>
      </c>
      <c r="E6" s="55" t="str">
        <f t="shared" ref="E6:E10" si="0">B6&amp;C6&amp;D6</f>
        <v>enemy_skills_tmp_39004.tmp</v>
      </c>
      <c r="F6" s="56" t="s">
        <v>91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</row>
    <row r="7" spans="1:30" x14ac:dyDescent="0.15">
      <c r="A7" s="60" t="s">
        <v>221</v>
      </c>
      <c r="B7" s="56" t="s">
        <v>118</v>
      </c>
      <c r="C7" s="62">
        <v>39004</v>
      </c>
      <c r="D7" s="56" t="s">
        <v>108</v>
      </c>
      <c r="E7" s="55" t="str">
        <f>B7&amp;C7&amp;D7</f>
        <v>enemy_skills_i18n_39004.tmp</v>
      </c>
      <c r="F7" s="56" t="s">
        <v>119</v>
      </c>
      <c r="G7" s="57" t="s">
        <v>79</v>
      </c>
      <c r="H7" s="57" t="s">
        <v>92</v>
      </c>
      <c r="I7" s="57" t="s">
        <v>93</v>
      </c>
      <c r="J7" s="57" t="s">
        <v>94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</row>
    <row r="8" spans="1:30" x14ac:dyDescent="0.15">
      <c r="A8" s="60" t="s">
        <v>221</v>
      </c>
      <c r="B8" s="56" t="s">
        <v>120</v>
      </c>
      <c r="C8" s="62">
        <v>39004</v>
      </c>
      <c r="D8" s="56" t="s">
        <v>121</v>
      </c>
      <c r="E8" s="55" t="str">
        <f t="shared" si="0"/>
        <v>enemy_skill_triggers_39004.tmp</v>
      </c>
      <c r="F8" s="56" t="s">
        <v>122</v>
      </c>
      <c r="G8" s="57" t="s">
        <v>95</v>
      </c>
      <c r="H8" s="57" t="s">
        <v>96</v>
      </c>
      <c r="I8" s="57" t="s">
        <v>97</v>
      </c>
      <c r="J8" s="57" t="s">
        <v>98</v>
      </c>
      <c r="K8" s="57" t="s">
        <v>123</v>
      </c>
      <c r="L8" s="57" t="s">
        <v>99</v>
      </c>
      <c r="M8" s="57" t="s">
        <v>124</v>
      </c>
      <c r="N8" s="57" t="s">
        <v>125</v>
      </c>
      <c r="O8" s="57" t="s">
        <v>126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</row>
    <row r="9" spans="1:30" x14ac:dyDescent="0.15">
      <c r="A9" s="60" t="s">
        <v>221</v>
      </c>
      <c r="B9" s="67" t="s">
        <v>178</v>
      </c>
      <c r="C9" s="62">
        <v>39004</v>
      </c>
      <c r="D9" s="67" t="s">
        <v>172</v>
      </c>
      <c r="E9" s="68" t="str">
        <f t="shared" si="0"/>
        <v>stage_bug_bonuses_39004.tmp</v>
      </c>
      <c r="F9" s="67" t="s">
        <v>173</v>
      </c>
      <c r="G9" s="64" t="s">
        <v>151</v>
      </c>
      <c r="H9" s="64" t="s">
        <v>174</v>
      </c>
      <c r="I9" s="64" t="s">
        <v>175</v>
      </c>
      <c r="J9" s="66" t="s">
        <v>176</v>
      </c>
      <c r="K9" s="64" t="s">
        <v>177</v>
      </c>
      <c r="L9" s="64" t="s">
        <v>157</v>
      </c>
      <c r="M9" s="64" t="s">
        <v>158</v>
      </c>
      <c r="N9" s="64" t="s">
        <v>159</v>
      </c>
      <c r="O9" s="64" t="s">
        <v>160</v>
      </c>
      <c r="P9" s="64" t="s">
        <v>161</v>
      </c>
      <c r="Q9" s="64" t="s">
        <v>162</v>
      </c>
      <c r="R9" s="64" t="s">
        <v>163</v>
      </c>
      <c r="S9" s="64" t="s">
        <v>164</v>
      </c>
      <c r="T9" s="64" t="s">
        <v>165</v>
      </c>
      <c r="U9" s="64" t="s">
        <v>166</v>
      </c>
      <c r="V9" s="64" t="s">
        <v>167</v>
      </c>
      <c r="W9" s="64" t="s">
        <v>168</v>
      </c>
    </row>
    <row r="10" spans="1:30" s="76" customFormat="1" x14ac:dyDescent="0.15">
      <c r="A10" s="60" t="s">
        <v>221</v>
      </c>
      <c r="B10" s="67" t="s">
        <v>202</v>
      </c>
      <c r="C10" s="62">
        <v>39004</v>
      </c>
      <c r="D10" s="67" t="s">
        <v>181</v>
      </c>
      <c r="E10" s="68" t="str">
        <f t="shared" si="0"/>
        <v>stage_hints_data_c_39004.tmp</v>
      </c>
      <c r="F10" s="67" t="s">
        <v>210</v>
      </c>
      <c r="G10" s="73" t="s">
        <v>182</v>
      </c>
      <c r="H10" s="73" t="s">
        <v>174</v>
      </c>
      <c r="I10" s="74" t="s">
        <v>183</v>
      </c>
      <c r="J10" s="66" t="s">
        <v>184</v>
      </c>
      <c r="K10" s="75" t="s">
        <v>185</v>
      </c>
    </row>
    <row r="11" spans="1:30" s="76" customFormat="1" x14ac:dyDescent="0.15">
      <c r="A11" s="60" t="s">
        <v>221</v>
      </c>
      <c r="B11" s="67" t="s">
        <v>203</v>
      </c>
      <c r="C11" s="62">
        <v>39004</v>
      </c>
      <c r="D11" s="67" t="s">
        <v>172</v>
      </c>
      <c r="E11" s="68" t="str">
        <f t="shared" ref="E11:E12" si="1">B11&amp;C11&amp;D11</f>
        <v>stage_hints_data_f_39004.tmp</v>
      </c>
      <c r="F11" s="67" t="s">
        <v>211</v>
      </c>
      <c r="G11" s="73" t="s">
        <v>182</v>
      </c>
      <c r="H11" s="73" t="s">
        <v>174</v>
      </c>
      <c r="I11" s="74" t="s">
        <v>183</v>
      </c>
      <c r="J11" s="66" t="s">
        <v>184</v>
      </c>
      <c r="K11" s="75" t="s">
        <v>185</v>
      </c>
    </row>
    <row r="12" spans="1:30" s="76" customFormat="1" x14ac:dyDescent="0.15">
      <c r="A12" s="60" t="s">
        <v>221</v>
      </c>
      <c r="B12" s="67" t="s">
        <v>204</v>
      </c>
      <c r="C12" s="62">
        <v>39004</v>
      </c>
      <c r="D12" s="67" t="s">
        <v>172</v>
      </c>
      <c r="E12" s="68" t="str">
        <f t="shared" si="1"/>
        <v>stage_hints_i18n_39004.tmp</v>
      </c>
      <c r="F12" s="67" t="s">
        <v>212</v>
      </c>
      <c r="G12" s="74" t="s">
        <v>205</v>
      </c>
      <c r="H12" s="96" t="s">
        <v>206</v>
      </c>
      <c r="I12" s="73" t="s">
        <v>207</v>
      </c>
      <c r="J12" s="97" t="s">
        <v>208</v>
      </c>
      <c r="K12" s="75" t="s">
        <v>209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7"/>
  <sheetViews>
    <sheetView showGridLines="0" workbookViewId="0">
      <pane ySplit="1" topLeftCell="A2" activePane="bottomLeft" state="frozen"/>
      <selection activeCell="V2" sqref="V2:X34"/>
      <selection pane="bottomLeft" activeCell="A13" sqref="A13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2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39004_1-1</v>
      </c>
      <c r="B2" s="15" t="str">
        <f>IF(COUNTIF(enemy_habitats!$H:$H,A2),"OK","NG")</f>
        <v>OK</v>
      </c>
      <c r="C2" s="99">
        <v>39004</v>
      </c>
      <c r="D2" s="10" t="str">
        <f ca="1">VLOOKUP($C2,OFFSET([2]quests!$A$1,0,0,COUNTA([2]quests!$A:$A),MATCH(D$1,[2]quests!$1:$1,0)-MATCH($C$1,[2]quests!$1:$1,0)+1),MATCH(D$1,[2]quests!$1:$1,0)-MATCH($C$1,[2]quests!$1:$1,0)+1,FALSE)</f>
        <v xml:space="preserve">ニムダのおきにいり♪ </v>
      </c>
      <c r="E2" s="17" t="str">
        <f ca="1">VLOOKUP($C2,OFFSET([2]quests!$A$1,0,0,COUNTA([2]quests!$A:$A),MATCH(E$1,[2]quests!$1:$1,0)-MATCH($C$1,[2]quests!$1:$1,0)+1),MATCH(E$1,[2]quests!$1:$1,0)-MATCH($C$1,[2]quests!$1:$1,0)+1,FALSE)</f>
        <v>コラボクエスト</v>
      </c>
      <c r="F2" s="20">
        <v>1</v>
      </c>
      <c r="G2" s="22" t="str">
        <f>C2&amp;"_"&amp;F2</f>
        <v>39004_1</v>
      </c>
      <c r="H2" s="14" t="str">
        <f ca="1">VLOOKUP($G2,OFFSET([2]stages!$A$1,0,0,COUNTA([2]stages!$A:$A),MATCH(H$1,[2]stages!$2:$2,0)-MATCH($G$1,[2]stages!$2:$2,0)+1),MATCH(H$1,[2]stages!$2:$2,0)-MATCH($G$1,[2]stages!$2:$2,0)+1,FALSE)</f>
        <v xml:space="preserve">【初級】ニムダのおきにいり♪ </v>
      </c>
      <c r="I2" s="20">
        <v>1</v>
      </c>
      <c r="J2" s="11">
        <v>60</v>
      </c>
      <c r="K2" s="11">
        <v>60</v>
      </c>
    </row>
    <row r="3" spans="1:11" ht="21" customHeight="1" x14ac:dyDescent="0.15">
      <c r="A3" s="15" t="str">
        <f t="shared" ref="A3:A7" si="0">G3&amp;"-"&amp;I3</f>
        <v>39004_1-2</v>
      </c>
      <c r="B3" s="15" t="str">
        <f>IF(COUNTIF(enemy_habitats!$H:$H,A3),"OK","NG")</f>
        <v>OK</v>
      </c>
      <c r="C3" s="99">
        <v>39004</v>
      </c>
      <c r="D3" s="10" t="str">
        <f ca="1">VLOOKUP($C3,OFFSET([2]quests!$A$1,0,0,COUNTA([2]quests!$A:$A),MATCH(D$1,[2]quests!$1:$1,0)-MATCH($C$1,[2]quests!$1:$1,0)+1),MATCH(D$1,[2]quests!$1:$1,0)-MATCH($C$1,[2]quests!$1:$1,0)+1,FALSE)</f>
        <v xml:space="preserve">ニムダのおきにいり♪ </v>
      </c>
      <c r="E3" s="17" t="str">
        <f ca="1">VLOOKUP($C3,OFFSET([2]quests!$A$1,0,0,COUNTA([2]quests!$A:$A),MATCH(E$1,[2]quests!$1:$1,0)-MATCH($C$1,[2]quests!$1:$1,0)+1),MATCH(E$1,[2]quests!$1:$1,0)-MATCH($C$1,[2]quests!$1:$1,0)+1,FALSE)</f>
        <v>コラボクエスト</v>
      </c>
      <c r="F3" s="20">
        <v>1</v>
      </c>
      <c r="G3" s="22" t="str">
        <f t="shared" ref="G3:G7" si="1">C3&amp;"_"&amp;F3</f>
        <v>39004_1</v>
      </c>
      <c r="H3" s="14" t="str">
        <f ca="1">VLOOKUP($G3,OFFSET([2]stages!$A$1,0,0,COUNTA([2]stages!$A:$A),MATCH(H$1,[2]stages!$2:$2,0)-MATCH($G$1,[2]stages!$2:$2,0)+1),MATCH(H$1,[2]stages!$2:$2,0)-MATCH($G$1,[2]stages!$2:$2,0)+1,FALSE)</f>
        <v xml:space="preserve">【初級】ニムダのおきにいり♪ </v>
      </c>
      <c r="I3" s="20">
        <v>2</v>
      </c>
      <c r="J3" s="11">
        <v>60</v>
      </c>
      <c r="K3" s="11">
        <v>60</v>
      </c>
    </row>
    <row r="4" spans="1:11" ht="21" customHeight="1" x14ac:dyDescent="0.15">
      <c r="A4" s="15" t="str">
        <f t="shared" si="0"/>
        <v>39004_1-3</v>
      </c>
      <c r="B4" s="15" t="str">
        <f>IF(COUNTIF(enemy_habitats!$H:$H,A4),"OK","NG")</f>
        <v>OK</v>
      </c>
      <c r="C4" s="99">
        <v>39004</v>
      </c>
      <c r="D4" s="10" t="str">
        <f ca="1">VLOOKUP($C4,OFFSET([2]quests!$A$1,0,0,COUNTA([2]quests!$A:$A),MATCH(D$1,[2]quests!$1:$1,0)-MATCH($C$1,[2]quests!$1:$1,0)+1),MATCH(D$1,[2]quests!$1:$1,0)-MATCH($C$1,[2]quests!$1:$1,0)+1,FALSE)</f>
        <v xml:space="preserve">ニムダのおきにいり♪ </v>
      </c>
      <c r="E4" s="17" t="str">
        <f ca="1">VLOOKUP($C4,OFFSET([2]quests!$A$1,0,0,COUNTA([2]quests!$A:$A),MATCH(E$1,[2]quests!$1:$1,0)-MATCH($C$1,[2]quests!$1:$1,0)+1),MATCH(E$1,[2]quests!$1:$1,0)-MATCH($C$1,[2]quests!$1:$1,0)+1,FALSE)</f>
        <v>コラボクエスト</v>
      </c>
      <c r="F4" s="20">
        <v>1</v>
      </c>
      <c r="G4" s="22" t="str">
        <f t="shared" si="1"/>
        <v>39004_1</v>
      </c>
      <c r="H4" s="14" t="str">
        <f ca="1">VLOOKUP($G4,OFFSET([2]stages!$A$1,0,0,COUNTA([2]stages!$A:$A),MATCH(H$1,[2]stages!$2:$2,0)-MATCH($G$1,[2]stages!$2:$2,0)+1),MATCH(H$1,[2]stages!$2:$2,0)-MATCH($G$1,[2]stages!$2:$2,0)+1,FALSE)</f>
        <v xml:space="preserve">【初級】ニムダのおきにいり♪ </v>
      </c>
      <c r="I4" s="20">
        <v>3</v>
      </c>
      <c r="J4" s="11">
        <v>60</v>
      </c>
      <c r="K4" s="11">
        <v>60</v>
      </c>
    </row>
    <row r="5" spans="1:11" ht="21" customHeight="1" x14ac:dyDescent="0.15">
      <c r="A5" s="15" t="str">
        <f t="shared" si="0"/>
        <v>39004_1-4</v>
      </c>
      <c r="B5" s="15" t="str">
        <f>IF(COUNTIF(enemy_habitats!$H:$H,A5),"OK","NG")</f>
        <v>OK</v>
      </c>
      <c r="C5" s="99">
        <v>39004</v>
      </c>
      <c r="D5" s="10" t="str">
        <f ca="1">VLOOKUP($C5,OFFSET([2]quests!$A$1,0,0,COUNTA([2]quests!$A:$A),MATCH(D$1,[2]quests!$1:$1,0)-MATCH($C$1,[2]quests!$1:$1,0)+1),MATCH(D$1,[2]quests!$1:$1,0)-MATCH($C$1,[2]quests!$1:$1,0)+1,FALSE)</f>
        <v xml:space="preserve">ニムダのおきにいり♪ </v>
      </c>
      <c r="E5" s="17" t="str">
        <f ca="1">VLOOKUP($C5,OFFSET([2]quests!$A$1,0,0,COUNTA([2]quests!$A:$A),MATCH(E$1,[2]quests!$1:$1,0)-MATCH($C$1,[2]quests!$1:$1,0)+1),MATCH(E$1,[2]quests!$1:$1,0)-MATCH($C$1,[2]quests!$1:$1,0)+1,FALSE)</f>
        <v>コラボクエスト</v>
      </c>
      <c r="F5" s="20">
        <v>1</v>
      </c>
      <c r="G5" s="22" t="str">
        <f t="shared" si="1"/>
        <v>39004_1</v>
      </c>
      <c r="H5" s="14" t="str">
        <f ca="1">VLOOKUP($G5,OFFSET([2]stages!$A$1,0,0,COUNTA([2]stages!$A:$A),MATCH(H$1,[2]stages!$2:$2,0)-MATCH($G$1,[2]stages!$2:$2,0)+1),MATCH(H$1,[2]stages!$2:$2,0)-MATCH($G$1,[2]stages!$2:$2,0)+1,FALSE)</f>
        <v xml:space="preserve">【初級】ニムダのおきにいり♪ </v>
      </c>
      <c r="I5" s="20">
        <v>4</v>
      </c>
      <c r="J5" s="11">
        <v>60</v>
      </c>
      <c r="K5" s="11">
        <v>60</v>
      </c>
    </row>
    <row r="6" spans="1:11" ht="21" customHeight="1" x14ac:dyDescent="0.15">
      <c r="A6" s="15" t="str">
        <f t="shared" si="0"/>
        <v>39004_2-1</v>
      </c>
      <c r="B6" s="15" t="str">
        <f>IF(COUNTIF(enemy_habitats!$H:$H,A6),"OK","NG")</f>
        <v>OK</v>
      </c>
      <c r="C6" s="99">
        <v>39004</v>
      </c>
      <c r="D6" s="10" t="str">
        <f ca="1">VLOOKUP($C6,OFFSET([2]quests!$A$1,0,0,COUNTA([2]quests!$A:$A),MATCH(D$1,[2]quests!$1:$1,0)-MATCH($C$1,[2]quests!$1:$1,0)+1),MATCH(D$1,[2]quests!$1:$1,0)-MATCH($C$1,[2]quests!$1:$1,0)+1,FALSE)</f>
        <v xml:space="preserve">ニムダのおきにいり♪ </v>
      </c>
      <c r="E6" s="17" t="str">
        <f ca="1">VLOOKUP($C6,OFFSET([2]quests!$A$1,0,0,COUNTA([2]quests!$A:$A),MATCH(E$1,[2]quests!$1:$1,0)-MATCH($C$1,[2]quests!$1:$1,0)+1),MATCH(E$1,[2]quests!$1:$1,0)-MATCH($C$1,[2]quests!$1:$1,0)+1,FALSE)</f>
        <v>コラボクエスト</v>
      </c>
      <c r="F6" s="20">
        <v>2</v>
      </c>
      <c r="G6" s="22" t="str">
        <f t="shared" si="1"/>
        <v>39004_2</v>
      </c>
      <c r="H6" s="14" t="str">
        <f ca="1">VLOOKUP($G6,OFFSET([2]stages!$A$1,0,0,COUNTA([2]stages!$A:$A),MATCH(H$1,[2]stages!$2:$2,0)-MATCH($G$1,[2]stages!$2:$2,0)+1),MATCH(H$1,[2]stages!$2:$2,0)-MATCH($G$1,[2]stages!$2:$2,0)+1,FALSE)</f>
        <v xml:space="preserve">【中級】ニムダのおきにいり♪ </v>
      </c>
      <c r="I6" s="20">
        <v>1</v>
      </c>
      <c r="J6" s="11">
        <v>60</v>
      </c>
      <c r="K6" s="11">
        <v>60</v>
      </c>
    </row>
    <row r="7" spans="1:11" ht="21" customHeight="1" x14ac:dyDescent="0.15">
      <c r="A7" s="15" t="str">
        <f t="shared" si="0"/>
        <v>39004_2-2</v>
      </c>
      <c r="B7" s="15" t="str">
        <f>IF(COUNTIF(enemy_habitats!$H:$H,A7),"OK","NG")</f>
        <v>OK</v>
      </c>
      <c r="C7" s="99">
        <v>39004</v>
      </c>
      <c r="D7" s="10" t="str">
        <f ca="1">VLOOKUP($C7,OFFSET([2]quests!$A$1,0,0,COUNTA([2]quests!$A:$A),MATCH(D$1,[2]quests!$1:$1,0)-MATCH($C$1,[2]quests!$1:$1,0)+1),MATCH(D$1,[2]quests!$1:$1,0)-MATCH($C$1,[2]quests!$1:$1,0)+1,FALSE)</f>
        <v xml:space="preserve">ニムダのおきにいり♪ </v>
      </c>
      <c r="E7" s="17" t="str">
        <f ca="1">VLOOKUP($C7,OFFSET([2]quests!$A$1,0,0,COUNTA([2]quests!$A:$A),MATCH(E$1,[2]quests!$1:$1,0)-MATCH($C$1,[2]quests!$1:$1,0)+1),MATCH(E$1,[2]quests!$1:$1,0)-MATCH($C$1,[2]quests!$1:$1,0)+1,FALSE)</f>
        <v>コラボクエスト</v>
      </c>
      <c r="F7" s="20">
        <v>2</v>
      </c>
      <c r="G7" s="22" t="str">
        <f t="shared" si="1"/>
        <v>39004_2</v>
      </c>
      <c r="H7" s="14" t="str">
        <f ca="1">VLOOKUP($G7,OFFSET([2]stages!$A$1,0,0,COUNTA([2]stages!$A:$A),MATCH(H$1,[2]stages!$2:$2,0)-MATCH($G$1,[2]stages!$2:$2,0)+1),MATCH(H$1,[2]stages!$2:$2,0)-MATCH($G$1,[2]stages!$2:$2,0)+1,FALSE)</f>
        <v xml:space="preserve">【中級】ニムダのおきにいり♪ </v>
      </c>
      <c r="I7" s="20">
        <v>2</v>
      </c>
      <c r="J7" s="11">
        <v>60</v>
      </c>
      <c r="K7" s="11">
        <v>60</v>
      </c>
    </row>
    <row r="8" spans="1:11" ht="21" customHeight="1" x14ac:dyDescent="0.15">
      <c r="A8" s="15" t="str">
        <f t="shared" ref="A8:A17" si="2">G8&amp;"-"&amp;I8</f>
        <v>39004_2-3</v>
      </c>
      <c r="B8" s="15" t="str">
        <f>IF(COUNTIF(enemy_habitats!$H:$H,A8),"OK","NG")</f>
        <v>OK</v>
      </c>
      <c r="C8" s="99">
        <v>39004</v>
      </c>
      <c r="D8" s="10" t="str">
        <f ca="1">VLOOKUP($C8,OFFSET([2]quests!$A$1,0,0,COUNTA([2]quests!$A:$A),MATCH(D$1,[2]quests!$1:$1,0)-MATCH($C$1,[2]quests!$1:$1,0)+1),MATCH(D$1,[2]quests!$1:$1,0)-MATCH($C$1,[2]quests!$1:$1,0)+1,FALSE)</f>
        <v xml:space="preserve">ニムダのおきにいり♪ </v>
      </c>
      <c r="E8" s="17" t="str">
        <f ca="1">VLOOKUP($C8,OFFSET([2]quests!$A$1,0,0,COUNTA([2]quests!$A:$A),MATCH(E$1,[2]quests!$1:$1,0)-MATCH($C$1,[2]quests!$1:$1,0)+1),MATCH(E$1,[2]quests!$1:$1,0)-MATCH($C$1,[2]quests!$1:$1,0)+1,FALSE)</f>
        <v>コラボクエスト</v>
      </c>
      <c r="F8" s="20">
        <v>2</v>
      </c>
      <c r="G8" s="22" t="str">
        <f t="shared" ref="G8:G17" si="3">C8&amp;"_"&amp;F8</f>
        <v>39004_2</v>
      </c>
      <c r="H8" s="14" t="str">
        <f ca="1">VLOOKUP($G8,OFFSET([2]stages!$A$1,0,0,COUNTA([2]stages!$A:$A),MATCH(H$1,[2]stages!$2:$2,0)-MATCH($G$1,[2]stages!$2:$2,0)+1),MATCH(H$1,[2]stages!$2:$2,0)-MATCH($G$1,[2]stages!$2:$2,0)+1,FALSE)</f>
        <v xml:space="preserve">【中級】ニムダのおきにいり♪ </v>
      </c>
      <c r="I8" s="20">
        <v>3</v>
      </c>
      <c r="J8" s="11">
        <v>60</v>
      </c>
      <c r="K8" s="11">
        <v>60</v>
      </c>
    </row>
    <row r="9" spans="1:11" ht="21" customHeight="1" x14ac:dyDescent="0.15">
      <c r="A9" s="15" t="str">
        <f t="shared" si="2"/>
        <v>39004_2-4</v>
      </c>
      <c r="B9" s="15" t="str">
        <f>IF(COUNTIF(enemy_habitats!$H:$H,A9),"OK","NG")</f>
        <v>OK</v>
      </c>
      <c r="C9" s="99">
        <v>39004</v>
      </c>
      <c r="D9" s="10" t="str">
        <f ca="1">VLOOKUP($C9,OFFSET([2]quests!$A$1,0,0,COUNTA([2]quests!$A:$A),MATCH(D$1,[2]quests!$1:$1,0)-MATCH($C$1,[2]quests!$1:$1,0)+1),MATCH(D$1,[2]quests!$1:$1,0)-MATCH($C$1,[2]quests!$1:$1,0)+1,FALSE)</f>
        <v xml:space="preserve">ニムダのおきにいり♪ </v>
      </c>
      <c r="E9" s="17" t="str">
        <f ca="1">VLOOKUP($C9,OFFSET([2]quests!$A$1,0,0,COUNTA([2]quests!$A:$A),MATCH(E$1,[2]quests!$1:$1,0)-MATCH($C$1,[2]quests!$1:$1,0)+1),MATCH(E$1,[2]quests!$1:$1,0)-MATCH($C$1,[2]quests!$1:$1,0)+1,FALSE)</f>
        <v>コラボクエスト</v>
      </c>
      <c r="F9" s="20">
        <v>2</v>
      </c>
      <c r="G9" s="22" t="str">
        <f t="shared" si="3"/>
        <v>39004_2</v>
      </c>
      <c r="H9" s="14" t="str">
        <f ca="1">VLOOKUP($G9,OFFSET([2]stages!$A$1,0,0,COUNTA([2]stages!$A:$A),MATCH(H$1,[2]stages!$2:$2,0)-MATCH($G$1,[2]stages!$2:$2,0)+1),MATCH(H$1,[2]stages!$2:$2,0)-MATCH($G$1,[2]stages!$2:$2,0)+1,FALSE)</f>
        <v xml:space="preserve">【中級】ニムダのおきにいり♪ </v>
      </c>
      <c r="I9" s="20">
        <v>4</v>
      </c>
      <c r="J9" s="11">
        <v>60</v>
      </c>
      <c r="K9" s="11">
        <v>60</v>
      </c>
    </row>
    <row r="10" spans="1:11" ht="21" customHeight="1" x14ac:dyDescent="0.15">
      <c r="A10" s="15" t="str">
        <f t="shared" si="2"/>
        <v>39004_3-1</v>
      </c>
      <c r="B10" s="15" t="str">
        <f>IF(COUNTIF(enemy_habitats!$H:$H,A10),"OK","NG")</f>
        <v>OK</v>
      </c>
      <c r="C10" s="99">
        <v>39004</v>
      </c>
      <c r="D10" s="10" t="str">
        <f ca="1">VLOOKUP($C10,OFFSET([2]quests!$A$1,0,0,COUNTA([2]quests!$A:$A),MATCH(D$1,[2]quests!$1:$1,0)-MATCH($C$1,[2]quests!$1:$1,0)+1),MATCH(D$1,[2]quests!$1:$1,0)-MATCH($C$1,[2]quests!$1:$1,0)+1,FALSE)</f>
        <v xml:space="preserve">ニムダのおきにいり♪ </v>
      </c>
      <c r="E10" s="17" t="str">
        <f ca="1">VLOOKUP($C10,OFFSET([2]quests!$A$1,0,0,COUNTA([2]quests!$A:$A),MATCH(E$1,[2]quests!$1:$1,0)-MATCH($C$1,[2]quests!$1:$1,0)+1),MATCH(E$1,[2]quests!$1:$1,0)-MATCH($C$1,[2]quests!$1:$1,0)+1,FALSE)</f>
        <v>コラボクエスト</v>
      </c>
      <c r="F10" s="20">
        <v>3</v>
      </c>
      <c r="G10" s="22" t="str">
        <f t="shared" si="3"/>
        <v>39004_3</v>
      </c>
      <c r="H10" s="14" t="str">
        <f ca="1">VLOOKUP($G10,OFFSET([2]stages!$A$1,0,0,COUNTA([2]stages!$A:$A),MATCH(H$1,[2]stages!$2:$2,0)-MATCH($G$1,[2]stages!$2:$2,0)+1),MATCH(H$1,[2]stages!$2:$2,0)-MATCH($G$1,[2]stages!$2:$2,0)+1,FALSE)</f>
        <v xml:space="preserve">【上級】ニムダのおきにいり♪ </v>
      </c>
      <c r="I10" s="20">
        <v>1</v>
      </c>
      <c r="J10" s="11">
        <v>60</v>
      </c>
      <c r="K10" s="11">
        <v>60</v>
      </c>
    </row>
    <row r="11" spans="1:11" ht="21" customHeight="1" x14ac:dyDescent="0.15">
      <c r="A11" s="15" t="str">
        <f t="shared" si="2"/>
        <v>39004_3-2</v>
      </c>
      <c r="B11" s="15" t="str">
        <f>IF(COUNTIF(enemy_habitats!$H:$H,A11),"OK","NG")</f>
        <v>OK</v>
      </c>
      <c r="C11" s="99">
        <v>39004</v>
      </c>
      <c r="D11" s="10" t="str">
        <f ca="1">VLOOKUP($C11,OFFSET([2]quests!$A$1,0,0,COUNTA([2]quests!$A:$A),MATCH(D$1,[2]quests!$1:$1,0)-MATCH($C$1,[2]quests!$1:$1,0)+1),MATCH(D$1,[2]quests!$1:$1,0)-MATCH($C$1,[2]quests!$1:$1,0)+1,FALSE)</f>
        <v xml:space="preserve">ニムダのおきにいり♪ </v>
      </c>
      <c r="E11" s="17" t="str">
        <f ca="1">VLOOKUP($C11,OFFSET([2]quests!$A$1,0,0,COUNTA([2]quests!$A:$A),MATCH(E$1,[2]quests!$1:$1,0)-MATCH($C$1,[2]quests!$1:$1,0)+1),MATCH(E$1,[2]quests!$1:$1,0)-MATCH($C$1,[2]quests!$1:$1,0)+1,FALSE)</f>
        <v>コラボクエスト</v>
      </c>
      <c r="F11" s="20">
        <v>3</v>
      </c>
      <c r="G11" s="22" t="str">
        <f t="shared" si="3"/>
        <v>39004_3</v>
      </c>
      <c r="H11" s="14" t="str">
        <f ca="1">VLOOKUP($G11,OFFSET([2]stages!$A$1,0,0,COUNTA([2]stages!$A:$A),MATCH(H$1,[2]stages!$2:$2,0)-MATCH($G$1,[2]stages!$2:$2,0)+1),MATCH(H$1,[2]stages!$2:$2,0)-MATCH($G$1,[2]stages!$2:$2,0)+1,FALSE)</f>
        <v xml:space="preserve">【上級】ニムダのおきにいり♪ </v>
      </c>
      <c r="I11" s="20">
        <v>2</v>
      </c>
      <c r="J11" s="11">
        <v>60</v>
      </c>
      <c r="K11" s="11">
        <v>60</v>
      </c>
    </row>
    <row r="12" spans="1:11" ht="21" customHeight="1" x14ac:dyDescent="0.15">
      <c r="A12" s="15" t="str">
        <f t="shared" si="2"/>
        <v>39004_3-3</v>
      </c>
      <c r="B12" s="15" t="str">
        <f>IF(COUNTIF(enemy_habitats!$H:$H,A12),"OK","NG")</f>
        <v>OK</v>
      </c>
      <c r="C12" s="99">
        <v>39004</v>
      </c>
      <c r="D12" s="10" t="str">
        <f ca="1">VLOOKUP($C12,OFFSET([2]quests!$A$1,0,0,COUNTA([2]quests!$A:$A),MATCH(D$1,[2]quests!$1:$1,0)-MATCH($C$1,[2]quests!$1:$1,0)+1),MATCH(D$1,[2]quests!$1:$1,0)-MATCH($C$1,[2]quests!$1:$1,0)+1,FALSE)</f>
        <v xml:space="preserve">ニムダのおきにいり♪ </v>
      </c>
      <c r="E12" s="17" t="str">
        <f ca="1">VLOOKUP($C12,OFFSET([2]quests!$A$1,0,0,COUNTA([2]quests!$A:$A),MATCH(E$1,[2]quests!$1:$1,0)-MATCH($C$1,[2]quests!$1:$1,0)+1),MATCH(E$1,[2]quests!$1:$1,0)-MATCH($C$1,[2]quests!$1:$1,0)+1,FALSE)</f>
        <v>コラボクエスト</v>
      </c>
      <c r="F12" s="20">
        <v>3</v>
      </c>
      <c r="G12" s="22" t="str">
        <f t="shared" si="3"/>
        <v>39004_3</v>
      </c>
      <c r="H12" s="14" t="str">
        <f ca="1">VLOOKUP($G12,OFFSET([2]stages!$A$1,0,0,COUNTA([2]stages!$A:$A),MATCH(H$1,[2]stages!$2:$2,0)-MATCH($G$1,[2]stages!$2:$2,0)+1),MATCH(H$1,[2]stages!$2:$2,0)-MATCH($G$1,[2]stages!$2:$2,0)+1,FALSE)</f>
        <v xml:space="preserve">【上級】ニムダのおきにいり♪ </v>
      </c>
      <c r="I12" s="20">
        <v>3</v>
      </c>
      <c r="J12" s="11">
        <v>60</v>
      </c>
      <c r="K12" s="11">
        <v>60</v>
      </c>
    </row>
    <row r="13" spans="1:11" ht="21" customHeight="1" x14ac:dyDescent="0.15">
      <c r="A13" s="15" t="str">
        <f t="shared" si="2"/>
        <v>39004_3-4</v>
      </c>
      <c r="B13" s="15" t="str">
        <f>IF(COUNTIF(enemy_habitats!$H:$H,A13),"OK","NG")</f>
        <v>OK</v>
      </c>
      <c r="C13" s="99">
        <v>39004</v>
      </c>
      <c r="D13" s="10" t="str">
        <f ca="1">VLOOKUP($C13,OFFSET([2]quests!$A$1,0,0,COUNTA([2]quests!$A:$A),MATCH(D$1,[2]quests!$1:$1,0)-MATCH($C$1,[2]quests!$1:$1,0)+1),MATCH(D$1,[2]quests!$1:$1,0)-MATCH($C$1,[2]quests!$1:$1,0)+1,FALSE)</f>
        <v xml:space="preserve">ニムダのおきにいり♪ </v>
      </c>
      <c r="E13" s="17" t="str">
        <f ca="1">VLOOKUP($C13,OFFSET([2]quests!$A$1,0,0,COUNTA([2]quests!$A:$A),MATCH(E$1,[2]quests!$1:$1,0)-MATCH($C$1,[2]quests!$1:$1,0)+1),MATCH(E$1,[2]quests!$1:$1,0)-MATCH($C$1,[2]quests!$1:$1,0)+1,FALSE)</f>
        <v>コラボクエスト</v>
      </c>
      <c r="F13" s="20">
        <v>3</v>
      </c>
      <c r="G13" s="22" t="str">
        <f t="shared" si="3"/>
        <v>39004_3</v>
      </c>
      <c r="H13" s="14" t="str">
        <f ca="1">VLOOKUP($G13,OFFSET([2]stages!$A$1,0,0,COUNTA([2]stages!$A:$A),MATCH(H$1,[2]stages!$2:$2,0)-MATCH($G$1,[2]stages!$2:$2,0)+1),MATCH(H$1,[2]stages!$2:$2,0)-MATCH($G$1,[2]stages!$2:$2,0)+1,FALSE)</f>
        <v xml:space="preserve">【上級】ニムダのおきにいり♪ </v>
      </c>
      <c r="I13" s="20">
        <v>4</v>
      </c>
      <c r="J13" s="11">
        <v>60</v>
      </c>
      <c r="K13" s="11">
        <v>60</v>
      </c>
    </row>
    <row r="14" spans="1:11" ht="21" customHeight="1" x14ac:dyDescent="0.15">
      <c r="A14" s="15" t="str">
        <f t="shared" si="2"/>
        <v>39004_4-1</v>
      </c>
      <c r="B14" s="15" t="str">
        <f>IF(COUNTIF(enemy_habitats!$H:$H,A14),"OK","NG")</f>
        <v>OK</v>
      </c>
      <c r="C14" s="99">
        <v>39004</v>
      </c>
      <c r="D14" s="10" t="str">
        <f ca="1">VLOOKUP($C14,OFFSET([2]quests!$A$1,0,0,COUNTA([2]quests!$A:$A),MATCH(D$1,[2]quests!$1:$1,0)-MATCH($C$1,[2]quests!$1:$1,0)+1),MATCH(D$1,[2]quests!$1:$1,0)-MATCH($C$1,[2]quests!$1:$1,0)+1,FALSE)</f>
        <v xml:space="preserve">ニムダのおきにいり♪ </v>
      </c>
      <c r="E14" s="17" t="str">
        <f ca="1">VLOOKUP($C14,OFFSET([2]quests!$A$1,0,0,COUNTA([2]quests!$A:$A),MATCH(E$1,[2]quests!$1:$1,0)-MATCH($C$1,[2]quests!$1:$1,0)+1),MATCH(E$1,[2]quests!$1:$1,0)-MATCH($C$1,[2]quests!$1:$1,0)+1,FALSE)</f>
        <v>コラボクエスト</v>
      </c>
      <c r="F14" s="20">
        <v>4</v>
      </c>
      <c r="G14" s="22" t="str">
        <f t="shared" si="3"/>
        <v>39004_4</v>
      </c>
      <c r="H14" s="14" t="str">
        <f ca="1">VLOOKUP($G14,OFFSET([2]stages!$A$1,0,0,COUNTA([2]stages!$A:$A),MATCH(H$1,[2]stages!$2:$2,0)-MATCH($G$1,[2]stages!$2:$2,0)+1),MATCH(H$1,[2]stages!$2:$2,0)-MATCH($G$1,[2]stages!$2:$2,0)+1,FALSE)</f>
        <v xml:space="preserve">【超級】ニムダのおきにいり♪ </v>
      </c>
      <c r="I14" s="20">
        <v>1</v>
      </c>
      <c r="J14" s="11">
        <v>60</v>
      </c>
      <c r="K14" s="11">
        <v>60</v>
      </c>
    </row>
    <row r="15" spans="1:11" ht="21" customHeight="1" x14ac:dyDescent="0.15">
      <c r="A15" s="15" t="str">
        <f t="shared" si="2"/>
        <v>39004_4-2</v>
      </c>
      <c r="B15" s="15" t="str">
        <f>IF(COUNTIF(enemy_habitats!$H:$H,A15),"OK","NG")</f>
        <v>OK</v>
      </c>
      <c r="C15" s="99">
        <v>39004</v>
      </c>
      <c r="D15" s="10" t="str">
        <f ca="1">VLOOKUP($C15,OFFSET([2]quests!$A$1,0,0,COUNTA([2]quests!$A:$A),MATCH(D$1,[2]quests!$1:$1,0)-MATCH($C$1,[2]quests!$1:$1,0)+1),MATCH(D$1,[2]quests!$1:$1,0)-MATCH($C$1,[2]quests!$1:$1,0)+1,FALSE)</f>
        <v xml:space="preserve">ニムダのおきにいり♪ </v>
      </c>
      <c r="E15" s="17" t="str">
        <f ca="1">VLOOKUP($C15,OFFSET([2]quests!$A$1,0,0,COUNTA([2]quests!$A:$A),MATCH(E$1,[2]quests!$1:$1,0)-MATCH($C$1,[2]quests!$1:$1,0)+1),MATCH(E$1,[2]quests!$1:$1,0)-MATCH($C$1,[2]quests!$1:$1,0)+1,FALSE)</f>
        <v>コラボクエスト</v>
      </c>
      <c r="F15" s="20">
        <v>4</v>
      </c>
      <c r="G15" s="22" t="str">
        <f t="shared" si="3"/>
        <v>39004_4</v>
      </c>
      <c r="H15" s="14" t="str">
        <f ca="1">VLOOKUP($G15,OFFSET([2]stages!$A$1,0,0,COUNTA([2]stages!$A:$A),MATCH(H$1,[2]stages!$2:$2,0)-MATCH($G$1,[2]stages!$2:$2,0)+1),MATCH(H$1,[2]stages!$2:$2,0)-MATCH($G$1,[2]stages!$2:$2,0)+1,FALSE)</f>
        <v xml:space="preserve">【超級】ニムダのおきにいり♪ </v>
      </c>
      <c r="I15" s="20">
        <v>2</v>
      </c>
      <c r="J15" s="11">
        <v>60</v>
      </c>
      <c r="K15" s="11">
        <v>60</v>
      </c>
    </row>
    <row r="16" spans="1:11" ht="21" customHeight="1" x14ac:dyDescent="0.15">
      <c r="A16" s="15" t="str">
        <f t="shared" si="2"/>
        <v>39004_4-3</v>
      </c>
      <c r="B16" s="15" t="str">
        <f>IF(COUNTIF(enemy_habitats!$H:$H,A16),"OK","NG")</f>
        <v>OK</v>
      </c>
      <c r="C16" s="99">
        <v>39004</v>
      </c>
      <c r="D16" s="10" t="str">
        <f ca="1">VLOOKUP($C16,OFFSET([2]quests!$A$1,0,0,COUNTA([2]quests!$A:$A),MATCH(D$1,[2]quests!$1:$1,0)-MATCH($C$1,[2]quests!$1:$1,0)+1),MATCH(D$1,[2]quests!$1:$1,0)-MATCH($C$1,[2]quests!$1:$1,0)+1,FALSE)</f>
        <v xml:space="preserve">ニムダのおきにいり♪ </v>
      </c>
      <c r="E16" s="17" t="str">
        <f ca="1">VLOOKUP($C16,OFFSET([2]quests!$A$1,0,0,COUNTA([2]quests!$A:$A),MATCH(E$1,[2]quests!$1:$1,0)-MATCH($C$1,[2]quests!$1:$1,0)+1),MATCH(E$1,[2]quests!$1:$1,0)-MATCH($C$1,[2]quests!$1:$1,0)+1,FALSE)</f>
        <v>コラボクエスト</v>
      </c>
      <c r="F16" s="20">
        <v>4</v>
      </c>
      <c r="G16" s="22" t="str">
        <f t="shared" si="3"/>
        <v>39004_4</v>
      </c>
      <c r="H16" s="14" t="str">
        <f ca="1">VLOOKUP($G16,OFFSET([2]stages!$A$1,0,0,COUNTA([2]stages!$A:$A),MATCH(H$1,[2]stages!$2:$2,0)-MATCH($G$1,[2]stages!$2:$2,0)+1),MATCH(H$1,[2]stages!$2:$2,0)-MATCH($G$1,[2]stages!$2:$2,0)+1,FALSE)</f>
        <v xml:space="preserve">【超級】ニムダのおきにいり♪ </v>
      </c>
      <c r="I16" s="20">
        <v>3</v>
      </c>
      <c r="J16" s="11">
        <v>60</v>
      </c>
      <c r="K16" s="11">
        <v>60</v>
      </c>
    </row>
    <row r="17" spans="1:11" ht="21" customHeight="1" x14ac:dyDescent="0.15">
      <c r="A17" s="15" t="str">
        <f t="shared" si="2"/>
        <v>39004_4-4</v>
      </c>
      <c r="B17" s="15" t="str">
        <f>IF(COUNTIF(enemy_habitats!$H:$H,A17),"OK","NG")</f>
        <v>OK</v>
      </c>
      <c r="C17" s="99">
        <v>39004</v>
      </c>
      <c r="D17" s="10" t="str">
        <f ca="1">VLOOKUP($C17,OFFSET([2]quests!$A$1,0,0,COUNTA([2]quests!$A:$A),MATCH(D$1,[2]quests!$1:$1,0)-MATCH($C$1,[2]quests!$1:$1,0)+1),MATCH(D$1,[2]quests!$1:$1,0)-MATCH($C$1,[2]quests!$1:$1,0)+1,FALSE)</f>
        <v xml:space="preserve">ニムダのおきにいり♪ </v>
      </c>
      <c r="E17" s="17" t="str">
        <f ca="1">VLOOKUP($C17,OFFSET([2]quests!$A$1,0,0,COUNTA([2]quests!$A:$A),MATCH(E$1,[2]quests!$1:$1,0)-MATCH($C$1,[2]quests!$1:$1,0)+1),MATCH(E$1,[2]quests!$1:$1,0)-MATCH($C$1,[2]quests!$1:$1,0)+1,FALSE)</f>
        <v>コラボクエスト</v>
      </c>
      <c r="F17" s="20">
        <v>4</v>
      </c>
      <c r="G17" s="22" t="str">
        <f t="shared" si="3"/>
        <v>39004_4</v>
      </c>
      <c r="H17" s="14" t="str">
        <f ca="1">VLOOKUP($G17,OFFSET([2]stages!$A$1,0,0,COUNTA([2]stages!$A:$A),MATCH(H$1,[2]stages!$2:$2,0)-MATCH($G$1,[2]stages!$2:$2,0)+1),MATCH(H$1,[2]stages!$2:$2,0)-MATCH($G$1,[2]stages!$2:$2,0)+1,FALSE)</f>
        <v xml:space="preserve">【超級】ニムダのおきにいり♪ </v>
      </c>
      <c r="I17" s="20">
        <v>4</v>
      </c>
      <c r="J17" s="11">
        <v>60</v>
      </c>
      <c r="K17" s="11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37"/>
  <sheetViews>
    <sheetView showGridLines="0" topLeftCell="Q7" zoomScale="85" zoomScaleNormal="85" zoomScalePageLayoutView="85" workbookViewId="0">
      <selection activeCell="AI39" sqref="AI39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10.6640625" style="3" bestFit="1" customWidth="1"/>
    <col min="4" max="4" width="13" style="13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8" bestFit="1" customWidth="1"/>
    <col min="13" max="13" width="16.83203125" style="3" bestFit="1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30.5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2" bestFit="1" customWidth="1" outlineLevel="1"/>
    <col min="30" max="30" width="8" style="13" bestFit="1" customWidth="1" outlineLevel="1"/>
    <col min="31" max="31" width="12" style="13" bestFit="1" customWidth="1" outlineLevel="1"/>
    <col min="32" max="32" width="15" style="9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25" t="s">
        <v>50</v>
      </c>
      <c r="U1" s="25" t="s">
        <v>52</v>
      </c>
      <c r="V1" s="28" t="s">
        <v>31</v>
      </c>
      <c r="W1" s="27" t="s">
        <v>4</v>
      </c>
      <c r="X1" s="27" t="s">
        <v>5</v>
      </c>
      <c r="Y1" s="27" t="s">
        <v>6</v>
      </c>
      <c r="Z1" s="27" t="s">
        <v>7</v>
      </c>
      <c r="AA1" s="27" t="s">
        <v>8</v>
      </c>
      <c r="AB1" s="32" t="s">
        <v>9</v>
      </c>
      <c r="AC1" s="33" t="s">
        <v>16</v>
      </c>
      <c r="AD1" s="33" t="s">
        <v>17</v>
      </c>
      <c r="AE1" s="33" t="s">
        <v>27</v>
      </c>
      <c r="AF1" s="32" t="s">
        <v>10</v>
      </c>
      <c r="AG1" s="27" t="s">
        <v>11</v>
      </c>
      <c r="AH1" s="27" t="s">
        <v>12</v>
      </c>
      <c r="AI1" s="27" t="s">
        <v>38</v>
      </c>
      <c r="AJ1" s="27" t="s">
        <v>40</v>
      </c>
      <c r="AK1" s="27" t="s">
        <v>42</v>
      </c>
      <c r="AL1" s="27" t="s">
        <v>44</v>
      </c>
      <c r="AM1" s="27" t="s">
        <v>46</v>
      </c>
      <c r="AN1" s="35" t="s">
        <v>180</v>
      </c>
    </row>
    <row r="2" spans="1:40" ht="21" customHeight="1" x14ac:dyDescent="0.15">
      <c r="A2" s="15" t="str">
        <f t="shared" ref="A2:A19" si="0">B2&amp;"_"&amp;C2&amp;"-"&amp;G2&amp;"/"&amp;L2&amp;"&lt;lv"&amp;R2&amp;"&gt;s"&amp;AA2</f>
        <v>39004_1-1/164&lt;lv10&gt;s2</v>
      </c>
      <c r="B2" s="21">
        <v>39004</v>
      </c>
      <c r="C2" s="20">
        <v>1</v>
      </c>
      <c r="D2" s="2" t="str">
        <f t="shared" ref="D2:D19" si="1">B2&amp;"_"&amp;C2</f>
        <v>39004_1</v>
      </c>
      <c r="E2" s="4" t="str">
        <f ca="1">VLOOKUP($B2,OFFSET([2]quests!$A$1,0,0,COUNTA([2]quests!$A:$A),MATCH(E$1,[2]quests!$1:$1,0)-MATCH($B$1,[2]quests!$1:$1,0)+1),MATCH(E$1,[2]quests!$1:$1,0)-MATCH($B$1,[2]quests!$1:$1,0)+1,FALSE)</f>
        <v xml:space="preserve">ニムダのおきにいり♪ 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【初級】ニムダのおきにいり♪ </v>
      </c>
      <c r="G2" s="20">
        <v>1</v>
      </c>
      <c r="H2" s="14" t="str">
        <f t="shared" ref="H2:H19" si="2">B2&amp;"_"&amp;C2&amp;"-"&amp;G2</f>
        <v>39004_1-1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 t="s">
        <v>224</v>
      </c>
      <c r="L2" s="20">
        <v>164</v>
      </c>
      <c r="M2" s="16" t="str">
        <f ca="1">VLOOKUP($L2,OFFSET([3]enemies!$A$1,0,0,COUNTA([3]enemies!$A:$A),MATCH(M$1,[3]enemies!$1:$1,0)-MATCH($L$1,[3]enemies!$1:$1,0)+1),MATCH(M$1,[3]enemies!$1:$1,0)-MATCH($L$1,[3]enemies!$1:$1,0)+1,FALSE)</f>
        <v>イブとトモダチ</v>
      </c>
      <c r="N2" s="16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PremiumW</v>
      </c>
      <c r="P2" s="16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6">
        <f ca="1">VLOOKUP($L2,OFFSET([3]enemies!$A$1,0,0,COUNTA([3]enemies!$A:$A),MATCH(Q$1,[3]enemies!$1:$1,0)-MATCH($L$1,[3]enemies!$1:$1,0)+1),MATCH(Q$1,[3]enemies!$1:$1,0)-MATCH($L$1,[3]enemies!$1:$1,0)+1,FALSE)</f>
        <v>20</v>
      </c>
      <c r="R2" s="103">
        <v>10</v>
      </c>
      <c r="S2" s="104">
        <v>1</v>
      </c>
      <c r="T2" s="105">
        <v>1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一定確率で1ターンスキルが使えない！</v>
      </c>
      <c r="W2" s="61">
        <v>39004001</v>
      </c>
      <c r="X2" s="6">
        <v>1</v>
      </c>
      <c r="Y2" s="6">
        <v>100</v>
      </c>
      <c r="Z2" s="6">
        <v>1</v>
      </c>
      <c r="AA2" s="16">
        <v>2</v>
      </c>
      <c r="AB2" s="23">
        <f t="shared" ref="AB2:AB19" si="3">L2</f>
        <v>164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イブとトモダチ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3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2" s="7">
        <v>1</v>
      </c>
      <c r="AG2" s="23">
        <f t="shared" ref="AG2:AG19" ca="1" si="4">AD2</f>
        <v>3</v>
      </c>
      <c r="AH2" s="107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 x14ac:dyDescent="0.15">
      <c r="A3" s="15" t="str">
        <f t="shared" si="0"/>
        <v>39004_1-1/20&lt;lv10&gt;s2</v>
      </c>
      <c r="B3" s="21">
        <v>39004</v>
      </c>
      <c r="C3" s="20">
        <v>1</v>
      </c>
      <c r="D3" s="2" t="str">
        <f t="shared" si="1"/>
        <v>39004_1</v>
      </c>
      <c r="E3" s="4" t="str">
        <f ca="1">VLOOKUP($B3,OFFSET([2]quests!$A$1,0,0,COUNTA([2]quests!$A:$A),MATCH(E$1,[2]quests!$1:$1,0)-MATCH($B$1,[2]quests!$1:$1,0)+1),MATCH(E$1,[2]quests!$1:$1,0)-MATCH($B$1,[2]quests!$1:$1,0)+1,FALSE)</f>
        <v xml:space="preserve">ニムダのおきにいり♪ 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【初級】ニムダのおきにいり♪ </v>
      </c>
      <c r="G3" s="20">
        <v>1</v>
      </c>
      <c r="H3" s="14" t="str">
        <f t="shared" si="2"/>
        <v>39004_1-1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 t="s">
        <v>224</v>
      </c>
      <c r="L3" s="20">
        <v>20</v>
      </c>
      <c r="M3" s="16" t="str">
        <f ca="1">VLOOKUP($L3,OFFSET([3]enemies!$A$1,0,0,COUNTA([3]enemies!$A:$A),MATCH(M$1,[3]enemies!$1:$1,0)-MATCH($L$1,[3]enemies!$1:$1,0)+1),MATCH(M$1,[3]enemies!$1:$1,0)-MATCH($L$1,[3]enemies!$1:$1,0)+1,FALSE)</f>
        <v>電子妖精 ティンク</v>
      </c>
      <c r="N3" s="16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Drop1W</v>
      </c>
      <c r="P3" s="16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6">
        <f ca="1">VLOOKUP($L3,OFFSET([3]enemies!$A$1,0,0,COUNTA([3]enemies!$A:$A),MATCH(Q$1,[3]enemies!$1:$1,0)-MATCH($L$1,[3]enemies!$1:$1,0)+1),MATCH(Q$1,[3]enemies!$1:$1,0)-MATCH($L$1,[3]enemies!$1:$1,0)+1,FALSE)</f>
        <v>15</v>
      </c>
      <c r="R3" s="103">
        <v>10</v>
      </c>
      <c r="S3" s="104">
        <v>1</v>
      </c>
      <c r="T3" s="105">
        <v>1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3ターン攻撃頻度が1ターンにUP</v>
      </c>
      <c r="W3" s="61">
        <v>39004002</v>
      </c>
      <c r="X3" s="6">
        <v>2</v>
      </c>
      <c r="Y3" s="6">
        <v>100</v>
      </c>
      <c r="Z3" s="6">
        <v>2</v>
      </c>
      <c r="AA3" s="16">
        <v>2</v>
      </c>
      <c r="AB3" s="23">
        <f t="shared" si="3"/>
        <v>20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電子妖精 ティンク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Drop1W</v>
      </c>
      <c r="AF3" s="7">
        <v>1</v>
      </c>
      <c r="AG3" s="23">
        <f t="shared" ca="1" si="4"/>
        <v>2</v>
      </c>
      <c r="AH3" s="107">
        <v>20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 x14ac:dyDescent="0.15">
      <c r="A4" s="15" t="str">
        <f>B4&amp;"_"&amp;C4&amp;"-"&amp;G4&amp;"/"&amp;L4&amp;"&lt;lv"&amp;R4&amp;"&gt;s"&amp;AA4</f>
        <v>39004_1-2/83&lt;lv10&gt;s2</v>
      </c>
      <c r="B4" s="21">
        <v>39004</v>
      </c>
      <c r="C4" s="20">
        <v>1</v>
      </c>
      <c r="D4" s="2" t="str">
        <f t="shared" si="1"/>
        <v>39004_1</v>
      </c>
      <c r="E4" s="4" t="str">
        <f ca="1">VLOOKUP($B4,OFFSET([2]quests!$A$1,0,0,COUNTA([2]quests!$A:$A),MATCH(E$1,[2]quests!$1:$1,0)-MATCH($B$1,[2]quests!$1:$1,0)+1),MATCH(E$1,[2]quests!$1:$1,0)-MATCH($B$1,[2]quests!$1:$1,0)+1,FALSE)</f>
        <v xml:space="preserve">ニムダのおきにいり♪ 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【初級】ニムダのおきにいり♪ </v>
      </c>
      <c r="G4" s="20">
        <v>2</v>
      </c>
      <c r="H4" s="14" t="str">
        <f t="shared" si="2"/>
        <v>39004_1-2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 t="s">
        <v>224</v>
      </c>
      <c r="L4" s="20">
        <v>83</v>
      </c>
      <c r="M4" s="16" t="str">
        <f ca="1">VLOOKUP($L4,OFFSET([3]enemies!$A$1,0,0,COUNTA([3]enemies!$A:$A),MATCH(M$1,[3]enemies!$1:$1,0)-MATCH($L$1,[3]enemies!$1:$1,0)+1),MATCH(M$1,[3]enemies!$1:$1,0)-MATCH($L$1,[3]enemies!$1:$1,0)+1,FALSE)</f>
        <v>拡散性ニムダ</v>
      </c>
      <c r="N4" s="16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DropWizW</v>
      </c>
      <c r="P4" s="16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6">
        <f ca="1">VLOOKUP($L4,OFFSET([3]enemies!$A$1,0,0,COUNTA([3]enemies!$A:$A),MATCH(Q$1,[3]enemies!$1:$1,0)-MATCH($L$1,[3]enemies!$1:$1,0)+1),MATCH(Q$1,[3]enemies!$1:$1,0)-MATCH($L$1,[3]enemies!$1:$1,0)+1,FALSE)</f>
        <v>20</v>
      </c>
      <c r="R4" s="103">
        <v>10</v>
      </c>
      <c r="S4" s="104">
        <v>1</v>
      </c>
      <c r="T4" s="105">
        <v>1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おねだりしている</v>
      </c>
      <c r="W4" s="61">
        <v>39004003</v>
      </c>
      <c r="X4" s="6">
        <v>1</v>
      </c>
      <c r="Y4" s="6">
        <v>100</v>
      </c>
      <c r="Z4" s="6">
        <v>1</v>
      </c>
      <c r="AA4" s="16">
        <v>2</v>
      </c>
      <c r="AB4" s="23">
        <f t="shared" si="3"/>
        <v>83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拡散性ニムダ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4" s="7">
        <v>1</v>
      </c>
      <c r="AG4" s="23">
        <f t="shared" ca="1" si="4"/>
        <v>3</v>
      </c>
      <c r="AH4" s="107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 x14ac:dyDescent="0.15">
      <c r="A5" s="15" t="str">
        <f t="shared" si="0"/>
        <v>39004_1-2/387&lt;lv10&gt;s3</v>
      </c>
      <c r="B5" s="21">
        <v>39004</v>
      </c>
      <c r="C5" s="20">
        <v>1</v>
      </c>
      <c r="D5" s="2" t="str">
        <f t="shared" si="1"/>
        <v>39004_1</v>
      </c>
      <c r="E5" s="4" t="str">
        <f ca="1">VLOOKUP($B5,OFFSET([2]quests!$A$1,0,0,COUNTA([2]quests!$A:$A),MATCH(E$1,[2]quests!$1:$1,0)-MATCH($B$1,[2]quests!$1:$1,0)+1),MATCH(E$1,[2]quests!$1:$1,0)-MATCH($B$1,[2]quests!$1:$1,0)+1,FALSE)</f>
        <v xml:space="preserve">ニムダのおきにいり♪ 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【初級】ニムダのおきにいり♪ </v>
      </c>
      <c r="G5" s="20">
        <v>2</v>
      </c>
      <c r="H5" s="14" t="str">
        <f t="shared" si="2"/>
        <v>39004_1-2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 t="s">
        <v>224</v>
      </c>
      <c r="L5" s="20">
        <v>387</v>
      </c>
      <c r="M5" s="16" t="str">
        <f ca="1">VLOOKUP($L5,OFFSET([3]enemies!$A$1,0,0,COUNTA([3]enemies!$A:$A),MATCH(M$1,[3]enemies!$1:$1,0)-MATCH($L$1,[3]enemies!$1:$1,0)+1),MATCH(M$1,[3]enemies!$1:$1,0)-MATCH($L$1,[3]enemies!$1:$1,0)+1,FALSE)</f>
        <v>スフィンクス</v>
      </c>
      <c r="N5" s="16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6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6">
        <f ca="1">VLOOKUP($L5,OFFSET([3]enemies!$A$1,0,0,COUNTA([3]enemies!$A:$A),MATCH(Q$1,[3]enemies!$1:$1,0)-MATCH($L$1,[3]enemies!$1:$1,0)+1),MATCH(Q$1,[3]enemies!$1:$1,0)-MATCH($L$1,[3]enemies!$1:$1,0)+1,FALSE)</f>
        <v>25</v>
      </c>
      <c r="R5" s="103">
        <v>10</v>
      </c>
      <c r="S5" s="104">
        <v>1</v>
      </c>
      <c r="T5" s="105">
        <v>1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2ターン防御力UP</v>
      </c>
      <c r="W5" s="61">
        <v>39004004</v>
      </c>
      <c r="X5" s="6">
        <v>1</v>
      </c>
      <c r="Y5" s="6">
        <v>100</v>
      </c>
      <c r="Z5" s="6">
        <v>2</v>
      </c>
      <c r="AA5" s="16">
        <v>3</v>
      </c>
      <c r="AB5" s="23">
        <f t="shared" si="3"/>
        <v>387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スフィンクス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3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5" s="7">
        <v>1</v>
      </c>
      <c r="AG5" s="23">
        <f t="shared" ca="1" si="4"/>
        <v>3</v>
      </c>
      <c r="AH5" s="107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 x14ac:dyDescent="0.15">
      <c r="A6" s="15" t="str">
        <f t="shared" si="0"/>
        <v>39004_1-3/63&lt;lv10&gt;s1</v>
      </c>
      <c r="B6" s="21">
        <v>39004</v>
      </c>
      <c r="C6" s="20">
        <v>1</v>
      </c>
      <c r="D6" s="2" t="str">
        <f t="shared" si="1"/>
        <v>39004_1</v>
      </c>
      <c r="E6" s="4" t="str">
        <f ca="1">VLOOKUP($B6,OFFSET([2]quests!$A$1,0,0,COUNTA([2]quests!$A:$A),MATCH(E$1,[2]quests!$1:$1,0)-MATCH($B$1,[2]quests!$1:$1,0)+1),MATCH(E$1,[2]quests!$1:$1,0)-MATCH($B$1,[2]quests!$1:$1,0)+1,FALSE)</f>
        <v xml:space="preserve">ニムダのおきにいり♪ </v>
      </c>
      <c r="F6" s="4" t="str">
        <f ca="1">VLOOKUP($D6,OFFSET([2]stages!$A$1,0,0,COUNTA([2]stages!$A:$A),MATCH(F$1,[2]stages!$2:$2,0)-MATCH($D$1,[2]stages!$2:$2,0)+1),MATCH(F$1,[2]stages!$2:$2,0)-MATCH($D$1,[2]stages!$2:$2,0)+1,FALSE)</f>
        <v xml:space="preserve">【初級】ニムダのおきにいり♪ </v>
      </c>
      <c r="G6" s="20">
        <v>3</v>
      </c>
      <c r="H6" s="14" t="str">
        <f t="shared" si="2"/>
        <v>39004_1-3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 t="s">
        <v>224</v>
      </c>
      <c r="L6" s="20">
        <v>63</v>
      </c>
      <c r="M6" s="16" t="str">
        <f ca="1">VLOOKUP($L6,OFFSET([3]enemies!$A$1,0,0,COUNTA([3]enemies!$A:$A),MATCH(M$1,[3]enemies!$1:$1,0)-MATCH($L$1,[3]enemies!$1:$1,0)+1),MATCH(M$1,[3]enemies!$1:$1,0)-MATCH($L$1,[3]enemies!$1:$1,0)+1,FALSE)</f>
        <v>トニー</v>
      </c>
      <c r="N6" s="16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6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6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6">
        <f ca="1">VLOOKUP($L6,OFFSET([3]enemies!$A$1,0,0,COUNTA([3]enemies!$A:$A),MATCH(Q$1,[3]enemies!$1:$1,0)-MATCH($L$1,[3]enemies!$1:$1,0)+1),MATCH(Q$1,[3]enemies!$1:$1,0)-MATCH($L$1,[3]enemies!$1:$1,0)+1,FALSE)</f>
        <v>15</v>
      </c>
      <c r="R6" s="103">
        <v>10</v>
      </c>
      <c r="S6" s="104">
        <v>1</v>
      </c>
      <c r="T6" s="105">
        <v>0.9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2回連続攻撃</v>
      </c>
      <c r="W6" s="61">
        <v>39004005</v>
      </c>
      <c r="X6" s="6">
        <v>1</v>
      </c>
      <c r="Y6" s="6">
        <v>100</v>
      </c>
      <c r="Z6" s="6">
        <v>2</v>
      </c>
      <c r="AA6" s="16">
        <v>1</v>
      </c>
      <c r="AB6" s="23">
        <f t="shared" si="3"/>
        <v>63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トニー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Drop1N</v>
      </c>
      <c r="AF6" s="7">
        <v>1</v>
      </c>
      <c r="AG6" s="23">
        <f t="shared" ca="1" si="4"/>
        <v>2</v>
      </c>
      <c r="AH6" s="107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 x14ac:dyDescent="0.15">
      <c r="A7" s="15" t="str">
        <f t="shared" si="0"/>
        <v>39004_1-3/56&lt;lv11&gt;s2</v>
      </c>
      <c r="B7" s="21">
        <v>39004</v>
      </c>
      <c r="C7" s="20">
        <v>1</v>
      </c>
      <c r="D7" s="2" t="str">
        <f t="shared" si="1"/>
        <v>39004_1</v>
      </c>
      <c r="E7" s="4" t="str">
        <f ca="1">VLOOKUP($B7,OFFSET([2]quests!$A$1,0,0,COUNTA([2]quests!$A:$A),MATCH(E$1,[2]quests!$1:$1,0)-MATCH($B$1,[2]quests!$1:$1,0)+1),MATCH(E$1,[2]quests!$1:$1,0)-MATCH($B$1,[2]quests!$1:$1,0)+1,FALSE)</f>
        <v xml:space="preserve">ニムダのおきにいり♪ </v>
      </c>
      <c r="F7" s="4" t="str">
        <f ca="1">VLOOKUP($D7,OFFSET([2]stages!$A$1,0,0,COUNTA([2]stages!$A:$A),MATCH(F$1,[2]stages!$2:$2,0)-MATCH($D$1,[2]stages!$2:$2,0)+1),MATCH(F$1,[2]stages!$2:$2,0)-MATCH($D$1,[2]stages!$2:$2,0)+1,FALSE)</f>
        <v xml:space="preserve">【初級】ニムダのおきにいり♪ </v>
      </c>
      <c r="G7" s="20">
        <v>3</v>
      </c>
      <c r="H7" s="14" t="str">
        <f t="shared" si="2"/>
        <v>39004_1-3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 t="s">
        <v>224</v>
      </c>
      <c r="L7" s="20">
        <v>56</v>
      </c>
      <c r="M7" s="16" t="str">
        <f ca="1">VLOOKUP($L7,OFFSET([3]enemies!$A$1,0,0,COUNTA([3]enemies!$A:$A),MATCH(M$1,[3]enemies!$1:$1,0)-MATCH($L$1,[3]enemies!$1:$1,0)+1),MATCH(M$1,[3]enemies!$1:$1,0)-MATCH($L$1,[3]enemies!$1:$1,0)+1,FALSE)</f>
        <v>黄槌のレジスタンス マミコ</v>
      </c>
      <c r="N7" s="16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6" t="str">
        <f ca="1">VLOOKUP($L7,OFFSET([4]characters!$A$1,0,0,COUNTA([4]characters!$A:$A),MATCH(O$1,[4]characters!$1:$1,0)-MATCH($L$1,[4]characters!$1:$1,0)+1),MATCH(O$1,[4]characters!$1:$1,0)-MATCH($L$1,[4]characters!$1:$1,0)+1,FALSE)</f>
        <v>Drop1N</v>
      </c>
      <c r="P7" s="16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6">
        <f ca="1">VLOOKUP($L7,OFFSET([3]enemies!$A$1,0,0,COUNTA([3]enemies!$A:$A),MATCH(Q$1,[3]enemies!$1:$1,0)-MATCH($L$1,[3]enemies!$1:$1,0)+1),MATCH(Q$1,[3]enemies!$1:$1,0)-MATCH($L$1,[3]enemies!$1:$1,0)+1,FALSE)</f>
        <v>20</v>
      </c>
      <c r="R7" s="103">
        <v>11</v>
      </c>
      <c r="S7" s="104">
        <v>1</v>
      </c>
      <c r="T7" s="105">
        <v>1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2ターン攻撃力UP</v>
      </c>
      <c r="W7" s="61">
        <v>39004007</v>
      </c>
      <c r="X7" s="6">
        <v>0</v>
      </c>
      <c r="Y7" s="6">
        <v>100</v>
      </c>
      <c r="Z7" s="6">
        <v>1</v>
      </c>
      <c r="AA7" s="16">
        <v>2</v>
      </c>
      <c r="AB7" s="23">
        <v>907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ハローキティのリボン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5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Drop2N</v>
      </c>
      <c r="AF7" s="7">
        <v>1</v>
      </c>
      <c r="AG7" s="23">
        <f t="shared" ca="1" si="4"/>
        <v>5</v>
      </c>
      <c r="AH7" s="135">
        <v>10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 x14ac:dyDescent="0.15">
      <c r="A8" s="15" t="str">
        <f t="shared" ref="A8" si="5">B8&amp;"_"&amp;C8&amp;"-"&amp;G8&amp;"/"&amp;L8&amp;"&lt;lv"&amp;R8&amp;"&gt;s"&amp;AA8</f>
        <v>39004_1-3/56&lt;lv10&gt;s2</v>
      </c>
      <c r="B8" s="21">
        <v>39004</v>
      </c>
      <c r="C8" s="20">
        <v>1</v>
      </c>
      <c r="D8" s="2" t="str">
        <f t="shared" ref="D8" si="6">B8&amp;"_"&amp;C8</f>
        <v>39004_1</v>
      </c>
      <c r="E8" s="4" t="str">
        <f ca="1">VLOOKUP($B8,OFFSET([2]quests!$A$1,0,0,COUNTA([2]quests!$A:$A),MATCH(E$1,[2]quests!$1:$1,0)-MATCH($B$1,[2]quests!$1:$1,0)+1),MATCH(E$1,[2]quests!$1:$1,0)-MATCH($B$1,[2]quests!$1:$1,0)+1,FALSE)</f>
        <v xml:space="preserve">ニムダのおきにいり♪ </v>
      </c>
      <c r="F8" s="4" t="str">
        <f ca="1">VLOOKUP($D8,OFFSET([2]stages!$A$1,0,0,COUNTA([2]stages!$A:$A),MATCH(F$1,[2]stages!$2:$2,0)-MATCH($D$1,[2]stages!$2:$2,0)+1),MATCH(F$1,[2]stages!$2:$2,0)-MATCH($D$1,[2]stages!$2:$2,0)+1,FALSE)</f>
        <v xml:space="preserve">【初級】ニムダのおきにいり♪ </v>
      </c>
      <c r="G8" s="20">
        <v>3</v>
      </c>
      <c r="H8" s="14" t="str">
        <f t="shared" ref="H8" si="7">B8&amp;"_"&amp;C8&amp;"-"&amp;G8</f>
        <v>39004_1-3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7" t="s">
        <v>224</v>
      </c>
      <c r="L8" s="20">
        <v>56</v>
      </c>
      <c r="M8" s="16" t="str">
        <f ca="1">VLOOKUP($L8,OFFSET([3]enemies!$A$1,0,0,COUNTA([3]enemies!$A:$A),MATCH(M$1,[3]enemies!$1:$1,0)-MATCH($L$1,[3]enemies!$1:$1,0)+1),MATCH(M$1,[3]enemies!$1:$1,0)-MATCH($L$1,[3]enemies!$1:$1,0)+1,FALSE)</f>
        <v>黄槌のレジスタンス マミコ</v>
      </c>
      <c r="N8" s="16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6" t="str">
        <f ca="1">VLOOKUP($L8,OFFSET([4]characters!$A$1,0,0,COUNTA([4]characters!$A:$A),MATCH(O$1,[4]characters!$1:$1,0)-MATCH($L$1,[4]characters!$1:$1,0)+1),MATCH(O$1,[4]characters!$1:$1,0)-MATCH($L$1,[4]characters!$1:$1,0)+1,FALSE)</f>
        <v>Drop1N</v>
      </c>
      <c r="P8" s="16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6">
        <f ca="1">VLOOKUP($L8,OFFSET([3]enemies!$A$1,0,0,COUNTA([3]enemies!$A:$A),MATCH(Q$1,[3]enemies!$1:$1,0)-MATCH($L$1,[3]enemies!$1:$1,0)+1),MATCH(Q$1,[3]enemies!$1:$1,0)-MATCH($L$1,[3]enemies!$1:$1,0)+1,FALSE)</f>
        <v>20</v>
      </c>
      <c r="R8" s="103">
        <v>10</v>
      </c>
      <c r="S8" s="104">
        <v>1</v>
      </c>
      <c r="T8" s="105">
        <v>1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2ターン攻撃力UP</v>
      </c>
      <c r="W8" s="61">
        <v>39004007</v>
      </c>
      <c r="X8" s="6">
        <v>0</v>
      </c>
      <c r="Y8" s="6">
        <v>100</v>
      </c>
      <c r="Z8" s="6">
        <v>1</v>
      </c>
      <c r="AA8" s="16">
        <v>2</v>
      </c>
      <c r="AB8" s="23">
        <v>908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ママの作ったアップルパイ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Drop2N</v>
      </c>
      <c r="AF8" s="7">
        <v>1</v>
      </c>
      <c r="AG8" s="23">
        <f t="shared" ref="AG8" ca="1" si="8">AD8</f>
        <v>4</v>
      </c>
      <c r="AH8" s="135">
        <v>10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  <row r="9" spans="1:40" ht="21" customHeight="1" x14ac:dyDescent="0.15">
      <c r="A9" s="15" t="str">
        <f t="shared" si="0"/>
        <v>39004_1-3/47&lt;lv10&gt;s1</v>
      </c>
      <c r="B9" s="21">
        <v>39004</v>
      </c>
      <c r="C9" s="20">
        <v>1</v>
      </c>
      <c r="D9" s="2" t="str">
        <f t="shared" si="1"/>
        <v>39004_1</v>
      </c>
      <c r="E9" s="4" t="str">
        <f ca="1">VLOOKUP($B9,OFFSET([2]quests!$A$1,0,0,COUNTA([2]quests!$A:$A),MATCH(E$1,[2]quests!$1:$1,0)-MATCH($B$1,[2]quests!$1:$1,0)+1),MATCH(E$1,[2]quests!$1:$1,0)-MATCH($B$1,[2]quests!$1:$1,0)+1,FALSE)</f>
        <v xml:space="preserve">ニムダのおきにいり♪ </v>
      </c>
      <c r="F9" s="4" t="str">
        <f ca="1">VLOOKUP($D9,OFFSET([2]stages!$A$1,0,0,COUNTA([2]stages!$A:$A),MATCH(F$1,[2]stages!$2:$2,0)-MATCH($D$1,[2]stages!$2:$2,0)+1),MATCH(F$1,[2]stages!$2:$2,0)-MATCH($D$1,[2]stages!$2:$2,0)+1,FALSE)</f>
        <v xml:space="preserve">【初級】ニムダのおきにいり♪ </v>
      </c>
      <c r="G9" s="20">
        <v>3</v>
      </c>
      <c r="H9" s="14" t="str">
        <f t="shared" si="2"/>
        <v>39004_1-3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7" t="s">
        <v>224</v>
      </c>
      <c r="L9" s="20">
        <v>47</v>
      </c>
      <c r="M9" s="16" t="str">
        <f ca="1">VLOOKUP($L9,OFFSET([3]enemies!$A$1,0,0,COUNTA([3]enemies!$A:$A),MATCH(M$1,[3]enemies!$1:$1,0)-MATCH($L$1,[3]enemies!$1:$1,0)+1),MATCH(M$1,[3]enemies!$1:$1,0)-MATCH($L$1,[3]enemies!$1:$1,0)+1,FALSE)</f>
        <v>ヒロ</v>
      </c>
      <c r="N9" s="16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6" t="str">
        <f ca="1">VLOOKUP($L9,OFFSET([4]characters!$A$1,0,0,COUNTA([4]characters!$A:$A),MATCH(O$1,[4]characters!$1:$1,0)-MATCH($L$1,[4]characters!$1:$1,0)+1),MATCH(O$1,[4]characters!$1:$1,0)-MATCH($L$1,[4]characters!$1:$1,0)+1,FALSE)</f>
        <v>Drop1N</v>
      </c>
      <c r="P9" s="16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6">
        <f ca="1">VLOOKUP($L9,OFFSET([3]enemies!$A$1,0,0,COUNTA([3]enemies!$A:$A),MATCH(Q$1,[3]enemies!$1:$1,0)-MATCH($L$1,[3]enemies!$1:$1,0)+1),MATCH(Q$1,[3]enemies!$1:$1,0)-MATCH($L$1,[3]enemies!$1:$1,0)+1,FALSE)</f>
        <v>15</v>
      </c>
      <c r="R9" s="103">
        <v>10</v>
      </c>
      <c r="S9" s="104">
        <v>1</v>
      </c>
      <c r="T9" s="105">
        <v>0.9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9" s="61">
        <v>39004006</v>
      </c>
      <c r="X9" s="6">
        <v>1</v>
      </c>
      <c r="Y9" s="6">
        <v>100</v>
      </c>
      <c r="Z9" s="6">
        <v>0</v>
      </c>
      <c r="AA9" s="16">
        <v>1</v>
      </c>
      <c r="AB9" s="23">
        <f t="shared" si="3"/>
        <v>47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ヒロ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2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Drop1N</v>
      </c>
      <c r="AF9" s="7">
        <v>1</v>
      </c>
      <c r="AG9" s="23">
        <f t="shared" ca="1" si="4"/>
        <v>2</v>
      </c>
      <c r="AH9" s="107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9">
        <v>1</v>
      </c>
    </row>
    <row r="10" spans="1:40" ht="21" customHeight="1" x14ac:dyDescent="0.15">
      <c r="A10" s="15" t="str">
        <f t="shared" si="0"/>
        <v>39004_1-4/901&lt;lv10&gt;s2</v>
      </c>
      <c r="B10" s="21">
        <v>39004</v>
      </c>
      <c r="C10" s="20">
        <v>1</v>
      </c>
      <c r="D10" s="2" t="str">
        <f t="shared" si="1"/>
        <v>39004_1</v>
      </c>
      <c r="E10" s="4" t="str">
        <f ca="1">VLOOKUP($B10,OFFSET([2]quests!$A$1,0,0,COUNTA([2]quests!$A:$A),MATCH(E$1,[2]quests!$1:$1,0)-MATCH($B$1,[2]quests!$1:$1,0)+1),MATCH(E$1,[2]quests!$1:$1,0)-MATCH($B$1,[2]quests!$1:$1,0)+1,FALSE)</f>
        <v xml:space="preserve">ニムダのおきにいり♪ </v>
      </c>
      <c r="F10" s="4" t="str">
        <f ca="1">VLOOKUP($D10,OFFSET([2]stages!$A$1,0,0,COUNTA([2]stages!$A:$A),MATCH(F$1,[2]stages!$2:$2,0)-MATCH($D$1,[2]stages!$2:$2,0)+1),MATCH(F$1,[2]stages!$2:$2,0)-MATCH($D$1,[2]stages!$2:$2,0)+1,FALSE)</f>
        <v xml:space="preserve">【初級】ニムダのおきにいり♪ </v>
      </c>
      <c r="G10" s="20">
        <v>4</v>
      </c>
      <c r="H10" s="14" t="str">
        <f t="shared" si="2"/>
        <v>39004_1-4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7">
        <v>1</v>
      </c>
      <c r="L10" s="20">
        <v>901</v>
      </c>
      <c r="M10" s="16" t="str">
        <f ca="1">VLOOKUP($L10,OFFSET([3]enemies!$A$1,0,0,COUNTA([3]enemies!$A:$A),MATCH(M$1,[3]enemies!$1:$1,0)-MATCH($L$1,[3]enemies!$1:$1,0)+1),MATCH(M$1,[3]enemies!$1:$1,0)-MATCH($L$1,[3]enemies!$1:$1,0)+1,FALSE)</f>
        <v>恩愛性ニムダ</v>
      </c>
      <c r="N10" s="16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6" t="str">
        <f ca="1">VLOOKUP($L10,OFFSET([4]characters!$A$1,0,0,COUNTA([4]characters!$A:$A),MATCH(O$1,[4]characters!$1:$1,0)-MATCH($L$1,[4]characters!$1:$1,0)+1),MATCH(O$1,[4]characters!$1:$1,0)-MATCH($L$1,[4]characters!$1:$1,0)+1,FALSE)</f>
        <v>Drop2N</v>
      </c>
      <c r="P10" s="16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6">
        <f ca="1">VLOOKUP($L10,OFFSET([3]enemies!$A$1,0,0,COUNTA([3]enemies!$A:$A),MATCH(Q$1,[3]enemies!$1:$1,0)-MATCH($L$1,[3]enemies!$1:$1,0)+1),MATCH(Q$1,[3]enemies!$1:$1,0)-MATCH($L$1,[3]enemies!$1:$1,0)+1,FALSE)</f>
        <v>30</v>
      </c>
      <c r="R10" s="103">
        <v>10</v>
      </c>
      <c r="S10" s="104">
        <v>1</v>
      </c>
      <c r="T10" s="105">
        <v>1</v>
      </c>
      <c r="U10" s="5">
        <v>0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緑パネルをハートパネルに変換</v>
      </c>
      <c r="W10" s="61">
        <v>39004009</v>
      </c>
      <c r="X10" s="6">
        <v>1</v>
      </c>
      <c r="Y10" s="6">
        <v>100</v>
      </c>
      <c r="Z10" s="6">
        <v>1</v>
      </c>
      <c r="AA10" s="16">
        <v>2</v>
      </c>
      <c r="AB10" s="23">
        <f t="shared" si="3"/>
        <v>901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恩愛性ニムダ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4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Drop2N</v>
      </c>
      <c r="AF10" s="7">
        <v>1</v>
      </c>
      <c r="AG10" s="23">
        <f t="shared" ca="1" si="4"/>
        <v>4</v>
      </c>
      <c r="AH10" s="102">
        <v>10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9">
        <v>1</v>
      </c>
    </row>
    <row r="11" spans="1:40" ht="21" customHeight="1" x14ac:dyDescent="0.15">
      <c r="A11" s="15" t="str">
        <f t="shared" si="0"/>
        <v>39004_2-1/164&lt;lv20&gt;s2</v>
      </c>
      <c r="B11" s="21">
        <v>39004</v>
      </c>
      <c r="C11" s="20">
        <v>2</v>
      </c>
      <c r="D11" s="2" t="str">
        <f t="shared" si="1"/>
        <v>39004_2</v>
      </c>
      <c r="E11" s="4" t="str">
        <f ca="1">VLOOKUP($B11,OFFSET([2]quests!$A$1,0,0,COUNTA([2]quests!$A:$A),MATCH(E$1,[2]quests!$1:$1,0)-MATCH($B$1,[2]quests!$1:$1,0)+1),MATCH(E$1,[2]quests!$1:$1,0)-MATCH($B$1,[2]quests!$1:$1,0)+1,FALSE)</f>
        <v xml:space="preserve">ニムダのおきにいり♪ </v>
      </c>
      <c r="F11" s="4" t="str">
        <f ca="1">VLOOKUP($D11,OFFSET([2]stages!$A$1,0,0,COUNTA([2]stages!$A:$A),MATCH(F$1,[2]stages!$2:$2,0)-MATCH($D$1,[2]stages!$2:$2,0)+1),MATCH(F$1,[2]stages!$2:$2,0)-MATCH($D$1,[2]stages!$2:$2,0)+1,FALSE)</f>
        <v xml:space="preserve">【中級】ニムダのおきにいり♪ </v>
      </c>
      <c r="G11" s="20">
        <v>1</v>
      </c>
      <c r="H11" s="14" t="str">
        <f t="shared" si="2"/>
        <v>39004_2-1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7" t="s">
        <v>224</v>
      </c>
      <c r="L11" s="20">
        <v>164</v>
      </c>
      <c r="M11" s="16" t="str">
        <f ca="1">VLOOKUP($L11,OFFSET([3]enemies!$A$1,0,0,COUNTA([3]enemies!$A:$A),MATCH(M$1,[3]enemies!$1:$1,0)-MATCH($L$1,[3]enemies!$1:$1,0)+1),MATCH(M$1,[3]enemies!$1:$1,0)-MATCH($L$1,[3]enemies!$1:$1,0)+1,FALSE)</f>
        <v>イブとトモダチ</v>
      </c>
      <c r="N11" s="16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6" t="str">
        <f ca="1">VLOOKUP($L11,OFFSET([4]characters!$A$1,0,0,COUNTA([4]characters!$A:$A),MATCH(O$1,[4]characters!$1:$1,0)-MATCH($L$1,[4]characters!$1:$1,0)+1),MATCH(O$1,[4]characters!$1:$1,0)-MATCH($L$1,[4]characters!$1:$1,0)+1,FALSE)</f>
        <v>PremiumW</v>
      </c>
      <c r="P11" s="16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6">
        <f ca="1">VLOOKUP($L11,OFFSET([3]enemies!$A$1,0,0,COUNTA([3]enemies!$A:$A),MATCH(Q$1,[3]enemies!$1:$1,0)-MATCH($L$1,[3]enemies!$1:$1,0)+1),MATCH(Q$1,[3]enemies!$1:$1,0)-MATCH($L$1,[3]enemies!$1:$1,0)+1,FALSE)</f>
        <v>20</v>
      </c>
      <c r="R11" s="103">
        <v>20</v>
      </c>
      <c r="S11" s="104">
        <v>1</v>
      </c>
      <c r="T11" s="105">
        <v>1</v>
      </c>
      <c r="U11" s="5">
        <v>0</v>
      </c>
      <c r="V11" s="4" t="str">
        <f ca="1">VLOOKUP($W11,OFFSET(enemy_skill_sets!$B$1,0,0,COUNTA(enemy_skill_sets!$B:$B),MATCH(M$1,enemy_skill_sets!$1:$1,0)-MATCH($W$1,enemy_skill_sets!$1:$1,0)+2),MATCH(M$1,enemy_skill_sets!$1:$1,0)-MATCH($W$1,enemy_skill_sets!$1:$1,0)+2,FALSE)</f>
        <v>一定確率で1ターンスキルが使えない！</v>
      </c>
      <c r="W11" s="61">
        <v>39004001</v>
      </c>
      <c r="X11" s="6">
        <v>1</v>
      </c>
      <c r="Y11" s="6">
        <v>100</v>
      </c>
      <c r="Z11" s="6">
        <v>1</v>
      </c>
      <c r="AA11" s="16">
        <v>2</v>
      </c>
      <c r="AB11" s="23">
        <f t="shared" si="3"/>
        <v>164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イブとトモダチ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3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1" s="7">
        <v>1</v>
      </c>
      <c r="AG11" s="23">
        <f t="shared" ca="1" si="4"/>
        <v>3</v>
      </c>
      <c r="AH11" s="107">
        <v>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9">
        <v>1</v>
      </c>
    </row>
    <row r="12" spans="1:40" ht="21" customHeight="1" x14ac:dyDescent="0.15">
      <c r="A12" s="15" t="str">
        <f t="shared" si="0"/>
        <v>39004_2-1/20&lt;lv20&gt;s2</v>
      </c>
      <c r="B12" s="21">
        <v>39004</v>
      </c>
      <c r="C12" s="20">
        <v>2</v>
      </c>
      <c r="D12" s="2" t="str">
        <f t="shared" si="1"/>
        <v>39004_2</v>
      </c>
      <c r="E12" s="4" t="str">
        <f ca="1">VLOOKUP($B12,OFFSET([2]quests!$A$1,0,0,COUNTA([2]quests!$A:$A),MATCH(E$1,[2]quests!$1:$1,0)-MATCH($B$1,[2]quests!$1:$1,0)+1),MATCH(E$1,[2]quests!$1:$1,0)-MATCH($B$1,[2]quests!$1:$1,0)+1,FALSE)</f>
        <v xml:space="preserve">ニムダのおきにいり♪ </v>
      </c>
      <c r="F12" s="4" t="str">
        <f ca="1">VLOOKUP($D12,OFFSET([2]stages!$A$1,0,0,COUNTA([2]stages!$A:$A),MATCH(F$1,[2]stages!$2:$2,0)-MATCH($D$1,[2]stages!$2:$2,0)+1),MATCH(F$1,[2]stages!$2:$2,0)-MATCH($D$1,[2]stages!$2:$2,0)+1,FALSE)</f>
        <v xml:space="preserve">【中級】ニムダのおきにいり♪ </v>
      </c>
      <c r="G12" s="20">
        <v>1</v>
      </c>
      <c r="H12" s="14" t="str">
        <f t="shared" si="2"/>
        <v>39004_2-1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7" t="s">
        <v>224</v>
      </c>
      <c r="L12" s="20">
        <v>20</v>
      </c>
      <c r="M12" s="16" t="str">
        <f ca="1">VLOOKUP($L12,OFFSET([3]enemies!$A$1,0,0,COUNTA([3]enemies!$A:$A),MATCH(M$1,[3]enemies!$1:$1,0)-MATCH($L$1,[3]enemies!$1:$1,0)+1),MATCH(M$1,[3]enemies!$1:$1,0)-MATCH($L$1,[3]enemies!$1:$1,0)+1,FALSE)</f>
        <v>電子妖精 ティンク</v>
      </c>
      <c r="N12" s="16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6" t="str">
        <f ca="1">VLOOKUP($L12,OFFSET([4]characters!$A$1,0,0,COUNTA([4]characters!$A:$A),MATCH(O$1,[4]characters!$1:$1,0)-MATCH($L$1,[4]characters!$1:$1,0)+1),MATCH(O$1,[4]characters!$1:$1,0)-MATCH($L$1,[4]characters!$1:$1,0)+1,FALSE)</f>
        <v>Drop1W</v>
      </c>
      <c r="P12" s="16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6">
        <f ca="1">VLOOKUP($L12,OFFSET([3]enemies!$A$1,0,0,COUNTA([3]enemies!$A:$A),MATCH(Q$1,[3]enemies!$1:$1,0)-MATCH($L$1,[3]enemies!$1:$1,0)+1),MATCH(Q$1,[3]enemies!$1:$1,0)-MATCH($L$1,[3]enemies!$1:$1,0)+1,FALSE)</f>
        <v>15</v>
      </c>
      <c r="R12" s="103">
        <v>20</v>
      </c>
      <c r="S12" s="104">
        <v>1</v>
      </c>
      <c r="T12" s="105">
        <v>1</v>
      </c>
      <c r="U12" s="5">
        <v>0</v>
      </c>
      <c r="V12" s="4" t="str">
        <f ca="1">VLOOKUP($W12,OFFSET(enemy_skill_sets!$B$1,0,0,COUNTA(enemy_skill_sets!$B:$B),MATCH(M$1,enemy_skill_sets!$1:$1,0)-MATCH($W$1,enemy_skill_sets!$1:$1,0)+2),MATCH(M$1,enemy_skill_sets!$1:$1,0)-MATCH($W$1,enemy_skill_sets!$1:$1,0)+2,FALSE)</f>
        <v>3ターン攻撃頻度が1ターンにUP</v>
      </c>
      <c r="W12" s="61">
        <v>39004002</v>
      </c>
      <c r="X12" s="6">
        <v>2</v>
      </c>
      <c r="Y12" s="6">
        <v>100</v>
      </c>
      <c r="Z12" s="6">
        <v>2</v>
      </c>
      <c r="AA12" s="16">
        <v>2</v>
      </c>
      <c r="AB12" s="23">
        <f t="shared" si="3"/>
        <v>20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電子妖精 ティンク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2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Drop1W</v>
      </c>
      <c r="AF12" s="7">
        <v>1</v>
      </c>
      <c r="AG12" s="23">
        <f t="shared" ca="1" si="4"/>
        <v>2</v>
      </c>
      <c r="AH12" s="107">
        <v>20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69">
        <v>1</v>
      </c>
    </row>
    <row r="13" spans="1:40" ht="21" customHeight="1" x14ac:dyDescent="0.15">
      <c r="A13" s="15" t="str">
        <f t="shared" si="0"/>
        <v>39004_2-2/83&lt;lv20&gt;s2</v>
      </c>
      <c r="B13" s="21">
        <v>39004</v>
      </c>
      <c r="C13" s="20">
        <v>2</v>
      </c>
      <c r="D13" s="2" t="str">
        <f t="shared" si="1"/>
        <v>39004_2</v>
      </c>
      <c r="E13" s="4" t="str">
        <f ca="1">VLOOKUP($B13,OFFSET([2]quests!$A$1,0,0,COUNTA([2]quests!$A:$A),MATCH(E$1,[2]quests!$1:$1,0)-MATCH($B$1,[2]quests!$1:$1,0)+1),MATCH(E$1,[2]quests!$1:$1,0)-MATCH($B$1,[2]quests!$1:$1,0)+1,FALSE)</f>
        <v xml:space="preserve">ニムダのおきにいり♪ </v>
      </c>
      <c r="F13" s="4" t="str">
        <f ca="1">VLOOKUP($D13,OFFSET([2]stages!$A$1,0,0,COUNTA([2]stages!$A:$A),MATCH(F$1,[2]stages!$2:$2,0)-MATCH($D$1,[2]stages!$2:$2,0)+1),MATCH(F$1,[2]stages!$2:$2,0)-MATCH($D$1,[2]stages!$2:$2,0)+1,FALSE)</f>
        <v xml:space="preserve">【中級】ニムダのおきにいり♪ </v>
      </c>
      <c r="G13" s="20">
        <v>2</v>
      </c>
      <c r="H13" s="14" t="str">
        <f t="shared" si="2"/>
        <v>39004_2-2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7" t="s">
        <v>224</v>
      </c>
      <c r="L13" s="20">
        <v>83</v>
      </c>
      <c r="M13" s="16" t="str">
        <f ca="1">VLOOKUP($L13,OFFSET([3]enemies!$A$1,0,0,COUNTA([3]enemies!$A:$A),MATCH(M$1,[3]enemies!$1:$1,0)-MATCH($L$1,[3]enemies!$1:$1,0)+1),MATCH(M$1,[3]enemies!$1:$1,0)-MATCH($L$1,[3]enemies!$1:$1,0)+1,FALSE)</f>
        <v>拡散性ニムダ</v>
      </c>
      <c r="N13" s="16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6" t="str">
        <f ca="1">VLOOKUP($L13,OFFSET([4]characters!$A$1,0,0,COUNTA([4]characters!$A:$A),MATCH(O$1,[4]characters!$1:$1,0)-MATCH($L$1,[4]characters!$1:$1,0)+1),MATCH(O$1,[4]characters!$1:$1,0)-MATCH($L$1,[4]characters!$1:$1,0)+1,FALSE)</f>
        <v>DropWizW</v>
      </c>
      <c r="P13" s="16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6">
        <f ca="1">VLOOKUP($L13,OFFSET([3]enemies!$A$1,0,0,COUNTA([3]enemies!$A:$A),MATCH(Q$1,[3]enemies!$1:$1,0)-MATCH($L$1,[3]enemies!$1:$1,0)+1),MATCH(Q$1,[3]enemies!$1:$1,0)-MATCH($L$1,[3]enemies!$1:$1,0)+1,FALSE)</f>
        <v>20</v>
      </c>
      <c r="R13" s="103">
        <v>20</v>
      </c>
      <c r="S13" s="104">
        <v>1</v>
      </c>
      <c r="T13" s="105">
        <v>1</v>
      </c>
      <c r="U13" s="5">
        <v>0</v>
      </c>
      <c r="V13" s="4" t="str">
        <f ca="1">VLOOKUP($W13,OFFSET(enemy_skill_sets!$B$1,0,0,COUNTA(enemy_skill_sets!$B:$B),MATCH(M$1,enemy_skill_sets!$1:$1,0)-MATCH($W$1,enemy_skill_sets!$1:$1,0)+2),MATCH(M$1,enemy_skill_sets!$1:$1,0)-MATCH($W$1,enemy_skill_sets!$1:$1,0)+2,FALSE)</f>
        <v>おねだりしている</v>
      </c>
      <c r="W13" s="61">
        <v>39004003</v>
      </c>
      <c r="X13" s="6">
        <v>1</v>
      </c>
      <c r="Y13" s="6">
        <v>100</v>
      </c>
      <c r="Z13" s="6">
        <v>1</v>
      </c>
      <c r="AA13" s="16">
        <v>2</v>
      </c>
      <c r="AB13" s="23">
        <f t="shared" si="3"/>
        <v>83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拡散性ニムダ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3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13" s="7">
        <v>1</v>
      </c>
      <c r="AG13" s="23">
        <f t="shared" ca="1" si="4"/>
        <v>3</v>
      </c>
      <c r="AH13" s="107">
        <v>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69">
        <v>1</v>
      </c>
    </row>
    <row r="14" spans="1:40" ht="21" customHeight="1" x14ac:dyDescent="0.15">
      <c r="A14" s="15" t="str">
        <f t="shared" si="0"/>
        <v>39004_2-2/387&lt;lv20&gt;s3</v>
      </c>
      <c r="B14" s="21">
        <v>39004</v>
      </c>
      <c r="C14" s="20">
        <v>2</v>
      </c>
      <c r="D14" s="2" t="str">
        <f t="shared" si="1"/>
        <v>39004_2</v>
      </c>
      <c r="E14" s="4" t="str">
        <f ca="1">VLOOKUP($B14,OFFSET([2]quests!$A$1,0,0,COUNTA([2]quests!$A:$A),MATCH(E$1,[2]quests!$1:$1,0)-MATCH($B$1,[2]quests!$1:$1,0)+1),MATCH(E$1,[2]quests!$1:$1,0)-MATCH($B$1,[2]quests!$1:$1,0)+1,FALSE)</f>
        <v xml:space="preserve">ニムダのおきにいり♪ </v>
      </c>
      <c r="F14" s="4" t="str">
        <f ca="1">VLOOKUP($D14,OFFSET([2]stages!$A$1,0,0,COUNTA([2]stages!$A:$A),MATCH(F$1,[2]stages!$2:$2,0)-MATCH($D$1,[2]stages!$2:$2,0)+1),MATCH(F$1,[2]stages!$2:$2,0)-MATCH($D$1,[2]stages!$2:$2,0)+1,FALSE)</f>
        <v xml:space="preserve">【中級】ニムダのおきにいり♪ </v>
      </c>
      <c r="G14" s="20">
        <v>2</v>
      </c>
      <c r="H14" s="14" t="str">
        <f t="shared" si="2"/>
        <v>39004_2-2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7" t="s">
        <v>224</v>
      </c>
      <c r="L14" s="20">
        <v>387</v>
      </c>
      <c r="M14" s="16" t="str">
        <f ca="1">VLOOKUP($L14,OFFSET([3]enemies!$A$1,0,0,COUNTA([3]enemies!$A:$A),MATCH(M$1,[3]enemies!$1:$1,0)-MATCH($L$1,[3]enemies!$1:$1,0)+1),MATCH(M$1,[3]enemies!$1:$1,0)-MATCH($L$1,[3]enemies!$1:$1,0)+1,FALSE)</f>
        <v>スフィンクス</v>
      </c>
      <c r="N14" s="16" t="str">
        <f ca="1">VLOOKUP($L14,OFFSET([3]enemies!$A$1,0,0,COUNTA([3]enemies!$A:$A),MATCH(N$1,[3]enemies!$1:$1,0)-MATCH($L$1,[3]enemies!$1:$1,0)+1),MATCH(N$1,[3]enemies!$1:$1,0)-MATCH($L$1,[3]enemies!$1:$1,0)+1,FALSE)</f>
        <v>yellow</v>
      </c>
      <c r="O14" s="16" t="str">
        <f ca="1">VLOOKUP($L14,OFFSET([4]characters!$A$1,0,0,COUNTA([4]characters!$A:$A),MATCH(O$1,[4]characters!$1:$1,0)-MATCH($L$1,[4]characters!$1:$1,0)+1),MATCH(O$1,[4]characters!$1:$1,0)-MATCH($L$1,[4]characters!$1:$1,0)+1,FALSE)</f>
        <v>PremiumS</v>
      </c>
      <c r="P14" s="16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6">
        <f ca="1">VLOOKUP($L14,OFFSET([3]enemies!$A$1,0,0,COUNTA([3]enemies!$A:$A),MATCH(Q$1,[3]enemies!$1:$1,0)-MATCH($L$1,[3]enemies!$1:$1,0)+1),MATCH(Q$1,[3]enemies!$1:$1,0)-MATCH($L$1,[3]enemies!$1:$1,0)+1,FALSE)</f>
        <v>25</v>
      </c>
      <c r="R14" s="103">
        <v>20</v>
      </c>
      <c r="S14" s="104">
        <v>1</v>
      </c>
      <c r="T14" s="105">
        <v>1</v>
      </c>
      <c r="U14" s="5">
        <v>0</v>
      </c>
      <c r="V14" s="4" t="str">
        <f ca="1">VLOOKUP($W14,OFFSET(enemy_skill_sets!$B$1,0,0,COUNTA(enemy_skill_sets!$B:$B),MATCH(M$1,enemy_skill_sets!$1:$1,0)-MATCH($W$1,enemy_skill_sets!$1:$1,0)+2),MATCH(M$1,enemy_skill_sets!$1:$1,0)-MATCH($W$1,enemy_skill_sets!$1:$1,0)+2,FALSE)</f>
        <v>2ターン防御力UP</v>
      </c>
      <c r="W14" s="61">
        <v>39004004</v>
      </c>
      <c r="X14" s="6">
        <v>1</v>
      </c>
      <c r="Y14" s="6">
        <v>100</v>
      </c>
      <c r="Z14" s="6">
        <v>2</v>
      </c>
      <c r="AA14" s="16">
        <v>3</v>
      </c>
      <c r="AB14" s="23">
        <f t="shared" si="3"/>
        <v>387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スフィンクス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3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4" s="7">
        <v>1</v>
      </c>
      <c r="AG14" s="23">
        <f t="shared" ca="1" si="4"/>
        <v>3</v>
      </c>
      <c r="AH14" s="107">
        <v>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69">
        <v>1</v>
      </c>
    </row>
    <row r="15" spans="1:40" ht="21" customHeight="1" x14ac:dyDescent="0.15">
      <c r="A15" s="15" t="str">
        <f t="shared" si="0"/>
        <v>39004_2-3/63&lt;lv20&gt;s1</v>
      </c>
      <c r="B15" s="21">
        <v>39004</v>
      </c>
      <c r="C15" s="20">
        <v>2</v>
      </c>
      <c r="D15" s="2" t="str">
        <f t="shared" si="1"/>
        <v>39004_2</v>
      </c>
      <c r="E15" s="4" t="str">
        <f ca="1">VLOOKUP($B15,OFFSET([2]quests!$A$1,0,0,COUNTA([2]quests!$A:$A),MATCH(E$1,[2]quests!$1:$1,0)-MATCH($B$1,[2]quests!$1:$1,0)+1),MATCH(E$1,[2]quests!$1:$1,0)-MATCH($B$1,[2]quests!$1:$1,0)+1,FALSE)</f>
        <v xml:space="preserve">ニムダのおきにいり♪ </v>
      </c>
      <c r="F15" s="4" t="str">
        <f ca="1">VLOOKUP($D15,OFFSET([2]stages!$A$1,0,0,COUNTA([2]stages!$A:$A),MATCH(F$1,[2]stages!$2:$2,0)-MATCH($D$1,[2]stages!$2:$2,0)+1),MATCH(F$1,[2]stages!$2:$2,0)-MATCH($D$1,[2]stages!$2:$2,0)+1,FALSE)</f>
        <v xml:space="preserve">【中級】ニムダのおきにいり♪ </v>
      </c>
      <c r="G15" s="20">
        <v>3</v>
      </c>
      <c r="H15" s="14" t="str">
        <f t="shared" si="2"/>
        <v>39004_2-3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7" t="s">
        <v>224</v>
      </c>
      <c r="L15" s="20">
        <v>63</v>
      </c>
      <c r="M15" s="16" t="str">
        <f ca="1">VLOOKUP($L15,OFFSET([3]enemies!$A$1,0,0,COUNTA([3]enemies!$A:$A),MATCH(M$1,[3]enemies!$1:$1,0)-MATCH($L$1,[3]enemies!$1:$1,0)+1),MATCH(M$1,[3]enemies!$1:$1,0)-MATCH($L$1,[3]enemies!$1:$1,0)+1,FALSE)</f>
        <v>トニー</v>
      </c>
      <c r="N15" s="16" t="str">
        <f ca="1">VLOOKUP($L15,OFFSET([3]enemies!$A$1,0,0,COUNTA([3]enemies!$A:$A),MATCH(N$1,[3]enemies!$1:$1,0)-MATCH($L$1,[3]enemies!$1:$1,0)+1),MATCH(N$1,[3]enemies!$1:$1,0)-MATCH($L$1,[3]enemies!$1:$1,0)+1,FALSE)</f>
        <v>yellow</v>
      </c>
      <c r="O15" s="16" t="str">
        <f ca="1">VLOOKUP($L15,OFFSET([4]characters!$A$1,0,0,COUNTA([4]characters!$A:$A),MATCH(O$1,[4]characters!$1:$1,0)-MATCH($L$1,[4]characters!$1:$1,0)+1),MATCH(O$1,[4]characters!$1:$1,0)-MATCH($L$1,[4]characters!$1:$1,0)+1,FALSE)</f>
        <v>Drop1N</v>
      </c>
      <c r="P15" s="16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6">
        <f ca="1">VLOOKUP($L15,OFFSET([3]enemies!$A$1,0,0,COUNTA([3]enemies!$A:$A),MATCH(Q$1,[3]enemies!$1:$1,0)-MATCH($L$1,[3]enemies!$1:$1,0)+1),MATCH(Q$1,[3]enemies!$1:$1,0)-MATCH($L$1,[3]enemies!$1:$1,0)+1,FALSE)</f>
        <v>15</v>
      </c>
      <c r="R15" s="103">
        <v>20</v>
      </c>
      <c r="S15" s="104">
        <v>1</v>
      </c>
      <c r="T15" s="105">
        <v>0.9</v>
      </c>
      <c r="U15" s="5">
        <v>0</v>
      </c>
      <c r="V15" s="4" t="str">
        <f ca="1">VLOOKUP($W15,OFFSET(enemy_skill_sets!$B$1,0,0,COUNTA(enemy_skill_sets!$B:$B),MATCH(M$1,enemy_skill_sets!$1:$1,0)-MATCH($W$1,enemy_skill_sets!$1:$1,0)+2),MATCH(M$1,enemy_skill_sets!$1:$1,0)-MATCH($W$1,enemy_skill_sets!$1:$1,0)+2,FALSE)</f>
        <v>2回連続攻撃</v>
      </c>
      <c r="W15" s="61">
        <v>39004005</v>
      </c>
      <c r="X15" s="6">
        <v>1</v>
      </c>
      <c r="Y15" s="6">
        <v>100</v>
      </c>
      <c r="Z15" s="6">
        <v>2</v>
      </c>
      <c r="AA15" s="16">
        <v>1</v>
      </c>
      <c r="AB15" s="23">
        <f t="shared" si="3"/>
        <v>63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トニー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2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Drop1N</v>
      </c>
      <c r="AF15" s="7">
        <v>1</v>
      </c>
      <c r="AG15" s="23">
        <f t="shared" ca="1" si="4"/>
        <v>2</v>
      </c>
      <c r="AH15" s="107">
        <v>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69">
        <v>1</v>
      </c>
    </row>
    <row r="16" spans="1:40" ht="21" customHeight="1" x14ac:dyDescent="0.15">
      <c r="A16" s="15" t="str">
        <f t="shared" si="0"/>
        <v>39004_2-3/56&lt;lv21&gt;s2</v>
      </c>
      <c r="B16" s="21">
        <v>39004</v>
      </c>
      <c r="C16" s="20">
        <v>2</v>
      </c>
      <c r="D16" s="2" t="str">
        <f t="shared" si="1"/>
        <v>39004_2</v>
      </c>
      <c r="E16" s="4" t="str">
        <f ca="1">VLOOKUP($B16,OFFSET([2]quests!$A$1,0,0,COUNTA([2]quests!$A:$A),MATCH(E$1,[2]quests!$1:$1,0)-MATCH($B$1,[2]quests!$1:$1,0)+1),MATCH(E$1,[2]quests!$1:$1,0)-MATCH($B$1,[2]quests!$1:$1,0)+1,FALSE)</f>
        <v xml:space="preserve">ニムダのおきにいり♪ </v>
      </c>
      <c r="F16" s="4" t="str">
        <f ca="1">VLOOKUP($D16,OFFSET([2]stages!$A$1,0,0,COUNTA([2]stages!$A:$A),MATCH(F$1,[2]stages!$2:$2,0)-MATCH($D$1,[2]stages!$2:$2,0)+1),MATCH(F$1,[2]stages!$2:$2,0)-MATCH($D$1,[2]stages!$2:$2,0)+1,FALSE)</f>
        <v xml:space="preserve">【中級】ニムダのおきにいり♪ </v>
      </c>
      <c r="G16" s="20">
        <v>3</v>
      </c>
      <c r="H16" s="14" t="str">
        <f t="shared" si="2"/>
        <v>39004_2-3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7" t="s">
        <v>224</v>
      </c>
      <c r="L16" s="20">
        <v>56</v>
      </c>
      <c r="M16" s="16" t="str">
        <f ca="1">VLOOKUP($L16,OFFSET([3]enemies!$A$1,0,0,COUNTA([3]enemies!$A:$A),MATCH(M$1,[3]enemies!$1:$1,0)-MATCH($L$1,[3]enemies!$1:$1,0)+1),MATCH(M$1,[3]enemies!$1:$1,0)-MATCH($L$1,[3]enemies!$1:$1,0)+1,FALSE)</f>
        <v>黄槌のレジスタンス マミコ</v>
      </c>
      <c r="N16" s="16" t="str">
        <f ca="1">VLOOKUP($L16,OFFSET([3]enemies!$A$1,0,0,COUNTA([3]enemies!$A:$A),MATCH(N$1,[3]enemies!$1:$1,0)-MATCH($L$1,[3]enemies!$1:$1,0)+1),MATCH(N$1,[3]enemies!$1:$1,0)-MATCH($L$1,[3]enemies!$1:$1,0)+1,FALSE)</f>
        <v>yellow</v>
      </c>
      <c r="O16" s="16" t="str">
        <f ca="1">VLOOKUP($L16,OFFSET([4]characters!$A$1,0,0,COUNTA([4]characters!$A:$A),MATCH(O$1,[4]characters!$1:$1,0)-MATCH($L$1,[4]characters!$1:$1,0)+1),MATCH(O$1,[4]characters!$1:$1,0)-MATCH($L$1,[4]characters!$1:$1,0)+1,FALSE)</f>
        <v>Drop1N</v>
      </c>
      <c r="P16" s="16" t="str">
        <f ca="1">VLOOKUP($L16,OFFSET([3]enemies!$A$1,0,0,COUNTA([3]enemies!$A:$A),MATCH(P$1,[3]enemies!$1:$1,0)-MATCH($L$1,[3]enemies!$1:$1,0)+1),MATCH(P$1,[3]enemies!$1:$1,0)-MATCH($L$1,[3]enemies!$1:$1,0)+1,FALSE)</f>
        <v>human</v>
      </c>
      <c r="Q16" s="16">
        <f ca="1">VLOOKUP($L16,OFFSET([3]enemies!$A$1,0,0,COUNTA([3]enemies!$A:$A),MATCH(Q$1,[3]enemies!$1:$1,0)-MATCH($L$1,[3]enemies!$1:$1,0)+1),MATCH(Q$1,[3]enemies!$1:$1,0)-MATCH($L$1,[3]enemies!$1:$1,0)+1,FALSE)</f>
        <v>20</v>
      </c>
      <c r="R16" s="103">
        <v>21</v>
      </c>
      <c r="S16" s="104">
        <v>1</v>
      </c>
      <c r="T16" s="105">
        <v>1</v>
      </c>
      <c r="U16" s="5">
        <v>0</v>
      </c>
      <c r="V16" s="4" t="str">
        <f ca="1">VLOOKUP($W16,OFFSET(enemy_skill_sets!$B$1,0,0,COUNTA(enemy_skill_sets!$B:$B),MATCH(M$1,enemy_skill_sets!$1:$1,0)-MATCH($W$1,enemy_skill_sets!$1:$1,0)+2),MATCH(M$1,enemy_skill_sets!$1:$1,0)-MATCH($W$1,enemy_skill_sets!$1:$1,0)+2,FALSE)</f>
        <v>2ターン攻撃力UP</v>
      </c>
      <c r="W16" s="61">
        <v>39004008</v>
      </c>
      <c r="X16" s="6">
        <v>0</v>
      </c>
      <c r="Y16" s="6">
        <v>100</v>
      </c>
      <c r="Z16" s="6">
        <v>1</v>
      </c>
      <c r="AA16" s="16">
        <v>2</v>
      </c>
      <c r="AB16" s="23">
        <v>907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ハローキティのリボン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5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Drop2N</v>
      </c>
      <c r="AF16" s="7">
        <v>1</v>
      </c>
      <c r="AG16" s="23">
        <f t="shared" ca="1" si="4"/>
        <v>5</v>
      </c>
      <c r="AH16" s="135">
        <v>20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69">
        <v>1</v>
      </c>
    </row>
    <row r="17" spans="1:40" ht="21" customHeight="1" x14ac:dyDescent="0.15">
      <c r="A17" s="15" t="str">
        <f t="shared" ref="A17" si="9">B17&amp;"_"&amp;C17&amp;"-"&amp;G17&amp;"/"&amp;L17&amp;"&lt;lv"&amp;R17&amp;"&gt;s"&amp;AA17</f>
        <v>39004_2-3/56&lt;lv20&gt;s2</v>
      </c>
      <c r="B17" s="21">
        <v>39004</v>
      </c>
      <c r="C17" s="20">
        <v>2</v>
      </c>
      <c r="D17" s="2" t="str">
        <f t="shared" ref="D17" si="10">B17&amp;"_"&amp;C17</f>
        <v>39004_2</v>
      </c>
      <c r="E17" s="4" t="str">
        <f ca="1">VLOOKUP($B17,OFFSET([2]quests!$A$1,0,0,COUNTA([2]quests!$A:$A),MATCH(E$1,[2]quests!$1:$1,0)-MATCH($B$1,[2]quests!$1:$1,0)+1),MATCH(E$1,[2]quests!$1:$1,0)-MATCH($B$1,[2]quests!$1:$1,0)+1,FALSE)</f>
        <v xml:space="preserve">ニムダのおきにいり♪ </v>
      </c>
      <c r="F17" s="4" t="str">
        <f ca="1">VLOOKUP($D17,OFFSET([2]stages!$A$1,0,0,COUNTA([2]stages!$A:$A),MATCH(F$1,[2]stages!$2:$2,0)-MATCH($D$1,[2]stages!$2:$2,0)+1),MATCH(F$1,[2]stages!$2:$2,0)-MATCH($D$1,[2]stages!$2:$2,0)+1,FALSE)</f>
        <v xml:space="preserve">【中級】ニムダのおきにいり♪ </v>
      </c>
      <c r="G17" s="20">
        <v>3</v>
      </c>
      <c r="H17" s="14" t="str">
        <f t="shared" ref="H17" si="11">B17&amp;"_"&amp;C17&amp;"-"&amp;G17</f>
        <v>39004_2-3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7" t="s">
        <v>224</v>
      </c>
      <c r="L17" s="20">
        <v>56</v>
      </c>
      <c r="M17" s="16" t="str">
        <f ca="1">VLOOKUP($L17,OFFSET([3]enemies!$A$1,0,0,COUNTA([3]enemies!$A:$A),MATCH(M$1,[3]enemies!$1:$1,0)-MATCH($L$1,[3]enemies!$1:$1,0)+1),MATCH(M$1,[3]enemies!$1:$1,0)-MATCH($L$1,[3]enemies!$1:$1,0)+1,FALSE)</f>
        <v>黄槌のレジスタンス マミコ</v>
      </c>
      <c r="N17" s="16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6" t="str">
        <f ca="1">VLOOKUP($L17,OFFSET([4]characters!$A$1,0,0,COUNTA([4]characters!$A:$A),MATCH(O$1,[4]characters!$1:$1,0)-MATCH($L$1,[4]characters!$1:$1,0)+1),MATCH(O$1,[4]characters!$1:$1,0)-MATCH($L$1,[4]characters!$1:$1,0)+1,FALSE)</f>
        <v>Drop1N</v>
      </c>
      <c r="P17" s="16" t="str">
        <f ca="1">VLOOKUP($L17,OFFSET([3]enemies!$A$1,0,0,COUNTA([3]enemies!$A:$A),MATCH(P$1,[3]enemies!$1:$1,0)-MATCH($L$1,[3]enemies!$1:$1,0)+1),MATCH(P$1,[3]enemies!$1:$1,0)-MATCH($L$1,[3]enemies!$1:$1,0)+1,FALSE)</f>
        <v>human</v>
      </c>
      <c r="Q17" s="16">
        <f ca="1">VLOOKUP($L17,OFFSET([3]enemies!$A$1,0,0,COUNTA([3]enemies!$A:$A),MATCH(Q$1,[3]enemies!$1:$1,0)-MATCH($L$1,[3]enemies!$1:$1,0)+1),MATCH(Q$1,[3]enemies!$1:$1,0)-MATCH($L$1,[3]enemies!$1:$1,0)+1,FALSE)</f>
        <v>20</v>
      </c>
      <c r="R17" s="103">
        <v>20</v>
      </c>
      <c r="S17" s="104">
        <v>1</v>
      </c>
      <c r="T17" s="105">
        <v>1</v>
      </c>
      <c r="U17" s="5">
        <v>0</v>
      </c>
      <c r="V17" s="4" t="str">
        <f ca="1">VLOOKUP($W17,OFFSET(enemy_skill_sets!$B$1,0,0,COUNTA(enemy_skill_sets!$B:$B),MATCH(M$1,enemy_skill_sets!$1:$1,0)-MATCH($W$1,enemy_skill_sets!$1:$1,0)+2),MATCH(M$1,enemy_skill_sets!$1:$1,0)-MATCH($W$1,enemy_skill_sets!$1:$1,0)+2,FALSE)</f>
        <v>2ターン攻撃力UP</v>
      </c>
      <c r="W17" s="61">
        <v>39004008</v>
      </c>
      <c r="X17" s="6">
        <v>0</v>
      </c>
      <c r="Y17" s="6">
        <v>100</v>
      </c>
      <c r="Z17" s="6">
        <v>1</v>
      </c>
      <c r="AA17" s="16">
        <v>2</v>
      </c>
      <c r="AB17" s="23">
        <v>908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ママの作ったアップルパイ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4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Drop2N</v>
      </c>
      <c r="AF17" s="7">
        <v>1</v>
      </c>
      <c r="AG17" s="23">
        <f t="shared" ref="AG17" ca="1" si="12">AD17</f>
        <v>4</v>
      </c>
      <c r="AH17" s="135">
        <v>20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69">
        <v>1</v>
      </c>
    </row>
    <row r="18" spans="1:40" ht="21" customHeight="1" x14ac:dyDescent="0.15">
      <c r="A18" s="15" t="str">
        <f t="shared" si="0"/>
        <v>39004_2-3/47&lt;lv20&gt;s1</v>
      </c>
      <c r="B18" s="21">
        <v>39004</v>
      </c>
      <c r="C18" s="20">
        <v>2</v>
      </c>
      <c r="D18" s="2" t="str">
        <f t="shared" si="1"/>
        <v>39004_2</v>
      </c>
      <c r="E18" s="4" t="str">
        <f ca="1">VLOOKUP($B18,OFFSET([2]quests!$A$1,0,0,COUNTA([2]quests!$A:$A),MATCH(E$1,[2]quests!$1:$1,0)-MATCH($B$1,[2]quests!$1:$1,0)+1),MATCH(E$1,[2]quests!$1:$1,0)-MATCH($B$1,[2]quests!$1:$1,0)+1,FALSE)</f>
        <v xml:space="preserve">ニムダのおきにいり♪ </v>
      </c>
      <c r="F18" s="4" t="str">
        <f ca="1">VLOOKUP($D18,OFFSET([2]stages!$A$1,0,0,COUNTA([2]stages!$A:$A),MATCH(F$1,[2]stages!$2:$2,0)-MATCH($D$1,[2]stages!$2:$2,0)+1),MATCH(F$1,[2]stages!$2:$2,0)-MATCH($D$1,[2]stages!$2:$2,0)+1,FALSE)</f>
        <v xml:space="preserve">【中級】ニムダのおきにいり♪ </v>
      </c>
      <c r="G18" s="20">
        <v>3</v>
      </c>
      <c r="H18" s="14" t="str">
        <f t="shared" si="2"/>
        <v>39004_2-3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7" t="s">
        <v>224</v>
      </c>
      <c r="L18" s="20">
        <v>47</v>
      </c>
      <c r="M18" s="16" t="str">
        <f ca="1">VLOOKUP($L18,OFFSET([3]enemies!$A$1,0,0,COUNTA([3]enemies!$A:$A),MATCH(M$1,[3]enemies!$1:$1,0)-MATCH($L$1,[3]enemies!$1:$1,0)+1),MATCH(M$1,[3]enemies!$1:$1,0)-MATCH($L$1,[3]enemies!$1:$1,0)+1,FALSE)</f>
        <v>ヒロ</v>
      </c>
      <c r="N18" s="16" t="str">
        <f ca="1">VLOOKUP($L18,OFFSET([3]enemies!$A$1,0,0,COUNTA([3]enemies!$A:$A),MATCH(N$1,[3]enemies!$1:$1,0)-MATCH($L$1,[3]enemies!$1:$1,0)+1),MATCH(N$1,[3]enemies!$1:$1,0)-MATCH($L$1,[3]enemies!$1:$1,0)+1,FALSE)</f>
        <v>yellow</v>
      </c>
      <c r="O18" s="16" t="str">
        <f ca="1">VLOOKUP($L18,OFFSET([4]characters!$A$1,0,0,COUNTA([4]characters!$A:$A),MATCH(O$1,[4]characters!$1:$1,0)-MATCH($L$1,[4]characters!$1:$1,0)+1),MATCH(O$1,[4]characters!$1:$1,0)-MATCH($L$1,[4]characters!$1:$1,0)+1,FALSE)</f>
        <v>Drop1N</v>
      </c>
      <c r="P18" s="16" t="str">
        <f ca="1">VLOOKUP($L18,OFFSET([3]enemies!$A$1,0,0,COUNTA([3]enemies!$A:$A),MATCH(P$1,[3]enemies!$1:$1,0)-MATCH($L$1,[3]enemies!$1:$1,0)+1),MATCH(P$1,[3]enemies!$1:$1,0)-MATCH($L$1,[3]enemies!$1:$1,0)+1,FALSE)</f>
        <v>animal</v>
      </c>
      <c r="Q18" s="16">
        <f ca="1">VLOOKUP($L18,OFFSET([3]enemies!$A$1,0,0,COUNTA([3]enemies!$A:$A),MATCH(Q$1,[3]enemies!$1:$1,0)-MATCH($L$1,[3]enemies!$1:$1,0)+1),MATCH(Q$1,[3]enemies!$1:$1,0)-MATCH($L$1,[3]enemies!$1:$1,0)+1,FALSE)</f>
        <v>15</v>
      </c>
      <c r="R18" s="103">
        <v>20</v>
      </c>
      <c r="S18" s="104">
        <v>1</v>
      </c>
      <c r="T18" s="105">
        <v>0.9</v>
      </c>
      <c r="U18" s="5">
        <v>0</v>
      </c>
      <c r="V18" s="4" t="str">
        <f ca="1">VLOOKUP($W18,OFFSET(enemy_skill_sets!$B$1,0,0,COUNTA(enemy_skill_sets!$B:$B),MATCH(M$1,enemy_skill_sets!$1:$1,0)-MATCH($W$1,enemy_skill_sets!$1:$1,0)+2),MATCH(M$1,enemy_skill_sets!$1:$1,0)-MATCH($W$1,enemy_skill_sets!$1:$1,0)+2,FALSE)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18" s="61">
        <v>39004006</v>
      </c>
      <c r="X18" s="6">
        <v>1</v>
      </c>
      <c r="Y18" s="6">
        <v>100</v>
      </c>
      <c r="Z18" s="6">
        <v>0</v>
      </c>
      <c r="AA18" s="16">
        <v>1</v>
      </c>
      <c r="AB18" s="23">
        <f t="shared" si="3"/>
        <v>47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ヒロ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2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Drop1N</v>
      </c>
      <c r="AF18" s="7">
        <v>1</v>
      </c>
      <c r="AG18" s="23">
        <f t="shared" ca="1" si="4"/>
        <v>2</v>
      </c>
      <c r="AH18" s="107">
        <v>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69">
        <v>1</v>
      </c>
    </row>
    <row r="19" spans="1:40" ht="21" customHeight="1" x14ac:dyDescent="0.15">
      <c r="A19" s="15" t="str">
        <f t="shared" si="0"/>
        <v>39004_2-4/901&lt;lv20&gt;s2</v>
      </c>
      <c r="B19" s="21">
        <v>39004</v>
      </c>
      <c r="C19" s="20">
        <v>2</v>
      </c>
      <c r="D19" s="2" t="str">
        <f t="shared" si="1"/>
        <v>39004_2</v>
      </c>
      <c r="E19" s="4" t="str">
        <f ca="1">VLOOKUP($B19,OFFSET([2]quests!$A$1,0,0,COUNTA([2]quests!$A:$A),MATCH(E$1,[2]quests!$1:$1,0)-MATCH($B$1,[2]quests!$1:$1,0)+1),MATCH(E$1,[2]quests!$1:$1,0)-MATCH($B$1,[2]quests!$1:$1,0)+1,FALSE)</f>
        <v xml:space="preserve">ニムダのおきにいり♪ </v>
      </c>
      <c r="F19" s="4" t="str">
        <f ca="1">VLOOKUP($D19,OFFSET([2]stages!$A$1,0,0,COUNTA([2]stages!$A:$A),MATCH(F$1,[2]stages!$2:$2,0)-MATCH($D$1,[2]stages!$2:$2,0)+1),MATCH(F$1,[2]stages!$2:$2,0)-MATCH($D$1,[2]stages!$2:$2,0)+1,FALSE)</f>
        <v xml:space="preserve">【中級】ニムダのおきにいり♪ </v>
      </c>
      <c r="G19" s="20">
        <v>4</v>
      </c>
      <c r="H19" s="14" t="str">
        <f t="shared" si="2"/>
        <v>39004_2-4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7">
        <v>2</v>
      </c>
      <c r="L19" s="20">
        <v>901</v>
      </c>
      <c r="M19" s="16" t="str">
        <f ca="1">VLOOKUP($L19,OFFSET([3]enemies!$A$1,0,0,COUNTA([3]enemies!$A:$A),MATCH(M$1,[3]enemies!$1:$1,0)-MATCH($L$1,[3]enemies!$1:$1,0)+1),MATCH(M$1,[3]enemies!$1:$1,0)-MATCH($L$1,[3]enemies!$1:$1,0)+1,FALSE)</f>
        <v>恩愛性ニムダ</v>
      </c>
      <c r="N19" s="16" t="str">
        <f ca="1">VLOOKUP($L19,OFFSET([3]enemies!$A$1,0,0,COUNTA([3]enemies!$A:$A),MATCH(N$1,[3]enemies!$1:$1,0)-MATCH($L$1,[3]enemies!$1:$1,0)+1),MATCH(N$1,[3]enemies!$1:$1,0)-MATCH($L$1,[3]enemies!$1:$1,0)+1,FALSE)</f>
        <v>yellow</v>
      </c>
      <c r="O19" s="16" t="str">
        <f ca="1">VLOOKUP($L19,OFFSET([4]characters!$A$1,0,0,COUNTA([4]characters!$A:$A),MATCH(O$1,[4]characters!$1:$1,0)-MATCH($L$1,[4]characters!$1:$1,0)+1),MATCH(O$1,[4]characters!$1:$1,0)-MATCH($L$1,[4]characters!$1:$1,0)+1,FALSE)</f>
        <v>Drop2N</v>
      </c>
      <c r="P19" s="16" t="str">
        <f ca="1">VLOOKUP($L19,OFFSET([3]enemies!$A$1,0,0,COUNTA([3]enemies!$A:$A),MATCH(P$1,[3]enemies!$1:$1,0)-MATCH($L$1,[3]enemies!$1:$1,0)+1),MATCH(P$1,[3]enemies!$1:$1,0)-MATCH($L$1,[3]enemies!$1:$1,0)+1,FALSE)</f>
        <v>unknown</v>
      </c>
      <c r="Q19" s="16">
        <f ca="1">VLOOKUP($L19,OFFSET([3]enemies!$A$1,0,0,COUNTA([3]enemies!$A:$A),MATCH(Q$1,[3]enemies!$1:$1,0)-MATCH($L$1,[3]enemies!$1:$1,0)+1),MATCH(Q$1,[3]enemies!$1:$1,0)-MATCH($L$1,[3]enemies!$1:$1,0)+1,FALSE)</f>
        <v>30</v>
      </c>
      <c r="R19" s="103">
        <v>20</v>
      </c>
      <c r="S19" s="104">
        <v>1</v>
      </c>
      <c r="T19" s="105">
        <v>1</v>
      </c>
      <c r="U19" s="5">
        <v>0</v>
      </c>
      <c r="V19" s="4" t="str">
        <f ca="1">VLOOKUP($W19,OFFSET(enemy_skill_sets!$B$1,0,0,COUNTA(enemy_skill_sets!$B:$B),MATCH(M$1,enemy_skill_sets!$1:$1,0)-MATCH($W$1,enemy_skill_sets!$1:$1,0)+2),MATCH(M$1,enemy_skill_sets!$1:$1,0)-MATCH($W$1,enemy_skill_sets!$1:$1,0)+2,FALSE)</f>
        <v>緑パネルをハートパネルに変換</v>
      </c>
      <c r="W19" s="61">
        <v>39004009</v>
      </c>
      <c r="X19" s="6">
        <v>1</v>
      </c>
      <c r="Y19" s="6">
        <v>100</v>
      </c>
      <c r="Z19" s="6">
        <v>1</v>
      </c>
      <c r="AA19" s="16">
        <v>2</v>
      </c>
      <c r="AB19" s="23">
        <f t="shared" si="3"/>
        <v>901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恩愛性ニムダ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4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Drop2N</v>
      </c>
      <c r="AF19" s="7">
        <v>1</v>
      </c>
      <c r="AG19" s="23">
        <f t="shared" ca="1" si="4"/>
        <v>4</v>
      </c>
      <c r="AH19" s="102">
        <v>20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69">
        <v>1</v>
      </c>
    </row>
    <row r="20" spans="1:40" ht="21" customHeight="1" x14ac:dyDescent="0.15">
      <c r="A20" s="15" t="str">
        <f t="shared" ref="A20:A37" si="13">B20&amp;"_"&amp;C20&amp;"-"&amp;G20&amp;"/"&amp;L20&amp;"&lt;lv"&amp;R20&amp;"&gt;s"&amp;AA20</f>
        <v>39004_3-1/164&lt;lv30&gt;s2</v>
      </c>
      <c r="B20" s="21">
        <v>39004</v>
      </c>
      <c r="C20" s="20">
        <v>3</v>
      </c>
      <c r="D20" s="2" t="str">
        <f t="shared" ref="D20:D37" si="14">B20&amp;"_"&amp;C20</f>
        <v>39004_3</v>
      </c>
      <c r="E20" s="4" t="str">
        <f ca="1">VLOOKUP($B20,OFFSET([2]quests!$A$1,0,0,COUNTA([2]quests!$A:$A),MATCH(E$1,[2]quests!$1:$1,0)-MATCH($B$1,[2]quests!$1:$1,0)+1),MATCH(E$1,[2]quests!$1:$1,0)-MATCH($B$1,[2]quests!$1:$1,0)+1,FALSE)</f>
        <v xml:space="preserve">ニムダのおきにいり♪ </v>
      </c>
      <c r="F20" s="4" t="str">
        <f ca="1">VLOOKUP($D20,OFFSET([2]stages!$A$1,0,0,COUNTA([2]stages!$A:$A),MATCH(F$1,[2]stages!$2:$2,0)-MATCH($D$1,[2]stages!$2:$2,0)+1),MATCH(F$1,[2]stages!$2:$2,0)-MATCH($D$1,[2]stages!$2:$2,0)+1,FALSE)</f>
        <v xml:space="preserve">【上級】ニムダのおきにいり♪ </v>
      </c>
      <c r="G20" s="20">
        <v>1</v>
      </c>
      <c r="H20" s="14" t="str">
        <f t="shared" ref="H20:H37" si="15">B20&amp;"_"&amp;C20&amp;"-"&amp;G20</f>
        <v>39004_3-1</v>
      </c>
      <c r="I20" s="4">
        <f ca="1">VLOOKUP($H20,OFFSET(floors!$A$1,0,0,COUNTA(floors!$A:$A),MATCH(I$1,floors!$1:$1,0)-MATCH($H$1,floors!$1:$1,0)+1),MATCH(I$1,floors!$1:$1,0)-MATCH($H$1,floors!$1:$1,0)+1,FALSE)</f>
        <v>60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37" t="s">
        <v>224</v>
      </c>
      <c r="L20" s="20">
        <v>164</v>
      </c>
      <c r="M20" s="16" t="str">
        <f ca="1">VLOOKUP($L20,OFFSET([3]enemies!$A$1,0,0,COUNTA([3]enemies!$A:$A),MATCH(M$1,[3]enemies!$1:$1,0)-MATCH($L$1,[3]enemies!$1:$1,0)+1),MATCH(M$1,[3]enemies!$1:$1,0)-MATCH($L$1,[3]enemies!$1:$1,0)+1,FALSE)</f>
        <v>イブとトモダチ</v>
      </c>
      <c r="N20" s="16" t="str">
        <f ca="1">VLOOKUP($L20,OFFSET([3]enemies!$A$1,0,0,COUNTA([3]enemies!$A:$A),MATCH(N$1,[3]enemies!$1:$1,0)-MATCH($L$1,[3]enemies!$1:$1,0)+1),MATCH(N$1,[3]enemies!$1:$1,0)-MATCH($L$1,[3]enemies!$1:$1,0)+1,FALSE)</f>
        <v>yellow</v>
      </c>
      <c r="O20" s="16" t="str">
        <f ca="1">VLOOKUP($L20,OFFSET([4]characters!$A$1,0,0,COUNTA([4]characters!$A:$A),MATCH(O$1,[4]characters!$1:$1,0)-MATCH($L$1,[4]characters!$1:$1,0)+1),MATCH(O$1,[4]characters!$1:$1,0)-MATCH($L$1,[4]characters!$1:$1,0)+1,FALSE)</f>
        <v>PremiumW</v>
      </c>
      <c r="P20" s="16" t="str">
        <f ca="1">VLOOKUP($L20,OFFSET([3]enemies!$A$1,0,0,COUNTA([3]enemies!$A:$A),MATCH(P$1,[3]enemies!$1:$1,0)-MATCH($L$1,[3]enemies!$1:$1,0)+1),MATCH(P$1,[3]enemies!$1:$1,0)-MATCH($L$1,[3]enemies!$1:$1,0)+1,FALSE)</f>
        <v>human</v>
      </c>
      <c r="Q20" s="16">
        <f ca="1">VLOOKUP($L20,OFFSET([3]enemies!$A$1,0,0,COUNTA([3]enemies!$A:$A),MATCH(Q$1,[3]enemies!$1:$1,0)-MATCH($L$1,[3]enemies!$1:$1,0)+1),MATCH(Q$1,[3]enemies!$1:$1,0)-MATCH($L$1,[3]enemies!$1:$1,0)+1,FALSE)</f>
        <v>20</v>
      </c>
      <c r="R20" s="103">
        <v>30</v>
      </c>
      <c r="S20" s="104">
        <v>1</v>
      </c>
      <c r="T20" s="105">
        <v>1</v>
      </c>
      <c r="U20" s="5">
        <v>0</v>
      </c>
      <c r="V20" s="4" t="str">
        <f ca="1">VLOOKUP($W20,OFFSET(enemy_skill_sets!$B$1,0,0,COUNTA(enemy_skill_sets!$B:$B),MATCH(M$1,enemy_skill_sets!$1:$1,0)-MATCH($W$1,enemy_skill_sets!$1:$1,0)+2),MATCH(M$1,enemy_skill_sets!$1:$1,0)-MATCH($W$1,enemy_skill_sets!$1:$1,0)+2,FALSE)</f>
        <v>一定確率で1ターンスキルが使えない！</v>
      </c>
      <c r="W20" s="61">
        <v>39004001</v>
      </c>
      <c r="X20" s="6">
        <v>1</v>
      </c>
      <c r="Y20" s="6">
        <v>100</v>
      </c>
      <c r="Z20" s="6">
        <v>1</v>
      </c>
      <c r="AA20" s="16">
        <v>2</v>
      </c>
      <c r="AB20" s="23">
        <f t="shared" ref="AB20:AB37" si="16">L20</f>
        <v>164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イブとトモダチ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3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20" s="7">
        <v>1</v>
      </c>
      <c r="AG20" s="23">
        <f t="shared" ref="AG20:AG37" ca="1" si="17">AD20</f>
        <v>3</v>
      </c>
      <c r="AH20" s="107">
        <v>0</v>
      </c>
      <c r="AI20" s="7">
        <v>0</v>
      </c>
      <c r="AJ20" s="7">
        <v>0</v>
      </c>
      <c r="AK20" s="7">
        <v>0</v>
      </c>
      <c r="AL20" s="7">
        <v>0</v>
      </c>
      <c r="AM20" s="7">
        <v>1</v>
      </c>
      <c r="AN20" s="69">
        <v>1</v>
      </c>
    </row>
    <row r="21" spans="1:40" ht="21" customHeight="1" x14ac:dyDescent="0.15">
      <c r="A21" s="15" t="str">
        <f t="shared" si="13"/>
        <v>39004_3-1/20&lt;lv30&gt;s2</v>
      </c>
      <c r="B21" s="21">
        <v>39004</v>
      </c>
      <c r="C21" s="20">
        <v>3</v>
      </c>
      <c r="D21" s="2" t="str">
        <f t="shared" si="14"/>
        <v>39004_3</v>
      </c>
      <c r="E21" s="4" t="str">
        <f ca="1">VLOOKUP($B21,OFFSET([2]quests!$A$1,0,0,COUNTA([2]quests!$A:$A),MATCH(E$1,[2]quests!$1:$1,0)-MATCH($B$1,[2]quests!$1:$1,0)+1),MATCH(E$1,[2]quests!$1:$1,0)-MATCH($B$1,[2]quests!$1:$1,0)+1,FALSE)</f>
        <v xml:space="preserve">ニムダのおきにいり♪ </v>
      </c>
      <c r="F21" s="4" t="str">
        <f ca="1">VLOOKUP($D21,OFFSET([2]stages!$A$1,0,0,COUNTA([2]stages!$A:$A),MATCH(F$1,[2]stages!$2:$2,0)-MATCH($D$1,[2]stages!$2:$2,0)+1),MATCH(F$1,[2]stages!$2:$2,0)-MATCH($D$1,[2]stages!$2:$2,0)+1,FALSE)</f>
        <v xml:space="preserve">【上級】ニムダのおきにいり♪ </v>
      </c>
      <c r="G21" s="20">
        <v>1</v>
      </c>
      <c r="H21" s="14" t="str">
        <f t="shared" si="15"/>
        <v>39004_3-1</v>
      </c>
      <c r="I21" s="4">
        <f ca="1">VLOOKUP($H21,OFFSET(floors!$A$1,0,0,COUNTA(floors!$A:$A),MATCH(I$1,floors!$1:$1,0)-MATCH($H$1,floors!$1:$1,0)+1),MATCH(I$1,floors!$1:$1,0)-MATCH($H$1,floors!$1:$1,0)+1,FALSE)</f>
        <v>60</v>
      </c>
      <c r="J21" s="4">
        <f ca="1">VLOOKUP($H21,OFFSET(floors!$A$1,0,0,COUNTA(floors!$A:$A),MATCH(J$1,floors!$1:$1,0)-MATCH($H$1,floors!$1:$1,0)+1),MATCH(J$1,floors!$1:$1,0)-MATCH($H$1,floors!$1:$1,0)+1,FALSE)</f>
        <v>60</v>
      </c>
      <c r="K21" s="37" t="s">
        <v>224</v>
      </c>
      <c r="L21" s="20">
        <v>20</v>
      </c>
      <c r="M21" s="16" t="str">
        <f ca="1">VLOOKUP($L21,OFFSET([3]enemies!$A$1,0,0,COUNTA([3]enemies!$A:$A),MATCH(M$1,[3]enemies!$1:$1,0)-MATCH($L$1,[3]enemies!$1:$1,0)+1),MATCH(M$1,[3]enemies!$1:$1,0)-MATCH($L$1,[3]enemies!$1:$1,0)+1,FALSE)</f>
        <v>電子妖精 ティンク</v>
      </c>
      <c r="N21" s="16" t="str">
        <f ca="1">VLOOKUP($L21,OFFSET([3]enemies!$A$1,0,0,COUNTA([3]enemies!$A:$A),MATCH(N$1,[3]enemies!$1:$1,0)-MATCH($L$1,[3]enemies!$1:$1,0)+1),MATCH(N$1,[3]enemies!$1:$1,0)-MATCH($L$1,[3]enemies!$1:$1,0)+1,FALSE)</f>
        <v>yellow</v>
      </c>
      <c r="O21" s="16" t="str">
        <f ca="1">VLOOKUP($L21,OFFSET([4]characters!$A$1,0,0,COUNTA([4]characters!$A:$A),MATCH(O$1,[4]characters!$1:$1,0)-MATCH($L$1,[4]characters!$1:$1,0)+1),MATCH(O$1,[4]characters!$1:$1,0)-MATCH($L$1,[4]characters!$1:$1,0)+1,FALSE)</f>
        <v>Drop1W</v>
      </c>
      <c r="P21" s="16" t="str">
        <f ca="1">VLOOKUP($L21,OFFSET([3]enemies!$A$1,0,0,COUNTA([3]enemies!$A:$A),MATCH(P$1,[3]enemies!$1:$1,0)-MATCH($L$1,[3]enemies!$1:$1,0)+1),MATCH(P$1,[3]enemies!$1:$1,0)-MATCH($L$1,[3]enemies!$1:$1,0)+1,FALSE)</f>
        <v>human</v>
      </c>
      <c r="Q21" s="16">
        <f ca="1">VLOOKUP($L21,OFFSET([3]enemies!$A$1,0,0,COUNTA([3]enemies!$A:$A),MATCH(Q$1,[3]enemies!$1:$1,0)-MATCH($L$1,[3]enemies!$1:$1,0)+1),MATCH(Q$1,[3]enemies!$1:$1,0)-MATCH($L$1,[3]enemies!$1:$1,0)+1,FALSE)</f>
        <v>15</v>
      </c>
      <c r="R21" s="103">
        <v>30</v>
      </c>
      <c r="S21" s="104">
        <v>1</v>
      </c>
      <c r="T21" s="105">
        <v>1</v>
      </c>
      <c r="U21" s="5">
        <v>0</v>
      </c>
      <c r="V21" s="4" t="str">
        <f ca="1">VLOOKUP($W21,OFFSET(enemy_skill_sets!$B$1,0,0,COUNTA(enemy_skill_sets!$B:$B),MATCH(M$1,enemy_skill_sets!$1:$1,0)-MATCH($W$1,enemy_skill_sets!$1:$1,0)+2),MATCH(M$1,enemy_skill_sets!$1:$1,0)-MATCH($W$1,enemy_skill_sets!$1:$1,0)+2,FALSE)</f>
        <v>3ターン攻撃頻度が1ターンにUP</v>
      </c>
      <c r="W21" s="61">
        <v>39004002</v>
      </c>
      <c r="X21" s="6">
        <v>2</v>
      </c>
      <c r="Y21" s="6">
        <v>100</v>
      </c>
      <c r="Z21" s="6">
        <v>2</v>
      </c>
      <c r="AA21" s="16">
        <v>2</v>
      </c>
      <c r="AB21" s="23">
        <f t="shared" si="16"/>
        <v>20</v>
      </c>
      <c r="AC21" s="4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電子妖精 ティンク</v>
      </c>
      <c r="AD21" s="4">
        <f ca="1">VLOOKUP($AB21,OFFSET([4]characters!$A$1,0,0,COUNTA([4]characters!$A:$A),MATCH(AD$1,[4]characters!$1:$1,0)-MATCH("character_id",[4]characters!$1:$1,0)+1),MATCH(AD$1,[4]characters!$1:$1,0)-MATCH("character_id",[4]characters!$1:$1,0)+1,FALSE)</f>
        <v>2</v>
      </c>
      <c r="AE21" s="4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Drop1W</v>
      </c>
      <c r="AF21" s="7">
        <v>1</v>
      </c>
      <c r="AG21" s="23">
        <f t="shared" ca="1" si="17"/>
        <v>2</v>
      </c>
      <c r="AH21" s="107">
        <v>20</v>
      </c>
      <c r="AI21" s="7">
        <v>0</v>
      </c>
      <c r="AJ21" s="7">
        <v>0</v>
      </c>
      <c r="AK21" s="7">
        <v>0</v>
      </c>
      <c r="AL21" s="7">
        <v>0</v>
      </c>
      <c r="AM21" s="7">
        <v>1</v>
      </c>
      <c r="AN21" s="69">
        <v>1</v>
      </c>
    </row>
    <row r="22" spans="1:40" ht="21" customHeight="1" x14ac:dyDescent="0.15">
      <c r="A22" s="15" t="str">
        <f t="shared" si="13"/>
        <v>39004_3-2/83&lt;lv30&gt;s2</v>
      </c>
      <c r="B22" s="21">
        <v>39004</v>
      </c>
      <c r="C22" s="20">
        <v>3</v>
      </c>
      <c r="D22" s="2" t="str">
        <f t="shared" si="14"/>
        <v>39004_3</v>
      </c>
      <c r="E22" s="4" t="str">
        <f ca="1">VLOOKUP($B22,OFFSET([2]quests!$A$1,0,0,COUNTA([2]quests!$A:$A),MATCH(E$1,[2]quests!$1:$1,0)-MATCH($B$1,[2]quests!$1:$1,0)+1),MATCH(E$1,[2]quests!$1:$1,0)-MATCH($B$1,[2]quests!$1:$1,0)+1,FALSE)</f>
        <v xml:space="preserve">ニムダのおきにいり♪ </v>
      </c>
      <c r="F22" s="4" t="str">
        <f ca="1">VLOOKUP($D22,OFFSET([2]stages!$A$1,0,0,COUNTA([2]stages!$A:$A),MATCH(F$1,[2]stages!$2:$2,0)-MATCH($D$1,[2]stages!$2:$2,0)+1),MATCH(F$1,[2]stages!$2:$2,0)-MATCH($D$1,[2]stages!$2:$2,0)+1,FALSE)</f>
        <v xml:space="preserve">【上級】ニムダのおきにいり♪ </v>
      </c>
      <c r="G22" s="20">
        <v>2</v>
      </c>
      <c r="H22" s="14" t="str">
        <f t="shared" si="15"/>
        <v>39004_3-2</v>
      </c>
      <c r="I22" s="4">
        <f ca="1">VLOOKUP($H22,OFFSET(floors!$A$1,0,0,COUNTA(floors!$A:$A),MATCH(I$1,floors!$1:$1,0)-MATCH($H$1,floors!$1:$1,0)+1),MATCH(I$1,floors!$1:$1,0)-MATCH($H$1,floors!$1:$1,0)+1,FALSE)</f>
        <v>60</v>
      </c>
      <c r="J22" s="4">
        <f ca="1">VLOOKUP($H22,OFFSET(floors!$A$1,0,0,COUNTA(floors!$A:$A),MATCH(J$1,floors!$1:$1,0)-MATCH($H$1,floors!$1:$1,0)+1),MATCH(J$1,floors!$1:$1,0)-MATCH($H$1,floors!$1:$1,0)+1,FALSE)</f>
        <v>60</v>
      </c>
      <c r="K22" s="37" t="s">
        <v>224</v>
      </c>
      <c r="L22" s="20">
        <v>83</v>
      </c>
      <c r="M22" s="16" t="str">
        <f ca="1">VLOOKUP($L22,OFFSET([3]enemies!$A$1,0,0,COUNTA([3]enemies!$A:$A),MATCH(M$1,[3]enemies!$1:$1,0)-MATCH($L$1,[3]enemies!$1:$1,0)+1),MATCH(M$1,[3]enemies!$1:$1,0)-MATCH($L$1,[3]enemies!$1:$1,0)+1,FALSE)</f>
        <v>拡散性ニムダ</v>
      </c>
      <c r="N22" s="16" t="str">
        <f ca="1">VLOOKUP($L22,OFFSET([3]enemies!$A$1,0,0,COUNTA([3]enemies!$A:$A),MATCH(N$1,[3]enemies!$1:$1,0)-MATCH($L$1,[3]enemies!$1:$1,0)+1),MATCH(N$1,[3]enemies!$1:$1,0)-MATCH($L$1,[3]enemies!$1:$1,0)+1,FALSE)</f>
        <v>yellow</v>
      </c>
      <c r="O22" s="16" t="str">
        <f ca="1">VLOOKUP($L22,OFFSET([4]characters!$A$1,0,0,COUNTA([4]characters!$A:$A),MATCH(O$1,[4]characters!$1:$1,0)-MATCH($L$1,[4]characters!$1:$1,0)+1),MATCH(O$1,[4]characters!$1:$1,0)-MATCH($L$1,[4]characters!$1:$1,0)+1,FALSE)</f>
        <v>DropWizW</v>
      </c>
      <c r="P22" s="16" t="str">
        <f ca="1">VLOOKUP($L22,OFFSET([3]enemies!$A$1,0,0,COUNTA([3]enemies!$A:$A),MATCH(P$1,[3]enemies!$1:$1,0)-MATCH($L$1,[3]enemies!$1:$1,0)+1),MATCH(P$1,[3]enemies!$1:$1,0)-MATCH($L$1,[3]enemies!$1:$1,0)+1,FALSE)</f>
        <v>unknown</v>
      </c>
      <c r="Q22" s="16">
        <f ca="1">VLOOKUP($L22,OFFSET([3]enemies!$A$1,0,0,COUNTA([3]enemies!$A:$A),MATCH(Q$1,[3]enemies!$1:$1,0)-MATCH($L$1,[3]enemies!$1:$1,0)+1),MATCH(Q$1,[3]enemies!$1:$1,0)-MATCH($L$1,[3]enemies!$1:$1,0)+1,FALSE)</f>
        <v>20</v>
      </c>
      <c r="R22" s="103">
        <v>30</v>
      </c>
      <c r="S22" s="104">
        <v>1</v>
      </c>
      <c r="T22" s="105">
        <v>1</v>
      </c>
      <c r="U22" s="5">
        <v>0</v>
      </c>
      <c r="V22" s="4" t="str">
        <f ca="1">VLOOKUP($W22,OFFSET(enemy_skill_sets!$B$1,0,0,COUNTA(enemy_skill_sets!$B:$B),MATCH(M$1,enemy_skill_sets!$1:$1,0)-MATCH($W$1,enemy_skill_sets!$1:$1,0)+2),MATCH(M$1,enemy_skill_sets!$1:$1,0)-MATCH($W$1,enemy_skill_sets!$1:$1,0)+2,FALSE)</f>
        <v>おねだりしている</v>
      </c>
      <c r="W22" s="61">
        <v>39004003</v>
      </c>
      <c r="X22" s="6">
        <v>1</v>
      </c>
      <c r="Y22" s="6">
        <v>100</v>
      </c>
      <c r="Z22" s="6">
        <v>1</v>
      </c>
      <c r="AA22" s="16">
        <v>2</v>
      </c>
      <c r="AB22" s="23">
        <f t="shared" si="16"/>
        <v>83</v>
      </c>
      <c r="AC22" s="4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拡散性ニムダ</v>
      </c>
      <c r="AD22" s="4">
        <f ca="1">VLOOKUP($AB22,OFFSET([4]characters!$A$1,0,0,COUNTA([4]characters!$A:$A),MATCH(AD$1,[4]characters!$1:$1,0)-MATCH("character_id",[4]characters!$1:$1,0)+1),MATCH(AD$1,[4]characters!$1:$1,0)-MATCH("character_id",[4]characters!$1:$1,0)+1,FALSE)</f>
        <v>3</v>
      </c>
      <c r="AE22" s="4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22" s="7">
        <v>1</v>
      </c>
      <c r="AG22" s="23">
        <f t="shared" ca="1" si="17"/>
        <v>3</v>
      </c>
      <c r="AH22" s="107">
        <v>0</v>
      </c>
      <c r="AI22" s="7">
        <v>0</v>
      </c>
      <c r="AJ22" s="7">
        <v>0</v>
      </c>
      <c r="AK22" s="7">
        <v>0</v>
      </c>
      <c r="AL22" s="7">
        <v>0</v>
      </c>
      <c r="AM22" s="7">
        <v>1</v>
      </c>
      <c r="AN22" s="69">
        <v>1</v>
      </c>
    </row>
    <row r="23" spans="1:40" ht="21" customHeight="1" x14ac:dyDescent="0.15">
      <c r="A23" s="15" t="str">
        <f t="shared" si="13"/>
        <v>39004_3-2/387&lt;lv30&gt;s3</v>
      </c>
      <c r="B23" s="21">
        <v>39004</v>
      </c>
      <c r="C23" s="20">
        <v>3</v>
      </c>
      <c r="D23" s="2" t="str">
        <f t="shared" si="14"/>
        <v>39004_3</v>
      </c>
      <c r="E23" s="4" t="str">
        <f ca="1">VLOOKUP($B23,OFFSET([2]quests!$A$1,0,0,COUNTA([2]quests!$A:$A),MATCH(E$1,[2]quests!$1:$1,0)-MATCH($B$1,[2]quests!$1:$1,0)+1),MATCH(E$1,[2]quests!$1:$1,0)-MATCH($B$1,[2]quests!$1:$1,0)+1,FALSE)</f>
        <v xml:space="preserve">ニムダのおきにいり♪ </v>
      </c>
      <c r="F23" s="4" t="str">
        <f ca="1">VLOOKUP($D23,OFFSET([2]stages!$A$1,0,0,COUNTA([2]stages!$A:$A),MATCH(F$1,[2]stages!$2:$2,0)-MATCH($D$1,[2]stages!$2:$2,0)+1),MATCH(F$1,[2]stages!$2:$2,0)-MATCH($D$1,[2]stages!$2:$2,0)+1,FALSE)</f>
        <v xml:space="preserve">【上級】ニムダのおきにいり♪ </v>
      </c>
      <c r="G23" s="20">
        <v>2</v>
      </c>
      <c r="H23" s="14" t="str">
        <f t="shared" si="15"/>
        <v>39004_3-2</v>
      </c>
      <c r="I23" s="4">
        <f ca="1">VLOOKUP($H23,OFFSET(floors!$A$1,0,0,COUNTA(floors!$A:$A),MATCH(I$1,floors!$1:$1,0)-MATCH($H$1,floors!$1:$1,0)+1),MATCH(I$1,floors!$1:$1,0)-MATCH($H$1,floors!$1:$1,0)+1,FALSE)</f>
        <v>60</v>
      </c>
      <c r="J23" s="4">
        <f ca="1">VLOOKUP($H23,OFFSET(floors!$A$1,0,0,COUNTA(floors!$A:$A),MATCH(J$1,floors!$1:$1,0)-MATCH($H$1,floors!$1:$1,0)+1),MATCH(J$1,floors!$1:$1,0)-MATCH($H$1,floors!$1:$1,0)+1,FALSE)</f>
        <v>60</v>
      </c>
      <c r="K23" s="37" t="s">
        <v>224</v>
      </c>
      <c r="L23" s="20">
        <v>387</v>
      </c>
      <c r="M23" s="16" t="str">
        <f ca="1">VLOOKUP($L23,OFFSET([3]enemies!$A$1,0,0,COUNTA([3]enemies!$A:$A),MATCH(M$1,[3]enemies!$1:$1,0)-MATCH($L$1,[3]enemies!$1:$1,0)+1),MATCH(M$1,[3]enemies!$1:$1,0)-MATCH($L$1,[3]enemies!$1:$1,0)+1,FALSE)</f>
        <v>スフィンクス</v>
      </c>
      <c r="N23" s="16" t="str">
        <f ca="1">VLOOKUP($L23,OFFSET([3]enemies!$A$1,0,0,COUNTA([3]enemies!$A:$A),MATCH(N$1,[3]enemies!$1:$1,0)-MATCH($L$1,[3]enemies!$1:$1,0)+1),MATCH(N$1,[3]enemies!$1:$1,0)-MATCH($L$1,[3]enemies!$1:$1,0)+1,FALSE)</f>
        <v>yellow</v>
      </c>
      <c r="O23" s="16" t="str">
        <f ca="1">VLOOKUP($L23,OFFSET([4]characters!$A$1,0,0,COUNTA([4]characters!$A:$A),MATCH(O$1,[4]characters!$1:$1,0)-MATCH($L$1,[4]characters!$1:$1,0)+1),MATCH(O$1,[4]characters!$1:$1,0)-MATCH($L$1,[4]characters!$1:$1,0)+1,FALSE)</f>
        <v>PremiumS</v>
      </c>
      <c r="P23" s="16" t="str">
        <f ca="1">VLOOKUP($L23,OFFSET([3]enemies!$A$1,0,0,COUNTA([3]enemies!$A:$A),MATCH(P$1,[3]enemies!$1:$1,0)-MATCH($L$1,[3]enemies!$1:$1,0)+1),MATCH(P$1,[3]enemies!$1:$1,0)-MATCH($L$1,[3]enemies!$1:$1,0)+1,FALSE)</f>
        <v>animal</v>
      </c>
      <c r="Q23" s="16">
        <f ca="1">VLOOKUP($L23,OFFSET([3]enemies!$A$1,0,0,COUNTA([3]enemies!$A:$A),MATCH(Q$1,[3]enemies!$1:$1,0)-MATCH($L$1,[3]enemies!$1:$1,0)+1),MATCH(Q$1,[3]enemies!$1:$1,0)-MATCH($L$1,[3]enemies!$1:$1,0)+1,FALSE)</f>
        <v>25</v>
      </c>
      <c r="R23" s="103">
        <v>30</v>
      </c>
      <c r="S23" s="104">
        <v>1</v>
      </c>
      <c r="T23" s="105">
        <v>1</v>
      </c>
      <c r="U23" s="5">
        <v>0</v>
      </c>
      <c r="V23" s="4" t="str">
        <f ca="1">VLOOKUP($W23,OFFSET(enemy_skill_sets!$B$1,0,0,COUNTA(enemy_skill_sets!$B:$B),MATCH(M$1,enemy_skill_sets!$1:$1,0)-MATCH($W$1,enemy_skill_sets!$1:$1,0)+2),MATCH(M$1,enemy_skill_sets!$1:$1,0)-MATCH($W$1,enemy_skill_sets!$1:$1,0)+2,FALSE)</f>
        <v>2ターン防御力UP</v>
      </c>
      <c r="W23" s="61">
        <v>39004004</v>
      </c>
      <c r="X23" s="6">
        <v>1</v>
      </c>
      <c r="Y23" s="6">
        <v>100</v>
      </c>
      <c r="Z23" s="6">
        <v>2</v>
      </c>
      <c r="AA23" s="16">
        <v>3</v>
      </c>
      <c r="AB23" s="23">
        <f t="shared" si="16"/>
        <v>387</v>
      </c>
      <c r="AC23" s="4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スフィンクス</v>
      </c>
      <c r="AD23" s="4">
        <f ca="1">VLOOKUP($AB23,OFFSET([4]characters!$A$1,0,0,COUNTA([4]characters!$A:$A),MATCH(AD$1,[4]characters!$1:$1,0)-MATCH("character_id",[4]characters!$1:$1,0)+1),MATCH(AD$1,[4]characters!$1:$1,0)-MATCH("character_id",[4]characters!$1:$1,0)+1,FALSE)</f>
        <v>3</v>
      </c>
      <c r="AE23" s="4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23" s="7">
        <v>1</v>
      </c>
      <c r="AG23" s="23">
        <f t="shared" ca="1" si="17"/>
        <v>3</v>
      </c>
      <c r="AH23" s="107">
        <v>0</v>
      </c>
      <c r="AI23" s="7">
        <v>0</v>
      </c>
      <c r="AJ23" s="7">
        <v>0</v>
      </c>
      <c r="AK23" s="7">
        <v>0</v>
      </c>
      <c r="AL23" s="7">
        <v>0</v>
      </c>
      <c r="AM23" s="7">
        <v>1</v>
      </c>
      <c r="AN23" s="69">
        <v>1</v>
      </c>
    </row>
    <row r="24" spans="1:40" ht="21" customHeight="1" x14ac:dyDescent="0.15">
      <c r="A24" s="15" t="str">
        <f t="shared" si="13"/>
        <v>39004_3-3/63&lt;lv30&gt;s1</v>
      </c>
      <c r="B24" s="21">
        <v>39004</v>
      </c>
      <c r="C24" s="20">
        <v>3</v>
      </c>
      <c r="D24" s="2" t="str">
        <f t="shared" si="14"/>
        <v>39004_3</v>
      </c>
      <c r="E24" s="4" t="str">
        <f ca="1">VLOOKUP($B24,OFFSET([2]quests!$A$1,0,0,COUNTA([2]quests!$A:$A),MATCH(E$1,[2]quests!$1:$1,0)-MATCH($B$1,[2]quests!$1:$1,0)+1),MATCH(E$1,[2]quests!$1:$1,0)-MATCH($B$1,[2]quests!$1:$1,0)+1,FALSE)</f>
        <v xml:space="preserve">ニムダのおきにいり♪ </v>
      </c>
      <c r="F24" s="4" t="str">
        <f ca="1">VLOOKUP($D24,OFFSET([2]stages!$A$1,0,0,COUNTA([2]stages!$A:$A),MATCH(F$1,[2]stages!$2:$2,0)-MATCH($D$1,[2]stages!$2:$2,0)+1),MATCH(F$1,[2]stages!$2:$2,0)-MATCH($D$1,[2]stages!$2:$2,0)+1,FALSE)</f>
        <v xml:space="preserve">【上級】ニムダのおきにいり♪ </v>
      </c>
      <c r="G24" s="20">
        <v>3</v>
      </c>
      <c r="H24" s="14" t="str">
        <f t="shared" si="15"/>
        <v>39004_3-3</v>
      </c>
      <c r="I24" s="4">
        <f ca="1">VLOOKUP($H24,OFFSET(floors!$A$1,0,0,COUNTA(floors!$A:$A),MATCH(I$1,floors!$1:$1,0)-MATCH($H$1,floors!$1:$1,0)+1),MATCH(I$1,floors!$1:$1,0)-MATCH($H$1,floors!$1:$1,0)+1,FALSE)</f>
        <v>60</v>
      </c>
      <c r="J24" s="4">
        <f ca="1">VLOOKUP($H24,OFFSET(floors!$A$1,0,0,COUNTA(floors!$A:$A),MATCH(J$1,floors!$1:$1,0)-MATCH($H$1,floors!$1:$1,0)+1),MATCH(J$1,floors!$1:$1,0)-MATCH($H$1,floors!$1:$1,0)+1,FALSE)</f>
        <v>60</v>
      </c>
      <c r="K24" s="37" t="s">
        <v>224</v>
      </c>
      <c r="L24" s="20">
        <v>63</v>
      </c>
      <c r="M24" s="16" t="str">
        <f ca="1">VLOOKUP($L24,OFFSET([3]enemies!$A$1,0,0,COUNTA([3]enemies!$A:$A),MATCH(M$1,[3]enemies!$1:$1,0)-MATCH($L$1,[3]enemies!$1:$1,0)+1),MATCH(M$1,[3]enemies!$1:$1,0)-MATCH($L$1,[3]enemies!$1:$1,0)+1,FALSE)</f>
        <v>トニー</v>
      </c>
      <c r="N24" s="16" t="str">
        <f ca="1">VLOOKUP($L24,OFFSET([3]enemies!$A$1,0,0,COUNTA([3]enemies!$A:$A),MATCH(N$1,[3]enemies!$1:$1,0)-MATCH($L$1,[3]enemies!$1:$1,0)+1),MATCH(N$1,[3]enemies!$1:$1,0)-MATCH($L$1,[3]enemies!$1:$1,0)+1,FALSE)</f>
        <v>yellow</v>
      </c>
      <c r="O24" s="16" t="str">
        <f ca="1">VLOOKUP($L24,OFFSET([4]characters!$A$1,0,0,COUNTA([4]characters!$A:$A),MATCH(O$1,[4]characters!$1:$1,0)-MATCH($L$1,[4]characters!$1:$1,0)+1),MATCH(O$1,[4]characters!$1:$1,0)-MATCH($L$1,[4]characters!$1:$1,0)+1,FALSE)</f>
        <v>Drop1N</v>
      </c>
      <c r="P24" s="16" t="str">
        <f ca="1">VLOOKUP($L24,OFFSET([3]enemies!$A$1,0,0,COUNTA([3]enemies!$A:$A),MATCH(P$1,[3]enemies!$1:$1,0)-MATCH($L$1,[3]enemies!$1:$1,0)+1),MATCH(P$1,[3]enemies!$1:$1,0)-MATCH($L$1,[3]enemies!$1:$1,0)+1,FALSE)</f>
        <v>animal</v>
      </c>
      <c r="Q24" s="16">
        <f ca="1">VLOOKUP($L24,OFFSET([3]enemies!$A$1,0,0,COUNTA([3]enemies!$A:$A),MATCH(Q$1,[3]enemies!$1:$1,0)-MATCH($L$1,[3]enemies!$1:$1,0)+1),MATCH(Q$1,[3]enemies!$1:$1,0)-MATCH($L$1,[3]enemies!$1:$1,0)+1,FALSE)</f>
        <v>15</v>
      </c>
      <c r="R24" s="103">
        <v>30</v>
      </c>
      <c r="S24" s="104">
        <v>1</v>
      </c>
      <c r="T24" s="105">
        <v>0.9</v>
      </c>
      <c r="U24" s="5">
        <v>0</v>
      </c>
      <c r="V24" s="4" t="str">
        <f ca="1">VLOOKUP($W24,OFFSET(enemy_skill_sets!$B$1,0,0,COUNTA(enemy_skill_sets!$B:$B),MATCH(M$1,enemy_skill_sets!$1:$1,0)-MATCH($W$1,enemy_skill_sets!$1:$1,0)+2),MATCH(M$1,enemy_skill_sets!$1:$1,0)-MATCH($W$1,enemy_skill_sets!$1:$1,0)+2,FALSE)</f>
        <v>2回連続攻撃</v>
      </c>
      <c r="W24" s="61">
        <v>39004005</v>
      </c>
      <c r="X24" s="6">
        <v>1</v>
      </c>
      <c r="Y24" s="6">
        <v>100</v>
      </c>
      <c r="Z24" s="6">
        <v>2</v>
      </c>
      <c r="AA24" s="16">
        <v>1</v>
      </c>
      <c r="AB24" s="23">
        <f t="shared" si="16"/>
        <v>63</v>
      </c>
      <c r="AC24" s="4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トニー</v>
      </c>
      <c r="AD24" s="4">
        <f ca="1">VLOOKUP($AB24,OFFSET([4]characters!$A$1,0,0,COUNTA([4]characters!$A:$A),MATCH(AD$1,[4]characters!$1:$1,0)-MATCH("character_id",[4]characters!$1:$1,0)+1),MATCH(AD$1,[4]characters!$1:$1,0)-MATCH("character_id",[4]characters!$1:$1,0)+1,FALSE)</f>
        <v>2</v>
      </c>
      <c r="AE24" s="4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Drop1N</v>
      </c>
      <c r="AF24" s="7">
        <v>1</v>
      </c>
      <c r="AG24" s="23">
        <f t="shared" ca="1" si="17"/>
        <v>2</v>
      </c>
      <c r="AH24" s="107">
        <v>0</v>
      </c>
      <c r="AI24" s="7">
        <v>0</v>
      </c>
      <c r="AJ24" s="7">
        <v>0</v>
      </c>
      <c r="AK24" s="7">
        <v>0</v>
      </c>
      <c r="AL24" s="7">
        <v>0</v>
      </c>
      <c r="AM24" s="7">
        <v>1</v>
      </c>
      <c r="AN24" s="69">
        <v>1</v>
      </c>
    </row>
    <row r="25" spans="1:40" ht="21" customHeight="1" x14ac:dyDescent="0.15">
      <c r="A25" s="15" t="str">
        <f t="shared" si="13"/>
        <v>39004_3-3/56&lt;lv31&gt;s2</v>
      </c>
      <c r="B25" s="21">
        <v>39004</v>
      </c>
      <c r="C25" s="20">
        <v>3</v>
      </c>
      <c r="D25" s="2" t="str">
        <f t="shared" si="14"/>
        <v>39004_3</v>
      </c>
      <c r="E25" s="4" t="str">
        <f ca="1">VLOOKUP($B25,OFFSET([2]quests!$A$1,0,0,COUNTA([2]quests!$A:$A),MATCH(E$1,[2]quests!$1:$1,0)-MATCH($B$1,[2]quests!$1:$1,0)+1),MATCH(E$1,[2]quests!$1:$1,0)-MATCH($B$1,[2]quests!$1:$1,0)+1,FALSE)</f>
        <v xml:space="preserve">ニムダのおきにいり♪ </v>
      </c>
      <c r="F25" s="4" t="str">
        <f ca="1">VLOOKUP($D25,OFFSET([2]stages!$A$1,0,0,COUNTA([2]stages!$A:$A),MATCH(F$1,[2]stages!$2:$2,0)-MATCH($D$1,[2]stages!$2:$2,0)+1),MATCH(F$1,[2]stages!$2:$2,0)-MATCH($D$1,[2]stages!$2:$2,0)+1,FALSE)</f>
        <v xml:space="preserve">【上級】ニムダのおきにいり♪ </v>
      </c>
      <c r="G25" s="20">
        <v>3</v>
      </c>
      <c r="H25" s="14" t="str">
        <f t="shared" si="15"/>
        <v>39004_3-3</v>
      </c>
      <c r="I25" s="4">
        <f ca="1">VLOOKUP($H25,OFFSET(floors!$A$1,0,0,COUNTA(floors!$A:$A),MATCH(I$1,floors!$1:$1,0)-MATCH($H$1,floors!$1:$1,0)+1),MATCH(I$1,floors!$1:$1,0)-MATCH($H$1,floors!$1:$1,0)+1,FALSE)</f>
        <v>60</v>
      </c>
      <c r="J25" s="4">
        <f ca="1">VLOOKUP($H25,OFFSET(floors!$A$1,0,0,COUNTA(floors!$A:$A),MATCH(J$1,floors!$1:$1,0)-MATCH($H$1,floors!$1:$1,0)+1),MATCH(J$1,floors!$1:$1,0)-MATCH($H$1,floors!$1:$1,0)+1,FALSE)</f>
        <v>60</v>
      </c>
      <c r="K25" s="37" t="s">
        <v>224</v>
      </c>
      <c r="L25" s="20">
        <v>56</v>
      </c>
      <c r="M25" s="16" t="str">
        <f ca="1">VLOOKUP($L25,OFFSET([3]enemies!$A$1,0,0,COUNTA([3]enemies!$A:$A),MATCH(M$1,[3]enemies!$1:$1,0)-MATCH($L$1,[3]enemies!$1:$1,0)+1),MATCH(M$1,[3]enemies!$1:$1,0)-MATCH($L$1,[3]enemies!$1:$1,0)+1,FALSE)</f>
        <v>黄槌のレジスタンス マミコ</v>
      </c>
      <c r="N25" s="16" t="str">
        <f ca="1">VLOOKUP($L25,OFFSET([3]enemies!$A$1,0,0,COUNTA([3]enemies!$A:$A),MATCH(N$1,[3]enemies!$1:$1,0)-MATCH($L$1,[3]enemies!$1:$1,0)+1),MATCH(N$1,[3]enemies!$1:$1,0)-MATCH($L$1,[3]enemies!$1:$1,0)+1,FALSE)</f>
        <v>yellow</v>
      </c>
      <c r="O25" s="16" t="str">
        <f ca="1">VLOOKUP($L25,OFFSET([4]characters!$A$1,0,0,COUNTA([4]characters!$A:$A),MATCH(O$1,[4]characters!$1:$1,0)-MATCH($L$1,[4]characters!$1:$1,0)+1),MATCH(O$1,[4]characters!$1:$1,0)-MATCH($L$1,[4]characters!$1:$1,0)+1,FALSE)</f>
        <v>Drop1N</v>
      </c>
      <c r="P25" s="16" t="str">
        <f ca="1">VLOOKUP($L25,OFFSET([3]enemies!$A$1,0,0,COUNTA([3]enemies!$A:$A),MATCH(P$1,[3]enemies!$1:$1,0)-MATCH($L$1,[3]enemies!$1:$1,0)+1),MATCH(P$1,[3]enemies!$1:$1,0)-MATCH($L$1,[3]enemies!$1:$1,0)+1,FALSE)</f>
        <v>human</v>
      </c>
      <c r="Q25" s="16">
        <f ca="1">VLOOKUP($L25,OFFSET([3]enemies!$A$1,0,0,COUNTA([3]enemies!$A:$A),MATCH(Q$1,[3]enemies!$1:$1,0)-MATCH($L$1,[3]enemies!$1:$1,0)+1),MATCH(Q$1,[3]enemies!$1:$1,0)-MATCH($L$1,[3]enemies!$1:$1,0)+1,FALSE)</f>
        <v>20</v>
      </c>
      <c r="R25" s="103">
        <v>31</v>
      </c>
      <c r="S25" s="104">
        <v>1</v>
      </c>
      <c r="T25" s="105">
        <v>1</v>
      </c>
      <c r="U25" s="5">
        <v>0</v>
      </c>
      <c r="V25" s="4" t="str">
        <f ca="1">VLOOKUP($W25,OFFSET(enemy_skill_sets!$B$1,0,0,COUNTA(enemy_skill_sets!$B:$B),MATCH(M$1,enemy_skill_sets!$1:$1,0)-MATCH($W$1,enemy_skill_sets!$1:$1,0)+2),MATCH(M$1,enemy_skill_sets!$1:$1,0)-MATCH($W$1,enemy_skill_sets!$1:$1,0)+2,FALSE)</f>
        <v>2ターン攻撃力UP</v>
      </c>
      <c r="W25" s="61">
        <v>39004008</v>
      </c>
      <c r="X25" s="6">
        <v>0</v>
      </c>
      <c r="Y25" s="6">
        <v>100</v>
      </c>
      <c r="Z25" s="6">
        <v>1</v>
      </c>
      <c r="AA25" s="16">
        <v>2</v>
      </c>
      <c r="AB25" s="23">
        <v>907</v>
      </c>
      <c r="AC25" s="4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ハローキティのリボン</v>
      </c>
      <c r="AD25" s="4">
        <f ca="1">VLOOKUP($AB25,OFFSET([4]characters!$A$1,0,0,COUNTA([4]characters!$A:$A),MATCH(AD$1,[4]characters!$1:$1,0)-MATCH("character_id",[4]characters!$1:$1,0)+1),MATCH(AD$1,[4]characters!$1:$1,0)-MATCH("character_id",[4]characters!$1:$1,0)+1,FALSE)</f>
        <v>5</v>
      </c>
      <c r="AE25" s="4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Drop2N</v>
      </c>
      <c r="AF25" s="7">
        <v>1</v>
      </c>
      <c r="AG25" s="23">
        <f t="shared" ca="1" si="17"/>
        <v>5</v>
      </c>
      <c r="AH25" s="135">
        <v>40</v>
      </c>
      <c r="AI25" s="7">
        <v>0</v>
      </c>
      <c r="AJ25" s="7">
        <v>0</v>
      </c>
      <c r="AK25" s="7">
        <v>0</v>
      </c>
      <c r="AL25" s="7">
        <v>0</v>
      </c>
      <c r="AM25" s="7">
        <v>1</v>
      </c>
      <c r="AN25" s="69">
        <v>1</v>
      </c>
    </row>
    <row r="26" spans="1:40" ht="21" customHeight="1" x14ac:dyDescent="0.15">
      <c r="A26" s="15" t="str">
        <f t="shared" ref="A26" si="18">B26&amp;"_"&amp;C26&amp;"-"&amp;G26&amp;"/"&amp;L26&amp;"&lt;lv"&amp;R26&amp;"&gt;s"&amp;AA26</f>
        <v>39004_3-3/56&lt;lv30&gt;s2</v>
      </c>
      <c r="B26" s="21">
        <v>39004</v>
      </c>
      <c r="C26" s="20">
        <v>3</v>
      </c>
      <c r="D26" s="2" t="str">
        <f t="shared" ref="D26" si="19">B26&amp;"_"&amp;C26</f>
        <v>39004_3</v>
      </c>
      <c r="E26" s="4" t="str">
        <f ca="1">VLOOKUP($B26,OFFSET([2]quests!$A$1,0,0,COUNTA([2]quests!$A:$A),MATCH(E$1,[2]quests!$1:$1,0)-MATCH($B$1,[2]quests!$1:$1,0)+1),MATCH(E$1,[2]quests!$1:$1,0)-MATCH($B$1,[2]quests!$1:$1,0)+1,FALSE)</f>
        <v xml:space="preserve">ニムダのおきにいり♪ </v>
      </c>
      <c r="F26" s="4" t="str">
        <f ca="1">VLOOKUP($D26,OFFSET([2]stages!$A$1,0,0,COUNTA([2]stages!$A:$A),MATCH(F$1,[2]stages!$2:$2,0)-MATCH($D$1,[2]stages!$2:$2,0)+1),MATCH(F$1,[2]stages!$2:$2,0)-MATCH($D$1,[2]stages!$2:$2,0)+1,FALSE)</f>
        <v xml:space="preserve">【上級】ニムダのおきにいり♪ </v>
      </c>
      <c r="G26" s="20">
        <v>3</v>
      </c>
      <c r="H26" s="14" t="str">
        <f t="shared" ref="H26" si="20">B26&amp;"_"&amp;C26&amp;"-"&amp;G26</f>
        <v>39004_3-3</v>
      </c>
      <c r="I26" s="4">
        <f ca="1">VLOOKUP($H26,OFFSET(floors!$A$1,0,0,COUNTA(floors!$A:$A),MATCH(I$1,floors!$1:$1,0)-MATCH($H$1,floors!$1:$1,0)+1),MATCH(I$1,floors!$1:$1,0)-MATCH($H$1,floors!$1:$1,0)+1,FALSE)</f>
        <v>60</v>
      </c>
      <c r="J26" s="4">
        <f ca="1">VLOOKUP($H26,OFFSET(floors!$A$1,0,0,COUNTA(floors!$A:$A),MATCH(J$1,floors!$1:$1,0)-MATCH($H$1,floors!$1:$1,0)+1),MATCH(J$1,floors!$1:$1,0)-MATCH($H$1,floors!$1:$1,0)+1,FALSE)</f>
        <v>60</v>
      </c>
      <c r="K26" s="37" t="s">
        <v>224</v>
      </c>
      <c r="L26" s="20">
        <v>56</v>
      </c>
      <c r="M26" s="16" t="str">
        <f ca="1">VLOOKUP($L26,OFFSET([3]enemies!$A$1,0,0,COUNTA([3]enemies!$A:$A),MATCH(M$1,[3]enemies!$1:$1,0)-MATCH($L$1,[3]enemies!$1:$1,0)+1),MATCH(M$1,[3]enemies!$1:$1,0)-MATCH($L$1,[3]enemies!$1:$1,0)+1,FALSE)</f>
        <v>黄槌のレジスタンス マミコ</v>
      </c>
      <c r="N26" s="16" t="str">
        <f ca="1">VLOOKUP($L26,OFFSET([3]enemies!$A$1,0,0,COUNTA([3]enemies!$A:$A),MATCH(N$1,[3]enemies!$1:$1,0)-MATCH($L$1,[3]enemies!$1:$1,0)+1),MATCH(N$1,[3]enemies!$1:$1,0)-MATCH($L$1,[3]enemies!$1:$1,0)+1,FALSE)</f>
        <v>yellow</v>
      </c>
      <c r="O26" s="16" t="str">
        <f ca="1">VLOOKUP($L26,OFFSET([4]characters!$A$1,0,0,COUNTA([4]characters!$A:$A),MATCH(O$1,[4]characters!$1:$1,0)-MATCH($L$1,[4]characters!$1:$1,0)+1),MATCH(O$1,[4]characters!$1:$1,0)-MATCH($L$1,[4]characters!$1:$1,0)+1,FALSE)</f>
        <v>Drop1N</v>
      </c>
      <c r="P26" s="16" t="str">
        <f ca="1">VLOOKUP($L26,OFFSET([3]enemies!$A$1,0,0,COUNTA([3]enemies!$A:$A),MATCH(P$1,[3]enemies!$1:$1,0)-MATCH($L$1,[3]enemies!$1:$1,0)+1),MATCH(P$1,[3]enemies!$1:$1,0)-MATCH($L$1,[3]enemies!$1:$1,0)+1,FALSE)</f>
        <v>human</v>
      </c>
      <c r="Q26" s="16">
        <f ca="1">VLOOKUP($L26,OFFSET([3]enemies!$A$1,0,0,COUNTA([3]enemies!$A:$A),MATCH(Q$1,[3]enemies!$1:$1,0)-MATCH($L$1,[3]enemies!$1:$1,0)+1),MATCH(Q$1,[3]enemies!$1:$1,0)-MATCH($L$1,[3]enemies!$1:$1,0)+1,FALSE)</f>
        <v>20</v>
      </c>
      <c r="R26" s="103">
        <v>30</v>
      </c>
      <c r="S26" s="104">
        <v>1</v>
      </c>
      <c r="T26" s="105">
        <v>1</v>
      </c>
      <c r="U26" s="5">
        <v>0</v>
      </c>
      <c r="V26" s="4" t="str">
        <f ca="1">VLOOKUP($W26,OFFSET(enemy_skill_sets!$B$1,0,0,COUNTA(enemy_skill_sets!$B:$B),MATCH(M$1,enemy_skill_sets!$1:$1,0)-MATCH($W$1,enemy_skill_sets!$1:$1,0)+2),MATCH(M$1,enemy_skill_sets!$1:$1,0)-MATCH($W$1,enemy_skill_sets!$1:$1,0)+2,FALSE)</f>
        <v>2ターン攻撃力UP</v>
      </c>
      <c r="W26" s="61">
        <v>39004008</v>
      </c>
      <c r="X26" s="6">
        <v>0</v>
      </c>
      <c r="Y26" s="6">
        <v>100</v>
      </c>
      <c r="Z26" s="6">
        <v>1</v>
      </c>
      <c r="AA26" s="16">
        <v>2</v>
      </c>
      <c r="AB26" s="23">
        <v>908</v>
      </c>
      <c r="AC26" s="4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ママの作ったアップルパイ</v>
      </c>
      <c r="AD26" s="4">
        <f ca="1">VLOOKUP($AB26,OFFSET([4]characters!$A$1,0,0,COUNTA([4]characters!$A:$A),MATCH(AD$1,[4]characters!$1:$1,0)-MATCH("character_id",[4]characters!$1:$1,0)+1),MATCH(AD$1,[4]characters!$1:$1,0)-MATCH("character_id",[4]characters!$1:$1,0)+1,FALSE)</f>
        <v>4</v>
      </c>
      <c r="AE26" s="4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Drop2N</v>
      </c>
      <c r="AF26" s="7">
        <v>1</v>
      </c>
      <c r="AG26" s="23">
        <f t="shared" ref="AG26" ca="1" si="21">AD26</f>
        <v>4</v>
      </c>
      <c r="AH26" s="135">
        <v>40</v>
      </c>
      <c r="AI26" s="7">
        <v>0</v>
      </c>
      <c r="AJ26" s="7">
        <v>0</v>
      </c>
      <c r="AK26" s="7">
        <v>0</v>
      </c>
      <c r="AL26" s="7">
        <v>0</v>
      </c>
      <c r="AM26" s="7">
        <v>1</v>
      </c>
      <c r="AN26" s="69">
        <v>1</v>
      </c>
    </row>
    <row r="27" spans="1:40" ht="21" customHeight="1" x14ac:dyDescent="0.15">
      <c r="A27" s="15" t="str">
        <f t="shared" si="13"/>
        <v>39004_3-3/47&lt;lv30&gt;s1</v>
      </c>
      <c r="B27" s="21">
        <v>39004</v>
      </c>
      <c r="C27" s="20">
        <v>3</v>
      </c>
      <c r="D27" s="2" t="str">
        <f t="shared" si="14"/>
        <v>39004_3</v>
      </c>
      <c r="E27" s="4" t="str">
        <f ca="1">VLOOKUP($B27,OFFSET([2]quests!$A$1,0,0,COUNTA([2]quests!$A:$A),MATCH(E$1,[2]quests!$1:$1,0)-MATCH($B$1,[2]quests!$1:$1,0)+1),MATCH(E$1,[2]quests!$1:$1,0)-MATCH($B$1,[2]quests!$1:$1,0)+1,FALSE)</f>
        <v xml:space="preserve">ニムダのおきにいり♪ </v>
      </c>
      <c r="F27" s="4" t="str">
        <f ca="1">VLOOKUP($D27,OFFSET([2]stages!$A$1,0,0,COUNTA([2]stages!$A:$A),MATCH(F$1,[2]stages!$2:$2,0)-MATCH($D$1,[2]stages!$2:$2,0)+1),MATCH(F$1,[2]stages!$2:$2,0)-MATCH($D$1,[2]stages!$2:$2,0)+1,FALSE)</f>
        <v xml:space="preserve">【上級】ニムダのおきにいり♪ </v>
      </c>
      <c r="G27" s="20">
        <v>3</v>
      </c>
      <c r="H27" s="14" t="str">
        <f t="shared" si="15"/>
        <v>39004_3-3</v>
      </c>
      <c r="I27" s="4">
        <f ca="1">VLOOKUP($H27,OFFSET(floors!$A$1,0,0,COUNTA(floors!$A:$A),MATCH(I$1,floors!$1:$1,0)-MATCH($H$1,floors!$1:$1,0)+1),MATCH(I$1,floors!$1:$1,0)-MATCH($H$1,floors!$1:$1,0)+1,FALSE)</f>
        <v>60</v>
      </c>
      <c r="J27" s="4">
        <f ca="1">VLOOKUP($H27,OFFSET(floors!$A$1,0,0,COUNTA(floors!$A:$A),MATCH(J$1,floors!$1:$1,0)-MATCH($H$1,floors!$1:$1,0)+1),MATCH(J$1,floors!$1:$1,0)-MATCH($H$1,floors!$1:$1,0)+1,FALSE)</f>
        <v>60</v>
      </c>
      <c r="K27" s="37" t="s">
        <v>224</v>
      </c>
      <c r="L27" s="20">
        <v>47</v>
      </c>
      <c r="M27" s="16" t="str">
        <f ca="1">VLOOKUP($L27,OFFSET([3]enemies!$A$1,0,0,COUNTA([3]enemies!$A:$A),MATCH(M$1,[3]enemies!$1:$1,0)-MATCH($L$1,[3]enemies!$1:$1,0)+1),MATCH(M$1,[3]enemies!$1:$1,0)-MATCH($L$1,[3]enemies!$1:$1,0)+1,FALSE)</f>
        <v>ヒロ</v>
      </c>
      <c r="N27" s="16" t="str">
        <f ca="1">VLOOKUP($L27,OFFSET([3]enemies!$A$1,0,0,COUNTA([3]enemies!$A:$A),MATCH(N$1,[3]enemies!$1:$1,0)-MATCH($L$1,[3]enemies!$1:$1,0)+1),MATCH(N$1,[3]enemies!$1:$1,0)-MATCH($L$1,[3]enemies!$1:$1,0)+1,FALSE)</f>
        <v>yellow</v>
      </c>
      <c r="O27" s="16" t="str">
        <f ca="1">VLOOKUP($L27,OFFSET([4]characters!$A$1,0,0,COUNTA([4]characters!$A:$A),MATCH(O$1,[4]characters!$1:$1,0)-MATCH($L$1,[4]characters!$1:$1,0)+1),MATCH(O$1,[4]characters!$1:$1,0)-MATCH($L$1,[4]characters!$1:$1,0)+1,FALSE)</f>
        <v>Drop1N</v>
      </c>
      <c r="P27" s="16" t="str">
        <f ca="1">VLOOKUP($L27,OFFSET([3]enemies!$A$1,0,0,COUNTA([3]enemies!$A:$A),MATCH(P$1,[3]enemies!$1:$1,0)-MATCH($L$1,[3]enemies!$1:$1,0)+1),MATCH(P$1,[3]enemies!$1:$1,0)-MATCH($L$1,[3]enemies!$1:$1,0)+1,FALSE)</f>
        <v>animal</v>
      </c>
      <c r="Q27" s="16">
        <f ca="1">VLOOKUP($L27,OFFSET([3]enemies!$A$1,0,0,COUNTA([3]enemies!$A:$A),MATCH(Q$1,[3]enemies!$1:$1,0)-MATCH($L$1,[3]enemies!$1:$1,0)+1),MATCH(Q$1,[3]enemies!$1:$1,0)-MATCH($L$1,[3]enemies!$1:$1,0)+1,FALSE)</f>
        <v>15</v>
      </c>
      <c r="R27" s="103">
        <v>30</v>
      </c>
      <c r="S27" s="104">
        <v>1</v>
      </c>
      <c r="T27" s="105">
        <v>0.9</v>
      </c>
      <c r="U27" s="5">
        <v>0</v>
      </c>
      <c r="V27" s="4" t="str">
        <f ca="1">VLOOKUP($W27,OFFSET(enemy_skill_sets!$B$1,0,0,COUNTA(enemy_skill_sets!$B:$B),MATCH(M$1,enemy_skill_sets!$1:$1,0)-MATCH($W$1,enemy_skill_sets!$1:$1,0)+2),MATCH(M$1,enemy_skill_sets!$1:$1,0)-MATCH($W$1,enemy_skill_sets!$1:$1,0)+2,FALSE)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27" s="61">
        <v>39004006</v>
      </c>
      <c r="X27" s="6">
        <v>1</v>
      </c>
      <c r="Y27" s="6">
        <v>100</v>
      </c>
      <c r="Z27" s="6">
        <v>0</v>
      </c>
      <c r="AA27" s="16">
        <v>1</v>
      </c>
      <c r="AB27" s="23">
        <f t="shared" si="16"/>
        <v>47</v>
      </c>
      <c r="AC27" s="4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ヒロ</v>
      </c>
      <c r="AD27" s="4">
        <f ca="1">VLOOKUP($AB27,OFFSET([4]characters!$A$1,0,0,COUNTA([4]characters!$A:$A),MATCH(AD$1,[4]characters!$1:$1,0)-MATCH("character_id",[4]characters!$1:$1,0)+1),MATCH(AD$1,[4]characters!$1:$1,0)-MATCH("character_id",[4]characters!$1:$1,0)+1,FALSE)</f>
        <v>2</v>
      </c>
      <c r="AE27" s="4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Drop1N</v>
      </c>
      <c r="AF27" s="7">
        <v>1</v>
      </c>
      <c r="AG27" s="23">
        <f t="shared" ca="1" si="17"/>
        <v>2</v>
      </c>
      <c r="AH27" s="107">
        <v>0</v>
      </c>
      <c r="AI27" s="7">
        <v>0</v>
      </c>
      <c r="AJ27" s="7">
        <v>0</v>
      </c>
      <c r="AK27" s="7">
        <v>0</v>
      </c>
      <c r="AL27" s="7">
        <v>0</v>
      </c>
      <c r="AM27" s="7">
        <v>1</v>
      </c>
      <c r="AN27" s="69">
        <v>1</v>
      </c>
    </row>
    <row r="28" spans="1:40" ht="21" customHeight="1" x14ac:dyDescent="0.15">
      <c r="A28" s="15" t="str">
        <f t="shared" si="13"/>
        <v>39004_3-4/901&lt;lv30&gt;s2</v>
      </c>
      <c r="B28" s="21">
        <v>39004</v>
      </c>
      <c r="C28" s="20">
        <v>3</v>
      </c>
      <c r="D28" s="2" t="str">
        <f t="shared" si="14"/>
        <v>39004_3</v>
      </c>
      <c r="E28" s="4" t="str">
        <f ca="1">VLOOKUP($B28,OFFSET([2]quests!$A$1,0,0,COUNTA([2]quests!$A:$A),MATCH(E$1,[2]quests!$1:$1,0)-MATCH($B$1,[2]quests!$1:$1,0)+1),MATCH(E$1,[2]quests!$1:$1,0)-MATCH($B$1,[2]quests!$1:$1,0)+1,FALSE)</f>
        <v xml:space="preserve">ニムダのおきにいり♪ </v>
      </c>
      <c r="F28" s="4" t="str">
        <f ca="1">VLOOKUP($D28,OFFSET([2]stages!$A$1,0,0,COUNTA([2]stages!$A:$A),MATCH(F$1,[2]stages!$2:$2,0)-MATCH($D$1,[2]stages!$2:$2,0)+1),MATCH(F$1,[2]stages!$2:$2,0)-MATCH($D$1,[2]stages!$2:$2,0)+1,FALSE)</f>
        <v xml:space="preserve">【上級】ニムダのおきにいり♪ </v>
      </c>
      <c r="G28" s="20">
        <v>4</v>
      </c>
      <c r="H28" s="14" t="str">
        <f t="shared" si="15"/>
        <v>39004_3-4</v>
      </c>
      <c r="I28" s="4">
        <f ca="1">VLOOKUP($H28,OFFSET(floors!$A$1,0,0,COUNTA(floors!$A:$A),MATCH(I$1,floors!$1:$1,0)-MATCH($H$1,floors!$1:$1,0)+1),MATCH(I$1,floors!$1:$1,0)-MATCH($H$1,floors!$1:$1,0)+1,FALSE)</f>
        <v>60</v>
      </c>
      <c r="J28" s="4">
        <f ca="1">VLOOKUP($H28,OFFSET(floors!$A$1,0,0,COUNTA(floors!$A:$A),MATCH(J$1,floors!$1:$1,0)-MATCH($H$1,floors!$1:$1,0)+1),MATCH(J$1,floors!$1:$1,0)-MATCH($H$1,floors!$1:$1,0)+1,FALSE)</f>
        <v>60</v>
      </c>
      <c r="K28" s="37">
        <v>3</v>
      </c>
      <c r="L28" s="20">
        <v>901</v>
      </c>
      <c r="M28" s="16" t="str">
        <f ca="1">VLOOKUP($L28,OFFSET([3]enemies!$A$1,0,0,COUNTA([3]enemies!$A:$A),MATCH(M$1,[3]enemies!$1:$1,0)-MATCH($L$1,[3]enemies!$1:$1,0)+1),MATCH(M$1,[3]enemies!$1:$1,0)-MATCH($L$1,[3]enemies!$1:$1,0)+1,FALSE)</f>
        <v>恩愛性ニムダ</v>
      </c>
      <c r="N28" s="16" t="str">
        <f ca="1">VLOOKUP($L28,OFFSET([3]enemies!$A$1,0,0,COUNTA([3]enemies!$A:$A),MATCH(N$1,[3]enemies!$1:$1,0)-MATCH($L$1,[3]enemies!$1:$1,0)+1),MATCH(N$1,[3]enemies!$1:$1,0)-MATCH($L$1,[3]enemies!$1:$1,0)+1,FALSE)</f>
        <v>yellow</v>
      </c>
      <c r="O28" s="16" t="str">
        <f ca="1">VLOOKUP($L28,OFFSET([4]characters!$A$1,0,0,COUNTA([4]characters!$A:$A),MATCH(O$1,[4]characters!$1:$1,0)-MATCH($L$1,[4]characters!$1:$1,0)+1),MATCH(O$1,[4]characters!$1:$1,0)-MATCH($L$1,[4]characters!$1:$1,0)+1,FALSE)</f>
        <v>Drop2N</v>
      </c>
      <c r="P28" s="16" t="str">
        <f ca="1">VLOOKUP($L28,OFFSET([3]enemies!$A$1,0,0,COUNTA([3]enemies!$A:$A),MATCH(P$1,[3]enemies!$1:$1,0)-MATCH($L$1,[3]enemies!$1:$1,0)+1),MATCH(P$1,[3]enemies!$1:$1,0)-MATCH($L$1,[3]enemies!$1:$1,0)+1,FALSE)</f>
        <v>unknown</v>
      </c>
      <c r="Q28" s="16">
        <f ca="1">VLOOKUP($L28,OFFSET([3]enemies!$A$1,0,0,COUNTA([3]enemies!$A:$A),MATCH(Q$1,[3]enemies!$1:$1,0)-MATCH($L$1,[3]enemies!$1:$1,0)+1),MATCH(Q$1,[3]enemies!$1:$1,0)-MATCH($L$1,[3]enemies!$1:$1,0)+1,FALSE)</f>
        <v>30</v>
      </c>
      <c r="R28" s="103">
        <v>30</v>
      </c>
      <c r="S28" s="104">
        <v>1</v>
      </c>
      <c r="T28" s="105">
        <v>1</v>
      </c>
      <c r="U28" s="5">
        <v>0</v>
      </c>
      <c r="V28" s="4" t="str">
        <f ca="1">VLOOKUP($W28,OFFSET(enemy_skill_sets!$B$1,0,0,COUNTA(enemy_skill_sets!$B:$B),MATCH(M$1,enemy_skill_sets!$1:$1,0)-MATCH($W$1,enemy_skill_sets!$1:$1,0)+2),MATCH(M$1,enemy_skill_sets!$1:$1,0)-MATCH($W$1,enemy_skill_sets!$1:$1,0)+2,FALSE)</f>
        <v>緑パネルをハートパネルに変換</v>
      </c>
      <c r="W28" s="61">
        <v>39004009</v>
      </c>
      <c r="X28" s="6">
        <v>1</v>
      </c>
      <c r="Y28" s="6">
        <v>100</v>
      </c>
      <c r="Z28" s="6">
        <v>1</v>
      </c>
      <c r="AA28" s="16">
        <v>2</v>
      </c>
      <c r="AB28" s="23">
        <f t="shared" si="16"/>
        <v>901</v>
      </c>
      <c r="AC28" s="4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恩愛性ニムダ</v>
      </c>
      <c r="AD28" s="4">
        <f ca="1">VLOOKUP($AB28,OFFSET([4]characters!$A$1,0,0,COUNTA([4]characters!$A:$A),MATCH(AD$1,[4]characters!$1:$1,0)-MATCH("character_id",[4]characters!$1:$1,0)+1),MATCH(AD$1,[4]characters!$1:$1,0)-MATCH("character_id",[4]characters!$1:$1,0)+1,FALSE)</f>
        <v>4</v>
      </c>
      <c r="AE28" s="4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Drop2N</v>
      </c>
      <c r="AF28" s="7">
        <v>1</v>
      </c>
      <c r="AG28" s="23">
        <f t="shared" ca="1" si="17"/>
        <v>4</v>
      </c>
      <c r="AH28" s="102">
        <v>40</v>
      </c>
      <c r="AI28" s="7">
        <v>0</v>
      </c>
      <c r="AJ28" s="7">
        <v>0</v>
      </c>
      <c r="AK28" s="7">
        <v>0</v>
      </c>
      <c r="AL28" s="7">
        <v>0</v>
      </c>
      <c r="AM28" s="7">
        <v>1</v>
      </c>
      <c r="AN28" s="69">
        <v>1</v>
      </c>
    </row>
    <row r="29" spans="1:40" ht="21" customHeight="1" x14ac:dyDescent="0.15">
      <c r="A29" s="15" t="str">
        <f t="shared" si="13"/>
        <v>39004_4-1/164&lt;lv40&gt;s2</v>
      </c>
      <c r="B29" s="21">
        <v>39004</v>
      </c>
      <c r="C29" s="20">
        <v>4</v>
      </c>
      <c r="D29" s="2" t="str">
        <f t="shared" si="14"/>
        <v>39004_4</v>
      </c>
      <c r="E29" s="4" t="str">
        <f ca="1">VLOOKUP($B29,OFFSET([2]quests!$A$1,0,0,COUNTA([2]quests!$A:$A),MATCH(E$1,[2]quests!$1:$1,0)-MATCH($B$1,[2]quests!$1:$1,0)+1),MATCH(E$1,[2]quests!$1:$1,0)-MATCH($B$1,[2]quests!$1:$1,0)+1,FALSE)</f>
        <v xml:space="preserve">ニムダのおきにいり♪ </v>
      </c>
      <c r="F29" s="4" t="str">
        <f ca="1">VLOOKUP($D29,OFFSET([2]stages!$A$1,0,0,COUNTA([2]stages!$A:$A),MATCH(F$1,[2]stages!$2:$2,0)-MATCH($D$1,[2]stages!$2:$2,0)+1),MATCH(F$1,[2]stages!$2:$2,0)-MATCH($D$1,[2]stages!$2:$2,0)+1,FALSE)</f>
        <v xml:space="preserve">【超級】ニムダのおきにいり♪ </v>
      </c>
      <c r="G29" s="20">
        <v>1</v>
      </c>
      <c r="H29" s="14" t="str">
        <f t="shared" si="15"/>
        <v>39004_4-1</v>
      </c>
      <c r="I29" s="4">
        <f ca="1">VLOOKUP($H29,OFFSET(floors!$A$1,0,0,COUNTA(floors!$A:$A),MATCH(I$1,floors!$1:$1,0)-MATCH($H$1,floors!$1:$1,0)+1),MATCH(I$1,floors!$1:$1,0)-MATCH($H$1,floors!$1:$1,0)+1,FALSE)</f>
        <v>60</v>
      </c>
      <c r="J29" s="4">
        <f ca="1">VLOOKUP($H29,OFFSET(floors!$A$1,0,0,COUNTA(floors!$A:$A),MATCH(J$1,floors!$1:$1,0)-MATCH($H$1,floors!$1:$1,0)+1),MATCH(J$1,floors!$1:$1,0)-MATCH($H$1,floors!$1:$1,0)+1,FALSE)</f>
        <v>60</v>
      </c>
      <c r="K29" s="37" t="s">
        <v>224</v>
      </c>
      <c r="L29" s="20">
        <v>164</v>
      </c>
      <c r="M29" s="16" t="str">
        <f ca="1">VLOOKUP($L29,OFFSET([3]enemies!$A$1,0,0,COUNTA([3]enemies!$A:$A),MATCH(M$1,[3]enemies!$1:$1,0)-MATCH($L$1,[3]enemies!$1:$1,0)+1),MATCH(M$1,[3]enemies!$1:$1,0)-MATCH($L$1,[3]enemies!$1:$1,0)+1,FALSE)</f>
        <v>イブとトモダチ</v>
      </c>
      <c r="N29" s="16" t="str">
        <f ca="1">VLOOKUP($L29,OFFSET([3]enemies!$A$1,0,0,COUNTA([3]enemies!$A:$A),MATCH(N$1,[3]enemies!$1:$1,0)-MATCH($L$1,[3]enemies!$1:$1,0)+1),MATCH(N$1,[3]enemies!$1:$1,0)-MATCH($L$1,[3]enemies!$1:$1,0)+1,FALSE)</f>
        <v>yellow</v>
      </c>
      <c r="O29" s="16" t="str">
        <f ca="1">VLOOKUP($L29,OFFSET([4]characters!$A$1,0,0,COUNTA([4]characters!$A:$A),MATCH(O$1,[4]characters!$1:$1,0)-MATCH($L$1,[4]characters!$1:$1,0)+1),MATCH(O$1,[4]characters!$1:$1,0)-MATCH($L$1,[4]characters!$1:$1,0)+1,FALSE)</f>
        <v>PremiumW</v>
      </c>
      <c r="P29" s="16" t="str">
        <f ca="1">VLOOKUP($L29,OFFSET([3]enemies!$A$1,0,0,COUNTA([3]enemies!$A:$A),MATCH(P$1,[3]enemies!$1:$1,0)-MATCH($L$1,[3]enemies!$1:$1,0)+1),MATCH(P$1,[3]enemies!$1:$1,0)-MATCH($L$1,[3]enemies!$1:$1,0)+1,FALSE)</f>
        <v>human</v>
      </c>
      <c r="Q29" s="16">
        <f ca="1">VLOOKUP($L29,OFFSET([3]enemies!$A$1,0,0,COUNTA([3]enemies!$A:$A),MATCH(Q$1,[3]enemies!$1:$1,0)-MATCH($L$1,[3]enemies!$1:$1,0)+1),MATCH(Q$1,[3]enemies!$1:$1,0)-MATCH($L$1,[3]enemies!$1:$1,0)+1,FALSE)</f>
        <v>20</v>
      </c>
      <c r="R29" s="103">
        <v>40</v>
      </c>
      <c r="S29" s="104">
        <v>1</v>
      </c>
      <c r="T29" s="105">
        <v>1</v>
      </c>
      <c r="U29" s="5">
        <v>0</v>
      </c>
      <c r="V29" s="4" t="str">
        <f ca="1">VLOOKUP($W29,OFFSET(enemy_skill_sets!$B$1,0,0,COUNTA(enemy_skill_sets!$B:$B),MATCH(M$1,enemy_skill_sets!$1:$1,0)-MATCH($W$1,enemy_skill_sets!$1:$1,0)+2),MATCH(M$1,enemy_skill_sets!$1:$1,0)-MATCH($W$1,enemy_skill_sets!$1:$1,0)+2,FALSE)</f>
        <v>一定確率で1ターンスキルが使えない！</v>
      </c>
      <c r="W29" s="61">
        <v>39004001</v>
      </c>
      <c r="X29" s="6">
        <v>1</v>
      </c>
      <c r="Y29" s="6">
        <v>100</v>
      </c>
      <c r="Z29" s="6">
        <v>1</v>
      </c>
      <c r="AA29" s="16">
        <v>2</v>
      </c>
      <c r="AB29" s="23">
        <f t="shared" si="16"/>
        <v>164</v>
      </c>
      <c r="AC29" s="4" t="str">
        <f ca="1">VLOOKUP($AB29,OFFSET([4]characters!$A$1,0,0,COUNTA([4]characters!$A:$A),MATCH(AC$1,[4]characters!$1:$1,0)-MATCH("character_id",[4]characters!$1:$1,0)+1),MATCH(AC$1,[4]characters!$1:$1,0)-MATCH("character_id",[4]characters!$1:$1,0)+1,FALSE)</f>
        <v>イブとトモダチ</v>
      </c>
      <c r="AD29" s="4">
        <f ca="1">VLOOKUP($AB29,OFFSET([4]characters!$A$1,0,0,COUNTA([4]characters!$A:$A),MATCH(AD$1,[4]characters!$1:$1,0)-MATCH("character_id",[4]characters!$1:$1,0)+1),MATCH(AD$1,[4]characters!$1:$1,0)-MATCH("character_id",[4]characters!$1:$1,0)+1,FALSE)</f>
        <v>3</v>
      </c>
      <c r="AE29" s="4" t="str">
        <f ca="1">VLOOKUP($AB29,OFFSET([4]characters!$A$1,0,0,COUNTA([4]characters!$A:$A),MATCH(AE$1,[4]characters!$1:$1,0)-MATCH("character_id",[4]characters!$1:$1,0)+1),MATCH(AE$1,[4]characters!$1:$1,0)-MATCH("character_id",[4]characters!$1:$1,0)+1,FALSE)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29" s="7">
        <v>1</v>
      </c>
      <c r="AG29" s="23">
        <f t="shared" ca="1" si="17"/>
        <v>3</v>
      </c>
      <c r="AH29" s="107">
        <v>0</v>
      </c>
      <c r="AI29" s="7">
        <v>0</v>
      </c>
      <c r="AJ29" s="7">
        <v>0</v>
      </c>
      <c r="AK29" s="7">
        <v>0</v>
      </c>
      <c r="AL29" s="7">
        <v>0</v>
      </c>
      <c r="AM29" s="7">
        <v>1</v>
      </c>
      <c r="AN29" s="69">
        <v>1</v>
      </c>
    </row>
    <row r="30" spans="1:40" ht="21" customHeight="1" x14ac:dyDescent="0.15">
      <c r="A30" s="15" t="str">
        <f t="shared" si="13"/>
        <v>39004_4-1/20&lt;lv40&gt;s2</v>
      </c>
      <c r="B30" s="21">
        <v>39004</v>
      </c>
      <c r="C30" s="20">
        <v>4</v>
      </c>
      <c r="D30" s="2" t="str">
        <f t="shared" si="14"/>
        <v>39004_4</v>
      </c>
      <c r="E30" s="4" t="str">
        <f ca="1">VLOOKUP($B30,OFFSET([2]quests!$A$1,0,0,COUNTA([2]quests!$A:$A),MATCH(E$1,[2]quests!$1:$1,0)-MATCH($B$1,[2]quests!$1:$1,0)+1),MATCH(E$1,[2]quests!$1:$1,0)-MATCH($B$1,[2]quests!$1:$1,0)+1,FALSE)</f>
        <v xml:space="preserve">ニムダのおきにいり♪ </v>
      </c>
      <c r="F30" s="4" t="str">
        <f ca="1">VLOOKUP($D30,OFFSET([2]stages!$A$1,0,0,COUNTA([2]stages!$A:$A),MATCH(F$1,[2]stages!$2:$2,0)-MATCH($D$1,[2]stages!$2:$2,0)+1),MATCH(F$1,[2]stages!$2:$2,0)-MATCH($D$1,[2]stages!$2:$2,0)+1,FALSE)</f>
        <v xml:space="preserve">【超級】ニムダのおきにいり♪ </v>
      </c>
      <c r="G30" s="20">
        <v>1</v>
      </c>
      <c r="H30" s="14" t="str">
        <f t="shared" si="15"/>
        <v>39004_4-1</v>
      </c>
      <c r="I30" s="4">
        <f ca="1">VLOOKUP($H30,OFFSET(floors!$A$1,0,0,COUNTA(floors!$A:$A),MATCH(I$1,floors!$1:$1,0)-MATCH($H$1,floors!$1:$1,0)+1),MATCH(I$1,floors!$1:$1,0)-MATCH($H$1,floors!$1:$1,0)+1,FALSE)</f>
        <v>60</v>
      </c>
      <c r="J30" s="4">
        <f ca="1">VLOOKUP($H30,OFFSET(floors!$A$1,0,0,COUNTA(floors!$A:$A),MATCH(J$1,floors!$1:$1,0)-MATCH($H$1,floors!$1:$1,0)+1),MATCH(J$1,floors!$1:$1,0)-MATCH($H$1,floors!$1:$1,0)+1,FALSE)</f>
        <v>60</v>
      </c>
      <c r="K30" s="37" t="s">
        <v>224</v>
      </c>
      <c r="L30" s="20">
        <v>20</v>
      </c>
      <c r="M30" s="16" t="str">
        <f ca="1">VLOOKUP($L30,OFFSET([3]enemies!$A$1,0,0,COUNTA([3]enemies!$A:$A),MATCH(M$1,[3]enemies!$1:$1,0)-MATCH($L$1,[3]enemies!$1:$1,0)+1),MATCH(M$1,[3]enemies!$1:$1,0)-MATCH($L$1,[3]enemies!$1:$1,0)+1,FALSE)</f>
        <v>電子妖精 ティンク</v>
      </c>
      <c r="N30" s="16" t="str">
        <f ca="1">VLOOKUP($L30,OFFSET([3]enemies!$A$1,0,0,COUNTA([3]enemies!$A:$A),MATCH(N$1,[3]enemies!$1:$1,0)-MATCH($L$1,[3]enemies!$1:$1,0)+1),MATCH(N$1,[3]enemies!$1:$1,0)-MATCH($L$1,[3]enemies!$1:$1,0)+1,FALSE)</f>
        <v>yellow</v>
      </c>
      <c r="O30" s="16" t="str">
        <f ca="1">VLOOKUP($L30,OFFSET([4]characters!$A$1,0,0,COUNTA([4]characters!$A:$A),MATCH(O$1,[4]characters!$1:$1,0)-MATCH($L$1,[4]characters!$1:$1,0)+1),MATCH(O$1,[4]characters!$1:$1,0)-MATCH($L$1,[4]characters!$1:$1,0)+1,FALSE)</f>
        <v>Drop1W</v>
      </c>
      <c r="P30" s="16" t="str">
        <f ca="1">VLOOKUP($L30,OFFSET([3]enemies!$A$1,0,0,COUNTA([3]enemies!$A:$A),MATCH(P$1,[3]enemies!$1:$1,0)-MATCH($L$1,[3]enemies!$1:$1,0)+1),MATCH(P$1,[3]enemies!$1:$1,0)-MATCH($L$1,[3]enemies!$1:$1,0)+1,FALSE)</f>
        <v>human</v>
      </c>
      <c r="Q30" s="16">
        <f ca="1">VLOOKUP($L30,OFFSET([3]enemies!$A$1,0,0,COUNTA([3]enemies!$A:$A),MATCH(Q$1,[3]enemies!$1:$1,0)-MATCH($L$1,[3]enemies!$1:$1,0)+1),MATCH(Q$1,[3]enemies!$1:$1,0)-MATCH($L$1,[3]enemies!$1:$1,0)+1,FALSE)</f>
        <v>15</v>
      </c>
      <c r="R30" s="103">
        <v>40</v>
      </c>
      <c r="S30" s="104">
        <v>1</v>
      </c>
      <c r="T30" s="105">
        <v>1</v>
      </c>
      <c r="U30" s="5">
        <v>0</v>
      </c>
      <c r="V30" s="4" t="str">
        <f ca="1">VLOOKUP($W30,OFFSET(enemy_skill_sets!$B$1,0,0,COUNTA(enemy_skill_sets!$B:$B),MATCH(M$1,enemy_skill_sets!$1:$1,0)-MATCH($W$1,enemy_skill_sets!$1:$1,0)+2),MATCH(M$1,enemy_skill_sets!$1:$1,0)-MATCH($W$1,enemy_skill_sets!$1:$1,0)+2,FALSE)</f>
        <v>3ターン攻撃頻度が1ターンにUP</v>
      </c>
      <c r="W30" s="61">
        <v>39004002</v>
      </c>
      <c r="X30" s="6">
        <v>2</v>
      </c>
      <c r="Y30" s="6">
        <v>100</v>
      </c>
      <c r="Z30" s="6">
        <v>2</v>
      </c>
      <c r="AA30" s="16">
        <v>2</v>
      </c>
      <c r="AB30" s="23">
        <f t="shared" si="16"/>
        <v>20</v>
      </c>
      <c r="AC30" s="4" t="str">
        <f ca="1">VLOOKUP($AB30,OFFSET([4]characters!$A$1,0,0,COUNTA([4]characters!$A:$A),MATCH(AC$1,[4]characters!$1:$1,0)-MATCH("character_id",[4]characters!$1:$1,0)+1),MATCH(AC$1,[4]characters!$1:$1,0)-MATCH("character_id",[4]characters!$1:$1,0)+1,FALSE)</f>
        <v>電子妖精 ティンク</v>
      </c>
      <c r="AD30" s="4">
        <f ca="1">VLOOKUP($AB30,OFFSET([4]characters!$A$1,0,0,COUNTA([4]characters!$A:$A),MATCH(AD$1,[4]characters!$1:$1,0)-MATCH("character_id",[4]characters!$1:$1,0)+1),MATCH(AD$1,[4]characters!$1:$1,0)-MATCH("character_id",[4]characters!$1:$1,0)+1,FALSE)</f>
        <v>2</v>
      </c>
      <c r="AE30" s="4" t="str">
        <f ca="1">VLOOKUP($AB30,OFFSET([4]characters!$A$1,0,0,COUNTA([4]characters!$A:$A),MATCH(AE$1,[4]characters!$1:$1,0)-MATCH("character_id",[4]characters!$1:$1,0)+1),MATCH(AE$1,[4]characters!$1:$1,0)-MATCH("character_id",[4]characters!$1:$1,0)+1,FALSE)</f>
        <v>Drop1W</v>
      </c>
      <c r="AF30" s="7">
        <v>1</v>
      </c>
      <c r="AG30" s="23">
        <f t="shared" ca="1" si="17"/>
        <v>2</v>
      </c>
      <c r="AH30" s="107">
        <v>20</v>
      </c>
      <c r="AI30" s="7">
        <v>0</v>
      </c>
      <c r="AJ30" s="7">
        <v>0</v>
      </c>
      <c r="AK30" s="7">
        <v>0</v>
      </c>
      <c r="AL30" s="7">
        <v>0</v>
      </c>
      <c r="AM30" s="7">
        <v>1</v>
      </c>
      <c r="AN30" s="69">
        <v>1</v>
      </c>
    </row>
    <row r="31" spans="1:40" ht="21" customHeight="1" x14ac:dyDescent="0.15">
      <c r="A31" s="15" t="str">
        <f t="shared" si="13"/>
        <v>39004_4-2/83&lt;lv40&gt;s2</v>
      </c>
      <c r="B31" s="21">
        <v>39004</v>
      </c>
      <c r="C31" s="20">
        <v>4</v>
      </c>
      <c r="D31" s="2" t="str">
        <f t="shared" si="14"/>
        <v>39004_4</v>
      </c>
      <c r="E31" s="4" t="str">
        <f ca="1">VLOOKUP($B31,OFFSET([2]quests!$A$1,0,0,COUNTA([2]quests!$A:$A),MATCH(E$1,[2]quests!$1:$1,0)-MATCH($B$1,[2]quests!$1:$1,0)+1),MATCH(E$1,[2]quests!$1:$1,0)-MATCH($B$1,[2]quests!$1:$1,0)+1,FALSE)</f>
        <v xml:space="preserve">ニムダのおきにいり♪ </v>
      </c>
      <c r="F31" s="4" t="str">
        <f ca="1">VLOOKUP($D31,OFFSET([2]stages!$A$1,0,0,COUNTA([2]stages!$A:$A),MATCH(F$1,[2]stages!$2:$2,0)-MATCH($D$1,[2]stages!$2:$2,0)+1),MATCH(F$1,[2]stages!$2:$2,0)-MATCH($D$1,[2]stages!$2:$2,0)+1,FALSE)</f>
        <v xml:space="preserve">【超級】ニムダのおきにいり♪ </v>
      </c>
      <c r="G31" s="20">
        <v>2</v>
      </c>
      <c r="H31" s="14" t="str">
        <f t="shared" si="15"/>
        <v>39004_4-2</v>
      </c>
      <c r="I31" s="4">
        <f ca="1">VLOOKUP($H31,OFFSET(floors!$A$1,0,0,COUNTA(floors!$A:$A),MATCH(I$1,floors!$1:$1,0)-MATCH($H$1,floors!$1:$1,0)+1),MATCH(I$1,floors!$1:$1,0)-MATCH($H$1,floors!$1:$1,0)+1,FALSE)</f>
        <v>60</v>
      </c>
      <c r="J31" s="4">
        <f ca="1">VLOOKUP($H31,OFFSET(floors!$A$1,0,0,COUNTA(floors!$A:$A),MATCH(J$1,floors!$1:$1,0)-MATCH($H$1,floors!$1:$1,0)+1),MATCH(J$1,floors!$1:$1,0)-MATCH($H$1,floors!$1:$1,0)+1,FALSE)</f>
        <v>60</v>
      </c>
      <c r="K31" s="37" t="s">
        <v>224</v>
      </c>
      <c r="L31" s="20">
        <v>83</v>
      </c>
      <c r="M31" s="16" t="str">
        <f ca="1">VLOOKUP($L31,OFFSET([3]enemies!$A$1,0,0,COUNTA([3]enemies!$A:$A),MATCH(M$1,[3]enemies!$1:$1,0)-MATCH($L$1,[3]enemies!$1:$1,0)+1),MATCH(M$1,[3]enemies!$1:$1,0)-MATCH($L$1,[3]enemies!$1:$1,0)+1,FALSE)</f>
        <v>拡散性ニムダ</v>
      </c>
      <c r="N31" s="16" t="str">
        <f ca="1">VLOOKUP($L31,OFFSET([3]enemies!$A$1,0,0,COUNTA([3]enemies!$A:$A),MATCH(N$1,[3]enemies!$1:$1,0)-MATCH($L$1,[3]enemies!$1:$1,0)+1),MATCH(N$1,[3]enemies!$1:$1,0)-MATCH($L$1,[3]enemies!$1:$1,0)+1,FALSE)</f>
        <v>yellow</v>
      </c>
      <c r="O31" s="16" t="str">
        <f ca="1">VLOOKUP($L31,OFFSET([4]characters!$A$1,0,0,COUNTA([4]characters!$A:$A),MATCH(O$1,[4]characters!$1:$1,0)-MATCH($L$1,[4]characters!$1:$1,0)+1),MATCH(O$1,[4]characters!$1:$1,0)-MATCH($L$1,[4]characters!$1:$1,0)+1,FALSE)</f>
        <v>DropWizW</v>
      </c>
      <c r="P31" s="16" t="str">
        <f ca="1">VLOOKUP($L31,OFFSET([3]enemies!$A$1,0,0,COUNTA([3]enemies!$A:$A),MATCH(P$1,[3]enemies!$1:$1,0)-MATCH($L$1,[3]enemies!$1:$1,0)+1),MATCH(P$1,[3]enemies!$1:$1,0)-MATCH($L$1,[3]enemies!$1:$1,0)+1,FALSE)</f>
        <v>unknown</v>
      </c>
      <c r="Q31" s="16">
        <f ca="1">VLOOKUP($L31,OFFSET([3]enemies!$A$1,0,0,COUNTA([3]enemies!$A:$A),MATCH(Q$1,[3]enemies!$1:$1,0)-MATCH($L$1,[3]enemies!$1:$1,0)+1),MATCH(Q$1,[3]enemies!$1:$1,0)-MATCH($L$1,[3]enemies!$1:$1,0)+1,FALSE)</f>
        <v>20</v>
      </c>
      <c r="R31" s="103">
        <v>40</v>
      </c>
      <c r="S31" s="104">
        <v>1</v>
      </c>
      <c r="T31" s="105">
        <v>1</v>
      </c>
      <c r="U31" s="5">
        <v>0</v>
      </c>
      <c r="V31" s="4" t="str">
        <f ca="1">VLOOKUP($W31,OFFSET(enemy_skill_sets!$B$1,0,0,COUNTA(enemy_skill_sets!$B:$B),MATCH(M$1,enemy_skill_sets!$1:$1,0)-MATCH($W$1,enemy_skill_sets!$1:$1,0)+2),MATCH(M$1,enemy_skill_sets!$1:$1,0)-MATCH($W$1,enemy_skill_sets!$1:$1,0)+2,FALSE)</f>
        <v>おねだりしている</v>
      </c>
      <c r="W31" s="61">
        <v>39004003</v>
      </c>
      <c r="X31" s="6">
        <v>1</v>
      </c>
      <c r="Y31" s="6">
        <v>100</v>
      </c>
      <c r="Z31" s="6">
        <v>1</v>
      </c>
      <c r="AA31" s="16">
        <v>2</v>
      </c>
      <c r="AB31" s="23">
        <f t="shared" si="16"/>
        <v>83</v>
      </c>
      <c r="AC31" s="4" t="str">
        <f ca="1">VLOOKUP($AB31,OFFSET([4]characters!$A$1,0,0,COUNTA([4]characters!$A:$A),MATCH(AC$1,[4]characters!$1:$1,0)-MATCH("character_id",[4]characters!$1:$1,0)+1),MATCH(AC$1,[4]characters!$1:$1,0)-MATCH("character_id",[4]characters!$1:$1,0)+1,FALSE)</f>
        <v>拡散性ニムダ</v>
      </c>
      <c r="AD31" s="4">
        <f ca="1">VLOOKUP($AB31,OFFSET([4]characters!$A$1,0,0,COUNTA([4]characters!$A:$A),MATCH(AD$1,[4]characters!$1:$1,0)-MATCH("character_id",[4]characters!$1:$1,0)+1),MATCH(AD$1,[4]characters!$1:$1,0)-MATCH("character_id",[4]characters!$1:$1,0)+1,FALSE)</f>
        <v>3</v>
      </c>
      <c r="AE31" s="4" t="str">
        <f ca="1">VLOOKUP($AB31,OFFSET([4]characters!$A$1,0,0,COUNTA([4]characters!$A:$A),MATCH(AE$1,[4]characters!$1:$1,0)-MATCH("character_id",[4]characters!$1:$1,0)+1),MATCH(AE$1,[4]characters!$1:$1,0)-MATCH("character_id",[4]characters!$1:$1,0)+1,FALSE)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31" s="7">
        <v>1</v>
      </c>
      <c r="AG31" s="23">
        <f t="shared" ca="1" si="17"/>
        <v>3</v>
      </c>
      <c r="AH31" s="107">
        <v>0</v>
      </c>
      <c r="AI31" s="7">
        <v>0</v>
      </c>
      <c r="AJ31" s="7">
        <v>0</v>
      </c>
      <c r="AK31" s="7">
        <v>0</v>
      </c>
      <c r="AL31" s="7">
        <v>0</v>
      </c>
      <c r="AM31" s="7">
        <v>1</v>
      </c>
      <c r="AN31" s="69">
        <v>1</v>
      </c>
    </row>
    <row r="32" spans="1:40" ht="21" customHeight="1" x14ac:dyDescent="0.15">
      <c r="A32" s="15" t="str">
        <f t="shared" si="13"/>
        <v>39004_4-2/387&lt;lv40&gt;s3</v>
      </c>
      <c r="B32" s="21">
        <v>39004</v>
      </c>
      <c r="C32" s="20">
        <v>4</v>
      </c>
      <c r="D32" s="2" t="str">
        <f t="shared" si="14"/>
        <v>39004_4</v>
      </c>
      <c r="E32" s="4" t="str">
        <f ca="1">VLOOKUP($B32,OFFSET([2]quests!$A$1,0,0,COUNTA([2]quests!$A:$A),MATCH(E$1,[2]quests!$1:$1,0)-MATCH($B$1,[2]quests!$1:$1,0)+1),MATCH(E$1,[2]quests!$1:$1,0)-MATCH($B$1,[2]quests!$1:$1,0)+1,FALSE)</f>
        <v xml:space="preserve">ニムダのおきにいり♪ </v>
      </c>
      <c r="F32" s="4" t="str">
        <f ca="1">VLOOKUP($D32,OFFSET([2]stages!$A$1,0,0,COUNTA([2]stages!$A:$A),MATCH(F$1,[2]stages!$2:$2,0)-MATCH($D$1,[2]stages!$2:$2,0)+1),MATCH(F$1,[2]stages!$2:$2,0)-MATCH($D$1,[2]stages!$2:$2,0)+1,FALSE)</f>
        <v xml:space="preserve">【超級】ニムダのおきにいり♪ </v>
      </c>
      <c r="G32" s="20">
        <v>2</v>
      </c>
      <c r="H32" s="14" t="str">
        <f t="shared" si="15"/>
        <v>39004_4-2</v>
      </c>
      <c r="I32" s="4">
        <f ca="1">VLOOKUP($H32,OFFSET(floors!$A$1,0,0,COUNTA(floors!$A:$A),MATCH(I$1,floors!$1:$1,0)-MATCH($H$1,floors!$1:$1,0)+1),MATCH(I$1,floors!$1:$1,0)-MATCH($H$1,floors!$1:$1,0)+1,FALSE)</f>
        <v>60</v>
      </c>
      <c r="J32" s="4">
        <f ca="1">VLOOKUP($H32,OFFSET(floors!$A$1,0,0,COUNTA(floors!$A:$A),MATCH(J$1,floors!$1:$1,0)-MATCH($H$1,floors!$1:$1,0)+1),MATCH(J$1,floors!$1:$1,0)-MATCH($H$1,floors!$1:$1,0)+1,FALSE)</f>
        <v>60</v>
      </c>
      <c r="K32" s="37" t="s">
        <v>224</v>
      </c>
      <c r="L32" s="20">
        <v>387</v>
      </c>
      <c r="M32" s="16" t="str">
        <f ca="1">VLOOKUP($L32,OFFSET([3]enemies!$A$1,0,0,COUNTA([3]enemies!$A:$A),MATCH(M$1,[3]enemies!$1:$1,0)-MATCH($L$1,[3]enemies!$1:$1,0)+1),MATCH(M$1,[3]enemies!$1:$1,0)-MATCH($L$1,[3]enemies!$1:$1,0)+1,FALSE)</f>
        <v>スフィンクス</v>
      </c>
      <c r="N32" s="16" t="str">
        <f ca="1">VLOOKUP($L32,OFFSET([3]enemies!$A$1,0,0,COUNTA([3]enemies!$A:$A),MATCH(N$1,[3]enemies!$1:$1,0)-MATCH($L$1,[3]enemies!$1:$1,0)+1),MATCH(N$1,[3]enemies!$1:$1,0)-MATCH($L$1,[3]enemies!$1:$1,0)+1,FALSE)</f>
        <v>yellow</v>
      </c>
      <c r="O32" s="16" t="str">
        <f ca="1">VLOOKUP($L32,OFFSET([4]characters!$A$1,0,0,COUNTA([4]characters!$A:$A),MATCH(O$1,[4]characters!$1:$1,0)-MATCH($L$1,[4]characters!$1:$1,0)+1),MATCH(O$1,[4]characters!$1:$1,0)-MATCH($L$1,[4]characters!$1:$1,0)+1,FALSE)</f>
        <v>PremiumS</v>
      </c>
      <c r="P32" s="16" t="str">
        <f ca="1">VLOOKUP($L32,OFFSET([3]enemies!$A$1,0,0,COUNTA([3]enemies!$A:$A),MATCH(P$1,[3]enemies!$1:$1,0)-MATCH($L$1,[3]enemies!$1:$1,0)+1),MATCH(P$1,[3]enemies!$1:$1,0)-MATCH($L$1,[3]enemies!$1:$1,0)+1,FALSE)</f>
        <v>animal</v>
      </c>
      <c r="Q32" s="16">
        <f ca="1">VLOOKUP($L32,OFFSET([3]enemies!$A$1,0,0,COUNTA([3]enemies!$A:$A),MATCH(Q$1,[3]enemies!$1:$1,0)-MATCH($L$1,[3]enemies!$1:$1,0)+1),MATCH(Q$1,[3]enemies!$1:$1,0)-MATCH($L$1,[3]enemies!$1:$1,0)+1,FALSE)</f>
        <v>25</v>
      </c>
      <c r="R32" s="103">
        <v>40</v>
      </c>
      <c r="S32" s="104">
        <v>1</v>
      </c>
      <c r="T32" s="105">
        <v>1</v>
      </c>
      <c r="U32" s="5">
        <v>0</v>
      </c>
      <c r="V32" s="4" t="str">
        <f ca="1">VLOOKUP($W32,OFFSET(enemy_skill_sets!$B$1,0,0,COUNTA(enemy_skill_sets!$B:$B),MATCH(M$1,enemy_skill_sets!$1:$1,0)-MATCH($W$1,enemy_skill_sets!$1:$1,0)+2),MATCH(M$1,enemy_skill_sets!$1:$1,0)-MATCH($W$1,enemy_skill_sets!$1:$1,0)+2,FALSE)</f>
        <v>2ターン防御力UP</v>
      </c>
      <c r="W32" s="61">
        <v>39004004</v>
      </c>
      <c r="X32" s="6">
        <v>1</v>
      </c>
      <c r="Y32" s="6">
        <v>100</v>
      </c>
      <c r="Z32" s="6">
        <v>2</v>
      </c>
      <c r="AA32" s="16">
        <v>3</v>
      </c>
      <c r="AB32" s="23">
        <f t="shared" si="16"/>
        <v>387</v>
      </c>
      <c r="AC32" s="4" t="str">
        <f ca="1">VLOOKUP($AB32,OFFSET([4]characters!$A$1,0,0,COUNTA([4]characters!$A:$A),MATCH(AC$1,[4]characters!$1:$1,0)-MATCH("character_id",[4]characters!$1:$1,0)+1),MATCH(AC$1,[4]characters!$1:$1,0)-MATCH("character_id",[4]characters!$1:$1,0)+1,FALSE)</f>
        <v>スフィンクス</v>
      </c>
      <c r="AD32" s="4">
        <f ca="1">VLOOKUP($AB32,OFFSET([4]characters!$A$1,0,0,COUNTA([4]characters!$A:$A),MATCH(AD$1,[4]characters!$1:$1,0)-MATCH("character_id",[4]characters!$1:$1,0)+1),MATCH(AD$1,[4]characters!$1:$1,0)-MATCH("character_id",[4]characters!$1:$1,0)+1,FALSE)</f>
        <v>3</v>
      </c>
      <c r="AE32" s="4" t="str">
        <f ca="1">VLOOKUP($AB32,OFFSET([4]characters!$A$1,0,0,COUNTA([4]characters!$A:$A),MATCH(AE$1,[4]characters!$1:$1,0)-MATCH("character_id",[4]characters!$1:$1,0)+1),MATCH(AE$1,[4]characters!$1:$1,0)-MATCH("character_id",[4]characters!$1:$1,0)+1,FALSE)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32" s="7">
        <v>1</v>
      </c>
      <c r="AG32" s="23">
        <f t="shared" ca="1" si="17"/>
        <v>3</v>
      </c>
      <c r="AH32" s="107">
        <v>0</v>
      </c>
      <c r="AI32" s="7">
        <v>0</v>
      </c>
      <c r="AJ32" s="7">
        <v>0</v>
      </c>
      <c r="AK32" s="7">
        <v>0</v>
      </c>
      <c r="AL32" s="7">
        <v>0</v>
      </c>
      <c r="AM32" s="7">
        <v>1</v>
      </c>
      <c r="AN32" s="69">
        <v>1</v>
      </c>
    </row>
    <row r="33" spans="1:40" ht="21" customHeight="1" x14ac:dyDescent="0.15">
      <c r="A33" s="15" t="str">
        <f t="shared" si="13"/>
        <v>39004_4-3/63&lt;lv40&gt;s1</v>
      </c>
      <c r="B33" s="21">
        <v>39004</v>
      </c>
      <c r="C33" s="20">
        <v>4</v>
      </c>
      <c r="D33" s="2" t="str">
        <f t="shared" si="14"/>
        <v>39004_4</v>
      </c>
      <c r="E33" s="4" t="str">
        <f ca="1">VLOOKUP($B33,OFFSET([2]quests!$A$1,0,0,COUNTA([2]quests!$A:$A),MATCH(E$1,[2]quests!$1:$1,0)-MATCH($B$1,[2]quests!$1:$1,0)+1),MATCH(E$1,[2]quests!$1:$1,0)-MATCH($B$1,[2]quests!$1:$1,0)+1,FALSE)</f>
        <v xml:space="preserve">ニムダのおきにいり♪ </v>
      </c>
      <c r="F33" s="4" t="str">
        <f ca="1">VLOOKUP($D33,OFFSET([2]stages!$A$1,0,0,COUNTA([2]stages!$A:$A),MATCH(F$1,[2]stages!$2:$2,0)-MATCH($D$1,[2]stages!$2:$2,0)+1),MATCH(F$1,[2]stages!$2:$2,0)-MATCH($D$1,[2]stages!$2:$2,0)+1,FALSE)</f>
        <v xml:space="preserve">【超級】ニムダのおきにいり♪ </v>
      </c>
      <c r="G33" s="20">
        <v>3</v>
      </c>
      <c r="H33" s="14" t="str">
        <f t="shared" si="15"/>
        <v>39004_4-3</v>
      </c>
      <c r="I33" s="4">
        <f ca="1">VLOOKUP($H33,OFFSET(floors!$A$1,0,0,COUNTA(floors!$A:$A),MATCH(I$1,floors!$1:$1,0)-MATCH($H$1,floors!$1:$1,0)+1),MATCH(I$1,floors!$1:$1,0)-MATCH($H$1,floors!$1:$1,0)+1,FALSE)</f>
        <v>60</v>
      </c>
      <c r="J33" s="4">
        <f ca="1">VLOOKUP($H33,OFFSET(floors!$A$1,0,0,COUNTA(floors!$A:$A),MATCH(J$1,floors!$1:$1,0)-MATCH($H$1,floors!$1:$1,0)+1),MATCH(J$1,floors!$1:$1,0)-MATCH($H$1,floors!$1:$1,0)+1,FALSE)</f>
        <v>60</v>
      </c>
      <c r="K33" s="37" t="s">
        <v>224</v>
      </c>
      <c r="L33" s="20">
        <v>63</v>
      </c>
      <c r="M33" s="16" t="str">
        <f ca="1">VLOOKUP($L33,OFFSET([3]enemies!$A$1,0,0,COUNTA([3]enemies!$A:$A),MATCH(M$1,[3]enemies!$1:$1,0)-MATCH($L$1,[3]enemies!$1:$1,0)+1),MATCH(M$1,[3]enemies!$1:$1,0)-MATCH($L$1,[3]enemies!$1:$1,0)+1,FALSE)</f>
        <v>トニー</v>
      </c>
      <c r="N33" s="16" t="str">
        <f ca="1">VLOOKUP($L33,OFFSET([3]enemies!$A$1,0,0,COUNTA([3]enemies!$A:$A),MATCH(N$1,[3]enemies!$1:$1,0)-MATCH($L$1,[3]enemies!$1:$1,0)+1),MATCH(N$1,[3]enemies!$1:$1,0)-MATCH($L$1,[3]enemies!$1:$1,0)+1,FALSE)</f>
        <v>yellow</v>
      </c>
      <c r="O33" s="16" t="str">
        <f ca="1">VLOOKUP($L33,OFFSET([4]characters!$A$1,0,0,COUNTA([4]characters!$A:$A),MATCH(O$1,[4]characters!$1:$1,0)-MATCH($L$1,[4]characters!$1:$1,0)+1),MATCH(O$1,[4]characters!$1:$1,0)-MATCH($L$1,[4]characters!$1:$1,0)+1,FALSE)</f>
        <v>Drop1N</v>
      </c>
      <c r="P33" s="16" t="str">
        <f ca="1">VLOOKUP($L33,OFFSET([3]enemies!$A$1,0,0,COUNTA([3]enemies!$A:$A),MATCH(P$1,[3]enemies!$1:$1,0)-MATCH($L$1,[3]enemies!$1:$1,0)+1),MATCH(P$1,[3]enemies!$1:$1,0)-MATCH($L$1,[3]enemies!$1:$1,0)+1,FALSE)</f>
        <v>animal</v>
      </c>
      <c r="Q33" s="16">
        <f ca="1">VLOOKUP($L33,OFFSET([3]enemies!$A$1,0,0,COUNTA([3]enemies!$A:$A),MATCH(Q$1,[3]enemies!$1:$1,0)-MATCH($L$1,[3]enemies!$1:$1,0)+1),MATCH(Q$1,[3]enemies!$1:$1,0)-MATCH($L$1,[3]enemies!$1:$1,0)+1,FALSE)</f>
        <v>15</v>
      </c>
      <c r="R33" s="103">
        <v>40</v>
      </c>
      <c r="S33" s="104">
        <v>1</v>
      </c>
      <c r="T33" s="105">
        <v>0.9</v>
      </c>
      <c r="U33" s="5">
        <v>0</v>
      </c>
      <c r="V33" s="4" t="str">
        <f ca="1">VLOOKUP($W33,OFFSET(enemy_skill_sets!$B$1,0,0,COUNTA(enemy_skill_sets!$B:$B),MATCH(M$1,enemy_skill_sets!$1:$1,0)-MATCH($W$1,enemy_skill_sets!$1:$1,0)+2),MATCH(M$1,enemy_skill_sets!$1:$1,0)-MATCH($W$1,enemy_skill_sets!$1:$1,0)+2,FALSE)</f>
        <v>2回連続攻撃</v>
      </c>
      <c r="W33" s="61">
        <v>39004005</v>
      </c>
      <c r="X33" s="6">
        <v>1</v>
      </c>
      <c r="Y33" s="6">
        <v>100</v>
      </c>
      <c r="Z33" s="6">
        <v>2</v>
      </c>
      <c r="AA33" s="16">
        <v>1</v>
      </c>
      <c r="AB33" s="23">
        <f t="shared" si="16"/>
        <v>63</v>
      </c>
      <c r="AC33" s="4" t="str">
        <f ca="1">VLOOKUP($AB33,OFFSET([4]characters!$A$1,0,0,COUNTA([4]characters!$A:$A),MATCH(AC$1,[4]characters!$1:$1,0)-MATCH("character_id",[4]characters!$1:$1,0)+1),MATCH(AC$1,[4]characters!$1:$1,0)-MATCH("character_id",[4]characters!$1:$1,0)+1,FALSE)</f>
        <v>トニー</v>
      </c>
      <c r="AD33" s="4">
        <f ca="1">VLOOKUP($AB33,OFFSET([4]characters!$A$1,0,0,COUNTA([4]characters!$A:$A),MATCH(AD$1,[4]characters!$1:$1,0)-MATCH("character_id",[4]characters!$1:$1,0)+1),MATCH(AD$1,[4]characters!$1:$1,0)-MATCH("character_id",[4]characters!$1:$1,0)+1,FALSE)</f>
        <v>2</v>
      </c>
      <c r="AE33" s="4" t="str">
        <f ca="1">VLOOKUP($AB33,OFFSET([4]characters!$A$1,0,0,COUNTA([4]characters!$A:$A),MATCH(AE$1,[4]characters!$1:$1,0)-MATCH("character_id",[4]characters!$1:$1,0)+1),MATCH(AE$1,[4]characters!$1:$1,0)-MATCH("character_id",[4]characters!$1:$1,0)+1,FALSE)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3" s="7">
        <v>1</v>
      </c>
      <c r="AG33" s="23">
        <f t="shared" ca="1" si="17"/>
        <v>2</v>
      </c>
      <c r="AH33" s="107">
        <v>0</v>
      </c>
      <c r="AI33" s="7">
        <v>0</v>
      </c>
      <c r="AJ33" s="7">
        <v>0</v>
      </c>
      <c r="AK33" s="7">
        <v>0</v>
      </c>
      <c r="AL33" s="7">
        <v>0</v>
      </c>
      <c r="AM33" s="7">
        <v>1</v>
      </c>
      <c r="AN33" s="69">
        <v>1</v>
      </c>
    </row>
    <row r="34" spans="1:40" ht="21" customHeight="1" x14ac:dyDescent="0.15">
      <c r="A34" s="15" t="str">
        <f t="shared" si="13"/>
        <v>39004_4-3/56&lt;lv41&gt;s2</v>
      </c>
      <c r="B34" s="21">
        <v>39004</v>
      </c>
      <c r="C34" s="20">
        <v>4</v>
      </c>
      <c r="D34" s="2" t="str">
        <f t="shared" si="14"/>
        <v>39004_4</v>
      </c>
      <c r="E34" s="4" t="str">
        <f ca="1">VLOOKUP($B34,OFFSET([2]quests!$A$1,0,0,COUNTA([2]quests!$A:$A),MATCH(E$1,[2]quests!$1:$1,0)-MATCH($B$1,[2]quests!$1:$1,0)+1),MATCH(E$1,[2]quests!$1:$1,0)-MATCH($B$1,[2]quests!$1:$1,0)+1,FALSE)</f>
        <v xml:space="preserve">ニムダのおきにいり♪ </v>
      </c>
      <c r="F34" s="4" t="str">
        <f ca="1">VLOOKUP($D34,OFFSET([2]stages!$A$1,0,0,COUNTA([2]stages!$A:$A),MATCH(F$1,[2]stages!$2:$2,0)-MATCH($D$1,[2]stages!$2:$2,0)+1),MATCH(F$1,[2]stages!$2:$2,0)-MATCH($D$1,[2]stages!$2:$2,0)+1,FALSE)</f>
        <v xml:space="preserve">【超級】ニムダのおきにいり♪ </v>
      </c>
      <c r="G34" s="20">
        <v>3</v>
      </c>
      <c r="H34" s="14" t="str">
        <f t="shared" si="15"/>
        <v>39004_4-3</v>
      </c>
      <c r="I34" s="4">
        <f ca="1">VLOOKUP($H34,OFFSET(floors!$A$1,0,0,COUNTA(floors!$A:$A),MATCH(I$1,floors!$1:$1,0)-MATCH($H$1,floors!$1:$1,0)+1),MATCH(I$1,floors!$1:$1,0)-MATCH($H$1,floors!$1:$1,0)+1,FALSE)</f>
        <v>60</v>
      </c>
      <c r="J34" s="4">
        <f ca="1">VLOOKUP($H34,OFFSET(floors!$A$1,0,0,COUNTA(floors!$A:$A),MATCH(J$1,floors!$1:$1,0)-MATCH($H$1,floors!$1:$1,0)+1),MATCH(J$1,floors!$1:$1,0)-MATCH($H$1,floors!$1:$1,0)+1,FALSE)</f>
        <v>60</v>
      </c>
      <c r="K34" s="37" t="s">
        <v>224</v>
      </c>
      <c r="L34" s="20">
        <v>56</v>
      </c>
      <c r="M34" s="16" t="str">
        <f ca="1">VLOOKUP($L34,OFFSET([3]enemies!$A$1,0,0,COUNTA([3]enemies!$A:$A),MATCH(M$1,[3]enemies!$1:$1,0)-MATCH($L$1,[3]enemies!$1:$1,0)+1),MATCH(M$1,[3]enemies!$1:$1,0)-MATCH($L$1,[3]enemies!$1:$1,0)+1,FALSE)</f>
        <v>黄槌のレジスタンス マミコ</v>
      </c>
      <c r="N34" s="16" t="str">
        <f ca="1">VLOOKUP($L34,OFFSET([3]enemies!$A$1,0,0,COUNTA([3]enemies!$A:$A),MATCH(N$1,[3]enemies!$1:$1,0)-MATCH($L$1,[3]enemies!$1:$1,0)+1),MATCH(N$1,[3]enemies!$1:$1,0)-MATCH($L$1,[3]enemies!$1:$1,0)+1,FALSE)</f>
        <v>yellow</v>
      </c>
      <c r="O34" s="16" t="str">
        <f ca="1">VLOOKUP($L34,OFFSET([4]characters!$A$1,0,0,COUNTA([4]characters!$A:$A),MATCH(O$1,[4]characters!$1:$1,0)-MATCH($L$1,[4]characters!$1:$1,0)+1),MATCH(O$1,[4]characters!$1:$1,0)-MATCH($L$1,[4]characters!$1:$1,0)+1,FALSE)</f>
        <v>Drop1N</v>
      </c>
      <c r="P34" s="16" t="str">
        <f ca="1">VLOOKUP($L34,OFFSET([3]enemies!$A$1,0,0,COUNTA([3]enemies!$A:$A),MATCH(P$1,[3]enemies!$1:$1,0)-MATCH($L$1,[3]enemies!$1:$1,0)+1),MATCH(P$1,[3]enemies!$1:$1,0)-MATCH($L$1,[3]enemies!$1:$1,0)+1,FALSE)</f>
        <v>human</v>
      </c>
      <c r="Q34" s="16">
        <f ca="1">VLOOKUP($L34,OFFSET([3]enemies!$A$1,0,0,COUNTA([3]enemies!$A:$A),MATCH(Q$1,[3]enemies!$1:$1,0)-MATCH($L$1,[3]enemies!$1:$1,0)+1),MATCH(Q$1,[3]enemies!$1:$1,0)-MATCH($L$1,[3]enemies!$1:$1,0)+1,FALSE)</f>
        <v>20</v>
      </c>
      <c r="R34" s="103">
        <v>41</v>
      </c>
      <c r="S34" s="104">
        <v>1</v>
      </c>
      <c r="T34" s="105">
        <v>1</v>
      </c>
      <c r="U34" s="5">
        <v>0</v>
      </c>
      <c r="V34" s="4" t="str">
        <f ca="1">VLOOKUP($W34,OFFSET(enemy_skill_sets!$B$1,0,0,COUNTA(enemy_skill_sets!$B:$B),MATCH(M$1,enemy_skill_sets!$1:$1,0)-MATCH($W$1,enemy_skill_sets!$1:$1,0)+2),MATCH(M$1,enemy_skill_sets!$1:$1,0)-MATCH($W$1,enemy_skill_sets!$1:$1,0)+2,FALSE)</f>
        <v>2ターン攻撃力UP</v>
      </c>
      <c r="W34" s="61">
        <v>39004008</v>
      </c>
      <c r="X34" s="6">
        <v>0</v>
      </c>
      <c r="Y34" s="6">
        <v>100</v>
      </c>
      <c r="Z34" s="6">
        <v>1</v>
      </c>
      <c r="AA34" s="16">
        <v>2</v>
      </c>
      <c r="AB34" s="23">
        <v>907</v>
      </c>
      <c r="AC34" s="4" t="str">
        <f ca="1">VLOOKUP($AB34,OFFSET([4]characters!$A$1,0,0,COUNTA([4]characters!$A:$A),MATCH(AC$1,[4]characters!$1:$1,0)-MATCH("character_id",[4]characters!$1:$1,0)+1),MATCH(AC$1,[4]characters!$1:$1,0)-MATCH("character_id",[4]characters!$1:$1,0)+1,FALSE)</f>
        <v>ハローキティのリボン</v>
      </c>
      <c r="AD34" s="4">
        <f ca="1">VLOOKUP($AB34,OFFSET([4]characters!$A$1,0,0,COUNTA([4]characters!$A:$A),MATCH(AD$1,[4]characters!$1:$1,0)-MATCH("character_id",[4]characters!$1:$1,0)+1),MATCH(AD$1,[4]characters!$1:$1,0)-MATCH("character_id",[4]characters!$1:$1,0)+1,FALSE)</f>
        <v>5</v>
      </c>
      <c r="AE34" s="4" t="str">
        <f ca="1">VLOOKUP($AB34,OFFSET([4]characters!$A$1,0,0,COUNTA([4]characters!$A:$A),MATCH(AE$1,[4]characters!$1:$1,0)-MATCH("character_id",[4]characters!$1:$1,0)+1),MATCH(AE$1,[4]characters!$1:$1,0)-MATCH("character_id",[4]characters!$1:$1,0)+1,FALSE)</f>
        <v>Drop2N</v>
      </c>
      <c r="AF34" s="7">
        <v>1</v>
      </c>
      <c r="AG34" s="23">
        <f t="shared" ca="1" si="17"/>
        <v>5</v>
      </c>
      <c r="AH34" s="135">
        <v>80</v>
      </c>
      <c r="AI34" s="7">
        <v>0</v>
      </c>
      <c r="AJ34" s="7">
        <v>0</v>
      </c>
      <c r="AK34" s="7">
        <v>0</v>
      </c>
      <c r="AL34" s="7">
        <v>0</v>
      </c>
      <c r="AM34" s="7">
        <v>1</v>
      </c>
      <c r="AN34" s="69">
        <v>1</v>
      </c>
    </row>
    <row r="35" spans="1:40" ht="21" customHeight="1" x14ac:dyDescent="0.15">
      <c r="A35" s="15" t="str">
        <f t="shared" ref="A35" si="22">B35&amp;"_"&amp;C35&amp;"-"&amp;G35&amp;"/"&amp;L35&amp;"&lt;lv"&amp;R35&amp;"&gt;s"&amp;AA35</f>
        <v>39004_4-3/56&lt;lv40&gt;s2</v>
      </c>
      <c r="B35" s="21">
        <v>39004</v>
      </c>
      <c r="C35" s="20">
        <v>4</v>
      </c>
      <c r="D35" s="2" t="str">
        <f t="shared" ref="D35" si="23">B35&amp;"_"&amp;C35</f>
        <v>39004_4</v>
      </c>
      <c r="E35" s="4" t="str">
        <f ca="1">VLOOKUP($B35,OFFSET([2]quests!$A$1,0,0,COUNTA([2]quests!$A:$A),MATCH(E$1,[2]quests!$1:$1,0)-MATCH($B$1,[2]quests!$1:$1,0)+1),MATCH(E$1,[2]quests!$1:$1,0)-MATCH($B$1,[2]quests!$1:$1,0)+1,FALSE)</f>
        <v xml:space="preserve">ニムダのおきにいり♪ </v>
      </c>
      <c r="F35" s="4" t="str">
        <f ca="1">VLOOKUP($D35,OFFSET([2]stages!$A$1,0,0,COUNTA([2]stages!$A:$A),MATCH(F$1,[2]stages!$2:$2,0)-MATCH($D$1,[2]stages!$2:$2,0)+1),MATCH(F$1,[2]stages!$2:$2,0)-MATCH($D$1,[2]stages!$2:$2,0)+1,FALSE)</f>
        <v xml:space="preserve">【超級】ニムダのおきにいり♪ </v>
      </c>
      <c r="G35" s="20">
        <v>3</v>
      </c>
      <c r="H35" s="14" t="str">
        <f t="shared" ref="H35" si="24">B35&amp;"_"&amp;C35&amp;"-"&amp;G35</f>
        <v>39004_4-3</v>
      </c>
      <c r="I35" s="4">
        <f ca="1">VLOOKUP($H35,OFFSET(floors!$A$1,0,0,COUNTA(floors!$A:$A),MATCH(I$1,floors!$1:$1,0)-MATCH($H$1,floors!$1:$1,0)+1),MATCH(I$1,floors!$1:$1,0)-MATCH($H$1,floors!$1:$1,0)+1,FALSE)</f>
        <v>60</v>
      </c>
      <c r="J35" s="4">
        <f ca="1">VLOOKUP($H35,OFFSET(floors!$A$1,0,0,COUNTA(floors!$A:$A),MATCH(J$1,floors!$1:$1,0)-MATCH($H$1,floors!$1:$1,0)+1),MATCH(J$1,floors!$1:$1,0)-MATCH($H$1,floors!$1:$1,0)+1,FALSE)</f>
        <v>60</v>
      </c>
      <c r="K35" s="37" t="s">
        <v>224</v>
      </c>
      <c r="L35" s="20">
        <v>56</v>
      </c>
      <c r="M35" s="16" t="str">
        <f ca="1">VLOOKUP($L35,OFFSET([3]enemies!$A$1,0,0,COUNTA([3]enemies!$A:$A),MATCH(M$1,[3]enemies!$1:$1,0)-MATCH($L$1,[3]enemies!$1:$1,0)+1),MATCH(M$1,[3]enemies!$1:$1,0)-MATCH($L$1,[3]enemies!$1:$1,0)+1,FALSE)</f>
        <v>黄槌のレジスタンス マミコ</v>
      </c>
      <c r="N35" s="16" t="str">
        <f ca="1">VLOOKUP($L35,OFFSET([3]enemies!$A$1,0,0,COUNTA([3]enemies!$A:$A),MATCH(N$1,[3]enemies!$1:$1,0)-MATCH($L$1,[3]enemies!$1:$1,0)+1),MATCH(N$1,[3]enemies!$1:$1,0)-MATCH($L$1,[3]enemies!$1:$1,0)+1,FALSE)</f>
        <v>yellow</v>
      </c>
      <c r="O35" s="16" t="str">
        <f ca="1">VLOOKUP($L35,OFFSET([4]characters!$A$1,0,0,COUNTA([4]characters!$A:$A),MATCH(O$1,[4]characters!$1:$1,0)-MATCH($L$1,[4]characters!$1:$1,0)+1),MATCH(O$1,[4]characters!$1:$1,0)-MATCH($L$1,[4]characters!$1:$1,0)+1,FALSE)</f>
        <v>Drop1N</v>
      </c>
      <c r="P35" s="16" t="str">
        <f ca="1">VLOOKUP($L35,OFFSET([3]enemies!$A$1,0,0,COUNTA([3]enemies!$A:$A),MATCH(P$1,[3]enemies!$1:$1,0)-MATCH($L$1,[3]enemies!$1:$1,0)+1),MATCH(P$1,[3]enemies!$1:$1,0)-MATCH($L$1,[3]enemies!$1:$1,0)+1,FALSE)</f>
        <v>human</v>
      </c>
      <c r="Q35" s="16">
        <f ca="1">VLOOKUP($L35,OFFSET([3]enemies!$A$1,0,0,COUNTA([3]enemies!$A:$A),MATCH(Q$1,[3]enemies!$1:$1,0)-MATCH($L$1,[3]enemies!$1:$1,0)+1),MATCH(Q$1,[3]enemies!$1:$1,0)-MATCH($L$1,[3]enemies!$1:$1,0)+1,FALSE)</f>
        <v>20</v>
      </c>
      <c r="R35" s="103">
        <v>40</v>
      </c>
      <c r="S35" s="104">
        <v>1</v>
      </c>
      <c r="T35" s="105">
        <v>1</v>
      </c>
      <c r="U35" s="5">
        <v>0</v>
      </c>
      <c r="V35" s="4" t="str">
        <f ca="1">VLOOKUP($W35,OFFSET(enemy_skill_sets!$B$1,0,0,COUNTA(enemy_skill_sets!$B:$B),MATCH(M$1,enemy_skill_sets!$1:$1,0)-MATCH($W$1,enemy_skill_sets!$1:$1,0)+2),MATCH(M$1,enemy_skill_sets!$1:$1,0)-MATCH($W$1,enemy_skill_sets!$1:$1,0)+2,FALSE)</f>
        <v>2ターン攻撃力UP</v>
      </c>
      <c r="W35" s="61">
        <v>39004008</v>
      </c>
      <c r="X35" s="6">
        <v>0</v>
      </c>
      <c r="Y35" s="6">
        <v>100</v>
      </c>
      <c r="Z35" s="6">
        <v>1</v>
      </c>
      <c r="AA35" s="16">
        <v>2</v>
      </c>
      <c r="AB35" s="23">
        <v>908</v>
      </c>
      <c r="AC35" s="4" t="str">
        <f ca="1">VLOOKUP($AB35,OFFSET([4]characters!$A$1,0,0,COUNTA([4]characters!$A:$A),MATCH(AC$1,[4]characters!$1:$1,0)-MATCH("character_id",[4]characters!$1:$1,0)+1),MATCH(AC$1,[4]characters!$1:$1,0)-MATCH("character_id",[4]characters!$1:$1,0)+1,FALSE)</f>
        <v>ママの作ったアップルパイ</v>
      </c>
      <c r="AD35" s="4">
        <f ca="1">VLOOKUP($AB35,OFFSET([4]characters!$A$1,0,0,COUNTA([4]characters!$A:$A),MATCH(AD$1,[4]characters!$1:$1,0)-MATCH("character_id",[4]characters!$1:$1,0)+1),MATCH(AD$1,[4]characters!$1:$1,0)-MATCH("character_id",[4]characters!$1:$1,0)+1,FALSE)</f>
        <v>4</v>
      </c>
      <c r="AE35" s="4" t="str">
        <f ca="1">VLOOKUP($AB35,OFFSET([4]characters!$A$1,0,0,COUNTA([4]characters!$A:$A),MATCH(AE$1,[4]characters!$1:$1,0)-MATCH("character_id",[4]characters!$1:$1,0)+1),MATCH(AE$1,[4]characters!$1:$1,0)-MATCH("character_id",[4]characters!$1:$1,0)+1,FALSE)</f>
        <v>Drop2N</v>
      </c>
      <c r="AF35" s="7">
        <v>1</v>
      </c>
      <c r="AG35" s="23">
        <f t="shared" ref="AG35" ca="1" si="25">AD35</f>
        <v>4</v>
      </c>
      <c r="AH35" s="135">
        <v>80</v>
      </c>
      <c r="AI35" s="7">
        <v>0</v>
      </c>
      <c r="AJ35" s="7">
        <v>0</v>
      </c>
      <c r="AK35" s="7">
        <v>0</v>
      </c>
      <c r="AL35" s="7">
        <v>0</v>
      </c>
      <c r="AM35" s="7">
        <v>1</v>
      </c>
      <c r="AN35" s="69">
        <v>1</v>
      </c>
    </row>
    <row r="36" spans="1:40" ht="21" customHeight="1" x14ac:dyDescent="0.15">
      <c r="A36" s="15" t="str">
        <f t="shared" si="13"/>
        <v>39004_4-3/47&lt;lv40&gt;s1</v>
      </c>
      <c r="B36" s="21">
        <v>39004</v>
      </c>
      <c r="C36" s="20">
        <v>4</v>
      </c>
      <c r="D36" s="2" t="str">
        <f t="shared" si="14"/>
        <v>39004_4</v>
      </c>
      <c r="E36" s="4" t="str">
        <f ca="1">VLOOKUP($B36,OFFSET([2]quests!$A$1,0,0,COUNTA([2]quests!$A:$A),MATCH(E$1,[2]quests!$1:$1,0)-MATCH($B$1,[2]quests!$1:$1,0)+1),MATCH(E$1,[2]quests!$1:$1,0)-MATCH($B$1,[2]quests!$1:$1,0)+1,FALSE)</f>
        <v xml:space="preserve">ニムダのおきにいり♪ </v>
      </c>
      <c r="F36" s="4" t="str">
        <f ca="1">VLOOKUP($D36,OFFSET([2]stages!$A$1,0,0,COUNTA([2]stages!$A:$A),MATCH(F$1,[2]stages!$2:$2,0)-MATCH($D$1,[2]stages!$2:$2,0)+1),MATCH(F$1,[2]stages!$2:$2,0)-MATCH($D$1,[2]stages!$2:$2,0)+1,FALSE)</f>
        <v xml:space="preserve">【超級】ニムダのおきにいり♪ </v>
      </c>
      <c r="G36" s="20">
        <v>3</v>
      </c>
      <c r="H36" s="14" t="str">
        <f t="shared" si="15"/>
        <v>39004_4-3</v>
      </c>
      <c r="I36" s="4">
        <f ca="1">VLOOKUP($H36,OFFSET(floors!$A$1,0,0,COUNTA(floors!$A:$A),MATCH(I$1,floors!$1:$1,0)-MATCH($H$1,floors!$1:$1,0)+1),MATCH(I$1,floors!$1:$1,0)-MATCH($H$1,floors!$1:$1,0)+1,FALSE)</f>
        <v>60</v>
      </c>
      <c r="J36" s="4">
        <f ca="1">VLOOKUP($H36,OFFSET(floors!$A$1,0,0,COUNTA(floors!$A:$A),MATCH(J$1,floors!$1:$1,0)-MATCH($H$1,floors!$1:$1,0)+1),MATCH(J$1,floors!$1:$1,0)-MATCH($H$1,floors!$1:$1,0)+1,FALSE)</f>
        <v>60</v>
      </c>
      <c r="K36" s="37" t="s">
        <v>224</v>
      </c>
      <c r="L36" s="20">
        <v>47</v>
      </c>
      <c r="M36" s="16" t="str">
        <f ca="1">VLOOKUP($L36,OFFSET([3]enemies!$A$1,0,0,COUNTA([3]enemies!$A:$A),MATCH(M$1,[3]enemies!$1:$1,0)-MATCH($L$1,[3]enemies!$1:$1,0)+1),MATCH(M$1,[3]enemies!$1:$1,0)-MATCH($L$1,[3]enemies!$1:$1,0)+1,FALSE)</f>
        <v>ヒロ</v>
      </c>
      <c r="N36" s="16" t="str">
        <f ca="1">VLOOKUP($L36,OFFSET([3]enemies!$A$1,0,0,COUNTA([3]enemies!$A:$A),MATCH(N$1,[3]enemies!$1:$1,0)-MATCH($L$1,[3]enemies!$1:$1,0)+1),MATCH(N$1,[3]enemies!$1:$1,0)-MATCH($L$1,[3]enemies!$1:$1,0)+1,FALSE)</f>
        <v>yellow</v>
      </c>
      <c r="O36" s="16" t="str">
        <f ca="1">VLOOKUP($L36,OFFSET([4]characters!$A$1,0,0,COUNTA([4]characters!$A:$A),MATCH(O$1,[4]characters!$1:$1,0)-MATCH($L$1,[4]characters!$1:$1,0)+1),MATCH(O$1,[4]characters!$1:$1,0)-MATCH($L$1,[4]characters!$1:$1,0)+1,FALSE)</f>
        <v>Drop1N</v>
      </c>
      <c r="P36" s="16" t="str">
        <f ca="1">VLOOKUP($L36,OFFSET([3]enemies!$A$1,0,0,COUNTA([3]enemies!$A:$A),MATCH(P$1,[3]enemies!$1:$1,0)-MATCH($L$1,[3]enemies!$1:$1,0)+1),MATCH(P$1,[3]enemies!$1:$1,0)-MATCH($L$1,[3]enemies!$1:$1,0)+1,FALSE)</f>
        <v>animal</v>
      </c>
      <c r="Q36" s="16">
        <f ca="1">VLOOKUP($L36,OFFSET([3]enemies!$A$1,0,0,COUNTA([3]enemies!$A:$A),MATCH(Q$1,[3]enemies!$1:$1,0)-MATCH($L$1,[3]enemies!$1:$1,0)+1),MATCH(Q$1,[3]enemies!$1:$1,0)-MATCH($L$1,[3]enemies!$1:$1,0)+1,FALSE)</f>
        <v>15</v>
      </c>
      <c r="R36" s="103">
        <v>40</v>
      </c>
      <c r="S36" s="104">
        <v>1</v>
      </c>
      <c r="T36" s="105">
        <v>0.9</v>
      </c>
      <c r="U36" s="5">
        <v>0</v>
      </c>
      <c r="V36" s="4" t="str">
        <f ca="1">VLOOKUP($W36,OFFSET(enemy_skill_sets!$B$1,0,0,COUNTA(enemy_skill_sets!$B:$B),MATCH(M$1,enemy_skill_sets!$1:$1,0)-MATCH($W$1,enemy_skill_sets!$1:$1,0)+2),MATCH(M$1,enemy_skill_sets!$1:$1,0)-MATCH($W$1,enemy_skill_sets!$1:$1,0)+2,FALSE)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36" s="61">
        <v>39004006</v>
      </c>
      <c r="X36" s="6">
        <v>1</v>
      </c>
      <c r="Y36" s="6">
        <v>100</v>
      </c>
      <c r="Z36" s="6">
        <v>0</v>
      </c>
      <c r="AA36" s="16">
        <v>1</v>
      </c>
      <c r="AB36" s="23">
        <f t="shared" si="16"/>
        <v>47</v>
      </c>
      <c r="AC36" s="4" t="str">
        <f ca="1">VLOOKUP($AB36,OFFSET([4]characters!$A$1,0,0,COUNTA([4]characters!$A:$A),MATCH(AC$1,[4]characters!$1:$1,0)-MATCH("character_id",[4]characters!$1:$1,0)+1),MATCH(AC$1,[4]characters!$1:$1,0)-MATCH("character_id",[4]characters!$1:$1,0)+1,FALSE)</f>
        <v>ヒロ</v>
      </c>
      <c r="AD36" s="4">
        <f ca="1">VLOOKUP($AB36,OFFSET([4]characters!$A$1,0,0,COUNTA([4]characters!$A:$A),MATCH(AD$1,[4]characters!$1:$1,0)-MATCH("character_id",[4]characters!$1:$1,0)+1),MATCH(AD$1,[4]characters!$1:$1,0)-MATCH("character_id",[4]characters!$1:$1,0)+1,FALSE)</f>
        <v>2</v>
      </c>
      <c r="AE36" s="4" t="str">
        <f ca="1">VLOOKUP($AB36,OFFSET([4]characters!$A$1,0,0,COUNTA([4]characters!$A:$A),MATCH(AE$1,[4]characters!$1:$1,0)-MATCH("character_id",[4]characters!$1:$1,0)+1),MATCH(AE$1,[4]characters!$1:$1,0)-MATCH("character_id",[4]characters!$1:$1,0)+1,FALSE)</f>
        <v>Drop1N</v>
      </c>
      <c r="AF36" s="7">
        <v>1</v>
      </c>
      <c r="AG36" s="23">
        <f t="shared" ca="1" si="17"/>
        <v>2</v>
      </c>
      <c r="AH36" s="107">
        <v>0</v>
      </c>
      <c r="AI36" s="7">
        <v>0</v>
      </c>
      <c r="AJ36" s="7">
        <v>0</v>
      </c>
      <c r="AK36" s="7">
        <v>0</v>
      </c>
      <c r="AL36" s="7">
        <v>0</v>
      </c>
      <c r="AM36" s="7">
        <v>1</v>
      </c>
      <c r="AN36" s="69">
        <v>1</v>
      </c>
    </row>
    <row r="37" spans="1:40" ht="21" customHeight="1" x14ac:dyDescent="0.15">
      <c r="A37" s="15" t="str">
        <f t="shared" si="13"/>
        <v>39004_4-4/901&lt;lv40&gt;s2</v>
      </c>
      <c r="B37" s="21">
        <v>39004</v>
      </c>
      <c r="C37" s="20">
        <v>4</v>
      </c>
      <c r="D37" s="2" t="str">
        <f t="shared" si="14"/>
        <v>39004_4</v>
      </c>
      <c r="E37" s="4" t="str">
        <f ca="1">VLOOKUP($B37,OFFSET([2]quests!$A$1,0,0,COUNTA([2]quests!$A:$A),MATCH(E$1,[2]quests!$1:$1,0)-MATCH($B$1,[2]quests!$1:$1,0)+1),MATCH(E$1,[2]quests!$1:$1,0)-MATCH($B$1,[2]quests!$1:$1,0)+1,FALSE)</f>
        <v xml:space="preserve">ニムダのおきにいり♪ </v>
      </c>
      <c r="F37" s="4" t="str">
        <f ca="1">VLOOKUP($D37,OFFSET([2]stages!$A$1,0,0,COUNTA([2]stages!$A:$A),MATCH(F$1,[2]stages!$2:$2,0)-MATCH($D$1,[2]stages!$2:$2,0)+1),MATCH(F$1,[2]stages!$2:$2,0)-MATCH($D$1,[2]stages!$2:$2,0)+1,FALSE)</f>
        <v xml:space="preserve">【超級】ニムダのおきにいり♪ </v>
      </c>
      <c r="G37" s="20">
        <v>4</v>
      </c>
      <c r="H37" s="14" t="str">
        <f t="shared" si="15"/>
        <v>39004_4-4</v>
      </c>
      <c r="I37" s="4">
        <f ca="1">VLOOKUP($H37,OFFSET(floors!$A$1,0,0,COUNTA(floors!$A:$A),MATCH(I$1,floors!$1:$1,0)-MATCH($H$1,floors!$1:$1,0)+1),MATCH(I$1,floors!$1:$1,0)-MATCH($H$1,floors!$1:$1,0)+1,FALSE)</f>
        <v>60</v>
      </c>
      <c r="J37" s="4">
        <f ca="1">VLOOKUP($H37,OFFSET(floors!$A$1,0,0,COUNTA(floors!$A:$A),MATCH(J$1,floors!$1:$1,0)-MATCH($H$1,floors!$1:$1,0)+1),MATCH(J$1,floors!$1:$1,0)-MATCH($H$1,floors!$1:$1,0)+1,FALSE)</f>
        <v>60</v>
      </c>
      <c r="K37" s="37">
        <v>4</v>
      </c>
      <c r="L37" s="20">
        <v>901</v>
      </c>
      <c r="M37" s="16" t="str">
        <f ca="1">VLOOKUP($L37,OFFSET([3]enemies!$A$1,0,0,COUNTA([3]enemies!$A:$A),MATCH(M$1,[3]enemies!$1:$1,0)-MATCH($L$1,[3]enemies!$1:$1,0)+1),MATCH(M$1,[3]enemies!$1:$1,0)-MATCH($L$1,[3]enemies!$1:$1,0)+1,FALSE)</f>
        <v>恩愛性ニムダ</v>
      </c>
      <c r="N37" s="16" t="str">
        <f ca="1">VLOOKUP($L37,OFFSET([3]enemies!$A$1,0,0,COUNTA([3]enemies!$A:$A),MATCH(N$1,[3]enemies!$1:$1,0)-MATCH($L$1,[3]enemies!$1:$1,0)+1),MATCH(N$1,[3]enemies!$1:$1,0)-MATCH($L$1,[3]enemies!$1:$1,0)+1,FALSE)</f>
        <v>yellow</v>
      </c>
      <c r="O37" s="16" t="str">
        <f ca="1">VLOOKUP($L37,OFFSET([4]characters!$A$1,0,0,COUNTA([4]characters!$A:$A),MATCH(O$1,[4]characters!$1:$1,0)-MATCH($L$1,[4]characters!$1:$1,0)+1),MATCH(O$1,[4]characters!$1:$1,0)-MATCH($L$1,[4]characters!$1:$1,0)+1,FALSE)</f>
        <v>Drop2N</v>
      </c>
      <c r="P37" s="16" t="str">
        <f ca="1">VLOOKUP($L37,OFFSET([3]enemies!$A$1,0,0,COUNTA([3]enemies!$A:$A),MATCH(P$1,[3]enemies!$1:$1,0)-MATCH($L$1,[3]enemies!$1:$1,0)+1),MATCH(P$1,[3]enemies!$1:$1,0)-MATCH($L$1,[3]enemies!$1:$1,0)+1,FALSE)</f>
        <v>unknown</v>
      </c>
      <c r="Q37" s="16">
        <f ca="1">VLOOKUP($L37,OFFSET([3]enemies!$A$1,0,0,COUNTA([3]enemies!$A:$A),MATCH(Q$1,[3]enemies!$1:$1,0)-MATCH($L$1,[3]enemies!$1:$1,0)+1),MATCH(Q$1,[3]enemies!$1:$1,0)-MATCH($L$1,[3]enemies!$1:$1,0)+1,FALSE)</f>
        <v>30</v>
      </c>
      <c r="R37" s="103">
        <v>40</v>
      </c>
      <c r="S37" s="104">
        <v>1</v>
      </c>
      <c r="T37" s="105">
        <v>1</v>
      </c>
      <c r="U37" s="5">
        <v>0</v>
      </c>
      <c r="V37" s="4" t="str">
        <f ca="1">VLOOKUP($W37,OFFSET(enemy_skill_sets!$B$1,0,0,COUNTA(enemy_skill_sets!$B:$B),MATCH(M$1,enemy_skill_sets!$1:$1,0)-MATCH($W$1,enemy_skill_sets!$1:$1,0)+2),MATCH(M$1,enemy_skill_sets!$1:$1,0)-MATCH($W$1,enemy_skill_sets!$1:$1,0)+2,FALSE)</f>
        <v>緑パネルをハートパネルに変換</v>
      </c>
      <c r="W37" s="61">
        <v>39004009</v>
      </c>
      <c r="X37" s="6">
        <v>1</v>
      </c>
      <c r="Y37" s="6">
        <v>100</v>
      </c>
      <c r="Z37" s="6">
        <v>1</v>
      </c>
      <c r="AA37" s="16">
        <v>2</v>
      </c>
      <c r="AB37" s="23">
        <f t="shared" si="16"/>
        <v>901</v>
      </c>
      <c r="AC37" s="4" t="str">
        <f ca="1">VLOOKUP($AB37,OFFSET([4]characters!$A$1,0,0,COUNTA([4]characters!$A:$A),MATCH(AC$1,[4]characters!$1:$1,0)-MATCH("character_id",[4]characters!$1:$1,0)+1),MATCH(AC$1,[4]characters!$1:$1,0)-MATCH("character_id",[4]characters!$1:$1,0)+1,FALSE)</f>
        <v>恩愛性ニムダ</v>
      </c>
      <c r="AD37" s="4">
        <f ca="1">VLOOKUP($AB37,OFFSET([4]characters!$A$1,0,0,COUNTA([4]characters!$A:$A),MATCH(AD$1,[4]characters!$1:$1,0)-MATCH("character_id",[4]characters!$1:$1,0)+1),MATCH(AD$1,[4]characters!$1:$1,0)-MATCH("character_id",[4]characters!$1:$1,0)+1,FALSE)</f>
        <v>4</v>
      </c>
      <c r="AE37" s="4" t="str">
        <f ca="1">VLOOKUP($AB37,OFFSET([4]characters!$A$1,0,0,COUNTA([4]characters!$A:$A),MATCH(AE$1,[4]characters!$1:$1,0)-MATCH("character_id",[4]characters!$1:$1,0)+1),MATCH(AE$1,[4]characters!$1:$1,0)-MATCH("character_id",[4]characters!$1:$1,0)+1,FALSE)</f>
        <v>Drop2N</v>
      </c>
      <c r="AF37" s="7">
        <v>1</v>
      </c>
      <c r="AG37" s="23">
        <f t="shared" ca="1" si="17"/>
        <v>4</v>
      </c>
      <c r="AH37" s="102">
        <v>80</v>
      </c>
      <c r="AI37" s="7">
        <v>0</v>
      </c>
      <c r="AJ37" s="7">
        <v>0</v>
      </c>
      <c r="AK37" s="7">
        <v>0</v>
      </c>
      <c r="AL37" s="7">
        <v>0</v>
      </c>
      <c r="AM37" s="7">
        <v>1</v>
      </c>
      <c r="AN37" s="69">
        <v>1</v>
      </c>
    </row>
  </sheetData>
  <sheetProtection selectLockedCells="1" selectUnlockedCells="1"/>
  <autoFilter ref="B1:AH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5"/>
  <sheetViews>
    <sheetView showGridLines="0" zoomScale="115" zoomScaleNormal="115" zoomScalePageLayoutView="115" workbookViewId="0">
      <selection activeCell="N2" sqref="N2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/>
    <col min="4" max="4" width="13" style="13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8" bestFit="1" customWidth="1"/>
    <col min="14" max="14" width="19.3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25" t="s">
        <v>50</v>
      </c>
      <c r="V1" s="25" t="s">
        <v>52</v>
      </c>
      <c r="W1" s="27" t="s">
        <v>130</v>
      </c>
      <c r="X1" s="28" t="s">
        <v>129</v>
      </c>
      <c r="Y1" s="27" t="s">
        <v>8</v>
      </c>
    </row>
    <row r="2" spans="1:25" ht="21" customHeight="1" x14ac:dyDescent="0.15">
      <c r="A2" s="15" t="str">
        <f>B2&amp;"_"&amp;C2&amp;"-"&amp;G2&amp;"/"&amp;M2&amp;"&lt;lv"&amp;S2&amp;"&gt;sq"&amp;K2&amp;"st"&amp;L2</f>
        <v>39004_1-4/902&lt;lv15&gt;sq1st2</v>
      </c>
      <c r="B2" s="21">
        <v>39004</v>
      </c>
      <c r="C2" s="20">
        <v>1</v>
      </c>
      <c r="D2" s="2" t="str">
        <f>B2&amp;"_"&amp;C2</f>
        <v>39004_1</v>
      </c>
      <c r="E2" s="4" t="str">
        <f ca="1">VLOOKUP($B2,OFFSET([2]quests!$A$1,0,0,COUNTA([2]quests!$A:$A),MATCH(E$1,[2]quests!$1:$1,0)-MATCH($B$1,[2]quests!$1:$1,0)+1),MATCH(E$1,[2]quests!$1:$1,0)-MATCH($B$1,[2]quests!$1:$1,0)+1,FALSE)</f>
        <v xml:space="preserve">ニムダのおきにいり♪ 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【初級】ニムダのおきにいり♪ </v>
      </c>
      <c r="G2" s="20">
        <v>4</v>
      </c>
      <c r="H2" s="14" t="str">
        <f>B2&amp;"_"&amp;C2&amp;"-"&amp;G2</f>
        <v>39004_1-4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19">
        <v>902</v>
      </c>
      <c r="N2" s="16" t="str">
        <f ca="1">VLOOKUP($M2,OFFSET([3]enemies!$A$1,0,0,COUNTA([3]enemies!$A:$A),MATCH(N$1,[3]enemies!$1:$1,0)-MATCH($M$1,[3]enemies!$1:$1,0)+1),MATCH(N$1,[3]enemies!$1:$1,0)-MATCH($M$1,[3]enemies!$1:$1,0)+1,FALSE)</f>
        <v>集団恩愛性ニムダL</v>
      </c>
      <c r="O2" s="16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6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6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15</v>
      </c>
      <c r="T2" s="24">
        <v>1</v>
      </c>
      <c r="U2" s="24">
        <v>1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4">
        <v>39004010</v>
      </c>
      <c r="Y2" s="70">
        <v>1</v>
      </c>
    </row>
    <row r="3" spans="1:25" ht="21" customHeight="1" x14ac:dyDescent="0.15">
      <c r="A3" s="15" t="str">
        <f t="shared" ref="A3:A5" si="0">B3&amp;"_"&amp;C3&amp;"-"&amp;G3&amp;"/"&amp;M3&amp;"&lt;lv"&amp;S3&amp;"&gt;sq"&amp;K3&amp;"st"&amp;L3</f>
        <v>39004_2-4/902&lt;lv25&gt;sq2st2</v>
      </c>
      <c r="B3" s="21">
        <v>39004</v>
      </c>
      <c r="C3" s="20">
        <v>2</v>
      </c>
      <c r="D3" s="2" t="str">
        <f t="shared" ref="D3:D5" si="1">B3&amp;"_"&amp;C3</f>
        <v>39004_2</v>
      </c>
      <c r="E3" s="4" t="str">
        <f ca="1">VLOOKUP($B3,OFFSET([2]quests!$A$1,0,0,COUNTA([2]quests!$A:$A),MATCH(E$1,[2]quests!$1:$1,0)-MATCH($B$1,[2]quests!$1:$1,0)+1),MATCH(E$1,[2]quests!$1:$1,0)-MATCH($B$1,[2]quests!$1:$1,0)+1,FALSE)</f>
        <v xml:space="preserve">ニムダのおきにいり♪ 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【中級】ニムダのおきにいり♪ </v>
      </c>
      <c r="G3" s="20">
        <v>4</v>
      </c>
      <c r="H3" s="14" t="str">
        <f t="shared" ref="H3:H5" si="2">B3&amp;"_"&amp;C3&amp;"-"&amp;G3</f>
        <v>39004_2-4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2</v>
      </c>
      <c r="L3" s="37">
        <v>2</v>
      </c>
      <c r="M3" s="19">
        <v>902</v>
      </c>
      <c r="N3" s="16" t="str">
        <f ca="1">VLOOKUP($M3,OFFSET([3]enemies!$A$1,0,0,COUNTA([3]enemies!$A:$A),MATCH(N$1,[3]enemies!$1:$1,0)-MATCH($M$1,[3]enemies!$1:$1,0)+1),MATCH(N$1,[3]enemies!$1:$1,0)-MATCH($M$1,[3]enemies!$1:$1,0)+1,FALSE)</f>
        <v>集団恩愛性ニムダL</v>
      </c>
      <c r="O3" s="16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6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6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6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25</v>
      </c>
      <c r="T3" s="24">
        <v>1</v>
      </c>
      <c r="U3" s="24">
        <v>1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4">
        <v>39004010</v>
      </c>
      <c r="Y3" s="70">
        <v>1</v>
      </c>
    </row>
    <row r="4" spans="1:25" ht="21" customHeight="1" x14ac:dyDescent="0.15">
      <c r="A4" s="15" t="str">
        <f t="shared" si="0"/>
        <v>39004_3-4/902&lt;lv35&gt;sq3st2</v>
      </c>
      <c r="B4" s="21">
        <v>39004</v>
      </c>
      <c r="C4" s="20">
        <v>3</v>
      </c>
      <c r="D4" s="2" t="str">
        <f t="shared" si="1"/>
        <v>39004_3</v>
      </c>
      <c r="E4" s="4" t="str">
        <f ca="1">VLOOKUP($B4,OFFSET([2]quests!$A$1,0,0,COUNTA([2]quests!$A:$A),MATCH(E$1,[2]quests!$1:$1,0)-MATCH($B$1,[2]quests!$1:$1,0)+1),MATCH(E$1,[2]quests!$1:$1,0)-MATCH($B$1,[2]quests!$1:$1,0)+1,FALSE)</f>
        <v xml:space="preserve">ニムダのおきにいり♪ 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【上級】ニムダのおきにいり♪ </v>
      </c>
      <c r="G4" s="20">
        <v>4</v>
      </c>
      <c r="H4" s="14" t="str">
        <f t="shared" si="2"/>
        <v>39004_3-4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3</v>
      </c>
      <c r="L4" s="37">
        <v>2</v>
      </c>
      <c r="M4" s="19">
        <v>902</v>
      </c>
      <c r="N4" s="16" t="str">
        <f ca="1">VLOOKUP($M4,OFFSET([3]enemies!$A$1,0,0,COUNTA([3]enemies!$A:$A),MATCH(N$1,[3]enemies!$1:$1,0)-MATCH($M$1,[3]enemies!$1:$1,0)+1),MATCH(N$1,[3]enemies!$1:$1,0)-MATCH($M$1,[3]enemies!$1:$1,0)+1,FALSE)</f>
        <v>集団恩愛性ニムダL</v>
      </c>
      <c r="O4" s="16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6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6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6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35</v>
      </c>
      <c r="T4" s="24">
        <v>1</v>
      </c>
      <c r="U4" s="24">
        <v>1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4">
        <v>39004011</v>
      </c>
      <c r="Y4" s="70">
        <v>1</v>
      </c>
    </row>
    <row r="5" spans="1:25" ht="21" customHeight="1" x14ac:dyDescent="0.15">
      <c r="A5" s="15" t="str">
        <f t="shared" si="0"/>
        <v>39004_4-4/902&lt;lv45&gt;sq4st2</v>
      </c>
      <c r="B5" s="21">
        <v>39004</v>
      </c>
      <c r="C5" s="20">
        <v>4</v>
      </c>
      <c r="D5" s="2" t="str">
        <f t="shared" si="1"/>
        <v>39004_4</v>
      </c>
      <c r="E5" s="4" t="str">
        <f ca="1">VLOOKUP($B5,OFFSET([2]quests!$A$1,0,0,COUNTA([2]quests!$A:$A),MATCH(E$1,[2]quests!$1:$1,0)-MATCH($B$1,[2]quests!$1:$1,0)+1),MATCH(E$1,[2]quests!$1:$1,0)-MATCH($B$1,[2]quests!$1:$1,0)+1,FALSE)</f>
        <v xml:space="preserve">ニムダのおきにいり♪ 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【超級】ニムダのおきにいり♪ </v>
      </c>
      <c r="G5" s="20">
        <v>4</v>
      </c>
      <c r="H5" s="14" t="str">
        <f t="shared" si="2"/>
        <v>39004_4-4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>
        <v>4</v>
      </c>
      <c r="L5" s="37">
        <v>2</v>
      </c>
      <c r="M5" s="19">
        <v>902</v>
      </c>
      <c r="N5" s="16" t="str">
        <f ca="1">VLOOKUP($M5,OFFSET([3]enemies!$A$1,0,0,COUNTA([3]enemies!$A:$A),MATCH(N$1,[3]enemies!$1:$1,0)-MATCH($M$1,[3]enemies!$1:$1,0)+1),MATCH(N$1,[3]enemies!$1:$1,0)-MATCH($M$1,[3]enemies!$1:$1,0)+1,FALSE)</f>
        <v>集団恩愛性ニムダL</v>
      </c>
      <c r="O5" s="16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6" t="str">
        <f ca="1">VLOOKUP($M5,OFFSET([4]characters!$A$1,0,0,COUNTA([4]characters!$A:$A),MATCH(P$1,[4]characters!$1:$1,0)-MATCH($M$1,[4]characters!$1:$1,0)+1),MATCH(P$1,[4]characters!$1:$1,0)-MATCH($M$1,[4]characters!$1:$1,0)+1,FALSE)</f>
        <v>Drop2N</v>
      </c>
      <c r="Q5" s="16" t="str">
        <f ca="1">VLOOKUP($M5,OFFSET([3]enemies!$A$1,0,0,COUNTA([3]enemies!$A:$A),MATCH(Q$1,[3]enemies!$1:$1,0)-MATCH($M$1,[3]enemies!$1:$1,0)+1),MATCH(Q$1,[3]enemies!$1:$1,0)-MATCH($M$1,[3]enemies!$1:$1,0)+1,FALSE)</f>
        <v>unknown</v>
      </c>
      <c r="R5" s="16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45</v>
      </c>
      <c r="T5" s="24">
        <v>1</v>
      </c>
      <c r="U5" s="24">
        <v>1</v>
      </c>
      <c r="V5" s="5">
        <v>0</v>
      </c>
      <c r="W5" s="4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5" s="4">
        <v>39004011</v>
      </c>
      <c r="Y5" s="70">
        <v>1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7"/>
  <sheetViews>
    <sheetView showGridLines="0" topLeftCell="A27" workbookViewId="0">
      <selection activeCell="B49" sqref="B49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9.6640625" style="48" customWidth="1"/>
    <col min="4" max="4" width="33.6640625" style="48" bestFit="1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" si="0">B2&amp;"_"&amp;C2</f>
        <v>39004001_39004001</v>
      </c>
      <c r="B2" s="46">
        <v>39004001</v>
      </c>
      <c r="C2" s="46">
        <v>39004001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トモダチ見つかるかなぁ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一定確率で1ターンスキルが使えない！</v>
      </c>
      <c r="F2" s="46">
        <v>39004001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7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" s="47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" s="46" t="s">
        <v>227</v>
      </c>
      <c r="Q2" s="136">
        <v>42501</v>
      </c>
      <c r="R2" s="46" t="s">
        <v>311</v>
      </c>
    </row>
    <row r="3" spans="1:18" ht="21" customHeight="1" x14ac:dyDescent="0.15">
      <c r="A3" s="38" t="str">
        <f t="shared" ref="A3:A31" si="1">B3&amp;"_"&amp;C3</f>
        <v>39004002_39004002</v>
      </c>
      <c r="B3" s="46">
        <v>39004002</v>
      </c>
      <c r="C3" s="46">
        <v>39004002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フレンドサーチ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3ターン攻撃頻度が1ターンにUP</v>
      </c>
      <c r="F3" s="46">
        <v>39004002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7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7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6" t="s">
        <v>227</v>
      </c>
      <c r="Q3" s="136">
        <v>42501</v>
      </c>
      <c r="R3" s="46" t="s">
        <v>312</v>
      </c>
    </row>
    <row r="4" spans="1:18" ht="21" customHeight="1" x14ac:dyDescent="0.15">
      <c r="A4" s="38" t="str">
        <f t="shared" si="1"/>
        <v>39004003_39004003</v>
      </c>
      <c r="B4" s="46">
        <v>39004003</v>
      </c>
      <c r="C4" s="46">
        <v>39004003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ぬいぐるみさんと遊びたーい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おねだりしている</v>
      </c>
      <c r="F4" s="46">
        <v>39004003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7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7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6" t="s">
        <v>227</v>
      </c>
      <c r="Q4" s="136">
        <v>42501</v>
      </c>
      <c r="R4" s="46" t="s">
        <v>313</v>
      </c>
    </row>
    <row r="5" spans="1:18" ht="21" customHeight="1" x14ac:dyDescent="0.15">
      <c r="A5" s="38" t="str">
        <f t="shared" si="1"/>
        <v>39004003_39004004</v>
      </c>
      <c r="B5" s="46">
        <v>39004003</v>
      </c>
      <c r="C5" s="46">
        <v>39004004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5" s="46">
        <v>39004004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7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7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899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 t="s">
        <v>227</v>
      </c>
      <c r="Q5" s="136">
        <v>42501</v>
      </c>
      <c r="R5" s="46" t="s">
        <v>314</v>
      </c>
    </row>
    <row r="6" spans="1:18" ht="21" customHeight="1" x14ac:dyDescent="0.15">
      <c r="A6" s="38" t="str">
        <f t="shared" si="1"/>
        <v>39004003_39004004</v>
      </c>
      <c r="B6" s="46">
        <v>39004003</v>
      </c>
      <c r="C6" s="46">
        <v>39004004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6" s="46">
        <v>39004005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7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7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7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7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900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6" t="s">
        <v>227</v>
      </c>
      <c r="Q6" s="136">
        <v>42501</v>
      </c>
      <c r="R6" s="46" t="s">
        <v>315</v>
      </c>
    </row>
    <row r="7" spans="1:18" ht="21" customHeight="1" x14ac:dyDescent="0.15">
      <c r="A7" s="38" t="str">
        <f t="shared" si="1"/>
        <v>39004003_39004004</v>
      </c>
      <c r="B7" s="46">
        <v>39004003</v>
      </c>
      <c r="C7" s="46">
        <v>39004004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7" s="46">
        <v>39004006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7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7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901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 t="s">
        <v>227</v>
      </c>
      <c r="Q7" s="136">
        <v>42501</v>
      </c>
      <c r="R7" s="46" t="s">
        <v>316</v>
      </c>
    </row>
    <row r="8" spans="1:18" ht="21" customHeight="1" x14ac:dyDescent="0.15">
      <c r="A8" s="38" t="str">
        <f t="shared" si="1"/>
        <v>39004003_39004004</v>
      </c>
      <c r="B8" s="46">
        <v>39004003</v>
      </c>
      <c r="C8" s="46">
        <v>39004004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8" s="46">
        <v>39004007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7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7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7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902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6" t="s">
        <v>227</v>
      </c>
      <c r="Q8" s="136">
        <v>42501</v>
      </c>
      <c r="R8" s="46" t="s">
        <v>317</v>
      </c>
    </row>
    <row r="9" spans="1:18" ht="21" customHeight="1" x14ac:dyDescent="0.15">
      <c r="A9" s="38" t="str">
        <f t="shared" si="1"/>
        <v>39004003_39004004</v>
      </c>
      <c r="B9" s="46">
        <v>39004003</v>
      </c>
      <c r="C9" s="46">
        <v>39004004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9" s="46">
        <v>39004008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7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7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7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903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6" t="s">
        <v>227</v>
      </c>
      <c r="Q9" s="136">
        <v>42501</v>
      </c>
      <c r="R9" s="46" t="s">
        <v>318</v>
      </c>
    </row>
    <row r="10" spans="1:18" ht="21" customHeight="1" x14ac:dyDescent="0.15">
      <c r="A10" s="38" t="str">
        <f t="shared" ref="A10" si="2">B10&amp;"_"&amp;C10</f>
        <v>39004003_39004004</v>
      </c>
      <c r="B10" s="46">
        <v>39004003</v>
      </c>
      <c r="C10" s="46">
        <v>39004004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10" s="46">
        <v>39004009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7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7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7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904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6" t="s">
        <v>227</v>
      </c>
      <c r="Q10" s="136">
        <v>42501</v>
      </c>
      <c r="R10" s="46" t="s">
        <v>319</v>
      </c>
    </row>
    <row r="11" spans="1:18" ht="21" customHeight="1" x14ac:dyDescent="0.15">
      <c r="A11" s="38" t="str">
        <f t="shared" si="1"/>
        <v>39004003_39004004</v>
      </c>
      <c r="B11" s="46">
        <v>39004003</v>
      </c>
      <c r="C11" s="46">
        <v>39004004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11" s="46">
        <v>39004010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7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7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7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905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6" t="s">
        <v>227</v>
      </c>
      <c r="Q11" s="136">
        <v>42501</v>
      </c>
      <c r="R11" s="46" t="s">
        <v>320</v>
      </c>
    </row>
    <row r="12" spans="1:18" ht="21" customHeight="1" x14ac:dyDescent="0.15">
      <c r="A12" s="38" t="str">
        <f t="shared" si="1"/>
        <v>39004003_39004004</v>
      </c>
      <c r="B12" s="46">
        <v>39004003</v>
      </c>
      <c r="C12" s="46">
        <v>39004004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12" s="46">
        <v>39004011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7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47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906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 t="s">
        <v>227</v>
      </c>
      <c r="Q12" s="136">
        <v>42501</v>
      </c>
      <c r="R12" s="46" t="s">
        <v>321</v>
      </c>
    </row>
    <row r="13" spans="1:18" ht="21" customHeight="1" x14ac:dyDescent="0.15">
      <c r="A13" s="38" t="str">
        <f t="shared" si="1"/>
        <v>39004003_39004004</v>
      </c>
      <c r="B13" s="46">
        <v>39004003</v>
      </c>
      <c r="C13" s="46">
        <v>39004004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13" s="46">
        <v>39004012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7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7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7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909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6" t="s">
        <v>227</v>
      </c>
      <c r="Q13" s="136">
        <v>42501</v>
      </c>
      <c r="R13" s="46" t="s">
        <v>322</v>
      </c>
    </row>
    <row r="14" spans="1:18" ht="21" customHeight="1" x14ac:dyDescent="0.15">
      <c r="A14" s="38" t="str">
        <f t="shared" si="1"/>
        <v>39004003_39004004</v>
      </c>
      <c r="B14" s="46">
        <v>39004003</v>
      </c>
      <c r="C14" s="46">
        <v>39004004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14" s="46">
        <v>39004013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47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910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6" t="s">
        <v>227</v>
      </c>
      <c r="Q14" s="136">
        <v>42501</v>
      </c>
      <c r="R14" s="46" t="s">
        <v>323</v>
      </c>
    </row>
    <row r="15" spans="1:18" ht="21" customHeight="1" x14ac:dyDescent="0.15">
      <c r="A15" s="38" t="str">
        <f t="shared" si="1"/>
        <v>39004003_39004004</v>
      </c>
      <c r="B15" s="46">
        <v>39004003</v>
      </c>
      <c r="C15" s="46">
        <v>39004004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15" s="46">
        <v>39004014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7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7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911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 t="s">
        <v>227</v>
      </c>
      <c r="Q15" s="136">
        <v>42501</v>
      </c>
      <c r="R15" s="46" t="s">
        <v>324</v>
      </c>
    </row>
    <row r="16" spans="1:18" ht="21" customHeight="1" x14ac:dyDescent="0.15">
      <c r="A16" s="38" t="str">
        <f t="shared" si="1"/>
        <v>39004003_39004004</v>
      </c>
      <c r="B16" s="46">
        <v>39004003</v>
      </c>
      <c r="C16" s="46">
        <v>39004004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16" s="46">
        <v>39004015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7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7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7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912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6" t="s">
        <v>227</v>
      </c>
      <c r="Q16" s="136">
        <v>42501</v>
      </c>
      <c r="R16" s="46" t="s">
        <v>325</v>
      </c>
    </row>
    <row r="17" spans="1:18" ht="21" customHeight="1" x14ac:dyDescent="0.15">
      <c r="A17" s="38" t="str">
        <f t="shared" si="1"/>
        <v>39004003_39004004</v>
      </c>
      <c r="B17" s="46">
        <v>39004003</v>
      </c>
      <c r="C17" s="46">
        <v>39004004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17" s="46">
        <v>39004016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7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7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913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 t="s">
        <v>227</v>
      </c>
      <c r="Q17" s="136">
        <v>42501</v>
      </c>
      <c r="R17" s="46" t="s">
        <v>326</v>
      </c>
    </row>
    <row r="18" spans="1:18" ht="21" customHeight="1" x14ac:dyDescent="0.15">
      <c r="A18" s="38" t="str">
        <f t="shared" si="1"/>
        <v>39004003_39004004</v>
      </c>
      <c r="B18" s="46">
        <v>39004003</v>
      </c>
      <c r="C18" s="46">
        <v>39004004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18" s="46">
        <v>39004017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7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7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7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914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6" t="s">
        <v>227</v>
      </c>
      <c r="Q18" s="136">
        <v>42501</v>
      </c>
      <c r="R18" s="46" t="s">
        <v>327</v>
      </c>
    </row>
    <row r="19" spans="1:18" ht="21" customHeight="1" x14ac:dyDescent="0.15">
      <c r="A19" s="38" t="str">
        <f t="shared" si="1"/>
        <v>39004003_39004004</v>
      </c>
      <c r="B19" s="46">
        <v>39004003</v>
      </c>
      <c r="C19" s="46">
        <v>39004004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19" s="46">
        <v>39004018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7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7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915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 t="s">
        <v>227</v>
      </c>
      <c r="Q19" s="136">
        <v>42501</v>
      </c>
      <c r="R19" s="46" t="s">
        <v>328</v>
      </c>
    </row>
    <row r="20" spans="1:18" ht="21" customHeight="1" x14ac:dyDescent="0.15">
      <c r="A20" s="38" t="str">
        <f t="shared" si="1"/>
        <v>39004003_39004004</v>
      </c>
      <c r="B20" s="46">
        <v>39004003</v>
      </c>
      <c r="C20" s="46">
        <v>39004004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20" s="46">
        <v>39004019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7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47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916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 t="s">
        <v>227</v>
      </c>
      <c r="Q20" s="136">
        <v>42501</v>
      </c>
      <c r="R20" s="46" t="s">
        <v>329</v>
      </c>
    </row>
    <row r="21" spans="1:18" ht="21" customHeight="1" x14ac:dyDescent="0.15">
      <c r="A21" s="38" t="str">
        <f t="shared" si="1"/>
        <v>39004003_39004004</v>
      </c>
      <c r="B21" s="46">
        <v>39004003</v>
      </c>
      <c r="C21" s="46">
        <v>39004004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21" s="46">
        <v>39004020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7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7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917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 t="s">
        <v>227</v>
      </c>
      <c r="Q21" s="136">
        <v>42501</v>
      </c>
      <c r="R21" s="46" t="s">
        <v>330</v>
      </c>
    </row>
    <row r="22" spans="1:18" ht="21" customHeight="1" x14ac:dyDescent="0.15">
      <c r="A22" s="38" t="str">
        <f t="shared" si="1"/>
        <v>39004003_39004004</v>
      </c>
      <c r="B22" s="46">
        <v>39004003</v>
      </c>
      <c r="C22" s="46">
        <v>39004004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22" s="46">
        <v>39004021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7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7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47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918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6" t="s">
        <v>227</v>
      </c>
      <c r="Q22" s="136">
        <v>42501</v>
      </c>
      <c r="R22" s="46" t="s">
        <v>331</v>
      </c>
    </row>
    <row r="23" spans="1:18" ht="21" customHeight="1" x14ac:dyDescent="0.15">
      <c r="A23" s="38" t="str">
        <f t="shared" si="1"/>
        <v>39004003_39004004</v>
      </c>
      <c r="B23" s="46">
        <v>39004003</v>
      </c>
      <c r="C23" s="46">
        <v>39004004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23" s="46">
        <v>39004022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7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7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7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919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6" t="s">
        <v>227</v>
      </c>
      <c r="Q23" s="136">
        <v>42501</v>
      </c>
      <c r="R23" s="46" t="s">
        <v>332</v>
      </c>
    </row>
    <row r="24" spans="1:18" ht="21" customHeight="1" x14ac:dyDescent="0.15">
      <c r="A24" s="38" t="str">
        <f t="shared" si="1"/>
        <v>39004003_39004004</v>
      </c>
      <c r="B24" s="46">
        <v>39004003</v>
      </c>
      <c r="C24" s="46">
        <v>39004004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24" s="46">
        <v>39004023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7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7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920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 t="s">
        <v>227</v>
      </c>
      <c r="Q24" s="136">
        <v>42501</v>
      </c>
      <c r="R24" s="46" t="s">
        <v>333</v>
      </c>
    </row>
    <row r="25" spans="1:18" ht="21" customHeight="1" x14ac:dyDescent="0.15">
      <c r="A25" s="38" t="str">
        <f t="shared" si="1"/>
        <v>39004003_39004004</v>
      </c>
      <c r="B25" s="46">
        <v>39004003</v>
      </c>
      <c r="C25" s="46">
        <v>39004004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25" s="46">
        <v>39004024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7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7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921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6" t="s">
        <v>227</v>
      </c>
      <c r="Q25" s="136">
        <v>42501</v>
      </c>
      <c r="R25" s="46" t="s">
        <v>334</v>
      </c>
    </row>
    <row r="26" spans="1:18" ht="21" customHeight="1" x14ac:dyDescent="0.15">
      <c r="A26" s="38" t="str">
        <f t="shared" si="1"/>
        <v>39004003_39004004</v>
      </c>
      <c r="B26" s="46">
        <v>39004003</v>
      </c>
      <c r="C26" s="46">
        <v>39004004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26" s="46">
        <v>39004025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7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7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7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922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6" t="s">
        <v>227</v>
      </c>
      <c r="Q26" s="136">
        <v>42501</v>
      </c>
      <c r="R26" s="46" t="s">
        <v>335</v>
      </c>
    </row>
    <row r="27" spans="1:18" ht="21" customHeight="1" x14ac:dyDescent="0.15">
      <c r="A27" s="38" t="str">
        <f t="shared" si="1"/>
        <v>39004003_39004004</v>
      </c>
      <c r="B27" s="46">
        <v>39004003</v>
      </c>
      <c r="C27" s="46">
        <v>39004004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27" s="46">
        <v>39004026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7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" s="47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923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 t="s">
        <v>227</v>
      </c>
      <c r="Q27" s="136">
        <v>42501</v>
      </c>
      <c r="R27" s="46" t="s">
        <v>336</v>
      </c>
    </row>
    <row r="28" spans="1:18" ht="21" customHeight="1" x14ac:dyDescent="0.15">
      <c r="A28" s="38" t="str">
        <f t="shared" si="1"/>
        <v>39004003_39004004</v>
      </c>
      <c r="B28" s="46">
        <v>39004003</v>
      </c>
      <c r="C28" s="46">
        <v>39004004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28" s="46">
        <v>39004027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7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7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924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6" t="s">
        <v>227</v>
      </c>
      <c r="Q28" s="136">
        <v>42501</v>
      </c>
      <c r="R28" s="46" t="s">
        <v>337</v>
      </c>
    </row>
    <row r="29" spans="1:18" ht="21" customHeight="1" x14ac:dyDescent="0.15">
      <c r="A29" s="38" t="str">
        <f t="shared" si="1"/>
        <v>39004003_39004004</v>
      </c>
      <c r="B29" s="46">
        <v>39004003</v>
      </c>
      <c r="C29" s="46">
        <v>39004004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29" s="46">
        <v>39004028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7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47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925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6" t="s">
        <v>227</v>
      </c>
      <c r="Q29" s="136">
        <v>42501</v>
      </c>
      <c r="R29" s="46" t="s">
        <v>338</v>
      </c>
    </row>
    <row r="30" spans="1:18" ht="21" customHeight="1" x14ac:dyDescent="0.15">
      <c r="A30" s="38" t="str">
        <f t="shared" si="1"/>
        <v>39004003_39004004</v>
      </c>
      <c r="B30" s="46">
        <v>39004003</v>
      </c>
      <c r="C30" s="46">
        <v>39004004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30" s="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30" s="46">
        <v>39004029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7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7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7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926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6" t="s">
        <v>227</v>
      </c>
      <c r="Q30" s="136">
        <v>42501</v>
      </c>
      <c r="R30" s="46" t="s">
        <v>339</v>
      </c>
    </row>
    <row r="31" spans="1:18" ht="21" customHeight="1" x14ac:dyDescent="0.15">
      <c r="A31" s="38" t="str">
        <f t="shared" si="1"/>
        <v>39004003_39004004</v>
      </c>
      <c r="B31" s="46">
        <v>39004003</v>
      </c>
      <c r="C31" s="46">
        <v>39004004</v>
      </c>
      <c r="D31" s="45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31" s="45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31" s="46">
        <v>39004030</v>
      </c>
      <c r="G31" s="4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1" s="4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7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1" s="4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7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7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47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927</v>
      </c>
      <c r="O31" s="4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6" t="s">
        <v>227</v>
      </c>
      <c r="Q31" s="136">
        <v>42501</v>
      </c>
      <c r="R31" s="46" t="s">
        <v>340</v>
      </c>
    </row>
    <row r="32" spans="1:18" ht="21" customHeight="1" x14ac:dyDescent="0.15">
      <c r="A32" s="38" t="str">
        <f t="shared" ref="A32:A44" si="3">B32&amp;"_"&amp;C32</f>
        <v>39004003_39004004</v>
      </c>
      <c r="B32" s="46">
        <v>39004003</v>
      </c>
      <c r="C32" s="46">
        <v>39004004</v>
      </c>
      <c r="D32" s="4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わぁ！ぬいぐるみさん！</v>
      </c>
      <c r="E32" s="45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目を輝かせている</v>
      </c>
      <c r="F32" s="46">
        <v>39004031</v>
      </c>
      <c r="G32" s="4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7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2" s="4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7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2" s="4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7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7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7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928</v>
      </c>
      <c r="O32" s="4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6" t="s">
        <v>227</v>
      </c>
      <c r="Q32" s="136">
        <v>42501</v>
      </c>
      <c r="R32" s="46" t="s">
        <v>341</v>
      </c>
    </row>
    <row r="33" spans="1:18" ht="21" customHeight="1" x14ac:dyDescent="0.15">
      <c r="A33" s="38" t="str">
        <f t="shared" si="3"/>
        <v>39004003_39004005</v>
      </c>
      <c r="B33" s="46">
        <v>39004003</v>
      </c>
      <c r="C33" s="46">
        <v>39004005</v>
      </c>
      <c r="D33" s="4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いっぱい遊ぼうね！</v>
      </c>
      <c r="E33" s="4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HP回復</v>
      </c>
      <c r="F33" s="46">
        <v>39004032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7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7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3" s="4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7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3" s="47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7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6" t="s">
        <v>227</v>
      </c>
      <c r="Q33" s="136">
        <v>42501</v>
      </c>
      <c r="R33" s="46" t="s">
        <v>342</v>
      </c>
    </row>
    <row r="34" spans="1:18" ht="21" customHeight="1" x14ac:dyDescent="0.15">
      <c r="A34" s="38" t="str">
        <f t="shared" si="3"/>
        <v>39004003_39004006</v>
      </c>
      <c r="B34" s="46">
        <v>39004003</v>
      </c>
      <c r="C34" s="46">
        <v>39004006</v>
      </c>
      <c r="D34" s="4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あっちにもキティちゃん？</v>
      </c>
      <c r="E34" s="4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みてくるからまっててね！</v>
      </c>
      <c r="F34" s="46">
        <v>39004033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7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7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4" s="4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7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4" s="47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7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4" s="4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6" t="s">
        <v>227</v>
      </c>
      <c r="Q34" s="136">
        <v>42501</v>
      </c>
      <c r="R34" s="46" t="s">
        <v>343</v>
      </c>
    </row>
    <row r="35" spans="1:18" ht="21" customHeight="1" x14ac:dyDescent="0.15">
      <c r="A35" s="38" t="str">
        <f t="shared" si="3"/>
        <v>39004004_39004007</v>
      </c>
      <c r="B35" s="46">
        <v>39004004</v>
      </c>
      <c r="C35" s="46">
        <v>39004007</v>
      </c>
      <c r="D35" s="4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みんなだいすきだよっ☆</v>
      </c>
      <c r="E35" s="4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2ターン防御力UP</v>
      </c>
      <c r="F35" s="46">
        <v>39004034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7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5" s="4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7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7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7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6" t="s">
        <v>227</v>
      </c>
      <c r="Q35" s="136">
        <v>42501</v>
      </c>
      <c r="R35" s="46" t="s">
        <v>344</v>
      </c>
    </row>
    <row r="36" spans="1:18" ht="21" customHeight="1" x14ac:dyDescent="0.15">
      <c r="A36" s="38" t="str">
        <f t="shared" si="3"/>
        <v>39004004_39004008</v>
      </c>
      <c r="B36" s="46">
        <v>39004004</v>
      </c>
      <c r="C36" s="46">
        <v>39004008</v>
      </c>
      <c r="D36" s="4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ふぁいと！ふぁいと！</v>
      </c>
      <c r="E36" s="4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6" s="46">
        <v>39004035</v>
      </c>
      <c r="G36" s="4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7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6" s="4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6" s="47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6" s="4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7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7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7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6" s="46" t="s">
        <v>227</v>
      </c>
      <c r="Q36" s="136">
        <v>42501</v>
      </c>
      <c r="R36" s="46" t="s">
        <v>345</v>
      </c>
    </row>
    <row r="37" spans="1:18" ht="21" customHeight="1" x14ac:dyDescent="0.15">
      <c r="A37" s="38" t="str">
        <f t="shared" si="3"/>
        <v>39004005_39004009</v>
      </c>
      <c r="B37" s="46">
        <v>39004005</v>
      </c>
      <c r="C37" s="46">
        <v>39004009</v>
      </c>
      <c r="D37" s="4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ダブルフリップ</v>
      </c>
      <c r="E37" s="4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37" s="46">
        <v>39004036</v>
      </c>
      <c r="G37" s="4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7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7" s="4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7" s="47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7" s="4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7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7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7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7" s="46" t="s">
        <v>227</v>
      </c>
      <c r="Q37" s="136">
        <v>42501</v>
      </c>
      <c r="R37" s="46" t="s">
        <v>346</v>
      </c>
    </row>
    <row r="38" spans="1:18" ht="21" customHeight="1" x14ac:dyDescent="0.15">
      <c r="A38" s="38" t="str">
        <f t="shared" si="3"/>
        <v>39004006_39004010</v>
      </c>
      <c r="B38" s="46">
        <v>39004006</v>
      </c>
      <c r="C38" s="46">
        <v>39004010</v>
      </c>
      <c r="D38" s="4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閃光の翼</v>
      </c>
      <c r="E38" s="45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8" s="46">
        <v>39004037</v>
      </c>
      <c r="G38" s="4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7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8" s="4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7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8" s="4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7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7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8" s="47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6" t="s">
        <v>227</v>
      </c>
      <c r="Q38" s="136">
        <v>42501</v>
      </c>
      <c r="R38" s="46" t="s">
        <v>347</v>
      </c>
    </row>
    <row r="39" spans="1:18" ht="21" customHeight="1" x14ac:dyDescent="0.15">
      <c r="A39" s="38" t="str">
        <f t="shared" si="3"/>
        <v>39004007_39004011</v>
      </c>
      <c r="B39" s="46">
        <v>39004007</v>
      </c>
      <c r="C39" s="46">
        <v>39004011</v>
      </c>
      <c r="D39" s="4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ファンシーリボン</v>
      </c>
      <c r="E39" s="45" t="str">
        <f ca="1">VLOOKUP($C39,OFFSET(enemy_skills!$A$1,0,0,COUNTA(enemy_skills!$A:$A),MATCH(E$1,enemy_skills!$1:$1,0)-MATCH("enemy_skill_id",enemy_skills!$1:$1,0)+1),MATCH(E$1,enemy_skills!$1:$1,0)-MATCH("enemy_skill_id",enemy_skills!$1:$1,0)+1,FALSE)</f>
        <v>2ターン攻撃力UP</v>
      </c>
      <c r="F39" s="46">
        <v>39004038</v>
      </c>
      <c r="G39" s="4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7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9" s="4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7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39" s="4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7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7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7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6" t="s">
        <v>227</v>
      </c>
      <c r="Q39" s="136">
        <v>42501</v>
      </c>
      <c r="R39" s="46" t="s">
        <v>348</v>
      </c>
    </row>
    <row r="40" spans="1:18" ht="21" customHeight="1" x14ac:dyDescent="0.15">
      <c r="A40" s="38" t="str">
        <f t="shared" si="3"/>
        <v>39004007_39004012</v>
      </c>
      <c r="B40" s="46">
        <v>39004007</v>
      </c>
      <c r="C40" s="46">
        <v>39004012</v>
      </c>
      <c r="D40" s="45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ファンシーハンマー</v>
      </c>
      <c r="E40" s="45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ハートパネルを最大3個プロテクト</v>
      </c>
      <c r="F40" s="46">
        <v>39004039</v>
      </c>
      <c r="G40" s="47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7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0" s="47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40" s="47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0" s="47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7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7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7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7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40" s="46" t="s">
        <v>227</v>
      </c>
      <c r="Q40" s="136">
        <v>42501</v>
      </c>
      <c r="R40" s="46" t="s">
        <v>349</v>
      </c>
    </row>
    <row r="41" spans="1:18" ht="21" customHeight="1" x14ac:dyDescent="0.15">
      <c r="A41" s="38" t="str">
        <f t="shared" si="3"/>
        <v>39004008_39004011</v>
      </c>
      <c r="B41" s="46">
        <v>39004008</v>
      </c>
      <c r="C41" s="46">
        <v>39004011</v>
      </c>
      <c r="D41" s="45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ファンシーリボン</v>
      </c>
      <c r="E41" s="45" t="str">
        <f ca="1">VLOOKUP($C41,OFFSET(enemy_skills!$A$1,0,0,COUNTA(enemy_skills!$A:$A),MATCH(E$1,enemy_skills!$1:$1,0)-MATCH("enemy_skill_id",enemy_skills!$1:$1,0)+1),MATCH(E$1,enemy_skills!$1:$1,0)-MATCH("enemy_skill_id",enemy_skills!$1:$1,0)+1,FALSE)</f>
        <v>2ターン攻撃力UP</v>
      </c>
      <c r="F41" s="46">
        <v>39004038</v>
      </c>
      <c r="G41" s="47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7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1" s="47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7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1" s="47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7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7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7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7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6" t="s">
        <v>227</v>
      </c>
      <c r="Q41" s="136">
        <v>42501</v>
      </c>
      <c r="R41" s="46" t="s">
        <v>350</v>
      </c>
    </row>
    <row r="42" spans="1:18" ht="21" customHeight="1" x14ac:dyDescent="0.15">
      <c r="A42" s="38" t="str">
        <f t="shared" si="3"/>
        <v>39004008_39004013</v>
      </c>
      <c r="B42" s="46">
        <v>39004008</v>
      </c>
      <c r="C42" s="46">
        <v>39004013</v>
      </c>
      <c r="D42" s="4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ファンシーハンマー改</v>
      </c>
      <c r="E42" s="45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ハートパネルを最大30個プロテクト</v>
      </c>
      <c r="F42" s="46">
        <v>39004040</v>
      </c>
      <c r="G42" s="4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2" s="4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42" s="47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2" s="4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7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7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7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42" s="46" t="s">
        <v>227</v>
      </c>
      <c r="Q42" s="136">
        <v>42501</v>
      </c>
      <c r="R42" s="46" t="s">
        <v>351</v>
      </c>
    </row>
    <row r="43" spans="1:18" ht="21" customHeight="1" x14ac:dyDescent="0.15">
      <c r="A43" s="38" t="str">
        <f t="shared" si="3"/>
        <v>39004009_39004014</v>
      </c>
      <c r="B43" s="46">
        <v>39004009</v>
      </c>
      <c r="C43" s="46">
        <v>39004014</v>
      </c>
      <c r="D43" s="45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じゃーん！かわいいでしょ！</v>
      </c>
      <c r="E43" s="45" t="str">
        <f ca="1">VLOOKUP($C43,OFFSET(enemy_skills!$A$1,0,0,COUNTA(enemy_skills!$A:$A),MATCH(E$1,enemy_skills!$1:$1,0)-MATCH("enemy_skill_id",enemy_skills!$1:$1,0)+1),MATCH(E$1,enemy_skills!$1:$1,0)-MATCH("enemy_skill_id",enemy_skills!$1:$1,0)+1,FALSE)</f>
        <v>緑パネルをハートパネルに変換</v>
      </c>
      <c r="F43" s="46">
        <v>39004041</v>
      </c>
      <c r="G43" s="4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7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3" s="47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7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3" s="4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7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7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7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6" t="s">
        <v>227</v>
      </c>
      <c r="Q43" s="136">
        <v>42501</v>
      </c>
      <c r="R43" s="46" t="s">
        <v>352</v>
      </c>
    </row>
    <row r="44" spans="1:18" ht="21" customHeight="1" x14ac:dyDescent="0.15">
      <c r="A44" s="38" t="str">
        <f t="shared" si="3"/>
        <v>39004009_39004015</v>
      </c>
      <c r="B44" s="46">
        <v>39004009</v>
      </c>
      <c r="C44" s="46">
        <v>39004015</v>
      </c>
      <c r="D44" s="4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やっちゃうぞー！</v>
      </c>
      <c r="E44" s="45" t="str">
        <f ca="1">VLOOKUP($C44,OFFSET(enemy_skills!$A$1,0,0,COUNTA(enemy_skills!$A:$A),MATCH(E$1,enemy_skills!$1:$1,0)-MATCH("enemy_skill_id",enemy_skills!$1:$1,0)+1),MATCH(E$1,enemy_skills!$1:$1,0)-MATCH("enemy_skill_id",enemy_skills!$1:$1,0)+1,FALSE)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4" s="46">
        <v>39004042</v>
      </c>
      <c r="G44" s="4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7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4" s="47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7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4" s="4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7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7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7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6" t="s">
        <v>227</v>
      </c>
      <c r="Q44" s="136">
        <v>42501</v>
      </c>
      <c r="R44" s="46" t="s">
        <v>353</v>
      </c>
    </row>
    <row r="45" spans="1:18" ht="21" customHeight="1" x14ac:dyDescent="0.15">
      <c r="A45" s="38" t="str">
        <f t="shared" ref="A45:A52" si="4">B45&amp;"_"&amp;C45</f>
        <v>39004009_39004016</v>
      </c>
      <c r="B45" s="46">
        <v>39004009</v>
      </c>
      <c r="C45" s="46">
        <v>39004016</v>
      </c>
      <c r="D45" s="45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えへへーキティちゃんだよ！</v>
      </c>
      <c r="E45" s="45" t="str">
        <f ca="1">VLOOKUP($C45,OFFSET(enemy_skills!$A$1,0,0,COUNTA(enemy_skills!$A:$A),MATCH(E$1,enemy_skills!$1:$1,0)-MATCH("enemy_skill_id",enemy_skills!$1:$1,0)+1),MATCH(E$1,enemy_skills!$1:$1,0)-MATCH("enemy_skill_id",enemy_skills!$1:$1,0)+1,FALSE)</f>
        <v>緑パネルをハートパネルに変換</v>
      </c>
      <c r="F45" s="46">
        <v>39004043</v>
      </c>
      <c r="G45" s="47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7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5" s="47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5" s="47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5" s="47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7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7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7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5" s="47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5" s="46" t="s">
        <v>227</v>
      </c>
      <c r="Q45" s="136">
        <v>42501</v>
      </c>
      <c r="R45" s="46" t="s">
        <v>353</v>
      </c>
    </row>
    <row r="46" spans="1:18" ht="21" customHeight="1" x14ac:dyDescent="0.15">
      <c r="A46" s="38" t="str">
        <f t="shared" si="4"/>
        <v>39004009_39004017</v>
      </c>
      <c r="B46" s="46">
        <v>39004009</v>
      </c>
      <c r="C46" s="46">
        <v>39004017</v>
      </c>
      <c r="D46" s="45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ひとりじめしちゃうもーん！</v>
      </c>
      <c r="E46" s="45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ハートパネル吸収攻撃</v>
      </c>
      <c r="F46" s="46">
        <v>39004044</v>
      </c>
      <c r="G46" s="47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7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6" s="47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7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6" s="47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7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7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6" s="47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7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6" t="s">
        <v>227</v>
      </c>
      <c r="Q46" s="136">
        <v>42501</v>
      </c>
      <c r="R46" s="46" t="s">
        <v>353</v>
      </c>
    </row>
    <row r="47" spans="1:18" ht="21" customHeight="1" x14ac:dyDescent="0.15">
      <c r="A47" s="38" t="str">
        <f t="shared" si="4"/>
        <v>39004010_39004018</v>
      </c>
      <c r="B47" s="46">
        <v>39004010</v>
      </c>
      <c r="C47" s="46">
        <v>39004018</v>
      </c>
      <c r="D47" s="45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みんなー！おいでー！</v>
      </c>
      <c r="E47" s="45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ハートパネルを黄パネルに変換</v>
      </c>
      <c r="F47" s="46">
        <v>39004045</v>
      </c>
      <c r="G47" s="47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7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7" s="47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7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7" s="47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7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7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7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7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6" t="s">
        <v>227</v>
      </c>
      <c r="Q47" s="136">
        <v>42501</v>
      </c>
      <c r="R47" s="46" t="s">
        <v>362</v>
      </c>
    </row>
    <row r="48" spans="1:18" ht="21" customHeight="1" x14ac:dyDescent="0.15">
      <c r="A48" s="38" t="str">
        <f t="shared" si="4"/>
        <v>39004010_39004019</v>
      </c>
      <c r="B48" s="46">
        <v>39004010</v>
      </c>
      <c r="C48" s="46">
        <v>39004019</v>
      </c>
      <c r="D48" s="45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えいえーい！</v>
      </c>
      <c r="E48" s="45" t="str">
        <f ca="1">VLOOKUP($C48,OFFSET(enemy_skills!$A$1,0,0,COUNTA(enemy_skills!$A:$A),MATCH(E$1,enemy_skills!$1:$1,0)-MATCH("enemy_skill_id",enemy_skills!$1:$1,0)+1),MATCH(E$1,enemy_skills!$1:$1,0)-MATCH("enemy_skill_id",enemy_skills!$1:$1,0)+1,FALSE)</f>
        <v>時限式パネルを4個生成</v>
      </c>
      <c r="F48" s="46">
        <v>39004046</v>
      </c>
      <c r="G48" s="47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7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8" s="47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8" s="47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8" s="4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7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7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7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7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8" s="46" t="s">
        <v>227</v>
      </c>
      <c r="Q48" s="136">
        <v>42501</v>
      </c>
      <c r="R48" s="46" t="s">
        <v>362</v>
      </c>
    </row>
    <row r="49" spans="1:18" ht="21" customHeight="1" x14ac:dyDescent="0.15">
      <c r="A49" s="38" t="str">
        <f t="shared" si="4"/>
        <v>39004010_39004020</v>
      </c>
      <c r="B49" s="46">
        <v>39004010</v>
      </c>
      <c r="C49" s="46">
        <v>39004020</v>
      </c>
      <c r="D49" s="45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ぬいぐるみあたっーく！</v>
      </c>
      <c r="E49" s="45" t="str">
        <f ca="1">VLOOKUP($C49,OFFSET(enemy_skills!$A$1,0,0,COUNTA(enemy_skills!$A:$A),MATCH(E$1,enemy_skills!$1:$1,0)-MATCH("enemy_skill_id",enemy_skills!$1:$1,0)+1),MATCH(E$1,enemy_skills!$1:$1,0)-MATCH("enemy_skill_id",enemy_skills!$1:$1,0)+1,FALSE)</f>
        <v>7回連続攻撃</v>
      </c>
      <c r="F49" s="46">
        <v>39004047</v>
      </c>
      <c r="G49" s="47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7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9" s="47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9" s="47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9" s="4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7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7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7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7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9" s="46" t="s">
        <v>227</v>
      </c>
      <c r="Q49" s="136">
        <v>42501</v>
      </c>
      <c r="R49" s="46" t="s">
        <v>362</v>
      </c>
    </row>
    <row r="50" spans="1:18" ht="21" customHeight="1" x14ac:dyDescent="0.15">
      <c r="A50" s="38" t="str">
        <f t="shared" si="4"/>
        <v>39004010_39004021</v>
      </c>
      <c r="B50" s="46">
        <v>39004010</v>
      </c>
      <c r="C50" s="46">
        <v>39004021</v>
      </c>
      <c r="D50" s="45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キティちゃん大好き！</v>
      </c>
      <c r="E50" s="45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ぬいぐるみを抱きしめている</v>
      </c>
      <c r="F50" s="46">
        <v>39004048</v>
      </c>
      <c r="G50" s="47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7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0" s="47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7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0" s="47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7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7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7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7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6" t="s">
        <v>227</v>
      </c>
      <c r="Q50" s="136">
        <v>42501</v>
      </c>
      <c r="R50" s="46" t="s">
        <v>362</v>
      </c>
    </row>
    <row r="51" spans="1:18" ht="21" customHeight="1" x14ac:dyDescent="0.15">
      <c r="A51" s="38" t="str">
        <f t="shared" si="4"/>
        <v>39004010_39004022</v>
      </c>
      <c r="B51" s="46">
        <v>39004010</v>
      </c>
      <c r="C51" s="46">
        <v>39004022</v>
      </c>
      <c r="D51" s="45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まだ帰らないもん！</v>
      </c>
      <c r="E51" s="45" t="str">
        <f ca="1">VLOOKUP($C51,OFFSET(enemy_skills!$A$1,0,0,COUNTA(enemy_skills!$A:$A),MATCH(E$1,enemy_skills!$1:$1,0)-MATCH("enemy_skill_id",enemy_skills!$1:$1,0)+1),MATCH(E$1,enemy_skills!$1:$1,0)-MATCH("enemy_skill_id",enemy_skills!$1:$1,0)+1,FALSE)</f>
        <v>HP大回復</v>
      </c>
      <c r="F51" s="46">
        <v>39004049</v>
      </c>
      <c r="G51" s="47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7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1" s="47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7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1" s="47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7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7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7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7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6" t="s">
        <v>227</v>
      </c>
      <c r="Q51" s="136">
        <v>42501</v>
      </c>
      <c r="R51" s="46" t="s">
        <v>362</v>
      </c>
    </row>
    <row r="52" spans="1:18" ht="21" customHeight="1" x14ac:dyDescent="0.15">
      <c r="A52" s="38" t="str">
        <f t="shared" si="4"/>
        <v>39004010_39004023</v>
      </c>
      <c r="B52" s="46">
        <v>39004010</v>
      </c>
      <c r="C52" s="46">
        <v>39004023</v>
      </c>
      <c r="D52" s="45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ふわぁー…眠くなってきちゃった</v>
      </c>
      <c r="E52" s="45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また遊んでね！ばいばーい</v>
      </c>
      <c r="F52" s="46">
        <v>39004050</v>
      </c>
      <c r="G52" s="47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7" t="str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2" s="47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7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2" s="47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7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2" s="47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7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2" s="47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6" t="s">
        <v>227</v>
      </c>
      <c r="Q52" s="136">
        <v>42501</v>
      </c>
      <c r="R52" s="46" t="s">
        <v>362</v>
      </c>
    </row>
    <row r="53" spans="1:18" ht="21" customHeight="1" x14ac:dyDescent="0.15">
      <c r="A53" s="38" t="str">
        <f t="shared" ref="A53:A57" si="5">B53&amp;"_"&amp;C53</f>
        <v>39004011_39004018</v>
      </c>
      <c r="B53" s="46">
        <v>39004011</v>
      </c>
      <c r="C53" s="46">
        <v>39004018</v>
      </c>
      <c r="D53" s="45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みんなー！おいでー！</v>
      </c>
      <c r="E53" s="45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ハートパネルを黄パネルに変換</v>
      </c>
      <c r="F53" s="46">
        <v>39004045</v>
      </c>
      <c r="G53" s="47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47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3" s="47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7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3" s="47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7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7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7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7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6" t="s">
        <v>227</v>
      </c>
      <c r="Q53" s="136">
        <v>42501</v>
      </c>
      <c r="R53" s="46" t="s">
        <v>363</v>
      </c>
    </row>
    <row r="54" spans="1:18" ht="21" customHeight="1" x14ac:dyDescent="0.15">
      <c r="A54" s="38" t="str">
        <f t="shared" si="5"/>
        <v>39004011_39004019</v>
      </c>
      <c r="B54" s="46">
        <v>39004011</v>
      </c>
      <c r="C54" s="46">
        <v>39004019</v>
      </c>
      <c r="D54" s="45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えいえーい！</v>
      </c>
      <c r="E54" s="45" t="str">
        <f ca="1">VLOOKUP($C54,OFFSET(enemy_skills!$A$1,0,0,COUNTA(enemy_skills!$A:$A),MATCH(E$1,enemy_skills!$1:$1,0)-MATCH("enemy_skill_id",enemy_skills!$1:$1,0)+1),MATCH(E$1,enemy_skills!$1:$1,0)-MATCH("enemy_skill_id",enemy_skills!$1:$1,0)+1,FALSE)</f>
        <v>時限式パネルを4個生成</v>
      </c>
      <c r="F54" s="46">
        <v>39004046</v>
      </c>
      <c r="G54" s="47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7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54" s="47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4" s="47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4" s="47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7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7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7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7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4" s="46" t="s">
        <v>227</v>
      </c>
      <c r="Q54" s="136">
        <v>42501</v>
      </c>
      <c r="R54" s="46" t="s">
        <v>363</v>
      </c>
    </row>
    <row r="55" spans="1:18" ht="21" customHeight="1" x14ac:dyDescent="0.15">
      <c r="A55" s="38" t="str">
        <f t="shared" si="5"/>
        <v>39004011_39004020</v>
      </c>
      <c r="B55" s="46">
        <v>39004011</v>
      </c>
      <c r="C55" s="46">
        <v>39004020</v>
      </c>
      <c r="D55" s="45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ぬいぐるみあたっーく！</v>
      </c>
      <c r="E55" s="45" t="str">
        <f ca="1">VLOOKUP($C55,OFFSET(enemy_skills!$A$1,0,0,COUNTA(enemy_skills!$A:$A),MATCH(E$1,enemy_skills!$1:$1,0)-MATCH("enemy_skill_id",enemy_skills!$1:$1,0)+1),MATCH(E$1,enemy_skills!$1:$1,0)-MATCH("enemy_skill_id",enemy_skills!$1:$1,0)+1,FALSE)</f>
        <v>7回連続攻撃</v>
      </c>
      <c r="F55" s="46">
        <v>39004047</v>
      </c>
      <c r="G55" s="47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7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5" s="47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55" s="47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5" s="47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7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7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7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7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55" s="46" t="s">
        <v>227</v>
      </c>
      <c r="Q55" s="136">
        <v>42501</v>
      </c>
      <c r="R55" s="46" t="s">
        <v>363</v>
      </c>
    </row>
    <row r="56" spans="1:18" ht="21" customHeight="1" x14ac:dyDescent="0.15">
      <c r="A56" s="38" t="str">
        <f t="shared" si="5"/>
        <v>39004011_39004022</v>
      </c>
      <c r="B56" s="46">
        <v>39004011</v>
      </c>
      <c r="C56" s="46">
        <v>39004022</v>
      </c>
      <c r="D56" s="45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まだ帰らないもん！</v>
      </c>
      <c r="E56" s="45" t="str">
        <f ca="1">VLOOKUP($C56,OFFSET(enemy_skills!$A$1,0,0,COUNTA(enemy_skills!$A:$A),MATCH(E$1,enemy_skills!$1:$1,0)-MATCH("enemy_skill_id",enemy_skills!$1:$1,0)+1),MATCH(E$1,enemy_skills!$1:$1,0)-MATCH("enemy_skill_id",enemy_skills!$1:$1,0)+1,FALSE)</f>
        <v>HP大回復</v>
      </c>
      <c r="F56" s="46">
        <v>39004049</v>
      </c>
      <c r="G56" s="47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7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6" s="47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7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6" s="47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7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7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7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7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6" t="s">
        <v>227</v>
      </c>
      <c r="Q56" s="136">
        <v>42501</v>
      </c>
      <c r="R56" s="46" t="s">
        <v>363</v>
      </c>
    </row>
    <row r="57" spans="1:18" ht="21" customHeight="1" x14ac:dyDescent="0.15">
      <c r="A57" s="38" t="str">
        <f t="shared" si="5"/>
        <v>39004011_39004023</v>
      </c>
      <c r="B57" s="46">
        <v>39004011</v>
      </c>
      <c r="C57" s="46">
        <v>39004023</v>
      </c>
      <c r="D57" s="45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ふわぁー…眠くなってきちゃった</v>
      </c>
      <c r="E57" s="45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また遊んでね！ばいばーい</v>
      </c>
      <c r="F57" s="46">
        <v>39004050</v>
      </c>
      <c r="G57" s="47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7" t="str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7" s="47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7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57" s="47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7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7" s="47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7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7" s="47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6" t="s">
        <v>227</v>
      </c>
      <c r="Q57" s="136">
        <v>42501</v>
      </c>
      <c r="R57" s="46" t="s">
        <v>363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4"/>
  <sheetViews>
    <sheetView showGridLines="0" workbookViewId="0">
      <pane ySplit="1" topLeftCell="A3" activePane="bottomLeft" state="frozenSplit"/>
      <selection pane="bottomLeft" activeCell="E15" sqref="E15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67.1640625" style="48" customWidth="1"/>
    <col min="3" max="4" width="12.83203125" style="48"/>
    <col min="5" max="5" width="29.6640625" style="48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39" t="s">
        <v>79</v>
      </c>
      <c r="B1" s="39" t="s">
        <v>80</v>
      </c>
      <c r="C1" s="39" t="s">
        <v>81</v>
      </c>
      <c r="D1" s="39" t="s">
        <v>127</v>
      </c>
      <c r="E1" s="39" t="s">
        <v>82</v>
      </c>
      <c r="F1" s="39" t="s">
        <v>83</v>
      </c>
      <c r="G1" s="40" t="s">
        <v>133</v>
      </c>
      <c r="H1" s="40" t="s">
        <v>139</v>
      </c>
      <c r="I1" s="40" t="s">
        <v>141</v>
      </c>
      <c r="J1" s="40" t="s">
        <v>140</v>
      </c>
      <c r="K1" s="40" t="s">
        <v>142</v>
      </c>
      <c r="L1" s="40" t="s">
        <v>134</v>
      </c>
      <c r="M1" s="40" t="s">
        <v>132</v>
      </c>
      <c r="N1" s="40" t="s">
        <v>135</v>
      </c>
      <c r="O1" s="40" t="s">
        <v>143</v>
      </c>
      <c r="P1" s="40" t="s">
        <v>144</v>
      </c>
      <c r="Q1" s="40" t="s">
        <v>145</v>
      </c>
      <c r="R1" s="40" t="s">
        <v>146</v>
      </c>
      <c r="S1" s="40" t="s">
        <v>136</v>
      </c>
      <c r="T1" s="40" t="s">
        <v>137</v>
      </c>
      <c r="U1" s="40" t="s">
        <v>147</v>
      </c>
      <c r="V1" s="40" t="s">
        <v>148</v>
      </c>
      <c r="W1" s="40" t="s">
        <v>149</v>
      </c>
      <c r="X1" s="40" t="s">
        <v>150</v>
      </c>
      <c r="Y1" s="40" t="s">
        <v>138</v>
      </c>
      <c r="Z1" s="40" t="s">
        <v>76</v>
      </c>
      <c r="AA1" s="40" t="s">
        <v>77</v>
      </c>
      <c r="AB1" s="40" t="s">
        <v>78</v>
      </c>
    </row>
    <row r="2" spans="1:28" ht="21" customHeight="1" x14ac:dyDescent="0.15">
      <c r="A2" s="46">
        <v>39004001</v>
      </c>
      <c r="B2" s="46" t="s">
        <v>228</v>
      </c>
      <c r="C2" s="49">
        <v>3</v>
      </c>
      <c r="D2" s="49" t="s">
        <v>128</v>
      </c>
      <c r="E2" s="50" t="s">
        <v>364</v>
      </c>
      <c r="F2" s="50" t="s">
        <v>226</v>
      </c>
      <c r="G2" s="63" t="str">
        <f>IFERROR(LEFT(B2,FIND("],",B2)),B2)</f>
        <v>[effect:hungup, target:unit_all, turn:1, rate:0.3, animation:hungup01]</v>
      </c>
      <c r="H2" s="63">
        <f>FIND("effect:",G2)+7</f>
        <v>9</v>
      </c>
      <c r="I2" s="63">
        <f>IFERROR(FIND(",",G2),LEN(G2))</f>
        <v>15</v>
      </c>
      <c r="J2" s="63">
        <f>FIND("target:",G2)+7</f>
        <v>24</v>
      </c>
      <c r="K2" s="63">
        <f>FIND(",",G2,I2+1)</f>
        <v>32</v>
      </c>
      <c r="L2" s="63" t="str">
        <f>IFERROR(VLOOKUP(MID(G2,J2,K2-J2),[6]skilldef!$C:$D,2,FALSE),"-") &amp; " / " &amp; IFERROR(VLOOKUP(MID(G2,H2,I2-H2),[6]skilldef!$A:$B,2,FALSE),"-")</f>
        <v>味方全体に / ハングアップ</v>
      </c>
      <c r="M2" s="63" t="str">
        <f>IFERROR(RIGHT(B2,LEN(B2)-FIND("],",B2)-1),"none")</f>
        <v>none</v>
      </c>
      <c r="N2" s="47" t="str">
        <f>IFERROR(LEFT(M2,FIND("],",M2)+#REF!),M2)</f>
        <v>none</v>
      </c>
      <c r="O2" s="63" t="e">
        <f>FIND("effect:",N2)+7</f>
        <v>#VALUE!</v>
      </c>
      <c r="P2" s="63">
        <f>IFERROR(FIND(",",N2),LEN(N2))</f>
        <v>4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7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49" t="s">
        <v>227</v>
      </c>
      <c r="AA2" s="51">
        <v>42501</v>
      </c>
      <c r="AB2" s="49" t="s">
        <v>237</v>
      </c>
    </row>
    <row r="3" spans="1:28" ht="21" customHeight="1" x14ac:dyDescent="0.15">
      <c r="A3" s="46">
        <v>39004002</v>
      </c>
      <c r="B3" s="46" t="s">
        <v>231</v>
      </c>
      <c r="C3" s="49">
        <v>3</v>
      </c>
      <c r="D3" s="49" t="s">
        <v>128</v>
      </c>
      <c r="E3" s="49" t="s">
        <v>355</v>
      </c>
      <c r="F3" s="50" t="s">
        <v>233</v>
      </c>
      <c r="G3" s="63" t="str">
        <f t="shared" ref="G3:G23" si="0">IFERROR(LEFT(B3,FIND("],",B3)),B3)</f>
        <v>[effect:freq_turn, target:myself, turn:3, val:1, animation:enemy_freq_turn]</v>
      </c>
      <c r="H3" s="63">
        <f t="shared" ref="H3:H23" si="1">FIND("effect:",G3)+7</f>
        <v>9</v>
      </c>
      <c r="I3" s="63">
        <f t="shared" ref="I3:I23" si="2">IFERROR(FIND(",",G3),LEN(G3))</f>
        <v>18</v>
      </c>
      <c r="J3" s="63">
        <f t="shared" ref="J3:J23" si="3">FIND("target:",G3)+7</f>
        <v>27</v>
      </c>
      <c r="K3" s="63">
        <f t="shared" ref="K3:K23" si="4">FIND(",",G3,I3+1)</f>
        <v>33</v>
      </c>
      <c r="L3" s="63" t="str">
        <f>IFERROR(VLOOKUP(MID(G3,J3,K3-J3),[6]skilldef!$C:$D,2,FALSE),"-") &amp; " / " &amp; IFERROR(VLOOKUP(MID(G3,H3,I3-H3),[6]skilldef!$A:$B,2,FALSE),"-")</f>
        <v>自分自身に / 攻撃頻度がUP</v>
      </c>
      <c r="M3" s="63" t="str">
        <f t="shared" ref="M3:M23" si="5">IFERROR(RIGHT(B3,LEN(B3)-FIND("],",B3)-1),"none")</f>
        <v>none</v>
      </c>
      <c r="N3" s="47" t="str">
        <f>IFERROR(LEFT(M3,FIND("],",M3)+#REF!),M3)</f>
        <v>none</v>
      </c>
      <c r="O3" s="63" t="e">
        <f t="shared" ref="O3:O23" si="6">FIND("effect:",N3)+7</f>
        <v>#VALUE!</v>
      </c>
      <c r="P3" s="63">
        <f t="shared" ref="P3:P23" si="7">IFERROR(FIND(",",N3),LEN(N3))</f>
        <v>4</v>
      </c>
      <c r="Q3" s="63" t="e">
        <f t="shared" ref="Q3:Q23" si="8">FIND("target:",N3)+7</f>
        <v>#VALUE!</v>
      </c>
      <c r="R3" s="63" t="e">
        <f t="shared" ref="R3:R23" si="9">FIND(",",N3,P3+1)</f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7" t="str">
        <f t="shared" ref="T3:T23" si="10">IFERROR(RIGHT(M3,LEN(M3)-FIND("],",M3)-1),"none")</f>
        <v>none</v>
      </c>
      <c r="U3" s="63" t="e">
        <f t="shared" ref="U3:U23" si="11">FIND("effect:",T3)+7</f>
        <v>#VALUE!</v>
      </c>
      <c r="V3" s="63">
        <f t="shared" ref="V3:V23" si="12">IFERROR(FIND(",",T3),LEN(T3))</f>
        <v>4</v>
      </c>
      <c r="W3" s="63" t="e">
        <f t="shared" ref="W3:W23" si="13">FIND("target:",T3)+7</f>
        <v>#VALUE!</v>
      </c>
      <c r="X3" s="63" t="e">
        <f t="shared" ref="X3:X23" si="14"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49" t="s">
        <v>227</v>
      </c>
      <c r="AA3" s="51">
        <v>42501</v>
      </c>
      <c r="AB3" s="49" t="s">
        <v>230</v>
      </c>
    </row>
    <row r="4" spans="1:28" ht="21" customHeight="1" x14ac:dyDescent="0.15">
      <c r="A4" s="46">
        <v>39004003</v>
      </c>
      <c r="B4" s="46" t="s">
        <v>235</v>
      </c>
      <c r="C4" s="49">
        <v>3</v>
      </c>
      <c r="D4" s="49" t="s">
        <v>128</v>
      </c>
      <c r="E4" s="50" t="s">
        <v>365</v>
      </c>
      <c r="F4" s="50" t="s">
        <v>380</v>
      </c>
      <c r="G4" s="63" t="str">
        <f t="shared" si="0"/>
        <v>[effect:nothing]</v>
      </c>
      <c r="H4" s="63">
        <f t="shared" si="1"/>
        <v>9</v>
      </c>
      <c r="I4" s="63">
        <f t="shared" si="2"/>
        <v>16</v>
      </c>
      <c r="J4" s="63" t="e">
        <f t="shared" si="3"/>
        <v>#VALUE!</v>
      </c>
      <c r="K4" s="63" t="e">
        <f t="shared" si="4"/>
        <v>#VALUE!</v>
      </c>
      <c r="L4" s="63" t="str">
        <f>IFERROR(VLOOKUP(MID(G4,J4,K4-J4),[6]skilldef!$C:$D,2,FALSE),"-") &amp; " / " &amp; IFERROR(VLOOKUP(MID(G4,H4,I4-H4),[6]skilldef!$A:$B,2,FALSE),"-")</f>
        <v>- / 何もしない</v>
      </c>
      <c r="M4" s="63" t="str">
        <f t="shared" si="5"/>
        <v>none</v>
      </c>
      <c r="N4" s="47" t="str">
        <f>IFERROR(LEFT(M4,FIND("],",M4)+#REF!),M4)</f>
        <v>none</v>
      </c>
      <c r="O4" s="63" t="e">
        <f t="shared" si="6"/>
        <v>#VALUE!</v>
      </c>
      <c r="P4" s="63">
        <f t="shared" si="7"/>
        <v>4</v>
      </c>
      <c r="Q4" s="63" t="e">
        <f t="shared" si="8"/>
        <v>#VALUE!</v>
      </c>
      <c r="R4" s="63" t="e">
        <f t="shared" si="9"/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7" t="str">
        <f t="shared" si="10"/>
        <v>none</v>
      </c>
      <c r="U4" s="63" t="e">
        <f t="shared" si="11"/>
        <v>#VALUE!</v>
      </c>
      <c r="V4" s="63">
        <f t="shared" si="12"/>
        <v>4</v>
      </c>
      <c r="W4" s="63" t="e">
        <f t="shared" si="13"/>
        <v>#VALUE!</v>
      </c>
      <c r="X4" s="63" t="e">
        <f t="shared" si="14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49" t="s">
        <v>227</v>
      </c>
      <c r="AA4" s="51">
        <v>42501</v>
      </c>
      <c r="AB4" s="49" t="s">
        <v>238</v>
      </c>
    </row>
    <row r="5" spans="1:28" ht="21" customHeight="1" x14ac:dyDescent="0.15">
      <c r="A5" s="46">
        <v>39004004</v>
      </c>
      <c r="B5" s="46" t="s">
        <v>235</v>
      </c>
      <c r="C5" s="49">
        <v>3</v>
      </c>
      <c r="D5" s="49" t="s">
        <v>128</v>
      </c>
      <c r="E5" s="50" t="s">
        <v>387</v>
      </c>
      <c r="F5" s="50" t="s">
        <v>381</v>
      </c>
      <c r="G5" s="63" t="str">
        <f t="shared" si="0"/>
        <v>[effect:nothing]</v>
      </c>
      <c r="H5" s="63">
        <f t="shared" si="1"/>
        <v>9</v>
      </c>
      <c r="I5" s="63">
        <f t="shared" si="2"/>
        <v>16</v>
      </c>
      <c r="J5" s="63" t="e">
        <f t="shared" si="3"/>
        <v>#VALUE!</v>
      </c>
      <c r="K5" s="63" t="e">
        <f t="shared" si="4"/>
        <v>#VALUE!</v>
      </c>
      <c r="L5" s="63" t="str">
        <f>IFERROR(VLOOKUP(MID(G5,J5,K5-J5),[6]skilldef!$C:$D,2,FALSE),"-") &amp; " / " &amp; IFERROR(VLOOKUP(MID(G5,H5,I5-H5),[6]skilldef!$A:$B,2,FALSE),"-")</f>
        <v>- / 何もしない</v>
      </c>
      <c r="M5" s="63" t="str">
        <f t="shared" si="5"/>
        <v>none</v>
      </c>
      <c r="N5" s="47" t="str">
        <f>IFERROR(LEFT(M5,FIND("],",M5)+#REF!),M5)</f>
        <v>none</v>
      </c>
      <c r="O5" s="63" t="e">
        <f t="shared" si="6"/>
        <v>#VALUE!</v>
      </c>
      <c r="P5" s="63">
        <f t="shared" si="7"/>
        <v>4</v>
      </c>
      <c r="Q5" s="63" t="e">
        <f t="shared" si="8"/>
        <v>#VALUE!</v>
      </c>
      <c r="R5" s="63" t="e">
        <f t="shared" si="9"/>
        <v>#VALUE!</v>
      </c>
      <c r="S5" s="63" t="str">
        <f>IFERROR(VLOOKUP(MID(N5,Q5,R5-Q5),[6]skilldef!$C:$D,2,FALSE),"-") &amp; " / " &amp; IFERROR(VLOOKUP(MID(N5,O5,P5-O5),[6]skilldef!$A:$B,2,FALSE),"-")</f>
        <v>- / -</v>
      </c>
      <c r="T5" s="47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49" t="s">
        <v>227</v>
      </c>
      <c r="AA5" s="51">
        <v>42501</v>
      </c>
      <c r="AB5" s="49" t="s">
        <v>273</v>
      </c>
    </row>
    <row r="6" spans="1:28" ht="21" customHeight="1" x14ac:dyDescent="0.15">
      <c r="A6" s="46">
        <v>39004005</v>
      </c>
      <c r="B6" s="46" t="s">
        <v>294</v>
      </c>
      <c r="C6" s="49">
        <v>3</v>
      </c>
      <c r="D6" s="49" t="s">
        <v>128</v>
      </c>
      <c r="E6" s="49" t="s">
        <v>366</v>
      </c>
      <c r="F6" s="50" t="s">
        <v>301</v>
      </c>
      <c r="G6" s="63" t="str">
        <f t="shared" si="0"/>
        <v xml:space="preserve">[effect:heal, target:enemy_all, val:0.2, animation:enemy_heal]    </v>
      </c>
      <c r="H6" s="63">
        <f t="shared" si="1"/>
        <v>9</v>
      </c>
      <c r="I6" s="63">
        <f t="shared" si="2"/>
        <v>13</v>
      </c>
      <c r="J6" s="63">
        <f t="shared" si="3"/>
        <v>22</v>
      </c>
      <c r="K6" s="63">
        <f t="shared" si="4"/>
        <v>31</v>
      </c>
      <c r="L6" s="63" t="str">
        <f>IFERROR(VLOOKUP(MID(G6,J6,K6-J6),[6]skilldef!$C:$D,2,FALSE),"-") &amp; " / " &amp; IFERROR(VLOOKUP(MID(G6,H6,I6-H6),[6]skilldef!$A:$B,2,FALSE),"-")</f>
        <v>敵全体に / 回復</v>
      </c>
      <c r="M6" s="63" t="str">
        <f t="shared" si="5"/>
        <v>none</v>
      </c>
      <c r="N6" s="47" t="str">
        <f>IFERROR(LEFT(M6,FIND("],",M6)+#REF!),M6)</f>
        <v>none</v>
      </c>
      <c r="O6" s="63" t="e">
        <f t="shared" si="6"/>
        <v>#VALUE!</v>
      </c>
      <c r="P6" s="63">
        <f t="shared" si="7"/>
        <v>4</v>
      </c>
      <c r="Q6" s="63" t="e">
        <f t="shared" si="8"/>
        <v>#VALUE!</v>
      </c>
      <c r="R6" s="63" t="e">
        <f t="shared" si="9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7" t="str">
        <f t="shared" si="10"/>
        <v>none</v>
      </c>
      <c r="U6" s="63" t="e">
        <f t="shared" si="11"/>
        <v>#VALUE!</v>
      </c>
      <c r="V6" s="63">
        <f t="shared" si="12"/>
        <v>4</v>
      </c>
      <c r="W6" s="63" t="e">
        <f t="shared" si="13"/>
        <v>#VALUE!</v>
      </c>
      <c r="X6" s="63" t="e">
        <f t="shared" si="14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49" t="s">
        <v>227</v>
      </c>
      <c r="AA6" s="51">
        <v>42501</v>
      </c>
      <c r="AB6" s="49" t="s">
        <v>240</v>
      </c>
    </row>
    <row r="7" spans="1:28" ht="21" customHeight="1" x14ac:dyDescent="0.15">
      <c r="A7" s="46">
        <v>39004006</v>
      </c>
      <c r="B7" s="46" t="s">
        <v>291</v>
      </c>
      <c r="C7" s="49">
        <v>3</v>
      </c>
      <c r="D7" s="49" t="s">
        <v>128</v>
      </c>
      <c r="E7" s="50" t="s">
        <v>389</v>
      </c>
      <c r="F7" s="50" t="s">
        <v>388</v>
      </c>
      <c r="G7" s="63" t="str">
        <f t="shared" si="0"/>
        <v>[effect:enemy_message, val1:3, val2:3, dead_type:escape]</v>
      </c>
      <c r="H7" s="63">
        <f t="shared" si="1"/>
        <v>9</v>
      </c>
      <c r="I7" s="63">
        <f t="shared" si="2"/>
        <v>22</v>
      </c>
      <c r="J7" s="63" t="e">
        <f t="shared" si="3"/>
        <v>#VALUE!</v>
      </c>
      <c r="K7" s="63">
        <f t="shared" si="4"/>
        <v>30</v>
      </c>
      <c r="L7" s="63" t="str">
        <f>IFERROR(VLOOKUP(MID(G7,J7,K7-J7),[6]skilldef!$C:$D,2,FALSE),"-") &amp; " / " &amp; IFERROR(VLOOKUP(MID(G7,H7,I7-H7),[6]skilldef!$A:$B,2,FALSE),"-")</f>
        <v>- / -</v>
      </c>
      <c r="M7" s="63" t="str">
        <f t="shared" si="5"/>
        <v>none</v>
      </c>
      <c r="N7" s="47" t="str">
        <f>IFERROR(LEFT(M7,FIND("],",M7)+#REF!),M7)</f>
        <v>none</v>
      </c>
      <c r="O7" s="63" t="e">
        <f t="shared" si="6"/>
        <v>#VALUE!</v>
      </c>
      <c r="P7" s="63">
        <f t="shared" si="7"/>
        <v>4</v>
      </c>
      <c r="Q7" s="63" t="e">
        <f t="shared" si="8"/>
        <v>#VALUE!</v>
      </c>
      <c r="R7" s="63" t="e">
        <f t="shared" si="9"/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7" t="str">
        <f t="shared" si="10"/>
        <v>none</v>
      </c>
      <c r="U7" s="63" t="e">
        <f t="shared" si="11"/>
        <v>#VALUE!</v>
      </c>
      <c r="V7" s="63">
        <f t="shared" si="12"/>
        <v>4</v>
      </c>
      <c r="W7" s="63" t="e">
        <f t="shared" si="13"/>
        <v>#VALUE!</v>
      </c>
      <c r="X7" s="63" t="e">
        <f t="shared" si="14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49" t="s">
        <v>227</v>
      </c>
      <c r="AA7" s="51">
        <v>42508</v>
      </c>
      <c r="AB7" s="49" t="s">
        <v>239</v>
      </c>
    </row>
    <row r="8" spans="1:28" ht="21" customHeight="1" x14ac:dyDescent="0.15">
      <c r="A8" s="46">
        <v>39004007</v>
      </c>
      <c r="B8" s="46" t="s">
        <v>244</v>
      </c>
      <c r="C8" s="49">
        <v>3</v>
      </c>
      <c r="D8" s="49" t="s">
        <v>128</v>
      </c>
      <c r="E8" s="49" t="s">
        <v>367</v>
      </c>
      <c r="F8" s="50" t="s">
        <v>246</v>
      </c>
      <c r="G8" s="63" t="str">
        <f t="shared" si="0"/>
        <v xml:space="preserve">[effect:enhance_enemy, target:enemy_all, turn:2, status:defense, val:1000, calc:add, animation:enemy_enhance_defense]    </v>
      </c>
      <c r="H8" s="63">
        <f t="shared" si="1"/>
        <v>9</v>
      </c>
      <c r="I8" s="63">
        <f t="shared" si="2"/>
        <v>22</v>
      </c>
      <c r="J8" s="63">
        <f t="shared" si="3"/>
        <v>31</v>
      </c>
      <c r="K8" s="63">
        <f t="shared" si="4"/>
        <v>40</v>
      </c>
      <c r="L8" s="63" t="str">
        <f>IFERROR(VLOOKUP(MID(G8,J8,K8-J8),[6]skilldef!$C:$D,2,FALSE),"-") &amp; " / " &amp; IFERROR(VLOOKUP(MID(G8,H8,I8-H8),[6]skilldef!$A:$B,2,FALSE),"-")</f>
        <v>敵全体に / ステータス強化</v>
      </c>
      <c r="M8" s="63" t="str">
        <f t="shared" si="5"/>
        <v>none</v>
      </c>
      <c r="N8" s="47" t="str">
        <f>IFERROR(LEFT(M8,FIND("],",M8)+#REF!),M8)</f>
        <v>none</v>
      </c>
      <c r="O8" s="63" t="e">
        <f t="shared" si="6"/>
        <v>#VALUE!</v>
      </c>
      <c r="P8" s="63">
        <f t="shared" si="7"/>
        <v>4</v>
      </c>
      <c r="Q8" s="63" t="e">
        <f t="shared" si="8"/>
        <v>#VALUE!</v>
      </c>
      <c r="R8" s="63" t="e">
        <f t="shared" si="9"/>
        <v>#VALUE!</v>
      </c>
      <c r="S8" s="63" t="str">
        <f>IFERROR(VLOOKUP(MID(N8,Q8,R8-Q8),[6]skilldef!$C:$D,2,FALSE),"-") &amp; " / " &amp; IFERROR(VLOOKUP(MID(N8,O8,P8-O8),[6]skilldef!$A:$B,2,FALSE),"-")</f>
        <v>- / -</v>
      </c>
      <c r="T8" s="47" t="str">
        <f t="shared" si="10"/>
        <v>none</v>
      </c>
      <c r="U8" s="63" t="e">
        <f t="shared" si="11"/>
        <v>#VALUE!</v>
      </c>
      <c r="V8" s="63">
        <f t="shared" si="12"/>
        <v>4</v>
      </c>
      <c r="W8" s="63" t="e">
        <f t="shared" si="13"/>
        <v>#VALUE!</v>
      </c>
      <c r="X8" s="63" t="e">
        <f t="shared" si="14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49" t="s">
        <v>227</v>
      </c>
      <c r="AA8" s="51">
        <v>42501</v>
      </c>
      <c r="AB8" s="49" t="s">
        <v>241</v>
      </c>
    </row>
    <row r="9" spans="1:28" ht="21" customHeight="1" x14ac:dyDescent="0.15">
      <c r="A9" s="46">
        <v>39004008</v>
      </c>
      <c r="B9" s="46" t="s">
        <v>247</v>
      </c>
      <c r="C9" s="49">
        <v>3</v>
      </c>
      <c r="D9" s="49" t="s">
        <v>128</v>
      </c>
      <c r="E9" s="49" t="s">
        <v>368</v>
      </c>
      <c r="F9" s="50" t="s">
        <v>249</v>
      </c>
      <c r="G9" s="63" t="str">
        <f t="shared" si="0"/>
        <v xml:space="preserve">[effect:spread, val:0.3]    </v>
      </c>
      <c r="H9" s="63">
        <f t="shared" si="1"/>
        <v>9</v>
      </c>
      <c r="I9" s="63">
        <f t="shared" si="2"/>
        <v>15</v>
      </c>
      <c r="J9" s="63" t="e">
        <f t="shared" si="3"/>
        <v>#VALUE!</v>
      </c>
      <c r="K9" s="63" t="e">
        <f t="shared" si="4"/>
        <v>#VALUE!</v>
      </c>
      <c r="L9" s="63" t="str">
        <f>IFERROR(VLOOKUP(MID(G9,J9,K9-J9),[6]skilldef!$C:$D,2,FALSE),"-") &amp; " / " &amp; IFERROR(VLOOKUP(MID(G9,H9,I9-H9),[6]skilldef!$A:$B,2,FALSE),"-")</f>
        <v>- / 全体攻撃</v>
      </c>
      <c r="M9" s="63" t="str">
        <f t="shared" si="5"/>
        <v>none</v>
      </c>
      <c r="N9" s="47" t="str">
        <f>IFERROR(LEFT(M9,FIND("],",M9)+#REF!),M9)</f>
        <v>none</v>
      </c>
      <c r="O9" s="63" t="e">
        <f t="shared" si="6"/>
        <v>#VALUE!</v>
      </c>
      <c r="P9" s="63">
        <f t="shared" si="7"/>
        <v>4</v>
      </c>
      <c r="Q9" s="63" t="e">
        <f t="shared" si="8"/>
        <v>#VALUE!</v>
      </c>
      <c r="R9" s="63" t="e">
        <f t="shared" si="9"/>
        <v>#VALUE!</v>
      </c>
      <c r="S9" s="63" t="str">
        <f>IFERROR(VLOOKUP(MID(N9,Q9,R9-Q9),[6]skilldef!$C:$D,2,FALSE),"-") &amp; " / " &amp; IFERROR(VLOOKUP(MID(N9,O9,P9-O9),[6]skilldef!$A:$B,2,FALSE),"-")</f>
        <v>- / -</v>
      </c>
      <c r="T9" s="47" t="str">
        <f t="shared" si="10"/>
        <v>none</v>
      </c>
      <c r="U9" s="63" t="e">
        <f t="shared" si="11"/>
        <v>#VALUE!</v>
      </c>
      <c r="V9" s="63">
        <f t="shared" si="12"/>
        <v>4</v>
      </c>
      <c r="W9" s="63" t="e">
        <f t="shared" si="13"/>
        <v>#VALUE!</v>
      </c>
      <c r="X9" s="63" t="e">
        <f t="shared" si="14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49" t="s">
        <v>227</v>
      </c>
      <c r="AA9" s="51">
        <v>42501</v>
      </c>
      <c r="AB9" s="49" t="s">
        <v>243</v>
      </c>
    </row>
    <row r="10" spans="1:28" ht="21" customHeight="1" x14ac:dyDescent="0.15">
      <c r="A10" s="46">
        <v>39004009</v>
      </c>
      <c r="B10" s="46" t="s">
        <v>386</v>
      </c>
      <c r="C10" s="49">
        <v>3</v>
      </c>
      <c r="D10" s="49" t="s">
        <v>128</v>
      </c>
      <c r="E10" s="49" t="s">
        <v>358</v>
      </c>
      <c r="F10" s="50" t="s">
        <v>251</v>
      </c>
      <c r="G10" s="63" t="str">
        <f t="shared" si="0"/>
        <v xml:space="preserve">[effect:rush, count:2, val:0.4]    </v>
      </c>
      <c r="H10" s="63">
        <f t="shared" si="1"/>
        <v>9</v>
      </c>
      <c r="I10" s="63">
        <f t="shared" si="2"/>
        <v>13</v>
      </c>
      <c r="J10" s="63" t="e">
        <f t="shared" si="3"/>
        <v>#VALUE!</v>
      </c>
      <c r="K10" s="63">
        <f t="shared" si="4"/>
        <v>22</v>
      </c>
      <c r="L10" s="63" t="str">
        <f>IFERROR(VLOOKUP(MID(G10,J10,K10-J10),[6]skilldef!$C:$D,2,FALSE),"-") &amp; " / " &amp; IFERROR(VLOOKUP(MID(G10,H10,I10-H10),[6]skilldef!$A:$B,2,FALSE),"-")</f>
        <v>- / 連続攻撃</v>
      </c>
      <c r="M10" s="63" t="str">
        <f t="shared" si="5"/>
        <v>none</v>
      </c>
      <c r="N10" s="47" t="str">
        <f>IFERROR(LEFT(M10,FIND("],",M10)+#REF!),M10)</f>
        <v>none</v>
      </c>
      <c r="O10" s="63" t="e">
        <f t="shared" si="6"/>
        <v>#VALUE!</v>
      </c>
      <c r="P10" s="63">
        <f t="shared" si="7"/>
        <v>4</v>
      </c>
      <c r="Q10" s="63" t="e">
        <f t="shared" si="8"/>
        <v>#VALUE!</v>
      </c>
      <c r="R10" s="63" t="e">
        <f t="shared" si="9"/>
        <v>#VALUE!</v>
      </c>
      <c r="S10" s="63" t="str">
        <f>IFERROR(VLOOKUP(MID(N10,Q10,R10-Q10),[6]skilldef!$C:$D,2,FALSE),"-") &amp; " / " &amp; IFERROR(VLOOKUP(MID(N10,O10,P10-O10),[6]skilldef!$A:$B,2,FALSE),"-")</f>
        <v>- / -</v>
      </c>
      <c r="T10" s="47" t="str">
        <f t="shared" si="10"/>
        <v>none</v>
      </c>
      <c r="U10" s="63" t="e">
        <f t="shared" si="11"/>
        <v>#VALUE!</v>
      </c>
      <c r="V10" s="63">
        <f t="shared" si="12"/>
        <v>4</v>
      </c>
      <c r="W10" s="63" t="e">
        <f t="shared" si="13"/>
        <v>#VALUE!</v>
      </c>
      <c r="X10" s="63" t="e">
        <f t="shared" si="14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49" t="s">
        <v>227</v>
      </c>
      <c r="AA10" s="51">
        <v>42501</v>
      </c>
      <c r="AB10" s="49" t="s">
        <v>253</v>
      </c>
    </row>
    <row r="11" spans="1:28" ht="21" customHeight="1" x14ac:dyDescent="0.15">
      <c r="A11" s="46">
        <v>39004010</v>
      </c>
      <c r="B11" s="46" t="s">
        <v>384</v>
      </c>
      <c r="C11" s="49">
        <v>3</v>
      </c>
      <c r="D11" s="49" t="s">
        <v>128</v>
      </c>
      <c r="E11" s="49" t="s">
        <v>359</v>
      </c>
      <c r="F11" s="50" t="s">
        <v>385</v>
      </c>
      <c r="G11" s="63" t="str">
        <f t="shared" si="0"/>
        <v xml:space="preserve">[effect:critical, val:0.8]    </v>
      </c>
      <c r="H11" s="63">
        <f t="shared" si="1"/>
        <v>9</v>
      </c>
      <c r="I11" s="63">
        <f t="shared" si="2"/>
        <v>17</v>
      </c>
      <c r="J11" s="63" t="e">
        <f t="shared" si="3"/>
        <v>#VALUE!</v>
      </c>
      <c r="K11" s="63" t="e">
        <f t="shared" si="4"/>
        <v>#VALUE!</v>
      </c>
      <c r="L11" s="63" t="str">
        <f>IFERROR(VLOOKUP(MID(G11,J11,K11-J11),[6]skilldef!$C:$D,2,FALSE),"-") &amp; " / " &amp; IFERROR(VLOOKUP(MID(G11,H11,I11-H11),[6]skilldef!$A:$B,2,FALSE),"-")</f>
        <v>- / 大攻撃</v>
      </c>
      <c r="M11" s="63" t="str">
        <f t="shared" si="5"/>
        <v>none</v>
      </c>
      <c r="N11" s="47" t="str">
        <f>IFERROR(LEFT(M11,FIND("],",M11)+#REF!),M11)</f>
        <v>none</v>
      </c>
      <c r="O11" s="63" t="e">
        <f t="shared" si="6"/>
        <v>#VALUE!</v>
      </c>
      <c r="P11" s="63">
        <f t="shared" si="7"/>
        <v>4</v>
      </c>
      <c r="Q11" s="63" t="e">
        <f t="shared" si="8"/>
        <v>#VALUE!</v>
      </c>
      <c r="R11" s="63" t="e">
        <f t="shared" si="9"/>
        <v>#VALUE!</v>
      </c>
      <c r="S11" s="63" t="str">
        <f>IFERROR(VLOOKUP(MID(N11,Q11,R11-Q11),[6]skilldef!$C:$D,2,FALSE),"-") &amp; " / " &amp; IFERROR(VLOOKUP(MID(N11,O11,P11-O11),[6]skilldef!$A:$B,2,FALSE),"-")</f>
        <v>- / -</v>
      </c>
      <c r="T11" s="47" t="str">
        <f t="shared" si="10"/>
        <v>none</v>
      </c>
      <c r="U11" s="63" t="e">
        <f t="shared" si="11"/>
        <v>#VALUE!</v>
      </c>
      <c r="V11" s="63">
        <f t="shared" si="12"/>
        <v>4</v>
      </c>
      <c r="W11" s="63" t="e">
        <f t="shared" si="13"/>
        <v>#VALUE!</v>
      </c>
      <c r="X11" s="63" t="e">
        <f t="shared" si="14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49" t="s">
        <v>227</v>
      </c>
      <c r="AA11" s="51">
        <v>42501</v>
      </c>
      <c r="AB11" s="49" t="s">
        <v>256</v>
      </c>
    </row>
    <row r="12" spans="1:28" ht="21" customHeight="1" x14ac:dyDescent="0.15">
      <c r="A12" s="46">
        <v>39004011</v>
      </c>
      <c r="B12" s="46" t="s">
        <v>390</v>
      </c>
      <c r="C12" s="49">
        <v>3</v>
      </c>
      <c r="D12" s="49" t="s">
        <v>128</v>
      </c>
      <c r="E12" s="49" t="s">
        <v>360</v>
      </c>
      <c r="F12" s="50" t="s">
        <v>258</v>
      </c>
      <c r="G12" s="63" t="str">
        <f t="shared" si="0"/>
        <v>[effect:enhance_enemy, target:enemy_all, turn:2, status:attack, val:0.8, calc:mul, animation:enemy_enhance_attack]</v>
      </c>
      <c r="H12" s="63">
        <f t="shared" si="1"/>
        <v>9</v>
      </c>
      <c r="I12" s="63">
        <f t="shared" si="2"/>
        <v>22</v>
      </c>
      <c r="J12" s="63">
        <f t="shared" si="3"/>
        <v>31</v>
      </c>
      <c r="K12" s="63">
        <f t="shared" si="4"/>
        <v>40</v>
      </c>
      <c r="L12" s="63" t="str">
        <f>IFERROR(VLOOKUP(MID(G12,J12,K12-J12),[6]skilldef!$C:$D,2,FALSE),"-") &amp; " / " &amp; IFERROR(VLOOKUP(MID(G12,H12,I12-H12),[6]skilldef!$A:$B,2,FALSE),"-")</f>
        <v>敵全体に / ステータス強化</v>
      </c>
      <c r="M12" s="63" t="str">
        <f t="shared" si="5"/>
        <v>none</v>
      </c>
      <c r="N12" s="47" t="str">
        <f>IFERROR(LEFT(M12,FIND("],",M12)+#REF!),M12)</f>
        <v>none</v>
      </c>
      <c r="O12" s="63" t="e">
        <f t="shared" si="6"/>
        <v>#VALUE!</v>
      </c>
      <c r="P12" s="63">
        <f t="shared" si="7"/>
        <v>4</v>
      </c>
      <c r="Q12" s="63" t="e">
        <f t="shared" si="8"/>
        <v>#VALUE!</v>
      </c>
      <c r="R12" s="63" t="e">
        <f t="shared" si="9"/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7" t="str">
        <f t="shared" si="10"/>
        <v>none</v>
      </c>
      <c r="U12" s="63" t="e">
        <f t="shared" si="11"/>
        <v>#VALUE!</v>
      </c>
      <c r="V12" s="63">
        <f t="shared" si="12"/>
        <v>4</v>
      </c>
      <c r="W12" s="63" t="e">
        <f t="shared" si="13"/>
        <v>#VALUE!</v>
      </c>
      <c r="X12" s="63" t="e">
        <f t="shared" si="14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49" t="s">
        <v>227</v>
      </c>
      <c r="AA12" s="51">
        <v>42501</v>
      </c>
      <c r="AB12" s="49" t="s">
        <v>259</v>
      </c>
    </row>
    <row r="13" spans="1:28" ht="21" customHeight="1" x14ac:dyDescent="0.15">
      <c r="A13" s="46">
        <v>39004012</v>
      </c>
      <c r="B13" s="46" t="s">
        <v>261</v>
      </c>
      <c r="C13" s="49">
        <v>3</v>
      </c>
      <c r="D13" s="49" t="s">
        <v>128</v>
      </c>
      <c r="E13" s="49" t="s">
        <v>356</v>
      </c>
      <c r="F13" s="50" t="s">
        <v>262</v>
      </c>
      <c r="G13" s="63" t="str">
        <f t="shared" si="0"/>
        <v xml:space="preserve">[effect:panel_freeze, target:block_heart, count:3]    </v>
      </c>
      <c r="H13" s="63">
        <f t="shared" si="1"/>
        <v>9</v>
      </c>
      <c r="I13" s="63">
        <f t="shared" si="2"/>
        <v>21</v>
      </c>
      <c r="J13" s="63">
        <f t="shared" si="3"/>
        <v>30</v>
      </c>
      <c r="K13" s="63">
        <f t="shared" si="4"/>
        <v>41</v>
      </c>
      <c r="L13" s="63" t="str">
        <f>IFERROR(VLOOKUP(MID(G13,J13,K13-J13),[6]skilldef!$C:$D,2,FALSE),"-") &amp; " / " &amp; IFERROR(VLOOKUP(MID(G13,H13,I13-H13),[6]skilldef!$A:$B,2,FALSE),"-")</f>
        <v>ハートパネルを / -</v>
      </c>
      <c r="M13" s="63" t="str">
        <f t="shared" si="5"/>
        <v>none</v>
      </c>
      <c r="N13" s="47" t="str">
        <f>IFERROR(LEFT(M13,FIND("],",M13)+#REF!),M13)</f>
        <v>none</v>
      </c>
      <c r="O13" s="63" t="e">
        <f t="shared" si="6"/>
        <v>#VALUE!</v>
      </c>
      <c r="P13" s="63">
        <f t="shared" si="7"/>
        <v>4</v>
      </c>
      <c r="Q13" s="63" t="e">
        <f t="shared" si="8"/>
        <v>#VALUE!</v>
      </c>
      <c r="R13" s="63" t="e">
        <f t="shared" si="9"/>
        <v>#VALUE!</v>
      </c>
      <c r="S13" s="63" t="str">
        <f>IFERROR(VLOOKUP(MID(N13,Q13,R13-Q13),[6]skilldef!$C:$D,2,FALSE),"-") &amp; " / " &amp; IFERROR(VLOOKUP(MID(N13,O13,P13-O13),[6]skilldef!$A:$B,2,FALSE),"-")</f>
        <v>- / -</v>
      </c>
      <c r="T13" s="47" t="str">
        <f t="shared" si="10"/>
        <v>none</v>
      </c>
      <c r="U13" s="63" t="e">
        <f t="shared" si="11"/>
        <v>#VALUE!</v>
      </c>
      <c r="V13" s="63">
        <f t="shared" si="12"/>
        <v>4</v>
      </c>
      <c r="W13" s="63" t="e">
        <f t="shared" si="13"/>
        <v>#VALUE!</v>
      </c>
      <c r="X13" s="63" t="e">
        <f t="shared" si="14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49" t="s">
        <v>227</v>
      </c>
      <c r="AA13" s="51">
        <v>42501</v>
      </c>
      <c r="AB13" s="49" t="s">
        <v>285</v>
      </c>
    </row>
    <row r="14" spans="1:28" ht="21" customHeight="1" x14ac:dyDescent="0.15">
      <c r="A14" s="46">
        <v>39004013</v>
      </c>
      <c r="B14" s="46" t="s">
        <v>260</v>
      </c>
      <c r="C14" s="49">
        <v>3</v>
      </c>
      <c r="D14" s="49" t="s">
        <v>128</v>
      </c>
      <c r="E14" s="49" t="s">
        <v>357</v>
      </c>
      <c r="F14" s="50" t="s">
        <v>263</v>
      </c>
      <c r="G14" s="63" t="str">
        <f t="shared" si="0"/>
        <v xml:space="preserve">[effect:panel_freeze, target:block_heart, count:30]    </v>
      </c>
      <c r="H14" s="63">
        <f t="shared" si="1"/>
        <v>9</v>
      </c>
      <c r="I14" s="63">
        <f t="shared" si="2"/>
        <v>21</v>
      </c>
      <c r="J14" s="63">
        <f t="shared" si="3"/>
        <v>30</v>
      </c>
      <c r="K14" s="63">
        <f t="shared" si="4"/>
        <v>41</v>
      </c>
      <c r="L14" s="63" t="str">
        <f>IFERROR(VLOOKUP(MID(G14,J14,K14-J14),[6]skilldef!$C:$D,2,FALSE),"-") &amp; " / " &amp; IFERROR(VLOOKUP(MID(G14,H14,I14-H14),[6]skilldef!$A:$B,2,FALSE),"-")</f>
        <v>ハートパネルを / -</v>
      </c>
      <c r="M14" s="63" t="str">
        <f t="shared" si="5"/>
        <v>none</v>
      </c>
      <c r="N14" s="47" t="str">
        <f>IFERROR(LEFT(M14,FIND("],",M14)+#REF!),M14)</f>
        <v>none</v>
      </c>
      <c r="O14" s="63" t="e">
        <f t="shared" si="6"/>
        <v>#VALUE!</v>
      </c>
      <c r="P14" s="63">
        <f t="shared" si="7"/>
        <v>4</v>
      </c>
      <c r="Q14" s="63" t="e">
        <f t="shared" si="8"/>
        <v>#VALUE!</v>
      </c>
      <c r="R14" s="63" t="e">
        <f t="shared" si="9"/>
        <v>#VALUE!</v>
      </c>
      <c r="S14" s="63" t="str">
        <f>IFERROR(VLOOKUP(MID(N14,Q14,R14-Q14),[6]skilldef!$C:$D,2,FALSE),"-") &amp; " / " &amp; IFERROR(VLOOKUP(MID(N14,O14,P14-O14),[6]skilldef!$A:$B,2,FALSE),"-")</f>
        <v>- / -</v>
      </c>
      <c r="T14" s="47" t="str">
        <f t="shared" si="10"/>
        <v>none</v>
      </c>
      <c r="U14" s="63" t="e">
        <f t="shared" si="11"/>
        <v>#VALUE!</v>
      </c>
      <c r="V14" s="63">
        <f t="shared" si="12"/>
        <v>4</v>
      </c>
      <c r="W14" s="63" t="e">
        <f t="shared" si="13"/>
        <v>#VALUE!</v>
      </c>
      <c r="X14" s="63" t="e">
        <f t="shared" si="14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49" t="s">
        <v>227</v>
      </c>
      <c r="AA14" s="51">
        <v>42501</v>
      </c>
      <c r="AB14" s="49" t="s">
        <v>286</v>
      </c>
    </row>
    <row r="15" spans="1:28" ht="21" customHeight="1" x14ac:dyDescent="0.15">
      <c r="A15" s="46">
        <v>39004014</v>
      </c>
      <c r="B15" s="46" t="s">
        <v>268</v>
      </c>
      <c r="C15" s="49">
        <v>3</v>
      </c>
      <c r="D15" s="49" t="s">
        <v>128</v>
      </c>
      <c r="E15" s="50" t="s">
        <v>369</v>
      </c>
      <c r="F15" s="50" t="s">
        <v>266</v>
      </c>
      <c r="G15" s="63" t="str">
        <f t="shared" si="0"/>
        <v xml:space="preserve">[effect:force_change_block, new_block:block_heart, target:block_green, count:0, val:0, animation:change_block]    </v>
      </c>
      <c r="H15" s="63">
        <f t="shared" si="1"/>
        <v>9</v>
      </c>
      <c r="I15" s="63">
        <f t="shared" si="2"/>
        <v>27</v>
      </c>
      <c r="J15" s="63">
        <f t="shared" si="3"/>
        <v>59</v>
      </c>
      <c r="K15" s="63">
        <f t="shared" si="4"/>
        <v>50</v>
      </c>
      <c r="L15" s="63" t="str">
        <f>IFERROR(VLOOKUP(MID(G15,J15,K15-J15),[6]skilldef!$C:$D,2,FALSE),"-") &amp; " / " &amp; IFERROR(VLOOKUP(MID(G15,H15,I15-H15),[6]skilldef!$A:$B,2,FALSE),"-")</f>
        <v>- / -</v>
      </c>
      <c r="M15" s="63" t="str">
        <f t="shared" si="5"/>
        <v>none</v>
      </c>
      <c r="N15" s="47" t="str">
        <f>IFERROR(LEFT(M15,FIND("],",M15)+#REF!),M15)</f>
        <v>none</v>
      </c>
      <c r="O15" s="63" t="e">
        <f t="shared" si="6"/>
        <v>#VALUE!</v>
      </c>
      <c r="P15" s="63">
        <f t="shared" si="7"/>
        <v>4</v>
      </c>
      <c r="Q15" s="63" t="e">
        <f t="shared" si="8"/>
        <v>#VALUE!</v>
      </c>
      <c r="R15" s="63" t="e">
        <f t="shared" si="9"/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7" t="str">
        <f t="shared" si="10"/>
        <v>none</v>
      </c>
      <c r="U15" s="63" t="e">
        <f t="shared" si="11"/>
        <v>#VALUE!</v>
      </c>
      <c r="V15" s="63">
        <f t="shared" si="12"/>
        <v>4</v>
      </c>
      <c r="W15" s="63" t="e">
        <f t="shared" si="13"/>
        <v>#VALUE!</v>
      </c>
      <c r="X15" s="63" t="e">
        <f t="shared" si="14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49" t="s">
        <v>227</v>
      </c>
      <c r="AA15" s="51">
        <v>42501</v>
      </c>
      <c r="AB15" s="49" t="s">
        <v>267</v>
      </c>
    </row>
    <row r="16" spans="1:28" ht="21" customHeight="1" x14ac:dyDescent="0.15">
      <c r="A16" s="46">
        <v>39004015</v>
      </c>
      <c r="B16" s="46" t="s">
        <v>247</v>
      </c>
      <c r="C16" s="49">
        <v>3</v>
      </c>
      <c r="D16" s="49" t="s">
        <v>128</v>
      </c>
      <c r="E16" s="50" t="s">
        <v>370</v>
      </c>
      <c r="F16" s="50" t="s">
        <v>249</v>
      </c>
      <c r="G16" s="63" t="str">
        <f t="shared" si="0"/>
        <v xml:space="preserve">[effect:spread, val:0.3]    </v>
      </c>
      <c r="H16" s="63">
        <f t="shared" si="1"/>
        <v>9</v>
      </c>
      <c r="I16" s="63">
        <f t="shared" si="2"/>
        <v>15</v>
      </c>
      <c r="J16" s="63" t="e">
        <f t="shared" si="3"/>
        <v>#VALUE!</v>
      </c>
      <c r="K16" s="63" t="e">
        <f t="shared" si="4"/>
        <v>#VALUE!</v>
      </c>
      <c r="L16" s="63" t="str">
        <f>IFERROR(VLOOKUP(MID(G16,J16,K16-J16),[6]skilldef!$C:$D,2,FALSE),"-") &amp; " / " &amp; IFERROR(VLOOKUP(MID(G16,H16,I16-H16),[6]skilldef!$A:$B,2,FALSE),"-")</f>
        <v>- / 全体攻撃</v>
      </c>
      <c r="M16" s="63" t="str">
        <f t="shared" si="5"/>
        <v>none</v>
      </c>
      <c r="N16" s="47" t="str">
        <f>IFERROR(LEFT(M16,FIND("],",M16)+#REF!),M16)</f>
        <v>none</v>
      </c>
      <c r="O16" s="63" t="e">
        <f t="shared" si="6"/>
        <v>#VALUE!</v>
      </c>
      <c r="P16" s="63">
        <f t="shared" si="7"/>
        <v>4</v>
      </c>
      <c r="Q16" s="63" t="e">
        <f t="shared" si="8"/>
        <v>#VALUE!</v>
      </c>
      <c r="R16" s="63" t="e">
        <f t="shared" si="9"/>
        <v>#VALUE!</v>
      </c>
      <c r="S16" s="63" t="str">
        <f>IFERROR(VLOOKUP(MID(N16,Q16,R16-Q16),[6]skilldef!$C:$D,2,FALSE),"-") &amp; " / " &amp; IFERROR(VLOOKUP(MID(N16,O16,P16-O16),[6]skilldef!$A:$B,2,FALSE),"-")</f>
        <v>- / -</v>
      </c>
      <c r="T16" s="47" t="str">
        <f t="shared" si="10"/>
        <v>none</v>
      </c>
      <c r="U16" s="63" t="e">
        <f t="shared" si="11"/>
        <v>#VALUE!</v>
      </c>
      <c r="V16" s="63">
        <f t="shared" si="12"/>
        <v>4</v>
      </c>
      <c r="W16" s="63" t="e">
        <f t="shared" si="13"/>
        <v>#VALUE!</v>
      </c>
      <c r="X16" s="63" t="e">
        <f t="shared" si="14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49" t="s">
        <v>227</v>
      </c>
      <c r="AA16" s="51">
        <v>42501</v>
      </c>
      <c r="AB16" s="49" t="s">
        <v>272</v>
      </c>
    </row>
    <row r="17" spans="1:28" ht="21" customHeight="1" x14ac:dyDescent="0.15">
      <c r="A17" s="46">
        <v>39004016</v>
      </c>
      <c r="B17" s="46" t="s">
        <v>268</v>
      </c>
      <c r="C17" s="49">
        <v>3</v>
      </c>
      <c r="D17" s="49" t="s">
        <v>128</v>
      </c>
      <c r="E17" s="50" t="s">
        <v>371</v>
      </c>
      <c r="F17" s="50" t="s">
        <v>266</v>
      </c>
      <c r="G17" s="63" t="str">
        <f t="shared" si="0"/>
        <v xml:space="preserve">[effect:force_change_block, new_block:block_heart, target:block_green, count:0, val:0, animation:change_block]    </v>
      </c>
      <c r="H17" s="63">
        <f t="shared" si="1"/>
        <v>9</v>
      </c>
      <c r="I17" s="63">
        <f t="shared" si="2"/>
        <v>27</v>
      </c>
      <c r="J17" s="63">
        <f t="shared" si="3"/>
        <v>59</v>
      </c>
      <c r="K17" s="63">
        <f t="shared" si="4"/>
        <v>50</v>
      </c>
      <c r="L17" s="63" t="str">
        <f>IFERROR(VLOOKUP(MID(G17,J17,K17-J17),[6]skilldef!$C:$D,2,FALSE),"-") &amp; " / " &amp; IFERROR(VLOOKUP(MID(G17,H17,I17-H17),[6]skilldef!$A:$B,2,FALSE),"-")</f>
        <v>- / -</v>
      </c>
      <c r="M17" s="63" t="str">
        <f t="shared" si="5"/>
        <v>none</v>
      </c>
      <c r="N17" s="47" t="str">
        <f>IFERROR(LEFT(M17,FIND("],",M17)+#REF!),M17)</f>
        <v>none</v>
      </c>
      <c r="O17" s="63" t="e">
        <f t="shared" si="6"/>
        <v>#VALUE!</v>
      </c>
      <c r="P17" s="63">
        <f t="shared" si="7"/>
        <v>4</v>
      </c>
      <c r="Q17" s="63" t="e">
        <f t="shared" si="8"/>
        <v>#VALUE!</v>
      </c>
      <c r="R17" s="63" t="e">
        <f t="shared" si="9"/>
        <v>#VALUE!</v>
      </c>
      <c r="S17" s="63" t="str">
        <f>IFERROR(VLOOKUP(MID(N17,Q17,R17-Q17),[6]skilldef!$C:$D,2,FALSE),"-") &amp; " / " &amp; IFERROR(VLOOKUP(MID(N17,O17,P17-O17),[6]skilldef!$A:$B,2,FALSE),"-")</f>
        <v>- / -</v>
      </c>
      <c r="T17" s="47" t="str">
        <f t="shared" si="10"/>
        <v>none</v>
      </c>
      <c r="U17" s="63" t="e">
        <f t="shared" si="11"/>
        <v>#VALUE!</v>
      </c>
      <c r="V17" s="63">
        <f t="shared" si="12"/>
        <v>4</v>
      </c>
      <c r="W17" s="63" t="e">
        <f t="shared" si="13"/>
        <v>#VALUE!</v>
      </c>
      <c r="X17" s="63" t="e">
        <f t="shared" si="14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49" t="s">
        <v>227</v>
      </c>
      <c r="AA17" s="51">
        <v>42501</v>
      </c>
      <c r="AB17" s="49" t="s">
        <v>272</v>
      </c>
    </row>
    <row r="18" spans="1:28" ht="21" customHeight="1" x14ac:dyDescent="0.15">
      <c r="A18" s="46">
        <v>39004017</v>
      </c>
      <c r="B18" s="46" t="s">
        <v>383</v>
      </c>
      <c r="C18" s="49">
        <v>3</v>
      </c>
      <c r="D18" s="49" t="s">
        <v>128</v>
      </c>
      <c r="E18" s="50" t="s">
        <v>372</v>
      </c>
      <c r="F18" s="50" t="s">
        <v>271</v>
      </c>
      <c r="G18" s="63" t="str">
        <f t="shared" si="0"/>
        <v xml:space="preserve">[effect:break_attack, val:0.04, lowest_val:1000, count:-1, block:block_heart, target:unit_all]    </v>
      </c>
      <c r="H18" s="63">
        <f t="shared" si="1"/>
        <v>9</v>
      </c>
      <c r="I18" s="63">
        <f t="shared" si="2"/>
        <v>21</v>
      </c>
      <c r="J18" s="63">
        <f t="shared" si="3"/>
        <v>86</v>
      </c>
      <c r="K18" s="63">
        <f t="shared" si="4"/>
        <v>31</v>
      </c>
      <c r="L18" s="63" t="str">
        <f>IFERROR(VLOOKUP(MID(G18,J18,K18-J18),[6]skilldef!$C:$D,2,FALSE),"-") &amp; " / " &amp; IFERROR(VLOOKUP(MID(G18,H18,I18-H18),[6]skilldef!$A:$B,2,FALSE),"-")</f>
        <v>- / -</v>
      </c>
      <c r="M18" s="63" t="str">
        <f t="shared" si="5"/>
        <v>none</v>
      </c>
      <c r="N18" s="47" t="str">
        <f>IFERROR(LEFT(M18,FIND("],",M18)+#REF!),M18)</f>
        <v>none</v>
      </c>
      <c r="O18" s="63" t="e">
        <f t="shared" si="6"/>
        <v>#VALUE!</v>
      </c>
      <c r="P18" s="63">
        <f t="shared" si="7"/>
        <v>4</v>
      </c>
      <c r="Q18" s="63" t="e">
        <f t="shared" si="8"/>
        <v>#VALUE!</v>
      </c>
      <c r="R18" s="63" t="e">
        <f t="shared" si="9"/>
        <v>#VALUE!</v>
      </c>
      <c r="S18" s="63" t="str">
        <f>IFERROR(VLOOKUP(MID(N18,Q18,R18-Q18),[6]skilldef!$C:$D,2,FALSE),"-") &amp; " / " &amp; IFERROR(VLOOKUP(MID(N18,O18,P18-O18),[6]skilldef!$A:$B,2,FALSE),"-")</f>
        <v>- / -</v>
      </c>
      <c r="T18" s="47" t="str">
        <f t="shared" si="10"/>
        <v>none</v>
      </c>
      <c r="U18" s="63" t="e">
        <f t="shared" si="11"/>
        <v>#VALUE!</v>
      </c>
      <c r="V18" s="63">
        <f t="shared" si="12"/>
        <v>4</v>
      </c>
      <c r="W18" s="63" t="e">
        <f t="shared" si="13"/>
        <v>#VALUE!</v>
      </c>
      <c r="X18" s="63" t="e">
        <f t="shared" si="14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49" t="s">
        <v>227</v>
      </c>
      <c r="AA18" s="51">
        <v>42501</v>
      </c>
      <c r="AB18" s="49" t="s">
        <v>272</v>
      </c>
    </row>
    <row r="19" spans="1:28" ht="21" customHeight="1" x14ac:dyDescent="0.15">
      <c r="A19" s="46">
        <v>39004018</v>
      </c>
      <c r="B19" s="46" t="s">
        <v>296</v>
      </c>
      <c r="C19" s="49">
        <v>3</v>
      </c>
      <c r="D19" s="49" t="s">
        <v>128</v>
      </c>
      <c r="E19" s="50" t="s">
        <v>373</v>
      </c>
      <c r="F19" s="50" t="s">
        <v>275</v>
      </c>
      <c r="G19" s="63" t="str">
        <f t="shared" si="0"/>
        <v>[effect:force_change_block, new_block:block_yellow, target:block_heart, count:0, val:0, animation:change_block]</v>
      </c>
      <c r="H19" s="63">
        <f t="shared" si="1"/>
        <v>9</v>
      </c>
      <c r="I19" s="63">
        <f t="shared" si="2"/>
        <v>27</v>
      </c>
      <c r="J19" s="63">
        <f t="shared" si="3"/>
        <v>60</v>
      </c>
      <c r="K19" s="63">
        <f t="shared" si="4"/>
        <v>51</v>
      </c>
      <c r="L19" s="63" t="str">
        <f>IFERROR(VLOOKUP(MID(G19,J19,K19-J19),[6]skilldef!$C:$D,2,FALSE),"-") &amp; " / " &amp; IFERROR(VLOOKUP(MID(G19,H19,I19-H19),[6]skilldef!$A:$B,2,FALSE),"-")</f>
        <v>- / -</v>
      </c>
      <c r="M19" s="63" t="str">
        <f t="shared" si="5"/>
        <v>none</v>
      </c>
      <c r="N19" s="47" t="str">
        <f>IFERROR(LEFT(M19,FIND("],",M19)+#REF!),M19)</f>
        <v>none</v>
      </c>
      <c r="O19" s="63" t="e">
        <f t="shared" si="6"/>
        <v>#VALUE!</v>
      </c>
      <c r="P19" s="63">
        <f t="shared" si="7"/>
        <v>4</v>
      </c>
      <c r="Q19" s="63" t="e">
        <f t="shared" si="8"/>
        <v>#VALUE!</v>
      </c>
      <c r="R19" s="63" t="e">
        <f t="shared" si="9"/>
        <v>#VALUE!</v>
      </c>
      <c r="S19" s="63" t="str">
        <f>IFERROR(VLOOKUP(MID(N19,Q19,R19-Q19),[6]skilldef!$C:$D,2,FALSE),"-") &amp; " / " &amp; IFERROR(VLOOKUP(MID(N19,O19,P19-O19),[6]skilldef!$A:$B,2,FALSE),"-")</f>
        <v>- / -</v>
      </c>
      <c r="T19" s="47" t="str">
        <f t="shared" si="10"/>
        <v>none</v>
      </c>
      <c r="U19" s="63" t="e">
        <f t="shared" si="11"/>
        <v>#VALUE!</v>
      </c>
      <c r="V19" s="63">
        <f t="shared" si="12"/>
        <v>4</v>
      </c>
      <c r="W19" s="63" t="e">
        <f t="shared" si="13"/>
        <v>#VALUE!</v>
      </c>
      <c r="X19" s="63" t="e">
        <f t="shared" si="14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49" t="s">
        <v>227</v>
      </c>
      <c r="AA19" s="51">
        <v>42501</v>
      </c>
      <c r="AB19" s="49" t="s">
        <v>283</v>
      </c>
    </row>
    <row r="20" spans="1:28" ht="21" customHeight="1" x14ac:dyDescent="0.15">
      <c r="A20" s="46">
        <v>39004019</v>
      </c>
      <c r="B20" s="46" t="s">
        <v>361</v>
      </c>
      <c r="C20" s="49">
        <v>3</v>
      </c>
      <c r="D20" s="49" t="s">
        <v>128</v>
      </c>
      <c r="E20" s="50" t="s">
        <v>374</v>
      </c>
      <c r="F20" s="50" t="s">
        <v>297</v>
      </c>
      <c r="G20" s="63" t="str">
        <f t="shared" si="0"/>
        <v>[effect:force_change_block, new_block:time_bomb, target:block_all, ignore:crack_bomb, ignore02:time_bomb, count:4, val:0.2, min_time_count:3, max_time_count:5, animation:change_block]</v>
      </c>
      <c r="H20" s="63">
        <f t="shared" si="1"/>
        <v>9</v>
      </c>
      <c r="I20" s="63">
        <f t="shared" si="2"/>
        <v>27</v>
      </c>
      <c r="J20" s="63">
        <f t="shared" si="3"/>
        <v>57</v>
      </c>
      <c r="K20" s="63">
        <f t="shared" si="4"/>
        <v>48</v>
      </c>
      <c r="L20" s="63" t="str">
        <f>IFERROR(VLOOKUP(MID(G20,J20,K20-J20),[6]skilldef!$C:$D,2,FALSE),"-") &amp; " / " &amp; IFERROR(VLOOKUP(MID(G20,H20,I20-H20),[6]skilldef!$A:$B,2,FALSE),"-")</f>
        <v>- / -</v>
      </c>
      <c r="M20" s="63" t="str">
        <f t="shared" si="5"/>
        <v>none</v>
      </c>
      <c r="N20" s="47" t="str">
        <f>IFERROR(LEFT(M20,FIND("],",M20)+#REF!),M20)</f>
        <v>none</v>
      </c>
      <c r="O20" s="63" t="e">
        <f t="shared" si="6"/>
        <v>#VALUE!</v>
      </c>
      <c r="P20" s="63">
        <f t="shared" si="7"/>
        <v>4</v>
      </c>
      <c r="Q20" s="63" t="e">
        <f t="shared" si="8"/>
        <v>#VALUE!</v>
      </c>
      <c r="R20" s="63" t="e">
        <f t="shared" si="9"/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7" t="str">
        <f t="shared" si="10"/>
        <v>none</v>
      </c>
      <c r="U20" s="63" t="e">
        <f t="shared" si="11"/>
        <v>#VALUE!</v>
      </c>
      <c r="V20" s="63">
        <f t="shared" si="12"/>
        <v>4</v>
      </c>
      <c r="W20" s="63" t="e">
        <f t="shared" si="13"/>
        <v>#VALUE!</v>
      </c>
      <c r="X20" s="63" t="e">
        <f t="shared" si="14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49" t="s">
        <v>227</v>
      </c>
      <c r="AA20" s="51">
        <v>42501</v>
      </c>
      <c r="AB20" s="49" t="s">
        <v>282</v>
      </c>
    </row>
    <row r="21" spans="1:28" ht="21" customHeight="1" x14ac:dyDescent="0.15">
      <c r="A21" s="46">
        <v>39004020</v>
      </c>
      <c r="B21" s="46" t="s">
        <v>305</v>
      </c>
      <c r="C21" s="49">
        <v>3</v>
      </c>
      <c r="D21" s="49" t="s">
        <v>128</v>
      </c>
      <c r="E21" s="50" t="s">
        <v>375</v>
      </c>
      <c r="F21" s="50" t="s">
        <v>304</v>
      </c>
      <c r="G21" s="63" t="str">
        <f t="shared" si="0"/>
        <v xml:space="preserve">[effect:rush, count:7, val:0.2]    </v>
      </c>
      <c r="H21" s="63">
        <f t="shared" si="1"/>
        <v>9</v>
      </c>
      <c r="I21" s="63">
        <f t="shared" si="2"/>
        <v>13</v>
      </c>
      <c r="J21" s="63" t="e">
        <f t="shared" si="3"/>
        <v>#VALUE!</v>
      </c>
      <c r="K21" s="63">
        <f t="shared" si="4"/>
        <v>22</v>
      </c>
      <c r="L21" s="63" t="str">
        <f>IFERROR(VLOOKUP(MID(G21,J21,K21-J21),[6]skilldef!$C:$D,2,FALSE),"-") &amp; " / " &amp; IFERROR(VLOOKUP(MID(G21,H21,I21-H21),[6]skilldef!$A:$B,2,FALSE),"-")</f>
        <v>- / 連続攻撃</v>
      </c>
      <c r="M21" s="63" t="str">
        <f t="shared" si="5"/>
        <v>none</v>
      </c>
      <c r="N21" s="47" t="str">
        <f>IFERROR(LEFT(M21,FIND("],",M21)+#REF!),M21)</f>
        <v>none</v>
      </c>
      <c r="O21" s="63" t="e">
        <f t="shared" si="6"/>
        <v>#VALUE!</v>
      </c>
      <c r="P21" s="63">
        <f t="shared" si="7"/>
        <v>4</v>
      </c>
      <c r="Q21" s="63" t="e">
        <f t="shared" si="8"/>
        <v>#VALUE!</v>
      </c>
      <c r="R21" s="63" t="e">
        <f t="shared" si="9"/>
        <v>#VALUE!</v>
      </c>
      <c r="S21" s="63" t="str">
        <f>IFERROR(VLOOKUP(MID(N21,Q21,R21-Q21),[6]skilldef!$C:$D,2,FALSE),"-") &amp; " / " &amp; IFERROR(VLOOKUP(MID(N21,O21,P21-O21),[6]skilldef!$A:$B,2,FALSE),"-")</f>
        <v>- / -</v>
      </c>
      <c r="T21" s="47" t="str">
        <f t="shared" si="10"/>
        <v>none</v>
      </c>
      <c r="U21" s="63" t="e">
        <f t="shared" si="11"/>
        <v>#VALUE!</v>
      </c>
      <c r="V21" s="63">
        <f t="shared" si="12"/>
        <v>4</v>
      </c>
      <c r="W21" s="63" t="e">
        <f t="shared" si="13"/>
        <v>#VALUE!</v>
      </c>
      <c r="X21" s="63" t="e">
        <f t="shared" si="14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49" t="s">
        <v>227</v>
      </c>
      <c r="AA21" s="51">
        <v>42501</v>
      </c>
      <c r="AB21" s="49" t="s">
        <v>282</v>
      </c>
    </row>
    <row r="22" spans="1:28" ht="21" customHeight="1" x14ac:dyDescent="0.15">
      <c r="A22" s="46">
        <v>39004021</v>
      </c>
      <c r="B22" s="46" t="s">
        <v>235</v>
      </c>
      <c r="C22" s="49">
        <v>3</v>
      </c>
      <c r="D22" s="49" t="s">
        <v>128</v>
      </c>
      <c r="E22" s="50" t="s">
        <v>376</v>
      </c>
      <c r="F22" s="50" t="s">
        <v>382</v>
      </c>
      <c r="G22" s="63" t="str">
        <f t="shared" si="0"/>
        <v>[effect:nothing]</v>
      </c>
      <c r="H22" s="63">
        <f t="shared" si="1"/>
        <v>9</v>
      </c>
      <c r="I22" s="63">
        <f t="shared" si="2"/>
        <v>16</v>
      </c>
      <c r="J22" s="63" t="e">
        <f t="shared" si="3"/>
        <v>#VALUE!</v>
      </c>
      <c r="K22" s="63" t="e">
        <f t="shared" si="4"/>
        <v>#VALUE!</v>
      </c>
      <c r="L22" s="63" t="str">
        <f>IFERROR(VLOOKUP(MID(G22,J22,K22-J22),[6]skilldef!$C:$D,2,FALSE),"-") &amp; " / " &amp; IFERROR(VLOOKUP(MID(G22,H22,I22-H22),[6]skilldef!$A:$B,2,FALSE),"-")</f>
        <v>- / 何もしない</v>
      </c>
      <c r="M22" s="63" t="str">
        <f t="shared" si="5"/>
        <v>none</v>
      </c>
      <c r="N22" s="47" t="str">
        <f>IFERROR(LEFT(M22,FIND("],",M22)+#REF!),M22)</f>
        <v>none</v>
      </c>
      <c r="O22" s="63" t="e">
        <f t="shared" si="6"/>
        <v>#VALUE!</v>
      </c>
      <c r="P22" s="63">
        <f t="shared" si="7"/>
        <v>4</v>
      </c>
      <c r="Q22" s="63" t="e">
        <f t="shared" si="8"/>
        <v>#VALUE!</v>
      </c>
      <c r="R22" s="63" t="e">
        <f t="shared" si="9"/>
        <v>#VALUE!</v>
      </c>
      <c r="S22" s="63" t="str">
        <f>IFERROR(VLOOKUP(MID(N22,Q22,R22-Q22),[6]skilldef!$C:$D,2,FALSE),"-") &amp; " / " &amp; IFERROR(VLOOKUP(MID(N22,O22,P22-O22),[6]skilldef!$A:$B,2,FALSE),"-")</f>
        <v>- / -</v>
      </c>
      <c r="T22" s="47" t="str">
        <f t="shared" si="10"/>
        <v>none</v>
      </c>
      <c r="U22" s="63" t="e">
        <f t="shared" si="11"/>
        <v>#VALUE!</v>
      </c>
      <c r="V22" s="63">
        <f t="shared" si="12"/>
        <v>4</v>
      </c>
      <c r="W22" s="63" t="e">
        <f t="shared" si="13"/>
        <v>#VALUE!</v>
      </c>
      <c r="X22" s="63" t="e">
        <f t="shared" si="14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49" t="s">
        <v>227</v>
      </c>
      <c r="AA22" s="51">
        <v>42501</v>
      </c>
      <c r="AB22" s="49" t="s">
        <v>284</v>
      </c>
    </row>
    <row r="23" spans="1:28" ht="21" customHeight="1" x14ac:dyDescent="0.15">
      <c r="A23" s="46">
        <v>39004022</v>
      </c>
      <c r="B23" s="46" t="s">
        <v>299</v>
      </c>
      <c r="C23" s="49">
        <v>3</v>
      </c>
      <c r="D23" s="49" t="s">
        <v>128</v>
      </c>
      <c r="E23" s="50" t="s">
        <v>377</v>
      </c>
      <c r="F23" s="50" t="s">
        <v>281</v>
      </c>
      <c r="G23" s="63" t="str">
        <f t="shared" si="0"/>
        <v xml:space="preserve">[effect:heal, target:enemy_all, val:0.5, animation:enemy_heal]    </v>
      </c>
      <c r="H23" s="63">
        <f t="shared" si="1"/>
        <v>9</v>
      </c>
      <c r="I23" s="63">
        <f t="shared" si="2"/>
        <v>13</v>
      </c>
      <c r="J23" s="63">
        <f t="shared" si="3"/>
        <v>22</v>
      </c>
      <c r="K23" s="63">
        <f t="shared" si="4"/>
        <v>31</v>
      </c>
      <c r="L23" s="63" t="str">
        <f>IFERROR(VLOOKUP(MID(G23,J23,K23-J23),[6]skilldef!$C:$D,2,FALSE),"-") &amp; " / " &amp; IFERROR(VLOOKUP(MID(G23,H23,I23-H23),[6]skilldef!$A:$B,2,FALSE),"-")</f>
        <v>敵全体に / 回復</v>
      </c>
      <c r="M23" s="63" t="str">
        <f t="shared" si="5"/>
        <v>none</v>
      </c>
      <c r="N23" s="47" t="str">
        <f>IFERROR(LEFT(M23,FIND("],",M23)+#REF!),M23)</f>
        <v>none</v>
      </c>
      <c r="O23" s="63" t="e">
        <f t="shared" si="6"/>
        <v>#VALUE!</v>
      </c>
      <c r="P23" s="63">
        <f t="shared" si="7"/>
        <v>4</v>
      </c>
      <c r="Q23" s="63" t="e">
        <f t="shared" si="8"/>
        <v>#VALUE!</v>
      </c>
      <c r="R23" s="63" t="e">
        <f t="shared" si="9"/>
        <v>#VALUE!</v>
      </c>
      <c r="S23" s="63" t="str">
        <f>IFERROR(VLOOKUP(MID(N23,Q23,R23-Q23),[6]skilldef!$C:$D,2,FALSE),"-") &amp; " / " &amp; IFERROR(VLOOKUP(MID(N23,O23,P23-O23),[6]skilldef!$A:$B,2,FALSE),"-")</f>
        <v>- / -</v>
      </c>
      <c r="T23" s="47" t="str">
        <f t="shared" si="10"/>
        <v>none</v>
      </c>
      <c r="U23" s="63" t="e">
        <f t="shared" si="11"/>
        <v>#VALUE!</v>
      </c>
      <c r="V23" s="63">
        <f t="shared" si="12"/>
        <v>4</v>
      </c>
      <c r="W23" s="63" t="e">
        <f t="shared" si="13"/>
        <v>#VALUE!</v>
      </c>
      <c r="X23" s="63" t="e">
        <f t="shared" si="14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49" t="s">
        <v>227</v>
      </c>
      <c r="AA23" s="51">
        <v>42501</v>
      </c>
      <c r="AB23" s="49" t="s">
        <v>282</v>
      </c>
    </row>
    <row r="24" spans="1:28" ht="21" customHeight="1" x14ac:dyDescent="0.15">
      <c r="A24" s="46">
        <v>39004023</v>
      </c>
      <c r="B24" s="46" t="s">
        <v>290</v>
      </c>
      <c r="C24" s="49">
        <v>3</v>
      </c>
      <c r="D24" s="49" t="s">
        <v>128</v>
      </c>
      <c r="E24" s="50" t="s">
        <v>378</v>
      </c>
      <c r="F24" s="50" t="s">
        <v>379</v>
      </c>
      <c r="G24" s="63" t="str">
        <f>IFERROR(LEFT(B24,FIND("],",B24)),B24)</f>
        <v>[effect:enemy_message, val1:3, val2:3, dead_type:escape]</v>
      </c>
      <c r="H24" s="63">
        <f>FIND("effect:",G24)+7</f>
        <v>9</v>
      </c>
      <c r="I24" s="63">
        <f>IFERROR(FIND(",",G24),LEN(G24))</f>
        <v>22</v>
      </c>
      <c r="J24" s="63" t="e">
        <f>FIND("target:",G24)+7</f>
        <v>#VALUE!</v>
      </c>
      <c r="K24" s="63">
        <f>FIND(",",G24,I24+1)</f>
        <v>30</v>
      </c>
      <c r="L24" s="63" t="str">
        <f>IFERROR(VLOOKUP(MID(G24,J24,K24-J24),[6]skilldef!$C:$D,2,FALSE),"-") &amp; " / " &amp; IFERROR(VLOOKUP(MID(G24,H24,I24-H24),[6]skilldef!$A:$B,2,FALSE),"-")</f>
        <v>- / -</v>
      </c>
      <c r="M24" s="63" t="str">
        <f>IFERROR(RIGHT(B24,LEN(B24)-FIND("],",B24)-1),"none")</f>
        <v>none</v>
      </c>
      <c r="N24" s="47" t="str">
        <f>IFERROR(LEFT(M24,FIND("],",M24)+#REF!),M24)</f>
        <v>none</v>
      </c>
      <c r="O24" s="63" t="e">
        <f>FIND("effect:",N24)+7</f>
        <v>#VALUE!</v>
      </c>
      <c r="P24" s="63">
        <f>IFERROR(FIND(",",N24),LEN(N24))</f>
        <v>4</v>
      </c>
      <c r="Q24" s="63" t="e">
        <f>FIND("target:",N24)+7</f>
        <v>#VALUE!</v>
      </c>
      <c r="R24" s="63" t="e">
        <f>FIND(",",N24,P24+1)</f>
        <v>#VALUE!</v>
      </c>
      <c r="S24" s="63" t="str">
        <f>IFERROR(VLOOKUP(MID(N24,Q24,R24-Q24),[6]skilldef!$C:$D,2,FALSE),"-") &amp; " / " &amp; IFERROR(VLOOKUP(MID(N24,O24,P24-O24),[6]skilldef!$A:$B,2,FALSE),"-")</f>
        <v>- / -</v>
      </c>
      <c r="T24" s="47" t="str">
        <f>IFERROR(RIGHT(M24,LEN(M24)-FIND("],",M24)-1),"none")</f>
        <v>none</v>
      </c>
      <c r="U24" s="63" t="e">
        <f>FIND("effect:",T24)+7</f>
        <v>#VALUE!</v>
      </c>
      <c r="V24" s="63">
        <f>IFERROR(FIND(",",T24),LEN(T24))</f>
        <v>4</v>
      </c>
      <c r="W24" s="63" t="e">
        <f>FIND("target:",T24)+7</f>
        <v>#VALUE!</v>
      </c>
      <c r="X24" s="63" t="e">
        <f>FIND(",",T24,V24+1)</f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49" t="s">
        <v>227</v>
      </c>
      <c r="AA24" s="51">
        <v>42501</v>
      </c>
      <c r="AB24" s="49" t="s">
        <v>288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51"/>
  <sheetViews>
    <sheetView showGridLines="0" zoomScale="115" zoomScaleNormal="115" zoomScalePageLayoutView="115" workbookViewId="0">
      <pane ySplit="1" topLeftCell="A27" activePane="bottomLeft" state="frozenSplit"/>
      <selection pane="bottomLeft" activeCell="L26" sqref="L26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2" width="27.5" style="44" customWidth="1"/>
    <col min="13" max="13" width="31.6640625" style="44" customWidth="1"/>
    <col min="14" max="16384" width="12.83203125" style="44"/>
  </cols>
  <sheetData>
    <row r="1" spans="1:13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2" t="s">
        <v>71</v>
      </c>
      <c r="G1" s="52" t="s">
        <v>72</v>
      </c>
      <c r="H1" s="41" t="s">
        <v>222</v>
      </c>
      <c r="I1" s="41" t="s">
        <v>74</v>
      </c>
      <c r="J1" s="41" t="s">
        <v>75</v>
      </c>
      <c r="K1" s="53" t="s">
        <v>88</v>
      </c>
    </row>
    <row r="2" spans="1:13" ht="21" customHeight="1" x14ac:dyDescent="0.15">
      <c r="A2" s="108">
        <v>39004001</v>
      </c>
      <c r="B2" s="46">
        <v>1</v>
      </c>
      <c r="C2" s="46">
        <v>100</v>
      </c>
      <c r="D2" s="46">
        <v>20</v>
      </c>
      <c r="E2" s="46">
        <v>100</v>
      </c>
      <c r="F2" s="46" t="s">
        <v>90</v>
      </c>
      <c r="G2" s="46">
        <v>1</v>
      </c>
      <c r="H2" s="46" t="s">
        <v>90</v>
      </c>
      <c r="I2" s="46" t="s">
        <v>90</v>
      </c>
      <c r="J2" s="47">
        <f t="shared" ref="J2" si="0">D2</f>
        <v>20</v>
      </c>
      <c r="L2" s="44" t="s">
        <v>225</v>
      </c>
      <c r="M2" s="44" t="s">
        <v>226</v>
      </c>
    </row>
    <row r="3" spans="1:13" ht="21" customHeight="1" thickBot="1" x14ac:dyDescent="0.2">
      <c r="A3" s="128">
        <v>39004002</v>
      </c>
      <c r="B3" s="109">
        <v>0</v>
      </c>
      <c r="C3" s="109">
        <v>100</v>
      </c>
      <c r="D3" s="109">
        <v>100</v>
      </c>
      <c r="E3" s="109">
        <v>50</v>
      </c>
      <c r="F3" s="109" t="s">
        <v>53</v>
      </c>
      <c r="G3" s="109">
        <v>1</v>
      </c>
      <c r="H3" s="109" t="s">
        <v>53</v>
      </c>
      <c r="I3" s="109" t="s">
        <v>53</v>
      </c>
      <c r="J3" s="110">
        <f t="shared" ref="J3:J18" si="1">D3</f>
        <v>100</v>
      </c>
      <c r="L3" s="44" t="s">
        <v>229</v>
      </c>
      <c r="M3" s="44" t="s">
        <v>232</v>
      </c>
    </row>
    <row r="4" spans="1:13" ht="21" customHeight="1" x14ac:dyDescent="0.15">
      <c r="A4" s="129">
        <v>39004003</v>
      </c>
      <c r="B4" s="112">
        <v>1</v>
      </c>
      <c r="C4" s="112">
        <v>100</v>
      </c>
      <c r="D4" s="112">
        <v>100</v>
      </c>
      <c r="E4" s="112">
        <v>100</v>
      </c>
      <c r="F4" s="112" t="s">
        <v>53</v>
      </c>
      <c r="G4" s="112">
        <v>1</v>
      </c>
      <c r="H4" s="112">
        <v>1</v>
      </c>
      <c r="I4" s="112" t="s">
        <v>53</v>
      </c>
      <c r="J4" s="113">
        <f t="shared" si="1"/>
        <v>100</v>
      </c>
      <c r="K4" s="114"/>
      <c r="L4" s="115" t="s">
        <v>292</v>
      </c>
      <c r="M4" s="116" t="s">
        <v>302</v>
      </c>
    </row>
    <row r="5" spans="1:13" ht="21" customHeight="1" x14ac:dyDescent="0.15">
      <c r="A5" s="130">
        <v>39004004</v>
      </c>
      <c r="B5" s="46">
        <v>1</v>
      </c>
      <c r="C5" s="46">
        <v>100</v>
      </c>
      <c r="D5" s="46">
        <v>100</v>
      </c>
      <c r="E5" s="46">
        <v>100</v>
      </c>
      <c r="F5" s="46" t="s">
        <v>53</v>
      </c>
      <c r="G5" s="46">
        <v>1</v>
      </c>
      <c r="H5" s="46">
        <v>1</v>
      </c>
      <c r="I5" s="46">
        <v>899</v>
      </c>
      <c r="J5" s="47">
        <f t="shared" si="1"/>
        <v>100</v>
      </c>
      <c r="K5" s="118"/>
      <c r="L5" s="119" t="s">
        <v>293</v>
      </c>
      <c r="M5" s="120" t="s">
        <v>298</v>
      </c>
    </row>
    <row r="6" spans="1:13" ht="21" customHeight="1" x14ac:dyDescent="0.15">
      <c r="A6" s="130">
        <v>39004005</v>
      </c>
      <c r="B6" s="46">
        <v>1</v>
      </c>
      <c r="C6" s="46">
        <v>100</v>
      </c>
      <c r="D6" s="46">
        <v>100</v>
      </c>
      <c r="E6" s="46">
        <v>100</v>
      </c>
      <c r="F6" s="46" t="s">
        <v>53</v>
      </c>
      <c r="G6" s="46">
        <v>1</v>
      </c>
      <c r="H6" s="46">
        <v>1</v>
      </c>
      <c r="I6" s="46">
        <v>900</v>
      </c>
      <c r="J6" s="47">
        <f t="shared" si="1"/>
        <v>100</v>
      </c>
      <c r="K6" s="118"/>
      <c r="L6" s="119" t="s">
        <v>293</v>
      </c>
      <c r="M6" s="120" t="s">
        <v>298</v>
      </c>
    </row>
    <row r="7" spans="1:13" ht="21" customHeight="1" x14ac:dyDescent="0.15">
      <c r="A7" s="130">
        <v>39004006</v>
      </c>
      <c r="B7" s="46">
        <v>1</v>
      </c>
      <c r="C7" s="46">
        <v>100</v>
      </c>
      <c r="D7" s="46">
        <v>100</v>
      </c>
      <c r="E7" s="46">
        <v>100</v>
      </c>
      <c r="F7" s="46" t="s">
        <v>53</v>
      </c>
      <c r="G7" s="46">
        <v>1</v>
      </c>
      <c r="H7" s="46">
        <v>1</v>
      </c>
      <c r="I7" s="46">
        <v>901</v>
      </c>
      <c r="J7" s="47">
        <f t="shared" si="1"/>
        <v>100</v>
      </c>
      <c r="K7" s="118"/>
      <c r="L7" s="119" t="s">
        <v>293</v>
      </c>
      <c r="M7" s="120" t="s">
        <v>298</v>
      </c>
    </row>
    <row r="8" spans="1:13" ht="21" customHeight="1" x14ac:dyDescent="0.15">
      <c r="A8" s="130">
        <v>39004007</v>
      </c>
      <c r="B8" s="46">
        <v>1</v>
      </c>
      <c r="C8" s="46">
        <v>100</v>
      </c>
      <c r="D8" s="46">
        <v>100</v>
      </c>
      <c r="E8" s="46">
        <v>100</v>
      </c>
      <c r="F8" s="46" t="s">
        <v>53</v>
      </c>
      <c r="G8" s="46">
        <v>1</v>
      </c>
      <c r="H8" s="46">
        <v>1</v>
      </c>
      <c r="I8" s="46">
        <v>902</v>
      </c>
      <c r="J8" s="47">
        <f t="shared" si="1"/>
        <v>100</v>
      </c>
      <c r="K8" s="118"/>
      <c r="L8" s="119" t="s">
        <v>293</v>
      </c>
      <c r="M8" s="120" t="s">
        <v>298</v>
      </c>
    </row>
    <row r="9" spans="1:13" ht="21" customHeight="1" x14ac:dyDescent="0.15">
      <c r="A9" s="130">
        <v>39004008</v>
      </c>
      <c r="B9" s="46">
        <v>1</v>
      </c>
      <c r="C9" s="46">
        <v>100</v>
      </c>
      <c r="D9" s="46">
        <v>100</v>
      </c>
      <c r="E9" s="46">
        <v>100</v>
      </c>
      <c r="F9" s="46" t="s">
        <v>53</v>
      </c>
      <c r="G9" s="46">
        <v>1</v>
      </c>
      <c r="H9" s="46">
        <v>1</v>
      </c>
      <c r="I9" s="46">
        <v>903</v>
      </c>
      <c r="J9" s="47">
        <f t="shared" si="1"/>
        <v>100</v>
      </c>
      <c r="K9" s="118"/>
      <c r="L9" s="119" t="s">
        <v>293</v>
      </c>
      <c r="M9" s="120" t="s">
        <v>298</v>
      </c>
    </row>
    <row r="10" spans="1:13" ht="21" customHeight="1" x14ac:dyDescent="0.15">
      <c r="A10" s="130">
        <v>39004009</v>
      </c>
      <c r="B10" s="46">
        <v>1</v>
      </c>
      <c r="C10" s="46">
        <v>100</v>
      </c>
      <c r="D10" s="46">
        <v>100</v>
      </c>
      <c r="E10" s="46">
        <v>100</v>
      </c>
      <c r="F10" s="46" t="s">
        <v>53</v>
      </c>
      <c r="G10" s="46">
        <v>1</v>
      </c>
      <c r="H10" s="46">
        <v>1</v>
      </c>
      <c r="I10" s="46">
        <v>904</v>
      </c>
      <c r="J10" s="47">
        <f t="shared" ref="J10" si="2">D10</f>
        <v>100</v>
      </c>
      <c r="K10" s="118"/>
      <c r="L10" s="119" t="s">
        <v>293</v>
      </c>
      <c r="M10" s="120" t="s">
        <v>298</v>
      </c>
    </row>
    <row r="11" spans="1:13" ht="21" customHeight="1" x14ac:dyDescent="0.15">
      <c r="A11" s="130">
        <v>39004010</v>
      </c>
      <c r="B11" s="46">
        <v>1</v>
      </c>
      <c r="C11" s="46">
        <v>100</v>
      </c>
      <c r="D11" s="46">
        <v>100</v>
      </c>
      <c r="E11" s="46">
        <v>100</v>
      </c>
      <c r="F11" s="46" t="s">
        <v>53</v>
      </c>
      <c r="G11" s="46">
        <v>1</v>
      </c>
      <c r="H11" s="46">
        <v>1</v>
      </c>
      <c r="I11" s="46">
        <v>905</v>
      </c>
      <c r="J11" s="47">
        <f t="shared" si="1"/>
        <v>100</v>
      </c>
      <c r="K11" s="118"/>
      <c r="L11" s="119" t="s">
        <v>293</v>
      </c>
      <c r="M11" s="120" t="s">
        <v>298</v>
      </c>
    </row>
    <row r="12" spans="1:13" ht="21" customHeight="1" x14ac:dyDescent="0.15">
      <c r="A12" s="130">
        <v>39004011</v>
      </c>
      <c r="B12" s="46">
        <v>1</v>
      </c>
      <c r="C12" s="46">
        <v>100</v>
      </c>
      <c r="D12" s="46">
        <v>100</v>
      </c>
      <c r="E12" s="46">
        <v>100</v>
      </c>
      <c r="F12" s="46" t="s">
        <v>53</v>
      </c>
      <c r="G12" s="46">
        <v>1</v>
      </c>
      <c r="H12" s="46">
        <v>1</v>
      </c>
      <c r="I12" s="46">
        <v>906</v>
      </c>
      <c r="J12" s="47">
        <f t="shared" si="1"/>
        <v>100</v>
      </c>
      <c r="K12" s="118"/>
      <c r="L12" s="119" t="s">
        <v>293</v>
      </c>
      <c r="M12" s="120" t="s">
        <v>298</v>
      </c>
    </row>
    <row r="13" spans="1:13" ht="21" customHeight="1" x14ac:dyDescent="0.15">
      <c r="A13" s="130">
        <v>39004012</v>
      </c>
      <c r="B13" s="46">
        <v>1</v>
      </c>
      <c r="C13" s="46">
        <v>100</v>
      </c>
      <c r="D13" s="46">
        <v>100</v>
      </c>
      <c r="E13" s="46">
        <v>100</v>
      </c>
      <c r="F13" s="46" t="s">
        <v>53</v>
      </c>
      <c r="G13" s="46">
        <v>1</v>
      </c>
      <c r="H13" s="46">
        <v>1</v>
      </c>
      <c r="I13" s="46">
        <v>909</v>
      </c>
      <c r="J13" s="47">
        <f t="shared" si="1"/>
        <v>100</v>
      </c>
      <c r="K13" s="118"/>
      <c r="L13" s="119" t="s">
        <v>293</v>
      </c>
      <c r="M13" s="120" t="s">
        <v>298</v>
      </c>
    </row>
    <row r="14" spans="1:13" ht="21" customHeight="1" x14ac:dyDescent="0.15">
      <c r="A14" s="130">
        <v>39004013</v>
      </c>
      <c r="B14" s="46">
        <v>1</v>
      </c>
      <c r="C14" s="46">
        <v>100</v>
      </c>
      <c r="D14" s="46">
        <v>100</v>
      </c>
      <c r="E14" s="46">
        <v>100</v>
      </c>
      <c r="F14" s="46" t="s">
        <v>53</v>
      </c>
      <c r="G14" s="46">
        <v>1</v>
      </c>
      <c r="H14" s="46">
        <v>1</v>
      </c>
      <c r="I14" s="46">
        <v>910</v>
      </c>
      <c r="J14" s="47">
        <f t="shared" si="1"/>
        <v>100</v>
      </c>
      <c r="K14" s="118"/>
      <c r="L14" s="119" t="s">
        <v>293</v>
      </c>
      <c r="M14" s="120" t="s">
        <v>298</v>
      </c>
    </row>
    <row r="15" spans="1:13" ht="21" customHeight="1" x14ac:dyDescent="0.15">
      <c r="A15" s="130">
        <v>39004014</v>
      </c>
      <c r="B15" s="46">
        <v>1</v>
      </c>
      <c r="C15" s="46">
        <v>100</v>
      </c>
      <c r="D15" s="46">
        <v>100</v>
      </c>
      <c r="E15" s="46">
        <v>100</v>
      </c>
      <c r="F15" s="46" t="s">
        <v>53</v>
      </c>
      <c r="G15" s="46">
        <v>1</v>
      </c>
      <c r="H15" s="46">
        <v>1</v>
      </c>
      <c r="I15" s="46">
        <v>911</v>
      </c>
      <c r="J15" s="47">
        <f t="shared" si="1"/>
        <v>100</v>
      </c>
      <c r="K15" s="118"/>
      <c r="L15" s="119" t="s">
        <v>293</v>
      </c>
      <c r="M15" s="120" t="s">
        <v>298</v>
      </c>
    </row>
    <row r="16" spans="1:13" ht="21" customHeight="1" x14ac:dyDescent="0.15">
      <c r="A16" s="130">
        <v>39004015</v>
      </c>
      <c r="B16" s="46">
        <v>1</v>
      </c>
      <c r="C16" s="46">
        <v>100</v>
      </c>
      <c r="D16" s="46">
        <v>100</v>
      </c>
      <c r="E16" s="46">
        <v>100</v>
      </c>
      <c r="F16" s="46" t="s">
        <v>53</v>
      </c>
      <c r="G16" s="46">
        <v>1</v>
      </c>
      <c r="H16" s="46">
        <v>1</v>
      </c>
      <c r="I16" s="46">
        <v>912</v>
      </c>
      <c r="J16" s="47">
        <f t="shared" si="1"/>
        <v>100</v>
      </c>
      <c r="K16" s="118"/>
      <c r="L16" s="119" t="s">
        <v>293</v>
      </c>
      <c r="M16" s="120" t="s">
        <v>298</v>
      </c>
    </row>
    <row r="17" spans="1:13" ht="21" customHeight="1" x14ac:dyDescent="0.15">
      <c r="A17" s="130">
        <v>39004016</v>
      </c>
      <c r="B17" s="46">
        <v>1</v>
      </c>
      <c r="C17" s="46">
        <v>100</v>
      </c>
      <c r="D17" s="46">
        <v>100</v>
      </c>
      <c r="E17" s="46">
        <v>100</v>
      </c>
      <c r="F17" s="46" t="s">
        <v>53</v>
      </c>
      <c r="G17" s="46">
        <v>1</v>
      </c>
      <c r="H17" s="46">
        <v>1</v>
      </c>
      <c r="I17" s="46">
        <v>913</v>
      </c>
      <c r="J17" s="47">
        <f t="shared" si="1"/>
        <v>100</v>
      </c>
      <c r="K17" s="118"/>
      <c r="L17" s="119" t="s">
        <v>293</v>
      </c>
      <c r="M17" s="120" t="s">
        <v>298</v>
      </c>
    </row>
    <row r="18" spans="1:13" ht="21" customHeight="1" x14ac:dyDescent="0.15">
      <c r="A18" s="130">
        <v>39004017</v>
      </c>
      <c r="B18" s="46">
        <v>1</v>
      </c>
      <c r="C18" s="46">
        <v>100</v>
      </c>
      <c r="D18" s="46">
        <v>100</v>
      </c>
      <c r="E18" s="46">
        <v>100</v>
      </c>
      <c r="F18" s="46" t="s">
        <v>53</v>
      </c>
      <c r="G18" s="46">
        <v>1</v>
      </c>
      <c r="H18" s="46">
        <v>1</v>
      </c>
      <c r="I18" s="46">
        <v>914</v>
      </c>
      <c r="J18" s="47">
        <f t="shared" si="1"/>
        <v>100</v>
      </c>
      <c r="K18" s="118"/>
      <c r="L18" s="119" t="s">
        <v>293</v>
      </c>
      <c r="M18" s="120" t="s">
        <v>298</v>
      </c>
    </row>
    <row r="19" spans="1:13" ht="21" customHeight="1" x14ac:dyDescent="0.15">
      <c r="A19" s="130">
        <v>39004018</v>
      </c>
      <c r="B19" s="46">
        <v>1</v>
      </c>
      <c r="C19" s="46">
        <v>100</v>
      </c>
      <c r="D19" s="46">
        <v>100</v>
      </c>
      <c r="E19" s="46">
        <v>100</v>
      </c>
      <c r="F19" s="46" t="s">
        <v>53</v>
      </c>
      <c r="G19" s="46">
        <v>1</v>
      </c>
      <c r="H19" s="46">
        <v>1</v>
      </c>
      <c r="I19" s="46">
        <v>915</v>
      </c>
      <c r="J19" s="47">
        <f t="shared" ref="J19:J25" si="3">D19</f>
        <v>100</v>
      </c>
      <c r="K19" s="118"/>
      <c r="L19" s="119" t="s">
        <v>293</v>
      </c>
      <c r="M19" s="120" t="s">
        <v>298</v>
      </c>
    </row>
    <row r="20" spans="1:13" ht="21" customHeight="1" x14ac:dyDescent="0.15">
      <c r="A20" s="130">
        <v>39004019</v>
      </c>
      <c r="B20" s="46">
        <v>1</v>
      </c>
      <c r="C20" s="46">
        <v>100</v>
      </c>
      <c r="D20" s="46">
        <v>100</v>
      </c>
      <c r="E20" s="46">
        <v>100</v>
      </c>
      <c r="F20" s="46" t="s">
        <v>53</v>
      </c>
      <c r="G20" s="46">
        <v>1</v>
      </c>
      <c r="H20" s="46">
        <v>1</v>
      </c>
      <c r="I20" s="46">
        <v>916</v>
      </c>
      <c r="J20" s="47">
        <f t="shared" si="3"/>
        <v>100</v>
      </c>
      <c r="K20" s="118"/>
      <c r="L20" s="119" t="s">
        <v>293</v>
      </c>
      <c r="M20" s="120" t="s">
        <v>298</v>
      </c>
    </row>
    <row r="21" spans="1:13" ht="21" customHeight="1" x14ac:dyDescent="0.15">
      <c r="A21" s="130">
        <v>39004020</v>
      </c>
      <c r="B21" s="46">
        <v>1</v>
      </c>
      <c r="C21" s="46">
        <v>100</v>
      </c>
      <c r="D21" s="46">
        <v>100</v>
      </c>
      <c r="E21" s="46">
        <v>100</v>
      </c>
      <c r="F21" s="46" t="s">
        <v>53</v>
      </c>
      <c r="G21" s="46">
        <v>1</v>
      </c>
      <c r="H21" s="46">
        <v>1</v>
      </c>
      <c r="I21" s="46">
        <v>917</v>
      </c>
      <c r="J21" s="47">
        <f t="shared" si="3"/>
        <v>100</v>
      </c>
      <c r="K21" s="118"/>
      <c r="L21" s="119" t="s">
        <v>293</v>
      </c>
      <c r="M21" s="120" t="s">
        <v>298</v>
      </c>
    </row>
    <row r="22" spans="1:13" ht="21" customHeight="1" x14ac:dyDescent="0.15">
      <c r="A22" s="130">
        <v>39004021</v>
      </c>
      <c r="B22" s="46">
        <v>1</v>
      </c>
      <c r="C22" s="46">
        <v>100</v>
      </c>
      <c r="D22" s="46">
        <v>100</v>
      </c>
      <c r="E22" s="46">
        <v>100</v>
      </c>
      <c r="F22" s="46" t="s">
        <v>53</v>
      </c>
      <c r="G22" s="46">
        <v>1</v>
      </c>
      <c r="H22" s="46">
        <v>1</v>
      </c>
      <c r="I22" s="46">
        <v>918</v>
      </c>
      <c r="J22" s="47">
        <f t="shared" si="3"/>
        <v>100</v>
      </c>
      <c r="K22" s="118"/>
      <c r="L22" s="119" t="s">
        <v>293</v>
      </c>
      <c r="M22" s="120" t="s">
        <v>298</v>
      </c>
    </row>
    <row r="23" spans="1:13" ht="21" customHeight="1" x14ac:dyDescent="0.15">
      <c r="A23" s="130">
        <v>39004022</v>
      </c>
      <c r="B23" s="46">
        <v>1</v>
      </c>
      <c r="C23" s="46">
        <v>100</v>
      </c>
      <c r="D23" s="46">
        <v>100</v>
      </c>
      <c r="E23" s="46">
        <v>100</v>
      </c>
      <c r="F23" s="46" t="s">
        <v>53</v>
      </c>
      <c r="G23" s="46">
        <v>1</v>
      </c>
      <c r="H23" s="46">
        <v>1</v>
      </c>
      <c r="I23" s="46">
        <v>919</v>
      </c>
      <c r="J23" s="47">
        <f t="shared" si="3"/>
        <v>100</v>
      </c>
      <c r="K23" s="118"/>
      <c r="L23" s="119" t="s">
        <v>293</v>
      </c>
      <c r="M23" s="120" t="s">
        <v>298</v>
      </c>
    </row>
    <row r="24" spans="1:13" ht="21" customHeight="1" x14ac:dyDescent="0.15">
      <c r="A24" s="130">
        <v>39004023</v>
      </c>
      <c r="B24" s="46">
        <v>1</v>
      </c>
      <c r="C24" s="46">
        <v>100</v>
      </c>
      <c r="D24" s="46">
        <v>100</v>
      </c>
      <c r="E24" s="46">
        <v>100</v>
      </c>
      <c r="F24" s="46" t="s">
        <v>53</v>
      </c>
      <c r="G24" s="46">
        <v>1</v>
      </c>
      <c r="H24" s="46">
        <v>1</v>
      </c>
      <c r="I24" s="46">
        <v>920</v>
      </c>
      <c r="J24" s="47">
        <f t="shared" si="3"/>
        <v>100</v>
      </c>
      <c r="K24" s="118"/>
      <c r="L24" s="119" t="s">
        <v>293</v>
      </c>
      <c r="M24" s="120" t="s">
        <v>298</v>
      </c>
    </row>
    <row r="25" spans="1:13" ht="21" customHeight="1" x14ac:dyDescent="0.15">
      <c r="A25" s="130">
        <v>39004024</v>
      </c>
      <c r="B25" s="46">
        <v>1</v>
      </c>
      <c r="C25" s="46">
        <v>100</v>
      </c>
      <c r="D25" s="46">
        <v>100</v>
      </c>
      <c r="E25" s="46">
        <v>100</v>
      </c>
      <c r="F25" s="46" t="s">
        <v>53</v>
      </c>
      <c r="G25" s="46">
        <v>1</v>
      </c>
      <c r="H25" s="46">
        <v>1</v>
      </c>
      <c r="I25" s="46">
        <v>921</v>
      </c>
      <c r="J25" s="47">
        <f t="shared" si="3"/>
        <v>100</v>
      </c>
      <c r="K25" s="118"/>
      <c r="L25" s="119" t="s">
        <v>293</v>
      </c>
      <c r="M25" s="120" t="s">
        <v>298</v>
      </c>
    </row>
    <row r="26" spans="1:13" ht="21" customHeight="1" x14ac:dyDescent="0.15">
      <c r="A26" s="130">
        <v>39004025</v>
      </c>
      <c r="B26" s="46">
        <v>1</v>
      </c>
      <c r="C26" s="46">
        <v>100</v>
      </c>
      <c r="D26" s="46">
        <v>100</v>
      </c>
      <c r="E26" s="46">
        <v>100</v>
      </c>
      <c r="F26" s="46" t="s">
        <v>53</v>
      </c>
      <c r="G26" s="46">
        <v>1</v>
      </c>
      <c r="H26" s="46">
        <v>1</v>
      </c>
      <c r="I26" s="46">
        <v>922</v>
      </c>
      <c r="J26" s="47">
        <f t="shared" ref="J26:J31" si="4">D26</f>
        <v>100</v>
      </c>
      <c r="K26" s="118"/>
      <c r="L26" s="119" t="s">
        <v>293</v>
      </c>
      <c r="M26" s="120" t="s">
        <v>298</v>
      </c>
    </row>
    <row r="27" spans="1:13" ht="21" customHeight="1" x14ac:dyDescent="0.15">
      <c r="A27" s="130">
        <v>39004026</v>
      </c>
      <c r="B27" s="46">
        <v>1</v>
      </c>
      <c r="C27" s="46">
        <v>100</v>
      </c>
      <c r="D27" s="46">
        <v>100</v>
      </c>
      <c r="E27" s="46">
        <v>100</v>
      </c>
      <c r="F27" s="46" t="s">
        <v>53</v>
      </c>
      <c r="G27" s="46">
        <v>1</v>
      </c>
      <c r="H27" s="46">
        <v>1</v>
      </c>
      <c r="I27" s="46">
        <v>923</v>
      </c>
      <c r="J27" s="47">
        <f t="shared" si="4"/>
        <v>100</v>
      </c>
      <c r="K27" s="118"/>
      <c r="L27" s="119" t="s">
        <v>293</v>
      </c>
      <c r="M27" s="120" t="s">
        <v>298</v>
      </c>
    </row>
    <row r="28" spans="1:13" ht="21" customHeight="1" x14ac:dyDescent="0.15">
      <c r="A28" s="130">
        <v>39004027</v>
      </c>
      <c r="B28" s="46">
        <v>1</v>
      </c>
      <c r="C28" s="46">
        <v>100</v>
      </c>
      <c r="D28" s="46">
        <v>100</v>
      </c>
      <c r="E28" s="46">
        <v>100</v>
      </c>
      <c r="F28" s="46" t="s">
        <v>53</v>
      </c>
      <c r="G28" s="46">
        <v>1</v>
      </c>
      <c r="H28" s="46">
        <v>1</v>
      </c>
      <c r="I28" s="46">
        <v>924</v>
      </c>
      <c r="J28" s="47">
        <f t="shared" si="4"/>
        <v>100</v>
      </c>
      <c r="K28" s="118"/>
      <c r="L28" s="119" t="s">
        <v>293</v>
      </c>
      <c r="M28" s="120" t="s">
        <v>298</v>
      </c>
    </row>
    <row r="29" spans="1:13" ht="21" customHeight="1" x14ac:dyDescent="0.15">
      <c r="A29" s="130">
        <v>39004028</v>
      </c>
      <c r="B29" s="46">
        <v>1</v>
      </c>
      <c r="C29" s="46">
        <v>100</v>
      </c>
      <c r="D29" s="46">
        <v>100</v>
      </c>
      <c r="E29" s="46">
        <v>100</v>
      </c>
      <c r="F29" s="46" t="s">
        <v>53</v>
      </c>
      <c r="G29" s="46">
        <v>1</v>
      </c>
      <c r="H29" s="46">
        <v>1</v>
      </c>
      <c r="I29" s="46">
        <v>925</v>
      </c>
      <c r="J29" s="47">
        <f t="shared" si="4"/>
        <v>100</v>
      </c>
      <c r="K29" s="118"/>
      <c r="L29" s="119" t="s">
        <v>293</v>
      </c>
      <c r="M29" s="120" t="s">
        <v>298</v>
      </c>
    </row>
    <row r="30" spans="1:13" ht="21" customHeight="1" x14ac:dyDescent="0.15">
      <c r="A30" s="130">
        <v>39004029</v>
      </c>
      <c r="B30" s="46">
        <v>1</v>
      </c>
      <c r="C30" s="46">
        <v>100</v>
      </c>
      <c r="D30" s="46">
        <v>100</v>
      </c>
      <c r="E30" s="46">
        <v>100</v>
      </c>
      <c r="F30" s="46" t="s">
        <v>53</v>
      </c>
      <c r="G30" s="46">
        <v>1</v>
      </c>
      <c r="H30" s="46">
        <v>1</v>
      </c>
      <c r="I30" s="46">
        <v>926</v>
      </c>
      <c r="J30" s="47">
        <f t="shared" si="4"/>
        <v>100</v>
      </c>
      <c r="K30" s="118"/>
      <c r="L30" s="119" t="s">
        <v>293</v>
      </c>
      <c r="M30" s="120" t="s">
        <v>298</v>
      </c>
    </row>
    <row r="31" spans="1:13" ht="21" customHeight="1" x14ac:dyDescent="0.15">
      <c r="A31" s="130">
        <v>39004030</v>
      </c>
      <c r="B31" s="46">
        <v>1</v>
      </c>
      <c r="C31" s="46">
        <v>100</v>
      </c>
      <c r="D31" s="46">
        <v>100</v>
      </c>
      <c r="E31" s="46">
        <v>100</v>
      </c>
      <c r="F31" s="46" t="s">
        <v>53</v>
      </c>
      <c r="G31" s="46">
        <v>1</v>
      </c>
      <c r="H31" s="46">
        <v>1</v>
      </c>
      <c r="I31" s="46">
        <v>927</v>
      </c>
      <c r="J31" s="47">
        <f t="shared" si="4"/>
        <v>100</v>
      </c>
      <c r="K31" s="118"/>
      <c r="L31" s="119" t="s">
        <v>293</v>
      </c>
      <c r="M31" s="120" t="s">
        <v>298</v>
      </c>
    </row>
    <row r="32" spans="1:13" ht="21" customHeight="1" x14ac:dyDescent="0.15">
      <c r="A32" s="130">
        <v>39004031</v>
      </c>
      <c r="B32" s="46">
        <v>1</v>
      </c>
      <c r="C32" s="46">
        <v>100</v>
      </c>
      <c r="D32" s="46">
        <v>100</v>
      </c>
      <c r="E32" s="46">
        <v>100</v>
      </c>
      <c r="F32" s="46" t="s">
        <v>53</v>
      </c>
      <c r="G32" s="46">
        <v>1</v>
      </c>
      <c r="H32" s="46">
        <v>1</v>
      </c>
      <c r="I32" s="46">
        <v>928</v>
      </c>
      <c r="J32" s="47">
        <f t="shared" ref="J32" si="5">D32</f>
        <v>100</v>
      </c>
      <c r="K32" s="118"/>
      <c r="L32" s="119" t="s">
        <v>293</v>
      </c>
      <c r="M32" s="120" t="s">
        <v>298</v>
      </c>
    </row>
    <row r="33" spans="1:13" ht="21" customHeight="1" x14ac:dyDescent="0.15">
      <c r="A33" s="130">
        <v>39004032</v>
      </c>
      <c r="B33" s="46">
        <v>0</v>
      </c>
      <c r="C33" s="46">
        <v>90</v>
      </c>
      <c r="D33" s="46">
        <v>100</v>
      </c>
      <c r="E33" s="46">
        <v>100</v>
      </c>
      <c r="F33" s="46" t="s">
        <v>53</v>
      </c>
      <c r="G33" s="46">
        <v>0</v>
      </c>
      <c r="H33" s="46" t="s">
        <v>53</v>
      </c>
      <c r="I33" s="46" t="s">
        <v>53</v>
      </c>
      <c r="J33" s="47">
        <f t="shared" ref="J33:J51" si="6">D33</f>
        <v>100</v>
      </c>
      <c r="K33" s="118"/>
      <c r="L33" s="119" t="s">
        <v>234</v>
      </c>
      <c r="M33" s="120" t="s">
        <v>301</v>
      </c>
    </row>
    <row r="34" spans="1:13" ht="21" customHeight="1" x14ac:dyDescent="0.15">
      <c r="A34" s="130">
        <v>39004033</v>
      </c>
      <c r="B34" s="46">
        <v>0</v>
      </c>
      <c r="C34" s="46" t="s">
        <v>53</v>
      </c>
      <c r="D34" s="46">
        <v>100</v>
      </c>
      <c r="E34" s="46">
        <v>100</v>
      </c>
      <c r="F34" s="46" t="s">
        <v>53</v>
      </c>
      <c r="G34" s="46">
        <v>0</v>
      </c>
      <c r="H34" s="46" t="s">
        <v>53</v>
      </c>
      <c r="I34" s="46">
        <v>0</v>
      </c>
      <c r="J34" s="47">
        <f t="shared" si="6"/>
        <v>100</v>
      </c>
      <c r="K34" s="118"/>
      <c r="L34" s="119" t="s">
        <v>236</v>
      </c>
      <c r="M34" s="120" t="s">
        <v>300</v>
      </c>
    </row>
    <row r="35" spans="1:13" ht="21" customHeight="1" x14ac:dyDescent="0.15">
      <c r="A35" s="132">
        <v>39004034</v>
      </c>
      <c r="B35" s="46">
        <v>1</v>
      </c>
      <c r="C35" s="46">
        <v>100</v>
      </c>
      <c r="D35" s="46">
        <v>100</v>
      </c>
      <c r="E35" s="46">
        <v>100</v>
      </c>
      <c r="F35" s="46" t="s">
        <v>53</v>
      </c>
      <c r="G35" s="46">
        <v>1</v>
      </c>
      <c r="H35" s="46" t="s">
        <v>307</v>
      </c>
      <c r="I35" s="46" t="s">
        <v>53</v>
      </c>
      <c r="J35" s="47">
        <f t="shared" si="6"/>
        <v>100</v>
      </c>
      <c r="K35" s="118"/>
      <c r="L35" s="119" t="s">
        <v>241</v>
      </c>
      <c r="M35" s="120" t="s">
        <v>245</v>
      </c>
    </row>
    <row r="36" spans="1:13" ht="21" customHeight="1" thickBot="1" x14ac:dyDescent="0.2">
      <c r="A36" s="133">
        <v>39004035</v>
      </c>
      <c r="B36" s="121">
        <v>0</v>
      </c>
      <c r="C36" s="121">
        <v>100</v>
      </c>
      <c r="D36" s="121">
        <v>50</v>
      </c>
      <c r="E36" s="121">
        <v>100</v>
      </c>
      <c r="F36" s="121" t="s">
        <v>53</v>
      </c>
      <c r="G36" s="121" t="s">
        <v>89</v>
      </c>
      <c r="H36" s="121" t="s">
        <v>53</v>
      </c>
      <c r="I36" s="121" t="s">
        <v>53</v>
      </c>
      <c r="J36" s="122">
        <f t="shared" si="6"/>
        <v>50</v>
      </c>
      <c r="K36" s="123"/>
      <c r="L36" s="124" t="s">
        <v>242</v>
      </c>
      <c r="M36" s="125" t="s">
        <v>248</v>
      </c>
    </row>
    <row r="37" spans="1:13" ht="21" customHeight="1" x14ac:dyDescent="0.15">
      <c r="A37" s="134">
        <v>39004036</v>
      </c>
      <c r="B37" s="112">
        <v>0</v>
      </c>
      <c r="C37" s="112">
        <v>100</v>
      </c>
      <c r="D37" s="112">
        <v>50</v>
      </c>
      <c r="E37" s="112">
        <v>100</v>
      </c>
      <c r="F37" s="112" t="s">
        <v>53</v>
      </c>
      <c r="G37" s="112" t="s">
        <v>89</v>
      </c>
      <c r="H37" s="112" t="s">
        <v>53</v>
      </c>
      <c r="I37" s="112" t="s">
        <v>53</v>
      </c>
      <c r="J37" s="113">
        <f t="shared" si="6"/>
        <v>50</v>
      </c>
      <c r="K37" s="114"/>
      <c r="L37" s="115" t="s">
        <v>252</v>
      </c>
      <c r="M37" s="116" t="s">
        <v>250</v>
      </c>
    </row>
    <row r="38" spans="1:13" ht="21" customHeight="1" x14ac:dyDescent="0.15">
      <c r="A38" s="131">
        <v>39004037</v>
      </c>
      <c r="B38" s="46">
        <v>0</v>
      </c>
      <c r="C38" s="46">
        <v>100</v>
      </c>
      <c r="D38" s="46">
        <v>100</v>
      </c>
      <c r="E38" s="46">
        <v>100</v>
      </c>
      <c r="F38" s="46" t="s">
        <v>53</v>
      </c>
      <c r="G38" s="46" t="s">
        <v>53</v>
      </c>
      <c r="H38" s="46">
        <v>3</v>
      </c>
      <c r="I38" s="46" t="s">
        <v>53</v>
      </c>
      <c r="J38" s="47">
        <f t="shared" si="6"/>
        <v>100</v>
      </c>
      <c r="K38" s="118"/>
      <c r="L38" s="119" t="s">
        <v>255</v>
      </c>
      <c r="M38" s="120" t="s">
        <v>254</v>
      </c>
    </row>
    <row r="39" spans="1:13" ht="21" customHeight="1" x14ac:dyDescent="0.15">
      <c r="A39" s="126">
        <v>39004038</v>
      </c>
      <c r="B39" s="46">
        <v>1</v>
      </c>
      <c r="C39" s="46">
        <v>100</v>
      </c>
      <c r="D39" s="46">
        <v>100</v>
      </c>
      <c r="E39" s="46">
        <v>100</v>
      </c>
      <c r="F39" s="46" t="s">
        <v>53</v>
      </c>
      <c r="G39" s="46">
        <v>1</v>
      </c>
      <c r="H39" s="46" t="s">
        <v>53</v>
      </c>
      <c r="I39" s="46" t="s">
        <v>53</v>
      </c>
      <c r="J39" s="47">
        <f t="shared" si="6"/>
        <v>100</v>
      </c>
      <c r="K39" s="118"/>
      <c r="L39" s="119" t="s">
        <v>259</v>
      </c>
      <c r="M39" s="120" t="s">
        <v>257</v>
      </c>
    </row>
    <row r="40" spans="1:13" ht="21" customHeight="1" x14ac:dyDescent="0.15">
      <c r="A40" s="126">
        <v>39004039</v>
      </c>
      <c r="B40" s="46">
        <v>0</v>
      </c>
      <c r="C40" s="46">
        <v>90</v>
      </c>
      <c r="D40" s="46">
        <v>25</v>
      </c>
      <c r="E40" s="46">
        <v>100</v>
      </c>
      <c r="F40" s="46" t="s">
        <v>53</v>
      </c>
      <c r="G40" s="46" t="s">
        <v>53</v>
      </c>
      <c r="H40" s="46" t="s">
        <v>53</v>
      </c>
      <c r="I40" s="46" t="s">
        <v>53</v>
      </c>
      <c r="J40" s="47">
        <f t="shared" si="6"/>
        <v>25</v>
      </c>
      <c r="K40" s="118"/>
      <c r="L40" s="119" t="s">
        <v>285</v>
      </c>
      <c r="M40" s="120" t="s">
        <v>262</v>
      </c>
    </row>
    <row r="41" spans="1:13" ht="21" customHeight="1" thickBot="1" x14ac:dyDescent="0.2">
      <c r="A41" s="127">
        <v>39004040</v>
      </c>
      <c r="B41" s="121">
        <v>0</v>
      </c>
      <c r="C41" s="121">
        <v>90</v>
      </c>
      <c r="D41" s="121">
        <v>25</v>
      </c>
      <c r="E41" s="121">
        <v>100</v>
      </c>
      <c r="F41" s="121" t="s">
        <v>53</v>
      </c>
      <c r="G41" s="121" t="s">
        <v>53</v>
      </c>
      <c r="H41" s="121" t="s">
        <v>53</v>
      </c>
      <c r="I41" s="121" t="s">
        <v>53</v>
      </c>
      <c r="J41" s="122">
        <f t="shared" si="6"/>
        <v>25</v>
      </c>
      <c r="K41" s="123"/>
      <c r="L41" s="124" t="s">
        <v>286</v>
      </c>
      <c r="M41" s="125" t="s">
        <v>263</v>
      </c>
    </row>
    <row r="42" spans="1:13" ht="21" customHeight="1" x14ac:dyDescent="0.15">
      <c r="A42" s="111">
        <v>39004041</v>
      </c>
      <c r="B42" s="112">
        <v>1</v>
      </c>
      <c r="C42" s="112">
        <v>100</v>
      </c>
      <c r="D42" s="112">
        <v>100</v>
      </c>
      <c r="E42" s="112">
        <v>100</v>
      </c>
      <c r="F42" s="112" t="s">
        <v>53</v>
      </c>
      <c r="G42" s="112">
        <v>1</v>
      </c>
      <c r="H42" s="112" t="s">
        <v>53</v>
      </c>
      <c r="I42" s="112" t="s">
        <v>53</v>
      </c>
      <c r="J42" s="113">
        <f t="shared" si="6"/>
        <v>100</v>
      </c>
      <c r="K42" s="114"/>
      <c r="L42" s="115" t="s">
        <v>264</v>
      </c>
      <c r="M42" s="116" t="s">
        <v>265</v>
      </c>
    </row>
    <row r="43" spans="1:13" ht="21" customHeight="1" x14ac:dyDescent="0.15">
      <c r="A43" s="117">
        <v>39004042</v>
      </c>
      <c r="B43" s="46">
        <v>0</v>
      </c>
      <c r="C43" s="46">
        <v>80</v>
      </c>
      <c r="D43" s="46">
        <v>100</v>
      </c>
      <c r="E43" s="46">
        <v>100</v>
      </c>
      <c r="F43" s="46" t="s">
        <v>53</v>
      </c>
      <c r="G43" s="46" t="s">
        <v>53</v>
      </c>
      <c r="H43" s="46" t="s">
        <v>53</v>
      </c>
      <c r="I43" s="46" t="s">
        <v>53</v>
      </c>
      <c r="J43" s="47">
        <f t="shared" si="6"/>
        <v>100</v>
      </c>
      <c r="K43" s="118"/>
      <c r="L43" s="119" t="s">
        <v>269</v>
      </c>
      <c r="M43" s="120" t="s">
        <v>248</v>
      </c>
    </row>
    <row r="44" spans="1:13" ht="21" customHeight="1" x14ac:dyDescent="0.15">
      <c r="A44" s="117">
        <v>39004043</v>
      </c>
      <c r="B44" s="46">
        <v>0</v>
      </c>
      <c r="C44" s="46">
        <v>90</v>
      </c>
      <c r="D44" s="46">
        <v>30</v>
      </c>
      <c r="E44" s="46">
        <v>100</v>
      </c>
      <c r="F44" s="46" t="s">
        <v>53</v>
      </c>
      <c r="G44" s="46" t="s">
        <v>53</v>
      </c>
      <c r="H44" s="46" t="s">
        <v>53</v>
      </c>
      <c r="I44" s="46">
        <v>0</v>
      </c>
      <c r="J44" s="47">
        <f t="shared" si="6"/>
        <v>30</v>
      </c>
      <c r="K44" s="118"/>
      <c r="L44" s="119" t="s">
        <v>295</v>
      </c>
      <c r="M44" s="120" t="s">
        <v>265</v>
      </c>
    </row>
    <row r="45" spans="1:13" ht="21" customHeight="1" x14ac:dyDescent="0.15">
      <c r="A45" s="117">
        <v>39004044</v>
      </c>
      <c r="B45" s="46">
        <v>0</v>
      </c>
      <c r="C45" s="46">
        <v>70</v>
      </c>
      <c r="D45" s="46">
        <v>100</v>
      </c>
      <c r="E45" s="46">
        <v>100</v>
      </c>
      <c r="F45" s="46" t="s">
        <v>224</v>
      </c>
      <c r="G45" s="46" t="s">
        <v>53</v>
      </c>
      <c r="H45" s="46">
        <v>2</v>
      </c>
      <c r="I45" s="46" t="s">
        <v>53</v>
      </c>
      <c r="J45" s="47">
        <f t="shared" si="6"/>
        <v>100</v>
      </c>
      <c r="K45" s="118"/>
      <c r="L45" s="119" t="s">
        <v>270</v>
      </c>
      <c r="M45" s="120" t="s">
        <v>271</v>
      </c>
    </row>
    <row r="46" spans="1:13" ht="21" customHeight="1" x14ac:dyDescent="0.15">
      <c r="A46" s="132">
        <v>39004045</v>
      </c>
      <c r="B46" s="46">
        <v>1</v>
      </c>
      <c r="C46" s="46">
        <v>100</v>
      </c>
      <c r="D46" s="46">
        <v>100</v>
      </c>
      <c r="E46" s="46">
        <v>100</v>
      </c>
      <c r="F46" s="46" t="s">
        <v>53</v>
      </c>
      <c r="G46" s="46">
        <v>1</v>
      </c>
      <c r="H46" s="46" t="s">
        <v>53</v>
      </c>
      <c r="I46" s="46" t="s">
        <v>53</v>
      </c>
      <c r="J46" s="47">
        <f t="shared" si="6"/>
        <v>100</v>
      </c>
      <c r="K46" s="118"/>
      <c r="L46" s="119" t="s">
        <v>274</v>
      </c>
      <c r="M46" s="120" t="s">
        <v>275</v>
      </c>
    </row>
    <row r="47" spans="1:13" ht="21" customHeight="1" x14ac:dyDescent="0.15">
      <c r="A47" s="132">
        <v>39004046</v>
      </c>
      <c r="B47" s="46">
        <v>0</v>
      </c>
      <c r="C47" s="46">
        <v>60</v>
      </c>
      <c r="D47" s="46">
        <v>50</v>
      </c>
      <c r="E47" s="46">
        <v>100</v>
      </c>
      <c r="F47" s="46" t="s">
        <v>53</v>
      </c>
      <c r="G47" s="46" t="s">
        <v>53</v>
      </c>
      <c r="H47" s="46" t="s">
        <v>53</v>
      </c>
      <c r="I47" s="46" t="s">
        <v>53</v>
      </c>
      <c r="J47" s="47">
        <f t="shared" si="6"/>
        <v>50</v>
      </c>
      <c r="K47" s="118"/>
      <c r="L47" s="119" t="s">
        <v>276</v>
      </c>
      <c r="M47" s="120" t="s">
        <v>297</v>
      </c>
    </row>
    <row r="48" spans="1:13" ht="21" customHeight="1" x14ac:dyDescent="0.15">
      <c r="A48" s="132">
        <v>39004047</v>
      </c>
      <c r="B48" s="46">
        <v>0</v>
      </c>
      <c r="C48" s="46">
        <v>70</v>
      </c>
      <c r="D48" s="46">
        <v>40</v>
      </c>
      <c r="E48" s="46">
        <v>100</v>
      </c>
      <c r="F48" s="46" t="s">
        <v>53</v>
      </c>
      <c r="G48" s="46" t="s">
        <v>308</v>
      </c>
      <c r="H48" s="46" t="s">
        <v>53</v>
      </c>
      <c r="I48" s="46" t="s">
        <v>53</v>
      </c>
      <c r="J48" s="47">
        <f t="shared" si="6"/>
        <v>40</v>
      </c>
      <c r="K48" s="118"/>
      <c r="L48" s="119" t="s">
        <v>277</v>
      </c>
      <c r="M48" s="120" t="s">
        <v>304</v>
      </c>
    </row>
    <row r="49" spans="1:13" ht="21" customHeight="1" x14ac:dyDescent="0.15">
      <c r="A49" s="132">
        <v>39004048</v>
      </c>
      <c r="B49" s="46">
        <v>0</v>
      </c>
      <c r="C49" s="46">
        <v>80</v>
      </c>
      <c r="D49" s="46">
        <v>100</v>
      </c>
      <c r="E49" s="46">
        <v>50</v>
      </c>
      <c r="F49" s="46" t="s">
        <v>53</v>
      </c>
      <c r="G49" s="46">
        <v>1</v>
      </c>
      <c r="H49" s="46" t="s">
        <v>53</v>
      </c>
      <c r="I49" s="46" t="s">
        <v>53</v>
      </c>
      <c r="J49" s="47">
        <f t="shared" si="6"/>
        <v>100</v>
      </c>
      <c r="K49" s="118"/>
      <c r="L49" s="119" t="s">
        <v>278</v>
      </c>
      <c r="M49" s="120" t="s">
        <v>303</v>
      </c>
    </row>
    <row r="50" spans="1:13" ht="21" customHeight="1" x14ac:dyDescent="0.15">
      <c r="A50" s="132">
        <v>39004049</v>
      </c>
      <c r="B50" s="46">
        <v>0</v>
      </c>
      <c r="C50" s="46">
        <v>90</v>
      </c>
      <c r="D50" s="46">
        <v>100</v>
      </c>
      <c r="E50" s="46">
        <v>30</v>
      </c>
      <c r="F50" s="46" t="s">
        <v>53</v>
      </c>
      <c r="G50" s="46">
        <v>1</v>
      </c>
      <c r="H50" s="46" t="s">
        <v>306</v>
      </c>
      <c r="I50" s="46" t="s">
        <v>53</v>
      </c>
      <c r="J50" s="47">
        <f t="shared" si="6"/>
        <v>100</v>
      </c>
      <c r="K50" s="118"/>
      <c r="L50" s="119" t="s">
        <v>279</v>
      </c>
      <c r="M50" s="120" t="s">
        <v>280</v>
      </c>
    </row>
    <row r="51" spans="1:13" ht="21" customHeight="1" thickBot="1" x14ac:dyDescent="0.2">
      <c r="A51" s="133">
        <v>39004050</v>
      </c>
      <c r="B51" s="121">
        <v>0</v>
      </c>
      <c r="C51" s="121" t="s">
        <v>53</v>
      </c>
      <c r="D51" s="121">
        <v>100</v>
      </c>
      <c r="E51" s="121">
        <v>100</v>
      </c>
      <c r="F51" s="121" t="s">
        <v>53</v>
      </c>
      <c r="G51" s="121">
        <v>0</v>
      </c>
      <c r="H51" s="121" t="s">
        <v>53</v>
      </c>
      <c r="I51" s="121">
        <v>0</v>
      </c>
      <c r="J51" s="122">
        <f t="shared" si="6"/>
        <v>100</v>
      </c>
      <c r="K51" s="123"/>
      <c r="L51" s="124" t="s">
        <v>289</v>
      </c>
      <c r="M51" s="125" t="s">
        <v>287</v>
      </c>
    </row>
  </sheetData>
  <autoFilter ref="A1:G1"/>
  <phoneticPr fontId="5"/>
  <conditionalFormatting sqref="K38:K1048576 K1:K9 K11:K18">
    <cfRule type="duplicateValues" dxfId="8" priority="9"/>
  </conditionalFormatting>
  <conditionalFormatting sqref="K19:K25">
    <cfRule type="duplicateValues" dxfId="7" priority="8"/>
  </conditionalFormatting>
  <conditionalFormatting sqref="K26:K31">
    <cfRule type="duplicateValues" dxfId="6" priority="11"/>
  </conditionalFormatting>
  <conditionalFormatting sqref="K32">
    <cfRule type="duplicateValues" dxfId="5" priority="6"/>
  </conditionalFormatting>
  <conditionalFormatting sqref="K10">
    <cfRule type="duplicateValues" dxfId="4" priority="5"/>
  </conditionalFormatting>
  <conditionalFormatting sqref="K33">
    <cfRule type="duplicateValues" dxfId="3" priority="4"/>
  </conditionalFormatting>
  <conditionalFormatting sqref="K34:K35">
    <cfRule type="duplicateValues" dxfId="2" priority="3"/>
  </conditionalFormatting>
  <conditionalFormatting sqref="K36">
    <cfRule type="duplicateValues" dxfId="1" priority="2"/>
  </conditionalFormatting>
  <conditionalFormatting sqref="K37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U51"/>
  <sheetViews>
    <sheetView topLeftCell="B1" workbookViewId="0">
      <selection activeCell="I19" sqref="I19"/>
    </sheetView>
  </sheetViews>
  <sheetFormatPr baseColWidth="12" defaultRowHeight="15" x14ac:dyDescent="0.15"/>
  <cols>
    <col min="17" max="18" width="19" bestFit="1" customWidth="1"/>
    <col min="19" max="19" width="19.83203125" customWidth="1"/>
  </cols>
  <sheetData>
    <row r="1" spans="1:21" ht="16" thickBot="1" x14ac:dyDescent="0.2">
      <c r="A1" s="64" t="s">
        <v>151</v>
      </c>
      <c r="B1" s="64" t="s">
        <v>152</v>
      </c>
      <c r="C1" s="65" t="s">
        <v>153</v>
      </c>
      <c r="D1" s="72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150" t="s">
        <v>168</v>
      </c>
      <c r="S1" s="161"/>
      <c r="T1" s="160" t="s">
        <v>391</v>
      </c>
      <c r="U1" s="161" t="s">
        <v>392</v>
      </c>
    </row>
    <row r="2" spans="1:21" x14ac:dyDescent="0.15">
      <c r="A2" s="100">
        <v>39004</v>
      </c>
      <c r="B2" s="82">
        <v>1</v>
      </c>
      <c r="C2" s="71" t="str">
        <f>A2&amp; "_"&amp;B2</f>
        <v>39004_1</v>
      </c>
      <c r="D2" s="17" t="str">
        <f ca="1">VLOOKUP($C2,OFFSET([2]stages!$A$1,0,0,COUNTA([2]stages!$A:$A),MATCH(D$1,[2]stages!$2:$2,0)-MATCH($C$1,[2]stages!$2:$2,0)+1),MATCH(D$1,[2]stages!$2:$2,0)-MATCH($C$1,[2]stages!$2:$2,0)+1,FALSE)</f>
        <v>everyone</v>
      </c>
      <c r="E2" s="82">
        <v>1</v>
      </c>
      <c r="F2" s="82" t="s">
        <v>169</v>
      </c>
      <c r="G2" s="82">
        <v>1700</v>
      </c>
      <c r="H2" s="82" t="s">
        <v>213</v>
      </c>
      <c r="I2" s="82">
        <v>1</v>
      </c>
      <c r="J2" s="82">
        <v>1</v>
      </c>
      <c r="K2" s="82">
        <v>0</v>
      </c>
      <c r="L2" s="82">
        <v>0</v>
      </c>
      <c r="M2" s="82">
        <v>0</v>
      </c>
      <c r="N2" s="82">
        <v>0</v>
      </c>
      <c r="O2" s="82">
        <v>1</v>
      </c>
      <c r="P2" s="82">
        <v>250</v>
      </c>
      <c r="Q2" s="82" t="s">
        <v>170</v>
      </c>
      <c r="R2" s="151" t="s">
        <v>171</v>
      </c>
      <c r="T2" s="157">
        <f>P2/SUM(P$2:P$13)</f>
        <v>0.16722408026755853</v>
      </c>
      <c r="U2" t="str">
        <f>IF($F2="unit",VLOOKUP($G2,[4]characters!$A:$C,3,),($G2&amp;$F2))</f>
        <v>1700bit</v>
      </c>
    </row>
    <row r="3" spans="1:21" x14ac:dyDescent="0.15">
      <c r="A3" s="100">
        <v>39004</v>
      </c>
      <c r="B3" s="82">
        <v>1</v>
      </c>
      <c r="C3" s="71" t="str">
        <f t="shared" ref="C3:C49" si="0">A3&amp; "_"&amp;B3</f>
        <v>39004_1</v>
      </c>
      <c r="D3" s="17" t="str">
        <f ca="1">VLOOKUP($C3,OFFSET([2]stages!$A$1,0,0,COUNTA([2]stages!$A:$A),MATCH(D$1,[2]stages!$2:$2,0)-MATCH($C$1,[2]stages!$2:$2,0)+1),MATCH(D$1,[2]stages!$2:$2,0)-MATCH($C$1,[2]stages!$2:$2,0)+1,FALSE)</f>
        <v>everyone</v>
      </c>
      <c r="E3" s="82">
        <v>2</v>
      </c>
      <c r="F3" s="82" t="s">
        <v>214</v>
      </c>
      <c r="G3" s="82">
        <v>20</v>
      </c>
      <c r="H3" s="82" t="s">
        <v>213</v>
      </c>
      <c r="I3" s="82">
        <v>1</v>
      </c>
      <c r="J3" s="82">
        <v>1</v>
      </c>
      <c r="K3" s="82">
        <v>0</v>
      </c>
      <c r="L3" s="82">
        <v>0</v>
      </c>
      <c r="M3" s="82">
        <v>0</v>
      </c>
      <c r="N3" s="82">
        <v>0</v>
      </c>
      <c r="O3" s="82">
        <v>1</v>
      </c>
      <c r="P3" s="82">
        <v>250</v>
      </c>
      <c r="Q3" s="82" t="s">
        <v>170</v>
      </c>
      <c r="R3" s="151" t="s">
        <v>171</v>
      </c>
      <c r="T3" s="158">
        <f t="shared" ref="T3:T13" si="1">P3/SUM(P$2:P$13)</f>
        <v>0.16722408026755853</v>
      </c>
      <c r="U3" t="str">
        <f>IF($F3="unit",VLOOKUP($G3,[4]characters!$A:$C,3,),($G3&amp;$F3))</f>
        <v>20link</v>
      </c>
    </row>
    <row r="4" spans="1:21" x14ac:dyDescent="0.15">
      <c r="A4" s="100">
        <v>39004</v>
      </c>
      <c r="B4" s="82">
        <v>1</v>
      </c>
      <c r="C4" s="71" t="str">
        <f t="shared" si="0"/>
        <v>39004_1</v>
      </c>
      <c r="D4" s="17" t="str">
        <f ca="1">VLOOKUP($C4,OFFSET([2]stages!$A$1,0,0,COUNTA([2]stages!$A:$A),MATCH(D$1,[2]stages!$2:$2,0)-MATCH($C$1,[2]stages!$2:$2,0)+1),MATCH(D$1,[2]stages!$2:$2,0)-MATCH($C$1,[2]stages!$2:$2,0)+1,FALSE)</f>
        <v>everyone</v>
      </c>
      <c r="E4" s="82">
        <v>3</v>
      </c>
      <c r="F4" s="82" t="s">
        <v>215</v>
      </c>
      <c r="G4" s="82">
        <v>344</v>
      </c>
      <c r="H4" s="82">
        <v>1</v>
      </c>
      <c r="I4" s="82">
        <v>1</v>
      </c>
      <c r="J4" s="82">
        <v>1</v>
      </c>
      <c r="K4" s="82">
        <v>0</v>
      </c>
      <c r="L4" s="82">
        <v>0</v>
      </c>
      <c r="M4" s="82">
        <v>0</v>
      </c>
      <c r="N4" s="82">
        <v>0</v>
      </c>
      <c r="O4" s="82">
        <v>1</v>
      </c>
      <c r="P4" s="82">
        <v>150</v>
      </c>
      <c r="Q4" s="82" t="s">
        <v>170</v>
      </c>
      <c r="R4" s="151" t="s">
        <v>171</v>
      </c>
      <c r="T4" s="158">
        <f t="shared" si="1"/>
        <v>0.10033444816053512</v>
      </c>
      <c r="U4" t="str">
        <f>IF($F4="unit",VLOOKUP($G4,[4]characters!$A:$C,3,),($G4&amp;$F4))</f>
        <v>雷のメタルピヨピヨ</v>
      </c>
    </row>
    <row r="5" spans="1:21" x14ac:dyDescent="0.15">
      <c r="A5" s="100">
        <v>39004</v>
      </c>
      <c r="B5" s="82">
        <v>1</v>
      </c>
      <c r="C5" s="71" t="str">
        <f t="shared" si="0"/>
        <v>39004_1</v>
      </c>
      <c r="D5" s="17" t="str">
        <f ca="1">VLOOKUP($C5,OFFSET([2]stages!$A$1,0,0,COUNTA([2]stages!$A:$A),MATCH(D$1,[2]stages!$2:$2,0)-MATCH($C$1,[2]stages!$2:$2,0)+1),MATCH(D$1,[2]stages!$2:$2,0)-MATCH($C$1,[2]stages!$2:$2,0)+1,FALSE)</f>
        <v>everyone</v>
      </c>
      <c r="E5" s="82">
        <v>4</v>
      </c>
      <c r="F5" s="82" t="s">
        <v>215</v>
      </c>
      <c r="G5" s="82">
        <v>345</v>
      </c>
      <c r="H5" s="82">
        <v>1</v>
      </c>
      <c r="I5" s="82">
        <v>1</v>
      </c>
      <c r="J5" s="82">
        <v>1</v>
      </c>
      <c r="K5" s="82">
        <v>0</v>
      </c>
      <c r="L5" s="82">
        <v>0</v>
      </c>
      <c r="M5" s="82">
        <v>0</v>
      </c>
      <c r="N5" s="82">
        <v>0</v>
      </c>
      <c r="O5" s="82">
        <v>1</v>
      </c>
      <c r="P5" s="82">
        <v>55</v>
      </c>
      <c r="Q5" s="82" t="s">
        <v>170</v>
      </c>
      <c r="R5" s="151" t="s">
        <v>171</v>
      </c>
      <c r="T5" s="158">
        <f t="shared" si="1"/>
        <v>3.678929765886288E-2</v>
      </c>
      <c r="U5" t="str">
        <f>IF($F5="unit",VLOOKUP($G5,[4]characters!$A:$C,3,),($G5&amp;$F5))</f>
        <v>雷のメタルチック</v>
      </c>
    </row>
    <row r="6" spans="1:21" x14ac:dyDescent="0.15">
      <c r="A6" s="100">
        <v>39004</v>
      </c>
      <c r="B6" s="82">
        <v>1</v>
      </c>
      <c r="C6" s="71" t="str">
        <f t="shared" si="0"/>
        <v>39004_1</v>
      </c>
      <c r="D6" s="17" t="str">
        <f ca="1">VLOOKUP($C6,OFFSET([2]stages!$A$1,0,0,COUNTA([2]stages!$A:$A),MATCH(D$1,[2]stages!$2:$2,0)-MATCH($C$1,[2]stages!$2:$2,0)+1),MATCH(D$1,[2]stages!$2:$2,0)-MATCH($C$1,[2]stages!$2:$2,0)+1,FALSE)</f>
        <v>everyone</v>
      </c>
      <c r="E6" s="82">
        <v>5</v>
      </c>
      <c r="F6" s="82" t="s">
        <v>215</v>
      </c>
      <c r="G6" s="82">
        <v>121</v>
      </c>
      <c r="H6" s="82">
        <v>1</v>
      </c>
      <c r="I6" s="82">
        <v>1</v>
      </c>
      <c r="J6" s="82">
        <v>1</v>
      </c>
      <c r="K6" s="82">
        <v>0</v>
      </c>
      <c r="L6" s="82">
        <v>0</v>
      </c>
      <c r="M6" s="82">
        <v>0</v>
      </c>
      <c r="N6" s="82">
        <v>0</v>
      </c>
      <c r="O6" s="82">
        <v>1</v>
      </c>
      <c r="P6" s="82">
        <v>75</v>
      </c>
      <c r="Q6" s="82" t="s">
        <v>170</v>
      </c>
      <c r="R6" s="151" t="s">
        <v>171</v>
      </c>
      <c r="T6" s="158">
        <f t="shared" si="1"/>
        <v>5.016722408026756E-2</v>
      </c>
      <c r="U6" t="str">
        <f>IF($F6="unit",VLOOKUP($G6,[4]characters!$A:$C,3,),($G6&amp;$F6))</f>
        <v>攻めの果実</v>
      </c>
    </row>
    <row r="7" spans="1:21" x14ac:dyDescent="0.15">
      <c r="A7" s="100">
        <v>39004</v>
      </c>
      <c r="B7" s="82">
        <v>1</v>
      </c>
      <c r="C7" s="71" t="str">
        <f t="shared" si="0"/>
        <v>39004_1</v>
      </c>
      <c r="D7" s="17" t="str">
        <f ca="1">VLOOKUP($C7,OFFSET([2]stages!$A$1,0,0,COUNTA([2]stages!$A:$A),MATCH(D$1,[2]stages!$2:$2,0)-MATCH($C$1,[2]stages!$2:$2,0)+1),MATCH(D$1,[2]stages!$2:$2,0)-MATCH($C$1,[2]stages!$2:$2,0)+1,FALSE)</f>
        <v>everyone</v>
      </c>
      <c r="E7" s="82">
        <v>6</v>
      </c>
      <c r="F7" s="82" t="s">
        <v>215</v>
      </c>
      <c r="G7" s="82">
        <v>122</v>
      </c>
      <c r="H7" s="82">
        <v>1</v>
      </c>
      <c r="I7" s="82">
        <v>1</v>
      </c>
      <c r="J7" s="82">
        <v>1</v>
      </c>
      <c r="K7" s="82">
        <v>0</v>
      </c>
      <c r="L7" s="82">
        <v>0</v>
      </c>
      <c r="M7" s="82">
        <v>0</v>
      </c>
      <c r="N7" s="82">
        <v>0</v>
      </c>
      <c r="O7" s="82">
        <v>1</v>
      </c>
      <c r="P7" s="82">
        <v>75</v>
      </c>
      <c r="Q7" s="82" t="s">
        <v>170</v>
      </c>
      <c r="R7" s="151" t="s">
        <v>171</v>
      </c>
      <c r="T7" s="158">
        <f t="shared" si="1"/>
        <v>5.016722408026756E-2</v>
      </c>
      <c r="U7" t="str">
        <f>IF($F7="unit",VLOOKUP($G7,[4]characters!$A:$C,3,),($G7&amp;$F7))</f>
        <v>生命の果実</v>
      </c>
    </row>
    <row r="8" spans="1:21" x14ac:dyDescent="0.15">
      <c r="A8" s="100">
        <v>39004</v>
      </c>
      <c r="B8" s="82">
        <v>1</v>
      </c>
      <c r="C8" s="71" t="str">
        <f t="shared" si="0"/>
        <v>39004_1</v>
      </c>
      <c r="D8" s="17" t="str">
        <f ca="1">VLOOKUP($C8,OFFSET([2]stages!$A$1,0,0,COUNTA([2]stages!$A:$A),MATCH(D$1,[2]stages!$2:$2,0)-MATCH($C$1,[2]stages!$2:$2,0)+1),MATCH(D$1,[2]stages!$2:$2,0)-MATCH($C$1,[2]stages!$2:$2,0)+1,FALSE)</f>
        <v>everyone</v>
      </c>
      <c r="E8" s="82">
        <v>7</v>
      </c>
      <c r="F8" s="82" t="s">
        <v>215</v>
      </c>
      <c r="G8" s="82">
        <v>123</v>
      </c>
      <c r="H8" s="82">
        <v>1</v>
      </c>
      <c r="I8" s="82">
        <v>1</v>
      </c>
      <c r="J8" s="82">
        <v>1</v>
      </c>
      <c r="K8" s="82">
        <v>0</v>
      </c>
      <c r="L8" s="82">
        <v>0</v>
      </c>
      <c r="M8" s="82">
        <v>0</v>
      </c>
      <c r="N8" s="82">
        <v>0</v>
      </c>
      <c r="O8" s="82">
        <v>1</v>
      </c>
      <c r="P8" s="82">
        <v>75</v>
      </c>
      <c r="Q8" s="82" t="s">
        <v>170</v>
      </c>
      <c r="R8" s="151" t="s">
        <v>171</v>
      </c>
      <c r="T8" s="158">
        <f t="shared" si="1"/>
        <v>5.016722408026756E-2</v>
      </c>
      <c r="U8" t="str">
        <f>IF($F8="unit",VLOOKUP($G8,[4]characters!$A:$C,3,),($G8&amp;$F8))</f>
        <v>癒しの果実</v>
      </c>
    </row>
    <row r="9" spans="1:21" x14ac:dyDescent="0.15">
      <c r="A9" s="100">
        <v>39004</v>
      </c>
      <c r="B9" s="82">
        <v>1</v>
      </c>
      <c r="C9" s="71" t="str">
        <f t="shared" si="0"/>
        <v>39004_1</v>
      </c>
      <c r="D9" s="17" t="str">
        <f ca="1">VLOOKUP($C9,OFFSET([2]stages!$A$1,0,0,COUNTA([2]stages!$A:$A),MATCH(D$1,[2]stages!$2:$2,0)-MATCH($C$1,[2]stages!$2:$2,0)+1),MATCH(D$1,[2]stages!$2:$2,0)-MATCH($C$1,[2]stages!$2:$2,0)+1,FALSE)</f>
        <v>everyone</v>
      </c>
      <c r="E9" s="82">
        <v>8</v>
      </c>
      <c r="F9" s="82" t="s">
        <v>215</v>
      </c>
      <c r="G9" s="82">
        <v>125</v>
      </c>
      <c r="H9" s="82">
        <v>1</v>
      </c>
      <c r="I9" s="82">
        <v>1</v>
      </c>
      <c r="J9" s="82">
        <v>1</v>
      </c>
      <c r="K9" s="82">
        <v>0</v>
      </c>
      <c r="L9" s="82">
        <v>0</v>
      </c>
      <c r="M9" s="82">
        <v>0</v>
      </c>
      <c r="N9" s="82">
        <v>0</v>
      </c>
      <c r="O9" s="82">
        <v>1</v>
      </c>
      <c r="P9" s="82">
        <v>15</v>
      </c>
      <c r="Q9" s="82" t="s">
        <v>170</v>
      </c>
      <c r="R9" s="151" t="s">
        <v>171</v>
      </c>
      <c r="T9" s="158">
        <f t="shared" si="1"/>
        <v>1.0033444816053512E-2</v>
      </c>
      <c r="U9" t="str">
        <f>IF($F9="unit",VLOOKUP($G9,[4]characters!$A:$C,3,),($G9&amp;$F9))</f>
        <v>秘術の果実</v>
      </c>
    </row>
    <row r="10" spans="1:21" x14ac:dyDescent="0.15">
      <c r="A10" s="100">
        <v>39004</v>
      </c>
      <c r="B10" s="82">
        <v>1</v>
      </c>
      <c r="C10" s="71" t="str">
        <f t="shared" si="0"/>
        <v>39004_1</v>
      </c>
      <c r="D10" s="17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82">
        <v>9</v>
      </c>
      <c r="F10" s="82" t="s">
        <v>215</v>
      </c>
      <c r="G10" s="101">
        <v>901</v>
      </c>
      <c r="H10" s="82">
        <v>1</v>
      </c>
      <c r="I10" s="82">
        <v>1</v>
      </c>
      <c r="J10" s="82">
        <v>1</v>
      </c>
      <c r="K10" s="82">
        <v>0</v>
      </c>
      <c r="L10" s="82">
        <v>0</v>
      </c>
      <c r="M10" s="82">
        <v>0</v>
      </c>
      <c r="N10" s="82">
        <v>0</v>
      </c>
      <c r="O10" s="82">
        <v>1</v>
      </c>
      <c r="P10" s="82">
        <v>150</v>
      </c>
      <c r="Q10" s="82" t="s">
        <v>170</v>
      </c>
      <c r="R10" s="151" t="s">
        <v>171</v>
      </c>
      <c r="T10" s="158">
        <f t="shared" si="1"/>
        <v>0.10033444816053512</v>
      </c>
      <c r="U10" t="str">
        <f>IF($F10="unit",VLOOKUP($G10,[4]characters!$A:$C,3,),($G10&amp;$F10))</f>
        <v>恩愛性ニムダ</v>
      </c>
    </row>
    <row r="11" spans="1:21" x14ac:dyDescent="0.15">
      <c r="A11" s="100">
        <v>39004</v>
      </c>
      <c r="B11" s="82">
        <v>1</v>
      </c>
      <c r="C11" s="71" t="str">
        <f t="shared" si="0"/>
        <v>39004_1</v>
      </c>
      <c r="D11" s="17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82">
        <v>10</v>
      </c>
      <c r="F11" s="82" t="s">
        <v>215</v>
      </c>
      <c r="G11" s="82">
        <v>354</v>
      </c>
      <c r="H11" s="82">
        <v>1</v>
      </c>
      <c r="I11" s="82">
        <v>1</v>
      </c>
      <c r="J11" s="82">
        <v>1</v>
      </c>
      <c r="K11" s="82">
        <v>0</v>
      </c>
      <c r="L11" s="82">
        <v>0</v>
      </c>
      <c r="M11" s="82">
        <v>0</v>
      </c>
      <c r="N11" s="82">
        <v>0</v>
      </c>
      <c r="O11" s="82">
        <v>1</v>
      </c>
      <c r="P11" s="82">
        <v>100</v>
      </c>
      <c r="Q11" s="82" t="s">
        <v>170</v>
      </c>
      <c r="R11" s="151" t="s">
        <v>171</v>
      </c>
      <c r="T11" s="158">
        <f t="shared" si="1"/>
        <v>6.6889632107023408E-2</v>
      </c>
      <c r="U11" t="str">
        <f>IF($F11="unit",VLOOKUP($G11,[4]characters!$A:$C,3,),($G11&amp;$F11))</f>
        <v>雷のケロケロ</v>
      </c>
    </row>
    <row r="12" spans="1:21" x14ac:dyDescent="0.15">
      <c r="A12" s="100">
        <v>39004</v>
      </c>
      <c r="B12" s="82">
        <v>1</v>
      </c>
      <c r="C12" s="71" t="str">
        <f t="shared" ref="C12:C39" si="2">A12&amp; "_"&amp;B12</f>
        <v>39004_1</v>
      </c>
      <c r="D12" s="17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82">
        <v>11</v>
      </c>
      <c r="F12" s="82" t="s">
        <v>215</v>
      </c>
      <c r="G12" s="82">
        <v>907</v>
      </c>
      <c r="H12" s="82">
        <v>1</v>
      </c>
      <c r="I12" s="82">
        <v>1</v>
      </c>
      <c r="J12" s="82">
        <v>1</v>
      </c>
      <c r="K12" s="82">
        <v>0</v>
      </c>
      <c r="L12" s="82">
        <v>0</v>
      </c>
      <c r="M12" s="82">
        <v>0</v>
      </c>
      <c r="N12" s="82">
        <v>0</v>
      </c>
      <c r="O12" s="82">
        <v>1</v>
      </c>
      <c r="P12" s="82">
        <v>150</v>
      </c>
      <c r="Q12" s="82" t="s">
        <v>170</v>
      </c>
      <c r="R12" s="152" t="s">
        <v>171</v>
      </c>
      <c r="T12" s="158">
        <f t="shared" si="1"/>
        <v>0.10033444816053512</v>
      </c>
      <c r="U12" t="str">
        <f>IF($F12="unit",VLOOKUP($G12,[4]characters!$A:$C,3,),($G12&amp;$F12))</f>
        <v>ハローキティのリボン</v>
      </c>
    </row>
    <row r="13" spans="1:21" ht="16" thickBot="1" x14ac:dyDescent="0.2">
      <c r="A13" s="137">
        <v>39004</v>
      </c>
      <c r="B13" s="138">
        <v>1</v>
      </c>
      <c r="C13" s="139" t="str">
        <f t="shared" si="2"/>
        <v>39004_1</v>
      </c>
      <c r="D13" s="140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138">
        <v>12</v>
      </c>
      <c r="F13" s="138" t="s">
        <v>215</v>
      </c>
      <c r="G13" s="138">
        <v>908</v>
      </c>
      <c r="H13" s="138">
        <v>1</v>
      </c>
      <c r="I13" s="138">
        <v>1</v>
      </c>
      <c r="J13" s="138">
        <v>1</v>
      </c>
      <c r="K13" s="138">
        <v>0</v>
      </c>
      <c r="L13" s="138">
        <v>0</v>
      </c>
      <c r="M13" s="138">
        <v>0</v>
      </c>
      <c r="N13" s="138">
        <v>0</v>
      </c>
      <c r="O13" s="138">
        <v>1</v>
      </c>
      <c r="P13" s="138">
        <v>150</v>
      </c>
      <c r="Q13" s="138" t="s">
        <v>170</v>
      </c>
      <c r="R13" s="153" t="s">
        <v>171</v>
      </c>
      <c r="T13" s="159">
        <f t="shared" si="1"/>
        <v>0.10033444816053512</v>
      </c>
      <c r="U13" t="str">
        <f>IF($F13="unit",VLOOKUP($G13,[4]characters!$A:$C,3,),($G13&amp;$F13))</f>
        <v>ママの作ったアップルパイ</v>
      </c>
    </row>
    <row r="14" spans="1:21" x14ac:dyDescent="0.15">
      <c r="A14" s="141">
        <v>39004</v>
      </c>
      <c r="B14" s="142">
        <v>2</v>
      </c>
      <c r="C14" s="143" t="str">
        <f t="shared" si="2"/>
        <v>39004_2</v>
      </c>
      <c r="D14" s="144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142">
        <v>13</v>
      </c>
      <c r="F14" s="142" t="s">
        <v>169</v>
      </c>
      <c r="G14" s="142">
        <v>3200</v>
      </c>
      <c r="H14" s="142" t="s">
        <v>213</v>
      </c>
      <c r="I14" s="142">
        <v>1</v>
      </c>
      <c r="J14" s="142">
        <v>1</v>
      </c>
      <c r="K14" s="142">
        <v>0</v>
      </c>
      <c r="L14" s="142">
        <v>0</v>
      </c>
      <c r="M14" s="142">
        <v>0</v>
      </c>
      <c r="N14" s="142">
        <v>0</v>
      </c>
      <c r="O14" s="142">
        <v>1</v>
      </c>
      <c r="P14" s="142">
        <v>200</v>
      </c>
      <c r="Q14" s="142" t="s">
        <v>170</v>
      </c>
      <c r="R14" s="154" t="s">
        <v>171</v>
      </c>
      <c r="T14" s="157">
        <f>P14/SUM(P$14:P$25)</f>
        <v>0.11976047904191617</v>
      </c>
      <c r="U14" t="str">
        <f>IF($F14="unit",VLOOKUP($G14,[4]characters!$A:$C,3,),($G14&amp;$F14))</f>
        <v>3200bit</v>
      </c>
    </row>
    <row r="15" spans="1:21" x14ac:dyDescent="0.15">
      <c r="A15" s="145">
        <v>39004</v>
      </c>
      <c r="B15" s="82">
        <v>2</v>
      </c>
      <c r="C15" s="71" t="str">
        <f t="shared" si="2"/>
        <v>39004_2</v>
      </c>
      <c r="D15" s="17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82">
        <v>14</v>
      </c>
      <c r="F15" s="82" t="s">
        <v>216</v>
      </c>
      <c r="G15" s="82">
        <v>20</v>
      </c>
      <c r="H15" s="82" t="s">
        <v>213</v>
      </c>
      <c r="I15" s="82">
        <v>1</v>
      </c>
      <c r="J15" s="82">
        <v>1</v>
      </c>
      <c r="K15" s="82">
        <v>0</v>
      </c>
      <c r="L15" s="82">
        <v>0</v>
      </c>
      <c r="M15" s="82">
        <v>0</v>
      </c>
      <c r="N15" s="82">
        <v>0</v>
      </c>
      <c r="O15" s="82">
        <v>1</v>
      </c>
      <c r="P15" s="82">
        <v>200</v>
      </c>
      <c r="Q15" s="82" t="s">
        <v>170</v>
      </c>
      <c r="R15" s="151" t="s">
        <v>171</v>
      </c>
      <c r="T15" s="158">
        <f t="shared" ref="T15:T24" si="3">P15/SUM(P$14:P$25)</f>
        <v>0.11976047904191617</v>
      </c>
      <c r="U15" t="str">
        <f>IF($F15="unit",VLOOKUP($G15,[4]characters!$A:$C,3,),($G15&amp;$F15))</f>
        <v>20link</v>
      </c>
    </row>
    <row r="16" spans="1:21" x14ac:dyDescent="0.15">
      <c r="A16" s="145">
        <v>39004</v>
      </c>
      <c r="B16" s="82">
        <v>2</v>
      </c>
      <c r="C16" s="71" t="str">
        <f t="shared" si="2"/>
        <v>39004_2</v>
      </c>
      <c r="D16" s="17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82">
        <v>15</v>
      </c>
      <c r="F16" s="82" t="s">
        <v>215</v>
      </c>
      <c r="G16" s="82">
        <v>344</v>
      </c>
      <c r="H16" s="82">
        <v>1</v>
      </c>
      <c r="I16" s="82">
        <v>1</v>
      </c>
      <c r="J16" s="82">
        <v>1</v>
      </c>
      <c r="K16" s="82">
        <v>0</v>
      </c>
      <c r="L16" s="82">
        <v>0</v>
      </c>
      <c r="M16" s="82">
        <v>0</v>
      </c>
      <c r="N16" s="82">
        <v>0</v>
      </c>
      <c r="O16" s="82">
        <v>1</v>
      </c>
      <c r="P16" s="82">
        <v>100</v>
      </c>
      <c r="Q16" s="82" t="s">
        <v>170</v>
      </c>
      <c r="R16" s="151" t="s">
        <v>171</v>
      </c>
      <c r="T16" s="158">
        <f t="shared" si="3"/>
        <v>5.9880239520958084E-2</v>
      </c>
      <c r="U16" t="str">
        <f>IF($F16="unit",VLOOKUP($G16,[4]characters!$A:$C,3,),($G16&amp;$F16))</f>
        <v>雷のメタルピヨピヨ</v>
      </c>
    </row>
    <row r="17" spans="1:21" x14ac:dyDescent="0.15">
      <c r="A17" s="145">
        <v>39004</v>
      </c>
      <c r="B17" s="82">
        <v>2</v>
      </c>
      <c r="C17" s="71" t="str">
        <f t="shared" si="2"/>
        <v>39004_2</v>
      </c>
      <c r="D17" s="17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82">
        <v>16</v>
      </c>
      <c r="F17" s="82" t="s">
        <v>215</v>
      </c>
      <c r="G17" s="82">
        <v>345</v>
      </c>
      <c r="H17" s="82">
        <v>1</v>
      </c>
      <c r="I17" s="82">
        <v>1</v>
      </c>
      <c r="J17" s="82">
        <v>1</v>
      </c>
      <c r="K17" s="82">
        <v>0</v>
      </c>
      <c r="L17" s="82">
        <v>0</v>
      </c>
      <c r="M17" s="82">
        <v>0</v>
      </c>
      <c r="N17" s="82">
        <v>0</v>
      </c>
      <c r="O17" s="82">
        <v>1</v>
      </c>
      <c r="P17" s="82">
        <v>100</v>
      </c>
      <c r="Q17" s="82" t="s">
        <v>170</v>
      </c>
      <c r="R17" s="151" t="s">
        <v>171</v>
      </c>
      <c r="T17" s="158">
        <f t="shared" si="3"/>
        <v>5.9880239520958084E-2</v>
      </c>
      <c r="U17" t="str">
        <f>IF($F17="unit",VLOOKUP($G17,[4]characters!$A:$C,3,),($G17&amp;$F17))</f>
        <v>雷のメタルチック</v>
      </c>
    </row>
    <row r="18" spans="1:21" x14ac:dyDescent="0.15">
      <c r="A18" s="145">
        <v>39004</v>
      </c>
      <c r="B18" s="82">
        <v>2</v>
      </c>
      <c r="C18" s="71" t="str">
        <f t="shared" si="2"/>
        <v>39004_2</v>
      </c>
      <c r="D18" s="17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82">
        <v>17</v>
      </c>
      <c r="F18" s="82" t="s">
        <v>215</v>
      </c>
      <c r="G18" s="82">
        <v>121</v>
      </c>
      <c r="H18" s="82">
        <v>1</v>
      </c>
      <c r="I18" s="82">
        <v>1</v>
      </c>
      <c r="J18" s="82">
        <v>1</v>
      </c>
      <c r="K18" s="82">
        <v>0</v>
      </c>
      <c r="L18" s="82">
        <v>0</v>
      </c>
      <c r="M18" s="82">
        <v>0</v>
      </c>
      <c r="N18" s="82">
        <v>0</v>
      </c>
      <c r="O18" s="82">
        <v>1</v>
      </c>
      <c r="P18" s="82">
        <v>50</v>
      </c>
      <c r="Q18" s="82" t="s">
        <v>170</v>
      </c>
      <c r="R18" s="151" t="s">
        <v>171</v>
      </c>
      <c r="T18" s="158">
        <f t="shared" si="3"/>
        <v>2.9940119760479042E-2</v>
      </c>
      <c r="U18" t="str">
        <f>IF($F18="unit",VLOOKUP($G18,[4]characters!$A:$C,3,),($G18&amp;$F18))</f>
        <v>攻めの果実</v>
      </c>
    </row>
    <row r="19" spans="1:21" x14ac:dyDescent="0.15">
      <c r="A19" s="145">
        <v>39004</v>
      </c>
      <c r="B19" s="82">
        <v>2</v>
      </c>
      <c r="C19" s="71" t="str">
        <f t="shared" si="2"/>
        <v>39004_2</v>
      </c>
      <c r="D19" s="17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82">
        <v>18</v>
      </c>
      <c r="F19" s="82" t="s">
        <v>215</v>
      </c>
      <c r="G19" s="82">
        <v>122</v>
      </c>
      <c r="H19" s="82">
        <v>1</v>
      </c>
      <c r="I19" s="82">
        <v>1</v>
      </c>
      <c r="J19" s="82">
        <v>1</v>
      </c>
      <c r="K19" s="82">
        <v>0</v>
      </c>
      <c r="L19" s="82">
        <v>0</v>
      </c>
      <c r="M19" s="82">
        <v>0</v>
      </c>
      <c r="N19" s="82">
        <v>0</v>
      </c>
      <c r="O19" s="82">
        <v>1</v>
      </c>
      <c r="P19" s="82">
        <v>50</v>
      </c>
      <c r="Q19" s="82" t="s">
        <v>170</v>
      </c>
      <c r="R19" s="151" t="s">
        <v>171</v>
      </c>
      <c r="T19" s="158">
        <f t="shared" si="3"/>
        <v>2.9940119760479042E-2</v>
      </c>
      <c r="U19" t="str">
        <f>IF($F19="unit",VLOOKUP($G19,[4]characters!$A:$C,3,),($G19&amp;$F19))</f>
        <v>生命の果実</v>
      </c>
    </row>
    <row r="20" spans="1:21" x14ac:dyDescent="0.15">
      <c r="A20" s="145">
        <v>39004</v>
      </c>
      <c r="B20" s="82">
        <v>2</v>
      </c>
      <c r="C20" s="71" t="str">
        <f t="shared" si="2"/>
        <v>39004_2</v>
      </c>
      <c r="D20" s="17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82">
        <v>19</v>
      </c>
      <c r="F20" s="82" t="s">
        <v>215</v>
      </c>
      <c r="G20" s="82">
        <v>123</v>
      </c>
      <c r="H20" s="82">
        <v>1</v>
      </c>
      <c r="I20" s="82">
        <v>1</v>
      </c>
      <c r="J20" s="82">
        <v>1</v>
      </c>
      <c r="K20" s="82">
        <v>0</v>
      </c>
      <c r="L20" s="82">
        <v>0</v>
      </c>
      <c r="M20" s="82">
        <v>0</v>
      </c>
      <c r="N20" s="82">
        <v>0</v>
      </c>
      <c r="O20" s="82">
        <v>1</v>
      </c>
      <c r="P20" s="82">
        <v>50</v>
      </c>
      <c r="Q20" s="82" t="s">
        <v>170</v>
      </c>
      <c r="R20" s="151" t="s">
        <v>171</v>
      </c>
      <c r="T20" s="158">
        <f t="shared" si="3"/>
        <v>2.9940119760479042E-2</v>
      </c>
      <c r="U20" t="str">
        <f>IF($F20="unit",VLOOKUP($G20,[4]characters!$A:$C,3,),($G20&amp;$F20))</f>
        <v>癒しの果実</v>
      </c>
    </row>
    <row r="21" spans="1:21" x14ac:dyDescent="0.15">
      <c r="A21" s="145">
        <v>39004</v>
      </c>
      <c r="B21" s="82">
        <v>2</v>
      </c>
      <c r="C21" s="71" t="str">
        <f t="shared" si="2"/>
        <v>39004_2</v>
      </c>
      <c r="D21" s="17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82">
        <v>20</v>
      </c>
      <c r="F21" s="82" t="s">
        <v>215</v>
      </c>
      <c r="G21" s="82">
        <v>125</v>
      </c>
      <c r="H21" s="82">
        <v>1</v>
      </c>
      <c r="I21" s="82">
        <v>1</v>
      </c>
      <c r="J21" s="82">
        <v>1</v>
      </c>
      <c r="K21" s="82">
        <v>0</v>
      </c>
      <c r="L21" s="82">
        <v>0</v>
      </c>
      <c r="M21" s="82">
        <v>0</v>
      </c>
      <c r="N21" s="82">
        <v>0</v>
      </c>
      <c r="O21" s="82">
        <v>1</v>
      </c>
      <c r="P21" s="82">
        <v>10</v>
      </c>
      <c r="Q21" s="82" t="s">
        <v>170</v>
      </c>
      <c r="R21" s="151" t="s">
        <v>171</v>
      </c>
      <c r="T21" s="158">
        <f t="shared" si="3"/>
        <v>5.9880239520958087E-3</v>
      </c>
      <c r="U21" t="str">
        <f>IF($F21="unit",VLOOKUP($G21,[4]characters!$A:$C,3,),($G21&amp;$F21))</f>
        <v>秘術の果実</v>
      </c>
    </row>
    <row r="22" spans="1:21" x14ac:dyDescent="0.15">
      <c r="A22" s="145">
        <v>39004</v>
      </c>
      <c r="B22" s="82">
        <v>2</v>
      </c>
      <c r="C22" s="71" t="str">
        <f t="shared" si="2"/>
        <v>39004_2</v>
      </c>
      <c r="D22" s="17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82">
        <v>21</v>
      </c>
      <c r="F22" s="82" t="s">
        <v>215</v>
      </c>
      <c r="G22" s="101">
        <v>901</v>
      </c>
      <c r="H22" s="82">
        <v>1</v>
      </c>
      <c r="I22" s="82">
        <v>1</v>
      </c>
      <c r="J22" s="82">
        <v>1</v>
      </c>
      <c r="K22" s="82">
        <v>0</v>
      </c>
      <c r="L22" s="82">
        <v>0</v>
      </c>
      <c r="M22" s="82">
        <v>0</v>
      </c>
      <c r="N22" s="82">
        <v>0</v>
      </c>
      <c r="O22" s="82">
        <v>1</v>
      </c>
      <c r="P22" s="82">
        <v>250</v>
      </c>
      <c r="Q22" s="82" t="s">
        <v>170</v>
      </c>
      <c r="R22" s="151" t="s">
        <v>171</v>
      </c>
      <c r="T22" s="158">
        <f t="shared" si="3"/>
        <v>0.1497005988023952</v>
      </c>
      <c r="U22" t="str">
        <f>IF($F22="unit",VLOOKUP($G22,[4]characters!$A:$C,3,),($G22&amp;$F22))</f>
        <v>恩愛性ニムダ</v>
      </c>
    </row>
    <row r="23" spans="1:21" x14ac:dyDescent="0.15">
      <c r="A23" s="145">
        <v>39004</v>
      </c>
      <c r="B23" s="82">
        <v>2</v>
      </c>
      <c r="C23" s="71" t="str">
        <f t="shared" si="2"/>
        <v>39004_2</v>
      </c>
      <c r="D23" s="17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82">
        <v>22</v>
      </c>
      <c r="F23" s="82" t="s">
        <v>215</v>
      </c>
      <c r="G23" s="82">
        <v>354</v>
      </c>
      <c r="H23" s="82">
        <v>1</v>
      </c>
      <c r="I23" s="82">
        <v>1</v>
      </c>
      <c r="J23" s="82">
        <v>1</v>
      </c>
      <c r="K23" s="82">
        <v>0</v>
      </c>
      <c r="L23" s="82">
        <v>0</v>
      </c>
      <c r="M23" s="82">
        <v>0</v>
      </c>
      <c r="N23" s="82">
        <v>0</v>
      </c>
      <c r="O23" s="82">
        <v>1</v>
      </c>
      <c r="P23" s="82">
        <v>160</v>
      </c>
      <c r="Q23" s="82" t="s">
        <v>170</v>
      </c>
      <c r="R23" s="151" t="s">
        <v>171</v>
      </c>
      <c r="T23" s="158">
        <f t="shared" si="3"/>
        <v>9.580838323353294E-2</v>
      </c>
      <c r="U23" t="str">
        <f>IF($F23="unit",VLOOKUP($G23,[4]characters!$A:$C,3,),($G23&amp;$F23))</f>
        <v>雷のケロケロ</v>
      </c>
    </row>
    <row r="24" spans="1:21" x14ac:dyDescent="0.15">
      <c r="A24" s="145">
        <v>39004</v>
      </c>
      <c r="B24" s="82">
        <v>2</v>
      </c>
      <c r="C24" s="71" t="str">
        <f t="shared" si="2"/>
        <v>39004_2</v>
      </c>
      <c r="D24" s="17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82">
        <v>23</v>
      </c>
      <c r="F24" s="82" t="s">
        <v>215</v>
      </c>
      <c r="G24" s="82">
        <v>907</v>
      </c>
      <c r="H24" s="82">
        <v>1</v>
      </c>
      <c r="I24" s="82">
        <v>1</v>
      </c>
      <c r="J24" s="82">
        <v>1</v>
      </c>
      <c r="K24" s="82">
        <v>0</v>
      </c>
      <c r="L24" s="82">
        <v>0</v>
      </c>
      <c r="M24" s="82">
        <v>0</v>
      </c>
      <c r="N24" s="82">
        <v>0</v>
      </c>
      <c r="O24" s="82">
        <v>1</v>
      </c>
      <c r="P24" s="82">
        <v>250</v>
      </c>
      <c r="Q24" s="82" t="s">
        <v>170</v>
      </c>
      <c r="R24" s="152" t="s">
        <v>171</v>
      </c>
      <c r="T24" s="158">
        <f t="shared" si="3"/>
        <v>0.1497005988023952</v>
      </c>
      <c r="U24" t="str">
        <f>IF($F24="unit",VLOOKUP($G24,[4]characters!$A:$C,3,),($G24&amp;$F24))</f>
        <v>ハローキティのリボン</v>
      </c>
    </row>
    <row r="25" spans="1:21" ht="16" thickBot="1" x14ac:dyDescent="0.2">
      <c r="A25" s="146">
        <v>39004</v>
      </c>
      <c r="B25" s="147">
        <v>2</v>
      </c>
      <c r="C25" s="148" t="str">
        <f t="shared" si="2"/>
        <v>39004_2</v>
      </c>
      <c r="D25" s="149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147">
        <v>24</v>
      </c>
      <c r="F25" s="147" t="s">
        <v>215</v>
      </c>
      <c r="G25" s="147">
        <v>908</v>
      </c>
      <c r="H25" s="147">
        <v>1</v>
      </c>
      <c r="I25" s="147">
        <v>1</v>
      </c>
      <c r="J25" s="147">
        <v>1</v>
      </c>
      <c r="K25" s="147">
        <v>0</v>
      </c>
      <c r="L25" s="147">
        <v>0</v>
      </c>
      <c r="M25" s="147">
        <v>0</v>
      </c>
      <c r="N25" s="147">
        <v>0</v>
      </c>
      <c r="O25" s="147">
        <v>1</v>
      </c>
      <c r="P25" s="147">
        <v>250</v>
      </c>
      <c r="Q25" s="147" t="s">
        <v>170</v>
      </c>
      <c r="R25" s="155" t="s">
        <v>171</v>
      </c>
      <c r="T25" s="159">
        <f>P25/SUM(P$14:P$25)</f>
        <v>0.1497005988023952</v>
      </c>
      <c r="U25" t="str">
        <f>IF($F25="unit",VLOOKUP($G25,[4]characters!$A:$C,3,),($G25&amp;$F25))</f>
        <v>ママの作ったアップルパイ</v>
      </c>
    </row>
    <row r="26" spans="1:21" x14ac:dyDescent="0.15">
      <c r="A26" s="141">
        <v>39004</v>
      </c>
      <c r="B26" s="142">
        <v>3</v>
      </c>
      <c r="C26" s="143" t="str">
        <f t="shared" si="2"/>
        <v>39004_3</v>
      </c>
      <c r="D26" s="144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142">
        <v>25</v>
      </c>
      <c r="F26" s="142" t="s">
        <v>169</v>
      </c>
      <c r="G26" s="142">
        <v>5000</v>
      </c>
      <c r="H26" s="142" t="s">
        <v>213</v>
      </c>
      <c r="I26" s="142">
        <v>1</v>
      </c>
      <c r="J26" s="142">
        <v>1</v>
      </c>
      <c r="K26" s="142">
        <v>0</v>
      </c>
      <c r="L26" s="142">
        <v>0</v>
      </c>
      <c r="M26" s="142">
        <v>0</v>
      </c>
      <c r="N26" s="142">
        <v>0</v>
      </c>
      <c r="O26" s="142">
        <v>1</v>
      </c>
      <c r="P26" s="142">
        <v>175</v>
      </c>
      <c r="Q26" s="142" t="s">
        <v>170</v>
      </c>
      <c r="R26" s="154" t="s">
        <v>171</v>
      </c>
      <c r="T26" s="157">
        <f>P26/SUM(P$26:P$38)</f>
        <v>6.363636363636363E-2</v>
      </c>
      <c r="U26" t="str">
        <f>IF($F26="unit",VLOOKUP($G26,[4]characters!$A:$C,3,),($G26&amp;$F26))</f>
        <v>5000bit</v>
      </c>
    </row>
    <row r="27" spans="1:21" x14ac:dyDescent="0.15">
      <c r="A27" s="145">
        <v>39004</v>
      </c>
      <c r="B27" s="82">
        <v>3</v>
      </c>
      <c r="C27" s="71" t="str">
        <f t="shared" si="2"/>
        <v>39004_3</v>
      </c>
      <c r="D27" s="17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82">
        <v>26</v>
      </c>
      <c r="F27" s="82" t="s">
        <v>216</v>
      </c>
      <c r="G27" s="82">
        <v>25</v>
      </c>
      <c r="H27" s="82" t="s">
        <v>213</v>
      </c>
      <c r="I27" s="82">
        <v>1</v>
      </c>
      <c r="J27" s="82">
        <v>1</v>
      </c>
      <c r="K27" s="82">
        <v>0</v>
      </c>
      <c r="L27" s="82">
        <v>0</v>
      </c>
      <c r="M27" s="82">
        <v>0</v>
      </c>
      <c r="N27" s="82">
        <v>0</v>
      </c>
      <c r="O27" s="82">
        <v>1</v>
      </c>
      <c r="P27" s="82">
        <v>175</v>
      </c>
      <c r="Q27" s="82" t="s">
        <v>170</v>
      </c>
      <c r="R27" s="151" t="s">
        <v>171</v>
      </c>
      <c r="T27" s="158">
        <f t="shared" ref="T27:T37" si="4">P27/SUM(P$26:P$38)</f>
        <v>6.363636363636363E-2</v>
      </c>
      <c r="U27" t="str">
        <f>IF($F27="unit",VLOOKUP($G27,[4]characters!$A:$C,3,),($G27&amp;$F27))</f>
        <v>25link</v>
      </c>
    </row>
    <row r="28" spans="1:21" x14ac:dyDescent="0.15">
      <c r="A28" s="145">
        <v>39004</v>
      </c>
      <c r="B28" s="82">
        <v>3</v>
      </c>
      <c r="C28" s="71" t="str">
        <f t="shared" si="2"/>
        <v>39004_3</v>
      </c>
      <c r="D28" s="17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82">
        <v>27</v>
      </c>
      <c r="F28" s="82" t="s">
        <v>215</v>
      </c>
      <c r="G28" s="82">
        <v>344</v>
      </c>
      <c r="H28" s="82">
        <v>1</v>
      </c>
      <c r="I28" s="82">
        <v>1</v>
      </c>
      <c r="J28" s="82">
        <v>1</v>
      </c>
      <c r="K28" s="82">
        <v>0</v>
      </c>
      <c r="L28" s="82">
        <v>0</v>
      </c>
      <c r="M28" s="82">
        <v>0</v>
      </c>
      <c r="N28" s="82">
        <v>0</v>
      </c>
      <c r="O28" s="82">
        <v>1</v>
      </c>
      <c r="P28" s="82">
        <v>75</v>
      </c>
      <c r="Q28" s="82" t="s">
        <v>170</v>
      </c>
      <c r="R28" s="151" t="s">
        <v>171</v>
      </c>
      <c r="T28" s="158">
        <f t="shared" si="4"/>
        <v>2.7272727272727271E-2</v>
      </c>
      <c r="U28" t="str">
        <f>IF($F28="unit",VLOOKUP($G28,[4]characters!$A:$C,3,),($G28&amp;$F28))</f>
        <v>雷のメタルピヨピヨ</v>
      </c>
    </row>
    <row r="29" spans="1:21" x14ac:dyDescent="0.15">
      <c r="A29" s="145">
        <v>39004</v>
      </c>
      <c r="B29" s="82">
        <v>3</v>
      </c>
      <c r="C29" s="71" t="str">
        <f t="shared" si="2"/>
        <v>39004_3</v>
      </c>
      <c r="D29" s="17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82">
        <v>28</v>
      </c>
      <c r="F29" s="82" t="s">
        <v>215</v>
      </c>
      <c r="G29" s="82">
        <v>345</v>
      </c>
      <c r="H29" s="82">
        <v>1</v>
      </c>
      <c r="I29" s="82">
        <v>1</v>
      </c>
      <c r="J29" s="82">
        <v>1</v>
      </c>
      <c r="K29" s="82">
        <v>0</v>
      </c>
      <c r="L29" s="82">
        <v>0</v>
      </c>
      <c r="M29" s="82">
        <v>0</v>
      </c>
      <c r="N29" s="82">
        <v>0</v>
      </c>
      <c r="O29" s="82">
        <v>1</v>
      </c>
      <c r="P29" s="82">
        <v>75</v>
      </c>
      <c r="Q29" s="82" t="s">
        <v>170</v>
      </c>
      <c r="R29" s="151" t="s">
        <v>171</v>
      </c>
      <c r="T29" s="158">
        <f t="shared" si="4"/>
        <v>2.7272727272727271E-2</v>
      </c>
      <c r="U29" t="str">
        <f>IF($F29="unit",VLOOKUP($G29,[4]characters!$A:$C,3,),($G29&amp;$F29))</f>
        <v>雷のメタルチック</v>
      </c>
    </row>
    <row r="30" spans="1:21" x14ac:dyDescent="0.15">
      <c r="A30" s="145">
        <v>39004</v>
      </c>
      <c r="B30" s="82">
        <v>3</v>
      </c>
      <c r="C30" s="71" t="str">
        <f t="shared" si="2"/>
        <v>39004_3</v>
      </c>
      <c r="D30" s="17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82">
        <v>29</v>
      </c>
      <c r="F30" s="82" t="s">
        <v>215</v>
      </c>
      <c r="G30" s="82">
        <v>346</v>
      </c>
      <c r="H30" s="82">
        <v>1</v>
      </c>
      <c r="I30" s="82">
        <v>1</v>
      </c>
      <c r="J30" s="82">
        <v>1</v>
      </c>
      <c r="K30" s="82">
        <v>0</v>
      </c>
      <c r="L30" s="82">
        <v>0</v>
      </c>
      <c r="M30" s="82">
        <v>0</v>
      </c>
      <c r="N30" s="82">
        <v>0</v>
      </c>
      <c r="O30" s="82">
        <v>1</v>
      </c>
      <c r="P30" s="82">
        <v>75</v>
      </c>
      <c r="Q30" s="82" t="s">
        <v>170</v>
      </c>
      <c r="R30" s="151" t="s">
        <v>171</v>
      </c>
      <c r="T30" s="158">
        <f t="shared" si="4"/>
        <v>2.7272727272727271E-2</v>
      </c>
      <c r="U30" t="str">
        <f>IF($F30="unit",VLOOKUP($G30,[4]characters!$A:$C,3,),($G30&amp;$F30))</f>
        <v>雷のメタルダック</v>
      </c>
    </row>
    <row r="31" spans="1:21" x14ac:dyDescent="0.15">
      <c r="A31" s="145">
        <v>39004</v>
      </c>
      <c r="B31" s="82">
        <v>3</v>
      </c>
      <c r="C31" s="71" t="str">
        <f t="shared" si="2"/>
        <v>39004_3</v>
      </c>
      <c r="D31" s="17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82">
        <v>30</v>
      </c>
      <c r="F31" s="82" t="s">
        <v>215</v>
      </c>
      <c r="G31" s="82">
        <v>121</v>
      </c>
      <c r="H31" s="82">
        <v>1</v>
      </c>
      <c r="I31" s="82">
        <v>1</v>
      </c>
      <c r="J31" s="82">
        <v>1</v>
      </c>
      <c r="K31" s="82">
        <v>0</v>
      </c>
      <c r="L31" s="82">
        <v>0</v>
      </c>
      <c r="M31" s="82">
        <v>0</v>
      </c>
      <c r="N31" s="82">
        <v>0</v>
      </c>
      <c r="O31" s="82">
        <v>1</v>
      </c>
      <c r="P31" s="82">
        <v>100</v>
      </c>
      <c r="Q31" s="82" t="s">
        <v>170</v>
      </c>
      <c r="R31" s="151" t="s">
        <v>171</v>
      </c>
      <c r="T31" s="158">
        <f t="shared" si="4"/>
        <v>3.6363636363636362E-2</v>
      </c>
      <c r="U31" t="str">
        <f>IF($F31="unit",VLOOKUP($G31,[4]characters!$A:$C,3,),($G31&amp;$F31))</f>
        <v>攻めの果実</v>
      </c>
    </row>
    <row r="32" spans="1:21" x14ac:dyDescent="0.15">
      <c r="A32" s="145">
        <v>39004</v>
      </c>
      <c r="B32" s="82">
        <v>3</v>
      </c>
      <c r="C32" s="71" t="str">
        <f t="shared" si="2"/>
        <v>39004_3</v>
      </c>
      <c r="D32" s="17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82">
        <v>31</v>
      </c>
      <c r="F32" s="82" t="s">
        <v>215</v>
      </c>
      <c r="G32" s="82">
        <v>122</v>
      </c>
      <c r="H32" s="82">
        <v>1</v>
      </c>
      <c r="I32" s="82">
        <v>1</v>
      </c>
      <c r="J32" s="82">
        <v>1</v>
      </c>
      <c r="K32" s="82">
        <v>0</v>
      </c>
      <c r="L32" s="82">
        <v>0</v>
      </c>
      <c r="M32" s="82">
        <v>0</v>
      </c>
      <c r="N32" s="82">
        <v>0</v>
      </c>
      <c r="O32" s="82">
        <v>1</v>
      </c>
      <c r="P32" s="82">
        <v>100</v>
      </c>
      <c r="Q32" s="82" t="s">
        <v>170</v>
      </c>
      <c r="R32" s="151" t="s">
        <v>171</v>
      </c>
      <c r="T32" s="158">
        <f t="shared" si="4"/>
        <v>3.6363636363636362E-2</v>
      </c>
      <c r="U32" t="str">
        <f>IF($F32="unit",VLOOKUP($G32,[4]characters!$A:$C,3,),($G32&amp;$F32))</f>
        <v>生命の果実</v>
      </c>
    </row>
    <row r="33" spans="1:21" x14ac:dyDescent="0.15">
      <c r="A33" s="145">
        <v>39004</v>
      </c>
      <c r="B33" s="82">
        <v>3</v>
      </c>
      <c r="C33" s="71" t="str">
        <f t="shared" si="2"/>
        <v>39004_3</v>
      </c>
      <c r="D33" s="17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82">
        <v>32</v>
      </c>
      <c r="F33" s="82" t="s">
        <v>215</v>
      </c>
      <c r="G33" s="82">
        <v>123</v>
      </c>
      <c r="H33" s="82">
        <v>1</v>
      </c>
      <c r="I33" s="82">
        <v>1</v>
      </c>
      <c r="J33" s="82">
        <v>1</v>
      </c>
      <c r="K33" s="82">
        <v>0</v>
      </c>
      <c r="L33" s="82">
        <v>0</v>
      </c>
      <c r="M33" s="82">
        <v>0</v>
      </c>
      <c r="N33" s="82">
        <v>0</v>
      </c>
      <c r="O33" s="82">
        <v>1</v>
      </c>
      <c r="P33" s="82">
        <v>100</v>
      </c>
      <c r="Q33" s="82" t="s">
        <v>170</v>
      </c>
      <c r="R33" s="151" t="s">
        <v>171</v>
      </c>
      <c r="T33" s="158">
        <f t="shared" si="4"/>
        <v>3.6363636363636362E-2</v>
      </c>
      <c r="U33" t="str">
        <f>IF($F33="unit",VLOOKUP($G33,[4]characters!$A:$C,3,),($G33&amp;$F33))</f>
        <v>癒しの果実</v>
      </c>
    </row>
    <row r="34" spans="1:21" x14ac:dyDescent="0.15">
      <c r="A34" s="145">
        <v>39004</v>
      </c>
      <c r="B34" s="82">
        <v>3</v>
      </c>
      <c r="C34" s="71" t="str">
        <f t="shared" si="2"/>
        <v>39004_3</v>
      </c>
      <c r="D34" s="17" t="str">
        <f ca="1">VLOOKUP($C34,OFFSET([2]stages!$A$1,0,0,COUNTA([2]stages!$A:$A),MATCH(D$1,[2]stages!$2:$2,0)-MATCH($C$1,[2]stages!$2:$2,0)+1),MATCH(D$1,[2]stages!$2:$2,0)-MATCH($C$1,[2]stages!$2:$2,0)+1,FALSE)</f>
        <v>everyone</v>
      </c>
      <c r="E34" s="82">
        <v>33</v>
      </c>
      <c r="F34" s="82" t="s">
        <v>215</v>
      </c>
      <c r="G34" s="82">
        <v>125</v>
      </c>
      <c r="H34" s="82">
        <v>1</v>
      </c>
      <c r="I34" s="82">
        <v>1</v>
      </c>
      <c r="J34" s="82">
        <v>1</v>
      </c>
      <c r="K34" s="82">
        <v>0</v>
      </c>
      <c r="L34" s="82">
        <v>0</v>
      </c>
      <c r="M34" s="82">
        <v>0</v>
      </c>
      <c r="N34" s="82">
        <v>0</v>
      </c>
      <c r="O34" s="82">
        <v>1</v>
      </c>
      <c r="P34" s="82">
        <v>25</v>
      </c>
      <c r="Q34" s="82" t="s">
        <v>170</v>
      </c>
      <c r="R34" s="151" t="s">
        <v>171</v>
      </c>
      <c r="T34" s="158">
        <f t="shared" si="4"/>
        <v>9.0909090909090905E-3</v>
      </c>
      <c r="U34" t="str">
        <f>IF($F34="unit",VLOOKUP($G34,[4]characters!$A:$C,3,),($G34&amp;$F34))</f>
        <v>秘術の果実</v>
      </c>
    </row>
    <row r="35" spans="1:21" x14ac:dyDescent="0.15">
      <c r="A35" s="145">
        <v>39004</v>
      </c>
      <c r="B35" s="82">
        <v>3</v>
      </c>
      <c r="C35" s="71" t="str">
        <f t="shared" si="2"/>
        <v>39004_3</v>
      </c>
      <c r="D35" s="17" t="str">
        <f ca="1">VLOOKUP($C35,OFFSET([2]stages!$A$1,0,0,COUNTA([2]stages!$A:$A),MATCH(D$1,[2]stages!$2:$2,0)-MATCH($C$1,[2]stages!$2:$2,0)+1),MATCH(D$1,[2]stages!$2:$2,0)-MATCH($C$1,[2]stages!$2:$2,0)+1,FALSE)</f>
        <v>everyone</v>
      </c>
      <c r="E35" s="82">
        <v>34</v>
      </c>
      <c r="F35" s="82" t="s">
        <v>215</v>
      </c>
      <c r="G35" s="101">
        <v>901</v>
      </c>
      <c r="H35" s="82">
        <v>1</v>
      </c>
      <c r="I35" s="82">
        <v>1</v>
      </c>
      <c r="J35" s="82">
        <v>1</v>
      </c>
      <c r="K35" s="82">
        <v>0</v>
      </c>
      <c r="L35" s="82">
        <v>0</v>
      </c>
      <c r="M35" s="82">
        <v>0</v>
      </c>
      <c r="N35" s="82">
        <v>0</v>
      </c>
      <c r="O35" s="82">
        <v>1</v>
      </c>
      <c r="P35" s="82">
        <v>550</v>
      </c>
      <c r="Q35" s="82" t="s">
        <v>170</v>
      </c>
      <c r="R35" s="151" t="s">
        <v>171</v>
      </c>
      <c r="T35" s="158">
        <f t="shared" si="4"/>
        <v>0.2</v>
      </c>
      <c r="U35" t="str">
        <f>IF($F35="unit",VLOOKUP($G35,[4]characters!$A:$C,3,),($G35&amp;$F35))</f>
        <v>恩愛性ニムダ</v>
      </c>
    </row>
    <row r="36" spans="1:21" x14ac:dyDescent="0.15">
      <c r="A36" s="145">
        <v>39004</v>
      </c>
      <c r="B36" s="82">
        <v>3</v>
      </c>
      <c r="C36" s="71" t="str">
        <f t="shared" si="2"/>
        <v>39004_3</v>
      </c>
      <c r="D36" s="17" t="str">
        <f ca="1">VLOOKUP($C36,OFFSET([2]stages!$A$1,0,0,COUNTA([2]stages!$A:$A),MATCH(D$1,[2]stages!$2:$2,0)-MATCH($C$1,[2]stages!$2:$2,0)+1),MATCH(D$1,[2]stages!$2:$2,0)-MATCH($C$1,[2]stages!$2:$2,0)+1,FALSE)</f>
        <v>everyone</v>
      </c>
      <c r="E36" s="82">
        <v>35</v>
      </c>
      <c r="F36" s="82" t="s">
        <v>215</v>
      </c>
      <c r="G36" s="82">
        <v>354</v>
      </c>
      <c r="H36" s="82">
        <v>1</v>
      </c>
      <c r="I36" s="82">
        <v>1</v>
      </c>
      <c r="J36" s="82">
        <v>1</v>
      </c>
      <c r="K36" s="82">
        <v>0</v>
      </c>
      <c r="L36" s="82">
        <v>0</v>
      </c>
      <c r="M36" s="82">
        <v>0</v>
      </c>
      <c r="N36" s="82">
        <v>0</v>
      </c>
      <c r="O36" s="82">
        <v>1</v>
      </c>
      <c r="P36" s="82">
        <v>200</v>
      </c>
      <c r="Q36" s="82" t="s">
        <v>170</v>
      </c>
      <c r="R36" s="151" t="s">
        <v>171</v>
      </c>
      <c r="T36" s="158">
        <f t="shared" si="4"/>
        <v>7.2727272727272724E-2</v>
      </c>
      <c r="U36" t="str">
        <f>IF($F36="unit",VLOOKUP($G36,[4]characters!$A:$C,3,),($G36&amp;$F36))</f>
        <v>雷のケロケロ</v>
      </c>
    </row>
    <row r="37" spans="1:21" x14ac:dyDescent="0.15">
      <c r="A37" s="145">
        <v>39004</v>
      </c>
      <c r="B37" s="82">
        <v>3</v>
      </c>
      <c r="C37" s="71" t="str">
        <f t="shared" si="2"/>
        <v>39004_3</v>
      </c>
      <c r="D37" s="17" t="str">
        <f ca="1">VLOOKUP($C37,OFFSET([2]stages!$A$1,0,0,COUNTA([2]stages!$A:$A),MATCH(D$1,[2]stages!$2:$2,0)-MATCH($C$1,[2]stages!$2:$2,0)+1),MATCH(D$1,[2]stages!$2:$2,0)-MATCH($C$1,[2]stages!$2:$2,0)+1,FALSE)</f>
        <v>everyone</v>
      </c>
      <c r="E37" s="82">
        <v>36</v>
      </c>
      <c r="F37" s="82" t="s">
        <v>215</v>
      </c>
      <c r="G37" s="82">
        <v>907</v>
      </c>
      <c r="H37" s="82">
        <v>1</v>
      </c>
      <c r="I37" s="82">
        <v>1</v>
      </c>
      <c r="J37" s="82">
        <v>1</v>
      </c>
      <c r="K37" s="82">
        <v>0</v>
      </c>
      <c r="L37" s="82">
        <v>0</v>
      </c>
      <c r="M37" s="82">
        <v>0</v>
      </c>
      <c r="N37" s="82">
        <v>0</v>
      </c>
      <c r="O37" s="82">
        <v>1</v>
      </c>
      <c r="P37" s="82">
        <v>550</v>
      </c>
      <c r="Q37" s="82" t="s">
        <v>170</v>
      </c>
      <c r="R37" s="152" t="s">
        <v>171</v>
      </c>
      <c r="T37" s="158">
        <f t="shared" si="4"/>
        <v>0.2</v>
      </c>
      <c r="U37" t="str">
        <f>IF($F37="unit",VLOOKUP($G37,[4]characters!$A:$C,3,),($G37&amp;$F37))</f>
        <v>ハローキティのリボン</v>
      </c>
    </row>
    <row r="38" spans="1:21" ht="16" thickBot="1" x14ac:dyDescent="0.2">
      <c r="A38" s="146">
        <v>39004</v>
      </c>
      <c r="B38" s="147">
        <v>3</v>
      </c>
      <c r="C38" s="148" t="str">
        <f t="shared" si="2"/>
        <v>39004_3</v>
      </c>
      <c r="D38" s="149" t="str">
        <f ca="1">VLOOKUP($C38,OFFSET([2]stages!$A$1,0,0,COUNTA([2]stages!$A:$A),MATCH(D$1,[2]stages!$2:$2,0)-MATCH($C$1,[2]stages!$2:$2,0)+1),MATCH(D$1,[2]stages!$2:$2,0)-MATCH($C$1,[2]stages!$2:$2,0)+1,FALSE)</f>
        <v>everyone</v>
      </c>
      <c r="E38" s="147">
        <v>37</v>
      </c>
      <c r="F38" s="147" t="s">
        <v>215</v>
      </c>
      <c r="G38" s="147">
        <v>908</v>
      </c>
      <c r="H38" s="147">
        <v>1</v>
      </c>
      <c r="I38" s="147">
        <v>1</v>
      </c>
      <c r="J38" s="147">
        <v>1</v>
      </c>
      <c r="K38" s="147">
        <v>0</v>
      </c>
      <c r="L38" s="147">
        <v>0</v>
      </c>
      <c r="M38" s="147">
        <v>0</v>
      </c>
      <c r="N38" s="147">
        <v>0</v>
      </c>
      <c r="O38" s="147">
        <v>1</v>
      </c>
      <c r="P38" s="147">
        <v>550</v>
      </c>
      <c r="Q38" s="147" t="s">
        <v>170</v>
      </c>
      <c r="R38" s="155" t="s">
        <v>171</v>
      </c>
      <c r="T38" s="159">
        <f>P38/SUM(P$26:P$38)</f>
        <v>0.2</v>
      </c>
      <c r="U38" t="str">
        <f>IF($F38="unit",VLOOKUP($G38,[4]characters!$A:$C,3,),($G38&amp;$F38))</f>
        <v>ママの作ったアップルパイ</v>
      </c>
    </row>
    <row r="39" spans="1:21" x14ac:dyDescent="0.15">
      <c r="A39" s="141">
        <v>39004</v>
      </c>
      <c r="B39" s="142">
        <v>4</v>
      </c>
      <c r="C39" s="143" t="str">
        <f t="shared" si="2"/>
        <v>39004_4</v>
      </c>
      <c r="D39" s="144" t="str">
        <f ca="1">VLOOKUP($C39,OFFSET([2]stages!$A$1,0,0,COUNTA([2]stages!$A:$A),MATCH(D$1,[2]stages!$2:$2,0)-MATCH($C$1,[2]stages!$2:$2,0)+1),MATCH(D$1,[2]stages!$2:$2,0)-MATCH($C$1,[2]stages!$2:$2,0)+1,FALSE)</f>
        <v>everyone</v>
      </c>
      <c r="E39" s="142">
        <v>38</v>
      </c>
      <c r="F39" s="142" t="s">
        <v>169</v>
      </c>
      <c r="G39" s="142">
        <v>6500</v>
      </c>
      <c r="H39" s="142" t="s">
        <v>213</v>
      </c>
      <c r="I39" s="142">
        <v>1</v>
      </c>
      <c r="J39" s="142">
        <v>1</v>
      </c>
      <c r="K39" s="142">
        <v>0</v>
      </c>
      <c r="L39" s="142">
        <v>0</v>
      </c>
      <c r="M39" s="142">
        <v>0</v>
      </c>
      <c r="N39" s="142">
        <v>0</v>
      </c>
      <c r="O39" s="142">
        <v>1</v>
      </c>
      <c r="P39" s="142">
        <v>150</v>
      </c>
      <c r="Q39" s="142" t="s">
        <v>170</v>
      </c>
      <c r="R39" s="156" t="s">
        <v>217</v>
      </c>
      <c r="T39" s="157">
        <f>P39/SUM(P$39:P$51)</f>
        <v>0.05</v>
      </c>
      <c r="U39" t="str">
        <f>IF($F39="unit",VLOOKUP($G39,[4]characters!$A:$C,3,),($G39&amp;$F39))</f>
        <v>6500bit</v>
      </c>
    </row>
    <row r="40" spans="1:21" x14ac:dyDescent="0.15">
      <c r="A40" s="145">
        <v>39004</v>
      </c>
      <c r="B40" s="82">
        <v>4</v>
      </c>
      <c r="C40" s="71" t="str">
        <f t="shared" si="0"/>
        <v>39004_4</v>
      </c>
      <c r="D40" s="17" t="str">
        <f ca="1">VLOOKUP($C40,OFFSET([2]stages!$A$1,0,0,COUNTA([2]stages!$A:$A),MATCH(D$1,[2]stages!$2:$2,0)-MATCH($C$1,[2]stages!$2:$2,0)+1),MATCH(D$1,[2]stages!$2:$2,0)-MATCH($C$1,[2]stages!$2:$2,0)+1,FALSE)</f>
        <v>everyone</v>
      </c>
      <c r="E40" s="82">
        <v>39</v>
      </c>
      <c r="F40" s="82" t="s">
        <v>214</v>
      </c>
      <c r="G40" s="82">
        <v>25</v>
      </c>
      <c r="H40" s="82" t="s">
        <v>218</v>
      </c>
      <c r="I40" s="82">
        <v>1</v>
      </c>
      <c r="J40" s="82">
        <v>1</v>
      </c>
      <c r="K40" s="82">
        <v>0</v>
      </c>
      <c r="L40" s="82">
        <v>0</v>
      </c>
      <c r="M40" s="82">
        <v>0</v>
      </c>
      <c r="N40" s="82">
        <v>0</v>
      </c>
      <c r="O40" s="82">
        <v>1</v>
      </c>
      <c r="P40" s="82">
        <v>150</v>
      </c>
      <c r="Q40" s="82" t="s">
        <v>170</v>
      </c>
      <c r="R40" s="152" t="s">
        <v>219</v>
      </c>
      <c r="T40" s="158">
        <f t="shared" ref="T40:T51" si="5">P40/SUM(P$39:P$51)</f>
        <v>0.05</v>
      </c>
      <c r="U40" t="str">
        <f>IF($F40="unit",VLOOKUP($G40,[4]characters!$A:$C,3,),($G40&amp;$F40))</f>
        <v>25link</v>
      </c>
    </row>
    <row r="41" spans="1:21" x14ac:dyDescent="0.15">
      <c r="A41" s="145">
        <v>39004</v>
      </c>
      <c r="B41" s="82">
        <v>4</v>
      </c>
      <c r="C41" s="71" t="str">
        <f t="shared" si="0"/>
        <v>39004_4</v>
      </c>
      <c r="D41" s="17" t="str">
        <f ca="1">VLOOKUP($C41,OFFSET([2]stages!$A$1,0,0,COUNTA([2]stages!$A:$A),MATCH(D$1,[2]stages!$2:$2,0)-MATCH($C$1,[2]stages!$2:$2,0)+1),MATCH(D$1,[2]stages!$2:$2,0)-MATCH($C$1,[2]stages!$2:$2,0)+1,FALSE)</f>
        <v>everyone</v>
      </c>
      <c r="E41" s="82">
        <v>40</v>
      </c>
      <c r="F41" s="82" t="s">
        <v>220</v>
      </c>
      <c r="G41" s="82">
        <v>344</v>
      </c>
      <c r="H41" s="82">
        <v>1</v>
      </c>
      <c r="I41" s="82">
        <v>1</v>
      </c>
      <c r="J41" s="82">
        <v>1</v>
      </c>
      <c r="K41" s="82">
        <v>0</v>
      </c>
      <c r="L41" s="82">
        <v>0</v>
      </c>
      <c r="M41" s="82">
        <v>0</v>
      </c>
      <c r="N41" s="82">
        <v>0</v>
      </c>
      <c r="O41" s="82">
        <v>1</v>
      </c>
      <c r="P41" s="82">
        <v>28</v>
      </c>
      <c r="Q41" s="82" t="s">
        <v>170</v>
      </c>
      <c r="R41" s="152" t="s">
        <v>171</v>
      </c>
      <c r="T41" s="158">
        <f t="shared" si="5"/>
        <v>9.3333333333333341E-3</v>
      </c>
      <c r="U41" t="str">
        <f>IF($F41="unit",VLOOKUP($G41,[4]characters!$A:$C,3,),($G41&amp;$F41))</f>
        <v>雷のメタルピヨピヨ</v>
      </c>
    </row>
    <row r="42" spans="1:21" x14ac:dyDescent="0.15">
      <c r="A42" s="145">
        <v>39004</v>
      </c>
      <c r="B42" s="82">
        <v>4</v>
      </c>
      <c r="C42" s="71" t="str">
        <f t="shared" si="0"/>
        <v>39004_4</v>
      </c>
      <c r="D42" s="17" t="str">
        <f ca="1">VLOOKUP($C42,OFFSET([2]stages!$A$1,0,0,COUNTA([2]stages!$A:$A),MATCH(D$1,[2]stages!$2:$2,0)-MATCH($C$1,[2]stages!$2:$2,0)+1),MATCH(D$1,[2]stages!$2:$2,0)-MATCH($C$1,[2]stages!$2:$2,0)+1,FALSE)</f>
        <v>everyone</v>
      </c>
      <c r="E42" s="82">
        <v>41</v>
      </c>
      <c r="F42" s="82" t="s">
        <v>220</v>
      </c>
      <c r="G42" s="82">
        <v>345</v>
      </c>
      <c r="H42" s="82">
        <v>1</v>
      </c>
      <c r="I42" s="82">
        <v>1</v>
      </c>
      <c r="J42" s="82">
        <v>1</v>
      </c>
      <c r="K42" s="82">
        <v>0</v>
      </c>
      <c r="L42" s="82">
        <v>0</v>
      </c>
      <c r="M42" s="82">
        <v>0</v>
      </c>
      <c r="N42" s="82">
        <v>0</v>
      </c>
      <c r="O42" s="82">
        <v>1</v>
      </c>
      <c r="P42" s="82">
        <v>56</v>
      </c>
      <c r="Q42" s="82" t="s">
        <v>170</v>
      </c>
      <c r="R42" s="152" t="s">
        <v>171</v>
      </c>
      <c r="T42" s="158">
        <f t="shared" si="5"/>
        <v>1.8666666666666668E-2</v>
      </c>
      <c r="U42" t="str">
        <f>IF($F42="unit",VLOOKUP($G42,[4]characters!$A:$C,3,),($G42&amp;$F42))</f>
        <v>雷のメタルチック</v>
      </c>
    </row>
    <row r="43" spans="1:21" x14ac:dyDescent="0.15">
      <c r="A43" s="145">
        <v>39004</v>
      </c>
      <c r="B43" s="82">
        <v>4</v>
      </c>
      <c r="C43" s="71" t="str">
        <f t="shared" si="0"/>
        <v>39004_4</v>
      </c>
      <c r="D43" s="17" t="str">
        <f ca="1">VLOOKUP($C43,OFFSET([2]stages!$A$1,0,0,COUNTA([2]stages!$A:$A),MATCH(D$1,[2]stages!$2:$2,0)-MATCH($C$1,[2]stages!$2:$2,0)+1),MATCH(D$1,[2]stages!$2:$2,0)-MATCH($C$1,[2]stages!$2:$2,0)+1,FALSE)</f>
        <v>everyone</v>
      </c>
      <c r="E43" s="82">
        <v>42</v>
      </c>
      <c r="F43" s="82" t="s">
        <v>220</v>
      </c>
      <c r="G43" s="82">
        <v>346</v>
      </c>
      <c r="H43" s="82">
        <v>1</v>
      </c>
      <c r="I43" s="82">
        <v>1</v>
      </c>
      <c r="J43" s="82">
        <v>1</v>
      </c>
      <c r="K43" s="82">
        <v>0</v>
      </c>
      <c r="L43" s="82">
        <v>0</v>
      </c>
      <c r="M43" s="82">
        <v>0</v>
      </c>
      <c r="N43" s="82">
        <v>0</v>
      </c>
      <c r="O43" s="82">
        <v>1</v>
      </c>
      <c r="P43" s="82">
        <v>56</v>
      </c>
      <c r="Q43" s="82" t="s">
        <v>170</v>
      </c>
      <c r="R43" s="152" t="s">
        <v>171</v>
      </c>
      <c r="T43" s="158">
        <f t="shared" si="5"/>
        <v>1.8666666666666668E-2</v>
      </c>
      <c r="U43" t="str">
        <f>IF($F43="unit",VLOOKUP($G43,[4]characters!$A:$C,3,),($G43&amp;$F43))</f>
        <v>雷のメタルダック</v>
      </c>
    </row>
    <row r="44" spans="1:21" x14ac:dyDescent="0.15">
      <c r="A44" s="145">
        <v>39004</v>
      </c>
      <c r="B44" s="82">
        <v>4</v>
      </c>
      <c r="C44" s="71" t="str">
        <f t="shared" si="0"/>
        <v>39004_4</v>
      </c>
      <c r="D44" s="17" t="str">
        <f ca="1">VLOOKUP($C44,OFFSET([2]stages!$A$1,0,0,COUNTA([2]stages!$A:$A),MATCH(D$1,[2]stages!$2:$2,0)-MATCH($C$1,[2]stages!$2:$2,0)+1),MATCH(D$1,[2]stages!$2:$2,0)-MATCH($C$1,[2]stages!$2:$2,0)+1,FALSE)</f>
        <v>everyone</v>
      </c>
      <c r="E44" s="82">
        <v>43</v>
      </c>
      <c r="F44" s="82" t="s">
        <v>220</v>
      </c>
      <c r="G44" s="82">
        <v>121</v>
      </c>
      <c r="H44" s="82">
        <v>1</v>
      </c>
      <c r="I44" s="82">
        <v>1</v>
      </c>
      <c r="J44" s="82">
        <v>1</v>
      </c>
      <c r="K44" s="82">
        <v>0</v>
      </c>
      <c r="L44" s="82">
        <v>0</v>
      </c>
      <c r="M44" s="82">
        <v>0</v>
      </c>
      <c r="N44" s="82">
        <v>0</v>
      </c>
      <c r="O44" s="82">
        <v>1</v>
      </c>
      <c r="P44" s="82">
        <v>50</v>
      </c>
      <c r="Q44" s="82" t="s">
        <v>170</v>
      </c>
      <c r="R44" s="152" t="s">
        <v>171</v>
      </c>
      <c r="T44" s="158">
        <f t="shared" si="5"/>
        <v>1.6666666666666666E-2</v>
      </c>
      <c r="U44" t="str">
        <f>IF($F44="unit",VLOOKUP($G44,[4]characters!$A:$C,3,),($G44&amp;$F44))</f>
        <v>攻めの果実</v>
      </c>
    </row>
    <row r="45" spans="1:21" x14ac:dyDescent="0.15">
      <c r="A45" s="145">
        <v>39004</v>
      </c>
      <c r="B45" s="82">
        <v>4</v>
      </c>
      <c r="C45" s="71" t="str">
        <f t="shared" si="0"/>
        <v>39004_4</v>
      </c>
      <c r="D45" s="17" t="str">
        <f ca="1">VLOOKUP($C45,OFFSET([2]stages!$A$1,0,0,COUNTA([2]stages!$A:$A),MATCH(D$1,[2]stages!$2:$2,0)-MATCH($C$1,[2]stages!$2:$2,0)+1),MATCH(D$1,[2]stages!$2:$2,0)-MATCH($C$1,[2]stages!$2:$2,0)+1,FALSE)</f>
        <v>everyone</v>
      </c>
      <c r="E45" s="82">
        <v>44</v>
      </c>
      <c r="F45" s="82" t="s">
        <v>220</v>
      </c>
      <c r="G45" s="82">
        <v>122</v>
      </c>
      <c r="H45" s="82">
        <v>1</v>
      </c>
      <c r="I45" s="82">
        <v>1</v>
      </c>
      <c r="J45" s="82">
        <v>1</v>
      </c>
      <c r="K45" s="82">
        <v>0</v>
      </c>
      <c r="L45" s="82">
        <v>0</v>
      </c>
      <c r="M45" s="82">
        <v>0</v>
      </c>
      <c r="N45" s="82">
        <v>0</v>
      </c>
      <c r="O45" s="82">
        <v>1</v>
      </c>
      <c r="P45" s="82">
        <v>50</v>
      </c>
      <c r="Q45" s="82" t="s">
        <v>170</v>
      </c>
      <c r="R45" s="152" t="s">
        <v>171</v>
      </c>
      <c r="T45" s="158">
        <f t="shared" si="5"/>
        <v>1.6666666666666666E-2</v>
      </c>
      <c r="U45" t="str">
        <f>IF($F45="unit",VLOOKUP($G45,[4]characters!$A:$C,3,),($G45&amp;$F45))</f>
        <v>生命の果実</v>
      </c>
    </row>
    <row r="46" spans="1:21" x14ac:dyDescent="0.15">
      <c r="A46" s="145">
        <v>39004</v>
      </c>
      <c r="B46" s="82">
        <v>4</v>
      </c>
      <c r="C46" s="71" t="str">
        <f t="shared" si="0"/>
        <v>39004_4</v>
      </c>
      <c r="D46" s="17" t="str">
        <f ca="1">VLOOKUP($C46,OFFSET([2]stages!$A$1,0,0,COUNTA([2]stages!$A:$A),MATCH(D$1,[2]stages!$2:$2,0)-MATCH($C$1,[2]stages!$2:$2,0)+1),MATCH(D$1,[2]stages!$2:$2,0)-MATCH($C$1,[2]stages!$2:$2,0)+1,FALSE)</f>
        <v>everyone</v>
      </c>
      <c r="E46" s="82">
        <v>45</v>
      </c>
      <c r="F46" s="82" t="s">
        <v>220</v>
      </c>
      <c r="G46" s="82">
        <v>123</v>
      </c>
      <c r="H46" s="82">
        <v>1</v>
      </c>
      <c r="I46" s="82">
        <v>1</v>
      </c>
      <c r="J46" s="82">
        <v>1</v>
      </c>
      <c r="K46" s="82">
        <v>0</v>
      </c>
      <c r="L46" s="82">
        <v>0</v>
      </c>
      <c r="M46" s="82">
        <v>0</v>
      </c>
      <c r="N46" s="82">
        <v>0</v>
      </c>
      <c r="O46" s="82">
        <v>1</v>
      </c>
      <c r="P46" s="82">
        <v>50</v>
      </c>
      <c r="Q46" s="82" t="s">
        <v>170</v>
      </c>
      <c r="R46" s="152" t="s">
        <v>171</v>
      </c>
      <c r="T46" s="158">
        <f t="shared" si="5"/>
        <v>1.6666666666666666E-2</v>
      </c>
      <c r="U46" t="str">
        <f>IF($F46="unit",VLOOKUP($G46,[4]characters!$A:$C,3,),($G46&amp;$F46))</f>
        <v>癒しの果実</v>
      </c>
    </row>
    <row r="47" spans="1:21" x14ac:dyDescent="0.15">
      <c r="A47" s="145">
        <v>39004</v>
      </c>
      <c r="B47" s="82">
        <v>4</v>
      </c>
      <c r="C47" s="71" t="str">
        <f t="shared" si="0"/>
        <v>39004_4</v>
      </c>
      <c r="D47" s="17" t="str">
        <f ca="1">VLOOKUP($C47,OFFSET([2]stages!$A$1,0,0,COUNTA([2]stages!$A:$A),MATCH(D$1,[2]stages!$2:$2,0)-MATCH($C$1,[2]stages!$2:$2,0)+1),MATCH(D$1,[2]stages!$2:$2,0)-MATCH($C$1,[2]stages!$2:$2,0)+1,FALSE)</f>
        <v>everyone</v>
      </c>
      <c r="E47" s="82">
        <v>46</v>
      </c>
      <c r="F47" s="82" t="s">
        <v>220</v>
      </c>
      <c r="G47" s="82">
        <v>125</v>
      </c>
      <c r="H47" s="82">
        <v>1</v>
      </c>
      <c r="I47" s="82">
        <v>1</v>
      </c>
      <c r="J47" s="82">
        <v>1</v>
      </c>
      <c r="K47" s="82">
        <v>0</v>
      </c>
      <c r="L47" s="82">
        <v>0</v>
      </c>
      <c r="M47" s="82">
        <v>0</v>
      </c>
      <c r="N47" s="82">
        <v>0</v>
      </c>
      <c r="O47" s="82">
        <v>1</v>
      </c>
      <c r="P47" s="82">
        <v>10</v>
      </c>
      <c r="Q47" s="82" t="s">
        <v>170</v>
      </c>
      <c r="R47" s="152" t="s">
        <v>171</v>
      </c>
      <c r="T47" s="158">
        <f t="shared" si="5"/>
        <v>3.3333333333333335E-3</v>
      </c>
      <c r="U47" t="str">
        <f>IF($F47="unit",VLOOKUP($G47,[4]characters!$A:$C,3,),($G47&amp;$F47))</f>
        <v>秘術の果実</v>
      </c>
    </row>
    <row r="48" spans="1:21" x14ac:dyDescent="0.15">
      <c r="A48" s="145">
        <v>39004</v>
      </c>
      <c r="B48" s="82">
        <v>4</v>
      </c>
      <c r="C48" s="71" t="str">
        <f t="shared" si="0"/>
        <v>39004_4</v>
      </c>
      <c r="D48" s="17" t="str">
        <f ca="1">VLOOKUP($C48,OFFSET([2]stages!$A$1,0,0,COUNTA([2]stages!$A:$A),MATCH(D$1,[2]stages!$2:$2,0)-MATCH($C$1,[2]stages!$2:$2,0)+1),MATCH(D$1,[2]stages!$2:$2,0)-MATCH($C$1,[2]stages!$2:$2,0)+1,FALSE)</f>
        <v>everyone</v>
      </c>
      <c r="E48" s="82">
        <v>47</v>
      </c>
      <c r="F48" s="82" t="s">
        <v>220</v>
      </c>
      <c r="G48" s="101">
        <v>901</v>
      </c>
      <c r="H48" s="82">
        <v>1</v>
      </c>
      <c r="I48" s="82">
        <v>1</v>
      </c>
      <c r="J48" s="82">
        <v>1</v>
      </c>
      <c r="K48" s="82">
        <v>0</v>
      </c>
      <c r="L48" s="82">
        <v>0</v>
      </c>
      <c r="M48" s="82">
        <v>0</v>
      </c>
      <c r="N48" s="82">
        <v>0</v>
      </c>
      <c r="O48" s="82">
        <v>1</v>
      </c>
      <c r="P48" s="82">
        <v>750</v>
      </c>
      <c r="Q48" s="82" t="s">
        <v>170</v>
      </c>
      <c r="R48" s="152" t="s">
        <v>171</v>
      </c>
      <c r="T48" s="158">
        <f t="shared" si="5"/>
        <v>0.25</v>
      </c>
      <c r="U48" t="str">
        <f>IF($F48="unit",VLOOKUP($G48,[4]characters!$A:$C,3,),($G48&amp;$F48))</f>
        <v>恩愛性ニムダ</v>
      </c>
    </row>
    <row r="49" spans="1:21" x14ac:dyDescent="0.15">
      <c r="A49" s="145">
        <v>39004</v>
      </c>
      <c r="B49" s="82">
        <v>4</v>
      </c>
      <c r="C49" s="71" t="str">
        <f t="shared" si="0"/>
        <v>39004_4</v>
      </c>
      <c r="D49" s="17" t="str">
        <f ca="1">VLOOKUP($C49,OFFSET([2]stages!$A$1,0,0,COUNTA([2]stages!$A:$A),MATCH(D$1,[2]stages!$2:$2,0)-MATCH($C$1,[2]stages!$2:$2,0)+1),MATCH(D$1,[2]stages!$2:$2,0)-MATCH($C$1,[2]stages!$2:$2,0)+1,FALSE)</f>
        <v>everyone</v>
      </c>
      <c r="E49" s="82">
        <v>48</v>
      </c>
      <c r="F49" s="82" t="s">
        <v>215</v>
      </c>
      <c r="G49" s="82">
        <v>354</v>
      </c>
      <c r="H49" s="82">
        <v>1</v>
      </c>
      <c r="I49" s="82">
        <v>1</v>
      </c>
      <c r="J49" s="82">
        <v>1</v>
      </c>
      <c r="K49" s="82">
        <v>0</v>
      </c>
      <c r="L49" s="82">
        <v>0</v>
      </c>
      <c r="M49" s="82">
        <v>0</v>
      </c>
      <c r="N49" s="82">
        <v>0</v>
      </c>
      <c r="O49" s="82">
        <v>1</v>
      </c>
      <c r="P49" s="82">
        <v>150</v>
      </c>
      <c r="Q49" s="82" t="s">
        <v>170</v>
      </c>
      <c r="R49" s="152" t="s">
        <v>171</v>
      </c>
      <c r="T49" s="158">
        <f t="shared" si="5"/>
        <v>0.05</v>
      </c>
      <c r="U49" t="str">
        <f>IF($F49="unit",VLOOKUP($G49,[4]characters!$A:$C,3,),($G49&amp;$F49))</f>
        <v>雷のケロケロ</v>
      </c>
    </row>
    <row r="50" spans="1:21" x14ac:dyDescent="0.15">
      <c r="A50" s="145">
        <v>39004</v>
      </c>
      <c r="B50" s="82">
        <v>4</v>
      </c>
      <c r="C50" s="71" t="str">
        <f t="shared" ref="C50:C51" si="6">A50&amp; "_"&amp;B50</f>
        <v>39004_4</v>
      </c>
      <c r="D50" s="17" t="str">
        <f ca="1">VLOOKUP($C50,OFFSET([2]stages!$A$1,0,0,COUNTA([2]stages!$A:$A),MATCH(D$1,[2]stages!$2:$2,0)-MATCH($C$1,[2]stages!$2:$2,0)+1),MATCH(D$1,[2]stages!$2:$2,0)-MATCH($C$1,[2]stages!$2:$2,0)+1,FALSE)</f>
        <v>everyone</v>
      </c>
      <c r="E50" s="82">
        <v>49</v>
      </c>
      <c r="F50" s="82" t="s">
        <v>215</v>
      </c>
      <c r="G50" s="82">
        <v>907</v>
      </c>
      <c r="H50" s="82">
        <v>1</v>
      </c>
      <c r="I50" s="82">
        <v>1</v>
      </c>
      <c r="J50" s="82">
        <v>1</v>
      </c>
      <c r="K50" s="82">
        <v>0</v>
      </c>
      <c r="L50" s="82">
        <v>0</v>
      </c>
      <c r="M50" s="82">
        <v>0</v>
      </c>
      <c r="N50" s="82">
        <v>0</v>
      </c>
      <c r="O50" s="82">
        <v>1</v>
      </c>
      <c r="P50" s="82">
        <v>750</v>
      </c>
      <c r="Q50" s="82" t="s">
        <v>170</v>
      </c>
      <c r="R50" s="152" t="s">
        <v>171</v>
      </c>
      <c r="T50" s="158">
        <f t="shared" si="5"/>
        <v>0.25</v>
      </c>
      <c r="U50" t="str">
        <f>IF($F50="unit",VLOOKUP($G50,[4]characters!$A:$C,3,),($G50&amp;$F50))</f>
        <v>ハローキティのリボン</v>
      </c>
    </row>
    <row r="51" spans="1:21" ht="16" thickBot="1" x14ac:dyDescent="0.2">
      <c r="A51" s="146">
        <v>39004</v>
      </c>
      <c r="B51" s="147">
        <v>4</v>
      </c>
      <c r="C51" s="148" t="str">
        <f t="shared" si="6"/>
        <v>39004_4</v>
      </c>
      <c r="D51" s="149" t="str">
        <f ca="1">VLOOKUP($C51,OFFSET([2]stages!$A$1,0,0,COUNTA([2]stages!$A:$A),MATCH(D$1,[2]stages!$2:$2,0)-MATCH($C$1,[2]stages!$2:$2,0)+1),MATCH(D$1,[2]stages!$2:$2,0)-MATCH($C$1,[2]stages!$2:$2,0)+1,FALSE)</f>
        <v>everyone</v>
      </c>
      <c r="E51" s="147">
        <v>50</v>
      </c>
      <c r="F51" s="147" t="s">
        <v>215</v>
      </c>
      <c r="G51" s="147">
        <v>908</v>
      </c>
      <c r="H51" s="147">
        <v>1</v>
      </c>
      <c r="I51" s="147">
        <v>1</v>
      </c>
      <c r="J51" s="147">
        <v>1</v>
      </c>
      <c r="K51" s="147">
        <v>0</v>
      </c>
      <c r="L51" s="147">
        <v>0</v>
      </c>
      <c r="M51" s="147">
        <v>0</v>
      </c>
      <c r="N51" s="147">
        <v>0</v>
      </c>
      <c r="O51" s="147">
        <v>1</v>
      </c>
      <c r="P51" s="147">
        <v>750</v>
      </c>
      <c r="Q51" s="147" t="s">
        <v>170</v>
      </c>
      <c r="R51" s="155" t="s">
        <v>171</v>
      </c>
      <c r="T51" s="159">
        <f t="shared" si="5"/>
        <v>0.25</v>
      </c>
      <c r="U51" t="str">
        <f>IF($F51="unit",VLOOKUP($G51,[4]characters!$A:$C,3,),($G51&amp;$F51))</f>
        <v>ママの作ったアップルパイ</v>
      </c>
    </row>
  </sheetData>
  <phoneticPr fontId="5"/>
  <dataValidations count="1">
    <dataValidation type="list" allowBlank="1" showInputMessage="1" showErrorMessage="1" sqref="F2:F51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08"/>
  <sheetViews>
    <sheetView showGridLines="0" workbookViewId="0">
      <pane ySplit="1" topLeftCell="A2" activePane="bottomLeft" state="frozen"/>
      <selection pane="bottomLeft" activeCell="K25" sqref="K25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0" width="11.1640625" customWidth="1"/>
    <col min="11" max="11" width="33.1640625" customWidth="1"/>
    <col min="12" max="12" width="42.6640625" customWidth="1"/>
  </cols>
  <sheetData>
    <row r="1" spans="1:13" x14ac:dyDescent="0.15">
      <c r="A1" s="77" t="s">
        <v>188</v>
      </c>
      <c r="B1" s="73" t="s">
        <v>189</v>
      </c>
      <c r="C1" s="78" t="s">
        <v>190</v>
      </c>
      <c r="D1" s="78" t="s">
        <v>33</v>
      </c>
      <c r="E1" s="73" t="s">
        <v>191</v>
      </c>
      <c r="F1" s="78" t="s">
        <v>192</v>
      </c>
      <c r="G1" s="78" t="s">
        <v>33</v>
      </c>
      <c r="H1" s="73" t="s">
        <v>193</v>
      </c>
      <c r="I1" s="92" t="s">
        <v>195</v>
      </c>
      <c r="J1" s="80" t="s">
        <v>127</v>
      </c>
      <c r="K1" s="79" t="s">
        <v>187</v>
      </c>
      <c r="L1" s="93" t="s">
        <v>186</v>
      </c>
      <c r="M1" s="81" t="s">
        <v>196</v>
      </c>
    </row>
    <row r="2" spans="1:13" x14ac:dyDescent="0.15">
      <c r="A2" s="82"/>
      <c r="B2" s="83"/>
      <c r="C2" s="84"/>
      <c r="D2" s="84"/>
      <c r="E2" s="88"/>
      <c r="F2" s="84"/>
      <c r="G2" s="84"/>
      <c r="H2" s="86"/>
      <c r="J2" s="85"/>
      <c r="K2" s="94"/>
      <c r="L2" s="162"/>
      <c r="M2" s="56"/>
    </row>
    <row r="3" spans="1:13" x14ac:dyDescent="0.15">
      <c r="A3" s="82"/>
      <c r="B3" s="83"/>
      <c r="C3" s="84"/>
      <c r="D3" s="84"/>
      <c r="E3" s="88"/>
      <c r="F3" s="84"/>
      <c r="G3" s="84"/>
      <c r="H3" s="86"/>
      <c r="J3" s="85"/>
      <c r="K3" s="94"/>
      <c r="L3" s="95"/>
      <c r="M3" s="56"/>
    </row>
    <row r="4" spans="1:13" x14ac:dyDescent="0.15">
      <c r="A4" s="82"/>
      <c r="B4" s="83"/>
      <c r="C4" s="84"/>
      <c r="D4" s="84"/>
      <c r="E4" s="88"/>
      <c r="F4" s="84"/>
      <c r="G4" s="84"/>
      <c r="H4" s="86"/>
      <c r="J4" s="85"/>
      <c r="K4" s="94"/>
      <c r="L4" s="95"/>
      <c r="M4" s="56"/>
    </row>
    <row r="5" spans="1:13" x14ac:dyDescent="0.15">
      <c r="A5" s="82"/>
      <c r="B5" s="83"/>
      <c r="C5" s="84"/>
      <c r="D5" s="84"/>
      <c r="E5" s="88"/>
      <c r="F5" s="84"/>
      <c r="G5" s="84"/>
      <c r="H5" s="86"/>
      <c r="J5" s="85"/>
      <c r="K5" s="94"/>
      <c r="L5" s="95"/>
      <c r="M5" s="56"/>
    </row>
    <row r="6" spans="1:13" x14ac:dyDescent="0.15">
      <c r="A6" s="82"/>
      <c r="B6" s="83"/>
      <c r="C6" s="84"/>
      <c r="D6" s="84"/>
      <c r="E6" s="88"/>
      <c r="F6" s="84"/>
      <c r="G6" s="84"/>
      <c r="H6" s="86"/>
      <c r="J6" s="85"/>
      <c r="K6" s="94"/>
      <c r="L6" s="95"/>
      <c r="M6" s="56"/>
    </row>
    <row r="7" spans="1:13" x14ac:dyDescent="0.15">
      <c r="A7" s="82"/>
      <c r="B7" s="83"/>
      <c r="C7" s="84"/>
      <c r="D7" s="84"/>
      <c r="E7" s="88"/>
      <c r="F7" s="84"/>
      <c r="G7" s="84"/>
      <c r="H7" s="86"/>
      <c r="J7" s="85"/>
      <c r="K7" s="94"/>
      <c r="L7" s="95"/>
      <c r="M7" s="56"/>
    </row>
    <row r="8" spans="1:13" x14ac:dyDescent="0.15">
      <c r="A8" s="82"/>
      <c r="B8" s="83"/>
      <c r="C8" s="84"/>
      <c r="D8" s="84"/>
      <c r="E8" s="88"/>
      <c r="F8" s="84"/>
      <c r="G8" s="84"/>
      <c r="H8" s="86"/>
      <c r="J8" s="85"/>
      <c r="K8" s="94"/>
      <c r="L8" s="95"/>
      <c r="M8" s="56"/>
    </row>
    <row r="9" spans="1:13" x14ac:dyDescent="0.15">
      <c r="A9" s="82"/>
      <c r="B9" s="83"/>
      <c r="C9" s="84"/>
      <c r="D9" s="84"/>
      <c r="E9" s="88"/>
      <c r="F9" s="84"/>
      <c r="G9" s="84"/>
      <c r="H9" s="86"/>
      <c r="J9" s="85"/>
      <c r="K9" s="94"/>
      <c r="L9" s="95"/>
      <c r="M9" s="56"/>
    </row>
    <row r="10" spans="1:13" x14ac:dyDescent="0.15">
      <c r="A10" s="82"/>
      <c r="B10" s="83"/>
      <c r="C10" s="84"/>
      <c r="D10" s="84"/>
      <c r="E10" s="88"/>
      <c r="F10" s="84"/>
      <c r="G10" s="84"/>
      <c r="H10" s="86"/>
      <c r="J10" s="85"/>
      <c r="K10" s="94"/>
      <c r="L10" s="95"/>
      <c r="M10" s="56"/>
    </row>
    <row r="11" spans="1:13" x14ac:dyDescent="0.15">
      <c r="A11" s="82"/>
      <c r="B11" s="83"/>
      <c r="C11" s="84"/>
      <c r="D11" s="84"/>
      <c r="E11" s="88"/>
      <c r="F11" s="84"/>
      <c r="G11" s="84"/>
      <c r="H11" s="86"/>
      <c r="J11" s="85"/>
      <c r="K11" s="94"/>
      <c r="L11" s="95"/>
      <c r="M11" s="56"/>
    </row>
    <row r="12" spans="1:13" x14ac:dyDescent="0.15">
      <c r="A12" s="82"/>
      <c r="B12" s="83"/>
      <c r="C12" s="84"/>
      <c r="D12" s="84"/>
      <c r="E12" s="88"/>
      <c r="F12" s="84"/>
      <c r="G12" s="84"/>
      <c r="H12" s="86"/>
      <c r="J12" s="85"/>
      <c r="K12" s="94"/>
      <c r="L12" s="95"/>
      <c r="M12" s="56"/>
    </row>
    <row r="13" spans="1:13" x14ac:dyDescent="0.15">
      <c r="A13" s="82"/>
      <c r="B13" s="83"/>
      <c r="C13" s="84"/>
      <c r="D13" s="84"/>
      <c r="E13" s="88"/>
      <c r="F13" s="84"/>
      <c r="G13" s="84"/>
      <c r="H13" s="86"/>
      <c r="J13" s="85"/>
      <c r="K13" s="94"/>
      <c r="L13" s="95"/>
      <c r="M13" s="56"/>
    </row>
    <row r="14" spans="1:13" x14ac:dyDescent="0.15">
      <c r="A14" s="82"/>
      <c r="B14" s="83"/>
      <c r="C14" s="84"/>
      <c r="D14" s="84"/>
      <c r="E14" s="88"/>
      <c r="F14" s="84"/>
      <c r="G14" s="84"/>
      <c r="H14" s="86"/>
      <c r="J14" s="85"/>
      <c r="K14" s="94"/>
      <c r="L14" s="95"/>
      <c r="M14" s="56"/>
    </row>
    <row r="15" spans="1:13" x14ac:dyDescent="0.15">
      <c r="A15" s="82"/>
      <c r="B15" s="83"/>
      <c r="C15" s="84"/>
      <c r="D15" s="84"/>
      <c r="E15" s="88"/>
      <c r="F15" s="84"/>
      <c r="G15" s="84"/>
      <c r="H15" s="86"/>
      <c r="J15" s="85"/>
      <c r="K15" s="94"/>
      <c r="L15" s="95"/>
      <c r="M15" s="56"/>
    </row>
    <row r="16" spans="1:13" x14ac:dyDescent="0.15">
      <c r="A16" s="82"/>
      <c r="B16" s="83"/>
      <c r="C16" s="84"/>
      <c r="D16" s="84"/>
      <c r="E16" s="88"/>
      <c r="F16" s="84"/>
      <c r="G16" s="84"/>
      <c r="H16" s="86"/>
      <c r="J16" s="85"/>
      <c r="K16" s="94"/>
      <c r="L16" s="95"/>
      <c r="M16" s="56"/>
    </row>
    <row r="17" spans="1:13" x14ac:dyDescent="0.15">
      <c r="A17" s="82"/>
      <c r="B17" s="83"/>
      <c r="C17" s="84"/>
      <c r="D17" s="84"/>
      <c r="E17" s="88"/>
      <c r="F17" s="84"/>
      <c r="G17" s="84"/>
      <c r="H17" s="86"/>
      <c r="J17" s="85"/>
      <c r="K17" s="94"/>
      <c r="L17" s="95"/>
      <c r="M17" s="56"/>
    </row>
    <row r="18" spans="1:13" x14ac:dyDescent="0.15">
      <c r="A18" s="82"/>
      <c r="B18" s="83"/>
      <c r="C18" s="84"/>
      <c r="D18" s="84"/>
      <c r="E18" s="88"/>
      <c r="F18" s="84"/>
      <c r="G18" s="84"/>
      <c r="H18" s="86"/>
      <c r="J18" s="85"/>
      <c r="K18" s="94"/>
      <c r="L18" s="95"/>
      <c r="M18" s="56"/>
    </row>
    <row r="19" spans="1:13" x14ac:dyDescent="0.15">
      <c r="A19" s="82"/>
      <c r="B19" s="83"/>
      <c r="C19" s="84"/>
      <c r="D19" s="84"/>
      <c r="E19" s="88"/>
      <c r="F19" s="84"/>
      <c r="G19" s="84"/>
      <c r="H19" s="86"/>
      <c r="J19" s="85"/>
      <c r="K19" s="94"/>
      <c r="L19" s="95"/>
      <c r="M19" s="56"/>
    </row>
    <row r="20" spans="1:13" x14ac:dyDescent="0.15">
      <c r="A20" s="82"/>
      <c r="B20" s="83"/>
      <c r="C20" s="84"/>
      <c r="D20" s="84"/>
      <c r="E20" s="88"/>
      <c r="F20" s="84"/>
      <c r="G20" s="84"/>
      <c r="H20" s="86"/>
      <c r="J20" s="85"/>
      <c r="K20" s="94"/>
      <c r="L20" s="95"/>
      <c r="M20" s="56"/>
    </row>
    <row r="21" spans="1:13" x14ac:dyDescent="0.15">
      <c r="A21" s="82"/>
      <c r="B21" s="83"/>
      <c r="C21" s="84"/>
      <c r="D21" s="84"/>
      <c r="E21" s="88"/>
      <c r="F21" s="84"/>
      <c r="G21" s="84"/>
      <c r="H21" s="86"/>
      <c r="J21" s="85"/>
      <c r="K21" s="94"/>
      <c r="L21" s="95"/>
      <c r="M21" s="56"/>
    </row>
    <row r="22" spans="1:13" x14ac:dyDescent="0.15">
      <c r="A22" s="82"/>
      <c r="B22" s="83"/>
      <c r="C22" s="84"/>
      <c r="D22" s="84"/>
      <c r="E22" s="88"/>
      <c r="F22" s="84"/>
      <c r="G22" s="84"/>
      <c r="H22" s="86"/>
      <c r="J22" s="85"/>
      <c r="K22" s="94"/>
      <c r="L22" s="95"/>
      <c r="M22" s="56"/>
    </row>
    <row r="23" spans="1:13" x14ac:dyDescent="0.15">
      <c r="A23" s="82"/>
      <c r="B23" s="83"/>
      <c r="C23" s="84"/>
      <c r="D23" s="84"/>
      <c r="E23" s="88"/>
      <c r="F23" s="84"/>
      <c r="G23" s="84"/>
      <c r="H23" s="86"/>
      <c r="J23" s="85"/>
      <c r="K23" s="94"/>
      <c r="L23" s="95"/>
      <c r="M23" s="56"/>
    </row>
    <row r="24" spans="1:13" x14ac:dyDescent="0.15">
      <c r="A24" s="82"/>
      <c r="B24" s="83"/>
      <c r="C24" s="84"/>
      <c r="D24" s="84"/>
      <c r="E24" s="88"/>
      <c r="F24" s="84"/>
      <c r="G24" s="84"/>
      <c r="H24" s="86"/>
      <c r="J24" s="85"/>
      <c r="K24" s="94"/>
      <c r="L24" s="95"/>
      <c r="M24" s="56"/>
    </row>
    <row r="25" spans="1:13" x14ac:dyDescent="0.15">
      <c r="A25" s="82"/>
      <c r="B25" s="83"/>
      <c r="C25" s="84"/>
      <c r="D25" s="84"/>
      <c r="E25" s="88"/>
      <c r="F25" s="84"/>
      <c r="G25" s="84"/>
      <c r="H25" s="86"/>
      <c r="J25" s="85"/>
      <c r="K25" s="94"/>
      <c r="L25" s="95"/>
      <c r="M25" s="56"/>
    </row>
    <row r="26" spans="1:13" x14ac:dyDescent="0.15">
      <c r="A26" s="82"/>
      <c r="B26" s="83"/>
      <c r="C26" s="84"/>
      <c r="D26" s="84"/>
      <c r="E26" s="88"/>
      <c r="F26" s="84"/>
      <c r="G26" s="84"/>
      <c r="H26" s="86"/>
      <c r="J26" s="85"/>
      <c r="K26" s="94"/>
      <c r="L26" s="95"/>
      <c r="M26" s="56"/>
    </row>
    <row r="27" spans="1:13" x14ac:dyDescent="0.15">
      <c r="A27" s="82"/>
      <c r="B27" s="83"/>
      <c r="C27" s="84"/>
      <c r="D27" s="84"/>
      <c r="E27" s="88"/>
      <c r="F27" s="84"/>
      <c r="G27" s="84"/>
      <c r="H27" s="86"/>
      <c r="J27" s="85"/>
      <c r="K27" s="94"/>
      <c r="L27" s="95"/>
      <c r="M27" s="56"/>
    </row>
    <row r="28" spans="1:13" x14ac:dyDescent="0.15">
      <c r="A28" s="82"/>
      <c r="B28" s="83"/>
      <c r="C28" s="84"/>
      <c r="D28" s="84"/>
      <c r="E28" s="88"/>
      <c r="F28" s="84"/>
      <c r="G28" s="84"/>
      <c r="H28" s="86"/>
      <c r="J28" s="85"/>
      <c r="K28" s="94"/>
      <c r="L28" s="95"/>
      <c r="M28" s="56"/>
    </row>
    <row r="29" spans="1:13" x14ac:dyDescent="0.15">
      <c r="A29" s="82"/>
      <c r="B29" s="83"/>
      <c r="C29" s="84"/>
      <c r="D29" s="84"/>
      <c r="E29" s="88"/>
      <c r="F29" s="84"/>
      <c r="G29" s="84"/>
      <c r="H29" s="86"/>
      <c r="J29" s="85"/>
      <c r="K29" s="94"/>
      <c r="L29" s="95"/>
      <c r="M29" s="56"/>
    </row>
    <row r="30" spans="1:13" x14ac:dyDescent="0.15">
      <c r="A30" s="82"/>
      <c r="B30" s="83"/>
      <c r="C30" s="84"/>
      <c r="D30" s="84"/>
      <c r="E30" s="88"/>
      <c r="F30" s="84"/>
      <c r="G30" s="84"/>
      <c r="H30" s="86"/>
      <c r="J30" s="85"/>
      <c r="K30" s="94"/>
      <c r="L30" s="95"/>
      <c r="M30" s="56"/>
    </row>
    <row r="31" spans="1:13" x14ac:dyDescent="0.15">
      <c r="A31" s="82"/>
      <c r="B31" s="83"/>
      <c r="C31" s="84"/>
      <c r="D31" s="84"/>
      <c r="E31" s="88"/>
      <c r="F31" s="84"/>
      <c r="G31" s="84"/>
      <c r="H31" s="86"/>
      <c r="J31" s="85"/>
      <c r="K31" s="94"/>
      <c r="L31" s="95"/>
      <c r="M31" s="56"/>
    </row>
    <row r="32" spans="1:13" x14ac:dyDescent="0.15">
      <c r="A32" s="82"/>
      <c r="B32" s="83"/>
      <c r="C32" s="84"/>
      <c r="D32" s="84"/>
      <c r="E32" s="88"/>
      <c r="F32" s="84"/>
      <c r="G32" s="84"/>
      <c r="H32" s="86"/>
      <c r="J32" s="85"/>
      <c r="K32" s="94"/>
      <c r="L32" s="95"/>
      <c r="M32" s="56"/>
    </row>
    <row r="33" spans="1:13" x14ac:dyDescent="0.15">
      <c r="A33" s="82"/>
      <c r="B33" s="83"/>
      <c r="C33" s="84"/>
      <c r="D33" s="84"/>
      <c r="E33" s="88"/>
      <c r="F33" s="84"/>
      <c r="G33" s="84"/>
      <c r="H33" s="86"/>
      <c r="J33" s="85"/>
      <c r="K33" s="94"/>
      <c r="L33" s="95"/>
      <c r="M33" s="56"/>
    </row>
    <row r="34" spans="1:13" x14ac:dyDescent="0.15">
      <c r="A34" s="82"/>
      <c r="B34" s="83"/>
      <c r="C34" s="84"/>
      <c r="D34" s="84"/>
      <c r="E34" s="88"/>
      <c r="F34" s="84"/>
      <c r="G34" s="84"/>
      <c r="H34" s="86"/>
      <c r="J34" s="85"/>
      <c r="K34" s="94"/>
      <c r="L34" s="95"/>
      <c r="M34" s="56"/>
    </row>
    <row r="35" spans="1:13" x14ac:dyDescent="0.15">
      <c r="A35" s="82"/>
      <c r="B35" s="83"/>
      <c r="C35" s="84"/>
      <c r="D35" s="84"/>
      <c r="E35" s="88"/>
      <c r="F35" s="84"/>
      <c r="G35" s="84"/>
      <c r="H35" s="86"/>
      <c r="J35" s="85"/>
      <c r="K35" s="94"/>
      <c r="L35" s="95"/>
      <c r="M35" s="56"/>
    </row>
    <row r="36" spans="1:13" x14ac:dyDescent="0.15">
      <c r="A36" s="82"/>
      <c r="B36" s="83"/>
      <c r="C36" s="84"/>
      <c r="D36" s="84"/>
      <c r="E36" s="88"/>
      <c r="F36" s="84"/>
      <c r="G36" s="84"/>
      <c r="H36" s="86"/>
      <c r="J36" s="85"/>
      <c r="K36" s="94"/>
      <c r="L36" s="95"/>
      <c r="M36" s="56"/>
    </row>
    <row r="37" spans="1:13" x14ac:dyDescent="0.15">
      <c r="A37" s="82"/>
      <c r="B37" s="83"/>
      <c r="C37" s="84"/>
      <c r="D37" s="84"/>
      <c r="E37" s="88"/>
      <c r="F37" s="84"/>
      <c r="G37" s="84"/>
      <c r="H37" s="86"/>
      <c r="J37" s="85"/>
      <c r="K37" s="94"/>
      <c r="L37" s="95"/>
      <c r="M37" s="56"/>
    </row>
    <row r="38" spans="1:13" x14ac:dyDescent="0.15">
      <c r="A38" s="82"/>
      <c r="B38" s="83"/>
      <c r="C38" s="84"/>
      <c r="D38" s="84"/>
      <c r="E38" s="88"/>
      <c r="F38" s="84"/>
      <c r="G38" s="84"/>
      <c r="H38" s="86"/>
      <c r="J38" s="85"/>
      <c r="K38" s="94"/>
      <c r="L38" s="95"/>
      <c r="M38" s="56"/>
    </row>
    <row r="39" spans="1:13" x14ac:dyDescent="0.15">
      <c r="A39" s="82"/>
      <c r="B39" s="83"/>
      <c r="C39" s="84"/>
      <c r="D39" s="84"/>
      <c r="E39" s="88"/>
      <c r="F39" s="84"/>
      <c r="G39" s="84"/>
      <c r="H39" s="86"/>
      <c r="J39" s="85"/>
      <c r="K39" s="94"/>
      <c r="L39" s="95"/>
      <c r="M39" s="56"/>
    </row>
    <row r="40" spans="1:13" x14ac:dyDescent="0.15">
      <c r="A40" s="82"/>
      <c r="B40" s="83"/>
      <c r="C40" s="84"/>
      <c r="D40" s="84"/>
      <c r="E40" s="88"/>
      <c r="F40" s="84"/>
      <c r="G40" s="84"/>
      <c r="H40" s="86"/>
      <c r="J40" s="85"/>
      <c r="K40" s="94"/>
      <c r="L40" s="95"/>
      <c r="M40" s="56"/>
    </row>
    <row r="41" spans="1:13" x14ac:dyDescent="0.15">
      <c r="A41" s="82"/>
      <c r="B41" s="83"/>
      <c r="C41" s="84"/>
      <c r="D41" s="84"/>
      <c r="E41" s="88"/>
      <c r="F41" s="84"/>
      <c r="G41" s="84"/>
      <c r="H41" s="86"/>
      <c r="J41" s="85"/>
      <c r="K41" s="94"/>
      <c r="L41" s="95"/>
      <c r="M41" s="56"/>
    </row>
    <row r="42" spans="1:13" x14ac:dyDescent="0.15">
      <c r="A42" s="82"/>
      <c r="B42" s="83"/>
      <c r="C42" s="84"/>
      <c r="D42" s="84"/>
      <c r="E42" s="88"/>
      <c r="F42" s="84"/>
      <c r="G42" s="84"/>
      <c r="H42" s="86"/>
      <c r="J42" s="85"/>
      <c r="K42" s="94"/>
      <c r="L42" s="95"/>
      <c r="M42" s="56"/>
    </row>
    <row r="43" spans="1:13" x14ac:dyDescent="0.15">
      <c r="A43" s="82"/>
      <c r="B43" s="83"/>
      <c r="C43" s="84"/>
      <c r="D43" s="84"/>
      <c r="E43" s="88"/>
      <c r="F43" s="84"/>
      <c r="G43" s="84"/>
      <c r="H43" s="86"/>
      <c r="J43" s="85"/>
      <c r="K43" s="94"/>
      <c r="L43" s="95"/>
      <c r="M43" s="56"/>
    </row>
    <row r="44" spans="1:13" x14ac:dyDescent="0.15">
      <c r="A44" s="82"/>
      <c r="B44" s="83"/>
      <c r="C44" s="84"/>
      <c r="D44" s="84"/>
      <c r="E44" s="88"/>
      <c r="F44" s="84"/>
      <c r="G44" s="84"/>
      <c r="H44" s="86"/>
      <c r="J44" s="85"/>
      <c r="K44" s="94"/>
      <c r="L44" s="95"/>
      <c r="M44" s="56"/>
    </row>
    <row r="45" spans="1:13" x14ac:dyDescent="0.15">
      <c r="A45" s="82"/>
      <c r="B45" s="83"/>
      <c r="C45" s="84"/>
      <c r="D45" s="84"/>
      <c r="E45" s="88"/>
      <c r="F45" s="84"/>
      <c r="G45" s="84"/>
      <c r="H45" s="86"/>
      <c r="J45" s="85"/>
      <c r="K45" s="94"/>
      <c r="L45" s="95"/>
      <c r="M45" s="56"/>
    </row>
    <row r="46" spans="1:13" x14ac:dyDescent="0.15">
      <c r="A46" s="82"/>
      <c r="B46" s="83"/>
      <c r="C46" s="84"/>
      <c r="D46" s="84"/>
      <c r="E46" s="88"/>
      <c r="F46" s="84"/>
      <c r="G46" s="84"/>
      <c r="H46" s="86"/>
      <c r="J46" s="85"/>
      <c r="K46" s="94"/>
      <c r="L46" s="95"/>
      <c r="M46" s="56"/>
    </row>
    <row r="47" spans="1:13" x14ac:dyDescent="0.15">
      <c r="A47" s="82"/>
      <c r="B47" s="83"/>
      <c r="C47" s="84"/>
      <c r="D47" s="84"/>
      <c r="E47" s="88"/>
      <c r="F47" s="84"/>
      <c r="G47" s="84"/>
      <c r="H47" s="86"/>
      <c r="J47" s="85"/>
      <c r="K47" s="94"/>
      <c r="L47" s="95"/>
      <c r="M47" s="56"/>
    </row>
    <row r="48" spans="1:13" x14ac:dyDescent="0.15">
      <c r="A48" s="82"/>
      <c r="B48" s="83"/>
      <c r="C48" s="84"/>
      <c r="D48" s="84"/>
      <c r="E48" s="88"/>
      <c r="F48" s="84"/>
      <c r="G48" s="84"/>
      <c r="H48" s="86"/>
      <c r="J48" s="85"/>
      <c r="K48" s="94"/>
      <c r="L48" s="95"/>
      <c r="M48" s="56"/>
    </row>
    <row r="49" spans="1:13" x14ac:dyDescent="0.15">
      <c r="A49" s="82"/>
      <c r="B49" s="83"/>
      <c r="C49" s="84"/>
      <c r="D49" s="84"/>
      <c r="E49" s="88"/>
      <c r="F49" s="84"/>
      <c r="G49" s="84"/>
      <c r="H49" s="86"/>
      <c r="J49" s="85"/>
      <c r="K49" s="94"/>
      <c r="L49" s="95"/>
      <c r="M49" s="56"/>
    </row>
    <row r="50" spans="1:13" x14ac:dyDescent="0.15">
      <c r="A50" s="82"/>
      <c r="B50" s="83"/>
      <c r="C50" s="84"/>
      <c r="D50" s="84"/>
      <c r="E50" s="88"/>
      <c r="F50" s="84"/>
      <c r="G50" s="84"/>
      <c r="H50" s="86"/>
      <c r="J50" s="85"/>
      <c r="K50" s="94"/>
      <c r="L50" s="95"/>
      <c r="M50" s="56"/>
    </row>
    <row r="51" spans="1:13" x14ac:dyDescent="0.15">
      <c r="A51" s="82"/>
      <c r="B51" s="83"/>
      <c r="C51" s="84"/>
      <c r="D51" s="84"/>
      <c r="E51" s="88"/>
      <c r="F51" s="84"/>
      <c r="G51" s="84"/>
      <c r="H51" s="86"/>
      <c r="J51" s="85"/>
      <c r="K51" s="94"/>
      <c r="L51" s="95"/>
      <c r="M51" s="56"/>
    </row>
    <row r="52" spans="1:13" x14ac:dyDescent="0.15">
      <c r="A52" s="82"/>
      <c r="B52" s="83"/>
      <c r="C52" s="84"/>
      <c r="D52" s="84"/>
      <c r="E52" s="88"/>
      <c r="F52" s="84"/>
      <c r="G52" s="84"/>
      <c r="H52" s="86"/>
      <c r="J52" s="85"/>
      <c r="K52" s="94"/>
      <c r="L52" s="95"/>
      <c r="M52" s="56"/>
    </row>
    <row r="53" spans="1:13" x14ac:dyDescent="0.15">
      <c r="A53" s="82"/>
      <c r="B53" s="83"/>
      <c r="C53" s="84"/>
      <c r="D53" s="84"/>
      <c r="E53" s="88"/>
      <c r="F53" s="84"/>
      <c r="G53" s="84"/>
      <c r="H53" s="86"/>
      <c r="J53" s="85"/>
      <c r="K53" s="94"/>
      <c r="L53" s="95"/>
      <c r="M53" s="56"/>
    </row>
    <row r="54" spans="1:13" x14ac:dyDescent="0.15">
      <c r="A54" s="82"/>
      <c r="B54" s="83"/>
      <c r="C54" s="84"/>
      <c r="D54" s="84"/>
      <c r="E54" s="88"/>
      <c r="F54" s="84"/>
      <c r="G54" s="84"/>
      <c r="H54" s="86"/>
      <c r="J54" s="85"/>
      <c r="K54" s="94"/>
      <c r="L54" s="95"/>
      <c r="M54" s="56"/>
    </row>
    <row r="55" spans="1:13" x14ac:dyDescent="0.15">
      <c r="A55" s="82"/>
      <c r="B55" s="83"/>
      <c r="C55" s="84"/>
      <c r="D55" s="84"/>
      <c r="E55" s="88"/>
      <c r="F55" s="84"/>
      <c r="G55" s="84"/>
      <c r="H55" s="86"/>
      <c r="J55" s="85"/>
      <c r="K55" s="94"/>
      <c r="L55" s="95"/>
      <c r="M55" s="56"/>
    </row>
    <row r="56" spans="1:13" x14ac:dyDescent="0.15">
      <c r="A56" s="82"/>
      <c r="B56" s="83"/>
      <c r="C56" s="84"/>
      <c r="D56" s="84"/>
      <c r="E56" s="88"/>
      <c r="F56" s="84"/>
      <c r="G56" s="84"/>
      <c r="H56" s="86"/>
      <c r="J56" s="85"/>
      <c r="K56" s="94"/>
      <c r="L56" s="95"/>
      <c r="M56" s="56"/>
    </row>
    <row r="57" spans="1:13" x14ac:dyDescent="0.15">
      <c r="A57" s="82"/>
      <c r="B57" s="83"/>
      <c r="C57" s="84"/>
      <c r="D57" s="84"/>
      <c r="E57" s="88"/>
      <c r="F57" s="84"/>
      <c r="G57" s="84"/>
      <c r="H57" s="86"/>
      <c r="J57" s="85"/>
      <c r="K57" s="94"/>
      <c r="L57" s="95"/>
      <c r="M57" s="56"/>
    </row>
    <row r="58" spans="1:13" x14ac:dyDescent="0.15">
      <c r="A58" s="82"/>
      <c r="B58" s="83"/>
      <c r="C58" s="84"/>
      <c r="D58" s="84"/>
      <c r="E58" s="88"/>
      <c r="F58" s="84"/>
      <c r="G58" s="84"/>
      <c r="H58" s="86"/>
      <c r="J58" s="85"/>
      <c r="K58" s="94"/>
      <c r="L58" s="95"/>
      <c r="M58" s="56"/>
    </row>
    <row r="59" spans="1:13" x14ac:dyDescent="0.15">
      <c r="A59" s="82"/>
      <c r="B59" s="83"/>
      <c r="C59" s="84"/>
      <c r="D59" s="84"/>
      <c r="E59" s="88"/>
      <c r="F59" s="84"/>
      <c r="G59" s="84"/>
      <c r="H59" s="86"/>
      <c r="J59" s="85"/>
      <c r="K59" s="94"/>
      <c r="L59" s="95"/>
      <c r="M59" s="56"/>
    </row>
    <row r="60" spans="1:13" x14ac:dyDescent="0.15">
      <c r="A60" s="82"/>
      <c r="B60" s="83"/>
      <c r="C60" s="84"/>
      <c r="D60" s="84"/>
      <c r="E60" s="88"/>
      <c r="F60" s="84"/>
      <c r="G60" s="84"/>
      <c r="H60" s="86"/>
      <c r="I60" s="98"/>
      <c r="J60" s="85"/>
      <c r="K60" s="94"/>
      <c r="L60" s="95"/>
      <c r="M60" s="56"/>
    </row>
    <row r="61" spans="1:13" x14ac:dyDescent="0.15">
      <c r="A61" s="82"/>
      <c r="B61" s="83"/>
      <c r="C61" s="84"/>
      <c r="D61" s="84"/>
      <c r="E61" s="88"/>
      <c r="F61" s="84"/>
      <c r="G61" s="84"/>
      <c r="H61" s="86"/>
      <c r="I61" s="98"/>
      <c r="J61" s="85"/>
      <c r="K61" s="94"/>
      <c r="L61" s="95"/>
      <c r="M61" s="56"/>
    </row>
    <row r="62" spans="1:13" x14ac:dyDescent="0.15">
      <c r="A62" s="82"/>
      <c r="B62" s="83"/>
      <c r="C62" s="84"/>
      <c r="D62" s="84"/>
      <c r="E62" s="88"/>
      <c r="F62" s="84"/>
      <c r="G62" s="84"/>
      <c r="H62" s="86"/>
      <c r="I62" s="98"/>
      <c r="J62" s="85"/>
      <c r="K62" s="94"/>
      <c r="L62" s="95"/>
      <c r="M62" s="56"/>
    </row>
    <row r="63" spans="1:13" x14ac:dyDescent="0.15">
      <c r="A63" s="82"/>
      <c r="B63" s="83"/>
      <c r="C63" s="84"/>
      <c r="D63" s="84"/>
      <c r="E63" s="88"/>
      <c r="F63" s="84"/>
      <c r="G63" s="84"/>
      <c r="H63" s="86"/>
      <c r="I63" s="98"/>
      <c r="J63" s="85"/>
      <c r="K63" s="94"/>
      <c r="L63" s="95"/>
      <c r="M63" s="56"/>
    </row>
    <row r="64" spans="1:13" x14ac:dyDescent="0.15">
      <c r="A64" s="82"/>
      <c r="B64" s="83"/>
      <c r="C64" s="84"/>
      <c r="D64" s="84"/>
      <c r="E64" s="88"/>
      <c r="F64" s="84"/>
      <c r="G64" s="84"/>
      <c r="H64" s="86"/>
      <c r="I64" s="98"/>
      <c r="J64" s="85"/>
      <c r="K64" s="94"/>
      <c r="L64" s="95"/>
      <c r="M64" s="56"/>
    </row>
    <row r="65" spans="1:13" x14ac:dyDescent="0.15">
      <c r="A65" s="82"/>
      <c r="B65" s="83"/>
      <c r="C65" s="84"/>
      <c r="D65" s="84"/>
      <c r="E65" s="88"/>
      <c r="F65" s="84"/>
      <c r="G65" s="84"/>
      <c r="H65" s="86"/>
      <c r="I65" s="98"/>
      <c r="J65" s="85"/>
      <c r="K65" s="94"/>
      <c r="L65" s="95"/>
      <c r="M65" s="56"/>
    </row>
    <row r="66" spans="1:13" x14ac:dyDescent="0.15">
      <c r="A66" s="82"/>
      <c r="B66" s="83"/>
      <c r="C66" s="84"/>
      <c r="D66" s="84"/>
      <c r="E66" s="88"/>
      <c r="F66" s="84"/>
      <c r="G66" s="84"/>
      <c r="H66" s="86"/>
      <c r="I66" s="98"/>
      <c r="J66" s="85"/>
      <c r="K66" s="94"/>
      <c r="L66" s="95"/>
      <c r="M66" s="56"/>
    </row>
    <row r="67" spans="1:13" x14ac:dyDescent="0.15">
      <c r="A67" s="82"/>
      <c r="B67" s="83"/>
      <c r="C67" s="84"/>
      <c r="D67" s="84"/>
      <c r="E67" s="88"/>
      <c r="F67" s="84"/>
      <c r="G67" s="84"/>
      <c r="H67" s="86"/>
      <c r="I67" s="98"/>
      <c r="J67" s="85"/>
      <c r="K67" s="94"/>
      <c r="L67" s="95"/>
      <c r="M67" s="56"/>
    </row>
    <row r="68" spans="1:13" x14ac:dyDescent="0.15">
      <c r="A68" s="82"/>
      <c r="B68" s="83"/>
      <c r="C68" s="84"/>
      <c r="D68" s="84"/>
      <c r="E68" s="88"/>
      <c r="F68" s="84"/>
      <c r="G68" s="84"/>
      <c r="H68" s="86"/>
      <c r="I68" s="98"/>
      <c r="J68" s="85"/>
      <c r="K68" s="94"/>
      <c r="L68" s="95"/>
      <c r="M68" s="56"/>
    </row>
    <row r="69" spans="1:13" x14ac:dyDescent="0.15">
      <c r="A69" s="82"/>
      <c r="B69" s="83"/>
      <c r="C69" s="84"/>
      <c r="D69" s="84"/>
      <c r="E69" s="88"/>
      <c r="F69" s="84"/>
      <c r="G69" s="84"/>
      <c r="H69" s="86"/>
      <c r="I69" s="98"/>
      <c r="J69" s="85"/>
      <c r="K69" s="94"/>
      <c r="L69" s="95"/>
      <c r="M69" s="56"/>
    </row>
    <row r="70" spans="1:13" x14ac:dyDescent="0.15">
      <c r="A70" s="82"/>
      <c r="B70" s="83"/>
      <c r="C70" s="84"/>
      <c r="D70" s="84"/>
      <c r="E70" s="88"/>
      <c r="F70" s="84"/>
      <c r="G70" s="84"/>
      <c r="H70" s="86"/>
      <c r="I70" s="98"/>
      <c r="J70" s="85"/>
      <c r="K70" s="94"/>
      <c r="L70" s="95"/>
      <c r="M70" s="56"/>
    </row>
    <row r="71" spans="1:13" x14ac:dyDescent="0.15">
      <c r="A71" s="82"/>
      <c r="B71" s="83"/>
      <c r="C71" s="84"/>
      <c r="D71" s="84"/>
      <c r="E71" s="88"/>
      <c r="F71" s="84"/>
      <c r="G71" s="84"/>
      <c r="H71" s="86"/>
      <c r="I71" s="98"/>
      <c r="J71" s="85"/>
      <c r="K71" s="94"/>
      <c r="L71" s="95"/>
      <c r="M71" s="56"/>
    </row>
    <row r="72" spans="1:13" x14ac:dyDescent="0.15">
      <c r="A72" s="82"/>
      <c r="B72" s="83"/>
      <c r="C72" s="84"/>
      <c r="D72" s="84"/>
      <c r="E72" s="88"/>
      <c r="F72" s="84"/>
      <c r="G72" s="84"/>
      <c r="H72" s="86"/>
      <c r="I72" s="98"/>
      <c r="J72" s="85"/>
      <c r="K72" s="94"/>
      <c r="L72" s="95"/>
      <c r="M72" s="56"/>
    </row>
    <row r="73" spans="1:13" x14ac:dyDescent="0.15">
      <c r="A73" s="82"/>
      <c r="B73" s="83"/>
      <c r="C73" s="84"/>
      <c r="D73" s="84"/>
      <c r="E73" s="88"/>
      <c r="F73" s="84"/>
      <c r="G73" s="84"/>
      <c r="H73" s="86"/>
      <c r="I73" s="98"/>
      <c r="J73" s="85"/>
      <c r="K73" s="94"/>
      <c r="L73" s="95"/>
      <c r="M73" s="56"/>
    </row>
    <row r="74" spans="1:13" x14ac:dyDescent="0.15">
      <c r="A74" s="82"/>
      <c r="B74" s="83"/>
      <c r="C74" s="84"/>
      <c r="D74" s="84"/>
      <c r="E74" s="88"/>
      <c r="F74" s="84"/>
      <c r="G74" s="84"/>
      <c r="H74" s="86"/>
      <c r="I74" s="98"/>
      <c r="J74" s="85"/>
      <c r="K74" s="94"/>
      <c r="L74" s="95"/>
      <c r="M74" s="56"/>
    </row>
    <row r="75" spans="1:13" x14ac:dyDescent="0.15">
      <c r="A75" s="82"/>
      <c r="B75" s="83"/>
      <c r="C75" s="84"/>
      <c r="D75" s="84"/>
      <c r="E75" s="88"/>
      <c r="F75" s="84"/>
      <c r="G75" s="84"/>
      <c r="H75" s="86"/>
      <c r="I75" s="98"/>
      <c r="J75" s="85"/>
      <c r="K75" s="94"/>
      <c r="L75" s="95"/>
      <c r="M75" s="56"/>
    </row>
    <row r="76" spans="1:13" x14ac:dyDescent="0.15">
      <c r="A76" s="82"/>
      <c r="B76" s="83"/>
      <c r="C76" s="84"/>
      <c r="D76" s="84"/>
      <c r="E76" s="88"/>
      <c r="F76" s="84"/>
      <c r="G76" s="84"/>
      <c r="H76" s="86"/>
      <c r="I76" s="98"/>
      <c r="J76" s="85"/>
      <c r="K76" s="94"/>
      <c r="L76" s="95"/>
      <c r="M76" s="56"/>
    </row>
    <row r="77" spans="1:13" x14ac:dyDescent="0.15">
      <c r="A77" s="82"/>
      <c r="B77" s="83"/>
      <c r="C77" s="84"/>
      <c r="D77" s="84"/>
      <c r="E77" s="88"/>
      <c r="F77" s="84"/>
      <c r="G77" s="84"/>
      <c r="H77" s="86"/>
      <c r="I77" s="98"/>
      <c r="J77" s="85"/>
      <c r="K77" s="94"/>
      <c r="L77" s="95"/>
      <c r="M77" s="56"/>
    </row>
    <row r="78" spans="1:13" x14ac:dyDescent="0.15">
      <c r="A78" s="82"/>
      <c r="B78" s="83"/>
      <c r="C78" s="84"/>
      <c r="D78" s="84"/>
      <c r="E78" s="88"/>
      <c r="F78" s="84"/>
      <c r="G78" s="84"/>
      <c r="H78" s="86"/>
      <c r="I78" s="98"/>
      <c r="J78" s="85"/>
      <c r="K78" s="94"/>
      <c r="L78" s="95"/>
      <c r="M78" s="56"/>
    </row>
    <row r="79" spans="1:13" x14ac:dyDescent="0.15">
      <c r="A79" s="82"/>
      <c r="B79" s="83"/>
      <c r="C79" s="84"/>
      <c r="D79" s="84"/>
      <c r="E79" s="88"/>
      <c r="F79" s="84"/>
      <c r="G79" s="84"/>
      <c r="H79" s="86"/>
      <c r="I79" s="98"/>
      <c r="J79" s="85"/>
      <c r="K79" s="94"/>
      <c r="L79" s="95"/>
      <c r="M79" s="56"/>
    </row>
    <row r="80" spans="1:13" x14ac:dyDescent="0.15">
      <c r="A80" s="82"/>
      <c r="B80" s="83"/>
      <c r="C80" s="84"/>
      <c r="D80" s="84"/>
      <c r="E80" s="88"/>
      <c r="F80" s="84"/>
      <c r="G80" s="84"/>
      <c r="H80" s="86"/>
      <c r="I80" s="98"/>
      <c r="J80" s="85"/>
      <c r="K80" s="94"/>
      <c r="L80" s="95"/>
      <c r="M80" s="56"/>
    </row>
    <row r="81" spans="1:13" x14ac:dyDescent="0.15">
      <c r="A81" s="82"/>
      <c r="B81" s="83"/>
      <c r="C81" s="84"/>
      <c r="D81" s="84"/>
      <c r="E81" s="88"/>
      <c r="F81" s="84"/>
      <c r="G81" s="84"/>
      <c r="H81" s="86"/>
      <c r="I81" s="98"/>
      <c r="J81" s="85"/>
      <c r="K81" s="94"/>
      <c r="L81" s="95"/>
      <c r="M81" s="56"/>
    </row>
    <row r="82" spans="1:13" x14ac:dyDescent="0.15">
      <c r="A82" s="82"/>
      <c r="B82" s="83"/>
      <c r="C82" s="84"/>
      <c r="D82" s="84"/>
      <c r="E82" s="88"/>
      <c r="F82" s="84"/>
      <c r="G82" s="84"/>
      <c r="H82" s="86"/>
      <c r="I82" s="98"/>
      <c r="J82" s="85"/>
      <c r="K82" s="94"/>
      <c r="L82" s="95"/>
      <c r="M82" s="56"/>
    </row>
    <row r="83" spans="1:13" x14ac:dyDescent="0.15">
      <c r="A83" s="82"/>
      <c r="B83" s="83"/>
      <c r="C83" s="84"/>
      <c r="D83" s="84"/>
      <c r="E83" s="88"/>
      <c r="F83" s="84"/>
      <c r="G83" s="84"/>
      <c r="H83" s="86"/>
      <c r="I83" s="98"/>
      <c r="J83" s="85"/>
      <c r="K83" s="94"/>
      <c r="L83" s="95"/>
      <c r="M83" s="56"/>
    </row>
    <row r="84" spans="1:13" x14ac:dyDescent="0.15">
      <c r="A84" s="82"/>
      <c r="B84" s="83"/>
      <c r="C84" s="84"/>
      <c r="D84" s="84"/>
      <c r="E84" s="88"/>
      <c r="F84" s="84"/>
      <c r="G84" s="84"/>
      <c r="H84" s="86"/>
      <c r="I84" s="98"/>
      <c r="J84" s="85"/>
      <c r="K84" s="94"/>
      <c r="L84" s="95"/>
      <c r="M84" s="56"/>
    </row>
    <row r="85" spans="1:13" x14ac:dyDescent="0.15">
      <c r="A85" s="82"/>
      <c r="B85" s="83"/>
      <c r="C85" s="84"/>
      <c r="D85" s="84"/>
      <c r="E85" s="88"/>
      <c r="F85" s="84"/>
      <c r="G85" s="84"/>
      <c r="H85" s="86"/>
      <c r="I85" s="98"/>
      <c r="J85" s="85"/>
      <c r="K85" s="94"/>
      <c r="L85" s="95"/>
      <c r="M85" s="56"/>
    </row>
    <row r="86" spans="1:13" x14ac:dyDescent="0.15">
      <c r="A86" s="82"/>
      <c r="B86" s="83"/>
      <c r="C86" s="84"/>
      <c r="D86" s="84"/>
      <c r="E86" s="88"/>
      <c r="F86" s="84"/>
      <c r="G86" s="84"/>
      <c r="H86" s="86"/>
      <c r="I86" s="98"/>
      <c r="J86" s="85"/>
      <c r="K86" s="94"/>
      <c r="L86" s="95"/>
      <c r="M86" s="56"/>
    </row>
    <row r="87" spans="1:13" x14ac:dyDescent="0.15">
      <c r="A87" s="82"/>
      <c r="B87" s="83"/>
      <c r="C87" s="84"/>
      <c r="D87" s="84"/>
      <c r="E87" s="88"/>
      <c r="F87" s="84"/>
      <c r="G87" s="84"/>
      <c r="H87" s="86"/>
      <c r="I87" s="98"/>
      <c r="J87" s="85"/>
      <c r="K87" s="94"/>
      <c r="L87" s="95"/>
      <c r="M87" s="56"/>
    </row>
    <row r="88" spans="1:13" x14ac:dyDescent="0.15">
      <c r="A88" s="82"/>
      <c r="B88" s="83"/>
      <c r="C88" s="84"/>
      <c r="D88" s="84"/>
      <c r="E88" s="88"/>
      <c r="F88" s="84"/>
      <c r="G88" s="84"/>
      <c r="H88" s="86"/>
      <c r="I88" s="98"/>
      <c r="J88" s="85"/>
      <c r="K88" s="94"/>
      <c r="L88" s="95"/>
      <c r="M88" s="56"/>
    </row>
    <row r="89" spans="1:13" x14ac:dyDescent="0.15">
      <c r="A89" s="82"/>
      <c r="B89" s="83"/>
      <c r="C89" s="84"/>
      <c r="D89" s="84"/>
      <c r="E89" s="88"/>
      <c r="F89" s="84"/>
      <c r="G89" s="84"/>
      <c r="H89" s="86"/>
      <c r="I89" s="98"/>
      <c r="J89" s="85"/>
      <c r="K89" s="94"/>
      <c r="L89" s="95"/>
      <c r="M89" s="56"/>
    </row>
    <row r="90" spans="1:13" x14ac:dyDescent="0.15">
      <c r="A90" s="82"/>
      <c r="B90" s="83"/>
      <c r="C90" s="84"/>
      <c r="D90" s="84"/>
      <c r="E90" s="88"/>
      <c r="F90" s="84"/>
      <c r="G90" s="84"/>
      <c r="H90" s="86"/>
      <c r="I90" s="98"/>
      <c r="J90" s="85"/>
      <c r="K90" s="94"/>
      <c r="L90" s="95"/>
      <c r="M90" s="56"/>
    </row>
    <row r="91" spans="1:13" x14ac:dyDescent="0.15">
      <c r="A91" s="82"/>
      <c r="B91" s="83"/>
      <c r="C91" s="84"/>
      <c r="D91" s="84"/>
      <c r="E91" s="88"/>
      <c r="F91" s="84"/>
      <c r="G91" s="84"/>
      <c r="H91" s="86"/>
      <c r="I91" s="98"/>
      <c r="J91" s="85"/>
      <c r="K91" s="94"/>
      <c r="L91" s="95"/>
      <c r="M91" s="56"/>
    </row>
    <row r="92" spans="1:13" x14ac:dyDescent="0.15">
      <c r="A92" s="82"/>
      <c r="B92" s="83"/>
      <c r="C92" s="84"/>
      <c r="D92" s="84"/>
      <c r="E92" s="88"/>
      <c r="F92" s="84"/>
      <c r="G92" s="84"/>
      <c r="H92" s="86"/>
      <c r="I92" s="98"/>
      <c r="J92" s="85"/>
      <c r="K92" s="94"/>
      <c r="L92" s="95"/>
      <c r="M92" s="56"/>
    </row>
    <row r="93" spans="1:13" x14ac:dyDescent="0.15">
      <c r="A93" s="82"/>
      <c r="B93" s="83"/>
      <c r="C93" s="84"/>
      <c r="D93" s="84"/>
      <c r="E93" s="88"/>
      <c r="F93" s="84"/>
      <c r="G93" s="84"/>
      <c r="H93" s="86"/>
      <c r="I93" s="98"/>
      <c r="J93" s="85"/>
      <c r="K93" s="94"/>
      <c r="L93" s="95"/>
      <c r="M93" s="56"/>
    </row>
    <row r="94" spans="1:13" x14ac:dyDescent="0.15">
      <c r="A94" s="82"/>
      <c r="B94" s="83"/>
      <c r="C94" s="84"/>
      <c r="D94" s="84"/>
      <c r="E94" s="88"/>
      <c r="F94" s="84"/>
      <c r="G94" s="84"/>
      <c r="H94" s="86"/>
      <c r="J94" s="85"/>
      <c r="K94" s="94"/>
      <c r="L94" s="95"/>
      <c r="M94" s="56"/>
    </row>
    <row r="95" spans="1:13" x14ac:dyDescent="0.15">
      <c r="A95" s="82"/>
      <c r="B95" s="83"/>
      <c r="C95" s="84"/>
      <c r="D95" s="84"/>
      <c r="E95" s="88"/>
      <c r="F95" s="84"/>
      <c r="G95" s="84"/>
      <c r="H95" s="86"/>
      <c r="J95" s="85"/>
      <c r="K95" s="94"/>
      <c r="L95" s="95"/>
      <c r="M95" s="56"/>
    </row>
    <row r="96" spans="1:13" x14ac:dyDescent="0.15">
      <c r="A96" s="82"/>
      <c r="B96" s="83"/>
      <c r="C96" s="84"/>
      <c r="D96" s="84"/>
      <c r="E96" s="88"/>
      <c r="F96" s="84"/>
      <c r="G96" s="84"/>
      <c r="H96" s="86"/>
      <c r="J96" s="85"/>
      <c r="K96" s="94"/>
      <c r="L96" s="95"/>
      <c r="M96" s="56"/>
    </row>
    <row r="97" spans="1:13" x14ac:dyDescent="0.15">
      <c r="A97" s="82"/>
      <c r="B97" s="83"/>
      <c r="C97" s="84"/>
      <c r="D97" s="84"/>
      <c r="E97" s="88"/>
      <c r="F97" s="84"/>
      <c r="G97" s="84"/>
      <c r="H97" s="86"/>
      <c r="J97" s="85"/>
      <c r="K97" s="94"/>
      <c r="L97" s="95"/>
      <c r="M97" s="56"/>
    </row>
    <row r="98" spans="1:13" x14ac:dyDescent="0.15">
      <c r="A98" s="82"/>
      <c r="B98" s="83"/>
      <c r="C98" s="84"/>
      <c r="D98" s="84"/>
      <c r="E98" s="88"/>
      <c r="F98" s="84"/>
      <c r="G98" s="84"/>
      <c r="H98" s="86"/>
      <c r="J98" s="85"/>
      <c r="K98" s="94"/>
      <c r="L98" s="95"/>
      <c r="M98" s="56"/>
    </row>
    <row r="99" spans="1:13" x14ac:dyDescent="0.15">
      <c r="A99" s="82"/>
      <c r="B99" s="83"/>
      <c r="C99" s="84"/>
      <c r="D99" s="84"/>
      <c r="E99" s="88"/>
      <c r="F99" s="84"/>
      <c r="G99" s="84"/>
      <c r="H99" s="86"/>
      <c r="J99" s="85"/>
      <c r="K99" s="94"/>
      <c r="L99" s="95"/>
      <c r="M99" s="56"/>
    </row>
    <row r="100" spans="1:13" x14ac:dyDescent="0.15">
      <c r="A100" s="82"/>
      <c r="B100" s="83"/>
      <c r="C100" s="84"/>
      <c r="D100" s="84"/>
      <c r="E100" s="88"/>
      <c r="F100" s="84"/>
      <c r="G100" s="84"/>
      <c r="H100" s="86"/>
      <c r="J100" s="85"/>
      <c r="K100" s="94"/>
      <c r="L100" s="95"/>
      <c r="M100" s="56"/>
    </row>
    <row r="101" spans="1:13" x14ac:dyDescent="0.15">
      <c r="A101" s="82"/>
      <c r="B101" s="83"/>
      <c r="C101" s="84"/>
      <c r="D101" s="84"/>
      <c r="E101" s="88"/>
      <c r="F101" s="84"/>
      <c r="G101" s="84"/>
      <c r="H101" s="86"/>
      <c r="J101" s="85"/>
      <c r="K101" s="94"/>
      <c r="L101" s="95"/>
      <c r="M101" s="56"/>
    </row>
    <row r="102" spans="1:13" x14ac:dyDescent="0.15">
      <c r="A102" s="82"/>
      <c r="B102" s="83"/>
      <c r="C102" s="84"/>
      <c r="D102" s="84"/>
      <c r="E102" s="88"/>
      <c r="F102" s="84"/>
      <c r="G102" s="84"/>
      <c r="H102" s="86"/>
      <c r="J102" s="85"/>
      <c r="K102" s="94"/>
      <c r="L102" s="95"/>
      <c r="M102" s="56"/>
    </row>
    <row r="103" spans="1:13" x14ac:dyDescent="0.15">
      <c r="A103" s="82"/>
      <c r="B103" s="83"/>
      <c r="C103" s="84"/>
      <c r="D103" s="84"/>
      <c r="E103" s="88"/>
      <c r="F103" s="84"/>
      <c r="G103" s="84"/>
      <c r="H103" s="86"/>
      <c r="J103" s="85"/>
      <c r="K103" s="94"/>
      <c r="L103" s="95"/>
      <c r="M103" s="56"/>
    </row>
    <row r="104" spans="1:13" x14ac:dyDescent="0.15">
      <c r="A104" s="82"/>
      <c r="B104" s="83"/>
      <c r="C104" s="84"/>
      <c r="D104" s="84"/>
      <c r="E104" s="88"/>
      <c r="F104" s="84"/>
      <c r="G104" s="84"/>
      <c r="H104" s="86"/>
      <c r="J104" s="85"/>
      <c r="K104" s="94"/>
      <c r="L104" s="95"/>
      <c r="M104" s="56"/>
    </row>
    <row r="105" spans="1:13" x14ac:dyDescent="0.15">
      <c r="A105" s="82"/>
      <c r="B105" s="83"/>
      <c r="C105" s="84"/>
      <c r="D105" s="84"/>
      <c r="E105" s="88"/>
      <c r="F105" s="84"/>
      <c r="G105" s="84"/>
      <c r="H105" s="86"/>
      <c r="J105" s="85"/>
      <c r="K105" s="94"/>
      <c r="L105" s="95"/>
      <c r="M105" s="56"/>
    </row>
    <row r="106" spans="1:13" x14ac:dyDescent="0.15">
      <c r="A106" s="82"/>
      <c r="B106" s="83"/>
      <c r="C106" s="84"/>
      <c r="D106" s="84"/>
      <c r="E106" s="88"/>
      <c r="F106" s="84"/>
      <c r="G106" s="84"/>
      <c r="H106" s="86"/>
      <c r="J106" s="85"/>
      <c r="K106" s="94"/>
      <c r="L106" s="95"/>
      <c r="M106" s="56"/>
    </row>
    <row r="107" spans="1:13" x14ac:dyDescent="0.15">
      <c r="A107" s="82"/>
      <c r="B107" s="83"/>
      <c r="C107" s="84"/>
      <c r="D107" s="84"/>
      <c r="E107" s="88"/>
      <c r="F107" s="84"/>
      <c r="G107" s="84"/>
      <c r="H107" s="86"/>
      <c r="J107" s="85"/>
      <c r="K107" s="94"/>
      <c r="L107" s="95"/>
      <c r="M107" s="56"/>
    </row>
    <row r="108" spans="1:13" x14ac:dyDescent="0.15">
      <c r="A108" s="82"/>
      <c r="B108" s="83"/>
      <c r="C108" s="84"/>
      <c r="D108" s="84"/>
      <c r="E108" s="88"/>
      <c r="F108" s="84"/>
      <c r="G108" s="84"/>
      <c r="H108" s="86"/>
      <c r="J108" s="85"/>
      <c r="K108" s="94"/>
      <c r="L108" s="95"/>
      <c r="M108" s="56"/>
    </row>
  </sheetData>
  <phoneticPr fontId="5"/>
  <dataValidations count="1">
    <dataValidation type="list" allowBlank="1" showInputMessage="1" showErrorMessage="1" sqref="A2:A108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33"/>
  <sheetViews>
    <sheetView showGridLines="0" tabSelected="1" workbookViewId="0">
      <pane ySplit="1" topLeftCell="A20" activePane="bottomLeft" state="frozen"/>
      <selection pane="bottomLeft" activeCell="L30" sqref="L30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188</v>
      </c>
      <c r="B1" s="73" t="s">
        <v>151</v>
      </c>
      <c r="C1" s="78" t="s">
        <v>190</v>
      </c>
      <c r="D1" s="78" t="s">
        <v>33</v>
      </c>
      <c r="E1" s="73" t="s">
        <v>191</v>
      </c>
      <c r="F1" s="78" t="s">
        <v>18</v>
      </c>
      <c r="G1" s="78" t="s">
        <v>33</v>
      </c>
      <c r="H1" s="73" t="s">
        <v>193</v>
      </c>
      <c r="I1" s="90" t="s">
        <v>194</v>
      </c>
      <c r="J1" s="92" t="s">
        <v>195</v>
      </c>
      <c r="K1" s="80" t="s">
        <v>127</v>
      </c>
      <c r="L1" s="79" t="s">
        <v>187</v>
      </c>
      <c r="M1" s="93" t="s">
        <v>186</v>
      </c>
      <c r="N1" s="81" t="s">
        <v>196</v>
      </c>
    </row>
    <row r="2" spans="1:14" ht="42" x14ac:dyDescent="0.15">
      <c r="A2" s="82" t="s">
        <v>197</v>
      </c>
      <c r="B2" s="83">
        <v>39004</v>
      </c>
      <c r="C2" s="84" t="str">
        <f ca="1">VLOOKUP($B2,OFFSET([2]quests!$A$1,0,0,COUNTA([2]quests!$A:$A),MATCH(C$1,[2]quests!$1:$1,0)-MATCH($B$1,[2]quests!$1:$1,0)+1),MATCH(C$1,[2]quests!$1:$1,0)-MATCH($B$1,[2]quests!$1:$1,0)+1,FALSE)</f>
        <v xml:space="preserve">ニムダのおきにいり♪ </v>
      </c>
      <c r="D2" s="84" t="str">
        <f ca="1">VLOOKUP($B2,OFFSET([2]quests!$A$1,0,0,COUNTA([2]quests!$A:$A),MATCH(D$1,[2]quests!$1:$1,0)-MATCH($B$1,[2]quests!$1:$1,0)+1),MATCH(D$1,[2]quests!$1:$1,0)-MATCH($B$1,[2]quests!$1:$1,0)+1,FALSE)</f>
        <v>コラボクエスト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【初級】ニムダのおきにいり♪ 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</v>
      </c>
      <c r="H2" s="86">
        <v>1</v>
      </c>
      <c r="I2" s="91">
        <f>ROW()-1</f>
        <v>1</v>
      </c>
      <c r="J2" s="87" t="str">
        <f>B2&amp;TEXT(I2,"00")</f>
        <v>3900401</v>
      </c>
      <c r="K2" s="85" t="s">
        <v>198</v>
      </c>
      <c r="L2" s="88" t="s">
        <v>199</v>
      </c>
      <c r="M2" s="106" t="s">
        <v>309</v>
      </c>
      <c r="N2" s="56" t="s">
        <v>200</v>
      </c>
    </row>
    <row r="3" spans="1:14" ht="42" x14ac:dyDescent="0.15">
      <c r="A3" s="82" t="s">
        <v>197</v>
      </c>
      <c r="B3" s="83">
        <v>39004</v>
      </c>
      <c r="C3" s="84" t="str">
        <f ca="1">VLOOKUP($B3,OFFSET([2]quests!$A$1,0,0,COUNTA([2]quests!$A:$A),MATCH(C$1,[2]quests!$1:$1,0)-MATCH($B$1,[2]quests!$1:$1,0)+1),MATCH(C$1,[2]quests!$1:$1,0)-MATCH($B$1,[2]quests!$1:$1,0)+1,FALSE)</f>
        <v xml:space="preserve">ニムダのおきにいり♪ </v>
      </c>
      <c r="D3" s="84" t="str">
        <f ca="1">VLOOKUP($B3,OFFSET([2]quests!$A$1,0,0,COUNTA([2]quests!$A:$A),MATCH(D$1,[2]quests!$1:$1,0)-MATCH($B$1,[2]quests!$1:$1,0)+1),MATCH(D$1,[2]quests!$1:$1,0)-MATCH($B$1,[2]quests!$1:$1,0)+1,FALSE)</f>
        <v>コラボクエスト</v>
      </c>
      <c r="E3" s="85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【初級】ニムダのおきにいり♪ 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コラボクエスト</v>
      </c>
      <c r="H3" s="86">
        <v>2</v>
      </c>
      <c r="I3" s="91">
        <f t="shared" ref="I3:I33" si="0">ROW()-1</f>
        <v>2</v>
      </c>
      <c r="J3" s="87" t="str">
        <f t="shared" ref="J3:J5" si="1">B3&amp;TEXT(I3,"00")</f>
        <v>3900402</v>
      </c>
      <c r="K3" s="85" t="s">
        <v>198</v>
      </c>
      <c r="L3" s="88" t="s">
        <v>199</v>
      </c>
      <c r="M3" s="106" t="s">
        <v>310</v>
      </c>
      <c r="N3" s="56" t="s">
        <v>200</v>
      </c>
    </row>
    <row r="4" spans="1:14" ht="28" x14ac:dyDescent="0.15">
      <c r="A4" s="82" t="s">
        <v>197</v>
      </c>
      <c r="B4" s="83">
        <v>39004</v>
      </c>
      <c r="C4" s="84" t="str">
        <f ca="1">VLOOKUP($B4,OFFSET([2]quests!$A$1,0,0,COUNTA([2]quests!$A:$A),MATCH(C$1,[2]quests!$1:$1,0)-MATCH($B$1,[2]quests!$1:$1,0)+1),MATCH(C$1,[2]quests!$1:$1,0)-MATCH($B$1,[2]quests!$1:$1,0)+1,FALSE)</f>
        <v xml:space="preserve">ニムダのおきにいり♪ </v>
      </c>
      <c r="D4" s="84" t="str">
        <f ca="1">VLOOKUP($B4,OFFSET([2]quests!$A$1,0,0,COUNTA([2]quests!$A:$A),MATCH(D$1,[2]quests!$1:$1,0)-MATCH($B$1,[2]quests!$1:$1,0)+1),MATCH(D$1,[2]quests!$1:$1,0)-MATCH($B$1,[2]quests!$1:$1,0)+1,FALSE)</f>
        <v>コラボクエスト</v>
      </c>
      <c r="E4" s="85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【初級】ニムダのおきにいり♪ 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コラボクエスト</v>
      </c>
      <c r="H4" s="86">
        <v>3</v>
      </c>
      <c r="I4" s="91">
        <f t="shared" si="0"/>
        <v>3</v>
      </c>
      <c r="J4" s="87" t="str">
        <f t="shared" si="1"/>
        <v>3900403</v>
      </c>
      <c r="K4" s="85" t="s">
        <v>198</v>
      </c>
      <c r="L4" s="88" t="s">
        <v>199</v>
      </c>
      <c r="M4" s="106" t="s">
        <v>354</v>
      </c>
      <c r="N4" s="56" t="s">
        <v>200</v>
      </c>
    </row>
    <row r="5" spans="1:14" ht="42" x14ac:dyDescent="0.15">
      <c r="A5" s="82" t="s">
        <v>197</v>
      </c>
      <c r="B5" s="83">
        <v>39004</v>
      </c>
      <c r="C5" s="84" t="str">
        <f ca="1">VLOOKUP($B5,OFFSET([2]quests!$A$1,0,0,COUNTA([2]quests!$A:$A),MATCH(C$1,[2]quests!$1:$1,0)-MATCH($B$1,[2]quests!$1:$1,0)+1),MATCH(C$1,[2]quests!$1:$1,0)-MATCH($B$1,[2]quests!$1:$1,0)+1,FALSE)</f>
        <v xml:space="preserve">ニムダのおきにいり♪ </v>
      </c>
      <c r="D5" s="84" t="str">
        <f ca="1">VLOOKUP($B5,OFFSET([2]quests!$A$1,0,0,COUNTA([2]quests!$A:$A),MATCH(D$1,[2]quests!$1:$1,0)-MATCH($B$1,[2]quests!$1:$1,0)+1),MATCH(D$1,[2]quests!$1:$1,0)-MATCH($B$1,[2]quests!$1:$1,0)+1,FALSE)</f>
        <v>コラボクエスト</v>
      </c>
      <c r="E5" s="85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【初級】ニムダのおきにいり♪ 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コラボクエスト</v>
      </c>
      <c r="H5" s="86">
        <v>4</v>
      </c>
      <c r="I5" s="91">
        <f t="shared" si="0"/>
        <v>4</v>
      </c>
      <c r="J5" s="87" t="str">
        <f t="shared" si="1"/>
        <v>3900404</v>
      </c>
      <c r="K5" s="85" t="s">
        <v>198</v>
      </c>
      <c r="L5" s="88" t="s">
        <v>199</v>
      </c>
      <c r="M5" s="106" t="s">
        <v>393</v>
      </c>
      <c r="N5" s="56" t="s">
        <v>200</v>
      </c>
    </row>
    <row r="6" spans="1:14" ht="42" x14ac:dyDescent="0.15">
      <c r="A6" s="82" t="s">
        <v>197</v>
      </c>
      <c r="B6" s="83">
        <v>39004</v>
      </c>
      <c r="C6" s="84" t="str">
        <f ca="1">VLOOKUP($B6,OFFSET([2]quests!$A$1,0,0,COUNTA([2]quests!$A:$A),MATCH(C$1,[2]quests!$1:$1,0)-MATCH($B$1,[2]quests!$1:$1,0)+1),MATCH(C$1,[2]quests!$1:$1,0)-MATCH($B$1,[2]quests!$1:$1,0)+1,FALSE)</f>
        <v xml:space="preserve">ニムダのおきにいり♪ </v>
      </c>
      <c r="D6" s="84" t="str">
        <f ca="1">VLOOKUP($B6,OFFSET([2]quests!$A$1,0,0,COUNTA([2]quests!$A:$A),MATCH(D$1,[2]quests!$1:$1,0)-MATCH($B$1,[2]quests!$1:$1,0)+1),MATCH(D$1,[2]quests!$1:$1,0)-MATCH($B$1,[2]quests!$1:$1,0)+1,FALSE)</f>
        <v>コラボクエスト</v>
      </c>
      <c r="E6" s="85">
        <v>2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【中級】ニムダのおきにいり♪ 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コラボクエスト</v>
      </c>
      <c r="H6" s="86">
        <v>1</v>
      </c>
      <c r="I6" s="91">
        <f>ROW()-1</f>
        <v>5</v>
      </c>
      <c r="J6" s="87" t="str">
        <f>B6&amp;TEXT(I6,"00")</f>
        <v>3900405</v>
      </c>
      <c r="K6" s="85" t="s">
        <v>198</v>
      </c>
      <c r="L6" s="88" t="s">
        <v>199</v>
      </c>
      <c r="M6" s="106" t="s">
        <v>309</v>
      </c>
      <c r="N6" s="56" t="s">
        <v>200</v>
      </c>
    </row>
    <row r="7" spans="1:14" ht="42" x14ac:dyDescent="0.15">
      <c r="A7" s="82" t="s">
        <v>197</v>
      </c>
      <c r="B7" s="83">
        <v>39004</v>
      </c>
      <c r="C7" s="84" t="str">
        <f ca="1">VLOOKUP($B7,OFFSET([2]quests!$A$1,0,0,COUNTA([2]quests!$A:$A),MATCH(C$1,[2]quests!$1:$1,0)-MATCH($B$1,[2]quests!$1:$1,0)+1),MATCH(C$1,[2]quests!$1:$1,0)-MATCH($B$1,[2]quests!$1:$1,0)+1,FALSE)</f>
        <v xml:space="preserve">ニムダのおきにいり♪ </v>
      </c>
      <c r="D7" s="84" t="str">
        <f ca="1">VLOOKUP($B7,OFFSET([2]quests!$A$1,0,0,COUNTA([2]quests!$A:$A),MATCH(D$1,[2]quests!$1:$1,0)-MATCH($B$1,[2]quests!$1:$1,0)+1),MATCH(D$1,[2]quests!$1:$1,0)-MATCH($B$1,[2]quests!$1:$1,0)+1,FALSE)</f>
        <v>コラボクエスト</v>
      </c>
      <c r="E7" s="85">
        <v>2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 xml:space="preserve">【中級】ニムダのおきにいり♪ 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コラボクエスト</v>
      </c>
      <c r="H7" s="86">
        <v>2</v>
      </c>
      <c r="I7" s="91">
        <f t="shared" si="0"/>
        <v>6</v>
      </c>
      <c r="J7" s="87" t="str">
        <f t="shared" ref="J7:J9" si="2">B7&amp;TEXT(I7,"00")</f>
        <v>3900406</v>
      </c>
      <c r="K7" s="85" t="s">
        <v>198</v>
      </c>
      <c r="L7" s="88" t="s">
        <v>199</v>
      </c>
      <c r="M7" s="106" t="s">
        <v>310</v>
      </c>
      <c r="N7" s="56" t="s">
        <v>200</v>
      </c>
    </row>
    <row r="8" spans="1:14" ht="28" x14ac:dyDescent="0.15">
      <c r="A8" s="82" t="s">
        <v>197</v>
      </c>
      <c r="B8" s="83">
        <v>39004</v>
      </c>
      <c r="C8" s="84" t="str">
        <f ca="1">VLOOKUP($B8,OFFSET([2]quests!$A$1,0,0,COUNTA([2]quests!$A:$A),MATCH(C$1,[2]quests!$1:$1,0)-MATCH($B$1,[2]quests!$1:$1,0)+1),MATCH(C$1,[2]quests!$1:$1,0)-MATCH($B$1,[2]quests!$1:$1,0)+1,FALSE)</f>
        <v xml:space="preserve">ニムダのおきにいり♪ </v>
      </c>
      <c r="D8" s="84" t="str">
        <f ca="1">VLOOKUP($B8,OFFSET([2]quests!$A$1,0,0,COUNTA([2]quests!$A:$A),MATCH(D$1,[2]quests!$1:$1,0)-MATCH($B$1,[2]quests!$1:$1,0)+1),MATCH(D$1,[2]quests!$1:$1,0)-MATCH($B$1,[2]quests!$1:$1,0)+1,FALSE)</f>
        <v>コラボクエスト</v>
      </c>
      <c r="E8" s="85">
        <v>2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 xml:space="preserve">【中級】ニムダのおきにいり♪ 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コラボクエスト</v>
      </c>
      <c r="H8" s="86">
        <v>3</v>
      </c>
      <c r="I8" s="91">
        <f t="shared" si="0"/>
        <v>7</v>
      </c>
      <c r="J8" s="87" t="str">
        <f t="shared" si="2"/>
        <v>3900407</v>
      </c>
      <c r="K8" s="85" t="s">
        <v>198</v>
      </c>
      <c r="L8" s="88" t="s">
        <v>199</v>
      </c>
      <c r="M8" s="106" t="s">
        <v>354</v>
      </c>
      <c r="N8" s="56" t="s">
        <v>200</v>
      </c>
    </row>
    <row r="9" spans="1:14" ht="42" x14ac:dyDescent="0.15">
      <c r="A9" s="82" t="s">
        <v>197</v>
      </c>
      <c r="B9" s="83">
        <v>39004</v>
      </c>
      <c r="C9" s="84" t="str">
        <f ca="1">VLOOKUP($B9,OFFSET([2]quests!$A$1,0,0,COUNTA([2]quests!$A:$A),MATCH(C$1,[2]quests!$1:$1,0)-MATCH($B$1,[2]quests!$1:$1,0)+1),MATCH(C$1,[2]quests!$1:$1,0)-MATCH($B$1,[2]quests!$1:$1,0)+1,FALSE)</f>
        <v xml:space="preserve">ニムダのおきにいり♪ </v>
      </c>
      <c r="D9" s="84" t="str">
        <f ca="1">VLOOKUP($B9,OFFSET([2]quests!$A$1,0,0,COUNTA([2]quests!$A:$A),MATCH(D$1,[2]quests!$1:$1,0)-MATCH($B$1,[2]quests!$1:$1,0)+1),MATCH(D$1,[2]quests!$1:$1,0)-MATCH($B$1,[2]quests!$1:$1,0)+1,FALSE)</f>
        <v>コラボクエスト</v>
      </c>
      <c r="E9" s="85">
        <v>2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 xml:space="preserve">【中級】ニムダのおきにいり♪ 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コラボクエスト</v>
      </c>
      <c r="H9" s="86">
        <v>4</v>
      </c>
      <c r="I9" s="91">
        <f t="shared" si="0"/>
        <v>8</v>
      </c>
      <c r="J9" s="87" t="str">
        <f t="shared" si="2"/>
        <v>3900408</v>
      </c>
      <c r="K9" s="85" t="s">
        <v>198</v>
      </c>
      <c r="L9" s="88" t="s">
        <v>199</v>
      </c>
      <c r="M9" s="106" t="s">
        <v>393</v>
      </c>
      <c r="N9" s="56" t="s">
        <v>200</v>
      </c>
    </row>
    <row r="10" spans="1:14" ht="42" x14ac:dyDescent="0.15">
      <c r="A10" s="82" t="s">
        <v>197</v>
      </c>
      <c r="B10" s="83">
        <v>39004</v>
      </c>
      <c r="C10" s="84" t="str">
        <f ca="1">VLOOKUP($B10,OFFSET([2]quests!$A$1,0,0,COUNTA([2]quests!$A:$A),MATCH(C$1,[2]quests!$1:$1,0)-MATCH($B$1,[2]quests!$1:$1,0)+1),MATCH(C$1,[2]quests!$1:$1,0)-MATCH($B$1,[2]quests!$1:$1,0)+1,FALSE)</f>
        <v xml:space="preserve">ニムダのおきにいり♪ </v>
      </c>
      <c r="D10" s="84" t="str">
        <f ca="1">VLOOKUP($B10,OFFSET([2]quests!$A$1,0,0,COUNTA([2]quests!$A:$A),MATCH(D$1,[2]quests!$1:$1,0)-MATCH($B$1,[2]quests!$1:$1,0)+1),MATCH(D$1,[2]quests!$1:$1,0)-MATCH($B$1,[2]quests!$1:$1,0)+1,FALSE)</f>
        <v>コラボクエスト</v>
      </c>
      <c r="E10" s="85">
        <v>3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 xml:space="preserve">【上級】ニムダのおきにいり♪ 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コラボクエスト</v>
      </c>
      <c r="H10" s="86">
        <v>1</v>
      </c>
      <c r="I10" s="91">
        <f>ROW()-1</f>
        <v>9</v>
      </c>
      <c r="J10" s="87" t="str">
        <f>B10&amp;TEXT(I10,"00")</f>
        <v>3900409</v>
      </c>
      <c r="K10" s="85" t="s">
        <v>198</v>
      </c>
      <c r="L10" s="88" t="s">
        <v>199</v>
      </c>
      <c r="M10" s="106" t="s">
        <v>309</v>
      </c>
      <c r="N10" s="56" t="s">
        <v>200</v>
      </c>
    </row>
    <row r="11" spans="1:14" ht="42" x14ac:dyDescent="0.15">
      <c r="A11" s="82" t="s">
        <v>197</v>
      </c>
      <c r="B11" s="83">
        <v>39004</v>
      </c>
      <c r="C11" s="84" t="str">
        <f ca="1">VLOOKUP($B11,OFFSET([2]quests!$A$1,0,0,COUNTA([2]quests!$A:$A),MATCH(C$1,[2]quests!$1:$1,0)-MATCH($B$1,[2]quests!$1:$1,0)+1),MATCH(C$1,[2]quests!$1:$1,0)-MATCH($B$1,[2]quests!$1:$1,0)+1,FALSE)</f>
        <v xml:space="preserve">ニムダのおきにいり♪ </v>
      </c>
      <c r="D11" s="84" t="str">
        <f ca="1">VLOOKUP($B11,OFFSET([2]quests!$A$1,0,0,COUNTA([2]quests!$A:$A),MATCH(D$1,[2]quests!$1:$1,0)-MATCH($B$1,[2]quests!$1:$1,0)+1),MATCH(D$1,[2]quests!$1:$1,0)-MATCH($B$1,[2]quests!$1:$1,0)+1,FALSE)</f>
        <v>コラボクエスト</v>
      </c>
      <c r="E11" s="85">
        <v>3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 xml:space="preserve">【上級】ニムダのおきにいり♪ 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コラボクエスト</v>
      </c>
      <c r="H11" s="86">
        <v>2</v>
      </c>
      <c r="I11" s="91">
        <f t="shared" si="0"/>
        <v>10</v>
      </c>
      <c r="J11" s="87" t="str">
        <f t="shared" ref="J11:J13" si="3">B11&amp;TEXT(I11,"00")</f>
        <v>3900410</v>
      </c>
      <c r="K11" s="85" t="s">
        <v>198</v>
      </c>
      <c r="L11" s="88" t="s">
        <v>199</v>
      </c>
      <c r="M11" s="106" t="s">
        <v>310</v>
      </c>
      <c r="N11" s="56" t="s">
        <v>200</v>
      </c>
    </row>
    <row r="12" spans="1:14" ht="28" x14ac:dyDescent="0.15">
      <c r="A12" s="82" t="s">
        <v>197</v>
      </c>
      <c r="B12" s="83">
        <v>39004</v>
      </c>
      <c r="C12" s="84" t="str">
        <f ca="1">VLOOKUP($B12,OFFSET([2]quests!$A$1,0,0,COUNTA([2]quests!$A:$A),MATCH(C$1,[2]quests!$1:$1,0)-MATCH($B$1,[2]quests!$1:$1,0)+1),MATCH(C$1,[2]quests!$1:$1,0)-MATCH($B$1,[2]quests!$1:$1,0)+1,FALSE)</f>
        <v xml:space="preserve">ニムダのおきにいり♪ </v>
      </c>
      <c r="D12" s="84" t="str">
        <f ca="1">VLOOKUP($B12,OFFSET([2]quests!$A$1,0,0,COUNTA([2]quests!$A:$A),MATCH(D$1,[2]quests!$1:$1,0)-MATCH($B$1,[2]quests!$1:$1,0)+1),MATCH(D$1,[2]quests!$1:$1,0)-MATCH($B$1,[2]quests!$1:$1,0)+1,FALSE)</f>
        <v>コラボクエスト</v>
      </c>
      <c r="E12" s="85">
        <v>3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 xml:space="preserve">【上級】ニムダのおきにいり♪ 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コラボクエスト</v>
      </c>
      <c r="H12" s="86">
        <v>3</v>
      </c>
      <c r="I12" s="91">
        <f t="shared" si="0"/>
        <v>11</v>
      </c>
      <c r="J12" s="87" t="str">
        <f t="shared" si="3"/>
        <v>3900411</v>
      </c>
      <c r="K12" s="85" t="s">
        <v>198</v>
      </c>
      <c r="L12" s="88" t="s">
        <v>199</v>
      </c>
      <c r="M12" s="106" t="s">
        <v>354</v>
      </c>
      <c r="N12" s="56" t="s">
        <v>200</v>
      </c>
    </row>
    <row r="13" spans="1:14" ht="42" x14ac:dyDescent="0.15">
      <c r="A13" s="82" t="s">
        <v>197</v>
      </c>
      <c r="B13" s="83">
        <v>39004</v>
      </c>
      <c r="C13" s="84" t="str">
        <f ca="1">VLOOKUP($B13,OFFSET([2]quests!$A$1,0,0,COUNTA([2]quests!$A:$A),MATCH(C$1,[2]quests!$1:$1,0)-MATCH($B$1,[2]quests!$1:$1,0)+1),MATCH(C$1,[2]quests!$1:$1,0)-MATCH($B$1,[2]quests!$1:$1,0)+1,FALSE)</f>
        <v xml:space="preserve">ニムダのおきにいり♪ </v>
      </c>
      <c r="D13" s="84" t="str">
        <f ca="1">VLOOKUP($B13,OFFSET([2]quests!$A$1,0,0,COUNTA([2]quests!$A:$A),MATCH(D$1,[2]quests!$1:$1,0)-MATCH($B$1,[2]quests!$1:$1,0)+1),MATCH(D$1,[2]quests!$1:$1,0)-MATCH($B$1,[2]quests!$1:$1,0)+1,FALSE)</f>
        <v>コラボクエスト</v>
      </c>
      <c r="E13" s="85">
        <v>3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 xml:space="preserve">【上級】ニムダのおきにいり♪ 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コラボクエスト</v>
      </c>
      <c r="H13" s="86">
        <v>4</v>
      </c>
      <c r="I13" s="91">
        <f t="shared" si="0"/>
        <v>12</v>
      </c>
      <c r="J13" s="87" t="str">
        <f t="shared" si="3"/>
        <v>3900412</v>
      </c>
      <c r="K13" s="85" t="s">
        <v>223</v>
      </c>
      <c r="L13" s="88" t="s">
        <v>199</v>
      </c>
      <c r="M13" s="106" t="s">
        <v>393</v>
      </c>
      <c r="N13" s="56" t="s">
        <v>200</v>
      </c>
    </row>
    <row r="14" spans="1:14" ht="42" x14ac:dyDescent="0.15">
      <c r="A14" s="82" t="s">
        <v>197</v>
      </c>
      <c r="B14" s="83">
        <v>39004</v>
      </c>
      <c r="C14" s="84" t="str">
        <f ca="1">VLOOKUP($B14,OFFSET([2]quests!$A$1,0,0,COUNTA([2]quests!$A:$A),MATCH(C$1,[2]quests!$1:$1,0)-MATCH($B$1,[2]quests!$1:$1,0)+1),MATCH(C$1,[2]quests!$1:$1,0)-MATCH($B$1,[2]quests!$1:$1,0)+1,FALSE)</f>
        <v xml:space="preserve">ニムダのおきにいり♪ </v>
      </c>
      <c r="D14" s="84" t="str">
        <f ca="1">VLOOKUP($B14,OFFSET([2]quests!$A$1,0,0,COUNTA([2]quests!$A:$A),MATCH(D$1,[2]quests!$1:$1,0)-MATCH($B$1,[2]quests!$1:$1,0)+1),MATCH(D$1,[2]quests!$1:$1,0)-MATCH($B$1,[2]quests!$1:$1,0)+1,FALSE)</f>
        <v>コラボクエスト</v>
      </c>
      <c r="E14" s="85">
        <v>4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 xml:space="preserve">【超級】ニムダのおきにいり♪ 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コラボクエスト</v>
      </c>
      <c r="H14" s="86">
        <v>1</v>
      </c>
      <c r="I14" s="91">
        <f>ROW()-1</f>
        <v>13</v>
      </c>
      <c r="J14" s="87" t="str">
        <f>B14&amp;TEXT(I14,"00")</f>
        <v>3900413</v>
      </c>
      <c r="K14" s="85" t="s">
        <v>198</v>
      </c>
      <c r="L14" s="88" t="s">
        <v>199</v>
      </c>
      <c r="M14" s="106" t="s">
        <v>309</v>
      </c>
      <c r="N14" s="56" t="s">
        <v>200</v>
      </c>
    </row>
    <row r="15" spans="1:14" ht="42" x14ac:dyDescent="0.15">
      <c r="A15" s="82" t="s">
        <v>197</v>
      </c>
      <c r="B15" s="83">
        <v>39004</v>
      </c>
      <c r="C15" s="84" t="str">
        <f ca="1">VLOOKUP($B15,OFFSET([2]quests!$A$1,0,0,COUNTA([2]quests!$A:$A),MATCH(C$1,[2]quests!$1:$1,0)-MATCH($B$1,[2]quests!$1:$1,0)+1),MATCH(C$1,[2]quests!$1:$1,0)-MATCH($B$1,[2]quests!$1:$1,0)+1,FALSE)</f>
        <v xml:space="preserve">ニムダのおきにいり♪ </v>
      </c>
      <c r="D15" s="84" t="str">
        <f ca="1">VLOOKUP($B15,OFFSET([2]quests!$A$1,0,0,COUNTA([2]quests!$A:$A),MATCH(D$1,[2]quests!$1:$1,0)-MATCH($B$1,[2]quests!$1:$1,0)+1),MATCH(D$1,[2]quests!$1:$1,0)-MATCH($B$1,[2]quests!$1:$1,0)+1,FALSE)</f>
        <v>コラボクエスト</v>
      </c>
      <c r="E15" s="85">
        <v>4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 xml:space="preserve">【超級】ニムダのおきにいり♪ 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コラボクエスト</v>
      </c>
      <c r="H15" s="86">
        <v>2</v>
      </c>
      <c r="I15" s="91">
        <f t="shared" si="0"/>
        <v>14</v>
      </c>
      <c r="J15" s="87" t="str">
        <f t="shared" ref="J15:J17" si="4">B15&amp;TEXT(I15,"00")</f>
        <v>3900414</v>
      </c>
      <c r="K15" s="85" t="s">
        <v>198</v>
      </c>
      <c r="L15" s="88" t="s">
        <v>199</v>
      </c>
      <c r="M15" s="106" t="s">
        <v>310</v>
      </c>
      <c r="N15" s="56" t="s">
        <v>200</v>
      </c>
    </row>
    <row r="16" spans="1:14" ht="28" x14ac:dyDescent="0.15">
      <c r="A16" s="82" t="s">
        <v>197</v>
      </c>
      <c r="B16" s="83">
        <v>39004</v>
      </c>
      <c r="C16" s="84" t="str">
        <f ca="1">VLOOKUP($B16,OFFSET([2]quests!$A$1,0,0,COUNTA([2]quests!$A:$A),MATCH(C$1,[2]quests!$1:$1,0)-MATCH($B$1,[2]quests!$1:$1,0)+1),MATCH(C$1,[2]quests!$1:$1,0)-MATCH($B$1,[2]quests!$1:$1,0)+1,FALSE)</f>
        <v xml:space="preserve">ニムダのおきにいり♪ </v>
      </c>
      <c r="D16" s="84" t="str">
        <f ca="1">VLOOKUP($B16,OFFSET([2]quests!$A$1,0,0,COUNTA([2]quests!$A:$A),MATCH(D$1,[2]quests!$1:$1,0)-MATCH($B$1,[2]quests!$1:$1,0)+1),MATCH(D$1,[2]quests!$1:$1,0)-MATCH($B$1,[2]quests!$1:$1,0)+1,FALSE)</f>
        <v>コラボクエスト</v>
      </c>
      <c r="E16" s="85">
        <v>4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 xml:space="preserve">【超級】ニムダのおきにいり♪ 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コラボクエスト</v>
      </c>
      <c r="H16" s="86">
        <v>3</v>
      </c>
      <c r="I16" s="91">
        <f t="shared" si="0"/>
        <v>15</v>
      </c>
      <c r="J16" s="87" t="str">
        <f t="shared" si="4"/>
        <v>3900415</v>
      </c>
      <c r="K16" s="85" t="s">
        <v>198</v>
      </c>
      <c r="L16" s="88" t="s">
        <v>199</v>
      </c>
      <c r="M16" s="106" t="s">
        <v>354</v>
      </c>
      <c r="N16" s="56" t="s">
        <v>200</v>
      </c>
    </row>
    <row r="17" spans="1:14" ht="42" x14ac:dyDescent="0.15">
      <c r="A17" s="82" t="s">
        <v>197</v>
      </c>
      <c r="B17" s="83">
        <v>39004</v>
      </c>
      <c r="C17" s="84" t="str">
        <f ca="1">VLOOKUP($B17,OFFSET([2]quests!$A$1,0,0,COUNTA([2]quests!$A:$A),MATCH(C$1,[2]quests!$1:$1,0)-MATCH($B$1,[2]quests!$1:$1,0)+1),MATCH(C$1,[2]quests!$1:$1,0)-MATCH($B$1,[2]quests!$1:$1,0)+1,FALSE)</f>
        <v xml:space="preserve">ニムダのおきにいり♪ </v>
      </c>
      <c r="D17" s="84" t="str">
        <f ca="1">VLOOKUP($B17,OFFSET([2]quests!$A$1,0,0,COUNTA([2]quests!$A:$A),MATCH(D$1,[2]quests!$1:$1,0)-MATCH($B$1,[2]quests!$1:$1,0)+1),MATCH(D$1,[2]quests!$1:$1,0)-MATCH($B$1,[2]quests!$1:$1,0)+1,FALSE)</f>
        <v>コラボクエスト</v>
      </c>
      <c r="E17" s="85">
        <v>4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 xml:space="preserve">【超級】ニムダのおきにいり♪ 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コラボクエスト</v>
      </c>
      <c r="H17" s="86">
        <v>4</v>
      </c>
      <c r="I17" s="91">
        <f t="shared" si="0"/>
        <v>16</v>
      </c>
      <c r="J17" s="87" t="str">
        <f t="shared" si="4"/>
        <v>3900416</v>
      </c>
      <c r="K17" s="85" t="s">
        <v>198</v>
      </c>
      <c r="L17" s="88" t="s">
        <v>199</v>
      </c>
      <c r="M17" s="106" t="s">
        <v>393</v>
      </c>
      <c r="N17" s="56" t="s">
        <v>200</v>
      </c>
    </row>
    <row r="18" spans="1:14" ht="42" x14ac:dyDescent="0.15">
      <c r="A18" s="82" t="s">
        <v>201</v>
      </c>
      <c r="B18" s="83">
        <v>39004</v>
      </c>
      <c r="C18" s="84" t="str">
        <f ca="1">VLOOKUP($B18,OFFSET([2]quests!$A$1,0,0,COUNTA([2]quests!$A:$A),MATCH(C$1,[2]quests!$1:$1,0)-MATCH($B$1,[2]quests!$1:$1,0)+1),MATCH(C$1,[2]quests!$1:$1,0)-MATCH($B$1,[2]quests!$1:$1,0)+1,FALSE)</f>
        <v xml:space="preserve">ニムダのおきにいり♪ </v>
      </c>
      <c r="D18" s="84" t="str">
        <f ca="1">VLOOKUP($B18,OFFSET([2]quests!$A$1,0,0,COUNTA([2]quests!$A:$A),MATCH(D$1,[2]quests!$1:$1,0)-MATCH($B$1,[2]quests!$1:$1,0)+1),MATCH(D$1,[2]quests!$1:$1,0)-MATCH($B$1,[2]quests!$1:$1,0)+1,FALSE)</f>
        <v>コラボクエスト</v>
      </c>
      <c r="E18" s="85">
        <v>1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 xml:space="preserve">【初級】ニムダのおきにいり♪ 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コラボクエスト</v>
      </c>
      <c r="H18" s="86">
        <v>0</v>
      </c>
      <c r="I18" s="91">
        <f t="shared" si="0"/>
        <v>17</v>
      </c>
      <c r="J18" s="87" t="str">
        <f>B18&amp;TEXT(I18,"00")</f>
        <v>3900417</v>
      </c>
      <c r="K18" s="85" t="s">
        <v>128</v>
      </c>
      <c r="L18" s="94" t="s">
        <v>394</v>
      </c>
      <c r="M18" s="162" t="s">
        <v>395</v>
      </c>
      <c r="N18" s="56" t="s">
        <v>200</v>
      </c>
    </row>
    <row r="19" spans="1:14" ht="28" x14ac:dyDescent="0.15">
      <c r="A19" s="82" t="s">
        <v>201</v>
      </c>
      <c r="B19" s="83">
        <v>39004</v>
      </c>
      <c r="C19" s="84" t="str">
        <f ca="1">VLOOKUP($B19,OFFSET([2]quests!$A$1,0,0,COUNTA([2]quests!$A:$A),MATCH(C$1,[2]quests!$1:$1,0)-MATCH($B$1,[2]quests!$1:$1,0)+1),MATCH(C$1,[2]quests!$1:$1,0)-MATCH($B$1,[2]quests!$1:$1,0)+1,FALSE)</f>
        <v xml:space="preserve">ニムダのおきにいり♪ </v>
      </c>
      <c r="D19" s="84" t="str">
        <f ca="1">VLOOKUP($B19,OFFSET([2]quests!$A$1,0,0,COUNTA([2]quests!$A:$A),MATCH(D$1,[2]quests!$1:$1,0)-MATCH($B$1,[2]quests!$1:$1,0)+1),MATCH(D$1,[2]quests!$1:$1,0)-MATCH($B$1,[2]quests!$1:$1,0)+1,FALSE)</f>
        <v>コラボクエスト</v>
      </c>
      <c r="E19" s="85">
        <v>1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 xml:space="preserve">【初級】ニムダのおきにいり♪ </v>
      </c>
      <c r="G19" s="84" t="str">
        <f ca="1">VLOOKUP($B19&amp;"_"&amp;$E19,OFFSET([2]stages!$A$1,0,0,COUNTA([2]stages!$A:$A),MATCH(G$1,[2]stages!$2:$2,0)-MATCH("temp_stage",[2]stages!$2:$2,0)+1),MATCH(G$1,[2]stages!$2:$2,0)-MATCH("temp_stage",[2]stages!$2:$2,0)+1,FALSE)</f>
        <v>コラボクエスト</v>
      </c>
      <c r="H19" s="86">
        <v>0</v>
      </c>
      <c r="I19" s="91">
        <f t="shared" si="0"/>
        <v>18</v>
      </c>
      <c r="J19" s="87" t="str">
        <f>B19&amp;TEXT(I19,"00")</f>
        <v>3900418</v>
      </c>
      <c r="K19" s="85" t="s">
        <v>128</v>
      </c>
      <c r="L19" s="94" t="s">
        <v>397</v>
      </c>
      <c r="M19" s="162" t="s">
        <v>396</v>
      </c>
      <c r="N19" s="56" t="s">
        <v>200</v>
      </c>
    </row>
    <row r="20" spans="1:14" ht="42" x14ac:dyDescent="0.15">
      <c r="A20" s="82" t="s">
        <v>201</v>
      </c>
      <c r="B20" s="83">
        <v>39004</v>
      </c>
      <c r="C20" s="84" t="str">
        <f ca="1">VLOOKUP($B20,OFFSET([2]quests!$A$1,0,0,COUNTA([2]quests!$A:$A),MATCH(C$1,[2]quests!$1:$1,0)-MATCH($B$1,[2]quests!$1:$1,0)+1),MATCH(C$1,[2]quests!$1:$1,0)-MATCH($B$1,[2]quests!$1:$1,0)+1,FALSE)</f>
        <v xml:space="preserve">ニムダのおきにいり♪ </v>
      </c>
      <c r="D20" s="84" t="str">
        <f ca="1">VLOOKUP($B20,OFFSET([2]quests!$A$1,0,0,COUNTA([2]quests!$A:$A),MATCH(D$1,[2]quests!$1:$1,0)-MATCH($B$1,[2]quests!$1:$1,0)+1),MATCH(D$1,[2]quests!$1:$1,0)-MATCH($B$1,[2]quests!$1:$1,0)+1,FALSE)</f>
        <v>コラボクエスト</v>
      </c>
      <c r="E20" s="85">
        <v>1</v>
      </c>
      <c r="F20" s="84" t="str">
        <f ca="1">VLOOKUP($B20&amp;"_"&amp;$E20,OFFSET([2]stages!$A$1,0,0,COUNTA([2]stages!$A:$A),MATCH(F$1,[2]stages!$2:$2,0)-MATCH("temp_stage",[2]stages!$2:$2,0)+1),MATCH(F$1,[2]stages!$2:$2,0)-MATCH("temp_stage",[2]stages!$2:$2,0)+1,FALSE)</f>
        <v xml:space="preserve">【初級】ニムダのおきにいり♪ </v>
      </c>
      <c r="G20" s="84" t="str">
        <f ca="1">VLOOKUP($B20&amp;"_"&amp;$E20,OFFSET([2]stages!$A$1,0,0,COUNTA([2]stages!$A:$A),MATCH(G$1,[2]stages!$2:$2,0)-MATCH("temp_stage",[2]stages!$2:$2,0)+1),MATCH(G$1,[2]stages!$2:$2,0)-MATCH("temp_stage",[2]stages!$2:$2,0)+1,FALSE)</f>
        <v>コラボクエスト</v>
      </c>
      <c r="H20" s="86">
        <v>0</v>
      </c>
      <c r="I20" s="91">
        <f t="shared" si="0"/>
        <v>19</v>
      </c>
      <c r="J20" s="87" t="str">
        <f>B20&amp;TEXT(I20,"00")</f>
        <v>3900419</v>
      </c>
      <c r="K20" s="85" t="s">
        <v>128</v>
      </c>
      <c r="L20" s="94" t="s">
        <v>399</v>
      </c>
      <c r="M20" s="162" t="s">
        <v>398</v>
      </c>
      <c r="N20" s="56" t="s">
        <v>200</v>
      </c>
    </row>
    <row r="21" spans="1:14" ht="42" x14ac:dyDescent="0.15">
      <c r="A21" s="82" t="s">
        <v>201</v>
      </c>
      <c r="B21" s="83">
        <v>39004</v>
      </c>
      <c r="C21" s="84" t="str">
        <f ca="1">VLOOKUP($B21,OFFSET([2]quests!$A$1,0,0,COUNTA([2]quests!$A:$A),MATCH(C$1,[2]quests!$1:$1,0)-MATCH($B$1,[2]quests!$1:$1,0)+1),MATCH(C$1,[2]quests!$1:$1,0)-MATCH($B$1,[2]quests!$1:$1,0)+1,FALSE)</f>
        <v xml:space="preserve">ニムダのおきにいり♪ </v>
      </c>
      <c r="D21" s="84" t="str">
        <f ca="1">VLOOKUP($B21,OFFSET([2]quests!$A$1,0,0,COUNTA([2]quests!$A:$A),MATCH(D$1,[2]quests!$1:$1,0)-MATCH($B$1,[2]quests!$1:$1,0)+1),MATCH(D$1,[2]quests!$1:$1,0)-MATCH($B$1,[2]quests!$1:$1,0)+1,FALSE)</f>
        <v>コラボクエスト</v>
      </c>
      <c r="E21" s="85">
        <v>1</v>
      </c>
      <c r="F21" s="84" t="str">
        <f ca="1">VLOOKUP($B21&amp;"_"&amp;$E21,OFFSET([2]stages!$A$1,0,0,COUNTA([2]stages!$A:$A),MATCH(F$1,[2]stages!$2:$2,0)-MATCH("temp_stage",[2]stages!$2:$2,0)+1),MATCH(F$1,[2]stages!$2:$2,0)-MATCH("temp_stage",[2]stages!$2:$2,0)+1,FALSE)</f>
        <v xml:space="preserve">【初級】ニムダのおきにいり♪ </v>
      </c>
      <c r="G21" s="84" t="str">
        <f ca="1">VLOOKUP($B21&amp;"_"&amp;$E21,OFFSET([2]stages!$A$1,0,0,COUNTA([2]stages!$A:$A),MATCH(G$1,[2]stages!$2:$2,0)-MATCH("temp_stage",[2]stages!$2:$2,0)+1),MATCH(G$1,[2]stages!$2:$2,0)-MATCH("temp_stage",[2]stages!$2:$2,0)+1,FALSE)</f>
        <v>コラボクエスト</v>
      </c>
      <c r="H21" s="86">
        <v>0</v>
      </c>
      <c r="I21" s="91">
        <f t="shared" si="0"/>
        <v>20</v>
      </c>
      <c r="J21" s="87" t="str">
        <f>B21&amp;TEXT(I21,"00")</f>
        <v>3900420</v>
      </c>
      <c r="K21" s="85" t="s">
        <v>128</v>
      </c>
      <c r="L21" s="94" t="s">
        <v>401</v>
      </c>
      <c r="M21" s="162" t="s">
        <v>400</v>
      </c>
      <c r="N21" s="56" t="s">
        <v>200</v>
      </c>
    </row>
    <row r="22" spans="1:14" ht="42" x14ac:dyDescent="0.15">
      <c r="A22" s="82" t="s">
        <v>201</v>
      </c>
      <c r="B22" s="83">
        <v>39004</v>
      </c>
      <c r="C22" s="84" t="str">
        <f ca="1">VLOOKUP($B22,OFFSET([2]quests!$A$1,0,0,COUNTA([2]quests!$A:$A),MATCH(C$1,[2]quests!$1:$1,0)-MATCH($B$1,[2]quests!$1:$1,0)+1),MATCH(C$1,[2]quests!$1:$1,0)-MATCH($B$1,[2]quests!$1:$1,0)+1,FALSE)</f>
        <v xml:space="preserve">ニムダのおきにいり♪ </v>
      </c>
      <c r="D22" s="84" t="str">
        <f ca="1">VLOOKUP($B22,OFFSET([2]quests!$A$1,0,0,COUNTA([2]quests!$A:$A),MATCH(D$1,[2]quests!$1:$1,0)-MATCH($B$1,[2]quests!$1:$1,0)+1),MATCH(D$1,[2]quests!$1:$1,0)-MATCH($B$1,[2]quests!$1:$1,0)+1,FALSE)</f>
        <v>コラボクエスト</v>
      </c>
      <c r="E22" s="85">
        <v>2</v>
      </c>
      <c r="F22" s="84" t="str">
        <f ca="1">VLOOKUP($B22&amp;"_"&amp;$E22,OFFSET([2]stages!$A$1,0,0,COUNTA([2]stages!$A:$A),MATCH(F$1,[2]stages!$2:$2,0)-MATCH("temp_stage",[2]stages!$2:$2,0)+1),MATCH(F$1,[2]stages!$2:$2,0)-MATCH("temp_stage",[2]stages!$2:$2,0)+1,FALSE)</f>
        <v xml:space="preserve">【中級】ニムダのおきにいり♪ </v>
      </c>
      <c r="G22" s="84" t="str">
        <f ca="1">VLOOKUP($B22&amp;"_"&amp;$E22,OFFSET([2]stages!$A$1,0,0,COUNTA([2]stages!$A:$A),MATCH(G$1,[2]stages!$2:$2,0)-MATCH("temp_stage",[2]stages!$2:$2,0)+1),MATCH(G$1,[2]stages!$2:$2,0)-MATCH("temp_stage",[2]stages!$2:$2,0)+1,FALSE)</f>
        <v>コラボクエスト</v>
      </c>
      <c r="H22" s="86">
        <v>0</v>
      </c>
      <c r="I22" s="91">
        <f t="shared" si="0"/>
        <v>21</v>
      </c>
      <c r="J22" s="87" t="str">
        <f>B22&amp;TEXT(I22,"00")</f>
        <v>3900421</v>
      </c>
      <c r="K22" s="85" t="s">
        <v>128</v>
      </c>
      <c r="L22" s="94" t="s">
        <v>394</v>
      </c>
      <c r="M22" s="162" t="s">
        <v>395</v>
      </c>
      <c r="N22" s="56" t="s">
        <v>200</v>
      </c>
    </row>
    <row r="23" spans="1:14" ht="28" x14ac:dyDescent="0.15">
      <c r="A23" s="82" t="s">
        <v>201</v>
      </c>
      <c r="B23" s="83">
        <v>39004</v>
      </c>
      <c r="C23" s="84" t="str">
        <f ca="1">VLOOKUP($B23,OFFSET([2]quests!$A$1,0,0,COUNTA([2]quests!$A:$A),MATCH(C$1,[2]quests!$1:$1,0)-MATCH($B$1,[2]quests!$1:$1,0)+1),MATCH(C$1,[2]quests!$1:$1,0)-MATCH($B$1,[2]quests!$1:$1,0)+1,FALSE)</f>
        <v xml:space="preserve">ニムダのおきにいり♪ </v>
      </c>
      <c r="D23" s="84" t="str">
        <f ca="1">VLOOKUP($B23,OFFSET([2]quests!$A$1,0,0,COUNTA([2]quests!$A:$A),MATCH(D$1,[2]quests!$1:$1,0)-MATCH($B$1,[2]quests!$1:$1,0)+1),MATCH(D$1,[2]quests!$1:$1,0)-MATCH($B$1,[2]quests!$1:$1,0)+1,FALSE)</f>
        <v>コラボクエスト</v>
      </c>
      <c r="E23" s="85">
        <v>2</v>
      </c>
      <c r="F23" s="84" t="str">
        <f ca="1">VLOOKUP($B23&amp;"_"&amp;$E23,OFFSET([2]stages!$A$1,0,0,COUNTA([2]stages!$A:$A),MATCH(F$1,[2]stages!$2:$2,0)-MATCH("temp_stage",[2]stages!$2:$2,0)+1),MATCH(F$1,[2]stages!$2:$2,0)-MATCH("temp_stage",[2]stages!$2:$2,0)+1,FALSE)</f>
        <v xml:space="preserve">【中級】ニムダのおきにいり♪ </v>
      </c>
      <c r="G23" s="84" t="str">
        <f ca="1">VLOOKUP($B23&amp;"_"&amp;$E23,OFFSET([2]stages!$A$1,0,0,COUNTA([2]stages!$A:$A),MATCH(G$1,[2]stages!$2:$2,0)-MATCH("temp_stage",[2]stages!$2:$2,0)+1),MATCH(G$1,[2]stages!$2:$2,0)-MATCH("temp_stage",[2]stages!$2:$2,0)+1,FALSE)</f>
        <v>コラボクエスト</v>
      </c>
      <c r="H23" s="86">
        <v>0</v>
      </c>
      <c r="I23" s="91">
        <f t="shared" si="0"/>
        <v>22</v>
      </c>
      <c r="J23" s="87" t="str">
        <f>B23&amp;TEXT(I23,"00")</f>
        <v>3900422</v>
      </c>
      <c r="K23" s="85" t="s">
        <v>128</v>
      </c>
      <c r="L23" s="94" t="s">
        <v>397</v>
      </c>
      <c r="M23" s="162" t="s">
        <v>396</v>
      </c>
      <c r="N23" s="56" t="s">
        <v>200</v>
      </c>
    </row>
    <row r="24" spans="1:14" ht="42" x14ac:dyDescent="0.15">
      <c r="A24" s="82" t="s">
        <v>201</v>
      </c>
      <c r="B24" s="83">
        <v>39004</v>
      </c>
      <c r="C24" s="84" t="str">
        <f ca="1">VLOOKUP($B24,OFFSET([2]quests!$A$1,0,0,COUNTA([2]quests!$A:$A),MATCH(C$1,[2]quests!$1:$1,0)-MATCH($B$1,[2]quests!$1:$1,0)+1),MATCH(C$1,[2]quests!$1:$1,0)-MATCH($B$1,[2]quests!$1:$1,0)+1,FALSE)</f>
        <v xml:space="preserve">ニムダのおきにいり♪ </v>
      </c>
      <c r="D24" s="84" t="str">
        <f ca="1">VLOOKUP($B24,OFFSET([2]quests!$A$1,0,0,COUNTA([2]quests!$A:$A),MATCH(D$1,[2]quests!$1:$1,0)-MATCH($B$1,[2]quests!$1:$1,0)+1),MATCH(D$1,[2]quests!$1:$1,0)-MATCH($B$1,[2]quests!$1:$1,0)+1,FALSE)</f>
        <v>コラボクエスト</v>
      </c>
      <c r="E24" s="85">
        <v>2</v>
      </c>
      <c r="F24" s="84" t="str">
        <f ca="1">VLOOKUP($B24&amp;"_"&amp;$E24,OFFSET([2]stages!$A$1,0,0,COUNTA([2]stages!$A:$A),MATCH(F$1,[2]stages!$2:$2,0)-MATCH("temp_stage",[2]stages!$2:$2,0)+1),MATCH(F$1,[2]stages!$2:$2,0)-MATCH("temp_stage",[2]stages!$2:$2,0)+1,FALSE)</f>
        <v xml:space="preserve">【中級】ニムダのおきにいり♪ </v>
      </c>
      <c r="G24" s="84" t="str">
        <f ca="1">VLOOKUP($B24&amp;"_"&amp;$E24,OFFSET([2]stages!$A$1,0,0,COUNTA([2]stages!$A:$A),MATCH(G$1,[2]stages!$2:$2,0)-MATCH("temp_stage",[2]stages!$2:$2,0)+1),MATCH(G$1,[2]stages!$2:$2,0)-MATCH("temp_stage",[2]stages!$2:$2,0)+1,FALSE)</f>
        <v>コラボクエスト</v>
      </c>
      <c r="H24" s="86">
        <v>0</v>
      </c>
      <c r="I24" s="91">
        <f t="shared" si="0"/>
        <v>23</v>
      </c>
      <c r="J24" s="87" t="str">
        <f>B24&amp;TEXT(I24,"00")</f>
        <v>3900423</v>
      </c>
      <c r="K24" s="85" t="s">
        <v>128</v>
      </c>
      <c r="L24" s="94" t="s">
        <v>399</v>
      </c>
      <c r="M24" s="162" t="s">
        <v>398</v>
      </c>
      <c r="N24" s="56" t="s">
        <v>200</v>
      </c>
    </row>
    <row r="25" spans="1:14" ht="42" x14ac:dyDescent="0.15">
      <c r="A25" s="82" t="s">
        <v>201</v>
      </c>
      <c r="B25" s="83">
        <v>39004</v>
      </c>
      <c r="C25" s="84" t="str">
        <f ca="1">VLOOKUP($B25,OFFSET([2]quests!$A$1,0,0,COUNTA([2]quests!$A:$A),MATCH(C$1,[2]quests!$1:$1,0)-MATCH($B$1,[2]quests!$1:$1,0)+1),MATCH(C$1,[2]quests!$1:$1,0)-MATCH($B$1,[2]quests!$1:$1,0)+1,FALSE)</f>
        <v xml:space="preserve">ニムダのおきにいり♪ </v>
      </c>
      <c r="D25" s="84" t="str">
        <f ca="1">VLOOKUP($B25,OFFSET([2]quests!$A$1,0,0,COUNTA([2]quests!$A:$A),MATCH(D$1,[2]quests!$1:$1,0)-MATCH($B$1,[2]quests!$1:$1,0)+1),MATCH(D$1,[2]quests!$1:$1,0)-MATCH($B$1,[2]quests!$1:$1,0)+1,FALSE)</f>
        <v>コラボクエスト</v>
      </c>
      <c r="E25" s="85">
        <v>2</v>
      </c>
      <c r="F25" s="84" t="str">
        <f ca="1">VLOOKUP($B25&amp;"_"&amp;$E25,OFFSET([2]stages!$A$1,0,0,COUNTA([2]stages!$A:$A),MATCH(F$1,[2]stages!$2:$2,0)-MATCH("temp_stage",[2]stages!$2:$2,0)+1),MATCH(F$1,[2]stages!$2:$2,0)-MATCH("temp_stage",[2]stages!$2:$2,0)+1,FALSE)</f>
        <v xml:space="preserve">【中級】ニムダのおきにいり♪ </v>
      </c>
      <c r="G25" s="84" t="str">
        <f ca="1">VLOOKUP($B25&amp;"_"&amp;$E25,OFFSET([2]stages!$A$1,0,0,COUNTA([2]stages!$A:$A),MATCH(G$1,[2]stages!$2:$2,0)-MATCH("temp_stage",[2]stages!$2:$2,0)+1),MATCH(G$1,[2]stages!$2:$2,0)-MATCH("temp_stage",[2]stages!$2:$2,0)+1,FALSE)</f>
        <v>コラボクエスト</v>
      </c>
      <c r="H25" s="86">
        <v>0</v>
      </c>
      <c r="I25" s="91">
        <f t="shared" si="0"/>
        <v>24</v>
      </c>
      <c r="J25" s="87" t="str">
        <f>B25&amp;TEXT(I25,"00")</f>
        <v>3900424</v>
      </c>
      <c r="K25" s="85" t="s">
        <v>128</v>
      </c>
      <c r="L25" s="94" t="s">
        <v>401</v>
      </c>
      <c r="M25" s="162" t="s">
        <v>400</v>
      </c>
      <c r="N25" s="56" t="s">
        <v>200</v>
      </c>
    </row>
    <row r="26" spans="1:14" ht="42" x14ac:dyDescent="0.15">
      <c r="A26" s="82" t="s">
        <v>201</v>
      </c>
      <c r="B26" s="83">
        <v>39004</v>
      </c>
      <c r="C26" s="84" t="str">
        <f ca="1">VLOOKUP($B26,OFFSET([2]quests!$A$1,0,0,COUNTA([2]quests!$A:$A),MATCH(C$1,[2]quests!$1:$1,0)-MATCH($B$1,[2]quests!$1:$1,0)+1),MATCH(C$1,[2]quests!$1:$1,0)-MATCH($B$1,[2]quests!$1:$1,0)+1,FALSE)</f>
        <v xml:space="preserve">ニムダのおきにいり♪ </v>
      </c>
      <c r="D26" s="84" t="str">
        <f ca="1">VLOOKUP($B26,OFFSET([2]quests!$A$1,0,0,COUNTA([2]quests!$A:$A),MATCH(D$1,[2]quests!$1:$1,0)-MATCH($B$1,[2]quests!$1:$1,0)+1),MATCH(D$1,[2]quests!$1:$1,0)-MATCH($B$1,[2]quests!$1:$1,0)+1,FALSE)</f>
        <v>コラボクエスト</v>
      </c>
      <c r="E26" s="85">
        <v>3</v>
      </c>
      <c r="F26" s="84" t="str">
        <f ca="1">VLOOKUP($B26&amp;"_"&amp;$E26,OFFSET([2]stages!$A$1,0,0,COUNTA([2]stages!$A:$A),MATCH(F$1,[2]stages!$2:$2,0)-MATCH("temp_stage",[2]stages!$2:$2,0)+1),MATCH(F$1,[2]stages!$2:$2,0)-MATCH("temp_stage",[2]stages!$2:$2,0)+1,FALSE)</f>
        <v xml:space="preserve">【上級】ニムダのおきにいり♪ </v>
      </c>
      <c r="G26" s="84" t="str">
        <f ca="1">VLOOKUP($B26&amp;"_"&amp;$E26,OFFSET([2]stages!$A$1,0,0,COUNTA([2]stages!$A:$A),MATCH(G$1,[2]stages!$2:$2,0)-MATCH("temp_stage",[2]stages!$2:$2,0)+1),MATCH(G$1,[2]stages!$2:$2,0)-MATCH("temp_stage",[2]stages!$2:$2,0)+1,FALSE)</f>
        <v>コラボクエスト</v>
      </c>
      <c r="H26" s="86">
        <v>0</v>
      </c>
      <c r="I26" s="91">
        <f t="shared" si="0"/>
        <v>25</v>
      </c>
      <c r="J26" s="87" t="str">
        <f>B26&amp;TEXT(I26,"00")</f>
        <v>3900425</v>
      </c>
      <c r="K26" s="85" t="s">
        <v>128</v>
      </c>
      <c r="L26" s="94" t="s">
        <v>394</v>
      </c>
      <c r="M26" s="162" t="s">
        <v>395</v>
      </c>
      <c r="N26" s="56" t="s">
        <v>200</v>
      </c>
    </row>
    <row r="27" spans="1:14" ht="28" x14ac:dyDescent="0.15">
      <c r="A27" s="82" t="s">
        <v>201</v>
      </c>
      <c r="B27" s="83">
        <v>39004</v>
      </c>
      <c r="C27" s="84" t="str">
        <f ca="1">VLOOKUP($B27,OFFSET([2]quests!$A$1,0,0,COUNTA([2]quests!$A:$A),MATCH(C$1,[2]quests!$1:$1,0)-MATCH($B$1,[2]quests!$1:$1,0)+1),MATCH(C$1,[2]quests!$1:$1,0)-MATCH($B$1,[2]quests!$1:$1,0)+1,FALSE)</f>
        <v xml:space="preserve">ニムダのおきにいり♪ </v>
      </c>
      <c r="D27" s="84" t="str">
        <f ca="1">VLOOKUP($B27,OFFSET([2]quests!$A$1,0,0,COUNTA([2]quests!$A:$A),MATCH(D$1,[2]quests!$1:$1,0)-MATCH($B$1,[2]quests!$1:$1,0)+1),MATCH(D$1,[2]quests!$1:$1,0)-MATCH($B$1,[2]quests!$1:$1,0)+1,FALSE)</f>
        <v>コラボクエスト</v>
      </c>
      <c r="E27" s="85">
        <v>3</v>
      </c>
      <c r="F27" s="84" t="str">
        <f ca="1">VLOOKUP($B27&amp;"_"&amp;$E27,OFFSET([2]stages!$A$1,0,0,COUNTA([2]stages!$A:$A),MATCH(F$1,[2]stages!$2:$2,0)-MATCH("temp_stage",[2]stages!$2:$2,0)+1),MATCH(F$1,[2]stages!$2:$2,0)-MATCH("temp_stage",[2]stages!$2:$2,0)+1,FALSE)</f>
        <v xml:space="preserve">【上級】ニムダのおきにいり♪ </v>
      </c>
      <c r="G27" s="84" t="str">
        <f ca="1">VLOOKUP($B27&amp;"_"&amp;$E27,OFFSET([2]stages!$A$1,0,0,COUNTA([2]stages!$A:$A),MATCH(G$1,[2]stages!$2:$2,0)-MATCH("temp_stage",[2]stages!$2:$2,0)+1),MATCH(G$1,[2]stages!$2:$2,0)-MATCH("temp_stage",[2]stages!$2:$2,0)+1,FALSE)</f>
        <v>コラボクエスト</v>
      </c>
      <c r="H27" s="86">
        <v>0</v>
      </c>
      <c r="I27" s="91">
        <f t="shared" si="0"/>
        <v>26</v>
      </c>
      <c r="J27" s="87" t="str">
        <f>B27&amp;TEXT(I27,"00")</f>
        <v>3900426</v>
      </c>
      <c r="K27" s="85" t="s">
        <v>128</v>
      </c>
      <c r="L27" s="94" t="s">
        <v>397</v>
      </c>
      <c r="M27" s="162" t="s">
        <v>396</v>
      </c>
      <c r="N27" s="56" t="s">
        <v>200</v>
      </c>
    </row>
    <row r="28" spans="1:14" ht="42" x14ac:dyDescent="0.15">
      <c r="A28" s="82" t="s">
        <v>201</v>
      </c>
      <c r="B28" s="83">
        <v>39004</v>
      </c>
      <c r="C28" s="84" t="str">
        <f ca="1">VLOOKUP($B28,OFFSET([2]quests!$A$1,0,0,COUNTA([2]quests!$A:$A),MATCH(C$1,[2]quests!$1:$1,0)-MATCH($B$1,[2]quests!$1:$1,0)+1),MATCH(C$1,[2]quests!$1:$1,0)-MATCH($B$1,[2]quests!$1:$1,0)+1,FALSE)</f>
        <v xml:space="preserve">ニムダのおきにいり♪ </v>
      </c>
      <c r="D28" s="84" t="str">
        <f ca="1">VLOOKUP($B28,OFFSET([2]quests!$A$1,0,0,COUNTA([2]quests!$A:$A),MATCH(D$1,[2]quests!$1:$1,0)-MATCH($B$1,[2]quests!$1:$1,0)+1),MATCH(D$1,[2]quests!$1:$1,0)-MATCH($B$1,[2]quests!$1:$1,0)+1,FALSE)</f>
        <v>コラボクエスト</v>
      </c>
      <c r="E28" s="85">
        <v>3</v>
      </c>
      <c r="F28" s="84" t="str">
        <f ca="1">VLOOKUP($B28&amp;"_"&amp;$E28,OFFSET([2]stages!$A$1,0,0,COUNTA([2]stages!$A:$A),MATCH(F$1,[2]stages!$2:$2,0)-MATCH("temp_stage",[2]stages!$2:$2,0)+1),MATCH(F$1,[2]stages!$2:$2,0)-MATCH("temp_stage",[2]stages!$2:$2,0)+1,FALSE)</f>
        <v xml:space="preserve">【上級】ニムダのおきにいり♪ </v>
      </c>
      <c r="G28" s="84" t="str">
        <f ca="1">VLOOKUP($B28&amp;"_"&amp;$E28,OFFSET([2]stages!$A$1,0,0,COUNTA([2]stages!$A:$A),MATCH(G$1,[2]stages!$2:$2,0)-MATCH("temp_stage",[2]stages!$2:$2,0)+1),MATCH(G$1,[2]stages!$2:$2,0)-MATCH("temp_stage",[2]stages!$2:$2,0)+1,FALSE)</f>
        <v>コラボクエスト</v>
      </c>
      <c r="H28" s="86">
        <v>0</v>
      </c>
      <c r="I28" s="91">
        <f t="shared" si="0"/>
        <v>27</v>
      </c>
      <c r="J28" s="87" t="str">
        <f>B28&amp;TEXT(I28,"00")</f>
        <v>3900427</v>
      </c>
      <c r="K28" s="85" t="s">
        <v>128</v>
      </c>
      <c r="L28" s="94" t="s">
        <v>399</v>
      </c>
      <c r="M28" s="162" t="s">
        <v>398</v>
      </c>
      <c r="N28" s="56" t="s">
        <v>200</v>
      </c>
    </row>
    <row r="29" spans="1:14" ht="42" x14ac:dyDescent="0.15">
      <c r="A29" s="82" t="s">
        <v>201</v>
      </c>
      <c r="B29" s="83">
        <v>39004</v>
      </c>
      <c r="C29" s="84" t="str">
        <f ca="1">VLOOKUP($B29,OFFSET([2]quests!$A$1,0,0,COUNTA([2]quests!$A:$A),MATCH(C$1,[2]quests!$1:$1,0)-MATCH($B$1,[2]quests!$1:$1,0)+1),MATCH(C$1,[2]quests!$1:$1,0)-MATCH($B$1,[2]quests!$1:$1,0)+1,FALSE)</f>
        <v xml:space="preserve">ニムダのおきにいり♪ </v>
      </c>
      <c r="D29" s="84" t="str">
        <f ca="1">VLOOKUP($B29,OFFSET([2]quests!$A$1,0,0,COUNTA([2]quests!$A:$A),MATCH(D$1,[2]quests!$1:$1,0)-MATCH($B$1,[2]quests!$1:$1,0)+1),MATCH(D$1,[2]quests!$1:$1,0)-MATCH($B$1,[2]quests!$1:$1,0)+1,FALSE)</f>
        <v>コラボクエスト</v>
      </c>
      <c r="E29" s="85">
        <v>3</v>
      </c>
      <c r="F29" s="84" t="str">
        <f ca="1">VLOOKUP($B29&amp;"_"&amp;$E29,OFFSET([2]stages!$A$1,0,0,COUNTA([2]stages!$A:$A),MATCH(F$1,[2]stages!$2:$2,0)-MATCH("temp_stage",[2]stages!$2:$2,0)+1),MATCH(F$1,[2]stages!$2:$2,0)-MATCH("temp_stage",[2]stages!$2:$2,0)+1,FALSE)</f>
        <v xml:space="preserve">【上級】ニムダのおきにいり♪ </v>
      </c>
      <c r="G29" s="84" t="str">
        <f ca="1">VLOOKUP($B29&amp;"_"&amp;$E29,OFFSET([2]stages!$A$1,0,0,COUNTA([2]stages!$A:$A),MATCH(G$1,[2]stages!$2:$2,0)-MATCH("temp_stage",[2]stages!$2:$2,0)+1),MATCH(G$1,[2]stages!$2:$2,0)-MATCH("temp_stage",[2]stages!$2:$2,0)+1,FALSE)</f>
        <v>コラボクエスト</v>
      </c>
      <c r="H29" s="86">
        <v>0</v>
      </c>
      <c r="I29" s="91">
        <f t="shared" si="0"/>
        <v>28</v>
      </c>
      <c r="J29" s="87" t="str">
        <f>B29&amp;TEXT(I29,"00")</f>
        <v>3900428</v>
      </c>
      <c r="K29" s="85" t="s">
        <v>128</v>
      </c>
      <c r="L29" s="94" t="s">
        <v>401</v>
      </c>
      <c r="M29" s="162" t="s">
        <v>400</v>
      </c>
      <c r="N29" s="56" t="s">
        <v>200</v>
      </c>
    </row>
    <row r="30" spans="1:14" ht="42" x14ac:dyDescent="0.15">
      <c r="A30" s="82" t="s">
        <v>201</v>
      </c>
      <c r="B30" s="83">
        <v>39004</v>
      </c>
      <c r="C30" s="84" t="str">
        <f ca="1">VLOOKUP($B30,OFFSET([2]quests!$A$1,0,0,COUNTA([2]quests!$A:$A),MATCH(C$1,[2]quests!$1:$1,0)-MATCH($B$1,[2]quests!$1:$1,0)+1),MATCH(C$1,[2]quests!$1:$1,0)-MATCH($B$1,[2]quests!$1:$1,0)+1,FALSE)</f>
        <v xml:space="preserve">ニムダのおきにいり♪ </v>
      </c>
      <c r="D30" s="84" t="str">
        <f ca="1">VLOOKUP($B30,OFFSET([2]quests!$A$1,0,0,COUNTA([2]quests!$A:$A),MATCH(D$1,[2]quests!$1:$1,0)-MATCH($B$1,[2]quests!$1:$1,0)+1),MATCH(D$1,[2]quests!$1:$1,0)-MATCH($B$1,[2]quests!$1:$1,0)+1,FALSE)</f>
        <v>コラボクエスト</v>
      </c>
      <c r="E30" s="85">
        <v>4</v>
      </c>
      <c r="F30" s="84" t="str">
        <f ca="1">VLOOKUP($B30&amp;"_"&amp;$E30,OFFSET([2]stages!$A$1,0,0,COUNTA([2]stages!$A:$A),MATCH(F$1,[2]stages!$2:$2,0)-MATCH("temp_stage",[2]stages!$2:$2,0)+1),MATCH(F$1,[2]stages!$2:$2,0)-MATCH("temp_stage",[2]stages!$2:$2,0)+1,FALSE)</f>
        <v xml:space="preserve">【超級】ニムダのおきにいり♪ </v>
      </c>
      <c r="G30" s="84" t="str">
        <f ca="1">VLOOKUP($B30&amp;"_"&amp;$E30,OFFSET([2]stages!$A$1,0,0,COUNTA([2]stages!$A:$A),MATCH(G$1,[2]stages!$2:$2,0)-MATCH("temp_stage",[2]stages!$2:$2,0)+1),MATCH(G$1,[2]stages!$2:$2,0)-MATCH("temp_stage",[2]stages!$2:$2,0)+1,FALSE)</f>
        <v>コラボクエスト</v>
      </c>
      <c r="H30" s="86">
        <v>0</v>
      </c>
      <c r="I30" s="91">
        <f t="shared" si="0"/>
        <v>29</v>
      </c>
      <c r="J30" s="87" t="str">
        <f>B30&amp;TEXT(I30,"00")</f>
        <v>3900429</v>
      </c>
      <c r="K30" s="85" t="s">
        <v>128</v>
      </c>
      <c r="L30" s="94" t="s">
        <v>394</v>
      </c>
      <c r="M30" s="162" t="s">
        <v>395</v>
      </c>
      <c r="N30" s="56" t="s">
        <v>200</v>
      </c>
    </row>
    <row r="31" spans="1:14" ht="28" x14ac:dyDescent="0.15">
      <c r="A31" s="82" t="s">
        <v>201</v>
      </c>
      <c r="B31" s="83">
        <v>39004</v>
      </c>
      <c r="C31" s="84" t="str">
        <f ca="1">VLOOKUP($B31,OFFSET([2]quests!$A$1,0,0,COUNTA([2]quests!$A:$A),MATCH(C$1,[2]quests!$1:$1,0)-MATCH($B$1,[2]quests!$1:$1,0)+1),MATCH(C$1,[2]quests!$1:$1,0)-MATCH($B$1,[2]quests!$1:$1,0)+1,FALSE)</f>
        <v xml:space="preserve">ニムダのおきにいり♪ </v>
      </c>
      <c r="D31" s="84" t="str">
        <f ca="1">VLOOKUP($B31,OFFSET([2]quests!$A$1,0,0,COUNTA([2]quests!$A:$A),MATCH(D$1,[2]quests!$1:$1,0)-MATCH($B$1,[2]quests!$1:$1,0)+1),MATCH(D$1,[2]quests!$1:$1,0)-MATCH($B$1,[2]quests!$1:$1,0)+1,FALSE)</f>
        <v>コラボクエスト</v>
      </c>
      <c r="E31" s="85">
        <v>4</v>
      </c>
      <c r="F31" s="84" t="str">
        <f ca="1">VLOOKUP($B31&amp;"_"&amp;$E31,OFFSET([2]stages!$A$1,0,0,COUNTA([2]stages!$A:$A),MATCH(F$1,[2]stages!$2:$2,0)-MATCH("temp_stage",[2]stages!$2:$2,0)+1),MATCH(F$1,[2]stages!$2:$2,0)-MATCH("temp_stage",[2]stages!$2:$2,0)+1,FALSE)</f>
        <v xml:space="preserve">【超級】ニムダのおきにいり♪ </v>
      </c>
      <c r="G31" s="84" t="str">
        <f ca="1">VLOOKUP($B31&amp;"_"&amp;$E31,OFFSET([2]stages!$A$1,0,0,COUNTA([2]stages!$A:$A),MATCH(G$1,[2]stages!$2:$2,0)-MATCH("temp_stage",[2]stages!$2:$2,0)+1),MATCH(G$1,[2]stages!$2:$2,0)-MATCH("temp_stage",[2]stages!$2:$2,0)+1,FALSE)</f>
        <v>コラボクエスト</v>
      </c>
      <c r="H31" s="86">
        <v>0</v>
      </c>
      <c r="I31" s="91">
        <f t="shared" si="0"/>
        <v>30</v>
      </c>
      <c r="J31" s="87" t="str">
        <f>B31&amp;TEXT(I31,"00")</f>
        <v>3900430</v>
      </c>
      <c r="K31" s="85" t="s">
        <v>128</v>
      </c>
      <c r="L31" s="94" t="s">
        <v>397</v>
      </c>
      <c r="M31" s="162" t="s">
        <v>396</v>
      </c>
      <c r="N31" s="56" t="s">
        <v>200</v>
      </c>
    </row>
    <row r="32" spans="1:14" ht="42" x14ac:dyDescent="0.15">
      <c r="A32" s="82" t="s">
        <v>201</v>
      </c>
      <c r="B32" s="83">
        <v>39004</v>
      </c>
      <c r="C32" s="84" t="str">
        <f ca="1">VLOOKUP($B32,OFFSET([2]quests!$A$1,0,0,COUNTA([2]quests!$A:$A),MATCH(C$1,[2]quests!$1:$1,0)-MATCH($B$1,[2]quests!$1:$1,0)+1),MATCH(C$1,[2]quests!$1:$1,0)-MATCH($B$1,[2]quests!$1:$1,0)+1,FALSE)</f>
        <v xml:space="preserve">ニムダのおきにいり♪ </v>
      </c>
      <c r="D32" s="84" t="str">
        <f ca="1">VLOOKUP($B32,OFFSET([2]quests!$A$1,0,0,COUNTA([2]quests!$A:$A),MATCH(D$1,[2]quests!$1:$1,0)-MATCH($B$1,[2]quests!$1:$1,0)+1),MATCH(D$1,[2]quests!$1:$1,0)-MATCH($B$1,[2]quests!$1:$1,0)+1,FALSE)</f>
        <v>コラボクエスト</v>
      </c>
      <c r="E32" s="85">
        <v>4</v>
      </c>
      <c r="F32" s="84" t="str">
        <f ca="1">VLOOKUP($B32&amp;"_"&amp;$E32,OFFSET([2]stages!$A$1,0,0,COUNTA([2]stages!$A:$A),MATCH(F$1,[2]stages!$2:$2,0)-MATCH("temp_stage",[2]stages!$2:$2,0)+1),MATCH(F$1,[2]stages!$2:$2,0)-MATCH("temp_stage",[2]stages!$2:$2,0)+1,FALSE)</f>
        <v xml:space="preserve">【超級】ニムダのおきにいり♪ </v>
      </c>
      <c r="G32" s="84" t="str">
        <f ca="1">VLOOKUP($B32&amp;"_"&amp;$E32,OFFSET([2]stages!$A$1,0,0,COUNTA([2]stages!$A:$A),MATCH(G$1,[2]stages!$2:$2,0)-MATCH("temp_stage",[2]stages!$2:$2,0)+1),MATCH(G$1,[2]stages!$2:$2,0)-MATCH("temp_stage",[2]stages!$2:$2,0)+1,FALSE)</f>
        <v>コラボクエスト</v>
      </c>
      <c r="H32" s="86">
        <v>0</v>
      </c>
      <c r="I32" s="91">
        <f t="shared" si="0"/>
        <v>31</v>
      </c>
      <c r="J32" s="87" t="str">
        <f>B32&amp;TEXT(I32,"00")</f>
        <v>3900431</v>
      </c>
      <c r="K32" s="85" t="s">
        <v>128</v>
      </c>
      <c r="L32" s="94" t="s">
        <v>399</v>
      </c>
      <c r="M32" s="162" t="s">
        <v>398</v>
      </c>
      <c r="N32" s="56" t="s">
        <v>200</v>
      </c>
    </row>
    <row r="33" spans="1:14" ht="42" x14ac:dyDescent="0.15">
      <c r="A33" s="82" t="s">
        <v>201</v>
      </c>
      <c r="B33" s="83">
        <v>39004</v>
      </c>
      <c r="C33" s="84" t="str">
        <f ca="1">VLOOKUP($B33,OFFSET([2]quests!$A$1,0,0,COUNTA([2]quests!$A:$A),MATCH(C$1,[2]quests!$1:$1,0)-MATCH($B$1,[2]quests!$1:$1,0)+1),MATCH(C$1,[2]quests!$1:$1,0)-MATCH($B$1,[2]quests!$1:$1,0)+1,FALSE)</f>
        <v xml:space="preserve">ニムダのおきにいり♪ </v>
      </c>
      <c r="D33" s="84" t="str">
        <f ca="1">VLOOKUP($B33,OFFSET([2]quests!$A$1,0,0,COUNTA([2]quests!$A:$A),MATCH(D$1,[2]quests!$1:$1,0)-MATCH($B$1,[2]quests!$1:$1,0)+1),MATCH(D$1,[2]quests!$1:$1,0)-MATCH($B$1,[2]quests!$1:$1,0)+1,FALSE)</f>
        <v>コラボクエスト</v>
      </c>
      <c r="E33" s="85">
        <v>4</v>
      </c>
      <c r="F33" s="84" t="str">
        <f ca="1">VLOOKUP($B33&amp;"_"&amp;$E33,OFFSET([2]stages!$A$1,0,0,COUNTA([2]stages!$A:$A),MATCH(F$1,[2]stages!$2:$2,0)-MATCH("temp_stage",[2]stages!$2:$2,0)+1),MATCH(F$1,[2]stages!$2:$2,0)-MATCH("temp_stage",[2]stages!$2:$2,0)+1,FALSE)</f>
        <v xml:space="preserve">【超級】ニムダのおきにいり♪ </v>
      </c>
      <c r="G33" s="84" t="str">
        <f ca="1">VLOOKUP($B33&amp;"_"&amp;$E33,OFFSET([2]stages!$A$1,0,0,COUNTA([2]stages!$A:$A),MATCH(G$1,[2]stages!$2:$2,0)-MATCH("temp_stage",[2]stages!$2:$2,0)+1),MATCH(G$1,[2]stages!$2:$2,0)-MATCH("temp_stage",[2]stages!$2:$2,0)+1,FALSE)</f>
        <v>コラボクエスト</v>
      </c>
      <c r="H33" s="86">
        <v>0</v>
      </c>
      <c r="I33" s="91">
        <f t="shared" si="0"/>
        <v>32</v>
      </c>
      <c r="J33" s="87" t="str">
        <f>B33&amp;TEXT(I33,"00")</f>
        <v>3900432</v>
      </c>
      <c r="K33" s="85" t="s">
        <v>128</v>
      </c>
      <c r="L33" s="94" t="s">
        <v>401</v>
      </c>
      <c r="M33" s="162" t="s">
        <v>400</v>
      </c>
      <c r="N33" s="56" t="s">
        <v>200</v>
      </c>
    </row>
  </sheetData>
  <phoneticPr fontId="5"/>
  <dataValidations count="1">
    <dataValidation type="list" allowBlank="1" showInputMessage="1" showErrorMessage="1" sqref="A2:A3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cp:lastPrinted>2016-03-30T01:41:47Z</cp:lastPrinted>
  <dcterms:created xsi:type="dcterms:W3CDTF">2015-01-30T13:36:44Z</dcterms:created>
  <dcterms:modified xsi:type="dcterms:W3CDTF">2016-06-14T07:12:55Z</dcterms:modified>
</cp:coreProperties>
</file>