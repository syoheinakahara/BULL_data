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activeTab="2"/>
  </bookViews>
  <sheets>
    <sheet name="確率の考え方" sheetId="110" r:id="rId1"/>
    <sheet name="Sheet1" sheetId="107" r:id="rId2"/>
    <sheet name="output" sheetId="103" r:id="rId3"/>
    <sheet name="input_339010" sheetId="106" r:id="rId4"/>
    <sheet name="tables_339010" sheetId="82" r:id="rId5"/>
    <sheet name="input_345100" sheetId="116" r:id="rId6"/>
    <sheet name="tables_345100" sheetId="117" r:id="rId7"/>
    <sheet name="tables_settle_345100" sheetId="118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tables_339010!$A$1:$V$271</definedName>
    <definedName name="_xlnm._FilterDatabase" localSheetId="6" hidden="1">tables_345100!$A$1:$V$280</definedName>
    <definedName name="_xlnm._FilterDatabase" localSheetId="7" hidden="1">tables_settle_345100!$A$1:$V$97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96" i="118" l="1"/>
  <c r="O97" i="118"/>
  <c r="N5" i="116"/>
  <c r="N6" i="116"/>
  <c r="N9" i="116"/>
  <c r="N8" i="116"/>
  <c r="O94" i="118"/>
  <c r="N4" i="116"/>
  <c r="N3" i="116"/>
  <c r="I2" i="118"/>
  <c r="I3" i="118"/>
  <c r="I4" i="118"/>
  <c r="I5" i="118"/>
  <c r="I6" i="118"/>
  <c r="I7" i="118"/>
  <c r="I8" i="118"/>
  <c r="I9" i="118"/>
  <c r="I10" i="118"/>
  <c r="I11" i="118"/>
  <c r="I12" i="118"/>
  <c r="I13" i="118"/>
  <c r="I14" i="118"/>
  <c r="I15" i="118"/>
  <c r="I16" i="118"/>
  <c r="I17" i="118"/>
  <c r="I18" i="118"/>
  <c r="I19" i="118"/>
  <c r="I20" i="118"/>
  <c r="I21" i="118"/>
  <c r="I22" i="118"/>
  <c r="I23" i="118"/>
  <c r="I24" i="118"/>
  <c r="I25" i="118"/>
  <c r="I26" i="118"/>
  <c r="I27" i="118"/>
  <c r="I28" i="118"/>
  <c r="I29" i="118"/>
  <c r="I30" i="118"/>
  <c r="I31" i="118"/>
  <c r="I32" i="118"/>
  <c r="I33" i="118"/>
  <c r="I34" i="118"/>
  <c r="I35" i="118"/>
  <c r="I36" i="118"/>
  <c r="I37" i="118"/>
  <c r="I38" i="118"/>
  <c r="I39" i="118"/>
  <c r="I40" i="118"/>
  <c r="I41" i="118"/>
  <c r="I42" i="118"/>
  <c r="I43" i="118"/>
  <c r="I44" i="118"/>
  <c r="I45" i="118"/>
  <c r="I46" i="118"/>
  <c r="I47" i="118"/>
  <c r="I48" i="118"/>
  <c r="I49" i="118"/>
  <c r="I50" i="118"/>
  <c r="I51" i="118"/>
  <c r="I52" i="118"/>
  <c r="I53" i="118"/>
  <c r="I54" i="118"/>
  <c r="I55" i="118"/>
  <c r="I56" i="118"/>
  <c r="I57" i="118"/>
  <c r="I58" i="118"/>
  <c r="I59" i="118"/>
  <c r="I60" i="118"/>
  <c r="I61" i="118"/>
  <c r="I62" i="118"/>
  <c r="I63" i="118"/>
  <c r="I64" i="118"/>
  <c r="I65" i="118"/>
  <c r="I66" i="118"/>
  <c r="I67" i="118"/>
  <c r="I68" i="118"/>
  <c r="I69" i="118"/>
  <c r="I70" i="118"/>
  <c r="I71" i="118"/>
  <c r="I72" i="118"/>
  <c r="I73" i="118"/>
  <c r="I74" i="118"/>
  <c r="I75" i="118"/>
  <c r="I76" i="118"/>
  <c r="I77" i="118"/>
  <c r="I78" i="118"/>
  <c r="I79" i="118"/>
  <c r="I80" i="118"/>
  <c r="I81" i="118"/>
  <c r="I82" i="118"/>
  <c r="I83" i="118"/>
  <c r="I84" i="118"/>
  <c r="I85" i="118"/>
  <c r="I86" i="118"/>
  <c r="I87" i="118"/>
  <c r="I88" i="118"/>
  <c r="I89" i="118"/>
  <c r="I90" i="118"/>
  <c r="I91" i="118"/>
  <c r="I92" i="118"/>
  <c r="I93" i="118"/>
  <c r="I94" i="118"/>
  <c r="I95" i="118"/>
  <c r="I96" i="118"/>
  <c r="I97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41" i="118"/>
  <c r="F42" i="118"/>
  <c r="F43" i="118"/>
  <c r="F44" i="118"/>
  <c r="F45" i="118"/>
  <c r="F46" i="118"/>
  <c r="F47" i="118"/>
  <c r="F48" i="118"/>
  <c r="F49" i="118"/>
  <c r="F50" i="118"/>
  <c r="F51" i="118"/>
  <c r="F52" i="118"/>
  <c r="F53" i="118"/>
  <c r="F54" i="118"/>
  <c r="F55" i="118"/>
  <c r="F56" i="118"/>
  <c r="F57" i="118"/>
  <c r="F58" i="118"/>
  <c r="F59" i="118"/>
  <c r="F60" i="118"/>
  <c r="F61" i="118"/>
  <c r="F62" i="118"/>
  <c r="F63" i="118"/>
  <c r="F64" i="118"/>
  <c r="F65" i="118"/>
  <c r="F66" i="118"/>
  <c r="F67" i="118"/>
  <c r="F68" i="118"/>
  <c r="F69" i="118"/>
  <c r="F70" i="118"/>
  <c r="F71" i="118"/>
  <c r="F72" i="118"/>
  <c r="F73" i="118"/>
  <c r="F74" i="118"/>
  <c r="F75" i="118"/>
  <c r="F76" i="118"/>
  <c r="F77" i="118"/>
  <c r="F78" i="118"/>
  <c r="F79" i="118"/>
  <c r="F80" i="118"/>
  <c r="F81" i="118"/>
  <c r="F82" i="118"/>
  <c r="F83" i="118"/>
  <c r="F84" i="118"/>
  <c r="F85" i="118"/>
  <c r="F86" i="118"/>
  <c r="F87" i="118"/>
  <c r="F88" i="118"/>
  <c r="F89" i="118"/>
  <c r="F90" i="118"/>
  <c r="F91" i="118"/>
  <c r="F92" i="118"/>
  <c r="F93" i="118"/>
  <c r="F94" i="118"/>
  <c r="F95" i="118"/>
  <c r="F96" i="118"/>
  <c r="F97" i="118"/>
  <c r="O91" i="118"/>
  <c r="O90" i="118"/>
  <c r="O89" i="118"/>
  <c r="O88" i="118"/>
  <c r="O83" i="118"/>
  <c r="O82" i="118"/>
  <c r="O81" i="118"/>
  <c r="O80" i="118"/>
  <c r="O75" i="118"/>
  <c r="O74" i="118"/>
  <c r="O72" i="118"/>
  <c r="O69" i="118"/>
  <c r="O66" i="118"/>
  <c r="O65" i="118"/>
  <c r="O63" i="118"/>
  <c r="O62" i="118"/>
  <c r="O60" i="118"/>
  <c r="O58" i="118"/>
  <c r="O56" i="118"/>
  <c r="O55" i="118"/>
  <c r="O53" i="118"/>
  <c r="O50" i="118"/>
  <c r="O49" i="118"/>
  <c r="O47" i="118"/>
  <c r="O45" i="118"/>
  <c r="O42" i="118"/>
  <c r="O40" i="118"/>
  <c r="O39" i="118"/>
  <c r="O37" i="118"/>
  <c r="O36" i="118"/>
  <c r="O35" i="118"/>
  <c r="O34" i="118"/>
  <c r="O25" i="118"/>
  <c r="O4" i="118"/>
  <c r="O3" i="118"/>
  <c r="O2" i="118"/>
  <c r="D2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0" i="118"/>
  <c r="D31" i="118"/>
  <c r="D32" i="118"/>
  <c r="D33" i="118"/>
  <c r="D34" i="118"/>
  <c r="D35" i="118"/>
  <c r="D36" i="118"/>
  <c r="D37" i="118"/>
  <c r="D38" i="118"/>
  <c r="D39" i="118"/>
  <c r="D40" i="118"/>
  <c r="D41" i="118"/>
  <c r="D42" i="118"/>
  <c r="D43" i="118"/>
  <c r="D44" i="118"/>
  <c r="D45" i="118"/>
  <c r="D46" i="118"/>
  <c r="D47" i="118"/>
  <c r="D48" i="118"/>
  <c r="D49" i="118"/>
  <c r="D50" i="118"/>
  <c r="D51" i="118"/>
  <c r="D52" i="118"/>
  <c r="D53" i="118"/>
  <c r="D54" i="118"/>
  <c r="D55" i="118"/>
  <c r="D56" i="118"/>
  <c r="D57" i="118"/>
  <c r="D58" i="118"/>
  <c r="D59" i="118"/>
  <c r="D60" i="118"/>
  <c r="D61" i="118"/>
  <c r="D62" i="118"/>
  <c r="D63" i="118"/>
  <c r="D64" i="118"/>
  <c r="D65" i="118"/>
  <c r="D66" i="118"/>
  <c r="D67" i="118"/>
  <c r="D68" i="118"/>
  <c r="D69" i="118"/>
  <c r="D70" i="118"/>
  <c r="D71" i="118"/>
  <c r="D72" i="118"/>
  <c r="D73" i="118"/>
  <c r="D74" i="118"/>
  <c r="D75" i="118"/>
  <c r="D76" i="118"/>
  <c r="D77" i="118"/>
  <c r="D78" i="118"/>
  <c r="D79" i="118"/>
  <c r="D80" i="118"/>
  <c r="D81" i="118"/>
  <c r="D82" i="118"/>
  <c r="D83" i="118"/>
  <c r="D84" i="118"/>
  <c r="D85" i="118"/>
  <c r="D86" i="118"/>
  <c r="D87" i="118"/>
  <c r="D88" i="118"/>
  <c r="D89" i="118"/>
  <c r="D90" i="118"/>
  <c r="D91" i="118"/>
  <c r="D92" i="118"/>
  <c r="D93" i="118"/>
  <c r="D94" i="118"/>
  <c r="D95" i="118"/>
  <c r="D96" i="118"/>
  <c r="D97" i="118"/>
  <c r="O93" i="118"/>
  <c r="O92" i="118"/>
  <c r="O87" i="118"/>
  <c r="O86" i="118"/>
  <c r="O85" i="118"/>
  <c r="O84" i="118"/>
  <c r="O79" i="118"/>
  <c r="O78" i="118"/>
  <c r="O77" i="118"/>
  <c r="O76" i="118"/>
  <c r="O73" i="118"/>
  <c r="O71" i="118"/>
  <c r="O70" i="118"/>
  <c r="O68" i="118"/>
  <c r="O67" i="118"/>
  <c r="O64" i="118"/>
  <c r="O61" i="118"/>
  <c r="O59" i="118"/>
  <c r="O57" i="118"/>
  <c r="O54" i="118"/>
  <c r="O52" i="118"/>
  <c r="O51" i="118"/>
  <c r="O48" i="118"/>
  <c r="O46" i="118"/>
  <c r="O44" i="118"/>
  <c r="O43" i="118"/>
  <c r="O41" i="118"/>
  <c r="O38" i="118"/>
  <c r="O33" i="118"/>
  <c r="O32" i="118"/>
  <c r="O31" i="118"/>
  <c r="O30" i="118"/>
  <c r="O29" i="118"/>
  <c r="O28" i="118"/>
  <c r="O27" i="118"/>
  <c r="O26" i="118"/>
  <c r="O24" i="118"/>
  <c r="O23" i="118"/>
  <c r="O22" i="118"/>
  <c r="O21" i="118"/>
  <c r="O20" i="118"/>
  <c r="O19" i="118"/>
  <c r="O18" i="118"/>
  <c r="O17" i="118"/>
  <c r="O16" i="118"/>
  <c r="O15" i="118"/>
  <c r="O14" i="118"/>
  <c r="O13" i="118"/>
  <c r="O12" i="118"/>
  <c r="O11" i="118"/>
  <c r="O10" i="118"/>
  <c r="O9" i="118"/>
  <c r="O8" i="118"/>
  <c r="O7" i="118"/>
  <c r="O6" i="118"/>
  <c r="O5" i="118"/>
  <c r="O95" i="118"/>
  <c r="O3" i="116"/>
  <c r="O4" i="116"/>
  <c r="O5" i="116"/>
  <c r="O6" i="116"/>
  <c r="O7" i="116"/>
  <c r="O8" i="116"/>
  <c r="O9" i="116"/>
  <c r="B7" i="116"/>
  <c r="B6" i="116"/>
  <c r="J95" i="118"/>
  <c r="E95" i="118"/>
  <c r="C95" i="118"/>
  <c r="H95" i="118"/>
  <c r="K95" i="118"/>
  <c r="L95" i="118"/>
  <c r="M95" i="118"/>
  <c r="N95" i="118"/>
  <c r="P95" i="118"/>
  <c r="J96" i="118"/>
  <c r="E96" i="118"/>
  <c r="C96" i="118"/>
  <c r="H96" i="118"/>
  <c r="K96" i="118"/>
  <c r="L96" i="118"/>
  <c r="M96" i="118"/>
  <c r="N96" i="118"/>
  <c r="P96" i="118"/>
  <c r="J97" i="118"/>
  <c r="E97" i="118"/>
  <c r="C97" i="118"/>
  <c r="H97" i="118"/>
  <c r="K97" i="118"/>
  <c r="L97" i="118"/>
  <c r="M97" i="118"/>
  <c r="N97" i="118"/>
  <c r="P97" i="118"/>
  <c r="B10" i="116"/>
  <c r="I2" i="117"/>
  <c r="D2" i="117"/>
  <c r="J2" i="117"/>
  <c r="E2" i="117"/>
  <c r="C2" i="117"/>
  <c r="I3" i="117"/>
  <c r="D3" i="117"/>
  <c r="J3" i="117"/>
  <c r="E3" i="117"/>
  <c r="C3" i="117"/>
  <c r="I4" i="117"/>
  <c r="D4" i="117"/>
  <c r="J4" i="117"/>
  <c r="E4" i="117"/>
  <c r="C4" i="117"/>
  <c r="I5" i="117"/>
  <c r="D5" i="117"/>
  <c r="J5" i="117"/>
  <c r="E5" i="117"/>
  <c r="C5" i="117"/>
  <c r="I6" i="117"/>
  <c r="D6" i="117"/>
  <c r="J6" i="117"/>
  <c r="E6" i="117"/>
  <c r="C6" i="117"/>
  <c r="I7" i="117"/>
  <c r="D7" i="117"/>
  <c r="J7" i="117"/>
  <c r="E7" i="117"/>
  <c r="C7" i="117"/>
  <c r="I8" i="117"/>
  <c r="D8" i="117"/>
  <c r="J8" i="117"/>
  <c r="E8" i="117"/>
  <c r="C8" i="117"/>
  <c r="I9" i="117"/>
  <c r="D9" i="117"/>
  <c r="J9" i="117"/>
  <c r="E9" i="117"/>
  <c r="C9" i="117"/>
  <c r="I10" i="117"/>
  <c r="D10" i="117"/>
  <c r="J10" i="117"/>
  <c r="E10" i="117"/>
  <c r="C10" i="117"/>
  <c r="I11" i="117"/>
  <c r="D11" i="117"/>
  <c r="J11" i="117"/>
  <c r="E11" i="117"/>
  <c r="C11" i="117"/>
  <c r="I12" i="117"/>
  <c r="D12" i="117"/>
  <c r="J12" i="117"/>
  <c r="E12" i="117"/>
  <c r="C12" i="117"/>
  <c r="I13" i="117"/>
  <c r="D13" i="117"/>
  <c r="J13" i="117"/>
  <c r="E13" i="117"/>
  <c r="C13" i="117"/>
  <c r="I14" i="117"/>
  <c r="D14" i="117"/>
  <c r="J14" i="117"/>
  <c r="E14" i="117"/>
  <c r="C14" i="117"/>
  <c r="I15" i="117"/>
  <c r="D15" i="117"/>
  <c r="J15" i="117"/>
  <c r="E15" i="117"/>
  <c r="C15" i="117"/>
  <c r="I16" i="117"/>
  <c r="D16" i="117"/>
  <c r="J16" i="117"/>
  <c r="E16" i="117"/>
  <c r="C16" i="117"/>
  <c r="I17" i="117"/>
  <c r="D17" i="117"/>
  <c r="J17" i="117"/>
  <c r="E17" i="117"/>
  <c r="C17" i="117"/>
  <c r="I18" i="117"/>
  <c r="D18" i="117"/>
  <c r="J18" i="117"/>
  <c r="E18" i="117"/>
  <c r="C18" i="117"/>
  <c r="I19" i="117"/>
  <c r="D19" i="117"/>
  <c r="J19" i="117"/>
  <c r="E19" i="117"/>
  <c r="C19" i="117"/>
  <c r="I20" i="117"/>
  <c r="D20" i="117"/>
  <c r="J20" i="117"/>
  <c r="E20" i="117"/>
  <c r="C20" i="117"/>
  <c r="I21" i="117"/>
  <c r="D21" i="117"/>
  <c r="J21" i="117"/>
  <c r="E21" i="117"/>
  <c r="C21" i="117"/>
  <c r="I22" i="117"/>
  <c r="D22" i="117"/>
  <c r="J22" i="117"/>
  <c r="E22" i="117"/>
  <c r="C22" i="117"/>
  <c r="I23" i="117"/>
  <c r="D23" i="117"/>
  <c r="J23" i="117"/>
  <c r="E23" i="117"/>
  <c r="C23" i="117"/>
  <c r="I24" i="117"/>
  <c r="D24" i="117"/>
  <c r="J24" i="117"/>
  <c r="E24" i="117"/>
  <c r="C24" i="117"/>
  <c r="I25" i="117"/>
  <c r="D25" i="117"/>
  <c r="J25" i="117"/>
  <c r="E25" i="117"/>
  <c r="C25" i="117"/>
  <c r="I26" i="117"/>
  <c r="D26" i="117"/>
  <c r="J26" i="117"/>
  <c r="E26" i="117"/>
  <c r="C26" i="117"/>
  <c r="I27" i="117"/>
  <c r="D27" i="117"/>
  <c r="J27" i="117"/>
  <c r="E27" i="117"/>
  <c r="C27" i="117"/>
  <c r="I28" i="117"/>
  <c r="D28" i="117"/>
  <c r="J28" i="117"/>
  <c r="E28" i="117"/>
  <c r="C28" i="117"/>
  <c r="I29" i="117"/>
  <c r="D29" i="117"/>
  <c r="J29" i="117"/>
  <c r="E29" i="117"/>
  <c r="C29" i="117"/>
  <c r="I30" i="117"/>
  <c r="D30" i="117"/>
  <c r="J30" i="117"/>
  <c r="E30" i="117"/>
  <c r="C30" i="117"/>
  <c r="I31" i="117"/>
  <c r="D31" i="117"/>
  <c r="J31" i="117"/>
  <c r="E31" i="117"/>
  <c r="C31" i="117"/>
  <c r="I32" i="117"/>
  <c r="D32" i="117"/>
  <c r="J32" i="117"/>
  <c r="E32" i="117"/>
  <c r="C32" i="117"/>
  <c r="I33" i="117"/>
  <c r="D33" i="117"/>
  <c r="J33" i="117"/>
  <c r="E33" i="117"/>
  <c r="C33" i="117"/>
  <c r="I34" i="117"/>
  <c r="D34" i="117"/>
  <c r="J34" i="117"/>
  <c r="E34" i="117"/>
  <c r="C34" i="117"/>
  <c r="I35" i="117"/>
  <c r="D35" i="117"/>
  <c r="J35" i="117"/>
  <c r="E35" i="117"/>
  <c r="C35" i="117"/>
  <c r="I36" i="117"/>
  <c r="D36" i="117"/>
  <c r="J36" i="117"/>
  <c r="E36" i="117"/>
  <c r="C36" i="117"/>
  <c r="I37" i="117"/>
  <c r="D37" i="117"/>
  <c r="J37" i="117"/>
  <c r="E37" i="117"/>
  <c r="C37" i="117"/>
  <c r="I38" i="117"/>
  <c r="D38" i="117"/>
  <c r="J38" i="117"/>
  <c r="E38" i="117"/>
  <c r="C38" i="117"/>
  <c r="I39" i="117"/>
  <c r="D39" i="117"/>
  <c r="J39" i="117"/>
  <c r="E39" i="117"/>
  <c r="C39" i="117"/>
  <c r="I40" i="117"/>
  <c r="D40" i="117"/>
  <c r="J40" i="117"/>
  <c r="E40" i="117"/>
  <c r="C40" i="117"/>
  <c r="I41" i="117"/>
  <c r="D41" i="117"/>
  <c r="J41" i="117"/>
  <c r="E41" i="117"/>
  <c r="C41" i="117"/>
  <c r="I42" i="117"/>
  <c r="D42" i="117"/>
  <c r="J42" i="117"/>
  <c r="E42" i="117"/>
  <c r="C42" i="117"/>
  <c r="I43" i="117"/>
  <c r="D43" i="117"/>
  <c r="J43" i="117"/>
  <c r="E43" i="117"/>
  <c r="C43" i="117"/>
  <c r="I44" i="117"/>
  <c r="D44" i="117"/>
  <c r="J44" i="117"/>
  <c r="E44" i="117"/>
  <c r="C44" i="117"/>
  <c r="I45" i="117"/>
  <c r="D45" i="117"/>
  <c r="J45" i="117"/>
  <c r="E45" i="117"/>
  <c r="C45" i="117"/>
  <c r="I46" i="117"/>
  <c r="D46" i="117"/>
  <c r="J46" i="117"/>
  <c r="E46" i="117"/>
  <c r="C46" i="117"/>
  <c r="I47" i="117"/>
  <c r="D47" i="117"/>
  <c r="J47" i="117"/>
  <c r="E47" i="117"/>
  <c r="C47" i="117"/>
  <c r="I48" i="117"/>
  <c r="D48" i="117"/>
  <c r="J48" i="117"/>
  <c r="E48" i="117"/>
  <c r="C48" i="117"/>
  <c r="I49" i="117"/>
  <c r="D49" i="117"/>
  <c r="J49" i="117"/>
  <c r="E49" i="117"/>
  <c r="C49" i="117"/>
  <c r="I50" i="117"/>
  <c r="D50" i="117"/>
  <c r="J50" i="117"/>
  <c r="E50" i="117"/>
  <c r="C50" i="117"/>
  <c r="I51" i="117"/>
  <c r="D51" i="117"/>
  <c r="J51" i="117"/>
  <c r="E51" i="117"/>
  <c r="C51" i="117"/>
  <c r="I52" i="117"/>
  <c r="D52" i="117"/>
  <c r="J52" i="117"/>
  <c r="E52" i="117"/>
  <c r="C52" i="117"/>
  <c r="I53" i="117"/>
  <c r="D53" i="117"/>
  <c r="J53" i="117"/>
  <c r="E53" i="117"/>
  <c r="C53" i="117"/>
  <c r="I54" i="117"/>
  <c r="D54" i="117"/>
  <c r="J54" i="117"/>
  <c r="E54" i="117"/>
  <c r="C54" i="117"/>
  <c r="I55" i="117"/>
  <c r="D55" i="117"/>
  <c r="J55" i="117"/>
  <c r="E55" i="117"/>
  <c r="C55" i="117"/>
  <c r="I56" i="117"/>
  <c r="D56" i="117"/>
  <c r="J56" i="117"/>
  <c r="E56" i="117"/>
  <c r="C56" i="117"/>
  <c r="I57" i="117"/>
  <c r="D57" i="117"/>
  <c r="J57" i="117"/>
  <c r="E57" i="117"/>
  <c r="C57" i="117"/>
  <c r="I58" i="117"/>
  <c r="D58" i="117"/>
  <c r="J58" i="117"/>
  <c r="E58" i="117"/>
  <c r="C58" i="117"/>
  <c r="I59" i="117"/>
  <c r="D59" i="117"/>
  <c r="J59" i="117"/>
  <c r="E59" i="117"/>
  <c r="C59" i="117"/>
  <c r="I60" i="117"/>
  <c r="D60" i="117"/>
  <c r="J60" i="117"/>
  <c r="E60" i="117"/>
  <c r="C60" i="117"/>
  <c r="I61" i="117"/>
  <c r="D61" i="117"/>
  <c r="J61" i="117"/>
  <c r="E61" i="117"/>
  <c r="C61" i="117"/>
  <c r="I62" i="117"/>
  <c r="D62" i="117"/>
  <c r="J62" i="117"/>
  <c r="E62" i="117"/>
  <c r="C62" i="117"/>
  <c r="I63" i="117"/>
  <c r="D63" i="117"/>
  <c r="J63" i="117"/>
  <c r="E63" i="117"/>
  <c r="C63" i="117"/>
  <c r="I64" i="117"/>
  <c r="D64" i="117"/>
  <c r="J64" i="117"/>
  <c r="E64" i="117"/>
  <c r="C64" i="117"/>
  <c r="I65" i="117"/>
  <c r="D65" i="117"/>
  <c r="J65" i="117"/>
  <c r="E65" i="117"/>
  <c r="C65" i="117"/>
  <c r="I66" i="117"/>
  <c r="D66" i="117"/>
  <c r="J66" i="117"/>
  <c r="E66" i="117"/>
  <c r="C66" i="117"/>
  <c r="I67" i="117"/>
  <c r="D67" i="117"/>
  <c r="J67" i="117"/>
  <c r="E67" i="117"/>
  <c r="C67" i="117"/>
  <c r="I68" i="117"/>
  <c r="D68" i="117"/>
  <c r="J68" i="117"/>
  <c r="E68" i="117"/>
  <c r="C68" i="117"/>
  <c r="I69" i="117"/>
  <c r="D69" i="117"/>
  <c r="J69" i="117"/>
  <c r="E69" i="117"/>
  <c r="C69" i="117"/>
  <c r="I70" i="117"/>
  <c r="D70" i="117"/>
  <c r="J70" i="117"/>
  <c r="E70" i="117"/>
  <c r="C70" i="117"/>
  <c r="I71" i="117"/>
  <c r="D71" i="117"/>
  <c r="J71" i="117"/>
  <c r="E71" i="117"/>
  <c r="C71" i="117"/>
  <c r="I72" i="117"/>
  <c r="D72" i="117"/>
  <c r="J72" i="117"/>
  <c r="E72" i="117"/>
  <c r="C72" i="117"/>
  <c r="I73" i="117"/>
  <c r="D73" i="117"/>
  <c r="J73" i="117"/>
  <c r="E73" i="117"/>
  <c r="C73" i="117"/>
  <c r="I74" i="117"/>
  <c r="D74" i="117"/>
  <c r="J74" i="117"/>
  <c r="E74" i="117"/>
  <c r="C74" i="117"/>
  <c r="I75" i="117"/>
  <c r="D75" i="117"/>
  <c r="J75" i="117"/>
  <c r="E75" i="117"/>
  <c r="C75" i="117"/>
  <c r="I76" i="117"/>
  <c r="D76" i="117"/>
  <c r="J76" i="117"/>
  <c r="E76" i="117"/>
  <c r="C76" i="117"/>
  <c r="I77" i="117"/>
  <c r="D77" i="117"/>
  <c r="J77" i="117"/>
  <c r="E77" i="117"/>
  <c r="C77" i="117"/>
  <c r="I78" i="117"/>
  <c r="D78" i="117"/>
  <c r="J78" i="117"/>
  <c r="E78" i="117"/>
  <c r="C78" i="117"/>
  <c r="I79" i="117"/>
  <c r="D79" i="117"/>
  <c r="J79" i="117"/>
  <c r="E79" i="117"/>
  <c r="C79" i="117"/>
  <c r="I80" i="117"/>
  <c r="D80" i="117"/>
  <c r="J80" i="117"/>
  <c r="E80" i="117"/>
  <c r="C80" i="117"/>
  <c r="I81" i="117"/>
  <c r="D81" i="117"/>
  <c r="J81" i="117"/>
  <c r="E81" i="117"/>
  <c r="C81" i="117"/>
  <c r="I82" i="117"/>
  <c r="D82" i="117"/>
  <c r="J82" i="117"/>
  <c r="E82" i="117"/>
  <c r="C82" i="117"/>
  <c r="I83" i="117"/>
  <c r="D83" i="117"/>
  <c r="J83" i="117"/>
  <c r="E83" i="117"/>
  <c r="C83" i="117"/>
  <c r="I84" i="117"/>
  <c r="D84" i="117"/>
  <c r="J84" i="117"/>
  <c r="E84" i="117"/>
  <c r="C84" i="117"/>
  <c r="I85" i="117"/>
  <c r="D85" i="117"/>
  <c r="J85" i="117"/>
  <c r="E85" i="117"/>
  <c r="C85" i="117"/>
  <c r="I86" i="117"/>
  <c r="D86" i="117"/>
  <c r="J86" i="117"/>
  <c r="E86" i="117"/>
  <c r="C86" i="117"/>
  <c r="I87" i="117"/>
  <c r="D87" i="117"/>
  <c r="J87" i="117"/>
  <c r="E87" i="117"/>
  <c r="C87" i="117"/>
  <c r="I88" i="117"/>
  <c r="D88" i="117"/>
  <c r="J88" i="117"/>
  <c r="E88" i="117"/>
  <c r="C88" i="117"/>
  <c r="I89" i="117"/>
  <c r="D89" i="117"/>
  <c r="J89" i="117"/>
  <c r="E89" i="117"/>
  <c r="C89" i="117"/>
  <c r="I90" i="117"/>
  <c r="D90" i="117"/>
  <c r="J90" i="117"/>
  <c r="E90" i="117"/>
  <c r="C90" i="117"/>
  <c r="I91" i="117"/>
  <c r="D91" i="117"/>
  <c r="J91" i="117"/>
  <c r="E91" i="117"/>
  <c r="C91" i="117"/>
  <c r="I92" i="117"/>
  <c r="D92" i="117"/>
  <c r="J92" i="117"/>
  <c r="E92" i="117"/>
  <c r="C92" i="117"/>
  <c r="I93" i="117"/>
  <c r="D93" i="117"/>
  <c r="J93" i="117"/>
  <c r="E93" i="117"/>
  <c r="C93" i="117"/>
  <c r="I94" i="117"/>
  <c r="D94" i="117"/>
  <c r="J94" i="117"/>
  <c r="E94" i="117"/>
  <c r="C94" i="117"/>
  <c r="I95" i="117"/>
  <c r="D95" i="117"/>
  <c r="J95" i="117"/>
  <c r="E95" i="117"/>
  <c r="C95" i="117"/>
  <c r="I96" i="117"/>
  <c r="D96" i="117"/>
  <c r="J96" i="117"/>
  <c r="E96" i="117"/>
  <c r="C96" i="117"/>
  <c r="I97" i="117"/>
  <c r="D97" i="117"/>
  <c r="J97" i="117"/>
  <c r="E97" i="117"/>
  <c r="C97" i="117"/>
  <c r="I98" i="117"/>
  <c r="D98" i="117"/>
  <c r="J98" i="117"/>
  <c r="E98" i="117"/>
  <c r="C98" i="117"/>
  <c r="I99" i="117"/>
  <c r="D99" i="117"/>
  <c r="J99" i="117"/>
  <c r="E99" i="117"/>
  <c r="C99" i="117"/>
  <c r="I100" i="117"/>
  <c r="D100" i="117"/>
  <c r="J100" i="117"/>
  <c r="E100" i="117"/>
  <c r="C100" i="117"/>
  <c r="I101" i="117"/>
  <c r="D101" i="117"/>
  <c r="J101" i="117"/>
  <c r="E101" i="117"/>
  <c r="C101" i="117"/>
  <c r="I102" i="117"/>
  <c r="D102" i="117"/>
  <c r="J102" i="117"/>
  <c r="E102" i="117"/>
  <c r="C102" i="117"/>
  <c r="I103" i="117"/>
  <c r="D103" i="117"/>
  <c r="J103" i="117"/>
  <c r="E103" i="117"/>
  <c r="C103" i="117"/>
  <c r="I104" i="117"/>
  <c r="D104" i="117"/>
  <c r="J104" i="117"/>
  <c r="E104" i="117"/>
  <c r="C104" i="117"/>
  <c r="I105" i="117"/>
  <c r="D105" i="117"/>
  <c r="J105" i="117"/>
  <c r="E105" i="117"/>
  <c r="C105" i="117"/>
  <c r="I106" i="117"/>
  <c r="D106" i="117"/>
  <c r="J106" i="117"/>
  <c r="E106" i="117"/>
  <c r="C106" i="117"/>
  <c r="I107" i="117"/>
  <c r="D107" i="117"/>
  <c r="J107" i="117"/>
  <c r="E107" i="117"/>
  <c r="C107" i="117"/>
  <c r="I108" i="117"/>
  <c r="D108" i="117"/>
  <c r="J108" i="117"/>
  <c r="E108" i="117"/>
  <c r="C108" i="117"/>
  <c r="I109" i="117"/>
  <c r="D109" i="117"/>
  <c r="J109" i="117"/>
  <c r="E109" i="117"/>
  <c r="C109" i="117"/>
  <c r="I110" i="117"/>
  <c r="D110" i="117"/>
  <c r="J110" i="117"/>
  <c r="E110" i="117"/>
  <c r="C110" i="117"/>
  <c r="I111" i="117"/>
  <c r="D111" i="117"/>
  <c r="J111" i="117"/>
  <c r="E111" i="117"/>
  <c r="C111" i="117"/>
  <c r="I112" i="117"/>
  <c r="D112" i="117"/>
  <c r="J112" i="117"/>
  <c r="E112" i="117"/>
  <c r="C112" i="117"/>
  <c r="I113" i="117"/>
  <c r="D113" i="117"/>
  <c r="J113" i="117"/>
  <c r="E113" i="117"/>
  <c r="C113" i="117"/>
  <c r="I114" i="117"/>
  <c r="D114" i="117"/>
  <c r="J114" i="117"/>
  <c r="E114" i="117"/>
  <c r="C114" i="117"/>
  <c r="I115" i="117"/>
  <c r="D115" i="117"/>
  <c r="J115" i="117"/>
  <c r="E115" i="117"/>
  <c r="C115" i="117"/>
  <c r="I116" i="117"/>
  <c r="D116" i="117"/>
  <c r="J116" i="117"/>
  <c r="E116" i="117"/>
  <c r="C116" i="117"/>
  <c r="I117" i="117"/>
  <c r="D117" i="117"/>
  <c r="J117" i="117"/>
  <c r="E117" i="117"/>
  <c r="C117" i="117"/>
  <c r="I118" i="117"/>
  <c r="D118" i="117"/>
  <c r="J118" i="117"/>
  <c r="E118" i="117"/>
  <c r="C118" i="117"/>
  <c r="I119" i="117"/>
  <c r="D119" i="117"/>
  <c r="J119" i="117"/>
  <c r="E119" i="117"/>
  <c r="C119" i="117"/>
  <c r="I120" i="117"/>
  <c r="D120" i="117"/>
  <c r="J120" i="117"/>
  <c r="E120" i="117"/>
  <c r="C120" i="117"/>
  <c r="I121" i="117"/>
  <c r="D121" i="117"/>
  <c r="J121" i="117"/>
  <c r="E121" i="117"/>
  <c r="C121" i="117"/>
  <c r="I122" i="117"/>
  <c r="D122" i="117"/>
  <c r="J122" i="117"/>
  <c r="E122" i="117"/>
  <c r="C122" i="117"/>
  <c r="I123" i="117"/>
  <c r="D123" i="117"/>
  <c r="J123" i="117"/>
  <c r="E123" i="117"/>
  <c r="C123" i="117"/>
  <c r="I124" i="117"/>
  <c r="D124" i="117"/>
  <c r="J124" i="117"/>
  <c r="E124" i="117"/>
  <c r="C124" i="117"/>
  <c r="I125" i="117"/>
  <c r="D125" i="117"/>
  <c r="J125" i="117"/>
  <c r="E125" i="117"/>
  <c r="C125" i="117"/>
  <c r="I126" i="117"/>
  <c r="D126" i="117"/>
  <c r="J126" i="117"/>
  <c r="E126" i="117"/>
  <c r="C126" i="117"/>
  <c r="I127" i="117"/>
  <c r="D127" i="117"/>
  <c r="J127" i="117"/>
  <c r="E127" i="117"/>
  <c r="C127" i="117"/>
  <c r="I128" i="117"/>
  <c r="D128" i="117"/>
  <c r="J128" i="117"/>
  <c r="E128" i="117"/>
  <c r="C128" i="117"/>
  <c r="I129" i="117"/>
  <c r="D129" i="117"/>
  <c r="J129" i="117"/>
  <c r="E129" i="117"/>
  <c r="C129" i="117"/>
  <c r="I130" i="117"/>
  <c r="D130" i="117"/>
  <c r="J130" i="117"/>
  <c r="E130" i="117"/>
  <c r="C130" i="117"/>
  <c r="I131" i="117"/>
  <c r="D131" i="117"/>
  <c r="J131" i="117"/>
  <c r="E131" i="117"/>
  <c r="C131" i="117"/>
  <c r="I132" i="117"/>
  <c r="D132" i="117"/>
  <c r="J132" i="117"/>
  <c r="E132" i="117"/>
  <c r="C132" i="117"/>
  <c r="I133" i="117"/>
  <c r="D133" i="117"/>
  <c r="J133" i="117"/>
  <c r="E133" i="117"/>
  <c r="C133" i="117"/>
  <c r="I134" i="117"/>
  <c r="D134" i="117"/>
  <c r="J134" i="117"/>
  <c r="E134" i="117"/>
  <c r="C134" i="117"/>
  <c r="I135" i="117"/>
  <c r="D135" i="117"/>
  <c r="J135" i="117"/>
  <c r="E135" i="117"/>
  <c r="C135" i="117"/>
  <c r="I136" i="117"/>
  <c r="D136" i="117"/>
  <c r="J136" i="117"/>
  <c r="E136" i="117"/>
  <c r="C136" i="117"/>
  <c r="I137" i="117"/>
  <c r="D137" i="117"/>
  <c r="J137" i="117"/>
  <c r="E137" i="117"/>
  <c r="C137" i="117"/>
  <c r="I138" i="117"/>
  <c r="D138" i="117"/>
  <c r="J138" i="117"/>
  <c r="E138" i="117"/>
  <c r="C138" i="117"/>
  <c r="I139" i="117"/>
  <c r="D139" i="117"/>
  <c r="J139" i="117"/>
  <c r="E139" i="117"/>
  <c r="C139" i="117"/>
  <c r="I140" i="117"/>
  <c r="D140" i="117"/>
  <c r="J140" i="117"/>
  <c r="E140" i="117"/>
  <c r="C140" i="117"/>
  <c r="I141" i="117"/>
  <c r="D141" i="117"/>
  <c r="J141" i="117"/>
  <c r="E141" i="117"/>
  <c r="C141" i="117"/>
  <c r="I142" i="117"/>
  <c r="D142" i="117"/>
  <c r="J142" i="117"/>
  <c r="E142" i="117"/>
  <c r="C142" i="117"/>
  <c r="I143" i="117"/>
  <c r="D143" i="117"/>
  <c r="J143" i="117"/>
  <c r="E143" i="117"/>
  <c r="C143" i="117"/>
  <c r="I144" i="117"/>
  <c r="D144" i="117"/>
  <c r="J144" i="117"/>
  <c r="E144" i="117"/>
  <c r="C144" i="117"/>
  <c r="I145" i="117"/>
  <c r="D145" i="117"/>
  <c r="J145" i="117"/>
  <c r="E145" i="117"/>
  <c r="C145" i="117"/>
  <c r="I146" i="117"/>
  <c r="D146" i="117"/>
  <c r="J146" i="117"/>
  <c r="E146" i="117"/>
  <c r="C146" i="117"/>
  <c r="I147" i="117"/>
  <c r="D147" i="117"/>
  <c r="J147" i="117"/>
  <c r="E147" i="117"/>
  <c r="C147" i="117"/>
  <c r="I148" i="117"/>
  <c r="D148" i="117"/>
  <c r="J148" i="117"/>
  <c r="E148" i="117"/>
  <c r="C148" i="117"/>
  <c r="I149" i="117"/>
  <c r="D149" i="117"/>
  <c r="J149" i="117"/>
  <c r="E149" i="117"/>
  <c r="C149" i="117"/>
  <c r="I150" i="117"/>
  <c r="D150" i="117"/>
  <c r="J150" i="117"/>
  <c r="E150" i="117"/>
  <c r="C150" i="117"/>
  <c r="I151" i="117"/>
  <c r="D151" i="117"/>
  <c r="J151" i="117"/>
  <c r="E151" i="117"/>
  <c r="C151" i="117"/>
  <c r="I152" i="117"/>
  <c r="D152" i="117"/>
  <c r="J152" i="117"/>
  <c r="E152" i="117"/>
  <c r="C152" i="117"/>
  <c r="I153" i="117"/>
  <c r="D153" i="117"/>
  <c r="J153" i="117"/>
  <c r="E153" i="117"/>
  <c r="C153" i="117"/>
  <c r="I154" i="117"/>
  <c r="D154" i="117"/>
  <c r="J154" i="117"/>
  <c r="E154" i="117"/>
  <c r="C154" i="117"/>
  <c r="I155" i="117"/>
  <c r="D155" i="117"/>
  <c r="J155" i="117"/>
  <c r="E155" i="117"/>
  <c r="C155" i="117"/>
  <c r="I156" i="117"/>
  <c r="D156" i="117"/>
  <c r="J156" i="117"/>
  <c r="E156" i="117"/>
  <c r="C156" i="117"/>
  <c r="I157" i="117"/>
  <c r="D157" i="117"/>
  <c r="J157" i="117"/>
  <c r="E157" i="117"/>
  <c r="C157" i="117"/>
  <c r="I158" i="117"/>
  <c r="D158" i="117"/>
  <c r="J158" i="117"/>
  <c r="E158" i="117"/>
  <c r="C158" i="117"/>
  <c r="I159" i="117"/>
  <c r="D159" i="117"/>
  <c r="J159" i="117"/>
  <c r="E159" i="117"/>
  <c r="C159" i="117"/>
  <c r="I160" i="117"/>
  <c r="D160" i="117"/>
  <c r="J160" i="117"/>
  <c r="E160" i="117"/>
  <c r="C160" i="117"/>
  <c r="I161" i="117"/>
  <c r="D161" i="117"/>
  <c r="J161" i="117"/>
  <c r="E161" i="117"/>
  <c r="C161" i="117"/>
  <c r="I162" i="117"/>
  <c r="D162" i="117"/>
  <c r="J162" i="117"/>
  <c r="E162" i="117"/>
  <c r="C162" i="117"/>
  <c r="I163" i="117"/>
  <c r="D163" i="117"/>
  <c r="J163" i="117"/>
  <c r="E163" i="117"/>
  <c r="C163" i="117"/>
  <c r="I164" i="117"/>
  <c r="D164" i="117"/>
  <c r="J164" i="117"/>
  <c r="E164" i="117"/>
  <c r="C164" i="117"/>
  <c r="I165" i="117"/>
  <c r="D165" i="117"/>
  <c r="J165" i="117"/>
  <c r="E165" i="117"/>
  <c r="C165" i="117"/>
  <c r="I166" i="117"/>
  <c r="D166" i="117"/>
  <c r="J166" i="117"/>
  <c r="E166" i="117"/>
  <c r="C166" i="117"/>
  <c r="I167" i="117"/>
  <c r="D167" i="117"/>
  <c r="J167" i="117"/>
  <c r="E167" i="117"/>
  <c r="C167" i="117"/>
  <c r="I168" i="117"/>
  <c r="D168" i="117"/>
  <c r="J168" i="117"/>
  <c r="E168" i="117"/>
  <c r="C168" i="117"/>
  <c r="I169" i="117"/>
  <c r="D169" i="117"/>
  <c r="J169" i="117"/>
  <c r="E169" i="117"/>
  <c r="C169" i="117"/>
  <c r="I170" i="117"/>
  <c r="D170" i="117"/>
  <c r="J170" i="117"/>
  <c r="E170" i="117"/>
  <c r="C170" i="117"/>
  <c r="I171" i="117"/>
  <c r="D171" i="117"/>
  <c r="J171" i="117"/>
  <c r="E171" i="117"/>
  <c r="C171" i="117"/>
  <c r="I172" i="117"/>
  <c r="D172" i="117"/>
  <c r="J172" i="117"/>
  <c r="E172" i="117"/>
  <c r="C172" i="117"/>
  <c r="I173" i="117"/>
  <c r="D173" i="117"/>
  <c r="J173" i="117"/>
  <c r="E173" i="117"/>
  <c r="C173" i="117"/>
  <c r="I174" i="117"/>
  <c r="D174" i="117"/>
  <c r="J174" i="117"/>
  <c r="E174" i="117"/>
  <c r="C174" i="117"/>
  <c r="I175" i="117"/>
  <c r="D175" i="117"/>
  <c r="J175" i="117"/>
  <c r="E175" i="117"/>
  <c r="C175" i="117"/>
  <c r="I176" i="117"/>
  <c r="D176" i="117"/>
  <c r="J176" i="117"/>
  <c r="E176" i="117"/>
  <c r="C176" i="117"/>
  <c r="I177" i="117"/>
  <c r="D177" i="117"/>
  <c r="J177" i="117"/>
  <c r="E177" i="117"/>
  <c r="C177" i="117"/>
  <c r="I178" i="117"/>
  <c r="D178" i="117"/>
  <c r="J178" i="117"/>
  <c r="E178" i="117"/>
  <c r="C178" i="117"/>
  <c r="I179" i="117"/>
  <c r="D179" i="117"/>
  <c r="J179" i="117"/>
  <c r="E179" i="117"/>
  <c r="C179" i="117"/>
  <c r="I180" i="117"/>
  <c r="D180" i="117"/>
  <c r="J180" i="117"/>
  <c r="E180" i="117"/>
  <c r="C180" i="117"/>
  <c r="I181" i="117"/>
  <c r="D181" i="117"/>
  <c r="J181" i="117"/>
  <c r="E181" i="117"/>
  <c r="C181" i="117"/>
  <c r="I182" i="117"/>
  <c r="D182" i="117"/>
  <c r="J182" i="117"/>
  <c r="E182" i="117"/>
  <c r="C182" i="117"/>
  <c r="I183" i="117"/>
  <c r="D183" i="117"/>
  <c r="J183" i="117"/>
  <c r="E183" i="117"/>
  <c r="C183" i="117"/>
  <c r="I184" i="117"/>
  <c r="D184" i="117"/>
  <c r="J184" i="117"/>
  <c r="E184" i="117"/>
  <c r="C184" i="117"/>
  <c r="I185" i="117"/>
  <c r="D185" i="117"/>
  <c r="J185" i="117"/>
  <c r="E185" i="117"/>
  <c r="C185" i="117"/>
  <c r="I186" i="117"/>
  <c r="D186" i="117"/>
  <c r="J186" i="117"/>
  <c r="E186" i="117"/>
  <c r="C186" i="117"/>
  <c r="I187" i="117"/>
  <c r="D187" i="117"/>
  <c r="J187" i="117"/>
  <c r="E187" i="117"/>
  <c r="C187" i="117"/>
  <c r="I188" i="117"/>
  <c r="D188" i="117"/>
  <c r="J188" i="117"/>
  <c r="E188" i="117"/>
  <c r="C188" i="117"/>
  <c r="I189" i="117"/>
  <c r="D189" i="117"/>
  <c r="J189" i="117"/>
  <c r="E189" i="117"/>
  <c r="C189" i="117"/>
  <c r="I190" i="117"/>
  <c r="D190" i="117"/>
  <c r="J190" i="117"/>
  <c r="E190" i="117"/>
  <c r="C190" i="117"/>
  <c r="I191" i="117"/>
  <c r="D191" i="117"/>
  <c r="J191" i="117"/>
  <c r="E191" i="117"/>
  <c r="C191" i="117"/>
  <c r="I192" i="117"/>
  <c r="D192" i="117"/>
  <c r="J192" i="117"/>
  <c r="E192" i="117"/>
  <c r="C192" i="117"/>
  <c r="I193" i="117"/>
  <c r="D193" i="117"/>
  <c r="J193" i="117"/>
  <c r="E193" i="117"/>
  <c r="C193" i="117"/>
  <c r="I194" i="117"/>
  <c r="D194" i="117"/>
  <c r="J194" i="117"/>
  <c r="E194" i="117"/>
  <c r="C194" i="117"/>
  <c r="I195" i="117"/>
  <c r="D195" i="117"/>
  <c r="J195" i="117"/>
  <c r="E195" i="117"/>
  <c r="C195" i="117"/>
  <c r="I196" i="117"/>
  <c r="D196" i="117"/>
  <c r="J196" i="117"/>
  <c r="E196" i="117"/>
  <c r="C196" i="117"/>
  <c r="I197" i="117"/>
  <c r="D197" i="117"/>
  <c r="J197" i="117"/>
  <c r="E197" i="117"/>
  <c r="C197" i="117"/>
  <c r="I198" i="117"/>
  <c r="D198" i="117"/>
  <c r="J198" i="117"/>
  <c r="E198" i="117"/>
  <c r="C198" i="117"/>
  <c r="I199" i="117"/>
  <c r="D199" i="117"/>
  <c r="J199" i="117"/>
  <c r="E199" i="117"/>
  <c r="C199" i="117"/>
  <c r="I200" i="117"/>
  <c r="D200" i="117"/>
  <c r="J200" i="117"/>
  <c r="E200" i="117"/>
  <c r="C200" i="117"/>
  <c r="I201" i="117"/>
  <c r="D201" i="117"/>
  <c r="J201" i="117"/>
  <c r="E201" i="117"/>
  <c r="C201" i="117"/>
  <c r="I202" i="117"/>
  <c r="D202" i="117"/>
  <c r="J202" i="117"/>
  <c r="E202" i="117"/>
  <c r="C202" i="117"/>
  <c r="I203" i="117"/>
  <c r="D203" i="117"/>
  <c r="J203" i="117"/>
  <c r="E203" i="117"/>
  <c r="C203" i="117"/>
  <c r="I204" i="117"/>
  <c r="D204" i="117"/>
  <c r="J204" i="117"/>
  <c r="E204" i="117"/>
  <c r="C204" i="117"/>
  <c r="I205" i="117"/>
  <c r="D205" i="117"/>
  <c r="J205" i="117"/>
  <c r="E205" i="117"/>
  <c r="C205" i="117"/>
  <c r="I206" i="117"/>
  <c r="D206" i="117"/>
  <c r="J206" i="117"/>
  <c r="E206" i="117"/>
  <c r="C206" i="117"/>
  <c r="I207" i="117"/>
  <c r="D207" i="117"/>
  <c r="J207" i="117"/>
  <c r="E207" i="117"/>
  <c r="C207" i="117"/>
  <c r="I208" i="117"/>
  <c r="D208" i="117"/>
  <c r="J208" i="117"/>
  <c r="E208" i="117"/>
  <c r="C208" i="117"/>
  <c r="I209" i="117"/>
  <c r="D209" i="117"/>
  <c r="J209" i="117"/>
  <c r="E209" i="117"/>
  <c r="C209" i="117"/>
  <c r="I210" i="117"/>
  <c r="D210" i="117"/>
  <c r="J210" i="117"/>
  <c r="E210" i="117"/>
  <c r="C210" i="117"/>
  <c r="I211" i="117"/>
  <c r="D211" i="117"/>
  <c r="J211" i="117"/>
  <c r="E211" i="117"/>
  <c r="C211" i="117"/>
  <c r="I212" i="117"/>
  <c r="D212" i="117"/>
  <c r="J212" i="117"/>
  <c r="E212" i="117"/>
  <c r="C212" i="117"/>
  <c r="I213" i="117"/>
  <c r="D213" i="117"/>
  <c r="J213" i="117"/>
  <c r="E213" i="117"/>
  <c r="C213" i="117"/>
  <c r="I214" i="117"/>
  <c r="D214" i="117"/>
  <c r="J214" i="117"/>
  <c r="E214" i="117"/>
  <c r="C214" i="117"/>
  <c r="I215" i="117"/>
  <c r="D215" i="117"/>
  <c r="J215" i="117"/>
  <c r="E215" i="117"/>
  <c r="C215" i="117"/>
  <c r="I216" i="117"/>
  <c r="D216" i="117"/>
  <c r="J216" i="117"/>
  <c r="E216" i="117"/>
  <c r="C216" i="117"/>
  <c r="I217" i="117"/>
  <c r="D217" i="117"/>
  <c r="J217" i="117"/>
  <c r="E217" i="117"/>
  <c r="C217" i="117"/>
  <c r="I218" i="117"/>
  <c r="D218" i="117"/>
  <c r="J218" i="117"/>
  <c r="E218" i="117"/>
  <c r="C218" i="117"/>
  <c r="I219" i="117"/>
  <c r="D219" i="117"/>
  <c r="J219" i="117"/>
  <c r="E219" i="117"/>
  <c r="C219" i="117"/>
  <c r="I220" i="117"/>
  <c r="D220" i="117"/>
  <c r="J220" i="117"/>
  <c r="E220" i="117"/>
  <c r="C220" i="117"/>
  <c r="I221" i="117"/>
  <c r="D221" i="117"/>
  <c r="J221" i="117"/>
  <c r="E221" i="117"/>
  <c r="C221" i="117"/>
  <c r="I222" i="117"/>
  <c r="D222" i="117"/>
  <c r="J222" i="117"/>
  <c r="E222" i="117"/>
  <c r="C222" i="117"/>
  <c r="I223" i="117"/>
  <c r="D223" i="117"/>
  <c r="J223" i="117"/>
  <c r="E223" i="117"/>
  <c r="C223" i="117"/>
  <c r="I224" i="117"/>
  <c r="D224" i="117"/>
  <c r="J224" i="117"/>
  <c r="E224" i="117"/>
  <c r="C224" i="117"/>
  <c r="I225" i="117"/>
  <c r="D225" i="117"/>
  <c r="J225" i="117"/>
  <c r="E225" i="117"/>
  <c r="C225" i="117"/>
  <c r="I226" i="117"/>
  <c r="D226" i="117"/>
  <c r="J226" i="117"/>
  <c r="E226" i="117"/>
  <c r="C226" i="117"/>
  <c r="I227" i="117"/>
  <c r="D227" i="117"/>
  <c r="J227" i="117"/>
  <c r="E227" i="117"/>
  <c r="C227" i="117"/>
  <c r="I228" i="117"/>
  <c r="D228" i="117"/>
  <c r="J228" i="117"/>
  <c r="E228" i="117"/>
  <c r="C228" i="117"/>
  <c r="I229" i="117"/>
  <c r="D229" i="117"/>
  <c r="J229" i="117"/>
  <c r="E229" i="117"/>
  <c r="C229" i="117"/>
  <c r="I230" i="117"/>
  <c r="D230" i="117"/>
  <c r="J230" i="117"/>
  <c r="E230" i="117"/>
  <c r="C230" i="117"/>
  <c r="I231" i="117"/>
  <c r="D231" i="117"/>
  <c r="J231" i="117"/>
  <c r="E231" i="117"/>
  <c r="C231" i="117"/>
  <c r="I232" i="117"/>
  <c r="D232" i="117"/>
  <c r="J232" i="117"/>
  <c r="E232" i="117"/>
  <c r="C232" i="117"/>
  <c r="I233" i="117"/>
  <c r="D233" i="117"/>
  <c r="J233" i="117"/>
  <c r="E233" i="117"/>
  <c r="C233" i="117"/>
  <c r="I234" i="117"/>
  <c r="D234" i="117"/>
  <c r="J234" i="117"/>
  <c r="E234" i="117"/>
  <c r="C234" i="117"/>
  <c r="I235" i="117"/>
  <c r="D235" i="117"/>
  <c r="J235" i="117"/>
  <c r="E235" i="117"/>
  <c r="C235" i="117"/>
  <c r="I236" i="117"/>
  <c r="D236" i="117"/>
  <c r="J236" i="117"/>
  <c r="E236" i="117"/>
  <c r="C236" i="117"/>
  <c r="I237" i="117"/>
  <c r="D237" i="117"/>
  <c r="J237" i="117"/>
  <c r="E237" i="117"/>
  <c r="C237" i="117"/>
  <c r="I238" i="117"/>
  <c r="D238" i="117"/>
  <c r="J238" i="117"/>
  <c r="E238" i="117"/>
  <c r="C238" i="117"/>
  <c r="I239" i="117"/>
  <c r="D239" i="117"/>
  <c r="J239" i="117"/>
  <c r="E239" i="117"/>
  <c r="C239" i="117"/>
  <c r="I240" i="117"/>
  <c r="D240" i="117"/>
  <c r="J240" i="117"/>
  <c r="E240" i="117"/>
  <c r="C240" i="117"/>
  <c r="I241" i="117"/>
  <c r="D241" i="117"/>
  <c r="J241" i="117"/>
  <c r="E241" i="117"/>
  <c r="C241" i="117"/>
  <c r="I242" i="117"/>
  <c r="D242" i="117"/>
  <c r="J242" i="117"/>
  <c r="E242" i="117"/>
  <c r="C242" i="117"/>
  <c r="I243" i="117"/>
  <c r="D243" i="117"/>
  <c r="J243" i="117"/>
  <c r="E243" i="117"/>
  <c r="C243" i="117"/>
  <c r="I244" i="117"/>
  <c r="D244" i="117"/>
  <c r="J244" i="117"/>
  <c r="E244" i="117"/>
  <c r="C244" i="117"/>
  <c r="I245" i="117"/>
  <c r="D245" i="117"/>
  <c r="J245" i="117"/>
  <c r="E245" i="117"/>
  <c r="C245" i="117"/>
  <c r="I246" i="117"/>
  <c r="D246" i="117"/>
  <c r="J246" i="117"/>
  <c r="E246" i="117"/>
  <c r="C246" i="117"/>
  <c r="I247" i="117"/>
  <c r="D247" i="117"/>
  <c r="J247" i="117"/>
  <c r="E247" i="117"/>
  <c r="C247" i="117"/>
  <c r="I248" i="117"/>
  <c r="D248" i="117"/>
  <c r="J248" i="117"/>
  <c r="E248" i="117"/>
  <c r="C248" i="117"/>
  <c r="I249" i="117"/>
  <c r="D249" i="117"/>
  <c r="J249" i="117"/>
  <c r="E249" i="117"/>
  <c r="C249" i="117"/>
  <c r="I250" i="117"/>
  <c r="D250" i="117"/>
  <c r="J250" i="117"/>
  <c r="E250" i="117"/>
  <c r="C250" i="117"/>
  <c r="I251" i="117"/>
  <c r="D251" i="117"/>
  <c r="J251" i="117"/>
  <c r="E251" i="117"/>
  <c r="C251" i="117"/>
  <c r="I252" i="117"/>
  <c r="D252" i="117"/>
  <c r="J252" i="117"/>
  <c r="E252" i="117"/>
  <c r="C252" i="117"/>
  <c r="I253" i="117"/>
  <c r="D253" i="117"/>
  <c r="J253" i="117"/>
  <c r="E253" i="117"/>
  <c r="C253" i="117"/>
  <c r="I254" i="117"/>
  <c r="D254" i="117"/>
  <c r="J254" i="117"/>
  <c r="E254" i="117"/>
  <c r="C254" i="117"/>
  <c r="I255" i="117"/>
  <c r="D255" i="117"/>
  <c r="J255" i="117"/>
  <c r="E255" i="117"/>
  <c r="C255" i="117"/>
  <c r="I256" i="117"/>
  <c r="D256" i="117"/>
  <c r="J256" i="117"/>
  <c r="E256" i="117"/>
  <c r="C256" i="117"/>
  <c r="I257" i="117"/>
  <c r="D257" i="117"/>
  <c r="J257" i="117"/>
  <c r="E257" i="117"/>
  <c r="C257" i="117"/>
  <c r="I258" i="117"/>
  <c r="D258" i="117"/>
  <c r="J258" i="117"/>
  <c r="E258" i="117"/>
  <c r="C258" i="117"/>
  <c r="I259" i="117"/>
  <c r="D259" i="117"/>
  <c r="J259" i="117"/>
  <c r="E259" i="117"/>
  <c r="C259" i="117"/>
  <c r="I260" i="117"/>
  <c r="D260" i="117"/>
  <c r="J260" i="117"/>
  <c r="E260" i="117"/>
  <c r="C260" i="117"/>
  <c r="I261" i="117"/>
  <c r="D261" i="117"/>
  <c r="J261" i="117"/>
  <c r="E261" i="117"/>
  <c r="C261" i="117"/>
  <c r="I262" i="117"/>
  <c r="D262" i="117"/>
  <c r="J262" i="117"/>
  <c r="E262" i="117"/>
  <c r="C262" i="117"/>
  <c r="I263" i="117"/>
  <c r="D263" i="117"/>
  <c r="J263" i="117"/>
  <c r="E263" i="117"/>
  <c r="C263" i="117"/>
  <c r="I264" i="117"/>
  <c r="D264" i="117"/>
  <c r="J264" i="117"/>
  <c r="E264" i="117"/>
  <c r="C264" i="117"/>
  <c r="I265" i="117"/>
  <c r="D265" i="117"/>
  <c r="J265" i="117"/>
  <c r="E265" i="117"/>
  <c r="C265" i="117"/>
  <c r="I266" i="117"/>
  <c r="D266" i="117"/>
  <c r="J266" i="117"/>
  <c r="E266" i="117"/>
  <c r="C266" i="117"/>
  <c r="I267" i="117"/>
  <c r="D267" i="117"/>
  <c r="J267" i="117"/>
  <c r="E267" i="117"/>
  <c r="C267" i="117"/>
  <c r="I268" i="117"/>
  <c r="D268" i="117"/>
  <c r="J268" i="117"/>
  <c r="E268" i="117"/>
  <c r="C268" i="117"/>
  <c r="I269" i="117"/>
  <c r="D269" i="117"/>
  <c r="J269" i="117"/>
  <c r="E269" i="117"/>
  <c r="C269" i="117"/>
  <c r="I270" i="117"/>
  <c r="D270" i="117"/>
  <c r="J270" i="117"/>
  <c r="E270" i="117"/>
  <c r="C270" i="117"/>
  <c r="I271" i="117"/>
  <c r="D271" i="117"/>
  <c r="J271" i="117"/>
  <c r="E271" i="117"/>
  <c r="C271" i="117"/>
  <c r="I272" i="117"/>
  <c r="D272" i="117"/>
  <c r="J272" i="117"/>
  <c r="E272" i="117"/>
  <c r="C272" i="117"/>
  <c r="I273" i="117"/>
  <c r="D273" i="117"/>
  <c r="J273" i="117"/>
  <c r="E273" i="117"/>
  <c r="C273" i="117"/>
  <c r="I274" i="117"/>
  <c r="D274" i="117"/>
  <c r="J274" i="117"/>
  <c r="E274" i="117"/>
  <c r="C274" i="117"/>
  <c r="I275" i="117"/>
  <c r="D275" i="117"/>
  <c r="J275" i="117"/>
  <c r="E275" i="117"/>
  <c r="C275" i="117"/>
  <c r="I276" i="117"/>
  <c r="D276" i="117"/>
  <c r="J276" i="117"/>
  <c r="E276" i="117"/>
  <c r="C276" i="117"/>
  <c r="I277" i="117"/>
  <c r="D277" i="117"/>
  <c r="J277" i="117"/>
  <c r="E277" i="117"/>
  <c r="C277" i="117"/>
  <c r="I278" i="117"/>
  <c r="D278" i="117"/>
  <c r="J278" i="117"/>
  <c r="E278" i="117"/>
  <c r="C278" i="117"/>
  <c r="I279" i="117"/>
  <c r="D279" i="117"/>
  <c r="J279" i="117"/>
  <c r="E279" i="117"/>
  <c r="C279" i="117"/>
  <c r="I280" i="117"/>
  <c r="D280" i="117"/>
  <c r="J280" i="117"/>
  <c r="E280" i="117"/>
  <c r="C280" i="117"/>
  <c r="I281" i="117"/>
  <c r="D281" i="117"/>
  <c r="J281" i="117"/>
  <c r="E281" i="117"/>
  <c r="C281" i="117"/>
  <c r="I282" i="117"/>
  <c r="D282" i="117"/>
  <c r="J282" i="117"/>
  <c r="E282" i="117"/>
  <c r="C282" i="117"/>
  <c r="I283" i="117"/>
  <c r="D283" i="117"/>
  <c r="J283" i="117"/>
  <c r="E283" i="117"/>
  <c r="C283" i="117"/>
  <c r="I284" i="117"/>
  <c r="D284" i="117"/>
  <c r="J284" i="117"/>
  <c r="E284" i="117"/>
  <c r="C284" i="117"/>
  <c r="F6" i="116"/>
  <c r="E6" i="116"/>
  <c r="Q3" i="116"/>
  <c r="Q4" i="116"/>
  <c r="Q5" i="116"/>
  <c r="Q6" i="116"/>
  <c r="Q7" i="116"/>
  <c r="Q8" i="116"/>
  <c r="Q9" i="116"/>
  <c r="E18" i="116"/>
  <c r="B18" i="116"/>
  <c r="M6" i="116"/>
  <c r="P6" i="116"/>
  <c r="F5" i="116"/>
  <c r="A36" i="116"/>
  <c r="R6" i="116"/>
  <c r="M7" i="116"/>
  <c r="P7" i="116"/>
  <c r="R7" i="116"/>
  <c r="M8" i="116"/>
  <c r="P8" i="116"/>
  <c r="R8" i="116"/>
  <c r="M9" i="116"/>
  <c r="P9" i="116"/>
  <c r="R9" i="116"/>
  <c r="N7" i="106"/>
  <c r="N9" i="106"/>
  <c r="N8" i="106"/>
  <c r="N6" i="106"/>
  <c r="N5" i="106"/>
  <c r="N4" i="106"/>
  <c r="N3" i="106"/>
  <c r="M7" i="106"/>
  <c r="O7" i="106"/>
  <c r="P7" i="106"/>
  <c r="Q7" i="10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F6" i="106"/>
  <c r="A36" i="106"/>
  <c r="R7" i="106"/>
  <c r="M8" i="106"/>
  <c r="O8" i="106"/>
  <c r="P8" i="106"/>
  <c r="Q8" i="106"/>
  <c r="R8" i="106"/>
  <c r="M9" i="106"/>
  <c r="O9" i="106"/>
  <c r="P9" i="106"/>
  <c r="Q9" i="106"/>
  <c r="R9" i="106"/>
  <c r="A2" i="116"/>
  <c r="A284" i="117"/>
  <c r="F284" i="117"/>
  <c r="H284" i="117"/>
  <c r="K284" i="117"/>
  <c r="L284" i="117"/>
  <c r="M284" i="117"/>
  <c r="N284" i="117"/>
  <c r="O284" i="117"/>
  <c r="G17" i="116"/>
  <c r="E17" i="116"/>
  <c r="H17" i="116"/>
  <c r="O2" i="117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5" i="116"/>
  <c r="E25" i="116"/>
  <c r="B25" i="116"/>
  <c r="G25" i="116"/>
  <c r="H25" i="116"/>
  <c r="O43" i="117"/>
  <c r="E26" i="116"/>
  <c r="B26" i="116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E21" i="116"/>
  <c r="B21" i="116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O66" i="117"/>
  <c r="O67" i="117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5" i="116"/>
  <c r="B27" i="116"/>
  <c r="G27" i="116"/>
  <c r="H27" i="116"/>
  <c r="O138" i="117"/>
  <c r="E28" i="116"/>
  <c r="B28" i="116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O176" i="117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O191" i="117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B29" i="116"/>
  <c r="B23" i="116"/>
  <c r="B22" i="116"/>
  <c r="G22" i="116"/>
  <c r="E22" i="116"/>
  <c r="H22" i="116"/>
  <c r="O266" i="117"/>
  <c r="G23" i="116"/>
  <c r="E23" i="116"/>
  <c r="H23" i="116"/>
  <c r="O267" i="117"/>
  <c r="O268" i="117"/>
  <c r="O269" i="117"/>
  <c r="G29" i="116"/>
  <c r="E29" i="116"/>
  <c r="H29" i="116"/>
  <c r="O270" i="117"/>
  <c r="O271" i="117"/>
  <c r="O272" i="117"/>
  <c r="O273" i="117"/>
  <c r="O274" i="117"/>
  <c r="O275" i="117"/>
  <c r="O276" i="117"/>
  <c r="O277" i="117"/>
  <c r="R3" i="116"/>
  <c r="O278" i="117"/>
  <c r="R4" i="116"/>
  <c r="O279" i="117"/>
  <c r="R5" i="116"/>
  <c r="O280" i="117"/>
  <c r="O281" i="117"/>
  <c r="O282" i="117"/>
  <c r="O283" i="117"/>
  <c r="P284" i="117"/>
  <c r="A281" i="117"/>
  <c r="F281" i="117"/>
  <c r="H281" i="117"/>
  <c r="K281" i="117"/>
  <c r="L281" i="117"/>
  <c r="M281" i="117"/>
  <c r="N281" i="117"/>
  <c r="F282" i="117"/>
  <c r="F283" i="117"/>
  <c r="P281" i="117"/>
  <c r="A282" i="117"/>
  <c r="H282" i="117"/>
  <c r="K282" i="117"/>
  <c r="L282" i="117"/>
  <c r="M282" i="117"/>
  <c r="N282" i="117"/>
  <c r="P282" i="117"/>
  <c r="A283" i="117"/>
  <c r="H283" i="117"/>
  <c r="K283" i="117"/>
  <c r="L283" i="117"/>
  <c r="M283" i="117"/>
  <c r="N283" i="117"/>
  <c r="P283" i="117"/>
  <c r="C3" i="103"/>
  <c r="C4" i="103"/>
  <c r="E4" i="103"/>
  <c r="J14" i="118"/>
  <c r="E14" i="118"/>
  <c r="C14" i="118"/>
  <c r="H14" i="118"/>
  <c r="K14" i="118"/>
  <c r="L14" i="118"/>
  <c r="M14" i="118"/>
  <c r="N14" i="118"/>
  <c r="P14" i="118"/>
  <c r="J15" i="118"/>
  <c r="E15" i="118"/>
  <c r="C15" i="118"/>
  <c r="H15" i="118"/>
  <c r="K15" i="118"/>
  <c r="L15" i="118"/>
  <c r="M15" i="118"/>
  <c r="N15" i="118"/>
  <c r="P15" i="118"/>
  <c r="J16" i="118"/>
  <c r="E16" i="118"/>
  <c r="C16" i="118"/>
  <c r="H16" i="118"/>
  <c r="K16" i="118"/>
  <c r="L16" i="118"/>
  <c r="M16" i="118"/>
  <c r="N16" i="118"/>
  <c r="P16" i="118"/>
  <c r="J17" i="118"/>
  <c r="E17" i="118"/>
  <c r="C17" i="118"/>
  <c r="H17" i="118"/>
  <c r="K17" i="118"/>
  <c r="L17" i="118"/>
  <c r="M17" i="118"/>
  <c r="N17" i="118"/>
  <c r="P17" i="118"/>
  <c r="J18" i="118"/>
  <c r="E18" i="118"/>
  <c r="C18" i="118"/>
  <c r="H18" i="118"/>
  <c r="K18" i="118"/>
  <c r="L18" i="118"/>
  <c r="M18" i="118"/>
  <c r="N18" i="118"/>
  <c r="P18" i="118"/>
  <c r="J19" i="118"/>
  <c r="E19" i="118"/>
  <c r="C19" i="118"/>
  <c r="H19" i="118"/>
  <c r="K19" i="118"/>
  <c r="L19" i="118"/>
  <c r="M19" i="118"/>
  <c r="N19" i="118"/>
  <c r="P19" i="118"/>
  <c r="J20" i="118"/>
  <c r="E20" i="118"/>
  <c r="C20" i="118"/>
  <c r="H20" i="118"/>
  <c r="K20" i="118"/>
  <c r="L20" i="118"/>
  <c r="M20" i="118"/>
  <c r="N20" i="118"/>
  <c r="P20" i="118"/>
  <c r="J21" i="118"/>
  <c r="E21" i="118"/>
  <c r="C21" i="118"/>
  <c r="H21" i="118"/>
  <c r="K21" i="118"/>
  <c r="L21" i="118"/>
  <c r="M21" i="118"/>
  <c r="N21" i="118"/>
  <c r="P21" i="118"/>
  <c r="J22" i="118"/>
  <c r="E22" i="118"/>
  <c r="C22" i="118"/>
  <c r="H22" i="118"/>
  <c r="K22" i="118"/>
  <c r="L22" i="118"/>
  <c r="M22" i="118"/>
  <c r="N22" i="118"/>
  <c r="P22" i="118"/>
  <c r="J23" i="118"/>
  <c r="E23" i="118"/>
  <c r="C23" i="118"/>
  <c r="H23" i="118"/>
  <c r="K23" i="118"/>
  <c r="L23" i="118"/>
  <c r="M23" i="118"/>
  <c r="N23" i="118"/>
  <c r="P23" i="118"/>
  <c r="J24" i="118"/>
  <c r="E24" i="118"/>
  <c r="C24" i="118"/>
  <c r="H24" i="118"/>
  <c r="K24" i="118"/>
  <c r="L24" i="118"/>
  <c r="M24" i="118"/>
  <c r="N24" i="118"/>
  <c r="P24" i="118"/>
  <c r="J25" i="118"/>
  <c r="E25" i="118"/>
  <c r="C25" i="118"/>
  <c r="H25" i="118"/>
  <c r="K25" i="118"/>
  <c r="L25" i="118"/>
  <c r="M25" i="118"/>
  <c r="N25" i="118"/>
  <c r="P25" i="118"/>
  <c r="J26" i="118"/>
  <c r="E26" i="118"/>
  <c r="C26" i="118"/>
  <c r="H26" i="118"/>
  <c r="K26" i="118"/>
  <c r="L26" i="118"/>
  <c r="M26" i="118"/>
  <c r="N26" i="118"/>
  <c r="P26" i="118"/>
  <c r="J27" i="118"/>
  <c r="E27" i="118"/>
  <c r="C27" i="118"/>
  <c r="H27" i="118"/>
  <c r="K27" i="118"/>
  <c r="L27" i="118"/>
  <c r="M27" i="118"/>
  <c r="N27" i="118"/>
  <c r="P27" i="118"/>
  <c r="J28" i="118"/>
  <c r="E28" i="118"/>
  <c r="C28" i="118"/>
  <c r="H28" i="118"/>
  <c r="K28" i="118"/>
  <c r="L28" i="118"/>
  <c r="M28" i="118"/>
  <c r="N28" i="118"/>
  <c r="P28" i="118"/>
  <c r="J29" i="118"/>
  <c r="E29" i="118"/>
  <c r="C29" i="118"/>
  <c r="H29" i="118"/>
  <c r="K29" i="118"/>
  <c r="L29" i="118"/>
  <c r="M29" i="118"/>
  <c r="N29" i="118"/>
  <c r="P29" i="118"/>
  <c r="J30" i="118"/>
  <c r="E30" i="118"/>
  <c r="C30" i="118"/>
  <c r="H30" i="118"/>
  <c r="K30" i="118"/>
  <c r="L30" i="118"/>
  <c r="M30" i="118"/>
  <c r="N30" i="118"/>
  <c r="P30" i="118"/>
  <c r="J31" i="118"/>
  <c r="E31" i="118"/>
  <c r="C31" i="118"/>
  <c r="H31" i="118"/>
  <c r="K31" i="118"/>
  <c r="L31" i="118"/>
  <c r="M31" i="118"/>
  <c r="N31" i="118"/>
  <c r="P31" i="118"/>
  <c r="J32" i="118"/>
  <c r="E32" i="118"/>
  <c r="C32" i="118"/>
  <c r="H32" i="118"/>
  <c r="K32" i="118"/>
  <c r="L32" i="118"/>
  <c r="M32" i="118"/>
  <c r="N32" i="118"/>
  <c r="P32" i="118"/>
  <c r="J33" i="118"/>
  <c r="E33" i="118"/>
  <c r="C33" i="118"/>
  <c r="H33" i="118"/>
  <c r="K33" i="118"/>
  <c r="L33" i="118"/>
  <c r="M33" i="118"/>
  <c r="N33" i="118"/>
  <c r="P33" i="118"/>
  <c r="J34" i="118"/>
  <c r="E34" i="118"/>
  <c r="C34" i="118"/>
  <c r="H34" i="118"/>
  <c r="K34" i="118"/>
  <c r="L34" i="118"/>
  <c r="M34" i="118"/>
  <c r="N34" i="118"/>
  <c r="P34" i="118"/>
  <c r="J35" i="118"/>
  <c r="E35" i="118"/>
  <c r="C35" i="118"/>
  <c r="H35" i="118"/>
  <c r="K35" i="118"/>
  <c r="L35" i="118"/>
  <c r="M35" i="118"/>
  <c r="N35" i="118"/>
  <c r="P35" i="118"/>
  <c r="J36" i="118"/>
  <c r="E36" i="118"/>
  <c r="C36" i="118"/>
  <c r="H36" i="118"/>
  <c r="K36" i="118"/>
  <c r="L36" i="118"/>
  <c r="M36" i="118"/>
  <c r="N36" i="118"/>
  <c r="P36" i="118"/>
  <c r="J37" i="118"/>
  <c r="E37" i="118"/>
  <c r="C37" i="118"/>
  <c r="H37" i="118"/>
  <c r="K37" i="118"/>
  <c r="L37" i="118"/>
  <c r="M37" i="118"/>
  <c r="N37" i="118"/>
  <c r="P37" i="118"/>
  <c r="J38" i="118"/>
  <c r="E38" i="118"/>
  <c r="C38" i="118"/>
  <c r="H38" i="118"/>
  <c r="K38" i="118"/>
  <c r="L38" i="118"/>
  <c r="M38" i="118"/>
  <c r="N38" i="118"/>
  <c r="P38" i="118"/>
  <c r="J39" i="118"/>
  <c r="E39" i="118"/>
  <c r="C39" i="118"/>
  <c r="H39" i="118"/>
  <c r="K39" i="118"/>
  <c r="L39" i="118"/>
  <c r="M39" i="118"/>
  <c r="N39" i="118"/>
  <c r="P39" i="118"/>
  <c r="J40" i="118"/>
  <c r="E40" i="118"/>
  <c r="C40" i="118"/>
  <c r="H40" i="118"/>
  <c r="K40" i="118"/>
  <c r="L40" i="118"/>
  <c r="M40" i="118"/>
  <c r="N40" i="118"/>
  <c r="P40" i="118"/>
  <c r="J41" i="118"/>
  <c r="E41" i="118"/>
  <c r="C41" i="118"/>
  <c r="H41" i="118"/>
  <c r="K41" i="118"/>
  <c r="L41" i="118"/>
  <c r="M41" i="118"/>
  <c r="N41" i="118"/>
  <c r="P41" i="118"/>
  <c r="J42" i="118"/>
  <c r="E42" i="118"/>
  <c r="C42" i="118"/>
  <c r="H42" i="118"/>
  <c r="K42" i="118"/>
  <c r="L42" i="118"/>
  <c r="M42" i="118"/>
  <c r="N42" i="118"/>
  <c r="P42" i="118"/>
  <c r="J43" i="118"/>
  <c r="E43" i="118"/>
  <c r="C43" i="118"/>
  <c r="H43" i="118"/>
  <c r="K43" i="118"/>
  <c r="L43" i="118"/>
  <c r="M43" i="118"/>
  <c r="N43" i="118"/>
  <c r="P43" i="118"/>
  <c r="J44" i="118"/>
  <c r="E44" i="118"/>
  <c r="C44" i="118"/>
  <c r="H44" i="118"/>
  <c r="K44" i="118"/>
  <c r="L44" i="118"/>
  <c r="M44" i="118"/>
  <c r="N44" i="118"/>
  <c r="P44" i="118"/>
  <c r="J45" i="118"/>
  <c r="E45" i="118"/>
  <c r="C45" i="118"/>
  <c r="H45" i="118"/>
  <c r="K45" i="118"/>
  <c r="L45" i="118"/>
  <c r="M45" i="118"/>
  <c r="N45" i="118"/>
  <c r="P45" i="118"/>
  <c r="J46" i="118"/>
  <c r="E46" i="118"/>
  <c r="C46" i="118"/>
  <c r="H46" i="118"/>
  <c r="K46" i="118"/>
  <c r="L46" i="118"/>
  <c r="M46" i="118"/>
  <c r="N46" i="118"/>
  <c r="P46" i="118"/>
  <c r="J47" i="118"/>
  <c r="E47" i="118"/>
  <c r="C47" i="118"/>
  <c r="H47" i="118"/>
  <c r="K47" i="118"/>
  <c r="L47" i="118"/>
  <c r="M47" i="118"/>
  <c r="N47" i="118"/>
  <c r="P47" i="118"/>
  <c r="J48" i="118"/>
  <c r="E48" i="118"/>
  <c r="C48" i="118"/>
  <c r="H48" i="118"/>
  <c r="K48" i="118"/>
  <c r="L48" i="118"/>
  <c r="M48" i="118"/>
  <c r="N48" i="118"/>
  <c r="P48" i="118"/>
  <c r="J49" i="118"/>
  <c r="E49" i="118"/>
  <c r="C49" i="118"/>
  <c r="H49" i="118"/>
  <c r="K49" i="118"/>
  <c r="L49" i="118"/>
  <c r="M49" i="118"/>
  <c r="N49" i="118"/>
  <c r="P49" i="118"/>
  <c r="J50" i="118"/>
  <c r="E50" i="118"/>
  <c r="C50" i="118"/>
  <c r="H50" i="118"/>
  <c r="K50" i="118"/>
  <c r="L50" i="118"/>
  <c r="M50" i="118"/>
  <c r="N50" i="118"/>
  <c r="P50" i="118"/>
  <c r="J51" i="118"/>
  <c r="E51" i="118"/>
  <c r="C51" i="118"/>
  <c r="H51" i="118"/>
  <c r="K51" i="118"/>
  <c r="L51" i="118"/>
  <c r="M51" i="118"/>
  <c r="N51" i="118"/>
  <c r="P51" i="118"/>
  <c r="J52" i="118"/>
  <c r="E52" i="118"/>
  <c r="C52" i="118"/>
  <c r="H52" i="118"/>
  <c r="K52" i="118"/>
  <c r="L52" i="118"/>
  <c r="M52" i="118"/>
  <c r="N52" i="118"/>
  <c r="P52" i="118"/>
  <c r="J53" i="118"/>
  <c r="E53" i="118"/>
  <c r="C53" i="118"/>
  <c r="H53" i="118"/>
  <c r="K53" i="118"/>
  <c r="L53" i="118"/>
  <c r="M53" i="118"/>
  <c r="N53" i="118"/>
  <c r="P53" i="118"/>
  <c r="J54" i="118"/>
  <c r="E54" i="118"/>
  <c r="C54" i="118"/>
  <c r="H54" i="118"/>
  <c r="K54" i="118"/>
  <c r="L54" i="118"/>
  <c r="M54" i="118"/>
  <c r="N54" i="118"/>
  <c r="P54" i="118"/>
  <c r="J55" i="118"/>
  <c r="E55" i="118"/>
  <c r="C55" i="118"/>
  <c r="H55" i="118"/>
  <c r="K55" i="118"/>
  <c r="L55" i="118"/>
  <c r="M55" i="118"/>
  <c r="N55" i="118"/>
  <c r="P55" i="118"/>
  <c r="J56" i="118"/>
  <c r="E56" i="118"/>
  <c r="C56" i="118"/>
  <c r="H56" i="118"/>
  <c r="K56" i="118"/>
  <c r="L56" i="118"/>
  <c r="M56" i="118"/>
  <c r="N56" i="118"/>
  <c r="P56" i="118"/>
  <c r="J57" i="118"/>
  <c r="E57" i="118"/>
  <c r="C57" i="118"/>
  <c r="H57" i="118"/>
  <c r="K57" i="118"/>
  <c r="L57" i="118"/>
  <c r="M57" i="118"/>
  <c r="N57" i="118"/>
  <c r="P57" i="118"/>
  <c r="J58" i="118"/>
  <c r="E58" i="118"/>
  <c r="C58" i="118"/>
  <c r="H58" i="118"/>
  <c r="K58" i="118"/>
  <c r="L58" i="118"/>
  <c r="M58" i="118"/>
  <c r="N58" i="118"/>
  <c r="P58" i="118"/>
  <c r="J59" i="118"/>
  <c r="E59" i="118"/>
  <c r="C59" i="118"/>
  <c r="H59" i="118"/>
  <c r="K59" i="118"/>
  <c r="L59" i="118"/>
  <c r="M59" i="118"/>
  <c r="N59" i="118"/>
  <c r="P59" i="118"/>
  <c r="J60" i="118"/>
  <c r="E60" i="118"/>
  <c r="C60" i="118"/>
  <c r="H60" i="118"/>
  <c r="K60" i="118"/>
  <c r="L60" i="118"/>
  <c r="M60" i="118"/>
  <c r="N60" i="118"/>
  <c r="P60" i="118"/>
  <c r="J61" i="118"/>
  <c r="E61" i="118"/>
  <c r="C61" i="118"/>
  <c r="H61" i="118"/>
  <c r="K61" i="118"/>
  <c r="L61" i="118"/>
  <c r="M61" i="118"/>
  <c r="N61" i="118"/>
  <c r="P61" i="118"/>
  <c r="J62" i="118"/>
  <c r="E62" i="118"/>
  <c r="C62" i="118"/>
  <c r="H62" i="118"/>
  <c r="K62" i="118"/>
  <c r="L62" i="118"/>
  <c r="M62" i="118"/>
  <c r="N62" i="118"/>
  <c r="P62" i="118"/>
  <c r="J63" i="118"/>
  <c r="E63" i="118"/>
  <c r="C63" i="118"/>
  <c r="H63" i="118"/>
  <c r="K63" i="118"/>
  <c r="L63" i="118"/>
  <c r="M63" i="118"/>
  <c r="N63" i="118"/>
  <c r="P63" i="118"/>
  <c r="J64" i="118"/>
  <c r="E64" i="118"/>
  <c r="C64" i="118"/>
  <c r="H64" i="118"/>
  <c r="K64" i="118"/>
  <c r="L64" i="118"/>
  <c r="M64" i="118"/>
  <c r="N64" i="118"/>
  <c r="P64" i="118"/>
  <c r="J65" i="118"/>
  <c r="E65" i="118"/>
  <c r="C65" i="118"/>
  <c r="H65" i="118"/>
  <c r="K65" i="118"/>
  <c r="L65" i="118"/>
  <c r="M65" i="118"/>
  <c r="N65" i="118"/>
  <c r="P65" i="118"/>
  <c r="J66" i="118"/>
  <c r="E66" i="118"/>
  <c r="C66" i="118"/>
  <c r="H66" i="118"/>
  <c r="K66" i="118"/>
  <c r="L66" i="118"/>
  <c r="M66" i="118"/>
  <c r="N66" i="118"/>
  <c r="P66" i="118"/>
  <c r="J67" i="118"/>
  <c r="E67" i="118"/>
  <c r="C67" i="118"/>
  <c r="H67" i="118"/>
  <c r="K67" i="118"/>
  <c r="L67" i="118"/>
  <c r="M67" i="118"/>
  <c r="N67" i="118"/>
  <c r="P67" i="118"/>
  <c r="J68" i="118"/>
  <c r="E68" i="118"/>
  <c r="C68" i="118"/>
  <c r="H68" i="118"/>
  <c r="K68" i="118"/>
  <c r="L68" i="118"/>
  <c r="M68" i="118"/>
  <c r="N68" i="118"/>
  <c r="P68" i="118"/>
  <c r="J69" i="118"/>
  <c r="E69" i="118"/>
  <c r="C69" i="118"/>
  <c r="H69" i="118"/>
  <c r="K69" i="118"/>
  <c r="L69" i="118"/>
  <c r="M69" i="118"/>
  <c r="N69" i="118"/>
  <c r="P69" i="118"/>
  <c r="J70" i="118"/>
  <c r="E70" i="118"/>
  <c r="C70" i="118"/>
  <c r="H70" i="118"/>
  <c r="K70" i="118"/>
  <c r="L70" i="118"/>
  <c r="M70" i="118"/>
  <c r="N70" i="118"/>
  <c r="P70" i="118"/>
  <c r="J71" i="118"/>
  <c r="E71" i="118"/>
  <c r="C71" i="118"/>
  <c r="H71" i="118"/>
  <c r="K71" i="118"/>
  <c r="L71" i="118"/>
  <c r="M71" i="118"/>
  <c r="N71" i="118"/>
  <c r="P71" i="118"/>
  <c r="J72" i="118"/>
  <c r="E72" i="118"/>
  <c r="C72" i="118"/>
  <c r="H72" i="118"/>
  <c r="K72" i="118"/>
  <c r="L72" i="118"/>
  <c r="M72" i="118"/>
  <c r="N72" i="118"/>
  <c r="P72" i="118"/>
  <c r="J73" i="118"/>
  <c r="E73" i="118"/>
  <c r="C73" i="118"/>
  <c r="H73" i="118"/>
  <c r="K73" i="118"/>
  <c r="L73" i="118"/>
  <c r="M73" i="118"/>
  <c r="N73" i="118"/>
  <c r="P73" i="118"/>
  <c r="J74" i="118"/>
  <c r="E74" i="118"/>
  <c r="C74" i="118"/>
  <c r="H74" i="118"/>
  <c r="K74" i="118"/>
  <c r="L74" i="118"/>
  <c r="M74" i="118"/>
  <c r="N74" i="118"/>
  <c r="P74" i="118"/>
  <c r="J75" i="118"/>
  <c r="E75" i="118"/>
  <c r="C75" i="118"/>
  <c r="H75" i="118"/>
  <c r="K75" i="118"/>
  <c r="L75" i="118"/>
  <c r="M75" i="118"/>
  <c r="N75" i="118"/>
  <c r="P75" i="118"/>
  <c r="J76" i="118"/>
  <c r="E76" i="118"/>
  <c r="C76" i="118"/>
  <c r="H76" i="118"/>
  <c r="K76" i="118"/>
  <c r="L76" i="118"/>
  <c r="M76" i="118"/>
  <c r="N76" i="118"/>
  <c r="P76" i="118"/>
  <c r="J77" i="118"/>
  <c r="E77" i="118"/>
  <c r="C77" i="118"/>
  <c r="H77" i="118"/>
  <c r="K77" i="118"/>
  <c r="L77" i="118"/>
  <c r="M77" i="118"/>
  <c r="N77" i="118"/>
  <c r="P77" i="118"/>
  <c r="J78" i="118"/>
  <c r="E78" i="118"/>
  <c r="C78" i="118"/>
  <c r="H78" i="118"/>
  <c r="K78" i="118"/>
  <c r="L78" i="118"/>
  <c r="M78" i="118"/>
  <c r="N78" i="118"/>
  <c r="P78" i="118"/>
  <c r="J79" i="118"/>
  <c r="E79" i="118"/>
  <c r="C79" i="118"/>
  <c r="H79" i="118"/>
  <c r="K79" i="118"/>
  <c r="L79" i="118"/>
  <c r="M79" i="118"/>
  <c r="N79" i="118"/>
  <c r="P79" i="118"/>
  <c r="J80" i="118"/>
  <c r="E80" i="118"/>
  <c r="C80" i="118"/>
  <c r="H80" i="118"/>
  <c r="K80" i="118"/>
  <c r="L80" i="118"/>
  <c r="M80" i="118"/>
  <c r="N80" i="118"/>
  <c r="P80" i="118"/>
  <c r="J81" i="118"/>
  <c r="E81" i="118"/>
  <c r="C81" i="118"/>
  <c r="H81" i="118"/>
  <c r="K81" i="118"/>
  <c r="L81" i="118"/>
  <c r="M81" i="118"/>
  <c r="N81" i="118"/>
  <c r="P81" i="118"/>
  <c r="J82" i="118"/>
  <c r="E82" i="118"/>
  <c r="C82" i="118"/>
  <c r="H82" i="118"/>
  <c r="K82" i="118"/>
  <c r="L82" i="118"/>
  <c r="M82" i="118"/>
  <c r="N82" i="118"/>
  <c r="P82" i="118"/>
  <c r="J83" i="118"/>
  <c r="E83" i="118"/>
  <c r="C83" i="118"/>
  <c r="H83" i="118"/>
  <c r="K83" i="118"/>
  <c r="L83" i="118"/>
  <c r="M83" i="118"/>
  <c r="N83" i="118"/>
  <c r="P83" i="118"/>
  <c r="J84" i="118"/>
  <c r="E84" i="118"/>
  <c r="C84" i="118"/>
  <c r="H84" i="118"/>
  <c r="K84" i="118"/>
  <c r="L84" i="118"/>
  <c r="M84" i="118"/>
  <c r="N84" i="118"/>
  <c r="P84" i="118"/>
  <c r="J85" i="118"/>
  <c r="E85" i="118"/>
  <c r="C85" i="118"/>
  <c r="H85" i="118"/>
  <c r="K85" i="118"/>
  <c r="L85" i="118"/>
  <c r="M85" i="118"/>
  <c r="N85" i="118"/>
  <c r="P85" i="118"/>
  <c r="J86" i="118"/>
  <c r="E86" i="118"/>
  <c r="C86" i="118"/>
  <c r="H86" i="118"/>
  <c r="K86" i="118"/>
  <c r="L86" i="118"/>
  <c r="M86" i="118"/>
  <c r="N86" i="118"/>
  <c r="P86" i="118"/>
  <c r="J87" i="118"/>
  <c r="E87" i="118"/>
  <c r="C87" i="118"/>
  <c r="H87" i="118"/>
  <c r="K87" i="118"/>
  <c r="L87" i="118"/>
  <c r="M87" i="118"/>
  <c r="N87" i="118"/>
  <c r="P87" i="118"/>
  <c r="J88" i="118"/>
  <c r="E88" i="118"/>
  <c r="C88" i="118"/>
  <c r="H88" i="118"/>
  <c r="K88" i="118"/>
  <c r="L88" i="118"/>
  <c r="M88" i="118"/>
  <c r="N88" i="118"/>
  <c r="P88" i="118"/>
  <c r="J89" i="118"/>
  <c r="E89" i="118"/>
  <c r="C89" i="118"/>
  <c r="H89" i="118"/>
  <c r="K89" i="118"/>
  <c r="L89" i="118"/>
  <c r="M89" i="118"/>
  <c r="N89" i="118"/>
  <c r="P89" i="118"/>
  <c r="J90" i="118"/>
  <c r="E90" i="118"/>
  <c r="C90" i="118"/>
  <c r="H90" i="118"/>
  <c r="K90" i="118"/>
  <c r="L90" i="118"/>
  <c r="M90" i="118"/>
  <c r="N90" i="118"/>
  <c r="P90" i="118"/>
  <c r="J91" i="118"/>
  <c r="E91" i="118"/>
  <c r="C91" i="118"/>
  <c r="H91" i="118"/>
  <c r="K91" i="118"/>
  <c r="L91" i="118"/>
  <c r="M91" i="118"/>
  <c r="N91" i="118"/>
  <c r="P91" i="118"/>
  <c r="J92" i="118"/>
  <c r="E92" i="118"/>
  <c r="C92" i="118"/>
  <c r="H92" i="118"/>
  <c r="K92" i="118"/>
  <c r="L92" i="118"/>
  <c r="M92" i="118"/>
  <c r="N92" i="118"/>
  <c r="P92" i="118"/>
  <c r="J93" i="118"/>
  <c r="E93" i="118"/>
  <c r="C93" i="118"/>
  <c r="H93" i="118"/>
  <c r="K93" i="118"/>
  <c r="L93" i="118"/>
  <c r="M93" i="118"/>
  <c r="N93" i="118"/>
  <c r="P93" i="118"/>
  <c r="J94" i="118"/>
  <c r="E94" i="118"/>
  <c r="C94" i="118"/>
  <c r="H94" i="118"/>
  <c r="K94" i="118"/>
  <c r="L94" i="118"/>
  <c r="M94" i="118"/>
  <c r="N94" i="118"/>
  <c r="P94" i="118"/>
  <c r="E3" i="118"/>
  <c r="E13" i="118"/>
  <c r="E12" i="118"/>
  <c r="E11" i="118"/>
  <c r="E10" i="118"/>
  <c r="E9" i="118"/>
  <c r="E8" i="118"/>
  <c r="E7" i="118"/>
  <c r="E6" i="118"/>
  <c r="E5" i="118"/>
  <c r="E4" i="118"/>
  <c r="E2" i="118"/>
  <c r="P13" i="118"/>
  <c r="N13" i="118"/>
  <c r="M13" i="118"/>
  <c r="L13" i="118"/>
  <c r="K13" i="118"/>
  <c r="J13" i="118"/>
  <c r="H13" i="118"/>
  <c r="C13" i="118"/>
  <c r="P12" i="118"/>
  <c r="N12" i="118"/>
  <c r="M12" i="118"/>
  <c r="L12" i="118"/>
  <c r="K12" i="118"/>
  <c r="J12" i="118"/>
  <c r="H12" i="118"/>
  <c r="C12" i="118"/>
  <c r="P11" i="118"/>
  <c r="N11" i="118"/>
  <c r="M11" i="118"/>
  <c r="L11" i="118"/>
  <c r="K11" i="118"/>
  <c r="J11" i="118"/>
  <c r="H11" i="118"/>
  <c r="C11" i="118"/>
  <c r="P10" i="118"/>
  <c r="N10" i="118"/>
  <c r="M10" i="118"/>
  <c r="L10" i="118"/>
  <c r="K10" i="118"/>
  <c r="J10" i="118"/>
  <c r="H10" i="118"/>
  <c r="C10" i="118"/>
  <c r="P9" i="118"/>
  <c r="N9" i="118"/>
  <c r="M9" i="118"/>
  <c r="L9" i="118"/>
  <c r="K9" i="118"/>
  <c r="J9" i="118"/>
  <c r="H9" i="118"/>
  <c r="C9" i="118"/>
  <c r="P8" i="118"/>
  <c r="N8" i="118"/>
  <c r="M8" i="118"/>
  <c r="L8" i="118"/>
  <c r="K8" i="118"/>
  <c r="J8" i="118"/>
  <c r="H8" i="118"/>
  <c r="C8" i="118"/>
  <c r="P7" i="118"/>
  <c r="N7" i="118"/>
  <c r="M7" i="118"/>
  <c r="L7" i="118"/>
  <c r="K7" i="118"/>
  <c r="J7" i="118"/>
  <c r="H7" i="118"/>
  <c r="C7" i="118"/>
  <c r="P6" i="118"/>
  <c r="N6" i="118"/>
  <c r="M6" i="118"/>
  <c r="L6" i="118"/>
  <c r="K6" i="118"/>
  <c r="J6" i="118"/>
  <c r="H6" i="118"/>
  <c r="C6" i="118"/>
  <c r="P5" i="118"/>
  <c r="N5" i="118"/>
  <c r="M5" i="118"/>
  <c r="L5" i="118"/>
  <c r="K5" i="118"/>
  <c r="J5" i="118"/>
  <c r="H5" i="118"/>
  <c r="C5" i="118"/>
  <c r="P4" i="118"/>
  <c r="N4" i="118"/>
  <c r="M4" i="118"/>
  <c r="L4" i="118"/>
  <c r="K4" i="118"/>
  <c r="J4" i="118"/>
  <c r="H4" i="118"/>
  <c r="C4" i="118"/>
  <c r="P3" i="118"/>
  <c r="N3" i="118"/>
  <c r="M3" i="118"/>
  <c r="L3" i="118"/>
  <c r="K3" i="118"/>
  <c r="J3" i="118"/>
  <c r="H3" i="118"/>
  <c r="C3" i="118"/>
  <c r="P2" i="118"/>
  <c r="N2" i="118"/>
  <c r="M2" i="118"/>
  <c r="L2" i="118"/>
  <c r="K2" i="118"/>
  <c r="J2" i="118"/>
  <c r="H2" i="118"/>
  <c r="C2" i="118"/>
  <c r="F280" i="117"/>
  <c r="F278" i="117"/>
  <c r="F279" i="117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132" i="117"/>
  <c r="F133" i="117"/>
  <c r="F134" i="117"/>
  <c r="F135" i="117"/>
  <c r="F136" i="117"/>
  <c r="F137" i="117"/>
  <c r="F138" i="117"/>
  <c r="F139" i="117"/>
  <c r="F140" i="117"/>
  <c r="F141" i="117"/>
  <c r="F142" i="117"/>
  <c r="F143" i="117"/>
  <c r="F144" i="117"/>
  <c r="F145" i="117"/>
  <c r="F146" i="117"/>
  <c r="F147" i="117"/>
  <c r="F148" i="117"/>
  <c r="F149" i="117"/>
  <c r="F150" i="117"/>
  <c r="F151" i="117"/>
  <c r="F152" i="117"/>
  <c r="F153" i="117"/>
  <c r="F154" i="117"/>
  <c r="F155" i="117"/>
  <c r="F156" i="117"/>
  <c r="F157" i="117"/>
  <c r="F158" i="117"/>
  <c r="F159" i="117"/>
  <c r="F160" i="117"/>
  <c r="F161" i="117"/>
  <c r="F162" i="117"/>
  <c r="F163" i="117"/>
  <c r="F164" i="117"/>
  <c r="F165" i="117"/>
  <c r="F166" i="117"/>
  <c r="F167" i="117"/>
  <c r="F168" i="117"/>
  <c r="F169" i="117"/>
  <c r="F170" i="117"/>
  <c r="F171" i="117"/>
  <c r="F172" i="117"/>
  <c r="F173" i="117"/>
  <c r="F174" i="117"/>
  <c r="F175" i="117"/>
  <c r="F176" i="117"/>
  <c r="F177" i="117"/>
  <c r="F178" i="117"/>
  <c r="F179" i="117"/>
  <c r="F180" i="117"/>
  <c r="F181" i="117"/>
  <c r="F182" i="117"/>
  <c r="F183" i="117"/>
  <c r="F184" i="117"/>
  <c r="F185" i="117"/>
  <c r="F186" i="117"/>
  <c r="F187" i="117"/>
  <c r="F188" i="117"/>
  <c r="F189" i="117"/>
  <c r="F190" i="117"/>
  <c r="F191" i="117"/>
  <c r="F192" i="117"/>
  <c r="F193" i="117"/>
  <c r="F194" i="117"/>
  <c r="F195" i="117"/>
  <c r="F196" i="117"/>
  <c r="F197" i="117"/>
  <c r="F198" i="117"/>
  <c r="F199" i="117"/>
  <c r="F200" i="117"/>
  <c r="F201" i="117"/>
  <c r="F202" i="117"/>
  <c r="F203" i="117"/>
  <c r="F204" i="117"/>
  <c r="F205" i="117"/>
  <c r="F206" i="117"/>
  <c r="F207" i="117"/>
  <c r="F208" i="117"/>
  <c r="F209" i="117"/>
  <c r="F210" i="117"/>
  <c r="F211" i="117"/>
  <c r="F212" i="117"/>
  <c r="F213" i="117"/>
  <c r="F214" i="117"/>
  <c r="F215" i="117"/>
  <c r="F216" i="117"/>
  <c r="F217" i="117"/>
  <c r="F218" i="117"/>
  <c r="F219" i="117"/>
  <c r="F220" i="117"/>
  <c r="F221" i="117"/>
  <c r="F222" i="117"/>
  <c r="F223" i="117"/>
  <c r="F224" i="117"/>
  <c r="F225" i="117"/>
  <c r="F226" i="117"/>
  <c r="F227" i="117"/>
  <c r="F228" i="117"/>
  <c r="F229" i="117"/>
  <c r="F230" i="117"/>
  <c r="F231" i="117"/>
  <c r="F232" i="117"/>
  <c r="F233" i="117"/>
  <c r="F234" i="117"/>
  <c r="F235" i="117"/>
  <c r="F236" i="117"/>
  <c r="F237" i="117"/>
  <c r="F238" i="117"/>
  <c r="F239" i="117"/>
  <c r="F240" i="117"/>
  <c r="F241" i="117"/>
  <c r="F242" i="117"/>
  <c r="F243" i="117"/>
  <c r="F244" i="117"/>
  <c r="F245" i="117"/>
  <c r="F246" i="117"/>
  <c r="F247" i="117"/>
  <c r="F248" i="117"/>
  <c r="F249" i="117"/>
  <c r="F250" i="117"/>
  <c r="F251" i="117"/>
  <c r="F252" i="117"/>
  <c r="F253" i="117"/>
  <c r="F254" i="117"/>
  <c r="F255" i="117"/>
  <c r="F256" i="117"/>
  <c r="F257" i="117"/>
  <c r="F258" i="117"/>
  <c r="F259" i="117"/>
  <c r="F260" i="117"/>
  <c r="F261" i="117"/>
  <c r="F262" i="117"/>
  <c r="F263" i="117"/>
  <c r="F264" i="117"/>
  <c r="F265" i="117"/>
  <c r="F266" i="117"/>
  <c r="F267" i="117"/>
  <c r="F268" i="117"/>
  <c r="F269" i="117"/>
  <c r="F270" i="117"/>
  <c r="F271" i="117"/>
  <c r="F272" i="117"/>
  <c r="F273" i="117"/>
  <c r="F274" i="117"/>
  <c r="F275" i="117"/>
  <c r="F276" i="117"/>
  <c r="F277" i="117"/>
  <c r="E31" i="116"/>
  <c r="G31" i="116"/>
  <c r="H31" i="116"/>
  <c r="E30" i="116"/>
  <c r="G30" i="116"/>
  <c r="H30" i="116"/>
  <c r="P280" i="117"/>
  <c r="N280" i="117"/>
  <c r="M280" i="117"/>
  <c r="L280" i="117"/>
  <c r="K280" i="117"/>
  <c r="H280" i="117"/>
  <c r="A280" i="117"/>
  <c r="P279" i="117"/>
  <c r="N279" i="117"/>
  <c r="M279" i="117"/>
  <c r="L279" i="117"/>
  <c r="K279" i="117"/>
  <c r="H279" i="117"/>
  <c r="A279" i="117"/>
  <c r="P278" i="117"/>
  <c r="N278" i="117"/>
  <c r="M278" i="117"/>
  <c r="L278" i="117"/>
  <c r="K278" i="117"/>
  <c r="H278" i="117"/>
  <c r="A278" i="117"/>
  <c r="F30" i="116"/>
  <c r="F31" i="116"/>
  <c r="P277" i="117"/>
  <c r="B10" i="106"/>
  <c r="E6" i="106"/>
  <c r="Q3" i="106"/>
  <c r="Q4" i="106"/>
  <c r="Q5" i="106"/>
  <c r="Q6" i="106"/>
  <c r="E19" i="106"/>
  <c r="B19" i="106"/>
  <c r="E5" i="106"/>
  <c r="E24" i="106"/>
  <c r="B24" i="106"/>
  <c r="B17" i="106"/>
  <c r="E18" i="106"/>
  <c r="B18" i="106"/>
  <c r="E20" i="106"/>
  <c r="B20" i="106"/>
  <c r="E21" i="106"/>
  <c r="B21" i="106"/>
  <c r="E26" i="106"/>
  <c r="B26" i="106"/>
  <c r="E28" i="106"/>
  <c r="B28" i="106"/>
  <c r="B29" i="106"/>
  <c r="V6" i="106"/>
  <c r="B23" i="106"/>
  <c r="B22" i="106"/>
  <c r="E25" i="106"/>
  <c r="B25" i="106"/>
  <c r="E27" i="106"/>
  <c r="B27" i="106"/>
  <c r="B32" i="106"/>
  <c r="A2" i="106"/>
  <c r="A272" i="82"/>
  <c r="F272" i="82"/>
  <c r="H272" i="82"/>
  <c r="K272" i="82"/>
  <c r="L272" i="82"/>
  <c r="M272" i="82"/>
  <c r="N272" i="82"/>
  <c r="F273" i="82"/>
  <c r="F274" i="82"/>
  <c r="F275" i="82"/>
  <c r="F276" i="82"/>
  <c r="F277" i="82"/>
  <c r="F271" i="82"/>
  <c r="G29" i="106"/>
  <c r="E29" i="106"/>
  <c r="H29" i="106"/>
  <c r="O272" i="82"/>
  <c r="G17" i="106"/>
  <c r="E17" i="106"/>
  <c r="H17" i="106"/>
  <c r="O2" i="82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R3" i="106"/>
  <c r="O66" i="82"/>
  <c r="R4" i="106"/>
  <c r="O67" i="82"/>
  <c r="R5" i="106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R6" i="106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E22" i="106"/>
  <c r="H22" i="106"/>
  <c r="O266" i="82"/>
  <c r="G23" i="106"/>
  <c r="E23" i="106"/>
  <c r="H23" i="106"/>
  <c r="O267" i="82"/>
  <c r="O268" i="82"/>
  <c r="O269" i="82"/>
  <c r="O270" i="82"/>
  <c r="O271" i="82"/>
  <c r="O273" i="82"/>
  <c r="O274" i="82"/>
  <c r="O275" i="82"/>
  <c r="O276" i="82"/>
  <c r="O277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I31" i="116"/>
  <c r="J31" i="116"/>
  <c r="D31" i="116"/>
  <c r="I30" i="116"/>
  <c r="J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V5" i="116"/>
  <c r="P5" i="116"/>
  <c r="M5" i="116"/>
  <c r="V4" i="116"/>
  <c r="P4" i="116"/>
  <c r="M4" i="116"/>
  <c r="V3" i="116"/>
  <c r="P3" i="116"/>
  <c r="M3" i="116"/>
  <c r="V2" i="116"/>
  <c r="F27" i="106"/>
  <c r="G30" i="106"/>
  <c r="G31" i="106"/>
  <c r="V3" i="106"/>
  <c r="V4" i="106"/>
  <c r="V5" i="106"/>
  <c r="V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<sst xmlns="http://schemas.openxmlformats.org/spreadsheetml/2006/main" count="448" uniqueCount="242">
  <si>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</si>
  <si>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</si>
  <si>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</si>
  <si>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</si>
  <si>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</si>
  <si>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</si>
  <si>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</si>
  <si>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</si>
  <si>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</si>
  <si>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</si>
  <si>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</si>
  <si>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</si>
  <si>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</si>
  <si>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</si>
  <si>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</si>
  <si>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</si>
  <si>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</si>
  <si>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</si>
  <si>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</si>
  <si>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</si>
  <si>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</si>
  <si>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</si>
  <si>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</si>
  <si>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</si>
  <si>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</si>
  <si>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</si>
  <si>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</si>
  <si>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</si>
  <si>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</si>
  <si>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</si>
  <si>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</si>
  <si>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</si>
  <si>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</si>
  <si>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</si>
  <si>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</si>
  <si>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</si>
  <si>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</si>
  <si>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</si>
  <si>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</si>
  <si>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weight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</si>
  <si>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</si>
  <si>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</si>
  <si>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</si>
  <si>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</si>
  <si>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</si>
  <si>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</si>
  <si>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</si>
  <si>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</si>
  <si>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</si>
  <si>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</si>
  <si>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</si>
  <si>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</si>
  <si>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</si>
  <si>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</si>
  <si>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skip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</si>
  <si>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</si>
  <si>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</si>
  <si>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</si>
  <si>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</si>
  <si>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hogehoge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</si>
  <si>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</si>
  <si>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</si>
  <si>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</si>
  <si>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</si>
  <si>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</si>
  <si>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</si>
  <si>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</si>
  <si>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</si>
  <si>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</si>
  <si>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</si>
  <si>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</si>
  <si>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</si>
  <si>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</si>
  <si>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</si>
  <si>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</si>
  <si>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</si>
  <si>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</si>
  <si>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</si>
  <si>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</si>
  <si>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確率</t>
    <rPh sb="0" eb="2">
      <t>カクリツ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</si>
  <si>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</si>
  <si>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</si>
  <si>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</si>
  <si>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</si>
  <si>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</si>
  <si>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</si>
  <si>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</si>
  <si>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</si>
  <si>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</si>
  <si>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</si>
  <si>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</si>
  <si>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</si>
  <si>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</si>
  <si>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</si>
  <si>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</si>
  <si>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</si>
  <si>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</si>
  <si>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</si>
  <si>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</si>
  <si>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ja</t>
    <phoneticPr fontId="21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</si>
  <si>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</si>
  <si>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</si>
  <si>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</si>
  <si>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</si>
  <si>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</si>
  <si>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</si>
  <si>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</si>
  <si>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</si>
  <si>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</si>
  <si>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</si>
  <si>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</si>
  <si>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</si>
  <si>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</si>
  <si>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</si>
  <si>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</si>
  <si>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PremiumSS4</t>
    <phoneticPr fontId="21"/>
  </si>
  <si>
    <t>PremiumSSS4</t>
    <phoneticPr fontId="21"/>
  </si>
  <si>
    <t>PremiumSS5</t>
    <phoneticPr fontId="21"/>
  </si>
  <si>
    <t>PremiumSSS5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</si>
  <si>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</si>
  <si>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</si>
  <si>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</si>
  <si>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</si>
  <si>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</si>
  <si>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</si>
  <si>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</si>
  <si>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</si>
  <si>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</si>
  <si>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</si>
  <si>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</si>
  <si>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</si>
  <si>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</si>
  <si>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</si>
  <si>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</si>
  <si>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</si>
  <si>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</si>
  <si>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</si>
  <si>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</si>
  <si>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</si>
  <si>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</si>
  <si>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</si>
  <si>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</si>
  <si>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</si>
  <si>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</si>
  <si>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</si>
  <si>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</si>
  <si>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</si>
  <si>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</si>
  <si>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</si>
  <si>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</si>
  <si>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</si>
  <si>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</si>
  <si>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</si>
  <si>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</si>
  <si>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</si>
  <si>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</si>
  <si>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</si>
  <si>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</si>
  <si>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</si>
  <si>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</si>
  <si>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</si>
  <si>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</si>
  <si>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</si>
  <si>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</si>
  <si>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</si>
  <si>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</si>
  <si>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</si>
  <si>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</si>
  <si>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</si>
  <si>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</si>
  <si>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</si>
  <si>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</si>
  <si>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</si>
  <si>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</si>
  <si>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</si>
  <si>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</si>
  <si>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</si>
  <si>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</si>
  <si>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</si>
  <si>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</si>
  <si>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</si>
  <si>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</si>
  <si>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</si>
  <si>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</si>
  <si>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</si>
  <si>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</si>
  <si>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</si>
  <si>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</si>
  <si>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</si>
  <si>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</si>
  <si>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</si>
  <si>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</si>
  <si>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</si>
  <si>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</si>
  <si>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</si>
  <si>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</si>
  <si>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</si>
  <si>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</si>
  <si>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</si>
  <si>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</si>
  <si>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</si>
  <si>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</si>
  <si>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</si>
  <si>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</si>
  <si>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</si>
  <si>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</si>
  <si>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</si>
  <si>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</si>
  <si>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</si>
  <si>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</si>
  <si>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</si>
  <si>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</si>
  <si>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</si>
  <si>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</si>
  <si>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</si>
  <si>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</si>
  <si>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</si>
  <si>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weight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</si>
  <si>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</si>
  <si>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</si>
  <si>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</si>
  <si>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</si>
  <si>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</si>
  <si>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old</t>
    <phoneticPr fontId="21"/>
  </si>
  <si>
    <t>tables_339010</t>
    <phoneticPr fontId="21"/>
  </si>
  <si>
    <t>skip</t>
    <phoneticPr fontId="21"/>
  </si>
  <si>
    <t>character_id</t>
    <phoneticPr fontId="21"/>
  </si>
  <si>
    <t>drop_label2</t>
    <phoneticPr fontId="21"/>
  </si>
  <si>
    <t>color2</t>
    <phoneticPr fontId="21"/>
  </si>
  <si>
    <t>name</t>
    <phoneticPr fontId="21"/>
  </si>
  <si>
    <t>drop_label</t>
    <phoneticPr fontId="21"/>
  </si>
  <si>
    <t>rare</t>
    <phoneticPr fontId="21"/>
  </si>
  <si>
    <t>color</t>
    <phoneticPr fontId="21"/>
  </si>
  <si>
    <t>character_type_id</t>
    <phoneticPr fontId="21"/>
  </si>
  <si>
    <t>character_tribe_id</t>
    <phoneticPr fontId="21"/>
  </si>
  <si>
    <t>weight</t>
    <phoneticPr fontId="21"/>
  </si>
  <si>
    <t>unit_level</t>
    <phoneticPr fontId="21"/>
  </si>
  <si>
    <t>old</t>
    <phoneticPr fontId="21"/>
  </si>
  <si>
    <t>gacha_settle_tables_</t>
    <phoneticPr fontId="21"/>
  </si>
  <si>
    <t>フェス確率</t>
    <phoneticPr fontId="21"/>
  </si>
  <si>
    <t>tables_345100</t>
    <phoneticPr fontId="21"/>
  </si>
  <si>
    <t>tables_settle_345100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</si>
</sst>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7" fillId="0" borderId="0"/>
    <xf numFmtId="0" fontId="3" fillId="0" borderId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3036" applyFont="1" applyBorder="1"/>
    <xf numFmtId="0" fontId="10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6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6" fillId="25" borderId="0" xfId="2" applyFont="1" applyFill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26" fillId="2" borderId="1" xfId="3663" applyFont="1" applyFill="1" applyBorder="1" applyAlignment="1">
      <alignment horizontal="left" vertical="center"/>
    </xf>
    <xf numFmtId="0" fontId="26" fillId="2" borderId="1" xfId="3663" applyFont="1" applyFill="1" applyBorder="1" applyAlignment="1">
      <alignment horizontal="center" vertical="center"/>
    </xf>
    <xf numFmtId="0" fontId="26" fillId="3" borderId="1" xfId="3663" applyFont="1" applyFill="1" applyBorder="1" applyAlignment="1">
      <alignment horizontal="center" vertical="center"/>
    </xf>
    <xf numFmtId="0" fontId="26" fillId="0" borderId="0" xfId="3663" applyFont="1" applyAlignment="1">
      <alignment vertical="center"/>
    </xf>
    <xf numFmtId="0" fontId="26" fillId="0" borderId="1" xfId="3663" applyFont="1" applyBorder="1" applyAlignment="1">
      <alignment vertical="center"/>
    </xf>
    <xf numFmtId="0" fontId="26" fillId="3" borderId="1" xfId="3663" applyFont="1" applyFill="1" applyBorder="1" applyAlignment="1">
      <alignment vertical="center"/>
    </xf>
    <xf numFmtId="0" fontId="26" fillId="0" borderId="0" xfId="3663" applyFont="1" applyAlignment="1">
      <alignment horizontal="center" vertical="center"/>
    </xf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3" fillId="2" borderId="1" xfId="19" applyFon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2 3" xfId="3663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G17" sqref="G1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3" t="s">
        <v>119</v>
      </c>
      <c r="C2" s="52" t="str">
        <f>RIGHT(F2,6)</f>
        <v>339010</v>
      </c>
      <c r="D2" s="19" t="s">
        <v>46</v>
      </c>
      <c r="E2" s="17" t="str">
        <f t="shared" ref="E2:E7" si="0">B2&amp;C2&amp;D2</f>
        <v>gacha_select_tables_339010.tmp</v>
      </c>
      <c r="F2" s="84" t="s">
        <v>224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223</v>
      </c>
      <c r="B3" s="63" t="s">
        <v>119</v>
      </c>
      <c r="C3" s="52" t="str">
        <f>RIGHT(F3,6)</f>
        <v>345100</v>
      </c>
      <c r="D3" s="19" t="s">
        <v>46</v>
      </c>
      <c r="E3" s="17" t="str">
        <f t="shared" si="0"/>
        <v>gacha_select_tables_345100.tmp</v>
      </c>
      <c r="F3" s="97" t="s">
        <v>240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237</v>
      </c>
      <c r="B4" s="94" t="s">
        <v>238</v>
      </c>
      <c r="C4" s="95" t="str">
        <f>RIGHT(F4,6)</f>
        <v>345100</v>
      </c>
      <c r="D4" s="19" t="s">
        <v>46</v>
      </c>
      <c r="E4" s="17" t="str">
        <f t="shared" si="0"/>
        <v>gacha_settle_tables_345100.tmp</v>
      </c>
      <c r="F4" s="97" t="s">
        <v>241</v>
      </c>
      <c r="G4" s="96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N9" sqref="N3:N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378</v>
      </c>
      <c r="M3" s="39" t="str">
        <f>VLOOKUP(L3,[1]characters!$A:$C,3,FALSE)</f>
        <v>オイラー</v>
      </c>
      <c r="N3" s="65">
        <f>0.0055*0.1</f>
        <v>5.5000000000000003E-4</v>
      </c>
      <c r="O3" s="39">
        <f>VLOOKUP(L3,[1]characters!$A:$I,9,FALSE)</f>
        <v>4</v>
      </c>
      <c r="P3" s="39" t="str">
        <f>VLOOKUP(L3,[1]characters!$A:$J,10,FALSE)</f>
        <v>PremiumSSS</v>
      </c>
      <c r="Q3" s="39" t="e">
        <f>VLOOKUP(L3,tables_339010!B:C,2,FALSE)</f>
        <v>#N/A</v>
      </c>
      <c r="R3" s="64">
        <f t="shared" ref="R3:R6" si="0">N3*A$36</f>
        <v>668.80000000000007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379</v>
      </c>
      <c r="M4" s="39" t="str">
        <f>VLOOKUP(L4,[1]characters!$A:$C,3,FALSE)</f>
        <v>幾何の機刃 オイラー</v>
      </c>
      <c r="N4" s="65">
        <f>0.0055*0.9</f>
        <v>4.9499999999999995E-3</v>
      </c>
      <c r="O4" s="39">
        <f>VLOOKUP(L4,[1]characters!$A:$I,9,FALSE)</f>
        <v>5</v>
      </c>
      <c r="P4" s="39" t="str">
        <f>VLOOKUP(L4,[1]characters!$A:$J,10,FALSE)</f>
        <v>PremiumSSS</v>
      </c>
      <c r="Q4" s="39" t="e">
        <f>VLOOKUP(L4,tables_339010!B:C,2,FALSE)</f>
        <v>#N/A</v>
      </c>
      <c r="R4" s="64">
        <f t="shared" si="0"/>
        <v>6019.2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1.25E-3</v>
      </c>
      <c r="F5">
        <f>(COUNTIF(tables_339010!C:C,input_339010!A26)+COUNTIF(tables_339010!C:C,input_339010!A28)+COUNTIF(tables_339010!C:C,input_339010!A29))</f>
        <v>36</v>
      </c>
      <c r="H5" s="78">
        <v>0.01</v>
      </c>
      <c r="I5" s="31">
        <v>4</v>
      </c>
      <c r="L5" s="83">
        <v>688</v>
      </c>
      <c r="M5" s="39" t="str">
        <f>VLOOKUP(L5,[1]characters!$A:$C,3,FALSE)</f>
        <v>ユークリッド</v>
      </c>
      <c r="N5" s="65">
        <f>0.0015*0.1</f>
        <v>1.5000000000000001E-4</v>
      </c>
      <c r="O5" s="39">
        <f>VLOOKUP(L5,[1]characters!$A:$I,9,FALSE)</f>
        <v>4</v>
      </c>
      <c r="P5" s="39" t="str">
        <f>VLOOKUP(L5,[1]characters!$A:$J,10,FALSE)</f>
        <v>PremiumSSS</v>
      </c>
      <c r="Q5" s="39" t="e">
        <f>VLOOKUP(L5,tables_339010!B:C,2,FALSE)</f>
        <v>#N/A</v>
      </c>
      <c r="R5" s="64">
        <f t="shared" si="0"/>
        <v>182.4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1.2368421052631579E-2</v>
      </c>
      <c r="F6">
        <f>(COUNTIF(tables_339010!C:C,input_339010!A18)+COUNTIF(tables_339010!C:C,input_339010!A20)+COUNTIF(tables_339010!C:C,input_339010!A22))</f>
        <v>76</v>
      </c>
      <c r="H6" s="78">
        <v>0</v>
      </c>
      <c r="I6" s="31">
        <v>0</v>
      </c>
      <c r="L6" s="83">
        <v>689</v>
      </c>
      <c r="M6" s="39" t="str">
        <f>VLOOKUP(L6,[1]characters!$A:$C,3,FALSE)</f>
        <v>根原論理 ユークリッド</v>
      </c>
      <c r="N6" s="65">
        <f>0.0015*0.9</f>
        <v>1.3500000000000001E-3</v>
      </c>
      <c r="O6" s="39">
        <f>VLOOKUP(L6,[1]characters!$A:$I,9,FALSE)</f>
        <v>5</v>
      </c>
      <c r="P6" s="39" t="str">
        <f>VLOOKUP(L6,[1]characters!$A:$J,10,FALSE)</f>
        <v>PremiumSSS</v>
      </c>
      <c r="Q6" s="39" t="e">
        <f>VLOOKUP(L6,tables_339010!B:C,2,FALSE)</f>
        <v>#N/A</v>
      </c>
      <c r="R6" s="64">
        <f t="shared" si="0"/>
        <v>1641.6000000000001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L7" s="83">
        <v>760</v>
      </c>
      <c r="M7" s="39" t="str">
        <f>VLOOKUP(L7,[1]characters!$A:$C,3,FALSE)</f>
        <v>限論顕現 クロネッカー</v>
      </c>
      <c r="N7" s="65">
        <f>0.0015</f>
        <v>1.5E-3</v>
      </c>
      <c r="O7" s="39">
        <f>VLOOKUP(L7,[1]characters!$A:$I,9,FALSE)</f>
        <v>5</v>
      </c>
      <c r="P7" s="39" t="str">
        <f>VLOOKUP(L7,[1]characters!$A:$J,10,FALSE)</f>
        <v>PremiumSSS</v>
      </c>
      <c r="Q7" s="39" t="e">
        <f>VLOOKUP(L7,tables_339010!B:C,2,FALSE)</f>
        <v>#N/A</v>
      </c>
      <c r="R7" s="64">
        <f t="shared" ref="R7:R9" si="2">N7*A$36</f>
        <v>1824</v>
      </c>
      <c r="S7">
        <v>596</v>
      </c>
      <c r="U7" s="34"/>
      <c r="V7" s="56"/>
    </row>
    <row r="8" spans="1:22" x14ac:dyDescent="0.15">
      <c r="A8" s="59"/>
      <c r="B8" s="75"/>
      <c r="L8" s="83">
        <v>484</v>
      </c>
      <c r="M8" s="39" t="str">
        <f>VLOOKUP(L8,[1]characters!$A:$C,3,FALSE)</f>
        <v>ラグランジュ</v>
      </c>
      <c r="N8" s="65">
        <f>0.0015*0.1</f>
        <v>1.5000000000000001E-4</v>
      </c>
      <c r="O8" s="39">
        <f>VLOOKUP(L8,[1]characters!$A:$I,9,FALSE)</f>
        <v>4</v>
      </c>
      <c r="P8" s="39" t="str">
        <f>VLOOKUP(L8,[1]characters!$A:$J,10,FALSE)</f>
        <v>PremiumSSS</v>
      </c>
      <c r="Q8" s="39" t="e">
        <f>VLOOKUP(L8,tables_339010!B:C,2,FALSE)</f>
        <v>#N/A</v>
      </c>
      <c r="R8" s="64">
        <f t="shared" si="2"/>
        <v>182.4</v>
      </c>
      <c r="S8">
        <v>596</v>
      </c>
      <c r="U8" s="34"/>
      <c r="V8" s="56"/>
    </row>
    <row r="9" spans="1:22" x14ac:dyDescent="0.15">
      <c r="A9" s="37" t="s">
        <v>56</v>
      </c>
      <c r="B9" s="37"/>
      <c r="L9" s="83">
        <v>485</v>
      </c>
      <c r="M9" s="39" t="str">
        <f>VLOOKUP(L9,[1]characters!$A:$C,3,FALSE)</f>
        <v>超越自我 ラグランジュ</v>
      </c>
      <c r="N9" s="65">
        <f>0.0015*0.9</f>
        <v>1.3500000000000001E-3</v>
      </c>
      <c r="O9" s="39">
        <f>VLOOKUP(L9,[1]characters!$A:$I,9,FALSE)</f>
        <v>5</v>
      </c>
      <c r="P9" s="39" t="str">
        <f>VLOOKUP(L9,[1]characters!$A:$J,10,FALSE)</f>
        <v>PremiumSSS</v>
      </c>
      <c r="Q9" s="39" t="e">
        <f>VLOOKUP(L9,tables_339010!B:C,2,FALSE)</f>
        <v>#N/A</v>
      </c>
      <c r="R9" s="64">
        <f t="shared" si="2"/>
        <v>1641.6000000000001</v>
      </c>
      <c r="S9">
        <v>596</v>
      </c>
      <c r="U9" s="34"/>
      <c r="V9" s="56"/>
    </row>
    <row r="10" spans="1:22" x14ac:dyDescent="0.15">
      <c r="A10" s="34" t="s">
        <v>101</v>
      </c>
      <c r="B10" s="76">
        <f>1-B11-B12-B8</f>
        <v>0.94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0.05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0.17592105263157892</v>
      </c>
      <c r="C17" s="79">
        <f t="shared" ref="C17:C31" si="3">SUMIF(Q:Q,A17,N:N)</f>
        <v>0</v>
      </c>
      <c r="D17" s="80">
        <f t="shared" ref="D17:D26" si="4">B17-C17</f>
        <v>0.17592105263157892</v>
      </c>
      <c r="E17">
        <f>COUNTIF(tables_339010!C:C,input_339010!A17)-COUNTIF(Q:Q,A17)</f>
        <v>20</v>
      </c>
      <c r="F17" s="45">
        <f>IFERROR(B17/E17,0)</f>
        <v>8.7960526315789458E-3</v>
      </c>
      <c r="G17">
        <f>A$36*B17</f>
        <v>213919.99999999997</v>
      </c>
      <c r="H17">
        <f t="shared" ref="H17:H26" si="5">IFERROR(ROUND(G17/E17,5),0)</f>
        <v>10696</v>
      </c>
      <c r="I17">
        <f t="shared" ref="I17:I31" si="6">MOD(H17,1)</f>
        <v>0</v>
      </c>
      <c r="J17">
        <f t="shared" ref="J17:J26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7.1447368421052648E-2</v>
      </c>
      <c r="C18" s="79">
        <f t="shared" si="3"/>
        <v>0</v>
      </c>
      <c r="D18" s="80">
        <f t="shared" si="4"/>
        <v>7.1447368421052648E-2</v>
      </c>
      <c r="E18">
        <f>COUNTIF(tables_339010!C:C,input_339010!A18)-COUNTIF(Q:Q,A18)</f>
        <v>20</v>
      </c>
      <c r="F18" s="45">
        <f t="shared" ref="F18:F31" si="8">IFERROR(B18/E18,0)</f>
        <v>3.5723684210526322E-3</v>
      </c>
      <c r="G18">
        <f t="shared" ref="G18:G31" si="9">A$36*B18</f>
        <v>86880.000000000015</v>
      </c>
      <c r="H18">
        <f t="shared" si="5"/>
        <v>4344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0.32157894736842108</v>
      </c>
      <c r="C19" s="79">
        <f t="shared" si="3"/>
        <v>0</v>
      </c>
      <c r="D19" s="80">
        <f t="shared" si="4"/>
        <v>0.32157894736842108</v>
      </c>
      <c r="E19">
        <f>COUNTIF(tables_339010!C:C,input_339010!A19)-COUNTIF(Q:Q,A19)</f>
        <v>52</v>
      </c>
      <c r="F19" s="45">
        <f t="shared" si="8"/>
        <v>6.1842105263157903E-3</v>
      </c>
      <c r="G19">
        <f t="shared" si="9"/>
        <v>391040</v>
      </c>
      <c r="H19">
        <f t="shared" si="5"/>
        <v>7520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0.28942105263157897</v>
      </c>
      <c r="C20" s="79">
        <f t="shared" si="3"/>
        <v>0</v>
      </c>
      <c r="D20" s="80">
        <f t="shared" si="4"/>
        <v>0.28942105263157897</v>
      </c>
      <c r="E20">
        <f>COUNTIF(tables_339010!C:C,input_339010!A20)-COUNTIF(Q:Q,A20)</f>
        <v>52</v>
      </c>
      <c r="F20" s="45">
        <f t="shared" si="8"/>
        <v>5.5657894736842106E-3</v>
      </c>
      <c r="G20">
        <f t="shared" si="9"/>
        <v>351936</v>
      </c>
      <c r="H20">
        <f t="shared" si="5"/>
        <v>6768</v>
      </c>
      <c r="I20">
        <f t="shared" si="6"/>
        <v>0</v>
      </c>
      <c r="J20">
        <f t="shared" si="7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3.2157894736842108E-2</v>
      </c>
      <c r="C21" s="79">
        <f t="shared" si="3"/>
        <v>0</v>
      </c>
      <c r="D21" s="80">
        <f t="shared" si="4"/>
        <v>3.2157894736842108E-2</v>
      </c>
      <c r="E21">
        <f>COUNTIF(tables_339010!C:C,input_339010!A21)-COUNTIF(Q:Q,A21)</f>
        <v>52</v>
      </c>
      <c r="F21" s="45">
        <f t="shared" si="8"/>
        <v>6.1842105263157897E-4</v>
      </c>
      <c r="G21">
        <f t="shared" si="9"/>
        <v>39104</v>
      </c>
      <c r="H21">
        <f t="shared" si="5"/>
        <v>752</v>
      </c>
      <c r="I21">
        <f t="shared" si="6"/>
        <v>0</v>
      </c>
      <c r="J21">
        <f t="shared" si="7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E6*COUNTIF(tables_339010!C:C,input_339010!A22)-B23</f>
        <v>3.863157894736842E-2</v>
      </c>
      <c r="C22" s="79">
        <f t="shared" si="3"/>
        <v>0</v>
      </c>
      <c r="D22" s="80">
        <f t="shared" si="4"/>
        <v>3.863157894736842E-2</v>
      </c>
      <c r="E22">
        <f>COUNTIF(tables_339010!C:C,input_339010!A22)-COUNTIF(Q:Q,A22)</f>
        <v>4</v>
      </c>
      <c r="F22" s="45">
        <f t="shared" si="8"/>
        <v>9.6578947368421049E-3</v>
      </c>
      <c r="G22">
        <f t="shared" si="9"/>
        <v>46976</v>
      </c>
      <c r="H22">
        <f t="shared" si="5"/>
        <v>11744</v>
      </c>
      <c r="I22">
        <f t="shared" si="6"/>
        <v>0</v>
      </c>
      <c r="J22">
        <f t="shared" si="7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1.0842105263157896E-2</v>
      </c>
      <c r="C23" s="79">
        <f t="shared" si="3"/>
        <v>0</v>
      </c>
      <c r="D23" s="80">
        <f t="shared" si="4"/>
        <v>1.0842105263157896E-2</v>
      </c>
      <c r="E23">
        <f>COUNTIF(tables_339010!C:C,input_339010!A23)-COUNTIF(Q:Q,A23)</f>
        <v>4</v>
      </c>
      <c r="F23" s="45">
        <f t="shared" si="8"/>
        <v>2.710526315789474E-3</v>
      </c>
      <c r="G23">
        <f t="shared" si="9"/>
        <v>13184.000000000002</v>
      </c>
      <c r="H23">
        <f t="shared" si="5"/>
        <v>3296</v>
      </c>
      <c r="I23">
        <f t="shared" si="6"/>
        <v>0</v>
      </c>
      <c r="J23">
        <f t="shared" si="7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2.5000000000000001E-3</v>
      </c>
      <c r="C24" s="79">
        <f t="shared" si="3"/>
        <v>0</v>
      </c>
      <c r="D24" s="80">
        <f t="shared" si="4"/>
        <v>2.5000000000000001E-3</v>
      </c>
      <c r="E24">
        <f>COUNTIF(tables_339010!C:C,input_339010!A24)-COUNTIF(Q:Q,A24)</f>
        <v>4</v>
      </c>
      <c r="F24" s="45">
        <f t="shared" si="8"/>
        <v>6.2500000000000001E-4</v>
      </c>
      <c r="G24">
        <f t="shared" si="9"/>
        <v>3040</v>
      </c>
      <c r="H24">
        <f t="shared" si="5"/>
        <v>760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2.2500000000000003E-3</v>
      </c>
      <c r="C25" s="79">
        <f t="shared" si="3"/>
        <v>0</v>
      </c>
      <c r="D25" s="80">
        <f t="shared" si="4"/>
        <v>2.2500000000000003E-3</v>
      </c>
      <c r="E25">
        <f>COUNTIF(tables_339010!C:C,input_339010!A25)-COUNTIF(Q:Q,A25)</f>
        <v>4</v>
      </c>
      <c r="F25" s="45">
        <f t="shared" si="8"/>
        <v>5.6250000000000007E-4</v>
      </c>
      <c r="G25">
        <f t="shared" si="9"/>
        <v>2736.0000000000005</v>
      </c>
      <c r="H25">
        <f t="shared" si="5"/>
        <v>684</v>
      </c>
      <c r="I25">
        <f t="shared" si="6"/>
        <v>0</v>
      </c>
      <c r="J25">
        <f t="shared" si="7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2.5000000000000001E-4</v>
      </c>
      <c r="C26" s="79">
        <f t="shared" si="3"/>
        <v>0</v>
      </c>
      <c r="D26" s="80">
        <f t="shared" si="4"/>
        <v>2.5000000000000001E-4</v>
      </c>
      <c r="E26">
        <f>COUNTIF(tables_339010!C:C,input_339010!A26)-COUNTIF(Q:Q,A26)</f>
        <v>4</v>
      </c>
      <c r="F26" s="45">
        <f t="shared" si="8"/>
        <v>6.2500000000000001E-5</v>
      </c>
      <c r="G26">
        <f t="shared" si="9"/>
        <v>304</v>
      </c>
      <c r="H26">
        <f t="shared" si="5"/>
        <v>76</v>
      </c>
      <c r="I26">
        <f t="shared" si="6"/>
        <v>0</v>
      </c>
      <c r="J26">
        <f t="shared" si="7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3.3250000000000002E-2</v>
      </c>
      <c r="C27" s="79">
        <f t="shared" si="3"/>
        <v>0</v>
      </c>
      <c r="D27" s="80">
        <f t="shared" ref="D27:D29" si="10">B27-C27</f>
        <v>3.3250000000000002E-2</v>
      </c>
      <c r="E27">
        <f>COUNTIF(tables_339010!C:C,input_339010!A27)-COUNTIF(Q:Q,A27)</f>
        <v>28</v>
      </c>
      <c r="F27" s="45">
        <f>IFERROR(B27/E27,0)</f>
        <v>1.1875E-3</v>
      </c>
      <c r="G27">
        <f t="shared" si="9"/>
        <v>40432</v>
      </c>
      <c r="H27">
        <f t="shared" ref="H27:H29" si="11">IFERROR(ROUND(G27/E27,5),0)</f>
        <v>1444</v>
      </c>
      <c r="I27">
        <f t="shared" si="6"/>
        <v>0</v>
      </c>
      <c r="J27">
        <f t="shared" ref="J27:J29" si="12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1.7500000000000003E-3</v>
      </c>
      <c r="C28" s="79">
        <f t="shared" si="3"/>
        <v>0</v>
      </c>
      <c r="D28" s="80">
        <f t="shared" si="10"/>
        <v>1.7500000000000003E-3</v>
      </c>
      <c r="E28">
        <f>COUNTIF(tables_339010!C:C,input_339010!A28)-COUNTIF(Q:Q,A28)</f>
        <v>28</v>
      </c>
      <c r="F28" s="45">
        <f t="shared" si="8"/>
        <v>6.2500000000000015E-5</v>
      </c>
      <c r="G28">
        <f t="shared" si="9"/>
        <v>2128.0000000000005</v>
      </c>
      <c r="H28">
        <f t="shared" si="11"/>
        <v>76</v>
      </c>
      <c r="I28">
        <f t="shared" si="6"/>
        <v>0</v>
      </c>
      <c r="J28">
        <f t="shared" si="12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E5*COUNTIF(tables_339010!C:C,input_339010!A29)</f>
        <v>5.0000000000000001E-3</v>
      </c>
      <c r="C29" s="79">
        <f t="shared" si="3"/>
        <v>0</v>
      </c>
      <c r="D29" s="80">
        <f t="shared" si="10"/>
        <v>5.0000000000000001E-3</v>
      </c>
      <c r="E29">
        <f>COUNTIF(tables_339010!C:C,input_339010!A29)-COUNTIF(Q:Q,A29)</f>
        <v>4</v>
      </c>
      <c r="F29" s="45">
        <f t="shared" si="8"/>
        <v>1.25E-3</v>
      </c>
      <c r="G29">
        <f t="shared" si="9"/>
        <v>6080</v>
      </c>
      <c r="H29">
        <f t="shared" si="11"/>
        <v>1520</v>
      </c>
      <c r="I29">
        <f t="shared" si="6"/>
        <v>0</v>
      </c>
      <c r="J29">
        <f t="shared" si="12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ref="D30:D31" si="13">B30-C30</f>
        <v>0</v>
      </c>
      <c r="E30">
        <f>COUNTIF(tables_339010!C:C,input_339010!A30)-COUNTIF(Q:Q,A30)</f>
        <v>0</v>
      </c>
      <c r="F30" s="45">
        <f t="shared" si="8"/>
        <v>0</v>
      </c>
      <c r="G30">
        <f t="shared" si="9"/>
        <v>0</v>
      </c>
      <c r="H30">
        <f t="shared" ref="H30:H31" si="14">IFERROR(ROUND(G30/E30,5),0)</f>
        <v>0</v>
      </c>
      <c r="I30">
        <f t="shared" si="6"/>
        <v>0</v>
      </c>
      <c r="J30">
        <f t="shared" ref="J30:J31" si="15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13"/>
        <v>0</v>
      </c>
      <c r="E31">
        <f>COUNTIF(tables_339010!C:C,input_339010!A31)-COUNTIF(Q:Q,A31)</f>
        <v>0</v>
      </c>
      <c r="F31" s="45">
        <f t="shared" si="8"/>
        <v>0</v>
      </c>
      <c r="G31">
        <f t="shared" si="9"/>
        <v>0</v>
      </c>
      <c r="H31">
        <f t="shared" si="14"/>
        <v>0</v>
      </c>
      <c r="I31">
        <f t="shared" si="6"/>
        <v>0</v>
      </c>
      <c r="J31">
        <f t="shared" si="15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0.9850000000000001</v>
      </c>
      <c r="C32" s="43">
        <f>SUM(C19:C31)</f>
        <v>0</v>
      </c>
      <c r="D32" s="44">
        <f t="shared" ref="D32" si="16">B32-C32</f>
        <v>0.9850000000000001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1216000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SUMIF(tables_339010!C:C,input_339010!A40,tables_339010!O:O)</f>
        <v>391040</v>
      </c>
      <c r="C40" s="56">
        <f t="shared" ref="C40:C46" ca="1" si="17">B40/B$47</f>
        <v>0.47419480015521925</v>
      </c>
      <c r="E40">
        <v>3</v>
      </c>
      <c r="F40">
        <f ca="1">SUMIF(tables_339010!J:J,input_339010!E40,tables_339010!O:O)</f>
        <v>608000</v>
      </c>
      <c r="G40">
        <f ca="1">F40/A36</f>
        <v>0.5</v>
      </c>
    </row>
    <row r="41" spans="1:7" x14ac:dyDescent="0.15">
      <c r="A41" s="34" t="s">
        <v>110</v>
      </c>
      <c r="B41">
        <f ca="1">SUMIF(tables_339010!C:C,input_339010!A41,tables_339010!O:O)</f>
        <v>351936</v>
      </c>
      <c r="C41" s="56">
        <f t="shared" ca="1" si="17"/>
        <v>0.42677532013969732</v>
      </c>
      <c r="E41">
        <v>4</v>
      </c>
      <c r="F41">
        <f ca="1">SUMIF(tables_339010!J:J,input_339010!E41,tables_339010!O:O)</f>
        <v>528960</v>
      </c>
      <c r="G41">
        <f ca="1">F41/A36</f>
        <v>0.435</v>
      </c>
    </row>
    <row r="42" spans="1:7" x14ac:dyDescent="0.15">
      <c r="A42" s="34" t="s">
        <v>115</v>
      </c>
      <c r="B42">
        <f ca="1">SUMIF(tables_339010!C:C,input_339010!A42,tables_339010!O:O)</f>
        <v>40432</v>
      </c>
      <c r="C42" s="56">
        <f t="shared" ca="1" si="17"/>
        <v>4.9029879705083428E-2</v>
      </c>
      <c r="E42">
        <v>5</v>
      </c>
      <c r="F42">
        <f ca="1">SUMIF(tables_339010!J:J,input_339010!E42,tables_339010!O:O)</f>
        <v>60800</v>
      </c>
      <c r="G42">
        <f ca="1">F42/A36</f>
        <v>0.05</v>
      </c>
    </row>
    <row r="43" spans="1:7" x14ac:dyDescent="0.15">
      <c r="A43" s="34" t="s">
        <v>116</v>
      </c>
      <c r="B43">
        <f>SUMIF(tables_339010!C:C,input_339010!A43,tables_339010!O:O)</f>
        <v>0</v>
      </c>
      <c r="C43" s="56">
        <f t="shared" ca="1" si="17"/>
        <v>0</v>
      </c>
      <c r="F43" s="57"/>
    </row>
    <row r="44" spans="1:7" x14ac:dyDescent="0.15">
      <c r="A44" s="34" t="s">
        <v>111</v>
      </c>
      <c r="B44">
        <f ca="1">SUMIF(tables_339010!C:C,input_339010!A44,tables_339010!O:O)</f>
        <v>39104</v>
      </c>
      <c r="C44" s="56">
        <f t="shared" ca="1" si="17"/>
        <v>4.7419480015521924E-2</v>
      </c>
      <c r="E44" t="s">
        <v>107</v>
      </c>
      <c r="F44" s="57"/>
    </row>
    <row r="45" spans="1:7" x14ac:dyDescent="0.15">
      <c r="A45" s="34" t="s">
        <v>117</v>
      </c>
      <c r="B45">
        <f ca="1">SUMIF(tables_339010!C:C,input_339010!A45,tables_339010!O:O)</f>
        <v>2128</v>
      </c>
      <c r="C45" s="56">
        <f t="shared" ca="1" si="17"/>
        <v>2.5805199844780753E-3</v>
      </c>
      <c r="E45" t="s">
        <v>213</v>
      </c>
      <c r="F45" s="57">
        <f ca="1">SUMIF(tables_339010!I:I,input_339010!E45,tables_339010!P:P)</f>
        <v>0.24786481432006421</v>
      </c>
    </row>
    <row r="46" spans="1:7" x14ac:dyDescent="0.15">
      <c r="A46" s="34" t="s">
        <v>118</v>
      </c>
      <c r="B46">
        <f>SUMIF(tables_339010!C:C,input_339010!A46,tables_339010!O:O)</f>
        <v>0</v>
      </c>
      <c r="C46" s="56">
        <f t="shared" ca="1" si="17"/>
        <v>0</v>
      </c>
      <c r="E46" t="s">
        <v>214</v>
      </c>
      <c r="F46" s="57">
        <f ca="1">SUMIF(tables_339010!I:I,input_339010!E46,tables_339010!P:P)</f>
        <v>0.21727224151749941</v>
      </c>
    </row>
    <row r="47" spans="1:7" x14ac:dyDescent="0.15">
      <c r="A47" s="41" t="s">
        <v>62</v>
      </c>
      <c r="B47">
        <f ca="1">SUM(B40:B46)</f>
        <v>824640</v>
      </c>
      <c r="C47" s="57">
        <f ca="1">SUM(C40:C46)</f>
        <v>0.99999999999999989</v>
      </c>
      <c r="E47" t="s">
        <v>215</v>
      </c>
      <c r="F47" s="57">
        <f ca="1">SUMIF(tables_339010!I:I,input_339010!E47,tables_339010!P:P)</f>
        <v>0.49098316858135205</v>
      </c>
    </row>
    <row r="48" spans="1:7" x14ac:dyDescent="0.15">
      <c r="E48" t="s">
        <v>216</v>
      </c>
      <c r="F48" s="57">
        <f ca="1">SUMIF(tables_339010!I:I,input_339010!E48,tables_339010!P:P)</f>
        <v>4.0609137055837539E-2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65" activePane="bottomLeft" state="frozen"/>
      <selection activeCell="F250" sqref="F250"/>
      <selection pane="bottomLeft" activeCell="P277" sqref="P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input_339010!A$2</f>
        <v>339010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IFERROR(VLOOKUP(B2,input_339010!L:R,7,FALSE),VLOOKUP(tables_339010!C2,input_339010!A:H,8,FALSE))</f>
        <v>10696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input_339010!A$2</f>
        <v>339010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IFERROR(VLOOKUP(B3,input_339010!L:R,7,FALSE),VLOOKUP(tables_339010!C3,input_339010!A:H,8,FALSE))</f>
        <v>4344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input_339010!A$2</f>
        <v>339010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IFERROR(VLOOKUP(B4,input_339010!L:R,7,FALSE),VLOOKUP(tables_339010!C4,input_339010!A:H,8,FALSE))</f>
        <v>10696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input_339010!A$2</f>
        <v>339010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IFERROR(VLOOKUP(B5,input_339010!L:R,7,FALSE),VLOOKUP(tables_339010!C5,input_339010!A:H,8,FALSE))</f>
        <v>4344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input_339010!A$2</f>
        <v>339010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IFERROR(VLOOKUP(B6,input_339010!L:R,7,FALSE),VLOOKUP(tables_339010!C6,input_339010!A:H,8,FALSE))</f>
        <v>10696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input_339010!A$2</f>
        <v>339010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IFERROR(VLOOKUP(B7,input_339010!L:R,7,FALSE),VLOOKUP(tables_339010!C7,input_339010!A:H,8,FALSE))</f>
        <v>4344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input_339010!A$2</f>
        <v>339010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IFERROR(VLOOKUP(B8,input_339010!L:R,7,FALSE),VLOOKUP(tables_339010!C8,input_339010!A:H,8,FALSE))</f>
        <v>10696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input_339010!A$2</f>
        <v>339010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IFERROR(VLOOKUP(B9,input_339010!L:R,7,FALSE),VLOOKUP(tables_339010!C9,input_339010!A:H,8,FALSE))</f>
        <v>4344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input_339010!A$2</f>
        <v>339010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IFERROR(VLOOKUP(B10,input_339010!L:R,7,FALSE),VLOOKUP(tables_339010!C10,input_339010!A:H,8,FALSE))</f>
        <v>10696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input_339010!A$2</f>
        <v>339010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IFERROR(VLOOKUP(B11,input_339010!L:R,7,FALSE),VLOOKUP(tables_339010!C11,input_339010!A:H,8,FALSE))</f>
        <v>4344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input_339010!A$2</f>
        <v>339010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IFERROR(VLOOKUP(B12,input_339010!L:R,7,FALSE),VLOOKUP(tables_339010!C12,input_339010!A:H,8,FALSE))</f>
        <v>10696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input_339010!A$2</f>
        <v>339010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IFERROR(VLOOKUP(B13,input_339010!L:R,7,FALSE),VLOOKUP(tables_339010!C13,input_339010!A:H,8,FALSE))</f>
        <v>4344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input_339010!A$2</f>
        <v>339010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IFERROR(VLOOKUP(B14,input_339010!L:R,7,FALSE),VLOOKUP(tables_339010!C14,input_339010!A:H,8,FALSE))</f>
        <v>10696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input_339010!A$2</f>
        <v>339010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IFERROR(VLOOKUP(B15,input_339010!L:R,7,FALSE),VLOOKUP(tables_339010!C15,input_339010!A:H,8,FALSE))</f>
        <v>4344</v>
      </c>
      <c r="P15" s="48">
        <f t="shared" ref="P15:P78" ca="1" si="2">O15/SUM(O:O)</f>
        <v>3.6267699706118085E-3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input_339010!A$2</f>
        <v>339010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IFERROR(VLOOKUP(B16,input_339010!L:R,7,FALSE),VLOOKUP(tables_339010!C16,input_339010!A:H,8,FALSE))</f>
        <v>10696</v>
      </c>
      <c r="P16" s="48">
        <f t="shared" ca="1" si="2"/>
        <v>8.9300026716537528E-3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input_339010!A$2</f>
        <v>339010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IFERROR(VLOOKUP(B17,input_339010!L:R,7,FALSE),VLOOKUP(tables_339010!C17,input_339010!A:H,8,FALSE))</f>
        <v>4344</v>
      </c>
      <c r="P17" s="48">
        <f t="shared" ca="1" si="2"/>
        <v>3.6267699706118085E-3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input_339010!A$2</f>
        <v>339010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IFERROR(VLOOKUP(B18,input_339010!L:R,7,FALSE),VLOOKUP(tables_339010!C18,input_339010!A:H,8,FALSE))</f>
        <v>10696</v>
      </c>
      <c r="P18" s="48">
        <f t="shared" ca="1" si="2"/>
        <v>8.9300026716537528E-3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input_339010!A$2</f>
        <v>339010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IFERROR(VLOOKUP(B19,input_339010!L:R,7,FALSE),VLOOKUP(tables_339010!C19,input_339010!A:H,8,FALSE))</f>
        <v>4344</v>
      </c>
      <c r="P19" s="48">
        <f t="shared" ca="1" si="2"/>
        <v>3.6267699706118085E-3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input_339010!A$2</f>
        <v>339010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IFERROR(VLOOKUP(B20,input_339010!L:R,7,FALSE),VLOOKUP(tables_339010!C20,input_339010!A:H,8,FALSE))</f>
        <v>10696</v>
      </c>
      <c r="P20" s="48">
        <f t="shared" ca="1" si="2"/>
        <v>8.9300026716537528E-3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input_339010!A$2</f>
        <v>339010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IFERROR(VLOOKUP(B21,input_339010!L:R,7,FALSE),VLOOKUP(tables_339010!C21,input_339010!A:H,8,FALSE))</f>
        <v>4344</v>
      </c>
      <c r="P21" s="48">
        <f t="shared" ca="1" si="2"/>
        <v>3.6267699706118085E-3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input_339010!A$2</f>
        <v>339010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IFERROR(VLOOKUP(B22,input_339010!L:R,7,FALSE),VLOOKUP(tables_339010!C22,input_339010!A:H,8,FALSE))</f>
        <v>10696</v>
      </c>
      <c r="P22" s="48">
        <f t="shared" ca="1" si="2"/>
        <v>8.9300026716537528E-3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input_339010!A$2</f>
        <v>339010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IFERROR(VLOOKUP(B23,input_339010!L:R,7,FALSE),VLOOKUP(tables_339010!C23,input_339010!A:H,8,FALSE))</f>
        <v>4344</v>
      </c>
      <c r="P23" s="48">
        <f t="shared" ca="1" si="2"/>
        <v>3.6267699706118085E-3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input_339010!A$2</f>
        <v>339010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IFERROR(VLOOKUP(B24,input_339010!L:R,7,FALSE),VLOOKUP(tables_339010!C24,input_339010!A:H,8,FALSE))</f>
        <v>10696</v>
      </c>
      <c r="P24" s="48">
        <f t="shared" ca="1" si="2"/>
        <v>8.9300026716537528E-3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input_339010!A$2</f>
        <v>339010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IFERROR(VLOOKUP(B25,input_339010!L:R,7,FALSE),VLOOKUP(tables_339010!C25,input_339010!A:H,8,FALSE))</f>
        <v>4344</v>
      </c>
      <c r="P25" s="48">
        <f t="shared" ca="1" si="2"/>
        <v>3.6267699706118085E-3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input_339010!A$2</f>
        <v>339010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IFERROR(VLOOKUP(B26,input_339010!L:R,7,FALSE),VLOOKUP(tables_339010!C26,input_339010!A:H,8,FALSE))</f>
        <v>10696</v>
      </c>
      <c r="P26" s="48">
        <f t="shared" ca="1" si="2"/>
        <v>8.9300026716537528E-3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input_339010!A$2</f>
        <v>339010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IFERROR(VLOOKUP(B27,input_339010!L:R,7,FALSE),VLOOKUP(tables_339010!C27,input_339010!A:H,8,FALSE))</f>
        <v>4344</v>
      </c>
      <c r="P27" s="48">
        <f t="shared" ca="1" si="2"/>
        <v>3.6267699706118085E-3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input_339010!A$2</f>
        <v>339010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IFERROR(VLOOKUP(B28,input_339010!L:R,7,FALSE),VLOOKUP(tables_339010!C28,input_339010!A:H,8,FALSE))</f>
        <v>10696</v>
      </c>
      <c r="P28" s="48">
        <f t="shared" ca="1" si="2"/>
        <v>8.9300026716537528E-3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input_339010!A$2</f>
        <v>339010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IFERROR(VLOOKUP(B29,input_339010!L:R,7,FALSE),VLOOKUP(tables_339010!C29,input_339010!A:H,8,FALSE))</f>
        <v>4344</v>
      </c>
      <c r="P29" s="48">
        <f t="shared" ca="1" si="2"/>
        <v>3.6267699706118085E-3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input_339010!A$2</f>
        <v>339010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IFERROR(VLOOKUP(B30,input_339010!L:R,7,FALSE),VLOOKUP(tables_339010!C30,input_339010!A:H,8,FALSE))</f>
        <v>10696</v>
      </c>
      <c r="P30" s="48">
        <f t="shared" ca="1" si="2"/>
        <v>8.9300026716537528E-3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input_339010!A$2</f>
        <v>339010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IFERROR(VLOOKUP(B31,input_339010!L:R,7,FALSE),VLOOKUP(tables_339010!C31,input_339010!A:H,8,FALSE))</f>
        <v>4344</v>
      </c>
      <c r="P31" s="48">
        <f t="shared" ca="1" si="2"/>
        <v>3.6267699706118085E-3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input_339010!A$2</f>
        <v>339010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IFERROR(VLOOKUP(B32,input_339010!L:R,7,FALSE),VLOOKUP(tables_339010!C32,input_339010!A:H,8,FALSE))</f>
        <v>10696</v>
      </c>
      <c r="P32" s="48">
        <f t="shared" ca="1" si="2"/>
        <v>8.9300026716537528E-3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input_339010!A$2</f>
        <v>339010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IFERROR(VLOOKUP(B33,input_339010!L:R,7,FALSE),VLOOKUP(tables_339010!C33,input_339010!A:H,8,FALSE))</f>
        <v>4344</v>
      </c>
      <c r="P33" s="48">
        <f t="shared" ca="1" si="2"/>
        <v>3.6267699706118085E-3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input_339010!A$2</f>
        <v>339010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IFERROR(VLOOKUP(B34,input_339010!L:R,7,FALSE),VLOOKUP(tables_339010!C34,input_339010!A:H,8,FALSE))</f>
        <v>10696</v>
      </c>
      <c r="P34" s="48">
        <f t="shared" ca="1" si="2"/>
        <v>8.9300026716537528E-3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input_339010!A$2</f>
        <v>339010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IFERROR(VLOOKUP(B35,input_339010!L:R,7,FALSE),VLOOKUP(tables_339010!C35,input_339010!A:H,8,FALSE))</f>
        <v>4344</v>
      </c>
      <c r="P35" s="48">
        <f t="shared" ca="1" si="2"/>
        <v>3.6267699706118085E-3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input_339010!A$2</f>
        <v>339010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IFERROR(VLOOKUP(B36,input_339010!L:R,7,FALSE),VLOOKUP(tables_339010!C36,input_339010!A:H,8,FALSE))</f>
        <v>10696</v>
      </c>
      <c r="P36" s="48">
        <f t="shared" ca="1" si="2"/>
        <v>8.9300026716537528E-3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input_339010!A$2</f>
        <v>339010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IFERROR(VLOOKUP(B37,input_339010!L:R,7,FALSE),VLOOKUP(tables_339010!C37,input_339010!A:H,8,FALSE))</f>
        <v>4344</v>
      </c>
      <c r="P37" s="48">
        <f t="shared" ca="1" si="2"/>
        <v>3.6267699706118085E-3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input_339010!A$2</f>
        <v>339010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IFERROR(VLOOKUP(B38,input_339010!L:R,7,FALSE),VLOOKUP(tables_339010!C38,input_339010!A:H,8,FALSE))</f>
        <v>10696</v>
      </c>
      <c r="P38" s="48">
        <f t="shared" ca="1" si="2"/>
        <v>8.9300026716537528E-3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input_339010!A$2</f>
        <v>339010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IFERROR(VLOOKUP(B39,input_339010!L:R,7,FALSE),VLOOKUP(tables_339010!C39,input_339010!A:H,8,FALSE))</f>
        <v>4344</v>
      </c>
      <c r="P39" s="48">
        <f t="shared" ca="1" si="2"/>
        <v>3.6267699706118085E-3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input_339010!A$2</f>
        <v>339010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IFERROR(VLOOKUP(B40,input_339010!L:R,7,FALSE),VLOOKUP(tables_339010!C40,input_339010!A:H,8,FALSE))</f>
        <v>10696</v>
      </c>
      <c r="P40" s="48">
        <f t="shared" ca="1" si="2"/>
        <v>8.9300026716537528E-3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input_339010!A$2</f>
        <v>339010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IFERROR(VLOOKUP(B41,input_339010!L:R,7,FALSE),VLOOKUP(tables_339010!C41,input_339010!A:H,8,FALSE))</f>
        <v>4344</v>
      </c>
      <c r="P41" s="48">
        <f t="shared" ca="1" si="2"/>
        <v>3.6267699706118085E-3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input_339010!A$2</f>
        <v>339010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IFERROR(VLOOKUP(B42,input_339010!L:R,7,FALSE),VLOOKUP(tables_339010!C42,input_339010!A:H,8,FALSE))</f>
        <v>760</v>
      </c>
      <c r="P42" s="48">
        <f t="shared" ca="1" si="2"/>
        <v>6.3451776649746188E-4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input_339010!A$2</f>
        <v>339010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IFERROR(VLOOKUP(B43,input_339010!L:R,7,FALSE),VLOOKUP(tables_339010!C43,input_339010!A:H,8,FALSE))</f>
        <v>684</v>
      </c>
      <c r="P43" s="48">
        <f t="shared" ca="1" si="2"/>
        <v>5.7106598984771578E-4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input_339010!A$2</f>
        <v>339010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IFERROR(VLOOKUP(B44,input_339010!L:R,7,FALSE),VLOOKUP(tables_339010!C44,input_339010!A:H,8,FALSE))</f>
        <v>76</v>
      </c>
      <c r="P44" s="48">
        <f t="shared" ca="1" si="2"/>
        <v>6.3451776649746196E-5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input_339010!A$2</f>
        <v>339010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IFERROR(VLOOKUP(B45,input_339010!L:R,7,FALSE),VLOOKUP(tables_339010!C45,input_339010!A:H,8,FALSE))</f>
        <v>760</v>
      </c>
      <c r="P45" s="48">
        <f t="shared" ca="1" si="2"/>
        <v>6.3451776649746188E-4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input_339010!A$2</f>
        <v>339010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IFERROR(VLOOKUP(B46,input_339010!L:R,7,FALSE),VLOOKUP(tables_339010!C46,input_339010!A:H,8,FALSE))</f>
        <v>684</v>
      </c>
      <c r="P46" s="48">
        <f t="shared" ca="1" si="2"/>
        <v>5.7106598984771578E-4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input_339010!A$2</f>
        <v>339010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IFERROR(VLOOKUP(B47,input_339010!L:R,7,FALSE),VLOOKUP(tables_339010!C47,input_339010!A:H,8,FALSE))</f>
        <v>76</v>
      </c>
      <c r="P47" s="48">
        <f t="shared" ca="1" si="2"/>
        <v>6.3451776649746196E-5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input_339010!A$2</f>
        <v>339010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IFERROR(VLOOKUP(B48,input_339010!L:R,7,FALSE),VLOOKUP(tables_339010!C48,input_339010!A:H,8,FALSE))</f>
        <v>760</v>
      </c>
      <c r="P48" s="48">
        <f t="shared" ca="1" si="2"/>
        <v>6.3451776649746188E-4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input_339010!A$2</f>
        <v>339010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IFERROR(VLOOKUP(B49,input_339010!L:R,7,FALSE),VLOOKUP(tables_339010!C49,input_339010!A:H,8,FALSE))</f>
        <v>684</v>
      </c>
      <c r="P49" s="48">
        <f t="shared" ca="1" si="2"/>
        <v>5.7106598984771578E-4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input_339010!A$2</f>
        <v>339010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IFERROR(VLOOKUP(B50,input_339010!L:R,7,FALSE),VLOOKUP(tables_339010!C50,input_339010!A:H,8,FALSE))</f>
        <v>76</v>
      </c>
      <c r="P50" s="48">
        <f t="shared" ca="1" si="2"/>
        <v>6.3451776649746196E-5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input_339010!A$2</f>
        <v>339010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IFERROR(VLOOKUP(B51,input_339010!L:R,7,FALSE),VLOOKUP(tables_339010!C51,input_339010!A:H,8,FALSE))</f>
        <v>7520</v>
      </c>
      <c r="P51" s="48">
        <f t="shared" ca="1" si="2"/>
        <v>6.2783863211327813E-3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input_339010!A$2</f>
        <v>339010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IFERROR(VLOOKUP(B52,input_339010!L:R,7,FALSE),VLOOKUP(tables_339010!C52,input_339010!A:H,8,FALSE))</f>
        <v>6768</v>
      </c>
      <c r="P52" s="48">
        <f t="shared" ca="1" si="2"/>
        <v>5.6505476890195035E-3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input_339010!A$2</f>
        <v>339010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IFERROR(VLOOKUP(B53,input_339010!L:R,7,FALSE),VLOOKUP(tables_339010!C53,input_339010!A:H,8,FALSE))</f>
        <v>752</v>
      </c>
      <c r="P53" s="48">
        <f t="shared" ca="1" si="2"/>
        <v>6.2783863211327809E-4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input_339010!A$2</f>
        <v>339010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IFERROR(VLOOKUP(B54,input_339010!L:R,7,FALSE),VLOOKUP(tables_339010!C54,input_339010!A:H,8,FALSE))</f>
        <v>7520</v>
      </c>
      <c r="P54" s="48">
        <f t="shared" ca="1" si="2"/>
        <v>6.2783863211327813E-3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input_339010!A$2</f>
        <v>339010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IFERROR(VLOOKUP(B55,input_339010!L:R,7,FALSE),VLOOKUP(tables_339010!C55,input_339010!A:H,8,FALSE))</f>
        <v>6768</v>
      </c>
      <c r="P55" s="48">
        <f t="shared" ca="1" si="2"/>
        <v>5.6505476890195035E-3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input_339010!A$2</f>
        <v>339010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IFERROR(VLOOKUP(B56,input_339010!L:R,7,FALSE),VLOOKUP(tables_339010!C56,input_339010!A:H,8,FALSE))</f>
        <v>752</v>
      </c>
      <c r="P56" s="48">
        <f t="shared" ca="1" si="2"/>
        <v>6.2783863211327809E-4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input_339010!A$2</f>
        <v>339010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IFERROR(VLOOKUP(B57,input_339010!L:R,7,FALSE),VLOOKUP(tables_339010!C57,input_339010!A:H,8,FALSE))</f>
        <v>7520</v>
      </c>
      <c r="P57" s="48">
        <f t="shared" ca="1" si="2"/>
        <v>6.2783863211327813E-3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input_339010!A$2</f>
        <v>339010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IFERROR(VLOOKUP(B58,input_339010!L:R,7,FALSE),VLOOKUP(tables_339010!C58,input_339010!A:H,8,FALSE))</f>
        <v>6768</v>
      </c>
      <c r="P58" s="48">
        <f t="shared" ca="1" si="2"/>
        <v>5.6505476890195035E-3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input_339010!A$2</f>
        <v>339010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IFERROR(VLOOKUP(B59,input_339010!L:R,7,FALSE),VLOOKUP(tables_339010!C59,input_339010!A:H,8,FALSE))</f>
        <v>752</v>
      </c>
      <c r="P59" s="48">
        <f t="shared" ca="1" si="2"/>
        <v>6.2783863211327809E-4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input_339010!A$2</f>
        <v>339010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IFERROR(VLOOKUP(B60,input_339010!L:R,7,FALSE),VLOOKUP(tables_339010!C60,input_339010!A:H,8,FALSE))</f>
        <v>7520</v>
      </c>
      <c r="P60" s="48">
        <f t="shared" ca="1" si="2"/>
        <v>6.2783863211327813E-3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input_339010!A$2</f>
        <v>339010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IFERROR(VLOOKUP(B61,input_339010!L:R,7,FALSE),VLOOKUP(tables_339010!C61,input_339010!A:H,8,FALSE))</f>
        <v>6768</v>
      </c>
      <c r="P61" s="48">
        <f t="shared" ca="1" si="2"/>
        <v>5.6505476890195035E-3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input_339010!A$2</f>
        <v>339010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IFERROR(VLOOKUP(B62,input_339010!L:R,7,FALSE),VLOOKUP(tables_339010!C62,input_339010!A:H,8,FALSE))</f>
        <v>752</v>
      </c>
      <c r="P62" s="48">
        <f t="shared" ca="1" si="2"/>
        <v>6.2783863211327809E-4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input_339010!A$2</f>
        <v>339010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IFERROR(VLOOKUP(B63,input_339010!L:R,7,FALSE),VLOOKUP(tables_339010!C63,input_339010!A:H,8,FALSE))</f>
        <v>7520</v>
      </c>
      <c r="P63" s="48">
        <f t="shared" ca="1" si="2"/>
        <v>6.2783863211327813E-3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input_339010!A$2</f>
        <v>339010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IFERROR(VLOOKUP(B64,input_339010!L:R,7,FALSE),VLOOKUP(tables_339010!C64,input_339010!A:H,8,FALSE))</f>
        <v>6768</v>
      </c>
      <c r="P64" s="48">
        <f t="shared" ca="1" si="2"/>
        <v>5.6505476890195035E-3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input_339010!A$2</f>
        <v>339010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IFERROR(VLOOKUP(B65,input_339010!L:R,7,FALSE),VLOOKUP(tables_339010!C65,input_339010!A:H,8,FALSE))</f>
        <v>752</v>
      </c>
      <c r="P65" s="48">
        <f t="shared" ca="1" si="2"/>
        <v>6.2783863211327809E-4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input_339010!A$2</f>
        <v>339010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IFERROR(VLOOKUP(B66,input_339010!L:R,7,FALSE),VLOOKUP(tables_339010!C66,input_339010!A:H,8,FALSE))</f>
        <v>7520</v>
      </c>
      <c r="P66" s="48">
        <f t="shared" ca="1" si="2"/>
        <v>6.2783863211327813E-3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input_339010!A$2</f>
        <v>339010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IFERROR(VLOOKUP(B67,input_339010!L:R,7,FALSE),VLOOKUP(tables_339010!C67,input_339010!A:H,8,FALSE))</f>
        <v>6768</v>
      </c>
      <c r="P67" s="48">
        <f t="shared" ca="1" si="2"/>
        <v>5.6505476890195035E-3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input_339010!A$2</f>
        <v>339010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IFERROR(VLOOKUP(B68,input_339010!L:R,7,FALSE),VLOOKUP(tables_339010!C68,input_339010!A:H,8,FALSE))</f>
        <v>752</v>
      </c>
      <c r="P68" s="48">
        <f t="shared" ca="1" si="2"/>
        <v>6.2783863211327809E-4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input_339010!A$2</f>
        <v>339010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IFERROR(VLOOKUP(B69,input_339010!L:R,7,FALSE),VLOOKUP(tables_339010!C69,input_339010!A:H,8,FALSE))</f>
        <v>7520</v>
      </c>
      <c r="P69" s="48">
        <f t="shared" ca="1" si="2"/>
        <v>6.2783863211327813E-3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input_339010!A$2</f>
        <v>339010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IFERROR(VLOOKUP(B70,input_339010!L:R,7,FALSE),VLOOKUP(tables_339010!C70,input_339010!A:H,8,FALSE))</f>
        <v>6768</v>
      </c>
      <c r="P70" s="48">
        <f t="shared" ca="1" si="2"/>
        <v>5.6505476890195035E-3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input_339010!A$2</f>
        <v>339010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IFERROR(VLOOKUP(B71,input_339010!L:R,7,FALSE),VLOOKUP(tables_339010!C71,input_339010!A:H,8,FALSE))</f>
        <v>752</v>
      </c>
      <c r="P71" s="48">
        <f t="shared" ca="1" si="2"/>
        <v>6.2783863211327809E-4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input_339010!A$2</f>
        <v>339010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IFERROR(VLOOKUP(B72,input_339010!L:R,7,FALSE),VLOOKUP(tables_339010!C72,input_339010!A:H,8,FALSE))</f>
        <v>7520</v>
      </c>
      <c r="P72" s="48">
        <f t="shared" ca="1" si="2"/>
        <v>6.2783863211327813E-3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input_339010!A$2</f>
        <v>339010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IFERROR(VLOOKUP(B73,input_339010!L:R,7,FALSE),VLOOKUP(tables_339010!C73,input_339010!A:H,8,FALSE))</f>
        <v>6768</v>
      </c>
      <c r="P73" s="48">
        <f t="shared" ca="1" si="2"/>
        <v>5.6505476890195035E-3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input_339010!A$2</f>
        <v>339010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IFERROR(VLOOKUP(B74,input_339010!L:R,7,FALSE),VLOOKUP(tables_339010!C74,input_339010!A:H,8,FALSE))</f>
        <v>752</v>
      </c>
      <c r="P74" s="48">
        <f t="shared" ca="1" si="2"/>
        <v>6.2783863211327809E-4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input_339010!A$2</f>
        <v>339010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IFERROR(VLOOKUP(B75,input_339010!L:R,7,FALSE),VLOOKUP(tables_339010!C75,input_339010!A:H,8,FALSE))</f>
        <v>7520</v>
      </c>
      <c r="P75" s="48">
        <f t="shared" ca="1" si="2"/>
        <v>6.2783863211327813E-3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input_339010!A$2</f>
        <v>339010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IFERROR(VLOOKUP(B76,input_339010!L:R,7,FALSE),VLOOKUP(tables_339010!C76,input_339010!A:H,8,FALSE))</f>
        <v>6768</v>
      </c>
      <c r="P76" s="48">
        <f t="shared" ca="1" si="2"/>
        <v>5.6505476890195035E-3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input_339010!A$2</f>
        <v>339010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IFERROR(VLOOKUP(B77,input_339010!L:R,7,FALSE),VLOOKUP(tables_339010!C77,input_339010!A:H,8,FALSE))</f>
        <v>752</v>
      </c>
      <c r="P77" s="48">
        <f t="shared" ca="1" si="2"/>
        <v>6.2783863211327809E-4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input_339010!A$2</f>
        <v>339010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IFERROR(VLOOKUP(B78,input_339010!L:R,7,FALSE),VLOOKUP(tables_339010!C78,input_339010!A:H,8,FALSE))</f>
        <v>7520</v>
      </c>
      <c r="P78" s="48">
        <f t="shared" ca="1" si="2"/>
        <v>6.2783863211327813E-3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input_339010!A$2</f>
        <v>339010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IFERROR(VLOOKUP(B79,input_339010!L:R,7,FALSE),VLOOKUP(tables_339010!C79,input_339010!A:H,8,FALSE))</f>
        <v>6768</v>
      </c>
      <c r="P79" s="48">
        <f t="shared" ref="P79:P142" ca="1" si="5">O79/SUM(O:O)</f>
        <v>5.6505476890195035E-3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input_339010!A$2</f>
        <v>339010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IFERROR(VLOOKUP(B80,input_339010!L:R,7,FALSE),VLOOKUP(tables_339010!C80,input_339010!A:H,8,FALSE))</f>
        <v>752</v>
      </c>
      <c r="P80" s="48">
        <f t="shared" ca="1" si="5"/>
        <v>6.2783863211327809E-4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input_339010!A$2</f>
        <v>339010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IFERROR(VLOOKUP(B81,input_339010!L:R,7,FALSE),VLOOKUP(tables_339010!C81,input_339010!A:H,8,FALSE))</f>
        <v>7520</v>
      </c>
      <c r="P81" s="48">
        <f t="shared" ca="1" si="5"/>
        <v>6.2783863211327813E-3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input_339010!A$2</f>
        <v>339010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IFERROR(VLOOKUP(B82,input_339010!L:R,7,FALSE),VLOOKUP(tables_339010!C82,input_339010!A:H,8,FALSE))</f>
        <v>6768</v>
      </c>
      <c r="P82" s="48">
        <f t="shared" ca="1" si="5"/>
        <v>5.6505476890195035E-3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input_339010!A$2</f>
        <v>339010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IFERROR(VLOOKUP(B83,input_339010!L:R,7,FALSE),VLOOKUP(tables_339010!C83,input_339010!A:H,8,FALSE))</f>
        <v>752</v>
      </c>
      <c r="P83" s="48">
        <f t="shared" ca="1" si="5"/>
        <v>6.2783863211327809E-4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input_339010!A$2</f>
        <v>339010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IFERROR(VLOOKUP(B84,input_339010!L:R,7,FALSE),VLOOKUP(tables_339010!C84,input_339010!A:H,8,FALSE))</f>
        <v>7520</v>
      </c>
      <c r="P84" s="48">
        <f t="shared" ca="1" si="5"/>
        <v>6.2783863211327813E-3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input_339010!A$2</f>
        <v>339010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IFERROR(VLOOKUP(B85,input_339010!L:R,7,FALSE),VLOOKUP(tables_339010!C85,input_339010!A:H,8,FALSE))</f>
        <v>6768</v>
      </c>
      <c r="P85" s="48">
        <f t="shared" ca="1" si="5"/>
        <v>5.6505476890195035E-3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input_339010!A$2</f>
        <v>339010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IFERROR(VLOOKUP(B86,input_339010!L:R,7,FALSE),VLOOKUP(tables_339010!C86,input_339010!A:H,8,FALSE))</f>
        <v>752</v>
      </c>
      <c r="P86" s="48">
        <f t="shared" ca="1" si="5"/>
        <v>6.2783863211327809E-4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input_339010!A$2</f>
        <v>339010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IFERROR(VLOOKUP(B87,input_339010!L:R,7,FALSE),VLOOKUP(tables_339010!C87,input_339010!A:H,8,FALSE))</f>
        <v>7520</v>
      </c>
      <c r="P87" s="48">
        <f t="shared" ca="1" si="5"/>
        <v>6.2783863211327813E-3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input_339010!A$2</f>
        <v>339010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IFERROR(VLOOKUP(B88,input_339010!L:R,7,FALSE),VLOOKUP(tables_339010!C88,input_339010!A:H,8,FALSE))</f>
        <v>6768</v>
      </c>
      <c r="P88" s="48">
        <f t="shared" ca="1" si="5"/>
        <v>5.6505476890195035E-3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input_339010!A$2</f>
        <v>339010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IFERROR(VLOOKUP(B89,input_339010!L:R,7,FALSE),VLOOKUP(tables_339010!C89,input_339010!A:H,8,FALSE))</f>
        <v>752</v>
      </c>
      <c r="P89" s="48">
        <f t="shared" ca="1" si="5"/>
        <v>6.2783863211327809E-4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input_339010!A$2</f>
        <v>339010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IFERROR(VLOOKUP(B90,input_339010!L:R,7,FALSE),VLOOKUP(tables_339010!C90,input_339010!A:H,8,FALSE))</f>
        <v>7520</v>
      </c>
      <c r="P90" s="48">
        <f t="shared" ca="1" si="5"/>
        <v>6.2783863211327813E-3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input_339010!A$2</f>
        <v>339010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IFERROR(VLOOKUP(B91,input_339010!L:R,7,FALSE),VLOOKUP(tables_339010!C91,input_339010!A:H,8,FALSE))</f>
        <v>6768</v>
      </c>
      <c r="P91" s="48">
        <f t="shared" ca="1" si="5"/>
        <v>5.6505476890195035E-3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input_339010!A$2</f>
        <v>339010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IFERROR(VLOOKUP(B92,input_339010!L:R,7,FALSE),VLOOKUP(tables_339010!C92,input_339010!A:H,8,FALSE))</f>
        <v>752</v>
      </c>
      <c r="P92" s="48">
        <f t="shared" ca="1" si="5"/>
        <v>6.2783863211327809E-4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input_339010!A$2</f>
        <v>339010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IFERROR(VLOOKUP(B93,input_339010!L:R,7,FALSE),VLOOKUP(tables_339010!C93,input_339010!A:H,8,FALSE))</f>
        <v>7520</v>
      </c>
      <c r="P93" s="48">
        <f t="shared" ca="1" si="5"/>
        <v>6.2783863211327813E-3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input_339010!A$2</f>
        <v>339010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IFERROR(VLOOKUP(B94,input_339010!L:R,7,FALSE),VLOOKUP(tables_339010!C94,input_339010!A:H,8,FALSE))</f>
        <v>6768</v>
      </c>
      <c r="P94" s="48">
        <f t="shared" ca="1" si="5"/>
        <v>5.6505476890195035E-3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input_339010!A$2</f>
        <v>339010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IFERROR(VLOOKUP(B95,input_339010!L:R,7,FALSE),VLOOKUP(tables_339010!C95,input_339010!A:H,8,FALSE))</f>
        <v>752</v>
      </c>
      <c r="P95" s="48">
        <f t="shared" ca="1" si="5"/>
        <v>6.2783863211327809E-4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input_339010!A$2</f>
        <v>339010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IFERROR(VLOOKUP(B96,input_339010!L:R,7,FALSE),VLOOKUP(tables_339010!C96,input_339010!A:H,8,FALSE))</f>
        <v>7520</v>
      </c>
      <c r="P96" s="48">
        <f t="shared" ca="1" si="5"/>
        <v>6.2783863211327813E-3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input_339010!A$2</f>
        <v>339010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IFERROR(VLOOKUP(B97,input_339010!L:R,7,FALSE),VLOOKUP(tables_339010!C97,input_339010!A:H,8,FALSE))</f>
        <v>6768</v>
      </c>
      <c r="P97" s="48">
        <f t="shared" ca="1" si="5"/>
        <v>5.6505476890195035E-3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input_339010!A$2</f>
        <v>339010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IFERROR(VLOOKUP(B98,input_339010!L:R,7,FALSE),VLOOKUP(tables_339010!C98,input_339010!A:H,8,FALSE))</f>
        <v>752</v>
      </c>
      <c r="P98" s="48">
        <f t="shared" ca="1" si="5"/>
        <v>6.2783863211327809E-4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input_339010!A$2</f>
        <v>339010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IFERROR(VLOOKUP(B99,input_339010!L:R,7,FALSE),VLOOKUP(tables_339010!C99,input_339010!A:H,8,FALSE))</f>
        <v>7520</v>
      </c>
      <c r="P99" s="48">
        <f t="shared" ca="1" si="5"/>
        <v>6.2783863211327813E-3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input_339010!A$2</f>
        <v>339010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IFERROR(VLOOKUP(B100,input_339010!L:R,7,FALSE),VLOOKUP(tables_339010!C100,input_339010!A:H,8,FALSE))</f>
        <v>6768</v>
      </c>
      <c r="P100" s="48">
        <f t="shared" ca="1" si="5"/>
        <v>5.6505476890195035E-3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input_339010!A$2</f>
        <v>339010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IFERROR(VLOOKUP(B101,input_339010!L:R,7,FALSE),VLOOKUP(tables_339010!C101,input_339010!A:H,8,FALSE))</f>
        <v>752</v>
      </c>
      <c r="P101" s="48">
        <f t="shared" ca="1" si="5"/>
        <v>6.2783863211327809E-4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input_339010!A$2</f>
        <v>339010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IFERROR(VLOOKUP(B102,input_339010!L:R,7,FALSE),VLOOKUP(tables_339010!C102,input_339010!A:H,8,FALSE))</f>
        <v>7520</v>
      </c>
      <c r="P102" s="48">
        <f t="shared" ca="1" si="5"/>
        <v>6.2783863211327813E-3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input_339010!A$2</f>
        <v>339010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IFERROR(VLOOKUP(B103,input_339010!L:R,7,FALSE),VLOOKUP(tables_339010!C103,input_339010!A:H,8,FALSE))</f>
        <v>6768</v>
      </c>
      <c r="P103" s="48">
        <f t="shared" ca="1" si="5"/>
        <v>5.6505476890195035E-3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input_339010!A$2</f>
        <v>339010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IFERROR(VLOOKUP(B104,input_339010!L:R,7,FALSE),VLOOKUP(tables_339010!C104,input_339010!A:H,8,FALSE))</f>
        <v>752</v>
      </c>
      <c r="P104" s="48">
        <f t="shared" ca="1" si="5"/>
        <v>6.2783863211327809E-4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input_339010!A$2</f>
        <v>339010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IFERROR(VLOOKUP(B105,input_339010!L:R,7,FALSE),VLOOKUP(tables_339010!C105,input_339010!A:H,8,FALSE))</f>
        <v>7520</v>
      </c>
      <c r="P105" s="48">
        <f t="shared" ca="1" si="5"/>
        <v>6.2783863211327813E-3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input_339010!A$2</f>
        <v>339010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IFERROR(VLOOKUP(B106,input_339010!L:R,7,FALSE),VLOOKUP(tables_339010!C106,input_339010!A:H,8,FALSE))</f>
        <v>6768</v>
      </c>
      <c r="P106" s="48">
        <f t="shared" ca="1" si="5"/>
        <v>5.6505476890195035E-3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input_339010!A$2</f>
        <v>339010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IFERROR(VLOOKUP(B107,input_339010!L:R,7,FALSE),VLOOKUP(tables_339010!C107,input_339010!A:H,8,FALSE))</f>
        <v>752</v>
      </c>
      <c r="P107" s="48">
        <f t="shared" ca="1" si="5"/>
        <v>6.2783863211327809E-4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input_339010!A$2</f>
        <v>339010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IFERROR(VLOOKUP(B108,input_339010!L:R,7,FALSE),VLOOKUP(tables_339010!C108,input_339010!A:H,8,FALSE))</f>
        <v>7520</v>
      </c>
      <c r="P108" s="48">
        <f t="shared" ca="1" si="5"/>
        <v>6.2783863211327813E-3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input_339010!A$2</f>
        <v>339010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IFERROR(VLOOKUP(B109,input_339010!L:R,7,FALSE),VLOOKUP(tables_339010!C109,input_339010!A:H,8,FALSE))</f>
        <v>6768</v>
      </c>
      <c r="P109" s="48">
        <f t="shared" ca="1" si="5"/>
        <v>5.6505476890195035E-3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input_339010!A$2</f>
        <v>339010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IFERROR(VLOOKUP(B110,input_339010!L:R,7,FALSE),VLOOKUP(tables_339010!C110,input_339010!A:H,8,FALSE))</f>
        <v>752</v>
      </c>
      <c r="P110" s="48">
        <f t="shared" ca="1" si="5"/>
        <v>6.2783863211327809E-4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input_339010!A$2</f>
        <v>339010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IFERROR(VLOOKUP(B111,input_339010!L:R,7,FALSE),VLOOKUP(tables_339010!C111,input_339010!A:H,8,FALSE))</f>
        <v>760</v>
      </c>
      <c r="P111" s="48">
        <f t="shared" ca="1" si="5"/>
        <v>6.3451776649746188E-4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input_339010!A$2</f>
        <v>339010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IFERROR(VLOOKUP(B112,input_339010!L:R,7,FALSE),VLOOKUP(tables_339010!C112,input_339010!A:H,8,FALSE))</f>
        <v>684</v>
      </c>
      <c r="P112" s="48">
        <f t="shared" ca="1" si="5"/>
        <v>5.7106598984771578E-4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input_339010!A$2</f>
        <v>339010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IFERROR(VLOOKUP(B113,input_339010!L:R,7,FALSE),VLOOKUP(tables_339010!C113,input_339010!A:H,8,FALSE))</f>
        <v>76</v>
      </c>
      <c r="P113" s="48">
        <f t="shared" ca="1" si="5"/>
        <v>6.3451776649746196E-5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input_339010!A$2</f>
        <v>339010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IFERROR(VLOOKUP(B114,input_339010!L:R,7,FALSE),VLOOKUP(tables_339010!C114,input_339010!A:H,8,FALSE))</f>
        <v>7520</v>
      </c>
      <c r="P114" s="48">
        <f t="shared" ca="1" si="5"/>
        <v>6.2783863211327813E-3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input_339010!A$2</f>
        <v>339010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IFERROR(VLOOKUP(B115,input_339010!L:R,7,FALSE),VLOOKUP(tables_339010!C115,input_339010!A:H,8,FALSE))</f>
        <v>6768</v>
      </c>
      <c r="P115" s="48">
        <f t="shared" ca="1" si="5"/>
        <v>5.6505476890195035E-3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input_339010!A$2</f>
        <v>339010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IFERROR(VLOOKUP(B116,input_339010!L:R,7,FALSE),VLOOKUP(tables_339010!C116,input_339010!A:H,8,FALSE))</f>
        <v>752</v>
      </c>
      <c r="P116" s="48">
        <f t="shared" ca="1" si="5"/>
        <v>6.2783863211327809E-4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input_339010!A$2</f>
        <v>339010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IFERROR(VLOOKUP(B117,input_339010!L:R,7,FALSE),VLOOKUP(tables_339010!C117,input_339010!A:H,8,FALSE))</f>
        <v>7520</v>
      </c>
      <c r="P117" s="48">
        <f t="shared" ca="1" si="5"/>
        <v>6.2783863211327813E-3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input_339010!A$2</f>
        <v>339010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IFERROR(VLOOKUP(B118,input_339010!L:R,7,FALSE),VLOOKUP(tables_339010!C118,input_339010!A:H,8,FALSE))</f>
        <v>6768</v>
      </c>
      <c r="P118" s="48">
        <f t="shared" ca="1" si="5"/>
        <v>5.6505476890195035E-3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input_339010!A$2</f>
        <v>339010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IFERROR(VLOOKUP(B119,input_339010!L:R,7,FALSE),VLOOKUP(tables_339010!C119,input_339010!A:H,8,FALSE))</f>
        <v>752</v>
      </c>
      <c r="P119" s="48">
        <f t="shared" ca="1" si="5"/>
        <v>6.2783863211327809E-4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input_339010!A$2</f>
        <v>339010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IFERROR(VLOOKUP(B120,input_339010!L:R,7,FALSE),VLOOKUP(tables_339010!C120,input_339010!A:H,8,FALSE))</f>
        <v>7520</v>
      </c>
      <c r="P120" s="48">
        <f t="shared" ca="1" si="5"/>
        <v>6.2783863211327813E-3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input_339010!A$2</f>
        <v>339010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IFERROR(VLOOKUP(B121,input_339010!L:R,7,FALSE),VLOOKUP(tables_339010!C121,input_339010!A:H,8,FALSE))</f>
        <v>6768</v>
      </c>
      <c r="P121" s="48">
        <f t="shared" ca="1" si="5"/>
        <v>5.6505476890195035E-3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input_339010!A$2</f>
        <v>339010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IFERROR(VLOOKUP(B122,input_339010!L:R,7,FALSE),VLOOKUP(tables_339010!C122,input_339010!A:H,8,FALSE))</f>
        <v>752</v>
      </c>
      <c r="P122" s="48">
        <f t="shared" ca="1" si="5"/>
        <v>6.2783863211327809E-4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input_339010!A$2</f>
        <v>339010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IFERROR(VLOOKUP(B123,input_339010!L:R,7,FALSE),VLOOKUP(tables_339010!C123,input_339010!A:H,8,FALSE))</f>
        <v>7520</v>
      </c>
      <c r="P123" s="48">
        <f t="shared" ca="1" si="5"/>
        <v>6.2783863211327813E-3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input_339010!A$2</f>
        <v>339010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IFERROR(VLOOKUP(B124,input_339010!L:R,7,FALSE),VLOOKUP(tables_339010!C124,input_339010!A:H,8,FALSE))</f>
        <v>6768</v>
      </c>
      <c r="P124" s="48">
        <f t="shared" ca="1" si="5"/>
        <v>5.6505476890195035E-3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input_339010!A$2</f>
        <v>339010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IFERROR(VLOOKUP(B125,input_339010!L:R,7,FALSE),VLOOKUP(tables_339010!C125,input_339010!A:H,8,FALSE))</f>
        <v>752</v>
      </c>
      <c r="P125" s="48">
        <f t="shared" ca="1" si="5"/>
        <v>6.2783863211327809E-4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input_339010!A$2</f>
        <v>339010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IFERROR(VLOOKUP(B126,input_339010!L:R,7,FALSE),VLOOKUP(tables_339010!C126,input_339010!A:H,8,FALSE))</f>
        <v>7520</v>
      </c>
      <c r="P126" s="48">
        <f t="shared" ca="1" si="5"/>
        <v>6.2783863211327813E-3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input_339010!A$2</f>
        <v>339010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IFERROR(VLOOKUP(B127,input_339010!L:R,7,FALSE),VLOOKUP(tables_339010!C127,input_339010!A:H,8,FALSE))</f>
        <v>6768</v>
      </c>
      <c r="P127" s="48">
        <f t="shared" ca="1" si="5"/>
        <v>5.6505476890195035E-3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input_339010!A$2</f>
        <v>339010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IFERROR(VLOOKUP(B128,input_339010!L:R,7,FALSE),VLOOKUP(tables_339010!C128,input_339010!A:H,8,FALSE))</f>
        <v>752</v>
      </c>
      <c r="P128" s="48">
        <f t="shared" ca="1" si="5"/>
        <v>6.2783863211327809E-4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input_339010!A$2</f>
        <v>339010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IFERROR(VLOOKUP(B129,input_339010!L:R,7,FALSE),VLOOKUP(tables_339010!C129,input_339010!A:H,8,FALSE))</f>
        <v>7520</v>
      </c>
      <c r="P129" s="48">
        <f t="shared" ca="1" si="5"/>
        <v>6.2783863211327813E-3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input_339010!A$2</f>
        <v>339010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IFERROR(VLOOKUP(B130,input_339010!L:R,7,FALSE),VLOOKUP(tables_339010!C130,input_339010!A:H,8,FALSE))</f>
        <v>6768</v>
      </c>
      <c r="P130" s="48">
        <f t="shared" ca="1" si="5"/>
        <v>5.6505476890195035E-3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input_339010!A$2</f>
        <v>339010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IFERROR(VLOOKUP(B131,input_339010!L:R,7,FALSE),VLOOKUP(tables_339010!C131,input_339010!A:H,8,FALSE))</f>
        <v>752</v>
      </c>
      <c r="P131" s="48">
        <f t="shared" ca="1" si="5"/>
        <v>6.2783863211327809E-4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input_339010!A$2</f>
        <v>339010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IFERROR(VLOOKUP(B132,input_339010!L:R,7,FALSE),VLOOKUP(tables_339010!C132,input_339010!A:H,8,FALSE))</f>
        <v>7520</v>
      </c>
      <c r="P132" s="48">
        <f t="shared" ca="1" si="5"/>
        <v>6.2783863211327813E-3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input_339010!A$2</f>
        <v>339010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IFERROR(VLOOKUP(B133,input_339010!L:R,7,FALSE),VLOOKUP(tables_339010!C133,input_339010!A:H,8,FALSE))</f>
        <v>6768</v>
      </c>
      <c r="P133" s="48">
        <f t="shared" ca="1" si="5"/>
        <v>5.6505476890195035E-3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input_339010!A$2</f>
        <v>339010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IFERROR(VLOOKUP(B134,input_339010!L:R,7,FALSE),VLOOKUP(tables_339010!C134,input_339010!A:H,8,FALSE))</f>
        <v>752</v>
      </c>
      <c r="P134" s="48">
        <f t="shared" ca="1" si="5"/>
        <v>6.2783863211327809E-4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input_339010!A$2</f>
        <v>339010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IFERROR(VLOOKUP(B135,input_339010!L:R,7,FALSE),VLOOKUP(tables_339010!C135,input_339010!A:H,8,FALSE))</f>
        <v>7520</v>
      </c>
      <c r="P135" s="48">
        <f t="shared" ca="1" si="5"/>
        <v>6.2783863211327813E-3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input_339010!A$2</f>
        <v>339010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IFERROR(VLOOKUP(B136,input_339010!L:R,7,FALSE),VLOOKUP(tables_339010!C136,input_339010!A:H,8,FALSE))</f>
        <v>6768</v>
      </c>
      <c r="P136" s="48">
        <f t="shared" ca="1" si="5"/>
        <v>5.6505476890195035E-3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input_339010!A$2</f>
        <v>339010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IFERROR(VLOOKUP(B137,input_339010!L:R,7,FALSE),VLOOKUP(tables_339010!C137,input_339010!A:H,8,FALSE))</f>
        <v>752</v>
      </c>
      <c r="P137" s="48">
        <f t="shared" ca="1" si="5"/>
        <v>6.2783863211327809E-4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input_339010!A$2</f>
        <v>339010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IFERROR(VLOOKUP(B138,input_339010!L:R,7,FALSE),VLOOKUP(tables_339010!C138,input_339010!A:H,8,FALSE))</f>
        <v>1444</v>
      </c>
      <c r="P138" s="48">
        <f t="shared" ca="1" si="5"/>
        <v>1.2055837563451778E-3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input_339010!A$2</f>
        <v>339010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IFERROR(VLOOKUP(B139,input_339010!L:R,7,FALSE),VLOOKUP(tables_339010!C139,input_339010!A:H,8,FALSE))</f>
        <v>76</v>
      </c>
      <c r="P139" s="48">
        <f t="shared" ca="1" si="5"/>
        <v>6.3451776649746196E-5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input_339010!A$2</f>
        <v>339010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IFERROR(VLOOKUP(B140,input_339010!L:R,7,FALSE),VLOOKUP(tables_339010!C140,input_339010!A:H,8,FALSE))</f>
        <v>1444</v>
      </c>
      <c r="P140" s="48">
        <f t="shared" ca="1" si="5"/>
        <v>1.2055837563451778E-3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input_339010!A$2</f>
        <v>339010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IFERROR(VLOOKUP(B141,input_339010!L:R,7,FALSE),VLOOKUP(tables_339010!C141,input_339010!A:H,8,FALSE))</f>
        <v>76</v>
      </c>
      <c r="P141" s="48">
        <f t="shared" ca="1" si="5"/>
        <v>6.3451776649746196E-5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input_339010!A$2</f>
        <v>339010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IFERROR(VLOOKUP(B142,input_339010!L:R,7,FALSE),VLOOKUP(tables_339010!C142,input_339010!A:H,8,FALSE))</f>
        <v>1444</v>
      </c>
      <c r="P142" s="48">
        <f t="shared" ca="1" si="5"/>
        <v>1.2055837563451778E-3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input_339010!A$2</f>
        <v>339010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IFERROR(VLOOKUP(B143,input_339010!L:R,7,FALSE),VLOOKUP(tables_339010!C143,input_339010!A:H,8,FALSE))</f>
        <v>76</v>
      </c>
      <c r="P143" s="48">
        <f t="shared" ref="P143:P206" ca="1" si="8">O143/SUM(O:O)</f>
        <v>6.3451776649746196E-5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input_339010!A$2</f>
        <v>339010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IFERROR(VLOOKUP(B144,input_339010!L:R,7,FALSE),VLOOKUP(tables_339010!C144,input_339010!A:H,8,FALSE))</f>
        <v>1444</v>
      </c>
      <c r="P144" s="48">
        <f t="shared" ca="1" si="8"/>
        <v>1.2055837563451778E-3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input_339010!A$2</f>
        <v>339010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IFERROR(VLOOKUP(B145,input_339010!L:R,7,FALSE),VLOOKUP(tables_339010!C145,input_339010!A:H,8,FALSE))</f>
        <v>76</v>
      </c>
      <c r="P145" s="48">
        <f t="shared" ca="1" si="8"/>
        <v>6.3451776649746196E-5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input_339010!A$2</f>
        <v>339010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IFERROR(VLOOKUP(B146,input_339010!L:R,7,FALSE),VLOOKUP(tables_339010!C146,input_339010!A:H,8,FALSE))</f>
        <v>7520</v>
      </c>
      <c r="P146" s="48">
        <f t="shared" ca="1" si="8"/>
        <v>6.2783863211327813E-3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input_339010!A$2</f>
        <v>339010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IFERROR(VLOOKUP(B147,input_339010!L:R,7,FALSE),VLOOKUP(tables_339010!C147,input_339010!A:H,8,FALSE))</f>
        <v>6768</v>
      </c>
      <c r="P147" s="48">
        <f t="shared" ca="1" si="8"/>
        <v>5.6505476890195035E-3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input_339010!A$2</f>
        <v>339010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IFERROR(VLOOKUP(B148,input_339010!L:R,7,FALSE),VLOOKUP(tables_339010!C148,input_339010!A:H,8,FALSE))</f>
        <v>752</v>
      </c>
      <c r="P148" s="48">
        <f t="shared" ca="1" si="8"/>
        <v>6.2783863211327809E-4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input_339010!A$2</f>
        <v>339010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IFERROR(VLOOKUP(B149,input_339010!L:R,7,FALSE),VLOOKUP(tables_339010!C149,input_339010!A:H,8,FALSE))</f>
        <v>1444</v>
      </c>
      <c r="P149" s="48">
        <f t="shared" ca="1" si="8"/>
        <v>1.2055837563451778E-3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input_339010!A$2</f>
        <v>339010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IFERROR(VLOOKUP(B150,input_339010!L:R,7,FALSE),VLOOKUP(tables_339010!C150,input_339010!A:H,8,FALSE))</f>
        <v>76</v>
      </c>
      <c r="P150" s="48">
        <f t="shared" ca="1" si="8"/>
        <v>6.3451776649746196E-5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input_339010!A$2</f>
        <v>339010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IFERROR(VLOOKUP(B151,input_339010!L:R,7,FALSE),VLOOKUP(tables_339010!C151,input_339010!A:H,8,FALSE))</f>
        <v>1444</v>
      </c>
      <c r="P151" s="48">
        <f t="shared" ca="1" si="8"/>
        <v>1.2055837563451778E-3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input_339010!A$2</f>
        <v>339010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IFERROR(VLOOKUP(B152,input_339010!L:R,7,FALSE),VLOOKUP(tables_339010!C152,input_339010!A:H,8,FALSE))</f>
        <v>76</v>
      </c>
      <c r="P152" s="48">
        <f t="shared" ca="1" si="8"/>
        <v>6.3451776649746196E-5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input_339010!A$2</f>
        <v>339010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IFERROR(VLOOKUP(B153,input_339010!L:R,7,FALSE),VLOOKUP(tables_339010!C153,input_339010!A:H,8,FALSE))</f>
        <v>7520</v>
      </c>
      <c r="P153" s="48">
        <f t="shared" ca="1" si="8"/>
        <v>6.2783863211327813E-3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input_339010!A$2</f>
        <v>339010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IFERROR(VLOOKUP(B154,input_339010!L:R,7,FALSE),VLOOKUP(tables_339010!C154,input_339010!A:H,8,FALSE))</f>
        <v>6768</v>
      </c>
      <c r="P154" s="48">
        <f t="shared" ca="1" si="8"/>
        <v>5.6505476890195035E-3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input_339010!A$2</f>
        <v>339010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IFERROR(VLOOKUP(B155,input_339010!L:R,7,FALSE),VLOOKUP(tables_339010!C155,input_339010!A:H,8,FALSE))</f>
        <v>752</v>
      </c>
      <c r="P155" s="48">
        <f t="shared" ca="1" si="8"/>
        <v>6.2783863211327809E-4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input_339010!A$2</f>
        <v>339010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IFERROR(VLOOKUP(B156,input_339010!L:R,7,FALSE),VLOOKUP(tables_339010!C156,input_339010!A:H,8,FALSE))</f>
        <v>1444</v>
      </c>
      <c r="P156" s="48">
        <f t="shared" ca="1" si="8"/>
        <v>1.2055837563451778E-3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input_339010!A$2</f>
        <v>339010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IFERROR(VLOOKUP(B157,input_339010!L:R,7,FALSE),VLOOKUP(tables_339010!C157,input_339010!A:H,8,FALSE))</f>
        <v>76</v>
      </c>
      <c r="P157" s="48">
        <f t="shared" ca="1" si="8"/>
        <v>6.3451776649746196E-5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input_339010!A$2</f>
        <v>339010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IFERROR(VLOOKUP(B158,input_339010!L:R,7,FALSE),VLOOKUP(tables_339010!C158,input_339010!A:H,8,FALSE))</f>
        <v>7520</v>
      </c>
      <c r="P158" s="48">
        <f t="shared" ca="1" si="8"/>
        <v>6.2783863211327813E-3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input_339010!A$2</f>
        <v>339010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IFERROR(VLOOKUP(B159,input_339010!L:R,7,FALSE),VLOOKUP(tables_339010!C159,input_339010!A:H,8,FALSE))</f>
        <v>6768</v>
      </c>
      <c r="P159" s="48">
        <f t="shared" ca="1" si="8"/>
        <v>5.6505476890195035E-3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input_339010!A$2</f>
        <v>339010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IFERROR(VLOOKUP(B160,input_339010!L:R,7,FALSE),VLOOKUP(tables_339010!C160,input_339010!A:H,8,FALSE))</f>
        <v>752</v>
      </c>
      <c r="P160" s="48">
        <f t="shared" ca="1" si="8"/>
        <v>6.2783863211327809E-4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input_339010!A$2</f>
        <v>339010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IFERROR(VLOOKUP(B161,input_339010!L:R,7,FALSE),VLOOKUP(tables_339010!C161,input_339010!A:H,8,FALSE))</f>
        <v>7520</v>
      </c>
      <c r="P161" s="48">
        <f t="shared" ca="1" si="8"/>
        <v>6.2783863211327813E-3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input_339010!A$2</f>
        <v>339010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IFERROR(VLOOKUP(B162,input_339010!L:R,7,FALSE),VLOOKUP(tables_339010!C162,input_339010!A:H,8,FALSE))</f>
        <v>6768</v>
      </c>
      <c r="P162" s="48">
        <f t="shared" ca="1" si="8"/>
        <v>5.6505476890195035E-3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input_339010!A$2</f>
        <v>339010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IFERROR(VLOOKUP(B163,input_339010!L:R,7,FALSE),VLOOKUP(tables_339010!C163,input_339010!A:H,8,FALSE))</f>
        <v>752</v>
      </c>
      <c r="P163" s="48">
        <f t="shared" ca="1" si="8"/>
        <v>6.2783863211327809E-4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input_339010!A$2</f>
        <v>339010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IFERROR(VLOOKUP(B164,input_339010!L:R,7,FALSE),VLOOKUP(tables_339010!C164,input_339010!A:H,8,FALSE))</f>
        <v>1444</v>
      </c>
      <c r="P164" s="48">
        <f t="shared" ca="1" si="8"/>
        <v>1.2055837563451778E-3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input_339010!A$2</f>
        <v>339010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IFERROR(VLOOKUP(B165,input_339010!L:R,7,FALSE),VLOOKUP(tables_339010!C165,input_339010!A:H,8,FALSE))</f>
        <v>76</v>
      </c>
      <c r="P165" s="48">
        <f t="shared" ca="1" si="8"/>
        <v>6.3451776649746196E-5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input_339010!A$2</f>
        <v>339010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IFERROR(VLOOKUP(B166,input_339010!L:R,7,FALSE),VLOOKUP(tables_339010!C166,input_339010!A:H,8,FALSE))</f>
        <v>7520</v>
      </c>
      <c r="P166" s="48">
        <f t="shared" ca="1" si="8"/>
        <v>6.2783863211327813E-3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input_339010!A$2</f>
        <v>339010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IFERROR(VLOOKUP(B167,input_339010!L:R,7,FALSE),VLOOKUP(tables_339010!C167,input_339010!A:H,8,FALSE))</f>
        <v>6768</v>
      </c>
      <c r="P167" s="48">
        <f t="shared" ca="1" si="8"/>
        <v>5.6505476890195035E-3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input_339010!A$2</f>
        <v>339010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IFERROR(VLOOKUP(B168,input_339010!L:R,7,FALSE),VLOOKUP(tables_339010!C168,input_339010!A:H,8,FALSE))</f>
        <v>752</v>
      </c>
      <c r="P168" s="48">
        <f t="shared" ca="1" si="8"/>
        <v>6.2783863211327809E-4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input_339010!A$2</f>
        <v>339010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IFERROR(VLOOKUP(B169,input_339010!L:R,7,FALSE),VLOOKUP(tables_339010!C169,input_339010!A:H,8,FALSE))</f>
        <v>1444</v>
      </c>
      <c r="P169" s="48">
        <f t="shared" ca="1" si="8"/>
        <v>1.2055837563451778E-3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input_339010!A$2</f>
        <v>339010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IFERROR(VLOOKUP(B170,input_339010!L:R,7,FALSE),VLOOKUP(tables_339010!C170,input_339010!A:H,8,FALSE))</f>
        <v>76</v>
      </c>
      <c r="P170" s="48">
        <f t="shared" ca="1" si="8"/>
        <v>6.3451776649746196E-5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input_339010!A$2</f>
        <v>339010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IFERROR(VLOOKUP(B171,input_339010!L:R,7,FALSE),VLOOKUP(tables_339010!C171,input_339010!A:H,8,FALSE))</f>
        <v>7520</v>
      </c>
      <c r="P171" s="48">
        <f t="shared" ca="1" si="8"/>
        <v>6.2783863211327813E-3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input_339010!A$2</f>
        <v>339010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IFERROR(VLOOKUP(B172,input_339010!L:R,7,FALSE),VLOOKUP(tables_339010!C172,input_339010!A:H,8,FALSE))</f>
        <v>6768</v>
      </c>
      <c r="P172" s="48">
        <f t="shared" ca="1" si="8"/>
        <v>5.6505476890195035E-3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input_339010!A$2</f>
        <v>339010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IFERROR(VLOOKUP(B173,input_339010!L:R,7,FALSE),VLOOKUP(tables_339010!C173,input_339010!A:H,8,FALSE))</f>
        <v>752</v>
      </c>
      <c r="P173" s="48">
        <f t="shared" ca="1" si="8"/>
        <v>6.2783863211327809E-4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input_339010!A$2</f>
        <v>339010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IFERROR(VLOOKUP(B174,input_339010!L:R,7,FALSE),VLOOKUP(tables_339010!C174,input_339010!A:H,8,FALSE))</f>
        <v>1444</v>
      </c>
      <c r="P174" s="48">
        <f t="shared" ca="1" si="8"/>
        <v>1.2055837563451778E-3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input_339010!A$2</f>
        <v>339010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IFERROR(VLOOKUP(B175,input_339010!L:R,7,FALSE),VLOOKUP(tables_339010!C175,input_339010!A:H,8,FALSE))</f>
        <v>76</v>
      </c>
      <c r="P175" s="48">
        <f t="shared" ca="1" si="8"/>
        <v>6.3451776649746196E-5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input_339010!A$2</f>
        <v>339010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IFERROR(VLOOKUP(B176,input_339010!L:R,7,FALSE),VLOOKUP(tables_339010!C176,input_339010!A:H,8,FALSE))</f>
        <v>1444</v>
      </c>
      <c r="P176" s="48">
        <f t="shared" ca="1" si="8"/>
        <v>1.2055837563451778E-3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input_339010!A$2</f>
        <v>339010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IFERROR(VLOOKUP(B177,input_339010!L:R,7,FALSE),VLOOKUP(tables_339010!C177,input_339010!A:H,8,FALSE))</f>
        <v>76</v>
      </c>
      <c r="P177" s="48">
        <f t="shared" ca="1" si="8"/>
        <v>6.3451776649746196E-5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input_339010!A$2</f>
        <v>339010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IFERROR(VLOOKUP(B178,input_339010!L:R,7,FALSE),VLOOKUP(tables_339010!C178,input_339010!A:H,8,FALSE))</f>
        <v>7520</v>
      </c>
      <c r="P178" s="48">
        <f t="shared" ca="1" si="8"/>
        <v>6.2783863211327813E-3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input_339010!A$2</f>
        <v>339010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IFERROR(VLOOKUP(B179,input_339010!L:R,7,FALSE),VLOOKUP(tables_339010!C179,input_339010!A:H,8,FALSE))</f>
        <v>6768</v>
      </c>
      <c r="P179" s="48">
        <f t="shared" ca="1" si="8"/>
        <v>5.6505476890195035E-3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input_339010!A$2</f>
        <v>339010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IFERROR(VLOOKUP(B180,input_339010!L:R,7,FALSE),VLOOKUP(tables_339010!C180,input_339010!A:H,8,FALSE))</f>
        <v>752</v>
      </c>
      <c r="P180" s="48">
        <f t="shared" ca="1" si="8"/>
        <v>6.2783863211327809E-4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input_339010!A$2</f>
        <v>339010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IFERROR(VLOOKUP(B181,input_339010!L:R,7,FALSE),VLOOKUP(tables_339010!C181,input_339010!A:H,8,FALSE))</f>
        <v>7520</v>
      </c>
      <c r="P181" s="48">
        <f t="shared" ca="1" si="8"/>
        <v>6.2783863211327813E-3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input_339010!A$2</f>
        <v>339010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IFERROR(VLOOKUP(B182,input_339010!L:R,7,FALSE),VLOOKUP(tables_339010!C182,input_339010!A:H,8,FALSE))</f>
        <v>6768</v>
      </c>
      <c r="P182" s="48">
        <f t="shared" ca="1" si="8"/>
        <v>5.6505476890195035E-3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input_339010!A$2</f>
        <v>339010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IFERROR(VLOOKUP(B183,input_339010!L:R,7,FALSE),VLOOKUP(tables_339010!C183,input_339010!A:H,8,FALSE))</f>
        <v>752</v>
      </c>
      <c r="P183" s="48">
        <f t="shared" ca="1" si="8"/>
        <v>6.2783863211327809E-4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input_339010!A$2</f>
        <v>339010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IFERROR(VLOOKUP(B184,input_339010!L:R,7,FALSE),VLOOKUP(tables_339010!C184,input_339010!A:H,8,FALSE))</f>
        <v>1444</v>
      </c>
      <c r="P184" s="48">
        <f t="shared" ca="1" si="8"/>
        <v>1.2055837563451778E-3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input_339010!A$2</f>
        <v>339010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IFERROR(VLOOKUP(B185,input_339010!L:R,7,FALSE),VLOOKUP(tables_339010!C185,input_339010!A:H,8,FALSE))</f>
        <v>76</v>
      </c>
      <c r="P185" s="48">
        <f t="shared" ca="1" si="8"/>
        <v>6.3451776649746196E-5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input_339010!A$2</f>
        <v>339010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IFERROR(VLOOKUP(B186,input_339010!L:R,7,FALSE),VLOOKUP(tables_339010!C186,input_339010!A:H,8,FALSE))</f>
        <v>7520</v>
      </c>
      <c r="P186" s="48">
        <f t="shared" ca="1" si="8"/>
        <v>6.2783863211327813E-3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input_339010!A$2</f>
        <v>339010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IFERROR(VLOOKUP(B187,input_339010!L:R,7,FALSE),VLOOKUP(tables_339010!C187,input_339010!A:H,8,FALSE))</f>
        <v>6768</v>
      </c>
      <c r="P187" s="48">
        <f t="shared" ca="1" si="8"/>
        <v>5.6505476890195035E-3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input_339010!A$2</f>
        <v>339010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IFERROR(VLOOKUP(B188,input_339010!L:R,7,FALSE),VLOOKUP(tables_339010!C188,input_339010!A:H,8,FALSE))</f>
        <v>752</v>
      </c>
      <c r="P188" s="48">
        <f t="shared" ca="1" si="8"/>
        <v>6.2783863211327809E-4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input_339010!A$2</f>
        <v>339010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IFERROR(VLOOKUP(B189,input_339010!L:R,7,FALSE),VLOOKUP(tables_339010!C189,input_339010!A:H,8,FALSE))</f>
        <v>1444</v>
      </c>
      <c r="P189" s="48">
        <f t="shared" ca="1" si="8"/>
        <v>1.2055837563451778E-3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input_339010!A$2</f>
        <v>339010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IFERROR(VLOOKUP(B190,input_339010!L:R,7,FALSE),VLOOKUP(tables_339010!C190,input_339010!A:H,8,FALSE))</f>
        <v>76</v>
      </c>
      <c r="P190" s="48">
        <f t="shared" ca="1" si="8"/>
        <v>6.3451776649746196E-5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input_339010!A$2</f>
        <v>339010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IFERROR(VLOOKUP(B191,input_339010!L:R,7,FALSE),VLOOKUP(tables_339010!C191,input_339010!A:H,8,FALSE))</f>
        <v>1444</v>
      </c>
      <c r="P191" s="48">
        <f t="shared" ca="1" si="8"/>
        <v>1.2055837563451778E-3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input_339010!A$2</f>
        <v>339010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IFERROR(VLOOKUP(B192,input_339010!L:R,7,FALSE),VLOOKUP(tables_339010!C192,input_339010!A:H,8,FALSE))</f>
        <v>76</v>
      </c>
      <c r="P192" s="48">
        <f t="shared" ca="1" si="8"/>
        <v>6.3451776649746196E-5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input_339010!A$2</f>
        <v>339010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IFERROR(VLOOKUP(B193,input_339010!L:R,7,FALSE),VLOOKUP(tables_339010!C193,input_339010!A:H,8,FALSE))</f>
        <v>7520</v>
      </c>
      <c r="P193" s="48">
        <f t="shared" ca="1" si="8"/>
        <v>6.2783863211327813E-3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input_339010!A$2</f>
        <v>339010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IFERROR(VLOOKUP(B194,input_339010!L:R,7,FALSE),VLOOKUP(tables_339010!C194,input_339010!A:H,8,FALSE))</f>
        <v>6768</v>
      </c>
      <c r="P194" s="48">
        <f t="shared" ca="1" si="8"/>
        <v>5.6505476890195035E-3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input_339010!A$2</f>
        <v>339010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IFERROR(VLOOKUP(B195,input_339010!L:R,7,FALSE),VLOOKUP(tables_339010!C195,input_339010!A:H,8,FALSE))</f>
        <v>752</v>
      </c>
      <c r="P195" s="48">
        <f t="shared" ca="1" si="8"/>
        <v>6.2783863211327809E-4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input_339010!A$2</f>
        <v>339010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IFERROR(VLOOKUP(B196,input_339010!L:R,7,FALSE),VLOOKUP(tables_339010!C196,input_339010!A:H,8,FALSE))</f>
        <v>1444</v>
      </c>
      <c r="P196" s="48">
        <f t="shared" ca="1" si="8"/>
        <v>1.2055837563451778E-3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input_339010!A$2</f>
        <v>339010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IFERROR(VLOOKUP(B197,input_339010!L:R,7,FALSE),VLOOKUP(tables_339010!C197,input_339010!A:H,8,FALSE))</f>
        <v>76</v>
      </c>
      <c r="P197" s="48">
        <f t="shared" ca="1" si="8"/>
        <v>6.3451776649746196E-5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input_339010!A$2</f>
        <v>339010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IFERROR(VLOOKUP(B198,input_339010!L:R,7,FALSE),VLOOKUP(tables_339010!C198,input_339010!A:H,8,FALSE))</f>
        <v>7520</v>
      </c>
      <c r="P198" s="48">
        <f t="shared" ca="1" si="8"/>
        <v>6.2783863211327813E-3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input_339010!A$2</f>
        <v>339010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IFERROR(VLOOKUP(B199,input_339010!L:R,7,FALSE),VLOOKUP(tables_339010!C199,input_339010!A:H,8,FALSE))</f>
        <v>6768</v>
      </c>
      <c r="P199" s="48">
        <f t="shared" ca="1" si="8"/>
        <v>5.6505476890195035E-3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input_339010!A$2</f>
        <v>339010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IFERROR(VLOOKUP(B200,input_339010!L:R,7,FALSE),VLOOKUP(tables_339010!C200,input_339010!A:H,8,FALSE))</f>
        <v>752</v>
      </c>
      <c r="P200" s="48">
        <f t="shared" ca="1" si="8"/>
        <v>6.2783863211327809E-4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input_339010!A$2</f>
        <v>339010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IFERROR(VLOOKUP(B201,input_339010!L:R,7,FALSE),VLOOKUP(tables_339010!C201,input_339010!A:H,8,FALSE))</f>
        <v>1444</v>
      </c>
      <c r="P201" s="48">
        <f t="shared" ca="1" si="8"/>
        <v>1.2055837563451778E-3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input_339010!A$2</f>
        <v>339010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IFERROR(VLOOKUP(B202,input_339010!L:R,7,FALSE),VLOOKUP(tables_339010!C202,input_339010!A:H,8,FALSE))</f>
        <v>76</v>
      </c>
      <c r="P202" s="48">
        <f t="shared" ca="1" si="8"/>
        <v>6.3451776649746196E-5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input_339010!A$2</f>
        <v>339010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IFERROR(VLOOKUP(B203,input_339010!L:R,7,FALSE),VLOOKUP(tables_339010!C203,input_339010!A:H,8,FALSE))</f>
        <v>7520</v>
      </c>
      <c r="P203" s="48">
        <f t="shared" ca="1" si="8"/>
        <v>6.2783863211327813E-3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input_339010!A$2</f>
        <v>339010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IFERROR(VLOOKUP(B204,input_339010!L:R,7,FALSE),VLOOKUP(tables_339010!C204,input_339010!A:H,8,FALSE))</f>
        <v>6768</v>
      </c>
      <c r="P204" s="48">
        <f t="shared" ca="1" si="8"/>
        <v>5.6505476890195035E-3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input_339010!A$2</f>
        <v>339010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IFERROR(VLOOKUP(B205,input_339010!L:R,7,FALSE),VLOOKUP(tables_339010!C205,input_339010!A:H,8,FALSE))</f>
        <v>752</v>
      </c>
      <c r="P205" s="48">
        <f t="shared" ca="1" si="8"/>
        <v>6.2783863211327809E-4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input_339010!A$2</f>
        <v>339010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IFERROR(VLOOKUP(B206,input_339010!L:R,7,FALSE),VLOOKUP(tables_339010!C206,input_339010!A:H,8,FALSE))</f>
        <v>1444</v>
      </c>
      <c r="P206" s="48">
        <f t="shared" ca="1" si="8"/>
        <v>1.2055837563451778E-3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input_339010!A$2</f>
        <v>339010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IFERROR(VLOOKUP(B207,input_339010!L:R,7,FALSE),VLOOKUP(tables_339010!C207,input_339010!A:H,8,FALSE))</f>
        <v>76</v>
      </c>
      <c r="P207" s="48">
        <f t="shared" ref="P207:P270" ca="1" si="11">O207/SUM(O:O)</f>
        <v>6.3451776649746196E-5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input_339010!A$2</f>
        <v>339010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IFERROR(VLOOKUP(B208,input_339010!L:R,7,FALSE),VLOOKUP(tables_339010!C208,input_339010!A:H,8,FALSE))</f>
        <v>1444</v>
      </c>
      <c r="P208" s="48">
        <f t="shared" ca="1" si="11"/>
        <v>1.2055837563451778E-3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input_339010!A$2</f>
        <v>339010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IFERROR(VLOOKUP(B209,input_339010!L:R,7,FALSE),VLOOKUP(tables_339010!C209,input_339010!A:H,8,FALSE))</f>
        <v>76</v>
      </c>
      <c r="P209" s="48">
        <f t="shared" ca="1" si="11"/>
        <v>6.3451776649746196E-5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input_339010!A$2</f>
        <v>339010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IFERROR(VLOOKUP(B210,input_339010!L:R,7,FALSE),VLOOKUP(tables_339010!C210,input_339010!A:H,8,FALSE))</f>
        <v>7520</v>
      </c>
      <c r="P210" s="48">
        <f t="shared" ca="1" si="11"/>
        <v>6.2783863211327813E-3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input_339010!A$2</f>
        <v>339010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IFERROR(VLOOKUP(B211,input_339010!L:R,7,FALSE),VLOOKUP(tables_339010!C211,input_339010!A:H,8,FALSE))</f>
        <v>6768</v>
      </c>
      <c r="P211" s="48">
        <f t="shared" ca="1" si="11"/>
        <v>5.6505476890195035E-3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input_339010!A$2</f>
        <v>339010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IFERROR(VLOOKUP(B212,input_339010!L:R,7,FALSE),VLOOKUP(tables_339010!C212,input_339010!A:H,8,FALSE))</f>
        <v>752</v>
      </c>
      <c r="P212" s="48">
        <f t="shared" ca="1" si="11"/>
        <v>6.2783863211327809E-4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input_339010!A$2</f>
        <v>339010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IFERROR(VLOOKUP(B213,input_339010!L:R,7,FALSE),VLOOKUP(tables_339010!C213,input_339010!A:H,8,FALSE))</f>
        <v>1444</v>
      </c>
      <c r="P213" s="48">
        <f t="shared" ca="1" si="11"/>
        <v>1.2055837563451778E-3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input_339010!A$2</f>
        <v>339010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IFERROR(VLOOKUP(B214,input_339010!L:R,7,FALSE),VLOOKUP(tables_339010!C214,input_339010!A:H,8,FALSE))</f>
        <v>76</v>
      </c>
      <c r="P214" s="48">
        <f t="shared" ca="1" si="11"/>
        <v>6.3451776649746196E-5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input_339010!A$2</f>
        <v>339010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IFERROR(VLOOKUP(B215,input_339010!L:R,7,FALSE),VLOOKUP(tables_339010!C215,input_339010!A:H,8,FALSE))</f>
        <v>1444</v>
      </c>
      <c r="P215" s="48">
        <f t="shared" ca="1" si="11"/>
        <v>1.2055837563451778E-3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input_339010!A$2</f>
        <v>339010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IFERROR(VLOOKUP(B216,input_339010!L:R,7,FALSE),VLOOKUP(tables_339010!C216,input_339010!A:H,8,FALSE))</f>
        <v>76</v>
      </c>
      <c r="P216" s="48">
        <f t="shared" ca="1" si="11"/>
        <v>6.3451776649746196E-5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input_339010!A$2</f>
        <v>339010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IFERROR(VLOOKUP(B217,input_339010!L:R,7,FALSE),VLOOKUP(tables_339010!C217,input_339010!A:H,8,FALSE))</f>
        <v>7520</v>
      </c>
      <c r="P217" s="48">
        <f t="shared" ca="1" si="11"/>
        <v>6.2783863211327813E-3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input_339010!A$2</f>
        <v>339010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IFERROR(VLOOKUP(B218,input_339010!L:R,7,FALSE),VLOOKUP(tables_339010!C218,input_339010!A:H,8,FALSE))</f>
        <v>6768</v>
      </c>
      <c r="P218" s="48">
        <f t="shared" ca="1" si="11"/>
        <v>5.6505476890195035E-3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input_339010!A$2</f>
        <v>339010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IFERROR(VLOOKUP(B219,input_339010!L:R,7,FALSE),VLOOKUP(tables_339010!C219,input_339010!A:H,8,FALSE))</f>
        <v>752</v>
      </c>
      <c r="P219" s="48">
        <f t="shared" ca="1" si="11"/>
        <v>6.2783863211327809E-4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input_339010!A$2</f>
        <v>339010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IFERROR(VLOOKUP(B220,input_339010!L:R,7,FALSE),VLOOKUP(tables_339010!C220,input_339010!A:H,8,FALSE))</f>
        <v>7520</v>
      </c>
      <c r="P220" s="48">
        <f t="shared" ca="1" si="11"/>
        <v>6.2783863211327813E-3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input_339010!A$2</f>
        <v>339010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IFERROR(VLOOKUP(B221,input_339010!L:R,7,FALSE),VLOOKUP(tables_339010!C221,input_339010!A:H,8,FALSE))</f>
        <v>6768</v>
      </c>
      <c r="P221" s="48">
        <f t="shared" ca="1" si="11"/>
        <v>5.6505476890195035E-3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input_339010!A$2</f>
        <v>339010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IFERROR(VLOOKUP(B222,input_339010!L:R,7,FALSE),VLOOKUP(tables_339010!C222,input_339010!A:H,8,FALSE))</f>
        <v>752</v>
      </c>
      <c r="P222" s="48">
        <f t="shared" ca="1" si="11"/>
        <v>6.2783863211327809E-4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input_339010!A$2</f>
        <v>339010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IFERROR(VLOOKUP(B223,input_339010!L:R,7,FALSE),VLOOKUP(tables_339010!C223,input_339010!A:H,8,FALSE))</f>
        <v>1444</v>
      </c>
      <c r="P223" s="48">
        <f t="shared" ca="1" si="11"/>
        <v>1.2055837563451778E-3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input_339010!A$2</f>
        <v>339010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IFERROR(VLOOKUP(B224,input_339010!L:R,7,FALSE),VLOOKUP(tables_339010!C224,input_339010!A:H,8,FALSE))</f>
        <v>76</v>
      </c>
      <c r="P224" s="48">
        <f t="shared" ca="1" si="11"/>
        <v>6.3451776649746196E-5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input_339010!A$2</f>
        <v>339010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IFERROR(VLOOKUP(B225,input_339010!L:R,7,FALSE),VLOOKUP(tables_339010!C225,input_339010!A:H,8,FALSE))</f>
        <v>7520</v>
      </c>
      <c r="P225" s="48">
        <f t="shared" ca="1" si="11"/>
        <v>6.2783863211327813E-3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input_339010!A$2</f>
        <v>339010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IFERROR(VLOOKUP(B226,input_339010!L:R,7,FALSE),VLOOKUP(tables_339010!C226,input_339010!A:H,8,FALSE))</f>
        <v>6768</v>
      </c>
      <c r="P226" s="48">
        <f t="shared" ca="1" si="11"/>
        <v>5.6505476890195035E-3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input_339010!A$2</f>
        <v>339010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IFERROR(VLOOKUP(B227,input_339010!L:R,7,FALSE),VLOOKUP(tables_339010!C227,input_339010!A:H,8,FALSE))</f>
        <v>752</v>
      </c>
      <c r="P227" s="48">
        <f t="shared" ca="1" si="11"/>
        <v>6.2783863211327809E-4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input_339010!A$2</f>
        <v>339010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IFERROR(VLOOKUP(B228,input_339010!L:R,7,FALSE),VLOOKUP(tables_339010!C228,input_339010!A:H,8,FALSE))</f>
        <v>7520</v>
      </c>
      <c r="P228" s="48">
        <f t="shared" ca="1" si="11"/>
        <v>6.2783863211327813E-3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input_339010!A$2</f>
        <v>339010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IFERROR(VLOOKUP(B229,input_339010!L:R,7,FALSE),VLOOKUP(tables_339010!C229,input_339010!A:H,8,FALSE))</f>
        <v>6768</v>
      </c>
      <c r="P229" s="48">
        <f t="shared" ca="1" si="11"/>
        <v>5.6505476890195035E-3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input_339010!A$2</f>
        <v>339010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IFERROR(VLOOKUP(B230,input_339010!L:R,7,FALSE),VLOOKUP(tables_339010!C230,input_339010!A:H,8,FALSE))</f>
        <v>752</v>
      </c>
      <c r="P230" s="48">
        <f t="shared" ca="1" si="11"/>
        <v>6.2783863211327809E-4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input_339010!A$2</f>
        <v>339010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IFERROR(VLOOKUP(B231,input_339010!L:R,7,FALSE),VLOOKUP(tables_339010!C231,input_339010!A:H,8,FALSE))</f>
        <v>1444</v>
      </c>
      <c r="P231" s="48">
        <f t="shared" ca="1" si="11"/>
        <v>1.2055837563451778E-3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input_339010!A$2</f>
        <v>339010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IFERROR(VLOOKUP(B232,input_339010!L:R,7,FALSE),VLOOKUP(tables_339010!C232,input_339010!A:H,8,FALSE))</f>
        <v>76</v>
      </c>
      <c r="P232" s="48">
        <f t="shared" ca="1" si="11"/>
        <v>6.3451776649746196E-5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input_339010!A$2</f>
        <v>339010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IFERROR(VLOOKUP(B233,input_339010!L:R,7,FALSE),VLOOKUP(tables_339010!C233,input_339010!A:H,8,FALSE))</f>
        <v>7520</v>
      </c>
      <c r="P233" s="48">
        <f t="shared" ca="1" si="11"/>
        <v>6.2783863211327813E-3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input_339010!A$2</f>
        <v>339010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IFERROR(VLOOKUP(B234,input_339010!L:R,7,FALSE),VLOOKUP(tables_339010!C234,input_339010!A:H,8,FALSE))</f>
        <v>6768</v>
      </c>
      <c r="P234" s="48">
        <f t="shared" ca="1" si="11"/>
        <v>5.6505476890195035E-3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input_339010!A$2</f>
        <v>339010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IFERROR(VLOOKUP(B235,input_339010!L:R,7,FALSE),VLOOKUP(tables_339010!C235,input_339010!A:H,8,FALSE))</f>
        <v>752</v>
      </c>
      <c r="P235" s="48">
        <f t="shared" ca="1" si="11"/>
        <v>6.2783863211327809E-4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input_339010!A$2</f>
        <v>339010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IFERROR(VLOOKUP(B236,input_339010!L:R,7,FALSE),VLOOKUP(tables_339010!C236,input_339010!A:H,8,FALSE))</f>
        <v>1444</v>
      </c>
      <c r="P236" s="48">
        <f t="shared" ca="1" si="11"/>
        <v>1.2055837563451778E-3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input_339010!A$2</f>
        <v>339010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IFERROR(VLOOKUP(B237,input_339010!L:R,7,FALSE),VLOOKUP(tables_339010!C237,input_339010!A:H,8,FALSE))</f>
        <v>76</v>
      </c>
      <c r="P237" s="48">
        <f t="shared" ca="1" si="11"/>
        <v>6.3451776649746196E-5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input_339010!A$2</f>
        <v>339010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IFERROR(VLOOKUP(B238,input_339010!L:R,7,FALSE),VLOOKUP(tables_339010!C238,input_339010!A:H,8,FALSE))</f>
        <v>1444</v>
      </c>
      <c r="P238" s="48">
        <f t="shared" ca="1" si="11"/>
        <v>1.2055837563451778E-3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input_339010!A$2</f>
        <v>339010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IFERROR(VLOOKUP(B239,input_339010!L:R,7,FALSE),VLOOKUP(tables_339010!C239,input_339010!A:H,8,FALSE))</f>
        <v>76</v>
      </c>
      <c r="P239" s="48">
        <f t="shared" ca="1" si="11"/>
        <v>6.3451776649746196E-5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input_339010!A$2</f>
        <v>339010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IFERROR(VLOOKUP(B240,input_339010!L:R,7,FALSE),VLOOKUP(tables_339010!C240,input_339010!A:H,8,FALSE))</f>
        <v>7520</v>
      </c>
      <c r="P240" s="48">
        <f t="shared" ca="1" si="11"/>
        <v>6.2783863211327813E-3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input_339010!A$2</f>
        <v>339010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IFERROR(VLOOKUP(B241,input_339010!L:R,7,FALSE),VLOOKUP(tables_339010!C241,input_339010!A:H,8,FALSE))</f>
        <v>6768</v>
      </c>
      <c r="P241" s="48">
        <f t="shared" ca="1" si="11"/>
        <v>5.6505476890195035E-3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input_339010!A$2</f>
        <v>339010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IFERROR(VLOOKUP(B242,input_339010!L:R,7,FALSE),VLOOKUP(tables_339010!C242,input_339010!A:H,8,FALSE))</f>
        <v>752</v>
      </c>
      <c r="P242" s="48">
        <f t="shared" ca="1" si="11"/>
        <v>6.2783863211327809E-4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input_339010!A$2</f>
        <v>339010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IFERROR(VLOOKUP(B243,input_339010!L:R,7,FALSE),VLOOKUP(tables_339010!C243,input_339010!A:H,8,FALSE))</f>
        <v>7520</v>
      </c>
      <c r="P243" s="48">
        <f t="shared" ca="1" si="11"/>
        <v>6.2783863211327813E-3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input_339010!A$2</f>
        <v>339010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IFERROR(VLOOKUP(B244,input_339010!L:R,7,FALSE),VLOOKUP(tables_339010!C244,input_339010!A:H,8,FALSE))</f>
        <v>6768</v>
      </c>
      <c r="P244" s="48">
        <f t="shared" ca="1" si="11"/>
        <v>5.6505476890195035E-3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input_339010!A$2</f>
        <v>339010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IFERROR(VLOOKUP(B245,input_339010!L:R,7,FALSE),VLOOKUP(tables_339010!C245,input_339010!A:H,8,FALSE))</f>
        <v>752</v>
      </c>
      <c r="P245" s="48">
        <f t="shared" ca="1" si="11"/>
        <v>6.2783863211327809E-4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input_339010!A$2</f>
        <v>339010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IFERROR(VLOOKUP(B246,input_339010!L:R,7,FALSE),VLOOKUP(tables_339010!C246,input_339010!A:H,8,FALSE))</f>
        <v>7520</v>
      </c>
      <c r="P246" s="48">
        <f t="shared" ca="1" si="11"/>
        <v>6.2783863211327813E-3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input_339010!A$2</f>
        <v>339010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IFERROR(VLOOKUP(B247,input_339010!L:R,7,FALSE),VLOOKUP(tables_339010!C247,input_339010!A:H,8,FALSE))</f>
        <v>6768</v>
      </c>
      <c r="P247" s="48">
        <f t="shared" ca="1" si="11"/>
        <v>5.6505476890195035E-3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input_339010!A$2</f>
        <v>339010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IFERROR(VLOOKUP(B248,input_339010!L:R,7,FALSE),VLOOKUP(tables_339010!C248,input_339010!A:H,8,FALSE))</f>
        <v>752</v>
      </c>
      <c r="P248" s="48">
        <f t="shared" ca="1" si="11"/>
        <v>6.2783863211327809E-4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input_339010!A$2</f>
        <v>339010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IFERROR(VLOOKUP(B249,input_339010!L:R,7,FALSE),VLOOKUP(tables_339010!C249,input_339010!A:H,8,FALSE))</f>
        <v>7520</v>
      </c>
      <c r="P249" s="48">
        <f t="shared" ca="1" si="11"/>
        <v>6.2783863211327813E-3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input_339010!A$2</f>
        <v>339010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IFERROR(VLOOKUP(B250,input_339010!L:R,7,FALSE),VLOOKUP(tables_339010!C250,input_339010!A:H,8,FALSE))</f>
        <v>6768</v>
      </c>
      <c r="P250" s="48">
        <f t="shared" ca="1" si="11"/>
        <v>5.6505476890195035E-3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input_339010!A$2</f>
        <v>339010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IFERROR(VLOOKUP(B251,input_339010!L:R,7,FALSE),VLOOKUP(tables_339010!C251,input_339010!A:H,8,FALSE))</f>
        <v>752</v>
      </c>
      <c r="P251" s="48">
        <f t="shared" ca="1" si="11"/>
        <v>6.2783863211327809E-4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input_339010!A$2</f>
        <v>339010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IFERROR(VLOOKUP(B252,input_339010!L:R,7,FALSE),VLOOKUP(tables_339010!C252,input_339010!A:H,8,FALSE))</f>
        <v>1444</v>
      </c>
      <c r="P252" s="48">
        <f t="shared" ca="1" si="11"/>
        <v>1.2055837563451778E-3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input_339010!A$2</f>
        <v>339010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IFERROR(VLOOKUP(B253,input_339010!L:R,7,FALSE),VLOOKUP(tables_339010!C253,input_339010!A:H,8,FALSE))</f>
        <v>76</v>
      </c>
      <c r="P253" s="48">
        <f t="shared" ca="1" si="11"/>
        <v>6.3451776649746196E-5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input_339010!A$2</f>
        <v>339010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IFERROR(VLOOKUP(B254,input_339010!L:R,7,FALSE),VLOOKUP(tables_339010!C254,input_339010!A:H,8,FALSE))</f>
        <v>1444</v>
      </c>
      <c r="P254" s="48">
        <f t="shared" ca="1" si="11"/>
        <v>1.2055837563451778E-3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input_339010!A$2</f>
        <v>339010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IFERROR(VLOOKUP(B255,input_339010!L:R,7,FALSE),VLOOKUP(tables_339010!C255,input_339010!A:H,8,FALSE))</f>
        <v>76</v>
      </c>
      <c r="P255" s="48">
        <f t="shared" ca="1" si="11"/>
        <v>6.3451776649746196E-5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input_339010!A$2</f>
        <v>339010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IFERROR(VLOOKUP(B256,input_339010!L:R,7,FALSE),VLOOKUP(tables_339010!C256,input_339010!A:H,8,FALSE))</f>
        <v>1444</v>
      </c>
      <c r="P256" s="48">
        <f t="shared" ca="1" si="11"/>
        <v>1.2055837563451778E-3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input_339010!A$2</f>
        <v>339010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IFERROR(VLOOKUP(B257,input_339010!L:R,7,FALSE),VLOOKUP(tables_339010!C257,input_339010!A:H,8,FALSE))</f>
        <v>76</v>
      </c>
      <c r="P257" s="48">
        <f t="shared" ca="1" si="11"/>
        <v>6.3451776649746196E-5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input_339010!A$2</f>
        <v>339010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IFERROR(VLOOKUP(B258,input_339010!L:R,7,FALSE),VLOOKUP(tables_339010!C258,input_339010!A:H,8,FALSE))</f>
        <v>1444</v>
      </c>
      <c r="P258" s="48">
        <f t="shared" ca="1" si="11"/>
        <v>1.2055837563451778E-3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input_339010!A$2</f>
        <v>339010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IFERROR(VLOOKUP(B259,input_339010!L:R,7,FALSE),VLOOKUP(tables_339010!C259,input_339010!A:H,8,FALSE))</f>
        <v>76</v>
      </c>
      <c r="P259" s="48">
        <f t="shared" ca="1" si="11"/>
        <v>6.3451776649746196E-5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input_339010!A$2</f>
        <v>339010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IFERROR(VLOOKUP(B260,input_339010!L:R,7,FALSE),VLOOKUP(tables_339010!C260,input_339010!A:H,8,FALSE))</f>
        <v>7520</v>
      </c>
      <c r="P260" s="48">
        <f t="shared" ca="1" si="11"/>
        <v>6.2783863211327813E-3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input_339010!A$2</f>
        <v>339010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IFERROR(VLOOKUP(B261,input_339010!L:R,7,FALSE),VLOOKUP(tables_339010!C261,input_339010!A:H,8,FALSE))</f>
        <v>6768</v>
      </c>
      <c r="P261" s="48">
        <f t="shared" ca="1" si="11"/>
        <v>5.6505476890195035E-3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input_339010!A$2</f>
        <v>339010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IFERROR(VLOOKUP(B262,input_339010!L:R,7,FALSE),VLOOKUP(tables_339010!C262,input_339010!A:H,8,FALSE))</f>
        <v>752</v>
      </c>
      <c r="P262" s="48">
        <f t="shared" ca="1" si="11"/>
        <v>6.2783863211327809E-4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input_339010!A$2</f>
        <v>339010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IFERROR(VLOOKUP(B263,input_339010!L:R,7,FALSE),VLOOKUP(tables_339010!C263,input_339010!A:H,8,FALSE))</f>
        <v>7520</v>
      </c>
      <c r="P263" s="48">
        <f t="shared" ca="1" si="11"/>
        <v>6.2783863211327813E-3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input_339010!A$2</f>
        <v>339010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IFERROR(VLOOKUP(B264,input_339010!L:R,7,FALSE),VLOOKUP(tables_339010!C264,input_339010!A:H,8,FALSE))</f>
        <v>6768</v>
      </c>
      <c r="P264" s="48">
        <f t="shared" ca="1" si="11"/>
        <v>5.6505476890195035E-3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input_339010!A$2</f>
        <v>339010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IFERROR(VLOOKUP(B265,input_339010!L:R,7,FALSE),VLOOKUP(tables_339010!C265,input_339010!A:H,8,FALSE))</f>
        <v>752</v>
      </c>
      <c r="P265" s="48">
        <f t="shared" ca="1" si="11"/>
        <v>6.2783863211327809E-4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input_339010!A$2</f>
        <v>339010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IFERROR(VLOOKUP(B266,input_339010!L:R,7,FALSE),VLOOKUP(tables_339010!C266,input_339010!A:H,8,FALSE))</f>
        <v>11744</v>
      </c>
      <c r="P266" s="48">
        <f t="shared" ca="1" si="11"/>
        <v>9.8049692759818331E-3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input_339010!A$2</f>
        <v>339010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IFERROR(VLOOKUP(B267,input_339010!L:R,7,FALSE),VLOOKUP(tables_339010!C267,input_339010!A:H,8,FALSE))</f>
        <v>3296</v>
      </c>
      <c r="P267" s="48">
        <f t="shared" ca="1" si="11"/>
        <v>2.7518033662837296E-3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input_339010!A$2</f>
        <v>339010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IFERROR(VLOOKUP(B268,input_339010!L:R,7,FALSE),VLOOKUP(tables_339010!C268,input_339010!A:H,8,FALSE))</f>
        <v>11744</v>
      </c>
      <c r="P268" s="48">
        <f t="shared" ca="1" si="11"/>
        <v>9.8049692759818331E-3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input_339010!A$2</f>
        <v>339010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IFERROR(VLOOKUP(B269,input_339010!L:R,7,FALSE),VLOOKUP(tables_339010!C269,input_339010!A:H,8,FALSE))</f>
        <v>3296</v>
      </c>
      <c r="P269" s="48">
        <f t="shared" ca="1" si="11"/>
        <v>2.7518033662837296E-3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input_339010!A$2</f>
        <v>339010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IFERROR(VLOOKUP(B270,input_339010!L:R,7,FALSE),VLOOKUP(tables_339010!C270,input_339010!A:H,8,FALSE))</f>
        <v>1520</v>
      </c>
      <c r="P270" s="48">
        <f t="shared" ca="1" si="11"/>
        <v>1.2690355329949238E-3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input_339010!A$2</f>
        <v>339010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IFERROR(VLOOKUP(B271,input_339010!L:R,7,FALSE),VLOOKUP(tables_339010!C271,input_339010!A:H,8,FALSE))</f>
        <v>1520</v>
      </c>
      <c r="P271" s="48">
        <f t="shared" ref="P271:P277" ca="1" si="14">O271/SUM(O:O)</f>
        <v>1.2690355329949238E-3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input_339010!A$2</f>
        <v>339010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IFERROR(VLOOKUP(B272,input_339010!L:R,7,FALSE),VLOOKUP(tables_339010!C272,input_339010!A:H,8,FALSE))</f>
        <v>1520</v>
      </c>
      <c r="P272" s="48">
        <f t="shared" ca="1" si="14"/>
        <v>1.2690355329949238E-3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input_339010!A$2</f>
        <v>339010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IFERROR(VLOOKUP(B273,input_339010!L:R,7,FALSE),VLOOKUP(tables_339010!C273,input_339010!A:H,8,FALSE))</f>
        <v>1520</v>
      </c>
      <c r="P273" s="48">
        <f t="shared" ca="1" si="14"/>
        <v>1.2690355329949238E-3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input_339010!A$2</f>
        <v>339010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IFERROR(VLOOKUP(B274,input_339010!L:R,7,FALSE),VLOOKUP(tables_339010!C274,input_339010!A:H,8,FALSE))</f>
        <v>11744</v>
      </c>
      <c r="P274" s="48">
        <f t="shared" ca="1" si="14"/>
        <v>9.8049692759818331E-3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input_339010!A$2</f>
        <v>339010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IFERROR(VLOOKUP(B275,input_339010!L:R,7,FALSE),VLOOKUP(tables_339010!C275,input_339010!A:H,8,FALSE))</f>
        <v>3296</v>
      </c>
      <c r="P275" s="48">
        <f t="shared" ca="1" si="14"/>
        <v>2.7518033662837296E-3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input_339010!A$2</f>
        <v>339010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IFERROR(VLOOKUP(B276,input_339010!L:R,7,FALSE),VLOOKUP(tables_339010!C276,input_339010!A:H,8,FALSE))</f>
        <v>11744</v>
      </c>
      <c r="P276" s="48">
        <f t="shared" ca="1" si="14"/>
        <v>9.8049692759818331E-3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input_339010!A$2</f>
        <v>339010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IFERROR(VLOOKUP(B277,input_339010!L:R,7,FALSE),VLOOKUP(tables_339010!C277,input_339010!A:H,8,FALSE))</f>
        <v>3296</v>
      </c>
      <c r="P277" s="48">
        <f t="shared" ca="1" si="14"/>
        <v>2.7518033662837296E-3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autoFilter ref="A1:V271"/>
  <sortState ref="A2:Y189">
    <sortCondition ref="A2:A189"/>
  </sortState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N6" sqref="N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345100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378</v>
      </c>
      <c r="M3" s="39" t="str">
        <f>VLOOKUP(L3,[1]characters!$A:$C,3,FALSE)</f>
        <v>オイラー</v>
      </c>
      <c r="N3" s="65">
        <f>0.0015*0.1</f>
        <v>1.5000000000000001E-4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VLOOKUP(L3,tables_345100!B:C,2,FALSE)</f>
        <v>PremiumSSS4R3less</v>
      </c>
      <c r="R3" s="64">
        <f t="shared" ref="R3:R5" si="0">N3*A$36</f>
        <v>205.20000000000002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379</v>
      </c>
      <c r="M4" s="39" t="str">
        <f>VLOOKUP(L4,[1]characters!$A:$C,3,FALSE)</f>
        <v>幾何の機刃 オイラー</v>
      </c>
      <c r="N4" s="65">
        <f>0.0015*0.9</f>
        <v>1.3500000000000001E-3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VLOOKUP(L4,tables_345100!B:C,2,FALSE)</f>
        <v>PremiumSSS5R3less</v>
      </c>
      <c r="R4" s="64">
        <f t="shared" si="0"/>
        <v>1846.8000000000002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4.8572257327350599E-17</v>
      </c>
      <c r="D5" t="s">
        <v>210</v>
      </c>
      <c r="E5" s="45">
        <f>(B11-H5)/(F5-I5)</f>
        <v>1.6666666666666666E-3</v>
      </c>
      <c r="F5">
        <f>(COUNTIF(tables_345100!C:C,input_345100!A26)+COUNTIF(tables_345100!C:C,input_345100!A28)+COUNTIF(tables_345100!C:C,input_345100!A29))</f>
        <v>36</v>
      </c>
      <c r="H5" s="78">
        <v>0</v>
      </c>
      <c r="I5" s="31">
        <v>0</v>
      </c>
      <c r="L5" s="83">
        <v>688</v>
      </c>
      <c r="M5" s="39" t="str">
        <f>VLOOKUP(L5,[1]characters!$A:$C,3,FALSE)</f>
        <v>ユークリッド</v>
      </c>
      <c r="N5" s="65">
        <f>0.0015*0.1</f>
        <v>1.5000000000000001E-4</v>
      </c>
      <c r="O5" s="39">
        <f>VLOOKUP(L5,[1]characters!$A:$I,9,FALSE)</f>
        <v>4</v>
      </c>
      <c r="P5" s="39" t="str">
        <f>VLOOKUP(L5,[1]characters!$A:$J,10,FALSE)</f>
        <v>PremiumSSS</v>
      </c>
      <c r="Q5" s="39" t="str">
        <f>VLOOKUP(L5,tables_345100!B:C,2,FALSE)</f>
        <v>PremiumSSS4R3less</v>
      </c>
      <c r="R5" s="64">
        <f t="shared" si="0"/>
        <v>205.20000000000002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f>1-B7</f>
        <v>0.95914999999999995</v>
      </c>
      <c r="D6" t="s">
        <v>211</v>
      </c>
      <c r="E6" s="82">
        <f>(B10-H6)/(F6-I6)</f>
        <v>1.2236842105263157E-2</v>
      </c>
      <c r="F6">
        <f>(COUNTIF(tables_345100!C:C,input_345100!A18)+COUNTIF(tables_345100!C:C,input_345100!A20)+COUNTIF(tables_345100!C:C,input_345100!A22))</f>
        <v>76</v>
      </c>
      <c r="H6" s="78">
        <v>0</v>
      </c>
      <c r="I6" s="31">
        <v>0</v>
      </c>
      <c r="L6" s="83">
        <v>689</v>
      </c>
      <c r="M6" s="39" t="str">
        <f>VLOOKUP(L6,[1]characters!$A:$C,3,FALSE)</f>
        <v>根原論理 ユークリッド</v>
      </c>
      <c r="N6" s="65">
        <f>0.0015*0.9</f>
        <v>1.3500000000000001E-3</v>
      </c>
      <c r="O6" s="39">
        <f>VLOOKUP(L6,[1]characters!$A:$I,9,FALSE)</f>
        <v>5</v>
      </c>
      <c r="P6" s="39" t="str">
        <f>VLOOKUP(L6,[1]characters!$A:$J,10,FALSE)</f>
        <v>PremiumSSS</v>
      </c>
      <c r="Q6" s="39" t="str">
        <f>VLOOKUP(L6,tables_345100!B:C,2,FALSE)</f>
        <v>PremiumSSS5R3less</v>
      </c>
      <c r="R6" s="64">
        <f t="shared" ref="R6:R9" si="2">N6*A$36</f>
        <v>1846.8000000000002</v>
      </c>
      <c r="S6">
        <v>192</v>
      </c>
      <c r="U6" s="34"/>
      <c r="V6" s="56"/>
    </row>
    <row r="7" spans="1:22" x14ac:dyDescent="0.15">
      <c r="A7" s="34" t="s">
        <v>73</v>
      </c>
      <c r="B7" s="76">
        <f>0.05-SUMIF(O3:O9,5,N3:N9)</f>
        <v>4.0850000000000004E-2</v>
      </c>
      <c r="L7" s="83">
        <v>760</v>
      </c>
      <c r="M7" s="39" t="str">
        <f>VLOOKUP(L7,[1]characters!$A:$C,3,FALSE)</f>
        <v>限論顕現 クロネッカー</v>
      </c>
      <c r="N7" s="65">
        <v>1.5E-3</v>
      </c>
      <c r="O7" s="39">
        <f>VLOOKUP(L7,[1]characters!$A:$I,9,FALSE)</f>
        <v>5</v>
      </c>
      <c r="P7" s="39" t="str">
        <f>VLOOKUP(L7,[1]characters!$A:$J,10,FALSE)</f>
        <v>PremiumSSS</v>
      </c>
      <c r="Q7" s="39" t="str">
        <f>VLOOKUP(L7,tables_345100!B:C,2,FALSE)</f>
        <v>PremiumSSS5R3less</v>
      </c>
      <c r="R7" s="64">
        <f t="shared" si="2"/>
        <v>2052</v>
      </c>
      <c r="S7">
        <v>192</v>
      </c>
      <c r="U7" s="34"/>
      <c r="V7" s="56"/>
    </row>
    <row r="8" spans="1:22" x14ac:dyDescent="0.15">
      <c r="A8" s="59"/>
      <c r="B8" s="75"/>
      <c r="L8" s="83">
        <v>484</v>
      </c>
      <c r="M8" s="39" t="str">
        <f>VLOOKUP(L8,[1]characters!$A:$C,3,FALSE)</f>
        <v>ラグランジュ</v>
      </c>
      <c r="N8" s="65">
        <f>0.0055*0.1</f>
        <v>5.5000000000000003E-4</v>
      </c>
      <c r="O8" s="39">
        <f>VLOOKUP(L8,[1]characters!$A:$I,9,FALSE)</f>
        <v>4</v>
      </c>
      <c r="P8" s="39" t="str">
        <f>VLOOKUP(L8,[1]characters!$A:$J,10,FALSE)</f>
        <v>PremiumSSS</v>
      </c>
      <c r="Q8" s="39" t="str">
        <f>VLOOKUP(L8,tables_345100!B:C,2,FALSE)</f>
        <v>PremiumSSS4R3less</v>
      </c>
      <c r="R8" s="64">
        <f t="shared" si="2"/>
        <v>752.40000000000009</v>
      </c>
      <c r="S8">
        <v>192</v>
      </c>
      <c r="U8" s="34"/>
      <c r="V8" s="56"/>
    </row>
    <row r="9" spans="1:22" x14ac:dyDescent="0.15">
      <c r="A9" s="37" t="s">
        <v>56</v>
      </c>
      <c r="B9" s="37"/>
      <c r="L9" s="83">
        <v>485</v>
      </c>
      <c r="M9" s="39" t="str">
        <f>VLOOKUP(L9,[1]characters!$A:$C,3,FALSE)</f>
        <v>超越自我 ラグランジュ</v>
      </c>
      <c r="N9" s="65">
        <f>0.0055*0.9</f>
        <v>4.9499999999999995E-3</v>
      </c>
      <c r="O9" s="39">
        <f>VLOOKUP(L9,[1]characters!$A:$I,9,FALSE)</f>
        <v>5</v>
      </c>
      <c r="P9" s="39" t="str">
        <f>VLOOKUP(L9,[1]characters!$A:$J,10,FALSE)</f>
        <v>PremiumSSS</v>
      </c>
      <c r="Q9" s="39" t="str">
        <f>VLOOKUP(L9,tables_345100!B:C,2,FALSE)</f>
        <v>PremiumSSS5R3less</v>
      </c>
      <c r="R9" s="64">
        <f t="shared" si="2"/>
        <v>6771.5999999999995</v>
      </c>
      <c r="S9">
        <v>192</v>
      </c>
      <c r="U9" s="34"/>
      <c r="V9" s="56"/>
    </row>
    <row r="10" spans="1:22" x14ac:dyDescent="0.15">
      <c r="A10" s="34" t="s">
        <v>101</v>
      </c>
      <c r="B10" s="76">
        <f>1-B11-B12-B8</f>
        <v>0.92999999999999994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0.06</v>
      </c>
      <c r="C11" t="s">
        <v>239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3">SUMIF(Q:Q,A17,N:N)</f>
        <v>0</v>
      </c>
      <c r="D17" s="80">
        <f t="shared" ref="D17:D32" si="4">B17-C17</f>
        <v>0</v>
      </c>
      <c r="E17">
        <f>COUNTIF(tables_345100!C:C,input_345100!A17)-COUNTIF(Q:Q,A17)</f>
        <v>20</v>
      </c>
      <c r="F17" s="45">
        <f>IFERROR(B17/E17,0)</f>
        <v>0</v>
      </c>
      <c r="G17">
        <f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0.24473684210526314</v>
      </c>
      <c r="C18" s="79">
        <f t="shared" si="3"/>
        <v>0</v>
      </c>
      <c r="D18" s="80">
        <f t="shared" si="4"/>
        <v>0.24473684210526314</v>
      </c>
      <c r="E18">
        <f>COUNTIF(tables_345100!C:C,input_345100!A18)-COUNTIF(Q:Q,A18)</f>
        <v>20</v>
      </c>
      <c r="F18" s="45">
        <f t="shared" ref="F18:F31" si="8">IFERROR(B18/E18,0)</f>
        <v>1.2236842105263157E-2</v>
      </c>
      <c r="G18">
        <f t="shared" ref="G18:G31" si="9">A$36*B18</f>
        <v>334800</v>
      </c>
      <c r="H18">
        <f t="shared" si="5"/>
        <v>16740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3"/>
        <v>0</v>
      </c>
      <c r="D19" s="80">
        <f t="shared" si="4"/>
        <v>0</v>
      </c>
      <c r="E19">
        <f>COUNTIF(tables_345100!C:C,input_345100!A19)-COUNTIF(Q:Q,A19)</f>
        <v>52</v>
      </c>
      <c r="F19" s="45">
        <f t="shared" si="8"/>
        <v>0</v>
      </c>
      <c r="G19">
        <f t="shared" si="9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0.61032228947368417</v>
      </c>
      <c r="C20" s="79">
        <f t="shared" si="3"/>
        <v>0</v>
      </c>
      <c r="D20" s="80">
        <f t="shared" si="4"/>
        <v>0.61032228947368417</v>
      </c>
      <c r="E20">
        <f>COUNTIF(tables_345100!C:C,input_345100!A20)-COUNTIF(Q:Q,A20)</f>
        <v>52</v>
      </c>
      <c r="F20" s="45">
        <f t="shared" si="8"/>
        <v>1.1736967105263157E-2</v>
      </c>
      <c r="G20">
        <f t="shared" si="9"/>
        <v>834920.89199999999</v>
      </c>
      <c r="H20">
        <f t="shared" si="5"/>
        <v>16056.171</v>
      </c>
      <c r="I20">
        <f t="shared" si="6"/>
        <v>0.17100000000027649</v>
      </c>
      <c r="J20">
        <f t="shared" si="7"/>
        <v>5.8479532163648136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2.5993500000000003E-2</v>
      </c>
      <c r="C21" s="79">
        <f t="shared" si="3"/>
        <v>0</v>
      </c>
      <c r="D21" s="80">
        <f t="shared" si="4"/>
        <v>2.5993500000000003E-2</v>
      </c>
      <c r="E21">
        <f>COUNTIF(tables_345100!C:C,input_345100!A21)-COUNTIF(Q:Q,A21)</f>
        <v>52</v>
      </c>
      <c r="F21" s="45">
        <f t="shared" si="8"/>
        <v>4.998750000000001E-4</v>
      </c>
      <c r="G21">
        <f t="shared" si="9"/>
        <v>35559.108</v>
      </c>
      <c r="H21">
        <f t="shared" si="5"/>
        <v>683.82899999999995</v>
      </c>
      <c r="I21">
        <f t="shared" si="6"/>
        <v>0.82899999999995089</v>
      </c>
      <c r="J21">
        <f t="shared" si="7"/>
        <v>1.2062726176116516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E6*COUNTIF(tables_345100!C:C,input_345100!A22)-B23</f>
        <v>4.2936201754385964E-2</v>
      </c>
      <c r="C22" s="79">
        <f t="shared" si="3"/>
        <v>0</v>
      </c>
      <c r="D22" s="80">
        <f t="shared" si="4"/>
        <v>4.2936201754385964E-2</v>
      </c>
      <c r="E22">
        <f>COUNTIF(tables_345100!C:C,input_345100!A22)-COUNTIF(Q:Q,A22)</f>
        <v>4</v>
      </c>
      <c r="F22" s="45">
        <f t="shared" si="8"/>
        <v>1.0734050438596491E-2</v>
      </c>
      <c r="G22">
        <f t="shared" si="9"/>
        <v>58736.723999999995</v>
      </c>
      <c r="H22">
        <f t="shared" si="5"/>
        <v>14684.181</v>
      </c>
      <c r="I22">
        <f t="shared" si="6"/>
        <v>0.18100000000049477</v>
      </c>
      <c r="J22">
        <f t="shared" si="7"/>
        <v>5.5248618784379362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6.0111666666666647E-3</v>
      </c>
      <c r="C23" s="79">
        <f t="shared" si="3"/>
        <v>0</v>
      </c>
      <c r="D23" s="80">
        <f t="shared" si="4"/>
        <v>6.0111666666666647E-3</v>
      </c>
      <c r="E23">
        <f>COUNTIF(tables_345100!C:C,input_345100!A23)-COUNTIF(Q:Q,A23)</f>
        <v>4</v>
      </c>
      <c r="F23" s="45">
        <f t="shared" si="8"/>
        <v>1.5027916666666662E-3</v>
      </c>
      <c r="G23">
        <f t="shared" si="9"/>
        <v>8223.275999999998</v>
      </c>
      <c r="H23">
        <f t="shared" si="5"/>
        <v>2055.819</v>
      </c>
      <c r="I23">
        <f t="shared" si="6"/>
        <v>0.81899999999995998</v>
      </c>
      <c r="J23">
        <f t="shared" si="7"/>
        <v>1.2210012210012806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3"/>
        <v>0</v>
      </c>
      <c r="D24" s="80">
        <f t="shared" si="4"/>
        <v>0</v>
      </c>
      <c r="E24">
        <f>COUNTIF(tables_345100!C:C,input_345100!A24)-COUNTIF(Q:Q,A24)</f>
        <v>4</v>
      </c>
      <c r="F24" s="45">
        <f t="shared" si="8"/>
        <v>0</v>
      </c>
      <c r="G24">
        <f t="shared" si="9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6.3943333333333326E-3</v>
      </c>
      <c r="C25" s="79">
        <f t="shared" si="3"/>
        <v>0</v>
      </c>
      <c r="D25" s="80">
        <f t="shared" si="4"/>
        <v>6.3943333333333326E-3</v>
      </c>
      <c r="E25">
        <f>COUNTIF(tables_345100!C:C,input_345100!A25)-COUNTIF(Q:Q,A25)</f>
        <v>4</v>
      </c>
      <c r="F25" s="45">
        <f t="shared" si="8"/>
        <v>1.5985833333333331E-3</v>
      </c>
      <c r="G25">
        <f t="shared" si="9"/>
        <v>8747.4479999999985</v>
      </c>
      <c r="H25">
        <f t="shared" si="5"/>
        <v>2186.8620000000001</v>
      </c>
      <c r="I25">
        <f t="shared" si="6"/>
        <v>0.86200000000008004</v>
      </c>
      <c r="J25">
        <f t="shared" si="7"/>
        <v>1.1600928074244863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2.7233333333333336E-4</v>
      </c>
      <c r="C26" s="79">
        <f t="shared" si="3"/>
        <v>0</v>
      </c>
      <c r="D26" s="80">
        <f t="shared" si="4"/>
        <v>2.7233333333333336E-4</v>
      </c>
      <c r="E26">
        <f>COUNTIF(tables_345100!C:C,input_345100!A26)-COUNTIF(Q:Q,A26)</f>
        <v>4</v>
      </c>
      <c r="F26" s="45">
        <f t="shared" si="8"/>
        <v>6.8083333333333339E-5</v>
      </c>
      <c r="G26">
        <f t="shared" si="9"/>
        <v>372.55200000000002</v>
      </c>
      <c r="H26">
        <f t="shared" si="5"/>
        <v>93.138000000000005</v>
      </c>
      <c r="I26">
        <f t="shared" si="6"/>
        <v>0.13800000000000523</v>
      </c>
      <c r="J26">
        <f t="shared" si="7"/>
        <v>7.2463768115939287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4.4760333333333326E-2</v>
      </c>
      <c r="C27" s="79">
        <f t="shared" si="3"/>
        <v>0</v>
      </c>
      <c r="D27" s="80">
        <f t="shared" si="4"/>
        <v>4.4760333333333326E-2</v>
      </c>
      <c r="E27">
        <f>COUNTIF(tables_345100!C:C,input_345100!A27)-COUNTIF(Q:Q,A27)</f>
        <v>28</v>
      </c>
      <c r="F27" s="45">
        <f>IFERROR(B27/E27,0)</f>
        <v>1.5985833333333331E-3</v>
      </c>
      <c r="G27">
        <f t="shared" si="9"/>
        <v>61232.135999999991</v>
      </c>
      <c r="H27">
        <f t="shared" si="5"/>
        <v>2186.8620000000001</v>
      </c>
      <c r="I27">
        <f t="shared" si="6"/>
        <v>0.86200000000008004</v>
      </c>
      <c r="J27">
        <f t="shared" si="7"/>
        <v>1.1600928074244863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1.9063333333333334E-3</v>
      </c>
      <c r="C28" s="79">
        <f t="shared" si="3"/>
        <v>0</v>
      </c>
      <c r="D28" s="80">
        <f t="shared" si="4"/>
        <v>1.9063333333333334E-3</v>
      </c>
      <c r="E28">
        <f>COUNTIF(tables_345100!C:C,input_345100!A28)-COUNTIF(Q:Q,A28)</f>
        <v>28</v>
      </c>
      <c r="F28" s="45">
        <f t="shared" si="8"/>
        <v>6.8083333333333339E-5</v>
      </c>
      <c r="G28">
        <f t="shared" si="9"/>
        <v>2607.864</v>
      </c>
      <c r="H28">
        <f t="shared" si="5"/>
        <v>93.138000000000005</v>
      </c>
      <c r="I28">
        <f t="shared" si="6"/>
        <v>0.13800000000000523</v>
      </c>
      <c r="J28">
        <f t="shared" si="7"/>
        <v>7.2463768115939287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E5*COUNTIF(tables_345100!C:C,input_345100!A29)</f>
        <v>6.6666666666666662E-3</v>
      </c>
      <c r="C29" s="79">
        <f t="shared" si="3"/>
        <v>0</v>
      </c>
      <c r="D29" s="80">
        <f t="shared" si="4"/>
        <v>6.6666666666666662E-3</v>
      </c>
      <c r="E29">
        <f>COUNTIF(tables_345100!C:C,input_345100!A29)-COUNTIF(Q:Q,A29)</f>
        <v>4</v>
      </c>
      <c r="F29" s="45">
        <f t="shared" si="8"/>
        <v>1.6666666666666666E-3</v>
      </c>
      <c r="G29">
        <f t="shared" si="9"/>
        <v>9120</v>
      </c>
      <c r="H29">
        <f t="shared" si="5"/>
        <v>2280</v>
      </c>
      <c r="I29">
        <f t="shared" si="6"/>
        <v>0</v>
      </c>
      <c r="J29">
        <f t="shared" si="7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si="4"/>
        <v>0</v>
      </c>
      <c r="E30">
        <f>COUNTIF(tables_345100!C:C,input_345100!A30)-COUNTIF(Q:Q,A30)</f>
        <v>0</v>
      </c>
      <c r="F30" s="45">
        <f t="shared" si="8"/>
        <v>0</v>
      </c>
      <c r="G30">
        <f t="shared" si="9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4"/>
        <v>0</v>
      </c>
      <c r="E31">
        <f>COUNTIF(tables_345100!C:C,input_345100!A31)-COUNTIF(Q:Q,A31)</f>
        <v>0</v>
      </c>
      <c r="F31" s="45">
        <f t="shared" si="8"/>
        <v>0</v>
      </c>
      <c r="G31">
        <f t="shared" si="9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si="4"/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1368000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SUMIF(tables_345100!C:C,input_345100!A40,tables_345100!O:O)</f>
        <v>0</v>
      </c>
      <c r="C40" s="56">
        <f t="shared" ref="C40:C46" ca="1" si="10">B40/B$47</f>
        <v>0</v>
      </c>
      <c r="E40">
        <v>3</v>
      </c>
      <c r="F40">
        <f ca="1">SUMIF(tables_345100!J:J,input_345100!E40,tables_345100!O:O)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SUMIF(tables_345100!C:C,input_345100!A41,tables_345100!O:O)</f>
        <v>834920.89199999906</v>
      </c>
      <c r="C41" s="56">
        <f t="shared" ca="1" si="10"/>
        <v>0.89361342152581547</v>
      </c>
      <c r="E41">
        <v>4</v>
      </c>
      <c r="F41">
        <f ca="1">SUMIF(tables_345100!J:J,input_345100!E41,tables_345100!O:O)</f>
        <v>1299599.9999999991</v>
      </c>
      <c r="G41">
        <f ca="1">F41/A36</f>
        <v>0.94999999999999929</v>
      </c>
    </row>
    <row r="42" spans="1:7" x14ac:dyDescent="0.15">
      <c r="A42" s="34" t="s">
        <v>115</v>
      </c>
      <c r="B42">
        <f ca="1">SUMIF(tables_345100!C:C,input_345100!A42,tables_345100!O:O)</f>
        <v>61232.13600000002</v>
      </c>
      <c r="C42" s="56">
        <f t="shared" ca="1" si="10"/>
        <v>6.5536578474184523E-2</v>
      </c>
      <c r="E42">
        <v>5</v>
      </c>
      <c r="F42">
        <f ca="1">SUMIF(tables_345100!J:J,input_345100!E42,tables_345100!O:O)</f>
        <v>68400</v>
      </c>
      <c r="G42">
        <f ca="1">F42/A36</f>
        <v>0.05</v>
      </c>
    </row>
    <row r="43" spans="1:7" x14ac:dyDescent="0.15">
      <c r="A43" s="34" t="s">
        <v>116</v>
      </c>
      <c r="B43">
        <f>SUMIF(tables_345100!C:C,input_345100!A43,tables_345100!O:O)</f>
        <v>0</v>
      </c>
      <c r="C43" s="56">
        <f t="shared" ca="1" si="10"/>
        <v>0</v>
      </c>
      <c r="F43" s="57"/>
    </row>
    <row r="44" spans="1:7" x14ac:dyDescent="0.15">
      <c r="A44" s="34" t="s">
        <v>111</v>
      </c>
      <c r="B44">
        <f ca="1">SUMIF(tables_345100!C:C,input_345100!A44,tables_345100!O:O)</f>
        <v>35559.108000000022</v>
      </c>
      <c r="C44" s="56">
        <f t="shared" ca="1" si="10"/>
        <v>3.8058810685846454E-2</v>
      </c>
      <c r="E44" t="s">
        <v>56</v>
      </c>
      <c r="F44" s="57"/>
    </row>
    <row r="45" spans="1:7" x14ac:dyDescent="0.15">
      <c r="A45" s="34" t="s">
        <v>117</v>
      </c>
      <c r="B45">
        <f ca="1">SUMIF(tables_345100!C:C,input_345100!A45,tables_345100!O:O)</f>
        <v>2607.8639999999991</v>
      </c>
      <c r="C45" s="56">
        <f t="shared" ca="1" si="10"/>
        <v>2.791189314153611E-3</v>
      </c>
      <c r="E45" t="s">
        <v>213</v>
      </c>
      <c r="F45" s="57">
        <f ca="1">SUMIF(tables_345100!I:I,input_345100!E45,tables_345100!P:P)</f>
        <v>0.25231578947368422</v>
      </c>
    </row>
    <row r="46" spans="1:7" x14ac:dyDescent="0.15">
      <c r="A46" s="34" t="s">
        <v>118</v>
      </c>
      <c r="B46">
        <f>SUMIF(tables_345100!C:C,input_345100!A46,tables_345100!O:O)</f>
        <v>0</v>
      </c>
      <c r="C46" s="56">
        <f t="shared" ca="1" si="10"/>
        <v>0</v>
      </c>
      <c r="E46" t="s">
        <v>214</v>
      </c>
      <c r="F46" s="57">
        <f ca="1">SUMIF(tables_345100!I:I,input_345100!E46,tables_345100!P:P)</f>
        <v>0.21302631578947367</v>
      </c>
    </row>
    <row r="47" spans="1:7" x14ac:dyDescent="0.15">
      <c r="A47" s="41" t="s">
        <v>62</v>
      </c>
      <c r="B47">
        <f ca="1">SUM(B40:B46)</f>
        <v>934319.99999999907</v>
      </c>
      <c r="C47" s="57">
        <f ca="1">SUM(C40:C46)</f>
        <v>1</v>
      </c>
      <c r="E47" t="s">
        <v>215</v>
      </c>
      <c r="F47" s="57">
        <f ca="1">SUMIF(tables_345100!I:I,input_345100!E47,tables_345100!P:P)</f>
        <v>0.47890350877192978</v>
      </c>
    </row>
    <row r="48" spans="1:7" x14ac:dyDescent="0.15">
      <c r="E48" t="s">
        <v>216</v>
      </c>
      <c r="F48" s="57">
        <f ca="1">SUMIF(tables_345100!I:I,input_345100!E48,tables_345100!P:P)</f>
        <v>5.3333333333333358E-2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" activePane="bottomLeft" state="frozen"/>
      <selection activeCell="M28" sqref="M28"/>
      <selection pane="bottomLeft" activeCell="H289" sqref="H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input_345100!A$2</f>
        <v>345100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IFERROR(VLOOKUP(B2,input_345100!L:R,7,FALSE),VLOOKUP(tables_345100!C2,input_345100!A:H,8,FALSE))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input_345100!A$2</f>
        <v>345100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IFERROR(VLOOKUP(B3,input_345100!L:R,7,FALSE),VLOOKUP(tables_345100!C3,input_345100!A:H,8,FALSE))</f>
        <v>16740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input_345100!A$2</f>
        <v>345100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IFERROR(VLOOKUP(B4,input_345100!L:R,7,FALSE),VLOOKUP(tables_345100!C4,input_345100!A:H,8,FALSE))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input_345100!A$2</f>
        <v>345100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IFERROR(VLOOKUP(B5,input_345100!L:R,7,FALSE),VLOOKUP(tables_345100!C5,input_345100!A:H,8,FALSE))</f>
        <v>16740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input_345100!A$2</f>
        <v>345100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IFERROR(VLOOKUP(B6,input_345100!L:R,7,FALSE),VLOOKUP(tables_345100!C6,input_345100!A:H,8,FALSE))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input_345100!A$2</f>
        <v>345100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IFERROR(VLOOKUP(B7,input_345100!L:R,7,FALSE),VLOOKUP(tables_345100!C7,input_345100!A:H,8,FALSE))</f>
        <v>16740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input_345100!A$2</f>
        <v>345100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IFERROR(VLOOKUP(B8,input_345100!L:R,7,FALSE),VLOOKUP(tables_345100!C8,input_345100!A:H,8,FALSE))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input_345100!A$2</f>
        <v>345100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IFERROR(VLOOKUP(B9,input_345100!L:R,7,FALSE),VLOOKUP(tables_345100!C9,input_345100!A:H,8,FALSE))</f>
        <v>16740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input_345100!A$2</f>
        <v>345100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IFERROR(VLOOKUP(B10,input_345100!L:R,7,FALSE),VLOOKUP(tables_345100!C10,input_345100!A:H,8,FALSE))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input_345100!A$2</f>
        <v>345100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IFERROR(VLOOKUP(B11,input_345100!L:R,7,FALSE),VLOOKUP(tables_345100!C11,input_345100!A:H,8,FALSE))</f>
        <v>16740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input_345100!A$2</f>
        <v>345100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IFERROR(VLOOKUP(B12,input_345100!L:R,7,FALSE),VLOOKUP(tables_345100!C12,input_345100!A:H,8,FALSE))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input_345100!A$2</f>
        <v>345100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IFERROR(VLOOKUP(B13,input_345100!L:R,7,FALSE),VLOOKUP(tables_345100!C13,input_345100!A:H,8,FALSE))</f>
        <v>16740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input_345100!A$2</f>
        <v>345100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IFERROR(VLOOKUP(B14,input_345100!L:R,7,FALSE),VLOOKUP(tables_345100!C14,input_345100!A:H,8,FALSE))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input_345100!A$2</f>
        <v>345100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IFERROR(VLOOKUP(B15,input_345100!L:R,7,FALSE),VLOOKUP(tables_345100!C15,input_345100!A:H,8,FALSE))</f>
        <v>16740</v>
      </c>
      <c r="P15" s="48">
        <f t="shared" ref="P15:P78" ca="1" si="2">O15/SUM(O:O)</f>
        <v>1.2236842105263157E-2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input_345100!A$2</f>
        <v>345100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IFERROR(VLOOKUP(B16,input_345100!L:R,7,FALSE),VLOOKUP(tables_345100!C16,input_345100!A:H,8,FALSE))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input_345100!A$2</f>
        <v>345100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IFERROR(VLOOKUP(B17,input_345100!L:R,7,FALSE),VLOOKUP(tables_345100!C17,input_345100!A:H,8,FALSE))</f>
        <v>16740</v>
      </c>
      <c r="P17" s="48">
        <f t="shared" ca="1" si="2"/>
        <v>1.2236842105263157E-2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input_345100!A$2</f>
        <v>345100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IFERROR(VLOOKUP(B18,input_345100!L:R,7,FALSE),VLOOKUP(tables_345100!C18,input_345100!A:H,8,FALSE))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input_345100!A$2</f>
        <v>345100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IFERROR(VLOOKUP(B19,input_345100!L:R,7,FALSE),VLOOKUP(tables_345100!C19,input_345100!A:H,8,FALSE))</f>
        <v>16740</v>
      </c>
      <c r="P19" s="48">
        <f t="shared" ca="1" si="2"/>
        <v>1.2236842105263157E-2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input_345100!A$2</f>
        <v>345100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IFERROR(VLOOKUP(B20,input_345100!L:R,7,FALSE),VLOOKUP(tables_345100!C20,input_345100!A:H,8,FALSE))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input_345100!A$2</f>
        <v>345100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IFERROR(VLOOKUP(B21,input_345100!L:R,7,FALSE),VLOOKUP(tables_345100!C21,input_345100!A:H,8,FALSE))</f>
        <v>16740</v>
      </c>
      <c r="P21" s="48">
        <f t="shared" ca="1" si="2"/>
        <v>1.2236842105263157E-2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input_345100!A$2</f>
        <v>345100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IFERROR(VLOOKUP(B22,input_345100!L:R,7,FALSE),VLOOKUP(tables_345100!C22,input_345100!A:H,8,FALSE))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input_345100!A$2</f>
        <v>345100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IFERROR(VLOOKUP(B23,input_345100!L:R,7,FALSE),VLOOKUP(tables_345100!C23,input_345100!A:H,8,FALSE))</f>
        <v>16740</v>
      </c>
      <c r="P23" s="48">
        <f t="shared" ca="1" si="2"/>
        <v>1.2236842105263157E-2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input_345100!A$2</f>
        <v>345100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IFERROR(VLOOKUP(B24,input_345100!L:R,7,FALSE),VLOOKUP(tables_345100!C24,input_345100!A:H,8,FALSE))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input_345100!A$2</f>
        <v>345100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IFERROR(VLOOKUP(B25,input_345100!L:R,7,FALSE),VLOOKUP(tables_345100!C25,input_345100!A:H,8,FALSE))</f>
        <v>16740</v>
      </c>
      <c r="P25" s="48">
        <f t="shared" ca="1" si="2"/>
        <v>1.2236842105263157E-2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input_345100!A$2</f>
        <v>345100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IFERROR(VLOOKUP(B26,input_345100!L:R,7,FALSE),VLOOKUP(tables_345100!C26,input_345100!A:H,8,FALSE))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input_345100!A$2</f>
        <v>345100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IFERROR(VLOOKUP(B27,input_345100!L:R,7,FALSE),VLOOKUP(tables_345100!C27,input_345100!A:H,8,FALSE))</f>
        <v>16740</v>
      </c>
      <c r="P27" s="48">
        <f t="shared" ca="1" si="2"/>
        <v>1.2236842105263157E-2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input_345100!A$2</f>
        <v>345100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IFERROR(VLOOKUP(B28,input_345100!L:R,7,FALSE),VLOOKUP(tables_345100!C28,input_345100!A:H,8,FALSE))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input_345100!A$2</f>
        <v>345100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IFERROR(VLOOKUP(B29,input_345100!L:R,7,FALSE),VLOOKUP(tables_345100!C29,input_345100!A:H,8,FALSE))</f>
        <v>16740</v>
      </c>
      <c r="P29" s="48">
        <f t="shared" ca="1" si="2"/>
        <v>1.2236842105263157E-2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input_345100!A$2</f>
        <v>345100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IFERROR(VLOOKUP(B30,input_345100!L:R,7,FALSE),VLOOKUP(tables_345100!C30,input_345100!A:H,8,FALSE))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input_345100!A$2</f>
        <v>345100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IFERROR(VLOOKUP(B31,input_345100!L:R,7,FALSE),VLOOKUP(tables_345100!C31,input_345100!A:H,8,FALSE))</f>
        <v>16740</v>
      </c>
      <c r="P31" s="48">
        <f t="shared" ca="1" si="2"/>
        <v>1.2236842105263157E-2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input_345100!A$2</f>
        <v>345100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IFERROR(VLOOKUP(B32,input_345100!L:R,7,FALSE),VLOOKUP(tables_345100!C32,input_345100!A:H,8,FALSE))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input_345100!A$2</f>
        <v>345100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IFERROR(VLOOKUP(B33,input_345100!L:R,7,FALSE),VLOOKUP(tables_345100!C33,input_345100!A:H,8,FALSE))</f>
        <v>16740</v>
      </c>
      <c r="P33" s="48">
        <f t="shared" ca="1" si="2"/>
        <v>1.2236842105263157E-2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input_345100!A$2</f>
        <v>345100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IFERROR(VLOOKUP(B34,input_345100!L:R,7,FALSE),VLOOKUP(tables_345100!C34,input_345100!A:H,8,FALSE))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input_345100!A$2</f>
        <v>345100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IFERROR(VLOOKUP(B35,input_345100!L:R,7,FALSE),VLOOKUP(tables_345100!C35,input_345100!A:H,8,FALSE))</f>
        <v>16740</v>
      </c>
      <c r="P35" s="48">
        <f t="shared" ca="1" si="2"/>
        <v>1.2236842105263157E-2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input_345100!A$2</f>
        <v>345100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IFERROR(VLOOKUP(B36,input_345100!L:R,7,FALSE),VLOOKUP(tables_345100!C36,input_345100!A:H,8,FALSE))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input_345100!A$2</f>
        <v>345100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IFERROR(VLOOKUP(B37,input_345100!L:R,7,FALSE),VLOOKUP(tables_345100!C37,input_345100!A:H,8,FALSE))</f>
        <v>16740</v>
      </c>
      <c r="P37" s="48">
        <f t="shared" ca="1" si="2"/>
        <v>1.2236842105263157E-2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input_345100!A$2</f>
        <v>345100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IFERROR(VLOOKUP(B38,input_345100!L:R,7,FALSE),VLOOKUP(tables_345100!C38,input_345100!A:H,8,FALSE))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input_345100!A$2</f>
        <v>345100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IFERROR(VLOOKUP(B39,input_345100!L:R,7,FALSE),VLOOKUP(tables_345100!C39,input_345100!A:H,8,FALSE))</f>
        <v>16740</v>
      </c>
      <c r="P39" s="48">
        <f t="shared" ca="1" si="2"/>
        <v>1.2236842105263157E-2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input_345100!A$2</f>
        <v>345100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IFERROR(VLOOKUP(B40,input_345100!L:R,7,FALSE),VLOOKUP(tables_345100!C40,input_345100!A:H,8,FALSE))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input_345100!A$2</f>
        <v>345100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IFERROR(VLOOKUP(B41,input_345100!L:R,7,FALSE),VLOOKUP(tables_345100!C41,input_345100!A:H,8,FALSE))</f>
        <v>16740</v>
      </c>
      <c r="P41" s="48">
        <f t="shared" ca="1" si="2"/>
        <v>1.2236842105263157E-2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input_345100!A$2</f>
        <v>345100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IFERROR(VLOOKUP(B42,input_345100!L:R,7,FALSE),VLOOKUP(tables_345100!C42,input_345100!A:H,8,FALSE))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input_345100!A$2</f>
        <v>345100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IFERROR(VLOOKUP(B43,input_345100!L:R,7,FALSE),VLOOKUP(tables_345100!C43,input_345100!A:H,8,FALSE))</f>
        <v>2186.8620000000001</v>
      </c>
      <c r="P43" s="48">
        <f t="shared" ca="1" si="2"/>
        <v>1.5985833333333334E-3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input_345100!A$2</f>
        <v>345100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IFERROR(VLOOKUP(B44,input_345100!L:R,7,FALSE),VLOOKUP(tables_345100!C44,input_345100!A:H,8,FALSE))</f>
        <v>93.138000000000005</v>
      </c>
      <c r="P44" s="48">
        <f t="shared" ca="1" si="2"/>
        <v>6.8083333333333339E-5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input_345100!A$2</f>
        <v>345100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IFERROR(VLOOKUP(B45,input_345100!L:R,7,FALSE),VLOOKUP(tables_345100!C45,input_345100!A:H,8,FALSE))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input_345100!A$2</f>
        <v>345100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IFERROR(VLOOKUP(B46,input_345100!L:R,7,FALSE),VLOOKUP(tables_345100!C46,input_345100!A:H,8,FALSE))</f>
        <v>2186.8620000000001</v>
      </c>
      <c r="P46" s="48">
        <f t="shared" ca="1" si="2"/>
        <v>1.5985833333333334E-3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input_345100!A$2</f>
        <v>345100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IFERROR(VLOOKUP(B47,input_345100!L:R,7,FALSE),VLOOKUP(tables_345100!C47,input_345100!A:H,8,FALSE))</f>
        <v>93.138000000000005</v>
      </c>
      <c r="P47" s="48">
        <f t="shared" ca="1" si="2"/>
        <v>6.8083333333333339E-5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input_345100!A$2</f>
        <v>345100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IFERROR(VLOOKUP(B48,input_345100!L:R,7,FALSE),VLOOKUP(tables_345100!C48,input_345100!A:H,8,FALSE))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input_345100!A$2</f>
        <v>345100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IFERROR(VLOOKUP(B49,input_345100!L:R,7,FALSE),VLOOKUP(tables_345100!C49,input_345100!A:H,8,FALSE))</f>
        <v>2186.8620000000001</v>
      </c>
      <c r="P49" s="48">
        <f t="shared" ca="1" si="2"/>
        <v>1.5985833333333334E-3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input_345100!A$2</f>
        <v>345100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IFERROR(VLOOKUP(B50,input_345100!L:R,7,FALSE),VLOOKUP(tables_345100!C50,input_345100!A:H,8,FALSE))</f>
        <v>93.138000000000005</v>
      </c>
      <c r="P50" s="48">
        <f t="shared" ca="1" si="2"/>
        <v>6.8083333333333339E-5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input_345100!A$2</f>
        <v>345100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IFERROR(VLOOKUP(B51,input_345100!L:R,7,FALSE),VLOOKUP(tables_345100!C51,input_345100!A:H,8,FALSE))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input_345100!A$2</f>
        <v>345100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IFERROR(VLOOKUP(B52,input_345100!L:R,7,FALSE),VLOOKUP(tables_345100!C52,input_345100!A:H,8,FALSE))</f>
        <v>16056.171</v>
      </c>
      <c r="P52" s="48">
        <f t="shared" ca="1" si="2"/>
        <v>1.1736967105263158E-2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input_345100!A$2</f>
        <v>345100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IFERROR(VLOOKUP(B53,input_345100!L:R,7,FALSE),VLOOKUP(tables_345100!C53,input_345100!A:H,8,FALSE))</f>
        <v>683.82899999999995</v>
      </c>
      <c r="P53" s="48">
        <f t="shared" ca="1" si="2"/>
        <v>4.9987499999999999E-4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input_345100!A$2</f>
        <v>345100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IFERROR(VLOOKUP(B54,input_345100!L:R,7,FALSE),VLOOKUP(tables_345100!C54,input_345100!A:H,8,FALSE))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input_345100!A$2</f>
        <v>345100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IFERROR(VLOOKUP(B55,input_345100!L:R,7,FALSE),VLOOKUP(tables_345100!C55,input_345100!A:H,8,FALSE))</f>
        <v>16056.171</v>
      </c>
      <c r="P55" s="48">
        <f t="shared" ca="1" si="2"/>
        <v>1.1736967105263158E-2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input_345100!A$2</f>
        <v>345100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IFERROR(VLOOKUP(B56,input_345100!L:R,7,FALSE),VLOOKUP(tables_345100!C56,input_345100!A:H,8,FALSE))</f>
        <v>683.82899999999995</v>
      </c>
      <c r="P56" s="48">
        <f t="shared" ca="1" si="2"/>
        <v>4.9987499999999999E-4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input_345100!A$2</f>
        <v>345100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IFERROR(VLOOKUP(B57,input_345100!L:R,7,FALSE),VLOOKUP(tables_345100!C57,input_345100!A:H,8,FALSE))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input_345100!A$2</f>
        <v>345100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IFERROR(VLOOKUP(B58,input_345100!L:R,7,FALSE),VLOOKUP(tables_345100!C58,input_345100!A:H,8,FALSE))</f>
        <v>16056.171</v>
      </c>
      <c r="P58" s="48">
        <f t="shared" ca="1" si="2"/>
        <v>1.1736967105263158E-2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input_345100!A$2</f>
        <v>345100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IFERROR(VLOOKUP(B59,input_345100!L:R,7,FALSE),VLOOKUP(tables_345100!C59,input_345100!A:H,8,FALSE))</f>
        <v>683.82899999999995</v>
      </c>
      <c r="P59" s="48">
        <f t="shared" ca="1" si="2"/>
        <v>4.9987499999999999E-4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input_345100!A$2</f>
        <v>345100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IFERROR(VLOOKUP(B60,input_345100!L:R,7,FALSE),VLOOKUP(tables_345100!C60,input_345100!A:H,8,FALSE))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input_345100!A$2</f>
        <v>345100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IFERROR(VLOOKUP(B61,input_345100!L:R,7,FALSE),VLOOKUP(tables_345100!C61,input_345100!A:H,8,FALSE))</f>
        <v>16056.171</v>
      </c>
      <c r="P61" s="48">
        <f t="shared" ca="1" si="2"/>
        <v>1.1736967105263158E-2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input_345100!A$2</f>
        <v>345100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IFERROR(VLOOKUP(B62,input_345100!L:R,7,FALSE),VLOOKUP(tables_345100!C62,input_345100!A:H,8,FALSE))</f>
        <v>683.82899999999995</v>
      </c>
      <c r="P62" s="48">
        <f t="shared" ca="1" si="2"/>
        <v>4.9987499999999999E-4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input_345100!A$2</f>
        <v>345100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IFERROR(VLOOKUP(B63,input_345100!L:R,7,FALSE),VLOOKUP(tables_345100!C63,input_345100!A:H,8,FALSE))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input_345100!A$2</f>
        <v>345100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IFERROR(VLOOKUP(B64,input_345100!L:R,7,FALSE),VLOOKUP(tables_345100!C64,input_345100!A:H,8,FALSE))</f>
        <v>16056.171</v>
      </c>
      <c r="P64" s="48">
        <f t="shared" ca="1" si="2"/>
        <v>1.1736967105263158E-2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input_345100!A$2</f>
        <v>345100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IFERROR(VLOOKUP(B65,input_345100!L:R,7,FALSE),VLOOKUP(tables_345100!C65,input_345100!A:H,8,FALSE))</f>
        <v>683.82899999999995</v>
      </c>
      <c r="P65" s="48">
        <f t="shared" ca="1" si="2"/>
        <v>4.9987499999999999E-4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input_345100!A$2</f>
        <v>345100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IFERROR(VLOOKUP(B66,input_345100!L:R,7,FALSE),VLOOKUP(tables_345100!C66,input_345100!A:H,8,FALSE))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input_345100!A$2</f>
        <v>345100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IFERROR(VLOOKUP(B67,input_345100!L:R,7,FALSE),VLOOKUP(tables_345100!C67,input_345100!A:H,8,FALSE))</f>
        <v>16056.171</v>
      </c>
      <c r="P67" s="48">
        <f t="shared" ca="1" si="2"/>
        <v>1.1736967105263158E-2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input_345100!A$2</f>
        <v>345100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IFERROR(VLOOKUP(B68,input_345100!L:R,7,FALSE),VLOOKUP(tables_345100!C68,input_345100!A:H,8,FALSE))</f>
        <v>683.82899999999995</v>
      </c>
      <c r="P68" s="48">
        <f t="shared" ca="1" si="2"/>
        <v>4.9987499999999999E-4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input_345100!A$2</f>
        <v>345100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IFERROR(VLOOKUP(B69,input_345100!L:R,7,FALSE),VLOOKUP(tables_345100!C69,input_345100!A:H,8,FALSE))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input_345100!A$2</f>
        <v>345100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IFERROR(VLOOKUP(B70,input_345100!L:R,7,FALSE),VLOOKUP(tables_345100!C70,input_345100!A:H,8,FALSE))</f>
        <v>16056.171</v>
      </c>
      <c r="P70" s="48">
        <f t="shared" ca="1" si="2"/>
        <v>1.1736967105263158E-2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input_345100!A$2</f>
        <v>345100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IFERROR(VLOOKUP(B71,input_345100!L:R,7,FALSE),VLOOKUP(tables_345100!C71,input_345100!A:H,8,FALSE))</f>
        <v>683.82899999999995</v>
      </c>
      <c r="P71" s="48">
        <f t="shared" ca="1" si="2"/>
        <v>4.9987499999999999E-4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input_345100!A$2</f>
        <v>345100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IFERROR(VLOOKUP(B72,input_345100!L:R,7,FALSE),VLOOKUP(tables_345100!C72,input_345100!A:H,8,FALSE))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input_345100!A$2</f>
        <v>345100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IFERROR(VLOOKUP(B73,input_345100!L:R,7,FALSE),VLOOKUP(tables_345100!C73,input_345100!A:H,8,FALSE))</f>
        <v>16056.171</v>
      </c>
      <c r="P73" s="48">
        <f t="shared" ca="1" si="2"/>
        <v>1.1736967105263158E-2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input_345100!A$2</f>
        <v>345100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IFERROR(VLOOKUP(B74,input_345100!L:R,7,FALSE),VLOOKUP(tables_345100!C74,input_345100!A:H,8,FALSE))</f>
        <v>683.82899999999995</v>
      </c>
      <c r="P74" s="48">
        <f t="shared" ca="1" si="2"/>
        <v>4.9987499999999999E-4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input_345100!A$2</f>
        <v>345100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IFERROR(VLOOKUP(B75,input_345100!L:R,7,FALSE),VLOOKUP(tables_345100!C75,input_345100!A:H,8,FALSE))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input_345100!A$2</f>
        <v>345100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IFERROR(VLOOKUP(B76,input_345100!L:R,7,FALSE),VLOOKUP(tables_345100!C76,input_345100!A:H,8,FALSE))</f>
        <v>16056.171</v>
      </c>
      <c r="P76" s="48">
        <f t="shared" ca="1" si="2"/>
        <v>1.1736967105263158E-2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input_345100!A$2</f>
        <v>345100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IFERROR(VLOOKUP(B77,input_345100!L:R,7,FALSE),VLOOKUP(tables_345100!C77,input_345100!A:H,8,FALSE))</f>
        <v>683.82899999999995</v>
      </c>
      <c r="P77" s="48">
        <f t="shared" ca="1" si="2"/>
        <v>4.9987499999999999E-4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input_345100!A$2</f>
        <v>345100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IFERROR(VLOOKUP(B78,input_345100!L:R,7,FALSE),VLOOKUP(tables_345100!C78,input_345100!A:H,8,FALSE))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input_345100!A$2</f>
        <v>345100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IFERROR(VLOOKUP(B79,input_345100!L:R,7,FALSE),VLOOKUP(tables_345100!C79,input_345100!A:H,8,FALSE))</f>
        <v>16056.171</v>
      </c>
      <c r="P79" s="48">
        <f t="shared" ref="P79:P142" ca="1" si="5">O79/SUM(O:O)</f>
        <v>1.1736967105263158E-2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input_345100!A$2</f>
        <v>345100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IFERROR(VLOOKUP(B80,input_345100!L:R,7,FALSE),VLOOKUP(tables_345100!C80,input_345100!A:H,8,FALSE))</f>
        <v>683.82899999999995</v>
      </c>
      <c r="P80" s="48">
        <f t="shared" ca="1" si="5"/>
        <v>4.9987499999999999E-4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input_345100!A$2</f>
        <v>345100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IFERROR(VLOOKUP(B81,input_345100!L:R,7,FALSE),VLOOKUP(tables_345100!C81,input_345100!A:H,8,FALSE))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input_345100!A$2</f>
        <v>345100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IFERROR(VLOOKUP(B82,input_345100!L:R,7,FALSE),VLOOKUP(tables_345100!C82,input_345100!A:H,8,FALSE))</f>
        <v>16056.171</v>
      </c>
      <c r="P82" s="48">
        <f t="shared" ca="1" si="5"/>
        <v>1.1736967105263158E-2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input_345100!A$2</f>
        <v>345100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IFERROR(VLOOKUP(B83,input_345100!L:R,7,FALSE),VLOOKUP(tables_345100!C83,input_345100!A:H,8,FALSE))</f>
        <v>683.82899999999995</v>
      </c>
      <c r="P83" s="48">
        <f t="shared" ca="1" si="5"/>
        <v>4.9987499999999999E-4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input_345100!A$2</f>
        <v>345100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IFERROR(VLOOKUP(B84,input_345100!L:R,7,FALSE),VLOOKUP(tables_345100!C84,input_345100!A:H,8,FALSE))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input_345100!A$2</f>
        <v>345100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IFERROR(VLOOKUP(B85,input_345100!L:R,7,FALSE),VLOOKUP(tables_345100!C85,input_345100!A:H,8,FALSE))</f>
        <v>16056.171</v>
      </c>
      <c r="P85" s="48">
        <f t="shared" ca="1" si="5"/>
        <v>1.1736967105263158E-2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input_345100!A$2</f>
        <v>345100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IFERROR(VLOOKUP(B86,input_345100!L:R,7,FALSE),VLOOKUP(tables_345100!C86,input_345100!A:H,8,FALSE))</f>
        <v>683.82899999999995</v>
      </c>
      <c r="P86" s="48">
        <f t="shared" ca="1" si="5"/>
        <v>4.9987499999999999E-4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input_345100!A$2</f>
        <v>345100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IFERROR(VLOOKUP(B87,input_345100!L:R,7,FALSE),VLOOKUP(tables_345100!C87,input_345100!A:H,8,FALSE))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input_345100!A$2</f>
        <v>345100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IFERROR(VLOOKUP(B88,input_345100!L:R,7,FALSE),VLOOKUP(tables_345100!C88,input_345100!A:H,8,FALSE))</f>
        <v>16056.171</v>
      </c>
      <c r="P88" s="48">
        <f t="shared" ca="1" si="5"/>
        <v>1.1736967105263158E-2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input_345100!A$2</f>
        <v>345100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IFERROR(VLOOKUP(B89,input_345100!L:R,7,FALSE),VLOOKUP(tables_345100!C89,input_345100!A:H,8,FALSE))</f>
        <v>683.82899999999995</v>
      </c>
      <c r="P89" s="48">
        <f t="shared" ca="1" si="5"/>
        <v>4.9987499999999999E-4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input_345100!A$2</f>
        <v>345100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IFERROR(VLOOKUP(B90,input_345100!L:R,7,FALSE),VLOOKUP(tables_345100!C90,input_345100!A:H,8,FALSE))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input_345100!A$2</f>
        <v>345100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IFERROR(VLOOKUP(B91,input_345100!L:R,7,FALSE),VLOOKUP(tables_345100!C91,input_345100!A:H,8,FALSE))</f>
        <v>16056.171</v>
      </c>
      <c r="P91" s="48">
        <f t="shared" ca="1" si="5"/>
        <v>1.1736967105263158E-2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input_345100!A$2</f>
        <v>345100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IFERROR(VLOOKUP(B92,input_345100!L:R,7,FALSE),VLOOKUP(tables_345100!C92,input_345100!A:H,8,FALSE))</f>
        <v>683.82899999999995</v>
      </c>
      <c r="P92" s="48">
        <f t="shared" ca="1" si="5"/>
        <v>4.9987499999999999E-4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input_345100!A$2</f>
        <v>345100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IFERROR(VLOOKUP(B93,input_345100!L:R,7,FALSE),VLOOKUP(tables_345100!C93,input_345100!A:H,8,FALSE))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input_345100!A$2</f>
        <v>345100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IFERROR(VLOOKUP(B94,input_345100!L:R,7,FALSE),VLOOKUP(tables_345100!C94,input_345100!A:H,8,FALSE))</f>
        <v>16056.171</v>
      </c>
      <c r="P94" s="48">
        <f t="shared" ca="1" si="5"/>
        <v>1.1736967105263158E-2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input_345100!A$2</f>
        <v>345100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IFERROR(VLOOKUP(B95,input_345100!L:R,7,FALSE),VLOOKUP(tables_345100!C95,input_345100!A:H,8,FALSE))</f>
        <v>683.82899999999995</v>
      </c>
      <c r="P95" s="48">
        <f t="shared" ca="1" si="5"/>
        <v>4.9987499999999999E-4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input_345100!A$2</f>
        <v>345100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IFERROR(VLOOKUP(B96,input_345100!L:R,7,FALSE),VLOOKUP(tables_345100!C96,input_345100!A:H,8,FALSE))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input_345100!A$2</f>
        <v>345100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IFERROR(VLOOKUP(B97,input_345100!L:R,7,FALSE),VLOOKUP(tables_345100!C97,input_345100!A:H,8,FALSE))</f>
        <v>16056.171</v>
      </c>
      <c r="P97" s="48">
        <f t="shared" ca="1" si="5"/>
        <v>1.1736967105263158E-2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input_345100!A$2</f>
        <v>345100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IFERROR(VLOOKUP(B98,input_345100!L:R,7,FALSE),VLOOKUP(tables_345100!C98,input_345100!A:H,8,FALSE))</f>
        <v>683.82899999999995</v>
      </c>
      <c r="P98" s="48">
        <f t="shared" ca="1" si="5"/>
        <v>4.9987499999999999E-4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input_345100!A$2</f>
        <v>345100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IFERROR(VLOOKUP(B99,input_345100!L:R,7,FALSE),VLOOKUP(tables_345100!C99,input_345100!A:H,8,FALSE))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input_345100!A$2</f>
        <v>345100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IFERROR(VLOOKUP(B100,input_345100!L:R,7,FALSE),VLOOKUP(tables_345100!C100,input_345100!A:H,8,FALSE))</f>
        <v>16056.171</v>
      </c>
      <c r="P100" s="48">
        <f t="shared" ca="1" si="5"/>
        <v>1.1736967105263158E-2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input_345100!A$2</f>
        <v>345100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IFERROR(VLOOKUP(B101,input_345100!L:R,7,FALSE),VLOOKUP(tables_345100!C101,input_345100!A:H,8,FALSE))</f>
        <v>683.82899999999995</v>
      </c>
      <c r="P101" s="48">
        <f t="shared" ca="1" si="5"/>
        <v>4.9987499999999999E-4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input_345100!A$2</f>
        <v>345100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IFERROR(VLOOKUP(B102,input_345100!L:R,7,FALSE),VLOOKUP(tables_345100!C102,input_345100!A:H,8,FALSE))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input_345100!A$2</f>
        <v>345100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IFERROR(VLOOKUP(B103,input_345100!L:R,7,FALSE),VLOOKUP(tables_345100!C103,input_345100!A:H,8,FALSE))</f>
        <v>16056.171</v>
      </c>
      <c r="P103" s="48">
        <f t="shared" ca="1" si="5"/>
        <v>1.1736967105263158E-2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input_345100!A$2</f>
        <v>345100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IFERROR(VLOOKUP(B104,input_345100!L:R,7,FALSE),VLOOKUP(tables_345100!C104,input_345100!A:H,8,FALSE))</f>
        <v>683.82899999999995</v>
      </c>
      <c r="P104" s="48">
        <f t="shared" ca="1" si="5"/>
        <v>4.9987499999999999E-4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input_345100!A$2</f>
        <v>345100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IFERROR(VLOOKUP(B105,input_345100!L:R,7,FALSE),VLOOKUP(tables_345100!C105,input_345100!A:H,8,FALSE))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input_345100!A$2</f>
        <v>345100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IFERROR(VLOOKUP(B106,input_345100!L:R,7,FALSE),VLOOKUP(tables_345100!C106,input_345100!A:H,8,FALSE))</f>
        <v>16056.171</v>
      </c>
      <c r="P106" s="48">
        <f t="shared" ca="1" si="5"/>
        <v>1.1736967105263158E-2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input_345100!A$2</f>
        <v>345100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IFERROR(VLOOKUP(B107,input_345100!L:R,7,FALSE),VLOOKUP(tables_345100!C107,input_345100!A:H,8,FALSE))</f>
        <v>683.82899999999995</v>
      </c>
      <c r="P107" s="48">
        <f t="shared" ca="1" si="5"/>
        <v>4.9987499999999999E-4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input_345100!A$2</f>
        <v>345100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IFERROR(VLOOKUP(B108,input_345100!L:R,7,FALSE),VLOOKUP(tables_345100!C108,input_345100!A:H,8,FALSE))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input_345100!A$2</f>
        <v>345100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IFERROR(VLOOKUP(B109,input_345100!L:R,7,FALSE),VLOOKUP(tables_345100!C109,input_345100!A:H,8,FALSE))</f>
        <v>16056.171</v>
      </c>
      <c r="P109" s="48">
        <f t="shared" ca="1" si="5"/>
        <v>1.1736967105263158E-2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input_345100!A$2</f>
        <v>345100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IFERROR(VLOOKUP(B110,input_345100!L:R,7,FALSE),VLOOKUP(tables_345100!C110,input_345100!A:H,8,FALSE))</f>
        <v>683.82899999999995</v>
      </c>
      <c r="P110" s="48">
        <f t="shared" ca="1" si="5"/>
        <v>4.9987499999999999E-4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input_345100!A$2</f>
        <v>345100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IFERROR(VLOOKUP(B111,input_345100!L:R,7,FALSE),VLOOKUP(tables_345100!C111,input_345100!A:H,8,FALSE))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input_345100!A$2</f>
        <v>345100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IFERROR(VLOOKUP(B112,input_345100!L:R,7,FALSE),VLOOKUP(tables_345100!C112,input_345100!A:H,8,FALSE))</f>
        <v>2186.8620000000001</v>
      </c>
      <c r="P112" s="48">
        <f t="shared" ca="1" si="5"/>
        <v>1.5985833333333334E-3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input_345100!A$2</f>
        <v>345100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IFERROR(VLOOKUP(B113,input_345100!L:R,7,FALSE),VLOOKUP(tables_345100!C113,input_345100!A:H,8,FALSE))</f>
        <v>93.138000000000005</v>
      </c>
      <c r="P113" s="48">
        <f t="shared" ca="1" si="5"/>
        <v>6.8083333333333339E-5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input_345100!A$2</f>
        <v>345100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IFERROR(VLOOKUP(B114,input_345100!L:R,7,FALSE),VLOOKUP(tables_345100!C114,input_345100!A:H,8,FALSE))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input_345100!A$2</f>
        <v>345100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IFERROR(VLOOKUP(B115,input_345100!L:R,7,FALSE),VLOOKUP(tables_345100!C115,input_345100!A:H,8,FALSE))</f>
        <v>16056.171</v>
      </c>
      <c r="P115" s="48">
        <f t="shared" ca="1" si="5"/>
        <v>1.1736967105263158E-2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input_345100!A$2</f>
        <v>345100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IFERROR(VLOOKUP(B116,input_345100!L:R,7,FALSE),VLOOKUP(tables_345100!C116,input_345100!A:H,8,FALSE))</f>
        <v>683.82899999999995</v>
      </c>
      <c r="P116" s="48">
        <f t="shared" ca="1" si="5"/>
        <v>4.9987499999999999E-4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input_345100!A$2</f>
        <v>345100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IFERROR(VLOOKUP(B117,input_345100!L:R,7,FALSE),VLOOKUP(tables_345100!C117,input_345100!A:H,8,FALSE))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input_345100!A$2</f>
        <v>345100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IFERROR(VLOOKUP(B118,input_345100!L:R,7,FALSE),VLOOKUP(tables_345100!C118,input_345100!A:H,8,FALSE))</f>
        <v>16056.171</v>
      </c>
      <c r="P118" s="48">
        <f t="shared" ca="1" si="5"/>
        <v>1.1736967105263158E-2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input_345100!A$2</f>
        <v>345100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IFERROR(VLOOKUP(B119,input_345100!L:R,7,FALSE),VLOOKUP(tables_345100!C119,input_345100!A:H,8,FALSE))</f>
        <v>683.82899999999995</v>
      </c>
      <c r="P119" s="48">
        <f t="shared" ca="1" si="5"/>
        <v>4.9987499999999999E-4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input_345100!A$2</f>
        <v>345100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IFERROR(VLOOKUP(B120,input_345100!L:R,7,FALSE),VLOOKUP(tables_345100!C120,input_345100!A:H,8,FALSE))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input_345100!A$2</f>
        <v>345100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IFERROR(VLOOKUP(B121,input_345100!L:R,7,FALSE),VLOOKUP(tables_345100!C121,input_345100!A:H,8,FALSE))</f>
        <v>16056.171</v>
      </c>
      <c r="P121" s="48">
        <f t="shared" ca="1" si="5"/>
        <v>1.1736967105263158E-2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input_345100!A$2</f>
        <v>345100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IFERROR(VLOOKUP(B122,input_345100!L:R,7,FALSE),VLOOKUP(tables_345100!C122,input_345100!A:H,8,FALSE))</f>
        <v>683.82899999999995</v>
      </c>
      <c r="P122" s="48">
        <f t="shared" ca="1" si="5"/>
        <v>4.9987499999999999E-4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input_345100!A$2</f>
        <v>345100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IFERROR(VLOOKUP(B123,input_345100!L:R,7,FALSE),VLOOKUP(tables_345100!C123,input_345100!A:H,8,FALSE))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input_345100!A$2</f>
        <v>345100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IFERROR(VLOOKUP(B124,input_345100!L:R,7,FALSE),VLOOKUP(tables_345100!C124,input_345100!A:H,8,FALSE))</f>
        <v>16056.171</v>
      </c>
      <c r="P124" s="48">
        <f t="shared" ca="1" si="5"/>
        <v>1.1736967105263158E-2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input_345100!A$2</f>
        <v>345100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IFERROR(VLOOKUP(B125,input_345100!L:R,7,FALSE),VLOOKUP(tables_345100!C125,input_345100!A:H,8,FALSE))</f>
        <v>683.82899999999995</v>
      </c>
      <c r="P125" s="48">
        <f t="shared" ca="1" si="5"/>
        <v>4.9987499999999999E-4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input_345100!A$2</f>
        <v>345100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IFERROR(VLOOKUP(B126,input_345100!L:R,7,FALSE),VLOOKUP(tables_345100!C126,input_345100!A:H,8,FALSE))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input_345100!A$2</f>
        <v>345100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IFERROR(VLOOKUP(B127,input_345100!L:R,7,FALSE),VLOOKUP(tables_345100!C127,input_345100!A:H,8,FALSE))</f>
        <v>16056.171</v>
      </c>
      <c r="P127" s="48">
        <f t="shared" ca="1" si="5"/>
        <v>1.1736967105263158E-2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input_345100!A$2</f>
        <v>345100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IFERROR(VLOOKUP(B128,input_345100!L:R,7,FALSE),VLOOKUP(tables_345100!C128,input_345100!A:H,8,FALSE))</f>
        <v>683.82899999999995</v>
      </c>
      <c r="P128" s="48">
        <f t="shared" ca="1" si="5"/>
        <v>4.9987499999999999E-4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input_345100!A$2</f>
        <v>345100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IFERROR(VLOOKUP(B129,input_345100!L:R,7,FALSE),VLOOKUP(tables_345100!C129,input_345100!A:H,8,FALSE))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input_345100!A$2</f>
        <v>345100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IFERROR(VLOOKUP(B130,input_345100!L:R,7,FALSE),VLOOKUP(tables_345100!C130,input_345100!A:H,8,FALSE))</f>
        <v>16056.171</v>
      </c>
      <c r="P130" s="48">
        <f t="shared" ca="1" si="5"/>
        <v>1.1736967105263158E-2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input_345100!A$2</f>
        <v>345100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IFERROR(VLOOKUP(B131,input_345100!L:R,7,FALSE),VLOOKUP(tables_345100!C131,input_345100!A:H,8,FALSE))</f>
        <v>683.82899999999995</v>
      </c>
      <c r="P131" s="48">
        <f t="shared" ca="1" si="5"/>
        <v>4.9987499999999999E-4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input_345100!A$2</f>
        <v>345100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IFERROR(VLOOKUP(B132,input_345100!L:R,7,FALSE),VLOOKUP(tables_345100!C132,input_345100!A:H,8,FALSE))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input_345100!A$2</f>
        <v>345100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IFERROR(VLOOKUP(B133,input_345100!L:R,7,FALSE),VLOOKUP(tables_345100!C133,input_345100!A:H,8,FALSE))</f>
        <v>16056.171</v>
      </c>
      <c r="P133" s="48">
        <f t="shared" ca="1" si="5"/>
        <v>1.1736967105263158E-2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input_345100!A$2</f>
        <v>345100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IFERROR(VLOOKUP(B134,input_345100!L:R,7,FALSE),VLOOKUP(tables_345100!C134,input_345100!A:H,8,FALSE))</f>
        <v>683.82899999999995</v>
      </c>
      <c r="P134" s="48">
        <f t="shared" ca="1" si="5"/>
        <v>4.9987499999999999E-4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input_345100!A$2</f>
        <v>345100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IFERROR(VLOOKUP(B135,input_345100!L:R,7,FALSE),VLOOKUP(tables_345100!C135,input_345100!A:H,8,FALSE))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input_345100!A$2</f>
        <v>345100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IFERROR(VLOOKUP(B136,input_345100!L:R,7,FALSE),VLOOKUP(tables_345100!C136,input_345100!A:H,8,FALSE))</f>
        <v>16056.171</v>
      </c>
      <c r="P136" s="48">
        <f t="shared" ca="1" si="5"/>
        <v>1.1736967105263158E-2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input_345100!A$2</f>
        <v>345100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IFERROR(VLOOKUP(B137,input_345100!L:R,7,FALSE),VLOOKUP(tables_345100!C137,input_345100!A:H,8,FALSE))</f>
        <v>683.82899999999995</v>
      </c>
      <c r="P137" s="48">
        <f t="shared" ca="1" si="5"/>
        <v>4.9987499999999999E-4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input_345100!A$2</f>
        <v>345100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IFERROR(VLOOKUP(B138,input_345100!L:R,7,FALSE),VLOOKUP(tables_345100!C138,input_345100!A:H,8,FALSE))</f>
        <v>2186.8620000000001</v>
      </c>
      <c r="P138" s="48">
        <f t="shared" ca="1" si="5"/>
        <v>1.5985833333333334E-3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input_345100!A$2</f>
        <v>345100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IFERROR(VLOOKUP(B139,input_345100!L:R,7,FALSE),VLOOKUP(tables_345100!C139,input_345100!A:H,8,FALSE))</f>
        <v>93.138000000000005</v>
      </c>
      <c r="P139" s="48">
        <f t="shared" ca="1" si="5"/>
        <v>6.8083333333333339E-5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input_345100!A$2</f>
        <v>345100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IFERROR(VLOOKUP(B140,input_345100!L:R,7,FALSE),VLOOKUP(tables_345100!C140,input_345100!A:H,8,FALSE))</f>
        <v>2186.8620000000001</v>
      </c>
      <c r="P140" s="48">
        <f t="shared" ca="1" si="5"/>
        <v>1.5985833333333334E-3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input_345100!A$2</f>
        <v>345100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IFERROR(VLOOKUP(B141,input_345100!L:R,7,FALSE),VLOOKUP(tables_345100!C141,input_345100!A:H,8,FALSE))</f>
        <v>93.138000000000005</v>
      </c>
      <c r="P141" s="48">
        <f t="shared" ca="1" si="5"/>
        <v>6.8083333333333339E-5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input_345100!A$2</f>
        <v>345100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IFERROR(VLOOKUP(B142,input_345100!L:R,7,FALSE),VLOOKUP(tables_345100!C142,input_345100!A:H,8,FALSE))</f>
        <v>2186.8620000000001</v>
      </c>
      <c r="P142" s="48">
        <f t="shared" ca="1" si="5"/>
        <v>1.5985833333333334E-3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input_345100!A$2</f>
        <v>345100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IFERROR(VLOOKUP(B143,input_345100!L:R,7,FALSE),VLOOKUP(tables_345100!C143,input_345100!A:H,8,FALSE))</f>
        <v>93.138000000000005</v>
      </c>
      <c r="P143" s="48">
        <f t="shared" ref="P143:P206" ca="1" si="8">O143/SUM(O:O)</f>
        <v>6.8083333333333339E-5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input_345100!A$2</f>
        <v>345100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IFERROR(VLOOKUP(B144,input_345100!L:R,7,FALSE),VLOOKUP(tables_345100!C144,input_345100!A:H,8,FALSE))</f>
        <v>2186.8620000000001</v>
      </c>
      <c r="P144" s="48">
        <f t="shared" ca="1" si="8"/>
        <v>1.5985833333333334E-3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input_345100!A$2</f>
        <v>345100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IFERROR(VLOOKUP(B145,input_345100!L:R,7,FALSE),VLOOKUP(tables_345100!C145,input_345100!A:H,8,FALSE))</f>
        <v>93.138000000000005</v>
      </c>
      <c r="P145" s="48">
        <f t="shared" ca="1" si="8"/>
        <v>6.8083333333333339E-5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input_345100!A$2</f>
        <v>345100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IFERROR(VLOOKUP(B146,input_345100!L:R,7,FALSE),VLOOKUP(tables_345100!C146,input_345100!A:H,8,FALSE))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input_345100!A$2</f>
        <v>345100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IFERROR(VLOOKUP(B147,input_345100!L:R,7,FALSE),VLOOKUP(tables_345100!C147,input_345100!A:H,8,FALSE))</f>
        <v>16056.171</v>
      </c>
      <c r="P147" s="48">
        <f t="shared" ca="1" si="8"/>
        <v>1.1736967105263158E-2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input_345100!A$2</f>
        <v>345100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IFERROR(VLOOKUP(B148,input_345100!L:R,7,FALSE),VLOOKUP(tables_345100!C148,input_345100!A:H,8,FALSE))</f>
        <v>683.82899999999995</v>
      </c>
      <c r="P148" s="48">
        <f t="shared" ca="1" si="8"/>
        <v>4.9987499999999999E-4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input_345100!A$2</f>
        <v>345100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IFERROR(VLOOKUP(B149,input_345100!L:R,7,FALSE),VLOOKUP(tables_345100!C149,input_345100!A:H,8,FALSE))</f>
        <v>2186.8620000000001</v>
      </c>
      <c r="P149" s="48">
        <f t="shared" ca="1" si="8"/>
        <v>1.5985833333333334E-3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input_345100!A$2</f>
        <v>345100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IFERROR(VLOOKUP(B150,input_345100!L:R,7,FALSE),VLOOKUP(tables_345100!C150,input_345100!A:H,8,FALSE))</f>
        <v>93.138000000000005</v>
      </c>
      <c r="P150" s="48">
        <f t="shared" ca="1" si="8"/>
        <v>6.8083333333333339E-5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input_345100!A$2</f>
        <v>345100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IFERROR(VLOOKUP(B151,input_345100!L:R,7,FALSE),VLOOKUP(tables_345100!C151,input_345100!A:H,8,FALSE))</f>
        <v>2186.8620000000001</v>
      </c>
      <c r="P151" s="48">
        <f t="shared" ca="1" si="8"/>
        <v>1.5985833333333334E-3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input_345100!A$2</f>
        <v>345100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IFERROR(VLOOKUP(B152,input_345100!L:R,7,FALSE),VLOOKUP(tables_345100!C152,input_345100!A:H,8,FALSE))</f>
        <v>93.138000000000005</v>
      </c>
      <c r="P152" s="48">
        <f t="shared" ca="1" si="8"/>
        <v>6.8083333333333339E-5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input_345100!A$2</f>
        <v>345100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IFERROR(VLOOKUP(B153,input_345100!L:R,7,FALSE),VLOOKUP(tables_345100!C153,input_345100!A:H,8,FALSE))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input_345100!A$2</f>
        <v>345100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IFERROR(VLOOKUP(B154,input_345100!L:R,7,FALSE),VLOOKUP(tables_345100!C154,input_345100!A:H,8,FALSE))</f>
        <v>16056.171</v>
      </c>
      <c r="P154" s="48">
        <f t="shared" ca="1" si="8"/>
        <v>1.1736967105263158E-2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input_345100!A$2</f>
        <v>345100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IFERROR(VLOOKUP(B155,input_345100!L:R,7,FALSE),VLOOKUP(tables_345100!C155,input_345100!A:H,8,FALSE))</f>
        <v>683.82899999999995</v>
      </c>
      <c r="P155" s="48">
        <f t="shared" ca="1" si="8"/>
        <v>4.9987499999999999E-4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input_345100!A$2</f>
        <v>345100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IFERROR(VLOOKUP(B156,input_345100!L:R,7,FALSE),VLOOKUP(tables_345100!C156,input_345100!A:H,8,FALSE))</f>
        <v>2186.8620000000001</v>
      </c>
      <c r="P156" s="48">
        <f t="shared" ca="1" si="8"/>
        <v>1.5985833333333334E-3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input_345100!A$2</f>
        <v>345100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IFERROR(VLOOKUP(B157,input_345100!L:R,7,FALSE),VLOOKUP(tables_345100!C157,input_345100!A:H,8,FALSE))</f>
        <v>93.138000000000005</v>
      </c>
      <c r="P157" s="48">
        <f t="shared" ca="1" si="8"/>
        <v>6.8083333333333339E-5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input_345100!A$2</f>
        <v>345100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IFERROR(VLOOKUP(B158,input_345100!L:R,7,FALSE),VLOOKUP(tables_345100!C158,input_345100!A:H,8,FALSE))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input_345100!A$2</f>
        <v>345100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IFERROR(VLOOKUP(B159,input_345100!L:R,7,FALSE),VLOOKUP(tables_345100!C159,input_345100!A:H,8,FALSE))</f>
        <v>16056.171</v>
      </c>
      <c r="P159" s="48">
        <f t="shared" ca="1" si="8"/>
        <v>1.1736967105263158E-2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input_345100!A$2</f>
        <v>345100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IFERROR(VLOOKUP(B160,input_345100!L:R,7,FALSE),VLOOKUP(tables_345100!C160,input_345100!A:H,8,FALSE))</f>
        <v>683.82899999999995</v>
      </c>
      <c r="P160" s="48">
        <f t="shared" ca="1" si="8"/>
        <v>4.9987499999999999E-4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input_345100!A$2</f>
        <v>345100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IFERROR(VLOOKUP(B161,input_345100!L:R,7,FALSE),VLOOKUP(tables_345100!C161,input_345100!A:H,8,FALSE))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input_345100!A$2</f>
        <v>345100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IFERROR(VLOOKUP(B162,input_345100!L:R,7,FALSE),VLOOKUP(tables_345100!C162,input_345100!A:H,8,FALSE))</f>
        <v>16056.171</v>
      </c>
      <c r="P162" s="48">
        <f t="shared" ca="1" si="8"/>
        <v>1.1736967105263158E-2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input_345100!A$2</f>
        <v>345100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IFERROR(VLOOKUP(B163,input_345100!L:R,7,FALSE),VLOOKUP(tables_345100!C163,input_345100!A:H,8,FALSE))</f>
        <v>683.82899999999995</v>
      </c>
      <c r="P163" s="48">
        <f t="shared" ca="1" si="8"/>
        <v>4.9987499999999999E-4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input_345100!A$2</f>
        <v>345100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IFERROR(VLOOKUP(B164,input_345100!L:R,7,FALSE),VLOOKUP(tables_345100!C164,input_345100!A:H,8,FALSE))</f>
        <v>2186.8620000000001</v>
      </c>
      <c r="P164" s="48">
        <f t="shared" ca="1" si="8"/>
        <v>1.5985833333333334E-3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input_345100!A$2</f>
        <v>345100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IFERROR(VLOOKUP(B165,input_345100!L:R,7,FALSE),VLOOKUP(tables_345100!C165,input_345100!A:H,8,FALSE))</f>
        <v>93.138000000000005</v>
      </c>
      <c r="P165" s="48">
        <f t="shared" ca="1" si="8"/>
        <v>6.8083333333333339E-5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input_345100!A$2</f>
        <v>345100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IFERROR(VLOOKUP(B166,input_345100!L:R,7,FALSE),VLOOKUP(tables_345100!C166,input_345100!A:H,8,FALSE))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input_345100!A$2</f>
        <v>345100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IFERROR(VLOOKUP(B167,input_345100!L:R,7,FALSE),VLOOKUP(tables_345100!C167,input_345100!A:H,8,FALSE))</f>
        <v>16056.171</v>
      </c>
      <c r="P167" s="48">
        <f t="shared" ca="1" si="8"/>
        <v>1.1736967105263158E-2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input_345100!A$2</f>
        <v>345100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IFERROR(VLOOKUP(B168,input_345100!L:R,7,FALSE),VLOOKUP(tables_345100!C168,input_345100!A:H,8,FALSE))</f>
        <v>683.82899999999995</v>
      </c>
      <c r="P168" s="48">
        <f t="shared" ca="1" si="8"/>
        <v>4.9987499999999999E-4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input_345100!A$2</f>
        <v>345100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IFERROR(VLOOKUP(B169,input_345100!L:R,7,FALSE),VLOOKUP(tables_345100!C169,input_345100!A:H,8,FALSE))</f>
        <v>2186.8620000000001</v>
      </c>
      <c r="P169" s="48">
        <f t="shared" ca="1" si="8"/>
        <v>1.5985833333333334E-3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input_345100!A$2</f>
        <v>345100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IFERROR(VLOOKUP(B170,input_345100!L:R,7,FALSE),VLOOKUP(tables_345100!C170,input_345100!A:H,8,FALSE))</f>
        <v>93.138000000000005</v>
      </c>
      <c r="P170" s="48">
        <f t="shared" ca="1" si="8"/>
        <v>6.8083333333333339E-5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input_345100!A$2</f>
        <v>345100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IFERROR(VLOOKUP(B171,input_345100!L:R,7,FALSE),VLOOKUP(tables_345100!C171,input_345100!A:H,8,FALSE))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input_345100!A$2</f>
        <v>345100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IFERROR(VLOOKUP(B172,input_345100!L:R,7,FALSE),VLOOKUP(tables_345100!C172,input_345100!A:H,8,FALSE))</f>
        <v>16056.171</v>
      </c>
      <c r="P172" s="48">
        <f t="shared" ca="1" si="8"/>
        <v>1.1736967105263158E-2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input_345100!A$2</f>
        <v>345100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IFERROR(VLOOKUP(B173,input_345100!L:R,7,FALSE),VLOOKUP(tables_345100!C173,input_345100!A:H,8,FALSE))</f>
        <v>683.82899999999995</v>
      </c>
      <c r="P173" s="48">
        <f t="shared" ca="1" si="8"/>
        <v>4.9987499999999999E-4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input_345100!A$2</f>
        <v>345100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IFERROR(VLOOKUP(B174,input_345100!L:R,7,FALSE),VLOOKUP(tables_345100!C174,input_345100!A:H,8,FALSE))</f>
        <v>2186.8620000000001</v>
      </c>
      <c r="P174" s="48">
        <f t="shared" ca="1" si="8"/>
        <v>1.5985833333333334E-3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input_345100!A$2</f>
        <v>345100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IFERROR(VLOOKUP(B175,input_345100!L:R,7,FALSE),VLOOKUP(tables_345100!C175,input_345100!A:H,8,FALSE))</f>
        <v>93.138000000000005</v>
      </c>
      <c r="P175" s="48">
        <f t="shared" ca="1" si="8"/>
        <v>6.8083333333333339E-5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input_345100!A$2</f>
        <v>345100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IFERROR(VLOOKUP(B176,input_345100!L:R,7,FALSE),VLOOKUP(tables_345100!C176,input_345100!A:H,8,FALSE))</f>
        <v>2186.8620000000001</v>
      </c>
      <c r="P176" s="48">
        <f t="shared" ca="1" si="8"/>
        <v>1.5985833333333334E-3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input_345100!A$2</f>
        <v>345100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IFERROR(VLOOKUP(B177,input_345100!L:R,7,FALSE),VLOOKUP(tables_345100!C177,input_345100!A:H,8,FALSE))</f>
        <v>93.138000000000005</v>
      </c>
      <c r="P177" s="48">
        <f t="shared" ca="1" si="8"/>
        <v>6.8083333333333339E-5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input_345100!A$2</f>
        <v>345100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IFERROR(VLOOKUP(B178,input_345100!L:R,7,FALSE),VLOOKUP(tables_345100!C178,input_345100!A:H,8,FALSE))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input_345100!A$2</f>
        <v>345100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IFERROR(VLOOKUP(B179,input_345100!L:R,7,FALSE),VLOOKUP(tables_345100!C179,input_345100!A:H,8,FALSE))</f>
        <v>16056.171</v>
      </c>
      <c r="P179" s="48">
        <f t="shared" ca="1" si="8"/>
        <v>1.1736967105263158E-2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input_345100!A$2</f>
        <v>345100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IFERROR(VLOOKUP(B180,input_345100!L:R,7,FALSE),VLOOKUP(tables_345100!C180,input_345100!A:H,8,FALSE))</f>
        <v>683.82899999999995</v>
      </c>
      <c r="P180" s="48">
        <f t="shared" ca="1" si="8"/>
        <v>4.9987499999999999E-4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input_345100!A$2</f>
        <v>345100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IFERROR(VLOOKUP(B181,input_345100!L:R,7,FALSE),VLOOKUP(tables_345100!C181,input_345100!A:H,8,FALSE))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input_345100!A$2</f>
        <v>345100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IFERROR(VLOOKUP(B182,input_345100!L:R,7,FALSE),VLOOKUP(tables_345100!C182,input_345100!A:H,8,FALSE))</f>
        <v>16056.171</v>
      </c>
      <c r="P182" s="48">
        <f t="shared" ca="1" si="8"/>
        <v>1.1736967105263158E-2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input_345100!A$2</f>
        <v>345100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IFERROR(VLOOKUP(B183,input_345100!L:R,7,FALSE),VLOOKUP(tables_345100!C183,input_345100!A:H,8,FALSE))</f>
        <v>683.82899999999995</v>
      </c>
      <c r="P183" s="48">
        <f t="shared" ca="1" si="8"/>
        <v>4.9987499999999999E-4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input_345100!A$2</f>
        <v>345100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IFERROR(VLOOKUP(B184,input_345100!L:R,7,FALSE),VLOOKUP(tables_345100!C184,input_345100!A:H,8,FALSE))</f>
        <v>2186.8620000000001</v>
      </c>
      <c r="P184" s="48">
        <f t="shared" ca="1" si="8"/>
        <v>1.5985833333333334E-3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input_345100!A$2</f>
        <v>345100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IFERROR(VLOOKUP(B185,input_345100!L:R,7,FALSE),VLOOKUP(tables_345100!C185,input_345100!A:H,8,FALSE))</f>
        <v>93.138000000000005</v>
      </c>
      <c r="P185" s="48">
        <f t="shared" ca="1" si="8"/>
        <v>6.8083333333333339E-5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input_345100!A$2</f>
        <v>345100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IFERROR(VLOOKUP(B186,input_345100!L:R,7,FALSE),VLOOKUP(tables_345100!C186,input_345100!A:H,8,FALSE))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input_345100!A$2</f>
        <v>345100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IFERROR(VLOOKUP(B187,input_345100!L:R,7,FALSE),VLOOKUP(tables_345100!C187,input_345100!A:H,8,FALSE))</f>
        <v>16056.171</v>
      </c>
      <c r="P187" s="48">
        <f t="shared" ca="1" si="8"/>
        <v>1.1736967105263158E-2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input_345100!A$2</f>
        <v>345100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IFERROR(VLOOKUP(B188,input_345100!L:R,7,FALSE),VLOOKUP(tables_345100!C188,input_345100!A:H,8,FALSE))</f>
        <v>683.82899999999995</v>
      </c>
      <c r="P188" s="48">
        <f t="shared" ca="1" si="8"/>
        <v>4.9987499999999999E-4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input_345100!A$2</f>
        <v>345100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IFERROR(VLOOKUP(B189,input_345100!L:R,7,FALSE),VLOOKUP(tables_345100!C189,input_345100!A:H,8,FALSE))</f>
        <v>2186.8620000000001</v>
      </c>
      <c r="P189" s="48">
        <f t="shared" ca="1" si="8"/>
        <v>1.5985833333333334E-3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input_345100!A$2</f>
        <v>345100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IFERROR(VLOOKUP(B190,input_345100!L:R,7,FALSE),VLOOKUP(tables_345100!C190,input_345100!A:H,8,FALSE))</f>
        <v>93.138000000000005</v>
      </c>
      <c r="P190" s="48">
        <f t="shared" ca="1" si="8"/>
        <v>6.8083333333333339E-5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input_345100!A$2</f>
        <v>345100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IFERROR(VLOOKUP(B191,input_345100!L:R,7,FALSE),VLOOKUP(tables_345100!C191,input_345100!A:H,8,FALSE))</f>
        <v>2186.8620000000001</v>
      </c>
      <c r="P191" s="48">
        <f t="shared" ca="1" si="8"/>
        <v>1.5985833333333334E-3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input_345100!A$2</f>
        <v>345100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IFERROR(VLOOKUP(B192,input_345100!L:R,7,FALSE),VLOOKUP(tables_345100!C192,input_345100!A:H,8,FALSE))</f>
        <v>93.138000000000005</v>
      </c>
      <c r="P192" s="48">
        <f t="shared" ca="1" si="8"/>
        <v>6.8083333333333339E-5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input_345100!A$2</f>
        <v>345100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IFERROR(VLOOKUP(B193,input_345100!L:R,7,FALSE),VLOOKUP(tables_345100!C193,input_345100!A:H,8,FALSE))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input_345100!A$2</f>
        <v>345100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IFERROR(VLOOKUP(B194,input_345100!L:R,7,FALSE),VLOOKUP(tables_345100!C194,input_345100!A:H,8,FALSE))</f>
        <v>16056.171</v>
      </c>
      <c r="P194" s="48">
        <f t="shared" ca="1" si="8"/>
        <v>1.1736967105263158E-2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input_345100!A$2</f>
        <v>345100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IFERROR(VLOOKUP(B195,input_345100!L:R,7,FALSE),VLOOKUP(tables_345100!C195,input_345100!A:H,8,FALSE))</f>
        <v>683.82899999999995</v>
      </c>
      <c r="P195" s="48">
        <f t="shared" ca="1" si="8"/>
        <v>4.9987499999999999E-4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input_345100!A$2</f>
        <v>345100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IFERROR(VLOOKUP(B196,input_345100!L:R,7,FALSE),VLOOKUP(tables_345100!C196,input_345100!A:H,8,FALSE))</f>
        <v>2186.8620000000001</v>
      </c>
      <c r="P196" s="48">
        <f t="shared" ca="1" si="8"/>
        <v>1.5985833333333334E-3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input_345100!A$2</f>
        <v>345100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IFERROR(VLOOKUP(B197,input_345100!L:R,7,FALSE),VLOOKUP(tables_345100!C197,input_345100!A:H,8,FALSE))</f>
        <v>93.138000000000005</v>
      </c>
      <c r="P197" s="48">
        <f t="shared" ca="1" si="8"/>
        <v>6.8083333333333339E-5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input_345100!A$2</f>
        <v>345100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IFERROR(VLOOKUP(B198,input_345100!L:R,7,FALSE),VLOOKUP(tables_345100!C198,input_345100!A:H,8,FALSE))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input_345100!A$2</f>
        <v>345100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IFERROR(VLOOKUP(B199,input_345100!L:R,7,FALSE),VLOOKUP(tables_345100!C199,input_345100!A:H,8,FALSE))</f>
        <v>16056.171</v>
      </c>
      <c r="P199" s="48">
        <f t="shared" ca="1" si="8"/>
        <v>1.1736967105263158E-2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input_345100!A$2</f>
        <v>345100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IFERROR(VLOOKUP(B200,input_345100!L:R,7,FALSE),VLOOKUP(tables_345100!C200,input_345100!A:H,8,FALSE))</f>
        <v>683.82899999999995</v>
      </c>
      <c r="P200" s="48">
        <f t="shared" ca="1" si="8"/>
        <v>4.9987499999999999E-4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input_345100!A$2</f>
        <v>345100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IFERROR(VLOOKUP(B201,input_345100!L:R,7,FALSE),VLOOKUP(tables_345100!C201,input_345100!A:H,8,FALSE))</f>
        <v>2186.8620000000001</v>
      </c>
      <c r="P201" s="48">
        <f t="shared" ca="1" si="8"/>
        <v>1.5985833333333334E-3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input_345100!A$2</f>
        <v>345100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IFERROR(VLOOKUP(B202,input_345100!L:R,7,FALSE),VLOOKUP(tables_345100!C202,input_345100!A:H,8,FALSE))</f>
        <v>93.138000000000005</v>
      </c>
      <c r="P202" s="48">
        <f t="shared" ca="1" si="8"/>
        <v>6.8083333333333339E-5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input_345100!A$2</f>
        <v>345100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IFERROR(VLOOKUP(B203,input_345100!L:R,7,FALSE),VLOOKUP(tables_345100!C203,input_345100!A:H,8,FALSE))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input_345100!A$2</f>
        <v>345100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IFERROR(VLOOKUP(B204,input_345100!L:R,7,FALSE),VLOOKUP(tables_345100!C204,input_345100!A:H,8,FALSE))</f>
        <v>16056.171</v>
      </c>
      <c r="P204" s="48">
        <f t="shared" ca="1" si="8"/>
        <v>1.1736967105263158E-2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input_345100!A$2</f>
        <v>345100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IFERROR(VLOOKUP(B205,input_345100!L:R,7,FALSE),VLOOKUP(tables_345100!C205,input_345100!A:H,8,FALSE))</f>
        <v>683.82899999999995</v>
      </c>
      <c r="P205" s="48">
        <f t="shared" ca="1" si="8"/>
        <v>4.9987499999999999E-4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input_345100!A$2</f>
        <v>345100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IFERROR(VLOOKUP(B206,input_345100!L:R,7,FALSE),VLOOKUP(tables_345100!C206,input_345100!A:H,8,FALSE))</f>
        <v>2186.8620000000001</v>
      </c>
      <c r="P206" s="48">
        <f t="shared" ca="1" si="8"/>
        <v>1.5985833333333334E-3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input_345100!A$2</f>
        <v>345100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IFERROR(VLOOKUP(B207,input_345100!L:R,7,FALSE),VLOOKUP(tables_345100!C207,input_345100!A:H,8,FALSE))</f>
        <v>93.138000000000005</v>
      </c>
      <c r="P207" s="48">
        <f t="shared" ref="P207:P270" ca="1" si="11">O207/SUM(O:O)</f>
        <v>6.8083333333333339E-5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input_345100!A$2</f>
        <v>345100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IFERROR(VLOOKUP(B208,input_345100!L:R,7,FALSE),VLOOKUP(tables_345100!C208,input_345100!A:H,8,FALSE))</f>
        <v>2186.8620000000001</v>
      </c>
      <c r="P208" s="48">
        <f t="shared" ca="1" si="11"/>
        <v>1.5985833333333334E-3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input_345100!A$2</f>
        <v>345100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IFERROR(VLOOKUP(B209,input_345100!L:R,7,FALSE),VLOOKUP(tables_345100!C209,input_345100!A:H,8,FALSE))</f>
        <v>93.138000000000005</v>
      </c>
      <c r="P209" s="48">
        <f t="shared" ca="1" si="11"/>
        <v>6.8083333333333339E-5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input_345100!A$2</f>
        <v>345100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IFERROR(VLOOKUP(B210,input_345100!L:R,7,FALSE),VLOOKUP(tables_345100!C210,input_345100!A:H,8,FALSE))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input_345100!A$2</f>
        <v>345100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IFERROR(VLOOKUP(B211,input_345100!L:R,7,FALSE),VLOOKUP(tables_345100!C211,input_345100!A:H,8,FALSE))</f>
        <v>16056.171</v>
      </c>
      <c r="P211" s="48">
        <f t="shared" ca="1" si="11"/>
        <v>1.1736967105263158E-2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input_345100!A$2</f>
        <v>345100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IFERROR(VLOOKUP(B212,input_345100!L:R,7,FALSE),VLOOKUP(tables_345100!C212,input_345100!A:H,8,FALSE))</f>
        <v>683.82899999999995</v>
      </c>
      <c r="P212" s="48">
        <f t="shared" ca="1" si="11"/>
        <v>4.9987499999999999E-4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input_345100!A$2</f>
        <v>345100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IFERROR(VLOOKUP(B213,input_345100!L:R,7,FALSE),VLOOKUP(tables_345100!C213,input_345100!A:H,8,FALSE))</f>
        <v>2186.8620000000001</v>
      </c>
      <c r="P213" s="48">
        <f t="shared" ca="1" si="11"/>
        <v>1.5985833333333334E-3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input_345100!A$2</f>
        <v>345100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IFERROR(VLOOKUP(B214,input_345100!L:R,7,FALSE),VLOOKUP(tables_345100!C214,input_345100!A:H,8,FALSE))</f>
        <v>93.138000000000005</v>
      </c>
      <c r="P214" s="48">
        <f t="shared" ca="1" si="11"/>
        <v>6.8083333333333339E-5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input_345100!A$2</f>
        <v>345100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IFERROR(VLOOKUP(B215,input_345100!L:R,7,FALSE),VLOOKUP(tables_345100!C215,input_345100!A:H,8,FALSE))</f>
        <v>2186.8620000000001</v>
      </c>
      <c r="P215" s="48">
        <f t="shared" ca="1" si="11"/>
        <v>1.5985833333333334E-3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input_345100!A$2</f>
        <v>345100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IFERROR(VLOOKUP(B216,input_345100!L:R,7,FALSE),VLOOKUP(tables_345100!C216,input_345100!A:H,8,FALSE))</f>
        <v>93.138000000000005</v>
      </c>
      <c r="P216" s="48">
        <f t="shared" ca="1" si="11"/>
        <v>6.8083333333333339E-5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input_345100!A$2</f>
        <v>345100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IFERROR(VLOOKUP(B217,input_345100!L:R,7,FALSE),VLOOKUP(tables_345100!C217,input_345100!A:H,8,FALSE))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input_345100!A$2</f>
        <v>345100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IFERROR(VLOOKUP(B218,input_345100!L:R,7,FALSE),VLOOKUP(tables_345100!C218,input_345100!A:H,8,FALSE))</f>
        <v>16056.171</v>
      </c>
      <c r="P218" s="48">
        <f t="shared" ca="1" si="11"/>
        <v>1.1736967105263158E-2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input_345100!A$2</f>
        <v>345100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IFERROR(VLOOKUP(B219,input_345100!L:R,7,FALSE),VLOOKUP(tables_345100!C219,input_345100!A:H,8,FALSE))</f>
        <v>683.82899999999995</v>
      </c>
      <c r="P219" s="48">
        <f t="shared" ca="1" si="11"/>
        <v>4.9987499999999999E-4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input_345100!A$2</f>
        <v>345100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IFERROR(VLOOKUP(B220,input_345100!L:R,7,FALSE),VLOOKUP(tables_345100!C220,input_345100!A:H,8,FALSE))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input_345100!A$2</f>
        <v>345100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IFERROR(VLOOKUP(B221,input_345100!L:R,7,FALSE),VLOOKUP(tables_345100!C221,input_345100!A:H,8,FALSE))</f>
        <v>16056.171</v>
      </c>
      <c r="P221" s="48">
        <f t="shared" ca="1" si="11"/>
        <v>1.1736967105263158E-2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input_345100!A$2</f>
        <v>345100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IFERROR(VLOOKUP(B222,input_345100!L:R,7,FALSE),VLOOKUP(tables_345100!C222,input_345100!A:H,8,FALSE))</f>
        <v>683.82899999999995</v>
      </c>
      <c r="P222" s="48">
        <f t="shared" ca="1" si="11"/>
        <v>4.9987499999999999E-4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input_345100!A$2</f>
        <v>345100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IFERROR(VLOOKUP(B223,input_345100!L:R,7,FALSE),VLOOKUP(tables_345100!C223,input_345100!A:H,8,FALSE))</f>
        <v>2186.8620000000001</v>
      </c>
      <c r="P223" s="48">
        <f t="shared" ca="1" si="11"/>
        <v>1.5985833333333334E-3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input_345100!A$2</f>
        <v>345100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IFERROR(VLOOKUP(B224,input_345100!L:R,7,FALSE),VLOOKUP(tables_345100!C224,input_345100!A:H,8,FALSE))</f>
        <v>93.138000000000005</v>
      </c>
      <c r="P224" s="48">
        <f t="shared" ca="1" si="11"/>
        <v>6.8083333333333339E-5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input_345100!A$2</f>
        <v>345100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IFERROR(VLOOKUP(B225,input_345100!L:R,7,FALSE),VLOOKUP(tables_345100!C225,input_345100!A:H,8,FALSE))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input_345100!A$2</f>
        <v>345100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IFERROR(VLOOKUP(B226,input_345100!L:R,7,FALSE),VLOOKUP(tables_345100!C226,input_345100!A:H,8,FALSE))</f>
        <v>16056.171</v>
      </c>
      <c r="P226" s="48">
        <f t="shared" ca="1" si="11"/>
        <v>1.1736967105263158E-2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input_345100!A$2</f>
        <v>345100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IFERROR(VLOOKUP(B227,input_345100!L:R,7,FALSE),VLOOKUP(tables_345100!C227,input_345100!A:H,8,FALSE))</f>
        <v>683.82899999999995</v>
      </c>
      <c r="P227" s="48">
        <f t="shared" ca="1" si="11"/>
        <v>4.9987499999999999E-4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input_345100!A$2</f>
        <v>345100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IFERROR(VLOOKUP(B228,input_345100!L:R,7,FALSE),VLOOKUP(tables_345100!C228,input_345100!A:H,8,FALSE))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input_345100!A$2</f>
        <v>345100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IFERROR(VLOOKUP(B229,input_345100!L:R,7,FALSE),VLOOKUP(tables_345100!C229,input_345100!A:H,8,FALSE))</f>
        <v>16056.171</v>
      </c>
      <c r="P229" s="48">
        <f t="shared" ca="1" si="11"/>
        <v>1.1736967105263158E-2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input_345100!A$2</f>
        <v>345100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IFERROR(VLOOKUP(B230,input_345100!L:R,7,FALSE),VLOOKUP(tables_345100!C230,input_345100!A:H,8,FALSE))</f>
        <v>683.82899999999995</v>
      </c>
      <c r="P230" s="48">
        <f t="shared" ca="1" si="11"/>
        <v>4.9987499999999999E-4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input_345100!A$2</f>
        <v>345100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IFERROR(VLOOKUP(B231,input_345100!L:R,7,FALSE),VLOOKUP(tables_345100!C231,input_345100!A:H,8,FALSE))</f>
        <v>2186.8620000000001</v>
      </c>
      <c r="P231" s="48">
        <f t="shared" ca="1" si="11"/>
        <v>1.5985833333333334E-3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input_345100!A$2</f>
        <v>345100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IFERROR(VLOOKUP(B232,input_345100!L:R,7,FALSE),VLOOKUP(tables_345100!C232,input_345100!A:H,8,FALSE))</f>
        <v>93.138000000000005</v>
      </c>
      <c r="P232" s="48">
        <f t="shared" ca="1" si="11"/>
        <v>6.8083333333333339E-5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input_345100!A$2</f>
        <v>345100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IFERROR(VLOOKUP(B233,input_345100!L:R,7,FALSE),VLOOKUP(tables_345100!C233,input_345100!A:H,8,FALSE))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input_345100!A$2</f>
        <v>345100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IFERROR(VLOOKUP(B234,input_345100!L:R,7,FALSE),VLOOKUP(tables_345100!C234,input_345100!A:H,8,FALSE))</f>
        <v>16056.171</v>
      </c>
      <c r="P234" s="48">
        <f t="shared" ca="1" si="11"/>
        <v>1.1736967105263158E-2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input_345100!A$2</f>
        <v>345100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IFERROR(VLOOKUP(B235,input_345100!L:R,7,FALSE),VLOOKUP(tables_345100!C235,input_345100!A:H,8,FALSE))</f>
        <v>683.82899999999995</v>
      </c>
      <c r="P235" s="48">
        <f t="shared" ca="1" si="11"/>
        <v>4.9987499999999999E-4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input_345100!A$2</f>
        <v>345100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IFERROR(VLOOKUP(B236,input_345100!L:R,7,FALSE),VLOOKUP(tables_345100!C236,input_345100!A:H,8,FALSE))</f>
        <v>2186.8620000000001</v>
      </c>
      <c r="P236" s="48">
        <f t="shared" ca="1" si="11"/>
        <v>1.5985833333333334E-3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input_345100!A$2</f>
        <v>345100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IFERROR(VLOOKUP(B237,input_345100!L:R,7,FALSE),VLOOKUP(tables_345100!C237,input_345100!A:H,8,FALSE))</f>
        <v>93.138000000000005</v>
      </c>
      <c r="P237" s="48">
        <f t="shared" ca="1" si="11"/>
        <v>6.8083333333333339E-5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input_345100!A$2</f>
        <v>345100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IFERROR(VLOOKUP(B238,input_345100!L:R,7,FALSE),VLOOKUP(tables_345100!C238,input_345100!A:H,8,FALSE))</f>
        <v>2186.8620000000001</v>
      </c>
      <c r="P238" s="48">
        <f t="shared" ca="1" si="11"/>
        <v>1.5985833333333334E-3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input_345100!A$2</f>
        <v>345100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IFERROR(VLOOKUP(B239,input_345100!L:R,7,FALSE),VLOOKUP(tables_345100!C239,input_345100!A:H,8,FALSE))</f>
        <v>93.138000000000005</v>
      </c>
      <c r="P239" s="48">
        <f t="shared" ca="1" si="11"/>
        <v>6.8083333333333339E-5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input_345100!A$2</f>
        <v>345100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IFERROR(VLOOKUP(B240,input_345100!L:R,7,FALSE),VLOOKUP(tables_345100!C240,input_345100!A:H,8,FALSE))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input_345100!A$2</f>
        <v>345100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IFERROR(VLOOKUP(B241,input_345100!L:R,7,FALSE),VLOOKUP(tables_345100!C241,input_345100!A:H,8,FALSE))</f>
        <v>16056.171</v>
      </c>
      <c r="P241" s="48">
        <f t="shared" ca="1" si="11"/>
        <v>1.1736967105263158E-2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input_345100!A$2</f>
        <v>345100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IFERROR(VLOOKUP(B242,input_345100!L:R,7,FALSE),VLOOKUP(tables_345100!C242,input_345100!A:H,8,FALSE))</f>
        <v>683.82899999999995</v>
      </c>
      <c r="P242" s="48">
        <f t="shared" ca="1" si="11"/>
        <v>4.9987499999999999E-4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input_345100!A$2</f>
        <v>345100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IFERROR(VLOOKUP(B243,input_345100!L:R,7,FALSE),VLOOKUP(tables_345100!C243,input_345100!A:H,8,FALSE))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input_345100!A$2</f>
        <v>345100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IFERROR(VLOOKUP(B244,input_345100!L:R,7,FALSE),VLOOKUP(tables_345100!C244,input_345100!A:H,8,FALSE))</f>
        <v>16056.171</v>
      </c>
      <c r="P244" s="48">
        <f t="shared" ca="1" si="11"/>
        <v>1.1736967105263158E-2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input_345100!A$2</f>
        <v>345100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IFERROR(VLOOKUP(B245,input_345100!L:R,7,FALSE),VLOOKUP(tables_345100!C245,input_345100!A:H,8,FALSE))</f>
        <v>683.82899999999995</v>
      </c>
      <c r="P245" s="48">
        <f t="shared" ca="1" si="11"/>
        <v>4.9987499999999999E-4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input_345100!A$2</f>
        <v>345100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IFERROR(VLOOKUP(B246,input_345100!L:R,7,FALSE),VLOOKUP(tables_345100!C246,input_345100!A:H,8,FALSE))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input_345100!A$2</f>
        <v>345100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IFERROR(VLOOKUP(B247,input_345100!L:R,7,FALSE),VLOOKUP(tables_345100!C247,input_345100!A:H,8,FALSE))</f>
        <v>16056.171</v>
      </c>
      <c r="P247" s="48">
        <f t="shared" ca="1" si="11"/>
        <v>1.1736967105263158E-2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input_345100!A$2</f>
        <v>345100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IFERROR(VLOOKUP(B248,input_345100!L:R,7,FALSE),VLOOKUP(tables_345100!C248,input_345100!A:H,8,FALSE))</f>
        <v>683.82899999999995</v>
      </c>
      <c r="P248" s="48">
        <f t="shared" ca="1" si="11"/>
        <v>4.9987499999999999E-4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input_345100!A$2</f>
        <v>345100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IFERROR(VLOOKUP(B249,input_345100!L:R,7,FALSE),VLOOKUP(tables_345100!C249,input_345100!A:H,8,FALSE))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input_345100!A$2</f>
        <v>345100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IFERROR(VLOOKUP(B250,input_345100!L:R,7,FALSE),VLOOKUP(tables_345100!C250,input_345100!A:H,8,FALSE))</f>
        <v>16056.171</v>
      </c>
      <c r="P250" s="48">
        <f t="shared" ca="1" si="11"/>
        <v>1.1736967105263158E-2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input_345100!A$2</f>
        <v>345100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IFERROR(VLOOKUP(B251,input_345100!L:R,7,FALSE),VLOOKUP(tables_345100!C251,input_345100!A:H,8,FALSE))</f>
        <v>683.82899999999995</v>
      </c>
      <c r="P251" s="48">
        <f t="shared" ca="1" si="11"/>
        <v>4.9987499999999999E-4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input_345100!A$2</f>
        <v>345100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IFERROR(VLOOKUP(B252,input_345100!L:R,7,FALSE),VLOOKUP(tables_345100!C252,input_345100!A:H,8,FALSE))</f>
        <v>2186.8620000000001</v>
      </c>
      <c r="P252" s="48">
        <f t="shared" ca="1" si="11"/>
        <v>1.5985833333333334E-3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input_345100!A$2</f>
        <v>345100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IFERROR(VLOOKUP(B253,input_345100!L:R,7,FALSE),VLOOKUP(tables_345100!C253,input_345100!A:H,8,FALSE))</f>
        <v>93.138000000000005</v>
      </c>
      <c r="P253" s="48">
        <f t="shared" ca="1" si="11"/>
        <v>6.8083333333333339E-5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input_345100!A$2</f>
        <v>345100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IFERROR(VLOOKUP(B254,input_345100!L:R,7,FALSE),VLOOKUP(tables_345100!C254,input_345100!A:H,8,FALSE))</f>
        <v>2186.8620000000001</v>
      </c>
      <c r="P254" s="48">
        <f t="shared" ca="1" si="11"/>
        <v>1.5985833333333334E-3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input_345100!A$2</f>
        <v>345100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IFERROR(VLOOKUP(B255,input_345100!L:R,7,FALSE),VLOOKUP(tables_345100!C255,input_345100!A:H,8,FALSE))</f>
        <v>93.138000000000005</v>
      </c>
      <c r="P255" s="48">
        <f t="shared" ca="1" si="11"/>
        <v>6.8083333333333339E-5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input_345100!A$2</f>
        <v>345100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IFERROR(VLOOKUP(B256,input_345100!L:R,7,FALSE),VLOOKUP(tables_345100!C256,input_345100!A:H,8,FALSE))</f>
        <v>2186.8620000000001</v>
      </c>
      <c r="P256" s="48">
        <f t="shared" ca="1" si="11"/>
        <v>1.5985833333333334E-3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input_345100!A$2</f>
        <v>345100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IFERROR(VLOOKUP(B257,input_345100!L:R,7,FALSE),VLOOKUP(tables_345100!C257,input_345100!A:H,8,FALSE))</f>
        <v>93.138000000000005</v>
      </c>
      <c r="P257" s="48">
        <f t="shared" ca="1" si="11"/>
        <v>6.8083333333333339E-5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input_345100!A$2</f>
        <v>345100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IFERROR(VLOOKUP(B258,input_345100!L:R,7,FALSE),VLOOKUP(tables_345100!C258,input_345100!A:H,8,FALSE))</f>
        <v>2186.8620000000001</v>
      </c>
      <c r="P258" s="48">
        <f t="shared" ca="1" si="11"/>
        <v>1.5985833333333334E-3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input_345100!A$2</f>
        <v>345100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IFERROR(VLOOKUP(B259,input_345100!L:R,7,FALSE),VLOOKUP(tables_345100!C259,input_345100!A:H,8,FALSE))</f>
        <v>93.138000000000005</v>
      </c>
      <c r="P259" s="48">
        <f t="shared" ca="1" si="11"/>
        <v>6.8083333333333339E-5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input_345100!A$2</f>
        <v>345100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IFERROR(VLOOKUP(B260,input_345100!L:R,7,FALSE),VLOOKUP(tables_345100!C260,input_345100!A:H,8,FALSE))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input_345100!A$2</f>
        <v>345100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IFERROR(VLOOKUP(B261,input_345100!L:R,7,FALSE),VLOOKUP(tables_345100!C261,input_345100!A:H,8,FALSE))</f>
        <v>16056.171</v>
      </c>
      <c r="P261" s="48">
        <f t="shared" ca="1" si="11"/>
        <v>1.1736967105263158E-2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input_345100!A$2</f>
        <v>345100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IFERROR(VLOOKUP(B262,input_345100!L:R,7,FALSE),VLOOKUP(tables_345100!C262,input_345100!A:H,8,FALSE))</f>
        <v>683.82899999999995</v>
      </c>
      <c r="P262" s="48">
        <f t="shared" ca="1" si="11"/>
        <v>4.9987499999999999E-4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input_345100!A$2</f>
        <v>345100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IFERROR(VLOOKUP(B263,input_345100!L:R,7,FALSE),VLOOKUP(tables_345100!C263,input_345100!A:H,8,FALSE))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input_345100!A$2</f>
        <v>345100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IFERROR(VLOOKUP(B264,input_345100!L:R,7,FALSE),VLOOKUP(tables_345100!C264,input_345100!A:H,8,FALSE))</f>
        <v>16056.171</v>
      </c>
      <c r="P264" s="48">
        <f t="shared" ca="1" si="11"/>
        <v>1.1736967105263158E-2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input_345100!A$2</f>
        <v>345100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IFERROR(VLOOKUP(B265,input_345100!L:R,7,FALSE),VLOOKUP(tables_345100!C265,input_345100!A:H,8,FALSE))</f>
        <v>683.82899999999995</v>
      </c>
      <c r="P265" s="48">
        <f t="shared" ca="1" si="11"/>
        <v>4.9987499999999999E-4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input_345100!A$2</f>
        <v>345100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IFERROR(VLOOKUP(B266,input_345100!L:R,7,FALSE),VLOOKUP(tables_345100!C266,input_345100!A:H,8,FALSE))</f>
        <v>14684.181</v>
      </c>
      <c r="P266" s="48">
        <f t="shared" ca="1" si="11"/>
        <v>1.0734050438596491E-2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input_345100!A$2</f>
        <v>345100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IFERROR(VLOOKUP(B267,input_345100!L:R,7,FALSE),VLOOKUP(tables_345100!C267,input_345100!A:H,8,FALSE))</f>
        <v>2055.819</v>
      </c>
      <c r="P267" s="48">
        <f t="shared" ca="1" si="11"/>
        <v>1.5027916666666666E-3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input_345100!A$2</f>
        <v>345100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IFERROR(VLOOKUP(B268,input_345100!L:R,7,FALSE),VLOOKUP(tables_345100!C268,input_345100!A:H,8,FALSE))</f>
        <v>14684.181</v>
      </c>
      <c r="P268" s="48">
        <f t="shared" ca="1" si="11"/>
        <v>1.0734050438596491E-2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input_345100!A$2</f>
        <v>345100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IFERROR(VLOOKUP(B269,input_345100!L:R,7,FALSE),VLOOKUP(tables_345100!C269,input_345100!A:H,8,FALSE))</f>
        <v>2055.819</v>
      </c>
      <c r="P269" s="48">
        <f t="shared" ca="1" si="11"/>
        <v>1.5027916666666666E-3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input_345100!A$2</f>
        <v>345100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IFERROR(VLOOKUP(B270,input_345100!L:R,7,FALSE),VLOOKUP(tables_345100!C270,input_345100!A:H,8,FALSE))</f>
        <v>2280</v>
      </c>
      <c r="P270" s="48">
        <f t="shared" ca="1" si="11"/>
        <v>1.6666666666666668E-3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input_345100!A$2</f>
        <v>345100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IFERROR(VLOOKUP(B271,input_345100!L:R,7,FALSE),VLOOKUP(tables_345100!C271,input_345100!A:H,8,FALSE))</f>
        <v>2280</v>
      </c>
      <c r="P271" s="48">
        <f t="shared" ref="P271:P277" ca="1" si="14">O271/SUM(O:O)</f>
        <v>1.6666666666666668E-3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input_345100!A$2</f>
        <v>345100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IFERROR(VLOOKUP(B272,input_345100!L:R,7,FALSE),VLOOKUP(tables_345100!C272,input_345100!A:H,8,FALSE))</f>
        <v>2280</v>
      </c>
      <c r="P272" s="48">
        <f t="shared" ca="1" si="14"/>
        <v>1.6666666666666668E-3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input_345100!A$2</f>
        <v>345100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IFERROR(VLOOKUP(B273,input_345100!L:R,7,FALSE),VLOOKUP(tables_345100!C273,input_345100!A:H,8,FALSE))</f>
        <v>2280</v>
      </c>
      <c r="P273" s="48">
        <f t="shared" ca="1" si="14"/>
        <v>1.6666666666666668E-3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input_345100!A$2</f>
        <v>345100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IFERROR(VLOOKUP(B274,input_345100!L:R,7,FALSE),VLOOKUP(tables_345100!C274,input_345100!A:H,8,FALSE))</f>
        <v>14684.181</v>
      </c>
      <c r="P274" s="48">
        <f t="shared" ca="1" si="14"/>
        <v>1.0734050438596491E-2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input_345100!A$2</f>
        <v>345100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IFERROR(VLOOKUP(B275,input_345100!L:R,7,FALSE),VLOOKUP(tables_345100!C275,input_345100!A:H,8,FALSE))</f>
        <v>2055.819</v>
      </c>
      <c r="P275" s="48">
        <f t="shared" ca="1" si="14"/>
        <v>1.5027916666666666E-3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input_345100!A$2</f>
        <v>345100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IFERROR(VLOOKUP(B276,input_345100!L:R,7,FALSE),VLOOKUP(tables_345100!C276,input_345100!A:H,8,FALSE))</f>
        <v>14684.181</v>
      </c>
      <c r="P276" s="48">
        <f t="shared" ca="1" si="14"/>
        <v>1.0734050438596491E-2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input_345100!A$2</f>
        <v>345100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IFERROR(VLOOKUP(B277,input_345100!L:R,7,FALSE),VLOOKUP(tables_345100!C277,input_345100!A:H,8,FALSE))</f>
        <v>2055.819</v>
      </c>
      <c r="P277" s="48">
        <f t="shared" ca="1" si="14"/>
        <v>1.5027916666666666E-3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input_345100!A$2</f>
        <v>345100</v>
      </c>
      <c r="B278" s="83">
        <v>378</v>
      </c>
      <c r="C278" s="7" t="str">
        <f t="shared" ref="C278:C280" si="17">D278&amp;J278&amp;E278&amp;F278&amp;G278</f>
        <v>PremiumSSS4R3less</v>
      </c>
      <c r="D278" s="7" t="str">
        <f t="shared" ref="D278:D280" si="18">IF(I278="PremiumSS",I278,IF(I278="PremiumSSS",I278,IF(I278="PremiumW",I278,"Premium")))</f>
        <v>PremiumSSS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オイラー</v>
      </c>
      <c r="I278" s="7" t="str">
        <f>VLOOKUP(B278,[1]characters!$A:$J,10,FALSE)</f>
        <v>PremiumSSS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balance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IFERROR(VLOOKUP(B278,input_345100!L:R,7,FALSE),VLOOKUP(tables_345100!C278,input_345100!A:H,8,FALSE))</f>
        <v>205.20000000000002</v>
      </c>
      <c r="P278" s="48">
        <f t="shared" ref="P278:P280" ca="1" si="19">O278/SUM(O:O)</f>
        <v>1.5000000000000001E-4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input_345100!A$2</f>
        <v>345100</v>
      </c>
      <c r="B279" s="83">
        <v>379</v>
      </c>
      <c r="C279" s="7" t="str">
        <f t="shared" si="17"/>
        <v>PremiumSSS5R3less</v>
      </c>
      <c r="D279" s="7" t="str">
        <f t="shared" si="18"/>
        <v>PremiumSSS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幾何の機刃 オイラー</v>
      </c>
      <c r="I279" s="7" t="str">
        <f>VLOOKUP(B279,[1]characters!$A:$J,10,FALSE)</f>
        <v>PremiumSSS</v>
      </c>
      <c r="J279" s="7">
        <f>VLOOKUP(B279,[1]characters!$A:$I,9,FALSE)</f>
        <v>5</v>
      </c>
      <c r="K279" s="7" t="str">
        <f>VLOOKUP(B279,[1]characters!$A:$H,8,FALSE)</f>
        <v>green</v>
      </c>
      <c r="L279" s="7" t="str">
        <f>VLOOKUP(B279,[1]characters!$A:$K,11,FALSE)</f>
        <v>balance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IFERROR(VLOOKUP(B279,input_345100!L:R,7,FALSE),VLOOKUP(tables_345100!C279,input_345100!A:H,8,FALSE))</f>
        <v>1846.8000000000002</v>
      </c>
      <c r="P279" s="48">
        <f t="shared" ca="1" si="19"/>
        <v>1.3500000000000001E-3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input_345100!A$2</f>
        <v>345100</v>
      </c>
      <c r="B280" s="83">
        <v>688</v>
      </c>
      <c r="C280" s="7" t="str">
        <f t="shared" si="17"/>
        <v>PremiumSSS4R3less</v>
      </c>
      <c r="D280" s="7" t="str">
        <f t="shared" si="18"/>
        <v>PremiumSSS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ユークリッド</v>
      </c>
      <c r="I280" s="7" t="str">
        <f>VLOOKUP(B280,[1]characters!$A:$J,10,FALSE)</f>
        <v>PremiumSSS</v>
      </c>
      <c r="J280" s="7">
        <f>VLOOKUP(B280,[1]characters!$A:$I,9,FALSE)</f>
        <v>4</v>
      </c>
      <c r="K280" s="7" t="str">
        <f>VLOOKUP(B280,[1]characters!$A:$H,8,FALSE)</f>
        <v>blue</v>
      </c>
      <c r="L280" s="7" t="str">
        <f>VLOOKUP(B280,[1]characters!$A:$K,11,FALSE)</f>
        <v>balance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IFERROR(VLOOKUP(B280,input_345100!L:R,7,FALSE),VLOOKUP(tables_345100!C280,input_345100!A:H,8,FALSE))</f>
        <v>205.20000000000002</v>
      </c>
      <c r="P280" s="48">
        <f t="shared" ca="1" si="19"/>
        <v>1.5000000000000001E-4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input_345100!A$2</f>
        <v>345100</v>
      </c>
      <c r="B281" s="83">
        <v>689</v>
      </c>
      <c r="C281" s="7" t="str">
        <f t="shared" ref="C281:C283" si="20">D281&amp;J281&amp;E281&amp;F281&amp;G281</f>
        <v>PremiumSSS5R3less</v>
      </c>
      <c r="D281" s="7" t="str">
        <f t="shared" ref="D281:D283" si="21">IF(I281="PremiumSS",I281,IF(I281="PremiumSSS",I281,IF(I281="PremiumW",I281,"Premium")))</f>
        <v>PremiumSSS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根原論理 ユークリッド</v>
      </c>
      <c r="I281" s="7" t="str">
        <f>VLOOKUP(B281,[1]characters!$A:$J,10,FALSE)</f>
        <v>PremiumSSS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女性</v>
      </c>
      <c r="O281" s="47">
        <f>IFERROR(VLOOKUP(B281,input_345100!L:R,7,FALSE),VLOOKUP(tables_345100!C281,input_345100!A:H,8,FALSE))</f>
        <v>1846.8000000000002</v>
      </c>
      <c r="P281" s="48">
        <f t="shared" ref="P281:P283" ca="1" si="22">O281/SUM(O:O)</f>
        <v>1.3500000000000001E-3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input_345100!A$2</f>
        <v>345100</v>
      </c>
      <c r="B282" s="83">
        <v>760</v>
      </c>
      <c r="C282" s="7" t="str">
        <f t="shared" si="20"/>
        <v>PremiumSSS5R3less</v>
      </c>
      <c r="D282" s="7" t="str">
        <f t="shared" si="21"/>
        <v>PremiumSSS</v>
      </c>
      <c r="E282" s="7" t="str">
        <f>IF(COUNTIF('R6追加前'!A:A,B282)=0,IF(I282="PremiumSS","R5only","R3less"),"")</f>
        <v>R3less</v>
      </c>
      <c r="F282" s="7" t="str">
        <f>IF(COUNTIF('R6開放'!A:A,B282)&gt;0,"R6release","")</f>
        <v/>
      </c>
      <c r="G282" s="7"/>
      <c r="H282" s="7" t="str">
        <f>VLOOKUP(B282,[1]characters!$A:$C,3,FALSE)</f>
        <v>限論顕現 クロネッカー</v>
      </c>
      <c r="I282" s="7" t="str">
        <f>VLOOKUP(B282,[1]characters!$A:$J,10,FALSE)</f>
        <v>PremiumSSS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>IFERROR(VLOOKUP(B282,input_345100!L:R,7,FALSE),VLOOKUP(tables_345100!C282,input_345100!A:H,8,FALSE))</f>
        <v>2052</v>
      </c>
      <c r="P282" s="48">
        <f t="shared" ca="1" si="22"/>
        <v>1.5E-3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input_345100!A$2</f>
        <v>345100</v>
      </c>
      <c r="B283" s="83">
        <v>484</v>
      </c>
      <c r="C283" s="7" t="str">
        <f t="shared" si="20"/>
        <v>PremiumSSS4R3less</v>
      </c>
      <c r="D283" s="7" t="str">
        <f t="shared" si="21"/>
        <v>PremiumSSS</v>
      </c>
      <c r="E283" s="7" t="str">
        <f>IF(COUNTIF('R6追加前'!A:A,B283)=0,IF(I283="PremiumSS","R5only","R3less"),"")</f>
        <v>R3less</v>
      </c>
      <c r="F283" s="7" t="str">
        <f>IF(COUNTIF('R6開放'!A:A,B283)&gt;0,"R6release","")</f>
        <v/>
      </c>
      <c r="G283" s="7"/>
      <c r="H283" s="7" t="str">
        <f>VLOOKUP(B283,[1]characters!$A:$C,3,FALSE)</f>
        <v>ラグランジュ</v>
      </c>
      <c r="I283" s="7" t="str">
        <f>VLOOKUP(B283,[1]characters!$A:$J,10,FALSE)</f>
        <v>PremiumSSS</v>
      </c>
      <c r="J283" s="7">
        <f>VLOOKUP(B283,[1]characters!$A:$I,9,FALSE)</f>
        <v>4</v>
      </c>
      <c r="K283" s="7" t="str">
        <f>VLOOKUP(B283,[1]characters!$A:$H,8,FALSE)</f>
        <v>red</v>
      </c>
      <c r="L283" s="7" t="str">
        <f>VLOOKUP(B283,[1]characters!$A:$K,11,FALSE)</f>
        <v>technical</v>
      </c>
      <c r="M283" s="7" t="str">
        <f>VLOOKUP(B283,[1]characters!$A:$M,13,FALSE)</f>
        <v>human</v>
      </c>
      <c r="N283" s="7" t="str">
        <f>VLOOKUP(B283,[1]characters!$A:$G,7,FALSE)</f>
        <v>女性</v>
      </c>
      <c r="O283" s="47">
        <f>IFERROR(VLOOKUP(B283,input_345100!L:R,7,FALSE),VLOOKUP(tables_345100!C283,input_345100!A:H,8,FALSE))</f>
        <v>752.40000000000009</v>
      </c>
      <c r="P283" s="48">
        <f t="shared" ca="1" si="22"/>
        <v>5.5000000000000003E-4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input_345100!A$2</f>
        <v>345100</v>
      </c>
      <c r="B284" s="83">
        <v>485</v>
      </c>
      <c r="C284" s="7" t="str">
        <f t="shared" ref="C284" si="23">D284&amp;J284&amp;E284&amp;F284&amp;G284</f>
        <v>PremiumSSS5R3less</v>
      </c>
      <c r="D284" s="7" t="str">
        <f t="shared" ref="D284" si="24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超越自我 ラグランジュ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7">
        <f>IFERROR(VLOOKUP(B284,input_345100!L:R,7,FALSE),VLOOKUP(tables_345100!C284,input_345100!A:H,8,FALSE))</f>
        <v>6771.5999999999995</v>
      </c>
      <c r="P284" s="48">
        <f t="shared" ref="P284" ca="1" si="25">O284/SUM(O:O)</f>
        <v>4.9499999999999995E-3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97"/>
  <sheetViews>
    <sheetView showGridLines="0" zoomScale="75" zoomScaleNormal="75" zoomScalePageLayoutView="75" workbookViewId="0">
      <pane ySplit="1" topLeftCell="A2" activePane="bottomLeft" state="frozen"/>
      <selection activeCell="B272" sqref="B272:B277"/>
      <selection pane="bottomLeft" activeCell="A2" sqref="A2:A97"/>
    </sheetView>
  </sheetViews>
  <sheetFormatPr baseColWidth="12" defaultRowHeight="21" customHeight="1" outlineLevelCol="1" x14ac:dyDescent="0.15"/>
  <cols>
    <col min="1" max="1" width="12.59765625" style="89" bestFit="1" customWidth="1"/>
    <col min="2" max="2" width="10.3984375" style="89" customWidth="1"/>
    <col min="3" max="3" width="17.59765625" style="89" bestFit="1" customWidth="1" outlineLevel="1"/>
    <col min="4" max="7" width="17.59765625" style="89" customWidth="1" outlineLevel="1"/>
    <col min="8" max="8" width="23.3984375" style="89" customWidth="1" outlineLevel="1"/>
    <col min="9" max="9" width="13.59765625" style="89" customWidth="1" outlineLevel="1"/>
    <col min="10" max="10" width="9.59765625" style="89" customWidth="1" outlineLevel="1"/>
    <col min="11" max="11" width="10.3984375" style="92" customWidth="1" outlineLevel="1"/>
    <col min="12" max="12" width="18.796875" style="89" customWidth="1" outlineLevel="1"/>
    <col min="13" max="14" width="19" style="89" customWidth="1" outlineLevel="1"/>
    <col min="15" max="15" width="11.3984375" style="89" bestFit="1" customWidth="1"/>
    <col min="16" max="16" width="11.3984375" style="89" customWidth="1"/>
    <col min="17" max="17" width="13.19921875" style="89" bestFit="1" customWidth="1"/>
    <col min="18" max="16384" width="13" style="89"/>
  </cols>
  <sheetData>
    <row r="1" spans="1:22" ht="21" customHeight="1" x14ac:dyDescent="0.15">
      <c r="A1" s="86" t="s">
        <v>88</v>
      </c>
      <c r="B1" s="87" t="s">
        <v>226</v>
      </c>
      <c r="C1" s="88" t="s">
        <v>31</v>
      </c>
      <c r="D1" s="88" t="s">
        <v>227</v>
      </c>
      <c r="E1" s="88" t="s">
        <v>197</v>
      </c>
      <c r="F1" s="88" t="s">
        <v>198</v>
      </c>
      <c r="G1" s="88" t="s">
        <v>228</v>
      </c>
      <c r="H1" s="88" t="s">
        <v>229</v>
      </c>
      <c r="I1" s="88" t="s">
        <v>230</v>
      </c>
      <c r="J1" s="88" t="s">
        <v>231</v>
      </c>
      <c r="K1" s="88" t="s">
        <v>232</v>
      </c>
      <c r="L1" s="88" t="s">
        <v>233</v>
      </c>
      <c r="M1" s="88" t="s">
        <v>234</v>
      </c>
      <c r="N1" s="88" t="s">
        <v>61</v>
      </c>
      <c r="O1" s="87" t="s">
        <v>235</v>
      </c>
      <c r="P1" s="88" t="s">
        <v>66</v>
      </c>
      <c r="Q1" s="87" t="s">
        <v>236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0">
        <v>345100</v>
      </c>
      <c r="B2" s="6">
        <v>168</v>
      </c>
      <c r="C2" s="91" t="str">
        <f t="shared" ref="C2:C13" si="0">D2&amp;J2&amp;E2&amp;F2&amp;G2</f>
        <v>Premium5R6release</v>
      </c>
      <c r="D2" s="91" t="str">
        <f t="shared" ref="D2:D13" si="1">IF(I2="PremiumSS",I2,IF(I2="PremiumSSS",I2,IF(I2="PremiumW",I2,"Premium")))</f>
        <v>Premium</v>
      </c>
      <c r="E2" s="91" t="str">
        <f>IF(COUNTIF('R6追加前'!A:A,B2)=0,IF(I2="PremiumSS","R5only","R3less"),"")</f>
        <v/>
      </c>
      <c r="F2" s="91" t="str">
        <f>IF(COUNTIF('R6開放'!A:A,B2)&gt;0,"R6release","")</f>
        <v>R6release</v>
      </c>
      <c r="G2" s="91"/>
      <c r="H2" s="91" t="str">
        <f>VLOOKUP(B2,[1]characters!$A:$C,3,FALSE)</f>
        <v>猛進の大逆者 ベリアル</v>
      </c>
      <c r="I2" s="91" t="str">
        <f>VLOOKUP(B2,[1]characters!$A:$J,10,FALSE)</f>
        <v>PremiumN</v>
      </c>
      <c r="J2" s="91">
        <f>VLOOKUP(B2,[1]characters!$A:$I,9,FALSE)</f>
        <v>5</v>
      </c>
      <c r="K2" s="91" t="str">
        <f>VLOOKUP(B2,[1]characters!$A:$H,8,FALSE)</f>
        <v>red</v>
      </c>
      <c r="L2" s="91" t="str">
        <f>VLOOKUP(B2,[1]characters!$A:$K,11,FALSE)</f>
        <v>attack</v>
      </c>
      <c r="M2" s="91" t="str">
        <f>VLOOKUP(B2,[1]characters!$A:$M,13,FALSE)</f>
        <v>god</v>
      </c>
      <c r="N2" s="91" t="str">
        <f>VLOOKUP(B2,[1]characters!$A:$G,7,FALSE)</f>
        <v>男性</v>
      </c>
      <c r="O2" s="47">
        <f>ROUND(0.06*10000/(COUNTIF(I:I,"PremiumSS")+COUNTIF(F:F,"R6release")),0)</f>
        <v>17</v>
      </c>
      <c r="P2" s="48">
        <f t="shared" ref="P2:P33" si="2">O2/SUM(O:O)</f>
        <v>1.6986410871302957E-3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0">
        <v>345100</v>
      </c>
      <c r="B3" s="6">
        <v>171</v>
      </c>
      <c r="C3" s="91" t="str">
        <f t="shared" si="0"/>
        <v>Premium5R6release</v>
      </c>
      <c r="D3" s="91" t="str">
        <f t="shared" si="1"/>
        <v>Premium</v>
      </c>
      <c r="E3" s="91" t="str">
        <f>IF(COUNTIF('R6追加前'!A:A,B3)=0,IF(I3="PremiumSS","R5only","R3less"),"")</f>
        <v/>
      </c>
      <c r="F3" s="91" t="str">
        <f>IF(COUNTIF('R6開放'!A:A,B3)&gt;0,"R6release","")</f>
        <v>R6release</v>
      </c>
      <c r="G3" s="91"/>
      <c r="H3" s="91" t="str">
        <f>VLOOKUP(B3,[1]characters!$A:$C,3,FALSE)</f>
        <v>精解の預知者 オセ</v>
      </c>
      <c r="I3" s="91" t="str">
        <f>VLOOKUP(B3,[1]characters!$A:$J,10,FALSE)</f>
        <v>PremiumN</v>
      </c>
      <c r="J3" s="91">
        <f>VLOOKUP(B3,[1]characters!$A:$I,9,FALSE)</f>
        <v>5</v>
      </c>
      <c r="K3" s="91" t="str">
        <f>VLOOKUP(B3,[1]characters!$A:$H,8,FALSE)</f>
        <v>green</v>
      </c>
      <c r="L3" s="91" t="str">
        <f>VLOOKUP(B3,[1]characters!$A:$K,11,FALSE)</f>
        <v>attack</v>
      </c>
      <c r="M3" s="91" t="str">
        <f>VLOOKUP(B3,[1]characters!$A:$M,13,FALSE)</f>
        <v>god</v>
      </c>
      <c r="N3" s="91" t="str">
        <f>VLOOKUP(B3,[1]characters!$A:$G,7,FALSE)</f>
        <v>女性</v>
      </c>
      <c r="O3" s="47">
        <f t="shared" ref="O3:O4" si="3">ROUND(0.06*10000/(COUNTIF(I:I,"PremiumSS")+COUNTIF(F:F,"R6release")),0)</f>
        <v>17</v>
      </c>
      <c r="P3" s="48">
        <f t="shared" si="2"/>
        <v>1.6986410871302957E-3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0">
        <v>345100</v>
      </c>
      <c r="B4" s="6">
        <v>174</v>
      </c>
      <c r="C4" s="91" t="str">
        <f t="shared" si="0"/>
        <v>Premium5R6release</v>
      </c>
      <c r="D4" s="91" t="str">
        <f t="shared" si="1"/>
        <v>Premium</v>
      </c>
      <c r="E4" s="91" t="str">
        <f>IF(COUNTIF('R6追加前'!A:A,B4)=0,IF(I4="PremiumSS","R5only","R3less"),"")</f>
        <v/>
      </c>
      <c r="F4" s="91" t="str">
        <f>IF(COUNTIF('R6開放'!A:A,B4)&gt;0,"R6release","")</f>
        <v>R6release</v>
      </c>
      <c r="G4" s="91"/>
      <c r="H4" s="91" t="str">
        <f>VLOOKUP(B4,[1]characters!$A:$C,3,FALSE)</f>
        <v>偽愛の大公爵 フォルネウス</v>
      </c>
      <c r="I4" s="91" t="str">
        <f>VLOOKUP(B4,[1]characters!$A:$J,10,FALSE)</f>
        <v>PremiumN</v>
      </c>
      <c r="J4" s="91">
        <f>VLOOKUP(B4,[1]characters!$A:$I,9,FALSE)</f>
        <v>5</v>
      </c>
      <c r="K4" s="91" t="str">
        <f>VLOOKUP(B4,[1]characters!$A:$H,8,FALSE)</f>
        <v>blue</v>
      </c>
      <c r="L4" s="91" t="str">
        <f>VLOOKUP(B4,[1]characters!$A:$K,11,FALSE)</f>
        <v>attack</v>
      </c>
      <c r="M4" s="91" t="str">
        <f>VLOOKUP(B4,[1]characters!$A:$M,13,FALSE)</f>
        <v>god</v>
      </c>
      <c r="N4" s="91" t="str">
        <f>VLOOKUP(B4,[1]characters!$A:$G,7,FALSE)</f>
        <v>女性</v>
      </c>
      <c r="O4" s="47">
        <f t="shared" si="3"/>
        <v>17</v>
      </c>
      <c r="P4" s="48">
        <f t="shared" si="2"/>
        <v>1.6986410871302957E-3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0">
        <v>345100</v>
      </c>
      <c r="B5" s="6">
        <v>177</v>
      </c>
      <c r="C5" s="91" t="str">
        <f t="shared" si="0"/>
        <v>Premium5</v>
      </c>
      <c r="D5" s="91" t="str">
        <f t="shared" si="1"/>
        <v>Premium</v>
      </c>
      <c r="E5" s="91" t="str">
        <f>IF(COUNTIF('R6追加前'!A:A,B5)=0,IF(I5="PremiumSS","R5only","R3less"),"")</f>
        <v/>
      </c>
      <c r="F5" s="91" t="str">
        <f>IF(COUNTIF('R6開放'!A:A,B5)&gt;0,"R6release","")</f>
        <v/>
      </c>
      <c r="G5" s="91"/>
      <c r="H5" s="91" t="str">
        <f>VLOOKUP(B5,[1]characters!$A:$C,3,FALSE)</f>
        <v>黒魔の異端師 バフォメット</v>
      </c>
      <c r="I5" s="91" t="str">
        <f>VLOOKUP(B5,[1]characters!$A:$J,10,FALSE)</f>
        <v>PremiumN</v>
      </c>
      <c r="J5" s="91">
        <f>VLOOKUP(B5,[1]characters!$A:$I,9,FALSE)</f>
        <v>5</v>
      </c>
      <c r="K5" s="91" t="str">
        <f>VLOOKUP(B5,[1]characters!$A:$H,8,FALSE)</f>
        <v>yellow</v>
      </c>
      <c r="L5" s="91" t="str">
        <f>VLOOKUP(B5,[1]characters!$A:$K,11,FALSE)</f>
        <v>attack</v>
      </c>
      <c r="M5" s="91" t="str">
        <f>VLOOKUP(B5,[1]characters!$A:$M,13,FALSE)</f>
        <v>god</v>
      </c>
      <c r="N5" s="91" t="str">
        <f>VLOOKUP(B5,[1]characters!$A:$G,7,FALSE)</f>
        <v>女性</v>
      </c>
      <c r="O5" s="47">
        <f>ROUND(0.93*10000/COUNTIFS(D:D,"Premium",F:F,"&lt;&gt;R6release"),0)</f>
        <v>166</v>
      </c>
      <c r="P5" s="48">
        <f t="shared" si="2"/>
        <v>1.6586730615507594E-2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0">
        <v>345100</v>
      </c>
      <c r="B6" s="6">
        <v>180</v>
      </c>
      <c r="C6" s="91" t="str">
        <f t="shared" si="0"/>
        <v>Premium5</v>
      </c>
      <c r="D6" s="91" t="str">
        <f t="shared" si="1"/>
        <v>Premium</v>
      </c>
      <c r="E6" s="91" t="str">
        <f>IF(COUNTIF('R6追加前'!A:A,B6)=0,IF(I6="PremiumSS","R5only","R3less"),"")</f>
        <v/>
      </c>
      <c r="F6" s="91" t="str">
        <f>IF(COUNTIF('R6開放'!A:A,B6)&gt;0,"R6release","")</f>
        <v/>
      </c>
      <c r="G6" s="91"/>
      <c r="H6" s="91" t="str">
        <f>VLOOKUP(B6,[1]characters!$A:$C,3,FALSE)</f>
        <v>地獄の大門番 ケルベロス</v>
      </c>
      <c r="I6" s="91" t="str">
        <f>VLOOKUP(B6,[1]characters!$A:$J,10,FALSE)</f>
        <v>PremiumN</v>
      </c>
      <c r="J6" s="91">
        <f>VLOOKUP(B6,[1]characters!$A:$I,9,FALSE)</f>
        <v>5</v>
      </c>
      <c r="K6" s="91" t="str">
        <f>VLOOKUP(B6,[1]characters!$A:$H,8,FALSE)</f>
        <v>red</v>
      </c>
      <c r="L6" s="91" t="str">
        <f>VLOOKUP(B6,[1]characters!$A:$K,11,FALSE)</f>
        <v>balance</v>
      </c>
      <c r="M6" s="91" t="str">
        <f>VLOOKUP(B6,[1]characters!$A:$M,13,FALSE)</f>
        <v>animal</v>
      </c>
      <c r="N6" s="91" t="str">
        <f>VLOOKUP(B6,[1]characters!$A:$G,7,FALSE)</f>
        <v>女性</v>
      </c>
      <c r="O6" s="47">
        <f t="shared" ref="O6:O24" si="4">ROUND(0.93*10000/COUNTIFS(D:D,"Premium",F:F,"&lt;&gt;R6release"),0)</f>
        <v>166</v>
      </c>
      <c r="P6" s="48">
        <f t="shared" si="2"/>
        <v>1.6586730615507594E-2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0">
        <v>345100</v>
      </c>
      <c r="B7" s="6">
        <v>183</v>
      </c>
      <c r="C7" s="91" t="str">
        <f t="shared" si="0"/>
        <v>Premium5</v>
      </c>
      <c r="D7" s="91" t="str">
        <f t="shared" si="1"/>
        <v>Premium</v>
      </c>
      <c r="E7" s="91" t="str">
        <f>IF(COUNTIF('R6追加前'!A:A,B7)=0,IF(I7="PremiumSS","R5only","R3less"),"")</f>
        <v/>
      </c>
      <c r="F7" s="91" t="str">
        <f>IF(COUNTIF('R6開放'!A:A,B7)&gt;0,"R6release","")</f>
        <v/>
      </c>
      <c r="G7" s="91"/>
      <c r="H7" s="91" t="str">
        <f>VLOOKUP(B7,[1]characters!$A:$C,3,FALSE)</f>
        <v>鈍重な彷徨者 ベヒモス</v>
      </c>
      <c r="I7" s="91" t="str">
        <f>VLOOKUP(B7,[1]characters!$A:$J,10,FALSE)</f>
        <v>PremiumN</v>
      </c>
      <c r="J7" s="91">
        <f>VLOOKUP(B7,[1]characters!$A:$I,9,FALSE)</f>
        <v>5</v>
      </c>
      <c r="K7" s="91" t="str">
        <f>VLOOKUP(B7,[1]characters!$A:$H,8,FALSE)</f>
        <v>green</v>
      </c>
      <c r="L7" s="91" t="str">
        <f>VLOOKUP(B7,[1]characters!$A:$K,11,FALSE)</f>
        <v>hp</v>
      </c>
      <c r="M7" s="91" t="str">
        <f>VLOOKUP(B7,[1]characters!$A:$M,13,FALSE)</f>
        <v>animal</v>
      </c>
      <c r="N7" s="91" t="str">
        <f>VLOOKUP(B7,[1]characters!$A:$G,7,FALSE)</f>
        <v>女性</v>
      </c>
      <c r="O7" s="47">
        <f t="shared" si="4"/>
        <v>166</v>
      </c>
      <c r="P7" s="48">
        <f t="shared" si="2"/>
        <v>1.6586730615507594E-2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0">
        <v>345100</v>
      </c>
      <c r="B8" s="8">
        <v>186</v>
      </c>
      <c r="C8" s="91" t="str">
        <f t="shared" si="0"/>
        <v>Premium5</v>
      </c>
      <c r="D8" s="91" t="str">
        <f t="shared" si="1"/>
        <v>Premium</v>
      </c>
      <c r="E8" s="91" t="str">
        <f>IF(COUNTIF('R6追加前'!A:A,B8)=0,IF(I8="PremiumSS","R5only","R3less"),"")</f>
        <v/>
      </c>
      <c r="F8" s="91" t="str">
        <f>IF(COUNTIF('R6開放'!A:A,B8)&gt;0,"R6release","")</f>
        <v/>
      </c>
      <c r="G8" s="91"/>
      <c r="H8" s="91" t="str">
        <f>VLOOKUP(B8,[1]characters!$A:$C,3,FALSE)</f>
        <v>誇り高き多触姫・クラーケン</v>
      </c>
      <c r="I8" s="91" t="str">
        <f>VLOOKUP(B8,[1]characters!$A:$J,10,FALSE)</f>
        <v>PremiumN</v>
      </c>
      <c r="J8" s="91">
        <f>VLOOKUP(B8,[1]characters!$A:$I,9,FALSE)</f>
        <v>5</v>
      </c>
      <c r="K8" s="91" t="str">
        <f>VLOOKUP(B8,[1]characters!$A:$H,8,FALSE)</f>
        <v>blue</v>
      </c>
      <c r="L8" s="91" t="str">
        <f>VLOOKUP(B8,[1]characters!$A:$K,11,FALSE)</f>
        <v>heal</v>
      </c>
      <c r="M8" s="91" t="str">
        <f>VLOOKUP(B8,[1]characters!$A:$M,13,FALSE)</f>
        <v>animal</v>
      </c>
      <c r="N8" s="91" t="str">
        <f>VLOOKUP(B8,[1]characters!$A:$G,7,FALSE)</f>
        <v>女性</v>
      </c>
      <c r="O8" s="47">
        <f t="shared" si="4"/>
        <v>166</v>
      </c>
      <c r="P8" s="48">
        <f t="shared" si="2"/>
        <v>1.6586730615507594E-2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0">
        <v>345100</v>
      </c>
      <c r="B9" s="8">
        <v>189</v>
      </c>
      <c r="C9" s="91" t="str">
        <f t="shared" si="0"/>
        <v>Premium5</v>
      </c>
      <c r="D9" s="91" t="str">
        <f t="shared" si="1"/>
        <v>Premium</v>
      </c>
      <c r="E9" s="91" t="str">
        <f>IF(COUNTIF('R6追加前'!A:A,B9)=0,IF(I9="PremiumSS","R5only","R3less"),"")</f>
        <v/>
      </c>
      <c r="F9" s="91" t="str">
        <f>IF(COUNTIF('R6開放'!A:A,B9)&gt;0,"R6release","")</f>
        <v/>
      </c>
      <c r="G9" s="91"/>
      <c r="H9" s="91" t="str">
        <f>VLOOKUP(B9,[1]characters!$A:$C,3,FALSE)</f>
        <v>迅雷の王禽 ホルス</v>
      </c>
      <c r="I9" s="91" t="str">
        <f>VLOOKUP(B9,[1]characters!$A:$J,10,FALSE)</f>
        <v>PremiumN</v>
      </c>
      <c r="J9" s="91">
        <f>VLOOKUP(B9,[1]characters!$A:$I,9,FALSE)</f>
        <v>5</v>
      </c>
      <c r="K9" s="91" t="str">
        <f>VLOOKUP(B9,[1]characters!$A:$H,8,FALSE)</f>
        <v>yellow</v>
      </c>
      <c r="L9" s="91" t="str">
        <f>VLOOKUP(B9,[1]characters!$A:$K,11,FALSE)</f>
        <v>attack</v>
      </c>
      <c r="M9" s="91" t="str">
        <f>VLOOKUP(B9,[1]characters!$A:$M,13,FALSE)</f>
        <v>animal</v>
      </c>
      <c r="N9" s="91" t="str">
        <f>VLOOKUP(B9,[1]characters!$A:$G,7,FALSE)</f>
        <v>女性</v>
      </c>
      <c r="O9" s="47">
        <f t="shared" si="4"/>
        <v>166</v>
      </c>
      <c r="P9" s="48">
        <f t="shared" si="2"/>
        <v>1.6586730615507594E-2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0">
        <v>345100</v>
      </c>
      <c r="B10" s="6">
        <v>192</v>
      </c>
      <c r="C10" s="91" t="str">
        <f t="shared" si="0"/>
        <v>Premium5</v>
      </c>
      <c r="D10" s="91" t="str">
        <f t="shared" si="1"/>
        <v>Premium</v>
      </c>
      <c r="E10" s="91" t="str">
        <f>IF(COUNTIF('R6追加前'!A:A,B10)=0,IF(I10="PremiumSS","R5only","R3less"),"")</f>
        <v/>
      </c>
      <c r="F10" s="91" t="str">
        <f>IF(COUNTIF('R6開放'!A:A,B10)&gt;0,"R6release","")</f>
        <v/>
      </c>
      <c r="G10" s="91"/>
      <c r="H10" s="91" t="str">
        <f>VLOOKUP(B10,[1]characters!$A:$C,3,FALSE)</f>
        <v>荘厳なる始祖帝 卑弥呼</v>
      </c>
      <c r="I10" s="91" t="str">
        <f>VLOOKUP(B10,[1]characters!$A:$J,10,FALSE)</f>
        <v>PremiumN</v>
      </c>
      <c r="J10" s="91">
        <f>VLOOKUP(B10,[1]characters!$A:$I,9,FALSE)</f>
        <v>5</v>
      </c>
      <c r="K10" s="91" t="str">
        <f>VLOOKUP(B10,[1]characters!$A:$H,8,FALSE)</f>
        <v>red</v>
      </c>
      <c r="L10" s="91" t="str">
        <f>VLOOKUP(B10,[1]characters!$A:$K,11,FALSE)</f>
        <v>balance</v>
      </c>
      <c r="M10" s="91" t="str">
        <f>VLOOKUP(B10,[1]characters!$A:$M,13,FALSE)</f>
        <v>human</v>
      </c>
      <c r="N10" s="91" t="str">
        <f>VLOOKUP(B10,[1]characters!$A:$G,7,FALSE)</f>
        <v>女性</v>
      </c>
      <c r="O10" s="47">
        <f t="shared" si="4"/>
        <v>166</v>
      </c>
      <c r="P10" s="48">
        <f t="shared" si="2"/>
        <v>1.6586730615507594E-2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0">
        <v>345100</v>
      </c>
      <c r="B11" s="6">
        <v>195</v>
      </c>
      <c r="C11" s="91" t="str">
        <f t="shared" si="0"/>
        <v>Premium5</v>
      </c>
      <c r="D11" s="91" t="str">
        <f t="shared" si="1"/>
        <v>Premium</v>
      </c>
      <c r="E11" s="91" t="str">
        <f>IF(COUNTIF('R6追加前'!A:A,B11)=0,IF(I11="PremiumSS","R5only","R3less"),"")</f>
        <v/>
      </c>
      <c r="F11" s="91" t="str">
        <f>IF(COUNTIF('R6開放'!A:A,B11)&gt;0,"R6release","")</f>
        <v/>
      </c>
      <c r="G11" s="91"/>
      <c r="H11" s="91" t="str">
        <f>VLOOKUP(B11,[1]characters!$A:$C,3,FALSE)</f>
        <v>グランドハンター ロビンフッド</v>
      </c>
      <c r="I11" s="91" t="str">
        <f>VLOOKUP(B11,[1]characters!$A:$J,10,FALSE)</f>
        <v>PremiumN</v>
      </c>
      <c r="J11" s="91">
        <f>VLOOKUP(B11,[1]characters!$A:$I,9,FALSE)</f>
        <v>5</v>
      </c>
      <c r="K11" s="91" t="str">
        <f>VLOOKUP(B11,[1]characters!$A:$H,8,FALSE)</f>
        <v>green</v>
      </c>
      <c r="L11" s="91" t="str">
        <f>VLOOKUP(B11,[1]characters!$A:$K,11,FALSE)</f>
        <v>balance</v>
      </c>
      <c r="M11" s="91" t="str">
        <f>VLOOKUP(B11,[1]characters!$A:$M,13,FALSE)</f>
        <v>human</v>
      </c>
      <c r="N11" s="91" t="str">
        <f>VLOOKUP(B11,[1]characters!$A:$G,7,FALSE)</f>
        <v>女性</v>
      </c>
      <c r="O11" s="47">
        <f t="shared" si="4"/>
        <v>166</v>
      </c>
      <c r="P11" s="48">
        <f t="shared" si="2"/>
        <v>1.6586730615507594E-2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0">
        <v>345100</v>
      </c>
      <c r="B12" s="6">
        <v>198</v>
      </c>
      <c r="C12" s="91" t="str">
        <f t="shared" si="0"/>
        <v>Premium5</v>
      </c>
      <c r="D12" s="91" t="str">
        <f t="shared" si="1"/>
        <v>Premium</v>
      </c>
      <c r="E12" s="91" t="str">
        <f>IF(COUNTIF('R6追加前'!A:A,B12)=0,IF(I12="PremiumSS","R5only","R3less"),"")</f>
        <v/>
      </c>
      <c r="F12" s="91" t="str">
        <f>IF(COUNTIF('R6開放'!A:A,B12)&gt;0,"R6release","")</f>
        <v/>
      </c>
      <c r="G12" s="91"/>
      <c r="H12" s="91" t="str">
        <f>VLOOKUP(B12,[1]characters!$A:$C,3,FALSE)</f>
        <v>砕骨の剛腕 アキレス</v>
      </c>
      <c r="I12" s="91" t="str">
        <f>VLOOKUP(B12,[1]characters!$A:$J,10,FALSE)</f>
        <v>PremiumN</v>
      </c>
      <c r="J12" s="91">
        <f>VLOOKUP(B12,[1]characters!$A:$I,9,FALSE)</f>
        <v>5</v>
      </c>
      <c r="K12" s="91" t="str">
        <f>VLOOKUP(B12,[1]characters!$A:$H,8,FALSE)</f>
        <v>yellow</v>
      </c>
      <c r="L12" s="91" t="str">
        <f>VLOOKUP(B12,[1]characters!$A:$K,11,FALSE)</f>
        <v>balance</v>
      </c>
      <c r="M12" s="91" t="str">
        <f>VLOOKUP(B12,[1]characters!$A:$M,13,FALSE)</f>
        <v>human</v>
      </c>
      <c r="N12" s="91" t="str">
        <f>VLOOKUP(B12,[1]characters!$A:$G,7,FALSE)</f>
        <v>女性</v>
      </c>
      <c r="O12" s="47">
        <f t="shared" si="4"/>
        <v>166</v>
      </c>
      <c r="P12" s="48">
        <f t="shared" si="2"/>
        <v>1.6586730615507594E-2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0">
        <v>345100</v>
      </c>
      <c r="B13" s="5">
        <v>201</v>
      </c>
      <c r="C13" s="91" t="str">
        <f t="shared" si="0"/>
        <v>Premium5</v>
      </c>
      <c r="D13" s="91" t="str">
        <f t="shared" si="1"/>
        <v>Premium</v>
      </c>
      <c r="E13" s="91" t="str">
        <f>IF(COUNTIF('R6追加前'!A:A,B13)=0,IF(I13="PremiumSS","R5only","R3less"),"")</f>
        <v/>
      </c>
      <c r="F13" s="91" t="str">
        <f>IF(COUNTIF('R6開放'!A:A,B13)&gt;0,"R6release","")</f>
        <v/>
      </c>
      <c r="G13" s="91"/>
      <c r="H13" s="91" t="str">
        <f>VLOOKUP(B13,[1]characters!$A:$C,3,FALSE)</f>
        <v>斬空の大破剣 ジークフリート</v>
      </c>
      <c r="I13" s="91" t="str">
        <f>VLOOKUP(B13,[1]characters!$A:$J,10,FALSE)</f>
        <v>PremiumN</v>
      </c>
      <c r="J13" s="91">
        <f>VLOOKUP(B13,[1]characters!$A:$I,9,FALSE)</f>
        <v>5</v>
      </c>
      <c r="K13" s="91" t="str">
        <f>VLOOKUP(B13,[1]characters!$A:$H,8,FALSE)</f>
        <v>blue</v>
      </c>
      <c r="L13" s="91" t="str">
        <f>VLOOKUP(B13,[1]characters!$A:$K,11,FALSE)</f>
        <v>balance</v>
      </c>
      <c r="M13" s="91" t="str">
        <f>VLOOKUP(B13,[1]characters!$A:$M,13,FALSE)</f>
        <v>human</v>
      </c>
      <c r="N13" s="91" t="str">
        <f>VLOOKUP(B13,[1]characters!$A:$G,7,FALSE)</f>
        <v>男性</v>
      </c>
      <c r="O13" s="47">
        <f t="shared" si="4"/>
        <v>166</v>
      </c>
      <c r="P13" s="48">
        <f t="shared" si="2"/>
        <v>1.6586730615507594E-2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0">
        <v>345100</v>
      </c>
      <c r="B14" s="5">
        <v>204</v>
      </c>
      <c r="C14" s="91" t="str">
        <f t="shared" ref="C14:C77" si="5">D14&amp;J14&amp;E14&amp;F14&amp;G14</f>
        <v>Premium5</v>
      </c>
      <c r="D14" s="91" t="str">
        <f t="shared" ref="D14:D77" si="6">IF(I14="PremiumSS",I14,IF(I14="PremiumSSS",I14,IF(I14="PremiumW",I14,"Premium")))</f>
        <v>Premium</v>
      </c>
      <c r="E14" s="91" t="str">
        <f>IF(COUNTIF('R6追加前'!A:A,B14)=0,IF(I14="PremiumSS","R5only","R3less"),"")</f>
        <v/>
      </c>
      <c r="F14" s="91" t="str">
        <f>IF(COUNTIF('R6開放'!A:A,B14)&gt;0,"R6release","")</f>
        <v/>
      </c>
      <c r="G14" s="91"/>
      <c r="H14" s="91" t="str">
        <f>VLOOKUP(B14,[1]characters!$A:$C,3,FALSE)</f>
        <v>慟哭の巨焔 プロメテウス</v>
      </c>
      <c r="I14" s="91" t="str">
        <f>VLOOKUP(B14,[1]characters!$A:$J,10,FALSE)</f>
        <v>PremiumN</v>
      </c>
      <c r="J14" s="91">
        <f>VLOOKUP(B14,[1]characters!$A:$I,9,FALSE)</f>
        <v>5</v>
      </c>
      <c r="K14" s="91" t="str">
        <f>VLOOKUP(B14,[1]characters!$A:$H,8,FALSE)</f>
        <v>red</v>
      </c>
      <c r="L14" s="91" t="str">
        <f>VLOOKUP(B14,[1]characters!$A:$K,11,FALSE)</f>
        <v>hp</v>
      </c>
      <c r="M14" s="91" t="str">
        <f>VLOOKUP(B14,[1]characters!$A:$M,13,FALSE)</f>
        <v>god</v>
      </c>
      <c r="N14" s="91" t="str">
        <f>VLOOKUP(B14,[1]characters!$A:$G,7,FALSE)</f>
        <v>男性</v>
      </c>
      <c r="O14" s="47">
        <f t="shared" si="4"/>
        <v>166</v>
      </c>
      <c r="P14" s="48">
        <f t="shared" si="2"/>
        <v>1.6586730615507594E-2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0">
        <v>345100</v>
      </c>
      <c r="B15" s="5">
        <v>207</v>
      </c>
      <c r="C15" s="91" t="str">
        <f t="shared" si="5"/>
        <v>Premium5</v>
      </c>
      <c r="D15" s="91" t="str">
        <f t="shared" si="6"/>
        <v>Premium</v>
      </c>
      <c r="E15" s="91" t="str">
        <f>IF(COUNTIF('R6追加前'!A:A,B15)=0,IF(I15="PremiumSS","R5only","R3less"),"")</f>
        <v/>
      </c>
      <c r="F15" s="91" t="str">
        <f>IF(COUNTIF('R6開放'!A:A,B15)&gt;0,"R6release","")</f>
        <v/>
      </c>
      <c r="G15" s="91"/>
      <c r="H15" s="91" t="str">
        <f>VLOOKUP(B15,[1]characters!$A:$C,3,FALSE)</f>
        <v>豊穣の麗神・アフロディーテ</v>
      </c>
      <c r="I15" s="91" t="str">
        <f>VLOOKUP(B15,[1]characters!$A:$J,10,FALSE)</f>
        <v>PremiumN</v>
      </c>
      <c r="J15" s="91">
        <f>VLOOKUP(B15,[1]characters!$A:$I,9,FALSE)</f>
        <v>5</v>
      </c>
      <c r="K15" s="91" t="str">
        <f>VLOOKUP(B15,[1]characters!$A:$H,8,FALSE)</f>
        <v>green</v>
      </c>
      <c r="L15" s="91" t="str">
        <f>VLOOKUP(B15,[1]characters!$A:$K,11,FALSE)</f>
        <v>hp</v>
      </c>
      <c r="M15" s="91" t="str">
        <f>VLOOKUP(B15,[1]characters!$A:$M,13,FALSE)</f>
        <v>god</v>
      </c>
      <c r="N15" s="91" t="str">
        <f>VLOOKUP(B15,[1]characters!$A:$G,7,FALSE)</f>
        <v>女性</v>
      </c>
      <c r="O15" s="47">
        <f t="shared" si="4"/>
        <v>166</v>
      </c>
      <c r="P15" s="48">
        <f t="shared" si="2"/>
        <v>1.6586730615507594E-2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0">
        <v>345100</v>
      </c>
      <c r="B16" s="5">
        <v>210</v>
      </c>
      <c r="C16" s="91" t="str">
        <f t="shared" si="5"/>
        <v>Premium5</v>
      </c>
      <c r="D16" s="91" t="str">
        <f t="shared" si="6"/>
        <v>Premium</v>
      </c>
      <c r="E16" s="91" t="str">
        <f>IF(COUNTIF('R6追加前'!A:A,B16)=0,IF(I16="PremiumSS","R5only","R3less"),"")</f>
        <v/>
      </c>
      <c r="F16" s="91" t="str">
        <f>IF(COUNTIF('R6開放'!A:A,B16)&gt;0,"R6release","")</f>
        <v/>
      </c>
      <c r="G16" s="91"/>
      <c r="H16" s="91" t="str">
        <f>VLOOKUP(B16,[1]characters!$A:$C,3,FALSE)</f>
        <v>海底の孤高神 テティス</v>
      </c>
      <c r="I16" s="91" t="str">
        <f>VLOOKUP(B16,[1]characters!$A:$J,10,FALSE)</f>
        <v>PremiumN</v>
      </c>
      <c r="J16" s="91">
        <f>VLOOKUP(B16,[1]characters!$A:$I,9,FALSE)</f>
        <v>5</v>
      </c>
      <c r="K16" s="91" t="str">
        <f>VLOOKUP(B16,[1]characters!$A:$H,8,FALSE)</f>
        <v>blue</v>
      </c>
      <c r="L16" s="91" t="str">
        <f>VLOOKUP(B16,[1]characters!$A:$K,11,FALSE)</f>
        <v>hp</v>
      </c>
      <c r="M16" s="91" t="str">
        <f>VLOOKUP(B16,[1]characters!$A:$M,13,FALSE)</f>
        <v>god</v>
      </c>
      <c r="N16" s="91" t="str">
        <f>VLOOKUP(B16,[1]characters!$A:$G,7,FALSE)</f>
        <v>女性</v>
      </c>
      <c r="O16" s="47">
        <f t="shared" si="4"/>
        <v>166</v>
      </c>
      <c r="P16" s="48">
        <f t="shared" si="2"/>
        <v>1.6586730615507594E-2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0">
        <v>345100</v>
      </c>
      <c r="B17" s="5">
        <v>213</v>
      </c>
      <c r="C17" s="91" t="str">
        <f t="shared" si="5"/>
        <v>Premium5</v>
      </c>
      <c r="D17" s="91" t="str">
        <f t="shared" si="6"/>
        <v>Premium</v>
      </c>
      <c r="E17" s="91" t="str">
        <f>IF(COUNTIF('R6追加前'!A:A,B17)=0,IF(I17="PremiumSS","R5only","R3less"),"")</f>
        <v/>
      </c>
      <c r="F17" s="91" t="str">
        <f>IF(COUNTIF('R6開放'!A:A,B17)&gt;0,"R6release","")</f>
        <v/>
      </c>
      <c r="G17" s="91"/>
      <c r="H17" s="91" t="str">
        <f>VLOOKUP(B17,[1]characters!$A:$C,3,FALSE)</f>
        <v>満天の星降神 アストライアー</v>
      </c>
      <c r="I17" s="91" t="str">
        <f>VLOOKUP(B17,[1]characters!$A:$J,10,FALSE)</f>
        <v>PremiumN</v>
      </c>
      <c r="J17" s="91">
        <f>VLOOKUP(B17,[1]characters!$A:$I,9,FALSE)</f>
        <v>5</v>
      </c>
      <c r="K17" s="91" t="str">
        <f>VLOOKUP(B17,[1]characters!$A:$H,8,FALSE)</f>
        <v>yellow</v>
      </c>
      <c r="L17" s="91" t="str">
        <f>VLOOKUP(B17,[1]characters!$A:$K,11,FALSE)</f>
        <v>balance</v>
      </c>
      <c r="M17" s="91" t="str">
        <f>VLOOKUP(B17,[1]characters!$A:$M,13,FALSE)</f>
        <v>god</v>
      </c>
      <c r="N17" s="91" t="str">
        <f>VLOOKUP(B17,[1]characters!$A:$G,7,FALSE)</f>
        <v>女性</v>
      </c>
      <c r="O17" s="47">
        <f t="shared" si="4"/>
        <v>166</v>
      </c>
      <c r="P17" s="48">
        <f t="shared" si="2"/>
        <v>1.6586730615507594E-2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0">
        <v>345100</v>
      </c>
      <c r="B18" s="5">
        <v>216</v>
      </c>
      <c r="C18" s="91" t="str">
        <f t="shared" si="5"/>
        <v>Premium5</v>
      </c>
      <c r="D18" s="91" t="str">
        <f t="shared" si="6"/>
        <v>Premium</v>
      </c>
      <c r="E18" s="91" t="str">
        <f>IF(COUNTIF('R6追加前'!A:A,B18)=0,IF(I18="PremiumSS","R5only","R3less"),"")</f>
        <v/>
      </c>
      <c r="F18" s="91" t="str">
        <f>IF(COUNTIF('R6開放'!A:A,B18)&gt;0,"R6release","")</f>
        <v/>
      </c>
      <c r="G18" s="91"/>
      <c r="H18" s="91" t="str">
        <f>VLOOKUP(B18,[1]characters!$A:$C,3,FALSE)</f>
        <v>百読の死導司書 アズラエル</v>
      </c>
      <c r="I18" s="91" t="str">
        <f>VLOOKUP(B18,[1]characters!$A:$J,10,FALSE)</f>
        <v>PremiumN</v>
      </c>
      <c r="J18" s="91">
        <f>VLOOKUP(B18,[1]characters!$A:$I,9,FALSE)</f>
        <v>5</v>
      </c>
      <c r="K18" s="91" t="str">
        <f>VLOOKUP(B18,[1]characters!$A:$H,8,FALSE)</f>
        <v>red</v>
      </c>
      <c r="L18" s="91" t="str">
        <f>VLOOKUP(B18,[1]characters!$A:$K,11,FALSE)</f>
        <v>balance</v>
      </c>
      <c r="M18" s="91" t="str">
        <f>VLOOKUP(B18,[1]characters!$A:$M,13,FALSE)</f>
        <v>god</v>
      </c>
      <c r="N18" s="91" t="str">
        <f>VLOOKUP(B18,[1]characters!$A:$G,7,FALSE)</f>
        <v>女性</v>
      </c>
      <c r="O18" s="47">
        <f t="shared" si="4"/>
        <v>166</v>
      </c>
      <c r="P18" s="48">
        <f t="shared" si="2"/>
        <v>1.6586730615507594E-2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0">
        <v>345100</v>
      </c>
      <c r="B19" s="5">
        <v>219</v>
      </c>
      <c r="C19" s="91" t="str">
        <f t="shared" si="5"/>
        <v>Premium5</v>
      </c>
      <c r="D19" s="91" t="str">
        <f t="shared" si="6"/>
        <v>Premium</v>
      </c>
      <c r="E19" s="91" t="str">
        <f>IF(COUNTIF('R6追加前'!A:A,B19)=0,IF(I19="PremiumSS","R5only","R3less"),"")</f>
        <v/>
      </c>
      <c r="F19" s="91" t="str">
        <f>IF(COUNTIF('R6開放'!A:A,B19)&gt;0,"R6release","")</f>
        <v/>
      </c>
      <c r="G19" s="91"/>
      <c r="H19" s="91" t="str">
        <f>VLOOKUP(B19,[1]characters!$A:$C,3,FALSE)</f>
        <v>覇翼の聖蛇竜 ケツァクアトル</v>
      </c>
      <c r="I19" s="91" t="str">
        <f>VLOOKUP(B19,[1]characters!$A:$J,10,FALSE)</f>
        <v>PremiumN</v>
      </c>
      <c r="J19" s="91">
        <f>VLOOKUP(B19,[1]characters!$A:$I,9,FALSE)</f>
        <v>5</v>
      </c>
      <c r="K19" s="91" t="str">
        <f>VLOOKUP(B19,[1]characters!$A:$H,8,FALSE)</f>
        <v>green</v>
      </c>
      <c r="L19" s="91" t="str">
        <f>VLOOKUP(B19,[1]characters!$A:$K,11,FALSE)</f>
        <v>hp</v>
      </c>
      <c r="M19" s="91" t="str">
        <f>VLOOKUP(B19,[1]characters!$A:$M,13,FALSE)</f>
        <v>dragon</v>
      </c>
      <c r="N19" s="91" t="str">
        <f>VLOOKUP(B19,[1]characters!$A:$G,7,FALSE)</f>
        <v>女性</v>
      </c>
      <c r="O19" s="47">
        <f t="shared" si="4"/>
        <v>166</v>
      </c>
      <c r="P19" s="48">
        <f t="shared" si="2"/>
        <v>1.6586730615507594E-2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0">
        <v>345100</v>
      </c>
      <c r="B20" s="5">
        <v>222</v>
      </c>
      <c r="C20" s="91" t="str">
        <f t="shared" si="5"/>
        <v>Premium5</v>
      </c>
      <c r="D20" s="91" t="str">
        <f t="shared" si="6"/>
        <v>Premium</v>
      </c>
      <c r="E20" s="91" t="str">
        <f>IF(COUNTIF('R6追加前'!A:A,B20)=0,IF(I20="PremiumSS","R5only","R3less"),"")</f>
        <v/>
      </c>
      <c r="F20" s="91" t="str">
        <f>IF(COUNTIF('R6開放'!A:A,B20)&gt;0,"R6release","")</f>
        <v/>
      </c>
      <c r="G20" s="91"/>
      <c r="H20" s="91" t="str">
        <f>VLOOKUP(B20,[1]characters!$A:$C,3,FALSE)</f>
        <v>避光の鉄鎖宰相 ルキフグス</v>
      </c>
      <c r="I20" s="91" t="str">
        <f>VLOOKUP(B20,[1]characters!$A:$J,10,FALSE)</f>
        <v>PremiumN</v>
      </c>
      <c r="J20" s="91">
        <f>VLOOKUP(B20,[1]characters!$A:$I,9,FALSE)</f>
        <v>5</v>
      </c>
      <c r="K20" s="91" t="str">
        <f>VLOOKUP(B20,[1]characters!$A:$H,8,FALSE)</f>
        <v>blue</v>
      </c>
      <c r="L20" s="91" t="str">
        <f>VLOOKUP(B20,[1]characters!$A:$K,11,FALSE)</f>
        <v>balance</v>
      </c>
      <c r="M20" s="91" t="str">
        <f>VLOOKUP(B20,[1]characters!$A:$M,13,FALSE)</f>
        <v>god</v>
      </c>
      <c r="N20" s="91" t="str">
        <f>VLOOKUP(B20,[1]characters!$A:$G,7,FALSE)</f>
        <v>女性</v>
      </c>
      <c r="O20" s="47">
        <f t="shared" si="4"/>
        <v>166</v>
      </c>
      <c r="P20" s="48">
        <f t="shared" si="2"/>
        <v>1.6586730615507594E-2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0">
        <v>345100</v>
      </c>
      <c r="B21" s="5">
        <v>225</v>
      </c>
      <c r="C21" s="91" t="str">
        <f t="shared" si="5"/>
        <v>Premium5</v>
      </c>
      <c r="D21" s="91" t="str">
        <f t="shared" si="6"/>
        <v>Premium</v>
      </c>
      <c r="E21" s="91" t="str">
        <f>IF(COUNTIF('R6追加前'!A:A,B21)=0,IF(I21="PremiumSS","R5only","R3less"),"")</f>
        <v/>
      </c>
      <c r="F21" s="91" t="str">
        <f>IF(COUNTIF('R6開放'!A:A,B21)&gt;0,"R6release","")</f>
        <v/>
      </c>
      <c r="G21" s="91"/>
      <c r="H21" s="91" t="str">
        <f>VLOOKUP(B21,[1]characters!$A:$C,3,FALSE)</f>
        <v>咆哮の巨獅腕 ヘラクレス</v>
      </c>
      <c r="I21" s="91" t="str">
        <f>VLOOKUP(B21,[1]characters!$A:$J,10,FALSE)</f>
        <v>PremiumN</v>
      </c>
      <c r="J21" s="91">
        <f>VLOOKUP(B21,[1]characters!$A:$I,9,FALSE)</f>
        <v>5</v>
      </c>
      <c r="K21" s="91" t="str">
        <f>VLOOKUP(B21,[1]characters!$A:$H,8,FALSE)</f>
        <v>yellow</v>
      </c>
      <c r="L21" s="91" t="str">
        <f>VLOOKUP(B21,[1]characters!$A:$K,11,FALSE)</f>
        <v>balance</v>
      </c>
      <c r="M21" s="91" t="str">
        <f>VLOOKUP(B21,[1]characters!$A:$M,13,FALSE)</f>
        <v>human</v>
      </c>
      <c r="N21" s="91" t="str">
        <f>VLOOKUP(B21,[1]characters!$A:$G,7,FALSE)</f>
        <v>男性</v>
      </c>
      <c r="O21" s="47">
        <f t="shared" si="4"/>
        <v>166</v>
      </c>
      <c r="P21" s="48">
        <f t="shared" si="2"/>
        <v>1.6586730615507594E-2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0">
        <v>345100</v>
      </c>
      <c r="B22" s="5">
        <v>228</v>
      </c>
      <c r="C22" s="91" t="str">
        <f t="shared" si="5"/>
        <v>Premium5</v>
      </c>
      <c r="D22" s="91" t="str">
        <f t="shared" si="6"/>
        <v>Premium</v>
      </c>
      <c r="E22" s="91" t="str">
        <f>IF(COUNTIF('R6追加前'!A:A,B22)=0,IF(I22="PremiumSS","R5only","R3less"),"")</f>
        <v/>
      </c>
      <c r="F22" s="91" t="str">
        <f>IF(COUNTIF('R6開放'!A:A,B22)&gt;0,"R6release","")</f>
        <v/>
      </c>
      <c r="G22" s="91"/>
      <c r="H22" s="91" t="str">
        <f>VLOOKUP(B22,[1]characters!$A:$C,3,FALSE)</f>
        <v>殲滅の掃射砲 アレス</v>
      </c>
      <c r="I22" s="91" t="str">
        <f>VLOOKUP(B22,[1]characters!$A:$J,10,FALSE)</f>
        <v>PremiumS</v>
      </c>
      <c r="J22" s="91">
        <f>VLOOKUP(B22,[1]characters!$A:$I,9,FALSE)</f>
        <v>5</v>
      </c>
      <c r="K22" s="91" t="str">
        <f>VLOOKUP(B22,[1]characters!$A:$H,8,FALSE)</f>
        <v>red</v>
      </c>
      <c r="L22" s="91" t="str">
        <f>VLOOKUP(B22,[1]characters!$A:$K,11,FALSE)</f>
        <v>attack</v>
      </c>
      <c r="M22" s="91" t="str">
        <f>VLOOKUP(B22,[1]characters!$A:$M,13,FALSE)</f>
        <v>god</v>
      </c>
      <c r="N22" s="91" t="str">
        <f>VLOOKUP(B22,[1]characters!$A:$G,7,FALSE)</f>
        <v>男性</v>
      </c>
      <c r="O22" s="47">
        <f t="shared" si="4"/>
        <v>166</v>
      </c>
      <c r="P22" s="48">
        <f t="shared" si="2"/>
        <v>1.6586730615507594E-2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0">
        <v>345100</v>
      </c>
      <c r="B23" s="5">
        <v>231</v>
      </c>
      <c r="C23" s="91" t="str">
        <f t="shared" si="5"/>
        <v>Premium5</v>
      </c>
      <c r="D23" s="91" t="str">
        <f t="shared" si="6"/>
        <v>Premium</v>
      </c>
      <c r="E23" s="91" t="str">
        <f>IF(COUNTIF('R6追加前'!A:A,B23)=0,IF(I23="PremiumSS","R5only","R3less"),"")</f>
        <v/>
      </c>
      <c r="F23" s="91" t="str">
        <f>IF(COUNTIF('R6開放'!A:A,B23)&gt;0,"R6release","")</f>
        <v/>
      </c>
      <c r="G23" s="91"/>
      <c r="H23" s="91" t="str">
        <f>VLOOKUP(B23,[1]characters!$A:$C,3,FALSE)</f>
        <v>必中の咬銃 ヨルムンガンド</v>
      </c>
      <c r="I23" s="91" t="str">
        <f>VLOOKUP(B23,[1]characters!$A:$J,10,FALSE)</f>
        <v>PremiumS</v>
      </c>
      <c r="J23" s="91">
        <f>VLOOKUP(B23,[1]characters!$A:$I,9,FALSE)</f>
        <v>5</v>
      </c>
      <c r="K23" s="91" t="str">
        <f>VLOOKUP(B23,[1]characters!$A:$H,8,FALSE)</f>
        <v>green</v>
      </c>
      <c r="L23" s="91" t="str">
        <f>VLOOKUP(B23,[1]characters!$A:$K,11,FALSE)</f>
        <v>technical</v>
      </c>
      <c r="M23" s="91" t="str">
        <f>VLOOKUP(B23,[1]characters!$A:$M,13,FALSE)</f>
        <v>dragon</v>
      </c>
      <c r="N23" s="91" t="str">
        <f>VLOOKUP(B23,[1]characters!$A:$G,7,FALSE)</f>
        <v>女性</v>
      </c>
      <c r="O23" s="47">
        <f t="shared" si="4"/>
        <v>166</v>
      </c>
      <c r="P23" s="48">
        <f t="shared" si="2"/>
        <v>1.6586730615507594E-2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0">
        <v>345100</v>
      </c>
      <c r="B24" s="5">
        <v>234</v>
      </c>
      <c r="C24" s="91" t="str">
        <f t="shared" si="5"/>
        <v>Premium5</v>
      </c>
      <c r="D24" s="91" t="str">
        <f t="shared" si="6"/>
        <v>Premium</v>
      </c>
      <c r="E24" s="91" t="str">
        <f>IF(COUNTIF('R6追加前'!A:A,B24)=0,IF(I24="PremiumSS","R5only","R3less"),"")</f>
        <v/>
      </c>
      <c r="F24" s="91" t="str">
        <f>IF(COUNTIF('R6開放'!A:A,B24)&gt;0,"R6release","")</f>
        <v/>
      </c>
      <c r="G24" s="91"/>
      <c r="H24" s="91" t="str">
        <f>VLOOKUP(B24,[1]characters!$A:$C,3,FALSE)</f>
        <v>精密なる照準 パーシヴァル</v>
      </c>
      <c r="I24" s="91" t="str">
        <f>VLOOKUP(B24,[1]characters!$A:$J,10,FALSE)</f>
        <v>PremiumS</v>
      </c>
      <c r="J24" s="91">
        <f>VLOOKUP(B24,[1]characters!$A:$I,9,FALSE)</f>
        <v>5</v>
      </c>
      <c r="K24" s="91" t="str">
        <f>VLOOKUP(B24,[1]characters!$A:$H,8,FALSE)</f>
        <v>blue</v>
      </c>
      <c r="L24" s="91" t="str">
        <f>VLOOKUP(B24,[1]characters!$A:$K,11,FALSE)</f>
        <v>technical</v>
      </c>
      <c r="M24" s="91" t="str">
        <f>VLOOKUP(B24,[1]characters!$A:$M,13,FALSE)</f>
        <v>human</v>
      </c>
      <c r="N24" s="91" t="str">
        <f>VLOOKUP(B24,[1]characters!$A:$G,7,FALSE)</f>
        <v>女性</v>
      </c>
      <c r="O24" s="47">
        <f t="shared" si="4"/>
        <v>166</v>
      </c>
      <c r="P24" s="48">
        <f t="shared" si="2"/>
        <v>1.6586730615507594E-2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0">
        <v>345100</v>
      </c>
      <c r="B25" s="5">
        <v>237</v>
      </c>
      <c r="C25" s="91" t="str">
        <f t="shared" si="5"/>
        <v>Premium5R6release</v>
      </c>
      <c r="D25" s="91" t="str">
        <f t="shared" si="6"/>
        <v>Premium</v>
      </c>
      <c r="E25" s="91" t="str">
        <f>IF(COUNTIF('R6追加前'!A:A,B25)=0,IF(I25="PremiumSS","R5only","R3less"),"")</f>
        <v/>
      </c>
      <c r="F25" s="91" t="str">
        <f>IF(COUNTIF('R6開放'!A:A,B25)&gt;0,"R6release","")</f>
        <v>R6release</v>
      </c>
      <c r="G25" s="91"/>
      <c r="H25" s="91" t="str">
        <f>VLOOKUP(B25,[1]characters!$A:$C,3,FALSE)</f>
        <v>森羅万象の神母 イザナミ</v>
      </c>
      <c r="I25" s="91" t="str">
        <f>VLOOKUP(B25,[1]characters!$A:$J,10,FALSE)</f>
        <v>PremiumS</v>
      </c>
      <c r="J25" s="91">
        <f>VLOOKUP(B25,[1]characters!$A:$I,9,FALSE)</f>
        <v>5</v>
      </c>
      <c r="K25" s="91" t="str">
        <f>VLOOKUP(B25,[1]characters!$A:$H,8,FALSE)</f>
        <v>yellow</v>
      </c>
      <c r="L25" s="91" t="str">
        <f>VLOOKUP(B25,[1]characters!$A:$K,11,FALSE)</f>
        <v>attack</v>
      </c>
      <c r="M25" s="91" t="str">
        <f>VLOOKUP(B25,[1]characters!$A:$M,13,FALSE)</f>
        <v>god</v>
      </c>
      <c r="N25" s="91" t="str">
        <f>VLOOKUP(B25,[1]characters!$A:$G,7,FALSE)</f>
        <v>女性</v>
      </c>
      <c r="O25" s="47">
        <f>ROUND(0.06*10000/(COUNTIF(I:I,"PremiumSS")+COUNTIF(F:F,"R6release")),0)</f>
        <v>17</v>
      </c>
      <c r="P25" s="48">
        <f t="shared" si="2"/>
        <v>1.6986410871302957E-3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0">
        <v>345100</v>
      </c>
      <c r="B26" s="5">
        <v>240</v>
      </c>
      <c r="C26" s="91" t="str">
        <f t="shared" si="5"/>
        <v>Premium5</v>
      </c>
      <c r="D26" s="91" t="str">
        <f t="shared" si="6"/>
        <v>Premium</v>
      </c>
      <c r="E26" s="91" t="str">
        <f>IF(COUNTIF('R6追加前'!A:A,B26)=0,IF(I26="PremiumSS","R5only","R3less"),"")</f>
        <v/>
      </c>
      <c r="F26" s="91" t="str">
        <f>IF(COUNTIF('R6開放'!A:A,B26)&gt;0,"R6release","")</f>
        <v/>
      </c>
      <c r="G26" s="91"/>
      <c r="H26" s="91" t="str">
        <f>VLOOKUP(B26,[1]characters!$A:$C,3,FALSE)</f>
        <v>轟炎の天使 ウリエル・スレイヤー</v>
      </c>
      <c r="I26" s="91" t="str">
        <f>VLOOKUP(B26,[1]characters!$A:$J,10,FALSE)</f>
        <v>PremiumS</v>
      </c>
      <c r="J26" s="91">
        <f>VLOOKUP(B26,[1]characters!$A:$I,9,FALSE)</f>
        <v>5</v>
      </c>
      <c r="K26" s="91" t="str">
        <f>VLOOKUP(B26,[1]characters!$A:$H,8,FALSE)</f>
        <v>red</v>
      </c>
      <c r="L26" s="91" t="str">
        <f>VLOOKUP(B26,[1]characters!$A:$K,11,FALSE)</f>
        <v>hp</v>
      </c>
      <c r="M26" s="91" t="str">
        <f>VLOOKUP(B26,[1]characters!$A:$M,13,FALSE)</f>
        <v>machine</v>
      </c>
      <c r="N26" s="91" t="str">
        <f>VLOOKUP(B26,[1]characters!$A:$G,7,FALSE)</f>
        <v>女性</v>
      </c>
      <c r="O26" s="47">
        <f t="shared" ref="O26:O33" si="7">ROUND(0.93*10000/COUNTIFS(D:D,"Premium",F:F,"&lt;&gt;R6release"),0)</f>
        <v>166</v>
      </c>
      <c r="P26" s="48">
        <f t="shared" si="2"/>
        <v>1.6586730615507594E-2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0">
        <v>345100</v>
      </c>
      <c r="B27" s="5">
        <v>243</v>
      </c>
      <c r="C27" s="91" t="str">
        <f t="shared" si="5"/>
        <v>Premium5</v>
      </c>
      <c r="D27" s="91" t="str">
        <f t="shared" si="6"/>
        <v>Premium</v>
      </c>
      <c r="E27" s="91" t="str">
        <f>IF(COUNTIF('R6追加前'!A:A,B27)=0,IF(I27="PremiumSS","R5only","R3less"),"")</f>
        <v/>
      </c>
      <c r="F27" s="91" t="str">
        <f>IF(COUNTIF('R6開放'!A:A,B27)&gt;0,"R6release","")</f>
        <v/>
      </c>
      <c r="G27" s="91"/>
      <c r="H27" s="91" t="str">
        <f>VLOOKUP(B27,[1]characters!$A:$C,3,FALSE)</f>
        <v>万花の天使 ガブリエル・ブルーム</v>
      </c>
      <c r="I27" s="91" t="str">
        <f>VLOOKUP(B27,[1]characters!$A:$J,10,FALSE)</f>
        <v>PremiumS</v>
      </c>
      <c r="J27" s="91">
        <f>VLOOKUP(B27,[1]characters!$A:$I,9,FALSE)</f>
        <v>5</v>
      </c>
      <c r="K27" s="91" t="str">
        <f>VLOOKUP(B27,[1]characters!$A:$H,8,FALSE)</f>
        <v>green</v>
      </c>
      <c r="L27" s="91" t="str">
        <f>VLOOKUP(B27,[1]characters!$A:$K,11,FALSE)</f>
        <v>balance</v>
      </c>
      <c r="M27" s="91" t="str">
        <f>VLOOKUP(B27,[1]characters!$A:$M,13,FALSE)</f>
        <v>machine</v>
      </c>
      <c r="N27" s="91" t="str">
        <f>VLOOKUP(B27,[1]characters!$A:$G,7,FALSE)</f>
        <v>女性</v>
      </c>
      <c r="O27" s="47">
        <f t="shared" si="7"/>
        <v>166</v>
      </c>
      <c r="P27" s="48">
        <f t="shared" si="2"/>
        <v>1.6586730615507594E-2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0">
        <v>345100</v>
      </c>
      <c r="B28" s="5">
        <v>246</v>
      </c>
      <c r="C28" s="91" t="str">
        <f t="shared" si="5"/>
        <v>Premium5</v>
      </c>
      <c r="D28" s="91" t="str">
        <f t="shared" si="6"/>
        <v>Premium</v>
      </c>
      <c r="E28" s="91" t="str">
        <f>IF(COUNTIF('R6追加前'!A:A,B28)=0,IF(I28="PremiumSS","R5only","R3less"),"")</f>
        <v/>
      </c>
      <c r="F28" s="91" t="str">
        <f>IF(COUNTIF('R6開放'!A:A,B28)&gt;0,"R6release","")</f>
        <v/>
      </c>
      <c r="G28" s="91"/>
      <c r="H28" s="91" t="str">
        <f>VLOOKUP(B28,[1]characters!$A:$C,3,FALSE)</f>
        <v>真癒の天使 ラファエル・メディカ</v>
      </c>
      <c r="I28" s="91" t="str">
        <f>VLOOKUP(B28,[1]characters!$A:$J,10,FALSE)</f>
        <v>PremiumS</v>
      </c>
      <c r="J28" s="91">
        <f>VLOOKUP(B28,[1]characters!$A:$I,9,FALSE)</f>
        <v>5</v>
      </c>
      <c r="K28" s="91" t="str">
        <f>VLOOKUP(B28,[1]characters!$A:$H,8,FALSE)</f>
        <v>blue</v>
      </c>
      <c r="L28" s="91" t="str">
        <f>VLOOKUP(B28,[1]characters!$A:$K,11,FALSE)</f>
        <v>balance</v>
      </c>
      <c r="M28" s="91" t="str">
        <f>VLOOKUP(B28,[1]characters!$A:$M,13,FALSE)</f>
        <v>machine</v>
      </c>
      <c r="N28" s="91" t="str">
        <f>VLOOKUP(B28,[1]characters!$A:$G,7,FALSE)</f>
        <v>女性</v>
      </c>
      <c r="O28" s="47">
        <f t="shared" si="7"/>
        <v>166</v>
      </c>
      <c r="P28" s="48">
        <f t="shared" si="2"/>
        <v>1.6586730615507594E-2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0">
        <v>345100</v>
      </c>
      <c r="B29" s="6">
        <v>249</v>
      </c>
      <c r="C29" s="91" t="str">
        <f t="shared" si="5"/>
        <v>Premium5</v>
      </c>
      <c r="D29" s="91" t="str">
        <f t="shared" si="6"/>
        <v>Premium</v>
      </c>
      <c r="E29" s="91" t="str">
        <f>IF(COUNTIF('R6追加前'!A:A,B29)=0,IF(I29="PremiumSS","R5only","R3less"),"")</f>
        <v/>
      </c>
      <c r="F29" s="91" t="str">
        <f>IF(COUNTIF('R6開放'!A:A,B29)&gt;0,"R6release","")</f>
        <v/>
      </c>
      <c r="G29" s="91"/>
      <c r="H29" s="91" t="str">
        <f>VLOOKUP(B29,[1]characters!$A:$C,3,FALSE)</f>
        <v>雷電の天使 ミカエル・ゲイナー</v>
      </c>
      <c r="I29" s="91" t="str">
        <f>VLOOKUP(B29,[1]characters!$A:$J,10,FALSE)</f>
        <v>PremiumS</v>
      </c>
      <c r="J29" s="91">
        <f>VLOOKUP(B29,[1]characters!$A:$I,9,FALSE)</f>
        <v>5</v>
      </c>
      <c r="K29" s="91" t="str">
        <f>VLOOKUP(B29,[1]characters!$A:$H,8,FALSE)</f>
        <v>yellow</v>
      </c>
      <c r="L29" s="91" t="str">
        <f>VLOOKUP(B29,[1]characters!$A:$K,11,FALSE)</f>
        <v>attack</v>
      </c>
      <c r="M29" s="91" t="str">
        <f>VLOOKUP(B29,[1]characters!$A:$M,13,FALSE)</f>
        <v>machine</v>
      </c>
      <c r="N29" s="91" t="str">
        <f>VLOOKUP(B29,[1]characters!$A:$G,7,FALSE)</f>
        <v>女性</v>
      </c>
      <c r="O29" s="47">
        <f t="shared" si="7"/>
        <v>166</v>
      </c>
      <c r="P29" s="48">
        <f t="shared" si="2"/>
        <v>1.6586730615507594E-2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0">
        <v>345100</v>
      </c>
      <c r="B30" s="6">
        <v>252</v>
      </c>
      <c r="C30" s="91" t="str">
        <f t="shared" si="5"/>
        <v>Premium5</v>
      </c>
      <c r="D30" s="91" t="str">
        <f t="shared" si="6"/>
        <v>Premium</v>
      </c>
      <c r="E30" s="91" t="str">
        <f>IF(COUNTIF('R6追加前'!A:A,B30)=0,IF(I30="PremiumSS","R5only","R3less"),"")</f>
        <v/>
      </c>
      <c r="F30" s="91" t="str">
        <f>IF(COUNTIF('R6開放'!A:A,B30)&gt;0,"R6release","")</f>
        <v/>
      </c>
      <c r="G30" s="91"/>
      <c r="H30" s="91" t="str">
        <f>VLOOKUP(B30,[1]characters!$A:$C,3,FALSE)</f>
        <v>強欲の沸騰 マンモン</v>
      </c>
      <c r="I30" s="91" t="str">
        <f>VLOOKUP(B30,[1]characters!$A:$J,10,FALSE)</f>
        <v>PremiumS</v>
      </c>
      <c r="J30" s="91">
        <f>VLOOKUP(B30,[1]characters!$A:$I,9,FALSE)</f>
        <v>5</v>
      </c>
      <c r="K30" s="91" t="str">
        <f>VLOOKUP(B30,[1]characters!$A:$H,8,FALSE)</f>
        <v>red</v>
      </c>
      <c r="L30" s="91" t="str">
        <f>VLOOKUP(B30,[1]characters!$A:$K,11,FALSE)</f>
        <v>balance</v>
      </c>
      <c r="M30" s="91" t="str">
        <f>VLOOKUP(B30,[1]characters!$A:$M,13,FALSE)</f>
        <v>god</v>
      </c>
      <c r="N30" s="91" t="str">
        <f>VLOOKUP(B30,[1]characters!$A:$G,7,FALSE)</f>
        <v>女性</v>
      </c>
      <c r="O30" s="47">
        <f t="shared" si="7"/>
        <v>166</v>
      </c>
      <c r="P30" s="48">
        <f t="shared" si="2"/>
        <v>1.6586730615507594E-2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0">
        <v>345100</v>
      </c>
      <c r="B31" s="6">
        <v>255</v>
      </c>
      <c r="C31" s="91" t="str">
        <f t="shared" si="5"/>
        <v>Premium5</v>
      </c>
      <c r="D31" s="91" t="str">
        <f t="shared" si="6"/>
        <v>Premium</v>
      </c>
      <c r="E31" s="91" t="str">
        <f>IF(COUNTIF('R6追加前'!A:A,B31)=0,IF(I31="PremiumSS","R5only","R3less"),"")</f>
        <v/>
      </c>
      <c r="F31" s="91" t="str">
        <f>IF(COUNTIF('R6開放'!A:A,B31)&gt;0,"R6release","")</f>
        <v/>
      </c>
      <c r="G31" s="91"/>
      <c r="H31" s="91" t="str">
        <f>VLOOKUP(B31,[1]characters!$A:$C,3,FALSE)</f>
        <v>怠惰の頂点 ベルフェゴール</v>
      </c>
      <c r="I31" s="91" t="str">
        <f>VLOOKUP(B31,[1]characters!$A:$J,10,FALSE)</f>
        <v>PremiumS</v>
      </c>
      <c r="J31" s="91">
        <f>VLOOKUP(B31,[1]characters!$A:$I,9,FALSE)</f>
        <v>5</v>
      </c>
      <c r="K31" s="91" t="str">
        <f>VLOOKUP(B31,[1]characters!$A:$H,8,FALSE)</f>
        <v>green</v>
      </c>
      <c r="L31" s="91" t="str">
        <f>VLOOKUP(B31,[1]characters!$A:$K,11,FALSE)</f>
        <v>technical</v>
      </c>
      <c r="M31" s="91" t="str">
        <f>VLOOKUP(B31,[1]characters!$A:$M,13,FALSE)</f>
        <v>god</v>
      </c>
      <c r="N31" s="91" t="str">
        <f>VLOOKUP(B31,[1]characters!$A:$G,7,FALSE)</f>
        <v>女性</v>
      </c>
      <c r="O31" s="47">
        <f t="shared" si="7"/>
        <v>166</v>
      </c>
      <c r="P31" s="48">
        <f t="shared" si="2"/>
        <v>1.6586730615507594E-2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0">
        <v>345100</v>
      </c>
      <c r="B32" s="6">
        <v>258</v>
      </c>
      <c r="C32" s="91" t="str">
        <f t="shared" si="5"/>
        <v>Premium5</v>
      </c>
      <c r="D32" s="91" t="str">
        <f t="shared" si="6"/>
        <v>Premium</v>
      </c>
      <c r="E32" s="91" t="str">
        <f>IF(COUNTIF('R6追加前'!A:A,B32)=0,IF(I32="PremiumSS","R5only","R3less"),"")</f>
        <v/>
      </c>
      <c r="F32" s="91" t="str">
        <f>IF(COUNTIF('R6開放'!A:A,B32)&gt;0,"R6release","")</f>
        <v/>
      </c>
      <c r="G32" s="91"/>
      <c r="H32" s="91" t="str">
        <f>VLOOKUP(B32,[1]characters!$A:$C,3,FALSE)</f>
        <v>色欲の源流 アスモデウス</v>
      </c>
      <c r="I32" s="91" t="str">
        <f>VLOOKUP(B32,[1]characters!$A:$J,10,FALSE)</f>
        <v>PremiumS</v>
      </c>
      <c r="J32" s="91">
        <f>VLOOKUP(B32,[1]characters!$A:$I,9,FALSE)</f>
        <v>5</v>
      </c>
      <c r="K32" s="91" t="str">
        <f>VLOOKUP(B32,[1]characters!$A:$H,8,FALSE)</f>
        <v>blue</v>
      </c>
      <c r="L32" s="91" t="str">
        <f>VLOOKUP(B32,[1]characters!$A:$K,11,FALSE)</f>
        <v>attack</v>
      </c>
      <c r="M32" s="91" t="str">
        <f>VLOOKUP(B32,[1]characters!$A:$M,13,FALSE)</f>
        <v>god</v>
      </c>
      <c r="N32" s="91" t="str">
        <f>VLOOKUP(B32,[1]characters!$A:$G,7,FALSE)</f>
        <v>女性</v>
      </c>
      <c r="O32" s="47">
        <f t="shared" si="7"/>
        <v>166</v>
      </c>
      <c r="P32" s="48">
        <f t="shared" si="2"/>
        <v>1.6586730615507594E-2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0">
        <v>345100</v>
      </c>
      <c r="B33" s="8">
        <v>261</v>
      </c>
      <c r="C33" s="91" t="str">
        <f t="shared" si="5"/>
        <v>Premium5</v>
      </c>
      <c r="D33" s="91" t="str">
        <f t="shared" si="6"/>
        <v>Premium</v>
      </c>
      <c r="E33" s="91" t="str">
        <f>IF(COUNTIF('R6追加前'!A:A,B33)=0,IF(I33="PremiumSS","R5only","R3less"),"")</f>
        <v/>
      </c>
      <c r="F33" s="91" t="str">
        <f>IF(COUNTIF('R6開放'!A:A,B33)&gt;0,"R6release","")</f>
        <v/>
      </c>
      <c r="G33" s="91"/>
      <c r="H33" s="91" t="str">
        <f>VLOOKUP(B33,[1]characters!$A:$C,3,FALSE)</f>
        <v>輪廻の蛇龍 ウロボロス</v>
      </c>
      <c r="I33" s="91" t="str">
        <f>VLOOKUP(B33,[1]characters!$A:$J,10,FALSE)</f>
        <v>PremiumS</v>
      </c>
      <c r="J33" s="91">
        <f>VLOOKUP(B33,[1]characters!$A:$I,9,FALSE)</f>
        <v>5</v>
      </c>
      <c r="K33" s="91" t="str">
        <f>VLOOKUP(B33,[1]characters!$A:$H,8,FALSE)</f>
        <v>yellow</v>
      </c>
      <c r="L33" s="91" t="str">
        <f>VLOOKUP(B33,[1]characters!$A:$K,11,FALSE)</f>
        <v>balance</v>
      </c>
      <c r="M33" s="91" t="str">
        <f>VLOOKUP(B33,[1]characters!$A:$M,13,FALSE)</f>
        <v>dragon</v>
      </c>
      <c r="N33" s="91" t="str">
        <f>VLOOKUP(B33,[1]characters!$A:$G,7,FALSE)</f>
        <v>女性</v>
      </c>
      <c r="O33" s="47">
        <f t="shared" si="7"/>
        <v>166</v>
      </c>
      <c r="P33" s="48">
        <f t="shared" si="2"/>
        <v>1.6586730615507594E-2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0">
        <v>345100</v>
      </c>
      <c r="B34" s="6">
        <v>321</v>
      </c>
      <c r="C34" s="91" t="str">
        <f t="shared" si="5"/>
        <v>PremiumSS5</v>
      </c>
      <c r="D34" s="91" t="str">
        <f t="shared" si="6"/>
        <v>PremiumSS</v>
      </c>
      <c r="E34" s="91" t="str">
        <f>IF(COUNTIF('R6追加前'!A:A,B34)=0,IF(I34="PremiumSS","R5only","R3less"),"")</f>
        <v/>
      </c>
      <c r="F34" s="91" t="str">
        <f>IF(COUNTIF('R6開放'!A:A,B34)&gt;0,"R6release","")</f>
        <v/>
      </c>
      <c r="G34" s="91"/>
      <c r="H34" s="91" t="str">
        <f>VLOOKUP(B34,[1]characters!$A:$C,3,FALSE)</f>
        <v>巌鉄の烈志士 近藤勇</v>
      </c>
      <c r="I34" s="91" t="str">
        <f>VLOOKUP(B34,[1]characters!$A:$J,10,FALSE)</f>
        <v>PremiumSS</v>
      </c>
      <c r="J34" s="91">
        <f>VLOOKUP(B34,[1]characters!$A:$I,9,FALSE)</f>
        <v>5</v>
      </c>
      <c r="K34" s="91" t="str">
        <f>VLOOKUP(B34,[1]characters!$A:$H,8,FALSE)</f>
        <v>red</v>
      </c>
      <c r="L34" s="91" t="str">
        <f>VLOOKUP(B34,[1]characters!$A:$K,11,FALSE)</f>
        <v>hp</v>
      </c>
      <c r="M34" s="91" t="str">
        <f>VLOOKUP(B34,[1]characters!$A:$M,13,FALSE)</f>
        <v>human</v>
      </c>
      <c r="N34" s="91" t="str">
        <f>VLOOKUP(B34,[1]characters!$A:$G,7,FALSE)</f>
        <v>男性</v>
      </c>
      <c r="O34" s="47">
        <f>ROUND(0.06*10000/(COUNTIF(I:I,"PremiumSS")+COUNTIF(F:F,"R6release")),0)</f>
        <v>17</v>
      </c>
      <c r="P34" s="48">
        <f t="shared" ref="P34:P65" si="8">O34/SUM(O:O)</f>
        <v>1.6986410871302957E-3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90">
        <v>345100</v>
      </c>
      <c r="B35" s="6">
        <v>323</v>
      </c>
      <c r="C35" s="91" t="str">
        <f t="shared" si="5"/>
        <v>PremiumSS5</v>
      </c>
      <c r="D35" s="91" t="str">
        <f t="shared" si="6"/>
        <v>PremiumSS</v>
      </c>
      <c r="E35" s="91" t="str">
        <f>IF(COUNTIF('R6追加前'!A:A,B35)=0,IF(I35="PremiumSS","R5only","R3less"),"")</f>
        <v/>
      </c>
      <c r="F35" s="91" t="str">
        <f>IF(COUNTIF('R6開放'!A:A,B35)&gt;0,"R6release","")</f>
        <v/>
      </c>
      <c r="G35" s="91"/>
      <c r="H35" s="91" t="str">
        <f>VLOOKUP(B35,[1]characters!$A:$C,3,FALSE)</f>
        <v>流麗の愛志士 土方歳三</v>
      </c>
      <c r="I35" s="91" t="str">
        <f>VLOOKUP(B35,[1]characters!$A:$J,10,FALSE)</f>
        <v>PremiumSS</v>
      </c>
      <c r="J35" s="91">
        <f>VLOOKUP(B35,[1]characters!$A:$I,9,FALSE)</f>
        <v>5</v>
      </c>
      <c r="K35" s="91" t="str">
        <f>VLOOKUP(B35,[1]characters!$A:$H,8,FALSE)</f>
        <v>green</v>
      </c>
      <c r="L35" s="91" t="str">
        <f>VLOOKUP(B35,[1]characters!$A:$K,11,FALSE)</f>
        <v>attack</v>
      </c>
      <c r="M35" s="91" t="str">
        <f>VLOOKUP(B35,[1]characters!$A:$M,13,FALSE)</f>
        <v>human</v>
      </c>
      <c r="N35" s="91" t="str">
        <f>VLOOKUP(B35,[1]characters!$A:$G,7,FALSE)</f>
        <v>女性</v>
      </c>
      <c r="O35" s="47">
        <f t="shared" ref="O35:O37" si="9">ROUND(0.06*10000/(COUNTIF(I:I,"PremiumSS")+COUNTIF(F:F,"R6release")),0)</f>
        <v>17</v>
      </c>
      <c r="P35" s="48">
        <f t="shared" si="8"/>
        <v>1.6986410871302957E-3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90">
        <v>345100</v>
      </c>
      <c r="B36" s="6">
        <v>325</v>
      </c>
      <c r="C36" s="91" t="str">
        <f t="shared" si="5"/>
        <v>PremiumSS5</v>
      </c>
      <c r="D36" s="91" t="str">
        <f t="shared" si="6"/>
        <v>PremiumSS</v>
      </c>
      <c r="E36" s="91" t="str">
        <f>IF(COUNTIF('R6追加前'!A:A,B36)=0,IF(I36="PremiumSS","R5only","R3less"),"")</f>
        <v/>
      </c>
      <c r="F36" s="91" t="str">
        <f>IF(COUNTIF('R6開放'!A:A,B36)&gt;0,"R6release","")</f>
        <v/>
      </c>
      <c r="G36" s="91"/>
      <c r="H36" s="91" t="str">
        <f>VLOOKUP(B36,[1]characters!$A:$C,3,FALSE)</f>
        <v>天賦の凛志士 沖田総司</v>
      </c>
      <c r="I36" s="91" t="str">
        <f>VLOOKUP(B36,[1]characters!$A:$J,10,FALSE)</f>
        <v>PremiumSS</v>
      </c>
      <c r="J36" s="91">
        <f>VLOOKUP(B36,[1]characters!$A:$I,9,FALSE)</f>
        <v>5</v>
      </c>
      <c r="K36" s="91" t="str">
        <f>VLOOKUP(B36,[1]characters!$A:$H,8,FALSE)</f>
        <v>blue</v>
      </c>
      <c r="L36" s="91" t="str">
        <f>VLOOKUP(B36,[1]characters!$A:$K,11,FALSE)</f>
        <v>balance</v>
      </c>
      <c r="M36" s="91" t="str">
        <f>VLOOKUP(B36,[1]characters!$A:$M,13,FALSE)</f>
        <v>human</v>
      </c>
      <c r="N36" s="91" t="str">
        <f>VLOOKUP(B36,[1]characters!$A:$G,7,FALSE)</f>
        <v>女性</v>
      </c>
      <c r="O36" s="47">
        <f t="shared" si="9"/>
        <v>17</v>
      </c>
      <c r="P36" s="48">
        <f t="shared" si="8"/>
        <v>1.6986410871302957E-3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90">
        <v>345100</v>
      </c>
      <c r="B37" s="6">
        <v>327</v>
      </c>
      <c r="C37" s="91" t="str">
        <f t="shared" si="5"/>
        <v>PremiumSS5</v>
      </c>
      <c r="D37" s="91" t="str">
        <f t="shared" si="6"/>
        <v>PremiumSS</v>
      </c>
      <c r="E37" s="91" t="str">
        <f>IF(COUNTIF('R6追加前'!A:A,B37)=0,IF(I37="PremiumSS","R5only","R3less"),"")</f>
        <v/>
      </c>
      <c r="F37" s="91" t="str">
        <f>IF(COUNTIF('R6開放'!A:A,B37)&gt;0,"R6release","")</f>
        <v/>
      </c>
      <c r="G37" s="91"/>
      <c r="H37" s="91" t="str">
        <f>VLOOKUP(B37,[1]characters!$A:$C,3,FALSE)</f>
        <v>千殺の妖志士 斎藤一</v>
      </c>
      <c r="I37" s="91" t="str">
        <f>VLOOKUP(B37,[1]characters!$A:$J,10,FALSE)</f>
        <v>PremiumSS</v>
      </c>
      <c r="J37" s="91">
        <f>VLOOKUP(B37,[1]characters!$A:$I,9,FALSE)</f>
        <v>5</v>
      </c>
      <c r="K37" s="91" t="str">
        <f>VLOOKUP(B37,[1]characters!$A:$H,8,FALSE)</f>
        <v>yellow</v>
      </c>
      <c r="L37" s="91" t="str">
        <f>VLOOKUP(B37,[1]characters!$A:$K,11,FALSE)</f>
        <v>technical</v>
      </c>
      <c r="M37" s="91" t="str">
        <f>VLOOKUP(B37,[1]characters!$A:$M,13,FALSE)</f>
        <v>human</v>
      </c>
      <c r="N37" s="91" t="str">
        <f>VLOOKUP(B37,[1]characters!$A:$G,7,FALSE)</f>
        <v>女性</v>
      </c>
      <c r="O37" s="47">
        <f t="shared" si="9"/>
        <v>17</v>
      </c>
      <c r="P37" s="48">
        <f t="shared" si="8"/>
        <v>1.6986410871302957E-3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90">
        <v>345100</v>
      </c>
      <c r="B38" s="6">
        <v>382</v>
      </c>
      <c r="C38" s="91" t="str">
        <f t="shared" si="5"/>
        <v>Premium5</v>
      </c>
      <c r="D38" s="91" t="str">
        <f t="shared" si="6"/>
        <v>Premium</v>
      </c>
      <c r="E38" s="91" t="str">
        <f>IF(COUNTIF('R6追加前'!A:A,B38)=0,IF(I38="PremiumSS","R5only","R3less"),"")</f>
        <v/>
      </c>
      <c r="F38" s="91" t="str">
        <f>IF(COUNTIF('R6開放'!A:A,B38)&gt;0,"R6release","")</f>
        <v/>
      </c>
      <c r="G38" s="91"/>
      <c r="H38" s="91" t="str">
        <f>VLOOKUP(B38,[1]characters!$A:$C,3,FALSE)</f>
        <v>激情の愛炎 バハムート</v>
      </c>
      <c r="I38" s="91" t="str">
        <f>VLOOKUP(B38,[1]characters!$A:$J,10,FALSE)</f>
        <v>PremiumS</v>
      </c>
      <c r="J38" s="91">
        <f>VLOOKUP(B38,[1]characters!$A:$I,9,FALSE)</f>
        <v>5</v>
      </c>
      <c r="K38" s="91" t="str">
        <f>VLOOKUP(B38,[1]characters!$A:$H,8,FALSE)</f>
        <v>red</v>
      </c>
      <c r="L38" s="91" t="str">
        <f>VLOOKUP(B38,[1]characters!$A:$K,11,FALSE)</f>
        <v>technical</v>
      </c>
      <c r="M38" s="91" t="str">
        <f>VLOOKUP(B38,[1]characters!$A:$M,13,FALSE)</f>
        <v>dragon</v>
      </c>
      <c r="N38" s="91" t="str">
        <f>VLOOKUP(B38,[1]characters!$A:$G,7,FALSE)</f>
        <v>女性</v>
      </c>
      <c r="O38" s="47">
        <f>ROUND(0.93*10000/COUNTIFS(D:D,"Premium",F:F,"&lt;&gt;R6release"),0)</f>
        <v>166</v>
      </c>
      <c r="P38" s="48">
        <f t="shared" si="8"/>
        <v>1.6586730615507594E-2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90">
        <v>345100</v>
      </c>
      <c r="B39" s="6">
        <v>384</v>
      </c>
      <c r="C39" s="91" t="str">
        <f t="shared" si="5"/>
        <v>PremiumSS5</v>
      </c>
      <c r="D39" s="91" t="str">
        <f t="shared" si="6"/>
        <v>PremiumSS</v>
      </c>
      <c r="E39" s="91" t="str">
        <f>IF(COUNTIF('R6追加前'!A:A,B39)=0,IF(I39="PremiumSS","R5only","R3less"),"")</f>
        <v/>
      </c>
      <c r="F39" s="91" t="str">
        <f>IF(COUNTIF('R6開放'!A:A,B39)&gt;0,"R6release","")</f>
        <v/>
      </c>
      <c r="G39" s="91"/>
      <c r="H39" s="91" t="str">
        <f>VLOOKUP(B39,[1]characters!$A:$C,3,FALSE)</f>
        <v>破国の呑龍 ヤマタノオロチ</v>
      </c>
      <c r="I39" s="91" t="str">
        <f>VLOOKUP(B39,[1]characters!$A:$J,10,FALSE)</f>
        <v>PremiumSS</v>
      </c>
      <c r="J39" s="91">
        <f>VLOOKUP(B39,[1]characters!$A:$I,9,FALSE)</f>
        <v>5</v>
      </c>
      <c r="K39" s="91" t="str">
        <f>VLOOKUP(B39,[1]characters!$A:$H,8,FALSE)</f>
        <v>green</v>
      </c>
      <c r="L39" s="91" t="str">
        <f>VLOOKUP(B39,[1]characters!$A:$K,11,FALSE)</f>
        <v>hp</v>
      </c>
      <c r="M39" s="91" t="str">
        <f>VLOOKUP(B39,[1]characters!$A:$M,13,FALSE)</f>
        <v>dragon</v>
      </c>
      <c r="N39" s="91" t="str">
        <f>VLOOKUP(B39,[1]characters!$A:$G,7,FALSE)</f>
        <v>女性</v>
      </c>
      <c r="O39" s="47">
        <f t="shared" ref="O39:O40" si="10">ROUND(0.06*10000/(COUNTIF(I:I,"PremiumSS")+COUNTIF(F:F,"R6release")),0)</f>
        <v>17</v>
      </c>
      <c r="P39" s="48">
        <f t="shared" si="8"/>
        <v>1.6986410871302957E-3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90">
        <v>345100</v>
      </c>
      <c r="B40" s="6">
        <v>386</v>
      </c>
      <c r="C40" s="91" t="str">
        <f t="shared" si="5"/>
        <v>PremiumSS5</v>
      </c>
      <c r="D40" s="91" t="str">
        <f t="shared" si="6"/>
        <v>PremiumSS</v>
      </c>
      <c r="E40" s="91" t="str">
        <f>IF(COUNTIF('R6追加前'!A:A,B40)=0,IF(I40="PremiumSS","R5only","R3less"),"")</f>
        <v/>
      </c>
      <c r="F40" s="91" t="str">
        <f>IF(COUNTIF('R6開放'!A:A,B40)&gt;0,"R6release","")</f>
        <v/>
      </c>
      <c r="G40" s="91"/>
      <c r="H40" s="91" t="str">
        <f>VLOOKUP(B40,[1]characters!$A:$C,3,FALSE)</f>
        <v>氾乱の海龍 リヴァイアサン</v>
      </c>
      <c r="I40" s="91" t="str">
        <f>VLOOKUP(B40,[1]characters!$A:$J,10,FALSE)</f>
        <v>PremiumSS</v>
      </c>
      <c r="J40" s="91">
        <f>VLOOKUP(B40,[1]characters!$A:$I,9,FALSE)</f>
        <v>5</v>
      </c>
      <c r="K40" s="91" t="str">
        <f>VLOOKUP(B40,[1]characters!$A:$H,8,FALSE)</f>
        <v>blue</v>
      </c>
      <c r="L40" s="91" t="str">
        <f>VLOOKUP(B40,[1]characters!$A:$K,11,FALSE)</f>
        <v>balance</v>
      </c>
      <c r="M40" s="91" t="str">
        <f>VLOOKUP(B40,[1]characters!$A:$M,13,FALSE)</f>
        <v>dragon</v>
      </c>
      <c r="N40" s="91" t="str">
        <f>VLOOKUP(B40,[1]characters!$A:$G,7,FALSE)</f>
        <v>女性</v>
      </c>
      <c r="O40" s="47">
        <f t="shared" si="10"/>
        <v>17</v>
      </c>
      <c r="P40" s="48">
        <f t="shared" si="8"/>
        <v>1.6986410871302957E-3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90">
        <v>345100</v>
      </c>
      <c r="B41" s="6">
        <v>389</v>
      </c>
      <c r="C41" s="91" t="str">
        <f t="shared" si="5"/>
        <v>Premium5</v>
      </c>
      <c r="D41" s="91" t="str">
        <f t="shared" si="6"/>
        <v>Premium</v>
      </c>
      <c r="E41" s="91" t="str">
        <f>IF(COUNTIF('R6追加前'!A:A,B41)=0,IF(I41="PremiumSS","R5only","R3less"),"")</f>
        <v/>
      </c>
      <c r="F41" s="91" t="str">
        <f>IF(COUNTIF('R6開放'!A:A,B41)&gt;0,"R6release","")</f>
        <v/>
      </c>
      <c r="G41" s="91"/>
      <c r="H41" s="91" t="str">
        <f>VLOOKUP(B41,[1]characters!$A:$C,3,FALSE)</f>
        <v>操神の愛姫 スフィンクス</v>
      </c>
      <c r="I41" s="91" t="str">
        <f>VLOOKUP(B41,[1]characters!$A:$J,10,FALSE)</f>
        <v>PremiumS</v>
      </c>
      <c r="J41" s="91">
        <f>VLOOKUP(B41,[1]characters!$A:$I,9,FALSE)</f>
        <v>5</v>
      </c>
      <c r="K41" s="91" t="str">
        <f>VLOOKUP(B41,[1]characters!$A:$H,8,FALSE)</f>
        <v>yellow</v>
      </c>
      <c r="L41" s="91" t="str">
        <f>VLOOKUP(B41,[1]characters!$A:$K,11,FALSE)</f>
        <v>heal</v>
      </c>
      <c r="M41" s="91" t="str">
        <f>VLOOKUP(B41,[1]characters!$A:$M,13,FALSE)</f>
        <v>animal</v>
      </c>
      <c r="N41" s="91" t="str">
        <f>VLOOKUP(B41,[1]characters!$A:$G,7,FALSE)</f>
        <v>女性</v>
      </c>
      <c r="O41" s="47">
        <f>ROUND(0.93*10000/COUNTIFS(D:D,"Premium",F:F,"&lt;&gt;R6release"),0)</f>
        <v>166</v>
      </c>
      <c r="P41" s="48">
        <f t="shared" si="8"/>
        <v>1.6586730615507594E-2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90">
        <v>345100</v>
      </c>
      <c r="B42" s="6">
        <v>391</v>
      </c>
      <c r="C42" s="91" t="str">
        <f t="shared" si="5"/>
        <v>PremiumSS5</v>
      </c>
      <c r="D42" s="91" t="str">
        <f t="shared" si="6"/>
        <v>PremiumSS</v>
      </c>
      <c r="E42" s="91" t="str">
        <f>IF(COUNTIF('R6追加前'!A:A,B42)=0,IF(I42="PremiumSS","R5only","R3less"),"")</f>
        <v/>
      </c>
      <c r="F42" s="91" t="str">
        <f>IF(COUNTIF('R6開放'!A:A,B42)&gt;0,"R6release","")</f>
        <v/>
      </c>
      <c r="G42" s="91"/>
      <c r="H42" s="91" t="str">
        <f>VLOOKUP(B42,[1]characters!$A:$C,3,FALSE)</f>
        <v>燕翼の旅人 親指姫</v>
      </c>
      <c r="I42" s="91" t="str">
        <f>VLOOKUP(B42,[1]characters!$A:$J,10,FALSE)</f>
        <v>PremiumSS</v>
      </c>
      <c r="J42" s="91">
        <f>VLOOKUP(B42,[1]characters!$A:$I,9,FALSE)</f>
        <v>5</v>
      </c>
      <c r="K42" s="91" t="str">
        <f>VLOOKUP(B42,[1]characters!$A:$H,8,FALSE)</f>
        <v>red</v>
      </c>
      <c r="L42" s="91" t="str">
        <f>VLOOKUP(B42,[1]characters!$A:$K,11,FALSE)</f>
        <v>heal</v>
      </c>
      <c r="M42" s="91" t="str">
        <f>VLOOKUP(B42,[1]characters!$A:$M,13,FALSE)</f>
        <v>human</v>
      </c>
      <c r="N42" s="91" t="str">
        <f>VLOOKUP(B42,[1]characters!$A:$G,7,FALSE)</f>
        <v>女性</v>
      </c>
      <c r="O42" s="47">
        <f>ROUND(0.06*10000/(COUNTIF(I:I,"PremiumSS")+COUNTIF(F:F,"R6release")),0)</f>
        <v>17</v>
      </c>
      <c r="P42" s="48">
        <f t="shared" si="8"/>
        <v>1.6986410871302957E-3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90">
        <v>345100</v>
      </c>
      <c r="B43" s="6">
        <v>394</v>
      </c>
      <c r="C43" s="91" t="str">
        <f t="shared" si="5"/>
        <v>Premium5</v>
      </c>
      <c r="D43" s="91" t="str">
        <f t="shared" si="6"/>
        <v>Premium</v>
      </c>
      <c r="E43" s="91" t="str">
        <f>IF(COUNTIF('R6追加前'!A:A,B43)=0,IF(I43="PremiumSS","R5only","R3less"),"")</f>
        <v/>
      </c>
      <c r="F43" s="91" t="str">
        <f>IF(COUNTIF('R6開放'!A:A,B43)&gt;0,"R6release","")</f>
        <v/>
      </c>
      <c r="G43" s="91"/>
      <c r="H43" s="91" t="str">
        <f>VLOOKUP(B43,[1]characters!$A:$C,3,FALSE)</f>
        <v>影求の悪童 ピーターパン</v>
      </c>
      <c r="I43" s="91" t="str">
        <f>VLOOKUP(B43,[1]characters!$A:$J,10,FALSE)</f>
        <v>PremiumS</v>
      </c>
      <c r="J43" s="91">
        <f>VLOOKUP(B43,[1]characters!$A:$I,9,FALSE)</f>
        <v>5</v>
      </c>
      <c r="K43" s="91" t="str">
        <f>VLOOKUP(B43,[1]characters!$A:$H,8,FALSE)</f>
        <v>green</v>
      </c>
      <c r="L43" s="91" t="str">
        <f>VLOOKUP(B43,[1]characters!$A:$K,11,FALSE)</f>
        <v>attack</v>
      </c>
      <c r="M43" s="91" t="str">
        <f>VLOOKUP(B43,[1]characters!$A:$M,13,FALSE)</f>
        <v>human</v>
      </c>
      <c r="N43" s="91" t="str">
        <f>VLOOKUP(B43,[1]characters!$A:$G,7,FALSE)</f>
        <v>男性</v>
      </c>
      <c r="O43" s="47">
        <f t="shared" ref="O43:O44" si="11">ROUND(0.93*10000/COUNTIFS(D:D,"Premium",F:F,"&lt;&gt;R6release"),0)</f>
        <v>166</v>
      </c>
      <c r="P43" s="48">
        <f t="shared" si="8"/>
        <v>1.6586730615507594E-2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90">
        <v>345100</v>
      </c>
      <c r="B44" s="6">
        <v>397</v>
      </c>
      <c r="C44" s="91" t="str">
        <f t="shared" si="5"/>
        <v>Premium5</v>
      </c>
      <c r="D44" s="91" t="str">
        <f t="shared" si="6"/>
        <v>Premium</v>
      </c>
      <c r="E44" s="91" t="str">
        <f>IF(COUNTIF('R6追加前'!A:A,B44)=0,IF(I44="PremiumSS","R5only","R3less"),"")</f>
        <v/>
      </c>
      <c r="F44" s="91" t="str">
        <f>IF(COUNTIF('R6開放'!A:A,B44)&gt;0,"R6release","")</f>
        <v/>
      </c>
      <c r="G44" s="91"/>
      <c r="H44" s="91" t="str">
        <f>VLOOKUP(B44,[1]characters!$A:$C,3,FALSE)</f>
        <v>禁断の追箱 乙姫</v>
      </c>
      <c r="I44" s="91" t="str">
        <f>VLOOKUP(B44,[1]characters!$A:$J,10,FALSE)</f>
        <v>PremiumS</v>
      </c>
      <c r="J44" s="91">
        <f>VLOOKUP(B44,[1]characters!$A:$I,9,FALSE)</f>
        <v>5</v>
      </c>
      <c r="K44" s="91" t="str">
        <f>VLOOKUP(B44,[1]characters!$A:$H,8,FALSE)</f>
        <v>blue</v>
      </c>
      <c r="L44" s="91" t="str">
        <f>VLOOKUP(B44,[1]characters!$A:$K,11,FALSE)</f>
        <v>hp</v>
      </c>
      <c r="M44" s="91" t="str">
        <f>VLOOKUP(B44,[1]characters!$A:$M,13,FALSE)</f>
        <v>human</v>
      </c>
      <c r="N44" s="91" t="str">
        <f>VLOOKUP(B44,[1]characters!$A:$G,7,FALSE)</f>
        <v>女性</v>
      </c>
      <c r="O44" s="47">
        <f t="shared" si="11"/>
        <v>166</v>
      </c>
      <c r="P44" s="48">
        <f t="shared" si="8"/>
        <v>1.6586730615507594E-2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90">
        <v>345100</v>
      </c>
      <c r="B45" s="6">
        <v>399</v>
      </c>
      <c r="C45" s="91" t="str">
        <f t="shared" si="5"/>
        <v>PremiumSS5</v>
      </c>
      <c r="D45" s="91" t="str">
        <f t="shared" si="6"/>
        <v>PremiumSS</v>
      </c>
      <c r="E45" s="91" t="str">
        <f>IF(COUNTIF('R6追加前'!A:A,B45)=0,IF(I45="PremiumSS","R5only","R3less"),"")</f>
        <v/>
      </c>
      <c r="F45" s="91" t="str">
        <f>IF(COUNTIF('R6開放'!A:A,B45)&gt;0,"R6release","")</f>
        <v/>
      </c>
      <c r="G45" s="91"/>
      <c r="H45" s="91" t="str">
        <f>VLOOKUP(B45,[1]characters!$A:$C,3,FALSE)</f>
        <v>信愛の兄妹 ヘンゼル＆グレーテル</v>
      </c>
      <c r="I45" s="91" t="str">
        <f>VLOOKUP(B45,[1]characters!$A:$J,10,FALSE)</f>
        <v>PremiumSS</v>
      </c>
      <c r="J45" s="91">
        <f>VLOOKUP(B45,[1]characters!$A:$I,9,FALSE)</f>
        <v>5</v>
      </c>
      <c r="K45" s="91" t="str">
        <f>VLOOKUP(B45,[1]characters!$A:$H,8,FALSE)</f>
        <v>yellow</v>
      </c>
      <c r="L45" s="91" t="str">
        <f>VLOOKUP(B45,[1]characters!$A:$K,11,FALSE)</f>
        <v>balance</v>
      </c>
      <c r="M45" s="91" t="str">
        <f>VLOOKUP(B45,[1]characters!$A:$M,13,FALSE)</f>
        <v>human</v>
      </c>
      <c r="N45" s="91" t="str">
        <f>VLOOKUP(B45,[1]characters!$A:$G,7,FALSE)</f>
        <v>女性</v>
      </c>
      <c r="O45" s="47">
        <f>ROUND(0.06*10000/(COUNTIF(I:I,"PremiumSS")+COUNTIF(F:F,"R6release")),0)</f>
        <v>17</v>
      </c>
      <c r="P45" s="48">
        <f t="shared" si="8"/>
        <v>1.6986410871302957E-3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90">
        <v>345100</v>
      </c>
      <c r="B46" s="6">
        <v>402</v>
      </c>
      <c r="C46" s="91" t="str">
        <f t="shared" si="5"/>
        <v>Premium5</v>
      </c>
      <c r="D46" s="91" t="str">
        <f t="shared" si="6"/>
        <v>Premium</v>
      </c>
      <c r="E46" s="91" t="str">
        <f>IF(COUNTIF('R6追加前'!A:A,B46)=0,IF(I46="PremiumSS","R5only","R3less"),"")</f>
        <v/>
      </c>
      <c r="F46" s="91" t="str">
        <f>IF(COUNTIF('R6開放'!A:A,B46)&gt;0,"R6release","")</f>
        <v/>
      </c>
      <c r="G46" s="91"/>
      <c r="H46" s="91" t="str">
        <f>VLOOKUP(B46,[1]characters!$A:$C,3,FALSE)</f>
        <v>天災の神狼 フェンリル</v>
      </c>
      <c r="I46" s="91" t="str">
        <f>VLOOKUP(B46,[1]characters!$A:$J,10,FALSE)</f>
        <v>PremiumS</v>
      </c>
      <c r="J46" s="91">
        <f>VLOOKUP(B46,[1]characters!$A:$I,9,FALSE)</f>
        <v>5</v>
      </c>
      <c r="K46" s="91" t="str">
        <f>VLOOKUP(B46,[1]characters!$A:$H,8,FALSE)</f>
        <v>red</v>
      </c>
      <c r="L46" s="91" t="str">
        <f>VLOOKUP(B46,[1]characters!$A:$K,11,FALSE)</f>
        <v>attack</v>
      </c>
      <c r="M46" s="91" t="str">
        <f>VLOOKUP(B46,[1]characters!$A:$M,13,FALSE)</f>
        <v>animal</v>
      </c>
      <c r="N46" s="91" t="str">
        <f>VLOOKUP(B46,[1]characters!$A:$G,7,FALSE)</f>
        <v>女性</v>
      </c>
      <c r="O46" s="47">
        <f>ROUND(0.93*10000/COUNTIFS(D:D,"Premium",F:F,"&lt;&gt;R6release"),0)</f>
        <v>166</v>
      </c>
      <c r="P46" s="48">
        <f t="shared" si="8"/>
        <v>1.6586730615507594E-2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90">
        <v>345100</v>
      </c>
      <c r="B47" s="6">
        <v>404</v>
      </c>
      <c r="C47" s="91" t="str">
        <f t="shared" si="5"/>
        <v>PremiumSS5</v>
      </c>
      <c r="D47" s="91" t="str">
        <f t="shared" si="6"/>
        <v>PremiumSS</v>
      </c>
      <c r="E47" s="91" t="str">
        <f>IF(COUNTIF('R6追加前'!A:A,B47)=0,IF(I47="PremiumSS","R5only","R3less"),"")</f>
        <v/>
      </c>
      <c r="F47" s="91" t="str">
        <f>IF(COUNTIF('R6開放'!A:A,B47)&gt;0,"R6release","")</f>
        <v/>
      </c>
      <c r="G47" s="91"/>
      <c r="H47" s="91" t="str">
        <f>VLOOKUP(B47,[1]characters!$A:$C,3,FALSE)</f>
        <v>空襲の神眼 八咫烏</v>
      </c>
      <c r="I47" s="91" t="str">
        <f>VLOOKUP(B47,[1]characters!$A:$J,10,FALSE)</f>
        <v>PremiumSS</v>
      </c>
      <c r="J47" s="91">
        <f>VLOOKUP(B47,[1]characters!$A:$I,9,FALSE)</f>
        <v>5</v>
      </c>
      <c r="K47" s="91" t="str">
        <f>VLOOKUP(B47,[1]characters!$A:$H,8,FALSE)</f>
        <v>green</v>
      </c>
      <c r="L47" s="91" t="str">
        <f>VLOOKUP(B47,[1]characters!$A:$K,11,FALSE)</f>
        <v>balance</v>
      </c>
      <c r="M47" s="91" t="str">
        <f>VLOOKUP(B47,[1]characters!$A:$M,13,FALSE)</f>
        <v>animal</v>
      </c>
      <c r="N47" s="91" t="str">
        <f>VLOOKUP(B47,[1]characters!$A:$G,7,FALSE)</f>
        <v>女性</v>
      </c>
      <c r="O47" s="47">
        <f>ROUND(0.06*10000/(COUNTIF(I:I,"PremiumSS")+COUNTIF(F:F,"R6release")),0)</f>
        <v>17</v>
      </c>
      <c r="P47" s="48">
        <f t="shared" si="8"/>
        <v>1.6986410871302957E-3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90">
        <v>345100</v>
      </c>
      <c r="B48" s="6">
        <v>407</v>
      </c>
      <c r="C48" s="91" t="str">
        <f t="shared" si="5"/>
        <v>Premium5</v>
      </c>
      <c r="D48" s="91" t="str">
        <f t="shared" si="6"/>
        <v>Premium</v>
      </c>
      <c r="E48" s="91" t="str">
        <f>IF(COUNTIF('R6追加前'!A:A,B48)=0,IF(I48="PremiumSS","R5only","R3less"),"")</f>
        <v/>
      </c>
      <c r="F48" s="91" t="str">
        <f>IF(COUNTIF('R6開放'!A:A,B48)&gt;0,"R6release","")</f>
        <v/>
      </c>
      <c r="G48" s="91"/>
      <c r="H48" s="91" t="str">
        <f>VLOOKUP(B48,[1]characters!$A:$C,3,FALSE)</f>
        <v>蠱惑の飛刀 エキドナ</v>
      </c>
      <c r="I48" s="91" t="str">
        <f>VLOOKUP(B48,[1]characters!$A:$J,10,FALSE)</f>
        <v>PremiumS</v>
      </c>
      <c r="J48" s="91">
        <f>VLOOKUP(B48,[1]characters!$A:$I,9,FALSE)</f>
        <v>5</v>
      </c>
      <c r="K48" s="91" t="str">
        <f>VLOOKUP(B48,[1]characters!$A:$H,8,FALSE)</f>
        <v>blue</v>
      </c>
      <c r="L48" s="91" t="str">
        <f>VLOOKUP(B48,[1]characters!$A:$K,11,FALSE)</f>
        <v>technical</v>
      </c>
      <c r="M48" s="91" t="str">
        <f>VLOOKUP(B48,[1]characters!$A:$M,13,FALSE)</f>
        <v>animal</v>
      </c>
      <c r="N48" s="91" t="str">
        <f>VLOOKUP(B48,[1]characters!$A:$G,7,FALSE)</f>
        <v>女性</v>
      </c>
      <c r="O48" s="47">
        <f>ROUND(0.93*10000/COUNTIFS(D:D,"Premium",F:F,"&lt;&gt;R6release"),0)</f>
        <v>166</v>
      </c>
      <c r="P48" s="48">
        <f t="shared" si="8"/>
        <v>1.6586730615507594E-2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90">
        <v>345100</v>
      </c>
      <c r="B49" s="6">
        <v>409</v>
      </c>
      <c r="C49" s="91" t="str">
        <f t="shared" si="5"/>
        <v>PremiumSS5</v>
      </c>
      <c r="D49" s="91" t="str">
        <f t="shared" si="6"/>
        <v>PremiumSS</v>
      </c>
      <c r="E49" s="91" t="str">
        <f>IF(COUNTIF('R6追加前'!A:A,B49)=0,IF(I49="PremiumSS","R5only","R3less"),"")</f>
        <v/>
      </c>
      <c r="F49" s="91" t="str">
        <f>IF(COUNTIF('R6開放'!A:A,B49)&gt;0,"R6release","")</f>
        <v/>
      </c>
      <c r="G49" s="91"/>
      <c r="H49" s="91" t="str">
        <f>VLOOKUP(B49,[1]characters!$A:$C,3,FALSE)</f>
        <v>天眼の皇貴魔 アスタロト</v>
      </c>
      <c r="I49" s="91" t="str">
        <f>VLOOKUP(B49,[1]characters!$A:$J,10,FALSE)</f>
        <v>PremiumSS</v>
      </c>
      <c r="J49" s="91">
        <f>VLOOKUP(B49,[1]characters!$A:$I,9,FALSE)</f>
        <v>5</v>
      </c>
      <c r="K49" s="91" t="str">
        <f>VLOOKUP(B49,[1]characters!$A:$H,8,FALSE)</f>
        <v>yellow</v>
      </c>
      <c r="L49" s="91" t="str">
        <f>VLOOKUP(B49,[1]characters!$A:$K,11,FALSE)</f>
        <v>attack</v>
      </c>
      <c r="M49" s="91" t="str">
        <f>VLOOKUP(B49,[1]characters!$A:$M,13,FALSE)</f>
        <v>god</v>
      </c>
      <c r="N49" s="91" t="str">
        <f>VLOOKUP(B49,[1]characters!$A:$G,7,FALSE)</f>
        <v>男性</v>
      </c>
      <c r="O49" s="47">
        <f t="shared" ref="O49:O50" si="12">ROUND(0.06*10000/(COUNTIF(I:I,"PremiumSS")+COUNTIF(F:F,"R6release")),0)</f>
        <v>17</v>
      </c>
      <c r="P49" s="48">
        <f t="shared" si="8"/>
        <v>1.6986410871302957E-3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90">
        <v>345100</v>
      </c>
      <c r="B50" s="6">
        <v>435</v>
      </c>
      <c r="C50" s="91" t="str">
        <f t="shared" si="5"/>
        <v>PremiumSS5</v>
      </c>
      <c r="D50" s="91" t="str">
        <f t="shared" si="6"/>
        <v>PremiumSS</v>
      </c>
      <c r="E50" s="91" t="str">
        <f>IF(COUNTIF('R6追加前'!A:A,B50)=0,IF(I50="PremiumSS","R5only","R3less"),"")</f>
        <v/>
      </c>
      <c r="F50" s="91" t="str">
        <f>IF(COUNTIF('R6開放'!A:A,B50)&gt;0,"R6release","")</f>
        <v/>
      </c>
      <c r="G50" s="91"/>
      <c r="H50" s="91" t="str">
        <f>VLOOKUP(B50,[1]characters!$A:$C,3,FALSE)</f>
        <v>曝弾の密偵 D.R.T.H.</v>
      </c>
      <c r="I50" s="91" t="str">
        <f>VLOOKUP(B50,[1]characters!$A:$J,10,FALSE)</f>
        <v>PremiumSS</v>
      </c>
      <c r="J50" s="91">
        <f>VLOOKUP(B50,[1]characters!$A:$I,9,FALSE)</f>
        <v>5</v>
      </c>
      <c r="K50" s="91" t="str">
        <f>VLOOKUP(B50,[1]characters!$A:$H,8,FALSE)</f>
        <v>red</v>
      </c>
      <c r="L50" s="91" t="str">
        <f>VLOOKUP(B50,[1]characters!$A:$K,11,FALSE)</f>
        <v>balance</v>
      </c>
      <c r="M50" s="91" t="str">
        <f>VLOOKUP(B50,[1]characters!$A:$M,13,FALSE)</f>
        <v>human</v>
      </c>
      <c r="N50" s="91" t="str">
        <f>VLOOKUP(B50,[1]characters!$A:$G,7,FALSE)</f>
        <v>女性</v>
      </c>
      <c r="O50" s="47">
        <f t="shared" si="12"/>
        <v>17</v>
      </c>
      <c r="P50" s="48">
        <f t="shared" si="8"/>
        <v>1.6986410871302957E-3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90">
        <v>345100</v>
      </c>
      <c r="B51" s="6">
        <v>438</v>
      </c>
      <c r="C51" s="91" t="str">
        <f t="shared" si="5"/>
        <v>Premium5</v>
      </c>
      <c r="D51" s="91" t="str">
        <f t="shared" si="6"/>
        <v>Premium</v>
      </c>
      <c r="E51" s="91" t="str">
        <f>IF(COUNTIF('R6追加前'!A:A,B51)=0,IF(I51="PremiumSS","R5only","R3less"),"")</f>
        <v/>
      </c>
      <c r="F51" s="91" t="str">
        <f>IF(COUNTIF('R6開放'!A:A,B51)&gt;0,"R6release","")</f>
        <v/>
      </c>
      <c r="G51" s="91"/>
      <c r="H51" s="91" t="str">
        <f>VLOOKUP(B51,[1]characters!$A:$C,3,FALSE)</f>
        <v>記憶の奪還 カカシ</v>
      </c>
      <c r="I51" s="91" t="str">
        <f>VLOOKUP(B51,[1]characters!$A:$J,10,FALSE)</f>
        <v>PremiumS</v>
      </c>
      <c r="J51" s="91">
        <f>VLOOKUP(B51,[1]characters!$A:$I,9,FALSE)</f>
        <v>5</v>
      </c>
      <c r="K51" s="91" t="str">
        <f>VLOOKUP(B51,[1]characters!$A:$H,8,FALSE)</f>
        <v>green</v>
      </c>
      <c r="L51" s="91" t="str">
        <f>VLOOKUP(B51,[1]characters!$A:$K,11,FALSE)</f>
        <v>technical</v>
      </c>
      <c r="M51" s="91" t="str">
        <f>VLOOKUP(B51,[1]characters!$A:$M,13,FALSE)</f>
        <v>human</v>
      </c>
      <c r="N51" s="91" t="str">
        <f>VLOOKUP(B51,[1]characters!$A:$G,7,FALSE)</f>
        <v>男性</v>
      </c>
      <c r="O51" s="47">
        <f t="shared" ref="O51:O52" si="13">ROUND(0.93*10000/COUNTIFS(D:D,"Premium",F:F,"&lt;&gt;R6release"),0)</f>
        <v>166</v>
      </c>
      <c r="P51" s="48">
        <f t="shared" si="8"/>
        <v>1.6586730615507594E-2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90">
        <v>345100</v>
      </c>
      <c r="B52" s="6">
        <v>441</v>
      </c>
      <c r="C52" s="91" t="str">
        <f t="shared" si="5"/>
        <v>Premium5</v>
      </c>
      <c r="D52" s="91" t="str">
        <f t="shared" si="6"/>
        <v>Premium</v>
      </c>
      <c r="E52" s="91" t="str">
        <f>IF(COUNTIF('R6追加前'!A:A,B52)=0,IF(I52="PremiumSS","R5only","R3less"),"")</f>
        <v/>
      </c>
      <c r="F52" s="91" t="str">
        <f>IF(COUNTIF('R6開放'!A:A,B52)&gt;0,"R6release","")</f>
        <v/>
      </c>
      <c r="G52" s="91"/>
      <c r="H52" s="91" t="str">
        <f>VLOOKUP(B52,[1]characters!$A:$C,3,FALSE)</f>
        <v>求心の錻装 ブリキロガー</v>
      </c>
      <c r="I52" s="91" t="str">
        <f>VLOOKUP(B52,[1]characters!$A:$J,10,FALSE)</f>
        <v>PremiumS</v>
      </c>
      <c r="J52" s="91">
        <f>VLOOKUP(B52,[1]characters!$A:$I,9,FALSE)</f>
        <v>5</v>
      </c>
      <c r="K52" s="91" t="str">
        <f>VLOOKUP(B52,[1]characters!$A:$H,8,FALSE)</f>
        <v>blue</v>
      </c>
      <c r="L52" s="91" t="str">
        <f>VLOOKUP(B52,[1]characters!$A:$K,11,FALSE)</f>
        <v>attack</v>
      </c>
      <c r="M52" s="91" t="str">
        <f>VLOOKUP(B52,[1]characters!$A:$M,13,FALSE)</f>
        <v>machine</v>
      </c>
      <c r="N52" s="91" t="str">
        <f>VLOOKUP(B52,[1]characters!$A:$G,7,FALSE)</f>
        <v>不明</v>
      </c>
      <c r="O52" s="47">
        <f t="shared" si="13"/>
        <v>166</v>
      </c>
      <c r="P52" s="48">
        <f t="shared" si="8"/>
        <v>1.6586730615507594E-2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90">
        <v>345100</v>
      </c>
      <c r="B53" s="6">
        <v>443</v>
      </c>
      <c r="C53" s="91" t="str">
        <f t="shared" si="5"/>
        <v>PremiumSS5</v>
      </c>
      <c r="D53" s="91" t="str">
        <f t="shared" si="6"/>
        <v>PremiumSS</v>
      </c>
      <c r="E53" s="91" t="str">
        <f>IF(COUNTIF('R6追加前'!A:A,B53)=0,IF(I53="PremiumSS","R5only","R3less"),"")</f>
        <v/>
      </c>
      <c r="F53" s="91" t="str">
        <f>IF(COUNTIF('R6開放'!A:A,B53)&gt;0,"R6release","")</f>
        <v/>
      </c>
      <c r="G53" s="91"/>
      <c r="H53" s="91" t="str">
        <f>VLOOKUP(B53,[1]characters!$A:$C,3,FALSE)</f>
        <v>勇機結集 ブレイブリー・ライオン</v>
      </c>
      <c r="I53" s="91" t="str">
        <f>VLOOKUP(B53,[1]characters!$A:$J,10,FALSE)</f>
        <v>PremiumSS</v>
      </c>
      <c r="J53" s="91">
        <f>VLOOKUP(B53,[1]characters!$A:$I,9,FALSE)</f>
        <v>5</v>
      </c>
      <c r="K53" s="91" t="str">
        <f>VLOOKUP(B53,[1]characters!$A:$H,8,FALSE)</f>
        <v>yellow</v>
      </c>
      <c r="L53" s="91" t="str">
        <f>VLOOKUP(B53,[1]characters!$A:$K,11,FALSE)</f>
        <v>hp</v>
      </c>
      <c r="M53" s="91" t="str">
        <f>VLOOKUP(B53,[1]characters!$A:$M,13,FALSE)</f>
        <v>animal</v>
      </c>
      <c r="N53" s="91" t="str">
        <f>VLOOKUP(B53,[1]characters!$A:$G,7,FALSE)</f>
        <v>不明</v>
      </c>
      <c r="O53" s="47">
        <f>ROUND(0.06*10000/(COUNTIF(I:I,"PremiumSS")+COUNTIF(F:F,"R6release")),0)</f>
        <v>17</v>
      </c>
      <c r="P53" s="48">
        <f t="shared" si="8"/>
        <v>1.6986410871302957E-3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90">
        <v>345100</v>
      </c>
      <c r="B54" s="8">
        <v>464</v>
      </c>
      <c r="C54" s="91" t="str">
        <f t="shared" si="5"/>
        <v>Premium5</v>
      </c>
      <c r="D54" s="91" t="str">
        <f t="shared" si="6"/>
        <v>Premium</v>
      </c>
      <c r="E54" s="91" t="str">
        <f>IF(COUNTIF('R6追加前'!A:A,B54)=0,IF(I54="PremiumSS","R5only","R3less"),"")</f>
        <v/>
      </c>
      <c r="F54" s="91" t="str">
        <f>IF(COUNTIF('R6開放'!A:A,B54)&gt;0,"R6release","")</f>
        <v/>
      </c>
      <c r="G54" s="91"/>
      <c r="H54" s="91" t="str">
        <f>VLOOKUP(B54,[1]characters!$A:$C,3,FALSE)</f>
        <v>円熟の弾導 ガウェイン</v>
      </c>
      <c r="I54" s="91" t="str">
        <f>VLOOKUP(B54,[1]characters!$A:$J,10,FALSE)</f>
        <v>PremiumS</v>
      </c>
      <c r="J54" s="91">
        <f>VLOOKUP(B54,[1]characters!$A:$I,9,FALSE)</f>
        <v>5</v>
      </c>
      <c r="K54" s="91" t="str">
        <f>VLOOKUP(B54,[1]characters!$A:$H,8,FALSE)</f>
        <v>red</v>
      </c>
      <c r="L54" s="91" t="str">
        <f>VLOOKUP(B54,[1]characters!$A:$K,11,FALSE)</f>
        <v>hp</v>
      </c>
      <c r="M54" s="91" t="str">
        <f>VLOOKUP(B54,[1]characters!$A:$M,13,FALSE)</f>
        <v>human</v>
      </c>
      <c r="N54" s="91" t="str">
        <f>VLOOKUP(B54,[1]characters!$A:$G,7,FALSE)</f>
        <v>男性</v>
      </c>
      <c r="O54" s="47">
        <f>ROUND(0.93*10000/COUNTIFS(D:D,"Premium",F:F,"&lt;&gt;R6release"),0)</f>
        <v>166</v>
      </c>
      <c r="P54" s="48">
        <f t="shared" si="8"/>
        <v>1.6586730615507594E-2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90">
        <v>345100</v>
      </c>
      <c r="B55" s="6">
        <v>466</v>
      </c>
      <c r="C55" s="91" t="str">
        <f t="shared" si="5"/>
        <v>PremiumSS5</v>
      </c>
      <c r="D55" s="91" t="str">
        <f t="shared" si="6"/>
        <v>PremiumSS</v>
      </c>
      <c r="E55" s="91" t="str">
        <f>IF(COUNTIF('R6追加前'!A:A,B55)=0,IF(I55="PremiumSS","R5only","R3less"),"")</f>
        <v/>
      </c>
      <c r="F55" s="91" t="str">
        <f>IF(COUNTIF('R6開放'!A:A,B55)&gt;0,"R6release","")</f>
        <v/>
      </c>
      <c r="G55" s="91"/>
      <c r="H55" s="91" t="str">
        <f>VLOOKUP(B55,[1]characters!$A:$C,3,FALSE)</f>
        <v>真断の勇覇 ランスロット</v>
      </c>
      <c r="I55" s="91" t="str">
        <f>VLOOKUP(B55,[1]characters!$A:$J,10,FALSE)</f>
        <v>PremiumSS</v>
      </c>
      <c r="J55" s="91">
        <f>VLOOKUP(B55,[1]characters!$A:$I,9,FALSE)</f>
        <v>5</v>
      </c>
      <c r="K55" s="91" t="str">
        <f>VLOOKUP(B55,[1]characters!$A:$H,8,FALSE)</f>
        <v>green</v>
      </c>
      <c r="L55" s="91" t="str">
        <f>VLOOKUP(B55,[1]characters!$A:$K,11,FALSE)</f>
        <v>balance</v>
      </c>
      <c r="M55" s="91" t="str">
        <f>VLOOKUP(B55,[1]characters!$A:$M,13,FALSE)</f>
        <v>human</v>
      </c>
      <c r="N55" s="91" t="str">
        <f>VLOOKUP(B55,[1]characters!$A:$G,7,FALSE)</f>
        <v>男性</v>
      </c>
      <c r="O55" s="47">
        <f t="shared" ref="O55:O56" si="14">ROUND(0.06*10000/(COUNTIF(I:I,"PremiumSS")+COUNTIF(F:F,"R6release")),0)</f>
        <v>17</v>
      </c>
      <c r="P55" s="48">
        <f t="shared" si="8"/>
        <v>1.6986410871302957E-3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90">
        <v>345100</v>
      </c>
      <c r="B56" s="6">
        <v>468</v>
      </c>
      <c r="C56" s="91" t="str">
        <f t="shared" si="5"/>
        <v>PremiumSS5</v>
      </c>
      <c r="D56" s="91" t="str">
        <f t="shared" si="6"/>
        <v>PremiumSS</v>
      </c>
      <c r="E56" s="91" t="str">
        <f>IF(COUNTIF('R6追加前'!A:A,B56)=0,IF(I56="PremiumSS","R5only","R3less"),"")</f>
        <v/>
      </c>
      <c r="F56" s="91" t="str">
        <f>IF(COUNTIF('R6開放'!A:A,B56)&gt;0,"R6release","")</f>
        <v/>
      </c>
      <c r="G56" s="91"/>
      <c r="H56" s="91" t="str">
        <f>VLOOKUP(B56,[1]characters!$A:$C,3,FALSE)</f>
        <v>憎愛の尖鋒 モルドレッド</v>
      </c>
      <c r="I56" s="91" t="str">
        <f>VLOOKUP(B56,[1]characters!$A:$J,10,FALSE)</f>
        <v>PremiumSS</v>
      </c>
      <c r="J56" s="91">
        <f>VLOOKUP(B56,[1]characters!$A:$I,9,FALSE)</f>
        <v>5</v>
      </c>
      <c r="K56" s="91" t="str">
        <f>VLOOKUP(B56,[1]characters!$A:$H,8,FALSE)</f>
        <v>blue</v>
      </c>
      <c r="L56" s="91" t="str">
        <f>VLOOKUP(B56,[1]characters!$A:$K,11,FALSE)</f>
        <v>technical</v>
      </c>
      <c r="M56" s="91" t="str">
        <f>VLOOKUP(B56,[1]characters!$A:$M,13,FALSE)</f>
        <v>human</v>
      </c>
      <c r="N56" s="91" t="str">
        <f>VLOOKUP(B56,[1]characters!$A:$G,7,FALSE)</f>
        <v>女性</v>
      </c>
      <c r="O56" s="47">
        <f t="shared" si="14"/>
        <v>17</v>
      </c>
      <c r="P56" s="48">
        <f t="shared" si="8"/>
        <v>1.6986410871302957E-3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90">
        <v>345100</v>
      </c>
      <c r="B57" s="6">
        <v>471</v>
      </c>
      <c r="C57" s="91" t="str">
        <f t="shared" si="5"/>
        <v>Premium5</v>
      </c>
      <c r="D57" s="91" t="str">
        <f t="shared" si="6"/>
        <v>Premium</v>
      </c>
      <c r="E57" s="91" t="str">
        <f>IF(COUNTIF('R6追加前'!A:A,B57)=0,IF(I57="PremiumSS","R5only","R3less"),"")</f>
        <v/>
      </c>
      <c r="F57" s="91" t="str">
        <f>IF(COUNTIF('R6開放'!A:A,B57)&gt;0,"R6release","")</f>
        <v/>
      </c>
      <c r="G57" s="91"/>
      <c r="H57" s="91" t="str">
        <f>VLOOKUP(B57,[1]characters!$A:$C,3,FALSE)</f>
        <v>不可避の爆激 トリスタン</v>
      </c>
      <c r="I57" s="91" t="str">
        <f>VLOOKUP(B57,[1]characters!$A:$J,10,FALSE)</f>
        <v>PremiumS</v>
      </c>
      <c r="J57" s="91">
        <f>VLOOKUP(B57,[1]characters!$A:$I,9,FALSE)</f>
        <v>5</v>
      </c>
      <c r="K57" s="91" t="str">
        <f>VLOOKUP(B57,[1]characters!$A:$H,8,FALSE)</f>
        <v>yellow</v>
      </c>
      <c r="L57" s="91" t="str">
        <f>VLOOKUP(B57,[1]characters!$A:$K,11,FALSE)</f>
        <v>attack</v>
      </c>
      <c r="M57" s="91" t="str">
        <f>VLOOKUP(B57,[1]characters!$A:$M,13,FALSE)</f>
        <v>human</v>
      </c>
      <c r="N57" s="91" t="str">
        <f>VLOOKUP(B57,[1]characters!$A:$G,7,FALSE)</f>
        <v>男性</v>
      </c>
      <c r="O57" s="47">
        <f>ROUND(0.93*10000/COUNTIFS(D:D,"Premium",F:F,"&lt;&gt;R6release"),0)</f>
        <v>166</v>
      </c>
      <c r="P57" s="48">
        <f t="shared" si="8"/>
        <v>1.6586730615507594E-2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90">
        <v>345100</v>
      </c>
      <c r="B58" s="6">
        <v>475</v>
      </c>
      <c r="C58" s="91" t="str">
        <f t="shared" si="5"/>
        <v>PremiumSS5</v>
      </c>
      <c r="D58" s="91" t="str">
        <f t="shared" si="6"/>
        <v>PremiumSS</v>
      </c>
      <c r="E58" s="91" t="str">
        <f>IF(COUNTIF('R6追加前'!A:A,B58)=0,IF(I58="PremiumSS","R5only","R3less"),"")</f>
        <v/>
      </c>
      <c r="F58" s="91" t="str">
        <f>IF(COUNTIF('R6開放'!A:A,B58)&gt;0,"R6release","")</f>
        <v/>
      </c>
      <c r="G58" s="91"/>
      <c r="H58" s="91" t="str">
        <f>VLOOKUP(B58,[1]characters!$A:$C,3,FALSE)</f>
        <v>緋王 キング・ドライグ</v>
      </c>
      <c r="I58" s="91" t="str">
        <f>VLOOKUP(B58,[1]characters!$A:$J,10,FALSE)</f>
        <v>PremiumSS</v>
      </c>
      <c r="J58" s="91">
        <f>VLOOKUP(B58,[1]characters!$A:$I,9,FALSE)</f>
        <v>5</v>
      </c>
      <c r="K58" s="91" t="str">
        <f>VLOOKUP(B58,[1]characters!$A:$H,8,FALSE)</f>
        <v>red</v>
      </c>
      <c r="L58" s="91" t="str">
        <f>VLOOKUP(B58,[1]characters!$A:$K,11,FALSE)</f>
        <v>attack</v>
      </c>
      <c r="M58" s="91" t="str">
        <f>VLOOKUP(B58,[1]characters!$A:$M,13,FALSE)</f>
        <v>dragon</v>
      </c>
      <c r="N58" s="91" t="str">
        <f>VLOOKUP(B58,[1]characters!$A:$G,7,FALSE)</f>
        <v>不明</v>
      </c>
      <c r="O58" s="47">
        <f>ROUND(0.06*10000/(COUNTIF(I:I,"PremiumSS")+COUNTIF(F:F,"R6release")),0)</f>
        <v>17</v>
      </c>
      <c r="P58" s="48">
        <f t="shared" si="8"/>
        <v>1.6986410871302957E-3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90">
        <v>345100</v>
      </c>
      <c r="B59" s="6">
        <v>478</v>
      </c>
      <c r="C59" s="91" t="str">
        <f t="shared" si="5"/>
        <v>Premium5</v>
      </c>
      <c r="D59" s="91" t="str">
        <f t="shared" si="6"/>
        <v>Premium</v>
      </c>
      <c r="E59" s="91" t="str">
        <f>IF(COUNTIF('R6追加前'!A:A,B59)=0,IF(I59="PremiumSS","R5only","R3less"),"")</f>
        <v/>
      </c>
      <c r="F59" s="91" t="str">
        <f>IF(COUNTIF('R6開放'!A:A,B59)&gt;0,"R6release","")</f>
        <v/>
      </c>
      <c r="G59" s="91"/>
      <c r="H59" s="91" t="str">
        <f>VLOOKUP(B59,[1]characters!$A:$C,3,FALSE)</f>
        <v>時計仕掛けの愛羽妖精 ファータ</v>
      </c>
      <c r="I59" s="91" t="str">
        <f>VLOOKUP(B59,[1]characters!$A:$J,10,FALSE)</f>
        <v>PremiumS</v>
      </c>
      <c r="J59" s="91">
        <f>VLOOKUP(B59,[1]characters!$A:$I,9,FALSE)</f>
        <v>5</v>
      </c>
      <c r="K59" s="91" t="str">
        <f>VLOOKUP(B59,[1]characters!$A:$H,8,FALSE)</f>
        <v>green</v>
      </c>
      <c r="L59" s="91" t="str">
        <f>VLOOKUP(B59,[1]characters!$A:$K,11,FALSE)</f>
        <v>heal</v>
      </c>
      <c r="M59" s="91" t="str">
        <f>VLOOKUP(B59,[1]characters!$A:$M,13,FALSE)</f>
        <v>unknown</v>
      </c>
      <c r="N59" s="91" t="str">
        <f>VLOOKUP(B59,[1]characters!$A:$G,7,FALSE)</f>
        <v>女性</v>
      </c>
      <c r="O59" s="47">
        <f>ROUND(0.93*10000/COUNTIFS(D:D,"Premium",F:F,"&lt;&gt;R6release"),0)</f>
        <v>166</v>
      </c>
      <c r="P59" s="48">
        <f t="shared" si="8"/>
        <v>1.6586730615507594E-2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90">
        <v>345100</v>
      </c>
      <c r="B60" s="6">
        <v>480</v>
      </c>
      <c r="C60" s="91" t="str">
        <f t="shared" si="5"/>
        <v>PremiumSS5</v>
      </c>
      <c r="D60" s="91" t="str">
        <f t="shared" si="6"/>
        <v>PremiumSS</v>
      </c>
      <c r="E60" s="91" t="str">
        <f>IF(COUNTIF('R6追加前'!A:A,B60)=0,IF(I60="PremiumSS","R5only","R3less"),"")</f>
        <v/>
      </c>
      <c r="F60" s="91" t="str">
        <f>IF(COUNTIF('R6開放'!A:A,B60)&gt;0,"R6release","")</f>
        <v/>
      </c>
      <c r="G60" s="91"/>
      <c r="H60" s="91" t="str">
        <f>VLOOKUP(B60,[1]characters!$A:$C,3,FALSE)</f>
        <v>夢幻の愚者フール</v>
      </c>
      <c r="I60" s="91" t="str">
        <f>VLOOKUP(B60,[1]characters!$A:$J,10,FALSE)</f>
        <v>PremiumSS</v>
      </c>
      <c r="J60" s="91">
        <f>VLOOKUP(B60,[1]characters!$A:$I,9,FALSE)</f>
        <v>5</v>
      </c>
      <c r="K60" s="91" t="str">
        <f>VLOOKUP(B60,[1]characters!$A:$H,8,FALSE)</f>
        <v>blue</v>
      </c>
      <c r="L60" s="91" t="str">
        <f>VLOOKUP(B60,[1]characters!$A:$K,11,FALSE)</f>
        <v>technical</v>
      </c>
      <c r="M60" s="91" t="str">
        <f>VLOOKUP(B60,[1]characters!$A:$M,13,FALSE)</f>
        <v>god</v>
      </c>
      <c r="N60" s="91" t="str">
        <f>VLOOKUP(B60,[1]characters!$A:$G,7,FALSE)</f>
        <v>男性</v>
      </c>
      <c r="O60" s="47">
        <f>ROUND(0.06*10000/(COUNTIF(I:I,"PremiumSS")+COUNTIF(F:F,"R6release")),0)</f>
        <v>17</v>
      </c>
      <c r="P60" s="48">
        <f t="shared" si="8"/>
        <v>1.6986410871302957E-3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90">
        <v>345100</v>
      </c>
      <c r="B61" s="6">
        <v>483</v>
      </c>
      <c r="C61" s="91" t="str">
        <f t="shared" si="5"/>
        <v>Premium5</v>
      </c>
      <c r="D61" s="91" t="str">
        <f t="shared" si="6"/>
        <v>Premium</v>
      </c>
      <c r="E61" s="91" t="str">
        <f>IF(COUNTIF('R6追加前'!A:A,B61)=0,IF(I61="PremiumSS","R5only","R3less"),"")</f>
        <v/>
      </c>
      <c r="F61" s="91" t="str">
        <f>IF(COUNTIF('R6開放'!A:A,B61)&gt;0,"R6release","")</f>
        <v/>
      </c>
      <c r="G61" s="91"/>
      <c r="H61" s="91" t="str">
        <f>VLOOKUP(B61,[1]characters!$A:$C,3,FALSE)</f>
        <v xml:space="preserve">命経死遂 沢庵宗彭 </v>
      </c>
      <c r="I61" s="91" t="str">
        <f>VLOOKUP(B61,[1]characters!$A:$J,10,FALSE)</f>
        <v>PremiumS</v>
      </c>
      <c r="J61" s="91">
        <f>VLOOKUP(B61,[1]characters!$A:$I,9,FALSE)</f>
        <v>5</v>
      </c>
      <c r="K61" s="91" t="str">
        <f>VLOOKUP(B61,[1]characters!$A:$H,8,FALSE)</f>
        <v>yellow</v>
      </c>
      <c r="L61" s="91" t="str">
        <f>VLOOKUP(B61,[1]characters!$A:$K,11,FALSE)</f>
        <v>hp</v>
      </c>
      <c r="M61" s="91" t="str">
        <f>VLOOKUP(B61,[1]characters!$A:$M,13,FALSE)</f>
        <v>human</v>
      </c>
      <c r="N61" s="91" t="str">
        <f>VLOOKUP(B61,[1]characters!$A:$G,7,FALSE)</f>
        <v>男性</v>
      </c>
      <c r="O61" s="47">
        <f>ROUND(0.93*10000/COUNTIFS(D:D,"Premium",F:F,"&lt;&gt;R6release"),0)</f>
        <v>166</v>
      </c>
      <c r="P61" s="48">
        <f t="shared" si="8"/>
        <v>1.6586730615507594E-2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90">
        <v>345100</v>
      </c>
      <c r="B62" s="6">
        <v>493</v>
      </c>
      <c r="C62" s="91" t="str">
        <f t="shared" si="5"/>
        <v>PremiumSS5</v>
      </c>
      <c r="D62" s="91" t="str">
        <f t="shared" si="6"/>
        <v>PremiumSS</v>
      </c>
      <c r="E62" s="91" t="str">
        <f>IF(COUNTIF('R6追加前'!A:A,B62)=0,IF(I62="PremiumSS","R5only","R3less"),"")</f>
        <v/>
      </c>
      <c r="F62" s="91" t="str">
        <f>IF(COUNTIF('R6開放'!A:A,B62)&gt;0,"R6release","")</f>
        <v/>
      </c>
      <c r="G62" s="91"/>
      <c r="H62" s="91" t="str">
        <f>VLOOKUP(B62,[1]characters!$A:$C,3,FALSE)</f>
        <v>跋扈の機脚 ブートレグ・ペロー</v>
      </c>
      <c r="I62" s="91" t="str">
        <f>VLOOKUP(B62,[1]characters!$A:$J,10,FALSE)</f>
        <v>PremiumSS</v>
      </c>
      <c r="J62" s="91">
        <f>VLOOKUP(B62,[1]characters!$A:$I,9,FALSE)</f>
        <v>5</v>
      </c>
      <c r="K62" s="91" t="str">
        <f>VLOOKUP(B62,[1]characters!$A:$H,8,FALSE)</f>
        <v>red</v>
      </c>
      <c r="L62" s="91" t="str">
        <f>VLOOKUP(B62,[1]characters!$A:$K,11,FALSE)</f>
        <v>hp</v>
      </c>
      <c r="M62" s="91" t="str">
        <f>VLOOKUP(B62,[1]characters!$A:$M,13,FALSE)</f>
        <v>animal</v>
      </c>
      <c r="N62" s="91" t="str">
        <f>VLOOKUP(B62,[1]characters!$A:$G,7,FALSE)</f>
        <v>不明</v>
      </c>
      <c r="O62" s="47">
        <f t="shared" ref="O62:O63" si="15">ROUND(0.06*10000/(COUNTIF(I:I,"PremiumSS")+COUNTIF(F:F,"R6release")),0)</f>
        <v>17</v>
      </c>
      <c r="P62" s="48">
        <f t="shared" si="8"/>
        <v>1.6986410871302957E-3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90">
        <v>345100</v>
      </c>
      <c r="B63" s="6">
        <v>495</v>
      </c>
      <c r="C63" s="91" t="str">
        <f t="shared" si="5"/>
        <v>PremiumSS5</v>
      </c>
      <c r="D63" s="91" t="str">
        <f t="shared" si="6"/>
        <v>PremiumSS</v>
      </c>
      <c r="E63" s="91" t="str">
        <f>IF(COUNTIF('R6追加前'!A:A,B63)=0,IF(I63="PremiumSS","R5only","R3less"),"")</f>
        <v/>
      </c>
      <c r="F63" s="91" t="str">
        <f>IF(COUNTIF('R6開放'!A:A,B63)&gt;0,"R6release","")</f>
        <v/>
      </c>
      <c r="G63" s="91"/>
      <c r="H63" s="91" t="str">
        <f>VLOOKUP(B63,[1]characters!$A:$C,3,FALSE)</f>
        <v>鼠災呼ぶ笛音 ハーメルン</v>
      </c>
      <c r="I63" s="91" t="str">
        <f>VLOOKUP(B63,[1]characters!$A:$J,10,FALSE)</f>
        <v>PremiumSS</v>
      </c>
      <c r="J63" s="91">
        <f>VLOOKUP(B63,[1]characters!$A:$I,9,FALSE)</f>
        <v>5</v>
      </c>
      <c r="K63" s="91" t="str">
        <f>VLOOKUP(B63,[1]characters!$A:$H,8,FALSE)</f>
        <v>green</v>
      </c>
      <c r="L63" s="91" t="str">
        <f>VLOOKUP(B63,[1]characters!$A:$K,11,FALSE)</f>
        <v>technical</v>
      </c>
      <c r="M63" s="91" t="str">
        <f>VLOOKUP(B63,[1]characters!$A:$M,13,FALSE)</f>
        <v>human</v>
      </c>
      <c r="N63" s="91" t="str">
        <f>VLOOKUP(B63,[1]characters!$A:$G,7,FALSE)</f>
        <v>男性</v>
      </c>
      <c r="O63" s="47">
        <f t="shared" si="15"/>
        <v>17</v>
      </c>
      <c r="P63" s="48">
        <f t="shared" si="8"/>
        <v>1.6986410871302957E-3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90">
        <v>345100</v>
      </c>
      <c r="B64" s="6">
        <v>498</v>
      </c>
      <c r="C64" s="91" t="str">
        <f t="shared" si="5"/>
        <v>Premium5</v>
      </c>
      <c r="D64" s="91" t="str">
        <f t="shared" si="6"/>
        <v>Premium</v>
      </c>
      <c r="E64" s="91" t="str">
        <f>IF(COUNTIF('R6追加前'!A:A,B64)=0,IF(I64="PremiumSS","R5only","R3less"),"")</f>
        <v/>
      </c>
      <c r="F64" s="91" t="str">
        <f>IF(COUNTIF('R6開放'!A:A,B64)&gt;0,"R6release","")</f>
        <v/>
      </c>
      <c r="G64" s="91"/>
      <c r="H64" s="91" t="str">
        <f>VLOOKUP(B64,[1]characters!$A:$C,3,FALSE)</f>
        <v>自愛の高魔 エスタブ</v>
      </c>
      <c r="I64" s="91" t="str">
        <f>VLOOKUP(B64,[1]characters!$A:$J,10,FALSE)</f>
        <v>PremiumS</v>
      </c>
      <c r="J64" s="91">
        <f>VLOOKUP(B64,[1]characters!$A:$I,9,FALSE)</f>
        <v>5</v>
      </c>
      <c r="K64" s="91" t="str">
        <f>VLOOKUP(B64,[1]characters!$A:$H,8,FALSE)</f>
        <v>blue</v>
      </c>
      <c r="L64" s="91" t="str">
        <f>VLOOKUP(B64,[1]characters!$A:$K,11,FALSE)</f>
        <v>attack</v>
      </c>
      <c r="M64" s="91" t="str">
        <f>VLOOKUP(B64,[1]characters!$A:$M,13,FALSE)</f>
        <v>human</v>
      </c>
      <c r="N64" s="91" t="str">
        <f>VLOOKUP(B64,[1]characters!$A:$G,7,FALSE)</f>
        <v>男性</v>
      </c>
      <c r="O64" s="47">
        <f>ROUND(0.93*10000/COUNTIFS(D:D,"Premium",F:F,"&lt;&gt;R6release"),0)</f>
        <v>166</v>
      </c>
      <c r="P64" s="48">
        <f t="shared" si="8"/>
        <v>1.6586730615507594E-2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90">
        <v>345100</v>
      </c>
      <c r="B65" s="6">
        <v>500</v>
      </c>
      <c r="C65" s="91" t="str">
        <f t="shared" si="5"/>
        <v>PremiumSS5</v>
      </c>
      <c r="D65" s="91" t="str">
        <f t="shared" si="6"/>
        <v>PremiumSS</v>
      </c>
      <c r="E65" s="91" t="str">
        <f>IF(COUNTIF('R6追加前'!A:A,B65)=0,IF(I65="PremiumSS","R5only","R3less"),"")</f>
        <v/>
      </c>
      <c r="F65" s="91" t="str">
        <f>IF(COUNTIF('R6開放'!A:A,B65)&gt;0,"R6release","")</f>
        <v/>
      </c>
      <c r="G65" s="91"/>
      <c r="H65" s="91" t="str">
        <f>VLOOKUP(B65,[1]characters!$A:$C,3,FALSE)</f>
        <v>脈動の禁髪 ラプンツェル</v>
      </c>
      <c r="I65" s="91" t="str">
        <f>VLOOKUP(B65,[1]characters!$A:$J,10,FALSE)</f>
        <v>PremiumSS</v>
      </c>
      <c r="J65" s="91">
        <f>VLOOKUP(B65,[1]characters!$A:$I,9,FALSE)</f>
        <v>5</v>
      </c>
      <c r="K65" s="91" t="str">
        <f>VLOOKUP(B65,[1]characters!$A:$H,8,FALSE)</f>
        <v>yellow</v>
      </c>
      <c r="L65" s="91" t="str">
        <f>VLOOKUP(B65,[1]characters!$A:$K,11,FALSE)</f>
        <v>balance</v>
      </c>
      <c r="M65" s="91" t="str">
        <f>VLOOKUP(B65,[1]characters!$A:$M,13,FALSE)</f>
        <v>human</v>
      </c>
      <c r="N65" s="91" t="str">
        <f>VLOOKUP(B65,[1]characters!$A:$G,7,FALSE)</f>
        <v>女性</v>
      </c>
      <c r="O65" s="47">
        <f t="shared" ref="O65:O66" si="16">ROUND(0.06*10000/(COUNTIF(I:I,"PremiumSS")+COUNTIF(F:F,"R6release")),0)</f>
        <v>17</v>
      </c>
      <c r="P65" s="48">
        <f t="shared" si="8"/>
        <v>1.6986410871302957E-3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90">
        <v>345100</v>
      </c>
      <c r="B66" s="6">
        <v>587</v>
      </c>
      <c r="C66" s="91" t="str">
        <f t="shared" si="5"/>
        <v>PremiumSS5</v>
      </c>
      <c r="D66" s="91" t="str">
        <f t="shared" si="6"/>
        <v>PremiumSS</v>
      </c>
      <c r="E66" s="91" t="str">
        <f>IF(COUNTIF('R6追加前'!A:A,B66)=0,IF(I66="PremiumSS","R5only","R3less"),"")</f>
        <v/>
      </c>
      <c r="F66" s="91" t="str">
        <f>IF(COUNTIF('R6開放'!A:A,B66)&gt;0,"R6release","")</f>
        <v/>
      </c>
      <c r="G66" s="91"/>
      <c r="H66" s="91" t="str">
        <f>VLOOKUP(B66,[1]characters!$A:$C,3,FALSE)</f>
        <v>原初の煉鋼巨刃 ユミル</v>
      </c>
      <c r="I66" s="91" t="str">
        <f>VLOOKUP(B66,[1]characters!$A:$J,10,FALSE)</f>
        <v>PremiumSS</v>
      </c>
      <c r="J66" s="91">
        <f>VLOOKUP(B66,[1]characters!$A:$I,9,FALSE)</f>
        <v>5</v>
      </c>
      <c r="K66" s="91" t="str">
        <f>VLOOKUP(B66,[1]characters!$A:$H,8,FALSE)</f>
        <v>red</v>
      </c>
      <c r="L66" s="91" t="str">
        <f>VLOOKUP(B66,[1]characters!$A:$K,11,FALSE)</f>
        <v>hp</v>
      </c>
      <c r="M66" s="91" t="str">
        <f>VLOOKUP(B66,[1]characters!$A:$M,13,FALSE)</f>
        <v>machine</v>
      </c>
      <c r="N66" s="91" t="str">
        <f>VLOOKUP(B66,[1]characters!$A:$G,7,FALSE)</f>
        <v>不明</v>
      </c>
      <c r="O66" s="47">
        <f t="shared" si="16"/>
        <v>17</v>
      </c>
      <c r="P66" s="48">
        <f t="shared" ref="P66:P97" si="17">O66/SUM(O:O)</f>
        <v>1.6986410871302957E-3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90">
        <v>345100</v>
      </c>
      <c r="B67" s="6">
        <v>590</v>
      </c>
      <c r="C67" s="91" t="str">
        <f t="shared" si="5"/>
        <v>Premium5</v>
      </c>
      <c r="D67" s="91" t="str">
        <f t="shared" si="6"/>
        <v>Premium</v>
      </c>
      <c r="E67" s="91" t="str">
        <f>IF(COUNTIF('R6追加前'!A:A,B67)=0,IF(I67="PremiumSS","R5only","R3less"),"")</f>
        <v/>
      </c>
      <c r="F67" s="91" t="str">
        <f>IF(COUNTIF('R6開放'!A:A,B67)&gt;0,"R6release","")</f>
        <v/>
      </c>
      <c r="G67" s="91"/>
      <c r="H67" s="91" t="str">
        <f>VLOOKUP(B67,[1]characters!$A:$C,3,FALSE)</f>
        <v>永遠を廻る呪い ニーベルゲン</v>
      </c>
      <c r="I67" s="91" t="str">
        <f>VLOOKUP(B67,[1]characters!$A:$J,10,FALSE)</f>
        <v>PremiumS</v>
      </c>
      <c r="J67" s="91">
        <f>VLOOKUP(B67,[1]characters!$A:$I,9,FALSE)</f>
        <v>5</v>
      </c>
      <c r="K67" s="91" t="str">
        <f>VLOOKUP(B67,[1]characters!$A:$H,8,FALSE)</f>
        <v>green</v>
      </c>
      <c r="L67" s="91" t="str">
        <f>VLOOKUP(B67,[1]characters!$A:$K,11,FALSE)</f>
        <v>balance</v>
      </c>
      <c r="M67" s="91" t="str">
        <f>VLOOKUP(B67,[1]characters!$A:$M,13,FALSE)</f>
        <v>unknown</v>
      </c>
      <c r="N67" s="91" t="str">
        <f>VLOOKUP(B67,[1]characters!$A:$G,7,FALSE)</f>
        <v>女性</v>
      </c>
      <c r="O67" s="47">
        <f t="shared" ref="O67:O68" si="18">ROUND(0.93*10000/COUNTIFS(D:D,"Premium",F:F,"&lt;&gt;R6release"),0)</f>
        <v>166</v>
      </c>
      <c r="P67" s="48">
        <f t="shared" si="17"/>
        <v>1.6586730615507594E-2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90">
        <v>345100</v>
      </c>
      <c r="B68" s="6">
        <v>593</v>
      </c>
      <c r="C68" s="91" t="str">
        <f t="shared" si="5"/>
        <v>Premium5</v>
      </c>
      <c r="D68" s="91" t="str">
        <f t="shared" si="6"/>
        <v>Premium</v>
      </c>
      <c r="E68" s="91" t="str">
        <f>IF(COUNTIF('R6追加前'!A:A,B68)=0,IF(I68="PremiumSS","R5only","R3less"),"")</f>
        <v/>
      </c>
      <c r="F68" s="91" t="str">
        <f>IF(COUNTIF('R6開放'!A:A,B68)&gt;0,"R6release","")</f>
        <v/>
      </c>
      <c r="G68" s="91"/>
      <c r="H68" s="91" t="str">
        <f>VLOOKUP(B68,[1]characters!$A:$C,3,FALSE)</f>
        <v>妄執する邪毒龍 ファフニール</v>
      </c>
      <c r="I68" s="91" t="str">
        <f>VLOOKUP(B68,[1]characters!$A:$J,10,FALSE)</f>
        <v>PremiumS</v>
      </c>
      <c r="J68" s="91">
        <f>VLOOKUP(B68,[1]characters!$A:$I,9,FALSE)</f>
        <v>5</v>
      </c>
      <c r="K68" s="91" t="str">
        <f>VLOOKUP(B68,[1]characters!$A:$H,8,FALSE)</f>
        <v>blue</v>
      </c>
      <c r="L68" s="91" t="str">
        <f>VLOOKUP(B68,[1]characters!$A:$K,11,FALSE)</f>
        <v>technical</v>
      </c>
      <c r="M68" s="91" t="str">
        <f>VLOOKUP(B68,[1]characters!$A:$M,13,FALSE)</f>
        <v>dragon</v>
      </c>
      <c r="N68" s="91" t="str">
        <f>VLOOKUP(B68,[1]characters!$A:$G,7,FALSE)</f>
        <v>不明</v>
      </c>
      <c r="O68" s="47">
        <f t="shared" si="18"/>
        <v>166</v>
      </c>
      <c r="P68" s="48">
        <f t="shared" si="17"/>
        <v>1.6586730615507594E-2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90">
        <v>345100</v>
      </c>
      <c r="B69" s="6">
        <v>595</v>
      </c>
      <c r="C69" s="91" t="str">
        <f t="shared" si="5"/>
        <v>PremiumSS5</v>
      </c>
      <c r="D69" s="91" t="str">
        <f t="shared" si="6"/>
        <v>PremiumSS</v>
      </c>
      <c r="E69" s="91" t="str">
        <f>IF(COUNTIF('R6追加前'!A:A,B69)=0,IF(I69="PremiumSS","R5only","R3less"),"")</f>
        <v/>
      </c>
      <c r="F69" s="91" t="str">
        <f>IF(COUNTIF('R6開放'!A:A,B69)&gt;0,"R6release","")</f>
        <v/>
      </c>
      <c r="G69" s="91"/>
      <c r="H69" s="91" t="str">
        <f>VLOOKUP(B69,[1]characters!$A:$C,3,FALSE)</f>
        <v>光華なる神域 アルフヘイム</v>
      </c>
      <c r="I69" s="91" t="str">
        <f>VLOOKUP(B69,[1]characters!$A:$J,10,FALSE)</f>
        <v>PremiumSS</v>
      </c>
      <c r="J69" s="91">
        <f>VLOOKUP(B69,[1]characters!$A:$I,9,FALSE)</f>
        <v>5</v>
      </c>
      <c r="K69" s="91" t="str">
        <f>VLOOKUP(B69,[1]characters!$A:$H,8,FALSE)</f>
        <v>yellow</v>
      </c>
      <c r="L69" s="91" t="str">
        <f>VLOOKUP(B69,[1]characters!$A:$K,11,FALSE)</f>
        <v>attack</v>
      </c>
      <c r="M69" s="91" t="str">
        <f>VLOOKUP(B69,[1]characters!$A:$M,13,FALSE)</f>
        <v>dragon</v>
      </c>
      <c r="N69" s="91" t="str">
        <f>VLOOKUP(B69,[1]characters!$A:$G,7,FALSE)</f>
        <v>不明</v>
      </c>
      <c r="O69" s="47">
        <f>ROUND(0.06*10000/(COUNTIF(I:I,"PremiumSS")+COUNTIF(F:F,"R6release")),0)</f>
        <v>17</v>
      </c>
      <c r="P69" s="48">
        <f t="shared" si="17"/>
        <v>1.6986410871302957E-3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90">
        <v>345100</v>
      </c>
      <c r="B70" s="6">
        <v>598</v>
      </c>
      <c r="C70" s="91" t="str">
        <f t="shared" si="5"/>
        <v>Premium5</v>
      </c>
      <c r="D70" s="91" t="str">
        <f t="shared" si="6"/>
        <v>Premium</v>
      </c>
      <c r="E70" s="91" t="str">
        <f>IF(COUNTIF('R6追加前'!A:A,B70)=0,IF(I70="PremiumSS","R5only","R3less"),"")</f>
        <v/>
      </c>
      <c r="F70" s="91" t="str">
        <f>IF(COUNTIF('R6開放'!A:A,B70)&gt;0,"R6release","")</f>
        <v/>
      </c>
      <c r="G70" s="91"/>
      <c r="H70" s="91" t="str">
        <f>VLOOKUP(B70,[1]characters!$A:$C,3,FALSE)</f>
        <v>焼燃の情熱 ムスペルヘイム</v>
      </c>
      <c r="I70" s="91" t="str">
        <f>VLOOKUP(B70,[1]characters!$A:$J,10,FALSE)</f>
        <v>PremiumS</v>
      </c>
      <c r="J70" s="91">
        <f>VLOOKUP(B70,[1]characters!$A:$I,9,FALSE)</f>
        <v>5</v>
      </c>
      <c r="K70" s="91" t="str">
        <f>VLOOKUP(B70,[1]characters!$A:$H,8,FALSE)</f>
        <v>red</v>
      </c>
      <c r="L70" s="91" t="str">
        <f>VLOOKUP(B70,[1]characters!$A:$K,11,FALSE)</f>
        <v>balance</v>
      </c>
      <c r="M70" s="91" t="str">
        <f>VLOOKUP(B70,[1]characters!$A:$M,13,FALSE)</f>
        <v>human</v>
      </c>
      <c r="N70" s="91" t="str">
        <f>VLOOKUP(B70,[1]characters!$A:$G,7,FALSE)</f>
        <v>男性</v>
      </c>
      <c r="O70" s="47">
        <f t="shared" ref="O70:O71" si="19">ROUND(0.93*10000/COUNTIFS(D:D,"Premium",F:F,"&lt;&gt;R6release"),0)</f>
        <v>166</v>
      </c>
      <c r="P70" s="48">
        <f t="shared" si="17"/>
        <v>1.6586730615507594E-2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90">
        <v>345100</v>
      </c>
      <c r="B71" s="6">
        <v>601</v>
      </c>
      <c r="C71" s="91" t="str">
        <f t="shared" si="5"/>
        <v>Premium5</v>
      </c>
      <c r="D71" s="91" t="str">
        <f t="shared" si="6"/>
        <v>Premium</v>
      </c>
      <c r="E71" s="91" t="str">
        <f>IF(COUNTIF('R6追加前'!A:A,B71)=0,IF(I71="PremiumSS","R5only","R3less"),"")</f>
        <v/>
      </c>
      <c r="F71" s="91" t="str">
        <f>IF(COUNTIF('R6開放'!A:A,B71)&gt;0,"R6release","")</f>
        <v/>
      </c>
      <c r="G71" s="91"/>
      <c r="H71" s="91" t="str">
        <f>VLOOKUP(B71,[1]characters!$A:$C,3,FALSE)</f>
        <v>界根蝕む悪食 ニーズヘッグ</v>
      </c>
      <c r="I71" s="91" t="str">
        <f>VLOOKUP(B71,[1]characters!$A:$J,10,FALSE)</f>
        <v>PremiumS</v>
      </c>
      <c r="J71" s="91">
        <f>VLOOKUP(B71,[1]characters!$A:$I,9,FALSE)</f>
        <v>5</v>
      </c>
      <c r="K71" s="91" t="str">
        <f>VLOOKUP(B71,[1]characters!$A:$H,8,FALSE)</f>
        <v>green</v>
      </c>
      <c r="L71" s="91" t="str">
        <f>VLOOKUP(B71,[1]characters!$A:$K,11,FALSE)</f>
        <v>attack</v>
      </c>
      <c r="M71" s="91" t="str">
        <f>VLOOKUP(B71,[1]characters!$A:$M,13,FALSE)</f>
        <v>dragon</v>
      </c>
      <c r="N71" s="91" t="str">
        <f>VLOOKUP(B71,[1]characters!$A:$G,7,FALSE)</f>
        <v>不明</v>
      </c>
      <c r="O71" s="47">
        <f t="shared" si="19"/>
        <v>166</v>
      </c>
      <c r="P71" s="48">
        <f t="shared" si="17"/>
        <v>1.6586730615507594E-2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90">
        <v>345100</v>
      </c>
      <c r="B72" s="6">
        <v>603</v>
      </c>
      <c r="C72" s="91" t="str">
        <f t="shared" si="5"/>
        <v>PremiumSS5</v>
      </c>
      <c r="D72" s="91" t="str">
        <f t="shared" si="6"/>
        <v>PremiumSS</v>
      </c>
      <c r="E72" s="91" t="str">
        <f>IF(COUNTIF('R6追加前'!A:A,B72)=0,IF(I72="PremiumSS","R5only","R3less"),"")</f>
        <v/>
      </c>
      <c r="F72" s="91" t="str">
        <f>IF(COUNTIF('R6開放'!A:A,B72)&gt;0,"R6release","")</f>
        <v/>
      </c>
      <c r="G72" s="91"/>
      <c r="H72" s="91" t="str">
        <f>VLOOKUP(B72,[1]characters!$A:$C,3,FALSE)</f>
        <v>掌愛の豊穣女神 フレイヤ</v>
      </c>
      <c r="I72" s="91" t="str">
        <f>VLOOKUP(B72,[1]characters!$A:$J,10,FALSE)</f>
        <v>PremiumSS</v>
      </c>
      <c r="J72" s="91">
        <f>VLOOKUP(B72,[1]characters!$A:$I,9,FALSE)</f>
        <v>5</v>
      </c>
      <c r="K72" s="91" t="str">
        <f>VLOOKUP(B72,[1]characters!$A:$H,8,FALSE)</f>
        <v>blue</v>
      </c>
      <c r="L72" s="91" t="str">
        <f>VLOOKUP(B72,[1]characters!$A:$K,11,FALSE)</f>
        <v>heal</v>
      </c>
      <c r="M72" s="91" t="str">
        <f>VLOOKUP(B72,[1]characters!$A:$M,13,FALSE)</f>
        <v>animal</v>
      </c>
      <c r="N72" s="91" t="str">
        <f>VLOOKUP(B72,[1]characters!$A:$G,7,FALSE)</f>
        <v>女性</v>
      </c>
      <c r="O72" s="47">
        <f>ROUND(0.06*10000/(COUNTIF(I:I,"PremiumSS")+COUNTIF(F:F,"R6release")),0)</f>
        <v>17</v>
      </c>
      <c r="P72" s="48">
        <f t="shared" si="17"/>
        <v>1.6986410871302957E-3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90">
        <v>345100</v>
      </c>
      <c r="B73" s="6">
        <v>606</v>
      </c>
      <c r="C73" s="91" t="str">
        <f t="shared" si="5"/>
        <v>Premium5</v>
      </c>
      <c r="D73" s="91" t="str">
        <f t="shared" si="6"/>
        <v>Premium</v>
      </c>
      <c r="E73" s="91" t="str">
        <f>IF(COUNTIF('R6追加前'!A:A,B73)=0,IF(I73="PremiumSS","R5only","R3less"),"")</f>
        <v/>
      </c>
      <c r="F73" s="91" t="str">
        <f>IF(COUNTIF('R6開放'!A:A,B73)&gt;0,"R6release","")</f>
        <v/>
      </c>
      <c r="G73" s="91"/>
      <c r="H73" s="91" t="str">
        <f>VLOOKUP(B73,[1]characters!$A:$C,3,FALSE)</f>
        <v>冀望の光芒 バルドル</v>
      </c>
      <c r="I73" s="91" t="str">
        <f>VLOOKUP(B73,[1]characters!$A:$J,10,FALSE)</f>
        <v>PremiumS</v>
      </c>
      <c r="J73" s="91">
        <f>VLOOKUP(B73,[1]characters!$A:$I,9,FALSE)</f>
        <v>5</v>
      </c>
      <c r="K73" s="91" t="str">
        <f>VLOOKUP(B73,[1]characters!$A:$H,8,FALSE)</f>
        <v>yellow</v>
      </c>
      <c r="L73" s="91" t="str">
        <f>VLOOKUP(B73,[1]characters!$A:$K,11,FALSE)</f>
        <v>heal</v>
      </c>
      <c r="M73" s="91" t="str">
        <f>VLOOKUP(B73,[1]characters!$A:$M,13,FALSE)</f>
        <v>god</v>
      </c>
      <c r="N73" s="91" t="str">
        <f>VLOOKUP(B73,[1]characters!$A:$G,7,FALSE)</f>
        <v>男性</v>
      </c>
      <c r="O73" s="47">
        <f>ROUND(0.93*10000/COUNTIFS(D:D,"Premium",F:F,"&lt;&gt;R6release"),0)</f>
        <v>166</v>
      </c>
      <c r="P73" s="48">
        <f t="shared" si="17"/>
        <v>1.6586730615507594E-2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90">
        <v>345100</v>
      </c>
      <c r="B74" s="6">
        <v>659</v>
      </c>
      <c r="C74" s="91" t="str">
        <f t="shared" si="5"/>
        <v>PremiumSS5</v>
      </c>
      <c r="D74" s="91" t="str">
        <f t="shared" si="6"/>
        <v>PremiumSS</v>
      </c>
      <c r="E74" s="91" t="str">
        <f>IF(COUNTIF('R6追加前'!A:A,B74)=0,IF(I74="PremiumSS","R5only","R3less"),"")</f>
        <v/>
      </c>
      <c r="F74" s="91" t="str">
        <f>IF(COUNTIF('R6開放'!A:A,B74)&gt;0,"R6release","")</f>
        <v/>
      </c>
      <c r="G74" s="91"/>
      <c r="H74" s="91" t="str">
        <f>VLOOKUP(B74,[1]characters!$A:$C,3,FALSE)</f>
        <v>跳梁する化猫 クルミ</v>
      </c>
      <c r="I74" s="91" t="str">
        <f>VLOOKUP(B74,[1]characters!$A:$J,10,FALSE)</f>
        <v>PremiumSS</v>
      </c>
      <c r="J74" s="91">
        <f>VLOOKUP(B74,[1]characters!$A:$I,9,FALSE)</f>
        <v>5</v>
      </c>
      <c r="K74" s="91" t="str">
        <f>VLOOKUP(B74,[1]characters!$A:$H,8,FALSE)</f>
        <v>red</v>
      </c>
      <c r="L74" s="91" t="str">
        <f>VLOOKUP(B74,[1]characters!$A:$K,11,FALSE)</f>
        <v>attack</v>
      </c>
      <c r="M74" s="91" t="str">
        <f>VLOOKUP(B74,[1]characters!$A:$M,13,FALSE)</f>
        <v>animal</v>
      </c>
      <c r="N74" s="91" t="str">
        <f>VLOOKUP(B74,[1]characters!$A:$G,7,FALSE)</f>
        <v>女性</v>
      </c>
      <c r="O74" s="47">
        <f t="shared" ref="O74:O75" si="20">ROUND(0.06*10000/(COUNTIF(I:I,"PremiumSS")+COUNTIF(F:F,"R6release")),0)</f>
        <v>17</v>
      </c>
      <c r="P74" s="48">
        <f t="shared" si="17"/>
        <v>1.6986410871302957E-3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90">
        <v>345100</v>
      </c>
      <c r="B75" s="6">
        <v>661</v>
      </c>
      <c r="C75" s="91" t="str">
        <f t="shared" si="5"/>
        <v>PremiumSS5</v>
      </c>
      <c r="D75" s="91" t="str">
        <f t="shared" si="6"/>
        <v>PremiumSS</v>
      </c>
      <c r="E75" s="91" t="str">
        <f>IF(COUNTIF('R6追加前'!A:A,B75)=0,IF(I75="PremiumSS","R5only","R3less"),"")</f>
        <v/>
      </c>
      <c r="F75" s="91" t="str">
        <f>IF(COUNTIF('R6開放'!A:A,B75)&gt;0,"R6release","")</f>
        <v/>
      </c>
      <c r="G75" s="91"/>
      <c r="H75" s="91" t="str">
        <f>VLOOKUP(B75,[1]characters!$A:$C,3,FALSE)</f>
        <v>疾風の天狗礫 フウガ</v>
      </c>
      <c r="I75" s="91" t="str">
        <f>VLOOKUP(B75,[1]characters!$A:$J,10,FALSE)</f>
        <v>PremiumSS</v>
      </c>
      <c r="J75" s="91">
        <f>VLOOKUP(B75,[1]characters!$A:$I,9,FALSE)</f>
        <v>5</v>
      </c>
      <c r="K75" s="91" t="str">
        <f>VLOOKUP(B75,[1]characters!$A:$H,8,FALSE)</f>
        <v>green</v>
      </c>
      <c r="L75" s="91" t="str">
        <f>VLOOKUP(B75,[1]characters!$A:$K,11,FALSE)</f>
        <v>balance</v>
      </c>
      <c r="M75" s="91" t="str">
        <f>VLOOKUP(B75,[1]characters!$A:$M,13,FALSE)</f>
        <v>animal</v>
      </c>
      <c r="N75" s="91" t="str">
        <f>VLOOKUP(B75,[1]characters!$A:$G,7,FALSE)</f>
        <v>男性</v>
      </c>
      <c r="O75" s="47">
        <f t="shared" si="20"/>
        <v>17</v>
      </c>
      <c r="P75" s="48">
        <f t="shared" si="17"/>
        <v>1.6986410871302957E-3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90">
        <v>345100</v>
      </c>
      <c r="B76" s="6">
        <v>664</v>
      </c>
      <c r="C76" s="91" t="str">
        <f t="shared" si="5"/>
        <v>Premium5</v>
      </c>
      <c r="D76" s="91" t="str">
        <f t="shared" si="6"/>
        <v>Premium</v>
      </c>
      <c r="E76" s="91" t="str">
        <f>IF(COUNTIF('R6追加前'!A:A,B76)=0,IF(I76="PremiumSS","R5only","R3less"),"")</f>
        <v/>
      </c>
      <c r="F76" s="91" t="str">
        <f>IF(COUNTIF('R6開放'!A:A,B76)&gt;0,"R6release","")</f>
        <v/>
      </c>
      <c r="G76" s="91"/>
      <c r="H76" s="91" t="str">
        <f>VLOOKUP(B76,[1]characters!$A:$C,3,FALSE)</f>
        <v>山掴み国造り ダイダラ</v>
      </c>
      <c r="I76" s="91" t="str">
        <f>VLOOKUP(B76,[1]characters!$A:$J,10,FALSE)</f>
        <v>PremiumS</v>
      </c>
      <c r="J76" s="91">
        <f>VLOOKUP(B76,[1]characters!$A:$I,9,FALSE)</f>
        <v>5</v>
      </c>
      <c r="K76" s="91" t="str">
        <f>VLOOKUP(B76,[1]characters!$A:$H,8,FALSE)</f>
        <v>blue</v>
      </c>
      <c r="L76" s="91" t="str">
        <f>VLOOKUP(B76,[1]characters!$A:$K,11,FALSE)</f>
        <v>hp</v>
      </c>
      <c r="M76" s="91" t="str">
        <f>VLOOKUP(B76,[1]characters!$A:$M,13,FALSE)</f>
        <v>unknown</v>
      </c>
      <c r="N76" s="91" t="str">
        <f>VLOOKUP(B76,[1]characters!$A:$G,7,FALSE)</f>
        <v>不明</v>
      </c>
      <c r="O76" s="47">
        <f t="shared" ref="O76:O79" si="21">ROUND(0.93*10000/COUNTIFS(D:D,"Premium",F:F,"&lt;&gt;R6release"),0)</f>
        <v>166</v>
      </c>
      <c r="P76" s="48">
        <f t="shared" si="17"/>
        <v>1.6586730615507594E-2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90">
        <v>345100</v>
      </c>
      <c r="B77" s="6">
        <v>667</v>
      </c>
      <c r="C77" s="91" t="str">
        <f t="shared" si="5"/>
        <v>Premium5</v>
      </c>
      <c r="D77" s="91" t="str">
        <f t="shared" si="6"/>
        <v>Premium</v>
      </c>
      <c r="E77" s="91" t="str">
        <f>IF(COUNTIF('R6追加前'!A:A,B77)=0,IF(I77="PremiumSS","R5only","R3less"),"")</f>
        <v/>
      </c>
      <c r="F77" s="91" t="str">
        <f>IF(COUNTIF('R6開放'!A:A,B77)&gt;0,"R6release","")</f>
        <v/>
      </c>
      <c r="G77" s="91"/>
      <c r="H77" s="91" t="str">
        <f>VLOOKUP(B77,[1]characters!$A:$C,3,FALSE)</f>
        <v>最幸運の妖童 テマリ</v>
      </c>
      <c r="I77" s="91" t="str">
        <f>VLOOKUP(B77,[1]characters!$A:$J,10,FALSE)</f>
        <v>PremiumS</v>
      </c>
      <c r="J77" s="91">
        <f>VLOOKUP(B77,[1]characters!$A:$I,9,FALSE)</f>
        <v>5</v>
      </c>
      <c r="K77" s="91" t="str">
        <f>VLOOKUP(B77,[1]characters!$A:$H,8,FALSE)</f>
        <v>yellow</v>
      </c>
      <c r="L77" s="91" t="str">
        <f>VLOOKUP(B77,[1]characters!$A:$K,11,FALSE)</f>
        <v>balance</v>
      </c>
      <c r="M77" s="91" t="str">
        <f>VLOOKUP(B77,[1]characters!$A:$M,13,FALSE)</f>
        <v>unknown</v>
      </c>
      <c r="N77" s="91" t="str">
        <f>VLOOKUP(B77,[1]characters!$A:$G,7,FALSE)</f>
        <v>女性</v>
      </c>
      <c r="O77" s="47">
        <f t="shared" si="21"/>
        <v>166</v>
      </c>
      <c r="P77" s="48">
        <f t="shared" si="17"/>
        <v>1.6586730615507594E-2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90">
        <v>345100</v>
      </c>
      <c r="B78" s="62">
        <v>670</v>
      </c>
      <c r="C78" s="91" t="str">
        <f t="shared" ref="C78:C94" si="22">D78&amp;J78&amp;E78&amp;F78&amp;G78</f>
        <v>Premium5</v>
      </c>
      <c r="D78" s="91" t="str">
        <f t="shared" ref="D78:D94" si="23">IF(I78="PremiumSS",I78,IF(I78="PremiumSSS",I78,IF(I78="PremiumW",I78,"Premium")))</f>
        <v>Premium</v>
      </c>
      <c r="E78" s="91" t="str">
        <f>IF(COUNTIF('R6追加前'!A:A,B78)=0,IF(I78="PremiumSS","R5only","R3less"),"")</f>
        <v/>
      </c>
      <c r="F78" s="91" t="str">
        <f>IF(COUNTIF('R6開放'!A:A,B78)&gt;0,"R6release","")</f>
        <v/>
      </c>
      <c r="G78" s="91"/>
      <c r="H78" s="91" t="str">
        <f>VLOOKUP(B78,[1]characters!$A:$C,3,FALSE)</f>
        <v>陽天の噴煙 アグニ</v>
      </c>
      <c r="I78" s="91" t="str">
        <f>VLOOKUP(B78,[1]characters!$A:$J,10,FALSE)</f>
        <v>PremiumS</v>
      </c>
      <c r="J78" s="91">
        <f>VLOOKUP(B78,[1]characters!$A:$I,9,FALSE)</f>
        <v>5</v>
      </c>
      <c r="K78" s="91" t="str">
        <f>VLOOKUP(B78,[1]characters!$A:$H,8,FALSE)</f>
        <v>red</v>
      </c>
      <c r="L78" s="91" t="str">
        <f>VLOOKUP(B78,[1]characters!$A:$K,11,FALSE)</f>
        <v>hp</v>
      </c>
      <c r="M78" s="91" t="str">
        <f>VLOOKUP(B78,[1]characters!$A:$M,13,FALSE)</f>
        <v>god</v>
      </c>
      <c r="N78" s="91" t="str">
        <f>VLOOKUP(B78,[1]characters!$A:$G,7,FALSE)</f>
        <v>男性</v>
      </c>
      <c r="O78" s="47">
        <f t="shared" si="21"/>
        <v>166</v>
      </c>
      <c r="P78" s="48">
        <f t="shared" si="17"/>
        <v>1.6586730615507594E-2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90">
        <v>345100</v>
      </c>
      <c r="B79" s="62">
        <v>673</v>
      </c>
      <c r="C79" s="91" t="str">
        <f t="shared" si="22"/>
        <v>Premium5</v>
      </c>
      <c r="D79" s="91" t="str">
        <f t="shared" si="23"/>
        <v>Premium</v>
      </c>
      <c r="E79" s="91" t="str">
        <f>IF(COUNTIF('R6追加前'!A:A,B79)=0,IF(I79="PremiumSS","R5only","R3less"),"")</f>
        <v/>
      </c>
      <c r="F79" s="91" t="str">
        <f>IF(COUNTIF('R6開放'!A:A,B79)&gt;0,"R6release","")</f>
        <v/>
      </c>
      <c r="G79" s="91"/>
      <c r="H79" s="91" t="str">
        <f>VLOOKUP(B79,[1]characters!$A:$C,3,FALSE)</f>
        <v>変幻自在の猿王 ハヌマーン</v>
      </c>
      <c r="I79" s="91" t="str">
        <f>VLOOKUP(B79,[1]characters!$A:$J,10,FALSE)</f>
        <v>PremiumS</v>
      </c>
      <c r="J79" s="91">
        <f>VLOOKUP(B79,[1]characters!$A:$I,9,FALSE)</f>
        <v>5</v>
      </c>
      <c r="K79" s="91" t="str">
        <f>VLOOKUP(B79,[1]characters!$A:$H,8,FALSE)</f>
        <v>green</v>
      </c>
      <c r="L79" s="91" t="str">
        <f>VLOOKUP(B79,[1]characters!$A:$K,11,FALSE)</f>
        <v>attack</v>
      </c>
      <c r="M79" s="91" t="str">
        <f>VLOOKUP(B79,[1]characters!$A:$M,13,FALSE)</f>
        <v>animal</v>
      </c>
      <c r="N79" s="91" t="str">
        <f>VLOOKUP(B79,[1]characters!$A:$G,7,FALSE)</f>
        <v>男性</v>
      </c>
      <c r="O79" s="47">
        <f t="shared" si="21"/>
        <v>166</v>
      </c>
      <c r="P79" s="48">
        <f t="shared" si="17"/>
        <v>1.6586730615507594E-2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90">
        <v>345100</v>
      </c>
      <c r="B80" s="62">
        <v>675</v>
      </c>
      <c r="C80" s="91" t="str">
        <f t="shared" si="22"/>
        <v>PremiumSS5</v>
      </c>
      <c r="D80" s="91" t="str">
        <f t="shared" si="23"/>
        <v>PremiumSS</v>
      </c>
      <c r="E80" s="91" t="str">
        <f>IF(COUNTIF('R6追加前'!A:A,B80)=0,IF(I80="PremiumSS","R5only","R3less"),"")</f>
        <v/>
      </c>
      <c r="F80" s="91" t="str">
        <f>IF(COUNTIF('R6開放'!A:A,B80)&gt;0,"R6release","")</f>
        <v/>
      </c>
      <c r="G80" s="91"/>
      <c r="H80" s="91" t="str">
        <f>VLOOKUP(B80,[1]characters!$A:$C,3,FALSE)</f>
        <v>芸楽の奔流 サラスヴァティ</v>
      </c>
      <c r="I80" s="91" t="str">
        <f>VLOOKUP(B80,[1]characters!$A:$J,10,FALSE)</f>
        <v>PremiumSS</v>
      </c>
      <c r="J80" s="91">
        <f>VLOOKUP(B80,[1]characters!$A:$I,9,FALSE)</f>
        <v>5</v>
      </c>
      <c r="K80" s="91" t="str">
        <f>VLOOKUP(B80,[1]characters!$A:$H,8,FALSE)</f>
        <v>blue</v>
      </c>
      <c r="L80" s="91" t="str">
        <f>VLOOKUP(B80,[1]characters!$A:$K,11,FALSE)</f>
        <v>balance</v>
      </c>
      <c r="M80" s="91" t="str">
        <f>VLOOKUP(B80,[1]characters!$A:$M,13,FALSE)</f>
        <v>god</v>
      </c>
      <c r="N80" s="91" t="str">
        <f>VLOOKUP(B80,[1]characters!$A:$G,7,FALSE)</f>
        <v>女性</v>
      </c>
      <c r="O80" s="47">
        <f t="shared" ref="O80:O83" si="24">ROUND(0.06*10000/(COUNTIF(I:I,"PremiumSS")+COUNTIF(F:F,"R6release")),0)</f>
        <v>17</v>
      </c>
      <c r="P80" s="48">
        <f t="shared" si="17"/>
        <v>1.6986410871302957E-3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90">
        <v>345100</v>
      </c>
      <c r="B81" s="62">
        <v>677</v>
      </c>
      <c r="C81" s="91" t="str">
        <f t="shared" si="22"/>
        <v>PremiumSS5</v>
      </c>
      <c r="D81" s="91" t="str">
        <f t="shared" si="23"/>
        <v>PremiumSS</v>
      </c>
      <c r="E81" s="91" t="str">
        <f>IF(COUNTIF('R6追加前'!A:A,B81)=0,IF(I81="PremiumSS","R5only","R3less"),"")</f>
        <v/>
      </c>
      <c r="F81" s="91" t="str">
        <f>IF(COUNTIF('R6開放'!A:A,B81)&gt;0,"R6release","")</f>
        <v/>
      </c>
      <c r="G81" s="91"/>
      <c r="H81" s="91" t="str">
        <f>VLOOKUP(B81,[1]characters!$A:$C,3,FALSE)</f>
        <v>武遊闊歩 ヴィシュヌ</v>
      </c>
      <c r="I81" s="91" t="str">
        <f>VLOOKUP(B81,[1]characters!$A:$J,10,FALSE)</f>
        <v>PremiumSS</v>
      </c>
      <c r="J81" s="91">
        <f>VLOOKUP(B81,[1]characters!$A:$I,9,FALSE)</f>
        <v>5</v>
      </c>
      <c r="K81" s="91" t="str">
        <f>VLOOKUP(B81,[1]characters!$A:$H,8,FALSE)</f>
        <v>yellow</v>
      </c>
      <c r="L81" s="91" t="str">
        <f>VLOOKUP(B81,[1]characters!$A:$K,11,FALSE)</f>
        <v>attack</v>
      </c>
      <c r="M81" s="91" t="str">
        <f>VLOOKUP(B81,[1]characters!$A:$M,13,FALSE)</f>
        <v>god</v>
      </c>
      <c r="N81" s="91" t="str">
        <f>VLOOKUP(B81,[1]characters!$A:$G,7,FALSE)</f>
        <v>女性</v>
      </c>
      <c r="O81" s="47">
        <f t="shared" si="24"/>
        <v>17</v>
      </c>
      <c r="P81" s="48">
        <f t="shared" si="17"/>
        <v>1.6986410871302957E-3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90">
        <v>345100</v>
      </c>
      <c r="B82" s="62">
        <v>771</v>
      </c>
      <c r="C82" s="91" t="str">
        <f t="shared" si="22"/>
        <v>PremiumSS5</v>
      </c>
      <c r="D82" s="91" t="str">
        <f t="shared" si="23"/>
        <v>PremiumSS</v>
      </c>
      <c r="E82" s="91" t="str">
        <f>IF(COUNTIF('R6追加前'!A:A,B82)=0,IF(I82="PremiumSS","R5only","R3less"),"")</f>
        <v/>
      </c>
      <c r="F82" s="91" t="str">
        <f>IF(COUNTIF('R6開放'!A:A,B82)&gt;0,"R6release","")</f>
        <v/>
      </c>
      <c r="G82" s="91"/>
      <c r="H82" s="91" t="str">
        <f>VLOOKUP(B82,[1]characters!$A:$C,3,FALSE)</f>
        <v>天織羽鶴 ハヅル</v>
      </c>
      <c r="I82" s="91" t="str">
        <f>VLOOKUP(B82,[1]characters!$A:$J,10,FALSE)</f>
        <v>PremiumSS</v>
      </c>
      <c r="J82" s="91">
        <f>VLOOKUP(B82,[1]characters!$A:$I,9,FALSE)</f>
        <v>5</v>
      </c>
      <c r="K82" s="91" t="str">
        <f>VLOOKUP(B82,[1]characters!$A:$H,8,FALSE)</f>
        <v>red</v>
      </c>
      <c r="L82" s="91" t="str">
        <f>VLOOKUP(B82,[1]characters!$A:$K,11,FALSE)</f>
        <v>balance</v>
      </c>
      <c r="M82" s="91" t="str">
        <f>VLOOKUP(B82,[1]characters!$A:$M,13,FALSE)</f>
        <v>animal</v>
      </c>
      <c r="N82" s="91" t="str">
        <f>VLOOKUP(B82,[1]characters!$A:$G,7,FALSE)</f>
        <v>女性</v>
      </c>
      <c r="O82" s="47">
        <f t="shared" si="24"/>
        <v>17</v>
      </c>
      <c r="P82" s="48">
        <f t="shared" si="17"/>
        <v>1.6986410871302957E-3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90">
        <v>345100</v>
      </c>
      <c r="B83" s="62">
        <v>773</v>
      </c>
      <c r="C83" s="91" t="str">
        <f t="shared" si="22"/>
        <v>PremiumSS5</v>
      </c>
      <c r="D83" s="91" t="str">
        <f t="shared" si="23"/>
        <v>PremiumSS</v>
      </c>
      <c r="E83" s="91" t="str">
        <f>IF(COUNTIF('R6追加前'!A:A,B83)=0,IF(I83="PremiumSS","R5only","R3less"),"")</f>
        <v/>
      </c>
      <c r="F83" s="91" t="str">
        <f>IF(COUNTIF('R6開放'!A:A,B83)&gt;0,"R6release","")</f>
        <v/>
      </c>
      <c r="G83" s="91"/>
      <c r="H83" s="91" t="str">
        <f>VLOOKUP(B83,[1]characters!$A:$C,3,FALSE)</f>
        <v>浮跳天兎 イナバ</v>
      </c>
      <c r="I83" s="91" t="str">
        <f>VLOOKUP(B83,[1]characters!$A:$J,10,FALSE)</f>
        <v>PremiumSS</v>
      </c>
      <c r="J83" s="91">
        <f>VLOOKUP(B83,[1]characters!$A:$I,9,FALSE)</f>
        <v>5</v>
      </c>
      <c r="K83" s="91" t="str">
        <f>VLOOKUP(B83,[1]characters!$A:$H,8,FALSE)</f>
        <v>green</v>
      </c>
      <c r="L83" s="91" t="str">
        <f>VLOOKUP(B83,[1]characters!$A:$K,11,FALSE)</f>
        <v>balance</v>
      </c>
      <c r="M83" s="91" t="str">
        <f>VLOOKUP(B83,[1]characters!$A:$M,13,FALSE)</f>
        <v>animal</v>
      </c>
      <c r="N83" s="91" t="str">
        <f>VLOOKUP(B83,[1]characters!$A:$G,7,FALSE)</f>
        <v>女性</v>
      </c>
      <c r="O83" s="47">
        <f t="shared" si="24"/>
        <v>17</v>
      </c>
      <c r="P83" s="48">
        <f t="shared" si="17"/>
        <v>1.6986410871302957E-3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90">
        <v>345100</v>
      </c>
      <c r="B84" s="62">
        <v>776</v>
      </c>
      <c r="C84" s="91" t="str">
        <f t="shared" si="22"/>
        <v>Premium5</v>
      </c>
      <c r="D84" s="91" t="str">
        <f t="shared" si="23"/>
        <v>Premium</v>
      </c>
      <c r="E84" s="91" t="str">
        <f>IF(COUNTIF('R6追加前'!A:A,B84)=0,IF(I84="PremiumSS","R5only","R3less"),"")</f>
        <v/>
      </c>
      <c r="F84" s="91" t="str">
        <f>IF(COUNTIF('R6開放'!A:A,B84)&gt;0,"R6release","")</f>
        <v/>
      </c>
      <c r="G84" s="91"/>
      <c r="H84" s="91" t="str">
        <f>VLOOKUP(B84,[1]characters!$A:$C,3,FALSE)</f>
        <v>水竜底主 ミズチ</v>
      </c>
      <c r="I84" s="91" t="str">
        <f>VLOOKUP(B84,[1]characters!$A:$J,10,FALSE)</f>
        <v>PremiumS</v>
      </c>
      <c r="J84" s="91">
        <f>VLOOKUP(B84,[1]characters!$A:$I,9,FALSE)</f>
        <v>5</v>
      </c>
      <c r="K84" s="91" t="str">
        <f>VLOOKUP(B84,[1]characters!$A:$H,8,FALSE)</f>
        <v>blue</v>
      </c>
      <c r="L84" s="91" t="str">
        <f>VLOOKUP(B84,[1]characters!$A:$K,11,FALSE)</f>
        <v>heal</v>
      </c>
      <c r="M84" s="91" t="str">
        <f>VLOOKUP(B84,[1]characters!$A:$M,13,FALSE)</f>
        <v>dragon</v>
      </c>
      <c r="N84" s="91" t="str">
        <f>VLOOKUP(B84,[1]characters!$A:$G,7,FALSE)</f>
        <v>不明</v>
      </c>
      <c r="O84" s="47">
        <f t="shared" ref="O84:O87" si="25">ROUND(0.93*10000/COUNTIFS(D:D,"Premium",F:F,"&lt;&gt;R6release"),0)</f>
        <v>166</v>
      </c>
      <c r="P84" s="48">
        <f t="shared" si="17"/>
        <v>1.6586730615507594E-2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90">
        <v>345100</v>
      </c>
      <c r="B85" s="62">
        <v>779</v>
      </c>
      <c r="C85" s="91" t="str">
        <f t="shared" si="22"/>
        <v>Premium5</v>
      </c>
      <c r="D85" s="91" t="str">
        <f t="shared" si="23"/>
        <v>Premium</v>
      </c>
      <c r="E85" s="91" t="str">
        <f>IF(COUNTIF('R6追加前'!A:A,B85)=0,IF(I85="PremiumSS","R5only","R3less"),"")</f>
        <v/>
      </c>
      <c r="F85" s="91" t="str">
        <f>IF(COUNTIF('R6開放'!A:A,B85)&gt;0,"R6release","")</f>
        <v/>
      </c>
      <c r="G85" s="91"/>
      <c r="H85" s="91" t="str">
        <f>VLOOKUP(B85,[1]characters!$A:$C,3,FALSE)</f>
        <v>頑堅咬亀 ガメック</v>
      </c>
      <c r="I85" s="91" t="str">
        <f>VLOOKUP(B85,[1]characters!$A:$J,10,FALSE)</f>
        <v>PremiumS</v>
      </c>
      <c r="J85" s="91">
        <f>VLOOKUP(B85,[1]characters!$A:$I,9,FALSE)</f>
        <v>5</v>
      </c>
      <c r="K85" s="91" t="str">
        <f>VLOOKUP(B85,[1]characters!$A:$H,8,FALSE)</f>
        <v>yellow</v>
      </c>
      <c r="L85" s="91" t="str">
        <f>VLOOKUP(B85,[1]characters!$A:$K,11,FALSE)</f>
        <v>hp</v>
      </c>
      <c r="M85" s="91" t="str">
        <f>VLOOKUP(B85,[1]characters!$A:$M,13,FALSE)</f>
        <v>animal</v>
      </c>
      <c r="N85" s="91" t="str">
        <f>VLOOKUP(B85,[1]characters!$A:$G,7,FALSE)</f>
        <v>不明</v>
      </c>
      <c r="O85" s="47">
        <f t="shared" si="25"/>
        <v>166</v>
      </c>
      <c r="P85" s="48">
        <f t="shared" si="17"/>
        <v>1.6586730615507594E-2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90">
        <v>345100</v>
      </c>
      <c r="B86" s="62">
        <v>729</v>
      </c>
      <c r="C86" s="91" t="str">
        <f t="shared" si="22"/>
        <v>Premium5R3less</v>
      </c>
      <c r="D86" s="91" t="str">
        <f t="shared" si="23"/>
        <v>Premium</v>
      </c>
      <c r="E86" s="91" t="str">
        <f>IF(COUNTIF('R6追加前'!A:A,B86)=0,IF(I86="PremiumSS","R5only","R3less"),"")</f>
        <v>R3less</v>
      </c>
      <c r="F86" s="91" t="str">
        <f>IF(COUNTIF('R6開放'!A:A,B86)&gt;0,"R6release","")</f>
        <v/>
      </c>
      <c r="G86" s="91"/>
      <c r="H86" s="91" t="str">
        <f>VLOOKUP(B86,[1]characters!$A:$C,3,FALSE)</f>
        <v>暗厄の双刀 井伊直虎</v>
      </c>
      <c r="I86" s="91" t="str">
        <f>VLOOKUP(B86,[1]characters!$A:$J,10,FALSE)</f>
        <v>PremiumS</v>
      </c>
      <c r="J86" s="91">
        <f>VLOOKUP(B86,[1]characters!$A:$I,9,FALSE)</f>
        <v>5</v>
      </c>
      <c r="K86" s="91" t="str">
        <f>VLOOKUP(B86,[1]characters!$A:$H,8,FALSE)</f>
        <v>red</v>
      </c>
      <c r="L86" s="91" t="str">
        <f>VLOOKUP(B86,[1]characters!$A:$K,11,FALSE)</f>
        <v>balance</v>
      </c>
      <c r="M86" s="91" t="str">
        <f>VLOOKUP(B86,[1]characters!$A:$M,13,FALSE)</f>
        <v>human</v>
      </c>
      <c r="N86" s="91" t="str">
        <f>VLOOKUP(B86,[1]characters!$A:$G,7,FALSE)</f>
        <v>女性</v>
      </c>
      <c r="O86" s="47">
        <f t="shared" si="25"/>
        <v>166</v>
      </c>
      <c r="P86" s="48">
        <f t="shared" si="17"/>
        <v>1.6586730615507594E-2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90">
        <v>345100</v>
      </c>
      <c r="B87" s="62">
        <v>731</v>
      </c>
      <c r="C87" s="91" t="str">
        <f t="shared" si="22"/>
        <v>Premium5R3less</v>
      </c>
      <c r="D87" s="91" t="str">
        <f t="shared" si="23"/>
        <v>Premium</v>
      </c>
      <c r="E87" s="91" t="str">
        <f>IF(COUNTIF('R6追加前'!A:A,B87)=0,IF(I87="PremiumSS","R5only","R3less"),"")</f>
        <v>R3less</v>
      </c>
      <c r="F87" s="91" t="str">
        <f>IF(COUNTIF('R6開放'!A:A,B87)&gt;0,"R6release","")</f>
        <v/>
      </c>
      <c r="G87" s="91"/>
      <c r="H87" s="91" t="str">
        <f>VLOOKUP(B87,[1]characters!$A:$C,3,FALSE)</f>
        <v>敬虔なる追銃 ガラシャ</v>
      </c>
      <c r="I87" s="91" t="str">
        <f>VLOOKUP(B87,[1]characters!$A:$J,10,FALSE)</f>
        <v>PremiumS</v>
      </c>
      <c r="J87" s="91">
        <f>VLOOKUP(B87,[1]characters!$A:$I,9,FALSE)</f>
        <v>5</v>
      </c>
      <c r="K87" s="91" t="str">
        <f>VLOOKUP(B87,[1]characters!$A:$H,8,FALSE)</f>
        <v>green</v>
      </c>
      <c r="L87" s="91" t="str">
        <f>VLOOKUP(B87,[1]characters!$A:$K,11,FALSE)</f>
        <v>heal</v>
      </c>
      <c r="M87" s="91" t="str">
        <f>VLOOKUP(B87,[1]characters!$A:$M,13,FALSE)</f>
        <v>human</v>
      </c>
      <c r="N87" s="91" t="str">
        <f>VLOOKUP(B87,[1]characters!$A:$G,7,FALSE)</f>
        <v>女性</v>
      </c>
      <c r="O87" s="47">
        <f t="shared" si="25"/>
        <v>166</v>
      </c>
      <c r="P87" s="48">
        <f t="shared" si="17"/>
        <v>1.6586730615507594E-2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90">
        <v>345100</v>
      </c>
      <c r="B88" s="62">
        <v>732</v>
      </c>
      <c r="C88" s="91" t="str">
        <f t="shared" si="22"/>
        <v>PremiumSS5R5only</v>
      </c>
      <c r="D88" s="91" t="str">
        <f t="shared" si="23"/>
        <v>PremiumSS</v>
      </c>
      <c r="E88" s="91" t="str">
        <f>IF(COUNTIF('R6追加前'!A:A,B88)=0,IF(I88="PremiumSS","R5only","R3less"),"")</f>
        <v>R5only</v>
      </c>
      <c r="F88" s="91" t="str">
        <f>IF(COUNTIF('R6開放'!A:A,B88)&gt;0,"R6release","")</f>
        <v/>
      </c>
      <c r="G88" s="91"/>
      <c r="H88" s="91" t="str">
        <f>VLOOKUP(B88,[1]characters!$A:$C,3,FALSE)</f>
        <v>上杉謙信</v>
      </c>
      <c r="I88" s="91" t="str">
        <f>VLOOKUP(B88,[1]characters!$A:$J,10,FALSE)</f>
        <v>PremiumSS</v>
      </c>
      <c r="J88" s="91">
        <f>VLOOKUP(B88,[1]characters!$A:$I,9,FALSE)</f>
        <v>5</v>
      </c>
      <c r="K88" s="91" t="str">
        <f>VLOOKUP(B88,[1]characters!$A:$H,8,FALSE)</f>
        <v>blue</v>
      </c>
      <c r="L88" s="91" t="str">
        <f>VLOOKUP(B88,[1]characters!$A:$K,11,FALSE)</f>
        <v>attack</v>
      </c>
      <c r="M88" s="91" t="str">
        <f>VLOOKUP(B88,[1]characters!$A:$M,13,FALSE)</f>
        <v>human</v>
      </c>
      <c r="N88" s="91" t="str">
        <f>VLOOKUP(B88,[1]characters!$A:$G,7,FALSE)</f>
        <v>女性</v>
      </c>
      <c r="O88" s="47">
        <f t="shared" ref="O88:O91" si="26">ROUND(0.06*10000/(COUNTIF(I:I,"PremiumSS")+COUNTIF(F:F,"R6release")),0)</f>
        <v>17</v>
      </c>
      <c r="P88" s="48">
        <f t="shared" si="17"/>
        <v>1.6986410871302957E-3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90">
        <v>345100</v>
      </c>
      <c r="B89" s="62">
        <v>734</v>
      </c>
      <c r="C89" s="91" t="str">
        <f t="shared" si="22"/>
        <v>PremiumSS5R5only</v>
      </c>
      <c r="D89" s="91" t="str">
        <f t="shared" si="23"/>
        <v>PremiumSS</v>
      </c>
      <c r="E89" s="91" t="str">
        <f>IF(COUNTIF('R6追加前'!A:A,B89)=0,IF(I89="PremiumSS","R5only","R3less"),"")</f>
        <v>R5only</v>
      </c>
      <c r="F89" s="91" t="str">
        <f>IF(COUNTIF('R6開放'!A:A,B89)&gt;0,"R6release","")</f>
        <v/>
      </c>
      <c r="G89" s="91"/>
      <c r="H89" s="91" t="str">
        <f>VLOOKUP(B89,[1]characters!$A:$C,3,FALSE)</f>
        <v>伊達政宗</v>
      </c>
      <c r="I89" s="91" t="str">
        <f>VLOOKUP(B89,[1]characters!$A:$J,10,FALSE)</f>
        <v>PremiumSS</v>
      </c>
      <c r="J89" s="91">
        <f>VLOOKUP(B89,[1]characters!$A:$I,9,FALSE)</f>
        <v>5</v>
      </c>
      <c r="K89" s="91" t="str">
        <f>VLOOKUP(B89,[1]characters!$A:$H,8,FALSE)</f>
        <v>yellow</v>
      </c>
      <c r="L89" s="91" t="str">
        <f>VLOOKUP(B89,[1]characters!$A:$K,11,FALSE)</f>
        <v>balance</v>
      </c>
      <c r="M89" s="91" t="str">
        <f>VLOOKUP(B89,[1]characters!$A:$M,13,FALSE)</f>
        <v>human</v>
      </c>
      <c r="N89" s="91" t="str">
        <f>VLOOKUP(B89,[1]characters!$A:$G,7,FALSE)</f>
        <v>男性</v>
      </c>
      <c r="O89" s="47">
        <f t="shared" si="26"/>
        <v>17</v>
      </c>
      <c r="P89" s="48">
        <f t="shared" si="17"/>
        <v>1.6986410871302957E-3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90">
        <v>345100</v>
      </c>
      <c r="B90" s="83">
        <v>848</v>
      </c>
      <c r="C90" s="91" t="str">
        <f t="shared" si="22"/>
        <v>PremiumSS5R5only</v>
      </c>
      <c r="D90" s="91" t="str">
        <f t="shared" si="23"/>
        <v>PremiumSS</v>
      </c>
      <c r="E90" s="91" t="str">
        <f>IF(COUNTIF('R6追加前'!A:A,B90)=0,IF(I90="PremiumSS","R5only","R3less"),"")</f>
        <v>R5only</v>
      </c>
      <c r="F90" s="91" t="str">
        <f>IF(COUNTIF('R6開放'!A:A,B90)&gt;0,"R6release","")</f>
        <v/>
      </c>
      <c r="G90" s="91"/>
      <c r="H90" s="91" t="str">
        <f>VLOOKUP(B90,[1]characters!$A:$C,3,FALSE)</f>
        <v>メタトロン</v>
      </c>
      <c r="I90" s="91" t="str">
        <f>VLOOKUP(B90,[1]characters!$A:$J,10,FALSE)</f>
        <v>PremiumSS</v>
      </c>
      <c r="J90" s="91">
        <f>VLOOKUP(B90,[1]characters!$A:$I,9,FALSE)</f>
        <v>5</v>
      </c>
      <c r="K90" s="91" t="str">
        <f>VLOOKUP(B90,[1]characters!$A:$H,8,FALSE)</f>
        <v>red</v>
      </c>
      <c r="L90" s="91" t="str">
        <f>VLOOKUP(B90,[1]characters!$A:$K,11,FALSE)</f>
        <v>balance</v>
      </c>
      <c r="M90" s="91" t="str">
        <f>VLOOKUP(B90,[1]characters!$A:$M,13,FALSE)</f>
        <v>god</v>
      </c>
      <c r="N90" s="91" t="str">
        <f>VLOOKUP(B90,[1]characters!$A:$G,7,FALSE)</f>
        <v>男性</v>
      </c>
      <c r="O90" s="47">
        <f t="shared" si="26"/>
        <v>17</v>
      </c>
      <c r="P90" s="48">
        <f t="shared" si="17"/>
        <v>1.6986410871302957E-3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90">
        <v>345100</v>
      </c>
      <c r="B91" s="83">
        <v>850</v>
      </c>
      <c r="C91" s="91" t="str">
        <f t="shared" si="22"/>
        <v>PremiumSS5R5only</v>
      </c>
      <c r="D91" s="91" t="str">
        <f t="shared" si="23"/>
        <v>PremiumSS</v>
      </c>
      <c r="E91" s="91" t="str">
        <f>IF(COUNTIF('R6追加前'!A:A,B91)=0,IF(I91="PremiumSS","R5only","R3less"),"")</f>
        <v>R5only</v>
      </c>
      <c r="F91" s="91" t="str">
        <f>IF(COUNTIF('R6開放'!A:A,B91)&gt;0,"R6release","")</f>
        <v/>
      </c>
      <c r="G91" s="91"/>
      <c r="H91" s="91" t="str">
        <f>VLOOKUP(B91,[1]characters!$A:$C,3,FALSE)</f>
        <v>バアル</v>
      </c>
      <c r="I91" s="91" t="str">
        <f>VLOOKUP(B91,[1]characters!$A:$J,10,FALSE)</f>
        <v>PremiumSS</v>
      </c>
      <c r="J91" s="91">
        <f>VLOOKUP(B91,[1]characters!$A:$I,9,FALSE)</f>
        <v>5</v>
      </c>
      <c r="K91" s="91" t="str">
        <f>VLOOKUP(B91,[1]characters!$A:$H,8,FALSE)</f>
        <v>green</v>
      </c>
      <c r="L91" s="91" t="str">
        <f>VLOOKUP(B91,[1]characters!$A:$K,11,FALSE)</f>
        <v>technical</v>
      </c>
      <c r="M91" s="91" t="str">
        <f>VLOOKUP(B91,[1]characters!$A:$M,13,FALSE)</f>
        <v>god</v>
      </c>
      <c r="N91" s="91" t="str">
        <f>VLOOKUP(B91,[1]characters!$A:$G,7,FALSE)</f>
        <v>男性</v>
      </c>
      <c r="O91" s="47">
        <f t="shared" si="26"/>
        <v>17</v>
      </c>
      <c r="P91" s="48">
        <f t="shared" si="17"/>
        <v>1.6986410871302957E-3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90">
        <v>345100</v>
      </c>
      <c r="B92" s="83">
        <v>853</v>
      </c>
      <c r="C92" s="91" t="str">
        <f t="shared" si="22"/>
        <v>Premium5R3less</v>
      </c>
      <c r="D92" s="91" t="str">
        <f t="shared" si="23"/>
        <v>Premium</v>
      </c>
      <c r="E92" s="91" t="str">
        <f>IF(COUNTIF('R6追加前'!A:A,B92)=0,IF(I92="PremiumSS","R5only","R3less"),"")</f>
        <v>R3less</v>
      </c>
      <c r="F92" s="91" t="str">
        <f>IF(COUNTIF('R6開放'!A:A,B92)&gt;0,"R6release","")</f>
        <v/>
      </c>
      <c r="G92" s="91"/>
      <c r="H92" s="91" t="str">
        <f>VLOOKUP(B92,[1]characters!$A:$C,3,FALSE)</f>
        <v>裂爪の天使 サキエル・ティア</v>
      </c>
      <c r="I92" s="91" t="str">
        <f>VLOOKUP(B92,[1]characters!$A:$J,10,FALSE)</f>
        <v>PremiumS</v>
      </c>
      <c r="J92" s="91">
        <f>VLOOKUP(B92,[1]characters!$A:$I,9,FALSE)</f>
        <v>5</v>
      </c>
      <c r="K92" s="91" t="str">
        <f>VLOOKUP(B92,[1]characters!$A:$H,8,FALSE)</f>
        <v>blue</v>
      </c>
      <c r="L92" s="91" t="str">
        <f>VLOOKUP(B92,[1]characters!$A:$K,11,FALSE)</f>
        <v>hp</v>
      </c>
      <c r="M92" s="91" t="str">
        <f>VLOOKUP(B92,[1]characters!$A:$M,13,FALSE)</f>
        <v>god</v>
      </c>
      <c r="N92" s="91" t="str">
        <f>VLOOKUP(B92,[1]characters!$A:$G,7,FALSE)</f>
        <v>男性</v>
      </c>
      <c r="O92" s="47">
        <f t="shared" ref="O92:O93" si="27">ROUND(0.93*10000/COUNTIFS(D:D,"Premium",F:F,"&lt;&gt;R6release"),0)</f>
        <v>166</v>
      </c>
      <c r="P92" s="48">
        <f t="shared" si="17"/>
        <v>1.6586730615507594E-2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90">
        <v>345100</v>
      </c>
      <c r="B93" s="83">
        <v>855</v>
      </c>
      <c r="C93" s="91" t="str">
        <f t="shared" si="22"/>
        <v>Premium5R3less</v>
      </c>
      <c r="D93" s="91" t="str">
        <f t="shared" si="23"/>
        <v>Premium</v>
      </c>
      <c r="E93" s="91" t="str">
        <f>IF(COUNTIF('R6追加前'!A:A,B93)=0,IF(I93="PremiumSS","R5only","R3less"),"")</f>
        <v>R3less</v>
      </c>
      <c r="F93" s="91" t="str">
        <f>IF(COUNTIF('R6開放'!A:A,B93)&gt;0,"R6release","")</f>
        <v/>
      </c>
      <c r="G93" s="91"/>
      <c r="H93" s="91" t="str">
        <f>VLOOKUP(B93,[1]characters!$A:$C,3,FALSE)</f>
        <v>豹魔の侠客 フラウロス</v>
      </c>
      <c r="I93" s="91" t="str">
        <f>VLOOKUP(B93,[1]characters!$A:$J,10,FALSE)</f>
        <v>PremiumS</v>
      </c>
      <c r="J93" s="91">
        <f>VLOOKUP(B93,[1]characters!$A:$I,9,FALSE)</f>
        <v>5</v>
      </c>
      <c r="K93" s="91" t="str">
        <f>VLOOKUP(B93,[1]characters!$A:$H,8,FALSE)</f>
        <v>yellow</v>
      </c>
      <c r="L93" s="91" t="str">
        <f>VLOOKUP(B93,[1]characters!$A:$K,11,FALSE)</f>
        <v>attack</v>
      </c>
      <c r="M93" s="91" t="str">
        <f>VLOOKUP(B93,[1]characters!$A:$M,13,FALSE)</f>
        <v>animal</v>
      </c>
      <c r="N93" s="91" t="str">
        <f>VLOOKUP(B93,[1]characters!$A:$G,7,FALSE)</f>
        <v>男性</v>
      </c>
      <c r="O93" s="47">
        <f t="shared" si="27"/>
        <v>166</v>
      </c>
      <c r="P93" s="48">
        <f t="shared" si="17"/>
        <v>1.6586730615507594E-2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90">
        <v>345100</v>
      </c>
      <c r="B94" s="83">
        <v>379</v>
      </c>
      <c r="C94" s="91" t="str">
        <f t="shared" si="22"/>
        <v>PremiumSSS5R3less</v>
      </c>
      <c r="D94" s="91" t="str">
        <f t="shared" si="23"/>
        <v>PremiumSSS</v>
      </c>
      <c r="E94" s="91" t="str">
        <f>IF(COUNTIF('R6追加前'!A:A,B94)=0,IF(I94="PremiumSS","R5only","R3less"),"")</f>
        <v>R3less</v>
      </c>
      <c r="F94" s="91" t="str">
        <f>IF(COUNTIF('R6開放'!A:A,B94)&gt;0,"R6release","")</f>
        <v/>
      </c>
      <c r="G94" s="91"/>
      <c r="H94" s="91" t="str">
        <f>VLOOKUP(B94,[1]characters!$A:$C,3,FALSE)</f>
        <v>幾何の機刃 オイラー</v>
      </c>
      <c r="I94" s="91" t="str">
        <f>VLOOKUP(B94,[1]characters!$A:$J,10,FALSE)</f>
        <v>PremiumSSS</v>
      </c>
      <c r="J94" s="91">
        <f>VLOOKUP(B94,[1]characters!$A:$I,9,FALSE)</f>
        <v>5</v>
      </c>
      <c r="K94" s="91" t="str">
        <f>VLOOKUP(B94,[1]characters!$A:$H,8,FALSE)</f>
        <v>green</v>
      </c>
      <c r="L94" s="91" t="str">
        <f>VLOOKUP(B94,[1]characters!$A:$K,11,FALSE)</f>
        <v>balance</v>
      </c>
      <c r="M94" s="91" t="str">
        <f>VLOOKUP(B94,[1]characters!$A:$M,13,FALSE)</f>
        <v>human</v>
      </c>
      <c r="N94" s="91" t="str">
        <f>VLOOKUP(B94,[1]characters!$A:$G,7,FALSE)</f>
        <v>女性</v>
      </c>
      <c r="O94" s="47">
        <f>ROUND(0.01*10000*0.15,0)</f>
        <v>15</v>
      </c>
      <c r="P94" s="48">
        <f t="shared" si="17"/>
        <v>1.4988009592326139E-3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90">
        <v>345100</v>
      </c>
      <c r="B95" s="83">
        <v>689</v>
      </c>
      <c r="C95" s="91" t="str">
        <f t="shared" ref="C95:C97" si="28">D95&amp;J95&amp;E95&amp;F95&amp;G95</f>
        <v>PremiumSSS5R3less</v>
      </c>
      <c r="D95" s="91" t="str">
        <f t="shared" ref="D95:D97" si="29">IF(I95="PremiumSS",I95,IF(I95="PremiumSSS",I95,IF(I95="PremiumW",I95,"Premium")))</f>
        <v>PremiumSSS</v>
      </c>
      <c r="E95" s="91" t="str">
        <f>IF(COUNTIF('R6追加前'!A:A,B95)=0,IF(I95="PremiumSS","R5only","R3less"),"")</f>
        <v>R3less</v>
      </c>
      <c r="F95" s="91" t="str">
        <f>IF(COUNTIF('R6開放'!A:A,B95)&gt;0,"R6release","")</f>
        <v/>
      </c>
      <c r="G95" s="91"/>
      <c r="H95" s="91" t="str">
        <f>VLOOKUP(B95,[1]characters!$A:$C,3,FALSE)</f>
        <v>根原論理 ユークリッド</v>
      </c>
      <c r="I95" s="91" t="str">
        <f>VLOOKUP(B95,[1]characters!$A:$J,10,FALSE)</f>
        <v>PremiumSSS</v>
      </c>
      <c r="J95" s="91">
        <f>VLOOKUP(B95,[1]characters!$A:$I,9,FALSE)</f>
        <v>5</v>
      </c>
      <c r="K95" s="91" t="str">
        <f>VLOOKUP(B95,[1]characters!$A:$H,8,FALSE)</f>
        <v>blue</v>
      </c>
      <c r="L95" s="91" t="str">
        <f>VLOOKUP(B95,[1]characters!$A:$K,11,FALSE)</f>
        <v>balance</v>
      </c>
      <c r="M95" s="91" t="str">
        <f>VLOOKUP(B95,[1]characters!$A:$M,13,FALSE)</f>
        <v>human</v>
      </c>
      <c r="N95" s="91" t="str">
        <f>VLOOKUP(B95,[1]characters!$A:$G,7,FALSE)</f>
        <v>女性</v>
      </c>
      <c r="O95" s="47">
        <f>ROUND(0.01*10000*0.15,0)</f>
        <v>15</v>
      </c>
      <c r="P95" s="48">
        <f t="shared" si="17"/>
        <v>1.4988009592326139E-3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90">
        <v>345100</v>
      </c>
      <c r="B96" s="83">
        <v>760</v>
      </c>
      <c r="C96" s="91" t="str">
        <f t="shared" si="28"/>
        <v>PremiumSSS5R3less</v>
      </c>
      <c r="D96" s="91" t="str">
        <f t="shared" si="29"/>
        <v>PremiumSSS</v>
      </c>
      <c r="E96" s="91" t="str">
        <f>IF(COUNTIF('R6追加前'!A:A,B96)=0,IF(I96="PremiumSS","R5only","R3less"),"")</f>
        <v>R3less</v>
      </c>
      <c r="F96" s="91" t="str">
        <f>IF(COUNTIF('R6開放'!A:A,B96)&gt;0,"R6release","")</f>
        <v/>
      </c>
      <c r="G96" s="91"/>
      <c r="H96" s="91" t="str">
        <f>VLOOKUP(B96,[1]characters!$A:$C,3,FALSE)</f>
        <v>限論顕現 クロネッカー</v>
      </c>
      <c r="I96" s="91" t="str">
        <f>VLOOKUP(B96,[1]characters!$A:$J,10,FALSE)</f>
        <v>PremiumSSS</v>
      </c>
      <c r="J96" s="91">
        <f>VLOOKUP(B96,[1]characters!$A:$I,9,FALSE)</f>
        <v>5</v>
      </c>
      <c r="K96" s="91" t="str">
        <f>VLOOKUP(B96,[1]characters!$A:$H,8,FALSE)</f>
        <v>yellow</v>
      </c>
      <c r="L96" s="91" t="str">
        <f>VLOOKUP(B96,[1]characters!$A:$K,11,FALSE)</f>
        <v>balance</v>
      </c>
      <c r="M96" s="91" t="str">
        <f>VLOOKUP(B96,[1]characters!$A:$M,13,FALSE)</f>
        <v>human</v>
      </c>
      <c r="N96" s="91" t="str">
        <f>VLOOKUP(B96,[1]characters!$A:$G,7,FALSE)</f>
        <v>男性</v>
      </c>
      <c r="O96" s="47">
        <f>ROUND(0.01*10000*0.15,0)</f>
        <v>15</v>
      </c>
      <c r="P96" s="48">
        <f t="shared" si="17"/>
        <v>1.4988009592326139E-3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90">
        <v>345100</v>
      </c>
      <c r="B97" s="83">
        <v>485</v>
      </c>
      <c r="C97" s="91" t="str">
        <f t="shared" si="28"/>
        <v>PremiumSSS5R3less</v>
      </c>
      <c r="D97" s="91" t="str">
        <f t="shared" si="29"/>
        <v>PremiumSSS</v>
      </c>
      <c r="E97" s="91" t="str">
        <f>IF(COUNTIF('R6追加前'!A:A,B97)=0,IF(I97="PremiumSS","R5only","R3less"),"")</f>
        <v>R3less</v>
      </c>
      <c r="F97" s="91" t="str">
        <f>IF(COUNTIF('R6開放'!A:A,B97)&gt;0,"R6release","")</f>
        <v/>
      </c>
      <c r="G97" s="91"/>
      <c r="H97" s="91" t="str">
        <f>VLOOKUP(B97,[1]characters!$A:$C,3,FALSE)</f>
        <v>超越自我 ラグランジュ</v>
      </c>
      <c r="I97" s="91" t="str">
        <f>VLOOKUP(B97,[1]characters!$A:$J,10,FALSE)</f>
        <v>PremiumSSS</v>
      </c>
      <c r="J97" s="91">
        <f>VLOOKUP(B97,[1]characters!$A:$I,9,FALSE)</f>
        <v>5</v>
      </c>
      <c r="K97" s="91" t="str">
        <f>VLOOKUP(B97,[1]characters!$A:$H,8,FALSE)</f>
        <v>red</v>
      </c>
      <c r="L97" s="91" t="str">
        <f>VLOOKUP(B97,[1]characters!$A:$K,11,FALSE)</f>
        <v>technical</v>
      </c>
      <c r="M97" s="91" t="str">
        <f>VLOOKUP(B97,[1]characters!$A:$M,13,FALSE)</f>
        <v>human</v>
      </c>
      <c r="N97" s="91" t="str">
        <f>VLOOKUP(B97,[1]characters!$A:$G,7,FALSE)</f>
        <v>女性</v>
      </c>
      <c r="O97" s="47">
        <f>ROUND(0.01*10000*0.55,0)</f>
        <v>55</v>
      </c>
      <c r="P97" s="48">
        <f t="shared" si="17"/>
        <v>5.4956035171862512E-3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</sheetData>
  <autoFilter ref="A1:V9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input_339010</vt:lpstr>
      <vt:lpstr>tables_339010</vt:lpstr>
      <vt:lpstr>input_345100</vt:lpstr>
      <vt:lpstr>tables_345100</vt:lpstr>
      <vt:lpstr>tables_settle_345100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2016-05-18T04:30:50Z</dcterms:modified>
</cp:coreProperties>
</file>