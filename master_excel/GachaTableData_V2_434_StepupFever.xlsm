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8"/>
  </bookViews>
  <sheets>
    <sheet name="確率の考え方" sheetId="110" r:id="rId1"/>
    <sheet name="Sheet1" sheetId="107" r:id="rId2"/>
    <sheet name="output" sheetId="103" r:id="rId3"/>
    <sheet name="input_434100" sheetId="153" r:id="rId4"/>
    <sheet name="tables_434100" sheetId="154" r:id="rId5"/>
    <sheet name="input_434101" sheetId="163" r:id="rId6"/>
    <sheet name="tables_434101" sheetId="165" r:id="rId7"/>
    <sheet name="tables_settle_434104" sheetId="162" r:id="rId8"/>
    <sheet name="tables_settle_434105" sheetId="159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tables_434100!$A$1:$V$294</definedName>
    <definedName name="_xlnm._FilterDatabase" localSheetId="6" hidden="1">tables_434101!$A$1:$V$294</definedName>
    <definedName name="_xlnm._FilterDatabase" localSheetId="7" hidden="1">tables_settle_434104!$A$1:$V$1</definedName>
    <definedName name="_xlnm._FilterDatabase" localSheetId="8" hidden="1">tables_settle_434105!$A$1:$V$1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3" l="1"/>
  <c r="B29" i="153"/>
  <c r="B28" i="153"/>
  <c r="B27" i="153"/>
  <c r="B26" i="153"/>
  <c r="B25" i="153"/>
  <c r="B24" i="153"/>
  <c r="B23" i="153"/>
  <c r="B22" i="153"/>
  <c r="B21" i="153"/>
  <c r="B20" i="153"/>
  <c r="B19" i="153"/>
  <c r="B17" i="153"/>
  <c r="B18" i="153"/>
  <c r="A2" i="153"/>
  <c r="G26" i="153"/>
  <c r="H26" i="153"/>
  <c r="O44" i="154"/>
  <c r="O47" i="154"/>
  <c r="O50" i="154"/>
  <c r="E35" i="153"/>
  <c r="G21" i="153"/>
  <c r="H21" i="153"/>
  <c r="O53" i="154"/>
  <c r="G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O45" i="154"/>
  <c r="O46" i="154"/>
  <c r="O48" i="154"/>
  <c r="O49" i="154"/>
  <c r="G19" i="153"/>
  <c r="H19" i="153"/>
  <c r="O51" i="154"/>
  <c r="G20" i="153"/>
  <c r="H20" i="153"/>
  <c r="O52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F42" i="153"/>
  <c r="G42" i="153"/>
  <c r="F36" i="153"/>
  <c r="E36" i="153"/>
  <c r="F34" i="153"/>
  <c r="F41" i="153"/>
  <c r="G41" i="153"/>
  <c r="F33" i="153"/>
  <c r="B21" i="163"/>
  <c r="E36" i="163"/>
  <c r="B29" i="163"/>
  <c r="B26" i="163"/>
  <c r="B23" i="163"/>
  <c r="A2" i="163"/>
  <c r="G26" i="163"/>
  <c r="H26" i="163"/>
  <c r="O44" i="165"/>
  <c r="O47" i="165"/>
  <c r="O50" i="165"/>
  <c r="G21" i="163"/>
  <c r="H21" i="163"/>
  <c r="O53" i="165"/>
  <c r="O2" i="165"/>
  <c r="O3" i="165"/>
  <c r="O4" i="165"/>
  <c r="O5" i="165"/>
  <c r="O6" i="165"/>
  <c r="O7" i="165"/>
  <c r="O8" i="165"/>
  <c r="O9" i="165"/>
  <c r="O10" i="165"/>
  <c r="O11" i="165"/>
  <c r="O12" i="165"/>
  <c r="O13" i="165"/>
  <c r="O14" i="165"/>
  <c r="O15" i="165"/>
  <c r="O16" i="165"/>
  <c r="O17" i="165"/>
  <c r="O18" i="165"/>
  <c r="O19" i="165"/>
  <c r="O20" i="165"/>
  <c r="O21" i="165"/>
  <c r="O22" i="165"/>
  <c r="O23" i="165"/>
  <c r="O24" i="165"/>
  <c r="O25" i="165"/>
  <c r="O26" i="165"/>
  <c r="O27" i="165"/>
  <c r="O28" i="165"/>
  <c r="O29" i="165"/>
  <c r="O30" i="165"/>
  <c r="O31" i="165"/>
  <c r="O32" i="165"/>
  <c r="O33" i="165"/>
  <c r="O34" i="165"/>
  <c r="O35" i="165"/>
  <c r="O36" i="165"/>
  <c r="O37" i="165"/>
  <c r="O38" i="165"/>
  <c r="O39" i="165"/>
  <c r="O40" i="165"/>
  <c r="O41" i="165"/>
  <c r="O42" i="165"/>
  <c r="O43" i="165"/>
  <c r="O45" i="165"/>
  <c r="O46" i="165"/>
  <c r="O48" i="165"/>
  <c r="O49" i="165"/>
  <c r="O51" i="165"/>
  <c r="B20" i="163"/>
  <c r="G20" i="163"/>
  <c r="H20" i="163"/>
  <c r="O52" i="165"/>
  <c r="O54" i="165"/>
  <c r="O55" i="165"/>
  <c r="O56" i="165"/>
  <c r="O57" i="165"/>
  <c r="O58" i="165"/>
  <c r="O59" i="165"/>
  <c r="O60" i="165"/>
  <c r="O61" i="165"/>
  <c r="O62" i="165"/>
  <c r="O63" i="165"/>
  <c r="O64" i="165"/>
  <c r="O65" i="165"/>
  <c r="O66" i="165"/>
  <c r="O67" i="165"/>
  <c r="O68" i="165"/>
  <c r="O69" i="165"/>
  <c r="O70" i="165"/>
  <c r="O71" i="165"/>
  <c r="O72" i="165"/>
  <c r="O73" i="165"/>
  <c r="O74" i="165"/>
  <c r="O75" i="165"/>
  <c r="O76" i="165"/>
  <c r="O77" i="165"/>
  <c r="O78" i="165"/>
  <c r="O79" i="165"/>
  <c r="O80" i="165"/>
  <c r="O81" i="165"/>
  <c r="O82" i="165"/>
  <c r="O83" i="165"/>
  <c r="O84" i="165"/>
  <c r="O85" i="165"/>
  <c r="O86" i="165"/>
  <c r="O87" i="165"/>
  <c r="O88" i="165"/>
  <c r="O89" i="165"/>
  <c r="O90" i="165"/>
  <c r="O91" i="165"/>
  <c r="O92" i="165"/>
  <c r="O93" i="165"/>
  <c r="O94" i="165"/>
  <c r="O95" i="165"/>
  <c r="O96" i="165"/>
  <c r="O97" i="165"/>
  <c r="O98" i="165"/>
  <c r="O99" i="165"/>
  <c r="O100" i="165"/>
  <c r="O101" i="165"/>
  <c r="O102" i="165"/>
  <c r="O103" i="165"/>
  <c r="O104" i="165"/>
  <c r="O105" i="165"/>
  <c r="O106" i="165"/>
  <c r="O107" i="165"/>
  <c r="O108" i="165"/>
  <c r="O109" i="165"/>
  <c r="O110" i="165"/>
  <c r="O111" i="165"/>
  <c r="O112" i="165"/>
  <c r="O113" i="165"/>
  <c r="O114" i="165"/>
  <c r="O115" i="165"/>
  <c r="O116" i="165"/>
  <c r="O117" i="165"/>
  <c r="O118" i="165"/>
  <c r="O119" i="165"/>
  <c r="O120" i="165"/>
  <c r="O121" i="165"/>
  <c r="O122" i="165"/>
  <c r="O123" i="165"/>
  <c r="O124" i="165"/>
  <c r="O125" i="165"/>
  <c r="O126" i="165"/>
  <c r="O127" i="165"/>
  <c r="O128" i="165"/>
  <c r="O129" i="165"/>
  <c r="O130" i="165"/>
  <c r="O131" i="165"/>
  <c r="O132" i="165"/>
  <c r="O133" i="165"/>
  <c r="O134" i="165"/>
  <c r="O135" i="165"/>
  <c r="O136" i="165"/>
  <c r="O137" i="165"/>
  <c r="B27" i="163"/>
  <c r="G27" i="163"/>
  <c r="H27" i="163"/>
  <c r="O138" i="165"/>
  <c r="O139" i="165"/>
  <c r="O140" i="165"/>
  <c r="O141" i="165"/>
  <c r="O142" i="165"/>
  <c r="O143" i="165"/>
  <c r="O144" i="165"/>
  <c r="O145" i="165"/>
  <c r="O146" i="165"/>
  <c r="O147" i="165"/>
  <c r="O148" i="165"/>
  <c r="O149" i="165"/>
  <c r="O150" i="165"/>
  <c r="O151" i="165"/>
  <c r="O152" i="165"/>
  <c r="O153" i="165"/>
  <c r="O154" i="165"/>
  <c r="O155" i="165"/>
  <c r="O156" i="165"/>
  <c r="O157" i="165"/>
  <c r="O158" i="165"/>
  <c r="O159" i="165"/>
  <c r="O160" i="165"/>
  <c r="O161" i="165"/>
  <c r="O162" i="165"/>
  <c r="O163" i="165"/>
  <c r="O164" i="165"/>
  <c r="O165" i="165"/>
  <c r="O166" i="165"/>
  <c r="O167" i="165"/>
  <c r="O168" i="165"/>
  <c r="O169" i="165"/>
  <c r="O170" i="165"/>
  <c r="O171" i="165"/>
  <c r="O172" i="165"/>
  <c r="O173" i="165"/>
  <c r="O174" i="165"/>
  <c r="O175" i="165"/>
  <c r="O176" i="165"/>
  <c r="O177" i="165"/>
  <c r="O178" i="165"/>
  <c r="O179" i="165"/>
  <c r="O180" i="165"/>
  <c r="O181" i="165"/>
  <c r="O182" i="165"/>
  <c r="O183" i="165"/>
  <c r="O184" i="165"/>
  <c r="O185" i="165"/>
  <c r="O186" i="165"/>
  <c r="O187" i="165"/>
  <c r="O188" i="165"/>
  <c r="O189" i="165"/>
  <c r="O190" i="165"/>
  <c r="O191" i="165"/>
  <c r="O192" i="165"/>
  <c r="O193" i="165"/>
  <c r="O194" i="165"/>
  <c r="O195" i="165"/>
  <c r="O196" i="165"/>
  <c r="O197" i="165"/>
  <c r="O198" i="165"/>
  <c r="O199" i="165"/>
  <c r="O200" i="165"/>
  <c r="O201" i="165"/>
  <c r="O202" i="165"/>
  <c r="O203" i="165"/>
  <c r="O204" i="165"/>
  <c r="O205" i="165"/>
  <c r="O206" i="165"/>
  <c r="O207" i="165"/>
  <c r="O208" i="165"/>
  <c r="O209" i="165"/>
  <c r="O210" i="165"/>
  <c r="O211" i="165"/>
  <c r="O212" i="165"/>
  <c r="O213" i="165"/>
  <c r="O214" i="165"/>
  <c r="O215" i="165"/>
  <c r="O216" i="165"/>
  <c r="O217" i="165"/>
  <c r="O218" i="165"/>
  <c r="O219" i="165"/>
  <c r="O220" i="165"/>
  <c r="O221" i="165"/>
  <c r="O222" i="165"/>
  <c r="O223" i="165"/>
  <c r="O224" i="165"/>
  <c r="O225" i="165"/>
  <c r="O226" i="165"/>
  <c r="O227" i="165"/>
  <c r="O228" i="165"/>
  <c r="O229" i="165"/>
  <c r="O230" i="165"/>
  <c r="O231" i="165"/>
  <c r="O232" i="165"/>
  <c r="O233" i="165"/>
  <c r="O234" i="165"/>
  <c r="O235" i="165"/>
  <c r="O236" i="165"/>
  <c r="O237" i="165"/>
  <c r="O238" i="165"/>
  <c r="O239" i="165"/>
  <c r="O240" i="165"/>
  <c r="O241" i="165"/>
  <c r="O242" i="165"/>
  <c r="O243" i="165"/>
  <c r="O244" i="165"/>
  <c r="O245" i="165"/>
  <c r="O246" i="165"/>
  <c r="O247" i="165"/>
  <c r="O248" i="165"/>
  <c r="O249" i="165"/>
  <c r="O250" i="165"/>
  <c r="O251" i="165"/>
  <c r="O252" i="165"/>
  <c r="O253" i="165"/>
  <c r="O254" i="165"/>
  <c r="O255" i="165"/>
  <c r="B22" i="163"/>
  <c r="G22" i="163"/>
  <c r="H22" i="163"/>
  <c r="O256" i="165"/>
  <c r="G23" i="163"/>
  <c r="H23" i="163"/>
  <c r="O257" i="165"/>
  <c r="O258" i="165"/>
  <c r="O259" i="165"/>
  <c r="G29" i="163"/>
  <c r="H29" i="163"/>
  <c r="O260" i="165"/>
  <c r="O261" i="165"/>
  <c r="O262" i="165"/>
  <c r="O263" i="165"/>
  <c r="O264" i="165"/>
  <c r="O265" i="165"/>
  <c r="O266" i="165"/>
  <c r="O267" i="165"/>
  <c r="O268" i="165"/>
  <c r="O269" i="165"/>
  <c r="O270" i="165"/>
  <c r="O271" i="165"/>
  <c r="O272" i="165"/>
  <c r="O273" i="165"/>
  <c r="O274" i="165"/>
  <c r="O275" i="165"/>
  <c r="O276" i="165"/>
  <c r="O277" i="165"/>
  <c r="O278" i="165"/>
  <c r="O279" i="165"/>
  <c r="O280" i="165"/>
  <c r="O281" i="165"/>
  <c r="O282" i="165"/>
  <c r="O283" i="165"/>
  <c r="O284" i="165"/>
  <c r="O285" i="165"/>
  <c r="O286" i="165"/>
  <c r="O287" i="165"/>
  <c r="O288" i="165"/>
  <c r="O289" i="165"/>
  <c r="O290" i="165"/>
  <c r="O291" i="165"/>
  <c r="O292" i="165"/>
  <c r="O293" i="165"/>
  <c r="O294" i="165"/>
  <c r="O295" i="165"/>
  <c r="O296" i="165"/>
  <c r="O297" i="165"/>
  <c r="O298" i="165"/>
  <c r="O299" i="165"/>
  <c r="O300" i="165"/>
  <c r="O301" i="165"/>
  <c r="O302" i="165"/>
  <c r="O303" i="165"/>
  <c r="O304" i="165"/>
  <c r="O305" i="165"/>
  <c r="O306" i="165"/>
  <c r="O307" i="165"/>
  <c r="O308" i="165"/>
  <c r="O309" i="165"/>
  <c r="O310" i="165"/>
  <c r="O311" i="165"/>
  <c r="O312" i="165"/>
  <c r="O313" i="165"/>
  <c r="O314" i="165"/>
  <c r="O315" i="165"/>
  <c r="O316" i="165"/>
  <c r="O317" i="165"/>
  <c r="O318" i="165"/>
  <c r="O319" i="165"/>
  <c r="O320" i="165"/>
  <c r="O321" i="165"/>
  <c r="O322" i="165"/>
  <c r="O323" i="165"/>
  <c r="O324" i="165"/>
  <c r="F42" i="163"/>
  <c r="G42" i="163"/>
  <c r="F36" i="163"/>
  <c r="P138" i="165"/>
  <c r="P139" i="165"/>
  <c r="P140" i="165"/>
  <c r="P141" i="165"/>
  <c r="P2" i="165"/>
  <c r="P3" i="165"/>
  <c r="P4" i="165"/>
  <c r="P5" i="165"/>
  <c r="P6" i="165"/>
  <c r="P7" i="165"/>
  <c r="P8" i="165"/>
  <c r="P9" i="165"/>
  <c r="P10" i="165"/>
  <c r="P11" i="165"/>
  <c r="P12" i="165"/>
  <c r="P13" i="165"/>
  <c r="P14" i="165"/>
  <c r="P15" i="165"/>
  <c r="P16" i="165"/>
  <c r="P17" i="165"/>
  <c r="P18" i="165"/>
  <c r="P19" i="165"/>
  <c r="P20" i="165"/>
  <c r="P21" i="165"/>
  <c r="P22" i="165"/>
  <c r="P23" i="165"/>
  <c r="P24" i="165"/>
  <c r="P25" i="165"/>
  <c r="P26" i="165"/>
  <c r="P27" i="165"/>
  <c r="P28" i="165"/>
  <c r="P29" i="165"/>
  <c r="P30" i="165"/>
  <c r="P31" i="165"/>
  <c r="P32" i="165"/>
  <c r="P33" i="165"/>
  <c r="P34" i="165"/>
  <c r="P35" i="165"/>
  <c r="P36" i="165"/>
  <c r="P37" i="165"/>
  <c r="P38" i="165"/>
  <c r="P39" i="165"/>
  <c r="P40" i="165"/>
  <c r="P41" i="165"/>
  <c r="P42" i="165"/>
  <c r="P43" i="165"/>
  <c r="P44" i="165"/>
  <c r="P45" i="165"/>
  <c r="P46" i="165"/>
  <c r="P47" i="165"/>
  <c r="P48" i="165"/>
  <c r="P49" i="165"/>
  <c r="P50" i="165"/>
  <c r="P51" i="165"/>
  <c r="P52" i="165"/>
  <c r="P53" i="165"/>
  <c r="P54" i="165"/>
  <c r="P55" i="165"/>
  <c r="P56" i="165"/>
  <c r="P57" i="165"/>
  <c r="P58" i="165"/>
  <c r="P59" i="165"/>
  <c r="P60" i="165"/>
  <c r="P61" i="165"/>
  <c r="P62" i="165"/>
  <c r="P63" i="165"/>
  <c r="P64" i="165"/>
  <c r="P65" i="165"/>
  <c r="P66" i="165"/>
  <c r="P67" i="165"/>
  <c r="P68" i="165"/>
  <c r="P69" i="165"/>
  <c r="P70" i="165"/>
  <c r="P71" i="165"/>
  <c r="P72" i="165"/>
  <c r="P73" i="165"/>
  <c r="P74" i="165"/>
  <c r="P75" i="165"/>
  <c r="P76" i="165"/>
  <c r="P77" i="165"/>
  <c r="P78" i="165"/>
  <c r="P79" i="165"/>
  <c r="P80" i="165"/>
  <c r="P81" i="165"/>
  <c r="P82" i="165"/>
  <c r="P83" i="165"/>
  <c r="P84" i="165"/>
  <c r="P85" i="165"/>
  <c r="P86" i="165"/>
  <c r="P87" i="165"/>
  <c r="P88" i="165"/>
  <c r="P89" i="165"/>
  <c r="P90" i="165"/>
  <c r="P91" i="165"/>
  <c r="P92" i="165"/>
  <c r="P93" i="165"/>
  <c r="P94" i="165"/>
  <c r="P95" i="165"/>
  <c r="P96" i="165"/>
  <c r="P97" i="165"/>
  <c r="P98" i="165"/>
  <c r="P99" i="165"/>
  <c r="P100" i="165"/>
  <c r="P101" i="165"/>
  <c r="P102" i="165"/>
  <c r="P103" i="165"/>
  <c r="P104" i="165"/>
  <c r="P105" i="165"/>
  <c r="P106" i="165"/>
  <c r="P107" i="165"/>
  <c r="P108" i="165"/>
  <c r="P109" i="165"/>
  <c r="P110" i="165"/>
  <c r="P111" i="165"/>
  <c r="P112" i="165"/>
  <c r="P113" i="165"/>
  <c r="P114" i="165"/>
  <c r="P115" i="165"/>
  <c r="P116" i="165"/>
  <c r="P117" i="165"/>
  <c r="P118" i="165"/>
  <c r="P119" i="165"/>
  <c r="P120" i="165"/>
  <c r="P121" i="165"/>
  <c r="P122" i="165"/>
  <c r="P123" i="165"/>
  <c r="P124" i="165"/>
  <c r="P125" i="165"/>
  <c r="P126" i="165"/>
  <c r="P127" i="165"/>
  <c r="P128" i="165"/>
  <c r="P129" i="165"/>
  <c r="P130" i="165"/>
  <c r="P131" i="165"/>
  <c r="P132" i="165"/>
  <c r="P133" i="165"/>
  <c r="P134" i="165"/>
  <c r="P135" i="165"/>
  <c r="P136" i="165"/>
  <c r="P137" i="165"/>
  <c r="P142" i="165"/>
  <c r="P143" i="165"/>
  <c r="P144" i="165"/>
  <c r="P145" i="165"/>
  <c r="P146" i="165"/>
  <c r="P147" i="165"/>
  <c r="P148" i="165"/>
  <c r="P149" i="165"/>
  <c r="P150" i="165"/>
  <c r="P151" i="165"/>
  <c r="P152" i="165"/>
  <c r="P153" i="165"/>
  <c r="P154" i="165"/>
  <c r="P155" i="165"/>
  <c r="P156" i="165"/>
  <c r="P157" i="165"/>
  <c r="P158" i="165"/>
  <c r="P159" i="165"/>
  <c r="P160" i="165"/>
  <c r="P161" i="165"/>
  <c r="P162" i="165"/>
  <c r="P163" i="165"/>
  <c r="P164" i="165"/>
  <c r="P165" i="165"/>
  <c r="P166" i="165"/>
  <c r="P167" i="165"/>
  <c r="P168" i="165"/>
  <c r="P169" i="165"/>
  <c r="P170" i="165"/>
  <c r="P171" i="165"/>
  <c r="P172" i="165"/>
  <c r="P173" i="165"/>
  <c r="P174" i="165"/>
  <c r="P175" i="165"/>
  <c r="P176" i="165"/>
  <c r="P177" i="165"/>
  <c r="P178" i="165"/>
  <c r="P179" i="165"/>
  <c r="P180" i="165"/>
  <c r="P181" i="165"/>
  <c r="P182" i="165"/>
  <c r="P183" i="165"/>
  <c r="P184" i="165"/>
  <c r="P185" i="165"/>
  <c r="P186" i="165"/>
  <c r="P187" i="165"/>
  <c r="P188" i="165"/>
  <c r="P189" i="165"/>
  <c r="P190" i="165"/>
  <c r="P191" i="165"/>
  <c r="P192" i="165"/>
  <c r="P193" i="165"/>
  <c r="P194" i="165"/>
  <c r="P195" i="165"/>
  <c r="P196" i="165"/>
  <c r="P197" i="165"/>
  <c r="P198" i="165"/>
  <c r="P199" i="165"/>
  <c r="P200" i="165"/>
  <c r="P201" i="165"/>
  <c r="P202" i="165"/>
  <c r="P203" i="165"/>
  <c r="P204" i="165"/>
  <c r="P205" i="165"/>
  <c r="P206" i="165"/>
  <c r="P207" i="165"/>
  <c r="P208" i="165"/>
  <c r="P209" i="165"/>
  <c r="P210" i="165"/>
  <c r="P211" i="165"/>
  <c r="P212" i="165"/>
  <c r="P213" i="165"/>
  <c r="P214" i="165"/>
  <c r="P215" i="165"/>
  <c r="P216" i="165"/>
  <c r="P217" i="165"/>
  <c r="P218" i="165"/>
  <c r="P219" i="165"/>
  <c r="P220" i="165"/>
  <c r="P221" i="165"/>
  <c r="P222" i="165"/>
  <c r="P223" i="165"/>
  <c r="P224" i="165"/>
  <c r="P225" i="165"/>
  <c r="P226" i="165"/>
  <c r="P227" i="165"/>
  <c r="P228" i="165"/>
  <c r="P229" i="165"/>
  <c r="P230" i="165"/>
  <c r="P231" i="165"/>
  <c r="P232" i="165"/>
  <c r="P233" i="165"/>
  <c r="P234" i="165"/>
  <c r="P235" i="165"/>
  <c r="P236" i="165"/>
  <c r="P237" i="165"/>
  <c r="P238" i="165"/>
  <c r="P239" i="165"/>
  <c r="P240" i="165"/>
  <c r="P241" i="165"/>
  <c r="P242" i="165"/>
  <c r="P243" i="165"/>
  <c r="P244" i="165"/>
  <c r="P245" i="165"/>
  <c r="P246" i="165"/>
  <c r="P247" i="165"/>
  <c r="P248" i="165"/>
  <c r="P249" i="165"/>
  <c r="P250" i="165"/>
  <c r="P251" i="165"/>
  <c r="P252" i="165"/>
  <c r="P253" i="165"/>
  <c r="P254" i="165"/>
  <c r="P255" i="165"/>
  <c r="P256" i="165"/>
  <c r="P257" i="165"/>
  <c r="P258" i="165"/>
  <c r="P259" i="165"/>
  <c r="P260" i="165"/>
  <c r="P261" i="165"/>
  <c r="P262" i="165"/>
  <c r="P263" i="165"/>
  <c r="P264" i="165"/>
  <c r="P265" i="165"/>
  <c r="P266" i="165"/>
  <c r="P267" i="165"/>
  <c r="P268" i="165"/>
  <c r="P269" i="165"/>
  <c r="P270" i="165"/>
  <c r="P271" i="165"/>
  <c r="P272" i="165"/>
  <c r="P273" i="165"/>
  <c r="P274" i="165"/>
  <c r="P275" i="165"/>
  <c r="P276" i="165"/>
  <c r="P277" i="165"/>
  <c r="P278" i="165"/>
  <c r="P279" i="165"/>
  <c r="P280" i="165"/>
  <c r="P281" i="165"/>
  <c r="P282" i="165"/>
  <c r="P283" i="165"/>
  <c r="P284" i="165"/>
  <c r="P285" i="165"/>
  <c r="P286" i="165"/>
  <c r="P287" i="165"/>
  <c r="P288" i="165"/>
  <c r="P289" i="165"/>
  <c r="P290" i="165"/>
  <c r="P291" i="165"/>
  <c r="P292" i="165"/>
  <c r="P293" i="165"/>
  <c r="P294" i="165"/>
  <c r="P295" i="165"/>
  <c r="P296" i="165"/>
  <c r="P297" i="165"/>
  <c r="P298" i="165"/>
  <c r="P299" i="165"/>
  <c r="P300" i="165"/>
  <c r="P301" i="165"/>
  <c r="P302" i="165"/>
  <c r="P303" i="165"/>
  <c r="P304" i="165"/>
  <c r="P305" i="165"/>
  <c r="P306" i="165"/>
  <c r="P307" i="165"/>
  <c r="P308" i="165"/>
  <c r="P309" i="165"/>
  <c r="P310" i="165"/>
  <c r="P311" i="165"/>
  <c r="P312" i="165"/>
  <c r="P313" i="165"/>
  <c r="P314" i="165"/>
  <c r="P315" i="165"/>
  <c r="P316" i="165"/>
  <c r="P317" i="165"/>
  <c r="P318" i="165"/>
  <c r="P319" i="165"/>
  <c r="P320" i="165"/>
  <c r="P321" i="165"/>
  <c r="P322" i="165"/>
  <c r="P323" i="165"/>
  <c r="P324" i="165"/>
  <c r="F48" i="163"/>
  <c r="F49" i="163"/>
  <c r="G48" i="163"/>
  <c r="E35" i="163"/>
  <c r="I2" i="165"/>
  <c r="D2" i="165"/>
  <c r="J2" i="165"/>
  <c r="E2" i="165"/>
  <c r="C2" i="165"/>
  <c r="I3" i="165"/>
  <c r="D3" i="165"/>
  <c r="J3" i="165"/>
  <c r="E3" i="165"/>
  <c r="C3" i="165"/>
  <c r="I4" i="165"/>
  <c r="D4" i="165"/>
  <c r="J4" i="165"/>
  <c r="E4" i="165"/>
  <c r="C4" i="165"/>
  <c r="I5" i="165"/>
  <c r="D5" i="165"/>
  <c r="J5" i="165"/>
  <c r="E5" i="165"/>
  <c r="C5" i="165"/>
  <c r="I6" i="165"/>
  <c r="D6" i="165"/>
  <c r="J6" i="165"/>
  <c r="E6" i="165"/>
  <c r="C6" i="165"/>
  <c r="I7" i="165"/>
  <c r="D7" i="165"/>
  <c r="J7" i="165"/>
  <c r="E7" i="165"/>
  <c r="C7" i="165"/>
  <c r="I8" i="165"/>
  <c r="D8" i="165"/>
  <c r="J8" i="165"/>
  <c r="E8" i="165"/>
  <c r="C8" i="165"/>
  <c r="I9" i="165"/>
  <c r="D9" i="165"/>
  <c r="J9" i="165"/>
  <c r="E9" i="165"/>
  <c r="C9" i="165"/>
  <c r="I10" i="165"/>
  <c r="D10" i="165"/>
  <c r="J10" i="165"/>
  <c r="E10" i="165"/>
  <c r="C10" i="165"/>
  <c r="I11" i="165"/>
  <c r="D11" i="165"/>
  <c r="J11" i="165"/>
  <c r="E11" i="165"/>
  <c r="C11" i="165"/>
  <c r="I12" i="165"/>
  <c r="D12" i="165"/>
  <c r="J12" i="165"/>
  <c r="E12" i="165"/>
  <c r="C12" i="165"/>
  <c r="I13" i="165"/>
  <c r="D13" i="165"/>
  <c r="J13" i="165"/>
  <c r="E13" i="165"/>
  <c r="C13" i="165"/>
  <c r="I14" i="165"/>
  <c r="D14" i="165"/>
  <c r="J14" i="165"/>
  <c r="E14" i="165"/>
  <c r="C14" i="165"/>
  <c r="I15" i="165"/>
  <c r="D15" i="165"/>
  <c r="J15" i="165"/>
  <c r="E15" i="165"/>
  <c r="C15" i="165"/>
  <c r="I16" i="165"/>
  <c r="D16" i="165"/>
  <c r="J16" i="165"/>
  <c r="E16" i="165"/>
  <c r="C16" i="165"/>
  <c r="I17" i="165"/>
  <c r="D17" i="165"/>
  <c r="J17" i="165"/>
  <c r="E17" i="165"/>
  <c r="C17" i="165"/>
  <c r="I18" i="165"/>
  <c r="D18" i="165"/>
  <c r="J18" i="165"/>
  <c r="E18" i="165"/>
  <c r="C18" i="165"/>
  <c r="I19" i="165"/>
  <c r="D19" i="165"/>
  <c r="J19" i="165"/>
  <c r="E19" i="165"/>
  <c r="C19" i="165"/>
  <c r="I20" i="165"/>
  <c r="D20" i="165"/>
  <c r="J20" i="165"/>
  <c r="E20" i="165"/>
  <c r="C20" i="165"/>
  <c r="I21" i="165"/>
  <c r="D21" i="165"/>
  <c r="J21" i="165"/>
  <c r="E21" i="165"/>
  <c r="C21" i="165"/>
  <c r="I22" i="165"/>
  <c r="D22" i="165"/>
  <c r="J22" i="165"/>
  <c r="E22" i="165"/>
  <c r="C22" i="165"/>
  <c r="I23" i="165"/>
  <c r="D23" i="165"/>
  <c r="J23" i="165"/>
  <c r="E23" i="165"/>
  <c r="C23" i="165"/>
  <c r="I24" i="165"/>
  <c r="D24" i="165"/>
  <c r="J24" i="165"/>
  <c r="E24" i="165"/>
  <c r="C24" i="165"/>
  <c r="I25" i="165"/>
  <c r="D25" i="165"/>
  <c r="J25" i="165"/>
  <c r="E25" i="165"/>
  <c r="C25" i="165"/>
  <c r="I26" i="165"/>
  <c r="D26" i="165"/>
  <c r="J26" i="165"/>
  <c r="E26" i="165"/>
  <c r="C26" i="165"/>
  <c r="I27" i="165"/>
  <c r="D27" i="165"/>
  <c r="J27" i="165"/>
  <c r="E27" i="165"/>
  <c r="C27" i="165"/>
  <c r="I28" i="165"/>
  <c r="D28" i="165"/>
  <c r="J28" i="165"/>
  <c r="E28" i="165"/>
  <c r="C28" i="165"/>
  <c r="I29" i="165"/>
  <c r="D29" i="165"/>
  <c r="J29" i="165"/>
  <c r="E29" i="165"/>
  <c r="C29" i="165"/>
  <c r="I30" i="165"/>
  <c r="D30" i="165"/>
  <c r="J30" i="165"/>
  <c r="E30" i="165"/>
  <c r="C30" i="165"/>
  <c r="I31" i="165"/>
  <c r="D31" i="165"/>
  <c r="J31" i="165"/>
  <c r="E31" i="165"/>
  <c r="C31" i="165"/>
  <c r="I32" i="165"/>
  <c r="D32" i="165"/>
  <c r="J32" i="165"/>
  <c r="E32" i="165"/>
  <c r="C32" i="165"/>
  <c r="I33" i="165"/>
  <c r="D33" i="165"/>
  <c r="J33" i="165"/>
  <c r="E33" i="165"/>
  <c r="C33" i="165"/>
  <c r="I34" i="165"/>
  <c r="D34" i="165"/>
  <c r="J34" i="165"/>
  <c r="E34" i="165"/>
  <c r="C34" i="165"/>
  <c r="I35" i="165"/>
  <c r="D35" i="165"/>
  <c r="J35" i="165"/>
  <c r="E35" i="165"/>
  <c r="C35" i="165"/>
  <c r="I36" i="165"/>
  <c r="D36" i="165"/>
  <c r="J36" i="165"/>
  <c r="E36" i="165"/>
  <c r="C36" i="165"/>
  <c r="I37" i="165"/>
  <c r="D37" i="165"/>
  <c r="J37" i="165"/>
  <c r="E37" i="165"/>
  <c r="C37" i="165"/>
  <c r="I38" i="165"/>
  <c r="D38" i="165"/>
  <c r="J38" i="165"/>
  <c r="E38" i="165"/>
  <c r="C38" i="165"/>
  <c r="I39" i="165"/>
  <c r="D39" i="165"/>
  <c r="J39" i="165"/>
  <c r="E39" i="165"/>
  <c r="C39" i="165"/>
  <c r="I40" i="165"/>
  <c r="D40" i="165"/>
  <c r="J40" i="165"/>
  <c r="E40" i="165"/>
  <c r="C40" i="165"/>
  <c r="I41" i="165"/>
  <c r="D41" i="165"/>
  <c r="J41" i="165"/>
  <c r="E41" i="165"/>
  <c r="C41" i="165"/>
  <c r="I42" i="165"/>
  <c r="D42" i="165"/>
  <c r="J42" i="165"/>
  <c r="E42" i="165"/>
  <c r="C42" i="165"/>
  <c r="I43" i="165"/>
  <c r="D43" i="165"/>
  <c r="J43" i="165"/>
  <c r="E43" i="165"/>
  <c r="C43" i="165"/>
  <c r="I44" i="165"/>
  <c r="D44" i="165"/>
  <c r="J44" i="165"/>
  <c r="E44" i="165"/>
  <c r="C44" i="165"/>
  <c r="I45" i="165"/>
  <c r="D45" i="165"/>
  <c r="J45" i="165"/>
  <c r="E45" i="165"/>
  <c r="C45" i="165"/>
  <c r="I46" i="165"/>
  <c r="D46" i="165"/>
  <c r="J46" i="165"/>
  <c r="E46" i="165"/>
  <c r="C46" i="165"/>
  <c r="I47" i="165"/>
  <c r="D47" i="165"/>
  <c r="J47" i="165"/>
  <c r="E47" i="165"/>
  <c r="C47" i="165"/>
  <c r="I48" i="165"/>
  <c r="D48" i="165"/>
  <c r="J48" i="165"/>
  <c r="E48" i="165"/>
  <c r="C48" i="165"/>
  <c r="I49" i="165"/>
  <c r="D49" i="165"/>
  <c r="J49" i="165"/>
  <c r="E49" i="165"/>
  <c r="C49" i="165"/>
  <c r="I50" i="165"/>
  <c r="D50" i="165"/>
  <c r="J50" i="165"/>
  <c r="E50" i="165"/>
  <c r="C50" i="165"/>
  <c r="I51" i="165"/>
  <c r="D51" i="165"/>
  <c r="J51" i="165"/>
  <c r="E51" i="165"/>
  <c r="C51" i="165"/>
  <c r="I52" i="165"/>
  <c r="D52" i="165"/>
  <c r="J52" i="165"/>
  <c r="E52" i="165"/>
  <c r="C52" i="165"/>
  <c r="I53" i="165"/>
  <c r="D53" i="165"/>
  <c r="J53" i="165"/>
  <c r="E53" i="165"/>
  <c r="C53" i="165"/>
  <c r="I54" i="165"/>
  <c r="D54" i="165"/>
  <c r="J54" i="165"/>
  <c r="E54" i="165"/>
  <c r="C54" i="165"/>
  <c r="I55" i="165"/>
  <c r="D55" i="165"/>
  <c r="J55" i="165"/>
  <c r="E55" i="165"/>
  <c r="C55" i="165"/>
  <c r="I56" i="165"/>
  <c r="D56" i="165"/>
  <c r="J56" i="165"/>
  <c r="E56" i="165"/>
  <c r="C56" i="165"/>
  <c r="I57" i="165"/>
  <c r="D57" i="165"/>
  <c r="J57" i="165"/>
  <c r="E57" i="165"/>
  <c r="C57" i="165"/>
  <c r="I58" i="165"/>
  <c r="D58" i="165"/>
  <c r="J58" i="165"/>
  <c r="E58" i="165"/>
  <c r="C58" i="165"/>
  <c r="I59" i="165"/>
  <c r="D59" i="165"/>
  <c r="J59" i="165"/>
  <c r="E59" i="165"/>
  <c r="C59" i="165"/>
  <c r="I60" i="165"/>
  <c r="D60" i="165"/>
  <c r="J60" i="165"/>
  <c r="E60" i="165"/>
  <c r="C60" i="165"/>
  <c r="I61" i="165"/>
  <c r="D61" i="165"/>
  <c r="J61" i="165"/>
  <c r="E61" i="165"/>
  <c r="C61" i="165"/>
  <c r="I62" i="165"/>
  <c r="D62" i="165"/>
  <c r="J62" i="165"/>
  <c r="E62" i="165"/>
  <c r="C62" i="165"/>
  <c r="I63" i="165"/>
  <c r="D63" i="165"/>
  <c r="J63" i="165"/>
  <c r="E63" i="165"/>
  <c r="C63" i="165"/>
  <c r="I64" i="165"/>
  <c r="D64" i="165"/>
  <c r="J64" i="165"/>
  <c r="E64" i="165"/>
  <c r="C64" i="165"/>
  <c r="I65" i="165"/>
  <c r="D65" i="165"/>
  <c r="J65" i="165"/>
  <c r="E65" i="165"/>
  <c r="C65" i="165"/>
  <c r="I66" i="165"/>
  <c r="D66" i="165"/>
  <c r="J66" i="165"/>
  <c r="E66" i="165"/>
  <c r="C66" i="165"/>
  <c r="I67" i="165"/>
  <c r="D67" i="165"/>
  <c r="J67" i="165"/>
  <c r="E67" i="165"/>
  <c r="C67" i="165"/>
  <c r="I68" i="165"/>
  <c r="D68" i="165"/>
  <c r="J68" i="165"/>
  <c r="E68" i="165"/>
  <c r="C68" i="165"/>
  <c r="I69" i="165"/>
  <c r="D69" i="165"/>
  <c r="J69" i="165"/>
  <c r="E69" i="165"/>
  <c r="C69" i="165"/>
  <c r="I70" i="165"/>
  <c r="D70" i="165"/>
  <c r="J70" i="165"/>
  <c r="E70" i="165"/>
  <c r="C70" i="165"/>
  <c r="I71" i="165"/>
  <c r="D71" i="165"/>
  <c r="J71" i="165"/>
  <c r="E71" i="165"/>
  <c r="C71" i="165"/>
  <c r="I72" i="165"/>
  <c r="D72" i="165"/>
  <c r="J72" i="165"/>
  <c r="E72" i="165"/>
  <c r="C72" i="165"/>
  <c r="I73" i="165"/>
  <c r="D73" i="165"/>
  <c r="J73" i="165"/>
  <c r="E73" i="165"/>
  <c r="C73" i="165"/>
  <c r="I74" i="165"/>
  <c r="D74" i="165"/>
  <c r="J74" i="165"/>
  <c r="E74" i="165"/>
  <c r="C74" i="165"/>
  <c r="I75" i="165"/>
  <c r="D75" i="165"/>
  <c r="J75" i="165"/>
  <c r="E75" i="165"/>
  <c r="C75" i="165"/>
  <c r="I76" i="165"/>
  <c r="D76" i="165"/>
  <c r="J76" i="165"/>
  <c r="E76" i="165"/>
  <c r="C76" i="165"/>
  <c r="I77" i="165"/>
  <c r="D77" i="165"/>
  <c r="J77" i="165"/>
  <c r="E77" i="165"/>
  <c r="C77" i="165"/>
  <c r="I78" i="165"/>
  <c r="D78" i="165"/>
  <c r="J78" i="165"/>
  <c r="E78" i="165"/>
  <c r="C78" i="165"/>
  <c r="I79" i="165"/>
  <c r="D79" i="165"/>
  <c r="J79" i="165"/>
  <c r="E79" i="165"/>
  <c r="C79" i="165"/>
  <c r="I80" i="165"/>
  <c r="D80" i="165"/>
  <c r="J80" i="165"/>
  <c r="E80" i="165"/>
  <c r="C80" i="165"/>
  <c r="I81" i="165"/>
  <c r="D81" i="165"/>
  <c r="J81" i="165"/>
  <c r="E81" i="165"/>
  <c r="C81" i="165"/>
  <c r="I82" i="165"/>
  <c r="D82" i="165"/>
  <c r="J82" i="165"/>
  <c r="E82" i="165"/>
  <c r="C82" i="165"/>
  <c r="I83" i="165"/>
  <c r="D83" i="165"/>
  <c r="J83" i="165"/>
  <c r="E83" i="165"/>
  <c r="C83" i="165"/>
  <c r="I84" i="165"/>
  <c r="D84" i="165"/>
  <c r="J84" i="165"/>
  <c r="E84" i="165"/>
  <c r="C84" i="165"/>
  <c r="I85" i="165"/>
  <c r="D85" i="165"/>
  <c r="J85" i="165"/>
  <c r="E85" i="165"/>
  <c r="C85" i="165"/>
  <c r="I86" i="165"/>
  <c r="D86" i="165"/>
  <c r="J86" i="165"/>
  <c r="E86" i="165"/>
  <c r="C86" i="165"/>
  <c r="I87" i="165"/>
  <c r="D87" i="165"/>
  <c r="J87" i="165"/>
  <c r="E87" i="165"/>
  <c r="C87" i="165"/>
  <c r="I88" i="165"/>
  <c r="D88" i="165"/>
  <c r="J88" i="165"/>
  <c r="E88" i="165"/>
  <c r="C88" i="165"/>
  <c r="I89" i="165"/>
  <c r="D89" i="165"/>
  <c r="J89" i="165"/>
  <c r="E89" i="165"/>
  <c r="C89" i="165"/>
  <c r="I90" i="165"/>
  <c r="D90" i="165"/>
  <c r="J90" i="165"/>
  <c r="E90" i="165"/>
  <c r="C90" i="165"/>
  <c r="I91" i="165"/>
  <c r="D91" i="165"/>
  <c r="J91" i="165"/>
  <c r="E91" i="165"/>
  <c r="C91" i="165"/>
  <c r="I92" i="165"/>
  <c r="D92" i="165"/>
  <c r="J92" i="165"/>
  <c r="E92" i="165"/>
  <c r="C92" i="165"/>
  <c r="I93" i="165"/>
  <c r="D93" i="165"/>
  <c r="J93" i="165"/>
  <c r="E93" i="165"/>
  <c r="C93" i="165"/>
  <c r="I94" i="165"/>
  <c r="D94" i="165"/>
  <c r="J94" i="165"/>
  <c r="E94" i="165"/>
  <c r="C94" i="165"/>
  <c r="I95" i="165"/>
  <c r="D95" i="165"/>
  <c r="J95" i="165"/>
  <c r="E95" i="165"/>
  <c r="C95" i="165"/>
  <c r="I96" i="165"/>
  <c r="D96" i="165"/>
  <c r="J96" i="165"/>
  <c r="E96" i="165"/>
  <c r="C96" i="165"/>
  <c r="I97" i="165"/>
  <c r="D97" i="165"/>
  <c r="J97" i="165"/>
  <c r="E97" i="165"/>
  <c r="C97" i="165"/>
  <c r="I98" i="165"/>
  <c r="D98" i="165"/>
  <c r="J98" i="165"/>
  <c r="E98" i="165"/>
  <c r="C98" i="165"/>
  <c r="I99" i="165"/>
  <c r="D99" i="165"/>
  <c r="J99" i="165"/>
  <c r="E99" i="165"/>
  <c r="C99" i="165"/>
  <c r="I100" i="165"/>
  <c r="D100" i="165"/>
  <c r="J100" i="165"/>
  <c r="E100" i="165"/>
  <c r="C100" i="165"/>
  <c r="I101" i="165"/>
  <c r="D101" i="165"/>
  <c r="J101" i="165"/>
  <c r="E101" i="165"/>
  <c r="C101" i="165"/>
  <c r="I102" i="165"/>
  <c r="D102" i="165"/>
  <c r="J102" i="165"/>
  <c r="E102" i="165"/>
  <c r="C102" i="165"/>
  <c r="I103" i="165"/>
  <c r="D103" i="165"/>
  <c r="J103" i="165"/>
  <c r="E103" i="165"/>
  <c r="C103" i="165"/>
  <c r="I104" i="165"/>
  <c r="D104" i="165"/>
  <c r="J104" i="165"/>
  <c r="E104" i="165"/>
  <c r="C104" i="165"/>
  <c r="I105" i="165"/>
  <c r="D105" i="165"/>
  <c r="J105" i="165"/>
  <c r="E105" i="165"/>
  <c r="C105" i="165"/>
  <c r="I106" i="165"/>
  <c r="D106" i="165"/>
  <c r="J106" i="165"/>
  <c r="E106" i="165"/>
  <c r="C106" i="165"/>
  <c r="I107" i="165"/>
  <c r="D107" i="165"/>
  <c r="J107" i="165"/>
  <c r="E107" i="165"/>
  <c r="C107" i="165"/>
  <c r="I108" i="165"/>
  <c r="D108" i="165"/>
  <c r="J108" i="165"/>
  <c r="E108" i="165"/>
  <c r="C108" i="165"/>
  <c r="I109" i="165"/>
  <c r="D109" i="165"/>
  <c r="J109" i="165"/>
  <c r="E109" i="165"/>
  <c r="C109" i="165"/>
  <c r="I110" i="165"/>
  <c r="D110" i="165"/>
  <c r="J110" i="165"/>
  <c r="E110" i="165"/>
  <c r="C110" i="165"/>
  <c r="I111" i="165"/>
  <c r="D111" i="165"/>
  <c r="J111" i="165"/>
  <c r="E111" i="165"/>
  <c r="C111" i="165"/>
  <c r="I112" i="165"/>
  <c r="D112" i="165"/>
  <c r="J112" i="165"/>
  <c r="E112" i="165"/>
  <c r="C112" i="165"/>
  <c r="I113" i="165"/>
  <c r="D113" i="165"/>
  <c r="J113" i="165"/>
  <c r="E113" i="165"/>
  <c r="C113" i="165"/>
  <c r="I114" i="165"/>
  <c r="D114" i="165"/>
  <c r="J114" i="165"/>
  <c r="E114" i="165"/>
  <c r="C114" i="165"/>
  <c r="I115" i="165"/>
  <c r="D115" i="165"/>
  <c r="J115" i="165"/>
  <c r="E115" i="165"/>
  <c r="C115" i="165"/>
  <c r="I116" i="165"/>
  <c r="D116" i="165"/>
  <c r="J116" i="165"/>
  <c r="E116" i="165"/>
  <c r="C116" i="165"/>
  <c r="I117" i="165"/>
  <c r="D117" i="165"/>
  <c r="J117" i="165"/>
  <c r="E117" i="165"/>
  <c r="C117" i="165"/>
  <c r="I118" i="165"/>
  <c r="D118" i="165"/>
  <c r="J118" i="165"/>
  <c r="E118" i="165"/>
  <c r="C118" i="165"/>
  <c r="I119" i="165"/>
  <c r="D119" i="165"/>
  <c r="J119" i="165"/>
  <c r="E119" i="165"/>
  <c r="C119" i="165"/>
  <c r="I120" i="165"/>
  <c r="D120" i="165"/>
  <c r="J120" i="165"/>
  <c r="E120" i="165"/>
  <c r="C120" i="165"/>
  <c r="I121" i="165"/>
  <c r="D121" i="165"/>
  <c r="J121" i="165"/>
  <c r="E121" i="165"/>
  <c r="C121" i="165"/>
  <c r="I122" i="165"/>
  <c r="D122" i="165"/>
  <c r="J122" i="165"/>
  <c r="E122" i="165"/>
  <c r="C122" i="165"/>
  <c r="I123" i="165"/>
  <c r="D123" i="165"/>
  <c r="J123" i="165"/>
  <c r="E123" i="165"/>
  <c r="C123" i="165"/>
  <c r="I124" i="165"/>
  <c r="D124" i="165"/>
  <c r="J124" i="165"/>
  <c r="E124" i="165"/>
  <c r="C124" i="165"/>
  <c r="I125" i="165"/>
  <c r="D125" i="165"/>
  <c r="J125" i="165"/>
  <c r="E125" i="165"/>
  <c r="C125" i="165"/>
  <c r="I126" i="165"/>
  <c r="D126" i="165"/>
  <c r="J126" i="165"/>
  <c r="E126" i="165"/>
  <c r="C126" i="165"/>
  <c r="I127" i="165"/>
  <c r="D127" i="165"/>
  <c r="J127" i="165"/>
  <c r="E127" i="165"/>
  <c r="C127" i="165"/>
  <c r="I128" i="165"/>
  <c r="D128" i="165"/>
  <c r="J128" i="165"/>
  <c r="E128" i="165"/>
  <c r="C128" i="165"/>
  <c r="I129" i="165"/>
  <c r="D129" i="165"/>
  <c r="J129" i="165"/>
  <c r="E129" i="165"/>
  <c r="C129" i="165"/>
  <c r="I130" i="165"/>
  <c r="D130" i="165"/>
  <c r="J130" i="165"/>
  <c r="E130" i="165"/>
  <c r="C130" i="165"/>
  <c r="I131" i="165"/>
  <c r="D131" i="165"/>
  <c r="J131" i="165"/>
  <c r="E131" i="165"/>
  <c r="C131" i="165"/>
  <c r="I132" i="165"/>
  <c r="D132" i="165"/>
  <c r="J132" i="165"/>
  <c r="E132" i="165"/>
  <c r="C132" i="165"/>
  <c r="I133" i="165"/>
  <c r="D133" i="165"/>
  <c r="J133" i="165"/>
  <c r="E133" i="165"/>
  <c r="C133" i="165"/>
  <c r="I134" i="165"/>
  <c r="D134" i="165"/>
  <c r="J134" i="165"/>
  <c r="E134" i="165"/>
  <c r="C134" i="165"/>
  <c r="I135" i="165"/>
  <c r="D135" i="165"/>
  <c r="J135" i="165"/>
  <c r="E135" i="165"/>
  <c r="C135" i="165"/>
  <c r="I136" i="165"/>
  <c r="D136" i="165"/>
  <c r="J136" i="165"/>
  <c r="E136" i="165"/>
  <c r="C136" i="165"/>
  <c r="I137" i="165"/>
  <c r="D137" i="165"/>
  <c r="J137" i="165"/>
  <c r="E137" i="165"/>
  <c r="C137" i="165"/>
  <c r="I138" i="165"/>
  <c r="D138" i="165"/>
  <c r="J138" i="165"/>
  <c r="E138" i="165"/>
  <c r="C138" i="165"/>
  <c r="I139" i="165"/>
  <c r="D139" i="165"/>
  <c r="J139" i="165"/>
  <c r="E139" i="165"/>
  <c r="C139" i="165"/>
  <c r="I140" i="165"/>
  <c r="D140" i="165"/>
  <c r="J140" i="165"/>
  <c r="E140" i="165"/>
  <c r="C140" i="165"/>
  <c r="I141" i="165"/>
  <c r="D141" i="165"/>
  <c r="J141" i="165"/>
  <c r="E141" i="165"/>
  <c r="C141" i="165"/>
  <c r="I142" i="165"/>
  <c r="D142" i="165"/>
  <c r="J142" i="165"/>
  <c r="E142" i="165"/>
  <c r="C142" i="165"/>
  <c r="I143" i="165"/>
  <c r="D143" i="165"/>
  <c r="J143" i="165"/>
  <c r="E143" i="165"/>
  <c r="C143" i="165"/>
  <c r="I144" i="165"/>
  <c r="D144" i="165"/>
  <c r="J144" i="165"/>
  <c r="E144" i="165"/>
  <c r="C144" i="165"/>
  <c r="I145" i="165"/>
  <c r="D145" i="165"/>
  <c r="J145" i="165"/>
  <c r="E145" i="165"/>
  <c r="C145" i="165"/>
  <c r="I146" i="165"/>
  <c r="D146" i="165"/>
  <c r="J146" i="165"/>
  <c r="E146" i="165"/>
  <c r="C146" i="165"/>
  <c r="I147" i="165"/>
  <c r="D147" i="165"/>
  <c r="J147" i="165"/>
  <c r="E147" i="165"/>
  <c r="C147" i="165"/>
  <c r="I148" i="165"/>
  <c r="D148" i="165"/>
  <c r="J148" i="165"/>
  <c r="E148" i="165"/>
  <c r="C148" i="165"/>
  <c r="I149" i="165"/>
  <c r="D149" i="165"/>
  <c r="J149" i="165"/>
  <c r="E149" i="165"/>
  <c r="C149" i="165"/>
  <c r="I150" i="165"/>
  <c r="D150" i="165"/>
  <c r="J150" i="165"/>
  <c r="E150" i="165"/>
  <c r="C150" i="165"/>
  <c r="I151" i="165"/>
  <c r="D151" i="165"/>
  <c r="J151" i="165"/>
  <c r="E151" i="165"/>
  <c r="C151" i="165"/>
  <c r="I152" i="165"/>
  <c r="D152" i="165"/>
  <c r="J152" i="165"/>
  <c r="E152" i="165"/>
  <c r="C152" i="165"/>
  <c r="I153" i="165"/>
  <c r="D153" i="165"/>
  <c r="J153" i="165"/>
  <c r="E153" i="165"/>
  <c r="C153" i="165"/>
  <c r="I154" i="165"/>
  <c r="D154" i="165"/>
  <c r="J154" i="165"/>
  <c r="E154" i="165"/>
  <c r="C154" i="165"/>
  <c r="I155" i="165"/>
  <c r="D155" i="165"/>
  <c r="J155" i="165"/>
  <c r="E155" i="165"/>
  <c r="C155" i="165"/>
  <c r="I156" i="165"/>
  <c r="D156" i="165"/>
  <c r="J156" i="165"/>
  <c r="E156" i="165"/>
  <c r="C156" i="165"/>
  <c r="I157" i="165"/>
  <c r="D157" i="165"/>
  <c r="J157" i="165"/>
  <c r="E157" i="165"/>
  <c r="C157" i="165"/>
  <c r="I158" i="165"/>
  <c r="D158" i="165"/>
  <c r="J158" i="165"/>
  <c r="E158" i="165"/>
  <c r="C158" i="165"/>
  <c r="I159" i="165"/>
  <c r="D159" i="165"/>
  <c r="J159" i="165"/>
  <c r="E159" i="165"/>
  <c r="C159" i="165"/>
  <c r="I160" i="165"/>
  <c r="D160" i="165"/>
  <c r="J160" i="165"/>
  <c r="E160" i="165"/>
  <c r="C160" i="165"/>
  <c r="I161" i="165"/>
  <c r="D161" i="165"/>
  <c r="J161" i="165"/>
  <c r="E161" i="165"/>
  <c r="C161" i="165"/>
  <c r="I162" i="165"/>
  <c r="D162" i="165"/>
  <c r="J162" i="165"/>
  <c r="E162" i="165"/>
  <c r="C162" i="165"/>
  <c r="I163" i="165"/>
  <c r="D163" i="165"/>
  <c r="J163" i="165"/>
  <c r="E163" i="165"/>
  <c r="C163" i="165"/>
  <c r="I164" i="165"/>
  <c r="D164" i="165"/>
  <c r="J164" i="165"/>
  <c r="E164" i="165"/>
  <c r="C164" i="165"/>
  <c r="I165" i="165"/>
  <c r="D165" i="165"/>
  <c r="J165" i="165"/>
  <c r="E165" i="165"/>
  <c r="C165" i="165"/>
  <c r="I166" i="165"/>
  <c r="D166" i="165"/>
  <c r="J166" i="165"/>
  <c r="E166" i="165"/>
  <c r="C166" i="165"/>
  <c r="I167" i="165"/>
  <c r="D167" i="165"/>
  <c r="J167" i="165"/>
  <c r="E167" i="165"/>
  <c r="C167" i="165"/>
  <c r="I168" i="165"/>
  <c r="D168" i="165"/>
  <c r="J168" i="165"/>
  <c r="E168" i="165"/>
  <c r="C168" i="165"/>
  <c r="I169" i="165"/>
  <c r="D169" i="165"/>
  <c r="J169" i="165"/>
  <c r="E169" i="165"/>
  <c r="C169" i="165"/>
  <c r="I170" i="165"/>
  <c r="D170" i="165"/>
  <c r="J170" i="165"/>
  <c r="E170" i="165"/>
  <c r="C170" i="165"/>
  <c r="I171" i="165"/>
  <c r="D171" i="165"/>
  <c r="J171" i="165"/>
  <c r="E171" i="165"/>
  <c r="C171" i="165"/>
  <c r="I172" i="165"/>
  <c r="D172" i="165"/>
  <c r="J172" i="165"/>
  <c r="E172" i="165"/>
  <c r="C172" i="165"/>
  <c r="I173" i="165"/>
  <c r="D173" i="165"/>
  <c r="J173" i="165"/>
  <c r="E173" i="165"/>
  <c r="C173" i="165"/>
  <c r="I174" i="165"/>
  <c r="D174" i="165"/>
  <c r="J174" i="165"/>
  <c r="E174" i="165"/>
  <c r="C174" i="165"/>
  <c r="I175" i="165"/>
  <c r="D175" i="165"/>
  <c r="J175" i="165"/>
  <c r="E175" i="165"/>
  <c r="C175" i="165"/>
  <c r="I176" i="165"/>
  <c r="D176" i="165"/>
  <c r="J176" i="165"/>
  <c r="E176" i="165"/>
  <c r="C176" i="165"/>
  <c r="I177" i="165"/>
  <c r="D177" i="165"/>
  <c r="J177" i="165"/>
  <c r="E177" i="165"/>
  <c r="C177" i="165"/>
  <c r="I178" i="165"/>
  <c r="D178" i="165"/>
  <c r="J178" i="165"/>
  <c r="E178" i="165"/>
  <c r="C178" i="165"/>
  <c r="I179" i="165"/>
  <c r="D179" i="165"/>
  <c r="J179" i="165"/>
  <c r="E179" i="165"/>
  <c r="C179" i="165"/>
  <c r="I180" i="165"/>
  <c r="D180" i="165"/>
  <c r="J180" i="165"/>
  <c r="E180" i="165"/>
  <c r="C180" i="165"/>
  <c r="I181" i="165"/>
  <c r="D181" i="165"/>
  <c r="J181" i="165"/>
  <c r="E181" i="165"/>
  <c r="C181" i="165"/>
  <c r="I182" i="165"/>
  <c r="D182" i="165"/>
  <c r="J182" i="165"/>
  <c r="E182" i="165"/>
  <c r="C182" i="165"/>
  <c r="I183" i="165"/>
  <c r="D183" i="165"/>
  <c r="J183" i="165"/>
  <c r="E183" i="165"/>
  <c r="C183" i="165"/>
  <c r="I184" i="165"/>
  <c r="D184" i="165"/>
  <c r="J184" i="165"/>
  <c r="E184" i="165"/>
  <c r="C184" i="165"/>
  <c r="I185" i="165"/>
  <c r="D185" i="165"/>
  <c r="J185" i="165"/>
  <c r="E185" i="165"/>
  <c r="C185" i="165"/>
  <c r="I186" i="165"/>
  <c r="D186" i="165"/>
  <c r="J186" i="165"/>
  <c r="E186" i="165"/>
  <c r="C186" i="165"/>
  <c r="I187" i="165"/>
  <c r="D187" i="165"/>
  <c r="J187" i="165"/>
  <c r="E187" i="165"/>
  <c r="C187" i="165"/>
  <c r="I188" i="165"/>
  <c r="D188" i="165"/>
  <c r="J188" i="165"/>
  <c r="E188" i="165"/>
  <c r="C188" i="165"/>
  <c r="I189" i="165"/>
  <c r="D189" i="165"/>
  <c r="J189" i="165"/>
  <c r="E189" i="165"/>
  <c r="C189" i="165"/>
  <c r="I190" i="165"/>
  <c r="D190" i="165"/>
  <c r="J190" i="165"/>
  <c r="E190" i="165"/>
  <c r="C190" i="165"/>
  <c r="I191" i="165"/>
  <c r="D191" i="165"/>
  <c r="J191" i="165"/>
  <c r="E191" i="165"/>
  <c r="C191" i="165"/>
  <c r="I192" i="165"/>
  <c r="D192" i="165"/>
  <c r="J192" i="165"/>
  <c r="E192" i="165"/>
  <c r="C192" i="165"/>
  <c r="I193" i="165"/>
  <c r="D193" i="165"/>
  <c r="J193" i="165"/>
  <c r="E193" i="165"/>
  <c r="C193" i="165"/>
  <c r="I194" i="165"/>
  <c r="D194" i="165"/>
  <c r="J194" i="165"/>
  <c r="E194" i="165"/>
  <c r="C194" i="165"/>
  <c r="I195" i="165"/>
  <c r="D195" i="165"/>
  <c r="J195" i="165"/>
  <c r="E195" i="165"/>
  <c r="C195" i="165"/>
  <c r="I196" i="165"/>
  <c r="D196" i="165"/>
  <c r="J196" i="165"/>
  <c r="E196" i="165"/>
  <c r="C196" i="165"/>
  <c r="I197" i="165"/>
  <c r="D197" i="165"/>
  <c r="J197" i="165"/>
  <c r="E197" i="165"/>
  <c r="C197" i="165"/>
  <c r="I198" i="165"/>
  <c r="D198" i="165"/>
  <c r="J198" i="165"/>
  <c r="E198" i="165"/>
  <c r="C198" i="165"/>
  <c r="I199" i="165"/>
  <c r="D199" i="165"/>
  <c r="J199" i="165"/>
  <c r="E199" i="165"/>
  <c r="C199" i="165"/>
  <c r="I200" i="165"/>
  <c r="D200" i="165"/>
  <c r="J200" i="165"/>
  <c r="E200" i="165"/>
  <c r="C200" i="165"/>
  <c r="I201" i="165"/>
  <c r="D201" i="165"/>
  <c r="J201" i="165"/>
  <c r="E201" i="165"/>
  <c r="C201" i="165"/>
  <c r="I202" i="165"/>
  <c r="D202" i="165"/>
  <c r="J202" i="165"/>
  <c r="E202" i="165"/>
  <c r="C202" i="165"/>
  <c r="I203" i="165"/>
  <c r="D203" i="165"/>
  <c r="J203" i="165"/>
  <c r="E203" i="165"/>
  <c r="C203" i="165"/>
  <c r="I204" i="165"/>
  <c r="D204" i="165"/>
  <c r="J204" i="165"/>
  <c r="E204" i="165"/>
  <c r="C204" i="165"/>
  <c r="I205" i="165"/>
  <c r="D205" i="165"/>
  <c r="J205" i="165"/>
  <c r="E205" i="165"/>
  <c r="C205" i="165"/>
  <c r="I206" i="165"/>
  <c r="D206" i="165"/>
  <c r="J206" i="165"/>
  <c r="E206" i="165"/>
  <c r="C206" i="165"/>
  <c r="I207" i="165"/>
  <c r="D207" i="165"/>
  <c r="J207" i="165"/>
  <c r="E207" i="165"/>
  <c r="C207" i="165"/>
  <c r="I208" i="165"/>
  <c r="D208" i="165"/>
  <c r="J208" i="165"/>
  <c r="E208" i="165"/>
  <c r="C208" i="165"/>
  <c r="I209" i="165"/>
  <c r="D209" i="165"/>
  <c r="J209" i="165"/>
  <c r="E209" i="165"/>
  <c r="C209" i="165"/>
  <c r="I210" i="165"/>
  <c r="D210" i="165"/>
  <c r="J210" i="165"/>
  <c r="E210" i="165"/>
  <c r="C210" i="165"/>
  <c r="I211" i="165"/>
  <c r="D211" i="165"/>
  <c r="J211" i="165"/>
  <c r="E211" i="165"/>
  <c r="C211" i="165"/>
  <c r="I212" i="165"/>
  <c r="D212" i="165"/>
  <c r="J212" i="165"/>
  <c r="E212" i="165"/>
  <c r="C212" i="165"/>
  <c r="I213" i="165"/>
  <c r="D213" i="165"/>
  <c r="J213" i="165"/>
  <c r="E213" i="165"/>
  <c r="C213" i="165"/>
  <c r="I214" i="165"/>
  <c r="D214" i="165"/>
  <c r="J214" i="165"/>
  <c r="E214" i="165"/>
  <c r="C214" i="165"/>
  <c r="I215" i="165"/>
  <c r="D215" i="165"/>
  <c r="J215" i="165"/>
  <c r="E215" i="165"/>
  <c r="C215" i="165"/>
  <c r="I216" i="165"/>
  <c r="D216" i="165"/>
  <c r="J216" i="165"/>
  <c r="E216" i="165"/>
  <c r="C216" i="165"/>
  <c r="I217" i="165"/>
  <c r="D217" i="165"/>
  <c r="J217" i="165"/>
  <c r="E217" i="165"/>
  <c r="C217" i="165"/>
  <c r="I218" i="165"/>
  <c r="D218" i="165"/>
  <c r="J218" i="165"/>
  <c r="E218" i="165"/>
  <c r="C218" i="165"/>
  <c r="I219" i="165"/>
  <c r="D219" i="165"/>
  <c r="J219" i="165"/>
  <c r="E219" i="165"/>
  <c r="C219" i="165"/>
  <c r="I220" i="165"/>
  <c r="D220" i="165"/>
  <c r="J220" i="165"/>
  <c r="E220" i="165"/>
  <c r="C220" i="165"/>
  <c r="I221" i="165"/>
  <c r="D221" i="165"/>
  <c r="J221" i="165"/>
  <c r="E221" i="165"/>
  <c r="C221" i="165"/>
  <c r="I222" i="165"/>
  <c r="D222" i="165"/>
  <c r="J222" i="165"/>
  <c r="E222" i="165"/>
  <c r="C222" i="165"/>
  <c r="I223" i="165"/>
  <c r="D223" i="165"/>
  <c r="J223" i="165"/>
  <c r="E223" i="165"/>
  <c r="C223" i="165"/>
  <c r="I224" i="165"/>
  <c r="D224" i="165"/>
  <c r="J224" i="165"/>
  <c r="E224" i="165"/>
  <c r="C224" i="165"/>
  <c r="I225" i="165"/>
  <c r="D225" i="165"/>
  <c r="J225" i="165"/>
  <c r="E225" i="165"/>
  <c r="C225" i="165"/>
  <c r="I226" i="165"/>
  <c r="D226" i="165"/>
  <c r="J226" i="165"/>
  <c r="E226" i="165"/>
  <c r="C226" i="165"/>
  <c r="I227" i="165"/>
  <c r="D227" i="165"/>
  <c r="J227" i="165"/>
  <c r="E227" i="165"/>
  <c r="C227" i="165"/>
  <c r="I228" i="165"/>
  <c r="D228" i="165"/>
  <c r="J228" i="165"/>
  <c r="E228" i="165"/>
  <c r="C228" i="165"/>
  <c r="I229" i="165"/>
  <c r="D229" i="165"/>
  <c r="J229" i="165"/>
  <c r="E229" i="165"/>
  <c r="C229" i="165"/>
  <c r="I230" i="165"/>
  <c r="D230" i="165"/>
  <c r="J230" i="165"/>
  <c r="E230" i="165"/>
  <c r="C230" i="165"/>
  <c r="I231" i="165"/>
  <c r="D231" i="165"/>
  <c r="J231" i="165"/>
  <c r="E231" i="165"/>
  <c r="C231" i="165"/>
  <c r="I232" i="165"/>
  <c r="D232" i="165"/>
  <c r="J232" i="165"/>
  <c r="E232" i="165"/>
  <c r="C232" i="165"/>
  <c r="I233" i="165"/>
  <c r="D233" i="165"/>
  <c r="J233" i="165"/>
  <c r="E233" i="165"/>
  <c r="C233" i="165"/>
  <c r="I234" i="165"/>
  <c r="D234" i="165"/>
  <c r="J234" i="165"/>
  <c r="E234" i="165"/>
  <c r="C234" i="165"/>
  <c r="I235" i="165"/>
  <c r="D235" i="165"/>
  <c r="J235" i="165"/>
  <c r="E235" i="165"/>
  <c r="C235" i="165"/>
  <c r="I236" i="165"/>
  <c r="D236" i="165"/>
  <c r="J236" i="165"/>
  <c r="E236" i="165"/>
  <c r="C236" i="165"/>
  <c r="I237" i="165"/>
  <c r="D237" i="165"/>
  <c r="J237" i="165"/>
  <c r="E237" i="165"/>
  <c r="C237" i="165"/>
  <c r="I238" i="165"/>
  <c r="D238" i="165"/>
  <c r="J238" i="165"/>
  <c r="E238" i="165"/>
  <c r="C238" i="165"/>
  <c r="I239" i="165"/>
  <c r="D239" i="165"/>
  <c r="J239" i="165"/>
  <c r="E239" i="165"/>
  <c r="C239" i="165"/>
  <c r="I240" i="165"/>
  <c r="D240" i="165"/>
  <c r="J240" i="165"/>
  <c r="E240" i="165"/>
  <c r="C240" i="165"/>
  <c r="I241" i="165"/>
  <c r="D241" i="165"/>
  <c r="J241" i="165"/>
  <c r="E241" i="165"/>
  <c r="C241" i="165"/>
  <c r="I242" i="165"/>
  <c r="D242" i="165"/>
  <c r="J242" i="165"/>
  <c r="E242" i="165"/>
  <c r="C242" i="165"/>
  <c r="I243" i="165"/>
  <c r="D243" i="165"/>
  <c r="J243" i="165"/>
  <c r="E243" i="165"/>
  <c r="C243" i="165"/>
  <c r="I244" i="165"/>
  <c r="D244" i="165"/>
  <c r="J244" i="165"/>
  <c r="E244" i="165"/>
  <c r="C244" i="165"/>
  <c r="I245" i="165"/>
  <c r="D245" i="165"/>
  <c r="J245" i="165"/>
  <c r="E245" i="165"/>
  <c r="C245" i="165"/>
  <c r="I246" i="165"/>
  <c r="D246" i="165"/>
  <c r="J246" i="165"/>
  <c r="E246" i="165"/>
  <c r="C246" i="165"/>
  <c r="I247" i="165"/>
  <c r="D247" i="165"/>
  <c r="J247" i="165"/>
  <c r="E247" i="165"/>
  <c r="C247" i="165"/>
  <c r="I248" i="165"/>
  <c r="D248" i="165"/>
  <c r="J248" i="165"/>
  <c r="E248" i="165"/>
  <c r="C248" i="165"/>
  <c r="I249" i="165"/>
  <c r="D249" i="165"/>
  <c r="J249" i="165"/>
  <c r="E249" i="165"/>
  <c r="C249" i="165"/>
  <c r="I250" i="165"/>
  <c r="D250" i="165"/>
  <c r="J250" i="165"/>
  <c r="E250" i="165"/>
  <c r="C250" i="165"/>
  <c r="I251" i="165"/>
  <c r="D251" i="165"/>
  <c r="J251" i="165"/>
  <c r="E251" i="165"/>
  <c r="C251" i="165"/>
  <c r="I252" i="165"/>
  <c r="D252" i="165"/>
  <c r="J252" i="165"/>
  <c r="E252" i="165"/>
  <c r="C252" i="165"/>
  <c r="I253" i="165"/>
  <c r="D253" i="165"/>
  <c r="J253" i="165"/>
  <c r="E253" i="165"/>
  <c r="C253" i="165"/>
  <c r="I254" i="165"/>
  <c r="D254" i="165"/>
  <c r="J254" i="165"/>
  <c r="E254" i="165"/>
  <c r="C254" i="165"/>
  <c r="I255" i="165"/>
  <c r="D255" i="165"/>
  <c r="J255" i="165"/>
  <c r="E255" i="165"/>
  <c r="C255" i="165"/>
  <c r="I256" i="165"/>
  <c r="D256" i="165"/>
  <c r="J256" i="165"/>
  <c r="E256" i="165"/>
  <c r="C256" i="165"/>
  <c r="I257" i="165"/>
  <c r="D257" i="165"/>
  <c r="J257" i="165"/>
  <c r="E257" i="165"/>
  <c r="C257" i="165"/>
  <c r="I258" i="165"/>
  <c r="D258" i="165"/>
  <c r="J258" i="165"/>
  <c r="E258" i="165"/>
  <c r="C258" i="165"/>
  <c r="I259" i="165"/>
  <c r="D259" i="165"/>
  <c r="J259" i="165"/>
  <c r="E259" i="165"/>
  <c r="C259" i="165"/>
  <c r="I260" i="165"/>
  <c r="D260" i="165"/>
  <c r="J260" i="165"/>
  <c r="E260" i="165"/>
  <c r="C260" i="165"/>
  <c r="I261" i="165"/>
  <c r="D261" i="165"/>
  <c r="J261" i="165"/>
  <c r="E261" i="165"/>
  <c r="C261" i="165"/>
  <c r="I262" i="165"/>
  <c r="D262" i="165"/>
  <c r="J262" i="165"/>
  <c r="E262" i="165"/>
  <c r="C262" i="165"/>
  <c r="I263" i="165"/>
  <c r="D263" i="165"/>
  <c r="J263" i="165"/>
  <c r="E263" i="165"/>
  <c r="C263" i="165"/>
  <c r="I264" i="165"/>
  <c r="D264" i="165"/>
  <c r="J264" i="165"/>
  <c r="E264" i="165"/>
  <c r="C264" i="165"/>
  <c r="I265" i="165"/>
  <c r="D265" i="165"/>
  <c r="J265" i="165"/>
  <c r="E265" i="165"/>
  <c r="C265" i="165"/>
  <c r="I266" i="165"/>
  <c r="D266" i="165"/>
  <c r="J266" i="165"/>
  <c r="E266" i="165"/>
  <c r="C266" i="165"/>
  <c r="I267" i="165"/>
  <c r="D267" i="165"/>
  <c r="J267" i="165"/>
  <c r="E267" i="165"/>
  <c r="C267" i="165"/>
  <c r="I268" i="165"/>
  <c r="D268" i="165"/>
  <c r="J268" i="165"/>
  <c r="E268" i="165"/>
  <c r="C268" i="165"/>
  <c r="I269" i="165"/>
  <c r="D269" i="165"/>
  <c r="J269" i="165"/>
  <c r="E269" i="165"/>
  <c r="C269" i="165"/>
  <c r="I270" i="165"/>
  <c r="D270" i="165"/>
  <c r="J270" i="165"/>
  <c r="E270" i="165"/>
  <c r="C270" i="165"/>
  <c r="I271" i="165"/>
  <c r="D271" i="165"/>
  <c r="J271" i="165"/>
  <c r="E271" i="165"/>
  <c r="C271" i="165"/>
  <c r="I272" i="165"/>
  <c r="D272" i="165"/>
  <c r="J272" i="165"/>
  <c r="E272" i="165"/>
  <c r="C272" i="165"/>
  <c r="I273" i="165"/>
  <c r="D273" i="165"/>
  <c r="J273" i="165"/>
  <c r="E273" i="165"/>
  <c r="C273" i="165"/>
  <c r="I274" i="165"/>
  <c r="D274" i="165"/>
  <c r="J274" i="165"/>
  <c r="E274" i="165"/>
  <c r="C274" i="165"/>
  <c r="I275" i="165"/>
  <c r="D275" i="165"/>
  <c r="J275" i="165"/>
  <c r="E275" i="165"/>
  <c r="C275" i="165"/>
  <c r="I276" i="165"/>
  <c r="D276" i="165"/>
  <c r="J276" i="165"/>
  <c r="E276" i="165"/>
  <c r="C276" i="165"/>
  <c r="I277" i="165"/>
  <c r="D277" i="165"/>
  <c r="J277" i="165"/>
  <c r="E277" i="165"/>
  <c r="C277" i="165"/>
  <c r="I278" i="165"/>
  <c r="D278" i="165"/>
  <c r="J278" i="165"/>
  <c r="E278" i="165"/>
  <c r="C278" i="165"/>
  <c r="I279" i="165"/>
  <c r="D279" i="165"/>
  <c r="J279" i="165"/>
  <c r="E279" i="165"/>
  <c r="C279" i="165"/>
  <c r="I280" i="165"/>
  <c r="D280" i="165"/>
  <c r="J280" i="165"/>
  <c r="E280" i="165"/>
  <c r="C280" i="165"/>
  <c r="I281" i="165"/>
  <c r="D281" i="165"/>
  <c r="J281" i="165"/>
  <c r="E281" i="165"/>
  <c r="C281" i="165"/>
  <c r="I282" i="165"/>
  <c r="D282" i="165"/>
  <c r="J282" i="165"/>
  <c r="E282" i="165"/>
  <c r="C282" i="165"/>
  <c r="I283" i="165"/>
  <c r="D283" i="165"/>
  <c r="J283" i="165"/>
  <c r="E283" i="165"/>
  <c r="C283" i="165"/>
  <c r="I284" i="165"/>
  <c r="D284" i="165"/>
  <c r="J284" i="165"/>
  <c r="E284" i="165"/>
  <c r="C284" i="165"/>
  <c r="I285" i="165"/>
  <c r="D285" i="165"/>
  <c r="J285" i="165"/>
  <c r="E285" i="165"/>
  <c r="C285" i="165"/>
  <c r="I286" i="165"/>
  <c r="D286" i="165"/>
  <c r="J286" i="165"/>
  <c r="E286" i="165"/>
  <c r="C286" i="165"/>
  <c r="I287" i="165"/>
  <c r="D287" i="165"/>
  <c r="J287" i="165"/>
  <c r="E287" i="165"/>
  <c r="C287" i="165"/>
  <c r="I288" i="165"/>
  <c r="D288" i="165"/>
  <c r="J288" i="165"/>
  <c r="E288" i="165"/>
  <c r="C288" i="165"/>
  <c r="I289" i="165"/>
  <c r="D289" i="165"/>
  <c r="J289" i="165"/>
  <c r="E289" i="165"/>
  <c r="C289" i="165"/>
  <c r="I290" i="165"/>
  <c r="D290" i="165"/>
  <c r="J290" i="165"/>
  <c r="E290" i="165"/>
  <c r="C290" i="165"/>
  <c r="I291" i="165"/>
  <c r="D291" i="165"/>
  <c r="J291" i="165"/>
  <c r="E291" i="165"/>
  <c r="C291" i="165"/>
  <c r="I292" i="165"/>
  <c r="D292" i="165"/>
  <c r="J292" i="165"/>
  <c r="E292" i="165"/>
  <c r="C292" i="165"/>
  <c r="I293" i="165"/>
  <c r="D293" i="165"/>
  <c r="J293" i="165"/>
  <c r="E293" i="165"/>
  <c r="C293" i="165"/>
  <c r="I294" i="165"/>
  <c r="D294" i="165"/>
  <c r="J294" i="165"/>
  <c r="E294" i="165"/>
  <c r="C294" i="165"/>
  <c r="I295" i="165"/>
  <c r="D295" i="165"/>
  <c r="J295" i="165"/>
  <c r="E295" i="165"/>
  <c r="C295" i="165"/>
  <c r="I296" i="165"/>
  <c r="D296" i="165"/>
  <c r="J296" i="165"/>
  <c r="E296" i="165"/>
  <c r="C296" i="165"/>
  <c r="I297" i="165"/>
  <c r="D297" i="165"/>
  <c r="J297" i="165"/>
  <c r="E297" i="165"/>
  <c r="C297" i="165"/>
  <c r="I298" i="165"/>
  <c r="D298" i="165"/>
  <c r="J298" i="165"/>
  <c r="E298" i="165"/>
  <c r="C298" i="165"/>
  <c r="I299" i="165"/>
  <c r="D299" i="165"/>
  <c r="J299" i="165"/>
  <c r="E299" i="165"/>
  <c r="C299" i="165"/>
  <c r="I300" i="165"/>
  <c r="D300" i="165"/>
  <c r="J300" i="165"/>
  <c r="E300" i="165"/>
  <c r="C300" i="165"/>
  <c r="I301" i="165"/>
  <c r="D301" i="165"/>
  <c r="J301" i="165"/>
  <c r="E301" i="165"/>
  <c r="C301" i="165"/>
  <c r="I302" i="165"/>
  <c r="D302" i="165"/>
  <c r="J302" i="165"/>
  <c r="E302" i="165"/>
  <c r="C302" i="165"/>
  <c r="I303" i="165"/>
  <c r="D303" i="165"/>
  <c r="J303" i="165"/>
  <c r="E303" i="165"/>
  <c r="C303" i="165"/>
  <c r="I304" i="165"/>
  <c r="D304" i="165"/>
  <c r="J304" i="165"/>
  <c r="E304" i="165"/>
  <c r="C304" i="165"/>
  <c r="I305" i="165"/>
  <c r="D305" i="165"/>
  <c r="J305" i="165"/>
  <c r="E305" i="165"/>
  <c r="C305" i="165"/>
  <c r="I306" i="165"/>
  <c r="D306" i="165"/>
  <c r="J306" i="165"/>
  <c r="E306" i="165"/>
  <c r="C306" i="165"/>
  <c r="I307" i="165"/>
  <c r="D307" i="165"/>
  <c r="J307" i="165"/>
  <c r="E307" i="165"/>
  <c r="C307" i="165"/>
  <c r="I308" i="165"/>
  <c r="D308" i="165"/>
  <c r="J308" i="165"/>
  <c r="E308" i="165"/>
  <c r="C308" i="165"/>
  <c r="I309" i="165"/>
  <c r="D309" i="165"/>
  <c r="J309" i="165"/>
  <c r="E309" i="165"/>
  <c r="C309" i="165"/>
  <c r="I310" i="165"/>
  <c r="D310" i="165"/>
  <c r="J310" i="165"/>
  <c r="E310" i="165"/>
  <c r="C310" i="165"/>
  <c r="I311" i="165"/>
  <c r="D311" i="165"/>
  <c r="J311" i="165"/>
  <c r="E311" i="165"/>
  <c r="C311" i="165"/>
  <c r="I312" i="165"/>
  <c r="D312" i="165"/>
  <c r="J312" i="165"/>
  <c r="E312" i="165"/>
  <c r="C312" i="165"/>
  <c r="I313" i="165"/>
  <c r="D313" i="165"/>
  <c r="J313" i="165"/>
  <c r="E313" i="165"/>
  <c r="C313" i="165"/>
  <c r="I314" i="165"/>
  <c r="D314" i="165"/>
  <c r="J314" i="165"/>
  <c r="E314" i="165"/>
  <c r="C314" i="165"/>
  <c r="I315" i="165"/>
  <c r="D315" i="165"/>
  <c r="J315" i="165"/>
  <c r="E315" i="165"/>
  <c r="C315" i="165"/>
  <c r="I316" i="165"/>
  <c r="D316" i="165"/>
  <c r="J316" i="165"/>
  <c r="E316" i="165"/>
  <c r="C316" i="165"/>
  <c r="I317" i="165"/>
  <c r="D317" i="165"/>
  <c r="J317" i="165"/>
  <c r="E317" i="165"/>
  <c r="C317" i="165"/>
  <c r="I318" i="165"/>
  <c r="D318" i="165"/>
  <c r="J318" i="165"/>
  <c r="E318" i="165"/>
  <c r="C318" i="165"/>
  <c r="I319" i="165"/>
  <c r="D319" i="165"/>
  <c r="J319" i="165"/>
  <c r="E319" i="165"/>
  <c r="C319" i="165"/>
  <c r="I320" i="165"/>
  <c r="D320" i="165"/>
  <c r="J320" i="165"/>
  <c r="E320" i="165"/>
  <c r="C320" i="165"/>
  <c r="I321" i="165"/>
  <c r="D321" i="165"/>
  <c r="J321" i="165"/>
  <c r="E321" i="165"/>
  <c r="C321" i="165"/>
  <c r="I322" i="165"/>
  <c r="D322" i="165"/>
  <c r="J322" i="165"/>
  <c r="E322" i="165"/>
  <c r="C322" i="165"/>
  <c r="I323" i="165"/>
  <c r="D323" i="165"/>
  <c r="J323" i="165"/>
  <c r="E323" i="165"/>
  <c r="C323" i="165"/>
  <c r="I324" i="165"/>
  <c r="D324" i="165"/>
  <c r="J324" i="165"/>
  <c r="E324" i="165"/>
  <c r="C324" i="165"/>
  <c r="F5" i="163"/>
  <c r="F6" i="163"/>
  <c r="A36" i="163"/>
  <c r="E6" i="163"/>
  <c r="I307" i="154"/>
  <c r="D307" i="154"/>
  <c r="J307" i="154"/>
  <c r="E307" i="154"/>
  <c r="C307" i="154"/>
  <c r="Q3" i="163"/>
  <c r="I308" i="154"/>
  <c r="D308" i="154"/>
  <c r="J308" i="154"/>
  <c r="E308" i="154"/>
  <c r="C308" i="154"/>
  <c r="Q4" i="163"/>
  <c r="I309" i="154"/>
  <c r="D309" i="154"/>
  <c r="J309" i="154"/>
  <c r="E309" i="154"/>
  <c r="C309" i="154"/>
  <c r="Q5" i="163"/>
  <c r="I314" i="154"/>
  <c r="D314" i="154"/>
  <c r="J314" i="154"/>
  <c r="E314" i="154"/>
  <c r="C314" i="154"/>
  <c r="Q6" i="163"/>
  <c r="I313" i="154"/>
  <c r="D313" i="154"/>
  <c r="J313" i="154"/>
  <c r="E313" i="154"/>
  <c r="C313" i="154"/>
  <c r="Q7" i="163"/>
  <c r="I312" i="154"/>
  <c r="D312" i="154"/>
  <c r="J312" i="154"/>
  <c r="E312" i="154"/>
  <c r="C312" i="154"/>
  <c r="Q8" i="163"/>
  <c r="I299" i="154"/>
  <c r="D299" i="154"/>
  <c r="J299" i="154"/>
  <c r="E299" i="154"/>
  <c r="C299" i="154"/>
  <c r="Q9" i="163"/>
  <c r="I295" i="154"/>
  <c r="D295" i="154"/>
  <c r="J295" i="154"/>
  <c r="E295" i="154"/>
  <c r="C295" i="154"/>
  <c r="Q10" i="163"/>
  <c r="I296" i="154"/>
  <c r="D296" i="154"/>
  <c r="J296" i="154"/>
  <c r="E296" i="154"/>
  <c r="C296" i="154"/>
  <c r="Q11" i="163"/>
  <c r="I304" i="154"/>
  <c r="D304" i="154"/>
  <c r="J304" i="154"/>
  <c r="E304" i="154"/>
  <c r="C304" i="154"/>
  <c r="Q12" i="163"/>
  <c r="I302" i="154"/>
  <c r="D302" i="154"/>
  <c r="J302" i="154"/>
  <c r="E302" i="154"/>
  <c r="C302" i="154"/>
  <c r="Q13" i="163"/>
  <c r="Q14" i="163"/>
  <c r="I300" i="154"/>
  <c r="D300" i="154"/>
  <c r="J300" i="154"/>
  <c r="E300" i="154"/>
  <c r="C300" i="154"/>
  <c r="Q15" i="163"/>
  <c r="I301" i="154"/>
  <c r="D301" i="154"/>
  <c r="J301" i="154"/>
  <c r="E301" i="154"/>
  <c r="C301" i="154"/>
  <c r="Q16" i="163"/>
  <c r="I297" i="154"/>
  <c r="D297" i="154"/>
  <c r="J297" i="154"/>
  <c r="E297" i="154"/>
  <c r="C297" i="154"/>
  <c r="Q17" i="163"/>
  <c r="I298" i="154"/>
  <c r="D298" i="154"/>
  <c r="J298" i="154"/>
  <c r="E298" i="154"/>
  <c r="C298" i="154"/>
  <c r="Q18" i="163"/>
  <c r="I305" i="154"/>
  <c r="D305" i="154"/>
  <c r="J305" i="154"/>
  <c r="E305" i="154"/>
  <c r="C305" i="154"/>
  <c r="Q19" i="163"/>
  <c r="I306" i="154"/>
  <c r="D306" i="154"/>
  <c r="J306" i="154"/>
  <c r="E306" i="154"/>
  <c r="C306" i="154"/>
  <c r="Q20" i="163"/>
  <c r="I310" i="154"/>
  <c r="D310" i="154"/>
  <c r="J310" i="154"/>
  <c r="E310" i="154"/>
  <c r="C310" i="154"/>
  <c r="Q21" i="163"/>
  <c r="I311" i="154"/>
  <c r="D311" i="154"/>
  <c r="J311" i="154"/>
  <c r="E311" i="154"/>
  <c r="C311" i="154"/>
  <c r="Q22" i="163"/>
  <c r="E26" i="163"/>
  <c r="E23" i="163"/>
  <c r="E5" i="163"/>
  <c r="E28" i="163"/>
  <c r="B28" i="163"/>
  <c r="E29" i="163"/>
  <c r="E21" i="163"/>
  <c r="E19" i="163"/>
  <c r="B19" i="163"/>
  <c r="E24" i="163"/>
  <c r="B24" i="163"/>
  <c r="B17" i="163"/>
  <c r="G17" i="163"/>
  <c r="E17" i="163"/>
  <c r="H17" i="163"/>
  <c r="E18" i="163"/>
  <c r="B18" i="163"/>
  <c r="G18" i="163"/>
  <c r="H18" i="163"/>
  <c r="G24" i="163"/>
  <c r="H24" i="163"/>
  <c r="E25" i="163"/>
  <c r="B25" i="163"/>
  <c r="G25" i="163"/>
  <c r="H25" i="163"/>
  <c r="G19" i="163"/>
  <c r="H19" i="163"/>
  <c r="E20" i="163"/>
  <c r="E27" i="163"/>
  <c r="G28" i="163"/>
  <c r="H28" i="163"/>
  <c r="E22" i="163"/>
  <c r="R10" i="163"/>
  <c r="R11" i="163"/>
  <c r="R17" i="163"/>
  <c r="R18" i="163"/>
  <c r="R9" i="163"/>
  <c r="R15" i="163"/>
  <c r="R16" i="163"/>
  <c r="R13" i="163"/>
  <c r="R12" i="163"/>
  <c r="R19" i="163"/>
  <c r="R20" i="163"/>
  <c r="R3" i="163"/>
  <c r="R4" i="163"/>
  <c r="R5" i="163"/>
  <c r="R21" i="163"/>
  <c r="R22" i="163"/>
  <c r="R8" i="163"/>
  <c r="R7" i="163"/>
  <c r="R6" i="163"/>
  <c r="F34" i="163"/>
  <c r="F41" i="163"/>
  <c r="G41" i="163"/>
  <c r="F33" i="163"/>
  <c r="B30" i="163"/>
  <c r="P22" i="163"/>
  <c r="O22" i="163"/>
  <c r="M22" i="163"/>
  <c r="P21" i="163"/>
  <c r="O21" i="163"/>
  <c r="M21" i="163"/>
  <c r="P20" i="163"/>
  <c r="O20" i="163"/>
  <c r="M20" i="163"/>
  <c r="P19" i="163"/>
  <c r="O19" i="163"/>
  <c r="M19" i="163"/>
  <c r="P18" i="163"/>
  <c r="O18" i="163"/>
  <c r="M18" i="163"/>
  <c r="P17" i="163"/>
  <c r="O17" i="163"/>
  <c r="M17" i="163"/>
  <c r="P16" i="163"/>
  <c r="O16" i="163"/>
  <c r="M16" i="163"/>
  <c r="P15" i="163"/>
  <c r="O15" i="163"/>
  <c r="M15" i="163"/>
  <c r="R14" i="163"/>
  <c r="P14" i="163"/>
  <c r="O14" i="163"/>
  <c r="M14" i="163"/>
  <c r="P13" i="163"/>
  <c r="O13" i="163"/>
  <c r="M13" i="163"/>
  <c r="P12" i="163"/>
  <c r="O12" i="163"/>
  <c r="M12" i="163"/>
  <c r="P11" i="163"/>
  <c r="O11" i="163"/>
  <c r="M11" i="163"/>
  <c r="P10" i="163"/>
  <c r="O10" i="163"/>
  <c r="M10" i="163"/>
  <c r="P9" i="163"/>
  <c r="O9" i="163"/>
  <c r="M9" i="163"/>
  <c r="P8" i="163"/>
  <c r="O8" i="163"/>
  <c r="M8" i="163"/>
  <c r="P7" i="163"/>
  <c r="O7" i="163"/>
  <c r="M7" i="163"/>
  <c r="P6" i="163"/>
  <c r="O6" i="163"/>
  <c r="M6" i="163"/>
  <c r="P5" i="163"/>
  <c r="O5" i="163"/>
  <c r="M5" i="163"/>
  <c r="P4" i="163"/>
  <c r="O4" i="163"/>
  <c r="M4" i="163"/>
  <c r="P3" i="163"/>
  <c r="O3" i="163"/>
  <c r="M3" i="163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303" i="154"/>
  <c r="D303" i="154"/>
  <c r="J303" i="154"/>
  <c r="E303" i="154"/>
  <c r="C303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Q21" i="153"/>
  <c r="Q22" i="153"/>
  <c r="E20" i="153"/>
  <c r="F5" i="153"/>
  <c r="E5" i="153"/>
  <c r="E27" i="153"/>
  <c r="A36" i="153"/>
  <c r="R4" i="153"/>
  <c r="E19" i="153"/>
  <c r="E24" i="153"/>
  <c r="E17" i="153"/>
  <c r="E18" i="153"/>
  <c r="E25" i="153"/>
  <c r="E26" i="153"/>
  <c r="E23" i="153"/>
  <c r="E28" i="153"/>
  <c r="E29" i="153"/>
  <c r="E21" i="153"/>
  <c r="E22" i="153"/>
  <c r="R10" i="153"/>
  <c r="R11" i="153"/>
  <c r="R17" i="153"/>
  <c r="R18" i="153"/>
  <c r="R9" i="153"/>
  <c r="R15" i="153"/>
  <c r="R16" i="153"/>
  <c r="R13" i="153"/>
  <c r="R12" i="153"/>
  <c r="R19" i="153"/>
  <c r="R20" i="153"/>
  <c r="R3" i="153"/>
  <c r="R5" i="153"/>
  <c r="R21" i="153"/>
  <c r="R22" i="153"/>
  <c r="R8" i="153"/>
  <c r="R7" i="153"/>
  <c r="R6" i="153"/>
  <c r="P308" i="154"/>
  <c r="P313" i="154"/>
  <c r="P315" i="154"/>
  <c r="P320" i="154"/>
  <c r="F49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9" i="154"/>
  <c r="P310" i="154"/>
  <c r="P311" i="154"/>
  <c r="P312" i="154"/>
  <c r="P314" i="154"/>
  <c r="P316" i="154"/>
  <c r="P317" i="154"/>
  <c r="P318" i="154"/>
  <c r="P319" i="154"/>
  <c r="P321" i="154"/>
  <c r="P322" i="154"/>
  <c r="P323" i="154"/>
  <c r="P324" i="154"/>
  <c r="F48" i="153"/>
  <c r="O21" i="153"/>
  <c r="P21" i="153"/>
  <c r="O22" i="153"/>
  <c r="P22" i="153"/>
  <c r="M21" i="153"/>
  <c r="M22" i="153"/>
  <c r="F320" i="165"/>
  <c r="H320" i="165"/>
  <c r="K320" i="165"/>
  <c r="L320" i="165"/>
  <c r="M320" i="165"/>
  <c r="N320" i="165"/>
  <c r="F321" i="165"/>
  <c r="F322" i="165"/>
  <c r="F323" i="165"/>
  <c r="F324" i="165"/>
  <c r="H321" i="165"/>
  <c r="K321" i="165"/>
  <c r="L321" i="165"/>
  <c r="M321" i="165"/>
  <c r="N321" i="165"/>
  <c r="H322" i="165"/>
  <c r="K322" i="165"/>
  <c r="L322" i="165"/>
  <c r="M322" i="165"/>
  <c r="N322" i="165"/>
  <c r="H323" i="165"/>
  <c r="K323" i="165"/>
  <c r="L323" i="165"/>
  <c r="M323" i="165"/>
  <c r="N323" i="165"/>
  <c r="H324" i="165"/>
  <c r="K324" i="165"/>
  <c r="L324" i="165"/>
  <c r="M324" i="165"/>
  <c r="N324" i="165"/>
  <c r="A320" i="165"/>
  <c r="A321" i="165"/>
  <c r="A322" i="165"/>
  <c r="A323" i="165"/>
  <c r="A324" i="165"/>
  <c r="C19" i="163"/>
  <c r="C20" i="163"/>
  <c r="C21" i="163"/>
  <c r="C22" i="163"/>
  <c r="C23" i="163"/>
  <c r="C24" i="163"/>
  <c r="C25" i="163"/>
  <c r="C26" i="163"/>
  <c r="C27" i="163"/>
  <c r="C28" i="163"/>
  <c r="C29" i="163"/>
  <c r="C30" i="163"/>
  <c r="C31" i="163"/>
  <c r="C32" i="163"/>
  <c r="R14" i="153"/>
  <c r="F320" i="154"/>
  <c r="H320" i="154"/>
  <c r="K320" i="154"/>
  <c r="L320" i="154"/>
  <c r="M320" i="154"/>
  <c r="N320" i="154"/>
  <c r="F321" i="154"/>
  <c r="F322" i="154"/>
  <c r="F323" i="154"/>
  <c r="F324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F40" i="163"/>
  <c r="F50" i="163"/>
  <c r="F47" i="163"/>
  <c r="F46" i="163"/>
  <c r="B46" i="163"/>
  <c r="F45" i="163"/>
  <c r="B45" i="163"/>
  <c r="B44" i="163"/>
  <c r="B43" i="163"/>
  <c r="B42" i="163"/>
  <c r="B41" i="163"/>
  <c r="B40" i="163"/>
  <c r="E31" i="163"/>
  <c r="E30" i="163"/>
  <c r="G40" i="163"/>
  <c r="A3" i="165"/>
  <c r="A4" i="165"/>
  <c r="A5" i="165"/>
  <c r="A6" i="165"/>
  <c r="A7" i="165"/>
  <c r="A8" i="165"/>
  <c r="A9" i="165"/>
  <c r="A10" i="165"/>
  <c r="A11" i="165"/>
  <c r="A12" i="165"/>
  <c r="A13" i="165"/>
  <c r="A14" i="165"/>
  <c r="A15" i="165"/>
  <c r="A16" i="165"/>
  <c r="A17" i="165"/>
  <c r="A18" i="165"/>
  <c r="A19" i="165"/>
  <c r="A20" i="165"/>
  <c r="A21" i="165"/>
  <c r="A22" i="165"/>
  <c r="A23" i="165"/>
  <c r="A24" i="165"/>
  <c r="A25" i="165"/>
  <c r="A26" i="165"/>
  <c r="A27" i="165"/>
  <c r="A28" i="165"/>
  <c r="A29" i="165"/>
  <c r="A30" i="165"/>
  <c r="A31" i="165"/>
  <c r="A32" i="165"/>
  <c r="A33" i="165"/>
  <c r="A34" i="165"/>
  <c r="A35" i="165"/>
  <c r="A36" i="165"/>
  <c r="A37" i="165"/>
  <c r="A38" i="165"/>
  <c r="A39" i="165"/>
  <c r="A40" i="165"/>
  <c r="A41" i="165"/>
  <c r="A42" i="165"/>
  <c r="A43" i="165"/>
  <c r="A44" i="165"/>
  <c r="A45" i="165"/>
  <c r="A46" i="165"/>
  <c r="A47" i="165"/>
  <c r="A48" i="165"/>
  <c r="A49" i="165"/>
  <c r="A50" i="165"/>
  <c r="A51" i="165"/>
  <c r="A52" i="165"/>
  <c r="A53" i="165"/>
  <c r="A54" i="165"/>
  <c r="A55" i="165"/>
  <c r="A56" i="165"/>
  <c r="A57" i="165"/>
  <c r="A58" i="165"/>
  <c r="A59" i="165"/>
  <c r="A60" i="165"/>
  <c r="A61" i="165"/>
  <c r="A62" i="165"/>
  <c r="A63" i="165"/>
  <c r="A64" i="165"/>
  <c r="A65" i="165"/>
  <c r="A66" i="165"/>
  <c r="A67" i="165"/>
  <c r="A68" i="165"/>
  <c r="A69" i="165"/>
  <c r="A70" i="165"/>
  <c r="A71" i="165"/>
  <c r="A72" i="165"/>
  <c r="A73" i="165"/>
  <c r="A74" i="165"/>
  <c r="A75" i="165"/>
  <c r="A76" i="165"/>
  <c r="A77" i="165"/>
  <c r="A78" i="165"/>
  <c r="A79" i="165"/>
  <c r="A80" i="165"/>
  <c r="A81" i="165"/>
  <c r="A82" i="165"/>
  <c r="A83" i="165"/>
  <c r="A84" i="165"/>
  <c r="A85" i="165"/>
  <c r="A86" i="165"/>
  <c r="A87" i="165"/>
  <c r="A88" i="165"/>
  <c r="A89" i="165"/>
  <c r="A90" i="165"/>
  <c r="A91" i="165"/>
  <c r="A92" i="165"/>
  <c r="A93" i="165"/>
  <c r="A94" i="165"/>
  <c r="A95" i="165"/>
  <c r="A96" i="165"/>
  <c r="A97" i="165"/>
  <c r="A98" i="165"/>
  <c r="A99" i="165"/>
  <c r="A100" i="165"/>
  <c r="A101" i="165"/>
  <c r="A102" i="165"/>
  <c r="A103" i="165"/>
  <c r="A104" i="165"/>
  <c r="A105" i="165"/>
  <c r="A106" i="165"/>
  <c r="A107" i="165"/>
  <c r="A108" i="165"/>
  <c r="A109" i="165"/>
  <c r="A110" i="165"/>
  <c r="A111" i="165"/>
  <c r="A112" i="165"/>
  <c r="A113" i="165"/>
  <c r="A114" i="165"/>
  <c r="A115" i="165"/>
  <c r="A116" i="165"/>
  <c r="A117" i="165"/>
  <c r="A118" i="165"/>
  <c r="A119" i="165"/>
  <c r="A120" i="165"/>
  <c r="A121" i="165"/>
  <c r="A122" i="165"/>
  <c r="A123" i="165"/>
  <c r="A124" i="165"/>
  <c r="A125" i="165"/>
  <c r="A126" i="165"/>
  <c r="A127" i="165"/>
  <c r="A128" i="165"/>
  <c r="A129" i="165"/>
  <c r="A130" i="165"/>
  <c r="A131" i="165"/>
  <c r="A132" i="165"/>
  <c r="A133" i="165"/>
  <c r="A134" i="165"/>
  <c r="A135" i="165"/>
  <c r="A136" i="165"/>
  <c r="A137" i="165"/>
  <c r="A138" i="165"/>
  <c r="A139" i="165"/>
  <c r="A140" i="165"/>
  <c r="A141" i="165"/>
  <c r="A142" i="165"/>
  <c r="A143" i="165"/>
  <c r="A144" i="165"/>
  <c r="A145" i="165"/>
  <c r="A146" i="165"/>
  <c r="A147" i="165"/>
  <c r="A148" i="165"/>
  <c r="A149" i="165"/>
  <c r="A150" i="165"/>
  <c r="A151" i="165"/>
  <c r="A152" i="165"/>
  <c r="A153" i="165"/>
  <c r="A154" i="165"/>
  <c r="A155" i="165"/>
  <c r="A156" i="165"/>
  <c r="A157" i="165"/>
  <c r="A158" i="165"/>
  <c r="A159" i="165"/>
  <c r="A160" i="165"/>
  <c r="A161" i="165"/>
  <c r="A162" i="165"/>
  <c r="A163" i="165"/>
  <c r="A164" i="165"/>
  <c r="A165" i="165"/>
  <c r="A166" i="165"/>
  <c r="A167" i="165"/>
  <c r="A168" i="165"/>
  <c r="A169" i="165"/>
  <c r="A170" i="165"/>
  <c r="A171" i="165"/>
  <c r="A172" i="165"/>
  <c r="A173" i="165"/>
  <c r="A174" i="165"/>
  <c r="A175" i="165"/>
  <c r="A176" i="165"/>
  <c r="A177" i="165"/>
  <c r="A178" i="165"/>
  <c r="A179" i="165"/>
  <c r="A180" i="165"/>
  <c r="A181" i="165"/>
  <c r="A182" i="165"/>
  <c r="A183" i="165"/>
  <c r="A184" i="165"/>
  <c r="A185" i="165"/>
  <c r="A186" i="165"/>
  <c r="A187" i="165"/>
  <c r="A188" i="165"/>
  <c r="A189" i="165"/>
  <c r="A190" i="165"/>
  <c r="A191" i="165"/>
  <c r="A192" i="165"/>
  <c r="A193" i="165"/>
  <c r="A194" i="165"/>
  <c r="A195" i="165"/>
  <c r="A196" i="165"/>
  <c r="A197" i="165"/>
  <c r="A198" i="165"/>
  <c r="A199" i="165"/>
  <c r="A200" i="165"/>
  <c r="A201" i="165"/>
  <c r="A202" i="165"/>
  <c r="A203" i="165"/>
  <c r="A204" i="165"/>
  <c r="A205" i="165"/>
  <c r="A206" i="165"/>
  <c r="A207" i="165"/>
  <c r="A208" i="165"/>
  <c r="A209" i="165"/>
  <c r="A210" i="165"/>
  <c r="A211" i="165"/>
  <c r="A212" i="165"/>
  <c r="A213" i="165"/>
  <c r="A214" i="165"/>
  <c r="A215" i="165"/>
  <c r="A216" i="165"/>
  <c r="A217" i="165"/>
  <c r="A218" i="165"/>
  <c r="A219" i="165"/>
  <c r="A220" i="165"/>
  <c r="A221" i="165"/>
  <c r="A222" i="165"/>
  <c r="A223" i="165"/>
  <c r="A224" i="165"/>
  <c r="A225" i="165"/>
  <c r="A226" i="165"/>
  <c r="A227" i="165"/>
  <c r="A228" i="165"/>
  <c r="A229" i="165"/>
  <c r="A230" i="165"/>
  <c r="A231" i="165"/>
  <c r="A232" i="165"/>
  <c r="A233" i="165"/>
  <c r="A234" i="165"/>
  <c r="A235" i="165"/>
  <c r="A236" i="165"/>
  <c r="A237" i="165"/>
  <c r="A238" i="165"/>
  <c r="A239" i="165"/>
  <c r="A240" i="165"/>
  <c r="A241" i="165"/>
  <c r="A242" i="165"/>
  <c r="A243" i="165"/>
  <c r="A244" i="165"/>
  <c r="A245" i="165"/>
  <c r="A246" i="165"/>
  <c r="A247" i="165"/>
  <c r="A248" i="165"/>
  <c r="A249" i="165"/>
  <c r="A250" i="165"/>
  <c r="A251" i="165"/>
  <c r="A252" i="165"/>
  <c r="A253" i="165"/>
  <c r="A254" i="165"/>
  <c r="A255" i="165"/>
  <c r="A256" i="165"/>
  <c r="A257" i="165"/>
  <c r="A258" i="165"/>
  <c r="A259" i="165"/>
  <c r="A260" i="165"/>
  <c r="A261" i="165"/>
  <c r="A262" i="165"/>
  <c r="A263" i="165"/>
  <c r="A264" i="165"/>
  <c r="A265" i="165"/>
  <c r="A266" i="165"/>
  <c r="A267" i="165"/>
  <c r="A268" i="165"/>
  <c r="A269" i="165"/>
  <c r="A270" i="165"/>
  <c r="A271" i="165"/>
  <c r="A272" i="165"/>
  <c r="A273" i="165"/>
  <c r="A274" i="165"/>
  <c r="A275" i="165"/>
  <c r="A276" i="165"/>
  <c r="A277" i="165"/>
  <c r="A278" i="165"/>
  <c r="A279" i="165"/>
  <c r="A280" i="165"/>
  <c r="A281" i="165"/>
  <c r="A282" i="165"/>
  <c r="A283" i="165"/>
  <c r="A284" i="165"/>
  <c r="A285" i="165"/>
  <c r="A286" i="165"/>
  <c r="A287" i="165"/>
  <c r="A288" i="165"/>
  <c r="A289" i="165"/>
  <c r="A290" i="165"/>
  <c r="A291" i="165"/>
  <c r="A292" i="165"/>
  <c r="A293" i="165"/>
  <c r="A294" i="165"/>
  <c r="A295" i="165"/>
  <c r="A296" i="165"/>
  <c r="A297" i="165"/>
  <c r="A298" i="165"/>
  <c r="A299" i="165"/>
  <c r="A300" i="165"/>
  <c r="A301" i="165"/>
  <c r="A302" i="165"/>
  <c r="A303" i="165"/>
  <c r="A304" i="165"/>
  <c r="A305" i="165"/>
  <c r="A306" i="165"/>
  <c r="A307" i="165"/>
  <c r="A308" i="165"/>
  <c r="A309" i="165"/>
  <c r="A310" i="165"/>
  <c r="A311" i="165"/>
  <c r="A312" i="165"/>
  <c r="A313" i="165"/>
  <c r="A314" i="165"/>
  <c r="A315" i="165"/>
  <c r="A316" i="165"/>
  <c r="A317" i="165"/>
  <c r="A318" i="165"/>
  <c r="A319" i="165"/>
  <c r="A2" i="165"/>
  <c r="F319" i="165"/>
  <c r="F2" i="165"/>
  <c r="F3" i="165"/>
  <c r="F4" i="165"/>
  <c r="F5" i="165"/>
  <c r="F6" i="165"/>
  <c r="F7" i="165"/>
  <c r="F8" i="165"/>
  <c r="F9" i="165"/>
  <c r="F10" i="165"/>
  <c r="F11" i="165"/>
  <c r="F12" i="165"/>
  <c r="F13" i="165"/>
  <c r="F14" i="165"/>
  <c r="F15" i="165"/>
  <c r="F16" i="165"/>
  <c r="F17" i="165"/>
  <c r="F18" i="165"/>
  <c r="F19" i="165"/>
  <c r="F20" i="165"/>
  <c r="F21" i="165"/>
  <c r="F22" i="165"/>
  <c r="F23" i="165"/>
  <c r="F24" i="165"/>
  <c r="F25" i="165"/>
  <c r="F26" i="165"/>
  <c r="F27" i="165"/>
  <c r="F28" i="165"/>
  <c r="F29" i="165"/>
  <c r="F30" i="165"/>
  <c r="F31" i="165"/>
  <c r="F32" i="165"/>
  <c r="F33" i="165"/>
  <c r="F34" i="165"/>
  <c r="F35" i="165"/>
  <c r="F36" i="165"/>
  <c r="F37" i="165"/>
  <c r="F38" i="165"/>
  <c r="F39" i="165"/>
  <c r="F40" i="165"/>
  <c r="F41" i="165"/>
  <c r="F42" i="165"/>
  <c r="F43" i="165"/>
  <c r="F44" i="165"/>
  <c r="F45" i="165"/>
  <c r="F46" i="165"/>
  <c r="F47" i="165"/>
  <c r="F48" i="165"/>
  <c r="F49" i="165"/>
  <c r="F50" i="165"/>
  <c r="F51" i="165"/>
  <c r="F52" i="165"/>
  <c r="F53" i="165"/>
  <c r="F54" i="165"/>
  <c r="F55" i="165"/>
  <c r="F56" i="165"/>
  <c r="F57" i="165"/>
  <c r="F58" i="165"/>
  <c r="F59" i="165"/>
  <c r="F60" i="165"/>
  <c r="F61" i="165"/>
  <c r="F62" i="165"/>
  <c r="F63" i="165"/>
  <c r="F64" i="165"/>
  <c r="F65" i="165"/>
  <c r="F66" i="165"/>
  <c r="F67" i="165"/>
  <c r="F68" i="165"/>
  <c r="F69" i="165"/>
  <c r="F70" i="165"/>
  <c r="F71" i="165"/>
  <c r="F72" i="165"/>
  <c r="F73" i="165"/>
  <c r="F74" i="165"/>
  <c r="F75" i="165"/>
  <c r="F76" i="165"/>
  <c r="F77" i="165"/>
  <c r="F78" i="165"/>
  <c r="F79" i="165"/>
  <c r="F80" i="165"/>
  <c r="F81" i="165"/>
  <c r="F82" i="165"/>
  <c r="F83" i="165"/>
  <c r="F84" i="165"/>
  <c r="F85" i="165"/>
  <c r="F86" i="165"/>
  <c r="F87" i="165"/>
  <c r="F88" i="165"/>
  <c r="F89" i="165"/>
  <c r="F90" i="165"/>
  <c r="F91" i="165"/>
  <c r="F92" i="165"/>
  <c r="F93" i="165"/>
  <c r="F94" i="165"/>
  <c r="F95" i="165"/>
  <c r="F96" i="165"/>
  <c r="F97" i="165"/>
  <c r="F98" i="165"/>
  <c r="F99" i="165"/>
  <c r="F100" i="165"/>
  <c r="F101" i="165"/>
  <c r="F102" i="165"/>
  <c r="F103" i="165"/>
  <c r="F104" i="165"/>
  <c r="F105" i="165"/>
  <c r="F106" i="165"/>
  <c r="F107" i="165"/>
  <c r="F108" i="165"/>
  <c r="F109" i="165"/>
  <c r="F110" i="165"/>
  <c r="F111" i="165"/>
  <c r="F112" i="165"/>
  <c r="F113" i="165"/>
  <c r="F114" i="165"/>
  <c r="F115" i="165"/>
  <c r="F116" i="165"/>
  <c r="F117" i="165"/>
  <c r="F118" i="165"/>
  <c r="F119" i="165"/>
  <c r="F120" i="165"/>
  <c r="F121" i="165"/>
  <c r="F122" i="165"/>
  <c r="F123" i="165"/>
  <c r="F124" i="165"/>
  <c r="F125" i="165"/>
  <c r="F126" i="165"/>
  <c r="F127" i="165"/>
  <c r="F128" i="165"/>
  <c r="F129" i="165"/>
  <c r="F130" i="165"/>
  <c r="F131" i="165"/>
  <c r="F132" i="165"/>
  <c r="F133" i="165"/>
  <c r="F134" i="165"/>
  <c r="F135" i="165"/>
  <c r="F136" i="165"/>
  <c r="F137" i="165"/>
  <c r="F138" i="165"/>
  <c r="F139" i="165"/>
  <c r="F140" i="165"/>
  <c r="F141" i="165"/>
  <c r="F142" i="165"/>
  <c r="F143" i="165"/>
  <c r="F144" i="165"/>
  <c r="F145" i="165"/>
  <c r="F146" i="165"/>
  <c r="F147" i="165"/>
  <c r="F148" i="165"/>
  <c r="F149" i="165"/>
  <c r="F150" i="165"/>
  <c r="F151" i="165"/>
  <c r="F152" i="165"/>
  <c r="F153" i="165"/>
  <c r="F154" i="165"/>
  <c r="F155" i="165"/>
  <c r="F156" i="165"/>
  <c r="F157" i="165"/>
  <c r="F158" i="165"/>
  <c r="F159" i="165"/>
  <c r="F160" i="165"/>
  <c r="F161" i="165"/>
  <c r="F162" i="165"/>
  <c r="F163" i="165"/>
  <c r="F164" i="165"/>
  <c r="F165" i="165"/>
  <c r="F166" i="165"/>
  <c r="F167" i="165"/>
  <c r="F168" i="165"/>
  <c r="F169" i="165"/>
  <c r="F170" i="165"/>
  <c r="F171" i="165"/>
  <c r="F172" i="165"/>
  <c r="F173" i="165"/>
  <c r="F174" i="165"/>
  <c r="F175" i="165"/>
  <c r="F176" i="165"/>
  <c r="F177" i="165"/>
  <c r="F178" i="165"/>
  <c r="F179" i="165"/>
  <c r="F180" i="165"/>
  <c r="F181" i="165"/>
  <c r="F182" i="165"/>
  <c r="F183" i="165"/>
  <c r="F184" i="165"/>
  <c r="F185" i="165"/>
  <c r="F186" i="165"/>
  <c r="F187" i="165"/>
  <c r="F188" i="165"/>
  <c r="F189" i="165"/>
  <c r="F190" i="165"/>
  <c r="F191" i="165"/>
  <c r="F192" i="165"/>
  <c r="F193" i="165"/>
  <c r="F194" i="165"/>
  <c r="F195" i="165"/>
  <c r="F196" i="165"/>
  <c r="F197" i="165"/>
  <c r="F198" i="165"/>
  <c r="F199" i="165"/>
  <c r="F200" i="165"/>
  <c r="F201" i="165"/>
  <c r="F202" i="165"/>
  <c r="F203" i="165"/>
  <c r="F204" i="165"/>
  <c r="F205" i="165"/>
  <c r="F206" i="165"/>
  <c r="F207" i="165"/>
  <c r="F208" i="165"/>
  <c r="F209" i="165"/>
  <c r="F210" i="165"/>
  <c r="F211" i="165"/>
  <c r="F212" i="165"/>
  <c r="F213" i="165"/>
  <c r="F214" i="165"/>
  <c r="F215" i="165"/>
  <c r="F216" i="165"/>
  <c r="F217" i="165"/>
  <c r="F218" i="165"/>
  <c r="F219" i="165"/>
  <c r="F220" i="165"/>
  <c r="F221" i="165"/>
  <c r="F222" i="165"/>
  <c r="F223" i="165"/>
  <c r="F224" i="165"/>
  <c r="F225" i="165"/>
  <c r="F226" i="165"/>
  <c r="F227" i="165"/>
  <c r="F228" i="165"/>
  <c r="F229" i="165"/>
  <c r="F230" i="165"/>
  <c r="F231" i="165"/>
  <c r="F232" i="165"/>
  <c r="F233" i="165"/>
  <c r="F234" i="165"/>
  <c r="F235" i="165"/>
  <c r="F236" i="165"/>
  <c r="F237" i="165"/>
  <c r="F238" i="165"/>
  <c r="F239" i="165"/>
  <c r="F240" i="165"/>
  <c r="F241" i="165"/>
  <c r="F242" i="165"/>
  <c r="F243" i="165"/>
  <c r="F244" i="165"/>
  <c r="F245" i="165"/>
  <c r="F246" i="165"/>
  <c r="F247" i="165"/>
  <c r="F248" i="165"/>
  <c r="F249" i="165"/>
  <c r="F250" i="165"/>
  <c r="F251" i="165"/>
  <c r="F252" i="165"/>
  <c r="F253" i="165"/>
  <c r="F254" i="165"/>
  <c r="F255" i="165"/>
  <c r="F256" i="165"/>
  <c r="F257" i="165"/>
  <c r="F258" i="165"/>
  <c r="F259" i="165"/>
  <c r="F260" i="165"/>
  <c r="F261" i="165"/>
  <c r="F262" i="165"/>
  <c r="F263" i="165"/>
  <c r="F264" i="165"/>
  <c r="F265" i="165"/>
  <c r="F266" i="165"/>
  <c r="F267" i="165"/>
  <c r="F268" i="165"/>
  <c r="F269" i="165"/>
  <c r="F270" i="165"/>
  <c r="F271" i="165"/>
  <c r="F272" i="165"/>
  <c r="F273" i="165"/>
  <c r="F274" i="165"/>
  <c r="F275" i="165"/>
  <c r="F276" i="165"/>
  <c r="F277" i="165"/>
  <c r="F278" i="165"/>
  <c r="F279" i="165"/>
  <c r="F280" i="165"/>
  <c r="F281" i="165"/>
  <c r="F282" i="165"/>
  <c r="F283" i="165"/>
  <c r="F284" i="165"/>
  <c r="F285" i="165"/>
  <c r="F286" i="165"/>
  <c r="F287" i="165"/>
  <c r="F288" i="165"/>
  <c r="F289" i="165"/>
  <c r="F290" i="165"/>
  <c r="F291" i="165"/>
  <c r="F292" i="165"/>
  <c r="F293" i="165"/>
  <c r="F294" i="165"/>
  <c r="F295" i="165"/>
  <c r="F296" i="165"/>
  <c r="F297" i="165"/>
  <c r="F298" i="165"/>
  <c r="F299" i="165"/>
  <c r="F300" i="165"/>
  <c r="F301" i="165"/>
  <c r="F302" i="165"/>
  <c r="F303" i="165"/>
  <c r="F304" i="165"/>
  <c r="F305" i="165"/>
  <c r="F306" i="165"/>
  <c r="F307" i="165"/>
  <c r="F308" i="165"/>
  <c r="F309" i="165"/>
  <c r="F310" i="165"/>
  <c r="F311" i="165"/>
  <c r="F312" i="165"/>
  <c r="F313" i="165"/>
  <c r="F314" i="165"/>
  <c r="F315" i="165"/>
  <c r="F316" i="165"/>
  <c r="F317" i="165"/>
  <c r="F318" i="165"/>
  <c r="N319" i="165"/>
  <c r="M319" i="165"/>
  <c r="L319" i="165"/>
  <c r="K319" i="165"/>
  <c r="H319" i="165"/>
  <c r="N318" i="165"/>
  <c r="M318" i="165"/>
  <c r="L318" i="165"/>
  <c r="K318" i="165"/>
  <c r="H318" i="165"/>
  <c r="N317" i="165"/>
  <c r="M317" i="165"/>
  <c r="L317" i="165"/>
  <c r="K317" i="165"/>
  <c r="H317" i="165"/>
  <c r="N316" i="165"/>
  <c r="M316" i="165"/>
  <c r="L316" i="165"/>
  <c r="K316" i="165"/>
  <c r="H316" i="165"/>
  <c r="N315" i="165"/>
  <c r="M315" i="165"/>
  <c r="L315" i="165"/>
  <c r="K315" i="165"/>
  <c r="H315" i="165"/>
  <c r="N314" i="165"/>
  <c r="M314" i="165"/>
  <c r="L314" i="165"/>
  <c r="K314" i="165"/>
  <c r="H314" i="165"/>
  <c r="N313" i="165"/>
  <c r="M313" i="165"/>
  <c r="L313" i="165"/>
  <c r="K313" i="165"/>
  <c r="H313" i="165"/>
  <c r="N312" i="165"/>
  <c r="M312" i="165"/>
  <c r="L312" i="165"/>
  <c r="K312" i="165"/>
  <c r="H312" i="165"/>
  <c r="N311" i="165"/>
  <c r="M311" i="165"/>
  <c r="L311" i="165"/>
  <c r="K311" i="165"/>
  <c r="H311" i="165"/>
  <c r="N310" i="165"/>
  <c r="M310" i="165"/>
  <c r="L310" i="165"/>
  <c r="K310" i="165"/>
  <c r="H310" i="165"/>
  <c r="N309" i="165"/>
  <c r="M309" i="165"/>
  <c r="L309" i="165"/>
  <c r="K309" i="165"/>
  <c r="H309" i="165"/>
  <c r="N308" i="165"/>
  <c r="M308" i="165"/>
  <c r="L308" i="165"/>
  <c r="K308" i="165"/>
  <c r="H308" i="165"/>
  <c r="N307" i="165"/>
  <c r="M307" i="165"/>
  <c r="L307" i="165"/>
  <c r="K307" i="165"/>
  <c r="H307" i="165"/>
  <c r="N306" i="165"/>
  <c r="M306" i="165"/>
  <c r="L306" i="165"/>
  <c r="K306" i="165"/>
  <c r="H306" i="165"/>
  <c r="N305" i="165"/>
  <c r="M305" i="165"/>
  <c r="L305" i="165"/>
  <c r="K305" i="165"/>
  <c r="H305" i="165"/>
  <c r="N304" i="165"/>
  <c r="M304" i="165"/>
  <c r="L304" i="165"/>
  <c r="K304" i="165"/>
  <c r="H304" i="165"/>
  <c r="N303" i="165"/>
  <c r="M303" i="165"/>
  <c r="L303" i="165"/>
  <c r="K303" i="165"/>
  <c r="H303" i="165"/>
  <c r="N302" i="165"/>
  <c r="M302" i="165"/>
  <c r="L302" i="165"/>
  <c r="K302" i="165"/>
  <c r="H302" i="165"/>
  <c r="N301" i="165"/>
  <c r="M301" i="165"/>
  <c r="L301" i="165"/>
  <c r="K301" i="165"/>
  <c r="H301" i="165"/>
  <c r="N300" i="165"/>
  <c r="M300" i="165"/>
  <c r="L300" i="165"/>
  <c r="K300" i="165"/>
  <c r="H300" i="165"/>
  <c r="N299" i="165"/>
  <c r="M299" i="165"/>
  <c r="L299" i="165"/>
  <c r="K299" i="165"/>
  <c r="H299" i="165"/>
  <c r="N298" i="165"/>
  <c r="M298" i="165"/>
  <c r="L298" i="165"/>
  <c r="K298" i="165"/>
  <c r="H298" i="165"/>
  <c r="N297" i="165"/>
  <c r="M297" i="165"/>
  <c r="L297" i="165"/>
  <c r="K297" i="165"/>
  <c r="H297" i="165"/>
  <c r="N296" i="165"/>
  <c r="M296" i="165"/>
  <c r="L296" i="165"/>
  <c r="K296" i="165"/>
  <c r="H296" i="165"/>
  <c r="N295" i="165"/>
  <c r="M295" i="165"/>
  <c r="L295" i="165"/>
  <c r="K295" i="165"/>
  <c r="H295" i="165"/>
  <c r="N294" i="165"/>
  <c r="M294" i="165"/>
  <c r="L294" i="165"/>
  <c r="K294" i="165"/>
  <c r="H294" i="165"/>
  <c r="N293" i="165"/>
  <c r="M293" i="165"/>
  <c r="L293" i="165"/>
  <c r="K293" i="165"/>
  <c r="H293" i="165"/>
  <c r="N292" i="165"/>
  <c r="M292" i="165"/>
  <c r="L292" i="165"/>
  <c r="K292" i="165"/>
  <c r="H292" i="165"/>
  <c r="N291" i="165"/>
  <c r="M291" i="165"/>
  <c r="L291" i="165"/>
  <c r="K291" i="165"/>
  <c r="H291" i="165"/>
  <c r="N290" i="165"/>
  <c r="M290" i="165"/>
  <c r="L290" i="165"/>
  <c r="K290" i="165"/>
  <c r="H290" i="165"/>
  <c r="N289" i="165"/>
  <c r="M289" i="165"/>
  <c r="L289" i="165"/>
  <c r="K289" i="165"/>
  <c r="H289" i="165"/>
  <c r="N288" i="165"/>
  <c r="M288" i="165"/>
  <c r="L288" i="165"/>
  <c r="K288" i="165"/>
  <c r="H288" i="165"/>
  <c r="N287" i="165"/>
  <c r="M287" i="165"/>
  <c r="L287" i="165"/>
  <c r="K287" i="165"/>
  <c r="H287" i="165"/>
  <c r="N286" i="165"/>
  <c r="M286" i="165"/>
  <c r="L286" i="165"/>
  <c r="K286" i="165"/>
  <c r="H286" i="165"/>
  <c r="N285" i="165"/>
  <c r="M285" i="165"/>
  <c r="L285" i="165"/>
  <c r="K285" i="165"/>
  <c r="H285" i="165"/>
  <c r="N284" i="165"/>
  <c r="M284" i="165"/>
  <c r="L284" i="165"/>
  <c r="K284" i="165"/>
  <c r="H284" i="165"/>
  <c r="N283" i="165"/>
  <c r="M283" i="165"/>
  <c r="L283" i="165"/>
  <c r="K283" i="165"/>
  <c r="H283" i="165"/>
  <c r="N282" i="165"/>
  <c r="M282" i="165"/>
  <c r="L282" i="165"/>
  <c r="K282" i="165"/>
  <c r="H282" i="165"/>
  <c r="N281" i="165"/>
  <c r="M281" i="165"/>
  <c r="L281" i="165"/>
  <c r="K281" i="165"/>
  <c r="H281" i="165"/>
  <c r="N280" i="165"/>
  <c r="M280" i="165"/>
  <c r="L280" i="165"/>
  <c r="K280" i="165"/>
  <c r="H280" i="165"/>
  <c r="N279" i="165"/>
  <c r="M279" i="165"/>
  <c r="L279" i="165"/>
  <c r="K279" i="165"/>
  <c r="H279" i="165"/>
  <c r="N278" i="165"/>
  <c r="M278" i="165"/>
  <c r="L278" i="165"/>
  <c r="K278" i="165"/>
  <c r="H278" i="165"/>
  <c r="N277" i="165"/>
  <c r="M277" i="165"/>
  <c r="L277" i="165"/>
  <c r="K277" i="165"/>
  <c r="H277" i="165"/>
  <c r="N276" i="165"/>
  <c r="M276" i="165"/>
  <c r="L276" i="165"/>
  <c r="K276" i="165"/>
  <c r="H276" i="165"/>
  <c r="N275" i="165"/>
  <c r="M275" i="165"/>
  <c r="L275" i="165"/>
  <c r="K275" i="165"/>
  <c r="H275" i="165"/>
  <c r="N274" i="165"/>
  <c r="M274" i="165"/>
  <c r="L274" i="165"/>
  <c r="K274" i="165"/>
  <c r="H274" i="165"/>
  <c r="N273" i="165"/>
  <c r="M273" i="165"/>
  <c r="L273" i="165"/>
  <c r="K273" i="165"/>
  <c r="H273" i="165"/>
  <c r="N272" i="165"/>
  <c r="M272" i="165"/>
  <c r="L272" i="165"/>
  <c r="K272" i="165"/>
  <c r="H272" i="165"/>
  <c r="N271" i="165"/>
  <c r="M271" i="165"/>
  <c r="L271" i="165"/>
  <c r="K271" i="165"/>
  <c r="H271" i="165"/>
  <c r="N270" i="165"/>
  <c r="M270" i="165"/>
  <c r="L270" i="165"/>
  <c r="K270" i="165"/>
  <c r="H270" i="165"/>
  <c r="N269" i="165"/>
  <c r="M269" i="165"/>
  <c r="L269" i="165"/>
  <c r="K269" i="165"/>
  <c r="H269" i="165"/>
  <c r="N268" i="165"/>
  <c r="M268" i="165"/>
  <c r="L268" i="165"/>
  <c r="K268" i="165"/>
  <c r="H268" i="165"/>
  <c r="N267" i="165"/>
  <c r="M267" i="165"/>
  <c r="L267" i="165"/>
  <c r="K267" i="165"/>
  <c r="H267" i="165"/>
  <c r="N266" i="165"/>
  <c r="M266" i="165"/>
  <c r="L266" i="165"/>
  <c r="K266" i="165"/>
  <c r="H266" i="165"/>
  <c r="N265" i="165"/>
  <c r="M265" i="165"/>
  <c r="L265" i="165"/>
  <c r="K265" i="165"/>
  <c r="H265" i="165"/>
  <c r="N264" i="165"/>
  <c r="M264" i="165"/>
  <c r="L264" i="165"/>
  <c r="K264" i="165"/>
  <c r="H264" i="165"/>
  <c r="N263" i="165"/>
  <c r="M263" i="165"/>
  <c r="L263" i="165"/>
  <c r="K263" i="165"/>
  <c r="H263" i="165"/>
  <c r="N262" i="165"/>
  <c r="M262" i="165"/>
  <c r="L262" i="165"/>
  <c r="K262" i="165"/>
  <c r="H262" i="165"/>
  <c r="N261" i="165"/>
  <c r="M261" i="165"/>
  <c r="L261" i="165"/>
  <c r="K261" i="165"/>
  <c r="H261" i="165"/>
  <c r="N260" i="165"/>
  <c r="M260" i="165"/>
  <c r="L260" i="165"/>
  <c r="K260" i="165"/>
  <c r="H260" i="165"/>
  <c r="N259" i="165"/>
  <c r="M259" i="165"/>
  <c r="L259" i="165"/>
  <c r="K259" i="165"/>
  <c r="H259" i="165"/>
  <c r="N258" i="165"/>
  <c r="M258" i="165"/>
  <c r="L258" i="165"/>
  <c r="K258" i="165"/>
  <c r="H258" i="165"/>
  <c r="N257" i="165"/>
  <c r="M257" i="165"/>
  <c r="L257" i="165"/>
  <c r="K257" i="165"/>
  <c r="H257" i="165"/>
  <c r="N256" i="165"/>
  <c r="M256" i="165"/>
  <c r="L256" i="165"/>
  <c r="K256" i="165"/>
  <c r="H256" i="165"/>
  <c r="N255" i="165"/>
  <c r="M255" i="165"/>
  <c r="L255" i="165"/>
  <c r="K255" i="165"/>
  <c r="H255" i="165"/>
  <c r="N254" i="165"/>
  <c r="M254" i="165"/>
  <c r="L254" i="165"/>
  <c r="K254" i="165"/>
  <c r="H254" i="165"/>
  <c r="N253" i="165"/>
  <c r="M253" i="165"/>
  <c r="L253" i="165"/>
  <c r="K253" i="165"/>
  <c r="H253" i="165"/>
  <c r="N252" i="165"/>
  <c r="M252" i="165"/>
  <c r="L252" i="165"/>
  <c r="K252" i="165"/>
  <c r="H252" i="165"/>
  <c r="N251" i="165"/>
  <c r="M251" i="165"/>
  <c r="L251" i="165"/>
  <c r="K251" i="165"/>
  <c r="H251" i="165"/>
  <c r="N250" i="165"/>
  <c r="M250" i="165"/>
  <c r="L250" i="165"/>
  <c r="K250" i="165"/>
  <c r="H250" i="165"/>
  <c r="N249" i="165"/>
  <c r="M249" i="165"/>
  <c r="L249" i="165"/>
  <c r="K249" i="165"/>
  <c r="H249" i="165"/>
  <c r="N248" i="165"/>
  <c r="M248" i="165"/>
  <c r="L248" i="165"/>
  <c r="K248" i="165"/>
  <c r="H248" i="165"/>
  <c r="N247" i="165"/>
  <c r="M247" i="165"/>
  <c r="L247" i="165"/>
  <c r="K247" i="165"/>
  <c r="H247" i="165"/>
  <c r="N246" i="165"/>
  <c r="M246" i="165"/>
  <c r="L246" i="165"/>
  <c r="K246" i="165"/>
  <c r="H246" i="165"/>
  <c r="N245" i="165"/>
  <c r="M245" i="165"/>
  <c r="L245" i="165"/>
  <c r="K245" i="165"/>
  <c r="H245" i="165"/>
  <c r="N244" i="165"/>
  <c r="M244" i="165"/>
  <c r="L244" i="165"/>
  <c r="K244" i="165"/>
  <c r="H244" i="165"/>
  <c r="N243" i="165"/>
  <c r="M243" i="165"/>
  <c r="L243" i="165"/>
  <c r="K243" i="165"/>
  <c r="H243" i="165"/>
  <c r="N242" i="165"/>
  <c r="M242" i="165"/>
  <c r="L242" i="165"/>
  <c r="K242" i="165"/>
  <c r="H242" i="165"/>
  <c r="N241" i="165"/>
  <c r="M241" i="165"/>
  <c r="L241" i="165"/>
  <c r="K241" i="165"/>
  <c r="H241" i="165"/>
  <c r="N240" i="165"/>
  <c r="M240" i="165"/>
  <c r="L240" i="165"/>
  <c r="K240" i="165"/>
  <c r="H240" i="165"/>
  <c r="N239" i="165"/>
  <c r="M239" i="165"/>
  <c r="L239" i="165"/>
  <c r="K239" i="165"/>
  <c r="H239" i="165"/>
  <c r="N238" i="165"/>
  <c r="M238" i="165"/>
  <c r="L238" i="165"/>
  <c r="K238" i="165"/>
  <c r="H238" i="165"/>
  <c r="N237" i="165"/>
  <c r="M237" i="165"/>
  <c r="L237" i="165"/>
  <c r="K237" i="165"/>
  <c r="H237" i="165"/>
  <c r="N236" i="165"/>
  <c r="M236" i="165"/>
  <c r="L236" i="165"/>
  <c r="K236" i="165"/>
  <c r="H236" i="165"/>
  <c r="N235" i="165"/>
  <c r="M235" i="165"/>
  <c r="L235" i="165"/>
  <c r="K235" i="165"/>
  <c r="H235" i="165"/>
  <c r="N234" i="165"/>
  <c r="M234" i="165"/>
  <c r="L234" i="165"/>
  <c r="K234" i="165"/>
  <c r="H234" i="165"/>
  <c r="N233" i="165"/>
  <c r="M233" i="165"/>
  <c r="L233" i="165"/>
  <c r="K233" i="165"/>
  <c r="H233" i="165"/>
  <c r="N232" i="165"/>
  <c r="M232" i="165"/>
  <c r="L232" i="165"/>
  <c r="K232" i="165"/>
  <c r="H232" i="165"/>
  <c r="N231" i="165"/>
  <c r="M231" i="165"/>
  <c r="L231" i="165"/>
  <c r="K231" i="165"/>
  <c r="H231" i="165"/>
  <c r="N230" i="165"/>
  <c r="M230" i="165"/>
  <c r="L230" i="165"/>
  <c r="K230" i="165"/>
  <c r="H230" i="165"/>
  <c r="N229" i="165"/>
  <c r="M229" i="165"/>
  <c r="L229" i="165"/>
  <c r="K229" i="165"/>
  <c r="H229" i="165"/>
  <c r="N228" i="165"/>
  <c r="M228" i="165"/>
  <c r="L228" i="165"/>
  <c r="K228" i="165"/>
  <c r="H228" i="165"/>
  <c r="N227" i="165"/>
  <c r="M227" i="165"/>
  <c r="L227" i="165"/>
  <c r="K227" i="165"/>
  <c r="H227" i="165"/>
  <c r="N226" i="165"/>
  <c r="M226" i="165"/>
  <c r="L226" i="165"/>
  <c r="K226" i="165"/>
  <c r="H226" i="165"/>
  <c r="N225" i="165"/>
  <c r="M225" i="165"/>
  <c r="L225" i="165"/>
  <c r="K225" i="165"/>
  <c r="H225" i="165"/>
  <c r="N224" i="165"/>
  <c r="M224" i="165"/>
  <c r="L224" i="165"/>
  <c r="K224" i="165"/>
  <c r="H224" i="165"/>
  <c r="N223" i="165"/>
  <c r="M223" i="165"/>
  <c r="L223" i="165"/>
  <c r="K223" i="165"/>
  <c r="H223" i="165"/>
  <c r="N222" i="165"/>
  <c r="M222" i="165"/>
  <c r="L222" i="165"/>
  <c r="K222" i="165"/>
  <c r="H222" i="165"/>
  <c r="N221" i="165"/>
  <c r="M221" i="165"/>
  <c r="L221" i="165"/>
  <c r="K221" i="165"/>
  <c r="H221" i="165"/>
  <c r="N220" i="165"/>
  <c r="M220" i="165"/>
  <c r="L220" i="165"/>
  <c r="K220" i="165"/>
  <c r="H220" i="165"/>
  <c r="N219" i="165"/>
  <c r="M219" i="165"/>
  <c r="L219" i="165"/>
  <c r="K219" i="165"/>
  <c r="H219" i="165"/>
  <c r="N218" i="165"/>
  <c r="M218" i="165"/>
  <c r="L218" i="165"/>
  <c r="K218" i="165"/>
  <c r="H218" i="165"/>
  <c r="N217" i="165"/>
  <c r="M217" i="165"/>
  <c r="L217" i="165"/>
  <c r="K217" i="165"/>
  <c r="H217" i="165"/>
  <c r="N216" i="165"/>
  <c r="M216" i="165"/>
  <c r="L216" i="165"/>
  <c r="K216" i="165"/>
  <c r="H216" i="165"/>
  <c r="N215" i="165"/>
  <c r="M215" i="165"/>
  <c r="L215" i="165"/>
  <c r="K215" i="165"/>
  <c r="H215" i="165"/>
  <c r="N214" i="165"/>
  <c r="M214" i="165"/>
  <c r="L214" i="165"/>
  <c r="K214" i="165"/>
  <c r="H214" i="165"/>
  <c r="N213" i="165"/>
  <c r="M213" i="165"/>
  <c r="L213" i="165"/>
  <c r="K213" i="165"/>
  <c r="H213" i="165"/>
  <c r="N212" i="165"/>
  <c r="M212" i="165"/>
  <c r="L212" i="165"/>
  <c r="K212" i="165"/>
  <c r="H212" i="165"/>
  <c r="N211" i="165"/>
  <c r="M211" i="165"/>
  <c r="L211" i="165"/>
  <c r="K211" i="165"/>
  <c r="H211" i="165"/>
  <c r="N210" i="165"/>
  <c r="M210" i="165"/>
  <c r="L210" i="165"/>
  <c r="K210" i="165"/>
  <c r="H210" i="165"/>
  <c r="N209" i="165"/>
  <c r="M209" i="165"/>
  <c r="L209" i="165"/>
  <c r="K209" i="165"/>
  <c r="H209" i="165"/>
  <c r="N208" i="165"/>
  <c r="M208" i="165"/>
  <c r="L208" i="165"/>
  <c r="K208" i="165"/>
  <c r="H208" i="165"/>
  <c r="N207" i="165"/>
  <c r="M207" i="165"/>
  <c r="L207" i="165"/>
  <c r="K207" i="165"/>
  <c r="H207" i="165"/>
  <c r="N206" i="165"/>
  <c r="M206" i="165"/>
  <c r="L206" i="165"/>
  <c r="K206" i="165"/>
  <c r="H206" i="165"/>
  <c r="N205" i="165"/>
  <c r="M205" i="165"/>
  <c r="L205" i="165"/>
  <c r="K205" i="165"/>
  <c r="H205" i="165"/>
  <c r="N204" i="165"/>
  <c r="M204" i="165"/>
  <c r="L204" i="165"/>
  <c r="K204" i="165"/>
  <c r="H204" i="165"/>
  <c r="N203" i="165"/>
  <c r="M203" i="165"/>
  <c r="L203" i="165"/>
  <c r="K203" i="165"/>
  <c r="H203" i="165"/>
  <c r="N202" i="165"/>
  <c r="M202" i="165"/>
  <c r="L202" i="165"/>
  <c r="K202" i="165"/>
  <c r="H202" i="165"/>
  <c r="N201" i="165"/>
  <c r="M201" i="165"/>
  <c r="L201" i="165"/>
  <c r="K201" i="165"/>
  <c r="H201" i="165"/>
  <c r="N200" i="165"/>
  <c r="M200" i="165"/>
  <c r="L200" i="165"/>
  <c r="K200" i="165"/>
  <c r="H200" i="165"/>
  <c r="N199" i="165"/>
  <c r="M199" i="165"/>
  <c r="L199" i="165"/>
  <c r="K199" i="165"/>
  <c r="H199" i="165"/>
  <c r="N198" i="165"/>
  <c r="M198" i="165"/>
  <c r="L198" i="165"/>
  <c r="K198" i="165"/>
  <c r="H198" i="165"/>
  <c r="N197" i="165"/>
  <c r="M197" i="165"/>
  <c r="L197" i="165"/>
  <c r="K197" i="165"/>
  <c r="H197" i="165"/>
  <c r="N196" i="165"/>
  <c r="M196" i="165"/>
  <c r="L196" i="165"/>
  <c r="K196" i="165"/>
  <c r="H196" i="165"/>
  <c r="N195" i="165"/>
  <c r="M195" i="165"/>
  <c r="L195" i="165"/>
  <c r="K195" i="165"/>
  <c r="H195" i="165"/>
  <c r="N194" i="165"/>
  <c r="M194" i="165"/>
  <c r="L194" i="165"/>
  <c r="K194" i="165"/>
  <c r="H194" i="165"/>
  <c r="N193" i="165"/>
  <c r="M193" i="165"/>
  <c r="L193" i="165"/>
  <c r="K193" i="165"/>
  <c r="H193" i="165"/>
  <c r="N192" i="165"/>
  <c r="M192" i="165"/>
  <c r="L192" i="165"/>
  <c r="K192" i="165"/>
  <c r="H192" i="165"/>
  <c r="N191" i="165"/>
  <c r="M191" i="165"/>
  <c r="L191" i="165"/>
  <c r="K191" i="165"/>
  <c r="H191" i="165"/>
  <c r="N190" i="165"/>
  <c r="M190" i="165"/>
  <c r="L190" i="165"/>
  <c r="K190" i="165"/>
  <c r="H190" i="165"/>
  <c r="N189" i="165"/>
  <c r="M189" i="165"/>
  <c r="L189" i="165"/>
  <c r="K189" i="165"/>
  <c r="H189" i="165"/>
  <c r="N188" i="165"/>
  <c r="M188" i="165"/>
  <c r="L188" i="165"/>
  <c r="K188" i="165"/>
  <c r="H188" i="165"/>
  <c r="N187" i="165"/>
  <c r="M187" i="165"/>
  <c r="L187" i="165"/>
  <c r="K187" i="165"/>
  <c r="H187" i="165"/>
  <c r="N186" i="165"/>
  <c r="M186" i="165"/>
  <c r="L186" i="165"/>
  <c r="K186" i="165"/>
  <c r="H186" i="165"/>
  <c r="N185" i="165"/>
  <c r="M185" i="165"/>
  <c r="L185" i="165"/>
  <c r="K185" i="165"/>
  <c r="H185" i="165"/>
  <c r="N184" i="165"/>
  <c r="M184" i="165"/>
  <c r="L184" i="165"/>
  <c r="K184" i="165"/>
  <c r="H184" i="165"/>
  <c r="N183" i="165"/>
  <c r="M183" i="165"/>
  <c r="L183" i="165"/>
  <c r="K183" i="165"/>
  <c r="H183" i="165"/>
  <c r="N182" i="165"/>
  <c r="M182" i="165"/>
  <c r="L182" i="165"/>
  <c r="K182" i="165"/>
  <c r="H182" i="165"/>
  <c r="N181" i="165"/>
  <c r="M181" i="165"/>
  <c r="L181" i="165"/>
  <c r="K181" i="165"/>
  <c r="H181" i="165"/>
  <c r="N180" i="165"/>
  <c r="M180" i="165"/>
  <c r="L180" i="165"/>
  <c r="K180" i="165"/>
  <c r="H180" i="165"/>
  <c r="N179" i="165"/>
  <c r="M179" i="165"/>
  <c r="L179" i="165"/>
  <c r="K179" i="165"/>
  <c r="H179" i="165"/>
  <c r="N178" i="165"/>
  <c r="M178" i="165"/>
  <c r="L178" i="165"/>
  <c r="K178" i="165"/>
  <c r="H178" i="165"/>
  <c r="N177" i="165"/>
  <c r="M177" i="165"/>
  <c r="L177" i="165"/>
  <c r="K177" i="165"/>
  <c r="H177" i="165"/>
  <c r="N176" i="165"/>
  <c r="M176" i="165"/>
  <c r="L176" i="165"/>
  <c r="K176" i="165"/>
  <c r="H176" i="165"/>
  <c r="N175" i="165"/>
  <c r="M175" i="165"/>
  <c r="L175" i="165"/>
  <c r="K175" i="165"/>
  <c r="H175" i="165"/>
  <c r="N174" i="165"/>
  <c r="M174" i="165"/>
  <c r="L174" i="165"/>
  <c r="K174" i="165"/>
  <c r="H174" i="165"/>
  <c r="N173" i="165"/>
  <c r="M173" i="165"/>
  <c r="L173" i="165"/>
  <c r="K173" i="165"/>
  <c r="H173" i="165"/>
  <c r="N172" i="165"/>
  <c r="M172" i="165"/>
  <c r="L172" i="165"/>
  <c r="K172" i="165"/>
  <c r="H172" i="165"/>
  <c r="N171" i="165"/>
  <c r="M171" i="165"/>
  <c r="L171" i="165"/>
  <c r="K171" i="165"/>
  <c r="H171" i="165"/>
  <c r="N170" i="165"/>
  <c r="M170" i="165"/>
  <c r="L170" i="165"/>
  <c r="K170" i="165"/>
  <c r="H170" i="165"/>
  <c r="N169" i="165"/>
  <c r="M169" i="165"/>
  <c r="L169" i="165"/>
  <c r="K169" i="165"/>
  <c r="H169" i="165"/>
  <c r="N168" i="165"/>
  <c r="M168" i="165"/>
  <c r="L168" i="165"/>
  <c r="K168" i="165"/>
  <c r="H168" i="165"/>
  <c r="N167" i="165"/>
  <c r="M167" i="165"/>
  <c r="L167" i="165"/>
  <c r="K167" i="165"/>
  <c r="H167" i="165"/>
  <c r="N166" i="165"/>
  <c r="M166" i="165"/>
  <c r="L166" i="165"/>
  <c r="K166" i="165"/>
  <c r="H166" i="165"/>
  <c r="N165" i="165"/>
  <c r="M165" i="165"/>
  <c r="L165" i="165"/>
  <c r="K165" i="165"/>
  <c r="H165" i="165"/>
  <c r="N164" i="165"/>
  <c r="M164" i="165"/>
  <c r="L164" i="165"/>
  <c r="K164" i="165"/>
  <c r="H164" i="165"/>
  <c r="N163" i="165"/>
  <c r="M163" i="165"/>
  <c r="L163" i="165"/>
  <c r="K163" i="165"/>
  <c r="H163" i="165"/>
  <c r="N162" i="165"/>
  <c r="M162" i="165"/>
  <c r="L162" i="165"/>
  <c r="K162" i="165"/>
  <c r="H162" i="165"/>
  <c r="N161" i="165"/>
  <c r="M161" i="165"/>
  <c r="L161" i="165"/>
  <c r="K161" i="165"/>
  <c r="H161" i="165"/>
  <c r="N160" i="165"/>
  <c r="M160" i="165"/>
  <c r="L160" i="165"/>
  <c r="K160" i="165"/>
  <c r="H160" i="165"/>
  <c r="N159" i="165"/>
  <c r="M159" i="165"/>
  <c r="L159" i="165"/>
  <c r="K159" i="165"/>
  <c r="H159" i="165"/>
  <c r="N158" i="165"/>
  <c r="M158" i="165"/>
  <c r="L158" i="165"/>
  <c r="K158" i="165"/>
  <c r="H158" i="165"/>
  <c r="N157" i="165"/>
  <c r="M157" i="165"/>
  <c r="L157" i="165"/>
  <c r="K157" i="165"/>
  <c r="H157" i="165"/>
  <c r="N156" i="165"/>
  <c r="M156" i="165"/>
  <c r="L156" i="165"/>
  <c r="K156" i="165"/>
  <c r="H156" i="165"/>
  <c r="N155" i="165"/>
  <c r="M155" i="165"/>
  <c r="L155" i="165"/>
  <c r="K155" i="165"/>
  <c r="H155" i="165"/>
  <c r="N154" i="165"/>
  <c r="M154" i="165"/>
  <c r="L154" i="165"/>
  <c r="K154" i="165"/>
  <c r="H154" i="165"/>
  <c r="N153" i="165"/>
  <c r="M153" i="165"/>
  <c r="L153" i="165"/>
  <c r="K153" i="165"/>
  <c r="H153" i="165"/>
  <c r="N152" i="165"/>
  <c r="M152" i="165"/>
  <c r="L152" i="165"/>
  <c r="K152" i="165"/>
  <c r="H152" i="165"/>
  <c r="N151" i="165"/>
  <c r="M151" i="165"/>
  <c r="L151" i="165"/>
  <c r="K151" i="165"/>
  <c r="H151" i="165"/>
  <c r="N150" i="165"/>
  <c r="M150" i="165"/>
  <c r="L150" i="165"/>
  <c r="K150" i="165"/>
  <c r="H150" i="165"/>
  <c r="N149" i="165"/>
  <c r="M149" i="165"/>
  <c r="L149" i="165"/>
  <c r="K149" i="165"/>
  <c r="H149" i="165"/>
  <c r="N148" i="165"/>
  <c r="M148" i="165"/>
  <c r="L148" i="165"/>
  <c r="K148" i="165"/>
  <c r="H148" i="165"/>
  <c r="N147" i="165"/>
  <c r="M147" i="165"/>
  <c r="L147" i="165"/>
  <c r="K147" i="165"/>
  <c r="H147" i="165"/>
  <c r="N146" i="165"/>
  <c r="M146" i="165"/>
  <c r="L146" i="165"/>
  <c r="K146" i="165"/>
  <c r="H146" i="165"/>
  <c r="N145" i="165"/>
  <c r="M145" i="165"/>
  <c r="L145" i="165"/>
  <c r="K145" i="165"/>
  <c r="H145" i="165"/>
  <c r="N144" i="165"/>
  <c r="M144" i="165"/>
  <c r="L144" i="165"/>
  <c r="K144" i="165"/>
  <c r="H144" i="165"/>
  <c r="N143" i="165"/>
  <c r="M143" i="165"/>
  <c r="L143" i="165"/>
  <c r="K143" i="165"/>
  <c r="H143" i="165"/>
  <c r="N142" i="165"/>
  <c r="M142" i="165"/>
  <c r="L142" i="165"/>
  <c r="K142" i="165"/>
  <c r="H142" i="165"/>
  <c r="N141" i="165"/>
  <c r="M141" i="165"/>
  <c r="L141" i="165"/>
  <c r="K141" i="165"/>
  <c r="H141" i="165"/>
  <c r="N140" i="165"/>
  <c r="M140" i="165"/>
  <c r="L140" i="165"/>
  <c r="K140" i="165"/>
  <c r="H140" i="165"/>
  <c r="N139" i="165"/>
  <c r="M139" i="165"/>
  <c r="L139" i="165"/>
  <c r="K139" i="165"/>
  <c r="H139" i="165"/>
  <c r="N138" i="165"/>
  <c r="M138" i="165"/>
  <c r="L138" i="165"/>
  <c r="K138" i="165"/>
  <c r="H138" i="165"/>
  <c r="N137" i="165"/>
  <c r="M137" i="165"/>
  <c r="L137" i="165"/>
  <c r="K137" i="165"/>
  <c r="H137" i="165"/>
  <c r="N136" i="165"/>
  <c r="M136" i="165"/>
  <c r="L136" i="165"/>
  <c r="K136" i="165"/>
  <c r="H136" i="165"/>
  <c r="N135" i="165"/>
  <c r="M135" i="165"/>
  <c r="L135" i="165"/>
  <c r="K135" i="165"/>
  <c r="H135" i="165"/>
  <c r="N134" i="165"/>
  <c r="M134" i="165"/>
  <c r="L134" i="165"/>
  <c r="K134" i="165"/>
  <c r="H134" i="165"/>
  <c r="N133" i="165"/>
  <c r="M133" i="165"/>
  <c r="L133" i="165"/>
  <c r="K133" i="165"/>
  <c r="H133" i="165"/>
  <c r="N132" i="165"/>
  <c r="M132" i="165"/>
  <c r="L132" i="165"/>
  <c r="K132" i="165"/>
  <c r="H132" i="165"/>
  <c r="N131" i="165"/>
  <c r="M131" i="165"/>
  <c r="L131" i="165"/>
  <c r="K131" i="165"/>
  <c r="H131" i="165"/>
  <c r="N130" i="165"/>
  <c r="M130" i="165"/>
  <c r="L130" i="165"/>
  <c r="K130" i="165"/>
  <c r="H130" i="165"/>
  <c r="N129" i="165"/>
  <c r="M129" i="165"/>
  <c r="L129" i="165"/>
  <c r="K129" i="165"/>
  <c r="H129" i="165"/>
  <c r="N128" i="165"/>
  <c r="M128" i="165"/>
  <c r="L128" i="165"/>
  <c r="K128" i="165"/>
  <c r="H128" i="165"/>
  <c r="N127" i="165"/>
  <c r="M127" i="165"/>
  <c r="L127" i="165"/>
  <c r="K127" i="165"/>
  <c r="H127" i="165"/>
  <c r="N126" i="165"/>
  <c r="M126" i="165"/>
  <c r="L126" i="165"/>
  <c r="K126" i="165"/>
  <c r="H126" i="165"/>
  <c r="N125" i="165"/>
  <c r="M125" i="165"/>
  <c r="L125" i="165"/>
  <c r="K125" i="165"/>
  <c r="H125" i="165"/>
  <c r="N124" i="165"/>
  <c r="M124" i="165"/>
  <c r="L124" i="165"/>
  <c r="K124" i="165"/>
  <c r="H124" i="165"/>
  <c r="N123" i="165"/>
  <c r="M123" i="165"/>
  <c r="L123" i="165"/>
  <c r="K123" i="165"/>
  <c r="H123" i="165"/>
  <c r="N122" i="165"/>
  <c r="M122" i="165"/>
  <c r="L122" i="165"/>
  <c r="K122" i="165"/>
  <c r="H122" i="165"/>
  <c r="N121" i="165"/>
  <c r="M121" i="165"/>
  <c r="L121" i="165"/>
  <c r="K121" i="165"/>
  <c r="H121" i="165"/>
  <c r="N120" i="165"/>
  <c r="M120" i="165"/>
  <c r="L120" i="165"/>
  <c r="K120" i="165"/>
  <c r="H120" i="165"/>
  <c r="N119" i="165"/>
  <c r="M119" i="165"/>
  <c r="L119" i="165"/>
  <c r="K119" i="165"/>
  <c r="H119" i="165"/>
  <c r="N118" i="165"/>
  <c r="M118" i="165"/>
  <c r="L118" i="165"/>
  <c r="K118" i="165"/>
  <c r="H118" i="165"/>
  <c r="N117" i="165"/>
  <c r="M117" i="165"/>
  <c r="L117" i="165"/>
  <c r="K117" i="165"/>
  <c r="H117" i="165"/>
  <c r="N116" i="165"/>
  <c r="M116" i="165"/>
  <c r="L116" i="165"/>
  <c r="K116" i="165"/>
  <c r="H116" i="165"/>
  <c r="N115" i="165"/>
  <c r="M115" i="165"/>
  <c r="L115" i="165"/>
  <c r="K115" i="165"/>
  <c r="H115" i="165"/>
  <c r="N114" i="165"/>
  <c r="M114" i="165"/>
  <c r="L114" i="165"/>
  <c r="K114" i="165"/>
  <c r="H114" i="165"/>
  <c r="N113" i="165"/>
  <c r="M113" i="165"/>
  <c r="L113" i="165"/>
  <c r="K113" i="165"/>
  <c r="H113" i="165"/>
  <c r="N112" i="165"/>
  <c r="M112" i="165"/>
  <c r="L112" i="165"/>
  <c r="K112" i="165"/>
  <c r="H112" i="165"/>
  <c r="N111" i="165"/>
  <c r="M111" i="165"/>
  <c r="L111" i="165"/>
  <c r="K111" i="165"/>
  <c r="H111" i="165"/>
  <c r="N110" i="165"/>
  <c r="M110" i="165"/>
  <c r="L110" i="165"/>
  <c r="K110" i="165"/>
  <c r="H110" i="165"/>
  <c r="N109" i="165"/>
  <c r="M109" i="165"/>
  <c r="L109" i="165"/>
  <c r="K109" i="165"/>
  <c r="H109" i="165"/>
  <c r="N108" i="165"/>
  <c r="M108" i="165"/>
  <c r="L108" i="165"/>
  <c r="K108" i="165"/>
  <c r="H108" i="165"/>
  <c r="N107" i="165"/>
  <c r="M107" i="165"/>
  <c r="L107" i="165"/>
  <c r="K107" i="165"/>
  <c r="H107" i="165"/>
  <c r="N106" i="165"/>
  <c r="M106" i="165"/>
  <c r="L106" i="165"/>
  <c r="K106" i="165"/>
  <c r="H106" i="165"/>
  <c r="N105" i="165"/>
  <c r="M105" i="165"/>
  <c r="L105" i="165"/>
  <c r="K105" i="165"/>
  <c r="H105" i="165"/>
  <c r="N104" i="165"/>
  <c r="M104" i="165"/>
  <c r="L104" i="165"/>
  <c r="K104" i="165"/>
  <c r="H104" i="165"/>
  <c r="N103" i="165"/>
  <c r="M103" i="165"/>
  <c r="L103" i="165"/>
  <c r="K103" i="165"/>
  <c r="H103" i="165"/>
  <c r="N102" i="165"/>
  <c r="M102" i="165"/>
  <c r="L102" i="165"/>
  <c r="K102" i="165"/>
  <c r="H102" i="165"/>
  <c r="N101" i="165"/>
  <c r="M101" i="165"/>
  <c r="L101" i="165"/>
  <c r="K101" i="165"/>
  <c r="H101" i="165"/>
  <c r="N100" i="165"/>
  <c r="M100" i="165"/>
  <c r="L100" i="165"/>
  <c r="K100" i="165"/>
  <c r="H100" i="165"/>
  <c r="N99" i="165"/>
  <c r="M99" i="165"/>
  <c r="L99" i="165"/>
  <c r="K99" i="165"/>
  <c r="H99" i="165"/>
  <c r="N98" i="165"/>
  <c r="M98" i="165"/>
  <c r="L98" i="165"/>
  <c r="K98" i="165"/>
  <c r="H98" i="165"/>
  <c r="N97" i="165"/>
  <c r="M97" i="165"/>
  <c r="L97" i="165"/>
  <c r="K97" i="165"/>
  <c r="H97" i="165"/>
  <c r="N96" i="165"/>
  <c r="M96" i="165"/>
  <c r="L96" i="165"/>
  <c r="K96" i="165"/>
  <c r="H96" i="165"/>
  <c r="N95" i="165"/>
  <c r="M95" i="165"/>
  <c r="L95" i="165"/>
  <c r="K95" i="165"/>
  <c r="H95" i="165"/>
  <c r="N94" i="165"/>
  <c r="M94" i="165"/>
  <c r="L94" i="165"/>
  <c r="K94" i="165"/>
  <c r="H94" i="165"/>
  <c r="N93" i="165"/>
  <c r="M93" i="165"/>
  <c r="L93" i="165"/>
  <c r="K93" i="165"/>
  <c r="H93" i="165"/>
  <c r="N92" i="165"/>
  <c r="M92" i="165"/>
  <c r="L92" i="165"/>
  <c r="K92" i="165"/>
  <c r="H92" i="165"/>
  <c r="N91" i="165"/>
  <c r="M91" i="165"/>
  <c r="L91" i="165"/>
  <c r="K91" i="165"/>
  <c r="H91" i="165"/>
  <c r="N90" i="165"/>
  <c r="M90" i="165"/>
  <c r="L90" i="165"/>
  <c r="K90" i="165"/>
  <c r="H90" i="165"/>
  <c r="N89" i="165"/>
  <c r="M89" i="165"/>
  <c r="L89" i="165"/>
  <c r="K89" i="165"/>
  <c r="H89" i="165"/>
  <c r="N88" i="165"/>
  <c r="M88" i="165"/>
  <c r="L88" i="165"/>
  <c r="K88" i="165"/>
  <c r="H88" i="165"/>
  <c r="N87" i="165"/>
  <c r="M87" i="165"/>
  <c r="L87" i="165"/>
  <c r="K87" i="165"/>
  <c r="H87" i="165"/>
  <c r="N86" i="165"/>
  <c r="M86" i="165"/>
  <c r="L86" i="165"/>
  <c r="K86" i="165"/>
  <c r="H86" i="165"/>
  <c r="N85" i="165"/>
  <c r="M85" i="165"/>
  <c r="L85" i="165"/>
  <c r="K85" i="165"/>
  <c r="H85" i="165"/>
  <c r="N84" i="165"/>
  <c r="M84" i="165"/>
  <c r="L84" i="165"/>
  <c r="K84" i="165"/>
  <c r="H84" i="165"/>
  <c r="N83" i="165"/>
  <c r="M83" i="165"/>
  <c r="L83" i="165"/>
  <c r="K83" i="165"/>
  <c r="H83" i="165"/>
  <c r="N82" i="165"/>
  <c r="M82" i="165"/>
  <c r="L82" i="165"/>
  <c r="K82" i="165"/>
  <c r="H82" i="165"/>
  <c r="N81" i="165"/>
  <c r="M81" i="165"/>
  <c r="L81" i="165"/>
  <c r="K81" i="165"/>
  <c r="H81" i="165"/>
  <c r="N80" i="165"/>
  <c r="M80" i="165"/>
  <c r="L80" i="165"/>
  <c r="K80" i="165"/>
  <c r="H80" i="165"/>
  <c r="N79" i="165"/>
  <c r="M79" i="165"/>
  <c r="L79" i="165"/>
  <c r="K79" i="165"/>
  <c r="H79" i="165"/>
  <c r="N78" i="165"/>
  <c r="M78" i="165"/>
  <c r="L78" i="165"/>
  <c r="K78" i="165"/>
  <c r="H78" i="165"/>
  <c r="N77" i="165"/>
  <c r="M77" i="165"/>
  <c r="L77" i="165"/>
  <c r="K77" i="165"/>
  <c r="H77" i="165"/>
  <c r="N76" i="165"/>
  <c r="M76" i="165"/>
  <c r="L76" i="165"/>
  <c r="K76" i="165"/>
  <c r="H76" i="165"/>
  <c r="N75" i="165"/>
  <c r="M75" i="165"/>
  <c r="L75" i="165"/>
  <c r="K75" i="165"/>
  <c r="H75" i="165"/>
  <c r="N74" i="165"/>
  <c r="M74" i="165"/>
  <c r="L74" i="165"/>
  <c r="K74" i="165"/>
  <c r="H74" i="165"/>
  <c r="N73" i="165"/>
  <c r="M73" i="165"/>
  <c r="L73" i="165"/>
  <c r="K73" i="165"/>
  <c r="H73" i="165"/>
  <c r="N72" i="165"/>
  <c r="M72" i="165"/>
  <c r="L72" i="165"/>
  <c r="K72" i="165"/>
  <c r="H72" i="165"/>
  <c r="N71" i="165"/>
  <c r="M71" i="165"/>
  <c r="L71" i="165"/>
  <c r="K71" i="165"/>
  <c r="H71" i="165"/>
  <c r="N70" i="165"/>
  <c r="M70" i="165"/>
  <c r="L70" i="165"/>
  <c r="K70" i="165"/>
  <c r="H70" i="165"/>
  <c r="N69" i="165"/>
  <c r="M69" i="165"/>
  <c r="L69" i="165"/>
  <c r="K69" i="165"/>
  <c r="H69" i="165"/>
  <c r="N68" i="165"/>
  <c r="M68" i="165"/>
  <c r="L68" i="165"/>
  <c r="K68" i="165"/>
  <c r="H68" i="165"/>
  <c r="N67" i="165"/>
  <c r="M67" i="165"/>
  <c r="L67" i="165"/>
  <c r="K67" i="165"/>
  <c r="H67" i="165"/>
  <c r="N66" i="165"/>
  <c r="M66" i="165"/>
  <c r="L66" i="165"/>
  <c r="K66" i="165"/>
  <c r="H66" i="165"/>
  <c r="N65" i="165"/>
  <c r="M65" i="165"/>
  <c r="L65" i="165"/>
  <c r="K65" i="165"/>
  <c r="H65" i="165"/>
  <c r="N64" i="165"/>
  <c r="M64" i="165"/>
  <c r="L64" i="165"/>
  <c r="K64" i="165"/>
  <c r="H64" i="165"/>
  <c r="N63" i="165"/>
  <c r="M63" i="165"/>
  <c r="L63" i="165"/>
  <c r="K63" i="165"/>
  <c r="H63" i="165"/>
  <c r="N62" i="165"/>
  <c r="M62" i="165"/>
  <c r="L62" i="165"/>
  <c r="K62" i="165"/>
  <c r="H62" i="165"/>
  <c r="N61" i="165"/>
  <c r="M61" i="165"/>
  <c r="L61" i="165"/>
  <c r="K61" i="165"/>
  <c r="H61" i="165"/>
  <c r="N60" i="165"/>
  <c r="M60" i="165"/>
  <c r="L60" i="165"/>
  <c r="K60" i="165"/>
  <c r="H60" i="165"/>
  <c r="N59" i="165"/>
  <c r="M59" i="165"/>
  <c r="L59" i="165"/>
  <c r="K59" i="165"/>
  <c r="H59" i="165"/>
  <c r="N58" i="165"/>
  <c r="M58" i="165"/>
  <c r="L58" i="165"/>
  <c r="K58" i="165"/>
  <c r="H58" i="165"/>
  <c r="N57" i="165"/>
  <c r="M57" i="165"/>
  <c r="L57" i="165"/>
  <c r="K57" i="165"/>
  <c r="H57" i="165"/>
  <c r="N56" i="165"/>
  <c r="M56" i="165"/>
  <c r="L56" i="165"/>
  <c r="K56" i="165"/>
  <c r="H56" i="165"/>
  <c r="N55" i="165"/>
  <c r="M55" i="165"/>
  <c r="L55" i="165"/>
  <c r="K55" i="165"/>
  <c r="H55" i="165"/>
  <c r="N54" i="165"/>
  <c r="M54" i="165"/>
  <c r="L54" i="165"/>
  <c r="K54" i="165"/>
  <c r="H54" i="165"/>
  <c r="N53" i="165"/>
  <c r="M53" i="165"/>
  <c r="L53" i="165"/>
  <c r="K53" i="165"/>
  <c r="H53" i="165"/>
  <c r="N52" i="165"/>
  <c r="M52" i="165"/>
  <c r="L52" i="165"/>
  <c r="K52" i="165"/>
  <c r="H52" i="165"/>
  <c r="N51" i="165"/>
  <c r="M51" i="165"/>
  <c r="L51" i="165"/>
  <c r="K51" i="165"/>
  <c r="H51" i="165"/>
  <c r="N50" i="165"/>
  <c r="M50" i="165"/>
  <c r="L50" i="165"/>
  <c r="K50" i="165"/>
  <c r="H50" i="165"/>
  <c r="N49" i="165"/>
  <c r="M49" i="165"/>
  <c r="L49" i="165"/>
  <c r="K49" i="165"/>
  <c r="H49" i="165"/>
  <c r="N48" i="165"/>
  <c r="M48" i="165"/>
  <c r="L48" i="165"/>
  <c r="K48" i="165"/>
  <c r="H48" i="165"/>
  <c r="N47" i="165"/>
  <c r="M47" i="165"/>
  <c r="L47" i="165"/>
  <c r="K47" i="165"/>
  <c r="H47" i="165"/>
  <c r="N46" i="165"/>
  <c r="M46" i="165"/>
  <c r="L46" i="165"/>
  <c r="K46" i="165"/>
  <c r="H46" i="165"/>
  <c r="N45" i="165"/>
  <c r="M45" i="165"/>
  <c r="L45" i="165"/>
  <c r="K45" i="165"/>
  <c r="H45" i="165"/>
  <c r="N44" i="165"/>
  <c r="M44" i="165"/>
  <c r="L44" i="165"/>
  <c r="K44" i="165"/>
  <c r="H44" i="165"/>
  <c r="N43" i="165"/>
  <c r="M43" i="165"/>
  <c r="L43" i="165"/>
  <c r="K43" i="165"/>
  <c r="H43" i="165"/>
  <c r="N42" i="165"/>
  <c r="M42" i="165"/>
  <c r="L42" i="165"/>
  <c r="K42" i="165"/>
  <c r="H42" i="165"/>
  <c r="N41" i="165"/>
  <c r="M41" i="165"/>
  <c r="L41" i="165"/>
  <c r="K41" i="165"/>
  <c r="H41" i="165"/>
  <c r="N40" i="165"/>
  <c r="M40" i="165"/>
  <c r="L40" i="165"/>
  <c r="K40" i="165"/>
  <c r="H40" i="165"/>
  <c r="N39" i="165"/>
  <c r="M39" i="165"/>
  <c r="L39" i="165"/>
  <c r="K39" i="165"/>
  <c r="H39" i="165"/>
  <c r="N38" i="165"/>
  <c r="M38" i="165"/>
  <c r="L38" i="165"/>
  <c r="K38" i="165"/>
  <c r="H38" i="165"/>
  <c r="N37" i="165"/>
  <c r="M37" i="165"/>
  <c r="L37" i="165"/>
  <c r="K37" i="165"/>
  <c r="H37" i="165"/>
  <c r="N36" i="165"/>
  <c r="M36" i="165"/>
  <c r="L36" i="165"/>
  <c r="K36" i="165"/>
  <c r="H36" i="165"/>
  <c r="N35" i="165"/>
  <c r="M35" i="165"/>
  <c r="L35" i="165"/>
  <c r="K35" i="165"/>
  <c r="H35" i="165"/>
  <c r="N34" i="165"/>
  <c r="M34" i="165"/>
  <c r="L34" i="165"/>
  <c r="K34" i="165"/>
  <c r="H34" i="165"/>
  <c r="N33" i="165"/>
  <c r="M33" i="165"/>
  <c r="L33" i="165"/>
  <c r="K33" i="165"/>
  <c r="H33" i="165"/>
  <c r="N32" i="165"/>
  <c r="M32" i="165"/>
  <c r="L32" i="165"/>
  <c r="K32" i="165"/>
  <c r="H32" i="165"/>
  <c r="N31" i="165"/>
  <c r="M31" i="165"/>
  <c r="L31" i="165"/>
  <c r="K31" i="165"/>
  <c r="H31" i="165"/>
  <c r="N30" i="165"/>
  <c r="M30" i="165"/>
  <c r="L30" i="165"/>
  <c r="K30" i="165"/>
  <c r="H30" i="165"/>
  <c r="N29" i="165"/>
  <c r="M29" i="165"/>
  <c r="L29" i="165"/>
  <c r="K29" i="165"/>
  <c r="H29" i="165"/>
  <c r="N28" i="165"/>
  <c r="M28" i="165"/>
  <c r="L28" i="165"/>
  <c r="K28" i="165"/>
  <c r="H28" i="165"/>
  <c r="N27" i="165"/>
  <c r="M27" i="165"/>
  <c r="L27" i="165"/>
  <c r="K27" i="165"/>
  <c r="H27" i="165"/>
  <c r="N26" i="165"/>
  <c r="M26" i="165"/>
  <c r="L26" i="165"/>
  <c r="K26" i="165"/>
  <c r="H26" i="165"/>
  <c r="N25" i="165"/>
  <c r="M25" i="165"/>
  <c r="L25" i="165"/>
  <c r="K25" i="165"/>
  <c r="H25" i="165"/>
  <c r="N24" i="165"/>
  <c r="M24" i="165"/>
  <c r="L24" i="165"/>
  <c r="K24" i="165"/>
  <c r="H24" i="165"/>
  <c r="N23" i="165"/>
  <c r="M23" i="165"/>
  <c r="L23" i="165"/>
  <c r="K23" i="165"/>
  <c r="H23" i="165"/>
  <c r="N22" i="165"/>
  <c r="M22" i="165"/>
  <c r="L22" i="165"/>
  <c r="K22" i="165"/>
  <c r="H22" i="165"/>
  <c r="N21" i="165"/>
  <c r="M21" i="165"/>
  <c r="L21" i="165"/>
  <c r="K21" i="165"/>
  <c r="H21" i="165"/>
  <c r="N20" i="165"/>
  <c r="M20" i="165"/>
  <c r="L20" i="165"/>
  <c r="K20" i="165"/>
  <c r="H20" i="165"/>
  <c r="N19" i="165"/>
  <c r="M19" i="165"/>
  <c r="L19" i="165"/>
  <c r="K19" i="165"/>
  <c r="H19" i="165"/>
  <c r="N18" i="165"/>
  <c r="M18" i="165"/>
  <c r="L18" i="165"/>
  <c r="K18" i="165"/>
  <c r="H18" i="165"/>
  <c r="N17" i="165"/>
  <c r="M17" i="165"/>
  <c r="L17" i="165"/>
  <c r="K17" i="165"/>
  <c r="H17" i="165"/>
  <c r="N16" i="165"/>
  <c r="M16" i="165"/>
  <c r="L16" i="165"/>
  <c r="K16" i="165"/>
  <c r="H16" i="165"/>
  <c r="N15" i="165"/>
  <c r="M15" i="165"/>
  <c r="L15" i="165"/>
  <c r="K15" i="165"/>
  <c r="H15" i="165"/>
  <c r="N14" i="165"/>
  <c r="M14" i="165"/>
  <c r="L14" i="165"/>
  <c r="K14" i="165"/>
  <c r="H14" i="165"/>
  <c r="N13" i="165"/>
  <c r="M13" i="165"/>
  <c r="L13" i="165"/>
  <c r="K13" i="165"/>
  <c r="H13" i="165"/>
  <c r="N12" i="165"/>
  <c r="M12" i="165"/>
  <c r="L12" i="165"/>
  <c r="K12" i="165"/>
  <c r="H12" i="165"/>
  <c r="N11" i="165"/>
  <c r="M11" i="165"/>
  <c r="L11" i="165"/>
  <c r="K11" i="165"/>
  <c r="H11" i="165"/>
  <c r="N10" i="165"/>
  <c r="M10" i="165"/>
  <c r="L10" i="165"/>
  <c r="K10" i="165"/>
  <c r="H10" i="165"/>
  <c r="N9" i="165"/>
  <c r="M9" i="165"/>
  <c r="L9" i="165"/>
  <c r="K9" i="165"/>
  <c r="H9" i="165"/>
  <c r="N8" i="165"/>
  <c r="M8" i="165"/>
  <c r="L8" i="165"/>
  <c r="K8" i="165"/>
  <c r="H8" i="165"/>
  <c r="N7" i="165"/>
  <c r="M7" i="165"/>
  <c r="L7" i="165"/>
  <c r="K7" i="165"/>
  <c r="H7" i="165"/>
  <c r="N6" i="165"/>
  <c r="M6" i="165"/>
  <c r="L6" i="165"/>
  <c r="K6" i="165"/>
  <c r="H6" i="165"/>
  <c r="N5" i="165"/>
  <c r="M5" i="165"/>
  <c r="L5" i="165"/>
  <c r="K5" i="165"/>
  <c r="H5" i="165"/>
  <c r="N4" i="165"/>
  <c r="M4" i="165"/>
  <c r="L4" i="165"/>
  <c r="K4" i="165"/>
  <c r="H4" i="165"/>
  <c r="N3" i="165"/>
  <c r="M3" i="165"/>
  <c r="L3" i="165"/>
  <c r="K3" i="165"/>
  <c r="H3" i="165"/>
  <c r="N2" i="165"/>
  <c r="M2" i="165"/>
  <c r="L2" i="165"/>
  <c r="K2" i="165"/>
  <c r="H2" i="165"/>
  <c r="B47" i="163"/>
  <c r="C40" i="163"/>
  <c r="C41" i="163"/>
  <c r="C42" i="163"/>
  <c r="C43" i="163"/>
  <c r="C44" i="163"/>
  <c r="C45" i="163"/>
  <c r="C46" i="163"/>
  <c r="C47" i="163"/>
  <c r="B10" i="163"/>
  <c r="B32" i="163"/>
  <c r="D32" i="163"/>
  <c r="G31" i="163"/>
  <c r="H31" i="163"/>
  <c r="I31" i="163"/>
  <c r="J31" i="163"/>
  <c r="F31" i="163"/>
  <c r="D31" i="163"/>
  <c r="G30" i="163"/>
  <c r="H30" i="163"/>
  <c r="I30" i="163"/>
  <c r="J30" i="163"/>
  <c r="F30" i="163"/>
  <c r="D30" i="163"/>
  <c r="I29" i="163"/>
  <c r="J29" i="163"/>
  <c r="F29" i="163"/>
  <c r="D29" i="163"/>
  <c r="I28" i="163"/>
  <c r="J28" i="163"/>
  <c r="F28" i="163"/>
  <c r="D28" i="163"/>
  <c r="I27" i="163"/>
  <c r="J27" i="163"/>
  <c r="F27" i="163"/>
  <c r="D27" i="163"/>
  <c r="I26" i="163"/>
  <c r="J26" i="163"/>
  <c r="F26" i="163"/>
  <c r="D26" i="163"/>
  <c r="I25" i="163"/>
  <c r="J25" i="163"/>
  <c r="F25" i="163"/>
  <c r="D25" i="163"/>
  <c r="I24" i="163"/>
  <c r="J24" i="163"/>
  <c r="F24" i="163"/>
  <c r="D24" i="163"/>
  <c r="I23" i="163"/>
  <c r="J23" i="163"/>
  <c r="F23" i="163"/>
  <c r="D23" i="163"/>
  <c r="I22" i="163"/>
  <c r="J22" i="163"/>
  <c r="F22" i="163"/>
  <c r="D22" i="163"/>
  <c r="I21" i="163"/>
  <c r="J21" i="163"/>
  <c r="F21" i="163"/>
  <c r="D21" i="163"/>
  <c r="I20" i="163"/>
  <c r="J20" i="163"/>
  <c r="F20" i="163"/>
  <c r="D20" i="163"/>
  <c r="I19" i="163"/>
  <c r="J19" i="163"/>
  <c r="F19" i="163"/>
  <c r="D19" i="163"/>
  <c r="I18" i="163"/>
  <c r="J18" i="163"/>
  <c r="F18" i="163"/>
  <c r="C18" i="163"/>
  <c r="D18" i="163"/>
  <c r="I17" i="163"/>
  <c r="J17" i="163"/>
  <c r="F17" i="163"/>
  <c r="C17" i="163"/>
  <c r="D17" i="163"/>
  <c r="V16" i="163"/>
  <c r="V15" i="163"/>
  <c r="V14" i="163"/>
  <c r="V13" i="163"/>
  <c r="V12" i="163"/>
  <c r="V11" i="163"/>
  <c r="V10" i="163"/>
  <c r="V9" i="163"/>
  <c r="V8" i="163"/>
  <c r="V7" i="163"/>
  <c r="V6" i="163"/>
  <c r="V5" i="163"/>
  <c r="V4" i="163"/>
  <c r="V3" i="163"/>
  <c r="V2" i="163"/>
  <c r="B10" i="153"/>
  <c r="F50" i="153"/>
  <c r="C4" i="103"/>
  <c r="E4" i="103"/>
  <c r="C3" i="103"/>
  <c r="E3" i="103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10" i="159"/>
  <c r="D10" i="159"/>
  <c r="J10" i="159"/>
  <c r="E10" i="159"/>
  <c r="F10" i="159"/>
  <c r="C10" i="159"/>
  <c r="H10" i="159"/>
  <c r="K10" i="159"/>
  <c r="L10" i="159"/>
  <c r="M10" i="159"/>
  <c r="N10" i="159"/>
  <c r="P10" i="159"/>
  <c r="I11" i="159"/>
  <c r="D11" i="159"/>
  <c r="J11" i="159"/>
  <c r="E11" i="159"/>
  <c r="F11" i="159"/>
  <c r="C11" i="159"/>
  <c r="H11" i="159"/>
  <c r="K11" i="159"/>
  <c r="L11" i="159"/>
  <c r="M11" i="159"/>
  <c r="N11" i="159"/>
  <c r="P11" i="159"/>
  <c r="I12" i="159"/>
  <c r="D12" i="159"/>
  <c r="J12" i="159"/>
  <c r="E12" i="159"/>
  <c r="F12" i="159"/>
  <c r="C12" i="159"/>
  <c r="H12" i="159"/>
  <c r="K12" i="159"/>
  <c r="L12" i="159"/>
  <c r="M12" i="159"/>
  <c r="N12" i="159"/>
  <c r="P12" i="159"/>
  <c r="I13" i="159"/>
  <c r="D13" i="159"/>
  <c r="J13" i="159"/>
  <c r="E13" i="159"/>
  <c r="F13" i="159"/>
  <c r="C13" i="159"/>
  <c r="H13" i="159"/>
  <c r="K13" i="159"/>
  <c r="L13" i="159"/>
  <c r="M13" i="159"/>
  <c r="N13" i="159"/>
  <c r="P13" i="159"/>
  <c r="N125" i="162"/>
  <c r="P2" i="162"/>
  <c r="P3" i="162"/>
  <c r="P4" i="162"/>
  <c r="P5" i="162"/>
  <c r="P6" i="162"/>
  <c r="P7" i="162"/>
  <c r="P8" i="162"/>
  <c r="P9" i="162"/>
  <c r="P10" i="162"/>
  <c r="P11" i="162"/>
  <c r="P12" i="162"/>
  <c r="P13" i="162"/>
  <c r="P14" i="162"/>
  <c r="P15" i="162"/>
  <c r="P16" i="162"/>
  <c r="P17" i="162"/>
  <c r="P18" i="162"/>
  <c r="P19" i="162"/>
  <c r="P20" i="162"/>
  <c r="P21" i="162"/>
  <c r="P22" i="162"/>
  <c r="P23" i="162"/>
  <c r="P24" i="162"/>
  <c r="P25" i="162"/>
  <c r="P26" i="162"/>
  <c r="P27" i="162"/>
  <c r="P28" i="162"/>
  <c r="P29" i="162"/>
  <c r="P30" i="162"/>
  <c r="P31" i="162"/>
  <c r="P32" i="162"/>
  <c r="P33" i="162"/>
  <c r="P34" i="162"/>
  <c r="P35" i="162"/>
  <c r="P36" i="162"/>
  <c r="P37" i="162"/>
  <c r="P38" i="162"/>
  <c r="P39" i="162"/>
  <c r="P40" i="162"/>
  <c r="P41" i="162"/>
  <c r="P42" i="162"/>
  <c r="P43" i="162"/>
  <c r="P44" i="162"/>
  <c r="P45" i="162"/>
  <c r="P46" i="162"/>
  <c r="P47" i="162"/>
  <c r="P48" i="162"/>
  <c r="P49" i="162"/>
  <c r="P50" i="162"/>
  <c r="P51" i="162"/>
  <c r="P52" i="162"/>
  <c r="P53" i="162"/>
  <c r="P54" i="162"/>
  <c r="P55" i="162"/>
  <c r="P56" i="162"/>
  <c r="P57" i="162"/>
  <c r="P58" i="162"/>
  <c r="P59" i="162"/>
  <c r="P60" i="162"/>
  <c r="P61" i="162"/>
  <c r="P62" i="162"/>
  <c r="P63" i="162"/>
  <c r="P64" i="162"/>
  <c r="P65" i="162"/>
  <c r="P66" i="162"/>
  <c r="P67" i="162"/>
  <c r="P68" i="162"/>
  <c r="P69" i="162"/>
  <c r="P70" i="162"/>
  <c r="P71" i="162"/>
  <c r="P72" i="162"/>
  <c r="P73" i="162"/>
  <c r="P74" i="162"/>
  <c r="P75" i="162"/>
  <c r="P76" i="162"/>
  <c r="P77" i="162"/>
  <c r="P78" i="162"/>
  <c r="P79" i="162"/>
  <c r="P80" i="162"/>
  <c r="P81" i="162"/>
  <c r="P82" i="162"/>
  <c r="P83" i="162"/>
  <c r="P84" i="162"/>
  <c r="P85" i="162"/>
  <c r="P86" i="162"/>
  <c r="P87" i="162"/>
  <c r="P88" i="162"/>
  <c r="P89" i="162"/>
  <c r="P90" i="162"/>
  <c r="P91" i="162"/>
  <c r="P92" i="162"/>
  <c r="P93" i="162"/>
  <c r="P94" i="162"/>
  <c r="P95" i="162"/>
  <c r="P96" i="162"/>
  <c r="P97" i="162"/>
  <c r="P98" i="162"/>
  <c r="P99" i="162"/>
  <c r="P100" i="162"/>
  <c r="P101" i="162"/>
  <c r="P102" i="162"/>
  <c r="P103" i="162"/>
  <c r="P104" i="162"/>
  <c r="P105" i="162"/>
  <c r="P106" i="162"/>
  <c r="P107" i="162"/>
  <c r="P108" i="162"/>
  <c r="P109" i="162"/>
  <c r="P110" i="162"/>
  <c r="P111" i="162"/>
  <c r="P112" i="162"/>
  <c r="P113" i="162"/>
  <c r="P114" i="162"/>
  <c r="P115" i="162"/>
  <c r="P116" i="162"/>
  <c r="P117" i="162"/>
  <c r="P118" i="162"/>
  <c r="P119" i="162"/>
  <c r="P120" i="162"/>
  <c r="P121" i="162"/>
  <c r="P122" i="162"/>
  <c r="P123" i="162"/>
  <c r="P124" i="162"/>
  <c r="P125" i="162"/>
  <c r="P126" i="162"/>
  <c r="I2" i="162"/>
  <c r="I3" i="162"/>
  <c r="I4" i="162"/>
  <c r="I5" i="162"/>
  <c r="I6" i="162"/>
  <c r="I7" i="162"/>
  <c r="I8" i="162"/>
  <c r="I9" i="162"/>
  <c r="I10" i="162"/>
  <c r="I11" i="162"/>
  <c r="I12" i="162"/>
  <c r="I13" i="162"/>
  <c r="I14" i="162"/>
  <c r="I15" i="162"/>
  <c r="I16" i="162"/>
  <c r="I17" i="162"/>
  <c r="I18" i="162"/>
  <c r="I19" i="162"/>
  <c r="I20" i="162"/>
  <c r="I21" i="162"/>
  <c r="I22" i="162"/>
  <c r="I23" i="162"/>
  <c r="I24" i="162"/>
  <c r="I25" i="162"/>
  <c r="I26" i="162"/>
  <c r="I27" i="162"/>
  <c r="I28" i="162"/>
  <c r="I29" i="162"/>
  <c r="I30" i="162"/>
  <c r="I31" i="162"/>
  <c r="I32" i="162"/>
  <c r="I33" i="162"/>
  <c r="I34" i="162"/>
  <c r="I35" i="162"/>
  <c r="I36" i="162"/>
  <c r="I37" i="162"/>
  <c r="I38" i="162"/>
  <c r="I39" i="162"/>
  <c r="I40" i="162"/>
  <c r="I41" i="162"/>
  <c r="I42" i="162"/>
  <c r="I43" i="162"/>
  <c r="I44" i="162"/>
  <c r="I45" i="162"/>
  <c r="I46" i="162"/>
  <c r="I47" i="162"/>
  <c r="I48" i="162"/>
  <c r="I49" i="162"/>
  <c r="I50" i="162"/>
  <c r="I51" i="162"/>
  <c r="I52" i="162"/>
  <c r="I53" i="162"/>
  <c r="I54" i="162"/>
  <c r="I55" i="162"/>
  <c r="I56" i="162"/>
  <c r="I57" i="162"/>
  <c r="I58" i="162"/>
  <c r="I59" i="162"/>
  <c r="I60" i="162"/>
  <c r="I61" i="162"/>
  <c r="I62" i="162"/>
  <c r="I63" i="162"/>
  <c r="I64" i="162"/>
  <c r="I65" i="162"/>
  <c r="I66" i="162"/>
  <c r="I67" i="162"/>
  <c r="I68" i="162"/>
  <c r="I69" i="162"/>
  <c r="I70" i="162"/>
  <c r="I71" i="162"/>
  <c r="I72" i="162"/>
  <c r="I73" i="162"/>
  <c r="I74" i="162"/>
  <c r="I75" i="162"/>
  <c r="I76" i="162"/>
  <c r="I77" i="162"/>
  <c r="I78" i="162"/>
  <c r="I79" i="162"/>
  <c r="I80" i="162"/>
  <c r="I81" i="162"/>
  <c r="I82" i="162"/>
  <c r="I83" i="162"/>
  <c r="I84" i="162"/>
  <c r="I85" i="162"/>
  <c r="I86" i="162"/>
  <c r="I87" i="162"/>
  <c r="I88" i="162"/>
  <c r="I89" i="162"/>
  <c r="I90" i="162"/>
  <c r="I91" i="162"/>
  <c r="I92" i="162"/>
  <c r="I93" i="162"/>
  <c r="I94" i="162"/>
  <c r="I95" i="162"/>
  <c r="I96" i="162"/>
  <c r="I97" i="162"/>
  <c r="I98" i="162"/>
  <c r="I99" i="162"/>
  <c r="I100" i="162"/>
  <c r="I101" i="162"/>
  <c r="I102" i="162"/>
  <c r="I103" i="162"/>
  <c r="I104" i="162"/>
  <c r="I105" i="162"/>
  <c r="I106" i="162"/>
  <c r="I107" i="162"/>
  <c r="I108" i="162"/>
  <c r="I109" i="162"/>
  <c r="I110" i="162"/>
  <c r="I111" i="162"/>
  <c r="I112" i="162"/>
  <c r="I113" i="162"/>
  <c r="I114" i="162"/>
  <c r="I115" i="162"/>
  <c r="I116" i="162"/>
  <c r="I117" i="162"/>
  <c r="I118" i="162"/>
  <c r="I119" i="162"/>
  <c r="I120" i="162"/>
  <c r="I121" i="162"/>
  <c r="I122" i="162"/>
  <c r="I123" i="162"/>
  <c r="I124" i="162"/>
  <c r="I125" i="162"/>
  <c r="D2" i="162"/>
  <c r="D3" i="162"/>
  <c r="J3" i="162"/>
  <c r="E3" i="162"/>
  <c r="F3" i="162"/>
  <c r="C3" i="162"/>
  <c r="H3" i="162"/>
  <c r="K3" i="162"/>
  <c r="L3" i="162"/>
  <c r="M3" i="162"/>
  <c r="N3" i="162"/>
  <c r="D4" i="162"/>
  <c r="J4" i="162"/>
  <c r="E4" i="162"/>
  <c r="F4" i="162"/>
  <c r="C4" i="162"/>
  <c r="H4" i="162"/>
  <c r="K4" i="162"/>
  <c r="L4" i="162"/>
  <c r="M4" i="162"/>
  <c r="N4" i="162"/>
  <c r="D5" i="162"/>
  <c r="J5" i="162"/>
  <c r="E5" i="162"/>
  <c r="F5" i="162"/>
  <c r="C5" i="162"/>
  <c r="H5" i="162"/>
  <c r="K5" i="162"/>
  <c r="L5" i="162"/>
  <c r="M5" i="162"/>
  <c r="N5" i="162"/>
  <c r="D6" i="162"/>
  <c r="J6" i="162"/>
  <c r="E6" i="162"/>
  <c r="F6" i="162"/>
  <c r="C6" i="162"/>
  <c r="H6" i="162"/>
  <c r="K6" i="162"/>
  <c r="L6" i="162"/>
  <c r="M6" i="162"/>
  <c r="N6" i="162"/>
  <c r="D7" i="162"/>
  <c r="J7" i="162"/>
  <c r="E7" i="162"/>
  <c r="F7" i="162"/>
  <c r="C7" i="162"/>
  <c r="H7" i="162"/>
  <c r="K7" i="162"/>
  <c r="L7" i="162"/>
  <c r="M7" i="162"/>
  <c r="N7" i="162"/>
  <c r="D8" i="162"/>
  <c r="J8" i="162"/>
  <c r="E8" i="162"/>
  <c r="F8" i="162"/>
  <c r="C8" i="162"/>
  <c r="H8" i="162"/>
  <c r="K8" i="162"/>
  <c r="L8" i="162"/>
  <c r="M8" i="162"/>
  <c r="N8" i="162"/>
  <c r="D9" i="162"/>
  <c r="J9" i="162"/>
  <c r="E9" i="162"/>
  <c r="F9" i="162"/>
  <c r="C9" i="162"/>
  <c r="H9" i="162"/>
  <c r="K9" i="162"/>
  <c r="L9" i="162"/>
  <c r="M9" i="162"/>
  <c r="N9" i="162"/>
  <c r="D10" i="162"/>
  <c r="J10" i="162"/>
  <c r="E10" i="162"/>
  <c r="F10" i="162"/>
  <c r="C10" i="162"/>
  <c r="H10" i="162"/>
  <c r="K10" i="162"/>
  <c r="L10" i="162"/>
  <c r="M10" i="162"/>
  <c r="N10" i="162"/>
  <c r="D11" i="162"/>
  <c r="J11" i="162"/>
  <c r="E11" i="162"/>
  <c r="F11" i="162"/>
  <c r="C11" i="162"/>
  <c r="H11" i="162"/>
  <c r="K11" i="162"/>
  <c r="L11" i="162"/>
  <c r="M11" i="162"/>
  <c r="N11" i="162"/>
  <c r="D12" i="162"/>
  <c r="J12" i="162"/>
  <c r="E12" i="162"/>
  <c r="F12" i="162"/>
  <c r="C12" i="162"/>
  <c r="H12" i="162"/>
  <c r="K12" i="162"/>
  <c r="L12" i="162"/>
  <c r="M12" i="162"/>
  <c r="N12" i="162"/>
  <c r="D13" i="162"/>
  <c r="J13" i="162"/>
  <c r="E13" i="162"/>
  <c r="F13" i="162"/>
  <c r="C13" i="162"/>
  <c r="H13" i="162"/>
  <c r="K13" i="162"/>
  <c r="L13" i="162"/>
  <c r="M13" i="162"/>
  <c r="N13" i="162"/>
  <c r="D14" i="162"/>
  <c r="J14" i="162"/>
  <c r="E14" i="162"/>
  <c r="F14" i="162"/>
  <c r="C14" i="162"/>
  <c r="H14" i="162"/>
  <c r="K14" i="162"/>
  <c r="L14" i="162"/>
  <c r="M14" i="162"/>
  <c r="N14" i="162"/>
  <c r="D15" i="162"/>
  <c r="J15" i="162"/>
  <c r="E15" i="162"/>
  <c r="F15" i="162"/>
  <c r="C15" i="162"/>
  <c r="H15" i="162"/>
  <c r="K15" i="162"/>
  <c r="L15" i="162"/>
  <c r="M15" i="162"/>
  <c r="N15" i="162"/>
  <c r="D16" i="162"/>
  <c r="J16" i="162"/>
  <c r="E16" i="162"/>
  <c r="F16" i="162"/>
  <c r="C16" i="162"/>
  <c r="H16" i="162"/>
  <c r="K16" i="162"/>
  <c r="L16" i="162"/>
  <c r="M16" i="162"/>
  <c r="N16" i="162"/>
  <c r="D17" i="162"/>
  <c r="J17" i="162"/>
  <c r="E17" i="162"/>
  <c r="F17" i="162"/>
  <c r="C17" i="162"/>
  <c r="H17" i="162"/>
  <c r="K17" i="162"/>
  <c r="L17" i="162"/>
  <c r="M17" i="162"/>
  <c r="N17" i="162"/>
  <c r="D18" i="162"/>
  <c r="J18" i="162"/>
  <c r="E18" i="162"/>
  <c r="F18" i="162"/>
  <c r="C18" i="162"/>
  <c r="H18" i="162"/>
  <c r="K18" i="162"/>
  <c r="L18" i="162"/>
  <c r="M18" i="162"/>
  <c r="N18" i="162"/>
  <c r="D19" i="162"/>
  <c r="J19" i="162"/>
  <c r="E19" i="162"/>
  <c r="F19" i="162"/>
  <c r="C19" i="162"/>
  <c r="H19" i="162"/>
  <c r="K19" i="162"/>
  <c r="L19" i="162"/>
  <c r="M19" i="162"/>
  <c r="N19" i="162"/>
  <c r="D20" i="162"/>
  <c r="J20" i="162"/>
  <c r="E20" i="162"/>
  <c r="F20" i="162"/>
  <c r="C20" i="162"/>
  <c r="H20" i="162"/>
  <c r="K20" i="162"/>
  <c r="L20" i="162"/>
  <c r="M20" i="162"/>
  <c r="N20" i="162"/>
  <c r="D21" i="162"/>
  <c r="J21" i="162"/>
  <c r="E21" i="162"/>
  <c r="F21" i="162"/>
  <c r="C21" i="162"/>
  <c r="H21" i="162"/>
  <c r="K21" i="162"/>
  <c r="L21" i="162"/>
  <c r="M21" i="162"/>
  <c r="N21" i="162"/>
  <c r="D22" i="162"/>
  <c r="J22" i="162"/>
  <c r="E22" i="162"/>
  <c r="F22" i="162"/>
  <c r="C22" i="162"/>
  <c r="H22" i="162"/>
  <c r="K22" i="162"/>
  <c r="L22" i="162"/>
  <c r="M22" i="162"/>
  <c r="N22" i="162"/>
  <c r="D23" i="162"/>
  <c r="J23" i="162"/>
  <c r="E23" i="162"/>
  <c r="F23" i="162"/>
  <c r="C23" i="162"/>
  <c r="H23" i="162"/>
  <c r="K23" i="162"/>
  <c r="L23" i="162"/>
  <c r="M23" i="162"/>
  <c r="N23" i="162"/>
  <c r="D24" i="162"/>
  <c r="J24" i="162"/>
  <c r="E24" i="162"/>
  <c r="F24" i="162"/>
  <c r="C24" i="162"/>
  <c r="H24" i="162"/>
  <c r="K24" i="162"/>
  <c r="L24" i="162"/>
  <c r="M24" i="162"/>
  <c r="N24" i="162"/>
  <c r="D25" i="162"/>
  <c r="J25" i="162"/>
  <c r="E25" i="162"/>
  <c r="F25" i="162"/>
  <c r="C25" i="162"/>
  <c r="H25" i="162"/>
  <c r="K25" i="162"/>
  <c r="L25" i="162"/>
  <c r="M25" i="162"/>
  <c r="N25" i="162"/>
  <c r="D26" i="162"/>
  <c r="J26" i="162"/>
  <c r="E26" i="162"/>
  <c r="F26" i="162"/>
  <c r="C26" i="162"/>
  <c r="H26" i="162"/>
  <c r="K26" i="162"/>
  <c r="L26" i="162"/>
  <c r="M26" i="162"/>
  <c r="N26" i="162"/>
  <c r="D27" i="162"/>
  <c r="J27" i="162"/>
  <c r="E27" i="162"/>
  <c r="F27" i="162"/>
  <c r="C27" i="162"/>
  <c r="H27" i="162"/>
  <c r="K27" i="162"/>
  <c r="L27" i="162"/>
  <c r="M27" i="162"/>
  <c r="N27" i="162"/>
  <c r="D28" i="162"/>
  <c r="J28" i="162"/>
  <c r="E28" i="162"/>
  <c r="F28" i="162"/>
  <c r="C28" i="162"/>
  <c r="H28" i="162"/>
  <c r="K28" i="162"/>
  <c r="L28" i="162"/>
  <c r="M28" i="162"/>
  <c r="N28" i="162"/>
  <c r="D29" i="162"/>
  <c r="J29" i="162"/>
  <c r="E29" i="162"/>
  <c r="F29" i="162"/>
  <c r="C29" i="162"/>
  <c r="H29" i="162"/>
  <c r="K29" i="162"/>
  <c r="L29" i="162"/>
  <c r="M29" i="162"/>
  <c r="N29" i="162"/>
  <c r="D30" i="162"/>
  <c r="J30" i="162"/>
  <c r="E30" i="162"/>
  <c r="F30" i="162"/>
  <c r="C30" i="162"/>
  <c r="H30" i="162"/>
  <c r="K30" i="162"/>
  <c r="L30" i="162"/>
  <c r="M30" i="162"/>
  <c r="N30" i="162"/>
  <c r="D31" i="162"/>
  <c r="J31" i="162"/>
  <c r="E31" i="162"/>
  <c r="F31" i="162"/>
  <c r="C31" i="162"/>
  <c r="H31" i="162"/>
  <c r="K31" i="162"/>
  <c r="L31" i="162"/>
  <c r="M31" i="162"/>
  <c r="N31" i="162"/>
  <c r="D32" i="162"/>
  <c r="J32" i="162"/>
  <c r="E32" i="162"/>
  <c r="F32" i="162"/>
  <c r="C32" i="162"/>
  <c r="H32" i="162"/>
  <c r="K32" i="162"/>
  <c r="L32" i="162"/>
  <c r="M32" i="162"/>
  <c r="N32" i="162"/>
  <c r="D33" i="162"/>
  <c r="J33" i="162"/>
  <c r="E33" i="162"/>
  <c r="F33" i="162"/>
  <c r="C33" i="162"/>
  <c r="H33" i="162"/>
  <c r="K33" i="162"/>
  <c r="L33" i="162"/>
  <c r="M33" i="162"/>
  <c r="N33" i="162"/>
  <c r="D34" i="162"/>
  <c r="J34" i="162"/>
  <c r="E34" i="162"/>
  <c r="F34" i="162"/>
  <c r="C34" i="162"/>
  <c r="H34" i="162"/>
  <c r="K34" i="162"/>
  <c r="L34" i="162"/>
  <c r="M34" i="162"/>
  <c r="N34" i="162"/>
  <c r="D35" i="162"/>
  <c r="J35" i="162"/>
  <c r="E35" i="162"/>
  <c r="F35" i="162"/>
  <c r="C35" i="162"/>
  <c r="H35" i="162"/>
  <c r="K35" i="162"/>
  <c r="L35" i="162"/>
  <c r="M35" i="162"/>
  <c r="N35" i="162"/>
  <c r="D36" i="162"/>
  <c r="J36" i="162"/>
  <c r="E36" i="162"/>
  <c r="F36" i="162"/>
  <c r="C36" i="162"/>
  <c r="H36" i="162"/>
  <c r="K36" i="162"/>
  <c r="L36" i="162"/>
  <c r="M36" i="162"/>
  <c r="N36" i="162"/>
  <c r="D37" i="162"/>
  <c r="J37" i="162"/>
  <c r="E37" i="162"/>
  <c r="F37" i="162"/>
  <c r="C37" i="162"/>
  <c r="H37" i="162"/>
  <c r="K37" i="162"/>
  <c r="L37" i="162"/>
  <c r="M37" i="162"/>
  <c r="N37" i="162"/>
  <c r="D38" i="162"/>
  <c r="J38" i="162"/>
  <c r="E38" i="162"/>
  <c r="F38" i="162"/>
  <c r="C38" i="162"/>
  <c r="H38" i="162"/>
  <c r="K38" i="162"/>
  <c r="L38" i="162"/>
  <c r="M38" i="162"/>
  <c r="N38" i="162"/>
  <c r="D39" i="162"/>
  <c r="J39" i="162"/>
  <c r="E39" i="162"/>
  <c r="F39" i="162"/>
  <c r="C39" i="162"/>
  <c r="H39" i="162"/>
  <c r="K39" i="162"/>
  <c r="L39" i="162"/>
  <c r="M39" i="162"/>
  <c r="N39" i="162"/>
  <c r="D40" i="162"/>
  <c r="J40" i="162"/>
  <c r="E40" i="162"/>
  <c r="F40" i="162"/>
  <c r="C40" i="162"/>
  <c r="H40" i="162"/>
  <c r="K40" i="162"/>
  <c r="L40" i="162"/>
  <c r="M40" i="162"/>
  <c r="N40" i="162"/>
  <c r="D41" i="162"/>
  <c r="J41" i="162"/>
  <c r="E41" i="162"/>
  <c r="F41" i="162"/>
  <c r="C41" i="162"/>
  <c r="H41" i="162"/>
  <c r="K41" i="162"/>
  <c r="L41" i="162"/>
  <c r="M41" i="162"/>
  <c r="N41" i="162"/>
  <c r="D42" i="162"/>
  <c r="J42" i="162"/>
  <c r="E42" i="162"/>
  <c r="F42" i="162"/>
  <c r="C42" i="162"/>
  <c r="H42" i="162"/>
  <c r="K42" i="162"/>
  <c r="L42" i="162"/>
  <c r="M42" i="162"/>
  <c r="N42" i="162"/>
  <c r="D43" i="162"/>
  <c r="J43" i="162"/>
  <c r="E43" i="162"/>
  <c r="F43" i="162"/>
  <c r="C43" i="162"/>
  <c r="H43" i="162"/>
  <c r="K43" i="162"/>
  <c r="L43" i="162"/>
  <c r="M43" i="162"/>
  <c r="N43" i="162"/>
  <c r="D44" i="162"/>
  <c r="J44" i="162"/>
  <c r="E44" i="162"/>
  <c r="F44" i="162"/>
  <c r="C44" i="162"/>
  <c r="H44" i="162"/>
  <c r="K44" i="162"/>
  <c r="L44" i="162"/>
  <c r="M44" i="162"/>
  <c r="N44" i="162"/>
  <c r="D45" i="162"/>
  <c r="J45" i="162"/>
  <c r="E45" i="162"/>
  <c r="F45" i="162"/>
  <c r="C45" i="162"/>
  <c r="H45" i="162"/>
  <c r="K45" i="162"/>
  <c r="L45" i="162"/>
  <c r="M45" i="162"/>
  <c r="N45" i="162"/>
  <c r="D46" i="162"/>
  <c r="J46" i="162"/>
  <c r="E46" i="162"/>
  <c r="F46" i="162"/>
  <c r="C46" i="162"/>
  <c r="H46" i="162"/>
  <c r="K46" i="162"/>
  <c r="L46" i="162"/>
  <c r="M46" i="162"/>
  <c r="N46" i="162"/>
  <c r="D47" i="162"/>
  <c r="J47" i="162"/>
  <c r="E47" i="162"/>
  <c r="F47" i="162"/>
  <c r="C47" i="162"/>
  <c r="H47" i="162"/>
  <c r="K47" i="162"/>
  <c r="L47" i="162"/>
  <c r="M47" i="162"/>
  <c r="N47" i="162"/>
  <c r="D48" i="162"/>
  <c r="J48" i="162"/>
  <c r="E48" i="162"/>
  <c r="F48" i="162"/>
  <c r="C48" i="162"/>
  <c r="H48" i="162"/>
  <c r="K48" i="162"/>
  <c r="L48" i="162"/>
  <c r="M48" i="162"/>
  <c r="N48" i="162"/>
  <c r="D49" i="162"/>
  <c r="J49" i="162"/>
  <c r="E49" i="162"/>
  <c r="F49" i="162"/>
  <c r="C49" i="162"/>
  <c r="H49" i="162"/>
  <c r="K49" i="162"/>
  <c r="L49" i="162"/>
  <c r="M49" i="162"/>
  <c r="N49" i="162"/>
  <c r="D50" i="162"/>
  <c r="J50" i="162"/>
  <c r="E50" i="162"/>
  <c r="F50" i="162"/>
  <c r="C50" i="162"/>
  <c r="H50" i="162"/>
  <c r="K50" i="162"/>
  <c r="L50" i="162"/>
  <c r="M50" i="162"/>
  <c r="N50" i="162"/>
  <c r="D51" i="162"/>
  <c r="J51" i="162"/>
  <c r="E51" i="162"/>
  <c r="F51" i="162"/>
  <c r="C51" i="162"/>
  <c r="H51" i="162"/>
  <c r="K51" i="162"/>
  <c r="L51" i="162"/>
  <c r="M51" i="162"/>
  <c r="N51" i="162"/>
  <c r="D52" i="162"/>
  <c r="J52" i="162"/>
  <c r="E52" i="162"/>
  <c r="F52" i="162"/>
  <c r="C52" i="162"/>
  <c r="H52" i="162"/>
  <c r="K52" i="162"/>
  <c r="L52" i="162"/>
  <c r="M52" i="162"/>
  <c r="N52" i="162"/>
  <c r="D53" i="162"/>
  <c r="J53" i="162"/>
  <c r="E53" i="162"/>
  <c r="F53" i="162"/>
  <c r="C53" i="162"/>
  <c r="H53" i="162"/>
  <c r="K53" i="162"/>
  <c r="L53" i="162"/>
  <c r="M53" i="162"/>
  <c r="N53" i="162"/>
  <c r="D54" i="162"/>
  <c r="J54" i="162"/>
  <c r="E54" i="162"/>
  <c r="F54" i="162"/>
  <c r="C54" i="162"/>
  <c r="H54" i="162"/>
  <c r="K54" i="162"/>
  <c r="L54" i="162"/>
  <c r="M54" i="162"/>
  <c r="N54" i="162"/>
  <c r="D55" i="162"/>
  <c r="J55" i="162"/>
  <c r="E55" i="162"/>
  <c r="F55" i="162"/>
  <c r="C55" i="162"/>
  <c r="H55" i="162"/>
  <c r="K55" i="162"/>
  <c r="L55" i="162"/>
  <c r="M55" i="162"/>
  <c r="N55" i="162"/>
  <c r="D56" i="162"/>
  <c r="J56" i="162"/>
  <c r="E56" i="162"/>
  <c r="F56" i="162"/>
  <c r="C56" i="162"/>
  <c r="H56" i="162"/>
  <c r="K56" i="162"/>
  <c r="L56" i="162"/>
  <c r="M56" i="162"/>
  <c r="N56" i="162"/>
  <c r="D57" i="162"/>
  <c r="J57" i="162"/>
  <c r="E57" i="162"/>
  <c r="F57" i="162"/>
  <c r="C57" i="162"/>
  <c r="H57" i="162"/>
  <c r="K57" i="162"/>
  <c r="L57" i="162"/>
  <c r="M57" i="162"/>
  <c r="N57" i="162"/>
  <c r="D58" i="162"/>
  <c r="J58" i="162"/>
  <c r="E58" i="162"/>
  <c r="F58" i="162"/>
  <c r="C58" i="162"/>
  <c r="H58" i="162"/>
  <c r="K58" i="162"/>
  <c r="L58" i="162"/>
  <c r="M58" i="162"/>
  <c r="N58" i="162"/>
  <c r="D59" i="162"/>
  <c r="J59" i="162"/>
  <c r="E59" i="162"/>
  <c r="F59" i="162"/>
  <c r="C59" i="162"/>
  <c r="H59" i="162"/>
  <c r="K59" i="162"/>
  <c r="L59" i="162"/>
  <c r="M59" i="162"/>
  <c r="N59" i="162"/>
  <c r="D60" i="162"/>
  <c r="J60" i="162"/>
  <c r="E60" i="162"/>
  <c r="F60" i="162"/>
  <c r="C60" i="162"/>
  <c r="H60" i="162"/>
  <c r="K60" i="162"/>
  <c r="L60" i="162"/>
  <c r="M60" i="162"/>
  <c r="N60" i="162"/>
  <c r="D61" i="162"/>
  <c r="J61" i="162"/>
  <c r="E61" i="162"/>
  <c r="F61" i="162"/>
  <c r="C61" i="162"/>
  <c r="H61" i="162"/>
  <c r="K61" i="162"/>
  <c r="L61" i="162"/>
  <c r="M61" i="162"/>
  <c r="N61" i="162"/>
  <c r="D62" i="162"/>
  <c r="J62" i="162"/>
  <c r="E62" i="162"/>
  <c r="F62" i="162"/>
  <c r="C62" i="162"/>
  <c r="H62" i="162"/>
  <c r="K62" i="162"/>
  <c r="L62" i="162"/>
  <c r="M62" i="162"/>
  <c r="N62" i="162"/>
  <c r="D63" i="162"/>
  <c r="J63" i="162"/>
  <c r="E63" i="162"/>
  <c r="F63" i="162"/>
  <c r="C63" i="162"/>
  <c r="H63" i="162"/>
  <c r="K63" i="162"/>
  <c r="L63" i="162"/>
  <c r="M63" i="162"/>
  <c r="N63" i="162"/>
  <c r="D64" i="162"/>
  <c r="J64" i="162"/>
  <c r="E64" i="162"/>
  <c r="F64" i="162"/>
  <c r="C64" i="162"/>
  <c r="H64" i="162"/>
  <c r="K64" i="162"/>
  <c r="L64" i="162"/>
  <c r="M64" i="162"/>
  <c r="N64" i="162"/>
  <c r="D65" i="162"/>
  <c r="J65" i="162"/>
  <c r="E65" i="162"/>
  <c r="F65" i="162"/>
  <c r="C65" i="162"/>
  <c r="H65" i="162"/>
  <c r="K65" i="162"/>
  <c r="L65" i="162"/>
  <c r="M65" i="162"/>
  <c r="N65" i="162"/>
  <c r="D66" i="162"/>
  <c r="J66" i="162"/>
  <c r="E66" i="162"/>
  <c r="F66" i="162"/>
  <c r="C66" i="162"/>
  <c r="H66" i="162"/>
  <c r="K66" i="162"/>
  <c r="L66" i="162"/>
  <c r="M66" i="162"/>
  <c r="N66" i="162"/>
  <c r="D67" i="162"/>
  <c r="J67" i="162"/>
  <c r="E67" i="162"/>
  <c r="F67" i="162"/>
  <c r="C67" i="162"/>
  <c r="H67" i="162"/>
  <c r="K67" i="162"/>
  <c r="L67" i="162"/>
  <c r="M67" i="162"/>
  <c r="N67" i="162"/>
  <c r="D68" i="162"/>
  <c r="J68" i="162"/>
  <c r="E68" i="162"/>
  <c r="F68" i="162"/>
  <c r="C68" i="162"/>
  <c r="H68" i="162"/>
  <c r="K68" i="162"/>
  <c r="L68" i="162"/>
  <c r="M68" i="162"/>
  <c r="N68" i="162"/>
  <c r="D69" i="162"/>
  <c r="J69" i="162"/>
  <c r="E69" i="162"/>
  <c r="F69" i="162"/>
  <c r="C69" i="162"/>
  <c r="H69" i="162"/>
  <c r="K69" i="162"/>
  <c r="L69" i="162"/>
  <c r="M69" i="162"/>
  <c r="N69" i="162"/>
  <c r="D70" i="162"/>
  <c r="J70" i="162"/>
  <c r="E70" i="162"/>
  <c r="F70" i="162"/>
  <c r="C70" i="162"/>
  <c r="H70" i="162"/>
  <c r="K70" i="162"/>
  <c r="L70" i="162"/>
  <c r="M70" i="162"/>
  <c r="N70" i="162"/>
  <c r="D71" i="162"/>
  <c r="J71" i="162"/>
  <c r="E71" i="162"/>
  <c r="F71" i="162"/>
  <c r="C71" i="162"/>
  <c r="H71" i="162"/>
  <c r="K71" i="162"/>
  <c r="L71" i="162"/>
  <c r="M71" i="162"/>
  <c r="N71" i="162"/>
  <c r="D72" i="162"/>
  <c r="J72" i="162"/>
  <c r="E72" i="162"/>
  <c r="F72" i="162"/>
  <c r="C72" i="162"/>
  <c r="H72" i="162"/>
  <c r="K72" i="162"/>
  <c r="L72" i="162"/>
  <c r="M72" i="162"/>
  <c r="N72" i="162"/>
  <c r="D73" i="162"/>
  <c r="J73" i="162"/>
  <c r="E73" i="162"/>
  <c r="F73" i="162"/>
  <c r="C73" i="162"/>
  <c r="H73" i="162"/>
  <c r="K73" i="162"/>
  <c r="L73" i="162"/>
  <c r="M73" i="162"/>
  <c r="N73" i="162"/>
  <c r="D74" i="162"/>
  <c r="J74" i="162"/>
  <c r="E74" i="162"/>
  <c r="F74" i="162"/>
  <c r="C74" i="162"/>
  <c r="H74" i="162"/>
  <c r="K74" i="162"/>
  <c r="L74" i="162"/>
  <c r="M74" i="162"/>
  <c r="N74" i="162"/>
  <c r="D75" i="162"/>
  <c r="J75" i="162"/>
  <c r="E75" i="162"/>
  <c r="F75" i="162"/>
  <c r="C75" i="162"/>
  <c r="H75" i="162"/>
  <c r="K75" i="162"/>
  <c r="L75" i="162"/>
  <c r="M75" i="162"/>
  <c r="N75" i="162"/>
  <c r="D76" i="162"/>
  <c r="J76" i="162"/>
  <c r="E76" i="162"/>
  <c r="F76" i="162"/>
  <c r="C76" i="162"/>
  <c r="H76" i="162"/>
  <c r="K76" i="162"/>
  <c r="L76" i="162"/>
  <c r="M76" i="162"/>
  <c r="N76" i="162"/>
  <c r="D77" i="162"/>
  <c r="J77" i="162"/>
  <c r="E77" i="162"/>
  <c r="F77" i="162"/>
  <c r="C77" i="162"/>
  <c r="H77" i="162"/>
  <c r="K77" i="162"/>
  <c r="L77" i="162"/>
  <c r="M77" i="162"/>
  <c r="N77" i="162"/>
  <c r="D78" i="162"/>
  <c r="J78" i="162"/>
  <c r="E78" i="162"/>
  <c r="F78" i="162"/>
  <c r="C78" i="162"/>
  <c r="H78" i="162"/>
  <c r="K78" i="162"/>
  <c r="L78" i="162"/>
  <c r="M78" i="162"/>
  <c r="N78" i="162"/>
  <c r="D79" i="162"/>
  <c r="J79" i="162"/>
  <c r="E79" i="162"/>
  <c r="F79" i="162"/>
  <c r="C79" i="162"/>
  <c r="H79" i="162"/>
  <c r="K79" i="162"/>
  <c r="L79" i="162"/>
  <c r="M79" i="162"/>
  <c r="N79" i="162"/>
  <c r="D80" i="162"/>
  <c r="J80" i="162"/>
  <c r="E80" i="162"/>
  <c r="F80" i="162"/>
  <c r="C80" i="162"/>
  <c r="H80" i="162"/>
  <c r="K80" i="162"/>
  <c r="L80" i="162"/>
  <c r="M80" i="162"/>
  <c r="N80" i="162"/>
  <c r="D81" i="162"/>
  <c r="J81" i="162"/>
  <c r="E81" i="162"/>
  <c r="F81" i="162"/>
  <c r="C81" i="162"/>
  <c r="H81" i="162"/>
  <c r="K81" i="162"/>
  <c r="L81" i="162"/>
  <c r="M81" i="162"/>
  <c r="N81" i="162"/>
  <c r="D82" i="162"/>
  <c r="J82" i="162"/>
  <c r="E82" i="162"/>
  <c r="F82" i="162"/>
  <c r="C82" i="162"/>
  <c r="H82" i="162"/>
  <c r="K82" i="162"/>
  <c r="L82" i="162"/>
  <c r="M82" i="162"/>
  <c r="N82" i="162"/>
  <c r="D83" i="162"/>
  <c r="J83" i="162"/>
  <c r="E83" i="162"/>
  <c r="F83" i="162"/>
  <c r="C83" i="162"/>
  <c r="H83" i="162"/>
  <c r="K83" i="162"/>
  <c r="L83" i="162"/>
  <c r="M83" i="162"/>
  <c r="N83" i="162"/>
  <c r="D84" i="162"/>
  <c r="J84" i="162"/>
  <c r="E84" i="162"/>
  <c r="F84" i="162"/>
  <c r="C84" i="162"/>
  <c r="H84" i="162"/>
  <c r="K84" i="162"/>
  <c r="L84" i="162"/>
  <c r="M84" i="162"/>
  <c r="N84" i="162"/>
  <c r="D85" i="162"/>
  <c r="J85" i="162"/>
  <c r="E85" i="162"/>
  <c r="F85" i="162"/>
  <c r="C85" i="162"/>
  <c r="H85" i="162"/>
  <c r="K85" i="162"/>
  <c r="L85" i="162"/>
  <c r="M85" i="162"/>
  <c r="N85" i="162"/>
  <c r="D86" i="162"/>
  <c r="J86" i="162"/>
  <c r="E86" i="162"/>
  <c r="F86" i="162"/>
  <c r="C86" i="162"/>
  <c r="H86" i="162"/>
  <c r="K86" i="162"/>
  <c r="L86" i="162"/>
  <c r="M86" i="162"/>
  <c r="N86" i="162"/>
  <c r="D87" i="162"/>
  <c r="J87" i="162"/>
  <c r="E87" i="162"/>
  <c r="F87" i="162"/>
  <c r="C87" i="162"/>
  <c r="H87" i="162"/>
  <c r="K87" i="162"/>
  <c r="L87" i="162"/>
  <c r="M87" i="162"/>
  <c r="N87" i="162"/>
  <c r="D88" i="162"/>
  <c r="J88" i="162"/>
  <c r="E88" i="162"/>
  <c r="F88" i="162"/>
  <c r="C88" i="162"/>
  <c r="H88" i="162"/>
  <c r="K88" i="162"/>
  <c r="L88" i="162"/>
  <c r="M88" i="162"/>
  <c r="N88" i="162"/>
  <c r="D89" i="162"/>
  <c r="J89" i="162"/>
  <c r="E89" i="162"/>
  <c r="F89" i="162"/>
  <c r="C89" i="162"/>
  <c r="H89" i="162"/>
  <c r="K89" i="162"/>
  <c r="L89" i="162"/>
  <c r="M89" i="162"/>
  <c r="N89" i="162"/>
  <c r="D90" i="162"/>
  <c r="J90" i="162"/>
  <c r="E90" i="162"/>
  <c r="F90" i="162"/>
  <c r="C90" i="162"/>
  <c r="H90" i="162"/>
  <c r="K90" i="162"/>
  <c r="L90" i="162"/>
  <c r="M90" i="162"/>
  <c r="N90" i="162"/>
  <c r="D91" i="162"/>
  <c r="J91" i="162"/>
  <c r="E91" i="162"/>
  <c r="F91" i="162"/>
  <c r="C91" i="162"/>
  <c r="H91" i="162"/>
  <c r="K91" i="162"/>
  <c r="L91" i="162"/>
  <c r="M91" i="162"/>
  <c r="N91" i="162"/>
  <c r="D92" i="162"/>
  <c r="J92" i="162"/>
  <c r="E92" i="162"/>
  <c r="F92" i="162"/>
  <c r="C92" i="162"/>
  <c r="H92" i="162"/>
  <c r="K92" i="162"/>
  <c r="L92" i="162"/>
  <c r="M92" i="162"/>
  <c r="N92" i="162"/>
  <c r="D93" i="162"/>
  <c r="J93" i="162"/>
  <c r="E93" i="162"/>
  <c r="F93" i="162"/>
  <c r="C93" i="162"/>
  <c r="H93" i="162"/>
  <c r="K93" i="162"/>
  <c r="L93" i="162"/>
  <c r="M93" i="162"/>
  <c r="N93" i="162"/>
  <c r="D94" i="162"/>
  <c r="J94" i="162"/>
  <c r="E94" i="162"/>
  <c r="F94" i="162"/>
  <c r="C94" i="162"/>
  <c r="H94" i="162"/>
  <c r="K94" i="162"/>
  <c r="L94" i="162"/>
  <c r="M94" i="162"/>
  <c r="N94" i="162"/>
  <c r="D95" i="162"/>
  <c r="J95" i="162"/>
  <c r="E95" i="162"/>
  <c r="F95" i="162"/>
  <c r="C95" i="162"/>
  <c r="H95" i="162"/>
  <c r="K95" i="162"/>
  <c r="L95" i="162"/>
  <c r="M95" i="162"/>
  <c r="N95" i="162"/>
  <c r="D96" i="162"/>
  <c r="J96" i="162"/>
  <c r="E96" i="162"/>
  <c r="F96" i="162"/>
  <c r="C96" i="162"/>
  <c r="H96" i="162"/>
  <c r="K96" i="162"/>
  <c r="L96" i="162"/>
  <c r="M96" i="162"/>
  <c r="N96" i="162"/>
  <c r="D97" i="162"/>
  <c r="J97" i="162"/>
  <c r="E97" i="162"/>
  <c r="F97" i="162"/>
  <c r="C97" i="162"/>
  <c r="H97" i="162"/>
  <c r="K97" i="162"/>
  <c r="L97" i="162"/>
  <c r="M97" i="162"/>
  <c r="N97" i="162"/>
  <c r="D98" i="162"/>
  <c r="J98" i="162"/>
  <c r="E98" i="162"/>
  <c r="F98" i="162"/>
  <c r="C98" i="162"/>
  <c r="H98" i="162"/>
  <c r="K98" i="162"/>
  <c r="L98" i="162"/>
  <c r="M98" i="162"/>
  <c r="N98" i="162"/>
  <c r="D99" i="162"/>
  <c r="J99" i="162"/>
  <c r="E99" i="162"/>
  <c r="F99" i="162"/>
  <c r="C99" i="162"/>
  <c r="H99" i="162"/>
  <c r="K99" i="162"/>
  <c r="L99" i="162"/>
  <c r="M99" i="162"/>
  <c r="N99" i="162"/>
  <c r="D100" i="162"/>
  <c r="J100" i="162"/>
  <c r="E100" i="162"/>
  <c r="F100" i="162"/>
  <c r="C100" i="162"/>
  <c r="H100" i="162"/>
  <c r="K100" i="162"/>
  <c r="L100" i="162"/>
  <c r="M100" i="162"/>
  <c r="N100" i="162"/>
  <c r="D101" i="162"/>
  <c r="J101" i="162"/>
  <c r="E101" i="162"/>
  <c r="F101" i="162"/>
  <c r="C101" i="162"/>
  <c r="H101" i="162"/>
  <c r="K101" i="162"/>
  <c r="L101" i="162"/>
  <c r="M101" i="162"/>
  <c r="N101" i="162"/>
  <c r="D102" i="162"/>
  <c r="J102" i="162"/>
  <c r="E102" i="162"/>
  <c r="F102" i="162"/>
  <c r="C102" i="162"/>
  <c r="H102" i="162"/>
  <c r="K102" i="162"/>
  <c r="L102" i="162"/>
  <c r="M102" i="162"/>
  <c r="N102" i="162"/>
  <c r="D103" i="162"/>
  <c r="J103" i="162"/>
  <c r="E103" i="162"/>
  <c r="F103" i="162"/>
  <c r="C103" i="162"/>
  <c r="H103" i="162"/>
  <c r="K103" i="162"/>
  <c r="L103" i="162"/>
  <c r="M103" i="162"/>
  <c r="N103" i="162"/>
  <c r="D104" i="162"/>
  <c r="J104" i="162"/>
  <c r="E104" i="162"/>
  <c r="F104" i="162"/>
  <c r="C104" i="162"/>
  <c r="H104" i="162"/>
  <c r="K104" i="162"/>
  <c r="L104" i="162"/>
  <c r="M104" i="162"/>
  <c r="N104" i="162"/>
  <c r="D105" i="162"/>
  <c r="J105" i="162"/>
  <c r="E105" i="162"/>
  <c r="F105" i="162"/>
  <c r="C105" i="162"/>
  <c r="H105" i="162"/>
  <c r="K105" i="162"/>
  <c r="L105" i="162"/>
  <c r="M105" i="162"/>
  <c r="N105" i="162"/>
  <c r="D106" i="162"/>
  <c r="J106" i="162"/>
  <c r="E106" i="162"/>
  <c r="F106" i="162"/>
  <c r="C106" i="162"/>
  <c r="H106" i="162"/>
  <c r="K106" i="162"/>
  <c r="L106" i="162"/>
  <c r="M106" i="162"/>
  <c r="N106" i="162"/>
  <c r="D107" i="162"/>
  <c r="J107" i="162"/>
  <c r="E107" i="162"/>
  <c r="F107" i="162"/>
  <c r="C107" i="162"/>
  <c r="H107" i="162"/>
  <c r="K107" i="162"/>
  <c r="L107" i="162"/>
  <c r="M107" i="162"/>
  <c r="N107" i="162"/>
  <c r="D108" i="162"/>
  <c r="J108" i="162"/>
  <c r="E108" i="162"/>
  <c r="F108" i="162"/>
  <c r="C108" i="162"/>
  <c r="H108" i="162"/>
  <c r="K108" i="162"/>
  <c r="L108" i="162"/>
  <c r="M108" i="162"/>
  <c r="N108" i="162"/>
  <c r="D109" i="162"/>
  <c r="J109" i="162"/>
  <c r="E109" i="162"/>
  <c r="F109" i="162"/>
  <c r="C109" i="162"/>
  <c r="H109" i="162"/>
  <c r="K109" i="162"/>
  <c r="L109" i="162"/>
  <c r="M109" i="162"/>
  <c r="N109" i="162"/>
  <c r="D110" i="162"/>
  <c r="J110" i="162"/>
  <c r="E110" i="162"/>
  <c r="F110" i="162"/>
  <c r="C110" i="162"/>
  <c r="H110" i="162"/>
  <c r="K110" i="162"/>
  <c r="L110" i="162"/>
  <c r="M110" i="162"/>
  <c r="N110" i="162"/>
  <c r="D111" i="162"/>
  <c r="J111" i="162"/>
  <c r="E111" i="162"/>
  <c r="F111" i="162"/>
  <c r="C111" i="162"/>
  <c r="H111" i="162"/>
  <c r="K111" i="162"/>
  <c r="L111" i="162"/>
  <c r="M111" i="162"/>
  <c r="N111" i="162"/>
  <c r="D112" i="162"/>
  <c r="J112" i="162"/>
  <c r="E112" i="162"/>
  <c r="F112" i="162"/>
  <c r="C112" i="162"/>
  <c r="H112" i="162"/>
  <c r="K112" i="162"/>
  <c r="L112" i="162"/>
  <c r="M112" i="162"/>
  <c r="N112" i="162"/>
  <c r="D113" i="162"/>
  <c r="J113" i="162"/>
  <c r="E113" i="162"/>
  <c r="F113" i="162"/>
  <c r="C113" i="162"/>
  <c r="H113" i="162"/>
  <c r="K113" i="162"/>
  <c r="L113" i="162"/>
  <c r="M113" i="162"/>
  <c r="N113" i="162"/>
  <c r="D114" i="162"/>
  <c r="J114" i="162"/>
  <c r="E114" i="162"/>
  <c r="F114" i="162"/>
  <c r="C114" i="162"/>
  <c r="H114" i="162"/>
  <c r="K114" i="162"/>
  <c r="L114" i="162"/>
  <c r="M114" i="162"/>
  <c r="N114" i="162"/>
  <c r="D115" i="162"/>
  <c r="J115" i="162"/>
  <c r="E115" i="162"/>
  <c r="F115" i="162"/>
  <c r="C115" i="162"/>
  <c r="H115" i="162"/>
  <c r="K115" i="162"/>
  <c r="L115" i="162"/>
  <c r="M115" i="162"/>
  <c r="N115" i="162"/>
  <c r="D116" i="162"/>
  <c r="J116" i="162"/>
  <c r="E116" i="162"/>
  <c r="F116" i="162"/>
  <c r="C116" i="162"/>
  <c r="H116" i="162"/>
  <c r="K116" i="162"/>
  <c r="L116" i="162"/>
  <c r="M116" i="162"/>
  <c r="N116" i="162"/>
  <c r="D117" i="162"/>
  <c r="J117" i="162"/>
  <c r="E117" i="162"/>
  <c r="F117" i="162"/>
  <c r="C117" i="162"/>
  <c r="H117" i="162"/>
  <c r="K117" i="162"/>
  <c r="L117" i="162"/>
  <c r="M117" i="162"/>
  <c r="N117" i="162"/>
  <c r="D118" i="162"/>
  <c r="J118" i="162"/>
  <c r="E118" i="162"/>
  <c r="F118" i="162"/>
  <c r="C118" i="162"/>
  <c r="H118" i="162"/>
  <c r="K118" i="162"/>
  <c r="L118" i="162"/>
  <c r="M118" i="162"/>
  <c r="N118" i="162"/>
  <c r="D119" i="162"/>
  <c r="J119" i="162"/>
  <c r="E119" i="162"/>
  <c r="F119" i="162"/>
  <c r="C119" i="162"/>
  <c r="H119" i="162"/>
  <c r="K119" i="162"/>
  <c r="L119" i="162"/>
  <c r="M119" i="162"/>
  <c r="N119" i="162"/>
  <c r="D120" i="162"/>
  <c r="J120" i="162"/>
  <c r="E120" i="162"/>
  <c r="F120" i="162"/>
  <c r="C120" i="162"/>
  <c r="H120" i="162"/>
  <c r="K120" i="162"/>
  <c r="L120" i="162"/>
  <c r="M120" i="162"/>
  <c r="N120" i="162"/>
  <c r="D121" i="162"/>
  <c r="J121" i="162"/>
  <c r="E121" i="162"/>
  <c r="F121" i="162"/>
  <c r="C121" i="162"/>
  <c r="H121" i="162"/>
  <c r="K121" i="162"/>
  <c r="L121" i="162"/>
  <c r="M121" i="162"/>
  <c r="N121" i="162"/>
  <c r="D122" i="162"/>
  <c r="J122" i="162"/>
  <c r="E122" i="162"/>
  <c r="F122" i="162"/>
  <c r="C122" i="162"/>
  <c r="H122" i="162"/>
  <c r="K122" i="162"/>
  <c r="L122" i="162"/>
  <c r="M122" i="162"/>
  <c r="N122" i="162"/>
  <c r="D123" i="162"/>
  <c r="J123" i="162"/>
  <c r="E123" i="162"/>
  <c r="F123" i="162"/>
  <c r="C123" i="162"/>
  <c r="H123" i="162"/>
  <c r="K123" i="162"/>
  <c r="L123" i="162"/>
  <c r="M123" i="162"/>
  <c r="N123" i="162"/>
  <c r="D124" i="162"/>
  <c r="J124" i="162"/>
  <c r="E124" i="162"/>
  <c r="F124" i="162"/>
  <c r="C124" i="162"/>
  <c r="H124" i="162"/>
  <c r="K124" i="162"/>
  <c r="L124" i="162"/>
  <c r="M124" i="162"/>
  <c r="N124" i="162"/>
  <c r="D125" i="162"/>
  <c r="J125" i="162"/>
  <c r="E125" i="162"/>
  <c r="F125" i="162"/>
  <c r="C125" i="162"/>
  <c r="H125" i="162"/>
  <c r="K125" i="162"/>
  <c r="L125" i="162"/>
  <c r="M125" i="162"/>
  <c r="A3" i="162"/>
  <c r="A4" i="162"/>
  <c r="A5" i="162"/>
  <c r="A6" i="162"/>
  <c r="A7" i="162"/>
  <c r="A8" i="162"/>
  <c r="A9" i="162"/>
  <c r="A10" i="162"/>
  <c r="A11" i="162"/>
  <c r="A12" i="162"/>
  <c r="A13" i="162"/>
  <c r="A14" i="162"/>
  <c r="A15" i="162"/>
  <c r="A16" i="162"/>
  <c r="A17" i="162"/>
  <c r="A18" i="162"/>
  <c r="A19" i="162"/>
  <c r="A20" i="162"/>
  <c r="A21" i="162"/>
  <c r="A22" i="162"/>
  <c r="A23" i="162"/>
  <c r="A24" i="162"/>
  <c r="A25" i="162"/>
  <c r="A26" i="162"/>
  <c r="A27" i="162"/>
  <c r="A28" i="162"/>
  <c r="A29" i="162"/>
  <c r="A30" i="162"/>
  <c r="A31" i="162"/>
  <c r="A32" i="162"/>
  <c r="A33" i="162"/>
  <c r="A34" i="162"/>
  <c r="A35" i="162"/>
  <c r="A36" i="162"/>
  <c r="A37" i="162"/>
  <c r="A38" i="162"/>
  <c r="A39" i="162"/>
  <c r="A40" i="162"/>
  <c r="A41" i="162"/>
  <c r="A42" i="162"/>
  <c r="A43" i="162"/>
  <c r="A44" i="162"/>
  <c r="A45" i="162"/>
  <c r="A46" i="162"/>
  <c r="A47" i="162"/>
  <c r="A48" i="162"/>
  <c r="A49" i="162"/>
  <c r="A50" i="162"/>
  <c r="A51" i="162"/>
  <c r="A52" i="162"/>
  <c r="A53" i="162"/>
  <c r="A54" i="162"/>
  <c r="A55" i="162"/>
  <c r="A56" i="162"/>
  <c r="A57" i="162"/>
  <c r="A58" i="162"/>
  <c r="A59" i="162"/>
  <c r="A60" i="162"/>
  <c r="A61" i="162"/>
  <c r="A62" i="162"/>
  <c r="A63" i="162"/>
  <c r="A64" i="162"/>
  <c r="A65" i="162"/>
  <c r="A66" i="162"/>
  <c r="A67" i="162"/>
  <c r="A68" i="162"/>
  <c r="A69" i="162"/>
  <c r="A70" i="162"/>
  <c r="A71" i="162"/>
  <c r="A72" i="162"/>
  <c r="A73" i="162"/>
  <c r="A74" i="162"/>
  <c r="A75" i="162"/>
  <c r="A76" i="162"/>
  <c r="A77" i="162"/>
  <c r="A78" i="162"/>
  <c r="A79" i="162"/>
  <c r="A80" i="162"/>
  <c r="A81" i="162"/>
  <c r="A82" i="162"/>
  <c r="A83" i="162"/>
  <c r="A84" i="162"/>
  <c r="A85" i="162"/>
  <c r="A86" i="162"/>
  <c r="A87" i="162"/>
  <c r="A88" i="162"/>
  <c r="A89" i="162"/>
  <c r="A90" i="162"/>
  <c r="A91" i="162"/>
  <c r="A92" i="162"/>
  <c r="A93" i="162"/>
  <c r="A94" i="162"/>
  <c r="A95" i="162"/>
  <c r="A96" i="162"/>
  <c r="A97" i="162"/>
  <c r="A98" i="162"/>
  <c r="A99" i="162"/>
  <c r="A100" i="162"/>
  <c r="A101" i="162"/>
  <c r="A102" i="162"/>
  <c r="A103" i="162"/>
  <c r="A104" i="162"/>
  <c r="A105" i="162"/>
  <c r="A106" i="162"/>
  <c r="A107" i="162"/>
  <c r="A108" i="162"/>
  <c r="A109" i="162"/>
  <c r="A110" i="162"/>
  <c r="A111" i="162"/>
  <c r="A112" i="162"/>
  <c r="A113" i="162"/>
  <c r="A114" i="162"/>
  <c r="A115" i="162"/>
  <c r="A116" i="162"/>
  <c r="A117" i="162"/>
  <c r="A118" i="162"/>
  <c r="A119" i="162"/>
  <c r="A120" i="162"/>
  <c r="A121" i="162"/>
  <c r="A122" i="162"/>
  <c r="A123" i="162"/>
  <c r="A124" i="162"/>
  <c r="A125" i="162"/>
  <c r="N2" i="162"/>
  <c r="M2" i="162"/>
  <c r="L2" i="162"/>
  <c r="K2" i="162"/>
  <c r="J2" i="162"/>
  <c r="H2" i="162"/>
  <c r="F2" i="162"/>
  <c r="E2" i="162"/>
  <c r="C2" i="162"/>
  <c r="A2" i="162"/>
  <c r="F315" i="154"/>
  <c r="H315" i="154"/>
  <c r="K315" i="154"/>
  <c r="L315" i="154"/>
  <c r="M315" i="154"/>
  <c r="N315" i="154"/>
  <c r="F316" i="154"/>
  <c r="F317" i="154"/>
  <c r="F318" i="154"/>
  <c r="F319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F310" i="154"/>
  <c r="H310" i="154"/>
  <c r="K310" i="154"/>
  <c r="L310" i="154"/>
  <c r="M310" i="154"/>
  <c r="N310" i="154"/>
  <c r="F311" i="154"/>
  <c r="F312" i="154"/>
  <c r="F313" i="154"/>
  <c r="F314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P20" i="153"/>
  <c r="O20" i="153"/>
  <c r="M20" i="153"/>
  <c r="P19" i="153"/>
  <c r="O19" i="153"/>
  <c r="M19" i="153"/>
  <c r="I19" i="153"/>
  <c r="J19" i="153"/>
  <c r="F19" i="153"/>
  <c r="D19" i="153"/>
  <c r="P18" i="153"/>
  <c r="O18" i="153"/>
  <c r="M18" i="153"/>
  <c r="I18" i="153"/>
  <c r="J18" i="153"/>
  <c r="F18" i="153"/>
  <c r="C18" i="153"/>
  <c r="D18" i="153"/>
  <c r="P17" i="153"/>
  <c r="O17" i="153"/>
  <c r="M17" i="153"/>
  <c r="I17" i="153"/>
  <c r="J17" i="153"/>
  <c r="F17" i="153"/>
  <c r="C17" i="153"/>
  <c r="D17" i="153"/>
  <c r="V16" i="153"/>
  <c r="P16" i="153"/>
  <c r="O16" i="153"/>
  <c r="M16" i="153"/>
  <c r="V15" i="153"/>
  <c r="P15" i="153"/>
  <c r="O15" i="153"/>
  <c r="M15" i="153"/>
  <c r="V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  <c r="F47" i="153"/>
  <c r="B41" i="153"/>
  <c r="B47" i="153"/>
  <c r="C40" i="153"/>
  <c r="C41" i="153"/>
  <c r="C42" i="153"/>
  <c r="C43" i="153"/>
  <c r="C44" i="153"/>
  <c r="C45" i="153"/>
  <c r="C46" i="153"/>
  <c r="C47" i="153"/>
  <c r="F46" i="153"/>
  <c r="F45" i="153"/>
  <c r="B32" i="153"/>
  <c r="D32" i="153"/>
  <c r="I20" i="153"/>
  <c r="J20" i="153"/>
  <c r="F20" i="153"/>
  <c r="D20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<sst xmlns="http://schemas.openxmlformats.org/spreadsheetml/2006/main" count="574" uniqueCount="266">
  <si>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</si>
  <si>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</si>
  <si>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</si>
  <si>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</si>
  <si>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</si>
  <si>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</si>
  <si>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</si>
  <si>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</si>
  <si>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</si>
  <si>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</si>
  <si>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</si>
  <si>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</si>
  <si>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</si>
  <si>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</si>
  <si>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</si>
  <si>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</si>
  <si>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</si>
  <si>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</si>
  <si>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</si>
  <si>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</si>
  <si>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</si>
  <si>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</si>
  <si>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</si>
  <si>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</si>
  <si>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</si>
  <si>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</si>
  <si>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</si>
  <si>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</si>
  <si>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</si>
  <si>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</si>
  <si>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</si>
  <si>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</si>
  <si>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</si>
  <si>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</si>
  <si>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</si>
  <si>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</si>
  <si>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</si>
  <si>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</si>
  <si>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</si>
  <si>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</si>
  <si>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</si>
  <si>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</si>
  <si>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</si>
  <si>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</si>
  <si>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</si>
  <si>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</si>
  <si>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</si>
  <si>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</si>
  <si>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</si>
  <si>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</si>
  <si>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</si>
  <si>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</si>
  <si>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</si>
  <si>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</si>
  <si>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</si>
  <si>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</si>
  <si>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</si>
  <si>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</si>
  <si>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</si>
  <si>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</si>
  <si>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</si>
  <si>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</si>
  <si>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</si>
  <si>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</si>
  <si>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</si>
  <si>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</si>
  <si>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</si>
  <si>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</si>
  <si>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</si>
  <si>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</si>
  <si>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</si>
  <si>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</si>
  <si>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</si>
  <si>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</si>
  <si>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</si>
  <si>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</si>
  <si>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</si>
  <si>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</si>
  <si>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</si>
  <si>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</si>
  <si>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</si>
  <si>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</si>
  <si>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</si>
  <si>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</si>
  <si>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</si>
  <si>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</si>
  <si>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</si>
  <si>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</si>
  <si>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</si>
  <si>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</si>
  <si>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</si>
  <si>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</si>
  <si>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</si>
  <si>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</si>
  <si>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</si>
  <si>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</si>
  <si>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</si>
  <si>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</si>
  <si>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</si>
  <si>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</si>
  <si>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</si>
  <si>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</si>
  <si>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</si>
  <si>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</si>
  <si>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</si>
  <si>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</si>
  <si>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</si>
  <si>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</si>
  <si>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</si>
  <si>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</si>
  <si>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</si>
  <si>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</si>
  <si>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</si>
  <si>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</si>
  <si>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</si>
  <si>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</si>
  <si>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</si>
  <si>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</si>
  <si>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</si>
  <si>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</si>
  <si>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</si>
  <si>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</si>
  <si>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</si>
  <si>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</si>
  <si>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</si>
  <si>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</si>
  <si>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</si>
  <si>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</si>
  <si>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</si>
  <si>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</si>
  <si>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</si>
  <si>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</si>
  <si>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</si>
  <si>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</si>
  <si>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</si>
  <si>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</si>
  <si>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</si>
  <si>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</si>
  <si>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</si>
  <si>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</si>
  <si>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</si>
  <si>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</si>
  <si>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</si>
  <si>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</si>
  <si>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</si>
  <si>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</si>
  <si>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</si>
  <si>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</si>
  <si>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</si>
  <si>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</si>
  <si>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</si>
  <si>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</si>
  <si>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</si>
  <si>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</si>
  <si>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</si>
  <si>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</si>
  <si>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</si>
  <si>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</si>
  <si>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</si>
  <si>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</si>
  <si>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</si>
  <si>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</si>
  <si>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</si>
  <si>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</si>
  <si>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</si>
  <si>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</si>
  <si>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</si>
  <si>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</si>
  <si>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</si>
  <si>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</si>
  <si>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</si>
  <si>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</si>
  <si>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</si>
  <si>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</si>
  <si>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</si>
  <si>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</si>
  <si>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</si>
  <si>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</si>
  <si>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</si>
  <si>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</si>
  <si>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</si>
  <si>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</si>
  <si>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</si>
  <si>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</si>
  <si>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</si>
  <si>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</si>
  <si>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</si>
  <si>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</si>
  <si>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</si>
  <si>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</si>
  <si>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</si>
  <si>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</si>
  <si>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</si>
  <si>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</si>
  <si>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</si>
  <si>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</si>
  <si>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</si>
  <si>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</si>
  <si>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</si>
  <si>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</si>
  <si>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</si>
  <si>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</si>
  <si>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</si>
  <si>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</si>
  <si>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</si>
  <si>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</si>
  <si>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</si>
  <si>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</si>
  <si>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</si>
  <si>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</si>
  <si>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</si>
  <si>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</si>
  <si>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</si>
  <si>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</si>
  <si>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</si>
  <si>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</si>
  <si>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</si>
  <si>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</si>
  <si>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</si>
  <si>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</si>
  <si>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</si>
  <si>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</si>
  <si>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</si>
  <si>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</si>
  <si>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</si>
  <si>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</si>
  <si>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</si>
  <si>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</si>
  <si>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</si>
  <si>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</si>
  <si>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</si>
  <si>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</si>
  <si>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</si>
  <si>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</si>
  <si>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</si>
  <si>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</si>
  <si>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</si>
  <si>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</si>
  <si>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</si>
  <si>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</si>
  <si>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</si>
  <si>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</si>
  <si>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</si>
  <si>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tables_363105</t>
    <phoneticPr fontId="22"/>
  </si>
  <si>
    <t>tables_363100</t>
    <phoneticPr fontId="22"/>
  </si>
  <si>
    <t>old</t>
    <phoneticPr fontId="22"/>
  </si>
  <si>
    <t>old</t>
    <phoneticPr fontId="22"/>
  </si>
  <si>
    <t>gacha_settle_tables_</t>
    <phoneticPr fontId="22"/>
  </si>
  <si>
    <t>.tmp</t>
    <phoneticPr fontId="55"/>
  </si>
  <si>
    <t>unit</t>
    <phoneticPr fontId="22"/>
  </si>
  <si>
    <t>ja</t>
    <phoneticPr fontId="22"/>
  </si>
  <si>
    <t>確定ステップアップガチャ特典</t>
    <phoneticPr fontId="22"/>
  </si>
  <si>
    <t>PremiumSSw</t>
    <phoneticPr fontId="22"/>
  </si>
  <si>
    <t>PremiumSSS</t>
    <phoneticPr fontId="22"/>
  </si>
  <si>
    <t>tables_434100</t>
  </si>
  <si>
    <t>tables_settle_434104</t>
  </si>
  <si>
    <t>tables_settle_434105</t>
  </si>
  <si>
    <t>tables_434101</t>
  </si>
  <si>
    <t>skip</t>
    <phoneticPr fontId="22"/>
  </si>
  <si>
    <t>item</t>
    <phoneticPr fontId="22"/>
  </si>
  <si>
    <t>マスターキー × 3</t>
    <phoneticPr fontId="22"/>
  </si>
  <si>
    <t>STEP2特典としてマスターキーを3個プレゼント！</t>
    <phoneticPr fontId="22"/>
  </si>
  <si>
    <t>ギガ攻めの果実 × 5</t>
    <phoneticPr fontId="22"/>
  </si>
  <si>
    <t>STEP3特典としてギガ攻めの果実を5体プレゼント！</t>
    <phoneticPr fontId="22"/>
  </si>
  <si>
    <t>メガ秘術の果実 × 2</t>
    <phoneticPr fontId="22"/>
  </si>
  <si>
    <t>STEP4特典としてメガ秘術の果実を2体プレゼント！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</si>
</sst>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8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6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4" borderId="1" xfId="2978" applyFont="1" applyFill="1" applyBorder="1"/>
    <xf numFmtId="184" fontId="0" fillId="29" borderId="1" xfId="0" applyNumberFormat="1" applyFill="1" applyBorder="1" applyAlignment="1">
      <alignment horizontal="right"/>
    </xf>
    <xf numFmtId="184" fontId="27" fillId="0" borderId="0" xfId="2" applyNumberFormat="1" applyFont="1" applyAlignment="1">
      <alignment vertical="center"/>
    </xf>
    <xf numFmtId="0" fontId="54" fillId="4" borderId="1" xfId="0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4" fillId="0" borderId="0" xfId="0" applyFont="1" applyFill="1" applyBorder="1" applyAlignment="1">
      <alignment vertical="center"/>
    </xf>
    <xf numFmtId="0" fontId="4" fillId="0" borderId="1" xfId="3036" applyFont="1" applyBorder="1"/>
    <xf numFmtId="0" fontId="4" fillId="0" borderId="1" xfId="2978" applyFont="1" applyBorder="1"/>
    <xf numFmtId="0" fontId="4" fillId="4" borderId="1" xfId="2978" applyFont="1" applyFill="1" applyBorder="1"/>
    <xf numFmtId="184" fontId="27" fillId="4" borderId="1" xfId="3663" quotePrefix="1" applyNumberFormat="1" applyFont="1" applyFill="1" applyBorder="1" applyAlignment="1">
      <alignment vertical="center"/>
    </xf>
    <xf numFmtId="0" fontId="3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</v>
          </cell>
          <cell r="K1160" t="str">
            <v>attack</v>
          </cell>
          <cell r="L1160" t="str">
            <v>攻撃タイプ</v>
          </cell>
          <cell r="M1160" t="str">
            <v>god</v>
          </cell>
        </row>
        <row r="1161">
          <cell r="A1161">
            <v>1160</v>
          </cell>
          <cell r="B1161" t="str">
            <v>ja</v>
          </cell>
          <cell r="C1161" t="str">
            <v>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</v>
          </cell>
          <cell r="K1161" t="str">
            <v>attack</v>
          </cell>
          <cell r="L1161" t="str">
            <v>攻撃タイプ</v>
          </cell>
          <cell r="M1161" t="str">
            <v>god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</v>
          </cell>
          <cell r="K1162" t="str">
            <v>attack</v>
          </cell>
          <cell r="L1162" t="str">
            <v>攻撃タイプ</v>
          </cell>
          <cell r="M1162" t="str">
            <v>god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</v>
          </cell>
          <cell r="K1163" t="str">
            <v>attack</v>
          </cell>
          <cell r="L1163" t="str">
            <v>攻撃タイプ</v>
          </cell>
          <cell r="M1163" t="str">
            <v>god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</v>
          </cell>
          <cell r="K1164" t="str">
            <v>attack</v>
          </cell>
          <cell r="L1164" t="str">
            <v>攻撃タイプ</v>
          </cell>
          <cell r="M1164" t="str">
            <v>god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PremiumSS</v>
          </cell>
          <cell r="K1179" t="str">
            <v>attack</v>
          </cell>
          <cell r="L1179" t="str">
            <v>攻撃タイプ</v>
          </cell>
          <cell r="M1179" t="str">
            <v>god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attack</v>
          </cell>
          <cell r="L1188" t="str">
            <v>攻撃タイプ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attack</v>
          </cell>
          <cell r="L1199" t="str">
            <v>攻撃タイプ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L1219" t="str">
            <v>攻撃タイプ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L1220" t="str">
            <v>攻撃タイプ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L1221" t="str">
            <v>攻撃タイプ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L1222" t="str">
            <v>攻撃タイプ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L1223" t="str">
            <v>攻撃タイプ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L1224" t="str">
            <v>攻撃タイプ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attack</v>
          </cell>
          <cell r="L1231" t="str">
            <v>攻撃タイプ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attack</v>
          </cell>
          <cell r="L1232" t="str">
            <v>攻撃タイプ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6001</v>
          </cell>
          <cell r="B1296" t="str">
            <v>ja</v>
          </cell>
          <cell r="C1296" t="str">
            <v>ジェリー</v>
          </cell>
          <cell r="D1296" t="str">
            <v>ノーマルクエスト</v>
          </cell>
          <cell r="E1296" t="str">
            <v>QoH</v>
          </cell>
          <cell r="F1296" t="str">
            <v>世界観</v>
          </cell>
          <cell r="G1296" t="str">
            <v>不明</v>
          </cell>
          <cell r="H1296" t="str">
            <v>red</v>
          </cell>
          <cell r="I1296">
            <v>1</v>
          </cell>
          <cell r="J1296" t="str">
            <v>Drop1T</v>
          </cell>
          <cell r="K1296" t="str">
            <v>ra</v>
          </cell>
          <cell r="L1296" t="str">
            <v>ラグランジュチャレンジ</v>
          </cell>
          <cell r="M1296" t="str">
            <v>unknown</v>
          </cell>
        </row>
        <row r="1297">
          <cell r="A1297">
            <v>6002</v>
          </cell>
          <cell r="B1297" t="str">
            <v>ja</v>
          </cell>
          <cell r="C1297" t="str">
            <v>ヨシタカ</v>
          </cell>
          <cell r="D1297" t="str">
            <v>ノーマルクエスト</v>
          </cell>
          <cell r="E1297" t="str">
            <v>アバター</v>
          </cell>
          <cell r="F1297" t="str">
            <v>世界観</v>
          </cell>
          <cell r="G1297" t="str">
            <v>男性</v>
          </cell>
          <cell r="H1297" t="str">
            <v>red</v>
          </cell>
          <cell r="I1297">
            <v>2</v>
          </cell>
          <cell r="J1297" t="str">
            <v>Drop1N</v>
          </cell>
          <cell r="K1297" t="str">
            <v>ra</v>
          </cell>
          <cell r="L1297" t="str">
            <v>ラグランジュチャレンジ</v>
          </cell>
          <cell r="M1297" t="str">
            <v>human</v>
          </cell>
        </row>
        <row r="1298">
          <cell r="A1298">
            <v>6003</v>
          </cell>
          <cell r="B1298" t="str">
            <v>ja</v>
          </cell>
          <cell r="C1298" t="str">
            <v>朱雀</v>
          </cell>
          <cell r="D1298" t="str">
            <v>リンクガチャ:4神</v>
          </cell>
          <cell r="E1298" t="str">
            <v>守護神</v>
          </cell>
          <cell r="F1298" t="str">
            <v>格好いい</v>
          </cell>
          <cell r="G1298" t="str">
            <v>不明</v>
          </cell>
          <cell r="H1298" t="str">
            <v>red</v>
          </cell>
          <cell r="I1298">
            <v>3</v>
          </cell>
          <cell r="J1298" t="str">
            <v>Drop2N</v>
          </cell>
          <cell r="K1298" t="str">
            <v>ra</v>
          </cell>
          <cell r="L1298" t="str">
            <v>ラグランジュチャレンジ</v>
          </cell>
          <cell r="M1298" t="str">
            <v>animal</v>
          </cell>
        </row>
        <row r="1299">
          <cell r="A1299">
            <v>6004</v>
          </cell>
          <cell r="B1299" t="str">
            <v>ja</v>
          </cell>
          <cell r="C1299" t="str">
            <v>ブレット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不明</v>
          </cell>
          <cell r="H1299" t="str">
            <v>red</v>
          </cell>
          <cell r="I1299">
            <v>1</v>
          </cell>
          <cell r="J1299" t="str">
            <v>Drop1W</v>
          </cell>
          <cell r="K1299" t="str">
            <v>ra</v>
          </cell>
          <cell r="L1299" t="str">
            <v>ラグランジュチャレンジ</v>
          </cell>
          <cell r="M1299" t="str">
            <v>animal</v>
          </cell>
        </row>
        <row r="1300">
          <cell r="A1300">
            <v>6005</v>
          </cell>
          <cell r="B1300" t="str">
            <v>ja</v>
          </cell>
          <cell r="C1300" t="str">
            <v>孤神 テティス</v>
          </cell>
          <cell r="D1300" t="str">
            <v>初期ガチャ</v>
          </cell>
          <cell r="E1300" t="str">
            <v>管理者</v>
          </cell>
          <cell r="F1300" t="str">
            <v>美しい</v>
          </cell>
          <cell r="G1300" t="str">
            <v>女性</v>
          </cell>
          <cell r="H1300" t="str">
            <v>blue</v>
          </cell>
          <cell r="I1300">
            <v>4</v>
          </cell>
          <cell r="J1300" t="str">
            <v>PremiumN</v>
          </cell>
          <cell r="K1300" t="str">
            <v>ra</v>
          </cell>
          <cell r="L1300" t="str">
            <v>ラグランジュチャレンジ</v>
          </cell>
          <cell r="M1300" t="str">
            <v>god</v>
          </cell>
        </row>
        <row r="1301">
          <cell r="A1301">
            <v>6006</v>
          </cell>
          <cell r="B1301" t="str">
            <v>ja</v>
          </cell>
          <cell r="C1301" t="str">
            <v>海底の孤高神 テティス</v>
          </cell>
          <cell r="D1301" t="str">
            <v>初期ガチャ</v>
          </cell>
          <cell r="E1301" t="str">
            <v>管理者</v>
          </cell>
          <cell r="F1301" t="str">
            <v>美しい</v>
          </cell>
          <cell r="G1301" t="str">
            <v>女性</v>
          </cell>
          <cell r="H1301" t="str">
            <v>blue</v>
          </cell>
          <cell r="I1301">
            <v>5</v>
          </cell>
          <cell r="J1301" t="str">
            <v>PremiumN</v>
          </cell>
          <cell r="K1301" t="str">
            <v>ra</v>
          </cell>
          <cell r="L1301" t="str">
            <v>ラグランジュチャレンジ</v>
          </cell>
          <cell r="M1301" t="str">
            <v>god</v>
          </cell>
        </row>
        <row r="1302">
          <cell r="A1302">
            <v>6007</v>
          </cell>
          <cell r="B1302" t="str">
            <v>ja</v>
          </cell>
          <cell r="C1302" t="str">
            <v>番犬 ケルベロス</v>
          </cell>
          <cell r="D1302" t="str">
            <v>初期ガチャ</v>
          </cell>
          <cell r="E1302" t="str">
            <v>破界者</v>
          </cell>
          <cell r="F1302" t="str">
            <v>可愛い</v>
          </cell>
          <cell r="G1302" t="str">
            <v>女性</v>
          </cell>
          <cell r="H1302" t="str">
            <v>red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6008</v>
          </cell>
          <cell r="B1303" t="str">
            <v>ja</v>
          </cell>
          <cell r="C1303" t="str">
            <v>焔神 プロメテウス</v>
          </cell>
          <cell r="D1303" t="str">
            <v>初期ガチャ</v>
          </cell>
          <cell r="E1303" t="str">
            <v>管理者</v>
          </cell>
          <cell r="F1303" t="str">
            <v>格好いい</v>
          </cell>
          <cell r="G1303" t="str">
            <v>男性</v>
          </cell>
          <cell r="H1303" t="str">
            <v>red</v>
          </cell>
          <cell r="I1303">
            <v>4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6009</v>
          </cell>
          <cell r="B1304" t="str">
            <v>ja</v>
          </cell>
          <cell r="C1304" t="str">
            <v>超越自我 ラグランジュ</v>
          </cell>
          <cell r="D1304" t="str">
            <v>ガチャ:フィーバーフェス02</v>
          </cell>
          <cell r="E1304" t="str">
            <v>執行者</v>
          </cell>
          <cell r="F1304" t="str">
            <v>格好いい</v>
          </cell>
          <cell r="G1304" t="str">
            <v>女性</v>
          </cell>
          <cell r="H1304" t="str">
            <v>red</v>
          </cell>
          <cell r="I1304">
            <v>5</v>
          </cell>
          <cell r="J1304" t="str">
            <v>PremiumSSS</v>
          </cell>
          <cell r="K1304" t="str">
            <v>ra</v>
          </cell>
          <cell r="L1304" t="str">
            <v>ラグランジュチャレンジ</v>
          </cell>
          <cell r="M1304" t="str">
            <v>human</v>
          </cell>
        </row>
        <row r="1305">
          <cell r="A1305">
            <v>6010</v>
          </cell>
          <cell r="B1305" t="str">
            <v>ja</v>
          </cell>
          <cell r="C1305" t="str">
            <v>超越凌駕 ラグランジュ</v>
          </cell>
          <cell r="D1305" t="str">
            <v>ガチャ:フィーバーフェス02</v>
          </cell>
          <cell r="E1305" t="str">
            <v>執行者</v>
          </cell>
          <cell r="F1305" t="str">
            <v>格好いい</v>
          </cell>
          <cell r="G1305" t="str">
            <v>女性</v>
          </cell>
          <cell r="H1305" t="str">
            <v>red</v>
          </cell>
          <cell r="I1305">
            <v>6</v>
          </cell>
          <cell r="J1305" t="str">
            <v>PremiumSSS</v>
          </cell>
          <cell r="K1305" t="str">
            <v>ra</v>
          </cell>
          <cell r="L1305" t="str">
            <v>ラグランジュチャレンジ</v>
          </cell>
          <cell r="M1305" t="str">
            <v>human</v>
          </cell>
        </row>
        <row r="1306">
          <cell r="A1306">
            <v>6011</v>
          </cell>
          <cell r="B1306" t="str">
            <v>ja</v>
          </cell>
          <cell r="C1306" t="str">
            <v>パトドッグリーダー ポチ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男性</v>
          </cell>
          <cell r="H1306" t="str">
            <v>blue</v>
          </cell>
          <cell r="I1306">
            <v>2</v>
          </cell>
          <cell r="J1306" t="str">
            <v>Drop1T</v>
          </cell>
          <cell r="K1306" t="str">
            <v>ra002</v>
          </cell>
          <cell r="L1306" t="str">
            <v>ユークリッドチャレンジ</v>
          </cell>
          <cell r="M1306" t="str">
            <v>unknown</v>
          </cell>
        </row>
        <row r="1307">
          <cell r="A1307">
            <v>6012</v>
          </cell>
          <cell r="B1307" t="str">
            <v>ja</v>
          </cell>
          <cell r="C1307" t="str">
            <v>ミミ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男性</v>
          </cell>
          <cell r="H1307" t="str">
            <v>yellow</v>
          </cell>
          <cell r="I1307">
            <v>1</v>
          </cell>
          <cell r="J1307" t="str">
            <v>Drop1W</v>
          </cell>
          <cell r="K1307" t="str">
            <v>ra002</v>
          </cell>
          <cell r="L1307" t="str">
            <v>ユークリッドチャレンジ</v>
          </cell>
          <cell r="M1307" t="str">
            <v>animal</v>
          </cell>
        </row>
        <row r="1308">
          <cell r="A1308">
            <v>6013</v>
          </cell>
          <cell r="B1308" t="str">
            <v>ja</v>
          </cell>
          <cell r="C1308" t="str">
            <v>護衛機人 スケアクロウ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Drop1N</v>
          </cell>
          <cell r="K1308" t="str">
            <v>ra002</v>
          </cell>
          <cell r="L1308" t="str">
            <v>ユークリッドチャレンジ</v>
          </cell>
          <cell r="M1308" t="str">
            <v>machine</v>
          </cell>
        </row>
        <row r="1309">
          <cell r="A1309">
            <v>6014</v>
          </cell>
          <cell r="B1309" t="str">
            <v>ja</v>
          </cell>
          <cell r="C1309" t="str">
            <v>月下の人狼 ローレンス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blue</v>
          </cell>
          <cell r="I1309">
            <v>4</v>
          </cell>
          <cell r="J1309" t="str">
            <v>PremiumW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6015</v>
          </cell>
          <cell r="B1310" t="str">
            <v>ja</v>
          </cell>
          <cell r="C1310" t="str">
            <v>フレイヤ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4</v>
          </cell>
          <cell r="J1310" t="str">
            <v>PremiumSS</v>
          </cell>
          <cell r="K1310" t="str">
            <v>ra002</v>
          </cell>
          <cell r="L1310" t="str">
            <v>ユークリッドチャレンジ</v>
          </cell>
          <cell r="M1310" t="str">
            <v>animal</v>
          </cell>
        </row>
        <row r="1311">
          <cell r="A1311">
            <v>6016</v>
          </cell>
          <cell r="B1311" t="str">
            <v>ja</v>
          </cell>
          <cell r="C1311" t="str">
            <v>根原論理 ユークリッド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5</v>
          </cell>
          <cell r="J1311" t="str">
            <v>PremiumSSS</v>
          </cell>
          <cell r="K1311" t="str">
            <v>ra002</v>
          </cell>
          <cell r="L1311" t="str">
            <v>ユークリッドチャレンジ</v>
          </cell>
          <cell r="M1311" t="str">
            <v>human</v>
          </cell>
        </row>
        <row r="1312">
          <cell r="A1312">
            <v>6017</v>
          </cell>
          <cell r="B1312" t="str">
            <v>ja</v>
          </cell>
          <cell r="C1312" t="str">
            <v>不朽の極論 ユークリッド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6</v>
          </cell>
          <cell r="J1312" t="str">
            <v>PremiumSSS</v>
          </cell>
          <cell r="K1312" t="str">
            <v>ra002</v>
          </cell>
          <cell r="L1312" t="str">
            <v>ユークリッドチャレンジ</v>
          </cell>
          <cell r="M1312" t="str">
            <v>human</v>
          </cell>
        </row>
        <row r="1313">
          <cell r="A1313">
            <v>6018</v>
          </cell>
          <cell r="B1313" t="str">
            <v>ja</v>
          </cell>
          <cell r="C1313" t="str">
            <v>ハヅル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red</v>
          </cell>
          <cell r="I1313">
            <v>4</v>
          </cell>
          <cell r="J1313" t="str">
            <v>PremiumSS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6019</v>
          </cell>
          <cell r="B1314" t="str">
            <v>ja</v>
          </cell>
          <cell r="C1314" t="str">
            <v>天織羽鶴 ハヅル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red</v>
          </cell>
          <cell r="I1314">
            <v>5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6020</v>
          </cell>
          <cell r="B1315" t="str">
            <v>ja</v>
          </cell>
          <cell r="C1315" t="str">
            <v>ミズチ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PremiumS</v>
          </cell>
          <cell r="K1315" t="str">
            <v>ra002</v>
          </cell>
          <cell r="L1315" t="str">
            <v>ユークリッドチャレンジ</v>
          </cell>
          <cell r="M1315" t="str">
            <v>dragon</v>
          </cell>
        </row>
        <row r="1316">
          <cell r="A1316">
            <v>8001</v>
          </cell>
          <cell r="B1316" t="str">
            <v>ja</v>
          </cell>
          <cell r="C1316" t="str">
            <v>媽祖</v>
          </cell>
          <cell r="D1316" t="str">
            <v>イベント:ミクコラボ01</v>
          </cell>
          <cell r="E1316" t="str">
            <v>執行者</v>
          </cell>
          <cell r="F1316" t="str">
            <v>格好いい</v>
          </cell>
          <cell r="G1316" t="str">
            <v>女性</v>
          </cell>
          <cell r="H1316" t="str">
            <v>yellow</v>
          </cell>
          <cell r="I1316">
            <v>5</v>
          </cell>
          <cell r="J1316" t="str">
            <v>PremiumSS</v>
          </cell>
          <cell r="K1316" t="str">
            <v>attack</v>
          </cell>
          <cell r="L1316" t="str">
            <v>攻撃タイプ</v>
          </cell>
          <cell r="M1316" t="str">
            <v>god</v>
          </cell>
        </row>
        <row r="1317">
          <cell r="A1317">
            <v>8002</v>
          </cell>
          <cell r="B1317" t="str">
            <v>ja</v>
          </cell>
          <cell r="C1317" t="str">
            <v>天后 媽祖</v>
          </cell>
          <cell r="D1317" t="str">
            <v>イベント:ミクコラボ01</v>
          </cell>
          <cell r="E1317" t="str">
            <v>執行者</v>
          </cell>
          <cell r="F1317" t="str">
            <v>格好いい</v>
          </cell>
          <cell r="G1317" t="str">
            <v>女性</v>
          </cell>
          <cell r="H1317" t="str">
            <v>yellow</v>
          </cell>
          <cell r="I1317">
            <v>6</v>
          </cell>
          <cell r="J1317" t="str">
            <v>PremiumSS</v>
          </cell>
          <cell r="K1317" t="str">
            <v>attack</v>
          </cell>
          <cell r="L1317" t="str">
            <v>攻撃タイプ</v>
          </cell>
          <cell r="M1317" t="str">
            <v>god</v>
          </cell>
        </row>
        <row r="1318">
          <cell r="A1318">
            <v>8003</v>
          </cell>
          <cell r="B1318" t="str">
            <v>ja</v>
          </cell>
          <cell r="C1318" t="str">
            <v>蛟龍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不明</v>
          </cell>
          <cell r="H1318" t="str">
            <v>blue</v>
          </cell>
          <cell r="I1318">
            <v>5</v>
          </cell>
          <cell r="J1318" t="str">
            <v>DropWizS</v>
          </cell>
          <cell r="K1318" t="str">
            <v>hp</v>
          </cell>
          <cell r="L1318" t="str">
            <v>体力タイプ</v>
          </cell>
          <cell r="M1318" t="str">
            <v>dragon</v>
          </cell>
        </row>
        <row r="1319">
          <cell r="A1319">
            <v>8004</v>
          </cell>
          <cell r="B1319" t="str">
            <v>ja</v>
          </cell>
          <cell r="C1319" t="str">
            <v>深海蛟龍怪‧晏公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不明</v>
          </cell>
          <cell r="H1319" t="str">
            <v>blue</v>
          </cell>
          <cell r="I1319">
            <v>6</v>
          </cell>
          <cell r="J1319" t="str">
            <v>DropWizS</v>
          </cell>
          <cell r="K1319" t="str">
            <v>hp</v>
          </cell>
          <cell r="L1319" t="str">
            <v>体力タイプ</v>
          </cell>
          <cell r="M1319" t="str">
            <v>dragon</v>
          </cell>
        </row>
        <row r="1320">
          <cell r="A1320">
            <v>8005</v>
          </cell>
          <cell r="B1320" t="str">
            <v>ja</v>
          </cell>
          <cell r="C1320" t="str">
            <v>三蔵法師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PremiumSS</v>
          </cell>
          <cell r="K1320" t="str">
            <v>balance</v>
          </cell>
          <cell r="L1320" t="str">
            <v>バランスタイプ</v>
          </cell>
          <cell r="M1320" t="str">
            <v>human</v>
          </cell>
        </row>
        <row r="1321">
          <cell r="A1321">
            <v>8006</v>
          </cell>
          <cell r="B1321" t="str">
            <v>ja</v>
          </cell>
          <cell r="C1321" t="str">
            <v>三蔵法師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human</v>
          </cell>
        </row>
        <row r="1322">
          <cell r="A1322">
            <v>8007</v>
          </cell>
          <cell r="B1322" t="str">
            <v>ja</v>
          </cell>
          <cell r="C1322" t="str">
            <v>孫悟空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red</v>
          </cell>
          <cell r="I1322">
            <v>5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animal</v>
          </cell>
        </row>
        <row r="1323">
          <cell r="A1323">
            <v>8008</v>
          </cell>
          <cell r="B1323" t="str">
            <v>ja</v>
          </cell>
          <cell r="C1323" t="str">
            <v>孫悟空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red</v>
          </cell>
          <cell r="I1323">
            <v>6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animal</v>
          </cell>
        </row>
        <row r="1324">
          <cell r="A1324">
            <v>8009</v>
          </cell>
          <cell r="B1324" t="str">
            <v>ja</v>
          </cell>
          <cell r="C1324" t="str">
            <v>西王娘娘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green</v>
          </cell>
          <cell r="I1324">
            <v>5</v>
          </cell>
          <cell r="J1324" t="str">
            <v>PremiumSS</v>
          </cell>
          <cell r="K1324" t="str">
            <v>attack</v>
          </cell>
          <cell r="L1324" t="str">
            <v>攻撃タイプ</v>
          </cell>
          <cell r="M1324" t="str">
            <v>god</v>
          </cell>
        </row>
        <row r="1325">
          <cell r="A1325">
            <v>8010</v>
          </cell>
          <cell r="B1325" t="str">
            <v>ja</v>
          </cell>
          <cell r="C1325" t="str">
            <v>西王娘娘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green</v>
          </cell>
          <cell r="I1325">
            <v>6</v>
          </cell>
          <cell r="J1325" t="str">
            <v>PremiumSS</v>
          </cell>
          <cell r="K1325" t="str">
            <v>attack</v>
          </cell>
          <cell r="L1325" t="str">
            <v>攻撃タイプ</v>
          </cell>
          <cell r="M1325" t="str">
            <v>god</v>
          </cell>
        </row>
        <row r="1326">
          <cell r="A1326">
            <v>8011</v>
          </cell>
          <cell r="B1326" t="str">
            <v>ja</v>
          </cell>
          <cell r="C1326" t="str">
            <v>月下老人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女性</v>
          </cell>
          <cell r="H1326" t="str">
            <v>yellow</v>
          </cell>
          <cell r="I1326">
            <v>5</v>
          </cell>
          <cell r="J1326" t="str">
            <v>DropWizS</v>
          </cell>
          <cell r="K1326" t="str">
            <v>balance</v>
          </cell>
          <cell r="L1326" t="str">
            <v>バランスタイプ</v>
          </cell>
          <cell r="M1326" t="str">
            <v>god</v>
          </cell>
        </row>
        <row r="1327">
          <cell r="A1327">
            <v>8012</v>
          </cell>
          <cell r="B1327" t="str">
            <v>ja</v>
          </cell>
          <cell r="C1327" t="str">
            <v>良緣祈福 月下老人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女性</v>
          </cell>
          <cell r="H1327" t="str">
            <v>yellow</v>
          </cell>
          <cell r="I1327">
            <v>6</v>
          </cell>
          <cell r="J1327" t="str">
            <v>DropWizS</v>
          </cell>
          <cell r="K1327" t="str">
            <v>balance</v>
          </cell>
          <cell r="L1327" t="str">
            <v>バランスタイプ</v>
          </cell>
          <cell r="M1327" t="str">
            <v>god</v>
          </cell>
        </row>
        <row r="1328">
          <cell r="A1328">
            <v>8013</v>
          </cell>
          <cell r="B1328" t="str">
            <v>ja</v>
          </cell>
          <cell r="C1328" t="str">
            <v>初音ミクV3</v>
          </cell>
          <cell r="D1328" t="str">
            <v>初音ミクV3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4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unknown</v>
          </cell>
        </row>
        <row r="1329">
          <cell r="A1329">
            <v>8014</v>
          </cell>
          <cell r="B1329" t="str">
            <v>ja</v>
          </cell>
          <cell r="C1329" t="str">
            <v>初音ミクV3</v>
          </cell>
          <cell r="D1329" t="str">
            <v>初音ミクV3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5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unknown</v>
          </cell>
        </row>
        <row r="1330">
          <cell r="A1330">
            <v>8015</v>
          </cell>
          <cell r="B1330" t="str">
            <v>ja</v>
          </cell>
          <cell r="C1330" t="str">
            <v>初音ミク・アペンド</v>
          </cell>
          <cell r="D1330" t="str">
            <v>初音ミク・アペンド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green</v>
          </cell>
          <cell r="I1330">
            <v>4</v>
          </cell>
          <cell r="J1330" t="str">
            <v>PremiumSSS</v>
          </cell>
          <cell r="K1330" t="str">
            <v>technical</v>
          </cell>
          <cell r="L1330" t="str">
            <v>テクニカルタイプ</v>
          </cell>
          <cell r="M1330" t="str">
            <v>unknown</v>
          </cell>
        </row>
        <row r="1331">
          <cell r="A1331">
            <v>8016</v>
          </cell>
          <cell r="B1331" t="str">
            <v>ja</v>
          </cell>
          <cell r="C1331" t="str">
            <v>初音ミク・アペンド</v>
          </cell>
          <cell r="D1331" t="str">
            <v>初音ミク・アペンド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green</v>
          </cell>
          <cell r="I1331">
            <v>5</v>
          </cell>
          <cell r="J1331" t="str">
            <v>PremiumSSS</v>
          </cell>
          <cell r="K1331" t="str">
            <v>technical</v>
          </cell>
          <cell r="L1331" t="str">
            <v>テクニカルタイプ</v>
          </cell>
          <cell r="M1331" t="str">
            <v>unknown</v>
          </cell>
        </row>
        <row r="1332">
          <cell r="A1332">
            <v>8017</v>
          </cell>
          <cell r="B1332" t="str">
            <v>ja</v>
          </cell>
          <cell r="C1332" t="str">
            <v>初音ミク</v>
          </cell>
          <cell r="D1332" t="str">
            <v>初音ミク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8018</v>
          </cell>
          <cell r="B1333" t="str">
            <v>ja</v>
          </cell>
          <cell r="C1333" t="str">
            <v>初音ミク</v>
          </cell>
          <cell r="D1333" t="str">
            <v>初音ミク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8019</v>
          </cell>
          <cell r="B1334" t="str">
            <v>ja</v>
          </cell>
          <cell r="C1334" t="str">
            <v>鏡音リン</v>
          </cell>
          <cell r="D1334" t="str">
            <v>鏡音リン</v>
          </cell>
          <cell r="E1334" t="str">
            <v>執行者</v>
          </cell>
          <cell r="F1334" t="str">
            <v>格好いい</v>
          </cell>
          <cell r="G1334" t="str">
            <v>男性</v>
          </cell>
          <cell r="H1334" t="str">
            <v>yellow</v>
          </cell>
          <cell r="I1334">
            <v>4</v>
          </cell>
          <cell r="J1334" t="str">
            <v>PremiumSS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8020</v>
          </cell>
          <cell r="B1335" t="str">
            <v>ja</v>
          </cell>
          <cell r="C1335" t="str">
            <v>鏡音リン</v>
          </cell>
          <cell r="D1335" t="str">
            <v>鏡音リン</v>
          </cell>
          <cell r="E1335" t="str">
            <v>執行者</v>
          </cell>
          <cell r="F1335" t="str">
            <v>格好いい</v>
          </cell>
          <cell r="G1335" t="str">
            <v>男性</v>
          </cell>
          <cell r="H1335" t="str">
            <v>yellow</v>
          </cell>
          <cell r="I1335">
            <v>5</v>
          </cell>
          <cell r="J1335" t="str">
            <v>PremiumSS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8021</v>
          </cell>
          <cell r="B1336" t="str">
            <v>ja</v>
          </cell>
          <cell r="C1336" t="str">
            <v>鏡音レン</v>
          </cell>
          <cell r="D1336" t="str">
            <v>鏡音レン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heal</v>
          </cell>
          <cell r="L1336" t="str">
            <v>回復タイプ</v>
          </cell>
          <cell r="M1336" t="str">
            <v>unknown</v>
          </cell>
        </row>
        <row r="1337">
          <cell r="A1337">
            <v>8022</v>
          </cell>
          <cell r="B1337" t="str">
            <v>ja</v>
          </cell>
          <cell r="C1337" t="str">
            <v>鏡音レン</v>
          </cell>
          <cell r="D1337" t="str">
            <v>鏡音レン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heal</v>
          </cell>
          <cell r="L1337" t="str">
            <v>回復タイプ</v>
          </cell>
          <cell r="M1337" t="str">
            <v>unknown</v>
          </cell>
        </row>
        <row r="1338">
          <cell r="A1338">
            <v>8023</v>
          </cell>
          <cell r="B1338" t="str">
            <v>ja</v>
          </cell>
          <cell r="C1338" t="str">
            <v>巡音ルカ</v>
          </cell>
          <cell r="D1338" t="str">
            <v>巡音ルカ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red</v>
          </cell>
          <cell r="I1338">
            <v>3</v>
          </cell>
          <cell r="J1338" t="str">
            <v>PremiumS</v>
          </cell>
          <cell r="K1338" t="str">
            <v>attack</v>
          </cell>
          <cell r="L1338" t="str">
            <v>攻撃タイプ</v>
          </cell>
          <cell r="M1338" t="str">
            <v>unknown</v>
          </cell>
        </row>
        <row r="1339">
          <cell r="A1339">
            <v>8024</v>
          </cell>
          <cell r="B1339" t="str">
            <v>ja</v>
          </cell>
          <cell r="C1339" t="str">
            <v>巡音ルカ</v>
          </cell>
          <cell r="D1339" t="str">
            <v>巡音ルカ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red</v>
          </cell>
          <cell r="I1339">
            <v>4</v>
          </cell>
          <cell r="J1339" t="str">
            <v>PremiumS</v>
          </cell>
          <cell r="K1339" t="str">
            <v>attack</v>
          </cell>
          <cell r="L1339" t="str">
            <v>攻撃タイプ</v>
          </cell>
          <cell r="M1339" t="str">
            <v>unknown</v>
          </cell>
        </row>
        <row r="1340">
          <cell r="A1340">
            <v>8025</v>
          </cell>
          <cell r="B1340" t="str">
            <v>ja</v>
          </cell>
          <cell r="C1340" t="str">
            <v>MEIKO</v>
          </cell>
          <cell r="D1340" t="str">
            <v>MEIKO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hp</v>
          </cell>
          <cell r="L1340" t="str">
            <v>体力タイプ</v>
          </cell>
          <cell r="M1340" t="str">
            <v>unknown</v>
          </cell>
        </row>
        <row r="1341">
          <cell r="A1341">
            <v>8026</v>
          </cell>
          <cell r="B1341" t="str">
            <v>ja</v>
          </cell>
          <cell r="C1341" t="str">
            <v>MEIKO</v>
          </cell>
          <cell r="D1341" t="str">
            <v>MEIKO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hp</v>
          </cell>
          <cell r="L1341" t="str">
            <v>体力タイプ</v>
          </cell>
          <cell r="M1341" t="str">
            <v>unknown</v>
          </cell>
        </row>
        <row r="1342">
          <cell r="A1342">
            <v>8027</v>
          </cell>
          <cell r="B1342" t="str">
            <v>ja</v>
          </cell>
          <cell r="C1342" t="str">
            <v>KAITO</v>
          </cell>
          <cell r="D1342" t="str">
            <v>KAITO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blue</v>
          </cell>
          <cell r="I1342">
            <v>3</v>
          </cell>
          <cell r="J1342" t="str">
            <v>PremiumS</v>
          </cell>
          <cell r="K1342" t="str">
            <v>technical</v>
          </cell>
          <cell r="L1342" t="str">
            <v>テクニカルタイプ</v>
          </cell>
          <cell r="M1342" t="str">
            <v>unknown</v>
          </cell>
        </row>
        <row r="1343">
          <cell r="A1343">
            <v>8028</v>
          </cell>
          <cell r="B1343" t="str">
            <v>ja</v>
          </cell>
          <cell r="C1343" t="str">
            <v>KAITO</v>
          </cell>
          <cell r="D1343" t="str">
            <v>KAITO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blue</v>
          </cell>
          <cell r="I1343">
            <v>4</v>
          </cell>
          <cell r="J1343" t="str">
            <v>PremiumS</v>
          </cell>
          <cell r="K1343" t="str">
            <v>technical</v>
          </cell>
          <cell r="L1343" t="str">
            <v>テクニカルタイプ</v>
          </cell>
          <cell r="M1343" t="str">
            <v>unknown</v>
          </cell>
        </row>
        <row r="1344">
          <cell r="A1344">
            <v>8029</v>
          </cell>
          <cell r="B1344" t="str">
            <v>ja</v>
          </cell>
          <cell r="C1344" t="str">
            <v>Expoミク</v>
          </cell>
          <cell r="D1344" t="str">
            <v>Expoミク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4</v>
          </cell>
          <cell r="J1344" t="str">
            <v>Drop2N</v>
          </cell>
          <cell r="K1344" t="str">
            <v>heal</v>
          </cell>
          <cell r="L1344" t="str">
            <v>回復タイプ</v>
          </cell>
          <cell r="M1344" t="str">
            <v>unknown</v>
          </cell>
        </row>
        <row r="1345">
          <cell r="A1345">
            <v>8030</v>
          </cell>
          <cell r="B1345" t="str">
            <v>ja</v>
          </cell>
          <cell r="C1345" t="str">
            <v>Expoミク</v>
          </cell>
          <cell r="D1345" t="str">
            <v>Expoミク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Drop2N</v>
          </cell>
          <cell r="K1345" t="str">
            <v>heal</v>
          </cell>
          <cell r="L1345" t="str">
            <v>回復タイプ</v>
          </cell>
          <cell r="M1345" t="str">
            <v>unknown</v>
          </cell>
        </row>
        <row r="1346">
          <cell r="A1346">
            <v>8031</v>
          </cell>
          <cell r="B1346" t="str">
            <v>ja</v>
          </cell>
          <cell r="C1346" t="str">
            <v>閻羅王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red</v>
          </cell>
          <cell r="I1346">
            <v>5</v>
          </cell>
          <cell r="J1346" t="str">
            <v>PremiumSS</v>
          </cell>
          <cell r="K1346" t="str">
            <v>balance</v>
          </cell>
          <cell r="L1346" t="str">
            <v>バランスタイプ</v>
          </cell>
          <cell r="M1346" t="str">
            <v>god</v>
          </cell>
        </row>
        <row r="1347">
          <cell r="A1347">
            <v>8032</v>
          </cell>
          <cell r="B1347" t="str">
            <v>ja</v>
          </cell>
          <cell r="C1347" t="str">
            <v>十殿閻羅王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red</v>
          </cell>
          <cell r="I1347">
            <v>6</v>
          </cell>
          <cell r="J1347" t="str">
            <v>PremiumSS</v>
          </cell>
          <cell r="K1347" t="str">
            <v>balance</v>
          </cell>
          <cell r="L1347" t="str">
            <v>バランスタイプ</v>
          </cell>
          <cell r="M1347" t="str">
            <v>god</v>
          </cell>
        </row>
        <row r="1348">
          <cell r="A1348">
            <v>8033</v>
          </cell>
          <cell r="B1348" t="str">
            <v>ja</v>
          </cell>
          <cell r="C1348" t="str">
            <v>牛頭馬面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green</v>
          </cell>
          <cell r="I1348">
            <v>5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god</v>
          </cell>
        </row>
        <row r="1349">
          <cell r="A1349">
            <v>8034</v>
          </cell>
          <cell r="B1349" t="str">
            <v>ja</v>
          </cell>
          <cell r="C1349" t="str">
            <v>牛頭馬面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green</v>
          </cell>
          <cell r="I1349">
            <v>6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god</v>
          </cell>
        </row>
        <row r="1350">
          <cell r="A1350">
            <v>8035</v>
          </cell>
          <cell r="B1350" t="str">
            <v>ja</v>
          </cell>
          <cell r="C1350" t="str">
            <v>嫦娥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8036</v>
          </cell>
          <cell r="B1351" t="str">
            <v>ja</v>
          </cell>
          <cell r="C1351" t="str">
            <v>嫦娥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8037</v>
          </cell>
          <cell r="B1352" t="str">
            <v>ja</v>
          </cell>
          <cell r="C1352" t="str">
            <v>后羿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8038</v>
          </cell>
          <cell r="B1353" t="str">
            <v>ja</v>
          </cell>
          <cell r="C1353" t="str">
            <v>后羿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8039</v>
          </cell>
          <cell r="B1354" t="str">
            <v>ja</v>
          </cell>
          <cell r="C1354" t="str">
            <v>何仙姑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8040</v>
          </cell>
          <cell r="B1355" t="str">
            <v>ja</v>
          </cell>
          <cell r="C1355" t="str">
            <v>何仙姑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8041</v>
          </cell>
          <cell r="B1356" t="str">
            <v>ja</v>
          </cell>
          <cell r="C1356" t="str">
            <v>藍采和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8042</v>
          </cell>
          <cell r="B1357" t="str">
            <v>ja</v>
          </cell>
          <cell r="C1357" t="str">
            <v>藍采和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8043</v>
          </cell>
          <cell r="B1358" t="str">
            <v>ja</v>
          </cell>
          <cell r="C1358" t="str">
            <v>サンリオキャラ大集合+アザゼル</v>
          </cell>
          <cell r="D1358" t="str">
            <v>サンリオキャラ大集合+アザゼル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green</v>
          </cell>
          <cell r="I1358">
            <v>5</v>
          </cell>
          <cell r="J1358" t="str">
            <v>DropWizS</v>
          </cell>
          <cell r="K1358" t="str">
            <v>technical</v>
          </cell>
          <cell r="L1358" t="str">
            <v>テクニカルタイプ</v>
          </cell>
          <cell r="M1358" t="str">
            <v>ss</v>
          </cell>
        </row>
        <row r="1359">
          <cell r="A1359">
            <v>8044</v>
          </cell>
          <cell r="B1359" t="str">
            <v>ja</v>
          </cell>
          <cell r="C1359" t="str">
            <v>サンリオキャラ大集合+アザゼル</v>
          </cell>
          <cell r="D1359" t="str">
            <v>サンリオキャラ大集合+アザゼル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green</v>
          </cell>
          <cell r="I1359">
            <v>6</v>
          </cell>
          <cell r="J1359" t="str">
            <v>DropWizS</v>
          </cell>
          <cell r="K1359" t="str">
            <v>technical</v>
          </cell>
          <cell r="L1359" t="str">
            <v>テクニカルタイプ</v>
          </cell>
          <cell r="M1359" t="str">
            <v>ss</v>
          </cell>
        </row>
        <row r="1360">
          <cell r="A1360">
            <v>8045</v>
          </cell>
          <cell r="B1360" t="str">
            <v>ja</v>
          </cell>
          <cell r="C1360" t="str">
            <v>ニムダ_サンリオキャラ混じり</v>
          </cell>
          <cell r="D1360" t="str">
            <v>ニムダ_サンリオキャラ混じり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yellow</v>
          </cell>
          <cell r="I1360">
            <v>4</v>
          </cell>
          <cell r="J1360" t="str">
            <v>Drop2N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8046</v>
          </cell>
          <cell r="B1361" t="str">
            <v>ja</v>
          </cell>
          <cell r="C1361" t="str">
            <v>ニムダ_サンリオキャラ混じり</v>
          </cell>
          <cell r="D1361" t="str">
            <v>ニムダ_サンリオキャラ混じり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yellow</v>
          </cell>
          <cell r="I1361">
            <v>5</v>
          </cell>
          <cell r="J1361" t="str">
            <v>Drop2N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8047</v>
          </cell>
          <cell r="B1362" t="str">
            <v>ja</v>
          </cell>
          <cell r="C1362" t="str">
            <v>ハローキティ</v>
          </cell>
          <cell r="D1362" t="str">
            <v>ハローキティ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red</v>
          </cell>
          <cell r="I1362">
            <v>4</v>
          </cell>
          <cell r="J1362" t="str">
            <v>Drop2N</v>
          </cell>
          <cell r="K1362" t="str">
            <v>balance</v>
          </cell>
          <cell r="L1362" t="str">
            <v>バランスタイプ</v>
          </cell>
          <cell r="M1362" t="str">
            <v>ss</v>
          </cell>
        </row>
        <row r="1363">
          <cell r="A1363">
            <v>8048</v>
          </cell>
          <cell r="B1363" t="str">
            <v>ja</v>
          </cell>
          <cell r="C1363" t="str">
            <v>ハローキティ</v>
          </cell>
          <cell r="D1363" t="str">
            <v>ハローキティ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red</v>
          </cell>
          <cell r="I1363">
            <v>5</v>
          </cell>
          <cell r="J1363" t="str">
            <v>Drop2N</v>
          </cell>
          <cell r="K1363" t="str">
            <v>balance</v>
          </cell>
          <cell r="L1363" t="str">
            <v>バランスタイプ</v>
          </cell>
          <cell r="M1363" t="str">
            <v>ss</v>
          </cell>
        </row>
        <row r="1364">
          <cell r="A1364">
            <v>8049</v>
          </cell>
          <cell r="B1364" t="str">
            <v>ja</v>
          </cell>
          <cell r="C1364" t="str">
            <v>KIRIMIちゃん</v>
          </cell>
          <cell r="D1364" t="str">
            <v>KIRIMIちゃん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hp</v>
          </cell>
          <cell r="L1364" t="str">
            <v>体力タイプ</v>
          </cell>
          <cell r="M1364" t="str">
            <v>ss</v>
          </cell>
        </row>
        <row r="1365">
          <cell r="A1365">
            <v>8050</v>
          </cell>
          <cell r="B1365" t="str">
            <v>ja</v>
          </cell>
          <cell r="C1365" t="str">
            <v>KIRIMIちゃん</v>
          </cell>
          <cell r="D1365" t="str">
            <v>KIRIMIちゃん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hp</v>
          </cell>
          <cell r="L1365" t="str">
            <v>体力タイプ</v>
          </cell>
          <cell r="M1365" t="str">
            <v>ss</v>
          </cell>
        </row>
        <row r="1366">
          <cell r="A1366">
            <v>8051</v>
          </cell>
          <cell r="B1366" t="str">
            <v>ja</v>
          </cell>
          <cell r="C1366" t="str">
            <v>ハローキティのリボン</v>
          </cell>
          <cell r="D1366" t="str">
            <v>ハローキティのリボン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5</v>
          </cell>
          <cell r="J1366" t="str">
            <v>Drop2N</v>
          </cell>
          <cell r="K1366" t="str">
            <v>evolution</v>
          </cell>
          <cell r="L1366" t="str">
            <v>覚醒素材タイプ</v>
          </cell>
          <cell r="M1366" t="str">
            <v>ss</v>
          </cell>
        </row>
        <row r="1367">
          <cell r="A1367">
            <v>8052</v>
          </cell>
          <cell r="B1367" t="str">
            <v>ja</v>
          </cell>
          <cell r="C1367" t="str">
            <v>ママの作ったアップルパイ</v>
          </cell>
          <cell r="D1367" t="str">
            <v>ママの作ったアップルパイ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4</v>
          </cell>
          <cell r="J1367" t="str">
            <v>Drop2N</v>
          </cell>
          <cell r="K1367" t="str">
            <v>evolution</v>
          </cell>
          <cell r="L1367" t="str">
            <v>覚醒素材タイプ</v>
          </cell>
          <cell r="M1367" t="str">
            <v>ss</v>
          </cell>
        </row>
        <row r="1368">
          <cell r="A1368">
            <v>8053</v>
          </cell>
          <cell r="B1368" t="str">
            <v>ja</v>
          </cell>
          <cell r="C1368" t="str">
            <v>D.R.T.H__キティコスプレ</v>
          </cell>
          <cell r="D1368" t="str">
            <v>D.R.T.H__キティコスプレ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PremiumSS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8054</v>
          </cell>
          <cell r="B1369" t="str">
            <v>ja</v>
          </cell>
          <cell r="C1369" t="str">
            <v>D.R.T.H__キティコスプレ</v>
          </cell>
          <cell r="D1369" t="str">
            <v>D.R.T.H__キティコスプレ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6</v>
          </cell>
          <cell r="J1369" t="str">
            <v>PremiumSS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8055</v>
          </cell>
          <cell r="B1370" t="str">
            <v>ja</v>
          </cell>
          <cell r="C1370" t="str">
            <v>マイメロディ</v>
          </cell>
          <cell r="D1370" t="str">
            <v>マイメロディ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PremiumS</v>
          </cell>
          <cell r="K1370" t="str">
            <v>attack</v>
          </cell>
          <cell r="L1370" t="str">
            <v>攻撃タイプ</v>
          </cell>
          <cell r="M1370" t="str">
            <v>ss</v>
          </cell>
        </row>
        <row r="1371">
          <cell r="A1371">
            <v>8056</v>
          </cell>
          <cell r="B1371" t="str">
            <v>ja</v>
          </cell>
          <cell r="C1371" t="str">
            <v>マイメロディ</v>
          </cell>
          <cell r="D1371" t="str">
            <v>マイメロディ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PremiumS</v>
          </cell>
          <cell r="K1371" t="str">
            <v>attack</v>
          </cell>
          <cell r="L1371" t="str">
            <v>攻撃タイプ</v>
          </cell>
          <cell r="M1371" t="str">
            <v>ss</v>
          </cell>
        </row>
        <row r="1372">
          <cell r="A1372">
            <v>8057</v>
          </cell>
          <cell r="B1372" t="str">
            <v>ja</v>
          </cell>
          <cell r="C1372" t="str">
            <v>ニーベルゲン_シナモロールコスプレ</v>
          </cell>
          <cell r="D1372" t="str">
            <v>ニーベルゲン_シナモロールコスプレ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green</v>
          </cell>
          <cell r="I1372">
            <v>4</v>
          </cell>
          <cell r="J1372" t="str">
            <v>PremiumS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8058</v>
          </cell>
          <cell r="B1373" t="str">
            <v>ja</v>
          </cell>
          <cell r="C1373" t="str">
            <v>ニーベルゲン_シナモロールコスプレ</v>
          </cell>
          <cell r="D1373" t="str">
            <v>ニーベルゲン_シナモロールコスプレ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green</v>
          </cell>
          <cell r="I1373">
            <v>5</v>
          </cell>
          <cell r="J1373" t="str">
            <v>PremiumS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8059</v>
          </cell>
          <cell r="B1374" t="str">
            <v>ja</v>
          </cell>
          <cell r="C1374" t="str">
            <v>カカシ_マイメロディコスプレ</v>
          </cell>
          <cell r="D1374" t="str">
            <v>カカシ_マイメロディコスプレ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technical</v>
          </cell>
          <cell r="L1374" t="str">
            <v>テクニカルタイプ</v>
          </cell>
          <cell r="M1374" t="str">
            <v>ss</v>
          </cell>
        </row>
        <row r="1375">
          <cell r="A1375">
            <v>8060</v>
          </cell>
          <cell r="B1375" t="str">
            <v>ja</v>
          </cell>
          <cell r="C1375" t="str">
            <v>カカシ_マイメロディコスプレ</v>
          </cell>
          <cell r="D1375" t="str">
            <v>カカシ_マイメロディコスプレ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technical</v>
          </cell>
          <cell r="L1375" t="str">
            <v>テクニカルタイプ</v>
          </cell>
          <cell r="M1375" t="str">
            <v>ss</v>
          </cell>
        </row>
        <row r="1376">
          <cell r="A1376">
            <v>8061</v>
          </cell>
          <cell r="B1376" t="str">
            <v>ja</v>
          </cell>
          <cell r="C1376" t="str">
            <v>ケロケロけろっぴ</v>
          </cell>
          <cell r="D1376" t="str">
            <v>ケロケロけろっぴ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3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8062</v>
          </cell>
          <cell r="B1377" t="str">
            <v>ja</v>
          </cell>
          <cell r="C1377" t="str">
            <v>ケロケロけろっぴ</v>
          </cell>
          <cell r="D1377" t="str">
            <v>ケロケロけろっぴ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4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8063</v>
          </cell>
          <cell r="B1378" t="str">
            <v>ja</v>
          </cell>
          <cell r="C1378" t="str">
            <v>モルドレッド_ポムポムプリンコスプレ</v>
          </cell>
          <cell r="D1378" t="str">
            <v>モルドレッド_ポムポムプリンコスプレ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blue</v>
          </cell>
          <cell r="I1378">
            <v>5</v>
          </cell>
          <cell r="J1378" t="str">
            <v>PremiumSS</v>
          </cell>
          <cell r="K1378" t="str">
            <v>heal</v>
          </cell>
          <cell r="L1378" t="str">
            <v>回復タイプ</v>
          </cell>
          <cell r="M1378" t="str">
            <v>ss</v>
          </cell>
        </row>
        <row r="1379">
          <cell r="A1379">
            <v>8064</v>
          </cell>
          <cell r="B1379" t="str">
            <v>ja</v>
          </cell>
          <cell r="C1379" t="str">
            <v>モルドレッド_ポムポムプリンコスプレ</v>
          </cell>
          <cell r="D1379" t="str">
            <v>モルドレッド_ポムポムプリンコスプレ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blue</v>
          </cell>
          <cell r="I1379">
            <v>6</v>
          </cell>
          <cell r="J1379" t="str">
            <v>PremiumSS</v>
          </cell>
          <cell r="K1379" t="str">
            <v>heal</v>
          </cell>
          <cell r="L1379" t="str">
            <v>回復タイプ</v>
          </cell>
          <cell r="M1379" t="str">
            <v>ss</v>
          </cell>
        </row>
        <row r="1380">
          <cell r="A1380">
            <v>8065</v>
          </cell>
          <cell r="B1380" t="str">
            <v>ja</v>
          </cell>
          <cell r="C1380" t="str">
            <v>クロミ</v>
          </cell>
          <cell r="D1380" t="str">
            <v>クロミ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3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8066</v>
          </cell>
          <cell r="B1381" t="str">
            <v>ja</v>
          </cell>
          <cell r="C1381" t="str">
            <v>クロミ</v>
          </cell>
          <cell r="D1381" t="str">
            <v>クロミ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4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8067</v>
          </cell>
          <cell r="B1382" t="str">
            <v>ja</v>
          </cell>
          <cell r="C1382" t="str">
            <v>バッドばつ丸</v>
          </cell>
          <cell r="D1382" t="str">
            <v>バッドばつ丸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attack</v>
          </cell>
          <cell r="L1382" t="str">
            <v>攻撃タイプ</v>
          </cell>
          <cell r="M1382" t="str">
            <v>ss</v>
          </cell>
        </row>
        <row r="1383">
          <cell r="A1383">
            <v>8068</v>
          </cell>
          <cell r="B1383" t="str">
            <v>ja</v>
          </cell>
          <cell r="C1383" t="str">
            <v>バッドばつ丸</v>
          </cell>
          <cell r="D1383" t="str">
            <v>バッドばつ丸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attack</v>
          </cell>
          <cell r="L1383" t="str">
            <v>攻撃タイプ</v>
          </cell>
          <cell r="M1383" t="str">
            <v>ss</v>
          </cell>
        </row>
        <row r="1384">
          <cell r="A1384">
            <v>8069</v>
          </cell>
          <cell r="B1384" t="str">
            <v>ja</v>
          </cell>
          <cell r="C1384" t="str">
            <v>シナモロール</v>
          </cell>
          <cell r="D1384" t="str">
            <v>シナモロール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yellow</v>
          </cell>
          <cell r="I1384">
            <v>4</v>
          </cell>
          <cell r="J1384" t="str">
            <v>PremiumS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8070</v>
          </cell>
          <cell r="B1385" t="str">
            <v>ja</v>
          </cell>
          <cell r="C1385" t="str">
            <v>シナモロール</v>
          </cell>
          <cell r="D1385" t="str">
            <v>シナモロール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yellow</v>
          </cell>
          <cell r="I1385">
            <v>5</v>
          </cell>
          <cell r="J1385" t="str">
            <v>PremiumS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8071</v>
          </cell>
          <cell r="B1386" t="str">
            <v>ja</v>
          </cell>
          <cell r="C1386" t="str">
            <v>ポムポムプリン</v>
          </cell>
          <cell r="D1386" t="str">
            <v>ポムポムプリン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3</v>
          </cell>
          <cell r="J1386" t="str">
            <v>PremiumS</v>
          </cell>
          <cell r="K1386" t="str">
            <v>hp</v>
          </cell>
          <cell r="L1386" t="str">
            <v>体力タイプ</v>
          </cell>
          <cell r="M1386" t="str">
            <v>ss</v>
          </cell>
        </row>
        <row r="1387">
          <cell r="A1387">
            <v>8072</v>
          </cell>
          <cell r="B1387" t="str">
            <v>ja</v>
          </cell>
          <cell r="C1387" t="str">
            <v>ポムポムプリン</v>
          </cell>
          <cell r="D1387" t="str">
            <v>ポムポムプリン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4</v>
          </cell>
          <cell r="J1387" t="str">
            <v>PremiumS</v>
          </cell>
          <cell r="K1387" t="str">
            <v>hp</v>
          </cell>
          <cell r="L1387" t="str">
            <v>体力タイプ</v>
          </cell>
          <cell r="M1387" t="str">
            <v>ss</v>
          </cell>
        </row>
        <row r="1388">
          <cell r="A1388">
            <v>8077</v>
          </cell>
          <cell r="B1388" t="str">
            <v>ja</v>
          </cell>
          <cell r="C1388" t="str">
            <v>鄭成功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5</v>
          </cell>
          <cell r="J1388" t="str">
            <v>PremiumSS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8078</v>
          </cell>
          <cell r="B1389" t="str">
            <v>ja</v>
          </cell>
          <cell r="C1389" t="str">
            <v>レア６鄭成功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6</v>
          </cell>
          <cell r="J1389" t="str">
            <v>PremiumSS</v>
          </cell>
          <cell r="K1389" t="str">
            <v>attack</v>
          </cell>
          <cell r="L1389" t="str">
            <v>攻撃タイプ</v>
          </cell>
          <cell r="M1389" t="str">
            <v>human</v>
          </cell>
        </row>
        <row r="1390">
          <cell r="A1390">
            <v>8079</v>
          </cell>
          <cell r="B1390" t="str">
            <v>ja</v>
          </cell>
          <cell r="C1390" t="str">
            <v>赤鬼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5</v>
          </cell>
          <cell r="J1390" t="str">
            <v>DropWizS</v>
          </cell>
          <cell r="K1390" t="str">
            <v>hp</v>
          </cell>
          <cell r="L1390" t="str">
            <v>体力タイプ</v>
          </cell>
          <cell r="M1390" t="str">
            <v>dragon</v>
          </cell>
        </row>
        <row r="1391">
          <cell r="A1391">
            <v>8080</v>
          </cell>
          <cell r="B1391" t="str">
            <v>ja</v>
          </cell>
          <cell r="C1391" t="str">
            <v>レア６赤鬼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red</v>
          </cell>
          <cell r="I1391">
            <v>6</v>
          </cell>
          <cell r="J1391" t="str">
            <v>DropWizS</v>
          </cell>
          <cell r="K1391" t="str">
            <v>hp</v>
          </cell>
          <cell r="L1391" t="str">
            <v>体力タイプ</v>
          </cell>
          <cell r="M139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4" sqref="A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245</v>
      </c>
      <c r="B2" s="61" t="s">
        <v>110</v>
      </c>
      <c r="C2" s="50" t="str">
        <f t="shared" ref="C2:C3" si="0">RIGHT(F2,6)</f>
        <v>434100</v>
      </c>
      <c r="D2" s="19" t="s">
        <v>45</v>
      </c>
      <c r="E2" s="17" t="str">
        <f t="shared" ref="E2:E3" si="1">B2&amp;C2&amp;D2</f>
        <v>gacha_select_tables_434100.tmp</v>
      </c>
      <c r="F2" s="94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107" t="s">
        <v>258</v>
      </c>
      <c r="B3" s="102" t="s">
        <v>247</v>
      </c>
      <c r="C3" s="103" t="str">
        <f t="shared" si="0"/>
        <v>434104</v>
      </c>
      <c r="D3" s="19" t="s">
        <v>248</v>
      </c>
      <c r="E3" s="17" t="str">
        <f t="shared" si="1"/>
        <v>gacha_settle_tables_434104.tmp</v>
      </c>
      <c r="F3" s="103" t="s">
        <v>255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1" t="s">
        <v>246</v>
      </c>
      <c r="B4" s="102" t="s">
        <v>247</v>
      </c>
      <c r="C4" s="103" t="str">
        <f t="shared" ref="C4" si="2">RIGHT(F4,6)</f>
        <v>434105</v>
      </c>
      <c r="D4" s="19" t="s">
        <v>248</v>
      </c>
      <c r="E4" s="17" t="str">
        <f t="shared" ref="E4" si="3">B4&amp;C4&amp;D4</f>
        <v>gacha_settle_tables_434105.tmp</v>
      </c>
      <c r="F4" s="103" t="s">
        <v>256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105" t="s">
        <v>245</v>
      </c>
      <c r="B5" s="61" t="s">
        <v>110</v>
      </c>
      <c r="C5" s="50" t="str">
        <f t="shared" ref="C5:C7" si="4">RIGHT(F5,6)</f>
        <v>434101</v>
      </c>
      <c r="D5" s="19" t="s">
        <v>45</v>
      </c>
      <c r="E5" s="17" t="str">
        <f t="shared" ref="E5:E7" si="5">B5&amp;C5&amp;D5</f>
        <v>gacha_select_tables_434101.tmp</v>
      </c>
      <c r="F5" s="106" t="s">
        <v>257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6">RIGHT(F6,6)</f>
        <v>363105</v>
      </c>
      <c r="D6" s="19" t="s">
        <v>45</v>
      </c>
      <c r="E6" s="17" t="str">
        <f t="shared" ref="E6" si="7">B6&amp;C6&amp;D6</f>
        <v>gacha_select_tables_363105.tmp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4"/>
        <v>363100</v>
      </c>
      <c r="D7" s="19" t="s">
        <v>45</v>
      </c>
      <c r="E7" s="17" t="str">
        <f t="shared" si="5"/>
        <v>gacha_select_tables_363100.tmp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101" t="s">
        <v>245</v>
      </c>
      <c r="B8" s="27" t="s">
        <v>50</v>
      </c>
      <c r="C8" s="32">
        <v>434</v>
      </c>
      <c r="D8" s="19" t="s">
        <v>46</v>
      </c>
      <c r="E8" s="17" t="str">
        <f t="shared" ref="E8:E10" si="8">B8&amp;C8&amp;D8</f>
        <v>gacha_bonus_tables_434.tmp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101" t="s">
        <v>245</v>
      </c>
      <c r="B9" s="19" t="s">
        <v>48</v>
      </c>
      <c r="C9" s="32">
        <v>434</v>
      </c>
      <c r="D9" s="19" t="s">
        <v>46</v>
      </c>
      <c r="E9" s="17" t="str">
        <f t="shared" si="8"/>
        <v>gifts_tmp_434.tmp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1" t="s">
        <v>245</v>
      </c>
      <c r="B10" s="19" t="s">
        <v>49</v>
      </c>
      <c r="C10" s="32">
        <v>434</v>
      </c>
      <c r="D10" s="19" t="s">
        <v>46</v>
      </c>
      <c r="E10" s="17" t="str">
        <f t="shared" si="8"/>
        <v>gifts_i18n_434.tmp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H33" sqref="H3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1069</v>
      </c>
      <c r="M3" s="37" t="str">
        <f>VLOOKUP(L3,[1]characters!$A:$C,3,FALSE)</f>
        <v>イシュタル</v>
      </c>
      <c r="N3" s="63">
        <v>4.0000000000000001E-3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VLOOKUP(L3,tables_434100!B:C,2,FALSE)</f>
        <v>PremiumSS5R5only</v>
      </c>
      <c r="R3" s="62">
        <f t="shared" ref="R3:R20" si="1">N3*A$36</f>
        <v>104400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1072</v>
      </c>
      <c r="M4" s="37" t="str">
        <f>VLOOKUP(L4,[1]characters!$A:$C,3,FALSE)</f>
        <v>エンキドゥ</v>
      </c>
      <c r="N4" s="63">
        <v>2.5000000000000001E-3</v>
      </c>
      <c r="O4" s="37">
        <f>VLOOKUP(L4,[1]characters!$A:$I,9,FALSE)</f>
        <v>5</v>
      </c>
      <c r="P4" s="37" t="str">
        <f>VLOOKUP(L4,[1]characters!$A:$J,10,FALSE)</f>
        <v>PremiumSSw</v>
      </c>
      <c r="Q4" s="37" t="str">
        <f>VLOOKUP(L4,tables_434100!B:C,2,FALSE)</f>
        <v>PremiumSS5R5only</v>
      </c>
      <c r="R4" s="62">
        <f t="shared" si="1"/>
        <v>65250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1.7777777777777779E-4</v>
      </c>
      <c r="F5">
        <f>(COUNTIF(tables_434100!C:C,input_434100!A28)+COUNTIF(tables_434100!C:C,input_434100!A29))</f>
        <v>57</v>
      </c>
      <c r="H5" s="83">
        <v>4.2000000000000003E-2</v>
      </c>
      <c r="I5" s="31">
        <v>12</v>
      </c>
      <c r="L5" s="60">
        <v>1074</v>
      </c>
      <c r="M5" s="37" t="str">
        <f>VLOOKUP(L5,[1]characters!$A:$C,3,FALSE)</f>
        <v>マルドゥク</v>
      </c>
      <c r="N5" s="63">
        <v>4.0000000000000001E-3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VLOOKUP(L5,tables_434100!B:C,2,FALSE)</f>
        <v>PremiumSS5R5only</v>
      </c>
      <c r="R5" s="62">
        <f t="shared" si="1"/>
        <v>104400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0.01</v>
      </c>
      <c r="F6">
        <f>(COUNTIF(tables_434100!C:C,input_434100!A25)+COUNTIF(tables_434100!C:C,input_434100!A18)+COUNTIF(tables_434100!C:C,input_434100!A20)+COUNTIF(tables_434100!C:C,input_434100!A22))</f>
        <v>91</v>
      </c>
      <c r="H6" s="88">
        <v>0.08</v>
      </c>
      <c r="I6" s="31">
        <v>4</v>
      </c>
      <c r="L6" s="92">
        <v>1100</v>
      </c>
      <c r="M6" s="37" t="str">
        <f>VLOOKUP(L6,[1]characters!$A:$C,3,FALSE)</f>
        <v>北斎</v>
      </c>
      <c r="N6" s="63">
        <v>4.0000000000000001E-3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VLOOKUP(L6,tables_434100!B:C,2,FALSE)</f>
        <v>PremiumSS5R5only</v>
      </c>
      <c r="R6" s="62">
        <f t="shared" si="1"/>
        <v>104400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1102</v>
      </c>
      <c r="M7" s="37" t="str">
        <f>VLOOKUP(L7,[1]characters!$A:$C,3,FALSE)</f>
        <v>ドガ</v>
      </c>
      <c r="N7" s="63">
        <v>2.5000000000000001E-3</v>
      </c>
      <c r="O7" s="37">
        <f>VLOOKUP(L7,[1]characters!$A:$I,9,FALSE)</f>
        <v>5</v>
      </c>
      <c r="P7" s="37" t="str">
        <f>VLOOKUP(L7,[1]characters!$A:$J,10,FALSE)</f>
        <v>PremiumSSW</v>
      </c>
      <c r="Q7" s="37" t="str">
        <f>VLOOKUP(L7,tables_434100!B:C,2,FALSE)</f>
        <v>PremiumSS5R5only</v>
      </c>
      <c r="R7" s="62">
        <f t="shared" si="1"/>
        <v>65250</v>
      </c>
      <c r="S7">
        <v>597</v>
      </c>
      <c r="U7" s="33" t="s">
        <v>196</v>
      </c>
      <c r="V7" s="54">
        <f t="shared" si="0"/>
        <v>7.5999999999999998E-2</v>
      </c>
    </row>
    <row r="8" spans="1:22" x14ac:dyDescent="0.15">
      <c r="A8" s="57"/>
      <c r="B8" s="71"/>
      <c r="E8" s="76"/>
      <c r="L8" s="60">
        <v>1106</v>
      </c>
      <c r="M8" s="37" t="str">
        <f>VLOOKUP(L8,[1]characters!$A:$C,3,FALSE)</f>
        <v>ラファエロ</v>
      </c>
      <c r="N8" s="63">
        <v>4.0000000000000001E-3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VLOOKUP(L8,tables_434100!B:C,2,FALSE)</f>
        <v>PremiumSS5R5only</v>
      </c>
      <c r="R8" s="62">
        <f t="shared" si="1"/>
        <v>104400</v>
      </c>
      <c r="S8">
        <v>598</v>
      </c>
      <c r="U8" s="33" t="s">
        <v>197</v>
      </c>
      <c r="V8" s="54">
        <f t="shared" si="0"/>
        <v>4.0000000000000001E-3</v>
      </c>
    </row>
    <row r="9" spans="1:22" x14ac:dyDescent="0.15">
      <c r="A9" s="35" t="s">
        <v>54</v>
      </c>
      <c r="B9" s="35"/>
      <c r="L9" s="87">
        <v>1018</v>
      </c>
      <c r="M9" s="37" t="str">
        <f>VLOOKUP(L9,[1]characters!$A:$C,3,FALSE)</f>
        <v>バステト</v>
      </c>
      <c r="N9" s="63">
        <v>2.5000000000000001E-3</v>
      </c>
      <c r="O9" s="37">
        <f>VLOOKUP(L9,[1]characters!$A:$I,9,FALSE)</f>
        <v>5</v>
      </c>
      <c r="P9" s="37" t="str">
        <f>VLOOKUP(L9,[1]characters!$A:$J,10,FALSE)</f>
        <v>PremiumSS</v>
      </c>
      <c r="Q9" s="37" t="str">
        <f>VLOOKUP(L9,tables_434100!B:C,2,FALSE)</f>
        <v>PremiumSS5R5only</v>
      </c>
      <c r="R9" s="62">
        <f t="shared" si="1"/>
        <v>65250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>
        <v>1012</v>
      </c>
      <c r="M10" s="37" t="str">
        <f>VLOOKUP(L10,[1]characters!$A:$C,3,FALSE)</f>
        <v>ラー</v>
      </c>
      <c r="N10" s="63">
        <v>4.0000000000000001E-3</v>
      </c>
      <c r="O10" s="37">
        <f>VLOOKUP(L10,[1]characters!$A:$I,9,FALSE)</f>
        <v>5</v>
      </c>
      <c r="P10" s="37" t="str">
        <f>VLOOKUP(L10,[1]characters!$A:$J,10,FALSE)</f>
        <v>PremiumSS</v>
      </c>
      <c r="Q10" s="37" t="str">
        <f>VLOOKUP(L10,tables_434100!B:C,2,FALSE)</f>
        <v>PremiumSS5R5only</v>
      </c>
      <c r="R10" s="62">
        <f t="shared" si="1"/>
        <v>104400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7">
        <v>1014</v>
      </c>
      <c r="M11" s="37" t="str">
        <f>VLOOKUP(L11,[1]characters!$A:$C,3,FALSE)</f>
        <v>イシス</v>
      </c>
      <c r="N11" s="63">
        <v>4.0000000000000001E-3</v>
      </c>
      <c r="O11" s="37">
        <f>VLOOKUP(L11,[1]characters!$A:$I,9,FALSE)</f>
        <v>5</v>
      </c>
      <c r="P11" s="37" t="str">
        <f>VLOOKUP(L11,[1]characters!$A:$J,10,FALSE)</f>
        <v>PremiumSS</v>
      </c>
      <c r="Q11" s="37" t="str">
        <f>VLOOKUP(L11,tables_434100!B:C,2,FALSE)</f>
        <v>PremiumSS5R5only</v>
      </c>
      <c r="R11" s="62">
        <f t="shared" si="1"/>
        <v>104400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87">
        <v>1031</v>
      </c>
      <c r="M12" s="37" t="str">
        <f>VLOOKUP(L12,[1]characters!$A:$C,3,FALSE)</f>
        <v>紫式部</v>
      </c>
      <c r="N12" s="63">
        <v>2.5000000000000001E-3</v>
      </c>
      <c r="O12" s="37">
        <f>VLOOKUP(L12,[1]characters!$A:$I,9,FALSE)</f>
        <v>5</v>
      </c>
      <c r="P12" s="37" t="str">
        <f>VLOOKUP(L12,[1]characters!$A:$J,10,FALSE)</f>
        <v>PremiumSS</v>
      </c>
      <c r="Q12" s="37" t="str">
        <f>VLOOKUP(L12,tables_434100!B:C,2,FALSE)</f>
        <v>PremiumSS5R5only</v>
      </c>
      <c r="R12" s="62">
        <f t="shared" si="1"/>
        <v>65250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87">
        <v>1028</v>
      </c>
      <c r="M13" s="37" t="str">
        <f>VLOOKUP(L13,[1]characters!$A:$C,3,FALSE)</f>
        <v>牛若丸</v>
      </c>
      <c r="N13" s="63">
        <v>4.0000000000000001E-3</v>
      </c>
      <c r="O13" s="37">
        <f>VLOOKUP(L13,[1]characters!$A:$I,9,FALSE)</f>
        <v>5</v>
      </c>
      <c r="P13" s="37" t="str">
        <f>VLOOKUP(L13,[1]characters!$A:$J,10,FALSE)</f>
        <v>PremiumSS</v>
      </c>
      <c r="Q13" s="37" t="str">
        <f>VLOOKUP(L13,tables_434100!B:C,2,FALSE)</f>
        <v>PremiumSS5R5only</v>
      </c>
      <c r="R13" s="62">
        <f t="shared" si="1"/>
        <v>104400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L14" s="87">
        <v>1033</v>
      </c>
      <c r="M14" s="37" t="str">
        <f>VLOOKUP(L14,[1]characters!$A:$C,3,FALSE)</f>
        <v>清少納言</v>
      </c>
      <c r="N14" s="63">
        <v>4.0000000000000001E-3</v>
      </c>
      <c r="O14" s="37">
        <f>VLOOKUP(L14,[1]characters!$A:$I,9,FALSE)</f>
        <v>5</v>
      </c>
      <c r="P14" s="37" t="str">
        <f>VLOOKUP(L14,[1]characters!$A:$J,10,FALSE)</f>
        <v>PremiumSS</v>
      </c>
      <c r="Q14" s="37" t="str">
        <f>VLOOKUP(L14,tables_434100!B:C,2,FALSE)</f>
        <v>PremiumSS5R5only</v>
      </c>
      <c r="R14" s="62">
        <f t="shared" si="1"/>
        <v>104400</v>
      </c>
      <c r="S14">
        <v>498</v>
      </c>
      <c r="U14" s="33" t="s">
        <v>199</v>
      </c>
      <c r="V14" s="54">
        <f t="shared" si="0"/>
        <v>4.200000000000001E-2</v>
      </c>
    </row>
    <row r="15" spans="1:22" x14ac:dyDescent="0.15">
      <c r="A15" s="36" t="s">
        <v>57</v>
      </c>
      <c r="B15" s="36"/>
      <c r="C15" t="s">
        <v>83</v>
      </c>
      <c r="L15" s="87">
        <v>1026</v>
      </c>
      <c r="M15" s="37" t="str">
        <f>VLOOKUP(L15,[1]characters!$A:$C,3,FALSE)</f>
        <v>蝉丸</v>
      </c>
      <c r="N15" s="63">
        <v>1.9E-2</v>
      </c>
      <c r="O15" s="37">
        <f>VLOOKUP(L15,[1]characters!$A:$I,9,FALSE)</f>
        <v>4</v>
      </c>
      <c r="P15" s="37" t="str">
        <f>VLOOKUP(L15,[1]characters!$A:$J,10,FALSE)</f>
        <v>PremiumS</v>
      </c>
      <c r="Q15" s="37" t="str">
        <f>VLOOKUP(L15,tables_434100!B:C,2,FALSE)</f>
        <v>Premium4R3less</v>
      </c>
      <c r="R15" s="62">
        <f t="shared" si="1"/>
        <v>495900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L16" s="87">
        <v>1027</v>
      </c>
      <c r="M16" s="37" t="str">
        <f>VLOOKUP(L16,[1]characters!$A:$C,3,FALSE)</f>
        <v>弾丸多重奏 蝉丸</v>
      </c>
      <c r="N16" s="63">
        <v>1E-3</v>
      </c>
      <c r="O16" s="37">
        <f>VLOOKUP(L16,[1]characters!$A:$I,9,FALSE)</f>
        <v>5</v>
      </c>
      <c r="P16" s="37" t="str">
        <f>VLOOKUP(L16,[1]characters!$A:$J,10,FALSE)</f>
        <v>PremiumS</v>
      </c>
      <c r="Q16" s="37" t="str">
        <f>VLOOKUP(L16,tables_434100!B:C,2,FALSE)</f>
        <v>Premium5R3less</v>
      </c>
      <c r="R16" s="62">
        <f t="shared" si="1"/>
        <v>26100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COUNTIF(tables_434100!C:C,input_434100!A17)-COUNTIF(Q:Q,A17)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L17" s="87">
        <v>1016</v>
      </c>
      <c r="M17" s="37" t="str">
        <f>VLOOKUP(L17,[1]characters!$A:$C,3,FALSE)</f>
        <v>ハトホル</v>
      </c>
      <c r="N17" s="63">
        <v>1.9E-2</v>
      </c>
      <c r="O17" s="37">
        <f>VLOOKUP(L17,[1]characters!$A:$I,9,FALSE)</f>
        <v>4</v>
      </c>
      <c r="P17" s="37" t="str">
        <f>VLOOKUP(L17,[1]characters!$A:$J,10,FALSE)</f>
        <v>PremiumS</v>
      </c>
      <c r="Q17" s="37" t="str">
        <f>VLOOKUP(L17,tables_434100!B:C,2,FALSE)</f>
        <v>Premium4R3less</v>
      </c>
      <c r="R17" s="62">
        <f t="shared" si="1"/>
        <v>495900</v>
      </c>
      <c r="S17">
        <v>397</v>
      </c>
    </row>
    <row r="18" spans="1:19" x14ac:dyDescent="0.15">
      <c r="A18" s="33" t="s">
        <v>191</v>
      </c>
      <c r="B18" s="56">
        <f>E$6*E18-B17+E33</f>
        <v>0.2327711111111111</v>
      </c>
      <c r="C18" s="84">
        <f t="shared" si="2"/>
        <v>0</v>
      </c>
      <c r="D18" s="74">
        <f t="shared" si="3"/>
        <v>0.2327711111111111</v>
      </c>
      <c r="E18">
        <f>COUNTIF(tables_434100!C:C,input_434100!A18)-COUNTIF(Q:Q,A18)</f>
        <v>20</v>
      </c>
      <c r="F18" s="43">
        <f>IFERROR(B18/E18,0)</f>
        <v>1.1638555555555555E-2</v>
      </c>
      <c r="G18">
        <f t="shared" si="4"/>
        <v>6075326</v>
      </c>
      <c r="H18">
        <f t="shared" si="5"/>
        <v>303766.3</v>
      </c>
      <c r="I18">
        <f t="shared" si="6"/>
        <v>0.29999999998835847</v>
      </c>
      <c r="J18">
        <f t="shared" si="7"/>
        <v>3.3333333334626838</v>
      </c>
      <c r="L18" s="87">
        <v>1017</v>
      </c>
      <c r="M18" s="37" t="str">
        <f>VLOOKUP(L18,[1]characters!$A:$C,3,FALSE)</f>
        <v>命瞳の慈母神 ハトホル</v>
      </c>
      <c r="N18" s="63">
        <v>1E-3</v>
      </c>
      <c r="O18" s="37">
        <f>VLOOKUP(L18,[1]characters!$A:$I,9,FALSE)</f>
        <v>5</v>
      </c>
      <c r="P18" s="37" t="str">
        <f>VLOOKUP(L18,[1]characters!$A:$J,10,FALSE)</f>
        <v>PremiumS</v>
      </c>
      <c r="Q18" s="37" t="str">
        <f>VLOOKUP(L18,tables_434100!B:C,2,FALSE)</f>
        <v>Premium5R3less</v>
      </c>
      <c r="R18" s="62">
        <f t="shared" si="1"/>
        <v>26100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COUNTIF(tables_434100!C:C,input_434100!A19)-COUNTIF(Q:Q,A19)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L19" s="87">
        <v>1067</v>
      </c>
      <c r="M19" s="37" t="str">
        <f>VLOOKUP(L19,[1]characters!$A:$C,3,FALSE)</f>
        <v>ウシュムガル</v>
      </c>
      <c r="N19" s="63">
        <v>1.9E-2</v>
      </c>
      <c r="O19" s="37">
        <f>VLOOKUP(L19,[1]characters!$A:$I,9,FALSE)</f>
        <v>4</v>
      </c>
      <c r="P19" s="37" t="str">
        <f>VLOOKUP(L19,[1]characters!$A:$J,10,FALSE)</f>
        <v>PremiumS</v>
      </c>
      <c r="Q19" s="37" t="str">
        <f>VLOOKUP(L19,tables_434100!B:C,2,FALSE)</f>
        <v>Premium4R3less</v>
      </c>
      <c r="R19" s="62">
        <f t="shared" si="1"/>
        <v>495900</v>
      </c>
      <c r="S19">
        <v>325</v>
      </c>
    </row>
    <row r="20" spans="1:19" x14ac:dyDescent="0.15">
      <c r="A20" s="33" t="s">
        <v>98</v>
      </c>
      <c r="B20" s="93">
        <f>E$6*E20*B$6-E35-G49</f>
        <v>0.48782222220988808</v>
      </c>
      <c r="C20" s="84">
        <f t="shared" si="2"/>
        <v>0</v>
      </c>
      <c r="D20" s="74">
        <f t="shared" si="3"/>
        <v>0.48782222220988808</v>
      </c>
      <c r="E20">
        <f>COUNTIF(tables_434100!C:C,input_434100!A20)-COUNTIF(Q:Q,A20)</f>
        <v>52</v>
      </c>
      <c r="F20" s="43">
        <f t="shared" si="8"/>
        <v>9.3811965809593861E-3</v>
      </c>
      <c r="G20">
        <f t="shared" si="4"/>
        <v>12732159.999678079</v>
      </c>
      <c r="H20">
        <f t="shared" si="5"/>
        <v>244849.23076000001</v>
      </c>
      <c r="I20">
        <f t="shared" si="6"/>
        <v>0.23076000000583008</v>
      </c>
      <c r="J20">
        <f t="shared" si="7"/>
        <v>4.3335066734907928</v>
      </c>
      <c r="L20" s="87">
        <v>1068</v>
      </c>
      <c r="M20" s="37" t="str">
        <f>VLOOKUP(L20,[1]characters!$A:$C,3,FALSE)</f>
        <v>想母の羽龍 ウシュムガル</v>
      </c>
      <c r="N20" s="63">
        <v>1E-3</v>
      </c>
      <c r="O20" s="37">
        <f>VLOOKUP(L20,[1]characters!$A:$I,9,FALSE)</f>
        <v>5</v>
      </c>
      <c r="P20" s="37" t="str">
        <f>VLOOKUP(L20,[1]characters!$A:$J,10,FALSE)</f>
        <v>PremiumS</v>
      </c>
      <c r="Q20" s="37" t="str">
        <f>VLOOKUP(L20,tables_434100!B:C,2,FALSE)</f>
        <v>Premium5R3less</v>
      </c>
      <c r="R20" s="62">
        <f t="shared" si="1"/>
        <v>26100</v>
      </c>
      <c r="S20">
        <v>809</v>
      </c>
    </row>
    <row r="21" spans="1:19" x14ac:dyDescent="0.15">
      <c r="A21" s="33" t="s">
        <v>99</v>
      </c>
      <c r="B21" s="56">
        <f>B7-B23-B26-B28-B29-0.038-E35-0.004-E36</f>
        <v>4.0666667854406314E-4</v>
      </c>
      <c r="C21" s="84">
        <f t="shared" si="2"/>
        <v>0</v>
      </c>
      <c r="D21" s="74">
        <f t="shared" si="3"/>
        <v>4.0666667854406314E-4</v>
      </c>
      <c r="E21">
        <f>COUNTIF(tables_434100!C:C,input_434100!A21)-COUNTIF(Q:Q,A21)</f>
        <v>52</v>
      </c>
      <c r="F21" s="43">
        <f t="shared" si="8"/>
        <v>7.8205130489242906E-6</v>
      </c>
      <c r="G21">
        <f t="shared" si="4"/>
        <v>10614.000310000049</v>
      </c>
      <c r="H21">
        <f t="shared" si="5"/>
        <v>204.11538999999999</v>
      </c>
      <c r="I21">
        <f t="shared" si="6"/>
        <v>0.11538999999999078</v>
      </c>
      <c r="J21">
        <f t="shared" si="7"/>
        <v>8.6662622410961081</v>
      </c>
      <c r="L21" s="57">
        <v>1104</v>
      </c>
      <c r="M21" s="37" t="str">
        <f>VLOOKUP(L21,[1]characters!$A:$C,3,FALSE)</f>
        <v>クリムト</v>
      </c>
      <c r="N21" s="63">
        <v>1.9E-2</v>
      </c>
      <c r="O21" s="37">
        <f>VLOOKUP(L21,[1]characters!$A:$I,9,FALSE)</f>
        <v>4</v>
      </c>
      <c r="P21" s="37" t="str">
        <f>VLOOKUP(L21,[1]characters!$A:$J,10,FALSE)</f>
        <v>PremiumS</v>
      </c>
      <c r="Q21" s="37" t="str">
        <f>VLOOKUP(L21,tables_434100!B:C,2,FALSE)</f>
        <v>Premium4R3less</v>
      </c>
      <c r="R21" s="62">
        <f t="shared" ref="R21:R22" si="9">N21*A$36</f>
        <v>495900</v>
      </c>
      <c r="S21">
        <v>809</v>
      </c>
    </row>
    <row r="22" spans="1:19" x14ac:dyDescent="0.15">
      <c r="A22" s="33" t="s">
        <v>196</v>
      </c>
      <c r="B22" s="75">
        <f>E$6*E22-B23</f>
        <v>0.10867777778697321</v>
      </c>
      <c r="C22" s="84">
        <f t="shared" si="2"/>
        <v>7.5999999999999998E-2</v>
      </c>
      <c r="D22" s="74">
        <f t="shared" si="3"/>
        <v>3.2677777786973214E-2</v>
      </c>
      <c r="E22">
        <f>COUNTIF(tables_434100!C:C,input_434100!A22)-COUNTIF(Q:Q,A22)</f>
        <v>11</v>
      </c>
      <c r="F22" s="43">
        <f t="shared" si="8"/>
        <v>9.8797979806339292E-3</v>
      </c>
      <c r="G22">
        <f t="shared" si="4"/>
        <v>2836490.0002400009</v>
      </c>
      <c r="H22">
        <f t="shared" si="5"/>
        <v>257862.72729000001</v>
      </c>
      <c r="I22">
        <f t="shared" si="6"/>
        <v>0.72729000000981614</v>
      </c>
      <c r="J22">
        <f t="shared" si="7"/>
        <v>1.3749673445070099</v>
      </c>
      <c r="L22" s="57">
        <v>1105</v>
      </c>
      <c r="M22" s="37" t="str">
        <f>VLOOKUP(L22,[1]characters!$A:$C,3,FALSE)</f>
        <v>甘美なる背徳 クリムト</v>
      </c>
      <c r="N22" s="63">
        <v>1E-3</v>
      </c>
      <c r="O22" s="37">
        <f>VLOOKUP(L22,[1]characters!$A:$I,9,FALSE)</f>
        <v>5</v>
      </c>
      <c r="P22" s="37" t="str">
        <f>VLOOKUP(L22,[1]characters!$A:$J,10,FALSE)</f>
        <v>PremiumS</v>
      </c>
      <c r="Q22" s="37" t="str">
        <f>VLOOKUP(L22,tables_434100!B:C,2,FALSE)</f>
        <v>Premium5R3less</v>
      </c>
      <c r="R22" s="62">
        <f t="shared" si="9"/>
        <v>26100</v>
      </c>
      <c r="S22">
        <v>809</v>
      </c>
    </row>
    <row r="23" spans="1:19" x14ac:dyDescent="0.15">
      <c r="A23" s="33" t="s">
        <v>197</v>
      </c>
      <c r="B23" s="70">
        <f>E23*E6*B7-E35</f>
        <v>1.3222222130267912E-3</v>
      </c>
      <c r="C23" s="84">
        <f t="shared" si="2"/>
        <v>4.0000000000000001E-3</v>
      </c>
      <c r="D23" s="74">
        <f t="shared" si="3"/>
        <v>-2.6777777869732089E-3</v>
      </c>
      <c r="E23">
        <f>COUNTIF(tables_434100!C:C,input_434100!A23)-COUNTIF(Q:Q,A23)</f>
        <v>11</v>
      </c>
      <c r="F23" s="43">
        <f t="shared" si="8"/>
        <v>1.2020201936607192E-4</v>
      </c>
      <c r="G23">
        <f t="shared" si="4"/>
        <v>34509.999759999249</v>
      </c>
      <c r="H23">
        <f t="shared" si="5"/>
        <v>3137.2727100000002</v>
      </c>
      <c r="I23">
        <f t="shared" si="6"/>
        <v>0.2727100000001883</v>
      </c>
      <c r="J23">
        <f t="shared" si="7"/>
        <v>3.6668989035946957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COUNTIF(tables_434100!C:C,input_434100!A24)-COUNTIF(Q:Q,A24)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3.7999999999999999E-2</v>
      </c>
      <c r="C25" s="84">
        <f t="shared" si="2"/>
        <v>0</v>
      </c>
      <c r="D25" s="74">
        <f t="shared" si="3"/>
        <v>3.7999999999999999E-2</v>
      </c>
      <c r="E25">
        <f>COUNTIF(tables_434100!C:C,input_434100!A25)-COUNTIF(Q:Q,A25)</f>
        <v>4</v>
      </c>
      <c r="F25" s="43">
        <f t="shared" si="8"/>
        <v>9.4999999999999998E-3</v>
      </c>
      <c r="G25">
        <f t="shared" si="4"/>
        <v>991800</v>
      </c>
      <c r="H25">
        <f t="shared" si="5"/>
        <v>247950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E$6*B$7*E26-0.001</f>
        <v>1E-3</v>
      </c>
      <c r="C26" s="84">
        <f t="shared" si="2"/>
        <v>0</v>
      </c>
      <c r="D26" s="74">
        <f t="shared" si="3"/>
        <v>1E-3</v>
      </c>
      <c r="E26">
        <f>COUNTIF(tables_434100!C:C,input_434100!A26)-COUNTIF(Q:Q,A26)</f>
        <v>4</v>
      </c>
      <c r="F26" s="43">
        <f t="shared" si="8"/>
        <v>2.5000000000000001E-4</v>
      </c>
      <c r="G26">
        <f t="shared" si="4"/>
        <v>26100</v>
      </c>
      <c r="H26">
        <f t="shared" si="5"/>
        <v>6525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6.7288888920276043E-3</v>
      </c>
      <c r="C27" s="84">
        <f t="shared" si="2"/>
        <v>0</v>
      </c>
      <c r="D27" s="74">
        <f t="shared" si="3"/>
        <v>6.7288888920276043E-3</v>
      </c>
      <c r="E27">
        <f>COUNTIF(tables_434100!C:C,input_434100!A27)-COUNTIF(Q:Q,A27)</f>
        <v>28</v>
      </c>
      <c r="F27" s="43">
        <f>IFERROR(B27/E27,0)</f>
        <v>2.4031746042955728E-4</v>
      </c>
      <c r="G27">
        <f t="shared" si="4"/>
        <v>175624.00008192047</v>
      </c>
      <c r="H27">
        <f t="shared" si="5"/>
        <v>6272.2857199999999</v>
      </c>
      <c r="I27">
        <f t="shared" si="6"/>
        <v>0.28571999999985565</v>
      </c>
      <c r="J27">
        <f t="shared" si="7"/>
        <v>3.4999300014017405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2.4888888888888893E-4</v>
      </c>
      <c r="C28" s="84">
        <f t="shared" si="2"/>
        <v>0</v>
      </c>
      <c r="D28" s="74">
        <f t="shared" si="3"/>
        <v>2.4888888888888893E-4</v>
      </c>
      <c r="E28">
        <f>COUNTIF(tables_434100!C:C,input_434100!A28)-COUNTIF(Q:Q,A28)</f>
        <v>28</v>
      </c>
      <c r="F28" s="43">
        <f t="shared" si="8"/>
        <v>8.88888888888889E-6</v>
      </c>
      <c r="G28">
        <f t="shared" si="4"/>
        <v>6496.0000000000009</v>
      </c>
      <c r="H28">
        <f t="shared" si="5"/>
        <v>232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E$5*E29-0.002</f>
        <v>1.0222222222222221E-3</v>
      </c>
      <c r="C29" s="84">
        <f t="shared" si="2"/>
        <v>4.200000000000001E-2</v>
      </c>
      <c r="D29" s="74">
        <f t="shared" si="3"/>
        <v>-4.0977777777777787E-2</v>
      </c>
      <c r="E29">
        <f>COUNTIF(tables_434100!C:C,input_434100!A29)-COUNTIF(Q:Q,A29)</f>
        <v>17</v>
      </c>
      <c r="F29" s="43">
        <f t="shared" si="8"/>
        <v>6.0130718954248358E-5</v>
      </c>
      <c r="G29">
        <f t="shared" si="4"/>
        <v>26679.999999999996</v>
      </c>
      <c r="H29">
        <f t="shared" si="5"/>
        <v>1569.41176</v>
      </c>
      <c r="I29">
        <f t="shared" si="6"/>
        <v>0.41175999999995838</v>
      </c>
      <c r="J29">
        <f t="shared" si="7"/>
        <v>2.4285991839909196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COUNTIF(tables_434100!C:C,input_434100!A30)-COUNTIF(Q:Q,A30)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COUNTIF(tables_434100!C:C,input_434100!A31)-COUNTIF(Q:Q,A31)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0.87800000000268197</v>
      </c>
      <c r="C32" s="41">
        <f>SUM(C19:C31)</f>
        <v>0.12200000000000001</v>
      </c>
      <c r="D32" s="42">
        <f t="shared" si="3"/>
        <v>0.75600000000268197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3.2771111111111084E-2</v>
      </c>
      <c r="F33" s="43">
        <f ca="1">0.95-G41</f>
        <v>4.9802384438635272E-12</v>
      </c>
    </row>
    <row r="34" spans="1:7" x14ac:dyDescent="0.15">
      <c r="E34">
        <v>4.2177777786973208E-2</v>
      </c>
      <c r="F34">
        <f ca="1">G42-0.05</f>
        <v>3.8314490469204543E-13</v>
      </c>
    </row>
    <row r="35" spans="1:7" x14ac:dyDescent="0.15">
      <c r="A35" t="s">
        <v>73</v>
      </c>
      <c r="E35">
        <f>E34-F35</f>
        <v>4.1777777869732094E-3</v>
      </c>
      <c r="F35">
        <v>3.7999999999999999E-2</v>
      </c>
    </row>
    <row r="36" spans="1:7" x14ac:dyDescent="0.15">
      <c r="A36" s="31">
        <f>LCM(F5-I5,F6-I6)*1000*2*2*5</f>
        <v>26100000</v>
      </c>
      <c r="E36">
        <f>0.00182222221034483-0.002</f>
        <v>-1.7777778965517009E-4</v>
      </c>
      <c r="F36">
        <f ca="1">G42-0.05</f>
        <v>3.8314490469204543E-13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SUMIF(tables_434100!C:C,input_434100!A40,tables_434100!O:O)</f>
        <v>0</v>
      </c>
      <c r="C40" s="54">
        <f t="shared" ref="C40:C46" ca="1" si="10">B40/B$47</f>
        <v>0</v>
      </c>
      <c r="E40">
        <v>3</v>
      </c>
      <c r="F40">
        <f ca="1">SUMIF(tables_434100!J:J,input_434100!E40,tables_434100!O:O)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SUMIF(tables_434100!C:C,input_434100!A41,tables_434100!O:O)</f>
        <v>12732159.999520008</v>
      </c>
      <c r="C41" s="54">
        <f t="shared" ca="1" si="10"/>
        <v>0.98508815620146706</v>
      </c>
      <c r="E41">
        <v>4</v>
      </c>
      <c r="F41">
        <f ca="1">SUMIF(tables_434100!J:J,input_434100!E41,tables_434100!O:O)</f>
        <v>24794999.999870013</v>
      </c>
      <c r="G41">
        <f ca="1">F41/A36</f>
        <v>0.94999999999501972</v>
      </c>
    </row>
    <row r="42" spans="1:7" x14ac:dyDescent="0.15">
      <c r="A42" s="33" t="s">
        <v>106</v>
      </c>
      <c r="B42">
        <f ca="1">SUMIF(tables_434100!C:C,input_434100!A42,tables_434100!O:O)</f>
        <v>175624.00015999988</v>
      </c>
      <c r="C42" s="54">
        <f t="shared" ca="1" si="10"/>
        <v>1.3588041817638374E-2</v>
      </c>
      <c r="E42">
        <v>5</v>
      </c>
      <c r="F42">
        <f ca="1">SUMIF(tables_434100!J:J,input_434100!E42,tables_434100!O:O)</f>
        <v>1305000.0000100001</v>
      </c>
      <c r="G42">
        <f ca="1">F42/A36</f>
        <v>5.0000000000383148E-2</v>
      </c>
    </row>
    <row r="43" spans="1:7" x14ac:dyDescent="0.15">
      <c r="A43" s="33" t="s">
        <v>109</v>
      </c>
      <c r="B43">
        <f>SUMIF(tables_434100!C:C,input_434100!A43,tables_434100!O:O)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SUMIF(tables_434100!C:C,input_434100!A44,tables_434100!O:O)</f>
        <v>10614.000280000007</v>
      </c>
      <c r="C44" s="54">
        <f t="shared" ca="1" si="10"/>
        <v>8.2120598281369662E-4</v>
      </c>
      <c r="E44" t="s">
        <v>54</v>
      </c>
      <c r="F44" s="55"/>
    </row>
    <row r="45" spans="1:7" x14ac:dyDescent="0.15">
      <c r="A45" s="33" t="s">
        <v>107</v>
      </c>
      <c r="B45">
        <f ca="1">SUMIF(tables_434100!C:C,input_434100!A45,tables_434100!O:O)</f>
        <v>6496</v>
      </c>
      <c r="C45" s="54">
        <f t="shared" ca="1" si="10"/>
        <v>5.0259599808092042E-4</v>
      </c>
      <c r="E45" t="s">
        <v>204</v>
      </c>
      <c r="F45" s="55">
        <f ca="1">SUMIF(tables_434100!I:I,input_434100!E45,tables_434100!P:P)</f>
        <v>0.23277111111218124</v>
      </c>
    </row>
    <row r="46" spans="1:7" x14ac:dyDescent="0.15">
      <c r="A46" s="33" t="s">
        <v>108</v>
      </c>
      <c r="B46">
        <f>SUMIF(tables_434100!C:C,input_434100!A46,tables_434100!O:O)</f>
        <v>0</v>
      </c>
      <c r="C46" s="54">
        <f t="shared" ca="1" si="10"/>
        <v>0</v>
      </c>
      <c r="E46" t="s">
        <v>205</v>
      </c>
      <c r="F46" s="55">
        <f ca="1">SUMIF(tables_434100!I:I,input_434100!E46,tables_434100!P:P)</f>
        <v>0.18886329059665388</v>
      </c>
    </row>
    <row r="47" spans="1:7" x14ac:dyDescent="0.15">
      <c r="A47" s="39" t="s">
        <v>59</v>
      </c>
      <c r="B47">
        <f ca="1">SUM(B40:B46)</f>
        <v>12924893.999960007</v>
      </c>
      <c r="C47" s="55">
        <f ca="1">SUM(C40:C46)</f>
        <v>1</v>
      </c>
      <c r="E47" t="s">
        <v>206</v>
      </c>
      <c r="F47" s="55">
        <f ca="1">SUMIF(tables_434100!I:I,input_434100!E47,tables_434100!P:P)</f>
        <v>0.52836559828786966</v>
      </c>
    </row>
    <row r="48" spans="1:7" x14ac:dyDescent="0.15">
      <c r="E48" t="s">
        <v>207</v>
      </c>
      <c r="F48" s="55">
        <f ca="1">SUMIF(tables_434100!I:I,input_434100!E48,tables_434100!P:P)</f>
        <v>4.4879738565723602E-2</v>
      </c>
    </row>
    <row r="49" spans="5:7" x14ac:dyDescent="0.15">
      <c r="E49" t="s">
        <v>252</v>
      </c>
      <c r="F49" s="55">
        <f ca="1">SUMIF(tables_434100!I:I,input_434100!E49,tables_434100!P:P)</f>
        <v>5.120261437571434E-3</v>
      </c>
      <c r="G49" s="55">
        <v>2.000000003138715E-3</v>
      </c>
    </row>
    <row r="50" spans="5:7" x14ac:dyDescent="0.15">
      <c r="E50" t="s">
        <v>253</v>
      </c>
      <c r="F50" s="55">
        <f>SUMIF(tables_434100!I:I,input_434100!E50,tables_434100!P:P)</f>
        <v>0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P324" sqref="P2:P32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input_434100!A$2</f>
        <v>434100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IFERROR(VLOOKUP(B2,input_434100!L:R,7,FALSE),VLOOKUP(tables_434100!C2,input_434100!A:H,8,FALSE))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input_434100!A$2</f>
        <v>434100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IFERROR(VLOOKUP(B3,input_434100!L:R,7,FALSE),VLOOKUP(tables_434100!C3,input_434100!A:H,8,FALSE))</f>
        <v>303766.3</v>
      </c>
      <c r="P3" s="46">
        <f t="shared" ca="1" si="1"/>
        <v>1.1638555555609068E-2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input_434100!A$2</f>
        <v>434100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IFERROR(VLOOKUP(B4,input_434100!L:R,7,FALSE),VLOOKUP(tables_434100!C4,input_434100!A:H,8,FALSE))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input_434100!A$2</f>
        <v>434100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IFERROR(VLOOKUP(B5,input_434100!L:R,7,FALSE),VLOOKUP(tables_434100!C5,input_434100!A:H,8,FALSE))</f>
        <v>303766.3</v>
      </c>
      <c r="P5" s="46">
        <f t="shared" ca="1" si="1"/>
        <v>1.1638555555609068E-2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input_434100!A$2</f>
        <v>434100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IFERROR(VLOOKUP(B6,input_434100!L:R,7,FALSE),VLOOKUP(tables_434100!C6,input_434100!A:H,8,FALSE))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input_434100!A$2</f>
        <v>434100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IFERROR(VLOOKUP(B7,input_434100!L:R,7,FALSE),VLOOKUP(tables_434100!C7,input_434100!A:H,8,FALSE))</f>
        <v>303766.3</v>
      </c>
      <c r="P7" s="46">
        <f t="shared" ca="1" si="1"/>
        <v>1.1638555555609068E-2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input_434100!A$2</f>
        <v>434100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IFERROR(VLOOKUP(B8,input_434100!L:R,7,FALSE),VLOOKUP(tables_434100!C8,input_434100!A:H,8,FALSE))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input_434100!A$2</f>
        <v>434100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IFERROR(VLOOKUP(B9,input_434100!L:R,7,FALSE),VLOOKUP(tables_434100!C9,input_434100!A:H,8,FALSE))</f>
        <v>303766.3</v>
      </c>
      <c r="P9" s="46">
        <f t="shared" ca="1" si="1"/>
        <v>1.1638555555609068E-2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input_434100!A$2</f>
        <v>434100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IFERROR(VLOOKUP(B10,input_434100!L:R,7,FALSE),VLOOKUP(tables_434100!C10,input_434100!A:H,8,FALSE))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input_434100!A$2</f>
        <v>434100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IFERROR(VLOOKUP(B11,input_434100!L:R,7,FALSE),VLOOKUP(tables_434100!C11,input_434100!A:H,8,FALSE))</f>
        <v>303766.3</v>
      </c>
      <c r="P11" s="46">
        <f t="shared" ca="1" si="1"/>
        <v>1.1638555555609068E-2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input_434100!A$2</f>
        <v>434100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IFERROR(VLOOKUP(B12,input_434100!L:R,7,FALSE),VLOOKUP(tables_434100!C12,input_434100!A:H,8,FALSE))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input_434100!A$2</f>
        <v>434100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IFERROR(VLOOKUP(B13,input_434100!L:R,7,FALSE),VLOOKUP(tables_434100!C13,input_434100!A:H,8,FALSE))</f>
        <v>303766.3</v>
      </c>
      <c r="P13" s="46">
        <f t="shared" ca="1" si="1"/>
        <v>1.1638555555609068E-2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input_434100!A$2</f>
        <v>434100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IFERROR(VLOOKUP(B14,input_434100!L:R,7,FALSE),VLOOKUP(tables_434100!C14,input_434100!A:H,8,FALSE))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input_434100!A$2</f>
        <v>434100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IFERROR(VLOOKUP(B15,input_434100!L:R,7,FALSE),VLOOKUP(tables_434100!C15,input_434100!A:H,8,FALSE))</f>
        <v>303766.3</v>
      </c>
      <c r="P15" s="46">
        <f t="shared" ca="1" si="1"/>
        <v>1.1638555555609068E-2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input_434100!A$2</f>
        <v>434100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IFERROR(VLOOKUP(B16,input_434100!L:R,7,FALSE),VLOOKUP(tables_434100!C16,input_434100!A:H,8,FALSE))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input_434100!A$2</f>
        <v>434100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IFERROR(VLOOKUP(B17,input_434100!L:R,7,FALSE),VLOOKUP(tables_434100!C17,input_434100!A:H,8,FALSE))</f>
        <v>303766.3</v>
      </c>
      <c r="P17" s="46">
        <f t="shared" ca="1" si="1"/>
        <v>1.1638555555609068E-2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input_434100!A$2</f>
        <v>434100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IFERROR(VLOOKUP(B18,input_434100!L:R,7,FALSE),VLOOKUP(tables_434100!C18,input_434100!A:H,8,FALSE))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input_434100!A$2</f>
        <v>434100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IFERROR(VLOOKUP(B19,input_434100!L:R,7,FALSE),VLOOKUP(tables_434100!C19,input_434100!A:H,8,FALSE))</f>
        <v>303766.3</v>
      </c>
      <c r="P19" s="46">
        <f t="shared" ca="1" si="1"/>
        <v>1.1638555555609068E-2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input_434100!A$2</f>
        <v>434100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IFERROR(VLOOKUP(B20,input_434100!L:R,7,FALSE),VLOOKUP(tables_434100!C20,input_434100!A:H,8,FALSE))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input_434100!A$2</f>
        <v>434100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IFERROR(VLOOKUP(B21,input_434100!L:R,7,FALSE),VLOOKUP(tables_434100!C21,input_434100!A:H,8,FALSE))</f>
        <v>303766.3</v>
      </c>
      <c r="P21" s="46">
        <f t="shared" ca="1" si="1"/>
        <v>1.1638555555609068E-2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input_434100!A$2</f>
        <v>434100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IFERROR(VLOOKUP(B22,input_434100!L:R,7,FALSE),VLOOKUP(tables_434100!C22,input_434100!A:H,8,FALSE))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input_434100!A$2</f>
        <v>434100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IFERROR(VLOOKUP(B23,input_434100!L:R,7,FALSE),VLOOKUP(tables_434100!C23,input_434100!A:H,8,FALSE))</f>
        <v>303766.3</v>
      </c>
      <c r="P23" s="46">
        <f t="shared" ca="1" si="1"/>
        <v>1.1638555555609068E-2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input_434100!A$2</f>
        <v>434100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IFERROR(VLOOKUP(B24,input_434100!L:R,7,FALSE),VLOOKUP(tables_434100!C24,input_434100!A:H,8,FALSE))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input_434100!A$2</f>
        <v>434100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IFERROR(VLOOKUP(B25,input_434100!L:R,7,FALSE),VLOOKUP(tables_434100!C25,input_434100!A:H,8,FALSE))</f>
        <v>303766.3</v>
      </c>
      <c r="P25" s="46">
        <f t="shared" ca="1" si="1"/>
        <v>1.1638555555609068E-2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input_434100!A$2</f>
        <v>434100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IFERROR(VLOOKUP(B26,input_434100!L:R,7,FALSE),VLOOKUP(tables_434100!C26,input_434100!A:H,8,FALSE))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input_434100!A$2</f>
        <v>434100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IFERROR(VLOOKUP(B27,input_434100!L:R,7,FALSE),VLOOKUP(tables_434100!C27,input_434100!A:H,8,FALSE))</f>
        <v>303766.3</v>
      </c>
      <c r="P27" s="46">
        <f t="shared" ca="1" si="1"/>
        <v>1.1638555555609068E-2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input_434100!A$2</f>
        <v>434100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IFERROR(VLOOKUP(B28,input_434100!L:R,7,FALSE),VLOOKUP(tables_434100!C28,input_434100!A:H,8,FALSE))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input_434100!A$2</f>
        <v>434100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IFERROR(VLOOKUP(B29,input_434100!L:R,7,FALSE),VLOOKUP(tables_434100!C29,input_434100!A:H,8,FALSE))</f>
        <v>303766.3</v>
      </c>
      <c r="P29" s="46">
        <f t="shared" ca="1" si="1"/>
        <v>1.1638555555609068E-2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input_434100!A$2</f>
        <v>434100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IFERROR(VLOOKUP(B30,input_434100!L:R,7,FALSE),VLOOKUP(tables_434100!C30,input_434100!A:H,8,FALSE))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input_434100!A$2</f>
        <v>434100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IFERROR(VLOOKUP(B31,input_434100!L:R,7,FALSE),VLOOKUP(tables_434100!C31,input_434100!A:H,8,FALSE))</f>
        <v>303766.3</v>
      </c>
      <c r="P31" s="46">
        <f t="shared" ca="1" si="1"/>
        <v>1.1638555555609068E-2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input_434100!A$2</f>
        <v>434100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IFERROR(VLOOKUP(B32,input_434100!L:R,7,FALSE),VLOOKUP(tables_434100!C32,input_434100!A:H,8,FALSE))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input_434100!A$2</f>
        <v>434100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IFERROR(VLOOKUP(B33,input_434100!L:R,7,FALSE),VLOOKUP(tables_434100!C33,input_434100!A:H,8,FALSE))</f>
        <v>303766.3</v>
      </c>
      <c r="P33" s="46">
        <f t="shared" ca="1" si="1"/>
        <v>1.1638555555609068E-2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input_434100!A$2</f>
        <v>434100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IFERROR(VLOOKUP(B34,input_434100!L:R,7,FALSE),VLOOKUP(tables_434100!C34,input_434100!A:H,8,FALSE))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input_434100!A$2</f>
        <v>434100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IFERROR(VLOOKUP(B35,input_434100!L:R,7,FALSE),VLOOKUP(tables_434100!C35,input_434100!A:H,8,FALSE))</f>
        <v>303766.3</v>
      </c>
      <c r="P35" s="46">
        <f t="shared" ca="1" si="1"/>
        <v>1.1638555555609068E-2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input_434100!A$2</f>
        <v>434100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IFERROR(VLOOKUP(B36,input_434100!L:R,7,FALSE),VLOOKUP(tables_434100!C36,input_434100!A:H,8,FALSE))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input_434100!A$2</f>
        <v>434100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IFERROR(VLOOKUP(B37,input_434100!L:R,7,FALSE),VLOOKUP(tables_434100!C37,input_434100!A:H,8,FALSE))</f>
        <v>303766.3</v>
      </c>
      <c r="P37" s="46">
        <f t="shared" ca="1" si="1"/>
        <v>1.1638555555609068E-2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input_434100!A$2</f>
        <v>434100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IFERROR(VLOOKUP(B38,input_434100!L:R,7,FALSE),VLOOKUP(tables_434100!C38,input_434100!A:H,8,FALSE))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input_434100!A$2</f>
        <v>434100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IFERROR(VLOOKUP(B39,input_434100!L:R,7,FALSE),VLOOKUP(tables_434100!C39,input_434100!A:H,8,FALSE))</f>
        <v>303766.3</v>
      </c>
      <c r="P39" s="46">
        <f t="shared" ca="1" si="1"/>
        <v>1.1638555555609068E-2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input_434100!A$2</f>
        <v>434100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IFERROR(VLOOKUP(B40,input_434100!L:R,7,FALSE),VLOOKUP(tables_434100!C40,input_434100!A:H,8,FALSE))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input_434100!A$2</f>
        <v>434100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IFERROR(VLOOKUP(B41,input_434100!L:R,7,FALSE),VLOOKUP(tables_434100!C41,input_434100!A:H,8,FALSE))</f>
        <v>303766.3</v>
      </c>
      <c r="P41" s="46">
        <f t="shared" ca="1" si="1"/>
        <v>1.1638555555609068E-2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input_434100!A$2</f>
        <v>434100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IFERROR(VLOOKUP(B42,input_434100!L:R,7,FALSE),VLOOKUP(tables_434100!C42,input_434100!A:H,8,FALSE))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input_434100!A$2</f>
        <v>434100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IFERROR(VLOOKUP(B43,input_434100!L:R,7,FALSE),VLOOKUP(tables_434100!C43,input_434100!A:H,8,FALSE))</f>
        <v>247950</v>
      </c>
      <c r="P43" s="46">
        <f t="shared" ca="1" si="1"/>
        <v>9.5000000000436784E-3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input_434100!A$2</f>
        <v>434100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IFERROR(VLOOKUP(B44,input_434100!L:R,7,FALSE),VLOOKUP(tables_434100!C44,input_434100!A:H,8,FALSE))</f>
        <v>6525</v>
      </c>
      <c r="P44" s="46">
        <f t="shared" ca="1" si="1"/>
        <v>2.5000000000114948E-4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input_434100!A$2</f>
        <v>434100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IFERROR(VLOOKUP(B45,input_434100!L:R,7,FALSE),VLOOKUP(tables_434100!C45,input_434100!A:H,8,FALSE))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input_434100!A$2</f>
        <v>434100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IFERROR(VLOOKUP(B46,input_434100!L:R,7,FALSE),VLOOKUP(tables_434100!C46,input_434100!A:H,8,FALSE))</f>
        <v>247950</v>
      </c>
      <c r="P46" s="46">
        <f t="shared" ca="1" si="1"/>
        <v>9.5000000000436784E-3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input_434100!A$2</f>
        <v>434100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IFERROR(VLOOKUP(B47,input_434100!L:R,7,FALSE),VLOOKUP(tables_434100!C47,input_434100!A:H,8,FALSE))</f>
        <v>6525</v>
      </c>
      <c r="P47" s="46">
        <f t="shared" ca="1" si="1"/>
        <v>2.5000000000114948E-4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input_434100!A$2</f>
        <v>434100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IFERROR(VLOOKUP(B48,input_434100!L:R,7,FALSE),VLOOKUP(tables_434100!C48,input_434100!A:H,8,FALSE))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input_434100!A$2</f>
        <v>434100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IFERROR(VLOOKUP(B49,input_434100!L:R,7,FALSE),VLOOKUP(tables_434100!C49,input_434100!A:H,8,FALSE))</f>
        <v>247950</v>
      </c>
      <c r="P49" s="46">
        <f t="shared" ca="1" si="1"/>
        <v>9.5000000000436784E-3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input_434100!A$2</f>
        <v>434100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IFERROR(VLOOKUP(B50,input_434100!L:R,7,FALSE),VLOOKUP(tables_434100!C50,input_434100!A:H,8,FALSE))</f>
        <v>6525</v>
      </c>
      <c r="P50" s="46">
        <f t="shared" ca="1" si="1"/>
        <v>2.5000000000114948E-4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input_434100!A$2</f>
        <v>434100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IFERROR(VLOOKUP(B51,input_434100!L:R,7,FALSE),VLOOKUP(tables_434100!C51,input_434100!A:H,8,FALSE))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input_434100!A$2</f>
        <v>434100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IFERROR(VLOOKUP(B52,input_434100!L:R,7,FALSE),VLOOKUP(tables_434100!C52,input_434100!A:H,8,FALSE))</f>
        <v>244849.23076000001</v>
      </c>
      <c r="P52" s="46">
        <f t="shared" ca="1" si="1"/>
        <v>9.3811965808860455E-3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input_434100!A$2</f>
        <v>434100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IFERROR(VLOOKUP(B53,input_434100!L:R,7,FALSE),VLOOKUP(tables_434100!C53,input_434100!A:H,8,FALSE))</f>
        <v>204.11538999999999</v>
      </c>
      <c r="P53" s="46">
        <f t="shared" ca="1" si="1"/>
        <v>7.8205130268558806E-6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input_434100!A$2</f>
        <v>434100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IFERROR(VLOOKUP(B54,input_434100!L:R,7,FALSE),VLOOKUP(tables_434100!C54,input_434100!A:H,8,FALSE))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input_434100!A$2</f>
        <v>434100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IFERROR(VLOOKUP(B55,input_434100!L:R,7,FALSE),VLOOKUP(tables_434100!C55,input_434100!A:H,8,FALSE))</f>
        <v>244849.23076000001</v>
      </c>
      <c r="P55" s="46">
        <f t="shared" ca="1" si="1"/>
        <v>9.3811965808860455E-3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input_434100!A$2</f>
        <v>434100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IFERROR(VLOOKUP(B56,input_434100!L:R,7,FALSE),VLOOKUP(tables_434100!C56,input_434100!A:H,8,FALSE))</f>
        <v>204.11538999999999</v>
      </c>
      <c r="P56" s="46">
        <f t="shared" ca="1" si="1"/>
        <v>7.8205130268558806E-6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input_434100!A$2</f>
        <v>434100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IFERROR(VLOOKUP(B57,input_434100!L:R,7,FALSE),VLOOKUP(tables_434100!C57,input_434100!A:H,8,FALSE))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input_434100!A$2</f>
        <v>434100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IFERROR(VLOOKUP(B58,input_434100!L:R,7,FALSE),VLOOKUP(tables_434100!C58,input_434100!A:H,8,FALSE))</f>
        <v>244849.23076000001</v>
      </c>
      <c r="P58" s="46">
        <f t="shared" ca="1" si="1"/>
        <v>9.3811965808860455E-3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input_434100!A$2</f>
        <v>434100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IFERROR(VLOOKUP(B59,input_434100!L:R,7,FALSE),VLOOKUP(tables_434100!C59,input_434100!A:H,8,FALSE))</f>
        <v>204.11538999999999</v>
      </c>
      <c r="P59" s="46">
        <f t="shared" ca="1" si="1"/>
        <v>7.8205130268558806E-6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input_434100!A$2</f>
        <v>434100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IFERROR(VLOOKUP(B60,input_434100!L:R,7,FALSE),VLOOKUP(tables_434100!C60,input_434100!A:H,8,FALSE))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input_434100!A$2</f>
        <v>434100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IFERROR(VLOOKUP(B61,input_434100!L:R,7,FALSE),VLOOKUP(tables_434100!C61,input_434100!A:H,8,FALSE))</f>
        <v>244849.23076000001</v>
      </c>
      <c r="P61" s="46">
        <f t="shared" ca="1" si="1"/>
        <v>9.3811965808860455E-3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input_434100!A$2</f>
        <v>434100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IFERROR(VLOOKUP(B62,input_434100!L:R,7,FALSE),VLOOKUP(tables_434100!C62,input_434100!A:H,8,FALSE))</f>
        <v>204.11538999999999</v>
      </c>
      <c r="P62" s="46">
        <f t="shared" ca="1" si="1"/>
        <v>7.8205130268558806E-6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input_434100!A$2</f>
        <v>434100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IFERROR(VLOOKUP(B63,input_434100!L:R,7,FALSE),VLOOKUP(tables_434100!C63,input_434100!A:H,8,FALSE))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input_434100!A$2</f>
        <v>434100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IFERROR(VLOOKUP(B64,input_434100!L:R,7,FALSE),VLOOKUP(tables_434100!C64,input_434100!A:H,8,FALSE))</f>
        <v>244849.23076000001</v>
      </c>
      <c r="P64" s="46">
        <f t="shared" ca="1" si="1"/>
        <v>9.3811965808860455E-3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input_434100!A$2</f>
        <v>434100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IFERROR(VLOOKUP(B65,input_434100!L:R,7,FALSE),VLOOKUP(tables_434100!C65,input_434100!A:H,8,FALSE))</f>
        <v>204.11538999999999</v>
      </c>
      <c r="P65" s="46">
        <f t="shared" ca="1" si="1"/>
        <v>7.8205130268558806E-6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input_434100!A$2</f>
        <v>434100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IFERROR(VLOOKUP(B66,input_434100!L:R,7,FALSE),VLOOKUP(tables_434100!C66,input_434100!A:H,8,FALSE))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input_434100!A$2</f>
        <v>434100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IFERROR(VLOOKUP(B67,input_434100!L:R,7,FALSE),VLOOKUP(tables_434100!C67,input_434100!A:H,8,FALSE))</f>
        <v>244849.23076000001</v>
      </c>
      <c r="P67" s="46">
        <f t="shared" ca="1" si="4"/>
        <v>9.3811965808860455E-3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input_434100!A$2</f>
        <v>434100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IFERROR(VLOOKUP(B68,input_434100!L:R,7,FALSE),VLOOKUP(tables_434100!C68,input_434100!A:H,8,FALSE))</f>
        <v>204.11538999999999</v>
      </c>
      <c r="P68" s="46">
        <f t="shared" ca="1" si="4"/>
        <v>7.8205130268558806E-6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input_434100!A$2</f>
        <v>434100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IFERROR(VLOOKUP(B69,input_434100!L:R,7,FALSE),VLOOKUP(tables_434100!C69,input_434100!A:H,8,FALSE))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input_434100!A$2</f>
        <v>434100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IFERROR(VLOOKUP(B70,input_434100!L:R,7,FALSE),VLOOKUP(tables_434100!C70,input_434100!A:H,8,FALSE))</f>
        <v>244849.23076000001</v>
      </c>
      <c r="P70" s="46">
        <f t="shared" ca="1" si="4"/>
        <v>9.3811965808860455E-3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input_434100!A$2</f>
        <v>434100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IFERROR(VLOOKUP(B71,input_434100!L:R,7,FALSE),VLOOKUP(tables_434100!C71,input_434100!A:H,8,FALSE))</f>
        <v>204.11538999999999</v>
      </c>
      <c r="P71" s="46">
        <f t="shared" ca="1" si="4"/>
        <v>7.8205130268558806E-6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input_434100!A$2</f>
        <v>434100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IFERROR(VLOOKUP(B72,input_434100!L:R,7,FALSE),VLOOKUP(tables_434100!C72,input_434100!A:H,8,FALSE))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input_434100!A$2</f>
        <v>434100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IFERROR(VLOOKUP(B73,input_434100!L:R,7,FALSE),VLOOKUP(tables_434100!C73,input_434100!A:H,8,FALSE))</f>
        <v>244849.23076000001</v>
      </c>
      <c r="P73" s="46">
        <f t="shared" ca="1" si="4"/>
        <v>9.3811965808860455E-3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input_434100!A$2</f>
        <v>434100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IFERROR(VLOOKUP(B74,input_434100!L:R,7,FALSE),VLOOKUP(tables_434100!C74,input_434100!A:H,8,FALSE))</f>
        <v>204.11538999999999</v>
      </c>
      <c r="P74" s="46">
        <f t="shared" ca="1" si="4"/>
        <v>7.8205130268558806E-6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input_434100!A$2</f>
        <v>434100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IFERROR(VLOOKUP(B75,input_434100!L:R,7,FALSE),VLOOKUP(tables_434100!C75,input_434100!A:H,8,FALSE))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input_434100!A$2</f>
        <v>434100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IFERROR(VLOOKUP(B76,input_434100!L:R,7,FALSE),VLOOKUP(tables_434100!C76,input_434100!A:H,8,FALSE))</f>
        <v>244849.23076000001</v>
      </c>
      <c r="P76" s="46">
        <f t="shared" ca="1" si="4"/>
        <v>9.3811965808860455E-3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input_434100!A$2</f>
        <v>434100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IFERROR(VLOOKUP(B77,input_434100!L:R,7,FALSE),VLOOKUP(tables_434100!C77,input_434100!A:H,8,FALSE))</f>
        <v>204.11538999999999</v>
      </c>
      <c r="P77" s="46">
        <f t="shared" ca="1" si="4"/>
        <v>7.8205130268558806E-6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input_434100!A$2</f>
        <v>434100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IFERROR(VLOOKUP(B78,input_434100!L:R,7,FALSE),VLOOKUP(tables_434100!C78,input_434100!A:H,8,FALSE))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input_434100!A$2</f>
        <v>434100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IFERROR(VLOOKUP(B79,input_434100!L:R,7,FALSE),VLOOKUP(tables_434100!C79,input_434100!A:H,8,FALSE))</f>
        <v>244849.23076000001</v>
      </c>
      <c r="P79" s="46">
        <f t="shared" ca="1" si="4"/>
        <v>9.3811965808860455E-3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input_434100!A$2</f>
        <v>434100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IFERROR(VLOOKUP(B80,input_434100!L:R,7,FALSE),VLOOKUP(tables_434100!C80,input_434100!A:H,8,FALSE))</f>
        <v>204.11538999999999</v>
      </c>
      <c r="P80" s="46">
        <f t="shared" ca="1" si="4"/>
        <v>7.8205130268558806E-6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input_434100!A$2</f>
        <v>434100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IFERROR(VLOOKUP(B81,input_434100!L:R,7,FALSE),VLOOKUP(tables_434100!C81,input_434100!A:H,8,FALSE))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input_434100!A$2</f>
        <v>434100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IFERROR(VLOOKUP(B82,input_434100!L:R,7,FALSE),VLOOKUP(tables_434100!C82,input_434100!A:H,8,FALSE))</f>
        <v>244849.23076000001</v>
      </c>
      <c r="P82" s="46">
        <f t="shared" ca="1" si="4"/>
        <v>9.3811965808860455E-3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input_434100!A$2</f>
        <v>434100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IFERROR(VLOOKUP(B83,input_434100!L:R,7,FALSE),VLOOKUP(tables_434100!C83,input_434100!A:H,8,FALSE))</f>
        <v>204.11538999999999</v>
      </c>
      <c r="P83" s="46">
        <f t="shared" ca="1" si="4"/>
        <v>7.8205130268558806E-6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input_434100!A$2</f>
        <v>434100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IFERROR(VLOOKUP(B84,input_434100!L:R,7,FALSE),VLOOKUP(tables_434100!C84,input_434100!A:H,8,FALSE))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input_434100!A$2</f>
        <v>434100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IFERROR(VLOOKUP(B85,input_434100!L:R,7,FALSE),VLOOKUP(tables_434100!C85,input_434100!A:H,8,FALSE))</f>
        <v>244849.23076000001</v>
      </c>
      <c r="P85" s="46">
        <f t="shared" ca="1" si="4"/>
        <v>9.3811965808860455E-3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input_434100!A$2</f>
        <v>434100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IFERROR(VLOOKUP(B86,input_434100!L:R,7,FALSE),VLOOKUP(tables_434100!C86,input_434100!A:H,8,FALSE))</f>
        <v>204.11538999999999</v>
      </c>
      <c r="P86" s="46">
        <f t="shared" ca="1" si="4"/>
        <v>7.8205130268558806E-6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input_434100!A$2</f>
        <v>434100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IFERROR(VLOOKUP(B87,input_434100!L:R,7,FALSE),VLOOKUP(tables_434100!C87,input_434100!A:H,8,FALSE))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input_434100!A$2</f>
        <v>434100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IFERROR(VLOOKUP(B88,input_434100!L:R,7,FALSE),VLOOKUP(tables_434100!C88,input_434100!A:H,8,FALSE))</f>
        <v>244849.23076000001</v>
      </c>
      <c r="P88" s="46">
        <f t="shared" ca="1" si="4"/>
        <v>9.3811965808860455E-3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input_434100!A$2</f>
        <v>434100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IFERROR(VLOOKUP(B89,input_434100!L:R,7,FALSE),VLOOKUP(tables_434100!C89,input_434100!A:H,8,FALSE))</f>
        <v>204.11538999999999</v>
      </c>
      <c r="P89" s="46">
        <f t="shared" ca="1" si="4"/>
        <v>7.8205130268558806E-6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input_434100!A$2</f>
        <v>434100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IFERROR(VLOOKUP(B90,input_434100!L:R,7,FALSE),VLOOKUP(tables_434100!C90,input_434100!A:H,8,FALSE))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input_434100!A$2</f>
        <v>434100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IFERROR(VLOOKUP(B91,input_434100!L:R,7,FALSE),VLOOKUP(tables_434100!C91,input_434100!A:H,8,FALSE))</f>
        <v>244849.23076000001</v>
      </c>
      <c r="P91" s="46">
        <f t="shared" ca="1" si="4"/>
        <v>9.3811965808860455E-3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input_434100!A$2</f>
        <v>434100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IFERROR(VLOOKUP(B92,input_434100!L:R,7,FALSE),VLOOKUP(tables_434100!C92,input_434100!A:H,8,FALSE))</f>
        <v>204.11538999999999</v>
      </c>
      <c r="P92" s="46">
        <f t="shared" ca="1" si="4"/>
        <v>7.8205130268558806E-6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input_434100!A$2</f>
        <v>434100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IFERROR(VLOOKUP(B93,input_434100!L:R,7,FALSE),VLOOKUP(tables_434100!C93,input_434100!A:H,8,FALSE))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input_434100!A$2</f>
        <v>434100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IFERROR(VLOOKUP(B94,input_434100!L:R,7,FALSE),VLOOKUP(tables_434100!C94,input_434100!A:H,8,FALSE))</f>
        <v>244849.23076000001</v>
      </c>
      <c r="P94" s="46">
        <f t="shared" ca="1" si="4"/>
        <v>9.3811965808860455E-3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input_434100!A$2</f>
        <v>434100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IFERROR(VLOOKUP(B95,input_434100!L:R,7,FALSE),VLOOKUP(tables_434100!C95,input_434100!A:H,8,FALSE))</f>
        <v>204.11538999999999</v>
      </c>
      <c r="P95" s="46">
        <f t="shared" ca="1" si="4"/>
        <v>7.8205130268558806E-6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input_434100!A$2</f>
        <v>434100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IFERROR(VLOOKUP(B96,input_434100!L:R,7,FALSE),VLOOKUP(tables_434100!C96,input_434100!A:H,8,FALSE))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input_434100!A$2</f>
        <v>434100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IFERROR(VLOOKUP(B97,input_434100!L:R,7,FALSE),VLOOKUP(tables_434100!C97,input_434100!A:H,8,FALSE))</f>
        <v>244849.23076000001</v>
      </c>
      <c r="P97" s="46">
        <f t="shared" ca="1" si="4"/>
        <v>9.3811965808860455E-3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input_434100!A$2</f>
        <v>434100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IFERROR(VLOOKUP(B98,input_434100!L:R,7,FALSE),VLOOKUP(tables_434100!C98,input_434100!A:H,8,FALSE))</f>
        <v>204.11538999999999</v>
      </c>
      <c r="P98" s="46">
        <f t="shared" ca="1" si="4"/>
        <v>7.8205130268558806E-6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input_434100!A$2</f>
        <v>434100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IFERROR(VLOOKUP(B99,input_434100!L:R,7,FALSE),VLOOKUP(tables_434100!C99,input_434100!A:H,8,FALSE))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input_434100!A$2</f>
        <v>434100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IFERROR(VLOOKUP(B100,input_434100!L:R,7,FALSE),VLOOKUP(tables_434100!C100,input_434100!A:H,8,FALSE))</f>
        <v>244849.23076000001</v>
      </c>
      <c r="P100" s="46">
        <f t="shared" ca="1" si="4"/>
        <v>9.3811965808860455E-3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input_434100!A$2</f>
        <v>434100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IFERROR(VLOOKUP(B101,input_434100!L:R,7,FALSE),VLOOKUP(tables_434100!C101,input_434100!A:H,8,FALSE))</f>
        <v>204.11538999999999</v>
      </c>
      <c r="P101" s="46">
        <f t="shared" ca="1" si="4"/>
        <v>7.8205130268558806E-6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input_434100!A$2</f>
        <v>434100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IFERROR(VLOOKUP(B102,input_434100!L:R,7,FALSE),VLOOKUP(tables_434100!C102,input_434100!A:H,8,FALSE))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input_434100!A$2</f>
        <v>434100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IFERROR(VLOOKUP(B103,input_434100!L:R,7,FALSE),VLOOKUP(tables_434100!C103,input_434100!A:H,8,FALSE))</f>
        <v>244849.23076000001</v>
      </c>
      <c r="P103" s="46">
        <f t="shared" ca="1" si="4"/>
        <v>9.3811965808860455E-3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input_434100!A$2</f>
        <v>434100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IFERROR(VLOOKUP(B104,input_434100!L:R,7,FALSE),VLOOKUP(tables_434100!C104,input_434100!A:H,8,FALSE))</f>
        <v>204.11538999999999</v>
      </c>
      <c r="P104" s="46">
        <f t="shared" ca="1" si="4"/>
        <v>7.8205130268558806E-6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input_434100!A$2</f>
        <v>434100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IFERROR(VLOOKUP(B105,input_434100!L:R,7,FALSE),VLOOKUP(tables_434100!C105,input_434100!A:H,8,FALSE))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input_434100!A$2</f>
        <v>434100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IFERROR(VLOOKUP(B106,input_434100!L:R,7,FALSE),VLOOKUP(tables_434100!C106,input_434100!A:H,8,FALSE))</f>
        <v>244849.23076000001</v>
      </c>
      <c r="P106" s="46">
        <f t="shared" ca="1" si="4"/>
        <v>9.3811965808860455E-3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input_434100!A$2</f>
        <v>434100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IFERROR(VLOOKUP(B107,input_434100!L:R,7,FALSE),VLOOKUP(tables_434100!C107,input_434100!A:H,8,FALSE))</f>
        <v>204.11538999999999</v>
      </c>
      <c r="P107" s="46">
        <f t="shared" ca="1" si="4"/>
        <v>7.8205130268558806E-6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input_434100!A$2</f>
        <v>434100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IFERROR(VLOOKUP(B108,input_434100!L:R,7,FALSE),VLOOKUP(tables_434100!C108,input_434100!A:H,8,FALSE))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input_434100!A$2</f>
        <v>434100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IFERROR(VLOOKUP(B109,input_434100!L:R,7,FALSE),VLOOKUP(tables_434100!C109,input_434100!A:H,8,FALSE))</f>
        <v>244849.23076000001</v>
      </c>
      <c r="P109" s="46">
        <f t="shared" ca="1" si="4"/>
        <v>9.3811965808860455E-3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input_434100!A$2</f>
        <v>434100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IFERROR(VLOOKUP(B110,input_434100!L:R,7,FALSE),VLOOKUP(tables_434100!C110,input_434100!A:H,8,FALSE))</f>
        <v>204.11538999999999</v>
      </c>
      <c r="P110" s="46">
        <f t="shared" ca="1" si="4"/>
        <v>7.8205130268558806E-6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input_434100!A$2</f>
        <v>434100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IFERROR(VLOOKUP(B111,input_434100!L:R,7,FALSE),VLOOKUP(tables_434100!C111,input_434100!A:H,8,FALSE))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input_434100!A$2</f>
        <v>434100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IFERROR(VLOOKUP(B112,input_434100!L:R,7,FALSE),VLOOKUP(tables_434100!C112,input_434100!A:H,8,FALSE))</f>
        <v>247950</v>
      </c>
      <c r="P112" s="46">
        <f t="shared" ca="1" si="4"/>
        <v>9.5000000000436784E-3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input_434100!A$2</f>
        <v>434100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IFERROR(VLOOKUP(B113,input_434100!L:R,7,FALSE),VLOOKUP(tables_434100!C113,input_434100!A:H,8,FALSE))</f>
        <v>6525</v>
      </c>
      <c r="P113" s="46">
        <f t="shared" ca="1" si="4"/>
        <v>2.5000000000114948E-4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input_434100!A$2</f>
        <v>434100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IFERROR(VLOOKUP(B114,input_434100!L:R,7,FALSE),VLOOKUP(tables_434100!C114,input_434100!A:H,8,FALSE))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input_434100!A$2</f>
        <v>434100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IFERROR(VLOOKUP(B115,input_434100!L:R,7,FALSE),VLOOKUP(tables_434100!C115,input_434100!A:H,8,FALSE))</f>
        <v>244849.23076000001</v>
      </c>
      <c r="P115" s="46">
        <f t="shared" ca="1" si="4"/>
        <v>9.3811965808860455E-3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input_434100!A$2</f>
        <v>434100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IFERROR(VLOOKUP(B116,input_434100!L:R,7,FALSE),VLOOKUP(tables_434100!C116,input_434100!A:H,8,FALSE))</f>
        <v>204.11538999999999</v>
      </c>
      <c r="P116" s="46">
        <f t="shared" ca="1" si="4"/>
        <v>7.8205130268558806E-6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input_434100!A$2</f>
        <v>434100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IFERROR(VLOOKUP(B117,input_434100!L:R,7,FALSE),VLOOKUP(tables_434100!C117,input_434100!A:H,8,FALSE))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input_434100!A$2</f>
        <v>434100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IFERROR(VLOOKUP(B118,input_434100!L:R,7,FALSE),VLOOKUP(tables_434100!C118,input_434100!A:H,8,FALSE))</f>
        <v>244849.23076000001</v>
      </c>
      <c r="P118" s="46">
        <f t="shared" ca="1" si="4"/>
        <v>9.3811965808860455E-3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input_434100!A$2</f>
        <v>434100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IFERROR(VLOOKUP(B119,input_434100!L:R,7,FALSE),VLOOKUP(tables_434100!C119,input_434100!A:H,8,FALSE))</f>
        <v>204.11538999999999</v>
      </c>
      <c r="P119" s="46">
        <f t="shared" ca="1" si="4"/>
        <v>7.8205130268558806E-6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input_434100!A$2</f>
        <v>434100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IFERROR(VLOOKUP(B120,input_434100!L:R,7,FALSE),VLOOKUP(tables_434100!C120,input_434100!A:H,8,FALSE))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input_434100!A$2</f>
        <v>434100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IFERROR(VLOOKUP(B121,input_434100!L:R,7,FALSE),VLOOKUP(tables_434100!C121,input_434100!A:H,8,FALSE))</f>
        <v>244849.23076000001</v>
      </c>
      <c r="P121" s="46">
        <f t="shared" ca="1" si="4"/>
        <v>9.3811965808860455E-3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input_434100!A$2</f>
        <v>434100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IFERROR(VLOOKUP(B122,input_434100!L:R,7,FALSE),VLOOKUP(tables_434100!C122,input_434100!A:H,8,FALSE))</f>
        <v>204.11538999999999</v>
      </c>
      <c r="P122" s="46">
        <f t="shared" ca="1" si="4"/>
        <v>7.8205130268558806E-6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input_434100!A$2</f>
        <v>434100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IFERROR(VLOOKUP(B123,input_434100!L:R,7,FALSE),VLOOKUP(tables_434100!C123,input_434100!A:H,8,FALSE))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input_434100!A$2</f>
        <v>434100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IFERROR(VLOOKUP(B124,input_434100!L:R,7,FALSE),VLOOKUP(tables_434100!C124,input_434100!A:H,8,FALSE))</f>
        <v>244849.23076000001</v>
      </c>
      <c r="P124" s="46">
        <f t="shared" ca="1" si="4"/>
        <v>9.3811965808860455E-3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input_434100!A$2</f>
        <v>434100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IFERROR(VLOOKUP(B125,input_434100!L:R,7,FALSE),VLOOKUP(tables_434100!C125,input_434100!A:H,8,FALSE))</f>
        <v>204.11538999999999</v>
      </c>
      <c r="P125" s="46">
        <f t="shared" ca="1" si="4"/>
        <v>7.8205130268558806E-6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input_434100!A$2</f>
        <v>434100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IFERROR(VLOOKUP(B126,input_434100!L:R,7,FALSE),VLOOKUP(tables_434100!C126,input_434100!A:H,8,FALSE))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input_434100!A$2</f>
        <v>434100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IFERROR(VLOOKUP(B127,input_434100!L:R,7,FALSE),VLOOKUP(tables_434100!C127,input_434100!A:H,8,FALSE))</f>
        <v>244849.23076000001</v>
      </c>
      <c r="P127" s="46">
        <f t="shared" ca="1" si="4"/>
        <v>9.3811965808860455E-3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input_434100!A$2</f>
        <v>434100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IFERROR(VLOOKUP(B128,input_434100!L:R,7,FALSE),VLOOKUP(tables_434100!C128,input_434100!A:H,8,FALSE))</f>
        <v>204.11538999999999</v>
      </c>
      <c r="P128" s="46">
        <f t="shared" ca="1" si="4"/>
        <v>7.8205130268558806E-6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input_434100!A$2</f>
        <v>434100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IFERROR(VLOOKUP(B129,input_434100!L:R,7,FALSE),VLOOKUP(tables_434100!C129,input_434100!A:H,8,FALSE))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input_434100!A$2</f>
        <v>434100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IFERROR(VLOOKUP(B130,input_434100!L:R,7,FALSE),VLOOKUP(tables_434100!C130,input_434100!A:H,8,FALSE))</f>
        <v>244849.23076000001</v>
      </c>
      <c r="P130" s="46">
        <f t="shared" ref="P130:P193" ca="1" si="7">O130/SUM(O:O)</f>
        <v>9.3811965808860455E-3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input_434100!A$2</f>
        <v>434100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IFERROR(VLOOKUP(B131,input_434100!L:R,7,FALSE),VLOOKUP(tables_434100!C131,input_434100!A:H,8,FALSE))</f>
        <v>204.11538999999999</v>
      </c>
      <c r="P131" s="46">
        <f t="shared" ca="1" si="7"/>
        <v>7.8205130268558806E-6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input_434100!A$2</f>
        <v>434100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IFERROR(VLOOKUP(B132,input_434100!L:R,7,FALSE),VLOOKUP(tables_434100!C132,input_434100!A:H,8,FALSE))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input_434100!A$2</f>
        <v>434100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IFERROR(VLOOKUP(B133,input_434100!L:R,7,FALSE),VLOOKUP(tables_434100!C133,input_434100!A:H,8,FALSE))</f>
        <v>244849.23076000001</v>
      </c>
      <c r="P133" s="46">
        <f t="shared" ca="1" si="7"/>
        <v>9.3811965808860455E-3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input_434100!A$2</f>
        <v>434100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IFERROR(VLOOKUP(B134,input_434100!L:R,7,FALSE),VLOOKUP(tables_434100!C134,input_434100!A:H,8,FALSE))</f>
        <v>204.11538999999999</v>
      </c>
      <c r="P134" s="46">
        <f t="shared" ca="1" si="7"/>
        <v>7.8205130268558806E-6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input_434100!A$2</f>
        <v>434100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IFERROR(VLOOKUP(B135,input_434100!L:R,7,FALSE),VLOOKUP(tables_434100!C135,input_434100!A:H,8,FALSE))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input_434100!A$2</f>
        <v>434100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IFERROR(VLOOKUP(B136,input_434100!L:R,7,FALSE),VLOOKUP(tables_434100!C136,input_434100!A:H,8,FALSE))</f>
        <v>244849.23076000001</v>
      </c>
      <c r="P136" s="46">
        <f t="shared" ca="1" si="7"/>
        <v>9.3811965808860455E-3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input_434100!A$2</f>
        <v>434100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IFERROR(VLOOKUP(B137,input_434100!L:R,7,FALSE),VLOOKUP(tables_434100!C137,input_434100!A:H,8,FALSE))</f>
        <v>204.11538999999999</v>
      </c>
      <c r="P137" s="46">
        <f t="shared" ca="1" si="7"/>
        <v>7.8205130268558806E-6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input_434100!A$2</f>
        <v>434100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IFERROR(VLOOKUP(B138,input_434100!L:R,7,FALSE),VLOOKUP(tables_434100!C138,input_434100!A:H,8,FALSE))</f>
        <v>6272.2857199999999</v>
      </c>
      <c r="P138" s="46">
        <f t="shared" ca="1" si="7"/>
        <v>2.4031746053750341E-4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input_434100!A$2</f>
        <v>434100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IFERROR(VLOOKUP(B139,input_434100!L:R,7,FALSE),VLOOKUP(tables_434100!C139,input_434100!A:H,8,FALSE))</f>
        <v>232</v>
      </c>
      <c r="P139" s="46">
        <f t="shared" ca="1" si="7"/>
        <v>8.8888888889297576E-6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input_434100!A$2</f>
        <v>434100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IFERROR(VLOOKUP(B140,input_434100!L:R,7,FALSE),VLOOKUP(tables_434100!C140,input_434100!A:H,8,FALSE))</f>
        <v>6272.2857199999999</v>
      </c>
      <c r="P140" s="46">
        <f t="shared" ca="1" si="7"/>
        <v>2.4031746053750341E-4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input_434100!A$2</f>
        <v>434100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IFERROR(VLOOKUP(B141,input_434100!L:R,7,FALSE),VLOOKUP(tables_434100!C141,input_434100!A:H,8,FALSE))</f>
        <v>232</v>
      </c>
      <c r="P141" s="46">
        <f t="shared" ca="1" si="7"/>
        <v>8.8888888889297576E-6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input_434100!A$2</f>
        <v>434100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IFERROR(VLOOKUP(B142,input_434100!L:R,7,FALSE),VLOOKUP(tables_434100!C142,input_434100!A:H,8,FALSE))</f>
        <v>6272.2857199999999</v>
      </c>
      <c r="P142" s="46">
        <f t="shared" ca="1" si="7"/>
        <v>2.4031746053750341E-4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input_434100!A$2</f>
        <v>434100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IFERROR(VLOOKUP(B143,input_434100!L:R,7,FALSE),VLOOKUP(tables_434100!C143,input_434100!A:H,8,FALSE))</f>
        <v>232</v>
      </c>
      <c r="P143" s="46">
        <f t="shared" ca="1" si="7"/>
        <v>8.8888888889297576E-6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input_434100!A$2</f>
        <v>434100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IFERROR(VLOOKUP(B144,input_434100!L:R,7,FALSE),VLOOKUP(tables_434100!C144,input_434100!A:H,8,FALSE))</f>
        <v>6272.2857199999999</v>
      </c>
      <c r="P144" s="46">
        <f t="shared" ca="1" si="7"/>
        <v>2.4031746053750341E-4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input_434100!A$2</f>
        <v>434100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IFERROR(VLOOKUP(B145,input_434100!L:R,7,FALSE),VLOOKUP(tables_434100!C145,input_434100!A:H,8,FALSE))</f>
        <v>232</v>
      </c>
      <c r="P145" s="46">
        <f t="shared" ca="1" si="7"/>
        <v>8.8888888889297576E-6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input_434100!A$2</f>
        <v>434100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IFERROR(VLOOKUP(B146,input_434100!L:R,7,FALSE),VLOOKUP(tables_434100!C146,input_434100!A:H,8,FALSE))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input_434100!A$2</f>
        <v>434100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IFERROR(VLOOKUP(B147,input_434100!L:R,7,FALSE),VLOOKUP(tables_434100!C147,input_434100!A:H,8,FALSE))</f>
        <v>244849.23076000001</v>
      </c>
      <c r="P147" s="46">
        <f t="shared" ca="1" si="7"/>
        <v>9.3811965808860455E-3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input_434100!A$2</f>
        <v>434100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IFERROR(VLOOKUP(B148,input_434100!L:R,7,FALSE),VLOOKUP(tables_434100!C148,input_434100!A:H,8,FALSE))</f>
        <v>204.11538999999999</v>
      </c>
      <c r="P148" s="46">
        <f t="shared" ca="1" si="7"/>
        <v>7.8205130268558806E-6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input_434100!A$2</f>
        <v>434100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IFERROR(VLOOKUP(B149,input_434100!L:R,7,FALSE),VLOOKUP(tables_434100!C149,input_434100!A:H,8,FALSE))</f>
        <v>6272.2857199999999</v>
      </c>
      <c r="P149" s="46">
        <f t="shared" ca="1" si="7"/>
        <v>2.4031746053750341E-4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input_434100!A$2</f>
        <v>434100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IFERROR(VLOOKUP(B150,input_434100!L:R,7,FALSE),VLOOKUP(tables_434100!C150,input_434100!A:H,8,FALSE))</f>
        <v>232</v>
      </c>
      <c r="P150" s="46">
        <f t="shared" ca="1" si="7"/>
        <v>8.8888888889297576E-6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input_434100!A$2</f>
        <v>434100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IFERROR(VLOOKUP(B151,input_434100!L:R,7,FALSE),VLOOKUP(tables_434100!C151,input_434100!A:H,8,FALSE))</f>
        <v>6272.2857199999999</v>
      </c>
      <c r="P151" s="46">
        <f t="shared" ca="1" si="7"/>
        <v>2.4031746053750341E-4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input_434100!A$2</f>
        <v>434100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IFERROR(VLOOKUP(B152,input_434100!L:R,7,FALSE),VLOOKUP(tables_434100!C152,input_434100!A:H,8,FALSE))</f>
        <v>232</v>
      </c>
      <c r="P152" s="46">
        <f t="shared" ca="1" si="7"/>
        <v>8.8888888889297576E-6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input_434100!A$2</f>
        <v>434100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IFERROR(VLOOKUP(B153,input_434100!L:R,7,FALSE),VLOOKUP(tables_434100!C153,input_434100!A:H,8,FALSE))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input_434100!A$2</f>
        <v>434100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IFERROR(VLOOKUP(B154,input_434100!L:R,7,FALSE),VLOOKUP(tables_434100!C154,input_434100!A:H,8,FALSE))</f>
        <v>244849.23076000001</v>
      </c>
      <c r="P154" s="46">
        <f t="shared" ca="1" si="7"/>
        <v>9.3811965808860455E-3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input_434100!A$2</f>
        <v>434100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IFERROR(VLOOKUP(B155,input_434100!L:R,7,FALSE),VLOOKUP(tables_434100!C155,input_434100!A:H,8,FALSE))</f>
        <v>204.11538999999999</v>
      </c>
      <c r="P155" s="46">
        <f t="shared" ca="1" si="7"/>
        <v>7.8205130268558806E-6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input_434100!A$2</f>
        <v>434100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IFERROR(VLOOKUP(B156,input_434100!L:R,7,FALSE),VLOOKUP(tables_434100!C156,input_434100!A:H,8,FALSE))</f>
        <v>6272.2857199999999</v>
      </c>
      <c r="P156" s="46">
        <f t="shared" ca="1" si="7"/>
        <v>2.4031746053750341E-4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input_434100!A$2</f>
        <v>434100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IFERROR(VLOOKUP(B157,input_434100!L:R,7,FALSE),VLOOKUP(tables_434100!C157,input_434100!A:H,8,FALSE))</f>
        <v>232</v>
      </c>
      <c r="P157" s="46">
        <f t="shared" ca="1" si="7"/>
        <v>8.8888888889297576E-6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input_434100!A$2</f>
        <v>434100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IFERROR(VLOOKUP(B158,input_434100!L:R,7,FALSE),VLOOKUP(tables_434100!C158,input_434100!A:H,8,FALSE))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input_434100!A$2</f>
        <v>434100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IFERROR(VLOOKUP(B159,input_434100!L:R,7,FALSE),VLOOKUP(tables_434100!C159,input_434100!A:H,8,FALSE))</f>
        <v>244849.23076000001</v>
      </c>
      <c r="P159" s="46">
        <f t="shared" ca="1" si="7"/>
        <v>9.3811965808860455E-3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input_434100!A$2</f>
        <v>434100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IFERROR(VLOOKUP(B160,input_434100!L:R,7,FALSE),VLOOKUP(tables_434100!C160,input_434100!A:H,8,FALSE))</f>
        <v>204.11538999999999</v>
      </c>
      <c r="P160" s="46">
        <f t="shared" ca="1" si="7"/>
        <v>7.8205130268558806E-6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input_434100!A$2</f>
        <v>434100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IFERROR(VLOOKUP(B161,input_434100!L:R,7,FALSE),VLOOKUP(tables_434100!C161,input_434100!A:H,8,FALSE))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input_434100!A$2</f>
        <v>434100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IFERROR(VLOOKUP(B162,input_434100!L:R,7,FALSE),VLOOKUP(tables_434100!C162,input_434100!A:H,8,FALSE))</f>
        <v>244849.23076000001</v>
      </c>
      <c r="P162" s="46">
        <f t="shared" ca="1" si="7"/>
        <v>9.3811965808860455E-3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input_434100!A$2</f>
        <v>434100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IFERROR(VLOOKUP(B163,input_434100!L:R,7,FALSE),VLOOKUP(tables_434100!C163,input_434100!A:H,8,FALSE))</f>
        <v>204.11538999999999</v>
      </c>
      <c r="P163" s="46">
        <f t="shared" ca="1" si="7"/>
        <v>7.8205130268558806E-6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input_434100!A$2</f>
        <v>434100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IFERROR(VLOOKUP(B164,input_434100!L:R,7,FALSE),VLOOKUP(tables_434100!C164,input_434100!A:H,8,FALSE))</f>
        <v>6272.2857199999999</v>
      </c>
      <c r="P164" s="46">
        <f t="shared" ca="1" si="7"/>
        <v>2.4031746053750341E-4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input_434100!A$2</f>
        <v>434100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IFERROR(VLOOKUP(B165,input_434100!L:R,7,FALSE),VLOOKUP(tables_434100!C165,input_434100!A:H,8,FALSE))</f>
        <v>232</v>
      </c>
      <c r="P165" s="46">
        <f t="shared" ca="1" si="7"/>
        <v>8.8888888889297576E-6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input_434100!A$2</f>
        <v>434100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IFERROR(VLOOKUP(B166,input_434100!L:R,7,FALSE),VLOOKUP(tables_434100!C166,input_434100!A:H,8,FALSE))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input_434100!A$2</f>
        <v>434100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IFERROR(VLOOKUP(B167,input_434100!L:R,7,FALSE),VLOOKUP(tables_434100!C167,input_434100!A:H,8,FALSE))</f>
        <v>244849.23076000001</v>
      </c>
      <c r="P167" s="46">
        <f t="shared" ca="1" si="7"/>
        <v>9.3811965808860455E-3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input_434100!A$2</f>
        <v>434100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IFERROR(VLOOKUP(B168,input_434100!L:R,7,FALSE),VLOOKUP(tables_434100!C168,input_434100!A:H,8,FALSE))</f>
        <v>204.11538999999999</v>
      </c>
      <c r="P168" s="46">
        <f t="shared" ca="1" si="7"/>
        <v>7.8205130268558806E-6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input_434100!A$2</f>
        <v>434100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IFERROR(VLOOKUP(B169,input_434100!L:R,7,FALSE),VLOOKUP(tables_434100!C169,input_434100!A:H,8,FALSE))</f>
        <v>6272.2857199999999</v>
      </c>
      <c r="P169" s="46">
        <f t="shared" ca="1" si="7"/>
        <v>2.4031746053750341E-4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input_434100!A$2</f>
        <v>434100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IFERROR(VLOOKUP(B170,input_434100!L:R,7,FALSE),VLOOKUP(tables_434100!C170,input_434100!A:H,8,FALSE))</f>
        <v>232</v>
      </c>
      <c r="P170" s="46">
        <f t="shared" ca="1" si="7"/>
        <v>8.8888888889297576E-6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input_434100!A$2</f>
        <v>434100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IFERROR(VLOOKUP(B171,input_434100!L:R,7,FALSE),VLOOKUP(tables_434100!C171,input_434100!A:H,8,FALSE))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input_434100!A$2</f>
        <v>434100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IFERROR(VLOOKUP(B172,input_434100!L:R,7,FALSE),VLOOKUP(tables_434100!C172,input_434100!A:H,8,FALSE))</f>
        <v>244849.23076000001</v>
      </c>
      <c r="P172" s="46">
        <f t="shared" ca="1" si="7"/>
        <v>9.3811965808860455E-3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input_434100!A$2</f>
        <v>434100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IFERROR(VLOOKUP(B173,input_434100!L:R,7,FALSE),VLOOKUP(tables_434100!C173,input_434100!A:H,8,FALSE))</f>
        <v>204.11538999999999</v>
      </c>
      <c r="P173" s="46">
        <f t="shared" ca="1" si="7"/>
        <v>7.8205130268558806E-6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input_434100!A$2</f>
        <v>434100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IFERROR(VLOOKUP(B174,input_434100!L:R,7,FALSE),VLOOKUP(tables_434100!C174,input_434100!A:H,8,FALSE))</f>
        <v>6272.2857199999999</v>
      </c>
      <c r="P174" s="46">
        <f t="shared" ca="1" si="7"/>
        <v>2.4031746053750341E-4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input_434100!A$2</f>
        <v>434100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IFERROR(VLOOKUP(B175,input_434100!L:R,7,FALSE),VLOOKUP(tables_434100!C175,input_434100!A:H,8,FALSE))</f>
        <v>232</v>
      </c>
      <c r="P175" s="46">
        <f t="shared" ca="1" si="7"/>
        <v>8.8888888889297576E-6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input_434100!A$2</f>
        <v>434100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IFERROR(VLOOKUP(B176,input_434100!L:R,7,FALSE),VLOOKUP(tables_434100!C176,input_434100!A:H,8,FALSE))</f>
        <v>6272.2857199999999</v>
      </c>
      <c r="P176" s="46">
        <f t="shared" ca="1" si="7"/>
        <v>2.4031746053750341E-4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input_434100!A$2</f>
        <v>434100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IFERROR(VLOOKUP(B177,input_434100!L:R,7,FALSE),VLOOKUP(tables_434100!C177,input_434100!A:H,8,FALSE))</f>
        <v>232</v>
      </c>
      <c r="P177" s="46">
        <f t="shared" ca="1" si="7"/>
        <v>8.8888888889297576E-6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input_434100!A$2</f>
        <v>434100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IFERROR(VLOOKUP(B178,input_434100!L:R,7,FALSE),VLOOKUP(tables_434100!C178,input_434100!A:H,8,FALSE))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input_434100!A$2</f>
        <v>434100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IFERROR(VLOOKUP(B179,input_434100!L:R,7,FALSE),VLOOKUP(tables_434100!C179,input_434100!A:H,8,FALSE))</f>
        <v>244849.23076000001</v>
      </c>
      <c r="P179" s="46">
        <f t="shared" ca="1" si="7"/>
        <v>9.3811965808860455E-3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input_434100!A$2</f>
        <v>434100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IFERROR(VLOOKUP(B180,input_434100!L:R,7,FALSE),VLOOKUP(tables_434100!C180,input_434100!A:H,8,FALSE))</f>
        <v>204.11538999999999</v>
      </c>
      <c r="P180" s="46">
        <f t="shared" ca="1" si="7"/>
        <v>7.8205130268558806E-6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input_434100!A$2</f>
        <v>434100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IFERROR(VLOOKUP(B181,input_434100!L:R,7,FALSE),VLOOKUP(tables_434100!C181,input_434100!A:H,8,FALSE))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input_434100!A$2</f>
        <v>434100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IFERROR(VLOOKUP(B182,input_434100!L:R,7,FALSE),VLOOKUP(tables_434100!C182,input_434100!A:H,8,FALSE))</f>
        <v>244849.23076000001</v>
      </c>
      <c r="P182" s="46">
        <f t="shared" ca="1" si="7"/>
        <v>9.3811965808860455E-3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input_434100!A$2</f>
        <v>434100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IFERROR(VLOOKUP(B183,input_434100!L:R,7,FALSE),VLOOKUP(tables_434100!C183,input_434100!A:H,8,FALSE))</f>
        <v>204.11538999999999</v>
      </c>
      <c r="P183" s="46">
        <f t="shared" ca="1" si="7"/>
        <v>7.8205130268558806E-6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input_434100!A$2</f>
        <v>434100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IFERROR(VLOOKUP(B184,input_434100!L:R,7,FALSE),VLOOKUP(tables_434100!C184,input_434100!A:H,8,FALSE))</f>
        <v>6272.2857199999999</v>
      </c>
      <c r="P184" s="46">
        <f t="shared" ca="1" si="7"/>
        <v>2.4031746053750341E-4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input_434100!A$2</f>
        <v>434100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IFERROR(VLOOKUP(B185,input_434100!L:R,7,FALSE),VLOOKUP(tables_434100!C185,input_434100!A:H,8,FALSE))</f>
        <v>232</v>
      </c>
      <c r="P185" s="46">
        <f t="shared" ca="1" si="7"/>
        <v>8.8888888889297576E-6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input_434100!A$2</f>
        <v>434100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IFERROR(VLOOKUP(B186,input_434100!L:R,7,FALSE),VLOOKUP(tables_434100!C186,input_434100!A:H,8,FALSE))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input_434100!A$2</f>
        <v>434100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IFERROR(VLOOKUP(B187,input_434100!L:R,7,FALSE),VLOOKUP(tables_434100!C187,input_434100!A:H,8,FALSE))</f>
        <v>244849.23076000001</v>
      </c>
      <c r="P187" s="46">
        <f t="shared" ca="1" si="7"/>
        <v>9.3811965808860455E-3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input_434100!A$2</f>
        <v>434100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IFERROR(VLOOKUP(B188,input_434100!L:R,7,FALSE),VLOOKUP(tables_434100!C188,input_434100!A:H,8,FALSE))</f>
        <v>204.11538999999999</v>
      </c>
      <c r="P188" s="46">
        <f t="shared" ca="1" si="7"/>
        <v>7.8205130268558806E-6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input_434100!A$2</f>
        <v>434100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IFERROR(VLOOKUP(B189,input_434100!L:R,7,FALSE),VLOOKUP(tables_434100!C189,input_434100!A:H,8,FALSE))</f>
        <v>6272.2857199999999</v>
      </c>
      <c r="P189" s="46">
        <f t="shared" ca="1" si="7"/>
        <v>2.4031746053750341E-4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input_434100!A$2</f>
        <v>434100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IFERROR(VLOOKUP(B190,input_434100!L:R,7,FALSE),VLOOKUP(tables_434100!C190,input_434100!A:H,8,FALSE))</f>
        <v>232</v>
      </c>
      <c r="P190" s="46">
        <f t="shared" ca="1" si="7"/>
        <v>8.8888888889297576E-6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input_434100!A$2</f>
        <v>434100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IFERROR(VLOOKUP(B191,input_434100!L:R,7,FALSE),VLOOKUP(tables_434100!C191,input_434100!A:H,8,FALSE))</f>
        <v>6272.2857199999999</v>
      </c>
      <c r="P191" s="46">
        <f t="shared" ca="1" si="7"/>
        <v>2.4031746053750341E-4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input_434100!A$2</f>
        <v>434100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IFERROR(VLOOKUP(B192,input_434100!L:R,7,FALSE),VLOOKUP(tables_434100!C192,input_434100!A:H,8,FALSE))</f>
        <v>232</v>
      </c>
      <c r="P192" s="46">
        <f t="shared" ca="1" si="7"/>
        <v>8.8888888889297576E-6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input_434100!A$2</f>
        <v>434100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IFERROR(VLOOKUP(B193,input_434100!L:R,7,FALSE),VLOOKUP(tables_434100!C193,input_434100!A:H,8,FALSE))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input_434100!A$2</f>
        <v>434100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IFERROR(VLOOKUP(B194,input_434100!L:R,7,FALSE),VLOOKUP(tables_434100!C194,input_434100!A:H,8,FALSE))</f>
        <v>244849.23076000001</v>
      </c>
      <c r="P194" s="46">
        <f t="shared" ref="P194:P257" ca="1" si="10">O194/SUM(O:O)</f>
        <v>9.3811965808860455E-3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input_434100!A$2</f>
        <v>434100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IFERROR(VLOOKUP(B195,input_434100!L:R,7,FALSE),VLOOKUP(tables_434100!C195,input_434100!A:H,8,FALSE))</f>
        <v>204.11538999999999</v>
      </c>
      <c r="P195" s="46">
        <f t="shared" ca="1" si="10"/>
        <v>7.8205130268558806E-6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input_434100!A$2</f>
        <v>434100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IFERROR(VLOOKUP(B196,input_434100!L:R,7,FALSE),VLOOKUP(tables_434100!C196,input_434100!A:H,8,FALSE))</f>
        <v>6272.2857199999999</v>
      </c>
      <c r="P196" s="46">
        <f t="shared" ca="1" si="10"/>
        <v>2.4031746053750341E-4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input_434100!A$2</f>
        <v>434100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IFERROR(VLOOKUP(B197,input_434100!L:R,7,FALSE),VLOOKUP(tables_434100!C197,input_434100!A:H,8,FALSE))</f>
        <v>232</v>
      </c>
      <c r="P197" s="46">
        <f t="shared" ca="1" si="10"/>
        <v>8.8888888889297576E-6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input_434100!A$2</f>
        <v>434100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IFERROR(VLOOKUP(B198,input_434100!L:R,7,FALSE),VLOOKUP(tables_434100!C198,input_434100!A:H,8,FALSE))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input_434100!A$2</f>
        <v>434100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IFERROR(VLOOKUP(B199,input_434100!L:R,7,FALSE),VLOOKUP(tables_434100!C199,input_434100!A:H,8,FALSE))</f>
        <v>244849.23076000001</v>
      </c>
      <c r="P199" s="46">
        <f t="shared" ca="1" si="10"/>
        <v>9.3811965808860455E-3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input_434100!A$2</f>
        <v>434100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IFERROR(VLOOKUP(B200,input_434100!L:R,7,FALSE),VLOOKUP(tables_434100!C200,input_434100!A:H,8,FALSE))</f>
        <v>204.11538999999999</v>
      </c>
      <c r="P200" s="46">
        <f t="shared" ca="1" si="10"/>
        <v>7.8205130268558806E-6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input_434100!A$2</f>
        <v>434100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IFERROR(VLOOKUP(B201,input_434100!L:R,7,FALSE),VLOOKUP(tables_434100!C201,input_434100!A:H,8,FALSE))</f>
        <v>6272.2857199999999</v>
      </c>
      <c r="P201" s="46">
        <f t="shared" ca="1" si="10"/>
        <v>2.4031746053750341E-4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input_434100!A$2</f>
        <v>434100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IFERROR(VLOOKUP(B202,input_434100!L:R,7,FALSE),VLOOKUP(tables_434100!C202,input_434100!A:H,8,FALSE))</f>
        <v>232</v>
      </c>
      <c r="P202" s="46">
        <f t="shared" ca="1" si="10"/>
        <v>8.8888888889297576E-6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input_434100!A$2</f>
        <v>434100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IFERROR(VLOOKUP(B203,input_434100!L:R,7,FALSE),VLOOKUP(tables_434100!C203,input_434100!A:H,8,FALSE))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input_434100!A$2</f>
        <v>434100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IFERROR(VLOOKUP(B204,input_434100!L:R,7,FALSE),VLOOKUP(tables_434100!C204,input_434100!A:H,8,FALSE))</f>
        <v>244849.23076000001</v>
      </c>
      <c r="P204" s="46">
        <f t="shared" ca="1" si="10"/>
        <v>9.3811965808860455E-3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input_434100!A$2</f>
        <v>434100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IFERROR(VLOOKUP(B205,input_434100!L:R,7,FALSE),VLOOKUP(tables_434100!C205,input_434100!A:H,8,FALSE))</f>
        <v>204.11538999999999</v>
      </c>
      <c r="P205" s="46">
        <f t="shared" ca="1" si="10"/>
        <v>7.8205130268558806E-6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input_434100!A$2</f>
        <v>434100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IFERROR(VLOOKUP(B206,input_434100!L:R,7,FALSE),VLOOKUP(tables_434100!C206,input_434100!A:H,8,FALSE))</f>
        <v>6272.2857199999999</v>
      </c>
      <c r="P206" s="46">
        <f t="shared" ca="1" si="10"/>
        <v>2.4031746053750341E-4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input_434100!A$2</f>
        <v>434100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IFERROR(VLOOKUP(B207,input_434100!L:R,7,FALSE),VLOOKUP(tables_434100!C207,input_434100!A:H,8,FALSE))</f>
        <v>232</v>
      </c>
      <c r="P207" s="46">
        <f t="shared" ca="1" si="10"/>
        <v>8.8888888889297576E-6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input_434100!A$2</f>
        <v>434100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IFERROR(VLOOKUP(B208,input_434100!L:R,7,FALSE),VLOOKUP(tables_434100!C208,input_434100!A:H,8,FALSE))</f>
        <v>6272.2857199999999</v>
      </c>
      <c r="P208" s="46">
        <f t="shared" ca="1" si="10"/>
        <v>2.4031746053750341E-4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input_434100!A$2</f>
        <v>434100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IFERROR(VLOOKUP(B209,input_434100!L:R,7,FALSE),VLOOKUP(tables_434100!C209,input_434100!A:H,8,FALSE))</f>
        <v>232</v>
      </c>
      <c r="P209" s="46">
        <f t="shared" ca="1" si="10"/>
        <v>8.8888888889297576E-6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input_434100!A$2</f>
        <v>434100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IFERROR(VLOOKUP(B210,input_434100!L:R,7,FALSE),VLOOKUP(tables_434100!C210,input_434100!A:H,8,FALSE))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input_434100!A$2</f>
        <v>434100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IFERROR(VLOOKUP(B211,input_434100!L:R,7,FALSE),VLOOKUP(tables_434100!C211,input_434100!A:H,8,FALSE))</f>
        <v>244849.23076000001</v>
      </c>
      <c r="P211" s="46">
        <f t="shared" ca="1" si="10"/>
        <v>9.3811965808860455E-3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input_434100!A$2</f>
        <v>434100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IFERROR(VLOOKUP(B212,input_434100!L:R,7,FALSE),VLOOKUP(tables_434100!C212,input_434100!A:H,8,FALSE))</f>
        <v>204.11538999999999</v>
      </c>
      <c r="P212" s="46">
        <f t="shared" ca="1" si="10"/>
        <v>7.8205130268558806E-6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input_434100!A$2</f>
        <v>434100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IFERROR(VLOOKUP(B213,input_434100!L:R,7,FALSE),VLOOKUP(tables_434100!C213,input_434100!A:H,8,FALSE))</f>
        <v>6272.2857199999999</v>
      </c>
      <c r="P213" s="46">
        <f t="shared" ca="1" si="10"/>
        <v>2.4031746053750341E-4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input_434100!A$2</f>
        <v>434100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IFERROR(VLOOKUP(B214,input_434100!L:R,7,FALSE),VLOOKUP(tables_434100!C214,input_434100!A:H,8,FALSE))</f>
        <v>232</v>
      </c>
      <c r="P214" s="46">
        <f t="shared" ca="1" si="10"/>
        <v>8.8888888889297576E-6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input_434100!A$2</f>
        <v>434100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IFERROR(VLOOKUP(B215,input_434100!L:R,7,FALSE),VLOOKUP(tables_434100!C215,input_434100!A:H,8,FALSE))</f>
        <v>6272.2857199999999</v>
      </c>
      <c r="P215" s="46">
        <f t="shared" ca="1" si="10"/>
        <v>2.4031746053750341E-4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input_434100!A$2</f>
        <v>434100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IFERROR(VLOOKUP(B216,input_434100!L:R,7,FALSE),VLOOKUP(tables_434100!C216,input_434100!A:H,8,FALSE))</f>
        <v>232</v>
      </c>
      <c r="P216" s="46">
        <f t="shared" ca="1" si="10"/>
        <v>8.8888888889297576E-6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input_434100!A$2</f>
        <v>434100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IFERROR(VLOOKUP(B217,input_434100!L:R,7,FALSE),VLOOKUP(tables_434100!C217,input_434100!A:H,8,FALSE))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input_434100!A$2</f>
        <v>434100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IFERROR(VLOOKUP(B218,input_434100!L:R,7,FALSE),VLOOKUP(tables_434100!C218,input_434100!A:H,8,FALSE))</f>
        <v>244849.23076000001</v>
      </c>
      <c r="P218" s="46">
        <f t="shared" ca="1" si="10"/>
        <v>9.3811965808860455E-3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input_434100!A$2</f>
        <v>434100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IFERROR(VLOOKUP(B219,input_434100!L:R,7,FALSE),VLOOKUP(tables_434100!C219,input_434100!A:H,8,FALSE))</f>
        <v>204.11538999999999</v>
      </c>
      <c r="P219" s="46">
        <f t="shared" ca="1" si="10"/>
        <v>7.8205130268558806E-6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input_434100!A$2</f>
        <v>434100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IFERROR(VLOOKUP(B220,input_434100!L:R,7,FALSE),VLOOKUP(tables_434100!C220,input_434100!A:H,8,FALSE))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input_434100!A$2</f>
        <v>434100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IFERROR(VLOOKUP(B221,input_434100!L:R,7,FALSE),VLOOKUP(tables_434100!C221,input_434100!A:H,8,FALSE))</f>
        <v>244849.23076000001</v>
      </c>
      <c r="P221" s="46">
        <f t="shared" ca="1" si="10"/>
        <v>9.3811965808860455E-3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input_434100!A$2</f>
        <v>434100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IFERROR(VLOOKUP(B222,input_434100!L:R,7,FALSE),VLOOKUP(tables_434100!C222,input_434100!A:H,8,FALSE))</f>
        <v>204.11538999999999</v>
      </c>
      <c r="P222" s="46">
        <f t="shared" ca="1" si="10"/>
        <v>7.8205130268558806E-6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input_434100!A$2</f>
        <v>434100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IFERROR(VLOOKUP(B223,input_434100!L:R,7,FALSE),VLOOKUP(tables_434100!C223,input_434100!A:H,8,FALSE))</f>
        <v>6272.2857199999999</v>
      </c>
      <c r="P223" s="46">
        <f t="shared" ca="1" si="10"/>
        <v>2.4031746053750341E-4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input_434100!A$2</f>
        <v>434100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IFERROR(VLOOKUP(B224,input_434100!L:R,7,FALSE),VLOOKUP(tables_434100!C224,input_434100!A:H,8,FALSE))</f>
        <v>232</v>
      </c>
      <c r="P224" s="46">
        <f t="shared" ca="1" si="10"/>
        <v>8.8888888889297576E-6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input_434100!A$2</f>
        <v>434100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IFERROR(VLOOKUP(B225,input_434100!L:R,7,FALSE),VLOOKUP(tables_434100!C225,input_434100!A:H,8,FALSE))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input_434100!A$2</f>
        <v>434100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IFERROR(VLOOKUP(B226,input_434100!L:R,7,FALSE),VLOOKUP(tables_434100!C226,input_434100!A:H,8,FALSE))</f>
        <v>244849.23076000001</v>
      </c>
      <c r="P226" s="46">
        <f t="shared" ca="1" si="10"/>
        <v>9.3811965808860455E-3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input_434100!A$2</f>
        <v>434100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IFERROR(VLOOKUP(B227,input_434100!L:R,7,FALSE),VLOOKUP(tables_434100!C227,input_434100!A:H,8,FALSE))</f>
        <v>204.11538999999999</v>
      </c>
      <c r="P227" s="46">
        <f t="shared" ca="1" si="10"/>
        <v>7.8205130268558806E-6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input_434100!A$2</f>
        <v>434100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IFERROR(VLOOKUP(B228,input_434100!L:R,7,FALSE),VLOOKUP(tables_434100!C228,input_434100!A:H,8,FALSE))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input_434100!A$2</f>
        <v>434100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IFERROR(VLOOKUP(B229,input_434100!L:R,7,FALSE),VLOOKUP(tables_434100!C229,input_434100!A:H,8,FALSE))</f>
        <v>244849.23076000001</v>
      </c>
      <c r="P229" s="46">
        <f t="shared" ca="1" si="10"/>
        <v>9.3811965808860455E-3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input_434100!A$2</f>
        <v>434100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IFERROR(VLOOKUP(B230,input_434100!L:R,7,FALSE),VLOOKUP(tables_434100!C230,input_434100!A:H,8,FALSE))</f>
        <v>204.11538999999999</v>
      </c>
      <c r="P230" s="46">
        <f t="shared" ca="1" si="10"/>
        <v>7.8205130268558806E-6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input_434100!A$2</f>
        <v>434100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IFERROR(VLOOKUP(B231,input_434100!L:R,7,FALSE),VLOOKUP(tables_434100!C231,input_434100!A:H,8,FALSE))</f>
        <v>6272.2857199999999</v>
      </c>
      <c r="P231" s="46">
        <f t="shared" ca="1" si="10"/>
        <v>2.4031746053750341E-4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input_434100!A$2</f>
        <v>434100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IFERROR(VLOOKUP(B232,input_434100!L:R,7,FALSE),VLOOKUP(tables_434100!C232,input_434100!A:H,8,FALSE))</f>
        <v>232</v>
      </c>
      <c r="P232" s="46">
        <f t="shared" ca="1" si="10"/>
        <v>8.8888888889297576E-6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input_434100!A$2</f>
        <v>434100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IFERROR(VLOOKUP(B233,input_434100!L:R,7,FALSE),VLOOKUP(tables_434100!C233,input_434100!A:H,8,FALSE))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input_434100!A$2</f>
        <v>434100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IFERROR(VLOOKUP(B234,input_434100!L:R,7,FALSE),VLOOKUP(tables_434100!C234,input_434100!A:H,8,FALSE))</f>
        <v>244849.23076000001</v>
      </c>
      <c r="P234" s="46">
        <f t="shared" ca="1" si="10"/>
        <v>9.3811965808860455E-3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input_434100!A$2</f>
        <v>434100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IFERROR(VLOOKUP(B235,input_434100!L:R,7,FALSE),VLOOKUP(tables_434100!C235,input_434100!A:H,8,FALSE))</f>
        <v>204.11538999999999</v>
      </c>
      <c r="P235" s="46">
        <f t="shared" ca="1" si="10"/>
        <v>7.8205130268558806E-6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input_434100!A$2</f>
        <v>434100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IFERROR(VLOOKUP(B236,input_434100!L:R,7,FALSE),VLOOKUP(tables_434100!C236,input_434100!A:H,8,FALSE))</f>
        <v>6272.2857199999999</v>
      </c>
      <c r="P236" s="46">
        <f t="shared" ca="1" si="10"/>
        <v>2.4031746053750341E-4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input_434100!A$2</f>
        <v>434100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IFERROR(VLOOKUP(B237,input_434100!L:R,7,FALSE),VLOOKUP(tables_434100!C237,input_434100!A:H,8,FALSE))</f>
        <v>232</v>
      </c>
      <c r="P237" s="46">
        <f t="shared" ca="1" si="10"/>
        <v>8.8888888889297576E-6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input_434100!A$2</f>
        <v>434100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IFERROR(VLOOKUP(B238,input_434100!L:R,7,FALSE),VLOOKUP(tables_434100!C238,input_434100!A:H,8,FALSE))</f>
        <v>6272.2857199999999</v>
      </c>
      <c r="P238" s="46">
        <f t="shared" ca="1" si="10"/>
        <v>2.4031746053750341E-4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input_434100!A$2</f>
        <v>434100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IFERROR(VLOOKUP(B239,input_434100!L:R,7,FALSE),VLOOKUP(tables_434100!C239,input_434100!A:H,8,FALSE))</f>
        <v>232</v>
      </c>
      <c r="P239" s="46">
        <f t="shared" ca="1" si="10"/>
        <v>8.8888888889297576E-6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input_434100!A$2</f>
        <v>434100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IFERROR(VLOOKUP(B240,input_434100!L:R,7,FALSE),VLOOKUP(tables_434100!C240,input_434100!A:H,8,FALSE))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input_434100!A$2</f>
        <v>434100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IFERROR(VLOOKUP(B241,input_434100!L:R,7,FALSE),VLOOKUP(tables_434100!C241,input_434100!A:H,8,FALSE))</f>
        <v>244849.23076000001</v>
      </c>
      <c r="P241" s="46">
        <f t="shared" ca="1" si="10"/>
        <v>9.3811965808860455E-3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input_434100!A$2</f>
        <v>434100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IFERROR(VLOOKUP(B242,input_434100!L:R,7,FALSE),VLOOKUP(tables_434100!C242,input_434100!A:H,8,FALSE))</f>
        <v>204.11538999999999</v>
      </c>
      <c r="P242" s="46">
        <f t="shared" ca="1" si="10"/>
        <v>7.8205130268558806E-6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input_434100!A$2</f>
        <v>434100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IFERROR(VLOOKUP(B243,input_434100!L:R,7,FALSE),VLOOKUP(tables_434100!C243,input_434100!A:H,8,FALSE))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input_434100!A$2</f>
        <v>434100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IFERROR(VLOOKUP(B244,input_434100!L:R,7,FALSE),VLOOKUP(tables_434100!C244,input_434100!A:H,8,FALSE))</f>
        <v>244849.23076000001</v>
      </c>
      <c r="P244" s="46">
        <f t="shared" ca="1" si="10"/>
        <v>9.3811965808860455E-3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input_434100!A$2</f>
        <v>434100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IFERROR(VLOOKUP(B245,input_434100!L:R,7,FALSE),VLOOKUP(tables_434100!C245,input_434100!A:H,8,FALSE))</f>
        <v>204.11538999999999</v>
      </c>
      <c r="P245" s="46">
        <f t="shared" ca="1" si="10"/>
        <v>7.8205130268558806E-6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input_434100!A$2</f>
        <v>434100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IFERROR(VLOOKUP(B246,input_434100!L:R,7,FALSE),VLOOKUP(tables_434100!C246,input_434100!A:H,8,FALSE))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input_434100!A$2</f>
        <v>434100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IFERROR(VLOOKUP(B247,input_434100!L:R,7,FALSE),VLOOKUP(tables_434100!C247,input_434100!A:H,8,FALSE))</f>
        <v>244849.23076000001</v>
      </c>
      <c r="P247" s="46">
        <f t="shared" ca="1" si="10"/>
        <v>9.3811965808860455E-3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input_434100!A$2</f>
        <v>434100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IFERROR(VLOOKUP(B248,input_434100!L:R,7,FALSE),VLOOKUP(tables_434100!C248,input_434100!A:H,8,FALSE))</f>
        <v>204.11538999999999</v>
      </c>
      <c r="P248" s="46">
        <f t="shared" ca="1" si="10"/>
        <v>7.8205130268558806E-6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input_434100!A$2</f>
        <v>434100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IFERROR(VLOOKUP(B249,input_434100!L:R,7,FALSE),VLOOKUP(tables_434100!C249,input_434100!A:H,8,FALSE))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input_434100!A$2</f>
        <v>434100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IFERROR(VLOOKUP(B250,input_434100!L:R,7,FALSE),VLOOKUP(tables_434100!C250,input_434100!A:H,8,FALSE))</f>
        <v>244849.23076000001</v>
      </c>
      <c r="P250" s="46">
        <f t="shared" ca="1" si="10"/>
        <v>9.3811965808860455E-3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input_434100!A$2</f>
        <v>434100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IFERROR(VLOOKUP(B251,input_434100!L:R,7,FALSE),VLOOKUP(tables_434100!C251,input_434100!A:H,8,FALSE))</f>
        <v>204.11538999999999</v>
      </c>
      <c r="P251" s="46">
        <f t="shared" ca="1" si="10"/>
        <v>7.8205130268558806E-6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input_434100!A$2</f>
        <v>434100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IFERROR(VLOOKUP(B252,input_434100!L:R,7,FALSE),VLOOKUP(tables_434100!C252,input_434100!A:H,8,FALSE))</f>
        <v>6272.2857199999999</v>
      </c>
      <c r="P252" s="46">
        <f t="shared" ca="1" si="10"/>
        <v>2.4031746053750341E-4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input_434100!A$2</f>
        <v>434100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IFERROR(VLOOKUP(B253,input_434100!L:R,7,FALSE),VLOOKUP(tables_434100!C253,input_434100!A:H,8,FALSE))</f>
        <v>232</v>
      </c>
      <c r="P253" s="46">
        <f t="shared" ca="1" si="10"/>
        <v>8.8888888889297576E-6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input_434100!A$2</f>
        <v>434100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IFERROR(VLOOKUP(B254,input_434100!L:R,7,FALSE),VLOOKUP(tables_434100!C254,input_434100!A:H,8,FALSE))</f>
        <v>6272.2857199999999</v>
      </c>
      <c r="P254" s="46">
        <f t="shared" ca="1" si="10"/>
        <v>2.4031746053750341E-4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input_434100!A$2</f>
        <v>434100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IFERROR(VLOOKUP(B255,input_434100!L:R,7,FALSE),VLOOKUP(tables_434100!C255,input_434100!A:H,8,FALSE))</f>
        <v>232</v>
      </c>
      <c r="P255" s="46">
        <f t="shared" ca="1" si="10"/>
        <v>8.8888888889297576E-6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input_434100!A$2</f>
        <v>434100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IFERROR(VLOOKUP(B256,input_434100!L:R,7,FALSE),VLOOKUP(tables_434100!C256,input_434100!A:H,8,FALSE))</f>
        <v>257862.72729000001</v>
      </c>
      <c r="P256" s="46">
        <f t="shared" ca="1" si="10"/>
        <v>9.8797979805051953E-3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input_434100!A$2</f>
        <v>434100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IFERROR(VLOOKUP(B257,input_434100!L:R,7,FALSE),VLOOKUP(tables_434100!C257,input_434100!A:H,8,FALSE))</f>
        <v>3137.2727100000002</v>
      </c>
      <c r="P257" s="46">
        <f t="shared" ca="1" si="10"/>
        <v>1.2020201954078255E-4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input_434100!A$2</f>
        <v>434100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IFERROR(VLOOKUP(B258,input_434100!L:R,7,FALSE),VLOOKUP(tables_434100!C258,input_434100!A:H,8,FALSE))</f>
        <v>257862.72729000001</v>
      </c>
      <c r="P258" s="46">
        <f t="shared" ref="P258:P294" ca="1" si="13">O258/SUM(O:O)</f>
        <v>9.8797979805051953E-3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input_434100!A$2</f>
        <v>434100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IFERROR(VLOOKUP(B259,input_434100!L:R,7,FALSE),VLOOKUP(tables_434100!C259,input_434100!A:H,8,FALSE))</f>
        <v>3137.2727100000002</v>
      </c>
      <c r="P259" s="46">
        <f t="shared" ca="1" si="13"/>
        <v>1.2020201954078255E-4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input_434100!A$2</f>
        <v>434100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IFERROR(VLOOKUP(B260,input_434100!L:R,7,FALSE),VLOOKUP(tables_434100!C260,input_434100!A:H,8,FALSE))</f>
        <v>1569.41176</v>
      </c>
      <c r="P260" s="46">
        <f t="shared" ca="1" si="13"/>
        <v>6.0130718774222828E-5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input_434100!A$2</f>
        <v>434100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IFERROR(VLOOKUP(B261,input_434100!L:R,7,FALSE),VLOOKUP(tables_434100!C261,input_434100!A:H,8,FALSE))</f>
        <v>1569.41176</v>
      </c>
      <c r="P261" s="46">
        <f t="shared" ca="1" si="13"/>
        <v>6.0130718774222828E-5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input_434100!A$2</f>
        <v>434100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IFERROR(VLOOKUP(B262,input_434100!L:R,7,FALSE),VLOOKUP(tables_434100!C262,input_434100!A:H,8,FALSE))</f>
        <v>6272.2857199999999</v>
      </c>
      <c r="P262" s="46">
        <f t="shared" ca="1" si="13"/>
        <v>2.4031746053750341E-4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input_434100!A$2</f>
        <v>434100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IFERROR(VLOOKUP(B263,input_434100!L:R,7,FALSE),VLOOKUP(tables_434100!C263,input_434100!A:H,8,FALSE))</f>
        <v>232</v>
      </c>
      <c r="P263" s="46">
        <f t="shared" ca="1" si="13"/>
        <v>8.8888888889297576E-6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input_434100!A$2</f>
        <v>434100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IFERROR(VLOOKUP(B264,input_434100!L:R,7,FALSE),VLOOKUP(tables_434100!C264,input_434100!A:H,8,FALSE))</f>
        <v>6272.2857199999999</v>
      </c>
      <c r="P264" s="46">
        <f t="shared" ca="1" si="13"/>
        <v>2.4031746053750341E-4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input_434100!A$2</f>
        <v>434100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IFERROR(VLOOKUP(B265,input_434100!L:R,7,FALSE),VLOOKUP(tables_434100!C265,input_434100!A:H,8,FALSE))</f>
        <v>232</v>
      </c>
      <c r="P265" s="46">
        <f t="shared" ca="1" si="13"/>
        <v>8.8888888889297576E-6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input_434100!A$2</f>
        <v>434100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IFERROR(VLOOKUP(B266,input_434100!L:R,7,FALSE),VLOOKUP(tables_434100!C266,input_434100!A:H,8,FALSE))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input_434100!A$2</f>
        <v>434100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IFERROR(VLOOKUP(B267,input_434100!L:R,7,FALSE),VLOOKUP(tables_434100!C267,input_434100!A:H,8,FALSE))</f>
        <v>244849.23076000001</v>
      </c>
      <c r="P267" s="46">
        <f t="shared" ca="1" si="13"/>
        <v>9.3811965808860455E-3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input_434100!A$2</f>
        <v>434100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IFERROR(VLOOKUP(B268,input_434100!L:R,7,FALSE),VLOOKUP(tables_434100!C268,input_434100!A:H,8,FALSE))</f>
        <v>204.11538999999999</v>
      </c>
      <c r="P268" s="46">
        <f t="shared" ca="1" si="13"/>
        <v>7.8205130268558806E-6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input_434100!A$2</f>
        <v>434100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IFERROR(VLOOKUP(B269,input_434100!L:R,7,FALSE),VLOOKUP(tables_434100!C269,input_434100!A:H,8,FALSE))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input_434100!A$2</f>
        <v>434100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IFERROR(VLOOKUP(B270,input_434100!L:R,7,FALSE),VLOOKUP(tables_434100!C270,input_434100!A:H,8,FALSE))</f>
        <v>244849.23076000001</v>
      </c>
      <c r="P270" s="46">
        <f t="shared" ca="1" si="13"/>
        <v>9.3811965808860455E-3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input_434100!A$2</f>
        <v>434100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IFERROR(VLOOKUP(B271,input_434100!L:R,7,FALSE),VLOOKUP(tables_434100!C271,input_434100!A:H,8,FALSE))</f>
        <v>204.11538999999999</v>
      </c>
      <c r="P271" s="46">
        <f t="shared" ca="1" si="13"/>
        <v>7.8205130268558806E-6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input_434100!A$2</f>
        <v>434100</v>
      </c>
      <c r="B272" s="80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IFERROR(VLOOKUP(B272,input_434100!L:R,7,FALSE),VLOOKUP(tables_434100!C272,input_434100!A:H,8,FALSE))</f>
        <v>1569.41176</v>
      </c>
      <c r="P272" s="46">
        <f t="shared" ca="1" si="13"/>
        <v>6.0130718774222828E-5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input_434100!A$2</f>
        <v>434100</v>
      </c>
      <c r="B273" s="80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IFERROR(VLOOKUP(B273,input_434100!L:R,7,FALSE),VLOOKUP(tables_434100!C273,input_434100!A:H,8,FALSE))</f>
        <v>1569.41176</v>
      </c>
      <c r="P273" s="46">
        <f t="shared" ca="1" si="13"/>
        <v>6.0130718774222828E-5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input_434100!A$2</f>
        <v>434100</v>
      </c>
      <c r="B274" s="80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IFERROR(VLOOKUP(B274,input_434100!L:R,7,FALSE),VLOOKUP(tables_434100!C274,input_434100!A:H,8,FALSE))</f>
        <v>257862.72729000001</v>
      </c>
      <c r="P274" s="46">
        <f t="shared" ca="1" si="13"/>
        <v>9.8797979805051953E-3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input_434100!A$2</f>
        <v>434100</v>
      </c>
      <c r="B275" s="80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IFERROR(VLOOKUP(B275,input_434100!L:R,7,FALSE),VLOOKUP(tables_434100!C275,input_434100!A:H,8,FALSE))</f>
        <v>3137.2727100000002</v>
      </c>
      <c r="P275" s="46">
        <f t="shared" ca="1" si="13"/>
        <v>1.2020201954078255E-4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input_434100!A$2</f>
        <v>434100</v>
      </c>
      <c r="B276" s="80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IFERROR(VLOOKUP(B276,input_434100!L:R,7,FALSE),VLOOKUP(tables_434100!C276,input_434100!A:H,8,FALSE))</f>
        <v>257862.72729000001</v>
      </c>
      <c r="P276" s="46">
        <f t="shared" ca="1" si="13"/>
        <v>9.8797979805051953E-3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input_434100!A$2</f>
        <v>434100</v>
      </c>
      <c r="B277" s="80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IFERROR(VLOOKUP(B277,input_434100!L:R,7,FALSE),VLOOKUP(tables_434100!C277,input_434100!A:H,8,FALSE))</f>
        <v>3137.2727100000002</v>
      </c>
      <c r="P277" s="46">
        <f t="shared" ca="1" si="13"/>
        <v>1.2020201954078255E-4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input_434100!A$2</f>
        <v>434100</v>
      </c>
      <c r="B278" s="80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IFERROR(VLOOKUP(B278,input_434100!L:R,7,FALSE),VLOOKUP(tables_434100!C278,input_434100!A:H,8,FALSE))</f>
        <v>257862.72729000001</v>
      </c>
      <c r="P278" s="46">
        <f t="shared" ca="1" si="13"/>
        <v>9.8797979805051953E-3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input_434100!A$2</f>
        <v>434100</v>
      </c>
      <c r="B279" s="80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IFERROR(VLOOKUP(B279,input_434100!L:R,7,FALSE),VLOOKUP(tables_434100!C279,input_434100!A:H,8,FALSE))</f>
        <v>3137.2727100000002</v>
      </c>
      <c r="P279" s="46">
        <f t="shared" ca="1" si="13"/>
        <v>1.2020201954078255E-4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input_434100!A$2</f>
        <v>434100</v>
      </c>
      <c r="B280" s="80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IFERROR(VLOOKUP(B280,input_434100!L:R,7,FALSE),VLOOKUP(tables_434100!C280,input_434100!A:H,8,FALSE))</f>
        <v>257862.72729000001</v>
      </c>
      <c r="P280" s="46">
        <f t="shared" ca="1" si="13"/>
        <v>9.8797979805051953E-3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input_434100!A$2</f>
        <v>434100</v>
      </c>
      <c r="B281" s="80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IFERROR(VLOOKUP(B281,input_434100!L:R,7,FALSE),VLOOKUP(tables_434100!C281,input_434100!A:H,8,FALSE))</f>
        <v>3137.2727100000002</v>
      </c>
      <c r="P281" s="46">
        <f t="shared" ca="1" si="13"/>
        <v>1.2020201954078255E-4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input_434100!A$2</f>
        <v>434100</v>
      </c>
      <c r="B282" s="80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IFERROR(VLOOKUP(B282,input_434100!L:R,7,FALSE),VLOOKUP(tables_434100!C282,input_434100!A:H,8,FALSE))</f>
        <v>1569.41176</v>
      </c>
      <c r="P282" s="46">
        <f t="shared" ca="1" si="13"/>
        <v>6.0130718774222828E-5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input_434100!A$2</f>
        <v>434100</v>
      </c>
      <c r="B283" s="80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IFERROR(VLOOKUP(B283,input_434100!L:R,7,FALSE),VLOOKUP(tables_434100!C283,input_434100!A:H,8,FALSE))</f>
        <v>1569.41176</v>
      </c>
      <c r="P283" s="46">
        <f t="shared" ca="1" si="13"/>
        <v>6.0130718774222828E-5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input_434100!A$2</f>
        <v>434100</v>
      </c>
      <c r="B284" s="90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IFERROR(VLOOKUP(B284,input_434100!L:R,7,FALSE),VLOOKUP(tables_434100!C284,input_434100!A:H,8,FALSE))</f>
        <v>1569.41176</v>
      </c>
      <c r="P284" s="46">
        <f t="shared" ca="1" si="13"/>
        <v>6.0130718774222828E-5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input_434100!A$2</f>
        <v>434100</v>
      </c>
      <c r="B285" s="90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IFERROR(VLOOKUP(B285,input_434100!L:R,7,FALSE),VLOOKUP(tables_434100!C285,input_434100!A:H,8,FALSE))</f>
        <v>1569.41176</v>
      </c>
      <c r="P285" s="46">
        <f t="shared" ca="1" si="13"/>
        <v>6.0130718774222828E-5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input_434100!A$2</f>
        <v>434100</v>
      </c>
      <c r="B286" s="90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IFERROR(VLOOKUP(B286,input_434100!L:R,7,FALSE),VLOOKUP(tables_434100!C286,input_434100!A:H,8,FALSE))</f>
        <v>257862.72729000001</v>
      </c>
      <c r="P286" s="46">
        <f t="shared" ca="1" si="13"/>
        <v>9.8797979805051953E-3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input_434100!A$2</f>
        <v>434100</v>
      </c>
      <c r="B287" s="90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IFERROR(VLOOKUP(B287,input_434100!L:R,7,FALSE),VLOOKUP(tables_434100!C287,input_434100!A:H,8,FALSE))</f>
        <v>3137.2727100000002</v>
      </c>
      <c r="P287" s="46">
        <f t="shared" ca="1" si="13"/>
        <v>1.2020201954078255E-4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input_434100!A$2</f>
        <v>434100</v>
      </c>
      <c r="B288" s="90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IFERROR(VLOOKUP(B288,input_434100!L:R,7,FALSE),VLOOKUP(tables_434100!C288,input_434100!A:H,8,FALSE))</f>
        <v>257862.72729000001</v>
      </c>
      <c r="P288" s="46">
        <f t="shared" ca="1" si="13"/>
        <v>9.8797979805051953E-3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input_434100!A$2</f>
        <v>434100</v>
      </c>
      <c r="B289" s="90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IFERROR(VLOOKUP(B289,input_434100!L:R,7,FALSE),VLOOKUP(tables_434100!C289,input_434100!A:H,8,FALSE))</f>
        <v>3137.2727100000002</v>
      </c>
      <c r="P289" s="46">
        <f t="shared" ca="1" si="13"/>
        <v>1.2020201954078255E-4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input_434100!A$2</f>
        <v>434100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IFERROR(VLOOKUP(B290,input_434100!L:R,7,FALSE),VLOOKUP(tables_434100!C290,input_434100!A:H,8,FALSE))</f>
        <v>1569.41176</v>
      </c>
      <c r="P290" s="46">
        <f t="shared" ca="1" si="13"/>
        <v>6.0130718774222828E-5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input_434100!A$2</f>
        <v>434100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IFERROR(VLOOKUP(B291,input_434100!L:R,7,FALSE),VLOOKUP(tables_434100!C291,input_434100!A:H,8,FALSE))</f>
        <v>257862.72729000001</v>
      </c>
      <c r="P291" s="46">
        <f t="shared" ca="1" si="13"/>
        <v>9.8797979805051953E-3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input_434100!A$2</f>
        <v>434100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IFERROR(VLOOKUP(B292,input_434100!L:R,7,FALSE),VLOOKUP(tables_434100!C292,input_434100!A:H,8,FALSE))</f>
        <v>3137.2727100000002</v>
      </c>
      <c r="P292" s="46">
        <f t="shared" ca="1" si="13"/>
        <v>1.2020201954078255E-4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input_434100!A$2</f>
        <v>434100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IFERROR(VLOOKUP(B293,input_434100!L:R,7,FALSE),VLOOKUP(tables_434100!C293,input_434100!A:H,8,FALSE))</f>
        <v>1569.41176</v>
      </c>
      <c r="P293" s="46">
        <f t="shared" ca="1" si="13"/>
        <v>6.0130718774222828E-5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input_434100!A$2</f>
        <v>434100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IFERROR(VLOOKUP(B294,input_434100!L:R,7,FALSE),VLOOKUP(tables_434100!C294,input_434100!A:H,8,FALSE))</f>
        <v>1569.41176</v>
      </c>
      <c r="P294" s="46">
        <f t="shared" ca="1" si="13"/>
        <v>6.0130718774222828E-5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input_434100!A$2</f>
        <v>434100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>IFERROR(VLOOKUP(B295,input_434100!L:R,7,FALSE),VLOOKUP(tables_434100!C295,input_434100!A:H,8,FALSE))</f>
        <v>104400</v>
      </c>
      <c r="P295" s="46">
        <f t="shared" ref="P295:P299" ca="1" si="20">O295/SUM(O:O)</f>
        <v>4.0000000000183916E-3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input_434100!A$2</f>
        <v>434100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>IFERROR(VLOOKUP(B296,input_434100!L:R,7,FALSE),VLOOKUP(tables_434100!C296,input_434100!A:H,8,FALSE))</f>
        <v>104400</v>
      </c>
      <c r="P296" s="46">
        <f t="shared" ca="1" si="20"/>
        <v>4.0000000000183916E-3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input_434100!A$2</f>
        <v>434100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>IFERROR(VLOOKUP(B297,input_434100!L:R,7,FALSE),VLOOKUP(tables_434100!C297,input_434100!A:H,8,FALSE))</f>
        <v>495900</v>
      </c>
      <c r="P297" s="46">
        <f t="shared" ca="1" si="20"/>
        <v>1.9000000000087357E-2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input_434100!A$2</f>
        <v>434100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>IFERROR(VLOOKUP(B298,input_434100!L:R,7,FALSE),VLOOKUP(tables_434100!C298,input_434100!A:H,8,FALSE))</f>
        <v>26100</v>
      </c>
      <c r="P298" s="46">
        <f t="shared" ca="1" si="20"/>
        <v>1.0000000000045979E-3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input_434100!A$2</f>
        <v>434100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>IFERROR(VLOOKUP(B299,input_434100!L:R,7,FALSE),VLOOKUP(tables_434100!C299,input_434100!A:H,8,FALSE))</f>
        <v>65250</v>
      </c>
      <c r="P299" s="46">
        <f t="shared" ca="1" si="20"/>
        <v>2.5000000000114943E-3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input_434100!A$2</f>
        <v>434100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>IFERROR(VLOOKUP(B300,input_434100!L:R,7,FALSE),VLOOKUP(tables_434100!C300,input_434100!A:H,8,FALSE))</f>
        <v>495900</v>
      </c>
      <c r="P300" s="46">
        <f t="shared" ref="P300:P304" ca="1" si="22">O300/SUM(O:O)</f>
        <v>1.9000000000087357E-2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input_434100!A$2</f>
        <v>434100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>IFERROR(VLOOKUP(B301,input_434100!L:R,7,FALSE),VLOOKUP(tables_434100!C301,input_434100!A:H,8,FALSE))</f>
        <v>26100</v>
      </c>
      <c r="P301" s="46">
        <f t="shared" ca="1" si="22"/>
        <v>1.0000000000045979E-3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input_434100!A$2</f>
        <v>434100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>IFERROR(VLOOKUP(B302,input_434100!L:R,7,FALSE),VLOOKUP(tables_434100!C302,input_434100!A:H,8,FALSE))</f>
        <v>104400</v>
      </c>
      <c r="P302" s="46">
        <f t="shared" ca="1" si="22"/>
        <v>4.0000000000183916E-3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input_434100!A$2</f>
        <v>434100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>IFERROR(VLOOKUP(B303,input_434100!L:R,7,FALSE),VLOOKUP(tables_434100!C303,input_434100!A:H,8,FALSE))</f>
        <v>65250</v>
      </c>
      <c r="P303" s="46">
        <f t="shared" ca="1" si="22"/>
        <v>2.5000000000114943E-3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input_434100!A$2</f>
        <v>434100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>IFERROR(VLOOKUP(B304,input_434100!L:R,7,FALSE),VLOOKUP(tables_434100!C304,input_434100!A:H,8,FALSE))</f>
        <v>104400</v>
      </c>
      <c r="P304" s="46">
        <f t="shared" ca="1" si="22"/>
        <v>4.0000000000183916E-3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input_434100!A$2</f>
        <v>434100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>IFERROR(VLOOKUP(B305,input_434100!L:R,7,FALSE),VLOOKUP(tables_434100!C305,input_434100!A:H,8,FALSE))</f>
        <v>495900</v>
      </c>
      <c r="P305" s="46">
        <f t="shared" ref="P305:P308" ca="1" si="24">O305/SUM(O:O)</f>
        <v>1.9000000000087357E-2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input_434100!A$2</f>
        <v>434100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>IFERROR(VLOOKUP(B306,input_434100!L:R,7,FALSE),VLOOKUP(tables_434100!C306,input_434100!A:H,8,FALSE))</f>
        <v>26100</v>
      </c>
      <c r="P306" s="46">
        <f t="shared" ca="1" si="24"/>
        <v>1.0000000000045979E-3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input_434100!A$2</f>
        <v>434100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>IFERROR(VLOOKUP(B307,input_434100!L:R,7,FALSE),VLOOKUP(tables_434100!C307,input_434100!A:H,8,FALSE))</f>
        <v>104400</v>
      </c>
      <c r="P307" s="46">
        <f t="shared" ca="1" si="24"/>
        <v>4.0000000000183916E-3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input_434100!A$2</f>
        <v>434100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>IFERROR(VLOOKUP(B308,input_434100!L:R,7,FALSE),VLOOKUP(tables_434100!C308,input_434100!A:H,8,FALSE))</f>
        <v>65250</v>
      </c>
      <c r="P308" s="46">
        <f t="shared" ca="1" si="24"/>
        <v>2.5000000000114943E-3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input_434100!A$2</f>
        <v>434100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>IFERROR(VLOOKUP(B309,input_434100!L:R,7,FALSE),VLOOKUP(tables_434100!C309,input_434100!A:H,8,FALSE))</f>
        <v>104400</v>
      </c>
      <c r="P309" s="46">
        <f t="shared" ref="P309" ca="1" si="26">O309/SUM(O:O)</f>
        <v>4.0000000000183916E-3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input_434100!A$2</f>
        <v>434100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>IFERROR(VLOOKUP(B310,input_434100!L:R,7,FALSE),VLOOKUP(tables_434100!C310,input_434100!A:H,8,FALSE))</f>
        <v>495900</v>
      </c>
      <c r="P310" s="46">
        <f t="shared" ref="P310:P314" ca="1" si="29">O310/SUM(O:O)</f>
        <v>1.9000000000087357E-2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input_434100!A$2</f>
        <v>434100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>IFERROR(VLOOKUP(B311,input_434100!L:R,7,FALSE),VLOOKUP(tables_434100!C311,input_434100!A:H,8,FALSE))</f>
        <v>26100</v>
      </c>
      <c r="P311" s="46">
        <f t="shared" ca="1" si="29"/>
        <v>1.0000000000045979E-3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input_434100!A$2</f>
        <v>434100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>IFERROR(VLOOKUP(B312,input_434100!L:R,7,FALSE),VLOOKUP(tables_434100!C312,input_434100!A:H,8,FALSE))</f>
        <v>104400</v>
      </c>
      <c r="P312" s="46">
        <f t="shared" ca="1" si="29"/>
        <v>4.0000000000183916E-3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input_434100!A$2</f>
        <v>434100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>IFERROR(VLOOKUP(B313,input_434100!L:R,7,FALSE),VLOOKUP(tables_434100!C313,input_434100!A:H,8,FALSE))</f>
        <v>65250</v>
      </c>
      <c r="P313" s="46">
        <f t="shared" ca="1" si="29"/>
        <v>2.5000000000114943E-3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input_434100!A$2</f>
        <v>434100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>IFERROR(VLOOKUP(B314,input_434100!L:R,7,FALSE),VLOOKUP(tables_434100!C314,input_434100!A:H,8,FALSE))</f>
        <v>104400</v>
      </c>
      <c r="P314" s="46">
        <f t="shared" ca="1" si="29"/>
        <v>4.0000000000183916E-3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input_434100!A$2</f>
        <v>434100</v>
      </c>
      <c r="B315" s="5">
        <v>1137</v>
      </c>
      <c r="C315" s="7" t="str">
        <f t="shared" ref="C315:C319" si="30">D315&amp;J315&amp;E315&amp;F315&amp;G315</f>
        <v>PremiumSS5R5only</v>
      </c>
      <c r="D315" s="7" t="str">
        <f t="shared" ref="D315:D319" si="31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IFERROR(VLOOKUP(B315,input_434100!L:R,7,FALSE),VLOOKUP(tables_434100!C315,input_434100!A:H,8,FALSE))</f>
        <v>1569.41176</v>
      </c>
      <c r="P315" s="46">
        <f t="shared" ref="P315:P319" ca="1" si="32">O315/SUM(O:O)</f>
        <v>6.0130718774222828E-5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input_434100!A$2</f>
        <v>434100</v>
      </c>
      <c r="B316" s="5">
        <v>1139</v>
      </c>
      <c r="C316" s="7" t="str">
        <f t="shared" si="30"/>
        <v>PremiumSS5R5only</v>
      </c>
      <c r="D316" s="7" t="str">
        <f t="shared" si="31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IFERROR(VLOOKUP(B316,input_434100!L:R,7,FALSE),VLOOKUP(tables_434100!C316,input_434100!A:H,8,FALSE))</f>
        <v>1569.41176</v>
      </c>
      <c r="P316" s="46">
        <f t="shared" ca="1" si="32"/>
        <v>6.0130718774222828E-5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input_434100!A$2</f>
        <v>434100</v>
      </c>
      <c r="B317" s="5">
        <v>1141</v>
      </c>
      <c r="C317" s="7" t="str">
        <f t="shared" si="30"/>
        <v>PremiumSS5R5only</v>
      </c>
      <c r="D317" s="7" t="str">
        <f t="shared" si="31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IFERROR(VLOOKUP(B317,input_434100!L:R,7,FALSE),VLOOKUP(tables_434100!C317,input_434100!A:H,8,FALSE))</f>
        <v>1569.41176</v>
      </c>
      <c r="P317" s="46">
        <f t="shared" ca="1" si="32"/>
        <v>6.0130718774222828E-5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input_434100!A$2</f>
        <v>434100</v>
      </c>
      <c r="B318" s="5">
        <v>1143</v>
      </c>
      <c r="C318" s="7" t="str">
        <f t="shared" si="30"/>
        <v>Premium4R3less</v>
      </c>
      <c r="D318" s="7" t="str">
        <f t="shared" si="31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IFERROR(VLOOKUP(B318,input_434100!L:R,7,FALSE),VLOOKUP(tables_434100!C318,input_434100!A:H,8,FALSE))</f>
        <v>257862.72729000001</v>
      </c>
      <c r="P318" s="46">
        <f t="shared" ca="1" si="32"/>
        <v>9.8797979805051953E-3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input_434100!A$2</f>
        <v>434100</v>
      </c>
      <c r="B319" s="5">
        <v>1144</v>
      </c>
      <c r="C319" s="7" t="str">
        <f t="shared" si="30"/>
        <v>Premium5R3less</v>
      </c>
      <c r="D319" s="7" t="str">
        <f t="shared" si="31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IFERROR(VLOOKUP(B319,input_434100!L:R,7,FALSE),VLOOKUP(tables_434100!C319,input_434100!A:H,8,FALSE))</f>
        <v>3137.2727100000002</v>
      </c>
      <c r="P319" s="46">
        <f t="shared" ca="1" si="32"/>
        <v>1.2020201954078255E-4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input_434100!A$2</f>
        <v>434100</v>
      </c>
      <c r="B320" s="2">
        <v>1153</v>
      </c>
      <c r="C320" s="7" t="str">
        <f t="shared" ref="C320:C324" si="33">D320&amp;J320&amp;E320&amp;F320&amp;G320</f>
        <v>PremiumSS5R5only</v>
      </c>
      <c r="D320" s="7" t="str">
        <f t="shared" ref="D320:D324" si="34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ラクシュミー</v>
      </c>
      <c r="I320" s="7" t="str">
        <f>VLOOKUP(B320,[1]characters!$A:$J,10,FALSE)</f>
        <v>PremiumSSW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IFERROR(VLOOKUP(B320,input_434100!L:R,7,FALSE),VLOOKUP(tables_434100!C320,input_434100!A:H,8,FALSE))</f>
        <v>1569.41176</v>
      </c>
      <c r="P320" s="46">
        <f t="shared" ref="P320:P324" ca="1" si="35">O320/SUM(O:O)</f>
        <v>6.0130718774222828E-5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input_434100!A$2</f>
        <v>434100</v>
      </c>
      <c r="B321" s="2">
        <v>1155</v>
      </c>
      <c r="C321" s="7" t="str">
        <f t="shared" si="33"/>
        <v>PremiumSS5R5only</v>
      </c>
      <c r="D321" s="7" t="str">
        <f t="shared" si="3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ドゥルガー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balance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IFERROR(VLOOKUP(B321,input_434100!L:R,7,FALSE),VLOOKUP(tables_434100!C321,input_434100!A:H,8,FALSE))</f>
        <v>1569.41176</v>
      </c>
      <c r="P321" s="46">
        <f t="shared" ca="1" si="35"/>
        <v>6.0130718774222828E-5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input_434100!A$2</f>
        <v>434100</v>
      </c>
      <c r="B322" s="2">
        <v>1157</v>
      </c>
      <c r="C322" s="7" t="str">
        <f t="shared" si="33"/>
        <v>PremiumSS5R5only</v>
      </c>
      <c r="D322" s="7" t="str">
        <f t="shared" si="3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インドラ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attack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IFERROR(VLOOKUP(B322,input_434100!L:R,7,FALSE),VLOOKUP(tables_434100!C322,input_434100!A:H,8,FALSE))</f>
        <v>1569.41176</v>
      </c>
      <c r="P322" s="46">
        <f t="shared" ca="1" si="35"/>
        <v>6.0130718774222828E-5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input_434100!A$2</f>
        <v>434100</v>
      </c>
      <c r="B323" s="2">
        <v>1151</v>
      </c>
      <c r="C323" s="7" t="str">
        <f t="shared" si="33"/>
        <v>Premium4R3less</v>
      </c>
      <c r="D323" s="7" t="str">
        <f t="shared" si="34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/>
      <c r="H323" s="7" t="str">
        <f>VLOOKUP(B323,[1]characters!$A:$C,3,FALSE)</f>
        <v>ガネーシャ</v>
      </c>
      <c r="I323" s="7" t="str">
        <f>VLOOKUP(B323,[1]characters!$A:$J,10,FALSE)</f>
        <v>PremiumS</v>
      </c>
      <c r="J323" s="7">
        <f>VLOOKUP(B323,[1]characters!$A:$I,9,FALSE)</f>
        <v>4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IFERROR(VLOOKUP(B323,input_434100!L:R,7,FALSE),VLOOKUP(tables_434100!C323,input_434100!A:H,8,FALSE))</f>
        <v>257862.72729000001</v>
      </c>
      <c r="P323" s="46">
        <f t="shared" ca="1" si="35"/>
        <v>9.8797979805051953E-3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input_434100!A$2</f>
        <v>434100</v>
      </c>
      <c r="B324" s="2">
        <v>1152</v>
      </c>
      <c r="C324" s="7" t="str">
        <f t="shared" si="33"/>
        <v>Premium5R3less</v>
      </c>
      <c r="D324" s="7" t="str">
        <f t="shared" si="3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衆知の富益神 ガネーシャ</v>
      </c>
      <c r="I324" s="7" t="str">
        <f>VLOOKUP(B324,[1]characters!$A:$J,10,FALSE)</f>
        <v>PremiumS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heal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IFERROR(VLOOKUP(B324,input_434100!L:R,7,FALSE),VLOOKUP(tables_434100!C324,input_434100!A:H,8,FALSE))</f>
        <v>3137.2727100000002</v>
      </c>
      <c r="P324" s="46">
        <f t="shared" ca="1" si="35"/>
        <v>1.2020201954078255E-4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B31" sqref="B17:B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434101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1069</v>
      </c>
      <c r="M3" s="37" t="str">
        <f>VLOOKUP(L3,[1]characters!$A:$C,3,FALSE)</f>
        <v>イシュタル</v>
      </c>
      <c r="N3" s="63">
        <v>4.0000000000000001E-3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VLOOKUP(L3,tables_434100!B:C,2,FALSE)</f>
        <v>PremiumSS5R5only</v>
      </c>
      <c r="R3" s="62">
        <f t="shared" ref="R3:R22" si="1">N3*A$36</f>
        <v>104400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1072</v>
      </c>
      <c r="M4" s="37" t="str">
        <f>VLOOKUP(L4,[1]characters!$A:$C,3,FALSE)</f>
        <v>エンキドゥ</v>
      </c>
      <c r="N4" s="63">
        <v>2.5000000000000001E-3</v>
      </c>
      <c r="O4" s="37">
        <f>VLOOKUP(L4,[1]characters!$A:$I,9,FALSE)</f>
        <v>5</v>
      </c>
      <c r="P4" s="37" t="str">
        <f>VLOOKUP(L4,[1]characters!$A:$J,10,FALSE)</f>
        <v>PremiumSSw</v>
      </c>
      <c r="Q4" s="37" t="str">
        <f>VLOOKUP(L4,tables_434100!B:C,2,FALSE)</f>
        <v>PremiumSS5R5only</v>
      </c>
      <c r="R4" s="62">
        <f t="shared" si="1"/>
        <v>65250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1.7777777777777779E-4</v>
      </c>
      <c r="F5">
        <f>(COUNTIF(tables_434101!C:C,input_434101!A28)+COUNTIF(tables_434101!C:C,input_434101!A29))</f>
        <v>57</v>
      </c>
      <c r="H5" s="83">
        <v>4.2000000000000003E-2</v>
      </c>
      <c r="I5" s="31">
        <v>12</v>
      </c>
      <c r="L5" s="60">
        <v>1074</v>
      </c>
      <c r="M5" s="37" t="str">
        <f>VLOOKUP(L5,[1]characters!$A:$C,3,FALSE)</f>
        <v>マルドゥク</v>
      </c>
      <c r="N5" s="63">
        <v>4.0000000000000001E-3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VLOOKUP(L5,tables_434100!B:C,2,FALSE)</f>
        <v>PremiumSS5R5only</v>
      </c>
      <c r="R5" s="62">
        <f t="shared" si="1"/>
        <v>104400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0.01</v>
      </c>
      <c r="F6">
        <f>(COUNTIF(tables_434101!C:C,input_434101!A25)+COUNTIF(tables_434101!C:C,input_434101!A18)+COUNTIF(tables_434101!C:C,input_434101!A20)+COUNTIF(tables_434101!C:C,input_434101!A22))</f>
        <v>91</v>
      </c>
      <c r="H6" s="88">
        <v>0.08</v>
      </c>
      <c r="I6" s="31">
        <v>4</v>
      </c>
      <c r="L6" s="92">
        <v>1100</v>
      </c>
      <c r="M6" s="37" t="str">
        <f>VLOOKUP(L6,[1]characters!$A:$C,3,FALSE)</f>
        <v>北斎</v>
      </c>
      <c r="N6" s="63">
        <v>4.0000000000000001E-3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VLOOKUP(L6,tables_434100!B:C,2,FALSE)</f>
        <v>PremiumSS5R5only</v>
      </c>
      <c r="R6" s="62">
        <f t="shared" si="1"/>
        <v>104400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1102</v>
      </c>
      <c r="M7" s="37" t="str">
        <f>VLOOKUP(L7,[1]characters!$A:$C,3,FALSE)</f>
        <v>ドガ</v>
      </c>
      <c r="N7" s="63">
        <v>2.5000000000000001E-3</v>
      </c>
      <c r="O7" s="37">
        <f>VLOOKUP(L7,[1]characters!$A:$I,9,FALSE)</f>
        <v>5</v>
      </c>
      <c r="P7" s="37" t="str">
        <f>VLOOKUP(L7,[1]characters!$A:$J,10,FALSE)</f>
        <v>PremiumSSW</v>
      </c>
      <c r="Q7" s="37" t="str">
        <f>VLOOKUP(L7,tables_434100!B:C,2,FALSE)</f>
        <v>PremiumSS5R5only</v>
      </c>
      <c r="R7" s="62">
        <f t="shared" si="1"/>
        <v>65250</v>
      </c>
      <c r="S7">
        <v>597</v>
      </c>
      <c r="U7" s="33" t="s">
        <v>196</v>
      </c>
      <c r="V7" s="54">
        <f t="shared" si="0"/>
        <v>7.5999999999999998E-2</v>
      </c>
    </row>
    <row r="8" spans="1:22" x14ac:dyDescent="0.15">
      <c r="A8" s="57"/>
      <c r="B8" s="71"/>
      <c r="E8" s="76"/>
      <c r="L8" s="60">
        <v>1106</v>
      </c>
      <c r="M8" s="37" t="str">
        <f>VLOOKUP(L8,[1]characters!$A:$C,3,FALSE)</f>
        <v>ラファエロ</v>
      </c>
      <c r="N8" s="63">
        <v>4.0000000000000001E-3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VLOOKUP(L8,tables_434100!B:C,2,FALSE)</f>
        <v>PremiumSS5R5only</v>
      </c>
      <c r="R8" s="62">
        <f t="shared" si="1"/>
        <v>104400</v>
      </c>
      <c r="S8">
        <v>598</v>
      </c>
      <c r="U8" s="33" t="s">
        <v>197</v>
      </c>
      <c r="V8" s="54">
        <f t="shared" si="0"/>
        <v>4.0000000000000001E-3</v>
      </c>
    </row>
    <row r="9" spans="1:22" x14ac:dyDescent="0.15">
      <c r="A9" s="35" t="s">
        <v>54</v>
      </c>
      <c r="B9" s="35"/>
      <c r="L9" s="87">
        <v>1018</v>
      </c>
      <c r="M9" s="37" t="str">
        <f>VLOOKUP(L9,[1]characters!$A:$C,3,FALSE)</f>
        <v>バステト</v>
      </c>
      <c r="N9" s="63">
        <v>2.5000000000000001E-3</v>
      </c>
      <c r="O9" s="37">
        <f>VLOOKUP(L9,[1]characters!$A:$I,9,FALSE)</f>
        <v>5</v>
      </c>
      <c r="P9" s="37" t="str">
        <f>VLOOKUP(L9,[1]characters!$A:$J,10,FALSE)</f>
        <v>PremiumSS</v>
      </c>
      <c r="Q9" s="37" t="str">
        <f>VLOOKUP(L9,tables_434100!B:C,2,FALSE)</f>
        <v>PremiumSS5R5only</v>
      </c>
      <c r="R9" s="62">
        <f t="shared" si="1"/>
        <v>65250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>
        <v>1012</v>
      </c>
      <c r="M10" s="37" t="str">
        <f>VLOOKUP(L10,[1]characters!$A:$C,3,FALSE)</f>
        <v>ラー</v>
      </c>
      <c r="N10" s="63">
        <v>4.0000000000000001E-3</v>
      </c>
      <c r="O10" s="37">
        <f>VLOOKUP(L10,[1]characters!$A:$I,9,FALSE)</f>
        <v>5</v>
      </c>
      <c r="P10" s="37" t="str">
        <f>VLOOKUP(L10,[1]characters!$A:$J,10,FALSE)</f>
        <v>PremiumSS</v>
      </c>
      <c r="Q10" s="37" t="str">
        <f>VLOOKUP(L10,tables_434100!B:C,2,FALSE)</f>
        <v>PremiumSS5R5only</v>
      </c>
      <c r="R10" s="62">
        <f t="shared" si="1"/>
        <v>104400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7">
        <v>1014</v>
      </c>
      <c r="M11" s="37" t="str">
        <f>VLOOKUP(L11,[1]characters!$A:$C,3,FALSE)</f>
        <v>イシス</v>
      </c>
      <c r="N11" s="63">
        <v>4.0000000000000001E-3</v>
      </c>
      <c r="O11" s="37">
        <f>VLOOKUP(L11,[1]characters!$A:$I,9,FALSE)</f>
        <v>5</v>
      </c>
      <c r="P11" s="37" t="str">
        <f>VLOOKUP(L11,[1]characters!$A:$J,10,FALSE)</f>
        <v>PremiumSS</v>
      </c>
      <c r="Q11" s="37" t="str">
        <f>VLOOKUP(L11,tables_434100!B:C,2,FALSE)</f>
        <v>PremiumSS5R5only</v>
      </c>
      <c r="R11" s="62">
        <f t="shared" si="1"/>
        <v>104400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87">
        <v>1031</v>
      </c>
      <c r="M12" s="37" t="str">
        <f>VLOOKUP(L12,[1]characters!$A:$C,3,FALSE)</f>
        <v>紫式部</v>
      </c>
      <c r="N12" s="63">
        <v>2.5000000000000001E-3</v>
      </c>
      <c r="O12" s="37">
        <f>VLOOKUP(L12,[1]characters!$A:$I,9,FALSE)</f>
        <v>5</v>
      </c>
      <c r="P12" s="37" t="str">
        <f>VLOOKUP(L12,[1]characters!$A:$J,10,FALSE)</f>
        <v>PremiumSS</v>
      </c>
      <c r="Q12" s="37" t="str">
        <f>VLOOKUP(L12,tables_434100!B:C,2,FALSE)</f>
        <v>PremiumSS5R5only</v>
      </c>
      <c r="R12" s="62">
        <f t="shared" si="1"/>
        <v>65250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87">
        <v>1028</v>
      </c>
      <c r="M13" s="37" t="str">
        <f>VLOOKUP(L13,[1]characters!$A:$C,3,FALSE)</f>
        <v>牛若丸</v>
      </c>
      <c r="N13" s="63">
        <v>4.0000000000000001E-3</v>
      </c>
      <c r="O13" s="37">
        <f>VLOOKUP(L13,[1]characters!$A:$I,9,FALSE)</f>
        <v>5</v>
      </c>
      <c r="P13" s="37" t="str">
        <f>VLOOKUP(L13,[1]characters!$A:$J,10,FALSE)</f>
        <v>PremiumSS</v>
      </c>
      <c r="Q13" s="37" t="str">
        <f>VLOOKUP(L13,tables_434100!B:C,2,FALSE)</f>
        <v>PremiumSS5R5only</v>
      </c>
      <c r="R13" s="62">
        <f t="shared" si="1"/>
        <v>104400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L14" s="87">
        <v>1033</v>
      </c>
      <c r="M14" s="37" t="str">
        <f>VLOOKUP(L14,[1]characters!$A:$C,3,FALSE)</f>
        <v>清少納言</v>
      </c>
      <c r="N14" s="63">
        <v>4.0000000000000001E-3</v>
      </c>
      <c r="O14" s="37">
        <f>VLOOKUP(L14,[1]characters!$A:$I,9,FALSE)</f>
        <v>5</v>
      </c>
      <c r="P14" s="37" t="str">
        <f>VLOOKUP(L14,[1]characters!$A:$J,10,FALSE)</f>
        <v>PremiumSS</v>
      </c>
      <c r="Q14" s="37" t="str">
        <f>VLOOKUP(L14,tables_434100!B:C,2,FALSE)</f>
        <v>PremiumSS5R5only</v>
      </c>
      <c r="R14" s="62">
        <f t="shared" si="1"/>
        <v>104400</v>
      </c>
      <c r="S14">
        <v>498</v>
      </c>
      <c r="U14" s="33" t="s">
        <v>199</v>
      </c>
      <c r="V14" s="54">
        <f t="shared" si="0"/>
        <v>4.200000000000001E-2</v>
      </c>
    </row>
    <row r="15" spans="1:22" x14ac:dyDescent="0.15">
      <c r="A15" s="36" t="s">
        <v>57</v>
      </c>
      <c r="B15" s="36"/>
      <c r="C15" t="s">
        <v>83</v>
      </c>
      <c r="L15" s="87">
        <v>1026</v>
      </c>
      <c r="M15" s="37" t="str">
        <f>VLOOKUP(L15,[1]characters!$A:$C,3,FALSE)</f>
        <v>蝉丸</v>
      </c>
      <c r="N15" s="63">
        <v>1.9E-2</v>
      </c>
      <c r="O15" s="37">
        <f>VLOOKUP(L15,[1]characters!$A:$I,9,FALSE)</f>
        <v>4</v>
      </c>
      <c r="P15" s="37" t="str">
        <f>VLOOKUP(L15,[1]characters!$A:$J,10,FALSE)</f>
        <v>PremiumS</v>
      </c>
      <c r="Q15" s="37" t="str">
        <f>VLOOKUP(L15,tables_434100!B:C,2,FALSE)</f>
        <v>Premium4R3less</v>
      </c>
      <c r="R15" s="62">
        <f t="shared" si="1"/>
        <v>495900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L16" s="87">
        <v>1027</v>
      </c>
      <c r="M16" s="37" t="str">
        <f>VLOOKUP(L16,[1]characters!$A:$C,3,FALSE)</f>
        <v>弾丸多重奏 蝉丸</v>
      </c>
      <c r="N16" s="63">
        <v>1E-3</v>
      </c>
      <c r="O16" s="37">
        <f>VLOOKUP(L16,[1]characters!$A:$I,9,FALSE)</f>
        <v>5</v>
      </c>
      <c r="P16" s="37" t="str">
        <f>VLOOKUP(L16,[1]characters!$A:$J,10,FALSE)</f>
        <v>PremiumS</v>
      </c>
      <c r="Q16" s="37" t="str">
        <f>VLOOKUP(L16,tables_434100!B:C,2,FALSE)</f>
        <v>Premium5R3less</v>
      </c>
      <c r="R16" s="62">
        <f t="shared" si="1"/>
        <v>26100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0.22</v>
      </c>
      <c r="C17" s="84">
        <f t="shared" ref="C17:C31" si="2">SUMIF(Q:Q,A17,N:N)</f>
        <v>0</v>
      </c>
      <c r="D17" s="74">
        <f t="shared" ref="D17:D32" si="3">B17-C17</f>
        <v>0.22</v>
      </c>
      <c r="E17">
        <f>COUNTIF(tables_434101!C:C,input_434101!A17)-COUNTIF(Q:Q,A17)</f>
        <v>20</v>
      </c>
      <c r="F17" s="43">
        <f>IFERROR(B17/E17,0)</f>
        <v>1.0999999999999999E-2</v>
      </c>
      <c r="G17">
        <f t="shared" ref="G17:G31" si="4">A$36*B17</f>
        <v>5742000</v>
      </c>
      <c r="H17">
        <f t="shared" ref="H17:H31" si="5">IFERROR(ROUND(G17/E17,5),0)</f>
        <v>287100</v>
      </c>
      <c r="I17">
        <f t="shared" ref="I17:I31" si="6">MOD(H17,1)</f>
        <v>0</v>
      </c>
      <c r="J17">
        <f t="shared" ref="J17:J31" si="7">IFERROR(1/I17,1)</f>
        <v>1</v>
      </c>
      <c r="L17" s="87">
        <v>1016</v>
      </c>
      <c r="M17" s="37" t="str">
        <f>VLOOKUP(L17,[1]characters!$A:$C,3,FALSE)</f>
        <v>ハトホル</v>
      </c>
      <c r="N17" s="63">
        <v>1.9E-2</v>
      </c>
      <c r="O17" s="37">
        <f>VLOOKUP(L17,[1]characters!$A:$I,9,FALSE)</f>
        <v>4</v>
      </c>
      <c r="P17" s="37" t="str">
        <f>VLOOKUP(L17,[1]characters!$A:$J,10,FALSE)</f>
        <v>PremiumS</v>
      </c>
      <c r="Q17" s="37" t="str">
        <f>VLOOKUP(L17,tables_434100!B:C,2,FALSE)</f>
        <v>Premium4R3less</v>
      </c>
      <c r="R17" s="62">
        <f t="shared" si="1"/>
        <v>495900</v>
      </c>
      <c r="S17">
        <v>397</v>
      </c>
    </row>
    <row r="18" spans="1:19" x14ac:dyDescent="0.15">
      <c r="A18" s="33" t="s">
        <v>191</v>
      </c>
      <c r="B18" s="56">
        <f>E$6*E18-B17+E33</f>
        <v>1.2771111111111094E-2</v>
      </c>
      <c r="C18" s="84">
        <f t="shared" si="2"/>
        <v>0</v>
      </c>
      <c r="D18" s="74">
        <f t="shared" si="3"/>
        <v>1.2771111111111094E-2</v>
      </c>
      <c r="E18">
        <f>COUNTIF(tables_434101!C:C,input_434101!A18)-COUNTIF(Q:Q,A18)</f>
        <v>20</v>
      </c>
      <c r="F18" s="43">
        <f>IFERROR(B18/E18,0)</f>
        <v>6.3855555555555475E-4</v>
      </c>
      <c r="G18">
        <f t="shared" si="4"/>
        <v>333325.99999999953</v>
      </c>
      <c r="H18">
        <f t="shared" si="5"/>
        <v>16666.3</v>
      </c>
      <c r="I18">
        <f t="shared" si="6"/>
        <v>0.2999999999992724</v>
      </c>
      <c r="J18">
        <f t="shared" si="7"/>
        <v>3.3333333333414177</v>
      </c>
      <c r="L18" s="87">
        <v>1017</v>
      </c>
      <c r="M18" s="37" t="str">
        <f>VLOOKUP(L18,[1]characters!$A:$C,3,FALSE)</f>
        <v>命瞳の慈母神 ハトホル</v>
      </c>
      <c r="N18" s="63">
        <v>1E-3</v>
      </c>
      <c r="O18" s="37">
        <f>VLOOKUP(L18,[1]characters!$A:$I,9,FALSE)</f>
        <v>5</v>
      </c>
      <c r="P18" s="37" t="str">
        <f>VLOOKUP(L18,[1]characters!$A:$J,10,FALSE)</f>
        <v>PremiumS</v>
      </c>
      <c r="Q18" s="37" t="str">
        <f>VLOOKUP(L18,tables_434100!B:C,2,FALSE)</f>
        <v>Premium5R3less</v>
      </c>
      <c r="R18" s="62">
        <f t="shared" si="1"/>
        <v>26100</v>
      </c>
      <c r="S18">
        <v>324</v>
      </c>
    </row>
    <row r="19" spans="1:19" x14ac:dyDescent="0.15">
      <c r="A19" s="33" t="s">
        <v>97</v>
      </c>
      <c r="B19" s="56">
        <f>E$6*E19*B$5</f>
        <v>0.26</v>
      </c>
      <c r="C19" s="84">
        <f t="shared" si="2"/>
        <v>0</v>
      </c>
      <c r="D19" s="74">
        <f t="shared" si="3"/>
        <v>0.26</v>
      </c>
      <c r="E19">
        <f>COUNTIF(tables_434101!C:C,input_434101!A19)-COUNTIF(Q:Q,A19)</f>
        <v>52</v>
      </c>
      <c r="F19" s="43">
        <f t="shared" ref="F19:F31" si="8">IFERROR(B19/E19,0)</f>
        <v>5.0000000000000001E-3</v>
      </c>
      <c r="G19">
        <f t="shared" si="4"/>
        <v>6786000</v>
      </c>
      <c r="H19">
        <f t="shared" si="5"/>
        <v>130500</v>
      </c>
      <c r="I19">
        <f t="shared" si="6"/>
        <v>0</v>
      </c>
      <c r="J19">
        <f t="shared" si="7"/>
        <v>1</v>
      </c>
      <c r="L19" s="87">
        <v>1067</v>
      </c>
      <c r="M19" s="37" t="str">
        <f>VLOOKUP(L19,[1]characters!$A:$C,3,FALSE)</f>
        <v>ウシュムガル</v>
      </c>
      <c r="N19" s="63">
        <v>1.9E-2</v>
      </c>
      <c r="O19" s="37">
        <f>VLOOKUP(L19,[1]characters!$A:$I,9,FALSE)</f>
        <v>4</v>
      </c>
      <c r="P19" s="37" t="str">
        <f>VLOOKUP(L19,[1]characters!$A:$J,10,FALSE)</f>
        <v>PremiumS</v>
      </c>
      <c r="Q19" s="37" t="str">
        <f>VLOOKUP(L19,tables_434100!B:C,2,FALSE)</f>
        <v>Premium4R3less</v>
      </c>
      <c r="R19" s="62">
        <f t="shared" si="1"/>
        <v>495900</v>
      </c>
      <c r="S19">
        <v>325</v>
      </c>
    </row>
    <row r="20" spans="1:19" x14ac:dyDescent="0.15">
      <c r="A20" s="33" t="s">
        <v>98</v>
      </c>
      <c r="B20" s="93">
        <f>E$6*E20*B$6-E35-G49</f>
        <v>0.2278222222098881</v>
      </c>
      <c r="C20" s="84">
        <f t="shared" si="2"/>
        <v>0</v>
      </c>
      <c r="D20" s="74">
        <f t="shared" si="3"/>
        <v>0.2278222222098881</v>
      </c>
      <c r="E20">
        <f>COUNTIF(tables_434101!C:C,input_434101!A20)-COUNTIF(Q:Q,A20)</f>
        <v>52</v>
      </c>
      <c r="F20" s="43">
        <f t="shared" si="8"/>
        <v>4.3811965809593869E-3</v>
      </c>
      <c r="G20">
        <f t="shared" si="4"/>
        <v>5946159.999678079</v>
      </c>
      <c r="H20">
        <f t="shared" si="5"/>
        <v>114349.23076000001</v>
      </c>
      <c r="I20">
        <f t="shared" si="6"/>
        <v>0.23076000000583008</v>
      </c>
      <c r="J20">
        <f t="shared" si="7"/>
        <v>4.3335066734907928</v>
      </c>
      <c r="L20" s="87">
        <v>1068</v>
      </c>
      <c r="M20" s="37" t="str">
        <f>VLOOKUP(L20,[1]characters!$A:$C,3,FALSE)</f>
        <v>想母の羽龍 ウシュムガル</v>
      </c>
      <c r="N20" s="63">
        <v>1E-3</v>
      </c>
      <c r="O20" s="37">
        <f>VLOOKUP(L20,[1]characters!$A:$I,9,FALSE)</f>
        <v>5</v>
      </c>
      <c r="P20" s="37" t="str">
        <f>VLOOKUP(L20,[1]characters!$A:$J,10,FALSE)</f>
        <v>PremiumS</v>
      </c>
      <c r="Q20" s="37" t="str">
        <f>VLOOKUP(L20,tables_434100!B:C,2,FALSE)</f>
        <v>Premium5R3less</v>
      </c>
      <c r="R20" s="62">
        <f t="shared" si="1"/>
        <v>26100</v>
      </c>
      <c r="S20">
        <v>809</v>
      </c>
    </row>
    <row r="21" spans="1:19" x14ac:dyDescent="0.15">
      <c r="A21" s="33" t="s">
        <v>99</v>
      </c>
      <c r="B21" s="56">
        <f>B7-B23-B26-B28-B29-0.038-E35-0.004-E36</f>
        <v>4.0666667854406314E-4</v>
      </c>
      <c r="C21" s="84">
        <f t="shared" si="2"/>
        <v>0</v>
      </c>
      <c r="D21" s="74">
        <f t="shared" si="3"/>
        <v>4.0666667854406314E-4</v>
      </c>
      <c r="E21">
        <f>COUNTIF(tables_434101!C:C,input_434101!A21)-COUNTIF(Q:Q,A21)</f>
        <v>52</v>
      </c>
      <c r="F21" s="43">
        <f t="shared" si="8"/>
        <v>7.8205130489242906E-6</v>
      </c>
      <c r="G21">
        <f t="shared" si="4"/>
        <v>10614.000310000049</v>
      </c>
      <c r="H21">
        <f t="shared" si="5"/>
        <v>204.11538999999999</v>
      </c>
      <c r="I21">
        <f t="shared" si="6"/>
        <v>0.11538999999999078</v>
      </c>
      <c r="J21">
        <f t="shared" si="7"/>
        <v>8.6662622410961081</v>
      </c>
      <c r="L21" s="57">
        <v>1104</v>
      </c>
      <c r="M21" s="37" t="str">
        <f>VLOOKUP(L21,[1]characters!$A:$C,3,FALSE)</f>
        <v>クリムト</v>
      </c>
      <c r="N21" s="63">
        <v>1.9E-2</v>
      </c>
      <c r="O21" s="37">
        <f>VLOOKUP(L21,[1]characters!$A:$I,9,FALSE)</f>
        <v>4</v>
      </c>
      <c r="P21" s="37" t="str">
        <f>VLOOKUP(L21,[1]characters!$A:$J,10,FALSE)</f>
        <v>PremiumS</v>
      </c>
      <c r="Q21" s="37" t="str">
        <f>VLOOKUP(L21,tables_434100!B:C,2,FALSE)</f>
        <v>Premium4R3less</v>
      </c>
      <c r="R21" s="62">
        <f t="shared" si="1"/>
        <v>495900</v>
      </c>
      <c r="S21">
        <v>809</v>
      </c>
    </row>
    <row r="22" spans="1:19" x14ac:dyDescent="0.15">
      <c r="A22" s="33" t="s">
        <v>196</v>
      </c>
      <c r="B22" s="75">
        <f>E$6*E22-B23</f>
        <v>0.10867777778697321</v>
      </c>
      <c r="C22" s="84">
        <f t="shared" si="2"/>
        <v>7.5999999999999998E-2</v>
      </c>
      <c r="D22" s="74">
        <f t="shared" si="3"/>
        <v>3.2677777786973214E-2</v>
      </c>
      <c r="E22">
        <f>COUNTIF(tables_434101!C:C,input_434101!A22)-COUNTIF(Q:Q,A22)</f>
        <v>11</v>
      </c>
      <c r="F22" s="43">
        <f t="shared" si="8"/>
        <v>9.8797979806339292E-3</v>
      </c>
      <c r="G22">
        <f t="shared" si="4"/>
        <v>2836490.0002400009</v>
      </c>
      <c r="H22">
        <f t="shared" si="5"/>
        <v>257862.72729000001</v>
      </c>
      <c r="I22">
        <f t="shared" si="6"/>
        <v>0.72729000000981614</v>
      </c>
      <c r="J22">
        <f t="shared" si="7"/>
        <v>1.3749673445070099</v>
      </c>
      <c r="L22" s="57">
        <v>1105</v>
      </c>
      <c r="M22" s="37" t="str">
        <f>VLOOKUP(L22,[1]characters!$A:$C,3,FALSE)</f>
        <v>甘美なる背徳 クリムト</v>
      </c>
      <c r="N22" s="63">
        <v>1E-3</v>
      </c>
      <c r="O22" s="37">
        <f>VLOOKUP(L22,[1]characters!$A:$I,9,FALSE)</f>
        <v>5</v>
      </c>
      <c r="P22" s="37" t="str">
        <f>VLOOKUP(L22,[1]characters!$A:$J,10,FALSE)</f>
        <v>PremiumS</v>
      </c>
      <c r="Q22" s="37" t="str">
        <f>VLOOKUP(L22,tables_434100!B:C,2,FALSE)</f>
        <v>Premium5R3less</v>
      </c>
      <c r="R22" s="62">
        <f t="shared" si="1"/>
        <v>26100</v>
      </c>
      <c r="S22">
        <v>809</v>
      </c>
    </row>
    <row r="23" spans="1:19" x14ac:dyDescent="0.15">
      <c r="A23" s="33" t="s">
        <v>197</v>
      </c>
      <c r="B23" s="70">
        <f>E23*E6*B7-E35</f>
        <v>1.3222222130267912E-3</v>
      </c>
      <c r="C23" s="84">
        <f t="shared" si="2"/>
        <v>4.0000000000000001E-3</v>
      </c>
      <c r="D23" s="74">
        <f t="shared" si="3"/>
        <v>-2.6777777869732089E-3</v>
      </c>
      <c r="E23">
        <f>COUNTIF(tables_434101!C:C,input_434101!A23)-COUNTIF(Q:Q,A23)</f>
        <v>11</v>
      </c>
      <c r="F23" s="43">
        <f t="shared" si="8"/>
        <v>1.2020201936607192E-4</v>
      </c>
      <c r="G23">
        <f t="shared" si="4"/>
        <v>34509.999759999249</v>
      </c>
      <c r="H23">
        <f t="shared" si="5"/>
        <v>3137.2727100000002</v>
      </c>
      <c r="I23">
        <f t="shared" si="6"/>
        <v>0.2727100000001883</v>
      </c>
      <c r="J23">
        <f t="shared" si="7"/>
        <v>3.6668989035946957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0.02</v>
      </c>
      <c r="C24" s="84">
        <f t="shared" si="2"/>
        <v>0</v>
      </c>
      <c r="D24" s="74">
        <f t="shared" si="3"/>
        <v>0.02</v>
      </c>
      <c r="E24">
        <f>COUNTIF(tables_434101!C:C,input_434101!A24)-COUNTIF(Q:Q,A24)</f>
        <v>4</v>
      </c>
      <c r="F24" s="43">
        <f t="shared" si="8"/>
        <v>5.0000000000000001E-3</v>
      </c>
      <c r="G24">
        <f t="shared" si="4"/>
        <v>522000</v>
      </c>
      <c r="H24">
        <f t="shared" si="5"/>
        <v>130500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1.8000000000000002E-2</v>
      </c>
      <c r="C25" s="84">
        <f t="shared" si="2"/>
        <v>0</v>
      </c>
      <c r="D25" s="74">
        <f t="shared" si="3"/>
        <v>1.8000000000000002E-2</v>
      </c>
      <c r="E25">
        <f>COUNTIF(tables_434101!C:C,input_434101!A25)-COUNTIF(Q:Q,A25)</f>
        <v>4</v>
      </c>
      <c r="F25" s="43">
        <f t="shared" si="8"/>
        <v>4.5000000000000005E-3</v>
      </c>
      <c r="G25">
        <f t="shared" si="4"/>
        <v>469800.00000000006</v>
      </c>
      <c r="H25">
        <f t="shared" si="5"/>
        <v>117450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E$6*B$7*E26-0.001</f>
        <v>1E-3</v>
      </c>
      <c r="C26" s="84">
        <f t="shared" si="2"/>
        <v>0</v>
      </c>
      <c r="D26" s="74">
        <f t="shared" si="3"/>
        <v>1E-3</v>
      </c>
      <c r="E26">
        <f>COUNTIF(tables_434101!C:C,input_434101!A26)-COUNTIF(Q:Q,A26)</f>
        <v>4</v>
      </c>
      <c r="F26" s="43">
        <f t="shared" si="8"/>
        <v>2.5000000000000001E-4</v>
      </c>
      <c r="G26">
        <f t="shared" si="4"/>
        <v>26100</v>
      </c>
      <c r="H26">
        <f t="shared" si="5"/>
        <v>6525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6.7288888920276043E-3</v>
      </c>
      <c r="C27" s="84">
        <f t="shared" si="2"/>
        <v>0</v>
      </c>
      <c r="D27" s="74">
        <f t="shared" si="3"/>
        <v>6.7288888920276043E-3</v>
      </c>
      <c r="E27">
        <f>COUNTIF(tables_434101!C:C,input_434101!A27)-COUNTIF(Q:Q,A27)</f>
        <v>28</v>
      </c>
      <c r="F27" s="43">
        <f>IFERROR(B27/E27,0)</f>
        <v>2.4031746042955728E-4</v>
      </c>
      <c r="G27">
        <f t="shared" si="4"/>
        <v>175624.00008192047</v>
      </c>
      <c r="H27">
        <f t="shared" si="5"/>
        <v>6272.2857199999999</v>
      </c>
      <c r="I27">
        <f t="shared" si="6"/>
        <v>0.28571999999985565</v>
      </c>
      <c r="J27">
        <f t="shared" si="7"/>
        <v>3.4999300014017405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2.4888888888888893E-4</v>
      </c>
      <c r="C28" s="84">
        <f t="shared" si="2"/>
        <v>0</v>
      </c>
      <c r="D28" s="74">
        <f t="shared" si="3"/>
        <v>2.4888888888888893E-4</v>
      </c>
      <c r="E28">
        <f>COUNTIF(tables_434101!C:C,input_434101!A28)-COUNTIF(Q:Q,A28)</f>
        <v>28</v>
      </c>
      <c r="F28" s="43">
        <f t="shared" si="8"/>
        <v>8.88888888888889E-6</v>
      </c>
      <c r="G28">
        <f t="shared" si="4"/>
        <v>6496.0000000000009</v>
      </c>
      <c r="H28">
        <f t="shared" si="5"/>
        <v>232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E$5*E29-0.002</f>
        <v>1.0222222222222221E-3</v>
      </c>
      <c r="C29" s="84">
        <f t="shared" si="2"/>
        <v>4.200000000000001E-2</v>
      </c>
      <c r="D29" s="74">
        <f t="shared" si="3"/>
        <v>-4.0977777777777787E-2</v>
      </c>
      <c r="E29">
        <f>COUNTIF(tables_434101!C:C,input_434101!A29)-COUNTIF(Q:Q,A29)</f>
        <v>17</v>
      </c>
      <c r="F29" s="43">
        <f t="shared" si="8"/>
        <v>6.0130718954248358E-5</v>
      </c>
      <c r="G29">
        <f t="shared" si="4"/>
        <v>26679.999999999996</v>
      </c>
      <c r="H29">
        <f t="shared" si="5"/>
        <v>1569.41176</v>
      </c>
      <c r="I29">
        <f t="shared" si="6"/>
        <v>0.41175999999995838</v>
      </c>
      <c r="J29">
        <f t="shared" si="7"/>
        <v>2.4285991839909196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COUNTIF(tables_434101!C:C,input_434101!A30)-COUNTIF(Q:Q,A30)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COUNTIF(tables_434101!C:C,input_434101!A31)-COUNTIF(Q:Q,A31)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0.87800000000268197</v>
      </c>
      <c r="C32" s="41">
        <f>SUM(C19:C31)</f>
        <v>0.12200000000000001</v>
      </c>
      <c r="D32" s="42">
        <f t="shared" si="3"/>
        <v>0.75600000000268197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3.2771111111111084E-2</v>
      </c>
      <c r="F33" s="43">
        <f ca="1">0.95-G41</f>
        <v>0.50000000000498079</v>
      </c>
    </row>
    <row r="34" spans="1:7" x14ac:dyDescent="0.15">
      <c r="E34">
        <v>4.2177777786973208E-2</v>
      </c>
      <c r="F34">
        <f ca="1">G42-0.05</f>
        <v>3.8314490469204543E-13</v>
      </c>
    </row>
    <row r="35" spans="1:7" x14ac:dyDescent="0.15">
      <c r="A35" t="s">
        <v>73</v>
      </c>
      <c r="E35">
        <f>E34-F35</f>
        <v>4.1777777869732094E-3</v>
      </c>
      <c r="F35">
        <v>3.7999999999999999E-2</v>
      </c>
    </row>
    <row r="36" spans="1:7" x14ac:dyDescent="0.15">
      <c r="A36" s="31">
        <f>LCM(F5-I5,F6-I6)*1000*2*2*5</f>
        <v>26100000</v>
      </c>
      <c r="E36">
        <f>0.00182222221034483-0.002</f>
        <v>-1.7777778965517009E-4</v>
      </c>
      <c r="F36">
        <f ca="1">G42-0.05</f>
        <v>3.8314490469204543E-13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SUMIF(tables_434101!C:C,input_434101!A40,tables_434101!O:O)</f>
        <v>6786000</v>
      </c>
      <c r="C40" s="54">
        <f t="shared" ref="C40:C46" ca="1" si="9">B40/B$47</f>
        <v>0.52503331942381903</v>
      </c>
      <c r="E40">
        <v>3</v>
      </c>
      <c r="F40">
        <f ca="1">SUMIF(tables_434101!J:J,input_434101!E40,tables_434101!O:O)</f>
        <v>13050000</v>
      </c>
      <c r="G40">
        <f ca="1">F40/A36</f>
        <v>0.5</v>
      </c>
    </row>
    <row r="41" spans="1:7" x14ac:dyDescent="0.15">
      <c r="A41" s="33" t="s">
        <v>104</v>
      </c>
      <c r="B41">
        <f ca="1">SUMIF(tables_434101!C:C,input_434101!A41,tables_434101!O:O)</f>
        <v>5946159.9995199982</v>
      </c>
      <c r="C41" s="54">
        <f t="shared" ca="1" si="9"/>
        <v>0.46005483677764797</v>
      </c>
      <c r="E41">
        <v>4</v>
      </c>
      <c r="F41">
        <f ca="1">SUMIF(tables_434101!J:J,input_434101!E41,tables_434101!O:O)</f>
        <v>11744999.99987</v>
      </c>
      <c r="G41">
        <f ca="1">F41/A36</f>
        <v>0.44999999999501916</v>
      </c>
    </row>
    <row r="42" spans="1:7" x14ac:dyDescent="0.15">
      <c r="A42" s="33" t="s">
        <v>106</v>
      </c>
      <c r="B42">
        <f ca="1">SUMIF(tables_434101!C:C,input_434101!A42,tables_434101!O:O)</f>
        <v>175624.00015999988</v>
      </c>
      <c r="C42" s="54">
        <f t="shared" ca="1" si="9"/>
        <v>1.3588041817638383E-2</v>
      </c>
      <c r="E42">
        <v>5</v>
      </c>
      <c r="F42">
        <f ca="1">SUMIF(tables_434101!J:J,input_434101!E42,tables_434101!O:O)</f>
        <v>1305000.0000100001</v>
      </c>
      <c r="G42">
        <f ca="1">F42/A36</f>
        <v>5.0000000000383148E-2</v>
      </c>
    </row>
    <row r="43" spans="1:7" x14ac:dyDescent="0.15">
      <c r="A43" s="33" t="s">
        <v>109</v>
      </c>
      <c r="B43">
        <f>SUMIF(tables_434101!C:C,input_434101!A43,tables_434101!O:O)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SUMIF(tables_434101!C:C,input_434101!A44,tables_434101!O:O)</f>
        <v>10614.000280000007</v>
      </c>
      <c r="C44" s="54">
        <f t="shared" ca="1" si="9"/>
        <v>8.2120598281369716E-4</v>
      </c>
      <c r="E44" t="s">
        <v>54</v>
      </c>
      <c r="F44" s="55"/>
    </row>
    <row r="45" spans="1:7" x14ac:dyDescent="0.15">
      <c r="A45" s="33" t="s">
        <v>107</v>
      </c>
      <c r="B45">
        <f ca="1">SUMIF(tables_434101!C:C,input_434101!A45,tables_434101!O:O)</f>
        <v>6496</v>
      </c>
      <c r="C45" s="54">
        <f t="shared" ca="1" si="9"/>
        <v>5.0259599808092086E-4</v>
      </c>
      <c r="E45" t="s">
        <v>204</v>
      </c>
      <c r="F45" s="55">
        <f ca="1">SUMIF(tables_434101!I:I,input_434101!E45,tables_434101!P:P)</f>
        <v>0.23277111111218149</v>
      </c>
    </row>
    <row r="46" spans="1:7" x14ac:dyDescent="0.15">
      <c r="A46" s="33" t="s">
        <v>108</v>
      </c>
      <c r="B46">
        <f>SUMIF(tables_434101!C:C,input_434101!A46,tables_434101!O:O)</f>
        <v>0</v>
      </c>
      <c r="C46" s="54">
        <f t="shared" ca="1" si="9"/>
        <v>0</v>
      </c>
      <c r="E46" t="s">
        <v>205</v>
      </c>
      <c r="F46" s="55">
        <f ca="1">SUMIF(tables_434101!I:I,input_434101!E46,tables_434101!P:P)</f>
        <v>0.18886329059665388</v>
      </c>
    </row>
    <row r="47" spans="1:7" x14ac:dyDescent="0.15">
      <c r="A47" s="39" t="s">
        <v>59</v>
      </c>
      <c r="B47">
        <f ca="1">SUM(B40:B46)</f>
        <v>12924893.999959998</v>
      </c>
      <c r="C47" s="55">
        <f ca="1">SUM(C40:C46)</f>
        <v>1</v>
      </c>
      <c r="E47" t="s">
        <v>206</v>
      </c>
      <c r="F47" s="55">
        <f ca="1">SUMIF(tables_434101!I:I,input_434101!E47,tables_434101!P:P)</f>
        <v>0.52836559828786966</v>
      </c>
    </row>
    <row r="48" spans="1:7" x14ac:dyDescent="0.15">
      <c r="E48" t="s">
        <v>207</v>
      </c>
      <c r="F48" s="55">
        <f ca="1">SUMIF(tables_434101!I:I,input_434101!E48,tables_434101!P:P)</f>
        <v>4.4879738565723602E-2</v>
      </c>
      <c r="G48" s="55">
        <f ca="1">0.05-F48-F49</f>
        <v>-3.295034384231954E-12</v>
      </c>
    </row>
    <row r="49" spans="5:7" x14ac:dyDescent="0.15">
      <c r="E49" t="s">
        <v>252</v>
      </c>
      <c r="F49" s="55">
        <f ca="1">SUMIF(tables_434101!I:I,input_434101!E49,tables_434101!P:P)</f>
        <v>5.1202614375714349E-3</v>
      </c>
      <c r="G49" s="55">
        <v>2.000000003138715E-3</v>
      </c>
    </row>
    <row r="50" spans="5:7" x14ac:dyDescent="0.15">
      <c r="E50" t="s">
        <v>253</v>
      </c>
      <c r="F50" s="55">
        <f>SUMIF(tables_434101!I:I,input_434101!E50,tables_434101!P:P)</f>
        <v>0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287" activePane="bottomLeft" state="frozen"/>
      <selection activeCell="D34" sqref="D34"/>
      <selection pane="bottomLeft" activeCell="F327" sqref="F32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input_434101!A$2</f>
        <v>434101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IFERROR(VLOOKUP(B2,input_434101!L:R,7,FALSE),VLOOKUP(tables_434101!C2,input_434101!A:H,8,FALSE))</f>
        <v>287100</v>
      </c>
      <c r="P2" s="46">
        <f t="shared" ref="P2:P65" ca="1" si="1">O2/SUM(O:O)</f>
        <v>1.1000000000050577E-2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input_434101!A$2</f>
        <v>434101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IFERROR(VLOOKUP(B3,input_434101!L:R,7,FALSE),VLOOKUP(tables_434101!C3,input_434101!A:H,8,FALSE))</f>
        <v>16666.3</v>
      </c>
      <c r="P3" s="46">
        <f t="shared" ca="1" si="1"/>
        <v>6.3855555555849153E-4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input_434101!A$2</f>
        <v>434101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IFERROR(VLOOKUP(B4,input_434101!L:R,7,FALSE),VLOOKUP(tables_434101!C4,input_434101!A:H,8,FALSE))</f>
        <v>287100</v>
      </c>
      <c r="P4" s="46">
        <f t="shared" ca="1" si="1"/>
        <v>1.1000000000050577E-2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input_434101!A$2</f>
        <v>434101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IFERROR(VLOOKUP(B5,input_434101!L:R,7,FALSE),VLOOKUP(tables_434101!C5,input_434101!A:H,8,FALSE))</f>
        <v>16666.3</v>
      </c>
      <c r="P5" s="46">
        <f t="shared" ca="1" si="1"/>
        <v>6.3855555555849153E-4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input_434101!A$2</f>
        <v>434101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IFERROR(VLOOKUP(B6,input_434101!L:R,7,FALSE),VLOOKUP(tables_434101!C6,input_434101!A:H,8,FALSE))</f>
        <v>287100</v>
      </c>
      <c r="P6" s="46">
        <f t="shared" ca="1" si="1"/>
        <v>1.1000000000050577E-2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input_434101!A$2</f>
        <v>434101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IFERROR(VLOOKUP(B7,input_434101!L:R,7,FALSE),VLOOKUP(tables_434101!C7,input_434101!A:H,8,FALSE))</f>
        <v>16666.3</v>
      </c>
      <c r="P7" s="46">
        <f t="shared" ca="1" si="1"/>
        <v>6.3855555555849153E-4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input_434101!A$2</f>
        <v>434101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IFERROR(VLOOKUP(B8,input_434101!L:R,7,FALSE),VLOOKUP(tables_434101!C8,input_434101!A:H,8,FALSE))</f>
        <v>287100</v>
      </c>
      <c r="P8" s="46">
        <f t="shared" ca="1" si="1"/>
        <v>1.1000000000050577E-2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input_434101!A$2</f>
        <v>434101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IFERROR(VLOOKUP(B9,input_434101!L:R,7,FALSE),VLOOKUP(tables_434101!C9,input_434101!A:H,8,FALSE))</f>
        <v>16666.3</v>
      </c>
      <c r="P9" s="46">
        <f t="shared" ca="1" si="1"/>
        <v>6.3855555555849153E-4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input_434101!A$2</f>
        <v>434101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IFERROR(VLOOKUP(B10,input_434101!L:R,7,FALSE),VLOOKUP(tables_434101!C10,input_434101!A:H,8,FALSE))</f>
        <v>287100</v>
      </c>
      <c r="P10" s="46">
        <f t="shared" ca="1" si="1"/>
        <v>1.1000000000050577E-2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input_434101!A$2</f>
        <v>434101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IFERROR(VLOOKUP(B11,input_434101!L:R,7,FALSE),VLOOKUP(tables_434101!C11,input_434101!A:H,8,FALSE))</f>
        <v>16666.3</v>
      </c>
      <c r="P11" s="46">
        <f t="shared" ca="1" si="1"/>
        <v>6.3855555555849153E-4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input_434101!A$2</f>
        <v>434101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IFERROR(VLOOKUP(B12,input_434101!L:R,7,FALSE),VLOOKUP(tables_434101!C12,input_434101!A:H,8,FALSE))</f>
        <v>287100</v>
      </c>
      <c r="P12" s="46">
        <f t="shared" ca="1" si="1"/>
        <v>1.1000000000050577E-2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input_434101!A$2</f>
        <v>434101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IFERROR(VLOOKUP(B13,input_434101!L:R,7,FALSE),VLOOKUP(tables_434101!C13,input_434101!A:H,8,FALSE))</f>
        <v>16666.3</v>
      </c>
      <c r="P13" s="46">
        <f t="shared" ca="1" si="1"/>
        <v>6.3855555555849153E-4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input_434101!A$2</f>
        <v>434101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IFERROR(VLOOKUP(B14,input_434101!L:R,7,FALSE),VLOOKUP(tables_434101!C14,input_434101!A:H,8,FALSE))</f>
        <v>287100</v>
      </c>
      <c r="P14" s="46">
        <f t="shared" ca="1" si="1"/>
        <v>1.1000000000050577E-2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input_434101!A$2</f>
        <v>434101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IFERROR(VLOOKUP(B15,input_434101!L:R,7,FALSE),VLOOKUP(tables_434101!C15,input_434101!A:H,8,FALSE))</f>
        <v>16666.3</v>
      </c>
      <c r="P15" s="46">
        <f t="shared" ca="1" si="1"/>
        <v>6.3855555555849153E-4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input_434101!A$2</f>
        <v>434101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IFERROR(VLOOKUP(B16,input_434101!L:R,7,FALSE),VLOOKUP(tables_434101!C16,input_434101!A:H,8,FALSE))</f>
        <v>287100</v>
      </c>
      <c r="P16" s="46">
        <f t="shared" ca="1" si="1"/>
        <v>1.1000000000050577E-2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input_434101!A$2</f>
        <v>434101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IFERROR(VLOOKUP(B17,input_434101!L:R,7,FALSE),VLOOKUP(tables_434101!C17,input_434101!A:H,8,FALSE))</f>
        <v>16666.3</v>
      </c>
      <c r="P17" s="46">
        <f t="shared" ca="1" si="1"/>
        <v>6.3855555555849153E-4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input_434101!A$2</f>
        <v>434101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IFERROR(VLOOKUP(B18,input_434101!L:R,7,FALSE),VLOOKUP(tables_434101!C18,input_434101!A:H,8,FALSE))</f>
        <v>287100</v>
      </c>
      <c r="P18" s="46">
        <f t="shared" ca="1" si="1"/>
        <v>1.1000000000050577E-2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input_434101!A$2</f>
        <v>434101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IFERROR(VLOOKUP(B19,input_434101!L:R,7,FALSE),VLOOKUP(tables_434101!C19,input_434101!A:H,8,FALSE))</f>
        <v>16666.3</v>
      </c>
      <c r="P19" s="46">
        <f t="shared" ca="1" si="1"/>
        <v>6.3855555555849153E-4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input_434101!A$2</f>
        <v>434101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IFERROR(VLOOKUP(B20,input_434101!L:R,7,FALSE),VLOOKUP(tables_434101!C20,input_434101!A:H,8,FALSE))</f>
        <v>287100</v>
      </c>
      <c r="P20" s="46">
        <f t="shared" ca="1" si="1"/>
        <v>1.1000000000050577E-2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input_434101!A$2</f>
        <v>434101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IFERROR(VLOOKUP(B21,input_434101!L:R,7,FALSE),VLOOKUP(tables_434101!C21,input_434101!A:H,8,FALSE))</f>
        <v>16666.3</v>
      </c>
      <c r="P21" s="46">
        <f t="shared" ca="1" si="1"/>
        <v>6.3855555555849153E-4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input_434101!A$2</f>
        <v>434101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IFERROR(VLOOKUP(B22,input_434101!L:R,7,FALSE),VLOOKUP(tables_434101!C22,input_434101!A:H,8,FALSE))</f>
        <v>287100</v>
      </c>
      <c r="P22" s="46">
        <f t="shared" ca="1" si="1"/>
        <v>1.1000000000050577E-2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input_434101!A$2</f>
        <v>434101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IFERROR(VLOOKUP(B23,input_434101!L:R,7,FALSE),VLOOKUP(tables_434101!C23,input_434101!A:H,8,FALSE))</f>
        <v>16666.3</v>
      </c>
      <c r="P23" s="46">
        <f t="shared" ca="1" si="1"/>
        <v>6.3855555555849153E-4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input_434101!A$2</f>
        <v>434101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IFERROR(VLOOKUP(B24,input_434101!L:R,7,FALSE),VLOOKUP(tables_434101!C24,input_434101!A:H,8,FALSE))</f>
        <v>287100</v>
      </c>
      <c r="P24" s="46">
        <f t="shared" ca="1" si="1"/>
        <v>1.1000000000050577E-2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input_434101!A$2</f>
        <v>434101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IFERROR(VLOOKUP(B25,input_434101!L:R,7,FALSE),VLOOKUP(tables_434101!C25,input_434101!A:H,8,FALSE))</f>
        <v>16666.3</v>
      </c>
      <c r="P25" s="46">
        <f t="shared" ca="1" si="1"/>
        <v>6.3855555555849153E-4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input_434101!A$2</f>
        <v>434101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IFERROR(VLOOKUP(B26,input_434101!L:R,7,FALSE),VLOOKUP(tables_434101!C26,input_434101!A:H,8,FALSE))</f>
        <v>287100</v>
      </c>
      <c r="P26" s="46">
        <f t="shared" ca="1" si="1"/>
        <v>1.1000000000050577E-2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input_434101!A$2</f>
        <v>434101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IFERROR(VLOOKUP(B27,input_434101!L:R,7,FALSE),VLOOKUP(tables_434101!C27,input_434101!A:H,8,FALSE))</f>
        <v>16666.3</v>
      </c>
      <c r="P27" s="46">
        <f t="shared" ca="1" si="1"/>
        <v>6.3855555555849153E-4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input_434101!A$2</f>
        <v>434101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IFERROR(VLOOKUP(B28,input_434101!L:R,7,FALSE),VLOOKUP(tables_434101!C28,input_434101!A:H,8,FALSE))</f>
        <v>287100</v>
      </c>
      <c r="P28" s="46">
        <f t="shared" ca="1" si="1"/>
        <v>1.1000000000050577E-2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input_434101!A$2</f>
        <v>434101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IFERROR(VLOOKUP(B29,input_434101!L:R,7,FALSE),VLOOKUP(tables_434101!C29,input_434101!A:H,8,FALSE))</f>
        <v>16666.3</v>
      </c>
      <c r="P29" s="46">
        <f t="shared" ca="1" si="1"/>
        <v>6.3855555555849153E-4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input_434101!A$2</f>
        <v>434101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IFERROR(VLOOKUP(B30,input_434101!L:R,7,FALSE),VLOOKUP(tables_434101!C30,input_434101!A:H,8,FALSE))</f>
        <v>287100</v>
      </c>
      <c r="P30" s="46">
        <f t="shared" ca="1" si="1"/>
        <v>1.1000000000050577E-2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input_434101!A$2</f>
        <v>434101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IFERROR(VLOOKUP(B31,input_434101!L:R,7,FALSE),VLOOKUP(tables_434101!C31,input_434101!A:H,8,FALSE))</f>
        <v>16666.3</v>
      </c>
      <c r="P31" s="46">
        <f t="shared" ca="1" si="1"/>
        <v>6.3855555555849153E-4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input_434101!A$2</f>
        <v>434101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IFERROR(VLOOKUP(B32,input_434101!L:R,7,FALSE),VLOOKUP(tables_434101!C32,input_434101!A:H,8,FALSE))</f>
        <v>287100</v>
      </c>
      <c r="P32" s="46">
        <f t="shared" ca="1" si="1"/>
        <v>1.1000000000050577E-2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input_434101!A$2</f>
        <v>434101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IFERROR(VLOOKUP(B33,input_434101!L:R,7,FALSE),VLOOKUP(tables_434101!C33,input_434101!A:H,8,FALSE))</f>
        <v>16666.3</v>
      </c>
      <c r="P33" s="46">
        <f t="shared" ca="1" si="1"/>
        <v>6.3855555555849153E-4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input_434101!A$2</f>
        <v>434101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IFERROR(VLOOKUP(B34,input_434101!L:R,7,FALSE),VLOOKUP(tables_434101!C34,input_434101!A:H,8,FALSE))</f>
        <v>287100</v>
      </c>
      <c r="P34" s="46">
        <f t="shared" ca="1" si="1"/>
        <v>1.1000000000050577E-2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input_434101!A$2</f>
        <v>434101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IFERROR(VLOOKUP(B35,input_434101!L:R,7,FALSE),VLOOKUP(tables_434101!C35,input_434101!A:H,8,FALSE))</f>
        <v>16666.3</v>
      </c>
      <c r="P35" s="46">
        <f t="shared" ca="1" si="1"/>
        <v>6.3855555555849153E-4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input_434101!A$2</f>
        <v>434101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IFERROR(VLOOKUP(B36,input_434101!L:R,7,FALSE),VLOOKUP(tables_434101!C36,input_434101!A:H,8,FALSE))</f>
        <v>287100</v>
      </c>
      <c r="P36" s="46">
        <f t="shared" ca="1" si="1"/>
        <v>1.1000000000050577E-2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input_434101!A$2</f>
        <v>434101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IFERROR(VLOOKUP(B37,input_434101!L:R,7,FALSE),VLOOKUP(tables_434101!C37,input_434101!A:H,8,FALSE))</f>
        <v>16666.3</v>
      </c>
      <c r="P37" s="46">
        <f t="shared" ca="1" si="1"/>
        <v>6.3855555555849153E-4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input_434101!A$2</f>
        <v>434101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IFERROR(VLOOKUP(B38,input_434101!L:R,7,FALSE),VLOOKUP(tables_434101!C38,input_434101!A:H,8,FALSE))</f>
        <v>287100</v>
      </c>
      <c r="P38" s="46">
        <f t="shared" ca="1" si="1"/>
        <v>1.1000000000050577E-2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input_434101!A$2</f>
        <v>434101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IFERROR(VLOOKUP(B39,input_434101!L:R,7,FALSE),VLOOKUP(tables_434101!C39,input_434101!A:H,8,FALSE))</f>
        <v>16666.3</v>
      </c>
      <c r="P39" s="46">
        <f t="shared" ca="1" si="1"/>
        <v>6.3855555555849153E-4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input_434101!A$2</f>
        <v>434101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IFERROR(VLOOKUP(B40,input_434101!L:R,7,FALSE),VLOOKUP(tables_434101!C40,input_434101!A:H,8,FALSE))</f>
        <v>287100</v>
      </c>
      <c r="P40" s="46">
        <f t="shared" ca="1" si="1"/>
        <v>1.1000000000050577E-2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input_434101!A$2</f>
        <v>434101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IFERROR(VLOOKUP(B41,input_434101!L:R,7,FALSE),VLOOKUP(tables_434101!C41,input_434101!A:H,8,FALSE))</f>
        <v>16666.3</v>
      </c>
      <c r="P41" s="46">
        <f t="shared" ca="1" si="1"/>
        <v>6.3855555555849153E-4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input_434101!A$2</f>
        <v>434101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IFERROR(VLOOKUP(B42,input_434101!L:R,7,FALSE),VLOOKUP(tables_434101!C42,input_434101!A:H,8,FALSE))</f>
        <v>130500</v>
      </c>
      <c r="P42" s="46">
        <f t="shared" ca="1" si="1"/>
        <v>5.0000000000229895E-3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input_434101!A$2</f>
        <v>434101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IFERROR(VLOOKUP(B43,input_434101!L:R,7,FALSE),VLOOKUP(tables_434101!C43,input_434101!A:H,8,FALSE))</f>
        <v>117450</v>
      </c>
      <c r="P43" s="46">
        <f t="shared" ca="1" si="1"/>
        <v>4.5000000000206906E-3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input_434101!A$2</f>
        <v>434101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IFERROR(VLOOKUP(B44,input_434101!L:R,7,FALSE),VLOOKUP(tables_434101!C44,input_434101!A:H,8,FALSE))</f>
        <v>6525</v>
      </c>
      <c r="P44" s="46">
        <f t="shared" ca="1" si="1"/>
        <v>2.5000000000114948E-4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input_434101!A$2</f>
        <v>434101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IFERROR(VLOOKUP(B45,input_434101!L:R,7,FALSE),VLOOKUP(tables_434101!C45,input_434101!A:H,8,FALSE))</f>
        <v>130500</v>
      </c>
      <c r="P45" s="46">
        <f t="shared" ca="1" si="1"/>
        <v>5.0000000000229895E-3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input_434101!A$2</f>
        <v>434101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IFERROR(VLOOKUP(B46,input_434101!L:R,7,FALSE),VLOOKUP(tables_434101!C46,input_434101!A:H,8,FALSE))</f>
        <v>117450</v>
      </c>
      <c r="P46" s="46">
        <f t="shared" ca="1" si="1"/>
        <v>4.5000000000206906E-3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input_434101!A$2</f>
        <v>434101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IFERROR(VLOOKUP(B47,input_434101!L:R,7,FALSE),VLOOKUP(tables_434101!C47,input_434101!A:H,8,FALSE))</f>
        <v>6525</v>
      </c>
      <c r="P47" s="46">
        <f t="shared" ca="1" si="1"/>
        <v>2.5000000000114948E-4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input_434101!A$2</f>
        <v>434101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IFERROR(VLOOKUP(B48,input_434101!L:R,7,FALSE),VLOOKUP(tables_434101!C48,input_434101!A:H,8,FALSE))</f>
        <v>130500</v>
      </c>
      <c r="P48" s="46">
        <f t="shared" ca="1" si="1"/>
        <v>5.0000000000229895E-3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input_434101!A$2</f>
        <v>434101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IFERROR(VLOOKUP(B49,input_434101!L:R,7,FALSE),VLOOKUP(tables_434101!C49,input_434101!A:H,8,FALSE))</f>
        <v>117450</v>
      </c>
      <c r="P49" s="46">
        <f t="shared" ca="1" si="1"/>
        <v>4.5000000000206906E-3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input_434101!A$2</f>
        <v>434101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IFERROR(VLOOKUP(B50,input_434101!L:R,7,FALSE),VLOOKUP(tables_434101!C50,input_434101!A:H,8,FALSE))</f>
        <v>6525</v>
      </c>
      <c r="P50" s="46">
        <f t="shared" ca="1" si="1"/>
        <v>2.5000000000114948E-4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input_434101!A$2</f>
        <v>434101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IFERROR(VLOOKUP(B51,input_434101!L:R,7,FALSE),VLOOKUP(tables_434101!C51,input_434101!A:H,8,FALSE))</f>
        <v>130500</v>
      </c>
      <c r="P51" s="46">
        <f t="shared" ca="1" si="1"/>
        <v>5.0000000000229895E-3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input_434101!A$2</f>
        <v>434101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IFERROR(VLOOKUP(B52,input_434101!L:R,7,FALSE),VLOOKUP(tables_434101!C52,input_434101!A:H,8,FALSE))</f>
        <v>114349.23076000001</v>
      </c>
      <c r="P52" s="46">
        <f t="shared" ca="1" si="1"/>
        <v>4.3811965808630568E-3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input_434101!A$2</f>
        <v>434101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IFERROR(VLOOKUP(B53,input_434101!L:R,7,FALSE),VLOOKUP(tables_434101!C53,input_434101!A:H,8,FALSE))</f>
        <v>204.11538999999999</v>
      </c>
      <c r="P53" s="46">
        <f t="shared" ca="1" si="1"/>
        <v>7.8205130268558806E-6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input_434101!A$2</f>
        <v>434101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IFERROR(VLOOKUP(B54,input_434101!L:R,7,FALSE),VLOOKUP(tables_434101!C54,input_434101!A:H,8,FALSE))</f>
        <v>130500</v>
      </c>
      <c r="P54" s="46">
        <f t="shared" ca="1" si="1"/>
        <v>5.0000000000229895E-3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input_434101!A$2</f>
        <v>434101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IFERROR(VLOOKUP(B55,input_434101!L:R,7,FALSE),VLOOKUP(tables_434101!C55,input_434101!A:H,8,FALSE))</f>
        <v>114349.23076000001</v>
      </c>
      <c r="P55" s="46">
        <f t="shared" ca="1" si="1"/>
        <v>4.3811965808630568E-3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input_434101!A$2</f>
        <v>434101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IFERROR(VLOOKUP(B56,input_434101!L:R,7,FALSE),VLOOKUP(tables_434101!C56,input_434101!A:H,8,FALSE))</f>
        <v>204.11538999999999</v>
      </c>
      <c r="P56" s="46">
        <f t="shared" ca="1" si="1"/>
        <v>7.8205130268558806E-6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input_434101!A$2</f>
        <v>434101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IFERROR(VLOOKUP(B57,input_434101!L:R,7,FALSE),VLOOKUP(tables_434101!C57,input_434101!A:H,8,FALSE))</f>
        <v>130500</v>
      </c>
      <c r="P57" s="46">
        <f t="shared" ca="1" si="1"/>
        <v>5.0000000000229895E-3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input_434101!A$2</f>
        <v>434101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IFERROR(VLOOKUP(B58,input_434101!L:R,7,FALSE),VLOOKUP(tables_434101!C58,input_434101!A:H,8,FALSE))</f>
        <v>114349.23076000001</v>
      </c>
      <c r="P58" s="46">
        <f t="shared" ca="1" si="1"/>
        <v>4.3811965808630568E-3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input_434101!A$2</f>
        <v>434101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IFERROR(VLOOKUP(B59,input_434101!L:R,7,FALSE),VLOOKUP(tables_434101!C59,input_434101!A:H,8,FALSE))</f>
        <v>204.11538999999999</v>
      </c>
      <c r="P59" s="46">
        <f t="shared" ca="1" si="1"/>
        <v>7.8205130268558806E-6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input_434101!A$2</f>
        <v>434101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IFERROR(VLOOKUP(B60,input_434101!L:R,7,FALSE),VLOOKUP(tables_434101!C60,input_434101!A:H,8,FALSE))</f>
        <v>130500</v>
      </c>
      <c r="P60" s="46">
        <f t="shared" ca="1" si="1"/>
        <v>5.0000000000229895E-3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input_434101!A$2</f>
        <v>434101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IFERROR(VLOOKUP(B61,input_434101!L:R,7,FALSE),VLOOKUP(tables_434101!C61,input_434101!A:H,8,FALSE))</f>
        <v>114349.23076000001</v>
      </c>
      <c r="P61" s="46">
        <f t="shared" ca="1" si="1"/>
        <v>4.3811965808630568E-3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input_434101!A$2</f>
        <v>434101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IFERROR(VLOOKUP(B62,input_434101!L:R,7,FALSE),VLOOKUP(tables_434101!C62,input_434101!A:H,8,FALSE))</f>
        <v>204.11538999999999</v>
      </c>
      <c r="P62" s="46">
        <f t="shared" ca="1" si="1"/>
        <v>7.8205130268558806E-6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input_434101!A$2</f>
        <v>434101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IFERROR(VLOOKUP(B63,input_434101!L:R,7,FALSE),VLOOKUP(tables_434101!C63,input_434101!A:H,8,FALSE))</f>
        <v>130500</v>
      </c>
      <c r="P63" s="46">
        <f t="shared" ca="1" si="1"/>
        <v>5.0000000000229895E-3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input_434101!A$2</f>
        <v>434101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IFERROR(VLOOKUP(B64,input_434101!L:R,7,FALSE),VLOOKUP(tables_434101!C64,input_434101!A:H,8,FALSE))</f>
        <v>114349.23076000001</v>
      </c>
      <c r="P64" s="46">
        <f t="shared" ca="1" si="1"/>
        <v>4.3811965808630568E-3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input_434101!A$2</f>
        <v>434101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IFERROR(VLOOKUP(B65,input_434101!L:R,7,FALSE),VLOOKUP(tables_434101!C65,input_434101!A:H,8,FALSE))</f>
        <v>204.11538999999999</v>
      </c>
      <c r="P65" s="46">
        <f t="shared" ca="1" si="1"/>
        <v>7.8205130268558806E-6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input_434101!A$2</f>
        <v>434101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IFERROR(VLOOKUP(B66,input_434101!L:R,7,FALSE),VLOOKUP(tables_434101!C66,input_434101!A:H,8,FALSE))</f>
        <v>130500</v>
      </c>
      <c r="P66" s="46">
        <f t="shared" ref="P66:P129" ca="1" si="4">O66/SUM(O:O)</f>
        <v>5.0000000000229895E-3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input_434101!A$2</f>
        <v>434101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IFERROR(VLOOKUP(B67,input_434101!L:R,7,FALSE),VLOOKUP(tables_434101!C67,input_434101!A:H,8,FALSE))</f>
        <v>114349.23076000001</v>
      </c>
      <c r="P67" s="46">
        <f t="shared" ca="1" si="4"/>
        <v>4.3811965808630568E-3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input_434101!A$2</f>
        <v>434101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IFERROR(VLOOKUP(B68,input_434101!L:R,7,FALSE),VLOOKUP(tables_434101!C68,input_434101!A:H,8,FALSE))</f>
        <v>204.11538999999999</v>
      </c>
      <c r="P68" s="46">
        <f t="shared" ca="1" si="4"/>
        <v>7.8205130268558806E-6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input_434101!A$2</f>
        <v>434101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IFERROR(VLOOKUP(B69,input_434101!L:R,7,FALSE),VLOOKUP(tables_434101!C69,input_434101!A:H,8,FALSE))</f>
        <v>130500</v>
      </c>
      <c r="P69" s="46">
        <f t="shared" ca="1" si="4"/>
        <v>5.0000000000229895E-3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input_434101!A$2</f>
        <v>434101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IFERROR(VLOOKUP(B70,input_434101!L:R,7,FALSE),VLOOKUP(tables_434101!C70,input_434101!A:H,8,FALSE))</f>
        <v>114349.23076000001</v>
      </c>
      <c r="P70" s="46">
        <f t="shared" ca="1" si="4"/>
        <v>4.3811965808630568E-3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input_434101!A$2</f>
        <v>434101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IFERROR(VLOOKUP(B71,input_434101!L:R,7,FALSE),VLOOKUP(tables_434101!C71,input_434101!A:H,8,FALSE))</f>
        <v>204.11538999999999</v>
      </c>
      <c r="P71" s="46">
        <f t="shared" ca="1" si="4"/>
        <v>7.8205130268558806E-6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input_434101!A$2</f>
        <v>434101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IFERROR(VLOOKUP(B72,input_434101!L:R,7,FALSE),VLOOKUP(tables_434101!C72,input_434101!A:H,8,FALSE))</f>
        <v>130500</v>
      </c>
      <c r="P72" s="46">
        <f t="shared" ca="1" si="4"/>
        <v>5.0000000000229895E-3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input_434101!A$2</f>
        <v>434101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IFERROR(VLOOKUP(B73,input_434101!L:R,7,FALSE),VLOOKUP(tables_434101!C73,input_434101!A:H,8,FALSE))</f>
        <v>114349.23076000001</v>
      </c>
      <c r="P73" s="46">
        <f t="shared" ca="1" si="4"/>
        <v>4.3811965808630568E-3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input_434101!A$2</f>
        <v>434101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IFERROR(VLOOKUP(B74,input_434101!L:R,7,FALSE),VLOOKUP(tables_434101!C74,input_434101!A:H,8,FALSE))</f>
        <v>204.11538999999999</v>
      </c>
      <c r="P74" s="46">
        <f t="shared" ca="1" si="4"/>
        <v>7.8205130268558806E-6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input_434101!A$2</f>
        <v>434101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IFERROR(VLOOKUP(B75,input_434101!L:R,7,FALSE),VLOOKUP(tables_434101!C75,input_434101!A:H,8,FALSE))</f>
        <v>130500</v>
      </c>
      <c r="P75" s="46">
        <f t="shared" ca="1" si="4"/>
        <v>5.0000000000229895E-3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input_434101!A$2</f>
        <v>434101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IFERROR(VLOOKUP(B76,input_434101!L:R,7,FALSE),VLOOKUP(tables_434101!C76,input_434101!A:H,8,FALSE))</f>
        <v>114349.23076000001</v>
      </c>
      <c r="P76" s="46">
        <f t="shared" ca="1" si="4"/>
        <v>4.3811965808630568E-3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input_434101!A$2</f>
        <v>434101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IFERROR(VLOOKUP(B77,input_434101!L:R,7,FALSE),VLOOKUP(tables_434101!C77,input_434101!A:H,8,FALSE))</f>
        <v>204.11538999999999</v>
      </c>
      <c r="P77" s="46">
        <f t="shared" ca="1" si="4"/>
        <v>7.8205130268558806E-6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input_434101!A$2</f>
        <v>434101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IFERROR(VLOOKUP(B78,input_434101!L:R,7,FALSE),VLOOKUP(tables_434101!C78,input_434101!A:H,8,FALSE))</f>
        <v>130500</v>
      </c>
      <c r="P78" s="46">
        <f t="shared" ca="1" si="4"/>
        <v>5.0000000000229895E-3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input_434101!A$2</f>
        <v>434101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IFERROR(VLOOKUP(B79,input_434101!L:R,7,FALSE),VLOOKUP(tables_434101!C79,input_434101!A:H,8,FALSE))</f>
        <v>114349.23076000001</v>
      </c>
      <c r="P79" s="46">
        <f t="shared" ca="1" si="4"/>
        <v>4.3811965808630568E-3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input_434101!A$2</f>
        <v>434101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IFERROR(VLOOKUP(B80,input_434101!L:R,7,FALSE),VLOOKUP(tables_434101!C80,input_434101!A:H,8,FALSE))</f>
        <v>204.11538999999999</v>
      </c>
      <c r="P80" s="46">
        <f t="shared" ca="1" si="4"/>
        <v>7.8205130268558806E-6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input_434101!A$2</f>
        <v>434101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IFERROR(VLOOKUP(B81,input_434101!L:R,7,FALSE),VLOOKUP(tables_434101!C81,input_434101!A:H,8,FALSE))</f>
        <v>130500</v>
      </c>
      <c r="P81" s="46">
        <f t="shared" ca="1" si="4"/>
        <v>5.0000000000229895E-3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input_434101!A$2</f>
        <v>434101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IFERROR(VLOOKUP(B82,input_434101!L:R,7,FALSE),VLOOKUP(tables_434101!C82,input_434101!A:H,8,FALSE))</f>
        <v>114349.23076000001</v>
      </c>
      <c r="P82" s="46">
        <f t="shared" ca="1" si="4"/>
        <v>4.3811965808630568E-3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input_434101!A$2</f>
        <v>434101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IFERROR(VLOOKUP(B83,input_434101!L:R,7,FALSE),VLOOKUP(tables_434101!C83,input_434101!A:H,8,FALSE))</f>
        <v>204.11538999999999</v>
      </c>
      <c r="P83" s="46">
        <f t="shared" ca="1" si="4"/>
        <v>7.8205130268558806E-6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input_434101!A$2</f>
        <v>434101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IFERROR(VLOOKUP(B84,input_434101!L:R,7,FALSE),VLOOKUP(tables_434101!C84,input_434101!A:H,8,FALSE))</f>
        <v>130500</v>
      </c>
      <c r="P84" s="46">
        <f t="shared" ca="1" si="4"/>
        <v>5.0000000000229895E-3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input_434101!A$2</f>
        <v>434101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IFERROR(VLOOKUP(B85,input_434101!L:R,7,FALSE),VLOOKUP(tables_434101!C85,input_434101!A:H,8,FALSE))</f>
        <v>114349.23076000001</v>
      </c>
      <c r="P85" s="46">
        <f t="shared" ca="1" si="4"/>
        <v>4.3811965808630568E-3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input_434101!A$2</f>
        <v>434101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IFERROR(VLOOKUP(B86,input_434101!L:R,7,FALSE),VLOOKUP(tables_434101!C86,input_434101!A:H,8,FALSE))</f>
        <v>204.11538999999999</v>
      </c>
      <c r="P86" s="46">
        <f t="shared" ca="1" si="4"/>
        <v>7.8205130268558806E-6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input_434101!A$2</f>
        <v>434101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IFERROR(VLOOKUP(B87,input_434101!L:R,7,FALSE),VLOOKUP(tables_434101!C87,input_434101!A:H,8,FALSE))</f>
        <v>130500</v>
      </c>
      <c r="P87" s="46">
        <f t="shared" ca="1" si="4"/>
        <v>5.0000000000229895E-3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input_434101!A$2</f>
        <v>434101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IFERROR(VLOOKUP(B88,input_434101!L:R,7,FALSE),VLOOKUP(tables_434101!C88,input_434101!A:H,8,FALSE))</f>
        <v>114349.23076000001</v>
      </c>
      <c r="P88" s="46">
        <f t="shared" ca="1" si="4"/>
        <v>4.3811965808630568E-3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input_434101!A$2</f>
        <v>434101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IFERROR(VLOOKUP(B89,input_434101!L:R,7,FALSE),VLOOKUP(tables_434101!C89,input_434101!A:H,8,FALSE))</f>
        <v>204.11538999999999</v>
      </c>
      <c r="P89" s="46">
        <f t="shared" ca="1" si="4"/>
        <v>7.8205130268558806E-6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input_434101!A$2</f>
        <v>434101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IFERROR(VLOOKUP(B90,input_434101!L:R,7,FALSE),VLOOKUP(tables_434101!C90,input_434101!A:H,8,FALSE))</f>
        <v>130500</v>
      </c>
      <c r="P90" s="46">
        <f t="shared" ca="1" si="4"/>
        <v>5.0000000000229895E-3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input_434101!A$2</f>
        <v>434101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IFERROR(VLOOKUP(B91,input_434101!L:R,7,FALSE),VLOOKUP(tables_434101!C91,input_434101!A:H,8,FALSE))</f>
        <v>114349.23076000001</v>
      </c>
      <c r="P91" s="46">
        <f t="shared" ca="1" si="4"/>
        <v>4.3811965808630568E-3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input_434101!A$2</f>
        <v>434101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IFERROR(VLOOKUP(B92,input_434101!L:R,7,FALSE),VLOOKUP(tables_434101!C92,input_434101!A:H,8,FALSE))</f>
        <v>204.11538999999999</v>
      </c>
      <c r="P92" s="46">
        <f t="shared" ca="1" si="4"/>
        <v>7.8205130268558806E-6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input_434101!A$2</f>
        <v>434101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IFERROR(VLOOKUP(B93,input_434101!L:R,7,FALSE),VLOOKUP(tables_434101!C93,input_434101!A:H,8,FALSE))</f>
        <v>130500</v>
      </c>
      <c r="P93" s="46">
        <f t="shared" ca="1" si="4"/>
        <v>5.0000000000229895E-3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input_434101!A$2</f>
        <v>434101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IFERROR(VLOOKUP(B94,input_434101!L:R,7,FALSE),VLOOKUP(tables_434101!C94,input_434101!A:H,8,FALSE))</f>
        <v>114349.23076000001</v>
      </c>
      <c r="P94" s="46">
        <f t="shared" ca="1" si="4"/>
        <v>4.3811965808630568E-3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input_434101!A$2</f>
        <v>434101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IFERROR(VLOOKUP(B95,input_434101!L:R,7,FALSE),VLOOKUP(tables_434101!C95,input_434101!A:H,8,FALSE))</f>
        <v>204.11538999999999</v>
      </c>
      <c r="P95" s="46">
        <f t="shared" ca="1" si="4"/>
        <v>7.8205130268558806E-6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input_434101!A$2</f>
        <v>434101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IFERROR(VLOOKUP(B96,input_434101!L:R,7,FALSE),VLOOKUP(tables_434101!C96,input_434101!A:H,8,FALSE))</f>
        <v>130500</v>
      </c>
      <c r="P96" s="46">
        <f t="shared" ca="1" si="4"/>
        <v>5.0000000000229895E-3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input_434101!A$2</f>
        <v>434101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IFERROR(VLOOKUP(B97,input_434101!L:R,7,FALSE),VLOOKUP(tables_434101!C97,input_434101!A:H,8,FALSE))</f>
        <v>114349.23076000001</v>
      </c>
      <c r="P97" s="46">
        <f t="shared" ca="1" si="4"/>
        <v>4.3811965808630568E-3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input_434101!A$2</f>
        <v>434101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IFERROR(VLOOKUP(B98,input_434101!L:R,7,FALSE),VLOOKUP(tables_434101!C98,input_434101!A:H,8,FALSE))</f>
        <v>204.11538999999999</v>
      </c>
      <c r="P98" s="46">
        <f t="shared" ca="1" si="4"/>
        <v>7.8205130268558806E-6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input_434101!A$2</f>
        <v>434101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IFERROR(VLOOKUP(B99,input_434101!L:R,7,FALSE),VLOOKUP(tables_434101!C99,input_434101!A:H,8,FALSE))</f>
        <v>130500</v>
      </c>
      <c r="P99" s="46">
        <f t="shared" ca="1" si="4"/>
        <v>5.0000000000229895E-3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input_434101!A$2</f>
        <v>434101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IFERROR(VLOOKUP(B100,input_434101!L:R,7,FALSE),VLOOKUP(tables_434101!C100,input_434101!A:H,8,FALSE))</f>
        <v>114349.23076000001</v>
      </c>
      <c r="P100" s="46">
        <f t="shared" ca="1" si="4"/>
        <v>4.3811965808630568E-3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input_434101!A$2</f>
        <v>434101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IFERROR(VLOOKUP(B101,input_434101!L:R,7,FALSE),VLOOKUP(tables_434101!C101,input_434101!A:H,8,FALSE))</f>
        <v>204.11538999999999</v>
      </c>
      <c r="P101" s="46">
        <f t="shared" ca="1" si="4"/>
        <v>7.8205130268558806E-6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input_434101!A$2</f>
        <v>434101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IFERROR(VLOOKUP(B102,input_434101!L:R,7,FALSE),VLOOKUP(tables_434101!C102,input_434101!A:H,8,FALSE))</f>
        <v>130500</v>
      </c>
      <c r="P102" s="46">
        <f t="shared" ca="1" si="4"/>
        <v>5.0000000000229895E-3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input_434101!A$2</f>
        <v>434101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IFERROR(VLOOKUP(B103,input_434101!L:R,7,FALSE),VLOOKUP(tables_434101!C103,input_434101!A:H,8,FALSE))</f>
        <v>114349.23076000001</v>
      </c>
      <c r="P103" s="46">
        <f t="shared" ca="1" si="4"/>
        <v>4.3811965808630568E-3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input_434101!A$2</f>
        <v>434101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IFERROR(VLOOKUP(B104,input_434101!L:R,7,FALSE),VLOOKUP(tables_434101!C104,input_434101!A:H,8,FALSE))</f>
        <v>204.11538999999999</v>
      </c>
      <c r="P104" s="46">
        <f t="shared" ca="1" si="4"/>
        <v>7.8205130268558806E-6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input_434101!A$2</f>
        <v>434101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IFERROR(VLOOKUP(B105,input_434101!L:R,7,FALSE),VLOOKUP(tables_434101!C105,input_434101!A:H,8,FALSE))</f>
        <v>130500</v>
      </c>
      <c r="P105" s="46">
        <f t="shared" ca="1" si="4"/>
        <v>5.0000000000229895E-3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input_434101!A$2</f>
        <v>434101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IFERROR(VLOOKUP(B106,input_434101!L:R,7,FALSE),VLOOKUP(tables_434101!C106,input_434101!A:H,8,FALSE))</f>
        <v>114349.23076000001</v>
      </c>
      <c r="P106" s="46">
        <f t="shared" ca="1" si="4"/>
        <v>4.3811965808630568E-3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input_434101!A$2</f>
        <v>434101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IFERROR(VLOOKUP(B107,input_434101!L:R,7,FALSE),VLOOKUP(tables_434101!C107,input_434101!A:H,8,FALSE))</f>
        <v>204.11538999999999</v>
      </c>
      <c r="P107" s="46">
        <f t="shared" ca="1" si="4"/>
        <v>7.8205130268558806E-6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input_434101!A$2</f>
        <v>434101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IFERROR(VLOOKUP(B108,input_434101!L:R,7,FALSE),VLOOKUP(tables_434101!C108,input_434101!A:H,8,FALSE))</f>
        <v>130500</v>
      </c>
      <c r="P108" s="46">
        <f t="shared" ca="1" si="4"/>
        <v>5.0000000000229895E-3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input_434101!A$2</f>
        <v>434101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IFERROR(VLOOKUP(B109,input_434101!L:R,7,FALSE),VLOOKUP(tables_434101!C109,input_434101!A:H,8,FALSE))</f>
        <v>114349.23076000001</v>
      </c>
      <c r="P109" s="46">
        <f t="shared" ca="1" si="4"/>
        <v>4.3811965808630568E-3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input_434101!A$2</f>
        <v>434101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IFERROR(VLOOKUP(B110,input_434101!L:R,7,FALSE),VLOOKUP(tables_434101!C110,input_434101!A:H,8,FALSE))</f>
        <v>204.11538999999999</v>
      </c>
      <c r="P110" s="46">
        <f t="shared" ca="1" si="4"/>
        <v>7.8205130268558806E-6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input_434101!A$2</f>
        <v>434101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IFERROR(VLOOKUP(B111,input_434101!L:R,7,FALSE),VLOOKUP(tables_434101!C111,input_434101!A:H,8,FALSE))</f>
        <v>130500</v>
      </c>
      <c r="P111" s="46">
        <f t="shared" ca="1" si="4"/>
        <v>5.0000000000229895E-3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input_434101!A$2</f>
        <v>434101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IFERROR(VLOOKUP(B112,input_434101!L:R,7,FALSE),VLOOKUP(tables_434101!C112,input_434101!A:H,8,FALSE))</f>
        <v>117450</v>
      </c>
      <c r="P112" s="46">
        <f t="shared" ca="1" si="4"/>
        <v>4.5000000000206906E-3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input_434101!A$2</f>
        <v>434101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IFERROR(VLOOKUP(B113,input_434101!L:R,7,FALSE),VLOOKUP(tables_434101!C113,input_434101!A:H,8,FALSE))</f>
        <v>6525</v>
      </c>
      <c r="P113" s="46">
        <f t="shared" ca="1" si="4"/>
        <v>2.5000000000114948E-4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input_434101!A$2</f>
        <v>434101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IFERROR(VLOOKUP(B114,input_434101!L:R,7,FALSE),VLOOKUP(tables_434101!C114,input_434101!A:H,8,FALSE))</f>
        <v>130500</v>
      </c>
      <c r="P114" s="46">
        <f t="shared" ca="1" si="4"/>
        <v>5.0000000000229895E-3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input_434101!A$2</f>
        <v>434101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IFERROR(VLOOKUP(B115,input_434101!L:R,7,FALSE),VLOOKUP(tables_434101!C115,input_434101!A:H,8,FALSE))</f>
        <v>114349.23076000001</v>
      </c>
      <c r="P115" s="46">
        <f t="shared" ca="1" si="4"/>
        <v>4.3811965808630568E-3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input_434101!A$2</f>
        <v>434101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IFERROR(VLOOKUP(B116,input_434101!L:R,7,FALSE),VLOOKUP(tables_434101!C116,input_434101!A:H,8,FALSE))</f>
        <v>204.11538999999999</v>
      </c>
      <c r="P116" s="46">
        <f t="shared" ca="1" si="4"/>
        <v>7.8205130268558806E-6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input_434101!A$2</f>
        <v>434101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IFERROR(VLOOKUP(B117,input_434101!L:R,7,FALSE),VLOOKUP(tables_434101!C117,input_434101!A:H,8,FALSE))</f>
        <v>130500</v>
      </c>
      <c r="P117" s="46">
        <f t="shared" ca="1" si="4"/>
        <v>5.0000000000229895E-3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input_434101!A$2</f>
        <v>434101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IFERROR(VLOOKUP(B118,input_434101!L:R,7,FALSE),VLOOKUP(tables_434101!C118,input_434101!A:H,8,FALSE))</f>
        <v>114349.23076000001</v>
      </c>
      <c r="P118" s="46">
        <f t="shared" ca="1" si="4"/>
        <v>4.3811965808630568E-3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input_434101!A$2</f>
        <v>434101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IFERROR(VLOOKUP(B119,input_434101!L:R,7,FALSE),VLOOKUP(tables_434101!C119,input_434101!A:H,8,FALSE))</f>
        <v>204.11538999999999</v>
      </c>
      <c r="P119" s="46">
        <f t="shared" ca="1" si="4"/>
        <v>7.8205130268558806E-6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input_434101!A$2</f>
        <v>434101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IFERROR(VLOOKUP(B120,input_434101!L:R,7,FALSE),VLOOKUP(tables_434101!C120,input_434101!A:H,8,FALSE))</f>
        <v>130500</v>
      </c>
      <c r="P120" s="46">
        <f t="shared" ca="1" si="4"/>
        <v>5.0000000000229895E-3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input_434101!A$2</f>
        <v>434101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IFERROR(VLOOKUP(B121,input_434101!L:R,7,FALSE),VLOOKUP(tables_434101!C121,input_434101!A:H,8,FALSE))</f>
        <v>114349.23076000001</v>
      </c>
      <c r="P121" s="46">
        <f t="shared" ca="1" si="4"/>
        <v>4.3811965808630568E-3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input_434101!A$2</f>
        <v>434101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IFERROR(VLOOKUP(B122,input_434101!L:R,7,FALSE),VLOOKUP(tables_434101!C122,input_434101!A:H,8,FALSE))</f>
        <v>204.11538999999999</v>
      </c>
      <c r="P122" s="46">
        <f t="shared" ca="1" si="4"/>
        <v>7.8205130268558806E-6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input_434101!A$2</f>
        <v>434101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IFERROR(VLOOKUP(B123,input_434101!L:R,7,FALSE),VLOOKUP(tables_434101!C123,input_434101!A:H,8,FALSE))</f>
        <v>130500</v>
      </c>
      <c r="P123" s="46">
        <f t="shared" ca="1" si="4"/>
        <v>5.0000000000229895E-3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input_434101!A$2</f>
        <v>434101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IFERROR(VLOOKUP(B124,input_434101!L:R,7,FALSE),VLOOKUP(tables_434101!C124,input_434101!A:H,8,FALSE))</f>
        <v>114349.23076000001</v>
      </c>
      <c r="P124" s="46">
        <f t="shared" ca="1" si="4"/>
        <v>4.3811965808630568E-3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input_434101!A$2</f>
        <v>434101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IFERROR(VLOOKUP(B125,input_434101!L:R,7,FALSE),VLOOKUP(tables_434101!C125,input_434101!A:H,8,FALSE))</f>
        <v>204.11538999999999</v>
      </c>
      <c r="P125" s="46">
        <f t="shared" ca="1" si="4"/>
        <v>7.8205130268558806E-6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input_434101!A$2</f>
        <v>434101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IFERROR(VLOOKUP(B126,input_434101!L:R,7,FALSE),VLOOKUP(tables_434101!C126,input_434101!A:H,8,FALSE))</f>
        <v>130500</v>
      </c>
      <c r="P126" s="46">
        <f t="shared" ca="1" si="4"/>
        <v>5.0000000000229895E-3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input_434101!A$2</f>
        <v>434101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IFERROR(VLOOKUP(B127,input_434101!L:R,7,FALSE),VLOOKUP(tables_434101!C127,input_434101!A:H,8,FALSE))</f>
        <v>114349.23076000001</v>
      </c>
      <c r="P127" s="46">
        <f t="shared" ca="1" si="4"/>
        <v>4.3811965808630568E-3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input_434101!A$2</f>
        <v>434101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IFERROR(VLOOKUP(B128,input_434101!L:R,7,FALSE),VLOOKUP(tables_434101!C128,input_434101!A:H,8,FALSE))</f>
        <v>204.11538999999999</v>
      </c>
      <c r="P128" s="46">
        <f t="shared" ca="1" si="4"/>
        <v>7.8205130268558806E-6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input_434101!A$2</f>
        <v>434101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IFERROR(VLOOKUP(B129,input_434101!L:R,7,FALSE),VLOOKUP(tables_434101!C129,input_434101!A:H,8,FALSE))</f>
        <v>130500</v>
      </c>
      <c r="P129" s="46">
        <f t="shared" ca="1" si="4"/>
        <v>5.0000000000229895E-3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input_434101!A$2</f>
        <v>434101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IFERROR(VLOOKUP(B130,input_434101!L:R,7,FALSE),VLOOKUP(tables_434101!C130,input_434101!A:H,8,FALSE))</f>
        <v>114349.23076000001</v>
      </c>
      <c r="P130" s="46">
        <f t="shared" ref="P130:P193" ca="1" si="7">O130/SUM(O:O)</f>
        <v>4.3811965808630568E-3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input_434101!A$2</f>
        <v>434101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IFERROR(VLOOKUP(B131,input_434101!L:R,7,FALSE),VLOOKUP(tables_434101!C131,input_434101!A:H,8,FALSE))</f>
        <v>204.11538999999999</v>
      </c>
      <c r="P131" s="46">
        <f t="shared" ca="1" si="7"/>
        <v>7.8205130268558806E-6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input_434101!A$2</f>
        <v>434101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IFERROR(VLOOKUP(B132,input_434101!L:R,7,FALSE),VLOOKUP(tables_434101!C132,input_434101!A:H,8,FALSE))</f>
        <v>130500</v>
      </c>
      <c r="P132" s="46">
        <f t="shared" ca="1" si="7"/>
        <v>5.0000000000229895E-3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input_434101!A$2</f>
        <v>434101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IFERROR(VLOOKUP(B133,input_434101!L:R,7,FALSE),VLOOKUP(tables_434101!C133,input_434101!A:H,8,FALSE))</f>
        <v>114349.23076000001</v>
      </c>
      <c r="P133" s="46">
        <f t="shared" ca="1" si="7"/>
        <v>4.3811965808630568E-3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input_434101!A$2</f>
        <v>434101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IFERROR(VLOOKUP(B134,input_434101!L:R,7,FALSE),VLOOKUP(tables_434101!C134,input_434101!A:H,8,FALSE))</f>
        <v>204.11538999999999</v>
      </c>
      <c r="P134" s="46">
        <f t="shared" ca="1" si="7"/>
        <v>7.8205130268558806E-6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input_434101!A$2</f>
        <v>434101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IFERROR(VLOOKUP(B135,input_434101!L:R,7,FALSE),VLOOKUP(tables_434101!C135,input_434101!A:H,8,FALSE))</f>
        <v>130500</v>
      </c>
      <c r="P135" s="46">
        <f t="shared" ca="1" si="7"/>
        <v>5.0000000000229895E-3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input_434101!A$2</f>
        <v>434101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IFERROR(VLOOKUP(B136,input_434101!L:R,7,FALSE),VLOOKUP(tables_434101!C136,input_434101!A:H,8,FALSE))</f>
        <v>114349.23076000001</v>
      </c>
      <c r="P136" s="46">
        <f t="shared" ca="1" si="7"/>
        <v>4.3811965808630568E-3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input_434101!A$2</f>
        <v>434101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IFERROR(VLOOKUP(B137,input_434101!L:R,7,FALSE),VLOOKUP(tables_434101!C137,input_434101!A:H,8,FALSE))</f>
        <v>204.11538999999999</v>
      </c>
      <c r="P137" s="46">
        <f t="shared" ca="1" si="7"/>
        <v>7.8205130268558806E-6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input_434101!A$2</f>
        <v>434101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IFERROR(VLOOKUP(B138,input_434101!L:R,7,FALSE),VLOOKUP(tables_434101!C138,input_434101!A:H,8,FALSE))</f>
        <v>6272.2857199999999</v>
      </c>
      <c r="P138" s="46">
        <f t="shared" ca="1" si="7"/>
        <v>2.4031746053750343E-4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input_434101!A$2</f>
        <v>434101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IFERROR(VLOOKUP(B139,input_434101!L:R,7,FALSE),VLOOKUP(tables_434101!C139,input_434101!A:H,8,FALSE))</f>
        <v>232</v>
      </c>
      <c r="P139" s="46">
        <f t="shared" ca="1" si="7"/>
        <v>8.8888888889297593E-6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input_434101!A$2</f>
        <v>434101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IFERROR(VLOOKUP(B140,input_434101!L:R,7,FALSE),VLOOKUP(tables_434101!C140,input_434101!A:H,8,FALSE))</f>
        <v>6272.2857199999999</v>
      </c>
      <c r="P140" s="46">
        <f t="shared" ca="1" si="7"/>
        <v>2.4031746053750343E-4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input_434101!A$2</f>
        <v>434101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IFERROR(VLOOKUP(B141,input_434101!L:R,7,FALSE),VLOOKUP(tables_434101!C141,input_434101!A:H,8,FALSE))</f>
        <v>232</v>
      </c>
      <c r="P141" s="46">
        <f t="shared" ca="1" si="7"/>
        <v>8.8888888889297593E-6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input_434101!A$2</f>
        <v>434101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IFERROR(VLOOKUP(B142,input_434101!L:R,7,FALSE),VLOOKUP(tables_434101!C142,input_434101!A:H,8,FALSE))</f>
        <v>6272.2857199999999</v>
      </c>
      <c r="P142" s="46">
        <f t="shared" ca="1" si="7"/>
        <v>2.4031746053750343E-4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input_434101!A$2</f>
        <v>434101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IFERROR(VLOOKUP(B143,input_434101!L:R,7,FALSE),VLOOKUP(tables_434101!C143,input_434101!A:H,8,FALSE))</f>
        <v>232</v>
      </c>
      <c r="P143" s="46">
        <f t="shared" ca="1" si="7"/>
        <v>8.8888888889297593E-6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input_434101!A$2</f>
        <v>434101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IFERROR(VLOOKUP(B144,input_434101!L:R,7,FALSE),VLOOKUP(tables_434101!C144,input_434101!A:H,8,FALSE))</f>
        <v>6272.2857199999999</v>
      </c>
      <c r="P144" s="46">
        <f t="shared" ca="1" si="7"/>
        <v>2.4031746053750343E-4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input_434101!A$2</f>
        <v>434101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IFERROR(VLOOKUP(B145,input_434101!L:R,7,FALSE),VLOOKUP(tables_434101!C145,input_434101!A:H,8,FALSE))</f>
        <v>232</v>
      </c>
      <c r="P145" s="46">
        <f t="shared" ca="1" si="7"/>
        <v>8.8888888889297593E-6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input_434101!A$2</f>
        <v>434101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IFERROR(VLOOKUP(B146,input_434101!L:R,7,FALSE),VLOOKUP(tables_434101!C146,input_434101!A:H,8,FALSE))</f>
        <v>130500</v>
      </c>
      <c r="P146" s="46">
        <f t="shared" ca="1" si="7"/>
        <v>5.0000000000229895E-3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input_434101!A$2</f>
        <v>434101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IFERROR(VLOOKUP(B147,input_434101!L:R,7,FALSE),VLOOKUP(tables_434101!C147,input_434101!A:H,8,FALSE))</f>
        <v>114349.23076000001</v>
      </c>
      <c r="P147" s="46">
        <f t="shared" ca="1" si="7"/>
        <v>4.3811965808630568E-3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input_434101!A$2</f>
        <v>434101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IFERROR(VLOOKUP(B148,input_434101!L:R,7,FALSE),VLOOKUP(tables_434101!C148,input_434101!A:H,8,FALSE))</f>
        <v>204.11538999999999</v>
      </c>
      <c r="P148" s="46">
        <f t="shared" ca="1" si="7"/>
        <v>7.8205130268558806E-6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input_434101!A$2</f>
        <v>434101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IFERROR(VLOOKUP(B149,input_434101!L:R,7,FALSE),VLOOKUP(tables_434101!C149,input_434101!A:H,8,FALSE))</f>
        <v>6272.2857199999999</v>
      </c>
      <c r="P149" s="46">
        <f t="shared" ca="1" si="7"/>
        <v>2.4031746053750343E-4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input_434101!A$2</f>
        <v>434101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IFERROR(VLOOKUP(B150,input_434101!L:R,7,FALSE),VLOOKUP(tables_434101!C150,input_434101!A:H,8,FALSE))</f>
        <v>232</v>
      </c>
      <c r="P150" s="46">
        <f t="shared" ca="1" si="7"/>
        <v>8.8888888889297593E-6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input_434101!A$2</f>
        <v>434101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IFERROR(VLOOKUP(B151,input_434101!L:R,7,FALSE),VLOOKUP(tables_434101!C151,input_434101!A:H,8,FALSE))</f>
        <v>6272.2857199999999</v>
      </c>
      <c r="P151" s="46">
        <f t="shared" ca="1" si="7"/>
        <v>2.4031746053750343E-4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input_434101!A$2</f>
        <v>434101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IFERROR(VLOOKUP(B152,input_434101!L:R,7,FALSE),VLOOKUP(tables_434101!C152,input_434101!A:H,8,FALSE))</f>
        <v>232</v>
      </c>
      <c r="P152" s="46">
        <f t="shared" ca="1" si="7"/>
        <v>8.8888888889297593E-6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input_434101!A$2</f>
        <v>434101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IFERROR(VLOOKUP(B153,input_434101!L:R,7,FALSE),VLOOKUP(tables_434101!C153,input_434101!A:H,8,FALSE))</f>
        <v>130500</v>
      </c>
      <c r="P153" s="46">
        <f t="shared" ca="1" si="7"/>
        <v>5.0000000000229895E-3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input_434101!A$2</f>
        <v>434101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IFERROR(VLOOKUP(B154,input_434101!L:R,7,FALSE),VLOOKUP(tables_434101!C154,input_434101!A:H,8,FALSE))</f>
        <v>114349.23076000001</v>
      </c>
      <c r="P154" s="46">
        <f t="shared" ca="1" si="7"/>
        <v>4.3811965808630568E-3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input_434101!A$2</f>
        <v>434101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IFERROR(VLOOKUP(B155,input_434101!L:R,7,FALSE),VLOOKUP(tables_434101!C155,input_434101!A:H,8,FALSE))</f>
        <v>204.11538999999999</v>
      </c>
      <c r="P155" s="46">
        <f t="shared" ca="1" si="7"/>
        <v>7.8205130268558806E-6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input_434101!A$2</f>
        <v>434101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IFERROR(VLOOKUP(B156,input_434101!L:R,7,FALSE),VLOOKUP(tables_434101!C156,input_434101!A:H,8,FALSE))</f>
        <v>6272.2857199999999</v>
      </c>
      <c r="P156" s="46">
        <f t="shared" ca="1" si="7"/>
        <v>2.4031746053750343E-4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input_434101!A$2</f>
        <v>434101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IFERROR(VLOOKUP(B157,input_434101!L:R,7,FALSE),VLOOKUP(tables_434101!C157,input_434101!A:H,8,FALSE))</f>
        <v>232</v>
      </c>
      <c r="P157" s="46">
        <f t="shared" ca="1" si="7"/>
        <v>8.8888888889297593E-6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input_434101!A$2</f>
        <v>434101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IFERROR(VLOOKUP(B158,input_434101!L:R,7,FALSE),VLOOKUP(tables_434101!C158,input_434101!A:H,8,FALSE))</f>
        <v>130500</v>
      </c>
      <c r="P158" s="46">
        <f t="shared" ca="1" si="7"/>
        <v>5.0000000000229895E-3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input_434101!A$2</f>
        <v>434101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IFERROR(VLOOKUP(B159,input_434101!L:R,7,FALSE),VLOOKUP(tables_434101!C159,input_434101!A:H,8,FALSE))</f>
        <v>114349.23076000001</v>
      </c>
      <c r="P159" s="46">
        <f t="shared" ca="1" si="7"/>
        <v>4.3811965808630568E-3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input_434101!A$2</f>
        <v>434101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IFERROR(VLOOKUP(B160,input_434101!L:R,7,FALSE),VLOOKUP(tables_434101!C160,input_434101!A:H,8,FALSE))</f>
        <v>204.11538999999999</v>
      </c>
      <c r="P160" s="46">
        <f t="shared" ca="1" si="7"/>
        <v>7.8205130268558806E-6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input_434101!A$2</f>
        <v>434101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IFERROR(VLOOKUP(B161,input_434101!L:R,7,FALSE),VLOOKUP(tables_434101!C161,input_434101!A:H,8,FALSE))</f>
        <v>130500</v>
      </c>
      <c r="P161" s="46">
        <f t="shared" ca="1" si="7"/>
        <v>5.0000000000229895E-3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input_434101!A$2</f>
        <v>434101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IFERROR(VLOOKUP(B162,input_434101!L:R,7,FALSE),VLOOKUP(tables_434101!C162,input_434101!A:H,8,FALSE))</f>
        <v>114349.23076000001</v>
      </c>
      <c r="P162" s="46">
        <f t="shared" ca="1" si="7"/>
        <v>4.3811965808630568E-3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input_434101!A$2</f>
        <v>434101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IFERROR(VLOOKUP(B163,input_434101!L:R,7,FALSE),VLOOKUP(tables_434101!C163,input_434101!A:H,8,FALSE))</f>
        <v>204.11538999999999</v>
      </c>
      <c r="P163" s="46">
        <f t="shared" ca="1" si="7"/>
        <v>7.8205130268558806E-6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input_434101!A$2</f>
        <v>434101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IFERROR(VLOOKUP(B164,input_434101!L:R,7,FALSE),VLOOKUP(tables_434101!C164,input_434101!A:H,8,FALSE))</f>
        <v>6272.2857199999999</v>
      </c>
      <c r="P164" s="46">
        <f t="shared" ca="1" si="7"/>
        <v>2.4031746053750343E-4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input_434101!A$2</f>
        <v>434101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IFERROR(VLOOKUP(B165,input_434101!L:R,7,FALSE),VLOOKUP(tables_434101!C165,input_434101!A:H,8,FALSE))</f>
        <v>232</v>
      </c>
      <c r="P165" s="46">
        <f t="shared" ca="1" si="7"/>
        <v>8.8888888889297593E-6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input_434101!A$2</f>
        <v>434101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IFERROR(VLOOKUP(B166,input_434101!L:R,7,FALSE),VLOOKUP(tables_434101!C166,input_434101!A:H,8,FALSE))</f>
        <v>130500</v>
      </c>
      <c r="P166" s="46">
        <f t="shared" ca="1" si="7"/>
        <v>5.0000000000229895E-3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input_434101!A$2</f>
        <v>434101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IFERROR(VLOOKUP(B167,input_434101!L:R,7,FALSE),VLOOKUP(tables_434101!C167,input_434101!A:H,8,FALSE))</f>
        <v>114349.23076000001</v>
      </c>
      <c r="P167" s="46">
        <f t="shared" ca="1" si="7"/>
        <v>4.3811965808630568E-3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input_434101!A$2</f>
        <v>434101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IFERROR(VLOOKUP(B168,input_434101!L:R,7,FALSE),VLOOKUP(tables_434101!C168,input_434101!A:H,8,FALSE))</f>
        <v>204.11538999999999</v>
      </c>
      <c r="P168" s="46">
        <f t="shared" ca="1" si="7"/>
        <v>7.8205130268558806E-6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input_434101!A$2</f>
        <v>434101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IFERROR(VLOOKUP(B169,input_434101!L:R,7,FALSE),VLOOKUP(tables_434101!C169,input_434101!A:H,8,FALSE))</f>
        <v>6272.2857199999999</v>
      </c>
      <c r="P169" s="46">
        <f t="shared" ca="1" si="7"/>
        <v>2.4031746053750343E-4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input_434101!A$2</f>
        <v>434101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IFERROR(VLOOKUP(B170,input_434101!L:R,7,FALSE),VLOOKUP(tables_434101!C170,input_434101!A:H,8,FALSE))</f>
        <v>232</v>
      </c>
      <c r="P170" s="46">
        <f t="shared" ca="1" si="7"/>
        <v>8.8888888889297593E-6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input_434101!A$2</f>
        <v>434101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IFERROR(VLOOKUP(B171,input_434101!L:R,7,FALSE),VLOOKUP(tables_434101!C171,input_434101!A:H,8,FALSE))</f>
        <v>130500</v>
      </c>
      <c r="P171" s="46">
        <f t="shared" ca="1" si="7"/>
        <v>5.0000000000229895E-3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input_434101!A$2</f>
        <v>434101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IFERROR(VLOOKUP(B172,input_434101!L:R,7,FALSE),VLOOKUP(tables_434101!C172,input_434101!A:H,8,FALSE))</f>
        <v>114349.23076000001</v>
      </c>
      <c r="P172" s="46">
        <f t="shared" ca="1" si="7"/>
        <v>4.3811965808630568E-3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input_434101!A$2</f>
        <v>434101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IFERROR(VLOOKUP(B173,input_434101!L:R,7,FALSE),VLOOKUP(tables_434101!C173,input_434101!A:H,8,FALSE))</f>
        <v>204.11538999999999</v>
      </c>
      <c r="P173" s="46">
        <f t="shared" ca="1" si="7"/>
        <v>7.8205130268558806E-6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input_434101!A$2</f>
        <v>434101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IFERROR(VLOOKUP(B174,input_434101!L:R,7,FALSE),VLOOKUP(tables_434101!C174,input_434101!A:H,8,FALSE))</f>
        <v>6272.2857199999999</v>
      </c>
      <c r="P174" s="46">
        <f t="shared" ca="1" si="7"/>
        <v>2.4031746053750343E-4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input_434101!A$2</f>
        <v>434101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IFERROR(VLOOKUP(B175,input_434101!L:R,7,FALSE),VLOOKUP(tables_434101!C175,input_434101!A:H,8,FALSE))</f>
        <v>232</v>
      </c>
      <c r="P175" s="46">
        <f t="shared" ca="1" si="7"/>
        <v>8.8888888889297593E-6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input_434101!A$2</f>
        <v>434101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IFERROR(VLOOKUP(B176,input_434101!L:R,7,FALSE),VLOOKUP(tables_434101!C176,input_434101!A:H,8,FALSE))</f>
        <v>6272.2857199999999</v>
      </c>
      <c r="P176" s="46">
        <f t="shared" ca="1" si="7"/>
        <v>2.4031746053750343E-4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input_434101!A$2</f>
        <v>434101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IFERROR(VLOOKUP(B177,input_434101!L:R,7,FALSE),VLOOKUP(tables_434101!C177,input_434101!A:H,8,FALSE))</f>
        <v>232</v>
      </c>
      <c r="P177" s="46">
        <f t="shared" ca="1" si="7"/>
        <v>8.8888888889297593E-6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input_434101!A$2</f>
        <v>434101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IFERROR(VLOOKUP(B178,input_434101!L:R,7,FALSE),VLOOKUP(tables_434101!C178,input_434101!A:H,8,FALSE))</f>
        <v>130500</v>
      </c>
      <c r="P178" s="46">
        <f t="shared" ca="1" si="7"/>
        <v>5.0000000000229895E-3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input_434101!A$2</f>
        <v>434101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IFERROR(VLOOKUP(B179,input_434101!L:R,7,FALSE),VLOOKUP(tables_434101!C179,input_434101!A:H,8,FALSE))</f>
        <v>114349.23076000001</v>
      </c>
      <c r="P179" s="46">
        <f t="shared" ca="1" si="7"/>
        <v>4.3811965808630568E-3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input_434101!A$2</f>
        <v>434101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IFERROR(VLOOKUP(B180,input_434101!L:R,7,FALSE),VLOOKUP(tables_434101!C180,input_434101!A:H,8,FALSE))</f>
        <v>204.11538999999999</v>
      </c>
      <c r="P180" s="46">
        <f t="shared" ca="1" si="7"/>
        <v>7.8205130268558806E-6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input_434101!A$2</f>
        <v>434101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IFERROR(VLOOKUP(B181,input_434101!L:R,7,FALSE),VLOOKUP(tables_434101!C181,input_434101!A:H,8,FALSE))</f>
        <v>130500</v>
      </c>
      <c r="P181" s="46">
        <f t="shared" ca="1" si="7"/>
        <v>5.0000000000229895E-3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input_434101!A$2</f>
        <v>434101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IFERROR(VLOOKUP(B182,input_434101!L:R,7,FALSE),VLOOKUP(tables_434101!C182,input_434101!A:H,8,FALSE))</f>
        <v>114349.23076000001</v>
      </c>
      <c r="P182" s="46">
        <f t="shared" ca="1" si="7"/>
        <v>4.3811965808630568E-3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input_434101!A$2</f>
        <v>434101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IFERROR(VLOOKUP(B183,input_434101!L:R,7,FALSE),VLOOKUP(tables_434101!C183,input_434101!A:H,8,FALSE))</f>
        <v>204.11538999999999</v>
      </c>
      <c r="P183" s="46">
        <f t="shared" ca="1" si="7"/>
        <v>7.8205130268558806E-6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input_434101!A$2</f>
        <v>434101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IFERROR(VLOOKUP(B184,input_434101!L:R,7,FALSE),VLOOKUP(tables_434101!C184,input_434101!A:H,8,FALSE))</f>
        <v>6272.2857199999999</v>
      </c>
      <c r="P184" s="46">
        <f t="shared" ca="1" si="7"/>
        <v>2.4031746053750343E-4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input_434101!A$2</f>
        <v>434101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IFERROR(VLOOKUP(B185,input_434101!L:R,7,FALSE),VLOOKUP(tables_434101!C185,input_434101!A:H,8,FALSE))</f>
        <v>232</v>
      </c>
      <c r="P185" s="46">
        <f t="shared" ca="1" si="7"/>
        <v>8.8888888889297593E-6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input_434101!A$2</f>
        <v>434101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IFERROR(VLOOKUP(B186,input_434101!L:R,7,FALSE),VLOOKUP(tables_434101!C186,input_434101!A:H,8,FALSE))</f>
        <v>130500</v>
      </c>
      <c r="P186" s="46">
        <f t="shared" ca="1" si="7"/>
        <v>5.0000000000229895E-3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input_434101!A$2</f>
        <v>434101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IFERROR(VLOOKUP(B187,input_434101!L:R,7,FALSE),VLOOKUP(tables_434101!C187,input_434101!A:H,8,FALSE))</f>
        <v>114349.23076000001</v>
      </c>
      <c r="P187" s="46">
        <f t="shared" ca="1" si="7"/>
        <v>4.3811965808630568E-3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input_434101!A$2</f>
        <v>434101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IFERROR(VLOOKUP(B188,input_434101!L:R,7,FALSE),VLOOKUP(tables_434101!C188,input_434101!A:H,8,FALSE))</f>
        <v>204.11538999999999</v>
      </c>
      <c r="P188" s="46">
        <f t="shared" ca="1" si="7"/>
        <v>7.8205130268558806E-6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input_434101!A$2</f>
        <v>434101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IFERROR(VLOOKUP(B189,input_434101!L:R,7,FALSE),VLOOKUP(tables_434101!C189,input_434101!A:H,8,FALSE))</f>
        <v>6272.2857199999999</v>
      </c>
      <c r="P189" s="46">
        <f t="shared" ca="1" si="7"/>
        <v>2.4031746053750343E-4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input_434101!A$2</f>
        <v>434101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IFERROR(VLOOKUP(B190,input_434101!L:R,7,FALSE),VLOOKUP(tables_434101!C190,input_434101!A:H,8,FALSE))</f>
        <v>232</v>
      </c>
      <c r="P190" s="46">
        <f t="shared" ca="1" si="7"/>
        <v>8.8888888889297593E-6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input_434101!A$2</f>
        <v>434101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IFERROR(VLOOKUP(B191,input_434101!L:R,7,FALSE),VLOOKUP(tables_434101!C191,input_434101!A:H,8,FALSE))</f>
        <v>6272.2857199999999</v>
      </c>
      <c r="P191" s="46">
        <f t="shared" ca="1" si="7"/>
        <v>2.4031746053750343E-4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input_434101!A$2</f>
        <v>434101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IFERROR(VLOOKUP(B192,input_434101!L:R,7,FALSE),VLOOKUP(tables_434101!C192,input_434101!A:H,8,FALSE))</f>
        <v>232</v>
      </c>
      <c r="P192" s="46">
        <f t="shared" ca="1" si="7"/>
        <v>8.8888888889297593E-6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input_434101!A$2</f>
        <v>434101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IFERROR(VLOOKUP(B193,input_434101!L:R,7,FALSE),VLOOKUP(tables_434101!C193,input_434101!A:H,8,FALSE))</f>
        <v>130500</v>
      </c>
      <c r="P193" s="46">
        <f t="shared" ca="1" si="7"/>
        <v>5.0000000000229895E-3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input_434101!A$2</f>
        <v>434101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IFERROR(VLOOKUP(B194,input_434101!L:R,7,FALSE),VLOOKUP(tables_434101!C194,input_434101!A:H,8,FALSE))</f>
        <v>114349.23076000001</v>
      </c>
      <c r="P194" s="46">
        <f t="shared" ref="P194:P257" ca="1" si="10">O194/SUM(O:O)</f>
        <v>4.3811965808630568E-3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input_434101!A$2</f>
        <v>434101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IFERROR(VLOOKUP(B195,input_434101!L:R,7,FALSE),VLOOKUP(tables_434101!C195,input_434101!A:H,8,FALSE))</f>
        <v>204.11538999999999</v>
      </c>
      <c r="P195" s="46">
        <f t="shared" ca="1" si="10"/>
        <v>7.8205130268558806E-6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input_434101!A$2</f>
        <v>434101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IFERROR(VLOOKUP(B196,input_434101!L:R,7,FALSE),VLOOKUP(tables_434101!C196,input_434101!A:H,8,FALSE))</f>
        <v>6272.2857199999999</v>
      </c>
      <c r="P196" s="46">
        <f t="shared" ca="1" si="10"/>
        <v>2.4031746053750343E-4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input_434101!A$2</f>
        <v>434101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IFERROR(VLOOKUP(B197,input_434101!L:R,7,FALSE),VLOOKUP(tables_434101!C197,input_434101!A:H,8,FALSE))</f>
        <v>232</v>
      </c>
      <c r="P197" s="46">
        <f t="shared" ca="1" si="10"/>
        <v>8.8888888889297593E-6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input_434101!A$2</f>
        <v>434101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IFERROR(VLOOKUP(B198,input_434101!L:R,7,FALSE),VLOOKUP(tables_434101!C198,input_434101!A:H,8,FALSE))</f>
        <v>130500</v>
      </c>
      <c r="P198" s="46">
        <f t="shared" ca="1" si="10"/>
        <v>5.0000000000229895E-3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input_434101!A$2</f>
        <v>434101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IFERROR(VLOOKUP(B199,input_434101!L:R,7,FALSE),VLOOKUP(tables_434101!C199,input_434101!A:H,8,FALSE))</f>
        <v>114349.23076000001</v>
      </c>
      <c r="P199" s="46">
        <f t="shared" ca="1" si="10"/>
        <v>4.3811965808630568E-3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input_434101!A$2</f>
        <v>434101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IFERROR(VLOOKUP(B200,input_434101!L:R,7,FALSE),VLOOKUP(tables_434101!C200,input_434101!A:H,8,FALSE))</f>
        <v>204.11538999999999</v>
      </c>
      <c r="P200" s="46">
        <f t="shared" ca="1" si="10"/>
        <v>7.8205130268558806E-6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input_434101!A$2</f>
        <v>434101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IFERROR(VLOOKUP(B201,input_434101!L:R,7,FALSE),VLOOKUP(tables_434101!C201,input_434101!A:H,8,FALSE))</f>
        <v>6272.2857199999999</v>
      </c>
      <c r="P201" s="46">
        <f t="shared" ca="1" si="10"/>
        <v>2.4031746053750343E-4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input_434101!A$2</f>
        <v>434101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IFERROR(VLOOKUP(B202,input_434101!L:R,7,FALSE),VLOOKUP(tables_434101!C202,input_434101!A:H,8,FALSE))</f>
        <v>232</v>
      </c>
      <c r="P202" s="46">
        <f t="shared" ca="1" si="10"/>
        <v>8.8888888889297593E-6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input_434101!A$2</f>
        <v>434101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IFERROR(VLOOKUP(B203,input_434101!L:R,7,FALSE),VLOOKUP(tables_434101!C203,input_434101!A:H,8,FALSE))</f>
        <v>130500</v>
      </c>
      <c r="P203" s="46">
        <f t="shared" ca="1" si="10"/>
        <v>5.0000000000229895E-3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input_434101!A$2</f>
        <v>434101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IFERROR(VLOOKUP(B204,input_434101!L:R,7,FALSE),VLOOKUP(tables_434101!C204,input_434101!A:H,8,FALSE))</f>
        <v>114349.23076000001</v>
      </c>
      <c r="P204" s="46">
        <f t="shared" ca="1" si="10"/>
        <v>4.3811965808630568E-3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input_434101!A$2</f>
        <v>434101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IFERROR(VLOOKUP(B205,input_434101!L:R,7,FALSE),VLOOKUP(tables_434101!C205,input_434101!A:H,8,FALSE))</f>
        <v>204.11538999999999</v>
      </c>
      <c r="P205" s="46">
        <f t="shared" ca="1" si="10"/>
        <v>7.8205130268558806E-6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input_434101!A$2</f>
        <v>434101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IFERROR(VLOOKUP(B206,input_434101!L:R,7,FALSE),VLOOKUP(tables_434101!C206,input_434101!A:H,8,FALSE))</f>
        <v>6272.2857199999999</v>
      </c>
      <c r="P206" s="46">
        <f t="shared" ca="1" si="10"/>
        <v>2.4031746053750343E-4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input_434101!A$2</f>
        <v>434101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IFERROR(VLOOKUP(B207,input_434101!L:R,7,FALSE),VLOOKUP(tables_434101!C207,input_434101!A:H,8,FALSE))</f>
        <v>232</v>
      </c>
      <c r="P207" s="46">
        <f t="shared" ca="1" si="10"/>
        <v>8.8888888889297593E-6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input_434101!A$2</f>
        <v>434101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IFERROR(VLOOKUP(B208,input_434101!L:R,7,FALSE),VLOOKUP(tables_434101!C208,input_434101!A:H,8,FALSE))</f>
        <v>6272.2857199999999</v>
      </c>
      <c r="P208" s="46">
        <f t="shared" ca="1" si="10"/>
        <v>2.4031746053750343E-4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input_434101!A$2</f>
        <v>434101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IFERROR(VLOOKUP(B209,input_434101!L:R,7,FALSE),VLOOKUP(tables_434101!C209,input_434101!A:H,8,FALSE))</f>
        <v>232</v>
      </c>
      <c r="P209" s="46">
        <f t="shared" ca="1" si="10"/>
        <v>8.8888888889297593E-6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input_434101!A$2</f>
        <v>434101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IFERROR(VLOOKUP(B210,input_434101!L:R,7,FALSE),VLOOKUP(tables_434101!C210,input_434101!A:H,8,FALSE))</f>
        <v>130500</v>
      </c>
      <c r="P210" s="46">
        <f t="shared" ca="1" si="10"/>
        <v>5.0000000000229895E-3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input_434101!A$2</f>
        <v>434101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IFERROR(VLOOKUP(B211,input_434101!L:R,7,FALSE),VLOOKUP(tables_434101!C211,input_434101!A:H,8,FALSE))</f>
        <v>114349.23076000001</v>
      </c>
      <c r="P211" s="46">
        <f t="shared" ca="1" si="10"/>
        <v>4.3811965808630568E-3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input_434101!A$2</f>
        <v>434101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IFERROR(VLOOKUP(B212,input_434101!L:R,7,FALSE),VLOOKUP(tables_434101!C212,input_434101!A:H,8,FALSE))</f>
        <v>204.11538999999999</v>
      </c>
      <c r="P212" s="46">
        <f t="shared" ca="1" si="10"/>
        <v>7.8205130268558806E-6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input_434101!A$2</f>
        <v>434101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IFERROR(VLOOKUP(B213,input_434101!L:R,7,FALSE),VLOOKUP(tables_434101!C213,input_434101!A:H,8,FALSE))</f>
        <v>6272.2857199999999</v>
      </c>
      <c r="P213" s="46">
        <f t="shared" ca="1" si="10"/>
        <v>2.4031746053750343E-4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input_434101!A$2</f>
        <v>434101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IFERROR(VLOOKUP(B214,input_434101!L:R,7,FALSE),VLOOKUP(tables_434101!C214,input_434101!A:H,8,FALSE))</f>
        <v>232</v>
      </c>
      <c r="P214" s="46">
        <f t="shared" ca="1" si="10"/>
        <v>8.8888888889297593E-6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input_434101!A$2</f>
        <v>434101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IFERROR(VLOOKUP(B215,input_434101!L:R,7,FALSE),VLOOKUP(tables_434101!C215,input_434101!A:H,8,FALSE))</f>
        <v>6272.2857199999999</v>
      </c>
      <c r="P215" s="46">
        <f t="shared" ca="1" si="10"/>
        <v>2.4031746053750343E-4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input_434101!A$2</f>
        <v>434101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IFERROR(VLOOKUP(B216,input_434101!L:R,7,FALSE),VLOOKUP(tables_434101!C216,input_434101!A:H,8,FALSE))</f>
        <v>232</v>
      </c>
      <c r="P216" s="46">
        <f t="shared" ca="1" si="10"/>
        <v>8.8888888889297593E-6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input_434101!A$2</f>
        <v>434101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IFERROR(VLOOKUP(B217,input_434101!L:R,7,FALSE),VLOOKUP(tables_434101!C217,input_434101!A:H,8,FALSE))</f>
        <v>130500</v>
      </c>
      <c r="P217" s="46">
        <f t="shared" ca="1" si="10"/>
        <v>5.0000000000229895E-3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input_434101!A$2</f>
        <v>434101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IFERROR(VLOOKUP(B218,input_434101!L:R,7,FALSE),VLOOKUP(tables_434101!C218,input_434101!A:H,8,FALSE))</f>
        <v>114349.23076000001</v>
      </c>
      <c r="P218" s="46">
        <f t="shared" ca="1" si="10"/>
        <v>4.3811965808630568E-3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input_434101!A$2</f>
        <v>434101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IFERROR(VLOOKUP(B219,input_434101!L:R,7,FALSE),VLOOKUP(tables_434101!C219,input_434101!A:H,8,FALSE))</f>
        <v>204.11538999999999</v>
      </c>
      <c r="P219" s="46">
        <f t="shared" ca="1" si="10"/>
        <v>7.8205130268558806E-6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input_434101!A$2</f>
        <v>434101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IFERROR(VLOOKUP(B220,input_434101!L:R,7,FALSE),VLOOKUP(tables_434101!C220,input_434101!A:H,8,FALSE))</f>
        <v>130500</v>
      </c>
      <c r="P220" s="46">
        <f t="shared" ca="1" si="10"/>
        <v>5.0000000000229895E-3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input_434101!A$2</f>
        <v>434101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IFERROR(VLOOKUP(B221,input_434101!L:R,7,FALSE),VLOOKUP(tables_434101!C221,input_434101!A:H,8,FALSE))</f>
        <v>114349.23076000001</v>
      </c>
      <c r="P221" s="46">
        <f t="shared" ca="1" si="10"/>
        <v>4.3811965808630568E-3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input_434101!A$2</f>
        <v>434101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IFERROR(VLOOKUP(B222,input_434101!L:R,7,FALSE),VLOOKUP(tables_434101!C222,input_434101!A:H,8,FALSE))</f>
        <v>204.11538999999999</v>
      </c>
      <c r="P222" s="46">
        <f t="shared" ca="1" si="10"/>
        <v>7.8205130268558806E-6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input_434101!A$2</f>
        <v>434101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IFERROR(VLOOKUP(B223,input_434101!L:R,7,FALSE),VLOOKUP(tables_434101!C223,input_434101!A:H,8,FALSE))</f>
        <v>6272.2857199999999</v>
      </c>
      <c r="P223" s="46">
        <f t="shared" ca="1" si="10"/>
        <v>2.4031746053750343E-4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input_434101!A$2</f>
        <v>434101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IFERROR(VLOOKUP(B224,input_434101!L:R,7,FALSE),VLOOKUP(tables_434101!C224,input_434101!A:H,8,FALSE))</f>
        <v>232</v>
      </c>
      <c r="P224" s="46">
        <f t="shared" ca="1" si="10"/>
        <v>8.8888888889297593E-6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input_434101!A$2</f>
        <v>434101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IFERROR(VLOOKUP(B225,input_434101!L:R,7,FALSE),VLOOKUP(tables_434101!C225,input_434101!A:H,8,FALSE))</f>
        <v>130500</v>
      </c>
      <c r="P225" s="46">
        <f t="shared" ca="1" si="10"/>
        <v>5.0000000000229895E-3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input_434101!A$2</f>
        <v>434101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IFERROR(VLOOKUP(B226,input_434101!L:R,7,FALSE),VLOOKUP(tables_434101!C226,input_434101!A:H,8,FALSE))</f>
        <v>114349.23076000001</v>
      </c>
      <c r="P226" s="46">
        <f t="shared" ca="1" si="10"/>
        <v>4.3811965808630568E-3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input_434101!A$2</f>
        <v>434101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IFERROR(VLOOKUP(B227,input_434101!L:R,7,FALSE),VLOOKUP(tables_434101!C227,input_434101!A:H,8,FALSE))</f>
        <v>204.11538999999999</v>
      </c>
      <c r="P227" s="46">
        <f t="shared" ca="1" si="10"/>
        <v>7.8205130268558806E-6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input_434101!A$2</f>
        <v>434101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IFERROR(VLOOKUP(B228,input_434101!L:R,7,FALSE),VLOOKUP(tables_434101!C228,input_434101!A:H,8,FALSE))</f>
        <v>130500</v>
      </c>
      <c r="P228" s="46">
        <f t="shared" ca="1" si="10"/>
        <v>5.0000000000229895E-3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input_434101!A$2</f>
        <v>434101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IFERROR(VLOOKUP(B229,input_434101!L:R,7,FALSE),VLOOKUP(tables_434101!C229,input_434101!A:H,8,FALSE))</f>
        <v>114349.23076000001</v>
      </c>
      <c r="P229" s="46">
        <f t="shared" ca="1" si="10"/>
        <v>4.3811965808630568E-3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input_434101!A$2</f>
        <v>434101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IFERROR(VLOOKUP(B230,input_434101!L:R,7,FALSE),VLOOKUP(tables_434101!C230,input_434101!A:H,8,FALSE))</f>
        <v>204.11538999999999</v>
      </c>
      <c r="P230" s="46">
        <f t="shared" ca="1" si="10"/>
        <v>7.8205130268558806E-6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input_434101!A$2</f>
        <v>434101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IFERROR(VLOOKUP(B231,input_434101!L:R,7,FALSE),VLOOKUP(tables_434101!C231,input_434101!A:H,8,FALSE))</f>
        <v>6272.2857199999999</v>
      </c>
      <c r="P231" s="46">
        <f t="shared" ca="1" si="10"/>
        <v>2.4031746053750343E-4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input_434101!A$2</f>
        <v>434101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IFERROR(VLOOKUP(B232,input_434101!L:R,7,FALSE),VLOOKUP(tables_434101!C232,input_434101!A:H,8,FALSE))</f>
        <v>232</v>
      </c>
      <c r="P232" s="46">
        <f t="shared" ca="1" si="10"/>
        <v>8.8888888889297593E-6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input_434101!A$2</f>
        <v>434101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IFERROR(VLOOKUP(B233,input_434101!L:R,7,FALSE),VLOOKUP(tables_434101!C233,input_434101!A:H,8,FALSE))</f>
        <v>130500</v>
      </c>
      <c r="P233" s="46">
        <f t="shared" ca="1" si="10"/>
        <v>5.0000000000229895E-3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input_434101!A$2</f>
        <v>434101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IFERROR(VLOOKUP(B234,input_434101!L:R,7,FALSE),VLOOKUP(tables_434101!C234,input_434101!A:H,8,FALSE))</f>
        <v>114349.23076000001</v>
      </c>
      <c r="P234" s="46">
        <f t="shared" ca="1" si="10"/>
        <v>4.3811965808630568E-3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input_434101!A$2</f>
        <v>434101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IFERROR(VLOOKUP(B235,input_434101!L:R,7,FALSE),VLOOKUP(tables_434101!C235,input_434101!A:H,8,FALSE))</f>
        <v>204.11538999999999</v>
      </c>
      <c r="P235" s="46">
        <f t="shared" ca="1" si="10"/>
        <v>7.8205130268558806E-6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input_434101!A$2</f>
        <v>434101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IFERROR(VLOOKUP(B236,input_434101!L:R,7,FALSE),VLOOKUP(tables_434101!C236,input_434101!A:H,8,FALSE))</f>
        <v>6272.2857199999999</v>
      </c>
      <c r="P236" s="46">
        <f t="shared" ca="1" si="10"/>
        <v>2.4031746053750343E-4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input_434101!A$2</f>
        <v>434101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IFERROR(VLOOKUP(B237,input_434101!L:R,7,FALSE),VLOOKUP(tables_434101!C237,input_434101!A:H,8,FALSE))</f>
        <v>232</v>
      </c>
      <c r="P237" s="46">
        <f t="shared" ca="1" si="10"/>
        <v>8.8888888889297593E-6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input_434101!A$2</f>
        <v>434101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IFERROR(VLOOKUP(B238,input_434101!L:R,7,FALSE),VLOOKUP(tables_434101!C238,input_434101!A:H,8,FALSE))</f>
        <v>6272.2857199999999</v>
      </c>
      <c r="P238" s="46">
        <f t="shared" ca="1" si="10"/>
        <v>2.4031746053750343E-4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input_434101!A$2</f>
        <v>434101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IFERROR(VLOOKUP(B239,input_434101!L:R,7,FALSE),VLOOKUP(tables_434101!C239,input_434101!A:H,8,FALSE))</f>
        <v>232</v>
      </c>
      <c r="P239" s="46">
        <f t="shared" ca="1" si="10"/>
        <v>8.8888888889297593E-6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input_434101!A$2</f>
        <v>434101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IFERROR(VLOOKUP(B240,input_434101!L:R,7,FALSE),VLOOKUP(tables_434101!C240,input_434101!A:H,8,FALSE))</f>
        <v>130500</v>
      </c>
      <c r="P240" s="46">
        <f t="shared" ca="1" si="10"/>
        <v>5.0000000000229895E-3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input_434101!A$2</f>
        <v>434101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IFERROR(VLOOKUP(B241,input_434101!L:R,7,FALSE),VLOOKUP(tables_434101!C241,input_434101!A:H,8,FALSE))</f>
        <v>114349.23076000001</v>
      </c>
      <c r="P241" s="46">
        <f t="shared" ca="1" si="10"/>
        <v>4.3811965808630568E-3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input_434101!A$2</f>
        <v>434101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IFERROR(VLOOKUP(B242,input_434101!L:R,7,FALSE),VLOOKUP(tables_434101!C242,input_434101!A:H,8,FALSE))</f>
        <v>204.11538999999999</v>
      </c>
      <c r="P242" s="46">
        <f t="shared" ca="1" si="10"/>
        <v>7.8205130268558806E-6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input_434101!A$2</f>
        <v>434101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IFERROR(VLOOKUP(B243,input_434101!L:R,7,FALSE),VLOOKUP(tables_434101!C243,input_434101!A:H,8,FALSE))</f>
        <v>130500</v>
      </c>
      <c r="P243" s="46">
        <f t="shared" ca="1" si="10"/>
        <v>5.0000000000229895E-3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input_434101!A$2</f>
        <v>434101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IFERROR(VLOOKUP(B244,input_434101!L:R,7,FALSE),VLOOKUP(tables_434101!C244,input_434101!A:H,8,FALSE))</f>
        <v>114349.23076000001</v>
      </c>
      <c r="P244" s="46">
        <f t="shared" ca="1" si="10"/>
        <v>4.3811965808630568E-3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input_434101!A$2</f>
        <v>434101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IFERROR(VLOOKUP(B245,input_434101!L:R,7,FALSE),VLOOKUP(tables_434101!C245,input_434101!A:H,8,FALSE))</f>
        <v>204.11538999999999</v>
      </c>
      <c r="P245" s="46">
        <f t="shared" ca="1" si="10"/>
        <v>7.8205130268558806E-6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input_434101!A$2</f>
        <v>434101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IFERROR(VLOOKUP(B246,input_434101!L:R,7,FALSE),VLOOKUP(tables_434101!C246,input_434101!A:H,8,FALSE))</f>
        <v>130500</v>
      </c>
      <c r="P246" s="46">
        <f t="shared" ca="1" si="10"/>
        <v>5.0000000000229895E-3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input_434101!A$2</f>
        <v>434101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IFERROR(VLOOKUP(B247,input_434101!L:R,7,FALSE),VLOOKUP(tables_434101!C247,input_434101!A:H,8,FALSE))</f>
        <v>114349.23076000001</v>
      </c>
      <c r="P247" s="46">
        <f t="shared" ca="1" si="10"/>
        <v>4.3811965808630568E-3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input_434101!A$2</f>
        <v>434101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IFERROR(VLOOKUP(B248,input_434101!L:R,7,FALSE),VLOOKUP(tables_434101!C248,input_434101!A:H,8,FALSE))</f>
        <v>204.11538999999999</v>
      </c>
      <c r="P248" s="46">
        <f t="shared" ca="1" si="10"/>
        <v>7.8205130268558806E-6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input_434101!A$2</f>
        <v>434101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IFERROR(VLOOKUP(B249,input_434101!L:R,7,FALSE),VLOOKUP(tables_434101!C249,input_434101!A:H,8,FALSE))</f>
        <v>130500</v>
      </c>
      <c r="P249" s="46">
        <f t="shared" ca="1" si="10"/>
        <v>5.0000000000229895E-3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input_434101!A$2</f>
        <v>434101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IFERROR(VLOOKUP(B250,input_434101!L:R,7,FALSE),VLOOKUP(tables_434101!C250,input_434101!A:H,8,FALSE))</f>
        <v>114349.23076000001</v>
      </c>
      <c r="P250" s="46">
        <f t="shared" ca="1" si="10"/>
        <v>4.3811965808630568E-3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input_434101!A$2</f>
        <v>434101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IFERROR(VLOOKUP(B251,input_434101!L:R,7,FALSE),VLOOKUP(tables_434101!C251,input_434101!A:H,8,FALSE))</f>
        <v>204.11538999999999</v>
      </c>
      <c r="P251" s="46">
        <f t="shared" ca="1" si="10"/>
        <v>7.8205130268558806E-6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input_434101!A$2</f>
        <v>434101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IFERROR(VLOOKUP(B252,input_434101!L:R,7,FALSE),VLOOKUP(tables_434101!C252,input_434101!A:H,8,FALSE))</f>
        <v>6272.2857199999999</v>
      </c>
      <c r="P252" s="46">
        <f t="shared" ca="1" si="10"/>
        <v>2.4031746053750343E-4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input_434101!A$2</f>
        <v>434101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IFERROR(VLOOKUP(B253,input_434101!L:R,7,FALSE),VLOOKUP(tables_434101!C253,input_434101!A:H,8,FALSE))</f>
        <v>232</v>
      </c>
      <c r="P253" s="46">
        <f t="shared" ca="1" si="10"/>
        <v>8.8888888889297593E-6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input_434101!A$2</f>
        <v>434101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IFERROR(VLOOKUP(B254,input_434101!L:R,7,FALSE),VLOOKUP(tables_434101!C254,input_434101!A:H,8,FALSE))</f>
        <v>6272.2857199999999</v>
      </c>
      <c r="P254" s="46">
        <f t="shared" ca="1" si="10"/>
        <v>2.4031746053750343E-4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input_434101!A$2</f>
        <v>434101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IFERROR(VLOOKUP(B255,input_434101!L:R,7,FALSE),VLOOKUP(tables_434101!C255,input_434101!A:H,8,FALSE))</f>
        <v>232</v>
      </c>
      <c r="P255" s="46">
        <f t="shared" ca="1" si="10"/>
        <v>8.8888888889297593E-6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input_434101!A$2</f>
        <v>434101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IFERROR(VLOOKUP(B256,input_434101!L:R,7,FALSE),VLOOKUP(tables_434101!C256,input_434101!A:H,8,FALSE))</f>
        <v>257862.72729000001</v>
      </c>
      <c r="P256" s="46">
        <f t="shared" ca="1" si="10"/>
        <v>9.8797979805051971E-3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input_434101!A$2</f>
        <v>434101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IFERROR(VLOOKUP(B257,input_434101!L:R,7,FALSE),VLOOKUP(tables_434101!C257,input_434101!A:H,8,FALSE))</f>
        <v>3137.2727100000002</v>
      </c>
      <c r="P257" s="46">
        <f t="shared" ca="1" si="10"/>
        <v>1.2020201954078258E-4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input_434101!A$2</f>
        <v>434101</v>
      </c>
      <c r="B258" s="60">
        <v>730</v>
      </c>
      <c r="C258" s="7" t="str">
        <f t="shared" ref="C258:C319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IFERROR(VLOOKUP(B258,input_434101!L:R,7,FALSE),VLOOKUP(tables_434101!C258,input_434101!A:H,8,FALSE))</f>
        <v>257862.72729000001</v>
      </c>
      <c r="P258" s="46">
        <f t="shared" ref="P258:P319" ca="1" si="13">O258/SUM(O:O)</f>
        <v>9.8797979805051971E-3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input_434101!A$2</f>
        <v>434101</v>
      </c>
      <c r="B259" s="60">
        <v>731</v>
      </c>
      <c r="C259" s="7" t="str">
        <f t="shared" si="12"/>
        <v>Premium5R3less</v>
      </c>
      <c r="D259" s="7" t="str">
        <f t="shared" ref="D259:D31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IFERROR(VLOOKUP(B259,input_434101!L:R,7,FALSE),VLOOKUP(tables_434101!C259,input_434101!A:H,8,FALSE))</f>
        <v>3137.2727100000002</v>
      </c>
      <c r="P259" s="46">
        <f t="shared" ca="1" si="13"/>
        <v>1.2020201954078258E-4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input_434101!A$2</f>
        <v>434101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IFERROR(VLOOKUP(B260,input_434101!L:R,7,FALSE),VLOOKUP(tables_434101!C260,input_434101!A:H,8,FALSE))</f>
        <v>1569.41176</v>
      </c>
      <c r="P260" s="46">
        <f t="shared" ca="1" si="13"/>
        <v>6.0130718774222835E-5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input_434101!A$2</f>
        <v>434101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IFERROR(VLOOKUP(B261,input_434101!L:R,7,FALSE),VLOOKUP(tables_434101!C261,input_434101!A:H,8,FALSE))</f>
        <v>1569.41176</v>
      </c>
      <c r="P261" s="46">
        <f t="shared" ca="1" si="13"/>
        <v>6.0130718774222835E-5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input_434101!A$2</f>
        <v>434101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IFERROR(VLOOKUP(B262,input_434101!L:R,7,FALSE),VLOOKUP(tables_434101!C262,input_434101!A:H,8,FALSE))</f>
        <v>6272.2857199999999</v>
      </c>
      <c r="P262" s="46">
        <f t="shared" ca="1" si="13"/>
        <v>2.4031746053750343E-4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input_434101!A$2</f>
        <v>434101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IFERROR(VLOOKUP(B263,input_434101!L:R,7,FALSE),VLOOKUP(tables_434101!C263,input_434101!A:H,8,FALSE))</f>
        <v>232</v>
      </c>
      <c r="P263" s="46">
        <f t="shared" ca="1" si="13"/>
        <v>8.8888888889297593E-6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input_434101!A$2</f>
        <v>434101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IFERROR(VLOOKUP(B264,input_434101!L:R,7,FALSE),VLOOKUP(tables_434101!C264,input_434101!A:H,8,FALSE))</f>
        <v>6272.2857199999999</v>
      </c>
      <c r="P264" s="46">
        <f t="shared" ca="1" si="13"/>
        <v>2.4031746053750343E-4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input_434101!A$2</f>
        <v>434101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IFERROR(VLOOKUP(B265,input_434101!L:R,7,FALSE),VLOOKUP(tables_434101!C265,input_434101!A:H,8,FALSE))</f>
        <v>232</v>
      </c>
      <c r="P265" s="46">
        <f t="shared" ca="1" si="13"/>
        <v>8.8888888889297593E-6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input_434101!A$2</f>
        <v>434101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IFERROR(VLOOKUP(B266,input_434101!L:R,7,FALSE),VLOOKUP(tables_434101!C266,input_434101!A:H,8,FALSE))</f>
        <v>130500</v>
      </c>
      <c r="P266" s="46">
        <f t="shared" ca="1" si="13"/>
        <v>5.0000000000229895E-3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input_434101!A$2</f>
        <v>434101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IFERROR(VLOOKUP(B267,input_434101!L:R,7,FALSE),VLOOKUP(tables_434101!C267,input_434101!A:H,8,FALSE))</f>
        <v>114349.23076000001</v>
      </c>
      <c r="P267" s="46">
        <f t="shared" ca="1" si="13"/>
        <v>4.3811965808630568E-3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input_434101!A$2</f>
        <v>434101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IFERROR(VLOOKUP(B268,input_434101!L:R,7,FALSE),VLOOKUP(tables_434101!C268,input_434101!A:H,8,FALSE))</f>
        <v>204.11538999999999</v>
      </c>
      <c r="P268" s="46">
        <f t="shared" ca="1" si="13"/>
        <v>7.8205130268558806E-6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input_434101!A$2</f>
        <v>434101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IFERROR(VLOOKUP(B269,input_434101!L:R,7,FALSE),VLOOKUP(tables_434101!C269,input_434101!A:H,8,FALSE))</f>
        <v>130500</v>
      </c>
      <c r="P269" s="46">
        <f t="shared" ca="1" si="13"/>
        <v>5.0000000000229895E-3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input_434101!A$2</f>
        <v>434101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IFERROR(VLOOKUP(B270,input_434101!L:R,7,FALSE),VLOOKUP(tables_434101!C270,input_434101!A:H,8,FALSE))</f>
        <v>114349.23076000001</v>
      </c>
      <c r="P270" s="46">
        <f t="shared" ca="1" si="13"/>
        <v>4.3811965808630568E-3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input_434101!A$2</f>
        <v>434101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IFERROR(VLOOKUP(B271,input_434101!L:R,7,FALSE),VLOOKUP(tables_434101!C271,input_434101!A:H,8,FALSE))</f>
        <v>204.11538999999999</v>
      </c>
      <c r="P271" s="46">
        <f t="shared" ca="1" si="13"/>
        <v>7.8205130268558806E-6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input_434101!A$2</f>
        <v>434101</v>
      </c>
      <c r="B272" s="80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IFERROR(VLOOKUP(B272,input_434101!L:R,7,FALSE),VLOOKUP(tables_434101!C272,input_434101!A:H,8,FALSE))</f>
        <v>1569.41176</v>
      </c>
      <c r="P272" s="46">
        <f t="shared" ca="1" si="13"/>
        <v>6.0130718774222835E-5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input_434101!A$2</f>
        <v>434101</v>
      </c>
      <c r="B273" s="80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IFERROR(VLOOKUP(B273,input_434101!L:R,7,FALSE),VLOOKUP(tables_434101!C273,input_434101!A:H,8,FALSE))</f>
        <v>1569.41176</v>
      </c>
      <c r="P273" s="46">
        <f t="shared" ca="1" si="13"/>
        <v>6.0130718774222835E-5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input_434101!A$2</f>
        <v>434101</v>
      </c>
      <c r="B274" s="80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IFERROR(VLOOKUP(B274,input_434101!L:R,7,FALSE),VLOOKUP(tables_434101!C274,input_434101!A:H,8,FALSE))</f>
        <v>257862.72729000001</v>
      </c>
      <c r="P274" s="46">
        <f t="shared" ca="1" si="13"/>
        <v>9.8797979805051971E-3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input_434101!A$2</f>
        <v>434101</v>
      </c>
      <c r="B275" s="80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IFERROR(VLOOKUP(B275,input_434101!L:R,7,FALSE),VLOOKUP(tables_434101!C275,input_434101!A:H,8,FALSE))</f>
        <v>3137.2727100000002</v>
      </c>
      <c r="P275" s="46">
        <f t="shared" ca="1" si="13"/>
        <v>1.2020201954078258E-4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input_434101!A$2</f>
        <v>434101</v>
      </c>
      <c r="B276" s="80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IFERROR(VLOOKUP(B276,input_434101!L:R,7,FALSE),VLOOKUP(tables_434101!C276,input_434101!A:H,8,FALSE))</f>
        <v>257862.72729000001</v>
      </c>
      <c r="P276" s="46">
        <f t="shared" ca="1" si="13"/>
        <v>9.8797979805051971E-3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input_434101!A$2</f>
        <v>434101</v>
      </c>
      <c r="B277" s="80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IFERROR(VLOOKUP(B277,input_434101!L:R,7,FALSE),VLOOKUP(tables_434101!C277,input_434101!A:H,8,FALSE))</f>
        <v>3137.2727100000002</v>
      </c>
      <c r="P277" s="46">
        <f t="shared" ca="1" si="13"/>
        <v>1.2020201954078258E-4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input_434101!A$2</f>
        <v>434101</v>
      </c>
      <c r="B278" s="80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IFERROR(VLOOKUP(B278,input_434101!L:R,7,FALSE),VLOOKUP(tables_434101!C278,input_434101!A:H,8,FALSE))</f>
        <v>257862.72729000001</v>
      </c>
      <c r="P278" s="46">
        <f t="shared" ca="1" si="13"/>
        <v>9.8797979805051971E-3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input_434101!A$2</f>
        <v>434101</v>
      </c>
      <c r="B279" s="80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IFERROR(VLOOKUP(B279,input_434101!L:R,7,FALSE),VLOOKUP(tables_434101!C279,input_434101!A:H,8,FALSE))</f>
        <v>3137.2727100000002</v>
      </c>
      <c r="P279" s="46">
        <f t="shared" ca="1" si="13"/>
        <v>1.2020201954078258E-4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input_434101!A$2</f>
        <v>434101</v>
      </c>
      <c r="B280" s="80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IFERROR(VLOOKUP(B280,input_434101!L:R,7,FALSE),VLOOKUP(tables_434101!C280,input_434101!A:H,8,FALSE))</f>
        <v>257862.72729000001</v>
      </c>
      <c r="P280" s="46">
        <f t="shared" ca="1" si="13"/>
        <v>9.8797979805051971E-3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input_434101!A$2</f>
        <v>434101</v>
      </c>
      <c r="B281" s="80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IFERROR(VLOOKUP(B281,input_434101!L:R,7,FALSE),VLOOKUP(tables_434101!C281,input_434101!A:H,8,FALSE))</f>
        <v>3137.2727100000002</v>
      </c>
      <c r="P281" s="46">
        <f t="shared" ca="1" si="13"/>
        <v>1.2020201954078258E-4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input_434101!A$2</f>
        <v>434101</v>
      </c>
      <c r="B282" s="80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IFERROR(VLOOKUP(B282,input_434101!L:R,7,FALSE),VLOOKUP(tables_434101!C282,input_434101!A:H,8,FALSE))</f>
        <v>1569.41176</v>
      </c>
      <c r="P282" s="46">
        <f t="shared" ca="1" si="13"/>
        <v>6.0130718774222835E-5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input_434101!A$2</f>
        <v>434101</v>
      </c>
      <c r="B283" s="80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IFERROR(VLOOKUP(B283,input_434101!L:R,7,FALSE),VLOOKUP(tables_434101!C283,input_434101!A:H,8,FALSE))</f>
        <v>1569.41176</v>
      </c>
      <c r="P283" s="46">
        <f t="shared" ca="1" si="13"/>
        <v>6.0130718774222835E-5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input_434101!A$2</f>
        <v>434101</v>
      </c>
      <c r="B284" s="90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IFERROR(VLOOKUP(B284,input_434101!L:R,7,FALSE),VLOOKUP(tables_434101!C284,input_434101!A:H,8,FALSE))</f>
        <v>1569.41176</v>
      </c>
      <c r="P284" s="46">
        <f t="shared" ca="1" si="13"/>
        <v>6.0130718774222835E-5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input_434101!A$2</f>
        <v>434101</v>
      </c>
      <c r="B285" s="90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IFERROR(VLOOKUP(B285,input_434101!L:R,7,FALSE),VLOOKUP(tables_434101!C285,input_434101!A:H,8,FALSE))</f>
        <v>1569.41176</v>
      </c>
      <c r="P285" s="46">
        <f t="shared" ca="1" si="13"/>
        <v>6.0130718774222835E-5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input_434101!A$2</f>
        <v>434101</v>
      </c>
      <c r="B286" s="90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IFERROR(VLOOKUP(B286,input_434101!L:R,7,FALSE),VLOOKUP(tables_434101!C286,input_434101!A:H,8,FALSE))</f>
        <v>257862.72729000001</v>
      </c>
      <c r="P286" s="46">
        <f t="shared" ca="1" si="13"/>
        <v>9.8797979805051971E-3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input_434101!A$2</f>
        <v>434101</v>
      </c>
      <c r="B287" s="90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IFERROR(VLOOKUP(B287,input_434101!L:R,7,FALSE),VLOOKUP(tables_434101!C287,input_434101!A:H,8,FALSE))</f>
        <v>3137.2727100000002</v>
      </c>
      <c r="P287" s="46">
        <f t="shared" ca="1" si="13"/>
        <v>1.2020201954078258E-4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input_434101!A$2</f>
        <v>434101</v>
      </c>
      <c r="B288" s="90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IFERROR(VLOOKUP(B288,input_434101!L:R,7,FALSE),VLOOKUP(tables_434101!C288,input_434101!A:H,8,FALSE))</f>
        <v>257862.72729000001</v>
      </c>
      <c r="P288" s="46">
        <f t="shared" ca="1" si="13"/>
        <v>9.8797979805051971E-3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input_434101!A$2</f>
        <v>434101</v>
      </c>
      <c r="B289" s="90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IFERROR(VLOOKUP(B289,input_434101!L:R,7,FALSE),VLOOKUP(tables_434101!C289,input_434101!A:H,8,FALSE))</f>
        <v>3137.2727100000002</v>
      </c>
      <c r="P289" s="46">
        <f t="shared" ca="1" si="13"/>
        <v>1.2020201954078258E-4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input_434101!A$2</f>
        <v>434101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IFERROR(VLOOKUP(B290,input_434101!L:R,7,FALSE),VLOOKUP(tables_434101!C290,input_434101!A:H,8,FALSE))</f>
        <v>1569.41176</v>
      </c>
      <c r="P290" s="46">
        <f t="shared" ca="1" si="13"/>
        <v>6.0130718774222835E-5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input_434101!A$2</f>
        <v>434101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IFERROR(VLOOKUP(B291,input_434101!L:R,7,FALSE),VLOOKUP(tables_434101!C291,input_434101!A:H,8,FALSE))</f>
        <v>257862.72729000001</v>
      </c>
      <c r="P291" s="46">
        <f t="shared" ca="1" si="13"/>
        <v>9.8797979805051971E-3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input_434101!A$2</f>
        <v>434101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IFERROR(VLOOKUP(B292,input_434101!L:R,7,FALSE),VLOOKUP(tables_434101!C292,input_434101!A:H,8,FALSE))</f>
        <v>3137.2727100000002</v>
      </c>
      <c r="P292" s="46">
        <f t="shared" ca="1" si="13"/>
        <v>1.2020201954078258E-4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input_434101!A$2</f>
        <v>434101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IFERROR(VLOOKUP(B293,input_434101!L:R,7,FALSE),VLOOKUP(tables_434101!C293,input_434101!A:H,8,FALSE))</f>
        <v>1569.41176</v>
      </c>
      <c r="P293" s="46">
        <f t="shared" ca="1" si="13"/>
        <v>6.0130718774222835E-5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input_434101!A$2</f>
        <v>434101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IFERROR(VLOOKUP(B294,input_434101!L:R,7,FALSE),VLOOKUP(tables_434101!C294,input_434101!A:H,8,FALSE))</f>
        <v>1569.41176</v>
      </c>
      <c r="P294" s="46">
        <f t="shared" ca="1" si="13"/>
        <v>6.0130718774222835E-5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input_434101!A$2</f>
        <v>434101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>IFERROR(VLOOKUP(B295,input_434101!L:R,7,FALSE),VLOOKUP(tables_434101!C295,input_434101!A:H,8,FALSE))</f>
        <v>104400</v>
      </c>
      <c r="P295" s="46">
        <f t="shared" ca="1" si="13"/>
        <v>4.0000000000183916E-3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input_434101!A$2</f>
        <v>434101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>IFERROR(VLOOKUP(B296,input_434101!L:R,7,FALSE),VLOOKUP(tables_434101!C296,input_434101!A:H,8,FALSE))</f>
        <v>104400</v>
      </c>
      <c r="P296" s="46">
        <f t="shared" ca="1" si="13"/>
        <v>4.0000000000183916E-3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input_434101!A$2</f>
        <v>434101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>IFERROR(VLOOKUP(B297,input_434101!L:R,7,FALSE),VLOOKUP(tables_434101!C297,input_434101!A:H,8,FALSE))</f>
        <v>495900</v>
      </c>
      <c r="P297" s="46">
        <f t="shared" ca="1" si="13"/>
        <v>1.900000000008736E-2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input_434101!A$2</f>
        <v>434101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>IFERROR(VLOOKUP(B298,input_434101!L:R,7,FALSE),VLOOKUP(tables_434101!C298,input_434101!A:H,8,FALSE))</f>
        <v>26100</v>
      </c>
      <c r="P298" s="46">
        <f t="shared" ca="1" si="13"/>
        <v>1.0000000000045979E-3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input_434101!A$2</f>
        <v>434101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>IFERROR(VLOOKUP(B299,input_434101!L:R,7,FALSE),VLOOKUP(tables_434101!C299,input_434101!A:H,8,FALSE))</f>
        <v>65250</v>
      </c>
      <c r="P299" s="46">
        <f t="shared" ca="1" si="13"/>
        <v>2.5000000000114948E-3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input_434101!A$2</f>
        <v>434101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>IFERROR(VLOOKUP(B300,input_434101!L:R,7,FALSE),VLOOKUP(tables_434101!C300,input_434101!A:H,8,FALSE))</f>
        <v>495900</v>
      </c>
      <c r="P300" s="46">
        <f t="shared" ca="1" si="13"/>
        <v>1.900000000008736E-2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input_434101!A$2</f>
        <v>434101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>IFERROR(VLOOKUP(B301,input_434101!L:R,7,FALSE),VLOOKUP(tables_434101!C301,input_434101!A:H,8,FALSE))</f>
        <v>26100</v>
      </c>
      <c r="P301" s="46">
        <f t="shared" ca="1" si="13"/>
        <v>1.0000000000045979E-3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input_434101!A$2</f>
        <v>434101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>IFERROR(VLOOKUP(B302,input_434101!L:R,7,FALSE),VLOOKUP(tables_434101!C302,input_434101!A:H,8,FALSE))</f>
        <v>104400</v>
      </c>
      <c r="P302" s="46">
        <f t="shared" ca="1" si="13"/>
        <v>4.0000000000183916E-3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input_434101!A$2</f>
        <v>434101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>IFERROR(VLOOKUP(B303,input_434101!L:R,7,FALSE),VLOOKUP(tables_434101!C303,input_434101!A:H,8,FALSE))</f>
        <v>65250</v>
      </c>
      <c r="P303" s="46">
        <f t="shared" ca="1" si="13"/>
        <v>2.5000000000114948E-3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input_434101!A$2</f>
        <v>434101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>IFERROR(VLOOKUP(B304,input_434101!L:R,7,FALSE),VLOOKUP(tables_434101!C304,input_434101!A:H,8,FALSE))</f>
        <v>104400</v>
      </c>
      <c r="P304" s="46">
        <f t="shared" ca="1" si="13"/>
        <v>4.0000000000183916E-3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input_434101!A$2</f>
        <v>434101</v>
      </c>
      <c r="B305" s="5">
        <v>1067</v>
      </c>
      <c r="C305" s="7" t="str">
        <f t="shared" si="12"/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>IFERROR(VLOOKUP(B305,input_434101!L:R,7,FALSE),VLOOKUP(tables_434101!C305,input_434101!A:H,8,FALSE))</f>
        <v>495900</v>
      </c>
      <c r="P305" s="46">
        <f t="shared" ca="1" si="13"/>
        <v>1.900000000008736E-2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input_434101!A$2</f>
        <v>434101</v>
      </c>
      <c r="B306" s="5">
        <v>1068</v>
      </c>
      <c r="C306" s="7" t="str">
        <f t="shared" si="12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>IFERROR(VLOOKUP(B306,input_434101!L:R,7,FALSE),VLOOKUP(tables_434101!C306,input_434101!A:H,8,FALSE))</f>
        <v>26100</v>
      </c>
      <c r="P306" s="46">
        <f t="shared" ca="1" si="13"/>
        <v>1.0000000000045979E-3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input_434101!A$2</f>
        <v>434101</v>
      </c>
      <c r="B307" s="5">
        <v>1069</v>
      </c>
      <c r="C307" s="7" t="str">
        <f t="shared" si="12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>IFERROR(VLOOKUP(B307,input_434101!L:R,7,FALSE),VLOOKUP(tables_434101!C307,input_434101!A:H,8,FALSE))</f>
        <v>104400</v>
      </c>
      <c r="P307" s="46">
        <f t="shared" ca="1" si="13"/>
        <v>4.0000000000183916E-3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input_434101!A$2</f>
        <v>434101</v>
      </c>
      <c r="B308" s="5">
        <v>1072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>IFERROR(VLOOKUP(B308,input_434101!L:R,7,FALSE),VLOOKUP(tables_434101!C308,input_434101!A:H,8,FALSE))</f>
        <v>65250</v>
      </c>
      <c r="P308" s="46">
        <f t="shared" ca="1" si="13"/>
        <v>2.5000000000114948E-3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input_434101!A$2</f>
        <v>434101</v>
      </c>
      <c r="B309" s="5">
        <v>1074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>IFERROR(VLOOKUP(B309,input_434101!L:R,7,FALSE),VLOOKUP(tables_434101!C309,input_434101!A:H,8,FALSE))</f>
        <v>104400</v>
      </c>
      <c r="P309" s="46">
        <f t="shared" ca="1" si="13"/>
        <v>4.0000000000183916E-3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input_434101!A$2</f>
        <v>434101</v>
      </c>
      <c r="B310" s="5">
        <v>1104</v>
      </c>
      <c r="C310" s="7" t="str">
        <f t="shared" si="12"/>
        <v>Premium4R3less</v>
      </c>
      <c r="D310" s="7" t="str">
        <f t="shared" si="1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>IFERROR(VLOOKUP(B310,input_434101!L:R,7,FALSE),VLOOKUP(tables_434101!C310,input_434101!A:H,8,FALSE))</f>
        <v>495900</v>
      </c>
      <c r="P310" s="46">
        <f t="shared" ca="1" si="13"/>
        <v>1.900000000008736E-2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input_434101!A$2</f>
        <v>434101</v>
      </c>
      <c r="B311" s="5">
        <v>1105</v>
      </c>
      <c r="C311" s="7" t="str">
        <f t="shared" si="12"/>
        <v>Premium5R3less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>IFERROR(VLOOKUP(B311,input_434101!L:R,7,FALSE),VLOOKUP(tables_434101!C311,input_434101!A:H,8,FALSE))</f>
        <v>26100</v>
      </c>
      <c r="P311" s="46">
        <f t="shared" ca="1" si="13"/>
        <v>1.0000000000045979E-3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input_434101!A$2</f>
        <v>434101</v>
      </c>
      <c r="B312" s="5">
        <v>1106</v>
      </c>
      <c r="C312" s="7" t="str">
        <f t="shared" si="12"/>
        <v>PremiumSS5R5only</v>
      </c>
      <c r="D312" s="7" t="str">
        <f t="shared" si="1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>IFERROR(VLOOKUP(B312,input_434101!L:R,7,FALSE),VLOOKUP(tables_434101!C312,input_434101!A:H,8,FALSE))</f>
        <v>104400</v>
      </c>
      <c r="P312" s="46">
        <f t="shared" ca="1" si="13"/>
        <v>4.0000000000183916E-3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input_434101!A$2</f>
        <v>434101</v>
      </c>
      <c r="B313" s="5">
        <v>1102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>IFERROR(VLOOKUP(B313,input_434101!L:R,7,FALSE),VLOOKUP(tables_434101!C313,input_434101!A:H,8,FALSE))</f>
        <v>65250</v>
      </c>
      <c r="P313" s="46">
        <f t="shared" ca="1" si="13"/>
        <v>2.5000000000114948E-3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input_434101!A$2</f>
        <v>434101</v>
      </c>
      <c r="B314" s="5">
        <v>1100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>IFERROR(VLOOKUP(B314,input_434101!L:R,7,FALSE),VLOOKUP(tables_434101!C314,input_434101!A:H,8,FALSE))</f>
        <v>104400</v>
      </c>
      <c r="P314" s="46">
        <f t="shared" ca="1" si="13"/>
        <v>4.0000000000183916E-3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input_434101!A$2</f>
        <v>434101</v>
      </c>
      <c r="B315" s="5">
        <v>1137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IFERROR(VLOOKUP(B315,input_434101!L:R,7,FALSE),VLOOKUP(tables_434101!C315,input_434101!A:H,8,FALSE))</f>
        <v>1569.41176</v>
      </c>
      <c r="P315" s="46">
        <f t="shared" ca="1" si="13"/>
        <v>6.0130718774222835E-5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input_434101!A$2</f>
        <v>434101</v>
      </c>
      <c r="B316" s="5">
        <v>1139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IFERROR(VLOOKUP(B316,input_434101!L:R,7,FALSE),VLOOKUP(tables_434101!C316,input_434101!A:H,8,FALSE))</f>
        <v>1569.41176</v>
      </c>
      <c r="P316" s="46">
        <f t="shared" ca="1" si="13"/>
        <v>6.0130718774222835E-5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input_434101!A$2</f>
        <v>434101</v>
      </c>
      <c r="B317" s="5">
        <v>1141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IFERROR(VLOOKUP(B317,input_434101!L:R,7,FALSE),VLOOKUP(tables_434101!C317,input_434101!A:H,8,FALSE))</f>
        <v>1569.41176</v>
      </c>
      <c r="P317" s="46">
        <f t="shared" ca="1" si="13"/>
        <v>6.0130718774222835E-5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input_434101!A$2</f>
        <v>434101</v>
      </c>
      <c r="B318" s="5">
        <v>1143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IFERROR(VLOOKUP(B318,input_434101!L:R,7,FALSE),VLOOKUP(tables_434101!C318,input_434101!A:H,8,FALSE))</f>
        <v>257862.72729000001</v>
      </c>
      <c r="P318" s="46">
        <f t="shared" ca="1" si="13"/>
        <v>9.8797979805051971E-3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input_434101!A$2</f>
        <v>434101</v>
      </c>
      <c r="B319" s="5">
        <v>1144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IFERROR(VLOOKUP(B319,input_434101!L:R,7,FALSE),VLOOKUP(tables_434101!C319,input_434101!A:H,8,FALSE))</f>
        <v>3137.2727100000002</v>
      </c>
      <c r="P319" s="46">
        <f t="shared" ca="1" si="13"/>
        <v>1.2020201954078258E-4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input_434101!A$2</f>
        <v>434101</v>
      </c>
      <c r="B320" s="2">
        <v>1153</v>
      </c>
      <c r="C320" s="7" t="str">
        <f t="shared" ref="C320:C324" si="15">D320&amp;J320&amp;E320&amp;F320&amp;G320</f>
        <v>PremiumSS5R5only</v>
      </c>
      <c r="D320" s="7" t="str">
        <f t="shared" ref="D320:D324" si="16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ラクシュミー</v>
      </c>
      <c r="I320" s="7" t="str">
        <f>VLOOKUP(B320,[1]characters!$A:$J,10,FALSE)</f>
        <v>PremiumSSW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IFERROR(VLOOKUP(B320,input_434101!L:R,7,FALSE),VLOOKUP(tables_434101!C320,input_434101!A:H,8,FALSE))</f>
        <v>1569.41176</v>
      </c>
      <c r="P320" s="46">
        <f t="shared" ref="P320:P324" ca="1" si="17">O320/SUM(O:O)</f>
        <v>6.0130718774222835E-5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input_434101!A$2</f>
        <v>434101</v>
      </c>
      <c r="B321" s="2">
        <v>1155</v>
      </c>
      <c r="C321" s="7" t="str">
        <f t="shared" si="15"/>
        <v>PremiumSS5R5only</v>
      </c>
      <c r="D321" s="7" t="str">
        <f t="shared" si="16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ドゥルガー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balance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IFERROR(VLOOKUP(B321,input_434101!L:R,7,FALSE),VLOOKUP(tables_434101!C321,input_434101!A:H,8,FALSE))</f>
        <v>1569.41176</v>
      </c>
      <c r="P321" s="46">
        <f t="shared" ca="1" si="17"/>
        <v>6.0130718774222835E-5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input_434101!A$2</f>
        <v>434101</v>
      </c>
      <c r="B322" s="2">
        <v>1157</v>
      </c>
      <c r="C322" s="7" t="str">
        <f t="shared" si="15"/>
        <v>PremiumSS5R5only</v>
      </c>
      <c r="D322" s="7" t="str">
        <f t="shared" si="16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インドラ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attack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IFERROR(VLOOKUP(B322,input_434101!L:R,7,FALSE),VLOOKUP(tables_434101!C322,input_434101!A:H,8,FALSE))</f>
        <v>1569.41176</v>
      </c>
      <c r="P322" s="46">
        <f t="shared" ca="1" si="17"/>
        <v>6.0130718774222835E-5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input_434101!A$2</f>
        <v>434101</v>
      </c>
      <c r="B323" s="2">
        <v>1151</v>
      </c>
      <c r="C323" s="7" t="str">
        <f t="shared" si="15"/>
        <v>Premium4R3less</v>
      </c>
      <c r="D323" s="7" t="str">
        <f t="shared" si="16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/>
      <c r="H323" s="7" t="str">
        <f>VLOOKUP(B323,[1]characters!$A:$C,3,FALSE)</f>
        <v>ガネーシャ</v>
      </c>
      <c r="I323" s="7" t="str">
        <f>VLOOKUP(B323,[1]characters!$A:$J,10,FALSE)</f>
        <v>PremiumS</v>
      </c>
      <c r="J323" s="7">
        <f>VLOOKUP(B323,[1]characters!$A:$I,9,FALSE)</f>
        <v>4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IFERROR(VLOOKUP(B323,input_434101!L:R,7,FALSE),VLOOKUP(tables_434101!C323,input_434101!A:H,8,FALSE))</f>
        <v>257862.72729000001</v>
      </c>
      <c r="P323" s="46">
        <f t="shared" ca="1" si="17"/>
        <v>9.8797979805051971E-3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input_434101!A$2</f>
        <v>434101</v>
      </c>
      <c r="B324" s="2">
        <v>1152</v>
      </c>
      <c r="C324" s="7" t="str">
        <f t="shared" si="15"/>
        <v>Premium5R3less</v>
      </c>
      <c r="D324" s="7" t="str">
        <f t="shared" si="16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衆知の富益神 ガネーシャ</v>
      </c>
      <c r="I324" s="7" t="str">
        <f>VLOOKUP(B324,[1]characters!$A:$J,10,FALSE)</f>
        <v>PremiumS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heal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IFERROR(VLOOKUP(B324,input_434101!L:R,7,FALSE),VLOOKUP(tables_434101!C324,input_434101!A:H,8,FALSE))</f>
        <v>3137.2727100000002</v>
      </c>
      <c r="P324" s="46">
        <f t="shared" ca="1" si="17"/>
        <v>1.2020201954078258E-4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128"/>
  <sheetViews>
    <sheetView showGridLines="0" zoomScale="75" zoomScaleNormal="75" zoomScalePageLayoutView="75" workbookViewId="0">
      <pane ySplit="1" topLeftCell="A103" activePane="bottomLeft" state="frozen"/>
      <selection activeCell="D34" sqref="D34"/>
      <selection pane="bottomLeft" activeCell="N127" sqref="N12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input_434100!A$2</f>
        <v>434100</v>
      </c>
      <c r="B2" s="5">
        <v>168</v>
      </c>
      <c r="C2" s="7" t="str">
        <f t="shared" ref="C2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95">
        <v>6156</v>
      </c>
      <c r="P2" s="46">
        <f>O2/SUM(O:O)</f>
        <v>1.3571428571428571E-2</v>
      </c>
      <c r="Q2" s="97">
        <v>80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input_434100!A$2</f>
        <v>434100</v>
      </c>
      <c r="B3" s="5">
        <v>171</v>
      </c>
      <c r="C3" s="7" t="str">
        <f t="shared" ref="C3:C66" si="1">D3&amp;J3&amp;E3&amp;F3&amp;G3</f>
        <v>Premium5R6release</v>
      </c>
      <c r="D3" s="7" t="str">
        <f t="shared" ref="D3:D66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95">
        <v>6156</v>
      </c>
      <c r="P3" s="46">
        <f t="shared" ref="P3:P66" si="3">O3/SUM(O:O)</f>
        <v>1.3571428571428571E-2</v>
      </c>
      <c r="Q3" s="97">
        <v>80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input_434100!A$2</f>
        <v>434100</v>
      </c>
      <c r="B4" s="5">
        <v>174</v>
      </c>
      <c r="C4" s="7" t="str">
        <f t="shared" si="1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95">
        <v>6156</v>
      </c>
      <c r="P4" s="46">
        <f t="shared" si="3"/>
        <v>1.3571428571428571E-2</v>
      </c>
      <c r="Q4" s="97">
        <v>80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input_434100!A$2</f>
        <v>434100</v>
      </c>
      <c r="B5" s="5">
        <v>177</v>
      </c>
      <c r="C5" s="7" t="str">
        <f t="shared" si="1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95">
        <v>6156</v>
      </c>
      <c r="P5" s="46">
        <f t="shared" si="3"/>
        <v>1.3571428571428571E-2</v>
      </c>
      <c r="Q5" s="97">
        <v>80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input_434100!A$2</f>
        <v>434100</v>
      </c>
      <c r="B6" s="5">
        <v>180</v>
      </c>
      <c r="C6" s="7" t="str">
        <f t="shared" si="1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95">
        <v>6156</v>
      </c>
      <c r="P6" s="46">
        <f t="shared" si="3"/>
        <v>1.3571428571428571E-2</v>
      </c>
      <c r="Q6" s="97">
        <v>80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input_434100!A$2</f>
        <v>434100</v>
      </c>
      <c r="B7" s="2">
        <v>183</v>
      </c>
      <c r="C7" s="7" t="str">
        <f t="shared" si="1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95">
        <v>6156</v>
      </c>
      <c r="P7" s="46">
        <f t="shared" si="3"/>
        <v>1.3571428571428571E-2</v>
      </c>
      <c r="Q7" s="97">
        <v>80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input_434100!A$2</f>
        <v>434100</v>
      </c>
      <c r="B8" s="2">
        <v>186</v>
      </c>
      <c r="C8" s="7" t="str">
        <f t="shared" si="1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95">
        <v>6156</v>
      </c>
      <c r="P8" s="46">
        <f t="shared" si="3"/>
        <v>1.3571428571428571E-2</v>
      </c>
      <c r="Q8" s="97">
        <v>80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input_434100!A$2</f>
        <v>434100</v>
      </c>
      <c r="B9" s="2">
        <v>189</v>
      </c>
      <c r="C9" s="7" t="str">
        <f t="shared" si="1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95">
        <v>6156</v>
      </c>
      <c r="P9" s="46">
        <f t="shared" si="3"/>
        <v>1.3571428571428571E-2</v>
      </c>
      <c r="Q9" s="97">
        <v>80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input_434100!A$2</f>
        <v>434100</v>
      </c>
      <c r="B10" s="2">
        <v>192</v>
      </c>
      <c r="C10" s="7" t="str">
        <f t="shared" si="1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95">
        <v>6156</v>
      </c>
      <c r="P10" s="46">
        <f t="shared" si="3"/>
        <v>1.3571428571428571E-2</v>
      </c>
      <c r="Q10" s="97">
        <v>80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input_434100!A$2</f>
        <v>434100</v>
      </c>
      <c r="B11" s="2">
        <v>195</v>
      </c>
      <c r="C11" s="7" t="str">
        <f t="shared" si="1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95">
        <v>6156</v>
      </c>
      <c r="P11" s="46">
        <f t="shared" si="3"/>
        <v>1.3571428571428571E-2</v>
      </c>
      <c r="Q11" s="97">
        <v>80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input_434100!A$2</f>
        <v>434100</v>
      </c>
      <c r="B12" s="2">
        <v>198</v>
      </c>
      <c r="C12" s="7" t="str">
        <f t="shared" si="1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95">
        <v>6156</v>
      </c>
      <c r="P12" s="46">
        <f t="shared" si="3"/>
        <v>1.3571428571428571E-2</v>
      </c>
      <c r="Q12" s="97">
        <v>80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input_434100!A$2</f>
        <v>434100</v>
      </c>
      <c r="B13" s="2">
        <v>201</v>
      </c>
      <c r="C13" s="7" t="str">
        <f t="shared" si="1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95">
        <v>6156</v>
      </c>
      <c r="P13" s="46">
        <f t="shared" si="3"/>
        <v>1.3571428571428571E-2</v>
      </c>
      <c r="Q13" s="97">
        <v>80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input_434100!A$2</f>
        <v>434100</v>
      </c>
      <c r="B14" s="2">
        <v>204</v>
      </c>
      <c r="C14" s="7" t="str">
        <f t="shared" si="1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95">
        <v>6156</v>
      </c>
      <c r="P14" s="46">
        <f t="shared" si="3"/>
        <v>1.3571428571428571E-2</v>
      </c>
      <c r="Q14" s="97">
        <v>80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input_434100!A$2</f>
        <v>434100</v>
      </c>
      <c r="B15" s="2">
        <v>207</v>
      </c>
      <c r="C15" s="7" t="str">
        <f t="shared" si="1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95">
        <v>6156</v>
      </c>
      <c r="P15" s="46">
        <f t="shared" si="3"/>
        <v>1.3571428571428571E-2</v>
      </c>
      <c r="Q15" s="97">
        <v>80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input_434100!A$2</f>
        <v>434100</v>
      </c>
      <c r="B16" s="2">
        <v>210</v>
      </c>
      <c r="C16" s="7" t="str">
        <f t="shared" si="1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95">
        <v>6156</v>
      </c>
      <c r="P16" s="46">
        <f t="shared" si="3"/>
        <v>1.3571428571428571E-2</v>
      </c>
      <c r="Q16" s="97">
        <v>80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input_434100!A$2</f>
        <v>434100</v>
      </c>
      <c r="B17" s="2">
        <v>213</v>
      </c>
      <c r="C17" s="7" t="str">
        <f t="shared" si="1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95">
        <v>6156</v>
      </c>
      <c r="P17" s="46">
        <f t="shared" si="3"/>
        <v>1.3571428571428571E-2</v>
      </c>
      <c r="Q17" s="97">
        <v>80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input_434100!A$2</f>
        <v>434100</v>
      </c>
      <c r="B18" s="2">
        <v>216</v>
      </c>
      <c r="C18" s="7" t="str">
        <f t="shared" si="1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95">
        <v>6156</v>
      </c>
      <c r="P18" s="46">
        <f t="shared" si="3"/>
        <v>1.3571428571428571E-2</v>
      </c>
      <c r="Q18" s="97">
        <v>80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 t="str">
        <f ca="1">input_434100!A$2</f>
        <v>434100</v>
      </c>
      <c r="B19" s="2">
        <v>219</v>
      </c>
      <c r="C19" s="7" t="str">
        <f t="shared" si="1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95">
        <v>6156</v>
      </c>
      <c r="P19" s="46">
        <f t="shared" si="3"/>
        <v>1.3571428571428571E-2</v>
      </c>
      <c r="Q19" s="97">
        <v>80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input_434100!A$2</f>
        <v>434100</v>
      </c>
      <c r="B20" s="2">
        <v>222</v>
      </c>
      <c r="C20" s="7" t="str">
        <f t="shared" si="1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95">
        <v>6156</v>
      </c>
      <c r="P20" s="46">
        <f t="shared" si="3"/>
        <v>1.3571428571428571E-2</v>
      </c>
      <c r="Q20" s="97">
        <v>80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input_434100!A$2</f>
        <v>434100</v>
      </c>
      <c r="B21" s="2">
        <v>225</v>
      </c>
      <c r="C21" s="7" t="str">
        <f t="shared" si="1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95">
        <v>6156</v>
      </c>
      <c r="P21" s="46">
        <f t="shared" si="3"/>
        <v>1.3571428571428571E-2</v>
      </c>
      <c r="Q21" s="97">
        <v>80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input_434100!A$2</f>
        <v>434100</v>
      </c>
      <c r="B22" s="2">
        <v>228</v>
      </c>
      <c r="C22" s="7" t="str">
        <f t="shared" si="1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95">
        <v>6156</v>
      </c>
      <c r="P22" s="46">
        <f t="shared" si="3"/>
        <v>1.3571428571428571E-2</v>
      </c>
      <c r="Q22" s="97">
        <v>80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input_434100!A$2</f>
        <v>434100</v>
      </c>
      <c r="B23" s="2">
        <v>231</v>
      </c>
      <c r="C23" s="7" t="str">
        <f t="shared" si="1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95">
        <v>6156</v>
      </c>
      <c r="P23" s="46">
        <f t="shared" si="3"/>
        <v>1.3571428571428571E-2</v>
      </c>
      <c r="Q23" s="97">
        <v>80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input_434100!A$2</f>
        <v>434100</v>
      </c>
      <c r="B24" s="2">
        <v>234</v>
      </c>
      <c r="C24" s="7" t="str">
        <f t="shared" si="1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95">
        <v>6156</v>
      </c>
      <c r="P24" s="46">
        <f t="shared" si="3"/>
        <v>1.3571428571428571E-2</v>
      </c>
      <c r="Q24" s="97">
        <v>80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input_434100!A$2</f>
        <v>434100</v>
      </c>
      <c r="B25" s="2">
        <v>237</v>
      </c>
      <c r="C25" s="7" t="str">
        <f t="shared" si="1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95">
        <v>6156</v>
      </c>
      <c r="P25" s="46">
        <f t="shared" si="3"/>
        <v>1.3571428571428571E-2</v>
      </c>
      <c r="Q25" s="97">
        <v>80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input_434100!A$2</f>
        <v>434100</v>
      </c>
      <c r="B26" s="2">
        <v>240</v>
      </c>
      <c r="C26" s="7" t="str">
        <f t="shared" si="1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95">
        <v>6156</v>
      </c>
      <c r="P26" s="46">
        <f t="shared" si="3"/>
        <v>1.3571428571428571E-2</v>
      </c>
      <c r="Q26" s="97">
        <v>80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input_434100!A$2</f>
        <v>434100</v>
      </c>
      <c r="B27" s="2">
        <v>243</v>
      </c>
      <c r="C27" s="7" t="str">
        <f t="shared" si="1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95">
        <v>6156</v>
      </c>
      <c r="P27" s="46">
        <f t="shared" si="3"/>
        <v>1.3571428571428571E-2</v>
      </c>
      <c r="Q27" s="97">
        <v>80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input_434100!A$2</f>
        <v>434100</v>
      </c>
      <c r="B28" s="2">
        <v>246</v>
      </c>
      <c r="C28" s="7" t="str">
        <f t="shared" si="1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95">
        <v>6156</v>
      </c>
      <c r="P28" s="46">
        <f t="shared" si="3"/>
        <v>1.3571428571428571E-2</v>
      </c>
      <c r="Q28" s="97">
        <v>80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input_434100!A$2</f>
        <v>434100</v>
      </c>
      <c r="B29" s="2">
        <v>249</v>
      </c>
      <c r="C29" s="7" t="str">
        <f t="shared" si="1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95">
        <v>6156</v>
      </c>
      <c r="P29" s="46">
        <f t="shared" si="3"/>
        <v>1.3571428571428571E-2</v>
      </c>
      <c r="Q29" s="97">
        <v>80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input_434100!A$2</f>
        <v>434100</v>
      </c>
      <c r="B30" s="2">
        <v>252</v>
      </c>
      <c r="C30" s="7" t="str">
        <f t="shared" si="1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95">
        <v>6156</v>
      </c>
      <c r="P30" s="46">
        <f t="shared" si="3"/>
        <v>1.3571428571428571E-2</v>
      </c>
      <c r="Q30" s="97">
        <v>80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input_434100!A$2</f>
        <v>434100</v>
      </c>
      <c r="B31" s="2">
        <v>255</v>
      </c>
      <c r="C31" s="7" t="str">
        <f t="shared" si="1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95">
        <v>6156</v>
      </c>
      <c r="P31" s="46">
        <f t="shared" si="3"/>
        <v>1.3571428571428571E-2</v>
      </c>
      <c r="Q31" s="97">
        <v>80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input_434100!A$2</f>
        <v>434100</v>
      </c>
      <c r="B32" s="2">
        <v>258</v>
      </c>
      <c r="C32" s="7" t="str">
        <f t="shared" si="1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95">
        <v>6156</v>
      </c>
      <c r="P32" s="46">
        <f t="shared" si="3"/>
        <v>1.3571428571428571E-2</v>
      </c>
      <c r="Q32" s="97">
        <v>80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input_434100!A$2</f>
        <v>434100</v>
      </c>
      <c r="B33" s="2">
        <v>261</v>
      </c>
      <c r="C33" s="7" t="str">
        <f t="shared" si="1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95">
        <v>6156</v>
      </c>
      <c r="P33" s="46">
        <f t="shared" si="3"/>
        <v>1.3571428571428571E-2</v>
      </c>
      <c r="Q33" s="97">
        <v>80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input_434100!A$2</f>
        <v>434100</v>
      </c>
      <c r="B34" s="2">
        <v>321</v>
      </c>
      <c r="C34" s="7" t="str">
        <f t="shared" si="1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95">
        <v>420</v>
      </c>
      <c r="P34" s="46">
        <f t="shared" si="3"/>
        <v>9.2592592592592596E-4</v>
      </c>
      <c r="Q34" s="97">
        <v>80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input_434100!A$2</f>
        <v>434100</v>
      </c>
      <c r="B35" s="2">
        <v>323</v>
      </c>
      <c r="C35" s="7" t="str">
        <f t="shared" si="1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95">
        <v>420</v>
      </c>
      <c r="P35" s="46">
        <f t="shared" si="3"/>
        <v>9.2592592592592596E-4</v>
      </c>
      <c r="Q35" s="97">
        <v>80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input_434100!A$2</f>
        <v>434100</v>
      </c>
      <c r="B36" s="2">
        <v>325</v>
      </c>
      <c r="C36" s="7" t="str">
        <f t="shared" si="1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95">
        <v>420</v>
      </c>
      <c r="P36" s="46">
        <f t="shared" si="3"/>
        <v>9.2592592592592596E-4</v>
      </c>
      <c r="Q36" s="97">
        <v>80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input_434100!A$2</f>
        <v>434100</v>
      </c>
      <c r="B37" s="2">
        <v>327</v>
      </c>
      <c r="C37" s="7" t="str">
        <f t="shared" si="1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95">
        <v>420</v>
      </c>
      <c r="P37" s="46">
        <f t="shared" si="3"/>
        <v>9.2592592592592596E-4</v>
      </c>
      <c r="Q37" s="97">
        <v>80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input_434100!A$2</f>
        <v>434100</v>
      </c>
      <c r="B38" s="2">
        <v>382</v>
      </c>
      <c r="C38" s="7" t="str">
        <f t="shared" si="1"/>
        <v>Premium5</v>
      </c>
      <c r="D38" s="7" t="str">
        <f t="shared" si="2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95">
        <v>6156</v>
      </c>
      <c r="P38" s="46">
        <f t="shared" si="3"/>
        <v>1.3571428571428571E-2</v>
      </c>
      <c r="Q38" s="97">
        <v>80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input_434100!A$2</f>
        <v>434100</v>
      </c>
      <c r="B39" s="2">
        <v>384</v>
      </c>
      <c r="C39" s="7" t="str">
        <f t="shared" si="1"/>
        <v>PremiumSS5</v>
      </c>
      <c r="D39" s="7" t="str">
        <f t="shared" si="2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95">
        <v>420</v>
      </c>
      <c r="P39" s="46">
        <f t="shared" si="3"/>
        <v>9.2592592592592596E-4</v>
      </c>
      <c r="Q39" s="97">
        <v>80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input_434100!A$2</f>
        <v>434100</v>
      </c>
      <c r="B40" s="2">
        <v>386</v>
      </c>
      <c r="C40" s="7" t="str">
        <f t="shared" si="1"/>
        <v>PremiumSS5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95">
        <v>420</v>
      </c>
      <c r="P40" s="46">
        <f t="shared" si="3"/>
        <v>9.2592592592592596E-4</v>
      </c>
      <c r="Q40" s="97">
        <v>80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input_434100!A$2</f>
        <v>434100</v>
      </c>
      <c r="B41" s="2">
        <v>389</v>
      </c>
      <c r="C41" s="7" t="str">
        <f t="shared" si="1"/>
        <v>Premium5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95">
        <v>6156</v>
      </c>
      <c r="P41" s="46">
        <f t="shared" si="3"/>
        <v>1.3571428571428571E-2</v>
      </c>
      <c r="Q41" s="97">
        <v>80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input_434100!A$2</f>
        <v>434100</v>
      </c>
      <c r="B42" s="2">
        <v>391</v>
      </c>
      <c r="C42" s="7" t="str">
        <f t="shared" si="1"/>
        <v>PremiumSS5</v>
      </c>
      <c r="D42" s="7" t="str">
        <f t="shared" si="2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95">
        <v>420</v>
      </c>
      <c r="P42" s="46">
        <f t="shared" si="3"/>
        <v>9.2592592592592596E-4</v>
      </c>
      <c r="Q42" s="97">
        <v>80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input_434100!A$2</f>
        <v>434100</v>
      </c>
      <c r="B43" s="2">
        <v>394</v>
      </c>
      <c r="C43" s="7" t="str">
        <f t="shared" si="1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95">
        <v>6156</v>
      </c>
      <c r="P43" s="46">
        <f t="shared" si="3"/>
        <v>1.3571428571428571E-2</v>
      </c>
      <c r="Q43" s="97">
        <v>80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input_434100!A$2</f>
        <v>434100</v>
      </c>
      <c r="B44" s="2">
        <v>397</v>
      </c>
      <c r="C44" s="7" t="str">
        <f t="shared" si="1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95">
        <v>6156</v>
      </c>
      <c r="P44" s="46">
        <f t="shared" si="3"/>
        <v>1.3571428571428571E-2</v>
      </c>
      <c r="Q44" s="97"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input_434100!A$2</f>
        <v>434100</v>
      </c>
      <c r="B45" s="2">
        <v>399</v>
      </c>
      <c r="C45" s="7" t="str">
        <f t="shared" si="1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95">
        <v>420</v>
      </c>
      <c r="P45" s="46">
        <f t="shared" si="3"/>
        <v>9.2592592592592596E-4</v>
      </c>
      <c r="Q45" s="97">
        <v>80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input_434100!A$2</f>
        <v>434100</v>
      </c>
      <c r="B46" s="2">
        <v>402</v>
      </c>
      <c r="C46" s="7" t="str">
        <f t="shared" si="1"/>
        <v>Premium5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95">
        <v>6156</v>
      </c>
      <c r="P46" s="46">
        <f t="shared" si="3"/>
        <v>1.3571428571428571E-2</v>
      </c>
      <c r="Q46" s="97">
        <v>80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input_434100!A$2</f>
        <v>434100</v>
      </c>
      <c r="B47" s="2">
        <v>404</v>
      </c>
      <c r="C47" s="7" t="str">
        <f t="shared" si="1"/>
        <v>PremiumSS5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95">
        <v>420</v>
      </c>
      <c r="P47" s="46">
        <f t="shared" si="3"/>
        <v>9.2592592592592596E-4</v>
      </c>
      <c r="Q47" s="97"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input_434100!A$2</f>
        <v>434100</v>
      </c>
      <c r="B48" s="2">
        <v>407</v>
      </c>
      <c r="C48" s="7" t="str">
        <f t="shared" si="1"/>
        <v>Premium5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95">
        <v>6156</v>
      </c>
      <c r="P48" s="46">
        <f t="shared" si="3"/>
        <v>1.3571428571428571E-2</v>
      </c>
      <c r="Q48" s="97">
        <v>80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input_434100!A$2</f>
        <v>434100</v>
      </c>
      <c r="B49" s="2">
        <v>409</v>
      </c>
      <c r="C49" s="7" t="str">
        <f t="shared" si="1"/>
        <v>PremiumSS5</v>
      </c>
      <c r="D49" s="7" t="str">
        <f t="shared" si="2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95">
        <v>420</v>
      </c>
      <c r="P49" s="46">
        <f t="shared" si="3"/>
        <v>9.2592592592592596E-4</v>
      </c>
      <c r="Q49" s="97">
        <v>80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input_434100!A$2</f>
        <v>434100</v>
      </c>
      <c r="B50" s="2">
        <v>435</v>
      </c>
      <c r="C50" s="7" t="str">
        <f t="shared" si="1"/>
        <v>PremiumSS5</v>
      </c>
      <c r="D50" s="7" t="str">
        <f t="shared" si="2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95">
        <v>420</v>
      </c>
      <c r="P50" s="46">
        <f t="shared" si="3"/>
        <v>9.2592592592592596E-4</v>
      </c>
      <c r="Q50" s="97"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input_434100!A$2</f>
        <v>434100</v>
      </c>
      <c r="B51" s="2">
        <v>438</v>
      </c>
      <c r="C51" s="7" t="str">
        <f t="shared" si="1"/>
        <v>Premium5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95">
        <v>6156</v>
      </c>
      <c r="P51" s="46">
        <f t="shared" si="3"/>
        <v>1.3571428571428571E-2</v>
      </c>
      <c r="Q51" s="97">
        <v>80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input_434100!A$2</f>
        <v>434100</v>
      </c>
      <c r="B52" s="2">
        <v>441</v>
      </c>
      <c r="C52" s="7" t="str">
        <f t="shared" si="1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95">
        <v>6156</v>
      </c>
      <c r="P52" s="46">
        <f t="shared" si="3"/>
        <v>1.3571428571428571E-2</v>
      </c>
      <c r="Q52" s="97">
        <v>80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input_434100!A$2</f>
        <v>434100</v>
      </c>
      <c r="B53" s="2">
        <v>443</v>
      </c>
      <c r="C53" s="7" t="str">
        <f t="shared" si="1"/>
        <v>PremiumSS5</v>
      </c>
      <c r="D53" s="7" t="str">
        <f t="shared" si="2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95">
        <v>420</v>
      </c>
      <c r="P53" s="46">
        <f t="shared" si="3"/>
        <v>9.2592592592592596E-4</v>
      </c>
      <c r="Q53" s="97"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input_434100!A$2</f>
        <v>434100</v>
      </c>
      <c r="B54" s="2">
        <v>464</v>
      </c>
      <c r="C54" s="7" t="str">
        <f t="shared" si="1"/>
        <v>Premium5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95">
        <v>6156</v>
      </c>
      <c r="P54" s="46">
        <f t="shared" si="3"/>
        <v>1.3571428571428571E-2</v>
      </c>
      <c r="Q54" s="97">
        <v>80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input_434100!A$2</f>
        <v>434100</v>
      </c>
      <c r="B55" s="2">
        <v>466</v>
      </c>
      <c r="C55" s="7" t="str">
        <f t="shared" si="1"/>
        <v>PremiumSS5</v>
      </c>
      <c r="D55" s="7" t="str">
        <f t="shared" si="2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95">
        <v>420</v>
      </c>
      <c r="P55" s="46">
        <f t="shared" si="3"/>
        <v>9.2592592592592596E-4</v>
      </c>
      <c r="Q55" s="97">
        <v>80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input_434100!A$2</f>
        <v>434100</v>
      </c>
      <c r="B56" s="2">
        <v>468</v>
      </c>
      <c r="C56" s="7" t="str">
        <f t="shared" si="1"/>
        <v>PremiumSS5</v>
      </c>
      <c r="D56" s="7" t="str">
        <f t="shared" si="2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95">
        <v>420</v>
      </c>
      <c r="P56" s="46">
        <f t="shared" si="3"/>
        <v>9.2592592592592596E-4</v>
      </c>
      <c r="Q56" s="97"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input_434100!A$2</f>
        <v>434100</v>
      </c>
      <c r="B57" s="2">
        <v>471</v>
      </c>
      <c r="C57" s="7" t="str">
        <f t="shared" si="1"/>
        <v>Premium5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95">
        <v>6156</v>
      </c>
      <c r="P57" s="46">
        <f t="shared" si="3"/>
        <v>1.3571428571428571E-2</v>
      </c>
      <c r="Q57" s="97">
        <v>80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input_434100!A$2</f>
        <v>434100</v>
      </c>
      <c r="B58" s="2">
        <v>475</v>
      </c>
      <c r="C58" s="7" t="str">
        <f t="shared" si="1"/>
        <v>PremiumSS5</v>
      </c>
      <c r="D58" s="7" t="str">
        <f t="shared" si="2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95">
        <v>420</v>
      </c>
      <c r="P58" s="46">
        <f t="shared" si="3"/>
        <v>9.2592592592592596E-4</v>
      </c>
      <c r="Q58" s="97">
        <v>80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input_434100!A$2</f>
        <v>434100</v>
      </c>
      <c r="B59" s="2">
        <v>478</v>
      </c>
      <c r="C59" s="7" t="str">
        <f t="shared" si="1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95">
        <v>6156</v>
      </c>
      <c r="P59" s="46">
        <f t="shared" si="3"/>
        <v>1.3571428571428571E-2</v>
      </c>
      <c r="Q59" s="97"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input_434100!A$2</f>
        <v>434100</v>
      </c>
      <c r="B60" s="2">
        <v>480</v>
      </c>
      <c r="C60" s="7" t="str">
        <f t="shared" si="1"/>
        <v>PremiumSS5</v>
      </c>
      <c r="D60" s="7" t="str">
        <f t="shared" si="2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95">
        <v>420</v>
      </c>
      <c r="P60" s="46">
        <f t="shared" si="3"/>
        <v>9.2592592592592596E-4</v>
      </c>
      <c r="Q60" s="97">
        <v>80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input_434100!A$2</f>
        <v>434100</v>
      </c>
      <c r="B61" s="2">
        <v>483</v>
      </c>
      <c r="C61" s="7" t="str">
        <f t="shared" si="1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95">
        <v>6156</v>
      </c>
      <c r="P61" s="46">
        <f t="shared" si="3"/>
        <v>1.3571428571428571E-2</v>
      </c>
      <c r="Q61" s="97">
        <v>80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input_434100!A$2</f>
        <v>434100</v>
      </c>
      <c r="B62" s="2">
        <v>493</v>
      </c>
      <c r="C62" s="7" t="str">
        <f t="shared" si="1"/>
        <v>PremiumSS5</v>
      </c>
      <c r="D62" s="7" t="str">
        <f t="shared" si="2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95">
        <v>420</v>
      </c>
      <c r="P62" s="46">
        <f t="shared" si="3"/>
        <v>9.2592592592592596E-4</v>
      </c>
      <c r="Q62" s="97"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input_434100!A$2</f>
        <v>434100</v>
      </c>
      <c r="B63" s="2">
        <v>495</v>
      </c>
      <c r="C63" s="7" t="str">
        <f t="shared" si="1"/>
        <v>PremiumSS5</v>
      </c>
      <c r="D63" s="7" t="str">
        <f t="shared" si="2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95">
        <v>420</v>
      </c>
      <c r="P63" s="46">
        <f t="shared" si="3"/>
        <v>9.2592592592592596E-4</v>
      </c>
      <c r="Q63" s="97">
        <v>80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input_434100!A$2</f>
        <v>434100</v>
      </c>
      <c r="B64" s="2">
        <v>498</v>
      </c>
      <c r="C64" s="7" t="str">
        <f t="shared" si="1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95">
        <v>6156</v>
      </c>
      <c r="P64" s="46">
        <f t="shared" si="3"/>
        <v>1.3571428571428571E-2</v>
      </c>
      <c r="Q64" s="97">
        <v>80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input_434100!A$2</f>
        <v>434100</v>
      </c>
      <c r="B65" s="2">
        <v>500</v>
      </c>
      <c r="C65" s="7" t="str">
        <f t="shared" si="1"/>
        <v>PremiumSS5</v>
      </c>
      <c r="D65" s="7" t="str">
        <f t="shared" si="2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95">
        <v>420</v>
      </c>
      <c r="P65" s="46">
        <f t="shared" si="3"/>
        <v>9.2592592592592596E-4</v>
      </c>
      <c r="Q65" s="97"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input_434100!A$2</f>
        <v>434100</v>
      </c>
      <c r="B66" s="2">
        <v>587</v>
      </c>
      <c r="C66" s="7" t="str">
        <f t="shared" si="1"/>
        <v>PremiumSS5</v>
      </c>
      <c r="D66" s="7" t="str">
        <f t="shared" si="2"/>
        <v>PremiumSS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原初の煉鋼巨刃 ユミル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hp</v>
      </c>
      <c r="M66" s="7" t="str">
        <f>VLOOKUP(B66,[1]characters!$A:$M,13,FALSE)</f>
        <v>machine</v>
      </c>
      <c r="N66" s="7" t="str">
        <f>VLOOKUP(B66,[1]characters!$A:$G,7,FALSE)</f>
        <v>不明</v>
      </c>
      <c r="O66" s="95">
        <v>420</v>
      </c>
      <c r="P66" s="46">
        <f t="shared" si="3"/>
        <v>9.2592592592592596E-4</v>
      </c>
      <c r="Q66" s="97">
        <v>80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input_434100!A$2</f>
        <v>434100</v>
      </c>
      <c r="B67" s="2">
        <v>590</v>
      </c>
      <c r="C67" s="7" t="str">
        <f t="shared" ref="C67:C125" si="4">D67&amp;J67&amp;E67&amp;F67&amp;G67</f>
        <v>Premium5</v>
      </c>
      <c r="D67" s="7" t="str">
        <f t="shared" ref="D67:D125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永遠を廻る呪い ニーベルゲン</v>
      </c>
      <c r="I67" s="7" t="str">
        <f>VLOOKUP(B67,[1]characters!$A:$J,10,FALSE)</f>
        <v>PremiumS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unknown</v>
      </c>
      <c r="N67" s="7" t="str">
        <f>VLOOKUP(B67,[1]characters!$A:$G,7,FALSE)</f>
        <v>女性</v>
      </c>
      <c r="O67" s="95">
        <v>6156</v>
      </c>
      <c r="P67" s="46">
        <f t="shared" ref="P67:P125" si="6">O67/SUM(O:O)</f>
        <v>1.3571428571428571E-2</v>
      </c>
      <c r="Q67" s="97">
        <v>80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input_434100!A$2</f>
        <v>434100</v>
      </c>
      <c r="B68" s="2">
        <v>593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妄執する邪毒龍 ファフニール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technical</v>
      </c>
      <c r="M68" s="7" t="str">
        <f>VLOOKUP(B68,[1]characters!$A:$M,13,FALSE)</f>
        <v>dragon</v>
      </c>
      <c r="N68" s="7" t="str">
        <f>VLOOKUP(B68,[1]characters!$A:$G,7,FALSE)</f>
        <v>不明</v>
      </c>
      <c r="O68" s="95">
        <v>6156</v>
      </c>
      <c r="P68" s="46">
        <f t="shared" si="6"/>
        <v>1.3571428571428571E-2</v>
      </c>
      <c r="Q68" s="97"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input_434100!A$2</f>
        <v>434100</v>
      </c>
      <c r="B69" s="2">
        <v>595</v>
      </c>
      <c r="C69" s="7" t="str">
        <f t="shared" si="4"/>
        <v>PremiumSS5</v>
      </c>
      <c r="D69" s="7" t="str">
        <f t="shared" si="5"/>
        <v>PremiumSS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光華なる神域 アルフヘイム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dragon</v>
      </c>
      <c r="N69" s="7" t="str">
        <f>VLOOKUP(B69,[1]characters!$A:$G,7,FALSE)</f>
        <v>不明</v>
      </c>
      <c r="O69" s="95">
        <v>420</v>
      </c>
      <c r="P69" s="46">
        <f t="shared" si="6"/>
        <v>9.2592592592592596E-4</v>
      </c>
      <c r="Q69" s="97">
        <v>80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input_434100!A$2</f>
        <v>434100</v>
      </c>
      <c r="B70" s="2">
        <v>598</v>
      </c>
      <c r="C70" s="7" t="str">
        <f t="shared" si="4"/>
        <v>Premium5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焼燃の情熱 ムスペルヘイム</v>
      </c>
      <c r="I70" s="7" t="str">
        <f>VLOOKUP(B70,[1]characters!$A:$J,10,FALSE)</f>
        <v>PremiumS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男性</v>
      </c>
      <c r="O70" s="95">
        <v>6156</v>
      </c>
      <c r="P70" s="46">
        <f t="shared" si="6"/>
        <v>1.3571428571428571E-2</v>
      </c>
      <c r="Q70" s="97">
        <v>80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input_434100!A$2</f>
        <v>434100</v>
      </c>
      <c r="B71" s="2">
        <v>601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界根蝕む悪食 ニーズヘッグ</v>
      </c>
      <c r="I71" s="7" t="str">
        <f>VLOOKUP(B71,[1]characters!$A:$J,10,FALSE)</f>
        <v>PremiumS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dragon</v>
      </c>
      <c r="N71" s="7" t="str">
        <f>VLOOKUP(B71,[1]characters!$A:$G,7,FALSE)</f>
        <v>不明</v>
      </c>
      <c r="O71" s="95">
        <v>6156</v>
      </c>
      <c r="P71" s="46">
        <f t="shared" si="6"/>
        <v>1.3571428571428571E-2</v>
      </c>
      <c r="Q71" s="97"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input_434100!A$2</f>
        <v>434100</v>
      </c>
      <c r="B72" s="2">
        <v>603</v>
      </c>
      <c r="C72" s="7" t="str">
        <f t="shared" si="4"/>
        <v>PremiumSS5</v>
      </c>
      <c r="D72" s="7" t="str">
        <f t="shared" si="5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掌愛の豊穣女神 フレイヤ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heal</v>
      </c>
      <c r="M72" s="7" t="str">
        <f>VLOOKUP(B72,[1]characters!$A:$M,13,FALSE)</f>
        <v>animal</v>
      </c>
      <c r="N72" s="7" t="str">
        <f>VLOOKUP(B72,[1]characters!$A:$G,7,FALSE)</f>
        <v>女性</v>
      </c>
      <c r="O72" s="95">
        <v>420</v>
      </c>
      <c r="P72" s="46">
        <f t="shared" si="6"/>
        <v>9.2592592592592596E-4</v>
      </c>
      <c r="Q72" s="97">
        <v>80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input_434100!A$2</f>
        <v>434100</v>
      </c>
      <c r="B73" s="2">
        <v>606</v>
      </c>
      <c r="C73" s="7" t="str">
        <f t="shared" si="4"/>
        <v>Premium5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冀望の光芒 バルドル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heal</v>
      </c>
      <c r="M73" s="7" t="str">
        <f>VLOOKUP(B73,[1]characters!$A:$M,13,FALSE)</f>
        <v>god</v>
      </c>
      <c r="N73" s="7" t="str">
        <f>VLOOKUP(B73,[1]characters!$A:$G,7,FALSE)</f>
        <v>男性</v>
      </c>
      <c r="O73" s="95">
        <v>6156</v>
      </c>
      <c r="P73" s="46">
        <f t="shared" si="6"/>
        <v>1.3571428571428571E-2</v>
      </c>
      <c r="Q73" s="97">
        <v>80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input_434100!A$2</f>
        <v>434100</v>
      </c>
      <c r="B74" s="2">
        <v>659</v>
      </c>
      <c r="C74" s="7" t="str">
        <f t="shared" si="4"/>
        <v>PremiumSS5</v>
      </c>
      <c r="D74" s="7" t="str">
        <f t="shared" si="5"/>
        <v>PremiumSS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跳梁する化猫 クルミ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attack</v>
      </c>
      <c r="M74" s="7" t="str">
        <f>VLOOKUP(B74,[1]characters!$A:$M,13,FALSE)</f>
        <v>animal</v>
      </c>
      <c r="N74" s="7" t="str">
        <f>VLOOKUP(B74,[1]characters!$A:$G,7,FALSE)</f>
        <v>女性</v>
      </c>
      <c r="O74" s="95">
        <v>420</v>
      </c>
      <c r="P74" s="46">
        <f t="shared" si="6"/>
        <v>9.2592592592592596E-4</v>
      </c>
      <c r="Q74" s="97"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input_434100!A$2</f>
        <v>434100</v>
      </c>
      <c r="B75" s="2">
        <v>661</v>
      </c>
      <c r="C75" s="7" t="str">
        <f t="shared" si="4"/>
        <v>PremiumSS5</v>
      </c>
      <c r="D75" s="7" t="str">
        <f t="shared" si="5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疾風の天狗礫 フウガ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green</v>
      </c>
      <c r="L75" s="7" t="str">
        <f>VLOOKUP(B75,[1]characters!$A:$K,11,FALSE)</f>
        <v>balance</v>
      </c>
      <c r="M75" s="7" t="str">
        <f>VLOOKUP(B75,[1]characters!$A:$M,13,FALSE)</f>
        <v>animal</v>
      </c>
      <c r="N75" s="7" t="str">
        <f>VLOOKUP(B75,[1]characters!$A:$G,7,FALSE)</f>
        <v>男性</v>
      </c>
      <c r="O75" s="95">
        <v>420</v>
      </c>
      <c r="P75" s="46">
        <f t="shared" si="6"/>
        <v>9.2592592592592596E-4</v>
      </c>
      <c r="Q75" s="97">
        <v>80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input_434100!A$2</f>
        <v>434100</v>
      </c>
      <c r="B76" s="2">
        <v>664</v>
      </c>
      <c r="C76" s="7" t="str">
        <f t="shared" si="4"/>
        <v>Premium5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山掴み国造り ダイダラ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hp</v>
      </c>
      <c r="M76" s="7" t="str">
        <f>VLOOKUP(B76,[1]characters!$A:$M,13,FALSE)</f>
        <v>unknown</v>
      </c>
      <c r="N76" s="7" t="str">
        <f>VLOOKUP(B76,[1]characters!$A:$G,7,FALSE)</f>
        <v>不明</v>
      </c>
      <c r="O76" s="95">
        <v>6156</v>
      </c>
      <c r="P76" s="46">
        <f t="shared" si="6"/>
        <v>1.3571428571428571E-2</v>
      </c>
      <c r="Q76" s="97">
        <v>80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input_434100!A$2</f>
        <v>434100</v>
      </c>
      <c r="B77" s="2">
        <v>667</v>
      </c>
      <c r="C77" s="7" t="str">
        <f t="shared" si="4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最幸運の妖童 テマリ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yellow</v>
      </c>
      <c r="L77" s="7" t="str">
        <f>VLOOKUP(B77,[1]characters!$A:$K,11,FALSE)</f>
        <v>balance</v>
      </c>
      <c r="M77" s="7" t="str">
        <f>VLOOKUP(B77,[1]characters!$A:$M,13,FALSE)</f>
        <v>unknown</v>
      </c>
      <c r="N77" s="7" t="str">
        <f>VLOOKUP(B77,[1]characters!$A:$G,7,FALSE)</f>
        <v>女性</v>
      </c>
      <c r="O77" s="95">
        <v>6156</v>
      </c>
      <c r="P77" s="46">
        <f t="shared" si="6"/>
        <v>1.3571428571428571E-2</v>
      </c>
      <c r="Q77" s="97"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input_434100!A$2</f>
        <v>434100</v>
      </c>
      <c r="B78" s="2">
        <v>670</v>
      </c>
      <c r="C78" s="7" t="str">
        <f t="shared" si="4"/>
        <v>Premium5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陽天の噴煙 アグニ</v>
      </c>
      <c r="I78" s="7" t="str">
        <f>VLOOKUP(B78,[1]characters!$A:$J,10,FALSE)</f>
        <v>PremiumS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95">
        <v>6156</v>
      </c>
      <c r="P78" s="46">
        <f t="shared" si="6"/>
        <v>1.3571428571428571E-2</v>
      </c>
      <c r="Q78" s="97">
        <v>80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input_434100!A$2</f>
        <v>434100</v>
      </c>
      <c r="B79" s="2">
        <v>673</v>
      </c>
      <c r="C79" s="7" t="str">
        <f t="shared" si="4"/>
        <v>Premium5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変幻自在の猿王 ハヌマーン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attack</v>
      </c>
      <c r="M79" s="7" t="str">
        <f>VLOOKUP(B79,[1]characters!$A:$M,13,FALSE)</f>
        <v>animal</v>
      </c>
      <c r="N79" s="7" t="str">
        <f>VLOOKUP(B79,[1]characters!$A:$G,7,FALSE)</f>
        <v>男性</v>
      </c>
      <c r="O79" s="95">
        <v>6156</v>
      </c>
      <c r="P79" s="46">
        <f t="shared" si="6"/>
        <v>1.3571428571428571E-2</v>
      </c>
      <c r="Q79" s="97">
        <v>80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input_434100!A$2</f>
        <v>434100</v>
      </c>
      <c r="B80" s="2">
        <v>675</v>
      </c>
      <c r="C80" s="7" t="str">
        <f t="shared" si="4"/>
        <v>PremiumSS5</v>
      </c>
      <c r="D80" s="7" t="str">
        <f t="shared" si="5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芸楽の奔流 サラスヴァティ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blue</v>
      </c>
      <c r="L80" s="7" t="str">
        <f>VLOOKUP(B80,[1]characters!$A:$K,11,FALSE)</f>
        <v>balance</v>
      </c>
      <c r="M80" s="7" t="str">
        <f>VLOOKUP(B80,[1]characters!$A:$M,13,FALSE)</f>
        <v>god</v>
      </c>
      <c r="N80" s="7" t="str">
        <f>VLOOKUP(B80,[1]characters!$A:$G,7,FALSE)</f>
        <v>女性</v>
      </c>
      <c r="O80" s="95">
        <v>420</v>
      </c>
      <c r="P80" s="46">
        <f t="shared" si="6"/>
        <v>9.2592592592592596E-4</v>
      </c>
      <c r="Q80" s="97"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input_434100!A$2</f>
        <v>434100</v>
      </c>
      <c r="B81" s="2">
        <v>677</v>
      </c>
      <c r="C81" s="7" t="str">
        <f t="shared" si="4"/>
        <v>PremiumSS5</v>
      </c>
      <c r="D81" s="7" t="str">
        <f t="shared" si="5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武遊闊歩 ヴィシュヌ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yellow</v>
      </c>
      <c r="L81" s="7" t="str">
        <f>VLOOKUP(B81,[1]characters!$A:$K,11,FALSE)</f>
        <v>attack</v>
      </c>
      <c r="M81" s="7" t="str">
        <f>VLOOKUP(B81,[1]characters!$A:$M,13,FALSE)</f>
        <v>god</v>
      </c>
      <c r="N81" s="7" t="str">
        <f>VLOOKUP(B81,[1]characters!$A:$G,7,FALSE)</f>
        <v>女性</v>
      </c>
      <c r="O81" s="95">
        <v>420</v>
      </c>
      <c r="P81" s="46">
        <f t="shared" si="6"/>
        <v>9.2592592592592596E-4</v>
      </c>
      <c r="Q81" s="97">
        <v>80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input_434100!A$2</f>
        <v>434100</v>
      </c>
      <c r="B82" s="2">
        <v>729</v>
      </c>
      <c r="C82" s="7" t="str">
        <f t="shared" si="4"/>
        <v>Premium5R3less</v>
      </c>
      <c r="D82" s="7" t="str">
        <f t="shared" si="5"/>
        <v>Premium</v>
      </c>
      <c r="E82" s="7" t="str">
        <f>IF(COUNTIF('R6追加前'!A:A,B82)=0,IF(OR(I82="PremiumSS",I82="PremiumSSw"),"R5only","R3less"),"")</f>
        <v>R3less</v>
      </c>
      <c r="F82" s="7" t="str">
        <f>IF(COUNTIF('R6開放'!A:A,B82)&gt;0,"R6release","")</f>
        <v/>
      </c>
      <c r="G82" s="7"/>
      <c r="H82" s="7" t="str">
        <f>VLOOKUP(B82,[1]characters!$A:$C,3,FALSE)</f>
        <v>暗厄の双刀 井伊直虎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red</v>
      </c>
      <c r="L82" s="7" t="str">
        <f>VLOOKUP(B82,[1]characters!$A:$K,11,FALSE)</f>
        <v>balance</v>
      </c>
      <c r="M82" s="7" t="str">
        <f>VLOOKUP(B82,[1]characters!$A:$M,13,FALSE)</f>
        <v>human</v>
      </c>
      <c r="N82" s="7" t="str">
        <f>VLOOKUP(B82,[1]characters!$A:$G,7,FALSE)</f>
        <v>女性</v>
      </c>
      <c r="O82" s="95">
        <v>6156</v>
      </c>
      <c r="P82" s="46">
        <f t="shared" si="6"/>
        <v>1.3571428571428571E-2</v>
      </c>
      <c r="Q82" s="97">
        <v>80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input_434100!A$2</f>
        <v>434100</v>
      </c>
      <c r="B83" s="2">
        <v>731</v>
      </c>
      <c r="C83" s="7" t="str">
        <f t="shared" si="4"/>
        <v>Premium5R3less</v>
      </c>
      <c r="D83" s="7" t="str">
        <f t="shared" si="5"/>
        <v>Premium</v>
      </c>
      <c r="E83" s="7" t="str">
        <f>IF(COUNTIF('R6追加前'!A:A,B83)=0,IF(OR(I83="PremiumSS",I83="PremiumSSw"),"R5only","R3less"),"")</f>
        <v>R3less</v>
      </c>
      <c r="F83" s="7" t="str">
        <f>IF(COUNTIF('R6開放'!A:A,B83)&gt;0,"R6release","")</f>
        <v/>
      </c>
      <c r="G83" s="7"/>
      <c r="H83" s="7" t="str">
        <f>VLOOKUP(B83,[1]characters!$A:$C,3,FALSE)</f>
        <v>敬虔なる追銃 ガラシャ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heal</v>
      </c>
      <c r="M83" s="7" t="str">
        <f>VLOOKUP(B83,[1]characters!$A:$M,13,FALSE)</f>
        <v>human</v>
      </c>
      <c r="N83" s="7" t="str">
        <f>VLOOKUP(B83,[1]characters!$A:$G,7,FALSE)</f>
        <v>女性</v>
      </c>
      <c r="O83" s="95">
        <v>6156</v>
      </c>
      <c r="P83" s="46">
        <f t="shared" si="6"/>
        <v>1.3571428571428571E-2</v>
      </c>
      <c r="Q83" s="97"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input_434100!A$2</f>
        <v>434100</v>
      </c>
      <c r="B84" s="2">
        <v>732</v>
      </c>
      <c r="C84" s="7" t="str">
        <f t="shared" si="4"/>
        <v>PremiumSS5R5only</v>
      </c>
      <c r="D84" s="7" t="str">
        <f t="shared" si="5"/>
        <v>PremiumSS</v>
      </c>
      <c r="E84" s="7" t="str">
        <f>IF(COUNTIF('R6追加前'!A:A,B84)=0,IF(OR(I84="PremiumSS",I84="PremiumSSw"),"R5only","R3less"),"")</f>
        <v>R5only</v>
      </c>
      <c r="F84" s="7" t="str">
        <f>IF(COUNTIF('R6開放'!A:A,B84)&gt;0,"R6release","")</f>
        <v/>
      </c>
      <c r="G84" s="7"/>
      <c r="H84" s="7" t="str">
        <f>VLOOKUP(B84,[1]characters!$A:$C,3,FALSE)</f>
        <v>上杉謙信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blue</v>
      </c>
      <c r="L84" s="7" t="str">
        <f>VLOOKUP(B84,[1]characters!$A:$K,11,FALSE)</f>
        <v>attack</v>
      </c>
      <c r="M84" s="7" t="str">
        <f>VLOOKUP(B84,[1]characters!$A:$M,13,FALSE)</f>
        <v>human</v>
      </c>
      <c r="N84" s="7" t="str">
        <f>VLOOKUP(B84,[1]characters!$A:$G,7,FALSE)</f>
        <v>女性</v>
      </c>
      <c r="O84" s="95">
        <v>420</v>
      </c>
      <c r="P84" s="46">
        <f t="shared" si="6"/>
        <v>9.2592592592592596E-4</v>
      </c>
      <c r="Q84" s="97">
        <v>80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input_434100!A$2</f>
        <v>434100</v>
      </c>
      <c r="B85" s="2">
        <v>734</v>
      </c>
      <c r="C85" s="7" t="str">
        <f t="shared" si="4"/>
        <v>PremiumSS5R5only</v>
      </c>
      <c r="D85" s="7" t="str">
        <f t="shared" si="5"/>
        <v>PremiumSS</v>
      </c>
      <c r="E85" s="7" t="str">
        <f>IF(COUNTIF('R6追加前'!A:A,B85)=0,IF(OR(I85="PremiumSS",I85="PremiumSSw"),"R5only","R3less"),"")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伊達政宗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balance</v>
      </c>
      <c r="M85" s="7" t="str">
        <f>VLOOKUP(B85,[1]characters!$A:$M,13,FALSE)</f>
        <v>human</v>
      </c>
      <c r="N85" s="7" t="str">
        <f>VLOOKUP(B85,[1]characters!$A:$G,7,FALSE)</f>
        <v>男性</v>
      </c>
      <c r="O85" s="95">
        <v>420</v>
      </c>
      <c r="P85" s="46">
        <f t="shared" si="6"/>
        <v>9.2592592592592596E-4</v>
      </c>
      <c r="Q85" s="97">
        <v>80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input_434100!A$2</f>
        <v>434100</v>
      </c>
      <c r="B86" s="2">
        <v>771</v>
      </c>
      <c r="C86" s="7" t="str">
        <f t="shared" si="4"/>
        <v>PremiumSS5</v>
      </c>
      <c r="D86" s="7" t="str">
        <f t="shared" si="5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天織羽鶴 ハヅル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red</v>
      </c>
      <c r="L86" s="7" t="str">
        <f>VLOOKUP(B86,[1]characters!$A:$K,11,FALSE)</f>
        <v>balance</v>
      </c>
      <c r="M86" s="7" t="str">
        <f>VLOOKUP(B86,[1]characters!$A:$M,13,FALSE)</f>
        <v>animal</v>
      </c>
      <c r="N86" s="7" t="str">
        <f>VLOOKUP(B86,[1]characters!$A:$G,7,FALSE)</f>
        <v>女性</v>
      </c>
      <c r="O86" s="95">
        <v>420</v>
      </c>
      <c r="P86" s="46">
        <f t="shared" si="6"/>
        <v>9.2592592592592596E-4</v>
      </c>
      <c r="Q86" s="97"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input_434100!A$2</f>
        <v>434100</v>
      </c>
      <c r="B87" s="2">
        <v>773</v>
      </c>
      <c r="C87" s="7" t="str">
        <f t="shared" si="4"/>
        <v>PremiumSS5</v>
      </c>
      <c r="D87" s="7" t="str">
        <f t="shared" si="5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浮跳天兎 イナバ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green</v>
      </c>
      <c r="L87" s="7" t="str">
        <f>VLOOKUP(B87,[1]characters!$A:$K,11,FALSE)</f>
        <v>balance</v>
      </c>
      <c r="M87" s="7" t="str">
        <f>VLOOKUP(B87,[1]characters!$A:$M,13,FALSE)</f>
        <v>animal</v>
      </c>
      <c r="N87" s="7" t="str">
        <f>VLOOKUP(B87,[1]characters!$A:$G,7,FALSE)</f>
        <v>女性</v>
      </c>
      <c r="O87" s="95">
        <v>420</v>
      </c>
      <c r="P87" s="46">
        <f t="shared" si="6"/>
        <v>9.2592592592592596E-4</v>
      </c>
      <c r="Q87" s="97">
        <v>80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input_434100!A$2</f>
        <v>434100</v>
      </c>
      <c r="B88" s="2">
        <v>776</v>
      </c>
      <c r="C88" s="7" t="str">
        <f t="shared" si="4"/>
        <v>Premium5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水竜底主 ミズチ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blue</v>
      </c>
      <c r="L88" s="7" t="str">
        <f>VLOOKUP(B88,[1]characters!$A:$K,11,FALSE)</f>
        <v>heal</v>
      </c>
      <c r="M88" s="7" t="str">
        <f>VLOOKUP(B88,[1]characters!$A:$M,13,FALSE)</f>
        <v>dragon</v>
      </c>
      <c r="N88" s="7" t="str">
        <f>VLOOKUP(B88,[1]characters!$A:$G,7,FALSE)</f>
        <v>不明</v>
      </c>
      <c r="O88" s="95">
        <v>6156</v>
      </c>
      <c r="P88" s="46">
        <f t="shared" si="6"/>
        <v>1.3571428571428571E-2</v>
      </c>
      <c r="Q88" s="97">
        <v>80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input_434100!A$2</f>
        <v>434100</v>
      </c>
      <c r="B89" s="2">
        <v>779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頑堅咬亀 ガメック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hp</v>
      </c>
      <c r="M89" s="7" t="str">
        <f>VLOOKUP(B89,[1]characters!$A:$M,13,FALSE)</f>
        <v>animal</v>
      </c>
      <c r="N89" s="7" t="str">
        <f>VLOOKUP(B89,[1]characters!$A:$G,7,FALSE)</f>
        <v>不明</v>
      </c>
      <c r="O89" s="95">
        <v>6156</v>
      </c>
      <c r="P89" s="46">
        <f t="shared" si="6"/>
        <v>1.3571428571428571E-2</v>
      </c>
      <c r="Q89" s="97"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input_434100!A$2</f>
        <v>434100</v>
      </c>
      <c r="B90" s="2">
        <v>848</v>
      </c>
      <c r="C90" s="7" t="str">
        <f t="shared" si="4"/>
        <v>PremiumSS5R5only</v>
      </c>
      <c r="D90" s="7" t="str">
        <f t="shared" si="5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メタトロン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男性</v>
      </c>
      <c r="O90" s="95">
        <v>420</v>
      </c>
      <c r="P90" s="46">
        <f t="shared" si="6"/>
        <v>9.2592592592592596E-4</v>
      </c>
      <c r="Q90" s="97">
        <v>80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input_434100!A$2</f>
        <v>434100</v>
      </c>
      <c r="B91" s="2">
        <v>850</v>
      </c>
      <c r="C91" s="7" t="str">
        <f t="shared" si="4"/>
        <v>PremiumSS5R5only</v>
      </c>
      <c r="D91" s="7" t="str">
        <f t="shared" si="5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バアル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green</v>
      </c>
      <c r="L91" s="7" t="str">
        <f>VLOOKUP(B91,[1]characters!$A:$K,11,FALSE)</f>
        <v>technical</v>
      </c>
      <c r="M91" s="7" t="str">
        <f>VLOOKUP(B91,[1]characters!$A:$M,13,FALSE)</f>
        <v>god</v>
      </c>
      <c r="N91" s="7" t="str">
        <f>VLOOKUP(B91,[1]characters!$A:$G,7,FALSE)</f>
        <v>男性</v>
      </c>
      <c r="O91" s="95">
        <v>420</v>
      </c>
      <c r="P91" s="46">
        <f t="shared" si="6"/>
        <v>9.2592592592592596E-4</v>
      </c>
      <c r="Q91" s="97">
        <v>80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input_434100!A$2</f>
        <v>434100</v>
      </c>
      <c r="B92" s="2">
        <v>853</v>
      </c>
      <c r="C92" s="7" t="str">
        <f t="shared" si="4"/>
        <v>Premium5R3less</v>
      </c>
      <c r="D92" s="7" t="str">
        <f t="shared" si="5"/>
        <v>Premium</v>
      </c>
      <c r="E92" s="7" t="str">
        <f>IF(COUNTIF('R6追加前'!A:A,B92)=0,IF(OR(I92="PremiumSS",I92="PremiumSSw"),"R5only","R3less"),"")</f>
        <v>R3less</v>
      </c>
      <c r="F92" s="7" t="str">
        <f>IF(COUNTIF('R6開放'!A:A,B92)&gt;0,"R6release","")</f>
        <v/>
      </c>
      <c r="G92" s="7"/>
      <c r="H92" s="7" t="str">
        <f>VLOOKUP(B92,[1]characters!$A:$C,3,FALSE)</f>
        <v>裂爪の天使 サキエル・ティア</v>
      </c>
      <c r="I92" s="7" t="str">
        <f>VLOOKUP(B92,[1]characters!$A:$J,10,FALSE)</f>
        <v>PremiumS</v>
      </c>
      <c r="J92" s="7">
        <f>VLOOKUP(B92,[1]characters!$A:$I,9,FALSE)</f>
        <v>5</v>
      </c>
      <c r="K92" s="7" t="str">
        <f>VLOOKUP(B92,[1]characters!$A:$H,8,FALSE)</f>
        <v>blue</v>
      </c>
      <c r="L92" s="7" t="str">
        <f>VLOOKUP(B92,[1]characters!$A:$K,11,FALSE)</f>
        <v>hp</v>
      </c>
      <c r="M92" s="7" t="str">
        <f>VLOOKUP(B92,[1]characters!$A:$M,13,FALSE)</f>
        <v>god</v>
      </c>
      <c r="N92" s="7" t="str">
        <f>VLOOKUP(B92,[1]characters!$A:$G,7,FALSE)</f>
        <v>男性</v>
      </c>
      <c r="O92" s="95">
        <v>6156</v>
      </c>
      <c r="P92" s="46">
        <f t="shared" si="6"/>
        <v>1.3571428571428571E-2</v>
      </c>
      <c r="Q92" s="97"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input_434100!A$2</f>
        <v>434100</v>
      </c>
      <c r="B93" s="2">
        <v>855</v>
      </c>
      <c r="C93" s="7" t="str">
        <f t="shared" si="4"/>
        <v>Premium5R3less</v>
      </c>
      <c r="D93" s="7" t="str">
        <f t="shared" si="5"/>
        <v>Premium</v>
      </c>
      <c r="E93" s="7" t="str">
        <f>IF(COUNTIF('R6追加前'!A:A,B93)=0,IF(OR(I93="PremiumSS",I93="PremiumSSw"),"R5only","R3less"),"")</f>
        <v>R3less</v>
      </c>
      <c r="F93" s="7" t="str">
        <f>IF(COUNTIF('R6開放'!A:A,B93)&gt;0,"R6release","")</f>
        <v/>
      </c>
      <c r="G93" s="7"/>
      <c r="H93" s="7" t="str">
        <f>VLOOKUP(B93,[1]characters!$A:$C,3,FALSE)</f>
        <v>豹魔の侠客 フラウロス</v>
      </c>
      <c r="I93" s="7" t="str">
        <f>VLOOKUP(B93,[1]characters!$A:$J,10,FALSE)</f>
        <v>PremiumS</v>
      </c>
      <c r="J93" s="7">
        <f>VLOOKUP(B93,[1]characters!$A:$I,9,FALSE)</f>
        <v>5</v>
      </c>
      <c r="K93" s="7" t="str">
        <f>VLOOKUP(B93,[1]characters!$A:$H,8,FALSE)</f>
        <v>yellow</v>
      </c>
      <c r="L93" s="7" t="str">
        <f>VLOOKUP(B93,[1]characters!$A:$K,11,FALSE)</f>
        <v>attack</v>
      </c>
      <c r="M93" s="7" t="str">
        <f>VLOOKUP(B93,[1]characters!$A:$M,13,FALSE)</f>
        <v>animal</v>
      </c>
      <c r="N93" s="7" t="str">
        <f>VLOOKUP(B93,[1]characters!$A:$G,7,FALSE)</f>
        <v>男性</v>
      </c>
      <c r="O93" s="95">
        <v>6156</v>
      </c>
      <c r="P93" s="46">
        <f t="shared" si="6"/>
        <v>1.3571428571428571E-2</v>
      </c>
      <c r="Q93" s="97">
        <v>80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input_434100!A$2</f>
        <v>434100</v>
      </c>
      <c r="B94" s="2">
        <v>863</v>
      </c>
      <c r="C94" s="7" t="str">
        <f t="shared" si="4"/>
        <v>Premium5R3less</v>
      </c>
      <c r="D94" s="7" t="str">
        <f t="shared" si="5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歓揮の楽団長 ブレーメン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red</v>
      </c>
      <c r="L94" s="7" t="str">
        <f>VLOOKUP(B94,[1]characters!$A:$K,11,FALSE)</f>
        <v>balance</v>
      </c>
      <c r="M94" s="7" t="str">
        <f>VLOOKUP(B94,[1]characters!$A:$M,13,FALSE)</f>
        <v>animal</v>
      </c>
      <c r="N94" s="7" t="str">
        <f>VLOOKUP(B94,[1]characters!$A:$G,7,FALSE)</f>
        <v>男性</v>
      </c>
      <c r="O94" s="95">
        <v>6156</v>
      </c>
      <c r="P94" s="46">
        <f t="shared" si="6"/>
        <v>1.3571428571428571E-2</v>
      </c>
      <c r="Q94" s="97">
        <v>80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input_434100!A$2</f>
        <v>434100</v>
      </c>
      <c r="B95" s="2">
        <v>865</v>
      </c>
      <c r="C95" s="7" t="str">
        <f t="shared" si="4"/>
        <v>Premium5R3less</v>
      </c>
      <c r="D95" s="7" t="str">
        <f t="shared" si="5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無情の感線 ピノキオ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attack</v>
      </c>
      <c r="M95" s="7" t="str">
        <f>VLOOKUP(B95,[1]characters!$A:$M,13,FALSE)</f>
        <v>machine</v>
      </c>
      <c r="N95" s="7" t="str">
        <f>VLOOKUP(B95,[1]characters!$A:$G,7,FALSE)</f>
        <v>男性</v>
      </c>
      <c r="O95" s="95">
        <v>6156</v>
      </c>
      <c r="P95" s="46">
        <f t="shared" si="6"/>
        <v>1.3571428571428571E-2</v>
      </c>
      <c r="Q95" s="97"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input_434100!A$2</f>
        <v>434100</v>
      </c>
      <c r="B96" s="2">
        <v>866</v>
      </c>
      <c r="C96" s="7" t="str">
        <f t="shared" si="4"/>
        <v>PremiumSS5R5only</v>
      </c>
      <c r="D96" s="7" t="str">
        <f t="shared" si="5"/>
        <v>PremiumSS</v>
      </c>
      <c r="E96" s="7" t="str">
        <f>IF(COUNTIF('R6追加前'!A:A,B96)=0,IF(OR(I96="PremiumSS",I96="PremiumSSw"),"R5only","R3less"),"")</f>
        <v>R5only</v>
      </c>
      <c r="F96" s="7" t="str">
        <f>IF(COUNTIF('R6開放'!A:A,B96)&gt;0,"R6release","")</f>
        <v/>
      </c>
      <c r="G96" s="7"/>
      <c r="H96" s="7" t="str">
        <f>VLOOKUP(B96,[1]characters!$A:$C,3,FALSE)</f>
        <v>無敗の司令姫 白雪姫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human</v>
      </c>
      <c r="N96" s="7" t="str">
        <f>VLOOKUP(B96,[1]characters!$A:$G,7,FALSE)</f>
        <v>男性</v>
      </c>
      <c r="O96" s="95">
        <v>420</v>
      </c>
      <c r="P96" s="46">
        <f t="shared" si="6"/>
        <v>9.2592592592592596E-4</v>
      </c>
      <c r="Q96" s="97">
        <v>80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input_434100!A$2</f>
        <v>434100</v>
      </c>
      <c r="B97" s="2">
        <v>868</v>
      </c>
      <c r="C97" s="7" t="str">
        <f t="shared" si="4"/>
        <v>PremiumSS5R5only</v>
      </c>
      <c r="D97" s="7" t="str">
        <f t="shared" si="5"/>
        <v>PremiumSS</v>
      </c>
      <c r="E97" s="7" t="str">
        <f>IF(COUNTIF('R6追加前'!A:A,B97)=0,IF(OR(I97="PremiumSS",I97="PremiumSSw"),"R5only","R3less"),"")</f>
        <v>R5only</v>
      </c>
      <c r="F97" s="7" t="str">
        <f>IF(COUNTIF('R6開放'!A:A,B97)&gt;0,"R6release","")</f>
        <v/>
      </c>
      <c r="G97" s="7"/>
      <c r="H97" s="7" t="str">
        <f>VLOOKUP(B97,[1]characters!$A:$C,3,FALSE)</f>
        <v>アラジンと殲滅機兵LAMP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yellow</v>
      </c>
      <c r="L97" s="7" t="str">
        <f>VLOOKUP(B97,[1]characters!$A:$K,11,FALSE)</f>
        <v>hp</v>
      </c>
      <c r="M97" s="7" t="str">
        <f>VLOOKUP(B97,[1]characters!$A:$M,13,FALSE)</f>
        <v>human</v>
      </c>
      <c r="N97" s="7" t="str">
        <f>VLOOKUP(B97,[1]characters!$A:$G,7,FALSE)</f>
        <v>男性</v>
      </c>
      <c r="O97" s="95">
        <v>420</v>
      </c>
      <c r="P97" s="46">
        <f t="shared" si="6"/>
        <v>9.2592592592592596E-4</v>
      </c>
      <c r="Q97" s="97">
        <v>80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input_434100!A$2</f>
        <v>434100</v>
      </c>
      <c r="B98" s="2">
        <v>742</v>
      </c>
      <c r="C98" s="7" t="str">
        <f t="shared" si="4"/>
        <v>PremiumSS5R5only</v>
      </c>
      <c r="D98" s="7" t="str">
        <f t="shared" si="5"/>
        <v>PremiumSS</v>
      </c>
      <c r="E98" s="7" t="str">
        <f>IF(COUNTIF('R6追加前'!A:A,B98)=0,IF(OR(I98="PremiumSS",I98="PremiumSSw"),"R5only","R3less"),"")</f>
        <v>R5only</v>
      </c>
      <c r="F98" s="7" t="str">
        <f>IF(COUNTIF('R6開放'!A:A,B98)&gt;0,"R6release","")</f>
        <v/>
      </c>
      <c r="G98" s="7"/>
      <c r="H98" s="7" t="str">
        <f>VLOOKUP(B98,[1]characters!$A:$C,3,FALSE)</f>
        <v>アポロン</v>
      </c>
      <c r="I98" s="7" t="str">
        <f>VLOOKUP(B98,[1]characters!$A:$J,10,FALSE)</f>
        <v>PremiumSS</v>
      </c>
      <c r="J98" s="7">
        <f>VLOOKUP(B98,[1]characters!$A:$I,9,FALSE)</f>
        <v>5</v>
      </c>
      <c r="K98" s="7" t="str">
        <f>VLOOKUP(B98,[1]characters!$A:$H,8,FALSE)</f>
        <v>red</v>
      </c>
      <c r="L98" s="7" t="str">
        <f>VLOOKUP(B98,[1]characters!$A:$K,11,FALSE)</f>
        <v>attack</v>
      </c>
      <c r="M98" s="7" t="str">
        <f>VLOOKUP(B98,[1]characters!$A:$M,13,FALSE)</f>
        <v>god</v>
      </c>
      <c r="N98" s="7" t="str">
        <f>VLOOKUP(B98,[1]characters!$A:$G,7,FALSE)</f>
        <v>男性</v>
      </c>
      <c r="O98" s="95">
        <v>420</v>
      </c>
      <c r="P98" s="46">
        <f t="shared" si="6"/>
        <v>9.2592592592592596E-4</v>
      </c>
      <c r="Q98" s="97"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input_434100!A$2</f>
        <v>434100</v>
      </c>
      <c r="B99" s="2">
        <v>744</v>
      </c>
      <c r="C99" s="7" t="str">
        <f t="shared" si="4"/>
        <v>PremiumSS5R5only</v>
      </c>
      <c r="D99" s="7" t="str">
        <f t="shared" si="5"/>
        <v>PremiumSS</v>
      </c>
      <c r="E99" s="7" t="str">
        <f>IF(COUNTIF('R6追加前'!A:A,B99)=0,IF(OR(I99="PremiumSS",I99="PremiumSSw"),"R5only","R3less"),"")</f>
        <v>R5only</v>
      </c>
      <c r="F99" s="7" t="str">
        <f>IF(COUNTIF('R6開放'!A:A,B99)&gt;0,"R6release","")</f>
        <v/>
      </c>
      <c r="G99" s="7"/>
      <c r="H99" s="7" t="str">
        <f>VLOOKUP(B99,[1]characters!$A:$C,3,FALSE)</f>
        <v>ヘルメス</v>
      </c>
      <c r="I99" s="7" t="str">
        <f>VLOOKUP(B99,[1]characters!$A:$J,10,FALSE)</f>
        <v>PremiumSS</v>
      </c>
      <c r="J99" s="7">
        <f>VLOOKUP(B99,[1]characters!$A:$I,9,FALSE)</f>
        <v>5</v>
      </c>
      <c r="K99" s="7" t="str">
        <f>VLOOKUP(B99,[1]characters!$A:$H,8,FALSE)</f>
        <v>green</v>
      </c>
      <c r="L99" s="7" t="str">
        <f>VLOOKUP(B99,[1]characters!$A:$K,11,FALSE)</f>
        <v>technical</v>
      </c>
      <c r="M99" s="7" t="str">
        <f>VLOOKUP(B99,[1]characters!$A:$M,13,FALSE)</f>
        <v>god</v>
      </c>
      <c r="N99" s="7" t="str">
        <f>VLOOKUP(B99,[1]characters!$A:$G,7,FALSE)</f>
        <v>男性</v>
      </c>
      <c r="O99" s="95">
        <v>420</v>
      </c>
      <c r="P99" s="46">
        <f t="shared" si="6"/>
        <v>9.2592592592592596E-4</v>
      </c>
      <c r="Q99" s="97">
        <v>80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input_434100!A$2</f>
        <v>434100</v>
      </c>
      <c r="B100" s="2">
        <v>747</v>
      </c>
      <c r="C100" s="7" t="str">
        <f t="shared" si="4"/>
        <v>Premium5R3less</v>
      </c>
      <c r="D100" s="7" t="str">
        <f t="shared" si="5"/>
        <v>Premium</v>
      </c>
      <c r="E100" s="7" t="str">
        <f>IF(COUNTIF('R6追加前'!A:A,B100)=0,IF(OR(I100="PremiumSS",I100="PremiumSSw"),"R5only","R3less"),"")</f>
        <v>R3less</v>
      </c>
      <c r="F100" s="7" t="str">
        <f>IF(COUNTIF('R6開放'!A:A,B100)&gt;0,"R6release","")</f>
        <v/>
      </c>
      <c r="G100" s="7"/>
      <c r="H100" s="7" t="str">
        <f>VLOOKUP(B100,[1]characters!$A:$C,3,FALSE)</f>
        <v>潔碧の巡励神 ノルン</v>
      </c>
      <c r="I100" s="7" t="str">
        <f>VLOOKUP(B100,[1]characters!$A:$J,10,FALSE)</f>
        <v>PremiumS</v>
      </c>
      <c r="J100" s="7">
        <f>VLOOKUP(B100,[1]characters!$A:$I,9,FALSE)</f>
        <v>5</v>
      </c>
      <c r="K100" s="7" t="str">
        <f>VLOOKUP(B100,[1]characters!$A:$H,8,FALSE)</f>
        <v>blue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95">
        <v>6156</v>
      </c>
      <c r="P100" s="46">
        <f t="shared" si="6"/>
        <v>1.3571428571428571E-2</v>
      </c>
      <c r="Q100" s="97">
        <v>80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input_434100!A$2</f>
        <v>434100</v>
      </c>
      <c r="B101" s="2">
        <v>749</v>
      </c>
      <c r="C101" s="7" t="str">
        <f t="shared" si="4"/>
        <v>Premium5R3less</v>
      </c>
      <c r="D101" s="7" t="str">
        <f t="shared" si="5"/>
        <v>Premium</v>
      </c>
      <c r="E101" s="7" t="str">
        <f>IF(COUNTIF('R6追加前'!A:A,B101)=0,IF(OR(I101="PremiumSS",I101="PremiumSSw"),"R5only","R3less"),"")</f>
        <v>R3less</v>
      </c>
      <c r="F101" s="7" t="str">
        <f>IF(COUNTIF('R6開放'!A:A,B101)&gt;0,"R6release","")</f>
        <v/>
      </c>
      <c r="G101" s="7"/>
      <c r="H101" s="7" t="str">
        <f>VLOOKUP(B101,[1]characters!$A:$C,3,FALSE)</f>
        <v>光喜の牧童 パーン</v>
      </c>
      <c r="I101" s="7" t="str">
        <f>VLOOKUP(B101,[1]characters!$A:$J,10,FALSE)</f>
        <v>PremiumS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heal</v>
      </c>
      <c r="M101" s="7" t="str">
        <f>VLOOKUP(B101,[1]characters!$A:$M,13,FALSE)</f>
        <v>animal</v>
      </c>
      <c r="N101" s="7" t="str">
        <f>VLOOKUP(B101,[1]characters!$A:$G,7,FALSE)</f>
        <v>男性</v>
      </c>
      <c r="O101" s="95">
        <v>6156</v>
      </c>
      <c r="P101" s="46">
        <f t="shared" si="6"/>
        <v>1.3571428571428571E-2</v>
      </c>
      <c r="Q101" s="97"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input_434100!A$2</f>
        <v>434100</v>
      </c>
      <c r="B102" s="2">
        <v>937</v>
      </c>
      <c r="C102" s="7" t="str">
        <f t="shared" si="4"/>
        <v>PremiumSS5R5only</v>
      </c>
      <c r="D102" s="7" t="str">
        <f t="shared" si="5"/>
        <v>PremiumSS</v>
      </c>
      <c r="E102" s="7" t="str">
        <f>IF(COUNTIF('R6追加前'!A:A,B102)=0,IF(OR(I102="PremiumSS",I102="PremiumSSw"),"R5only","R3less"),"")</f>
        <v>R5only</v>
      </c>
      <c r="F102" s="7" t="str">
        <f>IF(COUNTIF('R6開放'!A:A,B102)&gt;0,"R6release","")</f>
        <v/>
      </c>
      <c r="G102" s="7"/>
      <c r="H102" s="7" t="str">
        <f>VLOOKUP(B102,[1]characters!$A:$C,3,FALSE)</f>
        <v>ナポレオン</v>
      </c>
      <c r="I102" s="7" t="str">
        <f>VLOOKUP(B102,[1]characters!$A:$J,10,FALSE)</f>
        <v>PremiumSS</v>
      </c>
      <c r="J102" s="7">
        <f>VLOOKUP(B102,[1]characters!$A:$I,9,FALSE)</f>
        <v>5</v>
      </c>
      <c r="K102" s="7" t="str">
        <f>VLOOKUP(B102,[1]characters!$A:$H,8,FALSE)</f>
        <v>red</v>
      </c>
      <c r="L102" s="7" t="str">
        <f>VLOOKUP(B102,[1]characters!$A:$K,11,FALSE)</f>
        <v>balance</v>
      </c>
      <c r="M102" s="7" t="str">
        <f>VLOOKUP(B102,[1]characters!$A:$M,13,FALSE)</f>
        <v>human</v>
      </c>
      <c r="N102" s="7" t="str">
        <f>VLOOKUP(B102,[1]characters!$A:$G,7,FALSE)</f>
        <v>男性</v>
      </c>
      <c r="O102" s="95">
        <v>420</v>
      </c>
      <c r="P102" s="46">
        <f t="shared" si="6"/>
        <v>9.2592592592592596E-4</v>
      </c>
      <c r="Q102" s="97">
        <v>80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input_434100!A$2</f>
        <v>434100</v>
      </c>
      <c r="B103" s="2">
        <v>940</v>
      </c>
      <c r="C103" s="7" t="str">
        <f t="shared" si="4"/>
        <v>Premium5R3less</v>
      </c>
      <c r="D103" s="7" t="str">
        <f t="shared" si="5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不壊の大要塞 バスティーユ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green</v>
      </c>
      <c r="L103" s="7" t="str">
        <f>VLOOKUP(B103,[1]characters!$A:$K,11,FALSE)</f>
        <v>hp</v>
      </c>
      <c r="M103" s="7" t="str">
        <f>VLOOKUP(B103,[1]characters!$A:$M,13,FALSE)</f>
        <v>unknown</v>
      </c>
      <c r="N103" s="7" t="str">
        <f>VLOOKUP(B103,[1]characters!$A:$G,7,FALSE)</f>
        <v>男性</v>
      </c>
      <c r="O103" s="95">
        <v>6156</v>
      </c>
      <c r="P103" s="46">
        <f t="shared" si="6"/>
        <v>1.3571428571428571E-2</v>
      </c>
      <c r="Q103" s="97">
        <v>80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input_434100!A$2</f>
        <v>434100</v>
      </c>
      <c r="B104" s="2">
        <v>941</v>
      </c>
      <c r="C104" s="7" t="str">
        <f t="shared" si="4"/>
        <v>PremiumSS5R5only</v>
      </c>
      <c r="D104" s="7" t="str">
        <f t="shared" si="5"/>
        <v>PremiumSS</v>
      </c>
      <c r="E104" s="7" t="str">
        <f>IF(COUNTIF('R6追加前'!A:A,B104)=0,IF(OR(I104="PremiumSS",I104="PremiumSSw"),"R5only","R3less"),"")</f>
        <v>R5only</v>
      </c>
      <c r="F104" s="7" t="str">
        <f>IF(COUNTIF('R6開放'!A:A,B104)&gt;0,"R6release","")</f>
        <v/>
      </c>
      <c r="G104" s="7"/>
      <c r="H104" s="7" t="str">
        <f>VLOOKUP(B104,[1]characters!$A:$C,3,FALSE)</f>
        <v>アントワネット</v>
      </c>
      <c r="I104" s="7" t="str">
        <f>VLOOKUP(B104,[1]characters!$A:$J,10,FALSE)</f>
        <v>PremiumSS</v>
      </c>
      <c r="J104" s="7">
        <f>VLOOKUP(B104,[1]characters!$A:$I,9,FALSE)</f>
        <v>5</v>
      </c>
      <c r="K104" s="7" t="str">
        <f>VLOOKUP(B104,[1]characters!$A:$H,8,FALSE)</f>
        <v>blue</v>
      </c>
      <c r="L104" s="7" t="str">
        <f>VLOOKUP(B104,[1]characters!$A:$K,11,FALSE)</f>
        <v>technical</v>
      </c>
      <c r="M104" s="7" t="str">
        <f>VLOOKUP(B104,[1]characters!$A:$M,13,FALSE)</f>
        <v>human</v>
      </c>
      <c r="N104" s="7" t="str">
        <f>VLOOKUP(B104,[1]characters!$A:$G,7,FALSE)</f>
        <v>男性</v>
      </c>
      <c r="O104" s="95">
        <v>420</v>
      </c>
      <c r="P104" s="46">
        <f t="shared" si="6"/>
        <v>9.2592592592592596E-4</v>
      </c>
      <c r="Q104" s="97"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input_434100!A$2</f>
        <v>434100</v>
      </c>
      <c r="B105" s="2">
        <v>943</v>
      </c>
      <c r="C105" s="7" t="str">
        <f t="shared" si="4"/>
        <v>PremiumSS5R5only</v>
      </c>
      <c r="D105" s="7" t="str">
        <f t="shared" si="5"/>
        <v>PremiumSS</v>
      </c>
      <c r="E105" s="7" t="str">
        <f>IF(COUNTIF('R6追加前'!A:A,B105)=0,IF(OR(I105="PremiumSS",I105="PremiumSSw"),"R5only","R3less"),"")</f>
        <v>R5only</v>
      </c>
      <c r="F105" s="7" t="str">
        <f>IF(COUNTIF('R6開放'!A:A,B105)&gt;0,"R6release","")</f>
        <v/>
      </c>
      <c r="G105" s="7"/>
      <c r="H105" s="7" t="str">
        <f>VLOOKUP(B105,[1]characters!$A:$C,3,FALSE)</f>
        <v>サンソン</v>
      </c>
      <c r="I105" s="7" t="str">
        <f>VLOOKUP(B105,[1]characters!$A:$J,10,FALSE)</f>
        <v>PremiumSS</v>
      </c>
      <c r="J105" s="7">
        <f>VLOOKUP(B105,[1]characters!$A:$I,9,FALSE)</f>
        <v>5</v>
      </c>
      <c r="K105" s="7" t="str">
        <f>VLOOKUP(B105,[1]characters!$A:$H,8,FALSE)</f>
        <v>yellow</v>
      </c>
      <c r="L105" s="7" t="str">
        <f>VLOOKUP(B105,[1]characters!$A:$K,11,FALSE)</f>
        <v>attack</v>
      </c>
      <c r="M105" s="7" t="str">
        <f>VLOOKUP(B105,[1]characters!$A:$M,13,FALSE)</f>
        <v>human</v>
      </c>
      <c r="N105" s="7" t="str">
        <f>VLOOKUP(B105,[1]characters!$A:$G,7,FALSE)</f>
        <v>男性</v>
      </c>
      <c r="O105" s="95">
        <v>420</v>
      </c>
      <c r="P105" s="46">
        <f t="shared" si="6"/>
        <v>9.2592592592592596E-4</v>
      </c>
      <c r="Q105" s="97">
        <v>80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input_434100!A$2</f>
        <v>434100</v>
      </c>
      <c r="B106" s="2">
        <v>1012</v>
      </c>
      <c r="C106" s="7" t="str">
        <f t="shared" si="4"/>
        <v>PremiumSS5R5only</v>
      </c>
      <c r="D106" s="7" t="str">
        <f t="shared" si="5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ラー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red</v>
      </c>
      <c r="L106" s="7" t="str">
        <f>VLOOKUP(B106,[1]characters!$A:$K,11,FALSE)</f>
        <v>balance</v>
      </c>
      <c r="M106" s="7" t="str">
        <f>VLOOKUP(B106,[1]characters!$A:$M,13,FALSE)</f>
        <v>god</v>
      </c>
      <c r="N106" s="7" t="str">
        <f>VLOOKUP(B106,[1]characters!$A:$G,7,FALSE)</f>
        <v>男性</v>
      </c>
      <c r="O106" s="95">
        <v>420</v>
      </c>
      <c r="P106" s="46">
        <f t="shared" si="6"/>
        <v>9.2592592592592596E-4</v>
      </c>
      <c r="Q106" s="97">
        <v>80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input_434100!A$2</f>
        <v>434100</v>
      </c>
      <c r="B107" s="2">
        <v>1014</v>
      </c>
      <c r="C107" s="7" t="str">
        <f t="shared" si="4"/>
        <v>PremiumSS5R5only</v>
      </c>
      <c r="D107" s="7" t="str">
        <f t="shared" si="5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イシス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hp</v>
      </c>
      <c r="M107" s="7" t="str">
        <f>VLOOKUP(B107,[1]characters!$A:$M,13,FALSE)</f>
        <v>god</v>
      </c>
      <c r="N107" s="7" t="str">
        <f>VLOOKUP(B107,[1]characters!$A:$G,7,FALSE)</f>
        <v>男性</v>
      </c>
      <c r="O107" s="95">
        <v>420</v>
      </c>
      <c r="P107" s="46">
        <f t="shared" si="6"/>
        <v>9.2592592592592596E-4</v>
      </c>
      <c r="Q107" s="97"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input_434100!A$2</f>
        <v>434100</v>
      </c>
      <c r="B108" s="2">
        <v>1017</v>
      </c>
      <c r="C108" s="7" t="str">
        <f t="shared" si="4"/>
        <v>Premium5R3less</v>
      </c>
      <c r="D108" s="7" t="str">
        <f t="shared" si="5"/>
        <v>Premium</v>
      </c>
      <c r="E108" s="7" t="str">
        <f>IF(COUNTIF('R6追加前'!A:A,B108)=0,IF(OR(I108="PremiumSS",I108="PremiumSSw"),"R5only","R3less"),"")</f>
        <v>R3less</v>
      </c>
      <c r="F108" s="7" t="str">
        <f>IF(COUNTIF('R6開放'!A:A,B108)&gt;0,"R6release","")</f>
        <v/>
      </c>
      <c r="G108" s="7"/>
      <c r="H108" s="7" t="str">
        <f>VLOOKUP(B108,[1]characters!$A:$C,3,FALSE)</f>
        <v>命瞳の慈母神 ハトホル</v>
      </c>
      <c r="I108" s="7" t="str">
        <f>VLOOKUP(B108,[1]characters!$A:$J,10,FALSE)</f>
        <v>PremiumS</v>
      </c>
      <c r="J108" s="7">
        <f>VLOOKUP(B108,[1]characters!$A:$I,9,FALSE)</f>
        <v>5</v>
      </c>
      <c r="K108" s="7" t="str">
        <f>VLOOKUP(B108,[1]characters!$A:$H,8,FALSE)</f>
        <v>blue</v>
      </c>
      <c r="L108" s="7" t="str">
        <f>VLOOKUP(B108,[1]characters!$A:$K,11,FALSE)</f>
        <v>heal</v>
      </c>
      <c r="M108" s="7" t="str">
        <f>VLOOKUP(B108,[1]characters!$A:$M,13,FALSE)</f>
        <v>god</v>
      </c>
      <c r="N108" s="7" t="str">
        <f>VLOOKUP(B108,[1]characters!$A:$G,7,FALSE)</f>
        <v>男性</v>
      </c>
      <c r="O108" s="95">
        <v>6156</v>
      </c>
      <c r="P108" s="46">
        <f t="shared" si="6"/>
        <v>1.3571428571428571E-2</v>
      </c>
      <c r="Q108" s="97">
        <v>80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input_434100!A$2</f>
        <v>434100</v>
      </c>
      <c r="B109" s="2">
        <v>1018</v>
      </c>
      <c r="C109" s="7" t="str">
        <f t="shared" si="4"/>
        <v>PremiumSS5R5only</v>
      </c>
      <c r="D109" s="7" t="str">
        <f t="shared" si="5"/>
        <v>PremiumSS</v>
      </c>
      <c r="E109" s="7" t="str">
        <f>IF(COUNTIF('R6追加前'!A:A,B109)=0,IF(OR(I109="PremiumSS",I109="PremiumSSw"),"R5only","R3less"),"")</f>
        <v>R5only</v>
      </c>
      <c r="F109" s="7" t="str">
        <f>IF(COUNTIF('R6開放'!A:A,B109)&gt;0,"R6release","")</f>
        <v/>
      </c>
      <c r="G109" s="7"/>
      <c r="H109" s="7" t="str">
        <f>VLOOKUP(B109,[1]characters!$A:$C,3,FALSE)</f>
        <v>バステト</v>
      </c>
      <c r="I109" s="7" t="str">
        <f>VLOOKUP(B109,[1]characters!$A:$J,10,FALSE)</f>
        <v>PremiumSS</v>
      </c>
      <c r="J109" s="7">
        <f>VLOOKUP(B109,[1]characters!$A:$I,9,FALSE)</f>
        <v>5</v>
      </c>
      <c r="K109" s="7" t="str">
        <f>VLOOKUP(B109,[1]characters!$A:$H,8,FALSE)</f>
        <v>yellow</v>
      </c>
      <c r="L109" s="7" t="str">
        <f>VLOOKUP(B109,[1]characters!$A:$K,11,FALSE)</f>
        <v>attack</v>
      </c>
      <c r="M109" s="7" t="str">
        <f>VLOOKUP(B109,[1]characters!$A:$M,13,FALSE)</f>
        <v>god</v>
      </c>
      <c r="N109" s="7" t="str">
        <f>VLOOKUP(B109,[1]characters!$A:$G,7,FALSE)</f>
        <v>男性</v>
      </c>
      <c r="O109" s="95">
        <v>420</v>
      </c>
      <c r="P109" s="46">
        <f t="shared" si="6"/>
        <v>9.2592592592592596E-4</v>
      </c>
      <c r="Q109" s="97">
        <v>80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input_434100!A$2</f>
        <v>434100</v>
      </c>
      <c r="B110" s="2">
        <v>1027</v>
      </c>
      <c r="C110" s="7" t="str">
        <f t="shared" si="4"/>
        <v>Premium5R3less</v>
      </c>
      <c r="D110" s="7" t="str">
        <f t="shared" si="5"/>
        <v>Premium</v>
      </c>
      <c r="E110" s="7" t="str">
        <f>IF(COUNTIF('R6追加前'!A:A,B110)=0,IF(OR(I110="PremiumSS",I110="PremiumSSw"),"R5only","R3less"),"")</f>
        <v>R3less</v>
      </c>
      <c r="F110" s="7" t="str">
        <f>IF(COUNTIF('R6開放'!A:A,B110)&gt;0,"R6release","")</f>
        <v/>
      </c>
      <c r="G110" s="7"/>
      <c r="H110" s="7" t="str">
        <f>VLOOKUP(B110,[1]characters!$A:$C,3,FALSE)</f>
        <v>弾丸多重奏 蝉丸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red</v>
      </c>
      <c r="L110" s="7" t="str">
        <f>VLOOKUP(B110,[1]characters!$A:$K,11,FALSE)</f>
        <v>attack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95">
        <v>6156</v>
      </c>
      <c r="P110" s="46">
        <f t="shared" si="6"/>
        <v>1.3571428571428571E-2</v>
      </c>
      <c r="Q110" s="97"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input_434100!A$2</f>
        <v>434100</v>
      </c>
      <c r="B111" s="2">
        <v>1028</v>
      </c>
      <c r="C111" s="7" t="str">
        <f t="shared" si="4"/>
        <v>PremiumSS5R5only</v>
      </c>
      <c r="D111" s="7" t="str">
        <f t="shared" si="5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牛若丸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green</v>
      </c>
      <c r="L111" s="7" t="str">
        <f>VLOOKUP(B111,[1]characters!$A:$K,11,FALSE)</f>
        <v>balance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95">
        <v>420</v>
      </c>
      <c r="P111" s="46">
        <f t="shared" si="6"/>
        <v>9.2592592592592596E-4</v>
      </c>
      <c r="Q111" s="97">
        <v>80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input_434100!A$2</f>
        <v>434100</v>
      </c>
      <c r="B112" s="2">
        <v>1031</v>
      </c>
      <c r="C112" s="7" t="str">
        <f t="shared" si="4"/>
        <v>PremiumSS5R5only</v>
      </c>
      <c r="D112" s="7" t="str">
        <f t="shared" si="5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紫式部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blue</v>
      </c>
      <c r="L112" s="7" t="str">
        <f>VLOOKUP(B112,[1]characters!$A:$K,11,FALSE)</f>
        <v>technical</v>
      </c>
      <c r="M112" s="7" t="str">
        <f>VLOOKUP(B112,[1]characters!$A:$M,13,FALSE)</f>
        <v>human</v>
      </c>
      <c r="N112" s="7" t="str">
        <f>VLOOKUP(B112,[1]characters!$A:$G,7,FALSE)</f>
        <v>男性</v>
      </c>
      <c r="O112" s="95">
        <v>420</v>
      </c>
      <c r="P112" s="46">
        <f t="shared" si="6"/>
        <v>9.2592592592592596E-4</v>
      </c>
      <c r="Q112" s="97">
        <v>80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input_434100!A$2</f>
        <v>434100</v>
      </c>
      <c r="B113" s="2">
        <v>1033</v>
      </c>
      <c r="C113" s="7" t="str">
        <f t="shared" si="4"/>
        <v>PremiumSS5R5only</v>
      </c>
      <c r="D113" s="7" t="str">
        <f t="shared" si="5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清少納言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heal</v>
      </c>
      <c r="M113" s="7" t="str">
        <f>VLOOKUP(B113,[1]characters!$A:$M,13,FALSE)</f>
        <v>human</v>
      </c>
      <c r="N113" s="7" t="str">
        <f>VLOOKUP(B113,[1]characters!$A:$G,7,FALSE)</f>
        <v>男性</v>
      </c>
      <c r="O113" s="95">
        <v>420</v>
      </c>
      <c r="P113" s="46">
        <f t="shared" si="6"/>
        <v>9.2592592592592596E-4</v>
      </c>
      <c r="Q113" s="97"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input_434100!A$2</f>
        <v>434100</v>
      </c>
      <c r="B114" s="2">
        <v>1068</v>
      </c>
      <c r="C114" s="7" t="str">
        <f t="shared" si="4"/>
        <v>Premium5R3less</v>
      </c>
      <c r="D114" s="7" t="str">
        <f t="shared" si="5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想母の羽龍 ウシュムガル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red</v>
      </c>
      <c r="L114" s="7" t="str">
        <f>VLOOKUP(B114,[1]characters!$A:$K,11,FALSE)</f>
        <v>balance</v>
      </c>
      <c r="M114" s="7" t="str">
        <f>VLOOKUP(B114,[1]characters!$A:$M,13,FALSE)</f>
        <v>dragon</v>
      </c>
      <c r="N114" s="7" t="str">
        <f>VLOOKUP(B114,[1]characters!$A:$G,7,FALSE)</f>
        <v>男性</v>
      </c>
      <c r="O114" s="95">
        <v>6156</v>
      </c>
      <c r="P114" s="46">
        <f t="shared" si="6"/>
        <v>1.3571428571428571E-2</v>
      </c>
      <c r="Q114" s="97">
        <v>80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input_434100!A$2</f>
        <v>434100</v>
      </c>
      <c r="B115" s="2">
        <v>1069</v>
      </c>
      <c r="C115" s="7" t="str">
        <f t="shared" si="4"/>
        <v>PremiumSS5R5only</v>
      </c>
      <c r="D115" s="7" t="str">
        <f t="shared" si="5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イシュタル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green</v>
      </c>
      <c r="L115" s="7" t="str">
        <f>VLOOKUP(B115,[1]characters!$A:$K,11,FALSE)</f>
        <v>technical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95">
        <v>420</v>
      </c>
      <c r="P115" s="46">
        <f t="shared" si="6"/>
        <v>9.2592592592592596E-4</v>
      </c>
      <c r="Q115" s="97">
        <v>80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input_434100!A$2</f>
        <v>434100</v>
      </c>
      <c r="B116" s="2">
        <v>1072</v>
      </c>
      <c r="C116" s="7" t="str">
        <f t="shared" si="4"/>
        <v>PremiumSS5R5only</v>
      </c>
      <c r="D116" s="7" t="str">
        <f t="shared" si="5"/>
        <v>PremiumSS</v>
      </c>
      <c r="E116" s="7" t="str">
        <f>IF(COUNTIF('R6追加前'!A:A,B116)=0,IF(OR(I116="PremiumSS",I116="PremiumSSw"),"R5only","R3less"),"")</f>
        <v>R5only</v>
      </c>
      <c r="F116" s="7" t="str">
        <f>IF(COUNTIF('R6開放'!A:A,B116)&gt;0,"R6release","")</f>
        <v/>
      </c>
      <c r="G116" s="7"/>
      <c r="H116" s="7" t="str">
        <f>VLOOKUP(B116,[1]characters!$A:$C,3,FALSE)</f>
        <v>エンキドゥ</v>
      </c>
      <c r="I116" s="7" t="str">
        <f>VLOOKUP(B116,[1]characters!$A:$J,10,FALSE)</f>
        <v>PremiumSSw</v>
      </c>
      <c r="J116" s="7">
        <f>VLOOKUP(B116,[1]characters!$A:$I,9,FALSE)</f>
        <v>5</v>
      </c>
      <c r="K116" s="7" t="str">
        <f>VLOOKUP(B116,[1]characters!$A:$H,8,FALSE)</f>
        <v>blue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95">
        <v>420</v>
      </c>
      <c r="P116" s="46">
        <f t="shared" si="6"/>
        <v>9.2592592592592596E-4</v>
      </c>
      <c r="Q116" s="97"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input_434100!A$2</f>
        <v>434100</v>
      </c>
      <c r="B117" s="2">
        <v>1074</v>
      </c>
      <c r="C117" s="7" t="str">
        <f t="shared" si="4"/>
        <v>PremiumSS5R5only</v>
      </c>
      <c r="D117" s="7" t="str">
        <f t="shared" si="5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マルドゥク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yellow</v>
      </c>
      <c r="L117" s="7" t="str">
        <f>VLOOKUP(B117,[1]characters!$A:$K,11,FALSE)</f>
        <v>technical</v>
      </c>
      <c r="M117" s="7" t="str">
        <f>VLOOKUP(B117,[1]characters!$A:$M,13,FALSE)</f>
        <v>god</v>
      </c>
      <c r="N117" s="7" t="str">
        <f>VLOOKUP(B117,[1]characters!$A:$G,7,FALSE)</f>
        <v>男性</v>
      </c>
      <c r="O117" s="95">
        <v>420</v>
      </c>
      <c r="P117" s="46">
        <f t="shared" si="6"/>
        <v>9.2592592592592596E-4</v>
      </c>
      <c r="Q117" s="97">
        <v>80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input_434100!A$2</f>
        <v>434100</v>
      </c>
      <c r="B118" s="2">
        <v>1105</v>
      </c>
      <c r="C118" s="7" t="str">
        <f t="shared" si="4"/>
        <v>Premium5R3less</v>
      </c>
      <c r="D118" s="7" t="str">
        <f t="shared" si="5"/>
        <v>Premium</v>
      </c>
      <c r="E118" s="7" t="str">
        <f>IF(COUNTIF('R6追加前'!A:A,B118)=0,IF(OR(I118="PremiumSS",I118="PremiumSSw"),"R5only","R3less"),"")</f>
        <v>R3less</v>
      </c>
      <c r="F118" s="7" t="str">
        <f>IF(COUNTIF('R6開放'!A:A,B118)&gt;0,"R6release","")</f>
        <v/>
      </c>
      <c r="G118" s="7"/>
      <c r="H118" s="7" t="str">
        <f>VLOOKUP(B118,[1]characters!$A:$C,3,FALSE)</f>
        <v>甘美なる背徳 クリムト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不明</v>
      </c>
      <c r="O118" s="95">
        <v>6156</v>
      </c>
      <c r="P118" s="46">
        <f t="shared" si="6"/>
        <v>1.3571428571428571E-2</v>
      </c>
      <c r="Q118" s="97">
        <v>80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input_434100!A$2</f>
        <v>434100</v>
      </c>
      <c r="B119" s="2">
        <v>1106</v>
      </c>
      <c r="C119" s="7" t="str">
        <f t="shared" si="4"/>
        <v>PremiumSS5R5only</v>
      </c>
      <c r="D119" s="7" t="str">
        <f t="shared" si="5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ラファエロ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attack</v>
      </c>
      <c r="M119" s="7" t="str">
        <f>VLOOKUP(B119,[1]characters!$A:$M,13,FALSE)</f>
        <v>human</v>
      </c>
      <c r="N119" s="7" t="str">
        <f>VLOOKUP(B119,[1]characters!$A:$G,7,FALSE)</f>
        <v>不明</v>
      </c>
      <c r="O119" s="95">
        <v>420</v>
      </c>
      <c r="P119" s="46">
        <f t="shared" si="6"/>
        <v>9.2592592592592596E-4</v>
      </c>
      <c r="Q119" s="97"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input_434100!A$2</f>
        <v>434100</v>
      </c>
      <c r="B120" s="2">
        <v>1102</v>
      </c>
      <c r="C120" s="7" t="str">
        <f t="shared" si="4"/>
        <v>PremiumSS5R5only</v>
      </c>
      <c r="D120" s="7" t="str">
        <f t="shared" si="5"/>
        <v>PremiumSS</v>
      </c>
      <c r="E120" s="7" t="str">
        <f>IF(COUNTIF('R6追加前'!A:A,B120)=0,IF(OR(I120="PremiumSS",I120="PremiumSSw"),"R5only","R3less"),"")</f>
        <v>R5only</v>
      </c>
      <c r="F120" s="7" t="str">
        <f>IF(COUNTIF('R6開放'!A:A,B120)&gt;0,"R6release","")</f>
        <v/>
      </c>
      <c r="G120" s="7"/>
      <c r="H120" s="7" t="str">
        <f>VLOOKUP(B120,[1]characters!$A:$C,3,FALSE)</f>
        <v>ドガ</v>
      </c>
      <c r="I120" s="7" t="str">
        <f>VLOOKUP(B120,[1]characters!$A:$J,10,FALSE)</f>
        <v>PremiumSSW</v>
      </c>
      <c r="J120" s="7">
        <f>VLOOKUP(B120,[1]characters!$A:$I,9,FALSE)</f>
        <v>5</v>
      </c>
      <c r="K120" s="7" t="str">
        <f>VLOOKUP(B120,[1]characters!$A:$H,8,FALSE)</f>
        <v>green</v>
      </c>
      <c r="L120" s="7" t="str">
        <f>VLOOKUP(B120,[1]characters!$A:$K,11,FALSE)</f>
        <v>balance</v>
      </c>
      <c r="M120" s="7" t="str">
        <f>VLOOKUP(B120,[1]characters!$A:$M,13,FALSE)</f>
        <v>animal</v>
      </c>
      <c r="N120" s="7" t="str">
        <f>VLOOKUP(B120,[1]characters!$A:$G,7,FALSE)</f>
        <v>不明</v>
      </c>
      <c r="O120" s="95">
        <v>420</v>
      </c>
      <c r="P120" s="46">
        <f t="shared" si="6"/>
        <v>9.2592592592592596E-4</v>
      </c>
      <c r="Q120" s="97">
        <v>80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input_434100!A$2</f>
        <v>434100</v>
      </c>
      <c r="B121" s="2">
        <v>1100</v>
      </c>
      <c r="C121" s="7" t="str">
        <f t="shared" si="4"/>
        <v>PremiumSS5R5only</v>
      </c>
      <c r="D121" s="7" t="str">
        <f t="shared" si="5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北斎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red</v>
      </c>
      <c r="L121" s="7" t="str">
        <f>VLOOKUP(B121,[1]characters!$A:$K,11,FALSE)</f>
        <v>attack</v>
      </c>
      <c r="M121" s="7" t="str">
        <f>VLOOKUP(B121,[1]characters!$A:$M,13,FALSE)</f>
        <v>human</v>
      </c>
      <c r="N121" s="7" t="str">
        <f>VLOOKUP(B121,[1]characters!$A:$G,7,FALSE)</f>
        <v>不明</v>
      </c>
      <c r="O121" s="95">
        <v>420</v>
      </c>
      <c r="P121" s="46">
        <f t="shared" si="6"/>
        <v>9.2592592592592596E-4</v>
      </c>
      <c r="Q121" s="97">
        <v>80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input_434100!A$2</f>
        <v>434100</v>
      </c>
      <c r="B122" s="2">
        <v>1137</v>
      </c>
      <c r="C122" s="7" t="str">
        <f t="shared" si="4"/>
        <v>PremiumSS5R5only</v>
      </c>
      <c r="D122" s="7" t="str">
        <f t="shared" si="5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諸葛亮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red</v>
      </c>
      <c r="L122" s="7" t="str">
        <f>VLOOKUP(B122,[1]characters!$A:$K,11,FALSE)</f>
        <v>technical</v>
      </c>
      <c r="M122" s="7" t="str">
        <f>VLOOKUP(B122,[1]characters!$A:$M,13,FALSE)</f>
        <v>samurai</v>
      </c>
      <c r="N122" s="7" t="str">
        <f>VLOOKUP(B122,[1]characters!$A:$G,7,FALSE)</f>
        <v>不明</v>
      </c>
      <c r="O122" s="95">
        <v>420</v>
      </c>
      <c r="P122" s="46">
        <f t="shared" si="6"/>
        <v>9.2592592592592596E-4</v>
      </c>
      <c r="Q122" s="97"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input_434100!A$2</f>
        <v>434100</v>
      </c>
      <c r="B123" s="2">
        <v>1139</v>
      </c>
      <c r="C123" s="7" t="str">
        <f t="shared" si="4"/>
        <v>PremiumSS5R5only</v>
      </c>
      <c r="D123" s="7" t="str">
        <f t="shared" si="5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趙雲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green</v>
      </c>
      <c r="L123" s="7" t="str">
        <f>VLOOKUP(B123,[1]characters!$A:$K,11,FALSE)</f>
        <v>balance</v>
      </c>
      <c r="M123" s="7" t="str">
        <f>VLOOKUP(B123,[1]characters!$A:$M,13,FALSE)</f>
        <v>samurai</v>
      </c>
      <c r="N123" s="7" t="str">
        <f>VLOOKUP(B123,[1]characters!$A:$G,7,FALSE)</f>
        <v>不明</v>
      </c>
      <c r="O123" s="95">
        <v>420</v>
      </c>
      <c r="P123" s="46">
        <f t="shared" si="6"/>
        <v>9.2592592592592596E-4</v>
      </c>
      <c r="Q123" s="97">
        <v>80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input_434100!A$2</f>
        <v>434100</v>
      </c>
      <c r="B124" s="2">
        <v>1141</v>
      </c>
      <c r="C124" s="7" t="str">
        <f t="shared" si="4"/>
        <v>PremiumSS5R5only</v>
      </c>
      <c r="D124" s="7" t="str">
        <f t="shared" si="5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月英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blue</v>
      </c>
      <c r="L124" s="7" t="str">
        <f>VLOOKUP(B124,[1]characters!$A:$K,11,FALSE)</f>
        <v>balance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95">
        <v>420</v>
      </c>
      <c r="P124" s="46">
        <f t="shared" si="6"/>
        <v>9.2592592592592596E-4</v>
      </c>
      <c r="Q124" s="97">
        <v>80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input_434100!A$2</f>
        <v>434100</v>
      </c>
      <c r="B125" s="2">
        <v>1144</v>
      </c>
      <c r="C125" s="7" t="str">
        <f t="shared" si="4"/>
        <v>Premium5R3less</v>
      </c>
      <c r="D125" s="7" t="str">
        <f t="shared" si="5"/>
        <v>Premium</v>
      </c>
      <c r="E125" s="7" t="str">
        <f>IF(COUNTIF('R6追加前'!A:A,B125)=0,IF(OR(I125="PremiumSS",I125="PremiumSSw"),"R5only","R3less"),"")</f>
        <v>R3less</v>
      </c>
      <c r="F125" s="7" t="str">
        <f>IF(COUNTIF('R6開放'!A:A,B125)&gt;0,"R6release","")</f>
        <v/>
      </c>
      <c r="G125" s="7"/>
      <c r="H125" s="7" t="str">
        <f>VLOOKUP(B125,[1]characters!$A:$C,3,FALSE)</f>
        <v>白星を射る老将 黄忠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technical</v>
      </c>
      <c r="M125" s="7" t="str">
        <f>VLOOKUP(B125,[1]characters!$A:$M,13,FALSE)</f>
        <v>samurai</v>
      </c>
      <c r="N125" s="7" t="str">
        <f>VLOOKUP(B125,[1]characters!$A:$G,7,FALSE)</f>
        <v>不明</v>
      </c>
      <c r="O125" s="95">
        <v>6156</v>
      </c>
      <c r="P125" s="46">
        <f t="shared" si="6"/>
        <v>1.3571428571428571E-2</v>
      </c>
      <c r="Q125" s="97"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P126" s="46">
        <f>SUM(P2:P125)</f>
        <v>0.99999999999999811</v>
      </c>
    </row>
    <row r="128" spans="1:22" ht="21" customHeight="1" x14ac:dyDescent="0.15">
      <c r="N128" s="96"/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1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B12" sqref="B1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434105</v>
      </c>
      <c r="B2" s="60">
        <v>1069</v>
      </c>
      <c r="C2" s="7" t="str">
        <f t="shared" ref="C2:C6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イシュタル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technical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 t="shared" ref="P2:P13" si="1">O2/SUM(O:O)</f>
        <v>8.3333333333333329E-2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434105</v>
      </c>
      <c r="B3" s="60">
        <v>1072</v>
      </c>
      <c r="C3" s="7" t="str">
        <f t="shared" si="0"/>
        <v>PremiumSS5R5only</v>
      </c>
      <c r="D3" s="7" t="str">
        <f t="shared" ref="D3:D6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エンキドゥ</v>
      </c>
      <c r="I3" s="7" t="str">
        <f>VLOOKUP(B3,[1]characters!$A:$J,10,FALSE)</f>
        <v>PremiumSSw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v>10</v>
      </c>
      <c r="P3" s="46">
        <f t="shared" si="1"/>
        <v>8.3333333333333329E-2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434105</v>
      </c>
      <c r="B4" s="60">
        <v>1074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マルドゥク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technical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v>10</v>
      </c>
      <c r="P4" s="46">
        <f t="shared" si="1"/>
        <v>8.3333333333333329E-2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434105</v>
      </c>
      <c r="B5" s="92">
        <v>1100</v>
      </c>
      <c r="C5" s="7" t="str">
        <f t="shared" si="0"/>
        <v>PremiumSS5R5only</v>
      </c>
      <c r="D5" s="7" t="str">
        <f t="shared" si="2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北斎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不明</v>
      </c>
      <c r="O5" s="45">
        <v>10</v>
      </c>
      <c r="P5" s="46">
        <f t="shared" si="1"/>
        <v>8.3333333333333329E-2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434105</v>
      </c>
      <c r="B6" s="60">
        <v>1102</v>
      </c>
      <c r="C6" s="7" t="str">
        <f t="shared" si="0"/>
        <v>PremiumSS5R5only</v>
      </c>
      <c r="D6" s="7" t="str">
        <f t="shared" si="2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ドガ</v>
      </c>
      <c r="I6" s="7" t="str">
        <f>VLOOKUP(B6,[1]characters!$A:$J,10,FALSE)</f>
        <v>PremiumSSW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v>10</v>
      </c>
      <c r="P6" s="46">
        <f t="shared" si="1"/>
        <v>8.3333333333333329E-2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434105</v>
      </c>
      <c r="B7" s="60">
        <v>1106</v>
      </c>
      <c r="C7" s="7" t="str">
        <f t="shared" ref="C7:C13" si="3">D7&amp;J7&amp;E7&amp;F7&amp;G7</f>
        <v>PremiumSS5R5only</v>
      </c>
      <c r="D7" s="7" t="str">
        <f t="shared" ref="D7:D13" si="4">IF(OR(I7="PremiumSS",I7="PremiumSSw"),"PremiumSS",IF(I7="PremiumSSS",I7,IF(I7="PremiumW",I7,"Premium")))</f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ラファエロ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不明</v>
      </c>
      <c r="O7" s="45">
        <v>10</v>
      </c>
      <c r="P7" s="46">
        <f t="shared" si="1"/>
        <v>8.3333333333333329E-2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434105</v>
      </c>
      <c r="B8" s="87">
        <v>1018</v>
      </c>
      <c r="C8" s="7" t="str">
        <f t="shared" si="3"/>
        <v>PremiumSS5R5only</v>
      </c>
      <c r="D8" s="7" t="str">
        <f t="shared" si="4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バステト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男性</v>
      </c>
      <c r="O8" s="45">
        <v>10</v>
      </c>
      <c r="P8" s="46">
        <f t="shared" si="1"/>
        <v>8.3333333333333329E-2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434105</v>
      </c>
      <c r="B9" s="87">
        <v>1012</v>
      </c>
      <c r="C9" s="7" t="str">
        <f t="shared" si="3"/>
        <v>PremiumSS5R5only</v>
      </c>
      <c r="D9" s="7" t="str">
        <f t="shared" si="4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ラー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god</v>
      </c>
      <c r="N9" s="7" t="str">
        <f>VLOOKUP(B9,[1]characters!$A:$G,7,FALSE)</f>
        <v>男性</v>
      </c>
      <c r="O9" s="45">
        <v>10</v>
      </c>
      <c r="P9" s="46">
        <f t="shared" si="1"/>
        <v>8.3333333333333329E-2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434105</v>
      </c>
      <c r="B10" s="87">
        <v>1014</v>
      </c>
      <c r="C10" s="7" t="str">
        <f t="shared" si="3"/>
        <v>PremiumSS5R5only</v>
      </c>
      <c r="D10" s="7" t="str">
        <f t="shared" si="4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イシス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hp</v>
      </c>
      <c r="M10" s="7" t="str">
        <f>VLOOKUP(B10,[1]characters!$A:$M,13,FALSE)</f>
        <v>god</v>
      </c>
      <c r="N10" s="7" t="str">
        <f>VLOOKUP(B10,[1]characters!$A:$G,7,FALSE)</f>
        <v>男性</v>
      </c>
      <c r="O10" s="45">
        <v>10</v>
      </c>
      <c r="P10" s="46">
        <f t="shared" si="1"/>
        <v>8.3333333333333329E-2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434105</v>
      </c>
      <c r="B11" s="87">
        <v>1031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紫式部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45">
        <v>10</v>
      </c>
      <c r="P11" s="46">
        <f t="shared" si="1"/>
        <v>8.3333333333333329E-2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434105</v>
      </c>
      <c r="B12" s="87">
        <v>1028</v>
      </c>
      <c r="C12" s="7" t="str">
        <f t="shared" si="3"/>
        <v>PremiumSS5R5only</v>
      </c>
      <c r="D12" s="7" t="str">
        <f t="shared" si="4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牛若丸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男性</v>
      </c>
      <c r="O12" s="45">
        <v>10</v>
      </c>
      <c r="P12" s="46">
        <f t="shared" si="1"/>
        <v>8.3333333333333329E-2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434105</v>
      </c>
      <c r="B13" s="87">
        <v>1033</v>
      </c>
      <c r="C13" s="7" t="str">
        <f t="shared" si="3"/>
        <v>PremiumSS5R5only</v>
      </c>
      <c r="D13" s="7" t="str">
        <f t="shared" si="4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清少納言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heal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v>10</v>
      </c>
      <c r="P13" s="46">
        <f t="shared" si="1"/>
        <v>8.3333333333333329E-2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98"/>
      <c r="P14" s="99"/>
      <c r="Q14" s="100"/>
      <c r="R14" s="100"/>
      <c r="S14" s="100"/>
      <c r="T14" s="100"/>
      <c r="U14" s="100"/>
      <c r="V14" s="100"/>
    </row>
    <row r="15" spans="1:22" ht="21" customHeight="1" x14ac:dyDescent="0.1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98"/>
      <c r="P15" s="99"/>
      <c r="Q15" s="100"/>
      <c r="R15" s="100"/>
      <c r="S15" s="100"/>
      <c r="T15" s="100"/>
      <c r="U15" s="100"/>
      <c r="V15" s="100"/>
    </row>
    <row r="16" spans="1:22" ht="21" customHeight="1" x14ac:dyDescent="0.1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98"/>
      <c r="P16" s="99"/>
      <c r="Q16" s="100"/>
      <c r="R16" s="100"/>
      <c r="S16" s="100"/>
      <c r="T16" s="100"/>
      <c r="U16" s="100"/>
      <c r="V16" s="100"/>
    </row>
    <row r="17" spans="1:22" ht="21" customHeight="1" x14ac:dyDescent="0.1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98"/>
      <c r="P17" s="99"/>
      <c r="Q17" s="100"/>
      <c r="R17" s="100"/>
      <c r="S17" s="100"/>
      <c r="T17" s="100"/>
      <c r="U17" s="100"/>
      <c r="V17" s="100"/>
    </row>
    <row r="18" spans="1:22" ht="21" customHeight="1" x14ac:dyDescent="0.1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98"/>
      <c r="P18" s="99"/>
      <c r="Q18" s="100"/>
      <c r="R18" s="100"/>
      <c r="S18" s="100"/>
      <c r="T18" s="100"/>
      <c r="U18" s="100"/>
      <c r="V18" s="100"/>
    </row>
    <row r="19" spans="1:22" ht="21" customHeight="1" x14ac:dyDescent="0.1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98"/>
      <c r="P19" s="99"/>
      <c r="Q19" s="100"/>
      <c r="R19" s="100"/>
      <c r="S19" s="100"/>
      <c r="T19" s="100"/>
      <c r="U19" s="100"/>
      <c r="V19" s="100"/>
    </row>
    <row r="20" spans="1:22" ht="21" customHeight="1" x14ac:dyDescent="0.1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98"/>
      <c r="P20" s="99"/>
      <c r="Q20" s="100"/>
      <c r="R20" s="100"/>
      <c r="S20" s="100"/>
      <c r="T20" s="100"/>
      <c r="U20" s="100"/>
      <c r="V20" s="100"/>
    </row>
    <row r="21" spans="1:22" ht="21" customHeight="1" x14ac:dyDescent="0.1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98"/>
      <c r="P21" s="99"/>
      <c r="Q21" s="100"/>
      <c r="R21" s="100"/>
      <c r="S21" s="100"/>
      <c r="T21" s="100"/>
      <c r="U21" s="100"/>
      <c r="V21" s="100"/>
    </row>
    <row r="22" spans="1:22" ht="21" customHeight="1" x14ac:dyDescent="0.1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98"/>
      <c r="P22" s="99"/>
      <c r="Q22" s="100"/>
      <c r="R22" s="100"/>
      <c r="S22" s="100"/>
      <c r="T22" s="100"/>
      <c r="U22" s="100"/>
      <c r="V22" s="100"/>
    </row>
    <row r="23" spans="1:22" ht="21" customHeight="1" x14ac:dyDescent="0.1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98"/>
      <c r="P23" s="99"/>
      <c r="Q23" s="100"/>
      <c r="R23" s="100"/>
      <c r="S23" s="100"/>
      <c r="T23" s="100"/>
      <c r="U23" s="100"/>
      <c r="V23" s="100"/>
    </row>
    <row r="24" spans="1:22" ht="21" customHeight="1" x14ac:dyDescent="0.1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98"/>
      <c r="P24" s="99"/>
      <c r="Q24" s="100"/>
      <c r="R24" s="100"/>
      <c r="S24" s="100"/>
      <c r="T24" s="100"/>
      <c r="U24" s="100"/>
      <c r="V24" s="100"/>
    </row>
    <row r="25" spans="1:22" ht="21" customHeight="1" x14ac:dyDescent="0.1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98"/>
      <c r="P25" s="99"/>
      <c r="Q25" s="100"/>
      <c r="R25" s="100"/>
      <c r="S25" s="100"/>
      <c r="T25" s="100"/>
      <c r="U25" s="100"/>
      <c r="V25" s="100"/>
    </row>
    <row r="26" spans="1:22" ht="21" customHeight="1" x14ac:dyDescent="0.1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98"/>
      <c r="P26" s="99"/>
      <c r="Q26" s="100"/>
      <c r="R26" s="100"/>
      <c r="S26" s="100"/>
      <c r="T26" s="100"/>
      <c r="U26" s="100"/>
      <c r="V26" s="100"/>
    </row>
    <row r="27" spans="1:22" ht="21" customHeight="1" x14ac:dyDescent="0.1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98"/>
      <c r="P27" s="99"/>
      <c r="Q27" s="100"/>
      <c r="R27" s="100"/>
      <c r="S27" s="100"/>
      <c r="T27" s="100"/>
      <c r="U27" s="100"/>
      <c r="V27" s="100"/>
    </row>
    <row r="28" spans="1:22" ht="21" customHeight="1" x14ac:dyDescent="0.1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98"/>
      <c r="P28" s="99"/>
      <c r="Q28" s="100"/>
      <c r="R28" s="100"/>
      <c r="S28" s="100"/>
      <c r="T28" s="100"/>
      <c r="U28" s="100"/>
      <c r="V28" s="100"/>
    </row>
    <row r="29" spans="1:22" ht="21" customHeight="1" x14ac:dyDescent="0.1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98"/>
      <c r="P29" s="99"/>
      <c r="Q29" s="100"/>
      <c r="R29" s="100"/>
      <c r="S29" s="100"/>
      <c r="T29" s="100"/>
      <c r="U29" s="100"/>
      <c r="V29" s="100"/>
    </row>
    <row r="30" spans="1:22" ht="21" customHeight="1" x14ac:dyDescent="0.1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98"/>
      <c r="P30" s="99"/>
      <c r="Q30" s="100"/>
      <c r="R30" s="100"/>
      <c r="S30" s="100"/>
      <c r="T30" s="100"/>
      <c r="U30" s="100"/>
      <c r="V30" s="100"/>
    </row>
    <row r="31" spans="1:22" ht="21" customHeight="1" x14ac:dyDescent="0.1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98"/>
      <c r="P31" s="99"/>
      <c r="Q31" s="100"/>
      <c r="R31" s="100"/>
      <c r="S31" s="100"/>
      <c r="T31" s="100"/>
      <c r="U31" s="100"/>
      <c r="V31" s="100"/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4"/>
  <sheetViews>
    <sheetView showGridLines="0" workbookViewId="0">
      <pane ySplit="1" topLeftCell="A2" activePane="bottomLeft" state="frozen"/>
      <selection activeCell="M24" sqref="M24"/>
      <selection pane="bottomLeft" activeCell="F3" sqref="F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4">
        <v>434102</v>
      </c>
      <c r="B2" s="104">
        <v>4341021</v>
      </c>
      <c r="C2" s="78" t="s">
        <v>259</v>
      </c>
      <c r="D2" s="78">
        <v>1</v>
      </c>
      <c r="E2" s="78">
        <v>3</v>
      </c>
      <c r="F2" s="78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8" t="s">
        <v>250</v>
      </c>
      <c r="O2" s="78" t="s">
        <v>260</v>
      </c>
      <c r="P2" s="78" t="s">
        <v>251</v>
      </c>
      <c r="Q2" s="79" t="s">
        <v>261</v>
      </c>
    </row>
    <row r="3" spans="1:17" ht="21" customHeight="1" x14ac:dyDescent="0.15">
      <c r="A3" s="104">
        <v>434103</v>
      </c>
      <c r="B3" s="104">
        <v>4341031</v>
      </c>
      <c r="C3" s="78" t="s">
        <v>249</v>
      </c>
      <c r="D3" s="78">
        <v>611</v>
      </c>
      <c r="E3" s="78">
        <v>5</v>
      </c>
      <c r="F3" s="78">
        <v>1</v>
      </c>
      <c r="G3" s="2">
        <v>0</v>
      </c>
      <c r="H3" s="2">
        <v>0</v>
      </c>
      <c r="I3" s="2">
        <v>0</v>
      </c>
      <c r="J3" s="2">
        <v>0</v>
      </c>
      <c r="K3" s="2">
        <v>1</v>
      </c>
      <c r="L3" s="2">
        <v>1</v>
      </c>
      <c r="M3" s="2">
        <v>1</v>
      </c>
      <c r="N3" s="78" t="s">
        <v>250</v>
      </c>
      <c r="O3" s="78" t="s">
        <v>262</v>
      </c>
      <c r="P3" s="78" t="s">
        <v>251</v>
      </c>
      <c r="Q3" s="79" t="s">
        <v>263</v>
      </c>
    </row>
    <row r="4" spans="1:17" ht="21" customHeight="1" x14ac:dyDescent="0.15">
      <c r="A4" s="104">
        <v>434104</v>
      </c>
      <c r="B4" s="104">
        <v>4341041</v>
      </c>
      <c r="C4" s="78" t="s">
        <v>249</v>
      </c>
      <c r="D4" s="78">
        <v>610</v>
      </c>
      <c r="E4" s="78">
        <v>2</v>
      </c>
      <c r="F4" s="78">
        <v>1</v>
      </c>
      <c r="G4" s="2">
        <v>0</v>
      </c>
      <c r="H4" s="2">
        <v>0</v>
      </c>
      <c r="I4" s="2">
        <v>0</v>
      </c>
      <c r="J4" s="2">
        <v>0</v>
      </c>
      <c r="K4" s="2">
        <v>1</v>
      </c>
      <c r="L4" s="2">
        <v>1</v>
      </c>
      <c r="M4" s="2">
        <v>1</v>
      </c>
      <c r="N4" s="78" t="s">
        <v>250</v>
      </c>
      <c r="O4" s="78" t="s">
        <v>264</v>
      </c>
      <c r="P4" s="78" t="s">
        <v>251</v>
      </c>
      <c r="Q4" s="79" t="s">
        <v>265</v>
      </c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input_434100</vt:lpstr>
      <vt:lpstr>tables_434100</vt:lpstr>
      <vt:lpstr>input_434101</vt:lpstr>
      <vt:lpstr>tables_434101</vt:lpstr>
      <vt:lpstr>tables_settle_434104</vt:lpstr>
      <vt:lpstr>tables_settle_434105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2016-10-19T14:25:12Z</dcterms:modified>
</cp:coreProperties>
</file>