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362010" sheetId="157" r:id="rId4"/>
    <sheet name="tables_362010" sheetId="158" r:id="rId5"/>
    <sheet name="input_362100" sheetId="153" r:id="rId6"/>
    <sheet name="tables_362100" sheetId="154" r:id="rId7"/>
    <sheet name="input_settle_362100" sheetId="159" r:id="rId8"/>
    <sheet name="tables_settle_362100" sheetId="160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tables_362010!$A$1:$V$283</definedName>
    <definedName name="_xlnm._FilterDatabase" localSheetId="6" hidden="1">tables_362100!$A$1:$V$283</definedName>
    <definedName name="_xlnm._FilterDatabase" localSheetId="8" hidden="1">tables_settle_362100!$A$1:$V$292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G31" i="157"/>
  <c r="H31" i="157"/>
  <c r="O290" i="158"/>
  <c r="A2" i="159"/>
  <c r="I3" i="160"/>
  <c r="D3" i="160"/>
  <c r="J3" i="160"/>
  <c r="E3" i="160"/>
  <c r="F3" i="160"/>
  <c r="C3" i="160"/>
  <c r="I2" i="160"/>
  <c r="D2" i="160"/>
  <c r="J2" i="160"/>
  <c r="E2" i="160"/>
  <c r="F2" i="160"/>
  <c r="C2" i="160"/>
  <c r="I4" i="160"/>
  <c r="D4" i="160"/>
  <c r="J4" i="160"/>
  <c r="E4" i="160"/>
  <c r="F4" i="160"/>
  <c r="C4" i="160"/>
  <c r="I5" i="160"/>
  <c r="D5" i="160"/>
  <c r="J5" i="160"/>
  <c r="E5" i="160"/>
  <c r="F5" i="160"/>
  <c r="C5" i="160"/>
  <c r="I6" i="160"/>
  <c r="D6" i="160"/>
  <c r="J6" i="160"/>
  <c r="E6" i="160"/>
  <c r="F6" i="160"/>
  <c r="C6" i="160"/>
  <c r="I7" i="160"/>
  <c r="D7" i="160"/>
  <c r="J7" i="160"/>
  <c r="E7" i="160"/>
  <c r="F7" i="160"/>
  <c r="C7" i="160"/>
  <c r="I8" i="160"/>
  <c r="D8" i="160"/>
  <c r="J8" i="160"/>
  <c r="E8" i="160"/>
  <c r="F8" i="160"/>
  <c r="C8" i="160"/>
  <c r="I9" i="160"/>
  <c r="D9" i="160"/>
  <c r="J9" i="160"/>
  <c r="E9" i="160"/>
  <c r="F9" i="160"/>
  <c r="C9" i="160"/>
  <c r="I10" i="160"/>
  <c r="D10" i="160"/>
  <c r="J10" i="160"/>
  <c r="E10" i="160"/>
  <c r="F10" i="160"/>
  <c r="C10" i="160"/>
  <c r="I11" i="160"/>
  <c r="D11" i="160"/>
  <c r="J11" i="160"/>
  <c r="E11" i="160"/>
  <c r="F11" i="160"/>
  <c r="C11" i="160"/>
  <c r="I12" i="160"/>
  <c r="D12" i="160"/>
  <c r="J12" i="160"/>
  <c r="E12" i="160"/>
  <c r="F12" i="160"/>
  <c r="C12" i="160"/>
  <c r="I13" i="160"/>
  <c r="D13" i="160"/>
  <c r="J13" i="160"/>
  <c r="E13" i="160"/>
  <c r="F13" i="160"/>
  <c r="C13" i="160"/>
  <c r="I14" i="160"/>
  <c r="D14" i="160"/>
  <c r="J14" i="160"/>
  <c r="E14" i="160"/>
  <c r="F14" i="160"/>
  <c r="C14" i="160"/>
  <c r="I15" i="160"/>
  <c r="D15" i="160"/>
  <c r="J15" i="160"/>
  <c r="E15" i="160"/>
  <c r="F15" i="160"/>
  <c r="C15" i="160"/>
  <c r="I16" i="160"/>
  <c r="D16" i="160"/>
  <c r="J16" i="160"/>
  <c r="E16" i="160"/>
  <c r="F16" i="160"/>
  <c r="C16" i="160"/>
  <c r="I17" i="160"/>
  <c r="D17" i="160"/>
  <c r="J17" i="160"/>
  <c r="E17" i="160"/>
  <c r="F17" i="160"/>
  <c r="C17" i="160"/>
  <c r="I18" i="160"/>
  <c r="D18" i="160"/>
  <c r="J18" i="160"/>
  <c r="E18" i="160"/>
  <c r="F18" i="160"/>
  <c r="C18" i="160"/>
  <c r="I19" i="160"/>
  <c r="D19" i="160"/>
  <c r="J19" i="160"/>
  <c r="E19" i="160"/>
  <c r="F19" i="160"/>
  <c r="C19" i="160"/>
  <c r="I20" i="160"/>
  <c r="D20" i="160"/>
  <c r="J20" i="160"/>
  <c r="E20" i="160"/>
  <c r="F20" i="160"/>
  <c r="C20" i="160"/>
  <c r="I21" i="160"/>
  <c r="D21" i="160"/>
  <c r="J21" i="160"/>
  <c r="E21" i="160"/>
  <c r="F21" i="160"/>
  <c r="C21" i="160"/>
  <c r="I22" i="160"/>
  <c r="D22" i="160"/>
  <c r="J22" i="160"/>
  <c r="E22" i="160"/>
  <c r="F22" i="160"/>
  <c r="C22" i="160"/>
  <c r="I23" i="160"/>
  <c r="D23" i="160"/>
  <c r="J23" i="160"/>
  <c r="E23" i="160"/>
  <c r="F23" i="160"/>
  <c r="C23" i="160"/>
  <c r="I24" i="160"/>
  <c r="D24" i="160"/>
  <c r="J24" i="160"/>
  <c r="E24" i="160"/>
  <c r="F24" i="160"/>
  <c r="C24" i="160"/>
  <c r="I25" i="160"/>
  <c r="D25" i="160"/>
  <c r="J25" i="160"/>
  <c r="E25" i="160"/>
  <c r="F25" i="160"/>
  <c r="C25" i="160"/>
  <c r="I26" i="160"/>
  <c r="D26" i="160"/>
  <c r="J26" i="160"/>
  <c r="E26" i="160"/>
  <c r="F26" i="160"/>
  <c r="C26" i="160"/>
  <c r="I27" i="160"/>
  <c r="D27" i="160"/>
  <c r="J27" i="160"/>
  <c r="E27" i="160"/>
  <c r="F27" i="160"/>
  <c r="C27" i="160"/>
  <c r="I28" i="160"/>
  <c r="D28" i="160"/>
  <c r="J28" i="160"/>
  <c r="E28" i="160"/>
  <c r="F28" i="160"/>
  <c r="C28" i="160"/>
  <c r="I29" i="160"/>
  <c r="D29" i="160"/>
  <c r="J29" i="160"/>
  <c r="E29" i="160"/>
  <c r="F29" i="160"/>
  <c r="C29" i="160"/>
  <c r="I30" i="160"/>
  <c r="D30" i="160"/>
  <c r="J30" i="160"/>
  <c r="E30" i="160"/>
  <c r="F30" i="160"/>
  <c r="C30" i="160"/>
  <c r="I31" i="160"/>
  <c r="D31" i="160"/>
  <c r="J31" i="160"/>
  <c r="E31" i="160"/>
  <c r="F31" i="160"/>
  <c r="C31" i="160"/>
  <c r="I32" i="160"/>
  <c r="D32" i="160"/>
  <c r="J32" i="160"/>
  <c r="E32" i="160"/>
  <c r="F32" i="160"/>
  <c r="C32" i="160"/>
  <c r="I33" i="160"/>
  <c r="D33" i="160"/>
  <c r="J33" i="160"/>
  <c r="E33" i="160"/>
  <c r="F33" i="160"/>
  <c r="C33" i="160"/>
  <c r="I34" i="160"/>
  <c r="D34" i="160"/>
  <c r="J34" i="160"/>
  <c r="E34" i="160"/>
  <c r="F34" i="160"/>
  <c r="C34" i="160"/>
  <c r="I35" i="160"/>
  <c r="D35" i="160"/>
  <c r="J35" i="160"/>
  <c r="E35" i="160"/>
  <c r="F35" i="160"/>
  <c r="C35" i="160"/>
  <c r="I36" i="160"/>
  <c r="D36" i="160"/>
  <c r="J36" i="160"/>
  <c r="E36" i="160"/>
  <c r="F36" i="160"/>
  <c r="C36" i="160"/>
  <c r="I37" i="160"/>
  <c r="D37" i="160"/>
  <c r="J37" i="160"/>
  <c r="E37" i="160"/>
  <c r="F37" i="160"/>
  <c r="C37" i="160"/>
  <c r="I38" i="160"/>
  <c r="D38" i="160"/>
  <c r="J38" i="160"/>
  <c r="E38" i="160"/>
  <c r="F38" i="160"/>
  <c r="C38" i="160"/>
  <c r="I39" i="160"/>
  <c r="D39" i="160"/>
  <c r="J39" i="160"/>
  <c r="E39" i="160"/>
  <c r="F39" i="160"/>
  <c r="C39" i="160"/>
  <c r="I40" i="160"/>
  <c r="D40" i="160"/>
  <c r="J40" i="160"/>
  <c r="E40" i="160"/>
  <c r="F40" i="160"/>
  <c r="C40" i="160"/>
  <c r="I41" i="160"/>
  <c r="D41" i="160"/>
  <c r="J41" i="160"/>
  <c r="E41" i="160"/>
  <c r="F41" i="160"/>
  <c r="C41" i="160"/>
  <c r="I42" i="160"/>
  <c r="D42" i="160"/>
  <c r="J42" i="160"/>
  <c r="E42" i="160"/>
  <c r="F42" i="160"/>
  <c r="C42" i="160"/>
  <c r="I43" i="160"/>
  <c r="D43" i="160"/>
  <c r="J43" i="160"/>
  <c r="E43" i="160"/>
  <c r="F43" i="160"/>
  <c r="C43" i="160"/>
  <c r="I44" i="160"/>
  <c r="D44" i="160"/>
  <c r="J44" i="160"/>
  <c r="E44" i="160"/>
  <c r="F44" i="160"/>
  <c r="C44" i="160"/>
  <c r="I45" i="160"/>
  <c r="D45" i="160"/>
  <c r="J45" i="160"/>
  <c r="E45" i="160"/>
  <c r="F45" i="160"/>
  <c r="C45" i="160"/>
  <c r="I46" i="160"/>
  <c r="D46" i="160"/>
  <c r="J46" i="160"/>
  <c r="E46" i="160"/>
  <c r="F46" i="160"/>
  <c r="C46" i="160"/>
  <c r="I47" i="160"/>
  <c r="D47" i="160"/>
  <c r="J47" i="160"/>
  <c r="E47" i="160"/>
  <c r="F47" i="160"/>
  <c r="C47" i="160"/>
  <c r="I48" i="160"/>
  <c r="D48" i="160"/>
  <c r="J48" i="160"/>
  <c r="E48" i="160"/>
  <c r="F48" i="160"/>
  <c r="C48" i="160"/>
  <c r="I49" i="160"/>
  <c r="D49" i="160"/>
  <c r="J49" i="160"/>
  <c r="E49" i="160"/>
  <c r="F49" i="160"/>
  <c r="C49" i="160"/>
  <c r="I50" i="160"/>
  <c r="D50" i="160"/>
  <c r="J50" i="160"/>
  <c r="E50" i="160"/>
  <c r="F50" i="160"/>
  <c r="C50" i="160"/>
  <c r="I51" i="160"/>
  <c r="D51" i="160"/>
  <c r="J51" i="160"/>
  <c r="E51" i="160"/>
  <c r="F51" i="160"/>
  <c r="C51" i="160"/>
  <c r="I52" i="160"/>
  <c r="D52" i="160"/>
  <c r="J52" i="160"/>
  <c r="E52" i="160"/>
  <c r="F52" i="160"/>
  <c r="C52" i="160"/>
  <c r="I53" i="160"/>
  <c r="D53" i="160"/>
  <c r="J53" i="160"/>
  <c r="E53" i="160"/>
  <c r="F53" i="160"/>
  <c r="C53" i="160"/>
  <c r="I54" i="160"/>
  <c r="D54" i="160"/>
  <c r="J54" i="160"/>
  <c r="E54" i="160"/>
  <c r="F54" i="160"/>
  <c r="C54" i="160"/>
  <c r="I55" i="160"/>
  <c r="D55" i="160"/>
  <c r="J55" i="160"/>
  <c r="E55" i="160"/>
  <c r="F55" i="160"/>
  <c r="C55" i="160"/>
  <c r="I56" i="160"/>
  <c r="D56" i="160"/>
  <c r="J56" i="160"/>
  <c r="E56" i="160"/>
  <c r="F56" i="160"/>
  <c r="C56" i="160"/>
  <c r="I57" i="160"/>
  <c r="D57" i="160"/>
  <c r="J57" i="160"/>
  <c r="E57" i="160"/>
  <c r="F57" i="160"/>
  <c r="C57" i="160"/>
  <c r="I58" i="160"/>
  <c r="D58" i="160"/>
  <c r="J58" i="160"/>
  <c r="E58" i="160"/>
  <c r="F58" i="160"/>
  <c r="C58" i="160"/>
  <c r="I59" i="160"/>
  <c r="D59" i="160"/>
  <c r="J59" i="160"/>
  <c r="E59" i="160"/>
  <c r="F59" i="160"/>
  <c r="C59" i="160"/>
  <c r="I60" i="160"/>
  <c r="D60" i="160"/>
  <c r="J60" i="160"/>
  <c r="E60" i="160"/>
  <c r="F60" i="160"/>
  <c r="C60" i="160"/>
  <c r="I61" i="160"/>
  <c r="D61" i="160"/>
  <c r="J61" i="160"/>
  <c r="E61" i="160"/>
  <c r="F61" i="160"/>
  <c r="C61" i="160"/>
  <c r="I62" i="160"/>
  <c r="D62" i="160"/>
  <c r="J62" i="160"/>
  <c r="E62" i="160"/>
  <c r="F62" i="160"/>
  <c r="C62" i="160"/>
  <c r="I63" i="160"/>
  <c r="D63" i="160"/>
  <c r="J63" i="160"/>
  <c r="E63" i="160"/>
  <c r="F63" i="160"/>
  <c r="C63" i="160"/>
  <c r="I64" i="160"/>
  <c r="D64" i="160"/>
  <c r="J64" i="160"/>
  <c r="E64" i="160"/>
  <c r="F64" i="160"/>
  <c r="C64" i="160"/>
  <c r="I65" i="160"/>
  <c r="D65" i="160"/>
  <c r="J65" i="160"/>
  <c r="E65" i="160"/>
  <c r="F65" i="160"/>
  <c r="C65" i="160"/>
  <c r="I66" i="160"/>
  <c r="D66" i="160"/>
  <c r="J66" i="160"/>
  <c r="E66" i="160"/>
  <c r="F66" i="160"/>
  <c r="C66" i="160"/>
  <c r="I67" i="160"/>
  <c r="D67" i="160"/>
  <c r="J67" i="160"/>
  <c r="E67" i="160"/>
  <c r="F67" i="160"/>
  <c r="C67" i="160"/>
  <c r="I68" i="160"/>
  <c r="D68" i="160"/>
  <c r="J68" i="160"/>
  <c r="E68" i="160"/>
  <c r="F68" i="160"/>
  <c r="C68" i="160"/>
  <c r="I69" i="160"/>
  <c r="D69" i="160"/>
  <c r="J69" i="160"/>
  <c r="E69" i="160"/>
  <c r="F69" i="160"/>
  <c r="C69" i="160"/>
  <c r="I70" i="160"/>
  <c r="D70" i="160"/>
  <c r="J70" i="160"/>
  <c r="E70" i="160"/>
  <c r="F70" i="160"/>
  <c r="C70" i="160"/>
  <c r="I71" i="160"/>
  <c r="D71" i="160"/>
  <c r="J71" i="160"/>
  <c r="E71" i="160"/>
  <c r="F71" i="160"/>
  <c r="C71" i="160"/>
  <c r="I72" i="160"/>
  <c r="D72" i="160"/>
  <c r="J72" i="160"/>
  <c r="E72" i="160"/>
  <c r="F72" i="160"/>
  <c r="C72" i="160"/>
  <c r="I73" i="160"/>
  <c r="D73" i="160"/>
  <c r="J73" i="160"/>
  <c r="E73" i="160"/>
  <c r="F73" i="160"/>
  <c r="C73" i="160"/>
  <c r="I74" i="160"/>
  <c r="D74" i="160"/>
  <c r="J74" i="160"/>
  <c r="E74" i="160"/>
  <c r="F74" i="160"/>
  <c r="C74" i="160"/>
  <c r="I75" i="160"/>
  <c r="D75" i="160"/>
  <c r="J75" i="160"/>
  <c r="E75" i="160"/>
  <c r="F75" i="160"/>
  <c r="C75" i="160"/>
  <c r="I76" i="160"/>
  <c r="D76" i="160"/>
  <c r="J76" i="160"/>
  <c r="E76" i="160"/>
  <c r="F76" i="160"/>
  <c r="C76" i="160"/>
  <c r="I77" i="160"/>
  <c r="D77" i="160"/>
  <c r="J77" i="160"/>
  <c r="E77" i="160"/>
  <c r="F77" i="160"/>
  <c r="C77" i="160"/>
  <c r="I78" i="160"/>
  <c r="D78" i="160"/>
  <c r="J78" i="160"/>
  <c r="E78" i="160"/>
  <c r="F78" i="160"/>
  <c r="C78" i="160"/>
  <c r="I79" i="160"/>
  <c r="D79" i="160"/>
  <c r="J79" i="160"/>
  <c r="E79" i="160"/>
  <c r="F79" i="160"/>
  <c r="C79" i="160"/>
  <c r="I80" i="160"/>
  <c r="D80" i="160"/>
  <c r="J80" i="160"/>
  <c r="E80" i="160"/>
  <c r="F80" i="160"/>
  <c r="C80" i="160"/>
  <c r="I81" i="160"/>
  <c r="D81" i="160"/>
  <c r="J81" i="160"/>
  <c r="E81" i="160"/>
  <c r="F81" i="160"/>
  <c r="C81" i="160"/>
  <c r="I82" i="160"/>
  <c r="D82" i="160"/>
  <c r="J82" i="160"/>
  <c r="E82" i="160"/>
  <c r="F82" i="160"/>
  <c r="C82" i="160"/>
  <c r="I83" i="160"/>
  <c r="D83" i="160"/>
  <c r="J83" i="160"/>
  <c r="E83" i="160"/>
  <c r="F83" i="160"/>
  <c r="C83" i="160"/>
  <c r="I84" i="160"/>
  <c r="D84" i="160"/>
  <c r="J84" i="160"/>
  <c r="E84" i="160"/>
  <c r="F84" i="160"/>
  <c r="C84" i="160"/>
  <c r="I85" i="160"/>
  <c r="D85" i="160"/>
  <c r="J85" i="160"/>
  <c r="E85" i="160"/>
  <c r="F85" i="160"/>
  <c r="C85" i="160"/>
  <c r="I86" i="160"/>
  <c r="D86" i="160"/>
  <c r="J86" i="160"/>
  <c r="E86" i="160"/>
  <c r="F86" i="160"/>
  <c r="C86" i="160"/>
  <c r="I87" i="160"/>
  <c r="D87" i="160"/>
  <c r="J87" i="160"/>
  <c r="E87" i="160"/>
  <c r="F87" i="160"/>
  <c r="C87" i="160"/>
  <c r="I88" i="160"/>
  <c r="D88" i="160"/>
  <c r="J88" i="160"/>
  <c r="E88" i="160"/>
  <c r="F88" i="160"/>
  <c r="C88" i="160"/>
  <c r="I89" i="160"/>
  <c r="D89" i="160"/>
  <c r="J89" i="160"/>
  <c r="E89" i="160"/>
  <c r="F89" i="160"/>
  <c r="C89" i="160"/>
  <c r="I90" i="160"/>
  <c r="D90" i="160"/>
  <c r="J90" i="160"/>
  <c r="E90" i="160"/>
  <c r="F90" i="160"/>
  <c r="C90" i="160"/>
  <c r="I91" i="160"/>
  <c r="D91" i="160"/>
  <c r="J91" i="160"/>
  <c r="E91" i="160"/>
  <c r="F91" i="160"/>
  <c r="C91" i="160"/>
  <c r="I92" i="160"/>
  <c r="D92" i="160"/>
  <c r="J92" i="160"/>
  <c r="E92" i="160"/>
  <c r="F92" i="160"/>
  <c r="C92" i="160"/>
  <c r="I93" i="160"/>
  <c r="D93" i="160"/>
  <c r="J93" i="160"/>
  <c r="E93" i="160"/>
  <c r="F93" i="160"/>
  <c r="C93" i="160"/>
  <c r="I94" i="160"/>
  <c r="D94" i="160"/>
  <c r="J94" i="160"/>
  <c r="E94" i="160"/>
  <c r="F94" i="160"/>
  <c r="C94" i="160"/>
  <c r="I95" i="160"/>
  <c r="D95" i="160"/>
  <c r="J95" i="160"/>
  <c r="E95" i="160"/>
  <c r="F95" i="160"/>
  <c r="C95" i="160"/>
  <c r="I96" i="160"/>
  <c r="D96" i="160"/>
  <c r="J96" i="160"/>
  <c r="E96" i="160"/>
  <c r="F96" i="160"/>
  <c r="C96" i="160"/>
  <c r="I97" i="160"/>
  <c r="D97" i="160"/>
  <c r="J97" i="160"/>
  <c r="E97" i="160"/>
  <c r="F97" i="160"/>
  <c r="C97" i="160"/>
  <c r="I98" i="160"/>
  <c r="D98" i="160"/>
  <c r="J98" i="160"/>
  <c r="E98" i="160"/>
  <c r="F98" i="160"/>
  <c r="C98" i="160"/>
  <c r="I99" i="160"/>
  <c r="D99" i="160"/>
  <c r="J99" i="160"/>
  <c r="E99" i="160"/>
  <c r="F99" i="160"/>
  <c r="C99" i="160"/>
  <c r="I100" i="160"/>
  <c r="D100" i="160"/>
  <c r="J100" i="160"/>
  <c r="E100" i="160"/>
  <c r="F100" i="160"/>
  <c r="C100" i="160"/>
  <c r="I101" i="160"/>
  <c r="D101" i="160"/>
  <c r="J101" i="160"/>
  <c r="E101" i="160"/>
  <c r="F101" i="160"/>
  <c r="C101" i="160"/>
  <c r="I102" i="160"/>
  <c r="D102" i="160"/>
  <c r="J102" i="160"/>
  <c r="E102" i="160"/>
  <c r="F102" i="160"/>
  <c r="C102" i="160"/>
  <c r="I103" i="160"/>
  <c r="D103" i="160"/>
  <c r="J103" i="160"/>
  <c r="E103" i="160"/>
  <c r="F103" i="160"/>
  <c r="C103" i="160"/>
  <c r="I104" i="160"/>
  <c r="D104" i="160"/>
  <c r="J104" i="160"/>
  <c r="E104" i="160"/>
  <c r="F104" i="160"/>
  <c r="C104" i="160"/>
  <c r="I105" i="160"/>
  <c r="D105" i="160"/>
  <c r="J105" i="160"/>
  <c r="E105" i="160"/>
  <c r="F105" i="160"/>
  <c r="C105" i="160"/>
  <c r="I106" i="160"/>
  <c r="D106" i="160"/>
  <c r="J106" i="160"/>
  <c r="E106" i="160"/>
  <c r="F106" i="160"/>
  <c r="C106" i="160"/>
  <c r="I107" i="160"/>
  <c r="D107" i="160"/>
  <c r="J107" i="160"/>
  <c r="E107" i="160"/>
  <c r="F107" i="160"/>
  <c r="C107" i="160"/>
  <c r="I108" i="160"/>
  <c r="D108" i="160"/>
  <c r="J108" i="160"/>
  <c r="E108" i="160"/>
  <c r="F108" i="160"/>
  <c r="C108" i="160"/>
  <c r="I109" i="160"/>
  <c r="D109" i="160"/>
  <c r="J109" i="160"/>
  <c r="E109" i="160"/>
  <c r="F109" i="160"/>
  <c r="C109" i="160"/>
  <c r="I110" i="160"/>
  <c r="D110" i="160"/>
  <c r="J110" i="160"/>
  <c r="E110" i="160"/>
  <c r="F110" i="160"/>
  <c r="C110" i="160"/>
  <c r="I111" i="160"/>
  <c r="D111" i="160"/>
  <c r="J111" i="160"/>
  <c r="E111" i="160"/>
  <c r="F111" i="160"/>
  <c r="C111" i="160"/>
  <c r="I112" i="160"/>
  <c r="D112" i="160"/>
  <c r="J112" i="160"/>
  <c r="E112" i="160"/>
  <c r="F112" i="160"/>
  <c r="C112" i="160"/>
  <c r="I113" i="160"/>
  <c r="D113" i="160"/>
  <c r="J113" i="160"/>
  <c r="E113" i="160"/>
  <c r="F113" i="160"/>
  <c r="C113" i="160"/>
  <c r="I114" i="160"/>
  <c r="D114" i="160"/>
  <c r="J114" i="160"/>
  <c r="E114" i="160"/>
  <c r="F114" i="160"/>
  <c r="C114" i="160"/>
  <c r="I115" i="160"/>
  <c r="D115" i="160"/>
  <c r="J115" i="160"/>
  <c r="E115" i="160"/>
  <c r="F115" i="160"/>
  <c r="C115" i="160"/>
  <c r="I116" i="160"/>
  <c r="D116" i="160"/>
  <c r="J116" i="160"/>
  <c r="E116" i="160"/>
  <c r="F116" i="160"/>
  <c r="C116" i="160"/>
  <c r="I117" i="160"/>
  <c r="D117" i="160"/>
  <c r="J117" i="160"/>
  <c r="E117" i="160"/>
  <c r="F117" i="160"/>
  <c r="C117" i="160"/>
  <c r="I118" i="160"/>
  <c r="D118" i="160"/>
  <c r="J118" i="160"/>
  <c r="E118" i="160"/>
  <c r="F118" i="160"/>
  <c r="C118" i="160"/>
  <c r="I119" i="160"/>
  <c r="D119" i="160"/>
  <c r="J119" i="160"/>
  <c r="E119" i="160"/>
  <c r="F119" i="160"/>
  <c r="C119" i="160"/>
  <c r="I120" i="160"/>
  <c r="D120" i="160"/>
  <c r="J120" i="160"/>
  <c r="E120" i="160"/>
  <c r="F120" i="160"/>
  <c r="C120" i="160"/>
  <c r="I121" i="160"/>
  <c r="D121" i="160"/>
  <c r="J121" i="160"/>
  <c r="E121" i="160"/>
  <c r="F121" i="160"/>
  <c r="C121" i="160"/>
  <c r="I122" i="160"/>
  <c r="D122" i="160"/>
  <c r="J122" i="160"/>
  <c r="E122" i="160"/>
  <c r="F122" i="160"/>
  <c r="C122" i="160"/>
  <c r="I123" i="160"/>
  <c r="D123" i="160"/>
  <c r="J123" i="160"/>
  <c r="E123" i="160"/>
  <c r="F123" i="160"/>
  <c r="C123" i="160"/>
  <c r="I124" i="160"/>
  <c r="D124" i="160"/>
  <c r="J124" i="160"/>
  <c r="E124" i="160"/>
  <c r="F124" i="160"/>
  <c r="C124" i="160"/>
  <c r="I125" i="160"/>
  <c r="D125" i="160"/>
  <c r="J125" i="160"/>
  <c r="E125" i="160"/>
  <c r="F125" i="160"/>
  <c r="C125" i="160"/>
  <c r="I126" i="160"/>
  <c r="D126" i="160"/>
  <c r="J126" i="160"/>
  <c r="E126" i="160"/>
  <c r="F126" i="160"/>
  <c r="C126" i="160"/>
  <c r="I127" i="160"/>
  <c r="D127" i="160"/>
  <c r="J127" i="160"/>
  <c r="E127" i="160"/>
  <c r="F127" i="160"/>
  <c r="C127" i="160"/>
  <c r="I128" i="160"/>
  <c r="D128" i="160"/>
  <c r="J128" i="160"/>
  <c r="E128" i="160"/>
  <c r="F128" i="160"/>
  <c r="C128" i="160"/>
  <c r="I129" i="160"/>
  <c r="D129" i="160"/>
  <c r="J129" i="160"/>
  <c r="E129" i="160"/>
  <c r="F129" i="160"/>
  <c r="C129" i="160"/>
  <c r="I130" i="160"/>
  <c r="D130" i="160"/>
  <c r="J130" i="160"/>
  <c r="E130" i="160"/>
  <c r="F130" i="160"/>
  <c r="C130" i="160"/>
  <c r="I131" i="160"/>
  <c r="D131" i="160"/>
  <c r="J131" i="160"/>
  <c r="E131" i="160"/>
  <c r="F131" i="160"/>
  <c r="C131" i="160"/>
  <c r="I132" i="160"/>
  <c r="D132" i="160"/>
  <c r="J132" i="160"/>
  <c r="E132" i="160"/>
  <c r="F132" i="160"/>
  <c r="C132" i="160"/>
  <c r="I133" i="160"/>
  <c r="D133" i="160"/>
  <c r="J133" i="160"/>
  <c r="E133" i="160"/>
  <c r="F133" i="160"/>
  <c r="C133" i="160"/>
  <c r="I134" i="160"/>
  <c r="D134" i="160"/>
  <c r="J134" i="160"/>
  <c r="E134" i="160"/>
  <c r="F134" i="160"/>
  <c r="C134" i="160"/>
  <c r="I135" i="160"/>
  <c r="D135" i="160"/>
  <c r="J135" i="160"/>
  <c r="E135" i="160"/>
  <c r="F135" i="160"/>
  <c r="C135" i="160"/>
  <c r="I136" i="160"/>
  <c r="D136" i="160"/>
  <c r="J136" i="160"/>
  <c r="E136" i="160"/>
  <c r="F136" i="160"/>
  <c r="C136" i="160"/>
  <c r="I137" i="160"/>
  <c r="D137" i="160"/>
  <c r="J137" i="160"/>
  <c r="E137" i="160"/>
  <c r="F137" i="160"/>
  <c r="C137" i="160"/>
  <c r="I138" i="160"/>
  <c r="D138" i="160"/>
  <c r="J138" i="160"/>
  <c r="E138" i="160"/>
  <c r="F138" i="160"/>
  <c r="C138" i="160"/>
  <c r="I139" i="160"/>
  <c r="D139" i="160"/>
  <c r="J139" i="160"/>
  <c r="E139" i="160"/>
  <c r="F139" i="160"/>
  <c r="C139" i="160"/>
  <c r="I140" i="160"/>
  <c r="D140" i="160"/>
  <c r="J140" i="160"/>
  <c r="E140" i="160"/>
  <c r="F140" i="160"/>
  <c r="C140" i="160"/>
  <c r="I141" i="160"/>
  <c r="D141" i="160"/>
  <c r="J141" i="160"/>
  <c r="E141" i="160"/>
  <c r="F141" i="160"/>
  <c r="C141" i="160"/>
  <c r="I142" i="160"/>
  <c r="D142" i="160"/>
  <c r="J142" i="160"/>
  <c r="E142" i="160"/>
  <c r="F142" i="160"/>
  <c r="C142" i="160"/>
  <c r="I143" i="160"/>
  <c r="D143" i="160"/>
  <c r="J143" i="160"/>
  <c r="E143" i="160"/>
  <c r="F143" i="160"/>
  <c r="C143" i="160"/>
  <c r="I144" i="160"/>
  <c r="D144" i="160"/>
  <c r="J144" i="160"/>
  <c r="E144" i="160"/>
  <c r="F144" i="160"/>
  <c r="C144" i="160"/>
  <c r="I145" i="160"/>
  <c r="D145" i="160"/>
  <c r="J145" i="160"/>
  <c r="E145" i="160"/>
  <c r="F145" i="160"/>
  <c r="C145" i="160"/>
  <c r="I146" i="160"/>
  <c r="D146" i="160"/>
  <c r="J146" i="160"/>
  <c r="E146" i="160"/>
  <c r="F146" i="160"/>
  <c r="C146" i="160"/>
  <c r="I147" i="160"/>
  <c r="D147" i="160"/>
  <c r="J147" i="160"/>
  <c r="E147" i="160"/>
  <c r="F147" i="160"/>
  <c r="C147" i="160"/>
  <c r="I148" i="160"/>
  <c r="D148" i="160"/>
  <c r="J148" i="160"/>
  <c r="E148" i="160"/>
  <c r="F148" i="160"/>
  <c r="C148" i="160"/>
  <c r="I149" i="160"/>
  <c r="D149" i="160"/>
  <c r="J149" i="160"/>
  <c r="E149" i="160"/>
  <c r="F149" i="160"/>
  <c r="C149" i="160"/>
  <c r="I150" i="160"/>
  <c r="D150" i="160"/>
  <c r="J150" i="160"/>
  <c r="E150" i="160"/>
  <c r="F150" i="160"/>
  <c r="C150" i="160"/>
  <c r="I151" i="160"/>
  <c r="D151" i="160"/>
  <c r="J151" i="160"/>
  <c r="E151" i="160"/>
  <c r="F151" i="160"/>
  <c r="C151" i="160"/>
  <c r="I152" i="160"/>
  <c r="D152" i="160"/>
  <c r="J152" i="160"/>
  <c r="E152" i="160"/>
  <c r="F152" i="160"/>
  <c r="C152" i="160"/>
  <c r="I153" i="160"/>
  <c r="D153" i="160"/>
  <c r="J153" i="160"/>
  <c r="E153" i="160"/>
  <c r="F153" i="160"/>
  <c r="C153" i="160"/>
  <c r="I154" i="160"/>
  <c r="D154" i="160"/>
  <c r="J154" i="160"/>
  <c r="E154" i="160"/>
  <c r="F154" i="160"/>
  <c r="C154" i="160"/>
  <c r="I155" i="160"/>
  <c r="D155" i="160"/>
  <c r="J155" i="160"/>
  <c r="E155" i="160"/>
  <c r="F155" i="160"/>
  <c r="C155" i="160"/>
  <c r="I156" i="160"/>
  <c r="D156" i="160"/>
  <c r="J156" i="160"/>
  <c r="E156" i="160"/>
  <c r="F156" i="160"/>
  <c r="C156" i="160"/>
  <c r="I157" i="160"/>
  <c r="D157" i="160"/>
  <c r="J157" i="160"/>
  <c r="E157" i="160"/>
  <c r="F157" i="160"/>
  <c r="C157" i="160"/>
  <c r="I158" i="160"/>
  <c r="D158" i="160"/>
  <c r="J158" i="160"/>
  <c r="E158" i="160"/>
  <c r="F158" i="160"/>
  <c r="C158" i="160"/>
  <c r="I159" i="160"/>
  <c r="D159" i="160"/>
  <c r="J159" i="160"/>
  <c r="E159" i="160"/>
  <c r="F159" i="160"/>
  <c r="C159" i="160"/>
  <c r="I160" i="160"/>
  <c r="D160" i="160"/>
  <c r="J160" i="160"/>
  <c r="E160" i="160"/>
  <c r="F160" i="160"/>
  <c r="C160" i="160"/>
  <c r="I161" i="160"/>
  <c r="D161" i="160"/>
  <c r="J161" i="160"/>
  <c r="E161" i="160"/>
  <c r="F161" i="160"/>
  <c r="C161" i="160"/>
  <c r="I162" i="160"/>
  <c r="D162" i="160"/>
  <c r="J162" i="160"/>
  <c r="E162" i="160"/>
  <c r="F162" i="160"/>
  <c r="C162" i="160"/>
  <c r="I163" i="160"/>
  <c r="D163" i="160"/>
  <c r="J163" i="160"/>
  <c r="E163" i="160"/>
  <c r="F163" i="160"/>
  <c r="C163" i="160"/>
  <c r="I164" i="160"/>
  <c r="D164" i="160"/>
  <c r="J164" i="160"/>
  <c r="E164" i="160"/>
  <c r="F164" i="160"/>
  <c r="C164" i="160"/>
  <c r="I165" i="160"/>
  <c r="D165" i="160"/>
  <c r="J165" i="160"/>
  <c r="E165" i="160"/>
  <c r="F165" i="160"/>
  <c r="C165" i="160"/>
  <c r="I166" i="160"/>
  <c r="D166" i="160"/>
  <c r="J166" i="160"/>
  <c r="E166" i="160"/>
  <c r="F166" i="160"/>
  <c r="C166" i="160"/>
  <c r="I167" i="160"/>
  <c r="D167" i="160"/>
  <c r="J167" i="160"/>
  <c r="E167" i="160"/>
  <c r="F167" i="160"/>
  <c r="C167" i="160"/>
  <c r="I168" i="160"/>
  <c r="D168" i="160"/>
  <c r="J168" i="160"/>
  <c r="E168" i="160"/>
  <c r="F168" i="160"/>
  <c r="C168" i="160"/>
  <c r="I169" i="160"/>
  <c r="D169" i="160"/>
  <c r="J169" i="160"/>
  <c r="E169" i="160"/>
  <c r="F169" i="160"/>
  <c r="C169" i="160"/>
  <c r="I170" i="160"/>
  <c r="D170" i="160"/>
  <c r="J170" i="160"/>
  <c r="E170" i="160"/>
  <c r="F170" i="160"/>
  <c r="C170" i="160"/>
  <c r="I171" i="160"/>
  <c r="D171" i="160"/>
  <c r="J171" i="160"/>
  <c r="E171" i="160"/>
  <c r="F171" i="160"/>
  <c r="C171" i="160"/>
  <c r="I172" i="160"/>
  <c r="D172" i="160"/>
  <c r="J172" i="160"/>
  <c r="E172" i="160"/>
  <c r="F172" i="160"/>
  <c r="C172" i="160"/>
  <c r="I173" i="160"/>
  <c r="D173" i="160"/>
  <c r="J173" i="160"/>
  <c r="E173" i="160"/>
  <c r="F173" i="160"/>
  <c r="C173" i="160"/>
  <c r="I174" i="160"/>
  <c r="D174" i="160"/>
  <c r="J174" i="160"/>
  <c r="E174" i="160"/>
  <c r="F174" i="160"/>
  <c r="C174" i="160"/>
  <c r="I175" i="160"/>
  <c r="D175" i="160"/>
  <c r="J175" i="160"/>
  <c r="E175" i="160"/>
  <c r="F175" i="160"/>
  <c r="C175" i="160"/>
  <c r="I176" i="160"/>
  <c r="D176" i="160"/>
  <c r="J176" i="160"/>
  <c r="E176" i="160"/>
  <c r="F176" i="160"/>
  <c r="C176" i="160"/>
  <c r="I177" i="160"/>
  <c r="D177" i="160"/>
  <c r="J177" i="160"/>
  <c r="E177" i="160"/>
  <c r="F177" i="160"/>
  <c r="C177" i="160"/>
  <c r="I178" i="160"/>
  <c r="D178" i="160"/>
  <c r="J178" i="160"/>
  <c r="E178" i="160"/>
  <c r="F178" i="160"/>
  <c r="C178" i="160"/>
  <c r="I179" i="160"/>
  <c r="D179" i="160"/>
  <c r="J179" i="160"/>
  <c r="E179" i="160"/>
  <c r="F179" i="160"/>
  <c r="C179" i="160"/>
  <c r="I180" i="160"/>
  <c r="D180" i="160"/>
  <c r="J180" i="160"/>
  <c r="E180" i="160"/>
  <c r="F180" i="160"/>
  <c r="C180" i="160"/>
  <c r="I181" i="160"/>
  <c r="D181" i="160"/>
  <c r="J181" i="160"/>
  <c r="E181" i="160"/>
  <c r="F181" i="160"/>
  <c r="C181" i="160"/>
  <c r="I182" i="160"/>
  <c r="D182" i="160"/>
  <c r="J182" i="160"/>
  <c r="E182" i="160"/>
  <c r="F182" i="160"/>
  <c r="C182" i="160"/>
  <c r="I183" i="160"/>
  <c r="D183" i="160"/>
  <c r="J183" i="160"/>
  <c r="E183" i="160"/>
  <c r="F183" i="160"/>
  <c r="C183" i="160"/>
  <c r="I184" i="160"/>
  <c r="D184" i="160"/>
  <c r="J184" i="160"/>
  <c r="E184" i="160"/>
  <c r="F184" i="160"/>
  <c r="C184" i="160"/>
  <c r="I185" i="160"/>
  <c r="D185" i="160"/>
  <c r="J185" i="160"/>
  <c r="E185" i="160"/>
  <c r="F185" i="160"/>
  <c r="C185" i="160"/>
  <c r="I186" i="160"/>
  <c r="D186" i="160"/>
  <c r="J186" i="160"/>
  <c r="E186" i="160"/>
  <c r="F186" i="160"/>
  <c r="C186" i="160"/>
  <c r="I187" i="160"/>
  <c r="D187" i="160"/>
  <c r="J187" i="160"/>
  <c r="E187" i="160"/>
  <c r="F187" i="160"/>
  <c r="C187" i="160"/>
  <c r="I188" i="160"/>
  <c r="D188" i="160"/>
  <c r="J188" i="160"/>
  <c r="E188" i="160"/>
  <c r="F188" i="160"/>
  <c r="C188" i="160"/>
  <c r="I189" i="160"/>
  <c r="D189" i="160"/>
  <c r="J189" i="160"/>
  <c r="E189" i="160"/>
  <c r="F189" i="160"/>
  <c r="C189" i="160"/>
  <c r="I190" i="160"/>
  <c r="D190" i="160"/>
  <c r="J190" i="160"/>
  <c r="E190" i="160"/>
  <c r="F190" i="160"/>
  <c r="C190" i="160"/>
  <c r="I191" i="160"/>
  <c r="D191" i="160"/>
  <c r="J191" i="160"/>
  <c r="E191" i="160"/>
  <c r="F191" i="160"/>
  <c r="C191" i="160"/>
  <c r="I192" i="160"/>
  <c r="D192" i="160"/>
  <c r="J192" i="160"/>
  <c r="E192" i="160"/>
  <c r="F192" i="160"/>
  <c r="C192" i="160"/>
  <c r="I193" i="160"/>
  <c r="D193" i="160"/>
  <c r="J193" i="160"/>
  <c r="E193" i="160"/>
  <c r="F193" i="160"/>
  <c r="C193" i="160"/>
  <c r="I194" i="160"/>
  <c r="D194" i="160"/>
  <c r="J194" i="160"/>
  <c r="E194" i="160"/>
  <c r="F194" i="160"/>
  <c r="C194" i="160"/>
  <c r="I195" i="160"/>
  <c r="D195" i="160"/>
  <c r="J195" i="160"/>
  <c r="E195" i="160"/>
  <c r="F195" i="160"/>
  <c r="C195" i="160"/>
  <c r="I196" i="160"/>
  <c r="D196" i="160"/>
  <c r="J196" i="160"/>
  <c r="E196" i="160"/>
  <c r="F196" i="160"/>
  <c r="C196" i="160"/>
  <c r="I197" i="160"/>
  <c r="D197" i="160"/>
  <c r="J197" i="160"/>
  <c r="E197" i="160"/>
  <c r="F197" i="160"/>
  <c r="C197" i="160"/>
  <c r="I198" i="160"/>
  <c r="D198" i="160"/>
  <c r="J198" i="160"/>
  <c r="E198" i="160"/>
  <c r="F198" i="160"/>
  <c r="C198" i="160"/>
  <c r="I199" i="160"/>
  <c r="D199" i="160"/>
  <c r="J199" i="160"/>
  <c r="E199" i="160"/>
  <c r="F199" i="160"/>
  <c r="C199" i="160"/>
  <c r="I200" i="160"/>
  <c r="D200" i="160"/>
  <c r="J200" i="160"/>
  <c r="E200" i="160"/>
  <c r="F200" i="160"/>
  <c r="C200" i="160"/>
  <c r="I201" i="160"/>
  <c r="D201" i="160"/>
  <c r="J201" i="160"/>
  <c r="E201" i="160"/>
  <c r="F201" i="160"/>
  <c r="C201" i="160"/>
  <c r="I202" i="160"/>
  <c r="D202" i="160"/>
  <c r="J202" i="160"/>
  <c r="E202" i="160"/>
  <c r="F202" i="160"/>
  <c r="C202" i="160"/>
  <c r="I203" i="160"/>
  <c r="D203" i="160"/>
  <c r="J203" i="160"/>
  <c r="E203" i="160"/>
  <c r="F203" i="160"/>
  <c r="C203" i="160"/>
  <c r="I204" i="160"/>
  <c r="D204" i="160"/>
  <c r="J204" i="160"/>
  <c r="E204" i="160"/>
  <c r="F204" i="160"/>
  <c r="C204" i="160"/>
  <c r="I205" i="160"/>
  <c r="D205" i="160"/>
  <c r="J205" i="160"/>
  <c r="E205" i="160"/>
  <c r="F205" i="160"/>
  <c r="C205" i="160"/>
  <c r="I206" i="160"/>
  <c r="D206" i="160"/>
  <c r="J206" i="160"/>
  <c r="E206" i="160"/>
  <c r="F206" i="160"/>
  <c r="C206" i="160"/>
  <c r="I207" i="160"/>
  <c r="D207" i="160"/>
  <c r="J207" i="160"/>
  <c r="E207" i="160"/>
  <c r="F207" i="160"/>
  <c r="C207" i="160"/>
  <c r="I208" i="160"/>
  <c r="D208" i="160"/>
  <c r="J208" i="160"/>
  <c r="E208" i="160"/>
  <c r="F208" i="160"/>
  <c r="C208" i="160"/>
  <c r="I209" i="160"/>
  <c r="D209" i="160"/>
  <c r="J209" i="160"/>
  <c r="E209" i="160"/>
  <c r="F209" i="160"/>
  <c r="C209" i="160"/>
  <c r="I210" i="160"/>
  <c r="D210" i="160"/>
  <c r="J210" i="160"/>
  <c r="E210" i="160"/>
  <c r="F210" i="160"/>
  <c r="C210" i="160"/>
  <c r="I211" i="160"/>
  <c r="D211" i="160"/>
  <c r="J211" i="160"/>
  <c r="E211" i="160"/>
  <c r="F211" i="160"/>
  <c r="C211" i="160"/>
  <c r="I212" i="160"/>
  <c r="D212" i="160"/>
  <c r="J212" i="160"/>
  <c r="E212" i="160"/>
  <c r="F212" i="160"/>
  <c r="C212" i="160"/>
  <c r="I213" i="160"/>
  <c r="D213" i="160"/>
  <c r="J213" i="160"/>
  <c r="E213" i="160"/>
  <c r="F213" i="160"/>
  <c r="C213" i="160"/>
  <c r="I214" i="160"/>
  <c r="D214" i="160"/>
  <c r="J214" i="160"/>
  <c r="E214" i="160"/>
  <c r="F214" i="160"/>
  <c r="C214" i="160"/>
  <c r="I215" i="160"/>
  <c r="D215" i="160"/>
  <c r="J215" i="160"/>
  <c r="E215" i="160"/>
  <c r="F215" i="160"/>
  <c r="C215" i="160"/>
  <c r="I216" i="160"/>
  <c r="D216" i="160"/>
  <c r="J216" i="160"/>
  <c r="E216" i="160"/>
  <c r="F216" i="160"/>
  <c r="C216" i="160"/>
  <c r="I217" i="160"/>
  <c r="D217" i="160"/>
  <c r="J217" i="160"/>
  <c r="E217" i="160"/>
  <c r="F217" i="160"/>
  <c r="C217" i="160"/>
  <c r="I218" i="160"/>
  <c r="D218" i="160"/>
  <c r="J218" i="160"/>
  <c r="E218" i="160"/>
  <c r="F218" i="160"/>
  <c r="C218" i="160"/>
  <c r="I219" i="160"/>
  <c r="D219" i="160"/>
  <c r="J219" i="160"/>
  <c r="E219" i="160"/>
  <c r="F219" i="160"/>
  <c r="C219" i="160"/>
  <c r="I220" i="160"/>
  <c r="D220" i="160"/>
  <c r="J220" i="160"/>
  <c r="E220" i="160"/>
  <c r="F220" i="160"/>
  <c r="C220" i="160"/>
  <c r="I221" i="160"/>
  <c r="D221" i="160"/>
  <c r="J221" i="160"/>
  <c r="E221" i="160"/>
  <c r="F221" i="160"/>
  <c r="C221" i="160"/>
  <c r="I222" i="160"/>
  <c r="D222" i="160"/>
  <c r="J222" i="160"/>
  <c r="E222" i="160"/>
  <c r="F222" i="160"/>
  <c r="C222" i="160"/>
  <c r="I223" i="160"/>
  <c r="D223" i="160"/>
  <c r="J223" i="160"/>
  <c r="E223" i="160"/>
  <c r="F223" i="160"/>
  <c r="C223" i="160"/>
  <c r="I224" i="160"/>
  <c r="D224" i="160"/>
  <c r="J224" i="160"/>
  <c r="E224" i="160"/>
  <c r="F224" i="160"/>
  <c r="C224" i="160"/>
  <c r="I225" i="160"/>
  <c r="D225" i="160"/>
  <c r="J225" i="160"/>
  <c r="E225" i="160"/>
  <c r="F225" i="160"/>
  <c r="C225" i="160"/>
  <c r="I226" i="160"/>
  <c r="D226" i="160"/>
  <c r="J226" i="160"/>
  <c r="E226" i="160"/>
  <c r="F226" i="160"/>
  <c r="C226" i="160"/>
  <c r="I227" i="160"/>
  <c r="D227" i="160"/>
  <c r="J227" i="160"/>
  <c r="E227" i="160"/>
  <c r="F227" i="160"/>
  <c r="C227" i="160"/>
  <c r="I228" i="160"/>
  <c r="D228" i="160"/>
  <c r="J228" i="160"/>
  <c r="E228" i="160"/>
  <c r="F228" i="160"/>
  <c r="C228" i="160"/>
  <c r="I229" i="160"/>
  <c r="D229" i="160"/>
  <c r="J229" i="160"/>
  <c r="E229" i="160"/>
  <c r="F229" i="160"/>
  <c r="C229" i="160"/>
  <c r="I230" i="160"/>
  <c r="D230" i="160"/>
  <c r="J230" i="160"/>
  <c r="E230" i="160"/>
  <c r="F230" i="160"/>
  <c r="C230" i="160"/>
  <c r="I231" i="160"/>
  <c r="D231" i="160"/>
  <c r="J231" i="160"/>
  <c r="E231" i="160"/>
  <c r="F231" i="160"/>
  <c r="C231" i="160"/>
  <c r="I232" i="160"/>
  <c r="D232" i="160"/>
  <c r="J232" i="160"/>
  <c r="E232" i="160"/>
  <c r="F232" i="160"/>
  <c r="C232" i="160"/>
  <c r="I233" i="160"/>
  <c r="D233" i="160"/>
  <c r="J233" i="160"/>
  <c r="E233" i="160"/>
  <c r="F233" i="160"/>
  <c r="C233" i="160"/>
  <c r="I234" i="160"/>
  <c r="D234" i="160"/>
  <c r="J234" i="160"/>
  <c r="E234" i="160"/>
  <c r="F234" i="160"/>
  <c r="C234" i="160"/>
  <c r="I235" i="160"/>
  <c r="D235" i="160"/>
  <c r="J235" i="160"/>
  <c r="E235" i="160"/>
  <c r="F235" i="160"/>
  <c r="C235" i="160"/>
  <c r="I236" i="160"/>
  <c r="D236" i="160"/>
  <c r="J236" i="160"/>
  <c r="E236" i="160"/>
  <c r="F236" i="160"/>
  <c r="C236" i="160"/>
  <c r="I237" i="160"/>
  <c r="D237" i="160"/>
  <c r="J237" i="160"/>
  <c r="E237" i="160"/>
  <c r="F237" i="160"/>
  <c r="C237" i="160"/>
  <c r="I238" i="160"/>
  <c r="D238" i="160"/>
  <c r="J238" i="160"/>
  <c r="E238" i="160"/>
  <c r="F238" i="160"/>
  <c r="C238" i="160"/>
  <c r="I239" i="160"/>
  <c r="D239" i="160"/>
  <c r="J239" i="160"/>
  <c r="E239" i="160"/>
  <c r="F239" i="160"/>
  <c r="C239" i="160"/>
  <c r="I240" i="160"/>
  <c r="D240" i="160"/>
  <c r="J240" i="160"/>
  <c r="E240" i="160"/>
  <c r="F240" i="160"/>
  <c r="C240" i="160"/>
  <c r="I241" i="160"/>
  <c r="D241" i="160"/>
  <c r="J241" i="160"/>
  <c r="E241" i="160"/>
  <c r="F241" i="160"/>
  <c r="C241" i="160"/>
  <c r="I242" i="160"/>
  <c r="D242" i="160"/>
  <c r="J242" i="160"/>
  <c r="E242" i="160"/>
  <c r="F242" i="160"/>
  <c r="C242" i="160"/>
  <c r="I243" i="160"/>
  <c r="D243" i="160"/>
  <c r="J243" i="160"/>
  <c r="E243" i="160"/>
  <c r="F243" i="160"/>
  <c r="C243" i="160"/>
  <c r="I244" i="160"/>
  <c r="D244" i="160"/>
  <c r="J244" i="160"/>
  <c r="E244" i="160"/>
  <c r="F244" i="160"/>
  <c r="C244" i="160"/>
  <c r="I245" i="160"/>
  <c r="D245" i="160"/>
  <c r="J245" i="160"/>
  <c r="E245" i="160"/>
  <c r="F245" i="160"/>
  <c r="C245" i="160"/>
  <c r="I246" i="160"/>
  <c r="D246" i="160"/>
  <c r="J246" i="160"/>
  <c r="E246" i="160"/>
  <c r="F246" i="160"/>
  <c r="C246" i="160"/>
  <c r="I247" i="160"/>
  <c r="D247" i="160"/>
  <c r="J247" i="160"/>
  <c r="E247" i="160"/>
  <c r="F247" i="160"/>
  <c r="C247" i="160"/>
  <c r="I248" i="160"/>
  <c r="D248" i="160"/>
  <c r="J248" i="160"/>
  <c r="E248" i="160"/>
  <c r="F248" i="160"/>
  <c r="C248" i="160"/>
  <c r="I249" i="160"/>
  <c r="D249" i="160"/>
  <c r="J249" i="160"/>
  <c r="E249" i="160"/>
  <c r="F249" i="160"/>
  <c r="C249" i="160"/>
  <c r="I250" i="160"/>
  <c r="D250" i="160"/>
  <c r="J250" i="160"/>
  <c r="E250" i="160"/>
  <c r="F250" i="160"/>
  <c r="C250" i="160"/>
  <c r="I251" i="160"/>
  <c r="D251" i="160"/>
  <c r="J251" i="160"/>
  <c r="E251" i="160"/>
  <c r="F251" i="160"/>
  <c r="C251" i="160"/>
  <c r="I252" i="160"/>
  <c r="D252" i="160"/>
  <c r="J252" i="160"/>
  <c r="E252" i="160"/>
  <c r="F252" i="160"/>
  <c r="C252" i="160"/>
  <c r="I253" i="160"/>
  <c r="D253" i="160"/>
  <c r="J253" i="160"/>
  <c r="E253" i="160"/>
  <c r="F253" i="160"/>
  <c r="C253" i="160"/>
  <c r="I254" i="160"/>
  <c r="D254" i="160"/>
  <c r="J254" i="160"/>
  <c r="E254" i="160"/>
  <c r="F254" i="160"/>
  <c r="C254" i="160"/>
  <c r="I255" i="160"/>
  <c r="D255" i="160"/>
  <c r="J255" i="160"/>
  <c r="E255" i="160"/>
  <c r="F255" i="160"/>
  <c r="C255" i="160"/>
  <c r="I256" i="160"/>
  <c r="D256" i="160"/>
  <c r="J256" i="160"/>
  <c r="E256" i="160"/>
  <c r="F256" i="160"/>
  <c r="C256" i="160"/>
  <c r="I257" i="160"/>
  <c r="D257" i="160"/>
  <c r="J257" i="160"/>
  <c r="E257" i="160"/>
  <c r="F257" i="160"/>
  <c r="C257" i="160"/>
  <c r="I258" i="160"/>
  <c r="D258" i="160"/>
  <c r="J258" i="160"/>
  <c r="E258" i="160"/>
  <c r="F258" i="160"/>
  <c r="C258" i="160"/>
  <c r="I259" i="160"/>
  <c r="D259" i="160"/>
  <c r="J259" i="160"/>
  <c r="E259" i="160"/>
  <c r="F259" i="160"/>
  <c r="C259" i="160"/>
  <c r="I260" i="160"/>
  <c r="D260" i="160"/>
  <c r="J260" i="160"/>
  <c r="E260" i="160"/>
  <c r="F260" i="160"/>
  <c r="C260" i="160"/>
  <c r="I261" i="160"/>
  <c r="D261" i="160"/>
  <c r="J261" i="160"/>
  <c r="E261" i="160"/>
  <c r="F261" i="160"/>
  <c r="C261" i="160"/>
  <c r="I262" i="160"/>
  <c r="D262" i="160"/>
  <c r="J262" i="160"/>
  <c r="E262" i="160"/>
  <c r="F262" i="160"/>
  <c r="C262" i="160"/>
  <c r="I263" i="160"/>
  <c r="D263" i="160"/>
  <c r="J263" i="160"/>
  <c r="E263" i="160"/>
  <c r="F263" i="160"/>
  <c r="C263" i="160"/>
  <c r="I264" i="160"/>
  <c r="D264" i="160"/>
  <c r="J264" i="160"/>
  <c r="E264" i="160"/>
  <c r="F264" i="160"/>
  <c r="C264" i="160"/>
  <c r="I265" i="160"/>
  <c r="D265" i="160"/>
  <c r="J265" i="160"/>
  <c r="E265" i="160"/>
  <c r="F265" i="160"/>
  <c r="C265" i="160"/>
  <c r="I266" i="160"/>
  <c r="D266" i="160"/>
  <c r="J266" i="160"/>
  <c r="E266" i="160"/>
  <c r="F266" i="160"/>
  <c r="C266" i="160"/>
  <c r="I267" i="160"/>
  <c r="D267" i="160"/>
  <c r="J267" i="160"/>
  <c r="E267" i="160"/>
  <c r="F267" i="160"/>
  <c r="C267" i="160"/>
  <c r="I268" i="160"/>
  <c r="D268" i="160"/>
  <c r="J268" i="160"/>
  <c r="E268" i="160"/>
  <c r="F268" i="160"/>
  <c r="C268" i="160"/>
  <c r="I269" i="160"/>
  <c r="D269" i="160"/>
  <c r="J269" i="160"/>
  <c r="E269" i="160"/>
  <c r="F269" i="160"/>
  <c r="C269" i="160"/>
  <c r="I270" i="160"/>
  <c r="D270" i="160"/>
  <c r="J270" i="160"/>
  <c r="E270" i="160"/>
  <c r="F270" i="160"/>
  <c r="C270" i="160"/>
  <c r="I271" i="160"/>
  <c r="D271" i="160"/>
  <c r="J271" i="160"/>
  <c r="E271" i="160"/>
  <c r="F271" i="160"/>
  <c r="C271" i="160"/>
  <c r="I272" i="160"/>
  <c r="D272" i="160"/>
  <c r="J272" i="160"/>
  <c r="E272" i="160"/>
  <c r="F272" i="160"/>
  <c r="C272" i="160"/>
  <c r="I273" i="160"/>
  <c r="D273" i="160"/>
  <c r="J273" i="160"/>
  <c r="E273" i="160"/>
  <c r="F273" i="160"/>
  <c r="C273" i="160"/>
  <c r="I274" i="160"/>
  <c r="D274" i="160"/>
  <c r="J274" i="160"/>
  <c r="E274" i="160"/>
  <c r="F274" i="160"/>
  <c r="C274" i="160"/>
  <c r="I275" i="160"/>
  <c r="D275" i="160"/>
  <c r="J275" i="160"/>
  <c r="E275" i="160"/>
  <c r="F275" i="160"/>
  <c r="C275" i="160"/>
  <c r="I276" i="160"/>
  <c r="D276" i="160"/>
  <c r="J276" i="160"/>
  <c r="E276" i="160"/>
  <c r="F276" i="160"/>
  <c r="C276" i="160"/>
  <c r="I277" i="160"/>
  <c r="D277" i="160"/>
  <c r="J277" i="160"/>
  <c r="E277" i="160"/>
  <c r="F277" i="160"/>
  <c r="C277" i="160"/>
  <c r="I278" i="160"/>
  <c r="D278" i="160"/>
  <c r="J278" i="160"/>
  <c r="E278" i="160"/>
  <c r="F278" i="160"/>
  <c r="C278" i="160"/>
  <c r="I279" i="160"/>
  <c r="D279" i="160"/>
  <c r="J279" i="160"/>
  <c r="E279" i="160"/>
  <c r="F279" i="160"/>
  <c r="C279" i="160"/>
  <c r="I280" i="160"/>
  <c r="D280" i="160"/>
  <c r="J280" i="160"/>
  <c r="E280" i="160"/>
  <c r="F280" i="160"/>
  <c r="C280" i="160"/>
  <c r="I281" i="160"/>
  <c r="D281" i="160"/>
  <c r="J281" i="160"/>
  <c r="E281" i="160"/>
  <c r="F281" i="160"/>
  <c r="C281" i="160"/>
  <c r="I282" i="160"/>
  <c r="D282" i="160"/>
  <c r="J282" i="160"/>
  <c r="E282" i="160"/>
  <c r="F282" i="160"/>
  <c r="C282" i="160"/>
  <c r="I283" i="160"/>
  <c r="D283" i="160"/>
  <c r="J283" i="160"/>
  <c r="E283" i="160"/>
  <c r="F283" i="160"/>
  <c r="C283" i="160"/>
  <c r="I284" i="160"/>
  <c r="D284" i="160"/>
  <c r="J284" i="160"/>
  <c r="E284" i="160"/>
  <c r="F284" i="160"/>
  <c r="C284" i="160"/>
  <c r="I285" i="160"/>
  <c r="D285" i="160"/>
  <c r="J285" i="160"/>
  <c r="E285" i="160"/>
  <c r="F285" i="160"/>
  <c r="C285" i="160"/>
  <c r="I286" i="160"/>
  <c r="D286" i="160"/>
  <c r="J286" i="160"/>
  <c r="E286" i="160"/>
  <c r="F286" i="160"/>
  <c r="C286" i="160"/>
  <c r="I287" i="160"/>
  <c r="D287" i="160"/>
  <c r="J287" i="160"/>
  <c r="E287" i="160"/>
  <c r="F287" i="160"/>
  <c r="C287" i="160"/>
  <c r="I288" i="160"/>
  <c r="D288" i="160"/>
  <c r="J288" i="160"/>
  <c r="E288" i="160"/>
  <c r="F288" i="160"/>
  <c r="C288" i="160"/>
  <c r="I289" i="160"/>
  <c r="D289" i="160"/>
  <c r="J289" i="160"/>
  <c r="E289" i="160"/>
  <c r="F289" i="160"/>
  <c r="C289" i="160"/>
  <c r="I290" i="160"/>
  <c r="D290" i="160"/>
  <c r="J290" i="160"/>
  <c r="E290" i="160"/>
  <c r="F290" i="160"/>
  <c r="C290" i="160"/>
  <c r="I291" i="160"/>
  <c r="D291" i="160"/>
  <c r="J291" i="160"/>
  <c r="E291" i="160"/>
  <c r="F291" i="160"/>
  <c r="C291" i="160"/>
  <c r="I292" i="160"/>
  <c r="D292" i="160"/>
  <c r="J292" i="160"/>
  <c r="E292" i="160"/>
  <c r="F292" i="160"/>
  <c r="C292" i="160"/>
  <c r="F5" i="159"/>
  <c r="F6" i="159"/>
  <c r="A36" i="159"/>
  <c r="G18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8" i="159"/>
  <c r="H18" i="159"/>
  <c r="O3" i="160"/>
  <c r="B10" i="159"/>
  <c r="E6" i="159"/>
  <c r="E19" i="159"/>
  <c r="B19" i="159"/>
  <c r="E5" i="159"/>
  <c r="E24" i="159"/>
  <c r="B24" i="159"/>
  <c r="B17" i="159"/>
  <c r="G17" i="159"/>
  <c r="E17" i="159"/>
  <c r="H17" i="159"/>
  <c r="O2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B20" i="159"/>
  <c r="G20" i="159"/>
  <c r="H20" i="159"/>
  <c r="O52" i="160"/>
  <c r="E21" i="159"/>
  <c r="B21" i="159"/>
  <c r="G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E28" i="159"/>
  <c r="B28" i="159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G22" i="159"/>
  <c r="E22" i="159"/>
  <c r="H22" i="159"/>
  <c r="O256" i="160"/>
  <c r="E29" i="159"/>
  <c r="B29" i="159"/>
  <c r="B23" i="159"/>
  <c r="G23" i="159"/>
  <c r="E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R3" i="159"/>
  <c r="E30" i="159"/>
  <c r="G30" i="159"/>
  <c r="H30" i="159"/>
  <c r="O290" i="160"/>
  <c r="N4" i="159"/>
  <c r="R4" i="159"/>
  <c r="E31" i="159"/>
  <c r="G31" i="159"/>
  <c r="H31" i="159"/>
  <c r="O291" i="160"/>
  <c r="R5" i="159"/>
  <c r="O29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38" i="160"/>
  <c r="P139" i="160"/>
  <c r="P140" i="160"/>
  <c r="P141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" i="160"/>
  <c r="A2" i="153"/>
  <c r="I3" i="154"/>
  <c r="D3" i="154"/>
  <c r="J3" i="154"/>
  <c r="E3" i="154"/>
  <c r="F3" i="154"/>
  <c r="C3" i="154"/>
  <c r="I2" i="154"/>
  <c r="D2" i="154"/>
  <c r="J2" i="154"/>
  <c r="E2" i="154"/>
  <c r="F2" i="154"/>
  <c r="C2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5" i="153"/>
  <c r="E24" i="153"/>
  <c r="B24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R3" i="153"/>
  <c r="R4" i="153"/>
  <c r="G31" i="153"/>
  <c r="E31" i="153"/>
  <c r="H31" i="153"/>
  <c r="O290" i="154"/>
  <c r="R5" i="153"/>
  <c r="O29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" i="154"/>
  <c r="I3" i="158"/>
  <c r="D3" i="158"/>
  <c r="J3" i="158"/>
  <c r="E3" i="158"/>
  <c r="F3" i="158"/>
  <c r="C3" i="158"/>
  <c r="I2" i="158"/>
  <c r="D2" i="158"/>
  <c r="J2" i="158"/>
  <c r="E2" i="158"/>
  <c r="F2" i="158"/>
  <c r="C2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5" i="157"/>
  <c r="E24" i="157"/>
  <c r="B24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G30" i="157"/>
  <c r="E30" i="157"/>
  <c r="H30" i="157"/>
  <c r="E31" i="157"/>
  <c r="O291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" i="158"/>
  <c r="A2" i="160"/>
  <c r="H287" i="158"/>
  <c r="K287" i="158"/>
  <c r="L287" i="158"/>
  <c r="M287" i="158"/>
  <c r="N287" i="158"/>
  <c r="B10" i="157"/>
  <c r="H288" i="158"/>
  <c r="K288" i="158"/>
  <c r="L288" i="158"/>
  <c r="M288" i="158"/>
  <c r="N288" i="158"/>
  <c r="H289" i="158"/>
  <c r="K289" i="158"/>
  <c r="L289" i="158"/>
  <c r="M289" i="158"/>
  <c r="N289" i="158"/>
  <c r="H290" i="158"/>
  <c r="K290" i="158"/>
  <c r="L290" i="158"/>
  <c r="M290" i="158"/>
  <c r="N290" i="158"/>
  <c r="H291" i="158"/>
  <c r="K291" i="158"/>
  <c r="L291" i="158"/>
  <c r="M291" i="158"/>
  <c r="N291" i="158"/>
  <c r="A287" i="158"/>
  <c r="A288" i="158"/>
  <c r="A289" i="158"/>
  <c r="A290" i="158"/>
  <c r="A291" i="158"/>
  <c r="B18" i="159"/>
  <c r="B22" i="159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A291" i="154"/>
  <c r="H291" i="154"/>
  <c r="K291" i="154"/>
  <c r="L291" i="154"/>
  <c r="M291" i="154"/>
  <c r="N291" i="154"/>
  <c r="B10" i="153"/>
  <c r="G30" i="153"/>
  <c r="E30" i="153"/>
  <c r="H30" i="153"/>
  <c r="A290" i="154"/>
  <c r="H290" i="154"/>
  <c r="K290" i="154"/>
  <c r="L290" i="154"/>
  <c r="M290" i="154"/>
  <c r="N290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B6" i="157"/>
  <c r="B5" i="157"/>
  <c r="R4" i="157"/>
  <c r="R5" i="157"/>
  <c r="R3" i="157"/>
  <c r="N286" i="158"/>
  <c r="M286" i="158"/>
  <c r="L286" i="158"/>
  <c r="K286" i="158"/>
  <c r="H286" i="158"/>
  <c r="A286" i="158"/>
  <c r="N285" i="158"/>
  <c r="M285" i="158"/>
  <c r="L285" i="158"/>
  <c r="K285" i="158"/>
  <c r="H285" i="158"/>
  <c r="A285" i="158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R8" i="157"/>
  <c r="P8" i="157"/>
  <c r="O8" i="157"/>
  <c r="M8" i="157"/>
  <c r="V7" i="157"/>
  <c r="R7" i="157"/>
  <c r="P7" i="157"/>
  <c r="O7" i="157"/>
  <c r="M7" i="157"/>
  <c r="V6" i="157"/>
  <c r="R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B30" i="153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<sst xmlns="http://schemas.openxmlformats.org/spreadsheetml/2006/main" count="638" uniqueCount="268">
  <si>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</si>
  <si>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</si>
  <si>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</si>
  <si>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</si>
  <si>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</si>
  <si>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</si>
  <si>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</si>
  <si>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</si>
  <si>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</si>
  <si>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</si>
  <si>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</si>
  <si>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</si>
  <si>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</si>
  <si>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</si>
  <si>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</si>
  <si>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</si>
  <si>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</si>
  <si>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</si>
  <si>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</si>
  <si>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</si>
  <si>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</si>
  <si>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</si>
  <si>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</si>
  <si>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</si>
  <si>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</si>
  <si>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</si>
  <si>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</si>
  <si>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</si>
  <si>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</si>
  <si>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</si>
  <si>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</si>
  <si>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</si>
  <si>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</si>
  <si>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</si>
  <si>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</si>
  <si>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</si>
  <si>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</si>
  <si>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</si>
  <si>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</si>
  <si>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</si>
  <si>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</si>
  <si>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</si>
  <si>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</si>
  <si>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</si>
  <si>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</si>
  <si>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</si>
  <si>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</si>
  <si>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</si>
  <si>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</si>
  <si>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</si>
  <si>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</si>
  <si>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</si>
  <si>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</si>
  <si>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</si>
  <si>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</si>
  <si>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</si>
  <si>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</si>
  <si>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</si>
  <si>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</si>
  <si>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</si>
  <si>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</si>
  <si>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</si>
  <si>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</si>
  <si>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</si>
  <si>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</si>
  <si>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</si>
  <si>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</si>
  <si>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</si>
  <si>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</si>
  <si>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</si>
  <si>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</si>
  <si>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</si>
  <si>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</si>
  <si>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</si>
  <si>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</si>
  <si>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</si>
  <si>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</si>
  <si>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</si>
  <si>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</si>
  <si>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</si>
  <si>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</si>
  <si>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</si>
  <si>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</si>
  <si>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</si>
  <si>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</si>
  <si>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</si>
  <si>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</si>
  <si>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</si>
  <si>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</si>
  <si>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</si>
  <si>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</si>
  <si>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</si>
  <si>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</si>
  <si>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</si>
  <si>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</si>
  <si>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</si>
  <si>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</si>
  <si>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</si>
  <si>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</si>
  <si>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</si>
  <si>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</si>
  <si>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</si>
  <si>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</si>
  <si>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</si>
  <si>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</si>
  <si>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</si>
  <si>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</si>
  <si>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</si>
  <si>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</si>
  <si>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</si>
  <si>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</si>
  <si>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</si>
  <si>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</si>
  <si>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</si>
  <si>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</si>
  <si>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</si>
  <si>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</si>
  <si>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</si>
  <si>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</si>
  <si>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</si>
  <si>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</si>
  <si>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</si>
  <si>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</si>
  <si>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</si>
  <si>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</si>
  <si>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</si>
  <si>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</si>
  <si>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</si>
  <si>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</si>
  <si>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</si>
  <si>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</si>
  <si>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</si>
  <si>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</si>
  <si>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</si>
  <si>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</si>
  <si>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</si>
  <si>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</si>
  <si>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</si>
  <si>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</si>
  <si>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</si>
  <si>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</si>
  <si>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</si>
  <si>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</si>
  <si>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</si>
  <si>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</si>
  <si>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</si>
  <si>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</si>
  <si>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</si>
  <si>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</si>
  <si>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</si>
  <si>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</si>
  <si>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</si>
  <si>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</si>
  <si>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</si>
  <si>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</si>
  <si>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</si>
  <si>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</si>
  <si>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</si>
  <si>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</si>
  <si>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</si>
  <si>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</si>
  <si>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</si>
  <si>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</si>
  <si>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</si>
  <si>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</si>
  <si>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</si>
  <si>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</si>
  <si>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</si>
  <si>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</si>
  <si>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</si>
  <si>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</si>
  <si>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</si>
  <si>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</si>
  <si>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</si>
  <si>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</si>
  <si>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</si>
  <si>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</si>
  <si>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</si>
  <si>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</si>
  <si>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</si>
  <si>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</si>
  <si>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</si>
  <si>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</si>
  <si>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</si>
  <si>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</si>
  <si>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</si>
  <si>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</si>
  <si>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</si>
  <si>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</si>
  <si>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</si>
  <si>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</si>
  <si>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</si>
  <si>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</si>
  <si>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</si>
  <si>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</si>
  <si>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</si>
  <si>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</si>
  <si>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</si>
  <si>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</si>
  <si>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</si>
  <si>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</si>
  <si>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</si>
  <si>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</si>
  <si>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</si>
  <si>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</si>
  <si>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</si>
  <si>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</si>
  <si>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</si>
  <si>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</si>
  <si>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</si>
  <si>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</si>
  <si>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</si>
  <si>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</si>
  <si>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</si>
  <si>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</si>
  <si>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</si>
  <si>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</si>
  <si>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</si>
  <si>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</si>
  <si>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</si>
  <si>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</si>
  <si>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</si>
  <si>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</si>
  <si>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</si>
  <si>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</si>
  <si>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</si>
  <si>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</si>
  <si>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</si>
  <si>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</si>
  <si>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</si>
  <si>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</si>
  <si>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</si>
  <si>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</si>
  <si>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</si>
  <si>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</si>
  <si>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</si>
  <si>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</si>
  <si>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</si>
  <si>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</si>
  <si>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</si>
  <si>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</si>
  <si>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</si>
  <si>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</si>
  <si>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</si>
  <si>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</si>
  <si>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</si>
  <si>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</si>
  <si>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tables_358104</t>
    <phoneticPr fontId="21"/>
  </si>
  <si>
    <t>tables_358105</t>
    <phoneticPr fontId="21"/>
  </si>
  <si>
    <t>tables_358100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</si>
  <si>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</si>
  <si>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</si>
  <si>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</si>
  <si>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</si>
  <si>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</si>
  <si>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</si>
  <si>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</si>
  <si>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</si>
  <si>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skip</t>
    <phoneticPr fontId="21"/>
  </si>
  <si>
    <t>フェス確率になる？</t>
    <phoneticPr fontId="21"/>
  </si>
  <si>
    <t>tables_362100</t>
    <phoneticPr fontId="21"/>
  </si>
  <si>
    <t>tables_362010</t>
    <phoneticPr fontId="21"/>
  </si>
  <si>
    <t>tables_settle_362100</t>
    <phoneticPr fontId="21"/>
  </si>
  <si>
    <t>フェス確率</t>
    <phoneticPr fontId="21"/>
  </si>
  <si>
    <t>フェス確率</t>
    <phoneticPr fontId="21"/>
  </si>
  <si>
    <t>old</t>
    <phoneticPr fontId="21"/>
  </si>
  <si>
    <t>old</t>
    <phoneticPr fontId="21"/>
  </si>
  <si>
    <t>hp_plus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</si>
</sst>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94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5" fillId="4" borderId="1" xfId="2978" applyFont="1" applyFill="1" applyBorder="1"/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1" fillId="2" borderId="1" xfId="19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5" t="s">
        <v>215</v>
      </c>
      <c r="K40" s="85" t="s">
        <v>190</v>
      </c>
      <c r="M40" s="85" t="s">
        <v>240</v>
      </c>
    </row>
    <row r="41" spans="1:13" x14ac:dyDescent="0.15">
      <c r="J41" s="85" t="s">
        <v>216</v>
      </c>
      <c r="K41" s="85" t="s">
        <v>217</v>
      </c>
      <c r="M41" s="66" t="s">
        <v>185</v>
      </c>
    </row>
    <row r="42" spans="1:13" x14ac:dyDescent="0.15">
      <c r="J42" s="85" t="s">
        <v>218</v>
      </c>
      <c r="K42" s="85" t="s">
        <v>219</v>
      </c>
    </row>
    <row r="43" spans="1:13" x14ac:dyDescent="0.15">
      <c r="J43" s="85" t="s">
        <v>220</v>
      </c>
      <c r="K43" s="85" t="s">
        <v>221</v>
      </c>
    </row>
    <row r="44" spans="1:13" x14ac:dyDescent="0.15">
      <c r="J44" s="85" t="s">
        <v>222</v>
      </c>
      <c r="K44" s="85" t="s">
        <v>223</v>
      </c>
    </row>
    <row r="45" spans="1:13" x14ac:dyDescent="0.15">
      <c r="J45" s="85" t="s">
        <v>224</v>
      </c>
      <c r="K45" s="85" t="s">
        <v>225</v>
      </c>
    </row>
    <row r="46" spans="1:13" x14ac:dyDescent="0.15">
      <c r="J46" s="85" t="s">
        <v>226</v>
      </c>
      <c r="K46" s="85" t="s">
        <v>227</v>
      </c>
    </row>
    <row r="47" spans="1:13" x14ac:dyDescent="0.15">
      <c r="J47" s="85" t="s">
        <v>228</v>
      </c>
      <c r="K47" s="85" t="s">
        <v>232</v>
      </c>
    </row>
    <row r="48" spans="1:13" x14ac:dyDescent="0.15">
      <c r="J48" s="85" t="s">
        <v>229</v>
      </c>
      <c r="K48" s="85" t="s">
        <v>233</v>
      </c>
    </row>
    <row r="49" spans="10:11" x14ac:dyDescent="0.15">
      <c r="J49" s="85" t="s">
        <v>230</v>
      </c>
      <c r="K49" s="85" t="s">
        <v>234</v>
      </c>
    </row>
    <row r="50" spans="10:11" x14ac:dyDescent="0.15">
      <c r="J50" s="85" t="s">
        <v>231</v>
      </c>
      <c r="K50" s="85" t="s">
        <v>235</v>
      </c>
    </row>
    <row r="51" spans="10:11" x14ac:dyDescent="0.15">
      <c r="J51" s="85" t="s">
        <v>237</v>
      </c>
      <c r="K51" s="85" t="s">
        <v>236</v>
      </c>
    </row>
    <row r="52" spans="10:11" x14ac:dyDescent="0.15">
      <c r="J52" s="85" t="s">
        <v>238</v>
      </c>
      <c r="K52" s="85" t="s">
        <v>239</v>
      </c>
    </row>
    <row r="53" spans="10:11" x14ac:dyDescent="0.15">
      <c r="J53" s="85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C2" sqref="C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265</v>
      </c>
      <c r="B2" s="61" t="s">
        <v>110</v>
      </c>
      <c r="C2" s="50" t="str">
        <f t="shared" ref="C2" si="0">RIGHT(F2,6)</f>
        <v>362100</v>
      </c>
      <c r="D2" s="19" t="s">
        <v>45</v>
      </c>
      <c r="E2" s="17" t="str">
        <f t="shared" ref="E2" si="1">B2&amp;C2&amp;D2</f>
        <v>gacha_select_tables_362100.tmp</v>
      </c>
      <c r="F2" s="91" t="s">
        <v>260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258</v>
      </c>
      <c r="B3" s="61" t="s">
        <v>110</v>
      </c>
      <c r="C3" s="50" t="str">
        <f t="shared" ref="C3:C7" si="2">RIGHT(F3,6)</f>
        <v>362010</v>
      </c>
      <c r="D3" s="19" t="s">
        <v>45</v>
      </c>
      <c r="E3" s="17" t="str">
        <f t="shared" ref="E3:E10" si="3">B3&amp;C3&amp;D3</f>
        <v>gacha_select_tables_362010.tmp</v>
      </c>
      <c r="F3" s="91" t="s">
        <v>261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266</v>
      </c>
      <c r="B4" s="78" t="s">
        <v>213</v>
      </c>
      <c r="C4" s="50" t="str">
        <f t="shared" si="2"/>
        <v>362100</v>
      </c>
      <c r="D4" s="19" t="s">
        <v>45</v>
      </c>
      <c r="E4" s="17" t="str">
        <f t="shared" ref="E4:E7" si="4">B4&amp;C4&amp;D4</f>
        <v>gacha_settle_tables_362100.tmp</v>
      </c>
      <c r="F4" s="91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257</v>
      </c>
      <c r="B5" s="61" t="s">
        <v>110</v>
      </c>
      <c r="C5" s="50" t="str">
        <f t="shared" si="2"/>
        <v>358104</v>
      </c>
      <c r="D5" s="19" t="s">
        <v>45</v>
      </c>
      <c r="E5" s="17" t="str">
        <f t="shared" si="4"/>
        <v>gacha_select_tables_358104.tmp</v>
      </c>
      <c r="F5" s="89" t="s">
        <v>247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0" t="s">
        <v>257</v>
      </c>
      <c r="B6" s="61" t="s">
        <v>110</v>
      </c>
      <c r="C6" s="50" t="str">
        <f t="shared" ref="C6" si="5">RIGHT(F6,6)</f>
        <v>358105</v>
      </c>
      <c r="D6" s="19" t="s">
        <v>45</v>
      </c>
      <c r="E6" s="17" t="str">
        <f t="shared" ref="E6" si="6">B6&amp;C6&amp;D6</f>
        <v>gacha_select_tables_358105.tmp</v>
      </c>
      <c r="F6" s="89" t="s">
        <v>248</v>
      </c>
      <c r="G6" s="49" t="s">
        <v>84</v>
      </c>
      <c r="H6" s="22" t="s">
        <v>0</v>
      </c>
      <c r="I6" s="22" t="s">
        <v>3</v>
      </c>
      <c r="J6" s="22" t="s">
        <v>4</v>
      </c>
      <c r="K6" s="93" t="s">
        <v>267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0" t="s">
        <v>257</v>
      </c>
      <c r="B7" s="61" t="s">
        <v>110</v>
      </c>
      <c r="C7" s="50" t="str">
        <f t="shared" si="2"/>
        <v>358100</v>
      </c>
      <c r="D7" s="19" t="s">
        <v>45</v>
      </c>
      <c r="E7" s="17" t="str">
        <f t="shared" si="4"/>
        <v>gacha_select_tables_358100.tmp</v>
      </c>
      <c r="F7" s="89" t="s">
        <v>249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257</v>
      </c>
      <c r="B8" s="27" t="s">
        <v>50</v>
      </c>
      <c r="C8" s="32">
        <v>358</v>
      </c>
      <c r="D8" s="19" t="s">
        <v>46</v>
      </c>
      <c r="E8" s="17" t="str">
        <f t="shared" si="3"/>
        <v>gacha_bonus_tables_358.tmp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257</v>
      </c>
      <c r="B9" s="19" t="s">
        <v>48</v>
      </c>
      <c r="C9" s="32">
        <v>358</v>
      </c>
      <c r="D9" s="19" t="s">
        <v>46</v>
      </c>
      <c r="E9" s="17" t="str">
        <f t="shared" si="3"/>
        <v>gifts_tmp_358.tmp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257</v>
      </c>
      <c r="B10" s="19" t="s">
        <v>49</v>
      </c>
      <c r="C10" s="32">
        <v>358</v>
      </c>
      <c r="D10" s="19" t="s">
        <v>46</v>
      </c>
      <c r="E10" s="17" t="str">
        <f t="shared" si="3"/>
        <v>gifts_i18n_358.tmp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B32" sqref="B3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VLOOKUP(L3,tables_362010!B:C,2,FALSE)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1.5E-3</v>
      </c>
      <c r="F5">
        <f>(COUNTIF(tables_362010!C:C,input_362010!A26)+COUNTIF(tables_362010!C:C,input_362010!A28)+COUNTIF(tables_362010!C:C,input_362010!A29))</f>
        <v>40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7">
        <f>(B10-H6)/(F6-I6)</f>
        <v>1.1625E-2</v>
      </c>
      <c r="F6">
        <f>(COUNTIF(tables_362010!C:C,input_362010!A18)+COUNTIF(tables_362010!C:C,input_362010!A20)+COUNTIF(tables_362010!C:C,input_362010!A22))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0.92999999999999994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0.06</v>
      </c>
      <c r="C11" t="s">
        <v>263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0.19474999999999998</v>
      </c>
      <c r="C17" s="87">
        <f t="shared" ref="C17:C31" si="2">SUMIF(Q:Q,A17,N:N)</f>
        <v>0</v>
      </c>
      <c r="D17" s="75">
        <f t="shared" ref="D17:D32" si="3">B17-C17</f>
        <v>0.19474999999999998</v>
      </c>
      <c r="E17">
        <f>COUNTIF(tables_362010!C:C,input_362010!A17)-COUNTIF(Q:Q,A17)</f>
        <v>20</v>
      </c>
      <c r="F17" s="43">
        <f>IFERROR(B17/E17,0)</f>
        <v>9.7374999999999996E-3</v>
      </c>
      <c r="G17">
        <f t="shared" ref="G17:G31" si="4">A$36*B17</f>
        <v>62319.999999999993</v>
      </c>
      <c r="H17">
        <f t="shared" ref="H17:H31" si="5">IFERROR(ROUND(G17/E17,5),0)</f>
        <v>3116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3.7750000000000006E-2</v>
      </c>
      <c r="C18" s="87">
        <f t="shared" si="2"/>
        <v>0</v>
      </c>
      <c r="D18" s="75">
        <f t="shared" si="3"/>
        <v>3.7750000000000006E-2</v>
      </c>
      <c r="E18">
        <f>COUNTIF(tables_362010!C:C,input_362010!A18)-COUNTIF(Q:Q,A18)</f>
        <v>20</v>
      </c>
      <c r="F18" s="43">
        <f>IFERROR(B18/E18,0)</f>
        <v>1.8875000000000003E-3</v>
      </c>
      <c r="G18">
        <f t="shared" si="4"/>
        <v>12080.000000000002</v>
      </c>
      <c r="H18">
        <f t="shared" si="5"/>
        <v>604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0.30225000000000002</v>
      </c>
      <c r="C19" s="87">
        <f t="shared" si="2"/>
        <v>0</v>
      </c>
      <c r="D19" s="75">
        <f t="shared" si="3"/>
        <v>0.30225000000000002</v>
      </c>
      <c r="E19">
        <f>COUNTIF(tables_362010!C:C,input_362010!A19)-COUNTIF(Q:Q,A19)</f>
        <v>52</v>
      </c>
      <c r="F19" s="43">
        <f t="shared" ref="F19:F31" si="8">IFERROR(B19/E19,0)</f>
        <v>5.8125E-3</v>
      </c>
      <c r="G19">
        <f t="shared" si="4"/>
        <v>96720</v>
      </c>
      <c r="H19">
        <f t="shared" si="5"/>
        <v>1860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0.27202500000000002</v>
      </c>
      <c r="C20" s="87">
        <f t="shared" si="2"/>
        <v>0</v>
      </c>
      <c r="D20" s="75">
        <f t="shared" si="3"/>
        <v>0.27202500000000002</v>
      </c>
      <c r="E20">
        <f>COUNTIF(tables_362010!C:C,input_362010!A20)-COUNTIF(Q:Q,A20)</f>
        <v>52</v>
      </c>
      <c r="F20" s="43">
        <f t="shared" si="8"/>
        <v>5.2312500000000007E-3</v>
      </c>
      <c r="G20">
        <f t="shared" si="4"/>
        <v>87048</v>
      </c>
      <c r="H20">
        <f t="shared" si="5"/>
        <v>1674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3.0225000000000002E-2</v>
      </c>
      <c r="C21" s="87">
        <f t="shared" si="2"/>
        <v>0</v>
      </c>
      <c r="D21" s="75">
        <f t="shared" si="3"/>
        <v>3.0225000000000002E-2</v>
      </c>
      <c r="E21">
        <f>COUNTIF(tables_362010!C:C,input_362010!A21)-COUNTIF(Q:Q,A21)</f>
        <v>52</v>
      </c>
      <c r="F21" s="43">
        <f t="shared" si="8"/>
        <v>5.8125000000000006E-4</v>
      </c>
      <c r="G21">
        <f t="shared" si="4"/>
        <v>9672</v>
      </c>
      <c r="H21">
        <f t="shared" si="5"/>
        <v>186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8.7624999999999995E-2</v>
      </c>
      <c r="C22" s="87">
        <f t="shared" si="2"/>
        <v>0</v>
      </c>
      <c r="D22" s="75">
        <f t="shared" si="3"/>
        <v>8.7624999999999995E-2</v>
      </c>
      <c r="E22">
        <f>COUNTIF(tables_362010!C:C,input_362010!A22)-COUNTIF(Q:Q,A22)</f>
        <v>8</v>
      </c>
      <c r="F22" s="43">
        <f t="shared" si="8"/>
        <v>1.0953124999999999E-2</v>
      </c>
      <c r="G22">
        <f t="shared" si="4"/>
        <v>28040</v>
      </c>
      <c r="H22">
        <f t="shared" si="5"/>
        <v>3505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5.3750000000000048E-3</v>
      </c>
      <c r="C23" s="87">
        <f t="shared" si="2"/>
        <v>0</v>
      </c>
      <c r="D23" s="75">
        <f t="shared" si="3"/>
        <v>5.3750000000000048E-3</v>
      </c>
      <c r="E23">
        <f>COUNTIF(tables_362010!C:C,input_362010!A23)-COUNTIF(Q:Q,A23)</f>
        <v>8</v>
      </c>
      <c r="F23" s="43">
        <f t="shared" si="8"/>
        <v>6.718750000000006E-4</v>
      </c>
      <c r="G23">
        <f t="shared" si="4"/>
        <v>1720.0000000000016</v>
      </c>
      <c r="H23">
        <f t="shared" si="5"/>
        <v>215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3.0000000000000001E-3</v>
      </c>
      <c r="C24" s="87">
        <f t="shared" si="2"/>
        <v>0</v>
      </c>
      <c r="D24" s="75">
        <f t="shared" si="3"/>
        <v>3.0000000000000001E-3</v>
      </c>
      <c r="E24">
        <f>COUNTIF(tables_362010!C:C,input_362010!A24)-COUNTIF(Q:Q,A24)</f>
        <v>4</v>
      </c>
      <c r="F24" s="43">
        <f t="shared" si="8"/>
        <v>7.5000000000000002E-4</v>
      </c>
      <c r="G24">
        <f t="shared" si="4"/>
        <v>960</v>
      </c>
      <c r="H24">
        <f t="shared" si="5"/>
        <v>240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2.7000000000000001E-3</v>
      </c>
      <c r="C25" s="87">
        <f t="shared" si="2"/>
        <v>0</v>
      </c>
      <c r="D25" s="75">
        <f t="shared" si="3"/>
        <v>2.7000000000000001E-3</v>
      </c>
      <c r="E25">
        <f>COUNTIF(tables_362010!C:C,input_362010!A25)-COUNTIF(Q:Q,A25)</f>
        <v>4</v>
      </c>
      <c r="F25" s="43">
        <f t="shared" si="8"/>
        <v>6.7500000000000004E-4</v>
      </c>
      <c r="G25">
        <f t="shared" si="4"/>
        <v>864</v>
      </c>
      <c r="H25">
        <f t="shared" si="5"/>
        <v>216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3.0000000000000003E-4</v>
      </c>
      <c r="C26" s="87">
        <f t="shared" si="2"/>
        <v>0</v>
      </c>
      <c r="D26" s="75">
        <f t="shared" si="3"/>
        <v>3.0000000000000003E-4</v>
      </c>
      <c r="E26">
        <f>COUNTIF(tables_362010!C:C,input_362010!A26)-COUNTIF(Q:Q,A26)</f>
        <v>4</v>
      </c>
      <c r="F26" s="43">
        <f t="shared" si="8"/>
        <v>7.5000000000000007E-5</v>
      </c>
      <c r="G26">
        <f t="shared" si="4"/>
        <v>96.000000000000014</v>
      </c>
      <c r="H26">
        <f t="shared" si="5"/>
        <v>24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3.9899999999999998E-2</v>
      </c>
      <c r="C27" s="87">
        <f t="shared" si="2"/>
        <v>0</v>
      </c>
      <c r="D27" s="75">
        <f t="shared" si="3"/>
        <v>3.9899999999999998E-2</v>
      </c>
      <c r="E27">
        <f>COUNTIF(tables_362010!C:C,input_362010!A27)-COUNTIF(Q:Q,A27)</f>
        <v>28</v>
      </c>
      <c r="F27" s="43">
        <f>IFERROR(B27/E27,0)</f>
        <v>1.4249999999999998E-3</v>
      </c>
      <c r="G27">
        <f t="shared" si="4"/>
        <v>12768</v>
      </c>
      <c r="H27">
        <f t="shared" si="5"/>
        <v>456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2.1000000000000003E-3</v>
      </c>
      <c r="C28" s="87">
        <f t="shared" si="2"/>
        <v>0</v>
      </c>
      <c r="D28" s="75">
        <f t="shared" si="3"/>
        <v>2.1000000000000003E-3</v>
      </c>
      <c r="E28">
        <f>COUNTIF(tables_362010!C:C,input_362010!A28)-COUNTIF(Q:Q,A28)</f>
        <v>28</v>
      </c>
      <c r="F28" s="43">
        <f t="shared" si="8"/>
        <v>7.5000000000000007E-5</v>
      </c>
      <c r="G28">
        <f t="shared" si="4"/>
        <v>672.00000000000011</v>
      </c>
      <c r="H28">
        <f t="shared" si="5"/>
        <v>24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1.2E-2</v>
      </c>
      <c r="C29" s="87">
        <f t="shared" si="2"/>
        <v>0</v>
      </c>
      <c r="D29" s="75">
        <f t="shared" si="3"/>
        <v>1.2E-2</v>
      </c>
      <c r="E29">
        <f>COUNTIF(tables_362010!C:C,input_362010!A29)-COUNTIF(Q:Q,A29)</f>
        <v>8</v>
      </c>
      <c r="F29" s="43">
        <f t="shared" si="8"/>
        <v>1.5E-3</v>
      </c>
      <c r="G29">
        <f t="shared" si="4"/>
        <v>3840</v>
      </c>
      <c r="H29">
        <f t="shared" si="5"/>
        <v>480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COUNTIF(tables_362010!C:C,input_362010!A30)-COUNTIF(Q:Q,A30)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0.01</v>
      </c>
      <c r="C31" s="87">
        <f t="shared" si="2"/>
        <v>0</v>
      </c>
      <c r="D31" s="75">
        <f t="shared" si="3"/>
        <v>0.01</v>
      </c>
      <c r="E31">
        <f>COUNTIF(tables_362010!C:C,input_362010!A31)-COUNTIF(Q:Q,A31)</f>
        <v>2</v>
      </c>
      <c r="F31" s="43">
        <f t="shared" si="8"/>
        <v>5.0000000000000001E-3</v>
      </c>
      <c r="G31">
        <f t="shared" si="4"/>
        <v>3200</v>
      </c>
      <c r="H31">
        <f t="shared" si="5"/>
        <v>1600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SUMIF(tables_362010!C:C,input_362010!A40,tables_362010!O:O)</f>
        <v>96720</v>
      </c>
      <c r="C40" s="54">
        <f t="shared" ref="C40:C46" ca="1" si="9">B40/B$47</f>
        <v>0.46751740139211134</v>
      </c>
      <c r="E40">
        <v>3</v>
      </c>
      <c r="F40">
        <f ca="1">SUMIF(tables_362010!J:J,input_362010!E40,tables_362010!O:O)</f>
        <v>160000</v>
      </c>
      <c r="G40">
        <f ca="1">F40/A36</f>
        <v>0.5</v>
      </c>
    </row>
    <row r="41" spans="1:7" x14ac:dyDescent="0.15">
      <c r="A41" s="33" t="s">
        <v>104</v>
      </c>
      <c r="B41">
        <f ca="1">SUMIF(tables_362010!C:C,input_362010!A41,tables_362010!O:O)</f>
        <v>87048</v>
      </c>
      <c r="C41" s="54">
        <f t="shared" ca="1" si="9"/>
        <v>0.42076566125290021</v>
      </c>
      <c r="E41">
        <v>4</v>
      </c>
      <c r="F41">
        <f ca="1">SUMIF(tables_362010!J:J,input_362010!E41,tables_362010!O:O)</f>
        <v>140800</v>
      </c>
      <c r="G41">
        <f ca="1">F41/A36</f>
        <v>0.44</v>
      </c>
    </row>
    <row r="42" spans="1:7" x14ac:dyDescent="0.15">
      <c r="A42" s="33" t="s">
        <v>106</v>
      </c>
      <c r="B42">
        <f ca="1">SUMIF(tables_362010!C:C,input_362010!A42,tables_362010!O:O)</f>
        <v>12768</v>
      </c>
      <c r="C42" s="54">
        <f t="shared" ca="1" si="9"/>
        <v>6.1716937354988399E-2</v>
      </c>
      <c r="E42">
        <v>5</v>
      </c>
      <c r="F42">
        <f ca="1">SUMIF(tables_362010!J:J,input_362010!E42,tables_362010!O:O)</f>
        <v>19200</v>
      </c>
      <c r="G42">
        <f ca="1">F42/A36</f>
        <v>0.06</v>
      </c>
    </row>
    <row r="43" spans="1:7" x14ac:dyDescent="0.15">
      <c r="A43" s="33" t="s">
        <v>109</v>
      </c>
      <c r="B43">
        <f>SUMIF(tables_362010!C:C,input_362010!A43,tables_362010!O:O)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SUMIF(tables_362010!C:C,input_362010!A44,tables_362010!O:O)</f>
        <v>9672</v>
      </c>
      <c r="C44" s="54">
        <f t="shared" ca="1" si="9"/>
        <v>4.6751740139211136E-2</v>
      </c>
      <c r="E44" t="s">
        <v>54</v>
      </c>
      <c r="F44" s="55"/>
    </row>
    <row r="45" spans="1:7" x14ac:dyDescent="0.15">
      <c r="A45" s="33" t="s">
        <v>107</v>
      </c>
      <c r="B45">
        <f ca="1">SUMIF(tables_362010!C:C,input_362010!A45,tables_362010!O:O)</f>
        <v>672</v>
      </c>
      <c r="C45" s="54">
        <f t="shared" ca="1" si="9"/>
        <v>3.2482598607888632E-3</v>
      </c>
      <c r="E45" t="s">
        <v>204</v>
      </c>
      <c r="F45" s="55">
        <f ca="1">SUMIF(tables_362010!I:I,input_362010!E45,tables_362010!P:P)</f>
        <v>0.23249999999999993</v>
      </c>
    </row>
    <row r="46" spans="1:7" x14ac:dyDescent="0.15">
      <c r="A46" s="33" t="s">
        <v>108</v>
      </c>
      <c r="B46">
        <f>SUMIF(tables_362010!C:C,input_362010!A46,tables_362010!O:O)</f>
        <v>0</v>
      </c>
      <c r="C46" s="54">
        <f t="shared" ca="1" si="9"/>
        <v>0</v>
      </c>
      <c r="E46" t="s">
        <v>205</v>
      </c>
      <c r="F46" s="55">
        <f ca="1">SUMIF(tables_362010!I:I,input_362010!E46,tables_362010!P:P)</f>
        <v>0.20212499999999994</v>
      </c>
    </row>
    <row r="47" spans="1:7" x14ac:dyDescent="0.15">
      <c r="A47" s="39" t="s">
        <v>59</v>
      </c>
      <c r="B47">
        <f ca="1">SUM(B40:B46)</f>
        <v>206880</v>
      </c>
      <c r="C47" s="55">
        <f ca="1">SUM(C40:C46)</f>
        <v>1</v>
      </c>
      <c r="E47" t="s">
        <v>206</v>
      </c>
      <c r="F47" s="55">
        <f ca="1">SUMIF(tables_362010!I:I,input_362010!E47,tables_362010!P:P)</f>
        <v>0.5013749999999999</v>
      </c>
    </row>
    <row r="48" spans="1:7" x14ac:dyDescent="0.15">
      <c r="E48" t="s">
        <v>207</v>
      </c>
      <c r="F48" s="55">
        <f ca="1">SUMIF(tables_362010!I:I,input_362010!E48,tables_362010!P:P)</f>
        <v>5.4000000000000006E-2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1"/>
  <sheetViews>
    <sheetView showGridLines="0" zoomScale="75" zoomScaleNormal="75" zoomScalePageLayoutView="75" workbookViewId="0">
      <pane ySplit="1" topLeftCell="A278" activePane="bottomLeft" state="frozen"/>
      <selection activeCell="H276" sqref="H276"/>
      <selection pane="bottomLeft" activeCell="O290" sqref="O2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input_362010!A$2</f>
        <v>362010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IFERROR(VLOOKUP(B2,input_362010!L:R,7,FALSE),VLOOKUP(tables_362010!C2,input_362010!A:H,8,FALSE))</f>
        <v>3116</v>
      </c>
      <c r="P2" s="46">
        <f ca="1">O2/SUM(O:O)</f>
        <v>9.7374999999999996E-3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input_362010!A$2</f>
        <v>362010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IFERROR(VLOOKUP(B3,input_362010!L:R,7,FALSE),VLOOKUP(tables_362010!C3,input_362010!A:H,8,FALSE))</f>
        <v>604</v>
      </c>
      <c r="P3" s="46">
        <f ca="1">O3/SUM(O:O)</f>
        <v>1.8875000000000001E-3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input_362010!A$2</f>
        <v>362010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IFERROR(VLOOKUP(B4,input_362010!L:R,7,FALSE),VLOOKUP(tables_362010!C4,input_362010!A:H,8,FALSE))</f>
        <v>3116</v>
      </c>
      <c r="P4" s="46">
        <f ca="1">O4/SUM(O:O)</f>
        <v>9.7374999999999996E-3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input_362010!A$2</f>
        <v>362010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IFERROR(VLOOKUP(B5,input_362010!L:R,7,FALSE),VLOOKUP(tables_362010!C5,input_362010!A:H,8,FALSE))</f>
        <v>604</v>
      </c>
      <c r="P5" s="46">
        <f ca="1">O5/SUM(O:O)</f>
        <v>1.8875000000000001E-3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input_362010!A$2</f>
        <v>362010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IFERROR(VLOOKUP(B6,input_362010!L:R,7,FALSE),VLOOKUP(tables_362010!C6,input_362010!A:H,8,FALSE))</f>
        <v>3116</v>
      </c>
      <c r="P6" s="46">
        <f ca="1">O6/SUM(O:O)</f>
        <v>9.7374999999999996E-3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input_362010!A$2</f>
        <v>362010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IFERROR(VLOOKUP(B7,input_362010!L:R,7,FALSE),VLOOKUP(tables_362010!C7,input_362010!A:H,8,FALSE))</f>
        <v>604</v>
      </c>
      <c r="P7" s="46">
        <f ca="1">O7/SUM(O:O)</f>
        <v>1.8875000000000001E-3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input_362010!A$2</f>
        <v>362010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IFERROR(VLOOKUP(B8,input_362010!L:R,7,FALSE),VLOOKUP(tables_362010!C8,input_362010!A:H,8,FALSE))</f>
        <v>3116</v>
      </c>
      <c r="P8" s="46">
        <f ca="1">O8/SUM(O:O)</f>
        <v>9.7374999999999996E-3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input_362010!A$2</f>
        <v>362010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IFERROR(VLOOKUP(B9,input_362010!L:R,7,FALSE),VLOOKUP(tables_362010!C9,input_362010!A:H,8,FALSE))</f>
        <v>604</v>
      </c>
      <c r="P9" s="46">
        <f ca="1">O9/SUM(O:O)</f>
        <v>1.8875000000000001E-3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input_362010!A$2</f>
        <v>362010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IFERROR(VLOOKUP(B10,input_362010!L:R,7,FALSE),VLOOKUP(tables_362010!C10,input_362010!A:H,8,FALSE))</f>
        <v>3116</v>
      </c>
      <c r="P10" s="46">
        <f ca="1">O10/SUM(O:O)</f>
        <v>9.7374999999999996E-3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input_362010!A$2</f>
        <v>362010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IFERROR(VLOOKUP(B11,input_362010!L:R,7,FALSE),VLOOKUP(tables_362010!C11,input_362010!A:H,8,FALSE))</f>
        <v>604</v>
      </c>
      <c r="P11" s="46">
        <f ca="1">O11/SUM(O:O)</f>
        <v>1.8875000000000001E-3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input_362010!A$2</f>
        <v>362010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IFERROR(VLOOKUP(B12,input_362010!L:R,7,FALSE),VLOOKUP(tables_362010!C12,input_362010!A:H,8,FALSE))</f>
        <v>3116</v>
      </c>
      <c r="P12" s="46">
        <f ca="1">O12/SUM(O:O)</f>
        <v>9.7374999999999996E-3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input_362010!A$2</f>
        <v>362010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IFERROR(VLOOKUP(B13,input_362010!L:R,7,FALSE),VLOOKUP(tables_362010!C13,input_362010!A:H,8,FALSE))</f>
        <v>604</v>
      </c>
      <c r="P13" s="46">
        <f ca="1">O13/SUM(O:O)</f>
        <v>1.8875000000000001E-3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input_362010!A$2</f>
        <v>362010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IFERROR(VLOOKUP(B14,input_362010!L:R,7,FALSE),VLOOKUP(tables_362010!C14,input_362010!A:H,8,FALSE))</f>
        <v>3116</v>
      </c>
      <c r="P14" s="46">
        <f ca="1">O14/SUM(O:O)</f>
        <v>9.7374999999999996E-3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input_362010!A$2</f>
        <v>362010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IFERROR(VLOOKUP(B15,input_362010!L:R,7,FALSE),VLOOKUP(tables_362010!C15,input_362010!A:H,8,FALSE))</f>
        <v>604</v>
      </c>
      <c r="P15" s="46">
        <f ca="1">O15/SUM(O:O)</f>
        <v>1.8875000000000001E-3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input_362010!A$2</f>
        <v>362010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IFERROR(VLOOKUP(B16,input_362010!L:R,7,FALSE),VLOOKUP(tables_362010!C16,input_362010!A:H,8,FALSE))</f>
        <v>3116</v>
      </c>
      <c r="P16" s="46">
        <f ca="1">O16/SUM(O:O)</f>
        <v>9.7374999999999996E-3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input_362010!A$2</f>
        <v>362010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IFERROR(VLOOKUP(B17,input_362010!L:R,7,FALSE),VLOOKUP(tables_362010!C17,input_362010!A:H,8,FALSE))</f>
        <v>604</v>
      </c>
      <c r="P17" s="46">
        <f ca="1">O17/SUM(O:O)</f>
        <v>1.8875000000000001E-3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input_362010!A$2</f>
        <v>362010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IFERROR(VLOOKUP(B18,input_362010!L:R,7,FALSE),VLOOKUP(tables_362010!C18,input_362010!A:H,8,FALSE))</f>
        <v>3116</v>
      </c>
      <c r="P18" s="46">
        <f ca="1">O18/SUM(O:O)</f>
        <v>9.7374999999999996E-3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input_362010!A$2</f>
        <v>362010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IFERROR(VLOOKUP(B19,input_362010!L:R,7,FALSE),VLOOKUP(tables_362010!C19,input_362010!A:H,8,FALSE))</f>
        <v>604</v>
      </c>
      <c r="P19" s="46">
        <f ca="1">O19/SUM(O:O)</f>
        <v>1.8875000000000001E-3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input_362010!A$2</f>
        <v>362010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IFERROR(VLOOKUP(B20,input_362010!L:R,7,FALSE),VLOOKUP(tables_362010!C20,input_362010!A:H,8,FALSE))</f>
        <v>3116</v>
      </c>
      <c r="P20" s="46">
        <f ca="1">O20/SUM(O:O)</f>
        <v>9.7374999999999996E-3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input_362010!A$2</f>
        <v>362010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IFERROR(VLOOKUP(B21,input_362010!L:R,7,FALSE),VLOOKUP(tables_362010!C21,input_362010!A:H,8,FALSE))</f>
        <v>604</v>
      </c>
      <c r="P21" s="46">
        <f ca="1">O21/SUM(O:O)</f>
        <v>1.8875000000000001E-3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input_362010!A$2</f>
        <v>362010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IFERROR(VLOOKUP(B22,input_362010!L:R,7,FALSE),VLOOKUP(tables_362010!C22,input_362010!A:H,8,FALSE))</f>
        <v>3116</v>
      </c>
      <c r="P22" s="46">
        <f ca="1">O22/SUM(O:O)</f>
        <v>9.7374999999999996E-3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input_362010!A$2</f>
        <v>362010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IFERROR(VLOOKUP(B23,input_362010!L:R,7,FALSE),VLOOKUP(tables_362010!C23,input_362010!A:H,8,FALSE))</f>
        <v>604</v>
      </c>
      <c r="P23" s="46">
        <f ca="1">O23/SUM(O:O)</f>
        <v>1.8875000000000001E-3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input_362010!A$2</f>
        <v>362010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IFERROR(VLOOKUP(B24,input_362010!L:R,7,FALSE),VLOOKUP(tables_362010!C24,input_362010!A:H,8,FALSE))</f>
        <v>3116</v>
      </c>
      <c r="P24" s="46">
        <f ca="1">O24/SUM(O:O)</f>
        <v>9.7374999999999996E-3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input_362010!A$2</f>
        <v>362010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IFERROR(VLOOKUP(B25,input_362010!L:R,7,FALSE),VLOOKUP(tables_362010!C25,input_362010!A:H,8,FALSE))</f>
        <v>604</v>
      </c>
      <c r="P25" s="46">
        <f ca="1">O25/SUM(O:O)</f>
        <v>1.8875000000000001E-3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input_362010!A$2</f>
        <v>362010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IFERROR(VLOOKUP(B26,input_362010!L:R,7,FALSE),VLOOKUP(tables_362010!C26,input_362010!A:H,8,FALSE))</f>
        <v>3116</v>
      </c>
      <c r="P26" s="46">
        <f ca="1">O26/SUM(O:O)</f>
        <v>9.7374999999999996E-3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input_362010!A$2</f>
        <v>362010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IFERROR(VLOOKUP(B27,input_362010!L:R,7,FALSE),VLOOKUP(tables_362010!C27,input_362010!A:H,8,FALSE))</f>
        <v>604</v>
      </c>
      <c r="P27" s="46">
        <f ca="1">O27/SUM(O:O)</f>
        <v>1.8875000000000001E-3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input_362010!A$2</f>
        <v>362010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IFERROR(VLOOKUP(B28,input_362010!L:R,7,FALSE),VLOOKUP(tables_362010!C28,input_362010!A:H,8,FALSE))</f>
        <v>3116</v>
      </c>
      <c r="P28" s="46">
        <f ca="1">O28/SUM(O:O)</f>
        <v>9.7374999999999996E-3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input_362010!A$2</f>
        <v>362010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IFERROR(VLOOKUP(B29,input_362010!L:R,7,FALSE),VLOOKUP(tables_362010!C29,input_362010!A:H,8,FALSE))</f>
        <v>604</v>
      </c>
      <c r="P29" s="46">
        <f ca="1">O29/SUM(O:O)</f>
        <v>1.8875000000000001E-3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input_362010!A$2</f>
        <v>362010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IFERROR(VLOOKUP(B30,input_362010!L:R,7,FALSE),VLOOKUP(tables_362010!C30,input_362010!A:H,8,FALSE))</f>
        <v>3116</v>
      </c>
      <c r="P30" s="46">
        <f ca="1">O30/SUM(O:O)</f>
        <v>9.7374999999999996E-3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input_362010!A$2</f>
        <v>362010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IFERROR(VLOOKUP(B31,input_362010!L:R,7,FALSE),VLOOKUP(tables_362010!C31,input_362010!A:H,8,FALSE))</f>
        <v>604</v>
      </c>
      <c r="P31" s="46">
        <f ca="1">O31/SUM(O:O)</f>
        <v>1.8875000000000001E-3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input_362010!A$2</f>
        <v>362010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IFERROR(VLOOKUP(B32,input_362010!L:R,7,FALSE),VLOOKUP(tables_362010!C32,input_362010!A:H,8,FALSE))</f>
        <v>3116</v>
      </c>
      <c r="P32" s="46">
        <f ca="1">O32/SUM(O:O)</f>
        <v>9.7374999999999996E-3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input_362010!A$2</f>
        <v>362010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IFERROR(VLOOKUP(B33,input_362010!L:R,7,FALSE),VLOOKUP(tables_362010!C33,input_362010!A:H,8,FALSE))</f>
        <v>604</v>
      </c>
      <c r="P33" s="46">
        <f ca="1">O33/SUM(O:O)</f>
        <v>1.8875000000000001E-3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input_362010!A$2</f>
        <v>362010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IFERROR(VLOOKUP(B34,input_362010!L:R,7,FALSE),VLOOKUP(tables_362010!C34,input_362010!A:H,8,FALSE))</f>
        <v>3116</v>
      </c>
      <c r="P34" s="46">
        <f ca="1">O34/SUM(O:O)</f>
        <v>9.7374999999999996E-3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input_362010!A$2</f>
        <v>362010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IFERROR(VLOOKUP(B35,input_362010!L:R,7,FALSE),VLOOKUP(tables_362010!C35,input_362010!A:H,8,FALSE))</f>
        <v>604</v>
      </c>
      <c r="P35" s="46">
        <f ca="1">O35/SUM(O:O)</f>
        <v>1.8875000000000001E-3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input_362010!A$2</f>
        <v>362010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IFERROR(VLOOKUP(B36,input_362010!L:R,7,FALSE),VLOOKUP(tables_362010!C36,input_362010!A:H,8,FALSE))</f>
        <v>3116</v>
      </c>
      <c r="P36" s="46">
        <f ca="1">O36/SUM(O:O)</f>
        <v>9.7374999999999996E-3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input_362010!A$2</f>
        <v>362010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IFERROR(VLOOKUP(B37,input_362010!L:R,7,FALSE),VLOOKUP(tables_362010!C37,input_362010!A:H,8,FALSE))</f>
        <v>604</v>
      </c>
      <c r="P37" s="46">
        <f ca="1">O37/SUM(O:O)</f>
        <v>1.8875000000000001E-3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input_362010!A$2</f>
        <v>362010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IFERROR(VLOOKUP(B38,input_362010!L:R,7,FALSE),VLOOKUP(tables_362010!C38,input_362010!A:H,8,FALSE))</f>
        <v>3116</v>
      </c>
      <c r="P38" s="46">
        <f ca="1">O38/SUM(O:O)</f>
        <v>9.7374999999999996E-3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input_362010!A$2</f>
        <v>362010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IFERROR(VLOOKUP(B39,input_362010!L:R,7,FALSE),VLOOKUP(tables_362010!C39,input_362010!A:H,8,FALSE))</f>
        <v>604</v>
      </c>
      <c r="P39" s="46">
        <f ca="1">O39/SUM(O:O)</f>
        <v>1.8875000000000001E-3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input_362010!A$2</f>
        <v>362010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IFERROR(VLOOKUP(B40,input_362010!L:R,7,FALSE),VLOOKUP(tables_362010!C40,input_362010!A:H,8,FALSE))</f>
        <v>3116</v>
      </c>
      <c r="P40" s="46">
        <f ca="1">O40/SUM(O:O)</f>
        <v>9.7374999999999996E-3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input_362010!A$2</f>
        <v>362010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IFERROR(VLOOKUP(B41,input_362010!L:R,7,FALSE),VLOOKUP(tables_362010!C41,input_362010!A:H,8,FALSE))</f>
        <v>604</v>
      </c>
      <c r="P41" s="46">
        <f ca="1">O41/SUM(O:O)</f>
        <v>1.8875000000000001E-3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input_362010!A$2</f>
        <v>362010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IFERROR(VLOOKUP(B42,input_362010!L:R,7,FALSE),VLOOKUP(tables_362010!C42,input_362010!A:H,8,FALSE))</f>
        <v>240</v>
      </c>
      <c r="P42" s="46">
        <f ca="1">O42/SUM(O:O)</f>
        <v>7.5000000000000002E-4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input_362010!A$2</f>
        <v>362010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IFERROR(VLOOKUP(B43,input_362010!L:R,7,FALSE),VLOOKUP(tables_362010!C43,input_362010!A:H,8,FALSE))</f>
        <v>216</v>
      </c>
      <c r="P43" s="46">
        <f ca="1">O43/SUM(O:O)</f>
        <v>6.7500000000000004E-4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input_362010!A$2</f>
        <v>362010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IFERROR(VLOOKUP(B44,input_362010!L:R,7,FALSE),VLOOKUP(tables_362010!C44,input_362010!A:H,8,FALSE))</f>
        <v>24</v>
      </c>
      <c r="P44" s="46">
        <f ca="1">O44/SUM(O:O)</f>
        <v>7.4999999999999993E-5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input_362010!A$2</f>
        <v>362010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IFERROR(VLOOKUP(B45,input_362010!L:R,7,FALSE),VLOOKUP(tables_362010!C45,input_362010!A:H,8,FALSE))</f>
        <v>240</v>
      </c>
      <c r="P45" s="46">
        <f ca="1">O45/SUM(O:O)</f>
        <v>7.5000000000000002E-4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input_362010!A$2</f>
        <v>362010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IFERROR(VLOOKUP(B46,input_362010!L:R,7,FALSE),VLOOKUP(tables_362010!C46,input_362010!A:H,8,FALSE))</f>
        <v>216</v>
      </c>
      <c r="P46" s="46">
        <f ca="1">O46/SUM(O:O)</f>
        <v>6.7500000000000004E-4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input_362010!A$2</f>
        <v>362010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IFERROR(VLOOKUP(B47,input_362010!L:R,7,FALSE),VLOOKUP(tables_362010!C47,input_362010!A:H,8,FALSE))</f>
        <v>24</v>
      </c>
      <c r="P47" s="46">
        <f ca="1">O47/SUM(O:O)</f>
        <v>7.4999999999999993E-5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input_362010!A$2</f>
        <v>362010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IFERROR(VLOOKUP(B48,input_362010!L:R,7,FALSE),VLOOKUP(tables_362010!C48,input_362010!A:H,8,FALSE))</f>
        <v>240</v>
      </c>
      <c r="P48" s="46">
        <f ca="1">O48/SUM(O:O)</f>
        <v>7.5000000000000002E-4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input_362010!A$2</f>
        <v>362010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IFERROR(VLOOKUP(B49,input_362010!L:R,7,FALSE),VLOOKUP(tables_362010!C49,input_362010!A:H,8,FALSE))</f>
        <v>216</v>
      </c>
      <c r="P49" s="46">
        <f ca="1">O49/SUM(O:O)</f>
        <v>6.7500000000000004E-4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input_362010!A$2</f>
        <v>362010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IFERROR(VLOOKUP(B50,input_362010!L:R,7,FALSE),VLOOKUP(tables_362010!C50,input_362010!A:H,8,FALSE))</f>
        <v>24</v>
      </c>
      <c r="P50" s="46">
        <f ca="1">O50/SUM(O:O)</f>
        <v>7.4999999999999993E-5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input_362010!A$2</f>
        <v>362010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IFERROR(VLOOKUP(B51,input_362010!L:R,7,FALSE),VLOOKUP(tables_362010!C51,input_362010!A:H,8,FALSE))</f>
        <v>1860</v>
      </c>
      <c r="P51" s="46">
        <f ca="1">O51/SUM(O:O)</f>
        <v>5.8125E-3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input_362010!A$2</f>
        <v>362010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IFERROR(VLOOKUP(B52,input_362010!L:R,7,FALSE),VLOOKUP(tables_362010!C52,input_362010!A:H,8,FALSE))</f>
        <v>1674</v>
      </c>
      <c r="P52" s="46">
        <f ca="1">O52/SUM(O:O)</f>
        <v>5.2312499999999998E-3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input_362010!A$2</f>
        <v>362010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IFERROR(VLOOKUP(B53,input_362010!L:R,7,FALSE),VLOOKUP(tables_362010!C53,input_362010!A:H,8,FALSE))</f>
        <v>186</v>
      </c>
      <c r="P53" s="46">
        <f ca="1">O53/SUM(O:O)</f>
        <v>5.8124999999999995E-4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input_362010!A$2</f>
        <v>362010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IFERROR(VLOOKUP(B54,input_362010!L:R,7,FALSE),VLOOKUP(tables_362010!C54,input_362010!A:H,8,FALSE))</f>
        <v>1860</v>
      </c>
      <c r="P54" s="46">
        <f ca="1">O54/SUM(O:O)</f>
        <v>5.8125E-3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input_362010!A$2</f>
        <v>362010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IFERROR(VLOOKUP(B55,input_362010!L:R,7,FALSE),VLOOKUP(tables_362010!C55,input_362010!A:H,8,FALSE))</f>
        <v>1674</v>
      </c>
      <c r="P55" s="46">
        <f ca="1">O55/SUM(O:O)</f>
        <v>5.2312499999999998E-3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input_362010!A$2</f>
        <v>362010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IFERROR(VLOOKUP(B56,input_362010!L:R,7,FALSE),VLOOKUP(tables_362010!C56,input_362010!A:H,8,FALSE))</f>
        <v>186</v>
      </c>
      <c r="P56" s="46">
        <f ca="1">O56/SUM(O:O)</f>
        <v>5.8124999999999995E-4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input_362010!A$2</f>
        <v>362010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IFERROR(VLOOKUP(B57,input_362010!L:R,7,FALSE),VLOOKUP(tables_362010!C57,input_362010!A:H,8,FALSE))</f>
        <v>1860</v>
      </c>
      <c r="P57" s="46">
        <f ca="1">O57/SUM(O:O)</f>
        <v>5.8125E-3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input_362010!A$2</f>
        <v>362010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IFERROR(VLOOKUP(B58,input_362010!L:R,7,FALSE),VLOOKUP(tables_362010!C58,input_362010!A:H,8,FALSE))</f>
        <v>1674</v>
      </c>
      <c r="P58" s="46">
        <f ca="1">O58/SUM(O:O)</f>
        <v>5.2312499999999998E-3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input_362010!A$2</f>
        <v>362010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IFERROR(VLOOKUP(B59,input_362010!L:R,7,FALSE),VLOOKUP(tables_362010!C59,input_362010!A:H,8,FALSE))</f>
        <v>186</v>
      </c>
      <c r="P59" s="46">
        <f ca="1">O59/SUM(O:O)</f>
        <v>5.8124999999999995E-4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input_362010!A$2</f>
        <v>362010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IFERROR(VLOOKUP(B60,input_362010!L:R,7,FALSE),VLOOKUP(tables_362010!C60,input_362010!A:H,8,FALSE))</f>
        <v>1860</v>
      </c>
      <c r="P60" s="46">
        <f ca="1">O60/SUM(O:O)</f>
        <v>5.8125E-3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input_362010!A$2</f>
        <v>362010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IFERROR(VLOOKUP(B61,input_362010!L:R,7,FALSE),VLOOKUP(tables_362010!C61,input_362010!A:H,8,FALSE))</f>
        <v>1674</v>
      </c>
      <c r="P61" s="46">
        <f ca="1">O61/SUM(O:O)</f>
        <v>5.2312499999999998E-3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input_362010!A$2</f>
        <v>362010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IFERROR(VLOOKUP(B62,input_362010!L:R,7,FALSE),VLOOKUP(tables_362010!C62,input_362010!A:H,8,FALSE))</f>
        <v>186</v>
      </c>
      <c r="P62" s="46">
        <f ca="1">O62/SUM(O:O)</f>
        <v>5.8124999999999995E-4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input_362010!A$2</f>
        <v>362010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IFERROR(VLOOKUP(B63,input_362010!L:R,7,FALSE),VLOOKUP(tables_362010!C63,input_362010!A:H,8,FALSE))</f>
        <v>1860</v>
      </c>
      <c r="P63" s="46">
        <f ca="1">O63/SUM(O:O)</f>
        <v>5.8125E-3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input_362010!A$2</f>
        <v>362010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IFERROR(VLOOKUP(B64,input_362010!L:R,7,FALSE),VLOOKUP(tables_362010!C64,input_362010!A:H,8,FALSE))</f>
        <v>1674</v>
      </c>
      <c r="P64" s="46">
        <f ca="1">O64/SUM(O:O)</f>
        <v>5.2312499999999998E-3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input_362010!A$2</f>
        <v>362010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IFERROR(VLOOKUP(B65,input_362010!L:R,7,FALSE),VLOOKUP(tables_362010!C65,input_362010!A:H,8,FALSE))</f>
        <v>186</v>
      </c>
      <c r="P65" s="46">
        <f ca="1">O65/SUM(O:O)</f>
        <v>5.8124999999999995E-4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input_362010!A$2</f>
        <v>362010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IFERROR(VLOOKUP(B66,input_362010!L:R,7,FALSE),VLOOKUP(tables_362010!C66,input_362010!A:H,8,FALSE))</f>
        <v>1860</v>
      </c>
      <c r="P66" s="46">
        <f ca="1">O66/SUM(O:O)</f>
        <v>5.8125E-3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input_362010!A$2</f>
        <v>362010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IFERROR(VLOOKUP(B67,input_362010!L:R,7,FALSE),VLOOKUP(tables_362010!C67,input_362010!A:H,8,FALSE))</f>
        <v>1674</v>
      </c>
      <c r="P67" s="46">
        <f ca="1">O67/SUM(O:O)</f>
        <v>5.2312499999999998E-3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input_362010!A$2</f>
        <v>362010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IFERROR(VLOOKUP(B68,input_362010!L:R,7,FALSE),VLOOKUP(tables_362010!C68,input_362010!A:H,8,FALSE))</f>
        <v>186</v>
      </c>
      <c r="P68" s="46">
        <f ca="1">O68/SUM(O:O)</f>
        <v>5.8124999999999995E-4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input_362010!A$2</f>
        <v>362010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IFERROR(VLOOKUP(B69,input_362010!L:R,7,FALSE),VLOOKUP(tables_362010!C69,input_362010!A:H,8,FALSE))</f>
        <v>1860</v>
      </c>
      <c r="P69" s="46">
        <f ca="1">O69/SUM(O:O)</f>
        <v>5.8125E-3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input_362010!A$2</f>
        <v>362010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IFERROR(VLOOKUP(B70,input_362010!L:R,7,FALSE),VLOOKUP(tables_362010!C70,input_362010!A:H,8,FALSE))</f>
        <v>1674</v>
      </c>
      <c r="P70" s="46">
        <f ca="1">O70/SUM(O:O)</f>
        <v>5.2312499999999998E-3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input_362010!A$2</f>
        <v>362010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IFERROR(VLOOKUP(B71,input_362010!L:R,7,FALSE),VLOOKUP(tables_362010!C71,input_362010!A:H,8,FALSE))</f>
        <v>186</v>
      </c>
      <c r="P71" s="46">
        <f ca="1">O71/SUM(O:O)</f>
        <v>5.8124999999999995E-4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input_362010!A$2</f>
        <v>362010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IFERROR(VLOOKUP(B72,input_362010!L:R,7,FALSE),VLOOKUP(tables_362010!C72,input_362010!A:H,8,FALSE))</f>
        <v>1860</v>
      </c>
      <c r="P72" s="46">
        <f ca="1">O72/SUM(O:O)</f>
        <v>5.8125E-3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input_362010!A$2</f>
        <v>362010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IFERROR(VLOOKUP(B73,input_362010!L:R,7,FALSE),VLOOKUP(tables_362010!C73,input_362010!A:H,8,FALSE))</f>
        <v>1674</v>
      </c>
      <c r="P73" s="46">
        <f ca="1">O73/SUM(O:O)</f>
        <v>5.2312499999999998E-3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input_362010!A$2</f>
        <v>362010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IFERROR(VLOOKUP(B74,input_362010!L:R,7,FALSE),VLOOKUP(tables_362010!C74,input_362010!A:H,8,FALSE))</f>
        <v>186</v>
      </c>
      <c r="P74" s="46">
        <f ca="1">O74/SUM(O:O)</f>
        <v>5.8124999999999995E-4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input_362010!A$2</f>
        <v>362010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IFERROR(VLOOKUP(B75,input_362010!L:R,7,FALSE),VLOOKUP(tables_362010!C75,input_362010!A:H,8,FALSE))</f>
        <v>1860</v>
      </c>
      <c r="P75" s="46">
        <f ca="1">O75/SUM(O:O)</f>
        <v>5.8125E-3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input_362010!A$2</f>
        <v>362010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IFERROR(VLOOKUP(B76,input_362010!L:R,7,FALSE),VLOOKUP(tables_362010!C76,input_362010!A:H,8,FALSE))</f>
        <v>1674</v>
      </c>
      <c r="P76" s="46">
        <f ca="1">O76/SUM(O:O)</f>
        <v>5.2312499999999998E-3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input_362010!A$2</f>
        <v>362010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IFERROR(VLOOKUP(B77,input_362010!L:R,7,FALSE),VLOOKUP(tables_362010!C77,input_362010!A:H,8,FALSE))</f>
        <v>186</v>
      </c>
      <c r="P77" s="46">
        <f ca="1">O77/SUM(O:O)</f>
        <v>5.8124999999999995E-4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input_362010!A$2</f>
        <v>362010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IFERROR(VLOOKUP(B78,input_362010!L:R,7,FALSE),VLOOKUP(tables_362010!C78,input_362010!A:H,8,FALSE))</f>
        <v>1860</v>
      </c>
      <c r="P78" s="46">
        <f ca="1">O78/SUM(O:O)</f>
        <v>5.8125E-3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input_362010!A$2</f>
        <v>362010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IFERROR(VLOOKUP(B79,input_362010!L:R,7,FALSE),VLOOKUP(tables_362010!C79,input_362010!A:H,8,FALSE))</f>
        <v>1674</v>
      </c>
      <c r="P79" s="46">
        <f ca="1">O79/SUM(O:O)</f>
        <v>5.2312499999999998E-3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input_362010!A$2</f>
        <v>362010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IFERROR(VLOOKUP(B80,input_362010!L:R,7,FALSE),VLOOKUP(tables_362010!C80,input_362010!A:H,8,FALSE))</f>
        <v>186</v>
      </c>
      <c r="P80" s="46">
        <f ca="1">O80/SUM(O:O)</f>
        <v>5.8124999999999995E-4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input_362010!A$2</f>
        <v>362010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IFERROR(VLOOKUP(B81,input_362010!L:R,7,FALSE),VLOOKUP(tables_362010!C81,input_362010!A:H,8,FALSE))</f>
        <v>1860</v>
      </c>
      <c r="P81" s="46">
        <f ca="1">O81/SUM(O:O)</f>
        <v>5.8125E-3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input_362010!A$2</f>
        <v>362010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IFERROR(VLOOKUP(B82,input_362010!L:R,7,FALSE),VLOOKUP(tables_362010!C82,input_362010!A:H,8,FALSE))</f>
        <v>1674</v>
      </c>
      <c r="P82" s="46">
        <f ca="1">O82/SUM(O:O)</f>
        <v>5.2312499999999998E-3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input_362010!A$2</f>
        <v>362010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IFERROR(VLOOKUP(B83,input_362010!L:R,7,FALSE),VLOOKUP(tables_362010!C83,input_362010!A:H,8,FALSE))</f>
        <v>186</v>
      </c>
      <c r="P83" s="46">
        <f ca="1">O83/SUM(O:O)</f>
        <v>5.8124999999999995E-4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input_362010!A$2</f>
        <v>362010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IFERROR(VLOOKUP(B84,input_362010!L:R,7,FALSE),VLOOKUP(tables_362010!C84,input_362010!A:H,8,FALSE))</f>
        <v>1860</v>
      </c>
      <c r="P84" s="46">
        <f ca="1">O84/SUM(O:O)</f>
        <v>5.8125E-3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input_362010!A$2</f>
        <v>362010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IFERROR(VLOOKUP(B85,input_362010!L:R,7,FALSE),VLOOKUP(tables_362010!C85,input_362010!A:H,8,FALSE))</f>
        <v>1674</v>
      </c>
      <c r="P85" s="46">
        <f ca="1">O85/SUM(O:O)</f>
        <v>5.2312499999999998E-3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input_362010!A$2</f>
        <v>362010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IFERROR(VLOOKUP(B86,input_362010!L:R,7,FALSE),VLOOKUP(tables_362010!C86,input_362010!A:H,8,FALSE))</f>
        <v>186</v>
      </c>
      <c r="P86" s="46">
        <f ca="1">O86/SUM(O:O)</f>
        <v>5.8124999999999995E-4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input_362010!A$2</f>
        <v>362010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IFERROR(VLOOKUP(B87,input_362010!L:R,7,FALSE),VLOOKUP(tables_362010!C87,input_362010!A:H,8,FALSE))</f>
        <v>1860</v>
      </c>
      <c r="P87" s="46">
        <f ca="1">O87/SUM(O:O)</f>
        <v>5.8125E-3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input_362010!A$2</f>
        <v>362010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IFERROR(VLOOKUP(B88,input_362010!L:R,7,FALSE),VLOOKUP(tables_362010!C88,input_362010!A:H,8,FALSE))</f>
        <v>1674</v>
      </c>
      <c r="P88" s="46">
        <f ca="1">O88/SUM(O:O)</f>
        <v>5.2312499999999998E-3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input_362010!A$2</f>
        <v>362010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IFERROR(VLOOKUP(B89,input_362010!L:R,7,FALSE),VLOOKUP(tables_362010!C89,input_362010!A:H,8,FALSE))</f>
        <v>186</v>
      </c>
      <c r="P89" s="46">
        <f ca="1">O89/SUM(O:O)</f>
        <v>5.8124999999999995E-4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input_362010!A$2</f>
        <v>362010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IFERROR(VLOOKUP(B90,input_362010!L:R,7,FALSE),VLOOKUP(tables_362010!C90,input_362010!A:H,8,FALSE))</f>
        <v>1860</v>
      </c>
      <c r="P90" s="46">
        <f ca="1">O90/SUM(O:O)</f>
        <v>5.8125E-3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input_362010!A$2</f>
        <v>362010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IFERROR(VLOOKUP(B91,input_362010!L:R,7,FALSE),VLOOKUP(tables_362010!C91,input_362010!A:H,8,FALSE))</f>
        <v>1674</v>
      </c>
      <c r="P91" s="46">
        <f ca="1">O91/SUM(O:O)</f>
        <v>5.2312499999999998E-3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input_362010!A$2</f>
        <v>362010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IFERROR(VLOOKUP(B92,input_362010!L:R,7,FALSE),VLOOKUP(tables_362010!C92,input_362010!A:H,8,FALSE))</f>
        <v>186</v>
      </c>
      <c r="P92" s="46">
        <f ca="1">O92/SUM(O:O)</f>
        <v>5.8124999999999995E-4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input_362010!A$2</f>
        <v>362010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IFERROR(VLOOKUP(B93,input_362010!L:R,7,FALSE),VLOOKUP(tables_362010!C93,input_362010!A:H,8,FALSE))</f>
        <v>1860</v>
      </c>
      <c r="P93" s="46">
        <f ca="1">O93/SUM(O:O)</f>
        <v>5.8125E-3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input_362010!A$2</f>
        <v>362010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IFERROR(VLOOKUP(B94,input_362010!L:R,7,FALSE),VLOOKUP(tables_362010!C94,input_362010!A:H,8,FALSE))</f>
        <v>1674</v>
      </c>
      <c r="P94" s="46">
        <f ca="1">O94/SUM(O:O)</f>
        <v>5.2312499999999998E-3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input_362010!A$2</f>
        <v>362010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IFERROR(VLOOKUP(B95,input_362010!L:R,7,FALSE),VLOOKUP(tables_362010!C95,input_362010!A:H,8,FALSE))</f>
        <v>186</v>
      </c>
      <c r="P95" s="46">
        <f ca="1">O95/SUM(O:O)</f>
        <v>5.8124999999999995E-4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input_362010!A$2</f>
        <v>362010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IFERROR(VLOOKUP(B96,input_362010!L:R,7,FALSE),VLOOKUP(tables_362010!C96,input_362010!A:H,8,FALSE))</f>
        <v>1860</v>
      </c>
      <c r="P96" s="46">
        <f ca="1">O96/SUM(O:O)</f>
        <v>5.8125E-3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input_362010!A$2</f>
        <v>362010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IFERROR(VLOOKUP(B97,input_362010!L:R,7,FALSE),VLOOKUP(tables_362010!C97,input_362010!A:H,8,FALSE))</f>
        <v>1674</v>
      </c>
      <c r="P97" s="46">
        <f ca="1">O97/SUM(O:O)</f>
        <v>5.2312499999999998E-3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input_362010!A$2</f>
        <v>362010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IFERROR(VLOOKUP(B98,input_362010!L:R,7,FALSE),VLOOKUP(tables_362010!C98,input_362010!A:H,8,FALSE))</f>
        <v>186</v>
      </c>
      <c r="P98" s="46">
        <f ca="1">O98/SUM(O:O)</f>
        <v>5.8124999999999995E-4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input_362010!A$2</f>
        <v>362010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IFERROR(VLOOKUP(B99,input_362010!L:R,7,FALSE),VLOOKUP(tables_362010!C99,input_362010!A:H,8,FALSE))</f>
        <v>1860</v>
      </c>
      <c r="P99" s="46">
        <f ca="1">O99/SUM(O:O)</f>
        <v>5.8125E-3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input_362010!A$2</f>
        <v>362010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IFERROR(VLOOKUP(B100,input_362010!L:R,7,FALSE),VLOOKUP(tables_362010!C100,input_362010!A:H,8,FALSE))</f>
        <v>1674</v>
      </c>
      <c r="P100" s="46">
        <f ca="1">O100/SUM(O:O)</f>
        <v>5.2312499999999998E-3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input_362010!A$2</f>
        <v>362010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IFERROR(VLOOKUP(B101,input_362010!L:R,7,FALSE),VLOOKUP(tables_362010!C101,input_362010!A:H,8,FALSE))</f>
        <v>186</v>
      </c>
      <c r="P101" s="46">
        <f ca="1">O101/SUM(O:O)</f>
        <v>5.8124999999999995E-4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input_362010!A$2</f>
        <v>362010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IFERROR(VLOOKUP(B102,input_362010!L:R,7,FALSE),VLOOKUP(tables_362010!C102,input_362010!A:H,8,FALSE))</f>
        <v>1860</v>
      </c>
      <c r="P102" s="46">
        <f ca="1">O102/SUM(O:O)</f>
        <v>5.8125E-3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input_362010!A$2</f>
        <v>362010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IFERROR(VLOOKUP(B103,input_362010!L:R,7,FALSE),VLOOKUP(tables_362010!C103,input_362010!A:H,8,FALSE))</f>
        <v>1674</v>
      </c>
      <c r="P103" s="46">
        <f ca="1">O103/SUM(O:O)</f>
        <v>5.2312499999999998E-3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input_362010!A$2</f>
        <v>362010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IFERROR(VLOOKUP(B104,input_362010!L:R,7,FALSE),VLOOKUP(tables_362010!C104,input_362010!A:H,8,FALSE))</f>
        <v>186</v>
      </c>
      <c r="P104" s="46">
        <f ca="1">O104/SUM(O:O)</f>
        <v>5.8124999999999995E-4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input_362010!A$2</f>
        <v>362010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IFERROR(VLOOKUP(B105,input_362010!L:R,7,FALSE),VLOOKUP(tables_362010!C105,input_362010!A:H,8,FALSE))</f>
        <v>1860</v>
      </c>
      <c r="P105" s="46">
        <f ca="1">O105/SUM(O:O)</f>
        <v>5.8125E-3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input_362010!A$2</f>
        <v>362010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IFERROR(VLOOKUP(B106,input_362010!L:R,7,FALSE),VLOOKUP(tables_362010!C106,input_362010!A:H,8,FALSE))</f>
        <v>1674</v>
      </c>
      <c r="P106" s="46">
        <f ca="1">O106/SUM(O:O)</f>
        <v>5.2312499999999998E-3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input_362010!A$2</f>
        <v>362010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IFERROR(VLOOKUP(B107,input_362010!L:R,7,FALSE),VLOOKUP(tables_362010!C107,input_362010!A:H,8,FALSE))</f>
        <v>186</v>
      </c>
      <c r="P107" s="46">
        <f ca="1">O107/SUM(O:O)</f>
        <v>5.8124999999999995E-4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input_362010!A$2</f>
        <v>362010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IFERROR(VLOOKUP(B108,input_362010!L:R,7,FALSE),VLOOKUP(tables_362010!C108,input_362010!A:H,8,FALSE))</f>
        <v>1860</v>
      </c>
      <c r="P108" s="46">
        <f ca="1">O108/SUM(O:O)</f>
        <v>5.8125E-3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input_362010!A$2</f>
        <v>362010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IFERROR(VLOOKUP(B109,input_362010!L:R,7,FALSE),VLOOKUP(tables_362010!C109,input_362010!A:H,8,FALSE))</f>
        <v>1674</v>
      </c>
      <c r="P109" s="46">
        <f ca="1">O109/SUM(O:O)</f>
        <v>5.2312499999999998E-3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input_362010!A$2</f>
        <v>362010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IFERROR(VLOOKUP(B110,input_362010!L:R,7,FALSE),VLOOKUP(tables_362010!C110,input_362010!A:H,8,FALSE))</f>
        <v>186</v>
      </c>
      <c r="P110" s="46">
        <f ca="1">O110/SUM(O:O)</f>
        <v>5.8124999999999995E-4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input_362010!A$2</f>
        <v>362010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IFERROR(VLOOKUP(B111,input_362010!L:R,7,FALSE),VLOOKUP(tables_362010!C111,input_362010!A:H,8,FALSE))</f>
        <v>240</v>
      </c>
      <c r="P111" s="46">
        <f ca="1">O111/SUM(O:O)</f>
        <v>7.5000000000000002E-4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input_362010!A$2</f>
        <v>362010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IFERROR(VLOOKUP(B112,input_362010!L:R,7,FALSE),VLOOKUP(tables_362010!C112,input_362010!A:H,8,FALSE))</f>
        <v>216</v>
      </c>
      <c r="P112" s="46">
        <f ca="1">O112/SUM(O:O)</f>
        <v>6.7500000000000004E-4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input_362010!A$2</f>
        <v>362010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IFERROR(VLOOKUP(B113,input_362010!L:R,7,FALSE),VLOOKUP(tables_362010!C113,input_362010!A:H,8,FALSE))</f>
        <v>24</v>
      </c>
      <c r="P113" s="46">
        <f ca="1">O113/SUM(O:O)</f>
        <v>7.4999999999999993E-5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input_362010!A$2</f>
        <v>362010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IFERROR(VLOOKUP(B114,input_362010!L:R,7,FALSE),VLOOKUP(tables_362010!C114,input_362010!A:H,8,FALSE))</f>
        <v>1860</v>
      </c>
      <c r="P114" s="46">
        <f ca="1">O114/SUM(O:O)</f>
        <v>5.8125E-3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input_362010!A$2</f>
        <v>362010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IFERROR(VLOOKUP(B115,input_362010!L:R,7,FALSE),VLOOKUP(tables_362010!C115,input_362010!A:H,8,FALSE))</f>
        <v>1674</v>
      </c>
      <c r="P115" s="46">
        <f ca="1">O115/SUM(O:O)</f>
        <v>5.2312499999999998E-3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input_362010!A$2</f>
        <v>362010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IFERROR(VLOOKUP(B116,input_362010!L:R,7,FALSE),VLOOKUP(tables_362010!C116,input_362010!A:H,8,FALSE))</f>
        <v>186</v>
      </c>
      <c r="P116" s="46">
        <f ca="1">O116/SUM(O:O)</f>
        <v>5.8124999999999995E-4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input_362010!A$2</f>
        <v>362010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IFERROR(VLOOKUP(B117,input_362010!L:R,7,FALSE),VLOOKUP(tables_362010!C117,input_362010!A:H,8,FALSE))</f>
        <v>1860</v>
      </c>
      <c r="P117" s="46">
        <f ca="1">O117/SUM(O:O)</f>
        <v>5.8125E-3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input_362010!A$2</f>
        <v>362010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IFERROR(VLOOKUP(B118,input_362010!L:R,7,FALSE),VLOOKUP(tables_362010!C118,input_362010!A:H,8,FALSE))</f>
        <v>1674</v>
      </c>
      <c r="P118" s="46">
        <f ca="1">O118/SUM(O:O)</f>
        <v>5.2312499999999998E-3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input_362010!A$2</f>
        <v>362010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IFERROR(VLOOKUP(B119,input_362010!L:R,7,FALSE),VLOOKUP(tables_362010!C119,input_362010!A:H,8,FALSE))</f>
        <v>186</v>
      </c>
      <c r="P119" s="46">
        <f ca="1">O119/SUM(O:O)</f>
        <v>5.8124999999999995E-4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input_362010!A$2</f>
        <v>362010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IFERROR(VLOOKUP(B120,input_362010!L:R,7,FALSE),VLOOKUP(tables_362010!C120,input_362010!A:H,8,FALSE))</f>
        <v>1860</v>
      </c>
      <c r="P120" s="46">
        <f ca="1">O120/SUM(O:O)</f>
        <v>5.8125E-3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input_362010!A$2</f>
        <v>362010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IFERROR(VLOOKUP(B121,input_362010!L:R,7,FALSE),VLOOKUP(tables_362010!C121,input_362010!A:H,8,FALSE))</f>
        <v>1674</v>
      </c>
      <c r="P121" s="46">
        <f ca="1">O121/SUM(O:O)</f>
        <v>5.2312499999999998E-3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input_362010!A$2</f>
        <v>362010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IFERROR(VLOOKUP(B122,input_362010!L:R,7,FALSE),VLOOKUP(tables_362010!C122,input_362010!A:H,8,FALSE))</f>
        <v>186</v>
      </c>
      <c r="P122" s="46">
        <f ca="1">O122/SUM(O:O)</f>
        <v>5.8124999999999995E-4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input_362010!A$2</f>
        <v>362010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IFERROR(VLOOKUP(B123,input_362010!L:R,7,FALSE),VLOOKUP(tables_362010!C123,input_362010!A:H,8,FALSE))</f>
        <v>1860</v>
      </c>
      <c r="P123" s="46">
        <f ca="1">O123/SUM(O:O)</f>
        <v>5.8125E-3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input_362010!A$2</f>
        <v>362010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IFERROR(VLOOKUP(B124,input_362010!L:R,7,FALSE),VLOOKUP(tables_362010!C124,input_362010!A:H,8,FALSE))</f>
        <v>1674</v>
      </c>
      <c r="P124" s="46">
        <f ca="1">O124/SUM(O:O)</f>
        <v>5.2312499999999998E-3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input_362010!A$2</f>
        <v>362010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IFERROR(VLOOKUP(B125,input_362010!L:R,7,FALSE),VLOOKUP(tables_362010!C125,input_362010!A:H,8,FALSE))</f>
        <v>186</v>
      </c>
      <c r="P125" s="46">
        <f ca="1">O125/SUM(O:O)</f>
        <v>5.8124999999999995E-4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input_362010!A$2</f>
        <v>362010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IFERROR(VLOOKUP(B126,input_362010!L:R,7,FALSE),VLOOKUP(tables_362010!C126,input_362010!A:H,8,FALSE))</f>
        <v>1860</v>
      </c>
      <c r="P126" s="46">
        <f ca="1">O126/SUM(O:O)</f>
        <v>5.8125E-3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input_362010!A$2</f>
        <v>362010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IFERROR(VLOOKUP(B127,input_362010!L:R,7,FALSE),VLOOKUP(tables_362010!C127,input_362010!A:H,8,FALSE))</f>
        <v>1674</v>
      </c>
      <c r="P127" s="46">
        <f ca="1">O127/SUM(O:O)</f>
        <v>5.2312499999999998E-3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input_362010!A$2</f>
        <v>362010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IFERROR(VLOOKUP(B128,input_362010!L:R,7,FALSE),VLOOKUP(tables_362010!C128,input_362010!A:H,8,FALSE))</f>
        <v>186</v>
      </c>
      <c r="P128" s="46">
        <f ca="1">O128/SUM(O:O)</f>
        <v>5.8124999999999995E-4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input_362010!A$2</f>
        <v>362010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IFERROR(VLOOKUP(B129,input_362010!L:R,7,FALSE),VLOOKUP(tables_362010!C129,input_362010!A:H,8,FALSE))</f>
        <v>1860</v>
      </c>
      <c r="P129" s="46">
        <f ca="1">O129/SUM(O:O)</f>
        <v>5.8125E-3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input_362010!A$2</f>
        <v>362010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IFERROR(VLOOKUP(B130,input_362010!L:R,7,FALSE),VLOOKUP(tables_362010!C130,input_362010!A:H,8,FALSE))</f>
        <v>1674</v>
      </c>
      <c r="P130" s="46">
        <f ca="1">O130/SUM(O:O)</f>
        <v>5.2312499999999998E-3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input_362010!A$2</f>
        <v>362010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IFERROR(VLOOKUP(B131,input_362010!L:R,7,FALSE),VLOOKUP(tables_362010!C131,input_362010!A:H,8,FALSE))</f>
        <v>186</v>
      </c>
      <c r="P131" s="46">
        <f ca="1">O131/SUM(O:O)</f>
        <v>5.8124999999999995E-4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input_362010!A$2</f>
        <v>362010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IFERROR(VLOOKUP(B132,input_362010!L:R,7,FALSE),VLOOKUP(tables_362010!C132,input_362010!A:H,8,FALSE))</f>
        <v>1860</v>
      </c>
      <c r="P132" s="46">
        <f ca="1">O132/SUM(O:O)</f>
        <v>5.8125E-3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input_362010!A$2</f>
        <v>362010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IFERROR(VLOOKUP(B133,input_362010!L:R,7,FALSE),VLOOKUP(tables_362010!C133,input_362010!A:H,8,FALSE))</f>
        <v>1674</v>
      </c>
      <c r="P133" s="46">
        <f ca="1">O133/SUM(O:O)</f>
        <v>5.2312499999999998E-3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input_362010!A$2</f>
        <v>362010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IFERROR(VLOOKUP(B134,input_362010!L:R,7,FALSE),VLOOKUP(tables_362010!C134,input_362010!A:H,8,FALSE))</f>
        <v>186</v>
      </c>
      <c r="P134" s="46">
        <f ca="1">O134/SUM(O:O)</f>
        <v>5.8124999999999995E-4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input_362010!A$2</f>
        <v>362010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IFERROR(VLOOKUP(B135,input_362010!L:R,7,FALSE),VLOOKUP(tables_362010!C135,input_362010!A:H,8,FALSE))</f>
        <v>1860</v>
      </c>
      <c r="P135" s="46">
        <f ca="1">O135/SUM(O:O)</f>
        <v>5.8125E-3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input_362010!A$2</f>
        <v>362010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IFERROR(VLOOKUP(B136,input_362010!L:R,7,FALSE),VLOOKUP(tables_362010!C136,input_362010!A:H,8,FALSE))</f>
        <v>1674</v>
      </c>
      <c r="P136" s="46">
        <f ca="1">O136/SUM(O:O)</f>
        <v>5.2312499999999998E-3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input_362010!A$2</f>
        <v>362010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IFERROR(VLOOKUP(B137,input_362010!L:R,7,FALSE),VLOOKUP(tables_362010!C137,input_362010!A:H,8,FALSE))</f>
        <v>186</v>
      </c>
      <c r="P137" s="46">
        <f ca="1">O137/SUM(O:O)</f>
        <v>5.8124999999999995E-4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input_362010!A$2</f>
        <v>362010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IFERROR(VLOOKUP(B138,input_362010!L:R,7,FALSE),VLOOKUP(tables_362010!C138,input_362010!A:H,8,FALSE))</f>
        <v>456</v>
      </c>
      <c r="P138" s="46">
        <f ca="1">O138/SUM(O:O)</f>
        <v>1.4250000000000001E-3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input_362010!A$2</f>
        <v>362010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IFERROR(VLOOKUP(B139,input_362010!L:R,7,FALSE),VLOOKUP(tables_362010!C139,input_362010!A:H,8,FALSE))</f>
        <v>24</v>
      </c>
      <c r="P139" s="46">
        <f ca="1">O139/SUM(O:O)</f>
        <v>7.4999999999999993E-5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input_362010!A$2</f>
        <v>362010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IFERROR(VLOOKUP(B140,input_362010!L:R,7,FALSE),VLOOKUP(tables_362010!C140,input_362010!A:H,8,FALSE))</f>
        <v>456</v>
      </c>
      <c r="P140" s="46">
        <f ca="1">O140/SUM(O:O)</f>
        <v>1.4250000000000001E-3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input_362010!A$2</f>
        <v>362010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IFERROR(VLOOKUP(B141,input_362010!L:R,7,FALSE),VLOOKUP(tables_362010!C141,input_362010!A:H,8,FALSE))</f>
        <v>24</v>
      </c>
      <c r="P141" s="46">
        <f ca="1">O141/SUM(O:O)</f>
        <v>7.4999999999999993E-5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input_362010!A$2</f>
        <v>362010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IFERROR(VLOOKUP(B142,input_362010!L:R,7,FALSE),VLOOKUP(tables_362010!C142,input_362010!A:H,8,FALSE))</f>
        <v>456</v>
      </c>
      <c r="P142" s="46">
        <f ca="1">O142/SUM(O:O)</f>
        <v>1.4250000000000001E-3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input_362010!A$2</f>
        <v>362010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IFERROR(VLOOKUP(B143,input_362010!L:R,7,FALSE),VLOOKUP(tables_362010!C143,input_362010!A:H,8,FALSE))</f>
        <v>24</v>
      </c>
      <c r="P143" s="46">
        <f ca="1">O143/SUM(O:O)</f>
        <v>7.4999999999999993E-5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input_362010!A$2</f>
        <v>362010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IFERROR(VLOOKUP(B144,input_362010!L:R,7,FALSE),VLOOKUP(tables_362010!C144,input_362010!A:H,8,FALSE))</f>
        <v>456</v>
      </c>
      <c r="P144" s="46">
        <f ca="1">O144/SUM(O:O)</f>
        <v>1.4250000000000001E-3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input_362010!A$2</f>
        <v>362010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IFERROR(VLOOKUP(B145,input_362010!L:R,7,FALSE),VLOOKUP(tables_362010!C145,input_362010!A:H,8,FALSE))</f>
        <v>24</v>
      </c>
      <c r="P145" s="46">
        <f ca="1">O145/SUM(O:O)</f>
        <v>7.4999999999999993E-5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input_362010!A$2</f>
        <v>362010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IFERROR(VLOOKUP(B146,input_362010!L:R,7,FALSE),VLOOKUP(tables_362010!C146,input_362010!A:H,8,FALSE))</f>
        <v>1860</v>
      </c>
      <c r="P146" s="46">
        <f ca="1">O146/SUM(O:O)</f>
        <v>5.8125E-3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input_362010!A$2</f>
        <v>362010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IFERROR(VLOOKUP(B147,input_362010!L:R,7,FALSE),VLOOKUP(tables_362010!C147,input_362010!A:H,8,FALSE))</f>
        <v>1674</v>
      </c>
      <c r="P147" s="46">
        <f ca="1">O147/SUM(O:O)</f>
        <v>5.2312499999999998E-3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input_362010!A$2</f>
        <v>362010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IFERROR(VLOOKUP(B148,input_362010!L:R,7,FALSE),VLOOKUP(tables_362010!C148,input_362010!A:H,8,FALSE))</f>
        <v>186</v>
      </c>
      <c r="P148" s="46">
        <f ca="1">O148/SUM(O:O)</f>
        <v>5.8124999999999995E-4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input_362010!A$2</f>
        <v>362010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IFERROR(VLOOKUP(B149,input_362010!L:R,7,FALSE),VLOOKUP(tables_362010!C149,input_362010!A:H,8,FALSE))</f>
        <v>456</v>
      </c>
      <c r="P149" s="46">
        <f ca="1">O149/SUM(O:O)</f>
        <v>1.4250000000000001E-3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input_362010!A$2</f>
        <v>362010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IFERROR(VLOOKUP(B150,input_362010!L:R,7,FALSE),VLOOKUP(tables_362010!C150,input_362010!A:H,8,FALSE))</f>
        <v>24</v>
      </c>
      <c r="P150" s="46">
        <f ca="1">O150/SUM(O:O)</f>
        <v>7.4999999999999993E-5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input_362010!A$2</f>
        <v>362010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IFERROR(VLOOKUP(B151,input_362010!L:R,7,FALSE),VLOOKUP(tables_362010!C151,input_362010!A:H,8,FALSE))</f>
        <v>456</v>
      </c>
      <c r="P151" s="46">
        <f ca="1">O151/SUM(O:O)</f>
        <v>1.4250000000000001E-3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input_362010!A$2</f>
        <v>362010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IFERROR(VLOOKUP(B152,input_362010!L:R,7,FALSE),VLOOKUP(tables_362010!C152,input_362010!A:H,8,FALSE))</f>
        <v>24</v>
      </c>
      <c r="P152" s="46">
        <f ca="1">O152/SUM(O:O)</f>
        <v>7.4999999999999993E-5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input_362010!A$2</f>
        <v>362010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IFERROR(VLOOKUP(B153,input_362010!L:R,7,FALSE),VLOOKUP(tables_362010!C153,input_362010!A:H,8,FALSE))</f>
        <v>1860</v>
      </c>
      <c r="P153" s="46">
        <f ca="1">O153/SUM(O:O)</f>
        <v>5.8125E-3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input_362010!A$2</f>
        <v>362010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IFERROR(VLOOKUP(B154,input_362010!L:R,7,FALSE),VLOOKUP(tables_362010!C154,input_362010!A:H,8,FALSE))</f>
        <v>1674</v>
      </c>
      <c r="P154" s="46">
        <f ca="1">O154/SUM(O:O)</f>
        <v>5.2312499999999998E-3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input_362010!A$2</f>
        <v>362010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IFERROR(VLOOKUP(B155,input_362010!L:R,7,FALSE),VLOOKUP(tables_362010!C155,input_362010!A:H,8,FALSE))</f>
        <v>186</v>
      </c>
      <c r="P155" s="46">
        <f ca="1">O155/SUM(O:O)</f>
        <v>5.8124999999999995E-4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input_362010!A$2</f>
        <v>362010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IFERROR(VLOOKUP(B156,input_362010!L:R,7,FALSE),VLOOKUP(tables_362010!C156,input_362010!A:H,8,FALSE))</f>
        <v>456</v>
      </c>
      <c r="P156" s="46">
        <f ca="1">O156/SUM(O:O)</f>
        <v>1.4250000000000001E-3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input_362010!A$2</f>
        <v>362010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IFERROR(VLOOKUP(B157,input_362010!L:R,7,FALSE),VLOOKUP(tables_362010!C157,input_362010!A:H,8,FALSE))</f>
        <v>24</v>
      </c>
      <c r="P157" s="46">
        <f ca="1">O157/SUM(O:O)</f>
        <v>7.4999999999999993E-5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input_362010!A$2</f>
        <v>362010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IFERROR(VLOOKUP(B158,input_362010!L:R,7,FALSE),VLOOKUP(tables_362010!C158,input_362010!A:H,8,FALSE))</f>
        <v>1860</v>
      </c>
      <c r="P158" s="46">
        <f ca="1">O158/SUM(O:O)</f>
        <v>5.8125E-3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input_362010!A$2</f>
        <v>362010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IFERROR(VLOOKUP(B159,input_362010!L:R,7,FALSE),VLOOKUP(tables_362010!C159,input_362010!A:H,8,FALSE))</f>
        <v>1674</v>
      </c>
      <c r="P159" s="46">
        <f ca="1">O159/SUM(O:O)</f>
        <v>5.2312499999999998E-3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input_362010!A$2</f>
        <v>362010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IFERROR(VLOOKUP(B160,input_362010!L:R,7,FALSE),VLOOKUP(tables_362010!C160,input_362010!A:H,8,FALSE))</f>
        <v>186</v>
      </c>
      <c r="P160" s="46">
        <f ca="1">O160/SUM(O:O)</f>
        <v>5.8124999999999995E-4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input_362010!A$2</f>
        <v>362010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IFERROR(VLOOKUP(B161,input_362010!L:R,7,FALSE),VLOOKUP(tables_362010!C161,input_362010!A:H,8,FALSE))</f>
        <v>1860</v>
      </c>
      <c r="P161" s="46">
        <f ca="1">O161/SUM(O:O)</f>
        <v>5.8125E-3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input_362010!A$2</f>
        <v>362010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IFERROR(VLOOKUP(B162,input_362010!L:R,7,FALSE),VLOOKUP(tables_362010!C162,input_362010!A:H,8,FALSE))</f>
        <v>1674</v>
      </c>
      <c r="P162" s="46">
        <f ca="1">O162/SUM(O:O)</f>
        <v>5.2312499999999998E-3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input_362010!A$2</f>
        <v>362010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IFERROR(VLOOKUP(B163,input_362010!L:R,7,FALSE),VLOOKUP(tables_362010!C163,input_362010!A:H,8,FALSE))</f>
        <v>186</v>
      </c>
      <c r="P163" s="46">
        <f ca="1">O163/SUM(O:O)</f>
        <v>5.8124999999999995E-4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input_362010!A$2</f>
        <v>362010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IFERROR(VLOOKUP(B164,input_362010!L:R,7,FALSE),VLOOKUP(tables_362010!C164,input_362010!A:H,8,FALSE))</f>
        <v>456</v>
      </c>
      <c r="P164" s="46">
        <f ca="1">O164/SUM(O:O)</f>
        <v>1.4250000000000001E-3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input_362010!A$2</f>
        <v>362010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IFERROR(VLOOKUP(B165,input_362010!L:R,7,FALSE),VLOOKUP(tables_362010!C165,input_362010!A:H,8,FALSE))</f>
        <v>24</v>
      </c>
      <c r="P165" s="46">
        <f ca="1">O165/SUM(O:O)</f>
        <v>7.4999999999999993E-5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input_362010!A$2</f>
        <v>362010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IFERROR(VLOOKUP(B166,input_362010!L:R,7,FALSE),VLOOKUP(tables_362010!C166,input_362010!A:H,8,FALSE))</f>
        <v>1860</v>
      </c>
      <c r="P166" s="46">
        <f ca="1">O166/SUM(O:O)</f>
        <v>5.8125E-3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input_362010!A$2</f>
        <v>362010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IFERROR(VLOOKUP(B167,input_362010!L:R,7,FALSE),VLOOKUP(tables_362010!C167,input_362010!A:H,8,FALSE))</f>
        <v>1674</v>
      </c>
      <c r="P167" s="46">
        <f ca="1">O167/SUM(O:O)</f>
        <v>5.2312499999999998E-3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input_362010!A$2</f>
        <v>362010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IFERROR(VLOOKUP(B168,input_362010!L:R,7,FALSE),VLOOKUP(tables_362010!C168,input_362010!A:H,8,FALSE))</f>
        <v>186</v>
      </c>
      <c r="P168" s="46">
        <f ca="1">O168/SUM(O:O)</f>
        <v>5.8124999999999995E-4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input_362010!A$2</f>
        <v>362010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IFERROR(VLOOKUP(B169,input_362010!L:R,7,FALSE),VLOOKUP(tables_362010!C169,input_362010!A:H,8,FALSE))</f>
        <v>456</v>
      </c>
      <c r="P169" s="46">
        <f ca="1">O169/SUM(O:O)</f>
        <v>1.4250000000000001E-3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input_362010!A$2</f>
        <v>362010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IFERROR(VLOOKUP(B170,input_362010!L:R,7,FALSE),VLOOKUP(tables_362010!C170,input_362010!A:H,8,FALSE))</f>
        <v>24</v>
      </c>
      <c r="P170" s="46">
        <f ca="1">O170/SUM(O:O)</f>
        <v>7.4999999999999993E-5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input_362010!A$2</f>
        <v>362010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IFERROR(VLOOKUP(B171,input_362010!L:R,7,FALSE),VLOOKUP(tables_362010!C171,input_362010!A:H,8,FALSE))</f>
        <v>1860</v>
      </c>
      <c r="P171" s="46">
        <f ca="1">O171/SUM(O:O)</f>
        <v>5.8125E-3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input_362010!A$2</f>
        <v>362010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IFERROR(VLOOKUP(B172,input_362010!L:R,7,FALSE),VLOOKUP(tables_362010!C172,input_362010!A:H,8,FALSE))</f>
        <v>1674</v>
      </c>
      <c r="P172" s="46">
        <f ca="1">O172/SUM(O:O)</f>
        <v>5.2312499999999998E-3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input_362010!A$2</f>
        <v>362010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IFERROR(VLOOKUP(B173,input_362010!L:R,7,FALSE),VLOOKUP(tables_362010!C173,input_362010!A:H,8,FALSE))</f>
        <v>186</v>
      </c>
      <c r="P173" s="46">
        <f ca="1">O173/SUM(O:O)</f>
        <v>5.8124999999999995E-4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input_362010!A$2</f>
        <v>362010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IFERROR(VLOOKUP(B174,input_362010!L:R,7,FALSE),VLOOKUP(tables_362010!C174,input_362010!A:H,8,FALSE))</f>
        <v>456</v>
      </c>
      <c r="P174" s="46">
        <f ca="1">O174/SUM(O:O)</f>
        <v>1.4250000000000001E-3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input_362010!A$2</f>
        <v>362010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IFERROR(VLOOKUP(B175,input_362010!L:R,7,FALSE),VLOOKUP(tables_362010!C175,input_362010!A:H,8,FALSE))</f>
        <v>24</v>
      </c>
      <c r="P175" s="46">
        <f ca="1">O175/SUM(O:O)</f>
        <v>7.4999999999999993E-5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input_362010!A$2</f>
        <v>362010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IFERROR(VLOOKUP(B176,input_362010!L:R,7,FALSE),VLOOKUP(tables_362010!C176,input_362010!A:H,8,FALSE))</f>
        <v>456</v>
      </c>
      <c r="P176" s="46">
        <f ca="1">O176/SUM(O:O)</f>
        <v>1.4250000000000001E-3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input_362010!A$2</f>
        <v>362010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IFERROR(VLOOKUP(B177,input_362010!L:R,7,FALSE),VLOOKUP(tables_362010!C177,input_362010!A:H,8,FALSE))</f>
        <v>24</v>
      </c>
      <c r="P177" s="46">
        <f ca="1">O177/SUM(O:O)</f>
        <v>7.4999999999999993E-5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input_362010!A$2</f>
        <v>362010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IFERROR(VLOOKUP(B178,input_362010!L:R,7,FALSE),VLOOKUP(tables_362010!C178,input_362010!A:H,8,FALSE))</f>
        <v>1860</v>
      </c>
      <c r="P178" s="46">
        <f ca="1">O178/SUM(O:O)</f>
        <v>5.8125E-3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input_362010!A$2</f>
        <v>362010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IFERROR(VLOOKUP(B179,input_362010!L:R,7,FALSE),VLOOKUP(tables_362010!C179,input_362010!A:H,8,FALSE))</f>
        <v>1674</v>
      </c>
      <c r="P179" s="46">
        <f ca="1">O179/SUM(O:O)</f>
        <v>5.2312499999999998E-3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input_362010!A$2</f>
        <v>362010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IFERROR(VLOOKUP(B180,input_362010!L:R,7,FALSE),VLOOKUP(tables_362010!C180,input_362010!A:H,8,FALSE))</f>
        <v>186</v>
      </c>
      <c r="P180" s="46">
        <f ca="1">O180/SUM(O:O)</f>
        <v>5.8124999999999995E-4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input_362010!A$2</f>
        <v>362010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IFERROR(VLOOKUP(B181,input_362010!L:R,7,FALSE),VLOOKUP(tables_362010!C181,input_362010!A:H,8,FALSE))</f>
        <v>1860</v>
      </c>
      <c r="P181" s="46">
        <f ca="1">O181/SUM(O:O)</f>
        <v>5.8125E-3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input_362010!A$2</f>
        <v>362010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IFERROR(VLOOKUP(B182,input_362010!L:R,7,FALSE),VLOOKUP(tables_362010!C182,input_362010!A:H,8,FALSE))</f>
        <v>1674</v>
      </c>
      <c r="P182" s="46">
        <f ca="1">O182/SUM(O:O)</f>
        <v>5.2312499999999998E-3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input_362010!A$2</f>
        <v>362010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IFERROR(VLOOKUP(B183,input_362010!L:R,7,FALSE),VLOOKUP(tables_362010!C183,input_362010!A:H,8,FALSE))</f>
        <v>186</v>
      </c>
      <c r="P183" s="46">
        <f ca="1">O183/SUM(O:O)</f>
        <v>5.8124999999999995E-4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input_362010!A$2</f>
        <v>362010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IFERROR(VLOOKUP(B184,input_362010!L:R,7,FALSE),VLOOKUP(tables_362010!C184,input_362010!A:H,8,FALSE))</f>
        <v>456</v>
      </c>
      <c r="P184" s="46">
        <f ca="1">O184/SUM(O:O)</f>
        <v>1.4250000000000001E-3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input_362010!A$2</f>
        <v>362010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IFERROR(VLOOKUP(B185,input_362010!L:R,7,FALSE),VLOOKUP(tables_362010!C185,input_362010!A:H,8,FALSE))</f>
        <v>24</v>
      </c>
      <c r="P185" s="46">
        <f ca="1">O185/SUM(O:O)</f>
        <v>7.4999999999999993E-5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input_362010!A$2</f>
        <v>362010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IFERROR(VLOOKUP(B186,input_362010!L:R,7,FALSE),VLOOKUP(tables_362010!C186,input_362010!A:H,8,FALSE))</f>
        <v>1860</v>
      </c>
      <c r="P186" s="46">
        <f ca="1">O186/SUM(O:O)</f>
        <v>5.8125E-3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input_362010!A$2</f>
        <v>362010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IFERROR(VLOOKUP(B187,input_362010!L:R,7,FALSE),VLOOKUP(tables_362010!C187,input_362010!A:H,8,FALSE))</f>
        <v>1674</v>
      </c>
      <c r="P187" s="46">
        <f ca="1">O187/SUM(O:O)</f>
        <v>5.2312499999999998E-3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input_362010!A$2</f>
        <v>362010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IFERROR(VLOOKUP(B188,input_362010!L:R,7,FALSE),VLOOKUP(tables_362010!C188,input_362010!A:H,8,FALSE))</f>
        <v>186</v>
      </c>
      <c r="P188" s="46">
        <f ca="1">O188/SUM(O:O)</f>
        <v>5.8124999999999995E-4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input_362010!A$2</f>
        <v>362010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IFERROR(VLOOKUP(B189,input_362010!L:R,7,FALSE),VLOOKUP(tables_362010!C189,input_362010!A:H,8,FALSE))</f>
        <v>456</v>
      </c>
      <c r="P189" s="46">
        <f ca="1">O189/SUM(O:O)</f>
        <v>1.4250000000000001E-3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input_362010!A$2</f>
        <v>362010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IFERROR(VLOOKUP(B190,input_362010!L:R,7,FALSE),VLOOKUP(tables_362010!C190,input_362010!A:H,8,FALSE))</f>
        <v>24</v>
      </c>
      <c r="P190" s="46">
        <f ca="1">O190/SUM(O:O)</f>
        <v>7.4999999999999993E-5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input_362010!A$2</f>
        <v>362010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IFERROR(VLOOKUP(B191,input_362010!L:R,7,FALSE),VLOOKUP(tables_362010!C191,input_362010!A:H,8,FALSE))</f>
        <v>456</v>
      </c>
      <c r="P191" s="46">
        <f ca="1">O191/SUM(O:O)</f>
        <v>1.4250000000000001E-3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input_362010!A$2</f>
        <v>362010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IFERROR(VLOOKUP(B192,input_362010!L:R,7,FALSE),VLOOKUP(tables_362010!C192,input_362010!A:H,8,FALSE))</f>
        <v>24</v>
      </c>
      <c r="P192" s="46">
        <f ca="1">O192/SUM(O:O)</f>
        <v>7.4999999999999993E-5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input_362010!A$2</f>
        <v>362010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IFERROR(VLOOKUP(B193,input_362010!L:R,7,FALSE),VLOOKUP(tables_362010!C193,input_362010!A:H,8,FALSE))</f>
        <v>1860</v>
      </c>
      <c r="P193" s="46">
        <f ca="1">O193/SUM(O:O)</f>
        <v>5.8125E-3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input_362010!A$2</f>
        <v>362010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IFERROR(VLOOKUP(B194,input_362010!L:R,7,FALSE),VLOOKUP(tables_362010!C194,input_362010!A:H,8,FALSE))</f>
        <v>1674</v>
      </c>
      <c r="P194" s="46">
        <f ca="1">O194/SUM(O:O)</f>
        <v>5.2312499999999998E-3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input_362010!A$2</f>
        <v>362010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IFERROR(VLOOKUP(B195,input_362010!L:R,7,FALSE),VLOOKUP(tables_362010!C195,input_362010!A:H,8,FALSE))</f>
        <v>186</v>
      </c>
      <c r="P195" s="46">
        <f ca="1">O195/SUM(O:O)</f>
        <v>5.8124999999999995E-4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input_362010!A$2</f>
        <v>362010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IFERROR(VLOOKUP(B196,input_362010!L:R,7,FALSE),VLOOKUP(tables_362010!C196,input_362010!A:H,8,FALSE))</f>
        <v>456</v>
      </c>
      <c r="P196" s="46">
        <f ca="1">O196/SUM(O:O)</f>
        <v>1.4250000000000001E-3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input_362010!A$2</f>
        <v>362010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IFERROR(VLOOKUP(B197,input_362010!L:R,7,FALSE),VLOOKUP(tables_362010!C197,input_362010!A:H,8,FALSE))</f>
        <v>24</v>
      </c>
      <c r="P197" s="46">
        <f ca="1">O197/SUM(O:O)</f>
        <v>7.4999999999999993E-5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input_362010!A$2</f>
        <v>362010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IFERROR(VLOOKUP(B198,input_362010!L:R,7,FALSE),VLOOKUP(tables_362010!C198,input_362010!A:H,8,FALSE))</f>
        <v>1860</v>
      </c>
      <c r="P198" s="46">
        <f ca="1">O198/SUM(O:O)</f>
        <v>5.8125E-3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input_362010!A$2</f>
        <v>362010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IFERROR(VLOOKUP(B199,input_362010!L:R,7,FALSE),VLOOKUP(tables_362010!C199,input_362010!A:H,8,FALSE))</f>
        <v>1674</v>
      </c>
      <c r="P199" s="46">
        <f ca="1">O199/SUM(O:O)</f>
        <v>5.2312499999999998E-3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input_362010!A$2</f>
        <v>362010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IFERROR(VLOOKUP(B200,input_362010!L:R,7,FALSE),VLOOKUP(tables_362010!C200,input_362010!A:H,8,FALSE))</f>
        <v>186</v>
      </c>
      <c r="P200" s="46">
        <f ca="1">O200/SUM(O:O)</f>
        <v>5.8124999999999995E-4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input_362010!A$2</f>
        <v>362010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IFERROR(VLOOKUP(B201,input_362010!L:R,7,FALSE),VLOOKUP(tables_362010!C201,input_362010!A:H,8,FALSE))</f>
        <v>456</v>
      </c>
      <c r="P201" s="46">
        <f ca="1">O201/SUM(O:O)</f>
        <v>1.4250000000000001E-3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input_362010!A$2</f>
        <v>362010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IFERROR(VLOOKUP(B202,input_362010!L:R,7,FALSE),VLOOKUP(tables_362010!C202,input_362010!A:H,8,FALSE))</f>
        <v>24</v>
      </c>
      <c r="P202" s="46">
        <f ca="1">O202/SUM(O:O)</f>
        <v>7.4999999999999993E-5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input_362010!A$2</f>
        <v>362010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IFERROR(VLOOKUP(B203,input_362010!L:R,7,FALSE),VLOOKUP(tables_362010!C203,input_362010!A:H,8,FALSE))</f>
        <v>1860</v>
      </c>
      <c r="P203" s="46">
        <f ca="1">O203/SUM(O:O)</f>
        <v>5.8125E-3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input_362010!A$2</f>
        <v>362010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IFERROR(VLOOKUP(B204,input_362010!L:R,7,FALSE),VLOOKUP(tables_362010!C204,input_362010!A:H,8,FALSE))</f>
        <v>1674</v>
      </c>
      <c r="P204" s="46">
        <f ca="1">O204/SUM(O:O)</f>
        <v>5.2312499999999998E-3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input_362010!A$2</f>
        <v>362010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IFERROR(VLOOKUP(B205,input_362010!L:R,7,FALSE),VLOOKUP(tables_362010!C205,input_362010!A:H,8,FALSE))</f>
        <v>186</v>
      </c>
      <c r="P205" s="46">
        <f ca="1">O205/SUM(O:O)</f>
        <v>5.8124999999999995E-4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input_362010!A$2</f>
        <v>362010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IFERROR(VLOOKUP(B206,input_362010!L:R,7,FALSE),VLOOKUP(tables_362010!C206,input_362010!A:H,8,FALSE))</f>
        <v>456</v>
      </c>
      <c r="P206" s="46">
        <f ca="1">O206/SUM(O:O)</f>
        <v>1.4250000000000001E-3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input_362010!A$2</f>
        <v>362010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IFERROR(VLOOKUP(B207,input_362010!L:R,7,FALSE),VLOOKUP(tables_362010!C207,input_362010!A:H,8,FALSE))</f>
        <v>24</v>
      </c>
      <c r="P207" s="46">
        <f ca="1">O207/SUM(O:O)</f>
        <v>7.4999999999999993E-5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input_362010!A$2</f>
        <v>362010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IFERROR(VLOOKUP(B208,input_362010!L:R,7,FALSE),VLOOKUP(tables_362010!C208,input_362010!A:H,8,FALSE))</f>
        <v>456</v>
      </c>
      <c r="P208" s="46">
        <f ca="1">O208/SUM(O:O)</f>
        <v>1.4250000000000001E-3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input_362010!A$2</f>
        <v>362010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IFERROR(VLOOKUP(B209,input_362010!L:R,7,FALSE),VLOOKUP(tables_362010!C209,input_362010!A:H,8,FALSE))</f>
        <v>24</v>
      </c>
      <c r="P209" s="46">
        <f ca="1">O209/SUM(O:O)</f>
        <v>7.4999999999999993E-5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input_362010!A$2</f>
        <v>362010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IFERROR(VLOOKUP(B210,input_362010!L:R,7,FALSE),VLOOKUP(tables_362010!C210,input_362010!A:H,8,FALSE))</f>
        <v>1860</v>
      </c>
      <c r="P210" s="46">
        <f ca="1">O210/SUM(O:O)</f>
        <v>5.8125E-3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input_362010!A$2</f>
        <v>362010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IFERROR(VLOOKUP(B211,input_362010!L:R,7,FALSE),VLOOKUP(tables_362010!C211,input_362010!A:H,8,FALSE))</f>
        <v>1674</v>
      </c>
      <c r="P211" s="46">
        <f ca="1">O211/SUM(O:O)</f>
        <v>5.2312499999999998E-3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input_362010!A$2</f>
        <v>362010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IFERROR(VLOOKUP(B212,input_362010!L:R,7,FALSE),VLOOKUP(tables_362010!C212,input_362010!A:H,8,FALSE))</f>
        <v>186</v>
      </c>
      <c r="P212" s="46">
        <f ca="1">O212/SUM(O:O)</f>
        <v>5.8124999999999995E-4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input_362010!A$2</f>
        <v>362010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IFERROR(VLOOKUP(B213,input_362010!L:R,7,FALSE),VLOOKUP(tables_362010!C213,input_362010!A:H,8,FALSE))</f>
        <v>456</v>
      </c>
      <c r="P213" s="46">
        <f ca="1">O213/SUM(O:O)</f>
        <v>1.4250000000000001E-3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input_362010!A$2</f>
        <v>362010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IFERROR(VLOOKUP(B214,input_362010!L:R,7,FALSE),VLOOKUP(tables_362010!C214,input_362010!A:H,8,FALSE))</f>
        <v>24</v>
      </c>
      <c r="P214" s="46">
        <f ca="1">O214/SUM(O:O)</f>
        <v>7.4999999999999993E-5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input_362010!A$2</f>
        <v>362010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IFERROR(VLOOKUP(B215,input_362010!L:R,7,FALSE),VLOOKUP(tables_362010!C215,input_362010!A:H,8,FALSE))</f>
        <v>456</v>
      </c>
      <c r="P215" s="46">
        <f ca="1">O215/SUM(O:O)</f>
        <v>1.4250000000000001E-3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input_362010!A$2</f>
        <v>362010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IFERROR(VLOOKUP(B216,input_362010!L:R,7,FALSE),VLOOKUP(tables_362010!C216,input_362010!A:H,8,FALSE))</f>
        <v>24</v>
      </c>
      <c r="P216" s="46">
        <f ca="1">O216/SUM(O:O)</f>
        <v>7.4999999999999993E-5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input_362010!A$2</f>
        <v>362010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IFERROR(VLOOKUP(B217,input_362010!L:R,7,FALSE),VLOOKUP(tables_362010!C217,input_362010!A:H,8,FALSE))</f>
        <v>1860</v>
      </c>
      <c r="P217" s="46">
        <f ca="1">O217/SUM(O:O)</f>
        <v>5.8125E-3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input_362010!A$2</f>
        <v>362010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IFERROR(VLOOKUP(B218,input_362010!L:R,7,FALSE),VLOOKUP(tables_362010!C218,input_362010!A:H,8,FALSE))</f>
        <v>1674</v>
      </c>
      <c r="P218" s="46">
        <f ca="1">O218/SUM(O:O)</f>
        <v>5.2312499999999998E-3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input_362010!A$2</f>
        <v>362010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IFERROR(VLOOKUP(B219,input_362010!L:R,7,FALSE),VLOOKUP(tables_362010!C219,input_362010!A:H,8,FALSE))</f>
        <v>186</v>
      </c>
      <c r="P219" s="46">
        <f ca="1">O219/SUM(O:O)</f>
        <v>5.8124999999999995E-4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input_362010!A$2</f>
        <v>362010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IFERROR(VLOOKUP(B220,input_362010!L:R,7,FALSE),VLOOKUP(tables_362010!C220,input_362010!A:H,8,FALSE))</f>
        <v>1860</v>
      </c>
      <c r="P220" s="46">
        <f ca="1">O220/SUM(O:O)</f>
        <v>5.8125E-3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input_362010!A$2</f>
        <v>362010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IFERROR(VLOOKUP(B221,input_362010!L:R,7,FALSE),VLOOKUP(tables_362010!C221,input_362010!A:H,8,FALSE))</f>
        <v>1674</v>
      </c>
      <c r="P221" s="46">
        <f ca="1">O221/SUM(O:O)</f>
        <v>5.2312499999999998E-3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input_362010!A$2</f>
        <v>362010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IFERROR(VLOOKUP(B222,input_362010!L:R,7,FALSE),VLOOKUP(tables_362010!C222,input_362010!A:H,8,FALSE))</f>
        <v>186</v>
      </c>
      <c r="P222" s="46">
        <f ca="1">O222/SUM(O:O)</f>
        <v>5.8124999999999995E-4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input_362010!A$2</f>
        <v>362010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IFERROR(VLOOKUP(B223,input_362010!L:R,7,FALSE),VLOOKUP(tables_362010!C223,input_362010!A:H,8,FALSE))</f>
        <v>456</v>
      </c>
      <c r="P223" s="46">
        <f ca="1">O223/SUM(O:O)</f>
        <v>1.4250000000000001E-3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input_362010!A$2</f>
        <v>362010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IFERROR(VLOOKUP(B224,input_362010!L:R,7,FALSE),VLOOKUP(tables_362010!C224,input_362010!A:H,8,FALSE))</f>
        <v>24</v>
      </c>
      <c r="P224" s="46">
        <f ca="1">O224/SUM(O:O)</f>
        <v>7.4999999999999993E-5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input_362010!A$2</f>
        <v>362010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IFERROR(VLOOKUP(B225,input_362010!L:R,7,FALSE),VLOOKUP(tables_362010!C225,input_362010!A:H,8,FALSE))</f>
        <v>1860</v>
      </c>
      <c r="P225" s="46">
        <f ca="1">O225/SUM(O:O)</f>
        <v>5.8125E-3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input_362010!A$2</f>
        <v>362010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IFERROR(VLOOKUP(B226,input_362010!L:R,7,FALSE),VLOOKUP(tables_362010!C226,input_362010!A:H,8,FALSE))</f>
        <v>1674</v>
      </c>
      <c r="P226" s="46">
        <f ca="1">O226/SUM(O:O)</f>
        <v>5.2312499999999998E-3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input_362010!A$2</f>
        <v>362010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IFERROR(VLOOKUP(B227,input_362010!L:R,7,FALSE),VLOOKUP(tables_362010!C227,input_362010!A:H,8,FALSE))</f>
        <v>186</v>
      </c>
      <c r="P227" s="46">
        <f ca="1">O227/SUM(O:O)</f>
        <v>5.8124999999999995E-4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input_362010!A$2</f>
        <v>362010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IFERROR(VLOOKUP(B228,input_362010!L:R,7,FALSE),VLOOKUP(tables_362010!C228,input_362010!A:H,8,FALSE))</f>
        <v>1860</v>
      </c>
      <c r="P228" s="46">
        <f ca="1">O228/SUM(O:O)</f>
        <v>5.8125E-3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input_362010!A$2</f>
        <v>362010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IFERROR(VLOOKUP(B229,input_362010!L:R,7,FALSE),VLOOKUP(tables_362010!C229,input_362010!A:H,8,FALSE))</f>
        <v>1674</v>
      </c>
      <c r="P229" s="46">
        <f ca="1">O229/SUM(O:O)</f>
        <v>5.2312499999999998E-3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input_362010!A$2</f>
        <v>362010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IFERROR(VLOOKUP(B230,input_362010!L:R,7,FALSE),VLOOKUP(tables_362010!C230,input_362010!A:H,8,FALSE))</f>
        <v>186</v>
      </c>
      <c r="P230" s="46">
        <f ca="1">O230/SUM(O:O)</f>
        <v>5.8124999999999995E-4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input_362010!A$2</f>
        <v>362010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IFERROR(VLOOKUP(B231,input_362010!L:R,7,FALSE),VLOOKUP(tables_362010!C231,input_362010!A:H,8,FALSE))</f>
        <v>456</v>
      </c>
      <c r="P231" s="46">
        <f ca="1">O231/SUM(O:O)</f>
        <v>1.4250000000000001E-3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input_362010!A$2</f>
        <v>362010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IFERROR(VLOOKUP(B232,input_362010!L:R,7,FALSE),VLOOKUP(tables_362010!C232,input_362010!A:H,8,FALSE))</f>
        <v>24</v>
      </c>
      <c r="P232" s="46">
        <f ca="1">O232/SUM(O:O)</f>
        <v>7.4999999999999993E-5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input_362010!A$2</f>
        <v>362010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IFERROR(VLOOKUP(B233,input_362010!L:R,7,FALSE),VLOOKUP(tables_362010!C233,input_362010!A:H,8,FALSE))</f>
        <v>1860</v>
      </c>
      <c r="P233" s="46">
        <f ca="1">O233/SUM(O:O)</f>
        <v>5.8125E-3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input_362010!A$2</f>
        <v>362010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IFERROR(VLOOKUP(B234,input_362010!L:R,7,FALSE),VLOOKUP(tables_362010!C234,input_362010!A:H,8,FALSE))</f>
        <v>1674</v>
      </c>
      <c r="P234" s="46">
        <f ca="1">O234/SUM(O:O)</f>
        <v>5.2312499999999998E-3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input_362010!A$2</f>
        <v>362010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IFERROR(VLOOKUP(B235,input_362010!L:R,7,FALSE),VLOOKUP(tables_362010!C235,input_362010!A:H,8,FALSE))</f>
        <v>186</v>
      </c>
      <c r="P235" s="46">
        <f ca="1">O235/SUM(O:O)</f>
        <v>5.8124999999999995E-4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input_362010!A$2</f>
        <v>362010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IFERROR(VLOOKUP(B236,input_362010!L:R,7,FALSE),VLOOKUP(tables_362010!C236,input_362010!A:H,8,FALSE))</f>
        <v>456</v>
      </c>
      <c r="P236" s="46">
        <f ca="1">O236/SUM(O:O)</f>
        <v>1.4250000000000001E-3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input_362010!A$2</f>
        <v>362010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IFERROR(VLOOKUP(B237,input_362010!L:R,7,FALSE),VLOOKUP(tables_362010!C237,input_362010!A:H,8,FALSE))</f>
        <v>24</v>
      </c>
      <c r="P237" s="46">
        <f ca="1">O237/SUM(O:O)</f>
        <v>7.4999999999999993E-5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input_362010!A$2</f>
        <v>362010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IFERROR(VLOOKUP(B238,input_362010!L:R,7,FALSE),VLOOKUP(tables_362010!C238,input_362010!A:H,8,FALSE))</f>
        <v>456</v>
      </c>
      <c r="P238" s="46">
        <f ca="1">O238/SUM(O:O)</f>
        <v>1.4250000000000001E-3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input_362010!A$2</f>
        <v>362010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IFERROR(VLOOKUP(B239,input_362010!L:R,7,FALSE),VLOOKUP(tables_362010!C239,input_362010!A:H,8,FALSE))</f>
        <v>24</v>
      </c>
      <c r="P239" s="46">
        <f ca="1">O239/SUM(O:O)</f>
        <v>7.4999999999999993E-5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input_362010!A$2</f>
        <v>362010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IFERROR(VLOOKUP(B240,input_362010!L:R,7,FALSE),VLOOKUP(tables_362010!C240,input_362010!A:H,8,FALSE))</f>
        <v>1860</v>
      </c>
      <c r="P240" s="46">
        <f ca="1">O240/SUM(O:O)</f>
        <v>5.8125E-3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input_362010!A$2</f>
        <v>362010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IFERROR(VLOOKUP(B241,input_362010!L:R,7,FALSE),VLOOKUP(tables_362010!C241,input_362010!A:H,8,FALSE))</f>
        <v>1674</v>
      </c>
      <c r="P241" s="46">
        <f ca="1">O241/SUM(O:O)</f>
        <v>5.2312499999999998E-3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input_362010!A$2</f>
        <v>362010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IFERROR(VLOOKUP(B242,input_362010!L:R,7,FALSE),VLOOKUP(tables_362010!C242,input_362010!A:H,8,FALSE))</f>
        <v>186</v>
      </c>
      <c r="P242" s="46">
        <f ca="1">O242/SUM(O:O)</f>
        <v>5.8124999999999995E-4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input_362010!A$2</f>
        <v>362010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IFERROR(VLOOKUP(B243,input_362010!L:R,7,FALSE),VLOOKUP(tables_362010!C243,input_362010!A:H,8,FALSE))</f>
        <v>1860</v>
      </c>
      <c r="P243" s="46">
        <f ca="1">O243/SUM(O:O)</f>
        <v>5.8125E-3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input_362010!A$2</f>
        <v>362010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IFERROR(VLOOKUP(B244,input_362010!L:R,7,FALSE),VLOOKUP(tables_362010!C244,input_362010!A:H,8,FALSE))</f>
        <v>1674</v>
      </c>
      <c r="P244" s="46">
        <f ca="1">O244/SUM(O:O)</f>
        <v>5.2312499999999998E-3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input_362010!A$2</f>
        <v>362010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IFERROR(VLOOKUP(B245,input_362010!L:R,7,FALSE),VLOOKUP(tables_362010!C245,input_362010!A:H,8,FALSE))</f>
        <v>186</v>
      </c>
      <c r="P245" s="46">
        <f ca="1">O245/SUM(O:O)</f>
        <v>5.8124999999999995E-4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input_362010!A$2</f>
        <v>362010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IFERROR(VLOOKUP(B246,input_362010!L:R,7,FALSE),VLOOKUP(tables_362010!C246,input_362010!A:H,8,FALSE))</f>
        <v>1860</v>
      </c>
      <c r="P246" s="46">
        <f ca="1">O246/SUM(O:O)</f>
        <v>5.8125E-3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input_362010!A$2</f>
        <v>362010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IFERROR(VLOOKUP(B247,input_362010!L:R,7,FALSE),VLOOKUP(tables_362010!C247,input_362010!A:H,8,FALSE))</f>
        <v>1674</v>
      </c>
      <c r="P247" s="46">
        <f ca="1">O247/SUM(O:O)</f>
        <v>5.2312499999999998E-3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input_362010!A$2</f>
        <v>362010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IFERROR(VLOOKUP(B248,input_362010!L:R,7,FALSE),VLOOKUP(tables_362010!C248,input_362010!A:H,8,FALSE))</f>
        <v>186</v>
      </c>
      <c r="P248" s="46">
        <f ca="1">O248/SUM(O:O)</f>
        <v>5.8124999999999995E-4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input_362010!A$2</f>
        <v>362010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IFERROR(VLOOKUP(B249,input_362010!L:R,7,FALSE),VLOOKUP(tables_362010!C249,input_362010!A:H,8,FALSE))</f>
        <v>1860</v>
      </c>
      <c r="P249" s="46">
        <f ca="1">O249/SUM(O:O)</f>
        <v>5.8125E-3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input_362010!A$2</f>
        <v>362010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IFERROR(VLOOKUP(B250,input_362010!L:R,7,FALSE),VLOOKUP(tables_362010!C250,input_362010!A:H,8,FALSE))</f>
        <v>1674</v>
      </c>
      <c r="P250" s="46">
        <f ca="1">O250/SUM(O:O)</f>
        <v>5.2312499999999998E-3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input_362010!A$2</f>
        <v>362010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IFERROR(VLOOKUP(B251,input_362010!L:R,7,FALSE),VLOOKUP(tables_362010!C251,input_362010!A:H,8,FALSE))</f>
        <v>186</v>
      </c>
      <c r="P251" s="46">
        <f ca="1">O251/SUM(O:O)</f>
        <v>5.8124999999999995E-4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input_362010!A$2</f>
        <v>362010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IFERROR(VLOOKUP(B252,input_362010!L:R,7,FALSE),VLOOKUP(tables_362010!C252,input_362010!A:H,8,FALSE))</f>
        <v>456</v>
      </c>
      <c r="P252" s="46">
        <f ca="1">O252/SUM(O:O)</f>
        <v>1.4250000000000001E-3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input_362010!A$2</f>
        <v>362010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IFERROR(VLOOKUP(B253,input_362010!L:R,7,FALSE),VLOOKUP(tables_362010!C253,input_362010!A:H,8,FALSE))</f>
        <v>24</v>
      </c>
      <c r="P253" s="46">
        <f ca="1">O253/SUM(O:O)</f>
        <v>7.4999999999999993E-5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input_362010!A$2</f>
        <v>362010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IFERROR(VLOOKUP(B254,input_362010!L:R,7,FALSE),VLOOKUP(tables_362010!C254,input_362010!A:H,8,FALSE))</f>
        <v>456</v>
      </c>
      <c r="P254" s="46">
        <f ca="1">O254/SUM(O:O)</f>
        <v>1.4250000000000001E-3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input_362010!A$2</f>
        <v>362010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IFERROR(VLOOKUP(B255,input_362010!L:R,7,FALSE),VLOOKUP(tables_362010!C255,input_362010!A:H,8,FALSE))</f>
        <v>24</v>
      </c>
      <c r="P255" s="46">
        <f ca="1">O255/SUM(O:O)</f>
        <v>7.4999999999999993E-5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input_362010!A$2</f>
        <v>362010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IFERROR(VLOOKUP(B256,input_362010!L:R,7,FALSE),VLOOKUP(tables_362010!C256,input_362010!A:H,8,FALSE))</f>
        <v>3505</v>
      </c>
      <c r="P256" s="46">
        <f ca="1">O256/SUM(O:O)</f>
        <v>1.0953124999999999E-2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input_362010!A$2</f>
        <v>362010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IFERROR(VLOOKUP(B257,input_362010!L:R,7,FALSE),VLOOKUP(tables_362010!C257,input_362010!A:H,8,FALSE))</f>
        <v>215</v>
      </c>
      <c r="P257" s="46">
        <f ca="1">O257/SUM(O:O)</f>
        <v>6.7187499999999995E-4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input_362010!A$2</f>
        <v>362010</v>
      </c>
      <c r="B258" s="60">
        <v>730</v>
      </c>
      <c r="C258" s="7" t="str">
        <f t="shared" ref="C258:C286" si="8">D258&amp;J258&amp;E258&amp;F258&amp;G258</f>
        <v>Premium4R3less</v>
      </c>
      <c r="D258" s="7" t="str">
        <f t="shared" ref="D258:D286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IFERROR(VLOOKUP(B258,input_362010!L:R,7,FALSE),VLOOKUP(tables_362010!C258,input_362010!A:H,8,FALSE))</f>
        <v>3505</v>
      </c>
      <c r="P258" s="46">
        <f ca="1">O258/SUM(O:O)</f>
        <v>1.0953124999999999E-2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input_362010!A$2</f>
        <v>362010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IFERROR(VLOOKUP(B259,input_362010!L:R,7,FALSE),VLOOKUP(tables_362010!C259,input_362010!A:H,8,FALSE))</f>
        <v>215</v>
      </c>
      <c r="P259" s="46">
        <f ca="1">O259/SUM(O:O)</f>
        <v>6.7187499999999995E-4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input_362010!A$2</f>
        <v>362010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IFERROR(VLOOKUP(B260,input_362010!L:R,7,FALSE),VLOOKUP(tables_362010!C260,input_362010!A:H,8,FALSE))</f>
        <v>480</v>
      </c>
      <c r="P260" s="46">
        <f ca="1">O260/SUM(O:O)</f>
        <v>1.5E-3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input_362010!A$2</f>
        <v>362010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IFERROR(VLOOKUP(B261,input_362010!L:R,7,FALSE),VLOOKUP(tables_362010!C261,input_362010!A:H,8,FALSE))</f>
        <v>480</v>
      </c>
      <c r="P261" s="46">
        <f ca="1">O261/SUM(O:O)</f>
        <v>1.5E-3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input_362010!A$2</f>
        <v>362010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IFERROR(VLOOKUP(B262,input_362010!L:R,7,FALSE),VLOOKUP(tables_362010!C262,input_362010!A:H,8,FALSE))</f>
        <v>456</v>
      </c>
      <c r="P262" s="46">
        <f ca="1">O262/SUM(O:O)</f>
        <v>1.4250000000000001E-3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input_362010!A$2</f>
        <v>362010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IFERROR(VLOOKUP(B263,input_362010!L:R,7,FALSE),VLOOKUP(tables_362010!C263,input_362010!A:H,8,FALSE))</f>
        <v>24</v>
      </c>
      <c r="P263" s="46">
        <f ca="1">O263/SUM(O:O)</f>
        <v>7.4999999999999993E-5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input_362010!A$2</f>
        <v>362010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IFERROR(VLOOKUP(B264,input_362010!L:R,7,FALSE),VLOOKUP(tables_362010!C264,input_362010!A:H,8,FALSE))</f>
        <v>456</v>
      </c>
      <c r="P264" s="46">
        <f ca="1">O264/SUM(O:O)</f>
        <v>1.4250000000000001E-3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input_362010!A$2</f>
        <v>362010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IFERROR(VLOOKUP(B265,input_362010!L:R,7,FALSE),VLOOKUP(tables_362010!C265,input_362010!A:H,8,FALSE))</f>
        <v>24</v>
      </c>
      <c r="P265" s="46">
        <f ca="1">O265/SUM(O:O)</f>
        <v>7.4999999999999993E-5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input_362010!A$2</f>
        <v>362010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IFERROR(VLOOKUP(B266,input_362010!L:R,7,FALSE),VLOOKUP(tables_362010!C266,input_362010!A:H,8,FALSE))</f>
        <v>1860</v>
      </c>
      <c r="P266" s="46">
        <f ca="1">O266/SUM(O:O)</f>
        <v>5.8125E-3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input_362010!A$2</f>
        <v>362010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IFERROR(VLOOKUP(B267,input_362010!L:R,7,FALSE),VLOOKUP(tables_362010!C267,input_362010!A:H,8,FALSE))</f>
        <v>1674</v>
      </c>
      <c r="P267" s="46">
        <f ca="1">O267/SUM(O:O)</f>
        <v>5.2312499999999998E-3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input_362010!A$2</f>
        <v>362010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IFERROR(VLOOKUP(B268,input_362010!L:R,7,FALSE),VLOOKUP(tables_362010!C268,input_362010!A:H,8,FALSE))</f>
        <v>186</v>
      </c>
      <c r="P268" s="46">
        <f ca="1">O268/SUM(O:O)</f>
        <v>5.8124999999999995E-4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input_362010!A$2</f>
        <v>362010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IFERROR(VLOOKUP(B269,input_362010!L:R,7,FALSE),VLOOKUP(tables_362010!C269,input_362010!A:H,8,FALSE))</f>
        <v>1860</v>
      </c>
      <c r="P269" s="46">
        <f ca="1">O269/SUM(O:O)</f>
        <v>5.8125E-3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input_362010!A$2</f>
        <v>362010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IFERROR(VLOOKUP(B270,input_362010!L:R,7,FALSE),VLOOKUP(tables_362010!C270,input_362010!A:H,8,FALSE))</f>
        <v>1674</v>
      </c>
      <c r="P270" s="46">
        <f ca="1">O270/SUM(O:O)</f>
        <v>5.2312499999999998E-3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input_362010!A$2</f>
        <v>362010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IFERROR(VLOOKUP(B271,input_362010!L:R,7,FALSE),VLOOKUP(tables_362010!C271,input_362010!A:H,8,FALSE))</f>
        <v>186</v>
      </c>
      <c r="P271" s="46">
        <f ca="1">O271/SUM(O:O)</f>
        <v>5.8124999999999995E-4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input_362010!A$2</f>
        <v>362010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IFERROR(VLOOKUP(B272,input_362010!L:R,7,FALSE),VLOOKUP(tables_362010!C272,input_362010!A:H,8,FALSE))</f>
        <v>480</v>
      </c>
      <c r="P272" s="46">
        <f ca="1">O272/SUM(O:O)</f>
        <v>1.5E-3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input_362010!A$2</f>
        <v>362010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IFERROR(VLOOKUP(B273,input_362010!L:R,7,FALSE),VLOOKUP(tables_362010!C273,input_362010!A:H,8,FALSE))</f>
        <v>480</v>
      </c>
      <c r="P273" s="46">
        <f ca="1">O273/SUM(O:O)</f>
        <v>1.5E-3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input_362010!A$2</f>
        <v>362010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IFERROR(VLOOKUP(B274,input_362010!L:R,7,FALSE),VLOOKUP(tables_362010!C274,input_362010!A:H,8,FALSE))</f>
        <v>3505</v>
      </c>
      <c r="P274" s="46">
        <f ca="1">O274/SUM(O:O)</f>
        <v>1.0953124999999999E-2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input_362010!A$2</f>
        <v>362010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IFERROR(VLOOKUP(B275,input_362010!L:R,7,FALSE),VLOOKUP(tables_362010!C275,input_362010!A:H,8,FALSE))</f>
        <v>215</v>
      </c>
      <c r="P275" s="46">
        <f ca="1">O275/SUM(O:O)</f>
        <v>6.7187499999999995E-4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input_362010!A$2</f>
        <v>362010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IFERROR(VLOOKUP(B276,input_362010!L:R,7,FALSE),VLOOKUP(tables_362010!C276,input_362010!A:H,8,FALSE))</f>
        <v>3505</v>
      </c>
      <c r="P276" s="46">
        <f ca="1">O276/SUM(O:O)</f>
        <v>1.0953124999999999E-2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input_362010!A$2</f>
        <v>362010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IFERROR(VLOOKUP(B277,input_362010!L:R,7,FALSE),VLOOKUP(tables_362010!C277,input_362010!A:H,8,FALSE))</f>
        <v>215</v>
      </c>
      <c r="P277" s="46">
        <f ca="1">O277/SUM(O:O)</f>
        <v>6.7187499999999995E-4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input_362010!A$2</f>
        <v>362010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IFERROR(VLOOKUP(B278,input_362010!L:R,7,FALSE),VLOOKUP(tables_362010!C278,input_362010!A:H,8,FALSE))</f>
        <v>3505</v>
      </c>
      <c r="P278" s="46">
        <f ca="1">O278/SUM(O:O)</f>
        <v>1.0953124999999999E-2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input_362010!A$2</f>
        <v>362010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IFERROR(VLOOKUP(B279,input_362010!L:R,7,FALSE),VLOOKUP(tables_362010!C279,input_362010!A:H,8,FALSE))</f>
        <v>215</v>
      </c>
      <c r="P279" s="46">
        <f ca="1">O279/SUM(O:O)</f>
        <v>6.7187499999999995E-4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input_362010!A$2</f>
        <v>362010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IFERROR(VLOOKUP(B280,input_362010!L:R,7,FALSE),VLOOKUP(tables_362010!C280,input_362010!A:H,8,FALSE))</f>
        <v>3505</v>
      </c>
      <c r="P280" s="46">
        <f ca="1">O280/SUM(O:O)</f>
        <v>1.0953124999999999E-2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input_362010!A$2</f>
        <v>362010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IFERROR(VLOOKUP(B281,input_362010!L:R,7,FALSE),VLOOKUP(tables_362010!C281,input_362010!A:H,8,FALSE))</f>
        <v>215</v>
      </c>
      <c r="P281" s="46">
        <f ca="1">O281/SUM(O:O)</f>
        <v>6.7187499999999995E-4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input_362010!A$2</f>
        <v>362010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IFERROR(VLOOKUP(B282,input_362010!L:R,7,FALSE),VLOOKUP(tables_362010!C282,input_362010!A:H,8,FALSE))</f>
        <v>480</v>
      </c>
      <c r="P282" s="46">
        <f ca="1">O282/SUM(O:O)</f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input_362010!A$2</f>
        <v>362010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IFERROR(VLOOKUP(B283,input_362010!L:R,7,FALSE),VLOOKUP(tables_362010!C283,input_362010!A:H,8,FALSE))</f>
        <v>480</v>
      </c>
      <c r="P283" s="46">
        <f ca="1">O283/SUM(O:O)</f>
        <v>1.5E-3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input_362010!A$2</f>
        <v>362010</v>
      </c>
      <c r="B284" s="83">
        <v>742</v>
      </c>
      <c r="C284" s="7" t="str">
        <f t="shared" si="8"/>
        <v>PremiumSS5R5only</v>
      </c>
      <c r="D284" s="7" t="str">
        <f t="shared" si="9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IFERROR(VLOOKUP(B284,input_362010!L:R,7,FALSE),VLOOKUP(tables_362010!C284,input_362010!A:H,8,FALSE))</f>
        <v>480</v>
      </c>
      <c r="P284" s="46">
        <f ca="1">O284/SUM(O:O)</f>
        <v>1.5E-3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input_362010!A$2</f>
        <v>362010</v>
      </c>
      <c r="B285" s="83">
        <v>744</v>
      </c>
      <c r="C285" s="7" t="str">
        <f t="shared" si="8"/>
        <v>PremiumSS5R5only</v>
      </c>
      <c r="D285" s="7" t="str">
        <f t="shared" si="9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IFERROR(VLOOKUP(B285,input_362010!L:R,7,FALSE),VLOOKUP(tables_362010!C285,input_362010!A:H,8,FALSE))</f>
        <v>480</v>
      </c>
      <c r="P285" s="46">
        <f ca="1">O285/SUM(O:O)</f>
        <v>1.5E-3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input_362010!A$2</f>
        <v>362010</v>
      </c>
      <c r="B286" s="83">
        <v>746</v>
      </c>
      <c r="C286" s="7" t="str">
        <f t="shared" si="8"/>
        <v>Premium4R3less</v>
      </c>
      <c r="D286" s="7" t="str">
        <f t="shared" si="9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IFERROR(VLOOKUP(B286,input_362010!L:R,7,FALSE),VLOOKUP(tables_362010!C286,input_362010!A:H,8,FALSE))</f>
        <v>3505</v>
      </c>
      <c r="P286" s="46">
        <f ca="1">O286/SUM(O:O)</f>
        <v>1.0953124999999999E-2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input_362010!A$2</f>
        <v>362010</v>
      </c>
      <c r="B287" s="83">
        <v>747</v>
      </c>
      <c r="C287" s="7" t="str">
        <f t="shared" ref="C287:C291" si="10">D287&amp;J287&amp;E287&amp;F287&amp;G287</f>
        <v>Premium5R3less</v>
      </c>
      <c r="D287" s="7" t="str">
        <f t="shared" ref="D287:D291" si="11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IFERROR(VLOOKUP(B287,input_362010!L:R,7,FALSE),VLOOKUP(tables_362010!C287,input_362010!A:H,8,FALSE))</f>
        <v>215</v>
      </c>
      <c r="P287" s="46">
        <f ca="1">O287/SUM(O:O)</f>
        <v>6.7187499999999995E-4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input_362010!A$2</f>
        <v>362010</v>
      </c>
      <c r="B288" s="83">
        <v>748</v>
      </c>
      <c r="C288" s="7" t="str">
        <f t="shared" si="10"/>
        <v>Premium4R3less</v>
      </c>
      <c r="D288" s="7" t="str">
        <f t="shared" si="11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IFERROR(VLOOKUP(B288,input_362010!L:R,7,FALSE),VLOOKUP(tables_362010!C288,input_362010!A:H,8,FALSE))</f>
        <v>3505</v>
      </c>
      <c r="P288" s="46">
        <f ca="1">O288/SUM(O:O)</f>
        <v>1.0953124999999999E-2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input_362010!A$2</f>
        <v>362010</v>
      </c>
      <c r="B289" s="83">
        <v>749</v>
      </c>
      <c r="C289" s="7" t="str">
        <f t="shared" si="10"/>
        <v>Premium5R3less</v>
      </c>
      <c r="D289" s="7" t="str">
        <f t="shared" si="11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IFERROR(VLOOKUP(B289,input_362010!L:R,7,FALSE),VLOOKUP(tables_362010!C289,input_362010!A:H,8,FALSE))</f>
        <v>215</v>
      </c>
      <c r="P289" s="46">
        <f ca="1">O289/SUM(O:O)</f>
        <v>6.7187499999999995E-4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input_362010!A$2</f>
        <v>362010</v>
      </c>
      <c r="B290" s="83">
        <v>760</v>
      </c>
      <c r="C290" s="7" t="str">
        <f t="shared" si="10"/>
        <v>PremiumSSS5R3less</v>
      </c>
      <c r="D290" s="7" t="str">
        <f t="shared" si="11"/>
        <v>PremiumSSS</v>
      </c>
      <c r="E290" s="7" t="str">
        <f>IF(COUNTIF('R6追加前'!A:A,B290)=0,IF(I290="PremiumSS","R5only","R3less"),"")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限論顕現 クロネッカー</v>
      </c>
      <c r="I290" s="7" t="str">
        <f>VLOOKUP(B290,[1]characters!$A:$J,10,FALSE)</f>
        <v>PremiumSSS</v>
      </c>
      <c r="J290" s="7">
        <f>VLOOKUP(B290,[1]characters!$A:$I,9,FALSE)</f>
        <v>5</v>
      </c>
      <c r="K290" s="7" t="str">
        <f>VLOOKUP(B290,[1]characters!$A:$H,8,FALSE)</f>
        <v>yellow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IFERROR(VLOOKUP(B290,input_362010!L:R,7,FALSE),VLOOKUP(tables_362010!C290,input_362010!A:H,8,FALSE))</f>
        <v>1600</v>
      </c>
      <c r="P290" s="46">
        <f ca="1">O290/SUM(O:O)</f>
        <v>5.0000000000000001E-3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input_362010!A$2</f>
        <v>362010</v>
      </c>
      <c r="B291" s="83">
        <v>750</v>
      </c>
      <c r="C291" s="7" t="str">
        <f t="shared" si="10"/>
        <v>PremiumSSS5R3less</v>
      </c>
      <c r="D291" s="7" t="str">
        <f t="shared" si="11"/>
        <v>PremiumSSS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ポアソン</v>
      </c>
      <c r="I291" s="7" t="str">
        <f>VLOOKUP(B291,[1]characters!$A:$J,10,FALSE)</f>
        <v>PremiumSSS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balance</v>
      </c>
      <c r="M291" s="7" t="str">
        <f>VLOOKUP(B291,[1]characters!$A:$M,13,FALSE)</f>
        <v>academia</v>
      </c>
      <c r="N291" s="7" t="str">
        <f>VLOOKUP(B291,[1]characters!$A:$G,7,FALSE)</f>
        <v>男性</v>
      </c>
      <c r="O291" s="45">
        <f ca="1">IFERROR(VLOOKUP(B291,input_362010!L:R,7,FALSE),VLOOKUP(tables_362010!C291,input_362010!A:H,8,FALSE))</f>
        <v>1600</v>
      </c>
      <c r="P291" s="46">
        <f ca="1">O291/SUM(O:O)</f>
        <v>5.0000000000000001E-3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G28" sqref="G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3">
        <v>760</v>
      </c>
      <c r="M3" s="37" t="str">
        <f>VLOOKUP(L3,[1]characters!$A:$C,3,FALSE)</f>
        <v>限論顕現 クロネッカー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VLOOKUP(L3,tables_362100!B:C,2,FALSE)</f>
        <v>PremiumSSS5R3less</v>
      </c>
      <c r="R3" s="62">
        <f t="shared" ref="R3:R20" si="1">N3*A$36</f>
        <v>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3">
        <v>750</v>
      </c>
      <c r="M4" s="37" t="str">
        <f>VLOOKUP(L4,[1]characters!$A:$C,3,FALSE)</f>
        <v>ポアソン</v>
      </c>
      <c r="N4" s="63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VLOOKUP(L4,tables_362100!B:C,2,FALSE)</f>
        <v>PremiumSSS5R3less</v>
      </c>
      <c r="R4" s="62">
        <f t="shared" si="1"/>
        <v>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1.5E-3</v>
      </c>
      <c r="F5">
        <f>(COUNTIF(tables_362100!C:C,input_362100!A26)+COUNTIF(tables_362100!C:C,input_362100!A28)+COUNTIF(tables_362100!C:C,input_362100!A29))</f>
        <v>40</v>
      </c>
      <c r="H5" s="86">
        <v>0</v>
      </c>
      <c r="I5" s="31">
        <v>0</v>
      </c>
      <c r="L5" s="83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7">
        <f>(B10-H6)/(F6-I6)</f>
        <v>1.1625E-2</v>
      </c>
      <c r="F6">
        <f>(COUNTIF(tables_362100!C:C,input_362100!A18)+COUNTIF(tables_362100!C:C,input_362100!A20)+COUNTIF(tables_362100!C:C,input_362100!A22))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0.92999999999999994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0.06</v>
      </c>
      <c r="C11" t="s">
        <v>264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COUNTIF(tables_362100!C:C,input_362100!A17)-COUNTIF(Q:Q,A17)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0.23249999999999998</v>
      </c>
      <c r="C18" s="87">
        <f t="shared" si="2"/>
        <v>0</v>
      </c>
      <c r="D18" s="75">
        <f t="shared" si="3"/>
        <v>0.23249999999999998</v>
      </c>
      <c r="E18">
        <f>COUNTIF(tables_362100!C:C,input_362100!A18)-COUNTIF(Q:Q,A18)</f>
        <v>20</v>
      </c>
      <c r="F18" s="43">
        <f>IFERROR(B18/E18,0)</f>
        <v>1.1625E-2</v>
      </c>
      <c r="G18">
        <f t="shared" si="4"/>
        <v>74400</v>
      </c>
      <c r="H18">
        <f t="shared" si="5"/>
        <v>3720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COUNTIF(tables_362100!C:C,input_362100!A19)-COUNTIF(Q:Q,A19)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0.57427499999999998</v>
      </c>
      <c r="C20" s="87">
        <f t="shared" si="2"/>
        <v>0</v>
      </c>
      <c r="D20" s="75">
        <f t="shared" si="3"/>
        <v>0.57427499999999998</v>
      </c>
      <c r="E20">
        <f>COUNTIF(tables_362100!C:C,input_362100!A20)-COUNTIF(Q:Q,A20)</f>
        <v>52</v>
      </c>
      <c r="F20" s="43">
        <f t="shared" si="8"/>
        <v>1.104375E-2</v>
      </c>
      <c r="G20">
        <f t="shared" si="4"/>
        <v>183768</v>
      </c>
      <c r="H20">
        <f t="shared" si="5"/>
        <v>3534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3.0225000000000002E-2</v>
      </c>
      <c r="C21" s="87">
        <f t="shared" si="2"/>
        <v>0</v>
      </c>
      <c r="D21" s="75">
        <f t="shared" si="3"/>
        <v>3.0225000000000002E-2</v>
      </c>
      <c r="E21">
        <f>COUNTIF(tables_362100!C:C,input_362100!A21)-COUNTIF(Q:Q,A21)</f>
        <v>52</v>
      </c>
      <c r="F21" s="43">
        <f t="shared" si="8"/>
        <v>5.8125000000000006E-4</v>
      </c>
      <c r="G21">
        <f t="shared" si="4"/>
        <v>9672</v>
      </c>
      <c r="H21">
        <f t="shared" si="5"/>
        <v>186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E$6*E22-B23</f>
        <v>8.7624999999999995E-2</v>
      </c>
      <c r="C22" s="87">
        <f t="shared" si="2"/>
        <v>0</v>
      </c>
      <c r="D22" s="75">
        <f t="shared" si="3"/>
        <v>8.7624999999999995E-2</v>
      </c>
      <c r="E22">
        <f>COUNTIF(tables_362100!C:C,input_362100!A22)-COUNTIF(Q:Q,A22)</f>
        <v>8</v>
      </c>
      <c r="F22" s="43">
        <f t="shared" si="8"/>
        <v>1.0953124999999999E-2</v>
      </c>
      <c r="G22">
        <f t="shared" si="4"/>
        <v>28040</v>
      </c>
      <c r="H22">
        <f t="shared" si="5"/>
        <v>3505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5.3750000000000048E-3</v>
      </c>
      <c r="C23" s="87">
        <f t="shared" si="2"/>
        <v>0</v>
      </c>
      <c r="D23" s="75">
        <f t="shared" si="3"/>
        <v>5.3750000000000048E-3</v>
      </c>
      <c r="E23">
        <f>COUNTIF(tables_362100!C:C,input_362100!A23)-COUNTIF(Q:Q,A23)</f>
        <v>8</v>
      </c>
      <c r="F23" s="43">
        <f t="shared" si="8"/>
        <v>6.718750000000006E-4</v>
      </c>
      <c r="G23">
        <f t="shared" si="4"/>
        <v>1720.0000000000016</v>
      </c>
      <c r="H23">
        <f t="shared" si="5"/>
        <v>215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COUNTIF(tables_362100!C:C,input_362100!A24)-COUNTIF(Q:Q,A24)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5.7000000000000002E-3</v>
      </c>
      <c r="C25" s="87">
        <f t="shared" si="2"/>
        <v>0</v>
      </c>
      <c r="D25" s="75">
        <f t="shared" si="3"/>
        <v>5.7000000000000002E-3</v>
      </c>
      <c r="E25">
        <f>COUNTIF(tables_362100!C:C,input_362100!A25)-COUNTIF(Q:Q,A25)</f>
        <v>4</v>
      </c>
      <c r="F25" s="43">
        <f t="shared" si="8"/>
        <v>1.4250000000000001E-3</v>
      </c>
      <c r="G25">
        <f t="shared" si="4"/>
        <v>1824</v>
      </c>
      <c r="H25">
        <f t="shared" si="5"/>
        <v>456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3.0000000000000003E-4</v>
      </c>
      <c r="C26" s="87">
        <f t="shared" si="2"/>
        <v>0</v>
      </c>
      <c r="D26" s="75">
        <f t="shared" si="3"/>
        <v>3.0000000000000003E-4</v>
      </c>
      <c r="E26">
        <f>COUNTIF(tables_362100!C:C,input_362100!A26)-COUNTIF(Q:Q,A26)</f>
        <v>4</v>
      </c>
      <c r="F26" s="43">
        <f t="shared" si="8"/>
        <v>7.5000000000000007E-5</v>
      </c>
      <c r="G26">
        <f t="shared" si="4"/>
        <v>96.000000000000014</v>
      </c>
      <c r="H26">
        <f t="shared" si="5"/>
        <v>24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3.9899999999999998E-2</v>
      </c>
      <c r="C27" s="87">
        <f t="shared" si="2"/>
        <v>0</v>
      </c>
      <c r="D27" s="75">
        <f t="shared" si="3"/>
        <v>3.9899999999999998E-2</v>
      </c>
      <c r="E27">
        <f>COUNTIF(tables_362100!C:C,input_362100!A27)-COUNTIF(Q:Q,A27)</f>
        <v>28</v>
      </c>
      <c r="F27" s="43">
        <f>IFERROR(B27/E27,0)</f>
        <v>1.4249999999999998E-3</v>
      </c>
      <c r="G27">
        <f t="shared" si="4"/>
        <v>12768</v>
      </c>
      <c r="H27">
        <f t="shared" si="5"/>
        <v>456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2.1000000000000003E-3</v>
      </c>
      <c r="C28" s="87">
        <f t="shared" si="2"/>
        <v>0</v>
      </c>
      <c r="D28" s="75">
        <f t="shared" si="3"/>
        <v>2.1000000000000003E-3</v>
      </c>
      <c r="E28">
        <f>COUNTIF(tables_362100!C:C,input_362100!A28)-COUNTIF(Q:Q,A28)</f>
        <v>28</v>
      </c>
      <c r="F28" s="43">
        <f t="shared" si="8"/>
        <v>7.5000000000000007E-5</v>
      </c>
      <c r="G28">
        <f t="shared" si="4"/>
        <v>672.00000000000011</v>
      </c>
      <c r="H28">
        <f t="shared" si="5"/>
        <v>24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1.2E-2</v>
      </c>
      <c r="C29" s="87">
        <f t="shared" si="2"/>
        <v>0</v>
      </c>
      <c r="D29" s="75">
        <f t="shared" si="3"/>
        <v>1.2E-2</v>
      </c>
      <c r="E29">
        <f>COUNTIF(tables_362100!C:C,input_362100!A29)-COUNTIF(Q:Q,A29)</f>
        <v>8</v>
      </c>
      <c r="F29" s="43">
        <f t="shared" si="8"/>
        <v>1.5E-3</v>
      </c>
      <c r="G29">
        <f t="shared" si="4"/>
        <v>3840</v>
      </c>
      <c r="H29">
        <f t="shared" si="5"/>
        <v>480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COUNTIF(tables_362100!C:C,input_362100!A30)-COUNTIF(Q:Q,A30)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7">
        <f t="shared" si="2"/>
        <v>0.01</v>
      </c>
      <c r="D31" s="75">
        <f t="shared" si="3"/>
        <v>-0.01</v>
      </c>
      <c r="E31">
        <f>COUNTIF(tables_362100!C:C,input_362100!A31)-COUNTIF(Q:Q,A31)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SUMIF(tables_362100!C:C,input_362100!A40,tables_362100!O:O)</f>
        <v>0</v>
      </c>
      <c r="C40" s="54">
        <f t="shared" ref="C40:C46" ca="1" si="9">B40/B$47</f>
        <v>0</v>
      </c>
      <c r="E40">
        <v>3</v>
      </c>
      <c r="F40">
        <f ca="1">SUMIF(tables_362100!J:J,input_362100!E40,tables_362100!O:O)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SUMIF(tables_362100!C:C,input_362100!A41,tables_362100!O:O)</f>
        <v>183768</v>
      </c>
      <c r="C41" s="54">
        <f t="shared" ca="1" si="9"/>
        <v>0.88828306264501156</v>
      </c>
      <c r="E41">
        <v>4</v>
      </c>
      <c r="F41">
        <f ca="1">SUMIF(tables_362100!J:J,input_362100!E41,tables_362100!O:O)</f>
        <v>300800</v>
      </c>
      <c r="G41">
        <f ca="1">F41/A36</f>
        <v>0.94</v>
      </c>
    </row>
    <row r="42" spans="1:7" x14ac:dyDescent="0.15">
      <c r="A42" s="33" t="s">
        <v>106</v>
      </c>
      <c r="B42">
        <f ca="1">SUMIF(tables_362100!C:C,input_362100!A42,tables_362100!O:O)</f>
        <v>12768</v>
      </c>
      <c r="C42" s="54">
        <f t="shared" ca="1" si="9"/>
        <v>6.1716937354988399E-2</v>
      </c>
      <c r="E42">
        <v>5</v>
      </c>
      <c r="F42">
        <f ca="1">SUMIF(tables_362100!J:J,input_362100!E42,tables_362100!O:O)</f>
        <v>19200</v>
      </c>
      <c r="G42">
        <f ca="1">F42/A36</f>
        <v>0.06</v>
      </c>
    </row>
    <row r="43" spans="1:7" x14ac:dyDescent="0.15">
      <c r="A43" s="33" t="s">
        <v>109</v>
      </c>
      <c r="B43">
        <f>SUMIF(tables_362100!C:C,input_362100!A43,tables_362100!O:O)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SUMIF(tables_362100!C:C,input_362100!A44,tables_362100!O:O)</f>
        <v>9672</v>
      </c>
      <c r="C44" s="54">
        <f t="shared" ca="1" si="9"/>
        <v>4.6751740139211136E-2</v>
      </c>
      <c r="E44" t="s">
        <v>54</v>
      </c>
      <c r="F44" s="55"/>
    </row>
    <row r="45" spans="1:7" x14ac:dyDescent="0.15">
      <c r="A45" s="33" t="s">
        <v>107</v>
      </c>
      <c r="B45">
        <f ca="1">SUMIF(tables_362100!C:C,input_362100!A45,tables_362100!O:O)</f>
        <v>672</v>
      </c>
      <c r="C45" s="54">
        <f t="shared" ca="1" si="9"/>
        <v>3.2482598607888632E-3</v>
      </c>
      <c r="E45" t="s">
        <v>204</v>
      </c>
      <c r="F45" s="55">
        <f ca="1">SUMIF(tables_362100!I:I,input_362100!E45,tables_362100!P:P)</f>
        <v>0.23249999999999996</v>
      </c>
    </row>
    <row r="46" spans="1:7" x14ac:dyDescent="0.15">
      <c r="A46" s="33" t="s">
        <v>108</v>
      </c>
      <c r="B46">
        <f>SUMIF(tables_362100!C:C,input_362100!A46,tables_362100!O:O)</f>
        <v>0</v>
      </c>
      <c r="C46" s="54">
        <f t="shared" ca="1" si="9"/>
        <v>0</v>
      </c>
      <c r="E46" t="s">
        <v>205</v>
      </c>
      <c r="F46" s="55">
        <f ca="1">SUMIF(tables_362100!I:I,input_362100!E46,tables_362100!P:P)</f>
        <v>0.20212500000000003</v>
      </c>
    </row>
    <row r="47" spans="1:7" x14ac:dyDescent="0.15">
      <c r="A47" s="39" t="s">
        <v>59</v>
      </c>
      <c r="B47">
        <f ca="1">SUM(B40:B46)</f>
        <v>206880</v>
      </c>
      <c r="C47" s="55">
        <f ca="1">SUM(C40:C46)</f>
        <v>1</v>
      </c>
      <c r="E47" t="s">
        <v>206</v>
      </c>
      <c r="F47" s="55">
        <f ca="1">SUMIF(tables_362100!I:I,input_362100!E47,tables_362100!P:P)</f>
        <v>0.5013749999999999</v>
      </c>
    </row>
    <row r="48" spans="1:7" x14ac:dyDescent="0.15">
      <c r="E48" t="s">
        <v>207</v>
      </c>
      <c r="F48" s="55">
        <f ca="1">SUMIF(tables_362100!I:I,input_362100!E48,tables_362100!P:P)</f>
        <v>5.4000000000000006E-2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1"/>
  <sheetViews>
    <sheetView showGridLines="0" zoomScale="75" zoomScaleNormal="75" zoomScalePageLayoutView="75" workbookViewId="0">
      <pane ySplit="1" topLeftCell="A277" activePane="bottomLeft" state="frozen"/>
      <selection activeCell="J12" sqref="J12"/>
      <selection pane="bottomLeft" activeCell="N293" sqref="N29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input_362100!A$2</f>
        <v>362100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IFERROR(VLOOKUP(B2,input_362100!L:R,7,FALSE),VLOOKUP(tables_362100!C2,input_362100!A:H,8,FALSE))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input_362100!A$2</f>
        <v>362100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IFERROR(VLOOKUP(B3,input_362100!L:R,7,FALSE),VLOOKUP(tables_362100!C3,input_362100!A:H,8,FALSE))</f>
        <v>3720</v>
      </c>
      <c r="P3" s="46">
        <f ca="1">O3/SUM(O:O)</f>
        <v>1.1625E-2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input_362100!A$2</f>
        <v>362100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IFERROR(VLOOKUP(B4,input_362100!L:R,7,FALSE),VLOOKUP(tables_362100!C4,input_362100!A:H,8,FALSE))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input_362100!A$2</f>
        <v>362100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IFERROR(VLOOKUP(B5,input_362100!L:R,7,FALSE),VLOOKUP(tables_362100!C5,input_362100!A:H,8,FALSE))</f>
        <v>3720</v>
      </c>
      <c r="P5" s="46">
        <f ca="1">O5/SUM(O:O)</f>
        <v>1.1625E-2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input_362100!A$2</f>
        <v>362100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IFERROR(VLOOKUP(B6,input_362100!L:R,7,FALSE),VLOOKUP(tables_362100!C6,input_362100!A:H,8,FALSE))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input_362100!A$2</f>
        <v>362100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IFERROR(VLOOKUP(B7,input_362100!L:R,7,FALSE),VLOOKUP(tables_362100!C7,input_362100!A:H,8,FALSE))</f>
        <v>3720</v>
      </c>
      <c r="P7" s="46">
        <f ca="1">O7/SUM(O:O)</f>
        <v>1.1625E-2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input_362100!A$2</f>
        <v>362100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IFERROR(VLOOKUP(B8,input_362100!L:R,7,FALSE),VLOOKUP(tables_362100!C8,input_362100!A:H,8,FALSE))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input_362100!A$2</f>
        <v>362100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IFERROR(VLOOKUP(B9,input_362100!L:R,7,FALSE),VLOOKUP(tables_362100!C9,input_362100!A:H,8,FALSE))</f>
        <v>3720</v>
      </c>
      <c r="P9" s="46">
        <f ca="1">O9/SUM(O:O)</f>
        <v>1.1625E-2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input_362100!A$2</f>
        <v>362100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IFERROR(VLOOKUP(B10,input_362100!L:R,7,FALSE),VLOOKUP(tables_362100!C10,input_362100!A:H,8,FALSE))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input_362100!A$2</f>
        <v>362100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IFERROR(VLOOKUP(B11,input_362100!L:R,7,FALSE),VLOOKUP(tables_362100!C11,input_362100!A:H,8,FALSE))</f>
        <v>3720</v>
      </c>
      <c r="P11" s="46">
        <f ca="1">O11/SUM(O:O)</f>
        <v>1.1625E-2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input_362100!A$2</f>
        <v>362100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IFERROR(VLOOKUP(B12,input_362100!L:R,7,FALSE),VLOOKUP(tables_362100!C12,input_362100!A:H,8,FALSE))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input_362100!A$2</f>
        <v>362100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IFERROR(VLOOKUP(B13,input_362100!L:R,7,FALSE),VLOOKUP(tables_362100!C13,input_362100!A:H,8,FALSE))</f>
        <v>3720</v>
      </c>
      <c r="P13" s="46">
        <f ca="1">O13/SUM(O:O)</f>
        <v>1.1625E-2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input_362100!A$2</f>
        <v>362100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IFERROR(VLOOKUP(B14,input_362100!L:R,7,FALSE),VLOOKUP(tables_362100!C14,input_362100!A:H,8,FALSE))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input_362100!A$2</f>
        <v>362100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IFERROR(VLOOKUP(B15,input_362100!L:R,7,FALSE),VLOOKUP(tables_362100!C15,input_362100!A:H,8,FALSE))</f>
        <v>3720</v>
      </c>
      <c r="P15" s="46">
        <f ca="1">O15/SUM(O:O)</f>
        <v>1.1625E-2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input_362100!A$2</f>
        <v>362100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IFERROR(VLOOKUP(B16,input_362100!L:R,7,FALSE),VLOOKUP(tables_362100!C16,input_362100!A:H,8,FALSE))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input_362100!A$2</f>
        <v>362100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IFERROR(VLOOKUP(B17,input_362100!L:R,7,FALSE),VLOOKUP(tables_362100!C17,input_362100!A:H,8,FALSE))</f>
        <v>3720</v>
      </c>
      <c r="P17" s="46">
        <f ca="1">O17/SUM(O:O)</f>
        <v>1.1625E-2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input_362100!A$2</f>
        <v>362100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IFERROR(VLOOKUP(B18,input_362100!L:R,7,FALSE),VLOOKUP(tables_362100!C18,input_362100!A:H,8,FALSE))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input_362100!A$2</f>
        <v>362100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IFERROR(VLOOKUP(B19,input_362100!L:R,7,FALSE),VLOOKUP(tables_362100!C19,input_362100!A:H,8,FALSE))</f>
        <v>3720</v>
      </c>
      <c r="P19" s="46">
        <f ca="1">O19/SUM(O:O)</f>
        <v>1.1625E-2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input_362100!A$2</f>
        <v>362100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IFERROR(VLOOKUP(B20,input_362100!L:R,7,FALSE),VLOOKUP(tables_362100!C20,input_362100!A:H,8,FALSE))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input_362100!A$2</f>
        <v>362100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IFERROR(VLOOKUP(B21,input_362100!L:R,7,FALSE),VLOOKUP(tables_362100!C21,input_362100!A:H,8,FALSE))</f>
        <v>3720</v>
      </c>
      <c r="P21" s="46">
        <f ca="1">O21/SUM(O:O)</f>
        <v>1.1625E-2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input_362100!A$2</f>
        <v>362100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IFERROR(VLOOKUP(B22,input_362100!L:R,7,FALSE),VLOOKUP(tables_362100!C22,input_362100!A:H,8,FALSE))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input_362100!A$2</f>
        <v>362100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IFERROR(VLOOKUP(B23,input_362100!L:R,7,FALSE),VLOOKUP(tables_362100!C23,input_362100!A:H,8,FALSE))</f>
        <v>3720</v>
      </c>
      <c r="P23" s="46">
        <f ca="1">O23/SUM(O:O)</f>
        <v>1.1625E-2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input_362100!A$2</f>
        <v>362100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IFERROR(VLOOKUP(B24,input_362100!L:R,7,FALSE),VLOOKUP(tables_362100!C24,input_362100!A:H,8,FALSE))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input_362100!A$2</f>
        <v>362100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IFERROR(VLOOKUP(B25,input_362100!L:R,7,FALSE),VLOOKUP(tables_362100!C25,input_362100!A:H,8,FALSE))</f>
        <v>3720</v>
      </c>
      <c r="P25" s="46">
        <f ca="1">O25/SUM(O:O)</f>
        <v>1.1625E-2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input_362100!A$2</f>
        <v>362100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IFERROR(VLOOKUP(B26,input_362100!L:R,7,FALSE),VLOOKUP(tables_362100!C26,input_362100!A:H,8,FALSE))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input_362100!A$2</f>
        <v>362100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IFERROR(VLOOKUP(B27,input_362100!L:R,7,FALSE),VLOOKUP(tables_362100!C27,input_362100!A:H,8,FALSE))</f>
        <v>3720</v>
      </c>
      <c r="P27" s="46">
        <f ca="1">O27/SUM(O:O)</f>
        <v>1.1625E-2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input_362100!A$2</f>
        <v>362100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IFERROR(VLOOKUP(B28,input_362100!L:R,7,FALSE),VLOOKUP(tables_362100!C28,input_362100!A:H,8,FALSE))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input_362100!A$2</f>
        <v>362100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IFERROR(VLOOKUP(B29,input_362100!L:R,7,FALSE),VLOOKUP(tables_362100!C29,input_362100!A:H,8,FALSE))</f>
        <v>3720</v>
      </c>
      <c r="P29" s="46">
        <f ca="1">O29/SUM(O:O)</f>
        <v>1.1625E-2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input_362100!A$2</f>
        <v>362100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IFERROR(VLOOKUP(B30,input_362100!L:R,7,FALSE),VLOOKUP(tables_362100!C30,input_362100!A:H,8,FALSE))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input_362100!A$2</f>
        <v>362100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IFERROR(VLOOKUP(B31,input_362100!L:R,7,FALSE),VLOOKUP(tables_362100!C31,input_362100!A:H,8,FALSE))</f>
        <v>3720</v>
      </c>
      <c r="P31" s="46">
        <f ca="1">O31/SUM(O:O)</f>
        <v>1.1625E-2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input_362100!A$2</f>
        <v>362100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IFERROR(VLOOKUP(B32,input_362100!L:R,7,FALSE),VLOOKUP(tables_362100!C32,input_362100!A:H,8,FALSE))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input_362100!A$2</f>
        <v>362100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IFERROR(VLOOKUP(B33,input_362100!L:R,7,FALSE),VLOOKUP(tables_362100!C33,input_362100!A:H,8,FALSE))</f>
        <v>3720</v>
      </c>
      <c r="P33" s="46">
        <f ca="1">O33/SUM(O:O)</f>
        <v>1.1625E-2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input_362100!A$2</f>
        <v>362100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IFERROR(VLOOKUP(B34,input_362100!L:R,7,FALSE),VLOOKUP(tables_362100!C34,input_362100!A:H,8,FALSE))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input_362100!A$2</f>
        <v>362100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IFERROR(VLOOKUP(B35,input_362100!L:R,7,FALSE),VLOOKUP(tables_362100!C35,input_362100!A:H,8,FALSE))</f>
        <v>3720</v>
      </c>
      <c r="P35" s="46">
        <f ca="1">O35/SUM(O:O)</f>
        <v>1.1625E-2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input_362100!A$2</f>
        <v>362100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IFERROR(VLOOKUP(B36,input_362100!L:R,7,FALSE),VLOOKUP(tables_362100!C36,input_362100!A:H,8,FALSE))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input_362100!A$2</f>
        <v>362100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IFERROR(VLOOKUP(B37,input_362100!L:R,7,FALSE),VLOOKUP(tables_362100!C37,input_362100!A:H,8,FALSE))</f>
        <v>3720</v>
      </c>
      <c r="P37" s="46">
        <f ca="1">O37/SUM(O:O)</f>
        <v>1.1625E-2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input_362100!A$2</f>
        <v>362100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IFERROR(VLOOKUP(B38,input_362100!L:R,7,FALSE),VLOOKUP(tables_362100!C38,input_362100!A:H,8,FALSE))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input_362100!A$2</f>
        <v>362100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IFERROR(VLOOKUP(B39,input_362100!L:R,7,FALSE),VLOOKUP(tables_362100!C39,input_362100!A:H,8,FALSE))</f>
        <v>3720</v>
      </c>
      <c r="P39" s="46">
        <f ca="1">O39/SUM(O:O)</f>
        <v>1.1625E-2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input_362100!A$2</f>
        <v>362100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IFERROR(VLOOKUP(B40,input_362100!L:R,7,FALSE),VLOOKUP(tables_362100!C40,input_362100!A:H,8,FALSE))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input_362100!A$2</f>
        <v>362100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IFERROR(VLOOKUP(B41,input_362100!L:R,7,FALSE),VLOOKUP(tables_362100!C41,input_362100!A:H,8,FALSE))</f>
        <v>3720</v>
      </c>
      <c r="P41" s="46">
        <f ca="1">O41/SUM(O:O)</f>
        <v>1.1625E-2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input_362100!A$2</f>
        <v>362100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IFERROR(VLOOKUP(B42,input_362100!L:R,7,FALSE),VLOOKUP(tables_362100!C42,input_362100!A:H,8,FALSE))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input_362100!A$2</f>
        <v>362100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IFERROR(VLOOKUP(B43,input_362100!L:R,7,FALSE),VLOOKUP(tables_362100!C43,input_362100!A:H,8,FALSE))</f>
        <v>456</v>
      </c>
      <c r="P43" s="46">
        <f ca="1">O43/SUM(O:O)</f>
        <v>1.4250000000000001E-3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input_362100!A$2</f>
        <v>362100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IFERROR(VLOOKUP(B44,input_362100!L:R,7,FALSE),VLOOKUP(tables_362100!C44,input_362100!A:H,8,FALSE))</f>
        <v>24</v>
      </c>
      <c r="P44" s="46">
        <f ca="1">O44/SUM(O:O)</f>
        <v>7.4999999999999993E-5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input_362100!A$2</f>
        <v>362100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IFERROR(VLOOKUP(B45,input_362100!L:R,7,FALSE),VLOOKUP(tables_362100!C45,input_362100!A:H,8,FALSE))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input_362100!A$2</f>
        <v>362100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IFERROR(VLOOKUP(B46,input_362100!L:R,7,FALSE),VLOOKUP(tables_362100!C46,input_362100!A:H,8,FALSE))</f>
        <v>456</v>
      </c>
      <c r="P46" s="46">
        <f ca="1">O46/SUM(O:O)</f>
        <v>1.4250000000000001E-3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input_362100!A$2</f>
        <v>362100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IFERROR(VLOOKUP(B47,input_362100!L:R,7,FALSE),VLOOKUP(tables_362100!C47,input_362100!A:H,8,FALSE))</f>
        <v>24</v>
      </c>
      <c r="P47" s="46">
        <f ca="1">O47/SUM(O:O)</f>
        <v>7.4999999999999993E-5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input_362100!A$2</f>
        <v>362100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IFERROR(VLOOKUP(B48,input_362100!L:R,7,FALSE),VLOOKUP(tables_362100!C48,input_362100!A:H,8,FALSE))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input_362100!A$2</f>
        <v>362100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IFERROR(VLOOKUP(B49,input_362100!L:R,7,FALSE),VLOOKUP(tables_362100!C49,input_362100!A:H,8,FALSE))</f>
        <v>456</v>
      </c>
      <c r="P49" s="46">
        <f ca="1">O49/SUM(O:O)</f>
        <v>1.4250000000000001E-3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input_362100!A$2</f>
        <v>362100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IFERROR(VLOOKUP(B50,input_362100!L:R,7,FALSE),VLOOKUP(tables_362100!C50,input_362100!A:H,8,FALSE))</f>
        <v>24</v>
      </c>
      <c r="P50" s="46">
        <f ca="1">O50/SUM(O:O)</f>
        <v>7.4999999999999993E-5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input_362100!A$2</f>
        <v>362100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IFERROR(VLOOKUP(B51,input_362100!L:R,7,FALSE),VLOOKUP(tables_362100!C51,input_362100!A:H,8,FALSE))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input_362100!A$2</f>
        <v>362100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IFERROR(VLOOKUP(B52,input_362100!L:R,7,FALSE),VLOOKUP(tables_362100!C52,input_362100!A:H,8,FALSE))</f>
        <v>3534</v>
      </c>
      <c r="P52" s="46">
        <f ca="1">O52/SUM(O:O)</f>
        <v>1.104375E-2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input_362100!A$2</f>
        <v>362100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IFERROR(VLOOKUP(B53,input_362100!L:R,7,FALSE),VLOOKUP(tables_362100!C53,input_362100!A:H,8,FALSE))</f>
        <v>186</v>
      </c>
      <c r="P53" s="46">
        <f ca="1">O53/SUM(O:O)</f>
        <v>5.8124999999999995E-4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input_362100!A$2</f>
        <v>362100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IFERROR(VLOOKUP(B54,input_362100!L:R,7,FALSE),VLOOKUP(tables_362100!C54,input_362100!A:H,8,FALSE))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input_362100!A$2</f>
        <v>362100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IFERROR(VLOOKUP(B55,input_362100!L:R,7,FALSE),VLOOKUP(tables_362100!C55,input_362100!A:H,8,FALSE))</f>
        <v>3534</v>
      </c>
      <c r="P55" s="46">
        <f ca="1">O55/SUM(O:O)</f>
        <v>1.104375E-2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input_362100!A$2</f>
        <v>362100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IFERROR(VLOOKUP(B56,input_362100!L:R,7,FALSE),VLOOKUP(tables_362100!C56,input_362100!A:H,8,FALSE))</f>
        <v>186</v>
      </c>
      <c r="P56" s="46">
        <f ca="1">O56/SUM(O:O)</f>
        <v>5.8124999999999995E-4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input_362100!A$2</f>
        <v>362100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IFERROR(VLOOKUP(B57,input_362100!L:R,7,FALSE),VLOOKUP(tables_362100!C57,input_362100!A:H,8,FALSE))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input_362100!A$2</f>
        <v>362100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IFERROR(VLOOKUP(B58,input_362100!L:R,7,FALSE),VLOOKUP(tables_362100!C58,input_362100!A:H,8,FALSE))</f>
        <v>3534</v>
      </c>
      <c r="P58" s="46">
        <f ca="1">O58/SUM(O:O)</f>
        <v>1.104375E-2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input_362100!A$2</f>
        <v>362100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IFERROR(VLOOKUP(B59,input_362100!L:R,7,FALSE),VLOOKUP(tables_362100!C59,input_362100!A:H,8,FALSE))</f>
        <v>186</v>
      </c>
      <c r="P59" s="46">
        <f ca="1">O59/SUM(O:O)</f>
        <v>5.8124999999999995E-4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input_362100!A$2</f>
        <v>362100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IFERROR(VLOOKUP(B60,input_362100!L:R,7,FALSE),VLOOKUP(tables_362100!C60,input_362100!A:H,8,FALSE))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input_362100!A$2</f>
        <v>362100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IFERROR(VLOOKUP(B61,input_362100!L:R,7,FALSE),VLOOKUP(tables_362100!C61,input_362100!A:H,8,FALSE))</f>
        <v>3534</v>
      </c>
      <c r="P61" s="46">
        <f ca="1">O61/SUM(O:O)</f>
        <v>1.104375E-2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input_362100!A$2</f>
        <v>362100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IFERROR(VLOOKUP(B62,input_362100!L:R,7,FALSE),VLOOKUP(tables_362100!C62,input_362100!A:H,8,FALSE))</f>
        <v>186</v>
      </c>
      <c r="P62" s="46">
        <f ca="1">O62/SUM(O:O)</f>
        <v>5.8124999999999995E-4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input_362100!A$2</f>
        <v>362100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IFERROR(VLOOKUP(B63,input_362100!L:R,7,FALSE),VLOOKUP(tables_362100!C63,input_362100!A:H,8,FALSE))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input_362100!A$2</f>
        <v>362100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IFERROR(VLOOKUP(B64,input_362100!L:R,7,FALSE),VLOOKUP(tables_362100!C64,input_362100!A:H,8,FALSE))</f>
        <v>3534</v>
      </c>
      <c r="P64" s="46">
        <f ca="1">O64/SUM(O:O)</f>
        <v>1.104375E-2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input_362100!A$2</f>
        <v>362100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IFERROR(VLOOKUP(B65,input_362100!L:R,7,FALSE),VLOOKUP(tables_362100!C65,input_362100!A:H,8,FALSE))</f>
        <v>186</v>
      </c>
      <c r="P65" s="46">
        <f ca="1">O65/SUM(O:O)</f>
        <v>5.8124999999999995E-4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input_362100!A$2</f>
        <v>362100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IFERROR(VLOOKUP(B66,input_362100!L:R,7,FALSE),VLOOKUP(tables_362100!C66,input_362100!A:H,8,FALSE))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input_362100!A$2</f>
        <v>362100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IFERROR(VLOOKUP(B67,input_362100!L:R,7,FALSE),VLOOKUP(tables_362100!C67,input_362100!A:H,8,FALSE))</f>
        <v>3534</v>
      </c>
      <c r="P67" s="46">
        <f ca="1">O67/SUM(O:O)</f>
        <v>1.104375E-2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input_362100!A$2</f>
        <v>362100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IFERROR(VLOOKUP(B68,input_362100!L:R,7,FALSE),VLOOKUP(tables_362100!C68,input_362100!A:H,8,FALSE))</f>
        <v>186</v>
      </c>
      <c r="P68" s="46">
        <f ca="1">O68/SUM(O:O)</f>
        <v>5.8124999999999995E-4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input_362100!A$2</f>
        <v>362100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IFERROR(VLOOKUP(B69,input_362100!L:R,7,FALSE),VLOOKUP(tables_362100!C69,input_362100!A:H,8,FALSE))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input_362100!A$2</f>
        <v>362100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IFERROR(VLOOKUP(B70,input_362100!L:R,7,FALSE),VLOOKUP(tables_362100!C70,input_362100!A:H,8,FALSE))</f>
        <v>3534</v>
      </c>
      <c r="P70" s="46">
        <f ca="1">O70/SUM(O:O)</f>
        <v>1.104375E-2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input_362100!A$2</f>
        <v>362100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IFERROR(VLOOKUP(B71,input_362100!L:R,7,FALSE),VLOOKUP(tables_362100!C71,input_362100!A:H,8,FALSE))</f>
        <v>186</v>
      </c>
      <c r="P71" s="46">
        <f ca="1">O71/SUM(O:O)</f>
        <v>5.8124999999999995E-4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input_362100!A$2</f>
        <v>362100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IFERROR(VLOOKUP(B72,input_362100!L:R,7,FALSE),VLOOKUP(tables_362100!C72,input_362100!A:H,8,FALSE))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input_362100!A$2</f>
        <v>362100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IFERROR(VLOOKUP(B73,input_362100!L:R,7,FALSE),VLOOKUP(tables_362100!C73,input_362100!A:H,8,FALSE))</f>
        <v>3534</v>
      </c>
      <c r="P73" s="46">
        <f ca="1">O73/SUM(O:O)</f>
        <v>1.104375E-2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input_362100!A$2</f>
        <v>362100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IFERROR(VLOOKUP(B74,input_362100!L:R,7,FALSE),VLOOKUP(tables_362100!C74,input_362100!A:H,8,FALSE))</f>
        <v>186</v>
      </c>
      <c r="P74" s="46">
        <f ca="1">O74/SUM(O:O)</f>
        <v>5.8124999999999995E-4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input_362100!A$2</f>
        <v>362100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IFERROR(VLOOKUP(B75,input_362100!L:R,7,FALSE),VLOOKUP(tables_362100!C75,input_362100!A:H,8,FALSE))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input_362100!A$2</f>
        <v>362100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IFERROR(VLOOKUP(B76,input_362100!L:R,7,FALSE),VLOOKUP(tables_362100!C76,input_362100!A:H,8,FALSE))</f>
        <v>3534</v>
      </c>
      <c r="P76" s="46">
        <f ca="1">O76/SUM(O:O)</f>
        <v>1.104375E-2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input_362100!A$2</f>
        <v>362100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IFERROR(VLOOKUP(B77,input_362100!L:R,7,FALSE),VLOOKUP(tables_362100!C77,input_362100!A:H,8,FALSE))</f>
        <v>186</v>
      </c>
      <c r="P77" s="46">
        <f ca="1">O77/SUM(O:O)</f>
        <v>5.8124999999999995E-4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input_362100!A$2</f>
        <v>362100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IFERROR(VLOOKUP(B78,input_362100!L:R,7,FALSE),VLOOKUP(tables_362100!C78,input_362100!A:H,8,FALSE))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input_362100!A$2</f>
        <v>362100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IFERROR(VLOOKUP(B79,input_362100!L:R,7,FALSE),VLOOKUP(tables_362100!C79,input_362100!A:H,8,FALSE))</f>
        <v>3534</v>
      </c>
      <c r="P79" s="46">
        <f ca="1">O79/SUM(O:O)</f>
        <v>1.104375E-2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input_362100!A$2</f>
        <v>362100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IFERROR(VLOOKUP(B80,input_362100!L:R,7,FALSE),VLOOKUP(tables_362100!C80,input_362100!A:H,8,FALSE))</f>
        <v>186</v>
      </c>
      <c r="P80" s="46">
        <f ca="1">O80/SUM(O:O)</f>
        <v>5.8124999999999995E-4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input_362100!A$2</f>
        <v>362100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IFERROR(VLOOKUP(B81,input_362100!L:R,7,FALSE),VLOOKUP(tables_362100!C81,input_362100!A:H,8,FALSE))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input_362100!A$2</f>
        <v>362100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IFERROR(VLOOKUP(B82,input_362100!L:R,7,FALSE),VLOOKUP(tables_362100!C82,input_362100!A:H,8,FALSE))</f>
        <v>3534</v>
      </c>
      <c r="P82" s="46">
        <f ca="1">O82/SUM(O:O)</f>
        <v>1.104375E-2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input_362100!A$2</f>
        <v>362100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IFERROR(VLOOKUP(B83,input_362100!L:R,7,FALSE),VLOOKUP(tables_362100!C83,input_362100!A:H,8,FALSE))</f>
        <v>186</v>
      </c>
      <c r="P83" s="46">
        <f ca="1">O83/SUM(O:O)</f>
        <v>5.8124999999999995E-4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input_362100!A$2</f>
        <v>362100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IFERROR(VLOOKUP(B84,input_362100!L:R,7,FALSE),VLOOKUP(tables_362100!C84,input_362100!A:H,8,FALSE))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input_362100!A$2</f>
        <v>362100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IFERROR(VLOOKUP(B85,input_362100!L:R,7,FALSE),VLOOKUP(tables_362100!C85,input_362100!A:H,8,FALSE))</f>
        <v>3534</v>
      </c>
      <c r="P85" s="46">
        <f ca="1">O85/SUM(O:O)</f>
        <v>1.104375E-2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input_362100!A$2</f>
        <v>362100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IFERROR(VLOOKUP(B86,input_362100!L:R,7,FALSE),VLOOKUP(tables_362100!C86,input_362100!A:H,8,FALSE))</f>
        <v>186</v>
      </c>
      <c r="P86" s="46">
        <f ca="1">O86/SUM(O:O)</f>
        <v>5.8124999999999995E-4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input_362100!A$2</f>
        <v>362100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IFERROR(VLOOKUP(B87,input_362100!L:R,7,FALSE),VLOOKUP(tables_362100!C87,input_362100!A:H,8,FALSE))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input_362100!A$2</f>
        <v>362100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IFERROR(VLOOKUP(B88,input_362100!L:R,7,FALSE),VLOOKUP(tables_362100!C88,input_362100!A:H,8,FALSE))</f>
        <v>3534</v>
      </c>
      <c r="P88" s="46">
        <f ca="1">O88/SUM(O:O)</f>
        <v>1.104375E-2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input_362100!A$2</f>
        <v>362100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IFERROR(VLOOKUP(B89,input_362100!L:R,7,FALSE),VLOOKUP(tables_362100!C89,input_362100!A:H,8,FALSE))</f>
        <v>186</v>
      </c>
      <c r="P89" s="46">
        <f ca="1">O89/SUM(O:O)</f>
        <v>5.8124999999999995E-4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input_362100!A$2</f>
        <v>362100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IFERROR(VLOOKUP(B90,input_362100!L:R,7,FALSE),VLOOKUP(tables_362100!C90,input_362100!A:H,8,FALSE))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input_362100!A$2</f>
        <v>362100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IFERROR(VLOOKUP(B91,input_362100!L:R,7,FALSE),VLOOKUP(tables_362100!C91,input_362100!A:H,8,FALSE))</f>
        <v>3534</v>
      </c>
      <c r="P91" s="46">
        <f ca="1">O91/SUM(O:O)</f>
        <v>1.104375E-2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input_362100!A$2</f>
        <v>362100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IFERROR(VLOOKUP(B92,input_362100!L:R,7,FALSE),VLOOKUP(tables_362100!C92,input_362100!A:H,8,FALSE))</f>
        <v>186</v>
      </c>
      <c r="P92" s="46">
        <f ca="1">O92/SUM(O:O)</f>
        <v>5.8124999999999995E-4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input_362100!A$2</f>
        <v>362100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IFERROR(VLOOKUP(B93,input_362100!L:R,7,FALSE),VLOOKUP(tables_362100!C93,input_362100!A:H,8,FALSE))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input_362100!A$2</f>
        <v>362100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IFERROR(VLOOKUP(B94,input_362100!L:R,7,FALSE),VLOOKUP(tables_362100!C94,input_362100!A:H,8,FALSE))</f>
        <v>3534</v>
      </c>
      <c r="P94" s="46">
        <f ca="1">O94/SUM(O:O)</f>
        <v>1.104375E-2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input_362100!A$2</f>
        <v>362100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IFERROR(VLOOKUP(B95,input_362100!L:R,7,FALSE),VLOOKUP(tables_362100!C95,input_362100!A:H,8,FALSE))</f>
        <v>186</v>
      </c>
      <c r="P95" s="46">
        <f ca="1">O95/SUM(O:O)</f>
        <v>5.8124999999999995E-4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input_362100!A$2</f>
        <v>362100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IFERROR(VLOOKUP(B96,input_362100!L:R,7,FALSE),VLOOKUP(tables_362100!C96,input_362100!A:H,8,FALSE))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input_362100!A$2</f>
        <v>362100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IFERROR(VLOOKUP(B97,input_362100!L:R,7,FALSE),VLOOKUP(tables_362100!C97,input_362100!A:H,8,FALSE))</f>
        <v>3534</v>
      </c>
      <c r="P97" s="46">
        <f ca="1">O97/SUM(O:O)</f>
        <v>1.104375E-2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input_362100!A$2</f>
        <v>362100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IFERROR(VLOOKUP(B98,input_362100!L:R,7,FALSE),VLOOKUP(tables_362100!C98,input_362100!A:H,8,FALSE))</f>
        <v>186</v>
      </c>
      <c r="P98" s="46">
        <f ca="1">O98/SUM(O:O)</f>
        <v>5.8124999999999995E-4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input_362100!A$2</f>
        <v>362100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IFERROR(VLOOKUP(B99,input_362100!L:R,7,FALSE),VLOOKUP(tables_362100!C99,input_362100!A:H,8,FALSE))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input_362100!A$2</f>
        <v>362100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IFERROR(VLOOKUP(B100,input_362100!L:R,7,FALSE),VLOOKUP(tables_362100!C100,input_362100!A:H,8,FALSE))</f>
        <v>3534</v>
      </c>
      <c r="P100" s="46">
        <f ca="1">O100/SUM(O:O)</f>
        <v>1.104375E-2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input_362100!A$2</f>
        <v>362100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IFERROR(VLOOKUP(B101,input_362100!L:R,7,FALSE),VLOOKUP(tables_362100!C101,input_362100!A:H,8,FALSE))</f>
        <v>186</v>
      </c>
      <c r="P101" s="46">
        <f ca="1">O101/SUM(O:O)</f>
        <v>5.8124999999999995E-4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input_362100!A$2</f>
        <v>362100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IFERROR(VLOOKUP(B102,input_362100!L:R,7,FALSE),VLOOKUP(tables_362100!C102,input_362100!A:H,8,FALSE))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input_362100!A$2</f>
        <v>362100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IFERROR(VLOOKUP(B103,input_362100!L:R,7,FALSE),VLOOKUP(tables_362100!C103,input_362100!A:H,8,FALSE))</f>
        <v>3534</v>
      </c>
      <c r="P103" s="46">
        <f ca="1">O103/SUM(O:O)</f>
        <v>1.104375E-2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input_362100!A$2</f>
        <v>362100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IFERROR(VLOOKUP(B104,input_362100!L:R,7,FALSE),VLOOKUP(tables_362100!C104,input_362100!A:H,8,FALSE))</f>
        <v>186</v>
      </c>
      <c r="P104" s="46">
        <f ca="1">O104/SUM(O:O)</f>
        <v>5.8124999999999995E-4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input_362100!A$2</f>
        <v>362100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IFERROR(VLOOKUP(B105,input_362100!L:R,7,FALSE),VLOOKUP(tables_362100!C105,input_362100!A:H,8,FALSE))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input_362100!A$2</f>
        <v>362100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IFERROR(VLOOKUP(B106,input_362100!L:R,7,FALSE),VLOOKUP(tables_362100!C106,input_362100!A:H,8,FALSE))</f>
        <v>3534</v>
      </c>
      <c r="P106" s="46">
        <f ca="1">O106/SUM(O:O)</f>
        <v>1.104375E-2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input_362100!A$2</f>
        <v>362100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IFERROR(VLOOKUP(B107,input_362100!L:R,7,FALSE),VLOOKUP(tables_362100!C107,input_362100!A:H,8,FALSE))</f>
        <v>186</v>
      </c>
      <c r="P107" s="46">
        <f ca="1">O107/SUM(O:O)</f>
        <v>5.8124999999999995E-4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input_362100!A$2</f>
        <v>362100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IFERROR(VLOOKUP(B108,input_362100!L:R,7,FALSE),VLOOKUP(tables_362100!C108,input_362100!A:H,8,FALSE))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input_362100!A$2</f>
        <v>362100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IFERROR(VLOOKUP(B109,input_362100!L:R,7,FALSE),VLOOKUP(tables_362100!C109,input_362100!A:H,8,FALSE))</f>
        <v>3534</v>
      </c>
      <c r="P109" s="46">
        <f ca="1">O109/SUM(O:O)</f>
        <v>1.104375E-2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input_362100!A$2</f>
        <v>362100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IFERROR(VLOOKUP(B110,input_362100!L:R,7,FALSE),VLOOKUP(tables_362100!C110,input_362100!A:H,8,FALSE))</f>
        <v>186</v>
      </c>
      <c r="P110" s="46">
        <f ca="1">O110/SUM(O:O)</f>
        <v>5.8124999999999995E-4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input_362100!A$2</f>
        <v>362100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IFERROR(VLOOKUP(B111,input_362100!L:R,7,FALSE),VLOOKUP(tables_362100!C111,input_362100!A:H,8,FALSE))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input_362100!A$2</f>
        <v>362100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IFERROR(VLOOKUP(B112,input_362100!L:R,7,FALSE),VLOOKUP(tables_362100!C112,input_362100!A:H,8,FALSE))</f>
        <v>456</v>
      </c>
      <c r="P112" s="46">
        <f ca="1">O112/SUM(O:O)</f>
        <v>1.4250000000000001E-3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input_362100!A$2</f>
        <v>362100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IFERROR(VLOOKUP(B113,input_362100!L:R,7,FALSE),VLOOKUP(tables_362100!C113,input_362100!A:H,8,FALSE))</f>
        <v>24</v>
      </c>
      <c r="P113" s="46">
        <f ca="1">O113/SUM(O:O)</f>
        <v>7.4999999999999993E-5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input_362100!A$2</f>
        <v>362100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IFERROR(VLOOKUP(B114,input_362100!L:R,7,FALSE),VLOOKUP(tables_362100!C114,input_362100!A:H,8,FALSE))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input_362100!A$2</f>
        <v>362100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IFERROR(VLOOKUP(B115,input_362100!L:R,7,FALSE),VLOOKUP(tables_362100!C115,input_362100!A:H,8,FALSE))</f>
        <v>3534</v>
      </c>
      <c r="P115" s="46">
        <f ca="1">O115/SUM(O:O)</f>
        <v>1.104375E-2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input_362100!A$2</f>
        <v>362100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IFERROR(VLOOKUP(B116,input_362100!L:R,7,FALSE),VLOOKUP(tables_362100!C116,input_362100!A:H,8,FALSE))</f>
        <v>186</v>
      </c>
      <c r="P116" s="46">
        <f ca="1">O116/SUM(O:O)</f>
        <v>5.8124999999999995E-4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input_362100!A$2</f>
        <v>362100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IFERROR(VLOOKUP(B117,input_362100!L:R,7,FALSE),VLOOKUP(tables_362100!C117,input_362100!A:H,8,FALSE))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input_362100!A$2</f>
        <v>362100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IFERROR(VLOOKUP(B118,input_362100!L:R,7,FALSE),VLOOKUP(tables_362100!C118,input_362100!A:H,8,FALSE))</f>
        <v>3534</v>
      </c>
      <c r="P118" s="46">
        <f ca="1">O118/SUM(O:O)</f>
        <v>1.104375E-2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input_362100!A$2</f>
        <v>362100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IFERROR(VLOOKUP(B119,input_362100!L:R,7,FALSE),VLOOKUP(tables_362100!C119,input_362100!A:H,8,FALSE))</f>
        <v>186</v>
      </c>
      <c r="P119" s="46">
        <f ca="1">O119/SUM(O:O)</f>
        <v>5.8124999999999995E-4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input_362100!A$2</f>
        <v>362100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IFERROR(VLOOKUP(B120,input_362100!L:R,7,FALSE),VLOOKUP(tables_362100!C120,input_362100!A:H,8,FALSE))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input_362100!A$2</f>
        <v>362100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IFERROR(VLOOKUP(B121,input_362100!L:R,7,FALSE),VLOOKUP(tables_362100!C121,input_362100!A:H,8,FALSE))</f>
        <v>3534</v>
      </c>
      <c r="P121" s="46">
        <f ca="1">O121/SUM(O:O)</f>
        <v>1.104375E-2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input_362100!A$2</f>
        <v>362100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IFERROR(VLOOKUP(B122,input_362100!L:R,7,FALSE),VLOOKUP(tables_362100!C122,input_362100!A:H,8,FALSE))</f>
        <v>186</v>
      </c>
      <c r="P122" s="46">
        <f ca="1">O122/SUM(O:O)</f>
        <v>5.8124999999999995E-4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input_362100!A$2</f>
        <v>362100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IFERROR(VLOOKUP(B123,input_362100!L:R,7,FALSE),VLOOKUP(tables_362100!C123,input_362100!A:H,8,FALSE))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input_362100!A$2</f>
        <v>362100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IFERROR(VLOOKUP(B124,input_362100!L:R,7,FALSE),VLOOKUP(tables_362100!C124,input_362100!A:H,8,FALSE))</f>
        <v>3534</v>
      </c>
      <c r="P124" s="46">
        <f ca="1">O124/SUM(O:O)</f>
        <v>1.104375E-2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input_362100!A$2</f>
        <v>362100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IFERROR(VLOOKUP(B125,input_362100!L:R,7,FALSE),VLOOKUP(tables_362100!C125,input_362100!A:H,8,FALSE))</f>
        <v>186</v>
      </c>
      <c r="P125" s="46">
        <f ca="1">O125/SUM(O:O)</f>
        <v>5.8124999999999995E-4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input_362100!A$2</f>
        <v>362100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IFERROR(VLOOKUP(B126,input_362100!L:R,7,FALSE),VLOOKUP(tables_362100!C126,input_362100!A:H,8,FALSE))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input_362100!A$2</f>
        <v>362100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IFERROR(VLOOKUP(B127,input_362100!L:R,7,FALSE),VLOOKUP(tables_362100!C127,input_362100!A:H,8,FALSE))</f>
        <v>3534</v>
      </c>
      <c r="P127" s="46">
        <f ca="1">O127/SUM(O:O)</f>
        <v>1.104375E-2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input_362100!A$2</f>
        <v>362100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IFERROR(VLOOKUP(B128,input_362100!L:R,7,FALSE),VLOOKUP(tables_362100!C128,input_362100!A:H,8,FALSE))</f>
        <v>186</v>
      </c>
      <c r="P128" s="46">
        <f ca="1">O128/SUM(O:O)</f>
        <v>5.8124999999999995E-4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input_362100!A$2</f>
        <v>362100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IFERROR(VLOOKUP(B129,input_362100!L:R,7,FALSE),VLOOKUP(tables_362100!C129,input_362100!A:H,8,FALSE))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input_362100!A$2</f>
        <v>362100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IFERROR(VLOOKUP(B130,input_362100!L:R,7,FALSE),VLOOKUP(tables_362100!C130,input_362100!A:H,8,FALSE))</f>
        <v>3534</v>
      </c>
      <c r="P130" s="46">
        <f ca="1">O130/SUM(O:O)</f>
        <v>1.104375E-2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input_362100!A$2</f>
        <v>362100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IFERROR(VLOOKUP(B131,input_362100!L:R,7,FALSE),VLOOKUP(tables_362100!C131,input_362100!A:H,8,FALSE))</f>
        <v>186</v>
      </c>
      <c r="P131" s="46">
        <f ca="1">O131/SUM(O:O)</f>
        <v>5.8124999999999995E-4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input_362100!A$2</f>
        <v>362100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IFERROR(VLOOKUP(B132,input_362100!L:R,7,FALSE),VLOOKUP(tables_362100!C132,input_362100!A:H,8,FALSE))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input_362100!A$2</f>
        <v>362100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IFERROR(VLOOKUP(B133,input_362100!L:R,7,FALSE),VLOOKUP(tables_362100!C133,input_362100!A:H,8,FALSE))</f>
        <v>3534</v>
      </c>
      <c r="P133" s="46">
        <f ca="1">O133/SUM(O:O)</f>
        <v>1.104375E-2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input_362100!A$2</f>
        <v>362100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IFERROR(VLOOKUP(B134,input_362100!L:R,7,FALSE),VLOOKUP(tables_362100!C134,input_362100!A:H,8,FALSE))</f>
        <v>186</v>
      </c>
      <c r="P134" s="46">
        <f ca="1">O134/SUM(O:O)</f>
        <v>5.8124999999999995E-4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input_362100!A$2</f>
        <v>362100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IFERROR(VLOOKUP(B135,input_362100!L:R,7,FALSE),VLOOKUP(tables_362100!C135,input_362100!A:H,8,FALSE))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input_362100!A$2</f>
        <v>362100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IFERROR(VLOOKUP(B136,input_362100!L:R,7,FALSE),VLOOKUP(tables_362100!C136,input_362100!A:H,8,FALSE))</f>
        <v>3534</v>
      </c>
      <c r="P136" s="46">
        <f ca="1">O136/SUM(O:O)</f>
        <v>1.104375E-2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input_362100!A$2</f>
        <v>362100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IFERROR(VLOOKUP(B137,input_362100!L:R,7,FALSE),VLOOKUP(tables_362100!C137,input_362100!A:H,8,FALSE))</f>
        <v>186</v>
      </c>
      <c r="P137" s="46">
        <f ca="1">O137/SUM(O:O)</f>
        <v>5.8124999999999995E-4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input_362100!A$2</f>
        <v>362100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IFERROR(VLOOKUP(B138,input_362100!L:R,7,FALSE),VLOOKUP(tables_362100!C138,input_362100!A:H,8,FALSE))</f>
        <v>456</v>
      </c>
      <c r="P138" s="46">
        <f ca="1">O138/SUM(O:O)</f>
        <v>1.4250000000000001E-3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input_362100!A$2</f>
        <v>362100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IFERROR(VLOOKUP(B139,input_362100!L:R,7,FALSE),VLOOKUP(tables_362100!C139,input_362100!A:H,8,FALSE))</f>
        <v>24</v>
      </c>
      <c r="P139" s="46">
        <f ca="1">O139/SUM(O:O)</f>
        <v>7.4999999999999993E-5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input_362100!A$2</f>
        <v>362100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IFERROR(VLOOKUP(B140,input_362100!L:R,7,FALSE),VLOOKUP(tables_362100!C140,input_362100!A:H,8,FALSE))</f>
        <v>456</v>
      </c>
      <c r="P140" s="46">
        <f ca="1">O140/SUM(O:O)</f>
        <v>1.4250000000000001E-3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input_362100!A$2</f>
        <v>362100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IFERROR(VLOOKUP(B141,input_362100!L:R,7,FALSE),VLOOKUP(tables_362100!C141,input_362100!A:H,8,FALSE))</f>
        <v>24</v>
      </c>
      <c r="P141" s="46">
        <f ca="1">O141/SUM(O:O)</f>
        <v>7.4999999999999993E-5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input_362100!A$2</f>
        <v>362100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IFERROR(VLOOKUP(B142,input_362100!L:R,7,FALSE),VLOOKUP(tables_362100!C142,input_362100!A:H,8,FALSE))</f>
        <v>456</v>
      </c>
      <c r="P142" s="46">
        <f ca="1">O142/SUM(O:O)</f>
        <v>1.4250000000000001E-3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input_362100!A$2</f>
        <v>362100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IFERROR(VLOOKUP(B143,input_362100!L:R,7,FALSE),VLOOKUP(tables_362100!C143,input_362100!A:H,8,FALSE))</f>
        <v>24</v>
      </c>
      <c r="P143" s="46">
        <f ca="1">O143/SUM(O:O)</f>
        <v>7.4999999999999993E-5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input_362100!A$2</f>
        <v>362100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IFERROR(VLOOKUP(B144,input_362100!L:R,7,FALSE),VLOOKUP(tables_362100!C144,input_362100!A:H,8,FALSE))</f>
        <v>456</v>
      </c>
      <c r="P144" s="46">
        <f ca="1">O144/SUM(O:O)</f>
        <v>1.4250000000000001E-3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input_362100!A$2</f>
        <v>362100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IFERROR(VLOOKUP(B145,input_362100!L:R,7,FALSE),VLOOKUP(tables_362100!C145,input_362100!A:H,8,FALSE))</f>
        <v>24</v>
      </c>
      <c r="P145" s="46">
        <f ca="1">O145/SUM(O:O)</f>
        <v>7.4999999999999993E-5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input_362100!A$2</f>
        <v>362100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IFERROR(VLOOKUP(B146,input_362100!L:R,7,FALSE),VLOOKUP(tables_362100!C146,input_362100!A:H,8,FALSE))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input_362100!A$2</f>
        <v>362100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IFERROR(VLOOKUP(B147,input_362100!L:R,7,FALSE),VLOOKUP(tables_362100!C147,input_362100!A:H,8,FALSE))</f>
        <v>3534</v>
      </c>
      <c r="P147" s="46">
        <f ca="1">O147/SUM(O:O)</f>
        <v>1.104375E-2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input_362100!A$2</f>
        <v>362100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IFERROR(VLOOKUP(B148,input_362100!L:R,7,FALSE),VLOOKUP(tables_362100!C148,input_362100!A:H,8,FALSE))</f>
        <v>186</v>
      </c>
      <c r="P148" s="46">
        <f ca="1">O148/SUM(O:O)</f>
        <v>5.8124999999999995E-4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input_362100!A$2</f>
        <v>362100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IFERROR(VLOOKUP(B149,input_362100!L:R,7,FALSE),VLOOKUP(tables_362100!C149,input_362100!A:H,8,FALSE))</f>
        <v>456</v>
      </c>
      <c r="P149" s="46">
        <f ca="1">O149/SUM(O:O)</f>
        <v>1.4250000000000001E-3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input_362100!A$2</f>
        <v>362100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IFERROR(VLOOKUP(B150,input_362100!L:R,7,FALSE),VLOOKUP(tables_362100!C150,input_362100!A:H,8,FALSE))</f>
        <v>24</v>
      </c>
      <c r="P150" s="46">
        <f ca="1">O150/SUM(O:O)</f>
        <v>7.4999999999999993E-5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input_362100!A$2</f>
        <v>362100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IFERROR(VLOOKUP(B151,input_362100!L:R,7,FALSE),VLOOKUP(tables_362100!C151,input_362100!A:H,8,FALSE))</f>
        <v>456</v>
      </c>
      <c r="P151" s="46">
        <f ca="1">O151/SUM(O:O)</f>
        <v>1.4250000000000001E-3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input_362100!A$2</f>
        <v>362100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IFERROR(VLOOKUP(B152,input_362100!L:R,7,FALSE),VLOOKUP(tables_362100!C152,input_362100!A:H,8,FALSE))</f>
        <v>24</v>
      </c>
      <c r="P152" s="46">
        <f ca="1">O152/SUM(O:O)</f>
        <v>7.4999999999999993E-5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input_362100!A$2</f>
        <v>362100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IFERROR(VLOOKUP(B153,input_362100!L:R,7,FALSE),VLOOKUP(tables_362100!C153,input_362100!A:H,8,FALSE))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input_362100!A$2</f>
        <v>362100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IFERROR(VLOOKUP(B154,input_362100!L:R,7,FALSE),VLOOKUP(tables_362100!C154,input_362100!A:H,8,FALSE))</f>
        <v>3534</v>
      </c>
      <c r="P154" s="46">
        <f ca="1">O154/SUM(O:O)</f>
        <v>1.104375E-2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input_362100!A$2</f>
        <v>362100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IFERROR(VLOOKUP(B155,input_362100!L:R,7,FALSE),VLOOKUP(tables_362100!C155,input_362100!A:H,8,FALSE))</f>
        <v>186</v>
      </c>
      <c r="P155" s="46">
        <f ca="1">O155/SUM(O:O)</f>
        <v>5.8124999999999995E-4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input_362100!A$2</f>
        <v>362100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IFERROR(VLOOKUP(B156,input_362100!L:R,7,FALSE),VLOOKUP(tables_362100!C156,input_362100!A:H,8,FALSE))</f>
        <v>456</v>
      </c>
      <c r="P156" s="46">
        <f ca="1">O156/SUM(O:O)</f>
        <v>1.4250000000000001E-3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input_362100!A$2</f>
        <v>362100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IFERROR(VLOOKUP(B157,input_362100!L:R,7,FALSE),VLOOKUP(tables_362100!C157,input_362100!A:H,8,FALSE))</f>
        <v>24</v>
      </c>
      <c r="P157" s="46">
        <f ca="1">O157/SUM(O:O)</f>
        <v>7.4999999999999993E-5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input_362100!A$2</f>
        <v>362100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IFERROR(VLOOKUP(B158,input_362100!L:R,7,FALSE),VLOOKUP(tables_362100!C158,input_362100!A:H,8,FALSE))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input_362100!A$2</f>
        <v>362100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IFERROR(VLOOKUP(B159,input_362100!L:R,7,FALSE),VLOOKUP(tables_362100!C159,input_362100!A:H,8,FALSE))</f>
        <v>3534</v>
      </c>
      <c r="P159" s="46">
        <f ca="1">O159/SUM(O:O)</f>
        <v>1.104375E-2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input_362100!A$2</f>
        <v>362100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IFERROR(VLOOKUP(B160,input_362100!L:R,7,FALSE),VLOOKUP(tables_362100!C160,input_362100!A:H,8,FALSE))</f>
        <v>186</v>
      </c>
      <c r="P160" s="46">
        <f ca="1">O160/SUM(O:O)</f>
        <v>5.8124999999999995E-4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input_362100!A$2</f>
        <v>362100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IFERROR(VLOOKUP(B161,input_362100!L:R,7,FALSE),VLOOKUP(tables_362100!C161,input_362100!A:H,8,FALSE))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input_362100!A$2</f>
        <v>362100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IFERROR(VLOOKUP(B162,input_362100!L:R,7,FALSE),VLOOKUP(tables_362100!C162,input_362100!A:H,8,FALSE))</f>
        <v>3534</v>
      </c>
      <c r="P162" s="46">
        <f ca="1">O162/SUM(O:O)</f>
        <v>1.104375E-2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input_362100!A$2</f>
        <v>362100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IFERROR(VLOOKUP(B163,input_362100!L:R,7,FALSE),VLOOKUP(tables_362100!C163,input_362100!A:H,8,FALSE))</f>
        <v>186</v>
      </c>
      <c r="P163" s="46">
        <f ca="1">O163/SUM(O:O)</f>
        <v>5.8124999999999995E-4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input_362100!A$2</f>
        <v>362100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IFERROR(VLOOKUP(B164,input_362100!L:R,7,FALSE),VLOOKUP(tables_362100!C164,input_362100!A:H,8,FALSE))</f>
        <v>456</v>
      </c>
      <c r="P164" s="46">
        <f ca="1">O164/SUM(O:O)</f>
        <v>1.4250000000000001E-3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input_362100!A$2</f>
        <v>362100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IFERROR(VLOOKUP(B165,input_362100!L:R,7,FALSE),VLOOKUP(tables_362100!C165,input_362100!A:H,8,FALSE))</f>
        <v>24</v>
      </c>
      <c r="P165" s="46">
        <f ca="1">O165/SUM(O:O)</f>
        <v>7.4999999999999993E-5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input_362100!A$2</f>
        <v>362100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IFERROR(VLOOKUP(B166,input_362100!L:R,7,FALSE),VLOOKUP(tables_362100!C166,input_362100!A:H,8,FALSE))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input_362100!A$2</f>
        <v>362100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IFERROR(VLOOKUP(B167,input_362100!L:R,7,FALSE),VLOOKUP(tables_362100!C167,input_362100!A:H,8,FALSE))</f>
        <v>3534</v>
      </c>
      <c r="P167" s="46">
        <f ca="1">O167/SUM(O:O)</f>
        <v>1.104375E-2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input_362100!A$2</f>
        <v>362100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IFERROR(VLOOKUP(B168,input_362100!L:R,7,FALSE),VLOOKUP(tables_362100!C168,input_362100!A:H,8,FALSE))</f>
        <v>186</v>
      </c>
      <c r="P168" s="46">
        <f ca="1">O168/SUM(O:O)</f>
        <v>5.8124999999999995E-4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input_362100!A$2</f>
        <v>362100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IFERROR(VLOOKUP(B169,input_362100!L:R,7,FALSE),VLOOKUP(tables_362100!C169,input_362100!A:H,8,FALSE))</f>
        <v>456</v>
      </c>
      <c r="P169" s="46">
        <f ca="1">O169/SUM(O:O)</f>
        <v>1.4250000000000001E-3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input_362100!A$2</f>
        <v>362100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IFERROR(VLOOKUP(B170,input_362100!L:R,7,FALSE),VLOOKUP(tables_362100!C170,input_362100!A:H,8,FALSE))</f>
        <v>24</v>
      </c>
      <c r="P170" s="46">
        <f ca="1">O170/SUM(O:O)</f>
        <v>7.4999999999999993E-5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input_362100!A$2</f>
        <v>362100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IFERROR(VLOOKUP(B171,input_362100!L:R,7,FALSE),VLOOKUP(tables_362100!C171,input_362100!A:H,8,FALSE))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input_362100!A$2</f>
        <v>362100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IFERROR(VLOOKUP(B172,input_362100!L:R,7,FALSE),VLOOKUP(tables_362100!C172,input_362100!A:H,8,FALSE))</f>
        <v>3534</v>
      </c>
      <c r="P172" s="46">
        <f ca="1">O172/SUM(O:O)</f>
        <v>1.104375E-2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input_362100!A$2</f>
        <v>362100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IFERROR(VLOOKUP(B173,input_362100!L:R,7,FALSE),VLOOKUP(tables_362100!C173,input_362100!A:H,8,FALSE))</f>
        <v>186</v>
      </c>
      <c r="P173" s="46">
        <f ca="1">O173/SUM(O:O)</f>
        <v>5.8124999999999995E-4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input_362100!A$2</f>
        <v>362100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IFERROR(VLOOKUP(B174,input_362100!L:R,7,FALSE),VLOOKUP(tables_362100!C174,input_362100!A:H,8,FALSE))</f>
        <v>456</v>
      </c>
      <c r="P174" s="46">
        <f ca="1">O174/SUM(O:O)</f>
        <v>1.4250000000000001E-3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input_362100!A$2</f>
        <v>362100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IFERROR(VLOOKUP(B175,input_362100!L:R,7,FALSE),VLOOKUP(tables_362100!C175,input_362100!A:H,8,FALSE))</f>
        <v>24</v>
      </c>
      <c r="P175" s="46">
        <f ca="1">O175/SUM(O:O)</f>
        <v>7.4999999999999993E-5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input_362100!A$2</f>
        <v>362100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IFERROR(VLOOKUP(B176,input_362100!L:R,7,FALSE),VLOOKUP(tables_362100!C176,input_362100!A:H,8,FALSE))</f>
        <v>456</v>
      </c>
      <c r="P176" s="46">
        <f ca="1">O176/SUM(O:O)</f>
        <v>1.4250000000000001E-3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input_362100!A$2</f>
        <v>362100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IFERROR(VLOOKUP(B177,input_362100!L:R,7,FALSE),VLOOKUP(tables_362100!C177,input_362100!A:H,8,FALSE))</f>
        <v>24</v>
      </c>
      <c r="P177" s="46">
        <f ca="1">O177/SUM(O:O)</f>
        <v>7.4999999999999993E-5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input_362100!A$2</f>
        <v>362100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IFERROR(VLOOKUP(B178,input_362100!L:R,7,FALSE),VLOOKUP(tables_362100!C178,input_362100!A:H,8,FALSE))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input_362100!A$2</f>
        <v>362100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IFERROR(VLOOKUP(B179,input_362100!L:R,7,FALSE),VLOOKUP(tables_362100!C179,input_362100!A:H,8,FALSE))</f>
        <v>3534</v>
      </c>
      <c r="P179" s="46">
        <f ca="1">O179/SUM(O:O)</f>
        <v>1.104375E-2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input_362100!A$2</f>
        <v>362100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IFERROR(VLOOKUP(B180,input_362100!L:R,7,FALSE),VLOOKUP(tables_362100!C180,input_362100!A:H,8,FALSE))</f>
        <v>186</v>
      </c>
      <c r="P180" s="46">
        <f ca="1">O180/SUM(O:O)</f>
        <v>5.8124999999999995E-4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input_362100!A$2</f>
        <v>362100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IFERROR(VLOOKUP(B181,input_362100!L:R,7,FALSE),VLOOKUP(tables_362100!C181,input_362100!A:H,8,FALSE))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input_362100!A$2</f>
        <v>362100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IFERROR(VLOOKUP(B182,input_362100!L:R,7,FALSE),VLOOKUP(tables_362100!C182,input_362100!A:H,8,FALSE))</f>
        <v>3534</v>
      </c>
      <c r="P182" s="46">
        <f ca="1">O182/SUM(O:O)</f>
        <v>1.104375E-2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input_362100!A$2</f>
        <v>362100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IFERROR(VLOOKUP(B183,input_362100!L:R,7,FALSE),VLOOKUP(tables_362100!C183,input_362100!A:H,8,FALSE))</f>
        <v>186</v>
      </c>
      <c r="P183" s="46">
        <f ca="1">O183/SUM(O:O)</f>
        <v>5.8124999999999995E-4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input_362100!A$2</f>
        <v>362100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IFERROR(VLOOKUP(B184,input_362100!L:R,7,FALSE),VLOOKUP(tables_362100!C184,input_362100!A:H,8,FALSE))</f>
        <v>456</v>
      </c>
      <c r="P184" s="46">
        <f ca="1">O184/SUM(O:O)</f>
        <v>1.4250000000000001E-3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input_362100!A$2</f>
        <v>362100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IFERROR(VLOOKUP(B185,input_362100!L:R,7,FALSE),VLOOKUP(tables_362100!C185,input_362100!A:H,8,FALSE))</f>
        <v>24</v>
      </c>
      <c r="P185" s="46">
        <f ca="1">O185/SUM(O:O)</f>
        <v>7.4999999999999993E-5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input_362100!A$2</f>
        <v>362100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IFERROR(VLOOKUP(B186,input_362100!L:R,7,FALSE),VLOOKUP(tables_362100!C186,input_362100!A:H,8,FALSE))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input_362100!A$2</f>
        <v>362100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IFERROR(VLOOKUP(B187,input_362100!L:R,7,FALSE),VLOOKUP(tables_362100!C187,input_362100!A:H,8,FALSE))</f>
        <v>3534</v>
      </c>
      <c r="P187" s="46">
        <f ca="1">O187/SUM(O:O)</f>
        <v>1.104375E-2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input_362100!A$2</f>
        <v>362100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IFERROR(VLOOKUP(B188,input_362100!L:R,7,FALSE),VLOOKUP(tables_362100!C188,input_362100!A:H,8,FALSE))</f>
        <v>186</v>
      </c>
      <c r="P188" s="46">
        <f ca="1">O188/SUM(O:O)</f>
        <v>5.8124999999999995E-4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input_362100!A$2</f>
        <v>362100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IFERROR(VLOOKUP(B189,input_362100!L:R,7,FALSE),VLOOKUP(tables_362100!C189,input_362100!A:H,8,FALSE))</f>
        <v>456</v>
      </c>
      <c r="P189" s="46">
        <f ca="1">O189/SUM(O:O)</f>
        <v>1.4250000000000001E-3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input_362100!A$2</f>
        <v>362100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IFERROR(VLOOKUP(B190,input_362100!L:R,7,FALSE),VLOOKUP(tables_362100!C190,input_362100!A:H,8,FALSE))</f>
        <v>24</v>
      </c>
      <c r="P190" s="46">
        <f ca="1">O190/SUM(O:O)</f>
        <v>7.4999999999999993E-5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input_362100!A$2</f>
        <v>362100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IFERROR(VLOOKUP(B191,input_362100!L:R,7,FALSE),VLOOKUP(tables_362100!C191,input_362100!A:H,8,FALSE))</f>
        <v>456</v>
      </c>
      <c r="P191" s="46">
        <f ca="1">O191/SUM(O:O)</f>
        <v>1.4250000000000001E-3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input_362100!A$2</f>
        <v>362100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IFERROR(VLOOKUP(B192,input_362100!L:R,7,FALSE),VLOOKUP(tables_362100!C192,input_362100!A:H,8,FALSE))</f>
        <v>24</v>
      </c>
      <c r="P192" s="46">
        <f ca="1">O192/SUM(O:O)</f>
        <v>7.4999999999999993E-5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input_362100!A$2</f>
        <v>362100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IFERROR(VLOOKUP(B193,input_362100!L:R,7,FALSE),VLOOKUP(tables_362100!C193,input_362100!A:H,8,FALSE))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input_362100!A$2</f>
        <v>362100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IFERROR(VLOOKUP(B194,input_362100!L:R,7,FALSE),VLOOKUP(tables_362100!C194,input_362100!A:H,8,FALSE))</f>
        <v>3534</v>
      </c>
      <c r="P194" s="46">
        <f ca="1">O194/SUM(O:O)</f>
        <v>1.104375E-2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input_362100!A$2</f>
        <v>362100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IFERROR(VLOOKUP(B195,input_362100!L:R,7,FALSE),VLOOKUP(tables_362100!C195,input_362100!A:H,8,FALSE))</f>
        <v>186</v>
      </c>
      <c r="P195" s="46">
        <f ca="1">O195/SUM(O:O)</f>
        <v>5.8124999999999995E-4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input_362100!A$2</f>
        <v>362100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IFERROR(VLOOKUP(B196,input_362100!L:R,7,FALSE),VLOOKUP(tables_362100!C196,input_362100!A:H,8,FALSE))</f>
        <v>456</v>
      </c>
      <c r="P196" s="46">
        <f ca="1">O196/SUM(O:O)</f>
        <v>1.4250000000000001E-3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input_362100!A$2</f>
        <v>362100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IFERROR(VLOOKUP(B197,input_362100!L:R,7,FALSE),VLOOKUP(tables_362100!C197,input_362100!A:H,8,FALSE))</f>
        <v>24</v>
      </c>
      <c r="P197" s="46">
        <f ca="1">O197/SUM(O:O)</f>
        <v>7.4999999999999993E-5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input_362100!A$2</f>
        <v>362100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IFERROR(VLOOKUP(B198,input_362100!L:R,7,FALSE),VLOOKUP(tables_362100!C198,input_362100!A:H,8,FALSE))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input_362100!A$2</f>
        <v>362100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IFERROR(VLOOKUP(B199,input_362100!L:R,7,FALSE),VLOOKUP(tables_362100!C199,input_362100!A:H,8,FALSE))</f>
        <v>3534</v>
      </c>
      <c r="P199" s="46">
        <f ca="1">O199/SUM(O:O)</f>
        <v>1.104375E-2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input_362100!A$2</f>
        <v>362100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IFERROR(VLOOKUP(B200,input_362100!L:R,7,FALSE),VLOOKUP(tables_362100!C200,input_362100!A:H,8,FALSE))</f>
        <v>186</v>
      </c>
      <c r="P200" s="46">
        <f ca="1">O200/SUM(O:O)</f>
        <v>5.8124999999999995E-4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input_362100!A$2</f>
        <v>362100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IFERROR(VLOOKUP(B201,input_362100!L:R,7,FALSE),VLOOKUP(tables_362100!C201,input_362100!A:H,8,FALSE))</f>
        <v>456</v>
      </c>
      <c r="P201" s="46">
        <f ca="1">O201/SUM(O:O)</f>
        <v>1.4250000000000001E-3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input_362100!A$2</f>
        <v>362100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IFERROR(VLOOKUP(B202,input_362100!L:R,7,FALSE),VLOOKUP(tables_362100!C202,input_362100!A:H,8,FALSE))</f>
        <v>24</v>
      </c>
      <c r="P202" s="46">
        <f ca="1">O202/SUM(O:O)</f>
        <v>7.4999999999999993E-5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input_362100!A$2</f>
        <v>362100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IFERROR(VLOOKUP(B203,input_362100!L:R,7,FALSE),VLOOKUP(tables_362100!C203,input_362100!A:H,8,FALSE))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input_362100!A$2</f>
        <v>362100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IFERROR(VLOOKUP(B204,input_362100!L:R,7,FALSE),VLOOKUP(tables_362100!C204,input_362100!A:H,8,FALSE))</f>
        <v>3534</v>
      </c>
      <c r="P204" s="46">
        <f ca="1">O204/SUM(O:O)</f>
        <v>1.104375E-2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input_362100!A$2</f>
        <v>362100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IFERROR(VLOOKUP(B205,input_362100!L:R,7,FALSE),VLOOKUP(tables_362100!C205,input_362100!A:H,8,FALSE))</f>
        <v>186</v>
      </c>
      <c r="P205" s="46">
        <f ca="1">O205/SUM(O:O)</f>
        <v>5.8124999999999995E-4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input_362100!A$2</f>
        <v>362100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IFERROR(VLOOKUP(B206,input_362100!L:R,7,FALSE),VLOOKUP(tables_362100!C206,input_362100!A:H,8,FALSE))</f>
        <v>456</v>
      </c>
      <c r="P206" s="46">
        <f ca="1">O206/SUM(O:O)</f>
        <v>1.4250000000000001E-3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input_362100!A$2</f>
        <v>362100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IFERROR(VLOOKUP(B207,input_362100!L:R,7,FALSE),VLOOKUP(tables_362100!C207,input_362100!A:H,8,FALSE))</f>
        <v>24</v>
      </c>
      <c r="P207" s="46">
        <f ca="1">O207/SUM(O:O)</f>
        <v>7.4999999999999993E-5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input_362100!A$2</f>
        <v>362100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IFERROR(VLOOKUP(B208,input_362100!L:R,7,FALSE),VLOOKUP(tables_362100!C208,input_362100!A:H,8,FALSE))</f>
        <v>456</v>
      </c>
      <c r="P208" s="46">
        <f ca="1">O208/SUM(O:O)</f>
        <v>1.4250000000000001E-3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input_362100!A$2</f>
        <v>362100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IFERROR(VLOOKUP(B209,input_362100!L:R,7,FALSE),VLOOKUP(tables_362100!C209,input_362100!A:H,8,FALSE))</f>
        <v>24</v>
      </c>
      <c r="P209" s="46">
        <f ca="1">O209/SUM(O:O)</f>
        <v>7.4999999999999993E-5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input_362100!A$2</f>
        <v>362100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IFERROR(VLOOKUP(B210,input_362100!L:R,7,FALSE),VLOOKUP(tables_362100!C210,input_362100!A:H,8,FALSE))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input_362100!A$2</f>
        <v>362100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IFERROR(VLOOKUP(B211,input_362100!L:R,7,FALSE),VLOOKUP(tables_362100!C211,input_362100!A:H,8,FALSE))</f>
        <v>3534</v>
      </c>
      <c r="P211" s="46">
        <f ca="1">O211/SUM(O:O)</f>
        <v>1.104375E-2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input_362100!A$2</f>
        <v>362100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IFERROR(VLOOKUP(B212,input_362100!L:R,7,FALSE),VLOOKUP(tables_362100!C212,input_362100!A:H,8,FALSE))</f>
        <v>186</v>
      </c>
      <c r="P212" s="46">
        <f ca="1">O212/SUM(O:O)</f>
        <v>5.8124999999999995E-4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input_362100!A$2</f>
        <v>362100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IFERROR(VLOOKUP(B213,input_362100!L:R,7,FALSE),VLOOKUP(tables_362100!C213,input_362100!A:H,8,FALSE))</f>
        <v>456</v>
      </c>
      <c r="P213" s="46">
        <f ca="1">O213/SUM(O:O)</f>
        <v>1.4250000000000001E-3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input_362100!A$2</f>
        <v>362100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IFERROR(VLOOKUP(B214,input_362100!L:R,7,FALSE),VLOOKUP(tables_362100!C214,input_362100!A:H,8,FALSE))</f>
        <v>24</v>
      </c>
      <c r="P214" s="46">
        <f ca="1">O214/SUM(O:O)</f>
        <v>7.4999999999999993E-5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input_362100!A$2</f>
        <v>362100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IFERROR(VLOOKUP(B215,input_362100!L:R,7,FALSE),VLOOKUP(tables_362100!C215,input_362100!A:H,8,FALSE))</f>
        <v>456</v>
      </c>
      <c r="P215" s="46">
        <f ca="1">O215/SUM(O:O)</f>
        <v>1.4250000000000001E-3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input_362100!A$2</f>
        <v>362100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IFERROR(VLOOKUP(B216,input_362100!L:R,7,FALSE),VLOOKUP(tables_362100!C216,input_362100!A:H,8,FALSE))</f>
        <v>24</v>
      </c>
      <c r="P216" s="46">
        <f ca="1">O216/SUM(O:O)</f>
        <v>7.4999999999999993E-5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input_362100!A$2</f>
        <v>362100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IFERROR(VLOOKUP(B217,input_362100!L:R,7,FALSE),VLOOKUP(tables_362100!C217,input_362100!A:H,8,FALSE))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input_362100!A$2</f>
        <v>362100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IFERROR(VLOOKUP(B218,input_362100!L:R,7,FALSE),VLOOKUP(tables_362100!C218,input_362100!A:H,8,FALSE))</f>
        <v>3534</v>
      </c>
      <c r="P218" s="46">
        <f ca="1">O218/SUM(O:O)</f>
        <v>1.104375E-2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input_362100!A$2</f>
        <v>362100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IFERROR(VLOOKUP(B219,input_362100!L:R,7,FALSE),VLOOKUP(tables_362100!C219,input_362100!A:H,8,FALSE))</f>
        <v>186</v>
      </c>
      <c r="P219" s="46">
        <f ca="1">O219/SUM(O:O)</f>
        <v>5.8124999999999995E-4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input_362100!A$2</f>
        <v>362100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IFERROR(VLOOKUP(B220,input_362100!L:R,7,FALSE),VLOOKUP(tables_362100!C220,input_362100!A:H,8,FALSE))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input_362100!A$2</f>
        <v>362100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IFERROR(VLOOKUP(B221,input_362100!L:R,7,FALSE),VLOOKUP(tables_362100!C221,input_362100!A:H,8,FALSE))</f>
        <v>3534</v>
      </c>
      <c r="P221" s="46">
        <f ca="1">O221/SUM(O:O)</f>
        <v>1.104375E-2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input_362100!A$2</f>
        <v>362100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IFERROR(VLOOKUP(B222,input_362100!L:R,7,FALSE),VLOOKUP(tables_362100!C222,input_362100!A:H,8,FALSE))</f>
        <v>186</v>
      </c>
      <c r="P222" s="46">
        <f ca="1">O222/SUM(O:O)</f>
        <v>5.8124999999999995E-4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input_362100!A$2</f>
        <v>362100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IFERROR(VLOOKUP(B223,input_362100!L:R,7,FALSE),VLOOKUP(tables_362100!C223,input_362100!A:H,8,FALSE))</f>
        <v>456</v>
      </c>
      <c r="P223" s="46">
        <f ca="1">O223/SUM(O:O)</f>
        <v>1.4250000000000001E-3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input_362100!A$2</f>
        <v>362100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IFERROR(VLOOKUP(B224,input_362100!L:R,7,FALSE),VLOOKUP(tables_362100!C224,input_362100!A:H,8,FALSE))</f>
        <v>24</v>
      </c>
      <c r="P224" s="46">
        <f ca="1">O224/SUM(O:O)</f>
        <v>7.4999999999999993E-5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input_362100!A$2</f>
        <v>362100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IFERROR(VLOOKUP(B225,input_362100!L:R,7,FALSE),VLOOKUP(tables_362100!C225,input_362100!A:H,8,FALSE))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input_362100!A$2</f>
        <v>362100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IFERROR(VLOOKUP(B226,input_362100!L:R,7,FALSE),VLOOKUP(tables_362100!C226,input_362100!A:H,8,FALSE))</f>
        <v>3534</v>
      </c>
      <c r="P226" s="46">
        <f ca="1">O226/SUM(O:O)</f>
        <v>1.104375E-2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input_362100!A$2</f>
        <v>362100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IFERROR(VLOOKUP(B227,input_362100!L:R,7,FALSE),VLOOKUP(tables_362100!C227,input_362100!A:H,8,FALSE))</f>
        <v>186</v>
      </c>
      <c r="P227" s="46">
        <f ca="1">O227/SUM(O:O)</f>
        <v>5.8124999999999995E-4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input_362100!A$2</f>
        <v>362100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IFERROR(VLOOKUP(B228,input_362100!L:R,7,FALSE),VLOOKUP(tables_362100!C228,input_362100!A:H,8,FALSE))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input_362100!A$2</f>
        <v>362100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IFERROR(VLOOKUP(B229,input_362100!L:R,7,FALSE),VLOOKUP(tables_362100!C229,input_362100!A:H,8,FALSE))</f>
        <v>3534</v>
      </c>
      <c r="P229" s="46">
        <f ca="1">O229/SUM(O:O)</f>
        <v>1.104375E-2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input_362100!A$2</f>
        <v>362100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IFERROR(VLOOKUP(B230,input_362100!L:R,7,FALSE),VLOOKUP(tables_362100!C230,input_362100!A:H,8,FALSE))</f>
        <v>186</v>
      </c>
      <c r="P230" s="46">
        <f ca="1">O230/SUM(O:O)</f>
        <v>5.8124999999999995E-4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input_362100!A$2</f>
        <v>362100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IFERROR(VLOOKUP(B231,input_362100!L:R,7,FALSE),VLOOKUP(tables_362100!C231,input_362100!A:H,8,FALSE))</f>
        <v>456</v>
      </c>
      <c r="P231" s="46">
        <f ca="1">O231/SUM(O:O)</f>
        <v>1.4250000000000001E-3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input_362100!A$2</f>
        <v>362100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IFERROR(VLOOKUP(B232,input_362100!L:R,7,FALSE),VLOOKUP(tables_362100!C232,input_362100!A:H,8,FALSE))</f>
        <v>24</v>
      </c>
      <c r="P232" s="46">
        <f ca="1">O232/SUM(O:O)</f>
        <v>7.4999999999999993E-5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input_362100!A$2</f>
        <v>362100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IFERROR(VLOOKUP(B233,input_362100!L:R,7,FALSE),VLOOKUP(tables_362100!C233,input_362100!A:H,8,FALSE))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input_362100!A$2</f>
        <v>362100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IFERROR(VLOOKUP(B234,input_362100!L:R,7,FALSE),VLOOKUP(tables_362100!C234,input_362100!A:H,8,FALSE))</f>
        <v>3534</v>
      </c>
      <c r="P234" s="46">
        <f ca="1">O234/SUM(O:O)</f>
        <v>1.104375E-2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input_362100!A$2</f>
        <v>362100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IFERROR(VLOOKUP(B235,input_362100!L:R,7,FALSE),VLOOKUP(tables_362100!C235,input_362100!A:H,8,FALSE))</f>
        <v>186</v>
      </c>
      <c r="P235" s="46">
        <f ca="1">O235/SUM(O:O)</f>
        <v>5.8124999999999995E-4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input_362100!A$2</f>
        <v>362100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IFERROR(VLOOKUP(B236,input_362100!L:R,7,FALSE),VLOOKUP(tables_362100!C236,input_362100!A:H,8,FALSE))</f>
        <v>456</v>
      </c>
      <c r="P236" s="46">
        <f ca="1">O236/SUM(O:O)</f>
        <v>1.4250000000000001E-3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input_362100!A$2</f>
        <v>362100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IFERROR(VLOOKUP(B237,input_362100!L:R,7,FALSE),VLOOKUP(tables_362100!C237,input_362100!A:H,8,FALSE))</f>
        <v>24</v>
      </c>
      <c r="P237" s="46">
        <f ca="1">O237/SUM(O:O)</f>
        <v>7.4999999999999993E-5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input_362100!A$2</f>
        <v>362100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IFERROR(VLOOKUP(B238,input_362100!L:R,7,FALSE),VLOOKUP(tables_362100!C238,input_362100!A:H,8,FALSE))</f>
        <v>456</v>
      </c>
      <c r="P238" s="46">
        <f ca="1">O238/SUM(O:O)</f>
        <v>1.4250000000000001E-3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input_362100!A$2</f>
        <v>362100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IFERROR(VLOOKUP(B239,input_362100!L:R,7,FALSE),VLOOKUP(tables_362100!C239,input_362100!A:H,8,FALSE))</f>
        <v>24</v>
      </c>
      <c r="P239" s="46">
        <f ca="1">O239/SUM(O:O)</f>
        <v>7.4999999999999993E-5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input_362100!A$2</f>
        <v>362100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IFERROR(VLOOKUP(B240,input_362100!L:R,7,FALSE),VLOOKUP(tables_362100!C240,input_362100!A:H,8,FALSE))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input_362100!A$2</f>
        <v>362100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IFERROR(VLOOKUP(B241,input_362100!L:R,7,FALSE),VLOOKUP(tables_362100!C241,input_362100!A:H,8,FALSE))</f>
        <v>3534</v>
      </c>
      <c r="P241" s="46">
        <f ca="1">O241/SUM(O:O)</f>
        <v>1.104375E-2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input_362100!A$2</f>
        <v>362100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IFERROR(VLOOKUP(B242,input_362100!L:R,7,FALSE),VLOOKUP(tables_362100!C242,input_362100!A:H,8,FALSE))</f>
        <v>186</v>
      </c>
      <c r="P242" s="46">
        <f ca="1">O242/SUM(O:O)</f>
        <v>5.8124999999999995E-4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input_362100!A$2</f>
        <v>362100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IFERROR(VLOOKUP(B243,input_362100!L:R,7,FALSE),VLOOKUP(tables_362100!C243,input_362100!A:H,8,FALSE))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input_362100!A$2</f>
        <v>362100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IFERROR(VLOOKUP(B244,input_362100!L:R,7,FALSE),VLOOKUP(tables_362100!C244,input_362100!A:H,8,FALSE))</f>
        <v>3534</v>
      </c>
      <c r="P244" s="46">
        <f ca="1">O244/SUM(O:O)</f>
        <v>1.104375E-2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input_362100!A$2</f>
        <v>362100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IFERROR(VLOOKUP(B245,input_362100!L:R,7,FALSE),VLOOKUP(tables_362100!C245,input_362100!A:H,8,FALSE))</f>
        <v>186</v>
      </c>
      <c r="P245" s="46">
        <f ca="1">O245/SUM(O:O)</f>
        <v>5.8124999999999995E-4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input_362100!A$2</f>
        <v>362100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IFERROR(VLOOKUP(B246,input_362100!L:R,7,FALSE),VLOOKUP(tables_362100!C246,input_362100!A:H,8,FALSE))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input_362100!A$2</f>
        <v>362100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IFERROR(VLOOKUP(B247,input_362100!L:R,7,FALSE),VLOOKUP(tables_362100!C247,input_362100!A:H,8,FALSE))</f>
        <v>3534</v>
      </c>
      <c r="P247" s="46">
        <f ca="1">O247/SUM(O:O)</f>
        <v>1.104375E-2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input_362100!A$2</f>
        <v>362100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IFERROR(VLOOKUP(B248,input_362100!L:R,7,FALSE),VLOOKUP(tables_362100!C248,input_362100!A:H,8,FALSE))</f>
        <v>186</v>
      </c>
      <c r="P248" s="46">
        <f ca="1">O248/SUM(O:O)</f>
        <v>5.8124999999999995E-4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input_362100!A$2</f>
        <v>362100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IFERROR(VLOOKUP(B249,input_362100!L:R,7,FALSE),VLOOKUP(tables_362100!C249,input_362100!A:H,8,FALSE))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input_362100!A$2</f>
        <v>362100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IFERROR(VLOOKUP(B250,input_362100!L:R,7,FALSE),VLOOKUP(tables_362100!C250,input_362100!A:H,8,FALSE))</f>
        <v>3534</v>
      </c>
      <c r="P250" s="46">
        <f ca="1">O250/SUM(O:O)</f>
        <v>1.104375E-2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input_362100!A$2</f>
        <v>362100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IFERROR(VLOOKUP(B251,input_362100!L:R,7,FALSE),VLOOKUP(tables_362100!C251,input_362100!A:H,8,FALSE))</f>
        <v>186</v>
      </c>
      <c r="P251" s="46">
        <f ca="1">O251/SUM(O:O)</f>
        <v>5.8124999999999995E-4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input_362100!A$2</f>
        <v>362100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IFERROR(VLOOKUP(B252,input_362100!L:R,7,FALSE),VLOOKUP(tables_362100!C252,input_362100!A:H,8,FALSE))</f>
        <v>456</v>
      </c>
      <c r="P252" s="46">
        <f ca="1">O252/SUM(O:O)</f>
        <v>1.4250000000000001E-3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input_362100!A$2</f>
        <v>362100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IFERROR(VLOOKUP(B253,input_362100!L:R,7,FALSE),VLOOKUP(tables_362100!C253,input_362100!A:H,8,FALSE))</f>
        <v>24</v>
      </c>
      <c r="P253" s="46">
        <f ca="1">O253/SUM(O:O)</f>
        <v>7.4999999999999993E-5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input_362100!A$2</f>
        <v>362100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IFERROR(VLOOKUP(B254,input_362100!L:R,7,FALSE),VLOOKUP(tables_362100!C254,input_362100!A:H,8,FALSE))</f>
        <v>456</v>
      </c>
      <c r="P254" s="46">
        <f ca="1">O254/SUM(O:O)</f>
        <v>1.4250000000000001E-3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input_362100!A$2</f>
        <v>362100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IFERROR(VLOOKUP(B255,input_362100!L:R,7,FALSE),VLOOKUP(tables_362100!C255,input_362100!A:H,8,FALSE))</f>
        <v>24</v>
      </c>
      <c r="P255" s="46">
        <f ca="1">O255/SUM(O:O)</f>
        <v>7.4999999999999993E-5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input_362100!A$2</f>
        <v>362100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IFERROR(VLOOKUP(B256,input_362100!L:R,7,FALSE),VLOOKUP(tables_362100!C256,input_362100!A:H,8,FALSE))</f>
        <v>3505</v>
      </c>
      <c r="P256" s="46">
        <f ca="1">O256/SUM(O:O)</f>
        <v>1.0953124999999999E-2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input_362100!A$2</f>
        <v>362100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IFERROR(VLOOKUP(B257,input_362100!L:R,7,FALSE),VLOOKUP(tables_362100!C257,input_362100!A:H,8,FALSE))</f>
        <v>215</v>
      </c>
      <c r="P257" s="46">
        <f ca="1">O257/SUM(O:O)</f>
        <v>6.7187499999999995E-4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input_362100!A$2</f>
        <v>362100</v>
      </c>
      <c r="B258" s="60">
        <v>730</v>
      </c>
      <c r="C258" s="7" t="str">
        <f t="shared" ref="C258:C283" si="8">D258&amp;J258&amp;E258&amp;F258&amp;G258</f>
        <v>Premium4R3less</v>
      </c>
      <c r="D258" s="7" t="str">
        <f t="shared" ref="D258:D283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IFERROR(VLOOKUP(B258,input_362100!L:R,7,FALSE),VLOOKUP(tables_362100!C258,input_362100!A:H,8,FALSE))</f>
        <v>3505</v>
      </c>
      <c r="P258" s="46">
        <f ca="1">O258/SUM(O:O)</f>
        <v>1.0953124999999999E-2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input_362100!A$2</f>
        <v>362100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IFERROR(VLOOKUP(B259,input_362100!L:R,7,FALSE),VLOOKUP(tables_362100!C259,input_362100!A:H,8,FALSE))</f>
        <v>215</v>
      </c>
      <c r="P259" s="46">
        <f ca="1">O259/SUM(O:O)</f>
        <v>6.7187499999999995E-4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input_362100!A$2</f>
        <v>362100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IFERROR(VLOOKUP(B260,input_362100!L:R,7,FALSE),VLOOKUP(tables_362100!C260,input_362100!A:H,8,FALSE))</f>
        <v>480</v>
      </c>
      <c r="P260" s="46">
        <f ca="1">O260/SUM(O:O)</f>
        <v>1.5E-3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input_362100!A$2</f>
        <v>362100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IFERROR(VLOOKUP(B261,input_362100!L:R,7,FALSE),VLOOKUP(tables_362100!C261,input_362100!A:H,8,FALSE))</f>
        <v>480</v>
      </c>
      <c r="P261" s="46">
        <f ca="1">O261/SUM(O:O)</f>
        <v>1.5E-3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input_362100!A$2</f>
        <v>362100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IFERROR(VLOOKUP(B262,input_362100!L:R,7,FALSE),VLOOKUP(tables_362100!C262,input_362100!A:H,8,FALSE))</f>
        <v>456</v>
      </c>
      <c r="P262" s="46">
        <f ca="1">O262/SUM(O:O)</f>
        <v>1.4250000000000001E-3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input_362100!A$2</f>
        <v>362100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IFERROR(VLOOKUP(B263,input_362100!L:R,7,FALSE),VLOOKUP(tables_362100!C263,input_362100!A:H,8,FALSE))</f>
        <v>24</v>
      </c>
      <c r="P263" s="46">
        <f ca="1">O263/SUM(O:O)</f>
        <v>7.4999999999999993E-5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input_362100!A$2</f>
        <v>362100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IFERROR(VLOOKUP(B264,input_362100!L:R,7,FALSE),VLOOKUP(tables_362100!C264,input_362100!A:H,8,FALSE))</f>
        <v>456</v>
      </c>
      <c r="P264" s="46">
        <f ca="1">O264/SUM(O:O)</f>
        <v>1.4250000000000001E-3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input_362100!A$2</f>
        <v>362100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IFERROR(VLOOKUP(B265,input_362100!L:R,7,FALSE),VLOOKUP(tables_362100!C265,input_362100!A:H,8,FALSE))</f>
        <v>24</v>
      </c>
      <c r="P265" s="46">
        <f ca="1">O265/SUM(O:O)</f>
        <v>7.4999999999999993E-5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input_362100!A$2</f>
        <v>362100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IFERROR(VLOOKUP(B266,input_362100!L:R,7,FALSE),VLOOKUP(tables_362100!C266,input_362100!A:H,8,FALSE))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input_362100!A$2</f>
        <v>362100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IFERROR(VLOOKUP(B267,input_362100!L:R,7,FALSE),VLOOKUP(tables_362100!C267,input_362100!A:H,8,FALSE))</f>
        <v>3534</v>
      </c>
      <c r="P267" s="46">
        <f ca="1">O267/SUM(O:O)</f>
        <v>1.104375E-2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input_362100!A$2</f>
        <v>362100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IFERROR(VLOOKUP(B268,input_362100!L:R,7,FALSE),VLOOKUP(tables_362100!C268,input_362100!A:H,8,FALSE))</f>
        <v>186</v>
      </c>
      <c r="P268" s="46">
        <f ca="1">O268/SUM(O:O)</f>
        <v>5.8124999999999995E-4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input_362100!A$2</f>
        <v>362100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IFERROR(VLOOKUP(B269,input_362100!L:R,7,FALSE),VLOOKUP(tables_362100!C269,input_362100!A:H,8,FALSE))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input_362100!A$2</f>
        <v>362100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IFERROR(VLOOKUP(B270,input_362100!L:R,7,FALSE),VLOOKUP(tables_362100!C270,input_362100!A:H,8,FALSE))</f>
        <v>3534</v>
      </c>
      <c r="P270" s="46">
        <f ca="1">O270/SUM(O:O)</f>
        <v>1.104375E-2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input_362100!A$2</f>
        <v>362100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IFERROR(VLOOKUP(B271,input_362100!L:R,7,FALSE),VLOOKUP(tables_362100!C271,input_362100!A:H,8,FALSE))</f>
        <v>186</v>
      </c>
      <c r="P271" s="46">
        <f ca="1">O271/SUM(O:O)</f>
        <v>5.8124999999999995E-4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input_362100!A$2</f>
        <v>362100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IFERROR(VLOOKUP(B272,input_362100!L:R,7,FALSE),VLOOKUP(tables_362100!C272,input_362100!A:H,8,FALSE))</f>
        <v>480</v>
      </c>
      <c r="P272" s="46">
        <f ca="1">O272/SUM(O:O)</f>
        <v>1.5E-3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input_362100!A$2</f>
        <v>362100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IFERROR(VLOOKUP(B273,input_362100!L:R,7,FALSE),VLOOKUP(tables_362100!C273,input_362100!A:H,8,FALSE))</f>
        <v>480</v>
      </c>
      <c r="P273" s="46">
        <f ca="1">O273/SUM(O:O)</f>
        <v>1.5E-3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input_362100!A$2</f>
        <v>362100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IFERROR(VLOOKUP(B274,input_362100!L:R,7,FALSE),VLOOKUP(tables_362100!C274,input_362100!A:H,8,FALSE))</f>
        <v>3505</v>
      </c>
      <c r="P274" s="46">
        <f ca="1">O274/SUM(O:O)</f>
        <v>1.0953124999999999E-2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input_362100!A$2</f>
        <v>362100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IFERROR(VLOOKUP(B275,input_362100!L:R,7,FALSE),VLOOKUP(tables_362100!C275,input_362100!A:H,8,FALSE))</f>
        <v>215</v>
      </c>
      <c r="P275" s="46">
        <f ca="1">O275/SUM(O:O)</f>
        <v>6.7187499999999995E-4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input_362100!A$2</f>
        <v>362100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IFERROR(VLOOKUP(B276,input_362100!L:R,7,FALSE),VLOOKUP(tables_362100!C276,input_362100!A:H,8,FALSE))</f>
        <v>3505</v>
      </c>
      <c r="P276" s="46">
        <f ca="1">O276/SUM(O:O)</f>
        <v>1.0953124999999999E-2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input_362100!A$2</f>
        <v>362100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IFERROR(VLOOKUP(B277,input_362100!L:R,7,FALSE),VLOOKUP(tables_362100!C277,input_362100!A:H,8,FALSE))</f>
        <v>215</v>
      </c>
      <c r="P277" s="46">
        <f ca="1">O277/SUM(O:O)</f>
        <v>6.7187499999999995E-4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input_362100!A$2</f>
        <v>362100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IFERROR(VLOOKUP(B278,input_362100!L:R,7,FALSE),VLOOKUP(tables_362100!C278,input_362100!A:H,8,FALSE))</f>
        <v>3505</v>
      </c>
      <c r="P278" s="46">
        <f ca="1">O278/SUM(O:O)</f>
        <v>1.0953124999999999E-2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input_362100!A$2</f>
        <v>362100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IFERROR(VLOOKUP(B279,input_362100!L:R,7,FALSE),VLOOKUP(tables_362100!C279,input_362100!A:H,8,FALSE))</f>
        <v>215</v>
      </c>
      <c r="P279" s="46">
        <f ca="1">O279/SUM(O:O)</f>
        <v>6.7187499999999995E-4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input_362100!A$2</f>
        <v>362100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IFERROR(VLOOKUP(B280,input_362100!L:R,7,FALSE),VLOOKUP(tables_362100!C280,input_362100!A:H,8,FALSE))</f>
        <v>3505</v>
      </c>
      <c r="P280" s="46">
        <f ca="1">O280/SUM(O:O)</f>
        <v>1.0953124999999999E-2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input_362100!A$2</f>
        <v>362100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IFERROR(VLOOKUP(B281,input_362100!L:R,7,FALSE),VLOOKUP(tables_362100!C281,input_362100!A:H,8,FALSE))</f>
        <v>215</v>
      </c>
      <c r="P281" s="46">
        <f ca="1">O281/SUM(O:O)</f>
        <v>6.7187499999999995E-4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input_362100!A$2</f>
        <v>362100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IFERROR(VLOOKUP(B282,input_362100!L:R,7,FALSE),VLOOKUP(tables_362100!C282,input_362100!A:H,8,FALSE))</f>
        <v>480</v>
      </c>
      <c r="P282" s="46">
        <f ca="1">O282/SUM(O:O)</f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input_362100!A$2</f>
        <v>362100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IFERROR(VLOOKUP(B283,input_362100!L:R,7,FALSE),VLOOKUP(tables_362100!C283,input_362100!A:H,8,FALSE))</f>
        <v>480</v>
      </c>
      <c r="P283" s="46">
        <f ca="1">O283/SUM(O:O)</f>
        <v>1.5E-3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input_362100!A$2</f>
        <v>362100</v>
      </c>
      <c r="B284" s="83">
        <v>742</v>
      </c>
      <c r="C284" s="7" t="str">
        <f t="shared" ref="C284" si="10">D284&amp;J284&amp;E284&amp;F284&amp;G284</f>
        <v>PremiumSS5R5only</v>
      </c>
      <c r="D284" s="7" t="str">
        <f t="shared" ref="D284" si="11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IFERROR(VLOOKUP(B284,input_362100!L:R,7,FALSE),VLOOKUP(tables_362100!C284,input_362100!A:H,8,FALSE))</f>
        <v>480</v>
      </c>
      <c r="P284" s="46">
        <f ca="1">O284/SUM(O:O)</f>
        <v>1.5E-3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input_362100!A$2</f>
        <v>362100</v>
      </c>
      <c r="B285" s="83">
        <v>744</v>
      </c>
      <c r="C285" s="7" t="str">
        <f t="shared" ref="C285:C286" si="12">D285&amp;J285&amp;E285&amp;F285&amp;G285</f>
        <v>PremiumSS5R5only</v>
      </c>
      <c r="D285" s="7" t="str">
        <f t="shared" ref="D285:D286" si="13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IFERROR(VLOOKUP(B285,input_362100!L:R,7,FALSE),VLOOKUP(tables_362100!C285,input_362100!A:H,8,FALSE))</f>
        <v>480</v>
      </c>
      <c r="P285" s="46">
        <f ca="1">O285/SUM(O:O)</f>
        <v>1.5E-3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input_362100!A$2</f>
        <v>362100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IFERROR(VLOOKUP(B286,input_362100!L:R,7,FALSE),VLOOKUP(tables_362100!C286,input_362100!A:H,8,FALSE))</f>
        <v>3505</v>
      </c>
      <c r="P286" s="46">
        <f ca="1">O286/SUM(O:O)</f>
        <v>1.0953124999999999E-2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input_362100!A$2</f>
        <v>362100</v>
      </c>
      <c r="B287" s="83">
        <v>747</v>
      </c>
      <c r="C287" s="7" t="str">
        <f t="shared" ref="C287:C289" si="14">D287&amp;J287&amp;E287&amp;F287&amp;G287</f>
        <v>Premium5R3less</v>
      </c>
      <c r="D287" s="7" t="str">
        <f t="shared" ref="D287:D289" si="15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IFERROR(VLOOKUP(B287,input_362100!L:R,7,FALSE),VLOOKUP(tables_362100!C287,input_362100!A:H,8,FALSE))</f>
        <v>215</v>
      </c>
      <c r="P287" s="46">
        <f ca="1">O287/SUM(O:O)</f>
        <v>6.7187499999999995E-4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input_362100!A$2</f>
        <v>362100</v>
      </c>
      <c r="B288" s="83">
        <v>748</v>
      </c>
      <c r="C288" s="7" t="str">
        <f t="shared" si="14"/>
        <v>Premium4R3less</v>
      </c>
      <c r="D288" s="7" t="str">
        <f t="shared" si="15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IFERROR(VLOOKUP(B288,input_362100!L:R,7,FALSE),VLOOKUP(tables_362100!C288,input_362100!A:H,8,FALSE))</f>
        <v>3505</v>
      </c>
      <c r="P288" s="46">
        <f ca="1">O288/SUM(O:O)</f>
        <v>1.0953124999999999E-2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input_362100!A$2</f>
        <v>362100</v>
      </c>
      <c r="B289" s="83">
        <v>749</v>
      </c>
      <c r="C289" s="7" t="str">
        <f t="shared" si="14"/>
        <v>Premium5R3less</v>
      </c>
      <c r="D289" s="7" t="str">
        <f t="shared" si="15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IFERROR(VLOOKUP(B289,input_362100!L:R,7,FALSE),VLOOKUP(tables_362100!C289,input_362100!A:H,8,FALSE))</f>
        <v>215</v>
      </c>
      <c r="P289" s="46">
        <f ca="1">O289/SUM(O:O)</f>
        <v>6.7187499999999995E-4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input_362100!A$2</f>
        <v>362100</v>
      </c>
      <c r="B290" s="83">
        <v>760</v>
      </c>
      <c r="C290" s="7" t="str">
        <f t="shared" ref="C290" si="16">D290&amp;J290&amp;E290&amp;F290&amp;G290</f>
        <v>PremiumSSS5R3less</v>
      </c>
      <c r="D290" s="7" t="str">
        <f t="shared" ref="D290" si="17">IF(I290="PremiumSS",I290,IF(I290="PremiumSSS",I290,IF(I290="PremiumW",I290,"Premium")))</f>
        <v>PremiumSSS</v>
      </c>
      <c r="E290" s="7" t="str">
        <f>IF(COUNTIF('R6追加前'!A:A,B290)=0,IF(I290="PremiumSS","R5only","R3less"),"")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限論顕現 クロネッカー</v>
      </c>
      <c r="I290" s="7" t="str">
        <f>VLOOKUP(B290,[1]characters!$A:$J,10,FALSE)</f>
        <v>PremiumSSS</v>
      </c>
      <c r="J290" s="7">
        <f>VLOOKUP(B290,[1]characters!$A:$I,9,FALSE)</f>
        <v>5</v>
      </c>
      <c r="K290" s="7" t="str">
        <f>VLOOKUP(B290,[1]characters!$A:$H,8,FALSE)</f>
        <v>yellow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>IFERROR(VLOOKUP(B290,input_362100!L:R,7,FALSE),VLOOKUP(tables_362100!C290,input_362100!A:H,8,FALSE))</f>
        <v>1600</v>
      </c>
      <c r="P290" s="46">
        <f ca="1">O290/SUM(O:O)</f>
        <v>5.0000000000000001E-3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input_362100!A$2</f>
        <v>362100</v>
      </c>
      <c r="B291" s="83">
        <v>750</v>
      </c>
      <c r="C291" s="7" t="str">
        <f t="shared" ref="C291" si="18">D291&amp;J291&amp;E291&amp;F291&amp;G291</f>
        <v>PremiumSSS5R3less</v>
      </c>
      <c r="D291" s="7" t="str">
        <f t="shared" ref="D291" si="19">IF(I291="PremiumSS",I291,IF(I291="PremiumSSS",I291,IF(I291="PremiumW",I291,"Premium")))</f>
        <v>PremiumSSS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ポアソン</v>
      </c>
      <c r="I291" s="7" t="str">
        <f>VLOOKUP(B291,[1]characters!$A:$J,10,FALSE)</f>
        <v>PremiumSSS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balance</v>
      </c>
      <c r="M291" s="7" t="str">
        <f>VLOOKUP(B291,[1]characters!$A:$M,13,FALSE)</f>
        <v>academia</v>
      </c>
      <c r="N291" s="7" t="str">
        <f>VLOOKUP(B291,[1]characters!$A:$G,7,FALSE)</f>
        <v>男性</v>
      </c>
      <c r="O291" s="45">
        <f>IFERROR(VLOOKUP(B291,input_362100!L:R,7,FALSE),VLOOKUP(tables_362100!C291,input_362100!A:H,8,FALSE))</f>
        <v>1600</v>
      </c>
      <c r="P291" s="46">
        <f ca="1">O291/SUM(O:O)</f>
        <v>5.0000000000000001E-3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</sheetData>
  <autoFilter ref="A1:V28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workbookViewId="0">
      <selection activeCell="P5" sqref="P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362100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3">
        <v>760</v>
      </c>
      <c r="M3" s="37" t="str">
        <f>VLOOKUP(L3,[1]characters!$A:$C,3,FALSE)</f>
        <v>限論顕現 クロネッカー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VLOOKUP(L3,tables_settle_362100!B:C,2,FALSE)</f>
        <v>PremiumSSS5R3less</v>
      </c>
      <c r="R3" s="62">
        <f t="shared" ref="R3:R20" si="1">N3*A$36</f>
        <v>1600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3">
        <v>750</v>
      </c>
      <c r="M4" s="37" t="str">
        <f>VLOOKUP(L4,[1]characters!$A:$C,3,FALSE)</f>
        <v>ポアソン</v>
      </c>
      <c r="N4" s="63">
        <f>0.005</f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VLOOKUP(L4,tables_settle_362100!B:C,2,FALSE)</f>
        <v>PremiumSSS5R3less</v>
      </c>
      <c r="R4" s="62">
        <f t="shared" si="1"/>
        <v>1600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1.5E-3</v>
      </c>
      <c r="F5">
        <f>(COUNTIF(tables_settle_362100!C:C,input_settle_362100!A26)+COUNTIF(tables_settle_362100!C:C,input_settle_362100!A28)+COUNTIF(tables_settle_362100!C:C,input_settle_362100!A29))</f>
        <v>40</v>
      </c>
      <c r="H5" s="86">
        <v>0</v>
      </c>
      <c r="I5" s="31">
        <v>0</v>
      </c>
      <c r="L5" s="83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VLOOKUP(L5,tables_settle_362100!B:C,2,FALSE)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7">
        <f>(B10-H6)/(F6-I6)</f>
        <v>1.1625E-2</v>
      </c>
      <c r="F6">
        <f>(COUNTIF(tables_settle_362100!C:C,input_settle_362100!A18)+COUNTIF(tables_settle_362100!C:C,input_settle_362100!A20)+COUNTIF(tables_settle_362100!C:C,input_settle_362100!A22))</f>
        <v>80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VLOOKUP(L6,tables_settle_362100!B:C,2,FALSE)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0.99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VLOOKUP(L7,tables_settle_362100!B:C,2,FALSE)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VLOOKUP(L8,tables_settle_362100!B:C,2,FALSE)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VLOOKUP(L9,tables_settle_362100!B:C,2,FALSE)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0.92999999999999994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VLOOKUP(L10,tables_settle_362100!B:C,2,FALSE)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9">
        <v>0.06</v>
      </c>
      <c r="C11" t="s">
        <v>259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VLOOKUP(L11,tables_settle_362100!B:C,2,FALSE)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VLOOKUP(L12,tables_settle_362100!B:C,2,FALSE)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VLOOKUP(L13,tables_settle_362100!B:C,2,FALSE)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VLOOKUP(L14,tables_settle_362100!B:C,2,FALSE)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VLOOKUP(L15,tables_settle_362100!B:C,2,FALSE)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VLOOKUP(L16,tables_settle_362100!B:C,2,FALSE)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COUNTIF(tables_settle_362100!C:C,input_settle_362100!A17)-COUNTIF(Q:Q,A17)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VLOOKUP(L17,tables_settle_362100!B:C,2,FALSE)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0</f>
        <v>0</v>
      </c>
      <c r="C18" s="87">
        <f t="shared" si="2"/>
        <v>0</v>
      </c>
      <c r="D18" s="75">
        <f t="shared" si="3"/>
        <v>0</v>
      </c>
      <c r="E18">
        <f>COUNTIF(tables_settle_362100!C:C,input_settle_362100!A18)-COUNTIF(Q:Q,A18)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VLOOKUP(L18,tables_settle_362100!B:C,2,FALSE)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COUNTIF(tables_settle_362100!C:C,input_settle_362100!A19)-COUNTIF(Q:Q,A19)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VLOOKUP(L19,tables_settle_362100!B:C,2,FALSE)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</v>
      </c>
      <c r="C20" s="87">
        <f t="shared" si="2"/>
        <v>0</v>
      </c>
      <c r="D20" s="75">
        <f t="shared" si="3"/>
        <v>0</v>
      </c>
      <c r="E20">
        <f>COUNTIF(tables_settle_362100!C:C,input_settle_362100!A20)-COUNTIF(Q:Q,A20)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VLOOKUP(L20,tables_settle_362100!B:C,2,FALSE)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0.59845500000000007</v>
      </c>
      <c r="C21" s="87">
        <f t="shared" si="2"/>
        <v>0</v>
      </c>
      <c r="D21" s="75">
        <f t="shared" si="3"/>
        <v>0.59845500000000007</v>
      </c>
      <c r="E21">
        <f>COUNTIF(tables_settle_362100!C:C,input_settle_362100!A21)-COUNTIF(Q:Q,A21)</f>
        <v>52</v>
      </c>
      <c r="F21" s="43">
        <f t="shared" si="8"/>
        <v>1.1508750000000002E-2</v>
      </c>
      <c r="G21">
        <f t="shared" si="4"/>
        <v>191505.60000000003</v>
      </c>
      <c r="H21">
        <f t="shared" si="5"/>
        <v>3682.8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6">
        <f>0</f>
        <v>0</v>
      </c>
      <c r="C22" s="87">
        <f t="shared" si="2"/>
        <v>0</v>
      </c>
      <c r="D22" s="75">
        <f t="shared" si="3"/>
        <v>0</v>
      </c>
      <c r="E22">
        <f>COUNTIF(tables_settle_362100!C:C,input_settle_362100!A22)-COUNTIF(Q:Q,A22)</f>
        <v>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0.33202500000000001</v>
      </c>
      <c r="C23" s="87">
        <f t="shared" si="2"/>
        <v>0</v>
      </c>
      <c r="D23" s="75">
        <f t="shared" si="3"/>
        <v>0.33202500000000001</v>
      </c>
      <c r="E23">
        <f>COUNTIF(tables_settle_362100!C:C,input_settle_362100!A23)-COUNTIF(Q:Q,A23)</f>
        <v>8</v>
      </c>
      <c r="F23" s="43">
        <f t="shared" si="8"/>
        <v>4.1503125000000002E-2</v>
      </c>
      <c r="G23">
        <f t="shared" si="4"/>
        <v>106248</v>
      </c>
      <c r="H23">
        <f t="shared" si="5"/>
        <v>13281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COUNTIF(tables_settle_362100!C:C,input_settle_362100!A24)-COUNTIF(Q:Q,A24)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E$5*B$6*E25</f>
        <v>0</v>
      </c>
      <c r="C25" s="87">
        <f t="shared" si="2"/>
        <v>0</v>
      </c>
      <c r="D25" s="75">
        <f t="shared" si="3"/>
        <v>0</v>
      </c>
      <c r="E25">
        <f>COUNTIF(tables_settle_362100!C:C,input_settle_362100!A25)-COUNTIF(Q:Q,A25)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E$5*B$7*E26</f>
        <v>5.94E-3</v>
      </c>
      <c r="C26" s="87">
        <f t="shared" si="2"/>
        <v>0</v>
      </c>
      <c r="D26" s="75">
        <f t="shared" si="3"/>
        <v>5.94E-3</v>
      </c>
      <c r="E26">
        <f>COUNTIF(tables_settle_362100!C:C,input_settle_362100!A26)-COUNTIF(Q:Q,A26)</f>
        <v>4</v>
      </c>
      <c r="F26" s="43">
        <f t="shared" si="8"/>
        <v>1.485E-3</v>
      </c>
      <c r="G26">
        <f t="shared" si="4"/>
        <v>1900.8</v>
      </c>
      <c r="H26">
        <f t="shared" si="5"/>
        <v>475.2</v>
      </c>
      <c r="I26">
        <f t="shared" si="6"/>
        <v>0.19999999999998863</v>
      </c>
      <c r="J26">
        <f t="shared" si="7"/>
        <v>5.0000000000002842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7">
        <f t="shared" si="2"/>
        <v>0</v>
      </c>
      <c r="D27" s="75">
        <f t="shared" si="3"/>
        <v>0</v>
      </c>
      <c r="E27">
        <f>COUNTIF(tables_settle_362100!C:C,input_settle_362100!A27)-COUNTIF(Q:Q,A27)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4.1579999999999999E-2</v>
      </c>
      <c r="C28" s="87">
        <f t="shared" si="2"/>
        <v>0</v>
      </c>
      <c r="D28" s="75">
        <f t="shared" si="3"/>
        <v>4.1579999999999999E-2</v>
      </c>
      <c r="E28">
        <f>COUNTIF(tables_settle_362100!C:C,input_settle_362100!A28)-COUNTIF(Q:Q,A28)</f>
        <v>28</v>
      </c>
      <c r="F28" s="43">
        <f t="shared" si="8"/>
        <v>1.485E-3</v>
      </c>
      <c r="G28">
        <f t="shared" si="4"/>
        <v>13305.6</v>
      </c>
      <c r="H28">
        <f t="shared" si="5"/>
        <v>475.2</v>
      </c>
      <c r="I28">
        <f t="shared" si="6"/>
        <v>0.19999999999998863</v>
      </c>
      <c r="J28">
        <f t="shared" si="7"/>
        <v>5.0000000000002842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1.2E-2</v>
      </c>
      <c r="C29" s="87">
        <f t="shared" si="2"/>
        <v>0</v>
      </c>
      <c r="D29" s="75">
        <f t="shared" si="3"/>
        <v>1.2E-2</v>
      </c>
      <c r="E29">
        <f>COUNTIF(tables_settle_362100!C:C,input_settle_362100!A29)-COUNTIF(Q:Q,A29)</f>
        <v>8</v>
      </c>
      <c r="F29" s="43">
        <f t="shared" si="8"/>
        <v>1.5E-3</v>
      </c>
      <c r="G29">
        <f t="shared" si="4"/>
        <v>3840</v>
      </c>
      <c r="H29">
        <f t="shared" si="5"/>
        <v>480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COUNTIF(tables_settle_362100!C:C,input_settle_362100!A30)-COUNTIF(Q:Q,A30)</f>
        <v>1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7">
        <f t="shared" si="2"/>
        <v>0.01</v>
      </c>
      <c r="D31" s="75">
        <f t="shared" si="3"/>
        <v>-0.01</v>
      </c>
      <c r="E31">
        <f>COUNTIF(tables_settle_362100!C:C,input_settle_362100!A31)-COUNTIF(Q:Q,A31)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320000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SUMIF(tables_settle_362100!C:C,input_settle_362100!A40,tables_settle_362100!O:O)</f>
        <v>0</v>
      </c>
      <c r="C40" s="54">
        <f t="shared" ref="C40:C46" ca="1" si="9">B40/B$47</f>
        <v>0</v>
      </c>
      <c r="E40">
        <v>3</v>
      </c>
      <c r="F40">
        <f ca="1">SUMIF(tables_settle_362100!J:J,input_settle_362100!E40,tables_settle_362100!O:O)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SUMIF(tables_settle_362100!C:C,input_settle_362100!A41,tables_settle_362100!O:O)</f>
        <v>0</v>
      </c>
      <c r="C41" s="54">
        <f t="shared" ca="1" si="9"/>
        <v>0</v>
      </c>
      <c r="E41">
        <v>4</v>
      </c>
      <c r="F41">
        <f ca="1">SUMIF(tables_settle_362100!J:J,input_settle_362100!E41,tables_settle_362100!O:O)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SUMIF(tables_settle_362100!C:C,input_settle_362100!A42,tables_settle_362100!O:O)</f>
        <v>0</v>
      </c>
      <c r="C42" s="54">
        <f t="shared" ca="1" si="9"/>
        <v>0</v>
      </c>
      <c r="E42">
        <v>5</v>
      </c>
      <c r="F42">
        <f ca="1">SUMIF(tables_settle_362100!J:J,input_settle_362100!E42,tables_settle_362100!O:O)</f>
        <v>320000</v>
      </c>
      <c r="G42">
        <f ca="1">F42/A36</f>
        <v>1</v>
      </c>
    </row>
    <row r="43" spans="1:7" x14ac:dyDescent="0.15">
      <c r="A43" s="33" t="s">
        <v>109</v>
      </c>
      <c r="B43">
        <f>SUMIF(tables_settle_362100!C:C,input_settle_362100!A43,tables_settle_362100!O:O)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SUMIF(tables_settle_362100!C:C,input_settle_362100!A44,tables_settle_362100!O:O)</f>
        <v>191505.59999999989</v>
      </c>
      <c r="C44" s="54">
        <f t="shared" ca="1" si="9"/>
        <v>0.93503480278422269</v>
      </c>
      <c r="E44" t="s">
        <v>54</v>
      </c>
      <c r="F44" s="55"/>
    </row>
    <row r="45" spans="1:7" x14ac:dyDescent="0.15">
      <c r="A45" s="33" t="s">
        <v>107</v>
      </c>
      <c r="B45">
        <f ca="1">SUMIF(tables_settle_362100!C:C,input_settle_362100!A45,tables_settle_362100!O:O)</f>
        <v>13305.600000000006</v>
      </c>
      <c r="C45" s="54">
        <f t="shared" ca="1" si="9"/>
        <v>6.4965197215777329E-2</v>
      </c>
      <c r="E45" t="s">
        <v>204</v>
      </c>
      <c r="F45" s="55">
        <f ca="1">SUMIF(tables_settle_362100!I:I,input_settle_362100!E45,tables_settle_362100!P:P)</f>
        <v>0</v>
      </c>
    </row>
    <row r="46" spans="1:7" x14ac:dyDescent="0.15">
      <c r="A46" s="33" t="s">
        <v>108</v>
      </c>
      <c r="B46">
        <f>SUMIF(tables_settle_362100!C:C,input_settle_362100!A46,tables_settle_362100!O:O)</f>
        <v>0</v>
      </c>
      <c r="C46" s="54">
        <f t="shared" ca="1" si="9"/>
        <v>0</v>
      </c>
      <c r="E46" t="s">
        <v>205</v>
      </c>
      <c r="F46" s="55">
        <f ca="1">SUMIF(tables_settle_362100!I:I,input_settle_362100!E46,tables_settle_362100!P:P)</f>
        <v>0.20010375000000005</v>
      </c>
    </row>
    <row r="47" spans="1:7" x14ac:dyDescent="0.15">
      <c r="A47" s="39" t="s">
        <v>59</v>
      </c>
      <c r="B47">
        <f ca="1">SUM(B40:B46)</f>
        <v>204811.1999999999</v>
      </c>
      <c r="C47" s="55">
        <f ca="1">SUM(C40:C46)</f>
        <v>1</v>
      </c>
      <c r="E47" t="s">
        <v>206</v>
      </c>
      <c r="F47" s="55">
        <f ca="1">SUMIF(tables_settle_362100!I:I,input_settle_362100!E47,tables_settle_362100!P:P)</f>
        <v>0.73631625000000012</v>
      </c>
    </row>
    <row r="48" spans="1:7" x14ac:dyDescent="0.15">
      <c r="E48" t="s">
        <v>207</v>
      </c>
      <c r="F48" s="55">
        <f ca="1">SUMIF(tables_settle_362100!I:I,input_settle_362100!E48,tables_settle_362100!P:P)</f>
        <v>5.358000000000001E-2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filterMode="1" enableFormatConditionsCalculation="0">
    <tabColor rgb="FF0000FF"/>
    <outlinePr summaryBelow="0" summaryRight="0"/>
  </sheetPr>
  <dimension ref="A1:V292"/>
  <sheetViews>
    <sheetView showGridLines="0" zoomScale="75" zoomScaleNormal="75" zoomScalePageLayoutView="75" workbookViewId="0">
      <pane ySplit="1" topLeftCell="A263" activePane="bottomLeft" state="frozen"/>
      <selection activeCell="J12" sqref="J12"/>
      <selection pane="bottomLeft" activeCell="E302" sqref="E30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input_settle_362100!A$2</f>
        <v>362100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IFERROR(VLOOKUP(B2,input_settle_362100!L:R,7,FALSE),VLOOKUP(tables_settle_362100!C2,input_settle_362100!A:H,8,FALSE))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input_settle_362100!A$2</f>
        <v>362100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IFERROR(VLOOKUP(B3,input_settle_362100!L:R,7,FALSE),VLOOKUP(tables_settle_362100!C3,input_settle_362100!A:H,8,FALSE))</f>
        <v>0</v>
      </c>
      <c r="P3" s="46">
        <f t="shared" ca="1" si="2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input_settle_362100!A$2</f>
        <v>362100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IFERROR(VLOOKUP(B4,input_settle_362100!L:R,7,FALSE),VLOOKUP(tables_settle_362100!C4,input_settle_362100!A:H,8,FALSE))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input_settle_362100!A$2</f>
        <v>362100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IFERROR(VLOOKUP(B5,input_settle_362100!L:R,7,FALSE),VLOOKUP(tables_settle_362100!C5,input_settle_362100!A:H,8,FALSE))</f>
        <v>0</v>
      </c>
      <c r="P5" s="46">
        <f t="shared" ca="1" si="2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input_settle_362100!A$2</f>
        <v>362100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IFERROR(VLOOKUP(B6,input_settle_362100!L:R,7,FALSE),VLOOKUP(tables_settle_362100!C6,input_settle_362100!A:H,8,FALSE))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input_settle_362100!A$2</f>
        <v>362100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IFERROR(VLOOKUP(B7,input_settle_362100!L:R,7,FALSE),VLOOKUP(tables_settle_362100!C7,input_settle_362100!A:H,8,FALSE))</f>
        <v>0</v>
      </c>
      <c r="P7" s="46">
        <f t="shared" ca="1" si="2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input_settle_362100!A$2</f>
        <v>362100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IFERROR(VLOOKUP(B8,input_settle_362100!L:R,7,FALSE),VLOOKUP(tables_settle_362100!C8,input_settle_362100!A:H,8,FALSE))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input_settle_362100!A$2</f>
        <v>362100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IFERROR(VLOOKUP(B9,input_settle_362100!L:R,7,FALSE),VLOOKUP(tables_settle_362100!C9,input_settle_362100!A:H,8,FALSE))</f>
        <v>0</v>
      </c>
      <c r="P9" s="46">
        <f t="shared" ca="1" si="2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input_settle_362100!A$2</f>
        <v>362100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IFERROR(VLOOKUP(B10,input_settle_362100!L:R,7,FALSE),VLOOKUP(tables_settle_362100!C10,input_settle_362100!A:H,8,FALSE))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input_settle_362100!A$2</f>
        <v>362100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IFERROR(VLOOKUP(B11,input_settle_362100!L:R,7,FALSE),VLOOKUP(tables_settle_362100!C11,input_settle_362100!A:H,8,FALSE))</f>
        <v>0</v>
      </c>
      <c r="P11" s="46">
        <f t="shared" ca="1" si="2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input_settle_362100!A$2</f>
        <v>362100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IFERROR(VLOOKUP(B12,input_settle_362100!L:R,7,FALSE),VLOOKUP(tables_settle_362100!C12,input_settle_362100!A:H,8,FALSE))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input_settle_362100!A$2</f>
        <v>362100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IFERROR(VLOOKUP(B13,input_settle_362100!L:R,7,FALSE),VLOOKUP(tables_settle_362100!C13,input_settle_362100!A:H,8,FALSE))</f>
        <v>0</v>
      </c>
      <c r="P13" s="46">
        <f t="shared" ca="1" si="2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input_settle_362100!A$2</f>
        <v>362100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IFERROR(VLOOKUP(B14,input_settle_362100!L:R,7,FALSE),VLOOKUP(tables_settle_362100!C14,input_settle_362100!A:H,8,FALSE))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input_settle_362100!A$2</f>
        <v>362100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IFERROR(VLOOKUP(B15,input_settle_362100!L:R,7,FALSE),VLOOKUP(tables_settle_362100!C15,input_settle_362100!A:H,8,FALSE))</f>
        <v>0</v>
      </c>
      <c r="P15" s="46">
        <f t="shared" ca="1" si="2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input_settle_362100!A$2</f>
        <v>362100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IFERROR(VLOOKUP(B16,input_settle_362100!L:R,7,FALSE),VLOOKUP(tables_settle_362100!C16,input_settle_362100!A:H,8,FALSE))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input_settle_362100!A$2</f>
        <v>362100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IFERROR(VLOOKUP(B17,input_settle_362100!L:R,7,FALSE),VLOOKUP(tables_settle_362100!C17,input_settle_362100!A:H,8,FALSE))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input_settle_362100!A$2</f>
        <v>362100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IFERROR(VLOOKUP(B18,input_settle_362100!L:R,7,FALSE),VLOOKUP(tables_settle_362100!C18,input_settle_362100!A:H,8,FALSE))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input_settle_362100!A$2</f>
        <v>362100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IFERROR(VLOOKUP(B19,input_settle_362100!L:R,7,FALSE),VLOOKUP(tables_settle_362100!C19,input_settle_362100!A:H,8,FALSE))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input_settle_362100!A$2</f>
        <v>362100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IFERROR(VLOOKUP(B20,input_settle_362100!L:R,7,FALSE),VLOOKUP(tables_settle_362100!C20,input_settle_362100!A:H,8,FALSE))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input_settle_362100!A$2</f>
        <v>362100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IFERROR(VLOOKUP(B21,input_settle_362100!L:R,7,FALSE),VLOOKUP(tables_settle_362100!C21,input_settle_362100!A:H,8,FALSE))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input_settle_362100!A$2</f>
        <v>362100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IFERROR(VLOOKUP(B22,input_settle_362100!L:R,7,FALSE),VLOOKUP(tables_settle_362100!C22,input_settle_362100!A:H,8,FALSE))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input_settle_362100!A$2</f>
        <v>362100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IFERROR(VLOOKUP(B23,input_settle_362100!L:R,7,FALSE),VLOOKUP(tables_settle_362100!C23,input_settle_362100!A:H,8,FALSE))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input_settle_362100!A$2</f>
        <v>362100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IFERROR(VLOOKUP(B24,input_settle_362100!L:R,7,FALSE),VLOOKUP(tables_settle_362100!C24,input_settle_362100!A:H,8,FALSE))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input_settle_362100!A$2</f>
        <v>362100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IFERROR(VLOOKUP(B25,input_settle_362100!L:R,7,FALSE),VLOOKUP(tables_settle_362100!C25,input_settle_362100!A:H,8,FALSE))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input_settle_362100!A$2</f>
        <v>362100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IFERROR(VLOOKUP(B26,input_settle_362100!L:R,7,FALSE),VLOOKUP(tables_settle_362100!C26,input_settle_362100!A:H,8,FALSE))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input_settle_362100!A$2</f>
        <v>362100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IFERROR(VLOOKUP(B27,input_settle_362100!L:R,7,FALSE),VLOOKUP(tables_settle_362100!C27,input_settle_362100!A:H,8,FALSE))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input_settle_362100!A$2</f>
        <v>362100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IFERROR(VLOOKUP(B28,input_settle_362100!L:R,7,FALSE),VLOOKUP(tables_settle_362100!C28,input_settle_362100!A:H,8,FALSE))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input_settle_362100!A$2</f>
        <v>362100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IFERROR(VLOOKUP(B29,input_settle_362100!L:R,7,FALSE),VLOOKUP(tables_settle_362100!C29,input_settle_362100!A:H,8,FALSE))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input_settle_362100!A$2</f>
        <v>362100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IFERROR(VLOOKUP(B30,input_settle_362100!L:R,7,FALSE),VLOOKUP(tables_settle_362100!C30,input_settle_362100!A:H,8,FALSE))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input_settle_362100!A$2</f>
        <v>362100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IFERROR(VLOOKUP(B31,input_settle_362100!L:R,7,FALSE),VLOOKUP(tables_settle_362100!C31,input_settle_362100!A:H,8,FALSE))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input_settle_362100!A$2</f>
        <v>362100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IFERROR(VLOOKUP(B32,input_settle_362100!L:R,7,FALSE),VLOOKUP(tables_settle_362100!C32,input_settle_362100!A:H,8,FALSE))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input_settle_362100!A$2</f>
        <v>362100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IFERROR(VLOOKUP(B33,input_settle_362100!L:R,7,FALSE),VLOOKUP(tables_settle_362100!C33,input_settle_362100!A:H,8,FALSE))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input_settle_362100!A$2</f>
        <v>362100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IFERROR(VLOOKUP(B34,input_settle_362100!L:R,7,FALSE),VLOOKUP(tables_settle_362100!C34,input_settle_362100!A:H,8,FALSE))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input_settle_362100!A$2</f>
        <v>362100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IFERROR(VLOOKUP(B35,input_settle_362100!L:R,7,FALSE),VLOOKUP(tables_settle_362100!C35,input_settle_362100!A:H,8,FALSE))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input_settle_362100!A$2</f>
        <v>362100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IFERROR(VLOOKUP(B36,input_settle_362100!L:R,7,FALSE),VLOOKUP(tables_settle_362100!C36,input_settle_362100!A:H,8,FALSE))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input_settle_362100!A$2</f>
        <v>362100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IFERROR(VLOOKUP(B37,input_settle_362100!L:R,7,FALSE),VLOOKUP(tables_settle_362100!C37,input_settle_362100!A:H,8,FALSE))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input_settle_362100!A$2</f>
        <v>362100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IFERROR(VLOOKUP(B38,input_settle_362100!L:R,7,FALSE),VLOOKUP(tables_settle_362100!C38,input_settle_362100!A:H,8,FALSE))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input_settle_362100!A$2</f>
        <v>362100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IFERROR(VLOOKUP(B39,input_settle_362100!L:R,7,FALSE),VLOOKUP(tables_settle_362100!C39,input_settle_362100!A:H,8,FALSE))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input_settle_362100!A$2</f>
        <v>362100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IFERROR(VLOOKUP(B40,input_settle_362100!L:R,7,FALSE),VLOOKUP(tables_settle_362100!C40,input_settle_362100!A:H,8,FALSE))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input_settle_362100!A$2</f>
        <v>362100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IFERROR(VLOOKUP(B41,input_settle_362100!L:R,7,FALSE),VLOOKUP(tables_settle_362100!C41,input_settle_362100!A:H,8,FALSE))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input_settle_362100!A$2</f>
        <v>362100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IFERROR(VLOOKUP(B42,input_settle_362100!L:R,7,FALSE),VLOOKUP(tables_settle_362100!C42,input_settle_362100!A:H,8,FALSE))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input_settle_362100!A$2</f>
        <v>362100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IFERROR(VLOOKUP(B43,input_settle_362100!L:R,7,FALSE),VLOOKUP(tables_settle_362100!C43,input_settle_362100!A:H,8,FALSE))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input_settle_362100!A$2</f>
        <v>362100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IFERROR(VLOOKUP(B44,input_settle_362100!L:R,7,FALSE),VLOOKUP(tables_settle_362100!C44,input_settle_362100!A:H,8,FALSE))</f>
        <v>475.2</v>
      </c>
      <c r="P44" s="46">
        <f t="shared" ca="1" si="2"/>
        <v>1.485E-3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input_settle_362100!A$2</f>
        <v>362100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IFERROR(VLOOKUP(B45,input_settle_362100!L:R,7,FALSE),VLOOKUP(tables_settle_362100!C45,input_settle_362100!A:H,8,FALSE))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input_settle_362100!A$2</f>
        <v>362100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IFERROR(VLOOKUP(B46,input_settle_362100!L:R,7,FALSE),VLOOKUP(tables_settle_362100!C46,input_settle_362100!A:H,8,FALSE))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input_settle_362100!A$2</f>
        <v>362100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IFERROR(VLOOKUP(B47,input_settle_362100!L:R,7,FALSE),VLOOKUP(tables_settle_362100!C47,input_settle_362100!A:H,8,FALSE))</f>
        <v>475.2</v>
      </c>
      <c r="P47" s="46">
        <f t="shared" ca="1" si="2"/>
        <v>1.485E-3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input_settle_362100!A$2</f>
        <v>362100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IFERROR(VLOOKUP(B48,input_settle_362100!L:R,7,FALSE),VLOOKUP(tables_settle_362100!C48,input_settle_362100!A:H,8,FALSE))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input_settle_362100!A$2</f>
        <v>362100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IFERROR(VLOOKUP(B49,input_settle_362100!L:R,7,FALSE),VLOOKUP(tables_settle_362100!C49,input_settle_362100!A:H,8,FALSE))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input_settle_362100!A$2</f>
        <v>362100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IFERROR(VLOOKUP(B50,input_settle_362100!L:R,7,FALSE),VLOOKUP(tables_settle_362100!C50,input_settle_362100!A:H,8,FALSE))</f>
        <v>475.2</v>
      </c>
      <c r="P50" s="46">
        <f t="shared" ca="1" si="2"/>
        <v>1.485E-3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input_settle_362100!A$2</f>
        <v>362100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IFERROR(VLOOKUP(B51,input_settle_362100!L:R,7,FALSE),VLOOKUP(tables_settle_362100!C51,input_settle_362100!A:H,8,FALSE))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input_settle_362100!A$2</f>
        <v>362100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IFERROR(VLOOKUP(B52,input_settle_362100!L:R,7,FALSE),VLOOKUP(tables_settle_362100!C52,input_settle_362100!A:H,8,FALSE))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input_settle_362100!A$2</f>
        <v>362100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IFERROR(VLOOKUP(B53,input_settle_362100!L:R,7,FALSE),VLOOKUP(tables_settle_362100!C53,input_settle_362100!A:H,8,FALSE))</f>
        <v>3682.8</v>
      </c>
      <c r="P53" s="46">
        <f t="shared" ca="1" si="2"/>
        <v>1.150875E-2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input_settle_362100!A$2</f>
        <v>362100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IFERROR(VLOOKUP(B54,input_settle_362100!L:R,7,FALSE),VLOOKUP(tables_settle_362100!C54,input_settle_362100!A:H,8,FALSE))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input_settle_362100!A$2</f>
        <v>362100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IFERROR(VLOOKUP(B55,input_settle_362100!L:R,7,FALSE),VLOOKUP(tables_settle_362100!C55,input_settle_362100!A:H,8,FALSE))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input_settle_362100!A$2</f>
        <v>362100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IFERROR(VLOOKUP(B56,input_settle_362100!L:R,7,FALSE),VLOOKUP(tables_settle_362100!C56,input_settle_362100!A:H,8,FALSE))</f>
        <v>3682.8</v>
      </c>
      <c r="P56" s="46">
        <f t="shared" ca="1" si="2"/>
        <v>1.150875E-2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input_settle_362100!A$2</f>
        <v>362100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IFERROR(VLOOKUP(B57,input_settle_362100!L:R,7,FALSE),VLOOKUP(tables_settle_362100!C57,input_settle_362100!A:H,8,FALSE))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input_settle_362100!A$2</f>
        <v>362100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IFERROR(VLOOKUP(B58,input_settle_362100!L:R,7,FALSE),VLOOKUP(tables_settle_362100!C58,input_settle_362100!A:H,8,FALSE))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input_settle_362100!A$2</f>
        <v>362100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IFERROR(VLOOKUP(B59,input_settle_362100!L:R,7,FALSE),VLOOKUP(tables_settle_362100!C59,input_settle_362100!A:H,8,FALSE))</f>
        <v>3682.8</v>
      </c>
      <c r="P59" s="46">
        <f t="shared" ca="1" si="2"/>
        <v>1.150875E-2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input_settle_362100!A$2</f>
        <v>362100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IFERROR(VLOOKUP(B60,input_settle_362100!L:R,7,FALSE),VLOOKUP(tables_settle_362100!C60,input_settle_362100!A:H,8,FALSE))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input_settle_362100!A$2</f>
        <v>362100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IFERROR(VLOOKUP(B61,input_settle_362100!L:R,7,FALSE),VLOOKUP(tables_settle_362100!C61,input_settle_362100!A:H,8,FALSE))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input_settle_362100!A$2</f>
        <v>362100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IFERROR(VLOOKUP(B62,input_settle_362100!L:R,7,FALSE),VLOOKUP(tables_settle_362100!C62,input_settle_362100!A:H,8,FALSE))</f>
        <v>3682.8</v>
      </c>
      <c r="P62" s="46">
        <f t="shared" ca="1" si="2"/>
        <v>1.150875E-2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input_settle_362100!A$2</f>
        <v>362100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IFERROR(VLOOKUP(B63,input_settle_362100!L:R,7,FALSE),VLOOKUP(tables_settle_362100!C63,input_settle_362100!A:H,8,FALSE))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input_settle_362100!A$2</f>
        <v>362100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IFERROR(VLOOKUP(B64,input_settle_362100!L:R,7,FALSE),VLOOKUP(tables_settle_362100!C64,input_settle_362100!A:H,8,FALSE))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input_settle_362100!A$2</f>
        <v>362100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IFERROR(VLOOKUP(B65,input_settle_362100!L:R,7,FALSE),VLOOKUP(tables_settle_362100!C65,input_settle_362100!A:H,8,FALSE))</f>
        <v>3682.8</v>
      </c>
      <c r="P65" s="46">
        <f t="shared" ca="1" si="2"/>
        <v>1.150875E-2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input_settle_362100!A$2</f>
        <v>362100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IFERROR(VLOOKUP(B66,input_settle_362100!L:R,7,FALSE),VLOOKUP(tables_settle_362100!C66,input_settle_362100!A:H,8,FALSE))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input_settle_362100!A$2</f>
        <v>362100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IFERROR(VLOOKUP(B67,input_settle_362100!L:R,7,FALSE),VLOOKUP(tables_settle_362100!C67,input_settle_362100!A:H,8,FALSE))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input_settle_362100!A$2</f>
        <v>362100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IFERROR(VLOOKUP(B68,input_settle_362100!L:R,7,FALSE),VLOOKUP(tables_settle_362100!C68,input_settle_362100!A:H,8,FALSE))</f>
        <v>3682.8</v>
      </c>
      <c r="P68" s="46">
        <f t="shared" ca="1" si="5"/>
        <v>1.150875E-2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input_settle_362100!A$2</f>
        <v>362100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IFERROR(VLOOKUP(B69,input_settle_362100!L:R,7,FALSE),VLOOKUP(tables_settle_362100!C69,input_settle_362100!A:H,8,FALSE))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input_settle_362100!A$2</f>
        <v>362100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IFERROR(VLOOKUP(B70,input_settle_362100!L:R,7,FALSE),VLOOKUP(tables_settle_362100!C70,input_settle_362100!A:H,8,FALSE))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input_settle_362100!A$2</f>
        <v>362100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IFERROR(VLOOKUP(B71,input_settle_362100!L:R,7,FALSE),VLOOKUP(tables_settle_362100!C71,input_settle_362100!A:H,8,FALSE))</f>
        <v>3682.8</v>
      </c>
      <c r="P71" s="46">
        <f t="shared" ca="1" si="5"/>
        <v>1.150875E-2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input_settle_362100!A$2</f>
        <v>362100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IFERROR(VLOOKUP(B72,input_settle_362100!L:R,7,FALSE),VLOOKUP(tables_settle_362100!C72,input_settle_362100!A:H,8,FALSE))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input_settle_362100!A$2</f>
        <v>362100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IFERROR(VLOOKUP(B73,input_settle_362100!L:R,7,FALSE),VLOOKUP(tables_settle_362100!C73,input_settle_362100!A:H,8,FALSE))</f>
        <v>0</v>
      </c>
      <c r="P73" s="46">
        <f t="shared" ca="1" si="5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input_settle_362100!A$2</f>
        <v>362100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IFERROR(VLOOKUP(B74,input_settle_362100!L:R,7,FALSE),VLOOKUP(tables_settle_362100!C74,input_settle_362100!A:H,8,FALSE))</f>
        <v>3682.8</v>
      </c>
      <c r="P74" s="46">
        <f t="shared" ca="1" si="5"/>
        <v>1.150875E-2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input_settle_362100!A$2</f>
        <v>362100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IFERROR(VLOOKUP(B75,input_settle_362100!L:R,7,FALSE),VLOOKUP(tables_settle_362100!C75,input_settle_362100!A:H,8,FALSE))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input_settle_362100!A$2</f>
        <v>362100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IFERROR(VLOOKUP(B76,input_settle_362100!L:R,7,FALSE),VLOOKUP(tables_settle_362100!C76,input_settle_362100!A:H,8,FALSE))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input_settle_362100!A$2</f>
        <v>362100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IFERROR(VLOOKUP(B77,input_settle_362100!L:R,7,FALSE),VLOOKUP(tables_settle_362100!C77,input_settle_362100!A:H,8,FALSE))</f>
        <v>3682.8</v>
      </c>
      <c r="P77" s="46">
        <f t="shared" ca="1" si="5"/>
        <v>1.150875E-2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input_settle_362100!A$2</f>
        <v>362100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IFERROR(VLOOKUP(B78,input_settle_362100!L:R,7,FALSE),VLOOKUP(tables_settle_362100!C78,input_settle_362100!A:H,8,FALSE))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input_settle_362100!A$2</f>
        <v>362100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IFERROR(VLOOKUP(B79,input_settle_362100!L:R,7,FALSE),VLOOKUP(tables_settle_362100!C79,input_settle_362100!A:H,8,FALSE))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input_settle_362100!A$2</f>
        <v>362100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IFERROR(VLOOKUP(B80,input_settle_362100!L:R,7,FALSE),VLOOKUP(tables_settle_362100!C80,input_settle_362100!A:H,8,FALSE))</f>
        <v>3682.8</v>
      </c>
      <c r="P80" s="46">
        <f t="shared" ca="1" si="5"/>
        <v>1.150875E-2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input_settle_362100!A$2</f>
        <v>362100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IFERROR(VLOOKUP(B81,input_settle_362100!L:R,7,FALSE),VLOOKUP(tables_settle_362100!C81,input_settle_362100!A:H,8,FALSE))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input_settle_362100!A$2</f>
        <v>362100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IFERROR(VLOOKUP(B82,input_settle_362100!L:R,7,FALSE),VLOOKUP(tables_settle_362100!C82,input_settle_362100!A:H,8,FALSE))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input_settle_362100!A$2</f>
        <v>362100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IFERROR(VLOOKUP(B83,input_settle_362100!L:R,7,FALSE),VLOOKUP(tables_settle_362100!C83,input_settle_362100!A:H,8,FALSE))</f>
        <v>3682.8</v>
      </c>
      <c r="P83" s="46">
        <f t="shared" ca="1" si="5"/>
        <v>1.150875E-2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input_settle_362100!A$2</f>
        <v>362100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IFERROR(VLOOKUP(B84,input_settle_362100!L:R,7,FALSE),VLOOKUP(tables_settle_362100!C84,input_settle_362100!A:H,8,FALSE))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input_settle_362100!A$2</f>
        <v>362100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IFERROR(VLOOKUP(B85,input_settle_362100!L:R,7,FALSE),VLOOKUP(tables_settle_362100!C85,input_settle_362100!A:H,8,FALSE))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input_settle_362100!A$2</f>
        <v>362100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IFERROR(VLOOKUP(B86,input_settle_362100!L:R,7,FALSE),VLOOKUP(tables_settle_362100!C86,input_settle_362100!A:H,8,FALSE))</f>
        <v>3682.8</v>
      </c>
      <c r="P86" s="46">
        <f t="shared" ca="1" si="5"/>
        <v>1.150875E-2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input_settle_362100!A$2</f>
        <v>362100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IFERROR(VLOOKUP(B87,input_settle_362100!L:R,7,FALSE),VLOOKUP(tables_settle_362100!C87,input_settle_362100!A:H,8,FALSE))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input_settle_362100!A$2</f>
        <v>362100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IFERROR(VLOOKUP(B88,input_settle_362100!L:R,7,FALSE),VLOOKUP(tables_settle_362100!C88,input_settle_362100!A:H,8,FALSE))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input_settle_362100!A$2</f>
        <v>362100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IFERROR(VLOOKUP(B89,input_settle_362100!L:R,7,FALSE),VLOOKUP(tables_settle_362100!C89,input_settle_362100!A:H,8,FALSE))</f>
        <v>3682.8</v>
      </c>
      <c r="P89" s="46">
        <f t="shared" ca="1" si="5"/>
        <v>1.150875E-2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input_settle_362100!A$2</f>
        <v>362100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IFERROR(VLOOKUP(B90,input_settle_362100!L:R,7,FALSE),VLOOKUP(tables_settle_362100!C90,input_settle_362100!A:H,8,FALSE))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input_settle_362100!A$2</f>
        <v>362100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IFERROR(VLOOKUP(B91,input_settle_362100!L:R,7,FALSE),VLOOKUP(tables_settle_362100!C91,input_settle_362100!A:H,8,FALSE))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input_settle_362100!A$2</f>
        <v>362100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IFERROR(VLOOKUP(B92,input_settle_362100!L:R,7,FALSE),VLOOKUP(tables_settle_362100!C92,input_settle_362100!A:H,8,FALSE))</f>
        <v>3682.8</v>
      </c>
      <c r="P92" s="46">
        <f t="shared" ca="1" si="5"/>
        <v>1.150875E-2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input_settle_362100!A$2</f>
        <v>362100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IFERROR(VLOOKUP(B93,input_settle_362100!L:R,7,FALSE),VLOOKUP(tables_settle_362100!C93,input_settle_362100!A:H,8,FALSE))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input_settle_362100!A$2</f>
        <v>362100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IFERROR(VLOOKUP(B94,input_settle_362100!L:R,7,FALSE),VLOOKUP(tables_settle_362100!C94,input_settle_362100!A:H,8,FALSE))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input_settle_362100!A$2</f>
        <v>362100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IFERROR(VLOOKUP(B95,input_settle_362100!L:R,7,FALSE),VLOOKUP(tables_settle_362100!C95,input_settle_362100!A:H,8,FALSE))</f>
        <v>3682.8</v>
      </c>
      <c r="P95" s="46">
        <f t="shared" ca="1" si="5"/>
        <v>1.150875E-2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input_settle_362100!A$2</f>
        <v>362100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IFERROR(VLOOKUP(B96,input_settle_362100!L:R,7,FALSE),VLOOKUP(tables_settle_362100!C96,input_settle_362100!A:H,8,FALSE))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input_settle_362100!A$2</f>
        <v>362100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IFERROR(VLOOKUP(B97,input_settle_362100!L:R,7,FALSE),VLOOKUP(tables_settle_362100!C97,input_settle_362100!A:H,8,FALSE))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input_settle_362100!A$2</f>
        <v>362100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IFERROR(VLOOKUP(B98,input_settle_362100!L:R,7,FALSE),VLOOKUP(tables_settle_362100!C98,input_settle_362100!A:H,8,FALSE))</f>
        <v>3682.8</v>
      </c>
      <c r="P98" s="46">
        <f t="shared" ca="1" si="5"/>
        <v>1.150875E-2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input_settle_362100!A$2</f>
        <v>362100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IFERROR(VLOOKUP(B99,input_settle_362100!L:R,7,FALSE),VLOOKUP(tables_settle_362100!C99,input_settle_362100!A:H,8,FALSE))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input_settle_362100!A$2</f>
        <v>362100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IFERROR(VLOOKUP(B100,input_settle_362100!L:R,7,FALSE),VLOOKUP(tables_settle_362100!C100,input_settle_362100!A:H,8,FALSE))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input_settle_362100!A$2</f>
        <v>362100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IFERROR(VLOOKUP(B101,input_settle_362100!L:R,7,FALSE),VLOOKUP(tables_settle_362100!C101,input_settle_362100!A:H,8,FALSE))</f>
        <v>3682.8</v>
      </c>
      <c r="P101" s="46">
        <f t="shared" ca="1" si="5"/>
        <v>1.150875E-2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input_settle_362100!A$2</f>
        <v>362100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IFERROR(VLOOKUP(B102,input_settle_362100!L:R,7,FALSE),VLOOKUP(tables_settle_362100!C102,input_settle_362100!A:H,8,FALSE))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input_settle_362100!A$2</f>
        <v>362100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IFERROR(VLOOKUP(B103,input_settle_362100!L:R,7,FALSE),VLOOKUP(tables_settle_362100!C103,input_settle_362100!A:H,8,FALSE))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input_settle_362100!A$2</f>
        <v>362100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IFERROR(VLOOKUP(B104,input_settle_362100!L:R,7,FALSE),VLOOKUP(tables_settle_362100!C104,input_settle_362100!A:H,8,FALSE))</f>
        <v>3682.8</v>
      </c>
      <c r="P104" s="46">
        <f t="shared" ca="1" si="5"/>
        <v>1.150875E-2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input_settle_362100!A$2</f>
        <v>362100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IFERROR(VLOOKUP(B105,input_settle_362100!L:R,7,FALSE),VLOOKUP(tables_settle_362100!C105,input_settle_362100!A:H,8,FALSE))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input_settle_362100!A$2</f>
        <v>362100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IFERROR(VLOOKUP(B106,input_settle_362100!L:R,7,FALSE),VLOOKUP(tables_settle_362100!C106,input_settle_362100!A:H,8,FALSE))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input_settle_362100!A$2</f>
        <v>362100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IFERROR(VLOOKUP(B107,input_settle_362100!L:R,7,FALSE),VLOOKUP(tables_settle_362100!C107,input_settle_362100!A:H,8,FALSE))</f>
        <v>3682.8</v>
      </c>
      <c r="P107" s="46">
        <f t="shared" ca="1" si="5"/>
        <v>1.150875E-2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input_settle_362100!A$2</f>
        <v>362100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IFERROR(VLOOKUP(B108,input_settle_362100!L:R,7,FALSE),VLOOKUP(tables_settle_362100!C108,input_settle_362100!A:H,8,FALSE))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input_settle_362100!A$2</f>
        <v>362100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IFERROR(VLOOKUP(B109,input_settle_362100!L:R,7,FALSE),VLOOKUP(tables_settle_362100!C109,input_settle_362100!A:H,8,FALSE))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input_settle_362100!A$2</f>
        <v>362100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IFERROR(VLOOKUP(B110,input_settle_362100!L:R,7,FALSE),VLOOKUP(tables_settle_362100!C110,input_settle_362100!A:H,8,FALSE))</f>
        <v>3682.8</v>
      </c>
      <c r="P110" s="46">
        <f t="shared" ca="1" si="5"/>
        <v>1.150875E-2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input_settle_362100!A$2</f>
        <v>362100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IFERROR(VLOOKUP(B111,input_settle_362100!L:R,7,FALSE),VLOOKUP(tables_settle_362100!C111,input_settle_362100!A:H,8,FALSE))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input_settle_362100!A$2</f>
        <v>362100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IFERROR(VLOOKUP(B112,input_settle_362100!L:R,7,FALSE),VLOOKUP(tables_settle_362100!C112,input_settle_362100!A:H,8,FALSE))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input_settle_362100!A$2</f>
        <v>362100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IFERROR(VLOOKUP(B113,input_settle_362100!L:R,7,FALSE),VLOOKUP(tables_settle_362100!C113,input_settle_362100!A:H,8,FALSE))</f>
        <v>475.2</v>
      </c>
      <c r="P113" s="46">
        <f t="shared" ca="1" si="5"/>
        <v>1.485E-3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input_settle_362100!A$2</f>
        <v>362100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IFERROR(VLOOKUP(B114,input_settle_362100!L:R,7,FALSE),VLOOKUP(tables_settle_362100!C114,input_settle_362100!A:H,8,FALSE))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input_settle_362100!A$2</f>
        <v>362100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IFERROR(VLOOKUP(B115,input_settle_362100!L:R,7,FALSE),VLOOKUP(tables_settle_362100!C115,input_settle_362100!A:H,8,FALSE))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input_settle_362100!A$2</f>
        <v>362100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IFERROR(VLOOKUP(B116,input_settle_362100!L:R,7,FALSE),VLOOKUP(tables_settle_362100!C116,input_settle_362100!A:H,8,FALSE))</f>
        <v>3682.8</v>
      </c>
      <c r="P116" s="46">
        <f t="shared" ca="1" si="5"/>
        <v>1.150875E-2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input_settle_362100!A$2</f>
        <v>362100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IFERROR(VLOOKUP(B117,input_settle_362100!L:R,7,FALSE),VLOOKUP(tables_settle_362100!C117,input_settle_362100!A:H,8,FALSE))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input_settle_362100!A$2</f>
        <v>362100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IFERROR(VLOOKUP(B118,input_settle_362100!L:R,7,FALSE),VLOOKUP(tables_settle_362100!C118,input_settle_362100!A:H,8,FALSE))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input_settle_362100!A$2</f>
        <v>362100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IFERROR(VLOOKUP(B119,input_settle_362100!L:R,7,FALSE),VLOOKUP(tables_settle_362100!C119,input_settle_362100!A:H,8,FALSE))</f>
        <v>3682.8</v>
      </c>
      <c r="P119" s="46">
        <f t="shared" ca="1" si="5"/>
        <v>1.150875E-2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input_settle_362100!A$2</f>
        <v>362100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IFERROR(VLOOKUP(B120,input_settle_362100!L:R,7,FALSE),VLOOKUP(tables_settle_362100!C120,input_settle_362100!A:H,8,FALSE))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input_settle_362100!A$2</f>
        <v>362100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IFERROR(VLOOKUP(B121,input_settle_362100!L:R,7,FALSE),VLOOKUP(tables_settle_362100!C121,input_settle_362100!A:H,8,FALSE))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input_settle_362100!A$2</f>
        <v>362100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IFERROR(VLOOKUP(B122,input_settle_362100!L:R,7,FALSE),VLOOKUP(tables_settle_362100!C122,input_settle_362100!A:H,8,FALSE))</f>
        <v>3682.8</v>
      </c>
      <c r="P122" s="46">
        <f t="shared" ca="1" si="5"/>
        <v>1.150875E-2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input_settle_362100!A$2</f>
        <v>362100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IFERROR(VLOOKUP(B123,input_settle_362100!L:R,7,FALSE),VLOOKUP(tables_settle_362100!C123,input_settle_362100!A:H,8,FALSE))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input_settle_362100!A$2</f>
        <v>362100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IFERROR(VLOOKUP(B124,input_settle_362100!L:R,7,FALSE),VLOOKUP(tables_settle_362100!C124,input_settle_362100!A:H,8,FALSE))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input_settle_362100!A$2</f>
        <v>362100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IFERROR(VLOOKUP(B125,input_settle_362100!L:R,7,FALSE),VLOOKUP(tables_settle_362100!C125,input_settle_362100!A:H,8,FALSE))</f>
        <v>3682.8</v>
      </c>
      <c r="P125" s="46">
        <f t="shared" ca="1" si="5"/>
        <v>1.150875E-2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input_settle_362100!A$2</f>
        <v>362100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IFERROR(VLOOKUP(B126,input_settle_362100!L:R,7,FALSE),VLOOKUP(tables_settle_362100!C126,input_settle_362100!A:H,8,FALSE))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input_settle_362100!A$2</f>
        <v>362100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IFERROR(VLOOKUP(B127,input_settle_362100!L:R,7,FALSE),VLOOKUP(tables_settle_362100!C127,input_settle_362100!A:H,8,FALSE))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input_settle_362100!A$2</f>
        <v>362100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IFERROR(VLOOKUP(B128,input_settle_362100!L:R,7,FALSE),VLOOKUP(tables_settle_362100!C128,input_settle_362100!A:H,8,FALSE))</f>
        <v>3682.8</v>
      </c>
      <c r="P128" s="46">
        <f t="shared" ca="1" si="5"/>
        <v>1.150875E-2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input_settle_362100!A$2</f>
        <v>362100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IFERROR(VLOOKUP(B129,input_settle_362100!L:R,7,FALSE),VLOOKUP(tables_settle_362100!C129,input_settle_362100!A:H,8,FALSE))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input_settle_362100!A$2</f>
        <v>362100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IFERROR(VLOOKUP(B130,input_settle_362100!L:R,7,FALSE),VLOOKUP(tables_settle_362100!C130,input_settle_362100!A:H,8,FALSE))</f>
        <v>0</v>
      </c>
      <c r="P130" s="46">
        <f t="shared" ref="P130:P193" ca="1" si="8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input_settle_362100!A$2</f>
        <v>362100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IFERROR(VLOOKUP(B131,input_settle_362100!L:R,7,FALSE),VLOOKUP(tables_settle_362100!C131,input_settle_362100!A:H,8,FALSE))</f>
        <v>3682.8</v>
      </c>
      <c r="P131" s="46">
        <f t="shared" ca="1" si="8"/>
        <v>1.150875E-2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input_settle_362100!A$2</f>
        <v>362100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IFERROR(VLOOKUP(B132,input_settle_362100!L:R,7,FALSE),VLOOKUP(tables_settle_362100!C132,input_settle_362100!A:H,8,FALSE))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input_settle_362100!A$2</f>
        <v>362100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IFERROR(VLOOKUP(B133,input_settle_362100!L:R,7,FALSE),VLOOKUP(tables_settle_362100!C133,input_settle_362100!A:H,8,FALSE))</f>
        <v>0</v>
      </c>
      <c r="P133" s="46">
        <f t="shared" ca="1" si="8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input_settle_362100!A$2</f>
        <v>362100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IFERROR(VLOOKUP(B134,input_settle_362100!L:R,7,FALSE),VLOOKUP(tables_settle_362100!C134,input_settle_362100!A:H,8,FALSE))</f>
        <v>3682.8</v>
      </c>
      <c r="P134" s="46">
        <f t="shared" ca="1" si="8"/>
        <v>1.150875E-2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input_settle_362100!A$2</f>
        <v>362100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IFERROR(VLOOKUP(B135,input_settle_362100!L:R,7,FALSE),VLOOKUP(tables_settle_362100!C135,input_settle_362100!A:H,8,FALSE))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input_settle_362100!A$2</f>
        <v>362100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IFERROR(VLOOKUP(B136,input_settle_362100!L:R,7,FALSE),VLOOKUP(tables_settle_362100!C136,input_settle_362100!A:H,8,FALSE))</f>
        <v>0</v>
      </c>
      <c r="P136" s="46">
        <f t="shared" ca="1" si="8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input_settle_362100!A$2</f>
        <v>362100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IFERROR(VLOOKUP(B137,input_settle_362100!L:R,7,FALSE),VLOOKUP(tables_settle_362100!C137,input_settle_362100!A:H,8,FALSE))</f>
        <v>3682.8</v>
      </c>
      <c r="P137" s="46">
        <f t="shared" ca="1" si="8"/>
        <v>1.150875E-2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input_settle_362100!A$2</f>
        <v>362100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IFERROR(VLOOKUP(B138,input_settle_362100!L:R,7,FALSE),VLOOKUP(tables_settle_362100!C138,input_settle_362100!A:H,8,FALSE))</f>
        <v>0</v>
      </c>
      <c r="P138" s="46">
        <f t="shared" ca="1" si="8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input_settle_362100!A$2</f>
        <v>362100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IFERROR(VLOOKUP(B139,input_settle_362100!L:R,7,FALSE),VLOOKUP(tables_settle_362100!C139,input_settle_362100!A:H,8,FALSE))</f>
        <v>475.2</v>
      </c>
      <c r="P139" s="46">
        <f t="shared" ca="1" si="8"/>
        <v>1.485E-3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input_settle_362100!A$2</f>
        <v>362100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IFERROR(VLOOKUP(B140,input_settle_362100!L:R,7,FALSE),VLOOKUP(tables_settle_362100!C140,input_settle_362100!A:H,8,FALSE))</f>
        <v>0</v>
      </c>
      <c r="P140" s="46">
        <f t="shared" ca="1" si="8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input_settle_362100!A$2</f>
        <v>362100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IFERROR(VLOOKUP(B141,input_settle_362100!L:R,7,FALSE),VLOOKUP(tables_settle_362100!C141,input_settle_362100!A:H,8,FALSE))</f>
        <v>475.2</v>
      </c>
      <c r="P141" s="46">
        <f t="shared" ca="1" si="8"/>
        <v>1.485E-3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input_settle_362100!A$2</f>
        <v>362100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IFERROR(VLOOKUP(B142,input_settle_362100!L:R,7,FALSE),VLOOKUP(tables_settle_362100!C142,input_settle_362100!A:H,8,FALSE))</f>
        <v>0</v>
      </c>
      <c r="P142" s="46">
        <f t="shared" ca="1" si="8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input_settle_362100!A$2</f>
        <v>362100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IFERROR(VLOOKUP(B143,input_settle_362100!L:R,7,FALSE),VLOOKUP(tables_settle_362100!C143,input_settle_362100!A:H,8,FALSE))</f>
        <v>475.2</v>
      </c>
      <c r="P143" s="46">
        <f t="shared" ca="1" si="8"/>
        <v>1.485E-3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input_settle_362100!A$2</f>
        <v>362100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IFERROR(VLOOKUP(B144,input_settle_362100!L:R,7,FALSE),VLOOKUP(tables_settle_362100!C144,input_settle_362100!A:H,8,FALSE))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input_settle_362100!A$2</f>
        <v>362100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IFERROR(VLOOKUP(B145,input_settle_362100!L:R,7,FALSE),VLOOKUP(tables_settle_362100!C145,input_settle_362100!A:H,8,FALSE))</f>
        <v>475.2</v>
      </c>
      <c r="P145" s="46">
        <f t="shared" ca="1" si="8"/>
        <v>1.485E-3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input_settle_362100!A$2</f>
        <v>362100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IFERROR(VLOOKUP(B146,input_settle_362100!L:R,7,FALSE),VLOOKUP(tables_settle_362100!C146,input_settle_362100!A:H,8,FALSE))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input_settle_362100!A$2</f>
        <v>362100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IFERROR(VLOOKUP(B147,input_settle_362100!L:R,7,FALSE),VLOOKUP(tables_settle_362100!C147,input_settle_362100!A:H,8,FALSE))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input_settle_362100!A$2</f>
        <v>362100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IFERROR(VLOOKUP(B148,input_settle_362100!L:R,7,FALSE),VLOOKUP(tables_settle_362100!C148,input_settle_362100!A:H,8,FALSE))</f>
        <v>3682.8</v>
      </c>
      <c r="P148" s="46">
        <f t="shared" ca="1" si="8"/>
        <v>1.150875E-2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input_settle_362100!A$2</f>
        <v>362100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IFERROR(VLOOKUP(B149,input_settle_362100!L:R,7,FALSE),VLOOKUP(tables_settle_362100!C149,input_settle_362100!A:H,8,FALSE))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input_settle_362100!A$2</f>
        <v>362100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IFERROR(VLOOKUP(B150,input_settle_362100!L:R,7,FALSE),VLOOKUP(tables_settle_362100!C150,input_settle_362100!A:H,8,FALSE))</f>
        <v>475.2</v>
      </c>
      <c r="P150" s="46">
        <f t="shared" ca="1" si="8"/>
        <v>1.485E-3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input_settle_362100!A$2</f>
        <v>362100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IFERROR(VLOOKUP(B151,input_settle_362100!L:R,7,FALSE),VLOOKUP(tables_settle_362100!C151,input_settle_362100!A:H,8,FALSE))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input_settle_362100!A$2</f>
        <v>362100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IFERROR(VLOOKUP(B152,input_settle_362100!L:R,7,FALSE),VLOOKUP(tables_settle_362100!C152,input_settle_362100!A:H,8,FALSE))</f>
        <v>475.2</v>
      </c>
      <c r="P152" s="46">
        <f t="shared" ca="1" si="8"/>
        <v>1.485E-3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input_settle_362100!A$2</f>
        <v>362100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IFERROR(VLOOKUP(B153,input_settle_362100!L:R,7,FALSE),VLOOKUP(tables_settle_362100!C153,input_settle_362100!A:H,8,FALSE))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input_settle_362100!A$2</f>
        <v>362100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IFERROR(VLOOKUP(B154,input_settle_362100!L:R,7,FALSE),VLOOKUP(tables_settle_362100!C154,input_settle_362100!A:H,8,FALSE))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input_settle_362100!A$2</f>
        <v>362100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IFERROR(VLOOKUP(B155,input_settle_362100!L:R,7,FALSE),VLOOKUP(tables_settle_362100!C155,input_settle_362100!A:H,8,FALSE))</f>
        <v>3682.8</v>
      </c>
      <c r="P155" s="46">
        <f t="shared" ca="1" si="8"/>
        <v>1.150875E-2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input_settle_362100!A$2</f>
        <v>362100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IFERROR(VLOOKUP(B156,input_settle_362100!L:R,7,FALSE),VLOOKUP(tables_settle_362100!C156,input_settle_362100!A:H,8,FALSE))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input_settle_362100!A$2</f>
        <v>362100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IFERROR(VLOOKUP(B157,input_settle_362100!L:R,7,FALSE),VLOOKUP(tables_settle_362100!C157,input_settle_362100!A:H,8,FALSE))</f>
        <v>475.2</v>
      </c>
      <c r="P157" s="46">
        <f t="shared" ca="1" si="8"/>
        <v>1.485E-3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input_settle_362100!A$2</f>
        <v>362100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IFERROR(VLOOKUP(B158,input_settle_362100!L:R,7,FALSE),VLOOKUP(tables_settle_362100!C158,input_settle_362100!A:H,8,FALSE))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input_settle_362100!A$2</f>
        <v>362100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IFERROR(VLOOKUP(B159,input_settle_362100!L:R,7,FALSE),VLOOKUP(tables_settle_362100!C159,input_settle_362100!A:H,8,FALSE))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input_settle_362100!A$2</f>
        <v>362100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IFERROR(VLOOKUP(B160,input_settle_362100!L:R,7,FALSE),VLOOKUP(tables_settle_362100!C160,input_settle_362100!A:H,8,FALSE))</f>
        <v>3682.8</v>
      </c>
      <c r="P160" s="46">
        <f t="shared" ca="1" si="8"/>
        <v>1.150875E-2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input_settle_362100!A$2</f>
        <v>362100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IFERROR(VLOOKUP(B161,input_settle_362100!L:R,7,FALSE),VLOOKUP(tables_settle_362100!C161,input_settle_362100!A:H,8,FALSE))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input_settle_362100!A$2</f>
        <v>362100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IFERROR(VLOOKUP(B162,input_settle_362100!L:R,7,FALSE),VLOOKUP(tables_settle_362100!C162,input_settle_362100!A:H,8,FALSE))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input_settle_362100!A$2</f>
        <v>362100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IFERROR(VLOOKUP(B163,input_settle_362100!L:R,7,FALSE),VLOOKUP(tables_settle_362100!C163,input_settle_362100!A:H,8,FALSE))</f>
        <v>3682.8</v>
      </c>
      <c r="P163" s="46">
        <f t="shared" ca="1" si="8"/>
        <v>1.150875E-2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input_settle_362100!A$2</f>
        <v>362100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IFERROR(VLOOKUP(B164,input_settle_362100!L:R,7,FALSE),VLOOKUP(tables_settle_362100!C164,input_settle_362100!A:H,8,FALSE))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input_settle_362100!A$2</f>
        <v>362100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IFERROR(VLOOKUP(B165,input_settle_362100!L:R,7,FALSE),VLOOKUP(tables_settle_362100!C165,input_settle_362100!A:H,8,FALSE))</f>
        <v>475.2</v>
      </c>
      <c r="P165" s="46">
        <f t="shared" ca="1" si="8"/>
        <v>1.485E-3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input_settle_362100!A$2</f>
        <v>362100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IFERROR(VLOOKUP(B166,input_settle_362100!L:R,7,FALSE),VLOOKUP(tables_settle_362100!C166,input_settle_362100!A:H,8,FALSE))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input_settle_362100!A$2</f>
        <v>362100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IFERROR(VLOOKUP(B167,input_settle_362100!L:R,7,FALSE),VLOOKUP(tables_settle_362100!C167,input_settle_362100!A:H,8,FALSE))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input_settle_362100!A$2</f>
        <v>362100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IFERROR(VLOOKUP(B168,input_settle_362100!L:R,7,FALSE),VLOOKUP(tables_settle_362100!C168,input_settle_362100!A:H,8,FALSE))</f>
        <v>3682.8</v>
      </c>
      <c r="P168" s="46">
        <f t="shared" ca="1" si="8"/>
        <v>1.150875E-2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input_settle_362100!A$2</f>
        <v>362100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IFERROR(VLOOKUP(B169,input_settle_362100!L:R,7,FALSE),VLOOKUP(tables_settle_362100!C169,input_settle_362100!A:H,8,FALSE))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input_settle_362100!A$2</f>
        <v>362100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IFERROR(VLOOKUP(B170,input_settle_362100!L:R,7,FALSE),VLOOKUP(tables_settle_362100!C170,input_settle_362100!A:H,8,FALSE))</f>
        <v>475.2</v>
      </c>
      <c r="P170" s="46">
        <f t="shared" ca="1" si="8"/>
        <v>1.485E-3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input_settle_362100!A$2</f>
        <v>362100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IFERROR(VLOOKUP(B171,input_settle_362100!L:R,7,FALSE),VLOOKUP(tables_settle_362100!C171,input_settle_362100!A:H,8,FALSE))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input_settle_362100!A$2</f>
        <v>362100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IFERROR(VLOOKUP(B172,input_settle_362100!L:R,7,FALSE),VLOOKUP(tables_settle_362100!C172,input_settle_362100!A:H,8,FALSE))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input_settle_362100!A$2</f>
        <v>362100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IFERROR(VLOOKUP(B173,input_settle_362100!L:R,7,FALSE),VLOOKUP(tables_settle_362100!C173,input_settle_362100!A:H,8,FALSE))</f>
        <v>3682.8</v>
      </c>
      <c r="P173" s="46">
        <f t="shared" ca="1" si="8"/>
        <v>1.150875E-2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input_settle_362100!A$2</f>
        <v>362100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IFERROR(VLOOKUP(B174,input_settle_362100!L:R,7,FALSE),VLOOKUP(tables_settle_362100!C174,input_settle_362100!A:H,8,FALSE))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input_settle_362100!A$2</f>
        <v>362100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IFERROR(VLOOKUP(B175,input_settle_362100!L:R,7,FALSE),VLOOKUP(tables_settle_362100!C175,input_settle_362100!A:H,8,FALSE))</f>
        <v>475.2</v>
      </c>
      <c r="P175" s="46">
        <f t="shared" ca="1" si="8"/>
        <v>1.485E-3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input_settle_362100!A$2</f>
        <v>362100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IFERROR(VLOOKUP(B176,input_settle_362100!L:R,7,FALSE),VLOOKUP(tables_settle_362100!C176,input_settle_362100!A:H,8,FALSE))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input_settle_362100!A$2</f>
        <v>362100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IFERROR(VLOOKUP(B177,input_settle_362100!L:R,7,FALSE),VLOOKUP(tables_settle_362100!C177,input_settle_362100!A:H,8,FALSE))</f>
        <v>475.2</v>
      </c>
      <c r="P177" s="46">
        <f t="shared" ca="1" si="8"/>
        <v>1.485E-3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input_settle_362100!A$2</f>
        <v>362100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IFERROR(VLOOKUP(B178,input_settle_362100!L:R,7,FALSE),VLOOKUP(tables_settle_362100!C178,input_settle_362100!A:H,8,FALSE))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input_settle_362100!A$2</f>
        <v>362100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IFERROR(VLOOKUP(B179,input_settle_362100!L:R,7,FALSE),VLOOKUP(tables_settle_362100!C179,input_settle_362100!A:H,8,FALSE))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input_settle_362100!A$2</f>
        <v>362100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IFERROR(VLOOKUP(B180,input_settle_362100!L:R,7,FALSE),VLOOKUP(tables_settle_362100!C180,input_settle_362100!A:H,8,FALSE))</f>
        <v>3682.8</v>
      </c>
      <c r="P180" s="46">
        <f t="shared" ca="1" si="8"/>
        <v>1.150875E-2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input_settle_362100!A$2</f>
        <v>362100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IFERROR(VLOOKUP(B181,input_settle_362100!L:R,7,FALSE),VLOOKUP(tables_settle_362100!C181,input_settle_362100!A:H,8,FALSE))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input_settle_362100!A$2</f>
        <v>362100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IFERROR(VLOOKUP(B182,input_settle_362100!L:R,7,FALSE),VLOOKUP(tables_settle_362100!C182,input_settle_362100!A:H,8,FALSE))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input_settle_362100!A$2</f>
        <v>362100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IFERROR(VLOOKUP(B183,input_settle_362100!L:R,7,FALSE),VLOOKUP(tables_settle_362100!C183,input_settle_362100!A:H,8,FALSE))</f>
        <v>3682.8</v>
      </c>
      <c r="P183" s="46">
        <f t="shared" ca="1" si="8"/>
        <v>1.150875E-2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input_settle_362100!A$2</f>
        <v>362100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IFERROR(VLOOKUP(B184,input_settle_362100!L:R,7,FALSE),VLOOKUP(tables_settle_362100!C184,input_settle_362100!A:H,8,FALSE))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input_settle_362100!A$2</f>
        <v>362100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IFERROR(VLOOKUP(B185,input_settle_362100!L:R,7,FALSE),VLOOKUP(tables_settle_362100!C185,input_settle_362100!A:H,8,FALSE))</f>
        <v>475.2</v>
      </c>
      <c r="P185" s="46">
        <f t="shared" ca="1" si="8"/>
        <v>1.485E-3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input_settle_362100!A$2</f>
        <v>362100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IFERROR(VLOOKUP(B186,input_settle_362100!L:R,7,FALSE),VLOOKUP(tables_settle_362100!C186,input_settle_362100!A:H,8,FALSE))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input_settle_362100!A$2</f>
        <v>362100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IFERROR(VLOOKUP(B187,input_settle_362100!L:R,7,FALSE),VLOOKUP(tables_settle_362100!C187,input_settle_362100!A:H,8,FALSE))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input_settle_362100!A$2</f>
        <v>362100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IFERROR(VLOOKUP(B188,input_settle_362100!L:R,7,FALSE),VLOOKUP(tables_settle_362100!C188,input_settle_362100!A:H,8,FALSE))</f>
        <v>3682.8</v>
      </c>
      <c r="P188" s="46">
        <f t="shared" ca="1" si="8"/>
        <v>1.150875E-2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input_settle_362100!A$2</f>
        <v>362100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IFERROR(VLOOKUP(B189,input_settle_362100!L:R,7,FALSE),VLOOKUP(tables_settle_362100!C189,input_settle_362100!A:H,8,FALSE))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input_settle_362100!A$2</f>
        <v>362100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IFERROR(VLOOKUP(B190,input_settle_362100!L:R,7,FALSE),VLOOKUP(tables_settle_362100!C190,input_settle_362100!A:H,8,FALSE))</f>
        <v>475.2</v>
      </c>
      <c r="P190" s="46">
        <f t="shared" ca="1" si="8"/>
        <v>1.485E-3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input_settle_362100!A$2</f>
        <v>362100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IFERROR(VLOOKUP(B191,input_settle_362100!L:R,7,FALSE),VLOOKUP(tables_settle_362100!C191,input_settle_362100!A:H,8,FALSE))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input_settle_362100!A$2</f>
        <v>362100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IFERROR(VLOOKUP(B192,input_settle_362100!L:R,7,FALSE),VLOOKUP(tables_settle_362100!C192,input_settle_362100!A:H,8,FALSE))</f>
        <v>475.2</v>
      </c>
      <c r="P192" s="46">
        <f t="shared" ca="1" si="8"/>
        <v>1.485E-3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input_settle_362100!A$2</f>
        <v>362100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IFERROR(VLOOKUP(B193,input_settle_362100!L:R,7,FALSE),VLOOKUP(tables_settle_362100!C193,input_settle_362100!A:H,8,FALSE))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input_settle_362100!A$2</f>
        <v>362100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IFERROR(VLOOKUP(B194,input_settle_362100!L:R,7,FALSE),VLOOKUP(tables_settle_362100!C194,input_settle_362100!A:H,8,FALSE))</f>
        <v>0</v>
      </c>
      <c r="P194" s="46">
        <f t="shared" ref="P194:P257" ca="1" si="11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input_settle_362100!A$2</f>
        <v>362100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IFERROR(VLOOKUP(B195,input_settle_362100!L:R,7,FALSE),VLOOKUP(tables_settle_362100!C195,input_settle_362100!A:H,8,FALSE))</f>
        <v>3682.8</v>
      </c>
      <c r="P195" s="46">
        <f t="shared" ca="1" si="11"/>
        <v>1.150875E-2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input_settle_362100!A$2</f>
        <v>362100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IFERROR(VLOOKUP(B196,input_settle_362100!L:R,7,FALSE),VLOOKUP(tables_settle_362100!C196,input_settle_362100!A:H,8,FALSE))</f>
        <v>0</v>
      </c>
      <c r="P196" s="46">
        <f t="shared" ca="1" si="11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input_settle_362100!A$2</f>
        <v>362100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IFERROR(VLOOKUP(B197,input_settle_362100!L:R,7,FALSE),VLOOKUP(tables_settle_362100!C197,input_settle_362100!A:H,8,FALSE))</f>
        <v>475.2</v>
      </c>
      <c r="P197" s="46">
        <f t="shared" ca="1" si="11"/>
        <v>1.485E-3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input_settle_362100!A$2</f>
        <v>362100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IFERROR(VLOOKUP(B198,input_settle_362100!L:R,7,FALSE),VLOOKUP(tables_settle_362100!C198,input_settle_362100!A:H,8,FALSE))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input_settle_362100!A$2</f>
        <v>362100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IFERROR(VLOOKUP(B199,input_settle_362100!L:R,7,FALSE),VLOOKUP(tables_settle_362100!C199,input_settle_362100!A:H,8,FALSE))</f>
        <v>0</v>
      </c>
      <c r="P199" s="46">
        <f t="shared" ca="1" si="11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input_settle_362100!A$2</f>
        <v>362100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IFERROR(VLOOKUP(B200,input_settle_362100!L:R,7,FALSE),VLOOKUP(tables_settle_362100!C200,input_settle_362100!A:H,8,FALSE))</f>
        <v>3682.8</v>
      </c>
      <c r="P200" s="46">
        <f t="shared" ca="1" si="11"/>
        <v>1.150875E-2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input_settle_362100!A$2</f>
        <v>362100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IFERROR(VLOOKUP(B201,input_settle_362100!L:R,7,FALSE),VLOOKUP(tables_settle_362100!C201,input_settle_362100!A:H,8,FALSE))</f>
        <v>0</v>
      </c>
      <c r="P201" s="46">
        <f t="shared" ca="1" si="11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input_settle_362100!A$2</f>
        <v>362100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IFERROR(VLOOKUP(B202,input_settle_362100!L:R,7,FALSE),VLOOKUP(tables_settle_362100!C202,input_settle_362100!A:H,8,FALSE))</f>
        <v>475.2</v>
      </c>
      <c r="P202" s="46">
        <f t="shared" ca="1" si="11"/>
        <v>1.485E-3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input_settle_362100!A$2</f>
        <v>362100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IFERROR(VLOOKUP(B203,input_settle_362100!L:R,7,FALSE),VLOOKUP(tables_settle_362100!C203,input_settle_362100!A:H,8,FALSE))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input_settle_362100!A$2</f>
        <v>362100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IFERROR(VLOOKUP(B204,input_settle_362100!L:R,7,FALSE),VLOOKUP(tables_settle_362100!C204,input_settle_362100!A:H,8,FALSE))</f>
        <v>0</v>
      </c>
      <c r="P204" s="46">
        <f t="shared" ca="1" si="11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input_settle_362100!A$2</f>
        <v>362100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IFERROR(VLOOKUP(B205,input_settle_362100!L:R,7,FALSE),VLOOKUP(tables_settle_362100!C205,input_settle_362100!A:H,8,FALSE))</f>
        <v>3682.8</v>
      </c>
      <c r="P205" s="46">
        <f t="shared" ca="1" si="11"/>
        <v>1.150875E-2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input_settle_362100!A$2</f>
        <v>362100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IFERROR(VLOOKUP(B206,input_settle_362100!L:R,7,FALSE),VLOOKUP(tables_settle_362100!C206,input_settle_362100!A:H,8,FALSE))</f>
        <v>0</v>
      </c>
      <c r="P206" s="46">
        <f t="shared" ca="1" si="11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input_settle_362100!A$2</f>
        <v>362100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IFERROR(VLOOKUP(B207,input_settle_362100!L:R,7,FALSE),VLOOKUP(tables_settle_362100!C207,input_settle_362100!A:H,8,FALSE))</f>
        <v>475.2</v>
      </c>
      <c r="P207" s="46">
        <f t="shared" ca="1" si="11"/>
        <v>1.485E-3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input_settle_362100!A$2</f>
        <v>362100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IFERROR(VLOOKUP(B208,input_settle_362100!L:R,7,FALSE),VLOOKUP(tables_settle_362100!C208,input_settle_362100!A:H,8,FALSE))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input_settle_362100!A$2</f>
        <v>362100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IFERROR(VLOOKUP(B209,input_settle_362100!L:R,7,FALSE),VLOOKUP(tables_settle_362100!C209,input_settle_362100!A:H,8,FALSE))</f>
        <v>475.2</v>
      </c>
      <c r="P209" s="46">
        <f t="shared" ca="1" si="11"/>
        <v>1.485E-3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input_settle_362100!A$2</f>
        <v>362100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IFERROR(VLOOKUP(B210,input_settle_362100!L:R,7,FALSE),VLOOKUP(tables_settle_362100!C210,input_settle_362100!A:H,8,FALSE))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input_settle_362100!A$2</f>
        <v>362100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IFERROR(VLOOKUP(B211,input_settle_362100!L:R,7,FALSE),VLOOKUP(tables_settle_362100!C211,input_settle_362100!A:H,8,FALSE))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input_settle_362100!A$2</f>
        <v>362100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IFERROR(VLOOKUP(B212,input_settle_362100!L:R,7,FALSE),VLOOKUP(tables_settle_362100!C212,input_settle_362100!A:H,8,FALSE))</f>
        <v>3682.8</v>
      </c>
      <c r="P212" s="46">
        <f t="shared" ca="1" si="11"/>
        <v>1.150875E-2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input_settle_362100!A$2</f>
        <v>362100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IFERROR(VLOOKUP(B213,input_settle_362100!L:R,7,FALSE),VLOOKUP(tables_settle_362100!C213,input_settle_362100!A:H,8,FALSE))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input_settle_362100!A$2</f>
        <v>362100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IFERROR(VLOOKUP(B214,input_settle_362100!L:R,7,FALSE),VLOOKUP(tables_settle_362100!C214,input_settle_362100!A:H,8,FALSE))</f>
        <v>475.2</v>
      </c>
      <c r="P214" s="46">
        <f t="shared" ca="1" si="11"/>
        <v>1.485E-3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hidden="1" customHeight="1" x14ac:dyDescent="0.15">
      <c r="A215" s="2" t="str">
        <f ca="1">input_settle_362100!A$2</f>
        <v>362100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IFERROR(VLOOKUP(B215,input_settle_362100!L:R,7,FALSE),VLOOKUP(tables_settle_362100!C215,input_settle_362100!A:H,8,FALSE))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input_settle_362100!A$2</f>
        <v>362100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IFERROR(VLOOKUP(B216,input_settle_362100!L:R,7,FALSE),VLOOKUP(tables_settle_362100!C216,input_settle_362100!A:H,8,FALSE))</f>
        <v>475.2</v>
      </c>
      <c r="P216" s="46">
        <f t="shared" ca="1" si="11"/>
        <v>1.485E-3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hidden="1" customHeight="1" x14ac:dyDescent="0.15">
      <c r="A217" s="2" t="str">
        <f ca="1">input_settle_362100!A$2</f>
        <v>362100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IFERROR(VLOOKUP(B217,input_settle_362100!L:R,7,FALSE),VLOOKUP(tables_settle_362100!C217,input_settle_362100!A:H,8,FALSE))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hidden="1" customHeight="1" x14ac:dyDescent="0.15">
      <c r="A218" s="2" t="str">
        <f ca="1">input_settle_362100!A$2</f>
        <v>362100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IFERROR(VLOOKUP(B218,input_settle_362100!L:R,7,FALSE),VLOOKUP(tables_settle_362100!C218,input_settle_362100!A:H,8,FALSE))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input_settle_362100!A$2</f>
        <v>362100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IFERROR(VLOOKUP(B219,input_settle_362100!L:R,7,FALSE),VLOOKUP(tables_settle_362100!C219,input_settle_362100!A:H,8,FALSE))</f>
        <v>3682.8</v>
      </c>
      <c r="P219" s="46">
        <f t="shared" ca="1" si="11"/>
        <v>1.150875E-2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hidden="1" customHeight="1" x14ac:dyDescent="0.15">
      <c r="A220" s="2" t="str">
        <f ca="1">input_settle_362100!A$2</f>
        <v>362100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IFERROR(VLOOKUP(B220,input_settle_362100!L:R,7,FALSE),VLOOKUP(tables_settle_362100!C220,input_settle_362100!A:H,8,FALSE))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input_settle_362100!A$2</f>
        <v>362100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IFERROR(VLOOKUP(B221,input_settle_362100!L:R,7,FALSE),VLOOKUP(tables_settle_362100!C221,input_settle_362100!A:H,8,FALSE))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input_settle_362100!A$2</f>
        <v>362100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IFERROR(VLOOKUP(B222,input_settle_362100!L:R,7,FALSE),VLOOKUP(tables_settle_362100!C222,input_settle_362100!A:H,8,FALSE))</f>
        <v>3682.8</v>
      </c>
      <c r="P222" s="46">
        <f t="shared" ca="1" si="11"/>
        <v>1.150875E-2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input_settle_362100!A$2</f>
        <v>362100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IFERROR(VLOOKUP(B223,input_settle_362100!L:R,7,FALSE),VLOOKUP(tables_settle_362100!C223,input_settle_362100!A:H,8,FALSE))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input_settle_362100!A$2</f>
        <v>362100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IFERROR(VLOOKUP(B224,input_settle_362100!L:R,7,FALSE),VLOOKUP(tables_settle_362100!C224,input_settle_362100!A:H,8,FALSE))</f>
        <v>475.2</v>
      </c>
      <c r="P224" s="46">
        <f t="shared" ca="1" si="11"/>
        <v>1.485E-3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hidden="1" customHeight="1" x14ac:dyDescent="0.15">
      <c r="A225" s="2" t="str">
        <f ca="1">input_settle_362100!A$2</f>
        <v>362100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IFERROR(VLOOKUP(B225,input_settle_362100!L:R,7,FALSE),VLOOKUP(tables_settle_362100!C225,input_settle_362100!A:H,8,FALSE))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input_settle_362100!A$2</f>
        <v>362100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IFERROR(VLOOKUP(B226,input_settle_362100!L:R,7,FALSE),VLOOKUP(tables_settle_362100!C226,input_settle_362100!A:H,8,FALSE))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input_settle_362100!A$2</f>
        <v>362100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IFERROR(VLOOKUP(B227,input_settle_362100!L:R,7,FALSE),VLOOKUP(tables_settle_362100!C227,input_settle_362100!A:H,8,FALSE))</f>
        <v>3682.8</v>
      </c>
      <c r="P227" s="46">
        <f t="shared" ca="1" si="11"/>
        <v>1.150875E-2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hidden="1" customHeight="1" x14ac:dyDescent="0.15">
      <c r="A228" s="2" t="str">
        <f ca="1">input_settle_362100!A$2</f>
        <v>362100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IFERROR(VLOOKUP(B228,input_settle_362100!L:R,7,FALSE),VLOOKUP(tables_settle_362100!C228,input_settle_362100!A:H,8,FALSE))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input_settle_362100!A$2</f>
        <v>362100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IFERROR(VLOOKUP(B229,input_settle_362100!L:R,7,FALSE),VLOOKUP(tables_settle_362100!C229,input_settle_362100!A:H,8,FALSE))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input_settle_362100!A$2</f>
        <v>362100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IFERROR(VLOOKUP(B230,input_settle_362100!L:R,7,FALSE),VLOOKUP(tables_settle_362100!C230,input_settle_362100!A:H,8,FALSE))</f>
        <v>3682.8</v>
      </c>
      <c r="P230" s="46">
        <f t="shared" ca="1" si="11"/>
        <v>1.150875E-2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input_settle_362100!A$2</f>
        <v>362100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IFERROR(VLOOKUP(B231,input_settle_362100!L:R,7,FALSE),VLOOKUP(tables_settle_362100!C231,input_settle_362100!A:H,8,FALSE))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input_settle_362100!A$2</f>
        <v>362100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IFERROR(VLOOKUP(B232,input_settle_362100!L:R,7,FALSE),VLOOKUP(tables_settle_362100!C232,input_settle_362100!A:H,8,FALSE))</f>
        <v>475.2</v>
      </c>
      <c r="P232" s="46">
        <f t="shared" ca="1" si="11"/>
        <v>1.485E-3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hidden="1" customHeight="1" x14ac:dyDescent="0.15">
      <c r="A233" s="2" t="str">
        <f ca="1">input_settle_362100!A$2</f>
        <v>362100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IFERROR(VLOOKUP(B233,input_settle_362100!L:R,7,FALSE),VLOOKUP(tables_settle_362100!C233,input_settle_362100!A:H,8,FALSE))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input_settle_362100!A$2</f>
        <v>362100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IFERROR(VLOOKUP(B234,input_settle_362100!L:R,7,FALSE),VLOOKUP(tables_settle_362100!C234,input_settle_362100!A:H,8,FALSE))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input_settle_362100!A$2</f>
        <v>362100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IFERROR(VLOOKUP(B235,input_settle_362100!L:R,7,FALSE),VLOOKUP(tables_settle_362100!C235,input_settle_362100!A:H,8,FALSE))</f>
        <v>3682.8</v>
      </c>
      <c r="P235" s="46">
        <f t="shared" ca="1" si="11"/>
        <v>1.150875E-2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hidden="1" customHeight="1" x14ac:dyDescent="0.15">
      <c r="A236" s="2" t="str">
        <f ca="1">input_settle_362100!A$2</f>
        <v>362100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IFERROR(VLOOKUP(B236,input_settle_362100!L:R,7,FALSE),VLOOKUP(tables_settle_362100!C236,input_settle_362100!A:H,8,FALSE))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input_settle_362100!A$2</f>
        <v>362100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IFERROR(VLOOKUP(B237,input_settle_362100!L:R,7,FALSE),VLOOKUP(tables_settle_362100!C237,input_settle_362100!A:H,8,FALSE))</f>
        <v>475.2</v>
      </c>
      <c r="P237" s="46">
        <f t="shared" ca="1" si="11"/>
        <v>1.485E-3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hidden="1" customHeight="1" x14ac:dyDescent="0.15">
      <c r="A238" s="2" t="str">
        <f ca="1">input_settle_362100!A$2</f>
        <v>362100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IFERROR(VLOOKUP(B238,input_settle_362100!L:R,7,FALSE),VLOOKUP(tables_settle_362100!C238,input_settle_362100!A:H,8,FALSE))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input_settle_362100!A$2</f>
        <v>362100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IFERROR(VLOOKUP(B239,input_settle_362100!L:R,7,FALSE),VLOOKUP(tables_settle_362100!C239,input_settle_362100!A:H,8,FALSE))</f>
        <v>475.2</v>
      </c>
      <c r="P239" s="46">
        <f t="shared" ca="1" si="11"/>
        <v>1.485E-3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input_settle_362100!A$2</f>
        <v>362100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IFERROR(VLOOKUP(B240,input_settle_362100!L:R,7,FALSE),VLOOKUP(tables_settle_362100!C240,input_settle_362100!A:H,8,FALSE))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hidden="1" customHeight="1" x14ac:dyDescent="0.15">
      <c r="A241" s="2" t="str">
        <f ca="1">input_settle_362100!A$2</f>
        <v>362100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IFERROR(VLOOKUP(B241,input_settle_362100!L:R,7,FALSE),VLOOKUP(tables_settle_362100!C241,input_settle_362100!A:H,8,FALSE))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input_settle_362100!A$2</f>
        <v>362100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IFERROR(VLOOKUP(B242,input_settle_362100!L:R,7,FALSE),VLOOKUP(tables_settle_362100!C242,input_settle_362100!A:H,8,FALSE))</f>
        <v>3682.8</v>
      </c>
      <c r="P242" s="46">
        <f t="shared" ca="1" si="11"/>
        <v>1.150875E-2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hidden="1" customHeight="1" x14ac:dyDescent="0.15">
      <c r="A243" s="2" t="str">
        <f ca="1">input_settle_362100!A$2</f>
        <v>362100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IFERROR(VLOOKUP(B243,input_settle_362100!L:R,7,FALSE),VLOOKUP(tables_settle_362100!C243,input_settle_362100!A:H,8,FALSE))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input_settle_362100!A$2</f>
        <v>362100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IFERROR(VLOOKUP(B244,input_settle_362100!L:R,7,FALSE),VLOOKUP(tables_settle_362100!C244,input_settle_362100!A:H,8,FALSE))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input_settle_362100!A$2</f>
        <v>362100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IFERROR(VLOOKUP(B245,input_settle_362100!L:R,7,FALSE),VLOOKUP(tables_settle_362100!C245,input_settle_362100!A:H,8,FALSE))</f>
        <v>3682.8</v>
      </c>
      <c r="P245" s="46">
        <f t="shared" ca="1" si="11"/>
        <v>1.150875E-2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input_settle_362100!A$2</f>
        <v>362100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IFERROR(VLOOKUP(B246,input_settle_362100!L:R,7,FALSE),VLOOKUP(tables_settle_362100!C246,input_settle_362100!A:H,8,FALSE))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input_settle_362100!A$2</f>
        <v>362100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IFERROR(VLOOKUP(B247,input_settle_362100!L:R,7,FALSE),VLOOKUP(tables_settle_362100!C247,input_settle_362100!A:H,8,FALSE))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input_settle_362100!A$2</f>
        <v>362100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IFERROR(VLOOKUP(B248,input_settle_362100!L:R,7,FALSE),VLOOKUP(tables_settle_362100!C248,input_settle_362100!A:H,8,FALSE))</f>
        <v>3682.8</v>
      </c>
      <c r="P248" s="46">
        <f t="shared" ca="1" si="11"/>
        <v>1.150875E-2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input_settle_362100!A$2</f>
        <v>362100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IFERROR(VLOOKUP(B249,input_settle_362100!L:R,7,FALSE),VLOOKUP(tables_settle_362100!C249,input_settle_362100!A:H,8,FALSE))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input_settle_362100!A$2</f>
        <v>362100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IFERROR(VLOOKUP(B250,input_settle_362100!L:R,7,FALSE),VLOOKUP(tables_settle_362100!C250,input_settle_362100!A:H,8,FALSE))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input_settle_362100!A$2</f>
        <v>362100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IFERROR(VLOOKUP(B251,input_settle_362100!L:R,7,FALSE),VLOOKUP(tables_settle_362100!C251,input_settle_362100!A:H,8,FALSE))</f>
        <v>3682.8</v>
      </c>
      <c r="P251" s="46">
        <f t="shared" ca="1" si="11"/>
        <v>1.150875E-2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input_settle_362100!A$2</f>
        <v>362100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IFERROR(VLOOKUP(B252,input_settle_362100!L:R,7,FALSE),VLOOKUP(tables_settle_362100!C252,input_settle_362100!A:H,8,FALSE))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input_settle_362100!A$2</f>
        <v>362100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IFERROR(VLOOKUP(B253,input_settle_362100!L:R,7,FALSE),VLOOKUP(tables_settle_362100!C253,input_settle_362100!A:H,8,FALSE))</f>
        <v>475.2</v>
      </c>
      <c r="P253" s="46">
        <f t="shared" ca="1" si="11"/>
        <v>1.485E-3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hidden="1" customHeight="1" x14ac:dyDescent="0.15">
      <c r="A254" s="2" t="str">
        <f ca="1">input_settle_362100!A$2</f>
        <v>362100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IFERROR(VLOOKUP(B254,input_settle_362100!L:R,7,FALSE),VLOOKUP(tables_settle_362100!C254,input_settle_362100!A:H,8,FALSE))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input_settle_362100!A$2</f>
        <v>362100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IFERROR(VLOOKUP(B255,input_settle_362100!L:R,7,FALSE),VLOOKUP(tables_settle_362100!C255,input_settle_362100!A:H,8,FALSE))</f>
        <v>475.2</v>
      </c>
      <c r="P255" s="46">
        <f t="shared" ca="1" si="11"/>
        <v>1.485E-3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input_settle_362100!A$2</f>
        <v>362100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IFERROR(VLOOKUP(B256,input_settle_362100!L:R,7,FALSE),VLOOKUP(tables_settle_362100!C256,input_settle_362100!A:H,8,FALSE))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input_settle_362100!A$2</f>
        <v>362100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IFERROR(VLOOKUP(B257,input_settle_362100!L:R,7,FALSE),VLOOKUP(tables_settle_362100!C257,input_settle_362100!A:H,8,FALSE))</f>
        <v>13281</v>
      </c>
      <c r="P257" s="46">
        <f t="shared" ca="1" si="11"/>
        <v>4.1503125000000002E-2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input_settle_362100!A$2</f>
        <v>362100</v>
      </c>
      <c r="B258" s="60">
        <v>730</v>
      </c>
      <c r="C258" s="7" t="str">
        <f t="shared" ref="C258:C292" si="12">D258&amp;J258&amp;E258&amp;F258&amp;G258</f>
        <v>Premium4R3less</v>
      </c>
      <c r="D258" s="7" t="str">
        <f t="shared" ref="D258:D292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IFERROR(VLOOKUP(B258,input_settle_362100!L:R,7,FALSE),VLOOKUP(tables_settle_362100!C258,input_settle_362100!A:H,8,FALSE))</f>
        <v>0</v>
      </c>
      <c r="P258" s="46">
        <f t="shared" ref="P258:P292" ca="1" si="14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input_settle_362100!A$2</f>
        <v>362100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IFERROR(VLOOKUP(B259,input_settle_362100!L:R,7,FALSE),VLOOKUP(tables_settle_362100!C259,input_settle_362100!A:H,8,FALSE))</f>
        <v>13281</v>
      </c>
      <c r="P259" s="46">
        <f t="shared" ca="1" si="14"/>
        <v>4.1503125000000002E-2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input_settle_362100!A$2</f>
        <v>362100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IFERROR(VLOOKUP(B260,input_settle_362100!L:R,7,FALSE),VLOOKUP(tables_settle_362100!C260,input_settle_362100!A:H,8,FALSE))</f>
        <v>480</v>
      </c>
      <c r="P260" s="46">
        <f t="shared" ca="1" si="14"/>
        <v>1.5E-3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input_settle_362100!A$2</f>
        <v>362100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IFERROR(VLOOKUP(B261,input_settle_362100!L:R,7,FALSE),VLOOKUP(tables_settle_362100!C261,input_settle_362100!A:H,8,FALSE))</f>
        <v>480</v>
      </c>
      <c r="P261" s="46">
        <f t="shared" ca="1" si="14"/>
        <v>1.5E-3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input_settle_362100!A$2</f>
        <v>362100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IFERROR(VLOOKUP(B262,input_settle_362100!L:R,7,FALSE),VLOOKUP(tables_settle_362100!C262,input_settle_362100!A:H,8,FALSE))</f>
        <v>0</v>
      </c>
      <c r="P262" s="46">
        <f t="shared" ca="1" si="14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input_settle_362100!A$2</f>
        <v>362100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IFERROR(VLOOKUP(B263,input_settle_362100!L:R,7,FALSE),VLOOKUP(tables_settle_362100!C263,input_settle_362100!A:H,8,FALSE))</f>
        <v>475.2</v>
      </c>
      <c r="P263" s="46">
        <f t="shared" ca="1" si="14"/>
        <v>1.485E-3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input_settle_362100!A$2</f>
        <v>362100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IFERROR(VLOOKUP(B264,input_settle_362100!L:R,7,FALSE),VLOOKUP(tables_settle_362100!C264,input_settle_362100!A:H,8,FALSE))</f>
        <v>0</v>
      </c>
      <c r="P264" s="46">
        <f t="shared" ca="1" si="14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input_settle_362100!A$2</f>
        <v>362100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IFERROR(VLOOKUP(B265,input_settle_362100!L:R,7,FALSE),VLOOKUP(tables_settle_362100!C265,input_settle_362100!A:H,8,FALSE))</f>
        <v>475.2</v>
      </c>
      <c r="P265" s="46">
        <f t="shared" ca="1" si="14"/>
        <v>1.485E-3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hidden="1" customHeight="1" x14ac:dyDescent="0.15">
      <c r="A266" s="2" t="str">
        <f ca="1">input_settle_362100!A$2</f>
        <v>362100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IFERROR(VLOOKUP(B266,input_settle_362100!L:R,7,FALSE),VLOOKUP(tables_settle_362100!C266,input_settle_362100!A:H,8,FALSE))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hidden="1" customHeight="1" x14ac:dyDescent="0.15">
      <c r="A267" s="2" t="str">
        <f ca="1">input_settle_362100!A$2</f>
        <v>362100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IFERROR(VLOOKUP(B267,input_settle_362100!L:R,7,FALSE),VLOOKUP(tables_settle_362100!C267,input_settle_362100!A:H,8,FALSE))</f>
        <v>0</v>
      </c>
      <c r="P267" s="46">
        <f t="shared" ca="1" si="14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input_settle_362100!A$2</f>
        <v>362100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IFERROR(VLOOKUP(B268,input_settle_362100!L:R,7,FALSE),VLOOKUP(tables_settle_362100!C268,input_settle_362100!A:H,8,FALSE))</f>
        <v>3682.8</v>
      </c>
      <c r="P268" s="46">
        <f t="shared" ca="1" si="14"/>
        <v>1.150875E-2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hidden="1" customHeight="1" x14ac:dyDescent="0.15">
      <c r="A269" s="2" t="str">
        <f ca="1">input_settle_362100!A$2</f>
        <v>362100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IFERROR(VLOOKUP(B269,input_settle_362100!L:R,7,FALSE),VLOOKUP(tables_settle_362100!C269,input_settle_362100!A:H,8,FALSE))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input_settle_362100!A$2</f>
        <v>362100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IFERROR(VLOOKUP(B270,input_settle_362100!L:R,7,FALSE),VLOOKUP(tables_settle_362100!C270,input_settle_362100!A:H,8,FALSE))</f>
        <v>0</v>
      </c>
      <c r="P270" s="46">
        <f t="shared" ca="1" si="14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input_settle_362100!A$2</f>
        <v>362100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IFERROR(VLOOKUP(B271,input_settle_362100!L:R,7,FALSE),VLOOKUP(tables_settle_362100!C271,input_settle_362100!A:H,8,FALSE))</f>
        <v>3682.8</v>
      </c>
      <c r="P271" s="46">
        <f t="shared" ca="1" si="14"/>
        <v>1.150875E-2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input_settle_362100!A$2</f>
        <v>362100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IFERROR(VLOOKUP(B272,input_settle_362100!L:R,7,FALSE),VLOOKUP(tables_settle_362100!C272,input_settle_362100!A:H,8,FALSE))</f>
        <v>480</v>
      </c>
      <c r="P272" s="46">
        <f t="shared" ca="1" si="14"/>
        <v>1.5E-3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input_settle_362100!A$2</f>
        <v>362100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IFERROR(VLOOKUP(B273,input_settle_362100!L:R,7,FALSE),VLOOKUP(tables_settle_362100!C273,input_settle_362100!A:H,8,FALSE))</f>
        <v>480</v>
      </c>
      <c r="P273" s="46">
        <f t="shared" ca="1" si="14"/>
        <v>1.5E-3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input_settle_362100!A$2</f>
        <v>362100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IFERROR(VLOOKUP(B274,input_settle_362100!L:R,7,FALSE),VLOOKUP(tables_settle_362100!C274,input_settle_362100!A:H,8,FALSE))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input_settle_362100!A$2</f>
        <v>362100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IFERROR(VLOOKUP(B275,input_settle_362100!L:R,7,FALSE),VLOOKUP(tables_settle_362100!C275,input_settle_362100!A:H,8,FALSE))</f>
        <v>13281</v>
      </c>
      <c r="P275" s="46">
        <f t="shared" ca="1" si="14"/>
        <v>4.1503125000000002E-2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input_settle_362100!A$2</f>
        <v>362100</v>
      </c>
      <c r="B276" s="83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IFERROR(VLOOKUP(B276,input_settle_362100!L:R,7,FALSE),VLOOKUP(tables_settle_362100!C276,input_settle_362100!A:H,8,FALSE))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input_settle_362100!A$2</f>
        <v>362100</v>
      </c>
      <c r="B277" s="83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IFERROR(VLOOKUP(B277,input_settle_362100!L:R,7,FALSE),VLOOKUP(tables_settle_362100!C277,input_settle_362100!A:H,8,FALSE))</f>
        <v>13281</v>
      </c>
      <c r="P277" s="46">
        <f t="shared" ca="1" si="14"/>
        <v>4.1503125000000002E-2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input_settle_362100!A$2</f>
        <v>362100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IFERROR(VLOOKUP(B278,input_settle_362100!L:R,7,FALSE),VLOOKUP(tables_settle_362100!C278,input_settle_362100!A:H,8,FALSE))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input_settle_362100!A$2</f>
        <v>362100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IFERROR(VLOOKUP(B279,input_settle_362100!L:R,7,FALSE),VLOOKUP(tables_settle_362100!C279,input_settle_362100!A:H,8,FALSE))</f>
        <v>13281</v>
      </c>
      <c r="P279" s="46">
        <f t="shared" ca="1" si="14"/>
        <v>4.1503125000000002E-2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hidden="1" customHeight="1" x14ac:dyDescent="0.15">
      <c r="A280" s="2" t="str">
        <f ca="1">input_settle_362100!A$2</f>
        <v>362100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IFERROR(VLOOKUP(B280,input_settle_362100!L:R,7,FALSE),VLOOKUP(tables_settle_362100!C280,input_settle_362100!A:H,8,FALSE))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input_settle_362100!A$2</f>
        <v>362100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IFERROR(VLOOKUP(B281,input_settle_362100!L:R,7,FALSE),VLOOKUP(tables_settle_362100!C281,input_settle_362100!A:H,8,FALSE))</f>
        <v>13281</v>
      </c>
      <c r="P281" s="46">
        <f t="shared" ca="1" si="14"/>
        <v>4.1503125000000002E-2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input_settle_362100!A$2</f>
        <v>362100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IFERROR(VLOOKUP(B282,input_settle_362100!L:R,7,FALSE),VLOOKUP(tables_settle_362100!C282,input_settle_362100!A:H,8,FALSE))</f>
        <v>480</v>
      </c>
      <c r="P282" s="46">
        <f t="shared" ca="1" si="14"/>
        <v>1.5E-3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input_settle_362100!A$2</f>
        <v>362100</v>
      </c>
      <c r="B283" s="83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IFERROR(VLOOKUP(B283,input_settle_362100!L:R,7,FALSE),VLOOKUP(tables_settle_362100!C283,input_settle_362100!A:H,8,FALSE))</f>
        <v>480</v>
      </c>
      <c r="P283" s="46">
        <f t="shared" ca="1" si="14"/>
        <v>1.5E-3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input_settle_362100!A$2</f>
        <v>362100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IFERROR(VLOOKUP(B284,input_settle_362100!L:R,7,FALSE),VLOOKUP(tables_settle_362100!C284,input_settle_362100!A:H,8,FALSE))</f>
        <v>480</v>
      </c>
      <c r="P284" s="46">
        <f t="shared" ca="1" si="14"/>
        <v>1.5E-3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input_settle_362100!A$2</f>
        <v>362100</v>
      </c>
      <c r="B285" s="83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IFERROR(VLOOKUP(B285,input_settle_362100!L:R,7,FALSE),VLOOKUP(tables_settle_362100!C285,input_settle_362100!A:H,8,FALSE))</f>
        <v>480</v>
      </c>
      <c r="P285" s="46">
        <f t="shared" ca="1" si="14"/>
        <v>1.5E-3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input_settle_362100!A$2</f>
        <v>362100</v>
      </c>
      <c r="B286" s="83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IFERROR(VLOOKUP(B286,input_settle_362100!L:R,7,FALSE),VLOOKUP(tables_settle_362100!C286,input_settle_362100!A:H,8,FALSE))</f>
        <v>0</v>
      </c>
      <c r="P286" s="46">
        <f t="shared" ca="1" si="14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input_settle_362100!A$2</f>
        <v>362100</v>
      </c>
      <c r="B287" s="83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IFERROR(VLOOKUP(B287,input_settle_362100!L:R,7,FALSE),VLOOKUP(tables_settle_362100!C287,input_settle_362100!A:H,8,FALSE))</f>
        <v>13281</v>
      </c>
      <c r="P287" s="46">
        <f t="shared" ca="1" si="14"/>
        <v>4.1503125000000002E-2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input_settle_362100!A$2</f>
        <v>362100</v>
      </c>
      <c r="B288" s="83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IFERROR(VLOOKUP(B288,input_settle_362100!L:R,7,FALSE),VLOOKUP(tables_settle_362100!C288,input_settle_362100!A:H,8,FALSE))</f>
        <v>0</v>
      </c>
      <c r="P288" s="46">
        <f t="shared" ca="1" si="14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input_settle_362100!A$2</f>
        <v>362100</v>
      </c>
      <c r="B289" s="83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IFERROR(VLOOKUP(B289,input_settle_362100!L:R,7,FALSE),VLOOKUP(tables_settle_362100!C289,input_settle_362100!A:H,8,FALSE))</f>
        <v>13281</v>
      </c>
      <c r="P289" s="46">
        <f t="shared" ca="1" si="14"/>
        <v>4.1503125000000002E-2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input_settle_362100!A$2</f>
        <v>362100</v>
      </c>
      <c r="B290" s="83">
        <v>410</v>
      </c>
      <c r="C290" s="7" t="str">
        <f t="shared" si="12"/>
        <v>PremiumSSS4R3less</v>
      </c>
      <c r="D290" s="7" t="str">
        <f t="shared" si="13"/>
        <v>PremiumSSS</v>
      </c>
      <c r="E290" s="7" t="str">
        <f>IF(COUNTIF('R6追加前'!A:A,B290)=0,IF(I290="PremiumSS","R5only","R3less"),"")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ファラデー</v>
      </c>
      <c r="I290" s="7" t="str">
        <f>VLOOKUP(B290,[1]characters!$A:$J,10,FALSE)</f>
        <v>PremiumSSS</v>
      </c>
      <c r="J290" s="7">
        <f>VLOOKUP(B290,[1]characters!$A:$I,9,FALSE)</f>
        <v>4</v>
      </c>
      <c r="K290" s="7" t="str">
        <f>VLOOKUP(B290,[1]characters!$A:$H,8,FALSE)</f>
        <v>yellow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女性</v>
      </c>
      <c r="O290" s="45">
        <f ca="1">IFERROR(VLOOKUP(B290,input_settle_362100!L:R,7,FALSE),VLOOKUP(tables_settle_362100!C290,input_settle_362100!A:H,8,FALSE))</f>
        <v>0</v>
      </c>
      <c r="P290" s="46">
        <f t="shared" ca="1" si="14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input_settle_362100!A$2</f>
        <v>362100</v>
      </c>
      <c r="B291" s="83">
        <v>760</v>
      </c>
      <c r="C291" s="7" t="str">
        <f t="shared" si="12"/>
        <v>PremiumSSS5R3less</v>
      </c>
      <c r="D291" s="7" t="str">
        <f t="shared" si="13"/>
        <v>PremiumSSS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限論顕現 クロネッカー</v>
      </c>
      <c r="I291" s="7" t="str">
        <f>VLOOKUP(B291,[1]characters!$A:$J,10,FALSE)</f>
        <v>PremiumSSS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balance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5">
        <f>IFERROR(VLOOKUP(B291,input_settle_362100!L:R,7,FALSE),VLOOKUP(tables_settle_362100!C291,input_settle_362100!A:H,8,FALSE))</f>
        <v>1600</v>
      </c>
      <c r="P291" s="46">
        <f t="shared" ca="1" si="14"/>
        <v>5.0000000000000001E-3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input_settle_362100!A$2</f>
        <v>362100</v>
      </c>
      <c r="B292" s="83">
        <v>750</v>
      </c>
      <c r="C292" s="7" t="str">
        <f t="shared" si="12"/>
        <v>PremiumSSS5R3less</v>
      </c>
      <c r="D292" s="7" t="str">
        <f t="shared" si="13"/>
        <v>PremiumSSS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ポアソン</v>
      </c>
      <c r="I292" s="7" t="str">
        <f>VLOOKUP(B292,[1]characters!$A:$J,10,FALSE)</f>
        <v>PremiumSSS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balance</v>
      </c>
      <c r="M292" s="7" t="str">
        <f>VLOOKUP(B292,[1]characters!$A:$M,13,FALSE)</f>
        <v>academia</v>
      </c>
      <c r="N292" s="7" t="str">
        <f>VLOOKUP(B292,[1]characters!$A:$G,7,FALSE)</f>
        <v>男性</v>
      </c>
      <c r="O292" s="45">
        <f>IFERROR(VLOOKUP(B292,input_settle_362100!L:R,7,FALSE),VLOOKUP(tables_settle_362100!C292,input_settle_362100!A:H,8,FALSE))</f>
        <v>1600</v>
      </c>
      <c r="P292" s="46">
        <f t="shared" ca="1" si="14"/>
        <v>5.0000000000000001E-3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</sheetData>
  <autoFilter ref="A1:V292">
    <filterColumn colId="9">
      <filters>
        <filter val="5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20" sqref="H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251</v>
      </c>
      <c r="B2" s="80" t="s">
        <v>252</v>
      </c>
      <c r="C2" s="81" t="s">
        <v>244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214</v>
      </c>
      <c r="O2" s="81" t="s">
        <v>246</v>
      </c>
      <c r="P2" s="81" t="s">
        <v>250</v>
      </c>
      <c r="Q2" s="82" t="s">
        <v>254</v>
      </c>
    </row>
    <row r="3" spans="1:17" ht="21" customHeight="1" x14ac:dyDescent="0.15">
      <c r="A3" s="80" t="s">
        <v>256</v>
      </c>
      <c r="B3" s="80" t="s">
        <v>253</v>
      </c>
      <c r="C3" s="1" t="s">
        <v>241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214</v>
      </c>
      <c r="O3" s="81" t="s">
        <v>245</v>
      </c>
      <c r="P3" s="81" t="s">
        <v>250</v>
      </c>
      <c r="Q3" s="82" t="s">
        <v>255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input_362010</vt:lpstr>
      <vt:lpstr>tables_362010</vt:lpstr>
      <vt:lpstr>input_362100</vt:lpstr>
      <vt:lpstr>tables_362100</vt:lpstr>
      <vt:lpstr>input_settle_362100</vt:lpstr>
      <vt:lpstr>tables_settle_362100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2016-06-23T12:19:36Z</dcterms:modified>
</cp:coreProperties>
</file>