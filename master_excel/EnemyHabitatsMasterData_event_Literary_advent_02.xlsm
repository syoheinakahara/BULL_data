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680" yWindow="720" windowWidth="27060" windowHeight="19660" tabRatio="740" firstSheet="1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1" l="1"/>
  <c r="I23" i="21"/>
  <c r="J23" i="21"/>
  <c r="G23" i="21"/>
  <c r="F23" i="21"/>
  <c r="D23" i="21"/>
  <c r="C23" i="21"/>
  <c r="B22" i="21"/>
  <c r="I22" i="21"/>
  <c r="J22" i="21"/>
  <c r="G22" i="21"/>
  <c r="F22" i="21"/>
  <c r="D22" i="21"/>
  <c r="C22" i="21"/>
  <c r="B21" i="2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C6" i="18"/>
  <c r="D6" i="18"/>
  <c r="C7" i="18"/>
  <c r="D7" i="18"/>
  <c r="C8" i="18"/>
  <c r="D8" i="18"/>
  <c r="C9" i="18"/>
  <c r="D9" i="18"/>
  <c r="C10" i="18"/>
  <c r="D10" i="18"/>
  <c r="C11" i="18"/>
  <c r="D11" i="18"/>
  <c r="C12" i="18"/>
  <c r="D12" i="18"/>
  <c r="C13" i="18"/>
  <c r="D13" i="18"/>
  <c r="C14" i="18"/>
  <c r="D14" i="18"/>
  <c r="C15" i="18"/>
  <c r="D15" i="18"/>
  <c r="C16" i="18"/>
  <c r="D16" i="18"/>
  <c r="C17" i="18"/>
  <c r="D17" i="18"/>
  <c r="C18" i="18"/>
  <c r="D18" i="18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M45" i="10"/>
  <c r="T45" i="10"/>
  <c r="W45" i="10"/>
  <c r="V45" i="10"/>
  <c r="X45" i="10"/>
  <c r="U45" i="10"/>
  <c r="Y45" i="10"/>
  <c r="M54" i="10"/>
  <c r="M82" i="10"/>
  <c r="N82" i="10"/>
  <c r="Q82" i="10"/>
  <c r="P82" i="10"/>
  <c r="R82" i="10"/>
  <c r="O82" i="10"/>
  <c r="S82" i="10"/>
  <c r="N54" i="10"/>
  <c r="Q54" i="10"/>
  <c r="P54" i="10"/>
  <c r="R54" i="10"/>
  <c r="O54" i="10"/>
  <c r="S54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M53" i="10"/>
  <c r="M81" i="10"/>
  <c r="N81" i="10"/>
  <c r="Q81" i="10"/>
  <c r="P81" i="10"/>
  <c r="R81" i="10"/>
  <c r="O81" i="10"/>
  <c r="S81" i="10"/>
  <c r="N53" i="10"/>
  <c r="Q53" i="10"/>
  <c r="P53" i="10"/>
  <c r="R53" i="10"/>
  <c r="O53" i="10"/>
  <c r="S53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M52" i="10"/>
  <c r="M80" i="10"/>
  <c r="M89" i="10"/>
  <c r="N89" i="10"/>
  <c r="Q89" i="10"/>
  <c r="P89" i="10"/>
  <c r="R89" i="10"/>
  <c r="O89" i="10"/>
  <c r="S89" i="10"/>
  <c r="N80" i="10"/>
  <c r="Q80" i="10"/>
  <c r="P80" i="10"/>
  <c r="R80" i="10"/>
  <c r="O80" i="10"/>
  <c r="S80" i="10"/>
  <c r="N52" i="10"/>
  <c r="Q52" i="10"/>
  <c r="P52" i="10"/>
  <c r="R52" i="10"/>
  <c r="O52" i="10"/>
  <c r="S52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M51" i="10"/>
  <c r="M79" i="10"/>
  <c r="M88" i="10"/>
  <c r="N88" i="10"/>
  <c r="Q88" i="10"/>
  <c r="P88" i="10"/>
  <c r="R88" i="10"/>
  <c r="O88" i="10"/>
  <c r="S88" i="10"/>
  <c r="N79" i="10"/>
  <c r="Q79" i="10"/>
  <c r="P79" i="10"/>
  <c r="R79" i="10"/>
  <c r="O79" i="10"/>
  <c r="S79" i="10"/>
  <c r="N51" i="10"/>
  <c r="Q51" i="10"/>
  <c r="P51" i="10"/>
  <c r="R51" i="10"/>
  <c r="O51" i="10"/>
  <c r="S51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M50" i="10"/>
  <c r="M74" i="10"/>
  <c r="N74" i="10"/>
  <c r="Q74" i="10"/>
  <c r="P74" i="10"/>
  <c r="R74" i="10"/>
  <c r="O74" i="10"/>
  <c r="S74" i="10"/>
  <c r="N50" i="10"/>
  <c r="Q50" i="10"/>
  <c r="P50" i="10"/>
  <c r="R50" i="10"/>
  <c r="O50" i="10"/>
  <c r="S50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M49" i="10"/>
  <c r="M69" i="10"/>
  <c r="N69" i="10"/>
  <c r="Q69" i="10"/>
  <c r="P69" i="10"/>
  <c r="R69" i="10"/>
  <c r="O69" i="10"/>
  <c r="S69" i="10"/>
  <c r="N49" i="10"/>
  <c r="Q49" i="10"/>
  <c r="P49" i="10"/>
  <c r="R49" i="10"/>
  <c r="O49" i="10"/>
  <c r="S49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M48" i="10"/>
  <c r="M68" i="10"/>
  <c r="M87" i="10"/>
  <c r="N87" i="10"/>
  <c r="Q87" i="10"/>
  <c r="P87" i="10"/>
  <c r="R87" i="10"/>
  <c r="O87" i="10"/>
  <c r="S87" i="10"/>
  <c r="N68" i="10"/>
  <c r="Q68" i="10"/>
  <c r="P68" i="10"/>
  <c r="R68" i="10"/>
  <c r="O68" i="10"/>
  <c r="S68" i="10"/>
  <c r="N48" i="10"/>
  <c r="Q48" i="10"/>
  <c r="P48" i="10"/>
  <c r="R48" i="10"/>
  <c r="O48" i="10"/>
  <c r="S48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M47" i="10"/>
  <c r="N47" i="10"/>
  <c r="Q47" i="10"/>
  <c r="P47" i="10"/>
  <c r="R47" i="10"/>
  <c r="O47" i="10"/>
  <c r="S47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M46" i="10"/>
  <c r="M59" i="10"/>
  <c r="M85" i="10"/>
  <c r="N85" i="10"/>
  <c r="Q85" i="10"/>
  <c r="P85" i="10"/>
  <c r="R85" i="10"/>
  <c r="O85" i="10"/>
  <c r="S85" i="10"/>
  <c r="N59" i="10"/>
  <c r="Q59" i="10"/>
  <c r="P59" i="10"/>
  <c r="R59" i="10"/>
  <c r="O59" i="10"/>
  <c r="S59" i="10"/>
  <c r="N46" i="10"/>
  <c r="Q46" i="10"/>
  <c r="P46" i="10"/>
  <c r="R46" i="10"/>
  <c r="O46" i="10"/>
  <c r="S46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J56" i="11"/>
  <c r="J57" i="11"/>
  <c r="J58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O93" i="9"/>
  <c r="N93" i="9"/>
  <c r="M93" i="9"/>
  <c r="L93" i="9"/>
  <c r="K93" i="9"/>
  <c r="J93" i="9"/>
  <c r="I93" i="9"/>
  <c r="H93" i="9"/>
  <c r="G93" i="9"/>
  <c r="E93" i="9"/>
  <c r="D93" i="9"/>
  <c r="A93" i="9"/>
  <c r="O92" i="9"/>
  <c r="N92" i="9"/>
  <c r="M92" i="9"/>
  <c r="L92" i="9"/>
  <c r="K92" i="9"/>
  <c r="J92" i="9"/>
  <c r="I92" i="9"/>
  <c r="H92" i="9"/>
  <c r="G92" i="9"/>
  <c r="E92" i="9"/>
  <c r="D92" i="9"/>
  <c r="A92" i="9"/>
  <c r="O91" i="9"/>
  <c r="N91" i="9"/>
  <c r="M91" i="9"/>
  <c r="L91" i="9"/>
  <c r="K91" i="9"/>
  <c r="J91" i="9"/>
  <c r="I91" i="9"/>
  <c r="H91" i="9"/>
  <c r="G91" i="9"/>
  <c r="E91" i="9"/>
  <c r="D91" i="9"/>
  <c r="A91" i="9"/>
  <c r="O76" i="9"/>
  <c r="N76" i="9"/>
  <c r="M76" i="9"/>
  <c r="L76" i="9"/>
  <c r="K76" i="9"/>
  <c r="J76" i="9"/>
  <c r="I76" i="9"/>
  <c r="H76" i="9"/>
  <c r="G76" i="9"/>
  <c r="E76" i="9"/>
  <c r="D76" i="9"/>
  <c r="A76" i="9"/>
  <c r="O75" i="9"/>
  <c r="N75" i="9"/>
  <c r="M75" i="9"/>
  <c r="L75" i="9"/>
  <c r="K75" i="9"/>
  <c r="J75" i="9"/>
  <c r="I75" i="9"/>
  <c r="H75" i="9"/>
  <c r="G75" i="9"/>
  <c r="E75" i="9"/>
  <c r="D75" i="9"/>
  <c r="A75" i="9"/>
  <c r="O69" i="9"/>
  <c r="N69" i="9"/>
  <c r="M69" i="9"/>
  <c r="L69" i="9"/>
  <c r="K69" i="9"/>
  <c r="J69" i="9"/>
  <c r="I69" i="9"/>
  <c r="H69" i="9"/>
  <c r="G69" i="9"/>
  <c r="E69" i="9"/>
  <c r="D69" i="9"/>
  <c r="A69" i="9"/>
  <c r="O64" i="9"/>
  <c r="N64" i="9"/>
  <c r="M64" i="9"/>
  <c r="L64" i="9"/>
  <c r="K64" i="9"/>
  <c r="J64" i="9"/>
  <c r="I64" i="9"/>
  <c r="H64" i="9"/>
  <c r="G64" i="9"/>
  <c r="E64" i="9"/>
  <c r="D64" i="9"/>
  <c r="A64" i="9"/>
  <c r="O60" i="9"/>
  <c r="N60" i="9"/>
  <c r="M60" i="9"/>
  <c r="L60" i="9"/>
  <c r="K60" i="9"/>
  <c r="J60" i="9"/>
  <c r="I60" i="9"/>
  <c r="H60" i="9"/>
  <c r="G60" i="9"/>
  <c r="E60" i="9"/>
  <c r="D60" i="9"/>
  <c r="A60" i="9"/>
  <c r="O56" i="9"/>
  <c r="N56" i="9"/>
  <c r="M56" i="9"/>
  <c r="L56" i="9"/>
  <c r="K56" i="9"/>
  <c r="J56" i="9"/>
  <c r="I56" i="9"/>
  <c r="H56" i="9"/>
  <c r="G56" i="9"/>
  <c r="E56" i="9"/>
  <c r="D56" i="9"/>
  <c r="A56" i="9"/>
  <c r="J51" i="11"/>
  <c r="O51" i="9"/>
  <c r="N51" i="9"/>
  <c r="M51" i="9"/>
  <c r="L51" i="9"/>
  <c r="K51" i="9"/>
  <c r="J51" i="9"/>
  <c r="I51" i="9"/>
  <c r="H51" i="9"/>
  <c r="G51" i="9"/>
  <c r="E51" i="9"/>
  <c r="D51" i="9"/>
  <c r="A51" i="9"/>
  <c r="T89" i="10"/>
  <c r="W89" i="10"/>
  <c r="V89" i="10"/>
  <c r="X89" i="10"/>
  <c r="U89" i="10"/>
  <c r="Y89" i="10"/>
  <c r="G89" i="10"/>
  <c r="J89" i="10"/>
  <c r="I89" i="10"/>
  <c r="K89" i="10"/>
  <c r="H89" i="10"/>
  <c r="L89" i="10"/>
  <c r="T88" i="10"/>
  <c r="W88" i="10"/>
  <c r="V88" i="10"/>
  <c r="X88" i="10"/>
  <c r="U88" i="10"/>
  <c r="Y88" i="10"/>
  <c r="G88" i="10"/>
  <c r="J88" i="10"/>
  <c r="I88" i="10"/>
  <c r="K88" i="10"/>
  <c r="H88" i="10"/>
  <c r="L88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67" i="10"/>
  <c r="T67" i="10"/>
  <c r="W67" i="10"/>
  <c r="V67" i="10"/>
  <c r="X67" i="10"/>
  <c r="U67" i="10"/>
  <c r="Y67" i="10"/>
  <c r="M86" i="10"/>
  <c r="N86" i="10"/>
  <c r="Q86" i="10"/>
  <c r="P86" i="10"/>
  <c r="R86" i="10"/>
  <c r="O86" i="10"/>
  <c r="S86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T54" i="10"/>
  <c r="W54" i="10"/>
  <c r="V54" i="10"/>
  <c r="X54" i="10"/>
  <c r="U54" i="10"/>
  <c r="Y54" i="10"/>
  <c r="G54" i="10"/>
  <c r="J54" i="10"/>
  <c r="I54" i="10"/>
  <c r="K54" i="10"/>
  <c r="H54" i="10"/>
  <c r="L54" i="10"/>
  <c r="T49" i="10"/>
  <c r="W49" i="10"/>
  <c r="V49" i="10"/>
  <c r="X49" i="10"/>
  <c r="U49" i="10"/>
  <c r="Y49" i="10"/>
  <c r="G49" i="10"/>
  <c r="J49" i="10"/>
  <c r="I49" i="10"/>
  <c r="K49" i="10"/>
  <c r="H49" i="10"/>
  <c r="L49" i="10"/>
  <c r="O90" i="9"/>
  <c r="N90" i="9"/>
  <c r="M90" i="9"/>
  <c r="L90" i="9"/>
  <c r="K90" i="9"/>
  <c r="J90" i="9"/>
  <c r="I90" i="9"/>
  <c r="H90" i="9"/>
  <c r="G90" i="9"/>
  <c r="E90" i="9"/>
  <c r="D90" i="9"/>
  <c r="A90" i="9"/>
  <c r="O89" i="9"/>
  <c r="N89" i="9"/>
  <c r="M89" i="9"/>
  <c r="L89" i="9"/>
  <c r="K89" i="9"/>
  <c r="J89" i="9"/>
  <c r="I89" i="9"/>
  <c r="H89" i="9"/>
  <c r="G89" i="9"/>
  <c r="E89" i="9"/>
  <c r="D89" i="9"/>
  <c r="A89" i="9"/>
  <c r="O88" i="9"/>
  <c r="N88" i="9"/>
  <c r="M88" i="9"/>
  <c r="L88" i="9"/>
  <c r="K88" i="9"/>
  <c r="J88" i="9"/>
  <c r="I88" i="9"/>
  <c r="H88" i="9"/>
  <c r="G88" i="9"/>
  <c r="E88" i="9"/>
  <c r="D88" i="9"/>
  <c r="A88" i="9"/>
  <c r="O87" i="9"/>
  <c r="N87" i="9"/>
  <c r="M87" i="9"/>
  <c r="L87" i="9"/>
  <c r="K87" i="9"/>
  <c r="J87" i="9"/>
  <c r="I87" i="9"/>
  <c r="H87" i="9"/>
  <c r="G87" i="9"/>
  <c r="E87" i="9"/>
  <c r="D87" i="9"/>
  <c r="A87" i="9"/>
  <c r="O86" i="9"/>
  <c r="N86" i="9"/>
  <c r="M86" i="9"/>
  <c r="L86" i="9"/>
  <c r="K86" i="9"/>
  <c r="J86" i="9"/>
  <c r="I86" i="9"/>
  <c r="H86" i="9"/>
  <c r="G86" i="9"/>
  <c r="E86" i="9"/>
  <c r="D86" i="9"/>
  <c r="A86" i="9"/>
  <c r="O85" i="9"/>
  <c r="N85" i="9"/>
  <c r="M85" i="9"/>
  <c r="L85" i="9"/>
  <c r="K85" i="9"/>
  <c r="J85" i="9"/>
  <c r="I85" i="9"/>
  <c r="H85" i="9"/>
  <c r="G85" i="9"/>
  <c r="E85" i="9"/>
  <c r="D85" i="9"/>
  <c r="A85" i="9"/>
  <c r="O84" i="9"/>
  <c r="N84" i="9"/>
  <c r="M84" i="9"/>
  <c r="L84" i="9"/>
  <c r="K84" i="9"/>
  <c r="J84" i="9"/>
  <c r="I84" i="9"/>
  <c r="H84" i="9"/>
  <c r="G84" i="9"/>
  <c r="E84" i="9"/>
  <c r="D84" i="9"/>
  <c r="A84" i="9"/>
  <c r="O83" i="9"/>
  <c r="N83" i="9"/>
  <c r="M83" i="9"/>
  <c r="L83" i="9"/>
  <c r="K83" i="9"/>
  <c r="J83" i="9"/>
  <c r="I83" i="9"/>
  <c r="H83" i="9"/>
  <c r="G83" i="9"/>
  <c r="E83" i="9"/>
  <c r="D83" i="9"/>
  <c r="A83" i="9"/>
  <c r="T87" i="10"/>
  <c r="W87" i="10"/>
  <c r="V87" i="10"/>
  <c r="X87" i="10"/>
  <c r="U87" i="10"/>
  <c r="Y87" i="10"/>
  <c r="G87" i="10"/>
  <c r="J87" i="10"/>
  <c r="I87" i="10"/>
  <c r="K87" i="10"/>
  <c r="H87" i="10"/>
  <c r="L87" i="10"/>
  <c r="T86" i="10"/>
  <c r="W86" i="10"/>
  <c r="V86" i="10"/>
  <c r="X86" i="10"/>
  <c r="U86" i="10"/>
  <c r="Y86" i="10"/>
  <c r="G86" i="10"/>
  <c r="J86" i="10"/>
  <c r="I86" i="10"/>
  <c r="K86" i="10"/>
  <c r="H86" i="10"/>
  <c r="L86" i="10"/>
  <c r="T85" i="10"/>
  <c r="W85" i="10"/>
  <c r="V85" i="10"/>
  <c r="X85" i="10"/>
  <c r="U85" i="10"/>
  <c r="Y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T82" i="10"/>
  <c r="W82" i="10"/>
  <c r="V82" i="10"/>
  <c r="X82" i="10"/>
  <c r="U82" i="10"/>
  <c r="Y82" i="10"/>
  <c r="G82" i="10"/>
  <c r="J82" i="10"/>
  <c r="I82" i="10"/>
  <c r="K82" i="10"/>
  <c r="H82" i="10"/>
  <c r="L82" i="10"/>
  <c r="T81" i="10"/>
  <c r="W81" i="10"/>
  <c r="V81" i="10"/>
  <c r="X81" i="10"/>
  <c r="U81" i="10"/>
  <c r="Y81" i="10"/>
  <c r="G81" i="10"/>
  <c r="J81" i="10"/>
  <c r="I81" i="10"/>
  <c r="K81" i="10"/>
  <c r="H81" i="10"/>
  <c r="L81" i="10"/>
  <c r="T80" i="10"/>
  <c r="W80" i="10"/>
  <c r="V80" i="10"/>
  <c r="X80" i="10"/>
  <c r="U80" i="10"/>
  <c r="Y80" i="10"/>
  <c r="G80" i="10"/>
  <c r="J80" i="10"/>
  <c r="I80" i="10"/>
  <c r="K80" i="10"/>
  <c r="H80" i="10"/>
  <c r="L80" i="10"/>
  <c r="O81" i="9"/>
  <c r="N81" i="9"/>
  <c r="M81" i="9"/>
  <c r="L81" i="9"/>
  <c r="K81" i="9"/>
  <c r="J81" i="9"/>
  <c r="I81" i="9"/>
  <c r="H81" i="9"/>
  <c r="G81" i="9"/>
  <c r="E81" i="9"/>
  <c r="D81" i="9"/>
  <c r="A81" i="9"/>
  <c r="O80" i="9"/>
  <c r="N80" i="9"/>
  <c r="M80" i="9"/>
  <c r="L80" i="9"/>
  <c r="K80" i="9"/>
  <c r="J80" i="9"/>
  <c r="I80" i="9"/>
  <c r="H80" i="9"/>
  <c r="G80" i="9"/>
  <c r="E80" i="9"/>
  <c r="D80" i="9"/>
  <c r="A80" i="9"/>
  <c r="O79" i="9"/>
  <c r="N79" i="9"/>
  <c r="M79" i="9"/>
  <c r="L79" i="9"/>
  <c r="K79" i="9"/>
  <c r="J79" i="9"/>
  <c r="I79" i="9"/>
  <c r="H79" i="9"/>
  <c r="G79" i="9"/>
  <c r="E79" i="9"/>
  <c r="D79" i="9"/>
  <c r="A79" i="9"/>
  <c r="O78" i="9"/>
  <c r="N78" i="9"/>
  <c r="M78" i="9"/>
  <c r="L78" i="9"/>
  <c r="K78" i="9"/>
  <c r="J78" i="9"/>
  <c r="I78" i="9"/>
  <c r="H78" i="9"/>
  <c r="G78" i="9"/>
  <c r="E78" i="9"/>
  <c r="D78" i="9"/>
  <c r="A78" i="9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O74" i="9"/>
  <c r="N74" i="9"/>
  <c r="M74" i="9"/>
  <c r="L74" i="9"/>
  <c r="K74" i="9"/>
  <c r="J74" i="9"/>
  <c r="I74" i="9"/>
  <c r="H74" i="9"/>
  <c r="G74" i="9"/>
  <c r="E74" i="9"/>
  <c r="D74" i="9"/>
  <c r="A74" i="9"/>
  <c r="O73" i="9"/>
  <c r="N73" i="9"/>
  <c r="M73" i="9"/>
  <c r="L73" i="9"/>
  <c r="K73" i="9"/>
  <c r="J73" i="9"/>
  <c r="I73" i="9"/>
  <c r="H73" i="9"/>
  <c r="G73" i="9"/>
  <c r="E73" i="9"/>
  <c r="D73" i="9"/>
  <c r="A73" i="9"/>
  <c r="O72" i="9"/>
  <c r="N72" i="9"/>
  <c r="M72" i="9"/>
  <c r="L72" i="9"/>
  <c r="K72" i="9"/>
  <c r="J72" i="9"/>
  <c r="I72" i="9"/>
  <c r="H72" i="9"/>
  <c r="G72" i="9"/>
  <c r="E72" i="9"/>
  <c r="D72" i="9"/>
  <c r="A72" i="9"/>
  <c r="O71" i="9"/>
  <c r="N71" i="9"/>
  <c r="M71" i="9"/>
  <c r="L71" i="9"/>
  <c r="K71" i="9"/>
  <c r="J71" i="9"/>
  <c r="I71" i="9"/>
  <c r="H71" i="9"/>
  <c r="G71" i="9"/>
  <c r="E71" i="9"/>
  <c r="D71" i="9"/>
  <c r="A71" i="9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T69" i="10"/>
  <c r="W69" i="10"/>
  <c r="V69" i="10"/>
  <c r="X69" i="10"/>
  <c r="U69" i="10"/>
  <c r="Y69" i="10"/>
  <c r="G69" i="10"/>
  <c r="J69" i="10"/>
  <c r="I69" i="10"/>
  <c r="K69" i="10"/>
  <c r="H69" i="10"/>
  <c r="L69" i="10"/>
  <c r="A68" i="9"/>
  <c r="D68" i="9"/>
  <c r="E68" i="9"/>
  <c r="G68" i="9"/>
  <c r="H68" i="9"/>
  <c r="I68" i="9"/>
  <c r="J68" i="9"/>
  <c r="K68" i="9"/>
  <c r="L68" i="9"/>
  <c r="M68" i="9"/>
  <c r="N68" i="9"/>
  <c r="O68" i="9"/>
  <c r="O67" i="9"/>
  <c r="N67" i="9"/>
  <c r="M67" i="9"/>
  <c r="L67" i="9"/>
  <c r="K67" i="9"/>
  <c r="J67" i="9"/>
  <c r="I67" i="9"/>
  <c r="H67" i="9"/>
  <c r="G67" i="9"/>
  <c r="E67" i="9"/>
  <c r="D67" i="9"/>
  <c r="A67" i="9"/>
  <c r="O66" i="9"/>
  <c r="N66" i="9"/>
  <c r="M66" i="9"/>
  <c r="L66" i="9"/>
  <c r="K66" i="9"/>
  <c r="J66" i="9"/>
  <c r="I66" i="9"/>
  <c r="H66" i="9"/>
  <c r="G66" i="9"/>
  <c r="E66" i="9"/>
  <c r="D66" i="9"/>
  <c r="A66" i="9"/>
  <c r="O63" i="9"/>
  <c r="N63" i="9"/>
  <c r="M63" i="9"/>
  <c r="L63" i="9"/>
  <c r="K63" i="9"/>
  <c r="J63" i="9"/>
  <c r="I63" i="9"/>
  <c r="H63" i="9"/>
  <c r="G63" i="9"/>
  <c r="E63" i="9"/>
  <c r="D63" i="9"/>
  <c r="A63" i="9"/>
  <c r="O62" i="9"/>
  <c r="N62" i="9"/>
  <c r="M62" i="9"/>
  <c r="L62" i="9"/>
  <c r="K62" i="9"/>
  <c r="J62" i="9"/>
  <c r="I62" i="9"/>
  <c r="H62" i="9"/>
  <c r="G62" i="9"/>
  <c r="E62" i="9"/>
  <c r="D62" i="9"/>
  <c r="A62" i="9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J59" i="11"/>
  <c r="O59" i="9"/>
  <c r="N59" i="9"/>
  <c r="M59" i="9"/>
  <c r="L59" i="9"/>
  <c r="K59" i="9"/>
  <c r="J59" i="9"/>
  <c r="I59" i="9"/>
  <c r="H59" i="9"/>
  <c r="G59" i="9"/>
  <c r="E59" i="9"/>
  <c r="D59" i="9"/>
  <c r="A59" i="9"/>
  <c r="O58" i="9"/>
  <c r="N58" i="9"/>
  <c r="M58" i="9"/>
  <c r="L58" i="9"/>
  <c r="K58" i="9"/>
  <c r="J58" i="9"/>
  <c r="I58" i="9"/>
  <c r="H58" i="9"/>
  <c r="G58" i="9"/>
  <c r="E58" i="9"/>
  <c r="D58" i="9"/>
  <c r="A58" i="9"/>
  <c r="J55" i="11"/>
  <c r="O55" i="9"/>
  <c r="N55" i="9"/>
  <c r="M55" i="9"/>
  <c r="L55" i="9"/>
  <c r="K55" i="9"/>
  <c r="J55" i="9"/>
  <c r="I55" i="9"/>
  <c r="H55" i="9"/>
  <c r="G55" i="9"/>
  <c r="E55" i="9"/>
  <c r="D55" i="9"/>
  <c r="A55" i="9"/>
  <c r="J54" i="11"/>
  <c r="O54" i="9"/>
  <c r="N54" i="9"/>
  <c r="M54" i="9"/>
  <c r="L54" i="9"/>
  <c r="K54" i="9"/>
  <c r="J54" i="9"/>
  <c r="I54" i="9"/>
  <c r="H54" i="9"/>
  <c r="G54" i="9"/>
  <c r="E54" i="9"/>
  <c r="D54" i="9"/>
  <c r="A54" i="9"/>
  <c r="J53" i="11"/>
  <c r="O53" i="9"/>
  <c r="N53" i="9"/>
  <c r="M53" i="9"/>
  <c r="L53" i="9"/>
  <c r="K53" i="9"/>
  <c r="J53" i="9"/>
  <c r="I53" i="9"/>
  <c r="H53" i="9"/>
  <c r="G53" i="9"/>
  <c r="E53" i="9"/>
  <c r="D53" i="9"/>
  <c r="A53" i="9"/>
  <c r="J50" i="11"/>
  <c r="O50" i="9"/>
  <c r="N50" i="9"/>
  <c r="M50" i="9"/>
  <c r="L50" i="9"/>
  <c r="K50" i="9"/>
  <c r="J50" i="9"/>
  <c r="I50" i="9"/>
  <c r="H50" i="9"/>
  <c r="G50" i="9"/>
  <c r="E50" i="9"/>
  <c r="D50" i="9"/>
  <c r="A50" i="9"/>
  <c r="J49" i="11"/>
  <c r="O49" i="9"/>
  <c r="N49" i="9"/>
  <c r="M49" i="9"/>
  <c r="L49" i="9"/>
  <c r="K49" i="9"/>
  <c r="J49" i="9"/>
  <c r="I49" i="9"/>
  <c r="H49" i="9"/>
  <c r="G49" i="9"/>
  <c r="E49" i="9"/>
  <c r="D49" i="9"/>
  <c r="A49" i="9"/>
  <c r="T53" i="10"/>
  <c r="W53" i="10"/>
  <c r="V53" i="10"/>
  <c r="X53" i="10"/>
  <c r="U53" i="10"/>
  <c r="Y53" i="10"/>
  <c r="G53" i="10"/>
  <c r="J53" i="10"/>
  <c r="I53" i="10"/>
  <c r="K53" i="10"/>
  <c r="H53" i="10"/>
  <c r="L53" i="10"/>
  <c r="T52" i="10"/>
  <c r="W52" i="10"/>
  <c r="V52" i="10"/>
  <c r="X52" i="10"/>
  <c r="U52" i="10"/>
  <c r="Y52" i="10"/>
  <c r="G52" i="10"/>
  <c r="J52" i="10"/>
  <c r="I52" i="10"/>
  <c r="K52" i="10"/>
  <c r="H52" i="10"/>
  <c r="L52" i="10"/>
  <c r="T51" i="10"/>
  <c r="W51" i="10"/>
  <c r="V51" i="10"/>
  <c r="X51" i="10"/>
  <c r="U51" i="10"/>
  <c r="Y51" i="10"/>
  <c r="G51" i="10"/>
  <c r="J51" i="10"/>
  <c r="I51" i="10"/>
  <c r="K51" i="10"/>
  <c r="H51" i="10"/>
  <c r="L51" i="10"/>
  <c r="T50" i="10"/>
  <c r="W50" i="10"/>
  <c r="V50" i="10"/>
  <c r="X50" i="10"/>
  <c r="U50" i="10"/>
  <c r="Y50" i="10"/>
  <c r="G50" i="10"/>
  <c r="J50" i="10"/>
  <c r="I50" i="10"/>
  <c r="K50" i="10"/>
  <c r="H50" i="10"/>
  <c r="L50" i="10"/>
  <c r="T48" i="10"/>
  <c r="W48" i="10"/>
  <c r="V48" i="10"/>
  <c r="X48" i="10"/>
  <c r="U48" i="10"/>
  <c r="Y48" i="10"/>
  <c r="G48" i="10"/>
  <c r="J48" i="10"/>
  <c r="I48" i="10"/>
  <c r="K48" i="10"/>
  <c r="H48" i="10"/>
  <c r="L48" i="10"/>
  <c r="T47" i="10"/>
  <c r="W47" i="10"/>
  <c r="V47" i="10"/>
  <c r="X47" i="10"/>
  <c r="U47" i="10"/>
  <c r="Y47" i="10"/>
  <c r="G47" i="10"/>
  <c r="J47" i="10"/>
  <c r="I47" i="10"/>
  <c r="K47" i="10"/>
  <c r="H47" i="10"/>
  <c r="L47" i="10"/>
  <c r="T46" i="10"/>
  <c r="W46" i="10"/>
  <c r="V46" i="10"/>
  <c r="X46" i="10"/>
  <c r="U46" i="10"/>
  <c r="Y46" i="10"/>
  <c r="G46" i="10"/>
  <c r="J46" i="10"/>
  <c r="I46" i="10"/>
  <c r="K46" i="10"/>
  <c r="H46" i="10"/>
  <c r="L46" i="10"/>
  <c r="N3" i="22"/>
  <c r="G3" i="22"/>
  <c r="F3" i="22"/>
  <c r="D3" i="22"/>
  <c r="C3" i="22"/>
  <c r="A3" i="22"/>
  <c r="N2" i="22"/>
  <c r="G2" i="22"/>
  <c r="F2" i="22"/>
  <c r="D2" i="22"/>
  <c r="C2" i="22"/>
  <c r="A2" i="22"/>
  <c r="B9" i="21"/>
  <c r="I9" i="21"/>
  <c r="J9" i="21"/>
  <c r="G9" i="21"/>
  <c r="F9" i="21"/>
  <c r="D9" i="21"/>
  <c r="C9" i="21"/>
  <c r="C5" i="18"/>
  <c r="D5" i="18"/>
  <c r="C4" i="18"/>
  <c r="D4" i="18"/>
  <c r="C3" i="18"/>
  <c r="D3" i="18"/>
  <c r="J52" i="11"/>
  <c r="J48" i="11"/>
  <c r="T79" i="10"/>
  <c r="W79" i="10"/>
  <c r="V79" i="10"/>
  <c r="X79" i="10"/>
  <c r="U79" i="10"/>
  <c r="Y79" i="10"/>
  <c r="G79" i="10"/>
  <c r="J79" i="10"/>
  <c r="I79" i="10"/>
  <c r="K79" i="10"/>
  <c r="H79" i="10"/>
  <c r="L79" i="10"/>
  <c r="T74" i="10"/>
  <c r="W74" i="10"/>
  <c r="V74" i="10"/>
  <c r="X74" i="10"/>
  <c r="U74" i="10"/>
  <c r="Y74" i="10"/>
  <c r="G74" i="10"/>
  <c r="J74" i="10"/>
  <c r="I74" i="10"/>
  <c r="K74" i="10"/>
  <c r="H74" i="10"/>
  <c r="L74" i="10"/>
  <c r="T68" i="10"/>
  <c r="W68" i="10"/>
  <c r="V68" i="10"/>
  <c r="X68" i="10"/>
  <c r="U68" i="10"/>
  <c r="Y68" i="10"/>
  <c r="G68" i="10"/>
  <c r="J68" i="10"/>
  <c r="I68" i="10"/>
  <c r="K68" i="10"/>
  <c r="H68" i="10"/>
  <c r="L68" i="10"/>
  <c r="T59" i="10"/>
  <c r="W59" i="10"/>
  <c r="V59" i="10"/>
  <c r="X59" i="10"/>
  <c r="U59" i="10"/>
  <c r="Y59" i="10"/>
  <c r="G59" i="10"/>
  <c r="J59" i="10"/>
  <c r="I59" i="10"/>
  <c r="K59" i="10"/>
  <c r="H59" i="10"/>
  <c r="L59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O82" i="9"/>
  <c r="N82" i="9"/>
  <c r="M82" i="9"/>
  <c r="L82" i="9"/>
  <c r="K82" i="9"/>
  <c r="J82" i="9"/>
  <c r="I82" i="9"/>
  <c r="H82" i="9"/>
  <c r="G82" i="9"/>
  <c r="E82" i="9"/>
  <c r="D82" i="9"/>
  <c r="A82" i="9"/>
  <c r="O77" i="9"/>
  <c r="N77" i="9"/>
  <c r="M77" i="9"/>
  <c r="L77" i="9"/>
  <c r="K77" i="9"/>
  <c r="J77" i="9"/>
  <c r="I77" i="9"/>
  <c r="H77" i="9"/>
  <c r="G77" i="9"/>
  <c r="E77" i="9"/>
  <c r="D77" i="9"/>
  <c r="A77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0" i="9"/>
  <c r="N70" i="9"/>
  <c r="M70" i="9"/>
  <c r="L70" i="9"/>
  <c r="K70" i="9"/>
  <c r="J70" i="9"/>
  <c r="I70" i="9"/>
  <c r="H70" i="9"/>
  <c r="G70" i="9"/>
  <c r="E70" i="9"/>
  <c r="D70" i="9"/>
  <c r="A70" i="9"/>
  <c r="O65" i="9"/>
  <c r="N65" i="9"/>
  <c r="M65" i="9"/>
  <c r="L65" i="9"/>
  <c r="K65" i="9"/>
  <c r="J65" i="9"/>
  <c r="I65" i="9"/>
  <c r="H65" i="9"/>
  <c r="G65" i="9"/>
  <c r="E65" i="9"/>
  <c r="D65" i="9"/>
  <c r="A65" i="9"/>
  <c r="O61" i="9"/>
  <c r="N61" i="9"/>
  <c r="M61" i="9"/>
  <c r="L61" i="9"/>
  <c r="K61" i="9"/>
  <c r="J61" i="9"/>
  <c r="I61" i="9"/>
  <c r="H61" i="9"/>
  <c r="G61" i="9"/>
  <c r="E61" i="9"/>
  <c r="D61" i="9"/>
  <c r="A61" i="9"/>
  <c r="O57" i="9"/>
  <c r="N57" i="9"/>
  <c r="M57" i="9"/>
  <c r="L57" i="9"/>
  <c r="K57" i="9"/>
  <c r="J57" i="9"/>
  <c r="I57" i="9"/>
  <c r="H57" i="9"/>
  <c r="G57" i="9"/>
  <c r="E57" i="9"/>
  <c r="D57" i="9"/>
  <c r="A57" i="9"/>
  <c r="O52" i="9"/>
  <c r="N52" i="9"/>
  <c r="M52" i="9"/>
  <c r="L52" i="9"/>
  <c r="K52" i="9"/>
  <c r="J52" i="9"/>
  <c r="I52" i="9"/>
  <c r="H52" i="9"/>
  <c r="G52" i="9"/>
  <c r="E52" i="9"/>
  <c r="D52" i="9"/>
  <c r="A52" i="9"/>
  <c r="O48" i="9"/>
  <c r="N48" i="9"/>
  <c r="M48" i="9"/>
  <c r="L48" i="9"/>
  <c r="K48" i="9"/>
  <c r="J48" i="9"/>
  <c r="I48" i="9"/>
  <c r="H48" i="9"/>
  <c r="G48" i="9"/>
  <c r="E48" i="9"/>
  <c r="D48" i="9"/>
  <c r="A4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W5" i="7"/>
  <c r="U5" i="7"/>
  <c r="R5" i="7"/>
  <c r="Q5" i="7"/>
  <c r="P5" i="7"/>
  <c r="O5" i="7"/>
  <c r="N5" i="7"/>
  <c r="H5" i="7"/>
  <c r="G2" i="2"/>
  <c r="A2" i="2"/>
  <c r="G3" i="2"/>
  <c r="A3" i="2"/>
  <c r="G4" i="2"/>
  <c r="A4" i="2"/>
  <c r="G5" i="2"/>
  <c r="A5" i="2"/>
  <c r="G6" i="2"/>
  <c r="A6" i="2"/>
  <c r="G7" i="2"/>
  <c r="A7" i="2"/>
  <c r="J5" i="7"/>
  <c r="I5" i="7"/>
  <c r="D5" i="7"/>
  <c r="F5" i="7"/>
  <c r="E5" i="7"/>
  <c r="A5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H7" i="2"/>
  <c r="E7" i="2"/>
  <c r="D7" i="2"/>
  <c r="H2" i="1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2" i="1"/>
  <c r="T2" i="1"/>
  <c r="E13" i="16"/>
  <c r="B2" i="21"/>
  <c r="I2" i="21"/>
  <c r="J2" i="21"/>
  <c r="G2" i="21"/>
  <c r="F2" i="21"/>
  <c r="D2" i="21"/>
  <c r="C2" i="21"/>
  <c r="E12" i="16"/>
  <c r="E11" i="16"/>
  <c r="E10" i="16"/>
  <c r="C2" i="18"/>
  <c r="D2" i="18"/>
  <c r="O2" i="9"/>
  <c r="N2" i="9"/>
  <c r="M2" i="9"/>
  <c r="L2" i="9"/>
  <c r="K2" i="9"/>
  <c r="J2" i="9"/>
  <c r="I2" i="9"/>
  <c r="H2" i="9"/>
  <c r="G2" i="9"/>
  <c r="E2" i="9"/>
  <c r="D2" i="9"/>
  <c r="E9" i="16"/>
  <c r="R2" i="7"/>
  <c r="Q2" i="7"/>
  <c r="P2" i="7"/>
  <c r="O2" i="7"/>
  <c r="N2" i="7"/>
  <c r="AD2" i="1"/>
  <c r="AG2" i="1"/>
  <c r="AF2" i="1"/>
  <c r="AE2" i="1"/>
  <c r="X2" i="1"/>
  <c r="Q2" i="1"/>
  <c r="P2" i="1"/>
  <c r="O2" i="1"/>
  <c r="N2" i="1"/>
  <c r="M2" i="1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<sst xmlns="http://schemas.openxmlformats.org/spreadsheetml/2006/main" count="1175" uniqueCount="453">
  <si>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</si>
  <si>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</si>
  <si>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</si>
  <si>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</si>
  <si>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</si>
  <si>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</si>
  <si>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</si>
  <si>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</si>
  <si>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</si>
  <si>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</si>
  <si>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</si>
  <si>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</si>
  <si>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</si>
  <si>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</si>
  <si>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</si>
  <si>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</si>
  <si>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</si>
  <si>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</si>
  <si>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</si>
  <si>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</si>
  <si>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</si>
  <si>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</si>
  <si>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</si>
  <si>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</si>
  <si>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</si>
  <si>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</si>
  <si>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</si>
  <si>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</si>
  <si>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</si>
  <si>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</si>
  <si>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</si>
  <si>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</si>
  <si>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</si>
  <si>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</si>
  <si>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</si>
  <si>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</si>
  <si>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</si>
  <si>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</si>
  <si>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</si>
  <si>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</si>
  <si>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</si>
  <si>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</si>
  <si>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</si>
  <si>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</si>
  <si>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</si>
  <si>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</si>
  <si>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</si>
  <si>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</si>
  <si>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</si>
  <si>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</si>
  <si>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</si>
  <si>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</si>
  <si>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</si>
  <si>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</si>
  <si>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</si>
  <si>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</si>
  <si>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</si>
  <si>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</si>
  <si>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</si>
  <si>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</si>
  <si>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</si>
  <si>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</si>
  <si>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</si>
  <si>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</si>
  <si>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</si>
  <si>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</si>
  <si>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</si>
  <si>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</si>
  <si>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</si>
  <si>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</si>
  <si>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</si>
  <si>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</si>
  <si>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</si>
  <si>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</si>
  <si>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</si>
  <si>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</si>
  <si>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</si>
  <si>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</si>
  <si>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</si>
  <si>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</si>
  <si>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</si>
  <si>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</si>
  <si>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</si>
  <si>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</si>
  <si>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</si>
  <si>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</si>
  <si>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</si>
  <si>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</si>
  <si>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</si>
  <si>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</si>
  <si>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</si>
  <si>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</si>
  <si>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</si>
  <si>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</si>
  <si>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</si>
  <si>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</si>
  <si>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</si>
  <si>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</si>
  <si>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</si>
  <si>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</si>
  <si>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</si>
  <si>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</si>
  <si>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</si>
  <si>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</si>
  <si>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</si>
  <si>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</si>
  <si>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</si>
  <si>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</si>
  <si>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</si>
  <si>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</si>
  <si>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</si>
  <si>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</si>
  <si>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</si>
  <si>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</si>
  <si>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</si>
  <si>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</si>
  <si>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</si>
  <si>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</si>
  <si>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</si>
  <si>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</si>
  <si>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</si>
  <si>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</si>
  <si>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</si>
  <si>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</si>
  <si>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</si>
  <si>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</si>
  <si>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</si>
  <si>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</si>
  <si>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</si>
  <si>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</si>
  <si>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</si>
  <si>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</si>
  <si>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</si>
  <si>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</si>
  <si>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</si>
  <si>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</si>
  <si>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</si>
  <si>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</si>
  <si>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</si>
  <si>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</si>
  <si>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</si>
  <si>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</si>
  <si>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</si>
  <si>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</si>
  <si>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</si>
  <si>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</si>
  <si>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</si>
  <si>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</si>
  <si>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</si>
  <si>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</si>
  <si>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</si>
  <si>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</si>
  <si>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</si>
  <si>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</si>
  <si>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</si>
  <si>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</si>
  <si>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</si>
  <si>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</si>
  <si>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</si>
  <si>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</si>
  <si>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</si>
  <si>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</si>
  <si>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</si>
  <si>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</si>
  <si>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</si>
  <si>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</si>
  <si>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</si>
  <si>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</si>
  <si>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</si>
  <si>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</si>
  <si>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</si>
  <si>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</si>
  <si>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</si>
  <si>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</si>
  <si>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</si>
  <si>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</si>
  <si>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</si>
  <si>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</si>
  <si>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</si>
  <si>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</si>
  <si>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</si>
  <si>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</si>
  <si>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</si>
  <si>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</si>
  <si>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</si>
  <si>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</si>
  <si>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</si>
  <si>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</si>
  <si>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</si>
  <si>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</si>
  <si>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</si>
  <si>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</si>
  <si>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</si>
  <si>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</si>
  <si>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</si>
  <si>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</si>
  <si>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</si>
  <si>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</si>
  <si>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</si>
  <si>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</si>
  <si>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</si>
  <si>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</si>
  <si>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</si>
  <si>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</si>
  <si>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</si>
  <si>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</si>
  <si>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</si>
  <si>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</si>
  <si>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</si>
  <si>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</si>
  <si>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</si>
  <si>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</si>
  <si>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</si>
  <si>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</si>
  <si>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</si>
  <si>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</si>
  <si>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</si>
  <si>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</si>
  <si>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</si>
  <si>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</si>
  <si>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</si>
  <si>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</si>
  <si>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</si>
  <si>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</si>
  <si>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</si>
  <si>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</si>
  <si>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</si>
  <si>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</si>
  <si>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</si>
  <si>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</si>
  <si>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</si>
  <si>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</si>
  <si>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</si>
  <si>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</si>
  <si>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</si>
  <si>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</si>
  <si>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</si>
  <si>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</si>
  <si>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</si>
  <si>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</si>
  <si>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</si>
  <si>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</si>
  <si>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</si>
  <si>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</si>
  <si>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</si>
  <si>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</si>
  <si>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</si>
  <si>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</si>
  <si>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</si>
  <si>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</si>
  <si>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</si>
  <si>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</si>
  <si>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</si>
  <si>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</si>
  <si>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</si>
  <si>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full_member</t>
    <phoneticPr fontId="5"/>
  </si>
  <si>
    <t>no_continue</t>
    <phoneticPr fontId="5"/>
  </si>
  <si>
    <t>old</t>
  </si>
  <si>
    <t>null</t>
    <phoneticPr fontId="5"/>
  </si>
  <si>
    <t>赤属性のユニットに大ダメージの全体攻撃</t>
    <phoneticPr fontId="5"/>
  </si>
  <si>
    <t>種族ゴッドのユニットに大ダメージの全体攻撃</t>
    <phoneticPr fontId="5"/>
  </si>
  <si>
    <t>クララの攻撃力UP</t>
    <phoneticPr fontId="5"/>
  </si>
  <si>
    <t>クララの防御力UP</t>
    <phoneticPr fontId="5"/>
  </si>
  <si>
    <t>ヘラクレスの攻撃力UP</t>
    <phoneticPr fontId="5"/>
  </si>
  <si>
    <t>ヘラクレスの防御力UP</t>
    <phoneticPr fontId="5"/>
  </si>
  <si>
    <t>ルキフグスの防御力UP</t>
    <phoneticPr fontId="5"/>
  </si>
  <si>
    <t>ルキフグスの攻撃力UP</t>
    <phoneticPr fontId="5"/>
  </si>
  <si>
    <t>緑属性のユニットに大ダメージの全体攻撃</t>
    <phoneticPr fontId="5"/>
  </si>
  <si>
    <t>null</t>
    <phoneticPr fontId="5"/>
  </si>
  <si>
    <t>[effect:freq_turn, target:myself, turn:-1, val:1, animation:enemy_freq_turn]</t>
    <phoneticPr fontId="5"/>
  </si>
  <si>
    <t>[effect:freq_turn, target:myself, turn:-1, val:1, animation:enemy_freq_turn]</t>
    <phoneticPr fontId="5"/>
  </si>
  <si>
    <t>赤パネルを吸収して全体攻撃</t>
    <phoneticPr fontId="5"/>
  </si>
  <si>
    <t>緑属性のユニットに大ダメージの全体攻撃</t>
    <phoneticPr fontId="5"/>
  </si>
  <si>
    <t>お邪魔パネルを吸収して攻撃力UP</t>
    <phoneticPr fontId="5"/>
  </si>
  <si>
    <t>[effect:freq_turn, target:myself, turn:-1, val:1, animation:enemy_freq_turn]</t>
    <phoneticPr fontId="5"/>
  </si>
  <si>
    <t>ダメージパネル以外のパネルをお邪魔パネルに変換</t>
    <phoneticPr fontId="5"/>
  </si>
  <si>
    <t>黄属性のユニットに大ダメージの全体攻撃</t>
    <phoneticPr fontId="5"/>
  </si>
  <si>
    <t>[effect:damage_anti_tribe, target:unit_all, tribe:god, val1:0.6, val2:0.25]</t>
    <phoneticPr fontId="5"/>
  </si>
  <si>
    <t>[effect:damage_anti_color, target:unit_all, color:green, val1:0.45, val2:0.1]</t>
    <phoneticPr fontId="5"/>
  </si>
  <si>
    <t>[effect:damage_anti_color, target:unit_all, color:yellow, val1:0.4, val2:0.1]</t>
    <phoneticPr fontId="5"/>
  </si>
  <si>
    <t xml:space="preserve">[effect:break_enchance_enemy, target:myself, val:0.01, lowest_val:0, count:-1, status:attack, turn:-1, block01:jammer, calc:mul, animation:enemy_enhance_attack]    </t>
    <phoneticPr fontId="5"/>
  </si>
  <si>
    <t>[effect:damage_anti_color, target:unit_all, color:yellow, val1:0.4, val2:0.1]</t>
    <phoneticPr fontId="5"/>
  </si>
  <si>
    <t>滑らかに進む恋なんてあって？</t>
  </si>
  <si>
    <t>欲望の発露</t>
    <phoneticPr fontId="5"/>
  </si>
  <si>
    <t>恋の魔力</t>
    <phoneticPr fontId="5"/>
  </si>
  <si>
    <t>猛る情炎</t>
    <phoneticPr fontId="5"/>
  </si>
  <si>
    <t>無知は呪いにも似るのね</t>
    <phoneticPr fontId="5"/>
  </si>
  <si>
    <t>嫉意に踊る凶刃</t>
    <phoneticPr fontId="5"/>
  </si>
  <si>
    <t>神に抗う一撃</t>
    <phoneticPr fontId="5"/>
  </si>
  <si>
    <t>この苦難が私を強くするのだ！</t>
    <phoneticPr fontId="5"/>
  </si>
  <si>
    <t>人の痛みを知らぬまま消えるがいい！</t>
    <phoneticPr fontId="5"/>
  </si>
  <si>
    <t>愛を知らないのね
可哀想に…</t>
    <phoneticPr fontId="5"/>
  </si>
  <si>
    <t>なんてことを…
許さないわ！</t>
    <phoneticPr fontId="5"/>
  </si>
  <si>
    <t>愛の力は全てを超えるのですよ♪</t>
    <phoneticPr fontId="5"/>
  </si>
  <si>
    <t>ヘンリーズ・シージ</t>
    <phoneticPr fontId="5"/>
  </si>
  <si>
    <t>あなたの愛はニセモノなのですか？</t>
    <phoneticPr fontId="5"/>
  </si>
  <si>
    <t>アリス・アンドロニカス</t>
    <phoneticPr fontId="5"/>
  </si>
  <si>
    <t>この世界は見世物より悲惨だわ</t>
  </si>
  <si>
    <t>黄昏の嘆き</t>
    <phoneticPr fontId="5"/>
  </si>
  <si>
    <t>あらしに見る夢</t>
  </si>
  <si>
    <t>そろそろお休みなさいな</t>
    <phoneticPr fontId="5"/>
  </si>
  <si>
    <t xml:space="preserve">[effect:break_enchance_enemy, target:myself, val:0.5, lowest_val:0, count:-1, status:attack, turn:-1, block01:jammer, calc:mul, animation:enemy_enhance_attack]    </t>
    <phoneticPr fontId="5"/>
  </si>
  <si>
    <t>閉じ込められている炎が
いちばん強く燃えるものよ♪</t>
    <phoneticPr fontId="5"/>
  </si>
  <si>
    <t>真の恋ほど簡単に叶ったりしないものよ♪</t>
    <phoneticPr fontId="5"/>
  </si>
  <si>
    <t>愛し合う憎しみをあなたに♪</t>
    <phoneticPr fontId="5"/>
  </si>
  <si>
    <t>そろそろ幕を降ろしましょう…</t>
    <phoneticPr fontId="5"/>
  </si>
  <si>
    <t>あいたたた…
私、何をやって…</t>
    <phoneticPr fontId="5"/>
  </si>
  <si>
    <t>ヘラクレス？　私が？　バカな事言わないでよ！</t>
    <phoneticPr fontId="5"/>
  </si>
  <si>
    <t>愛か…かつてそんなものを信じていた事もあったな…</t>
    <phoneticPr fontId="5"/>
  </si>
  <si>
    <t>ずいぶん暑苦しいところね…
こんなところ居られないわ</t>
    <phoneticPr fontId="5"/>
  </si>
  <si>
    <t>あぁ…長い夢を見ていたみたい…</t>
  </si>
  <si>
    <t>もう少しで大切な場所を失うところだったわ…ありがとう</t>
    <phoneticPr fontId="5"/>
  </si>
  <si>
    <t>よくも…
ヘラクレスを！</t>
    <phoneticPr fontId="5"/>
  </si>
  <si>
    <t>その程度で
勝ったつもり？</t>
    <phoneticPr fontId="5"/>
  </si>
  <si>
    <t>お前達に愛の何が分かると言うのだ！</t>
    <phoneticPr fontId="5"/>
  </si>
  <si>
    <t>揺心・
フロストフォール</t>
    <phoneticPr fontId="5"/>
  </si>
  <si>
    <t>真の恋の道は茨の道なのです</t>
    <phoneticPr fontId="5"/>
  </si>
  <si>
    <t>赤パネルを黄のダメージパネルに変換</t>
    <phoneticPr fontId="5"/>
  </si>
  <si>
    <t>攻撃頻度UP</t>
    <phoneticPr fontId="5"/>
  </si>
  <si>
    <t>攻撃頻度UP</t>
    <phoneticPr fontId="5"/>
  </si>
  <si>
    <t>攻撃頻度UP</t>
    <phoneticPr fontId="5"/>
  </si>
  <si>
    <t>中確率でお邪魔パネルをドロップ</t>
    <phoneticPr fontId="5"/>
  </si>
  <si>
    <t>トルストイ…やっぱりあなたとは
分かり合うことはできないみたいね</t>
    <phoneticPr fontId="5"/>
  </si>
  <si>
    <t>嫉妬は人の心を餌食にするの</t>
    <phoneticPr fontId="5"/>
  </si>
  <si>
    <t>心はないわ！　心は私が消し去った！</t>
    <phoneticPr fontId="5"/>
  </si>
  <si>
    <t>えぇ…ありがとう…
今ならこれまでで一番素晴らしい愛を綴れる気がするわ</t>
    <phoneticPr fontId="5"/>
  </si>
  <si>
    <t>ダメージパネルとお邪魔パネルを吸収して全体攻撃</t>
    <phoneticPr fontId="5"/>
  </si>
  <si>
    <t>低確率でお邪魔パネルをドロップ+
緑属性のユニットの攻撃力DOWN</t>
    <phoneticPr fontId="5"/>
  </si>
  <si>
    <t>低確率でお邪魔パネルをドロップ+
緑属性のユニットの攻撃力DOWN</t>
    <phoneticPr fontId="5"/>
  </si>
  <si>
    <t>link</t>
    <phoneticPr fontId="5"/>
  </si>
  <si>
    <t>unit</t>
    <phoneticPr fontId="5"/>
  </si>
  <si>
    <t>unit</t>
    <phoneticPr fontId="5"/>
  </si>
  <si>
    <t>[effect:damage_anti_color, target:unit_all, color:green, val1:0.4, val2:0.15]</t>
    <phoneticPr fontId="5"/>
  </si>
  <si>
    <t>[effect:damage_anti_color, target:unit_all, color:green, val1:0.4, val2:0.15]</t>
    <phoneticPr fontId="5"/>
  </si>
  <si>
    <t>[effect:enhance_enemy, target:myself, turn:-1, status:attack, val:0.3, calc:mul, animation:enemy_enhance_attack]</t>
    <phoneticPr fontId="5"/>
  </si>
  <si>
    <t>[effect:enhance_enemy, target:myself, turn:-1, status:defense, val:1500, calc:add, animation:enemy_enhance_defense]</t>
    <phoneticPr fontId="5"/>
  </si>
  <si>
    <t>[effect:enhance_enemy, target:myself, turn:-1, status:attack, val:0.3, calc:mul, animation:enemy_enhance_attack]</t>
    <phoneticPr fontId="5"/>
  </si>
  <si>
    <t>[effect:enhance_enemy, target:myself, turn:-1, status:defense, val:1500, calc:add, animation:enemy_enhance_defense]</t>
    <phoneticPr fontId="5"/>
  </si>
  <si>
    <t>[effect:enhance_enemy, target:myself, turn:-1, status:attack, val:0.3, calc:mul, animation:enemy_enhance_attack]</t>
    <phoneticPr fontId="5"/>
  </si>
  <si>
    <t>[effect:enhance_enemy, target:myself, turn:-1, status:defense, val:1500, calc:add, animation:enemy_enhance_defense]</t>
    <phoneticPr fontId="5"/>
  </si>
  <si>
    <t>[effect:enhance_enemy, target:myself, turn:-1, status:attack, val:0.3, calc:mul, animation:enemy_enhance_attack]</t>
    <phoneticPr fontId="5"/>
  </si>
  <si>
    <t>[effect:enhance_enemy, target:myself, turn:-1, status:defense, val:2000, calc:add, animation:enemy_enhance_defense]</t>
    <phoneticPr fontId="5"/>
  </si>
  <si>
    <t>[effect:enhance_enemy, target:myself, turn:-1, status:attack, val:0.3, calc:mul, animation:enemy_enhance_attack]</t>
    <phoneticPr fontId="5"/>
  </si>
  <si>
    <t>[effect:enhance_enemy, target:myself, turn:-1, status:attack, val:0.3, calc:mul, animation:enemy_enhance_attack]</t>
    <phoneticPr fontId="5"/>
  </si>
  <si>
    <t>[effect:enhance_enemy, target:myself, turn:-1, status:defense, val:2000, calc:add, animation:enemy_enhance_defense]</t>
    <phoneticPr fontId="5"/>
  </si>
  <si>
    <t>マクス・マクベス</t>
    <phoneticPr fontId="5"/>
  </si>
  <si>
    <t>マクス・マクベス</t>
    <phoneticPr fontId="5"/>
  </si>
  <si>
    <t xml:space="preserve">[effect:enemy_message, val1:2.3, val2:1.8],[effect:break_enchance_enemy, target:myself, val:0.02, lowest_val:0, count:-1, status:attack, turn:-1, block01:jammer, calc:mul, animation:enemy_enhance_attack]    </t>
    <phoneticPr fontId="5"/>
  </si>
  <si>
    <t xml:space="preserve">[effect:enemy_message, val1:2.3, val2:1.8],[effect:break_enchance_enemy, target:myself, val:0.02, lowest_val:0, count:-1, status:attack, turn:-1, block01:jammer, calc:mul, animation:enemy_enhance_attack]    </t>
    <phoneticPr fontId="5"/>
  </si>
  <si>
    <t>その愛はニセモノ</t>
    <phoneticPr fontId="5"/>
  </si>
  <si>
    <t>ピクリスの混乱の中で自身の作品に
飲み込まれてしまったシェイクスピアは
偽りの愛に溢れる世界に対して憎悪を
露わにしました</t>
    <phoneticPr fontId="5"/>
  </si>
  <si>
    <t>シェイクスピアの「干渉」</t>
    <phoneticPr fontId="5"/>
  </si>
  <si>
    <t>作品に取り込まれたシェイクスピアの
強い想いは本人を暴走させるに留まらず
ピクリスを利用するアバターの一部をも
狂気へと駆り立てました</t>
    <phoneticPr fontId="5"/>
  </si>
  <si>
    <t>強い愛、強い欲望</t>
    <phoneticPr fontId="5"/>
  </si>
  <si>
    <t>シェイクスピアとトルストイはその作風に
おいて愛と欲望の捉え方がまったく異なり
しばしばピクリス内でも対比して語られる
存在でした</t>
    <phoneticPr fontId="5"/>
  </si>
  <si>
    <t>わたしにもいつか</t>
    <phoneticPr fontId="5"/>
  </si>
  <si>
    <t>シェイクスピアの３ゲージ目はHPが
一定以下になる度にダメージパネル変換を
使用します</t>
    <phoneticPr fontId="5"/>
  </si>
  <si>
    <t>シェイクスピアの３ゲージ目が使用する
お邪魔パネル吸収による攻撃力UPは
使用する度にパネル１個あたりの効果量が
増加します</t>
    <phoneticPr fontId="5"/>
  </si>
  <si>
    <t>シェイクスピアの1ゲージ目は定期的に
ダメージパネルとお邪魔パネル吸収攻撃を
使用します</t>
    <phoneticPr fontId="5"/>
  </si>
  <si>
    <t>怒りの炎は己をも焦がすのよ</t>
    <phoneticPr fontId="5"/>
  </si>
  <si>
    <t>[effect:enemy_message, val1:1.5, val2:2.5, dead_type:escape]</t>
    <phoneticPr fontId="5"/>
  </si>
  <si>
    <t>[effect:enemy_message, val1:1.5, val2:2.5, dead_type:escape]</t>
    <phoneticPr fontId="5"/>
  </si>
  <si>
    <t>[effect:enemy_message, val1:3.0, val2:3.0, dead_type:suicide]</t>
    <phoneticPr fontId="5"/>
  </si>
  <si>
    <t>[effect:enemy_message, val1:3.0, val2:3.5, dead_type:suicide]</t>
    <phoneticPr fontId="5"/>
  </si>
  <si>
    <t xml:space="preserve">[effect:enemy_message, val1:1.5, val2:2.3, dead_type:escape]    </t>
    <phoneticPr fontId="5"/>
  </si>
  <si>
    <t>[effect:enemy_message, val1:1.5, val2:2.3, dead_type:escape]</t>
    <phoneticPr fontId="5"/>
  </si>
  <si>
    <t xml:space="preserve">[effect:enemy_message, val1:1.5, val2:2.3, dead_type:escape]    </t>
    <phoneticPr fontId="5"/>
  </si>
  <si>
    <t>[effect:enemy_message, val1:1.5, val2:2.3, dead_type:escape]</t>
    <phoneticPr fontId="5"/>
  </si>
  <si>
    <t>[effect:enemy_message, val1:1.5, val2:2.3, dead_type:escape]</t>
    <phoneticPr fontId="5"/>
  </si>
  <si>
    <t>ん…？　お前達…何用だ？</t>
    <phoneticPr fontId="5"/>
  </si>
  <si>
    <t>結局あなた方も愛無き者…弱き者なのね…</t>
    <phoneticPr fontId="5"/>
  </si>
  <si>
    <t>結局あなた方も愛無き者…弱き者なのね…</t>
    <phoneticPr fontId="5"/>
  </si>
  <si>
    <t>トルストイ…わたし、またやり直せるかしら…</t>
    <phoneticPr fontId="5"/>
  </si>
  <si>
    <t>トルストイ…わたし、またやり直せるかしら…</t>
    <phoneticPr fontId="5"/>
  </si>
  <si>
    <t>愛ねぇ…悪くないけど
賭けの対象としてはつまらないわね</t>
    <phoneticPr fontId="5"/>
  </si>
  <si>
    <t>恋…？　レ、レディに向かって
そんな事を聞くものじゃありませんわ！</t>
    <phoneticPr fontId="5"/>
  </si>
  <si>
    <t>理屈で説明できる恋など
不要ですわ！</t>
    <phoneticPr fontId="5"/>
  </si>
  <si>
    <t>[effect:enemy_message, val1:1.5, val2:2.5, dead_type:escape]</t>
    <phoneticPr fontId="5"/>
  </si>
  <si>
    <t>これでどうかしら…？
愛に苦難はつきものと言うものね♪</t>
    <phoneticPr fontId="5"/>
  </si>
  <si>
    <t>これでどうかしら…？
愛に苦難はつきものと言うものね♪</t>
    <phoneticPr fontId="5"/>
  </si>
  <si>
    <t>シェイクスピアの作品では運命を克服する
愛が情感豊かに表現されていますが
作者の彼女自身はそういった事に奥手で
恋愛経験もないようです</t>
    <phoneticPr fontId="5"/>
  </si>
  <si>
    <t>シェイクスピアの作品では運命を克服する
愛が情感豊かに表現されていますが
作者の彼女自身はそういった事に奥手で
恋愛経験もないようです</t>
    <phoneticPr fontId="5"/>
  </si>
  <si>
    <t>真の恋の道は茨の道なのです</t>
    <phoneticPr fontId="5"/>
  </si>
  <si>
    <t>あの…わたくし…一体何を…</t>
    <phoneticPr fontId="5"/>
  </si>
  <si>
    <t>ランダムでお邪魔パネルに5個変換+全体攻撃</t>
    <phoneticPr fontId="5"/>
  </si>
  <si>
    <t>ランダムで黄のダメージパネルに3個変換+全体攻撃</t>
    <phoneticPr fontId="5"/>
  </si>
  <si>
    <t>ランダムで赤のダメージパネルに3個変換+全体攻撃</t>
    <phoneticPr fontId="5"/>
  </si>
  <si>
    <t>ランダムでお邪魔パネルに10個変換+全体攻撃</t>
    <phoneticPr fontId="5"/>
  </si>
  <si>
    <t>ランダムで赤のダメージパネルに5個変換+全体攻撃</t>
    <phoneticPr fontId="5"/>
  </si>
  <si>
    <t>ランダムで黄のダメージパネルに5個変換+全体攻撃</t>
    <phoneticPr fontId="5"/>
  </si>
  <si>
    <t>ランダムでダメージパネルに10個変換</t>
    <phoneticPr fontId="5"/>
  </si>
  <si>
    <t>あら…
どこなのここは？</t>
    <phoneticPr fontId="5"/>
  </si>
  <si>
    <t>あら…
どこなのここは？</t>
    <phoneticPr fontId="5"/>
  </si>
  <si>
    <t>あの…わたくし…一体何を…</t>
    <phoneticPr fontId="5"/>
  </si>
  <si>
    <t>もう少しで大切な場所を失うところだったわ…ありがとう</t>
    <phoneticPr fontId="5"/>
  </si>
  <si>
    <t>何よ…あなた達
いつからそこに…？</t>
    <phoneticPr fontId="5"/>
  </si>
  <si>
    <t>何よ…あなた達
いつからそこに…？</t>
    <phoneticPr fontId="5"/>
  </si>
  <si>
    <t>[effect:enemy_message, val1:1.5, val2:2.5],[effect:drop_block, block_type:jammer, color:block_all, val:0, rate:0.07, turn:-1, animation:jammer_influence04],[effect:degrade_unit, target:unit_green, turn:-1, status:attack, val:0.8, calc:mul],[effect:fix_speed, target:myself, turn:2]</t>
    <phoneticPr fontId="5"/>
  </si>
  <si>
    <t>[effect:enemy_message, val1:2.0, val2:3.0],[effect:drop_block, block_type:jammer, color:block_all, val:0, rate:0.13, turn:-1, animation:jammer_influence04],[effect:crash_condition, target:unit_green, turn:-1, val:4, animation:enemy_crash_extend],[effect:fix_speed, target:myself, turn:1]</t>
    <phoneticPr fontId="5"/>
  </si>
  <si>
    <t>[effect:damage_anti_color, target:unit_all, color:red, val1:0.6, val2:0.23]</t>
    <phoneticPr fontId="5"/>
  </si>
  <si>
    <t>[effect:damage_anti_color, target:unit_all, color:red, val1:0.6, val2:0.23]</t>
    <phoneticPr fontId="5"/>
  </si>
  <si>
    <t xml:space="preserve">[effect:force_change_block, new_block:jammer, target:block_red, ignore01:crash, ignore02:crack_bomb, ignore03:jammer, count:0, val:0],[effect:rush, count:1, val:0.9]  </t>
    <phoneticPr fontId="5"/>
  </si>
  <si>
    <t xml:space="preserve">[effect:break_attack_fix, target:unit_all, val:200, lowest_val:750, count:-1, color:yellow, block01:block_red]    </t>
    <phoneticPr fontId="5"/>
  </si>
  <si>
    <t xml:space="preserve">[effect:break_attack_fix, target:unit_all, val:200, lowest_val:750, count:-1, color:yellow, block01:jammer, block02:damage]    </t>
    <phoneticPr fontId="5"/>
  </si>
  <si>
    <t xml:space="preserve">[effect:break_attack_fix, target:unit_all, val:150, lowest_val:500, count:-1, color:yellow, block01:jammer, block02:damage]    </t>
    <phoneticPr fontId="5"/>
  </si>
  <si>
    <t xml:space="preserve">[effect:break_attack_fix, target:unit_all, val:150, lowest_val:500, count:-1, color:yellow, block01:block_red]    </t>
    <phoneticPr fontId="5"/>
  </si>
  <si>
    <t>[effect:force_change_block, new_block:damage, target:block_red, ignore01:crash, ignore02:crack_bomb, ignore03:jammer, ignore04:damage, count:0, val:0.15],[effect:fix_speed, target:myself, turn:2]</t>
    <phoneticPr fontId="5"/>
  </si>
  <si>
    <t>[effect:force_change_block, new_block:damage, target:block_red, ignore01:crash, ignore02:crack_bomb, ignore03:jammer, ignore04:damage, count:0, val:0.1],[effect:fix_speed, target:myself, turn:2]</t>
    <phoneticPr fontId="5"/>
  </si>
  <si>
    <t>[effect:enemy_message, val1:1.5, val2:2.5],[effect:drop_block, block_type:jammer, color:block_all, val:0, rate:0.05, turn:-1, animation:jammer_influence04],[effect:degrade_unit, target:unit_green, turn:-1, status:attack, val:0.8, calc:mul],[effect:fix_speed, target:myself, turn:2]</t>
    <phoneticPr fontId="5"/>
  </si>
  <si>
    <t>[effect:enemy_message, val1:2.0, val2:3.0],[effect:drop_block, block_type:jammer, color:block_all, val:0, rate:0.1, turn:-1, animation:jammer_influence04],[effect:crash_condition, target:unit_green, turn:-1, val:4, animation:enemy_crash_extend]</t>
    <phoneticPr fontId="5"/>
  </si>
  <si>
    <t>[effect:enemy_message, val1:2.5, val2:1.8],[effect:drop_block, block_type:jammer, color:block_all, val:0, rate:0.07, turn:-1, animation:jammer_influence04],[effect:fix_speed, target:myself, turn:1]</t>
    <phoneticPr fontId="5"/>
  </si>
  <si>
    <t xml:space="preserve">[effect:force_change_block, new_block:jammer, target:block_red, ignore01:crash, ignore02:crack_bomb, ignore03:jammer, count:2, val:0],[effect:rush, count:1, val:0.9]  </t>
    <phoneticPr fontId="5"/>
  </si>
  <si>
    <t>ランダムでお邪魔パネルに3個変換+全体攻撃</t>
    <phoneticPr fontId="5"/>
  </si>
  <si>
    <t>ランダムでダメージパネルに5個変換</t>
    <phoneticPr fontId="5"/>
  </si>
  <si>
    <t>ランダムでダメージパネルに5個変換</t>
    <phoneticPr fontId="5"/>
  </si>
  <si>
    <t>低確率でお邪魔パネルをドロップ</t>
    <phoneticPr fontId="5"/>
  </si>
  <si>
    <t>中確率でお邪魔パネルをドロップ+
緑属性のユニットのCパネル生成延長(効果特大)</t>
    <phoneticPr fontId="5"/>
  </si>
  <si>
    <t>[effect:enemy_message, val1:2.5, val2:2.5],[effect:drop_block, block_type:jammer, color:block_all, val:0, rate:0.07, turn:-1, animation:jammer_influence04],[effect:degrade_unit, target:unit_green, turn:-1, status:attack, val:0.8, calc:mul],[effect:fix_speed, target:myself, turn:2]</t>
    <phoneticPr fontId="5"/>
  </si>
  <si>
    <t>[effect:enemy_message, val1:2.5, val2:2.5],[effect:drop_block, block_type:jammer, color:block_all, val:0, rate:0.05, turn:-1, animation:jammer_influence04],[effect:degrade_unit, target:unit_green, turn:-1, status:attack, val:0.8, calc:mul],[effect:fix_speed, target:myself, turn:2]</t>
    <phoneticPr fontId="5"/>
  </si>
  <si>
    <t>ランダムで超強力な黄のダメージパネルに1個変換+単体攻撃</t>
    <phoneticPr fontId="5"/>
  </si>
  <si>
    <t>彼らはシェイクスピアの「干渉」を受けているようだ</t>
    <phoneticPr fontId="5"/>
  </si>
  <si>
    <t>彼らはシェイクスピアの「干渉」を受けているようだ</t>
    <phoneticPr fontId="5"/>
  </si>
  <si>
    <t>[effect:enemy_message, val1:1.5, val2:2.0]</t>
    <phoneticPr fontId="5"/>
  </si>
  <si>
    <t>[effect:enemy_message, val1:1.5, val2:2.0]</t>
    <phoneticPr fontId="5"/>
  </si>
  <si>
    <t>[effect:enemy_message, val1:1.5, val2:2.3, dead_type:escape]</t>
    <phoneticPr fontId="5"/>
  </si>
  <si>
    <t>[effect:enemy_message, val1:2.5, val2:1.8],[effect:drop_block, block_type:jammer, color:block_all, val:0, rate:0.1, turn:-1, animation:jammer_influence04],[effect:fix_speed, target:myself, turn:1]</t>
    <phoneticPr fontId="5"/>
  </si>
  <si>
    <t>赤パネルをお邪魔パネルに2個変換+単体攻撃</t>
    <phoneticPr fontId="5"/>
  </si>
  <si>
    <t>赤パネルをお邪魔パネルに変換+単体攻撃</t>
    <phoneticPr fontId="5"/>
  </si>
  <si>
    <t>高確率でお邪魔パネルをドロップ+
緑属性のユニットのCパネル生成延長(効果特大)</t>
    <phoneticPr fontId="5"/>
  </si>
  <si>
    <t>シェイクスピアの1ゲージ目は定期的に
ダメージパネルとお邪魔パネル吸収攻撃を
使用します</t>
    <phoneticPr fontId="5"/>
  </si>
  <si>
    <t>ヴェルサイユはHPが50%以下になると
お邪魔パネル変換を使用します</t>
    <phoneticPr fontId="5"/>
  </si>
  <si>
    <t>マンモンはHPが50%以下になると
ダメージパネル変換を使用します</t>
    <phoneticPr fontId="5"/>
  </si>
  <si>
    <t>シェイクスピアの2ゲージ目で変換される
ダメージパネルはとても強力です
未対策で処理をすると大ダメージを
受けるので注意しましょう</t>
    <phoneticPr fontId="5"/>
  </si>
  <si>
    <t>シェイクスピアの2ゲージ目で変換される
ダメージパネルはとても強力です
未対策で処理をすると大ダメージを
受けるので注意しましょう</t>
    <phoneticPr fontId="5"/>
  </si>
  <si>
    <t>1フロア目ではエネミーが
一体倒される度に
残りのエネミーが強化されます</t>
    <phoneticPr fontId="5"/>
  </si>
  <si>
    <t>1フロア目ではエネミーが
一体倒される度に
残りのエネミーが強化されます</t>
    <phoneticPr fontId="5"/>
  </si>
  <si>
    <t>[effect:enemy_message, val1:1.5, val2:1.8],[effect:force_change_block, new_block:jammer, target:block_all, ignore01:block_positive, ignore02:block_negative, count:10, val:0],[effect:spread, val:0.2]</t>
  </si>
  <si>
    <t>[effect:force_change_block, new_block:jammer, target:block_all, ignore01:block_positive, ignore02:block_negative, count:10, val:0],[effect:spread, val:0.2]</t>
  </si>
  <si>
    <t>[effect:force_change_block, new_block:damage, target:block_all, ignore01:block_positive, ignore02:block_negative, count:5, val:0.15],[effect:spread, val:0.2]</t>
  </si>
  <si>
    <t>[effect:force_change_block, new_block:damage, target:block_all, ignore01:block_positive, ignore02:block_negative, count:5, val:0.15],[effect:spread, val:0.25]</t>
  </si>
  <si>
    <t xml:space="preserve">[effect:enemy_message, val1:1.0, val2:2.5],[effect:force_change_block, new_block:damage, target:block_all, ignore01:block_positive, ignore02:block_negative, count:1, val:0.9],[effect:rush, count:1, val:0.5]    </t>
  </si>
  <si>
    <t>[effect:force_change_block, new_block:damage, target:block_all, ignore01:block_positive, ignore02:block_negative, color:block_red, count:2, val:0.1],[effect:force_change_block, new_block:damage, target:block_all, ignore01:block_positive, ignore02:block_negative, color:block_green, count:2, val:0.1],[effect:force_change_block, new_block:damage, target:block_all, ignore01:block_positive, ignore02:block_negative, color:block_blue, count:2, val:0.1],[effect:force_change_block, new_block:damage, target:block_all, ignore01:block_positive, ignore02:block_negative, color:block_yellow, count:2, val:0.1],[effect:force_change_block, new_block:damage, target:block_all, ignore01:block_positive, ignore02:block_negative, color:block_heart, count:2, val:0.1]</t>
  </si>
  <si>
    <t>[effect:force_change_block, new_block:jammer, target:block_all, ignore01:block_positive, ignore02:block_negative, count:3, val:0],[effect:spread, val:0.2]</t>
    <phoneticPr fontId="5"/>
  </si>
  <si>
    <t>[effect:force_change_block, new_block:damage, target:block_all, ignore01:block_positive, ignore02:block_negative, count:3, val:0.1],[effect:spread, val:0.2]</t>
    <phoneticPr fontId="5"/>
  </si>
  <si>
    <t>[effect:enemy_message, val1:1.5, val2:1.8],[effect:force_change_block, new_block:jammer, target:block_all, ignore01:block_positive, ignore02:block_negative, count:5, val:0],[effect:spread, val:0.2]</t>
    <phoneticPr fontId="5"/>
  </si>
  <si>
    <t>[effect:force_change_block, new_block:damage, target:block_all, ignore01:block_positive, ignore02:block_negative, count:3, val:0.15],[effect:spread, val:0.15]</t>
    <phoneticPr fontId="5"/>
  </si>
  <si>
    <t xml:space="preserve">[effect:enemy_message, val1:1.0, val2:2.5],[effect:force_change_block, new_block:damage, target:block_all, ignore01:block_positive, ignore02:block_negative, count:1, val:0.6],[effect:rush, count:1, val:0.5]    </t>
    <phoneticPr fontId="5"/>
  </si>
  <si>
    <t xml:space="preserve">[effect:enemy_message, val1:1.0, val2:2.5],[effect:force_change_block, new_block:damage, target:block_all, ignore01:block_positive, ignore02:block_negative, count:1, val:0.6],[effect:rush, count:1, val:0.5]    </t>
    <phoneticPr fontId="5"/>
  </si>
  <si>
    <t xml:space="preserve">[effect:enemy_message, val1:1.0, val2:2.5],[effect:force_change_block, new_block:damage, target:block_all, ignore01:block_positive, ignore02:block_negative, count:1, val:0.6],[effect:rush, count:1, val:0.5]    </t>
    <phoneticPr fontId="5"/>
  </si>
  <si>
    <t>[effect:force_change_block, new_block:damage, target:block_all, ignore01:block_positive, ignore02:block_negative, color:block_red, count:1, val:0.05],[effect:force_change_block, new_block:damage, target:block_all, ignore01:block_positive, ignore02:block_negative, color:block_green, count:1, val:0.05],[effect:force_change_block, new_block:damage, target:block_all, ignore01:block_positive, ignore02:block_negative, color:block_blue, count:1, val:0.05],[effect:force_change_block, new_block:damage, target:block_all, ignore01:block_positive, ignore02:block_negative, color:block_yellow, count:1, val:0.05],[effect:force_change_block, new_block:damage, target:block_all, ignore01:block_positive, ignore02:block_negative, color:block_heart, count:1, val:0.05]</t>
    <phoneticPr fontId="5"/>
  </si>
  <si>
    <t>[effect:force_change_block, new_block:damage, target:block_all, ignore01:block_positive, ignore02:block_negative, color:block_red, count:1, val:0.05],[effect:force_change_block, new_block:damage, target:block_all, ignore01:block_positive, ignore02:block_negative, color:block_green, count:1, val:0.05],[effect:force_change_block, new_block:damage, target:block_all, ignore01:block_positive, ignore02:block_negative, color:block_blue, count:1, val:0.05],[effect:force_change_block, new_block:damage, target:block_all, ignore01:block_positive, ignore02:block_negative, color:block_yellow, count:1, val:0.05],[effect:force_change_block, new_block:damage, target:block_all, ignore01:block_positive, ignore02:block_negative, color:block_heart, count:1, val:0.05]</t>
    <phoneticPr fontId="5"/>
  </si>
  <si>
    <t>[effect:enemy_message, val1:2.0, val2:2.3],[effect:force_change_block, new_block:jammer, target:block_all, ignore01:damage, count:0, val:0, animation:change_block]</t>
    <phoneticPr fontId="5"/>
  </si>
  <si>
    <t>[effect:enemy_message, val1:2.0, val2:2.3],[effect:force_change_block, new_block:jammer, target:block_all, ignore01:damage, count:0, val:0, animation:change_block]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</si>
</sst>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4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13" borderId="3" xfId="0" applyFont="1" applyFill="1" applyBorder="1" applyAlignment="1">
      <alignment vertical="center"/>
    </xf>
    <xf numFmtId="0" fontId="4" fillId="13" borderId="5" xfId="0" applyFont="1" applyFill="1" applyBorder="1" applyAlignment="1">
      <alignment vertical="center"/>
    </xf>
    <xf numFmtId="0" fontId="4" fillId="13" borderId="1" xfId="0" applyFont="1" applyFill="1" applyBorder="1" applyAlignment="1">
      <alignment horizontal="center" vertical="center"/>
    </xf>
    <xf numFmtId="0" fontId="6" fillId="32" borderId="3" xfId="0" applyFont="1" applyFill="1" applyBorder="1" applyAlignment="1">
      <alignment vertical="center"/>
    </xf>
    <xf numFmtId="0" fontId="4" fillId="13" borderId="7" xfId="0" applyFont="1" applyFill="1" applyBorder="1" applyAlignment="1">
      <alignment horizontal="center" vertical="center"/>
    </xf>
    <xf numFmtId="0" fontId="6" fillId="13" borderId="7" xfId="0" applyFont="1" applyFill="1" applyBorder="1" applyAlignment="1">
      <alignment vertical="center"/>
    </xf>
    <xf numFmtId="0" fontId="6" fillId="32" borderId="9" xfId="0" applyFont="1" applyFill="1" applyBorder="1" applyAlignment="1">
      <alignment vertical="center"/>
    </xf>
    <xf numFmtId="0" fontId="8" fillId="13" borderId="4" xfId="0" applyFont="1" applyFill="1" applyBorder="1" applyAlignment="1">
      <alignment vertical="center"/>
    </xf>
    <xf numFmtId="177" fontId="8" fillId="13" borderId="4" xfId="0" applyNumberFormat="1" applyFont="1" applyFill="1" applyBorder="1" applyAlignment="1">
      <alignment vertical="center"/>
    </xf>
    <xf numFmtId="0" fontId="6" fillId="0" borderId="9" xfId="0" applyFont="1" applyFill="1" applyBorder="1" applyAlignment="1">
      <alignment vertical="center"/>
    </xf>
    <xf numFmtId="0" fontId="6" fillId="13" borderId="9" xfId="0" applyFont="1" applyFill="1" applyBorder="1" applyAlignment="1">
      <alignment vertical="center"/>
    </xf>
    <xf numFmtId="0" fontId="4" fillId="13" borderId="6" xfId="0" applyFont="1" applyFill="1" applyBorder="1" applyAlignment="1">
      <alignment vertical="center"/>
    </xf>
    <xf numFmtId="0" fontId="6" fillId="0" borderId="11" xfId="0" applyFont="1" applyFill="1" applyBorder="1" applyAlignment="1">
      <alignment vertical="center"/>
    </xf>
    <xf numFmtId="0" fontId="6" fillId="13" borderId="11" xfId="0" applyFont="1" applyFill="1" applyBorder="1" applyAlignment="1">
      <alignment vertical="center"/>
    </xf>
    <xf numFmtId="0" fontId="6" fillId="34" borderId="3" xfId="0" applyFont="1" applyFill="1" applyBorder="1" applyAlignment="1">
      <alignment vertical="center"/>
    </xf>
    <xf numFmtId="0" fontId="16" fillId="0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6" borderId="2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horizontal="left" vertical="center" wrapText="1"/>
    </xf>
    <xf numFmtId="0" fontId="16" fillId="0" borderId="23" xfId="0" applyFont="1" applyFill="1" applyBorder="1" applyAlignment="1">
      <alignment horizontal="left" vertical="center"/>
    </xf>
    <xf numFmtId="0" fontId="16" fillId="0" borderId="23" xfId="0" applyFont="1" applyFill="1" applyBorder="1" applyAlignment="1">
      <alignment horizontal="left" vertical="center" wrapText="1"/>
    </xf>
    <xf numFmtId="0" fontId="16" fillId="33" borderId="12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0" borderId="2" xfId="0" applyFont="1" applyFill="1" applyBorder="1" applyAlignment="1">
      <alignment horizontal="left" vertical="center"/>
    </xf>
    <xf numFmtId="0" fontId="6" fillId="0" borderId="26" xfId="0" applyFont="1" applyFill="1" applyBorder="1" applyAlignment="1">
      <alignment vertical="center"/>
    </xf>
    <xf numFmtId="0" fontId="6" fillId="0" borderId="27" xfId="0" applyFont="1" applyFill="1" applyBorder="1" applyAlignment="1">
      <alignment vertical="center"/>
    </xf>
    <xf numFmtId="0" fontId="16" fillId="3" borderId="2" xfId="0" applyFont="1" applyFill="1" applyBorder="1" applyAlignment="1">
      <alignment vertical="center"/>
    </xf>
    <xf numFmtId="0" fontId="16" fillId="3" borderId="23" xfId="0" applyFont="1" applyFill="1" applyBorder="1" applyAlignment="1">
      <alignment vertical="center"/>
    </xf>
    <xf numFmtId="0" fontId="6" fillId="0" borderId="25" xfId="0" applyFont="1" applyFill="1" applyBorder="1" applyAlignment="1">
      <alignment vertical="center"/>
    </xf>
    <xf numFmtId="0" fontId="16" fillId="0" borderId="7" xfId="0" applyFont="1" applyFill="1" applyBorder="1" applyAlignment="1">
      <alignment vertical="center" wrapText="1"/>
    </xf>
    <xf numFmtId="0" fontId="0" fillId="0" borderId="7" xfId="0" applyFill="1" applyBorder="1"/>
    <xf numFmtId="0" fontId="16" fillId="13" borderId="7" xfId="0" applyFont="1" applyFill="1" applyBorder="1" applyAlignment="1">
      <alignment horizontal="left" vertical="center" wrapText="1"/>
    </xf>
    <xf numFmtId="0" fontId="27" fillId="13" borderId="7" xfId="0" applyFont="1" applyFill="1" applyBorder="1"/>
    <xf numFmtId="0" fontId="28" fillId="13" borderId="7" xfId="0" applyFont="1" applyFill="1" applyBorder="1"/>
    <xf numFmtId="0" fontId="29" fillId="13" borderId="12" xfId="0" applyFont="1" applyFill="1" applyBorder="1" applyAlignment="1">
      <alignment vertical="center"/>
    </xf>
    <xf numFmtId="0" fontId="30" fillId="13" borderId="7" xfId="0" applyFont="1" applyFill="1" applyBorder="1"/>
    <xf numFmtId="0" fontId="31" fillId="13" borderId="7" xfId="0" applyFont="1" applyFill="1" applyBorder="1"/>
    <xf numFmtId="38" fontId="16" fillId="13" borderId="7" xfId="628" applyFont="1" applyFill="1" applyBorder="1" applyAlignment="1">
      <alignment wrapText="1"/>
    </xf>
    <xf numFmtId="38" fontId="16" fillId="0" borderId="7" xfId="628" applyFont="1" applyFill="1" applyBorder="1" applyAlignment="1">
      <alignment wrapText="1"/>
    </xf>
    <xf numFmtId="0" fontId="16" fillId="33" borderId="28" xfId="0" applyFont="1" applyFill="1" applyBorder="1" applyAlignment="1">
      <alignment vertical="center"/>
    </xf>
    <xf numFmtId="0" fontId="16" fillId="33" borderId="29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40045</v>
          </cell>
        </row>
        <row r="238">
          <cell r="A238">
            <v>48001</v>
          </cell>
        </row>
        <row r="239">
          <cell r="A239">
            <v>48002</v>
          </cell>
        </row>
        <row r="240">
          <cell r="A240">
            <v>48003</v>
          </cell>
        </row>
        <row r="241">
          <cell r="A241">
            <v>48004</v>
          </cell>
        </row>
        <row r="242">
          <cell r="A242">
            <v>48005</v>
          </cell>
        </row>
        <row r="243">
          <cell r="A243">
            <v>48006</v>
          </cell>
        </row>
        <row r="244">
          <cell r="A244">
            <v>48007</v>
          </cell>
        </row>
        <row r="245">
          <cell r="A245">
            <v>48008</v>
          </cell>
        </row>
        <row r="246">
          <cell r="A246">
            <v>48009</v>
          </cell>
        </row>
        <row r="247">
          <cell r="A247">
            <v>48010</v>
          </cell>
        </row>
        <row r="248">
          <cell r="A248">
            <v>48011</v>
          </cell>
        </row>
        <row r="249">
          <cell r="A249">
            <v>48012</v>
          </cell>
        </row>
        <row r="250">
          <cell r="A250">
            <v>48501</v>
          </cell>
        </row>
        <row r="251">
          <cell r="A251">
            <v>48502</v>
          </cell>
        </row>
        <row r="252">
          <cell r="A252">
            <v>48701</v>
          </cell>
        </row>
        <row r="253">
          <cell r="A253">
            <v>48702</v>
          </cell>
        </row>
        <row r="254">
          <cell r="A254">
            <v>41001</v>
          </cell>
        </row>
        <row r="255">
          <cell r="A255">
            <v>41002</v>
          </cell>
        </row>
        <row r="256">
          <cell r="A256">
            <v>41003</v>
          </cell>
        </row>
        <row r="257">
          <cell r="A257">
            <v>41004</v>
          </cell>
        </row>
        <row r="258">
          <cell r="A258">
            <v>41005</v>
          </cell>
        </row>
        <row r="259">
          <cell r="A259">
            <v>41006</v>
          </cell>
        </row>
        <row r="260">
          <cell r="A260">
            <v>41007</v>
          </cell>
        </row>
        <row r="261">
          <cell r="A261">
            <v>41008</v>
          </cell>
        </row>
        <row r="262">
          <cell r="A262">
            <v>41009</v>
          </cell>
        </row>
        <row r="263">
          <cell r="A263">
            <v>41010</v>
          </cell>
        </row>
        <row r="264">
          <cell r="A264">
            <v>41011</v>
          </cell>
        </row>
        <row r="265">
          <cell r="A265">
            <v>41012</v>
          </cell>
        </row>
        <row r="266">
          <cell r="A266">
            <v>41013</v>
          </cell>
        </row>
        <row r="267">
          <cell r="A267">
            <v>41014</v>
          </cell>
        </row>
        <row r="268">
          <cell r="A268">
            <v>41015</v>
          </cell>
        </row>
        <row r="269">
          <cell r="A269">
            <v>47001</v>
          </cell>
        </row>
        <row r="270">
          <cell r="A270">
            <v>47002</v>
          </cell>
        </row>
        <row r="271">
          <cell r="A271">
            <v>47003</v>
          </cell>
        </row>
        <row r="272">
          <cell r="A272">
            <v>47004</v>
          </cell>
        </row>
        <row r="273">
          <cell r="A273">
            <v>47005</v>
          </cell>
        </row>
        <row r="274">
          <cell r="A274">
            <v>47006</v>
          </cell>
        </row>
        <row r="275">
          <cell r="A275">
            <v>47007</v>
          </cell>
        </row>
        <row r="276">
          <cell r="A276">
            <v>47008</v>
          </cell>
        </row>
        <row r="277">
          <cell r="A277">
            <v>47009</v>
          </cell>
        </row>
        <row r="278">
          <cell r="A278">
            <v>47010</v>
          </cell>
        </row>
        <row r="279">
          <cell r="A279">
            <v>47011</v>
          </cell>
        </row>
        <row r="280">
          <cell r="A280">
            <v>47012</v>
          </cell>
        </row>
        <row r="281">
          <cell r="A281">
            <v>49001</v>
          </cell>
        </row>
        <row r="282">
          <cell r="A282">
            <v>49002</v>
          </cell>
        </row>
        <row r="283">
          <cell r="A283">
            <v>49003</v>
          </cell>
        </row>
        <row r="284">
          <cell r="A284">
            <v>49004</v>
          </cell>
        </row>
        <row r="285">
          <cell r="A285">
            <v>49005</v>
          </cell>
        </row>
        <row r="286">
          <cell r="A286">
            <v>49006</v>
          </cell>
        </row>
        <row r="287">
          <cell r="A287">
            <v>49007</v>
          </cell>
        </row>
        <row r="288">
          <cell r="A288">
            <v>49008</v>
          </cell>
        </row>
        <row r="289">
          <cell r="A289">
            <v>49009</v>
          </cell>
        </row>
        <row r="290">
          <cell r="A290">
            <v>49010</v>
          </cell>
        </row>
        <row r="291">
          <cell r="A291">
            <v>49011</v>
          </cell>
        </row>
        <row r="292">
          <cell r="A292">
            <v>49012</v>
          </cell>
        </row>
        <row r="293">
          <cell r="A293">
            <v>49013</v>
          </cell>
        </row>
        <row r="294">
          <cell r="A294">
            <v>49014</v>
          </cell>
        </row>
        <row r="295">
          <cell r="A295">
            <v>49015</v>
          </cell>
        </row>
        <row r="296">
          <cell r="A296">
            <v>50001</v>
          </cell>
        </row>
        <row r="297">
          <cell r="A297">
            <v>50002</v>
          </cell>
        </row>
        <row r="298">
          <cell r="A298">
            <v>50003</v>
          </cell>
        </row>
        <row r="299">
          <cell r="A299">
            <v>50004</v>
          </cell>
        </row>
        <row r="300">
          <cell r="A300">
            <v>50005</v>
          </cell>
        </row>
        <row r="301">
          <cell r="A301">
            <v>50006</v>
          </cell>
        </row>
        <row r="302">
          <cell r="A302">
            <v>50007</v>
          </cell>
        </row>
        <row r="303">
          <cell r="A303">
            <v>50008</v>
          </cell>
        </row>
        <row r="304">
          <cell r="A304">
            <v>50009</v>
          </cell>
        </row>
        <row r="305">
          <cell r="A305">
            <v>50010</v>
          </cell>
        </row>
        <row r="306">
          <cell r="A306">
            <v>50011</v>
          </cell>
        </row>
        <row r="307">
          <cell r="A307">
            <v>50012</v>
          </cell>
        </row>
        <row r="308">
          <cell r="A308">
            <v>50013</v>
          </cell>
        </row>
        <row r="309">
          <cell r="A309">
            <v>50014</v>
          </cell>
        </row>
        <row r="310">
          <cell r="A310">
            <v>50015</v>
          </cell>
        </row>
        <row r="311">
          <cell r="A311">
            <v>51001</v>
          </cell>
        </row>
        <row r="312">
          <cell r="A312">
            <v>51002</v>
          </cell>
        </row>
        <row r="313">
          <cell r="A313">
            <v>58001</v>
          </cell>
        </row>
        <row r="314">
          <cell r="A314">
            <v>59001</v>
          </cell>
        </row>
        <row r="315">
          <cell r="A315">
            <v>59002</v>
          </cell>
        </row>
        <row r="316">
          <cell r="A316">
            <v>60001</v>
          </cell>
        </row>
        <row r="317">
          <cell r="A317">
            <v>60002</v>
          </cell>
        </row>
        <row r="318">
          <cell r="A318">
            <v>60003</v>
          </cell>
        </row>
        <row r="319">
          <cell r="A319">
            <v>60004</v>
          </cell>
        </row>
        <row r="320">
          <cell r="A320">
            <v>60005</v>
          </cell>
        </row>
        <row r="321">
          <cell r="A321">
            <v>60006</v>
          </cell>
        </row>
        <row r="322">
          <cell r="A322">
            <v>60007</v>
          </cell>
        </row>
        <row r="323">
          <cell r="A323">
            <v>60010</v>
          </cell>
        </row>
        <row r="324">
          <cell r="A324">
            <v>60011</v>
          </cell>
        </row>
        <row r="325">
          <cell r="A325">
            <v>61011</v>
          </cell>
        </row>
        <row r="326">
          <cell r="A326">
            <v>60012</v>
          </cell>
        </row>
        <row r="327">
          <cell r="A327">
            <v>60013</v>
          </cell>
        </row>
        <row r="328">
          <cell r="A328">
            <v>60014</v>
          </cell>
        </row>
        <row r="329">
          <cell r="A329">
            <v>60015</v>
          </cell>
        </row>
        <row r="330">
          <cell r="A330">
            <v>60016</v>
          </cell>
        </row>
        <row r="331">
          <cell r="A331">
            <v>60017</v>
          </cell>
        </row>
        <row r="332">
          <cell r="A332">
            <v>60018</v>
          </cell>
        </row>
        <row r="333">
          <cell r="A333">
            <v>60019</v>
          </cell>
        </row>
        <row r="334">
          <cell r="A334">
            <v>60020</v>
          </cell>
        </row>
        <row r="335">
          <cell r="A335">
            <v>60025</v>
          </cell>
        </row>
        <row r="336">
          <cell r="A336">
            <v>60026</v>
          </cell>
        </row>
        <row r="337">
          <cell r="A337">
            <v>60027</v>
          </cell>
        </row>
        <row r="338">
          <cell r="A338">
            <v>60028</v>
          </cell>
        </row>
        <row r="339">
          <cell r="A339">
            <v>60029</v>
          </cell>
        </row>
        <row r="340">
          <cell r="A340">
            <v>65523</v>
          </cell>
        </row>
        <row r="341">
          <cell r="A341">
            <v>65524</v>
          </cell>
        </row>
        <row r="342">
          <cell r="A342">
            <v>65525</v>
          </cell>
        </row>
        <row r="343">
          <cell r="A343">
            <v>65526</v>
          </cell>
        </row>
        <row r="344">
          <cell r="A344">
            <v>65527</v>
          </cell>
        </row>
        <row r="345">
          <cell r="A345">
            <v>65528</v>
          </cell>
        </row>
        <row r="346">
          <cell r="A346">
            <v>65529</v>
          </cell>
        </row>
        <row r="347">
          <cell r="A347">
            <v>65530</v>
          </cell>
        </row>
        <row r="348">
          <cell r="A348">
            <v>65531</v>
          </cell>
        </row>
        <row r="349">
          <cell r="A349">
            <v>65532</v>
          </cell>
        </row>
        <row r="350">
          <cell r="A350">
            <v>65533</v>
          </cell>
        </row>
        <row r="351">
          <cell r="A351">
            <v>65534</v>
          </cell>
        </row>
        <row r="352">
          <cell r="A352">
            <v>65535</v>
          </cell>
        </row>
        <row r="353">
          <cell r="A353">
            <v>60021</v>
          </cell>
        </row>
        <row r="354">
          <cell r="A354">
            <v>60022</v>
          </cell>
        </row>
        <row r="355">
          <cell r="A355">
            <v>60023</v>
          </cell>
        </row>
        <row r="356">
          <cell r="A356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40045_1</v>
          </cell>
        </row>
        <row r="794">
          <cell r="A794" t="str">
            <v>40045_2</v>
          </cell>
        </row>
        <row r="795">
          <cell r="A795" t="str">
            <v>41001_1</v>
          </cell>
        </row>
        <row r="796">
          <cell r="A796" t="str">
            <v>41001_2</v>
          </cell>
        </row>
        <row r="797">
          <cell r="A797" t="str">
            <v>41001_3</v>
          </cell>
        </row>
        <row r="798">
          <cell r="A798" t="str">
            <v>41002_1</v>
          </cell>
        </row>
        <row r="799">
          <cell r="A799" t="str">
            <v>41002_2</v>
          </cell>
        </row>
        <row r="800">
          <cell r="A800" t="str">
            <v>41002_3</v>
          </cell>
        </row>
        <row r="801">
          <cell r="A801" t="str">
            <v>41003_1</v>
          </cell>
        </row>
        <row r="802">
          <cell r="A802" t="str">
            <v>41003_2</v>
          </cell>
        </row>
        <row r="803">
          <cell r="A803" t="str">
            <v>41003_3</v>
          </cell>
        </row>
        <row r="804">
          <cell r="A804" t="str">
            <v>41004_1</v>
          </cell>
        </row>
        <row r="805">
          <cell r="A805" t="str">
            <v>41004_2</v>
          </cell>
        </row>
        <row r="806">
          <cell r="A806" t="str">
            <v>41004_3</v>
          </cell>
        </row>
        <row r="807">
          <cell r="A807" t="str">
            <v>41005_1</v>
          </cell>
        </row>
        <row r="808">
          <cell r="A808" t="str">
            <v>41005_2</v>
          </cell>
        </row>
        <row r="809">
          <cell r="A809" t="str">
            <v>41005_3</v>
          </cell>
        </row>
        <row r="810">
          <cell r="A810" t="str">
            <v>41006_1</v>
          </cell>
        </row>
        <row r="811">
          <cell r="A811" t="str">
            <v>41006_2</v>
          </cell>
        </row>
        <row r="812">
          <cell r="A812" t="str">
            <v>41006_3</v>
          </cell>
        </row>
        <row r="813">
          <cell r="A813" t="str">
            <v>41007_1</v>
          </cell>
        </row>
        <row r="814">
          <cell r="A814" t="str">
            <v>41007_2</v>
          </cell>
        </row>
        <row r="815">
          <cell r="A815" t="str">
            <v>41007_3</v>
          </cell>
        </row>
        <row r="816">
          <cell r="A816" t="str">
            <v>41008_1</v>
          </cell>
        </row>
        <row r="817">
          <cell r="A817" t="str">
            <v>41008_2</v>
          </cell>
        </row>
        <row r="818">
          <cell r="A818" t="str">
            <v>41008_3</v>
          </cell>
        </row>
        <row r="819">
          <cell r="A819" t="str">
            <v>41009_1</v>
          </cell>
        </row>
        <row r="820">
          <cell r="A820" t="str">
            <v>41009_2</v>
          </cell>
        </row>
        <row r="821">
          <cell r="A821" t="str">
            <v>41009_3</v>
          </cell>
        </row>
        <row r="822">
          <cell r="A822" t="str">
            <v>41010_1</v>
          </cell>
        </row>
        <row r="823">
          <cell r="A823" t="str">
            <v>41010_2</v>
          </cell>
        </row>
        <row r="824">
          <cell r="A824" t="str">
            <v>41010_3</v>
          </cell>
        </row>
        <row r="825">
          <cell r="A825" t="str">
            <v>41011_1</v>
          </cell>
        </row>
        <row r="826">
          <cell r="A826" t="str">
            <v>41011_2</v>
          </cell>
        </row>
        <row r="827">
          <cell r="A827" t="str">
            <v>41012_1</v>
          </cell>
        </row>
        <row r="828">
          <cell r="A828" t="str">
            <v>41012_2</v>
          </cell>
        </row>
        <row r="829">
          <cell r="A829" t="str">
            <v>41013_1</v>
          </cell>
        </row>
        <row r="830">
          <cell r="A830" t="str">
            <v>41013_2</v>
          </cell>
        </row>
        <row r="831">
          <cell r="A831" t="str">
            <v>41014_1</v>
          </cell>
        </row>
        <row r="832">
          <cell r="A832" t="str">
            <v>41014_2</v>
          </cell>
        </row>
        <row r="833">
          <cell r="A833" t="str">
            <v>41015_1</v>
          </cell>
        </row>
        <row r="834">
          <cell r="A834" t="str">
            <v>41015_2</v>
          </cell>
        </row>
        <row r="835">
          <cell r="A835" t="str">
            <v>47001_1</v>
          </cell>
        </row>
        <row r="836">
          <cell r="A836" t="str">
            <v>47001_2</v>
          </cell>
        </row>
        <row r="837">
          <cell r="A837" t="str">
            <v>47002_1</v>
          </cell>
        </row>
        <row r="838">
          <cell r="A838" t="str">
            <v>47002_2</v>
          </cell>
        </row>
        <row r="839">
          <cell r="A839" t="str">
            <v>47003_1</v>
          </cell>
        </row>
        <row r="840">
          <cell r="A840" t="str">
            <v>47003_2</v>
          </cell>
        </row>
        <row r="841">
          <cell r="A841" t="str">
            <v>47003_3</v>
          </cell>
        </row>
        <row r="842">
          <cell r="A842" t="str">
            <v>47003_4</v>
          </cell>
        </row>
        <row r="843">
          <cell r="A843" t="str">
            <v>47004_1</v>
          </cell>
        </row>
        <row r="844">
          <cell r="A844" t="str">
            <v>47004_2</v>
          </cell>
        </row>
        <row r="845">
          <cell r="A845" t="str">
            <v>47004_3</v>
          </cell>
        </row>
        <row r="846">
          <cell r="A846" t="str">
            <v>47004_4</v>
          </cell>
        </row>
        <row r="847">
          <cell r="A847" t="str">
            <v>47005_1</v>
          </cell>
        </row>
        <row r="848">
          <cell r="A848" t="str">
            <v>47006_1</v>
          </cell>
        </row>
        <row r="849">
          <cell r="A849" t="str">
            <v>47006_2</v>
          </cell>
        </row>
        <row r="850">
          <cell r="A850" t="str">
            <v>47007_1</v>
          </cell>
        </row>
        <row r="851">
          <cell r="A851" t="str">
            <v>47007_2</v>
          </cell>
        </row>
        <row r="852">
          <cell r="A852" t="str">
            <v>47008_1</v>
          </cell>
        </row>
        <row r="853">
          <cell r="A853" t="str">
            <v>47008_2</v>
          </cell>
        </row>
        <row r="854">
          <cell r="A854" t="str">
            <v>47009_1</v>
          </cell>
        </row>
        <row r="855">
          <cell r="A855" t="str">
            <v>47009_2</v>
          </cell>
        </row>
        <row r="856">
          <cell r="A856" t="str">
            <v>47010_1</v>
          </cell>
        </row>
        <row r="857">
          <cell r="A857" t="str">
            <v>47010_2</v>
          </cell>
        </row>
        <row r="858">
          <cell r="A858" t="str">
            <v>47011_1</v>
          </cell>
        </row>
        <row r="859">
          <cell r="A859" t="str">
            <v>47012_1</v>
          </cell>
        </row>
        <row r="860">
          <cell r="A860" t="str">
            <v>47012_2</v>
          </cell>
        </row>
        <row r="861">
          <cell r="A861" t="str">
            <v>48001_1</v>
          </cell>
        </row>
        <row r="862">
          <cell r="A862" t="str">
            <v>48002_1</v>
          </cell>
        </row>
        <row r="863">
          <cell r="A863" t="str">
            <v>48002_2</v>
          </cell>
        </row>
        <row r="864">
          <cell r="A864" t="str">
            <v>48002_3</v>
          </cell>
        </row>
        <row r="865">
          <cell r="A865" t="str">
            <v>48003_1</v>
          </cell>
        </row>
        <row r="866">
          <cell r="A866" t="str">
            <v>48003_2</v>
          </cell>
        </row>
        <row r="867">
          <cell r="A867" t="str">
            <v>48004_1</v>
          </cell>
        </row>
        <row r="868">
          <cell r="A868" t="str">
            <v>48004_2</v>
          </cell>
        </row>
        <row r="869">
          <cell r="A869" t="str">
            <v>48005_1</v>
          </cell>
        </row>
        <row r="870">
          <cell r="A870" t="str">
            <v>48005_2</v>
          </cell>
        </row>
        <row r="871">
          <cell r="A871" t="str">
            <v>48006_1</v>
          </cell>
        </row>
        <row r="872">
          <cell r="A872" t="str">
            <v>48006_2</v>
          </cell>
        </row>
        <row r="873">
          <cell r="A873" t="str">
            <v>48007_1</v>
          </cell>
        </row>
        <row r="874">
          <cell r="A874" t="str">
            <v>48007_2</v>
          </cell>
        </row>
        <row r="875">
          <cell r="A875" t="str">
            <v>48008_1</v>
          </cell>
        </row>
        <row r="876">
          <cell r="A876" t="str">
            <v>48008_2</v>
          </cell>
        </row>
        <row r="877">
          <cell r="A877" t="str">
            <v>48009_1</v>
          </cell>
        </row>
        <row r="878">
          <cell r="A878" t="str">
            <v>48009_2</v>
          </cell>
        </row>
        <row r="879">
          <cell r="A879" t="str">
            <v>48010_1</v>
          </cell>
        </row>
        <row r="880">
          <cell r="A880" t="str">
            <v>48011_1</v>
          </cell>
        </row>
        <row r="881">
          <cell r="A881" t="str">
            <v>48011_2</v>
          </cell>
        </row>
        <row r="882">
          <cell r="A882" t="str">
            <v>48012_1</v>
          </cell>
        </row>
        <row r="883">
          <cell r="A883" t="str">
            <v>48012_2</v>
          </cell>
        </row>
        <row r="884">
          <cell r="A884" t="str">
            <v>48501_1</v>
          </cell>
        </row>
        <row r="885">
          <cell r="A885" t="str">
            <v>48501_2</v>
          </cell>
        </row>
        <row r="886">
          <cell r="A886" t="str">
            <v>48502_1</v>
          </cell>
        </row>
        <row r="887">
          <cell r="A887" t="str">
            <v>48502_2</v>
          </cell>
        </row>
        <row r="888">
          <cell r="A888" t="str">
            <v>48701_1</v>
          </cell>
        </row>
        <row r="889">
          <cell r="A889" t="str">
            <v>48701_2</v>
          </cell>
        </row>
        <row r="890">
          <cell r="A890" t="str">
            <v>48702_1</v>
          </cell>
        </row>
        <row r="891">
          <cell r="A891" t="str">
            <v>48702_2</v>
          </cell>
        </row>
        <row r="892">
          <cell r="A892" t="str">
            <v>49001_1</v>
          </cell>
        </row>
        <row r="893">
          <cell r="A893" t="str">
            <v>49002_1</v>
          </cell>
        </row>
        <row r="894">
          <cell r="A894" t="str">
            <v>49002_2</v>
          </cell>
        </row>
        <row r="895">
          <cell r="A895" t="str">
            <v>49003_1</v>
          </cell>
        </row>
        <row r="896">
          <cell r="A896" t="str">
            <v>49003_2</v>
          </cell>
        </row>
        <row r="897">
          <cell r="A897" t="str">
            <v>49004_1</v>
          </cell>
        </row>
        <row r="898">
          <cell r="A898" t="str">
            <v>49004_2</v>
          </cell>
        </row>
        <row r="899">
          <cell r="A899" t="str">
            <v>49004_3</v>
          </cell>
        </row>
        <row r="900">
          <cell r="A900" t="str">
            <v>49005_1</v>
          </cell>
        </row>
        <row r="901">
          <cell r="A901" t="str">
            <v>49006_1</v>
          </cell>
        </row>
        <row r="902">
          <cell r="A902" t="str">
            <v>49006_2</v>
          </cell>
        </row>
        <row r="903">
          <cell r="A903" t="str">
            <v>49007_1</v>
          </cell>
        </row>
        <row r="904">
          <cell r="A904" t="str">
            <v>49007_2</v>
          </cell>
        </row>
        <row r="905">
          <cell r="A905" t="str">
            <v>49007_3</v>
          </cell>
        </row>
        <row r="906">
          <cell r="A906" t="str">
            <v>49008_1</v>
          </cell>
        </row>
        <row r="907">
          <cell r="A907" t="str">
            <v>49009_1</v>
          </cell>
        </row>
        <row r="908">
          <cell r="A908" t="str">
            <v>49010_1</v>
          </cell>
        </row>
        <row r="909">
          <cell r="A909" t="str">
            <v>49011_1</v>
          </cell>
        </row>
        <row r="910">
          <cell r="A910" t="str">
            <v>49012_1</v>
          </cell>
        </row>
        <row r="911">
          <cell r="A911" t="str">
            <v>49013_1</v>
          </cell>
        </row>
        <row r="912">
          <cell r="A912" t="str">
            <v>49014_1</v>
          </cell>
        </row>
        <row r="913">
          <cell r="A913" t="str">
            <v>49014_2</v>
          </cell>
        </row>
        <row r="914">
          <cell r="A914" t="str">
            <v>49015_1</v>
          </cell>
        </row>
        <row r="915">
          <cell r="A915" t="str">
            <v>49015_2</v>
          </cell>
        </row>
        <row r="916">
          <cell r="A916" t="str">
            <v>49015_3</v>
          </cell>
        </row>
        <row r="917">
          <cell r="A917" t="str">
            <v>50001_1</v>
          </cell>
        </row>
        <row r="918">
          <cell r="A918" t="str">
            <v>50002_1</v>
          </cell>
        </row>
        <row r="919">
          <cell r="A919" t="str">
            <v>50003_1</v>
          </cell>
        </row>
        <row r="920">
          <cell r="A920" t="str">
            <v>50004_1</v>
          </cell>
        </row>
        <row r="921">
          <cell r="A921" t="str">
            <v>50005_1</v>
          </cell>
        </row>
        <row r="922">
          <cell r="A922" t="str">
            <v>50006_1</v>
          </cell>
        </row>
        <row r="923">
          <cell r="A923" t="str">
            <v>50007_1</v>
          </cell>
        </row>
        <row r="924">
          <cell r="A924" t="str">
            <v>50008_1</v>
          </cell>
        </row>
        <row r="925">
          <cell r="A925" t="str">
            <v>50009_1</v>
          </cell>
        </row>
        <row r="926">
          <cell r="A926" t="str">
            <v>50010_1</v>
          </cell>
        </row>
        <row r="927">
          <cell r="A927" t="str">
            <v>50011_1</v>
          </cell>
        </row>
        <row r="928">
          <cell r="A928" t="str">
            <v>50012_1</v>
          </cell>
        </row>
        <row r="929">
          <cell r="A929" t="str">
            <v>50013_1</v>
          </cell>
        </row>
        <row r="930">
          <cell r="A930" t="str">
            <v>50014_1</v>
          </cell>
        </row>
        <row r="931">
          <cell r="A931" t="str">
            <v>50015_1</v>
          </cell>
        </row>
        <row r="932">
          <cell r="A932" t="str">
            <v>51001_1</v>
          </cell>
        </row>
        <row r="933">
          <cell r="A933" t="str">
            <v>51002_1</v>
          </cell>
        </row>
        <row r="934">
          <cell r="A934" t="str">
            <v>58001_1</v>
          </cell>
        </row>
        <row r="935">
          <cell r="A935" t="str">
            <v>59001_1</v>
          </cell>
        </row>
        <row r="936">
          <cell r="A936" t="str">
            <v>59002_1</v>
          </cell>
        </row>
        <row r="937">
          <cell r="A937" t="str">
            <v>60001_1</v>
          </cell>
        </row>
        <row r="938">
          <cell r="A938" t="str">
            <v>60002_1</v>
          </cell>
        </row>
        <row r="939">
          <cell r="A939" t="str">
            <v>60002_2</v>
          </cell>
        </row>
        <row r="940">
          <cell r="A940" t="str">
            <v>60003_1</v>
          </cell>
        </row>
        <row r="941">
          <cell r="A941" t="str">
            <v>60003_2</v>
          </cell>
        </row>
        <row r="942">
          <cell r="A942" t="str">
            <v>60003_3</v>
          </cell>
        </row>
        <row r="943">
          <cell r="A943" t="str">
            <v>60004_1</v>
          </cell>
        </row>
        <row r="944">
          <cell r="A944" t="str">
            <v>60005_1</v>
          </cell>
        </row>
        <row r="945">
          <cell r="A945" t="str">
            <v>60006_1</v>
          </cell>
        </row>
        <row r="946">
          <cell r="A946" t="str">
            <v>60006_2</v>
          </cell>
        </row>
        <row r="947">
          <cell r="A947" t="str">
            <v>60006_3</v>
          </cell>
        </row>
        <row r="948">
          <cell r="A948" t="str">
            <v>60007_1</v>
          </cell>
        </row>
        <row r="949">
          <cell r="A949" t="str">
            <v>60007_2</v>
          </cell>
        </row>
        <row r="950">
          <cell r="A950" t="str">
            <v>60007_3</v>
          </cell>
        </row>
        <row r="951">
          <cell r="A951" t="str">
            <v>60010_1</v>
          </cell>
        </row>
        <row r="952">
          <cell r="A952" t="str">
            <v>60011_1</v>
          </cell>
        </row>
        <row r="953">
          <cell r="A953" t="str">
            <v>60011_2</v>
          </cell>
        </row>
        <row r="954">
          <cell r="A954" t="str">
            <v>60012_1</v>
          </cell>
        </row>
        <row r="955">
          <cell r="A955" t="str">
            <v>60013_1</v>
          </cell>
        </row>
        <row r="956">
          <cell r="A956" t="str">
            <v>60013_2</v>
          </cell>
        </row>
        <row r="957">
          <cell r="A957" t="str">
            <v>60013_3</v>
          </cell>
        </row>
        <row r="958">
          <cell r="A958" t="str">
            <v>60014_1</v>
          </cell>
        </row>
        <row r="959">
          <cell r="A959" t="str">
            <v>60015_1</v>
          </cell>
        </row>
        <row r="960">
          <cell r="A960" t="str">
            <v>60016_1</v>
          </cell>
        </row>
        <row r="961">
          <cell r="A961" t="str">
            <v>60017_1</v>
          </cell>
        </row>
        <row r="962">
          <cell r="A962" t="str">
            <v>60018_1</v>
          </cell>
        </row>
        <row r="963">
          <cell r="A963" t="str">
            <v>60019_1</v>
          </cell>
        </row>
        <row r="964">
          <cell r="A964" t="str">
            <v>60020_1</v>
          </cell>
        </row>
        <row r="965">
          <cell r="A965" t="str">
            <v>60021_3</v>
          </cell>
        </row>
        <row r="966">
          <cell r="A966" t="str">
            <v>60022_3</v>
          </cell>
        </row>
        <row r="967">
          <cell r="A967" t="str">
            <v>60023_3</v>
          </cell>
        </row>
        <row r="968">
          <cell r="A968" t="str">
            <v>60024_3</v>
          </cell>
        </row>
        <row r="969">
          <cell r="A969" t="str">
            <v>60025_1</v>
          </cell>
        </row>
        <row r="970">
          <cell r="A970" t="str">
            <v>60026_1</v>
          </cell>
        </row>
        <row r="971">
          <cell r="A971" t="str">
            <v>61011_1</v>
          </cell>
        </row>
        <row r="972">
          <cell r="A972" t="str">
            <v>60027_1</v>
          </cell>
        </row>
        <row r="973">
          <cell r="A973" t="str">
            <v>60028_1</v>
          </cell>
        </row>
        <row r="974">
          <cell r="A974" t="str">
            <v>60029_1</v>
          </cell>
        </row>
        <row r="975">
          <cell r="A975" t="str">
            <v>65523_1</v>
          </cell>
        </row>
        <row r="976">
          <cell r="A976" t="str">
            <v>65524_1</v>
          </cell>
        </row>
        <row r="977">
          <cell r="A977" t="str">
            <v>65525_1</v>
          </cell>
        </row>
        <row r="978">
          <cell r="A978" t="str">
            <v>65526_1</v>
          </cell>
        </row>
        <row r="979">
          <cell r="A979" t="str">
            <v>65526_2</v>
          </cell>
        </row>
        <row r="980">
          <cell r="A980" t="str">
            <v>65527_1</v>
          </cell>
        </row>
        <row r="981">
          <cell r="A981" t="str">
            <v>65528_1</v>
          </cell>
        </row>
        <row r="982">
          <cell r="A982" t="str">
            <v>65529_1</v>
          </cell>
        </row>
        <row r="983">
          <cell r="A983" t="str">
            <v>65530_1</v>
          </cell>
        </row>
        <row r="984">
          <cell r="A984" t="str">
            <v>65531_1</v>
          </cell>
        </row>
        <row r="985">
          <cell r="A985" t="str">
            <v>65531_2</v>
          </cell>
        </row>
        <row r="986">
          <cell r="A986" t="str">
            <v>65532_1</v>
          </cell>
        </row>
        <row r="987">
          <cell r="A987" t="str">
            <v>65532_2</v>
          </cell>
        </row>
        <row r="988">
          <cell r="A988" t="str">
            <v>65533_1</v>
          </cell>
        </row>
        <row r="989">
          <cell r="A989" t="str">
            <v>65533_2</v>
          </cell>
        </row>
        <row r="990">
          <cell r="A990" t="str">
            <v>65534_1</v>
          </cell>
        </row>
        <row r="991">
          <cell r="A991" t="str">
            <v>65534_2</v>
          </cell>
        </row>
        <row r="992">
          <cell r="A992" t="str">
            <v>65535_1</v>
          </cell>
        </row>
        <row r="993">
          <cell r="A993" t="str">
            <v>65535_2</v>
          </cell>
        </row>
        <row r="994">
          <cell r="A994" t="str">
            <v>65535_3</v>
          </cell>
        </row>
        <row r="995">
          <cell r="A995" t="str">
            <v>65535_4</v>
          </cell>
        </row>
        <row r="996">
          <cell r="A996" t="str">
            <v>65535_5</v>
          </cell>
        </row>
        <row r="997">
          <cell r="A997" t="str">
            <v>65535_6</v>
          </cell>
        </row>
        <row r="998">
          <cell r="A998" t="str">
            <v>65535_7</v>
          </cell>
        </row>
        <row r="999">
          <cell r="A999" t="str">
            <v>65535_8</v>
          </cell>
        </row>
        <row r="1000">
          <cell r="A1000" t="str">
            <v>65535_9</v>
          </cell>
        </row>
        <row r="1001">
          <cell r="A100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1466</v>
          </cell>
        </row>
        <row r="1349">
          <cell r="A1349">
            <v>1467</v>
          </cell>
        </row>
        <row r="1350">
          <cell r="A1350">
            <v>1468</v>
          </cell>
        </row>
        <row r="1351">
          <cell r="A1351">
            <v>1469</v>
          </cell>
        </row>
        <row r="1352">
          <cell r="A1352">
            <v>1470</v>
          </cell>
        </row>
        <row r="1353">
          <cell r="A1353">
            <v>1471</v>
          </cell>
        </row>
        <row r="1354">
          <cell r="A1354">
            <v>1495</v>
          </cell>
        </row>
        <row r="1355">
          <cell r="A1355">
            <v>1496</v>
          </cell>
        </row>
        <row r="1356">
          <cell r="A1356">
            <v>1497</v>
          </cell>
        </row>
        <row r="1357">
          <cell r="A1357">
            <v>1498</v>
          </cell>
        </row>
        <row r="1358">
          <cell r="A1358">
            <v>1499</v>
          </cell>
        </row>
        <row r="1359">
          <cell r="A1359">
            <v>1500</v>
          </cell>
        </row>
        <row r="1360">
          <cell r="A1360">
            <v>1501</v>
          </cell>
        </row>
        <row r="1361">
          <cell r="A1361">
            <v>1502</v>
          </cell>
        </row>
        <row r="1362">
          <cell r="A1362">
            <v>1503</v>
          </cell>
        </row>
        <row r="1363">
          <cell r="A1363">
            <v>1504</v>
          </cell>
        </row>
        <row r="1364">
          <cell r="A1364">
            <v>1505</v>
          </cell>
        </row>
        <row r="1365">
          <cell r="A1365">
            <v>1506</v>
          </cell>
        </row>
        <row r="1366">
          <cell r="A1366">
            <v>1507</v>
          </cell>
        </row>
        <row r="1367">
          <cell r="A1367">
            <v>1508</v>
          </cell>
        </row>
        <row r="1368">
          <cell r="A1368">
            <v>1509</v>
          </cell>
        </row>
        <row r="1369">
          <cell r="A1369">
            <v>1510</v>
          </cell>
        </row>
        <row r="1370">
          <cell r="A1370">
            <v>1511</v>
          </cell>
        </row>
        <row r="1371">
          <cell r="A1371">
            <v>1512</v>
          </cell>
        </row>
        <row r="1372">
          <cell r="A1372">
            <v>1523</v>
          </cell>
        </row>
        <row r="1373">
          <cell r="A1373">
            <v>1524</v>
          </cell>
        </row>
        <row r="1374">
          <cell r="A1374">
            <v>1525</v>
          </cell>
        </row>
        <row r="1375">
          <cell r="A1375">
            <v>1526</v>
          </cell>
        </row>
        <row r="1376">
          <cell r="A1376">
            <v>5001</v>
          </cell>
        </row>
        <row r="1377">
          <cell r="A1377">
            <v>5002</v>
          </cell>
        </row>
        <row r="1378">
          <cell r="A1378">
            <v>5003</v>
          </cell>
        </row>
        <row r="1379">
          <cell r="A1379">
            <v>5004</v>
          </cell>
        </row>
        <row r="1380">
          <cell r="A1380">
            <v>5005</v>
          </cell>
        </row>
        <row r="1381">
          <cell r="A1381">
            <v>5006</v>
          </cell>
        </row>
        <row r="1382">
          <cell r="A1382">
            <v>5007</v>
          </cell>
        </row>
        <row r="1383">
          <cell r="A1383">
            <v>5008</v>
          </cell>
        </row>
        <row r="1384">
          <cell r="A1384">
            <v>6001</v>
          </cell>
        </row>
        <row r="1385">
          <cell r="A1385">
            <v>6002</v>
          </cell>
        </row>
        <row r="1386">
          <cell r="A1386">
            <v>6003</v>
          </cell>
        </row>
        <row r="1387">
          <cell r="A1387">
            <v>6004</v>
          </cell>
        </row>
        <row r="1388">
          <cell r="A1388">
            <v>6005</v>
          </cell>
        </row>
        <row r="1389">
          <cell r="A1389">
            <v>6006</v>
          </cell>
        </row>
        <row r="1390">
          <cell r="A1390">
            <v>6007</v>
          </cell>
        </row>
        <row r="1391">
          <cell r="A1391">
            <v>6008</v>
          </cell>
        </row>
        <row r="1392">
          <cell r="A1392">
            <v>6009</v>
          </cell>
        </row>
        <row r="1393">
          <cell r="A1393">
            <v>6010</v>
          </cell>
        </row>
        <row r="1394">
          <cell r="A1394">
            <v>6011</v>
          </cell>
        </row>
        <row r="1395">
          <cell r="A1395">
            <v>6012</v>
          </cell>
        </row>
        <row r="1396">
          <cell r="A1396">
            <v>6013</v>
          </cell>
        </row>
        <row r="1397">
          <cell r="A1397">
            <v>6014</v>
          </cell>
        </row>
        <row r="1398">
          <cell r="A1398">
            <v>6015</v>
          </cell>
        </row>
        <row r="1399">
          <cell r="A1399">
            <v>6016</v>
          </cell>
        </row>
        <row r="1400">
          <cell r="A1400">
            <v>6017</v>
          </cell>
        </row>
        <row r="1401">
          <cell r="A1401">
            <v>6018</v>
          </cell>
        </row>
        <row r="1402">
          <cell r="A1402">
            <v>6019</v>
          </cell>
        </row>
        <row r="1403">
          <cell r="A1403">
            <v>6020</v>
          </cell>
        </row>
        <row r="1404">
          <cell r="A1404">
            <v>8001</v>
          </cell>
        </row>
        <row r="1405">
          <cell r="A1405">
            <v>8002</v>
          </cell>
        </row>
        <row r="1406">
          <cell r="A1406">
            <v>8003</v>
          </cell>
        </row>
        <row r="1407">
          <cell r="A1407">
            <v>8004</v>
          </cell>
        </row>
        <row r="1408">
          <cell r="A1408">
            <v>8005</v>
          </cell>
        </row>
        <row r="1409">
          <cell r="A1409">
            <v>8006</v>
          </cell>
        </row>
        <row r="1410">
          <cell r="A1410">
            <v>8007</v>
          </cell>
        </row>
        <row r="1411">
          <cell r="A1411">
            <v>8008</v>
          </cell>
        </row>
        <row r="1412">
          <cell r="A1412">
            <v>8009</v>
          </cell>
        </row>
        <row r="1413">
          <cell r="A1413">
            <v>8010</v>
          </cell>
        </row>
        <row r="1414">
          <cell r="A1414">
            <v>8011</v>
          </cell>
        </row>
        <row r="1415">
          <cell r="A1415">
            <v>8012</v>
          </cell>
        </row>
        <row r="1416">
          <cell r="A1416">
            <v>8013</v>
          </cell>
        </row>
        <row r="1417">
          <cell r="A1417">
            <v>8014</v>
          </cell>
        </row>
        <row r="1418">
          <cell r="A1418">
            <v>8015</v>
          </cell>
        </row>
        <row r="1419">
          <cell r="A1419">
            <v>8016</v>
          </cell>
        </row>
        <row r="1420">
          <cell r="A1420">
            <v>8017</v>
          </cell>
        </row>
        <row r="1421">
          <cell r="A1421">
            <v>8018</v>
          </cell>
        </row>
        <row r="1422">
          <cell r="A1422">
            <v>8019</v>
          </cell>
        </row>
        <row r="1423">
          <cell r="A1423">
            <v>8020</v>
          </cell>
        </row>
        <row r="1424">
          <cell r="A1424">
            <v>8021</v>
          </cell>
        </row>
        <row r="1425">
          <cell r="A1425">
            <v>8022</v>
          </cell>
        </row>
        <row r="1426">
          <cell r="A1426">
            <v>8023</v>
          </cell>
        </row>
        <row r="1427">
          <cell r="A1427">
            <v>8024</v>
          </cell>
        </row>
        <row r="1428">
          <cell r="A1428">
            <v>8025</v>
          </cell>
        </row>
        <row r="1429">
          <cell r="A1429">
            <v>8026</v>
          </cell>
        </row>
        <row r="1430">
          <cell r="A1430">
            <v>8027</v>
          </cell>
        </row>
        <row r="1431">
          <cell r="A1431">
            <v>8028</v>
          </cell>
        </row>
        <row r="1432">
          <cell r="A1432">
            <v>8029</v>
          </cell>
        </row>
        <row r="1433">
          <cell r="A1433">
            <v>8030</v>
          </cell>
        </row>
        <row r="1434">
          <cell r="A1434">
            <v>8031</v>
          </cell>
        </row>
        <row r="1435">
          <cell r="A1435">
            <v>8032</v>
          </cell>
        </row>
        <row r="1436">
          <cell r="A1436">
            <v>8033</v>
          </cell>
        </row>
        <row r="1437">
          <cell r="A1437">
            <v>8034</v>
          </cell>
        </row>
        <row r="1438">
          <cell r="A1438">
            <v>8035</v>
          </cell>
        </row>
        <row r="1439">
          <cell r="A1439">
            <v>8036</v>
          </cell>
        </row>
        <row r="1440">
          <cell r="A1440">
            <v>8037</v>
          </cell>
        </row>
        <row r="1441">
          <cell r="A1441">
            <v>8038</v>
          </cell>
        </row>
        <row r="1442">
          <cell r="A1442">
            <v>8039</v>
          </cell>
        </row>
        <row r="1443">
          <cell r="A1443">
            <v>8040</v>
          </cell>
        </row>
        <row r="1444">
          <cell r="A1444">
            <v>8041</v>
          </cell>
        </row>
        <row r="1445">
          <cell r="A1445">
            <v>8042</v>
          </cell>
        </row>
        <row r="1446">
          <cell r="A1446">
            <v>8043</v>
          </cell>
        </row>
        <row r="1447">
          <cell r="A1447">
            <v>8044</v>
          </cell>
        </row>
        <row r="1448">
          <cell r="A1448">
            <v>8045</v>
          </cell>
        </row>
        <row r="1449">
          <cell r="A1449">
            <v>8046</v>
          </cell>
        </row>
        <row r="1450">
          <cell r="A1450">
            <v>8047</v>
          </cell>
        </row>
        <row r="1451">
          <cell r="A1451">
            <v>8048</v>
          </cell>
        </row>
        <row r="1452">
          <cell r="A1452">
            <v>8049</v>
          </cell>
        </row>
        <row r="1453">
          <cell r="A1453">
            <v>8050</v>
          </cell>
        </row>
        <row r="1454">
          <cell r="A1454">
            <v>8051</v>
          </cell>
        </row>
        <row r="1455">
          <cell r="A1455">
            <v>8052</v>
          </cell>
        </row>
        <row r="1456">
          <cell r="A1456">
            <v>8053</v>
          </cell>
        </row>
        <row r="1457">
          <cell r="A1457">
            <v>8054</v>
          </cell>
        </row>
        <row r="1458">
          <cell r="A1458">
            <v>8055</v>
          </cell>
        </row>
        <row r="1459">
          <cell r="A1459">
            <v>8056</v>
          </cell>
        </row>
        <row r="1460">
          <cell r="A1460">
            <v>8057</v>
          </cell>
        </row>
        <row r="1461">
          <cell r="A1461">
            <v>8058</v>
          </cell>
        </row>
        <row r="1462">
          <cell r="A1462">
            <v>8059</v>
          </cell>
        </row>
        <row r="1463">
          <cell r="A1463">
            <v>8060</v>
          </cell>
        </row>
        <row r="1464">
          <cell r="A1464">
            <v>8061</v>
          </cell>
        </row>
        <row r="1465">
          <cell r="A1465">
            <v>8062</v>
          </cell>
        </row>
        <row r="1466">
          <cell r="A1466">
            <v>8063</v>
          </cell>
        </row>
        <row r="1467">
          <cell r="A1467">
            <v>8064</v>
          </cell>
        </row>
        <row r="1468">
          <cell r="A1468">
            <v>8065</v>
          </cell>
        </row>
        <row r="1469">
          <cell r="A1469">
            <v>8066</v>
          </cell>
        </row>
        <row r="1470">
          <cell r="A1470">
            <v>8067</v>
          </cell>
        </row>
        <row r="1471">
          <cell r="A1471">
            <v>8068</v>
          </cell>
        </row>
        <row r="1472">
          <cell r="A1472">
            <v>8069</v>
          </cell>
        </row>
        <row r="1473">
          <cell r="A1473">
            <v>8070</v>
          </cell>
        </row>
        <row r="1474">
          <cell r="A1474">
            <v>8071</v>
          </cell>
        </row>
        <row r="1475">
          <cell r="A1475">
            <v>8072</v>
          </cell>
        </row>
        <row r="1476">
          <cell r="A1476">
            <v>8073</v>
          </cell>
        </row>
        <row r="1477">
          <cell r="A1477">
            <v>8074</v>
          </cell>
        </row>
        <row r="1478">
          <cell r="A1478">
            <v>8077</v>
          </cell>
        </row>
        <row r="1479">
          <cell r="A1479">
            <v>8078</v>
          </cell>
        </row>
        <row r="1480">
          <cell r="A1480">
            <v>8079</v>
          </cell>
        </row>
        <row r="1481">
          <cell r="A1481">
            <v>8080</v>
          </cell>
        </row>
        <row r="1482">
          <cell r="A1482">
            <v>8081</v>
          </cell>
        </row>
        <row r="1483">
          <cell r="A1483">
            <v>8082</v>
          </cell>
        </row>
        <row r="1484">
          <cell r="A1484">
            <v>8083</v>
          </cell>
        </row>
        <row r="1485">
          <cell r="A1485">
            <v>8084</v>
          </cell>
        </row>
        <row r="1486">
          <cell r="A1486">
            <v>8085</v>
          </cell>
        </row>
        <row r="1487">
          <cell r="A1487">
            <v>8086</v>
          </cell>
        </row>
        <row r="1488">
          <cell r="A1488">
            <v>8087</v>
          </cell>
        </row>
        <row r="1489">
          <cell r="A1489">
            <v>8088</v>
          </cell>
        </row>
        <row r="1490">
          <cell r="A1490">
            <v>8089</v>
          </cell>
        </row>
        <row r="1491">
          <cell r="A1491">
            <v>8090</v>
          </cell>
        </row>
        <row r="1492">
          <cell r="A1492">
            <v>8095</v>
          </cell>
        </row>
        <row r="1493">
          <cell r="A1493">
            <v>8096</v>
          </cell>
        </row>
        <row r="1494">
          <cell r="A1494">
            <v>8097</v>
          </cell>
        </row>
        <row r="1495">
          <cell r="A1495">
            <v>8098</v>
          </cell>
        </row>
        <row r="1496">
          <cell r="A1496">
            <v>8099</v>
          </cell>
        </row>
        <row r="1497">
          <cell r="A1497">
            <v>8100</v>
          </cell>
        </row>
        <row r="1498">
          <cell r="A1498">
            <v>8101</v>
          </cell>
        </row>
        <row r="1499">
          <cell r="A1499">
            <v>8102</v>
          </cell>
        </row>
        <row r="1500">
          <cell r="A1500">
            <v>8103</v>
          </cell>
        </row>
        <row r="1501">
          <cell r="A1501">
            <v>8104</v>
          </cell>
        </row>
        <row r="1502">
          <cell r="A1502">
            <v>8105</v>
          </cell>
        </row>
        <row r="1503">
          <cell r="A1503">
            <v>8106</v>
          </cell>
        </row>
        <row r="1504">
          <cell r="A1504">
            <v>9001</v>
          </cell>
        </row>
        <row r="1505">
          <cell r="A1505">
            <v>9002</v>
          </cell>
        </row>
        <row r="1506">
          <cell r="A1506">
            <v>9003</v>
          </cell>
        </row>
        <row r="1507">
          <cell r="A1507">
            <v>9004</v>
          </cell>
        </row>
        <row r="1508">
          <cell r="A1508">
            <v>9005</v>
          </cell>
        </row>
        <row r="1509">
          <cell r="A1509">
            <v>9006</v>
          </cell>
        </row>
        <row r="1510">
          <cell r="A1510">
            <v>9007</v>
          </cell>
        </row>
        <row r="1511">
          <cell r="A1511">
            <v>9008</v>
          </cell>
        </row>
        <row r="1512">
          <cell r="A1512">
            <v>10101</v>
          </cell>
        </row>
        <row r="1513">
          <cell r="A1513">
            <v>10102</v>
          </cell>
        </row>
        <row r="1514">
          <cell r="A1514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1551</v>
          </cell>
        </row>
        <row r="1502">
          <cell r="A1502">
            <v>1552</v>
          </cell>
        </row>
        <row r="1503">
          <cell r="A1503">
            <v>1553</v>
          </cell>
        </row>
        <row r="1504">
          <cell r="A1504">
            <v>1554</v>
          </cell>
        </row>
        <row r="1505">
          <cell r="A1505">
            <v>1555</v>
          </cell>
        </row>
        <row r="1506">
          <cell r="A1506">
            <v>1556</v>
          </cell>
        </row>
        <row r="1507">
          <cell r="A1507">
            <v>1557</v>
          </cell>
        </row>
        <row r="1508">
          <cell r="A1508">
            <v>1558</v>
          </cell>
        </row>
        <row r="1509">
          <cell r="A1509">
            <v>1559</v>
          </cell>
        </row>
        <row r="1510">
          <cell r="A1510">
            <v>1560</v>
          </cell>
        </row>
        <row r="1511">
          <cell r="A1511">
            <v>1561</v>
          </cell>
        </row>
        <row r="1512">
          <cell r="A1512">
            <v>1562</v>
          </cell>
        </row>
        <row r="1513">
          <cell r="A1513">
            <v>1563</v>
          </cell>
        </row>
        <row r="1514">
          <cell r="A1514">
            <v>1564</v>
          </cell>
        </row>
        <row r="1515">
          <cell r="A1515">
            <v>1565</v>
          </cell>
        </row>
        <row r="1516">
          <cell r="A1516">
            <v>1566</v>
          </cell>
        </row>
        <row r="1517">
          <cell r="A1517">
            <v>1567</v>
          </cell>
        </row>
        <row r="1518">
          <cell r="A1518">
            <v>1568</v>
          </cell>
        </row>
        <row r="1519">
          <cell r="A1519">
            <v>1569</v>
          </cell>
        </row>
        <row r="1520">
          <cell r="A1520">
            <v>1570</v>
          </cell>
        </row>
        <row r="1521">
          <cell r="A1521">
            <v>1571</v>
          </cell>
        </row>
        <row r="1522">
          <cell r="A1522">
            <v>1572</v>
          </cell>
        </row>
        <row r="1523">
          <cell r="A1523">
            <v>1573</v>
          </cell>
        </row>
        <row r="1524">
          <cell r="A1524">
            <v>1574</v>
          </cell>
        </row>
        <row r="1525">
          <cell r="A1525">
            <v>1575</v>
          </cell>
        </row>
        <row r="1526">
          <cell r="A1526">
            <v>1576</v>
          </cell>
        </row>
        <row r="1527">
          <cell r="A1527">
            <v>1577</v>
          </cell>
        </row>
        <row r="1528">
          <cell r="A1528">
            <v>1578</v>
          </cell>
        </row>
        <row r="1529">
          <cell r="A1529">
            <v>1579</v>
          </cell>
        </row>
        <row r="1530">
          <cell r="A1530">
            <v>1580</v>
          </cell>
        </row>
        <row r="1531">
          <cell r="A1531">
            <v>1581</v>
          </cell>
        </row>
        <row r="1532">
          <cell r="A1532">
            <v>1582</v>
          </cell>
        </row>
        <row r="1533">
          <cell r="A1533">
            <v>1583</v>
          </cell>
        </row>
        <row r="1534">
          <cell r="A1534">
            <v>1584</v>
          </cell>
        </row>
        <row r="1535">
          <cell r="A1535">
            <v>1585</v>
          </cell>
        </row>
        <row r="1536">
          <cell r="A1536">
            <v>1586</v>
          </cell>
        </row>
        <row r="1537">
          <cell r="A1537">
            <v>1587</v>
          </cell>
        </row>
        <row r="1538">
          <cell r="A1538">
            <v>1588</v>
          </cell>
        </row>
        <row r="1539">
          <cell r="A1539">
            <v>5001</v>
          </cell>
        </row>
        <row r="1540">
          <cell r="A1540">
            <v>5002</v>
          </cell>
        </row>
        <row r="1541">
          <cell r="A1541">
            <v>5003</v>
          </cell>
        </row>
        <row r="1542">
          <cell r="A1542">
            <v>5004</v>
          </cell>
        </row>
        <row r="1543">
          <cell r="A1543">
            <v>5005</v>
          </cell>
        </row>
        <row r="1544">
          <cell r="A1544">
            <v>5006</v>
          </cell>
        </row>
        <row r="1545">
          <cell r="A1545">
            <v>5007</v>
          </cell>
        </row>
        <row r="1546">
          <cell r="A1546">
            <v>5008</v>
          </cell>
        </row>
        <row r="1547">
          <cell r="A1547">
            <v>6001</v>
          </cell>
        </row>
        <row r="1548">
          <cell r="A1548">
            <v>6002</v>
          </cell>
        </row>
        <row r="1549">
          <cell r="A1549">
            <v>6003</v>
          </cell>
        </row>
        <row r="1550">
          <cell r="A1550">
            <v>6004</v>
          </cell>
        </row>
        <row r="1551">
          <cell r="A1551">
            <v>6005</v>
          </cell>
        </row>
        <row r="1552">
          <cell r="A1552">
            <v>6006</v>
          </cell>
        </row>
        <row r="1553">
          <cell r="A1553">
            <v>6007</v>
          </cell>
        </row>
        <row r="1554">
          <cell r="A1554">
            <v>6008</v>
          </cell>
        </row>
        <row r="1555">
          <cell r="A1555">
            <v>6009</v>
          </cell>
        </row>
        <row r="1556">
          <cell r="A1556">
            <v>6010</v>
          </cell>
        </row>
        <row r="1557">
          <cell r="A1557">
            <v>6011</v>
          </cell>
        </row>
        <row r="1558">
          <cell r="A1558">
            <v>6012</v>
          </cell>
        </row>
        <row r="1559">
          <cell r="A1559">
            <v>6013</v>
          </cell>
        </row>
        <row r="1560">
          <cell r="A1560">
            <v>6014</v>
          </cell>
        </row>
        <row r="1561">
          <cell r="A1561">
            <v>6015</v>
          </cell>
        </row>
        <row r="1562">
          <cell r="A1562">
            <v>6016</v>
          </cell>
        </row>
        <row r="1563">
          <cell r="A1563">
            <v>6017</v>
          </cell>
        </row>
        <row r="1564">
          <cell r="A1564">
            <v>6018</v>
          </cell>
        </row>
        <row r="1565">
          <cell r="A1565">
            <v>6019</v>
          </cell>
        </row>
        <row r="1566">
          <cell r="A1566">
            <v>6020</v>
          </cell>
        </row>
        <row r="1567">
          <cell r="A1567">
            <v>8001</v>
          </cell>
        </row>
        <row r="1568">
          <cell r="A1568">
            <v>8002</v>
          </cell>
        </row>
        <row r="1569">
          <cell r="A1569">
            <v>8003</v>
          </cell>
        </row>
        <row r="1570">
          <cell r="A1570">
            <v>8004</v>
          </cell>
        </row>
        <row r="1571">
          <cell r="A1571">
            <v>8005</v>
          </cell>
        </row>
        <row r="1572">
          <cell r="A1572">
            <v>8006</v>
          </cell>
        </row>
        <row r="1573">
          <cell r="A1573">
            <v>8007</v>
          </cell>
        </row>
        <row r="1574">
          <cell r="A1574">
            <v>8008</v>
          </cell>
        </row>
        <row r="1575">
          <cell r="A1575">
            <v>8009</v>
          </cell>
        </row>
        <row r="1576">
          <cell r="A1576">
            <v>8010</v>
          </cell>
        </row>
        <row r="1577">
          <cell r="A1577">
            <v>8011</v>
          </cell>
        </row>
        <row r="1578">
          <cell r="A1578">
            <v>8012</v>
          </cell>
        </row>
        <row r="1579">
          <cell r="A1579">
            <v>8013</v>
          </cell>
        </row>
        <row r="1580">
          <cell r="A1580">
            <v>8014</v>
          </cell>
        </row>
        <row r="1581">
          <cell r="A1581">
            <v>8015</v>
          </cell>
        </row>
        <row r="1582">
          <cell r="A1582">
            <v>8016</v>
          </cell>
        </row>
        <row r="1583">
          <cell r="A1583">
            <v>8017</v>
          </cell>
        </row>
        <row r="1584">
          <cell r="A1584">
            <v>8018</v>
          </cell>
        </row>
        <row r="1585">
          <cell r="A1585">
            <v>8019</v>
          </cell>
        </row>
        <row r="1586">
          <cell r="A1586">
            <v>8020</v>
          </cell>
        </row>
        <row r="1587">
          <cell r="A1587">
            <v>8021</v>
          </cell>
        </row>
        <row r="1588">
          <cell r="A1588">
            <v>8022</v>
          </cell>
        </row>
        <row r="1589">
          <cell r="A1589">
            <v>8023</v>
          </cell>
        </row>
        <row r="1590">
          <cell r="A1590">
            <v>8024</v>
          </cell>
        </row>
        <row r="1591">
          <cell r="A1591">
            <v>8025</v>
          </cell>
        </row>
        <row r="1592">
          <cell r="A1592">
            <v>8026</v>
          </cell>
        </row>
        <row r="1593">
          <cell r="A1593">
            <v>8027</v>
          </cell>
        </row>
        <row r="1594">
          <cell r="A1594">
            <v>8028</v>
          </cell>
        </row>
        <row r="1595">
          <cell r="A1595">
            <v>8029</v>
          </cell>
        </row>
        <row r="1596">
          <cell r="A1596">
            <v>8030</v>
          </cell>
        </row>
        <row r="1597">
          <cell r="A1597">
            <v>8031</v>
          </cell>
        </row>
        <row r="1598">
          <cell r="A1598">
            <v>8032</v>
          </cell>
        </row>
        <row r="1599">
          <cell r="A1599">
            <v>8033</v>
          </cell>
        </row>
        <row r="1600">
          <cell r="A1600">
            <v>8034</v>
          </cell>
        </row>
        <row r="1601">
          <cell r="A1601">
            <v>8035</v>
          </cell>
        </row>
        <row r="1602">
          <cell r="A1602">
            <v>8036</v>
          </cell>
        </row>
        <row r="1603">
          <cell r="A1603">
            <v>8037</v>
          </cell>
        </row>
        <row r="1604">
          <cell r="A1604">
            <v>8038</v>
          </cell>
        </row>
        <row r="1605">
          <cell r="A1605">
            <v>8039</v>
          </cell>
        </row>
        <row r="1606">
          <cell r="A1606">
            <v>8040</v>
          </cell>
        </row>
        <row r="1607">
          <cell r="A1607">
            <v>8041</v>
          </cell>
        </row>
        <row r="1608">
          <cell r="A1608">
            <v>8042</v>
          </cell>
        </row>
        <row r="1609">
          <cell r="A1609">
            <v>8043</v>
          </cell>
        </row>
        <row r="1610">
          <cell r="A1610">
            <v>8044</v>
          </cell>
        </row>
        <row r="1611">
          <cell r="A1611">
            <v>8045</v>
          </cell>
        </row>
        <row r="1612">
          <cell r="A1612">
            <v>8046</v>
          </cell>
        </row>
        <row r="1613">
          <cell r="A1613">
            <v>8047</v>
          </cell>
        </row>
        <row r="1614">
          <cell r="A1614">
            <v>8048</v>
          </cell>
        </row>
        <row r="1615">
          <cell r="A1615">
            <v>8049</v>
          </cell>
        </row>
        <row r="1616">
          <cell r="A1616">
            <v>8050</v>
          </cell>
        </row>
        <row r="1617">
          <cell r="A1617">
            <v>8051</v>
          </cell>
        </row>
        <row r="1618">
          <cell r="A1618">
            <v>8052</v>
          </cell>
        </row>
        <row r="1619">
          <cell r="A1619">
            <v>8053</v>
          </cell>
        </row>
        <row r="1620">
          <cell r="A1620">
            <v>8054</v>
          </cell>
        </row>
        <row r="1621">
          <cell r="A1621">
            <v>8055</v>
          </cell>
        </row>
        <row r="1622">
          <cell r="A1622">
            <v>8056</v>
          </cell>
        </row>
        <row r="1623">
          <cell r="A1623">
            <v>8057</v>
          </cell>
        </row>
        <row r="1624">
          <cell r="A1624">
            <v>8058</v>
          </cell>
        </row>
        <row r="1625">
          <cell r="A1625">
            <v>8059</v>
          </cell>
        </row>
        <row r="1626">
          <cell r="A1626">
            <v>8060</v>
          </cell>
        </row>
        <row r="1627">
          <cell r="A1627">
            <v>8061</v>
          </cell>
        </row>
        <row r="1628">
          <cell r="A1628">
            <v>8062</v>
          </cell>
        </row>
        <row r="1629">
          <cell r="A1629">
            <v>8063</v>
          </cell>
        </row>
        <row r="1630">
          <cell r="A1630">
            <v>8064</v>
          </cell>
        </row>
        <row r="1631">
          <cell r="A1631">
            <v>8065</v>
          </cell>
        </row>
        <row r="1632">
          <cell r="A1632">
            <v>8066</v>
          </cell>
        </row>
        <row r="1633">
          <cell r="A1633">
            <v>8067</v>
          </cell>
        </row>
        <row r="1634">
          <cell r="A1634">
            <v>8068</v>
          </cell>
        </row>
        <row r="1635">
          <cell r="A1635">
            <v>8069</v>
          </cell>
        </row>
        <row r="1636">
          <cell r="A1636">
            <v>8070</v>
          </cell>
        </row>
        <row r="1637">
          <cell r="A1637">
            <v>8071</v>
          </cell>
        </row>
        <row r="1638">
          <cell r="A1638">
            <v>8072</v>
          </cell>
        </row>
        <row r="1639">
          <cell r="A1639">
            <v>8073</v>
          </cell>
        </row>
        <row r="1640">
          <cell r="A1640">
            <v>8074</v>
          </cell>
        </row>
        <row r="1641">
          <cell r="A1641">
            <v>8075</v>
          </cell>
        </row>
        <row r="1642">
          <cell r="A1642">
            <v>8076</v>
          </cell>
        </row>
        <row r="1643">
          <cell r="A1643">
            <v>8077</v>
          </cell>
        </row>
        <row r="1644">
          <cell r="A1644">
            <v>8078</v>
          </cell>
        </row>
        <row r="1645">
          <cell r="A1645">
            <v>8079</v>
          </cell>
        </row>
        <row r="1646">
          <cell r="A1646">
            <v>8080</v>
          </cell>
        </row>
        <row r="1647">
          <cell r="A1647">
            <v>8081</v>
          </cell>
        </row>
        <row r="1648">
          <cell r="A1648">
            <v>8082</v>
          </cell>
        </row>
        <row r="1649">
          <cell r="A1649">
            <v>8083</v>
          </cell>
        </row>
        <row r="1650">
          <cell r="A1650">
            <v>8084</v>
          </cell>
        </row>
        <row r="1651">
          <cell r="A1651">
            <v>8085</v>
          </cell>
        </row>
        <row r="1652">
          <cell r="A1652">
            <v>8086</v>
          </cell>
        </row>
        <row r="1653">
          <cell r="A1653">
            <v>8087</v>
          </cell>
        </row>
        <row r="1654">
          <cell r="A1654">
            <v>8088</v>
          </cell>
        </row>
        <row r="1655">
          <cell r="A1655">
            <v>8089</v>
          </cell>
        </row>
        <row r="1656">
          <cell r="A1656">
            <v>8090</v>
          </cell>
        </row>
        <row r="1657">
          <cell r="A1657">
            <v>8095</v>
          </cell>
        </row>
        <row r="1658">
          <cell r="A1658">
            <v>8096</v>
          </cell>
        </row>
        <row r="1659">
          <cell r="A1659">
            <v>8097</v>
          </cell>
        </row>
        <row r="1660">
          <cell r="A1660">
            <v>8098</v>
          </cell>
        </row>
        <row r="1661">
          <cell r="A1661">
            <v>8099</v>
          </cell>
        </row>
        <row r="1662">
          <cell r="A1662">
            <v>8100</v>
          </cell>
        </row>
        <row r="1663">
          <cell r="A1663">
            <v>8101</v>
          </cell>
        </row>
        <row r="1664">
          <cell r="A1664">
            <v>8102</v>
          </cell>
        </row>
        <row r="1665">
          <cell r="A1665">
            <v>8103</v>
          </cell>
        </row>
        <row r="1666">
          <cell r="A1666">
            <v>8104</v>
          </cell>
        </row>
        <row r="1667">
          <cell r="A1667">
            <v>8105</v>
          </cell>
        </row>
        <row r="1668">
          <cell r="A1668">
            <v>8106</v>
          </cell>
        </row>
        <row r="1669">
          <cell r="A1669">
            <v>9001</v>
          </cell>
        </row>
        <row r="1670">
          <cell r="A1670">
            <v>9002</v>
          </cell>
        </row>
        <row r="1671">
          <cell r="A1671">
            <v>9003</v>
          </cell>
        </row>
        <row r="1672">
          <cell r="A1672">
            <v>9004</v>
          </cell>
        </row>
        <row r="1673">
          <cell r="A1673">
            <v>9005</v>
          </cell>
        </row>
        <row r="1674">
          <cell r="A1674">
            <v>9006</v>
          </cell>
        </row>
        <row r="1675">
          <cell r="A1675">
            <v>9007</v>
          </cell>
        </row>
        <row r="1676">
          <cell r="A1676">
            <v>9008</v>
          </cell>
        </row>
        <row r="1677">
          <cell r="A1677">
            <v>10001</v>
          </cell>
        </row>
        <row r="1678">
          <cell r="A1678">
            <v>10002</v>
          </cell>
        </row>
        <row r="1679">
          <cell r="A1679">
            <v>10003</v>
          </cell>
        </row>
        <row r="1680">
          <cell r="A1680">
            <v>10004</v>
          </cell>
        </row>
        <row r="1681">
          <cell r="A1681">
            <v>10005</v>
          </cell>
        </row>
        <row r="1682">
          <cell r="A1682">
            <v>10006</v>
          </cell>
        </row>
        <row r="1683">
          <cell r="A1683">
            <v>10007</v>
          </cell>
        </row>
        <row r="1684">
          <cell r="A1684">
            <v>10008</v>
          </cell>
        </row>
        <row r="1685">
          <cell r="A1685">
            <v>10009</v>
          </cell>
        </row>
        <row r="1686">
          <cell r="A1686">
            <v>10010</v>
          </cell>
        </row>
        <row r="1687">
          <cell r="A1687">
            <v>10011</v>
          </cell>
        </row>
        <row r="1688">
          <cell r="A1688">
            <v>10012</v>
          </cell>
        </row>
        <row r="1689">
          <cell r="A1689">
            <v>10013</v>
          </cell>
        </row>
        <row r="1690">
          <cell r="A1690">
            <v>10014</v>
          </cell>
        </row>
        <row r="1691">
          <cell r="A1691">
            <v>10015</v>
          </cell>
        </row>
        <row r="1692">
          <cell r="A1692">
            <v>10016</v>
          </cell>
        </row>
        <row r="1693">
          <cell r="A1693">
            <v>10017</v>
          </cell>
        </row>
        <row r="1694">
          <cell r="A1694">
            <v>10018</v>
          </cell>
        </row>
        <row r="1695">
          <cell r="A1695">
            <v>10019</v>
          </cell>
        </row>
        <row r="1696">
          <cell r="A1696">
            <v>10020</v>
          </cell>
        </row>
        <row r="1697">
          <cell r="A1697">
            <v>10021</v>
          </cell>
        </row>
        <row r="1698">
          <cell r="A1698">
            <v>10022</v>
          </cell>
        </row>
        <row r="1699">
          <cell r="A1699">
            <v>10023</v>
          </cell>
        </row>
        <row r="1700">
          <cell r="A1700">
            <v>10024</v>
          </cell>
        </row>
        <row r="1701">
          <cell r="A1701">
            <v>10025</v>
          </cell>
        </row>
        <row r="1702">
          <cell r="A1702">
            <v>10026</v>
          </cell>
        </row>
        <row r="1703">
          <cell r="A1703">
            <v>10027</v>
          </cell>
        </row>
        <row r="1704">
          <cell r="A1704">
            <v>10028</v>
          </cell>
        </row>
        <row r="1705">
          <cell r="A1705">
            <v>10029</v>
          </cell>
        </row>
        <row r="1706">
          <cell r="A1706">
            <v>10030</v>
          </cell>
        </row>
        <row r="1707">
          <cell r="A1707">
            <v>10031</v>
          </cell>
        </row>
        <row r="1708">
          <cell r="A1708">
            <v>10032</v>
          </cell>
        </row>
        <row r="1709">
          <cell r="A1709">
            <v>10033</v>
          </cell>
        </row>
        <row r="1710">
          <cell r="A1710">
            <v>10034</v>
          </cell>
        </row>
        <row r="1711">
          <cell r="A1711">
            <v>10035</v>
          </cell>
        </row>
        <row r="1712">
          <cell r="A1712">
            <v>10036</v>
          </cell>
        </row>
        <row r="1713">
          <cell r="A1713">
            <v>10037</v>
          </cell>
        </row>
        <row r="1714">
          <cell r="A1714">
            <v>10038</v>
          </cell>
        </row>
        <row r="1715">
          <cell r="A1715">
            <v>10039</v>
          </cell>
        </row>
        <row r="1716">
          <cell r="A1716">
            <v>10040</v>
          </cell>
        </row>
        <row r="1717">
          <cell r="A1717">
            <v>10041</v>
          </cell>
        </row>
        <row r="1718">
          <cell r="A1718">
            <v>10042</v>
          </cell>
        </row>
        <row r="1719">
          <cell r="A1719">
            <v>10043</v>
          </cell>
        </row>
        <row r="1720">
          <cell r="A1720">
            <v>10044</v>
          </cell>
        </row>
        <row r="1721">
          <cell r="A1721">
            <v>10045</v>
          </cell>
        </row>
        <row r="1722">
          <cell r="A1722">
            <v>10046</v>
          </cell>
        </row>
        <row r="1723">
          <cell r="A1723">
            <v>10047</v>
          </cell>
        </row>
        <row r="1724">
          <cell r="A1724">
            <v>10048</v>
          </cell>
        </row>
        <row r="1725">
          <cell r="A1725">
            <v>10049</v>
          </cell>
        </row>
        <row r="1726">
          <cell r="A1726">
            <v>10050</v>
          </cell>
        </row>
        <row r="1727">
          <cell r="A1727">
            <v>10051</v>
          </cell>
        </row>
        <row r="1728">
          <cell r="A1728">
            <v>10052</v>
          </cell>
        </row>
        <row r="1729">
          <cell r="A1729">
            <v>10053</v>
          </cell>
        </row>
        <row r="1730">
          <cell r="A1730">
            <v>10054</v>
          </cell>
        </row>
        <row r="1731">
          <cell r="A1731">
            <v>10055</v>
          </cell>
        </row>
        <row r="1732">
          <cell r="A1732">
            <v>10056</v>
          </cell>
        </row>
        <row r="1733">
          <cell r="A1733">
            <v>10057</v>
          </cell>
        </row>
        <row r="1734">
          <cell r="A1734">
            <v>10058</v>
          </cell>
        </row>
        <row r="1735">
          <cell r="A1735">
            <v>10059</v>
          </cell>
        </row>
        <row r="1736">
          <cell r="A1736">
            <v>10060</v>
          </cell>
        </row>
        <row r="1737">
          <cell r="A1737">
            <v>10061</v>
          </cell>
        </row>
        <row r="1738">
          <cell r="A1738">
            <v>10062</v>
          </cell>
        </row>
        <row r="1739">
          <cell r="A1739">
            <v>10063</v>
          </cell>
        </row>
        <row r="1740">
          <cell r="A1740">
            <v>10064</v>
          </cell>
        </row>
        <row r="1741">
          <cell r="A1741">
            <v>10065</v>
          </cell>
        </row>
        <row r="1742">
          <cell r="A1742">
            <v>10066</v>
          </cell>
        </row>
        <row r="1743">
          <cell r="A1743">
            <v>10067</v>
          </cell>
        </row>
        <row r="1744">
          <cell r="A1744">
            <v>10068</v>
          </cell>
        </row>
        <row r="1745">
          <cell r="A1745">
            <v>10069</v>
          </cell>
        </row>
        <row r="1746">
          <cell r="A1746">
            <v>10070</v>
          </cell>
        </row>
        <row r="1747">
          <cell r="A1747">
            <v>10071</v>
          </cell>
        </row>
        <row r="1748">
          <cell r="A1748">
            <v>10072</v>
          </cell>
        </row>
        <row r="1749">
          <cell r="A1749">
            <v>10073</v>
          </cell>
        </row>
        <row r="1750">
          <cell r="A1750">
            <v>10074</v>
          </cell>
        </row>
        <row r="1751">
          <cell r="A1751">
            <v>10075</v>
          </cell>
        </row>
        <row r="1752">
          <cell r="A1752">
            <v>10076</v>
          </cell>
        </row>
        <row r="1753">
          <cell r="A1753">
            <v>10077</v>
          </cell>
        </row>
        <row r="1754">
          <cell r="A1754">
            <v>10078</v>
          </cell>
        </row>
        <row r="1755">
          <cell r="A1755">
            <v>10079</v>
          </cell>
        </row>
        <row r="1756">
          <cell r="A1756">
            <v>10080</v>
          </cell>
        </row>
        <row r="1757">
          <cell r="A1757">
            <v>10081</v>
          </cell>
        </row>
        <row r="1758">
          <cell r="A1758">
            <v>10082</v>
          </cell>
        </row>
        <row r="1759">
          <cell r="A1759">
            <v>10083</v>
          </cell>
        </row>
        <row r="1760">
          <cell r="A1760">
            <v>10084</v>
          </cell>
        </row>
        <row r="1761">
          <cell r="A1761">
            <v>10085</v>
          </cell>
        </row>
        <row r="1762">
          <cell r="A1762">
            <v>10086</v>
          </cell>
        </row>
        <row r="1763">
          <cell r="A1763">
            <v>10087</v>
          </cell>
        </row>
        <row r="1764">
          <cell r="A1764">
            <v>10088</v>
          </cell>
        </row>
        <row r="1765">
          <cell r="A1765">
            <v>10089</v>
          </cell>
        </row>
        <row r="1766">
          <cell r="A1766">
            <v>10090</v>
          </cell>
        </row>
        <row r="1767">
          <cell r="A1767">
            <v>10101</v>
          </cell>
        </row>
        <row r="1768">
          <cell r="A1768">
            <v>10102</v>
          </cell>
        </row>
        <row r="1769">
          <cell r="A1769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I6" sqref="I6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257</v>
      </c>
      <c r="B2" s="57" t="s">
        <v>105</v>
      </c>
      <c r="C2" s="63">
        <v>40039</v>
      </c>
      <c r="D2" s="57" t="s">
        <v>106</v>
      </c>
      <c r="E2" s="56" t="str">
        <f>B2&amp;C2&amp;D2</f>
        <v>floors_40039.tmp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257</v>
      </c>
      <c r="B3" s="57" t="s">
        <v>108</v>
      </c>
      <c r="C3" s="63">
        <v>40039</v>
      </c>
      <c r="D3" s="57" t="s">
        <v>106</v>
      </c>
      <c r="E3" s="56" t="str">
        <f>B3&amp;C3&amp;D3</f>
        <v>enemy_habitats_40039.tmp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178</v>
      </c>
    </row>
    <row r="4" spans="1:30" x14ac:dyDescent="0.15">
      <c r="A4" s="61" t="s">
        <v>257</v>
      </c>
      <c r="B4" s="57" t="s">
        <v>110</v>
      </c>
      <c r="C4" s="63">
        <v>40039</v>
      </c>
      <c r="D4" s="57" t="s">
        <v>106</v>
      </c>
      <c r="E4" s="56" t="str">
        <f>B4&amp;C4&amp;D4</f>
        <v>enemy_habitat_S_40039.tmp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257</v>
      </c>
      <c r="B5" s="57" t="s">
        <v>112</v>
      </c>
      <c r="C5" s="63">
        <v>40039</v>
      </c>
      <c r="D5" s="57" t="s">
        <v>106</v>
      </c>
      <c r="E5" s="56" t="str">
        <f>B5&amp;C5&amp;D5</f>
        <v>enemy_skill_sets_40039.tmp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257</v>
      </c>
      <c r="B6" s="57" t="s">
        <v>114</v>
      </c>
      <c r="C6" s="63">
        <v>40039</v>
      </c>
      <c r="D6" s="57" t="s">
        <v>115</v>
      </c>
      <c r="E6" s="56" t="str">
        <f t="shared" ref="E6:E10" si="0">B6&amp;C6&amp;D6</f>
        <v>enemy_skills_tmp_40039.tmp</v>
      </c>
      <c r="F6" s="57" t="s">
        <v>89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257</v>
      </c>
      <c r="B7" s="57" t="s">
        <v>116</v>
      </c>
      <c r="C7" s="63">
        <v>40039</v>
      </c>
      <c r="D7" s="57" t="s">
        <v>106</v>
      </c>
      <c r="E7" s="56" t="str">
        <f>B7&amp;C7&amp;D7</f>
        <v>enemy_skills_i18n_40039.tmp</v>
      </c>
      <c r="F7" s="57" t="s">
        <v>117</v>
      </c>
      <c r="G7" s="58" t="s">
        <v>79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257</v>
      </c>
      <c r="B8" s="57" t="s">
        <v>118</v>
      </c>
      <c r="C8" s="63">
        <v>40039</v>
      </c>
      <c r="D8" s="57" t="s">
        <v>119</v>
      </c>
      <c r="E8" s="56" t="str">
        <f t="shared" si="0"/>
        <v>enemy_skill_triggers_40039.tmp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257</v>
      </c>
      <c r="B9" s="68" t="s">
        <v>177</v>
      </c>
      <c r="C9" s="63">
        <v>40039</v>
      </c>
      <c r="D9" s="68" t="s">
        <v>171</v>
      </c>
      <c r="E9" s="69" t="str">
        <f t="shared" si="0"/>
        <v>stage_bug_bonuses_40039.tmp</v>
      </c>
      <c r="F9" s="68" t="s">
        <v>172</v>
      </c>
      <c r="G9" s="65" t="s">
        <v>149</v>
      </c>
      <c r="H9" s="65" t="s">
        <v>173</v>
      </c>
      <c r="I9" s="65" t="s">
        <v>174</v>
      </c>
      <c r="J9" s="67" t="s">
        <v>175</v>
      </c>
      <c r="K9" s="65" t="s">
        <v>176</v>
      </c>
      <c r="L9" s="65" t="s">
        <v>155</v>
      </c>
      <c r="M9" s="65" t="s">
        <v>156</v>
      </c>
      <c r="N9" s="65" t="s">
        <v>157</v>
      </c>
      <c r="O9" s="65" t="s">
        <v>158</v>
      </c>
      <c r="P9" s="65" t="s">
        <v>159</v>
      </c>
      <c r="Q9" s="65" t="s">
        <v>160</v>
      </c>
      <c r="R9" s="65" t="s">
        <v>161</v>
      </c>
      <c r="S9" s="65" t="s">
        <v>162</v>
      </c>
      <c r="T9" s="65" t="s">
        <v>163</v>
      </c>
      <c r="U9" s="65" t="s">
        <v>164</v>
      </c>
      <c r="V9" s="65" t="s">
        <v>165</v>
      </c>
      <c r="W9" s="65" t="s">
        <v>166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187</v>
      </c>
      <c r="B10" s="68" t="s">
        <v>202</v>
      </c>
      <c r="C10" s="63">
        <v>40039</v>
      </c>
      <c r="D10" s="68" t="s">
        <v>180</v>
      </c>
      <c r="E10" s="69" t="str">
        <f t="shared" si="0"/>
        <v>stage_hints_data_c_40039.tmp</v>
      </c>
      <c r="F10" s="68" t="s">
        <v>210</v>
      </c>
      <c r="G10" s="73" t="s">
        <v>181</v>
      </c>
      <c r="H10" s="73" t="s">
        <v>173</v>
      </c>
      <c r="I10" s="74" t="s">
        <v>182</v>
      </c>
      <c r="J10" s="67" t="s">
        <v>183</v>
      </c>
      <c r="K10" s="67" t="s">
        <v>184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5" customFormat="1" x14ac:dyDescent="0.15">
      <c r="A11" s="61" t="s">
        <v>257</v>
      </c>
      <c r="B11" s="68" t="s">
        <v>203</v>
      </c>
      <c r="C11" s="63">
        <v>40039</v>
      </c>
      <c r="D11" s="68" t="s">
        <v>171</v>
      </c>
      <c r="E11" s="69" t="str">
        <f t="shared" ref="E11:E13" si="1">B11&amp;C11&amp;D11</f>
        <v>stage_hints_data_f_40039.tmp</v>
      </c>
      <c r="F11" s="68" t="s">
        <v>211</v>
      </c>
      <c r="G11" s="73" t="s">
        <v>181</v>
      </c>
      <c r="H11" s="73" t="s">
        <v>173</v>
      </c>
      <c r="I11" s="74" t="s">
        <v>182</v>
      </c>
      <c r="J11" s="67" t="s">
        <v>183</v>
      </c>
      <c r="K11" s="67" t="s">
        <v>184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5" customFormat="1" x14ac:dyDescent="0.15">
      <c r="A12" s="61" t="s">
        <v>257</v>
      </c>
      <c r="B12" s="68" t="s">
        <v>204</v>
      </c>
      <c r="C12" s="63">
        <v>40039</v>
      </c>
      <c r="D12" s="68" t="s">
        <v>171</v>
      </c>
      <c r="E12" s="69" t="str">
        <f t="shared" si="1"/>
        <v>stage_hints_i18n_40039.tmp</v>
      </c>
      <c r="F12" s="68" t="s">
        <v>212</v>
      </c>
      <c r="G12" s="74" t="s">
        <v>205</v>
      </c>
      <c r="H12" s="93" t="s">
        <v>206</v>
      </c>
      <c r="I12" s="73" t="s">
        <v>207</v>
      </c>
      <c r="J12" s="101" t="s">
        <v>208</v>
      </c>
      <c r="K12" s="67" t="s">
        <v>209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5" customFormat="1" x14ac:dyDescent="0.15">
      <c r="A13" s="61" t="s">
        <v>257</v>
      </c>
      <c r="B13" s="68" t="s">
        <v>251</v>
      </c>
      <c r="C13" s="63">
        <v>40039</v>
      </c>
      <c r="D13" s="68" t="s">
        <v>232</v>
      </c>
      <c r="E13" s="69" t="str">
        <f t="shared" si="1"/>
        <v>stage_bonuses_40039.tmp</v>
      </c>
      <c r="F13" s="68" t="s">
        <v>231</v>
      </c>
      <c r="G13" s="73" t="s">
        <v>233</v>
      </c>
      <c r="H13" s="73" t="s">
        <v>234</v>
      </c>
      <c r="I13" s="73" t="s">
        <v>235</v>
      </c>
      <c r="J13" s="73" t="s">
        <v>236</v>
      </c>
      <c r="K13" s="73" t="s">
        <v>237</v>
      </c>
      <c r="L13" s="73" t="s">
        <v>238</v>
      </c>
      <c r="M13" s="73" t="s">
        <v>239</v>
      </c>
      <c r="N13" s="73" t="s">
        <v>240</v>
      </c>
      <c r="O13" s="73" t="s">
        <v>241</v>
      </c>
      <c r="P13" s="73" t="s">
        <v>242</v>
      </c>
      <c r="Q13" s="73" t="s">
        <v>243</v>
      </c>
      <c r="R13" s="73" t="s">
        <v>244</v>
      </c>
      <c r="S13" s="73" t="s">
        <v>245</v>
      </c>
      <c r="T13" s="73" t="s">
        <v>246</v>
      </c>
      <c r="U13" s="73" t="s">
        <v>247</v>
      </c>
      <c r="V13" s="73" t="s">
        <v>248</v>
      </c>
      <c r="W13" s="73" t="s">
        <v>249</v>
      </c>
      <c r="X13" s="73" t="s">
        <v>250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7"/>
  <sheetViews>
    <sheetView showGridLines="0" workbookViewId="0">
      <pane ySplit="1" topLeftCell="A2" activePane="bottomLeft" state="frozen"/>
      <selection activeCell="V2" sqref="V2:X34"/>
      <selection pane="bottomLeft" activeCell="J6" sqref="J6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40039_1-1</v>
      </c>
      <c r="B2" s="16" t="str">
        <f>IF(COUNTIF(enemy_habitats!$H:$H,A2),"OK","NG")</f>
        <v>OK</v>
      </c>
      <c r="C2" s="7">
        <v>40039</v>
      </c>
      <c r="D2" s="11" t="str">
        <f ca="1">VLOOKUP($C2,OFFSET([2]quests!$A$1,0,0,COUNTA([2]quests!$A:$A),MATCH(D$1,[2]quests!$1:$1,0)-MATCH($C$1,[2]quests!$1:$1,0)+1),MATCH(D$1,[2]quests!$1:$1,0)-MATCH($C$1,[2]quests!$1:$1,0)+1,FALSE)</f>
        <v>シェイクスピア襲来！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降臨39</v>
      </c>
      <c r="F2" s="21">
        <v>1</v>
      </c>
      <c r="G2" s="23" t="str">
        <f>C2&amp;"_"&amp;F2</f>
        <v>40039_1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【超絶級】シェイクスピア襲来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7" si="0">G3&amp;"-"&amp;I3</f>
        <v>40039_1-2</v>
      </c>
      <c r="B3" s="16" t="str">
        <f>IF(COUNTIF(enemy_habitats!$H:$H,A3),"OK","NG")</f>
        <v>OK</v>
      </c>
      <c r="C3" s="7">
        <v>40039</v>
      </c>
      <c r="D3" s="11" t="str">
        <f ca="1">VLOOKUP($C3,OFFSET([2]quests!$A$1,0,0,COUNTA([2]quests!$A:$A),MATCH(D$1,[2]quests!$1:$1,0)-MATCH($C$1,[2]quests!$1:$1,0)+1),MATCH(D$1,[2]quests!$1:$1,0)-MATCH($C$1,[2]quests!$1:$1,0)+1,FALSE)</f>
        <v>シェイクスピア襲来！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降臨39</v>
      </c>
      <c r="F3" s="21">
        <v>1</v>
      </c>
      <c r="G3" s="23" t="str">
        <f t="shared" ref="G3:G7" si="1">C3&amp;"_"&amp;F3</f>
        <v>40039_1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【超絶級】シェイクスピア襲来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40039_1-3</v>
      </c>
      <c r="B4" s="16" t="str">
        <f>IF(COUNTIF(enemy_habitats!$H:$H,A4),"OK","NG")</f>
        <v>OK</v>
      </c>
      <c r="C4" s="7">
        <v>40039</v>
      </c>
      <c r="D4" s="11" t="str">
        <f ca="1">VLOOKUP($C4,OFFSET([2]quests!$A$1,0,0,COUNTA([2]quests!$A:$A),MATCH(D$1,[2]quests!$1:$1,0)-MATCH($C$1,[2]quests!$1:$1,0)+1),MATCH(D$1,[2]quests!$1:$1,0)-MATCH($C$1,[2]quests!$1:$1,0)+1,FALSE)</f>
        <v>シェイクスピア襲来！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降臨39</v>
      </c>
      <c r="F4" s="21">
        <v>1</v>
      </c>
      <c r="G4" s="23" t="str">
        <f t="shared" si="1"/>
        <v>40039_1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【超絶級】シェイクスピア襲来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40039_2-1</v>
      </c>
      <c r="B5" s="16" t="str">
        <f>IF(COUNTIF(enemy_habitats!$H:$H,A5),"OK","NG")</f>
        <v>OK</v>
      </c>
      <c r="C5" s="7">
        <v>40039</v>
      </c>
      <c r="D5" s="11" t="str">
        <f ca="1">VLOOKUP($C5,OFFSET([2]quests!$A$1,0,0,COUNTA([2]quests!$A:$A),MATCH(D$1,[2]quests!$1:$1,0)-MATCH($C$1,[2]quests!$1:$1,0)+1),MATCH(D$1,[2]quests!$1:$1,0)-MATCH($C$1,[2]quests!$1:$1,0)+1,FALSE)</f>
        <v>シェイクスピア襲来！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降臨39</v>
      </c>
      <c r="F5" s="21">
        <v>2</v>
      </c>
      <c r="G5" s="23" t="str">
        <f t="shared" si="1"/>
        <v>40039_2</v>
      </c>
      <c r="H5" s="15" t="str">
        <f ca="1">VLOOKUP($G5,OFFSET([2]stages!$A$1,0,0,COUNTA([2]stages!$A:$A),MATCH(H$1,[2]stages!$2:$2,0)-MATCH($G$1,[2]stages!$2:$2,0)+1),MATCH(H$1,[2]stages!$2:$2,0)-MATCH($G$1,[2]stages!$2:$2,0)+1,FALSE)</f>
        <v>【ウィザード級】シェイクスピア襲来</v>
      </c>
      <c r="I5" s="21">
        <v>1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40039_2-2</v>
      </c>
      <c r="B6" s="16" t="str">
        <f>IF(COUNTIF(enemy_habitats!$H:$H,A6),"OK","NG")</f>
        <v>OK</v>
      </c>
      <c r="C6" s="7">
        <v>40039</v>
      </c>
      <c r="D6" s="11" t="str">
        <f ca="1">VLOOKUP($C6,OFFSET([2]quests!$A$1,0,0,COUNTA([2]quests!$A:$A),MATCH(D$1,[2]quests!$1:$1,0)-MATCH($C$1,[2]quests!$1:$1,0)+1),MATCH(D$1,[2]quests!$1:$1,0)-MATCH($C$1,[2]quests!$1:$1,0)+1,FALSE)</f>
        <v>シェイクスピア襲来！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降臨39</v>
      </c>
      <c r="F6" s="21">
        <v>2</v>
      </c>
      <c r="G6" s="23" t="str">
        <f t="shared" si="1"/>
        <v>40039_2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【ウィザード級】シェイクスピア襲来</v>
      </c>
      <c r="I6" s="21">
        <v>2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40039_2-3</v>
      </c>
      <c r="B7" s="16" t="str">
        <f>IF(COUNTIF(enemy_habitats!$H:$H,A7),"OK","NG")</f>
        <v>OK</v>
      </c>
      <c r="C7" s="7">
        <v>40039</v>
      </c>
      <c r="D7" s="11" t="str">
        <f ca="1">VLOOKUP($C7,OFFSET([2]quests!$A$1,0,0,COUNTA([2]quests!$A:$A),MATCH(D$1,[2]quests!$1:$1,0)-MATCH($C$1,[2]quests!$1:$1,0)+1),MATCH(D$1,[2]quests!$1:$1,0)-MATCH($C$1,[2]quests!$1:$1,0)+1,FALSE)</f>
        <v>シェイクスピア襲来！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降臨39</v>
      </c>
      <c r="F7" s="21">
        <v>2</v>
      </c>
      <c r="G7" s="23" t="str">
        <f t="shared" si="1"/>
        <v>40039_2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【ウィザード級】シェイクスピア襲来</v>
      </c>
      <c r="I7" s="21">
        <v>3</v>
      </c>
      <c r="J7" s="12">
        <v>60</v>
      </c>
      <c r="K7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3"/>
  <sheetViews>
    <sheetView showGridLines="0" zoomScale="75" zoomScaleNormal="75" zoomScalePageLayoutView="75" workbookViewId="0">
      <pane xSplit="17" ySplit="1" topLeftCell="Y2" activePane="bottomRight" state="frozen"/>
      <selection pane="topRight" activeCell="N1" sqref="N1"/>
      <selection pane="bottomLeft" activeCell="A2" sqref="A2"/>
      <selection pane="bottomRight" activeCell="U8" sqref="U8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2" t="s">
        <v>252</v>
      </c>
      <c r="U1" s="26" t="s">
        <v>50</v>
      </c>
      <c r="V1" s="102" t="s">
        <v>253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>B2&amp;"_"&amp;C2&amp;"-"&amp;G2&amp;"/"&amp;L2&amp;"&lt;lv"&amp;R2&amp;"&gt;s"&amp;AC2</f>
        <v>40039_1-1/162&lt;lv80&gt;s2</v>
      </c>
      <c r="B2" s="22">
        <v>40039</v>
      </c>
      <c r="C2" s="21">
        <v>1</v>
      </c>
      <c r="D2" s="2" t="str">
        <f>B2&amp;"_"&amp;C2</f>
        <v>40039_1</v>
      </c>
      <c r="E2" s="4" t="str">
        <f ca="1">VLOOKUP($B2,OFFSET([2]quests!$A$1,0,0,COUNTA([2]quests!$A:$A),MATCH(E$1,[2]quests!$1:$1,0)-MATCH($B$1,[2]quests!$1:$1,0)+1),MATCH(E$1,[2]quests!$1:$1,0)-MATCH($B$1,[2]quests!$1:$1,0)+1,FALSE)</f>
        <v>シェイクスピア襲来！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【超絶級】シェイクスピア襲来</v>
      </c>
      <c r="G2" s="21">
        <v>1</v>
      </c>
      <c r="H2" s="15" t="str">
        <f>B2&amp;"_"&amp;C2&amp;"-"&amp;G2</f>
        <v>40039_1-1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254</v>
      </c>
      <c r="L2" s="20">
        <v>162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狂女 クララ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80</v>
      </c>
      <c r="S2" s="25">
        <v>0.8</v>
      </c>
      <c r="T2" s="103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67416.800000000003</v>
      </c>
      <c r="U2" s="25">
        <v>0.4</v>
      </c>
      <c r="V2" s="103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3937.2000000000003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赤属性のユニットに大ダメージの全体攻撃</v>
      </c>
      <c r="Y2" s="62">
        <v>40039000</v>
      </c>
      <c r="Z2" s="6">
        <v>1</v>
      </c>
      <c r="AA2" s="6">
        <v>100</v>
      </c>
      <c r="AB2" s="6">
        <v>0</v>
      </c>
      <c r="AC2" s="114">
        <v>2</v>
      </c>
      <c r="AD2" s="24">
        <f>L2</f>
        <v>162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狂女 クララ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2" s="7">
        <v>1</v>
      </c>
      <c r="AI2" s="24">
        <f ca="1">AF2</f>
        <v>3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ref="A3:A7" si="0">B3&amp;"_"&amp;C3&amp;"-"&amp;G3&amp;"/"&amp;L3&amp;"&lt;lv"&amp;R3&amp;"&gt;s"&amp;AC3</f>
        <v>40039_1-1/223&lt;lv80&gt;s2</v>
      </c>
      <c r="B3" s="22">
        <v>40039</v>
      </c>
      <c r="C3" s="21">
        <v>1</v>
      </c>
      <c r="D3" s="2" t="str">
        <f t="shared" ref="D3:D7" si="1">B3&amp;"_"&amp;C3</f>
        <v>40039_1</v>
      </c>
      <c r="E3" s="4" t="str">
        <f ca="1">VLOOKUP($B3,OFFSET([2]quests!$A$1,0,0,COUNTA([2]quests!$A:$A),MATCH(E$1,[2]quests!$1:$1,0)-MATCH($B$1,[2]quests!$1:$1,0)+1),MATCH(E$1,[2]quests!$1:$1,0)-MATCH($B$1,[2]quests!$1:$1,0)+1,FALSE)</f>
        <v>シェイクスピア襲来！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【超絶級】シェイクスピア襲来</v>
      </c>
      <c r="G3" s="21">
        <v>1</v>
      </c>
      <c r="H3" s="15" t="str">
        <f t="shared" ref="H3:H7" si="2">B3&amp;"_"&amp;C3&amp;"-"&amp;G3</f>
        <v>40039_1-1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254</v>
      </c>
      <c r="L3" s="20">
        <v>223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ヘラクレス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80</v>
      </c>
      <c r="S3" s="25">
        <v>0.7</v>
      </c>
      <c r="T3" s="103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57810.2</v>
      </c>
      <c r="U3" s="25">
        <v>0.5</v>
      </c>
      <c r="V3" s="103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3814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彼らはシェイクスピアの「干渉」を受けているようだ</v>
      </c>
      <c r="Y3" s="62">
        <v>40039020</v>
      </c>
      <c r="Z3" s="6">
        <v>1</v>
      </c>
      <c r="AA3" s="6">
        <v>100</v>
      </c>
      <c r="AB3" s="6">
        <v>1</v>
      </c>
      <c r="AC3" s="114">
        <v>2</v>
      </c>
      <c r="AD3" s="24">
        <f t="shared" ref="AD3:AD7" si="3">L3</f>
        <v>223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ヘラクレス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3" s="7">
        <v>1</v>
      </c>
      <c r="AI3" s="24">
        <f t="shared" ref="AI3:AI7" ca="1" si="4">AF3</f>
        <v>3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40039_1-1/220&lt;lv80&gt;s2</v>
      </c>
      <c r="B4" s="22">
        <v>40039</v>
      </c>
      <c r="C4" s="21">
        <v>1</v>
      </c>
      <c r="D4" s="2" t="str">
        <f t="shared" si="1"/>
        <v>40039_1</v>
      </c>
      <c r="E4" s="4" t="str">
        <f ca="1">VLOOKUP($B4,OFFSET([2]quests!$A$1,0,0,COUNTA([2]quests!$A:$A),MATCH(E$1,[2]quests!$1:$1,0)-MATCH($B$1,[2]quests!$1:$1,0)+1),MATCH(E$1,[2]quests!$1:$1,0)-MATCH($B$1,[2]quests!$1:$1,0)+1,FALSE)</f>
        <v>シェイクスピア襲来！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【超絶級】シェイクスピア襲来</v>
      </c>
      <c r="G4" s="21">
        <v>1</v>
      </c>
      <c r="H4" s="15" t="str">
        <f t="shared" si="2"/>
        <v>40039_1-1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254</v>
      </c>
      <c r="L4" s="20">
        <v>220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ルキフグス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god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80</v>
      </c>
      <c r="S4" s="25">
        <v>0.8</v>
      </c>
      <c r="T4" s="103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68851.199999999997</v>
      </c>
      <c r="U4" s="25">
        <v>0.5</v>
      </c>
      <c r="V4" s="103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3812.5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赤パネルをお邪魔パネルに2個変換+単体攻撃</v>
      </c>
      <c r="Y4" s="62">
        <v>40039040</v>
      </c>
      <c r="Z4" s="6">
        <v>1</v>
      </c>
      <c r="AA4" s="6">
        <v>100</v>
      </c>
      <c r="AB4" s="6">
        <v>0</v>
      </c>
      <c r="AC4" s="114">
        <v>2</v>
      </c>
      <c r="AD4" s="24">
        <f t="shared" si="3"/>
        <v>220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ルキフグス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4" s="7">
        <v>1</v>
      </c>
      <c r="AI4" s="24">
        <f t="shared" ca="1" si="4"/>
        <v>3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40039_1-2/933&lt;lv80&gt;s2</v>
      </c>
      <c r="B5" s="22">
        <v>40039</v>
      </c>
      <c r="C5" s="21">
        <v>1</v>
      </c>
      <c r="D5" s="2" t="str">
        <f t="shared" si="1"/>
        <v>40039_1</v>
      </c>
      <c r="E5" s="4" t="str">
        <f ca="1">VLOOKUP($B5,OFFSET([2]quests!$A$1,0,0,COUNTA([2]quests!$A:$A),MATCH(E$1,[2]quests!$1:$1,0)-MATCH($B$1,[2]quests!$1:$1,0)+1),MATCH(E$1,[2]quests!$1:$1,0)-MATCH($B$1,[2]quests!$1:$1,0)+1,FALSE)</f>
        <v>シェイクスピア襲来！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【超絶級】シェイクスピア襲来</v>
      </c>
      <c r="G5" s="21">
        <v>2</v>
      </c>
      <c r="H5" s="15" t="str">
        <f t="shared" si="2"/>
        <v>40039_1-2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254</v>
      </c>
      <c r="L5" s="20">
        <v>933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ヴェルサイユ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80</v>
      </c>
      <c r="S5" s="25">
        <v>1.7</v>
      </c>
      <c r="T5" s="103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176512.69999999998</v>
      </c>
      <c r="U5" s="25">
        <v>0.4</v>
      </c>
      <c r="V5" s="103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4440.4000000000005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赤パネルを黄のダメージパネルに変換</v>
      </c>
      <c r="Y5" s="62">
        <v>40039100</v>
      </c>
      <c r="Z5" s="6">
        <v>1</v>
      </c>
      <c r="AA5" s="6">
        <v>100</v>
      </c>
      <c r="AB5" s="6">
        <v>0</v>
      </c>
      <c r="AC5" s="114">
        <v>2</v>
      </c>
      <c r="AD5" s="24">
        <f t="shared" si="3"/>
        <v>933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ヴェルサイユ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7">
        <v>1</v>
      </c>
      <c r="AI5" s="24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0"/>
        <v>40039_1-2/251&lt;lv80&gt;s2</v>
      </c>
      <c r="B6" s="22">
        <v>40039</v>
      </c>
      <c r="C6" s="21">
        <v>1</v>
      </c>
      <c r="D6" s="2" t="str">
        <f t="shared" si="1"/>
        <v>40039_1</v>
      </c>
      <c r="E6" s="4" t="str">
        <f ca="1">VLOOKUP($B6,OFFSET([2]quests!$A$1,0,0,COUNTA([2]quests!$A:$A),MATCH(E$1,[2]quests!$1:$1,0)-MATCH($B$1,[2]quests!$1:$1,0)+1),MATCH(E$1,[2]quests!$1:$1,0)-MATCH($B$1,[2]quests!$1:$1,0)+1,FALSE)</f>
        <v>シェイクスピア襲来！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【超絶級】シェイクスピア襲来</v>
      </c>
      <c r="G6" s="21">
        <v>2</v>
      </c>
      <c r="H6" s="15" t="str">
        <f t="shared" si="2"/>
        <v>40039_1-2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254</v>
      </c>
      <c r="L6" s="20">
        <v>251</v>
      </c>
      <c r="M6" s="17" t="str">
        <f ca="1">VLOOKUP($L6,OFFSET([3]enemies!$A$1,0,0,COUNTA([3]enemies!$A:$A),MATCH(M$1,[3]enemies!$1:$1,0)-MATCH($L$1,[3]enemies!$1:$1,0)+1),MATCH(M$1,[3]enemies!$1:$1,0)-MATCH($L$1,[3]enemies!$1:$1,0)+1,FALSE)</f>
        <v>強欲 マンモン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80</v>
      </c>
      <c r="S6" s="25">
        <v>1.5</v>
      </c>
      <c r="T6" s="103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152568</v>
      </c>
      <c r="U6" s="25">
        <v>0.7</v>
      </c>
      <c r="V6" s="103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6018.5999999999995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緑属性のユニットに大ダメージの全体攻撃</v>
      </c>
      <c r="Y6" s="62">
        <v>40039120</v>
      </c>
      <c r="Z6" s="6">
        <v>1</v>
      </c>
      <c r="AA6" s="6">
        <v>100</v>
      </c>
      <c r="AB6" s="6">
        <v>0</v>
      </c>
      <c r="AC6" s="114">
        <v>2</v>
      </c>
      <c r="AD6" s="24">
        <f t="shared" si="3"/>
        <v>251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強欲 マンモン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7">
        <v>1</v>
      </c>
      <c r="AI6" s="24">
        <f t="shared" ca="1" si="4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si="0"/>
        <v>40039_1-3/1220&lt;lv80&gt;s2</v>
      </c>
      <c r="B7" s="22">
        <v>40039</v>
      </c>
      <c r="C7" s="21">
        <v>1</v>
      </c>
      <c r="D7" s="2" t="str">
        <f t="shared" si="1"/>
        <v>40039_1</v>
      </c>
      <c r="E7" s="4" t="str">
        <f ca="1">VLOOKUP($B7,OFFSET([2]quests!$A$1,0,0,COUNTA([2]quests!$A:$A),MATCH(E$1,[2]quests!$1:$1,0)-MATCH($B$1,[2]quests!$1:$1,0)+1),MATCH(E$1,[2]quests!$1:$1,0)-MATCH($B$1,[2]quests!$1:$1,0)+1,FALSE)</f>
        <v>シェイクスピア襲来！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【超絶級】シェイクスピア襲来</v>
      </c>
      <c r="G7" s="21">
        <v>3</v>
      </c>
      <c r="H7" s="15" t="str">
        <f t="shared" si="2"/>
        <v>40039_1-3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20">
        <v>1220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シェイクスピア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80</v>
      </c>
      <c r="S7" s="25">
        <v>1.8</v>
      </c>
      <c r="T7" s="103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229737.60000000001</v>
      </c>
      <c r="U7" s="25">
        <v>0.5</v>
      </c>
      <c r="V7" s="103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4449.5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低確率でお邪魔パネルをドロップ+_x000D_緑属性のユニットの攻撃力DOWN</v>
      </c>
      <c r="Y7" s="62">
        <v>40039200</v>
      </c>
      <c r="Z7" s="6">
        <v>1</v>
      </c>
      <c r="AA7" s="6">
        <v>100</v>
      </c>
      <c r="AB7" s="6">
        <v>1</v>
      </c>
      <c r="AC7" s="114">
        <v>2</v>
      </c>
      <c r="AD7" s="24">
        <f t="shared" si="3"/>
        <v>1220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シェイクスピア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7">
        <v>1</v>
      </c>
      <c r="AI7" s="24">
        <f t="shared" ca="1" si="4"/>
        <v>5</v>
      </c>
      <c r="AJ7" s="116">
        <v>15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x14ac:dyDescent="0.15">
      <c r="A8" s="16" t="str">
        <f>B8&amp;"_"&amp;C8&amp;"-"&amp;G8&amp;"/"&amp;L8&amp;"&lt;lv"&amp;R8&amp;"&gt;s"&amp;AC8</f>
        <v>40039_2-1/162&lt;lv80&gt;s2</v>
      </c>
      <c r="B8" s="22">
        <v>40039</v>
      </c>
      <c r="C8" s="107">
        <v>2</v>
      </c>
      <c r="D8" s="107" t="str">
        <f>B8&amp;"_"&amp;C8</f>
        <v>40039_2</v>
      </c>
      <c r="E8" s="108" t="str">
        <f ca="1">VLOOKUP($B8,OFFSET([2]quests!$A$1,0,0,COUNTA([2]quests!$A:$A),MATCH(E$1,[2]quests!$1:$1,0)-MATCH($B$1,[2]quests!$1:$1,0)+1),MATCH(E$1,[2]quests!$1:$1,0)-MATCH($B$1,[2]quests!$1:$1,0)+1,FALSE)</f>
        <v>シェイクスピア襲来！</v>
      </c>
      <c r="F8" s="108" t="str">
        <f ca="1">VLOOKUP($D8,OFFSET([2]stages!$A$1,0,0,COUNTA([2]stages!$A:$A),MATCH(F$1,[2]stages!$2:$2,0)-MATCH($D$1,[2]stages!$2:$2,0)+1),MATCH(F$1,[2]stages!$2:$2,0)-MATCH($D$1,[2]stages!$2:$2,0)+1,FALSE)</f>
        <v>【ウィザード級】シェイクスピア襲来</v>
      </c>
      <c r="G8" s="107">
        <v>1</v>
      </c>
      <c r="H8" s="109" t="str">
        <f>B8&amp;"_"&amp;C8&amp;"-"&amp;G8</f>
        <v>40039_2-1</v>
      </c>
      <c r="I8" s="108">
        <f ca="1">VLOOKUP($H8,OFFSET(floors!$A$1,0,0,COUNTA(floors!$A:$A),MATCH(I$1,floors!$1:$1,0)-MATCH($H$1,floors!$1:$1,0)+1),MATCH(I$1,floors!$1:$1,0)-MATCH($H$1,floors!$1:$1,0)+1,FALSE)</f>
        <v>60</v>
      </c>
      <c r="J8" s="108">
        <f ca="1">VLOOKUP($H8,OFFSET(floors!$A$1,0,0,COUNTA(floors!$A:$A),MATCH(J$1,floors!$1:$1,0)-MATCH($H$1,floors!$1:$1,0)+1),MATCH(J$1,floors!$1:$1,0)-MATCH($H$1,floors!$1:$1,0)+1,FALSE)</f>
        <v>60</v>
      </c>
      <c r="K8" s="110" t="s">
        <v>254</v>
      </c>
      <c r="L8" s="107">
        <v>162</v>
      </c>
      <c r="M8" s="111" t="str">
        <f ca="1">VLOOKUP($L8,OFFSET([3]enemies!$A$1,0,0,COUNTA([3]enemies!$A:$A),MATCH(M$1,[3]enemies!$1:$1,0)-MATCH($L$1,[3]enemies!$1:$1,0)+1),MATCH(M$1,[3]enemies!$1:$1,0)-MATCH($L$1,[3]enemies!$1:$1,0)+1,FALSE)</f>
        <v>狂女 クララ</v>
      </c>
      <c r="N8" s="111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11" t="str">
        <f ca="1">VLOOKUP($L8,OFFSET([4]characters!$A$1,0,0,COUNTA([4]characters!$A:$A),MATCH(O$1,[4]characters!$1:$1,0)-MATCH($L$1,[4]characters!$1:$1,0)+1),MATCH(O$1,[4]characters!$1:$1,0)-MATCH($L$1,[4]characters!$1:$1,0)+1,FALSE)</f>
        <v>PremiumW</v>
      </c>
      <c r="P8" s="111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11">
        <f ca="1">VLOOKUP($L8,OFFSET([3]enemies!$A$1,0,0,COUNTA([3]enemies!$A:$A),MATCH(Q$1,[3]enemies!$1:$1,0)-MATCH($L$1,[3]enemies!$1:$1,0)+1),MATCH(Q$1,[3]enemies!$1:$1,0)-MATCH($L$1,[3]enemies!$1:$1,0)+1,FALSE)</f>
        <v>20</v>
      </c>
      <c r="R8" s="112">
        <v>80</v>
      </c>
      <c r="S8" s="113">
        <v>1.1000000000000001</v>
      </c>
      <c r="T8" s="103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92698.1</v>
      </c>
      <c r="U8" s="113">
        <v>0.6</v>
      </c>
      <c r="V8" s="103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5905.8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赤属性のユニットに大ダメージの全体攻撃</v>
      </c>
      <c r="Y8" s="105">
        <v>40039500</v>
      </c>
      <c r="Z8" s="106">
        <v>1</v>
      </c>
      <c r="AA8" s="106">
        <v>100</v>
      </c>
      <c r="AB8" s="106">
        <v>0</v>
      </c>
      <c r="AC8" s="115">
        <v>2</v>
      </c>
      <c r="AD8" s="24">
        <f>L8</f>
        <v>162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狂女 クララ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3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8" s="7">
        <v>1</v>
      </c>
      <c r="AI8" s="24">
        <f ca="1">AF8</f>
        <v>3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  <row r="9" spans="1:42" ht="21" customHeight="1" x14ac:dyDescent="0.15">
      <c r="A9" s="16" t="str">
        <f t="shared" ref="A9:A13" si="5">B9&amp;"_"&amp;C9&amp;"-"&amp;G9&amp;"/"&amp;L9&amp;"&lt;lv"&amp;R9&amp;"&gt;s"&amp;AC9</f>
        <v>40039_2-1/223&lt;lv80&gt;s2</v>
      </c>
      <c r="B9" s="22">
        <v>40039</v>
      </c>
      <c r="C9" s="107">
        <v>2</v>
      </c>
      <c r="D9" s="107" t="str">
        <f t="shared" ref="D9:D13" si="6">B9&amp;"_"&amp;C9</f>
        <v>40039_2</v>
      </c>
      <c r="E9" s="108" t="str">
        <f ca="1">VLOOKUP($B9,OFFSET([2]quests!$A$1,0,0,COUNTA([2]quests!$A:$A),MATCH(E$1,[2]quests!$1:$1,0)-MATCH($B$1,[2]quests!$1:$1,0)+1),MATCH(E$1,[2]quests!$1:$1,0)-MATCH($B$1,[2]quests!$1:$1,0)+1,FALSE)</f>
        <v>シェイクスピア襲来！</v>
      </c>
      <c r="F9" s="108" t="str">
        <f ca="1">VLOOKUP($D9,OFFSET([2]stages!$A$1,0,0,COUNTA([2]stages!$A:$A),MATCH(F$1,[2]stages!$2:$2,0)-MATCH($D$1,[2]stages!$2:$2,0)+1),MATCH(F$1,[2]stages!$2:$2,0)-MATCH($D$1,[2]stages!$2:$2,0)+1,FALSE)</f>
        <v>【ウィザード級】シェイクスピア襲来</v>
      </c>
      <c r="G9" s="107">
        <v>1</v>
      </c>
      <c r="H9" s="109" t="str">
        <f t="shared" ref="H9:H13" si="7">B9&amp;"_"&amp;C9&amp;"-"&amp;G9</f>
        <v>40039_2-1</v>
      </c>
      <c r="I9" s="108">
        <f ca="1">VLOOKUP($H9,OFFSET(floors!$A$1,0,0,COUNTA(floors!$A:$A),MATCH(I$1,floors!$1:$1,0)-MATCH($H$1,floors!$1:$1,0)+1),MATCH(I$1,floors!$1:$1,0)-MATCH($H$1,floors!$1:$1,0)+1,FALSE)</f>
        <v>60</v>
      </c>
      <c r="J9" s="108">
        <f ca="1">VLOOKUP($H9,OFFSET(floors!$A$1,0,0,COUNTA(floors!$A:$A),MATCH(J$1,floors!$1:$1,0)-MATCH($H$1,floors!$1:$1,0)+1),MATCH(J$1,floors!$1:$1,0)-MATCH($H$1,floors!$1:$1,0)+1,FALSE)</f>
        <v>60</v>
      </c>
      <c r="K9" s="110" t="s">
        <v>254</v>
      </c>
      <c r="L9" s="107">
        <v>223</v>
      </c>
      <c r="M9" s="111" t="str">
        <f ca="1">VLOOKUP($L9,OFFSET([3]enemies!$A$1,0,0,COUNTA([3]enemies!$A:$A),MATCH(M$1,[3]enemies!$1:$1,0)-MATCH($L$1,[3]enemies!$1:$1,0)+1),MATCH(M$1,[3]enemies!$1:$1,0)-MATCH($L$1,[3]enemies!$1:$1,0)+1,FALSE)</f>
        <v>ヘラクレス</v>
      </c>
      <c r="N9" s="111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11" t="str">
        <f ca="1">VLOOKUP($L9,OFFSET([4]characters!$A$1,0,0,COUNTA([4]characters!$A:$A),MATCH(O$1,[4]characters!$1:$1,0)-MATCH($L$1,[4]characters!$1:$1,0)+1),MATCH(O$1,[4]characters!$1:$1,0)-MATCH($L$1,[4]characters!$1:$1,0)+1,FALSE)</f>
        <v>PremiumN</v>
      </c>
      <c r="P9" s="111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11">
        <f ca="1">VLOOKUP($L9,OFFSET([3]enemies!$A$1,0,0,COUNTA([3]enemies!$A:$A),MATCH(Q$1,[3]enemies!$1:$1,0)-MATCH($L$1,[3]enemies!$1:$1,0)+1),MATCH(Q$1,[3]enemies!$1:$1,0)-MATCH($L$1,[3]enemies!$1:$1,0)+1,FALSE)</f>
        <v>20</v>
      </c>
      <c r="R9" s="112">
        <v>80</v>
      </c>
      <c r="S9" s="113">
        <v>1</v>
      </c>
      <c r="T9" s="103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82586</v>
      </c>
      <c r="U9" s="113">
        <v>0.7</v>
      </c>
      <c r="V9" s="103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5339.5999999999995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彼らはシェイクスピアの「干渉」を受けているようだ</v>
      </c>
      <c r="Y9" s="105">
        <v>40039520</v>
      </c>
      <c r="Z9" s="106">
        <v>1</v>
      </c>
      <c r="AA9" s="106">
        <v>100</v>
      </c>
      <c r="AB9" s="106">
        <v>1</v>
      </c>
      <c r="AC9" s="115">
        <v>2</v>
      </c>
      <c r="AD9" s="24">
        <f t="shared" ref="AD9:AD13" si="8">L9</f>
        <v>223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ヘラクレス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3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9" s="7">
        <v>1</v>
      </c>
      <c r="AI9" s="24">
        <f t="shared" ref="AI9:AI13" ca="1" si="9">AF9</f>
        <v>3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 t="shared" si="5"/>
        <v>40039_2-1/220&lt;lv80&gt;s2</v>
      </c>
      <c r="B10" s="22">
        <v>40039</v>
      </c>
      <c r="C10" s="107">
        <v>2</v>
      </c>
      <c r="D10" s="107" t="str">
        <f t="shared" si="6"/>
        <v>40039_2</v>
      </c>
      <c r="E10" s="108" t="str">
        <f ca="1">VLOOKUP($B10,OFFSET([2]quests!$A$1,0,0,COUNTA([2]quests!$A:$A),MATCH(E$1,[2]quests!$1:$1,0)-MATCH($B$1,[2]quests!$1:$1,0)+1),MATCH(E$1,[2]quests!$1:$1,0)-MATCH($B$1,[2]quests!$1:$1,0)+1,FALSE)</f>
        <v>シェイクスピア襲来！</v>
      </c>
      <c r="F10" s="108" t="str">
        <f ca="1">VLOOKUP($D10,OFFSET([2]stages!$A$1,0,0,COUNTA([2]stages!$A:$A),MATCH(F$1,[2]stages!$2:$2,0)-MATCH($D$1,[2]stages!$2:$2,0)+1),MATCH(F$1,[2]stages!$2:$2,0)-MATCH($D$1,[2]stages!$2:$2,0)+1,FALSE)</f>
        <v>【ウィザード級】シェイクスピア襲来</v>
      </c>
      <c r="G10" s="107">
        <v>1</v>
      </c>
      <c r="H10" s="109" t="str">
        <f t="shared" si="7"/>
        <v>40039_2-1</v>
      </c>
      <c r="I10" s="108">
        <f ca="1">VLOOKUP($H10,OFFSET(floors!$A$1,0,0,COUNTA(floors!$A:$A),MATCH(I$1,floors!$1:$1,0)-MATCH($H$1,floors!$1:$1,0)+1),MATCH(I$1,floors!$1:$1,0)-MATCH($H$1,floors!$1:$1,0)+1,FALSE)</f>
        <v>60</v>
      </c>
      <c r="J10" s="108">
        <f ca="1">VLOOKUP($H10,OFFSET(floors!$A$1,0,0,COUNTA(floors!$A:$A),MATCH(J$1,floors!$1:$1,0)-MATCH($H$1,floors!$1:$1,0)+1),MATCH(J$1,floors!$1:$1,0)-MATCH($H$1,floors!$1:$1,0)+1,FALSE)</f>
        <v>60</v>
      </c>
      <c r="K10" s="110" t="s">
        <v>254</v>
      </c>
      <c r="L10" s="107">
        <v>220</v>
      </c>
      <c r="M10" s="111" t="str">
        <f ca="1">VLOOKUP($L10,OFFSET([3]enemies!$A$1,0,0,COUNTA([3]enemies!$A:$A),MATCH(M$1,[3]enemies!$1:$1,0)-MATCH($L$1,[3]enemies!$1:$1,0)+1),MATCH(M$1,[3]enemies!$1:$1,0)-MATCH($L$1,[3]enemies!$1:$1,0)+1,FALSE)</f>
        <v>ルキフグス</v>
      </c>
      <c r="N10" s="111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11" t="str">
        <f ca="1">VLOOKUP($L10,OFFSET([4]characters!$A$1,0,0,COUNTA([4]characters!$A:$A),MATCH(O$1,[4]characters!$1:$1,0)-MATCH($L$1,[4]characters!$1:$1,0)+1),MATCH(O$1,[4]characters!$1:$1,0)-MATCH($L$1,[4]characters!$1:$1,0)+1,FALSE)</f>
        <v>PremiumN</v>
      </c>
      <c r="P10" s="111" t="str">
        <f ca="1">VLOOKUP($L10,OFFSET([3]enemies!$A$1,0,0,COUNTA([3]enemies!$A:$A),MATCH(P$1,[3]enemies!$1:$1,0)-MATCH($L$1,[3]enemies!$1:$1,0)+1),MATCH(P$1,[3]enemies!$1:$1,0)-MATCH($L$1,[3]enemies!$1:$1,0)+1,FALSE)</f>
        <v>god</v>
      </c>
      <c r="Q10" s="111">
        <f ca="1">VLOOKUP($L10,OFFSET([3]enemies!$A$1,0,0,COUNTA([3]enemies!$A:$A),MATCH(Q$1,[3]enemies!$1:$1,0)-MATCH($L$1,[3]enemies!$1:$1,0)+1),MATCH(Q$1,[3]enemies!$1:$1,0)-MATCH($L$1,[3]enemies!$1:$1,0)+1,FALSE)</f>
        <v>20</v>
      </c>
      <c r="R10" s="112">
        <v>80</v>
      </c>
      <c r="S10" s="113">
        <v>1.1000000000000001</v>
      </c>
      <c r="T10" s="103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94670.400000000009</v>
      </c>
      <c r="U10" s="113">
        <v>0.7</v>
      </c>
      <c r="V10" s="103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5337.5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赤パネルをお邪魔パネルに変換+単体攻撃</v>
      </c>
      <c r="Y10" s="105">
        <v>40039540</v>
      </c>
      <c r="Z10" s="106">
        <v>1</v>
      </c>
      <c r="AA10" s="106">
        <v>100</v>
      </c>
      <c r="AB10" s="106">
        <v>0</v>
      </c>
      <c r="AC10" s="115">
        <v>2</v>
      </c>
      <c r="AD10" s="24">
        <f t="shared" si="8"/>
        <v>220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ルキフグス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3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10" s="7">
        <v>1</v>
      </c>
      <c r="AI10" s="24">
        <f t="shared" ca="1" si="9"/>
        <v>3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 t="shared" si="5"/>
        <v>40039_2-2/933&lt;lv80&gt;s2</v>
      </c>
      <c r="B11" s="22">
        <v>40039</v>
      </c>
      <c r="C11" s="107">
        <v>2</v>
      </c>
      <c r="D11" s="107" t="str">
        <f t="shared" si="6"/>
        <v>40039_2</v>
      </c>
      <c r="E11" s="108" t="str">
        <f ca="1">VLOOKUP($B11,OFFSET([2]quests!$A$1,0,0,COUNTA([2]quests!$A:$A),MATCH(E$1,[2]quests!$1:$1,0)-MATCH($B$1,[2]quests!$1:$1,0)+1),MATCH(E$1,[2]quests!$1:$1,0)-MATCH($B$1,[2]quests!$1:$1,0)+1,FALSE)</f>
        <v>シェイクスピア襲来！</v>
      </c>
      <c r="F11" s="108" t="str">
        <f ca="1">VLOOKUP($D11,OFFSET([2]stages!$A$1,0,0,COUNTA([2]stages!$A:$A),MATCH(F$1,[2]stages!$2:$2,0)-MATCH($D$1,[2]stages!$2:$2,0)+1),MATCH(F$1,[2]stages!$2:$2,0)-MATCH($D$1,[2]stages!$2:$2,0)+1,FALSE)</f>
        <v>【ウィザード級】シェイクスピア襲来</v>
      </c>
      <c r="G11" s="107">
        <v>2</v>
      </c>
      <c r="H11" s="109" t="str">
        <f t="shared" si="7"/>
        <v>40039_2-2</v>
      </c>
      <c r="I11" s="108">
        <f ca="1">VLOOKUP($H11,OFFSET(floors!$A$1,0,0,COUNTA(floors!$A:$A),MATCH(I$1,floors!$1:$1,0)-MATCH($H$1,floors!$1:$1,0)+1),MATCH(I$1,floors!$1:$1,0)-MATCH($H$1,floors!$1:$1,0)+1,FALSE)</f>
        <v>60</v>
      </c>
      <c r="J11" s="108">
        <f ca="1">VLOOKUP($H11,OFFSET(floors!$A$1,0,0,COUNTA(floors!$A:$A),MATCH(J$1,floors!$1:$1,0)-MATCH($H$1,floors!$1:$1,0)+1),MATCH(J$1,floors!$1:$1,0)-MATCH($H$1,floors!$1:$1,0)+1,FALSE)</f>
        <v>60</v>
      </c>
      <c r="K11" s="110" t="s">
        <v>254</v>
      </c>
      <c r="L11" s="107">
        <v>933</v>
      </c>
      <c r="M11" s="111" t="str">
        <f ca="1">VLOOKUP($L11,OFFSET([3]enemies!$A$1,0,0,COUNTA([3]enemies!$A:$A),MATCH(M$1,[3]enemies!$1:$1,0)-MATCH($L$1,[3]enemies!$1:$1,0)+1),MATCH(M$1,[3]enemies!$1:$1,0)-MATCH($L$1,[3]enemies!$1:$1,0)+1,FALSE)</f>
        <v>ヴェルサイユ</v>
      </c>
      <c r="N11" s="111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11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11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11">
        <f ca="1">VLOOKUP($L11,OFFSET([3]enemies!$A$1,0,0,COUNTA([3]enemies!$A:$A),MATCH(Q$1,[3]enemies!$1:$1,0)-MATCH($L$1,[3]enemies!$1:$1,0)+1),MATCH(Q$1,[3]enemies!$1:$1,0)-MATCH($L$1,[3]enemies!$1:$1,0)+1,FALSE)</f>
        <v>30</v>
      </c>
      <c r="R11" s="112">
        <v>80</v>
      </c>
      <c r="S11" s="113">
        <v>2.4</v>
      </c>
      <c r="T11" s="103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249194.4</v>
      </c>
      <c r="U11" s="113">
        <v>0.6</v>
      </c>
      <c r="V11" s="103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6660.5999999999995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赤パネルを黄のダメージパネルに変換</v>
      </c>
      <c r="Y11" s="105">
        <v>40039600</v>
      </c>
      <c r="Z11" s="106">
        <v>1</v>
      </c>
      <c r="AA11" s="106">
        <v>100</v>
      </c>
      <c r="AB11" s="106">
        <v>0</v>
      </c>
      <c r="AC11" s="115">
        <v>2</v>
      </c>
      <c r="AD11" s="24">
        <f t="shared" si="8"/>
        <v>933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ヴェルサイユ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Drop2N</v>
      </c>
      <c r="AH11" s="7">
        <v>1</v>
      </c>
      <c r="AI11" s="24">
        <f t="shared" ca="1" si="9"/>
        <v>4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  <row r="12" spans="1:42" ht="21" customHeight="1" x14ac:dyDescent="0.15">
      <c r="A12" s="16" t="str">
        <f t="shared" si="5"/>
        <v>40039_2-2/251&lt;lv80&gt;s2</v>
      </c>
      <c r="B12" s="22">
        <v>40039</v>
      </c>
      <c r="C12" s="107">
        <v>2</v>
      </c>
      <c r="D12" s="107" t="str">
        <f t="shared" si="6"/>
        <v>40039_2</v>
      </c>
      <c r="E12" s="108" t="str">
        <f ca="1">VLOOKUP($B12,OFFSET([2]quests!$A$1,0,0,COUNTA([2]quests!$A:$A),MATCH(E$1,[2]quests!$1:$1,0)-MATCH($B$1,[2]quests!$1:$1,0)+1),MATCH(E$1,[2]quests!$1:$1,0)-MATCH($B$1,[2]quests!$1:$1,0)+1,FALSE)</f>
        <v>シェイクスピア襲来！</v>
      </c>
      <c r="F12" s="108" t="str">
        <f ca="1">VLOOKUP($D12,OFFSET([2]stages!$A$1,0,0,COUNTA([2]stages!$A:$A),MATCH(F$1,[2]stages!$2:$2,0)-MATCH($D$1,[2]stages!$2:$2,0)+1),MATCH(F$1,[2]stages!$2:$2,0)-MATCH($D$1,[2]stages!$2:$2,0)+1,FALSE)</f>
        <v>【ウィザード級】シェイクスピア襲来</v>
      </c>
      <c r="G12" s="107">
        <v>2</v>
      </c>
      <c r="H12" s="109" t="str">
        <f t="shared" si="7"/>
        <v>40039_2-2</v>
      </c>
      <c r="I12" s="108">
        <f ca="1">VLOOKUP($H12,OFFSET(floors!$A$1,0,0,COUNTA(floors!$A:$A),MATCH(I$1,floors!$1:$1,0)-MATCH($H$1,floors!$1:$1,0)+1),MATCH(I$1,floors!$1:$1,0)-MATCH($H$1,floors!$1:$1,0)+1,FALSE)</f>
        <v>60</v>
      </c>
      <c r="J12" s="108">
        <f ca="1">VLOOKUP($H12,OFFSET(floors!$A$1,0,0,COUNTA(floors!$A:$A),MATCH(J$1,floors!$1:$1,0)-MATCH($H$1,floors!$1:$1,0)+1),MATCH(J$1,floors!$1:$1,0)-MATCH($H$1,floors!$1:$1,0)+1,FALSE)</f>
        <v>60</v>
      </c>
      <c r="K12" s="110" t="s">
        <v>254</v>
      </c>
      <c r="L12" s="107">
        <v>251</v>
      </c>
      <c r="M12" s="111" t="str">
        <f ca="1">VLOOKUP($L12,OFFSET([3]enemies!$A$1,0,0,COUNTA([3]enemies!$A:$A),MATCH(M$1,[3]enemies!$1:$1,0)-MATCH($L$1,[3]enemies!$1:$1,0)+1),MATCH(M$1,[3]enemies!$1:$1,0)-MATCH($L$1,[3]enemies!$1:$1,0)+1,FALSE)</f>
        <v>強欲 マンモン</v>
      </c>
      <c r="N12" s="111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11" t="str">
        <f ca="1">VLOOKUP($L12,OFFSET([4]characters!$A$1,0,0,COUNTA([4]characters!$A:$A),MATCH(O$1,[4]characters!$1:$1,0)-MATCH($L$1,[4]characters!$1:$1,0)+1),MATCH(O$1,[4]characters!$1:$1,0)-MATCH($L$1,[4]characters!$1:$1,0)+1,FALSE)</f>
        <v>PremiumS</v>
      </c>
      <c r="P12" s="111" t="str">
        <f ca="1">VLOOKUP($L12,OFFSET([3]enemies!$A$1,0,0,COUNTA([3]enemies!$A:$A),MATCH(P$1,[3]enemies!$1:$1,0)-MATCH($L$1,[3]enemies!$1:$1,0)+1),MATCH(P$1,[3]enemies!$1:$1,0)-MATCH($L$1,[3]enemies!$1:$1,0)+1,FALSE)</f>
        <v>god</v>
      </c>
      <c r="Q12" s="111">
        <f ca="1">VLOOKUP($L12,OFFSET([3]enemies!$A$1,0,0,COUNTA([3]enemies!$A:$A),MATCH(Q$1,[3]enemies!$1:$1,0)-MATCH($L$1,[3]enemies!$1:$1,0)+1),MATCH(Q$1,[3]enemies!$1:$1,0)-MATCH($L$1,[3]enemies!$1:$1,0)+1,FALSE)</f>
        <v>30</v>
      </c>
      <c r="R12" s="112">
        <v>80</v>
      </c>
      <c r="S12" s="113">
        <v>2.2000000000000002</v>
      </c>
      <c r="T12" s="103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223766.40000000002</v>
      </c>
      <c r="U12" s="113">
        <v>1</v>
      </c>
      <c r="V12" s="103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8598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緑属性のユニットに大ダメージの全体攻撃</v>
      </c>
      <c r="Y12" s="105">
        <v>40039620</v>
      </c>
      <c r="Z12" s="106">
        <v>1</v>
      </c>
      <c r="AA12" s="106">
        <v>100</v>
      </c>
      <c r="AB12" s="106">
        <v>0</v>
      </c>
      <c r="AC12" s="115">
        <v>2</v>
      </c>
      <c r="AD12" s="24">
        <f t="shared" si="8"/>
        <v>251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強欲 マンモン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4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2" s="7">
        <v>1</v>
      </c>
      <c r="AI12" s="24">
        <f t="shared" ca="1" si="9"/>
        <v>4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70">
        <v>1</v>
      </c>
    </row>
    <row r="13" spans="1:42" ht="21" customHeight="1" x14ac:dyDescent="0.15">
      <c r="A13" s="16" t="str">
        <f t="shared" si="5"/>
        <v>40039_2-3/1220&lt;lv80&gt;s2</v>
      </c>
      <c r="B13" s="22">
        <v>40039</v>
      </c>
      <c r="C13" s="107">
        <v>2</v>
      </c>
      <c r="D13" s="107" t="str">
        <f t="shared" si="6"/>
        <v>40039_2</v>
      </c>
      <c r="E13" s="108" t="str">
        <f ca="1">VLOOKUP($B13,OFFSET([2]quests!$A$1,0,0,COUNTA([2]quests!$A:$A),MATCH(E$1,[2]quests!$1:$1,0)-MATCH($B$1,[2]quests!$1:$1,0)+1),MATCH(E$1,[2]quests!$1:$1,0)-MATCH($B$1,[2]quests!$1:$1,0)+1,FALSE)</f>
        <v>シェイクスピア襲来！</v>
      </c>
      <c r="F13" s="108" t="str">
        <f ca="1">VLOOKUP($D13,OFFSET([2]stages!$A$1,0,0,COUNTA([2]stages!$A:$A),MATCH(F$1,[2]stages!$2:$2,0)-MATCH($D$1,[2]stages!$2:$2,0)+1),MATCH(F$1,[2]stages!$2:$2,0)-MATCH($D$1,[2]stages!$2:$2,0)+1,FALSE)</f>
        <v>【ウィザード級】シェイクスピア襲来</v>
      </c>
      <c r="G13" s="107">
        <v>3</v>
      </c>
      <c r="H13" s="109" t="str">
        <f t="shared" si="7"/>
        <v>40039_2-3</v>
      </c>
      <c r="I13" s="108">
        <f ca="1">VLOOKUP($H13,OFFSET(floors!$A$1,0,0,COUNTA(floors!$A:$A),MATCH(I$1,floors!$1:$1,0)-MATCH($H$1,floors!$1:$1,0)+1),MATCH(I$1,floors!$1:$1,0)-MATCH($H$1,floors!$1:$1,0)+1,FALSE)</f>
        <v>60</v>
      </c>
      <c r="J13" s="108">
        <f ca="1">VLOOKUP($H13,OFFSET(floors!$A$1,0,0,COUNTA(floors!$A:$A),MATCH(J$1,floors!$1:$1,0)-MATCH($H$1,floors!$1:$1,0)+1),MATCH(J$1,floors!$1:$1,0)-MATCH($H$1,floors!$1:$1,0)+1,FALSE)</f>
        <v>60</v>
      </c>
      <c r="K13" s="110">
        <v>1</v>
      </c>
      <c r="L13" s="107">
        <v>1220</v>
      </c>
      <c r="M13" s="111" t="str">
        <f ca="1">VLOOKUP($L13,OFFSET([3]enemies!$A$1,0,0,COUNTA([3]enemies!$A:$A),MATCH(M$1,[3]enemies!$1:$1,0)-MATCH($L$1,[3]enemies!$1:$1,0)+1),MATCH(M$1,[3]enemies!$1:$1,0)-MATCH($L$1,[3]enemies!$1:$1,0)+1,FALSE)</f>
        <v>シェイクスピア</v>
      </c>
      <c r="N13" s="111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11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11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11">
        <f ca="1">VLOOKUP($L13,OFFSET([3]enemies!$A$1,0,0,COUNTA([3]enemies!$A:$A),MATCH(Q$1,[3]enemies!$1:$1,0)-MATCH($L$1,[3]enemies!$1:$1,0)+1),MATCH(Q$1,[3]enemies!$1:$1,0)-MATCH($L$1,[3]enemies!$1:$1,0)+1,FALSE)</f>
        <v>60</v>
      </c>
      <c r="R13" s="112">
        <v>80</v>
      </c>
      <c r="S13" s="113">
        <v>3</v>
      </c>
      <c r="T13" s="103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382896</v>
      </c>
      <c r="U13" s="113">
        <v>0.7</v>
      </c>
      <c r="V13" s="103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6229.2999999999993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低確率でお邪魔パネルをドロップ+_x000D_緑属性のユニットの攻撃力DOWN</v>
      </c>
      <c r="Y13" s="105">
        <v>40039700</v>
      </c>
      <c r="Z13" s="106">
        <v>1</v>
      </c>
      <c r="AA13" s="106">
        <v>100</v>
      </c>
      <c r="AB13" s="106">
        <v>1</v>
      </c>
      <c r="AC13" s="115">
        <v>2</v>
      </c>
      <c r="AD13" s="24">
        <f t="shared" si="8"/>
        <v>1220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シェイクスピア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7">
        <v>1</v>
      </c>
      <c r="AI13" s="24">
        <f t="shared" ca="1" si="9"/>
        <v>5</v>
      </c>
      <c r="AJ13" s="116">
        <v>30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70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zoomScale="75" zoomScaleNormal="75" zoomScalePageLayoutView="75" workbookViewId="0">
      <pane xSplit="18" ySplit="1" topLeftCell="V2" activePane="bottomRight" state="frozen"/>
      <selection activeCell="E25" sqref="E25"/>
      <selection pane="topRight" activeCell="E25" sqref="E25"/>
      <selection pane="bottomLeft" activeCell="E25" sqref="E25"/>
      <selection pane="bottomRight" activeCell="V5" sqref="V5"/>
    </sheetView>
  </sheetViews>
  <sheetFormatPr baseColWidth="12" defaultColWidth="13" defaultRowHeight="21" customHeight="1" outlineLevelCol="1" x14ac:dyDescent="0.15"/>
  <cols>
    <col min="1" max="1" width="17" style="19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2" t="s">
        <v>252</v>
      </c>
      <c r="V1" s="26" t="s">
        <v>50</v>
      </c>
      <c r="W1" s="102" t="s">
        <v>253</v>
      </c>
      <c r="X1" s="26" t="s">
        <v>52</v>
      </c>
      <c r="Y1" s="28" t="s">
        <v>128</v>
      </c>
      <c r="Z1" s="29" t="s">
        <v>127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40039_1-3/1220&lt;lv80&gt;sq1st2</v>
      </c>
      <c r="B2" s="22">
        <v>40039</v>
      </c>
      <c r="C2" s="21">
        <v>1</v>
      </c>
      <c r="D2" s="2" t="str">
        <f>B2&amp;"_"&amp;C2</f>
        <v>40039_1</v>
      </c>
      <c r="E2" s="4" t="str">
        <f ca="1">VLOOKUP($B2,OFFSET([2]quests!$A$1,0,0,COUNTA([2]quests!$A:$A),MATCH(E$1,[2]quests!$1:$1,0)-MATCH($B$1,[2]quests!$1:$1,0)+1),MATCH(E$1,[2]quests!$1:$1,0)-MATCH($B$1,[2]quests!$1:$1,0)+1,FALSE)</f>
        <v>シェイクスピア襲来！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【超絶級】シェイクスピア襲来</v>
      </c>
      <c r="G2" s="21">
        <v>3</v>
      </c>
      <c r="H2" s="15" t="str">
        <f>B2&amp;"_"&amp;C2&amp;"-"&amp;G2</f>
        <v>40039_1-3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1220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シェイクスピア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2.5</v>
      </c>
      <c r="U2" s="103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319080</v>
      </c>
      <c r="V2" s="25">
        <v>0.6</v>
      </c>
      <c r="W2" s="103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5339.4</v>
      </c>
      <c r="X2" s="5">
        <v>0</v>
      </c>
      <c r="Y2" s="4"/>
      <c r="Z2" s="4">
        <v>40039220</v>
      </c>
      <c r="AA2" s="117">
        <v>1</v>
      </c>
    </row>
    <row r="3" spans="1:27" ht="21" customHeight="1" x14ac:dyDescent="0.15">
      <c r="A3" s="16" t="str">
        <f t="shared" ref="A3:A5" si="0">B3&amp;"_"&amp;C3&amp;"-"&amp;G3&amp;"/"&amp;M3&amp;"&lt;lv"&amp;S3&amp;"&gt;sq"&amp;K3&amp;"st"&amp;L3</f>
        <v>40039_1-3/1220&lt;lv80&gt;sq1st3</v>
      </c>
      <c r="B3" s="22">
        <v>40039</v>
      </c>
      <c r="C3" s="21">
        <v>1</v>
      </c>
      <c r="D3" s="2" t="str">
        <f t="shared" ref="D3:D5" si="1">B3&amp;"_"&amp;C3</f>
        <v>40039_1</v>
      </c>
      <c r="E3" s="4" t="str">
        <f ca="1">VLOOKUP($B3,OFFSET([2]quests!$A$1,0,0,COUNTA([2]quests!$A:$A),MATCH(E$1,[2]quests!$1:$1,0)-MATCH($B$1,[2]quests!$1:$1,0)+1),MATCH(E$1,[2]quests!$1:$1,0)-MATCH($B$1,[2]quests!$1:$1,0)+1,FALSE)</f>
        <v>シェイクスピア襲来！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【超絶級】シェイクスピア襲来</v>
      </c>
      <c r="G3" s="21">
        <v>3</v>
      </c>
      <c r="H3" s="15" t="str">
        <f t="shared" ref="H3:H5" si="2">B3&amp;"_"&amp;C3&amp;"-"&amp;G3</f>
        <v>40039_1-3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3</v>
      </c>
      <c r="M3" s="20">
        <v>1220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シェイクスピア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3.2</v>
      </c>
      <c r="U3" s="10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408422.40000000002</v>
      </c>
      <c r="V3" s="25">
        <v>0.6</v>
      </c>
      <c r="W3" s="103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5339.4</v>
      </c>
      <c r="X3" s="5">
        <v>0</v>
      </c>
      <c r="Y3" s="4"/>
      <c r="Z3" s="4">
        <v>40039240</v>
      </c>
      <c r="AA3" s="117">
        <v>1</v>
      </c>
    </row>
    <row r="4" spans="1:27" ht="21" customHeight="1" x14ac:dyDescent="0.15">
      <c r="A4" s="16" t="str">
        <f t="shared" si="0"/>
        <v>40039_2-3/1220&lt;lv80&gt;sq1st2</v>
      </c>
      <c r="B4" s="22">
        <v>40039</v>
      </c>
      <c r="C4" s="107">
        <v>2</v>
      </c>
      <c r="D4" s="107" t="str">
        <f t="shared" si="1"/>
        <v>40039_2</v>
      </c>
      <c r="E4" s="108" t="str">
        <f ca="1">VLOOKUP($B4,OFFSET([2]quests!$A$1,0,0,COUNTA([2]quests!$A:$A),MATCH(E$1,[2]quests!$1:$1,0)-MATCH($B$1,[2]quests!$1:$1,0)+1),MATCH(E$1,[2]quests!$1:$1,0)-MATCH($B$1,[2]quests!$1:$1,0)+1,FALSE)</f>
        <v>シェイクスピア襲来！</v>
      </c>
      <c r="F4" s="108" t="str">
        <f ca="1">VLOOKUP($D4,OFFSET([2]stages!$A$1,0,0,COUNTA([2]stages!$A:$A),MATCH(F$1,[2]stages!$2:$2,0)-MATCH($D$1,[2]stages!$2:$2,0)+1),MATCH(F$1,[2]stages!$2:$2,0)-MATCH($D$1,[2]stages!$2:$2,0)+1,FALSE)</f>
        <v>【ウィザード級】シェイクスピア襲来</v>
      </c>
      <c r="G4" s="107">
        <v>3</v>
      </c>
      <c r="H4" s="109" t="str">
        <f t="shared" si="2"/>
        <v>40039_2-3</v>
      </c>
      <c r="I4" s="108">
        <f ca="1">VLOOKUP($H4,OFFSET(floors!$A$1,0,0,COUNTA(floors!$A:$A),MATCH(I$1,floors!$1:$1,0)-MATCH($H$1,floors!$1:$1,0)+1),MATCH(I$1,floors!$1:$1,0)-MATCH($H$1,floors!$1:$1,0)+1,FALSE)</f>
        <v>60</v>
      </c>
      <c r="J4" s="108">
        <f ca="1">VLOOKUP($H4,OFFSET(floors!$A$1,0,0,COUNTA(floors!$A:$A),MATCH(J$1,floors!$1:$1,0)-MATCH($H$1,floors!$1:$1,0)+1),MATCH(J$1,floors!$1:$1,0)-MATCH($H$1,floors!$1:$1,0)+1,FALSE)</f>
        <v>60</v>
      </c>
      <c r="K4" s="110">
        <v>1</v>
      </c>
      <c r="L4" s="110">
        <v>2</v>
      </c>
      <c r="M4" s="107">
        <v>1220</v>
      </c>
      <c r="N4" s="17" t="str">
        <f ca="1">VLOOKUP($M4,OFFSET([3]enemies!$A$1,0,0,COUNTA([3]enemies!$A:$A),MATCH(N$1,[3]enemies!$1:$1,0)-MATCH($M$1,[3]enemies!$1:$1,0)+1),MATCH(N$1,[3]enemies!$1:$1,0)-MATCH($M$1,[3]enemies!$1:$1,0)+1,FALSE)</f>
        <v>シェイクスピア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112">
        <v>80</v>
      </c>
      <c r="T4" s="113">
        <v>3.5</v>
      </c>
      <c r="U4" s="103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446712</v>
      </c>
      <c r="V4" s="113">
        <v>0.8</v>
      </c>
      <c r="W4" s="103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7119.2000000000007</v>
      </c>
      <c r="X4" s="112">
        <v>0</v>
      </c>
      <c r="Y4" s="4"/>
      <c r="Z4" s="4">
        <v>40039720</v>
      </c>
      <c r="AA4" s="118">
        <v>1</v>
      </c>
    </row>
    <row r="5" spans="1:27" ht="21" customHeight="1" x14ac:dyDescent="0.15">
      <c r="A5" s="16" t="str">
        <f t="shared" si="0"/>
        <v>40039_2-3/1221&lt;lv80&gt;sq1st3</v>
      </c>
      <c r="B5" s="22">
        <v>40039</v>
      </c>
      <c r="C5" s="107">
        <v>2</v>
      </c>
      <c r="D5" s="107" t="str">
        <f t="shared" si="1"/>
        <v>40039_2</v>
      </c>
      <c r="E5" s="108" t="str">
        <f ca="1">VLOOKUP($B5,OFFSET([2]quests!$A$1,0,0,COUNTA([2]quests!$A:$A),MATCH(E$1,[2]quests!$1:$1,0)-MATCH($B$1,[2]quests!$1:$1,0)+1),MATCH(E$1,[2]quests!$1:$1,0)-MATCH($B$1,[2]quests!$1:$1,0)+1,FALSE)</f>
        <v>シェイクスピア襲来！</v>
      </c>
      <c r="F5" s="108" t="str">
        <f ca="1">VLOOKUP($D5,OFFSET([2]stages!$A$1,0,0,COUNTA([2]stages!$A:$A),MATCH(F$1,[2]stages!$2:$2,0)-MATCH($D$1,[2]stages!$2:$2,0)+1),MATCH(F$1,[2]stages!$2:$2,0)-MATCH($D$1,[2]stages!$2:$2,0)+1,FALSE)</f>
        <v>【ウィザード級】シェイクスピア襲来</v>
      </c>
      <c r="G5" s="107">
        <v>3</v>
      </c>
      <c r="H5" s="109" t="str">
        <f t="shared" si="2"/>
        <v>40039_2-3</v>
      </c>
      <c r="I5" s="108">
        <f ca="1">VLOOKUP($H5,OFFSET(floors!$A$1,0,0,COUNTA(floors!$A:$A),MATCH(I$1,floors!$1:$1,0)-MATCH($H$1,floors!$1:$1,0)+1),MATCH(I$1,floors!$1:$1,0)-MATCH($H$1,floors!$1:$1,0)+1,FALSE)</f>
        <v>60</v>
      </c>
      <c r="J5" s="108">
        <f ca="1">VLOOKUP($H5,OFFSET(floors!$A$1,0,0,COUNTA(floors!$A:$A),MATCH(J$1,floors!$1:$1,0)-MATCH($H$1,floors!$1:$1,0)+1),MATCH(J$1,floors!$1:$1,0)-MATCH($H$1,floors!$1:$1,0)+1,FALSE)</f>
        <v>60</v>
      </c>
      <c r="K5" s="110">
        <v>1</v>
      </c>
      <c r="L5" s="110">
        <v>3</v>
      </c>
      <c r="M5" s="107">
        <v>1221</v>
      </c>
      <c r="N5" s="17" t="str">
        <f ca="1">VLOOKUP($M5,OFFSET([3]enemies!$A$1,0,0,COUNTA([3]enemies!$A:$A),MATCH(N$1,[3]enemies!$1:$1,0)-MATCH($M$1,[3]enemies!$1:$1,0)+1),MATCH(N$1,[3]enemies!$1:$1,0)-MATCH($M$1,[3]enemies!$1:$1,0)+1,FALSE)</f>
        <v>命愛の恋劇家 シェイクスピア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112">
        <v>80</v>
      </c>
      <c r="T5" s="113">
        <v>4.5</v>
      </c>
      <c r="U5" s="103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574344</v>
      </c>
      <c r="V5" s="113">
        <v>0.9</v>
      </c>
      <c r="W5" s="103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8009.1</v>
      </c>
      <c r="X5" s="112">
        <v>0</v>
      </c>
      <c r="Y5" s="4"/>
      <c r="Z5" s="4">
        <v>40039740</v>
      </c>
      <c r="AA5" s="118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93"/>
  <sheetViews>
    <sheetView showGridLines="0" workbookViewId="0">
      <pane xSplit="5" ySplit="1" topLeftCell="F21" activePane="bottomRight" state="frozen"/>
      <selection pane="topRight"/>
      <selection pane="bottomLeft"/>
      <selection pane="bottomRight" activeCell="E29" sqref="E29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20.164062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40039000_40039001</v>
      </c>
      <c r="B2" s="62">
        <v>40039000</v>
      </c>
      <c r="C2" s="62">
        <v>40039001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嫉意に踊る凶刃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赤属性のユニットに大ダメージの全体攻撃</v>
      </c>
      <c r="F2" s="62">
        <v>40039001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70" si="1">B3&amp;"_"&amp;C3</f>
        <v>40039000_40039002</v>
      </c>
      <c r="B3" s="62">
        <v>40039000</v>
      </c>
      <c r="C3" s="62">
        <v>40039002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よくも…_x000D_ヘラクレスを！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クララの攻撃力UP</v>
      </c>
      <c r="F3" s="62">
        <v>40039002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223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40039000_40039003</v>
      </c>
      <c r="B4" s="62">
        <v>40039000</v>
      </c>
      <c r="C4" s="62">
        <v>40039003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その程度で_x000D_勝ったつもり？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クララの防御力UP</v>
      </c>
      <c r="F4" s="62">
        <v>40039003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8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220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40039000_40039004</v>
      </c>
      <c r="B5" s="62">
        <v>40039000</v>
      </c>
      <c r="C5" s="62">
        <v>40039004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あいたたた…_x000D_私、何をやって…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ヘラクレス？　私が？　バカな事言わないでよ！</v>
      </c>
      <c r="F5" s="62">
        <v>40039004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8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40039020_40039021</v>
      </c>
      <c r="B6" s="62">
        <v>40039020</v>
      </c>
      <c r="C6" s="62">
        <v>40039021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お前達に愛の何が分かると言うのだ！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彼らはシェイクスピアの「干渉」を受けているようだ</v>
      </c>
      <c r="F6" s="62">
        <v>40039021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40039020_40039022</v>
      </c>
      <c r="B7" s="62">
        <v>40039020</v>
      </c>
      <c r="C7" s="62">
        <v>40039022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神に抗う一撃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種族ゴッドのユニットに大ダメージの全体攻撃</v>
      </c>
      <c r="F7" s="62">
        <v>40039022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ref="A8:A9" si="2">B8&amp;"_"&amp;C8</f>
        <v>40039020_40039023</v>
      </c>
      <c r="B8" s="62">
        <v>40039020</v>
      </c>
      <c r="C8" s="62">
        <v>40039023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人の痛みを知らぬまま消えるがいい！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ヘラクレスの攻撃力UP</v>
      </c>
      <c r="F8" s="62">
        <v>40039023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8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162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2"/>
        <v>40039020_40039024</v>
      </c>
      <c r="B9" s="62">
        <v>40039020</v>
      </c>
      <c r="C9" s="62">
        <v>40039024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この苦難が私を強くするのだ！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ヘラクレスの防御力UP</v>
      </c>
      <c r="F9" s="62">
        <v>40039024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220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ref="A10:A47" si="3">B10&amp;"_"&amp;C10</f>
        <v>40039020_40039025</v>
      </c>
      <c r="B10" s="62">
        <v>40039020</v>
      </c>
      <c r="C10" s="62">
        <v>40039025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ん…？　お前達…何用だ？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愛か…かつてそんなものを信じていた事もあったな…</v>
      </c>
      <c r="F10" s="62">
        <v>40039025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3"/>
        <v>40039040_40039041</v>
      </c>
      <c r="B11" s="62">
        <v>40039040</v>
      </c>
      <c r="C11" s="62">
        <v>40039041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揺心・_x000D_フロストフォール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赤パネルをお邪魔パネルに2個変換+単体攻撃</v>
      </c>
      <c r="F11" s="62">
        <v>40039041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3"/>
        <v>40039040_40039042</v>
      </c>
      <c r="B12" s="62">
        <v>40039040</v>
      </c>
      <c r="C12" s="62">
        <v>40039042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なんてことを…_x000D_許さないわ！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ルキフグスの攻撃力UP</v>
      </c>
      <c r="F12" s="62">
        <v>40039042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223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3"/>
        <v>40039040_40039043</v>
      </c>
      <c r="B13" s="62">
        <v>40039040</v>
      </c>
      <c r="C13" s="62">
        <v>40039043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愛を知らないのね_x000D_可哀想に…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ルキフグスの防御力UP</v>
      </c>
      <c r="F13" s="62">
        <v>40039043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162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3"/>
        <v>40039040_40039044</v>
      </c>
      <c r="B14" s="62">
        <v>40039040</v>
      </c>
      <c r="C14" s="62">
        <v>40039044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あら…_x000D_どこなのここは？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ずいぶん暑苦しいところね…_x000D_こんなところ居られないわ</v>
      </c>
      <c r="F14" s="62">
        <v>40039044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3"/>
        <v>40039100_40039101</v>
      </c>
      <c r="B15" s="62">
        <v>40039100</v>
      </c>
      <c r="C15" s="62">
        <v>40039101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恋の魔力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赤パネルを黄のダメージパネルに変換</v>
      </c>
      <c r="F15" s="62">
        <v>40039101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3"/>
        <v>40039100_40039102</v>
      </c>
      <c r="B16" s="62">
        <v>40039100</v>
      </c>
      <c r="C16" s="62">
        <v>40039102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理屈で説明できる恋など_x000D_不要ですわ！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ランダムでお邪魔パネルに5個変換+全体攻撃</v>
      </c>
      <c r="F16" s="62">
        <v>40039102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3"/>
        <v>40039100_40039103</v>
      </c>
      <c r="B17" s="62">
        <v>40039100</v>
      </c>
      <c r="C17" s="62">
        <v>40039103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真の恋の道は茨の道なのです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17" s="62">
        <v>40039103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8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251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3"/>
        <v>40039100_40039104</v>
      </c>
      <c r="B18" s="62">
        <v>40039100</v>
      </c>
      <c r="C18" s="62">
        <v>40039104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あの…わたくし…一体何を…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恋…？　レ、レディに向かって_x000D_そんな事を聞くものじゃありませんわ！</v>
      </c>
      <c r="F18" s="62">
        <v>40039104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8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3"/>
        <v>40039120_40039121</v>
      </c>
      <c r="B19" s="62">
        <v>40039120</v>
      </c>
      <c r="C19" s="62">
        <v>40039121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猛る情炎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緑属性のユニットに大ダメージの全体攻撃</v>
      </c>
      <c r="F19" s="62">
        <v>40039121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3"/>
        <v>40039120_40039122</v>
      </c>
      <c r="B20" s="62">
        <v>40039120</v>
      </c>
      <c r="C20" s="62">
        <v>40039122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欲望の発露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ランダムでお邪魔パネルに3個変換+全体攻撃</v>
      </c>
      <c r="F20" s="62">
        <v>40039122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3"/>
        <v>40039120_40039123</v>
      </c>
      <c r="B21" s="62">
        <v>40039120</v>
      </c>
      <c r="C21" s="62">
        <v>40039123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無知は呪いにも似るのね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ランダムで赤のダメージパネルに3個変換+全体攻撃</v>
      </c>
      <c r="F21" s="62">
        <v>40039123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3"/>
        <v>40039120_40039124</v>
      </c>
      <c r="B22" s="62">
        <v>40039120</v>
      </c>
      <c r="C22" s="62">
        <v>40039124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怒りの炎は己をも焦がすのよ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22" s="62">
        <v>40039124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8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933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3"/>
        <v>40039120_40039125</v>
      </c>
      <c r="B23" s="62">
        <v>40039120</v>
      </c>
      <c r="C23" s="62">
        <v>40039125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何よ…あなた達_x000D_いつからそこに…？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愛ねぇ…悪くないけど_x000D_賭けの対象としてはつまらないわね</v>
      </c>
      <c r="F23" s="62">
        <v>40039125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8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3"/>
        <v>40039200_40039201</v>
      </c>
      <c r="B24" s="62">
        <v>40039200</v>
      </c>
      <c r="C24" s="62">
        <v>40039201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愛の力は全てを超えるのですよ♪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低確率でお邪魔パネルをドロップ+_x000D_緑属性のユニットの攻撃力DOWN</v>
      </c>
      <c r="F24" s="62">
        <v>40039201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3"/>
        <v>40039200_40039202</v>
      </c>
      <c r="B25" s="62">
        <v>40039200</v>
      </c>
      <c r="C25" s="62">
        <v>40039202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黄昏の嘆き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ランダムで黄のダメージパネルに3個変換+全体攻撃</v>
      </c>
      <c r="F25" s="62">
        <v>40039202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3"/>
        <v>40039200_40039203</v>
      </c>
      <c r="B26" s="62">
        <v>40039200</v>
      </c>
      <c r="C26" s="62">
        <v>40039203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滑らかに進む恋なんてあって？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26" s="62">
        <v>40039203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3"/>
        <v>40039200_40039204</v>
      </c>
      <c r="B27" s="62">
        <v>40039200</v>
      </c>
      <c r="C27" s="62">
        <v>40039204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あらしに見る夢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ダメージパネルとお邪魔パネルを吸収して全体攻撃</v>
      </c>
      <c r="F27" s="62">
        <v>40039204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3"/>
        <v>40039200_40039205</v>
      </c>
      <c r="B28" s="62">
        <v>40039200</v>
      </c>
      <c r="C28" s="62">
        <v>40039205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ヘンリーズ・シージ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黄属性のユニットに大ダメージの全体攻撃</v>
      </c>
      <c r="F28" s="62">
        <v>40039205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3"/>
        <v>40039200_40039206</v>
      </c>
      <c r="B29" s="62">
        <v>40039200</v>
      </c>
      <c r="C29" s="62">
        <v>40039206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トルストイ…やっぱりあなたとは_x000D_分かり合うことはできないみたいね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低確率でお邪魔パネルをドロップ+_x000D_緑属性のユニットの攻撃力DOWN</v>
      </c>
      <c r="F29" s="62">
        <v>40039206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121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1226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3"/>
        <v>40039200_40039206</v>
      </c>
      <c r="B30" s="62">
        <v>40039200</v>
      </c>
      <c r="C30" s="62">
        <v>40039206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トルストイ…やっぱりあなたとは_x000D_分かり合うことはできないみたいね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低確率でお邪魔パネルをドロップ+_x000D_緑属性のユニットの攻撃力DOWN</v>
      </c>
      <c r="F30" s="62">
        <v>40039207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122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1227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3"/>
        <v>40039220_40039221</v>
      </c>
      <c r="B31" s="62">
        <v>40039220</v>
      </c>
      <c r="C31" s="62">
        <v>40039221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これでどうかしら…？_x000D_愛に苦難はつきものと言うものね♪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低確率でお邪魔パネルをドロップ</v>
      </c>
      <c r="F31" s="62">
        <v>40039221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3"/>
        <v>40039220_40039222</v>
      </c>
      <c r="B32" s="62">
        <v>40039220</v>
      </c>
      <c r="C32" s="62">
        <v>40039222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アリス・アンドロニカス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32" s="62">
        <v>40039222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3"/>
        <v>40039220_40039223</v>
      </c>
      <c r="B33" s="62">
        <v>40039220</v>
      </c>
      <c r="C33" s="62">
        <v>40039223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嫉妬は人の心を餌食にするの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ランダムで超強力な黄のダメージパネルに1個変換+単体攻撃</v>
      </c>
      <c r="F33" s="62">
        <v>40039223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33" s="48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60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3"/>
        <v>40039220_40039224</v>
      </c>
      <c r="B34" s="62">
        <v>40039220</v>
      </c>
      <c r="C34" s="62">
        <v>40039224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あなたの愛はニセモノなのですか？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ランダムで超強力な黄のダメージパネルに1個変換+単体攻撃</v>
      </c>
      <c r="F34" s="62">
        <v>40039224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34" s="48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40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3"/>
        <v>40039220_40039225</v>
      </c>
      <c r="B35" s="62">
        <v>40039220</v>
      </c>
      <c r="C35" s="62">
        <v>40039225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真の恋ほど簡単に叶ったりしないものよ♪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ランダムで超強力な黄のダメージパネルに1個変換+単体攻撃</v>
      </c>
      <c r="F35" s="62">
        <v>40039225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114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35" s="48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20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3"/>
        <v>40039240_40039241</v>
      </c>
      <c r="B36" s="62">
        <v>40039240</v>
      </c>
      <c r="C36" s="62">
        <v>40039241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結局あなた方も愛無き者…弱き者なのね…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中確率でお邪魔パネルをドロップ+_x000D_緑属性のユニットのCパネル生成延長(効果特大)</v>
      </c>
      <c r="F36" s="62">
        <v>40039241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3"/>
        <v>40039240_40039242</v>
      </c>
      <c r="B37" s="62">
        <v>40039240</v>
      </c>
      <c r="C37" s="62">
        <v>40039242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マクス・マクベス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緑属性のユニットに大ダメージの全体攻撃</v>
      </c>
      <c r="F37" s="62">
        <v>40039242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3"/>
        <v>40039240_40039243</v>
      </c>
      <c r="B38" s="62">
        <v>40039240</v>
      </c>
      <c r="C38" s="62">
        <v>40039243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愛し合う憎しみをあなたに♪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お邪魔パネルを吸収して攻撃力UP</v>
      </c>
      <c r="F38" s="62">
        <v>40039243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3"/>
        <v>40039240_40039244</v>
      </c>
      <c r="B39" s="62">
        <v>40039240</v>
      </c>
      <c r="C39" s="62">
        <v>40039244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ヘンリーズ・シージ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黄属性のユニットに大ダメージの全体攻撃</v>
      </c>
      <c r="F39" s="62">
        <v>40039244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3"/>
        <v>40039240_40039245</v>
      </c>
      <c r="B40" s="62">
        <v>40039240</v>
      </c>
      <c r="C40" s="62">
        <v>40039245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心はないわ！　心は私が消し去った！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ダメージパネル以外のパネルをお邪魔パネルに変換</v>
      </c>
      <c r="F40" s="62">
        <v>40039245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3"/>
        <v>40039240_40039246</v>
      </c>
      <c r="B41" s="62">
        <v>40039240</v>
      </c>
      <c r="C41" s="62">
        <v>40039246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閉じ込められている炎が_x000D_いちばん強く燃えるものよ♪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お邪魔パネルを吸収して攻撃力UP</v>
      </c>
      <c r="F41" s="62">
        <v>40039246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121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3"/>
        <v>40039240_40039247</v>
      </c>
      <c r="B42" s="62">
        <v>40039240</v>
      </c>
      <c r="C42" s="62">
        <v>40039247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そろそろお休みなさいな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お邪魔パネルを吸収して攻撃力UP</v>
      </c>
      <c r="F42" s="62">
        <v>40039247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122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11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3"/>
        <v>40039240_40039248</v>
      </c>
      <c r="B43" s="62">
        <v>40039240</v>
      </c>
      <c r="C43" s="62">
        <v>40039248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この世界は見世物より悲惨だわ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ランダムでダメージパネルに5個変換</v>
      </c>
      <c r="F43" s="62">
        <v>40039248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43" s="48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40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3"/>
        <v>40039240_40039249</v>
      </c>
      <c r="B44" s="62">
        <v>40039240</v>
      </c>
      <c r="C44" s="62">
        <v>40039249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そろそろ幕を降ろしましょう…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ランダムでダメージパネルに5個変換</v>
      </c>
      <c r="F44" s="62">
        <v>40039249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3"/>
        <v>40039240_40039250</v>
      </c>
      <c r="B45" s="62">
        <v>40039240</v>
      </c>
      <c r="C45" s="62">
        <v>40039250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あぁ…長い夢を見ていたみたい…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もう少しで大切な場所を失うところだったわ…ありがとう</v>
      </c>
      <c r="F45" s="62">
        <v>40039250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48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3"/>
        <v>40039240_40039251</v>
      </c>
      <c r="B46" s="62">
        <v>40039240</v>
      </c>
      <c r="C46" s="62">
        <v>40039251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トルストイ…わたし、またやり直せるかしら…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えぇ…ありがとう…_x000D_今ならこれまでで一番素晴らしい愛を綴れる気がするわ</v>
      </c>
      <c r="F46" s="62">
        <v>40039251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121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1226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3"/>
        <v>40039240_40039251</v>
      </c>
      <c r="B47" s="62">
        <v>40039240</v>
      </c>
      <c r="C47" s="62">
        <v>40039251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トルストイ…わたし、またやり直せるかしら…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えぇ…ありがとう…_x000D_今ならこれまでで一番素晴らしい愛を綴れる気がするわ</v>
      </c>
      <c r="F47" s="62">
        <v>40039252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122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8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1227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1"/>
        <v>40039500_40039501</v>
      </c>
      <c r="B48" s="105">
        <v>40039500</v>
      </c>
      <c r="C48" s="105">
        <v>40039501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嫉意に踊る凶刃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赤属性のユニットに大ダメージの全体攻撃</v>
      </c>
      <c r="F48" s="105">
        <v>40039501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ref="A49:A50" si="4">B49&amp;"_"&amp;C49</f>
        <v>40039500_40039502</v>
      </c>
      <c r="B49" s="105">
        <v>40039500</v>
      </c>
      <c r="C49" s="105">
        <v>40039502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よくも…_x000D_ヘラクレスを！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クララの攻撃力UP</v>
      </c>
      <c r="F49" s="105">
        <v>40039502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223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4"/>
        <v>40039500_40039503</v>
      </c>
      <c r="B50" s="105">
        <v>40039500</v>
      </c>
      <c r="C50" s="105">
        <v>40039503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その程度で_x000D_勝ったつもり？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クララの防御力UP</v>
      </c>
      <c r="F50" s="105">
        <v>40039503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220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ref="A51" si="5">B51&amp;"_"&amp;C51</f>
        <v>40039500_40039504</v>
      </c>
      <c r="B51" s="105">
        <v>40039500</v>
      </c>
      <c r="C51" s="105">
        <v>40039504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あいたたた…_x000D_私、何をやって…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ヘラクレス？　私が？　バカな事言わないでよ！</v>
      </c>
      <c r="F51" s="105">
        <v>40039504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1" s="48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1"/>
        <v>40039520_40039521</v>
      </c>
      <c r="B52" s="105">
        <v>40039520</v>
      </c>
      <c r="C52" s="119">
        <v>40039521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お前達に愛の何が分かると言うのだ！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彼らはシェイクスピアの「干渉」を受けているようだ</v>
      </c>
      <c r="F52" s="119">
        <v>40039521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8" t="str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ref="A53:A55" si="6">B53&amp;"_"&amp;C53</f>
        <v>40039520_40039522</v>
      </c>
      <c r="B53" s="105">
        <v>40039520</v>
      </c>
      <c r="C53" s="119">
        <v>40039522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神に抗う一撃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種族ゴッドのユニットに大ダメージの全体攻撃</v>
      </c>
      <c r="F53" s="119">
        <v>40039522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 t="str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6"/>
        <v>40039520_40039523</v>
      </c>
      <c r="B54" s="105">
        <v>40039520</v>
      </c>
      <c r="C54" s="119">
        <v>40039523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人の痛みを知らぬまま消えるがいい！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ヘラクレスの攻撃力UP</v>
      </c>
      <c r="F54" s="119">
        <v>40039523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162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6"/>
        <v>40039520_40039524</v>
      </c>
      <c r="B55" s="105">
        <v>40039520</v>
      </c>
      <c r="C55" s="119">
        <v>40039524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この苦難が私を強くするのだ！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ヘラクレスの防御力UP</v>
      </c>
      <c r="F55" s="119">
        <v>40039524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220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ref="A56" si="7">B56&amp;"_"&amp;C56</f>
        <v>40039520_40039525</v>
      </c>
      <c r="B56" s="105">
        <v>40039520</v>
      </c>
      <c r="C56" s="119">
        <v>40039525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ん…？　お前達…何用だ？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愛か…かつてそんなものを信じていた事もあったな…</v>
      </c>
      <c r="F56" s="119">
        <v>40039525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1"/>
        <v>40039540_40039541</v>
      </c>
      <c r="B57" s="105">
        <v>40039540</v>
      </c>
      <c r="C57" s="105">
        <v>40039541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揺心・_x000D_フロストフォール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赤パネルをお邪魔パネルに変換+単体攻撃</v>
      </c>
      <c r="F57" s="105">
        <v>40039541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 t="str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ref="A58:A59" si="8">B58&amp;"_"&amp;C58</f>
        <v>40039540_40039542</v>
      </c>
      <c r="B58" s="105">
        <v>40039540</v>
      </c>
      <c r="C58" s="105">
        <v>40039542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なんてことを…_x000D_許さないわ！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ルキフグスの攻撃力UP</v>
      </c>
      <c r="F58" s="105">
        <v>40039542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8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223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8"/>
        <v>40039540_40039543</v>
      </c>
      <c r="B59" s="105">
        <v>40039540</v>
      </c>
      <c r="C59" s="105">
        <v>40039543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愛を知らないのね_x000D_可哀想に…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ルキフグスの防御力UP</v>
      </c>
      <c r="F59" s="105">
        <v>40039543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9" s="48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162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ref="A60" si="9">B60&amp;"_"&amp;C60</f>
        <v>40039540_40039544</v>
      </c>
      <c r="B60" s="105">
        <v>40039540</v>
      </c>
      <c r="C60" s="105">
        <v>40039544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あら…_x000D_どこなのここは？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ずいぶん暑苦しいところね…_x000D_こんなところ居られないわ</v>
      </c>
      <c r="F60" s="105">
        <v>40039544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1"/>
        <v>40039600_40039601</v>
      </c>
      <c r="B61" s="105">
        <v>40039600</v>
      </c>
      <c r="C61" s="119">
        <v>40039601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恋の魔力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赤パネルを黄のダメージパネルに変換</v>
      </c>
      <c r="F61" s="119">
        <v>40039601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ref="A62:A63" si="10">B62&amp;"_"&amp;C62</f>
        <v>40039600_40039602</v>
      </c>
      <c r="B62" s="105">
        <v>40039600</v>
      </c>
      <c r="C62" s="119">
        <v>40039602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理屈で説明できる恋など_x000D_不要ですわ！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ランダムでお邪魔パネルに10個変換+全体攻撃</v>
      </c>
      <c r="F62" s="119">
        <v>40039602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10"/>
        <v>40039600_40039603</v>
      </c>
      <c r="B63" s="105">
        <v>40039600</v>
      </c>
      <c r="C63" s="119">
        <v>40039603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真の恋の道は茨の道なのです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63" s="119">
        <v>40039603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251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ref="A64" si="11">B64&amp;"_"&amp;C64</f>
        <v>40039600_40039604</v>
      </c>
      <c r="B64" s="105">
        <v>40039600</v>
      </c>
      <c r="C64" s="119">
        <v>40039604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あの…わたくし…一体何を…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恋…？　レ、レディに向かって_x000D_そんな事を聞くものじゃありませんわ！</v>
      </c>
      <c r="F64" s="119">
        <v>40039604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4" s="48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1"/>
        <v>40039620_40039621</v>
      </c>
      <c r="B65" s="105">
        <v>40039620</v>
      </c>
      <c r="C65" s="105">
        <v>40039621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猛る情炎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緑属性のユニットに大ダメージの全体攻撃</v>
      </c>
      <c r="F65" s="105">
        <v>40039621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 t="str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5" s="48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ref="A66:A67" si="12">B66&amp;"_"&amp;C66</f>
        <v>40039620_40039622</v>
      </c>
      <c r="B66" s="105">
        <v>40039620</v>
      </c>
      <c r="C66" s="105">
        <v>40039622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欲望の発露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ランダムでお邪魔パネルに10個変換+全体攻撃</v>
      </c>
      <c r="F66" s="105">
        <v>40039622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 t="str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6" s="48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12"/>
        <v>40039620_40039623</v>
      </c>
      <c r="B67" s="105">
        <v>40039620</v>
      </c>
      <c r="C67" s="105">
        <v>40039623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無知は呪いにも似るのね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ランダムで赤のダメージパネルに5個変換+全体攻撃</v>
      </c>
      <c r="F67" s="105">
        <v>40039623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7" s="48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ref="A68" si="13">B68&amp;"_"&amp;C68</f>
        <v>40039620_40039624</v>
      </c>
      <c r="B68" s="105">
        <v>40039620</v>
      </c>
      <c r="C68" s="105">
        <v>40039624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怒りの炎は己をも焦がすのよ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68" s="105">
        <v>40039624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933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ref="A69" si="14">B69&amp;"_"&amp;C69</f>
        <v>40039620_40039625</v>
      </c>
      <c r="B69" s="105">
        <v>40039620</v>
      </c>
      <c r="C69" s="105">
        <v>40039625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何よ…あなた達_x000D_いつからそこに…？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愛ねぇ…悪くないけど_x000D_賭けの対象としてはつまらないわね</v>
      </c>
      <c r="F69" s="105">
        <v>40039625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9" s="48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1"/>
        <v>40039700_40039701</v>
      </c>
      <c r="B70" s="105">
        <v>40039700</v>
      </c>
      <c r="C70" s="119">
        <v>40039701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愛の力は全てを超えるのですよ♪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低確率でお邪魔パネルをドロップ+_x000D_緑属性のユニットの攻撃力DOWN</v>
      </c>
      <c r="F70" s="119">
        <v>40039701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ref="A71:A74" si="15">B71&amp;"_"&amp;C71</f>
        <v>40039700_40039702</v>
      </c>
      <c r="B71" s="105">
        <v>40039700</v>
      </c>
      <c r="C71" s="119">
        <v>40039702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黄昏の嘆き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ランダムで黄のダメージパネルに5個変換+全体攻撃</v>
      </c>
      <c r="F71" s="119">
        <v>40039702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 t="str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1" s="48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15"/>
        <v>40039700_40039703</v>
      </c>
      <c r="B72" s="105">
        <v>40039700</v>
      </c>
      <c r="C72" s="119">
        <v>40039703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滑らかに進む恋なんてあって？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72" s="119">
        <v>40039703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15"/>
        <v>40039700_40039704</v>
      </c>
      <c r="B73" s="105">
        <v>40039700</v>
      </c>
      <c r="C73" s="119">
        <v>40039704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あらしに見る夢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ダメージパネルとお邪魔パネルを吸収して全体攻撃</v>
      </c>
      <c r="F73" s="119">
        <v>40039704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 t="str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3" s="48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15"/>
        <v>40039700_40039705</v>
      </c>
      <c r="B74" s="105">
        <v>40039700</v>
      </c>
      <c r="C74" s="119">
        <v>40039705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ヘンリーズ・シージ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黄属性のユニットに大ダメージの全体攻撃</v>
      </c>
      <c r="F74" s="119">
        <v>40039705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 t="str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4" s="48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ref="A75:A76" si="16">B75&amp;"_"&amp;C75</f>
        <v>40039700_40039706</v>
      </c>
      <c r="B75" s="105">
        <v>40039700</v>
      </c>
      <c r="C75" s="119">
        <v>40039706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トルストイ…やっぱりあなたとは_x000D_分かり合うことはできないみたいね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低確率でお邪魔パネルをドロップ+_x000D_緑属性のユニットの攻撃力DOWN</v>
      </c>
      <c r="F75" s="119">
        <v>40039706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121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1226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16"/>
        <v>40039700_40039706</v>
      </c>
      <c r="B76" s="105">
        <v>40039700</v>
      </c>
      <c r="C76" s="119">
        <v>40039706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トルストイ…やっぱりあなたとは_x000D_分かり合うことはできないみたいね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低確率でお邪魔パネルをドロップ+_x000D_緑属性のユニットの攻撃力DOWN</v>
      </c>
      <c r="F76" s="119">
        <v>40039707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122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1227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ref="A77:A82" si="17">B77&amp;"_"&amp;C77</f>
        <v>40039720_40039721</v>
      </c>
      <c r="B77" s="105">
        <v>40039720</v>
      </c>
      <c r="C77" s="105">
        <v>40039721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これでどうかしら…？_x000D_愛に苦難はつきものと言うものね♪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中確率でお邪魔パネルをドロップ</v>
      </c>
      <c r="F77" s="105">
        <v>40039721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48" t="str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ref="A78:A81" si="18">B78&amp;"_"&amp;C78</f>
        <v>40039720_40039722</v>
      </c>
      <c r="B78" s="105">
        <v>40039720</v>
      </c>
      <c r="C78" s="105">
        <v>40039722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アリス・アンドロニカス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78" s="105">
        <v>40039722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 t="str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8" s="48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8" s="4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18"/>
        <v>40039720_40039723</v>
      </c>
      <c r="B79" s="105">
        <v>40039720</v>
      </c>
      <c r="C79" s="105">
        <v>40039723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嫉妬は人の心を餌食にするの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ランダムで超強力な黄のダメージパネルに1個変換+単体攻撃</v>
      </c>
      <c r="F79" s="105">
        <v>40039723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79" s="48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60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18"/>
        <v>40039720_40039724</v>
      </c>
      <c r="B80" s="105">
        <v>40039720</v>
      </c>
      <c r="C80" s="105">
        <v>40039724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あなたの愛はニセモノなのですか？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ランダムで超強力な黄のダメージパネルに1個変換+単体攻撃</v>
      </c>
      <c r="F80" s="105">
        <v>40039724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80" s="48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40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18"/>
        <v>40039720_40039725</v>
      </c>
      <c r="B81" s="105">
        <v>40039720</v>
      </c>
      <c r="C81" s="105">
        <v>40039725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真の恋ほど簡単に叶ったりしないものよ♪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ランダムで超強力な黄のダメージパネルに1個変換+単体攻撃</v>
      </c>
      <c r="F81" s="105">
        <v>40039725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114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81" s="48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20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17"/>
        <v>40039740_40039741</v>
      </c>
      <c r="B82" s="105">
        <v>40039740</v>
      </c>
      <c r="C82" s="119">
        <v>40039741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結局あなた方も愛無き者…弱き者なのね…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高確率でお邪魔パネルをドロップ+_x000D_緑属性のユニットのCパネル生成延長(効果特大)</v>
      </c>
      <c r="F82" s="119">
        <v>40039741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2" s="48" t="str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8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ref="A83:A90" si="19">B83&amp;"_"&amp;C83</f>
        <v>40039740_40039742</v>
      </c>
      <c r="B83" s="105">
        <v>40039740</v>
      </c>
      <c r="C83" s="119">
        <v>40039742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マクス・マクベス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緑属性のユニットに大ダメージの全体攻撃</v>
      </c>
      <c r="F83" s="119">
        <v>40039742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 t="str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3" s="48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3" s="4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19"/>
        <v>40039740_40039743</v>
      </c>
      <c r="B84" s="105">
        <v>40039740</v>
      </c>
      <c r="C84" s="119">
        <v>40039743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愛し合う憎しみをあなたに♪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お邪魔パネルを吸収して攻撃力UP</v>
      </c>
      <c r="F84" s="119">
        <v>40039743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8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4" s="48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19"/>
        <v>40039740_40039744</v>
      </c>
      <c r="B85" s="105">
        <v>40039740</v>
      </c>
      <c r="C85" s="119">
        <v>40039744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ヘンリーズ・シージ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黄属性のユニットに大ダメージの全体攻撃</v>
      </c>
      <c r="F85" s="119">
        <v>40039744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 t="str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5" s="48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85" s="48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19"/>
        <v>40039740_40039745</v>
      </c>
      <c r="B86" s="105">
        <v>40039740</v>
      </c>
      <c r="C86" s="119">
        <v>40039745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心はないわ！　心は私が消し去った！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ダメージパネル以外のパネルをお邪魔パネルに変換</v>
      </c>
      <c r="F86" s="119">
        <v>40039745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 t="str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6" s="48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86" s="48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19"/>
        <v>40039740_40039746</v>
      </c>
      <c r="B87" s="105">
        <v>40039740</v>
      </c>
      <c r="C87" s="119">
        <v>40039746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閉じ込められている炎が_x000D_いちばん強く燃えるものよ♪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お邪魔パネルを吸収して攻撃力UP</v>
      </c>
      <c r="F87" s="119">
        <v>40039746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121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8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87" s="48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19"/>
        <v>40039740_40039747</v>
      </c>
      <c r="B88" s="105">
        <v>40039740</v>
      </c>
      <c r="C88" s="119">
        <v>40039747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そろそろお休みなさいな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お邪魔パネルを吸収して攻撃力UP</v>
      </c>
      <c r="F88" s="119">
        <v>40039747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122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8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11</v>
      </c>
      <c r="N88" s="48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19"/>
        <v>40039740_40039748</v>
      </c>
      <c r="B89" s="105">
        <v>40039740</v>
      </c>
      <c r="C89" s="119">
        <v>40039748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この世界は見世物より悲惨だわ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ランダムでダメージパネルに10個変換</v>
      </c>
      <c r="F89" s="119">
        <v>40039748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89" s="48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40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8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9" s="48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19"/>
        <v>40039740_40039749</v>
      </c>
      <c r="B90" s="105">
        <v>40039740</v>
      </c>
      <c r="C90" s="119">
        <v>40039749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そろそろ幕を降ろしましょう…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ランダムでダメージパネルに10個変換</v>
      </c>
      <c r="F90" s="119">
        <v>40039749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8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0" s="48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ref="A91:A93" si="20">B91&amp;"_"&amp;C91</f>
        <v>40039740_40039750</v>
      </c>
      <c r="B91" s="105">
        <v>40039740</v>
      </c>
      <c r="C91" s="119">
        <v>40039750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あぁ…長い夢を見ていたみたい…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もう少しで大切な場所を失うところだったわ…ありがとう</v>
      </c>
      <c r="F91" s="119">
        <v>40039750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1" s="48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1" s="48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20"/>
        <v>40039740_40039751</v>
      </c>
      <c r="B92" s="105">
        <v>40039740</v>
      </c>
      <c r="C92" s="119">
        <v>40039751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トルストイ…わたし、またやり直せるかしら…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えぇ…ありがとう…_x000D_今ならこれまでで一番素晴らしい愛を綴れる気がするわ</v>
      </c>
      <c r="F92" s="119">
        <v>40039751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121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2" s="48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2" s="48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1226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20"/>
        <v>40039740_40039751</v>
      </c>
      <c r="B93" s="105">
        <v>40039740</v>
      </c>
      <c r="C93" s="119">
        <v>40039751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トルストイ…わたし、またやり直せるかしら…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えぇ…ありがとう…_x000D_今ならこれまでで一番素晴らしい愛を綴れる気がするわ</v>
      </c>
      <c r="F93" s="119">
        <v>40039752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122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3" s="48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3" s="48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1227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89"/>
  <sheetViews>
    <sheetView showGridLines="0" tabSelected="1" zoomScale="90" zoomScaleNormal="90" zoomScalePageLayoutView="90" workbookViewId="0">
      <pane ySplit="1" topLeftCell="A71" activePane="bottomLeft" state="frozenSplit"/>
      <selection pane="bottomLeft" activeCell="B83" sqref="B83"/>
    </sheetView>
  </sheetViews>
  <sheetFormatPr baseColWidth="12" defaultColWidth="12.83203125" defaultRowHeight="4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41" customHeight="1" x14ac:dyDescent="0.15">
      <c r="A1" s="123" t="s">
        <v>79</v>
      </c>
      <c r="B1" s="123" t="s">
        <v>80</v>
      </c>
      <c r="C1" s="123" t="s">
        <v>81</v>
      </c>
      <c r="D1" s="123" t="s">
        <v>125</v>
      </c>
      <c r="E1" s="123" t="s">
        <v>82</v>
      </c>
      <c r="F1" s="123" t="s">
        <v>83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76</v>
      </c>
      <c r="AA1" s="41" t="s">
        <v>77</v>
      </c>
      <c r="AB1" s="41" t="s">
        <v>78</v>
      </c>
    </row>
    <row r="2" spans="1:28" ht="41" customHeight="1" x14ac:dyDescent="0.15">
      <c r="A2" s="62">
        <v>40039001</v>
      </c>
      <c r="B2" s="120" t="s">
        <v>399</v>
      </c>
      <c r="C2" s="124">
        <v>3</v>
      </c>
      <c r="D2" s="124" t="s">
        <v>126</v>
      </c>
      <c r="E2" s="125" t="s">
        <v>287</v>
      </c>
      <c r="F2" s="125" t="s">
        <v>259</v>
      </c>
      <c r="G2" s="64" t="str">
        <f t="shared" ref="G2:G45" si="0">IFERROR(LEFT(B2,FIND("],",B2)),B2)</f>
        <v>[effect:damage_anti_color, target:unit_all, color:red, val1:0.6, val2:0.23]</v>
      </c>
      <c r="H2" s="64">
        <f t="shared" ref="H2:H45" si="1">FIND("effect:",G2)+7</f>
        <v>9</v>
      </c>
      <c r="I2" s="64">
        <f t="shared" ref="I2:I45" si="2">IFERROR(FIND(",",G2),LEN(G2))</f>
        <v>26</v>
      </c>
      <c r="J2" s="64">
        <f t="shared" ref="J2:J45" si="3">FIND("target:",G2)+7</f>
        <v>35</v>
      </c>
      <c r="K2" s="64">
        <f t="shared" ref="K2:K45" si="4">FIND(",",G2,I2+1)</f>
        <v>43</v>
      </c>
      <c r="L2" s="64" t="str">
        <f>IFERROR(VLOOKUP(MID(G2,J2,K2-J2),[5]skilldef!$C:$D,2,FALSE),"-") &amp; " / " &amp; IFERROR(VLOOKUP(MID(G2,H2,I2-H2),[5]skilldef!$A:$B,2,FALSE),"-")</f>
        <v>味方全体に / 属性キラー</v>
      </c>
      <c r="M2" s="64" t="str">
        <f t="shared" ref="M2:M45" si="5">IFERROR(RIGHT(B2,LEN(B2)-FIND("],",B2)-1),"none")</f>
        <v>none</v>
      </c>
      <c r="N2" s="48" t="str">
        <f t="shared" ref="N2" si="6">IFERROR(LEFT(M2,FIND("],",M2)+S15),M2)</f>
        <v>none</v>
      </c>
      <c r="O2" s="64" t="e">
        <f t="shared" ref="O2:O45" si="7">FIND("effect:",N2)+7</f>
        <v>#VALUE!</v>
      </c>
      <c r="P2" s="64">
        <f t="shared" ref="P2:P45" si="8">IFERROR(FIND(",",N2),LEN(N2))</f>
        <v>4</v>
      </c>
      <c r="Q2" s="64" t="e">
        <f t="shared" ref="Q2:Q45" si="9">FIND("target:",N2)+7</f>
        <v>#VALUE!</v>
      </c>
      <c r="R2" s="64" t="e">
        <f t="shared" ref="R2:R45" si="10">FIND(",",N2,P2+1)</f>
        <v>#VALUE!</v>
      </c>
      <c r="S2" s="64" t="str">
        <f>IFERROR(VLOOKUP(MID(N2,Q2,R2-Q2),[5]skilldef!$C:$D,2,FALSE),"-") &amp; " / " &amp; IFERROR(VLOOKUP(MID(N2,O2,P2-O2),[5]skilldef!$A:$B,2,FALSE),"-")</f>
        <v>- / -</v>
      </c>
      <c r="T2" s="48" t="str">
        <f t="shared" ref="T2:T45" si="11">IFERROR(RIGHT(M2,LEN(M2)-FIND("],",M2)-1),"none")</f>
        <v>none</v>
      </c>
      <c r="U2" s="64" t="e">
        <f t="shared" ref="U2:U45" si="12">FIND("effect:",T2)+7</f>
        <v>#VALUE!</v>
      </c>
      <c r="V2" s="64">
        <f t="shared" ref="V2:V45" si="13">IFERROR(FIND(",",T2),LEN(T2))</f>
        <v>4</v>
      </c>
      <c r="W2" s="64" t="e">
        <f t="shared" ref="W2:W45" si="14">FIND("target:",T2)+7</f>
        <v>#VALUE!</v>
      </c>
      <c r="X2" s="64" t="e">
        <f t="shared" ref="X2:X45" si="15">FIND(",",T2,V2+1)</f>
        <v>#VALUE!</v>
      </c>
      <c r="Y2" s="64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41" customHeight="1" x14ac:dyDescent="0.15">
      <c r="A3" s="62">
        <v>40039002</v>
      </c>
      <c r="B3" s="120" t="s">
        <v>334</v>
      </c>
      <c r="C3" s="124">
        <v>3</v>
      </c>
      <c r="D3" s="124" t="s">
        <v>126</v>
      </c>
      <c r="E3" s="125" t="s">
        <v>312</v>
      </c>
      <c r="F3" s="125" t="s">
        <v>261</v>
      </c>
      <c r="G3" s="64" t="str">
        <f t="shared" si="0"/>
        <v>[effect:enhance_enemy, target:myself, turn:-1, status:attack, val:0.3, calc:mul, animation:enemy_enhance_attack]</v>
      </c>
      <c r="H3" s="64">
        <f t="shared" si="1"/>
        <v>9</v>
      </c>
      <c r="I3" s="64">
        <f t="shared" si="2"/>
        <v>22</v>
      </c>
      <c r="J3" s="64">
        <f t="shared" si="3"/>
        <v>31</v>
      </c>
      <c r="K3" s="64">
        <f t="shared" si="4"/>
        <v>37</v>
      </c>
      <c r="L3" s="64" t="str">
        <f>IFERROR(VLOOKUP(MID(G3,J3,K3-J3),[5]skilldef!$C:$D,2,FALSE),"-") &amp; " / " &amp; IFERROR(VLOOKUP(MID(G3,H3,I3-H3),[5]skilldef!$A:$B,2,FALSE),"-")</f>
        <v>自分自身に / ステータス強化</v>
      </c>
      <c r="M3" s="64" t="str">
        <f t="shared" si="5"/>
        <v>none</v>
      </c>
      <c r="N3" s="48" t="str">
        <f>IFERROR(LEFT(M3,FIND("],",M3)+#REF!),M3)</f>
        <v>none</v>
      </c>
      <c r="O3" s="64" t="e">
        <f t="shared" si="7"/>
        <v>#VALUE!</v>
      </c>
      <c r="P3" s="64">
        <f t="shared" si="8"/>
        <v>4</v>
      </c>
      <c r="Q3" s="64" t="e">
        <f t="shared" si="9"/>
        <v>#VALUE!</v>
      </c>
      <c r="R3" s="64" t="e">
        <f t="shared" si="10"/>
        <v>#VALUE!</v>
      </c>
      <c r="S3" s="64" t="str">
        <f>IFERROR(VLOOKUP(MID(N3,Q3,R3-Q3),[5]skilldef!$C:$D,2,FALSE),"-") &amp; " / " &amp; IFERROR(VLOOKUP(MID(N3,O3,P3-O3),[5]skilldef!$A:$B,2,FALSE),"-")</f>
        <v>- / -</v>
      </c>
      <c r="T3" s="48" t="str">
        <f t="shared" si="11"/>
        <v>none</v>
      </c>
      <c r="U3" s="64" t="e">
        <f t="shared" si="12"/>
        <v>#VALUE!</v>
      </c>
      <c r="V3" s="64">
        <f t="shared" si="13"/>
        <v>4</v>
      </c>
      <c r="W3" s="64" t="e">
        <f t="shared" si="14"/>
        <v>#VALUE!</v>
      </c>
      <c r="X3" s="64" t="e">
        <f t="shared" si="15"/>
        <v>#VALUE!</v>
      </c>
      <c r="Y3" s="64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41" customHeight="1" x14ac:dyDescent="0.15">
      <c r="A4" s="62">
        <v>40039003</v>
      </c>
      <c r="B4" s="120" t="s">
        <v>335</v>
      </c>
      <c r="C4" s="124">
        <v>3</v>
      </c>
      <c r="D4" s="124" t="s">
        <v>126</v>
      </c>
      <c r="E4" s="125" t="s">
        <v>313</v>
      </c>
      <c r="F4" s="125" t="s">
        <v>262</v>
      </c>
      <c r="G4" s="64" t="str">
        <f t="shared" si="0"/>
        <v>[effect:enhance_enemy, target:myself, turn:-1, status:defense, val:1500, calc:add, animation:enemy_enhance_defense]</v>
      </c>
      <c r="H4" s="64">
        <f t="shared" si="1"/>
        <v>9</v>
      </c>
      <c r="I4" s="64">
        <f t="shared" si="2"/>
        <v>22</v>
      </c>
      <c r="J4" s="64">
        <f t="shared" si="3"/>
        <v>31</v>
      </c>
      <c r="K4" s="64">
        <f t="shared" si="4"/>
        <v>37</v>
      </c>
      <c r="L4" s="64" t="str">
        <f>IFERROR(VLOOKUP(MID(G4,J4,K4-J4),[5]skilldef!$C:$D,2,FALSE),"-") &amp; " / " &amp; IFERROR(VLOOKUP(MID(G4,H4,I4-H4),[5]skilldef!$A:$B,2,FALSE),"-")</f>
        <v>自分自身に / ステータス強化</v>
      </c>
      <c r="M4" s="64" t="str">
        <f t="shared" si="5"/>
        <v>none</v>
      </c>
      <c r="N4" s="48" t="str">
        <f>IFERROR(LEFT(M4,FIND("],",M4)+S24),M4)</f>
        <v>none</v>
      </c>
      <c r="O4" s="64" t="e">
        <f t="shared" si="7"/>
        <v>#VALUE!</v>
      </c>
      <c r="P4" s="64">
        <f t="shared" si="8"/>
        <v>4</v>
      </c>
      <c r="Q4" s="64" t="e">
        <f t="shared" si="9"/>
        <v>#VALUE!</v>
      </c>
      <c r="R4" s="64" t="e">
        <f t="shared" si="10"/>
        <v>#VALUE!</v>
      </c>
      <c r="S4" s="64" t="str">
        <f>IFERROR(VLOOKUP(MID(N4,Q4,R4-Q4),[5]skilldef!$C:$D,2,FALSE),"-") &amp; " / " &amp; IFERROR(VLOOKUP(MID(N4,O4,P4-O4),[5]skilldef!$A:$B,2,FALSE),"-")</f>
        <v>- / -</v>
      </c>
      <c r="T4" s="48" t="str">
        <f t="shared" si="11"/>
        <v>none</v>
      </c>
      <c r="U4" s="64" t="e">
        <f t="shared" si="12"/>
        <v>#VALUE!</v>
      </c>
      <c r="V4" s="64">
        <f t="shared" si="13"/>
        <v>4</v>
      </c>
      <c r="W4" s="64" t="e">
        <f t="shared" si="14"/>
        <v>#VALUE!</v>
      </c>
      <c r="X4" s="64" t="e">
        <f t="shared" si="15"/>
        <v>#VALUE!</v>
      </c>
      <c r="Y4" s="64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41" customHeight="1" x14ac:dyDescent="0.15">
      <c r="A5" s="62">
        <v>40039004</v>
      </c>
      <c r="B5" s="128" t="s">
        <v>364</v>
      </c>
      <c r="C5" s="124">
        <v>3</v>
      </c>
      <c r="D5" s="124" t="s">
        <v>126</v>
      </c>
      <c r="E5" s="125" t="s">
        <v>306</v>
      </c>
      <c r="F5" s="125" t="s">
        <v>307</v>
      </c>
      <c r="G5" s="64" t="str">
        <f t="shared" si="0"/>
        <v xml:space="preserve">[effect:enemy_message, val1:1.5, val2:2.3, dead_type:escape]    </v>
      </c>
      <c r="H5" s="64">
        <f t="shared" si="1"/>
        <v>9</v>
      </c>
      <c r="I5" s="64">
        <f t="shared" si="2"/>
        <v>22</v>
      </c>
      <c r="J5" s="64" t="e">
        <f t="shared" si="3"/>
        <v>#VALUE!</v>
      </c>
      <c r="K5" s="64">
        <f t="shared" si="4"/>
        <v>32</v>
      </c>
      <c r="L5" s="64" t="str">
        <f>IFERROR(VLOOKUP(MID(G5,J5,K5-J5),[5]skilldef!$C:$D,2,FALSE),"-") &amp; " / " &amp; IFERROR(VLOOKUP(MID(G5,H5,I5-H5),[5]skilldef!$A:$B,2,FALSE),"-")</f>
        <v>- / -</v>
      </c>
      <c r="M5" s="64" t="str">
        <f t="shared" si="5"/>
        <v>none</v>
      </c>
      <c r="N5" s="48" t="str">
        <f>IFERROR(LEFT(M5,FIND("],",M5)+S25),M5)</f>
        <v>none</v>
      </c>
      <c r="O5" s="64" t="e">
        <f t="shared" si="7"/>
        <v>#VALUE!</v>
      </c>
      <c r="P5" s="64">
        <f t="shared" si="8"/>
        <v>4</v>
      </c>
      <c r="Q5" s="64" t="e">
        <f t="shared" si="9"/>
        <v>#VALUE!</v>
      </c>
      <c r="R5" s="64" t="e">
        <f t="shared" si="10"/>
        <v>#VALUE!</v>
      </c>
      <c r="S5" s="64" t="str">
        <f>IFERROR(VLOOKUP(MID(N5,Q5,R5-Q5),[5]skilldef!$C:$D,2,FALSE),"-") &amp; " / " &amp; IFERROR(VLOOKUP(MID(N5,O5,P5-O5),[5]skilldef!$A:$B,2,FALSE),"-")</f>
        <v>- / -</v>
      </c>
      <c r="T5" s="48" t="str">
        <f t="shared" si="11"/>
        <v>none</v>
      </c>
      <c r="U5" s="64" t="e">
        <f t="shared" si="12"/>
        <v>#VALUE!</v>
      </c>
      <c r="V5" s="64">
        <f t="shared" si="13"/>
        <v>4</v>
      </c>
      <c r="W5" s="64" t="e">
        <f t="shared" si="14"/>
        <v>#VALUE!</v>
      </c>
      <c r="X5" s="64" t="e">
        <f t="shared" si="15"/>
        <v>#VALUE!</v>
      </c>
      <c r="Y5" s="64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41" customHeight="1" x14ac:dyDescent="0.15">
      <c r="A6" s="62">
        <v>40039021</v>
      </c>
      <c r="B6" s="120" t="s">
        <v>423</v>
      </c>
      <c r="C6" s="124">
        <v>3</v>
      </c>
      <c r="D6" s="124" t="s">
        <v>126</v>
      </c>
      <c r="E6" s="125" t="s">
        <v>314</v>
      </c>
      <c r="F6" s="125" t="s">
        <v>420</v>
      </c>
      <c r="G6" s="64" t="str">
        <f t="shared" si="0"/>
        <v>[effect:enemy_message, val1:1.5, val2:2.0]</v>
      </c>
      <c r="H6" s="64">
        <f t="shared" si="1"/>
        <v>9</v>
      </c>
      <c r="I6" s="64">
        <f t="shared" si="2"/>
        <v>22</v>
      </c>
      <c r="J6" s="64" t="e">
        <f t="shared" si="3"/>
        <v>#VALUE!</v>
      </c>
      <c r="K6" s="64">
        <f t="shared" si="4"/>
        <v>32</v>
      </c>
      <c r="L6" s="64" t="str">
        <f>IFERROR(VLOOKUP(MID(G6,J6,K6-J6),[5]skilldef!$C:$D,2,FALSE),"-") &amp; " / " &amp; IFERROR(VLOOKUP(MID(G6,H6,I6-H6),[5]skilldef!$A:$B,2,FALSE),"-")</f>
        <v>- / -</v>
      </c>
      <c r="M6" s="64" t="str">
        <f t="shared" si="5"/>
        <v>none</v>
      </c>
      <c r="N6" s="48" t="str">
        <f>IFERROR(LEFT(M6,FIND("],",M6)+S30),M6)</f>
        <v>none</v>
      </c>
      <c r="O6" s="64" t="e">
        <f t="shared" si="7"/>
        <v>#VALUE!</v>
      </c>
      <c r="P6" s="64">
        <f t="shared" si="8"/>
        <v>4</v>
      </c>
      <c r="Q6" s="64" t="e">
        <f t="shared" si="9"/>
        <v>#VALUE!</v>
      </c>
      <c r="R6" s="64" t="e">
        <f t="shared" si="10"/>
        <v>#VALUE!</v>
      </c>
      <c r="S6" s="64" t="str">
        <f>IFERROR(VLOOKUP(MID(N6,Q6,R6-Q6),[5]skilldef!$C:$D,2,FALSE),"-") &amp; " / " &amp; IFERROR(VLOOKUP(MID(N6,O6,P6-O6),[5]skilldef!$A:$B,2,FALSE),"-")</f>
        <v>- / -</v>
      </c>
      <c r="T6" s="48" t="str">
        <f t="shared" si="11"/>
        <v>none</v>
      </c>
      <c r="U6" s="64" t="e">
        <f t="shared" si="12"/>
        <v>#VALUE!</v>
      </c>
      <c r="V6" s="64">
        <f t="shared" si="13"/>
        <v>4</v>
      </c>
      <c r="W6" s="64" t="e">
        <f t="shared" si="14"/>
        <v>#VALUE!</v>
      </c>
      <c r="X6" s="64" t="e">
        <f t="shared" si="15"/>
        <v>#VALUE!</v>
      </c>
      <c r="Y6" s="64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41" customHeight="1" x14ac:dyDescent="0.15">
      <c r="A7" s="62">
        <v>40039022</v>
      </c>
      <c r="B7" s="120" t="s">
        <v>277</v>
      </c>
      <c r="C7" s="124">
        <v>3</v>
      </c>
      <c r="D7" s="124" t="s">
        <v>126</v>
      </c>
      <c r="E7" s="125" t="s">
        <v>288</v>
      </c>
      <c r="F7" s="125" t="s">
        <v>260</v>
      </c>
      <c r="G7" s="64" t="str">
        <f t="shared" si="0"/>
        <v>[effect:damage_anti_tribe, target:unit_all, tribe:god, val1:0.6, val2:0.25]</v>
      </c>
      <c r="H7" s="64">
        <f t="shared" si="1"/>
        <v>9</v>
      </c>
      <c r="I7" s="64">
        <f t="shared" si="2"/>
        <v>26</v>
      </c>
      <c r="J7" s="64">
        <f t="shared" si="3"/>
        <v>35</v>
      </c>
      <c r="K7" s="64">
        <f t="shared" si="4"/>
        <v>43</v>
      </c>
      <c r="L7" s="64" t="str">
        <f>IFERROR(VLOOKUP(MID(G7,J7,K7-J7),[5]skilldef!$C:$D,2,FALSE),"-") &amp; " / " &amp; IFERROR(VLOOKUP(MID(G7,H7,I7-H7),[5]skilldef!$A:$B,2,FALSE),"-")</f>
        <v>味方全体に / 種族キラー</v>
      </c>
      <c r="M7" s="64" t="str">
        <f t="shared" si="5"/>
        <v>none</v>
      </c>
      <c r="N7" s="48" t="str">
        <f>IFERROR(LEFT(M7,FIND("],",M7)+S35),M7)</f>
        <v>none</v>
      </c>
      <c r="O7" s="64" t="e">
        <f t="shared" si="7"/>
        <v>#VALUE!</v>
      </c>
      <c r="P7" s="64">
        <f t="shared" si="8"/>
        <v>4</v>
      </c>
      <c r="Q7" s="64" t="e">
        <f t="shared" si="9"/>
        <v>#VALUE!</v>
      </c>
      <c r="R7" s="64" t="e">
        <f t="shared" si="10"/>
        <v>#VALUE!</v>
      </c>
      <c r="S7" s="64" t="str">
        <f>IFERROR(VLOOKUP(MID(N7,Q7,R7-Q7),[5]skilldef!$C:$D,2,FALSE),"-") &amp; " / " &amp; IFERROR(VLOOKUP(MID(N7,O7,P7-O7),[5]skilldef!$A:$B,2,FALSE),"-")</f>
        <v>- / -</v>
      </c>
      <c r="T7" s="48" t="str">
        <f t="shared" si="11"/>
        <v>none</v>
      </c>
      <c r="U7" s="64" t="e">
        <f t="shared" si="12"/>
        <v>#VALUE!</v>
      </c>
      <c r="V7" s="64">
        <f t="shared" si="13"/>
        <v>4</v>
      </c>
      <c r="W7" s="64" t="e">
        <f t="shared" si="14"/>
        <v>#VALUE!</v>
      </c>
      <c r="X7" s="64" t="e">
        <f t="shared" si="15"/>
        <v>#VALUE!</v>
      </c>
      <c r="Y7" s="64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41" customHeight="1" x14ac:dyDescent="0.15">
      <c r="A8" s="62">
        <v>40039023</v>
      </c>
      <c r="B8" s="120" t="s">
        <v>336</v>
      </c>
      <c r="C8" s="124">
        <v>3</v>
      </c>
      <c r="D8" s="124" t="s">
        <v>126</v>
      </c>
      <c r="E8" s="125" t="s">
        <v>290</v>
      </c>
      <c r="F8" s="125" t="s">
        <v>263</v>
      </c>
      <c r="G8" s="64" t="str">
        <f t="shared" si="0"/>
        <v>[effect:enhance_enemy, target:myself, turn:-1, status:attack, val:0.3, calc:mul, animation:enemy_enhance_attack]</v>
      </c>
      <c r="H8" s="64">
        <f t="shared" si="1"/>
        <v>9</v>
      </c>
      <c r="I8" s="64">
        <f t="shared" si="2"/>
        <v>22</v>
      </c>
      <c r="J8" s="64">
        <f t="shared" si="3"/>
        <v>31</v>
      </c>
      <c r="K8" s="64">
        <f t="shared" si="4"/>
        <v>37</v>
      </c>
      <c r="L8" s="64" t="str">
        <f>IFERROR(VLOOKUP(MID(G8,J8,K8-J8),[5]skilldef!$C:$D,2,FALSE),"-") &amp; " / " &amp; IFERROR(VLOOKUP(MID(G8,H8,I8-H8),[5]skilldef!$A:$B,2,FALSE),"-")</f>
        <v>自分自身に / ステータス強化</v>
      </c>
      <c r="M8" s="64" t="str">
        <f t="shared" si="5"/>
        <v>none</v>
      </c>
      <c r="N8" s="48" t="str">
        <f>IFERROR(LEFT(M8,FIND("],",M8)+S36),M8)</f>
        <v>none</v>
      </c>
      <c r="O8" s="64" t="e">
        <f t="shared" si="7"/>
        <v>#VALUE!</v>
      </c>
      <c r="P8" s="64">
        <f t="shared" si="8"/>
        <v>4</v>
      </c>
      <c r="Q8" s="64" t="e">
        <f t="shared" si="9"/>
        <v>#VALUE!</v>
      </c>
      <c r="R8" s="64" t="e">
        <f t="shared" si="10"/>
        <v>#VALUE!</v>
      </c>
      <c r="S8" s="64" t="str">
        <f>IFERROR(VLOOKUP(MID(N8,Q8,R8-Q8),[5]skilldef!$C:$D,2,FALSE),"-") &amp; " / " &amp; IFERROR(VLOOKUP(MID(N8,O8,P8-O8),[5]skilldef!$A:$B,2,FALSE),"-")</f>
        <v>- / -</v>
      </c>
      <c r="T8" s="48" t="str">
        <f t="shared" si="11"/>
        <v>none</v>
      </c>
      <c r="U8" s="64" t="e">
        <f t="shared" si="12"/>
        <v>#VALUE!</v>
      </c>
      <c r="V8" s="64">
        <f t="shared" si="13"/>
        <v>4</v>
      </c>
      <c r="W8" s="64" t="e">
        <f t="shared" si="14"/>
        <v>#VALUE!</v>
      </c>
      <c r="X8" s="64" t="e">
        <f t="shared" si="15"/>
        <v>#VALUE!</v>
      </c>
      <c r="Y8" s="64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41" customHeight="1" x14ac:dyDescent="0.15">
      <c r="A9" s="62">
        <v>40039024</v>
      </c>
      <c r="B9" s="120" t="s">
        <v>337</v>
      </c>
      <c r="C9" s="124">
        <v>3</v>
      </c>
      <c r="D9" s="124" t="s">
        <v>126</v>
      </c>
      <c r="E9" s="125" t="s">
        <v>289</v>
      </c>
      <c r="F9" s="125" t="s">
        <v>264</v>
      </c>
      <c r="G9" s="64" t="str">
        <f t="shared" si="0"/>
        <v>[effect:enhance_enemy, target:myself, turn:-1, status:defense, val:1500, calc:add, animation:enemy_enhance_defense]</v>
      </c>
      <c r="H9" s="64">
        <f t="shared" si="1"/>
        <v>9</v>
      </c>
      <c r="I9" s="64">
        <f t="shared" si="2"/>
        <v>22</v>
      </c>
      <c r="J9" s="64">
        <f t="shared" si="3"/>
        <v>31</v>
      </c>
      <c r="K9" s="64">
        <f t="shared" si="4"/>
        <v>37</v>
      </c>
      <c r="L9" s="64" t="str">
        <f>IFERROR(VLOOKUP(MID(G9,J9,K9-J9),[5]skilldef!$C:$D,2,FALSE),"-") &amp; " / " &amp; IFERROR(VLOOKUP(MID(G9,H9,I9-H9),[5]skilldef!$A:$B,2,FALSE),"-")</f>
        <v>自分自身に / ステータス強化</v>
      </c>
      <c r="M9" s="64" t="str">
        <f t="shared" si="5"/>
        <v>none</v>
      </c>
      <c r="N9" s="48" t="str">
        <f>IFERROR(LEFT(M9,FIND("],",M9)+S37),M9)</f>
        <v>none</v>
      </c>
      <c r="O9" s="64" t="e">
        <f t="shared" si="7"/>
        <v>#VALUE!</v>
      </c>
      <c r="P9" s="64">
        <f t="shared" si="8"/>
        <v>4</v>
      </c>
      <c r="Q9" s="64" t="e">
        <f t="shared" si="9"/>
        <v>#VALUE!</v>
      </c>
      <c r="R9" s="64" t="e">
        <f t="shared" si="10"/>
        <v>#VALUE!</v>
      </c>
      <c r="S9" s="64" t="str">
        <f>IFERROR(VLOOKUP(MID(N9,Q9,R9-Q9),[5]skilldef!$C:$D,2,FALSE),"-") &amp; " / " &amp; IFERROR(VLOOKUP(MID(N9,O9,P9-O9),[5]skilldef!$A:$B,2,FALSE),"-")</f>
        <v>- / -</v>
      </c>
      <c r="T9" s="48" t="str">
        <f t="shared" si="11"/>
        <v>none</v>
      </c>
      <c r="U9" s="64" t="e">
        <f t="shared" si="12"/>
        <v>#VALUE!</v>
      </c>
      <c r="V9" s="64">
        <f t="shared" si="13"/>
        <v>4</v>
      </c>
      <c r="W9" s="64" t="e">
        <f t="shared" si="14"/>
        <v>#VALUE!</v>
      </c>
      <c r="X9" s="64" t="e">
        <f t="shared" si="15"/>
        <v>#VALUE!</v>
      </c>
      <c r="Y9" s="64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41" customHeight="1" x14ac:dyDescent="0.15">
      <c r="A10" s="62">
        <v>40039025</v>
      </c>
      <c r="B10" s="128" t="s">
        <v>424</v>
      </c>
      <c r="C10" s="124">
        <v>3</v>
      </c>
      <c r="D10" s="124" t="s">
        <v>126</v>
      </c>
      <c r="E10" s="125" t="s">
        <v>369</v>
      </c>
      <c r="F10" s="125" t="s">
        <v>308</v>
      </c>
      <c r="G10" s="64" t="str">
        <f t="shared" si="0"/>
        <v>[effect:enemy_message, val1:1.5, val2:2.3, dead_type:escape]</v>
      </c>
      <c r="H10" s="64">
        <f t="shared" si="1"/>
        <v>9</v>
      </c>
      <c r="I10" s="64">
        <f t="shared" si="2"/>
        <v>22</v>
      </c>
      <c r="J10" s="64" t="e">
        <f t="shared" si="3"/>
        <v>#VALUE!</v>
      </c>
      <c r="K10" s="64">
        <f t="shared" si="4"/>
        <v>32</v>
      </c>
      <c r="L10" s="64" t="str">
        <f>IFERROR(VLOOKUP(MID(G10,J10,K10-J10),[5]skilldef!$C:$D,2,FALSE),"-") &amp; " / " &amp; IFERROR(VLOOKUP(MID(G10,H10,I10-H10),[5]skilldef!$A:$B,2,FALSE),"-")</f>
        <v>- / -</v>
      </c>
      <c r="M10" s="64" t="str">
        <f t="shared" si="5"/>
        <v>none</v>
      </c>
      <c r="N10" s="48" t="str">
        <f>IFERROR(LEFT(M10,FIND("],",M10)+S38),M10)</f>
        <v>none</v>
      </c>
      <c r="O10" s="64" t="e">
        <f t="shared" si="7"/>
        <v>#VALUE!</v>
      </c>
      <c r="P10" s="64">
        <f t="shared" si="8"/>
        <v>4</v>
      </c>
      <c r="Q10" s="64" t="e">
        <f t="shared" si="9"/>
        <v>#VALUE!</v>
      </c>
      <c r="R10" s="64" t="e">
        <f t="shared" si="10"/>
        <v>#VALUE!</v>
      </c>
      <c r="S10" s="64" t="str">
        <f>IFERROR(VLOOKUP(MID(N10,Q10,R10-Q10),[5]skilldef!$C:$D,2,FALSE),"-") &amp; " / " &amp; IFERROR(VLOOKUP(MID(N10,O10,P10-O10),[5]skilldef!$A:$B,2,FALSE),"-")</f>
        <v>- / -</v>
      </c>
      <c r="T10" s="48" t="str">
        <f t="shared" si="11"/>
        <v>none</v>
      </c>
      <c r="U10" s="64" t="e">
        <f t="shared" si="12"/>
        <v>#VALUE!</v>
      </c>
      <c r="V10" s="64">
        <f t="shared" si="13"/>
        <v>4</v>
      </c>
      <c r="W10" s="64" t="e">
        <f t="shared" si="14"/>
        <v>#VALUE!</v>
      </c>
      <c r="X10" s="64" t="e">
        <f t="shared" si="15"/>
        <v>#VALUE!</v>
      </c>
      <c r="Y10" s="64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41" customHeight="1" x14ac:dyDescent="0.15">
      <c r="A11" s="62">
        <v>40039041</v>
      </c>
      <c r="B11" s="120" t="s">
        <v>411</v>
      </c>
      <c r="C11" s="124">
        <v>3</v>
      </c>
      <c r="D11" s="124" t="s">
        <v>126</v>
      </c>
      <c r="E11" s="51" t="s">
        <v>315</v>
      </c>
      <c r="F11" s="125" t="s">
        <v>426</v>
      </c>
      <c r="G11" s="64" t="str">
        <f t="shared" si="0"/>
        <v>[effect:force_change_block, new_block:jammer, target:block_red, ignore01:crash, ignore02:crack_bomb, ignore03:jammer, count:2, val:0]</v>
      </c>
      <c r="H11" s="64">
        <f t="shared" si="1"/>
        <v>9</v>
      </c>
      <c r="I11" s="64">
        <f t="shared" si="2"/>
        <v>27</v>
      </c>
      <c r="J11" s="64">
        <f t="shared" si="3"/>
        <v>54</v>
      </c>
      <c r="K11" s="64">
        <f t="shared" si="4"/>
        <v>45</v>
      </c>
      <c r="L11" s="64" t="str">
        <f>IFERROR(VLOOKUP(MID(G11,J11,K11-J11),[5]skilldef!$C:$D,2,FALSE),"-") &amp; " / " &amp; IFERROR(VLOOKUP(MID(G11,H11,I11-H11),[5]skilldef!$A:$B,2,FALSE),"-")</f>
        <v>- / -</v>
      </c>
      <c r="M11" s="64" t="str">
        <f t="shared" si="5"/>
        <v xml:space="preserve">[effect:rush, count:1, val:0.9]  </v>
      </c>
      <c r="N11" s="48" t="str">
        <f>IFERROR(LEFT(M11,FIND("],",M11)+S38),M11)</f>
        <v xml:space="preserve">[effect:rush, count:1, val:0.9]  </v>
      </c>
      <c r="O11" s="64">
        <f t="shared" si="7"/>
        <v>9</v>
      </c>
      <c r="P11" s="64">
        <f t="shared" si="8"/>
        <v>13</v>
      </c>
      <c r="Q11" s="64" t="e">
        <f t="shared" si="9"/>
        <v>#VALUE!</v>
      </c>
      <c r="R11" s="64">
        <f t="shared" si="10"/>
        <v>22</v>
      </c>
      <c r="S11" s="64" t="str">
        <f>IFERROR(VLOOKUP(MID(N11,Q11,R11-Q11),[5]skilldef!$C:$D,2,FALSE),"-") &amp; " / " &amp; IFERROR(VLOOKUP(MID(N11,O11,P11-O11),[5]skilldef!$A:$B,2,FALSE),"-")</f>
        <v>- / 連続攻撃</v>
      </c>
      <c r="T11" s="48" t="str">
        <f t="shared" si="11"/>
        <v>none</v>
      </c>
      <c r="U11" s="64" t="e">
        <f t="shared" si="12"/>
        <v>#VALUE!</v>
      </c>
      <c r="V11" s="64">
        <f t="shared" si="13"/>
        <v>4</v>
      </c>
      <c r="W11" s="64" t="e">
        <f t="shared" si="14"/>
        <v>#VALUE!</v>
      </c>
      <c r="X11" s="64" t="e">
        <f t="shared" si="15"/>
        <v>#VALUE!</v>
      </c>
      <c r="Y11" s="64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41" customHeight="1" x14ac:dyDescent="0.15">
      <c r="A12" s="62">
        <v>40039042</v>
      </c>
      <c r="B12" s="120" t="s">
        <v>338</v>
      </c>
      <c r="C12" s="124">
        <v>3</v>
      </c>
      <c r="D12" s="50" t="s">
        <v>126</v>
      </c>
      <c r="E12" s="51" t="s">
        <v>292</v>
      </c>
      <c r="F12" s="51" t="s">
        <v>266</v>
      </c>
      <c r="G12" s="64" t="str">
        <f t="shared" si="0"/>
        <v>[effect:enhance_enemy, target:myself, turn:-1, status:attack, val:0.3, calc:mul, animation:enemy_enhance_attack]</v>
      </c>
      <c r="H12" s="64">
        <f t="shared" si="1"/>
        <v>9</v>
      </c>
      <c r="I12" s="64">
        <f t="shared" si="2"/>
        <v>22</v>
      </c>
      <c r="J12" s="64">
        <f t="shared" si="3"/>
        <v>31</v>
      </c>
      <c r="K12" s="64">
        <f t="shared" si="4"/>
        <v>37</v>
      </c>
      <c r="L12" s="64" t="str">
        <f>IFERROR(VLOOKUP(MID(G12,J12,K12-J12),[5]skilldef!$C:$D,2,FALSE),"-") &amp; " / " &amp; IFERROR(VLOOKUP(MID(G12,H12,I12-H12),[5]skilldef!$A:$B,2,FALSE),"-")</f>
        <v>自分自身に / ステータス強化</v>
      </c>
      <c r="M12" s="64" t="str">
        <f t="shared" si="5"/>
        <v>none</v>
      </c>
      <c r="N12" s="48" t="str">
        <f>IFERROR(LEFT(M12,FIND("],",M12)+S39),M12)</f>
        <v>none</v>
      </c>
      <c r="O12" s="64" t="e">
        <f t="shared" si="7"/>
        <v>#VALUE!</v>
      </c>
      <c r="P12" s="64">
        <f t="shared" si="8"/>
        <v>4</v>
      </c>
      <c r="Q12" s="64" t="e">
        <f t="shared" si="9"/>
        <v>#VALUE!</v>
      </c>
      <c r="R12" s="64" t="e">
        <f t="shared" si="10"/>
        <v>#VALUE!</v>
      </c>
      <c r="S12" s="64" t="str">
        <f>IFERROR(VLOOKUP(MID(N12,Q12,R12-Q12),[5]skilldef!$C:$D,2,FALSE),"-") &amp; " / " &amp; IFERROR(VLOOKUP(MID(N12,O12,P12-O12),[5]skilldef!$A:$B,2,FALSE),"-")</f>
        <v>- / -</v>
      </c>
      <c r="T12" s="48" t="str">
        <f t="shared" si="11"/>
        <v>none</v>
      </c>
      <c r="U12" s="64" t="e">
        <f t="shared" si="12"/>
        <v>#VALUE!</v>
      </c>
      <c r="V12" s="64">
        <f t="shared" si="13"/>
        <v>4</v>
      </c>
      <c r="W12" s="64" t="e">
        <f t="shared" si="14"/>
        <v>#VALUE!</v>
      </c>
      <c r="X12" s="64" t="e">
        <f t="shared" si="15"/>
        <v>#VALUE!</v>
      </c>
      <c r="Y12" s="64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41" customHeight="1" x14ac:dyDescent="0.15">
      <c r="A13" s="62">
        <v>40039043</v>
      </c>
      <c r="B13" s="120" t="s">
        <v>339</v>
      </c>
      <c r="C13" s="124">
        <v>3</v>
      </c>
      <c r="D13" s="50" t="s">
        <v>126</v>
      </c>
      <c r="E13" s="51" t="s">
        <v>291</v>
      </c>
      <c r="F13" s="51" t="s">
        <v>265</v>
      </c>
      <c r="G13" s="64" t="str">
        <f t="shared" si="0"/>
        <v>[effect:enhance_enemy, target:myself, turn:-1, status:defense, val:1500, calc:add, animation:enemy_enhance_defense]</v>
      </c>
      <c r="H13" s="64">
        <f t="shared" si="1"/>
        <v>9</v>
      </c>
      <c r="I13" s="64">
        <f t="shared" si="2"/>
        <v>22</v>
      </c>
      <c r="J13" s="64">
        <f t="shared" si="3"/>
        <v>31</v>
      </c>
      <c r="K13" s="64">
        <f t="shared" si="4"/>
        <v>37</v>
      </c>
      <c r="L13" s="64" t="str">
        <f>IFERROR(VLOOKUP(MID(G13,J13,K13-J13),[5]skilldef!$C:$D,2,FALSE),"-") &amp; " / " &amp; IFERROR(VLOOKUP(MID(G13,H13,I13-H13),[5]skilldef!$A:$B,2,FALSE),"-")</f>
        <v>自分自身に / ステータス強化</v>
      </c>
      <c r="M13" s="64" t="str">
        <f t="shared" si="5"/>
        <v>none</v>
      </c>
      <c r="N13" s="48" t="str">
        <f>IFERROR(LEFT(M13,FIND("],",M13)+S40),M13)</f>
        <v>none</v>
      </c>
      <c r="O13" s="64" t="e">
        <f t="shared" si="7"/>
        <v>#VALUE!</v>
      </c>
      <c r="P13" s="64">
        <f t="shared" si="8"/>
        <v>4</v>
      </c>
      <c r="Q13" s="64" t="e">
        <f t="shared" si="9"/>
        <v>#VALUE!</v>
      </c>
      <c r="R13" s="64" t="e">
        <f t="shared" si="10"/>
        <v>#VALUE!</v>
      </c>
      <c r="S13" s="64" t="str">
        <f>IFERROR(VLOOKUP(MID(N13,Q13,R13-Q13),[5]skilldef!$C:$D,2,FALSE),"-") &amp; " / " &amp; IFERROR(VLOOKUP(MID(N13,O13,P13-O13),[5]skilldef!$A:$B,2,FALSE),"-")</f>
        <v>- / -</v>
      </c>
      <c r="T13" s="48" t="str">
        <f t="shared" si="11"/>
        <v>none</v>
      </c>
      <c r="U13" s="64" t="e">
        <f t="shared" si="12"/>
        <v>#VALUE!</v>
      </c>
      <c r="V13" s="64">
        <f t="shared" si="13"/>
        <v>4</v>
      </c>
      <c r="W13" s="64" t="e">
        <f t="shared" si="14"/>
        <v>#VALUE!</v>
      </c>
      <c r="X13" s="64" t="e">
        <f t="shared" si="15"/>
        <v>#VALUE!</v>
      </c>
      <c r="Y13" s="64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41" customHeight="1" x14ac:dyDescent="0.15">
      <c r="A14" s="62">
        <v>40039044</v>
      </c>
      <c r="B14" s="128" t="s">
        <v>365</v>
      </c>
      <c r="C14" s="124">
        <v>3</v>
      </c>
      <c r="D14" s="50" t="s">
        <v>126</v>
      </c>
      <c r="E14" s="51" t="s">
        <v>391</v>
      </c>
      <c r="F14" s="51" t="s">
        <v>309</v>
      </c>
      <c r="G14" s="64" t="str">
        <f t="shared" si="0"/>
        <v>[effect:enemy_message, val1:1.5, val2:2.3, dead_type:escape]</v>
      </c>
      <c r="H14" s="64">
        <f t="shared" si="1"/>
        <v>9</v>
      </c>
      <c r="I14" s="64">
        <f t="shared" si="2"/>
        <v>22</v>
      </c>
      <c r="J14" s="64" t="e">
        <f t="shared" si="3"/>
        <v>#VALUE!</v>
      </c>
      <c r="K14" s="64">
        <f t="shared" si="4"/>
        <v>32</v>
      </c>
      <c r="L14" s="64" t="str">
        <f>IFERROR(VLOOKUP(MID(G14,J14,K14-J14),[5]skilldef!$C:$D,2,FALSE),"-") &amp; " / " &amp; IFERROR(VLOOKUP(MID(G14,H14,I14-H14),[5]skilldef!$A:$B,2,FALSE),"-")</f>
        <v>- / -</v>
      </c>
      <c r="M14" s="64" t="str">
        <f t="shared" si="5"/>
        <v>none</v>
      </c>
      <c r="N14" s="48" t="str">
        <f>IFERROR(LEFT(M14,FIND("],",M14)+S41),M14)</f>
        <v>none</v>
      </c>
      <c r="O14" s="64" t="e">
        <f t="shared" si="7"/>
        <v>#VALUE!</v>
      </c>
      <c r="P14" s="64">
        <f t="shared" si="8"/>
        <v>4</v>
      </c>
      <c r="Q14" s="64" t="e">
        <f t="shared" si="9"/>
        <v>#VALUE!</v>
      </c>
      <c r="R14" s="64" t="e">
        <f t="shared" si="10"/>
        <v>#VALUE!</v>
      </c>
      <c r="S14" s="64" t="str">
        <f>IFERROR(VLOOKUP(MID(N14,Q14,R14-Q14),[5]skilldef!$C:$D,2,FALSE),"-") &amp; " / " &amp; IFERROR(VLOOKUP(MID(N14,O14,P14-O14),[5]skilldef!$A:$B,2,FALSE),"-")</f>
        <v>- / -</v>
      </c>
      <c r="T14" s="48" t="str">
        <f t="shared" si="11"/>
        <v>none</v>
      </c>
      <c r="U14" s="64" t="e">
        <f t="shared" si="12"/>
        <v>#VALUE!</v>
      </c>
      <c r="V14" s="64">
        <f t="shared" si="13"/>
        <v>4</v>
      </c>
      <c r="W14" s="64" t="e">
        <f t="shared" si="14"/>
        <v>#VALUE!</v>
      </c>
      <c r="X14" s="64" t="e">
        <f t="shared" si="15"/>
        <v>#VALUE!</v>
      </c>
      <c r="Y14" s="64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41" customHeight="1" x14ac:dyDescent="0.15">
      <c r="A15" s="62">
        <v>40039101</v>
      </c>
      <c r="B15" s="47" t="s">
        <v>407</v>
      </c>
      <c r="C15" s="124">
        <v>3</v>
      </c>
      <c r="D15" s="50" t="s">
        <v>126</v>
      </c>
      <c r="E15" s="51" t="s">
        <v>284</v>
      </c>
      <c r="F15" s="51" t="s">
        <v>317</v>
      </c>
      <c r="G15" s="64" t="str">
        <f t="shared" si="0"/>
        <v>[effect:force_change_block, new_block:damage, target:block_red, ignore01:crash, ignore02:crack_bomb, ignore03:jammer, ignore04:damage, count:0, val:0.1]</v>
      </c>
      <c r="H15" s="64">
        <f t="shared" si="1"/>
        <v>9</v>
      </c>
      <c r="I15" s="64">
        <f t="shared" si="2"/>
        <v>27</v>
      </c>
      <c r="J15" s="64">
        <f t="shared" si="3"/>
        <v>54</v>
      </c>
      <c r="K15" s="64">
        <f t="shared" si="4"/>
        <v>45</v>
      </c>
      <c r="L15" s="64" t="str">
        <f>IFERROR(VLOOKUP(MID(G15,J15,K15-J15),[5]skilldef!$C:$D,2,FALSE),"-") &amp; " / " &amp; IFERROR(VLOOKUP(MID(G15,H15,I15-H15),[5]skilldef!$A:$B,2,FALSE),"-")</f>
        <v>- / -</v>
      </c>
      <c r="M15" s="64" t="str">
        <f t="shared" si="5"/>
        <v>[effect:fix_speed, target:myself, turn:2]</v>
      </c>
      <c r="N15" s="48" t="str">
        <f t="shared" ref="N15" si="16">IFERROR(LEFT(M15,FIND("],",M15)+S41),M15)</f>
        <v>[effect:fix_speed, target:myself, turn:2]</v>
      </c>
      <c r="O15" s="64">
        <f t="shared" si="7"/>
        <v>9</v>
      </c>
      <c r="P15" s="64">
        <f t="shared" si="8"/>
        <v>18</v>
      </c>
      <c r="Q15" s="64">
        <f t="shared" si="9"/>
        <v>27</v>
      </c>
      <c r="R15" s="64">
        <f t="shared" si="10"/>
        <v>33</v>
      </c>
      <c r="S15" s="64" t="str">
        <f>IFERROR(VLOOKUP(MID(N15,Q15,R15-Q15),[5]skilldef!$C:$D,2,FALSE),"-") &amp; " / " &amp; IFERROR(VLOOKUP(MID(N15,O15,P15-O15),[5]skilldef!$A:$B,2,FALSE),"-")</f>
        <v>自分自身に / 行動値設定</v>
      </c>
      <c r="T15" s="48" t="str">
        <f t="shared" si="11"/>
        <v>none</v>
      </c>
      <c r="U15" s="64" t="e">
        <f t="shared" si="12"/>
        <v>#VALUE!</v>
      </c>
      <c r="V15" s="64">
        <f t="shared" si="13"/>
        <v>4</v>
      </c>
      <c r="W15" s="64" t="e">
        <f t="shared" si="14"/>
        <v>#VALUE!</v>
      </c>
      <c r="X15" s="64" t="e">
        <f t="shared" si="15"/>
        <v>#VALUE!</v>
      </c>
      <c r="Y15" s="64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41" customHeight="1" x14ac:dyDescent="0.15">
      <c r="A16" s="62">
        <v>40039102</v>
      </c>
      <c r="B16" s="47" t="s">
        <v>444</v>
      </c>
      <c r="C16" s="124">
        <v>3</v>
      </c>
      <c r="D16" s="50" t="s">
        <v>126</v>
      </c>
      <c r="E16" s="51" t="s">
        <v>376</v>
      </c>
      <c r="F16" s="51" t="s">
        <v>384</v>
      </c>
      <c r="G16" s="64" t="str">
        <f t="shared" si="0"/>
        <v>[effect:enemy_message, val1:1.5, val2:1.8]</v>
      </c>
      <c r="H16" s="64">
        <f t="shared" si="1"/>
        <v>9</v>
      </c>
      <c r="I16" s="64">
        <f t="shared" si="2"/>
        <v>22</v>
      </c>
      <c r="J16" s="64" t="e">
        <f t="shared" si="3"/>
        <v>#VALUE!</v>
      </c>
      <c r="K16" s="64">
        <f t="shared" si="4"/>
        <v>32</v>
      </c>
      <c r="L16" s="64" t="str">
        <f>IFERROR(VLOOKUP(MID(G16,J16,K16-J16),[5]skilldef!$C:$D,2,FALSE),"-") &amp; " / " &amp; IFERROR(VLOOKUP(MID(G16,H16,I16-H16),[5]skilldef!$A:$B,2,FALSE),"-")</f>
        <v>- / -</v>
      </c>
      <c r="M16" s="64" t="str">
        <f t="shared" si="5"/>
        <v>[effect:force_change_block, new_block:jammer, target:block_all, ignore01:block_positive, ignore02:block_negative, count:5, val:0],[effect:spread, val:0.2]</v>
      </c>
      <c r="N16" s="48" t="str">
        <f>IFERROR(LEFT(M16,FIND("],",M16)+S43),M16)</f>
        <v>[effect:force_change_block, new_block:jammer, target:block_all, ignore01:block_positive, ignore02:block_negative, count:5, val:0],[effect:spread, val:0.2]</v>
      </c>
      <c r="O16" s="64">
        <f t="shared" si="7"/>
        <v>9</v>
      </c>
      <c r="P16" s="64">
        <f t="shared" si="8"/>
        <v>27</v>
      </c>
      <c r="Q16" s="64">
        <f t="shared" si="9"/>
        <v>54</v>
      </c>
      <c r="R16" s="64">
        <f t="shared" si="10"/>
        <v>45</v>
      </c>
      <c r="S16" s="64" t="str">
        <f>IFERROR(VLOOKUP(MID(N16,Q16,R16-Q16),[5]skilldef!$C:$D,2,FALSE),"-") &amp; " / " &amp; IFERROR(VLOOKUP(MID(N16,O16,P16-O16),[5]skilldef!$A:$B,2,FALSE),"-")</f>
        <v>- / -</v>
      </c>
      <c r="T16" s="48" t="str">
        <f t="shared" si="11"/>
        <v>[effect:spread, val:0.2]</v>
      </c>
      <c r="U16" s="64">
        <f t="shared" si="12"/>
        <v>9</v>
      </c>
      <c r="V16" s="64">
        <f t="shared" si="13"/>
        <v>15</v>
      </c>
      <c r="W16" s="64" t="e">
        <f t="shared" si="14"/>
        <v>#VALUE!</v>
      </c>
      <c r="X16" s="64" t="e">
        <f t="shared" si="15"/>
        <v>#VALUE!</v>
      </c>
      <c r="Y16" s="64" t="str">
        <f>IFERROR(VLOOKUP(MID(T16,W16,X16-W16),[5]skilldef!$C:$D,2,FALSE),"-") &amp; " / " &amp; IFERROR(VLOOKUP(MID(T16,U16,V16-U16),[5]skilldef!$A:$B,2,FALSE),"-")</f>
        <v>- / 全体攻撃</v>
      </c>
      <c r="Z16" s="50"/>
      <c r="AA16" s="52"/>
      <c r="AB16" s="50"/>
    </row>
    <row r="17" spans="1:28" ht="41" customHeight="1" x14ac:dyDescent="0.15">
      <c r="A17" s="62">
        <v>40039103</v>
      </c>
      <c r="B17" s="47" t="s">
        <v>269</v>
      </c>
      <c r="C17" s="124">
        <v>3</v>
      </c>
      <c r="D17" s="50" t="s">
        <v>126</v>
      </c>
      <c r="E17" s="51" t="s">
        <v>382</v>
      </c>
      <c r="F17" s="51" t="s">
        <v>318</v>
      </c>
      <c r="G17" s="64" t="str">
        <f t="shared" si="0"/>
        <v>[effect:freq_turn, target:myself, turn:-1, val:1, animation:enemy_freq_turn]</v>
      </c>
      <c r="H17" s="64">
        <f t="shared" si="1"/>
        <v>9</v>
      </c>
      <c r="I17" s="64">
        <f t="shared" si="2"/>
        <v>18</v>
      </c>
      <c r="J17" s="64">
        <f t="shared" si="3"/>
        <v>27</v>
      </c>
      <c r="K17" s="64">
        <f t="shared" si="4"/>
        <v>33</v>
      </c>
      <c r="L17" s="64" t="str">
        <f>IFERROR(VLOOKUP(MID(G17,J17,K17-J17),[5]skilldef!$C:$D,2,FALSE),"-") &amp; " / " &amp; IFERROR(VLOOKUP(MID(G17,H17,I17-H17),[5]skilldef!$A:$B,2,FALSE),"-")</f>
        <v>自分自身に / 攻撃頻度がUP</v>
      </c>
      <c r="M17" s="64" t="str">
        <f t="shared" si="5"/>
        <v>none</v>
      </c>
      <c r="N17" s="48" t="str">
        <f>IFERROR(LEFT(M17,FIND("],",M17)+#REF!),M17)</f>
        <v>none</v>
      </c>
      <c r="O17" s="64" t="e">
        <f t="shared" si="7"/>
        <v>#VALUE!</v>
      </c>
      <c r="P17" s="64">
        <f t="shared" si="8"/>
        <v>4</v>
      </c>
      <c r="Q17" s="64" t="e">
        <f t="shared" si="9"/>
        <v>#VALUE!</v>
      </c>
      <c r="R17" s="64" t="e">
        <f t="shared" si="10"/>
        <v>#VALUE!</v>
      </c>
      <c r="S17" s="64" t="str">
        <f>IFERROR(VLOOKUP(MID(N17,Q17,R17-Q17),[5]skilldef!$C:$D,2,FALSE),"-") &amp; " / " &amp; IFERROR(VLOOKUP(MID(N17,O17,P17-O17),[5]skilldef!$A:$B,2,FALSE),"-")</f>
        <v>- / -</v>
      </c>
      <c r="T17" s="48" t="str">
        <f t="shared" si="11"/>
        <v>none</v>
      </c>
      <c r="U17" s="64" t="e">
        <f t="shared" si="12"/>
        <v>#VALUE!</v>
      </c>
      <c r="V17" s="64">
        <f t="shared" si="13"/>
        <v>4</v>
      </c>
      <c r="W17" s="64" t="e">
        <f t="shared" si="14"/>
        <v>#VALUE!</v>
      </c>
      <c r="X17" s="64" t="e">
        <f t="shared" si="15"/>
        <v>#VALUE!</v>
      </c>
      <c r="Y17" s="64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41" customHeight="1" x14ac:dyDescent="0.15">
      <c r="A18" s="62">
        <v>40039104</v>
      </c>
      <c r="B18" s="128" t="s">
        <v>377</v>
      </c>
      <c r="C18" s="124">
        <v>3</v>
      </c>
      <c r="D18" s="50" t="s">
        <v>126</v>
      </c>
      <c r="E18" s="51" t="s">
        <v>393</v>
      </c>
      <c r="F18" s="51" t="s">
        <v>375</v>
      </c>
      <c r="G18" s="64" t="str">
        <f t="shared" si="0"/>
        <v>[effect:enemy_message, val1:1.5, val2:2.5, dead_type:escape]</v>
      </c>
      <c r="H18" s="64">
        <f t="shared" si="1"/>
        <v>9</v>
      </c>
      <c r="I18" s="64">
        <f t="shared" si="2"/>
        <v>22</v>
      </c>
      <c r="J18" s="64" t="e">
        <f t="shared" si="3"/>
        <v>#VALUE!</v>
      </c>
      <c r="K18" s="64">
        <f t="shared" si="4"/>
        <v>32</v>
      </c>
      <c r="L18" s="64" t="str">
        <f>IFERROR(VLOOKUP(MID(G18,J18,K18-J18),[5]skilldef!$C:$D,2,FALSE),"-") &amp; " / " &amp; IFERROR(VLOOKUP(MID(G18,H18,I18-H18),[5]skilldef!$A:$B,2,FALSE),"-")</f>
        <v>- / -</v>
      </c>
      <c r="M18" s="64" t="str">
        <f t="shared" si="5"/>
        <v>none</v>
      </c>
      <c r="N18" s="48" t="str">
        <f>IFERROR(LEFT(M18,FIND("],",M18)+#REF!),M18)</f>
        <v>none</v>
      </c>
      <c r="O18" s="64" t="e">
        <f t="shared" si="7"/>
        <v>#VALUE!</v>
      </c>
      <c r="P18" s="64">
        <f t="shared" si="8"/>
        <v>4</v>
      </c>
      <c r="Q18" s="64" t="e">
        <f t="shared" si="9"/>
        <v>#VALUE!</v>
      </c>
      <c r="R18" s="64" t="e">
        <f t="shared" si="10"/>
        <v>#VALUE!</v>
      </c>
      <c r="S18" s="64" t="str">
        <f>IFERROR(VLOOKUP(MID(N18,Q18,R18-Q18),[5]skilldef!$C:$D,2,FALSE),"-") &amp; " / " &amp; IFERROR(VLOOKUP(MID(N18,O18,P18-O18),[5]skilldef!$A:$B,2,FALSE),"-")</f>
        <v>- / -</v>
      </c>
      <c r="T18" s="48" t="str">
        <f t="shared" si="11"/>
        <v>none</v>
      </c>
      <c r="U18" s="64" t="e">
        <f t="shared" si="12"/>
        <v>#VALUE!</v>
      </c>
      <c r="V18" s="64">
        <f t="shared" si="13"/>
        <v>4</v>
      </c>
      <c r="W18" s="64" t="e">
        <f t="shared" si="14"/>
        <v>#VALUE!</v>
      </c>
      <c r="X18" s="64" t="e">
        <f t="shared" si="15"/>
        <v>#VALUE!</v>
      </c>
      <c r="Y18" s="64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41" customHeight="1" x14ac:dyDescent="0.15">
      <c r="A19" s="62">
        <v>40039121</v>
      </c>
      <c r="B19" s="47" t="s">
        <v>332</v>
      </c>
      <c r="C19" s="124">
        <v>3</v>
      </c>
      <c r="D19" s="50" t="s">
        <v>126</v>
      </c>
      <c r="E19" s="51" t="s">
        <v>285</v>
      </c>
      <c r="F19" s="51" t="s">
        <v>267</v>
      </c>
      <c r="G19" s="64" t="str">
        <f t="shared" si="0"/>
        <v>[effect:damage_anti_color, target:unit_all, color:green, val1:0.4, val2:0.15]</v>
      </c>
      <c r="H19" s="64">
        <f t="shared" si="1"/>
        <v>9</v>
      </c>
      <c r="I19" s="64">
        <f t="shared" si="2"/>
        <v>26</v>
      </c>
      <c r="J19" s="64">
        <f t="shared" si="3"/>
        <v>35</v>
      </c>
      <c r="K19" s="64">
        <f t="shared" si="4"/>
        <v>43</v>
      </c>
      <c r="L19" s="64" t="str">
        <f>IFERROR(VLOOKUP(MID(G19,J19,K19-J19),[5]skilldef!$C:$D,2,FALSE),"-") &amp; " / " &amp; IFERROR(VLOOKUP(MID(G19,H19,I19-H19),[5]skilldef!$A:$B,2,FALSE),"-")</f>
        <v>味方全体に / 属性キラー</v>
      </c>
      <c r="M19" s="64" t="str">
        <f t="shared" si="5"/>
        <v>none</v>
      </c>
      <c r="N19" s="48" t="str">
        <f t="shared" ref="N19:N24" si="17">IFERROR(LEFT(M19,FIND("],",M19)+S38),M19)</f>
        <v>none</v>
      </c>
      <c r="O19" s="64" t="e">
        <f t="shared" si="7"/>
        <v>#VALUE!</v>
      </c>
      <c r="P19" s="64">
        <f t="shared" si="8"/>
        <v>4</v>
      </c>
      <c r="Q19" s="64" t="e">
        <f t="shared" si="9"/>
        <v>#VALUE!</v>
      </c>
      <c r="R19" s="64" t="e">
        <f t="shared" si="10"/>
        <v>#VALUE!</v>
      </c>
      <c r="S19" s="64" t="str">
        <f>IFERROR(VLOOKUP(MID(N19,Q19,R19-Q19),[5]skilldef!$C:$D,2,FALSE),"-") &amp; " / " &amp; IFERROR(VLOOKUP(MID(N19,O19,P19-O19),[5]skilldef!$A:$B,2,FALSE),"-")</f>
        <v>- / -</v>
      </c>
      <c r="T19" s="48" t="str">
        <f t="shared" si="11"/>
        <v>none</v>
      </c>
      <c r="U19" s="64" t="e">
        <f t="shared" si="12"/>
        <v>#VALUE!</v>
      </c>
      <c r="V19" s="64">
        <f t="shared" si="13"/>
        <v>4</v>
      </c>
      <c r="W19" s="64" t="e">
        <f t="shared" si="14"/>
        <v>#VALUE!</v>
      </c>
      <c r="X19" s="64" t="e">
        <f t="shared" si="15"/>
        <v>#VALUE!</v>
      </c>
      <c r="Y19" s="64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41" customHeight="1" x14ac:dyDescent="0.15">
      <c r="A20" s="62">
        <v>40039122</v>
      </c>
      <c r="B20" s="47" t="s">
        <v>442</v>
      </c>
      <c r="C20" s="124">
        <v>3</v>
      </c>
      <c r="D20" s="50" t="s">
        <v>126</v>
      </c>
      <c r="E20" s="51" t="s">
        <v>283</v>
      </c>
      <c r="F20" s="51" t="s">
        <v>412</v>
      </c>
      <c r="G20" s="64" t="str">
        <f t="shared" si="0"/>
        <v>[effect:force_change_block, new_block:jammer, target:block_all, ignore01:block_positive, ignore02:block_negative, count:3, val:0]</v>
      </c>
      <c r="H20" s="64">
        <f t="shared" si="1"/>
        <v>9</v>
      </c>
      <c r="I20" s="64">
        <f t="shared" si="2"/>
        <v>27</v>
      </c>
      <c r="J20" s="64">
        <f t="shared" si="3"/>
        <v>54</v>
      </c>
      <c r="K20" s="64">
        <f t="shared" si="4"/>
        <v>45</v>
      </c>
      <c r="L20" s="64" t="str">
        <f>IFERROR(VLOOKUP(MID(G20,J20,K20-J20),[5]skilldef!$C:$D,2,FALSE),"-") &amp; " / " &amp; IFERROR(VLOOKUP(MID(G20,H20,I20-H20),[5]skilldef!$A:$B,2,FALSE),"-")</f>
        <v>- / -</v>
      </c>
      <c r="M20" s="64" t="str">
        <f t="shared" si="5"/>
        <v>[effect:spread, val:0.2]</v>
      </c>
      <c r="N20" s="48" t="str">
        <f t="shared" si="17"/>
        <v>[effect:spread, val:0.2]</v>
      </c>
      <c r="O20" s="64">
        <f t="shared" si="7"/>
        <v>9</v>
      </c>
      <c r="P20" s="64">
        <f t="shared" si="8"/>
        <v>15</v>
      </c>
      <c r="Q20" s="64" t="e">
        <f t="shared" si="9"/>
        <v>#VALUE!</v>
      </c>
      <c r="R20" s="64" t="e">
        <f t="shared" si="10"/>
        <v>#VALUE!</v>
      </c>
      <c r="S20" s="64" t="str">
        <f>IFERROR(VLOOKUP(MID(N20,Q20,R20-Q20),[5]skilldef!$C:$D,2,FALSE),"-") &amp; " / " &amp; IFERROR(VLOOKUP(MID(N20,O20,P20-O20),[5]skilldef!$A:$B,2,FALSE),"-")</f>
        <v>- / 全体攻撃</v>
      </c>
      <c r="T20" s="48" t="str">
        <f t="shared" si="11"/>
        <v>none</v>
      </c>
      <c r="U20" s="64" t="e">
        <f t="shared" si="12"/>
        <v>#VALUE!</v>
      </c>
      <c r="V20" s="64">
        <f t="shared" si="13"/>
        <v>4</v>
      </c>
      <c r="W20" s="64" t="e">
        <f t="shared" si="14"/>
        <v>#VALUE!</v>
      </c>
      <c r="X20" s="64" t="e">
        <f t="shared" si="15"/>
        <v>#VALUE!</v>
      </c>
      <c r="Y20" s="64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41" customHeight="1" x14ac:dyDescent="0.15">
      <c r="A21" s="62">
        <v>40039123</v>
      </c>
      <c r="B21" s="47" t="s">
        <v>443</v>
      </c>
      <c r="C21" s="124">
        <v>3</v>
      </c>
      <c r="D21" s="50" t="s">
        <v>126</v>
      </c>
      <c r="E21" s="51" t="s">
        <v>286</v>
      </c>
      <c r="F21" s="51" t="s">
        <v>386</v>
      </c>
      <c r="G21" s="64" t="str">
        <f t="shared" si="0"/>
        <v>[effect:force_change_block, new_block:damage, target:block_all, ignore01:block_positive, ignore02:block_negative, count:3, val:0.1]</v>
      </c>
      <c r="H21" s="64">
        <f t="shared" si="1"/>
        <v>9</v>
      </c>
      <c r="I21" s="64">
        <f t="shared" si="2"/>
        <v>27</v>
      </c>
      <c r="J21" s="64">
        <f t="shared" si="3"/>
        <v>54</v>
      </c>
      <c r="K21" s="64">
        <f t="shared" si="4"/>
        <v>45</v>
      </c>
      <c r="L21" s="64" t="str">
        <f>IFERROR(VLOOKUP(MID(G21,J21,K21-J21),[5]skilldef!$C:$D,2,FALSE),"-") &amp; " / " &amp; IFERROR(VLOOKUP(MID(G21,H21,I21-H21),[5]skilldef!$A:$B,2,FALSE),"-")</f>
        <v>- / -</v>
      </c>
      <c r="M21" s="64" t="str">
        <f t="shared" si="5"/>
        <v>[effect:spread, val:0.2]</v>
      </c>
      <c r="N21" s="48" t="str">
        <f t="shared" si="17"/>
        <v>[effect:spread, val:0.2]</v>
      </c>
      <c r="O21" s="64">
        <f t="shared" si="7"/>
        <v>9</v>
      </c>
      <c r="P21" s="64">
        <f t="shared" si="8"/>
        <v>15</v>
      </c>
      <c r="Q21" s="64" t="e">
        <f t="shared" si="9"/>
        <v>#VALUE!</v>
      </c>
      <c r="R21" s="64" t="e">
        <f t="shared" si="10"/>
        <v>#VALUE!</v>
      </c>
      <c r="S21" s="64" t="str">
        <f>IFERROR(VLOOKUP(MID(N21,Q21,R21-Q21),[5]skilldef!$C:$D,2,FALSE),"-") &amp; " / " &amp; IFERROR(VLOOKUP(MID(N21,O21,P21-O21),[5]skilldef!$A:$B,2,FALSE),"-")</f>
        <v>- / 全体攻撃</v>
      </c>
      <c r="T21" s="48" t="str">
        <f t="shared" si="11"/>
        <v>none</v>
      </c>
      <c r="U21" s="64" t="e">
        <f t="shared" si="12"/>
        <v>#VALUE!</v>
      </c>
      <c r="V21" s="64">
        <f t="shared" si="13"/>
        <v>4</v>
      </c>
      <c r="W21" s="64" t="e">
        <f t="shared" si="14"/>
        <v>#VALUE!</v>
      </c>
      <c r="X21" s="64" t="e">
        <f t="shared" si="15"/>
        <v>#VALUE!</v>
      </c>
      <c r="Y21" s="64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41" customHeight="1" x14ac:dyDescent="0.15">
      <c r="A22" s="62">
        <v>40039124</v>
      </c>
      <c r="B22" s="47" t="s">
        <v>269</v>
      </c>
      <c r="C22" s="124">
        <v>3</v>
      </c>
      <c r="D22" s="50" t="s">
        <v>126</v>
      </c>
      <c r="E22" s="51" t="s">
        <v>359</v>
      </c>
      <c r="F22" s="51" t="s">
        <v>319</v>
      </c>
      <c r="G22" s="64" t="str">
        <f t="shared" si="0"/>
        <v>[effect:freq_turn, target:myself, turn:-1, val:1, animation:enemy_freq_turn]</v>
      </c>
      <c r="H22" s="64">
        <f t="shared" si="1"/>
        <v>9</v>
      </c>
      <c r="I22" s="64">
        <f t="shared" si="2"/>
        <v>18</v>
      </c>
      <c r="J22" s="64">
        <f t="shared" si="3"/>
        <v>27</v>
      </c>
      <c r="K22" s="64">
        <f t="shared" si="4"/>
        <v>33</v>
      </c>
      <c r="L22" s="64" t="str">
        <f>IFERROR(VLOOKUP(MID(G22,J22,K22-J22),[5]skilldef!$C:$D,2,FALSE),"-") &amp; " / " &amp; IFERROR(VLOOKUP(MID(G22,H22,I22-H22),[5]skilldef!$A:$B,2,FALSE),"-")</f>
        <v>自分自身に / 攻撃頻度がUP</v>
      </c>
      <c r="M22" s="64" t="str">
        <f t="shared" si="5"/>
        <v>none</v>
      </c>
      <c r="N22" s="48" t="str">
        <f t="shared" si="17"/>
        <v>none</v>
      </c>
      <c r="O22" s="64" t="e">
        <f t="shared" si="7"/>
        <v>#VALUE!</v>
      </c>
      <c r="P22" s="64">
        <f t="shared" si="8"/>
        <v>4</v>
      </c>
      <c r="Q22" s="64" t="e">
        <f t="shared" si="9"/>
        <v>#VALUE!</v>
      </c>
      <c r="R22" s="64" t="e">
        <f t="shared" si="10"/>
        <v>#VALUE!</v>
      </c>
      <c r="S22" s="64" t="str">
        <f>IFERROR(VLOOKUP(MID(N22,Q22,R22-Q22),[5]skilldef!$C:$D,2,FALSE),"-") &amp; " / " &amp; IFERROR(VLOOKUP(MID(N22,O22,P22-O22),[5]skilldef!$A:$B,2,FALSE),"-")</f>
        <v>- / -</v>
      </c>
      <c r="T22" s="48" t="str">
        <f t="shared" si="11"/>
        <v>none</v>
      </c>
      <c r="U22" s="64" t="e">
        <f t="shared" si="12"/>
        <v>#VALUE!</v>
      </c>
      <c r="V22" s="64">
        <f t="shared" si="13"/>
        <v>4</v>
      </c>
      <c r="W22" s="64" t="e">
        <f t="shared" si="14"/>
        <v>#VALUE!</v>
      </c>
      <c r="X22" s="64" t="e">
        <f t="shared" si="15"/>
        <v>#VALUE!</v>
      </c>
      <c r="Y22" s="64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41" customHeight="1" x14ac:dyDescent="0.15">
      <c r="A23" s="62">
        <v>40039125</v>
      </c>
      <c r="B23" s="128" t="s">
        <v>361</v>
      </c>
      <c r="C23" s="124">
        <v>3</v>
      </c>
      <c r="D23" s="50" t="s">
        <v>126</v>
      </c>
      <c r="E23" s="51" t="s">
        <v>396</v>
      </c>
      <c r="F23" s="51" t="s">
        <v>374</v>
      </c>
      <c r="G23" s="64" t="str">
        <f t="shared" si="0"/>
        <v>[effect:enemy_message, val1:1.5, val2:2.5, dead_type:escape]</v>
      </c>
      <c r="H23" s="64">
        <f t="shared" si="1"/>
        <v>9</v>
      </c>
      <c r="I23" s="64">
        <f t="shared" si="2"/>
        <v>22</v>
      </c>
      <c r="J23" s="64" t="e">
        <f t="shared" si="3"/>
        <v>#VALUE!</v>
      </c>
      <c r="K23" s="64">
        <f t="shared" si="4"/>
        <v>32</v>
      </c>
      <c r="L23" s="64" t="str">
        <f>IFERROR(VLOOKUP(MID(G23,J23,K23-J23),[5]skilldef!$C:$D,2,FALSE),"-") &amp; " / " &amp; IFERROR(VLOOKUP(MID(G23,H23,I23-H23),[5]skilldef!$A:$B,2,FALSE),"-")</f>
        <v>- / -</v>
      </c>
      <c r="M23" s="64" t="str">
        <f t="shared" si="5"/>
        <v>none</v>
      </c>
      <c r="N23" s="48" t="str">
        <f t="shared" si="17"/>
        <v>none</v>
      </c>
      <c r="O23" s="64" t="e">
        <f t="shared" si="7"/>
        <v>#VALUE!</v>
      </c>
      <c r="P23" s="64">
        <f t="shared" si="8"/>
        <v>4</v>
      </c>
      <c r="Q23" s="64" t="e">
        <f t="shared" si="9"/>
        <v>#VALUE!</v>
      </c>
      <c r="R23" s="64" t="e">
        <f t="shared" si="10"/>
        <v>#VALUE!</v>
      </c>
      <c r="S23" s="64" t="str">
        <f>IFERROR(VLOOKUP(MID(N23,Q23,R23-Q23),[5]skilldef!$C:$D,2,FALSE),"-") &amp; " / " &amp; IFERROR(VLOOKUP(MID(N23,O23,P23-O23),[5]skilldef!$A:$B,2,FALSE),"-")</f>
        <v>- / -</v>
      </c>
      <c r="T23" s="48" t="str">
        <f t="shared" si="11"/>
        <v>none</v>
      </c>
      <c r="U23" s="64" t="e">
        <f t="shared" si="12"/>
        <v>#VALUE!</v>
      </c>
      <c r="V23" s="64">
        <f t="shared" si="13"/>
        <v>4</v>
      </c>
      <c r="W23" s="64" t="e">
        <f t="shared" si="14"/>
        <v>#VALUE!</v>
      </c>
      <c r="X23" s="64" t="e">
        <f t="shared" si="15"/>
        <v>#VALUE!</v>
      </c>
      <c r="Y23" s="64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41" customHeight="1" x14ac:dyDescent="0.15">
      <c r="A24" s="62">
        <v>40039201</v>
      </c>
      <c r="B24" s="47" t="s">
        <v>408</v>
      </c>
      <c r="C24" s="124">
        <v>3</v>
      </c>
      <c r="D24" s="50" t="s">
        <v>126</v>
      </c>
      <c r="E24" s="51" t="s">
        <v>293</v>
      </c>
      <c r="F24" s="138" t="s">
        <v>327</v>
      </c>
      <c r="G24" s="64" t="str">
        <f t="shared" si="0"/>
        <v>[effect:enemy_message, val1:1.5, val2:2.5]</v>
      </c>
      <c r="H24" s="64">
        <f t="shared" si="1"/>
        <v>9</v>
      </c>
      <c r="I24" s="64">
        <f t="shared" si="2"/>
        <v>22</v>
      </c>
      <c r="J24" s="64" t="e">
        <f t="shared" si="3"/>
        <v>#VALUE!</v>
      </c>
      <c r="K24" s="64">
        <f t="shared" si="4"/>
        <v>32</v>
      </c>
      <c r="L24" s="64" t="str">
        <f>IFERROR(VLOOKUP(MID(G24,J24,K24-J24),[5]skilldef!$C:$D,2,FALSE),"-") &amp; " / " &amp; IFERROR(VLOOKUP(MID(G24,H24,I24-H24),[5]skilldef!$A:$B,2,FALSE),"-")</f>
        <v>- / -</v>
      </c>
      <c r="M24" s="64" t="str">
        <f t="shared" si="5"/>
        <v>[effect:drop_block, block_type:jammer, color:block_all, val:0, rate:0.05, turn:-1, animation:jammer_influence04],[effect:degrade_unit, target:unit_green, turn:-1, status:attack, val:0.8, calc:mul],[effect:fix_speed, target:myself, turn:2]</v>
      </c>
      <c r="N24" s="48" t="str">
        <f t="shared" si="17"/>
        <v>[effect:drop_block, block_type:jammer, color:block_all, val:0, rate:0.05, turn:-1, animation:jammer_influence04],[effect:degrade_unit, target:unit_green, turn:-1, status:attack, val:0.8, calc:mul],[effect:fix_speed, target:myself, turn:2]</v>
      </c>
      <c r="O24" s="64">
        <f t="shared" si="7"/>
        <v>9</v>
      </c>
      <c r="P24" s="64">
        <f t="shared" si="8"/>
        <v>19</v>
      </c>
      <c r="Q24" s="64">
        <f t="shared" si="9"/>
        <v>143</v>
      </c>
      <c r="R24" s="64">
        <f t="shared" si="10"/>
        <v>38</v>
      </c>
      <c r="S24" s="64" t="str">
        <f>IFERROR(VLOOKUP(MID(N24,Q24,R24-Q24),[5]skilldef!$C:$D,2,FALSE),"-") &amp; " / " &amp; IFERROR(VLOOKUP(MID(N24,O24,P24-O24),[5]skilldef!$A:$B,2,FALSE),"-")</f>
        <v>- / 特定ブロックの割合ドロップ</v>
      </c>
      <c r="T24" s="48" t="str">
        <f t="shared" si="11"/>
        <v>[effect:degrade_unit, target:unit_green, turn:-1, status:attack, val:0.8, calc:mul],[effect:fix_speed, target:myself, turn:2]</v>
      </c>
      <c r="U24" s="64">
        <f t="shared" si="12"/>
        <v>9</v>
      </c>
      <c r="V24" s="64">
        <f t="shared" si="13"/>
        <v>21</v>
      </c>
      <c r="W24" s="64">
        <f t="shared" si="14"/>
        <v>30</v>
      </c>
      <c r="X24" s="64">
        <f t="shared" si="15"/>
        <v>40</v>
      </c>
      <c r="Y24" s="64" t="str">
        <f>IFERROR(VLOOKUP(MID(T24,W24,X24-W24),[5]skilldef!$C:$D,2,FALSE),"-") &amp; " / " &amp; IFERROR(VLOOKUP(MID(T24,U24,V24-U24),[5]skilldef!$A:$B,2,FALSE),"-")</f>
        <v>緑の味方に / ステータスDOWN</v>
      </c>
      <c r="Z24" s="50"/>
      <c r="AA24" s="52"/>
      <c r="AB24" s="50"/>
    </row>
    <row r="25" spans="1:28" ht="41" customHeight="1" x14ac:dyDescent="0.15">
      <c r="A25" s="62">
        <v>40039202</v>
      </c>
      <c r="B25" s="47" t="s">
        <v>445</v>
      </c>
      <c r="C25" s="124">
        <v>3</v>
      </c>
      <c r="D25" s="50" t="s">
        <v>126</v>
      </c>
      <c r="E25" s="51" t="s">
        <v>298</v>
      </c>
      <c r="F25" s="51" t="s">
        <v>385</v>
      </c>
      <c r="G25" s="64" t="str">
        <f t="shared" si="0"/>
        <v>[effect:force_change_block, new_block:damage, target:block_all, ignore01:block_positive, ignore02:block_negative, count:3, val:0.15]</v>
      </c>
      <c r="H25" s="64">
        <f t="shared" si="1"/>
        <v>9</v>
      </c>
      <c r="I25" s="64">
        <f t="shared" si="2"/>
        <v>27</v>
      </c>
      <c r="J25" s="64">
        <f t="shared" si="3"/>
        <v>54</v>
      </c>
      <c r="K25" s="64">
        <f t="shared" si="4"/>
        <v>45</v>
      </c>
      <c r="L25" s="64" t="str">
        <f>IFERROR(VLOOKUP(MID(G25,J25,K25-J25),[5]skilldef!$C:$D,2,FALSE),"-") &amp; " / " &amp; IFERROR(VLOOKUP(MID(G25,H25,I25-H25),[5]skilldef!$A:$B,2,FALSE),"-")</f>
        <v>- / -</v>
      </c>
      <c r="M25" s="64" t="str">
        <f t="shared" si="5"/>
        <v>[effect:spread, val:0.15]</v>
      </c>
      <c r="N25" s="48" t="str">
        <f>IFERROR(LEFT(M25,FIND("],",M25)+#REF!),M25)</f>
        <v>[effect:spread, val:0.15]</v>
      </c>
      <c r="O25" s="64">
        <f t="shared" si="7"/>
        <v>9</v>
      </c>
      <c r="P25" s="64">
        <f t="shared" si="8"/>
        <v>15</v>
      </c>
      <c r="Q25" s="64" t="e">
        <f t="shared" si="9"/>
        <v>#VALUE!</v>
      </c>
      <c r="R25" s="64" t="e">
        <f t="shared" si="10"/>
        <v>#VALUE!</v>
      </c>
      <c r="S25" s="64" t="str">
        <f>IFERROR(VLOOKUP(MID(N25,Q25,R25-Q25),[5]skilldef!$C:$D,2,FALSE),"-") &amp; " / " &amp; IFERROR(VLOOKUP(MID(N25,O25,P25-O25),[5]skilldef!$A:$B,2,FALSE),"-")</f>
        <v>- / 全体攻撃</v>
      </c>
      <c r="T25" s="48" t="str">
        <f t="shared" si="11"/>
        <v>none</v>
      </c>
      <c r="U25" s="64" t="e">
        <f t="shared" si="12"/>
        <v>#VALUE!</v>
      </c>
      <c r="V25" s="64">
        <f t="shared" si="13"/>
        <v>4</v>
      </c>
      <c r="W25" s="64" t="e">
        <f t="shared" si="14"/>
        <v>#VALUE!</v>
      </c>
      <c r="X25" s="64" t="e">
        <f t="shared" si="15"/>
        <v>#VALUE!</v>
      </c>
      <c r="Y25" s="64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41" customHeight="1" x14ac:dyDescent="0.15">
      <c r="A26" s="62">
        <v>40039203</v>
      </c>
      <c r="B26" s="47" t="s">
        <v>269</v>
      </c>
      <c r="C26" s="124">
        <v>3</v>
      </c>
      <c r="D26" s="50" t="s">
        <v>126</v>
      </c>
      <c r="E26" s="51" t="s">
        <v>282</v>
      </c>
      <c r="F26" s="51" t="s">
        <v>320</v>
      </c>
      <c r="G26" s="64" t="str">
        <f t="shared" si="0"/>
        <v>[effect:freq_turn, target:myself, turn:-1, val:1, animation:enemy_freq_turn]</v>
      </c>
      <c r="H26" s="64">
        <f t="shared" si="1"/>
        <v>9</v>
      </c>
      <c r="I26" s="64">
        <f t="shared" si="2"/>
        <v>18</v>
      </c>
      <c r="J26" s="64">
        <f t="shared" si="3"/>
        <v>27</v>
      </c>
      <c r="K26" s="64">
        <f t="shared" si="4"/>
        <v>33</v>
      </c>
      <c r="L26" s="64" t="str">
        <f>IFERROR(VLOOKUP(MID(G26,J26,K26-J26),[5]skilldef!$C:$D,2,FALSE),"-") &amp; " / " &amp; IFERROR(VLOOKUP(MID(G26,H26,I26-H26),[5]skilldef!$A:$B,2,FALSE),"-")</f>
        <v>自分自身に / 攻撃頻度がUP</v>
      </c>
      <c r="M26" s="64" t="str">
        <f t="shared" si="5"/>
        <v>none</v>
      </c>
      <c r="N26" s="48" t="str">
        <f>IFERROR(LEFT(M26,FIND("],",M26)+S44),M26)</f>
        <v>none</v>
      </c>
      <c r="O26" s="64" t="e">
        <f t="shared" si="7"/>
        <v>#VALUE!</v>
      </c>
      <c r="P26" s="64">
        <f t="shared" si="8"/>
        <v>4</v>
      </c>
      <c r="Q26" s="64" t="e">
        <f t="shared" si="9"/>
        <v>#VALUE!</v>
      </c>
      <c r="R26" s="64" t="e">
        <f t="shared" si="10"/>
        <v>#VALUE!</v>
      </c>
      <c r="S26" s="64" t="str">
        <f>IFERROR(VLOOKUP(MID(N26,Q26,R26-Q26),[5]skilldef!$C:$D,2,FALSE),"-") &amp; " / " &amp; IFERROR(VLOOKUP(MID(N26,O26,P26-O26),[5]skilldef!$A:$B,2,FALSE),"-")</f>
        <v>- / -</v>
      </c>
      <c r="T26" s="48" t="str">
        <f t="shared" si="11"/>
        <v>none</v>
      </c>
      <c r="U26" s="64" t="e">
        <f t="shared" si="12"/>
        <v>#VALUE!</v>
      </c>
      <c r="V26" s="64">
        <f t="shared" si="13"/>
        <v>4</v>
      </c>
      <c r="W26" s="64" t="e">
        <f t="shared" si="14"/>
        <v>#VALUE!</v>
      </c>
      <c r="X26" s="64" t="e">
        <f t="shared" si="15"/>
        <v>#VALUE!</v>
      </c>
      <c r="Y26" s="64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41" customHeight="1" x14ac:dyDescent="0.15">
      <c r="A27" s="62">
        <v>40039204</v>
      </c>
      <c r="B27" s="47" t="s">
        <v>404</v>
      </c>
      <c r="C27" s="124">
        <v>3</v>
      </c>
      <c r="D27" s="50" t="s">
        <v>126</v>
      </c>
      <c r="E27" s="125" t="s">
        <v>299</v>
      </c>
      <c r="F27" s="51" t="s">
        <v>326</v>
      </c>
      <c r="G27" s="64" t="str">
        <f t="shared" si="0"/>
        <v xml:space="preserve">[effect:break_attack_fix, target:unit_all, val:150, lowest_val:500, count:-1, color:yellow, block01:jammer, block02:damage]    </v>
      </c>
      <c r="H27" s="64">
        <f t="shared" si="1"/>
        <v>9</v>
      </c>
      <c r="I27" s="64">
        <f t="shared" si="2"/>
        <v>25</v>
      </c>
      <c r="J27" s="64">
        <f t="shared" si="3"/>
        <v>34</v>
      </c>
      <c r="K27" s="64">
        <f t="shared" si="4"/>
        <v>42</v>
      </c>
      <c r="L27" s="64" t="str">
        <f>IFERROR(VLOOKUP(MID(G27,J27,K27-J27),[5]skilldef!$C:$D,2,FALSE),"-") &amp; " / " &amp; IFERROR(VLOOKUP(MID(G27,H27,I27-H27),[5]skilldef!$A:$B,2,FALSE),"-")</f>
        <v>味方全体に / -</v>
      </c>
      <c r="M27" s="64" t="str">
        <f t="shared" si="5"/>
        <v>none</v>
      </c>
      <c r="N27" s="48" t="str">
        <f>IFERROR(LEFT(M27,FIND("],",M27)+S45),M27)</f>
        <v>none</v>
      </c>
      <c r="O27" s="64" t="e">
        <f t="shared" si="7"/>
        <v>#VALUE!</v>
      </c>
      <c r="P27" s="64">
        <f t="shared" si="8"/>
        <v>4</v>
      </c>
      <c r="Q27" s="64" t="e">
        <f t="shared" si="9"/>
        <v>#VALUE!</v>
      </c>
      <c r="R27" s="64" t="e">
        <f t="shared" si="10"/>
        <v>#VALUE!</v>
      </c>
      <c r="S27" s="64" t="str">
        <f>IFERROR(VLOOKUP(MID(N27,Q27,R27-Q27),[5]skilldef!$C:$D,2,FALSE),"-") &amp; " / " &amp; IFERROR(VLOOKUP(MID(N27,O27,P27-O27),[5]skilldef!$A:$B,2,FALSE),"-")</f>
        <v>- / -</v>
      </c>
      <c r="T27" s="48" t="str">
        <f t="shared" si="11"/>
        <v>none</v>
      </c>
      <c r="U27" s="64" t="e">
        <f t="shared" si="12"/>
        <v>#VALUE!</v>
      </c>
      <c r="V27" s="64">
        <f t="shared" si="13"/>
        <v>4</v>
      </c>
      <c r="W27" s="64" t="e">
        <f t="shared" si="14"/>
        <v>#VALUE!</v>
      </c>
      <c r="X27" s="64" t="e">
        <f t="shared" si="15"/>
        <v>#VALUE!</v>
      </c>
      <c r="Y27" s="64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41" customHeight="1" x14ac:dyDescent="0.15">
      <c r="A28" s="62">
        <v>40039205</v>
      </c>
      <c r="B28" s="47" t="s">
        <v>279</v>
      </c>
      <c r="C28" s="124">
        <v>3</v>
      </c>
      <c r="D28" s="50" t="s">
        <v>126</v>
      </c>
      <c r="E28" s="51" t="s">
        <v>294</v>
      </c>
      <c r="F28" s="51" t="s">
        <v>276</v>
      </c>
      <c r="G28" s="64" t="str">
        <f t="shared" si="0"/>
        <v>[effect:damage_anti_color, target:unit_all, color:yellow, val1:0.4, val2:0.1]</v>
      </c>
      <c r="H28" s="64">
        <f t="shared" si="1"/>
        <v>9</v>
      </c>
      <c r="I28" s="64">
        <f t="shared" si="2"/>
        <v>26</v>
      </c>
      <c r="J28" s="64">
        <f t="shared" si="3"/>
        <v>35</v>
      </c>
      <c r="K28" s="64">
        <f t="shared" si="4"/>
        <v>43</v>
      </c>
      <c r="L28" s="64" t="str">
        <f>IFERROR(VLOOKUP(MID(G28,J28,K28-J28),[5]skilldef!$C:$D,2,FALSE),"-") &amp; " / " &amp; IFERROR(VLOOKUP(MID(G28,H28,I28-H28),[5]skilldef!$A:$B,2,FALSE),"-")</f>
        <v>味方全体に / 属性キラー</v>
      </c>
      <c r="M28" s="64" t="str">
        <f t="shared" si="5"/>
        <v>none</v>
      </c>
      <c r="N28" s="48" t="str">
        <f>IFERROR(LEFT(M28,FIND("],",M28)+S46),M28)</f>
        <v>none</v>
      </c>
      <c r="O28" s="64" t="e">
        <f t="shared" si="7"/>
        <v>#VALUE!</v>
      </c>
      <c r="P28" s="64">
        <f t="shared" si="8"/>
        <v>4</v>
      </c>
      <c r="Q28" s="64" t="e">
        <f t="shared" si="9"/>
        <v>#VALUE!</v>
      </c>
      <c r="R28" s="64" t="e">
        <f t="shared" si="10"/>
        <v>#VALUE!</v>
      </c>
      <c r="S28" s="64" t="str">
        <f>IFERROR(VLOOKUP(MID(N28,Q28,R28-Q28),[5]skilldef!$C:$D,2,FALSE),"-") &amp; " / " &amp; IFERROR(VLOOKUP(MID(N28,O28,P28-O28),[5]skilldef!$A:$B,2,FALSE),"-")</f>
        <v>- / -</v>
      </c>
      <c r="T28" s="48" t="str">
        <f t="shared" si="11"/>
        <v>none</v>
      </c>
      <c r="U28" s="64" t="e">
        <f t="shared" si="12"/>
        <v>#VALUE!</v>
      </c>
      <c r="V28" s="64">
        <f t="shared" si="13"/>
        <v>4</v>
      </c>
      <c r="W28" s="64" t="e">
        <f t="shared" si="14"/>
        <v>#VALUE!</v>
      </c>
      <c r="X28" s="64" t="e">
        <f t="shared" si="15"/>
        <v>#VALUE!</v>
      </c>
      <c r="Y28" s="64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41" customHeight="1" x14ac:dyDescent="0.15">
      <c r="A29" s="62">
        <v>40039206</v>
      </c>
      <c r="B29" s="128" t="s">
        <v>418</v>
      </c>
      <c r="C29" s="124">
        <v>3</v>
      </c>
      <c r="D29" s="50" t="s">
        <v>126</v>
      </c>
      <c r="E29" s="51" t="s">
        <v>322</v>
      </c>
      <c r="F29" s="51" t="s">
        <v>328</v>
      </c>
      <c r="G29" s="64" t="str">
        <f t="shared" si="0"/>
        <v>[effect:enemy_message, val1:2.5, val2:2.5]</v>
      </c>
      <c r="H29" s="64">
        <f t="shared" si="1"/>
        <v>9</v>
      </c>
      <c r="I29" s="64">
        <f t="shared" si="2"/>
        <v>22</v>
      </c>
      <c r="J29" s="64" t="e">
        <f t="shared" si="3"/>
        <v>#VALUE!</v>
      </c>
      <c r="K29" s="64">
        <f t="shared" si="4"/>
        <v>32</v>
      </c>
      <c r="L29" s="64" t="str">
        <f>IFERROR(VLOOKUP(MID(G29,J29,K29-J29),[5]skilldef!$C:$D,2,FALSE),"-") &amp; " / " &amp; IFERROR(VLOOKUP(MID(G29,H29,I29-H29),[5]skilldef!$A:$B,2,FALSE),"-")</f>
        <v>- / -</v>
      </c>
      <c r="M29" s="64" t="str">
        <f t="shared" si="5"/>
        <v>[effect:drop_block, block_type:jammer, color:block_all, val:0, rate:0.05, turn:-1, animation:jammer_influence04],[effect:degrade_unit, target:unit_green, turn:-1, status:attack, val:0.8, calc:mul],[effect:fix_speed, target:myself, turn:2]</v>
      </c>
      <c r="N29" s="48" t="str">
        <f>IFERROR(LEFT(M29,FIND("],",M29)+S48),M29)</f>
        <v>[effect:drop_block, block_type:jammer, color:block_all, val:0, rate:0.05, turn:-1, animation:jammer_influence04],[effect:degrade_unit, target:unit_green, turn:-1, status:attack, val:0.8, calc:mul],[effect:fix_speed, target:myself, turn:2]</v>
      </c>
      <c r="O29" s="64">
        <f t="shared" si="7"/>
        <v>9</v>
      </c>
      <c r="P29" s="64">
        <f t="shared" si="8"/>
        <v>19</v>
      </c>
      <c r="Q29" s="64">
        <f t="shared" si="9"/>
        <v>143</v>
      </c>
      <c r="R29" s="64">
        <f t="shared" si="10"/>
        <v>38</v>
      </c>
      <c r="S29" s="64" t="str">
        <f>IFERROR(VLOOKUP(MID(N29,Q29,R29-Q29),[5]skilldef!$C:$D,2,FALSE),"-") &amp; " / " &amp; IFERROR(VLOOKUP(MID(N29,O29,P29-O29),[5]skilldef!$A:$B,2,FALSE),"-")</f>
        <v>- / 特定ブロックの割合ドロップ</v>
      </c>
      <c r="T29" s="48" t="str">
        <f t="shared" si="11"/>
        <v>[effect:degrade_unit, target:unit_green, turn:-1, status:attack, val:0.8, calc:mul],[effect:fix_speed, target:myself, turn:2]</v>
      </c>
      <c r="U29" s="64">
        <f t="shared" si="12"/>
        <v>9</v>
      </c>
      <c r="V29" s="64">
        <f t="shared" si="13"/>
        <v>21</v>
      </c>
      <c r="W29" s="64">
        <f t="shared" si="14"/>
        <v>30</v>
      </c>
      <c r="X29" s="64">
        <f t="shared" si="15"/>
        <v>40</v>
      </c>
      <c r="Y29" s="64" t="str">
        <f>IFERROR(VLOOKUP(MID(T29,W29,X29-W29),[5]skilldef!$C:$D,2,FALSE),"-") &amp; " / " &amp; IFERROR(VLOOKUP(MID(T29,U29,V29-U29),[5]skilldef!$A:$B,2,FALSE),"-")</f>
        <v>緑の味方に / ステータスDOWN</v>
      </c>
      <c r="Z29" s="50"/>
      <c r="AA29" s="52"/>
      <c r="AB29" s="50"/>
    </row>
    <row r="30" spans="1:28" ht="41" customHeight="1" x14ac:dyDescent="0.15">
      <c r="A30" s="62">
        <v>40039221</v>
      </c>
      <c r="B30" s="47" t="s">
        <v>410</v>
      </c>
      <c r="C30" s="124">
        <v>3</v>
      </c>
      <c r="D30" s="50" t="s">
        <v>126</v>
      </c>
      <c r="E30" s="125" t="s">
        <v>378</v>
      </c>
      <c r="F30" s="138" t="s">
        <v>415</v>
      </c>
      <c r="G30" s="64" t="str">
        <f t="shared" si="0"/>
        <v>[effect:enemy_message, val1:2.5, val2:1.8]</v>
      </c>
      <c r="H30" s="64">
        <f t="shared" si="1"/>
        <v>9</v>
      </c>
      <c r="I30" s="64">
        <f t="shared" si="2"/>
        <v>22</v>
      </c>
      <c r="J30" s="64" t="e">
        <f t="shared" si="3"/>
        <v>#VALUE!</v>
      </c>
      <c r="K30" s="64">
        <f t="shared" si="4"/>
        <v>32</v>
      </c>
      <c r="L30" s="64" t="str">
        <f>IFERROR(VLOOKUP(MID(G30,J30,K30-J30),[5]skilldef!$C:$D,2,FALSE),"-") &amp; " / " &amp; IFERROR(VLOOKUP(MID(G30,H30,I30-H30),[5]skilldef!$A:$B,2,FALSE),"-")</f>
        <v>- / -</v>
      </c>
      <c r="M30" s="64" t="str">
        <f t="shared" si="5"/>
        <v>[effect:drop_block, block_type:jammer, color:block_all, val:0, rate:0.07, turn:-1, animation:jammer_influence04],[effect:fix_speed, target:myself, turn:1]</v>
      </c>
      <c r="N30" s="48" t="str">
        <f>IFERROR(LEFT(M30,FIND("],",M30)+#REF!),M30)</f>
        <v>[effect:drop_block, block_type:jammer, color:block_all, val:0, rate:0.07, turn:-1, animation:jammer_influence04],[effect:fix_speed, target:myself, turn:1]</v>
      </c>
      <c r="O30" s="64">
        <f t="shared" si="7"/>
        <v>9</v>
      </c>
      <c r="P30" s="64">
        <f t="shared" si="8"/>
        <v>19</v>
      </c>
      <c r="Q30" s="64">
        <f t="shared" si="9"/>
        <v>140</v>
      </c>
      <c r="R30" s="64">
        <f t="shared" si="10"/>
        <v>38</v>
      </c>
      <c r="S30" s="64" t="str">
        <f>IFERROR(VLOOKUP(MID(N30,Q30,R30-Q30),[5]skilldef!$C:$D,2,FALSE),"-") &amp; " / " &amp; IFERROR(VLOOKUP(MID(N30,O30,P30-O30),[5]skilldef!$A:$B,2,FALSE),"-")</f>
        <v>- / 特定ブロックの割合ドロップ</v>
      </c>
      <c r="T30" s="48" t="str">
        <f t="shared" si="11"/>
        <v>[effect:fix_speed, target:myself, turn:1]</v>
      </c>
      <c r="U30" s="64">
        <f t="shared" si="12"/>
        <v>9</v>
      </c>
      <c r="V30" s="64">
        <f t="shared" si="13"/>
        <v>18</v>
      </c>
      <c r="W30" s="64">
        <f t="shared" si="14"/>
        <v>27</v>
      </c>
      <c r="X30" s="64">
        <f t="shared" si="15"/>
        <v>33</v>
      </c>
      <c r="Y30" s="64" t="str">
        <f>IFERROR(VLOOKUP(MID(T30,W30,X30-W30),[5]skilldef!$C:$D,2,FALSE),"-") &amp; " / " &amp; IFERROR(VLOOKUP(MID(T30,U30,V30-U30),[5]skilldef!$A:$B,2,FALSE),"-")</f>
        <v>自分自身に / 行動値設定</v>
      </c>
      <c r="Z30" s="50"/>
      <c r="AA30" s="52"/>
      <c r="AB30" s="50"/>
    </row>
    <row r="31" spans="1:28" ht="41" customHeight="1" x14ac:dyDescent="0.15">
      <c r="A31" s="62">
        <v>40039222</v>
      </c>
      <c r="B31" s="47" t="s">
        <v>405</v>
      </c>
      <c r="C31" s="124">
        <v>3</v>
      </c>
      <c r="D31" s="50" t="s">
        <v>126</v>
      </c>
      <c r="E31" s="125" t="s">
        <v>296</v>
      </c>
      <c r="F31" s="51" t="s">
        <v>271</v>
      </c>
      <c r="G31" s="64" t="str">
        <f t="shared" si="0"/>
        <v xml:space="preserve">[effect:break_attack_fix, target:unit_all, val:150, lowest_val:500, count:-1, color:yellow, block01:block_red]    </v>
      </c>
      <c r="H31" s="64">
        <f t="shared" si="1"/>
        <v>9</v>
      </c>
      <c r="I31" s="64">
        <f t="shared" si="2"/>
        <v>25</v>
      </c>
      <c r="J31" s="64">
        <f t="shared" si="3"/>
        <v>34</v>
      </c>
      <c r="K31" s="64">
        <f t="shared" si="4"/>
        <v>42</v>
      </c>
      <c r="L31" s="64" t="str">
        <f>IFERROR(VLOOKUP(MID(G31,J31,K31-J31),[5]skilldef!$C:$D,2,FALSE),"-") &amp; " / " &amp; IFERROR(VLOOKUP(MID(G31,H31,I31-H31),[5]skilldef!$A:$B,2,FALSE),"-")</f>
        <v>味方全体に / -</v>
      </c>
      <c r="M31" s="64" t="str">
        <f t="shared" si="5"/>
        <v>none</v>
      </c>
      <c r="N31" s="48" t="str">
        <f>IFERROR(LEFT(M31,FIND("],",M31)+S44),M31)</f>
        <v>none</v>
      </c>
      <c r="O31" s="64" t="e">
        <f t="shared" si="7"/>
        <v>#VALUE!</v>
      </c>
      <c r="P31" s="64">
        <f t="shared" si="8"/>
        <v>4</v>
      </c>
      <c r="Q31" s="64" t="e">
        <f t="shared" si="9"/>
        <v>#VALUE!</v>
      </c>
      <c r="R31" s="64" t="e">
        <f t="shared" si="10"/>
        <v>#VALUE!</v>
      </c>
      <c r="S31" s="64" t="str">
        <f>IFERROR(VLOOKUP(MID(N31,Q31,R31-Q31),[5]skilldef!$C:$D,2,FALSE),"-") &amp; " / " &amp; IFERROR(VLOOKUP(MID(N31,O31,P31-O31),[5]skilldef!$A:$B,2,FALSE),"-")</f>
        <v>- / -</v>
      </c>
      <c r="T31" s="48" t="str">
        <f t="shared" si="11"/>
        <v>none</v>
      </c>
      <c r="U31" s="64" t="e">
        <f t="shared" si="12"/>
        <v>#VALUE!</v>
      </c>
      <c r="V31" s="64">
        <f t="shared" si="13"/>
        <v>4</v>
      </c>
      <c r="W31" s="64" t="e">
        <f t="shared" si="14"/>
        <v>#VALUE!</v>
      </c>
      <c r="X31" s="64" t="e">
        <f t="shared" si="15"/>
        <v>#VALUE!</v>
      </c>
      <c r="Y31" s="64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  <row r="32" spans="1:28" ht="41" customHeight="1" x14ac:dyDescent="0.15">
      <c r="A32" s="62">
        <v>40039223</v>
      </c>
      <c r="B32" s="47" t="s">
        <v>446</v>
      </c>
      <c r="C32" s="124">
        <v>3</v>
      </c>
      <c r="D32" s="50" t="s">
        <v>126</v>
      </c>
      <c r="E32" s="125" t="s">
        <v>323</v>
      </c>
      <c r="F32" s="138" t="s">
        <v>419</v>
      </c>
      <c r="G32" s="64" t="str">
        <f t="shared" si="0"/>
        <v>[effect:enemy_message, val1:1.0, val2:2.5]</v>
      </c>
      <c r="H32" s="64">
        <f t="shared" si="1"/>
        <v>9</v>
      </c>
      <c r="I32" s="64">
        <f t="shared" si="2"/>
        <v>22</v>
      </c>
      <c r="J32" s="64" t="e">
        <f t="shared" si="3"/>
        <v>#VALUE!</v>
      </c>
      <c r="K32" s="64">
        <f t="shared" si="4"/>
        <v>32</v>
      </c>
      <c r="L32" s="64" t="str">
        <f>IFERROR(VLOOKUP(MID(G32,J32,K32-J32),[5]skilldef!$C:$D,2,FALSE),"-") &amp; " / " &amp; IFERROR(VLOOKUP(MID(G32,H32,I32-H32),[5]skilldef!$A:$B,2,FALSE),"-")</f>
        <v>- / -</v>
      </c>
      <c r="M32" s="64" t="str">
        <f t="shared" si="5"/>
        <v xml:space="preserve">[effect:force_change_block, new_block:damage, target:block_all, ignore01:block_positive, ignore02:block_negative, count:1, val:0.6],[effect:rush, count:1, val:0.5]    </v>
      </c>
      <c r="N32" s="48" t="str">
        <f>IFERROR(LEFT(M32,FIND("],",M32)+S45),M32)</f>
        <v xml:space="preserve">[effect:force_change_block, new_block:damage, target:block_all, ignore01:block_positive, ignore02:block_negative, count:1, val:0.6],[effect:rush, count:1, val:0.5]    </v>
      </c>
      <c r="O32" s="64">
        <f t="shared" si="7"/>
        <v>9</v>
      </c>
      <c r="P32" s="64">
        <f t="shared" si="8"/>
        <v>27</v>
      </c>
      <c r="Q32" s="64">
        <f t="shared" si="9"/>
        <v>54</v>
      </c>
      <c r="R32" s="64">
        <f t="shared" si="10"/>
        <v>45</v>
      </c>
      <c r="S32" s="64" t="str">
        <f>IFERROR(VLOOKUP(MID(N32,Q32,R32-Q32),[5]skilldef!$C:$D,2,FALSE),"-") &amp; " / " &amp; IFERROR(VLOOKUP(MID(N32,O32,P32-O32),[5]skilldef!$A:$B,2,FALSE),"-")</f>
        <v>- / -</v>
      </c>
      <c r="T32" s="48" t="str">
        <f t="shared" si="11"/>
        <v xml:space="preserve">[effect:rush, count:1, val:0.5]    </v>
      </c>
      <c r="U32" s="64">
        <f t="shared" si="12"/>
        <v>9</v>
      </c>
      <c r="V32" s="64">
        <f t="shared" si="13"/>
        <v>13</v>
      </c>
      <c r="W32" s="64" t="e">
        <f t="shared" si="14"/>
        <v>#VALUE!</v>
      </c>
      <c r="X32" s="64">
        <f t="shared" si="15"/>
        <v>22</v>
      </c>
      <c r="Y32" s="64" t="str">
        <f>IFERROR(VLOOKUP(MID(T32,W32,X32-W32),[5]skilldef!$C:$D,2,FALSE),"-") &amp; " / " &amp; IFERROR(VLOOKUP(MID(T32,U32,V32-U32),[5]skilldef!$A:$B,2,FALSE),"-")</f>
        <v>- / 連続攻撃</v>
      </c>
      <c r="Z32" s="50"/>
      <c r="AA32" s="52"/>
      <c r="AB32" s="50"/>
    </row>
    <row r="33" spans="1:28" ht="41" customHeight="1" x14ac:dyDescent="0.15">
      <c r="A33" s="62">
        <v>40039224</v>
      </c>
      <c r="B33" s="47" t="s">
        <v>447</v>
      </c>
      <c r="C33" s="124">
        <v>3</v>
      </c>
      <c r="D33" s="50" t="s">
        <v>126</v>
      </c>
      <c r="E33" s="125" t="s">
        <v>295</v>
      </c>
      <c r="F33" s="138" t="s">
        <v>419</v>
      </c>
      <c r="G33" s="64" t="str">
        <f t="shared" si="0"/>
        <v>[effect:enemy_message, val1:1.0, val2:2.5]</v>
      </c>
      <c r="H33" s="64">
        <f t="shared" si="1"/>
        <v>9</v>
      </c>
      <c r="I33" s="64">
        <f t="shared" si="2"/>
        <v>22</v>
      </c>
      <c r="J33" s="64" t="e">
        <f t="shared" si="3"/>
        <v>#VALUE!</v>
      </c>
      <c r="K33" s="64">
        <f t="shared" si="4"/>
        <v>32</v>
      </c>
      <c r="L33" s="64" t="str">
        <f>IFERROR(VLOOKUP(MID(G33,J33,K33-J33),[5]skilldef!$C:$D,2,FALSE),"-") &amp; " / " &amp; IFERROR(VLOOKUP(MID(G33,H33,I33-H33),[5]skilldef!$A:$B,2,FALSE),"-")</f>
        <v>- / -</v>
      </c>
      <c r="M33" s="64" t="str">
        <f t="shared" si="5"/>
        <v xml:space="preserve">[effect:force_change_block, new_block:damage, target:block_all, ignore01:block_positive, ignore02:block_negative, count:1, val:0.6],[effect:rush, count:1, val:0.5]    </v>
      </c>
      <c r="N33" s="48" t="str">
        <f>IFERROR(LEFT(M33,FIND("],",M33)+S46),M33)</f>
        <v xml:space="preserve">[effect:force_change_block, new_block:damage, target:block_all, ignore01:block_positive, ignore02:block_negative, count:1, val:0.6],[effect:rush, count:1, val:0.5]    </v>
      </c>
      <c r="O33" s="64">
        <f t="shared" si="7"/>
        <v>9</v>
      </c>
      <c r="P33" s="64">
        <f t="shared" si="8"/>
        <v>27</v>
      </c>
      <c r="Q33" s="64">
        <f t="shared" si="9"/>
        <v>54</v>
      </c>
      <c r="R33" s="64">
        <f t="shared" si="10"/>
        <v>45</v>
      </c>
      <c r="S33" s="64" t="str">
        <f>IFERROR(VLOOKUP(MID(N33,Q33,R33-Q33),[5]skilldef!$C:$D,2,FALSE),"-") &amp; " / " &amp; IFERROR(VLOOKUP(MID(N33,O33,P33-O33),[5]skilldef!$A:$B,2,FALSE),"-")</f>
        <v>- / -</v>
      </c>
      <c r="T33" s="48" t="str">
        <f t="shared" si="11"/>
        <v xml:space="preserve">[effect:rush, count:1, val:0.5]    </v>
      </c>
      <c r="U33" s="64">
        <f t="shared" si="12"/>
        <v>9</v>
      </c>
      <c r="V33" s="64">
        <f t="shared" si="13"/>
        <v>13</v>
      </c>
      <c r="W33" s="64" t="e">
        <f t="shared" si="14"/>
        <v>#VALUE!</v>
      </c>
      <c r="X33" s="64">
        <f t="shared" si="15"/>
        <v>22</v>
      </c>
      <c r="Y33" s="64" t="str">
        <f>IFERROR(VLOOKUP(MID(T33,W33,X33-W33),[5]skilldef!$C:$D,2,FALSE),"-") &amp; " / " &amp; IFERROR(VLOOKUP(MID(T33,U33,V33-U33),[5]skilldef!$A:$B,2,FALSE),"-")</f>
        <v>- / 連続攻撃</v>
      </c>
      <c r="Z33" s="50"/>
      <c r="AA33" s="52"/>
      <c r="AB33" s="50"/>
    </row>
    <row r="34" spans="1:28" ht="41" customHeight="1" x14ac:dyDescent="0.15">
      <c r="A34" s="62">
        <v>40039225</v>
      </c>
      <c r="B34" s="47" t="s">
        <v>448</v>
      </c>
      <c r="C34" s="124">
        <v>3</v>
      </c>
      <c r="D34" s="50" t="s">
        <v>126</v>
      </c>
      <c r="E34" s="125" t="s">
        <v>303</v>
      </c>
      <c r="F34" s="138" t="s">
        <v>419</v>
      </c>
      <c r="G34" s="64" t="str">
        <f t="shared" si="0"/>
        <v>[effect:enemy_message, val1:1.0, val2:2.5]</v>
      </c>
      <c r="H34" s="64">
        <f t="shared" si="1"/>
        <v>9</v>
      </c>
      <c r="I34" s="64">
        <f t="shared" si="2"/>
        <v>22</v>
      </c>
      <c r="J34" s="64" t="e">
        <f t="shared" si="3"/>
        <v>#VALUE!</v>
      </c>
      <c r="K34" s="64">
        <f t="shared" si="4"/>
        <v>32</v>
      </c>
      <c r="L34" s="64" t="str">
        <f>IFERROR(VLOOKUP(MID(G34,J34,K34-J34),[5]skilldef!$C:$D,2,FALSE),"-") &amp; " / " &amp; IFERROR(VLOOKUP(MID(G34,H34,I34-H34),[5]skilldef!$A:$B,2,FALSE),"-")</f>
        <v>- / -</v>
      </c>
      <c r="M34" s="64" t="str">
        <f t="shared" si="5"/>
        <v xml:space="preserve">[effect:force_change_block, new_block:damage, target:block_all, ignore01:block_positive, ignore02:block_negative, count:1, val:0.6],[effect:rush, count:1, val:0.5]    </v>
      </c>
      <c r="N34" s="48" t="str">
        <f>IFERROR(LEFT(M34,FIND("],",M34)+S47),M34)</f>
        <v xml:space="preserve">[effect:force_change_block, new_block:damage, target:block_all, ignore01:block_positive, ignore02:block_negative, count:1, val:0.6],[effect:rush, count:1, val:0.5]    </v>
      </c>
      <c r="O34" s="64">
        <f t="shared" si="7"/>
        <v>9</v>
      </c>
      <c r="P34" s="64">
        <f t="shared" si="8"/>
        <v>27</v>
      </c>
      <c r="Q34" s="64">
        <f t="shared" si="9"/>
        <v>54</v>
      </c>
      <c r="R34" s="64">
        <f t="shared" si="10"/>
        <v>45</v>
      </c>
      <c r="S34" s="64" t="str">
        <f>IFERROR(VLOOKUP(MID(N34,Q34,R34-Q34),[5]skilldef!$C:$D,2,FALSE),"-") &amp; " / " &amp; IFERROR(VLOOKUP(MID(N34,O34,P34-O34),[5]skilldef!$A:$B,2,FALSE),"-")</f>
        <v>- / -</v>
      </c>
      <c r="T34" s="48" t="str">
        <f t="shared" si="11"/>
        <v xml:space="preserve">[effect:rush, count:1, val:0.5]    </v>
      </c>
      <c r="U34" s="64">
        <f t="shared" si="12"/>
        <v>9</v>
      </c>
      <c r="V34" s="64">
        <f t="shared" si="13"/>
        <v>13</v>
      </c>
      <c r="W34" s="64" t="e">
        <f t="shared" si="14"/>
        <v>#VALUE!</v>
      </c>
      <c r="X34" s="64">
        <f t="shared" si="15"/>
        <v>22</v>
      </c>
      <c r="Y34" s="64" t="str">
        <f>IFERROR(VLOOKUP(MID(T34,W34,X34-W34),[5]skilldef!$C:$D,2,FALSE),"-") &amp; " / " &amp; IFERROR(VLOOKUP(MID(T34,U34,V34-U34),[5]skilldef!$A:$B,2,FALSE),"-")</f>
        <v>- / 連続攻撃</v>
      </c>
      <c r="Z34" s="50"/>
      <c r="AA34" s="52"/>
      <c r="AB34" s="50"/>
    </row>
    <row r="35" spans="1:28" ht="41" customHeight="1" x14ac:dyDescent="0.15">
      <c r="A35" s="62">
        <v>40039241</v>
      </c>
      <c r="B35" s="47" t="s">
        <v>409</v>
      </c>
      <c r="C35" s="124">
        <v>3</v>
      </c>
      <c r="D35" s="50" t="s">
        <v>126</v>
      </c>
      <c r="E35" s="125" t="s">
        <v>371</v>
      </c>
      <c r="F35" s="138" t="s">
        <v>416</v>
      </c>
      <c r="G35" s="64" t="str">
        <f t="shared" si="0"/>
        <v>[effect:enemy_message, val1:2.0, val2:3.0]</v>
      </c>
      <c r="H35" s="64">
        <f t="shared" si="1"/>
        <v>9</v>
      </c>
      <c r="I35" s="64">
        <f t="shared" si="2"/>
        <v>22</v>
      </c>
      <c r="J35" s="64" t="e">
        <f t="shared" si="3"/>
        <v>#VALUE!</v>
      </c>
      <c r="K35" s="64">
        <f t="shared" si="4"/>
        <v>32</v>
      </c>
      <c r="L35" s="64" t="str">
        <f>IFERROR(VLOOKUP(MID(G35,J35,K35-J35),[5]skilldef!$C:$D,2,FALSE),"-") &amp; " / " &amp; IFERROR(VLOOKUP(MID(G35,H35,I35-H35),[5]skilldef!$A:$B,2,FALSE),"-")</f>
        <v>- / -</v>
      </c>
      <c r="M35" s="64" t="str">
        <f t="shared" si="5"/>
        <v>[effect:drop_block, block_type:jammer, color:block_all, val:0, rate:0.1, turn:-1, animation:jammer_influence04],[effect:crash_condition, target:unit_green, turn:-1, val:4, animation:enemy_crash_extend]</v>
      </c>
      <c r="N35" s="48" t="str">
        <f t="shared" ref="N35:N45" si="18">IFERROR(LEFT(M35,FIND("],",M35)+S44),M35)</f>
        <v>[effect:drop_block, block_type:jammer, color:block_all, val:0, rate:0.1, turn:-1, animation:jammer_influence04],[effect:crash_condition, target:unit_green, turn:-1, val:4, animation:enemy_crash_extend]</v>
      </c>
      <c r="O35" s="64">
        <f t="shared" si="7"/>
        <v>9</v>
      </c>
      <c r="P35" s="64">
        <f t="shared" si="8"/>
        <v>19</v>
      </c>
      <c r="Q35" s="64">
        <f t="shared" si="9"/>
        <v>145</v>
      </c>
      <c r="R35" s="64">
        <f t="shared" si="10"/>
        <v>38</v>
      </c>
      <c r="S35" s="64" t="str">
        <f>IFERROR(VLOOKUP(MID(N35,Q35,R35-Q35),[5]skilldef!$C:$D,2,FALSE),"-") &amp; " / " &amp; IFERROR(VLOOKUP(MID(N35,O35,P35-O35),[5]skilldef!$A:$B,2,FALSE),"-")</f>
        <v>- / 特定ブロックの割合ドロップ</v>
      </c>
      <c r="T35" s="48" t="str">
        <f t="shared" si="11"/>
        <v>[effect:crash_condition, target:unit_green, turn:-1, val:4, animation:enemy_crash_extend]</v>
      </c>
      <c r="U35" s="64">
        <f t="shared" si="12"/>
        <v>9</v>
      </c>
      <c r="V35" s="64">
        <f t="shared" si="13"/>
        <v>24</v>
      </c>
      <c r="W35" s="64">
        <f t="shared" si="14"/>
        <v>33</v>
      </c>
      <c r="X35" s="64">
        <f t="shared" si="15"/>
        <v>43</v>
      </c>
      <c r="Y35" s="64" t="str">
        <f>IFERROR(VLOOKUP(MID(T35,W35,X35-W35),[5]skilldef!$C:$D,2,FALSE),"-") &amp; " / " &amp; IFERROR(VLOOKUP(MID(T35,U35,V35-U35),[5]skilldef!$A:$B,2,FALSE),"-")</f>
        <v>緑の味方に / -</v>
      </c>
      <c r="Z35" s="50"/>
      <c r="AA35" s="52"/>
      <c r="AB35" s="50"/>
    </row>
    <row r="36" spans="1:28" ht="41" customHeight="1" x14ac:dyDescent="0.15">
      <c r="A36" s="62">
        <v>40039242</v>
      </c>
      <c r="B36" s="47" t="s">
        <v>278</v>
      </c>
      <c r="C36" s="124">
        <v>3</v>
      </c>
      <c r="D36" s="50" t="s">
        <v>126</v>
      </c>
      <c r="E36" s="51" t="s">
        <v>345</v>
      </c>
      <c r="F36" s="51" t="s">
        <v>267</v>
      </c>
      <c r="G36" s="64" t="str">
        <f t="shared" si="0"/>
        <v>[effect:damage_anti_color, target:unit_all, color:green, val1:0.45, val2:0.1]</v>
      </c>
      <c r="H36" s="64">
        <f t="shared" si="1"/>
        <v>9</v>
      </c>
      <c r="I36" s="64">
        <f t="shared" si="2"/>
        <v>26</v>
      </c>
      <c r="J36" s="64">
        <f t="shared" si="3"/>
        <v>35</v>
      </c>
      <c r="K36" s="64">
        <f t="shared" si="4"/>
        <v>43</v>
      </c>
      <c r="L36" s="64" t="str">
        <f>IFERROR(VLOOKUP(MID(G36,J36,K36-J36),[5]skilldef!$C:$D,2,FALSE),"-") &amp; " / " &amp; IFERROR(VLOOKUP(MID(G36,H36,I36-H36),[5]skilldef!$A:$B,2,FALSE),"-")</f>
        <v>味方全体に / 属性キラー</v>
      </c>
      <c r="M36" s="64" t="str">
        <f t="shared" si="5"/>
        <v>none</v>
      </c>
      <c r="N36" s="48" t="str">
        <f t="shared" si="18"/>
        <v>none</v>
      </c>
      <c r="O36" s="64" t="e">
        <f t="shared" si="7"/>
        <v>#VALUE!</v>
      </c>
      <c r="P36" s="64">
        <f t="shared" si="8"/>
        <v>4</v>
      </c>
      <c r="Q36" s="64" t="e">
        <f t="shared" si="9"/>
        <v>#VALUE!</v>
      </c>
      <c r="R36" s="64" t="e">
        <f t="shared" si="10"/>
        <v>#VALUE!</v>
      </c>
      <c r="S36" s="64" t="str">
        <f>IFERROR(VLOOKUP(MID(N36,Q36,R36-Q36),[5]skilldef!$C:$D,2,FALSE),"-") &amp; " / " &amp; IFERROR(VLOOKUP(MID(N36,O36,P36-O36),[5]skilldef!$A:$B,2,FALSE),"-")</f>
        <v>- / -</v>
      </c>
      <c r="T36" s="48" t="str">
        <f t="shared" si="11"/>
        <v>none</v>
      </c>
      <c r="U36" s="64" t="e">
        <f t="shared" si="12"/>
        <v>#VALUE!</v>
      </c>
      <c r="V36" s="64">
        <f t="shared" si="13"/>
        <v>4</v>
      </c>
      <c r="W36" s="64" t="e">
        <f t="shared" si="14"/>
        <v>#VALUE!</v>
      </c>
      <c r="X36" s="64" t="e">
        <f t="shared" si="15"/>
        <v>#VALUE!</v>
      </c>
      <c r="Y36" s="64" t="str">
        <f>IFERROR(VLOOKUP(MID(T36,W36,X36-W36),[5]skilldef!$C:$D,2,FALSE),"-") &amp; " / " &amp; IFERROR(VLOOKUP(MID(T36,U36,V36-U36),[5]skilldef!$A:$B,2,FALSE),"-")</f>
        <v>- / -</v>
      </c>
      <c r="Z36" s="50"/>
      <c r="AA36" s="52"/>
      <c r="AB36" s="50"/>
    </row>
    <row r="37" spans="1:28" ht="41" customHeight="1" x14ac:dyDescent="0.15">
      <c r="A37" s="62">
        <v>40039243</v>
      </c>
      <c r="B37" s="47" t="s">
        <v>280</v>
      </c>
      <c r="C37" s="124">
        <v>3</v>
      </c>
      <c r="D37" s="50" t="s">
        <v>126</v>
      </c>
      <c r="E37" s="51" t="s">
        <v>304</v>
      </c>
      <c r="F37" s="51" t="s">
        <v>273</v>
      </c>
      <c r="G37" s="64" t="str">
        <f t="shared" si="0"/>
        <v xml:space="preserve">[effect:break_enchance_enemy, target:myself, val:0.01, lowest_val:0, count:-1, status:attack, turn:-1, block01:jammer, calc:mul, animation:enemy_enhance_attack]    </v>
      </c>
      <c r="H37" s="64">
        <f t="shared" si="1"/>
        <v>9</v>
      </c>
      <c r="I37" s="64">
        <f t="shared" si="2"/>
        <v>29</v>
      </c>
      <c r="J37" s="64">
        <f t="shared" si="3"/>
        <v>38</v>
      </c>
      <c r="K37" s="64">
        <f t="shared" si="4"/>
        <v>44</v>
      </c>
      <c r="L37" s="64" t="str">
        <f>IFERROR(VLOOKUP(MID(G37,J37,K37-J37),[5]skilldef!$C:$D,2,FALSE),"-") &amp; " / " &amp; IFERROR(VLOOKUP(MID(G37,H37,I37-H37),[5]skilldef!$A:$B,2,FALSE),"-")</f>
        <v>自分自身に / -</v>
      </c>
      <c r="M37" s="64" t="str">
        <f t="shared" si="5"/>
        <v>none</v>
      </c>
      <c r="N37" s="48" t="str">
        <f t="shared" si="18"/>
        <v>none</v>
      </c>
      <c r="O37" s="64" t="e">
        <f t="shared" si="7"/>
        <v>#VALUE!</v>
      </c>
      <c r="P37" s="64">
        <f t="shared" si="8"/>
        <v>4</v>
      </c>
      <c r="Q37" s="64" t="e">
        <f t="shared" si="9"/>
        <v>#VALUE!</v>
      </c>
      <c r="R37" s="64" t="e">
        <f t="shared" si="10"/>
        <v>#VALUE!</v>
      </c>
      <c r="S37" s="64" t="str">
        <f>IFERROR(VLOOKUP(MID(N37,Q37,R37-Q37),[5]skilldef!$C:$D,2,FALSE),"-") &amp; " / " &amp; IFERROR(VLOOKUP(MID(N37,O37,P37-O37),[5]skilldef!$A:$B,2,FALSE),"-")</f>
        <v>- / -</v>
      </c>
      <c r="T37" s="48" t="str">
        <f t="shared" si="11"/>
        <v>none</v>
      </c>
      <c r="U37" s="64" t="e">
        <f t="shared" si="12"/>
        <v>#VALUE!</v>
      </c>
      <c r="V37" s="64">
        <f t="shared" si="13"/>
        <v>4</v>
      </c>
      <c r="W37" s="64" t="e">
        <f t="shared" si="14"/>
        <v>#VALUE!</v>
      </c>
      <c r="X37" s="64" t="e">
        <f t="shared" si="15"/>
        <v>#VALUE!</v>
      </c>
      <c r="Y37" s="64" t="str">
        <f>IFERROR(VLOOKUP(MID(T37,W37,X37-W37),[5]skilldef!$C:$D,2,FALSE),"-") &amp; " / " &amp; IFERROR(VLOOKUP(MID(T37,U37,V37-U37),[5]skilldef!$A:$B,2,FALSE),"-")</f>
        <v>- / -</v>
      </c>
      <c r="Z37" s="50"/>
      <c r="AA37" s="52"/>
      <c r="AB37" s="50"/>
    </row>
    <row r="38" spans="1:28" ht="41" customHeight="1" x14ac:dyDescent="0.15">
      <c r="A38" s="62">
        <v>40039244</v>
      </c>
      <c r="B38" s="47" t="s">
        <v>279</v>
      </c>
      <c r="C38" s="124">
        <v>3</v>
      </c>
      <c r="D38" s="50" t="s">
        <v>126</v>
      </c>
      <c r="E38" s="51" t="s">
        <v>294</v>
      </c>
      <c r="F38" s="51" t="s">
        <v>276</v>
      </c>
      <c r="G38" s="64" t="str">
        <f t="shared" si="0"/>
        <v>[effect:damage_anti_color, target:unit_all, color:yellow, val1:0.4, val2:0.1]</v>
      </c>
      <c r="H38" s="64">
        <f t="shared" si="1"/>
        <v>9</v>
      </c>
      <c r="I38" s="64">
        <f t="shared" si="2"/>
        <v>26</v>
      </c>
      <c r="J38" s="64">
        <f t="shared" si="3"/>
        <v>35</v>
      </c>
      <c r="K38" s="64">
        <f t="shared" si="4"/>
        <v>43</v>
      </c>
      <c r="L38" s="64" t="str">
        <f>IFERROR(VLOOKUP(MID(G38,J38,K38-J38),[5]skilldef!$C:$D,2,FALSE),"-") &amp; " / " &amp; IFERROR(VLOOKUP(MID(G38,H38,I38-H38),[5]skilldef!$A:$B,2,FALSE),"-")</f>
        <v>味方全体に / 属性キラー</v>
      </c>
      <c r="M38" s="64" t="str">
        <f t="shared" si="5"/>
        <v>none</v>
      </c>
      <c r="N38" s="48" t="str">
        <f t="shared" si="18"/>
        <v>none</v>
      </c>
      <c r="O38" s="64" t="e">
        <f t="shared" si="7"/>
        <v>#VALUE!</v>
      </c>
      <c r="P38" s="64">
        <f t="shared" si="8"/>
        <v>4</v>
      </c>
      <c r="Q38" s="64" t="e">
        <f t="shared" si="9"/>
        <v>#VALUE!</v>
      </c>
      <c r="R38" s="64" t="e">
        <f t="shared" si="10"/>
        <v>#VALUE!</v>
      </c>
      <c r="S38" s="64" t="str">
        <f>IFERROR(VLOOKUP(MID(N38,Q38,R38-Q38),[5]skilldef!$C:$D,2,FALSE),"-") &amp; " / " &amp; IFERROR(VLOOKUP(MID(N38,O38,P38-O38),[5]skilldef!$A:$B,2,FALSE),"-")</f>
        <v>- / -</v>
      </c>
      <c r="T38" s="48" t="str">
        <f t="shared" si="11"/>
        <v>none</v>
      </c>
      <c r="U38" s="64" t="e">
        <f t="shared" si="12"/>
        <v>#VALUE!</v>
      </c>
      <c r="V38" s="64">
        <f t="shared" si="13"/>
        <v>4</v>
      </c>
      <c r="W38" s="64" t="e">
        <f t="shared" si="14"/>
        <v>#VALUE!</v>
      </c>
      <c r="X38" s="64" t="e">
        <f t="shared" si="15"/>
        <v>#VALUE!</v>
      </c>
      <c r="Y38" s="64" t="str">
        <f>IFERROR(VLOOKUP(MID(T38,W38,X38-W38),[5]skilldef!$C:$D,2,FALSE),"-") &amp; " / " &amp; IFERROR(VLOOKUP(MID(T38,U38,V38-U38),[5]skilldef!$A:$B,2,FALSE),"-")</f>
        <v>- / -</v>
      </c>
      <c r="Z38" s="50"/>
      <c r="AA38" s="52"/>
      <c r="AB38" s="50"/>
    </row>
    <row r="39" spans="1:28" ht="41" customHeight="1" x14ac:dyDescent="0.15">
      <c r="A39" s="62">
        <v>40039245</v>
      </c>
      <c r="B39" s="47" t="s">
        <v>451</v>
      </c>
      <c r="C39" s="124">
        <v>3</v>
      </c>
      <c r="D39" s="50" t="s">
        <v>126</v>
      </c>
      <c r="E39" s="51" t="s">
        <v>324</v>
      </c>
      <c r="F39" s="51" t="s">
        <v>275</v>
      </c>
      <c r="G39" s="64" t="str">
        <f t="shared" si="0"/>
        <v>[effect:enemy_message, val1:2.0, val2:2.3]</v>
      </c>
      <c r="H39" s="64">
        <f t="shared" si="1"/>
        <v>9</v>
      </c>
      <c r="I39" s="64">
        <f t="shared" si="2"/>
        <v>22</v>
      </c>
      <c r="J39" s="64" t="e">
        <f t="shared" si="3"/>
        <v>#VALUE!</v>
      </c>
      <c r="K39" s="64">
        <f t="shared" si="4"/>
        <v>32</v>
      </c>
      <c r="L39" s="64" t="str">
        <f>IFERROR(VLOOKUP(MID(G39,J39,K39-J39),[5]skilldef!$C:$D,2,FALSE),"-") &amp; " / " &amp; IFERROR(VLOOKUP(MID(G39,H39,I39-H39),[5]skilldef!$A:$B,2,FALSE),"-")</f>
        <v>- / -</v>
      </c>
      <c r="M39" s="64" t="str">
        <f t="shared" si="5"/>
        <v>[effect:force_change_block, new_block:jammer, target:block_all, ignore01:damage, count:0, val:0, animation:change_block]</v>
      </c>
      <c r="N39" s="48" t="str">
        <f t="shared" si="18"/>
        <v>[effect:force_change_block, new_block:jammer, target:block_all, ignore01:damage, count:0, val:0, animation:change_block]</v>
      </c>
      <c r="O39" s="64">
        <f t="shared" si="7"/>
        <v>9</v>
      </c>
      <c r="P39" s="64">
        <f t="shared" si="8"/>
        <v>27</v>
      </c>
      <c r="Q39" s="64">
        <f t="shared" si="9"/>
        <v>54</v>
      </c>
      <c r="R39" s="64">
        <f t="shared" si="10"/>
        <v>45</v>
      </c>
      <c r="S39" s="64" t="str">
        <f>IFERROR(VLOOKUP(MID(N39,Q39,R39-Q39),[5]skilldef!$C:$D,2,FALSE),"-") &amp; " / " &amp; IFERROR(VLOOKUP(MID(N39,O39,P39-O39),[5]skilldef!$A:$B,2,FALSE),"-")</f>
        <v>- / -</v>
      </c>
      <c r="T39" s="48" t="str">
        <f t="shared" si="11"/>
        <v>none</v>
      </c>
      <c r="U39" s="64" t="e">
        <f t="shared" si="12"/>
        <v>#VALUE!</v>
      </c>
      <c r="V39" s="64">
        <f t="shared" si="13"/>
        <v>4</v>
      </c>
      <c r="W39" s="64" t="e">
        <f t="shared" si="14"/>
        <v>#VALUE!</v>
      </c>
      <c r="X39" s="64" t="e">
        <f t="shared" si="15"/>
        <v>#VALUE!</v>
      </c>
      <c r="Y39" s="64" t="str">
        <f>IFERROR(VLOOKUP(MID(T39,W39,X39-W39),[5]skilldef!$C:$D,2,FALSE),"-") &amp; " / " &amp; IFERROR(VLOOKUP(MID(T39,U39,V39-U39),[5]skilldef!$A:$B,2,FALSE),"-")</f>
        <v>- / -</v>
      </c>
      <c r="Z39" s="50"/>
      <c r="AA39" s="52"/>
      <c r="AB39" s="50"/>
    </row>
    <row r="40" spans="1:28" ht="41" customHeight="1" x14ac:dyDescent="0.15">
      <c r="A40" s="62">
        <v>40039246</v>
      </c>
      <c r="B40" s="47" t="s">
        <v>347</v>
      </c>
      <c r="C40" s="124">
        <v>3</v>
      </c>
      <c r="D40" s="50" t="s">
        <v>126</v>
      </c>
      <c r="E40" s="51" t="s">
        <v>302</v>
      </c>
      <c r="F40" s="51" t="s">
        <v>273</v>
      </c>
      <c r="G40" s="64" t="str">
        <f t="shared" si="0"/>
        <v>[effect:enemy_message, val1:2.3, val2:1.8]</v>
      </c>
      <c r="H40" s="64">
        <f t="shared" si="1"/>
        <v>9</v>
      </c>
      <c r="I40" s="64">
        <f t="shared" si="2"/>
        <v>22</v>
      </c>
      <c r="J40" s="64" t="e">
        <f t="shared" si="3"/>
        <v>#VALUE!</v>
      </c>
      <c r="K40" s="64">
        <f t="shared" si="4"/>
        <v>32</v>
      </c>
      <c r="L40" s="64" t="str">
        <f>IFERROR(VLOOKUP(MID(G40,J40,K40-J40),[5]skilldef!$C:$D,2,FALSE),"-") &amp; " / " &amp; IFERROR(VLOOKUP(MID(G40,H40,I40-H40),[5]skilldef!$A:$B,2,FALSE),"-")</f>
        <v>- / -</v>
      </c>
      <c r="M40" s="64" t="str">
        <f t="shared" si="5"/>
        <v xml:space="preserve">[effect:break_enchance_enemy, target:myself, val:0.02, lowest_val:0, count:-1, status:attack, turn:-1, block01:jammer, calc:mul, animation:enemy_enhance_attack]    </v>
      </c>
      <c r="N40" s="48" t="str">
        <f t="shared" si="18"/>
        <v xml:space="preserve">[effect:break_enchance_enemy, target:myself, val:0.02, lowest_val:0, count:-1, status:attack, turn:-1, block01:jammer, calc:mul, animation:enemy_enhance_attack]    </v>
      </c>
      <c r="O40" s="64">
        <f t="shared" si="7"/>
        <v>9</v>
      </c>
      <c r="P40" s="64">
        <f t="shared" si="8"/>
        <v>29</v>
      </c>
      <c r="Q40" s="64">
        <f t="shared" si="9"/>
        <v>38</v>
      </c>
      <c r="R40" s="64">
        <f t="shared" si="10"/>
        <v>44</v>
      </c>
      <c r="S40" s="64" t="str">
        <f>IFERROR(VLOOKUP(MID(N40,Q40,R40-Q40),[5]skilldef!$C:$D,2,FALSE),"-") &amp; " / " &amp; IFERROR(VLOOKUP(MID(N40,O40,P40-O40),[5]skilldef!$A:$B,2,FALSE),"-")</f>
        <v>自分自身に / -</v>
      </c>
      <c r="T40" s="48" t="str">
        <f t="shared" si="11"/>
        <v>none</v>
      </c>
      <c r="U40" s="64" t="e">
        <f t="shared" si="12"/>
        <v>#VALUE!</v>
      </c>
      <c r="V40" s="64">
        <f t="shared" si="13"/>
        <v>4</v>
      </c>
      <c r="W40" s="64" t="e">
        <f t="shared" si="14"/>
        <v>#VALUE!</v>
      </c>
      <c r="X40" s="64" t="e">
        <f t="shared" si="15"/>
        <v>#VALUE!</v>
      </c>
      <c r="Y40" s="64" t="str">
        <f>IFERROR(VLOOKUP(MID(T40,W40,X40-W40),[5]skilldef!$C:$D,2,FALSE),"-") &amp; " / " &amp; IFERROR(VLOOKUP(MID(T40,U40,V40-U40),[5]skilldef!$A:$B,2,FALSE),"-")</f>
        <v>- / -</v>
      </c>
      <c r="Z40" s="50"/>
      <c r="AA40" s="52"/>
      <c r="AB40" s="50"/>
    </row>
    <row r="41" spans="1:28" ht="41" customHeight="1" x14ac:dyDescent="0.15">
      <c r="A41" s="62">
        <v>40039247</v>
      </c>
      <c r="B41" s="47" t="s">
        <v>301</v>
      </c>
      <c r="C41" s="124">
        <v>3</v>
      </c>
      <c r="D41" s="50" t="s">
        <v>126</v>
      </c>
      <c r="E41" s="51" t="s">
        <v>300</v>
      </c>
      <c r="F41" s="51" t="s">
        <v>273</v>
      </c>
      <c r="G41" s="64" t="str">
        <f t="shared" si="0"/>
        <v xml:space="preserve">[effect:break_enchance_enemy, target:myself, val:0.5, lowest_val:0, count:-1, status:attack, turn:-1, block01:jammer, calc:mul, animation:enemy_enhance_attack]    </v>
      </c>
      <c r="H41" s="64">
        <f t="shared" si="1"/>
        <v>9</v>
      </c>
      <c r="I41" s="64">
        <f t="shared" si="2"/>
        <v>29</v>
      </c>
      <c r="J41" s="64">
        <f t="shared" si="3"/>
        <v>38</v>
      </c>
      <c r="K41" s="64">
        <f t="shared" si="4"/>
        <v>44</v>
      </c>
      <c r="L41" s="64" t="str">
        <f>IFERROR(VLOOKUP(MID(G41,J41,K41-J41),[5]skilldef!$C:$D,2,FALSE),"-") &amp; " / " &amp; IFERROR(VLOOKUP(MID(G41,H41,I41-H41),[5]skilldef!$A:$B,2,FALSE),"-")</f>
        <v>自分自身に / -</v>
      </c>
      <c r="M41" s="64" t="str">
        <f t="shared" si="5"/>
        <v>none</v>
      </c>
      <c r="N41" s="48" t="str">
        <f t="shared" si="18"/>
        <v>none</v>
      </c>
      <c r="O41" s="64" t="e">
        <f t="shared" si="7"/>
        <v>#VALUE!</v>
      </c>
      <c r="P41" s="64">
        <f t="shared" si="8"/>
        <v>4</v>
      </c>
      <c r="Q41" s="64" t="e">
        <f t="shared" si="9"/>
        <v>#VALUE!</v>
      </c>
      <c r="R41" s="64" t="e">
        <f t="shared" si="10"/>
        <v>#VALUE!</v>
      </c>
      <c r="S41" s="64" t="str">
        <f>IFERROR(VLOOKUP(MID(N41,Q41,R41-Q41),[5]skilldef!$C:$D,2,FALSE),"-") &amp; " / " &amp; IFERROR(VLOOKUP(MID(N41,O41,P41-O41),[5]skilldef!$A:$B,2,FALSE),"-")</f>
        <v>- / -</v>
      </c>
      <c r="T41" s="48" t="str">
        <f t="shared" si="11"/>
        <v>none</v>
      </c>
      <c r="U41" s="64" t="e">
        <f t="shared" si="12"/>
        <v>#VALUE!</v>
      </c>
      <c r="V41" s="64">
        <f t="shared" si="13"/>
        <v>4</v>
      </c>
      <c r="W41" s="64" t="e">
        <f t="shared" si="14"/>
        <v>#VALUE!</v>
      </c>
      <c r="X41" s="64" t="e">
        <f t="shared" si="15"/>
        <v>#VALUE!</v>
      </c>
      <c r="Y41" s="64" t="str">
        <f>IFERROR(VLOOKUP(MID(T41,W41,X41-W41),[5]skilldef!$C:$D,2,FALSE),"-") &amp; " / " &amp; IFERROR(VLOOKUP(MID(T41,U41,V41-U41),[5]skilldef!$A:$B,2,FALSE),"-")</f>
        <v>- / -</v>
      </c>
      <c r="Z41" s="50"/>
      <c r="AA41" s="52"/>
      <c r="AB41" s="50"/>
    </row>
    <row r="42" spans="1:28" ht="41" customHeight="1" x14ac:dyDescent="0.15">
      <c r="A42" s="62">
        <v>40039248</v>
      </c>
      <c r="B42" s="136" t="s">
        <v>449</v>
      </c>
      <c r="C42" s="124">
        <v>3</v>
      </c>
      <c r="D42" s="50" t="s">
        <v>126</v>
      </c>
      <c r="E42" s="51" t="s">
        <v>297</v>
      </c>
      <c r="F42" s="51" t="s">
        <v>413</v>
      </c>
      <c r="G42" s="64" t="str">
        <f t="shared" si="0"/>
        <v>[effect:force_change_block, new_block:damage, target:block_all, ignore01:block_positive, ignore02:block_negative, color:block_red, count:1, val:0.05]</v>
      </c>
      <c r="H42" s="64">
        <f t="shared" si="1"/>
        <v>9</v>
      </c>
      <c r="I42" s="64">
        <f t="shared" si="2"/>
        <v>27</v>
      </c>
      <c r="J42" s="64">
        <f t="shared" si="3"/>
        <v>54</v>
      </c>
      <c r="K42" s="64">
        <f t="shared" si="4"/>
        <v>45</v>
      </c>
      <c r="L42" s="64" t="str">
        <f>IFERROR(VLOOKUP(MID(G42,J42,K42-J42),[5]skilldef!$C:$D,2,FALSE),"-") &amp; " / " &amp; IFERROR(VLOOKUP(MID(G42,H42,I42-H42),[5]skilldef!$A:$B,2,FALSE),"-")</f>
        <v>- / -</v>
      </c>
      <c r="M42" s="64" t="str">
        <f t="shared" si="5"/>
        <v>[effect:force_change_block, new_block:damage, target:block_all, ignore01:block_positive, ignore02:block_negative, color:block_green, count:1, val:0.05],[effect:force_change_block, new_block:damage, target:block_all, ignore01:block_positive, ignore02:block_negative, color:block_blue, count:1, val:0.05],[effect:force_change_block, new_block:damage, target:block_all, ignore01:block_positive, ignore02:block_negative, color:block_yellow, count:1, val:0.05],[effect:force_change_block, new_block:damage, target:block_all, ignore01:block_positive, ignore02:block_negative, color:block_heart, count:1, val:0.05]</v>
      </c>
      <c r="N42" s="48" t="str">
        <f t="shared" si="18"/>
        <v>[effect:force_change_block, new_block:damage, target:block_all, ignore01:block_positive, ignore02:block_negative, color:block_green, count:1, val:0.05],[effect:force_change_block, new_block:damage, target:block_all, ignore01:block_positive, ignore02:block_negative, color:block_blue, count:1, val:0.05],[effect:force_change_block, new_block:damage, target:block_all, ignore01:block_positive, ignore02:block_negative, color:block_yellow, count:1, val:0.05],[effect:force_change_block, new_block:damage, target:block_all, ignore01:block_positive, ignore02:block_negative, color:block_heart, count:1, val:0.05]</v>
      </c>
      <c r="O42" s="64">
        <f t="shared" si="7"/>
        <v>9</v>
      </c>
      <c r="P42" s="64">
        <f t="shared" si="8"/>
        <v>27</v>
      </c>
      <c r="Q42" s="64">
        <f t="shared" si="9"/>
        <v>54</v>
      </c>
      <c r="R42" s="64">
        <f t="shared" si="10"/>
        <v>45</v>
      </c>
      <c r="S42" s="64" t="str">
        <f>IFERROR(VLOOKUP(MID(N42,Q42,R42-Q42),[5]skilldef!$C:$D,2,FALSE),"-") &amp; " / " &amp; IFERROR(VLOOKUP(MID(N42,O42,P42-O42),[5]skilldef!$A:$B,2,FALSE),"-")</f>
        <v>- / -</v>
      </c>
      <c r="T42" s="48" t="str">
        <f t="shared" si="11"/>
        <v>[effect:force_change_block, new_block:damage, target:block_all, ignore01:block_positive, ignore02:block_negative, color:block_blue, count:1, val:0.05],[effect:force_change_block, new_block:damage, target:block_all, ignore01:block_positive, ignore02:block_negative, color:block_yellow, count:1, val:0.05],[effect:force_change_block, new_block:damage, target:block_all, ignore01:block_positive, ignore02:block_negative, color:block_heart, count:1, val:0.05]</v>
      </c>
      <c r="U42" s="64">
        <f t="shared" si="12"/>
        <v>9</v>
      </c>
      <c r="V42" s="64">
        <f t="shared" si="13"/>
        <v>27</v>
      </c>
      <c r="W42" s="64">
        <f t="shared" si="14"/>
        <v>54</v>
      </c>
      <c r="X42" s="64">
        <f t="shared" si="15"/>
        <v>45</v>
      </c>
      <c r="Y42" s="64" t="str">
        <f>IFERROR(VLOOKUP(MID(T42,W42,X42-W42),[5]skilldef!$C:$D,2,FALSE),"-") &amp; " / " &amp; IFERROR(VLOOKUP(MID(T42,U42,V42-U42),[5]skilldef!$A:$B,2,FALSE),"-")</f>
        <v>- / -</v>
      </c>
      <c r="Z42" s="50"/>
      <c r="AA42" s="52"/>
      <c r="AB42" s="50"/>
    </row>
    <row r="43" spans="1:28" ht="41" customHeight="1" x14ac:dyDescent="0.15">
      <c r="A43" s="62">
        <v>40039249</v>
      </c>
      <c r="B43" s="136" t="s">
        <v>450</v>
      </c>
      <c r="C43" s="124">
        <v>3</v>
      </c>
      <c r="D43" s="50" t="s">
        <v>126</v>
      </c>
      <c r="E43" s="125" t="s">
        <v>305</v>
      </c>
      <c r="F43" s="51" t="s">
        <v>414</v>
      </c>
      <c r="G43" s="64" t="str">
        <f t="shared" si="0"/>
        <v>[effect:force_change_block, new_block:damage, target:block_all, ignore01:block_positive, ignore02:block_negative, color:block_red, count:1, val:0.05]</v>
      </c>
      <c r="H43" s="64">
        <f t="shared" si="1"/>
        <v>9</v>
      </c>
      <c r="I43" s="64">
        <f t="shared" si="2"/>
        <v>27</v>
      </c>
      <c r="J43" s="64">
        <f t="shared" si="3"/>
        <v>54</v>
      </c>
      <c r="K43" s="64">
        <f t="shared" si="4"/>
        <v>45</v>
      </c>
      <c r="L43" s="64" t="str">
        <f>IFERROR(VLOOKUP(MID(G43,J43,K43-J43),[5]skilldef!$C:$D,2,FALSE),"-") &amp; " / " &amp; IFERROR(VLOOKUP(MID(G43,H43,I43-H43),[5]skilldef!$A:$B,2,FALSE),"-")</f>
        <v>- / -</v>
      </c>
      <c r="M43" s="64" t="str">
        <f t="shared" si="5"/>
        <v>[effect:force_change_block, new_block:damage, target:block_all, ignore01:block_positive, ignore02:block_negative, color:block_green, count:1, val:0.05],[effect:force_change_block, new_block:damage, target:block_all, ignore01:block_positive, ignore02:block_negative, color:block_blue, count:1, val:0.05],[effect:force_change_block, new_block:damage, target:block_all, ignore01:block_positive, ignore02:block_negative, color:block_yellow, count:1, val:0.05],[effect:force_change_block, new_block:damage, target:block_all, ignore01:block_positive, ignore02:block_negative, color:block_heart, count:1, val:0.05]</v>
      </c>
      <c r="N43" s="48" t="str">
        <f t="shared" si="18"/>
        <v>[effect:force_change_block, new_block:damage, target:block_all, ignore01:block_positive, ignore02:block_negative, color:block_green, count:1, val:0.05],[effect:force_change_block, new_block:damage, target:block_all, ignore01:block_positive, ignore02:block_negative, color:block_blue, count:1, val:0.05],[effect:force_change_block, new_block:damage, target:block_all, ignore01:block_positive, ignore02:block_negative, color:block_yellow, count:1, val:0.05],[effect:force_change_block, new_block:damage, target:block_all, ignore01:block_positive, ignore02:block_negative, color:block_heart, count:1, val:0.05]</v>
      </c>
      <c r="O43" s="64">
        <f t="shared" si="7"/>
        <v>9</v>
      </c>
      <c r="P43" s="64">
        <f t="shared" si="8"/>
        <v>27</v>
      </c>
      <c r="Q43" s="64">
        <f t="shared" si="9"/>
        <v>54</v>
      </c>
      <c r="R43" s="64">
        <f t="shared" si="10"/>
        <v>45</v>
      </c>
      <c r="S43" s="64" t="str">
        <f>IFERROR(VLOOKUP(MID(N43,Q43,R43-Q43),[5]skilldef!$C:$D,2,FALSE),"-") &amp; " / " &amp; IFERROR(VLOOKUP(MID(N43,O43,P43-O43),[5]skilldef!$A:$B,2,FALSE),"-")</f>
        <v>- / -</v>
      </c>
      <c r="T43" s="48" t="str">
        <f t="shared" si="11"/>
        <v>[effect:force_change_block, new_block:damage, target:block_all, ignore01:block_positive, ignore02:block_negative, color:block_blue, count:1, val:0.05],[effect:force_change_block, new_block:damage, target:block_all, ignore01:block_positive, ignore02:block_negative, color:block_yellow, count:1, val:0.05],[effect:force_change_block, new_block:damage, target:block_all, ignore01:block_positive, ignore02:block_negative, color:block_heart, count:1, val:0.05]</v>
      </c>
      <c r="U43" s="64">
        <f t="shared" si="12"/>
        <v>9</v>
      </c>
      <c r="V43" s="64">
        <f t="shared" si="13"/>
        <v>27</v>
      </c>
      <c r="W43" s="64">
        <f t="shared" si="14"/>
        <v>54</v>
      </c>
      <c r="X43" s="64">
        <f t="shared" si="15"/>
        <v>45</v>
      </c>
      <c r="Y43" s="64" t="str">
        <f>IFERROR(VLOOKUP(MID(T43,W43,X43-W43),[5]skilldef!$C:$D,2,FALSE),"-") &amp; " / " &amp; IFERROR(VLOOKUP(MID(T43,U43,V43-U43),[5]skilldef!$A:$B,2,FALSE),"-")</f>
        <v>- / -</v>
      </c>
      <c r="Z43" s="50"/>
      <c r="AA43" s="52"/>
      <c r="AB43" s="50"/>
    </row>
    <row r="44" spans="1:28" ht="41" customHeight="1" x14ac:dyDescent="0.15">
      <c r="A44" s="131">
        <v>40039250</v>
      </c>
      <c r="B44" s="146" t="s">
        <v>362</v>
      </c>
      <c r="C44" s="124">
        <v>3</v>
      </c>
      <c r="D44" s="130" t="s">
        <v>126</v>
      </c>
      <c r="E44" s="125" t="s">
        <v>310</v>
      </c>
      <c r="F44" s="51" t="s">
        <v>311</v>
      </c>
      <c r="G44" s="64" t="str">
        <f t="shared" si="0"/>
        <v>[effect:enemy_message, val1:3.0, val2:3.0, dead_type:suicide]</v>
      </c>
      <c r="H44" s="64">
        <f t="shared" si="1"/>
        <v>9</v>
      </c>
      <c r="I44" s="64">
        <f t="shared" si="2"/>
        <v>22</v>
      </c>
      <c r="J44" s="64" t="e">
        <f t="shared" si="3"/>
        <v>#VALUE!</v>
      </c>
      <c r="K44" s="64">
        <f t="shared" si="4"/>
        <v>32</v>
      </c>
      <c r="L44" s="64" t="str">
        <f>IFERROR(VLOOKUP(MID(G44,J44,K44-J44),[5]skilldef!$C:$D,2,FALSE),"-") &amp; " / " &amp; IFERROR(VLOOKUP(MID(G44,H44,I44-H44),[5]skilldef!$A:$B,2,FALSE),"-")</f>
        <v>- / -</v>
      </c>
      <c r="M44" s="64" t="str">
        <f t="shared" si="5"/>
        <v>none</v>
      </c>
      <c r="N44" s="48" t="str">
        <f t="shared" si="18"/>
        <v>none</v>
      </c>
      <c r="O44" s="64" t="e">
        <f t="shared" si="7"/>
        <v>#VALUE!</v>
      </c>
      <c r="P44" s="64">
        <f t="shared" si="8"/>
        <v>4</v>
      </c>
      <c r="Q44" s="64" t="e">
        <f t="shared" si="9"/>
        <v>#VALUE!</v>
      </c>
      <c r="R44" s="64" t="e">
        <f t="shared" si="10"/>
        <v>#VALUE!</v>
      </c>
      <c r="S44" s="64" t="str">
        <f>IFERROR(VLOOKUP(MID(N44,Q44,R44-Q44),[5]skilldef!$C:$D,2,FALSE),"-") &amp; " / " &amp; IFERROR(VLOOKUP(MID(N44,O44,P44-O44),[5]skilldef!$A:$B,2,FALSE),"-")</f>
        <v>- / -</v>
      </c>
      <c r="T44" s="48" t="str">
        <f t="shared" si="11"/>
        <v>none</v>
      </c>
      <c r="U44" s="64" t="e">
        <f t="shared" si="12"/>
        <v>#VALUE!</v>
      </c>
      <c r="V44" s="64">
        <f t="shared" si="13"/>
        <v>4</v>
      </c>
      <c r="W44" s="64" t="e">
        <f t="shared" si="14"/>
        <v>#VALUE!</v>
      </c>
      <c r="X44" s="64" t="e">
        <f t="shared" si="15"/>
        <v>#VALUE!</v>
      </c>
      <c r="Y44" s="64" t="str">
        <f>IFERROR(VLOOKUP(MID(T44,W44,X44-W44),[5]skilldef!$C:$D,2,FALSE),"-") &amp; " / " &amp; IFERROR(VLOOKUP(MID(T44,U44,V44-U44),[5]skilldef!$A:$B,2,FALSE),"-")</f>
        <v>- / -</v>
      </c>
      <c r="Z44" s="50"/>
      <c r="AA44" s="52"/>
      <c r="AB44" s="50"/>
    </row>
    <row r="45" spans="1:28" ht="41" customHeight="1" thickBot="1" x14ac:dyDescent="0.2">
      <c r="A45" s="132">
        <v>40039251</v>
      </c>
      <c r="B45" s="147" t="s">
        <v>363</v>
      </c>
      <c r="C45" s="124">
        <v>3</v>
      </c>
      <c r="D45" s="126" t="s">
        <v>126</v>
      </c>
      <c r="E45" s="127" t="s">
        <v>372</v>
      </c>
      <c r="F45" s="127" t="s">
        <v>325</v>
      </c>
      <c r="G45" s="64" t="str">
        <f t="shared" si="0"/>
        <v>[effect:enemy_message, val1:3.0, val2:3.5, dead_type:suicide]</v>
      </c>
      <c r="H45" s="64">
        <f t="shared" si="1"/>
        <v>9</v>
      </c>
      <c r="I45" s="64">
        <f t="shared" si="2"/>
        <v>22</v>
      </c>
      <c r="J45" s="64" t="e">
        <f t="shared" si="3"/>
        <v>#VALUE!</v>
      </c>
      <c r="K45" s="64">
        <f t="shared" si="4"/>
        <v>32</v>
      </c>
      <c r="L45" s="64" t="str">
        <f>IFERROR(VLOOKUP(MID(G45,J45,K45-J45),[5]skilldef!$C:$D,2,FALSE),"-") &amp; " / " &amp; IFERROR(VLOOKUP(MID(G45,H45,I45-H45),[5]skilldef!$A:$B,2,FALSE),"-")</f>
        <v>- / -</v>
      </c>
      <c r="M45" s="64" t="str">
        <f t="shared" si="5"/>
        <v>none</v>
      </c>
      <c r="N45" s="48" t="str">
        <f t="shared" si="18"/>
        <v>none</v>
      </c>
      <c r="O45" s="64" t="e">
        <f t="shared" si="7"/>
        <v>#VALUE!</v>
      </c>
      <c r="P45" s="64">
        <f t="shared" si="8"/>
        <v>4</v>
      </c>
      <c r="Q45" s="64" t="e">
        <f t="shared" si="9"/>
        <v>#VALUE!</v>
      </c>
      <c r="R45" s="64" t="e">
        <f t="shared" si="10"/>
        <v>#VALUE!</v>
      </c>
      <c r="S45" s="64" t="str">
        <f>IFERROR(VLOOKUP(MID(N45,Q45,R45-Q45),[5]skilldef!$C:$D,2,FALSE),"-") &amp; " / " &amp; IFERROR(VLOOKUP(MID(N45,O45,P45-O45),[5]skilldef!$A:$B,2,FALSE),"-")</f>
        <v>- / -</v>
      </c>
      <c r="T45" s="48" t="str">
        <f t="shared" si="11"/>
        <v>none</v>
      </c>
      <c r="U45" s="64" t="e">
        <f t="shared" si="12"/>
        <v>#VALUE!</v>
      </c>
      <c r="V45" s="64">
        <f t="shared" si="13"/>
        <v>4</v>
      </c>
      <c r="W45" s="64" t="e">
        <f t="shared" si="14"/>
        <v>#VALUE!</v>
      </c>
      <c r="X45" s="64" t="e">
        <f t="shared" si="15"/>
        <v>#VALUE!</v>
      </c>
      <c r="Y45" s="64" t="str">
        <f>IFERROR(VLOOKUP(MID(T45,W45,X45-W45),[5]skilldef!$C:$D,2,FALSE),"-") &amp; " / " &amp; IFERROR(VLOOKUP(MID(T45,U45,V45-U45),[5]skilldef!$A:$B,2,FALSE),"-")</f>
        <v>- / -</v>
      </c>
      <c r="Z45" s="50"/>
      <c r="AA45" s="52"/>
      <c r="AB45" s="50"/>
    </row>
    <row r="46" spans="1:28" ht="41" customHeight="1" x14ac:dyDescent="0.15">
      <c r="A46" s="105">
        <v>40039501</v>
      </c>
      <c r="B46" s="120" t="s">
        <v>400</v>
      </c>
      <c r="C46" s="124">
        <v>3</v>
      </c>
      <c r="D46" s="124" t="s">
        <v>126</v>
      </c>
      <c r="E46" s="125" t="s">
        <v>287</v>
      </c>
      <c r="F46" s="125" t="s">
        <v>259</v>
      </c>
      <c r="G46" s="64" t="str">
        <f t="shared" ref="G46:G53" si="19">IFERROR(LEFT(B46,FIND("],",B46)),B46)</f>
        <v>[effect:damage_anti_color, target:unit_all, color:red, val1:0.6, val2:0.23]</v>
      </c>
      <c r="H46" s="64">
        <f t="shared" ref="H46:H53" si="20">FIND("effect:",G46)+7</f>
        <v>9</v>
      </c>
      <c r="I46" s="64">
        <f t="shared" ref="I46:I53" si="21">IFERROR(FIND(",",G46),LEN(G46))</f>
        <v>26</v>
      </c>
      <c r="J46" s="64">
        <f t="shared" ref="J46:J53" si="22">FIND("target:",G46)+7</f>
        <v>35</v>
      </c>
      <c r="K46" s="64">
        <f t="shared" ref="K46:K53" si="23">FIND(",",G46,I46+1)</f>
        <v>43</v>
      </c>
      <c r="L46" s="64" t="str">
        <f>IFERROR(VLOOKUP(MID(G46,J46,K46-J46),[5]skilldef!$C:$D,2,FALSE),"-") &amp; " / " &amp; IFERROR(VLOOKUP(MID(G46,H46,I46-H46),[5]skilldef!$A:$B,2,FALSE),"-")</f>
        <v>味方全体に / 属性キラー</v>
      </c>
      <c r="M46" s="64" t="str">
        <f t="shared" ref="M46:M53" si="24">IFERROR(RIGHT(B46,LEN(B46)-FIND("],",B46)-1),"none")</f>
        <v>none</v>
      </c>
      <c r="N46" s="48" t="str">
        <f t="shared" ref="N46" si="25">IFERROR(LEFT(M46,FIND("],",M46)+S59),M46)</f>
        <v>none</v>
      </c>
      <c r="O46" s="64" t="e">
        <f t="shared" ref="O46:O53" si="26">FIND("effect:",N46)+7</f>
        <v>#VALUE!</v>
      </c>
      <c r="P46" s="64">
        <f t="shared" ref="P46:P53" si="27">IFERROR(FIND(",",N46),LEN(N46))</f>
        <v>4</v>
      </c>
      <c r="Q46" s="64" t="e">
        <f t="shared" ref="Q46:Q53" si="28">FIND("target:",N46)+7</f>
        <v>#VALUE!</v>
      </c>
      <c r="R46" s="64" t="e">
        <f t="shared" ref="R46:R53" si="29">FIND(",",N46,P46+1)</f>
        <v>#VALUE!</v>
      </c>
      <c r="S46" s="64" t="str">
        <f>IFERROR(VLOOKUP(MID(N46,Q46,R46-Q46),[5]skilldef!$C:$D,2,FALSE),"-") &amp; " / " &amp; IFERROR(VLOOKUP(MID(N46,O46,P46-O46),[5]skilldef!$A:$B,2,FALSE),"-")</f>
        <v>- / -</v>
      </c>
      <c r="T46" s="48" t="str">
        <f t="shared" ref="T46:T53" si="30">IFERROR(RIGHT(M46,LEN(M46)-FIND("],",M46)-1),"none")</f>
        <v>none</v>
      </c>
      <c r="U46" s="64" t="e">
        <f t="shared" ref="U46:U53" si="31">FIND("effect:",T46)+7</f>
        <v>#VALUE!</v>
      </c>
      <c r="V46" s="64">
        <f t="shared" ref="V46:V53" si="32">IFERROR(FIND(",",T46),LEN(T46))</f>
        <v>4</v>
      </c>
      <c r="W46" s="64" t="e">
        <f t="shared" ref="W46:W53" si="33">FIND("target:",T46)+7</f>
        <v>#VALUE!</v>
      </c>
      <c r="X46" s="64" t="e">
        <f t="shared" ref="X46:X53" si="34">FIND(",",T46,V46+1)</f>
        <v>#VALUE!</v>
      </c>
      <c r="Y46" s="64" t="str">
        <f>IFERROR(VLOOKUP(MID(T46,W46,X46-W46),[5]skilldef!$C:$D,2,FALSE),"-") &amp; " / " &amp; IFERROR(VLOOKUP(MID(T46,U46,V46-U46),[5]skilldef!$A:$B,2,FALSE),"-")</f>
        <v>- / -</v>
      </c>
      <c r="Z46" s="50"/>
      <c r="AA46" s="52"/>
      <c r="AB46" s="50"/>
    </row>
    <row r="47" spans="1:28" ht="41" customHeight="1" x14ac:dyDescent="0.15">
      <c r="A47" s="105">
        <v>40039502</v>
      </c>
      <c r="B47" s="120" t="s">
        <v>340</v>
      </c>
      <c r="C47" s="124">
        <v>3</v>
      </c>
      <c r="D47" s="124" t="s">
        <v>126</v>
      </c>
      <c r="E47" s="125" t="s">
        <v>312</v>
      </c>
      <c r="F47" s="125" t="s">
        <v>261</v>
      </c>
      <c r="G47" s="64" t="str">
        <f t="shared" si="19"/>
        <v>[effect:enhance_enemy, target:myself, turn:-1, status:attack, val:0.3, calc:mul, animation:enemy_enhance_attack]</v>
      </c>
      <c r="H47" s="64">
        <f t="shared" si="20"/>
        <v>9</v>
      </c>
      <c r="I47" s="64">
        <f t="shared" si="21"/>
        <v>22</v>
      </c>
      <c r="J47" s="64">
        <f t="shared" si="22"/>
        <v>31</v>
      </c>
      <c r="K47" s="64">
        <f t="shared" si="23"/>
        <v>37</v>
      </c>
      <c r="L47" s="64" t="str">
        <f>IFERROR(VLOOKUP(MID(G47,J47,K47-J47),[5]skilldef!$C:$D,2,FALSE),"-") &amp; " / " &amp; IFERROR(VLOOKUP(MID(G47,H47,I47-H47),[5]skilldef!$A:$B,2,FALSE),"-")</f>
        <v>自分自身に / ステータス強化</v>
      </c>
      <c r="M47" s="64" t="str">
        <f t="shared" si="24"/>
        <v>none</v>
      </c>
      <c r="N47" s="48" t="str">
        <f>IFERROR(LEFT(M47,FIND("],",M47)+#REF!),M47)</f>
        <v>none</v>
      </c>
      <c r="O47" s="64" t="e">
        <f t="shared" si="26"/>
        <v>#VALUE!</v>
      </c>
      <c r="P47" s="64">
        <f t="shared" si="27"/>
        <v>4</v>
      </c>
      <c r="Q47" s="64" t="e">
        <f t="shared" si="28"/>
        <v>#VALUE!</v>
      </c>
      <c r="R47" s="64" t="e">
        <f t="shared" si="29"/>
        <v>#VALUE!</v>
      </c>
      <c r="S47" s="64" t="str">
        <f>IFERROR(VLOOKUP(MID(N47,Q47,R47-Q47),[5]skilldef!$C:$D,2,FALSE),"-") &amp; " / " &amp; IFERROR(VLOOKUP(MID(N47,O47,P47-O47),[5]skilldef!$A:$B,2,FALSE),"-")</f>
        <v>- / -</v>
      </c>
      <c r="T47" s="48" t="str">
        <f t="shared" si="30"/>
        <v>none</v>
      </c>
      <c r="U47" s="64" t="e">
        <f t="shared" si="31"/>
        <v>#VALUE!</v>
      </c>
      <c r="V47" s="64">
        <f t="shared" si="32"/>
        <v>4</v>
      </c>
      <c r="W47" s="64" t="e">
        <f t="shared" si="33"/>
        <v>#VALUE!</v>
      </c>
      <c r="X47" s="64" t="e">
        <f t="shared" si="34"/>
        <v>#VALUE!</v>
      </c>
      <c r="Y47" s="64" t="str">
        <f>IFERROR(VLOOKUP(MID(T47,W47,X47-W47),[5]skilldef!$C:$D,2,FALSE),"-") &amp; " / " &amp; IFERROR(VLOOKUP(MID(T47,U47,V47-U47),[5]skilldef!$A:$B,2,FALSE),"-")</f>
        <v>- / -</v>
      </c>
      <c r="Z47" s="50"/>
      <c r="AA47" s="52"/>
      <c r="AB47" s="50"/>
    </row>
    <row r="48" spans="1:28" ht="41" customHeight="1" x14ac:dyDescent="0.15">
      <c r="A48" s="105">
        <v>40039503</v>
      </c>
      <c r="B48" s="120" t="s">
        <v>341</v>
      </c>
      <c r="C48" s="124">
        <v>3</v>
      </c>
      <c r="D48" s="124" t="s">
        <v>126</v>
      </c>
      <c r="E48" s="125" t="s">
        <v>313</v>
      </c>
      <c r="F48" s="125" t="s">
        <v>262</v>
      </c>
      <c r="G48" s="64" t="str">
        <f t="shared" si="19"/>
        <v>[effect:enhance_enemy, target:myself, turn:-1, status:defense, val:2000, calc:add, animation:enemy_enhance_defense]</v>
      </c>
      <c r="H48" s="64">
        <f t="shared" si="20"/>
        <v>9</v>
      </c>
      <c r="I48" s="64">
        <f t="shared" si="21"/>
        <v>22</v>
      </c>
      <c r="J48" s="64">
        <f t="shared" si="22"/>
        <v>31</v>
      </c>
      <c r="K48" s="64">
        <f t="shared" si="23"/>
        <v>37</v>
      </c>
      <c r="L48" s="64" t="str">
        <f>IFERROR(VLOOKUP(MID(G48,J48,K48-J48),[5]skilldef!$C:$D,2,FALSE),"-") &amp; " / " &amp; IFERROR(VLOOKUP(MID(G48,H48,I48-H48),[5]skilldef!$A:$B,2,FALSE),"-")</f>
        <v>自分自身に / ステータス強化</v>
      </c>
      <c r="M48" s="64" t="str">
        <f t="shared" si="24"/>
        <v>none</v>
      </c>
      <c r="N48" s="48" t="str">
        <f>IFERROR(LEFT(M48,FIND("],",M48)+S68),M48)</f>
        <v>none</v>
      </c>
      <c r="O48" s="64" t="e">
        <f t="shared" si="26"/>
        <v>#VALUE!</v>
      </c>
      <c r="P48" s="64">
        <f t="shared" si="27"/>
        <v>4</v>
      </c>
      <c r="Q48" s="64" t="e">
        <f t="shared" si="28"/>
        <v>#VALUE!</v>
      </c>
      <c r="R48" s="64" t="e">
        <f t="shared" si="29"/>
        <v>#VALUE!</v>
      </c>
      <c r="S48" s="64" t="str">
        <f>IFERROR(VLOOKUP(MID(N48,Q48,R48-Q48),[5]skilldef!$C:$D,2,FALSE),"-") &amp; " / " &amp; IFERROR(VLOOKUP(MID(N48,O48,P48-O48),[5]skilldef!$A:$B,2,FALSE),"-")</f>
        <v>- / -</v>
      </c>
      <c r="T48" s="48" t="str">
        <f t="shared" si="30"/>
        <v>none</v>
      </c>
      <c r="U48" s="64" t="e">
        <f t="shared" si="31"/>
        <v>#VALUE!</v>
      </c>
      <c r="V48" s="64">
        <f t="shared" si="32"/>
        <v>4</v>
      </c>
      <c r="W48" s="64" t="e">
        <f t="shared" si="33"/>
        <v>#VALUE!</v>
      </c>
      <c r="X48" s="64" t="e">
        <f t="shared" si="34"/>
        <v>#VALUE!</v>
      </c>
      <c r="Y48" s="64" t="str">
        <f>IFERROR(VLOOKUP(MID(T48,W48,X48-W48),[5]skilldef!$C:$D,2,FALSE),"-") &amp; " / " &amp; IFERROR(VLOOKUP(MID(T48,U48,V48-U48),[5]skilldef!$A:$B,2,FALSE),"-")</f>
        <v>- / -</v>
      </c>
      <c r="Z48" s="50"/>
      <c r="AA48" s="52"/>
      <c r="AB48" s="50"/>
    </row>
    <row r="49" spans="1:28" ht="41" customHeight="1" x14ac:dyDescent="0.15">
      <c r="A49" s="105">
        <v>40039504</v>
      </c>
      <c r="B49" s="128" t="s">
        <v>366</v>
      </c>
      <c r="C49" s="124">
        <v>3</v>
      </c>
      <c r="D49" s="124" t="s">
        <v>126</v>
      </c>
      <c r="E49" s="125" t="s">
        <v>306</v>
      </c>
      <c r="F49" s="125" t="s">
        <v>307</v>
      </c>
      <c r="G49" s="64" t="str">
        <f t="shared" ref="G49" si="35">IFERROR(LEFT(B49,FIND("],",B49)),B49)</f>
        <v xml:space="preserve">[effect:enemy_message, val1:1.5, val2:2.3, dead_type:escape]    </v>
      </c>
      <c r="H49" s="64">
        <f t="shared" ref="H49" si="36">FIND("effect:",G49)+7</f>
        <v>9</v>
      </c>
      <c r="I49" s="64">
        <f t="shared" ref="I49" si="37">IFERROR(FIND(",",G49),LEN(G49))</f>
        <v>22</v>
      </c>
      <c r="J49" s="64" t="e">
        <f t="shared" ref="J49" si="38">FIND("target:",G49)+7</f>
        <v>#VALUE!</v>
      </c>
      <c r="K49" s="64">
        <f t="shared" ref="K49" si="39">FIND(",",G49,I49+1)</f>
        <v>32</v>
      </c>
      <c r="L49" s="64" t="str">
        <f>IFERROR(VLOOKUP(MID(G49,J49,K49-J49),[5]skilldef!$C:$D,2,FALSE),"-") &amp; " / " &amp; IFERROR(VLOOKUP(MID(G49,H49,I49-H49),[5]skilldef!$A:$B,2,FALSE),"-")</f>
        <v>- / -</v>
      </c>
      <c r="M49" s="64" t="str">
        <f t="shared" ref="M49" si="40">IFERROR(RIGHT(B49,LEN(B49)-FIND("],",B49)-1),"none")</f>
        <v>none</v>
      </c>
      <c r="N49" s="48" t="str">
        <f>IFERROR(LEFT(M49,FIND("],",M49)+S69),M49)</f>
        <v>none</v>
      </c>
      <c r="O49" s="64" t="e">
        <f t="shared" ref="O49" si="41">FIND("effect:",N49)+7</f>
        <v>#VALUE!</v>
      </c>
      <c r="P49" s="64">
        <f t="shared" ref="P49" si="42">IFERROR(FIND(",",N49),LEN(N49))</f>
        <v>4</v>
      </c>
      <c r="Q49" s="64" t="e">
        <f t="shared" ref="Q49" si="43">FIND("target:",N49)+7</f>
        <v>#VALUE!</v>
      </c>
      <c r="R49" s="64" t="e">
        <f t="shared" ref="R49" si="44">FIND(",",N49,P49+1)</f>
        <v>#VALUE!</v>
      </c>
      <c r="S49" s="64" t="str">
        <f>IFERROR(VLOOKUP(MID(N49,Q49,R49-Q49),[5]skilldef!$C:$D,2,FALSE),"-") &amp; " / " &amp; IFERROR(VLOOKUP(MID(N49,O49,P49-O49),[5]skilldef!$A:$B,2,FALSE),"-")</f>
        <v>- / -</v>
      </c>
      <c r="T49" s="48" t="str">
        <f t="shared" ref="T49" si="45">IFERROR(RIGHT(M49,LEN(M49)-FIND("],",M49)-1),"none")</f>
        <v>none</v>
      </c>
      <c r="U49" s="64" t="e">
        <f t="shared" ref="U49" si="46">FIND("effect:",T49)+7</f>
        <v>#VALUE!</v>
      </c>
      <c r="V49" s="64">
        <f t="shared" ref="V49" si="47">IFERROR(FIND(",",T49),LEN(T49))</f>
        <v>4</v>
      </c>
      <c r="W49" s="64" t="e">
        <f t="shared" ref="W49" si="48">FIND("target:",T49)+7</f>
        <v>#VALUE!</v>
      </c>
      <c r="X49" s="64" t="e">
        <f t="shared" ref="X49" si="49">FIND(",",T49,V49+1)</f>
        <v>#VALUE!</v>
      </c>
      <c r="Y49" s="64" t="str">
        <f>IFERROR(VLOOKUP(MID(T49,W49,X49-W49),[5]skilldef!$C:$D,2,FALSE),"-") &amp; " / " &amp; IFERROR(VLOOKUP(MID(T49,U49,V49-U49),[5]skilldef!$A:$B,2,FALSE),"-")</f>
        <v>- / -</v>
      </c>
      <c r="Z49" s="50"/>
      <c r="AA49" s="52"/>
      <c r="AB49" s="50"/>
    </row>
    <row r="50" spans="1:28" ht="41" customHeight="1" x14ac:dyDescent="0.15">
      <c r="A50" s="119">
        <v>40039521</v>
      </c>
      <c r="B50" s="120" t="s">
        <v>422</v>
      </c>
      <c r="C50" s="124">
        <v>3</v>
      </c>
      <c r="D50" s="124" t="s">
        <v>126</v>
      </c>
      <c r="E50" s="125" t="s">
        <v>314</v>
      </c>
      <c r="F50" s="125" t="s">
        <v>421</v>
      </c>
      <c r="G50" s="64" t="str">
        <f t="shared" si="19"/>
        <v>[effect:enemy_message, val1:1.5, val2:2.0]</v>
      </c>
      <c r="H50" s="64">
        <f t="shared" si="20"/>
        <v>9</v>
      </c>
      <c r="I50" s="64">
        <f t="shared" si="21"/>
        <v>22</v>
      </c>
      <c r="J50" s="64" t="e">
        <f t="shared" si="22"/>
        <v>#VALUE!</v>
      </c>
      <c r="K50" s="64">
        <f t="shared" si="23"/>
        <v>32</v>
      </c>
      <c r="L50" s="64" t="str">
        <f>IFERROR(VLOOKUP(MID(G50,J50,K50-J50),[5]skilldef!$C:$D,2,FALSE),"-") &amp; " / " &amp; IFERROR(VLOOKUP(MID(G50,H50,I50-H50),[5]skilldef!$A:$B,2,FALSE),"-")</f>
        <v>- / -</v>
      </c>
      <c r="M50" s="64" t="str">
        <f t="shared" si="24"/>
        <v>none</v>
      </c>
      <c r="N50" s="48" t="str">
        <f>IFERROR(LEFT(M50,FIND("],",M50)+S74),M50)</f>
        <v>none</v>
      </c>
      <c r="O50" s="64" t="e">
        <f t="shared" si="26"/>
        <v>#VALUE!</v>
      </c>
      <c r="P50" s="64">
        <f t="shared" si="27"/>
        <v>4</v>
      </c>
      <c r="Q50" s="64" t="e">
        <f t="shared" si="28"/>
        <v>#VALUE!</v>
      </c>
      <c r="R50" s="64" t="e">
        <f t="shared" si="29"/>
        <v>#VALUE!</v>
      </c>
      <c r="S50" s="64" t="str">
        <f>IFERROR(VLOOKUP(MID(N50,Q50,R50-Q50),[5]skilldef!$C:$D,2,FALSE),"-") &amp; " / " &amp; IFERROR(VLOOKUP(MID(N50,O50,P50-O50),[5]skilldef!$A:$B,2,FALSE),"-")</f>
        <v>- / -</v>
      </c>
      <c r="T50" s="48" t="str">
        <f t="shared" si="30"/>
        <v>none</v>
      </c>
      <c r="U50" s="64" t="e">
        <f t="shared" si="31"/>
        <v>#VALUE!</v>
      </c>
      <c r="V50" s="64">
        <f t="shared" si="32"/>
        <v>4</v>
      </c>
      <c r="W50" s="64" t="e">
        <f t="shared" si="33"/>
        <v>#VALUE!</v>
      </c>
      <c r="X50" s="64" t="e">
        <f t="shared" si="34"/>
        <v>#VALUE!</v>
      </c>
      <c r="Y50" s="64" t="str">
        <f>IFERROR(VLOOKUP(MID(T50,W50,X50-W50),[5]skilldef!$C:$D,2,FALSE),"-") &amp; " / " &amp; IFERROR(VLOOKUP(MID(T50,U50,V50-U50),[5]skilldef!$A:$B,2,FALSE),"-")</f>
        <v>- / -</v>
      </c>
      <c r="Z50" s="50"/>
      <c r="AA50" s="52"/>
      <c r="AB50" s="50"/>
    </row>
    <row r="51" spans="1:28" ht="41" customHeight="1" x14ac:dyDescent="0.15">
      <c r="A51" s="119">
        <v>40039522</v>
      </c>
      <c r="B51" s="120" t="s">
        <v>277</v>
      </c>
      <c r="C51" s="124">
        <v>3</v>
      </c>
      <c r="D51" s="124" t="s">
        <v>126</v>
      </c>
      <c r="E51" s="125" t="s">
        <v>288</v>
      </c>
      <c r="F51" s="125" t="s">
        <v>260</v>
      </c>
      <c r="G51" s="64" t="str">
        <f t="shared" si="19"/>
        <v>[effect:damage_anti_tribe, target:unit_all, tribe:god, val1:0.6, val2:0.25]</v>
      </c>
      <c r="H51" s="64">
        <f t="shared" si="20"/>
        <v>9</v>
      </c>
      <c r="I51" s="64">
        <f t="shared" si="21"/>
        <v>26</v>
      </c>
      <c r="J51" s="64">
        <f t="shared" si="22"/>
        <v>35</v>
      </c>
      <c r="K51" s="64">
        <f t="shared" si="23"/>
        <v>43</v>
      </c>
      <c r="L51" s="64" t="str">
        <f>IFERROR(VLOOKUP(MID(G51,J51,K51-J51),[5]skilldef!$C:$D,2,FALSE),"-") &amp; " / " &amp; IFERROR(VLOOKUP(MID(G51,H51,I51-H51),[5]skilldef!$A:$B,2,FALSE),"-")</f>
        <v>味方全体に / 種族キラー</v>
      </c>
      <c r="M51" s="64" t="str">
        <f t="shared" si="24"/>
        <v>none</v>
      </c>
      <c r="N51" s="48" t="str">
        <f>IFERROR(LEFT(M51,FIND("],",M51)+S79),M51)</f>
        <v>none</v>
      </c>
      <c r="O51" s="64" t="e">
        <f t="shared" si="26"/>
        <v>#VALUE!</v>
      </c>
      <c r="P51" s="64">
        <f t="shared" si="27"/>
        <v>4</v>
      </c>
      <c r="Q51" s="64" t="e">
        <f t="shared" si="28"/>
        <v>#VALUE!</v>
      </c>
      <c r="R51" s="64" t="e">
        <f t="shared" si="29"/>
        <v>#VALUE!</v>
      </c>
      <c r="S51" s="64" t="str">
        <f>IFERROR(VLOOKUP(MID(N51,Q51,R51-Q51),[5]skilldef!$C:$D,2,FALSE),"-") &amp; " / " &amp; IFERROR(VLOOKUP(MID(N51,O51,P51-O51),[5]skilldef!$A:$B,2,FALSE),"-")</f>
        <v>- / -</v>
      </c>
      <c r="T51" s="48" t="str">
        <f t="shared" si="30"/>
        <v>none</v>
      </c>
      <c r="U51" s="64" t="e">
        <f t="shared" si="31"/>
        <v>#VALUE!</v>
      </c>
      <c r="V51" s="64">
        <f t="shared" si="32"/>
        <v>4</v>
      </c>
      <c r="W51" s="64" t="e">
        <f t="shared" si="33"/>
        <v>#VALUE!</v>
      </c>
      <c r="X51" s="64" t="e">
        <f t="shared" si="34"/>
        <v>#VALUE!</v>
      </c>
      <c r="Y51" s="64" t="str">
        <f>IFERROR(VLOOKUP(MID(T51,W51,X51-W51),[5]skilldef!$C:$D,2,FALSE),"-") &amp; " / " &amp; IFERROR(VLOOKUP(MID(T51,U51,V51-U51),[5]skilldef!$A:$B,2,FALSE),"-")</f>
        <v>- / -</v>
      </c>
      <c r="Z51" s="50"/>
      <c r="AA51" s="52"/>
      <c r="AB51" s="50"/>
    </row>
    <row r="52" spans="1:28" ht="41" customHeight="1" x14ac:dyDescent="0.15">
      <c r="A52" s="119">
        <v>40039523</v>
      </c>
      <c r="B52" s="120" t="s">
        <v>342</v>
      </c>
      <c r="C52" s="124">
        <v>3</v>
      </c>
      <c r="D52" s="124" t="s">
        <v>126</v>
      </c>
      <c r="E52" s="125" t="s">
        <v>290</v>
      </c>
      <c r="F52" s="125" t="s">
        <v>263</v>
      </c>
      <c r="G52" s="64" t="str">
        <f t="shared" si="19"/>
        <v>[effect:enhance_enemy, target:myself, turn:-1, status:attack, val:0.3, calc:mul, animation:enemy_enhance_attack]</v>
      </c>
      <c r="H52" s="64">
        <f t="shared" si="20"/>
        <v>9</v>
      </c>
      <c r="I52" s="64">
        <f t="shared" si="21"/>
        <v>22</v>
      </c>
      <c r="J52" s="64">
        <f t="shared" si="22"/>
        <v>31</v>
      </c>
      <c r="K52" s="64">
        <f t="shared" si="23"/>
        <v>37</v>
      </c>
      <c r="L52" s="64" t="str">
        <f>IFERROR(VLOOKUP(MID(G52,J52,K52-J52),[5]skilldef!$C:$D,2,FALSE),"-") &amp; " / " &amp; IFERROR(VLOOKUP(MID(G52,H52,I52-H52),[5]skilldef!$A:$B,2,FALSE),"-")</f>
        <v>自分自身に / ステータス強化</v>
      </c>
      <c r="M52" s="64" t="str">
        <f t="shared" si="24"/>
        <v>none</v>
      </c>
      <c r="N52" s="48" t="str">
        <f>IFERROR(LEFT(M52,FIND("],",M52)+S80),M52)</f>
        <v>none</v>
      </c>
      <c r="O52" s="64" t="e">
        <f t="shared" si="26"/>
        <v>#VALUE!</v>
      </c>
      <c r="P52" s="64">
        <f t="shared" si="27"/>
        <v>4</v>
      </c>
      <c r="Q52" s="64" t="e">
        <f t="shared" si="28"/>
        <v>#VALUE!</v>
      </c>
      <c r="R52" s="64" t="e">
        <f t="shared" si="29"/>
        <v>#VALUE!</v>
      </c>
      <c r="S52" s="64" t="str">
        <f>IFERROR(VLOOKUP(MID(N52,Q52,R52-Q52),[5]skilldef!$C:$D,2,FALSE),"-") &amp; " / " &amp; IFERROR(VLOOKUP(MID(N52,O52,P52-O52),[5]skilldef!$A:$B,2,FALSE),"-")</f>
        <v>- / -</v>
      </c>
      <c r="T52" s="48" t="str">
        <f t="shared" si="30"/>
        <v>none</v>
      </c>
      <c r="U52" s="64" t="e">
        <f t="shared" si="31"/>
        <v>#VALUE!</v>
      </c>
      <c r="V52" s="64">
        <f t="shared" si="32"/>
        <v>4</v>
      </c>
      <c r="W52" s="64" t="e">
        <f t="shared" si="33"/>
        <v>#VALUE!</v>
      </c>
      <c r="X52" s="64" t="e">
        <f t="shared" si="34"/>
        <v>#VALUE!</v>
      </c>
      <c r="Y52" s="64" t="str">
        <f>IFERROR(VLOOKUP(MID(T52,W52,X52-W52),[5]skilldef!$C:$D,2,FALSE),"-") &amp; " / " &amp; IFERROR(VLOOKUP(MID(T52,U52,V52-U52),[5]skilldef!$A:$B,2,FALSE),"-")</f>
        <v>- / -</v>
      </c>
      <c r="Z52" s="50"/>
      <c r="AA52" s="52"/>
      <c r="AB52" s="50"/>
    </row>
    <row r="53" spans="1:28" ht="41" customHeight="1" x14ac:dyDescent="0.15">
      <c r="A53" s="119">
        <v>40039524</v>
      </c>
      <c r="B53" s="120" t="s">
        <v>341</v>
      </c>
      <c r="C53" s="124">
        <v>3</v>
      </c>
      <c r="D53" s="124" t="s">
        <v>126</v>
      </c>
      <c r="E53" s="125" t="s">
        <v>289</v>
      </c>
      <c r="F53" s="125" t="s">
        <v>264</v>
      </c>
      <c r="G53" s="64" t="str">
        <f t="shared" si="19"/>
        <v>[effect:enhance_enemy, target:myself, turn:-1, status:defense, val:2000, calc:add, animation:enemy_enhance_defense]</v>
      </c>
      <c r="H53" s="64">
        <f t="shared" si="20"/>
        <v>9</v>
      </c>
      <c r="I53" s="64">
        <f t="shared" si="21"/>
        <v>22</v>
      </c>
      <c r="J53" s="64">
        <f t="shared" si="22"/>
        <v>31</v>
      </c>
      <c r="K53" s="64">
        <f t="shared" si="23"/>
        <v>37</v>
      </c>
      <c r="L53" s="64" t="str">
        <f>IFERROR(VLOOKUP(MID(G53,J53,K53-J53),[5]skilldef!$C:$D,2,FALSE),"-") &amp; " / " &amp; IFERROR(VLOOKUP(MID(G53,H53,I53-H53),[5]skilldef!$A:$B,2,FALSE),"-")</f>
        <v>自分自身に / ステータス強化</v>
      </c>
      <c r="M53" s="64" t="str">
        <f t="shared" si="24"/>
        <v>none</v>
      </c>
      <c r="N53" s="48" t="str">
        <f>IFERROR(LEFT(M53,FIND("],",M53)+S81),M53)</f>
        <v>none</v>
      </c>
      <c r="O53" s="64" t="e">
        <f t="shared" si="26"/>
        <v>#VALUE!</v>
      </c>
      <c r="P53" s="64">
        <f t="shared" si="27"/>
        <v>4</v>
      </c>
      <c r="Q53" s="64" t="e">
        <f t="shared" si="28"/>
        <v>#VALUE!</v>
      </c>
      <c r="R53" s="64" t="e">
        <f t="shared" si="29"/>
        <v>#VALUE!</v>
      </c>
      <c r="S53" s="64" t="str">
        <f>IFERROR(VLOOKUP(MID(N53,Q53,R53-Q53),[5]skilldef!$C:$D,2,FALSE),"-") &amp; " / " &amp; IFERROR(VLOOKUP(MID(N53,O53,P53-O53),[5]skilldef!$A:$B,2,FALSE),"-")</f>
        <v>- / -</v>
      </c>
      <c r="T53" s="48" t="str">
        <f t="shared" si="30"/>
        <v>none</v>
      </c>
      <c r="U53" s="64" t="e">
        <f t="shared" si="31"/>
        <v>#VALUE!</v>
      </c>
      <c r="V53" s="64">
        <f t="shared" si="32"/>
        <v>4</v>
      </c>
      <c r="W53" s="64" t="e">
        <f t="shared" si="33"/>
        <v>#VALUE!</v>
      </c>
      <c r="X53" s="64" t="e">
        <f t="shared" si="34"/>
        <v>#VALUE!</v>
      </c>
      <c r="Y53" s="64" t="str">
        <f>IFERROR(VLOOKUP(MID(T53,W53,X53-W53),[5]skilldef!$C:$D,2,FALSE),"-") &amp; " / " &amp; IFERROR(VLOOKUP(MID(T53,U53,V53-U53),[5]skilldef!$A:$B,2,FALSE),"-")</f>
        <v>- / -</v>
      </c>
      <c r="Z53" s="50"/>
      <c r="AA53" s="52"/>
      <c r="AB53" s="50"/>
    </row>
    <row r="54" spans="1:28" ht="41" customHeight="1" x14ac:dyDescent="0.15">
      <c r="A54" s="119">
        <v>40039525</v>
      </c>
      <c r="B54" s="128" t="s">
        <v>367</v>
      </c>
      <c r="C54" s="124">
        <v>3</v>
      </c>
      <c r="D54" s="124" t="s">
        <v>126</v>
      </c>
      <c r="E54" s="125" t="s">
        <v>369</v>
      </c>
      <c r="F54" s="125" t="s">
        <v>308</v>
      </c>
      <c r="G54" s="64" t="str">
        <f t="shared" ref="G54" si="50">IFERROR(LEFT(B54,FIND("],",B54)),B54)</f>
        <v>[effect:enemy_message, val1:1.5, val2:2.3, dead_type:escape]</v>
      </c>
      <c r="H54" s="64">
        <f t="shared" ref="H54" si="51">FIND("effect:",G54)+7</f>
        <v>9</v>
      </c>
      <c r="I54" s="64">
        <f t="shared" ref="I54" si="52">IFERROR(FIND(",",G54),LEN(G54))</f>
        <v>22</v>
      </c>
      <c r="J54" s="64" t="e">
        <f t="shared" ref="J54" si="53">FIND("target:",G54)+7</f>
        <v>#VALUE!</v>
      </c>
      <c r="K54" s="64">
        <f t="shared" ref="K54" si="54">FIND(",",G54,I54+1)</f>
        <v>32</v>
      </c>
      <c r="L54" s="64" t="str">
        <f>IFERROR(VLOOKUP(MID(G54,J54,K54-J54),[5]skilldef!$C:$D,2,FALSE),"-") &amp; " / " &amp; IFERROR(VLOOKUP(MID(G54,H54,I54-H54),[5]skilldef!$A:$B,2,FALSE),"-")</f>
        <v>- / -</v>
      </c>
      <c r="M54" s="64" t="str">
        <f t="shared" ref="M54" si="55">IFERROR(RIGHT(B54,LEN(B54)-FIND("],",B54)-1),"none")</f>
        <v>none</v>
      </c>
      <c r="N54" s="48" t="str">
        <f>IFERROR(LEFT(M54,FIND("],",M54)+S82),M54)</f>
        <v>none</v>
      </c>
      <c r="O54" s="64" t="e">
        <f t="shared" ref="O54" si="56">FIND("effect:",N54)+7</f>
        <v>#VALUE!</v>
      </c>
      <c r="P54" s="64">
        <f t="shared" ref="P54" si="57">IFERROR(FIND(",",N54),LEN(N54))</f>
        <v>4</v>
      </c>
      <c r="Q54" s="64" t="e">
        <f t="shared" ref="Q54" si="58">FIND("target:",N54)+7</f>
        <v>#VALUE!</v>
      </c>
      <c r="R54" s="64" t="e">
        <f t="shared" ref="R54" si="59">FIND(",",N54,P54+1)</f>
        <v>#VALUE!</v>
      </c>
      <c r="S54" s="64" t="str">
        <f>IFERROR(VLOOKUP(MID(N54,Q54,R54-Q54),[5]skilldef!$C:$D,2,FALSE),"-") &amp; " / " &amp; IFERROR(VLOOKUP(MID(N54,O54,P54-O54),[5]skilldef!$A:$B,2,FALSE),"-")</f>
        <v>- / -</v>
      </c>
      <c r="T54" s="48" t="str">
        <f t="shared" ref="T54" si="60">IFERROR(RIGHT(M54,LEN(M54)-FIND("],",M54)-1),"none")</f>
        <v>none</v>
      </c>
      <c r="U54" s="64" t="e">
        <f t="shared" ref="U54" si="61">FIND("effect:",T54)+7</f>
        <v>#VALUE!</v>
      </c>
      <c r="V54" s="64">
        <f t="shared" ref="V54" si="62">IFERROR(FIND(",",T54),LEN(T54))</f>
        <v>4</v>
      </c>
      <c r="W54" s="64" t="e">
        <f t="shared" ref="W54" si="63">FIND("target:",T54)+7</f>
        <v>#VALUE!</v>
      </c>
      <c r="X54" s="64" t="e">
        <f t="shared" ref="X54" si="64">FIND(",",T54,V54+1)</f>
        <v>#VALUE!</v>
      </c>
      <c r="Y54" s="64" t="str">
        <f>IFERROR(VLOOKUP(MID(T54,W54,X54-W54),[5]skilldef!$C:$D,2,FALSE),"-") &amp; " / " &amp; IFERROR(VLOOKUP(MID(T54,U54,V54-U54),[5]skilldef!$A:$B,2,FALSE),"-")</f>
        <v>- / -</v>
      </c>
      <c r="Z54" s="50"/>
      <c r="AA54" s="52"/>
      <c r="AB54" s="50"/>
    </row>
    <row r="55" spans="1:28" ht="41" customHeight="1" x14ac:dyDescent="0.15">
      <c r="A55" s="105">
        <v>40039541</v>
      </c>
      <c r="B55" s="120" t="s">
        <v>401</v>
      </c>
      <c r="C55" s="124">
        <v>3</v>
      </c>
      <c r="D55" s="124" t="s">
        <v>126</v>
      </c>
      <c r="E55" s="51" t="s">
        <v>315</v>
      </c>
      <c r="F55" s="125" t="s">
        <v>427</v>
      </c>
      <c r="G55" s="64" t="str">
        <f t="shared" ref="G55:G79" si="65">IFERROR(LEFT(B55,FIND("],",B55)),B55)</f>
        <v>[effect:force_change_block, new_block:jammer, target:block_red, ignore01:crash, ignore02:crack_bomb, ignore03:jammer, count:0, val:0]</v>
      </c>
      <c r="H55" s="64">
        <f t="shared" ref="H55:H79" si="66">FIND("effect:",G55)+7</f>
        <v>9</v>
      </c>
      <c r="I55" s="64">
        <f t="shared" ref="I55:I79" si="67">IFERROR(FIND(",",G55),LEN(G55))</f>
        <v>27</v>
      </c>
      <c r="J55" s="64">
        <f t="shared" ref="J55:J79" si="68">FIND("target:",G55)+7</f>
        <v>54</v>
      </c>
      <c r="K55" s="64">
        <f t="shared" ref="K55:K79" si="69">FIND(",",G55,I55+1)</f>
        <v>45</v>
      </c>
      <c r="L55" s="64" t="str">
        <f>IFERROR(VLOOKUP(MID(G55,J55,K55-J55),[5]skilldef!$C:$D,2,FALSE),"-") &amp; " / " &amp; IFERROR(VLOOKUP(MID(G55,H55,I55-H55),[5]skilldef!$A:$B,2,FALSE),"-")</f>
        <v>- / -</v>
      </c>
      <c r="M55" s="64" t="str">
        <f t="shared" ref="M55:M79" si="70">IFERROR(RIGHT(B55,LEN(B55)-FIND("],",B55)-1),"none")</f>
        <v xml:space="preserve">[effect:rush, count:1, val:0.9]  </v>
      </c>
      <c r="N55" s="48" t="str">
        <f>IFERROR(LEFT(M55,FIND("],",M55)+S82),M55)</f>
        <v xml:space="preserve">[effect:rush, count:1, val:0.9]  </v>
      </c>
      <c r="O55" s="64">
        <f t="shared" ref="O55:O79" si="71">FIND("effect:",N55)+7</f>
        <v>9</v>
      </c>
      <c r="P55" s="64">
        <f t="shared" ref="P55:P79" si="72">IFERROR(FIND(",",N55),LEN(N55))</f>
        <v>13</v>
      </c>
      <c r="Q55" s="64" t="e">
        <f t="shared" ref="Q55:Q79" si="73">FIND("target:",N55)+7</f>
        <v>#VALUE!</v>
      </c>
      <c r="R55" s="64">
        <f t="shared" ref="R55:R79" si="74">FIND(",",N55,P55+1)</f>
        <v>22</v>
      </c>
      <c r="S55" s="64" t="str">
        <f>IFERROR(VLOOKUP(MID(N55,Q55,R55-Q55),[5]skilldef!$C:$D,2,FALSE),"-") &amp; " / " &amp; IFERROR(VLOOKUP(MID(N55,O55,P55-O55),[5]skilldef!$A:$B,2,FALSE),"-")</f>
        <v>- / 連続攻撃</v>
      </c>
      <c r="T55" s="48" t="str">
        <f t="shared" ref="T55:T79" si="75">IFERROR(RIGHT(M55,LEN(M55)-FIND("],",M55)-1),"none")</f>
        <v>none</v>
      </c>
      <c r="U55" s="64" t="e">
        <f t="shared" ref="U55:U79" si="76">FIND("effect:",T55)+7</f>
        <v>#VALUE!</v>
      </c>
      <c r="V55" s="64">
        <f t="shared" ref="V55:V79" si="77">IFERROR(FIND(",",T55),LEN(T55))</f>
        <v>4</v>
      </c>
      <c r="W55" s="64" t="e">
        <f t="shared" ref="W55:W79" si="78">FIND("target:",T55)+7</f>
        <v>#VALUE!</v>
      </c>
      <c r="X55" s="64" t="e">
        <f t="shared" ref="X55:X79" si="79">FIND(",",T55,V55+1)</f>
        <v>#VALUE!</v>
      </c>
      <c r="Y55" s="64" t="str">
        <f>IFERROR(VLOOKUP(MID(T55,W55,X55-W55),[5]skilldef!$C:$D,2,FALSE),"-") &amp; " / " &amp; IFERROR(VLOOKUP(MID(T55,U55,V55-U55),[5]skilldef!$A:$B,2,FALSE),"-")</f>
        <v>- / -</v>
      </c>
      <c r="Z55" s="50"/>
      <c r="AA55" s="52"/>
      <c r="AB55" s="50"/>
    </row>
    <row r="56" spans="1:28" ht="41" customHeight="1" x14ac:dyDescent="0.15">
      <c r="A56" s="105">
        <v>40039542</v>
      </c>
      <c r="B56" s="120" t="s">
        <v>343</v>
      </c>
      <c r="C56" s="124">
        <v>3</v>
      </c>
      <c r="D56" s="50" t="s">
        <v>126</v>
      </c>
      <c r="E56" s="51" t="s">
        <v>292</v>
      </c>
      <c r="F56" s="51" t="s">
        <v>266</v>
      </c>
      <c r="G56" s="64" t="str">
        <f t="shared" si="65"/>
        <v>[effect:enhance_enemy, target:myself, turn:-1, status:attack, val:0.3, calc:mul, animation:enemy_enhance_attack]</v>
      </c>
      <c r="H56" s="64">
        <f t="shared" si="66"/>
        <v>9</v>
      </c>
      <c r="I56" s="64">
        <f t="shared" si="67"/>
        <v>22</v>
      </c>
      <c r="J56" s="64">
        <f t="shared" si="68"/>
        <v>31</v>
      </c>
      <c r="K56" s="64">
        <f t="shared" si="69"/>
        <v>37</v>
      </c>
      <c r="L56" s="64" t="str">
        <f>IFERROR(VLOOKUP(MID(G56,J56,K56-J56),[5]skilldef!$C:$D,2,FALSE),"-") &amp; " / " &amp; IFERROR(VLOOKUP(MID(G56,H56,I56-H56),[5]skilldef!$A:$B,2,FALSE),"-")</f>
        <v>自分自身に / ステータス強化</v>
      </c>
      <c r="M56" s="64" t="str">
        <f t="shared" si="70"/>
        <v>none</v>
      </c>
      <c r="N56" s="48" t="str">
        <f>IFERROR(LEFT(M56,FIND("],",M56)+S83),M56)</f>
        <v>none</v>
      </c>
      <c r="O56" s="64" t="e">
        <f t="shared" si="71"/>
        <v>#VALUE!</v>
      </c>
      <c r="P56" s="64">
        <f t="shared" si="72"/>
        <v>4</v>
      </c>
      <c r="Q56" s="64" t="e">
        <f t="shared" si="73"/>
        <v>#VALUE!</v>
      </c>
      <c r="R56" s="64" t="e">
        <f t="shared" si="74"/>
        <v>#VALUE!</v>
      </c>
      <c r="S56" s="64" t="str">
        <f>IFERROR(VLOOKUP(MID(N56,Q56,R56-Q56),[5]skilldef!$C:$D,2,FALSE),"-") &amp; " / " &amp; IFERROR(VLOOKUP(MID(N56,O56,P56-O56),[5]skilldef!$A:$B,2,FALSE),"-")</f>
        <v>- / -</v>
      </c>
      <c r="T56" s="48" t="str">
        <f t="shared" si="75"/>
        <v>none</v>
      </c>
      <c r="U56" s="64" t="e">
        <f t="shared" si="76"/>
        <v>#VALUE!</v>
      </c>
      <c r="V56" s="64">
        <f t="shared" si="77"/>
        <v>4</v>
      </c>
      <c r="W56" s="64" t="e">
        <f t="shared" si="78"/>
        <v>#VALUE!</v>
      </c>
      <c r="X56" s="64" t="e">
        <f t="shared" si="79"/>
        <v>#VALUE!</v>
      </c>
      <c r="Y56" s="64" t="str">
        <f>IFERROR(VLOOKUP(MID(T56,W56,X56-W56),[5]skilldef!$C:$D,2,FALSE),"-") &amp; " / " &amp; IFERROR(VLOOKUP(MID(T56,U56,V56-U56),[5]skilldef!$A:$B,2,FALSE),"-")</f>
        <v>- / -</v>
      </c>
      <c r="Z56" s="50"/>
      <c r="AA56" s="52"/>
      <c r="AB56" s="50"/>
    </row>
    <row r="57" spans="1:28" ht="41" customHeight="1" x14ac:dyDescent="0.15">
      <c r="A57" s="105">
        <v>40039543</v>
      </c>
      <c r="B57" s="120" t="s">
        <v>344</v>
      </c>
      <c r="C57" s="124">
        <v>3</v>
      </c>
      <c r="D57" s="50" t="s">
        <v>126</v>
      </c>
      <c r="E57" s="51" t="s">
        <v>291</v>
      </c>
      <c r="F57" s="51" t="s">
        <v>265</v>
      </c>
      <c r="G57" s="64" t="str">
        <f t="shared" si="65"/>
        <v>[effect:enhance_enemy, target:myself, turn:-1, status:defense, val:2000, calc:add, animation:enemy_enhance_defense]</v>
      </c>
      <c r="H57" s="64">
        <f t="shared" si="66"/>
        <v>9</v>
      </c>
      <c r="I57" s="64">
        <f t="shared" si="67"/>
        <v>22</v>
      </c>
      <c r="J57" s="64">
        <f t="shared" si="68"/>
        <v>31</v>
      </c>
      <c r="K57" s="64">
        <f t="shared" si="69"/>
        <v>37</v>
      </c>
      <c r="L57" s="64" t="str">
        <f>IFERROR(VLOOKUP(MID(G57,J57,K57-J57),[5]skilldef!$C:$D,2,FALSE),"-") &amp; " / " &amp; IFERROR(VLOOKUP(MID(G57,H57,I57-H57),[5]skilldef!$A:$B,2,FALSE),"-")</f>
        <v>自分自身に / ステータス強化</v>
      </c>
      <c r="M57" s="64" t="str">
        <f t="shared" si="70"/>
        <v>none</v>
      </c>
      <c r="N57" s="48" t="str">
        <f>IFERROR(LEFT(M57,FIND("],",M57)+S84),M57)</f>
        <v>none</v>
      </c>
      <c r="O57" s="64" t="e">
        <f t="shared" si="71"/>
        <v>#VALUE!</v>
      </c>
      <c r="P57" s="64">
        <f t="shared" si="72"/>
        <v>4</v>
      </c>
      <c r="Q57" s="64" t="e">
        <f t="shared" si="73"/>
        <v>#VALUE!</v>
      </c>
      <c r="R57" s="64" t="e">
        <f t="shared" si="74"/>
        <v>#VALUE!</v>
      </c>
      <c r="S57" s="64" t="str">
        <f>IFERROR(VLOOKUP(MID(N57,Q57,R57-Q57),[5]skilldef!$C:$D,2,FALSE),"-") &amp; " / " &amp; IFERROR(VLOOKUP(MID(N57,O57,P57-O57),[5]skilldef!$A:$B,2,FALSE),"-")</f>
        <v>- / -</v>
      </c>
      <c r="T57" s="48" t="str">
        <f t="shared" si="75"/>
        <v>none</v>
      </c>
      <c r="U57" s="64" t="e">
        <f t="shared" si="76"/>
        <v>#VALUE!</v>
      </c>
      <c r="V57" s="64">
        <f t="shared" si="77"/>
        <v>4</v>
      </c>
      <c r="W57" s="64" t="e">
        <f t="shared" si="78"/>
        <v>#VALUE!</v>
      </c>
      <c r="X57" s="64" t="e">
        <f t="shared" si="79"/>
        <v>#VALUE!</v>
      </c>
      <c r="Y57" s="64" t="str">
        <f>IFERROR(VLOOKUP(MID(T57,W57,X57-W57),[5]skilldef!$C:$D,2,FALSE),"-") &amp; " / " &amp; IFERROR(VLOOKUP(MID(T57,U57,V57-U57),[5]skilldef!$A:$B,2,FALSE),"-")</f>
        <v>- / -</v>
      </c>
      <c r="Z57" s="50"/>
      <c r="AA57" s="52"/>
      <c r="AB57" s="50"/>
    </row>
    <row r="58" spans="1:28" ht="41" customHeight="1" x14ac:dyDescent="0.15">
      <c r="A58" s="105">
        <v>40039544</v>
      </c>
      <c r="B58" s="128" t="s">
        <v>368</v>
      </c>
      <c r="C58" s="124">
        <v>3</v>
      </c>
      <c r="D58" s="50" t="s">
        <v>126</v>
      </c>
      <c r="E58" s="51" t="s">
        <v>392</v>
      </c>
      <c r="F58" s="51" t="s">
        <v>309</v>
      </c>
      <c r="G58" s="64" t="str">
        <f t="shared" ref="G58" si="80">IFERROR(LEFT(B58,FIND("],",B58)),B58)</f>
        <v>[effect:enemy_message, val1:1.5, val2:2.3, dead_type:escape]</v>
      </c>
      <c r="H58" s="64">
        <f t="shared" ref="H58" si="81">FIND("effect:",G58)+7</f>
        <v>9</v>
      </c>
      <c r="I58" s="64">
        <f t="shared" ref="I58" si="82">IFERROR(FIND(",",G58),LEN(G58))</f>
        <v>22</v>
      </c>
      <c r="J58" s="64" t="e">
        <f t="shared" ref="J58" si="83">FIND("target:",G58)+7</f>
        <v>#VALUE!</v>
      </c>
      <c r="K58" s="64">
        <f t="shared" ref="K58" si="84">FIND(",",G58,I58+1)</f>
        <v>32</v>
      </c>
      <c r="L58" s="64" t="str">
        <f>IFERROR(VLOOKUP(MID(G58,J58,K58-J58),[5]skilldef!$C:$D,2,FALSE),"-") &amp; " / " &amp; IFERROR(VLOOKUP(MID(G58,H58,I58-H58),[5]skilldef!$A:$B,2,FALSE),"-")</f>
        <v>- / -</v>
      </c>
      <c r="M58" s="64" t="str">
        <f t="shared" ref="M58" si="85">IFERROR(RIGHT(B58,LEN(B58)-FIND("],",B58)-1),"none")</f>
        <v>none</v>
      </c>
      <c r="N58" s="48" t="str">
        <f>IFERROR(LEFT(M58,FIND("],",M58)+S85),M58)</f>
        <v>none</v>
      </c>
      <c r="O58" s="64" t="e">
        <f t="shared" ref="O58" si="86">FIND("effect:",N58)+7</f>
        <v>#VALUE!</v>
      </c>
      <c r="P58" s="64">
        <f t="shared" ref="P58" si="87">IFERROR(FIND(",",N58),LEN(N58))</f>
        <v>4</v>
      </c>
      <c r="Q58" s="64" t="e">
        <f t="shared" ref="Q58" si="88">FIND("target:",N58)+7</f>
        <v>#VALUE!</v>
      </c>
      <c r="R58" s="64" t="e">
        <f t="shared" ref="R58" si="89">FIND(",",N58,P58+1)</f>
        <v>#VALUE!</v>
      </c>
      <c r="S58" s="64" t="str">
        <f>IFERROR(VLOOKUP(MID(N58,Q58,R58-Q58),[5]skilldef!$C:$D,2,FALSE),"-") &amp; " / " &amp; IFERROR(VLOOKUP(MID(N58,O58,P58-O58),[5]skilldef!$A:$B,2,FALSE),"-")</f>
        <v>- / -</v>
      </c>
      <c r="T58" s="48" t="str">
        <f t="shared" ref="T58" si="90">IFERROR(RIGHT(M58,LEN(M58)-FIND("],",M58)-1),"none")</f>
        <v>none</v>
      </c>
      <c r="U58" s="64" t="e">
        <f t="shared" ref="U58" si="91">FIND("effect:",T58)+7</f>
        <v>#VALUE!</v>
      </c>
      <c r="V58" s="64">
        <f t="shared" ref="V58" si="92">IFERROR(FIND(",",T58),LEN(T58))</f>
        <v>4</v>
      </c>
      <c r="W58" s="64" t="e">
        <f t="shared" ref="W58" si="93">FIND("target:",T58)+7</f>
        <v>#VALUE!</v>
      </c>
      <c r="X58" s="64" t="e">
        <f t="shared" ref="X58" si="94">FIND(",",T58,V58+1)</f>
        <v>#VALUE!</v>
      </c>
      <c r="Y58" s="64" t="str">
        <f>IFERROR(VLOOKUP(MID(T58,W58,X58-W58),[5]skilldef!$C:$D,2,FALSE),"-") &amp; " / " &amp; IFERROR(VLOOKUP(MID(T58,U58,V58-U58),[5]skilldef!$A:$B,2,FALSE),"-")</f>
        <v>- / -</v>
      </c>
      <c r="Z58" s="50"/>
      <c r="AA58" s="52"/>
      <c r="AB58" s="50"/>
    </row>
    <row r="59" spans="1:28" ht="41" customHeight="1" x14ac:dyDescent="0.15">
      <c r="A59" s="119">
        <v>40039601</v>
      </c>
      <c r="B59" s="47" t="s">
        <v>406</v>
      </c>
      <c r="C59" s="124">
        <v>3</v>
      </c>
      <c r="D59" s="50" t="s">
        <v>126</v>
      </c>
      <c r="E59" s="51" t="s">
        <v>284</v>
      </c>
      <c r="F59" s="51" t="s">
        <v>317</v>
      </c>
      <c r="G59" s="64" t="str">
        <f t="shared" si="65"/>
        <v>[effect:force_change_block, new_block:damage, target:block_red, ignore01:crash, ignore02:crack_bomb, ignore03:jammer, ignore04:damage, count:0, val:0.15]</v>
      </c>
      <c r="H59" s="64">
        <f t="shared" si="66"/>
        <v>9</v>
      </c>
      <c r="I59" s="64">
        <f t="shared" si="67"/>
        <v>27</v>
      </c>
      <c r="J59" s="64">
        <f t="shared" si="68"/>
        <v>54</v>
      </c>
      <c r="K59" s="64">
        <f t="shared" si="69"/>
        <v>45</v>
      </c>
      <c r="L59" s="64" t="str">
        <f>IFERROR(VLOOKUP(MID(G59,J59,K59-J59),[5]skilldef!$C:$D,2,FALSE),"-") &amp; " / " &amp; IFERROR(VLOOKUP(MID(G59,H59,I59-H59),[5]skilldef!$A:$B,2,FALSE),"-")</f>
        <v>- / -</v>
      </c>
      <c r="M59" s="64" t="str">
        <f t="shared" si="70"/>
        <v>[effect:fix_speed, target:myself, turn:2]</v>
      </c>
      <c r="N59" s="48" t="str">
        <f t="shared" ref="N59" si="95">IFERROR(LEFT(M59,FIND("],",M59)+S85),M59)</f>
        <v>[effect:fix_speed, target:myself, turn:2]</v>
      </c>
      <c r="O59" s="64">
        <f t="shared" si="71"/>
        <v>9</v>
      </c>
      <c r="P59" s="64">
        <f t="shared" si="72"/>
        <v>18</v>
      </c>
      <c r="Q59" s="64">
        <f t="shared" si="73"/>
        <v>27</v>
      </c>
      <c r="R59" s="64">
        <f t="shared" si="74"/>
        <v>33</v>
      </c>
      <c r="S59" s="64" t="str">
        <f>IFERROR(VLOOKUP(MID(N59,Q59,R59-Q59),[5]skilldef!$C:$D,2,FALSE),"-") &amp; " / " &amp; IFERROR(VLOOKUP(MID(N59,O59,P59-O59),[5]skilldef!$A:$B,2,FALSE),"-")</f>
        <v>自分自身に / 行動値設定</v>
      </c>
      <c r="T59" s="48" t="str">
        <f t="shared" si="75"/>
        <v>none</v>
      </c>
      <c r="U59" s="64" t="e">
        <f t="shared" si="76"/>
        <v>#VALUE!</v>
      </c>
      <c r="V59" s="64">
        <f t="shared" si="77"/>
        <v>4</v>
      </c>
      <c r="W59" s="64" t="e">
        <f t="shared" si="78"/>
        <v>#VALUE!</v>
      </c>
      <c r="X59" s="64" t="e">
        <f t="shared" si="79"/>
        <v>#VALUE!</v>
      </c>
      <c r="Y59" s="64" t="str">
        <f>IFERROR(VLOOKUP(MID(T59,W59,X59-W59),[5]skilldef!$C:$D,2,FALSE),"-") &amp; " / " &amp; IFERROR(VLOOKUP(MID(T59,U59,V59-U59),[5]skilldef!$A:$B,2,FALSE),"-")</f>
        <v>- / -</v>
      </c>
      <c r="Z59" s="50"/>
      <c r="AA59" s="52"/>
      <c r="AB59" s="50"/>
    </row>
    <row r="60" spans="1:28" ht="41" customHeight="1" x14ac:dyDescent="0.15">
      <c r="A60" s="119">
        <v>40039602</v>
      </c>
      <c r="B60" s="47" t="s">
        <v>436</v>
      </c>
      <c r="C60" s="124">
        <v>3</v>
      </c>
      <c r="D60" s="50" t="s">
        <v>126</v>
      </c>
      <c r="E60" s="51" t="s">
        <v>376</v>
      </c>
      <c r="F60" s="51" t="s">
        <v>387</v>
      </c>
      <c r="G60" s="64" t="str">
        <f t="shared" ref="G60:G66" si="96">IFERROR(LEFT(B60,FIND("],",B60)),B60)</f>
        <v>[effect:enemy_message, val1:1.5, val2:1.8]</v>
      </c>
      <c r="H60" s="64">
        <f t="shared" ref="H60:H66" si="97">FIND("effect:",G60)+7</f>
        <v>9</v>
      </c>
      <c r="I60" s="64">
        <f t="shared" ref="I60:I66" si="98">IFERROR(FIND(",",G60),LEN(G60))</f>
        <v>22</v>
      </c>
      <c r="J60" s="64" t="e">
        <f t="shared" ref="J60:J66" si="99">FIND("target:",G60)+7</f>
        <v>#VALUE!</v>
      </c>
      <c r="K60" s="64">
        <f t="shared" ref="K60:K66" si="100">FIND(",",G60,I60+1)</f>
        <v>32</v>
      </c>
      <c r="L60" s="64" t="str">
        <f>IFERROR(VLOOKUP(MID(G60,J60,K60-J60),[5]skilldef!$C:$D,2,FALSE),"-") &amp; " / " &amp; IFERROR(VLOOKUP(MID(G60,H60,I60-H60),[5]skilldef!$A:$B,2,FALSE),"-")</f>
        <v>- / -</v>
      </c>
      <c r="M60" s="64" t="str">
        <f t="shared" ref="M60:M66" si="101">IFERROR(RIGHT(B60,LEN(B60)-FIND("],",B60)-1),"none")</f>
        <v>[effect:force_change_block, new_block:jammer, target:block_all, ignore01:block_positive, ignore02:block_negative, count:10, val:0],[effect:spread, val:0.2]</v>
      </c>
      <c r="N60" s="48" t="str">
        <f>IFERROR(LEFT(M60,FIND("],",M60)+S87),M60)</f>
        <v>[effect:force_change_block, new_block:jammer, target:block_all, ignore01:block_positive, ignore02:block_negative, count:10, val:0],[effect:spread, val:0.2]</v>
      </c>
      <c r="O60" s="64">
        <f t="shared" ref="O60:O66" si="102">FIND("effect:",N60)+7</f>
        <v>9</v>
      </c>
      <c r="P60" s="64">
        <f t="shared" ref="P60:P66" si="103">IFERROR(FIND(",",N60),LEN(N60))</f>
        <v>27</v>
      </c>
      <c r="Q60" s="64">
        <f t="shared" ref="Q60:Q66" si="104">FIND("target:",N60)+7</f>
        <v>54</v>
      </c>
      <c r="R60" s="64">
        <f t="shared" ref="R60:R66" si="105">FIND(",",N60,P60+1)</f>
        <v>45</v>
      </c>
      <c r="S60" s="64" t="str">
        <f>IFERROR(VLOOKUP(MID(N60,Q60,R60-Q60),[5]skilldef!$C:$D,2,FALSE),"-") &amp; " / " &amp; IFERROR(VLOOKUP(MID(N60,O60,P60-O60),[5]skilldef!$A:$B,2,FALSE),"-")</f>
        <v>- / -</v>
      </c>
      <c r="T60" s="48" t="str">
        <f t="shared" ref="T60:T66" si="106">IFERROR(RIGHT(M60,LEN(M60)-FIND("],",M60)-1),"none")</f>
        <v>[effect:spread, val:0.2]</v>
      </c>
      <c r="U60" s="64">
        <f t="shared" ref="U60:U66" si="107">FIND("effect:",T60)+7</f>
        <v>9</v>
      </c>
      <c r="V60" s="64">
        <f t="shared" ref="V60:V66" si="108">IFERROR(FIND(",",T60),LEN(T60))</f>
        <v>15</v>
      </c>
      <c r="W60" s="64" t="e">
        <f t="shared" ref="W60:W66" si="109">FIND("target:",T60)+7</f>
        <v>#VALUE!</v>
      </c>
      <c r="X60" s="64" t="e">
        <f t="shared" ref="X60:X66" si="110">FIND(",",T60,V60+1)</f>
        <v>#VALUE!</v>
      </c>
      <c r="Y60" s="64" t="str">
        <f>IFERROR(VLOOKUP(MID(T60,W60,X60-W60),[5]skilldef!$C:$D,2,FALSE),"-") &amp; " / " &amp; IFERROR(VLOOKUP(MID(T60,U60,V60-U60),[5]skilldef!$A:$B,2,FALSE),"-")</f>
        <v>- / 全体攻撃</v>
      </c>
      <c r="Z60" s="50"/>
      <c r="AA60" s="52"/>
      <c r="AB60" s="50"/>
    </row>
    <row r="61" spans="1:28" ht="41" customHeight="1" x14ac:dyDescent="0.15">
      <c r="A61" s="119">
        <v>40039603</v>
      </c>
      <c r="B61" s="47" t="s">
        <v>269</v>
      </c>
      <c r="C61" s="124">
        <v>3</v>
      </c>
      <c r="D61" s="50" t="s">
        <v>126</v>
      </c>
      <c r="E61" s="51" t="s">
        <v>316</v>
      </c>
      <c r="F61" s="51" t="s">
        <v>318</v>
      </c>
      <c r="G61" s="64" t="str">
        <f t="shared" si="96"/>
        <v>[effect:freq_turn, target:myself, turn:-1, val:1, animation:enemy_freq_turn]</v>
      </c>
      <c r="H61" s="64">
        <f t="shared" si="97"/>
        <v>9</v>
      </c>
      <c r="I61" s="64">
        <f t="shared" si="98"/>
        <v>18</v>
      </c>
      <c r="J61" s="64">
        <f t="shared" si="99"/>
        <v>27</v>
      </c>
      <c r="K61" s="64">
        <f t="shared" si="100"/>
        <v>33</v>
      </c>
      <c r="L61" s="64" t="str">
        <f>IFERROR(VLOOKUP(MID(G61,J61,K61-J61),[5]skilldef!$C:$D,2,FALSE),"-") &amp; " / " &amp; IFERROR(VLOOKUP(MID(G61,H61,I61-H61),[5]skilldef!$A:$B,2,FALSE),"-")</f>
        <v>自分自身に / 攻撃頻度がUP</v>
      </c>
      <c r="M61" s="64" t="str">
        <f t="shared" si="101"/>
        <v>none</v>
      </c>
      <c r="N61" s="48" t="str">
        <f>IFERROR(LEFT(M61,FIND("],",M61)+#REF!),M61)</f>
        <v>none</v>
      </c>
      <c r="O61" s="64" t="e">
        <f t="shared" si="102"/>
        <v>#VALUE!</v>
      </c>
      <c r="P61" s="64">
        <f t="shared" si="103"/>
        <v>4</v>
      </c>
      <c r="Q61" s="64" t="e">
        <f t="shared" si="104"/>
        <v>#VALUE!</v>
      </c>
      <c r="R61" s="64" t="e">
        <f t="shared" si="105"/>
        <v>#VALUE!</v>
      </c>
      <c r="S61" s="64" t="str">
        <f>IFERROR(VLOOKUP(MID(N61,Q61,R61-Q61),[5]skilldef!$C:$D,2,FALSE),"-") &amp; " / " &amp; IFERROR(VLOOKUP(MID(N61,O61,P61-O61),[5]skilldef!$A:$B,2,FALSE),"-")</f>
        <v>- / -</v>
      </c>
      <c r="T61" s="48" t="str">
        <f t="shared" si="106"/>
        <v>none</v>
      </c>
      <c r="U61" s="64" t="e">
        <f t="shared" si="107"/>
        <v>#VALUE!</v>
      </c>
      <c r="V61" s="64">
        <f t="shared" si="108"/>
        <v>4</v>
      </c>
      <c r="W61" s="64" t="e">
        <f t="shared" si="109"/>
        <v>#VALUE!</v>
      </c>
      <c r="X61" s="64" t="e">
        <f t="shared" si="110"/>
        <v>#VALUE!</v>
      </c>
      <c r="Y61" s="64" t="str">
        <f>IFERROR(VLOOKUP(MID(T61,W61,X61-W61),[5]skilldef!$C:$D,2,FALSE),"-") &amp; " / " &amp; IFERROR(VLOOKUP(MID(T61,U61,V61-U61),[5]skilldef!$A:$B,2,FALSE),"-")</f>
        <v>- / -</v>
      </c>
      <c r="Z61" s="50"/>
      <c r="AA61" s="52"/>
      <c r="AB61" s="50"/>
    </row>
    <row r="62" spans="1:28" ht="41" customHeight="1" x14ac:dyDescent="0.15">
      <c r="A62" s="119">
        <v>40039604</v>
      </c>
      <c r="B62" s="128" t="s">
        <v>360</v>
      </c>
      <c r="C62" s="124">
        <v>3</v>
      </c>
      <c r="D62" s="50" t="s">
        <v>126</v>
      </c>
      <c r="E62" s="51" t="s">
        <v>383</v>
      </c>
      <c r="F62" s="51" t="s">
        <v>375</v>
      </c>
      <c r="G62" s="64" t="str">
        <f t="shared" ref="G62" si="111">IFERROR(LEFT(B62,FIND("],",B62)),B62)</f>
        <v>[effect:enemy_message, val1:1.5, val2:2.5, dead_type:escape]</v>
      </c>
      <c r="H62" s="64">
        <f t="shared" ref="H62" si="112">FIND("effect:",G62)+7</f>
        <v>9</v>
      </c>
      <c r="I62" s="64">
        <f t="shared" ref="I62" si="113">IFERROR(FIND(",",G62),LEN(G62))</f>
        <v>22</v>
      </c>
      <c r="J62" s="64" t="e">
        <f t="shared" ref="J62" si="114">FIND("target:",G62)+7</f>
        <v>#VALUE!</v>
      </c>
      <c r="K62" s="64">
        <f t="shared" ref="K62" si="115">FIND(",",G62,I62+1)</f>
        <v>32</v>
      </c>
      <c r="L62" s="64" t="str">
        <f>IFERROR(VLOOKUP(MID(G62,J62,K62-J62),[5]skilldef!$C:$D,2,FALSE),"-") &amp; " / " &amp; IFERROR(VLOOKUP(MID(G62,H62,I62-H62),[5]skilldef!$A:$B,2,FALSE),"-")</f>
        <v>- / -</v>
      </c>
      <c r="M62" s="64" t="str">
        <f t="shared" ref="M62" si="116">IFERROR(RIGHT(B62,LEN(B62)-FIND("],",B62)-1),"none")</f>
        <v>none</v>
      </c>
      <c r="N62" s="48" t="str">
        <f>IFERROR(LEFT(M62,FIND("],",M62)+#REF!),M62)</f>
        <v>none</v>
      </c>
      <c r="O62" s="64" t="e">
        <f t="shared" ref="O62" si="117">FIND("effect:",N62)+7</f>
        <v>#VALUE!</v>
      </c>
      <c r="P62" s="64">
        <f t="shared" ref="P62" si="118">IFERROR(FIND(",",N62),LEN(N62))</f>
        <v>4</v>
      </c>
      <c r="Q62" s="64" t="e">
        <f t="shared" ref="Q62" si="119">FIND("target:",N62)+7</f>
        <v>#VALUE!</v>
      </c>
      <c r="R62" s="64" t="e">
        <f t="shared" ref="R62" si="120">FIND(",",N62,P62+1)</f>
        <v>#VALUE!</v>
      </c>
      <c r="S62" s="64" t="str">
        <f>IFERROR(VLOOKUP(MID(N62,Q62,R62-Q62),[5]skilldef!$C:$D,2,FALSE),"-") &amp; " / " &amp; IFERROR(VLOOKUP(MID(N62,O62,P62-O62),[5]skilldef!$A:$B,2,FALSE),"-")</f>
        <v>- / -</v>
      </c>
      <c r="T62" s="48" t="str">
        <f t="shared" ref="T62" si="121">IFERROR(RIGHT(M62,LEN(M62)-FIND("],",M62)-1),"none")</f>
        <v>none</v>
      </c>
      <c r="U62" s="64" t="e">
        <f t="shared" ref="U62" si="122">FIND("effect:",T62)+7</f>
        <v>#VALUE!</v>
      </c>
      <c r="V62" s="64">
        <f t="shared" ref="V62" si="123">IFERROR(FIND(",",T62),LEN(T62))</f>
        <v>4</v>
      </c>
      <c r="W62" s="64" t="e">
        <f t="shared" ref="W62" si="124">FIND("target:",T62)+7</f>
        <v>#VALUE!</v>
      </c>
      <c r="X62" s="64" t="e">
        <f t="shared" ref="X62" si="125">FIND(",",T62,V62+1)</f>
        <v>#VALUE!</v>
      </c>
      <c r="Y62" s="64" t="str">
        <f>IFERROR(VLOOKUP(MID(T62,W62,X62-W62),[5]skilldef!$C:$D,2,FALSE),"-") &amp; " / " &amp; IFERROR(VLOOKUP(MID(T62,U62,V62-U62),[5]skilldef!$A:$B,2,FALSE),"-")</f>
        <v>- / -</v>
      </c>
      <c r="Z62" s="50"/>
      <c r="AA62" s="52"/>
      <c r="AB62" s="50"/>
    </row>
    <row r="63" spans="1:28" ht="41" customHeight="1" x14ac:dyDescent="0.15">
      <c r="A63" s="105">
        <v>40039621</v>
      </c>
      <c r="B63" s="47" t="s">
        <v>333</v>
      </c>
      <c r="C63" s="124">
        <v>3</v>
      </c>
      <c r="D63" s="50" t="s">
        <v>126</v>
      </c>
      <c r="E63" s="51" t="s">
        <v>285</v>
      </c>
      <c r="F63" s="51" t="s">
        <v>267</v>
      </c>
      <c r="G63" s="64" t="str">
        <f t="shared" si="96"/>
        <v>[effect:damage_anti_color, target:unit_all, color:green, val1:0.4, val2:0.15]</v>
      </c>
      <c r="H63" s="64">
        <f t="shared" si="97"/>
        <v>9</v>
      </c>
      <c r="I63" s="64">
        <f t="shared" si="98"/>
        <v>26</v>
      </c>
      <c r="J63" s="64">
        <f t="shared" si="99"/>
        <v>35</v>
      </c>
      <c r="K63" s="64">
        <f t="shared" si="100"/>
        <v>43</v>
      </c>
      <c r="L63" s="64" t="str">
        <f>IFERROR(VLOOKUP(MID(G63,J63,K63-J63),[5]skilldef!$C:$D,2,FALSE),"-") &amp; " / " &amp; IFERROR(VLOOKUP(MID(G63,H63,I63-H63),[5]skilldef!$A:$B,2,FALSE),"-")</f>
        <v>味方全体に / 属性キラー</v>
      </c>
      <c r="M63" s="64" t="str">
        <f t="shared" si="101"/>
        <v>none</v>
      </c>
      <c r="N63" s="48" t="str">
        <f t="shared" ref="N63:N68" si="126">IFERROR(LEFT(M63,FIND("],",M63)+S82),M63)</f>
        <v>none</v>
      </c>
      <c r="O63" s="64" t="e">
        <f t="shared" si="102"/>
        <v>#VALUE!</v>
      </c>
      <c r="P63" s="64">
        <f t="shared" si="103"/>
        <v>4</v>
      </c>
      <c r="Q63" s="64" t="e">
        <f t="shared" si="104"/>
        <v>#VALUE!</v>
      </c>
      <c r="R63" s="64" t="e">
        <f t="shared" si="105"/>
        <v>#VALUE!</v>
      </c>
      <c r="S63" s="64" t="str">
        <f>IFERROR(VLOOKUP(MID(N63,Q63,R63-Q63),[5]skilldef!$C:$D,2,FALSE),"-") &amp; " / " &amp; IFERROR(VLOOKUP(MID(N63,O63,P63-O63),[5]skilldef!$A:$B,2,FALSE),"-")</f>
        <v>- / -</v>
      </c>
      <c r="T63" s="48" t="str">
        <f t="shared" si="106"/>
        <v>none</v>
      </c>
      <c r="U63" s="64" t="e">
        <f t="shared" si="107"/>
        <v>#VALUE!</v>
      </c>
      <c r="V63" s="64">
        <f t="shared" si="108"/>
        <v>4</v>
      </c>
      <c r="W63" s="64" t="e">
        <f t="shared" si="109"/>
        <v>#VALUE!</v>
      </c>
      <c r="X63" s="64" t="e">
        <f t="shared" si="110"/>
        <v>#VALUE!</v>
      </c>
      <c r="Y63" s="64" t="str">
        <f>IFERROR(VLOOKUP(MID(T63,W63,X63-W63),[5]skilldef!$C:$D,2,FALSE),"-") &amp; " / " &amp; IFERROR(VLOOKUP(MID(T63,U63,V63-U63),[5]skilldef!$A:$B,2,FALSE),"-")</f>
        <v>- / -</v>
      </c>
      <c r="Z63" s="50"/>
      <c r="AA63" s="52"/>
      <c r="AB63" s="50"/>
    </row>
    <row r="64" spans="1:28" ht="41" customHeight="1" x14ac:dyDescent="0.15">
      <c r="A64" s="105">
        <v>40039622</v>
      </c>
      <c r="B64" s="47" t="s">
        <v>437</v>
      </c>
      <c r="C64" s="124">
        <v>3</v>
      </c>
      <c r="D64" s="50" t="s">
        <v>126</v>
      </c>
      <c r="E64" s="51" t="s">
        <v>283</v>
      </c>
      <c r="F64" s="51" t="s">
        <v>387</v>
      </c>
      <c r="G64" s="64" t="str">
        <f t="shared" si="96"/>
        <v>[effect:force_change_block, new_block:jammer, target:block_all, ignore01:block_positive, ignore02:block_negative, count:10, val:0]</v>
      </c>
      <c r="H64" s="64">
        <f t="shared" si="97"/>
        <v>9</v>
      </c>
      <c r="I64" s="64">
        <f t="shared" si="98"/>
        <v>27</v>
      </c>
      <c r="J64" s="64">
        <f t="shared" si="99"/>
        <v>54</v>
      </c>
      <c r="K64" s="64">
        <f t="shared" si="100"/>
        <v>45</v>
      </c>
      <c r="L64" s="64" t="str">
        <f>IFERROR(VLOOKUP(MID(G64,J64,K64-J64),[5]skilldef!$C:$D,2,FALSE),"-") &amp; " / " &amp; IFERROR(VLOOKUP(MID(G64,H64,I64-H64),[5]skilldef!$A:$B,2,FALSE),"-")</f>
        <v>- / -</v>
      </c>
      <c r="M64" s="64" t="str">
        <f t="shared" si="101"/>
        <v>[effect:spread, val:0.2]</v>
      </c>
      <c r="N64" s="48" t="str">
        <f t="shared" si="126"/>
        <v>[effect:spread, val:0.2]</v>
      </c>
      <c r="O64" s="64">
        <f t="shared" si="102"/>
        <v>9</v>
      </c>
      <c r="P64" s="64">
        <f t="shared" si="103"/>
        <v>15</v>
      </c>
      <c r="Q64" s="64" t="e">
        <f t="shared" si="104"/>
        <v>#VALUE!</v>
      </c>
      <c r="R64" s="64" t="e">
        <f t="shared" si="105"/>
        <v>#VALUE!</v>
      </c>
      <c r="S64" s="64" t="str">
        <f>IFERROR(VLOOKUP(MID(N64,Q64,R64-Q64),[5]skilldef!$C:$D,2,FALSE),"-") &amp; " / " &amp; IFERROR(VLOOKUP(MID(N64,O64,P64-O64),[5]skilldef!$A:$B,2,FALSE),"-")</f>
        <v>- / 全体攻撃</v>
      </c>
      <c r="T64" s="48" t="str">
        <f t="shared" si="106"/>
        <v>none</v>
      </c>
      <c r="U64" s="64" t="e">
        <f t="shared" si="107"/>
        <v>#VALUE!</v>
      </c>
      <c r="V64" s="64">
        <f t="shared" si="108"/>
        <v>4</v>
      </c>
      <c r="W64" s="64" t="e">
        <f t="shared" si="109"/>
        <v>#VALUE!</v>
      </c>
      <c r="X64" s="64" t="e">
        <f t="shared" si="110"/>
        <v>#VALUE!</v>
      </c>
      <c r="Y64" s="64" t="str">
        <f>IFERROR(VLOOKUP(MID(T64,W64,X64-W64),[5]skilldef!$C:$D,2,FALSE),"-") &amp; " / " &amp; IFERROR(VLOOKUP(MID(T64,U64,V64-U64),[5]skilldef!$A:$B,2,FALSE),"-")</f>
        <v>- / -</v>
      </c>
      <c r="Z64" s="50"/>
      <c r="AA64" s="52"/>
      <c r="AB64" s="50"/>
    </row>
    <row r="65" spans="1:28" ht="41" customHeight="1" x14ac:dyDescent="0.15">
      <c r="A65" s="105">
        <v>40039623</v>
      </c>
      <c r="B65" s="47" t="s">
        <v>438</v>
      </c>
      <c r="C65" s="124">
        <v>3</v>
      </c>
      <c r="D65" s="50" t="s">
        <v>126</v>
      </c>
      <c r="E65" s="51" t="s">
        <v>286</v>
      </c>
      <c r="F65" s="51" t="s">
        <v>388</v>
      </c>
      <c r="G65" s="64" t="str">
        <f t="shared" si="96"/>
        <v>[effect:force_change_block, new_block:damage, target:block_all, ignore01:block_positive, ignore02:block_negative, count:5, val:0.15]</v>
      </c>
      <c r="H65" s="64">
        <f t="shared" si="97"/>
        <v>9</v>
      </c>
      <c r="I65" s="64">
        <f t="shared" si="98"/>
        <v>27</v>
      </c>
      <c r="J65" s="64">
        <f t="shared" si="99"/>
        <v>54</v>
      </c>
      <c r="K65" s="64">
        <f t="shared" si="100"/>
        <v>45</v>
      </c>
      <c r="L65" s="64" t="str">
        <f>IFERROR(VLOOKUP(MID(G65,J65,K65-J65),[5]skilldef!$C:$D,2,FALSE),"-") &amp; " / " &amp; IFERROR(VLOOKUP(MID(G65,H65,I65-H65),[5]skilldef!$A:$B,2,FALSE),"-")</f>
        <v>- / -</v>
      </c>
      <c r="M65" s="64" t="str">
        <f t="shared" si="101"/>
        <v>[effect:spread, val:0.2]</v>
      </c>
      <c r="N65" s="48" t="str">
        <f t="shared" si="126"/>
        <v>[effect:spread, val:0.2]</v>
      </c>
      <c r="O65" s="64">
        <f t="shared" si="102"/>
        <v>9</v>
      </c>
      <c r="P65" s="64">
        <f t="shared" si="103"/>
        <v>15</v>
      </c>
      <c r="Q65" s="64" t="e">
        <f t="shared" si="104"/>
        <v>#VALUE!</v>
      </c>
      <c r="R65" s="64" t="e">
        <f t="shared" si="105"/>
        <v>#VALUE!</v>
      </c>
      <c r="S65" s="64" t="str">
        <f>IFERROR(VLOOKUP(MID(N65,Q65,R65-Q65),[5]skilldef!$C:$D,2,FALSE),"-") &amp; " / " &amp; IFERROR(VLOOKUP(MID(N65,O65,P65-O65),[5]skilldef!$A:$B,2,FALSE),"-")</f>
        <v>- / 全体攻撃</v>
      </c>
      <c r="T65" s="48" t="str">
        <f t="shared" si="106"/>
        <v>none</v>
      </c>
      <c r="U65" s="64" t="e">
        <f t="shared" si="107"/>
        <v>#VALUE!</v>
      </c>
      <c r="V65" s="64">
        <f t="shared" si="108"/>
        <v>4</v>
      </c>
      <c r="W65" s="64" t="e">
        <f t="shared" si="109"/>
        <v>#VALUE!</v>
      </c>
      <c r="X65" s="64" t="e">
        <f t="shared" si="110"/>
        <v>#VALUE!</v>
      </c>
      <c r="Y65" s="64" t="str">
        <f>IFERROR(VLOOKUP(MID(T65,W65,X65-W65),[5]skilldef!$C:$D,2,FALSE),"-") &amp; " / " &amp; IFERROR(VLOOKUP(MID(T65,U65,V65-U65),[5]skilldef!$A:$B,2,FALSE),"-")</f>
        <v>- / -</v>
      </c>
      <c r="Z65" s="50"/>
      <c r="AA65" s="52"/>
      <c r="AB65" s="50"/>
    </row>
    <row r="66" spans="1:28" ht="41" customHeight="1" x14ac:dyDescent="0.15">
      <c r="A66" s="105">
        <v>40039624</v>
      </c>
      <c r="B66" s="47" t="s">
        <v>270</v>
      </c>
      <c r="C66" s="124">
        <v>3</v>
      </c>
      <c r="D66" s="50" t="s">
        <v>126</v>
      </c>
      <c r="E66" s="51" t="s">
        <v>359</v>
      </c>
      <c r="F66" s="51" t="s">
        <v>319</v>
      </c>
      <c r="G66" s="64" t="str">
        <f t="shared" si="96"/>
        <v>[effect:freq_turn, target:myself, turn:-1, val:1, animation:enemy_freq_turn]</v>
      </c>
      <c r="H66" s="64">
        <f t="shared" si="97"/>
        <v>9</v>
      </c>
      <c r="I66" s="64">
        <f t="shared" si="98"/>
        <v>18</v>
      </c>
      <c r="J66" s="64">
        <f t="shared" si="99"/>
        <v>27</v>
      </c>
      <c r="K66" s="64">
        <f t="shared" si="100"/>
        <v>33</v>
      </c>
      <c r="L66" s="64" t="str">
        <f>IFERROR(VLOOKUP(MID(G66,J66,K66-J66),[5]skilldef!$C:$D,2,FALSE),"-") &amp; " / " &amp; IFERROR(VLOOKUP(MID(G66,H66,I66-H66),[5]skilldef!$A:$B,2,FALSE),"-")</f>
        <v>自分自身に / 攻撃頻度がUP</v>
      </c>
      <c r="M66" s="64" t="str">
        <f t="shared" si="101"/>
        <v>none</v>
      </c>
      <c r="N66" s="48" t="str">
        <f t="shared" si="126"/>
        <v>none</v>
      </c>
      <c r="O66" s="64" t="e">
        <f t="shared" si="102"/>
        <v>#VALUE!</v>
      </c>
      <c r="P66" s="64">
        <f t="shared" si="103"/>
        <v>4</v>
      </c>
      <c r="Q66" s="64" t="e">
        <f t="shared" si="104"/>
        <v>#VALUE!</v>
      </c>
      <c r="R66" s="64" t="e">
        <f t="shared" si="105"/>
        <v>#VALUE!</v>
      </c>
      <c r="S66" s="64" t="str">
        <f>IFERROR(VLOOKUP(MID(N66,Q66,R66-Q66),[5]skilldef!$C:$D,2,FALSE),"-") &amp; " / " &amp; IFERROR(VLOOKUP(MID(N66,O66,P66-O66),[5]skilldef!$A:$B,2,FALSE),"-")</f>
        <v>- / -</v>
      </c>
      <c r="T66" s="48" t="str">
        <f t="shared" si="106"/>
        <v>none</v>
      </c>
      <c r="U66" s="64" t="e">
        <f t="shared" si="107"/>
        <v>#VALUE!</v>
      </c>
      <c r="V66" s="64">
        <f t="shared" si="108"/>
        <v>4</v>
      </c>
      <c r="W66" s="64" t="e">
        <f t="shared" si="109"/>
        <v>#VALUE!</v>
      </c>
      <c r="X66" s="64" t="e">
        <f t="shared" si="110"/>
        <v>#VALUE!</v>
      </c>
      <c r="Y66" s="64" t="str">
        <f>IFERROR(VLOOKUP(MID(T66,W66,X66-W66),[5]skilldef!$C:$D,2,FALSE),"-") &amp; " / " &amp; IFERROR(VLOOKUP(MID(T66,U66,V66-U66),[5]skilldef!$A:$B,2,FALSE),"-")</f>
        <v>- / -</v>
      </c>
      <c r="Z66" s="50"/>
      <c r="AA66" s="52"/>
      <c r="AB66" s="50"/>
    </row>
    <row r="67" spans="1:28" ht="41" customHeight="1" x14ac:dyDescent="0.15">
      <c r="A67" s="105">
        <v>40039625</v>
      </c>
      <c r="B67" s="128" t="s">
        <v>361</v>
      </c>
      <c r="C67" s="124">
        <v>3</v>
      </c>
      <c r="D67" s="50" t="s">
        <v>126</v>
      </c>
      <c r="E67" s="51" t="s">
        <v>395</v>
      </c>
      <c r="F67" s="51" t="s">
        <v>374</v>
      </c>
      <c r="G67" s="64" t="str">
        <f t="shared" ref="G67" si="127">IFERROR(LEFT(B67,FIND("],",B67)),B67)</f>
        <v>[effect:enemy_message, val1:1.5, val2:2.5, dead_type:escape]</v>
      </c>
      <c r="H67" s="64">
        <f t="shared" ref="H67" si="128">FIND("effect:",G67)+7</f>
        <v>9</v>
      </c>
      <c r="I67" s="64">
        <f t="shared" ref="I67" si="129">IFERROR(FIND(",",G67),LEN(G67))</f>
        <v>22</v>
      </c>
      <c r="J67" s="64" t="e">
        <f t="shared" ref="J67" si="130">FIND("target:",G67)+7</f>
        <v>#VALUE!</v>
      </c>
      <c r="K67" s="64">
        <f t="shared" ref="K67" si="131">FIND(",",G67,I67+1)</f>
        <v>32</v>
      </c>
      <c r="L67" s="64" t="str">
        <f>IFERROR(VLOOKUP(MID(G67,J67,K67-J67),[5]skilldef!$C:$D,2,FALSE),"-") &amp; " / " &amp; IFERROR(VLOOKUP(MID(G67,H67,I67-H67),[5]skilldef!$A:$B,2,FALSE),"-")</f>
        <v>- / -</v>
      </c>
      <c r="M67" s="64" t="str">
        <f t="shared" ref="M67" si="132">IFERROR(RIGHT(B67,LEN(B67)-FIND("],",B67)-1),"none")</f>
        <v>none</v>
      </c>
      <c r="N67" s="48" t="str">
        <f t="shared" si="126"/>
        <v>none</v>
      </c>
      <c r="O67" s="64" t="e">
        <f t="shared" ref="O67" si="133">FIND("effect:",N67)+7</f>
        <v>#VALUE!</v>
      </c>
      <c r="P67" s="64">
        <f t="shared" ref="P67" si="134">IFERROR(FIND(",",N67),LEN(N67))</f>
        <v>4</v>
      </c>
      <c r="Q67" s="64" t="e">
        <f t="shared" ref="Q67" si="135">FIND("target:",N67)+7</f>
        <v>#VALUE!</v>
      </c>
      <c r="R67" s="64" t="e">
        <f t="shared" ref="R67" si="136">FIND(",",N67,P67+1)</f>
        <v>#VALUE!</v>
      </c>
      <c r="S67" s="64" t="str">
        <f>IFERROR(VLOOKUP(MID(N67,Q67,R67-Q67),[5]skilldef!$C:$D,2,FALSE),"-") &amp; " / " &amp; IFERROR(VLOOKUP(MID(N67,O67,P67-O67),[5]skilldef!$A:$B,2,FALSE),"-")</f>
        <v>- / -</v>
      </c>
      <c r="T67" s="48" t="str">
        <f t="shared" ref="T67" si="137">IFERROR(RIGHT(M67,LEN(M67)-FIND("],",M67)-1),"none")</f>
        <v>none</v>
      </c>
      <c r="U67" s="64" t="e">
        <f t="shared" ref="U67" si="138">FIND("effect:",T67)+7</f>
        <v>#VALUE!</v>
      </c>
      <c r="V67" s="64">
        <f t="shared" ref="V67" si="139">IFERROR(FIND(",",T67),LEN(T67))</f>
        <v>4</v>
      </c>
      <c r="W67" s="64" t="e">
        <f t="shared" ref="W67" si="140">FIND("target:",T67)+7</f>
        <v>#VALUE!</v>
      </c>
      <c r="X67" s="64" t="e">
        <f t="shared" ref="X67" si="141">FIND(",",T67,V67+1)</f>
        <v>#VALUE!</v>
      </c>
      <c r="Y67" s="64" t="str">
        <f>IFERROR(VLOOKUP(MID(T67,W67,X67-W67),[5]skilldef!$C:$D,2,FALSE),"-") &amp; " / " &amp; IFERROR(VLOOKUP(MID(T67,U67,V67-U67),[5]skilldef!$A:$B,2,FALSE),"-")</f>
        <v>- / -</v>
      </c>
      <c r="Z67" s="50"/>
      <c r="AA67" s="52"/>
      <c r="AB67" s="50"/>
    </row>
    <row r="68" spans="1:28" ht="41" customHeight="1" x14ac:dyDescent="0.15">
      <c r="A68" s="119">
        <v>40039701</v>
      </c>
      <c r="B68" s="47" t="s">
        <v>397</v>
      </c>
      <c r="C68" s="124">
        <v>3</v>
      </c>
      <c r="D68" s="50" t="s">
        <v>126</v>
      </c>
      <c r="E68" s="51" t="s">
        <v>293</v>
      </c>
      <c r="F68" s="138" t="s">
        <v>327</v>
      </c>
      <c r="G68" s="64" t="str">
        <f t="shared" si="65"/>
        <v>[effect:enemy_message, val1:1.5, val2:2.5]</v>
      </c>
      <c r="H68" s="64">
        <f t="shared" si="66"/>
        <v>9</v>
      </c>
      <c r="I68" s="64">
        <f t="shared" si="67"/>
        <v>22</v>
      </c>
      <c r="J68" s="64" t="e">
        <f t="shared" si="68"/>
        <v>#VALUE!</v>
      </c>
      <c r="K68" s="64">
        <f t="shared" si="69"/>
        <v>32</v>
      </c>
      <c r="L68" s="64" t="str">
        <f>IFERROR(VLOOKUP(MID(G68,J68,K68-J68),[5]skilldef!$C:$D,2,FALSE),"-") &amp; " / " &amp; IFERROR(VLOOKUP(MID(G68,H68,I68-H68),[5]skilldef!$A:$B,2,FALSE),"-")</f>
        <v>- / -</v>
      </c>
      <c r="M68" s="64" t="str">
        <f t="shared" si="70"/>
        <v>[effect:drop_block, block_type:jammer, color:block_all, val:0, rate:0.07, turn:-1, animation:jammer_influence04],[effect:degrade_unit, target:unit_green, turn:-1, status:attack, val:0.8, calc:mul],[effect:fix_speed, target:myself, turn:2]</v>
      </c>
      <c r="N68" s="48" t="str">
        <f t="shared" si="126"/>
        <v>[effect:drop_block, block_type:jammer, color:block_all, val:0, rate:0.07, turn:-1, animation:jammer_influence04],[effect:degrade_unit, target:unit_green, turn:-1, status:attack, val:0.8, calc:mul],[effect:fix_speed, target:myself, turn:2]</v>
      </c>
      <c r="O68" s="64">
        <f t="shared" si="71"/>
        <v>9</v>
      </c>
      <c r="P68" s="64">
        <f t="shared" si="72"/>
        <v>19</v>
      </c>
      <c r="Q68" s="64">
        <f t="shared" si="73"/>
        <v>143</v>
      </c>
      <c r="R68" s="64">
        <f t="shared" si="74"/>
        <v>38</v>
      </c>
      <c r="S68" s="64" t="str">
        <f>IFERROR(VLOOKUP(MID(N68,Q68,R68-Q68),[5]skilldef!$C:$D,2,FALSE),"-") &amp; " / " &amp; IFERROR(VLOOKUP(MID(N68,O68,P68-O68),[5]skilldef!$A:$B,2,FALSE),"-")</f>
        <v>- / 特定ブロックの割合ドロップ</v>
      </c>
      <c r="T68" s="48" t="str">
        <f t="shared" si="75"/>
        <v>[effect:degrade_unit, target:unit_green, turn:-1, status:attack, val:0.8, calc:mul],[effect:fix_speed, target:myself, turn:2]</v>
      </c>
      <c r="U68" s="64">
        <f t="shared" si="76"/>
        <v>9</v>
      </c>
      <c r="V68" s="64">
        <f t="shared" si="77"/>
        <v>21</v>
      </c>
      <c r="W68" s="64">
        <f t="shared" si="78"/>
        <v>30</v>
      </c>
      <c r="X68" s="64">
        <f t="shared" si="79"/>
        <v>40</v>
      </c>
      <c r="Y68" s="64" t="str">
        <f>IFERROR(VLOOKUP(MID(T68,W68,X68-W68),[5]skilldef!$C:$D,2,FALSE),"-") &amp; " / " &amp; IFERROR(VLOOKUP(MID(T68,U68,V68-U68),[5]skilldef!$A:$B,2,FALSE),"-")</f>
        <v>緑の味方に / ステータスDOWN</v>
      </c>
      <c r="Z68" s="50"/>
      <c r="AA68" s="52"/>
      <c r="AB68" s="50"/>
    </row>
    <row r="69" spans="1:28" ht="41" customHeight="1" x14ac:dyDescent="0.15">
      <c r="A69" s="119">
        <v>40039702</v>
      </c>
      <c r="B69" s="47" t="s">
        <v>439</v>
      </c>
      <c r="C69" s="124">
        <v>3</v>
      </c>
      <c r="D69" s="50" t="s">
        <v>126</v>
      </c>
      <c r="E69" s="51" t="s">
        <v>298</v>
      </c>
      <c r="F69" s="51" t="s">
        <v>389</v>
      </c>
      <c r="G69" s="64" t="str">
        <f t="shared" ref="G69:G73" si="142">IFERROR(LEFT(B69,FIND("],",B69)),B69)</f>
        <v>[effect:force_change_block, new_block:damage, target:block_all, ignore01:block_positive, ignore02:block_negative, count:5, val:0.15]</v>
      </c>
      <c r="H69" s="64">
        <f t="shared" ref="H69:H73" si="143">FIND("effect:",G69)+7</f>
        <v>9</v>
      </c>
      <c r="I69" s="64">
        <f t="shared" ref="I69:I73" si="144">IFERROR(FIND(",",G69),LEN(G69))</f>
        <v>27</v>
      </c>
      <c r="J69" s="64">
        <f t="shared" ref="J69:J73" si="145">FIND("target:",G69)+7</f>
        <v>54</v>
      </c>
      <c r="K69" s="64">
        <f t="shared" ref="K69:K73" si="146">FIND(",",G69,I69+1)</f>
        <v>45</v>
      </c>
      <c r="L69" s="64" t="str">
        <f>IFERROR(VLOOKUP(MID(G69,J69,K69-J69),[5]skilldef!$C:$D,2,FALSE),"-") &amp; " / " &amp; IFERROR(VLOOKUP(MID(G69,H69,I69-H69),[5]skilldef!$A:$B,2,FALSE),"-")</f>
        <v>- / -</v>
      </c>
      <c r="M69" s="64" t="str">
        <f t="shared" ref="M69:M73" si="147">IFERROR(RIGHT(B69,LEN(B69)-FIND("],",B69)-1),"none")</f>
        <v>[effect:spread, val:0.25]</v>
      </c>
      <c r="N69" s="48" t="str">
        <f>IFERROR(LEFT(M69,FIND("],",M69)+#REF!),M69)</f>
        <v>[effect:spread, val:0.25]</v>
      </c>
      <c r="O69" s="64">
        <f t="shared" ref="O69:O73" si="148">FIND("effect:",N69)+7</f>
        <v>9</v>
      </c>
      <c r="P69" s="64">
        <f t="shared" ref="P69:P73" si="149">IFERROR(FIND(",",N69),LEN(N69))</f>
        <v>15</v>
      </c>
      <c r="Q69" s="64" t="e">
        <f t="shared" ref="Q69:Q73" si="150">FIND("target:",N69)+7</f>
        <v>#VALUE!</v>
      </c>
      <c r="R69" s="64" t="e">
        <f t="shared" ref="R69:R73" si="151">FIND(",",N69,P69+1)</f>
        <v>#VALUE!</v>
      </c>
      <c r="S69" s="64" t="str">
        <f>IFERROR(VLOOKUP(MID(N69,Q69,R69-Q69),[5]skilldef!$C:$D,2,FALSE),"-") &amp; " / " &amp; IFERROR(VLOOKUP(MID(N69,O69,P69-O69),[5]skilldef!$A:$B,2,FALSE),"-")</f>
        <v>- / 全体攻撃</v>
      </c>
      <c r="T69" s="48" t="str">
        <f t="shared" ref="T69:T73" si="152">IFERROR(RIGHT(M69,LEN(M69)-FIND("],",M69)-1),"none")</f>
        <v>none</v>
      </c>
      <c r="U69" s="64" t="e">
        <f t="shared" ref="U69:U73" si="153">FIND("effect:",T69)+7</f>
        <v>#VALUE!</v>
      </c>
      <c r="V69" s="64">
        <f t="shared" ref="V69:V73" si="154">IFERROR(FIND(",",T69),LEN(T69))</f>
        <v>4</v>
      </c>
      <c r="W69" s="64" t="e">
        <f t="shared" ref="W69:W73" si="155">FIND("target:",T69)+7</f>
        <v>#VALUE!</v>
      </c>
      <c r="X69" s="64" t="e">
        <f t="shared" ref="X69:X73" si="156">FIND(",",T69,V69+1)</f>
        <v>#VALUE!</v>
      </c>
      <c r="Y69" s="64" t="str">
        <f>IFERROR(VLOOKUP(MID(T69,W69,X69-W69),[5]skilldef!$C:$D,2,FALSE),"-") &amp; " / " &amp; IFERROR(VLOOKUP(MID(T69,U69,V69-U69),[5]skilldef!$A:$B,2,FALSE),"-")</f>
        <v>- / -</v>
      </c>
      <c r="Z69" s="50"/>
      <c r="AA69" s="52"/>
      <c r="AB69" s="50"/>
    </row>
    <row r="70" spans="1:28" ht="41" customHeight="1" x14ac:dyDescent="0.15">
      <c r="A70" s="119">
        <v>40039703</v>
      </c>
      <c r="B70" s="47" t="s">
        <v>274</v>
      </c>
      <c r="C70" s="124">
        <v>3</v>
      </c>
      <c r="D70" s="50" t="s">
        <v>126</v>
      </c>
      <c r="E70" s="51" t="s">
        <v>282</v>
      </c>
      <c r="F70" s="51" t="s">
        <v>320</v>
      </c>
      <c r="G70" s="64" t="str">
        <f t="shared" si="142"/>
        <v>[effect:freq_turn, target:myself, turn:-1, val:1, animation:enemy_freq_turn]</v>
      </c>
      <c r="H70" s="64">
        <f t="shared" si="143"/>
        <v>9</v>
      </c>
      <c r="I70" s="64">
        <f t="shared" si="144"/>
        <v>18</v>
      </c>
      <c r="J70" s="64">
        <f t="shared" si="145"/>
        <v>27</v>
      </c>
      <c r="K70" s="64">
        <f t="shared" si="146"/>
        <v>33</v>
      </c>
      <c r="L70" s="64" t="str">
        <f>IFERROR(VLOOKUP(MID(G70,J70,K70-J70),[5]skilldef!$C:$D,2,FALSE),"-") &amp; " / " &amp; IFERROR(VLOOKUP(MID(G70,H70,I70-H70),[5]skilldef!$A:$B,2,FALSE),"-")</f>
        <v>自分自身に / 攻撃頻度がUP</v>
      </c>
      <c r="M70" s="64" t="str">
        <f t="shared" si="147"/>
        <v>none</v>
      </c>
      <c r="N70" s="48" t="str">
        <f>IFERROR(LEFT(M70,FIND("],",M70)+S88),M70)</f>
        <v>none</v>
      </c>
      <c r="O70" s="64" t="e">
        <f t="shared" si="148"/>
        <v>#VALUE!</v>
      </c>
      <c r="P70" s="64">
        <f t="shared" si="149"/>
        <v>4</v>
      </c>
      <c r="Q70" s="64" t="e">
        <f t="shared" si="150"/>
        <v>#VALUE!</v>
      </c>
      <c r="R70" s="64" t="e">
        <f t="shared" si="151"/>
        <v>#VALUE!</v>
      </c>
      <c r="S70" s="64" t="str">
        <f>IFERROR(VLOOKUP(MID(N70,Q70,R70-Q70),[5]skilldef!$C:$D,2,FALSE),"-") &amp; " / " &amp; IFERROR(VLOOKUP(MID(N70,O70,P70-O70),[5]skilldef!$A:$B,2,FALSE),"-")</f>
        <v>- / -</v>
      </c>
      <c r="T70" s="48" t="str">
        <f t="shared" si="152"/>
        <v>none</v>
      </c>
      <c r="U70" s="64" t="e">
        <f t="shared" si="153"/>
        <v>#VALUE!</v>
      </c>
      <c r="V70" s="64">
        <f t="shared" si="154"/>
        <v>4</v>
      </c>
      <c r="W70" s="64" t="e">
        <f t="shared" si="155"/>
        <v>#VALUE!</v>
      </c>
      <c r="X70" s="64" t="e">
        <f t="shared" si="156"/>
        <v>#VALUE!</v>
      </c>
      <c r="Y70" s="64" t="str">
        <f>IFERROR(VLOOKUP(MID(T70,W70,X70-W70),[5]skilldef!$C:$D,2,FALSE),"-") &amp; " / " &amp; IFERROR(VLOOKUP(MID(T70,U70,V70-U70),[5]skilldef!$A:$B,2,FALSE),"-")</f>
        <v>- / -</v>
      </c>
      <c r="Z70" s="50"/>
      <c r="AA70" s="52"/>
      <c r="AB70" s="50"/>
    </row>
    <row r="71" spans="1:28" ht="41" customHeight="1" x14ac:dyDescent="0.15">
      <c r="A71" s="119">
        <v>40039704</v>
      </c>
      <c r="B71" s="47" t="s">
        <v>403</v>
      </c>
      <c r="C71" s="124">
        <v>3</v>
      </c>
      <c r="D71" s="50" t="s">
        <v>126</v>
      </c>
      <c r="E71" s="125" t="s">
        <v>299</v>
      </c>
      <c r="F71" s="51" t="s">
        <v>326</v>
      </c>
      <c r="G71" s="64" t="str">
        <f t="shared" si="142"/>
        <v xml:space="preserve">[effect:break_attack_fix, target:unit_all, val:200, lowest_val:750, count:-1, color:yellow, block01:jammer, block02:damage]    </v>
      </c>
      <c r="H71" s="64">
        <f t="shared" si="143"/>
        <v>9</v>
      </c>
      <c r="I71" s="64">
        <f t="shared" si="144"/>
        <v>25</v>
      </c>
      <c r="J71" s="64">
        <f t="shared" si="145"/>
        <v>34</v>
      </c>
      <c r="K71" s="64">
        <f t="shared" si="146"/>
        <v>42</v>
      </c>
      <c r="L71" s="64" t="str">
        <f>IFERROR(VLOOKUP(MID(G71,J71,K71-J71),[5]skilldef!$C:$D,2,FALSE),"-") &amp; " / " &amp; IFERROR(VLOOKUP(MID(G71,H71,I71-H71),[5]skilldef!$A:$B,2,FALSE),"-")</f>
        <v>味方全体に / -</v>
      </c>
      <c r="M71" s="64" t="str">
        <f t="shared" si="147"/>
        <v>none</v>
      </c>
      <c r="N71" s="48" t="str">
        <f>IFERROR(LEFT(M71,FIND("],",M71)+S89),M71)</f>
        <v>none</v>
      </c>
      <c r="O71" s="64" t="e">
        <f t="shared" si="148"/>
        <v>#VALUE!</v>
      </c>
      <c r="P71" s="64">
        <f t="shared" si="149"/>
        <v>4</v>
      </c>
      <c r="Q71" s="64" t="e">
        <f t="shared" si="150"/>
        <v>#VALUE!</v>
      </c>
      <c r="R71" s="64" t="e">
        <f t="shared" si="151"/>
        <v>#VALUE!</v>
      </c>
      <c r="S71" s="64" t="str">
        <f>IFERROR(VLOOKUP(MID(N71,Q71,R71-Q71),[5]skilldef!$C:$D,2,FALSE),"-") &amp; " / " &amp; IFERROR(VLOOKUP(MID(N71,O71,P71-O71),[5]skilldef!$A:$B,2,FALSE),"-")</f>
        <v>- / -</v>
      </c>
      <c r="T71" s="48" t="str">
        <f t="shared" si="152"/>
        <v>none</v>
      </c>
      <c r="U71" s="64" t="e">
        <f t="shared" si="153"/>
        <v>#VALUE!</v>
      </c>
      <c r="V71" s="64">
        <f t="shared" si="154"/>
        <v>4</v>
      </c>
      <c r="W71" s="64" t="e">
        <f t="shared" si="155"/>
        <v>#VALUE!</v>
      </c>
      <c r="X71" s="64" t="e">
        <f t="shared" si="156"/>
        <v>#VALUE!</v>
      </c>
      <c r="Y71" s="64" t="str">
        <f>IFERROR(VLOOKUP(MID(T71,W71,X71-W71),[5]skilldef!$C:$D,2,FALSE),"-") &amp; " / " &amp; IFERROR(VLOOKUP(MID(T71,U71,V71-U71),[5]skilldef!$A:$B,2,FALSE),"-")</f>
        <v>- / -</v>
      </c>
      <c r="Z71" s="50"/>
      <c r="AA71" s="52"/>
      <c r="AB71" s="50"/>
    </row>
    <row r="72" spans="1:28" ht="41" customHeight="1" x14ac:dyDescent="0.15">
      <c r="A72" s="119">
        <v>40039705</v>
      </c>
      <c r="B72" s="47" t="s">
        <v>281</v>
      </c>
      <c r="C72" s="124">
        <v>3</v>
      </c>
      <c r="D72" s="50" t="s">
        <v>126</v>
      </c>
      <c r="E72" s="51" t="s">
        <v>294</v>
      </c>
      <c r="F72" s="51" t="s">
        <v>276</v>
      </c>
      <c r="G72" s="64" t="str">
        <f t="shared" si="142"/>
        <v>[effect:damage_anti_color, target:unit_all, color:yellow, val1:0.4, val2:0.1]</v>
      </c>
      <c r="H72" s="64">
        <f t="shared" si="143"/>
        <v>9</v>
      </c>
      <c r="I72" s="64">
        <f t="shared" si="144"/>
        <v>26</v>
      </c>
      <c r="J72" s="64">
        <f t="shared" si="145"/>
        <v>35</v>
      </c>
      <c r="K72" s="64">
        <f t="shared" si="146"/>
        <v>43</v>
      </c>
      <c r="L72" s="64" t="str">
        <f>IFERROR(VLOOKUP(MID(G72,J72,K72-J72),[5]skilldef!$C:$D,2,FALSE),"-") &amp; " / " &amp; IFERROR(VLOOKUP(MID(G72,H72,I72-H72),[5]skilldef!$A:$B,2,FALSE),"-")</f>
        <v>味方全体に / 属性キラー</v>
      </c>
      <c r="M72" s="64" t="str">
        <f t="shared" si="147"/>
        <v>none</v>
      </c>
      <c r="N72" s="48" t="str">
        <f>IFERROR(LEFT(M72,FIND("],",M72)+S90),M72)</f>
        <v>none</v>
      </c>
      <c r="O72" s="64" t="e">
        <f t="shared" si="148"/>
        <v>#VALUE!</v>
      </c>
      <c r="P72" s="64">
        <f t="shared" si="149"/>
        <v>4</v>
      </c>
      <c r="Q72" s="64" t="e">
        <f t="shared" si="150"/>
        <v>#VALUE!</v>
      </c>
      <c r="R72" s="64" t="e">
        <f t="shared" si="151"/>
        <v>#VALUE!</v>
      </c>
      <c r="S72" s="64" t="str">
        <f>IFERROR(VLOOKUP(MID(N72,Q72,R72-Q72),[5]skilldef!$C:$D,2,FALSE),"-") &amp; " / " &amp; IFERROR(VLOOKUP(MID(N72,O72,P72-O72),[5]skilldef!$A:$B,2,FALSE),"-")</f>
        <v>- / -</v>
      </c>
      <c r="T72" s="48" t="str">
        <f t="shared" si="152"/>
        <v>none</v>
      </c>
      <c r="U72" s="64" t="e">
        <f t="shared" si="153"/>
        <v>#VALUE!</v>
      </c>
      <c r="V72" s="64">
        <f t="shared" si="154"/>
        <v>4</v>
      </c>
      <c r="W72" s="64" t="e">
        <f t="shared" si="155"/>
        <v>#VALUE!</v>
      </c>
      <c r="X72" s="64" t="e">
        <f t="shared" si="156"/>
        <v>#VALUE!</v>
      </c>
      <c r="Y72" s="64" t="str">
        <f>IFERROR(VLOOKUP(MID(T72,W72,X72-W72),[5]skilldef!$C:$D,2,FALSE),"-") &amp; " / " &amp; IFERROR(VLOOKUP(MID(T72,U72,V72-U72),[5]skilldef!$A:$B,2,FALSE),"-")</f>
        <v>- / -</v>
      </c>
      <c r="Z72" s="50"/>
      <c r="AA72" s="52"/>
      <c r="AB72" s="50"/>
    </row>
    <row r="73" spans="1:28" ht="41" customHeight="1" x14ac:dyDescent="0.15">
      <c r="A73" s="119">
        <v>40039706</v>
      </c>
      <c r="B73" s="128" t="s">
        <v>417</v>
      </c>
      <c r="C73" s="124">
        <v>3</v>
      </c>
      <c r="D73" s="50" t="s">
        <v>126</v>
      </c>
      <c r="E73" s="51" t="s">
        <v>322</v>
      </c>
      <c r="F73" s="51" t="s">
        <v>328</v>
      </c>
      <c r="G73" s="64" t="str">
        <f t="shared" si="142"/>
        <v>[effect:enemy_message, val1:2.5, val2:2.5]</v>
      </c>
      <c r="H73" s="64">
        <f t="shared" si="143"/>
        <v>9</v>
      </c>
      <c r="I73" s="64">
        <f t="shared" si="144"/>
        <v>22</v>
      </c>
      <c r="J73" s="64" t="e">
        <f t="shared" si="145"/>
        <v>#VALUE!</v>
      </c>
      <c r="K73" s="64">
        <f t="shared" si="146"/>
        <v>32</v>
      </c>
      <c r="L73" s="64" t="str">
        <f>IFERROR(VLOOKUP(MID(G73,J73,K73-J73),[5]skilldef!$C:$D,2,FALSE),"-") &amp; " / " &amp; IFERROR(VLOOKUP(MID(G73,H73,I73-H73),[5]skilldef!$A:$B,2,FALSE),"-")</f>
        <v>- / -</v>
      </c>
      <c r="M73" s="64" t="str">
        <f t="shared" si="147"/>
        <v>[effect:drop_block, block_type:jammer, color:block_all, val:0, rate:0.07, turn:-1, animation:jammer_influence04],[effect:degrade_unit, target:unit_green, turn:-1, status:attack, val:0.8, calc:mul],[effect:fix_speed, target:myself, turn:2]</v>
      </c>
      <c r="N73" s="48" t="str">
        <f>IFERROR(LEFT(M73,FIND("],",M73)+S92),M73)</f>
        <v>[effect:drop_block, block_type:jammer, color:block_all, val:0, rate:0.07, turn:-1, animation:jammer_influence04]</v>
      </c>
      <c r="O73" s="64">
        <f t="shared" si="148"/>
        <v>9</v>
      </c>
      <c r="P73" s="64">
        <f t="shared" si="149"/>
        <v>19</v>
      </c>
      <c r="Q73" s="64" t="e">
        <f t="shared" si="150"/>
        <v>#VALUE!</v>
      </c>
      <c r="R73" s="64">
        <f t="shared" si="151"/>
        <v>38</v>
      </c>
      <c r="S73" s="64" t="str">
        <f>IFERROR(VLOOKUP(MID(N73,Q73,R73-Q73),[5]skilldef!$C:$D,2,FALSE),"-") &amp; " / " &amp; IFERROR(VLOOKUP(MID(N73,O73,P73-O73),[5]skilldef!$A:$B,2,FALSE),"-")</f>
        <v>- / 特定ブロックの割合ドロップ</v>
      </c>
      <c r="T73" s="48" t="str">
        <f t="shared" si="152"/>
        <v>[effect:degrade_unit, target:unit_green, turn:-1, status:attack, val:0.8, calc:mul],[effect:fix_speed, target:myself, turn:2]</v>
      </c>
      <c r="U73" s="64">
        <f t="shared" si="153"/>
        <v>9</v>
      </c>
      <c r="V73" s="64">
        <f t="shared" si="154"/>
        <v>21</v>
      </c>
      <c r="W73" s="64">
        <f t="shared" si="155"/>
        <v>30</v>
      </c>
      <c r="X73" s="64">
        <f t="shared" si="156"/>
        <v>40</v>
      </c>
      <c r="Y73" s="64" t="str">
        <f>IFERROR(VLOOKUP(MID(T73,W73,X73-W73),[5]skilldef!$C:$D,2,FALSE),"-") &amp; " / " &amp; IFERROR(VLOOKUP(MID(T73,U73,V73-U73),[5]skilldef!$A:$B,2,FALSE),"-")</f>
        <v>緑の味方に / ステータスDOWN</v>
      </c>
      <c r="Z73" s="50"/>
      <c r="AA73" s="52"/>
      <c r="AB73" s="50"/>
    </row>
    <row r="74" spans="1:28" ht="41" customHeight="1" x14ac:dyDescent="0.15">
      <c r="A74" s="105">
        <v>40039721</v>
      </c>
      <c r="B74" s="47" t="s">
        <v>425</v>
      </c>
      <c r="C74" s="124">
        <v>3</v>
      </c>
      <c r="D74" s="50" t="s">
        <v>126</v>
      </c>
      <c r="E74" s="125" t="s">
        <v>379</v>
      </c>
      <c r="F74" s="138" t="s">
        <v>321</v>
      </c>
      <c r="G74" s="64" t="str">
        <f t="shared" si="65"/>
        <v>[effect:enemy_message, val1:2.5, val2:1.8]</v>
      </c>
      <c r="H74" s="64">
        <f t="shared" si="66"/>
        <v>9</v>
      </c>
      <c r="I74" s="64">
        <f t="shared" si="67"/>
        <v>22</v>
      </c>
      <c r="J74" s="64" t="e">
        <f t="shared" si="68"/>
        <v>#VALUE!</v>
      </c>
      <c r="K74" s="64">
        <f t="shared" si="69"/>
        <v>32</v>
      </c>
      <c r="L74" s="64" t="str">
        <f>IFERROR(VLOOKUP(MID(G74,J74,K74-J74),[5]skilldef!$C:$D,2,FALSE),"-") &amp; " / " &amp; IFERROR(VLOOKUP(MID(G74,H74,I74-H74),[5]skilldef!$A:$B,2,FALSE),"-")</f>
        <v>- / -</v>
      </c>
      <c r="M74" s="64" t="str">
        <f t="shared" si="70"/>
        <v>[effect:drop_block, block_type:jammer, color:block_all, val:0, rate:0.1, turn:-1, animation:jammer_influence04],[effect:fix_speed, target:myself, turn:1]</v>
      </c>
      <c r="N74" s="48" t="str">
        <f>IFERROR(LEFT(M74,FIND("],",M74)+#REF!),M74)</f>
        <v>[effect:drop_block, block_type:jammer, color:block_all, val:0, rate:0.1, turn:-1, animation:jammer_influence04],[effect:fix_speed, target:myself, turn:1]</v>
      </c>
      <c r="O74" s="64">
        <f t="shared" si="71"/>
        <v>9</v>
      </c>
      <c r="P74" s="64">
        <f t="shared" si="72"/>
        <v>19</v>
      </c>
      <c r="Q74" s="64">
        <f t="shared" si="73"/>
        <v>139</v>
      </c>
      <c r="R74" s="64">
        <f t="shared" si="74"/>
        <v>38</v>
      </c>
      <c r="S74" s="64" t="str">
        <f>IFERROR(VLOOKUP(MID(N74,Q74,R74-Q74),[5]skilldef!$C:$D,2,FALSE),"-") &amp; " / " &amp; IFERROR(VLOOKUP(MID(N74,O74,P74-O74),[5]skilldef!$A:$B,2,FALSE),"-")</f>
        <v>- / 特定ブロックの割合ドロップ</v>
      </c>
      <c r="T74" s="48" t="str">
        <f t="shared" si="75"/>
        <v>[effect:fix_speed, target:myself, turn:1]</v>
      </c>
      <c r="U74" s="64">
        <f t="shared" si="76"/>
        <v>9</v>
      </c>
      <c r="V74" s="64">
        <f t="shared" si="77"/>
        <v>18</v>
      </c>
      <c r="W74" s="64">
        <f t="shared" si="78"/>
        <v>27</v>
      </c>
      <c r="X74" s="64">
        <f t="shared" si="79"/>
        <v>33</v>
      </c>
      <c r="Y74" s="64" t="str">
        <f>IFERROR(VLOOKUP(MID(T74,W74,X74-W74),[5]skilldef!$C:$D,2,FALSE),"-") &amp; " / " &amp; IFERROR(VLOOKUP(MID(T74,U74,V74-U74),[5]skilldef!$A:$B,2,FALSE),"-")</f>
        <v>自分自身に / 行動値設定</v>
      </c>
      <c r="Z74" s="50"/>
      <c r="AA74" s="52"/>
      <c r="AB74" s="50"/>
    </row>
    <row r="75" spans="1:28" ht="41" customHeight="1" x14ac:dyDescent="0.15">
      <c r="A75" s="105">
        <v>40039722</v>
      </c>
      <c r="B75" s="47" t="s">
        <v>402</v>
      </c>
      <c r="C75" s="124">
        <v>3</v>
      </c>
      <c r="D75" s="50" t="s">
        <v>126</v>
      </c>
      <c r="E75" s="125" t="s">
        <v>296</v>
      </c>
      <c r="F75" s="51" t="s">
        <v>271</v>
      </c>
      <c r="G75" s="64" t="str">
        <f t="shared" ref="G75:G78" si="157">IFERROR(LEFT(B75,FIND("],",B75)),B75)</f>
        <v xml:space="preserve">[effect:break_attack_fix, target:unit_all, val:200, lowest_val:750, count:-1, color:yellow, block01:block_red]    </v>
      </c>
      <c r="H75" s="64">
        <f t="shared" ref="H75:H78" si="158">FIND("effect:",G75)+7</f>
        <v>9</v>
      </c>
      <c r="I75" s="64">
        <f t="shared" ref="I75:I78" si="159">IFERROR(FIND(",",G75),LEN(G75))</f>
        <v>25</v>
      </c>
      <c r="J75" s="64">
        <f t="shared" ref="J75:J78" si="160">FIND("target:",G75)+7</f>
        <v>34</v>
      </c>
      <c r="K75" s="64">
        <f t="shared" ref="K75:K78" si="161">FIND(",",G75,I75+1)</f>
        <v>42</v>
      </c>
      <c r="L75" s="64" t="str">
        <f>IFERROR(VLOOKUP(MID(G75,J75,K75-J75),[5]skilldef!$C:$D,2,FALSE),"-") &amp; " / " &amp; IFERROR(VLOOKUP(MID(G75,H75,I75-H75),[5]skilldef!$A:$B,2,FALSE),"-")</f>
        <v>味方全体に / -</v>
      </c>
      <c r="M75" s="64" t="str">
        <f t="shared" ref="M75:M78" si="162">IFERROR(RIGHT(B75,LEN(B75)-FIND("],",B75)-1),"none")</f>
        <v>none</v>
      </c>
      <c r="N75" s="48" t="str">
        <f>IFERROR(LEFT(M75,FIND("],",M75)+S88),M75)</f>
        <v>none</v>
      </c>
      <c r="O75" s="64" t="e">
        <f t="shared" ref="O75:O78" si="163">FIND("effect:",N75)+7</f>
        <v>#VALUE!</v>
      </c>
      <c r="P75" s="64">
        <f t="shared" ref="P75:P78" si="164">IFERROR(FIND(",",N75),LEN(N75))</f>
        <v>4</v>
      </c>
      <c r="Q75" s="64" t="e">
        <f t="shared" ref="Q75:Q78" si="165">FIND("target:",N75)+7</f>
        <v>#VALUE!</v>
      </c>
      <c r="R75" s="64" t="e">
        <f t="shared" ref="R75:R78" si="166">FIND(",",N75,P75+1)</f>
        <v>#VALUE!</v>
      </c>
      <c r="S75" s="64" t="str">
        <f>IFERROR(VLOOKUP(MID(N75,Q75,R75-Q75),[5]skilldef!$C:$D,2,FALSE),"-") &amp; " / " &amp; IFERROR(VLOOKUP(MID(N75,O75,P75-O75),[5]skilldef!$A:$B,2,FALSE),"-")</f>
        <v>- / -</v>
      </c>
      <c r="T75" s="48" t="str">
        <f t="shared" ref="T75:T78" si="167">IFERROR(RIGHT(M75,LEN(M75)-FIND("],",M75)-1),"none")</f>
        <v>none</v>
      </c>
      <c r="U75" s="64" t="e">
        <f t="shared" ref="U75:U78" si="168">FIND("effect:",T75)+7</f>
        <v>#VALUE!</v>
      </c>
      <c r="V75" s="64">
        <f t="shared" ref="V75:V78" si="169">IFERROR(FIND(",",T75),LEN(T75))</f>
        <v>4</v>
      </c>
      <c r="W75" s="64" t="e">
        <f t="shared" ref="W75:W78" si="170">FIND("target:",T75)+7</f>
        <v>#VALUE!</v>
      </c>
      <c r="X75" s="64" t="e">
        <f t="shared" ref="X75:X78" si="171">FIND(",",T75,V75+1)</f>
        <v>#VALUE!</v>
      </c>
      <c r="Y75" s="64" t="str">
        <f>IFERROR(VLOOKUP(MID(T75,W75,X75-W75),[5]skilldef!$C:$D,2,FALSE),"-") &amp; " / " &amp; IFERROR(VLOOKUP(MID(T75,U75,V75-U75),[5]skilldef!$A:$B,2,FALSE),"-")</f>
        <v>- / -</v>
      </c>
      <c r="Z75" s="50"/>
      <c r="AA75" s="52"/>
      <c r="AB75" s="50"/>
    </row>
    <row r="76" spans="1:28" ht="41" customHeight="1" x14ac:dyDescent="0.15">
      <c r="A76" s="105">
        <v>40039723</v>
      </c>
      <c r="B76" s="47" t="s">
        <v>440</v>
      </c>
      <c r="C76" s="124">
        <v>3</v>
      </c>
      <c r="D76" s="50" t="s">
        <v>126</v>
      </c>
      <c r="E76" s="125" t="s">
        <v>323</v>
      </c>
      <c r="F76" s="138" t="s">
        <v>419</v>
      </c>
      <c r="G76" s="64" t="str">
        <f t="shared" si="157"/>
        <v>[effect:enemy_message, val1:1.0, val2:2.5]</v>
      </c>
      <c r="H76" s="64">
        <f t="shared" si="158"/>
        <v>9</v>
      </c>
      <c r="I76" s="64">
        <f t="shared" si="159"/>
        <v>22</v>
      </c>
      <c r="J76" s="64" t="e">
        <f t="shared" si="160"/>
        <v>#VALUE!</v>
      </c>
      <c r="K76" s="64">
        <f t="shared" si="161"/>
        <v>32</v>
      </c>
      <c r="L76" s="64" t="str">
        <f>IFERROR(VLOOKUP(MID(G76,J76,K76-J76),[5]skilldef!$C:$D,2,FALSE),"-") &amp; " / " &amp; IFERROR(VLOOKUP(MID(G76,H76,I76-H76),[5]skilldef!$A:$B,2,FALSE),"-")</f>
        <v>- / -</v>
      </c>
      <c r="M76" s="64" t="str">
        <f t="shared" si="162"/>
        <v xml:space="preserve">[effect:force_change_block, new_block:damage, target:block_all, ignore01:block_positive, ignore02:block_negative, count:1, val:0.9],[effect:rush, count:1, val:0.5]    </v>
      </c>
      <c r="N76" s="48" t="str">
        <f>IFERROR(LEFT(M76,FIND("],",M76)+S89),M76)</f>
        <v xml:space="preserve">[effect:force_change_block, new_block:damage, target:block_all, ignore01:block_positive, ignore02:block_negative, count:1, val:0.9],[effect:rush, count:1, val:0.5]    </v>
      </c>
      <c r="O76" s="64">
        <f t="shared" si="163"/>
        <v>9</v>
      </c>
      <c r="P76" s="64">
        <f t="shared" si="164"/>
        <v>27</v>
      </c>
      <c r="Q76" s="64">
        <f t="shared" si="165"/>
        <v>54</v>
      </c>
      <c r="R76" s="64">
        <f t="shared" si="166"/>
        <v>45</v>
      </c>
      <c r="S76" s="64" t="str">
        <f>IFERROR(VLOOKUP(MID(N76,Q76,R76-Q76),[5]skilldef!$C:$D,2,FALSE),"-") &amp; " / " &amp; IFERROR(VLOOKUP(MID(N76,O76,P76-O76),[5]skilldef!$A:$B,2,FALSE),"-")</f>
        <v>- / -</v>
      </c>
      <c r="T76" s="48" t="str">
        <f t="shared" si="167"/>
        <v xml:space="preserve">[effect:rush, count:1, val:0.5]    </v>
      </c>
      <c r="U76" s="64">
        <f t="shared" si="168"/>
        <v>9</v>
      </c>
      <c r="V76" s="64">
        <f t="shared" si="169"/>
        <v>13</v>
      </c>
      <c r="W76" s="64" t="e">
        <f t="shared" si="170"/>
        <v>#VALUE!</v>
      </c>
      <c r="X76" s="64">
        <f t="shared" si="171"/>
        <v>22</v>
      </c>
      <c r="Y76" s="64" t="str">
        <f>IFERROR(VLOOKUP(MID(T76,W76,X76-W76),[5]skilldef!$C:$D,2,FALSE),"-") &amp; " / " &amp; IFERROR(VLOOKUP(MID(T76,U76,V76-U76),[5]skilldef!$A:$B,2,FALSE),"-")</f>
        <v>- / 連続攻撃</v>
      </c>
      <c r="Z76" s="50"/>
      <c r="AA76" s="52"/>
      <c r="AB76" s="50"/>
    </row>
    <row r="77" spans="1:28" ht="41" customHeight="1" x14ac:dyDescent="0.15">
      <c r="A77" s="105">
        <v>40039724</v>
      </c>
      <c r="B77" s="47" t="s">
        <v>440</v>
      </c>
      <c r="C77" s="124">
        <v>3</v>
      </c>
      <c r="D77" s="50" t="s">
        <v>126</v>
      </c>
      <c r="E77" s="125" t="s">
        <v>295</v>
      </c>
      <c r="F77" s="138" t="s">
        <v>419</v>
      </c>
      <c r="G77" s="64" t="str">
        <f t="shared" si="157"/>
        <v>[effect:enemy_message, val1:1.0, val2:2.5]</v>
      </c>
      <c r="H77" s="64">
        <f t="shared" si="158"/>
        <v>9</v>
      </c>
      <c r="I77" s="64">
        <f t="shared" si="159"/>
        <v>22</v>
      </c>
      <c r="J77" s="64" t="e">
        <f t="shared" si="160"/>
        <v>#VALUE!</v>
      </c>
      <c r="K77" s="64">
        <f t="shared" si="161"/>
        <v>32</v>
      </c>
      <c r="L77" s="64" t="str">
        <f>IFERROR(VLOOKUP(MID(G77,J77,K77-J77),[5]skilldef!$C:$D,2,FALSE),"-") &amp; " / " &amp; IFERROR(VLOOKUP(MID(G77,H77,I77-H77),[5]skilldef!$A:$B,2,FALSE),"-")</f>
        <v>- / -</v>
      </c>
      <c r="M77" s="64" t="str">
        <f t="shared" si="162"/>
        <v xml:space="preserve">[effect:force_change_block, new_block:damage, target:block_all, ignore01:block_positive, ignore02:block_negative, count:1, val:0.9],[effect:rush, count:1, val:0.5]    </v>
      </c>
      <c r="N77" s="48" t="str">
        <f>IFERROR(LEFT(M77,FIND("],",M77)+S90),M77)</f>
        <v>[effect:force_change_block, new_block:damage, target:block_all, ignore01:block_positive, ignore02:block_negative, count:1, val:0.9]</v>
      </c>
      <c r="O77" s="64">
        <f t="shared" si="163"/>
        <v>9</v>
      </c>
      <c r="P77" s="64">
        <f t="shared" si="164"/>
        <v>27</v>
      </c>
      <c r="Q77" s="64">
        <f t="shared" si="165"/>
        <v>54</v>
      </c>
      <c r="R77" s="64">
        <f t="shared" si="166"/>
        <v>45</v>
      </c>
      <c r="S77" s="64" t="str">
        <f>IFERROR(VLOOKUP(MID(N77,Q77,R77-Q77),[5]skilldef!$C:$D,2,FALSE),"-") &amp; " / " &amp; IFERROR(VLOOKUP(MID(N77,O77,P77-O77),[5]skilldef!$A:$B,2,FALSE),"-")</f>
        <v>- / -</v>
      </c>
      <c r="T77" s="48" t="str">
        <f t="shared" si="167"/>
        <v xml:space="preserve">[effect:rush, count:1, val:0.5]    </v>
      </c>
      <c r="U77" s="64">
        <f t="shared" si="168"/>
        <v>9</v>
      </c>
      <c r="V77" s="64">
        <f t="shared" si="169"/>
        <v>13</v>
      </c>
      <c r="W77" s="64" t="e">
        <f t="shared" si="170"/>
        <v>#VALUE!</v>
      </c>
      <c r="X77" s="64">
        <f t="shared" si="171"/>
        <v>22</v>
      </c>
      <c r="Y77" s="64" t="str">
        <f>IFERROR(VLOOKUP(MID(T77,W77,X77-W77),[5]skilldef!$C:$D,2,FALSE),"-") &amp; " / " &amp; IFERROR(VLOOKUP(MID(T77,U77,V77-U77),[5]skilldef!$A:$B,2,FALSE),"-")</f>
        <v>- / 連続攻撃</v>
      </c>
      <c r="Z77" s="50"/>
      <c r="AA77" s="52"/>
      <c r="AB77" s="50"/>
    </row>
    <row r="78" spans="1:28" ht="41" customHeight="1" x14ac:dyDescent="0.15">
      <c r="A78" s="105">
        <v>40039725</v>
      </c>
      <c r="B78" s="47" t="s">
        <v>440</v>
      </c>
      <c r="C78" s="124">
        <v>3</v>
      </c>
      <c r="D78" s="50" t="s">
        <v>126</v>
      </c>
      <c r="E78" s="125" t="s">
        <v>303</v>
      </c>
      <c r="F78" s="138" t="s">
        <v>419</v>
      </c>
      <c r="G78" s="64" t="str">
        <f t="shared" si="157"/>
        <v>[effect:enemy_message, val1:1.0, val2:2.5]</v>
      </c>
      <c r="H78" s="64">
        <f t="shared" si="158"/>
        <v>9</v>
      </c>
      <c r="I78" s="64">
        <f t="shared" si="159"/>
        <v>22</v>
      </c>
      <c r="J78" s="64" t="e">
        <f t="shared" si="160"/>
        <v>#VALUE!</v>
      </c>
      <c r="K78" s="64">
        <f t="shared" si="161"/>
        <v>32</v>
      </c>
      <c r="L78" s="64" t="str">
        <f>IFERROR(VLOOKUP(MID(G78,J78,K78-J78),[5]skilldef!$C:$D,2,FALSE),"-") &amp; " / " &amp; IFERROR(VLOOKUP(MID(G78,H78,I78-H78),[5]skilldef!$A:$B,2,FALSE),"-")</f>
        <v>- / -</v>
      </c>
      <c r="M78" s="64" t="str">
        <f t="shared" si="162"/>
        <v xml:space="preserve">[effect:force_change_block, new_block:damage, target:block_all, ignore01:block_positive, ignore02:block_negative, count:1, val:0.9],[effect:rush, count:1, val:0.5]    </v>
      </c>
      <c r="N78" s="48" t="str">
        <f>IFERROR(LEFT(M78,FIND("],",M78)+S91),M78)</f>
        <v>[effect:force_change_block, new_block:damage, target:block_all, ignore01:block_positive, ignore02:block_negative, count:1, val:0.9]</v>
      </c>
      <c r="O78" s="64">
        <f t="shared" si="163"/>
        <v>9</v>
      </c>
      <c r="P78" s="64">
        <f t="shared" si="164"/>
        <v>27</v>
      </c>
      <c r="Q78" s="64">
        <f t="shared" si="165"/>
        <v>54</v>
      </c>
      <c r="R78" s="64">
        <f t="shared" si="166"/>
        <v>45</v>
      </c>
      <c r="S78" s="64" t="str">
        <f>IFERROR(VLOOKUP(MID(N78,Q78,R78-Q78),[5]skilldef!$C:$D,2,FALSE),"-") &amp; " / " &amp; IFERROR(VLOOKUP(MID(N78,O78,P78-O78),[5]skilldef!$A:$B,2,FALSE),"-")</f>
        <v>- / -</v>
      </c>
      <c r="T78" s="48" t="str">
        <f t="shared" si="167"/>
        <v xml:space="preserve">[effect:rush, count:1, val:0.5]    </v>
      </c>
      <c r="U78" s="64">
        <f t="shared" si="168"/>
        <v>9</v>
      </c>
      <c r="V78" s="64">
        <f t="shared" si="169"/>
        <v>13</v>
      </c>
      <c r="W78" s="64" t="e">
        <f t="shared" si="170"/>
        <v>#VALUE!</v>
      </c>
      <c r="X78" s="64">
        <f t="shared" si="171"/>
        <v>22</v>
      </c>
      <c r="Y78" s="64" t="str">
        <f>IFERROR(VLOOKUP(MID(T78,W78,X78-W78),[5]skilldef!$C:$D,2,FALSE),"-") &amp; " / " &amp; IFERROR(VLOOKUP(MID(T78,U78,V78-U78),[5]skilldef!$A:$B,2,FALSE),"-")</f>
        <v>- / 連続攻撃</v>
      </c>
      <c r="Z78" s="50"/>
      <c r="AA78" s="52"/>
      <c r="AB78" s="50"/>
    </row>
    <row r="79" spans="1:28" ht="41" customHeight="1" x14ac:dyDescent="0.15">
      <c r="A79" s="119">
        <v>40039741</v>
      </c>
      <c r="B79" s="47" t="s">
        <v>398</v>
      </c>
      <c r="C79" s="124">
        <v>3</v>
      </c>
      <c r="D79" s="50" t="s">
        <v>126</v>
      </c>
      <c r="E79" s="125" t="s">
        <v>370</v>
      </c>
      <c r="F79" s="138" t="s">
        <v>428</v>
      </c>
      <c r="G79" s="64" t="str">
        <f t="shared" si="65"/>
        <v>[effect:enemy_message, val1:2.0, val2:3.0]</v>
      </c>
      <c r="H79" s="64">
        <f t="shared" si="66"/>
        <v>9</v>
      </c>
      <c r="I79" s="64">
        <f t="shared" si="67"/>
        <v>22</v>
      </c>
      <c r="J79" s="64" t="e">
        <f t="shared" si="68"/>
        <v>#VALUE!</v>
      </c>
      <c r="K79" s="64">
        <f t="shared" si="69"/>
        <v>32</v>
      </c>
      <c r="L79" s="64" t="str">
        <f>IFERROR(VLOOKUP(MID(G79,J79,K79-J79),[5]skilldef!$C:$D,2,FALSE),"-") &amp; " / " &amp; IFERROR(VLOOKUP(MID(G79,H79,I79-H79),[5]skilldef!$A:$B,2,FALSE),"-")</f>
        <v>- / -</v>
      </c>
      <c r="M79" s="64" t="str">
        <f t="shared" si="70"/>
        <v>[effect:drop_block, block_type:jammer, color:block_all, val:0, rate:0.13, turn:-1, animation:jammer_influence04],[effect:crash_condition, target:unit_green, turn:-1, val:4, animation:enemy_crash_extend],[effect:fix_speed, target:myself, turn:1]</v>
      </c>
      <c r="N79" s="48" t="str">
        <f t="shared" ref="N79:N87" si="172">IFERROR(LEFT(M79,FIND("],",M79)+S88),M79)</f>
        <v>[effect:drop_block, block_type:jammer, color:block_all, val:0, rate:0.13, turn:-1, animation:jammer_influence04],[effect:crash_condition, target:unit_green, turn:-1, val:4, animation:enemy_crash_extend],[effect:fix_speed, target:myself, turn:1]</v>
      </c>
      <c r="O79" s="64">
        <f t="shared" si="71"/>
        <v>9</v>
      </c>
      <c r="P79" s="64">
        <f t="shared" si="72"/>
        <v>19</v>
      </c>
      <c r="Q79" s="64">
        <f t="shared" si="73"/>
        <v>146</v>
      </c>
      <c r="R79" s="64">
        <f t="shared" si="74"/>
        <v>38</v>
      </c>
      <c r="S79" s="64" t="str">
        <f>IFERROR(VLOOKUP(MID(N79,Q79,R79-Q79),[5]skilldef!$C:$D,2,FALSE),"-") &amp; " / " &amp; IFERROR(VLOOKUP(MID(N79,O79,P79-O79),[5]skilldef!$A:$B,2,FALSE),"-")</f>
        <v>- / 特定ブロックの割合ドロップ</v>
      </c>
      <c r="T79" s="48" t="str">
        <f t="shared" si="75"/>
        <v>[effect:crash_condition, target:unit_green, turn:-1, val:4, animation:enemy_crash_extend],[effect:fix_speed, target:myself, turn:1]</v>
      </c>
      <c r="U79" s="64">
        <f t="shared" si="76"/>
        <v>9</v>
      </c>
      <c r="V79" s="64">
        <f t="shared" si="77"/>
        <v>24</v>
      </c>
      <c r="W79" s="64">
        <f t="shared" si="78"/>
        <v>33</v>
      </c>
      <c r="X79" s="64">
        <f t="shared" si="79"/>
        <v>43</v>
      </c>
      <c r="Y79" s="64" t="str">
        <f>IFERROR(VLOOKUP(MID(T79,W79,X79-W79),[5]skilldef!$C:$D,2,FALSE),"-") &amp; " / " &amp; IFERROR(VLOOKUP(MID(T79,U79,V79-U79),[5]skilldef!$A:$B,2,FALSE),"-")</f>
        <v>緑の味方に / -</v>
      </c>
      <c r="Z79" s="50"/>
      <c r="AA79" s="52"/>
      <c r="AB79" s="50"/>
    </row>
    <row r="80" spans="1:28" ht="41" customHeight="1" x14ac:dyDescent="0.15">
      <c r="A80" s="119">
        <v>40039742</v>
      </c>
      <c r="B80" s="47" t="s">
        <v>278</v>
      </c>
      <c r="C80" s="124">
        <v>3</v>
      </c>
      <c r="D80" s="50" t="s">
        <v>126</v>
      </c>
      <c r="E80" s="51" t="s">
        <v>346</v>
      </c>
      <c r="F80" s="51" t="s">
        <v>272</v>
      </c>
      <c r="G80" s="64" t="str">
        <f t="shared" ref="G80:G87" si="173">IFERROR(LEFT(B80,FIND("],",B80)),B80)</f>
        <v>[effect:damage_anti_color, target:unit_all, color:green, val1:0.45, val2:0.1]</v>
      </c>
      <c r="H80" s="64">
        <f t="shared" ref="H80:H87" si="174">FIND("effect:",G80)+7</f>
        <v>9</v>
      </c>
      <c r="I80" s="64">
        <f t="shared" ref="I80:I87" si="175">IFERROR(FIND(",",G80),LEN(G80))</f>
        <v>26</v>
      </c>
      <c r="J80" s="64">
        <f t="shared" ref="J80:J87" si="176">FIND("target:",G80)+7</f>
        <v>35</v>
      </c>
      <c r="K80" s="64">
        <f t="shared" ref="K80:K87" si="177">FIND(",",G80,I80+1)</f>
        <v>43</v>
      </c>
      <c r="L80" s="64" t="str">
        <f>IFERROR(VLOOKUP(MID(G80,J80,K80-J80),[5]skilldef!$C:$D,2,FALSE),"-") &amp; " / " &amp; IFERROR(VLOOKUP(MID(G80,H80,I80-H80),[5]skilldef!$A:$B,2,FALSE),"-")</f>
        <v>味方全体に / 属性キラー</v>
      </c>
      <c r="M80" s="64" t="str">
        <f t="shared" ref="M80:M87" si="178">IFERROR(RIGHT(B80,LEN(B80)-FIND("],",B80)-1),"none")</f>
        <v>none</v>
      </c>
      <c r="N80" s="48" t="str">
        <f t="shared" si="172"/>
        <v>none</v>
      </c>
      <c r="O80" s="64" t="e">
        <f t="shared" ref="O80:O87" si="179">FIND("effect:",N80)+7</f>
        <v>#VALUE!</v>
      </c>
      <c r="P80" s="64">
        <f t="shared" ref="P80:P87" si="180">IFERROR(FIND(",",N80),LEN(N80))</f>
        <v>4</v>
      </c>
      <c r="Q80" s="64" t="e">
        <f t="shared" ref="Q80:Q87" si="181">FIND("target:",N80)+7</f>
        <v>#VALUE!</v>
      </c>
      <c r="R80" s="64" t="e">
        <f t="shared" ref="R80:R87" si="182">FIND(",",N80,P80+1)</f>
        <v>#VALUE!</v>
      </c>
      <c r="S80" s="64" t="str">
        <f>IFERROR(VLOOKUP(MID(N80,Q80,R80-Q80),[5]skilldef!$C:$D,2,FALSE),"-") &amp; " / " &amp; IFERROR(VLOOKUP(MID(N80,O80,P80-O80),[5]skilldef!$A:$B,2,FALSE),"-")</f>
        <v>- / -</v>
      </c>
      <c r="T80" s="48" t="str">
        <f t="shared" ref="T80:T87" si="183">IFERROR(RIGHT(M80,LEN(M80)-FIND("],",M80)-1),"none")</f>
        <v>none</v>
      </c>
      <c r="U80" s="64" t="e">
        <f t="shared" ref="U80:U87" si="184">FIND("effect:",T80)+7</f>
        <v>#VALUE!</v>
      </c>
      <c r="V80" s="64">
        <f t="shared" ref="V80:V87" si="185">IFERROR(FIND(",",T80),LEN(T80))</f>
        <v>4</v>
      </c>
      <c r="W80" s="64" t="e">
        <f t="shared" ref="W80:W87" si="186">FIND("target:",T80)+7</f>
        <v>#VALUE!</v>
      </c>
      <c r="X80" s="64" t="e">
        <f t="shared" ref="X80:X87" si="187">FIND(",",T80,V80+1)</f>
        <v>#VALUE!</v>
      </c>
      <c r="Y80" s="64" t="str">
        <f>IFERROR(VLOOKUP(MID(T80,W80,X80-W80),[5]skilldef!$C:$D,2,FALSE),"-") &amp; " / " &amp; IFERROR(VLOOKUP(MID(T80,U80,V80-U80),[5]skilldef!$A:$B,2,FALSE),"-")</f>
        <v>- / -</v>
      </c>
      <c r="Z80" s="50"/>
      <c r="AA80" s="52"/>
      <c r="AB80" s="50"/>
    </row>
    <row r="81" spans="1:28" ht="41" customHeight="1" x14ac:dyDescent="0.15">
      <c r="A81" s="119">
        <v>40039743</v>
      </c>
      <c r="B81" s="47" t="s">
        <v>280</v>
      </c>
      <c r="C81" s="124">
        <v>3</v>
      </c>
      <c r="D81" s="50" t="s">
        <v>126</v>
      </c>
      <c r="E81" s="51" t="s">
        <v>304</v>
      </c>
      <c r="F81" s="51" t="s">
        <v>273</v>
      </c>
      <c r="G81" s="64" t="str">
        <f t="shared" si="173"/>
        <v xml:space="preserve">[effect:break_enchance_enemy, target:myself, val:0.01, lowest_val:0, count:-1, status:attack, turn:-1, block01:jammer, calc:mul, animation:enemy_enhance_attack]    </v>
      </c>
      <c r="H81" s="64">
        <f t="shared" si="174"/>
        <v>9</v>
      </c>
      <c r="I81" s="64">
        <f t="shared" si="175"/>
        <v>29</v>
      </c>
      <c r="J81" s="64">
        <f t="shared" si="176"/>
        <v>38</v>
      </c>
      <c r="K81" s="64">
        <f t="shared" si="177"/>
        <v>44</v>
      </c>
      <c r="L81" s="64" t="str">
        <f>IFERROR(VLOOKUP(MID(G81,J81,K81-J81),[5]skilldef!$C:$D,2,FALSE),"-") &amp; " / " &amp; IFERROR(VLOOKUP(MID(G81,H81,I81-H81),[5]skilldef!$A:$B,2,FALSE),"-")</f>
        <v>自分自身に / -</v>
      </c>
      <c r="M81" s="64" t="str">
        <f t="shared" si="178"/>
        <v>none</v>
      </c>
      <c r="N81" s="48" t="str">
        <f t="shared" si="172"/>
        <v>none</v>
      </c>
      <c r="O81" s="64" t="e">
        <f t="shared" si="179"/>
        <v>#VALUE!</v>
      </c>
      <c r="P81" s="64">
        <f t="shared" si="180"/>
        <v>4</v>
      </c>
      <c r="Q81" s="64" t="e">
        <f t="shared" si="181"/>
        <v>#VALUE!</v>
      </c>
      <c r="R81" s="64" t="e">
        <f t="shared" si="182"/>
        <v>#VALUE!</v>
      </c>
      <c r="S81" s="64" t="str">
        <f>IFERROR(VLOOKUP(MID(N81,Q81,R81-Q81),[5]skilldef!$C:$D,2,FALSE),"-") &amp; " / " &amp; IFERROR(VLOOKUP(MID(N81,O81,P81-O81),[5]skilldef!$A:$B,2,FALSE),"-")</f>
        <v>- / -</v>
      </c>
      <c r="T81" s="48" t="str">
        <f t="shared" si="183"/>
        <v>none</v>
      </c>
      <c r="U81" s="64" t="e">
        <f t="shared" si="184"/>
        <v>#VALUE!</v>
      </c>
      <c r="V81" s="64">
        <f t="shared" si="185"/>
        <v>4</v>
      </c>
      <c r="W81" s="64" t="e">
        <f t="shared" si="186"/>
        <v>#VALUE!</v>
      </c>
      <c r="X81" s="64" t="e">
        <f t="shared" si="187"/>
        <v>#VALUE!</v>
      </c>
      <c r="Y81" s="64" t="str">
        <f>IFERROR(VLOOKUP(MID(T81,W81,X81-W81),[5]skilldef!$C:$D,2,FALSE),"-") &amp; " / " &amp; IFERROR(VLOOKUP(MID(T81,U81,V81-U81),[5]skilldef!$A:$B,2,FALSE),"-")</f>
        <v>- / -</v>
      </c>
      <c r="Z81" s="50"/>
      <c r="AA81" s="52"/>
      <c r="AB81" s="50"/>
    </row>
    <row r="82" spans="1:28" ht="41" customHeight="1" x14ac:dyDescent="0.15">
      <c r="A82" s="119">
        <v>40039744</v>
      </c>
      <c r="B82" s="47" t="s">
        <v>279</v>
      </c>
      <c r="C82" s="124">
        <v>3</v>
      </c>
      <c r="D82" s="50" t="s">
        <v>126</v>
      </c>
      <c r="E82" s="51" t="s">
        <v>294</v>
      </c>
      <c r="F82" s="51" t="s">
        <v>276</v>
      </c>
      <c r="G82" s="64" t="str">
        <f t="shared" si="173"/>
        <v>[effect:damage_anti_color, target:unit_all, color:yellow, val1:0.4, val2:0.1]</v>
      </c>
      <c r="H82" s="64">
        <f t="shared" si="174"/>
        <v>9</v>
      </c>
      <c r="I82" s="64">
        <f t="shared" si="175"/>
        <v>26</v>
      </c>
      <c r="J82" s="64">
        <f t="shared" si="176"/>
        <v>35</v>
      </c>
      <c r="K82" s="64">
        <f t="shared" si="177"/>
        <v>43</v>
      </c>
      <c r="L82" s="64" t="str">
        <f>IFERROR(VLOOKUP(MID(G82,J82,K82-J82),[5]skilldef!$C:$D,2,FALSE),"-") &amp; " / " &amp; IFERROR(VLOOKUP(MID(G82,H82,I82-H82),[5]skilldef!$A:$B,2,FALSE),"-")</f>
        <v>味方全体に / 属性キラー</v>
      </c>
      <c r="M82" s="64" t="str">
        <f t="shared" si="178"/>
        <v>none</v>
      </c>
      <c r="N82" s="48" t="str">
        <f t="shared" si="172"/>
        <v>none</v>
      </c>
      <c r="O82" s="64" t="e">
        <f t="shared" si="179"/>
        <v>#VALUE!</v>
      </c>
      <c r="P82" s="64">
        <f t="shared" si="180"/>
        <v>4</v>
      </c>
      <c r="Q82" s="64" t="e">
        <f t="shared" si="181"/>
        <v>#VALUE!</v>
      </c>
      <c r="R82" s="64" t="e">
        <f t="shared" si="182"/>
        <v>#VALUE!</v>
      </c>
      <c r="S82" s="64" t="str">
        <f>IFERROR(VLOOKUP(MID(N82,Q82,R82-Q82),[5]skilldef!$C:$D,2,FALSE),"-") &amp; " / " &amp; IFERROR(VLOOKUP(MID(N82,O82,P82-O82),[5]skilldef!$A:$B,2,FALSE),"-")</f>
        <v>- / -</v>
      </c>
      <c r="T82" s="48" t="str">
        <f t="shared" si="183"/>
        <v>none</v>
      </c>
      <c r="U82" s="64" t="e">
        <f t="shared" si="184"/>
        <v>#VALUE!</v>
      </c>
      <c r="V82" s="64">
        <f t="shared" si="185"/>
        <v>4</v>
      </c>
      <c r="W82" s="64" t="e">
        <f t="shared" si="186"/>
        <v>#VALUE!</v>
      </c>
      <c r="X82" s="64" t="e">
        <f t="shared" si="187"/>
        <v>#VALUE!</v>
      </c>
      <c r="Y82" s="64" t="str">
        <f>IFERROR(VLOOKUP(MID(T82,W82,X82-W82),[5]skilldef!$C:$D,2,FALSE),"-") &amp; " / " &amp; IFERROR(VLOOKUP(MID(T82,U82,V82-U82),[5]skilldef!$A:$B,2,FALSE),"-")</f>
        <v>- / -</v>
      </c>
      <c r="Z82" s="50"/>
      <c r="AA82" s="52"/>
      <c r="AB82" s="50"/>
    </row>
    <row r="83" spans="1:28" ht="41" customHeight="1" x14ac:dyDescent="0.15">
      <c r="A83" s="119">
        <v>40039745</v>
      </c>
      <c r="B83" s="47" t="s">
        <v>452</v>
      </c>
      <c r="C83" s="124">
        <v>3</v>
      </c>
      <c r="D83" s="50" t="s">
        <v>126</v>
      </c>
      <c r="E83" s="51" t="s">
        <v>324</v>
      </c>
      <c r="F83" s="51" t="s">
        <v>275</v>
      </c>
      <c r="G83" s="64" t="str">
        <f t="shared" si="173"/>
        <v>[effect:enemy_message, val1:2.0, val2:2.3]</v>
      </c>
      <c r="H83" s="64">
        <f t="shared" si="174"/>
        <v>9</v>
      </c>
      <c r="I83" s="64">
        <f t="shared" si="175"/>
        <v>22</v>
      </c>
      <c r="J83" s="64" t="e">
        <f t="shared" si="176"/>
        <v>#VALUE!</v>
      </c>
      <c r="K83" s="64">
        <f t="shared" si="177"/>
        <v>32</v>
      </c>
      <c r="L83" s="64" t="str">
        <f>IFERROR(VLOOKUP(MID(G83,J83,K83-J83),[5]skilldef!$C:$D,2,FALSE),"-") &amp; " / " &amp; IFERROR(VLOOKUP(MID(G83,H83,I83-H83),[5]skilldef!$A:$B,2,FALSE),"-")</f>
        <v>- / -</v>
      </c>
      <c r="M83" s="64" t="str">
        <f t="shared" si="178"/>
        <v>[effect:force_change_block, new_block:jammer, target:block_all, ignore01:damage, count:0, val:0, animation:change_block]</v>
      </c>
      <c r="N83" s="48" t="str">
        <f t="shared" si="172"/>
        <v>[effect:force_change_block, new_block:jammer, target:block_all, ignore01:damage, count:0, val:0, animation:change_block]</v>
      </c>
      <c r="O83" s="64">
        <f t="shared" si="179"/>
        <v>9</v>
      </c>
      <c r="P83" s="64">
        <f t="shared" si="180"/>
        <v>27</v>
      </c>
      <c r="Q83" s="64">
        <f t="shared" si="181"/>
        <v>54</v>
      </c>
      <c r="R83" s="64">
        <f t="shared" si="182"/>
        <v>45</v>
      </c>
      <c r="S83" s="64" t="str">
        <f>IFERROR(VLOOKUP(MID(N83,Q83,R83-Q83),[5]skilldef!$C:$D,2,FALSE),"-") &amp; " / " &amp; IFERROR(VLOOKUP(MID(N83,O83,P83-O83),[5]skilldef!$A:$B,2,FALSE),"-")</f>
        <v>- / -</v>
      </c>
      <c r="T83" s="48" t="str">
        <f t="shared" si="183"/>
        <v>none</v>
      </c>
      <c r="U83" s="64" t="e">
        <f t="shared" si="184"/>
        <v>#VALUE!</v>
      </c>
      <c r="V83" s="64">
        <f t="shared" si="185"/>
        <v>4</v>
      </c>
      <c r="W83" s="64" t="e">
        <f t="shared" si="186"/>
        <v>#VALUE!</v>
      </c>
      <c r="X83" s="64" t="e">
        <f t="shared" si="187"/>
        <v>#VALUE!</v>
      </c>
      <c r="Y83" s="64" t="str">
        <f>IFERROR(VLOOKUP(MID(T83,W83,X83-W83),[5]skilldef!$C:$D,2,FALSE),"-") &amp; " / " &amp; IFERROR(VLOOKUP(MID(T83,U83,V83-U83),[5]skilldef!$A:$B,2,FALSE),"-")</f>
        <v>- / -</v>
      </c>
      <c r="Z83" s="50"/>
      <c r="AA83" s="52"/>
      <c r="AB83" s="50"/>
    </row>
    <row r="84" spans="1:28" ht="41" customHeight="1" x14ac:dyDescent="0.15">
      <c r="A84" s="119">
        <v>40039746</v>
      </c>
      <c r="B84" s="47" t="s">
        <v>348</v>
      </c>
      <c r="C84" s="124">
        <v>3</v>
      </c>
      <c r="D84" s="50" t="s">
        <v>126</v>
      </c>
      <c r="E84" s="51" t="s">
        <v>302</v>
      </c>
      <c r="F84" s="51" t="s">
        <v>273</v>
      </c>
      <c r="G84" s="64" t="str">
        <f t="shared" si="173"/>
        <v>[effect:enemy_message, val1:2.3, val2:1.8]</v>
      </c>
      <c r="H84" s="64">
        <f t="shared" si="174"/>
        <v>9</v>
      </c>
      <c r="I84" s="64">
        <f t="shared" si="175"/>
        <v>22</v>
      </c>
      <c r="J84" s="64" t="e">
        <f t="shared" si="176"/>
        <v>#VALUE!</v>
      </c>
      <c r="K84" s="64">
        <f t="shared" si="177"/>
        <v>32</v>
      </c>
      <c r="L84" s="64" t="str">
        <f>IFERROR(VLOOKUP(MID(G84,J84,K84-J84),[5]skilldef!$C:$D,2,FALSE),"-") &amp; " / " &amp; IFERROR(VLOOKUP(MID(G84,H84,I84-H84),[5]skilldef!$A:$B,2,FALSE),"-")</f>
        <v>- / -</v>
      </c>
      <c r="M84" s="64" t="str">
        <f t="shared" si="178"/>
        <v xml:space="preserve">[effect:break_enchance_enemy, target:myself, val:0.02, lowest_val:0, count:-1, status:attack, turn:-1, block01:jammer, calc:mul, animation:enemy_enhance_attack]    </v>
      </c>
      <c r="N84" s="48" t="str">
        <f t="shared" si="172"/>
        <v xml:space="preserve">[effect:break_enchance_enemy, target:myself, val:0.02, lowest_val:0, count:-1, status:attack, turn:-1, block01:jammer, calc:mul, animation:enemy_enhance_attack]    </v>
      </c>
      <c r="O84" s="64">
        <f t="shared" si="179"/>
        <v>9</v>
      </c>
      <c r="P84" s="64">
        <f t="shared" si="180"/>
        <v>29</v>
      </c>
      <c r="Q84" s="64">
        <f t="shared" si="181"/>
        <v>38</v>
      </c>
      <c r="R84" s="64">
        <f t="shared" si="182"/>
        <v>44</v>
      </c>
      <c r="S84" s="64" t="str">
        <f>IFERROR(VLOOKUP(MID(N84,Q84,R84-Q84),[5]skilldef!$C:$D,2,FALSE),"-") &amp; " / " &amp; IFERROR(VLOOKUP(MID(N84,O84,P84-O84),[5]skilldef!$A:$B,2,FALSE),"-")</f>
        <v>自分自身に / -</v>
      </c>
      <c r="T84" s="48" t="str">
        <f t="shared" si="183"/>
        <v>none</v>
      </c>
      <c r="U84" s="64" t="e">
        <f t="shared" si="184"/>
        <v>#VALUE!</v>
      </c>
      <c r="V84" s="64">
        <f t="shared" si="185"/>
        <v>4</v>
      </c>
      <c r="W84" s="64" t="e">
        <f t="shared" si="186"/>
        <v>#VALUE!</v>
      </c>
      <c r="X84" s="64" t="e">
        <f t="shared" si="187"/>
        <v>#VALUE!</v>
      </c>
      <c r="Y84" s="64" t="str">
        <f>IFERROR(VLOOKUP(MID(T84,W84,X84-W84),[5]skilldef!$C:$D,2,FALSE),"-") &amp; " / " &amp; IFERROR(VLOOKUP(MID(T84,U84,V84-U84),[5]skilldef!$A:$B,2,FALSE),"-")</f>
        <v>- / -</v>
      </c>
      <c r="Z84" s="50"/>
      <c r="AA84" s="52"/>
      <c r="AB84" s="50"/>
    </row>
    <row r="85" spans="1:28" ht="41" customHeight="1" x14ac:dyDescent="0.15">
      <c r="A85" s="119">
        <v>40039747</v>
      </c>
      <c r="B85" s="47" t="s">
        <v>301</v>
      </c>
      <c r="C85" s="124">
        <v>3</v>
      </c>
      <c r="D85" s="50" t="s">
        <v>126</v>
      </c>
      <c r="E85" s="51" t="s">
        <v>300</v>
      </c>
      <c r="F85" s="51" t="s">
        <v>273</v>
      </c>
      <c r="G85" s="64" t="str">
        <f t="shared" si="173"/>
        <v xml:space="preserve">[effect:break_enchance_enemy, target:myself, val:0.5, lowest_val:0, count:-1, status:attack, turn:-1, block01:jammer, calc:mul, animation:enemy_enhance_attack]    </v>
      </c>
      <c r="H85" s="64">
        <f t="shared" si="174"/>
        <v>9</v>
      </c>
      <c r="I85" s="64">
        <f t="shared" si="175"/>
        <v>29</v>
      </c>
      <c r="J85" s="64">
        <f t="shared" si="176"/>
        <v>38</v>
      </c>
      <c r="K85" s="64">
        <f t="shared" si="177"/>
        <v>44</v>
      </c>
      <c r="L85" s="64" t="str">
        <f>IFERROR(VLOOKUP(MID(G85,J85,K85-J85),[5]skilldef!$C:$D,2,FALSE),"-") &amp; " / " &amp; IFERROR(VLOOKUP(MID(G85,H85,I85-H85),[5]skilldef!$A:$B,2,FALSE),"-")</f>
        <v>自分自身に / -</v>
      </c>
      <c r="M85" s="64" t="str">
        <f t="shared" si="178"/>
        <v>none</v>
      </c>
      <c r="N85" s="48" t="str">
        <f t="shared" si="172"/>
        <v>none</v>
      </c>
      <c r="O85" s="64" t="e">
        <f t="shared" si="179"/>
        <v>#VALUE!</v>
      </c>
      <c r="P85" s="64">
        <f t="shared" si="180"/>
        <v>4</v>
      </c>
      <c r="Q85" s="64" t="e">
        <f t="shared" si="181"/>
        <v>#VALUE!</v>
      </c>
      <c r="R85" s="64" t="e">
        <f t="shared" si="182"/>
        <v>#VALUE!</v>
      </c>
      <c r="S85" s="64" t="str">
        <f>IFERROR(VLOOKUP(MID(N85,Q85,R85-Q85),[5]skilldef!$C:$D,2,FALSE),"-") &amp; " / " &amp; IFERROR(VLOOKUP(MID(N85,O85,P85-O85),[5]skilldef!$A:$B,2,FALSE),"-")</f>
        <v>- / -</v>
      </c>
      <c r="T85" s="48" t="str">
        <f t="shared" si="183"/>
        <v>none</v>
      </c>
      <c r="U85" s="64" t="e">
        <f t="shared" si="184"/>
        <v>#VALUE!</v>
      </c>
      <c r="V85" s="64">
        <f t="shared" si="185"/>
        <v>4</v>
      </c>
      <c r="W85" s="64" t="e">
        <f t="shared" si="186"/>
        <v>#VALUE!</v>
      </c>
      <c r="X85" s="64" t="e">
        <f t="shared" si="187"/>
        <v>#VALUE!</v>
      </c>
      <c r="Y85" s="64" t="str">
        <f>IFERROR(VLOOKUP(MID(T85,W85,X85-W85),[5]skilldef!$C:$D,2,FALSE),"-") &amp; " / " &amp; IFERROR(VLOOKUP(MID(T85,U85,V85-U85),[5]skilldef!$A:$B,2,FALSE),"-")</f>
        <v>- / -</v>
      </c>
      <c r="Z85" s="50"/>
      <c r="AA85" s="52"/>
      <c r="AB85" s="50"/>
    </row>
    <row r="86" spans="1:28" ht="41" customHeight="1" x14ac:dyDescent="0.15">
      <c r="A86" s="119">
        <v>40039748</v>
      </c>
      <c r="B86" s="136" t="s">
        <v>441</v>
      </c>
      <c r="C86" s="124">
        <v>3</v>
      </c>
      <c r="D86" s="50" t="s">
        <v>126</v>
      </c>
      <c r="E86" s="51" t="s">
        <v>297</v>
      </c>
      <c r="F86" s="51" t="s">
        <v>390</v>
      </c>
      <c r="G86" s="64" t="str">
        <f t="shared" si="173"/>
        <v>[effect:force_change_block, new_block:damage, target:block_all, ignore01:block_positive, ignore02:block_negative, color:block_red, count:2, val:0.1]</v>
      </c>
      <c r="H86" s="64">
        <f t="shared" si="174"/>
        <v>9</v>
      </c>
      <c r="I86" s="64">
        <f t="shared" si="175"/>
        <v>27</v>
      </c>
      <c r="J86" s="64">
        <f t="shared" si="176"/>
        <v>54</v>
      </c>
      <c r="K86" s="64">
        <f t="shared" si="177"/>
        <v>45</v>
      </c>
      <c r="L86" s="64" t="str">
        <f>IFERROR(VLOOKUP(MID(G86,J86,K86-J86),[5]skilldef!$C:$D,2,FALSE),"-") &amp; " / " &amp; IFERROR(VLOOKUP(MID(G86,H86,I86-H86),[5]skilldef!$A:$B,2,FALSE),"-")</f>
        <v>- / -</v>
      </c>
      <c r="M86" s="64" t="str">
        <f t="shared" si="178"/>
        <v>[effect:force_change_block, new_block:damage, target:block_all, ignore01:block_positive, ignore02:block_negative, color:block_green, count:2, val:0.1],[effect:force_change_block, new_block:damage, target:block_all, ignore01:block_positive, ignore02:block_negative, color:block_blue, count:2, val:0.1],[effect:force_change_block, new_block:damage, target:block_all, ignore01:block_positive, ignore02:block_negative, color:block_yellow, count:2, val:0.1],[effect:force_change_block, new_block:damage, target:block_all, ignore01:block_positive, ignore02:block_negative, color:block_heart, count:2, val:0.1]</v>
      </c>
      <c r="N86" s="48" t="str">
        <f t="shared" si="172"/>
        <v>[effect:force_change_block, new_block:damage, target:block_all, ignore01:block_positive, ignore02:block_negative, color:block_green, count:2, val:0.1]</v>
      </c>
      <c r="O86" s="64">
        <f t="shared" si="179"/>
        <v>9</v>
      </c>
      <c r="P86" s="64">
        <f t="shared" si="180"/>
        <v>27</v>
      </c>
      <c r="Q86" s="64">
        <f t="shared" si="181"/>
        <v>54</v>
      </c>
      <c r="R86" s="64">
        <f t="shared" si="182"/>
        <v>45</v>
      </c>
      <c r="S86" s="64" t="str">
        <f>IFERROR(VLOOKUP(MID(N86,Q86,R86-Q86),[5]skilldef!$C:$D,2,FALSE),"-") &amp; " / " &amp; IFERROR(VLOOKUP(MID(N86,O86,P86-O86),[5]skilldef!$A:$B,2,FALSE),"-")</f>
        <v>- / -</v>
      </c>
      <c r="T86" s="48" t="str">
        <f t="shared" si="183"/>
        <v>[effect:force_change_block, new_block:damage, target:block_all, ignore01:block_positive, ignore02:block_negative, color:block_blue, count:2, val:0.1],[effect:force_change_block, new_block:damage, target:block_all, ignore01:block_positive, ignore02:block_negative, color:block_yellow, count:2, val:0.1],[effect:force_change_block, new_block:damage, target:block_all, ignore01:block_positive, ignore02:block_negative, color:block_heart, count:2, val:0.1]</v>
      </c>
      <c r="U86" s="64">
        <f t="shared" si="184"/>
        <v>9</v>
      </c>
      <c r="V86" s="64">
        <f t="shared" si="185"/>
        <v>27</v>
      </c>
      <c r="W86" s="64">
        <f t="shared" si="186"/>
        <v>54</v>
      </c>
      <c r="X86" s="64">
        <f t="shared" si="187"/>
        <v>45</v>
      </c>
      <c r="Y86" s="64" t="str">
        <f>IFERROR(VLOOKUP(MID(T86,W86,X86-W86),[5]skilldef!$C:$D,2,FALSE),"-") &amp; " / " &amp; IFERROR(VLOOKUP(MID(T86,U86,V86-U86),[5]skilldef!$A:$B,2,FALSE),"-")</f>
        <v>- / -</v>
      </c>
      <c r="Z86" s="50"/>
      <c r="AA86" s="52"/>
      <c r="AB86" s="50"/>
    </row>
    <row r="87" spans="1:28" ht="41" customHeight="1" x14ac:dyDescent="0.15">
      <c r="A87" s="119">
        <v>40039749</v>
      </c>
      <c r="B87" s="136" t="s">
        <v>441</v>
      </c>
      <c r="C87" s="124">
        <v>3</v>
      </c>
      <c r="D87" s="50" t="s">
        <v>126</v>
      </c>
      <c r="E87" s="125" t="s">
        <v>305</v>
      </c>
      <c r="F87" s="51" t="s">
        <v>390</v>
      </c>
      <c r="G87" s="64" t="str">
        <f t="shared" si="173"/>
        <v>[effect:force_change_block, new_block:damage, target:block_all, ignore01:block_positive, ignore02:block_negative, color:block_red, count:2, val:0.1]</v>
      </c>
      <c r="H87" s="64">
        <f t="shared" si="174"/>
        <v>9</v>
      </c>
      <c r="I87" s="64">
        <f t="shared" si="175"/>
        <v>27</v>
      </c>
      <c r="J87" s="64">
        <f t="shared" si="176"/>
        <v>54</v>
      </c>
      <c r="K87" s="64">
        <f t="shared" si="177"/>
        <v>45</v>
      </c>
      <c r="L87" s="64" t="str">
        <f>IFERROR(VLOOKUP(MID(G87,J87,K87-J87),[5]skilldef!$C:$D,2,FALSE),"-") &amp; " / " &amp; IFERROR(VLOOKUP(MID(G87,H87,I87-H87),[5]skilldef!$A:$B,2,FALSE),"-")</f>
        <v>- / -</v>
      </c>
      <c r="M87" s="64" t="str">
        <f t="shared" si="178"/>
        <v>[effect:force_change_block, new_block:damage, target:block_all, ignore01:block_positive, ignore02:block_negative, color:block_green, count:2, val:0.1],[effect:force_change_block, new_block:damage, target:block_all, ignore01:block_positive, ignore02:block_negative, color:block_blue, count:2, val:0.1],[effect:force_change_block, new_block:damage, target:block_all, ignore01:block_positive, ignore02:block_negative, color:block_yellow, count:2, val:0.1],[effect:force_change_block, new_block:damage, target:block_all, ignore01:block_positive, ignore02:block_negative, color:block_heart, count:2, val:0.1]</v>
      </c>
      <c r="N87" s="48" t="str">
        <f t="shared" si="172"/>
        <v>[effect:force_change_block, new_block:damage, target:block_all, ignore01:block_positive, ignore02:block_negative, color:block_green, count:2, val:0.1]</v>
      </c>
      <c r="O87" s="64">
        <f t="shared" si="179"/>
        <v>9</v>
      </c>
      <c r="P87" s="64">
        <f t="shared" si="180"/>
        <v>27</v>
      </c>
      <c r="Q87" s="64">
        <f t="shared" si="181"/>
        <v>54</v>
      </c>
      <c r="R87" s="64">
        <f t="shared" si="182"/>
        <v>45</v>
      </c>
      <c r="S87" s="64" t="str">
        <f>IFERROR(VLOOKUP(MID(N87,Q87,R87-Q87),[5]skilldef!$C:$D,2,FALSE),"-") &amp; " / " &amp; IFERROR(VLOOKUP(MID(N87,O87,P87-O87),[5]skilldef!$A:$B,2,FALSE),"-")</f>
        <v>- / -</v>
      </c>
      <c r="T87" s="48" t="str">
        <f t="shared" si="183"/>
        <v>[effect:force_change_block, new_block:damage, target:block_all, ignore01:block_positive, ignore02:block_negative, color:block_blue, count:2, val:0.1],[effect:force_change_block, new_block:damage, target:block_all, ignore01:block_positive, ignore02:block_negative, color:block_yellow, count:2, val:0.1],[effect:force_change_block, new_block:damage, target:block_all, ignore01:block_positive, ignore02:block_negative, color:block_heart, count:2, val:0.1]</v>
      </c>
      <c r="U87" s="64">
        <f t="shared" si="184"/>
        <v>9</v>
      </c>
      <c r="V87" s="64">
        <f t="shared" si="185"/>
        <v>27</v>
      </c>
      <c r="W87" s="64">
        <f t="shared" si="186"/>
        <v>54</v>
      </c>
      <c r="X87" s="64">
        <f t="shared" si="187"/>
        <v>45</v>
      </c>
      <c r="Y87" s="64" t="str">
        <f>IFERROR(VLOOKUP(MID(T87,W87,X87-W87),[5]skilldef!$C:$D,2,FALSE),"-") &amp; " / " &amp; IFERROR(VLOOKUP(MID(T87,U87,V87-U87),[5]skilldef!$A:$B,2,FALSE),"-")</f>
        <v>- / -</v>
      </c>
      <c r="Z87" s="50"/>
      <c r="AA87" s="52"/>
      <c r="AB87" s="50"/>
    </row>
    <row r="88" spans="1:28" ht="41" customHeight="1" x14ac:dyDescent="0.15">
      <c r="A88" s="119">
        <v>40039750</v>
      </c>
      <c r="B88" s="128" t="s">
        <v>362</v>
      </c>
      <c r="C88" s="124">
        <v>3</v>
      </c>
      <c r="D88" s="50" t="s">
        <v>126</v>
      </c>
      <c r="E88" s="125" t="s">
        <v>310</v>
      </c>
      <c r="F88" s="51" t="s">
        <v>394</v>
      </c>
      <c r="G88" s="64" t="str">
        <f t="shared" ref="G88:G89" si="188">IFERROR(LEFT(B88,FIND("],",B88)),B88)</f>
        <v>[effect:enemy_message, val1:3.0, val2:3.0, dead_type:suicide]</v>
      </c>
      <c r="H88" s="64">
        <f t="shared" ref="H88:H89" si="189">FIND("effect:",G88)+7</f>
        <v>9</v>
      </c>
      <c r="I88" s="64">
        <f t="shared" ref="I88:I89" si="190">IFERROR(FIND(",",G88),LEN(G88))</f>
        <v>22</v>
      </c>
      <c r="J88" s="64" t="e">
        <f t="shared" ref="J88:J89" si="191">FIND("target:",G88)+7</f>
        <v>#VALUE!</v>
      </c>
      <c r="K88" s="64">
        <f t="shared" ref="K88:K89" si="192">FIND(",",G88,I88+1)</f>
        <v>32</v>
      </c>
      <c r="L88" s="64" t="str">
        <f>IFERROR(VLOOKUP(MID(G88,J88,K88-J88),[5]skilldef!$C:$D,2,FALSE),"-") &amp; " / " &amp; IFERROR(VLOOKUP(MID(G88,H88,I88-H88),[5]skilldef!$A:$B,2,FALSE),"-")</f>
        <v>- / -</v>
      </c>
      <c r="M88" s="64" t="str">
        <f t="shared" ref="M88:M89" si="193">IFERROR(RIGHT(B88,LEN(B88)-FIND("],",B88)-1),"none")</f>
        <v>none</v>
      </c>
      <c r="N88" s="48" t="str">
        <f t="shared" ref="N88:N89" si="194">IFERROR(LEFT(M88,FIND("],",M88)+S97),M88)</f>
        <v>none</v>
      </c>
      <c r="O88" s="64" t="e">
        <f t="shared" ref="O88:O89" si="195">FIND("effect:",N88)+7</f>
        <v>#VALUE!</v>
      </c>
      <c r="P88" s="64">
        <f t="shared" ref="P88:P89" si="196">IFERROR(FIND(",",N88),LEN(N88))</f>
        <v>4</v>
      </c>
      <c r="Q88" s="64" t="e">
        <f t="shared" ref="Q88:Q89" si="197">FIND("target:",N88)+7</f>
        <v>#VALUE!</v>
      </c>
      <c r="R88" s="64" t="e">
        <f t="shared" ref="R88:R89" si="198">FIND(",",N88,P88+1)</f>
        <v>#VALUE!</v>
      </c>
      <c r="S88" s="64" t="str">
        <f>IFERROR(VLOOKUP(MID(N88,Q88,R88-Q88),[5]skilldef!$C:$D,2,FALSE),"-") &amp; " / " &amp; IFERROR(VLOOKUP(MID(N88,O88,P88-O88),[5]skilldef!$A:$B,2,FALSE),"-")</f>
        <v>- / -</v>
      </c>
      <c r="T88" s="48" t="str">
        <f t="shared" ref="T88:T89" si="199">IFERROR(RIGHT(M88,LEN(M88)-FIND("],",M88)-1),"none")</f>
        <v>none</v>
      </c>
      <c r="U88" s="64" t="e">
        <f t="shared" ref="U88:U89" si="200">FIND("effect:",T88)+7</f>
        <v>#VALUE!</v>
      </c>
      <c r="V88" s="64">
        <f t="shared" ref="V88:V89" si="201">IFERROR(FIND(",",T88),LEN(T88))</f>
        <v>4</v>
      </c>
      <c r="W88" s="64" t="e">
        <f t="shared" ref="W88:W89" si="202">FIND("target:",T88)+7</f>
        <v>#VALUE!</v>
      </c>
      <c r="X88" s="64" t="e">
        <f t="shared" ref="X88:X89" si="203">FIND(",",T88,V88+1)</f>
        <v>#VALUE!</v>
      </c>
      <c r="Y88" s="64" t="str">
        <f>IFERROR(VLOOKUP(MID(T88,W88,X88-W88),[5]skilldef!$C:$D,2,FALSE),"-") &amp; " / " &amp; IFERROR(VLOOKUP(MID(T88,U88,V88-U88),[5]skilldef!$A:$B,2,FALSE),"-")</f>
        <v>- / -</v>
      </c>
      <c r="Z88" s="50"/>
      <c r="AA88" s="52"/>
      <c r="AB88" s="50"/>
    </row>
    <row r="89" spans="1:28" ht="41" customHeight="1" thickBot="1" x14ac:dyDescent="0.2">
      <c r="A89" s="119">
        <v>40039751</v>
      </c>
      <c r="B89" s="128" t="s">
        <v>363</v>
      </c>
      <c r="C89" s="124">
        <v>3</v>
      </c>
      <c r="D89" s="50" t="s">
        <v>126</v>
      </c>
      <c r="E89" s="127" t="s">
        <v>373</v>
      </c>
      <c r="F89" s="127" t="s">
        <v>325</v>
      </c>
      <c r="G89" s="64" t="str">
        <f t="shared" si="188"/>
        <v>[effect:enemy_message, val1:3.0, val2:3.5, dead_type:suicide]</v>
      </c>
      <c r="H89" s="64">
        <f t="shared" si="189"/>
        <v>9</v>
      </c>
      <c r="I89" s="64">
        <f t="shared" si="190"/>
        <v>22</v>
      </c>
      <c r="J89" s="64" t="e">
        <f t="shared" si="191"/>
        <v>#VALUE!</v>
      </c>
      <c r="K89" s="64">
        <f t="shared" si="192"/>
        <v>32</v>
      </c>
      <c r="L89" s="64" t="str">
        <f>IFERROR(VLOOKUP(MID(G89,J89,K89-J89),[5]skilldef!$C:$D,2,FALSE),"-") &amp; " / " &amp; IFERROR(VLOOKUP(MID(G89,H89,I89-H89),[5]skilldef!$A:$B,2,FALSE),"-")</f>
        <v>- / -</v>
      </c>
      <c r="M89" s="64" t="str">
        <f t="shared" si="193"/>
        <v>none</v>
      </c>
      <c r="N89" s="48" t="str">
        <f t="shared" si="194"/>
        <v>none</v>
      </c>
      <c r="O89" s="64" t="e">
        <f t="shared" si="195"/>
        <v>#VALUE!</v>
      </c>
      <c r="P89" s="64">
        <f t="shared" si="196"/>
        <v>4</v>
      </c>
      <c r="Q89" s="64" t="e">
        <f t="shared" si="197"/>
        <v>#VALUE!</v>
      </c>
      <c r="R89" s="64" t="e">
        <f t="shared" si="198"/>
        <v>#VALUE!</v>
      </c>
      <c r="S89" s="64" t="str">
        <f>IFERROR(VLOOKUP(MID(N89,Q89,R89-Q89),[5]skilldef!$C:$D,2,FALSE),"-") &amp; " / " &amp; IFERROR(VLOOKUP(MID(N89,O89,P89-O89),[5]skilldef!$A:$B,2,FALSE),"-")</f>
        <v>- / -</v>
      </c>
      <c r="T89" s="48" t="str">
        <f t="shared" si="199"/>
        <v>none</v>
      </c>
      <c r="U89" s="64" t="e">
        <f t="shared" si="200"/>
        <v>#VALUE!</v>
      </c>
      <c r="V89" s="64">
        <f t="shared" si="201"/>
        <v>4</v>
      </c>
      <c r="W89" s="64" t="e">
        <f t="shared" si="202"/>
        <v>#VALUE!</v>
      </c>
      <c r="X89" s="64" t="e">
        <f t="shared" si="203"/>
        <v>#VALUE!</v>
      </c>
      <c r="Y89" s="64" t="str">
        <f>IFERROR(VLOOKUP(MID(T89,W89,X89-W89),[5]skilldef!$C:$D,2,FALSE),"-") &amp; " / " &amp; IFERROR(VLOOKUP(MID(T89,U89,V89-U89),[5]skilldef!$A:$B,2,FALSE),"-")</f>
        <v>- / -</v>
      </c>
      <c r="Z89" s="50"/>
      <c r="AA89" s="52"/>
      <c r="AB89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93"/>
  <sheetViews>
    <sheetView showGridLines="0" zoomScale="75" zoomScaleNormal="75" zoomScalePageLayoutView="75" workbookViewId="0">
      <pane ySplit="1" topLeftCell="A58" activePane="bottomLeft" state="frozenSplit"/>
      <selection pane="bottomLeft" activeCell="C69" sqref="C69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53" t="s">
        <v>84</v>
      </c>
      <c r="B1" s="53" t="s">
        <v>85</v>
      </c>
      <c r="C1" s="53" t="s">
        <v>86</v>
      </c>
      <c r="D1" s="53" t="s">
        <v>87</v>
      </c>
      <c r="E1" s="53" t="s">
        <v>70</v>
      </c>
      <c r="F1" s="53" t="s">
        <v>71</v>
      </c>
      <c r="G1" s="53" t="s">
        <v>72</v>
      </c>
      <c r="H1" s="53" t="s">
        <v>73</v>
      </c>
      <c r="I1" s="53" t="s">
        <v>74</v>
      </c>
      <c r="J1" s="53" t="s">
        <v>75</v>
      </c>
      <c r="K1" s="54" t="s">
        <v>88</v>
      </c>
    </row>
    <row r="2" spans="1:11" ht="21" customHeight="1" x14ac:dyDescent="0.15">
      <c r="A2" s="62">
        <v>40039001</v>
      </c>
      <c r="B2" s="120">
        <v>0</v>
      </c>
      <c r="C2" s="120" t="s">
        <v>53</v>
      </c>
      <c r="D2" s="120">
        <v>100</v>
      </c>
      <c r="E2" s="120" t="s">
        <v>53</v>
      </c>
      <c r="F2" s="120" t="s">
        <v>53</v>
      </c>
      <c r="G2" s="120" t="s">
        <v>53</v>
      </c>
      <c r="H2" s="120">
        <v>1</v>
      </c>
      <c r="I2" s="120" t="s">
        <v>53</v>
      </c>
      <c r="J2" s="121">
        <f t="shared" ref="J2:J47" si="0">D2</f>
        <v>100</v>
      </c>
    </row>
    <row r="3" spans="1:11" ht="21" customHeight="1" x14ac:dyDescent="0.15">
      <c r="A3" s="62">
        <v>40039002</v>
      </c>
      <c r="B3" s="120">
        <v>0</v>
      </c>
      <c r="C3" s="120">
        <v>111</v>
      </c>
      <c r="D3" s="120">
        <v>100</v>
      </c>
      <c r="E3" s="120" t="s">
        <v>53</v>
      </c>
      <c r="F3" s="120" t="s">
        <v>53</v>
      </c>
      <c r="G3" s="120">
        <v>1</v>
      </c>
      <c r="H3" s="120">
        <v>1</v>
      </c>
      <c r="I3" s="120">
        <v>223</v>
      </c>
      <c r="J3" s="121">
        <f t="shared" si="0"/>
        <v>100</v>
      </c>
    </row>
    <row r="4" spans="1:11" ht="21" customHeight="1" x14ac:dyDescent="0.15">
      <c r="A4" s="62">
        <v>40039003</v>
      </c>
      <c r="B4" s="120">
        <v>0</v>
      </c>
      <c r="C4" s="120">
        <v>110</v>
      </c>
      <c r="D4" s="120">
        <v>100</v>
      </c>
      <c r="E4" s="120" t="s">
        <v>53</v>
      </c>
      <c r="F4" s="120" t="s">
        <v>53</v>
      </c>
      <c r="G4" s="120">
        <v>1</v>
      </c>
      <c r="H4" s="120">
        <v>1</v>
      </c>
      <c r="I4" s="120">
        <v>220</v>
      </c>
      <c r="J4" s="121">
        <f t="shared" si="0"/>
        <v>100</v>
      </c>
    </row>
    <row r="5" spans="1:11" ht="21" customHeight="1" x14ac:dyDescent="0.15">
      <c r="A5" s="62">
        <v>40039004</v>
      </c>
      <c r="B5" s="120">
        <v>0</v>
      </c>
      <c r="C5" s="120">
        <v>120</v>
      </c>
      <c r="D5" s="120">
        <v>100</v>
      </c>
      <c r="E5" s="120" t="s">
        <v>53</v>
      </c>
      <c r="F5" s="120" t="s">
        <v>53</v>
      </c>
      <c r="G5" s="120">
        <v>0</v>
      </c>
      <c r="H5" s="120">
        <v>1</v>
      </c>
      <c r="I5" s="120">
        <v>0</v>
      </c>
      <c r="J5" s="121">
        <f t="shared" si="0"/>
        <v>100</v>
      </c>
    </row>
    <row r="6" spans="1:11" ht="21" customHeight="1" x14ac:dyDescent="0.15">
      <c r="A6" s="62">
        <v>40039021</v>
      </c>
      <c r="B6" s="47">
        <v>1</v>
      </c>
      <c r="C6" s="47" t="s">
        <v>53</v>
      </c>
      <c r="D6" s="47">
        <v>100</v>
      </c>
      <c r="E6" s="47" t="s">
        <v>53</v>
      </c>
      <c r="F6" s="47" t="s">
        <v>53</v>
      </c>
      <c r="G6" s="120">
        <v>1</v>
      </c>
      <c r="H6" s="47" t="s">
        <v>53</v>
      </c>
      <c r="I6" s="47" t="s">
        <v>53</v>
      </c>
      <c r="J6" s="48">
        <f t="shared" si="0"/>
        <v>100</v>
      </c>
    </row>
    <row r="7" spans="1:11" ht="21" customHeight="1" x14ac:dyDescent="0.15">
      <c r="A7" s="62">
        <v>40039022</v>
      </c>
      <c r="B7" s="47">
        <v>0</v>
      </c>
      <c r="C7" s="47" t="s">
        <v>53</v>
      </c>
      <c r="D7" s="47">
        <v>100</v>
      </c>
      <c r="E7" s="47" t="s">
        <v>53</v>
      </c>
      <c r="F7" s="47" t="s">
        <v>53</v>
      </c>
      <c r="G7" s="120" t="s">
        <v>53</v>
      </c>
      <c r="H7" s="47">
        <v>1</v>
      </c>
      <c r="I7" s="47" t="s">
        <v>53</v>
      </c>
      <c r="J7" s="48">
        <f t="shared" si="0"/>
        <v>100</v>
      </c>
    </row>
    <row r="8" spans="1:11" ht="21" customHeight="1" x14ac:dyDescent="0.15">
      <c r="A8" s="62">
        <v>40039023</v>
      </c>
      <c r="B8" s="47">
        <v>0</v>
      </c>
      <c r="C8" s="47">
        <v>111</v>
      </c>
      <c r="D8" s="47">
        <v>100</v>
      </c>
      <c r="E8" s="47" t="s">
        <v>53</v>
      </c>
      <c r="F8" s="47" t="s">
        <v>53</v>
      </c>
      <c r="G8" s="120">
        <v>1</v>
      </c>
      <c r="H8" s="47">
        <v>1</v>
      </c>
      <c r="I8" s="47">
        <v>162</v>
      </c>
      <c r="J8" s="48">
        <f t="shared" si="0"/>
        <v>100</v>
      </c>
    </row>
    <row r="9" spans="1:11" ht="21" customHeight="1" x14ac:dyDescent="0.15">
      <c r="A9" s="62">
        <v>40039024</v>
      </c>
      <c r="B9" s="47">
        <v>0</v>
      </c>
      <c r="C9" s="47">
        <v>110</v>
      </c>
      <c r="D9" s="47">
        <v>100</v>
      </c>
      <c r="E9" s="47" t="s">
        <v>53</v>
      </c>
      <c r="F9" s="47" t="s">
        <v>53</v>
      </c>
      <c r="G9" s="120">
        <v>1</v>
      </c>
      <c r="H9" s="47">
        <v>1</v>
      </c>
      <c r="I9" s="47">
        <v>220</v>
      </c>
      <c r="J9" s="48">
        <f t="shared" si="0"/>
        <v>100</v>
      </c>
    </row>
    <row r="10" spans="1:11" ht="21" customHeight="1" x14ac:dyDescent="0.15">
      <c r="A10" s="62">
        <v>40039025</v>
      </c>
      <c r="B10" s="120">
        <v>0</v>
      </c>
      <c r="C10" s="120">
        <v>120</v>
      </c>
      <c r="D10" s="120">
        <v>100</v>
      </c>
      <c r="E10" s="120" t="s">
        <v>53</v>
      </c>
      <c r="F10" s="120" t="s">
        <v>53</v>
      </c>
      <c r="G10" s="120">
        <v>0</v>
      </c>
      <c r="H10" s="120">
        <v>1</v>
      </c>
      <c r="I10" s="120">
        <v>0</v>
      </c>
      <c r="J10" s="48">
        <f t="shared" si="0"/>
        <v>100</v>
      </c>
    </row>
    <row r="11" spans="1:11" ht="21" customHeight="1" x14ac:dyDescent="0.15">
      <c r="A11" s="62">
        <v>40039041</v>
      </c>
      <c r="B11" s="47">
        <v>0</v>
      </c>
      <c r="C11" s="47" t="s">
        <v>53</v>
      </c>
      <c r="D11" s="47">
        <v>100</v>
      </c>
      <c r="E11" s="47" t="s">
        <v>53</v>
      </c>
      <c r="F11" s="47" t="s">
        <v>53</v>
      </c>
      <c r="G11" s="120" t="s">
        <v>53</v>
      </c>
      <c r="H11" s="47">
        <v>1</v>
      </c>
      <c r="I11" s="47" t="s">
        <v>53</v>
      </c>
      <c r="J11" s="48">
        <f t="shared" si="0"/>
        <v>100</v>
      </c>
    </row>
    <row r="12" spans="1:11" ht="21" customHeight="1" x14ac:dyDescent="0.15">
      <c r="A12" s="62">
        <v>40039042</v>
      </c>
      <c r="B12" s="47">
        <v>0</v>
      </c>
      <c r="C12" s="47">
        <v>111</v>
      </c>
      <c r="D12" s="47">
        <v>100</v>
      </c>
      <c r="E12" s="47" t="s">
        <v>53</v>
      </c>
      <c r="F12" s="47" t="s">
        <v>53</v>
      </c>
      <c r="G12" s="120">
        <v>1</v>
      </c>
      <c r="H12" s="47">
        <v>1</v>
      </c>
      <c r="I12" s="47">
        <v>223</v>
      </c>
      <c r="J12" s="48">
        <f t="shared" si="0"/>
        <v>100</v>
      </c>
    </row>
    <row r="13" spans="1:11" ht="21" customHeight="1" x14ac:dyDescent="0.15">
      <c r="A13" s="62">
        <v>40039043</v>
      </c>
      <c r="B13" s="47">
        <v>0</v>
      </c>
      <c r="C13" s="47">
        <v>110</v>
      </c>
      <c r="D13" s="47">
        <v>100</v>
      </c>
      <c r="E13" s="47" t="s">
        <v>53</v>
      </c>
      <c r="F13" s="47" t="s">
        <v>53</v>
      </c>
      <c r="G13" s="120">
        <v>1</v>
      </c>
      <c r="H13" s="47">
        <v>1</v>
      </c>
      <c r="I13" s="47">
        <v>162</v>
      </c>
      <c r="J13" s="48">
        <f t="shared" si="0"/>
        <v>100</v>
      </c>
    </row>
    <row r="14" spans="1:11" ht="21" customHeight="1" x14ac:dyDescent="0.15">
      <c r="A14" s="62">
        <v>40039044</v>
      </c>
      <c r="B14" s="120">
        <v>0</v>
      </c>
      <c r="C14" s="120">
        <v>120</v>
      </c>
      <c r="D14" s="120">
        <v>100</v>
      </c>
      <c r="E14" s="120" t="s">
        <v>53</v>
      </c>
      <c r="F14" s="120" t="s">
        <v>53</v>
      </c>
      <c r="G14" s="120">
        <v>0</v>
      </c>
      <c r="H14" s="120">
        <v>1</v>
      </c>
      <c r="I14" s="120">
        <v>0</v>
      </c>
      <c r="J14" s="48">
        <f t="shared" si="0"/>
        <v>100</v>
      </c>
    </row>
    <row r="15" spans="1:11" ht="21" customHeight="1" x14ac:dyDescent="0.15">
      <c r="A15" s="62">
        <v>40039101</v>
      </c>
      <c r="B15" s="47">
        <v>1</v>
      </c>
      <c r="C15" s="47">
        <v>100</v>
      </c>
      <c r="D15" s="47">
        <v>100</v>
      </c>
      <c r="E15" s="47" t="s">
        <v>53</v>
      </c>
      <c r="F15" s="47" t="s">
        <v>53</v>
      </c>
      <c r="G15" s="120" t="s">
        <v>53</v>
      </c>
      <c r="H15" s="47">
        <v>2</v>
      </c>
      <c r="I15" s="47" t="s">
        <v>53</v>
      </c>
      <c r="J15" s="48">
        <f t="shared" si="0"/>
        <v>100</v>
      </c>
    </row>
    <row r="16" spans="1:11" ht="21" customHeight="1" x14ac:dyDescent="0.15">
      <c r="A16" s="62">
        <v>40039102</v>
      </c>
      <c r="B16" s="47">
        <v>0</v>
      </c>
      <c r="C16" s="47">
        <v>101</v>
      </c>
      <c r="D16" s="47">
        <v>100</v>
      </c>
      <c r="E16" s="47">
        <v>50</v>
      </c>
      <c r="F16" s="47" t="s">
        <v>53</v>
      </c>
      <c r="G16" s="120">
        <v>1</v>
      </c>
      <c r="H16" s="47">
        <v>1</v>
      </c>
      <c r="I16" s="47" t="s">
        <v>53</v>
      </c>
      <c r="J16" s="48">
        <f t="shared" si="0"/>
        <v>100</v>
      </c>
    </row>
    <row r="17" spans="1:10" ht="21" customHeight="1" x14ac:dyDescent="0.15">
      <c r="A17" s="62">
        <v>40039103</v>
      </c>
      <c r="B17" s="47">
        <v>0</v>
      </c>
      <c r="C17" s="47">
        <v>110</v>
      </c>
      <c r="D17" s="47">
        <v>100</v>
      </c>
      <c r="E17" s="47" t="s">
        <v>53</v>
      </c>
      <c r="F17" s="47" t="s">
        <v>53</v>
      </c>
      <c r="G17" s="120">
        <v>1</v>
      </c>
      <c r="H17" s="47">
        <v>1</v>
      </c>
      <c r="I17" s="47">
        <v>251</v>
      </c>
      <c r="J17" s="48">
        <f t="shared" si="0"/>
        <v>100</v>
      </c>
    </row>
    <row r="18" spans="1:10" ht="21" customHeight="1" x14ac:dyDescent="0.15">
      <c r="A18" s="62">
        <v>40039104</v>
      </c>
      <c r="B18" s="120">
        <v>0</v>
      </c>
      <c r="C18" s="120">
        <v>120</v>
      </c>
      <c r="D18" s="120">
        <v>100</v>
      </c>
      <c r="E18" s="120" t="s">
        <v>53</v>
      </c>
      <c r="F18" s="120" t="s">
        <v>53</v>
      </c>
      <c r="G18" s="120">
        <v>0</v>
      </c>
      <c r="H18" s="120">
        <v>1</v>
      </c>
      <c r="I18" s="120">
        <v>0</v>
      </c>
      <c r="J18" s="48">
        <f t="shared" si="0"/>
        <v>100</v>
      </c>
    </row>
    <row r="19" spans="1:10" ht="21" customHeight="1" x14ac:dyDescent="0.15">
      <c r="A19" s="62">
        <v>40039121</v>
      </c>
      <c r="B19" s="47">
        <v>0</v>
      </c>
      <c r="C19" s="47">
        <v>100</v>
      </c>
      <c r="D19" s="47">
        <v>100</v>
      </c>
      <c r="E19" s="47" t="s">
        <v>53</v>
      </c>
      <c r="F19" s="47" t="s">
        <v>53</v>
      </c>
      <c r="G19" s="120" t="s">
        <v>53</v>
      </c>
      <c r="H19" s="47">
        <v>1</v>
      </c>
      <c r="I19" s="47" t="s">
        <v>53</v>
      </c>
      <c r="J19" s="48">
        <f t="shared" si="0"/>
        <v>100</v>
      </c>
    </row>
    <row r="20" spans="1:10" ht="21" customHeight="1" x14ac:dyDescent="0.15">
      <c r="A20" s="62">
        <v>40039122</v>
      </c>
      <c r="B20" s="47">
        <v>0</v>
      </c>
      <c r="C20" s="47">
        <v>101</v>
      </c>
      <c r="D20" s="47">
        <v>100</v>
      </c>
      <c r="E20" s="47" t="s">
        <v>53</v>
      </c>
      <c r="F20" s="47" t="s">
        <v>53</v>
      </c>
      <c r="G20" s="120" t="s">
        <v>53</v>
      </c>
      <c r="H20" s="47">
        <v>2</v>
      </c>
      <c r="I20" s="47" t="s">
        <v>53</v>
      </c>
      <c r="J20" s="48">
        <f t="shared" si="0"/>
        <v>100</v>
      </c>
    </row>
    <row r="21" spans="1:10" ht="21" customHeight="1" x14ac:dyDescent="0.15">
      <c r="A21" s="62">
        <v>40039123</v>
      </c>
      <c r="B21" s="47">
        <v>0</v>
      </c>
      <c r="C21" s="47">
        <v>102</v>
      </c>
      <c r="D21" s="47">
        <v>100</v>
      </c>
      <c r="E21" s="47">
        <v>50</v>
      </c>
      <c r="F21" s="47" t="s">
        <v>53</v>
      </c>
      <c r="G21" s="120">
        <v>1</v>
      </c>
      <c r="H21" s="47">
        <v>1</v>
      </c>
      <c r="I21" s="47" t="s">
        <v>53</v>
      </c>
      <c r="J21" s="48">
        <f t="shared" si="0"/>
        <v>100</v>
      </c>
    </row>
    <row r="22" spans="1:10" ht="21" customHeight="1" x14ac:dyDescent="0.15">
      <c r="A22" s="62">
        <v>40039124</v>
      </c>
      <c r="B22" s="47">
        <v>0</v>
      </c>
      <c r="C22" s="47">
        <v>110</v>
      </c>
      <c r="D22" s="47">
        <v>100</v>
      </c>
      <c r="E22" s="47" t="s">
        <v>53</v>
      </c>
      <c r="F22" s="47" t="s">
        <v>53</v>
      </c>
      <c r="G22" s="120">
        <v>1</v>
      </c>
      <c r="H22" s="47">
        <v>1</v>
      </c>
      <c r="I22" s="47">
        <v>933</v>
      </c>
      <c r="J22" s="48">
        <f t="shared" si="0"/>
        <v>100</v>
      </c>
    </row>
    <row r="23" spans="1:10" ht="21" customHeight="1" x14ac:dyDescent="0.15">
      <c r="A23" s="62">
        <v>40039125</v>
      </c>
      <c r="B23" s="120">
        <v>0</v>
      </c>
      <c r="C23" s="120">
        <v>120</v>
      </c>
      <c r="D23" s="120">
        <v>100</v>
      </c>
      <c r="E23" s="120" t="s">
        <v>53</v>
      </c>
      <c r="F23" s="120" t="s">
        <v>53</v>
      </c>
      <c r="G23" s="120">
        <v>0</v>
      </c>
      <c r="H23" s="120">
        <v>1</v>
      </c>
      <c r="I23" s="120">
        <v>0</v>
      </c>
      <c r="J23" s="48">
        <f t="shared" si="0"/>
        <v>100</v>
      </c>
    </row>
    <row r="24" spans="1:10" ht="21" customHeight="1" x14ac:dyDescent="0.15">
      <c r="A24" s="62">
        <v>40039201</v>
      </c>
      <c r="B24" s="47">
        <v>1</v>
      </c>
      <c r="C24" s="47">
        <v>120</v>
      </c>
      <c r="D24" s="47">
        <v>100</v>
      </c>
      <c r="E24" s="47" t="s">
        <v>53</v>
      </c>
      <c r="F24" s="47" t="s">
        <v>53</v>
      </c>
      <c r="G24" s="120">
        <v>1</v>
      </c>
      <c r="H24" s="47" t="s">
        <v>53</v>
      </c>
      <c r="I24" s="47" t="s">
        <v>53</v>
      </c>
      <c r="J24" s="48">
        <f t="shared" si="0"/>
        <v>100</v>
      </c>
    </row>
    <row r="25" spans="1:10" ht="21" customHeight="1" x14ac:dyDescent="0.15">
      <c r="A25" s="62">
        <v>40039202</v>
      </c>
      <c r="B25" s="47">
        <v>0</v>
      </c>
      <c r="C25" s="47">
        <v>100</v>
      </c>
      <c r="D25" s="47">
        <v>100</v>
      </c>
      <c r="E25" s="47" t="s">
        <v>53</v>
      </c>
      <c r="F25" s="47" t="s">
        <v>53</v>
      </c>
      <c r="G25" s="120" t="s">
        <v>53</v>
      </c>
      <c r="H25" s="47">
        <v>1</v>
      </c>
      <c r="I25" s="47" t="s">
        <v>53</v>
      </c>
      <c r="J25" s="48">
        <f t="shared" si="0"/>
        <v>100</v>
      </c>
    </row>
    <row r="26" spans="1:10" ht="21" customHeight="1" x14ac:dyDescent="0.15">
      <c r="A26" s="62">
        <v>40039203</v>
      </c>
      <c r="B26" s="47">
        <v>0</v>
      </c>
      <c r="C26" s="47">
        <v>110</v>
      </c>
      <c r="D26" s="47">
        <v>100</v>
      </c>
      <c r="E26" s="47" t="s">
        <v>53</v>
      </c>
      <c r="F26" s="47" t="s">
        <v>53</v>
      </c>
      <c r="G26" s="120">
        <v>1</v>
      </c>
      <c r="H26" s="47">
        <v>2</v>
      </c>
      <c r="I26" s="47" t="s">
        <v>53</v>
      </c>
      <c r="J26" s="48">
        <f t="shared" si="0"/>
        <v>100</v>
      </c>
    </row>
    <row r="27" spans="1:10" ht="21" customHeight="1" x14ac:dyDescent="0.15">
      <c r="A27" s="62">
        <v>40039204</v>
      </c>
      <c r="B27" s="47">
        <v>0</v>
      </c>
      <c r="C27" s="47">
        <v>102</v>
      </c>
      <c r="D27" s="47">
        <v>100</v>
      </c>
      <c r="E27" s="47" t="s">
        <v>53</v>
      </c>
      <c r="F27" s="47" t="s">
        <v>53</v>
      </c>
      <c r="G27" s="120" t="s">
        <v>53</v>
      </c>
      <c r="H27" s="47">
        <v>3</v>
      </c>
      <c r="I27" s="47" t="s">
        <v>53</v>
      </c>
      <c r="J27" s="48">
        <f t="shared" si="0"/>
        <v>100</v>
      </c>
    </row>
    <row r="28" spans="1:10" ht="21" customHeight="1" x14ac:dyDescent="0.15">
      <c r="A28" s="62">
        <v>40039205</v>
      </c>
      <c r="B28" s="47">
        <v>0</v>
      </c>
      <c r="C28" s="47">
        <v>101</v>
      </c>
      <c r="D28" s="47">
        <v>100</v>
      </c>
      <c r="E28" s="47" t="s">
        <v>53</v>
      </c>
      <c r="F28" s="47" t="s">
        <v>53</v>
      </c>
      <c r="G28" s="120" t="s">
        <v>53</v>
      </c>
      <c r="H28" s="47">
        <v>2</v>
      </c>
      <c r="I28" s="47" t="s">
        <v>53</v>
      </c>
      <c r="J28" s="48">
        <f t="shared" si="0"/>
        <v>100</v>
      </c>
    </row>
    <row r="29" spans="1:10" ht="21" customHeight="1" x14ac:dyDescent="0.15">
      <c r="A29" s="62">
        <v>40039206</v>
      </c>
      <c r="B29" s="47">
        <v>1</v>
      </c>
      <c r="C29" s="47">
        <v>121</v>
      </c>
      <c r="D29" s="47">
        <v>100</v>
      </c>
      <c r="E29" s="47" t="s">
        <v>53</v>
      </c>
      <c r="F29" s="47" t="s">
        <v>53</v>
      </c>
      <c r="G29" s="120">
        <v>1</v>
      </c>
      <c r="H29" s="47" t="s">
        <v>53</v>
      </c>
      <c r="I29" s="120">
        <v>1226</v>
      </c>
      <c r="J29" s="48">
        <f t="shared" si="0"/>
        <v>100</v>
      </c>
    </row>
    <row r="30" spans="1:10" ht="21" customHeight="1" x14ac:dyDescent="0.15">
      <c r="A30" s="62">
        <v>40039207</v>
      </c>
      <c r="B30" s="47">
        <v>1</v>
      </c>
      <c r="C30" s="47">
        <v>122</v>
      </c>
      <c r="D30" s="47">
        <v>100</v>
      </c>
      <c r="E30" s="47" t="s">
        <v>53</v>
      </c>
      <c r="F30" s="47" t="s">
        <v>53</v>
      </c>
      <c r="G30" s="120">
        <v>1</v>
      </c>
      <c r="H30" s="47" t="s">
        <v>53</v>
      </c>
      <c r="I30" s="120">
        <v>1227</v>
      </c>
      <c r="J30" s="48">
        <f t="shared" si="0"/>
        <v>100</v>
      </c>
    </row>
    <row r="31" spans="1:10" ht="21" customHeight="1" x14ac:dyDescent="0.15">
      <c r="A31" s="62">
        <v>40039221</v>
      </c>
      <c r="B31" s="47">
        <v>1</v>
      </c>
      <c r="C31" s="47" t="s">
        <v>53</v>
      </c>
      <c r="D31" s="47">
        <v>100</v>
      </c>
      <c r="E31" s="47" t="s">
        <v>53</v>
      </c>
      <c r="F31" s="47" t="s">
        <v>53</v>
      </c>
      <c r="G31" s="120">
        <v>1</v>
      </c>
      <c r="H31" s="47" t="s">
        <v>53</v>
      </c>
      <c r="I31" s="47" t="s">
        <v>53</v>
      </c>
      <c r="J31" s="48">
        <f t="shared" si="0"/>
        <v>100</v>
      </c>
    </row>
    <row r="32" spans="1:10" ht="21" customHeight="1" x14ac:dyDescent="0.15">
      <c r="A32" s="62">
        <v>40039222</v>
      </c>
      <c r="B32" s="47">
        <v>0</v>
      </c>
      <c r="C32" s="47">
        <v>100</v>
      </c>
      <c r="D32" s="47">
        <v>100</v>
      </c>
      <c r="E32" s="47" t="s">
        <v>53</v>
      </c>
      <c r="F32" s="47" t="s">
        <v>53</v>
      </c>
      <c r="G32" s="120" t="s">
        <v>53</v>
      </c>
      <c r="H32" s="47">
        <v>2</v>
      </c>
      <c r="I32" s="47" t="s">
        <v>53</v>
      </c>
      <c r="J32" s="48">
        <f t="shared" si="0"/>
        <v>100</v>
      </c>
    </row>
    <row r="33" spans="1:10" ht="21" customHeight="1" x14ac:dyDescent="0.15">
      <c r="A33" s="62">
        <v>40039223</v>
      </c>
      <c r="B33" s="47">
        <v>0</v>
      </c>
      <c r="C33" s="47">
        <v>110</v>
      </c>
      <c r="D33" s="47">
        <v>100</v>
      </c>
      <c r="E33" s="47">
        <v>80</v>
      </c>
      <c r="F33" s="47">
        <v>60</v>
      </c>
      <c r="G33" s="120">
        <v>1</v>
      </c>
      <c r="H33" s="47">
        <v>1</v>
      </c>
      <c r="I33" s="47" t="s">
        <v>53</v>
      </c>
      <c r="J33" s="48">
        <f t="shared" si="0"/>
        <v>100</v>
      </c>
    </row>
    <row r="34" spans="1:10" ht="21" customHeight="1" x14ac:dyDescent="0.15">
      <c r="A34" s="62">
        <v>40039224</v>
      </c>
      <c r="B34" s="47">
        <v>0</v>
      </c>
      <c r="C34" s="47">
        <v>111</v>
      </c>
      <c r="D34" s="47">
        <v>100</v>
      </c>
      <c r="E34" s="47">
        <v>60</v>
      </c>
      <c r="F34" s="47">
        <v>40</v>
      </c>
      <c r="G34" s="120">
        <v>1</v>
      </c>
      <c r="H34" s="47">
        <v>1</v>
      </c>
      <c r="I34" s="47" t="s">
        <v>53</v>
      </c>
      <c r="J34" s="48">
        <f t="shared" si="0"/>
        <v>100</v>
      </c>
    </row>
    <row r="35" spans="1:10" ht="21" customHeight="1" x14ac:dyDescent="0.15">
      <c r="A35" s="62">
        <v>40039225</v>
      </c>
      <c r="B35" s="47">
        <v>0</v>
      </c>
      <c r="C35" s="47">
        <v>114</v>
      </c>
      <c r="D35" s="47">
        <v>100</v>
      </c>
      <c r="E35" s="47">
        <v>40</v>
      </c>
      <c r="F35" s="47">
        <v>20</v>
      </c>
      <c r="G35" s="120">
        <v>1</v>
      </c>
      <c r="H35" s="47">
        <v>1</v>
      </c>
      <c r="I35" s="47" t="s">
        <v>53</v>
      </c>
      <c r="J35" s="48">
        <f t="shared" si="0"/>
        <v>100</v>
      </c>
    </row>
    <row r="36" spans="1:10" ht="21" customHeight="1" x14ac:dyDescent="0.15">
      <c r="A36" s="62">
        <v>40039241</v>
      </c>
      <c r="B36" s="47">
        <v>1</v>
      </c>
      <c r="C36" s="47" t="s">
        <v>53</v>
      </c>
      <c r="D36" s="47">
        <v>100</v>
      </c>
      <c r="E36" s="47" t="s">
        <v>53</v>
      </c>
      <c r="F36" s="47" t="s">
        <v>53</v>
      </c>
      <c r="G36" s="120">
        <v>1</v>
      </c>
      <c r="H36" s="47" t="s">
        <v>53</v>
      </c>
      <c r="I36" s="47" t="s">
        <v>53</v>
      </c>
      <c r="J36" s="48">
        <f t="shared" si="0"/>
        <v>100</v>
      </c>
    </row>
    <row r="37" spans="1:10" ht="21" customHeight="1" x14ac:dyDescent="0.15">
      <c r="A37" s="62">
        <v>40039242</v>
      </c>
      <c r="B37" s="47">
        <v>0</v>
      </c>
      <c r="C37" s="47">
        <v>100</v>
      </c>
      <c r="D37" s="47">
        <v>100</v>
      </c>
      <c r="E37" s="47" t="s">
        <v>53</v>
      </c>
      <c r="F37" s="47" t="s">
        <v>53</v>
      </c>
      <c r="G37" s="120" t="s">
        <v>53</v>
      </c>
      <c r="H37" s="47">
        <v>2</v>
      </c>
      <c r="I37" s="47" t="s">
        <v>53</v>
      </c>
      <c r="J37" s="48">
        <f t="shared" si="0"/>
        <v>100</v>
      </c>
    </row>
    <row r="38" spans="1:10" ht="21" customHeight="1" x14ac:dyDescent="0.15">
      <c r="A38" s="62">
        <v>40039243</v>
      </c>
      <c r="B38" s="47">
        <v>0</v>
      </c>
      <c r="C38" s="47">
        <v>101</v>
      </c>
      <c r="D38" s="47">
        <v>100</v>
      </c>
      <c r="E38" s="47" t="s">
        <v>53</v>
      </c>
      <c r="F38" s="47" t="s">
        <v>53</v>
      </c>
      <c r="G38" s="120">
        <v>1</v>
      </c>
      <c r="H38" s="47">
        <v>3</v>
      </c>
      <c r="I38" s="47" t="s">
        <v>53</v>
      </c>
      <c r="J38" s="48">
        <f t="shared" si="0"/>
        <v>100</v>
      </c>
    </row>
    <row r="39" spans="1:10" ht="21" customHeight="1" x14ac:dyDescent="0.15">
      <c r="A39" s="62">
        <v>40039244</v>
      </c>
      <c r="B39" s="47">
        <v>0</v>
      </c>
      <c r="C39" s="47">
        <v>102</v>
      </c>
      <c r="D39" s="47">
        <v>100</v>
      </c>
      <c r="E39" s="47" t="s">
        <v>53</v>
      </c>
      <c r="F39" s="47" t="s">
        <v>53</v>
      </c>
      <c r="G39" s="120" t="s">
        <v>53</v>
      </c>
      <c r="H39" s="47">
        <v>4</v>
      </c>
      <c r="I39" s="47" t="s">
        <v>53</v>
      </c>
      <c r="J39" s="48">
        <f t="shared" si="0"/>
        <v>100</v>
      </c>
    </row>
    <row r="40" spans="1:10" ht="21" customHeight="1" x14ac:dyDescent="0.15">
      <c r="A40" s="62">
        <v>40039245</v>
      </c>
      <c r="B40" s="47">
        <v>0</v>
      </c>
      <c r="C40" s="47">
        <v>103</v>
      </c>
      <c r="D40" s="47">
        <v>100</v>
      </c>
      <c r="E40" s="47" t="s">
        <v>53</v>
      </c>
      <c r="F40" s="47" t="s">
        <v>53</v>
      </c>
      <c r="G40" s="120" t="s">
        <v>53</v>
      </c>
      <c r="H40" s="47">
        <v>5</v>
      </c>
      <c r="I40" s="47" t="s">
        <v>53</v>
      </c>
      <c r="J40" s="48">
        <f t="shared" si="0"/>
        <v>100</v>
      </c>
    </row>
    <row r="41" spans="1:10" ht="21" customHeight="1" x14ac:dyDescent="0.15">
      <c r="A41" s="62">
        <v>40039246</v>
      </c>
      <c r="B41" s="47">
        <v>0</v>
      </c>
      <c r="C41" s="47">
        <v>121</v>
      </c>
      <c r="D41" s="47">
        <v>100</v>
      </c>
      <c r="E41" s="47" t="s">
        <v>53</v>
      </c>
      <c r="F41" s="47" t="s">
        <v>53</v>
      </c>
      <c r="G41" s="120">
        <v>1</v>
      </c>
      <c r="H41" s="47">
        <v>6</v>
      </c>
      <c r="I41" s="47" t="s">
        <v>53</v>
      </c>
      <c r="J41" s="48">
        <f t="shared" si="0"/>
        <v>100</v>
      </c>
    </row>
    <row r="42" spans="1:10" ht="21" customHeight="1" x14ac:dyDescent="0.15">
      <c r="A42" s="62">
        <v>40039247</v>
      </c>
      <c r="B42" s="47">
        <v>0</v>
      </c>
      <c r="C42" s="47">
        <v>122</v>
      </c>
      <c r="D42" s="47">
        <v>100</v>
      </c>
      <c r="E42" s="47" t="s">
        <v>53</v>
      </c>
      <c r="F42" s="47" t="s">
        <v>53</v>
      </c>
      <c r="G42" s="120">
        <v>1</v>
      </c>
      <c r="H42" s="47">
        <v>11</v>
      </c>
      <c r="I42" s="47" t="s">
        <v>53</v>
      </c>
      <c r="J42" s="48">
        <f t="shared" si="0"/>
        <v>100</v>
      </c>
    </row>
    <row r="43" spans="1:10" ht="21" customHeight="1" x14ac:dyDescent="0.15">
      <c r="A43" s="62">
        <v>40039248</v>
      </c>
      <c r="B43" s="47">
        <v>0</v>
      </c>
      <c r="C43" s="47">
        <v>110</v>
      </c>
      <c r="D43" s="47">
        <v>100</v>
      </c>
      <c r="E43" s="47">
        <v>80</v>
      </c>
      <c r="F43" s="47">
        <v>40</v>
      </c>
      <c r="G43" s="120">
        <v>1</v>
      </c>
      <c r="H43" s="47">
        <v>1</v>
      </c>
      <c r="I43" s="47" t="s">
        <v>53</v>
      </c>
      <c r="J43" s="48">
        <f t="shared" si="0"/>
        <v>100</v>
      </c>
    </row>
    <row r="44" spans="1:10" ht="21" customHeight="1" x14ac:dyDescent="0.15">
      <c r="A44" s="62">
        <v>40039249</v>
      </c>
      <c r="B44" s="47">
        <v>0</v>
      </c>
      <c r="C44" s="47">
        <v>111</v>
      </c>
      <c r="D44" s="47">
        <v>100</v>
      </c>
      <c r="E44" s="47">
        <v>40</v>
      </c>
      <c r="F44" s="47" t="s">
        <v>53</v>
      </c>
      <c r="G44" s="120">
        <v>1</v>
      </c>
      <c r="H44" s="47">
        <v>1</v>
      </c>
      <c r="I44" s="47" t="s">
        <v>53</v>
      </c>
      <c r="J44" s="48">
        <f t="shared" si="0"/>
        <v>100</v>
      </c>
    </row>
    <row r="45" spans="1:10" ht="21" customHeight="1" x14ac:dyDescent="0.15">
      <c r="A45" s="62">
        <v>40039250</v>
      </c>
      <c r="B45" s="120">
        <v>0</v>
      </c>
      <c r="C45" s="120">
        <v>120</v>
      </c>
      <c r="D45" s="120">
        <v>100</v>
      </c>
      <c r="E45" s="120" t="s">
        <v>53</v>
      </c>
      <c r="F45" s="120" t="s">
        <v>53</v>
      </c>
      <c r="G45" s="120">
        <v>0</v>
      </c>
      <c r="H45" s="120">
        <v>1</v>
      </c>
      <c r="I45" s="120">
        <v>0</v>
      </c>
      <c r="J45" s="48">
        <f t="shared" si="0"/>
        <v>100</v>
      </c>
    </row>
    <row r="46" spans="1:10" ht="21" customHeight="1" x14ac:dyDescent="0.15">
      <c r="A46" s="131">
        <v>40039251</v>
      </c>
      <c r="B46" s="129">
        <v>0</v>
      </c>
      <c r="C46" s="129">
        <v>121</v>
      </c>
      <c r="D46" s="129">
        <v>100</v>
      </c>
      <c r="E46" s="129" t="s">
        <v>53</v>
      </c>
      <c r="F46" s="129" t="s">
        <v>53</v>
      </c>
      <c r="G46" s="129">
        <v>0</v>
      </c>
      <c r="H46" s="129">
        <v>1</v>
      </c>
      <c r="I46" s="129">
        <v>1226</v>
      </c>
      <c r="J46" s="133">
        <f t="shared" si="0"/>
        <v>100</v>
      </c>
    </row>
    <row r="47" spans="1:10" ht="21" customHeight="1" thickBot="1" x14ac:dyDescent="0.2">
      <c r="A47" s="135">
        <v>40039252</v>
      </c>
      <c r="B47" s="122">
        <v>0</v>
      </c>
      <c r="C47" s="122">
        <v>122</v>
      </c>
      <c r="D47" s="122">
        <v>100</v>
      </c>
      <c r="E47" s="122" t="s">
        <v>53</v>
      </c>
      <c r="F47" s="122" t="s">
        <v>53</v>
      </c>
      <c r="G47" s="122">
        <v>0</v>
      </c>
      <c r="H47" s="122">
        <v>1</v>
      </c>
      <c r="I47" s="122">
        <v>1227</v>
      </c>
      <c r="J47" s="134">
        <f t="shared" si="0"/>
        <v>100</v>
      </c>
    </row>
    <row r="48" spans="1:10" ht="21" customHeight="1" x14ac:dyDescent="0.15">
      <c r="A48" s="105">
        <v>40039501</v>
      </c>
      <c r="B48" s="120">
        <v>0</v>
      </c>
      <c r="C48" s="120" t="s">
        <v>53</v>
      </c>
      <c r="D48" s="120">
        <v>100</v>
      </c>
      <c r="E48" s="120" t="s">
        <v>53</v>
      </c>
      <c r="F48" s="120" t="s">
        <v>53</v>
      </c>
      <c r="G48" s="120" t="s">
        <v>258</v>
      </c>
      <c r="H48" s="120">
        <v>1</v>
      </c>
      <c r="I48" s="120" t="s">
        <v>53</v>
      </c>
      <c r="J48" s="121">
        <f t="shared" ref="J48:J52" si="1">D48</f>
        <v>100</v>
      </c>
    </row>
    <row r="49" spans="1:10" ht="21" customHeight="1" x14ac:dyDescent="0.15">
      <c r="A49" s="105">
        <v>40039502</v>
      </c>
      <c r="B49" s="120">
        <v>0</v>
      </c>
      <c r="C49" s="120">
        <v>111</v>
      </c>
      <c r="D49" s="120">
        <v>100</v>
      </c>
      <c r="E49" s="120" t="s">
        <v>53</v>
      </c>
      <c r="F49" s="120" t="s">
        <v>53</v>
      </c>
      <c r="G49" s="120">
        <v>1</v>
      </c>
      <c r="H49" s="120">
        <v>1</v>
      </c>
      <c r="I49" s="120">
        <v>223</v>
      </c>
      <c r="J49" s="121">
        <f t="shared" ref="J49:J50" si="2">D49</f>
        <v>100</v>
      </c>
    </row>
    <row r="50" spans="1:10" ht="21" customHeight="1" x14ac:dyDescent="0.15">
      <c r="A50" s="105">
        <v>40039503</v>
      </c>
      <c r="B50" s="120">
        <v>0</v>
      </c>
      <c r="C50" s="120">
        <v>110</v>
      </c>
      <c r="D50" s="120">
        <v>100</v>
      </c>
      <c r="E50" s="120" t="s">
        <v>53</v>
      </c>
      <c r="F50" s="120" t="s">
        <v>53</v>
      </c>
      <c r="G50" s="120">
        <v>1</v>
      </c>
      <c r="H50" s="120">
        <v>1</v>
      </c>
      <c r="I50" s="120">
        <v>220</v>
      </c>
      <c r="J50" s="121">
        <f t="shared" si="2"/>
        <v>100</v>
      </c>
    </row>
    <row r="51" spans="1:10" ht="21" customHeight="1" x14ac:dyDescent="0.15">
      <c r="A51" s="105">
        <v>40039504</v>
      </c>
      <c r="B51" s="120">
        <v>0</v>
      </c>
      <c r="C51" s="120">
        <v>120</v>
      </c>
      <c r="D51" s="120">
        <v>100</v>
      </c>
      <c r="E51" s="120" t="s">
        <v>53</v>
      </c>
      <c r="F51" s="120" t="s">
        <v>53</v>
      </c>
      <c r="G51" s="120">
        <v>0</v>
      </c>
      <c r="H51" s="120">
        <v>1</v>
      </c>
      <c r="I51" s="120">
        <v>0</v>
      </c>
      <c r="J51" s="121">
        <f t="shared" ref="J51" si="3">D51</f>
        <v>100</v>
      </c>
    </row>
    <row r="52" spans="1:10" ht="21" customHeight="1" x14ac:dyDescent="0.15">
      <c r="A52" s="119">
        <v>40039521</v>
      </c>
      <c r="B52" s="47">
        <v>1</v>
      </c>
      <c r="C52" s="47" t="s">
        <v>53</v>
      </c>
      <c r="D52" s="47">
        <v>100</v>
      </c>
      <c r="E52" s="47" t="s">
        <v>53</v>
      </c>
      <c r="F52" s="47" t="s">
        <v>53</v>
      </c>
      <c r="G52" s="120">
        <v>1</v>
      </c>
      <c r="H52" s="47" t="s">
        <v>53</v>
      </c>
      <c r="I52" s="47" t="s">
        <v>53</v>
      </c>
      <c r="J52" s="48">
        <f t="shared" si="1"/>
        <v>100</v>
      </c>
    </row>
    <row r="53" spans="1:10" ht="21" customHeight="1" x14ac:dyDescent="0.15">
      <c r="A53" s="119">
        <v>40039522</v>
      </c>
      <c r="B53" s="47">
        <v>0</v>
      </c>
      <c r="C53" s="47" t="s">
        <v>53</v>
      </c>
      <c r="D53" s="47">
        <v>100</v>
      </c>
      <c r="E53" s="47" t="s">
        <v>53</v>
      </c>
      <c r="F53" s="47" t="s">
        <v>53</v>
      </c>
      <c r="G53" s="120" t="s">
        <v>258</v>
      </c>
      <c r="H53" s="47">
        <v>1</v>
      </c>
      <c r="I53" s="47" t="s">
        <v>53</v>
      </c>
      <c r="J53" s="48">
        <f t="shared" ref="J53:J58" si="4">D53</f>
        <v>100</v>
      </c>
    </row>
    <row r="54" spans="1:10" ht="21" customHeight="1" x14ac:dyDescent="0.15">
      <c r="A54" s="119">
        <v>40039523</v>
      </c>
      <c r="B54" s="47">
        <v>0</v>
      </c>
      <c r="C54" s="47">
        <v>111</v>
      </c>
      <c r="D54" s="47">
        <v>100</v>
      </c>
      <c r="E54" s="47" t="s">
        <v>53</v>
      </c>
      <c r="F54" s="47" t="s">
        <v>53</v>
      </c>
      <c r="G54" s="120">
        <v>1</v>
      </c>
      <c r="H54" s="47">
        <v>1</v>
      </c>
      <c r="I54" s="47">
        <v>162</v>
      </c>
      <c r="J54" s="48">
        <f t="shared" si="4"/>
        <v>100</v>
      </c>
    </row>
    <row r="55" spans="1:10" ht="21" customHeight="1" x14ac:dyDescent="0.15">
      <c r="A55" s="119">
        <v>40039524</v>
      </c>
      <c r="B55" s="47">
        <v>0</v>
      </c>
      <c r="C55" s="47">
        <v>110</v>
      </c>
      <c r="D55" s="47">
        <v>100</v>
      </c>
      <c r="E55" s="47" t="s">
        <v>53</v>
      </c>
      <c r="F55" s="47" t="s">
        <v>53</v>
      </c>
      <c r="G55" s="120">
        <v>1</v>
      </c>
      <c r="H55" s="47">
        <v>1</v>
      </c>
      <c r="I55" s="47">
        <v>220</v>
      </c>
      <c r="J55" s="48">
        <f t="shared" si="4"/>
        <v>100</v>
      </c>
    </row>
    <row r="56" spans="1:10" ht="21" customHeight="1" x14ac:dyDescent="0.15">
      <c r="A56" s="119">
        <v>40039525</v>
      </c>
      <c r="B56" s="120">
        <v>0</v>
      </c>
      <c r="C56" s="120">
        <v>120</v>
      </c>
      <c r="D56" s="120">
        <v>100</v>
      </c>
      <c r="E56" s="120" t="s">
        <v>53</v>
      </c>
      <c r="F56" s="120" t="s">
        <v>53</v>
      </c>
      <c r="G56" s="120">
        <v>0</v>
      </c>
      <c r="H56" s="120">
        <v>1</v>
      </c>
      <c r="I56" s="120">
        <v>0</v>
      </c>
      <c r="J56" s="48">
        <f t="shared" si="4"/>
        <v>100</v>
      </c>
    </row>
    <row r="57" spans="1:10" ht="21" customHeight="1" x14ac:dyDescent="0.15">
      <c r="A57" s="105">
        <v>40039541</v>
      </c>
      <c r="B57" s="47">
        <v>0</v>
      </c>
      <c r="C57" s="47" t="s">
        <v>53</v>
      </c>
      <c r="D57" s="47">
        <v>100</v>
      </c>
      <c r="E57" s="47" t="s">
        <v>53</v>
      </c>
      <c r="F57" s="47" t="s">
        <v>53</v>
      </c>
      <c r="G57" s="120" t="s">
        <v>258</v>
      </c>
      <c r="H57" s="47">
        <v>1</v>
      </c>
      <c r="I57" s="47" t="s">
        <v>53</v>
      </c>
      <c r="J57" s="48">
        <f t="shared" si="4"/>
        <v>100</v>
      </c>
    </row>
    <row r="58" spans="1:10" ht="21" customHeight="1" x14ac:dyDescent="0.15">
      <c r="A58" s="105">
        <v>40039542</v>
      </c>
      <c r="B58" s="47">
        <v>0</v>
      </c>
      <c r="C58" s="47">
        <v>111</v>
      </c>
      <c r="D58" s="47">
        <v>100</v>
      </c>
      <c r="E58" s="47" t="s">
        <v>53</v>
      </c>
      <c r="F58" s="47" t="s">
        <v>53</v>
      </c>
      <c r="G58" s="120">
        <v>1</v>
      </c>
      <c r="H58" s="47">
        <v>1</v>
      </c>
      <c r="I58" s="47">
        <v>223</v>
      </c>
      <c r="J58" s="48">
        <f t="shared" si="4"/>
        <v>100</v>
      </c>
    </row>
    <row r="59" spans="1:10" ht="21" customHeight="1" x14ac:dyDescent="0.15">
      <c r="A59" s="105">
        <v>40039543</v>
      </c>
      <c r="B59" s="47">
        <v>0</v>
      </c>
      <c r="C59" s="47">
        <v>110</v>
      </c>
      <c r="D59" s="47">
        <v>100</v>
      </c>
      <c r="E59" s="47" t="s">
        <v>53</v>
      </c>
      <c r="F59" s="47" t="s">
        <v>53</v>
      </c>
      <c r="G59" s="120">
        <v>1</v>
      </c>
      <c r="H59" s="47">
        <v>1</v>
      </c>
      <c r="I59" s="47">
        <v>162</v>
      </c>
      <c r="J59" s="48">
        <f t="shared" ref="J59:J93" si="5">D59</f>
        <v>100</v>
      </c>
    </row>
    <row r="60" spans="1:10" ht="21" customHeight="1" x14ac:dyDescent="0.15">
      <c r="A60" s="105">
        <v>40039544</v>
      </c>
      <c r="B60" s="120">
        <v>0</v>
      </c>
      <c r="C60" s="120">
        <v>120</v>
      </c>
      <c r="D60" s="120">
        <v>100</v>
      </c>
      <c r="E60" s="120" t="s">
        <v>53</v>
      </c>
      <c r="F60" s="120" t="s">
        <v>53</v>
      </c>
      <c r="G60" s="120">
        <v>0</v>
      </c>
      <c r="H60" s="120">
        <v>1</v>
      </c>
      <c r="I60" s="120">
        <v>0</v>
      </c>
      <c r="J60" s="48">
        <f t="shared" si="5"/>
        <v>100</v>
      </c>
    </row>
    <row r="61" spans="1:10" ht="21" customHeight="1" x14ac:dyDescent="0.15">
      <c r="A61" s="119">
        <v>40039601</v>
      </c>
      <c r="B61" s="47">
        <v>1</v>
      </c>
      <c r="C61" s="47">
        <v>100</v>
      </c>
      <c r="D61" s="47">
        <v>100</v>
      </c>
      <c r="E61" s="47" t="s">
        <v>53</v>
      </c>
      <c r="F61" s="47" t="s">
        <v>53</v>
      </c>
      <c r="G61" s="120" t="s">
        <v>268</v>
      </c>
      <c r="H61" s="47">
        <v>2</v>
      </c>
      <c r="I61" s="47" t="s">
        <v>53</v>
      </c>
      <c r="J61" s="48">
        <f t="shared" si="5"/>
        <v>100</v>
      </c>
    </row>
    <row r="62" spans="1:10" ht="21" customHeight="1" x14ac:dyDescent="0.15">
      <c r="A62" s="119">
        <v>40039602</v>
      </c>
      <c r="B62" s="47">
        <v>0</v>
      </c>
      <c r="C62" s="47">
        <v>101</v>
      </c>
      <c r="D62" s="47">
        <v>100</v>
      </c>
      <c r="E62" s="47">
        <v>50</v>
      </c>
      <c r="F62" s="47" t="s">
        <v>53</v>
      </c>
      <c r="G62" s="120">
        <v>1</v>
      </c>
      <c r="H62" s="47">
        <v>1</v>
      </c>
      <c r="I62" s="47" t="s">
        <v>53</v>
      </c>
      <c r="J62" s="48">
        <f t="shared" si="5"/>
        <v>100</v>
      </c>
    </row>
    <row r="63" spans="1:10" ht="21" customHeight="1" x14ac:dyDescent="0.15">
      <c r="A63" s="119">
        <v>40039603</v>
      </c>
      <c r="B63" s="47">
        <v>0</v>
      </c>
      <c r="C63" s="47">
        <v>110</v>
      </c>
      <c r="D63" s="47">
        <v>100</v>
      </c>
      <c r="E63" s="47" t="s">
        <v>53</v>
      </c>
      <c r="F63" s="47" t="s">
        <v>53</v>
      </c>
      <c r="G63" s="120">
        <v>1</v>
      </c>
      <c r="H63" s="47">
        <v>1</v>
      </c>
      <c r="I63" s="47">
        <v>251</v>
      </c>
      <c r="J63" s="48">
        <f t="shared" si="5"/>
        <v>100</v>
      </c>
    </row>
    <row r="64" spans="1:10" ht="21" customHeight="1" x14ac:dyDescent="0.15">
      <c r="A64" s="119">
        <v>40039604</v>
      </c>
      <c r="B64" s="120">
        <v>0</v>
      </c>
      <c r="C64" s="120">
        <v>120</v>
      </c>
      <c r="D64" s="120">
        <v>100</v>
      </c>
      <c r="E64" s="120" t="s">
        <v>53</v>
      </c>
      <c r="F64" s="120" t="s">
        <v>53</v>
      </c>
      <c r="G64" s="120">
        <v>0</v>
      </c>
      <c r="H64" s="120">
        <v>1</v>
      </c>
      <c r="I64" s="120">
        <v>0</v>
      </c>
      <c r="J64" s="48">
        <f t="shared" si="5"/>
        <v>100</v>
      </c>
    </row>
    <row r="65" spans="1:10" ht="21" customHeight="1" x14ac:dyDescent="0.15">
      <c r="A65" s="105">
        <v>40039621</v>
      </c>
      <c r="B65" s="47">
        <v>0</v>
      </c>
      <c r="C65" s="47">
        <v>100</v>
      </c>
      <c r="D65" s="47">
        <v>100</v>
      </c>
      <c r="E65" s="47" t="s">
        <v>53</v>
      </c>
      <c r="F65" s="47" t="s">
        <v>53</v>
      </c>
      <c r="G65" s="120" t="s">
        <v>258</v>
      </c>
      <c r="H65" s="47">
        <v>1</v>
      </c>
      <c r="I65" s="47" t="s">
        <v>53</v>
      </c>
      <c r="J65" s="48">
        <f t="shared" si="5"/>
        <v>100</v>
      </c>
    </row>
    <row r="66" spans="1:10" ht="21" customHeight="1" x14ac:dyDescent="0.15">
      <c r="A66" s="105">
        <v>40039622</v>
      </c>
      <c r="B66" s="47">
        <v>0</v>
      </c>
      <c r="C66" s="47">
        <v>101</v>
      </c>
      <c r="D66" s="47">
        <v>100</v>
      </c>
      <c r="E66" s="47" t="s">
        <v>53</v>
      </c>
      <c r="F66" s="47" t="s">
        <v>53</v>
      </c>
      <c r="G66" s="120" t="s">
        <v>258</v>
      </c>
      <c r="H66" s="47">
        <v>2</v>
      </c>
      <c r="I66" s="47" t="s">
        <v>53</v>
      </c>
      <c r="J66" s="48">
        <f t="shared" si="5"/>
        <v>100</v>
      </c>
    </row>
    <row r="67" spans="1:10" ht="21" customHeight="1" x14ac:dyDescent="0.15">
      <c r="A67" s="105">
        <v>40039623</v>
      </c>
      <c r="B67" s="47">
        <v>0</v>
      </c>
      <c r="C67" s="47">
        <v>102</v>
      </c>
      <c r="D67" s="47">
        <v>100</v>
      </c>
      <c r="E67" s="47">
        <v>50</v>
      </c>
      <c r="F67" s="47" t="s">
        <v>53</v>
      </c>
      <c r="G67" s="120">
        <v>1</v>
      </c>
      <c r="H67" s="47">
        <v>1</v>
      </c>
      <c r="I67" s="47" t="s">
        <v>53</v>
      </c>
      <c r="J67" s="48">
        <f t="shared" si="5"/>
        <v>100</v>
      </c>
    </row>
    <row r="68" spans="1:10" ht="21" customHeight="1" x14ac:dyDescent="0.15">
      <c r="A68" s="105">
        <v>40039624</v>
      </c>
      <c r="B68" s="47">
        <v>0</v>
      </c>
      <c r="C68" s="47">
        <v>110</v>
      </c>
      <c r="D68" s="47">
        <v>100</v>
      </c>
      <c r="E68" s="47" t="s">
        <v>53</v>
      </c>
      <c r="F68" s="47" t="s">
        <v>53</v>
      </c>
      <c r="G68" s="120">
        <v>1</v>
      </c>
      <c r="H68" s="47">
        <v>1</v>
      </c>
      <c r="I68" s="47">
        <v>933</v>
      </c>
      <c r="J68" s="48">
        <f t="shared" si="5"/>
        <v>100</v>
      </c>
    </row>
    <row r="69" spans="1:10" ht="21" customHeight="1" x14ac:dyDescent="0.15">
      <c r="A69" s="105">
        <v>40039625</v>
      </c>
      <c r="B69" s="120">
        <v>0</v>
      </c>
      <c r="C69" s="120">
        <v>120</v>
      </c>
      <c r="D69" s="120">
        <v>100</v>
      </c>
      <c r="E69" s="120" t="s">
        <v>53</v>
      </c>
      <c r="F69" s="120" t="s">
        <v>53</v>
      </c>
      <c r="G69" s="120">
        <v>0</v>
      </c>
      <c r="H69" s="120">
        <v>1</v>
      </c>
      <c r="I69" s="120">
        <v>0</v>
      </c>
      <c r="J69" s="48">
        <f t="shared" si="5"/>
        <v>100</v>
      </c>
    </row>
    <row r="70" spans="1:10" ht="21" customHeight="1" x14ac:dyDescent="0.15">
      <c r="A70" s="119">
        <v>40039701</v>
      </c>
      <c r="B70" s="47">
        <v>1</v>
      </c>
      <c r="C70" s="47">
        <v>120</v>
      </c>
      <c r="D70" s="47">
        <v>100</v>
      </c>
      <c r="E70" s="47" t="s">
        <v>53</v>
      </c>
      <c r="F70" s="47" t="s">
        <v>53</v>
      </c>
      <c r="G70" s="120">
        <v>1</v>
      </c>
      <c r="H70" s="47" t="s">
        <v>53</v>
      </c>
      <c r="I70" s="47" t="s">
        <v>53</v>
      </c>
      <c r="J70" s="48">
        <f t="shared" si="5"/>
        <v>100</v>
      </c>
    </row>
    <row r="71" spans="1:10" ht="21" customHeight="1" x14ac:dyDescent="0.15">
      <c r="A71" s="119">
        <v>40039702</v>
      </c>
      <c r="B71" s="47">
        <v>0</v>
      </c>
      <c r="C71" s="47">
        <v>100</v>
      </c>
      <c r="D71" s="47">
        <v>100</v>
      </c>
      <c r="E71" s="47" t="s">
        <v>53</v>
      </c>
      <c r="F71" s="47" t="s">
        <v>53</v>
      </c>
      <c r="G71" s="120" t="s">
        <v>258</v>
      </c>
      <c r="H71" s="47">
        <v>1</v>
      </c>
      <c r="I71" s="47" t="s">
        <v>53</v>
      </c>
      <c r="J71" s="48">
        <f t="shared" si="5"/>
        <v>100</v>
      </c>
    </row>
    <row r="72" spans="1:10" ht="21" customHeight="1" x14ac:dyDescent="0.15">
      <c r="A72" s="119">
        <v>40039703</v>
      </c>
      <c r="B72" s="47">
        <v>0</v>
      </c>
      <c r="C72" s="47">
        <v>110</v>
      </c>
      <c r="D72" s="47">
        <v>100</v>
      </c>
      <c r="E72" s="47" t="s">
        <v>53</v>
      </c>
      <c r="F72" s="47" t="s">
        <v>53</v>
      </c>
      <c r="G72" s="120">
        <v>1</v>
      </c>
      <c r="H72" s="47">
        <v>2</v>
      </c>
      <c r="I72" s="47" t="s">
        <v>53</v>
      </c>
      <c r="J72" s="48">
        <f t="shared" si="5"/>
        <v>100</v>
      </c>
    </row>
    <row r="73" spans="1:10" ht="21" customHeight="1" x14ac:dyDescent="0.15">
      <c r="A73" s="119">
        <v>40039704</v>
      </c>
      <c r="B73" s="47">
        <v>0</v>
      </c>
      <c r="C73" s="47">
        <v>102</v>
      </c>
      <c r="D73" s="47">
        <v>100</v>
      </c>
      <c r="E73" s="47" t="s">
        <v>53</v>
      </c>
      <c r="F73" s="47" t="s">
        <v>53</v>
      </c>
      <c r="G73" s="120" t="s">
        <v>258</v>
      </c>
      <c r="H73" s="47">
        <v>3</v>
      </c>
      <c r="I73" s="47" t="s">
        <v>53</v>
      </c>
      <c r="J73" s="48">
        <f t="shared" si="5"/>
        <v>100</v>
      </c>
    </row>
    <row r="74" spans="1:10" ht="21" customHeight="1" x14ac:dyDescent="0.15">
      <c r="A74" s="119">
        <v>40039705</v>
      </c>
      <c r="B74" s="47">
        <v>0</v>
      </c>
      <c r="C74" s="47">
        <v>101</v>
      </c>
      <c r="D74" s="47">
        <v>100</v>
      </c>
      <c r="E74" s="47" t="s">
        <v>53</v>
      </c>
      <c r="F74" s="47" t="s">
        <v>53</v>
      </c>
      <c r="G74" s="120" t="s">
        <v>258</v>
      </c>
      <c r="H74" s="47">
        <v>2</v>
      </c>
      <c r="I74" s="47" t="s">
        <v>53</v>
      </c>
      <c r="J74" s="48">
        <f t="shared" si="5"/>
        <v>100</v>
      </c>
    </row>
    <row r="75" spans="1:10" ht="21" customHeight="1" x14ac:dyDescent="0.15">
      <c r="A75" s="119">
        <v>40039706</v>
      </c>
      <c r="B75" s="47">
        <v>1</v>
      </c>
      <c r="C75" s="47">
        <v>121</v>
      </c>
      <c r="D75" s="47">
        <v>100</v>
      </c>
      <c r="E75" s="47" t="s">
        <v>53</v>
      </c>
      <c r="F75" s="47" t="s">
        <v>53</v>
      </c>
      <c r="G75" s="120">
        <v>1</v>
      </c>
      <c r="H75" s="47" t="s">
        <v>53</v>
      </c>
      <c r="I75" s="120">
        <v>1226</v>
      </c>
      <c r="J75" s="48">
        <f t="shared" si="5"/>
        <v>100</v>
      </c>
    </row>
    <row r="76" spans="1:10" ht="21" customHeight="1" x14ac:dyDescent="0.15">
      <c r="A76" s="119">
        <v>40039707</v>
      </c>
      <c r="B76" s="47">
        <v>1</v>
      </c>
      <c r="C76" s="47">
        <v>122</v>
      </c>
      <c r="D76" s="47">
        <v>100</v>
      </c>
      <c r="E76" s="47" t="s">
        <v>53</v>
      </c>
      <c r="F76" s="47" t="s">
        <v>53</v>
      </c>
      <c r="G76" s="120">
        <v>1</v>
      </c>
      <c r="H76" s="47" t="s">
        <v>53</v>
      </c>
      <c r="I76" s="120">
        <v>1227</v>
      </c>
      <c r="J76" s="48">
        <f t="shared" si="5"/>
        <v>100</v>
      </c>
    </row>
    <row r="77" spans="1:10" ht="21" customHeight="1" x14ac:dyDescent="0.15">
      <c r="A77" s="105">
        <v>40039721</v>
      </c>
      <c r="B77" s="47">
        <v>1</v>
      </c>
      <c r="C77" s="47" t="s">
        <v>53</v>
      </c>
      <c r="D77" s="47">
        <v>100</v>
      </c>
      <c r="E77" s="47" t="s">
        <v>53</v>
      </c>
      <c r="F77" s="47" t="s">
        <v>53</v>
      </c>
      <c r="G77" s="120">
        <v>1</v>
      </c>
      <c r="H77" s="47" t="s">
        <v>53</v>
      </c>
      <c r="I77" s="47" t="s">
        <v>53</v>
      </c>
      <c r="J77" s="48">
        <f t="shared" si="5"/>
        <v>100</v>
      </c>
    </row>
    <row r="78" spans="1:10" ht="21" customHeight="1" x14ac:dyDescent="0.15">
      <c r="A78" s="105">
        <v>40039722</v>
      </c>
      <c r="B78" s="47">
        <v>0</v>
      </c>
      <c r="C78" s="47">
        <v>100</v>
      </c>
      <c r="D78" s="47">
        <v>100</v>
      </c>
      <c r="E78" s="47" t="s">
        <v>53</v>
      </c>
      <c r="F78" s="47" t="s">
        <v>53</v>
      </c>
      <c r="G78" s="120" t="s">
        <v>258</v>
      </c>
      <c r="H78" s="47">
        <v>2</v>
      </c>
      <c r="I78" s="47" t="s">
        <v>53</v>
      </c>
      <c r="J78" s="48">
        <f t="shared" si="5"/>
        <v>100</v>
      </c>
    </row>
    <row r="79" spans="1:10" ht="21" customHeight="1" x14ac:dyDescent="0.15">
      <c r="A79" s="105">
        <v>40039723</v>
      </c>
      <c r="B79" s="47">
        <v>0</v>
      </c>
      <c r="C79" s="47">
        <v>110</v>
      </c>
      <c r="D79" s="47">
        <v>100</v>
      </c>
      <c r="E79" s="47">
        <v>80</v>
      </c>
      <c r="F79" s="47">
        <v>60</v>
      </c>
      <c r="G79" s="120">
        <v>1</v>
      </c>
      <c r="H79" s="47">
        <v>1</v>
      </c>
      <c r="I79" s="47" t="s">
        <v>53</v>
      </c>
      <c r="J79" s="48">
        <f t="shared" si="5"/>
        <v>100</v>
      </c>
    </row>
    <row r="80" spans="1:10" ht="21" customHeight="1" x14ac:dyDescent="0.15">
      <c r="A80" s="105">
        <v>40039724</v>
      </c>
      <c r="B80" s="47">
        <v>0</v>
      </c>
      <c r="C80" s="47">
        <v>111</v>
      </c>
      <c r="D80" s="47">
        <v>100</v>
      </c>
      <c r="E80" s="47">
        <v>60</v>
      </c>
      <c r="F80" s="47">
        <v>40</v>
      </c>
      <c r="G80" s="120">
        <v>1</v>
      </c>
      <c r="H80" s="47">
        <v>1</v>
      </c>
      <c r="I80" s="47" t="s">
        <v>53</v>
      </c>
      <c r="J80" s="48">
        <f t="shared" si="5"/>
        <v>100</v>
      </c>
    </row>
    <row r="81" spans="1:10" ht="21" customHeight="1" x14ac:dyDescent="0.15">
      <c r="A81" s="105">
        <v>40039725</v>
      </c>
      <c r="B81" s="47">
        <v>0</v>
      </c>
      <c r="C81" s="47">
        <v>114</v>
      </c>
      <c r="D81" s="47">
        <v>100</v>
      </c>
      <c r="E81" s="47">
        <v>40</v>
      </c>
      <c r="F81" s="47">
        <v>20</v>
      </c>
      <c r="G81" s="120">
        <v>1</v>
      </c>
      <c r="H81" s="47">
        <v>1</v>
      </c>
      <c r="I81" s="47" t="s">
        <v>53</v>
      </c>
      <c r="J81" s="48">
        <f t="shared" si="5"/>
        <v>100</v>
      </c>
    </row>
    <row r="82" spans="1:10" ht="21" customHeight="1" x14ac:dyDescent="0.15">
      <c r="A82" s="119">
        <v>40039741</v>
      </c>
      <c r="B82" s="47">
        <v>1</v>
      </c>
      <c r="C82" s="47" t="s">
        <v>53</v>
      </c>
      <c r="D82" s="47">
        <v>100</v>
      </c>
      <c r="E82" s="47" t="s">
        <v>53</v>
      </c>
      <c r="F82" s="47" t="s">
        <v>53</v>
      </c>
      <c r="G82" s="120">
        <v>1</v>
      </c>
      <c r="H82" s="47" t="s">
        <v>53</v>
      </c>
      <c r="I82" s="47" t="s">
        <v>53</v>
      </c>
      <c r="J82" s="48">
        <f t="shared" si="5"/>
        <v>100</v>
      </c>
    </row>
    <row r="83" spans="1:10" ht="21" customHeight="1" x14ac:dyDescent="0.15">
      <c r="A83" s="119">
        <v>40039742</v>
      </c>
      <c r="B83" s="47">
        <v>0</v>
      </c>
      <c r="C83" s="47">
        <v>100</v>
      </c>
      <c r="D83" s="47">
        <v>100</v>
      </c>
      <c r="E83" s="47" t="s">
        <v>53</v>
      </c>
      <c r="F83" s="47" t="s">
        <v>53</v>
      </c>
      <c r="G83" s="120" t="s">
        <v>258</v>
      </c>
      <c r="H83" s="47">
        <v>2</v>
      </c>
      <c r="I83" s="47" t="s">
        <v>53</v>
      </c>
      <c r="J83" s="48">
        <f t="shared" si="5"/>
        <v>100</v>
      </c>
    </row>
    <row r="84" spans="1:10" ht="21" customHeight="1" x14ac:dyDescent="0.15">
      <c r="A84" s="119">
        <v>40039743</v>
      </c>
      <c r="B84" s="47">
        <v>0</v>
      </c>
      <c r="C84" s="47">
        <v>101</v>
      </c>
      <c r="D84" s="47">
        <v>100</v>
      </c>
      <c r="E84" s="47" t="s">
        <v>53</v>
      </c>
      <c r="F84" s="47" t="s">
        <v>53</v>
      </c>
      <c r="G84" s="120">
        <v>1</v>
      </c>
      <c r="H84" s="47">
        <v>3</v>
      </c>
      <c r="I84" s="47" t="s">
        <v>53</v>
      </c>
      <c r="J84" s="48">
        <f t="shared" si="5"/>
        <v>100</v>
      </c>
    </row>
    <row r="85" spans="1:10" ht="21" customHeight="1" x14ac:dyDescent="0.15">
      <c r="A85" s="119">
        <v>40039744</v>
      </c>
      <c r="B85" s="47">
        <v>0</v>
      </c>
      <c r="C85" s="47">
        <v>102</v>
      </c>
      <c r="D85" s="47">
        <v>100</v>
      </c>
      <c r="E85" s="47" t="s">
        <v>53</v>
      </c>
      <c r="F85" s="47" t="s">
        <v>53</v>
      </c>
      <c r="G85" s="120" t="s">
        <v>258</v>
      </c>
      <c r="H85" s="47">
        <v>4</v>
      </c>
      <c r="I85" s="47" t="s">
        <v>53</v>
      </c>
      <c r="J85" s="48">
        <f t="shared" si="5"/>
        <v>100</v>
      </c>
    </row>
    <row r="86" spans="1:10" ht="21" customHeight="1" x14ac:dyDescent="0.15">
      <c r="A86" s="119">
        <v>40039745</v>
      </c>
      <c r="B86" s="47">
        <v>0</v>
      </c>
      <c r="C86" s="47">
        <v>103</v>
      </c>
      <c r="D86" s="47">
        <v>100</v>
      </c>
      <c r="E86" s="47" t="s">
        <v>53</v>
      </c>
      <c r="F86" s="47" t="s">
        <v>53</v>
      </c>
      <c r="G86" s="120" t="s">
        <v>258</v>
      </c>
      <c r="H86" s="47">
        <v>5</v>
      </c>
      <c r="I86" s="47" t="s">
        <v>53</v>
      </c>
      <c r="J86" s="48">
        <f t="shared" si="5"/>
        <v>100</v>
      </c>
    </row>
    <row r="87" spans="1:10" ht="21" customHeight="1" x14ac:dyDescent="0.15">
      <c r="A87" s="119">
        <v>40039746</v>
      </c>
      <c r="B87" s="47">
        <v>0</v>
      </c>
      <c r="C87" s="47">
        <v>121</v>
      </c>
      <c r="D87" s="47">
        <v>100</v>
      </c>
      <c r="E87" s="47" t="s">
        <v>53</v>
      </c>
      <c r="F87" s="47" t="s">
        <v>53</v>
      </c>
      <c r="G87" s="120">
        <v>1</v>
      </c>
      <c r="H87" s="47">
        <v>6</v>
      </c>
      <c r="I87" s="47" t="s">
        <v>53</v>
      </c>
      <c r="J87" s="48">
        <f t="shared" si="5"/>
        <v>100</v>
      </c>
    </row>
    <row r="88" spans="1:10" ht="21" customHeight="1" x14ac:dyDescent="0.15">
      <c r="A88" s="119">
        <v>40039747</v>
      </c>
      <c r="B88" s="47">
        <v>0</v>
      </c>
      <c r="C88" s="47">
        <v>122</v>
      </c>
      <c r="D88" s="47">
        <v>100</v>
      </c>
      <c r="E88" s="47" t="s">
        <v>53</v>
      </c>
      <c r="F88" s="47" t="s">
        <v>53</v>
      </c>
      <c r="G88" s="120">
        <v>1</v>
      </c>
      <c r="H88" s="47">
        <v>11</v>
      </c>
      <c r="I88" s="47" t="s">
        <v>53</v>
      </c>
      <c r="J88" s="48">
        <f t="shared" si="5"/>
        <v>100</v>
      </c>
    </row>
    <row r="89" spans="1:10" ht="21" customHeight="1" x14ac:dyDescent="0.15">
      <c r="A89" s="119">
        <v>40039748</v>
      </c>
      <c r="B89" s="47">
        <v>0</v>
      </c>
      <c r="C89" s="47">
        <v>110</v>
      </c>
      <c r="D89" s="47">
        <v>100</v>
      </c>
      <c r="E89" s="47">
        <v>80</v>
      </c>
      <c r="F89" s="47">
        <v>40</v>
      </c>
      <c r="G89" s="120">
        <v>1</v>
      </c>
      <c r="H89" s="47">
        <v>1</v>
      </c>
      <c r="I89" s="47" t="s">
        <v>53</v>
      </c>
      <c r="J89" s="48">
        <f t="shared" si="5"/>
        <v>100</v>
      </c>
    </row>
    <row r="90" spans="1:10" ht="21" customHeight="1" x14ac:dyDescent="0.15">
      <c r="A90" s="119">
        <v>40039749</v>
      </c>
      <c r="B90" s="47">
        <v>0</v>
      </c>
      <c r="C90" s="47">
        <v>111</v>
      </c>
      <c r="D90" s="47">
        <v>100</v>
      </c>
      <c r="E90" s="47">
        <v>40</v>
      </c>
      <c r="F90" s="47" t="s">
        <v>53</v>
      </c>
      <c r="G90" s="120">
        <v>1</v>
      </c>
      <c r="H90" s="47">
        <v>1</v>
      </c>
      <c r="I90" s="47" t="s">
        <v>53</v>
      </c>
      <c r="J90" s="48">
        <f t="shared" si="5"/>
        <v>100</v>
      </c>
    </row>
    <row r="91" spans="1:10" ht="21" customHeight="1" x14ac:dyDescent="0.15">
      <c r="A91" s="119">
        <v>40039750</v>
      </c>
      <c r="B91" s="120">
        <v>0</v>
      </c>
      <c r="C91" s="120">
        <v>120</v>
      </c>
      <c r="D91" s="120">
        <v>100</v>
      </c>
      <c r="E91" s="120" t="s">
        <v>53</v>
      </c>
      <c r="F91" s="120" t="s">
        <v>53</v>
      </c>
      <c r="G91" s="120">
        <v>0</v>
      </c>
      <c r="H91" s="120">
        <v>1</v>
      </c>
      <c r="I91" s="120">
        <v>0</v>
      </c>
      <c r="J91" s="48">
        <f t="shared" si="5"/>
        <v>100</v>
      </c>
    </row>
    <row r="92" spans="1:10" ht="21" customHeight="1" x14ac:dyDescent="0.15">
      <c r="A92" s="119">
        <v>40039751</v>
      </c>
      <c r="B92" s="120">
        <v>0</v>
      </c>
      <c r="C92" s="120">
        <v>121</v>
      </c>
      <c r="D92" s="120">
        <v>100</v>
      </c>
      <c r="E92" s="120" t="s">
        <v>53</v>
      </c>
      <c r="F92" s="120" t="s">
        <v>53</v>
      </c>
      <c r="G92" s="120">
        <v>0</v>
      </c>
      <c r="H92" s="120">
        <v>1</v>
      </c>
      <c r="I92" s="120">
        <v>1226</v>
      </c>
      <c r="J92" s="48">
        <f t="shared" si="5"/>
        <v>100</v>
      </c>
    </row>
    <row r="93" spans="1:10" ht="21" customHeight="1" x14ac:dyDescent="0.15">
      <c r="A93" s="119">
        <v>40039752</v>
      </c>
      <c r="B93" s="120">
        <v>0</v>
      </c>
      <c r="C93" s="120">
        <v>122</v>
      </c>
      <c r="D93" s="120">
        <v>100</v>
      </c>
      <c r="E93" s="120" t="s">
        <v>53</v>
      </c>
      <c r="F93" s="120" t="s">
        <v>53</v>
      </c>
      <c r="G93" s="120">
        <v>0</v>
      </c>
      <c r="H93" s="120">
        <v>1</v>
      </c>
      <c r="I93" s="120">
        <v>1227</v>
      </c>
      <c r="J93" s="48">
        <f t="shared" si="5"/>
        <v>100</v>
      </c>
    </row>
  </sheetData>
  <autoFilter ref="A1:G1"/>
  <phoneticPr fontId="5"/>
  <conditionalFormatting sqref="K94:K1048576 K1:K2">
    <cfRule type="duplicateValues" dxfId="13" priority="15"/>
  </conditionalFormatting>
  <conditionalFormatting sqref="K82 K52 K3:K48 K57 K61 K65 K70 K77">
    <cfRule type="duplicateValues" dxfId="12" priority="14"/>
  </conditionalFormatting>
  <conditionalFormatting sqref="K49:K50">
    <cfRule type="duplicateValues" dxfId="11" priority="18"/>
  </conditionalFormatting>
  <conditionalFormatting sqref="K53:K56">
    <cfRule type="duplicateValues" dxfId="10" priority="12"/>
  </conditionalFormatting>
  <conditionalFormatting sqref="K58:K60">
    <cfRule type="duplicateValues" dxfId="9" priority="11"/>
  </conditionalFormatting>
  <conditionalFormatting sqref="K62:K64">
    <cfRule type="duplicateValues" dxfId="8" priority="10"/>
  </conditionalFormatting>
  <conditionalFormatting sqref="K66:K69">
    <cfRule type="duplicateValues" dxfId="7" priority="9"/>
  </conditionalFormatting>
  <conditionalFormatting sqref="K71:K75">
    <cfRule type="duplicateValues" dxfId="6" priority="8"/>
  </conditionalFormatting>
  <conditionalFormatting sqref="K83:K90">
    <cfRule type="duplicateValues" dxfId="5" priority="6"/>
  </conditionalFormatting>
  <conditionalFormatting sqref="K78:K81">
    <cfRule type="duplicateValues" dxfId="4" priority="36"/>
  </conditionalFormatting>
  <conditionalFormatting sqref="K51">
    <cfRule type="duplicateValues" dxfId="3" priority="5"/>
  </conditionalFormatting>
  <conditionalFormatting sqref="K91:K92">
    <cfRule type="duplicateValues" dxfId="2" priority="3"/>
  </conditionalFormatting>
  <conditionalFormatting sqref="K93">
    <cfRule type="duplicateValues" dxfId="1" priority="2"/>
  </conditionalFormatting>
  <conditionalFormatting sqref="K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topLeftCell="C1" workbookViewId="0">
      <selection activeCell="I2" sqref="I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149</v>
      </c>
      <c r="B1" s="65" t="s">
        <v>150</v>
      </c>
      <c r="C1" s="66" t="s">
        <v>151</v>
      </c>
      <c r="D1" s="72" t="s">
        <v>152</v>
      </c>
      <c r="E1" s="67" t="s">
        <v>153</v>
      </c>
      <c r="F1" s="65" t="s">
        <v>154</v>
      </c>
      <c r="G1" s="65" t="s">
        <v>155</v>
      </c>
      <c r="H1" s="65" t="s">
        <v>156</v>
      </c>
      <c r="I1" s="65" t="s">
        <v>157</v>
      </c>
      <c r="J1" s="65" t="s">
        <v>158</v>
      </c>
      <c r="K1" s="65" t="s">
        <v>159</v>
      </c>
      <c r="L1" s="65" t="s">
        <v>160</v>
      </c>
      <c r="M1" s="65" t="s">
        <v>161</v>
      </c>
      <c r="N1" s="65" t="s">
        <v>162</v>
      </c>
      <c r="O1" s="65" t="s">
        <v>163</v>
      </c>
      <c r="P1" s="65" t="s">
        <v>164</v>
      </c>
      <c r="Q1" s="65" t="s">
        <v>165</v>
      </c>
      <c r="R1" s="65" t="s">
        <v>166</v>
      </c>
    </row>
    <row r="2" spans="1:18" x14ac:dyDescent="0.15">
      <c r="A2" s="57">
        <v>40039</v>
      </c>
      <c r="B2" s="57">
        <v>1</v>
      </c>
      <c r="C2" s="71" t="str">
        <f>A2&amp; "_"&amp;B2</f>
        <v>40039_1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167</v>
      </c>
      <c r="G2" s="57">
        <v>40000</v>
      </c>
      <c r="H2" s="57" t="s">
        <v>168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150</v>
      </c>
      <c r="Q2" s="57" t="s">
        <v>169</v>
      </c>
      <c r="R2" s="57" t="s">
        <v>170</v>
      </c>
    </row>
    <row r="3" spans="1:18" x14ac:dyDescent="0.15">
      <c r="A3" s="57">
        <v>40039</v>
      </c>
      <c r="B3" s="57">
        <v>1</v>
      </c>
      <c r="C3" s="71" t="str">
        <f t="shared" ref="C3:C5" si="0">A3&amp; "_"&amp;B3</f>
        <v>40039_1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329</v>
      </c>
      <c r="G3" s="57">
        <v>30</v>
      </c>
      <c r="H3" s="57" t="s">
        <v>53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150</v>
      </c>
      <c r="Q3" s="57" t="s">
        <v>169</v>
      </c>
      <c r="R3" s="57" t="s">
        <v>170</v>
      </c>
    </row>
    <row r="4" spans="1:18" x14ac:dyDescent="0.15">
      <c r="A4" s="57">
        <v>40039</v>
      </c>
      <c r="B4" s="57">
        <v>1</v>
      </c>
      <c r="C4" s="71" t="str">
        <f t="shared" si="0"/>
        <v>40039_1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330</v>
      </c>
      <c r="G4" s="57">
        <v>1220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100</v>
      </c>
      <c r="Q4" s="57" t="s">
        <v>169</v>
      </c>
      <c r="R4" s="57" t="s">
        <v>170</v>
      </c>
    </row>
    <row r="5" spans="1:18" x14ac:dyDescent="0.15">
      <c r="A5" s="57">
        <v>40039</v>
      </c>
      <c r="B5" s="57">
        <v>1</v>
      </c>
      <c r="C5" s="71" t="str">
        <f t="shared" si="0"/>
        <v>40039_1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330</v>
      </c>
      <c r="G5" s="57">
        <v>345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28</v>
      </c>
      <c r="Q5" s="57" t="s">
        <v>169</v>
      </c>
      <c r="R5" s="57" t="s">
        <v>170</v>
      </c>
    </row>
    <row r="6" spans="1:18" x14ac:dyDescent="0.15">
      <c r="A6" s="57">
        <v>40039</v>
      </c>
      <c r="B6" s="57">
        <v>1</v>
      </c>
      <c r="C6" s="71" t="str">
        <f t="shared" ref="C6:C18" si="1">A6&amp; "_"&amp;B6</f>
        <v>40039_1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330</v>
      </c>
      <c r="G6" s="57">
        <v>346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112</v>
      </c>
      <c r="Q6" s="57" t="s">
        <v>169</v>
      </c>
      <c r="R6" s="57" t="s">
        <v>170</v>
      </c>
    </row>
    <row r="7" spans="1:18" x14ac:dyDescent="0.15">
      <c r="A7" s="57">
        <v>40039</v>
      </c>
      <c r="B7" s="57">
        <v>1</v>
      </c>
      <c r="C7" s="71" t="str">
        <f t="shared" si="1"/>
        <v>40039_1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330</v>
      </c>
      <c r="G7" s="57">
        <v>354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150</v>
      </c>
      <c r="Q7" s="57" t="s">
        <v>169</v>
      </c>
      <c r="R7" s="57" t="s">
        <v>170</v>
      </c>
    </row>
    <row r="8" spans="1:18" x14ac:dyDescent="0.15">
      <c r="A8" s="57">
        <v>40039</v>
      </c>
      <c r="B8" s="57">
        <v>1</v>
      </c>
      <c r="C8" s="71" t="str">
        <f t="shared" si="1"/>
        <v>40039_1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330</v>
      </c>
      <c r="G8" s="57">
        <v>121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100</v>
      </c>
      <c r="Q8" s="57" t="s">
        <v>169</v>
      </c>
      <c r="R8" s="57" t="s">
        <v>170</v>
      </c>
    </row>
    <row r="9" spans="1:18" x14ac:dyDescent="0.15">
      <c r="A9" s="57">
        <v>40039</v>
      </c>
      <c r="B9" s="57">
        <v>1</v>
      </c>
      <c r="C9" s="71" t="str">
        <f t="shared" si="1"/>
        <v>40039_1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330</v>
      </c>
      <c r="G9" s="57">
        <v>122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100</v>
      </c>
      <c r="Q9" s="57" t="s">
        <v>169</v>
      </c>
      <c r="R9" s="57" t="s">
        <v>170</v>
      </c>
    </row>
    <row r="10" spans="1:18" x14ac:dyDescent="0.15">
      <c r="A10" s="57">
        <v>40039</v>
      </c>
      <c r="B10" s="57">
        <v>1</v>
      </c>
      <c r="C10" s="71" t="str">
        <f t="shared" si="1"/>
        <v>40039_1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330</v>
      </c>
      <c r="G10" s="57">
        <v>123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100</v>
      </c>
      <c r="Q10" s="57" t="s">
        <v>169</v>
      </c>
      <c r="R10" s="57" t="s">
        <v>170</v>
      </c>
    </row>
    <row r="11" spans="1:18" x14ac:dyDescent="0.15">
      <c r="A11" s="57">
        <v>40039</v>
      </c>
      <c r="B11" s="57">
        <v>1</v>
      </c>
      <c r="C11" s="71" t="str">
        <f t="shared" si="1"/>
        <v>40039_1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37">
        <v>10</v>
      </c>
      <c r="F11" s="57" t="s">
        <v>330</v>
      </c>
      <c r="G11" s="57">
        <v>125</v>
      </c>
      <c r="H11" s="57">
        <v>1</v>
      </c>
      <c r="I11" s="137">
        <v>1</v>
      </c>
      <c r="J11" s="137">
        <v>1</v>
      </c>
      <c r="K11" s="137">
        <v>0</v>
      </c>
      <c r="L11" s="137">
        <v>0</v>
      </c>
      <c r="M11" s="137">
        <v>0</v>
      </c>
      <c r="N11" s="137">
        <v>0</v>
      </c>
      <c r="O11" s="137">
        <v>1</v>
      </c>
      <c r="P11" s="57">
        <v>10</v>
      </c>
      <c r="Q11" s="57" t="s">
        <v>169</v>
      </c>
      <c r="R11" s="57" t="s">
        <v>170</v>
      </c>
    </row>
    <row r="12" spans="1:18" x14ac:dyDescent="0.15">
      <c r="A12" s="63">
        <v>40039</v>
      </c>
      <c r="B12" s="63">
        <v>2</v>
      </c>
      <c r="C12" s="71" t="str">
        <f t="shared" si="1"/>
        <v>40039_2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63">
        <v>11</v>
      </c>
      <c r="F12" s="63" t="s">
        <v>331</v>
      </c>
      <c r="G12" s="63">
        <v>1220</v>
      </c>
      <c r="H12" s="63">
        <v>1</v>
      </c>
      <c r="I12" s="63">
        <v>1</v>
      </c>
      <c r="J12" s="63">
        <v>1</v>
      </c>
      <c r="K12" s="63">
        <v>0</v>
      </c>
      <c r="L12" s="63">
        <v>0</v>
      </c>
      <c r="M12" s="63">
        <v>0</v>
      </c>
      <c r="N12" s="63">
        <v>0</v>
      </c>
      <c r="O12" s="63">
        <v>1</v>
      </c>
      <c r="P12" s="63">
        <v>500</v>
      </c>
      <c r="Q12" s="57" t="s">
        <v>169</v>
      </c>
      <c r="R12" s="57" t="s">
        <v>170</v>
      </c>
    </row>
    <row r="13" spans="1:18" x14ac:dyDescent="0.15">
      <c r="A13" s="63">
        <v>40039</v>
      </c>
      <c r="B13" s="63">
        <v>2</v>
      </c>
      <c r="C13" s="71" t="str">
        <f t="shared" si="1"/>
        <v>40039_2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63">
        <v>12</v>
      </c>
      <c r="F13" s="63" t="s">
        <v>331</v>
      </c>
      <c r="G13" s="63">
        <v>346</v>
      </c>
      <c r="H13" s="63">
        <v>1</v>
      </c>
      <c r="I13" s="63">
        <v>1</v>
      </c>
      <c r="J13" s="63">
        <v>1</v>
      </c>
      <c r="K13" s="63">
        <v>0</v>
      </c>
      <c r="L13" s="63">
        <v>0</v>
      </c>
      <c r="M13" s="63">
        <v>0</v>
      </c>
      <c r="N13" s="63">
        <v>0</v>
      </c>
      <c r="O13" s="63">
        <v>1</v>
      </c>
      <c r="P13" s="63">
        <v>50</v>
      </c>
      <c r="Q13" s="57" t="s">
        <v>169</v>
      </c>
      <c r="R13" s="57" t="s">
        <v>170</v>
      </c>
    </row>
    <row r="14" spans="1:18" x14ac:dyDescent="0.15">
      <c r="A14" s="63">
        <v>40039</v>
      </c>
      <c r="B14" s="63">
        <v>2</v>
      </c>
      <c r="C14" s="71" t="str">
        <f t="shared" si="1"/>
        <v>40039_2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63">
        <v>13</v>
      </c>
      <c r="F14" s="63" t="s">
        <v>331</v>
      </c>
      <c r="G14" s="63">
        <v>354</v>
      </c>
      <c r="H14" s="63">
        <v>1</v>
      </c>
      <c r="I14" s="63">
        <v>1</v>
      </c>
      <c r="J14" s="63">
        <v>1</v>
      </c>
      <c r="K14" s="63">
        <v>0</v>
      </c>
      <c r="L14" s="63">
        <v>0</v>
      </c>
      <c r="M14" s="63">
        <v>0</v>
      </c>
      <c r="N14" s="63">
        <v>0</v>
      </c>
      <c r="O14" s="63">
        <v>1</v>
      </c>
      <c r="P14" s="63">
        <v>120</v>
      </c>
      <c r="Q14" s="57" t="s">
        <v>169</v>
      </c>
      <c r="R14" s="57" t="s">
        <v>170</v>
      </c>
    </row>
    <row r="15" spans="1:18" x14ac:dyDescent="0.15">
      <c r="A15" s="63">
        <v>40039</v>
      </c>
      <c r="B15" s="63">
        <v>2</v>
      </c>
      <c r="C15" s="71" t="str">
        <f t="shared" si="1"/>
        <v>40039_2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63">
        <v>14</v>
      </c>
      <c r="F15" s="63" t="s">
        <v>331</v>
      </c>
      <c r="G15" s="63">
        <v>607</v>
      </c>
      <c r="H15" s="63">
        <v>1</v>
      </c>
      <c r="I15" s="63">
        <v>1</v>
      </c>
      <c r="J15" s="63">
        <v>1</v>
      </c>
      <c r="K15" s="63">
        <v>0</v>
      </c>
      <c r="L15" s="63">
        <v>0</v>
      </c>
      <c r="M15" s="63">
        <v>0</v>
      </c>
      <c r="N15" s="63">
        <v>0</v>
      </c>
      <c r="O15" s="63">
        <v>1</v>
      </c>
      <c r="P15" s="63">
        <v>100</v>
      </c>
      <c r="Q15" s="57" t="s">
        <v>169</v>
      </c>
      <c r="R15" s="57" t="s">
        <v>170</v>
      </c>
    </row>
    <row r="16" spans="1:18" x14ac:dyDescent="0.15">
      <c r="A16" s="63">
        <v>40039</v>
      </c>
      <c r="B16" s="63">
        <v>2</v>
      </c>
      <c r="C16" s="71" t="str">
        <f t="shared" si="1"/>
        <v>40039_2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63">
        <v>15</v>
      </c>
      <c r="F16" s="63" t="s">
        <v>331</v>
      </c>
      <c r="G16" s="63">
        <v>608</v>
      </c>
      <c r="H16" s="63">
        <v>1</v>
      </c>
      <c r="I16" s="63">
        <v>1</v>
      </c>
      <c r="J16" s="63">
        <v>1</v>
      </c>
      <c r="K16" s="63">
        <v>0</v>
      </c>
      <c r="L16" s="63">
        <v>0</v>
      </c>
      <c r="M16" s="63">
        <v>0</v>
      </c>
      <c r="N16" s="63">
        <v>0</v>
      </c>
      <c r="O16" s="63">
        <v>1</v>
      </c>
      <c r="P16" s="63">
        <v>100</v>
      </c>
      <c r="Q16" s="57" t="s">
        <v>169</v>
      </c>
      <c r="R16" s="57" t="s">
        <v>170</v>
      </c>
    </row>
    <row r="17" spans="1:18" x14ac:dyDescent="0.15">
      <c r="A17" s="63">
        <v>40039</v>
      </c>
      <c r="B17" s="63">
        <v>2</v>
      </c>
      <c r="C17" s="71" t="str">
        <f t="shared" si="1"/>
        <v>40039_2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63">
        <v>16</v>
      </c>
      <c r="F17" s="63" t="s">
        <v>331</v>
      </c>
      <c r="G17" s="63">
        <v>609</v>
      </c>
      <c r="H17" s="63">
        <v>1</v>
      </c>
      <c r="I17" s="63">
        <v>1</v>
      </c>
      <c r="J17" s="63">
        <v>1</v>
      </c>
      <c r="K17" s="63">
        <v>0</v>
      </c>
      <c r="L17" s="63">
        <v>0</v>
      </c>
      <c r="M17" s="63">
        <v>0</v>
      </c>
      <c r="N17" s="63">
        <v>0</v>
      </c>
      <c r="O17" s="63">
        <v>1</v>
      </c>
      <c r="P17" s="63">
        <v>100</v>
      </c>
      <c r="Q17" s="57" t="s">
        <v>169</v>
      </c>
      <c r="R17" s="57" t="s">
        <v>170</v>
      </c>
    </row>
    <row r="18" spans="1:18" x14ac:dyDescent="0.15">
      <c r="A18" s="63">
        <v>40039</v>
      </c>
      <c r="B18" s="63">
        <v>2</v>
      </c>
      <c r="C18" s="71" t="str">
        <f t="shared" si="1"/>
        <v>40039_2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63">
        <v>17</v>
      </c>
      <c r="F18" s="63" t="s">
        <v>331</v>
      </c>
      <c r="G18" s="63">
        <v>125</v>
      </c>
      <c r="H18" s="63">
        <v>1</v>
      </c>
      <c r="I18" s="63">
        <v>1</v>
      </c>
      <c r="J18" s="63">
        <v>1</v>
      </c>
      <c r="K18" s="63">
        <v>0</v>
      </c>
      <c r="L18" s="63">
        <v>0</v>
      </c>
      <c r="M18" s="63">
        <v>0</v>
      </c>
      <c r="N18" s="63">
        <v>0</v>
      </c>
      <c r="O18" s="63">
        <v>1</v>
      </c>
      <c r="P18" s="63">
        <v>30</v>
      </c>
      <c r="Q18" s="57" t="s">
        <v>169</v>
      </c>
      <c r="R18" s="57" t="s">
        <v>170</v>
      </c>
    </row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188</v>
      </c>
      <c r="B1" s="73" t="s">
        <v>189</v>
      </c>
      <c r="C1" s="77" t="s">
        <v>190</v>
      </c>
      <c r="D1" s="77" t="s">
        <v>33</v>
      </c>
      <c r="E1" s="73" t="s">
        <v>191</v>
      </c>
      <c r="F1" s="77" t="s">
        <v>192</v>
      </c>
      <c r="G1" s="77" t="s">
        <v>33</v>
      </c>
      <c r="H1" s="73" t="s">
        <v>193</v>
      </c>
      <c r="I1" s="91" t="s">
        <v>195</v>
      </c>
      <c r="J1" s="79" t="s">
        <v>125</v>
      </c>
      <c r="K1" s="78" t="s">
        <v>186</v>
      </c>
      <c r="L1" s="92" t="s">
        <v>185</v>
      </c>
      <c r="M1" s="80" t="s">
        <v>196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3"/>
  <sheetViews>
    <sheetView showGridLines="0" workbookViewId="0">
      <pane ySplit="1" topLeftCell="A2" activePane="bottomLeft" state="frozen"/>
      <selection pane="bottomLeft" activeCell="M14" sqref="M14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20.6640625" customWidth="1"/>
    <col min="13" max="13" width="42.6640625" customWidth="1"/>
  </cols>
  <sheetData>
    <row r="1" spans="1:14" x14ac:dyDescent="0.15">
      <c r="A1" s="76" t="s">
        <v>188</v>
      </c>
      <c r="B1" s="73" t="s">
        <v>149</v>
      </c>
      <c r="C1" s="77" t="s">
        <v>190</v>
      </c>
      <c r="D1" s="77" t="s">
        <v>33</v>
      </c>
      <c r="E1" s="73" t="s">
        <v>191</v>
      </c>
      <c r="F1" s="77" t="s">
        <v>18</v>
      </c>
      <c r="G1" s="77" t="s">
        <v>33</v>
      </c>
      <c r="H1" s="73" t="s">
        <v>193</v>
      </c>
      <c r="I1" s="89" t="s">
        <v>194</v>
      </c>
      <c r="J1" s="91" t="s">
        <v>195</v>
      </c>
      <c r="K1" s="79" t="s">
        <v>125</v>
      </c>
      <c r="L1" s="78" t="s">
        <v>186</v>
      </c>
      <c r="M1" s="92" t="s">
        <v>185</v>
      </c>
      <c r="N1" s="80" t="s">
        <v>196</v>
      </c>
    </row>
    <row r="2" spans="1:14" ht="42" x14ac:dyDescent="0.15">
      <c r="A2" s="81" t="s">
        <v>197</v>
      </c>
      <c r="B2" s="82">
        <f>floors!$C$2</f>
        <v>40039</v>
      </c>
      <c r="C2" s="83" t="str">
        <f ca="1">VLOOKUP($B2,OFFSET([2]quests!$A$1,0,0,COUNTA([2]quests!$A:$A),MATCH(C$1,[2]quests!$1:$1,0)-MATCH($B$1,[2]quests!$1:$1,0)+1),MATCH(C$1,[2]quests!$1:$1,0)-MATCH($B$1,[2]quests!$1:$1,0)+1,FALSE)</f>
        <v>シェイクスピア襲来！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降臨39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【超絶級】シェイクスピア襲来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降臨39</v>
      </c>
      <c r="H2" s="85">
        <v>1</v>
      </c>
      <c r="I2" s="90">
        <f>ROW()-1</f>
        <v>1</v>
      </c>
      <c r="J2" s="86" t="str">
        <f>B2&amp;TEXT(I2,"00")</f>
        <v>4003901</v>
      </c>
      <c r="K2" s="84" t="s">
        <v>198</v>
      </c>
      <c r="L2" s="87" t="s">
        <v>199</v>
      </c>
      <c r="M2" s="145" t="s">
        <v>434</v>
      </c>
      <c r="N2" s="57" t="s">
        <v>200</v>
      </c>
    </row>
    <row r="3" spans="1:14" ht="28" x14ac:dyDescent="0.15">
      <c r="A3" s="81" t="s">
        <v>197</v>
      </c>
      <c r="B3" s="82">
        <f>floors!$C$2</f>
        <v>40039</v>
      </c>
      <c r="C3" s="83" t="str">
        <f ca="1">VLOOKUP($B3,OFFSET([2]quests!$A$1,0,0,COUNTA([2]quests!$A:$A),MATCH(C$1,[2]quests!$1:$1,0)-MATCH($B$1,[2]quests!$1:$1,0)+1),MATCH(C$1,[2]quests!$1:$1,0)-MATCH($B$1,[2]quests!$1:$1,0)+1,FALSE)</f>
        <v>シェイクスピア襲来！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降臨39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【超絶級】シェイクスピア襲来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降臨39</v>
      </c>
      <c r="H3" s="85">
        <v>2</v>
      </c>
      <c r="I3" s="90">
        <f t="shared" ref="I3:I8" si="0">ROW()-1</f>
        <v>2</v>
      </c>
      <c r="J3" s="86" t="str">
        <f t="shared" ref="J3:J8" si="1">B3&amp;TEXT(I3,"00")</f>
        <v>4003902</v>
      </c>
      <c r="K3" s="84" t="s">
        <v>198</v>
      </c>
      <c r="L3" s="87" t="s">
        <v>199</v>
      </c>
      <c r="M3" s="145" t="s">
        <v>430</v>
      </c>
      <c r="N3" s="57" t="s">
        <v>200</v>
      </c>
    </row>
    <row r="4" spans="1:14" ht="28" x14ac:dyDescent="0.15">
      <c r="A4" s="81" t="s">
        <v>197</v>
      </c>
      <c r="B4" s="82">
        <f>floors!$C$2</f>
        <v>40039</v>
      </c>
      <c r="C4" s="83" t="str">
        <f ca="1">VLOOKUP($B4,OFFSET([2]quests!$A$1,0,0,COUNTA([2]quests!$A:$A),MATCH(C$1,[2]quests!$1:$1,0)-MATCH($B$1,[2]quests!$1:$1,0)+1),MATCH(C$1,[2]quests!$1:$1,0)-MATCH($B$1,[2]quests!$1:$1,0)+1,FALSE)</f>
        <v>シェイクスピア襲来！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降臨39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【超絶級】シェイクスピア襲来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降臨39</v>
      </c>
      <c r="H4" s="85">
        <v>2</v>
      </c>
      <c r="I4" s="90">
        <f t="shared" si="0"/>
        <v>3</v>
      </c>
      <c r="J4" s="86" t="str">
        <f t="shared" si="1"/>
        <v>4003903</v>
      </c>
      <c r="K4" s="84" t="s">
        <v>198</v>
      </c>
      <c r="L4" s="87" t="s">
        <v>199</v>
      </c>
      <c r="M4" s="145" t="s">
        <v>431</v>
      </c>
      <c r="N4" s="57" t="s">
        <v>200</v>
      </c>
    </row>
    <row r="5" spans="1:14" ht="42" x14ac:dyDescent="0.15">
      <c r="A5" s="81" t="s">
        <v>197</v>
      </c>
      <c r="B5" s="82">
        <f>floors!$C$2</f>
        <v>40039</v>
      </c>
      <c r="C5" s="83" t="str">
        <f ca="1">VLOOKUP($B5,OFFSET([2]quests!$A$1,0,0,COUNTA([2]quests!$A:$A),MATCH(C$1,[2]quests!$1:$1,0)-MATCH($B$1,[2]quests!$1:$1,0)+1),MATCH(C$1,[2]quests!$1:$1,0)-MATCH($B$1,[2]quests!$1:$1,0)+1,FALSE)</f>
        <v>シェイクスピア襲来！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降臨39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【超絶級】シェイクスピア襲来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降臨39</v>
      </c>
      <c r="H5" s="85">
        <v>3</v>
      </c>
      <c r="I5" s="90">
        <f t="shared" si="0"/>
        <v>4</v>
      </c>
      <c r="J5" s="86" t="str">
        <f t="shared" si="1"/>
        <v>4003904</v>
      </c>
      <c r="K5" s="84" t="s">
        <v>198</v>
      </c>
      <c r="L5" s="87" t="s">
        <v>199</v>
      </c>
      <c r="M5" s="145" t="s">
        <v>358</v>
      </c>
      <c r="N5" s="57" t="s">
        <v>200</v>
      </c>
    </row>
    <row r="6" spans="1:14" ht="56" x14ac:dyDescent="0.15">
      <c r="A6" s="81" t="s">
        <v>197</v>
      </c>
      <c r="B6" s="82">
        <f>floors!$C$2</f>
        <v>40039</v>
      </c>
      <c r="C6" s="83" t="str">
        <f ca="1">VLOOKUP($B6,OFFSET([2]quests!$A$1,0,0,COUNTA([2]quests!$A:$A),MATCH(C$1,[2]quests!$1:$1,0)-MATCH($B$1,[2]quests!$1:$1,0)+1),MATCH(C$1,[2]quests!$1:$1,0)-MATCH($B$1,[2]quests!$1:$1,0)+1,FALSE)</f>
        <v>シェイクスピア襲来！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降臨39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【超絶級】シェイクスピア襲来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降臨39</v>
      </c>
      <c r="H6" s="85">
        <v>3</v>
      </c>
      <c r="I6" s="90">
        <f t="shared" si="0"/>
        <v>5</v>
      </c>
      <c r="J6" s="86" t="str">
        <f t="shared" si="1"/>
        <v>4003905</v>
      </c>
      <c r="K6" s="84" t="s">
        <v>198</v>
      </c>
      <c r="L6" s="87" t="s">
        <v>199</v>
      </c>
      <c r="M6" s="145" t="s">
        <v>432</v>
      </c>
      <c r="N6" s="57" t="s">
        <v>200</v>
      </c>
    </row>
    <row r="7" spans="1:14" ht="42" x14ac:dyDescent="0.15">
      <c r="A7" s="81" t="s">
        <v>197</v>
      </c>
      <c r="B7" s="82">
        <f>floors!$C$2</f>
        <v>40039</v>
      </c>
      <c r="C7" s="83" t="str">
        <f ca="1">VLOOKUP($B7,OFFSET([2]quests!$A$1,0,0,COUNTA([2]quests!$A:$A),MATCH(C$1,[2]quests!$1:$1,0)-MATCH($B$1,[2]quests!$1:$1,0)+1),MATCH(C$1,[2]quests!$1:$1,0)-MATCH($B$1,[2]quests!$1:$1,0)+1,FALSE)</f>
        <v>シェイクスピア襲来！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降臨39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【超絶級】シェイクスピア襲来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降臨39</v>
      </c>
      <c r="H7" s="85">
        <v>3</v>
      </c>
      <c r="I7" s="90">
        <f t="shared" si="0"/>
        <v>6</v>
      </c>
      <c r="J7" s="86" t="str">
        <f t="shared" si="1"/>
        <v>4003906</v>
      </c>
      <c r="K7" s="84" t="s">
        <v>198</v>
      </c>
      <c r="L7" s="87" t="s">
        <v>199</v>
      </c>
      <c r="M7" s="145" t="s">
        <v>356</v>
      </c>
      <c r="N7" s="57" t="s">
        <v>200</v>
      </c>
    </row>
    <row r="8" spans="1:14" ht="56" x14ac:dyDescent="0.15">
      <c r="A8" s="81" t="s">
        <v>197</v>
      </c>
      <c r="B8" s="82">
        <f>floors!$C$2</f>
        <v>40039</v>
      </c>
      <c r="C8" s="83" t="str">
        <f ca="1">VLOOKUP($B8,OFFSET([2]quests!$A$1,0,0,COUNTA([2]quests!$A:$A),MATCH(C$1,[2]quests!$1:$1,0)-MATCH($B$1,[2]quests!$1:$1,0)+1),MATCH(C$1,[2]quests!$1:$1,0)-MATCH($B$1,[2]quests!$1:$1,0)+1,FALSE)</f>
        <v>シェイクスピア襲来！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降臨39</v>
      </c>
      <c r="E8" s="84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【超絶級】シェイクスピア襲来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降臨39</v>
      </c>
      <c r="H8" s="85">
        <v>3</v>
      </c>
      <c r="I8" s="90">
        <f t="shared" si="0"/>
        <v>7</v>
      </c>
      <c r="J8" s="86" t="str">
        <f t="shared" si="1"/>
        <v>4003907</v>
      </c>
      <c r="K8" s="84" t="s">
        <v>198</v>
      </c>
      <c r="L8" s="87" t="s">
        <v>199</v>
      </c>
      <c r="M8" s="145" t="s">
        <v>357</v>
      </c>
      <c r="N8" s="57" t="s">
        <v>200</v>
      </c>
    </row>
    <row r="9" spans="1:14" ht="56" x14ac:dyDescent="0.15">
      <c r="A9" s="139" t="s">
        <v>201</v>
      </c>
      <c r="B9" s="140">
        <f>floors!$C$2</f>
        <v>40039</v>
      </c>
      <c r="C9" s="141" t="str">
        <f ca="1">VLOOKUP($B9,OFFSET([2]quests!$A$1,0,0,COUNTA([2]quests!$A:$A),MATCH(C$1,[2]quests!$1:$1,0)-MATCH($B$1,[2]quests!$1:$1,0)+1),MATCH(C$1,[2]quests!$1:$1,0)-MATCH($B$1,[2]quests!$1:$1,0)+1,FALSE)</f>
        <v>シェイクスピア襲来！</v>
      </c>
      <c r="D9" s="141" t="str">
        <f ca="1">VLOOKUP($B9,OFFSET([2]quests!$A$1,0,0,COUNTA([2]quests!$A:$A),MATCH(D$1,[2]quests!$1:$1,0)-MATCH($B$1,[2]quests!$1:$1,0)+1),MATCH(D$1,[2]quests!$1:$1,0)-MATCH($B$1,[2]quests!$1:$1,0)+1,FALSE)</f>
        <v>降臨39</v>
      </c>
      <c r="E9" s="142">
        <v>1</v>
      </c>
      <c r="F9" s="141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【超絶級】シェイクスピア襲来</v>
      </c>
      <c r="G9" s="141" t="str">
        <f ca="1">VLOOKUP($B9&amp;"_"&amp;$E9,OFFSET([2]stages!$A$1,0,0,COUNTA([2]stages!$A:$A),MATCH(G$1,[2]stages!$2:$2,0)-MATCH("temp_stage",[2]stages!$2:$2,0)+1),MATCH(G$1,[2]stages!$2:$2,0)-MATCH("temp_stage",[2]stages!$2:$2,0)+1,FALSE)</f>
        <v>降臨39</v>
      </c>
      <c r="H9" s="141">
        <v>0</v>
      </c>
      <c r="I9" s="90">
        <f>ROW()-1</f>
        <v>8</v>
      </c>
      <c r="J9" s="86" t="str">
        <f>B9&amp;TEXT(I9,"00")</f>
        <v>4003908</v>
      </c>
      <c r="K9" s="84" t="s">
        <v>198</v>
      </c>
      <c r="L9" s="143" t="s">
        <v>355</v>
      </c>
      <c r="M9" s="144" t="s">
        <v>380</v>
      </c>
      <c r="N9" s="57" t="s">
        <v>200</v>
      </c>
    </row>
    <row r="10" spans="1:14" ht="56" x14ac:dyDescent="0.15">
      <c r="A10" s="139" t="s">
        <v>201</v>
      </c>
      <c r="B10" s="140">
        <f>floors!$C$2</f>
        <v>40039</v>
      </c>
      <c r="C10" s="141" t="str">
        <f ca="1">VLOOKUP($B10,OFFSET([2]quests!$A$1,0,0,COUNTA([2]quests!$A:$A),MATCH(C$1,[2]quests!$1:$1,0)-MATCH($B$1,[2]quests!$1:$1,0)+1),MATCH(C$1,[2]quests!$1:$1,0)-MATCH($B$1,[2]quests!$1:$1,0)+1,FALSE)</f>
        <v>シェイクスピア襲来！</v>
      </c>
      <c r="D10" s="141" t="str">
        <f ca="1">VLOOKUP($B10,OFFSET([2]quests!$A$1,0,0,COUNTA([2]quests!$A:$A),MATCH(D$1,[2]quests!$1:$1,0)-MATCH($B$1,[2]quests!$1:$1,0)+1),MATCH(D$1,[2]quests!$1:$1,0)-MATCH($B$1,[2]quests!$1:$1,0)+1,FALSE)</f>
        <v>降臨39</v>
      </c>
      <c r="E10" s="142">
        <v>1</v>
      </c>
      <c r="F10" s="141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【超絶級】シェイクスピア襲来</v>
      </c>
      <c r="G10" s="141" t="str">
        <f ca="1">VLOOKUP($B10&amp;"_"&amp;$E10,OFFSET([2]stages!$A$1,0,0,COUNTA([2]stages!$A:$A),MATCH(G$1,[2]stages!$2:$2,0)-MATCH("temp_stage",[2]stages!$2:$2,0)+1),MATCH(G$1,[2]stages!$2:$2,0)-MATCH("temp_stage",[2]stages!$2:$2,0)+1,FALSE)</f>
        <v>降臨39</v>
      </c>
      <c r="H10" s="141">
        <v>0</v>
      </c>
      <c r="I10" s="90">
        <f t="shared" ref="I10:I12" si="2">ROW()-1</f>
        <v>9</v>
      </c>
      <c r="J10" s="86" t="str">
        <f t="shared" ref="J10:J12" si="3">B10&amp;TEXT(I10,"00")</f>
        <v>4003909</v>
      </c>
      <c r="K10" s="84" t="s">
        <v>198</v>
      </c>
      <c r="L10" s="143" t="s">
        <v>351</v>
      </c>
      <c r="M10" s="144" t="s">
        <v>352</v>
      </c>
      <c r="N10" s="57" t="s">
        <v>200</v>
      </c>
    </row>
    <row r="11" spans="1:14" ht="56" x14ac:dyDescent="0.15">
      <c r="A11" s="139" t="s">
        <v>201</v>
      </c>
      <c r="B11" s="140">
        <f>floors!$C$2</f>
        <v>40039</v>
      </c>
      <c r="C11" s="141" t="str">
        <f ca="1">VLOOKUP($B11,OFFSET([2]quests!$A$1,0,0,COUNTA([2]quests!$A:$A),MATCH(C$1,[2]quests!$1:$1,0)-MATCH($B$1,[2]quests!$1:$1,0)+1),MATCH(C$1,[2]quests!$1:$1,0)-MATCH($B$1,[2]quests!$1:$1,0)+1,FALSE)</f>
        <v>シェイクスピア襲来！</v>
      </c>
      <c r="D11" s="141" t="str">
        <f ca="1">VLOOKUP($B11,OFFSET([2]quests!$A$1,0,0,COUNTA([2]quests!$A:$A),MATCH(D$1,[2]quests!$1:$1,0)-MATCH($B$1,[2]quests!$1:$1,0)+1),MATCH(D$1,[2]quests!$1:$1,0)-MATCH($B$1,[2]quests!$1:$1,0)+1,FALSE)</f>
        <v>降臨39</v>
      </c>
      <c r="E11" s="142">
        <v>1</v>
      </c>
      <c r="F11" s="141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【超絶級】シェイクスピア襲来</v>
      </c>
      <c r="G11" s="141" t="str">
        <f ca="1">VLOOKUP($B11&amp;"_"&amp;$E11,OFFSET([2]stages!$A$1,0,0,COUNTA([2]stages!$A:$A),MATCH(G$1,[2]stages!$2:$2,0)-MATCH("temp_stage",[2]stages!$2:$2,0)+1),MATCH(G$1,[2]stages!$2:$2,0)-MATCH("temp_stage",[2]stages!$2:$2,0)+1,FALSE)</f>
        <v>降臨39</v>
      </c>
      <c r="H11" s="141">
        <v>0</v>
      </c>
      <c r="I11" s="90">
        <f t="shared" si="2"/>
        <v>10</v>
      </c>
      <c r="J11" s="86" t="str">
        <f t="shared" si="3"/>
        <v>4003910</v>
      </c>
      <c r="K11" s="84" t="s">
        <v>198</v>
      </c>
      <c r="L11" s="143" t="s">
        <v>353</v>
      </c>
      <c r="M11" s="144" t="s">
        <v>354</v>
      </c>
      <c r="N11" s="57" t="s">
        <v>200</v>
      </c>
    </row>
    <row r="12" spans="1:14" ht="56" x14ac:dyDescent="0.15">
      <c r="A12" s="139" t="s">
        <v>201</v>
      </c>
      <c r="B12" s="140">
        <f>floors!$C$2</f>
        <v>40039</v>
      </c>
      <c r="C12" s="141" t="str">
        <f ca="1">VLOOKUP($B12,OFFSET([2]quests!$A$1,0,0,COUNTA([2]quests!$A:$A),MATCH(C$1,[2]quests!$1:$1,0)-MATCH($B$1,[2]quests!$1:$1,0)+1),MATCH(C$1,[2]quests!$1:$1,0)-MATCH($B$1,[2]quests!$1:$1,0)+1,FALSE)</f>
        <v>シェイクスピア襲来！</v>
      </c>
      <c r="D12" s="141" t="str">
        <f ca="1">VLOOKUP($B12,OFFSET([2]quests!$A$1,0,0,COUNTA([2]quests!$A:$A),MATCH(D$1,[2]quests!$1:$1,0)-MATCH($B$1,[2]quests!$1:$1,0)+1),MATCH(D$1,[2]quests!$1:$1,0)-MATCH($B$1,[2]quests!$1:$1,0)+1,FALSE)</f>
        <v>降臨39</v>
      </c>
      <c r="E12" s="142">
        <v>1</v>
      </c>
      <c r="F12" s="141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【超絶級】シェイクスピア襲来</v>
      </c>
      <c r="G12" s="141" t="str">
        <f ca="1">VLOOKUP($B12&amp;"_"&amp;$E12,OFFSET([2]stages!$A$1,0,0,COUNTA([2]stages!$A:$A),MATCH(G$1,[2]stages!$2:$2,0)-MATCH("temp_stage",[2]stages!$2:$2,0)+1),MATCH(G$1,[2]stages!$2:$2,0)-MATCH("temp_stage",[2]stages!$2:$2,0)+1,FALSE)</f>
        <v>降臨39</v>
      </c>
      <c r="H12" s="141">
        <v>0</v>
      </c>
      <c r="I12" s="90">
        <f t="shared" si="2"/>
        <v>11</v>
      </c>
      <c r="J12" s="86" t="str">
        <f t="shared" si="3"/>
        <v>4003911</v>
      </c>
      <c r="K12" s="84" t="s">
        <v>198</v>
      </c>
      <c r="L12" s="143" t="s">
        <v>349</v>
      </c>
      <c r="M12" s="144" t="s">
        <v>350</v>
      </c>
      <c r="N12" s="57" t="s">
        <v>200</v>
      </c>
    </row>
    <row r="13" spans="1:14" ht="42" x14ac:dyDescent="0.15">
      <c r="A13" s="81" t="s">
        <v>197</v>
      </c>
      <c r="B13" s="82">
        <f>floors!$C$2</f>
        <v>40039</v>
      </c>
      <c r="C13" s="83" t="str">
        <f ca="1">VLOOKUP($B13,OFFSET([2]quests!$A$1,0,0,COUNTA([2]quests!$A:$A),MATCH(C$1,[2]quests!$1:$1,0)-MATCH($B$1,[2]quests!$1:$1,0)+1),MATCH(C$1,[2]quests!$1:$1,0)-MATCH($B$1,[2]quests!$1:$1,0)+1,FALSE)</f>
        <v>シェイクスピア襲来！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降臨39</v>
      </c>
      <c r="E13" s="84">
        <v>2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【ウィザード級】シェイクスピア襲来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降臨39</v>
      </c>
      <c r="H13" s="85">
        <v>1</v>
      </c>
      <c r="I13" s="90">
        <f>ROW()-1</f>
        <v>12</v>
      </c>
      <c r="J13" s="86" t="str">
        <f>B13&amp;TEXT(I13,"00")</f>
        <v>4003912</v>
      </c>
      <c r="K13" s="84" t="s">
        <v>198</v>
      </c>
      <c r="L13" s="87" t="s">
        <v>199</v>
      </c>
      <c r="M13" s="145" t="s">
        <v>435</v>
      </c>
      <c r="N13" s="57" t="s">
        <v>200</v>
      </c>
    </row>
    <row r="14" spans="1:14" ht="28" x14ac:dyDescent="0.15">
      <c r="A14" s="81" t="s">
        <v>197</v>
      </c>
      <c r="B14" s="82">
        <f>floors!$C$2</f>
        <v>40039</v>
      </c>
      <c r="C14" s="83" t="str">
        <f ca="1">VLOOKUP($B14,OFFSET([2]quests!$A$1,0,0,COUNTA([2]quests!$A:$A),MATCH(C$1,[2]quests!$1:$1,0)-MATCH($B$1,[2]quests!$1:$1,0)+1),MATCH(C$1,[2]quests!$1:$1,0)-MATCH($B$1,[2]quests!$1:$1,0)+1,FALSE)</f>
        <v>シェイクスピア襲来！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降臨39</v>
      </c>
      <c r="E14" s="84">
        <v>2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【ウィザード級】シェイクスピア襲来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降臨39</v>
      </c>
      <c r="H14" s="85">
        <v>2</v>
      </c>
      <c r="I14" s="90">
        <f t="shared" ref="I14:I19" si="4">ROW()-1</f>
        <v>13</v>
      </c>
      <c r="J14" s="86" t="str">
        <f t="shared" ref="J14:J19" si="5">B14&amp;TEXT(I14,"00")</f>
        <v>4003913</v>
      </c>
      <c r="K14" s="84" t="s">
        <v>198</v>
      </c>
      <c r="L14" s="87" t="s">
        <v>199</v>
      </c>
      <c r="M14" s="145" t="s">
        <v>430</v>
      </c>
      <c r="N14" s="57" t="s">
        <v>200</v>
      </c>
    </row>
    <row r="15" spans="1:14" ht="28" x14ac:dyDescent="0.15">
      <c r="A15" s="81" t="s">
        <v>197</v>
      </c>
      <c r="B15" s="82">
        <f>floors!$C$2</f>
        <v>40039</v>
      </c>
      <c r="C15" s="83" t="str">
        <f ca="1">VLOOKUP($B15,OFFSET([2]quests!$A$1,0,0,COUNTA([2]quests!$A:$A),MATCH(C$1,[2]quests!$1:$1,0)-MATCH($B$1,[2]quests!$1:$1,0)+1),MATCH(C$1,[2]quests!$1:$1,0)-MATCH($B$1,[2]quests!$1:$1,0)+1,FALSE)</f>
        <v>シェイクスピア襲来！</v>
      </c>
      <c r="D15" s="83" t="str">
        <f ca="1">VLOOKUP($B15,OFFSET([2]quests!$A$1,0,0,COUNTA([2]quests!$A:$A),MATCH(D$1,[2]quests!$1:$1,0)-MATCH($B$1,[2]quests!$1:$1,0)+1),MATCH(D$1,[2]quests!$1:$1,0)-MATCH($B$1,[2]quests!$1:$1,0)+1,FALSE)</f>
        <v>降臨39</v>
      </c>
      <c r="E15" s="84">
        <v>2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【ウィザード級】シェイクスピア襲来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降臨39</v>
      </c>
      <c r="H15" s="85">
        <v>2</v>
      </c>
      <c r="I15" s="90">
        <f t="shared" si="4"/>
        <v>14</v>
      </c>
      <c r="J15" s="86" t="str">
        <f t="shared" si="5"/>
        <v>4003914</v>
      </c>
      <c r="K15" s="84" t="s">
        <v>198</v>
      </c>
      <c r="L15" s="87" t="s">
        <v>199</v>
      </c>
      <c r="M15" s="145" t="s">
        <v>431</v>
      </c>
      <c r="N15" s="57" t="s">
        <v>200</v>
      </c>
    </row>
    <row r="16" spans="1:14" ht="42" x14ac:dyDescent="0.15">
      <c r="A16" s="81" t="s">
        <v>197</v>
      </c>
      <c r="B16" s="82">
        <f>floors!$C$2</f>
        <v>40039</v>
      </c>
      <c r="C16" s="83" t="str">
        <f ca="1">VLOOKUP($B16,OFFSET([2]quests!$A$1,0,0,COUNTA([2]quests!$A:$A),MATCH(C$1,[2]quests!$1:$1,0)-MATCH($B$1,[2]quests!$1:$1,0)+1),MATCH(C$1,[2]quests!$1:$1,0)-MATCH($B$1,[2]quests!$1:$1,0)+1,FALSE)</f>
        <v>シェイクスピア襲来！</v>
      </c>
      <c r="D16" s="83" t="str">
        <f ca="1">VLOOKUP($B16,OFFSET([2]quests!$A$1,0,0,COUNTA([2]quests!$A:$A),MATCH(D$1,[2]quests!$1:$1,0)-MATCH($B$1,[2]quests!$1:$1,0)+1),MATCH(D$1,[2]quests!$1:$1,0)-MATCH($B$1,[2]quests!$1:$1,0)+1,FALSE)</f>
        <v>降臨39</v>
      </c>
      <c r="E16" s="84">
        <v>2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【ウィザード級】シェイクスピア襲来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降臨39</v>
      </c>
      <c r="H16" s="85">
        <v>3</v>
      </c>
      <c r="I16" s="90">
        <f t="shared" si="4"/>
        <v>15</v>
      </c>
      <c r="J16" s="86" t="str">
        <f t="shared" si="5"/>
        <v>4003915</v>
      </c>
      <c r="K16" s="84" t="s">
        <v>198</v>
      </c>
      <c r="L16" s="87" t="s">
        <v>199</v>
      </c>
      <c r="M16" s="145" t="s">
        <v>429</v>
      </c>
      <c r="N16" s="57" t="s">
        <v>200</v>
      </c>
    </row>
    <row r="17" spans="1:14" ht="56" x14ac:dyDescent="0.15">
      <c r="A17" s="81" t="s">
        <v>197</v>
      </c>
      <c r="B17" s="82">
        <f>floors!$C$2</f>
        <v>40039</v>
      </c>
      <c r="C17" s="83" t="str">
        <f ca="1">VLOOKUP($B17,OFFSET([2]quests!$A$1,0,0,COUNTA([2]quests!$A:$A),MATCH(C$1,[2]quests!$1:$1,0)-MATCH($B$1,[2]quests!$1:$1,0)+1),MATCH(C$1,[2]quests!$1:$1,0)-MATCH($B$1,[2]quests!$1:$1,0)+1,FALSE)</f>
        <v>シェイクスピア襲来！</v>
      </c>
      <c r="D17" s="83" t="str">
        <f ca="1">VLOOKUP($B17,OFFSET([2]quests!$A$1,0,0,COUNTA([2]quests!$A:$A),MATCH(D$1,[2]quests!$1:$1,0)-MATCH($B$1,[2]quests!$1:$1,0)+1),MATCH(D$1,[2]quests!$1:$1,0)-MATCH($B$1,[2]quests!$1:$1,0)+1,FALSE)</f>
        <v>降臨39</v>
      </c>
      <c r="E17" s="84">
        <v>2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【ウィザード級】シェイクスピア襲来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降臨39</v>
      </c>
      <c r="H17" s="85">
        <v>3</v>
      </c>
      <c r="I17" s="90">
        <f t="shared" si="4"/>
        <v>16</v>
      </c>
      <c r="J17" s="86" t="str">
        <f t="shared" si="5"/>
        <v>4003916</v>
      </c>
      <c r="K17" s="84" t="s">
        <v>198</v>
      </c>
      <c r="L17" s="87" t="s">
        <v>199</v>
      </c>
      <c r="M17" s="145" t="s">
        <v>433</v>
      </c>
      <c r="N17" s="57" t="s">
        <v>200</v>
      </c>
    </row>
    <row r="18" spans="1:14" ht="42" x14ac:dyDescent="0.15">
      <c r="A18" s="81" t="s">
        <v>197</v>
      </c>
      <c r="B18" s="82">
        <f>floors!$C$2</f>
        <v>40039</v>
      </c>
      <c r="C18" s="83" t="str">
        <f ca="1">VLOOKUP($B18,OFFSET([2]quests!$A$1,0,0,COUNTA([2]quests!$A:$A),MATCH(C$1,[2]quests!$1:$1,0)-MATCH($B$1,[2]quests!$1:$1,0)+1),MATCH(C$1,[2]quests!$1:$1,0)-MATCH($B$1,[2]quests!$1:$1,0)+1,FALSE)</f>
        <v>シェイクスピア襲来！</v>
      </c>
      <c r="D18" s="83" t="str">
        <f ca="1">VLOOKUP($B18,OFFSET([2]quests!$A$1,0,0,COUNTA([2]quests!$A:$A),MATCH(D$1,[2]quests!$1:$1,0)-MATCH($B$1,[2]quests!$1:$1,0)+1),MATCH(D$1,[2]quests!$1:$1,0)-MATCH($B$1,[2]quests!$1:$1,0)+1,FALSE)</f>
        <v>降臨39</v>
      </c>
      <c r="E18" s="84">
        <v>2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【ウィザード級】シェイクスピア襲来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降臨39</v>
      </c>
      <c r="H18" s="85">
        <v>3</v>
      </c>
      <c r="I18" s="90">
        <f t="shared" si="4"/>
        <v>17</v>
      </c>
      <c r="J18" s="86" t="str">
        <f t="shared" si="5"/>
        <v>4003917</v>
      </c>
      <c r="K18" s="84" t="s">
        <v>198</v>
      </c>
      <c r="L18" s="87" t="s">
        <v>199</v>
      </c>
      <c r="M18" s="145" t="s">
        <v>356</v>
      </c>
      <c r="N18" s="57" t="s">
        <v>200</v>
      </c>
    </row>
    <row r="19" spans="1:14" ht="56" x14ac:dyDescent="0.15">
      <c r="A19" s="81" t="s">
        <v>197</v>
      </c>
      <c r="B19" s="82">
        <f>floors!$C$2</f>
        <v>40039</v>
      </c>
      <c r="C19" s="83" t="str">
        <f ca="1">VLOOKUP($B19,OFFSET([2]quests!$A$1,0,0,COUNTA([2]quests!$A:$A),MATCH(C$1,[2]quests!$1:$1,0)-MATCH($B$1,[2]quests!$1:$1,0)+1),MATCH(C$1,[2]quests!$1:$1,0)-MATCH($B$1,[2]quests!$1:$1,0)+1,FALSE)</f>
        <v>シェイクスピア襲来！</v>
      </c>
      <c r="D19" s="83" t="str">
        <f ca="1">VLOOKUP($B19,OFFSET([2]quests!$A$1,0,0,COUNTA([2]quests!$A:$A),MATCH(D$1,[2]quests!$1:$1,0)-MATCH($B$1,[2]quests!$1:$1,0)+1),MATCH(D$1,[2]quests!$1:$1,0)-MATCH($B$1,[2]quests!$1:$1,0)+1,FALSE)</f>
        <v>降臨39</v>
      </c>
      <c r="E19" s="84">
        <v>2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【ウィザード級】シェイクスピア襲来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降臨39</v>
      </c>
      <c r="H19" s="85">
        <v>3</v>
      </c>
      <c r="I19" s="90">
        <f t="shared" si="4"/>
        <v>18</v>
      </c>
      <c r="J19" s="86" t="str">
        <f t="shared" si="5"/>
        <v>4003918</v>
      </c>
      <c r="K19" s="84" t="s">
        <v>198</v>
      </c>
      <c r="L19" s="87" t="s">
        <v>199</v>
      </c>
      <c r="M19" s="145" t="s">
        <v>357</v>
      </c>
      <c r="N19" s="57" t="s">
        <v>200</v>
      </c>
    </row>
    <row r="20" spans="1:14" ht="56" x14ac:dyDescent="0.15">
      <c r="A20" s="139" t="s">
        <v>201</v>
      </c>
      <c r="B20" s="140">
        <f>floors!$C$2</f>
        <v>40039</v>
      </c>
      <c r="C20" s="141" t="str">
        <f ca="1">VLOOKUP($B20,OFFSET([2]quests!$A$1,0,0,COUNTA([2]quests!$A:$A),MATCH(C$1,[2]quests!$1:$1,0)-MATCH($B$1,[2]quests!$1:$1,0)+1),MATCH(C$1,[2]quests!$1:$1,0)-MATCH($B$1,[2]quests!$1:$1,0)+1,FALSE)</f>
        <v>シェイクスピア襲来！</v>
      </c>
      <c r="D20" s="141" t="str">
        <f ca="1">VLOOKUP($B20,OFFSET([2]quests!$A$1,0,0,COUNTA([2]quests!$A:$A),MATCH(D$1,[2]quests!$1:$1,0)-MATCH($B$1,[2]quests!$1:$1,0)+1),MATCH(D$1,[2]quests!$1:$1,0)-MATCH($B$1,[2]quests!$1:$1,0)+1,FALSE)</f>
        <v>降臨39</v>
      </c>
      <c r="E20" s="142">
        <v>2</v>
      </c>
      <c r="F20" s="141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【ウィザード級】シェイクスピア襲来</v>
      </c>
      <c r="G20" s="141" t="str">
        <f ca="1">VLOOKUP($B20&amp;"_"&amp;$E20,OFFSET([2]stages!$A$1,0,0,COUNTA([2]stages!$A:$A),MATCH(G$1,[2]stages!$2:$2,0)-MATCH("temp_stage",[2]stages!$2:$2,0)+1),MATCH(G$1,[2]stages!$2:$2,0)-MATCH("temp_stage",[2]stages!$2:$2,0)+1,FALSE)</f>
        <v>降臨39</v>
      </c>
      <c r="H20" s="141">
        <v>0</v>
      </c>
      <c r="I20" s="90">
        <f>ROW()-1</f>
        <v>19</v>
      </c>
      <c r="J20" s="86" t="str">
        <f>B20&amp;TEXT(I20,"00")</f>
        <v>4003919</v>
      </c>
      <c r="K20" s="84" t="s">
        <v>198</v>
      </c>
      <c r="L20" s="143" t="s">
        <v>355</v>
      </c>
      <c r="M20" s="144" t="s">
        <v>381</v>
      </c>
      <c r="N20" s="57" t="s">
        <v>200</v>
      </c>
    </row>
    <row r="21" spans="1:14" ht="56" x14ac:dyDescent="0.15">
      <c r="A21" s="139" t="s">
        <v>201</v>
      </c>
      <c r="B21" s="140">
        <f>floors!$C$2</f>
        <v>40039</v>
      </c>
      <c r="C21" s="141" t="str">
        <f ca="1">VLOOKUP($B21,OFFSET([2]quests!$A$1,0,0,COUNTA([2]quests!$A:$A),MATCH(C$1,[2]quests!$1:$1,0)-MATCH($B$1,[2]quests!$1:$1,0)+1),MATCH(C$1,[2]quests!$1:$1,0)-MATCH($B$1,[2]quests!$1:$1,0)+1,FALSE)</f>
        <v>シェイクスピア襲来！</v>
      </c>
      <c r="D21" s="141" t="str">
        <f ca="1">VLOOKUP($B21,OFFSET([2]quests!$A$1,0,0,COUNTA([2]quests!$A:$A),MATCH(D$1,[2]quests!$1:$1,0)-MATCH($B$1,[2]quests!$1:$1,0)+1),MATCH(D$1,[2]quests!$1:$1,0)-MATCH($B$1,[2]quests!$1:$1,0)+1,FALSE)</f>
        <v>降臨39</v>
      </c>
      <c r="E21" s="142">
        <v>2</v>
      </c>
      <c r="F21" s="141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【ウィザード級】シェイクスピア襲来</v>
      </c>
      <c r="G21" s="141" t="str">
        <f ca="1">VLOOKUP($B21&amp;"_"&amp;$E21,OFFSET([2]stages!$A$1,0,0,COUNTA([2]stages!$A:$A),MATCH(G$1,[2]stages!$2:$2,0)-MATCH("temp_stage",[2]stages!$2:$2,0)+1),MATCH(G$1,[2]stages!$2:$2,0)-MATCH("temp_stage",[2]stages!$2:$2,0)+1,FALSE)</f>
        <v>降臨39</v>
      </c>
      <c r="H21" s="141">
        <v>0</v>
      </c>
      <c r="I21" s="90">
        <f t="shared" ref="I21:I23" si="6">ROW()-1</f>
        <v>20</v>
      </c>
      <c r="J21" s="86" t="str">
        <f t="shared" ref="J21:J23" si="7">B21&amp;TEXT(I21,"00")</f>
        <v>4003920</v>
      </c>
      <c r="K21" s="84" t="s">
        <v>198</v>
      </c>
      <c r="L21" s="143" t="s">
        <v>351</v>
      </c>
      <c r="M21" s="144" t="s">
        <v>352</v>
      </c>
      <c r="N21" s="57" t="s">
        <v>200</v>
      </c>
    </row>
    <row r="22" spans="1:14" ht="56" x14ac:dyDescent="0.15">
      <c r="A22" s="139" t="s">
        <v>201</v>
      </c>
      <c r="B22" s="140">
        <f>floors!$C$2</f>
        <v>40039</v>
      </c>
      <c r="C22" s="141" t="str">
        <f ca="1">VLOOKUP($B22,OFFSET([2]quests!$A$1,0,0,COUNTA([2]quests!$A:$A),MATCH(C$1,[2]quests!$1:$1,0)-MATCH($B$1,[2]quests!$1:$1,0)+1),MATCH(C$1,[2]quests!$1:$1,0)-MATCH($B$1,[2]quests!$1:$1,0)+1,FALSE)</f>
        <v>シェイクスピア襲来！</v>
      </c>
      <c r="D22" s="141" t="str">
        <f ca="1">VLOOKUP($B22,OFFSET([2]quests!$A$1,0,0,COUNTA([2]quests!$A:$A),MATCH(D$1,[2]quests!$1:$1,0)-MATCH($B$1,[2]quests!$1:$1,0)+1),MATCH(D$1,[2]quests!$1:$1,0)-MATCH($B$1,[2]quests!$1:$1,0)+1,FALSE)</f>
        <v>降臨39</v>
      </c>
      <c r="E22" s="142">
        <v>2</v>
      </c>
      <c r="F22" s="141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【ウィザード級】シェイクスピア襲来</v>
      </c>
      <c r="G22" s="141" t="str">
        <f ca="1">VLOOKUP($B22&amp;"_"&amp;$E22,OFFSET([2]stages!$A$1,0,0,COUNTA([2]stages!$A:$A),MATCH(G$1,[2]stages!$2:$2,0)-MATCH("temp_stage",[2]stages!$2:$2,0)+1),MATCH(G$1,[2]stages!$2:$2,0)-MATCH("temp_stage",[2]stages!$2:$2,0)+1,FALSE)</f>
        <v>降臨39</v>
      </c>
      <c r="H22" s="141">
        <v>0</v>
      </c>
      <c r="I22" s="90">
        <f t="shared" si="6"/>
        <v>21</v>
      </c>
      <c r="J22" s="86" t="str">
        <f t="shared" si="7"/>
        <v>4003921</v>
      </c>
      <c r="K22" s="84" t="s">
        <v>198</v>
      </c>
      <c r="L22" s="143" t="s">
        <v>353</v>
      </c>
      <c r="M22" s="144" t="s">
        <v>354</v>
      </c>
      <c r="N22" s="57" t="s">
        <v>200</v>
      </c>
    </row>
    <row r="23" spans="1:14" ht="56" x14ac:dyDescent="0.15">
      <c r="A23" s="139" t="s">
        <v>201</v>
      </c>
      <c r="B23" s="140">
        <f>floors!$C$2</f>
        <v>40039</v>
      </c>
      <c r="C23" s="141" t="str">
        <f ca="1">VLOOKUP($B23,OFFSET([2]quests!$A$1,0,0,COUNTA([2]quests!$A:$A),MATCH(C$1,[2]quests!$1:$1,0)-MATCH($B$1,[2]quests!$1:$1,0)+1),MATCH(C$1,[2]quests!$1:$1,0)-MATCH($B$1,[2]quests!$1:$1,0)+1,FALSE)</f>
        <v>シェイクスピア襲来！</v>
      </c>
      <c r="D23" s="141" t="str">
        <f ca="1">VLOOKUP($B23,OFFSET([2]quests!$A$1,0,0,COUNTA([2]quests!$A:$A),MATCH(D$1,[2]quests!$1:$1,0)-MATCH($B$1,[2]quests!$1:$1,0)+1),MATCH(D$1,[2]quests!$1:$1,0)-MATCH($B$1,[2]quests!$1:$1,0)+1,FALSE)</f>
        <v>降臨39</v>
      </c>
      <c r="E23" s="142">
        <v>2</v>
      </c>
      <c r="F23" s="141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【ウィザード級】シェイクスピア襲来</v>
      </c>
      <c r="G23" s="141" t="str">
        <f ca="1">VLOOKUP($B23&amp;"_"&amp;$E23,OFFSET([2]stages!$A$1,0,0,COUNTA([2]stages!$A:$A),MATCH(G$1,[2]stages!$2:$2,0)-MATCH("temp_stage",[2]stages!$2:$2,0)+1),MATCH(G$1,[2]stages!$2:$2,0)-MATCH("temp_stage",[2]stages!$2:$2,0)+1,FALSE)</f>
        <v>降臨39</v>
      </c>
      <c r="H23" s="141">
        <v>0</v>
      </c>
      <c r="I23" s="90">
        <f t="shared" si="6"/>
        <v>22</v>
      </c>
      <c r="J23" s="86" t="str">
        <f t="shared" si="7"/>
        <v>4003922</v>
      </c>
      <c r="K23" s="84" t="s">
        <v>198</v>
      </c>
      <c r="L23" s="143" t="s">
        <v>349</v>
      </c>
      <c r="M23" s="144" t="s">
        <v>350</v>
      </c>
      <c r="N23" s="57" t="s">
        <v>200</v>
      </c>
    </row>
  </sheetData>
  <phoneticPr fontId="5"/>
  <dataValidations disablePrompts="1" count="1">
    <dataValidation type="list" allowBlank="1" showInputMessage="1" showErrorMessage="1" sqref="A2:A2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topLeftCell="C1" workbookViewId="0">
      <pane ySplit="1" topLeftCell="A2" activePane="bottomLeft" state="frozen"/>
      <selection pane="bottomLeft" activeCell="O3" sqref="O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213</v>
      </c>
      <c r="B1" s="95" t="s">
        <v>214</v>
      </c>
      <c r="C1" s="77" t="s">
        <v>215</v>
      </c>
      <c r="D1" s="77" t="s">
        <v>33</v>
      </c>
      <c r="E1" s="95" t="s">
        <v>216</v>
      </c>
      <c r="F1" s="77" t="s">
        <v>217</v>
      </c>
      <c r="G1" s="77" t="s">
        <v>33</v>
      </c>
      <c r="H1" s="95" t="s">
        <v>218</v>
      </c>
      <c r="I1" s="95" t="s">
        <v>219</v>
      </c>
      <c r="J1" s="95" t="s">
        <v>220</v>
      </c>
      <c r="K1" s="73" t="s">
        <v>221</v>
      </c>
      <c r="L1" s="73" t="s">
        <v>222</v>
      </c>
      <c r="M1" s="73" t="s">
        <v>155</v>
      </c>
      <c r="N1" s="77" t="s">
        <v>16</v>
      </c>
      <c r="O1" s="73" t="s">
        <v>223</v>
      </c>
      <c r="P1" s="73" t="s">
        <v>57</v>
      </c>
      <c r="Q1" s="73" t="s">
        <v>224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225</v>
      </c>
      <c r="X1" s="73" t="s">
        <v>226</v>
      </c>
    </row>
    <row r="2" spans="1:24" x14ac:dyDescent="0.15">
      <c r="A2" s="96" t="str">
        <f>B2&amp;"_"&amp;E2&amp;"_"&amp;H2&amp;"_"&amp;I2&amp;"_"&amp;J2</f>
        <v>40039_2_everyone_no_continue_1</v>
      </c>
      <c r="B2" s="82">
        <v>40039</v>
      </c>
      <c r="C2" s="83" t="str">
        <f ca="1">VLOOKUP($B2,OFFSET([2]quests!$A$1,0,0,COUNTA([2]quests!$A:$A),MATCH(C$1,[2]quests!$1:$1,0)-MATCH($B$1,[2]quests!$1:$1,0)+1),MATCH(C$1,[2]quests!$1:$1,0)-MATCH($B$1,[2]quests!$1:$1,0)+1,FALSE)</f>
        <v>シェイクスピア襲来！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降臨39</v>
      </c>
      <c r="E2" s="84">
        <v>2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【ウィザード級】シェイクスピア襲来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降臨39</v>
      </c>
      <c r="H2" s="85" t="s">
        <v>227</v>
      </c>
      <c r="I2" s="84" t="s">
        <v>256</v>
      </c>
      <c r="J2" s="84">
        <v>1</v>
      </c>
      <c r="K2" s="84">
        <v>1000</v>
      </c>
      <c r="L2" s="84" t="s">
        <v>228</v>
      </c>
      <c r="M2" s="84">
        <v>1220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シェイクスピア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8" t="s">
        <v>229</v>
      </c>
      <c r="X2" s="99" t="s">
        <v>230</v>
      </c>
    </row>
    <row r="3" spans="1:24" x14ac:dyDescent="0.15">
      <c r="A3" s="96" t="str">
        <f>B3&amp;"_"&amp;E3&amp;"_"&amp;H3&amp;"_"&amp;I3&amp;"_"&amp;J3</f>
        <v>40039_2_everyone_full_member_2</v>
      </c>
      <c r="B3" s="82">
        <v>40039</v>
      </c>
      <c r="C3" s="83" t="str">
        <f ca="1">VLOOKUP($B3,OFFSET([2]quests!$A$1,0,0,COUNTA([2]quests!$A:$A),MATCH(C$1,[2]quests!$1:$1,0)-MATCH($B$1,[2]quests!$1:$1,0)+1),MATCH(C$1,[2]quests!$1:$1,0)-MATCH($B$1,[2]quests!$1:$1,0)+1,FALSE)</f>
        <v>シェイクスピア襲来！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降臨39</v>
      </c>
      <c r="E3" s="84">
        <v>2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【ウィザード級】シェイクスピア襲来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降臨39</v>
      </c>
      <c r="H3" s="85" t="s">
        <v>227</v>
      </c>
      <c r="I3" s="84" t="s">
        <v>255</v>
      </c>
      <c r="J3" s="84">
        <v>2</v>
      </c>
      <c r="K3" s="84">
        <v>1000</v>
      </c>
      <c r="L3" s="84" t="s">
        <v>228</v>
      </c>
      <c r="M3" s="84">
        <v>1220</v>
      </c>
      <c r="N3" s="97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シェイクスピア</v>
      </c>
      <c r="O3" s="84">
        <v>1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98" t="s">
        <v>229</v>
      </c>
      <c r="X3" s="99" t="s">
        <v>230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2017-04-04T09:15:58Z</dcterms:modified>
</cp:coreProperties>
</file>